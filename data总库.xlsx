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252\Desktop\PPT\课题\26年\26年3月\"/>
    </mc:Choice>
  </mc:AlternateContent>
  <xr:revisionPtr revIDLastSave="0" documentId="8_{F83C3604-6CD7-414A-8946-629580B196EB}" xr6:coauthVersionLast="47" xr6:coauthVersionMax="47" xr10:uidLastSave="{00000000-0000-0000-0000-000000000000}"/>
  <bookViews>
    <workbookView xWindow="-108" yWindow="-108" windowWidth="22308" windowHeight="13176" xr2:uid="{16B534A8-177C-48CC-8622-F4AE5481FA4D}"/>
  </bookViews>
  <sheets>
    <sheet name="all data" sheetId="1" r:id="rId1"/>
    <sheet name="2  Characterization of key odor" sheetId="2" r:id="rId2"/>
    <sheet name="5  Key Aroma Compounds and Arom" sheetId="4" r:id="rId3"/>
    <sheet name="2  Decoding the Molecular Mecha" sheetId="5" r:id="rId4"/>
    <sheet name="2  Volatilomics and Lipidomics " sheetId="6" r:id="rId5"/>
    <sheet name="5  Impact of Pulsed Electric Fi" sheetId="7" r:id="rId6"/>
    <sheet name="8 Flavoromic Exploration of Reg" sheetId="8" r:id="rId7"/>
    <sheet name="3  Characterization of the diff" sheetId="9" r:id="rId8"/>
    <sheet name="3  Unraveling variation on the " sheetId="10" r:id="rId9"/>
    <sheet name="10  Aroma characterization and " sheetId="11" r:id="rId10"/>
    <sheet name="8  Exploration of key aroma act" sheetId="12" r:id="rId11"/>
    <sheet name="3  Investigation on the key fac" sheetId="13" r:id="rId12"/>
    <sheet name="Sheet9" sheetId="1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" i="2" l="1"/>
  <c r="AD3" i="2"/>
  <c r="AC4" i="2"/>
  <c r="AD4" i="2"/>
  <c r="AC5" i="2"/>
  <c r="AD5" i="2"/>
  <c r="AC6" i="2"/>
  <c r="AD6" i="2"/>
  <c r="AC7" i="2"/>
  <c r="AD7" i="2"/>
  <c r="AC8" i="2"/>
  <c r="AD8" i="2"/>
  <c r="AC9" i="2"/>
  <c r="AD9" i="2"/>
  <c r="AC10" i="2"/>
  <c r="AD10" i="2"/>
  <c r="AC11" i="2"/>
  <c r="AD11" i="2"/>
  <c r="AC12" i="2"/>
  <c r="AD12" i="2"/>
  <c r="AC13" i="2"/>
  <c r="AD13" i="2"/>
  <c r="AC14" i="2"/>
  <c r="AD14" i="2"/>
  <c r="AC15" i="2"/>
  <c r="AD15" i="2"/>
  <c r="AC16" i="2"/>
  <c r="AD16" i="2"/>
  <c r="AC17" i="2"/>
  <c r="AD17" i="2"/>
  <c r="AC18" i="2"/>
  <c r="AD18" i="2"/>
  <c r="AC19" i="2"/>
  <c r="AD19" i="2"/>
  <c r="AC20" i="2"/>
  <c r="AD20" i="2"/>
  <c r="AC21" i="2"/>
  <c r="AD21" i="2"/>
  <c r="AC22" i="2"/>
  <c r="AD22" i="2"/>
  <c r="AC23" i="2"/>
  <c r="AD23" i="2"/>
  <c r="AC24" i="2"/>
  <c r="AD24" i="2"/>
  <c r="AC25" i="2"/>
  <c r="AD25" i="2"/>
  <c r="AC26" i="2"/>
  <c r="AD26" i="2"/>
  <c r="AC27" i="2"/>
  <c r="AD27" i="2"/>
  <c r="AC28" i="2"/>
  <c r="AD28" i="2"/>
  <c r="AC29" i="2"/>
  <c r="AD29" i="2"/>
  <c r="AC30" i="2"/>
  <c r="AD30" i="2"/>
  <c r="AC31" i="2"/>
  <c r="AD31" i="2"/>
  <c r="AC32" i="2"/>
  <c r="AD32" i="2"/>
  <c r="AC33" i="2"/>
  <c r="AD33" i="2"/>
  <c r="AC34" i="2"/>
  <c r="AD34" i="2"/>
  <c r="AC35" i="2"/>
  <c r="AD35" i="2"/>
  <c r="AC36" i="2"/>
  <c r="AD36" i="2"/>
  <c r="AC37" i="2"/>
  <c r="AD37" i="2"/>
  <c r="AC38" i="2"/>
  <c r="AD38" i="2"/>
  <c r="AC39" i="2"/>
  <c r="AD39" i="2"/>
  <c r="AC40" i="2"/>
  <c r="AD40" i="2"/>
  <c r="AC41" i="2"/>
  <c r="AD41" i="2"/>
  <c r="AC42" i="2"/>
  <c r="AD42" i="2"/>
  <c r="AC43" i="2"/>
  <c r="AD43" i="2"/>
  <c r="AC44" i="2"/>
  <c r="AD44" i="2"/>
  <c r="AC45" i="2"/>
  <c r="AD45" i="2"/>
  <c r="AC46" i="2"/>
  <c r="AD46" i="2"/>
  <c r="AC47" i="2"/>
  <c r="AD47" i="2"/>
  <c r="AC48" i="2"/>
  <c r="AD48" i="2"/>
  <c r="AC49" i="2"/>
  <c r="AD49" i="2"/>
  <c r="AC50" i="2"/>
  <c r="AD50" i="2"/>
  <c r="AC51" i="2"/>
  <c r="AD51" i="2"/>
  <c r="AC52" i="2"/>
  <c r="AD52" i="2"/>
  <c r="AC53" i="2"/>
  <c r="AD53" i="2"/>
  <c r="AC54" i="2"/>
  <c r="AD54" i="2"/>
  <c r="AC55" i="2"/>
  <c r="AD55" i="2"/>
  <c r="AC56" i="2"/>
  <c r="AD56" i="2"/>
  <c r="AC57" i="2"/>
  <c r="AD57" i="2"/>
  <c r="AC58" i="2"/>
  <c r="AD58" i="2"/>
  <c r="AC59" i="2"/>
  <c r="AD59" i="2"/>
  <c r="AC60" i="2"/>
  <c r="AD60" i="2"/>
  <c r="AC61" i="2"/>
  <c r="AD61" i="2"/>
  <c r="AC62" i="2"/>
  <c r="AD62" i="2"/>
  <c r="AC63" i="2"/>
  <c r="AD63" i="2"/>
  <c r="AC64" i="2"/>
  <c r="AD64" i="2"/>
  <c r="AD2" i="2"/>
  <c r="AC2" i="2"/>
</calcChain>
</file>

<file path=xl/sharedStrings.xml><?xml version="1.0" encoding="utf-8"?>
<sst xmlns="http://schemas.openxmlformats.org/spreadsheetml/2006/main" count="4135" uniqueCount="2515">
  <si>
    <t>SMILES</t>
  </si>
  <si>
    <t>Odorants</t>
    <phoneticPr fontId="2" type="noConversion"/>
  </si>
  <si>
    <t>CAS</t>
    <phoneticPr fontId="2" type="noConversion"/>
  </si>
  <si>
    <t>Order ID</t>
    <phoneticPr fontId="2" type="noConversion"/>
  </si>
  <si>
    <t>Threshold</t>
    <phoneticPr fontId="2" type="noConversion"/>
  </si>
  <si>
    <t>No.</t>
  </si>
  <si>
    <t>Compounds</t>
  </si>
  <si>
    <t>ethyl hexanoate</t>
  </si>
  <si>
    <t>7,606,936 ± 17,161</t>
  </si>
  <si>
    <t>ethyl butanoate</t>
  </si>
  <si>
    <t>ethyl pentanoate</t>
  </si>
  <si>
    <t>ethyl octanoate</t>
  </si>
  <si>
    <t>dimethyl trisulfide</t>
  </si>
  <si>
    <t>187 ± 12</t>
  </si>
  <si>
    <t>hexanoic acid</t>
  </si>
  <si>
    <t>1,126,596 ± 34,264</t>
  </si>
  <si>
    <t>butyric acid</t>
  </si>
  <si>
    <t>295,816 ± 40,762</t>
  </si>
  <si>
    <t>ethyl isovalerate</t>
  </si>
  <si>
    <t>1847 ± 4</t>
  </si>
  <si>
    <t>ethyl 4-methylpentanoate</t>
  </si>
  <si>
    <t>932 ± 20</t>
  </si>
  <si>
    <t>pentanoic acid</t>
  </si>
  <si>
    <t>ethyl acetate</t>
  </si>
  <si>
    <t>1,772,911 ± 17,586</t>
  </si>
  <si>
    <t>1-butanol</t>
  </si>
  <si>
    <t>3-(methylthio)propanal</t>
  </si>
  <si>
    <t>369 ± 31</t>
  </si>
  <si>
    <t>-</t>
  </si>
  <si>
    <t>ethyl 2-methylbutanoate</t>
  </si>
  <si>
    <t>863 ± 21</t>
  </si>
  <si>
    <t>p-cresol</t>
  </si>
  <si>
    <t>3271 ± 201</t>
  </si>
  <si>
    <t>hexyl hexanoate</t>
  </si>
  <si>
    <t>28,416 ± 794</t>
  </si>
  <si>
    <t>ethyl 3-phenylpropionate</t>
  </si>
  <si>
    <t>isovaleric acid</t>
  </si>
  <si>
    <t>2-methylpropionic acid</t>
  </si>
  <si>
    <t>octanoic acid</t>
  </si>
  <si>
    <t>phenylacetaldehyde</t>
  </si>
  <si>
    <t>acetic acid</t>
  </si>
  <si>
    <t>phenethyl acetate</t>
  </si>
  <si>
    <t>ethyl heptanoate</t>
  </si>
  <si>
    <t>1-octanol</t>
  </si>
  <si>
    <t>heptanoic acid</t>
  </si>
  <si>
    <t>130 ± 8</t>
  </si>
  <si>
    <t>4-methyl guaiacol</t>
  </si>
  <si>
    <t>425 ± 23</t>
  </si>
  <si>
    <t>374 ± 38</t>
  </si>
  <si>
    <t>propionic acid</t>
  </si>
  <si>
    <t>13,666 ± 156</t>
  </si>
  <si>
    <t>ethyl caprate</t>
  </si>
  <si>
    <t>839 ± 22</t>
  </si>
  <si>
    <t>propyl hexanoate</t>
  </si>
  <si>
    <t>3-methyl-1-butanol</t>
  </si>
  <si>
    <t>84,178 ± 144</t>
  </si>
  <si>
    <t>ethyl benzoate</t>
  </si>
  <si>
    <t>ethyl phenylacetate</t>
  </si>
  <si>
    <t>isobutyl hexanoate</t>
  </si>
  <si>
    <t>phenethyl alcohol</t>
  </si>
  <si>
    <t>146 ± 4</t>
  </si>
  <si>
    <t>5859 ± 91</t>
  </si>
  <si>
    <t>439 ± 28</t>
  </si>
  <si>
    <t>473 ± 16</t>
  </si>
  <si>
    <t>142,068 ± 324</t>
  </si>
  <si>
    <t>166 ± 9</t>
  </si>
  <si>
    <t>1715 ± 76</t>
  </si>
  <si>
    <t>1342 ± 49</t>
  </si>
  <si>
    <t>415 ± 75</t>
  </si>
  <si>
    <t>no.</t>
  </si>
  <si>
    <t>flavor components</t>
  </si>
  <si>
    <t>CAS</t>
  </si>
  <si>
    <t>Y1</t>
  </si>
  <si>
    <t>Y3</t>
  </si>
  <si>
    <t>Y5</t>
  </si>
  <si>
    <t>Y8</t>
  </si>
  <si>
    <t>Y11</t>
  </si>
  <si>
    <t>123–66–0</t>
  </si>
  <si>
    <t>5320.56 ± 47.54b</t>
  </si>
  <si>
    <t>972.62 ± 17.26d</t>
  </si>
  <si>
    <t>1104.58 ± 26.46c</t>
  </si>
  <si>
    <t>6009.12 ± 29.01a</t>
  </si>
  <si>
    <t>918.62 ± 3.73t</t>
  </si>
  <si>
    <t>108–64–5</t>
  </si>
  <si>
    <t>5.98 ± 1.16b</t>
  </si>
  <si>
    <t>10.69 ± 9.76b</t>
  </si>
  <si>
    <t>3842.22 ± 38.71a</t>
  </si>
  <si>
    <t>23.36 ± 23.79b</t>
  </si>
  <si>
    <t>13.13 ± 1.98b</t>
  </si>
  <si>
    <t>105–54–4</t>
  </si>
  <si>
    <t>695.74 ± 32.93b</t>
  </si>
  <si>
    <t>145.7 ± 7.17d</t>
  </si>
  <si>
    <t>245.25 ± 28.18c</t>
  </si>
  <si>
    <t>1202.85 ± 12.77a</t>
  </si>
  <si>
    <t>262.58 ± 23.1t</t>
  </si>
  <si>
    <t>141–78–6</t>
  </si>
  <si>
    <t>1173.18 ± 11.17a</t>
  </si>
  <si>
    <t>484.16 ± 9.79d</t>
  </si>
  <si>
    <t>577.21 ± 21.11c</t>
  </si>
  <si>
    <t>1054.47 ± 6.18b</t>
  </si>
  <si>
    <t>129.49 ± 39.21t</t>
  </si>
  <si>
    <t>ethyl caprylate</t>
  </si>
  <si>
    <t>106–32–1</t>
  </si>
  <si>
    <t>149.27 ± 48.98b</t>
  </si>
  <si>
    <t>86.76 ± 46.87c</t>
  </si>
  <si>
    <t>136.05 ± 10.32bc</t>
  </si>
  <si>
    <t>572.73 ± 9.76a</t>
  </si>
  <si>
    <t>71.71 ± 4.03d</t>
  </si>
  <si>
    <t>ethyl valerate</t>
  </si>
  <si>
    <t>539–82–2</t>
  </si>
  <si>
    <t>439.66 ± 37.62a</t>
  </si>
  <si>
    <t>114.58 ± 20.85c</t>
  </si>
  <si>
    <t>80.4 ± 9.8c</t>
  </si>
  <si>
    <t>393.75 ± 7.58b</t>
  </si>
  <si>
    <t>82.3 ± 13.85c</t>
  </si>
  <si>
    <t>106–30–9</t>
  </si>
  <si>
    <t>162.42 ± 45.17b</t>
  </si>
  <si>
    <t>67.59 ± 33.79 cd</t>
  </si>
  <si>
    <t>92.79 ± 9.34c</t>
  </si>
  <si>
    <t>359.81 ± 7.06a</t>
  </si>
  <si>
    <t>41.72 ± 1.08d</t>
  </si>
  <si>
    <t>ethyl lactate</t>
  </si>
  <si>
    <t>97–64–3</t>
  </si>
  <si>
    <t>301.95 ± 1.65a</t>
  </si>
  <si>
    <t>5.42 ± 4.5d</t>
  </si>
  <si>
    <t>58.95 ± 5.35c</t>
  </si>
  <si>
    <t>107.81 ± 6.38b</t>
  </si>
  <si>
    <t>17.43 ± 25.84t</t>
  </si>
  <si>
    <t>ethyl myristate</t>
  </si>
  <si>
    <t>124–06–1</t>
  </si>
  <si>
    <t>7.1 ± 2.94bc</t>
  </si>
  <si>
    <t>143.35 ± 3.36a</t>
  </si>
  <si>
    <t>3.35 ± 1.42bc</t>
  </si>
  <si>
    <t>7.4 ± 5.64b</t>
  </si>
  <si>
    <t>0.9 ± 0.05c</t>
  </si>
  <si>
    <t>ethyl 2-hydroxy-4-methyl valerate</t>
  </si>
  <si>
    <t>10348–47–7</t>
  </si>
  <si>
    <t>5.7 ± 2.58b</t>
  </si>
  <si>
    <t>125.39 ± 1.28a</t>
  </si>
  <si>
    <t>4.25 ± 0.71b</t>
  </si>
  <si>
    <t>13.66 ± 12.7b</t>
  </si>
  <si>
    <t>3.55 ± 0.03b</t>
  </si>
  <si>
    <t>ethyl 4-methyl valerate</t>
  </si>
  <si>
    <t>25415–67–2</t>
  </si>
  <si>
    <t>8.56 ± 4.7b</t>
  </si>
  <si>
    <t>124.14 ± 2.91a</t>
  </si>
  <si>
    <t>7.47 ± 1.37b</t>
  </si>
  <si>
    <t>11.92 ± 11.11b</t>
  </si>
  <si>
    <t>3.11 ± 0.03b</t>
  </si>
  <si>
    <t>octyl octanoate</t>
  </si>
  <si>
    <t>2306–88–9</t>
  </si>
  <si>
    <t>ND</t>
  </si>
  <si>
    <t>120.81 ± 1.77a</t>
  </si>
  <si>
    <t>1.44 ± 0.17b</t>
  </si>
  <si>
    <t>2.34 ± 2.16b</t>
  </si>
  <si>
    <t>ethyl pentadecanoate</t>
  </si>
  <si>
    <t>41114–00–5</t>
  </si>
  <si>
    <t>0.81 ± 0.03b</t>
  </si>
  <si>
    <t>120.73 ± 0.36a</t>
  </si>
  <si>
    <t>0.52 ± 0.05bc</t>
  </si>
  <si>
    <t>0.29 ± 0.02c</t>
  </si>
  <si>
    <t>ethyl nonanoate</t>
  </si>
  <si>
    <t>123–29–5</t>
  </si>
  <si>
    <t>112.1 ± 0.71a</t>
  </si>
  <si>
    <t>6.56 ± 0.4b</t>
  </si>
  <si>
    <t>2.26 ± 0.05c</t>
  </si>
  <si>
    <t>1.34 ± 0.05d</t>
  </si>
  <si>
    <t>3-methylbutyl hexanoate</t>
  </si>
  <si>
    <t>2198–61–0</t>
  </si>
  <si>
    <t>16.37 ± 9.56b</t>
  </si>
  <si>
    <t>104.74 ± 0.16a</t>
  </si>
  <si>
    <t>16.43 ± 1.19b</t>
  </si>
  <si>
    <t>34.11 ± 36.97b</t>
  </si>
  <si>
    <t>14.8 ± 0.87b</t>
  </si>
  <si>
    <t>ethyl linoleate</t>
  </si>
  <si>
    <t>544–35–4</t>
  </si>
  <si>
    <t>7.82 ± 2.76b</t>
  </si>
  <si>
    <t>103.61 ± 2.15a</t>
  </si>
  <si>
    <t>3.51 ± 1.82c</t>
  </si>
  <si>
    <t>2.03 ± 0.83c</t>
  </si>
  <si>
    <t>1.48 ± 1.38c</t>
  </si>
  <si>
    <t>carpoic acid propyl ester</t>
  </si>
  <si>
    <t>626–77–7</t>
  </si>
  <si>
    <t>4.67 ± 1.95bc</t>
  </si>
  <si>
    <t>101.73 ± 2.56a</t>
  </si>
  <si>
    <t>4.66 ± 0.75bc</t>
  </si>
  <si>
    <t>8.35 ± 4.84b</t>
  </si>
  <si>
    <t>1.35 ± 0.19c</t>
  </si>
  <si>
    <t>methyl hexanoate</t>
  </si>
  <si>
    <t>106–70–7</t>
  </si>
  <si>
    <t>4.49 ± 0b</t>
  </si>
  <si>
    <t>96.79 ± 0.08a</t>
  </si>
  <si>
    <t>0.88 ± 0.05e</t>
  </si>
  <si>
    <t>1.14 ± 0.03d</t>
  </si>
  <si>
    <t>1.81 ± 0.19c</t>
  </si>
  <si>
    <t>pentyl hexanoate</t>
  </si>
  <si>
    <t>540–07–8</t>
  </si>
  <si>
    <t>94.42 ± 2.98a</t>
  </si>
  <si>
    <t>3.48 ± 0.24b</t>
  </si>
  <si>
    <t>6378–65–0</t>
  </si>
  <si>
    <t>40.12 ± 24.28a</t>
  </si>
  <si>
    <t>54.57 ± 37.62a</t>
  </si>
  <si>
    <t>39.16 ± 5.36a</t>
  </si>
  <si>
    <t>58.38 ± 55.01a</t>
  </si>
  <si>
    <t>15.05 ± 1.57a</t>
  </si>
  <si>
    <t>ethyl hexadecanoate</t>
  </si>
  <si>
    <t>628–97–7</t>
  </si>
  <si>
    <t>41.84 ± 10.73ab</t>
  </si>
  <si>
    <t>47.81 ± 32.42a</t>
  </si>
  <si>
    <t>14.02 ± 4.33ab</t>
  </si>
  <si>
    <t>34.52 ± 32.12ab</t>
  </si>
  <si>
    <t>3.56 ± 2.54b</t>
  </si>
  <si>
    <t>butyl hexanoate</t>
  </si>
  <si>
    <t>626–82–4</t>
  </si>
  <si>
    <t>36.04 ± 21.36a</t>
  </si>
  <si>
    <t>45.49 ± 38.46a</t>
  </si>
  <si>
    <t>31.18 ± 6.24a</t>
  </si>
  <si>
    <t>47.71 ± 45.08a</t>
  </si>
  <si>
    <t>11.06 ± 0.48a</t>
  </si>
  <si>
    <t>105–79–3</t>
  </si>
  <si>
    <t>29.32 ± 48.04a</t>
  </si>
  <si>
    <t>3.05 ± 0.07a</t>
  </si>
  <si>
    <t>9.96 ± 5.96a</t>
  </si>
  <si>
    <t>2.93 ± 0.12a</t>
  </si>
  <si>
    <t>ethyl oleate</t>
  </si>
  <si>
    <t>111–62–6</t>
  </si>
  <si>
    <t>7.22 ± 2.55a</t>
  </si>
  <si>
    <t>26.62 ± 40a</t>
  </si>
  <si>
    <t>5.99 ± 1.4a</t>
  </si>
  <si>
    <t>5.52 ± 4.17a</t>
  </si>
  <si>
    <t>1.77 ± 1.19a</t>
  </si>
  <si>
    <t>ethyl 3-hydroxybutyrate</t>
  </si>
  <si>
    <t>5405–41–4</t>
  </si>
  <si>
    <t>7.35 ± 10.82a</t>
  </si>
  <si>
    <t>21.1 ± 16.8a</t>
  </si>
  <si>
    <t>1.44 ± 0.08a</t>
  </si>
  <si>
    <t>pentyl acetate</t>
  </si>
  <si>
    <t>628–63–7</t>
  </si>
  <si>
    <t>3.6 ± 1.99b</t>
  </si>
  <si>
    <t>0.15 ± 0.02c</t>
  </si>
  <si>
    <t>20.24 ± 0.14a</t>
  </si>
  <si>
    <t>ethyl decanoate</t>
  </si>
  <si>
    <t>110–38–3</t>
  </si>
  <si>
    <t>10.44 ± 4.82a</t>
  </si>
  <si>
    <t>14.36 ± 13.56a</t>
  </si>
  <si>
    <t>9.38 ± 1.67a</t>
  </si>
  <si>
    <t>19.31 ± 19.49a</t>
  </si>
  <si>
    <t>7.47 ± 0.16a</t>
  </si>
  <si>
    <t>butyl lactate</t>
  </si>
  <si>
    <t>138–22–7</t>
  </si>
  <si>
    <t>18.03 ± 14.78</t>
  </si>
  <si>
    <t>ethyl laurate</t>
  </si>
  <si>
    <t>106–33–2</t>
  </si>
  <si>
    <t>14.42 ± 18.54a</t>
  </si>
  <si>
    <t>2.42 ± 0.74a</t>
  </si>
  <si>
    <t>4.79 ± 4.53a</t>
  </si>
  <si>
    <t>1.63 ± 0.55a</t>
  </si>
  <si>
    <t>isopropyl hexanoate</t>
  </si>
  <si>
    <t>2311–46–8</t>
  </si>
  <si>
    <t>9.48 ± 0.34</t>
  </si>
  <si>
    <t>butyl butanoate</t>
  </si>
  <si>
    <t>109–21–7</t>
  </si>
  <si>
    <t>3.79 ± 1.48a</t>
  </si>
  <si>
    <t>9.03 ± 12.79a</t>
  </si>
  <si>
    <t>2.35 ± 0.08a</t>
  </si>
  <si>
    <t>7.09 ± 4.46a</t>
  </si>
  <si>
    <t>0.95 ± 0.08a</t>
  </si>
  <si>
    <t>ethyl 3-phenylpropanoate</t>
  </si>
  <si>
    <t>2021–28–5</t>
  </si>
  <si>
    <t>4.43 ± 1.73a</t>
  </si>
  <si>
    <t>6.93 ± 5.98a</t>
  </si>
  <si>
    <t>4.21 ± 1.04a</t>
  </si>
  <si>
    <t>6.6 ± 5.27a</t>
  </si>
  <si>
    <t>2.72 ± 0.12a</t>
  </si>
  <si>
    <t>101–97–3</t>
  </si>
  <si>
    <t>6.62 ± 3.22a</t>
  </si>
  <si>
    <t>5.24 ± 6.55a</t>
  </si>
  <si>
    <t>1.9 ± 0.22a</t>
  </si>
  <si>
    <t>3.05 ± 2.92a</t>
  </si>
  <si>
    <t>2.52 ± 0.02a</t>
  </si>
  <si>
    <t>methyl 4-methylpentanoate</t>
  </si>
  <si>
    <t>2412–80–8</t>
  </si>
  <si>
    <t>2.44 ± 1.43a</t>
  </si>
  <si>
    <t>1.22 ± 0.61a</t>
  </si>
  <si>
    <t>1.75 ± 0.02a</t>
  </si>
  <si>
    <t>6.14 ± 3.51a</t>
  </si>
  <si>
    <t>octyl formate</t>
  </si>
  <si>
    <t>112–32–3</t>
  </si>
  <si>
    <t>2.12 ± 0.67a</t>
  </si>
  <si>
    <t>6.08 ± 5.75a</t>
  </si>
  <si>
    <t>1.97 ± 0.04a</t>
  </si>
  <si>
    <t>isoamyl acetate</t>
  </si>
  <si>
    <t>123–92–2</t>
  </si>
  <si>
    <t>5.9 ± 4.7a</t>
  </si>
  <si>
    <t>2.27 ± 0.74a</t>
  </si>
  <si>
    <t>heptyl hexanoate</t>
  </si>
  <si>
    <t>6976–72–3</t>
  </si>
  <si>
    <t>1.93 ± 0.56b</t>
  </si>
  <si>
    <t>4.64 ± 0.03a</t>
  </si>
  <si>
    <t>9-hexadecenoic acid, ethyl ester</t>
  </si>
  <si>
    <t>54546–22–4</t>
  </si>
  <si>
    <t>3.85 ± 1.57a</t>
  </si>
  <si>
    <t>0.34 ± 0.02b</t>
  </si>
  <si>
    <t>prop-2-enyl 2-ethyl butanoate</t>
  </si>
  <si>
    <t>7493–69–8</t>
  </si>
  <si>
    <t>2.78 ± 4.33a</t>
  </si>
  <si>
    <t>0.88 ± 0.16a</t>
  </si>
  <si>
    <t>1.99 ± 0.74a</t>
  </si>
  <si>
    <t>0.77 ± 0.28a</t>
  </si>
  <si>
    <t>heptyl formate</t>
  </si>
  <si>
    <t>112–23–2</t>
  </si>
  <si>
    <t>2.55 ± 0.02a</t>
  </si>
  <si>
    <t>2.16 ± 0.03b</t>
  </si>
  <si>
    <t>ethyl pyruvate</t>
  </si>
  <si>
    <t>617–35–6</t>
  </si>
  <si>
    <t>2.19 ± 0.03</t>
  </si>
  <si>
    <t>elastic acid ethyl ester</t>
  </si>
  <si>
    <t>6114–18–7</t>
  </si>
  <si>
    <t>1.76 ± 0.02a</t>
  </si>
  <si>
    <t>0.23 ± 0.06b</t>
  </si>
  <si>
    <t>hexyl octanoate</t>
  </si>
  <si>
    <t>1117–55–1</t>
  </si>
  <si>
    <t>1.64 ± 0.04</t>
  </si>
  <si>
    <t>ethyl stearate</t>
  </si>
  <si>
    <t>111–61–5</t>
  </si>
  <si>
    <t>1.26 ± 0.03</t>
  </si>
  <si>
    <t>pentyl butyrate</t>
  </si>
  <si>
    <t>540–18–1</t>
  </si>
  <si>
    <t>0.05 ± 0.02b</t>
  </si>
  <si>
    <t>0.85 ± 0.03a</t>
  </si>
  <si>
    <t>93–89–0</t>
  </si>
  <si>
    <t>0.18 ± 0.03b</t>
  </si>
  <si>
    <t>0.74 ± 0.12a</t>
  </si>
  <si>
    <t>ethylidene diacetate</t>
  </si>
  <si>
    <t>542–10–9</t>
  </si>
  <si>
    <t>0.73 ± 0.01</t>
  </si>
  <si>
    <t>butyl formate</t>
  </si>
  <si>
    <t>592–84–7</t>
  </si>
  <si>
    <t>0.63 ± 0.02a</t>
  </si>
  <si>
    <t>0.12 ± 0.01b</t>
  </si>
  <si>
    <t>2-methylpentyl acetate</t>
  </si>
  <si>
    <t>7789–99–3</t>
  </si>
  <si>
    <t>0.25 ± 0.04</t>
  </si>
  <si>
    <t>2-pentyl butyrate</t>
  </si>
  <si>
    <t>60415–61–4</t>
  </si>
  <si>
    <t>0.25 ± 0.05</t>
  </si>
  <si>
    <t>furfuryl hexanoate</t>
  </si>
  <si>
    <t>39252–02–3</t>
  </si>
  <si>
    <t>0.1 ± 0.02</t>
  </si>
  <si>
    <t>geranyl isovalerate</t>
  </si>
  <si>
    <t>109–20–6</t>
  </si>
  <si>
    <t>0.08 ± 0</t>
  </si>
  <si>
    <t>isobutyl acetoacetate</t>
  </si>
  <si>
    <t>7779–75–1</t>
  </si>
  <si>
    <t>0.04 ± 0</t>
  </si>
  <si>
    <t>sum</t>
  </si>
  <si>
    <t>8475.4 ± 241.2b</t>
  </si>
  <si>
    <t>3429.46 ± 388.33d</t>
  </si>
  <si>
    <t>6312.37 ± 105.66c</t>
  </si>
  <si>
    <t>10075.69 ± 314.85a</t>
  </si>
  <si>
    <t>1624.52 ± 20.89e</t>
  </si>
  <si>
    <t>alcohols</t>
  </si>
  <si>
    <t>acetal</t>
  </si>
  <si>
    <t>105–57–7</t>
  </si>
  <si>
    <t>212.95 ± 8.66e</t>
  </si>
  <si>
    <t>472.55 ± 4.92c</t>
  </si>
  <si>
    <t>676.65 ± 0.74b</t>
  </si>
  <si>
    <t>2745.25 ± 42.33a</t>
  </si>
  <si>
    <t>428.66 ± 5.63d</t>
  </si>
  <si>
    <t>pentanol</t>
  </si>
  <si>
    <t>71-41-0</t>
  </si>
  <si>
    <t>260.98 ± 13.76</t>
  </si>
  <si>
    <t>60.74 ± 31.92c</t>
  </si>
  <si>
    <t>57.23 ± 7.01c</t>
  </si>
  <si>
    <t>496.64 ± 1.95a</t>
  </si>
  <si>
    <t>1.67 ± 1.47d</t>
  </si>
  <si>
    <t>butanol</t>
  </si>
  <si>
    <t>71-36-3</t>
  </si>
  <si>
    <t>245.12 ± 20.77a</t>
  </si>
  <si>
    <t>48.88 ± 26.51b</t>
  </si>
  <si>
    <t>34.69 ± 4.9b</t>
  </si>
  <si>
    <t>256.5 ± 37.57a</t>
  </si>
  <si>
    <t>16.97 ± 0.09b</t>
  </si>
  <si>
    <t>111-27-3</t>
  </si>
  <si>
    <t>213.01 ± 34.84b</t>
  </si>
  <si>
    <t>45.58 ± 22.71c</t>
  </si>
  <si>
    <t>37.5 ± 2.62c</t>
  </si>
  <si>
    <t>245.76 ± 17.69a</t>
  </si>
  <si>
    <t>21.15 ± 20.72c</t>
  </si>
  <si>
    <t>66-13-6</t>
  </si>
  <si>
    <t>141.28 ± 1.31a</t>
  </si>
  <si>
    <t>1.89 ± 0.89b</t>
  </si>
  <si>
    <t>4.1 ± 3.87b</t>
  </si>
  <si>
    <t>1.46 ± 0.63b</t>
  </si>
  <si>
    <t>isobutanol</t>
  </si>
  <si>
    <t>78-83-1</t>
  </si>
  <si>
    <t>27.66 ± 15.37b</t>
  </si>
  <si>
    <t>11.36 ± 6.21c</t>
  </si>
  <si>
    <t>11.55 ± 1.15c</t>
  </si>
  <si>
    <t>121.33 ± 3.92a</t>
  </si>
  <si>
    <t>8.45 ± 6.81c</t>
  </si>
  <si>
    <t>123-51-3</t>
  </si>
  <si>
    <t>3.73 ± 0.05a</t>
  </si>
  <si>
    <t>0.59 ± 0.13a</t>
  </si>
  <si>
    <t>31.74 ± 52.24a</t>
  </si>
  <si>
    <t>34.52 ± 23.24a</t>
  </si>
  <si>
    <t>1-octanol-3-d</t>
  </si>
  <si>
    <t>3391-86-4</t>
  </si>
  <si>
    <t>13.43 ± 0.29</t>
  </si>
  <si>
    <t>3-methyl-2-butanol</t>
  </si>
  <si>
    <t>598-75-4</t>
  </si>
  <si>
    <t>5.82 ± 3.03a</t>
  </si>
  <si>
    <t>1.78 ± 0.79a</t>
  </si>
  <si>
    <t>2 ± 0.4a</t>
  </si>
  <si>
    <t>8.43 ± 8.61a</t>
  </si>
  <si>
    <t>3.39 ± 2.94a</t>
  </si>
  <si>
    <t>propylene glycol</t>
  </si>
  <si>
    <t>57-55-6</t>
  </si>
  <si>
    <t>6.06 ± 3.87a</t>
  </si>
  <si>
    <t>2.96 ± 0.02a</t>
  </si>
  <si>
    <t>2-butanol</t>
  </si>
  <si>
    <t>78-92-2</t>
  </si>
  <si>
    <t>5.82 ± 0.06a</t>
  </si>
  <si>
    <t>1.61 ± 0.02b</t>
  </si>
  <si>
    <t>1,2-benzachol</t>
  </si>
  <si>
    <t>6920-72-5</t>
  </si>
  <si>
    <t>N/D</t>
  </si>
  <si>
    <t>2.56 ± 0.03</t>
  </si>
  <si>
    <t>caclol</t>
  </si>
  <si>
    <t>77-53-2</t>
  </si>
  <si>
    <t>2.45 ± 0.1a</t>
  </si>
  <si>
    <t>0.47 ± 0.29b</t>
  </si>
  <si>
    <t>0.26 ± 0.02b</t>
  </si>
  <si>
    <t>butane-2,3-diol</t>
  </si>
  <si>
    <t>513-85-9</t>
  </si>
  <si>
    <t>2.32 ± 0.05a</t>
  </si>
  <si>
    <t>2.19 ± 1.62a</t>
  </si>
  <si>
    <t>1.25 ± 0.39a</t>
  </si>
  <si>
    <t>1.27 ± 0.02a</t>
  </si>
  <si>
    <t>2.34 ± 2.29a</t>
  </si>
  <si>
    <t>(-)-α-terpineol</t>
  </si>
  <si>
    <t>10482-56-1</t>
  </si>
  <si>
    <t>0.94 ± 0.02</t>
  </si>
  <si>
    <t>2-heptanol</t>
  </si>
  <si>
    <t>545-49-7</t>
  </si>
  <si>
    <t>0.74 ± 0.41a</t>
  </si>
  <si>
    <t>0.11 ± 0.01a</t>
  </si>
  <si>
    <t>0.87 ± 0.7a</t>
  </si>
  <si>
    <t>0.13 ± 0.01a</t>
  </si>
  <si>
    <t>linalool</t>
  </si>
  <si>
    <t>78-70-6</t>
  </si>
  <si>
    <t>0.61 ± 0.03</t>
  </si>
  <si>
    <t>(E)-2-undecan-1-al</t>
  </si>
  <si>
    <t>75039-84-8</t>
  </si>
  <si>
    <t>0.42 ± 0.03</t>
  </si>
  <si>
    <t>111-87-5</t>
  </si>
  <si>
    <t>0.4 ± 0.04</t>
  </si>
  <si>
    <t>1-dodecanol</t>
  </si>
  <si>
    <t>112-54-8</t>
  </si>
  <si>
    <t>0.22 ± 0.01</t>
  </si>
  <si>
    <t>1-nonanol</t>
  </si>
  <si>
    <t>143-08-8</t>
  </si>
  <si>
    <t>0.16 ± 0.01</t>
  </si>
  <si>
    <t>2-hexanol</t>
  </si>
  <si>
    <t>626-93-7</t>
  </si>
  <si>
    <t>0.15 ± 0.02a</t>
  </si>
  <si>
    <t>0.14 ± 0.02a</t>
  </si>
  <si>
    <t>(S)-(–)-2-methylbutanol</t>
  </si>
  <si>
    <t>1565-80-6</t>
  </si>
  <si>
    <t>0.14 ± 0.01</t>
  </si>
  <si>
    <t>2-hexyl-1-decanol</t>
  </si>
  <si>
    <t>2425-77-6</t>
  </si>
  <si>
    <t>0.13 ± 0.03</t>
  </si>
  <si>
    <t>2-nonanol</t>
  </si>
  <si>
    <t>628-99-9</t>
  </si>
  <si>
    <t>0.1 ± 0.01</t>
  </si>
  <si>
    <t>911.65 ± 70.53b</t>
  </si>
  <si>
    <t>788.2 ± 86.56c</t>
  </si>
  <si>
    <t>824.46 ± 15.89bc</t>
  </si>
  <si>
    <t>391.41 ± 51.4a</t>
  </si>
  <si>
    <t>537.09 ± 48.68d</t>
  </si>
  <si>
    <t>acid</t>
  </si>
  <si>
    <t>142-62-1</t>
  </si>
  <si>
    <t>160.03 ± 35.47b</t>
  </si>
  <si>
    <t>85.13 ± 13.98c</t>
  </si>
  <si>
    <t>96.7 ± 22.62c</t>
  </si>
  <si>
    <t>572.44 ± 23.32a</t>
  </si>
  <si>
    <t>50.31 ± 43.11c</t>
  </si>
  <si>
    <t>formic acid</t>
  </si>
  <si>
    <t>64-18-6</t>
  </si>
  <si>
    <t>59.4 ± 0.42b</t>
  </si>
  <si>
    <t>48.64 ± 41.95b</t>
  </si>
  <si>
    <t>428.09 ± 1.86a</t>
  </si>
  <si>
    <t>isobutyric acid</t>
  </si>
  <si>
    <t>79-31-2</t>
  </si>
  <si>
    <t>4.17 ± 2.12b</t>
  </si>
  <si>
    <t>14.17 ± 0.69a</t>
  </si>
  <si>
    <t>0.66 ± 0.17b</t>
  </si>
  <si>
    <t>4.13 ± 4.08b</t>
  </si>
  <si>
    <t>0.37 ± 0.02b</t>
  </si>
  <si>
    <t>3-methylbutene acid</t>
  </si>
  <si>
    <t>105-43-1</t>
  </si>
  <si>
    <t>126.52 ± 1.53a</t>
  </si>
  <si>
    <t>1.85 ± 0.54b</t>
  </si>
  <si>
    <t>5.34 ± 3.07b</t>
  </si>
  <si>
    <t>5.58 ± 3.71b</t>
  </si>
  <si>
    <t>109-52-4</t>
  </si>
  <si>
    <t>7.6 ± 3.26b</t>
  </si>
  <si>
    <t>124.88 ± 1.08a</t>
  </si>
  <si>
    <t>3 ± 0.64b</t>
  </si>
  <si>
    <t>8.1 ± 7.15b</t>
  </si>
  <si>
    <t>2.12 ± 1.56b</t>
  </si>
  <si>
    <t>124-07-2</t>
  </si>
  <si>
    <t>114.61 ± 1.18a</t>
  </si>
  <si>
    <t>15.00 ± 7.89bc</t>
  </si>
  <si>
    <t>22.7 ± 2.14b</t>
  </si>
  <si>
    <t>9.45 ± 0.74c</t>
  </si>
  <si>
    <t>111-14-8</t>
  </si>
  <si>
    <t>53.31 ± 42.88a</t>
  </si>
  <si>
    <t>6.1 ± 3.38a</t>
  </si>
  <si>
    <t>4.67 ± 2.01a</t>
  </si>
  <si>
    <t>3.09 ± 0.00a</t>
  </si>
  <si>
    <t>107-92-6</t>
  </si>
  <si>
    <t>4.16 ± 18.57a</t>
  </si>
  <si>
    <t>17.58 ± 3.67ab</t>
  </si>
  <si>
    <t>8.31 ± 1.42b</t>
  </si>
  <si>
    <t>9.4 ± 2.48ab</t>
  </si>
  <si>
    <t>8.06 ± 3.31ab</t>
  </si>
  <si>
    <t>monanoic acid</t>
  </si>
  <si>
    <t>112-05-9</t>
  </si>
  <si>
    <t>20.39 ± 9.65a</t>
  </si>
  <si>
    <t>27.26 ± 6.02a</t>
  </si>
  <si>
    <t>6 ± 0.02a</t>
  </si>
  <si>
    <t>64-19-7</t>
  </si>
  <si>
    <t>9.16 ± 4.02b</t>
  </si>
  <si>
    <t>5.3 ± 0.71bc</t>
  </si>
  <si>
    <t>15.00 ± 1.91a</t>
  </si>
  <si>
    <t>9.66 ± 2.41b</t>
  </si>
  <si>
    <t>3.11 ± 1.66c</t>
  </si>
  <si>
    <t>2-nonsonic acid</t>
  </si>
  <si>
    <t>3760-11-0</t>
  </si>
  <si>
    <t>11.32 ± 0.7a</t>
  </si>
  <si>
    <t>1.16 ± 0.1b</t>
  </si>
  <si>
    <t>1.57 ± 0.12b</t>
  </si>
  <si>
    <t>decanoic acid</t>
  </si>
  <si>
    <t>334-48-5</t>
  </si>
  <si>
    <t>4.09 ± 1.05a</t>
  </si>
  <si>
    <t>5.22 ± 0.05a</t>
  </si>
  <si>
    <t>1.53 ± 0.04b</t>
  </si>
  <si>
    <t>undecanoic acid</t>
  </si>
  <si>
    <t>112-37-8</t>
  </si>
  <si>
    <t>0.82 ± 0.05</t>
  </si>
  <si>
    <t>isocuproic acid</t>
  </si>
  <si>
    <t>646-07-1</t>
  </si>
  <si>
    <t>0.15 ± 0.02</t>
  </si>
  <si>
    <t>293.3 ± 37.11c</t>
  </si>
  <si>
    <t>717.84 ± 101.38b</t>
  </si>
  <si>
    <t>172.4 ± 44.64d</t>
  </si>
  <si>
    <t>112.033 ± 28.73a</t>
  </si>
  <si>
    <t>118.53 ± 38.33d</t>
  </si>
  <si>
    <t>aldehyde</t>
  </si>
  <si>
    <t>furhral</t>
  </si>
  <si>
    <t>22.64 ± 15.45</t>
  </si>
  <si>
    <t>acetaldehyde</t>
  </si>
  <si>
    <t>75-07-0</t>
  </si>
  <si>
    <t>1.65 ± 0.13b</t>
  </si>
  <si>
    <t>1.8 ± 0.82b</t>
  </si>
  <si>
    <t>15.31 ± 0.97a</t>
  </si>
  <si>
    <t>122-78-1</t>
  </si>
  <si>
    <t>3.03 ± 1.72a</t>
  </si>
  <si>
    <t>8.16 ± 5.97a</t>
  </si>
  <si>
    <t>benzaldehyde</t>
  </si>
  <si>
    <t>100-52-7</t>
  </si>
  <si>
    <t>6.38 ± 3.83a</t>
  </si>
  <si>
    <t>1.78 ± 0.1a</t>
  </si>
  <si>
    <t>6.4 ± 4.3a</t>
  </si>
  <si>
    <t>1.52 ± 0.23a</t>
  </si>
  <si>
    <t>dodecanal</t>
  </si>
  <si>
    <t>112-54-9</t>
  </si>
  <si>
    <t>0.25 ± 0.03</t>
  </si>
  <si>
    <t>heptanal</t>
  </si>
  <si>
    <t>111-71-7</t>
  </si>
  <si>
    <t>0.2 ± 0.02</t>
  </si>
  <si>
    <t>4-nadecanohide</t>
  </si>
  <si>
    <t>104-67-6</t>
  </si>
  <si>
    <t>0.16 ± 0.03</t>
  </si>
  <si>
    <t>27.32 ± 17.23a</t>
  </si>
  <si>
    <t>16.49 ± 9.19ab</t>
  </si>
  <si>
    <t>1.78 ± 0.1b</t>
  </si>
  <si>
    <t>21.71 ± 3.59a</t>
  </si>
  <si>
    <t>1.97 ± 0.19b</t>
  </si>
  <si>
    <t>phenols</t>
  </si>
  <si>
    <t>m-cresol</t>
  </si>
  <si>
    <t>108-39-4</t>
  </si>
  <si>
    <t>3.12 ± 0.93b</t>
  </si>
  <si>
    <t>138.28 ± 0.97a</t>
  </si>
  <si>
    <t>0.13 ± 0.03c</t>
  </si>
  <si>
    <t>0.08 ± 0.01c</t>
  </si>
  <si>
    <t>4-hydroxy-3-methoxyglycene</t>
  </si>
  <si>
    <t>7786-61-0</t>
  </si>
  <si>
    <t>6.48 ± 4.04</t>
  </si>
  <si>
    <t>4-ethylphenol</t>
  </si>
  <si>
    <t>123-07-9</t>
  </si>
  <si>
    <t>0.26 ± 0.01c</t>
  </si>
  <si>
    <t>0.36 ± 0.01b</t>
  </si>
  <si>
    <t>0.58 ± 0.01a</t>
  </si>
  <si>
    <t>phenol</t>
  </si>
  <si>
    <t>108-95-2</t>
  </si>
  <si>
    <t>0.08 ± 0.01</t>
  </si>
  <si>
    <t>106-44-5</t>
  </si>
  <si>
    <t>0.54 ± 0.03c</t>
  </si>
  <si>
    <t>0.51 ± 0.01c</t>
  </si>
  <si>
    <t>4.41 ± 0.08a</t>
  </si>
  <si>
    <t>2.2 ± 0.04b</t>
  </si>
  <si>
    <t>3.66 ± 0.96c</t>
  </si>
  <si>
    <t>139.13 ± 0.98a</t>
  </si>
  <si>
    <t>4.9 ± 0.09c</t>
  </si>
  <si>
    <t>9.34 ± 4.06b</t>
  </si>
  <si>
    <t>ketone</t>
  </si>
  <si>
    <t>acetoin</t>
  </si>
  <si>
    <t>513-86-0</t>
  </si>
  <si>
    <t>4.1 ± 0.02b</t>
  </si>
  <si>
    <t>1.68 ± 0.03d</t>
  </si>
  <si>
    <t>0.95 ± 0.01e</t>
  </si>
  <si>
    <t>77.53 ± 0.88a</t>
  </si>
  <si>
    <t>55.38 ± 1.02c</t>
  </si>
  <si>
    <t>2-nonanone</t>
  </si>
  <si>
    <t>821-55-6</t>
  </si>
  <si>
    <t>0.97 ± 0.04a</t>
  </si>
  <si>
    <t>0.52 ± 0.03b</t>
  </si>
  <si>
    <t>0.32 ± 0.02c</t>
  </si>
  <si>
    <t>butane 2,3-dions</t>
  </si>
  <si>
    <t>431–63–8</t>
  </si>
  <si>
    <t>0.97 ± 0.04b</t>
  </si>
  <si>
    <t>5.73 ± 0.18a</t>
  </si>
  <si>
    <t>3-octanone</t>
  </si>
  <si>
    <t>106–68–3</t>
  </si>
  <si>
    <t>1.36 ± 0.02</t>
  </si>
  <si>
    <t>1,1-dichloryposnane</t>
  </si>
  <si>
    <t>54815–13–3</t>
  </si>
  <si>
    <t>0.81 ± 0.02a</t>
  </si>
  <si>
    <t>0.38 ± 0.05a</t>
  </si>
  <si>
    <t>1.26 ± 0.18a</t>
  </si>
  <si>
    <t>2-heptanone</t>
  </si>
  <si>
    <t>110–43–0</t>
  </si>
  <si>
    <t>0.5 ± 0.02a</t>
  </si>
  <si>
    <t>0.13 ± 0.01b</t>
  </si>
  <si>
    <t>undecan-2-one</t>
  </si>
  <si>
    <t>112–12–9</t>
  </si>
  <si>
    <t>0.36 ± 0.02</t>
  </si>
  <si>
    <t>2-pentadecanone</t>
  </si>
  <si>
    <t>2345–28–0</t>
  </si>
  <si>
    <t>0.23 ± 0.02</t>
  </si>
  <si>
    <t>4.1 ± 0.02e</t>
  </si>
  <si>
    <t>2.88 ± 0.06d</t>
  </si>
  <si>
    <t>3.23 ± 0.05d</t>
  </si>
  <si>
    <t>84.16 ± 0.99b</t>
  </si>
  <si>
    <t>58.81 ± 1.18c</t>
  </si>
  <si>
    <t>others</t>
  </si>
  <si>
    <t>limonene</t>
  </si>
  <si>
    <t>138–86–3</t>
  </si>
  <si>
    <t>3.14 ± 0.08</t>
  </si>
  <si>
    <t>1,1-dichlorypentine</t>
  </si>
  <si>
    <t>3658–79–5</t>
  </si>
  <si>
    <t>1.39 ± 0.59a</t>
  </si>
  <si>
    <t>0.33 ± 0.02a</t>
  </si>
  <si>
    <t>tetramethylpyrazine</t>
  </si>
  <si>
    <t>1124–11–4</t>
  </si>
  <si>
    <t>0.68 ± 0.06</t>
  </si>
  <si>
    <t>2,2-diferhenyl ether</t>
  </si>
  <si>
    <t>4437–22–3</t>
  </si>
  <si>
    <t>dimethyl triunifide</t>
  </si>
  <si>
    <t>3658–80–8</t>
  </si>
  <si>
    <t>0.28 ± 0.02</t>
  </si>
  <si>
    <t>0.36 ± 0.02c</t>
  </si>
  <si>
    <t>1.39 ± 0.59b</t>
  </si>
  <si>
    <t>4.43 ± 0.03a</t>
  </si>
  <si>
    <t>total sum</t>
  </si>
  <si>
    <t>9718.36 ± 298.57b</t>
  </si>
  <si>
    <t>5691.46 ± 540.1d</t>
  </si>
  <si>
    <t>7314.51 ± 118.01c</t>
  </si>
  <si>
    <t>15138.07 ± 381.82a</t>
  </si>
  <si>
    <t>2365.63 ± 104.48e</t>
  </si>
  <si>
    <t>OAV</t>
    <phoneticPr fontId="2" type="noConversion"/>
  </si>
  <si>
    <t>NO.</t>
  </si>
  <si>
    <t>(μg/L)</t>
  </si>
  <si>
    <t>LZLJ-M7 (OAV)</t>
  </si>
  <si>
    <t>LZLJ-T7 (OAV)</t>
  </si>
  <si>
    <t>Ethyl Hexanoate</t>
  </si>
  <si>
    <t>55.33a</t>
  </si>
  <si>
    <t>873,258 ± 9159</t>
  </si>
  <si>
    <t>738,302 ± 3649</t>
  </si>
  <si>
    <t>Ethyl butyrate</t>
  </si>
  <si>
    <t>81.50b</t>
  </si>
  <si>
    <t>165,929 ± 4181</t>
  </si>
  <si>
    <t>181,049 ± 3783</t>
  </si>
  <si>
    <t>Ethyl valerate</t>
  </si>
  <si>
    <t>26.80b</t>
  </si>
  <si>
    <t>18,031 ± 270</t>
  </si>
  <si>
    <t>16,080 ± 161</t>
  </si>
  <si>
    <t>Dimethyl triasulfide</t>
  </si>
  <si>
    <t>0.40b</t>
  </si>
  <si>
    <t>139 ± 0.4</t>
  </si>
  <si>
    <t>136 ± 0.1</t>
  </si>
  <si>
    <t>1-Octen-3-ol</t>
  </si>
  <si>
    <t>0.00612b</t>
  </si>
  <si>
    <t>1 ± 0.2</t>
  </si>
  <si>
    <t>1 ± 0.4</t>
  </si>
  <si>
    <t>(E)-2-Octenal</t>
  </si>
  <si>
    <t>0.0151b</t>
  </si>
  <si>
    <t>2 ± 0.3</t>
  </si>
  <si>
    <t>2 ± 0.1</t>
  </si>
  <si>
    <t>Butyric Acid</t>
  </si>
  <si>
    <t>964.00b</t>
  </si>
  <si>
    <t>128,673 ± 749</t>
  </si>
  <si>
    <t>81,517 ± 939</t>
  </si>
  <si>
    <t>Valeric acid</t>
  </si>
  <si>
    <t>389.00b</t>
  </si>
  <si>
    <t>49,388 ± 4109</t>
  </si>
  <si>
    <t>57,055 ± 762</t>
  </si>
  <si>
    <t>Ethyl acetate</t>
  </si>
  <si>
    <t>32600.00b</t>
  </si>
  <si>
    <t>4,021,850 ± 43,275</t>
  </si>
  <si>
    <t>2,926,064 ± 56,016</t>
  </si>
  <si>
    <t>2-(ethoxymethyl)furan</t>
  </si>
  <si>
    <t>10.71b</t>
  </si>
  <si>
    <t>940 ± 2</t>
  </si>
  <si>
    <t>1121 ± 4</t>
  </si>
  <si>
    <t>ethyl 2-hydroxy-4-methylvalerate</t>
  </si>
  <si>
    <t>55.30b</t>
  </si>
  <si>
    <t>3374 ± 13</t>
  </si>
  <si>
    <t>4326 ± 42</t>
  </si>
  <si>
    <t>Ethyl caprylate</t>
  </si>
  <si>
    <t>12.90b</t>
  </si>
  <si>
    <t>940 ± 7</t>
  </si>
  <si>
    <t>1672 ± 79</t>
  </si>
  <si>
    <t>Hexanole acid</t>
  </si>
  <si>
    <t>2517.16b</t>
  </si>
  <si>
    <t>82,362 ± 716</t>
  </si>
  <si>
    <t>123,135 ± 7632</t>
  </si>
  <si>
    <t>Isoamyl acetate</t>
  </si>
  <si>
    <t>93.93b</t>
  </si>
  <si>
    <t>2885 ± 81</t>
  </si>
  <si>
    <t>2236 ± 78</t>
  </si>
  <si>
    <t>1-Butanol</t>
  </si>
  <si>
    <t>2730b</t>
  </si>
  <si>
    <t>54,922 ± 574</t>
  </si>
  <si>
    <t>67,567 ± 680</t>
  </si>
  <si>
    <t>Methyl hexanoate</t>
  </si>
  <si>
    <t>41.00b</t>
  </si>
  <si>
    <t>336 ± 7</t>
  </si>
  <si>
    <t>357 ± 7</t>
  </si>
  <si>
    <t>Phenylacetaldehyde</t>
  </si>
  <si>
    <t>262.00b</t>
  </si>
  <si>
    <t>1733 ± 19</t>
  </si>
  <si>
    <t>1783 ± 0.6</t>
  </si>
  <si>
    <t>4-Ethyl-2-methoxyphenol</t>
  </si>
  <si>
    <t>123.00b</t>
  </si>
  <si>
    <t>524 ± 0.5</t>
  </si>
  <si>
    <t>526 ± 0.3</t>
  </si>
  <si>
    <t>Isovalenic acid</t>
  </si>
  <si>
    <t>1045.47b</t>
  </si>
  <si>
    <t>3123 ± 383</t>
  </si>
  <si>
    <t>4507 ± 246</t>
  </si>
  <si>
    <t>1-Hexanol</t>
  </si>
  <si>
    <t>5370.00b</t>
  </si>
  <si>
    <t>20,155 ± 59</t>
  </si>
  <si>
    <t>15,678 ± 26</t>
  </si>
  <si>
    <t>3-Methyl-1-butanol</t>
  </si>
  <si>
    <t>179190.83b</t>
  </si>
  <si>
    <t>379,229 ± 1775</t>
  </si>
  <si>
    <t>316,720 ± 4522</t>
  </si>
  <si>
    <t>2-Methoxy-4-methylphenol</t>
  </si>
  <si>
    <t>315.00b</t>
  </si>
  <si>
    <t>579 ± 0.2</t>
  </si>
  <si>
    <t>579 ± 0.4</t>
  </si>
  <si>
    <t>gamma-Nonanolactone</t>
  </si>
  <si>
    <t>91.00b</t>
  </si>
  <si>
    <t>130 ± 0.8</t>
  </si>
  <si>
    <t>13 ± 1</t>
  </si>
  <si>
    <t>Furfuryl alcohol</t>
  </si>
  <si>
    <t>2000.00b</t>
  </si>
  <si>
    <t>2533 ± 7</t>
  </si>
  <si>
    <t>2505 ± 2</t>
  </si>
  <si>
    <t>Ethyl phenylacetate</t>
  </si>
  <si>
    <t>407.00b</t>
  </si>
  <si>
    <t>515 ± 5</t>
  </si>
  <si>
    <t>457 ± 2</t>
  </si>
  <si>
    <t>Ethyl 3-phenylpropionate</t>
  </si>
  <si>
    <t>125.00b</t>
  </si>
  <si>
    <t>148 ± 0.1</t>
  </si>
  <si>
    <t>213 ± 4</t>
  </si>
  <si>
    <t>Butyl hexanoate</t>
  </si>
  <si>
    <t>678.00b</t>
  </si>
  <si>
    <t>675 ± 16</t>
  </si>
  <si>
    <t>848 ± 30</t>
  </si>
  <si>
    <t>Butyl acetate</t>
  </si>
  <si>
    <t>4600.00b</t>
  </si>
  <si>
    <t>4971 ± 42</t>
  </si>
  <si>
    <t>4316 ± 27</t>
  </si>
  <si>
    <t>Concentration LZLJ-M7 (Mean ± SD)</t>
    <phoneticPr fontId="2" type="noConversion"/>
  </si>
  <si>
    <t>Concentration LZLJ-T7 (Mean ± SD)</t>
    <phoneticPr fontId="2" type="noConversion"/>
  </si>
  <si>
    <t>Threshold(μg/L)</t>
    <phoneticPr fontId="2" type="noConversion"/>
  </si>
  <si>
    <t>LZ–2016 base SAB (Mean ± SD)</t>
  </si>
  <si>
    <t>GJ–1573 (Mean ± SD)</t>
  </si>
  <si>
    <t>LZ–2016 base SAB (OAV)</t>
  </si>
  <si>
    <t>GJ–1573 (OAV)</t>
  </si>
  <si>
    <t>1,487,026 ± 6408</t>
  </si>
  <si>
    <t>622,200 ± 1786</t>
  </si>
  <si>
    <t>217,932 ± 369</t>
  </si>
  <si>
    <t>143,889 ± 1500</t>
  </si>
  <si>
    <t>44,849 ± 2636</t>
  </si>
  <si>
    <t>43,878 ± 1045</t>
  </si>
  <si>
    <t>2382 ± 17</t>
  </si>
  <si>
    <t>26 ± 2</t>
  </si>
  <si>
    <t>hexanole acid</t>
  </si>
  <si>
    <t>722,576 ± 17,196</t>
  </si>
  <si>
    <t>78,618 ± 8931</t>
  </si>
  <si>
    <t>2783 ± 60</t>
  </si>
  <si>
    <t>ethyl isobutyrate</t>
  </si>
  <si>
    <t>9437 ± 1292</t>
  </si>
  <si>
    <t>8766 ± 304</t>
  </si>
  <si>
    <t>605 ± 2</t>
  </si>
  <si>
    <t>pentanole acid</t>
  </si>
  <si>
    <t>56,841 ± 8653</t>
  </si>
  <si>
    <t>13,732 ± 1660</t>
  </si>
  <si>
    <t>985,274 ± 4023</t>
  </si>
  <si>
    <t>147,160 ± 8188</t>
  </si>
  <si>
    <t>41,802 ± 2478</t>
  </si>
  <si>
    <t>819 ± 30</t>
  </si>
  <si>
    <t>571 ± 19</t>
  </si>
  <si>
    <t>97,718 ± 5482</t>
  </si>
  <si>
    <t>30,025 ± 1548</t>
  </si>
  <si>
    <t>&lt; 1</t>
  </si>
  <si>
    <t>1646 ± 88</t>
  </si>
  <si>
    <t>685 ± 20</t>
  </si>
  <si>
    <t>13,702 ± 2649</t>
  </si>
  <si>
    <t>3885 ± 497</t>
  </si>
  <si>
    <t>1130 ± 167</t>
  </si>
  <si>
    <t>95 ± 12</t>
  </si>
  <si>
    <t>25,675 ± 4066</t>
  </si>
  <si>
    <t>5535 ± 501</t>
  </si>
  <si>
    <t>4-methylvaleric acid</t>
  </si>
  <si>
    <t>1311 ± 218</t>
  </si>
  <si>
    <t>300 ± 62</t>
  </si>
  <si>
    <t>3-methylindole</t>
  </si>
  <si>
    <t>46 ± 3</t>
  </si>
  <si>
    <t>1903 ± 207</t>
  </si>
  <si>
    <t>1498 ± 84</t>
  </si>
  <si>
    <t>732,961 ± 106,844</t>
  </si>
  <si>
    <t>342,535 ± 236,447</t>
  </si>
  <si>
    <t>2075 ± 112</t>
  </si>
  <si>
    <t>992 ± 45</t>
  </si>
  <si>
    <t>44,459 ± 1143</t>
  </si>
  <si>
    <t>2101 ± 101</t>
  </si>
  <si>
    <t>23,926 ± 3848</t>
  </si>
  <si>
    <t>5382 ± 633</t>
  </si>
  <si>
    <t>4-ethylguaiacol</t>
  </si>
  <si>
    <t>γ-nonlactone</t>
  </si>
  <si>
    <t>129 ± 14</t>
  </si>
  <si>
    <t>59 ± 3</t>
  </si>
  <si>
    <t>3-phenyl propionic acid</t>
  </si>
  <si>
    <t>1935 ± 63</t>
  </si>
  <si>
    <t>13 ± 2</t>
  </si>
  <si>
    <t>174 ± 9</t>
  </si>
  <si>
    <t>62 ± 2</t>
  </si>
  <si>
    <t>341 ± 23</t>
  </si>
  <si>
    <t>61 ± 4</t>
  </si>
  <si>
    <t>11 ± 1</t>
  </si>
  <si>
    <t>49 ± 1</t>
  </si>
  <si>
    <t>461 ± 2</t>
  </si>
  <si>
    <t>81 ± 1</t>
  </si>
  <si>
    <t>hexyl butanoate</t>
  </si>
  <si>
    <t>3483 ± 71</t>
  </si>
  <si>
    <t>232 ± 4</t>
  </si>
  <si>
    <t>furfuryl acetate</t>
  </si>
  <si>
    <t>114 ± 9</t>
  </si>
  <si>
    <t>ethyl 2-furoate</t>
  </si>
  <si>
    <t>31 ± 1</t>
  </si>
  <si>
    <t>diethyl succinate</t>
  </si>
  <si>
    <t>1276 ± 91</t>
  </si>
  <si>
    <t>1808 ± 92</t>
  </si>
  <si>
    <t>benzeneacetic acid</t>
  </si>
  <si>
    <t>469 ± 74</t>
  </si>
  <si>
    <t>vanillin</t>
  </si>
  <si>
    <t>58 ± 3</t>
  </si>
  <si>
    <t>Code</t>
  </si>
  <si>
    <t>Aroma compound</t>
  </si>
  <si>
    <t>Odor threshold (μg/L)</t>
  </si>
  <si>
    <t>OAV LS</t>
  </si>
  <si>
    <t>OAV FS</t>
  </si>
  <si>
    <t>5.45 ± 0.69</t>
  </si>
  <si>
    <t>5.50 ± 6.64</t>
  </si>
  <si>
    <t>Ethyl isobutyrate</t>
  </si>
  <si>
    <t>7.29 ± 0.63</t>
  </si>
  <si>
    <t>9.13 ± 0.88</t>
  </si>
  <si>
    <t>132.36 ± 17.97</t>
  </si>
  <si>
    <t>134.33 ± 17.53</t>
  </si>
  <si>
    <t>51.42 ± 2.42</t>
  </si>
  <si>
    <t>56.73 ± 3.21</t>
  </si>
  <si>
    <t>4.42 ± 1.10</t>
  </si>
  <si>
    <t>4.41 ± 1.64</t>
  </si>
  <si>
    <t>209.65 ± 42.15</t>
  </si>
  <si>
    <t>224.00 ± 41.30</t>
  </si>
  <si>
    <t>Ethyl hexanoate</t>
  </si>
  <si>
    <t>3823.72 ± 811.81</t>
  </si>
  <si>
    <t>4021.42 ± 778.92</t>
  </si>
  <si>
    <t>Ethyl lactate</t>
  </si>
  <si>
    <t>1.08 ± 0.24</t>
  </si>
  <si>
    <t>1.23 ± 0.26</t>
  </si>
  <si>
    <t>319.35 ± 56.19</t>
  </si>
  <si>
    <t>225.14 ± 40.04</t>
  </si>
  <si>
    <t>Ethyl palmitate</t>
  </si>
  <si>
    <t>2.20 ± 0.12</t>
  </si>
  <si>
    <t>2.15 ± 0.12</t>
  </si>
  <si>
    <t>12.53 ± 0.59</t>
  </si>
  <si>
    <t>12.30 ± 1.30</t>
  </si>
  <si>
    <t>2.68 ± 0.08</t>
  </si>
  <si>
    <t>2.62 ± 0.26</t>
  </si>
  <si>
    <t>Acetaldehyde</t>
  </si>
  <si>
    <t>9.22 ± 1.08</t>
  </si>
  <si>
    <t>6.50 ± 0.53</t>
  </si>
  <si>
    <t>Aceal</t>
  </si>
  <si>
    <t>1.60 ± 2.09</t>
  </si>
  <si>
    <t>9.91 ± 1.35</t>
  </si>
  <si>
    <t>Isovacetaldehyde</t>
  </si>
  <si>
    <t>169.82 ± 24.55</t>
  </si>
  <si>
    <t>207.98 ± 34.76</t>
  </si>
  <si>
    <t>Hexanal</t>
  </si>
  <si>
    <t>8.23 ± 1.42</t>
  </si>
  <si>
    <t>10.85 ± 1.66</t>
  </si>
  <si>
    <t>1.66 ± 0.30</t>
  </si>
  <si>
    <t>1.50 ± 0.19</t>
  </si>
  <si>
    <t>Purfural</t>
  </si>
  <si>
    <t>20.66 ± 3.38</t>
  </si>
  <si>
    <t>24.51 ± 4.48</t>
  </si>
  <si>
    <t>2-Pentanone</t>
  </si>
  <si>
    <t>1.46 ± 0.40</t>
  </si>
  <si>
    <t>1.63 ± 0.37</t>
  </si>
  <si>
    <t>Acetoin</t>
  </si>
  <si>
    <t>7.43 ± 0.79</t>
  </si>
  <si>
    <t>9.31 ± 1.02</t>
  </si>
  <si>
    <t>2-Heptanone</t>
  </si>
  <si>
    <t>2.45 ± 0.38</t>
  </si>
  <si>
    <t>3.13 ± 0.29</t>
  </si>
  <si>
    <t>8.91 ± 0.50</t>
  </si>
  <si>
    <t>9.15 ± 0.40</t>
  </si>
  <si>
    <t>3-Methylbutanoic acid</t>
  </si>
  <si>
    <t>1.42 ± 0.13</t>
  </si>
  <si>
    <t>1.42 ± 0.12</t>
  </si>
  <si>
    <t>5.76 ± 0.32</t>
  </si>
  <si>
    <t>6.30 ± 0.40</t>
  </si>
  <si>
    <t>1-Hexanoic acid</t>
  </si>
  <si>
    <t>13.87 ± 0.65</t>
  </si>
  <si>
    <t>15.39 ± 0.92</t>
  </si>
  <si>
    <t>Trimethyl-pyrazine</t>
  </si>
  <si>
    <t>1.50 ± 0.34</t>
  </si>
  <si>
    <t>1.17 ± 0.18</t>
  </si>
  <si>
    <t>Compound Name</t>
  </si>
  <si>
    <t>Blank (mg/L)</t>
  </si>
  <si>
    <t>S1 (mg/L)</t>
  </si>
  <si>
    <t>S2 (F3) (mg/L)</t>
  </si>
  <si>
    <t>S3 (mg/L)</t>
  </si>
  <si>
    <t>F1 (mg/L)</t>
  </si>
  <si>
    <t>F3 (mg/L)</t>
  </si>
  <si>
    <t>3-methylbutyl pentanoate</t>
  </si>
  <si>
    <t>Ethyl heptanoate</t>
  </si>
  <si>
    <t>Pentyl Hexanoate</t>
  </si>
  <si>
    <t>Propyl n-Octanoate</t>
  </si>
  <si>
    <t>Hexyl hexanoate</t>
  </si>
  <si>
    <t>Ethyl myristate</t>
  </si>
  <si>
    <t>Ethyl formate</t>
  </si>
  <si>
    <t>Ethyl propionate</t>
  </si>
  <si>
    <t>Ethyl 2-methylbutyrate</t>
  </si>
  <si>
    <t>Ethyl isovvalerate</t>
  </si>
  <si>
    <t>Ethyl pyruvate</t>
  </si>
  <si>
    <t>Isoamyl butyrate</t>
  </si>
  <si>
    <t>Hexyl acetate</t>
  </si>
  <si>
    <t>Ethyl cyclopropanepropionate</t>
  </si>
  <si>
    <t>Ethyl 5-methylhexanoate</t>
  </si>
  <si>
    <t>Ethyl 3-hexenoate</t>
  </si>
  <si>
    <t>Butyl valerate</t>
  </si>
  <si>
    <t>Propyl hexanoate</t>
  </si>
  <si>
    <t>Ethyl hexadienoate</t>
  </si>
  <si>
    <t>Isobutyl hexanoate</t>
  </si>
  <si>
    <t>Heptyl acetate</t>
  </si>
  <si>
    <t>Ethyl octanoate</t>
  </si>
  <si>
    <t>Isoamyl hexanoate</t>
  </si>
  <si>
    <t>Ethyl 7-octanoate</t>
  </si>
  <si>
    <t>Ethyl nonanoate</t>
  </si>
  <si>
    <t>Ethyl 2-hydroxy-4-methylpentanoate</t>
  </si>
  <si>
    <t>Isobutyl heptanoate</t>
  </si>
  <si>
    <t>Isobutyl octanoate</t>
  </si>
  <si>
    <t>Ethyl 3-nonenoate</t>
  </si>
  <si>
    <t>Octyl butyrate</t>
  </si>
  <si>
    <t>Ethyl decanoate</t>
  </si>
  <si>
    <t>Isoamyl octanoate</t>
  </si>
  <si>
    <t>Diethyl succinate</t>
  </si>
  <si>
    <t>Ethyl 4-decenoate</t>
  </si>
  <si>
    <t>Butyl heptanoate</t>
  </si>
  <si>
    <t>Ethyl undecanoate</t>
  </si>
  <si>
    <t>Ethyl 2-decenoate</t>
  </si>
  <si>
    <t>Hexyl octanoate</t>
  </si>
  <si>
    <t>Ethyl laurate</t>
  </si>
  <si>
    <t>Ethyl tridecanoate</t>
  </si>
  <si>
    <t>Ethyl 4-phenylbutyrate</t>
  </si>
  <si>
    <t>Octyl octanoate</t>
  </si>
  <si>
    <t>Ethyl pentadecanoate</t>
  </si>
  <si>
    <t>Methyl palmitate</t>
  </si>
  <si>
    <t>Ethyl 9-hexadecenoate</t>
  </si>
  <si>
    <t>Ethyl 15-methylheptadecanoate</t>
  </si>
  <si>
    <t>Ethyl oleate</t>
  </si>
  <si>
    <t>Ethyl linoleate</t>
  </si>
  <si>
    <t>Dibutyl phthalate</t>
  </si>
  <si>
    <t>Propyl octanoate</t>
  </si>
  <si>
    <t>Isovaleraldehyde</t>
  </si>
  <si>
    <t>Isobutyraldehyde</t>
  </si>
  <si>
    <t>Nominal</t>
  </si>
  <si>
    <t>Butyraldehyde</t>
  </si>
  <si>
    <t>2-Nonanone</t>
  </si>
  <si>
    <t>2-Undecanone</t>
  </si>
  <si>
    <t>2-Pentadecanone</t>
  </si>
  <si>
    <t>Fitone</t>
  </si>
  <si>
    <t>2-Nonen-4-one</t>
  </si>
  <si>
    <t>Benzeneacetaldehyde, diethyl acetal</t>
  </si>
  <si>
    <t>Decane, 1,1-diethoxy-</t>
  </si>
  <si>
    <t>1,1-diethoxynonane</t>
  </si>
  <si>
    <t>Nonanoic acid</t>
  </si>
  <si>
    <t>Acetic acid</t>
  </si>
  <si>
    <t>Isobutyric acid</t>
  </si>
  <si>
    <t>Butyric acid</t>
  </si>
  <si>
    <t>Hexanoic acid</t>
  </si>
  <si>
    <t>Hepanoic acid</t>
  </si>
  <si>
    <t>Octanoic acid</t>
  </si>
  <si>
    <t>3-Hydroxylauric acid</t>
  </si>
  <si>
    <t>α-Linolenic acid</t>
  </si>
  <si>
    <t>2-Dodecenoic acid</t>
  </si>
  <si>
    <t>5-Dodecenoic acid</t>
  </si>
  <si>
    <t>9-Hexadecenoic acid</t>
  </si>
  <si>
    <t>13-Octadecenoic acid</t>
  </si>
  <si>
    <t>17-Octadecenoic acid</t>
  </si>
  <si>
    <t>Eicosenoic acid</t>
  </si>
  <si>
    <t>Hexanoic anhydride</t>
  </si>
  <si>
    <t>ID</t>
  </si>
  <si>
    <t>compound</t>
  </si>
  <si>
    <t>odor threshold (μg/L)</t>
  </si>
  <si>
    <t>JH1</t>
  </si>
  <si>
    <t>JH2</t>
  </si>
  <si>
    <t>SC1</t>
  </si>
  <si>
    <t>SC2</t>
  </si>
  <si>
    <t>SC3</t>
  </si>
  <si>
    <t>SC4</t>
  </si>
  <si>
    <t>SC5</t>
  </si>
  <si>
    <t>SC6</t>
  </si>
  <si>
    <t>A1</t>
  </si>
  <si>
    <t>1-propanol</t>
  </si>
  <si>
    <t>A2</t>
  </si>
  <si>
    <t>A3</t>
  </si>
  <si>
    <t>A4</t>
  </si>
  <si>
    <t>A5</t>
  </si>
  <si>
    <t>1-hexanol</t>
  </si>
  <si>
    <t>AL1</t>
  </si>
  <si>
    <t>furfural</t>
  </si>
  <si>
    <t>AL2</t>
  </si>
  <si>
    <t>AL3</t>
  </si>
  <si>
    <t>nonanal</t>
  </si>
  <si>
    <t>AL4</t>
  </si>
  <si>
    <t>(E)-2-nonenal</t>
  </si>
  <si>
    <t>&lt;1</t>
  </si>
  <si>
    <t>E1</t>
  </si>
  <si>
    <t>E2</t>
  </si>
  <si>
    <t>ethyl butyrate</t>
  </si>
  <si>
    <t>E3</t>
  </si>
  <si>
    <t>E4</t>
  </si>
  <si>
    <t>E5</t>
  </si>
  <si>
    <t>E7</t>
  </si>
  <si>
    <t>ethyl isocaproate</t>
  </si>
  <si>
    <t>E8</t>
  </si>
  <si>
    <t>E9</t>
  </si>
  <si>
    <t>hexyl acetate</t>
  </si>
  <si>
    <t>E13</t>
  </si>
  <si>
    <t>isoamyl butyrate</t>
  </si>
  <si>
    <t>E17</t>
  </si>
  <si>
    <t>E18</t>
  </si>
  <si>
    <t>E28</t>
  </si>
  <si>
    <t>E29</t>
  </si>
  <si>
    <t>E33</t>
  </si>
  <si>
    <t>E34</t>
  </si>
  <si>
    <t>isopentyl hexanoate</t>
  </si>
  <si>
    <t>E40</t>
  </si>
  <si>
    <t>E42</t>
  </si>
  <si>
    <t>E43</t>
  </si>
  <si>
    <t>AC1</t>
  </si>
  <si>
    <t>AC2</t>
  </si>
  <si>
    <t>AC3</t>
  </si>
  <si>
    <t>valeric acid</t>
  </si>
  <si>
    <t>AC4</t>
  </si>
  <si>
    <t>hexanolic acid</t>
  </si>
  <si>
    <t>AC5</t>
  </si>
  <si>
    <t>heptanolic acid</t>
  </si>
  <si>
    <t>AC6</t>
  </si>
  <si>
    <t>octanolic acid</t>
  </si>
  <si>
    <t>Compound</t>
  </si>
  <si>
    <t>Odor Threshold (μg/L)</t>
  </si>
  <si>
    <t>OAV Sample 1</t>
  </si>
  <si>
    <t>OAV Sample 2</t>
  </si>
  <si>
    <t>OAV Sample 3</t>
  </si>
  <si>
    <t>Average OAV</t>
  </si>
  <si>
    <t>55b</t>
  </si>
  <si>
    <t>Ethyl butanoate</t>
  </si>
  <si>
    <t>82b</t>
  </si>
  <si>
    <t>Ethyl pentanoate</t>
  </si>
  <si>
    <t>27b</t>
  </si>
  <si>
    <t>Dimethyl trisulfide</t>
  </si>
  <si>
    <t>0.36c</t>
  </si>
  <si>
    <t>13b</t>
  </si>
  <si>
    <t>Ethyl 3-methylbutanoate</t>
  </si>
  <si>
    <t>7b</t>
  </si>
  <si>
    <t>3-Methyl-1-butanal</t>
  </si>
  <si>
    <t>16.5c</t>
  </si>
  <si>
    <t>2520c</t>
  </si>
  <si>
    <t>Ethyl 2-methylpropanoate</t>
  </si>
  <si>
    <t>57.5c</t>
  </si>
  <si>
    <t>32600b</t>
  </si>
  <si>
    <t>Butanoic acid</t>
  </si>
  <si>
    <t>964b</t>
  </si>
  <si>
    <t>Ethyl 2-methylbutanoate</t>
  </si>
  <si>
    <t>18b</t>
  </si>
  <si>
    <t>94c</t>
  </si>
  <si>
    <t>5370b</t>
  </si>
  <si>
    <t>128000b</t>
  </si>
  <si>
    <t>Ethyl 3-phenylpropanoate</t>
  </si>
  <si>
    <t>125b</t>
  </si>
  <si>
    <t>160000b</t>
  </si>
  <si>
    <t>1890b</t>
  </si>
  <si>
    <t>407b</t>
  </si>
  <si>
    <t>Isopenyl hexanoate</t>
  </si>
  <si>
    <t>1400f</t>
  </si>
  <si>
    <t>1500d</t>
  </si>
  <si>
    <t>Ethyl 4-methylpentanoate</t>
  </si>
  <si>
    <t>389d</t>
  </si>
  <si>
    <t>5250.31d</t>
  </si>
  <si>
    <t>4-Methylphenol</t>
  </si>
  <si>
    <t>167f</t>
  </si>
  <si>
    <t>1120d</t>
  </si>
  <si>
    <t>13200f</t>
  </si>
  <si>
    <t>179000d</t>
  </si>
  <si>
    <t>1-Octanol</t>
  </si>
  <si>
    <t>1100c</t>
  </si>
  <si>
    <t>2-Methyl-1-propanol</t>
  </si>
  <si>
    <t>40000c</t>
  </si>
  <si>
    <t>Ethyl benzoate</t>
  </si>
  <si>
    <t>1400c</t>
  </si>
  <si>
    <t>12800b</t>
  </si>
  <si>
    <t>Ethyl 2-hydroxy-4-methylvalerate</t>
  </si>
  <si>
    <t>45953.66d</t>
  </si>
  <si>
    <t>3200e</t>
  </si>
  <si>
    <t>Benzaldehyde</t>
  </si>
  <si>
    <t>4200e</t>
  </si>
  <si>
    <t>Phenethyl alcohol</t>
  </si>
  <si>
    <t>28900c</t>
  </si>
  <si>
    <t>Diethyl butanedioate</t>
  </si>
  <si>
    <t>353000f</t>
  </si>
  <si>
    <t>Ethyl hexadecanoate</t>
  </si>
  <si>
    <t>—</t>
  </si>
  <si>
    <t>Category</t>
  </si>
  <si>
    <t>CAS number</t>
  </si>
  <si>
    <t>BC/SG</t>
  </si>
  <si>
    <t>GJG</t>
  </si>
  <si>
    <t>LZ</t>
  </si>
  <si>
    <t>Alcohols</t>
  </si>
  <si>
    <t>2-Butanol</t>
  </si>
  <si>
    <t>71.11 ± 1.09</t>
  </si>
  <si>
    <t>29.83 ± 0.56</t>
  </si>
  <si>
    <t>20.70 ± 0.18</t>
  </si>
  <si>
    <t>1-Propanol</t>
  </si>
  <si>
    <t>71-23-8</t>
  </si>
  <si>
    <t>107.03 ± 4.51</t>
  </si>
  <si>
    <t>221.77 ± 2.81</t>
  </si>
  <si>
    <t>52.74 ± 0.24</t>
  </si>
  <si>
    <t>2-Pentanol</t>
  </si>
  <si>
    <t>6032-29-7</t>
  </si>
  <si>
    <t>23.04 ± 1.65</t>
  </si>
  <si>
    <t>4.37 ± 0.17</t>
  </si>
  <si>
    <t>2-Methyl-1-butanol</t>
  </si>
  <si>
    <t>137-32-6</t>
  </si>
  <si>
    <t>108.96 ± 2.19</t>
  </si>
  <si>
    <t>136.09 ± 0.41</t>
  </si>
  <si>
    <t>314.59 ± 2.91</t>
  </si>
  <si>
    <t>270.96 ± 0.43</t>
  </si>
  <si>
    <t>220.07 ± 0.63</t>
  </si>
  <si>
    <t>2-Hexanol</t>
  </si>
  <si>
    <t>23.52 ± 0.33</t>
  </si>
  <si>
    <t>1-Pentanol</t>
  </si>
  <si>
    <t>13.59 ± 0.43</t>
  </si>
  <si>
    <t>1.70 ± 0.03</t>
  </si>
  <si>
    <t>2-Heptanol</t>
  </si>
  <si>
    <t>543-49-7</t>
  </si>
  <si>
    <t>3.12 ± 0.07</t>
  </si>
  <si>
    <t>59.59 ± 0.28</t>
  </si>
  <si>
    <t>25.58 ± 0.36</t>
  </si>
  <si>
    <t>1-Heptanol</t>
  </si>
  <si>
    <t>111-70-6</t>
  </si>
  <si>
    <t>2.01 ± 0.05</t>
  </si>
  <si>
    <t>0.86 ± 0.01</t>
  </si>
  <si>
    <t>2,3-Butanediol</t>
  </si>
  <si>
    <t>4.05 ± 0.03</t>
  </si>
  <si>
    <t>1.11 ± 0.01</t>
  </si>
  <si>
    <t>2-Methylpropanol</t>
  </si>
  <si>
    <t>31.81 ± 0.20</t>
  </si>
  <si>
    <t>0.27 ± 0.01</t>
  </si>
  <si>
    <t>Aromatic compounds</t>
  </si>
  <si>
    <t>2-Furan methanol</t>
  </si>
  <si>
    <t>98-00-0</t>
  </si>
  <si>
    <t>4.66 ± 0.03</t>
  </si>
  <si>
    <t>1.38 ± 0.02</t>
  </si>
  <si>
    <t>Furfural</t>
  </si>
  <si>
    <t>8.68 ± 0.09</t>
  </si>
  <si>
    <t>2-Butylfuran</t>
  </si>
  <si>
    <t>4466-24-4</t>
  </si>
  <si>
    <t>5.78 ± 0.14</t>
  </si>
  <si>
    <t>Phenylacetaldehyde diacetal</t>
  </si>
  <si>
    <t>6314-97-2</t>
  </si>
  <si>
    <t>1.26 ± 0.01</t>
  </si>
  <si>
    <t>2021-28-5</t>
  </si>
  <si>
    <t>4.99 ± 0.16</t>
  </si>
  <si>
    <t>10.59 ± 0.17</t>
  </si>
  <si>
    <t>Phenyl ethanol</t>
  </si>
  <si>
    <t>60-12-8*</t>
  </si>
  <si>
    <t>4.55 ± 0.03</t>
  </si>
  <si>
    <t>2.42 ± 0.01</t>
  </si>
  <si>
    <t>1.36 ± 0.01</t>
  </si>
  <si>
    <t>2785-89-9</t>
  </si>
  <si>
    <t>2.00 ± 0.10</t>
  </si>
  <si>
    <t>93-89-0</t>
  </si>
  <si>
    <t>1.35 ± 0.01</t>
  </si>
  <si>
    <t>1.24 ± 0.01</t>
  </si>
  <si>
    <t>Acids</t>
  </si>
  <si>
    <t>317.50 ± 1.95</t>
  </si>
  <si>
    <t>523.53 ± 0.24</t>
  </si>
  <si>
    <t>553.57 ± 0.15</t>
  </si>
  <si>
    <t>Propanoic acid</t>
  </si>
  <si>
    <t>10.89 ± 0.57</t>
  </si>
  <si>
    <t>2.52 ± 0.01</t>
  </si>
  <si>
    <t>2.39 ± 0.03</t>
  </si>
  <si>
    <t>2-Methylpropionic acid</t>
  </si>
  <si>
    <t>6.14 ± 0.04</t>
  </si>
  <si>
    <t>5.09 ± 0.15</t>
  </si>
  <si>
    <t>4.40 ± 0.04</t>
  </si>
  <si>
    <t>127.75 ± 0.56</t>
  </si>
  <si>
    <t>186.84 ± 0.55</t>
  </si>
  <si>
    <t>204.66 ± 0.28</t>
  </si>
  <si>
    <t>503-74-2</t>
  </si>
  <si>
    <t>7.46 ± 0.09</t>
  </si>
  <si>
    <t>8.92 ± 0.01</t>
  </si>
  <si>
    <t>3-Methyl pentanoic acid</t>
  </si>
  <si>
    <t>5.75 ± 0.60</t>
  </si>
  <si>
    <t>Pentanoic acid</t>
  </si>
  <si>
    <t>23.56 ± 0.27</t>
  </si>
  <si>
    <t>7.95 ± 0.09</t>
  </si>
  <si>
    <t>13.97 ± 0.02</t>
  </si>
  <si>
    <t>494.71 ± 1.60</t>
  </si>
  <si>
    <t>321.41 ± 0.02</t>
  </si>
  <si>
    <t>355.61 ± 4.80</t>
  </si>
  <si>
    <t>Heptanoic acid</t>
  </si>
  <si>
    <t>8.80 ± 0.04</t>
  </si>
  <si>
    <t>8.34 ± 0.24</t>
  </si>
  <si>
    <t>5.15 ± 0.02</t>
  </si>
  <si>
    <t>15.67 ± 0.34</t>
  </si>
  <si>
    <t>6.49 ± 0.01</t>
  </si>
  <si>
    <t>112-05-0</t>
  </si>
  <si>
    <t>6.56 ± 0.05</t>
  </si>
  <si>
    <t>Esters</t>
  </si>
  <si>
    <t>141-78-6</t>
  </si>
  <si>
    <t>2316.11 ± 14.39</t>
  </si>
  <si>
    <t>1194.92 ± 0.68</t>
  </si>
  <si>
    <t>1157.68 ± 0.53</t>
  </si>
  <si>
    <t>539-82-2</t>
  </si>
  <si>
    <t>72.20 ± 8.05</t>
  </si>
  <si>
    <t>179.96 ± 0.86</t>
  </si>
  <si>
    <t>Butyl formate</t>
  </si>
  <si>
    <t>592-84-7</t>
  </si>
  <si>
    <t>70.95 ± 0.87</t>
  </si>
  <si>
    <t>51.19 ± 2.13</t>
  </si>
  <si>
    <t>56.66 ± 0.28</t>
  </si>
  <si>
    <t>Hexyl formate</t>
  </si>
  <si>
    <t>629-33-4</t>
  </si>
  <si>
    <t>99.17 ± 0.08</t>
  </si>
  <si>
    <t>Butyl butanoate</t>
  </si>
  <si>
    <t>109-21-7</t>
  </si>
  <si>
    <t>34.06 ± 0.27</t>
  </si>
  <si>
    <t>123-66-0</t>
  </si>
  <si>
    <t>2097.06 ± 4.11</t>
  </si>
  <si>
    <t>2949.40 ± 7.09</t>
  </si>
  <si>
    <t>2476.53 ± 9.56</t>
  </si>
  <si>
    <t>626-77-7</t>
  </si>
  <si>
    <t>34.37 ± 0.12</t>
  </si>
  <si>
    <t>15.84 ± 0.10</t>
  </si>
  <si>
    <t>106-30-9</t>
  </si>
  <si>
    <t>379.17 ± 0.86</t>
  </si>
  <si>
    <t>63.07 ± 0.30</t>
  </si>
  <si>
    <t>110.23 ± 0.09</t>
  </si>
  <si>
    <t>97-64-3</t>
  </si>
  <si>
    <t>882.58 ± 4.86</t>
  </si>
  <si>
    <t>517.81 ± 0.51</t>
  </si>
  <si>
    <t>638.26 ± 0.36</t>
  </si>
  <si>
    <t>626-82-4</t>
  </si>
  <si>
    <t>78.84 ± 0.14</t>
  </si>
  <si>
    <t>14.97 ± 0.11</t>
  </si>
  <si>
    <t>19.96 ± 0.12</t>
  </si>
  <si>
    <t>Hexyl butanoate</t>
  </si>
  <si>
    <t>2639-63-6</t>
  </si>
  <si>
    <t>9.50 ± 0.25</t>
  </si>
  <si>
    <t>106-32-1</t>
  </si>
  <si>
    <t>274.30 ± 2.65</t>
  </si>
  <si>
    <t>132.21 ± 1.01</t>
  </si>
  <si>
    <t>72.40 ± 0.55</t>
  </si>
  <si>
    <t>2198-61-0</t>
  </si>
  <si>
    <t>98.78 ± 1.34</t>
  </si>
  <si>
    <t>50.54 ± 0.05</t>
  </si>
  <si>
    <t>105-54-4</t>
  </si>
  <si>
    <t>149.94 ± 1.32</t>
  </si>
  <si>
    <t>164.87 ± 0.98</t>
  </si>
  <si>
    <t>209.73 ± 0.43</t>
  </si>
  <si>
    <t>6378-65-0</t>
  </si>
  <si>
    <t>25.59 ± 0.15</t>
  </si>
  <si>
    <t>50.49 ± 0.43</t>
  </si>
  <si>
    <t>38.40 ± 0.17</t>
  </si>
  <si>
    <t>110-38-3</t>
  </si>
  <si>
    <t>15.13 ± 0.25</t>
  </si>
  <si>
    <t>6.60 ± 0.25</t>
  </si>
  <si>
    <t>628-97-7</t>
  </si>
  <si>
    <t>15.11 ± 1.14</t>
  </si>
  <si>
    <t>79.51 ± 0.73</t>
  </si>
  <si>
    <t>24.20 ± 0.23</t>
  </si>
  <si>
    <t>Amyl hexanoate</t>
  </si>
  <si>
    <t>540-07-8</t>
  </si>
  <si>
    <t>8.82 ± 0.37</t>
  </si>
  <si>
    <t>4.11 ± 0.08</t>
  </si>
  <si>
    <t>123-29-5</t>
  </si>
  <si>
    <t>3.38 ± 0.06</t>
  </si>
  <si>
    <t>Isopenyl lactate</t>
  </si>
  <si>
    <t>19329-89-6</t>
  </si>
  <si>
    <t>8.52 ± 0.25</t>
  </si>
  <si>
    <t>3.52 ± 0.02</t>
  </si>
  <si>
    <t>123-25-1</t>
  </si>
  <si>
    <t>6.08 ± 0.05</t>
  </si>
  <si>
    <t>15.17 ± 0.08</t>
  </si>
  <si>
    <t>Ethyl tetradecanoate</t>
  </si>
  <si>
    <t>124-06-1</t>
  </si>
  <si>
    <t>4.94 ± 0.11</t>
  </si>
  <si>
    <t>Ethylpentadecanoate</t>
  </si>
  <si>
    <t>41114-00-5</t>
  </si>
  <si>
    <t>4.98 ± 0.11</t>
  </si>
  <si>
    <t>Ethyl 9-hexadecanoate</t>
  </si>
  <si>
    <t>54546-22-4</t>
  </si>
  <si>
    <t>10.67 ± 0.09</t>
  </si>
  <si>
    <t>Ethyl octadecanoate</t>
  </si>
  <si>
    <t>111-61-5</t>
  </si>
  <si>
    <t>5.30 ± 0.14</t>
  </si>
  <si>
    <t>111-62-6</t>
  </si>
  <si>
    <t>11.06 ± 4.22</t>
  </si>
  <si>
    <t>24.13 ± 0.12</t>
  </si>
  <si>
    <t>19.22 ± 0.28</t>
  </si>
  <si>
    <t>Ethyl 2-hydroxycaproate</t>
  </si>
  <si>
    <t>52089-55-1</t>
  </si>
  <si>
    <t>57.30 ± 0.33</t>
  </si>
  <si>
    <t>6.69 ± 0.04</t>
  </si>
  <si>
    <t>No.⁺</t>
  </si>
  <si>
    <t>(mg L⁻¹)</t>
  </si>
  <si>
    <t>BCSG</t>
  </si>
  <si>
    <t>2-Methylpropanoic acid</t>
  </si>
  <si>
    <t>Hexyl butyrate</t>
  </si>
  <si>
    <t>4-Ethyl-2-methoxy-phenol</t>
  </si>
  <si>
    <t>(Empty/No entry)</t>
  </si>
  <si>
    <t>–</t>
  </si>
  <si>
    <t>Zone</t>
  </si>
  <si>
    <t>Compounds (μg/L)</t>
  </si>
  <si>
    <t>B1-H</t>
  </si>
  <si>
    <t>B1-L</t>
  </si>
  <si>
    <t>B3-H</t>
  </si>
  <si>
    <t>B3-L</t>
  </si>
  <si>
    <t>B2-H</t>
  </si>
  <si>
    <t>B2-L</t>
  </si>
  <si>
    <t>B4-H</t>
  </si>
  <si>
    <t>B4-L</t>
  </si>
  <si>
    <t>B5-H</t>
  </si>
  <si>
    <t>B5-L</t>
  </si>
  <si>
    <t>ethyl hexanoate*</t>
  </si>
  <si>
    <r>
      <t>55.3</t>
    </r>
    <r>
      <rPr>
        <sz val="10.5"/>
        <color rgb="FFFFFFFF"/>
        <rFont val="Times New Roman"/>
        <family val="1"/>
      </rPr>
      <t>ᵃ</t>
    </r>
  </si>
  <si>
    <t>ethyl butanoate*</t>
  </si>
  <si>
    <r>
      <t>81.5</t>
    </r>
    <r>
      <rPr>
        <sz val="10.5"/>
        <color rgb="FFFFFFFF"/>
        <rFont val="Times New Roman"/>
        <family val="1"/>
      </rPr>
      <t>ᶜ</t>
    </r>
  </si>
  <si>
    <t>3-methylbutanulf</t>
  </si>
  <si>
    <r>
      <t>16.5</t>
    </r>
    <r>
      <rPr>
        <sz val="10.5"/>
        <color rgb="FFFFFFFF"/>
        <rFont val="Times New Roman"/>
        <family val="1"/>
      </rPr>
      <t>ᵈ</t>
    </r>
  </si>
  <si>
    <t>hexanoic acid*</t>
  </si>
  <si>
    <r>
      <t>2520</t>
    </r>
    <r>
      <rPr>
        <sz val="10.5"/>
        <color rgb="FFFFFFFF"/>
        <rFont val="Times New Roman"/>
        <family val="1"/>
      </rPr>
      <t>ᶠ</t>
    </r>
  </si>
  <si>
    <t>ethyl 3-methylbutanoate*</t>
  </si>
  <si>
    <r>
      <t>6.89</t>
    </r>
    <r>
      <rPr>
        <sz val="10.5"/>
        <color rgb="FFFFFFFF"/>
        <rFont val="Times New Roman"/>
        <family val="1"/>
      </rPr>
      <t>ᵍ</t>
    </r>
  </si>
  <si>
    <t>ethyl pentanoate*</t>
  </si>
  <si>
    <r>
      <t>26.8</t>
    </r>
    <r>
      <rPr>
        <sz val="10.5"/>
        <color rgb="FFFFFFFF"/>
        <rFont val="Times New Roman"/>
        <family val="1"/>
      </rPr>
      <t>ʰ</t>
    </r>
  </si>
  <si>
    <t>ethyl octanoate*</t>
  </si>
  <si>
    <r>
      <t>12.9</t>
    </r>
    <r>
      <rPr>
        <sz val="10.5"/>
        <color rgb="FFFFFFFF"/>
        <rFont val="Cambria Math"/>
        <family val="1"/>
      </rPr>
      <t>ⁱ</t>
    </r>
  </si>
  <si>
    <t>(2S,6Z)-non-2,6-dienal*</t>
  </si>
  <si>
    <r>
      <t>0.04</t>
    </r>
    <r>
      <rPr>
        <sz val="10.5"/>
        <color rgb="FFFFFFFF"/>
        <rFont val="Times New Roman"/>
        <family val="1"/>
      </rPr>
      <t>ʰ</t>
    </r>
  </si>
  <si>
    <t>(methyltrisulfanyl)methane*</t>
  </si>
  <si>
    <r>
      <t>0.36</t>
    </r>
    <r>
      <rPr>
        <sz val="10.5"/>
        <color rgb="FFFFFFFF"/>
        <rFont val="Cambria Math"/>
        <family val="1"/>
      </rPr>
      <t>ⁱ</t>
    </r>
  </si>
  <si>
    <t>ethyl 2-methylpropanoate*</t>
  </si>
  <si>
    <r>
      <t>57.5</t>
    </r>
    <r>
      <rPr>
        <sz val="10.5"/>
        <color rgb="FFFFFFFF"/>
        <rFont val="Times New Roman"/>
        <family val="1"/>
      </rPr>
      <t>ᵉ</t>
    </r>
  </si>
  <si>
    <t>butanoic acid*</t>
  </si>
  <si>
    <r>
      <t>965</t>
    </r>
    <r>
      <rPr>
        <sz val="10.5"/>
        <color rgb="FFFFFFFF"/>
        <rFont val="Times New Roman"/>
        <family val="1"/>
      </rPr>
      <t>ᵇ</t>
    </r>
  </si>
  <si>
    <r>
      <t>389</t>
    </r>
    <r>
      <rPr>
        <sz val="10.5"/>
        <color rgb="FFFFFFFF"/>
        <rFont val="Times New Roman"/>
        <family val="1"/>
      </rPr>
      <t>ᵃ</t>
    </r>
  </si>
  <si>
    <t>1,1-diethoxyethane*</t>
  </si>
  <si>
    <r>
      <t>2090</t>
    </r>
    <r>
      <rPr>
        <sz val="10.5"/>
        <color rgb="FFFFFFFF"/>
        <rFont val="Times New Roman"/>
        <family val="1"/>
      </rPr>
      <t>ᶠ</t>
    </r>
  </si>
  <si>
    <t>hexanal*</t>
  </si>
  <si>
    <r>
      <t>23.5</t>
    </r>
    <r>
      <rPr>
        <sz val="10.5"/>
        <color rgb="FFFFFFFF"/>
        <rFont val="Times New Roman"/>
        <family val="1"/>
      </rPr>
      <t>ᶜ</t>
    </r>
  </si>
  <si>
    <t>ethyl 2-methylbutanoate*</t>
  </si>
  <si>
    <r>
      <t>18.0</t>
    </r>
    <r>
      <rPr>
        <sz val="10.5"/>
        <color rgb="FFFFFFFF"/>
        <rFont val="Times New Roman"/>
        <family val="1"/>
      </rPr>
      <t>ᶠ</t>
    </r>
  </si>
  <si>
    <t>butan-1-ol</t>
  </si>
  <si>
    <r>
      <t>2733</t>
    </r>
    <r>
      <rPr>
        <sz val="10.5"/>
        <color rgb="FFFFFFFF"/>
        <rFont val="Times New Roman"/>
        <family val="1"/>
      </rPr>
      <t>ᵃ</t>
    </r>
  </si>
  <si>
    <t>ethyl acetate*</t>
  </si>
  <si>
    <r>
      <t>32552</t>
    </r>
    <r>
      <rPr>
        <sz val="10.5"/>
        <color rgb="FFFFFFFF"/>
        <rFont val="Times New Roman"/>
        <family val="1"/>
      </rPr>
      <t>ᶠ</t>
    </r>
  </si>
  <si>
    <t>oct-1-en-3-ol</t>
  </si>
  <si>
    <r>
      <t>6.12</t>
    </r>
    <r>
      <rPr>
        <sz val="10.5"/>
        <color rgb="FFFFFFFF"/>
        <rFont val="Times New Roman"/>
        <family val="1"/>
      </rPr>
      <t>ᵉ</t>
    </r>
  </si>
  <si>
    <t>β-damascenone</t>
  </si>
  <si>
    <r>
      <t>0.12</t>
    </r>
    <r>
      <rPr>
        <sz val="10.5"/>
        <color rgb="FFFFFFFF"/>
        <rFont val="Times New Roman"/>
        <family val="1"/>
      </rPr>
      <t>ᵉ</t>
    </r>
  </si>
  <si>
    <t>3-methylbutyl acetate*</t>
  </si>
  <si>
    <r>
      <t>93.9</t>
    </r>
    <r>
      <rPr>
        <sz val="10.5"/>
        <color rgb="FFFFFFFF"/>
        <rFont val="Cambria Math"/>
        <family val="1"/>
      </rPr>
      <t>ⁱ</t>
    </r>
  </si>
  <si>
    <t>hexyl hexanoate*</t>
  </si>
  <si>
    <r>
      <t>1891</t>
    </r>
    <r>
      <rPr>
        <sz val="10.5"/>
        <color rgb="FFFFFFFF"/>
        <rFont val="Times New Roman"/>
        <family val="1"/>
      </rPr>
      <t>ᵈ</t>
    </r>
  </si>
  <si>
    <t>3-methylbutanoic acid*</t>
  </si>
  <si>
    <r>
      <t>1050</t>
    </r>
    <r>
      <rPr>
        <sz val="10.5"/>
        <color rgb="FFFFFFFF"/>
        <rFont val="Times New Roman"/>
        <family val="1"/>
      </rPr>
      <t>ᶠ</t>
    </r>
  </si>
  <si>
    <t>hexan-1-ol*</t>
  </si>
  <si>
    <r>
      <t>5370</t>
    </r>
    <r>
      <rPr>
        <sz val="10.5"/>
        <color rgb="FFFFFFFF"/>
        <rFont val="Times New Roman"/>
        <family val="1"/>
      </rPr>
      <t>ᶠ</t>
    </r>
  </si>
  <si>
    <t>ethyl 2-phenylacetate*</t>
  </si>
  <si>
    <r>
      <t>407</t>
    </r>
    <r>
      <rPr>
        <sz val="10.5"/>
        <color rgb="FFFFFFFF"/>
        <rFont val="Times New Roman"/>
        <family val="1"/>
      </rPr>
      <t>ᵃ</t>
    </r>
  </si>
  <si>
    <t>decanal</t>
  </si>
  <si>
    <r>
      <t>70.8</t>
    </r>
    <r>
      <rPr>
        <sz val="10.5"/>
        <color rgb="FFFFFFFF"/>
        <rFont val="Times New Roman"/>
        <family val="1"/>
      </rPr>
      <t>ᵃ</t>
    </r>
  </si>
  <si>
    <t>acetic acid*</t>
  </si>
  <si>
    <r>
      <t>160000</t>
    </r>
    <r>
      <rPr>
        <sz val="10.5"/>
        <color rgb="FFFFFFFF"/>
        <rFont val="Times New Roman"/>
        <family val="1"/>
      </rPr>
      <t>ᶠ</t>
    </r>
  </si>
  <si>
    <t>ethyl dodecanoate*</t>
  </si>
  <si>
    <r>
      <t>400</t>
    </r>
    <r>
      <rPr>
        <sz val="10.5"/>
        <color rgb="FFFFFFFF"/>
        <rFont val="Times New Roman"/>
        <family val="1"/>
      </rPr>
      <t>ᵍ</t>
    </r>
  </si>
  <si>
    <r>
      <t>1400</t>
    </r>
    <r>
      <rPr>
        <sz val="10.5"/>
        <color rgb="FFFFFFFF"/>
        <rFont val="Times New Roman"/>
        <family val="1"/>
      </rPr>
      <t>ᶠ</t>
    </r>
  </si>
  <si>
    <t>2-phenylacetaldehyde</t>
  </si>
  <si>
    <r>
      <t>262</t>
    </r>
    <r>
      <rPr>
        <sz val="10.5"/>
        <color rgb="FFFFFFFF"/>
        <rFont val="Times New Roman"/>
        <family val="1"/>
      </rPr>
      <t>ᵈ</t>
    </r>
  </si>
  <si>
    <t>2-methylpropanoic acid</t>
  </si>
  <si>
    <r>
      <t>1580</t>
    </r>
    <r>
      <rPr>
        <sz val="10.5"/>
        <color rgb="FFFFFFFF"/>
        <rFont val="Times New Roman"/>
        <family val="1"/>
      </rPr>
      <t>ᶠ</t>
    </r>
  </si>
  <si>
    <r>
      <t>2700</t>
    </r>
    <r>
      <rPr>
        <sz val="10.5"/>
        <color rgb="FFFFFFFF"/>
        <rFont val="Times New Roman"/>
        <family val="1"/>
      </rPr>
      <t>ᵍ</t>
    </r>
  </si>
  <si>
    <t>4-methylphenol</t>
  </si>
  <si>
    <r>
      <t>167</t>
    </r>
    <r>
      <rPr>
        <sz val="10.5"/>
        <color rgb="FFFFFFFF"/>
        <rFont val="Times New Roman"/>
        <family val="1"/>
      </rPr>
      <t>ʰ</t>
    </r>
  </si>
  <si>
    <r>
      <t>3151</t>
    </r>
    <r>
      <rPr>
        <sz val="10.5"/>
        <color rgb="FFFFFFFF"/>
        <rFont val="Times New Roman"/>
        <family val="1"/>
      </rPr>
      <t>ᵉ</t>
    </r>
  </si>
  <si>
    <t>butyl acetate</t>
  </si>
  <si>
    <r>
      <t>1800</t>
    </r>
    <r>
      <rPr>
        <sz val="10.5"/>
        <color rgb="FFFFFFFF"/>
        <rFont val="Times New Roman"/>
        <family val="1"/>
      </rPr>
      <t>ᶠ</t>
    </r>
  </si>
  <si>
    <t>ethyl dezonate</t>
  </si>
  <si>
    <r>
      <t>1120</t>
    </r>
    <r>
      <rPr>
        <sz val="10.5"/>
        <color rgb="FFFFFFFF"/>
        <rFont val="Times New Roman"/>
        <family val="1"/>
      </rPr>
      <t>ᶠ</t>
    </r>
  </si>
  <si>
    <t>ethyl heptanoate*</t>
  </si>
  <si>
    <r>
      <t>13153</t>
    </r>
    <r>
      <rPr>
        <sz val="10.5"/>
        <color rgb="FFFFFFFF"/>
        <rFont val="Times New Roman"/>
        <family val="1"/>
      </rPr>
      <t>ᵃ</t>
    </r>
  </si>
  <si>
    <t>2-methylpropan-1-ol*</t>
  </si>
  <si>
    <r>
      <t>28500</t>
    </r>
    <r>
      <rPr>
        <sz val="10.5"/>
        <color rgb="FFFFFFFF"/>
        <rFont val="Times New Roman"/>
        <family val="1"/>
      </rPr>
      <t>ᶠ</t>
    </r>
  </si>
  <si>
    <t>2-ethyl-6-methylpyrazine</t>
  </si>
  <si>
    <r>
      <t>40.0</t>
    </r>
    <r>
      <rPr>
        <sz val="10.5"/>
        <color rgb="FFFFFFFF"/>
        <rFont val="Times New Roman"/>
        <family val="1"/>
      </rPr>
      <t>ᵈ</t>
    </r>
  </si>
  <si>
    <r>
      <t>13281</t>
    </r>
    <r>
      <rPr>
        <sz val="10.5"/>
        <color rgb="FFFFFFFF"/>
        <rFont val="Times New Roman"/>
        <family val="1"/>
      </rPr>
      <t>ᵃ</t>
    </r>
  </si>
  <si>
    <t>2,6-diethylpyrazine</t>
  </si>
  <si>
    <r>
      <t>6.00</t>
    </r>
    <r>
      <rPr>
        <sz val="10.5"/>
        <color rgb="FFFFFFFF"/>
        <rFont val="Times New Roman"/>
        <family val="1"/>
      </rPr>
      <t>ᵈ</t>
    </r>
  </si>
  <si>
    <t>3-methylbutyl butanoate</t>
  </si>
  <si>
    <r>
      <t>918</t>
    </r>
    <r>
      <rPr>
        <sz val="10.5"/>
        <color rgb="FFFFFFFF"/>
        <rFont val="Times New Roman"/>
        <family val="1"/>
      </rPr>
      <t>ᵃ</t>
    </r>
  </si>
  <si>
    <t>proyl hexanoate*</t>
  </si>
  <si>
    <r>
      <t>12784</t>
    </r>
    <r>
      <rPr>
        <sz val="10.5"/>
        <color rgb="FFFFFFFF"/>
        <rFont val="Times New Roman"/>
        <family val="1"/>
      </rPr>
      <t>ᵃ</t>
    </r>
  </si>
  <si>
    <r>
      <t>2000</t>
    </r>
    <r>
      <rPr>
        <sz val="10.5"/>
        <color rgb="FFFFFFFF"/>
        <rFont val="Times New Roman"/>
        <family val="1"/>
      </rPr>
      <t>ᵍ</t>
    </r>
  </si>
  <si>
    <t>threshold</t>
    <phoneticPr fontId="2" type="noConversion"/>
  </si>
  <si>
    <t>Aroma compounds</t>
  </si>
  <si>
    <t>OAV (2)</t>
  </si>
  <si>
    <t>OAV (3)</t>
  </si>
  <si>
    <t>OAV (4)</t>
  </si>
  <si>
    <t>OAV (5)</t>
  </si>
  <si>
    <t>OAV (6)</t>
  </si>
  <si>
    <t>OAV (7)</t>
  </si>
  <si>
    <t>OAV (8)</t>
  </si>
  <si>
    <r>
      <t>82</t>
    </r>
    <r>
      <rPr>
        <sz val="10.5"/>
        <color rgb="FFFFFFFF"/>
        <rFont val="Times New Roman"/>
        <family val="1"/>
      </rPr>
      <t>ᵃ</t>
    </r>
  </si>
  <si>
    <r>
      <t>58</t>
    </r>
    <r>
      <rPr>
        <sz val="10.5"/>
        <color rgb="FFFFFFFF"/>
        <rFont val="Times New Roman"/>
        <family val="1"/>
      </rPr>
      <t>ᵇ</t>
    </r>
  </si>
  <si>
    <r>
      <t>28,300</t>
    </r>
    <r>
      <rPr>
        <sz val="10.5"/>
        <color rgb="FFFFFFFF"/>
        <rFont val="Times New Roman"/>
        <family val="1"/>
      </rPr>
      <t>ᶜ</t>
    </r>
  </si>
  <si>
    <r>
      <t>27</t>
    </r>
    <r>
      <rPr>
        <sz val="10.5"/>
        <color rgb="FFFFFFFF"/>
        <rFont val="Times New Roman"/>
        <family val="1"/>
      </rPr>
      <t>ᵈ</t>
    </r>
  </si>
  <si>
    <r>
      <t>2,790</t>
    </r>
    <r>
      <rPr>
        <sz val="10.5"/>
        <color rgb="FFFFFFFF"/>
        <rFont val="Times New Roman"/>
        <family val="1"/>
      </rPr>
      <t>ᵈ</t>
    </r>
  </si>
  <si>
    <r>
      <t>8</t>
    </r>
    <r>
      <rPr>
        <sz val="10.5"/>
        <color rgb="FFFFFFFF"/>
        <rFont val="Times New Roman"/>
        <family val="1"/>
      </rPr>
      <t>ᵉ</t>
    </r>
  </si>
  <si>
    <r>
      <t>179,000</t>
    </r>
    <r>
      <rPr>
        <sz val="10.5"/>
        <color rgb="FFFFFFFF"/>
        <rFont val="Times New Roman"/>
        <family val="1"/>
      </rPr>
      <t>ᵈ</t>
    </r>
  </si>
  <si>
    <r>
      <t>55</t>
    </r>
    <r>
      <rPr>
        <sz val="10.5"/>
        <color rgb="FFFFFFFF"/>
        <rFont val="Times New Roman"/>
        <family val="1"/>
      </rPr>
      <t>ᵉ</t>
    </r>
  </si>
  <si>
    <r>
      <t>5,560</t>
    </r>
    <r>
      <rPr>
        <sz val="10.5"/>
        <color rgb="FFFFFFFF"/>
        <rFont val="Times New Roman"/>
        <family val="1"/>
      </rPr>
      <t>ᶠ</t>
    </r>
  </si>
  <si>
    <t>Cyclopentanol</t>
  </si>
  <si>
    <r>
      <t>4,200,000</t>
    </r>
    <r>
      <rPr>
        <sz val="10.5"/>
        <color rgb="FFFFFFFF"/>
        <rFont val="Times New Roman"/>
        <family val="1"/>
      </rPr>
      <t>ʰ</t>
    </r>
  </si>
  <si>
    <r>
      <t>12,800</t>
    </r>
    <r>
      <rPr>
        <sz val="10.5"/>
        <color rgb="FFFFFFFF"/>
        <rFont val="Cambria Math"/>
        <family val="1"/>
      </rPr>
      <t>ⁱ</t>
    </r>
  </si>
  <si>
    <r>
      <t>128,000</t>
    </r>
    <r>
      <rPr>
        <sz val="10.5"/>
        <color rgb="FFFFFFFF"/>
        <rFont val="Cambria Math"/>
        <family val="1"/>
      </rPr>
      <t>ⁱ</t>
    </r>
  </si>
  <si>
    <r>
      <t>5,370</t>
    </r>
    <r>
      <rPr>
        <sz val="10.5"/>
        <color rgb="FFFFFFFF"/>
        <rFont val="Cambria Math"/>
        <family val="1"/>
      </rPr>
      <t>ⁱ</t>
    </r>
  </si>
  <si>
    <r>
      <t>5,000</t>
    </r>
    <r>
      <rPr>
        <sz val="10.5"/>
        <color rgb="FFFFFFFF"/>
        <rFont val="Times New Roman"/>
        <family val="1"/>
      </rPr>
      <t>ʰ</t>
    </r>
  </si>
  <si>
    <r>
      <t>13</t>
    </r>
    <r>
      <rPr>
        <sz val="10.5"/>
        <color rgb="FFFFFFFF"/>
        <rFont val="Times New Roman"/>
        <family val="1"/>
      </rPr>
      <t>ᵃ</t>
    </r>
  </si>
  <si>
    <r>
      <t>160,000</t>
    </r>
    <r>
      <rPr>
        <sz val="10.5"/>
        <color rgb="FFFFFFFF"/>
        <rFont val="Times New Roman"/>
        <family val="1"/>
      </rPr>
      <t>ᵈ</t>
    </r>
  </si>
  <si>
    <t>Isopentyl hexanoate</t>
  </si>
  <si>
    <r>
      <t>1,400</t>
    </r>
    <r>
      <rPr>
        <sz val="10.5"/>
        <color rgb="FFFFFFFF"/>
        <rFont val="Times New Roman"/>
        <family val="1"/>
      </rPr>
      <t>ᶜ</t>
    </r>
  </si>
  <si>
    <r>
      <t>44,000</t>
    </r>
    <r>
      <rPr>
        <sz val="10.5"/>
        <color rgb="FFFFFFFF"/>
        <rFont val="Times New Roman"/>
        <family val="1"/>
      </rPr>
      <t>ᵈ</t>
    </r>
  </si>
  <si>
    <t>2-Acetylfuran</t>
  </si>
  <si>
    <r>
      <t>58,504</t>
    </r>
    <r>
      <rPr>
        <sz val="10.5"/>
        <color rgb="FFFFFFFF"/>
        <rFont val="Times New Roman"/>
        <family val="1"/>
      </rPr>
      <t>ᵈ</t>
    </r>
  </si>
  <si>
    <r>
      <t>3,150</t>
    </r>
    <r>
      <rPr>
        <sz val="10.5"/>
        <color rgb="FFFFFFFF"/>
        <rFont val="Times New Roman"/>
        <family val="1"/>
      </rPr>
      <t>ᶠ</t>
    </r>
  </si>
  <si>
    <r>
      <t>1,890</t>
    </r>
    <r>
      <rPr>
        <sz val="10.5"/>
        <color rgb="FFFFFFFF"/>
        <rFont val="Times New Roman"/>
        <family val="1"/>
      </rPr>
      <t>ᵈ</t>
    </r>
  </si>
  <si>
    <r>
      <t>964</t>
    </r>
    <r>
      <rPr>
        <sz val="10.5"/>
        <color rgb="FFFFFFFF"/>
        <rFont val="Times New Roman"/>
        <family val="1"/>
      </rPr>
      <t>ᵈ</t>
    </r>
  </si>
  <si>
    <r>
      <t>1,120</t>
    </r>
    <r>
      <rPr>
        <sz val="10.5"/>
        <color rgb="FFFFFFFF"/>
        <rFont val="Times New Roman"/>
        <family val="1"/>
      </rPr>
      <t>ᵈ</t>
    </r>
  </si>
  <si>
    <t>2-Furanmethanol</t>
  </si>
  <si>
    <r>
      <t>2,000</t>
    </r>
    <r>
      <rPr>
        <sz val="10.5"/>
        <color rgb="FFFFFFFF"/>
        <rFont val="Times New Roman"/>
        <family val="1"/>
      </rPr>
      <t>ᵈ</t>
    </r>
  </si>
  <si>
    <r>
      <t>1,050</t>
    </r>
    <r>
      <rPr>
        <sz val="10.5"/>
        <color rgb="FFFFFFFF"/>
        <rFont val="Times New Roman"/>
        <family val="1"/>
      </rPr>
      <t>ᵈ</t>
    </r>
  </si>
  <si>
    <t>Ethyl butanedioate</t>
  </si>
  <si>
    <r>
      <t>353,000</t>
    </r>
    <r>
      <rPr>
        <sz val="10.5"/>
        <color rgb="FFFFFFFF"/>
        <rFont val="Times New Roman"/>
        <family val="1"/>
      </rPr>
      <t>ᵈ</t>
    </r>
  </si>
  <si>
    <t>3-Methylthiopropanol</t>
  </si>
  <si>
    <r>
      <t>2,110</t>
    </r>
    <r>
      <rPr>
        <sz val="10.5"/>
        <color rgb="FFFFFFFF"/>
        <rFont val="Times New Roman"/>
        <family val="1"/>
      </rPr>
      <t>ᵈ</t>
    </r>
  </si>
  <si>
    <r>
      <t>389</t>
    </r>
    <r>
      <rPr>
        <sz val="10.5"/>
        <color rgb="FFFFFFFF"/>
        <rFont val="Times New Roman"/>
        <family val="1"/>
      </rPr>
      <t>ᵈ</t>
    </r>
  </si>
  <si>
    <r>
      <t>407</t>
    </r>
    <r>
      <rPr>
        <sz val="10.5"/>
        <color rgb="FFFFFFFF"/>
        <rFont val="Times New Roman"/>
        <family val="1"/>
      </rPr>
      <t>ᶠ</t>
    </r>
  </si>
  <si>
    <t>4-Methylpentanoic acid</t>
  </si>
  <si>
    <r>
      <t>144</t>
    </r>
    <r>
      <rPr>
        <sz val="10.5"/>
        <color rgb="FFFFFFFF"/>
        <rFont val="Times New Roman"/>
        <family val="1"/>
      </rPr>
      <t>ᵈ</t>
    </r>
  </si>
  <si>
    <t>Phenethyl acetate</t>
  </si>
  <si>
    <r>
      <t>909</t>
    </r>
    <r>
      <rPr>
        <sz val="10.5"/>
        <color rgb="FFFFFFFF"/>
        <rFont val="Times New Roman"/>
        <family val="1"/>
      </rPr>
      <t>ᶠ</t>
    </r>
  </si>
  <si>
    <r>
      <t>2,829</t>
    </r>
    <r>
      <rPr>
        <sz val="10.5"/>
        <color rgb="FFFFFFFF"/>
        <rFont val="Times New Roman"/>
        <family val="1"/>
      </rPr>
      <t>ᵈ</t>
    </r>
  </si>
  <si>
    <r>
      <t>125</t>
    </r>
    <r>
      <rPr>
        <sz val="10.5"/>
        <color rgb="FFFFFFFF"/>
        <rFont val="Times New Roman"/>
        <family val="1"/>
      </rPr>
      <t>ᵈ</t>
    </r>
  </si>
  <si>
    <t>2-Phenylethanol</t>
  </si>
  <si>
    <r>
      <t>28,900</t>
    </r>
    <r>
      <rPr>
        <sz val="10.5"/>
        <color rgb="FFFFFFFF"/>
        <rFont val="Times New Roman"/>
        <family val="1"/>
      </rPr>
      <t>ᵈ</t>
    </r>
  </si>
  <si>
    <r>
      <t>13,800</t>
    </r>
    <r>
      <rPr>
        <sz val="10.5"/>
        <color rgb="FFFFFFFF"/>
        <rFont val="Times New Roman"/>
        <family val="1"/>
      </rPr>
      <t>ᵈ</t>
    </r>
  </si>
  <si>
    <t>2-Methoxy-p-cresol</t>
  </si>
  <si>
    <r>
      <t>50</t>
    </r>
    <r>
      <rPr>
        <sz val="10.5"/>
        <color rgb="FFFFFFFF"/>
        <rFont val="Times New Roman"/>
        <family val="1"/>
      </rPr>
      <t>ʰ</t>
    </r>
  </si>
  <si>
    <t>Phenol</t>
  </si>
  <si>
    <r>
      <t>18,900</t>
    </r>
    <r>
      <rPr>
        <sz val="10.5"/>
        <color rgb="FFFFFFFF"/>
        <rFont val="Times New Roman"/>
        <family val="1"/>
      </rPr>
      <t>ᶠ</t>
    </r>
  </si>
  <si>
    <r>
      <t>7</t>
    </r>
    <r>
      <rPr>
        <sz val="10.5"/>
        <color rgb="FFFFFFFF"/>
        <rFont val="Times New Roman"/>
        <family val="1"/>
      </rPr>
      <t>ʰ</t>
    </r>
  </si>
  <si>
    <t>p-Cresol</t>
  </si>
  <si>
    <r>
      <t>60</t>
    </r>
    <r>
      <rPr>
        <sz val="10.5"/>
        <color rgb="FFFFFFFF"/>
        <rFont val="Times New Roman"/>
        <family val="1"/>
      </rPr>
      <t>ʰ</t>
    </r>
  </si>
  <si>
    <t>Concentration (mg/L) - 1</t>
  </si>
  <si>
    <t>Concentration (mg/L) - 2</t>
  </si>
  <si>
    <t>Concentration (mg/L) - 3</t>
  </si>
  <si>
    <t>Concentration (mg/L) - 4</t>
  </si>
  <si>
    <t>Concentration (mg/L) - 5</t>
  </si>
  <si>
    <t>Concentration (mg/L) - 7</t>
  </si>
  <si>
    <t>Concentration (mg/L) - 8</t>
  </si>
  <si>
    <t>940 ± 14.6</t>
  </si>
  <si>
    <t>206 ± 3.2</t>
  </si>
  <si>
    <t>138 ± 0.727</t>
  </si>
  <si>
    <t>113 ± 2.27</t>
  </si>
  <si>
    <t>73 ± 1.28</t>
  </si>
  <si>
    <t>57 ± 0.543</t>
  </si>
  <si>
    <t>20.3 ± 0.31</t>
  </si>
  <si>
    <t>19.1 ± 0.17</t>
  </si>
  <si>
    <t>47.1 ± 0.253</t>
  </si>
  <si>
    <t>6.42 ± 0.164</t>
  </si>
  <si>
    <t>4.17 ± 0.017</t>
  </si>
  <si>
    <t>2.92 ± 0.009</t>
  </si>
  <si>
    <t>2.07 ± 0.02</t>
  </si>
  <si>
    <t>1.39 ± 0.012</t>
  </si>
  <si>
    <t>0.625 ± 0.008</t>
  </si>
  <si>
    <t>0.431 ± 0.012</t>
  </si>
  <si>
    <t>136 ± 2.98</t>
  </si>
  <si>
    <t>42.6 ± 0.37</t>
  </si>
  <si>
    <t>29.8 ± 0.398</t>
  </si>
  <si>
    <t>25.2 ± 0.526</t>
  </si>
  <si>
    <t>20.8 ± 0.281</t>
  </si>
  <si>
    <t>17.3 ± 0.177</t>
  </si>
  <si>
    <t>10.4 ± 0.061</t>
  </si>
  <si>
    <t>7.14 ± 0.018</t>
  </si>
  <si>
    <t>193 ± 0.095</t>
  </si>
  <si>
    <t>46.4 ± 1.05</t>
  </si>
  <si>
    <t>34.1 ± 0.444</t>
  </si>
  <si>
    <t>25.1 ± 0.096</t>
  </si>
  <si>
    <t>21 ± 0.379</t>
  </si>
  <si>
    <t>15.3 ± 0.265</t>
  </si>
  <si>
    <t>11.9 ± 0.144</t>
  </si>
  <si>
    <t>7.77 ± 0.15</t>
  </si>
  <si>
    <t>511 ± 11</t>
  </si>
  <si>
    <t>335 ± 4.22</t>
  </si>
  <si>
    <t>299 ± 4.4</t>
  </si>
  <si>
    <t>309 ± 7.15</t>
  </si>
  <si>
    <t>270 ± 6.35</t>
  </si>
  <si>
    <t>267 ± 3.77</t>
  </si>
  <si>
    <t>175 ± 0.6</t>
  </si>
  <si>
    <t>124 ± 0.564</t>
  </si>
  <si>
    <t>4.36 ± 0.068</t>
  </si>
  <si>
    <t>1.57 ± 0.014</t>
  </si>
  <si>
    <t>1.52 ± 0.013</t>
  </si>
  <si>
    <t>1.2 ± 0.016</t>
  </si>
  <si>
    <t>0.57 ± 0.165</t>
  </si>
  <si>
    <t>0.643 ± 0.053</t>
  </si>
  <si>
    <t>0.55 ± 0.296</t>
  </si>
  <si>
    <t>(空)</t>
  </si>
  <si>
    <t>3-Methyl 1-butanol</t>
  </si>
  <si>
    <t>372 ± 6.31</t>
  </si>
  <si>
    <t>226 ± 1.79</t>
  </si>
  <si>
    <t>196 ± 2.28</t>
  </si>
  <si>
    <t>202 ± 3.49</t>
  </si>
  <si>
    <t>188 ± 3.37</t>
  </si>
  <si>
    <t>118 ± 0.112</t>
  </si>
  <si>
    <t>79.1 ± 0.149</t>
  </si>
  <si>
    <t>Ethyl hexanoate*</t>
  </si>
  <si>
    <t>2559 ± 32.9</t>
  </si>
  <si>
    <t>1157 ± 20</t>
  </si>
  <si>
    <t>1092 ± 2.99</t>
  </si>
  <si>
    <t>879 ± 6.12</t>
  </si>
  <si>
    <t>861 ± 13.5</t>
  </si>
  <si>
    <t>679 ± 2.38</t>
  </si>
  <si>
    <t>714 ± 3.38</t>
  </si>
  <si>
    <t>421 ± 1.36</t>
  </si>
  <si>
    <t>21.2 ± 0.02</t>
  </si>
  <si>
    <t>9.13 ± 0.049</t>
  </si>
  <si>
    <t>9.2 ± 0.057</t>
  </si>
  <si>
    <t>6.94 ± 0.105</t>
  </si>
  <si>
    <t>10.5 ± 0.136</t>
  </si>
  <si>
    <t>1.39 ± 0.205</t>
  </si>
  <si>
    <t>0.779 ± 0.126</t>
  </si>
  <si>
    <t>0.297 ± 0.027</t>
  </si>
  <si>
    <t>Purfuryl ethyl ether</t>
  </si>
  <si>
    <t>42.9 ± 0.029</t>
  </si>
  <si>
    <t>13.9 ± 0.182</t>
  </si>
  <si>
    <t>9.26 ± 0.054</t>
  </si>
  <si>
    <t>7.72 ± 0.052</t>
  </si>
  <si>
    <t>6 ± 0.021</t>
  </si>
  <si>
    <t>4 ± 0.005</t>
  </si>
  <si>
    <t>4.04 ± 0.055</t>
  </si>
  <si>
    <t>2.5 ± 0.01</t>
  </si>
  <si>
    <t>0.349 ± 0.014</t>
  </si>
  <si>
    <t>0.431 ± 0.026</t>
  </si>
  <si>
    <t>0.67 ± 0.038</t>
  </si>
  <si>
    <t>0.987 ± 0.027</t>
  </si>
  <si>
    <t>1.2 ± 0.021</t>
  </si>
  <si>
    <t>20.7 ± 0.112</t>
  </si>
  <si>
    <t>11.6 ± 0.217</t>
  </si>
  <si>
    <t>13.2 ± 0.084</t>
  </si>
  <si>
    <t>10.9 ± 0.105</t>
  </si>
  <si>
    <t>14.1 ± 0.162</t>
  </si>
  <si>
    <t>4.87 ± 0.428</t>
  </si>
  <si>
    <t>6.01 ± 0.12</t>
  </si>
  <si>
    <t>Ethyl lactate*</t>
  </si>
  <si>
    <t>1159 ± 19.5</t>
  </si>
  <si>
    <t>869 ± 2.76</t>
  </si>
  <si>
    <t>1151 ± 3.68</t>
  </si>
  <si>
    <t>1519 ± 20.4</t>
  </si>
  <si>
    <t>1543 ± 33</t>
  </si>
  <si>
    <t>1869 ± 15.2</t>
  </si>
  <si>
    <t>1655 ± 46.7</t>
  </si>
  <si>
    <t>1585 ± 2.82</t>
  </si>
  <si>
    <t>1-Hexanol*</t>
  </si>
  <si>
    <t>164 ± 2.34</t>
  </si>
  <si>
    <t>206 ± 1.55</t>
  </si>
  <si>
    <t>230 ± 1.61</t>
  </si>
  <si>
    <t>288 ± 3.08</t>
  </si>
  <si>
    <t>286 ± 5.56</t>
  </si>
  <si>
    <t>274 ± 12.7</t>
  </si>
  <si>
    <t>124 ± 2.34</t>
  </si>
  <si>
    <t>Ethyl 2-hydroxybutanoate</t>
  </si>
  <si>
    <t>0.318 ± 0.006</t>
  </si>
  <si>
    <t>0.502 ± 0.013</t>
  </si>
  <si>
    <t>0.855 ± 0.001</t>
  </si>
  <si>
    <t>1.24 ± 0.005</t>
  </si>
  <si>
    <t>1.53 ± 0.033</t>
  </si>
  <si>
    <t>2.67 ± 0.01</t>
  </si>
  <si>
    <t>3.33 ± 0.008</t>
  </si>
  <si>
    <t>3.34 ± 0.004</t>
  </si>
  <si>
    <t>17.2 ± 0.24</t>
  </si>
  <si>
    <t>7.91 ± 0.137</t>
  </si>
  <si>
    <t>11.2 ± 0.122</t>
  </si>
  <si>
    <t>5.67 ± 0.021</t>
  </si>
  <si>
    <t>12.2 ± 0.09</t>
  </si>
  <si>
    <t>5.55 ± 0.053</t>
  </si>
  <si>
    <t>10.9 ± 0.056</t>
  </si>
  <si>
    <t>1.03 ± 0.015</t>
  </si>
  <si>
    <t>Propyl lactate</t>
  </si>
  <si>
    <t>2.48 ± 0.002</t>
  </si>
  <si>
    <t>3.22 ± 0.056</t>
  </si>
  <si>
    <t>5.58 ± 0.069</t>
  </si>
  <si>
    <t>8.56 ± 0.078</t>
  </si>
  <si>
    <t>11.6 ± 0.054</t>
  </si>
  <si>
    <t>19.8 ± 0.076</t>
  </si>
  <si>
    <t>16.3 ± 0.111</t>
  </si>
  <si>
    <t>22.2 ± 0.03</t>
  </si>
  <si>
    <t>51.1 ± 0.181</t>
  </si>
  <si>
    <t>22.8 ± 0.45</t>
  </si>
  <si>
    <t>34.7 ± 0.263</t>
  </si>
  <si>
    <t>19.6 ± 0.135</t>
  </si>
  <si>
    <t>41.4 ± 0.293</t>
  </si>
  <si>
    <t>20.5 ± 0.134</t>
  </si>
  <si>
    <t>38.4 ± 0.376</t>
  </si>
  <si>
    <t>3.88 ± 0.013</t>
  </si>
  <si>
    <t>51.5 ± 0.458</t>
  </si>
  <si>
    <t>44.9 ± 0.597</t>
  </si>
  <si>
    <t>60.6 ± 0.575</t>
  </si>
  <si>
    <t>74.9 ± 0.933</t>
  </si>
  <si>
    <t>97.1 ± 0.515</t>
  </si>
  <si>
    <t>62.1 ± 0.897</t>
  </si>
  <si>
    <t>142 ± 0.433</t>
  </si>
  <si>
    <t>148 ± 0.288</t>
  </si>
  <si>
    <t>5.73 ± 0.15</t>
  </si>
  <si>
    <t>1.94 ± 0.168</t>
  </si>
  <si>
    <t>4.26 ± 0.071</t>
  </si>
  <si>
    <t>2.57 ± 0.044</t>
  </si>
  <si>
    <t>7.01 ± 0.147</t>
  </si>
  <si>
    <t>2.39 ± 0.097</t>
  </si>
  <si>
    <t>5.51 ± 0.171</t>
  </si>
  <si>
    <t>16.8 ± 0.066</t>
  </si>
  <si>
    <t>11.6 ± 0.16</t>
  </si>
  <si>
    <t>24.4 ± 0.018</t>
  </si>
  <si>
    <t>42.7 ± 0.241</t>
  </si>
  <si>
    <t>60.4 ± 0.337</t>
  </si>
  <si>
    <t>123 ± 0.569</t>
  </si>
  <si>
    <t>129 ± 0.792</t>
  </si>
  <si>
    <t>0.651 ± 0.022</t>
  </si>
  <si>
    <t>0.516 ± 0.107</t>
  </si>
  <si>
    <t>0.956 ± 0.077</t>
  </si>
  <si>
    <t>Purfuryl acetate</t>
  </si>
  <si>
    <t>0.022 ± 0.004</t>
  </si>
  <si>
    <t>0.72 ± 0.069</t>
  </si>
  <si>
    <t>1.2 ± 0.06</t>
  </si>
  <si>
    <t>1.4 ± 0.194</t>
  </si>
  <si>
    <t>0.629 ± 0.13</t>
  </si>
  <si>
    <t>1.07 ± 0.094</t>
  </si>
  <si>
    <t>0.548 ± 0.097</t>
  </si>
  <si>
    <t>Ethyl DL-2-hydroxy-4-methylpentanoate</t>
  </si>
  <si>
    <t>21.2 ± 0.395</t>
  </si>
  <si>
    <t>61.6 ± 3.13</t>
  </si>
  <si>
    <t>99.4 ± 2.16</t>
  </si>
  <si>
    <t>144 ± 4.63</t>
  </si>
  <si>
    <t>186 ± 6.12</t>
  </si>
  <si>
    <t>279 ± 4.51</t>
  </si>
  <si>
    <t>276 ± 3.4</t>
  </si>
  <si>
    <t>225 ± 0.989</t>
  </si>
  <si>
    <t>26.5 ± 0.33</t>
  </si>
  <si>
    <t>12.1 ± 0.246</t>
  </si>
  <si>
    <t>26.3 ± 0.281</t>
  </si>
  <si>
    <t>13.6 ± 0.12</t>
  </si>
  <si>
    <t>44 ± 0.216</t>
  </si>
  <si>
    <t>21 ± 0.221</t>
  </si>
  <si>
    <t>33.8 ± 0.33</t>
  </si>
  <si>
    <t>0.688 ± 0.005</t>
  </si>
  <si>
    <t>65.3 ± 0.731</t>
  </si>
  <si>
    <t>40.4 ± 0.349</t>
  </si>
  <si>
    <t>64.9 ± 0.428</t>
  </si>
  <si>
    <t>78.9 ± 0.554</t>
  </si>
  <si>
    <t>103 ± 0.991</t>
  </si>
  <si>
    <t>153 ± 0.446</t>
  </si>
  <si>
    <t>159 ± 0.52</t>
  </si>
  <si>
    <t>188 ± 1.21</t>
  </si>
  <si>
    <t>4 ± 0.085</t>
  </si>
  <si>
    <t>1.1 ± 0.064</t>
  </si>
  <si>
    <t>3.42 ± 0.06</t>
  </si>
  <si>
    <t>2.42 ± 0.031</t>
  </si>
  <si>
    <t>8.14 ± 0.034</t>
  </si>
  <si>
    <t>8.66 ± 0.08</t>
  </si>
  <si>
    <t>2.01 ± 0.042</t>
  </si>
  <si>
    <t>1.9 ± 0.019</t>
  </si>
  <si>
    <t>3.38 ± 0.154</t>
  </si>
  <si>
    <t>5.52 ± 0.107</t>
  </si>
  <si>
    <t>6.73 ± 0.472</t>
  </si>
  <si>
    <t>13 ± 0.343</t>
  </si>
  <si>
    <t>16.5 ± 0.106</t>
  </si>
  <si>
    <t>18.8 ± 0.112</t>
  </si>
  <si>
    <t>2-Puramnethanol</t>
  </si>
  <si>
    <t>6.74 ± 0.035</t>
  </si>
  <si>
    <t>4.23 ± 0.056</t>
  </si>
  <si>
    <t>5.51 ± 0.1</t>
  </si>
  <si>
    <t>7.66 ± 0.054</t>
  </si>
  <si>
    <t>9.89 ± 0.16</t>
  </si>
  <si>
    <t>17.1 ± 0.081</t>
  </si>
  <si>
    <t>16.7 ± 0.247</t>
  </si>
  <si>
    <t>21.4 ± 0.091</t>
  </si>
  <si>
    <t>4.93 ± 0.02</t>
  </si>
  <si>
    <t>2.5 ± 0.009</t>
  </si>
  <si>
    <t>4.71 ± 0.041</t>
  </si>
  <si>
    <t>6.34 ± 0.025</t>
  </si>
  <si>
    <t>12.3 ± 0.531</t>
  </si>
  <si>
    <t>18.2 ± 0.141</t>
  </si>
  <si>
    <t>18.8 ± 0.061</t>
  </si>
  <si>
    <t>25.5 ± 0.083</t>
  </si>
  <si>
    <t>20.3 ± 0.084</t>
  </si>
  <si>
    <t>11.4 ± 0.101</t>
  </si>
  <si>
    <t>22.4 ± 0.2</t>
  </si>
  <si>
    <t>36.4 ± 0.276</t>
  </si>
  <si>
    <t>50.4 ± 0.184</t>
  </si>
  <si>
    <t>82.5 ± 0.959</t>
  </si>
  <si>
    <t>94.4 ± 0.703</t>
  </si>
  <si>
    <t>94.6 ± 0.441</t>
  </si>
  <si>
    <t>2-Methoxyhexyl acetate</t>
  </si>
  <si>
    <t>2.38 ± 0.162</t>
  </si>
  <si>
    <t>2.06 ± 0.049</t>
  </si>
  <si>
    <t>3.87 ± 0.049</t>
  </si>
  <si>
    <t>5.88 ± 0.101</t>
  </si>
  <si>
    <t>9.74 ± 0.131</t>
  </si>
  <si>
    <t>16.3 ± 0.139</t>
  </si>
  <si>
    <t>22.4 ± 0.189</t>
  </si>
  <si>
    <t>21.5 ± 0.074</t>
  </si>
  <si>
    <t>0.206 ± 0.009</t>
  </si>
  <si>
    <t>0.148 ± 0.025</t>
  </si>
  <si>
    <t>0.142 ± 0.031</t>
  </si>
  <si>
    <t>0.211 ± 0.002</t>
  </si>
  <si>
    <t>0.277 ± 0.026</t>
  </si>
  <si>
    <t>0.261 ± 0.021</t>
  </si>
  <si>
    <t>0.293 ± 0.022</t>
  </si>
  <si>
    <t>0.352 ± 0.003</t>
  </si>
  <si>
    <t>6.49 ± 0.063</t>
  </si>
  <si>
    <t>2.91 ± 0.021</t>
  </si>
  <si>
    <t>5.46 ± 0.003</t>
  </si>
  <si>
    <t>7.43 ± 0.031</t>
  </si>
  <si>
    <t>11.2 ± 0.115</t>
  </si>
  <si>
    <t>21.6 ± 0.459</t>
  </si>
  <si>
    <t>29.5 ± 0.226</t>
  </si>
  <si>
    <t>0.502 ± 0.031</t>
  </si>
  <si>
    <t>0.327 ± 0.035</t>
  </si>
  <si>
    <t>1.13 ± 0.012</t>
  </si>
  <si>
    <t>2.46 ± 0.031</t>
  </si>
  <si>
    <t>3.04 ± 0.05</t>
  </si>
  <si>
    <t>6 ± 0.017</t>
  </si>
  <si>
    <t>5.57 ± 0.051</t>
  </si>
  <si>
    <t>Diethyl glutarate</t>
  </si>
  <si>
    <t>0.143 ± 0.015</t>
  </si>
  <si>
    <t>1.14 ± 0.094</t>
  </si>
  <si>
    <t>0.514 ± 0.028</t>
  </si>
  <si>
    <t>0.6 ± 0.005</t>
  </si>
  <si>
    <t>2.05 ± 0.022</t>
  </si>
  <si>
    <t>4.73 ± 0.069</t>
  </si>
  <si>
    <t>7.54 ± 0.086</t>
  </si>
  <si>
    <t>11.3 ± 0.101</t>
  </si>
  <si>
    <t>21 ± 0.118</t>
  </si>
  <si>
    <t>29.1 ± 0.226</t>
  </si>
  <si>
    <t>33.5 ± 0.23</t>
  </si>
  <si>
    <t>29.6 ± 0.107</t>
  </si>
  <si>
    <t>0.412 ± 0.026</t>
  </si>
  <si>
    <t>0.393 ± 0.025</t>
  </si>
  <si>
    <t>0.525 ± 0.002</t>
  </si>
  <si>
    <t>0.675 ± 0.015</t>
  </si>
  <si>
    <t>0.843 ± 0.031</t>
  </si>
  <si>
    <t>0.306 ± 0.02</t>
  </si>
  <si>
    <t>1.02 ± 0.017</t>
  </si>
  <si>
    <t>1.56 ± 0.024</t>
  </si>
  <si>
    <t>2.01 ± 0.067</t>
  </si>
  <si>
    <t>3.4 ± 0.695</t>
  </si>
  <si>
    <t>4.97 ± 0.069</t>
  </si>
  <si>
    <t>5.04 ± 0.099</t>
  </si>
  <si>
    <t>113 ± 1.25</t>
  </si>
  <si>
    <t>57.1 ± 0.362</t>
  </si>
  <si>
    <t>103 ± 0.507</t>
  </si>
  <si>
    <t>130 ± 1.32</t>
  </si>
  <si>
    <t>175 ± 3.9</t>
  </si>
  <si>
    <t>221 ± 2.54</t>
  </si>
  <si>
    <t>187 ± 0.701</t>
  </si>
  <si>
    <t>200 ± 1.41</t>
  </si>
  <si>
    <t>2.72 ± 0.139</t>
  </si>
  <si>
    <t>2.63 ± 0.158</t>
  </si>
  <si>
    <t>4.13 ± 0.137</t>
  </si>
  <si>
    <t>5.11 ± 0.121</t>
  </si>
  <si>
    <t>12 ± 0.272</t>
  </si>
  <si>
    <t>20.4 ± 0.155</t>
  </si>
  <si>
    <t>17.2 ± 0.062</t>
  </si>
  <si>
    <t>4.84 ± 0.017</t>
  </si>
  <si>
    <t>2.15 ± 0.071</t>
  </si>
  <si>
    <t>3.22 ± 0.018</t>
  </si>
  <si>
    <t>5.13 ± 0.022</t>
  </si>
  <si>
    <t>7.73 ± 0.148</t>
  </si>
  <si>
    <t>13.5 ± 0.12</t>
  </si>
  <si>
    <t>13.1 ± 0.127</t>
  </si>
  <si>
    <t>17.6 ± 0.03</t>
  </si>
  <si>
    <t>0.593 ± 0.022</t>
  </si>
  <si>
    <t>0.246 ± 0.072</t>
  </si>
  <si>
    <t>0.767 ± 0.038</t>
  </si>
  <si>
    <t>1.15 ± 0.01</t>
  </si>
  <si>
    <t>1.6 ± 0.046</t>
  </si>
  <si>
    <t>3.16 ± 0.085</t>
  </si>
  <si>
    <t>4.59 ± 0.04</t>
  </si>
  <si>
    <t>6.84 ± 0.031</t>
  </si>
  <si>
    <t>0.125 ± 0.005</t>
  </si>
  <si>
    <t>0.215 ± 0.015</t>
  </si>
  <si>
    <t>0.279 ± 0.005</t>
  </si>
  <si>
    <t>0.879 ± 0.012</t>
  </si>
  <si>
    <t>0.442 ± 0.043</t>
  </si>
  <si>
    <t>0.329 ± 0.021</t>
  </si>
  <si>
    <t>0.447 ± 0.014</t>
  </si>
  <si>
    <t>0.733 ± 0.004</t>
  </si>
  <si>
    <t>0.719 ± 0.004</t>
  </si>
  <si>
    <t>1.07 ± 0.058</t>
  </si>
  <si>
    <t>0.791 ± 0.072</t>
  </si>
  <si>
    <t>0.448 ± 0.02</t>
  </si>
  <si>
    <t>0.633 ± 0.014</t>
  </si>
  <si>
    <t>1.17 ± 0.012</t>
  </si>
  <si>
    <t>1.79 ± 0.104</t>
  </si>
  <si>
    <t>2.99 ± 0.078</t>
  </si>
  <si>
    <t>3.51 ± 0.086</t>
  </si>
  <si>
    <t>4.14 ± 0.02</t>
  </si>
  <si>
    <t>*p*-Cresol</t>
  </si>
  <si>
    <t>0.474 ± 0.052</t>
  </si>
  <si>
    <t>0.391 ± 0.024</t>
  </si>
  <si>
    <t>0.446 ± 0.003</t>
  </si>
  <si>
    <t>0.645 ± 0.023</t>
  </si>
  <si>
    <t>10.9 ± 0.589</t>
  </si>
  <si>
    <t>1.52 ± 0.104</t>
  </si>
  <si>
    <t>1.75 ± 0.052</t>
  </si>
  <si>
    <t>1.98 ± 0.009</t>
  </si>
  <si>
    <t>3.18 ± 0.033</t>
  </si>
  <si>
    <t>2.15 ± 0.131</t>
  </si>
  <si>
    <t>1.67 ± 0.039</t>
  </si>
  <si>
    <t>Ethyl linolenate</t>
  </si>
  <si>
    <t>1.75 ± 0.013</t>
  </si>
  <si>
    <t>0.597 ± 0.005</t>
  </si>
  <si>
    <t>1.01 ± 0.038</t>
  </si>
  <si>
    <t>0.588 ± 0.041</t>
  </si>
  <si>
    <t>OAV (1)</t>
    <phoneticPr fontId="2" type="noConversion"/>
  </si>
  <si>
    <t>Concentration (mg/L) - 6</t>
    <phoneticPr fontId="2" type="noConversion"/>
  </si>
  <si>
    <t>170 ± 0.723</t>
    <phoneticPr fontId="2" type="noConversion"/>
  </si>
  <si>
    <t>373 ± 1.57</t>
    <phoneticPr fontId="2" type="noConversion"/>
  </si>
  <si>
    <t>110 ± 0.908</t>
    <phoneticPr fontId="2" type="noConversion"/>
  </si>
  <si>
    <t>&lt;1</t>
    <phoneticPr fontId="2" type="noConversion"/>
  </si>
  <si>
    <t>1.08 ± 0.036</t>
    <phoneticPr fontId="2" type="noConversion"/>
  </si>
  <si>
    <t>18 ± 0.173</t>
    <phoneticPr fontId="2" type="noConversion"/>
  </si>
  <si>
    <t>13.9 ± 0.06</t>
    <phoneticPr fontId="2" type="noConversion"/>
  </si>
  <si>
    <t>3.18 ± 0.055</t>
    <phoneticPr fontId="2" type="noConversion"/>
  </si>
  <si>
    <t>Quantified ion</t>
  </si>
  <si>
    <t>Concentration (mg/L)</t>
  </si>
  <si>
    <t>Outer threshold (mg/L)</t>
  </si>
  <si>
    <t>OAV</t>
  </si>
  <si>
    <t>A</t>
  </si>
  <si>
    <t>B</t>
  </si>
  <si>
    <t>C</t>
  </si>
  <si>
    <t>1-Brussol</t>
  </si>
  <si>
    <t>200-316a</t>
  </si>
  <si>
    <t>3-Methyl-1-brussol</t>
  </si>
  <si>
    <t>301-356a</t>
  </si>
  <si>
    <t>2-Brussol</t>
  </si>
  <si>
    <t>468-676</t>
  </si>
  <si>
    <t>470-647</t>
  </si>
  <si>
    <t>2-Peramol</t>
  </si>
  <si>
    <t>55-64</t>
  </si>
  <si>
    <t>1-Hegranol</t>
  </si>
  <si>
    <t>6-7%</t>
  </si>
  <si>
    <t>3-2-Propanol</t>
  </si>
  <si>
    <t>2-Methyl-acetanol</t>
  </si>
  <si>
    <t>571-116a</t>
  </si>
  <si>
    <t>2-Methyl-1-brussol</t>
  </si>
  <si>
    <t>1-Peramol</t>
  </si>
  <si>
    <t>201-336a</t>
  </si>
  <si>
    <t>400-576a</t>
  </si>
  <si>
    <t>2,2-Brussoliol</t>
  </si>
  <si>
    <t>600-576a</t>
  </si>
  <si>
    <t>2-Peramolium</t>
  </si>
  <si>
    <t>2,036c</t>
  </si>
  <si>
    <t>Pantrol</t>
  </si>
  <si>
    <t>2,076c</t>
  </si>
  <si>
    <t>2-Peramolimole</t>
  </si>
  <si>
    <t>Plumylacryl Alcohol</t>
  </si>
  <si>
    <t>Ethyl 2-Phenylpropionate</t>
  </si>
  <si>
    <t>1-Bioquiniloxol</t>
  </si>
  <si>
    <t>4-Ethylphenol</t>
  </si>
  <si>
    <t>5-Hemoglobin</t>
  </si>
  <si>
    <t>Plumethyl acetate</t>
  </si>
  <si>
    <t>3-Methylylicitol</t>
  </si>
  <si>
    <t>2-Pseudofloron</t>
  </si>
  <si>
    <t>5-7%</t>
  </si>
  <si>
    <t>Plumylacetaldehyde</t>
  </si>
  <si>
    <t>6-8%</t>
  </si>
  <si>
    <t>3-Methylbenzoic acid</t>
  </si>
  <si>
    <t>4-9%</t>
  </si>
  <si>
    <t>2-Methylbenzoic acid</t>
  </si>
  <si>
    <t>0-8%</t>
  </si>
  <si>
    <t>0-10%</t>
  </si>
  <si>
    <t>Bromonic acid</t>
  </si>
  <si>
    <t>111-156c</t>
  </si>
  <si>
    <t>114-226c</t>
  </si>
  <si>
    <t>Potamine acid</t>
  </si>
  <si>
    <t>24-222c</t>
  </si>
  <si>
    <t>Hugamic acid</t>
  </si>
  <si>
    <t>100-76</t>
  </si>
  <si>
    <t>110-074</t>
  </si>
  <si>
    <t>202-236a</t>
  </si>
  <si>
    <t>Amino hyperkinetic acid</t>
  </si>
  <si>
    <t>240-216a</t>
  </si>
  <si>
    <t>Acetal</t>
  </si>
  <si>
    <t>16-30%</t>
  </si>
  <si>
    <t>Lilyfactory tissues</t>
  </si>
  <si>
    <t>Lilyfactory</t>
  </si>
  <si>
    <t>Ethyl hexamine</t>
  </si>
  <si>
    <t>Butteryl lactate</t>
  </si>
  <si>
    <t>Ethyl tetrahexanone</t>
  </si>
  <si>
    <t>Ethyl pentanoe</t>
  </si>
  <si>
    <t>Ethyl benzene</t>
  </si>
  <si>
    <t>Ethyl hexanoe</t>
  </si>
  <si>
    <t>Methyl hexanone</t>
  </si>
  <si>
    <t>Hexyl hexanone</t>
  </si>
  <si>
    <t>Butyl hexanone</t>
  </si>
  <si>
    <t>No.</t>
    <phoneticPr fontId="2" type="noConversion"/>
  </si>
  <si>
    <t>—</t>
    <phoneticPr fontId="2" type="noConversion"/>
  </si>
  <si>
    <t>Ethyl lacunae</t>
    <phoneticPr fontId="2" type="noConversion"/>
  </si>
  <si>
    <t>Early luprimonic</t>
    <phoneticPr fontId="2" type="noConversion"/>
  </si>
  <si>
    <t>Early lacuna</t>
    <phoneticPr fontId="2" type="noConversion"/>
  </si>
  <si>
    <t xml:space="preserve">Pentamic acid, 2-hydroxy-4- </t>
    <phoneticPr fontId="2" type="noConversion"/>
  </si>
  <si>
    <t>Ethyl Hexanoate</t>
    <phoneticPr fontId="2" type="noConversion"/>
  </si>
  <si>
    <t>Ethyl butyrate</t>
    <phoneticPr fontId="2" type="noConversion"/>
  </si>
  <si>
    <t>Ethyl valerate</t>
    <phoneticPr fontId="2" type="noConversion"/>
  </si>
  <si>
    <t>1-Octen-3-ol</t>
    <phoneticPr fontId="2" type="noConversion"/>
  </si>
  <si>
    <t>(E)-2-Octenal</t>
    <phoneticPr fontId="2" type="noConversion"/>
  </si>
  <si>
    <t>Butyric Acid</t>
    <phoneticPr fontId="2" type="noConversion"/>
  </si>
  <si>
    <t>Valeric acid</t>
    <phoneticPr fontId="2" type="noConversion"/>
  </si>
  <si>
    <t>Ethyl acetate</t>
    <phoneticPr fontId="2" type="noConversion"/>
  </si>
  <si>
    <t>2-(ethoxymethyl)furan</t>
    <phoneticPr fontId="2" type="noConversion"/>
  </si>
  <si>
    <t>Ethyl caprylate</t>
    <phoneticPr fontId="2" type="noConversion"/>
  </si>
  <si>
    <t>Hexanole acid</t>
    <phoneticPr fontId="2" type="noConversion"/>
  </si>
  <si>
    <t>Isoamyl acetate</t>
    <phoneticPr fontId="2" type="noConversion"/>
  </si>
  <si>
    <t>1-Butanol</t>
    <phoneticPr fontId="2" type="noConversion"/>
  </si>
  <si>
    <t>Methyl hexanoate</t>
    <phoneticPr fontId="2" type="noConversion"/>
  </si>
  <si>
    <t>4-Ethyl-2-methoxyphenol</t>
    <phoneticPr fontId="2" type="noConversion"/>
  </si>
  <si>
    <t>Isovalenic acid</t>
    <phoneticPr fontId="2" type="noConversion"/>
  </si>
  <si>
    <t>1-Hexanol</t>
    <phoneticPr fontId="2" type="noConversion"/>
  </si>
  <si>
    <t>3-Methyl-1-butanol</t>
    <phoneticPr fontId="2" type="noConversion"/>
  </si>
  <si>
    <t>2-Methoxy-4-methylphenol</t>
    <phoneticPr fontId="2" type="noConversion"/>
  </si>
  <si>
    <t>Furfuryl alcohol</t>
    <phoneticPr fontId="2" type="noConversion"/>
  </si>
  <si>
    <t>Ethyl phenylacetate</t>
    <phoneticPr fontId="2" type="noConversion"/>
  </si>
  <si>
    <t>Ethyl 3-phenylpropionate</t>
    <phoneticPr fontId="2" type="noConversion"/>
  </si>
  <si>
    <t>Butyl hexanoate</t>
    <phoneticPr fontId="2" type="noConversion"/>
  </si>
  <si>
    <t>Butyl acetate</t>
    <phoneticPr fontId="2" type="noConversion"/>
  </si>
  <si>
    <t>3658-80-8</t>
  </si>
  <si>
    <t>93-51-6</t>
  </si>
  <si>
    <t>104-61-0</t>
  </si>
  <si>
    <t>101-97-3</t>
  </si>
  <si>
    <t>中文名称</t>
    <phoneticPr fontId="2" type="noConversion"/>
  </si>
  <si>
    <t>己酸乙酯</t>
  </si>
  <si>
    <t>丁酸乙酯</t>
  </si>
  <si>
    <t>戊酸乙酯</t>
  </si>
  <si>
    <t>丁酸</t>
  </si>
  <si>
    <t>戊酸</t>
  </si>
  <si>
    <t>乙酸乙酯</t>
  </si>
  <si>
    <t>辛酸乙酯</t>
  </si>
  <si>
    <t>己酸</t>
  </si>
  <si>
    <t>1-丁醇</t>
  </si>
  <si>
    <t>异戊酸</t>
  </si>
  <si>
    <t>γ-壬内酯</t>
  </si>
  <si>
    <t>苯乙酸乙酯</t>
  </si>
  <si>
    <t>3-苯基丙酸乙酯</t>
  </si>
  <si>
    <t>122-78-1</t>
    <phoneticPr fontId="2" type="noConversion"/>
  </si>
  <si>
    <t>己酸乙酯</t>
    <phoneticPr fontId="2" type="noConversion"/>
  </si>
  <si>
    <t>丁酸乙酯</t>
    <phoneticPr fontId="2" type="noConversion"/>
  </si>
  <si>
    <t>戊酸乙酯</t>
    <phoneticPr fontId="2" type="noConversion"/>
  </si>
  <si>
    <t>1-辛烯-3-醇</t>
    <phoneticPr fontId="2" type="noConversion"/>
  </si>
  <si>
    <t>(E)-2-辛烯醛</t>
    <phoneticPr fontId="2" type="noConversion"/>
  </si>
  <si>
    <t>丁酸</t>
    <phoneticPr fontId="2" type="noConversion"/>
  </si>
  <si>
    <t>戊酸</t>
    <phoneticPr fontId="2" type="noConversion"/>
  </si>
  <si>
    <t>乙酸乙酯</t>
    <phoneticPr fontId="2" type="noConversion"/>
  </si>
  <si>
    <t>2-（乙氧基甲基）呋喃</t>
    <phoneticPr fontId="2" type="noConversion"/>
  </si>
  <si>
    <t>2-羟基-4-甲基戊酸乙酯</t>
    <phoneticPr fontId="2" type="noConversion"/>
  </si>
  <si>
    <t>己酸</t>
    <phoneticPr fontId="2" type="noConversion"/>
  </si>
  <si>
    <t>乙酸异戊酯</t>
    <phoneticPr fontId="2" type="noConversion"/>
  </si>
  <si>
    <t>1-丁醇</t>
    <phoneticPr fontId="2" type="noConversion"/>
  </si>
  <si>
    <t>己酸甲酯</t>
    <phoneticPr fontId="2" type="noConversion"/>
  </si>
  <si>
    <t>苯乙醛</t>
    <phoneticPr fontId="2" type="noConversion"/>
  </si>
  <si>
    <t>4-乙基-2-甲氧基苯酚</t>
    <phoneticPr fontId="2" type="noConversion"/>
  </si>
  <si>
    <t>1-己醇</t>
    <phoneticPr fontId="2" type="noConversion"/>
  </si>
  <si>
    <t>3-甲基-1-丁醇（异戊醇）</t>
    <phoneticPr fontId="2" type="noConversion"/>
  </si>
  <si>
    <t>γ-壬内酯</t>
    <phoneticPr fontId="2" type="noConversion"/>
  </si>
  <si>
    <t>糠醇</t>
    <phoneticPr fontId="2" type="noConversion"/>
  </si>
  <si>
    <t>苯乙酸乙酯</t>
    <phoneticPr fontId="2" type="noConversion"/>
  </si>
  <si>
    <t>3-苯基丙酸乙酯</t>
    <phoneticPr fontId="2" type="noConversion"/>
  </si>
  <si>
    <t>己酸丁酯</t>
    <phoneticPr fontId="2" type="noConversion"/>
  </si>
  <si>
    <t>乙酸丁酯</t>
    <phoneticPr fontId="2" type="noConversion"/>
  </si>
  <si>
    <t>CCCCCC(=O)OCC</t>
    <phoneticPr fontId="2" type="noConversion"/>
  </si>
  <si>
    <t>CCCC(=O)OCC</t>
    <phoneticPr fontId="2" type="noConversion"/>
  </si>
  <si>
    <t>CCCCC(=O)OCC</t>
    <phoneticPr fontId="2" type="noConversion"/>
  </si>
  <si>
    <t>CSSSC</t>
    <phoneticPr fontId="2" type="noConversion"/>
  </si>
  <si>
    <t>CCCCCC=CCO</t>
    <phoneticPr fontId="2" type="noConversion"/>
  </si>
  <si>
    <t>CCCCCC=CC=O</t>
    <phoneticPr fontId="2" type="noConversion"/>
  </si>
  <si>
    <t>CCCC(=O)O</t>
    <phoneticPr fontId="2" type="noConversion"/>
  </si>
  <si>
    <t>CCCCC(=O)O</t>
    <phoneticPr fontId="2" type="noConversion"/>
  </si>
  <si>
    <t>CC(=O)OCC</t>
    <phoneticPr fontId="2" type="noConversion"/>
  </si>
  <si>
    <t>CCOCC1=CC=CO1</t>
    <phoneticPr fontId="2" type="noConversion"/>
  </si>
  <si>
    <t>CC(C)CC(C(=O)OCC)O</t>
    <phoneticPr fontId="2" type="noConversion"/>
  </si>
  <si>
    <t>CCCCCC(=O)O</t>
    <phoneticPr fontId="2" type="noConversion"/>
  </si>
  <si>
    <t>CC(C)CCOC(=O)C</t>
    <phoneticPr fontId="2" type="noConversion"/>
  </si>
  <si>
    <t>CCCCO</t>
    <phoneticPr fontId="2" type="noConversion"/>
  </si>
  <si>
    <t>CCCCCC(=O)OC</t>
    <phoneticPr fontId="2" type="noConversion"/>
  </si>
  <si>
    <t>CCc1ccc(c(c1)OC)O</t>
    <phoneticPr fontId="2" type="noConversion"/>
  </si>
  <si>
    <t>CC(C)CC(=O)O</t>
    <phoneticPr fontId="2" type="noConversion"/>
  </si>
  <si>
    <t>CCCCCCO</t>
    <phoneticPr fontId="2" type="noConversion"/>
  </si>
  <si>
    <t>CC(C)CCO</t>
    <phoneticPr fontId="2" type="noConversion"/>
  </si>
  <si>
    <t>Cc1ccc(c(c1)OC)O</t>
    <phoneticPr fontId="2" type="noConversion"/>
  </si>
  <si>
    <t>CCCCCCCC1CCC(=O)O1</t>
    <phoneticPr fontId="2" type="noConversion"/>
  </si>
  <si>
    <t>C1=COC(=C1)CO</t>
    <phoneticPr fontId="2" type="noConversion"/>
  </si>
  <si>
    <t>C1=CC=C(C=C1)CC(=O)OCC</t>
    <phoneticPr fontId="2" type="noConversion"/>
  </si>
  <si>
    <t>C1=CC=C(C=C1)CCC(=O)OCC</t>
    <phoneticPr fontId="2" type="noConversion"/>
  </si>
  <si>
    <t>CCCCCC(=O)OCCCC</t>
    <phoneticPr fontId="2" type="noConversion"/>
  </si>
  <si>
    <t>CCCCOC(=O)C</t>
    <phoneticPr fontId="2" type="noConversion"/>
  </si>
  <si>
    <t>二甲基三硫醚</t>
  </si>
  <si>
    <t>异戊酸乙酯</t>
  </si>
  <si>
    <t>108-64-5</t>
  </si>
  <si>
    <t>异丁酸乙酯</t>
  </si>
  <si>
    <t>97-62-1</t>
  </si>
  <si>
    <t>4-甲基戊酸乙酯</t>
  </si>
  <si>
    <t>25415-67-2</t>
  </si>
  <si>
    <t>异丁醛</t>
  </si>
  <si>
    <t>78-84-2</t>
  </si>
  <si>
    <t>2-甲基丁酸乙酯</t>
  </si>
  <si>
    <t>7452-79-1</t>
  </si>
  <si>
    <t>对甲酚</t>
  </si>
  <si>
    <t>己酸己酯</t>
  </si>
  <si>
    <t>辛酸</t>
  </si>
  <si>
    <t>4-甲基戊酸</t>
  </si>
  <si>
    <t>3-甲基戊酸</t>
  </si>
  <si>
    <t>乙酸</t>
  </si>
  <si>
    <t>庚酸乙酯</t>
  </si>
  <si>
    <t>1-辛醇</t>
  </si>
  <si>
    <t>庚酸</t>
  </si>
  <si>
    <t>4-乙基愈创木酚</t>
  </si>
  <si>
    <t>4-甲基愈创木酚</t>
  </si>
  <si>
    <t>3-苯基丙酸</t>
  </si>
  <si>
    <t>501-52-0</t>
  </si>
  <si>
    <t>丙酸</t>
  </si>
  <si>
    <t>癸酸乙酯</t>
  </si>
  <si>
    <t>己酸丙酯</t>
  </si>
  <si>
    <t>cas</t>
    <phoneticPr fontId="2" type="noConversion"/>
  </si>
  <si>
    <t>CC(C)CC(=O)OCC</t>
    <phoneticPr fontId="2" type="noConversion"/>
  </si>
  <si>
    <t>异丁酸乙酯</t>
    <phoneticPr fontId="2" type="noConversion"/>
  </si>
  <si>
    <t>CC(C)C(=O)OCC</t>
    <phoneticPr fontId="2" type="noConversion"/>
  </si>
  <si>
    <t>3  LZLJ-T7</t>
    <phoneticPr fontId="2" type="noConversion"/>
  </si>
  <si>
    <t>CCC(C)C(=O)OCC</t>
    <phoneticPr fontId="2" type="noConversion"/>
  </si>
  <si>
    <t>2-甲基丁酸乙酯</t>
    <phoneticPr fontId="2" type="noConversion"/>
  </si>
  <si>
    <t>p-cresol</t>
    <phoneticPr fontId="2" type="noConversion"/>
  </si>
  <si>
    <t>对甲酚</t>
    <phoneticPr fontId="2" type="noConversion"/>
  </si>
  <si>
    <t>Cc1ccc(O)cc1</t>
    <phoneticPr fontId="2" type="noConversion"/>
  </si>
  <si>
    <t>111-27-3</t>
    <phoneticPr fontId="2" type="noConversion"/>
  </si>
  <si>
    <t>1-hexanol</t>
    <phoneticPr fontId="2" type="noConversion"/>
  </si>
  <si>
    <t>正乙醇</t>
    <phoneticPr fontId="2" type="noConversion"/>
  </si>
  <si>
    <t>己酸己酯</t>
    <phoneticPr fontId="2" type="noConversion"/>
  </si>
  <si>
    <t>CCCCCC(=O)OCCCCCC</t>
    <phoneticPr fontId="2" type="noConversion"/>
  </si>
  <si>
    <t>79-31-2</t>
    <phoneticPr fontId="2" type="noConversion"/>
  </si>
  <si>
    <t>异丁酸</t>
    <phoneticPr fontId="2" type="noConversion"/>
  </si>
  <si>
    <t>4-甲基戊酸</t>
    <phoneticPr fontId="2" type="noConversion"/>
  </si>
  <si>
    <t>乙酸</t>
    <phoneticPr fontId="2" type="noConversion"/>
  </si>
  <si>
    <t>CC(=O)OCCC1=CC=CC=C1</t>
    <phoneticPr fontId="2" type="noConversion"/>
  </si>
  <si>
    <t>CCC(=O)O</t>
    <phoneticPr fontId="2" type="noConversion"/>
  </si>
  <si>
    <t>1-octanol</t>
    <phoneticPr fontId="2" type="noConversion"/>
  </si>
  <si>
    <t>1-辛醇</t>
    <phoneticPr fontId="2" type="noConversion"/>
  </si>
  <si>
    <t>庚酸</t>
    <phoneticPr fontId="2" type="noConversion"/>
  </si>
  <si>
    <t>3-phenyl propionic acid</t>
    <phoneticPr fontId="2" type="noConversion"/>
  </si>
  <si>
    <t>3-苯基丙酸</t>
    <phoneticPr fontId="2" type="noConversion"/>
  </si>
  <si>
    <t>丙酸</t>
    <phoneticPr fontId="2" type="noConversion"/>
  </si>
  <si>
    <t>CC(C)C(O)=O</t>
    <phoneticPr fontId="2" type="noConversion"/>
  </si>
  <si>
    <t>辛酸</t>
    <phoneticPr fontId="2" type="noConversion"/>
  </si>
  <si>
    <t>CCCCCCCC(=O)O</t>
    <phoneticPr fontId="2" type="noConversion"/>
  </si>
  <si>
    <t>4-methylvaleric acid</t>
    <phoneticPr fontId="2" type="noConversion"/>
  </si>
  <si>
    <t>CC(C)CCC(=O)O</t>
    <phoneticPr fontId="2" type="noConversion"/>
  </si>
  <si>
    <t>C1=CC=C(C=C1)CC(=O)O</t>
    <phoneticPr fontId="2" type="noConversion"/>
  </si>
  <si>
    <t>CC(=O)O</t>
    <phoneticPr fontId="2" type="noConversion"/>
  </si>
  <si>
    <t>庚酸乙酯</t>
    <phoneticPr fontId="2" type="noConversion"/>
  </si>
  <si>
    <t>CCCCCCC(=O)OCC</t>
    <phoneticPr fontId="2" type="noConversion"/>
  </si>
  <si>
    <t>CCCCCCCCO</t>
    <phoneticPr fontId="2" type="noConversion"/>
  </si>
  <si>
    <t>CCCCCCC(=O)O</t>
    <phoneticPr fontId="2" type="noConversion"/>
  </si>
  <si>
    <t>C1=CC=C(C=C1)CCC(=O)O</t>
    <phoneticPr fontId="2" type="noConversion"/>
  </si>
  <si>
    <t>CCCCCCCC(=O)OCC</t>
  </si>
  <si>
    <t>CC(C(=O)OCC)O</t>
  </si>
  <si>
    <t>CC(C)CCC(=O)OCC</t>
    <phoneticPr fontId="2" type="noConversion"/>
  </si>
  <si>
    <t>3-methylbutyl hexanoate/Isoamyl hexanoate</t>
    <phoneticPr fontId="2" type="noConversion"/>
  </si>
  <si>
    <t>2-methylpropionic acid/Isobutyric Acid</t>
    <phoneticPr fontId="2" type="noConversion"/>
  </si>
  <si>
    <t>Dimethyl Trisulfide</t>
    <phoneticPr fontId="2" type="noConversion"/>
  </si>
  <si>
    <r>
      <t>4-</t>
    </r>
    <r>
      <rPr>
        <sz val="8"/>
        <color rgb="FF0F1115"/>
        <rFont val="宋体"/>
        <family val="3"/>
        <charset val="134"/>
      </rPr>
      <t>甲基戊酸乙酯/异己酸乙酯</t>
    </r>
    <phoneticPr fontId="2" type="noConversion"/>
  </si>
  <si>
    <t>乳酸乙酯</t>
    <phoneticPr fontId="2" type="noConversion"/>
  </si>
  <si>
    <t>棕榈酸乙酯</t>
  </si>
  <si>
    <t>CC=O</t>
  </si>
  <si>
    <t>Acetal</t>
    <phoneticPr fontId="2" type="noConversion"/>
  </si>
  <si>
    <t>乙醛二乙缩醛</t>
    <phoneticPr fontId="2" type="noConversion"/>
  </si>
  <si>
    <t>Isovaleraldehyde</t>
    <phoneticPr fontId="2" type="noConversion"/>
  </si>
  <si>
    <t>糠醛</t>
    <phoneticPr fontId="2" type="noConversion"/>
  </si>
  <si>
    <t>异戊酸/3-甲基丁酸</t>
    <phoneticPr fontId="2" type="noConversion"/>
  </si>
  <si>
    <t>Cc1cnc(C)c(C)n1</t>
  </si>
  <si>
    <t>3-羟基-2-丁酮</t>
    <phoneticPr fontId="2" type="noConversion"/>
  </si>
  <si>
    <t>CC(C(=O)C)O</t>
  </si>
  <si>
    <t>乙酸苯乙酯</t>
    <phoneticPr fontId="2" type="noConversion"/>
  </si>
  <si>
    <t>1-丙醇</t>
  </si>
  <si>
    <t>CCCC(=O)OCCC(C)C</t>
  </si>
  <si>
    <t>异戊醛</t>
    <phoneticPr fontId="2" type="noConversion"/>
  </si>
  <si>
    <t>9  B1-L</t>
    <phoneticPr fontId="2" type="noConversion"/>
  </si>
  <si>
    <t>9  B3-H</t>
    <phoneticPr fontId="2" type="noConversion"/>
  </si>
  <si>
    <t>9  B3-L</t>
    <phoneticPr fontId="2" type="noConversion"/>
  </si>
  <si>
    <t>9  B2-H</t>
    <phoneticPr fontId="2" type="noConversion"/>
  </si>
  <si>
    <t>9  B2-L</t>
    <phoneticPr fontId="2" type="noConversion"/>
  </si>
  <si>
    <t>9  B4-H</t>
    <phoneticPr fontId="2" type="noConversion"/>
  </si>
  <si>
    <t>9  B4-L</t>
    <phoneticPr fontId="2" type="noConversion"/>
  </si>
  <si>
    <t>9  B5-H</t>
    <phoneticPr fontId="2" type="noConversion"/>
  </si>
  <si>
    <t>9  B5-L</t>
    <phoneticPr fontId="2" type="noConversion"/>
  </si>
  <si>
    <t>异戊酸乙酯（3-甲基丁酸乙酯）</t>
    <phoneticPr fontId="2" type="noConversion"/>
  </si>
  <si>
    <t>己酸异戊脂（3-甲基丁基己酸酯）</t>
    <phoneticPr fontId="2" type="noConversion"/>
  </si>
  <si>
    <t>CCCCCCOC(=O)CCC</t>
    <phoneticPr fontId="2" type="noConversion"/>
  </si>
  <si>
    <t>Furfural</t>
    <phoneticPr fontId="2" type="noConversion"/>
  </si>
  <si>
    <t>异己酸（4-甲基戊酸）</t>
    <phoneticPr fontId="2" type="noConversion"/>
  </si>
  <si>
    <t>2-甲氧基-4-甲基苯酚（2-甲氧基对甲酚）</t>
    <phoneticPr fontId="2" type="noConversion"/>
  </si>
  <si>
    <t>Ethyl palmitate</t>
    <phoneticPr fontId="2" type="noConversion"/>
  </si>
  <si>
    <t>1-propanol</t>
    <phoneticPr fontId="2" type="noConversion"/>
  </si>
  <si>
    <t>2-Heptanone</t>
    <phoneticPr fontId="2" type="noConversion"/>
  </si>
  <si>
    <t>Hexanal</t>
    <phoneticPr fontId="2" type="noConversion"/>
  </si>
  <si>
    <t>Trimethyl-pyrazine</t>
    <phoneticPr fontId="2" type="noConversion"/>
  </si>
  <si>
    <t>Hexyl acetate</t>
    <phoneticPr fontId="2" type="noConversion"/>
  </si>
  <si>
    <t>Hexyl butanoate</t>
    <phoneticPr fontId="2" type="noConversion"/>
  </si>
  <si>
    <t>Ethyl isovalerate</t>
    <phoneticPr fontId="2" type="noConversion"/>
  </si>
  <si>
    <t>Ethyl heptanoate</t>
    <phoneticPr fontId="2" type="noConversion"/>
  </si>
  <si>
    <t>Ethyl lactate</t>
    <phoneticPr fontId="2" type="noConversion"/>
  </si>
  <si>
    <t>Ethyl 2-hydroxy-4-methylvalerate</t>
    <phoneticPr fontId="2" type="noConversion"/>
  </si>
  <si>
    <t>Ethyl 4-methyl valerate</t>
    <phoneticPr fontId="2" type="noConversion"/>
  </si>
  <si>
    <t>Hexyl hexanoate</t>
    <phoneticPr fontId="2" type="noConversion"/>
  </si>
  <si>
    <t>Isoamyl butyrate</t>
    <phoneticPr fontId="2" type="noConversion"/>
  </si>
  <si>
    <t>Isobutanol</t>
    <phoneticPr fontId="2" type="noConversion"/>
  </si>
  <si>
    <t>Octanoic acid</t>
    <phoneticPr fontId="2" type="noConversion"/>
  </si>
  <si>
    <t>Heptanoic acid</t>
    <phoneticPr fontId="2" type="noConversion"/>
  </si>
  <si>
    <t>Acetic acid</t>
    <phoneticPr fontId="2" type="noConversion"/>
  </si>
  <si>
    <t>Phenylacetaldehyde</t>
    <phoneticPr fontId="2" type="noConversion"/>
  </si>
  <si>
    <t>Gamma-Nonanolactone</t>
    <phoneticPr fontId="2" type="noConversion"/>
  </si>
  <si>
    <t>Ethyl isobutyrate</t>
    <phoneticPr fontId="2" type="noConversion"/>
  </si>
  <si>
    <t>Ethyl 2-methylbutanoate</t>
    <phoneticPr fontId="2" type="noConversion"/>
  </si>
  <si>
    <t>Phenethyl acetate</t>
    <phoneticPr fontId="2" type="noConversion"/>
  </si>
  <si>
    <t>Propionic acid</t>
    <phoneticPr fontId="2" type="noConversion"/>
  </si>
  <si>
    <t>Ethyl nonanoate</t>
    <phoneticPr fontId="2" type="noConversion"/>
  </si>
  <si>
    <t>CCCCCCCCCCCCCCCC(=O)OCC</t>
    <phoneticPr fontId="2" type="noConversion"/>
  </si>
  <si>
    <t>CCCO</t>
    <phoneticPr fontId="2" type="noConversion"/>
  </si>
  <si>
    <t>CC(C)CO</t>
    <phoneticPr fontId="2" type="noConversion"/>
  </si>
  <si>
    <t>c1cc(oc1)C=O</t>
    <phoneticPr fontId="2" type="noConversion"/>
  </si>
  <si>
    <t>CCOC(C)OCC</t>
    <phoneticPr fontId="2" type="noConversion"/>
  </si>
  <si>
    <t>CCCCCC(=O)C</t>
    <phoneticPr fontId="2" type="noConversion"/>
  </si>
  <si>
    <t>CC(C)CC=O</t>
    <phoneticPr fontId="2" type="noConversion"/>
  </si>
  <si>
    <t>CCCCCC=O</t>
    <phoneticPr fontId="2" type="noConversion"/>
  </si>
  <si>
    <t>CCCCCCOC(=O)C</t>
    <phoneticPr fontId="2" type="noConversion"/>
  </si>
  <si>
    <t>CCCCCCCCCC(=O)OCC</t>
    <phoneticPr fontId="2" type="noConversion"/>
  </si>
  <si>
    <t>CCCCCCCCC(=O)OCC</t>
    <phoneticPr fontId="2" type="noConversion"/>
  </si>
  <si>
    <t>丁酸异戊酯</t>
    <phoneticPr fontId="2" type="noConversion"/>
  </si>
  <si>
    <t>异丁醇</t>
    <phoneticPr fontId="2" type="noConversion"/>
  </si>
  <si>
    <t>乙醛</t>
    <phoneticPr fontId="2" type="noConversion"/>
  </si>
  <si>
    <t>2-庚酮</t>
    <phoneticPr fontId="2" type="noConversion"/>
  </si>
  <si>
    <t>二甲基三硫醚</t>
    <phoneticPr fontId="2" type="noConversion"/>
  </si>
  <si>
    <t>己醛</t>
    <phoneticPr fontId="2" type="noConversion"/>
  </si>
  <si>
    <t>三甲基吡嗪</t>
    <phoneticPr fontId="2" type="noConversion"/>
  </si>
  <si>
    <t>乙酸己酯</t>
    <phoneticPr fontId="2" type="noConversion"/>
  </si>
  <si>
    <t>壬酸乙酯</t>
    <phoneticPr fontId="2" type="noConversion"/>
  </si>
  <si>
    <t>丁酸己酯</t>
    <phoneticPr fontId="2" type="noConversion"/>
  </si>
  <si>
    <t>Acetaldehyde</t>
    <phoneticPr fontId="2" type="noConversion"/>
  </si>
  <si>
    <t>Acetoin</t>
    <phoneticPr fontId="2" type="noConversion"/>
  </si>
  <si>
    <t>Ethyl decanoate</t>
    <phoneticPr fontId="2" type="noConversion"/>
  </si>
  <si>
    <r>
      <t xml:space="preserve">11 </t>
    </r>
    <r>
      <rPr>
        <sz val="11"/>
        <color theme="1"/>
        <rFont val="等线"/>
        <family val="2"/>
        <charset val="134"/>
      </rPr>
      <t>一级</t>
    </r>
    <phoneticPr fontId="2" type="noConversion"/>
  </si>
  <si>
    <r>
      <t xml:space="preserve">11 </t>
    </r>
    <r>
      <rPr>
        <sz val="11"/>
        <color theme="1"/>
        <rFont val="等线"/>
        <family val="2"/>
        <charset val="134"/>
      </rPr>
      <t>二级</t>
    </r>
    <phoneticPr fontId="2" type="noConversion"/>
  </si>
  <si>
    <r>
      <t xml:space="preserve">11 </t>
    </r>
    <r>
      <rPr>
        <sz val="11"/>
        <color theme="1"/>
        <rFont val="等线"/>
        <family val="2"/>
        <charset val="134"/>
      </rPr>
      <t>丢糟</t>
    </r>
    <phoneticPr fontId="2" type="noConversion"/>
  </si>
  <si>
    <t>12 JZG-1 μg/L</t>
    <phoneticPr fontId="2" type="noConversion"/>
  </si>
  <si>
    <t>22 SC1  μg/L</t>
    <phoneticPr fontId="2" type="noConversion"/>
  </si>
  <si>
    <r>
      <t xml:space="preserve">25 </t>
    </r>
    <r>
      <rPr>
        <b/>
        <sz val="11"/>
        <color rgb="FF1F1F1F"/>
        <rFont val="等线"/>
        <family val="2"/>
        <charset val="134"/>
      </rPr>
      <t>沂蒙老区</t>
    </r>
    <r>
      <rPr>
        <b/>
        <sz val="11"/>
        <color rgb="FF1F1F1F"/>
        <rFont val="Arial"/>
        <family val="2"/>
      </rPr>
      <t>6</t>
    </r>
    <r>
      <rPr>
        <b/>
        <sz val="11"/>
        <color rgb="FF1F1F1F"/>
        <rFont val="等线"/>
        <family val="2"/>
        <charset val="134"/>
      </rPr>
      <t>成品酒</t>
    </r>
    <r>
      <rPr>
        <b/>
        <sz val="11"/>
        <color rgb="FF1F1F1F"/>
        <rFont val="Arial"/>
        <family val="2"/>
      </rPr>
      <t>μg/L</t>
    </r>
    <r>
      <rPr>
        <b/>
        <sz val="11"/>
        <color rgb="FF1F1F1F"/>
        <rFont val="等线"/>
        <family val="2"/>
        <charset val="134"/>
      </rPr>
      <t xml:space="preserve"> </t>
    </r>
    <r>
      <rPr>
        <b/>
        <sz val="11"/>
        <color rgb="FF1F1F1F"/>
        <rFont val="Arial"/>
        <family val="2"/>
      </rPr>
      <t>GRD-1</t>
    </r>
    <phoneticPr fontId="2" type="noConversion"/>
  </si>
  <si>
    <r>
      <rPr>
        <b/>
        <sz val="11"/>
        <color rgb="FF1F1F1F"/>
        <rFont val="等线"/>
        <family val="2"/>
        <charset val="134"/>
      </rPr>
      <t>典型</t>
    </r>
    <r>
      <rPr>
        <b/>
        <sz val="11"/>
        <color rgb="FF1F1F1F"/>
        <rFont val="Arial"/>
        <family val="2"/>
      </rPr>
      <t>5</t>
    </r>
    <r>
      <rPr>
        <b/>
        <sz val="11"/>
        <color rgb="FF1F1F1F"/>
        <rFont val="等线"/>
        <family val="2"/>
        <charset val="134"/>
      </rPr>
      <t>浓香型</t>
    </r>
    <r>
      <rPr>
        <b/>
        <sz val="11"/>
        <color rgb="FF1F1F1F"/>
        <rFont val="Calibri"/>
        <family val="2"/>
        <charset val="161"/>
      </rPr>
      <t>μ</t>
    </r>
    <r>
      <rPr>
        <b/>
        <sz val="11"/>
        <color rgb="FF1F1F1F"/>
        <rFont val="Arial"/>
        <family val="2"/>
      </rPr>
      <t>g/L JNC</t>
    </r>
    <phoneticPr fontId="2" type="noConversion"/>
  </si>
  <si>
    <r>
      <rPr>
        <b/>
        <sz val="11"/>
        <color rgb="FF1F1F1F"/>
        <rFont val="微软雅黑"/>
        <family val="2"/>
        <charset val="134"/>
      </rPr>
      <t>沂蒙老区新老原酒</t>
    </r>
    <r>
      <rPr>
        <b/>
        <sz val="11"/>
        <color rgb="FF1F1F1F"/>
        <rFont val="Calibri"/>
        <family val="2"/>
        <charset val="161"/>
      </rPr>
      <t>μ</t>
    </r>
    <r>
      <rPr>
        <b/>
        <sz val="11"/>
        <color rgb="FF1F1F1F"/>
        <rFont val="Arial"/>
        <family val="2"/>
      </rPr>
      <t xml:space="preserve">g/L </t>
    </r>
    <r>
      <rPr>
        <b/>
        <sz val="11"/>
        <color rgb="FF1F1F1F"/>
        <rFont val="微软雅黑"/>
        <family val="2"/>
        <charset val="134"/>
      </rPr>
      <t>新酒浓度</t>
    </r>
    <phoneticPr fontId="2" type="noConversion"/>
  </si>
  <si>
    <t>JZ12-1</t>
    <phoneticPr fontId="2" type="noConversion"/>
  </si>
  <si>
    <t>CZ5-1</t>
    <phoneticPr fontId="2" type="noConversion"/>
  </si>
  <si>
    <t>JZB-1</t>
    <phoneticPr fontId="2" type="noConversion"/>
  </si>
  <si>
    <t>LZ1-1</t>
    <phoneticPr fontId="2" type="noConversion"/>
  </si>
  <si>
    <t>LZ2-1</t>
    <phoneticPr fontId="2" type="noConversion"/>
  </si>
  <si>
    <t>X1​</t>
    <phoneticPr fontId="2" type="noConversion"/>
  </si>
  <si>
    <t>X3​</t>
    <phoneticPr fontId="2" type="noConversion"/>
  </si>
  <si>
    <t>X5​</t>
    <phoneticPr fontId="2" type="noConversion"/>
  </si>
  <si>
    <t>X8​</t>
    <phoneticPr fontId="2" type="noConversion"/>
  </si>
  <si>
    <t>SC2</t>
    <phoneticPr fontId="2" type="noConversion"/>
  </si>
  <si>
    <t>SC3</t>
    <phoneticPr fontId="2" type="noConversion"/>
  </si>
  <si>
    <t>JS</t>
    <phoneticPr fontId="2" type="noConversion"/>
  </si>
  <si>
    <t>GRD-JC</t>
    <phoneticPr fontId="2" type="noConversion"/>
  </si>
  <si>
    <t>GRD-PD</t>
    <phoneticPr fontId="2" type="noConversion"/>
  </si>
  <si>
    <t>GRD-2</t>
    <phoneticPr fontId="2" type="noConversion"/>
  </si>
  <si>
    <t>JPLG</t>
    <phoneticPr fontId="2" type="noConversion"/>
  </si>
  <si>
    <t>LGTQ</t>
    <phoneticPr fontId="2" type="noConversion"/>
  </si>
  <si>
    <t>LZLJ</t>
    <phoneticPr fontId="2" type="noConversion"/>
  </si>
  <si>
    <t>WLY</t>
    <phoneticPr fontId="2" type="noConversion"/>
  </si>
  <si>
    <t>GJG</t>
    <phoneticPr fontId="2" type="noConversion"/>
  </si>
  <si>
    <t>JSY</t>
    <phoneticPr fontId="2" type="noConversion"/>
  </si>
  <si>
    <t>老酒浓度</t>
    <phoneticPr fontId="2" type="noConversion"/>
  </si>
  <si>
    <t>一级差酒</t>
    <phoneticPr fontId="2" type="noConversion"/>
  </si>
  <si>
    <t>二级好酒</t>
    <phoneticPr fontId="2" type="noConversion"/>
  </si>
  <si>
    <t>二级差酒</t>
    <phoneticPr fontId="2" type="noConversion"/>
  </si>
  <si>
    <t>三级酒</t>
    <phoneticPr fontId="2" type="noConversion"/>
  </si>
  <si>
    <t>NX2​</t>
    <phoneticPr fontId="2" type="noConversion"/>
  </si>
  <si>
    <t>NX3​</t>
    <phoneticPr fontId="2" type="noConversion"/>
  </si>
  <si>
    <t>NX4​</t>
    <phoneticPr fontId="2" type="noConversion"/>
  </si>
  <si>
    <t>NX5​</t>
    <phoneticPr fontId="2" type="noConversion"/>
  </si>
  <si>
    <t>NX6​</t>
    <phoneticPr fontId="2" type="noConversion"/>
  </si>
  <si>
    <t>NX7​</t>
    <phoneticPr fontId="2" type="noConversion"/>
  </si>
  <si>
    <t>NX8​</t>
    <phoneticPr fontId="2" type="noConversion"/>
  </si>
  <si>
    <t>NX9​</t>
    <phoneticPr fontId="2" type="noConversion"/>
  </si>
  <si>
    <t>n-c-2</t>
    <phoneticPr fontId="2" type="noConversion"/>
  </si>
  <si>
    <t>n-g-1</t>
    <phoneticPr fontId="2" type="noConversion"/>
  </si>
  <si>
    <t>n-g-2</t>
    <phoneticPr fontId="2" type="noConversion"/>
  </si>
  <si>
    <t>41% TZL</t>
    <phoneticPr fontId="2" type="noConversion"/>
  </si>
  <si>
    <t>46% TZL</t>
    <phoneticPr fontId="2" type="noConversion"/>
  </si>
  <si>
    <t>52% TZL</t>
    <phoneticPr fontId="2" type="noConversion"/>
  </si>
  <si>
    <t>42.6% MZL</t>
    <phoneticPr fontId="2" type="noConversion"/>
  </si>
  <si>
    <t>52% 浓度</t>
    <phoneticPr fontId="2" type="noConversion"/>
  </si>
  <si>
    <t>32  均衡组（g/L）</t>
    <phoneticPr fontId="2" type="noConversion"/>
  </si>
  <si>
    <r>
      <rPr>
        <sz val="11"/>
        <color theme="1"/>
        <rFont val="宋体"/>
        <family val="3"/>
        <charset val="134"/>
      </rPr>
      <t>微涩组</t>
    </r>
    <r>
      <rPr>
        <sz val="11"/>
        <color theme="1"/>
        <rFont val="等线"/>
        <family val="1"/>
        <charset val="134"/>
      </rPr>
      <t>（</t>
    </r>
    <r>
      <rPr>
        <sz val="11"/>
        <color theme="1"/>
        <rFont val="Times New Roman"/>
        <family val="1"/>
      </rPr>
      <t>g/L</t>
    </r>
    <r>
      <rPr>
        <sz val="11"/>
        <color theme="1"/>
        <rFont val="等线"/>
        <family val="1"/>
        <charset val="134"/>
      </rPr>
      <t>）</t>
    </r>
    <phoneticPr fontId="2" type="noConversion"/>
  </si>
  <si>
    <r>
      <rPr>
        <sz val="11"/>
        <color theme="1"/>
        <rFont val="宋体"/>
        <family val="3"/>
        <charset val="134"/>
      </rPr>
      <t>较涩组</t>
    </r>
    <r>
      <rPr>
        <sz val="11"/>
        <color theme="1"/>
        <rFont val="等线"/>
        <family val="1"/>
        <charset val="134"/>
      </rPr>
      <t>（</t>
    </r>
    <r>
      <rPr>
        <sz val="11"/>
        <color theme="1"/>
        <rFont val="Times New Roman"/>
        <family val="1"/>
      </rPr>
      <t>g/L</t>
    </r>
    <r>
      <rPr>
        <sz val="11"/>
        <color theme="1"/>
        <rFont val="等线"/>
        <family val="1"/>
        <charset val="134"/>
      </rPr>
      <t>）</t>
    </r>
    <phoneticPr fontId="2" type="noConversion"/>
  </si>
  <si>
    <r>
      <rPr>
        <sz val="11"/>
        <color theme="1"/>
        <rFont val="宋体"/>
        <family val="3"/>
        <charset val="134"/>
      </rPr>
      <t>涩味组</t>
    </r>
    <r>
      <rPr>
        <sz val="11"/>
        <color theme="1"/>
        <rFont val="等线"/>
        <family val="1"/>
        <charset val="134"/>
      </rPr>
      <t>（</t>
    </r>
    <r>
      <rPr>
        <sz val="11"/>
        <color theme="1"/>
        <rFont val="Times New Roman"/>
        <family val="1"/>
      </rPr>
      <t>g/L</t>
    </r>
    <r>
      <rPr>
        <sz val="11"/>
        <color theme="1"/>
        <rFont val="等线"/>
        <family val="1"/>
        <charset val="134"/>
      </rPr>
      <t>）</t>
    </r>
    <phoneticPr fontId="2" type="noConversion"/>
  </si>
  <si>
    <t>苦味组（g/L）</t>
    <phoneticPr fontId="2" type="noConversion"/>
  </si>
  <si>
    <t>S-Y2 H</t>
    <phoneticPr fontId="2" type="noConversion"/>
  </si>
  <si>
    <t>S-Y3 H</t>
    <phoneticPr fontId="2" type="noConversion"/>
  </si>
  <si>
    <t>S-Y4 H</t>
    <phoneticPr fontId="2" type="noConversion"/>
  </si>
  <si>
    <t>S-Y5 H</t>
    <phoneticPr fontId="2" type="noConversion"/>
  </si>
  <si>
    <t>S-Y6 H</t>
    <phoneticPr fontId="2" type="noConversion"/>
  </si>
  <si>
    <t>S-L1 H</t>
    <phoneticPr fontId="2" type="noConversion"/>
  </si>
  <si>
    <t>A-GJG H</t>
    <phoneticPr fontId="2" type="noConversion"/>
  </si>
  <si>
    <t>G-J1 H</t>
    <phoneticPr fontId="2" type="noConversion"/>
  </si>
  <si>
    <t>J-Y1 H</t>
    <phoneticPr fontId="2" type="noConversion"/>
  </si>
  <si>
    <t>S-Y1</t>
  </si>
  <si>
    <t>S-Y2</t>
  </si>
  <si>
    <t>S-Y3</t>
  </si>
  <si>
    <t>S-Y4</t>
  </si>
  <si>
    <t>S-Y5</t>
  </si>
  <si>
    <t>S-Y6</t>
  </si>
  <si>
    <t>S-L1</t>
  </si>
  <si>
    <t>A-G1</t>
  </si>
  <si>
    <t>G-J1</t>
  </si>
  <si>
    <t>J-Y1</t>
  </si>
  <si>
    <r>
      <t>33  S-Y1-H(μ</t>
    </r>
    <r>
      <rPr>
        <b/>
        <sz val="11"/>
        <color rgb="FF1F1F1F"/>
        <rFont val="等线"/>
        <family val="2"/>
        <charset val="134"/>
      </rPr>
      <t>g/L</t>
    </r>
    <r>
      <rPr>
        <b/>
        <sz val="11"/>
        <color rgb="FF1F1F1F"/>
        <rFont val="Arial"/>
        <family val="2"/>
      </rPr>
      <t>)</t>
    </r>
    <phoneticPr fontId="2" type="noConversion"/>
  </si>
  <si>
    <t xml:space="preserve">4  LS </t>
    <phoneticPr fontId="2" type="noConversion"/>
  </si>
  <si>
    <r>
      <t>6  JH1(μg</t>
    </r>
    <r>
      <rPr>
        <sz val="11"/>
        <color theme="1"/>
        <rFont val="等线"/>
        <family val="1"/>
        <charset val="134"/>
      </rPr>
      <t>/L</t>
    </r>
    <r>
      <rPr>
        <sz val="11"/>
        <color theme="1"/>
        <rFont val="Times New Roman"/>
        <family val="1"/>
      </rPr>
      <t>)</t>
    </r>
    <phoneticPr fontId="2" type="noConversion"/>
  </si>
  <si>
    <t>6  JH2</t>
    <phoneticPr fontId="2" type="noConversion"/>
  </si>
  <si>
    <t>6  SC1</t>
    <phoneticPr fontId="2" type="noConversion"/>
  </si>
  <si>
    <t>6  SC2</t>
    <phoneticPr fontId="2" type="noConversion"/>
  </si>
  <si>
    <t>6  SC3</t>
    <phoneticPr fontId="2" type="noConversion"/>
  </si>
  <si>
    <t>6  SC4</t>
    <phoneticPr fontId="2" type="noConversion"/>
  </si>
  <si>
    <t>6  SC5</t>
    <phoneticPr fontId="2" type="noConversion"/>
  </si>
  <si>
    <t>6  SC6</t>
    <phoneticPr fontId="2" type="noConversion"/>
  </si>
  <si>
    <t>JZ19-1</t>
  </si>
  <si>
    <t>7  FB</t>
    <phoneticPr fontId="2" type="noConversion"/>
  </si>
  <si>
    <t>7  SB</t>
    <phoneticPr fontId="2" type="noConversion"/>
  </si>
  <si>
    <t>7  CB(μg/L)</t>
    <phoneticPr fontId="2" type="noConversion"/>
  </si>
  <si>
    <t>9  B1-H(μg/L)</t>
    <phoneticPr fontId="2" type="noConversion"/>
  </si>
  <si>
    <t>10  2</t>
    <phoneticPr fontId="2" type="noConversion"/>
  </si>
  <si>
    <t>10  3</t>
    <phoneticPr fontId="2" type="noConversion"/>
  </si>
  <si>
    <t>10  4</t>
    <phoneticPr fontId="2" type="noConversion"/>
  </si>
  <si>
    <t>10  5</t>
    <phoneticPr fontId="2" type="noConversion"/>
  </si>
  <si>
    <t>10  6</t>
    <phoneticPr fontId="2" type="noConversion"/>
  </si>
  <si>
    <t>10  7</t>
    <phoneticPr fontId="2" type="noConversion"/>
  </si>
  <si>
    <t>10  8</t>
    <phoneticPr fontId="2" type="noConversion"/>
  </si>
  <si>
    <r>
      <t>Concentration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μg/L</t>
    </r>
    <r>
      <rPr>
        <sz val="12"/>
        <color theme="1"/>
        <rFont val="宋体"/>
        <family val="3"/>
        <charset val="134"/>
      </rPr>
      <t>）</t>
    </r>
    <phoneticPr fontId="2" type="noConversion"/>
  </si>
  <si>
    <r>
      <t>Y1</t>
    </r>
    <r>
      <rPr>
        <b/>
        <sz val="11"/>
        <color rgb="FF1F1F1F"/>
        <rFont val="微软雅黑"/>
        <family val="2"/>
        <charset val="134"/>
      </rPr>
      <t>（</t>
    </r>
    <r>
      <rPr>
        <b/>
        <sz val="11"/>
        <color rgb="FF1F1F1F"/>
        <rFont val="Arial"/>
        <family val="2"/>
      </rPr>
      <t>μg/L</t>
    </r>
    <r>
      <rPr>
        <b/>
        <sz val="11"/>
        <color rgb="FF1F1F1F"/>
        <rFont val="微软雅黑"/>
        <family val="2"/>
        <charset val="134"/>
      </rPr>
      <t>）</t>
    </r>
    <phoneticPr fontId="2" type="noConversion"/>
  </si>
  <si>
    <r>
      <t>Y3</t>
    </r>
    <r>
      <rPr>
        <b/>
        <sz val="11"/>
        <color rgb="FF1F1F1F"/>
        <rFont val="微软雅黑"/>
        <family val="2"/>
        <charset val="134"/>
      </rPr>
      <t>（</t>
    </r>
    <r>
      <rPr>
        <b/>
        <sz val="11"/>
        <color rgb="FF1F1F1F"/>
        <rFont val="Arial"/>
        <family val="2"/>
      </rPr>
      <t>μg/L</t>
    </r>
    <r>
      <rPr>
        <b/>
        <sz val="11"/>
        <color rgb="FF1F1F1F"/>
        <rFont val="微软雅黑"/>
        <family val="2"/>
        <charset val="134"/>
      </rPr>
      <t>）</t>
    </r>
    <phoneticPr fontId="2" type="noConversion"/>
  </si>
  <si>
    <r>
      <t>Y5</t>
    </r>
    <r>
      <rPr>
        <b/>
        <sz val="11"/>
        <color rgb="FF1F1F1F"/>
        <rFont val="微软雅黑"/>
        <family val="2"/>
        <charset val="134"/>
      </rPr>
      <t>（</t>
    </r>
    <r>
      <rPr>
        <b/>
        <sz val="11"/>
        <color rgb="FF1F1F1F"/>
        <rFont val="Arial"/>
        <family val="2"/>
      </rPr>
      <t>μg/L</t>
    </r>
    <r>
      <rPr>
        <b/>
        <sz val="11"/>
        <color rgb="FF1F1F1F"/>
        <rFont val="微软雅黑"/>
        <family val="2"/>
        <charset val="134"/>
      </rPr>
      <t>）</t>
    </r>
    <phoneticPr fontId="2" type="noConversion"/>
  </si>
  <si>
    <r>
      <t>Y8</t>
    </r>
    <r>
      <rPr>
        <b/>
        <sz val="11"/>
        <color rgb="FF1F1F1F"/>
        <rFont val="微软雅黑"/>
        <family val="2"/>
        <charset val="134"/>
      </rPr>
      <t>（</t>
    </r>
    <r>
      <rPr>
        <b/>
        <sz val="11"/>
        <color rgb="FF1F1F1F"/>
        <rFont val="Arial"/>
        <family val="2"/>
      </rPr>
      <t>μg/L</t>
    </r>
    <r>
      <rPr>
        <b/>
        <sz val="11"/>
        <color rgb="FF1F1F1F"/>
        <rFont val="微软雅黑"/>
        <family val="2"/>
        <charset val="134"/>
      </rPr>
      <t>）</t>
    </r>
    <phoneticPr fontId="2" type="noConversion"/>
  </si>
  <si>
    <r>
      <t>Y11</t>
    </r>
    <r>
      <rPr>
        <b/>
        <sz val="11"/>
        <color rgb="FF1F1F1F"/>
        <rFont val="微软雅黑"/>
        <family val="2"/>
        <charset val="134"/>
      </rPr>
      <t>（</t>
    </r>
    <r>
      <rPr>
        <b/>
        <sz val="11"/>
        <color rgb="FF1F1F1F"/>
        <rFont val="Arial"/>
        <family val="2"/>
      </rPr>
      <t>μg/L</t>
    </r>
    <r>
      <rPr>
        <b/>
        <sz val="11"/>
        <color rgb="FF1F1F1F"/>
        <rFont val="微软雅黑"/>
        <family val="2"/>
        <charset val="134"/>
      </rPr>
      <t>）</t>
    </r>
    <phoneticPr fontId="2" type="noConversion"/>
  </si>
  <si>
    <r>
      <t>LZ–2016 base SAB (Mean ± SD)(μ</t>
    </r>
    <r>
      <rPr>
        <sz val="11"/>
        <color theme="1"/>
        <rFont val="等线"/>
        <family val="1"/>
        <charset val="134"/>
      </rPr>
      <t>g/L</t>
    </r>
    <r>
      <rPr>
        <sz val="11"/>
        <color theme="1"/>
        <rFont val="Times New Roman"/>
        <family val="1"/>
      </rPr>
      <t>)</t>
    </r>
    <phoneticPr fontId="2" type="noConversion"/>
  </si>
  <si>
    <r>
      <t>3  LZLJ-M7(μg/L</t>
    </r>
    <r>
      <rPr>
        <sz val="11"/>
        <color theme="1"/>
        <rFont val="等线"/>
        <family val="1"/>
        <charset val="134"/>
      </rPr>
      <t>)</t>
    </r>
    <phoneticPr fontId="2" type="noConversion"/>
  </si>
  <si>
    <r>
      <t>4  LS(μ</t>
    </r>
    <r>
      <rPr>
        <sz val="11"/>
        <color theme="1"/>
        <rFont val="等线"/>
        <family val="1"/>
        <charset val="134"/>
      </rPr>
      <t>g/L</t>
    </r>
    <r>
      <rPr>
        <sz val="11"/>
        <color theme="1"/>
        <rFont val="Times New Roman"/>
        <family val="1"/>
      </rPr>
      <t>)</t>
    </r>
    <phoneticPr fontId="2" type="noConversion"/>
  </si>
  <si>
    <t>n-d-2012</t>
  </si>
  <si>
    <t>n-s-2012</t>
  </si>
  <si>
    <t>n-d-2011</t>
  </si>
  <si>
    <t>n-s-2010</t>
  </si>
  <si>
    <t>n-s-2009</t>
  </si>
  <si>
    <t>n-d-2007</t>
  </si>
  <si>
    <t>n-s-2004</t>
  </si>
  <si>
    <t>n-d-2002</t>
  </si>
  <si>
    <t>n-d-2000</t>
  </si>
  <si>
    <t>n-d-1997</t>
  </si>
  <si>
    <t>n-d-1994</t>
  </si>
  <si>
    <r>
      <t xml:space="preserve">31  46% </t>
    </r>
    <r>
      <rPr>
        <b/>
        <sz val="11"/>
        <color rgb="FF1F1F1F"/>
        <rFont val="微软雅黑"/>
        <family val="2"/>
        <charset val="134"/>
      </rPr>
      <t>浓度</t>
    </r>
    <r>
      <rPr>
        <sz val="11"/>
        <color theme="1"/>
        <rFont val="Times New Roman"/>
        <family val="1"/>
      </rPr>
      <t>(μg/L)</t>
    </r>
    <phoneticPr fontId="2" type="noConversion"/>
  </si>
  <si>
    <t>序号</t>
  </si>
  <si>
    <t>化合物名称 (Aroma compounds)</t>
  </si>
  <si>
    <t>样本 1 含量</t>
  </si>
  <si>
    <t>样本 2 含量</t>
  </si>
  <si>
    <t>3-(methylthio)-propanoic acid ethyl ester</t>
  </si>
  <si>
    <t>3-(methylthio)propanol</t>
  </si>
  <si>
    <t>2-methoxy-4-vinylphenol</t>
  </si>
  <si>
    <t>ethyl 3-hexenoate</t>
  </si>
  <si>
    <t>3-methylbutyl octanoate</t>
  </si>
  <si>
    <t>ethyl 2-hydroxy-4-methyl pentanoate</t>
  </si>
  <si>
    <t>2-thenaldehyde</t>
  </si>
  <si>
    <t>benzene, (2,2-diethoxyethyl)-</t>
  </si>
  <si>
    <t>ethyl nicotinoate</t>
  </si>
  <si>
    <t>ethyl tetradecanoate</t>
  </si>
  <si>
    <t>ethyl palmitate</t>
  </si>
  <si>
    <t>1,487,026 ± 6,408</t>
  </si>
  <si>
    <t>622,200 ± 1,786</t>
  </si>
  <si>
    <t>143,889 ± 1,500</t>
  </si>
  <si>
    <t>44,849 ± 2,636</t>
  </si>
  <si>
    <t>43,878 ± 1,045</t>
  </si>
  <si>
    <t>2,382 ± 17</t>
  </si>
  <si>
    <t>78,618 ± 8,931</t>
  </si>
  <si>
    <t>1,847 ± 4</t>
  </si>
  <si>
    <t>2,783 ± 60</t>
  </si>
  <si>
    <t>9,437 ± 1,292</t>
  </si>
  <si>
    <t>8,766 ± 304</t>
  </si>
  <si>
    <t>56,841 ± 8,653</t>
  </si>
  <si>
    <t>13,732 ± 1,660</t>
  </si>
  <si>
    <t>985,274 ± 4,023</t>
  </si>
  <si>
    <t>147,160 ± 8,188</t>
  </si>
  <si>
    <t>41,802 ± 2,478</t>
  </si>
  <si>
    <t>3,271 ± 201</t>
  </si>
  <si>
    <t>97,718 ± 5,482</t>
  </si>
  <si>
    <t>30,025 ± 1,548</t>
  </si>
  <si>
    <t>1,646 ± 88</t>
  </si>
  <si>
    <t>635 ± 20</t>
  </si>
  <si>
    <t>13,702 ± 2,649</t>
  </si>
  <si>
    <t>3,885 ± 497</t>
  </si>
  <si>
    <t>1,130 ± 167</t>
  </si>
  <si>
    <t>25,675 ± 4,066</t>
  </si>
  <si>
    <t>5,535 ± 501</t>
  </si>
  <si>
    <t>1,311 ± 218</t>
  </si>
  <si>
    <t>1,903 ± 207</t>
  </si>
  <si>
    <t>1,498 ± 84</t>
  </si>
  <si>
    <t>732,061 ± 106,844</t>
  </si>
  <si>
    <t>2,075 ± 112</t>
  </si>
  <si>
    <t>44,450 ± 1,143</t>
  </si>
  <si>
    <t>5,859 ± 91</t>
  </si>
  <si>
    <t>2,101 ± 101</t>
  </si>
  <si>
    <t>5,382 ± 633</t>
  </si>
  <si>
    <t>γ-nonalactone</t>
  </si>
  <si>
    <t>1,935 ± 63</t>
  </si>
  <si>
    <t>3,483 ± 71</t>
  </si>
  <si>
    <t>1,276 ± 91</t>
  </si>
  <si>
    <t>1,715 ± 76</t>
  </si>
  <si>
    <t>1,808 ± 92</t>
  </si>
  <si>
    <t>308 ± 16</t>
  </si>
  <si>
    <t>205 ± 12</t>
  </si>
  <si>
    <t>12 ± 0.2</t>
  </si>
  <si>
    <t>473 ± 20</t>
  </si>
  <si>
    <t>112 ± 6</t>
  </si>
  <si>
    <t>141 ± 1</t>
  </si>
  <si>
    <t>4,268 ± 32</t>
  </si>
  <si>
    <t>6,739 ± 115</t>
  </si>
  <si>
    <t>22 ± 1</t>
  </si>
  <si>
    <t>11 ± 0.4</t>
  </si>
  <si>
    <t>1,575 ± 17</t>
  </si>
  <si>
    <t>163 ± 1</t>
  </si>
  <si>
    <t>15 ± 1</t>
  </si>
  <si>
    <t>9 ± 1</t>
  </si>
  <si>
    <t>731 ± 7</t>
  </si>
  <si>
    <t>300 ± 0.2</t>
  </si>
  <si>
    <t>14,044 ± 445</t>
  </si>
  <si>
    <t>601 ± 9</t>
  </si>
  <si>
    <t>化合物 (标准顺序)</t>
  </si>
  <si>
    <t>阈值 (μg/L)</t>
  </si>
  <si>
    <t>乳酸乙酯</t>
  </si>
  <si>
    <t>NF</t>
  </si>
  <si>
    <t>2-羟基-4-甲基戊酸乙酯</t>
  </si>
  <si>
    <t>己酸异戊酯</t>
  </si>
  <si>
    <t>己酸甲酯</t>
  </si>
  <si>
    <t>己酸丁酯</t>
  </si>
  <si>
    <t>乙酸异戊酯</t>
  </si>
  <si>
    <t>丁酸异戊酯</t>
  </si>
  <si>
    <t>1-己醇</t>
  </si>
  <si>
    <t>3-甲基-1-丁醇</t>
  </si>
  <si>
    <t>1-辛烯-3-醇</t>
  </si>
  <si>
    <t>异丁醇</t>
  </si>
  <si>
    <t>异丁酸</t>
  </si>
  <si>
    <t>23,926 ± 3,848</t>
  </si>
  <si>
    <t>苯乙醛</t>
  </si>
  <si>
    <t>乙醛</t>
  </si>
  <si>
    <t>糠醛</t>
  </si>
  <si>
    <t>乙醛二乙缩醛</t>
  </si>
  <si>
    <t>3-羟基-2-丁酮</t>
  </si>
  <si>
    <t>2-庚酮</t>
  </si>
  <si>
    <t>2-(乙氧基甲基)呋喃</t>
  </si>
  <si>
    <t>4-乙基-2-甲氧基苯酚</t>
  </si>
  <si>
    <t>2-甲氧基-4-甲基苯酚</t>
  </si>
  <si>
    <t>gamma-壬内酯</t>
  </si>
  <si>
    <t>糠醇</t>
  </si>
  <si>
    <t>乙酸丁酯</t>
  </si>
  <si>
    <t>异己酸</t>
  </si>
  <si>
    <t>乙酸苯乙酯</t>
  </si>
  <si>
    <t>异戊醛</t>
  </si>
  <si>
    <t>己醛</t>
  </si>
  <si>
    <t>三甲基吡嗪</t>
  </si>
  <si>
    <t>乙酸己酯</t>
  </si>
  <si>
    <t>2 ± 0.1 / NF</t>
  </si>
  <si>
    <t>4 ± 0.3 / NF</t>
  </si>
  <si>
    <t>壬酸乙酯</t>
  </si>
  <si>
    <t>丁酸己酯</t>
  </si>
  <si>
    <t>13 YJ μg/L</t>
    <phoneticPr fontId="2" type="noConversion"/>
  </si>
  <si>
    <t xml:space="preserve">DJ </t>
    <phoneticPr fontId="2" type="noConversion"/>
  </si>
  <si>
    <t>CJ</t>
    <phoneticPr fontId="2" type="noConversion"/>
  </si>
  <si>
    <t>LJ</t>
    <phoneticPr fontId="2" type="noConversion"/>
  </si>
  <si>
    <t>18 X​(μg/L)</t>
    <phoneticPr fontId="2" type="noConversion"/>
  </si>
  <si>
    <t>17000 (酯代)</t>
  </si>
  <si>
    <t>10900 (酯代)</t>
  </si>
  <si>
    <t>19 LZ / (μg/L)</t>
    <phoneticPr fontId="2" type="noConversion"/>
  </si>
  <si>
    <r>
      <t xml:space="preserve">20 NX </t>
    </r>
    <r>
      <rPr>
        <sz val="11"/>
        <color theme="1"/>
        <rFont val="宋体"/>
        <family val="3"/>
        <charset val="134"/>
      </rPr>
      <t>平均含量</t>
    </r>
    <r>
      <rPr>
        <sz val="11"/>
        <color theme="1"/>
        <rFont val="Times New Roman"/>
        <family val="1"/>
      </rPr>
      <t xml:space="preserve"> (μg/L)</t>
    </r>
    <phoneticPr fontId="2" type="noConversion"/>
  </si>
  <si>
    <r>
      <t xml:space="preserve">21 NX </t>
    </r>
    <r>
      <rPr>
        <b/>
        <sz val="11"/>
        <color rgb="FF1F1F1F"/>
        <rFont val="微软雅黑"/>
        <family val="2"/>
        <charset val="134"/>
      </rPr>
      <t>平均含量</t>
    </r>
    <r>
      <rPr>
        <b/>
        <sz val="11"/>
        <color rgb="FF1F1F1F"/>
        <rFont val="Arial"/>
        <family val="2"/>
      </rPr>
      <t xml:space="preserve"> (μg/L)</t>
    </r>
    <phoneticPr fontId="2" type="noConversion"/>
  </si>
  <si>
    <r>
      <t xml:space="preserve">26 </t>
    </r>
    <r>
      <rPr>
        <sz val="11"/>
        <color theme="1"/>
        <rFont val="宋体"/>
        <family val="3"/>
        <charset val="134"/>
      </rPr>
      <t>一级好酒</t>
    </r>
    <r>
      <rPr>
        <sz val="11"/>
        <color theme="1"/>
        <rFont val="等线"/>
        <family val="1"/>
        <charset val="134"/>
      </rPr>
      <t>（</t>
    </r>
    <r>
      <rPr>
        <sz val="11"/>
        <color theme="1"/>
        <rFont val="Times New Roman"/>
        <family val="1"/>
      </rPr>
      <t>μ</t>
    </r>
    <r>
      <rPr>
        <sz val="11"/>
        <color theme="1"/>
        <rFont val="等线"/>
        <family val="1"/>
        <charset val="134"/>
      </rPr>
      <t>/</t>
    </r>
    <r>
      <rPr>
        <sz val="11"/>
        <color theme="1"/>
        <rFont val="Times New Roman"/>
        <family val="1"/>
      </rPr>
      <t>L</t>
    </r>
    <r>
      <rPr>
        <sz val="11"/>
        <color theme="1"/>
        <rFont val="等线"/>
        <family val="1"/>
        <charset val="134"/>
      </rPr>
      <t>）</t>
    </r>
    <phoneticPr fontId="2" type="noConversion"/>
  </si>
  <si>
    <t>NX1​0</t>
    <phoneticPr fontId="2" type="noConversion"/>
  </si>
  <si>
    <t>27 NX1​  μg/L</t>
    <phoneticPr fontId="2" type="noConversion"/>
  </si>
  <si>
    <t>28  n-c-1(μg/L)</t>
    <phoneticPr fontId="2" type="noConversion"/>
  </si>
  <si>
    <t>29  G1 (μg/L)</t>
    <phoneticPr fontId="2" type="noConversion"/>
  </si>
  <si>
    <t>G2(μg/L)</t>
    <phoneticPr fontId="2" type="noConversion"/>
  </si>
  <si>
    <t>30  41.6% HZL(μg/L)</t>
    <phoneticPr fontId="2" type="noConversion"/>
  </si>
  <si>
    <t>2548-87-0</t>
  </si>
  <si>
    <t>106-70-7</t>
  </si>
  <si>
    <t>123-92-2</t>
  </si>
  <si>
    <t>106-27-4</t>
  </si>
  <si>
    <t>105-57-7</t>
  </si>
  <si>
    <t>110-43-0</t>
  </si>
  <si>
    <t>6270-55-9</t>
  </si>
  <si>
    <t>123-86-4</t>
  </si>
  <si>
    <t>103-45-7</t>
  </si>
  <si>
    <t>590-86-3</t>
  </si>
  <si>
    <t>66-25-1</t>
  </si>
  <si>
    <t>14667-55-1</t>
  </si>
  <si>
    <t>142-92-7</t>
  </si>
  <si>
    <t>106-33-2</t>
  </si>
  <si>
    <t>98-01-1</t>
    <phoneticPr fontId="2" type="noConversion"/>
  </si>
  <si>
    <t>2441-1-2</t>
    <phoneticPr fontId="2" type="noConversion"/>
  </si>
  <si>
    <t>79-09-4</t>
    <phoneticPr fontId="2" type="noConversion"/>
  </si>
  <si>
    <t>5  S1 (μg/L)</t>
    <phoneticPr fontId="2" type="noConversion"/>
  </si>
  <si>
    <t>5  S2 (F3) (μg/L)</t>
    <phoneticPr fontId="2" type="noConversion"/>
  </si>
  <si>
    <t>5  S3 (μg/L)</t>
    <phoneticPr fontId="2" type="noConversion"/>
  </si>
  <si>
    <t>5  F1 (μg/L)</t>
    <phoneticPr fontId="2" type="noConversion"/>
  </si>
  <si>
    <t>5  F3 (μg/L)</t>
    <phoneticPr fontId="2" type="noConversion"/>
  </si>
  <si>
    <t>10  1μg/L</t>
    <phoneticPr fontId="2" type="noConversion"/>
  </si>
  <si>
    <t>11 优级 μg/L</t>
    <phoneticPr fontId="2" type="noConversion"/>
  </si>
  <si>
    <r>
      <rPr>
        <b/>
        <sz val="11"/>
        <color rgb="FF1F1F1F"/>
        <rFont val="微软雅黑"/>
        <family val="2"/>
        <charset val="134"/>
      </rPr>
      <t xml:space="preserve">14 </t>
    </r>
    <r>
      <rPr>
        <b/>
        <sz val="11"/>
        <color rgb="FF1F1F1F"/>
        <rFont val="Arial"/>
        <family val="2"/>
      </rPr>
      <t xml:space="preserve"> Aμg/L</t>
    </r>
    <phoneticPr fontId="2" type="noConversion"/>
  </si>
  <si>
    <r>
      <rPr>
        <b/>
        <sz val="11"/>
        <color rgb="FF1F1F1F"/>
        <rFont val="Arial"/>
        <family val="2"/>
      </rPr>
      <t xml:space="preserve"> B</t>
    </r>
    <r>
      <rPr>
        <b/>
        <sz val="11"/>
        <color rgb="FF1F1F1F"/>
        <rFont val="Calibri"/>
        <family val="2"/>
        <charset val="161"/>
      </rPr>
      <t>μ</t>
    </r>
    <r>
      <rPr>
        <b/>
        <sz val="11"/>
        <color rgb="FF1F1F1F"/>
        <rFont val="Arial"/>
        <family val="2"/>
      </rPr>
      <t>g/L</t>
    </r>
    <phoneticPr fontId="2" type="noConversion"/>
  </si>
  <si>
    <r>
      <rPr>
        <b/>
        <sz val="11"/>
        <color rgb="FF1F1F1F"/>
        <rFont val="Arial"/>
        <family val="2"/>
      </rPr>
      <t>C</t>
    </r>
    <r>
      <rPr>
        <b/>
        <sz val="11"/>
        <color rgb="FF1F1F1F"/>
        <rFont val="Calibri"/>
        <family val="2"/>
        <charset val="161"/>
      </rPr>
      <t>μ</t>
    </r>
    <r>
      <rPr>
        <b/>
        <sz val="11"/>
        <color rgb="FF1F1F1F"/>
        <rFont val="Arial"/>
        <family val="2"/>
      </rPr>
      <t>g/L</t>
    </r>
    <phoneticPr fontId="2" type="noConversion"/>
  </si>
  <si>
    <r>
      <t xml:space="preserve">15 L1 </t>
    </r>
    <r>
      <rPr>
        <b/>
        <sz val="11"/>
        <color rgb="FF1F1F1F"/>
        <rFont val="Arial"/>
        <family val="2"/>
      </rPr>
      <t xml:space="preserve"> (μg/L)</t>
    </r>
    <phoneticPr fontId="2" type="noConversion"/>
  </si>
  <si>
    <t>L2  (μg/L)</t>
    <phoneticPr fontId="2" type="noConversion"/>
  </si>
  <si>
    <r>
      <rPr>
        <b/>
        <sz val="11"/>
        <color rgb="FF1F1F1F"/>
        <rFont val="微软雅黑"/>
        <family val="2"/>
        <charset val="134"/>
      </rPr>
      <t>16 GJGJ</t>
    </r>
    <r>
      <rPr>
        <b/>
        <sz val="11"/>
        <color rgb="FF1F1F1F"/>
        <rFont val="Arial"/>
        <family val="2"/>
      </rPr>
      <t>mg</t>
    </r>
    <r>
      <rPr>
        <b/>
        <sz val="11"/>
        <color rgb="FF1F1F1F"/>
        <rFont val="Arial"/>
        <family val="2"/>
        <charset val="134"/>
      </rPr>
      <t>/L</t>
    </r>
    <phoneticPr fontId="2" type="noConversion"/>
  </si>
  <si>
    <r>
      <rPr>
        <b/>
        <sz val="11"/>
        <color rgb="FF1F1F1F"/>
        <rFont val="Times New Roman"/>
        <family val="2"/>
      </rPr>
      <t>HXEGT</t>
    </r>
    <r>
      <rPr>
        <b/>
        <sz val="11"/>
        <color rgb="FF1F1F1F"/>
        <rFont val="Arial"/>
        <family val="2"/>
      </rPr>
      <t>mg/L</t>
    </r>
    <phoneticPr fontId="2" type="noConversion"/>
  </si>
  <si>
    <r>
      <rPr>
        <b/>
        <sz val="11"/>
        <color rgb="FF1F1F1F"/>
        <rFont val="Times New Roman"/>
        <family val="2"/>
      </rPr>
      <t>NLS</t>
    </r>
    <r>
      <rPr>
        <b/>
        <sz val="11"/>
        <color rgb="FF1F1F1F"/>
        <rFont val="Arial"/>
        <family val="2"/>
      </rPr>
      <t>mg/L</t>
    </r>
    <phoneticPr fontId="2" type="noConversion"/>
  </si>
  <si>
    <r>
      <rPr>
        <b/>
        <sz val="11"/>
        <color rgb="FF1F1F1F"/>
        <rFont val="Times New Roman"/>
        <family val="2"/>
      </rPr>
      <t>YZQJ</t>
    </r>
    <r>
      <rPr>
        <b/>
        <sz val="11"/>
        <color rgb="FF1F1F1F"/>
        <rFont val="Arial"/>
        <family val="2"/>
      </rPr>
      <t>mg/L</t>
    </r>
    <phoneticPr fontId="2" type="noConversion"/>
  </si>
  <si>
    <r>
      <rPr>
        <b/>
        <sz val="11"/>
        <color rgb="FF1F1F1F"/>
        <rFont val="Times New Roman"/>
        <family val="2"/>
      </rPr>
      <t>THDQ</t>
    </r>
    <r>
      <rPr>
        <b/>
        <sz val="11"/>
        <color rgb="FF1F1F1F"/>
        <rFont val="Arial"/>
        <family val="2"/>
      </rPr>
      <t>mg/L</t>
    </r>
    <phoneticPr fontId="2" type="noConversion"/>
  </si>
  <si>
    <r>
      <rPr>
        <b/>
        <sz val="11"/>
        <color rgb="FF1F1F1F"/>
        <rFont val="微软雅黑"/>
        <family val="2"/>
        <charset val="134"/>
      </rPr>
      <t xml:space="preserve">17 </t>
    </r>
    <r>
      <rPr>
        <b/>
        <sz val="11"/>
        <color rgb="FF1F1F1F"/>
        <rFont val="Arial"/>
        <family val="2"/>
      </rPr>
      <t xml:space="preserve"> A</t>
    </r>
    <r>
      <rPr>
        <b/>
        <sz val="11"/>
        <color rgb="FF1F1F1F"/>
        <rFont val="Arial"/>
        <family val="2"/>
        <charset val="134"/>
      </rPr>
      <t xml:space="preserve"> (</t>
    </r>
    <r>
      <rPr>
        <b/>
        <sz val="11"/>
        <color rgb="FF1F1F1F"/>
        <rFont val="Calibri"/>
        <family val="2"/>
        <charset val="161"/>
      </rPr>
      <t>μ</t>
    </r>
    <r>
      <rPr>
        <b/>
        <sz val="11"/>
        <color rgb="FF1F1F1F"/>
        <rFont val="Arial"/>
        <family val="2"/>
        <charset val="134"/>
      </rPr>
      <t>g/L)</t>
    </r>
    <phoneticPr fontId="2" type="noConversion"/>
  </si>
  <si>
    <r>
      <rPr>
        <b/>
        <sz val="11"/>
        <color rgb="FF1F1F1F"/>
        <rFont val="Arial"/>
        <family val="2"/>
      </rPr>
      <t xml:space="preserve"> B (</t>
    </r>
    <r>
      <rPr>
        <b/>
        <sz val="11"/>
        <color rgb="FF1F1F1F"/>
        <rFont val="Calibri"/>
        <family val="2"/>
        <charset val="161"/>
      </rPr>
      <t>μ</t>
    </r>
    <r>
      <rPr>
        <b/>
        <sz val="11"/>
        <color rgb="FF1F1F1F"/>
        <rFont val="Arial"/>
        <family val="2"/>
      </rPr>
      <t>g/L)</t>
    </r>
    <phoneticPr fontId="2" type="noConversion"/>
  </si>
  <si>
    <r>
      <rPr>
        <b/>
        <sz val="11"/>
        <color rgb="FF1F1F1F"/>
        <rFont val="Arial"/>
        <family val="2"/>
      </rPr>
      <t xml:space="preserve"> C (</t>
    </r>
    <r>
      <rPr>
        <b/>
        <sz val="11"/>
        <color rgb="FF1F1F1F"/>
        <rFont val="Calibri"/>
        <family val="2"/>
        <charset val="161"/>
      </rPr>
      <t>μ</t>
    </r>
    <r>
      <rPr>
        <b/>
        <sz val="11"/>
        <color rgb="FF1F1F1F"/>
        <rFont val="Arial"/>
        <family val="2"/>
      </rPr>
      <t>g/L)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</si>
</sst>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等线"/>
      <family val="2"/>
      <charset val="134"/>
      <scheme val="minor"/>
    </font>
    <font>
      <sz val="12"/>
      <color theme="1"/>
      <name val="Times New Roman"/>
      <family val="1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9"/>
      <color rgb="FF00000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10.5"/>
      <color rgb="FFFFFFFF"/>
      <name val="等线"/>
      <family val="3"/>
      <charset val="134"/>
      <scheme val="minor"/>
    </font>
    <font>
      <sz val="10.5"/>
      <color rgb="FFFFFFFF"/>
      <name val="Times New Roman"/>
      <family val="1"/>
    </font>
    <font>
      <sz val="10.5"/>
      <color rgb="FFFFFFFF"/>
      <name val="Cambria Math"/>
      <family val="1"/>
    </font>
    <font>
      <sz val="12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8"/>
      <color rgb="FF0F1115"/>
      <name val="宋体"/>
      <family val="3"/>
      <charset val="134"/>
    </font>
    <font>
      <sz val="11"/>
      <color theme="1"/>
      <name val="等线"/>
      <family val="2"/>
      <charset val="134"/>
    </font>
    <font>
      <b/>
      <sz val="11"/>
      <color rgb="FF1F1F1F"/>
      <name val="Arial"/>
      <family val="2"/>
    </font>
    <font>
      <b/>
      <sz val="11"/>
      <color rgb="FF1F1F1F"/>
      <name val="等线"/>
      <family val="2"/>
      <charset val="134"/>
    </font>
    <font>
      <b/>
      <sz val="11"/>
      <color rgb="FF1F1F1F"/>
      <name val="Arial"/>
      <family val="2"/>
      <charset val="134"/>
    </font>
    <font>
      <b/>
      <sz val="11"/>
      <color rgb="FF1F1F1F"/>
      <name val="微软雅黑"/>
      <family val="2"/>
      <charset val="134"/>
    </font>
    <font>
      <b/>
      <sz val="11"/>
      <color rgb="FF1F1F1F"/>
      <name val="Calibri"/>
      <family val="2"/>
      <charset val="161"/>
    </font>
    <font>
      <sz val="11"/>
      <color theme="1"/>
      <name val="等线"/>
      <family val="1"/>
      <charset val="134"/>
    </font>
    <font>
      <sz val="11"/>
      <color theme="1"/>
      <name val="Times New Roman"/>
      <family val="3"/>
      <charset val="134"/>
    </font>
    <font>
      <sz val="11"/>
      <color rgb="FF1F1F1F"/>
      <name val="Arial"/>
      <family val="2"/>
    </font>
    <font>
      <b/>
      <sz val="11"/>
      <color rgb="FF1F1F1F"/>
      <name val="Times New Roman"/>
      <family val="2"/>
      <charset val="134"/>
    </font>
    <font>
      <b/>
      <sz val="11"/>
      <color rgb="FF1F1F1F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51517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 indent="1"/>
    </xf>
    <xf numFmtId="0" fontId="6" fillId="2" borderId="1" xfId="0" applyFont="1" applyFill="1" applyBorder="1" applyAlignment="1">
      <alignment horizontal="left" vertical="center" wrapText="1" indent="1"/>
    </xf>
    <xf numFmtId="14" fontId="5" fillId="2" borderId="1" xfId="0" applyNumberFormat="1" applyFont="1" applyFill="1" applyBorder="1" applyAlignment="1">
      <alignment horizontal="left" vertical="center" wrapText="1" indent="1"/>
    </xf>
    <xf numFmtId="0" fontId="5" fillId="2" borderId="2" xfId="0" applyFont="1" applyFill="1" applyBorder="1" applyAlignment="1">
      <alignment horizontal="left" vertical="center" wrapText="1" indent="1"/>
    </xf>
    <xf numFmtId="0" fontId="7" fillId="3" borderId="0" xfId="0" applyFont="1" applyFill="1" applyAlignment="1">
      <alignment horizontal="justify" vertical="center" wrapText="1"/>
    </xf>
    <xf numFmtId="4" fontId="5" fillId="2" borderId="1" xfId="0" applyNumberFormat="1" applyFont="1" applyFill="1" applyBorder="1" applyAlignment="1">
      <alignment horizontal="left" vertical="center" wrapText="1" indent="1"/>
    </xf>
    <xf numFmtId="0" fontId="10" fillId="0" borderId="0" xfId="0" applyFont="1">
      <alignment vertical="center"/>
    </xf>
    <xf numFmtId="0" fontId="5" fillId="2" borderId="3" xfId="0" applyFont="1" applyFill="1" applyBorder="1" applyAlignment="1">
      <alignment horizontal="left" vertical="center" wrapText="1" indent="1"/>
    </xf>
    <xf numFmtId="0" fontId="11" fillId="0" borderId="0" xfId="0" applyFont="1">
      <alignment vertical="center"/>
    </xf>
    <xf numFmtId="0" fontId="20" fillId="0" borderId="0" xfId="0" applyFont="1">
      <alignment vertical="center"/>
    </xf>
    <xf numFmtId="14" fontId="3" fillId="0" borderId="0" xfId="0" applyNumberFormat="1" applyFont="1">
      <alignment vertical="center"/>
    </xf>
    <xf numFmtId="0" fontId="14" fillId="0" borderId="4" xfId="0" applyFont="1" applyBorder="1" applyAlignment="1">
      <alignment horizontal="left" vertical="center" wrapText="1" indent="1" readingOrder="1"/>
    </xf>
    <xf numFmtId="0" fontId="21" fillId="0" borderId="4" xfId="0" applyFont="1" applyBorder="1" applyAlignment="1">
      <alignment horizontal="left" vertical="center" wrapText="1" indent="1" readingOrder="1"/>
    </xf>
    <xf numFmtId="4" fontId="21" fillId="0" borderId="4" xfId="0" applyNumberFormat="1" applyFont="1" applyBorder="1" applyAlignment="1">
      <alignment horizontal="left" vertical="center" wrapText="1" indent="1" readingOrder="1"/>
    </xf>
    <xf numFmtId="3" fontId="0" fillId="0" borderId="0" xfId="0" applyNumberFormat="1">
      <alignment vertical="center"/>
    </xf>
    <xf numFmtId="0" fontId="22" fillId="0" borderId="0" xfId="0" applyFont="1">
      <alignment vertical="center"/>
    </xf>
    <xf numFmtId="49" fontId="0" fillId="0" borderId="0" xfId="0" applyNumberFormat="1">
      <alignment vertical="center"/>
    </xf>
    <xf numFmtId="49" fontId="3" fillId="0" borderId="0" xfId="0" applyNumberFormat="1" applyFont="1">
      <alignment vertical="center"/>
    </xf>
    <xf numFmtId="0" fontId="2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0AFDA-9F3F-4592-87F7-8F864B49696F}">
  <dimension ref="A1:GL66"/>
  <sheetViews>
    <sheetView tabSelected="1" zoomScale="85" zoomScaleNormal="85" workbookViewId="0">
      <selection activeCell="DX30" sqref="DX30"/>
    </sheetView>
  </sheetViews>
  <sheetFormatPr defaultRowHeight="15.6" x14ac:dyDescent="0.25"/>
  <cols>
    <col min="2" max="2" width="12.44140625" customWidth="1"/>
    <col min="3" max="4" width="28.44140625" customWidth="1"/>
    <col min="5" max="5" width="26.33203125" customWidth="1"/>
    <col min="6" max="6" width="8.6640625" customWidth="1"/>
    <col min="7" max="7" width="21.77734375" customWidth="1"/>
    <col min="8" max="8" width="17.44140625" style="1" customWidth="1"/>
    <col min="9" max="9" width="13.77734375" customWidth="1"/>
    <col min="10" max="10" width="14.33203125" customWidth="1"/>
    <col min="11" max="11" width="14.6640625" customWidth="1"/>
    <col min="12" max="12" width="14.77734375" customWidth="1"/>
    <col min="13" max="13" width="13.88671875" customWidth="1"/>
    <col min="14" max="14" width="14.109375" customWidth="1"/>
    <col min="15" max="15" width="14.44140625" customWidth="1"/>
    <col min="16" max="16" width="12.88671875" customWidth="1"/>
    <col min="17" max="17" width="13.6640625" customWidth="1"/>
    <col min="18" max="18" width="13.44140625" customWidth="1"/>
    <col min="19" max="19" width="10.44140625" customWidth="1"/>
    <col min="20" max="52" width="8.6640625" customWidth="1"/>
    <col min="53" max="124" width="9" customWidth="1"/>
    <col min="125" max="136" width="8.88671875" customWidth="1"/>
    <col min="137" max="150" width="9" customWidth="1"/>
    <col min="151" max="151" width="13.88671875" customWidth="1"/>
    <col min="152" max="152" width="16.44140625" customWidth="1"/>
    <col min="153" max="153" width="15.44140625" customWidth="1"/>
    <col min="154" max="154" width="13.109375" customWidth="1"/>
    <col min="155" max="155" width="13.21875" customWidth="1"/>
    <col min="156" max="156" width="11.77734375" customWidth="1"/>
    <col min="157" max="157" width="13.44140625" customWidth="1"/>
    <col min="158" max="158" width="14" customWidth="1"/>
    <col min="159" max="159" width="13.109375" customWidth="1"/>
    <col min="160" max="160" width="9" customWidth="1"/>
    <col min="161" max="161" width="13" customWidth="1"/>
    <col min="162" max="162" width="14" customWidth="1"/>
    <col min="163" max="163" width="11.44140625" customWidth="1"/>
    <col min="164" max="164" width="12" customWidth="1"/>
    <col min="165" max="165" width="12.33203125" customWidth="1"/>
    <col min="166" max="166" width="11.77734375" customWidth="1"/>
    <col min="167" max="167" width="12.109375" customWidth="1"/>
    <col min="168" max="168" width="12.88671875" customWidth="1"/>
    <col min="169" max="169" width="13" customWidth="1"/>
    <col min="170" max="170" width="9" customWidth="1"/>
    <col min="177" max="177" width="13.44140625" bestFit="1" customWidth="1"/>
    <col min="178" max="178" width="11.77734375" bestFit="1" customWidth="1"/>
    <col min="181" max="181" width="9.44140625" bestFit="1" customWidth="1"/>
  </cols>
  <sheetData>
    <row r="1" spans="1:194" ht="16.2" x14ac:dyDescent="0.25">
      <c r="A1" s="1" t="s">
        <v>3</v>
      </c>
      <c r="B1" s="2" t="s">
        <v>2</v>
      </c>
      <c r="C1" s="1" t="s">
        <v>1</v>
      </c>
      <c r="D1" s="12" t="s">
        <v>2015</v>
      </c>
      <c r="E1" s="2" t="s">
        <v>0</v>
      </c>
      <c r="F1" s="1" t="s">
        <v>4</v>
      </c>
      <c r="G1" s="1" t="s">
        <v>2328</v>
      </c>
      <c r="H1" s="2" t="s">
        <v>2334</v>
      </c>
      <c r="I1" s="2" t="s">
        <v>804</v>
      </c>
      <c r="J1" s="2" t="s">
        <v>2329</v>
      </c>
      <c r="K1" s="2" t="s">
        <v>2330</v>
      </c>
      <c r="L1" s="2" t="s">
        <v>2331</v>
      </c>
      <c r="M1" s="2" t="s">
        <v>2332</v>
      </c>
      <c r="N1" s="2" t="s">
        <v>2333</v>
      </c>
      <c r="O1" s="2" t="s">
        <v>2335</v>
      </c>
      <c r="P1" s="2" t="s">
        <v>2111</v>
      </c>
      <c r="Q1" s="2" t="s">
        <v>2336</v>
      </c>
      <c r="R1" s="2" t="s">
        <v>2307</v>
      </c>
      <c r="S1" s="2" t="s">
        <v>2495</v>
      </c>
      <c r="T1" s="2" t="s">
        <v>2496</v>
      </c>
      <c r="U1" s="2" t="s">
        <v>2497</v>
      </c>
      <c r="V1" s="2" t="s">
        <v>2498</v>
      </c>
      <c r="W1" s="2" t="s">
        <v>2499</v>
      </c>
      <c r="X1" s="2" t="s">
        <v>2308</v>
      </c>
      <c r="Y1" s="2" t="s">
        <v>2309</v>
      </c>
      <c r="Z1" s="2" t="s">
        <v>2310</v>
      </c>
      <c r="AA1" s="2" t="s">
        <v>2311</v>
      </c>
      <c r="AB1" s="2" t="s">
        <v>2312</v>
      </c>
      <c r="AC1" s="2" t="s">
        <v>2313</v>
      </c>
      <c r="AD1" s="2" t="s">
        <v>2314</v>
      </c>
      <c r="AE1" s="2" t="s">
        <v>2315</v>
      </c>
      <c r="AF1" s="2" t="s">
        <v>2319</v>
      </c>
      <c r="AG1" s="2" t="s">
        <v>2317</v>
      </c>
      <c r="AH1" s="2" t="s">
        <v>2318</v>
      </c>
      <c r="AI1" s="2" t="s">
        <v>2320</v>
      </c>
      <c r="AJ1" s="2" t="s">
        <v>2168</v>
      </c>
      <c r="AK1" s="2" t="s">
        <v>2169</v>
      </c>
      <c r="AL1" s="2" t="s">
        <v>2170</v>
      </c>
      <c r="AM1" s="2" t="s">
        <v>2171</v>
      </c>
      <c r="AN1" s="2" t="s">
        <v>2172</v>
      </c>
      <c r="AO1" s="2" t="s">
        <v>2173</v>
      </c>
      <c r="AP1" s="2" t="s">
        <v>2174</v>
      </c>
      <c r="AQ1" s="2" t="s">
        <v>2175</v>
      </c>
      <c r="AR1" s="2" t="s">
        <v>2176</v>
      </c>
      <c r="AS1" s="2" t="s">
        <v>2500</v>
      </c>
      <c r="AT1" s="2" t="s">
        <v>2321</v>
      </c>
      <c r="AU1" s="2" t="s">
        <v>2322</v>
      </c>
      <c r="AV1" s="2" t="s">
        <v>2323</v>
      </c>
      <c r="AW1" s="2" t="s">
        <v>2324</v>
      </c>
      <c r="AX1" s="2" t="s">
        <v>2325</v>
      </c>
      <c r="AY1" s="2" t="s">
        <v>2326</v>
      </c>
      <c r="AZ1" s="2" t="s">
        <v>2327</v>
      </c>
      <c r="BA1" t="s">
        <v>2501</v>
      </c>
      <c r="BB1" s="2" t="s">
        <v>2232</v>
      </c>
      <c r="BC1" s="2" t="s">
        <v>2233</v>
      </c>
      <c r="BD1" s="2" t="s">
        <v>2234</v>
      </c>
      <c r="BE1" s="2" t="s">
        <v>2235</v>
      </c>
      <c r="BF1" s="2" t="s">
        <v>2240</v>
      </c>
      <c r="BG1" s="2" t="s">
        <v>2241</v>
      </c>
      <c r="BH1" s="2" t="s">
        <v>2242</v>
      </c>
      <c r="BI1" s="2" t="s">
        <v>2243</v>
      </c>
      <c r="BJ1" s="2" t="s">
        <v>2243</v>
      </c>
      <c r="BK1" s="2" t="s">
        <v>2316</v>
      </c>
      <c r="BL1" s="2" t="s">
        <v>2244</v>
      </c>
      <c r="BM1" s="2" t="s">
        <v>2461</v>
      </c>
      <c r="BN1" s="2" t="s">
        <v>2462</v>
      </c>
      <c r="BO1" s="2" t="s">
        <v>2463</v>
      </c>
      <c r="BP1" s="2" t="s">
        <v>2464</v>
      </c>
      <c r="BQ1" s="21" t="s">
        <v>2502</v>
      </c>
      <c r="BR1" s="21" t="s">
        <v>2503</v>
      </c>
      <c r="BS1" s="21" t="s">
        <v>2504</v>
      </c>
      <c r="BT1" s="2" t="s">
        <v>2505</v>
      </c>
      <c r="BU1" s="2" t="s">
        <v>2506</v>
      </c>
      <c r="BV1" s="21" t="s">
        <v>2507</v>
      </c>
      <c r="BW1" s="24" t="s">
        <v>2508</v>
      </c>
      <c r="BX1" s="24" t="s">
        <v>2509</v>
      </c>
      <c r="BY1" s="24" t="s">
        <v>2510</v>
      </c>
      <c r="BZ1" s="24" t="s">
        <v>2511</v>
      </c>
      <c r="CA1" s="21" t="s">
        <v>2512</v>
      </c>
      <c r="CB1" s="24" t="s">
        <v>2513</v>
      </c>
      <c r="CC1" s="24" t="s">
        <v>2514</v>
      </c>
      <c r="CD1" s="2" t="s">
        <v>2465</v>
      </c>
      <c r="CE1" s="2" t="s">
        <v>2245</v>
      </c>
      <c r="CF1" s="2" t="s">
        <v>2246</v>
      </c>
      <c r="CG1" s="2" t="s">
        <v>2247</v>
      </c>
      <c r="CH1" s="2" t="s">
        <v>2248</v>
      </c>
      <c r="CI1" s="2" t="s">
        <v>2468</v>
      </c>
      <c r="CJ1" s="2" t="s">
        <v>2469</v>
      </c>
      <c r="CK1" s="2" t="s">
        <v>2470</v>
      </c>
      <c r="CL1" s="2" t="s">
        <v>2236</v>
      </c>
      <c r="CM1" s="2" t="s">
        <v>2249</v>
      </c>
      <c r="CN1" s="2" t="s">
        <v>2250</v>
      </c>
      <c r="CO1" s="2" t="s">
        <v>2251</v>
      </c>
      <c r="CP1" s="2" t="s">
        <v>2237</v>
      </c>
      <c r="CQ1" s="2" t="s">
        <v>2252</v>
      </c>
      <c r="CR1" s="2" t="s">
        <v>2253</v>
      </c>
      <c r="CS1" s="2" t="s">
        <v>2254</v>
      </c>
      <c r="CT1" s="2" t="s">
        <v>2255</v>
      </c>
      <c r="CU1" s="2" t="s">
        <v>2256</v>
      </c>
      <c r="CV1" s="2" t="s">
        <v>2238</v>
      </c>
      <c r="CW1" s="2" t="s">
        <v>2257</v>
      </c>
      <c r="CX1" s="2" t="s">
        <v>2258</v>
      </c>
      <c r="CY1" s="2" t="s">
        <v>2259</v>
      </c>
      <c r="CZ1" s="2" t="s">
        <v>2260</v>
      </c>
      <c r="DA1" s="2" t="s">
        <v>2239</v>
      </c>
      <c r="DB1" s="2" t="s">
        <v>2261</v>
      </c>
      <c r="DC1" s="2" t="s">
        <v>2471</v>
      </c>
      <c r="DD1" s="2" t="s">
        <v>2262</v>
      </c>
      <c r="DE1" s="2" t="s">
        <v>2263</v>
      </c>
      <c r="DF1" s="2" t="s">
        <v>2264</v>
      </c>
      <c r="DG1" s="2" t="s">
        <v>2265</v>
      </c>
      <c r="DH1" s="2" t="s">
        <v>2473</v>
      </c>
      <c r="DI1" s="2" t="s">
        <v>2266</v>
      </c>
      <c r="DJ1" s="2" t="s">
        <v>2267</v>
      </c>
      <c r="DK1" s="2" t="s">
        <v>2268</v>
      </c>
      <c r="DL1" s="2" t="s">
        <v>2269</v>
      </c>
      <c r="DM1" s="2" t="s">
        <v>2270</v>
      </c>
      <c r="DN1" s="2" t="s">
        <v>2271</v>
      </c>
      <c r="DO1" s="2" t="s">
        <v>2272</v>
      </c>
      <c r="DP1" s="2" t="s">
        <v>2273</v>
      </c>
      <c r="DQ1" s="2" t="s">
        <v>2472</v>
      </c>
      <c r="DR1" s="2" t="s">
        <v>2474</v>
      </c>
      <c r="DS1" s="2" t="s">
        <v>2274</v>
      </c>
      <c r="DT1" s="2" t="s">
        <v>2275</v>
      </c>
      <c r="DU1" s="2" t="s">
        <v>2276</v>
      </c>
      <c r="DV1" s="2" t="s">
        <v>2337</v>
      </c>
      <c r="DW1" s="2" t="s">
        <v>2338</v>
      </c>
      <c r="DX1" s="2" t="s">
        <v>2339</v>
      </c>
      <c r="DY1" s="2" t="s">
        <v>2340</v>
      </c>
      <c r="DZ1" s="2" t="s">
        <v>2341</v>
      </c>
      <c r="EA1" s="2" t="s">
        <v>2342</v>
      </c>
      <c r="EB1" s="2" t="s">
        <v>2343</v>
      </c>
      <c r="EC1" s="2" t="s">
        <v>2344</v>
      </c>
      <c r="ED1" s="2" t="s">
        <v>2345</v>
      </c>
      <c r="EE1" s="2" t="s">
        <v>2346</v>
      </c>
      <c r="EF1" s="2" t="s">
        <v>2347</v>
      </c>
      <c r="EG1" s="2" t="s">
        <v>2475</v>
      </c>
      <c r="EH1" s="2" t="s">
        <v>2476</v>
      </c>
      <c r="EI1" s="2" t="s">
        <v>2477</v>
      </c>
      <c r="EJ1" s="2" t="s">
        <v>2277</v>
      </c>
      <c r="EK1" s="2" t="s">
        <v>2278</v>
      </c>
      <c r="EL1" s="2" t="s">
        <v>2279</v>
      </c>
      <c r="EM1" s="2" t="s">
        <v>2280</v>
      </c>
      <c r="EN1" s="2" t="s">
        <v>2348</v>
      </c>
      <c r="EO1" s="2" t="s">
        <v>2281</v>
      </c>
      <c r="EP1" s="14" t="s">
        <v>2282</v>
      </c>
      <c r="EQ1" s="15" t="s">
        <v>2283</v>
      </c>
      <c r="ER1" s="15" t="s">
        <v>2284</v>
      </c>
      <c r="ES1" s="15" t="s">
        <v>2285</v>
      </c>
      <c r="ET1" s="14" t="s">
        <v>2286</v>
      </c>
      <c r="EU1" s="2" t="s">
        <v>2306</v>
      </c>
      <c r="EV1" s="2" t="s">
        <v>2287</v>
      </c>
      <c r="EW1" s="2" t="s">
        <v>2288</v>
      </c>
      <c r="EX1" s="2" t="s">
        <v>2289</v>
      </c>
      <c r="EY1" s="2" t="s">
        <v>2290</v>
      </c>
      <c r="EZ1" s="2" t="s">
        <v>2291</v>
      </c>
      <c r="FA1" s="2" t="s">
        <v>2292</v>
      </c>
      <c r="FB1" s="2" t="s">
        <v>2293</v>
      </c>
      <c r="FC1" s="2" t="s">
        <v>2294</v>
      </c>
      <c r="FD1" s="2" t="s">
        <v>2295</v>
      </c>
      <c r="FE1" s="2" t="s">
        <v>2296</v>
      </c>
      <c r="FF1" s="2" t="s">
        <v>2297</v>
      </c>
      <c r="FG1" s="2" t="s">
        <v>2298</v>
      </c>
      <c r="FH1" s="2" t="s">
        <v>2299</v>
      </c>
      <c r="FI1" s="2" t="s">
        <v>2300</v>
      </c>
      <c r="FJ1" s="2" t="s">
        <v>2301</v>
      </c>
      <c r="FK1" s="2" t="s">
        <v>2302</v>
      </c>
      <c r="FL1" s="2" t="s">
        <v>2303</v>
      </c>
      <c r="FM1" s="2" t="s">
        <v>2304</v>
      </c>
      <c r="FN1" s="2" t="s">
        <v>2305</v>
      </c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</row>
    <row r="2" spans="1:194" x14ac:dyDescent="0.25">
      <c r="A2" s="2">
        <v>1</v>
      </c>
      <c r="B2" s="2" t="s">
        <v>1291</v>
      </c>
      <c r="C2" s="2" t="s">
        <v>1987</v>
      </c>
      <c r="D2" s="12" t="s">
        <v>2030</v>
      </c>
      <c r="E2" s="1" t="s">
        <v>2054</v>
      </c>
      <c r="F2" s="1"/>
      <c r="G2" s="1"/>
      <c r="H2" s="20">
        <v>7606936</v>
      </c>
      <c r="I2" s="20">
        <v>1487026</v>
      </c>
      <c r="J2" s="2">
        <v>5320.56</v>
      </c>
      <c r="K2" s="2">
        <v>972.62</v>
      </c>
      <c r="L2" s="2">
        <v>1104.58</v>
      </c>
      <c r="M2" s="2">
        <v>6009.12</v>
      </c>
      <c r="N2" s="2">
        <v>918.62</v>
      </c>
      <c r="O2" s="2">
        <v>873258</v>
      </c>
      <c r="P2" s="2">
        <v>738302</v>
      </c>
      <c r="Q2" s="2">
        <v>211566.23</v>
      </c>
      <c r="R2" s="2">
        <v>222505.26</v>
      </c>
      <c r="S2" s="2">
        <v>1170524</v>
      </c>
      <c r="T2" s="2">
        <v>1206133</v>
      </c>
      <c r="U2" s="2">
        <v>1251237</v>
      </c>
      <c r="V2" s="2">
        <v>1217046</v>
      </c>
      <c r="W2" s="2">
        <v>1264031</v>
      </c>
      <c r="X2" s="2">
        <v>2491.4802</v>
      </c>
      <c r="Y2" s="2">
        <v>1739.4399000000001</v>
      </c>
      <c r="Z2" s="2">
        <v>2872.0098000000003</v>
      </c>
      <c r="AA2" s="2">
        <v>2191.3298</v>
      </c>
      <c r="AB2" s="2">
        <v>2370.6501500000004</v>
      </c>
      <c r="AC2" s="2">
        <v>2938.5801500000002</v>
      </c>
      <c r="AD2" s="2">
        <v>2710.7998499999999</v>
      </c>
      <c r="AE2" s="2">
        <v>3315.6898499999998</v>
      </c>
      <c r="AF2" s="2">
        <v>4647665</v>
      </c>
      <c r="AG2" s="2">
        <v>6682445</v>
      </c>
      <c r="AH2" s="2">
        <v>6134260</v>
      </c>
      <c r="AI2" s="2">
        <v>1616363.7</v>
      </c>
      <c r="AJ2" s="2">
        <v>1275273.3</v>
      </c>
      <c r="AK2" s="2">
        <v>1549340.0999999999</v>
      </c>
      <c r="AL2" s="2">
        <v>1261393</v>
      </c>
      <c r="AM2" s="2">
        <v>1573616.7999999998</v>
      </c>
      <c r="AN2" s="2">
        <v>1266867.7</v>
      </c>
      <c r="AO2" s="2">
        <v>1507809.7999999998</v>
      </c>
      <c r="AP2" s="2">
        <v>1244968.8999999999</v>
      </c>
      <c r="AQ2" s="2">
        <v>1689525.5999999999</v>
      </c>
      <c r="AR2" s="2">
        <v>1412693.7999999998</v>
      </c>
      <c r="AS2">
        <v>2559000</v>
      </c>
      <c r="AT2">
        <v>1157000</v>
      </c>
      <c r="AU2">
        <v>1092000</v>
      </c>
      <c r="AV2">
        <v>879000</v>
      </c>
      <c r="AW2">
        <v>861000</v>
      </c>
      <c r="AX2">
        <v>679000</v>
      </c>
      <c r="AY2">
        <v>714000</v>
      </c>
      <c r="AZ2">
        <v>421000</v>
      </c>
      <c r="BA2">
        <v>1422271.4000000001</v>
      </c>
      <c r="BB2">
        <v>700808.9</v>
      </c>
      <c r="BC2">
        <v>231855.80000000002</v>
      </c>
      <c r="BD2">
        <v>245039.85000000003</v>
      </c>
      <c r="BE2" s="2">
        <v>284756.95160000003</v>
      </c>
      <c r="BF2" s="2">
        <v>443766.51879999996</v>
      </c>
      <c r="BG2" s="2">
        <v>267626.2303</v>
      </c>
      <c r="BH2" s="2">
        <v>295115.28089999995</v>
      </c>
      <c r="BI2" s="2">
        <v>374001.47509999998</v>
      </c>
      <c r="BJ2" s="2">
        <v>453777.37570000003</v>
      </c>
      <c r="BK2" s="2">
        <v>359747.36050000001</v>
      </c>
      <c r="BL2" s="2">
        <v>326094.54790000001</v>
      </c>
      <c r="BM2" s="2">
        <v>175850</v>
      </c>
      <c r="BN2" s="2">
        <v>139920</v>
      </c>
      <c r="BO2" s="2">
        <v>145130</v>
      </c>
      <c r="BP2" s="2">
        <v>159550</v>
      </c>
      <c r="BQ2" s="2">
        <v>3116480</v>
      </c>
      <c r="BR2" s="2">
        <v>1070730</v>
      </c>
      <c r="BS2" s="2">
        <v>1223340</v>
      </c>
      <c r="BT2" s="2">
        <v>1141870</v>
      </c>
      <c r="BU2" s="2">
        <v>881650</v>
      </c>
      <c r="BV2" s="2">
        <v>210000</v>
      </c>
      <c r="BW2" s="2">
        <v>217810</v>
      </c>
      <c r="BX2" s="2">
        <v>248870</v>
      </c>
      <c r="BY2" s="2">
        <v>215340</v>
      </c>
      <c r="BZ2" s="2">
        <v>237410</v>
      </c>
      <c r="CA2" s="2">
        <v>342984.44</v>
      </c>
      <c r="CB2" s="2">
        <v>533102.51</v>
      </c>
      <c r="CC2" s="2">
        <v>504390.55</v>
      </c>
      <c r="CD2" s="2">
        <v>4782470</v>
      </c>
      <c r="CE2" s="2">
        <v>4429180</v>
      </c>
      <c r="CF2" s="2">
        <v>2674130</v>
      </c>
      <c r="CG2" s="2">
        <v>2841030</v>
      </c>
      <c r="CH2" s="2">
        <v>3044750</v>
      </c>
      <c r="CI2" s="2">
        <v>1716590</v>
      </c>
      <c r="CJ2" s="2">
        <v>2795500</v>
      </c>
      <c r="CK2" s="2">
        <v>2154610</v>
      </c>
      <c r="CL2" s="2">
        <v>1299600</v>
      </c>
      <c r="CM2" s="2">
        <v>1304400</v>
      </c>
      <c r="CN2" s="2">
        <v>402800</v>
      </c>
      <c r="CO2" s="2">
        <v>609000</v>
      </c>
      <c r="CP2" s="2">
        <v>1802.78</v>
      </c>
      <c r="CQ2" s="2">
        <v>2880.87</v>
      </c>
      <c r="CR2" s="2">
        <v>1888.12</v>
      </c>
      <c r="CS2" s="2">
        <v>1227</v>
      </c>
      <c r="CT2" s="2">
        <v>833.64</v>
      </c>
      <c r="CU2" s="2">
        <v>932.76</v>
      </c>
      <c r="CV2" s="2">
        <v>1248</v>
      </c>
      <c r="CW2" s="2">
        <v>1387.89</v>
      </c>
      <c r="CX2" s="2">
        <v>1591</v>
      </c>
      <c r="CY2" s="2">
        <v>882.91</v>
      </c>
      <c r="CZ2" s="2">
        <v>1242</v>
      </c>
      <c r="DA2" s="2">
        <v>3152.22</v>
      </c>
      <c r="DB2" s="2">
        <v>4460.03</v>
      </c>
      <c r="DC2" s="2">
        <v>23430</v>
      </c>
      <c r="DD2" s="2">
        <v>21877</v>
      </c>
      <c r="DE2" s="2">
        <v>20393</v>
      </c>
      <c r="DF2" s="2">
        <v>22099</v>
      </c>
      <c r="DG2" s="2">
        <v>16387</v>
      </c>
      <c r="DH2" s="2">
        <v>3304500</v>
      </c>
      <c r="DI2" s="2">
        <v>3302600</v>
      </c>
      <c r="DJ2" s="2">
        <v>3283100</v>
      </c>
      <c r="DK2" s="2">
        <v>2421500</v>
      </c>
      <c r="DL2" s="2">
        <v>2408100</v>
      </c>
      <c r="DM2" s="2">
        <v>2484100</v>
      </c>
      <c r="DN2" s="2">
        <v>2432200</v>
      </c>
      <c r="DO2" s="2">
        <v>2639300</v>
      </c>
      <c r="DP2" s="2">
        <v>2770100</v>
      </c>
      <c r="DQ2" s="2">
        <v>2658700</v>
      </c>
      <c r="DR2" s="2">
        <v>3509.74</v>
      </c>
      <c r="DS2" s="2">
        <v>3081.35</v>
      </c>
      <c r="DT2" s="2">
        <v>2755.54</v>
      </c>
      <c r="DU2" s="2">
        <v>2264.64</v>
      </c>
      <c r="DV2" s="2">
        <v>4693.08</v>
      </c>
      <c r="DW2" s="2">
        <v>3504.34</v>
      </c>
      <c r="DX2" s="2">
        <v>2893.43</v>
      </c>
      <c r="DY2" s="2">
        <v>7100.35</v>
      </c>
      <c r="DZ2" s="2">
        <v>9768.31</v>
      </c>
      <c r="EA2" s="2">
        <v>3933.88</v>
      </c>
      <c r="EB2" s="2">
        <v>6252.87</v>
      </c>
      <c r="EC2" s="2">
        <v>4045.39</v>
      </c>
      <c r="ED2" s="2">
        <v>4487.7700000000004</v>
      </c>
      <c r="EE2" s="2">
        <v>2167.2199999999998</v>
      </c>
      <c r="EF2" s="2">
        <v>3062.4</v>
      </c>
      <c r="EG2" s="2">
        <v>5851800</v>
      </c>
      <c r="EH2" s="2">
        <v>4172600</v>
      </c>
      <c r="EI2" s="2">
        <v>2212733</v>
      </c>
      <c r="EJ2" s="2">
        <v>1994140</v>
      </c>
      <c r="EK2" s="2">
        <v>1522349</v>
      </c>
      <c r="EL2" s="2">
        <v>1650259</v>
      </c>
      <c r="EM2" s="2">
        <v>2247632</v>
      </c>
      <c r="EN2" s="2">
        <v>2015500</v>
      </c>
      <c r="EO2" s="2">
        <v>1983448</v>
      </c>
      <c r="EP2" s="2">
        <v>97397.65</v>
      </c>
      <c r="EQ2" s="2">
        <v>38457.74</v>
      </c>
      <c r="ER2" s="2">
        <v>35069.61</v>
      </c>
      <c r="ES2" s="2">
        <v>24672.42</v>
      </c>
      <c r="ET2" s="2">
        <v>38680.71</v>
      </c>
      <c r="EU2" s="2">
        <v>1530600.6</v>
      </c>
      <c r="EV2" s="2">
        <v>1554592.3</v>
      </c>
      <c r="EW2" s="2">
        <v>1523605.6</v>
      </c>
      <c r="EX2" s="2">
        <v>1533231.7</v>
      </c>
      <c r="EY2" s="2">
        <v>1690431</v>
      </c>
      <c r="EZ2" s="2">
        <v>1415239.9</v>
      </c>
      <c r="FA2" s="2">
        <v>1617237.3</v>
      </c>
      <c r="FB2" s="2">
        <v>1574451.4</v>
      </c>
      <c r="FC2" s="2">
        <v>1550172.1</v>
      </c>
      <c r="FD2" s="2">
        <v>1508633.2</v>
      </c>
      <c r="FE2" s="2">
        <v>1324332.3999999999</v>
      </c>
      <c r="FF2" s="2">
        <v>1514600.3</v>
      </c>
      <c r="FG2" s="2">
        <v>1345945.1</v>
      </c>
      <c r="FH2" s="2">
        <v>1316390.8999999999</v>
      </c>
      <c r="FI2" s="2">
        <v>1413435.6</v>
      </c>
      <c r="FJ2" s="2">
        <v>1278175.6000000001</v>
      </c>
      <c r="FK2" s="2">
        <v>1275952.7</v>
      </c>
      <c r="FL2" s="2">
        <v>1267568</v>
      </c>
      <c r="FM2" s="2">
        <v>1262054.7</v>
      </c>
      <c r="FN2" s="2">
        <v>1245618.6000000001</v>
      </c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</row>
    <row r="3" spans="1:194" ht="14.4" x14ac:dyDescent="0.25">
      <c r="A3" s="2">
        <v>2</v>
      </c>
      <c r="B3" s="2" t="s">
        <v>2082</v>
      </c>
      <c r="C3" s="2" t="s">
        <v>2190</v>
      </c>
      <c r="D3" s="14" t="s">
        <v>2177</v>
      </c>
      <c r="E3" s="2" t="s">
        <v>2108</v>
      </c>
      <c r="F3" s="2"/>
      <c r="G3" s="2"/>
      <c r="H3" s="20">
        <v>1847</v>
      </c>
      <c r="I3" s="20">
        <v>2783</v>
      </c>
      <c r="J3" s="2">
        <v>5.98</v>
      </c>
      <c r="K3" s="2">
        <v>10.69</v>
      </c>
      <c r="L3" s="2">
        <v>3842.22</v>
      </c>
      <c r="M3" s="2">
        <v>23.36</v>
      </c>
      <c r="N3" s="2">
        <v>13.13</v>
      </c>
      <c r="O3" s="2"/>
      <c r="P3" s="2"/>
      <c r="Q3" s="2">
        <v>354.29</v>
      </c>
      <c r="R3" s="2">
        <v>390.85</v>
      </c>
      <c r="S3" s="2">
        <v>1148</v>
      </c>
      <c r="T3" s="2">
        <v>4184</v>
      </c>
      <c r="U3" s="2">
        <v>4307</v>
      </c>
      <c r="V3" s="2">
        <v>3259</v>
      </c>
      <c r="W3" s="2">
        <v>2138</v>
      </c>
      <c r="X3" s="2">
        <v>3.3299699999999999</v>
      </c>
      <c r="Y3" s="2">
        <v>2.8599899999999998</v>
      </c>
      <c r="Z3" s="2">
        <v>1.4300299999999999</v>
      </c>
      <c r="AA3" s="2">
        <v>1.50997</v>
      </c>
      <c r="AB3" s="2">
        <v>2.0699700000000001</v>
      </c>
      <c r="AC3" s="2">
        <v>3.1000200000000002</v>
      </c>
      <c r="AD3" s="2">
        <v>1.86998</v>
      </c>
      <c r="AE3" s="2">
        <v>2.6900300000000001</v>
      </c>
      <c r="AF3" s="2">
        <v>6048</v>
      </c>
      <c r="AG3" s="2">
        <v>2632</v>
      </c>
      <c r="AH3" s="2">
        <v>2856</v>
      </c>
      <c r="AI3" s="2">
        <v>2590.64</v>
      </c>
      <c r="AJ3" s="2">
        <v>5835.83</v>
      </c>
      <c r="AK3" s="2">
        <v>1798.29</v>
      </c>
      <c r="AL3" s="2">
        <v>6001.19</v>
      </c>
      <c r="AM3" s="2">
        <v>3093.6099999999997</v>
      </c>
      <c r="AN3" s="2">
        <v>5015.92</v>
      </c>
      <c r="AO3" s="2">
        <v>916.37</v>
      </c>
      <c r="AP3" s="2">
        <v>1626.04</v>
      </c>
      <c r="AQ3" s="2">
        <v>3403.66</v>
      </c>
      <c r="AR3" s="2">
        <v>2156.5699999999997</v>
      </c>
      <c r="BE3" s="2"/>
      <c r="BF3" s="2"/>
      <c r="BG3" s="2"/>
      <c r="BH3" s="2"/>
      <c r="BI3" s="2"/>
      <c r="BJ3" s="2"/>
      <c r="BK3" s="2"/>
      <c r="BL3" s="2"/>
      <c r="BM3" s="2">
        <v>2900</v>
      </c>
      <c r="BN3" s="2">
        <v>1020</v>
      </c>
      <c r="BO3" s="2">
        <v>780</v>
      </c>
      <c r="BP3" s="2">
        <v>1650</v>
      </c>
      <c r="BQ3" s="2"/>
      <c r="BR3" s="2"/>
      <c r="BS3" s="2"/>
      <c r="BT3" s="2">
        <v>148530</v>
      </c>
      <c r="BU3" s="2">
        <v>176050</v>
      </c>
      <c r="BV3" s="2"/>
      <c r="BW3" s="2"/>
      <c r="BX3" s="2"/>
      <c r="BY3" s="2"/>
      <c r="BZ3" s="2"/>
      <c r="CA3" s="2"/>
      <c r="CB3" s="2"/>
      <c r="CC3" s="2"/>
      <c r="CD3" s="2">
        <v>7900</v>
      </c>
      <c r="CE3" s="2">
        <v>8720</v>
      </c>
      <c r="CF3" s="2">
        <v>3130</v>
      </c>
      <c r="CG3" s="2">
        <v>4100</v>
      </c>
      <c r="CH3" s="2">
        <v>5730</v>
      </c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>
        <v>14.000000000000002</v>
      </c>
      <c r="DD3" s="2">
        <v>14.000000000000002</v>
      </c>
      <c r="DE3" s="2">
        <v>11</v>
      </c>
      <c r="DF3" s="2">
        <v>14.000000000000002</v>
      </c>
      <c r="DG3" s="2">
        <v>36</v>
      </c>
      <c r="DH3" s="2"/>
      <c r="DI3" s="2"/>
      <c r="DJ3" s="2"/>
      <c r="DK3" s="2"/>
      <c r="DL3" s="2"/>
      <c r="DM3" s="2"/>
      <c r="DN3" s="2"/>
      <c r="DO3" s="2"/>
      <c r="DP3" s="2"/>
      <c r="DQ3" s="2"/>
      <c r="DR3" s="2">
        <v>1.56</v>
      </c>
      <c r="DS3" s="2">
        <v>0.96</v>
      </c>
      <c r="DT3" s="2">
        <v>2.2000000000000002</v>
      </c>
      <c r="DU3" s="2">
        <v>1.19</v>
      </c>
      <c r="DV3" s="2">
        <v>4.05</v>
      </c>
      <c r="DW3" s="2">
        <v>0.83</v>
      </c>
      <c r="DX3" s="2">
        <v>1.48</v>
      </c>
      <c r="DY3" s="2">
        <v>1.72</v>
      </c>
      <c r="DZ3" s="2">
        <v>1.66</v>
      </c>
      <c r="EA3" s="2">
        <v>3.37</v>
      </c>
      <c r="EB3" s="2">
        <v>3.06</v>
      </c>
      <c r="EC3" s="2">
        <v>3.41</v>
      </c>
      <c r="ED3" s="2">
        <v>7.94</v>
      </c>
      <c r="EE3" s="2">
        <v>6.13</v>
      </c>
      <c r="EF3" s="2">
        <v>9.99</v>
      </c>
      <c r="EG3" s="2"/>
      <c r="EH3" s="2"/>
      <c r="EI3" s="2">
        <v>3362</v>
      </c>
      <c r="EJ3" s="2">
        <v>1310</v>
      </c>
      <c r="EK3" s="2">
        <v>1568</v>
      </c>
      <c r="EL3" s="2">
        <v>1762</v>
      </c>
      <c r="EM3" s="2">
        <v>8791</v>
      </c>
      <c r="EN3" s="2"/>
      <c r="EO3" s="2"/>
      <c r="EP3" s="2"/>
      <c r="EQ3" s="2"/>
      <c r="ER3" s="2"/>
      <c r="ES3" s="2"/>
      <c r="ET3" s="2"/>
      <c r="EU3" s="2">
        <v>8954.9</v>
      </c>
      <c r="EV3" s="2">
        <v>6147</v>
      </c>
      <c r="EW3" s="2">
        <v>7749</v>
      </c>
      <c r="EX3" s="2">
        <v>12022.2</v>
      </c>
      <c r="EY3" s="2">
        <v>3404.7</v>
      </c>
      <c r="EZ3" s="2">
        <v>9077.2999999999993</v>
      </c>
      <c r="FA3" s="2">
        <v>2592.1999999999998</v>
      </c>
      <c r="FB3" s="2">
        <v>3096.3</v>
      </c>
      <c r="FC3" s="2">
        <v>1795.3</v>
      </c>
      <c r="FD3" s="2">
        <v>913.4</v>
      </c>
      <c r="FE3" s="2">
        <v>4055.3</v>
      </c>
      <c r="FF3" s="2">
        <v>2287.6</v>
      </c>
      <c r="FG3" s="2">
        <v>2573.6</v>
      </c>
      <c r="FH3" s="2">
        <v>2385.5</v>
      </c>
      <c r="FI3" s="2">
        <v>2156.6999999999998</v>
      </c>
      <c r="FJ3" s="2">
        <v>4166</v>
      </c>
      <c r="FK3" s="2">
        <v>5839.3</v>
      </c>
      <c r="FL3" s="2">
        <v>5018.1000000000004</v>
      </c>
      <c r="FM3" s="2">
        <v>5998.6</v>
      </c>
      <c r="FN3" s="2">
        <v>1628</v>
      </c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</row>
    <row r="4" spans="1:194" ht="14.4" x14ac:dyDescent="0.25">
      <c r="A4" s="2">
        <v>3</v>
      </c>
      <c r="B4" s="2" t="s">
        <v>1320</v>
      </c>
      <c r="C4" s="2" t="s">
        <v>1988</v>
      </c>
      <c r="D4" s="14" t="s">
        <v>2031</v>
      </c>
      <c r="E4" s="2" t="s">
        <v>2055</v>
      </c>
      <c r="F4" s="2"/>
      <c r="G4" s="2"/>
      <c r="H4" s="20">
        <v>622200</v>
      </c>
      <c r="I4" s="20">
        <v>217932</v>
      </c>
      <c r="J4" s="2">
        <v>695.74</v>
      </c>
      <c r="K4" s="2">
        <v>145.69999999999999</v>
      </c>
      <c r="L4" s="2">
        <v>245.25</v>
      </c>
      <c r="M4" s="2">
        <v>1202.8499999999999</v>
      </c>
      <c r="N4" s="2">
        <v>262.58</v>
      </c>
      <c r="O4" s="2">
        <v>165929</v>
      </c>
      <c r="P4" s="2">
        <v>181049</v>
      </c>
      <c r="Q4" s="2">
        <v>10833.05</v>
      </c>
      <c r="R4" s="2">
        <v>10948.04</v>
      </c>
      <c r="S4" s="2">
        <v>57685</v>
      </c>
      <c r="T4" s="2">
        <v>103360</v>
      </c>
      <c r="U4" s="2">
        <v>95648</v>
      </c>
      <c r="V4" s="2">
        <v>105311</v>
      </c>
      <c r="W4" s="2">
        <v>94441</v>
      </c>
      <c r="X4" s="2">
        <v>273.07308500000005</v>
      </c>
      <c r="Y4" s="2">
        <v>321.25180999999998</v>
      </c>
      <c r="Z4" s="2">
        <v>360.35225000000003</v>
      </c>
      <c r="AA4" s="2">
        <v>370.26020499999998</v>
      </c>
      <c r="AB4" s="2">
        <v>388.12826500000006</v>
      </c>
      <c r="AC4" s="2">
        <v>372.94726000000003</v>
      </c>
      <c r="AD4" s="2">
        <v>397.03132500000004</v>
      </c>
      <c r="AE4" s="2">
        <v>312.57124500000003</v>
      </c>
      <c r="AF4" s="2">
        <v>318980</v>
      </c>
      <c r="AG4" s="2">
        <v>457560</v>
      </c>
      <c r="AH4" s="2">
        <v>430254</v>
      </c>
      <c r="AI4" s="2">
        <v>268868.5</v>
      </c>
      <c r="AJ4" s="2">
        <v>218338.5</v>
      </c>
      <c r="AK4" s="2">
        <v>250123.5</v>
      </c>
      <c r="AL4" s="2">
        <v>25265</v>
      </c>
      <c r="AM4" s="2">
        <v>243685</v>
      </c>
      <c r="AN4" s="2">
        <v>21516</v>
      </c>
      <c r="AO4" s="2">
        <v>227874</v>
      </c>
      <c r="AP4" s="2">
        <v>195844.5</v>
      </c>
      <c r="AQ4" s="2">
        <v>435862</v>
      </c>
      <c r="AR4" s="2">
        <v>246945</v>
      </c>
      <c r="AS4">
        <v>940000</v>
      </c>
      <c r="AT4">
        <v>206000</v>
      </c>
      <c r="AU4">
        <v>138000</v>
      </c>
      <c r="AV4">
        <v>113000</v>
      </c>
      <c r="AW4">
        <v>73900</v>
      </c>
      <c r="AX4">
        <v>57000</v>
      </c>
      <c r="AY4">
        <v>20300</v>
      </c>
      <c r="AZ4">
        <v>19100</v>
      </c>
      <c r="BA4">
        <v>87065.96</v>
      </c>
      <c r="BB4">
        <v>32544.980000000003</v>
      </c>
      <c r="BC4">
        <v>13330.74</v>
      </c>
      <c r="BD4">
        <v>17965.38</v>
      </c>
      <c r="BE4" s="2">
        <v>48194.3</v>
      </c>
      <c r="BF4" s="2">
        <v>53114.6</v>
      </c>
      <c r="BG4" s="2">
        <v>43841.599999999999</v>
      </c>
      <c r="BH4" s="2">
        <v>49802.5</v>
      </c>
      <c r="BI4" s="2">
        <v>69059.099999999991</v>
      </c>
      <c r="BJ4" s="2">
        <v>63221.4</v>
      </c>
      <c r="BK4" s="2">
        <v>52397.399999999994</v>
      </c>
      <c r="BL4" s="2">
        <v>62618.6</v>
      </c>
      <c r="BM4" s="2">
        <v>14100</v>
      </c>
      <c r="BN4" s="2">
        <v>9260</v>
      </c>
      <c r="BO4" s="2">
        <v>21430</v>
      </c>
      <c r="BP4" s="2">
        <v>21050</v>
      </c>
      <c r="BQ4" s="2">
        <v>422260</v>
      </c>
      <c r="BR4" s="2">
        <v>146550</v>
      </c>
      <c r="BS4" s="2">
        <v>105840</v>
      </c>
      <c r="BT4" s="2">
        <v>254890</v>
      </c>
      <c r="BU4" s="2">
        <v>258480.00000000003</v>
      </c>
      <c r="BV4" s="2">
        <v>6380</v>
      </c>
      <c r="BW4" s="2">
        <v>8050.0000000000009</v>
      </c>
      <c r="BX4" s="2">
        <v>2020</v>
      </c>
      <c r="BY4" s="2">
        <v>6140</v>
      </c>
      <c r="BZ4" s="2">
        <v>10270</v>
      </c>
      <c r="CA4" s="2">
        <v>105126.62</v>
      </c>
      <c r="CB4" s="2">
        <v>116634.97</v>
      </c>
      <c r="CC4" s="2"/>
      <c r="CD4" s="2">
        <v>308730</v>
      </c>
      <c r="CE4" s="2">
        <v>384980</v>
      </c>
      <c r="CF4" s="2">
        <v>84160</v>
      </c>
      <c r="CG4" s="2">
        <v>253240</v>
      </c>
      <c r="CH4" s="2">
        <v>247280</v>
      </c>
      <c r="CI4" s="2">
        <v>4240</v>
      </c>
      <c r="CJ4" s="2">
        <v>247340</v>
      </c>
      <c r="CK4" s="2">
        <v>225460</v>
      </c>
      <c r="CL4" s="2">
        <v>95000</v>
      </c>
      <c r="CM4" s="2">
        <v>124900</v>
      </c>
      <c r="CN4" s="2">
        <v>68900</v>
      </c>
      <c r="CO4" s="2">
        <v>74000</v>
      </c>
      <c r="CP4" s="2">
        <v>505.89</v>
      </c>
      <c r="CQ4" s="2">
        <v>387.72</v>
      </c>
      <c r="CR4" s="2">
        <v>503.32</v>
      </c>
      <c r="CS4" s="2">
        <v>553</v>
      </c>
      <c r="CT4" s="2">
        <v>360.62</v>
      </c>
      <c r="CU4" s="2">
        <v>290.41000000000003</v>
      </c>
      <c r="CV4" s="2">
        <v>323.12</v>
      </c>
      <c r="CW4" s="2">
        <v>177.44</v>
      </c>
      <c r="CX4" s="2">
        <v>267.42</v>
      </c>
      <c r="CY4" s="2">
        <v>99.1</v>
      </c>
      <c r="CZ4" s="2">
        <v>235.91</v>
      </c>
      <c r="DA4" s="2">
        <v>488.11</v>
      </c>
      <c r="DB4" s="2">
        <v>498.73</v>
      </c>
      <c r="DC4" s="2">
        <v>1601.0000000000002</v>
      </c>
      <c r="DD4" s="2">
        <v>1441</v>
      </c>
      <c r="DE4" s="2">
        <v>1282</v>
      </c>
      <c r="DF4" s="2">
        <v>1446</v>
      </c>
      <c r="DG4" s="2">
        <v>720</v>
      </c>
      <c r="DH4" s="2">
        <v>356400</v>
      </c>
      <c r="DI4" s="2">
        <v>447400</v>
      </c>
      <c r="DJ4" s="2">
        <v>370700</v>
      </c>
      <c r="DK4" s="2">
        <v>264900</v>
      </c>
      <c r="DL4" s="2">
        <v>136400</v>
      </c>
      <c r="DM4" s="2">
        <v>181700</v>
      </c>
      <c r="DN4" s="2">
        <v>149400</v>
      </c>
      <c r="DO4" s="2">
        <v>185900</v>
      </c>
      <c r="DP4" s="2">
        <v>206300</v>
      </c>
      <c r="DQ4" s="2">
        <v>191300</v>
      </c>
      <c r="DR4" s="2">
        <v>621.6</v>
      </c>
      <c r="DS4" s="2">
        <v>593.74</v>
      </c>
      <c r="DT4" s="2">
        <v>216.7</v>
      </c>
      <c r="DU4" s="2">
        <v>193.92</v>
      </c>
      <c r="DV4" s="2">
        <v>996.37</v>
      </c>
      <c r="DW4" s="2">
        <v>738.71</v>
      </c>
      <c r="DX4" s="2">
        <v>728.38</v>
      </c>
      <c r="DY4" s="2">
        <v>780.38</v>
      </c>
      <c r="DZ4" s="2">
        <v>1275.0899999999999</v>
      </c>
      <c r="EA4" s="2">
        <v>609.5</v>
      </c>
      <c r="EB4" s="2">
        <v>770.57</v>
      </c>
      <c r="EC4" s="2">
        <v>644</v>
      </c>
      <c r="ED4" s="2">
        <v>765.15</v>
      </c>
      <c r="EE4" s="2">
        <v>435.23</v>
      </c>
      <c r="EF4" s="2">
        <v>631.22</v>
      </c>
      <c r="EG4" s="2">
        <v>552200</v>
      </c>
      <c r="EH4" s="2">
        <v>344600</v>
      </c>
      <c r="EI4" s="2">
        <v>111844</v>
      </c>
      <c r="EJ4" s="2">
        <v>122800</v>
      </c>
      <c r="EK4" s="2">
        <v>65850</v>
      </c>
      <c r="EL4" s="2">
        <v>73978</v>
      </c>
      <c r="EM4" s="2">
        <v>111954</v>
      </c>
      <c r="EN4" s="2">
        <v>114274.77</v>
      </c>
      <c r="EO4" s="2">
        <v>153397.21</v>
      </c>
      <c r="EP4" s="2">
        <v>6359.95</v>
      </c>
      <c r="EQ4" s="2">
        <v>1788.78</v>
      </c>
      <c r="ER4" s="2">
        <v>2058.9699999999998</v>
      </c>
      <c r="ES4" s="2">
        <v>1305.68</v>
      </c>
      <c r="ET4" s="2">
        <v>1153.3900000000001</v>
      </c>
      <c r="EU4" s="2">
        <v>398251.5</v>
      </c>
      <c r="EV4" s="2">
        <v>325676.90000000002</v>
      </c>
      <c r="EW4" s="2">
        <v>315952.59999999998</v>
      </c>
      <c r="EX4" s="2">
        <v>390794</v>
      </c>
      <c r="EY4" s="2">
        <v>435825.2</v>
      </c>
      <c r="EZ4" s="2">
        <v>303862</v>
      </c>
      <c r="FA4" s="2">
        <v>268895.2</v>
      </c>
      <c r="FB4" s="2">
        <v>243652.4</v>
      </c>
      <c r="FC4" s="2">
        <v>250159.5</v>
      </c>
      <c r="FD4" s="2">
        <v>227872.7</v>
      </c>
      <c r="FE4" s="2">
        <v>230150.9</v>
      </c>
      <c r="FF4" s="2">
        <v>321680.7</v>
      </c>
      <c r="FG4" s="2">
        <v>152314.6</v>
      </c>
      <c r="FH4" s="2">
        <v>223772.2</v>
      </c>
      <c r="FI4" s="2">
        <v>246918.2</v>
      </c>
      <c r="FJ4" s="2">
        <v>166182.70000000001</v>
      </c>
      <c r="FK4" s="2">
        <v>218310.5</v>
      </c>
      <c r="FL4" s="2">
        <v>21528.7</v>
      </c>
      <c r="FM4" s="2">
        <v>25279.5</v>
      </c>
      <c r="FN4" s="2">
        <v>195870.6</v>
      </c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</row>
    <row r="5" spans="1:194" ht="14.4" x14ac:dyDescent="0.25">
      <c r="A5" s="2">
        <v>4</v>
      </c>
      <c r="B5" s="2" t="s">
        <v>1273</v>
      </c>
      <c r="C5" s="2" t="s">
        <v>1994</v>
      </c>
      <c r="D5" s="14" t="s">
        <v>2037</v>
      </c>
      <c r="E5" s="2" t="s">
        <v>2062</v>
      </c>
      <c r="F5" s="2"/>
      <c r="G5" s="2"/>
      <c r="H5" s="20">
        <v>1772911</v>
      </c>
      <c r="I5" s="20">
        <v>985274</v>
      </c>
      <c r="J5" s="2">
        <v>1173.18</v>
      </c>
      <c r="K5" s="2">
        <v>484.16</v>
      </c>
      <c r="L5" s="2">
        <v>577.21</v>
      </c>
      <c r="M5" s="2">
        <v>1054.47</v>
      </c>
      <c r="N5" s="2">
        <v>129.49</v>
      </c>
      <c r="O5" s="2">
        <v>4021850</v>
      </c>
      <c r="P5" s="2">
        <v>2926064</v>
      </c>
      <c r="Q5" s="2">
        <v>177484.06</v>
      </c>
      <c r="R5" s="2">
        <v>179030.45</v>
      </c>
      <c r="S5" s="2">
        <v>59371</v>
      </c>
      <c r="T5" s="2">
        <v>112534</v>
      </c>
      <c r="U5" s="2">
        <v>112723</v>
      </c>
      <c r="V5" s="2">
        <v>95301</v>
      </c>
      <c r="W5" s="2">
        <v>90590</v>
      </c>
      <c r="X5" s="2">
        <v>488.02200000000005</v>
      </c>
      <c r="Y5" s="2">
        <v>1272.3780000000002</v>
      </c>
      <c r="Z5" s="2">
        <v>1476.454</v>
      </c>
      <c r="AA5" s="2">
        <v>1449.0700000000002</v>
      </c>
      <c r="AB5" s="2">
        <v>1677.922</v>
      </c>
      <c r="AC5" s="2">
        <v>1615.33</v>
      </c>
      <c r="AD5" s="2">
        <v>1665.8600000000001</v>
      </c>
      <c r="AE5" s="2">
        <v>1496.0140000000001</v>
      </c>
      <c r="AF5" s="2">
        <v>3651200</v>
      </c>
      <c r="AG5" s="2">
        <v>3162200</v>
      </c>
      <c r="AH5" s="2">
        <v>4661800</v>
      </c>
      <c r="AI5" s="2">
        <v>944008</v>
      </c>
      <c r="AJ5" s="2">
        <v>520832</v>
      </c>
      <c r="AK5" s="2">
        <v>911456</v>
      </c>
      <c r="AL5" s="2">
        <v>520832</v>
      </c>
      <c r="AM5" s="2">
        <v>878904</v>
      </c>
      <c r="AN5" s="2">
        <v>651040</v>
      </c>
      <c r="AO5" s="2">
        <v>911456</v>
      </c>
      <c r="AP5" s="2">
        <v>781248</v>
      </c>
      <c r="AQ5" s="2">
        <v>1041664</v>
      </c>
      <c r="AR5" s="2">
        <v>878904</v>
      </c>
      <c r="BA5">
        <v>1860672.3199999998</v>
      </c>
      <c r="BB5">
        <v>983395.92</v>
      </c>
      <c r="BC5">
        <v>461912.87999999995</v>
      </c>
      <c r="BD5">
        <v>496092.48000000004</v>
      </c>
      <c r="BE5" s="2">
        <v>2305304.3119999995</v>
      </c>
      <c r="BF5" s="2">
        <v>3389923.6239999998</v>
      </c>
      <c r="BG5" s="2">
        <v>2219693.6039999998</v>
      </c>
      <c r="BH5" s="2">
        <v>2572878.4640000002</v>
      </c>
      <c r="BI5" s="2">
        <v>1960582.8679999998</v>
      </c>
      <c r="BJ5" s="2">
        <v>2434534.1639999999</v>
      </c>
      <c r="BK5" s="2">
        <v>1321594.96</v>
      </c>
      <c r="BL5" s="2">
        <v>3066686.2359999996</v>
      </c>
      <c r="BM5" s="2">
        <v>57550</v>
      </c>
      <c r="BN5" s="2">
        <v>35720</v>
      </c>
      <c r="BO5" s="2">
        <v>64450</v>
      </c>
      <c r="BP5" s="2">
        <v>60900</v>
      </c>
      <c r="BQ5" s="2">
        <v>1111860</v>
      </c>
      <c r="BR5" s="2">
        <v>362630</v>
      </c>
      <c r="BS5" s="2">
        <v>572500</v>
      </c>
      <c r="BT5" s="2">
        <v>1290810</v>
      </c>
      <c r="BU5" s="2">
        <v>1160300</v>
      </c>
      <c r="BV5" s="2">
        <v>3090</v>
      </c>
      <c r="BW5" s="2">
        <v>15160</v>
      </c>
      <c r="BX5" s="2">
        <v>10570</v>
      </c>
      <c r="BY5" s="2">
        <v>9550</v>
      </c>
      <c r="BZ5" s="2">
        <v>11960</v>
      </c>
      <c r="CA5" s="2">
        <v>79466.37</v>
      </c>
      <c r="CB5" s="2">
        <v>72175.460000000006</v>
      </c>
      <c r="CC5" s="2"/>
      <c r="CD5" s="2">
        <v>1643790</v>
      </c>
      <c r="CE5" s="2">
        <v>1976410</v>
      </c>
      <c r="CF5" s="2">
        <v>721980</v>
      </c>
      <c r="CG5" s="2">
        <v>790060</v>
      </c>
      <c r="CH5" s="2">
        <v>837210</v>
      </c>
      <c r="CI5" s="2">
        <v>1126370</v>
      </c>
      <c r="CJ5" s="2">
        <v>979590</v>
      </c>
      <c r="CK5" s="2">
        <v>1026040</v>
      </c>
      <c r="CL5" s="2">
        <v>770900</v>
      </c>
      <c r="CM5" s="2">
        <v>805500</v>
      </c>
      <c r="CN5" s="2">
        <v>228600</v>
      </c>
      <c r="CO5" s="2">
        <v>632500</v>
      </c>
      <c r="CP5" s="2">
        <v>1368.22</v>
      </c>
      <c r="CQ5" s="2">
        <v>1509.12</v>
      </c>
      <c r="CR5" s="2">
        <v>1188.31</v>
      </c>
      <c r="CS5" s="2">
        <v>1083.43</v>
      </c>
      <c r="CT5" s="2">
        <v>701.02</v>
      </c>
      <c r="CU5" s="2">
        <v>605.62</v>
      </c>
      <c r="CV5" s="2">
        <v>934.32</v>
      </c>
      <c r="CW5" s="2">
        <v>1177</v>
      </c>
      <c r="CX5" s="2">
        <v>980.81</v>
      </c>
      <c r="CY5" s="2">
        <v>630.52</v>
      </c>
      <c r="CZ5" s="2">
        <v>262.22000000000003</v>
      </c>
      <c r="DA5" s="2">
        <v>4403.3100000000004</v>
      </c>
      <c r="DB5" s="2">
        <v>3405.12</v>
      </c>
      <c r="DC5" s="2">
        <v>8357</v>
      </c>
      <c r="DD5" s="2">
        <v>9808</v>
      </c>
      <c r="DE5" s="2">
        <v>9438</v>
      </c>
      <c r="DF5" s="2">
        <v>8375</v>
      </c>
      <c r="DG5" s="2">
        <v>6551.0000000000009</v>
      </c>
      <c r="DH5" s="2">
        <v>1887100</v>
      </c>
      <c r="DI5" s="2">
        <v>1843000</v>
      </c>
      <c r="DJ5" s="2">
        <v>2014700</v>
      </c>
      <c r="DK5" s="2">
        <v>2066900</v>
      </c>
      <c r="DL5" s="2">
        <v>2811900</v>
      </c>
      <c r="DM5" s="2">
        <v>2947600</v>
      </c>
      <c r="DN5" s="2">
        <v>874900</v>
      </c>
      <c r="DO5" s="2">
        <v>604600</v>
      </c>
      <c r="DP5" s="2">
        <v>1589700</v>
      </c>
      <c r="DQ5" s="2">
        <v>620500</v>
      </c>
      <c r="DR5" s="2">
        <v>1688.01</v>
      </c>
      <c r="DS5" s="2">
        <v>1650.72</v>
      </c>
      <c r="DT5" s="2">
        <v>1286.6600000000001</v>
      </c>
      <c r="DU5" s="2">
        <v>903.05</v>
      </c>
      <c r="DV5" s="2">
        <v>2497.66</v>
      </c>
      <c r="DW5" s="2">
        <v>1929.23</v>
      </c>
      <c r="DX5" s="2">
        <v>1860.25</v>
      </c>
      <c r="DY5" s="2">
        <v>1917.46</v>
      </c>
      <c r="DZ5" s="2">
        <v>2432.8200000000002</v>
      </c>
      <c r="EA5" s="2">
        <v>1830.33</v>
      </c>
      <c r="EB5" s="2">
        <v>2369.21</v>
      </c>
      <c r="EC5" s="2">
        <v>1468.91</v>
      </c>
      <c r="ED5" s="2">
        <v>1903.05</v>
      </c>
      <c r="EE5" s="2">
        <v>1477.29</v>
      </c>
      <c r="EF5" s="2">
        <v>1717.7</v>
      </c>
      <c r="EG5" s="2">
        <v>987600</v>
      </c>
      <c r="EH5" s="2">
        <v>987700</v>
      </c>
      <c r="EI5" s="2">
        <v>1139783</v>
      </c>
      <c r="EJ5" s="2">
        <v>1217108</v>
      </c>
      <c r="EK5" s="2">
        <v>1108660</v>
      </c>
      <c r="EL5" s="2">
        <v>949924</v>
      </c>
      <c r="EM5" s="2">
        <v>1261352</v>
      </c>
      <c r="EN5" s="2">
        <v>790963.95</v>
      </c>
      <c r="EO5" s="2">
        <v>729580.33</v>
      </c>
      <c r="EP5" s="2"/>
      <c r="EQ5" s="2"/>
      <c r="ER5" s="2"/>
      <c r="ES5" s="2"/>
      <c r="ET5" s="2"/>
      <c r="EU5" s="2">
        <v>905606.9</v>
      </c>
      <c r="EV5" s="2">
        <v>924452.1</v>
      </c>
      <c r="EW5" s="2">
        <v>985281.5</v>
      </c>
      <c r="EX5" s="2">
        <v>883209.7</v>
      </c>
      <c r="EY5" s="2">
        <v>1034685</v>
      </c>
      <c r="EZ5" s="2">
        <v>915959.1</v>
      </c>
      <c r="FA5" s="2">
        <v>955434.1</v>
      </c>
      <c r="FB5" s="2">
        <v>863259.6</v>
      </c>
      <c r="FC5" s="2">
        <v>910386.4</v>
      </c>
      <c r="FD5" s="2">
        <v>912836</v>
      </c>
      <c r="FE5" s="2">
        <v>719192.4</v>
      </c>
      <c r="FF5" s="2">
        <v>700872.6</v>
      </c>
      <c r="FG5" s="2">
        <v>661165.6</v>
      </c>
      <c r="FH5" s="2">
        <v>663524.30000000005</v>
      </c>
      <c r="FI5" s="2">
        <v>870240.2</v>
      </c>
      <c r="FJ5" s="2">
        <v>671338.8</v>
      </c>
      <c r="FK5" s="2">
        <v>525843.30000000005</v>
      </c>
      <c r="FL5" s="2">
        <v>653790.1</v>
      </c>
      <c r="FM5" s="2">
        <v>517753.5</v>
      </c>
      <c r="FN5" s="2">
        <v>777085</v>
      </c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</row>
    <row r="6" spans="1:194" ht="14.4" x14ac:dyDescent="0.25">
      <c r="A6" s="2">
        <v>5</v>
      </c>
      <c r="B6" s="2" t="s">
        <v>1313</v>
      </c>
      <c r="C6" s="2" t="s">
        <v>1996</v>
      </c>
      <c r="D6" s="14" t="s">
        <v>2022</v>
      </c>
      <c r="E6" s="2" t="s">
        <v>2146</v>
      </c>
      <c r="F6" s="2"/>
      <c r="G6" s="2"/>
      <c r="H6" s="20">
        <v>43878</v>
      </c>
      <c r="I6" s="20">
        <v>2382</v>
      </c>
      <c r="J6" s="2">
        <v>149.27000000000001</v>
      </c>
      <c r="K6" s="2">
        <v>86.76</v>
      </c>
      <c r="L6" s="2">
        <v>136.05000000000001</v>
      </c>
      <c r="M6" s="2">
        <v>572.73</v>
      </c>
      <c r="N6" s="2">
        <v>71.709999999999994</v>
      </c>
      <c r="O6" s="2">
        <v>940</v>
      </c>
      <c r="P6" s="2">
        <v>1672</v>
      </c>
      <c r="Q6" s="2">
        <v>4110</v>
      </c>
      <c r="R6" s="2">
        <v>2897.5</v>
      </c>
      <c r="S6" s="2"/>
      <c r="T6" s="2"/>
      <c r="U6" s="2"/>
      <c r="V6" s="2"/>
      <c r="W6" s="2"/>
      <c r="X6" s="2">
        <v>65.892060000000001</v>
      </c>
      <c r="Y6" s="2">
        <v>49.707319999999996</v>
      </c>
      <c r="Z6" s="2">
        <v>46.705619999999996</v>
      </c>
      <c r="AA6" s="2">
        <v>27.169219999999999</v>
      </c>
      <c r="AB6" s="2">
        <v>23.465129999999998</v>
      </c>
      <c r="AC6" s="2">
        <v>29.643640000000001</v>
      </c>
      <c r="AD6" s="2">
        <v>25.418509999999998</v>
      </c>
      <c r="AE6" s="2">
        <v>36.659349999999996</v>
      </c>
      <c r="AF6" s="2">
        <v>13286</v>
      </c>
      <c r="AG6" s="2">
        <v>15054</v>
      </c>
      <c r="AH6" s="2">
        <v>12181</v>
      </c>
      <c r="AI6" s="2">
        <v>8926.8000000000011</v>
      </c>
      <c r="AJ6" s="2">
        <v>2064</v>
      </c>
      <c r="AK6" s="2">
        <v>6411.3</v>
      </c>
      <c r="AL6" s="2">
        <v>2205.9</v>
      </c>
      <c r="AM6" s="2">
        <v>4411.8</v>
      </c>
      <c r="AN6" s="2">
        <v>1496.4</v>
      </c>
      <c r="AO6" s="2">
        <v>2283.3000000000002</v>
      </c>
      <c r="AP6" s="2">
        <v>2799.3</v>
      </c>
      <c r="AQ6" s="2">
        <v>5314.8</v>
      </c>
      <c r="AR6" s="2">
        <v>3044.4</v>
      </c>
      <c r="AS6">
        <v>51100</v>
      </c>
      <c r="AT6">
        <v>22800</v>
      </c>
      <c r="AU6">
        <v>34700</v>
      </c>
      <c r="AV6">
        <v>19600</v>
      </c>
      <c r="AW6">
        <v>41400</v>
      </c>
      <c r="AX6">
        <v>20500</v>
      </c>
      <c r="AY6">
        <v>38400</v>
      </c>
      <c r="AZ6">
        <v>3880</v>
      </c>
      <c r="BA6">
        <v>18045.43</v>
      </c>
      <c r="BB6">
        <v>12921.22</v>
      </c>
      <c r="BC6">
        <v>77345.462999999989</v>
      </c>
      <c r="BD6">
        <v>43325.229999999996</v>
      </c>
      <c r="BE6" s="2">
        <v>21569.605199999998</v>
      </c>
      <c r="BF6" s="2">
        <v>22660.981199999998</v>
      </c>
      <c r="BG6" s="2">
        <v>18701.654399999996</v>
      </c>
      <c r="BH6" s="2">
        <v>18982.992599999998</v>
      </c>
      <c r="BI6" s="2">
        <v>24518.765699999996</v>
      </c>
      <c r="BJ6" s="2">
        <v>24723.784799999998</v>
      </c>
      <c r="BK6" s="2">
        <v>22390.0677</v>
      </c>
      <c r="BL6" s="2">
        <v>23577.067800000001</v>
      </c>
      <c r="BM6" s="2">
        <v>90</v>
      </c>
      <c r="BN6" s="2">
        <v>46</v>
      </c>
      <c r="BO6" s="2">
        <v>62</v>
      </c>
      <c r="BP6" s="2">
        <v>60</v>
      </c>
      <c r="BQ6" s="2">
        <v>19160</v>
      </c>
      <c r="BR6" s="2">
        <v>4970</v>
      </c>
      <c r="BS6" s="2">
        <v>2160</v>
      </c>
      <c r="BT6" s="2">
        <v>218500</v>
      </c>
      <c r="BU6" s="2">
        <v>247040</v>
      </c>
      <c r="BV6" s="2">
        <v>26320</v>
      </c>
      <c r="BW6" s="2">
        <v>6250</v>
      </c>
      <c r="BX6" s="2"/>
      <c r="BY6" s="2">
        <v>26590</v>
      </c>
      <c r="BZ6" s="2">
        <v>64110</v>
      </c>
      <c r="CA6" s="2">
        <v>9426.49</v>
      </c>
      <c r="CB6" s="2">
        <v>44087.13</v>
      </c>
      <c r="CC6" s="2">
        <v>14458.47</v>
      </c>
      <c r="CD6" s="2">
        <v>199290</v>
      </c>
      <c r="CE6" s="2">
        <v>171900</v>
      </c>
      <c r="CF6" s="2">
        <v>65040.000000000007</v>
      </c>
      <c r="CG6" s="2">
        <v>29650</v>
      </c>
      <c r="CH6" s="2">
        <v>34060</v>
      </c>
      <c r="CI6" s="2">
        <v>5060</v>
      </c>
      <c r="CJ6" s="2">
        <v>26470</v>
      </c>
      <c r="CK6" s="2">
        <v>36420</v>
      </c>
      <c r="CL6" s="2">
        <v>9600</v>
      </c>
      <c r="CM6" s="2">
        <v>20700</v>
      </c>
      <c r="CN6" s="2"/>
      <c r="CO6" s="2"/>
      <c r="CP6" s="2">
        <v>35.92</v>
      </c>
      <c r="CQ6" s="2">
        <v>35.619999999999997</v>
      </c>
      <c r="CR6" s="2">
        <v>30.35</v>
      </c>
      <c r="CS6" s="2">
        <v>23.92</v>
      </c>
      <c r="CT6" s="2">
        <v>15.48</v>
      </c>
      <c r="CU6" s="2">
        <v>14.57</v>
      </c>
      <c r="CV6" s="2">
        <v>15.63</v>
      </c>
      <c r="CW6" s="2">
        <v>15.19</v>
      </c>
      <c r="CX6" s="2">
        <v>31.82</v>
      </c>
      <c r="CY6" s="2">
        <v>22.47</v>
      </c>
      <c r="CZ6" s="2">
        <v>67.72</v>
      </c>
      <c r="DA6" s="2">
        <v>168.1</v>
      </c>
      <c r="DB6" s="2">
        <v>131</v>
      </c>
      <c r="DC6" s="2">
        <v>2657</v>
      </c>
      <c r="DD6" s="2">
        <v>2383</v>
      </c>
      <c r="DE6" s="2">
        <v>1891</v>
      </c>
      <c r="DF6" s="2">
        <v>3143</v>
      </c>
      <c r="DG6" s="2">
        <v>1571</v>
      </c>
      <c r="DH6" s="2">
        <v>30000</v>
      </c>
      <c r="DI6" s="2">
        <v>7200</v>
      </c>
      <c r="DJ6" s="2">
        <v>28800</v>
      </c>
      <c r="DK6" s="2">
        <v>37100</v>
      </c>
      <c r="DL6" s="2">
        <v>22600</v>
      </c>
      <c r="DM6" s="2">
        <v>26300</v>
      </c>
      <c r="DN6" s="2">
        <v>2700</v>
      </c>
      <c r="DO6" s="2">
        <v>13300</v>
      </c>
      <c r="DP6" s="2">
        <v>8600</v>
      </c>
      <c r="DQ6" s="2">
        <v>13600</v>
      </c>
      <c r="DR6" s="2">
        <v>71.62</v>
      </c>
      <c r="DS6" s="2">
        <v>56.58</v>
      </c>
      <c r="DT6" s="2">
        <v>17.16</v>
      </c>
      <c r="DU6" s="2">
        <v>11.67</v>
      </c>
      <c r="DV6" s="2">
        <v>174.56</v>
      </c>
      <c r="DW6" s="2">
        <v>95.1</v>
      </c>
      <c r="DX6" s="2">
        <v>76.55</v>
      </c>
      <c r="DY6" s="2">
        <v>188.97</v>
      </c>
      <c r="DZ6" s="2">
        <v>168.76</v>
      </c>
      <c r="EA6" s="2">
        <v>79.67</v>
      </c>
      <c r="EB6" s="2">
        <v>163.33000000000001</v>
      </c>
      <c r="EC6" s="2">
        <v>189.61</v>
      </c>
      <c r="ED6" s="2">
        <v>204.22</v>
      </c>
      <c r="EE6" s="2">
        <v>39.43</v>
      </c>
      <c r="EF6" s="2">
        <v>75.260000000000005</v>
      </c>
      <c r="EG6" s="2">
        <v>23700</v>
      </c>
      <c r="EH6" s="2">
        <v>13300</v>
      </c>
      <c r="EI6" s="2">
        <v>19527</v>
      </c>
      <c r="EJ6" s="2">
        <v>5819</v>
      </c>
      <c r="EK6" s="2">
        <v>10539</v>
      </c>
      <c r="EL6" s="2">
        <v>12084</v>
      </c>
      <c r="EM6" s="2">
        <v>27516</v>
      </c>
      <c r="EN6" s="2">
        <v>55468.97</v>
      </c>
      <c r="EO6" s="2">
        <v>157110.67000000001</v>
      </c>
      <c r="EP6" s="2">
        <v>20461.39</v>
      </c>
      <c r="EQ6" s="2">
        <v>3568.03</v>
      </c>
      <c r="ER6" s="2">
        <v>2306.02</v>
      </c>
      <c r="ES6" s="2">
        <v>1990.45</v>
      </c>
      <c r="ET6" s="2">
        <v>3520.13</v>
      </c>
      <c r="EU6" s="2">
        <v>4608.7</v>
      </c>
      <c r="EV6" s="2">
        <v>4359.3</v>
      </c>
      <c r="EW6" s="2">
        <v>5025.8</v>
      </c>
      <c r="EX6" s="2">
        <v>4983.3999999999996</v>
      </c>
      <c r="EY6" s="2">
        <v>5308.4</v>
      </c>
      <c r="EZ6" s="2">
        <v>3980.6</v>
      </c>
      <c r="FA6" s="2">
        <v>8910.9</v>
      </c>
      <c r="FB6" s="2">
        <v>4405.2</v>
      </c>
      <c r="FC6" s="2">
        <v>6398.7</v>
      </c>
      <c r="FD6" s="2">
        <v>2279</v>
      </c>
      <c r="FE6" s="2">
        <v>2172</v>
      </c>
      <c r="FF6" s="2">
        <v>1984.7</v>
      </c>
      <c r="FG6" s="2">
        <v>1877.2</v>
      </c>
      <c r="FH6" s="2">
        <v>1519.8</v>
      </c>
      <c r="FI6" s="2">
        <v>3042.5</v>
      </c>
      <c r="FJ6" s="2">
        <v>2762.4</v>
      </c>
      <c r="FK6" s="2">
        <v>2056.6999999999998</v>
      </c>
      <c r="FL6" s="2">
        <v>1496.6</v>
      </c>
      <c r="FM6" s="2">
        <v>2195.8000000000002</v>
      </c>
      <c r="FN6" s="2">
        <v>2786.7</v>
      </c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</row>
    <row r="7" spans="1:194" ht="14.4" x14ac:dyDescent="0.25">
      <c r="A7" s="2">
        <v>6</v>
      </c>
      <c r="B7" s="2" t="s">
        <v>1277</v>
      </c>
      <c r="C7" s="2" t="s">
        <v>1989</v>
      </c>
      <c r="D7" s="14" t="s">
        <v>2032</v>
      </c>
      <c r="E7" s="2" t="s">
        <v>2056</v>
      </c>
      <c r="F7" s="2"/>
      <c r="G7" s="2"/>
      <c r="H7" s="20">
        <v>143889</v>
      </c>
      <c r="I7" s="20">
        <v>44849</v>
      </c>
      <c r="J7" s="2">
        <v>439.66</v>
      </c>
      <c r="K7" s="2">
        <v>114.58</v>
      </c>
      <c r="L7" s="2">
        <v>80.400000000000006</v>
      </c>
      <c r="M7" s="2">
        <v>393.75</v>
      </c>
      <c r="N7" s="2">
        <v>82.3</v>
      </c>
      <c r="O7" s="2">
        <v>18031</v>
      </c>
      <c r="P7" s="2">
        <v>16080</v>
      </c>
      <c r="Q7" s="2">
        <v>5614.38</v>
      </c>
      <c r="R7" s="2">
        <v>5998.71</v>
      </c>
      <c r="S7" s="2">
        <v>69105</v>
      </c>
      <c r="T7" s="2">
        <v>124348</v>
      </c>
      <c r="U7" s="2">
        <v>106662</v>
      </c>
      <c r="V7" s="2">
        <v>127159</v>
      </c>
      <c r="W7" s="2">
        <v>109528</v>
      </c>
      <c r="X7" s="2">
        <v>70.105499999999992</v>
      </c>
      <c r="Y7" s="2">
        <v>53.378459999999997</v>
      </c>
      <c r="Z7" s="2">
        <v>72.467729999999989</v>
      </c>
      <c r="AA7" s="2">
        <v>80.562870000000004</v>
      </c>
      <c r="AB7" s="2">
        <v>91.638810000000007</v>
      </c>
      <c r="AC7" s="2">
        <v>125.97444</v>
      </c>
      <c r="AD7" s="2">
        <v>108.42876</v>
      </c>
      <c r="AE7" s="2">
        <v>163.19313</v>
      </c>
      <c r="AF7" s="2">
        <v>48384</v>
      </c>
      <c r="AG7" s="2">
        <v>85374</v>
      </c>
      <c r="AH7" s="2">
        <v>35262</v>
      </c>
      <c r="AI7" s="2">
        <v>10693.2</v>
      </c>
      <c r="AJ7" s="2">
        <v>8361.6</v>
      </c>
      <c r="AK7" s="2">
        <v>17286</v>
      </c>
      <c r="AL7" s="2">
        <v>12622.800000000001</v>
      </c>
      <c r="AM7" s="2">
        <v>9031.6</v>
      </c>
      <c r="AN7" s="2">
        <v>5922.8</v>
      </c>
      <c r="AO7" s="2">
        <v>6485.6</v>
      </c>
      <c r="AP7" s="2">
        <v>9916</v>
      </c>
      <c r="AQ7" s="2">
        <v>17259.2</v>
      </c>
      <c r="AR7" s="2">
        <v>14552.4</v>
      </c>
      <c r="AS7">
        <v>193000</v>
      </c>
      <c r="AT7">
        <v>46400</v>
      </c>
      <c r="AU7">
        <v>34100</v>
      </c>
      <c r="AV7">
        <v>25100</v>
      </c>
      <c r="AW7">
        <v>21000</v>
      </c>
      <c r="AX7">
        <v>15300</v>
      </c>
      <c r="AY7">
        <v>11900</v>
      </c>
      <c r="AZ7">
        <v>7770</v>
      </c>
      <c r="BE7" s="2">
        <v>23156.130399999998</v>
      </c>
      <c r="BF7" s="2">
        <v>29931.202600000004</v>
      </c>
      <c r="BG7" s="2">
        <v>20416.536400000001</v>
      </c>
      <c r="BH7" s="2">
        <v>22531.353000000003</v>
      </c>
      <c r="BI7" s="2">
        <v>31274.2196</v>
      </c>
      <c r="BJ7" s="2">
        <v>19310.522400000002</v>
      </c>
      <c r="BK7" s="2">
        <v>14723.644</v>
      </c>
      <c r="BL7" s="2">
        <v>16293.4876</v>
      </c>
      <c r="BM7" s="2">
        <v>3550</v>
      </c>
      <c r="BN7" s="2">
        <v>9040</v>
      </c>
      <c r="BO7" s="2">
        <v>1130</v>
      </c>
      <c r="BP7" s="2">
        <v>3800</v>
      </c>
      <c r="BQ7" s="2">
        <v>306210</v>
      </c>
      <c r="BR7" s="2">
        <v>15550</v>
      </c>
      <c r="BS7" s="2">
        <v>46560</v>
      </c>
      <c r="BT7" s="2">
        <v>55210</v>
      </c>
      <c r="BU7" s="2">
        <v>33900</v>
      </c>
      <c r="BV7" s="2">
        <v>1580</v>
      </c>
      <c r="BW7" s="2">
        <v>2890</v>
      </c>
      <c r="BX7" s="2">
        <v>1370</v>
      </c>
      <c r="BY7" s="2">
        <v>2670</v>
      </c>
      <c r="BZ7" s="2">
        <v>1700</v>
      </c>
      <c r="CA7" s="2">
        <v>46295.73</v>
      </c>
      <c r="CB7" s="2">
        <v>74360.69</v>
      </c>
      <c r="CC7" s="2"/>
      <c r="CD7" s="2">
        <v>376550</v>
      </c>
      <c r="CE7" s="2">
        <v>343150</v>
      </c>
      <c r="CF7" s="2">
        <v>94670</v>
      </c>
      <c r="CG7" s="2">
        <v>83730</v>
      </c>
      <c r="CH7" s="2">
        <v>127850</v>
      </c>
      <c r="CI7" s="2">
        <v>17710</v>
      </c>
      <c r="CJ7" s="2">
        <v>46730</v>
      </c>
      <c r="CK7" s="2">
        <v>32549.999999999996</v>
      </c>
      <c r="CL7" s="2">
        <v>64000</v>
      </c>
      <c r="CM7" s="2">
        <v>34200</v>
      </c>
      <c r="CN7" s="2">
        <v>54100</v>
      </c>
      <c r="CO7" s="2">
        <v>35100</v>
      </c>
      <c r="CP7" s="2">
        <v>28.38</v>
      </c>
      <c r="CQ7" s="2">
        <v>42.66</v>
      </c>
      <c r="CR7" s="2">
        <v>27.82</v>
      </c>
      <c r="CS7" s="2">
        <v>22.79</v>
      </c>
      <c r="CT7" s="2">
        <v>10.46</v>
      </c>
      <c r="CU7" s="2">
        <v>5.81</v>
      </c>
      <c r="CV7" s="2">
        <v>147.82</v>
      </c>
      <c r="CW7" s="2">
        <v>19.8</v>
      </c>
      <c r="CX7" s="2">
        <v>35.549999999999997</v>
      </c>
      <c r="CY7" s="2">
        <v>2.2000000000000002</v>
      </c>
      <c r="CZ7" s="2">
        <v>37.659999999999997</v>
      </c>
      <c r="DA7" s="2">
        <v>81.34</v>
      </c>
      <c r="DB7" s="2">
        <v>53.45</v>
      </c>
      <c r="DC7" s="2">
        <v>815</v>
      </c>
      <c r="DD7" s="2">
        <v>676</v>
      </c>
      <c r="DE7" s="2">
        <v>1147</v>
      </c>
      <c r="DF7" s="2">
        <v>507</v>
      </c>
      <c r="DG7" s="2">
        <v>254.99999999999997</v>
      </c>
      <c r="DH7" s="2">
        <v>72300</v>
      </c>
      <c r="DI7" s="2">
        <v>29000</v>
      </c>
      <c r="DJ7" s="2">
        <v>73900</v>
      </c>
      <c r="DK7" s="2">
        <v>49500</v>
      </c>
      <c r="DL7" s="2">
        <v>72900</v>
      </c>
      <c r="DM7" s="2">
        <v>69600</v>
      </c>
      <c r="DN7" s="2">
        <v>36700</v>
      </c>
      <c r="DO7" s="2">
        <v>30500</v>
      </c>
      <c r="DP7" s="2">
        <v>35900</v>
      </c>
      <c r="DQ7" s="2">
        <v>29100</v>
      </c>
      <c r="DR7" s="2">
        <v>65.28</v>
      </c>
      <c r="DS7" s="2">
        <v>67.95</v>
      </c>
      <c r="DT7" s="2">
        <v>76.489999999999995</v>
      </c>
      <c r="DU7" s="2">
        <v>55.9</v>
      </c>
      <c r="DV7" s="2">
        <v>284.38</v>
      </c>
      <c r="DW7" s="2">
        <v>202.97</v>
      </c>
      <c r="DX7" s="2">
        <v>79.510000000000005</v>
      </c>
      <c r="DY7" s="2">
        <v>214.2</v>
      </c>
      <c r="DZ7" s="2">
        <v>450.7</v>
      </c>
      <c r="EA7" s="2">
        <v>187.93</v>
      </c>
      <c r="EB7" s="2">
        <v>365.85</v>
      </c>
      <c r="EC7" s="2">
        <v>214.93</v>
      </c>
      <c r="ED7" s="2">
        <v>172.95</v>
      </c>
      <c r="EE7" s="2">
        <v>74.3</v>
      </c>
      <c r="EF7" s="2">
        <v>96.19</v>
      </c>
      <c r="EG7" s="2">
        <v>91700</v>
      </c>
      <c r="EH7" s="2">
        <v>70400</v>
      </c>
      <c r="EI7" s="2">
        <v>32124.000000000004</v>
      </c>
      <c r="EJ7" s="2">
        <v>34353</v>
      </c>
      <c r="EK7" s="2">
        <v>44543</v>
      </c>
      <c r="EL7" s="2">
        <v>47947</v>
      </c>
      <c r="EM7" s="2">
        <v>40919</v>
      </c>
      <c r="EN7" s="2">
        <v>27166.51</v>
      </c>
      <c r="EO7" s="2">
        <v>33933.56</v>
      </c>
      <c r="EP7" s="2">
        <v>14154.7</v>
      </c>
      <c r="EQ7" s="2">
        <v>2434.67</v>
      </c>
      <c r="ER7" s="2">
        <v>2029.81</v>
      </c>
      <c r="ES7" s="2">
        <v>1774.81</v>
      </c>
      <c r="ET7" s="2">
        <v>1443.09</v>
      </c>
      <c r="EU7" s="2">
        <v>25585.4</v>
      </c>
      <c r="EV7" s="2">
        <v>27536</v>
      </c>
      <c r="EW7" s="2">
        <v>27625.9</v>
      </c>
      <c r="EX7" s="2">
        <v>52302.3</v>
      </c>
      <c r="EY7" s="2">
        <v>17249.900000000001</v>
      </c>
      <c r="EZ7" s="2">
        <v>23332</v>
      </c>
      <c r="FA7" s="2">
        <v>10681.4</v>
      </c>
      <c r="FB7" s="2">
        <v>9013.6</v>
      </c>
      <c r="FC7" s="2">
        <v>17277.7</v>
      </c>
      <c r="FD7" s="2">
        <v>6483.8</v>
      </c>
      <c r="FE7" s="2">
        <v>12138.1</v>
      </c>
      <c r="FF7" s="2">
        <v>19926.7</v>
      </c>
      <c r="FG7" s="2">
        <v>12113.6</v>
      </c>
      <c r="FH7" s="2">
        <v>12189.9</v>
      </c>
      <c r="FI7" s="2">
        <v>14541.5</v>
      </c>
      <c r="FJ7" s="2">
        <v>12797.2</v>
      </c>
      <c r="FK7" s="2">
        <v>8344</v>
      </c>
      <c r="FL7" s="2">
        <v>5905.5</v>
      </c>
      <c r="FM7" s="2">
        <v>12621.3</v>
      </c>
      <c r="FN7" s="2">
        <v>9898.9</v>
      </c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</row>
    <row r="8" spans="1:194" x14ac:dyDescent="0.25">
      <c r="A8" s="2">
        <v>7</v>
      </c>
      <c r="B8" s="16" t="s">
        <v>1298</v>
      </c>
      <c r="C8" s="2" t="s">
        <v>2191</v>
      </c>
      <c r="D8" s="12" t="s">
        <v>2141</v>
      </c>
      <c r="E8" s="1" t="s">
        <v>2142</v>
      </c>
      <c r="F8" s="1"/>
      <c r="G8" s="1"/>
      <c r="H8" s="20">
        <v>44450</v>
      </c>
      <c r="I8" s="20">
        <v>5859</v>
      </c>
      <c r="J8" s="2">
        <v>162.41999999999999</v>
      </c>
      <c r="K8" s="2">
        <v>67.59</v>
      </c>
      <c r="L8" s="2">
        <v>92.79</v>
      </c>
      <c r="M8" s="2">
        <v>359.81</v>
      </c>
      <c r="N8" s="2">
        <v>41.72</v>
      </c>
      <c r="O8" s="2">
        <v>2031</v>
      </c>
      <c r="P8" s="2">
        <v>2398</v>
      </c>
      <c r="Q8" s="2">
        <v>3667.73</v>
      </c>
      <c r="R8" s="2">
        <v>3499.93</v>
      </c>
      <c r="S8" s="2">
        <v>348671</v>
      </c>
      <c r="T8" s="2">
        <v>234362</v>
      </c>
      <c r="U8" s="2">
        <v>263123</v>
      </c>
      <c r="V8" s="2">
        <v>242753</v>
      </c>
      <c r="W8" s="2">
        <v>297115</v>
      </c>
      <c r="X8" s="2">
        <v>77.087999999999994</v>
      </c>
      <c r="Y8" s="2">
        <v>37.488</v>
      </c>
      <c r="Z8" s="2">
        <v>51.612000000000002</v>
      </c>
      <c r="AA8" s="2">
        <v>41.052</v>
      </c>
      <c r="AB8" s="2">
        <v>37.223999999999997</v>
      </c>
      <c r="AC8" s="2">
        <v>71.675999999999988</v>
      </c>
      <c r="AD8" s="2">
        <v>39.335999999999999</v>
      </c>
      <c r="AE8" s="2">
        <v>125.39999999999999</v>
      </c>
      <c r="AF8" s="2">
        <v>26400</v>
      </c>
      <c r="AG8" s="2">
        <v>26400</v>
      </c>
      <c r="AH8" s="2">
        <v>13200</v>
      </c>
      <c r="AI8" s="2">
        <v>18414.199999999997</v>
      </c>
      <c r="AJ8" s="2">
        <v>23675.4</v>
      </c>
      <c r="AK8" s="2"/>
      <c r="AL8" s="2">
        <v>18414.199999999997</v>
      </c>
      <c r="AM8" s="2"/>
      <c r="AN8" s="2">
        <v>17098.900000000001</v>
      </c>
      <c r="AO8" s="2"/>
      <c r="AP8" s="2">
        <v>23675.4</v>
      </c>
      <c r="AQ8" s="2">
        <v>36828.399999999994</v>
      </c>
      <c r="AR8" s="2">
        <v>21044.800000000003</v>
      </c>
      <c r="BE8" s="2">
        <v>14468.487000000001</v>
      </c>
      <c r="BF8" s="2">
        <v>19203.628199999999</v>
      </c>
      <c r="BG8" s="2">
        <v>11706.3213</v>
      </c>
      <c r="BH8" s="2">
        <v>12232.448100000001</v>
      </c>
      <c r="BI8" s="2">
        <v>14731.550400000002</v>
      </c>
      <c r="BJ8" s="2">
        <v>10917.131099999999</v>
      </c>
      <c r="BK8" s="2">
        <v>9470.2824000000001</v>
      </c>
      <c r="BL8" s="2">
        <v>8681.092200000001</v>
      </c>
      <c r="BM8" s="2">
        <v>3500</v>
      </c>
      <c r="BN8" s="2">
        <v>1500</v>
      </c>
      <c r="BO8" s="2">
        <v>1210</v>
      </c>
      <c r="BP8" s="2">
        <v>2200</v>
      </c>
      <c r="BQ8" s="2">
        <v>9300</v>
      </c>
      <c r="BR8" s="2">
        <v>7580</v>
      </c>
      <c r="BS8" s="2">
        <v>18860</v>
      </c>
      <c r="BT8" s="2">
        <v>15230</v>
      </c>
      <c r="BU8" s="2">
        <v>13870</v>
      </c>
      <c r="BV8" s="2">
        <v>10130</v>
      </c>
      <c r="BW8" s="2">
        <v>8600</v>
      </c>
      <c r="BX8" s="2">
        <v>8710</v>
      </c>
      <c r="BY8" s="2">
        <v>21820</v>
      </c>
      <c r="BZ8" s="2">
        <v>15360</v>
      </c>
      <c r="CA8" s="2">
        <v>9891.43</v>
      </c>
      <c r="CB8" s="2">
        <v>35048.17</v>
      </c>
      <c r="CC8" s="2">
        <v>18625.05</v>
      </c>
      <c r="CD8" s="2">
        <v>290060</v>
      </c>
      <c r="CE8" s="2">
        <v>245620</v>
      </c>
      <c r="CF8" s="2">
        <v>97510</v>
      </c>
      <c r="CG8" s="2">
        <v>54150</v>
      </c>
      <c r="CH8" s="2">
        <v>62180</v>
      </c>
      <c r="CI8" s="2">
        <v>7080</v>
      </c>
      <c r="CJ8" s="2">
        <v>24590</v>
      </c>
      <c r="CK8" s="2">
        <v>18230</v>
      </c>
      <c r="CL8" s="2">
        <v>41100</v>
      </c>
      <c r="CM8" s="2">
        <v>22500</v>
      </c>
      <c r="CN8" s="2"/>
      <c r="CO8" s="2">
        <v>9100</v>
      </c>
      <c r="CP8" s="2">
        <v>2.25</v>
      </c>
      <c r="CQ8" s="2">
        <v>28.75</v>
      </c>
      <c r="CR8" s="2">
        <v>19.54</v>
      </c>
      <c r="CS8" s="2">
        <v>14.66</v>
      </c>
      <c r="CT8" s="2">
        <v>8.81</v>
      </c>
      <c r="CU8" s="2">
        <v>8.19</v>
      </c>
      <c r="CV8" s="2">
        <v>16.63</v>
      </c>
      <c r="CW8" s="2">
        <v>13.82</v>
      </c>
      <c r="CX8" s="2">
        <v>34.32</v>
      </c>
      <c r="CY8" s="2">
        <v>12.14</v>
      </c>
      <c r="CZ8" s="2">
        <v>24.92</v>
      </c>
      <c r="DA8" s="2">
        <v>60.37</v>
      </c>
      <c r="DB8" s="2">
        <v>54.68</v>
      </c>
      <c r="DC8" s="2">
        <v>1113</v>
      </c>
      <c r="DD8" s="2">
        <v>978.99999999999989</v>
      </c>
      <c r="DE8" s="2">
        <v>759</v>
      </c>
      <c r="DF8" s="2">
        <v>1029</v>
      </c>
      <c r="DG8" s="2">
        <v>547</v>
      </c>
      <c r="DH8" s="2">
        <v>26300</v>
      </c>
      <c r="DI8" s="2">
        <v>12700</v>
      </c>
      <c r="DJ8" s="2">
        <v>25900</v>
      </c>
      <c r="DK8" s="2">
        <v>25800</v>
      </c>
      <c r="DL8" s="2">
        <v>26800</v>
      </c>
      <c r="DM8" s="2">
        <v>26500</v>
      </c>
      <c r="DN8" s="2">
        <v>21600</v>
      </c>
      <c r="DO8" s="2">
        <v>13500</v>
      </c>
      <c r="DP8" s="2">
        <v>13200</v>
      </c>
      <c r="DQ8" s="2">
        <v>13500</v>
      </c>
      <c r="DR8" s="2">
        <v>86.39</v>
      </c>
      <c r="DS8" s="2">
        <v>74.209999999999994</v>
      </c>
      <c r="DT8" s="2">
        <v>30.43</v>
      </c>
      <c r="DU8" s="2">
        <v>20.66</v>
      </c>
      <c r="DV8" s="2">
        <v>223.85</v>
      </c>
      <c r="DW8" s="2">
        <v>126.68</v>
      </c>
      <c r="DX8" s="2">
        <v>85.43</v>
      </c>
      <c r="DY8" s="2">
        <v>273.56</v>
      </c>
      <c r="DZ8" s="2">
        <v>338.35</v>
      </c>
      <c r="EA8" s="2">
        <v>166.92</v>
      </c>
      <c r="EB8" s="2">
        <v>271.98</v>
      </c>
      <c r="EC8" s="2">
        <v>308.94</v>
      </c>
      <c r="ED8" s="2">
        <v>275.13</v>
      </c>
      <c r="EE8" s="2">
        <v>145</v>
      </c>
      <c r="EF8" s="2">
        <v>121.21</v>
      </c>
      <c r="EG8" s="2">
        <v>33300</v>
      </c>
      <c r="EH8" s="2">
        <v>22600</v>
      </c>
      <c r="EI8" s="2">
        <v>96598</v>
      </c>
      <c r="EJ8" s="2">
        <v>29811</v>
      </c>
      <c r="EK8" s="2">
        <v>40434</v>
      </c>
      <c r="EL8" s="2">
        <v>41085</v>
      </c>
      <c r="EM8" s="2">
        <v>149744</v>
      </c>
      <c r="EN8" s="2">
        <v>24560.04</v>
      </c>
      <c r="EO8" s="2">
        <v>50256.91</v>
      </c>
      <c r="EP8" s="2">
        <v>28018.32</v>
      </c>
      <c r="EQ8" s="2">
        <v>3320.56</v>
      </c>
      <c r="ER8" s="2">
        <v>2580.27</v>
      </c>
      <c r="ES8" s="2">
        <v>1637.67</v>
      </c>
      <c r="ET8" s="2">
        <v>3432.57</v>
      </c>
      <c r="EU8" s="2">
        <v>18372</v>
      </c>
      <c r="EV8" s="2">
        <v>15784.8</v>
      </c>
      <c r="EW8" s="2">
        <v>18405.099999999999</v>
      </c>
      <c r="EX8" s="2">
        <v>25352.5</v>
      </c>
      <c r="EY8" s="2">
        <v>36894.9</v>
      </c>
      <c r="EZ8" s="2">
        <v>24383.5</v>
      </c>
      <c r="FA8" s="2">
        <v>18160.3</v>
      </c>
      <c r="FB8" s="2">
        <v>10855.4</v>
      </c>
      <c r="FC8" s="2">
        <v>11763.8</v>
      </c>
      <c r="FD8" s="2">
        <v>9836</v>
      </c>
      <c r="FE8" s="2">
        <v>20885.8</v>
      </c>
      <c r="FF8" s="2">
        <v>20092.3</v>
      </c>
      <c r="FG8" s="2">
        <v>15295.8</v>
      </c>
      <c r="FH8" s="2">
        <v>23337.1</v>
      </c>
      <c r="FI8" s="2">
        <v>20465.5</v>
      </c>
      <c r="FJ8" s="2">
        <v>36743.1</v>
      </c>
      <c r="FK8" s="2">
        <v>23726.799999999999</v>
      </c>
      <c r="FL8" s="2">
        <v>16771.2</v>
      </c>
      <c r="FM8" s="2">
        <v>18090.2</v>
      </c>
      <c r="FN8" s="2">
        <v>23533</v>
      </c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</row>
    <row r="9" spans="1:194" x14ac:dyDescent="0.25">
      <c r="A9" s="2">
        <v>8</v>
      </c>
      <c r="B9" s="2" t="s">
        <v>1302</v>
      </c>
      <c r="C9" s="2" t="s">
        <v>2192</v>
      </c>
      <c r="D9" s="12" t="s">
        <v>2153</v>
      </c>
      <c r="E9" s="2" t="s">
        <v>2147</v>
      </c>
      <c r="F9" s="2"/>
      <c r="G9" s="2"/>
      <c r="H9"/>
      <c r="J9" s="2">
        <v>301.95</v>
      </c>
      <c r="K9" s="2">
        <v>5.42</v>
      </c>
      <c r="L9" s="2">
        <v>58.95</v>
      </c>
      <c r="M9" s="2">
        <v>107.81</v>
      </c>
      <c r="N9" s="2">
        <v>17.43</v>
      </c>
      <c r="O9" s="2">
        <v>7565</v>
      </c>
      <c r="P9" s="2">
        <v>8505</v>
      </c>
      <c r="Q9" s="2">
        <v>138350.65</v>
      </c>
      <c r="R9" s="2">
        <v>157860.48000000001</v>
      </c>
      <c r="S9" s="2">
        <v>9536</v>
      </c>
      <c r="T9" s="2">
        <v>14838</v>
      </c>
      <c r="U9" s="2">
        <v>13251</v>
      </c>
      <c r="V9" s="2">
        <v>10544</v>
      </c>
      <c r="W9" s="2">
        <v>11834</v>
      </c>
      <c r="X9" s="2">
        <v>759.04</v>
      </c>
      <c r="Y9" s="2">
        <v>917.76</v>
      </c>
      <c r="Z9" s="2">
        <v>1292.8</v>
      </c>
      <c r="AA9" s="2">
        <v>864</v>
      </c>
      <c r="AB9" s="2">
        <v>1059.8399999999999</v>
      </c>
      <c r="AC9" s="2">
        <v>949.76</v>
      </c>
      <c r="AD9" s="2">
        <v>1249.28</v>
      </c>
      <c r="AE9" s="2">
        <v>733.44</v>
      </c>
      <c r="AF9" s="2">
        <v>1920000</v>
      </c>
      <c r="AG9" s="2">
        <v>1792000</v>
      </c>
      <c r="AH9" s="2">
        <v>1664000</v>
      </c>
      <c r="AI9" s="2"/>
      <c r="AJ9" s="2"/>
      <c r="AK9" s="2"/>
      <c r="AL9" s="2"/>
      <c r="AM9" s="2"/>
      <c r="AN9" s="2"/>
      <c r="AO9" s="2"/>
      <c r="AP9" s="2"/>
      <c r="AQ9" s="2"/>
      <c r="AR9" s="2"/>
      <c r="AS9">
        <v>1159000</v>
      </c>
      <c r="AT9">
        <v>869000</v>
      </c>
      <c r="AU9">
        <v>1151000</v>
      </c>
      <c r="AV9">
        <v>1519000</v>
      </c>
      <c r="AW9">
        <v>1543000</v>
      </c>
      <c r="AX9">
        <v>1869000</v>
      </c>
      <c r="AY9">
        <v>1655000</v>
      </c>
      <c r="AZ9">
        <v>1585000</v>
      </c>
      <c r="BA9">
        <v>1440945</v>
      </c>
      <c r="BB9">
        <v>1700955.52</v>
      </c>
      <c r="BC9">
        <v>2675674.7600000002</v>
      </c>
      <c r="BD9">
        <v>2196640.5999999996</v>
      </c>
      <c r="BE9" s="2">
        <v>427799.89199999999</v>
      </c>
      <c r="BF9" s="2">
        <v>1410202.638</v>
      </c>
      <c r="BG9" s="2">
        <v>549479.50199999998</v>
      </c>
      <c r="BH9" s="2">
        <v>840229.728</v>
      </c>
      <c r="BI9" s="2">
        <v>138330.50400000002</v>
      </c>
      <c r="BJ9" s="2">
        <v>677563.30200000003</v>
      </c>
      <c r="BK9" s="2">
        <v>1424291.8559999999</v>
      </c>
      <c r="BL9" s="2">
        <v>864565.65</v>
      </c>
      <c r="BM9" s="2">
        <v>56650</v>
      </c>
      <c r="BN9" s="2">
        <v>63360</v>
      </c>
      <c r="BO9" s="2">
        <v>61130</v>
      </c>
      <c r="BP9" s="2">
        <v>94500</v>
      </c>
      <c r="BQ9" s="2"/>
      <c r="BR9" s="2"/>
      <c r="BS9" s="2"/>
      <c r="BT9" s="2">
        <v>1166410</v>
      </c>
      <c r="BU9" s="2">
        <v>1217290</v>
      </c>
      <c r="BV9" s="2">
        <v>2300</v>
      </c>
      <c r="BW9" s="2">
        <v>4140</v>
      </c>
      <c r="BX9" s="2">
        <v>3950</v>
      </c>
      <c r="BY9" s="2">
        <v>1250</v>
      </c>
      <c r="BZ9" s="2">
        <v>1610</v>
      </c>
      <c r="CA9" s="2">
        <v>27850.02</v>
      </c>
      <c r="CB9" s="2">
        <v>7867.01</v>
      </c>
      <c r="CC9" s="2">
        <v>36132.93</v>
      </c>
      <c r="CD9" s="2">
        <v>474730</v>
      </c>
      <c r="CE9" s="2">
        <v>385910</v>
      </c>
      <c r="CF9" s="2">
        <v>758700</v>
      </c>
      <c r="CG9" s="2">
        <v>599950</v>
      </c>
      <c r="CH9" s="2">
        <v>605500</v>
      </c>
      <c r="CI9" s="2">
        <v>496830</v>
      </c>
      <c r="CJ9" s="2">
        <v>1199630</v>
      </c>
      <c r="CK9" s="2">
        <v>1016940</v>
      </c>
      <c r="CL9" s="2">
        <v>1144000</v>
      </c>
      <c r="CM9" s="2">
        <v>374900</v>
      </c>
      <c r="CN9" s="2">
        <v>543300</v>
      </c>
      <c r="CO9" s="2">
        <v>408200</v>
      </c>
      <c r="CP9" s="2">
        <v>944.54</v>
      </c>
      <c r="CQ9" s="2">
        <v>1176</v>
      </c>
      <c r="CR9" s="2">
        <v>863.61</v>
      </c>
      <c r="CS9" s="2">
        <v>714.42</v>
      </c>
      <c r="CT9" s="2">
        <v>980.56</v>
      </c>
      <c r="CU9" s="2">
        <v>1122.95</v>
      </c>
      <c r="CV9" s="2">
        <v>595.52</v>
      </c>
      <c r="CW9" s="2">
        <v>451.02</v>
      </c>
      <c r="CX9" s="2">
        <v>635.52</v>
      </c>
      <c r="CY9" s="2">
        <v>730.22</v>
      </c>
      <c r="CZ9" s="2">
        <v>1006.12</v>
      </c>
      <c r="DA9" s="2">
        <v>2674.22</v>
      </c>
      <c r="DB9" s="2">
        <v>823.11</v>
      </c>
      <c r="DC9" s="2">
        <v>9149</v>
      </c>
      <c r="DD9" s="2">
        <v>10757</v>
      </c>
      <c r="DE9" s="2">
        <v>12476</v>
      </c>
      <c r="DF9" s="2">
        <v>11453</v>
      </c>
      <c r="DG9" s="2">
        <v>11760</v>
      </c>
      <c r="DH9" s="2">
        <v>1629100</v>
      </c>
      <c r="DI9" s="2">
        <v>1191700</v>
      </c>
      <c r="DJ9" s="2">
        <v>1595200</v>
      </c>
      <c r="DK9" s="2">
        <v>2118700</v>
      </c>
      <c r="DL9" s="2">
        <v>2011400</v>
      </c>
      <c r="DM9" s="2">
        <v>2311300</v>
      </c>
      <c r="DN9" s="2">
        <v>1170300</v>
      </c>
      <c r="DO9" s="2">
        <v>1931900</v>
      </c>
      <c r="DP9" s="2">
        <v>1920600</v>
      </c>
      <c r="DQ9" s="2">
        <v>2030400</v>
      </c>
      <c r="DR9" s="2">
        <v>1928.87</v>
      </c>
      <c r="DS9" s="2">
        <v>2435.83</v>
      </c>
      <c r="DT9" s="2">
        <v>810.97</v>
      </c>
      <c r="DU9" s="2">
        <v>996.29</v>
      </c>
      <c r="DV9" s="2">
        <v>3803.94</v>
      </c>
      <c r="DW9" s="2">
        <v>2904.77</v>
      </c>
      <c r="DX9" s="2">
        <v>1701.58</v>
      </c>
      <c r="DY9" s="2">
        <v>1169.25</v>
      </c>
      <c r="DZ9" s="2">
        <v>1892.45</v>
      </c>
      <c r="EA9" s="2">
        <v>1566.77</v>
      </c>
      <c r="EB9" s="2">
        <v>1616.91</v>
      </c>
      <c r="EC9" s="2">
        <v>1602.74</v>
      </c>
      <c r="ED9" s="2">
        <v>2429.4</v>
      </c>
      <c r="EE9" s="2">
        <v>2420</v>
      </c>
      <c r="EF9" s="2">
        <v>2260.79</v>
      </c>
      <c r="EG9" s="2">
        <v>1260500</v>
      </c>
      <c r="EH9" s="2">
        <v>1393700</v>
      </c>
      <c r="EI9" s="2">
        <v>846652</v>
      </c>
      <c r="EJ9" s="2">
        <v>858500</v>
      </c>
      <c r="EK9" s="2">
        <v>1020605</v>
      </c>
      <c r="EL9" s="2">
        <v>1067145</v>
      </c>
      <c r="EM9" s="2">
        <v>887454</v>
      </c>
      <c r="EN9" s="2">
        <v>1056971</v>
      </c>
      <c r="EO9" s="2">
        <v>1025253</v>
      </c>
      <c r="EP9" s="2"/>
      <c r="EQ9" s="2"/>
      <c r="ER9" s="2"/>
      <c r="ES9" s="2"/>
      <c r="ET9" s="2"/>
      <c r="EU9" s="2"/>
      <c r="EV9" s="2"/>
      <c r="EW9" s="2"/>
      <c r="EX9" s="2"/>
      <c r="EY9" s="2"/>
      <c r="EZ9" s="2">
        <v>1426.9</v>
      </c>
      <c r="FA9" s="2">
        <v>2054</v>
      </c>
      <c r="FB9" s="2">
        <v>1949.3</v>
      </c>
      <c r="FC9" s="2">
        <v>963.2</v>
      </c>
      <c r="FD9" s="2">
        <v>809.3</v>
      </c>
      <c r="FE9" s="2">
        <v>287.2</v>
      </c>
      <c r="FF9" s="2">
        <v>81.400000000000006</v>
      </c>
      <c r="FG9" s="2">
        <v>177.6</v>
      </c>
      <c r="FH9" s="2">
        <v>145.9</v>
      </c>
      <c r="FI9" s="2">
        <v>168.3</v>
      </c>
      <c r="FJ9" s="2">
        <v>1426.9</v>
      </c>
      <c r="FK9" s="2">
        <v>2053.9</v>
      </c>
      <c r="FL9" s="2">
        <v>1949.3</v>
      </c>
      <c r="FM9" s="2">
        <v>963.2</v>
      </c>
      <c r="FN9" s="2">
        <v>809.3</v>
      </c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</row>
    <row r="10" spans="1:194" ht="14.4" x14ac:dyDescent="0.25">
      <c r="A10" s="2">
        <v>9</v>
      </c>
      <c r="B10" s="22" t="s">
        <v>2493</v>
      </c>
      <c r="C10" s="2" t="s">
        <v>2193</v>
      </c>
      <c r="D10" s="14" t="s">
        <v>2039</v>
      </c>
      <c r="E10" s="2" t="s">
        <v>2064</v>
      </c>
      <c r="F10" s="2"/>
      <c r="G10" s="2"/>
      <c r="H10" s="20">
        <v>4268</v>
      </c>
      <c r="I10" s="20">
        <v>6739</v>
      </c>
      <c r="J10" s="2">
        <v>5.7</v>
      </c>
      <c r="K10" s="2">
        <v>125.39</v>
      </c>
      <c r="L10" s="2">
        <v>4.25</v>
      </c>
      <c r="M10" s="2">
        <v>13.66</v>
      </c>
      <c r="N10" s="2">
        <v>3.55</v>
      </c>
      <c r="O10" s="2">
        <v>548</v>
      </c>
      <c r="P10" s="2">
        <v>634</v>
      </c>
      <c r="Q10" s="2">
        <v>564.79</v>
      </c>
      <c r="R10" s="2">
        <v>534.52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>
        <v>21200</v>
      </c>
      <c r="AT10">
        <v>61600</v>
      </c>
      <c r="AU10">
        <v>99400</v>
      </c>
      <c r="AV10">
        <v>144000</v>
      </c>
      <c r="AW10">
        <v>186000</v>
      </c>
      <c r="AX10">
        <v>279000</v>
      </c>
      <c r="AY10">
        <v>276000</v>
      </c>
      <c r="AZ10">
        <v>225000</v>
      </c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>
        <v>31510</v>
      </c>
      <c r="BU10" s="2">
        <v>14720</v>
      </c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>
        <v>1528</v>
      </c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>
        <v>23.77</v>
      </c>
      <c r="EB10" s="2"/>
      <c r="EC10" s="2">
        <v>41.85</v>
      </c>
      <c r="ED10" s="2">
        <v>14.07</v>
      </c>
      <c r="EE10" s="2">
        <v>41.88</v>
      </c>
      <c r="EF10" s="2">
        <v>52.93</v>
      </c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</row>
    <row r="11" spans="1:194" x14ac:dyDescent="0.25">
      <c r="A11" s="2">
        <v>10</v>
      </c>
      <c r="B11" s="2" t="s">
        <v>1336</v>
      </c>
      <c r="C11" s="2" t="s">
        <v>2194</v>
      </c>
      <c r="D11" s="14" t="s">
        <v>2152</v>
      </c>
      <c r="E11" s="1" t="s">
        <v>2148</v>
      </c>
      <c r="F11" s="1"/>
      <c r="G11" s="1"/>
      <c r="H11">
        <v>932</v>
      </c>
      <c r="I11">
        <v>605</v>
      </c>
      <c r="J11" s="2">
        <v>8.56</v>
      </c>
      <c r="K11" s="2">
        <v>124.14</v>
      </c>
      <c r="L11" s="2">
        <v>7.47</v>
      </c>
      <c r="M11" s="2">
        <v>11.92</v>
      </c>
      <c r="N11" s="2">
        <v>3.11</v>
      </c>
      <c r="O11" s="2">
        <v>3374</v>
      </c>
      <c r="P11" s="2">
        <v>4326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>
        <v>4360</v>
      </c>
      <c r="AT11">
        <v>1570</v>
      </c>
      <c r="AU11">
        <v>1520</v>
      </c>
      <c r="AV11">
        <v>1200</v>
      </c>
      <c r="AW11">
        <v>570</v>
      </c>
      <c r="AX11">
        <v>643</v>
      </c>
      <c r="AY11">
        <v>550</v>
      </c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>
        <v>89690</v>
      </c>
      <c r="BU11" s="2">
        <v>81860</v>
      </c>
      <c r="BV11" s="2"/>
      <c r="BW11" s="2"/>
      <c r="BX11" s="2"/>
      <c r="BY11" s="2"/>
      <c r="BZ11" s="2"/>
      <c r="CA11" s="2"/>
      <c r="CB11" s="2">
        <v>5132.67</v>
      </c>
      <c r="CC11" s="2">
        <v>2886.38</v>
      </c>
      <c r="CD11" s="2">
        <v>7290</v>
      </c>
      <c r="CE11" s="2">
        <v>8109.9999999999991</v>
      </c>
      <c r="CF11" s="2">
        <v>4350</v>
      </c>
      <c r="CG11" s="2">
        <v>4560</v>
      </c>
      <c r="CH11" s="2">
        <v>5260</v>
      </c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</row>
    <row r="12" spans="1:194" x14ac:dyDescent="0.25">
      <c r="A12" s="2">
        <v>11</v>
      </c>
      <c r="B12" s="2" t="s">
        <v>2478</v>
      </c>
      <c r="C12" s="2" t="s">
        <v>1991</v>
      </c>
      <c r="D12" s="14" t="s">
        <v>2034</v>
      </c>
      <c r="E12" s="1" t="s">
        <v>2059</v>
      </c>
      <c r="F12" s="1"/>
      <c r="G12" s="1"/>
      <c r="H1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</row>
    <row r="13" spans="1:194" x14ac:dyDescent="0.25">
      <c r="A13" s="2">
        <v>12</v>
      </c>
      <c r="B13" s="2" t="s">
        <v>1317</v>
      </c>
      <c r="C13" s="2" t="s">
        <v>2149</v>
      </c>
      <c r="D13" s="14" t="s">
        <v>2178</v>
      </c>
      <c r="E13" s="1" t="s">
        <v>2066</v>
      </c>
      <c r="F13" s="1"/>
      <c r="G13" s="1"/>
      <c r="H13"/>
      <c r="J13" s="2">
        <v>16.37</v>
      </c>
      <c r="K13" s="2">
        <v>104.74</v>
      </c>
      <c r="L13" s="2">
        <v>16.43</v>
      </c>
      <c r="M13" s="2">
        <v>34.11</v>
      </c>
      <c r="N13" s="2">
        <v>14.8</v>
      </c>
      <c r="O13" s="2">
        <v>2</v>
      </c>
      <c r="P13" s="2">
        <v>2</v>
      </c>
      <c r="Q13" s="2"/>
      <c r="R13" s="2"/>
      <c r="S13" s="2"/>
      <c r="T13" s="2"/>
      <c r="U13" s="2"/>
      <c r="V13" s="2"/>
      <c r="W13" s="2"/>
      <c r="X13" s="2">
        <v>6062</v>
      </c>
      <c r="Y13" s="2">
        <v>3374</v>
      </c>
      <c r="Z13" s="2">
        <v>2492</v>
      </c>
      <c r="AA13" s="2"/>
      <c r="AB13" s="2"/>
      <c r="AC13" s="2">
        <v>1848</v>
      </c>
      <c r="AD13" s="2"/>
      <c r="AE13" s="2">
        <v>3500</v>
      </c>
      <c r="AF13" s="2"/>
      <c r="AG13" s="2"/>
      <c r="AH13" s="2"/>
      <c r="AI13" s="2">
        <v>6580</v>
      </c>
      <c r="AJ13" s="2">
        <v>7280</v>
      </c>
      <c r="AK13" s="2">
        <v>2100</v>
      </c>
      <c r="AL13" s="2"/>
      <c r="AM13" s="2">
        <v>1680</v>
      </c>
      <c r="AN13" s="2"/>
      <c r="AO13" s="2"/>
      <c r="AP13" s="2">
        <v>3219.9999999999995</v>
      </c>
      <c r="AQ13" s="2">
        <v>4900</v>
      </c>
      <c r="AR13" s="2">
        <v>5040</v>
      </c>
      <c r="AS13">
        <v>5730</v>
      </c>
      <c r="AT13">
        <v>1940</v>
      </c>
      <c r="AU13">
        <v>4260</v>
      </c>
      <c r="AV13">
        <v>2570</v>
      </c>
      <c r="AW13">
        <v>7010</v>
      </c>
      <c r="AX13">
        <v>2390</v>
      </c>
      <c r="AY13">
        <v>5510</v>
      </c>
      <c r="BE13" s="2"/>
      <c r="BF13" s="2"/>
      <c r="BG13" s="2"/>
      <c r="BH13" s="2"/>
      <c r="BI13" s="2"/>
      <c r="BJ13" s="2"/>
      <c r="BK13" s="2"/>
      <c r="BL13" s="2"/>
      <c r="BM13" s="2">
        <v>70</v>
      </c>
      <c r="BN13" s="2">
        <v>1000</v>
      </c>
      <c r="BO13" s="2">
        <v>1000</v>
      </c>
      <c r="BP13" s="2">
        <v>1100</v>
      </c>
      <c r="BQ13" s="2"/>
      <c r="BR13" s="2"/>
      <c r="BS13" s="2"/>
      <c r="BT13" s="2">
        <v>31950</v>
      </c>
      <c r="BU13" s="2">
        <v>57280</v>
      </c>
      <c r="BV13" s="2"/>
      <c r="BW13" s="2">
        <v>780</v>
      </c>
      <c r="BX13" s="2">
        <v>650</v>
      </c>
      <c r="BY13" s="2"/>
      <c r="BZ13" s="2">
        <v>11430</v>
      </c>
      <c r="CA13" s="2"/>
      <c r="CB13" s="2"/>
      <c r="CC13" s="2"/>
      <c r="CD13" s="2">
        <v>36540</v>
      </c>
      <c r="CE13" s="2">
        <v>29450</v>
      </c>
      <c r="CF13" s="2">
        <v>13100</v>
      </c>
      <c r="CG13" s="2">
        <v>6480</v>
      </c>
      <c r="CH13" s="2">
        <v>7370</v>
      </c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>
        <v>3108</v>
      </c>
      <c r="DD13" s="2">
        <v>3108</v>
      </c>
      <c r="DE13" s="2">
        <v>1855</v>
      </c>
      <c r="DF13" s="2">
        <v>3701</v>
      </c>
      <c r="DG13" s="2">
        <v>1389</v>
      </c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>
        <v>1129.54</v>
      </c>
      <c r="DS13" s="2">
        <v>1774.79</v>
      </c>
      <c r="DT13" s="2">
        <v>713.59</v>
      </c>
      <c r="DU13" s="2">
        <v>457.91</v>
      </c>
      <c r="DV13" s="2">
        <v>4567.51</v>
      </c>
      <c r="DW13" s="2">
        <v>1752.15</v>
      </c>
      <c r="DX13" s="2">
        <v>1044.23</v>
      </c>
      <c r="DY13" s="2">
        <v>7354.49</v>
      </c>
      <c r="DZ13" s="2">
        <v>5383.22</v>
      </c>
      <c r="EA13" s="2">
        <v>1420.99</v>
      </c>
      <c r="EB13" s="2">
        <v>3707.65</v>
      </c>
      <c r="EC13" s="2">
        <v>2310.9</v>
      </c>
      <c r="ED13" s="2">
        <v>2145.17</v>
      </c>
      <c r="EE13" s="2">
        <v>1223.3399999999999</v>
      </c>
      <c r="EF13" s="2">
        <v>1407.42</v>
      </c>
      <c r="EG13" s="2"/>
      <c r="EH13" s="2"/>
      <c r="EI13" s="2">
        <v>4388</v>
      </c>
      <c r="EJ13" s="2">
        <v>1158</v>
      </c>
      <c r="EK13" s="2">
        <v>1740</v>
      </c>
      <c r="EL13" s="2">
        <v>2055</v>
      </c>
      <c r="EM13" s="2">
        <v>5089</v>
      </c>
      <c r="EN13" s="2"/>
      <c r="EO13" s="2"/>
      <c r="EP13" s="2">
        <v>2837.43</v>
      </c>
      <c r="EQ13" s="2">
        <v>420.31</v>
      </c>
      <c r="ER13" s="2">
        <v>355.2</v>
      </c>
      <c r="ES13" s="2">
        <v>207.51</v>
      </c>
      <c r="ET13" s="2">
        <v>543.44000000000005</v>
      </c>
      <c r="EU13" s="2">
        <v>1190.7</v>
      </c>
      <c r="EV13" s="2">
        <v>1850.7</v>
      </c>
      <c r="EW13" s="2">
        <v>1397.9</v>
      </c>
      <c r="EX13" s="2">
        <v>922.8</v>
      </c>
      <c r="EY13" s="2">
        <v>4880</v>
      </c>
      <c r="EZ13" s="2">
        <v>683.3</v>
      </c>
      <c r="FA13" s="2">
        <v>6578</v>
      </c>
      <c r="FB13" s="2">
        <v>1656.8</v>
      </c>
      <c r="FC13" s="2">
        <v>2092.6</v>
      </c>
      <c r="FD13" s="2">
        <v>993.8</v>
      </c>
      <c r="FE13" s="2">
        <v>3732.1</v>
      </c>
      <c r="FF13" s="2">
        <v>2483.5</v>
      </c>
      <c r="FG13" s="2">
        <v>6502.1</v>
      </c>
      <c r="FH13" s="2">
        <v>3246.3</v>
      </c>
      <c r="FI13" s="2">
        <v>5002.1000000000004</v>
      </c>
      <c r="FJ13" s="2">
        <v>3847</v>
      </c>
      <c r="FK13" s="2">
        <v>7328.3</v>
      </c>
      <c r="FL13" s="2">
        <v>705.7</v>
      </c>
      <c r="FM13" s="2">
        <v>547.79999999999995</v>
      </c>
      <c r="FN13" s="2">
        <v>3228.3</v>
      </c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</row>
    <row r="14" spans="1:194" ht="14.4" x14ac:dyDescent="0.25">
      <c r="A14" s="2">
        <v>13</v>
      </c>
      <c r="B14" s="16" t="s">
        <v>2479</v>
      </c>
      <c r="C14" s="2" t="s">
        <v>2000</v>
      </c>
      <c r="D14" s="14" t="s">
        <v>2043</v>
      </c>
      <c r="E14" s="2" t="s">
        <v>2068</v>
      </c>
      <c r="F14" s="2"/>
      <c r="G14" s="2"/>
      <c r="H14"/>
      <c r="J14" s="2">
        <v>4.49</v>
      </c>
      <c r="K14" s="2">
        <v>96.79</v>
      </c>
      <c r="L14" s="2">
        <v>0.88</v>
      </c>
      <c r="M14" s="2">
        <v>1.1399999999999999</v>
      </c>
      <c r="N14" s="2">
        <v>1.81</v>
      </c>
      <c r="O14" s="2"/>
      <c r="P14" s="2"/>
      <c r="Q14" s="2">
        <v>176.34</v>
      </c>
      <c r="R14" s="2">
        <v>143.22</v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>
        <v>41330</v>
      </c>
      <c r="BU14" s="2">
        <v>27070</v>
      </c>
      <c r="BV14" s="2"/>
      <c r="BW14" s="2"/>
      <c r="BX14" s="2"/>
      <c r="BY14" s="2"/>
      <c r="BZ14" s="2"/>
      <c r="CA14" s="2">
        <v>1781.1</v>
      </c>
      <c r="CB14" s="2"/>
      <c r="CC14" s="2">
        <v>3234.25</v>
      </c>
      <c r="CD14" s="2">
        <v>7080</v>
      </c>
      <c r="CE14" s="2">
        <v>8090</v>
      </c>
      <c r="CF14" s="2">
        <v>1880</v>
      </c>
      <c r="CG14" s="2">
        <v>2190</v>
      </c>
      <c r="CH14" s="2">
        <v>2630</v>
      </c>
      <c r="CI14" s="2"/>
      <c r="CJ14" s="2"/>
      <c r="CK14" s="2"/>
      <c r="CL14" s="2"/>
      <c r="CM14" s="2"/>
      <c r="CN14" s="2"/>
      <c r="CO14" s="2"/>
      <c r="CP14" s="2">
        <v>1.0660000000000001</v>
      </c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>
        <v>47</v>
      </c>
      <c r="DD14" s="2">
        <v>28.000000000000004</v>
      </c>
      <c r="DE14" s="2"/>
      <c r="DF14" s="2"/>
      <c r="DG14" s="2">
        <v>9</v>
      </c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</row>
    <row r="15" spans="1:194" x14ac:dyDescent="0.25">
      <c r="A15" s="2">
        <v>14</v>
      </c>
      <c r="B15" s="2" t="s">
        <v>1324</v>
      </c>
      <c r="C15" s="2" t="s">
        <v>2195</v>
      </c>
      <c r="D15" s="12" t="s">
        <v>2120</v>
      </c>
      <c r="E15" s="2" t="s">
        <v>2121</v>
      </c>
      <c r="F15" s="2"/>
      <c r="G15" s="2"/>
      <c r="H15" s="20">
        <v>28416</v>
      </c>
      <c r="I15">
        <v>146</v>
      </c>
      <c r="J15" s="2">
        <v>40.119999999999997</v>
      </c>
      <c r="K15" s="2">
        <v>54.57</v>
      </c>
      <c r="L15" s="2">
        <v>39.159999999999997</v>
      </c>
      <c r="M15" s="2">
        <v>58.38</v>
      </c>
      <c r="N15" s="2">
        <v>15.05</v>
      </c>
      <c r="O15" s="2">
        <v>336</v>
      </c>
      <c r="P15" s="2">
        <v>357</v>
      </c>
      <c r="Q15" s="2"/>
      <c r="R15" s="2"/>
      <c r="S15" s="2">
        <v>193759</v>
      </c>
      <c r="T15" s="2">
        <v>118620</v>
      </c>
      <c r="U15" s="2">
        <v>133816</v>
      </c>
      <c r="V15" s="2">
        <v>130156</v>
      </c>
      <c r="W15" s="2">
        <v>170265</v>
      </c>
      <c r="X15" s="2">
        <v>11.358899999999998</v>
      </c>
      <c r="Y15" s="2">
        <v>4.3469999999999995</v>
      </c>
      <c r="Z15" s="2">
        <v>6.1613999999999995</v>
      </c>
      <c r="AA15" s="2">
        <v>5.1029999999999998</v>
      </c>
      <c r="AB15" s="2">
        <v>2.6648999999999998</v>
      </c>
      <c r="AC15" s="2">
        <v>3.7988999999999993</v>
      </c>
      <c r="AD15" s="2">
        <v>3.7610999999999999</v>
      </c>
      <c r="AE15" s="2">
        <v>11.472300000000001</v>
      </c>
      <c r="AF15" s="2">
        <v>9450</v>
      </c>
      <c r="AG15" s="2">
        <v>11340</v>
      </c>
      <c r="AH15" s="2">
        <v>5670</v>
      </c>
      <c r="AI15" s="2">
        <v>32147</v>
      </c>
      <c r="AJ15" s="2">
        <v>32147</v>
      </c>
      <c r="AK15" s="2">
        <v>13047.900000000001</v>
      </c>
      <c r="AL15" s="2">
        <v>32147</v>
      </c>
      <c r="AM15" s="2">
        <v>7564</v>
      </c>
      <c r="AN15" s="2">
        <v>49166</v>
      </c>
      <c r="AO15" s="2">
        <v>6429.4</v>
      </c>
      <c r="AP15" s="2">
        <v>26474</v>
      </c>
      <c r="AQ15" s="2">
        <v>30256</v>
      </c>
      <c r="AR15" s="2">
        <v>11724.2</v>
      </c>
      <c r="AS15">
        <v>26500</v>
      </c>
      <c r="AT15">
        <v>12100</v>
      </c>
      <c r="AU15">
        <v>26300</v>
      </c>
      <c r="AV15">
        <v>13600</v>
      </c>
      <c r="AW15">
        <v>44000</v>
      </c>
      <c r="AX15">
        <v>21000</v>
      </c>
      <c r="AY15">
        <v>33800</v>
      </c>
      <c r="AZ15">
        <v>688</v>
      </c>
      <c r="BA15">
        <v>41602.000000000007</v>
      </c>
      <c r="BB15">
        <v>20328.25</v>
      </c>
      <c r="BC15">
        <v>4822.05</v>
      </c>
      <c r="BD15">
        <v>2779.77</v>
      </c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>
        <v>8150</v>
      </c>
      <c r="BR15" s="2">
        <v>2890</v>
      </c>
      <c r="BS15" s="2">
        <v>2710</v>
      </c>
      <c r="BT15" s="2">
        <v>195030</v>
      </c>
      <c r="BU15" s="2">
        <v>178900</v>
      </c>
      <c r="BV15" s="2">
        <v>15590</v>
      </c>
      <c r="BW15" s="2">
        <v>3520</v>
      </c>
      <c r="BX15" s="2">
        <v>2740</v>
      </c>
      <c r="BY15" s="2">
        <v>23070</v>
      </c>
      <c r="BZ15" s="2">
        <v>37950</v>
      </c>
      <c r="CA15" s="2">
        <v>470.76</v>
      </c>
      <c r="CB15" s="2">
        <v>5829.38</v>
      </c>
      <c r="CC15" s="2">
        <v>496.51</v>
      </c>
      <c r="CD15" s="2">
        <v>93000</v>
      </c>
      <c r="CE15" s="2">
        <v>87720</v>
      </c>
      <c r="CF15" s="2">
        <v>52300</v>
      </c>
      <c r="CG15" s="2">
        <v>13120</v>
      </c>
      <c r="CH15" s="2">
        <v>15440</v>
      </c>
      <c r="CI15" s="2"/>
      <c r="CJ15" s="2"/>
      <c r="CK15" s="2"/>
      <c r="CL15" s="2"/>
      <c r="CM15" s="2"/>
      <c r="CN15" s="2"/>
      <c r="CO15" s="2"/>
      <c r="CP15" s="2">
        <v>5811.97</v>
      </c>
      <c r="CQ15" s="2">
        <v>4636</v>
      </c>
      <c r="CR15" s="2">
        <v>6059.34</v>
      </c>
      <c r="CS15" s="2">
        <v>1596.9</v>
      </c>
      <c r="CT15" s="2">
        <v>1053</v>
      </c>
      <c r="CU15" s="2">
        <v>997.01</v>
      </c>
      <c r="CV15" s="2">
        <v>2.91</v>
      </c>
      <c r="CW15" s="2">
        <v>3.49</v>
      </c>
      <c r="CX15" s="2">
        <v>4.47</v>
      </c>
      <c r="CY15" s="2">
        <v>3.83</v>
      </c>
      <c r="CZ15" s="2">
        <v>26.98</v>
      </c>
      <c r="DA15" s="2">
        <v>11.84</v>
      </c>
      <c r="DB15" s="2">
        <v>12.66</v>
      </c>
      <c r="DC15" s="2">
        <v>2838</v>
      </c>
      <c r="DD15" s="2">
        <v>2830</v>
      </c>
      <c r="DE15" s="2">
        <v>2594</v>
      </c>
      <c r="DF15" s="2">
        <v>2092</v>
      </c>
      <c r="DG15" s="2">
        <v>1980.9999999999998</v>
      </c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>
        <v>15176.18</v>
      </c>
      <c r="DS15" s="2">
        <v>14006.9</v>
      </c>
      <c r="DT15" s="2">
        <v>2111.38</v>
      </c>
      <c r="DU15" s="2">
        <v>1467.24</v>
      </c>
      <c r="DV15" s="2">
        <v>34168.94</v>
      </c>
      <c r="DW15" s="2">
        <v>18766.169999999998</v>
      </c>
      <c r="DX15" s="2">
        <v>14913.66</v>
      </c>
      <c r="DY15" s="2">
        <v>47099.9</v>
      </c>
      <c r="DZ15" s="2">
        <v>49589.17</v>
      </c>
      <c r="EA15" s="2">
        <v>5944.8</v>
      </c>
      <c r="EB15" s="2">
        <v>22385.5</v>
      </c>
      <c r="EC15" s="2">
        <v>12522.26</v>
      </c>
      <c r="ED15" s="2">
        <v>13587.34</v>
      </c>
      <c r="EE15" s="2">
        <v>3964.57</v>
      </c>
      <c r="EF15" s="2">
        <v>6437.79</v>
      </c>
      <c r="EG15" s="2"/>
      <c r="EH15" s="2"/>
      <c r="EI15" s="2">
        <v>4168</v>
      </c>
      <c r="EJ15" s="2">
        <v>4369</v>
      </c>
      <c r="EK15" s="2">
        <v>6522</v>
      </c>
      <c r="EL15" s="2">
        <v>9375</v>
      </c>
      <c r="EM15" s="2">
        <v>8356</v>
      </c>
      <c r="EN15" s="2"/>
      <c r="EO15" s="2"/>
      <c r="EP15" s="2">
        <v>29360.43</v>
      </c>
      <c r="EQ15" s="2">
        <v>1723.85</v>
      </c>
      <c r="ER15" s="2">
        <v>798.25</v>
      </c>
      <c r="ES15" s="2">
        <v>466.19</v>
      </c>
      <c r="ET15" s="2">
        <v>1295.2</v>
      </c>
      <c r="EU15" s="2">
        <v>22459.8</v>
      </c>
      <c r="EV15" s="2">
        <v>20134.099999999999</v>
      </c>
      <c r="EW15" s="2">
        <v>24509.1</v>
      </c>
      <c r="EX15" s="2">
        <v>22125.9</v>
      </c>
      <c r="EY15" s="2">
        <v>29482.3</v>
      </c>
      <c r="EZ15" s="2">
        <v>22186</v>
      </c>
      <c r="FA15" s="2">
        <v>32285</v>
      </c>
      <c r="FB15" s="2">
        <v>7646</v>
      </c>
      <c r="FC15" s="2">
        <v>12965.8</v>
      </c>
      <c r="FD15" s="2">
        <v>6445.5</v>
      </c>
      <c r="FE15" s="2">
        <v>31020.2</v>
      </c>
      <c r="FF15" s="2">
        <v>24861.8</v>
      </c>
      <c r="FG15" s="2">
        <v>28724.799999999999</v>
      </c>
      <c r="FH15" s="2">
        <v>21406.9</v>
      </c>
      <c r="FI15" s="2">
        <v>11764</v>
      </c>
      <c r="FJ15" s="2">
        <v>40082.6</v>
      </c>
      <c r="FK15" s="2">
        <v>31296</v>
      </c>
      <c r="FL15" s="2">
        <v>49144.4</v>
      </c>
      <c r="FM15" s="2">
        <v>31239.599999999999</v>
      </c>
      <c r="FN15" s="2">
        <v>25845.599999999999</v>
      </c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</row>
    <row r="16" spans="1:194" x14ac:dyDescent="0.25">
      <c r="A16" s="2">
        <v>15</v>
      </c>
      <c r="B16" s="2" t="s">
        <v>1306</v>
      </c>
      <c r="C16" s="2" t="s">
        <v>2009</v>
      </c>
      <c r="D16" s="12" t="s">
        <v>2052</v>
      </c>
      <c r="E16" s="2" t="s">
        <v>2078</v>
      </c>
      <c r="F16" s="2"/>
      <c r="G16" s="2"/>
      <c r="H16"/>
      <c r="J16" s="2">
        <v>36.04</v>
      </c>
      <c r="K16" s="2">
        <v>45.49</v>
      </c>
      <c r="L16" s="2">
        <v>31.18</v>
      </c>
      <c r="M16" s="2">
        <v>47.71</v>
      </c>
      <c r="N16" s="2">
        <v>11.06</v>
      </c>
      <c r="O16" s="2"/>
      <c r="P16" s="2"/>
      <c r="Q16" s="2"/>
      <c r="R16" s="2"/>
      <c r="S16" s="2">
        <v>86300</v>
      </c>
      <c r="T16" s="2">
        <v>69305</v>
      </c>
      <c r="U16" s="2">
        <v>32877</v>
      </c>
      <c r="V16" s="2">
        <v>59224</v>
      </c>
      <c r="W16" s="2">
        <v>67344</v>
      </c>
      <c r="X16" s="2">
        <v>10.815</v>
      </c>
      <c r="Y16" s="2"/>
      <c r="Z16" s="2">
        <v>7.0350000000000001</v>
      </c>
      <c r="AA16" s="2"/>
      <c r="AB16" s="2"/>
      <c r="AC16" s="2">
        <v>6.51</v>
      </c>
      <c r="AD16" s="2"/>
      <c r="AE16" s="2">
        <v>15.75</v>
      </c>
      <c r="AF16" s="2">
        <v>10500.62</v>
      </c>
      <c r="AG16" s="2">
        <v>15750.93</v>
      </c>
      <c r="AH16" s="2">
        <v>10500.62</v>
      </c>
      <c r="AI16" s="2"/>
      <c r="AJ16" s="2"/>
      <c r="AK16" s="2"/>
      <c r="AL16" s="2"/>
      <c r="AM16" s="2"/>
      <c r="AN16" s="2"/>
      <c r="AO16" s="2"/>
      <c r="AP16" s="2"/>
      <c r="AQ16" s="2"/>
      <c r="AR16" s="2"/>
      <c r="BA16">
        <v>8481.7800000000007</v>
      </c>
      <c r="BB16">
        <v>3396.78</v>
      </c>
      <c r="BC16">
        <v>38184.960000000006</v>
      </c>
      <c r="BD16">
        <v>18922.980000000003</v>
      </c>
      <c r="BE16" s="2"/>
      <c r="BF16" s="2"/>
      <c r="BG16" s="2"/>
      <c r="BH16" s="2"/>
      <c r="BI16" s="2"/>
      <c r="BJ16" s="2"/>
      <c r="BK16" s="2"/>
      <c r="BL16" s="2"/>
      <c r="BM16" s="2">
        <v>1250</v>
      </c>
      <c r="BN16" s="2">
        <v>560</v>
      </c>
      <c r="BO16" s="2">
        <v>550</v>
      </c>
      <c r="BP16" s="2">
        <v>15</v>
      </c>
      <c r="BQ16" s="2">
        <v>32130.000000000004</v>
      </c>
      <c r="BR16" s="2">
        <v>5090</v>
      </c>
      <c r="BS16" s="2">
        <v>5610</v>
      </c>
      <c r="BT16" s="2">
        <v>7760</v>
      </c>
      <c r="BU16" s="2">
        <v>19400</v>
      </c>
      <c r="BV16" s="2">
        <v>4610</v>
      </c>
      <c r="BW16" s="2">
        <v>700</v>
      </c>
      <c r="BX16" s="2">
        <v>480</v>
      </c>
      <c r="BY16" s="2">
        <v>6990</v>
      </c>
      <c r="BZ16" s="2">
        <v>5000</v>
      </c>
      <c r="CA16" s="2"/>
      <c r="CB16" s="2"/>
      <c r="CC16" s="2"/>
      <c r="CD16" s="2">
        <v>87050</v>
      </c>
      <c r="CE16" s="2">
        <v>77000</v>
      </c>
      <c r="CF16" s="2">
        <v>32479.999999999996</v>
      </c>
      <c r="CG16" s="2">
        <v>11310</v>
      </c>
      <c r="CH16" s="2">
        <v>13830</v>
      </c>
      <c r="CI16" s="2"/>
      <c r="CJ16" s="2"/>
      <c r="CK16" s="2"/>
      <c r="CL16" s="2"/>
      <c r="CM16" s="2"/>
      <c r="CN16" s="2"/>
      <c r="CO16" s="2"/>
      <c r="CP16" s="2">
        <v>12.95</v>
      </c>
      <c r="CQ16" s="2">
        <v>17.72</v>
      </c>
      <c r="CR16" s="2">
        <v>15.02</v>
      </c>
      <c r="CS16" s="2">
        <v>7.3</v>
      </c>
      <c r="CT16" s="2">
        <v>2.79</v>
      </c>
      <c r="CU16" s="2">
        <v>2.86</v>
      </c>
      <c r="CV16" s="2">
        <v>2.2799999999999998</v>
      </c>
      <c r="CW16" s="2">
        <v>3.78</v>
      </c>
      <c r="CX16" s="2">
        <v>4.6900000000000004</v>
      </c>
      <c r="CY16" s="2">
        <v>3.24</v>
      </c>
      <c r="CZ16" s="2">
        <v>37.409999999999997</v>
      </c>
      <c r="DA16" s="2">
        <v>34.47</v>
      </c>
      <c r="DB16" s="2">
        <v>23.05</v>
      </c>
      <c r="DC16" s="2">
        <v>1153</v>
      </c>
      <c r="DD16" s="2">
        <v>953.99999999999989</v>
      </c>
      <c r="DE16" s="2">
        <v>1082</v>
      </c>
      <c r="DF16" s="2">
        <v>688</v>
      </c>
      <c r="DG16" s="2">
        <v>204.99999999999997</v>
      </c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>
        <v>9388.24</v>
      </c>
      <c r="DS16" s="2">
        <v>10776.31</v>
      </c>
      <c r="DT16" s="2">
        <v>1491.19</v>
      </c>
      <c r="DU16" s="2">
        <v>799.47</v>
      </c>
      <c r="DV16" s="2">
        <v>31080.93</v>
      </c>
      <c r="DW16" s="2">
        <v>12475.5</v>
      </c>
      <c r="DX16" s="2">
        <v>7818.61</v>
      </c>
      <c r="DY16" s="2">
        <v>43495.18</v>
      </c>
      <c r="DZ16" s="2">
        <v>36995.29</v>
      </c>
      <c r="EA16" s="2">
        <v>8707.7800000000007</v>
      </c>
      <c r="EB16" s="2">
        <v>17820.66</v>
      </c>
      <c r="EC16" s="2">
        <v>18563.27</v>
      </c>
      <c r="ED16" s="2">
        <v>24918.47</v>
      </c>
      <c r="EE16" s="2">
        <v>2694.41</v>
      </c>
      <c r="EF16" s="2">
        <v>8916.18</v>
      </c>
      <c r="EG16" s="2"/>
      <c r="EH16" s="2"/>
      <c r="EI16" s="2">
        <v>4783</v>
      </c>
      <c r="EJ16" s="2">
        <v>1801</v>
      </c>
      <c r="EK16" s="2">
        <v>2256</v>
      </c>
      <c r="EL16" s="2">
        <v>2796</v>
      </c>
      <c r="EM16" s="2">
        <v>8339</v>
      </c>
      <c r="EN16" s="2"/>
      <c r="EO16" s="2"/>
      <c r="EP16" s="2">
        <v>19690.560000000001</v>
      </c>
      <c r="EQ16" s="2">
        <v>1911.38</v>
      </c>
      <c r="ER16" s="2">
        <v>1433.29</v>
      </c>
      <c r="ES16" s="2">
        <v>454.98</v>
      </c>
      <c r="ET16" s="2">
        <v>1268.03</v>
      </c>
      <c r="EU16" s="2">
        <v>510.4</v>
      </c>
      <c r="EV16" s="2">
        <v>199.4</v>
      </c>
      <c r="EW16" s="2">
        <v>476.4</v>
      </c>
      <c r="EX16" s="2">
        <v>208.3</v>
      </c>
      <c r="EY16" s="2">
        <v>2920</v>
      </c>
      <c r="EZ16" s="2">
        <v>540.9</v>
      </c>
      <c r="FA16" s="2">
        <v>354.3</v>
      </c>
      <c r="FB16" s="2">
        <v>125.4</v>
      </c>
      <c r="FC16" s="2">
        <v>178.2</v>
      </c>
      <c r="FD16" s="2">
        <v>42.4</v>
      </c>
      <c r="FE16" s="2"/>
      <c r="FF16" s="2"/>
      <c r="FG16" s="2"/>
      <c r="FH16" s="2"/>
      <c r="FI16" s="2"/>
      <c r="FJ16" s="2">
        <v>540.9</v>
      </c>
      <c r="FK16" s="2">
        <v>354.3</v>
      </c>
      <c r="FL16" s="2">
        <v>125.4</v>
      </c>
      <c r="FM16" s="2">
        <v>178.2</v>
      </c>
      <c r="FN16" s="2">
        <v>42.4</v>
      </c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</row>
    <row r="17" spans="1:194" x14ac:dyDescent="0.25">
      <c r="A17" s="2">
        <v>16</v>
      </c>
      <c r="B17" s="2" t="s">
        <v>1224</v>
      </c>
      <c r="C17" s="2" t="s">
        <v>2008</v>
      </c>
      <c r="D17" s="14" t="s">
        <v>2051</v>
      </c>
      <c r="E17" s="1" t="s">
        <v>2077</v>
      </c>
      <c r="F17" s="1"/>
      <c r="G17" s="1"/>
      <c r="H17" s="20">
        <v>1646</v>
      </c>
      <c r="I17">
        <v>635</v>
      </c>
      <c r="J17" s="2">
        <v>4.43</v>
      </c>
      <c r="K17" s="2">
        <v>6.93</v>
      </c>
      <c r="L17" s="2">
        <v>4.21</v>
      </c>
      <c r="M17" s="2">
        <v>6.6</v>
      </c>
      <c r="N17" s="2">
        <v>2.72</v>
      </c>
      <c r="O17" s="2">
        <v>675</v>
      </c>
      <c r="P17" s="2">
        <v>848</v>
      </c>
      <c r="Q17" s="2"/>
      <c r="R17" s="2"/>
      <c r="S17" s="2">
        <v>7525</v>
      </c>
      <c r="T17" s="2">
        <v>9245</v>
      </c>
      <c r="U17" s="2">
        <v>11140</v>
      </c>
      <c r="V17" s="2">
        <v>10896</v>
      </c>
      <c r="W17" s="2">
        <v>11533</v>
      </c>
      <c r="X17" s="2">
        <v>1336.25</v>
      </c>
      <c r="Y17" s="2">
        <v>985</v>
      </c>
      <c r="Z17" s="2">
        <v>566.25</v>
      </c>
      <c r="AA17" s="2">
        <v>492.5</v>
      </c>
      <c r="AB17" s="2">
        <v>537.5</v>
      </c>
      <c r="AC17" s="2">
        <v>536.25</v>
      </c>
      <c r="AD17" s="2">
        <v>611.25</v>
      </c>
      <c r="AE17" s="2">
        <v>223.75</v>
      </c>
      <c r="AF17" s="2">
        <v>250</v>
      </c>
      <c r="AG17" s="2">
        <v>1000</v>
      </c>
      <c r="AH17" s="2">
        <v>750</v>
      </c>
      <c r="AI17" s="2">
        <v>2625</v>
      </c>
      <c r="AJ17" s="2">
        <v>137.5</v>
      </c>
      <c r="AK17" s="2">
        <v>2000</v>
      </c>
      <c r="AL17" s="2"/>
      <c r="AM17" s="2">
        <v>3250</v>
      </c>
      <c r="AN17" s="2"/>
      <c r="AO17" s="2">
        <v>1250</v>
      </c>
      <c r="AP17" s="2">
        <v>612.5</v>
      </c>
      <c r="AQ17" s="2">
        <v>5875</v>
      </c>
      <c r="AR17" s="2"/>
      <c r="AS17">
        <v>2720</v>
      </c>
      <c r="AT17">
        <v>2630</v>
      </c>
      <c r="AU17">
        <v>4130</v>
      </c>
      <c r="AV17">
        <v>5110</v>
      </c>
      <c r="AW17">
        <v>12000</v>
      </c>
      <c r="AX17">
        <v>13900</v>
      </c>
      <c r="AY17">
        <v>20400</v>
      </c>
      <c r="AZ17">
        <v>17200</v>
      </c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>
        <v>5580</v>
      </c>
      <c r="BR17" s="2">
        <v>1320</v>
      </c>
      <c r="BS17" s="2">
        <v>3730</v>
      </c>
      <c r="BT17" s="2">
        <v>37260</v>
      </c>
      <c r="BU17" s="2">
        <v>15080</v>
      </c>
      <c r="BV17" s="2">
        <v>1450</v>
      </c>
      <c r="BW17" s="2">
        <v>310</v>
      </c>
      <c r="BX17" s="2">
        <v>160</v>
      </c>
      <c r="BY17" s="2">
        <v>1190</v>
      </c>
      <c r="BZ17" s="2">
        <v>3930</v>
      </c>
      <c r="CA17" s="2">
        <v>5573.65</v>
      </c>
      <c r="CB17" s="2">
        <v>3827.99</v>
      </c>
      <c r="CC17" s="2">
        <v>8631.73</v>
      </c>
      <c r="CD17" s="2">
        <v>2110</v>
      </c>
      <c r="CE17" s="2">
        <v>1560</v>
      </c>
      <c r="CF17" s="2">
        <v>8770</v>
      </c>
      <c r="CG17" s="2">
        <v>7160</v>
      </c>
      <c r="CH17" s="2">
        <v>6480</v>
      </c>
      <c r="CI17" s="2"/>
      <c r="CJ17" s="2"/>
      <c r="CK17" s="2"/>
      <c r="CL17" s="2"/>
      <c r="CM17" s="2"/>
      <c r="CN17" s="2"/>
      <c r="CO17" s="2"/>
      <c r="CP17" s="2">
        <v>3779.98</v>
      </c>
      <c r="CQ17" s="2">
        <v>3454.23</v>
      </c>
      <c r="CR17" s="2">
        <v>3191</v>
      </c>
      <c r="CS17" s="2">
        <v>1772.89</v>
      </c>
      <c r="CT17" s="2">
        <v>1737</v>
      </c>
      <c r="CU17" s="2">
        <v>1866.38</v>
      </c>
      <c r="CV17" s="2">
        <v>4061</v>
      </c>
      <c r="CW17" s="2">
        <v>1662.33</v>
      </c>
      <c r="CX17" s="2">
        <v>3626.12</v>
      </c>
      <c r="CY17" s="2">
        <v>1556.23</v>
      </c>
      <c r="CZ17" s="2">
        <v>6649.11</v>
      </c>
      <c r="DA17" s="2">
        <v>17.95</v>
      </c>
      <c r="DB17" s="2">
        <v>6.93</v>
      </c>
      <c r="DC17" s="2">
        <v>588</v>
      </c>
      <c r="DD17" s="2">
        <v>896.00000000000011</v>
      </c>
      <c r="DE17" s="2">
        <v>849</v>
      </c>
      <c r="DF17" s="2">
        <v>2184</v>
      </c>
      <c r="DG17" s="2">
        <v>3646</v>
      </c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>
        <v>2669.23</v>
      </c>
      <c r="DW17" s="2">
        <v>2507.23</v>
      </c>
      <c r="DX17" s="2">
        <v>1479.05</v>
      </c>
      <c r="DY17" s="2">
        <v>4172.59</v>
      </c>
      <c r="DZ17" s="2">
        <v>8152.41</v>
      </c>
      <c r="EA17" s="2">
        <v>2744.49</v>
      </c>
      <c r="EB17" s="2">
        <v>5483.11</v>
      </c>
      <c r="EC17" s="2">
        <v>6643.06</v>
      </c>
      <c r="ED17" s="2">
        <v>3632.83</v>
      </c>
      <c r="EE17" s="2">
        <v>4890.38</v>
      </c>
      <c r="EF17" s="2">
        <v>2860.12</v>
      </c>
      <c r="EG17" s="2">
        <v>700</v>
      </c>
      <c r="EH17" s="2">
        <v>800</v>
      </c>
      <c r="EI17" s="2">
        <v>514370</v>
      </c>
      <c r="EJ17" s="2">
        <v>322550</v>
      </c>
      <c r="EK17" s="2">
        <v>155540</v>
      </c>
      <c r="EL17" s="2">
        <v>129630</v>
      </c>
      <c r="EM17" s="2">
        <v>187670</v>
      </c>
      <c r="EN17" s="2">
        <v>1151.27</v>
      </c>
      <c r="EO17" s="2">
        <v>1409.77</v>
      </c>
      <c r="EP17" s="2">
        <v>1453.84</v>
      </c>
      <c r="EQ17" s="2">
        <v>1511.43</v>
      </c>
      <c r="ER17" s="2">
        <v>584.02</v>
      </c>
      <c r="ES17" s="2">
        <v>815.19</v>
      </c>
      <c r="ET17" s="2">
        <v>483.06</v>
      </c>
      <c r="EU17" s="2">
        <v>3187.9</v>
      </c>
      <c r="EV17" s="2">
        <v>2554.8000000000002</v>
      </c>
      <c r="EW17" s="2">
        <v>870</v>
      </c>
      <c r="EX17" s="2">
        <v>2543.8000000000002</v>
      </c>
      <c r="EY17" s="2">
        <v>5846.8</v>
      </c>
      <c r="EZ17" s="2">
        <v>2324</v>
      </c>
      <c r="FA17" s="2">
        <v>2668.2</v>
      </c>
      <c r="FB17" s="2">
        <v>3244.9</v>
      </c>
      <c r="FC17" s="2">
        <v>1988.9</v>
      </c>
      <c r="FD17" s="2">
        <v>1250.5999999999999</v>
      </c>
      <c r="FE17" s="2">
        <v>63.8</v>
      </c>
      <c r="FF17" s="2">
        <v>61</v>
      </c>
      <c r="FG17" s="2">
        <v>68.8</v>
      </c>
      <c r="FH17" s="2">
        <v>96.9</v>
      </c>
      <c r="FI17" s="2">
        <v>46</v>
      </c>
      <c r="FJ17" s="2">
        <v>2324</v>
      </c>
      <c r="FK17" s="2">
        <v>2668.2</v>
      </c>
      <c r="FL17" s="2">
        <v>3244.9</v>
      </c>
      <c r="FM17" s="2">
        <v>1988.9</v>
      </c>
      <c r="FN17" s="2">
        <v>1250.5999999999999</v>
      </c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</row>
    <row r="18" spans="1:194" x14ac:dyDescent="0.25">
      <c r="A18" s="2">
        <v>17</v>
      </c>
      <c r="B18" s="2" t="s">
        <v>2014</v>
      </c>
      <c r="C18" s="2" t="s">
        <v>2007</v>
      </c>
      <c r="D18" s="14" t="s">
        <v>2050</v>
      </c>
      <c r="E18" s="2" t="s">
        <v>2076</v>
      </c>
      <c r="F18" s="1"/>
      <c r="G18" s="1"/>
      <c r="H18">
        <v>341</v>
      </c>
      <c r="I18">
        <v>61</v>
      </c>
      <c r="J18" s="2">
        <v>6.62</v>
      </c>
      <c r="K18" s="2">
        <v>5.24</v>
      </c>
      <c r="L18" s="2">
        <v>1.9</v>
      </c>
      <c r="M18" s="2">
        <v>3.05</v>
      </c>
      <c r="N18" s="2">
        <v>2.52</v>
      </c>
      <c r="O18" s="2">
        <v>148</v>
      </c>
      <c r="P18" s="2">
        <v>213</v>
      </c>
      <c r="Q18" s="2"/>
      <c r="R18" s="2">
        <v>249.92</v>
      </c>
      <c r="S18" s="2">
        <v>6967</v>
      </c>
      <c r="T18" s="2">
        <v>9960</v>
      </c>
      <c r="U18" s="2">
        <v>10421</v>
      </c>
      <c r="V18" s="2">
        <v>10783</v>
      </c>
      <c r="W18" s="2">
        <v>11475</v>
      </c>
      <c r="X18" s="2">
        <v>561.66</v>
      </c>
      <c r="Y18" s="2"/>
      <c r="Z18" s="2">
        <v>1855.9199999999998</v>
      </c>
      <c r="AA18" s="2">
        <v>2442</v>
      </c>
      <c r="AB18" s="2">
        <v>2144.89</v>
      </c>
      <c r="AC18" s="2">
        <v>1900.69</v>
      </c>
      <c r="AD18" s="2">
        <v>2368.7400000000002</v>
      </c>
      <c r="AE18" s="2">
        <v>590.15</v>
      </c>
      <c r="AF18" s="2">
        <v>407</v>
      </c>
      <c r="AG18" s="2">
        <v>2035</v>
      </c>
      <c r="AH18" s="2">
        <v>1628</v>
      </c>
      <c r="AI18" s="2">
        <v>4884</v>
      </c>
      <c r="AJ18" s="2">
        <v>1546.6</v>
      </c>
      <c r="AK18" s="2">
        <v>4070</v>
      </c>
      <c r="AL18" s="2">
        <v>1750.1</v>
      </c>
      <c r="AM18" s="2">
        <v>6105</v>
      </c>
      <c r="AN18" s="2">
        <v>1709.4</v>
      </c>
      <c r="AO18" s="2">
        <v>1994.3000000000002</v>
      </c>
      <c r="AP18" s="2">
        <v>447.70000000000005</v>
      </c>
      <c r="AQ18" s="2">
        <v>14652</v>
      </c>
      <c r="AR18" s="2">
        <v>2482.6999999999998</v>
      </c>
      <c r="AS18">
        <v>2050</v>
      </c>
      <c r="AT18">
        <v>4730</v>
      </c>
      <c r="AU18">
        <v>7540</v>
      </c>
      <c r="AV18">
        <v>11300</v>
      </c>
      <c r="AW18">
        <v>21000</v>
      </c>
      <c r="AX18">
        <v>29100</v>
      </c>
      <c r="AY18">
        <v>33500</v>
      </c>
      <c r="AZ18">
        <v>29600</v>
      </c>
      <c r="BA18">
        <v>3194.9499999999994</v>
      </c>
      <c r="BB18">
        <v>3386.24</v>
      </c>
      <c r="BC18">
        <v>5474.1499999999987</v>
      </c>
      <c r="BD18">
        <v>4440.37</v>
      </c>
      <c r="BE18" s="2">
        <v>1285.5827999999999</v>
      </c>
      <c r="BF18" s="2">
        <v>2290.4528999999998</v>
      </c>
      <c r="BG18" s="2">
        <v>1151.3289</v>
      </c>
      <c r="BH18" s="2">
        <v>781.11359999999991</v>
      </c>
      <c r="BI18" s="2"/>
      <c r="BJ18" s="2">
        <v>1379.1537000000001</v>
      </c>
      <c r="BK18" s="2">
        <v>1488.9978000000001</v>
      </c>
      <c r="BL18" s="2">
        <v>1244.8997999999999</v>
      </c>
      <c r="BM18" s="2">
        <v>10</v>
      </c>
      <c r="BN18" s="2">
        <v>10</v>
      </c>
      <c r="BO18" s="2">
        <v>10</v>
      </c>
      <c r="BP18" s="2">
        <v>20</v>
      </c>
      <c r="BQ18" s="2">
        <v>4640</v>
      </c>
      <c r="BR18" s="2">
        <v>2680</v>
      </c>
      <c r="BS18" s="2">
        <v>4480</v>
      </c>
      <c r="BT18" s="2">
        <v>36490</v>
      </c>
      <c r="BU18" s="2">
        <v>13840</v>
      </c>
      <c r="BV18" s="2"/>
      <c r="BW18" s="2"/>
      <c r="BX18" s="2"/>
      <c r="BY18" s="2"/>
      <c r="BZ18" s="2">
        <v>3570</v>
      </c>
      <c r="CA18" s="2">
        <v>1930.28</v>
      </c>
      <c r="CB18" s="2">
        <v>1069.83</v>
      </c>
      <c r="CC18" s="2">
        <v>3447.45</v>
      </c>
      <c r="CD18" s="2">
        <v>3590</v>
      </c>
      <c r="CE18" s="2">
        <v>3220</v>
      </c>
      <c r="CF18" s="2">
        <v>9360</v>
      </c>
      <c r="CG18" s="2">
        <v>5390</v>
      </c>
      <c r="CH18" s="2">
        <v>5560</v>
      </c>
      <c r="CI18" s="2"/>
      <c r="CJ18" s="2"/>
      <c r="CK18" s="2"/>
      <c r="CL18" s="2"/>
      <c r="CM18" s="2"/>
      <c r="CN18" s="2"/>
      <c r="CO18" s="2"/>
      <c r="CP18" s="2">
        <v>4013</v>
      </c>
      <c r="CQ18" s="2">
        <v>5923.89</v>
      </c>
      <c r="CR18" s="2">
        <v>3615.12</v>
      </c>
      <c r="CS18" s="2">
        <v>1619</v>
      </c>
      <c r="CT18" s="2">
        <v>895.33</v>
      </c>
      <c r="CU18" s="2">
        <v>883.62</v>
      </c>
      <c r="CV18" s="2">
        <v>4034</v>
      </c>
      <c r="CW18" s="2">
        <v>1801</v>
      </c>
      <c r="CX18" s="2">
        <v>7235.23</v>
      </c>
      <c r="CY18" s="2">
        <v>644.12</v>
      </c>
      <c r="CZ18" s="2">
        <v>5483.96</v>
      </c>
      <c r="DA18" s="2">
        <v>5957.42</v>
      </c>
      <c r="DB18" s="2">
        <v>2014</v>
      </c>
      <c r="DC18" s="2">
        <v>280</v>
      </c>
      <c r="DD18" s="2">
        <v>400</v>
      </c>
      <c r="DE18" s="2">
        <v>400</v>
      </c>
      <c r="DF18" s="2">
        <v>763</v>
      </c>
      <c r="DG18" s="2">
        <v>1013.0000000000001</v>
      </c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>
        <v>258.17</v>
      </c>
      <c r="DS18" s="2">
        <v>230.76</v>
      </c>
      <c r="DT18" s="2">
        <v>118.35</v>
      </c>
      <c r="DU18" s="2">
        <v>76.28</v>
      </c>
      <c r="DV18" s="2">
        <v>450.19</v>
      </c>
      <c r="DW18" s="2">
        <v>448.45</v>
      </c>
      <c r="DX18" s="2">
        <v>73.34</v>
      </c>
      <c r="DY18" s="2">
        <v>200.51</v>
      </c>
      <c r="DZ18" s="2">
        <v>1527.85</v>
      </c>
      <c r="EA18" s="2">
        <v>536.16</v>
      </c>
      <c r="EB18" s="2">
        <v>1169.83</v>
      </c>
      <c r="EC18" s="2">
        <v>450.19</v>
      </c>
      <c r="ED18" s="2">
        <v>433.09</v>
      </c>
      <c r="EE18" s="2">
        <v>501.29</v>
      </c>
      <c r="EF18" s="2">
        <v>487.45</v>
      </c>
      <c r="EG18" s="2">
        <v>1800</v>
      </c>
      <c r="EH18" s="2">
        <v>1500</v>
      </c>
      <c r="EI18" s="2">
        <v>218310</v>
      </c>
      <c r="EJ18" s="2">
        <v>177120</v>
      </c>
      <c r="EK18" s="2">
        <v>86690</v>
      </c>
      <c r="EL18" s="2">
        <v>90040</v>
      </c>
      <c r="EM18" s="2">
        <v>357110</v>
      </c>
      <c r="EN18" s="2">
        <v>532.83000000000004</v>
      </c>
      <c r="EO18" s="2">
        <v>653.66</v>
      </c>
      <c r="EP18" s="2">
        <v>3392.85</v>
      </c>
      <c r="EQ18" s="2">
        <v>682.71</v>
      </c>
      <c r="ER18" s="2">
        <v>321.33</v>
      </c>
      <c r="ES18" s="2">
        <v>242.78</v>
      </c>
      <c r="ET18" s="2">
        <v>447.77</v>
      </c>
      <c r="EU18" s="2"/>
      <c r="EV18" s="2"/>
      <c r="EW18" s="2"/>
      <c r="EX18" s="2"/>
      <c r="EY18" s="2"/>
      <c r="EZ18" s="2">
        <v>5038.1000000000004</v>
      </c>
      <c r="FA18" s="2">
        <v>4959.6000000000004</v>
      </c>
      <c r="FB18" s="2">
        <v>6105.9</v>
      </c>
      <c r="FC18" s="2">
        <v>4272.3</v>
      </c>
      <c r="FD18" s="2">
        <v>2000</v>
      </c>
      <c r="FE18" s="2">
        <v>3443.9</v>
      </c>
      <c r="FF18" s="2">
        <v>2249.5</v>
      </c>
      <c r="FG18" s="2">
        <v>995.2</v>
      </c>
      <c r="FH18" s="2">
        <v>1249</v>
      </c>
      <c r="FI18" s="2">
        <v>2470.8000000000002</v>
      </c>
      <c r="FJ18" s="2">
        <v>5038.1000000000004</v>
      </c>
      <c r="FK18" s="2">
        <v>4959.6000000000004</v>
      </c>
      <c r="FL18" s="2">
        <v>6105.9</v>
      </c>
      <c r="FM18" s="2">
        <v>4272.3</v>
      </c>
      <c r="FN18" s="2">
        <v>2000</v>
      </c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</row>
    <row r="19" spans="1:194" ht="14.4" x14ac:dyDescent="0.25">
      <c r="A19" s="2">
        <v>18</v>
      </c>
      <c r="B19" s="2" t="s">
        <v>2480</v>
      </c>
      <c r="C19" s="2" t="s">
        <v>1998</v>
      </c>
      <c r="D19" s="14" t="s">
        <v>2041</v>
      </c>
      <c r="E19" s="2" t="s">
        <v>2066</v>
      </c>
      <c r="F19" s="2"/>
      <c r="G19" s="2"/>
      <c r="H19"/>
      <c r="J19" s="2"/>
      <c r="K19" s="2">
        <v>5.9</v>
      </c>
      <c r="L19" s="2"/>
      <c r="M19" s="2">
        <v>2.27</v>
      </c>
      <c r="N19" s="2"/>
      <c r="O19" s="2">
        <v>515</v>
      </c>
      <c r="P19" s="2">
        <v>457</v>
      </c>
      <c r="Q19" s="2">
        <v>415.23</v>
      </c>
      <c r="R19" s="2">
        <v>414.36</v>
      </c>
      <c r="S19" s="2">
        <v>3519</v>
      </c>
      <c r="T19" s="2">
        <v>5322</v>
      </c>
      <c r="U19" s="2">
        <v>5084</v>
      </c>
      <c r="V19" s="2">
        <v>6516</v>
      </c>
      <c r="W19" s="2">
        <v>5488</v>
      </c>
      <c r="X19" s="2"/>
      <c r="Y19" s="2"/>
      <c r="Z19" s="2"/>
      <c r="AA19" s="2"/>
      <c r="AB19" s="2"/>
      <c r="AC19" s="2"/>
      <c r="AD19" s="2"/>
      <c r="AE19" s="2"/>
      <c r="AF19" s="2">
        <v>1598</v>
      </c>
      <c r="AG19" s="2">
        <v>4512</v>
      </c>
      <c r="AH19" s="2">
        <v>3854</v>
      </c>
      <c r="AI19" s="2">
        <v>3849.9</v>
      </c>
      <c r="AJ19" s="2">
        <v>1784.1000000000001</v>
      </c>
      <c r="AK19" s="2">
        <v>1220.7</v>
      </c>
      <c r="AL19" s="2">
        <v>939</v>
      </c>
      <c r="AM19" s="2">
        <v>1690.2</v>
      </c>
      <c r="AN19" s="2">
        <v>1502.4</v>
      </c>
      <c r="AO19" s="2">
        <v>469.5</v>
      </c>
      <c r="AP19" s="2">
        <v>262.92</v>
      </c>
      <c r="AQ19" s="2">
        <v>1408.5</v>
      </c>
      <c r="AR19" s="2">
        <v>1126.8000000000002</v>
      </c>
      <c r="BE19" s="2">
        <v>5012.1048000000001</v>
      </c>
      <c r="BF19" s="2">
        <v>9094.3026000000009</v>
      </c>
      <c r="BG19" s="2">
        <v>5205.6006000000007</v>
      </c>
      <c r="BH19" s="2">
        <v>5507.1159000000007</v>
      </c>
      <c r="BI19" s="2">
        <v>3965.7246</v>
      </c>
      <c r="BJ19" s="2">
        <v>1962.1977000000002</v>
      </c>
      <c r="BK19" s="2">
        <v>5741.0016000000005</v>
      </c>
      <c r="BL19" s="2">
        <v>6199.38</v>
      </c>
      <c r="BM19" s="2">
        <v>6900</v>
      </c>
      <c r="BN19" s="2">
        <v>4059.9999999999995</v>
      </c>
      <c r="BO19" s="2">
        <v>4280</v>
      </c>
      <c r="BP19" s="2">
        <v>4200</v>
      </c>
      <c r="BQ19" s="2">
        <v>480980</v>
      </c>
      <c r="BR19" s="2">
        <v>55190</v>
      </c>
      <c r="BS19" s="2">
        <v>78360</v>
      </c>
      <c r="BT19" s="2">
        <v>67010</v>
      </c>
      <c r="BU19" s="2">
        <v>63650</v>
      </c>
      <c r="BV19" s="2">
        <v>990</v>
      </c>
      <c r="BW19" s="2"/>
      <c r="BX19" s="2"/>
      <c r="BY19" s="2"/>
      <c r="BZ19" s="2"/>
      <c r="CA19" s="2">
        <v>7452.88</v>
      </c>
      <c r="CB19" s="2">
        <v>7464.67</v>
      </c>
      <c r="CC19" s="2"/>
      <c r="CD19" s="2">
        <v>17510</v>
      </c>
      <c r="CE19" s="2">
        <v>17400</v>
      </c>
      <c r="CF19" s="2">
        <v>7780</v>
      </c>
      <c r="CG19" s="2">
        <v>3600</v>
      </c>
      <c r="CH19" s="2">
        <v>5420</v>
      </c>
      <c r="CI19" s="2"/>
      <c r="CJ19" s="2">
        <v>2040</v>
      </c>
      <c r="CK19" s="2">
        <v>2160</v>
      </c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>
        <v>130</v>
      </c>
      <c r="DD19" s="2">
        <v>75</v>
      </c>
      <c r="DE19" s="2">
        <v>87</v>
      </c>
      <c r="DF19" s="2">
        <v>56.000000000000007</v>
      </c>
      <c r="DG19" s="2">
        <v>40</v>
      </c>
      <c r="DH19" s="2">
        <v>4100</v>
      </c>
      <c r="DI19" s="2">
        <v>6200</v>
      </c>
      <c r="DJ19" s="2">
        <v>2100</v>
      </c>
      <c r="DK19" s="2">
        <v>300</v>
      </c>
      <c r="DL19" s="2">
        <v>300</v>
      </c>
      <c r="DM19" s="2">
        <v>500</v>
      </c>
      <c r="DN19" s="2">
        <v>1500</v>
      </c>
      <c r="DO19" s="2">
        <v>5300</v>
      </c>
      <c r="DP19" s="2">
        <v>6600</v>
      </c>
      <c r="DQ19" s="2">
        <v>300</v>
      </c>
      <c r="DR19" s="2">
        <v>3.43</v>
      </c>
      <c r="DS19" s="2">
        <v>3.28</v>
      </c>
      <c r="DT19" s="2">
        <v>2.12</v>
      </c>
      <c r="DU19" s="2">
        <v>1.44</v>
      </c>
      <c r="DV19" s="2">
        <v>9.7799999999999994</v>
      </c>
      <c r="DW19" s="2">
        <v>5.42</v>
      </c>
      <c r="DX19" s="2">
        <v>7.09</v>
      </c>
      <c r="DY19" s="2">
        <v>5.98</v>
      </c>
      <c r="DZ19" s="2">
        <v>3.34</v>
      </c>
      <c r="EA19" s="2">
        <v>2.39</v>
      </c>
      <c r="EB19" s="2">
        <v>3.88</v>
      </c>
      <c r="EC19" s="2">
        <v>3.16</v>
      </c>
      <c r="ED19" s="2">
        <v>3.38</v>
      </c>
      <c r="EE19" s="2">
        <v>1.68</v>
      </c>
      <c r="EF19" s="2">
        <v>1.9</v>
      </c>
      <c r="EG19" s="2">
        <v>23600</v>
      </c>
      <c r="EH19" s="2">
        <v>32500</v>
      </c>
      <c r="EI19" s="2"/>
      <c r="EJ19" s="2"/>
      <c r="EK19" s="2"/>
      <c r="EL19" s="2"/>
      <c r="EM19" s="2"/>
      <c r="EN19" s="2">
        <v>993.55</v>
      </c>
      <c r="EO19" s="2">
        <v>1282.1099999999999</v>
      </c>
      <c r="EP19" s="2"/>
      <c r="EQ19" s="2"/>
      <c r="ER19" s="2"/>
      <c r="ES19" s="2"/>
      <c r="ET19" s="2"/>
      <c r="EU19" s="2">
        <v>701.3</v>
      </c>
      <c r="EV19" s="2">
        <v>373.3</v>
      </c>
      <c r="EW19" s="2">
        <v>631.6</v>
      </c>
      <c r="EX19" s="2">
        <v>420.8</v>
      </c>
      <c r="EY19" s="2">
        <v>1375.2</v>
      </c>
      <c r="EZ19" s="2">
        <v>633.5</v>
      </c>
      <c r="FA19" s="2">
        <v>3831.4</v>
      </c>
      <c r="FB19" s="2">
        <v>1654.2</v>
      </c>
      <c r="FC19" s="2">
        <v>1264.7</v>
      </c>
      <c r="FD19" s="2">
        <v>465.5</v>
      </c>
      <c r="FE19" s="2">
        <v>581.6</v>
      </c>
      <c r="FF19" s="2">
        <v>3737.2</v>
      </c>
      <c r="FG19" s="2">
        <v>466.4</v>
      </c>
      <c r="FH19" s="2">
        <v>373</v>
      </c>
      <c r="FI19" s="2">
        <v>1089.8</v>
      </c>
      <c r="FJ19" s="2">
        <v>633.5</v>
      </c>
      <c r="FK19" s="2">
        <v>3831.4</v>
      </c>
      <c r="FL19" s="2">
        <v>1654.2</v>
      </c>
      <c r="FM19" s="2">
        <v>1264.7</v>
      </c>
      <c r="FN19" s="2">
        <v>465.5</v>
      </c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</row>
    <row r="20" spans="1:194" ht="14.4" x14ac:dyDescent="0.25">
      <c r="A20" s="2">
        <v>19</v>
      </c>
      <c r="B20" s="2" t="s">
        <v>1331</v>
      </c>
      <c r="C20" s="2" t="s">
        <v>2183</v>
      </c>
      <c r="D20" s="14" t="s">
        <v>2154</v>
      </c>
      <c r="E20" s="2" t="s">
        <v>2208</v>
      </c>
      <c r="H20" s="20">
        <v>14044</v>
      </c>
      <c r="I20">
        <v>601</v>
      </c>
      <c r="J20" s="2">
        <v>41.84</v>
      </c>
      <c r="K20" s="2">
        <v>47.81</v>
      </c>
      <c r="L20" s="2">
        <v>14.02</v>
      </c>
      <c r="M20" s="2">
        <v>34.520000000000003</v>
      </c>
      <c r="N20" s="2">
        <v>3.56</v>
      </c>
      <c r="O20" s="2">
        <v>2885</v>
      </c>
      <c r="P20" s="2">
        <v>2236</v>
      </c>
      <c r="Q20" s="2">
        <v>3298.85</v>
      </c>
      <c r="R20" s="2">
        <v>3224.43</v>
      </c>
      <c r="S20" s="2">
        <v>156714</v>
      </c>
      <c r="T20" s="2">
        <v>98682</v>
      </c>
      <c r="U20" s="2">
        <v>99126</v>
      </c>
      <c r="V20" s="2">
        <v>114452</v>
      </c>
      <c r="W20" s="2">
        <v>106419</v>
      </c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>
        <v>5600</v>
      </c>
      <c r="AJ20" s="2"/>
      <c r="AK20" s="2">
        <v>2400</v>
      </c>
      <c r="AL20" s="2"/>
      <c r="AM20" s="2">
        <v>3200</v>
      </c>
      <c r="AN20" s="2"/>
      <c r="AO20" s="2"/>
      <c r="AP20" s="2"/>
      <c r="AQ20" s="2">
        <v>4200</v>
      </c>
      <c r="AR20" s="2"/>
      <c r="BE20" s="2"/>
      <c r="BF20" s="2"/>
      <c r="BG20" s="2"/>
      <c r="BH20" s="2"/>
      <c r="BI20" s="2"/>
      <c r="BJ20" s="2"/>
      <c r="BK20" s="2"/>
      <c r="BL20" s="2"/>
      <c r="BM20" s="2"/>
      <c r="BN20" s="2">
        <v>0.4</v>
      </c>
      <c r="BO20" s="2"/>
      <c r="BP20" s="2"/>
      <c r="BQ20" s="2">
        <v>50640</v>
      </c>
      <c r="BR20" s="2">
        <v>27390</v>
      </c>
      <c r="BS20" s="2">
        <v>5980</v>
      </c>
      <c r="BT20" s="2">
        <v>10250</v>
      </c>
      <c r="BU20" s="2">
        <v>13950</v>
      </c>
      <c r="BV20" s="2">
        <v>720</v>
      </c>
      <c r="BW20" s="2">
        <v>780</v>
      </c>
      <c r="BX20" s="2">
        <v>480</v>
      </c>
      <c r="BY20" s="2">
        <v>2050</v>
      </c>
      <c r="BZ20" s="2">
        <v>4019.9999999999995</v>
      </c>
      <c r="CA20" s="2">
        <v>6205.59</v>
      </c>
      <c r="CB20" s="2">
        <v>21204.57</v>
      </c>
      <c r="CC20" s="2">
        <v>19391.71</v>
      </c>
      <c r="CD20" s="2">
        <v>33950</v>
      </c>
      <c r="CE20" s="2">
        <v>94550</v>
      </c>
      <c r="CF20" s="2">
        <v>38120</v>
      </c>
      <c r="CG20" s="2">
        <v>48090</v>
      </c>
      <c r="CH20" s="2">
        <v>50570</v>
      </c>
      <c r="CI20" s="2"/>
      <c r="CJ20" s="2">
        <v>31200</v>
      </c>
      <c r="CK20" s="2">
        <v>12560</v>
      </c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>
        <v>842.12</v>
      </c>
      <c r="CW20" s="2">
        <v>37.46</v>
      </c>
      <c r="CX20" s="2">
        <v>122.22</v>
      </c>
      <c r="CY20" s="2">
        <v>101.31</v>
      </c>
      <c r="CZ20" s="2">
        <v>286.92</v>
      </c>
      <c r="DA20" s="2">
        <v>102.82</v>
      </c>
      <c r="DB20" s="2">
        <v>141.81</v>
      </c>
      <c r="DC20" s="2">
        <v>832</v>
      </c>
      <c r="DD20" s="2">
        <v>1255</v>
      </c>
      <c r="DE20" s="2">
        <v>1232</v>
      </c>
      <c r="DF20" s="2">
        <v>1065</v>
      </c>
      <c r="DG20" s="2">
        <v>1739.9999999999998</v>
      </c>
      <c r="DH20" s="2">
        <v>7800</v>
      </c>
      <c r="DI20" s="2">
        <v>800</v>
      </c>
      <c r="DJ20" s="2">
        <v>6800</v>
      </c>
      <c r="DK20" s="2">
        <v>11100</v>
      </c>
      <c r="DL20" s="2">
        <v>21600</v>
      </c>
      <c r="DM20" s="2">
        <v>23600</v>
      </c>
      <c r="DN20" s="2">
        <v>7700</v>
      </c>
      <c r="DO20" s="2">
        <v>4800</v>
      </c>
      <c r="DP20" s="2">
        <v>4700</v>
      </c>
      <c r="DQ20" s="2">
        <v>4700</v>
      </c>
      <c r="DR20" s="2"/>
      <c r="DS20" s="2"/>
      <c r="DT20" s="2"/>
      <c r="DU20" s="2"/>
      <c r="DV20" s="2">
        <v>4535.0200000000004</v>
      </c>
      <c r="DW20" s="2">
        <v>2044.91</v>
      </c>
      <c r="DX20" s="2">
        <v>7356.18</v>
      </c>
      <c r="DY20" s="2">
        <v>4489.7700000000004</v>
      </c>
      <c r="DZ20" s="2">
        <v>4268.1099999999997</v>
      </c>
      <c r="EA20" s="2">
        <v>1597.4</v>
      </c>
      <c r="EB20" s="2">
        <v>5634.68</v>
      </c>
      <c r="EC20" s="2">
        <v>1488.9</v>
      </c>
      <c r="ED20" s="2">
        <v>1534.46</v>
      </c>
      <c r="EE20" s="2">
        <v>626.07000000000005</v>
      </c>
      <c r="EF20" s="2">
        <v>606.36</v>
      </c>
      <c r="EG20" s="2">
        <v>83400</v>
      </c>
      <c r="EH20" s="2">
        <v>76100</v>
      </c>
      <c r="EI20" s="2"/>
      <c r="EJ20" s="2"/>
      <c r="EK20" s="2"/>
      <c r="EL20" s="2"/>
      <c r="EM20" s="2"/>
      <c r="EN20" s="2"/>
      <c r="EO20" s="2"/>
      <c r="EP20" s="2">
        <v>5130.47</v>
      </c>
      <c r="EQ20" s="2">
        <v>4446.3500000000004</v>
      </c>
      <c r="ER20" s="2">
        <v>3071.14</v>
      </c>
      <c r="ES20" s="2">
        <v>4608.76</v>
      </c>
      <c r="ET20" s="2">
        <v>3111.51</v>
      </c>
      <c r="EU20" s="2">
        <v>4535</v>
      </c>
      <c r="EV20" s="2">
        <v>2044.9</v>
      </c>
      <c r="EW20" s="2">
        <v>7356.2</v>
      </c>
      <c r="EX20" s="2">
        <v>4489.8</v>
      </c>
      <c r="EY20" s="2">
        <v>4268.1000000000004</v>
      </c>
      <c r="EZ20" s="2">
        <v>1597.4</v>
      </c>
      <c r="FA20" s="2">
        <v>5634.7</v>
      </c>
      <c r="FB20" s="2">
        <v>3180.4</v>
      </c>
      <c r="FC20" s="2">
        <v>2412</v>
      </c>
      <c r="FD20" s="2"/>
      <c r="FE20" s="2">
        <v>922.7</v>
      </c>
      <c r="FF20" s="2">
        <v>571.4</v>
      </c>
      <c r="FG20" s="2">
        <v>1230</v>
      </c>
      <c r="FH20" s="2">
        <v>573.5</v>
      </c>
      <c r="FI20" s="2">
        <v>1577.9</v>
      </c>
      <c r="FJ20" s="2">
        <v>861.4</v>
      </c>
      <c r="FK20" s="2">
        <v>1233.5999999999999</v>
      </c>
      <c r="FL20" s="2">
        <v>1141.5</v>
      </c>
      <c r="FM20" s="2">
        <v>1181.9000000000001</v>
      </c>
      <c r="FN20" s="2">
        <v>1035.3</v>
      </c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</row>
    <row r="21" spans="1:194" ht="14.4" x14ac:dyDescent="0.25">
      <c r="A21" s="2">
        <v>20</v>
      </c>
      <c r="B21" s="2" t="s">
        <v>2481</v>
      </c>
      <c r="C21" s="2" t="s">
        <v>2196</v>
      </c>
      <c r="D21" s="14" t="s">
        <v>2219</v>
      </c>
      <c r="E21" s="2" t="s">
        <v>2166</v>
      </c>
      <c r="H21"/>
      <c r="J21" s="2">
        <v>3.79</v>
      </c>
      <c r="K21" s="2">
        <v>9.0299999999999994</v>
      </c>
      <c r="L21" s="2">
        <v>2.35</v>
      </c>
      <c r="M21" s="2">
        <v>7.09</v>
      </c>
      <c r="N21" s="2">
        <v>0.95</v>
      </c>
      <c r="O21" s="2"/>
      <c r="P21" s="2"/>
      <c r="Q21" s="2"/>
      <c r="R21" s="2"/>
      <c r="S21" s="2">
        <v>4105</v>
      </c>
      <c r="T21" s="2">
        <v>3365</v>
      </c>
      <c r="U21" s="2">
        <v>3371</v>
      </c>
      <c r="V21" s="2">
        <v>3579</v>
      </c>
      <c r="W21" s="2">
        <v>3424</v>
      </c>
      <c r="X21" s="2">
        <v>513.80000000000007</v>
      </c>
      <c r="Y21" s="2">
        <v>336.4</v>
      </c>
      <c r="Z21" s="2">
        <v>171.8</v>
      </c>
      <c r="AA21" s="2">
        <v>162.60000000000002</v>
      </c>
      <c r="AB21" s="2">
        <v>185.39999999999998</v>
      </c>
      <c r="AC21" s="2">
        <v>311.2</v>
      </c>
      <c r="AD21" s="2">
        <v>170.6</v>
      </c>
      <c r="AE21" s="2">
        <v>491.59999999999997</v>
      </c>
      <c r="AF21" s="2"/>
      <c r="AG21" s="2"/>
      <c r="AH21" s="2"/>
      <c r="AI21" s="2">
        <v>2104.5</v>
      </c>
      <c r="AJ21" s="2"/>
      <c r="AK21" s="2">
        <v>1738.5</v>
      </c>
      <c r="AL21" s="2"/>
      <c r="AM21" s="2">
        <v>1372.5</v>
      </c>
      <c r="AN21" s="2"/>
      <c r="AO21" s="2">
        <v>2196</v>
      </c>
      <c r="AP21" s="2"/>
      <c r="AQ21" s="2">
        <v>2928</v>
      </c>
      <c r="AR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>
        <v>1850</v>
      </c>
      <c r="BR21" s="2">
        <v>1190</v>
      </c>
      <c r="BS21" s="2">
        <v>1670</v>
      </c>
      <c r="BT21" s="2">
        <v>33600</v>
      </c>
      <c r="BU21" s="2">
        <v>17770</v>
      </c>
      <c r="BV21" s="2"/>
      <c r="BW21" s="2"/>
      <c r="BX21" s="2"/>
      <c r="BY21" s="2"/>
      <c r="BZ21" s="2"/>
      <c r="CA21" s="2">
        <v>1313.93</v>
      </c>
      <c r="CB21" s="2">
        <v>2940.24</v>
      </c>
      <c r="CC21" s="2">
        <v>2279.4499999999998</v>
      </c>
      <c r="CD21" s="2">
        <v>4760</v>
      </c>
      <c r="CE21" s="2">
        <v>5480</v>
      </c>
      <c r="CF21" s="2">
        <v>940</v>
      </c>
      <c r="CG21" s="2"/>
      <c r="CH21" s="2"/>
      <c r="CI21" s="2"/>
      <c r="CJ21" s="2"/>
      <c r="CK21" s="2"/>
      <c r="CL21" s="2"/>
      <c r="CM21" s="2"/>
      <c r="CN21" s="2"/>
      <c r="CO21" s="2"/>
      <c r="CP21" s="2">
        <v>653.82000000000005</v>
      </c>
      <c r="CQ21" s="2">
        <v>768.94</v>
      </c>
      <c r="CR21" s="2">
        <v>866.21</v>
      </c>
      <c r="CS21" s="2">
        <v>504.32</v>
      </c>
      <c r="CT21" s="2">
        <v>246.41</v>
      </c>
      <c r="CU21" s="2">
        <v>222.92</v>
      </c>
      <c r="CV21" s="2">
        <v>395.81</v>
      </c>
      <c r="CW21" s="2">
        <v>267.42</v>
      </c>
      <c r="CX21" s="2">
        <v>600.61</v>
      </c>
      <c r="CY21" s="2">
        <v>314.61</v>
      </c>
      <c r="CZ21" s="2">
        <v>990.32</v>
      </c>
      <c r="DA21" s="2">
        <v>1115</v>
      </c>
      <c r="DB21" s="2">
        <v>1170.21</v>
      </c>
      <c r="DC21" s="2">
        <v>78</v>
      </c>
      <c r="DD21" s="2">
        <v>85</v>
      </c>
      <c r="DE21" s="2"/>
      <c r="DF21" s="2">
        <v>82</v>
      </c>
      <c r="DG21" s="2">
        <v>27</v>
      </c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>
        <v>787.86</v>
      </c>
      <c r="DS21" s="2">
        <v>675.76</v>
      </c>
      <c r="DT21" s="2">
        <v>541.16999999999996</v>
      </c>
      <c r="DU21" s="2">
        <v>387.02</v>
      </c>
      <c r="DV21" s="2">
        <v>2101.38</v>
      </c>
      <c r="DW21" s="2">
        <v>1263.22</v>
      </c>
      <c r="DX21" s="2">
        <v>1093.3800000000001</v>
      </c>
      <c r="DY21" s="2">
        <v>2883.61</v>
      </c>
      <c r="DZ21" s="2">
        <v>2104.37</v>
      </c>
      <c r="EA21" s="2">
        <v>743.85</v>
      </c>
      <c r="EB21" s="2">
        <v>2135.5300000000002</v>
      </c>
      <c r="EC21" s="2">
        <v>1488.9</v>
      </c>
      <c r="ED21" s="2">
        <v>1534.46</v>
      </c>
      <c r="EE21" s="2">
        <v>626.07000000000005</v>
      </c>
      <c r="EF21" s="2">
        <v>606.36</v>
      </c>
      <c r="EG21" s="2"/>
      <c r="EH21" s="2"/>
      <c r="EI21" s="2">
        <v>2054</v>
      </c>
      <c r="EJ21" s="2">
        <v>600</v>
      </c>
      <c r="EK21" s="2">
        <v>711</v>
      </c>
      <c r="EL21" s="2">
        <v>878</v>
      </c>
      <c r="EM21" s="2">
        <v>3555</v>
      </c>
      <c r="EN21" s="2"/>
      <c r="EO21" s="2"/>
      <c r="EP21" s="2"/>
      <c r="EQ21" s="2"/>
      <c r="ER21" s="2"/>
      <c r="ES21" s="2"/>
      <c r="ET21" s="2"/>
      <c r="EU21" s="2">
        <v>1181.4000000000001</v>
      </c>
      <c r="EV21" s="2">
        <v>1463.8</v>
      </c>
      <c r="EW21" s="2">
        <v>1581.3</v>
      </c>
      <c r="EX21" s="2">
        <v>1512.7</v>
      </c>
      <c r="EY21" s="2">
        <v>2907.6</v>
      </c>
      <c r="EZ21" s="2">
        <v>2275.5</v>
      </c>
      <c r="FA21" s="2">
        <v>2059.9</v>
      </c>
      <c r="FB21" s="2">
        <v>1330.1</v>
      </c>
      <c r="FC21" s="2">
        <v>1716.5</v>
      </c>
      <c r="FD21" s="2">
        <v>2190</v>
      </c>
      <c r="FE21" s="2">
        <v>509.8</v>
      </c>
      <c r="FF21" s="2">
        <v>233.8</v>
      </c>
      <c r="FG21" s="2">
        <v>413.4</v>
      </c>
      <c r="FH21" s="2">
        <v>224.7</v>
      </c>
      <c r="FI21" s="2">
        <v>313.89999999999998</v>
      </c>
      <c r="FJ21" s="2">
        <v>261.3</v>
      </c>
      <c r="FK21" s="2">
        <v>206.9</v>
      </c>
      <c r="FL21" s="2">
        <v>112.5</v>
      </c>
      <c r="FM21" s="2">
        <v>83.4</v>
      </c>
      <c r="FN21" s="2">
        <v>72.3</v>
      </c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</row>
    <row r="22" spans="1:194" x14ac:dyDescent="0.25">
      <c r="A22" s="2">
        <v>21</v>
      </c>
      <c r="B22" s="2" t="s">
        <v>377</v>
      </c>
      <c r="C22" s="2" t="s">
        <v>1999</v>
      </c>
      <c r="D22" s="12" t="s">
        <v>2042</v>
      </c>
      <c r="E22" s="2" t="s">
        <v>2067</v>
      </c>
      <c r="F22" s="1"/>
      <c r="G22" s="1"/>
      <c r="H22" s="20">
        <v>147160</v>
      </c>
      <c r="I22" s="20">
        <v>41802</v>
      </c>
      <c r="J22" s="2">
        <v>245.12</v>
      </c>
      <c r="K22" s="2">
        <v>48.88</v>
      </c>
      <c r="L22" s="2">
        <v>34.68</v>
      </c>
      <c r="M22" s="2">
        <v>256.3</v>
      </c>
      <c r="N22" s="2">
        <v>16.97</v>
      </c>
      <c r="O22" s="2"/>
      <c r="P22" s="2"/>
      <c r="Q22" s="2">
        <v>34237.5</v>
      </c>
      <c r="R22" s="2">
        <v>33633.75</v>
      </c>
      <c r="S22" s="2">
        <v>167</v>
      </c>
      <c r="T22" s="2">
        <v>1887</v>
      </c>
      <c r="U22" s="2">
        <v>428</v>
      </c>
      <c r="V22" s="2">
        <v>988</v>
      </c>
      <c r="W22" s="2">
        <v>380</v>
      </c>
      <c r="X22" s="2">
        <v>166.96679999999998</v>
      </c>
      <c r="Y22" s="2">
        <v>160.3329</v>
      </c>
      <c r="Z22" s="2">
        <v>136.773</v>
      </c>
      <c r="AA22" s="2">
        <v>150.58679999999998</v>
      </c>
      <c r="AB22" s="2">
        <v>145.01759999999999</v>
      </c>
      <c r="AC22" s="2">
        <v>103.5489</v>
      </c>
      <c r="AD22" s="2">
        <v>115.09679999999999</v>
      </c>
      <c r="AE22" s="2">
        <v>40.021799999999999</v>
      </c>
      <c r="AF22" s="2">
        <v>202020</v>
      </c>
      <c r="AG22" s="2">
        <v>158340</v>
      </c>
      <c r="AH22" s="2">
        <v>122850</v>
      </c>
      <c r="AI22" s="2">
        <v>109320</v>
      </c>
      <c r="AJ22" s="2">
        <v>46461</v>
      </c>
      <c r="AK22" s="2">
        <v>95655</v>
      </c>
      <c r="AL22" s="2">
        <v>12845.1</v>
      </c>
      <c r="AM22" s="2">
        <v>136650</v>
      </c>
      <c r="AN22" s="2">
        <v>13391.7</v>
      </c>
      <c r="AO22" s="2">
        <v>79257</v>
      </c>
      <c r="AP22" s="2">
        <v>10112.1</v>
      </c>
      <c r="AQ22" s="2">
        <v>174912</v>
      </c>
      <c r="AR22" s="2">
        <v>30063</v>
      </c>
      <c r="AS22">
        <v>511000</v>
      </c>
      <c r="AT22">
        <v>335000</v>
      </c>
      <c r="AU22">
        <v>299000</v>
      </c>
      <c r="AV22">
        <v>309000</v>
      </c>
      <c r="AW22">
        <v>270000</v>
      </c>
      <c r="AX22">
        <v>267000</v>
      </c>
      <c r="AY22">
        <v>175000</v>
      </c>
      <c r="AZ22">
        <v>124000</v>
      </c>
      <c r="BA22">
        <v>222848.82</v>
      </c>
      <c r="BB22">
        <v>158896.62000000002</v>
      </c>
      <c r="BC22">
        <v>73381.05</v>
      </c>
      <c r="BD22">
        <v>73927.649999999994</v>
      </c>
      <c r="BE22" s="2">
        <v>12546.076499999999</v>
      </c>
      <c r="BF22" s="2">
        <v>25228.820500000002</v>
      </c>
      <c r="BG22" s="2">
        <v>11562.070500000002</v>
      </c>
      <c r="BH22" s="2">
        <v>10550.731</v>
      </c>
      <c r="BI22" s="2">
        <v>9184.0559999999987</v>
      </c>
      <c r="BJ22" s="2">
        <v>14350.0875</v>
      </c>
      <c r="BK22" s="2">
        <v>14760.09</v>
      </c>
      <c r="BL22" s="2">
        <v>15990.097499999998</v>
      </c>
      <c r="BM22" s="2">
        <v>5450</v>
      </c>
      <c r="BN22" s="2">
        <v>3860</v>
      </c>
      <c r="BO22" s="2">
        <v>3750</v>
      </c>
      <c r="BP22" s="2">
        <v>9100</v>
      </c>
      <c r="BQ22" s="2">
        <v>208730</v>
      </c>
      <c r="BR22" s="2">
        <v>229660</v>
      </c>
      <c r="BS22" s="2">
        <v>110950</v>
      </c>
      <c r="BT22" s="2">
        <v>108940</v>
      </c>
      <c r="BU22" s="2">
        <v>118260</v>
      </c>
      <c r="BV22" s="2"/>
      <c r="BW22" s="2"/>
      <c r="BX22" s="2"/>
      <c r="BY22" s="2">
        <v>60</v>
      </c>
      <c r="BZ22" s="2"/>
      <c r="CA22" s="2">
        <v>8161.91</v>
      </c>
      <c r="CB22" s="2"/>
      <c r="CC22" s="2"/>
      <c r="CD22" s="2">
        <v>287960</v>
      </c>
      <c r="CE22" s="2">
        <v>278540</v>
      </c>
      <c r="CF22" s="2">
        <v>180450</v>
      </c>
      <c r="CG22" s="2">
        <v>197100</v>
      </c>
      <c r="CH22" s="2">
        <v>156240</v>
      </c>
      <c r="CI22" s="2"/>
      <c r="CJ22" s="2">
        <v>53510</v>
      </c>
      <c r="CK22" s="2">
        <v>68230</v>
      </c>
      <c r="CL22" s="2">
        <v>305700</v>
      </c>
      <c r="CM22" s="2">
        <v>65400</v>
      </c>
      <c r="CN22" s="2">
        <v>74400</v>
      </c>
      <c r="CO22" s="2">
        <v>52300</v>
      </c>
      <c r="CP22" s="2">
        <v>147.52000000000001</v>
      </c>
      <c r="CQ22" s="2">
        <v>156.21</v>
      </c>
      <c r="CR22" s="2">
        <v>176.53</v>
      </c>
      <c r="CS22" s="2">
        <v>180.72</v>
      </c>
      <c r="CT22" s="2">
        <v>168.51</v>
      </c>
      <c r="CU22" s="2">
        <v>162.11000000000001</v>
      </c>
      <c r="CV22" s="2">
        <v>22.42</v>
      </c>
      <c r="CW22" s="2">
        <v>24.34</v>
      </c>
      <c r="CX22" s="2">
        <v>161</v>
      </c>
      <c r="CY22" s="2">
        <v>37.44</v>
      </c>
      <c r="CZ22" s="2">
        <v>145.82</v>
      </c>
      <c r="DA22" s="2">
        <v>184.13</v>
      </c>
      <c r="DB22" s="2">
        <v>113.93</v>
      </c>
      <c r="DC22" s="2">
        <v>1825</v>
      </c>
      <c r="DD22" s="2">
        <v>1848</v>
      </c>
      <c r="DE22" s="2">
        <v>1485</v>
      </c>
      <c r="DF22" s="2">
        <v>1422</v>
      </c>
      <c r="DG22" s="2">
        <v>771</v>
      </c>
      <c r="DH22" s="2">
        <v>599500</v>
      </c>
      <c r="DI22" s="2">
        <v>346400</v>
      </c>
      <c r="DJ22" s="2">
        <v>567300</v>
      </c>
      <c r="DK22" s="2">
        <v>1038900.0000000001</v>
      </c>
      <c r="DL22" s="2">
        <v>700400</v>
      </c>
      <c r="DM22" s="2">
        <v>800200</v>
      </c>
      <c r="DN22" s="2">
        <v>107000</v>
      </c>
      <c r="DO22" s="2">
        <v>130400</v>
      </c>
      <c r="DP22" s="2">
        <v>147500</v>
      </c>
      <c r="DQ22" s="2">
        <v>126200</v>
      </c>
      <c r="DR22" s="2">
        <v>166.77</v>
      </c>
      <c r="DS22" s="2">
        <v>89.15</v>
      </c>
      <c r="DT22" s="2">
        <v>56.67</v>
      </c>
      <c r="DU22" s="2">
        <v>69.61</v>
      </c>
      <c r="DV22" s="2">
        <v>157.49</v>
      </c>
      <c r="DW22" s="2">
        <v>111.31</v>
      </c>
      <c r="DX22" s="2">
        <v>113.77</v>
      </c>
      <c r="DY22" s="2">
        <v>137.69999999999999</v>
      </c>
      <c r="DZ22" s="2">
        <v>197.37</v>
      </c>
      <c r="EA22" s="2">
        <v>166.16</v>
      </c>
      <c r="EB22" s="2">
        <v>151</v>
      </c>
      <c r="EC22" s="2">
        <v>158.33000000000001</v>
      </c>
      <c r="ED22" s="2">
        <v>425.28</v>
      </c>
      <c r="EE22" s="2">
        <v>214.7</v>
      </c>
      <c r="EF22" s="2">
        <v>216.38</v>
      </c>
      <c r="EG22" s="2">
        <v>55300</v>
      </c>
      <c r="EH22" s="2">
        <v>51500</v>
      </c>
      <c r="EI22" s="2">
        <v>38861</v>
      </c>
      <c r="EJ22" s="2">
        <v>42654</v>
      </c>
      <c r="EK22" s="2">
        <v>77419</v>
      </c>
      <c r="EL22" s="2">
        <v>78038</v>
      </c>
      <c r="EM22" s="2">
        <v>58718</v>
      </c>
      <c r="EN22" s="2">
        <v>34206.699999999997</v>
      </c>
      <c r="EO22" s="2">
        <v>36155.360000000001</v>
      </c>
      <c r="EP22" s="2">
        <v>2675.36</v>
      </c>
      <c r="EQ22" s="2">
        <v>1741.95</v>
      </c>
      <c r="ER22" s="2">
        <v>1334.86</v>
      </c>
      <c r="ES22" s="2">
        <v>862.71</v>
      </c>
      <c r="ET22" s="2">
        <v>1296.5</v>
      </c>
      <c r="EU22" s="2">
        <v>124290.2</v>
      </c>
      <c r="EV22" s="2">
        <v>60836.9</v>
      </c>
      <c r="EW22" s="2">
        <v>140599.4</v>
      </c>
      <c r="EX22" s="2">
        <v>146807.20000000001</v>
      </c>
      <c r="EY22" s="2">
        <v>174637.2</v>
      </c>
      <c r="EZ22" s="2">
        <v>67087.8</v>
      </c>
      <c r="FA22" s="2">
        <v>110395.8</v>
      </c>
      <c r="FB22" s="2">
        <v>137605.9</v>
      </c>
      <c r="FC22" s="2">
        <v>96156.2</v>
      </c>
      <c r="FD22" s="2">
        <v>78475.199999999997</v>
      </c>
      <c r="FE22" s="2">
        <v>17733.099999999999</v>
      </c>
      <c r="FF22" s="2">
        <v>21487.4</v>
      </c>
      <c r="FG22" s="2">
        <v>31386.6</v>
      </c>
      <c r="FH22" s="2">
        <v>11886.4</v>
      </c>
      <c r="FI22" s="2">
        <v>29727.7</v>
      </c>
      <c r="FJ22" s="2">
        <v>67087.8</v>
      </c>
      <c r="FK22" s="2">
        <v>110395.8</v>
      </c>
      <c r="FL22" s="2">
        <v>137605.9</v>
      </c>
      <c r="FM22" s="2">
        <v>96156.2</v>
      </c>
      <c r="FN22" s="2">
        <v>78475.199999999997</v>
      </c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</row>
    <row r="23" spans="1:194" x14ac:dyDescent="0.25">
      <c r="A23" s="2">
        <v>22</v>
      </c>
      <c r="B23" s="2" t="s">
        <v>383</v>
      </c>
      <c r="C23" s="2" t="s">
        <v>2003</v>
      </c>
      <c r="D23" s="12" t="s">
        <v>2046</v>
      </c>
      <c r="E23" s="1" t="s">
        <v>2071</v>
      </c>
      <c r="F23" s="2"/>
      <c r="G23" s="2"/>
      <c r="H23" s="20">
        <v>97718</v>
      </c>
      <c r="I23" s="20">
        <v>30025</v>
      </c>
      <c r="J23" s="2">
        <v>129.01</v>
      </c>
      <c r="K23" s="2">
        <v>45.58</v>
      </c>
      <c r="L23" s="2">
        <v>37.5</v>
      </c>
      <c r="M23" s="2">
        <v>245.76</v>
      </c>
      <c r="N23" s="2">
        <v>21.15</v>
      </c>
      <c r="O23" s="2">
        <v>54922</v>
      </c>
      <c r="P23" s="2">
        <v>67567</v>
      </c>
      <c r="Q23" s="2">
        <v>14403.75</v>
      </c>
      <c r="R23" s="2">
        <v>14093.75</v>
      </c>
      <c r="S23" s="2">
        <v>19775</v>
      </c>
      <c r="T23" s="2">
        <v>36768</v>
      </c>
      <c r="U23" s="2">
        <v>36902</v>
      </c>
      <c r="V23" s="2">
        <v>36275</v>
      </c>
      <c r="W23" s="2">
        <v>34207</v>
      </c>
      <c r="X23" s="2">
        <v>62.667900000000003</v>
      </c>
      <c r="Y23" s="2">
        <v>23.359499999999997</v>
      </c>
      <c r="Z23" s="2">
        <v>36.784500000000001</v>
      </c>
      <c r="AA23" s="2">
        <v>48.759599999999999</v>
      </c>
      <c r="AB23" s="2">
        <v>55.740600000000008</v>
      </c>
      <c r="AC23" s="2">
        <v>44.4099</v>
      </c>
      <c r="AD23" s="2">
        <v>52.357500000000002</v>
      </c>
      <c r="AE23" s="2">
        <v>62.184600000000003</v>
      </c>
      <c r="AF23" s="2">
        <v>48330</v>
      </c>
      <c r="AG23" s="2">
        <v>75180</v>
      </c>
      <c r="AH23" s="2">
        <v>80550</v>
      </c>
      <c r="AI23" s="2">
        <v>21480</v>
      </c>
      <c r="AJ23" s="2">
        <v>51015</v>
      </c>
      <c r="AK23" s="2">
        <v>51552</v>
      </c>
      <c r="AL23" s="2">
        <v>48867</v>
      </c>
      <c r="AM23" s="2">
        <v>53163</v>
      </c>
      <c r="AN23" s="2">
        <v>51015</v>
      </c>
      <c r="AO23" s="2">
        <v>53163</v>
      </c>
      <c r="AP23" s="2">
        <v>44033.999999999993</v>
      </c>
      <c r="AQ23" s="2">
        <v>91290</v>
      </c>
      <c r="AR23" s="2">
        <v>53700</v>
      </c>
      <c r="AS23">
        <v>164000</v>
      </c>
      <c r="AT23">
        <v>206000</v>
      </c>
      <c r="AU23">
        <v>230000</v>
      </c>
      <c r="AV23">
        <v>288000</v>
      </c>
      <c r="AW23">
        <v>286000</v>
      </c>
      <c r="AX23">
        <v>373000</v>
      </c>
      <c r="AY23">
        <v>274000</v>
      </c>
      <c r="AZ23">
        <v>124000</v>
      </c>
      <c r="BA23">
        <v>85680</v>
      </c>
      <c r="BB23">
        <v>69040</v>
      </c>
      <c r="BC23">
        <v>33840</v>
      </c>
      <c r="BD23">
        <v>22880</v>
      </c>
      <c r="BE23" s="2"/>
      <c r="BF23" s="2"/>
      <c r="BG23" s="2"/>
      <c r="BH23" s="2"/>
      <c r="BI23" s="2"/>
      <c r="BJ23" s="2"/>
      <c r="BK23" s="2"/>
      <c r="BL23" s="2"/>
      <c r="BM23" s="2">
        <v>4300</v>
      </c>
      <c r="BN23" s="2">
        <v>3900</v>
      </c>
      <c r="BO23" s="2">
        <v>3950</v>
      </c>
      <c r="BP23" s="2">
        <v>4950</v>
      </c>
      <c r="BQ23" s="2">
        <v>125980</v>
      </c>
      <c r="BR23" s="2">
        <v>120100</v>
      </c>
      <c r="BS23" s="2">
        <v>185670</v>
      </c>
      <c r="BT23" s="2">
        <v>125980</v>
      </c>
      <c r="BU23" s="2">
        <v>185670</v>
      </c>
      <c r="BV23" s="2"/>
      <c r="BW23" s="2"/>
      <c r="BX23" s="2"/>
      <c r="BY23" s="2">
        <v>340</v>
      </c>
      <c r="BZ23" s="2">
        <v>1160</v>
      </c>
      <c r="CA23" s="2">
        <v>27985.59</v>
      </c>
      <c r="CB23" s="2">
        <v>21231.22</v>
      </c>
      <c r="CC23" s="2"/>
      <c r="CD23" s="2">
        <v>225260</v>
      </c>
      <c r="CE23" s="2">
        <v>213390</v>
      </c>
      <c r="CF23" s="2">
        <v>191870</v>
      </c>
      <c r="CG23" s="2">
        <v>154500</v>
      </c>
      <c r="CH23" s="2">
        <v>129690</v>
      </c>
      <c r="CI23" s="2">
        <v>8910</v>
      </c>
      <c r="CJ23" s="2">
        <v>52780</v>
      </c>
      <c r="CK23" s="2">
        <v>25460</v>
      </c>
      <c r="CL23" s="2">
        <v>92100</v>
      </c>
      <c r="CM23" s="2">
        <v>37600</v>
      </c>
      <c r="CN23" s="2"/>
      <c r="CO23" s="2"/>
      <c r="CP23" s="2">
        <v>31.28</v>
      </c>
      <c r="CQ23" s="2">
        <v>26.18</v>
      </c>
      <c r="CR23" s="2">
        <v>30.79</v>
      </c>
      <c r="CS23" s="2">
        <v>19.059999999999999</v>
      </c>
      <c r="CT23" s="2">
        <v>17.41</v>
      </c>
      <c r="CU23" s="2">
        <v>19.3</v>
      </c>
      <c r="CV23" s="2">
        <v>26.26</v>
      </c>
      <c r="CW23" s="2">
        <v>23.55</v>
      </c>
      <c r="CX23" s="2">
        <v>39.94</v>
      </c>
      <c r="CY23" s="2">
        <v>22.78</v>
      </c>
      <c r="CZ23" s="2">
        <v>42.71</v>
      </c>
      <c r="DA23" s="2">
        <v>48.91</v>
      </c>
      <c r="DB23" s="2">
        <v>78.709999999999994</v>
      </c>
      <c r="DC23" s="2">
        <v>2770</v>
      </c>
      <c r="DD23" s="2">
        <v>2945</v>
      </c>
      <c r="DE23" s="2">
        <v>2706</v>
      </c>
      <c r="DF23" s="2">
        <v>3055</v>
      </c>
      <c r="DG23" s="2">
        <v>2721</v>
      </c>
      <c r="DH23" s="2">
        <v>217200</v>
      </c>
      <c r="DI23" s="2">
        <v>29200</v>
      </c>
      <c r="DJ23" s="2">
        <v>198800</v>
      </c>
      <c r="DK23" s="2">
        <v>311200</v>
      </c>
      <c r="DL23" s="2">
        <v>221100</v>
      </c>
      <c r="DM23" s="2">
        <v>220000</v>
      </c>
      <c r="DN23" s="2">
        <v>46000</v>
      </c>
      <c r="DO23" s="2">
        <v>40400</v>
      </c>
      <c r="DP23" s="2">
        <v>57300</v>
      </c>
      <c r="DQ23" s="2">
        <v>39300</v>
      </c>
      <c r="DR23" s="2">
        <v>27.5</v>
      </c>
      <c r="DS23" s="2">
        <v>29.01</v>
      </c>
      <c r="DT23" s="2">
        <v>7.33</v>
      </c>
      <c r="DU23" s="2">
        <v>5.43</v>
      </c>
      <c r="DV23" s="2">
        <v>71.900000000000006</v>
      </c>
      <c r="DW23" s="2">
        <v>36.76</v>
      </c>
      <c r="DX23" s="2">
        <v>34.28</v>
      </c>
      <c r="DY23" s="2">
        <v>63.74</v>
      </c>
      <c r="DZ23" s="2">
        <v>233.18</v>
      </c>
      <c r="EA23" s="2">
        <v>47.37</v>
      </c>
      <c r="EB23" s="2">
        <v>40.89</v>
      </c>
      <c r="EC23" s="2">
        <v>52.59</v>
      </c>
      <c r="ED23" s="2">
        <v>182.99</v>
      </c>
      <c r="EE23" s="2">
        <v>32.08</v>
      </c>
      <c r="EF23" s="2">
        <v>92.01</v>
      </c>
      <c r="EG23" s="2">
        <v>30200</v>
      </c>
      <c r="EH23" s="2">
        <v>29700</v>
      </c>
      <c r="EI23" s="2">
        <v>7275</v>
      </c>
      <c r="EJ23" s="2">
        <v>4341</v>
      </c>
      <c r="EK23" s="2">
        <v>7500</v>
      </c>
      <c r="EL23" s="2">
        <v>10107</v>
      </c>
      <c r="EM23" s="2">
        <v>16350.000000000002</v>
      </c>
      <c r="EN23" s="2">
        <v>39250.11</v>
      </c>
      <c r="EO23" s="2">
        <v>35960.6</v>
      </c>
      <c r="EP23" s="2">
        <v>11250.59</v>
      </c>
      <c r="EQ23" s="2">
        <v>1554.5</v>
      </c>
      <c r="ER23" s="2">
        <v>1306.97</v>
      </c>
      <c r="ES23" s="2">
        <v>881.09</v>
      </c>
      <c r="ET23" s="2">
        <v>2010.19</v>
      </c>
      <c r="EU23" s="2">
        <v>89842.4</v>
      </c>
      <c r="EV23" s="2">
        <v>95044.800000000003</v>
      </c>
      <c r="EW23" s="2">
        <v>92342.399999999994</v>
      </c>
      <c r="EX23" s="2">
        <v>97036.7</v>
      </c>
      <c r="EY23" s="2">
        <v>92085.3</v>
      </c>
      <c r="EZ23" s="2">
        <v>99813.8</v>
      </c>
      <c r="FA23" s="2">
        <v>21437.4</v>
      </c>
      <c r="FB23" s="2">
        <v>53309.5</v>
      </c>
      <c r="FC23" s="2">
        <v>51424</v>
      </c>
      <c r="FD23" s="2">
        <v>53351.6</v>
      </c>
      <c r="FE23" s="2">
        <v>57655.3</v>
      </c>
      <c r="FF23" s="2">
        <v>55703</v>
      </c>
      <c r="FG23" s="2">
        <v>52462.6</v>
      </c>
      <c r="FH23" s="2">
        <v>52267.199999999997</v>
      </c>
      <c r="FI23" s="2">
        <v>56041.9</v>
      </c>
      <c r="FJ23" s="2">
        <v>99813.8</v>
      </c>
      <c r="FK23" s="2">
        <v>21437.4</v>
      </c>
      <c r="FL23" s="2">
        <v>53309.5</v>
      </c>
      <c r="FM23" s="2">
        <v>51424</v>
      </c>
      <c r="FN23" s="2">
        <v>53351.6</v>
      </c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</row>
    <row r="24" spans="1:194" ht="14.4" x14ac:dyDescent="0.25">
      <c r="A24" s="2">
        <v>23</v>
      </c>
      <c r="B24" s="2" t="s">
        <v>401</v>
      </c>
      <c r="C24" s="2" t="s">
        <v>2004</v>
      </c>
      <c r="D24" s="14" t="s">
        <v>2047</v>
      </c>
      <c r="E24" s="2" t="s">
        <v>2072</v>
      </c>
      <c r="F24" s="2"/>
      <c r="G24" s="2"/>
      <c r="H24" s="20">
        <v>84178</v>
      </c>
      <c r="I24" s="20">
        <v>142068</v>
      </c>
      <c r="J24" s="2">
        <v>3.73</v>
      </c>
      <c r="K24" s="2"/>
      <c r="L24" s="2">
        <v>0.59</v>
      </c>
      <c r="M24" s="2">
        <v>31.74</v>
      </c>
      <c r="N24" s="2">
        <v>34.520000000000003</v>
      </c>
      <c r="O24" s="2">
        <v>20155</v>
      </c>
      <c r="P24" s="2">
        <v>15678</v>
      </c>
      <c r="Q24" s="2"/>
      <c r="R24" s="2"/>
      <c r="S24" s="2"/>
      <c r="T24" s="2"/>
      <c r="U24" s="2"/>
      <c r="V24" s="2"/>
      <c r="W24" s="2"/>
      <c r="X24" s="2">
        <v>234.49</v>
      </c>
      <c r="Y24" s="2">
        <v>422.44</v>
      </c>
      <c r="Z24" s="2">
        <v>325.78000000000003</v>
      </c>
      <c r="AA24" s="2">
        <v>229.12</v>
      </c>
      <c r="AB24" s="2">
        <v>227.33</v>
      </c>
      <c r="AC24" s="2">
        <v>406.33</v>
      </c>
      <c r="AD24" s="2">
        <v>363.36999999999995</v>
      </c>
      <c r="AE24" s="2">
        <v>248.80999999999997</v>
      </c>
      <c r="AF24" s="2">
        <v>6979.5</v>
      </c>
      <c r="AG24" s="2">
        <v>6798</v>
      </c>
      <c r="AH24" s="2">
        <v>7458</v>
      </c>
      <c r="AI24" s="2"/>
      <c r="AJ24" s="2"/>
      <c r="AK24" s="2"/>
      <c r="AL24" s="2"/>
      <c r="AM24" s="2"/>
      <c r="AN24" s="2"/>
      <c r="AO24" s="2"/>
      <c r="AP24" s="2"/>
      <c r="AQ24" s="2"/>
      <c r="AR24" s="2"/>
      <c r="AS24">
        <v>372000</v>
      </c>
      <c r="AT24">
        <v>226000</v>
      </c>
      <c r="AU24">
        <v>196000</v>
      </c>
      <c r="AV24">
        <v>202000</v>
      </c>
      <c r="AW24">
        <v>188000</v>
      </c>
      <c r="AX24">
        <v>170000</v>
      </c>
      <c r="AY24">
        <v>118000</v>
      </c>
      <c r="AZ24">
        <v>79100</v>
      </c>
      <c r="BA24">
        <v>406763.57</v>
      </c>
      <c r="BB24">
        <v>299248.96999999997</v>
      </c>
      <c r="BC24">
        <v>215029.2</v>
      </c>
      <c r="BD24">
        <v>490983.34000000008</v>
      </c>
      <c r="BE24" s="2">
        <v>439015.50000000006</v>
      </c>
      <c r="BF24" s="2">
        <v>571616.1</v>
      </c>
      <c r="BG24" s="2">
        <v>406761.3</v>
      </c>
      <c r="BH24" s="2">
        <v>413928.9</v>
      </c>
      <c r="BI24" s="2">
        <v>385258.5</v>
      </c>
      <c r="BJ24" s="2">
        <v>308206.8</v>
      </c>
      <c r="BK24" s="2">
        <v>412136.99999999994</v>
      </c>
      <c r="BL24" s="2">
        <v>387050.4</v>
      </c>
      <c r="BM24" s="2">
        <v>24700</v>
      </c>
      <c r="BN24" s="2">
        <v>29840</v>
      </c>
      <c r="BO24" s="2">
        <v>7930</v>
      </c>
      <c r="BP24" s="2">
        <v>18300</v>
      </c>
      <c r="BQ24" s="2">
        <v>699720</v>
      </c>
      <c r="BR24" s="2">
        <v>543310</v>
      </c>
      <c r="BS24" s="2">
        <v>1132450</v>
      </c>
      <c r="BT24" s="2">
        <v>214340</v>
      </c>
      <c r="BU24" s="2">
        <v>220060</v>
      </c>
      <c r="BV24" s="2"/>
      <c r="BW24" s="2"/>
      <c r="BX24" s="2"/>
      <c r="BY24" s="2">
        <v>510</v>
      </c>
      <c r="BZ24" s="2">
        <v>1520</v>
      </c>
      <c r="CA24" s="2">
        <v>45204.25</v>
      </c>
      <c r="CB24" s="2">
        <v>41048.11</v>
      </c>
      <c r="CC24" s="2"/>
      <c r="CD24" s="2">
        <v>226800</v>
      </c>
      <c r="CE24" s="2">
        <v>180290</v>
      </c>
      <c r="CF24" s="2">
        <v>130500</v>
      </c>
      <c r="CG24" s="2">
        <v>96750</v>
      </c>
      <c r="CH24" s="2">
        <v>77130</v>
      </c>
      <c r="CI24" s="2">
        <v>1710450</v>
      </c>
      <c r="CJ24" s="2">
        <v>63180</v>
      </c>
      <c r="CK24" s="2">
        <v>1150460</v>
      </c>
      <c r="CL24" s="2">
        <v>128100</v>
      </c>
      <c r="CM24" s="2">
        <v>148700</v>
      </c>
      <c r="CN24" s="2">
        <v>143600</v>
      </c>
      <c r="CO24" s="2">
        <v>54600</v>
      </c>
      <c r="CP24" s="2">
        <v>281.83</v>
      </c>
      <c r="CQ24" s="2">
        <v>278.12</v>
      </c>
      <c r="CR24" s="2">
        <v>242.89</v>
      </c>
      <c r="CS24" s="2">
        <v>245.12</v>
      </c>
      <c r="CT24" s="2">
        <v>181.43</v>
      </c>
      <c r="CU24" s="2">
        <v>169.23</v>
      </c>
      <c r="CV24" s="2">
        <v>372.03</v>
      </c>
      <c r="CW24" s="2">
        <v>73.010000000000005</v>
      </c>
      <c r="CX24" s="2">
        <v>374.73</v>
      </c>
      <c r="CY24" s="2">
        <v>193.12</v>
      </c>
      <c r="CZ24" s="2">
        <v>230.51</v>
      </c>
      <c r="DA24" s="2">
        <v>522.41</v>
      </c>
      <c r="DB24" s="2">
        <v>651.92999999999995</v>
      </c>
      <c r="DC24" s="2">
        <v>4293</v>
      </c>
      <c r="DD24" s="2">
        <v>2786</v>
      </c>
      <c r="DE24" s="2">
        <v>2746</v>
      </c>
      <c r="DF24" s="2">
        <v>2111</v>
      </c>
      <c r="DG24" s="2">
        <v>3572</v>
      </c>
      <c r="DH24" s="2">
        <v>489900</v>
      </c>
      <c r="DI24" s="2">
        <v>705500</v>
      </c>
      <c r="DJ24" s="2">
        <v>462000</v>
      </c>
      <c r="DK24" s="2">
        <v>378300</v>
      </c>
      <c r="DL24" s="2">
        <v>411600</v>
      </c>
      <c r="DM24" s="2">
        <v>217200</v>
      </c>
      <c r="DN24" s="2">
        <v>316900</v>
      </c>
      <c r="DO24" s="2">
        <v>169600</v>
      </c>
      <c r="DP24" s="2">
        <v>357500</v>
      </c>
      <c r="DQ24" s="2">
        <v>165800</v>
      </c>
      <c r="DR24" s="2">
        <v>282.45999999999998</v>
      </c>
      <c r="DS24" s="2">
        <v>264.06</v>
      </c>
      <c r="DT24" s="2">
        <v>104.05</v>
      </c>
      <c r="DU24" s="2">
        <v>123.51</v>
      </c>
      <c r="DV24" s="2">
        <v>349.69</v>
      </c>
      <c r="DW24" s="2">
        <v>268.83999999999997</v>
      </c>
      <c r="DX24" s="2">
        <v>292.02999999999997</v>
      </c>
      <c r="DY24" s="2">
        <v>264</v>
      </c>
      <c r="DZ24" s="2">
        <v>308.33</v>
      </c>
      <c r="EA24" s="2">
        <v>256.64999999999998</v>
      </c>
      <c r="EB24" s="2">
        <v>280.56</v>
      </c>
      <c r="EC24" s="2">
        <v>270.8</v>
      </c>
      <c r="ED24" s="2">
        <v>305.57</v>
      </c>
      <c r="EE24" s="2">
        <v>133.32</v>
      </c>
      <c r="EF24" s="2">
        <v>265.37</v>
      </c>
      <c r="EG24" s="2">
        <v>31500</v>
      </c>
      <c r="EH24" s="2">
        <v>63500</v>
      </c>
      <c r="EI24" s="2">
        <v>129393</v>
      </c>
      <c r="EJ24" s="2">
        <v>128445</v>
      </c>
      <c r="EK24" s="2">
        <v>163652</v>
      </c>
      <c r="EL24" s="2">
        <v>167751</v>
      </c>
      <c r="EM24" s="2">
        <v>150538</v>
      </c>
      <c r="EN24" s="2">
        <v>144692</v>
      </c>
      <c r="EO24" s="2">
        <v>158011</v>
      </c>
      <c r="EP24" s="2">
        <v>1287.93</v>
      </c>
      <c r="EQ24" s="2">
        <v>1466.41</v>
      </c>
      <c r="ER24" s="2">
        <v>1693.07</v>
      </c>
      <c r="ES24" s="2">
        <v>1075.24</v>
      </c>
      <c r="ET24" s="2">
        <v>1545.9670000000001</v>
      </c>
      <c r="EU24" s="2">
        <v>110832.3</v>
      </c>
      <c r="EV24" s="2">
        <v>127468.2</v>
      </c>
      <c r="EW24" s="2">
        <v>106538.9</v>
      </c>
      <c r="EX24" s="2">
        <v>96719</v>
      </c>
      <c r="EY24" s="2">
        <v>156792.79999999999</v>
      </c>
      <c r="EZ24" s="2">
        <v>132390.79999999999</v>
      </c>
      <c r="FA24" s="2">
        <v>86930.8</v>
      </c>
      <c r="FB24" s="2">
        <v>72516.399999999994</v>
      </c>
      <c r="FC24" s="2">
        <v>70460.399999999994</v>
      </c>
      <c r="FD24" s="2">
        <v>75556.7</v>
      </c>
      <c r="FE24" s="2">
        <v>40098.800000000003</v>
      </c>
      <c r="FF24" s="2">
        <v>51111.1</v>
      </c>
      <c r="FG24" s="2">
        <v>78724.899999999994</v>
      </c>
      <c r="FH24" s="2">
        <v>43622.2</v>
      </c>
      <c r="FI24" s="2">
        <v>62236.9</v>
      </c>
      <c r="FJ24" s="2">
        <v>52436.6</v>
      </c>
      <c r="FK24" s="2">
        <v>70195.7</v>
      </c>
      <c r="FL24" s="2">
        <v>77286.399999999994</v>
      </c>
      <c r="FM24" s="2">
        <v>6334.3</v>
      </c>
      <c r="FN24" s="2">
        <v>54302.3</v>
      </c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</row>
    <row r="25" spans="1:194" ht="14.4" x14ac:dyDescent="0.25">
      <c r="A25" s="2">
        <v>24</v>
      </c>
      <c r="B25" s="2" t="s">
        <v>407</v>
      </c>
      <c r="C25" s="2" t="s">
        <v>1990</v>
      </c>
      <c r="D25" s="14" t="s">
        <v>2033</v>
      </c>
      <c r="E25" s="2" t="s">
        <v>2058</v>
      </c>
      <c r="F25" s="2"/>
      <c r="G25" s="2"/>
      <c r="H25"/>
      <c r="J25" s="2"/>
      <c r="K25" s="2"/>
      <c r="L25" s="2"/>
      <c r="M25" s="2"/>
      <c r="N25" s="2">
        <v>13.43</v>
      </c>
      <c r="O25" s="2">
        <v>379229</v>
      </c>
      <c r="P25" s="2">
        <v>316720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>
        <v>195.84</v>
      </c>
      <c r="AJ25" s="2">
        <v>134.64000000000001</v>
      </c>
      <c r="AK25" s="2">
        <v>15.3</v>
      </c>
      <c r="AL25" s="2">
        <v>91.8</v>
      </c>
      <c r="AM25" s="2">
        <v>257.04000000000002</v>
      </c>
      <c r="AN25" s="2">
        <v>128.52000000000001</v>
      </c>
      <c r="AO25" s="2">
        <v>122.4</v>
      </c>
      <c r="AP25" s="2">
        <v>91.8</v>
      </c>
      <c r="AQ25" s="2">
        <v>104.04</v>
      </c>
      <c r="AR25" s="2">
        <v>91.8</v>
      </c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>
        <v>259.45999999999998</v>
      </c>
      <c r="DW25" s="2">
        <v>151.27000000000001</v>
      </c>
      <c r="DX25" s="2">
        <v>156.86000000000001</v>
      </c>
      <c r="DY25" s="2">
        <v>243.49</v>
      </c>
      <c r="DZ25" s="2">
        <v>142.34</v>
      </c>
      <c r="EA25" s="2">
        <v>135.09</v>
      </c>
      <c r="EB25" s="2">
        <v>205.34</v>
      </c>
      <c r="EC25" s="2">
        <v>156.02000000000001</v>
      </c>
      <c r="ED25" s="2">
        <v>152.91999999999999</v>
      </c>
      <c r="EE25" s="2">
        <v>136.24</v>
      </c>
      <c r="EF25" s="2">
        <v>134.86000000000001</v>
      </c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>
        <v>328.7</v>
      </c>
      <c r="EV25" s="2">
        <v>271.5</v>
      </c>
      <c r="EW25" s="2">
        <v>120</v>
      </c>
      <c r="EX25" s="2">
        <v>151.5</v>
      </c>
      <c r="EY25" s="2">
        <v>101.5</v>
      </c>
      <c r="EZ25" s="2">
        <v>168.1</v>
      </c>
      <c r="FA25" s="2">
        <v>194.7</v>
      </c>
      <c r="FB25" s="2">
        <v>256.39999999999998</v>
      </c>
      <c r="FC25" s="2">
        <v>15.3</v>
      </c>
      <c r="FD25" s="2">
        <v>124.2</v>
      </c>
      <c r="FE25" s="2">
        <v>121.6</v>
      </c>
      <c r="FF25" s="2">
        <v>99.2</v>
      </c>
      <c r="FG25" s="2">
        <v>99.2</v>
      </c>
      <c r="FH25" s="2">
        <v>88.5</v>
      </c>
      <c r="FI25" s="2">
        <v>93.6</v>
      </c>
      <c r="FJ25" s="2">
        <v>168.1</v>
      </c>
      <c r="FK25" s="2">
        <v>194.7</v>
      </c>
      <c r="FL25" s="2">
        <v>256.39999999999998</v>
      </c>
      <c r="FM25" s="2">
        <v>15.3</v>
      </c>
      <c r="FN25" s="2">
        <v>124.2</v>
      </c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</row>
    <row r="26" spans="1:194" x14ac:dyDescent="0.25">
      <c r="A26" s="2">
        <v>25</v>
      </c>
      <c r="B26" s="2" t="s">
        <v>455</v>
      </c>
      <c r="C26" s="2" t="s">
        <v>2128</v>
      </c>
      <c r="D26" s="14" t="s">
        <v>2129</v>
      </c>
      <c r="E26" s="1" t="s">
        <v>2143</v>
      </c>
      <c r="F26" s="1"/>
      <c r="G26" s="1"/>
      <c r="H26" s="20">
        <v>2101</v>
      </c>
      <c r="I26">
        <v>439</v>
      </c>
      <c r="J26" s="2"/>
      <c r="K26" s="2"/>
      <c r="L26" s="2"/>
      <c r="M26" s="2"/>
      <c r="N26" s="2">
        <v>0.4</v>
      </c>
      <c r="O26" s="2">
        <v>1</v>
      </c>
      <c r="P26" s="2">
        <v>1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>
        <v>1100</v>
      </c>
      <c r="AI26" s="2">
        <v>1430</v>
      </c>
      <c r="AJ26" s="2">
        <v>1760</v>
      </c>
      <c r="AK26" s="2"/>
      <c r="AL26" s="2"/>
      <c r="AM26" s="2"/>
      <c r="AN26" s="2">
        <v>1210</v>
      </c>
      <c r="AO26" s="2"/>
      <c r="AP26" s="2">
        <v>2530</v>
      </c>
      <c r="AQ26" s="2"/>
      <c r="AR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>
        <v>27860</v>
      </c>
      <c r="BU26" s="2">
        <v>12440</v>
      </c>
      <c r="BV26" s="2">
        <v>130</v>
      </c>
      <c r="BW26" s="2"/>
      <c r="BX26" s="2"/>
      <c r="BY26" s="2"/>
      <c r="BZ26" s="2"/>
      <c r="CA26" s="2">
        <v>1639.61</v>
      </c>
      <c r="CB26" s="2">
        <v>1644.91</v>
      </c>
      <c r="CC26" s="2"/>
      <c r="CD26" s="2"/>
      <c r="CE26" s="2">
        <v>1540</v>
      </c>
      <c r="CF26" s="2">
        <v>2009.9999999999998</v>
      </c>
      <c r="CG26" s="2">
        <v>1140</v>
      </c>
      <c r="CH26" s="2">
        <v>1180</v>
      </c>
      <c r="CI26" s="2"/>
      <c r="CJ26" s="2"/>
      <c r="CK26" s="2"/>
      <c r="CL26" s="2">
        <v>20600</v>
      </c>
      <c r="CM26" s="2">
        <v>4100</v>
      </c>
      <c r="CN26" s="2"/>
      <c r="CO26" s="2">
        <v>4200</v>
      </c>
      <c r="CP26" s="2">
        <v>5343</v>
      </c>
      <c r="CQ26" s="2">
        <v>4474.12</v>
      </c>
      <c r="CR26" s="2">
        <v>5401.21</v>
      </c>
      <c r="CS26" s="2">
        <v>3850</v>
      </c>
      <c r="CT26" s="2">
        <v>3505.32</v>
      </c>
      <c r="CU26" s="2">
        <v>3643.21</v>
      </c>
      <c r="CV26" s="2">
        <v>1687</v>
      </c>
      <c r="CW26" s="2">
        <v>1990.18</v>
      </c>
      <c r="CX26" s="2">
        <v>2363.29</v>
      </c>
      <c r="CY26" s="2">
        <v>2089</v>
      </c>
      <c r="CZ26" s="2">
        <v>3952.17</v>
      </c>
      <c r="DA26" s="2">
        <v>13.24</v>
      </c>
      <c r="DB26" s="2">
        <v>11.28</v>
      </c>
      <c r="DC26" s="2">
        <v>211</v>
      </c>
      <c r="DD26" s="2">
        <v>217</v>
      </c>
      <c r="DE26" s="2">
        <v>223</v>
      </c>
      <c r="DF26" s="2">
        <v>258</v>
      </c>
      <c r="DG26" s="2">
        <v>272</v>
      </c>
      <c r="DH26" s="2">
        <v>18500</v>
      </c>
      <c r="DI26" s="2">
        <v>6200</v>
      </c>
      <c r="DJ26" s="2">
        <v>18400</v>
      </c>
      <c r="DK26" s="2">
        <v>29900</v>
      </c>
      <c r="DL26" s="2">
        <v>37600</v>
      </c>
      <c r="DM26" s="2">
        <v>31900</v>
      </c>
      <c r="DN26" s="2">
        <v>3800</v>
      </c>
      <c r="DO26" s="2">
        <v>8900</v>
      </c>
      <c r="DP26" s="2">
        <v>12100</v>
      </c>
      <c r="DQ26" s="2">
        <v>9400</v>
      </c>
      <c r="DR26" s="2">
        <v>1332.51</v>
      </c>
      <c r="DS26" s="2">
        <v>1399.32</v>
      </c>
      <c r="DT26" s="2">
        <v>338.15</v>
      </c>
      <c r="DU26" s="2">
        <v>222.64</v>
      </c>
      <c r="DV26" s="2">
        <v>2170.64</v>
      </c>
      <c r="DW26" s="2">
        <v>2944.46</v>
      </c>
      <c r="DX26" s="2">
        <v>2021.28</v>
      </c>
      <c r="DY26" s="2">
        <v>6962.59</v>
      </c>
      <c r="DZ26" s="2">
        <v>6427.46</v>
      </c>
      <c r="EA26" s="2">
        <v>3596.26</v>
      </c>
      <c r="EB26" s="2">
        <v>8783.43</v>
      </c>
      <c r="EC26" s="2">
        <v>13504.49</v>
      </c>
      <c r="ED26" s="2">
        <v>25642.45</v>
      </c>
      <c r="EE26" s="2">
        <v>2387.79</v>
      </c>
      <c r="EF26" s="2">
        <v>4151.3599999999997</v>
      </c>
      <c r="EG26" s="2"/>
      <c r="EH26" s="2"/>
      <c r="EI26" s="2">
        <v>361</v>
      </c>
      <c r="EJ26" s="2">
        <v>260</v>
      </c>
      <c r="EK26" s="2">
        <v>1251</v>
      </c>
      <c r="EL26" s="2">
        <v>1875</v>
      </c>
      <c r="EM26" s="2">
        <v>1240</v>
      </c>
      <c r="EN26" s="2">
        <v>359.5</v>
      </c>
      <c r="EO26" s="2">
        <v>445.34</v>
      </c>
      <c r="EP26" s="2"/>
      <c r="EQ26" s="2"/>
      <c r="ER26" s="2"/>
      <c r="ES26" s="2"/>
      <c r="ET26" s="2"/>
      <c r="EU26" s="2">
        <v>361.9</v>
      </c>
      <c r="EV26" s="2">
        <v>462.7</v>
      </c>
      <c r="EW26" s="2">
        <v>454.1</v>
      </c>
      <c r="EX26" s="2">
        <v>560.9</v>
      </c>
      <c r="EY26" s="2">
        <v>486</v>
      </c>
      <c r="EZ26" s="2">
        <v>421.8</v>
      </c>
      <c r="FA26" s="2">
        <v>1395.4</v>
      </c>
      <c r="FB26" s="2">
        <v>744.7</v>
      </c>
      <c r="FC26" s="2">
        <v>365.4</v>
      </c>
      <c r="FD26" s="2">
        <v>401.1</v>
      </c>
      <c r="FE26" s="2">
        <v>1586.3</v>
      </c>
      <c r="FF26" s="2">
        <v>1391.3</v>
      </c>
      <c r="FG26" s="2">
        <v>1374.4</v>
      </c>
      <c r="FH26" s="2">
        <v>1387.8</v>
      </c>
      <c r="FI26" s="2">
        <v>390.4</v>
      </c>
      <c r="FJ26" s="2">
        <v>421.8</v>
      </c>
      <c r="FK26" s="2">
        <v>1395.4</v>
      </c>
      <c r="FL26" s="2">
        <v>744.7</v>
      </c>
      <c r="FM26" s="2">
        <v>365.4</v>
      </c>
      <c r="FN26" s="2">
        <v>401.1</v>
      </c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</row>
    <row r="27" spans="1:194" x14ac:dyDescent="0.25">
      <c r="A27" s="2">
        <v>26</v>
      </c>
      <c r="B27" s="2" t="s">
        <v>1176</v>
      </c>
      <c r="C27" s="2" t="s">
        <v>2184</v>
      </c>
      <c r="D27" s="14" t="s">
        <v>2165</v>
      </c>
      <c r="E27" s="1" t="s">
        <v>2209</v>
      </c>
      <c r="H27"/>
      <c r="J27" s="2"/>
      <c r="K27" s="2"/>
      <c r="L27" s="2"/>
      <c r="M27" s="2"/>
      <c r="N27" s="2"/>
      <c r="O27" s="2"/>
      <c r="P27" s="2"/>
      <c r="Q27" s="2">
        <v>45135</v>
      </c>
      <c r="R27" s="2">
        <v>47255</v>
      </c>
      <c r="S27" s="2"/>
      <c r="T27" s="2">
        <v>108</v>
      </c>
      <c r="U27" s="2">
        <v>355</v>
      </c>
      <c r="V27" s="2">
        <v>209</v>
      </c>
      <c r="W27" s="2">
        <v>314</v>
      </c>
      <c r="X27" s="2">
        <v>120.42</v>
      </c>
      <c r="Y27" s="2">
        <v>144.72</v>
      </c>
      <c r="Z27" s="2">
        <v>199.8</v>
      </c>
      <c r="AA27" s="2">
        <v>171.72</v>
      </c>
      <c r="AB27" s="2">
        <v>151.74</v>
      </c>
      <c r="AC27" s="2">
        <v>212.22</v>
      </c>
      <c r="AD27" s="2">
        <v>193.32</v>
      </c>
      <c r="AE27" s="2">
        <v>193.85999999999999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BA27">
        <v>494209.48000000004</v>
      </c>
      <c r="BB27">
        <v>324797.06</v>
      </c>
      <c r="BC27">
        <v>212574.82</v>
      </c>
      <c r="BD27">
        <v>145133.56999999998</v>
      </c>
      <c r="BE27" s="2">
        <v>147830.20620000002</v>
      </c>
      <c r="BF27" s="2">
        <v>176964.62639999998</v>
      </c>
      <c r="BG27" s="2">
        <v>135421.10129999998</v>
      </c>
      <c r="BH27" s="2">
        <v>144053.5221</v>
      </c>
      <c r="BI27" s="2">
        <v>127867.7331</v>
      </c>
      <c r="BJ27" s="2">
        <v>110602.89149999998</v>
      </c>
      <c r="BK27" s="2">
        <v>164015.9952</v>
      </c>
      <c r="BL27" s="2">
        <v>140816.36429999999</v>
      </c>
      <c r="BM27" s="2">
        <v>14550</v>
      </c>
      <c r="BN27" s="2">
        <v>22720</v>
      </c>
      <c r="BO27" s="2">
        <v>8080</v>
      </c>
      <c r="BP27" s="2">
        <v>14050</v>
      </c>
      <c r="BQ27" s="2">
        <v>344370</v>
      </c>
      <c r="BR27" s="2">
        <v>253230</v>
      </c>
      <c r="BS27" s="2">
        <v>174320</v>
      </c>
      <c r="BT27" s="2">
        <v>379350</v>
      </c>
      <c r="BU27" s="2">
        <v>439780</v>
      </c>
      <c r="BV27" s="2"/>
      <c r="BW27" s="2"/>
      <c r="BX27" s="2"/>
      <c r="BY27" s="2"/>
      <c r="BZ27" s="2"/>
      <c r="CA27" s="2"/>
      <c r="CB27" s="2"/>
      <c r="CC27" s="2"/>
      <c r="CD27" s="2">
        <v>190010</v>
      </c>
      <c r="CE27" s="2">
        <v>238960</v>
      </c>
      <c r="CF27" s="2">
        <v>140050</v>
      </c>
      <c r="CG27" s="2">
        <v>148100</v>
      </c>
      <c r="CH27" s="2">
        <v>100630</v>
      </c>
      <c r="CI27" s="2">
        <v>29580</v>
      </c>
      <c r="CJ27" s="2">
        <v>64330</v>
      </c>
      <c r="CK27" s="2">
        <v>126130</v>
      </c>
      <c r="CL27" s="2">
        <v>397800</v>
      </c>
      <c r="CM27" s="2">
        <v>434900</v>
      </c>
      <c r="CN27" s="2">
        <v>90400</v>
      </c>
      <c r="CO27" s="2">
        <v>470100</v>
      </c>
      <c r="CP27" s="2">
        <v>162.11000000000001</v>
      </c>
      <c r="CQ27" s="2">
        <v>97.31</v>
      </c>
      <c r="CR27" s="2">
        <v>150.63999999999999</v>
      </c>
      <c r="CS27" s="2">
        <v>125.91</v>
      </c>
      <c r="CT27" s="2">
        <v>111.52</v>
      </c>
      <c r="CU27" s="2">
        <v>113.21</v>
      </c>
      <c r="CV27" s="2">
        <v>135.12</v>
      </c>
      <c r="CW27" s="2">
        <v>34.04</v>
      </c>
      <c r="CX27" s="2">
        <v>149.22</v>
      </c>
      <c r="CY27" s="2">
        <v>52.72</v>
      </c>
      <c r="CZ27" s="2">
        <v>83.18</v>
      </c>
      <c r="DA27" s="2">
        <v>112.11</v>
      </c>
      <c r="DB27" s="2">
        <v>102.82</v>
      </c>
      <c r="DC27" s="2">
        <v>306</v>
      </c>
      <c r="DD27" s="2">
        <v>305</v>
      </c>
      <c r="DE27" s="2">
        <v>269</v>
      </c>
      <c r="DF27" s="2">
        <v>387</v>
      </c>
      <c r="DG27" s="2">
        <v>176</v>
      </c>
      <c r="DH27" s="2">
        <v>294000</v>
      </c>
      <c r="DI27" s="2">
        <v>428900</v>
      </c>
      <c r="DJ27" s="2">
        <v>290700</v>
      </c>
      <c r="DK27" s="2">
        <v>428200</v>
      </c>
      <c r="DL27" s="2">
        <v>471100</v>
      </c>
      <c r="DM27" s="2">
        <v>410200</v>
      </c>
      <c r="DN27" s="2">
        <v>206300</v>
      </c>
      <c r="DO27" s="2">
        <v>159700</v>
      </c>
      <c r="DP27" s="2">
        <v>222200</v>
      </c>
      <c r="DQ27" s="2">
        <v>154400</v>
      </c>
      <c r="DR27" s="2">
        <v>39.840000000000003</v>
      </c>
      <c r="DS27" s="2">
        <v>32.31</v>
      </c>
      <c r="DT27" s="2">
        <v>268.45</v>
      </c>
      <c r="DU27" s="2">
        <v>276.39</v>
      </c>
      <c r="DV27" s="2">
        <v>58.54</v>
      </c>
      <c r="DW27" s="2">
        <v>42.68</v>
      </c>
      <c r="DX27" s="2">
        <v>31.73</v>
      </c>
      <c r="DY27" s="2">
        <v>40.58</v>
      </c>
      <c r="DZ27" s="2">
        <v>102.2</v>
      </c>
      <c r="EA27" s="2">
        <v>77.05</v>
      </c>
      <c r="EB27" s="2">
        <v>72.77</v>
      </c>
      <c r="EC27" s="2">
        <v>47.34</v>
      </c>
      <c r="ED27" s="2">
        <v>87.23</v>
      </c>
      <c r="EE27" s="2">
        <v>24.3</v>
      </c>
      <c r="EF27" s="2">
        <v>67.02</v>
      </c>
      <c r="EG27" s="2">
        <v>33200</v>
      </c>
      <c r="EH27" s="2">
        <v>37000</v>
      </c>
      <c r="EI27" s="2">
        <v>64745.999999999993</v>
      </c>
      <c r="EJ27" s="2">
        <v>70532</v>
      </c>
      <c r="EK27" s="2">
        <v>37492</v>
      </c>
      <c r="EL27" s="2">
        <v>37511</v>
      </c>
      <c r="EM27" s="2">
        <v>83243</v>
      </c>
      <c r="EN27" s="2">
        <v>347476</v>
      </c>
      <c r="EO27" s="2">
        <v>397035</v>
      </c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</row>
    <row r="28" spans="1:194" x14ac:dyDescent="0.25">
      <c r="A28" s="2">
        <v>27</v>
      </c>
      <c r="B28" s="2" t="s">
        <v>395</v>
      </c>
      <c r="C28" s="2" t="s">
        <v>2197</v>
      </c>
      <c r="D28" s="14" t="s">
        <v>2220</v>
      </c>
      <c r="E28" s="1" t="s">
        <v>2210</v>
      </c>
      <c r="H28"/>
      <c r="J28" s="2">
        <v>27.66</v>
      </c>
      <c r="K28" s="2">
        <v>11.36</v>
      </c>
      <c r="L28" s="2">
        <v>11.55</v>
      </c>
      <c r="M28" s="2">
        <v>121.33</v>
      </c>
      <c r="N28" s="2">
        <v>8.4499999999999993</v>
      </c>
      <c r="O28" s="2"/>
      <c r="P28" s="2"/>
      <c r="Q28" s="2">
        <v>7322.54</v>
      </c>
      <c r="R28" s="2">
        <v>7178.6</v>
      </c>
      <c r="S28" s="2">
        <v>1103</v>
      </c>
      <c r="T28" s="2">
        <v>2400</v>
      </c>
      <c r="U28" s="2">
        <v>1050</v>
      </c>
      <c r="V28" s="2">
        <v>1197</v>
      </c>
      <c r="W28" s="2">
        <v>1390</v>
      </c>
      <c r="X28" s="2">
        <v>182</v>
      </c>
      <c r="Y28" s="2">
        <v>90</v>
      </c>
      <c r="Z28" s="2">
        <v>74</v>
      </c>
      <c r="AA28" s="2">
        <v>67.599999999999994</v>
      </c>
      <c r="AB28" s="2">
        <v>68.400000000000006</v>
      </c>
      <c r="AC28" s="2">
        <v>76</v>
      </c>
      <c r="AD28" s="2">
        <v>76</v>
      </c>
      <c r="AE28" s="2">
        <v>80</v>
      </c>
      <c r="AF28" s="2"/>
      <c r="AG28" s="2"/>
      <c r="AH28" s="2"/>
      <c r="AI28" s="2">
        <v>90560</v>
      </c>
      <c r="AJ28" s="2"/>
      <c r="AK28" s="2">
        <v>48110</v>
      </c>
      <c r="AL28" s="2"/>
      <c r="AM28" s="2">
        <v>50940</v>
      </c>
      <c r="AN28" s="2"/>
      <c r="AO28" s="2"/>
      <c r="AP28" s="2"/>
      <c r="AQ28" s="2">
        <v>87730</v>
      </c>
      <c r="AR28" s="2">
        <v>45280</v>
      </c>
      <c r="AS28">
        <v>136000</v>
      </c>
      <c r="AT28">
        <v>42600</v>
      </c>
      <c r="AU28">
        <v>29800</v>
      </c>
      <c r="AV28">
        <v>25200</v>
      </c>
      <c r="AW28">
        <v>20800</v>
      </c>
      <c r="AX28">
        <v>17300</v>
      </c>
      <c r="AY28">
        <v>10400</v>
      </c>
      <c r="AZ28">
        <v>7140</v>
      </c>
      <c r="BA28">
        <v>213325.24999999997</v>
      </c>
      <c r="BB28">
        <v>177723.95</v>
      </c>
      <c r="BC28">
        <v>113302.55</v>
      </c>
      <c r="BD28">
        <v>102848.20000000001</v>
      </c>
      <c r="BE28" s="2">
        <v>169517</v>
      </c>
      <c r="BF28" s="2">
        <v>270548</v>
      </c>
      <c r="BG28" s="2">
        <v>161876</v>
      </c>
      <c r="BH28" s="2">
        <v>155367</v>
      </c>
      <c r="BI28" s="2">
        <v>148858</v>
      </c>
      <c r="BJ28" s="2">
        <v>140368</v>
      </c>
      <c r="BK28" s="2">
        <v>188195</v>
      </c>
      <c r="BL28" s="2">
        <v>182252</v>
      </c>
      <c r="BM28" s="2">
        <v>10750</v>
      </c>
      <c r="BN28" s="2">
        <v>17080</v>
      </c>
      <c r="BO28" s="2">
        <v>4100</v>
      </c>
      <c r="BP28" s="2">
        <v>7450</v>
      </c>
      <c r="BQ28" s="2">
        <v>58150</v>
      </c>
      <c r="BR28" s="2">
        <v>3650</v>
      </c>
      <c r="BS28" s="2">
        <v>4460</v>
      </c>
      <c r="BT28" s="2">
        <v>214340</v>
      </c>
      <c r="BU28" s="2">
        <v>220060</v>
      </c>
      <c r="BV28" s="2"/>
      <c r="BW28" s="2"/>
      <c r="BX28" s="2"/>
      <c r="BY28" s="2"/>
      <c r="BZ28" s="2"/>
      <c r="CA28" s="2">
        <v>5793.99</v>
      </c>
      <c r="CB28" s="2">
        <v>9703.7000000000007</v>
      </c>
      <c r="CC28" s="2"/>
      <c r="CD28" s="2">
        <v>49060</v>
      </c>
      <c r="CE28" s="2">
        <v>42720</v>
      </c>
      <c r="CF28" s="2">
        <v>15220</v>
      </c>
      <c r="CG28" s="2">
        <v>18450</v>
      </c>
      <c r="CH28" s="2">
        <v>12290</v>
      </c>
      <c r="CI28" s="2">
        <v>3870</v>
      </c>
      <c r="CJ28" s="2">
        <v>15270</v>
      </c>
      <c r="CK28" s="2">
        <v>15160</v>
      </c>
      <c r="CL28" s="2">
        <v>63400</v>
      </c>
      <c r="CM28" s="2">
        <v>82800</v>
      </c>
      <c r="CN28" s="2">
        <v>53800</v>
      </c>
      <c r="CO28" s="2">
        <v>54600</v>
      </c>
      <c r="CP28" s="2">
        <v>106.32</v>
      </c>
      <c r="CQ28" s="2">
        <v>87.2</v>
      </c>
      <c r="CR28" s="2">
        <v>84.52</v>
      </c>
      <c r="CS28" s="2">
        <v>91.41</v>
      </c>
      <c r="CT28" s="2">
        <v>75.62</v>
      </c>
      <c r="CU28" s="2">
        <v>73.7</v>
      </c>
      <c r="CV28" s="2">
        <v>200.61</v>
      </c>
      <c r="CW28" s="2">
        <v>23.72</v>
      </c>
      <c r="CX28" s="2">
        <v>162.82</v>
      </c>
      <c r="CY28" s="2">
        <v>82.23</v>
      </c>
      <c r="CZ28" s="2">
        <v>78.14</v>
      </c>
      <c r="DA28" s="2">
        <v>232.72</v>
      </c>
      <c r="DB28" s="2">
        <v>346.1</v>
      </c>
      <c r="DC28" s="2">
        <v>569</v>
      </c>
      <c r="DD28" s="2">
        <v>580</v>
      </c>
      <c r="DE28" s="2">
        <v>311</v>
      </c>
      <c r="DF28" s="2">
        <v>670</v>
      </c>
      <c r="DG28" s="2">
        <v>540</v>
      </c>
      <c r="DH28" s="2">
        <v>109900</v>
      </c>
      <c r="DI28" s="2">
        <v>228500</v>
      </c>
      <c r="DJ28" s="2">
        <v>106000</v>
      </c>
      <c r="DK28" s="2">
        <v>106800</v>
      </c>
      <c r="DL28" s="2">
        <v>120500</v>
      </c>
      <c r="DM28" s="2">
        <v>70900</v>
      </c>
      <c r="DN28" s="2">
        <v>109700</v>
      </c>
      <c r="DO28" s="2">
        <v>43600</v>
      </c>
      <c r="DP28" s="2">
        <v>50400</v>
      </c>
      <c r="DQ28" s="2">
        <v>42100</v>
      </c>
      <c r="DR28" s="2">
        <v>110.77</v>
      </c>
      <c r="DS28" s="2">
        <v>102.85</v>
      </c>
      <c r="DT28" s="2">
        <v>41.61</v>
      </c>
      <c r="DU28" s="2">
        <v>41.45</v>
      </c>
      <c r="DV28" s="2">
        <v>148.88</v>
      </c>
      <c r="DW28" s="2">
        <v>114.44</v>
      </c>
      <c r="DX28" s="2">
        <v>117.04</v>
      </c>
      <c r="DY28" s="2">
        <v>101.48</v>
      </c>
      <c r="DZ28" s="2">
        <v>121.68</v>
      </c>
      <c r="EA28" s="2">
        <v>112.28</v>
      </c>
      <c r="EB28" s="2">
        <v>132.49</v>
      </c>
      <c r="EC28" s="2">
        <v>108.8</v>
      </c>
      <c r="ED28" s="2">
        <v>121.4</v>
      </c>
      <c r="EE28" s="2">
        <v>70.7</v>
      </c>
      <c r="EF28" s="2">
        <v>88.95</v>
      </c>
      <c r="EG28" s="2">
        <v>8100</v>
      </c>
      <c r="EH28" s="2">
        <v>14200</v>
      </c>
      <c r="EI28" s="2">
        <v>53326</v>
      </c>
      <c r="EJ28" s="2">
        <v>54263</v>
      </c>
      <c r="EK28" s="2">
        <v>75743</v>
      </c>
      <c r="EL28" s="2">
        <v>79043</v>
      </c>
      <c r="EM28" s="2">
        <v>72729</v>
      </c>
      <c r="EN28" s="2">
        <v>43928.03</v>
      </c>
      <c r="EO28" s="2">
        <v>5502.04</v>
      </c>
      <c r="EP28" s="2">
        <v>317.41000000000003</v>
      </c>
      <c r="EQ28" s="2">
        <v>136.91</v>
      </c>
      <c r="ER28" s="2">
        <v>185.72</v>
      </c>
      <c r="ES28" s="2">
        <v>156.30000000000001</v>
      </c>
      <c r="ET28" s="2">
        <v>157.76</v>
      </c>
      <c r="EU28" s="2">
        <v>72933.5</v>
      </c>
      <c r="EV28" s="2">
        <v>43263.6</v>
      </c>
      <c r="EW28" s="2">
        <v>67130.5</v>
      </c>
      <c r="EX28" s="2">
        <v>79029.100000000006</v>
      </c>
      <c r="EY28" s="2">
        <v>87437.5</v>
      </c>
      <c r="EZ28" s="2">
        <v>80970.7</v>
      </c>
      <c r="FA28" s="2">
        <v>90485.5</v>
      </c>
      <c r="FB28" s="2">
        <v>50394</v>
      </c>
      <c r="FC28" s="2">
        <v>47695.199999999997</v>
      </c>
      <c r="FD28" s="2">
        <v>17504.2</v>
      </c>
      <c r="FE28" s="2">
        <v>61276.9</v>
      </c>
      <c r="FF28" s="2">
        <v>47898.5</v>
      </c>
      <c r="FG28" s="2">
        <v>68577.399999999994</v>
      </c>
      <c r="FH28" s="2">
        <v>55529.5</v>
      </c>
      <c r="FI28" s="2">
        <v>46136.7</v>
      </c>
      <c r="FJ28" s="2">
        <v>80970.7</v>
      </c>
      <c r="FK28" s="2">
        <v>90485.5</v>
      </c>
      <c r="FL28" s="2">
        <v>50394</v>
      </c>
      <c r="FM28" s="2">
        <v>47695.199999999997</v>
      </c>
      <c r="FN28" s="2">
        <v>17504.2</v>
      </c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</row>
    <row r="29" spans="1:194" x14ac:dyDescent="0.25">
      <c r="A29" s="2">
        <v>28</v>
      </c>
      <c r="B29" s="2" t="s">
        <v>482</v>
      </c>
      <c r="C29" s="2" t="s">
        <v>1997</v>
      </c>
      <c r="D29" s="12" t="s">
        <v>2040</v>
      </c>
      <c r="E29" s="2" t="s">
        <v>2065</v>
      </c>
      <c r="F29" s="2"/>
      <c r="G29" s="2"/>
      <c r="H29" s="20">
        <v>1126596</v>
      </c>
      <c r="I29" s="20">
        <v>722576</v>
      </c>
      <c r="J29" s="2">
        <v>160.03</v>
      </c>
      <c r="K29" s="2">
        <v>85.13</v>
      </c>
      <c r="L29" s="2">
        <v>96.7</v>
      </c>
      <c r="M29" s="2">
        <v>572.44000000000005</v>
      </c>
      <c r="N29" s="2">
        <v>50.31</v>
      </c>
      <c r="O29" s="2"/>
      <c r="P29" s="2"/>
      <c r="Q29" s="2">
        <v>34925.370000000003</v>
      </c>
      <c r="R29" s="2">
        <v>38744.129999999997</v>
      </c>
      <c r="S29" s="2"/>
      <c r="T29" s="2"/>
      <c r="U29" s="2"/>
      <c r="V29" s="2"/>
      <c r="W29" s="2"/>
      <c r="X29" s="2">
        <v>331.05240000000003</v>
      </c>
      <c r="Y29" s="2">
        <v>381.07440000000003</v>
      </c>
      <c r="Z29" s="2">
        <v>332.43839999999994</v>
      </c>
      <c r="AA29" s="2">
        <v>326.79360000000003</v>
      </c>
      <c r="AB29" s="2">
        <v>347.33160000000004</v>
      </c>
      <c r="AC29" s="2">
        <v>374.09399999999999</v>
      </c>
      <c r="AD29" s="2">
        <v>321.52680000000004</v>
      </c>
      <c r="AE29" s="2">
        <v>312.27840000000003</v>
      </c>
      <c r="AF29" s="2">
        <v>360360</v>
      </c>
      <c r="AG29" s="2">
        <v>461160</v>
      </c>
      <c r="AH29" s="2">
        <v>378000</v>
      </c>
      <c r="AI29" s="2">
        <v>1139040</v>
      </c>
      <c r="AJ29" s="2">
        <v>1176840</v>
      </c>
      <c r="AK29" s="2">
        <v>1131480</v>
      </c>
      <c r="AL29" s="2">
        <v>1552320</v>
      </c>
      <c r="AM29" s="2">
        <v>1199520</v>
      </c>
      <c r="AN29" s="2">
        <v>1408680</v>
      </c>
      <c r="AO29" s="2">
        <v>922320</v>
      </c>
      <c r="AP29" s="2">
        <v>675360</v>
      </c>
      <c r="AQ29" s="2">
        <v>758520</v>
      </c>
      <c r="AR29" s="2">
        <v>713160</v>
      </c>
      <c r="AS29">
        <v>113000</v>
      </c>
      <c r="AT29">
        <v>57100</v>
      </c>
      <c r="AU29">
        <v>103000</v>
      </c>
      <c r="AV29">
        <v>130000</v>
      </c>
      <c r="AW29">
        <v>175000</v>
      </c>
      <c r="AX29">
        <v>221000</v>
      </c>
      <c r="AY29">
        <v>187000</v>
      </c>
      <c r="AZ29">
        <v>200000</v>
      </c>
      <c r="BE29" s="2">
        <v>50544.572799999994</v>
      </c>
      <c r="BF29" s="2">
        <v>89560.55279999999</v>
      </c>
      <c r="BG29" s="2">
        <v>51551.436799999996</v>
      </c>
      <c r="BH29" s="2">
        <v>55805.4372</v>
      </c>
      <c r="BI29" s="2">
        <v>42842.063199999997</v>
      </c>
      <c r="BJ29" s="2">
        <v>66150.964800000002</v>
      </c>
      <c r="BK29" s="2">
        <v>98773.358399999997</v>
      </c>
      <c r="BL29" s="2">
        <v>68743.639599999995</v>
      </c>
      <c r="BM29" s="2">
        <v>77750</v>
      </c>
      <c r="BN29" s="2">
        <v>67540</v>
      </c>
      <c r="BO29" s="2">
        <v>71250</v>
      </c>
      <c r="BP29" s="2">
        <v>69300</v>
      </c>
      <c r="BQ29" s="2">
        <v>325170</v>
      </c>
      <c r="BR29" s="2">
        <v>59230</v>
      </c>
      <c r="BS29" s="2">
        <v>70240</v>
      </c>
      <c r="BT29" s="2">
        <v>259200</v>
      </c>
      <c r="BU29" s="2">
        <v>277290</v>
      </c>
      <c r="BV29" s="2">
        <v>7900</v>
      </c>
      <c r="BW29" s="2">
        <v>8360</v>
      </c>
      <c r="BX29" s="2">
        <v>5400</v>
      </c>
      <c r="BY29" s="2">
        <v>5570</v>
      </c>
      <c r="BZ29" s="2">
        <v>10180</v>
      </c>
      <c r="CA29" s="2">
        <v>226308.26</v>
      </c>
      <c r="CB29" s="2">
        <v>427017.24</v>
      </c>
      <c r="CC29" s="2"/>
      <c r="CD29" s="2">
        <v>196270</v>
      </c>
      <c r="CE29" s="2">
        <v>410920</v>
      </c>
      <c r="CF29" s="2">
        <v>520620</v>
      </c>
      <c r="CG29" s="2">
        <v>859800</v>
      </c>
      <c r="CH29" s="2">
        <v>857120</v>
      </c>
      <c r="CI29" s="2">
        <v>677870</v>
      </c>
      <c r="CJ29" s="2">
        <v>413040</v>
      </c>
      <c r="CK29" s="2">
        <v>450410</v>
      </c>
      <c r="CL29" s="2">
        <v>370100</v>
      </c>
      <c r="CM29" s="2">
        <v>1021800</v>
      </c>
      <c r="CN29" s="2">
        <v>688000</v>
      </c>
      <c r="CO29" s="2">
        <v>748400</v>
      </c>
      <c r="CP29" s="2">
        <v>701.34</v>
      </c>
      <c r="CQ29" s="2">
        <v>953.43</v>
      </c>
      <c r="CR29" s="2">
        <v>602.91999999999996</v>
      </c>
      <c r="CS29" s="2">
        <v>502.42</v>
      </c>
      <c r="CT29" s="2">
        <v>510.73</v>
      </c>
      <c r="CU29" s="2">
        <v>536.52</v>
      </c>
      <c r="CV29" s="2">
        <v>1988.97</v>
      </c>
      <c r="CW29" s="2">
        <v>732.52</v>
      </c>
      <c r="CX29" s="2">
        <v>2856</v>
      </c>
      <c r="CY29" s="2">
        <v>576.22</v>
      </c>
      <c r="CZ29" s="2">
        <v>1678</v>
      </c>
      <c r="DA29" s="2">
        <v>427.92</v>
      </c>
      <c r="DB29" s="2">
        <v>809.53</v>
      </c>
      <c r="DC29" s="2">
        <v>3178</v>
      </c>
      <c r="DD29" s="2">
        <v>3161</v>
      </c>
      <c r="DE29" s="2">
        <v>3679.9999999999995</v>
      </c>
      <c r="DF29" s="2">
        <v>3157</v>
      </c>
      <c r="DG29" s="2">
        <v>3838.0000000000005</v>
      </c>
      <c r="DH29" s="2">
        <v>746700</v>
      </c>
      <c r="DI29" s="2">
        <v>911000</v>
      </c>
      <c r="DJ29" s="2">
        <v>825900</v>
      </c>
      <c r="DK29" s="2">
        <v>268200</v>
      </c>
      <c r="DL29" s="2">
        <v>187600</v>
      </c>
      <c r="DM29" s="2">
        <v>322900</v>
      </c>
      <c r="DN29" s="2">
        <v>377800</v>
      </c>
      <c r="DO29" s="2">
        <v>778300</v>
      </c>
      <c r="DP29" s="2">
        <v>427600</v>
      </c>
      <c r="DQ29" s="2">
        <v>803500</v>
      </c>
      <c r="DR29" s="2">
        <v>355.46</v>
      </c>
      <c r="DS29" s="2">
        <v>394.68</v>
      </c>
      <c r="DT29" s="2">
        <v>143.9</v>
      </c>
      <c r="DU29" s="2">
        <v>254.08</v>
      </c>
      <c r="DV29" s="2">
        <v>751.69</v>
      </c>
      <c r="DW29" s="2">
        <v>1102.28</v>
      </c>
      <c r="DX29" s="2">
        <v>460.72</v>
      </c>
      <c r="DY29" s="2">
        <v>801.61</v>
      </c>
      <c r="DZ29" s="2">
        <v>973.27</v>
      </c>
      <c r="EA29" s="2">
        <v>789.59</v>
      </c>
      <c r="EB29" s="2">
        <v>888.99</v>
      </c>
      <c r="EC29" s="2">
        <v>922.73</v>
      </c>
      <c r="ED29" s="2">
        <v>850.5</v>
      </c>
      <c r="EE29" s="2">
        <v>693.56</v>
      </c>
      <c r="EF29" s="2">
        <v>556.95000000000005</v>
      </c>
      <c r="EG29" s="2">
        <v>680500</v>
      </c>
      <c r="EH29" s="2">
        <v>317000</v>
      </c>
      <c r="EI29" s="2">
        <v>684032</v>
      </c>
      <c r="EJ29" s="2">
        <v>843134</v>
      </c>
      <c r="EK29" s="2">
        <v>1180628</v>
      </c>
      <c r="EL29" s="2">
        <v>1019844</v>
      </c>
      <c r="EM29" s="2">
        <v>806706</v>
      </c>
      <c r="EN29" s="2"/>
      <c r="EO29" s="2"/>
      <c r="EP29" s="2"/>
      <c r="EQ29" s="2"/>
      <c r="ER29" s="2"/>
      <c r="ES29" s="2"/>
      <c r="ET29" s="2"/>
      <c r="EU29" s="2">
        <v>697350.5</v>
      </c>
      <c r="EV29" s="2">
        <v>661786</v>
      </c>
      <c r="EW29" s="2">
        <v>745653.9</v>
      </c>
      <c r="EX29" s="2">
        <v>763923.3</v>
      </c>
      <c r="EY29" s="2">
        <v>758996.3</v>
      </c>
      <c r="EZ29" s="2">
        <v>696656.2</v>
      </c>
      <c r="FA29" s="2">
        <v>1139648.8</v>
      </c>
      <c r="FB29" s="2">
        <v>1198381.1000000001</v>
      </c>
      <c r="FC29" s="2">
        <v>1130288</v>
      </c>
      <c r="FD29" s="2">
        <v>921507.9</v>
      </c>
      <c r="FE29" s="2">
        <v>937323.4</v>
      </c>
      <c r="FF29" s="2">
        <v>873714.8</v>
      </c>
      <c r="FG29" s="2">
        <v>794136.9</v>
      </c>
      <c r="FH29" s="2">
        <v>1079062.5</v>
      </c>
      <c r="FI29" s="2">
        <v>714132.9</v>
      </c>
      <c r="FJ29" s="2">
        <v>696656.2</v>
      </c>
      <c r="FK29" s="2">
        <v>1139648.8</v>
      </c>
      <c r="FL29" s="2">
        <v>1198381.1000000001</v>
      </c>
      <c r="FM29" s="2">
        <v>1130288</v>
      </c>
      <c r="FN29" s="2">
        <v>921507.9</v>
      </c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</row>
    <row r="30" spans="1:194" x14ac:dyDescent="0.25">
      <c r="A30" s="2">
        <v>29</v>
      </c>
      <c r="B30" s="2" t="s">
        <v>494</v>
      </c>
      <c r="C30" s="2" t="s">
        <v>2150</v>
      </c>
      <c r="D30" s="12" t="s">
        <v>2123</v>
      </c>
      <c r="E30" s="2" t="s">
        <v>2134</v>
      </c>
      <c r="F30" s="2"/>
      <c r="G30" s="2"/>
      <c r="H30"/>
      <c r="J30" s="2">
        <v>4.17</v>
      </c>
      <c r="K30" s="2">
        <v>141.71</v>
      </c>
      <c r="L30" s="2">
        <v>0.66</v>
      </c>
      <c r="M30" s="2">
        <v>4.13</v>
      </c>
      <c r="N30" s="2">
        <v>0.37</v>
      </c>
      <c r="O30" s="2">
        <v>82362</v>
      </c>
      <c r="P30" s="2">
        <v>123135</v>
      </c>
      <c r="Q30" s="2">
        <v>838.42</v>
      </c>
      <c r="R30" s="2">
        <v>917.22</v>
      </c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>
        <v>11692</v>
      </c>
      <c r="AJ30" s="2">
        <v>5846</v>
      </c>
      <c r="AK30" s="2">
        <v>5056</v>
      </c>
      <c r="AL30" s="2">
        <v>5214</v>
      </c>
      <c r="AM30" s="2">
        <v>6320</v>
      </c>
      <c r="AN30" s="2">
        <v>7110</v>
      </c>
      <c r="AO30" s="2">
        <v>2686</v>
      </c>
      <c r="AP30" s="2">
        <v>5530</v>
      </c>
      <c r="AQ30" s="2">
        <v>4740</v>
      </c>
      <c r="AR30" s="2">
        <v>3160</v>
      </c>
      <c r="BA30">
        <v>8733.35</v>
      </c>
      <c r="BB30">
        <v>10270.800000000001</v>
      </c>
      <c r="BC30">
        <v>18100.7</v>
      </c>
      <c r="BD30">
        <v>15754.9</v>
      </c>
      <c r="BE30" s="2">
        <v>4404.96</v>
      </c>
      <c r="BF30" s="2">
        <v>7714.98</v>
      </c>
      <c r="BG30" s="2">
        <v>6916.14</v>
      </c>
      <c r="BH30" s="2">
        <v>6607.44</v>
      </c>
      <c r="BI30" s="2">
        <v>7462.98</v>
      </c>
      <c r="BJ30" s="2">
        <v>3929.94</v>
      </c>
      <c r="BK30" s="2">
        <v>4791.78</v>
      </c>
      <c r="BL30" s="2">
        <v>5381.46</v>
      </c>
      <c r="BM30" s="2">
        <v>500</v>
      </c>
      <c r="BN30" s="2">
        <v>280</v>
      </c>
      <c r="BO30" s="2">
        <v>500</v>
      </c>
      <c r="BP30" s="2">
        <v>350</v>
      </c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>
        <v>5790</v>
      </c>
      <c r="CE30" s="2">
        <v>4250</v>
      </c>
      <c r="CF30" s="2">
        <v>3580</v>
      </c>
      <c r="CG30" s="2">
        <v>4640</v>
      </c>
      <c r="CH30" s="2">
        <v>5390</v>
      </c>
      <c r="CI30" s="2">
        <v>13620</v>
      </c>
      <c r="CJ30" s="2"/>
      <c r="CK30" s="2">
        <v>5160</v>
      </c>
      <c r="CL30" s="2">
        <v>116200</v>
      </c>
      <c r="CM30" s="2">
        <v>83600</v>
      </c>
      <c r="CN30" s="2"/>
      <c r="CO30" s="2">
        <v>12200</v>
      </c>
      <c r="CP30" s="2">
        <v>10.86</v>
      </c>
      <c r="CQ30" s="2">
        <v>12.19</v>
      </c>
      <c r="CR30" s="2">
        <v>11.6</v>
      </c>
      <c r="CS30" s="2">
        <v>8.74</v>
      </c>
      <c r="CT30" s="2">
        <v>8.6</v>
      </c>
      <c r="CU30" s="2">
        <v>9.57</v>
      </c>
      <c r="CV30" s="2">
        <v>6.43</v>
      </c>
      <c r="CW30" s="2">
        <v>11.96</v>
      </c>
      <c r="CX30" s="2">
        <v>5.37</v>
      </c>
      <c r="CY30" s="2">
        <v>4.76</v>
      </c>
      <c r="CZ30" s="2">
        <v>9.33</v>
      </c>
      <c r="DA30" s="2">
        <v>23.09</v>
      </c>
      <c r="DB30" s="2">
        <v>12.95</v>
      </c>
      <c r="DC30" s="2">
        <v>23</v>
      </c>
      <c r="DD30" s="2">
        <v>16</v>
      </c>
      <c r="DE30" s="2">
        <v>20</v>
      </c>
      <c r="DF30" s="2">
        <v>12</v>
      </c>
      <c r="DG30" s="2">
        <v>5</v>
      </c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>
        <v>6.47</v>
      </c>
      <c r="DS30" s="2">
        <v>8.17</v>
      </c>
      <c r="DT30" s="2">
        <v>1.86</v>
      </c>
      <c r="DU30" s="2">
        <v>2</v>
      </c>
      <c r="DV30" s="2">
        <v>15.89</v>
      </c>
      <c r="DW30" s="2">
        <v>17.260000000000002</v>
      </c>
      <c r="DX30" s="2">
        <v>7.6</v>
      </c>
      <c r="DY30" s="2">
        <v>15</v>
      </c>
      <c r="DZ30" s="2">
        <v>15.67</v>
      </c>
      <c r="EA30" s="2">
        <v>38.42</v>
      </c>
      <c r="EB30" s="2">
        <v>57.22</v>
      </c>
      <c r="EC30" s="2">
        <v>31.28</v>
      </c>
      <c r="ED30" s="2">
        <v>8.16</v>
      </c>
      <c r="EE30" s="2">
        <v>8.6199999999999992</v>
      </c>
      <c r="EF30" s="2">
        <v>5.55</v>
      </c>
      <c r="EG30" s="2">
        <v>30100</v>
      </c>
      <c r="EH30" s="2">
        <v>36900</v>
      </c>
      <c r="EI30" s="2">
        <v>5314</v>
      </c>
      <c r="EJ30" s="2">
        <v>6457</v>
      </c>
      <c r="EK30" s="2">
        <v>5776</v>
      </c>
      <c r="EL30" s="2">
        <v>6171</v>
      </c>
      <c r="EM30" s="2">
        <v>8480</v>
      </c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>
        <v>6986.1</v>
      </c>
      <c r="FA30" s="2">
        <v>11637.3</v>
      </c>
      <c r="FB30" s="2">
        <v>6267</v>
      </c>
      <c r="FC30" s="2">
        <v>5102.3999999999996</v>
      </c>
      <c r="FD30" s="2">
        <v>2695.3</v>
      </c>
      <c r="FE30" s="2">
        <v>6940.8</v>
      </c>
      <c r="FF30" s="2">
        <v>5211</v>
      </c>
      <c r="FG30" s="2">
        <v>2693.7</v>
      </c>
      <c r="FH30" s="2">
        <v>4325.8999999999996</v>
      </c>
      <c r="FI30" s="2">
        <v>3153</v>
      </c>
      <c r="FJ30" s="2">
        <v>6986.1</v>
      </c>
      <c r="FK30" s="2">
        <v>11637.3</v>
      </c>
      <c r="FL30" s="2">
        <v>6267</v>
      </c>
      <c r="FM30" s="2">
        <v>5102.3999999999996</v>
      </c>
      <c r="FN30" s="2">
        <v>2695.3</v>
      </c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</row>
    <row r="31" spans="1:194" x14ac:dyDescent="0.25">
      <c r="A31" s="2">
        <v>30</v>
      </c>
      <c r="B31" s="2" t="s">
        <v>506</v>
      </c>
      <c r="C31" s="2" t="s">
        <v>1993</v>
      </c>
      <c r="D31" s="14" t="s">
        <v>2036</v>
      </c>
      <c r="E31" s="2" t="s">
        <v>2061</v>
      </c>
      <c r="F31" s="1"/>
      <c r="G31" s="1"/>
      <c r="H31" s="20">
        <v>56841</v>
      </c>
      <c r="I31" s="20">
        <v>13732</v>
      </c>
      <c r="J31" s="2">
        <v>7.6</v>
      </c>
      <c r="K31" s="2">
        <v>124.88</v>
      </c>
      <c r="L31" s="2">
        <v>3</v>
      </c>
      <c r="M31" s="2">
        <v>8.1</v>
      </c>
      <c r="N31" s="2">
        <v>2.12</v>
      </c>
      <c r="O31" s="2"/>
      <c r="P31" s="2"/>
      <c r="Q31" s="2">
        <v>2241.1</v>
      </c>
      <c r="R31" s="2">
        <v>2449.52</v>
      </c>
      <c r="S31" s="2">
        <v>1858</v>
      </c>
      <c r="T31" s="2">
        <v>2831</v>
      </c>
      <c r="U31" s="2">
        <v>2417</v>
      </c>
      <c r="V31" s="2">
        <v>2380</v>
      </c>
      <c r="W31" s="2">
        <v>2419</v>
      </c>
      <c r="X31" s="2">
        <v>17.862880000000001</v>
      </c>
      <c r="Y31" s="2">
        <v>2.9369499999999999</v>
      </c>
      <c r="Z31" s="2">
        <v>49.134590000000003</v>
      </c>
      <c r="AA31" s="2">
        <v>26.735970000000002</v>
      </c>
      <c r="AB31" s="2">
        <v>25.03604</v>
      </c>
      <c r="AC31" s="2">
        <v>14.73921</v>
      </c>
      <c r="AD31" s="2">
        <v>15.06597</v>
      </c>
      <c r="AE31" s="2">
        <v>43.78584</v>
      </c>
      <c r="AF31" s="2"/>
      <c r="AG31" s="2"/>
      <c r="AH31" s="2"/>
      <c r="AI31" s="2">
        <v>23729</v>
      </c>
      <c r="AJ31" s="2">
        <v>35010</v>
      </c>
      <c r="AK31" s="2">
        <v>23340</v>
      </c>
      <c r="AL31" s="2">
        <v>36177</v>
      </c>
      <c r="AM31" s="2">
        <v>24896</v>
      </c>
      <c r="AN31" s="2">
        <v>33843</v>
      </c>
      <c r="AO31" s="2">
        <v>18672</v>
      </c>
      <c r="AP31" s="2">
        <v>39678</v>
      </c>
      <c r="AQ31" s="2">
        <v>32676</v>
      </c>
      <c r="AR31" s="2">
        <v>21395</v>
      </c>
      <c r="AS31">
        <v>6490</v>
      </c>
      <c r="AT31">
        <v>2910</v>
      </c>
      <c r="AU31">
        <v>5460</v>
      </c>
      <c r="AV31">
        <v>7430</v>
      </c>
      <c r="AW31">
        <v>11200</v>
      </c>
      <c r="AX31">
        <v>18000</v>
      </c>
      <c r="AY31">
        <v>21600</v>
      </c>
      <c r="AZ31">
        <v>29500</v>
      </c>
      <c r="BA31">
        <v>22472.530000000002</v>
      </c>
      <c r="BB31">
        <v>16493.600000000002</v>
      </c>
      <c r="BC31">
        <v>26249.720000000005</v>
      </c>
      <c r="BD31">
        <v>18084.61</v>
      </c>
      <c r="BE31" s="2">
        <v>3762.6937000000003</v>
      </c>
      <c r="BF31" s="2">
        <v>6891.1381000000001</v>
      </c>
      <c r="BG31" s="2">
        <v>3054.5135</v>
      </c>
      <c r="BH31" s="2">
        <v>3603.1586000000002</v>
      </c>
      <c r="BI31" s="2">
        <v>2887.1961999999999</v>
      </c>
      <c r="BJ31" s="2">
        <v>3548.6831999999999</v>
      </c>
      <c r="BK31" s="2">
        <v>4887.2216000000008</v>
      </c>
      <c r="BL31" s="2">
        <v>3677.0895</v>
      </c>
      <c r="BM31" s="2">
        <v>1600</v>
      </c>
      <c r="BN31" s="2">
        <v>1080</v>
      </c>
      <c r="BO31" s="2">
        <v>1175</v>
      </c>
      <c r="BP31" s="2">
        <v>1000</v>
      </c>
      <c r="BQ31" s="2">
        <v>14880</v>
      </c>
      <c r="BR31" s="2">
        <v>9160</v>
      </c>
      <c r="BS31" s="2">
        <v>12810</v>
      </c>
      <c r="BT31" s="2"/>
      <c r="BU31" s="2"/>
      <c r="BV31" s="2"/>
      <c r="BW31" s="2"/>
      <c r="BX31" s="2"/>
      <c r="BY31" s="2"/>
      <c r="BZ31" s="2"/>
      <c r="CA31" s="2">
        <v>8964.69</v>
      </c>
      <c r="CB31" s="2">
        <v>12703.48</v>
      </c>
      <c r="CC31" s="2"/>
      <c r="CD31" s="2">
        <v>14370</v>
      </c>
      <c r="CE31" s="2">
        <v>22910</v>
      </c>
      <c r="CF31" s="2">
        <v>22010</v>
      </c>
      <c r="CG31" s="2">
        <v>28250</v>
      </c>
      <c r="CH31" s="2">
        <v>30540</v>
      </c>
      <c r="CI31" s="2">
        <v>16860</v>
      </c>
      <c r="CJ31" s="2">
        <v>2460</v>
      </c>
      <c r="CK31" s="2">
        <v>14160</v>
      </c>
      <c r="CL31" s="2">
        <v>9400</v>
      </c>
      <c r="CM31" s="2">
        <v>18100</v>
      </c>
      <c r="CN31" s="2"/>
      <c r="CO31" s="2">
        <v>9300</v>
      </c>
      <c r="CP31" s="2">
        <v>28.35</v>
      </c>
      <c r="CQ31" s="2">
        <v>31.29</v>
      </c>
      <c r="CR31" s="2">
        <v>26.75</v>
      </c>
      <c r="CS31" s="2">
        <v>20.52</v>
      </c>
      <c r="CT31" s="2">
        <v>18.649999999999999</v>
      </c>
      <c r="CU31" s="2">
        <v>19.670000000000002</v>
      </c>
      <c r="CV31" s="2">
        <v>32.78</v>
      </c>
      <c r="CW31" s="2">
        <v>32.76</v>
      </c>
      <c r="CX31" s="2">
        <v>54.79</v>
      </c>
      <c r="CY31" s="2">
        <v>20.11</v>
      </c>
      <c r="CZ31" s="2">
        <v>31.11</v>
      </c>
      <c r="DA31" s="2">
        <v>33.18</v>
      </c>
      <c r="DB31" s="2">
        <v>40.81</v>
      </c>
      <c r="DC31" s="2">
        <v>75</v>
      </c>
      <c r="DD31" s="2">
        <v>104</v>
      </c>
      <c r="DE31" s="2">
        <v>106</v>
      </c>
      <c r="DF31" s="2">
        <v>65</v>
      </c>
      <c r="DG31" s="2">
        <v>90</v>
      </c>
      <c r="DH31" s="2">
        <v>59300</v>
      </c>
      <c r="DI31" s="2">
        <v>20900</v>
      </c>
      <c r="DJ31" s="2">
        <v>62700</v>
      </c>
      <c r="DK31" s="2">
        <v>18600</v>
      </c>
      <c r="DL31" s="2">
        <v>18700</v>
      </c>
      <c r="DM31" s="2">
        <v>43400</v>
      </c>
      <c r="DN31" s="2">
        <v>8600</v>
      </c>
      <c r="DO31" s="2">
        <v>52800</v>
      </c>
      <c r="DP31" s="2">
        <v>28500</v>
      </c>
      <c r="DQ31" s="2">
        <v>52700</v>
      </c>
      <c r="DR31" s="2">
        <v>42.4</v>
      </c>
      <c r="DS31" s="2">
        <v>44.37</v>
      </c>
      <c r="DT31" s="2">
        <v>36.69</v>
      </c>
      <c r="DU31" s="2">
        <v>38.630000000000003</v>
      </c>
      <c r="DV31" s="2">
        <v>71.22</v>
      </c>
      <c r="DW31" s="2">
        <v>77.569999999999993</v>
      </c>
      <c r="DX31" s="2">
        <v>49.05</v>
      </c>
      <c r="DY31" s="2">
        <v>67.959999999999994</v>
      </c>
      <c r="DZ31" s="2">
        <v>68.83</v>
      </c>
      <c r="EA31" s="2">
        <v>60.54</v>
      </c>
      <c r="EB31" s="2">
        <v>65.52</v>
      </c>
      <c r="EC31" s="2">
        <v>67.25</v>
      </c>
      <c r="ED31" s="2">
        <v>59.32</v>
      </c>
      <c r="EE31" s="2">
        <v>59.78</v>
      </c>
      <c r="EF31" s="2">
        <v>52.85</v>
      </c>
      <c r="EG31" s="2">
        <v>32200</v>
      </c>
      <c r="EH31" s="2">
        <v>24400</v>
      </c>
      <c r="EI31" s="2">
        <v>243122</v>
      </c>
      <c r="EJ31" s="2">
        <v>262517</v>
      </c>
      <c r="EK31" s="2">
        <v>333536</v>
      </c>
      <c r="EL31" s="2">
        <v>292852</v>
      </c>
      <c r="EM31" s="2">
        <v>277500</v>
      </c>
      <c r="EN31" s="2"/>
      <c r="EO31" s="2"/>
      <c r="EP31" s="2"/>
      <c r="EQ31" s="2"/>
      <c r="ER31" s="2"/>
      <c r="ES31" s="2"/>
      <c r="ET31" s="2"/>
      <c r="EU31" s="2">
        <v>29665.1</v>
      </c>
      <c r="EV31" s="2">
        <v>26447.1</v>
      </c>
      <c r="EW31" s="2">
        <v>29425.3</v>
      </c>
      <c r="EX31" s="2">
        <v>29405.3</v>
      </c>
      <c r="EY31" s="2">
        <v>32652.2</v>
      </c>
      <c r="EZ31" s="2">
        <v>21509.599999999999</v>
      </c>
      <c r="FA31" s="2">
        <v>23648.400000000001</v>
      </c>
      <c r="FB31" s="2">
        <v>24823.5</v>
      </c>
      <c r="FC31" s="2">
        <v>23277.200000000001</v>
      </c>
      <c r="FD31" s="2">
        <v>18576.5</v>
      </c>
      <c r="FE31" s="2">
        <v>33831.300000000003</v>
      </c>
      <c r="FF31" s="2">
        <v>32264.9</v>
      </c>
      <c r="FG31" s="2">
        <v>33063.300000000003</v>
      </c>
      <c r="FH31" s="2">
        <v>28036.2</v>
      </c>
      <c r="FI31" s="2">
        <v>21290.400000000001</v>
      </c>
      <c r="FJ31" s="2">
        <v>21509.599999999999</v>
      </c>
      <c r="FK31" s="2">
        <v>23648.400000000001</v>
      </c>
      <c r="FL31" s="2">
        <v>24823.5</v>
      </c>
      <c r="FM31" s="2">
        <v>23277.200000000001</v>
      </c>
      <c r="FN31" s="2">
        <v>18576.5</v>
      </c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</row>
    <row r="32" spans="1:194" x14ac:dyDescent="0.25">
      <c r="A32" s="2">
        <v>31</v>
      </c>
      <c r="B32" s="2" t="s">
        <v>512</v>
      </c>
      <c r="C32" s="2" t="s">
        <v>2198</v>
      </c>
      <c r="D32" s="14" t="s">
        <v>2135</v>
      </c>
      <c r="E32" s="1" t="s">
        <v>2136</v>
      </c>
      <c r="F32" s="2"/>
      <c r="G32" s="2"/>
      <c r="H32" s="20">
        <v>25675</v>
      </c>
      <c r="I32" s="20">
        <v>5535</v>
      </c>
      <c r="J32" s="2"/>
      <c r="K32" s="2">
        <v>114.61</v>
      </c>
      <c r="L32" s="2">
        <v>15.08</v>
      </c>
      <c r="M32" s="2">
        <v>22.7</v>
      </c>
      <c r="N32" s="2">
        <v>9.4499999999999993</v>
      </c>
      <c r="O32" s="2">
        <v>49388</v>
      </c>
      <c r="P32" s="2">
        <v>57055</v>
      </c>
      <c r="Q32" s="2">
        <v>390.65</v>
      </c>
      <c r="R32" s="2">
        <v>380.01</v>
      </c>
      <c r="S32" s="2">
        <v>7760</v>
      </c>
      <c r="T32" s="2">
        <v>15258</v>
      </c>
      <c r="U32" s="2">
        <v>21191</v>
      </c>
      <c r="V32" s="2">
        <v>12086</v>
      </c>
      <c r="W32" s="2">
        <v>14749</v>
      </c>
      <c r="X32" s="2">
        <v>29.754000000000001</v>
      </c>
      <c r="Y32" s="2">
        <v>22.626000000000005</v>
      </c>
      <c r="Z32" s="2">
        <v>4.3740000000000006</v>
      </c>
      <c r="AA32" s="2">
        <v>4.8600000000000003</v>
      </c>
      <c r="AB32" s="2">
        <v>15.606000000000002</v>
      </c>
      <c r="AC32" s="2">
        <v>13.851000000000001</v>
      </c>
      <c r="AD32" s="2">
        <v>9.7200000000000006</v>
      </c>
      <c r="AE32" s="2">
        <v>9.4230000000000018</v>
      </c>
      <c r="AF32" s="2"/>
      <c r="AG32" s="2"/>
      <c r="AH32" s="2"/>
      <c r="AI32" s="2">
        <v>22680</v>
      </c>
      <c r="AJ32" s="2">
        <v>15930.000000000002</v>
      </c>
      <c r="AK32" s="2">
        <v>11340</v>
      </c>
      <c r="AL32" s="2">
        <v>12419.999999999998</v>
      </c>
      <c r="AM32" s="2">
        <v>5670</v>
      </c>
      <c r="AN32" s="2">
        <v>15930.000000000002</v>
      </c>
      <c r="AO32" s="2"/>
      <c r="AP32" s="2">
        <v>7559.9999999999991</v>
      </c>
      <c r="AQ32" s="2"/>
      <c r="AR32" s="2"/>
      <c r="BE32" s="2">
        <v>3619.6482000000001</v>
      </c>
      <c r="BF32" s="2">
        <v>4592.0910000000003</v>
      </c>
      <c r="BG32" s="2">
        <v>3808.7342999999996</v>
      </c>
      <c r="BH32" s="2">
        <v>3322.5129000000002</v>
      </c>
      <c r="BI32" s="2">
        <v>3268.4883</v>
      </c>
      <c r="BJ32" s="2">
        <v>3376.5374999999999</v>
      </c>
      <c r="BK32" s="2">
        <v>3187.4513999999999</v>
      </c>
      <c r="BL32" s="2">
        <v>2836.2915000000003</v>
      </c>
      <c r="BM32" s="2"/>
      <c r="BN32" s="2"/>
      <c r="BO32" s="2">
        <v>7.5</v>
      </c>
      <c r="BP32" s="2"/>
      <c r="BQ32" s="2">
        <v>7910</v>
      </c>
      <c r="BR32" s="2">
        <v>21120</v>
      </c>
      <c r="BS32" s="2">
        <v>20600</v>
      </c>
      <c r="BT32" s="2">
        <v>149820</v>
      </c>
      <c r="BU32" s="2">
        <v>154130</v>
      </c>
      <c r="BV32" s="2">
        <v>460</v>
      </c>
      <c r="BW32" s="2">
        <v>470</v>
      </c>
      <c r="BX32" s="2">
        <v>240</v>
      </c>
      <c r="BY32" s="2">
        <v>1080</v>
      </c>
      <c r="BZ32" s="2">
        <v>1960</v>
      </c>
      <c r="CA32" s="2">
        <v>59538.62</v>
      </c>
      <c r="CB32" s="2">
        <v>132495.72</v>
      </c>
      <c r="CC32" s="2"/>
      <c r="CD32" s="2">
        <v>3440</v>
      </c>
      <c r="CE32" s="2">
        <v>6960</v>
      </c>
      <c r="CF32" s="2">
        <v>8610</v>
      </c>
      <c r="CG32" s="2">
        <v>8430</v>
      </c>
      <c r="CH32" s="2">
        <v>7970</v>
      </c>
      <c r="CI32" s="2">
        <v>8960</v>
      </c>
      <c r="CJ32" s="2">
        <v>13320</v>
      </c>
      <c r="CK32" s="2">
        <v>8240</v>
      </c>
      <c r="CL32" s="2"/>
      <c r="CM32" s="2">
        <v>17100</v>
      </c>
      <c r="CN32" s="2"/>
      <c r="CO32" s="2"/>
      <c r="CP32" s="2">
        <v>34.130000000000003</v>
      </c>
      <c r="CQ32" s="2">
        <v>34.14</v>
      </c>
      <c r="CR32" s="2">
        <v>31.34</v>
      </c>
      <c r="CS32" s="2">
        <v>23.92</v>
      </c>
      <c r="CT32" s="2">
        <v>22.83</v>
      </c>
      <c r="CU32" s="2">
        <v>22.4</v>
      </c>
      <c r="CV32" s="2">
        <v>14.23</v>
      </c>
      <c r="CW32" s="2">
        <v>25.64</v>
      </c>
      <c r="CX32" s="2">
        <v>29.84</v>
      </c>
      <c r="CY32" s="2">
        <v>34.770000000000003</v>
      </c>
      <c r="CZ32" s="2">
        <v>49.48</v>
      </c>
      <c r="DA32" s="2">
        <v>73.41</v>
      </c>
      <c r="DB32" s="2">
        <v>98.06</v>
      </c>
      <c r="DC32" s="2">
        <v>373</v>
      </c>
      <c r="DD32" s="2">
        <v>391</v>
      </c>
      <c r="DE32" s="2">
        <v>607</v>
      </c>
      <c r="DF32" s="2">
        <v>679</v>
      </c>
      <c r="DG32" s="2">
        <v>1280</v>
      </c>
      <c r="DH32" s="2">
        <v>20500</v>
      </c>
      <c r="DI32" s="2">
        <v>6400</v>
      </c>
      <c r="DJ32" s="2">
        <v>19900</v>
      </c>
      <c r="DK32" s="2">
        <v>8400</v>
      </c>
      <c r="DL32" s="2">
        <v>5100</v>
      </c>
      <c r="DM32" s="2">
        <v>11300</v>
      </c>
      <c r="DN32" s="2">
        <v>2500</v>
      </c>
      <c r="DO32" s="2">
        <v>20400</v>
      </c>
      <c r="DP32" s="2">
        <v>7200</v>
      </c>
      <c r="DQ32" s="2">
        <v>20700</v>
      </c>
      <c r="DR32" s="2">
        <v>8234.64</v>
      </c>
      <c r="DS32" s="2">
        <v>8722.58</v>
      </c>
      <c r="DT32" s="2">
        <v>2038.39</v>
      </c>
      <c r="DU32" s="2">
        <v>2138.86</v>
      </c>
      <c r="DV32" s="2">
        <v>9825.64</v>
      </c>
      <c r="DW32" s="2">
        <v>40201.1</v>
      </c>
      <c r="DX32" s="2">
        <v>14804.59</v>
      </c>
      <c r="DY32" s="2">
        <v>20191.71</v>
      </c>
      <c r="DZ32" s="2">
        <v>15555.47</v>
      </c>
      <c r="EA32" s="2">
        <v>17052.25</v>
      </c>
      <c r="EB32" s="2">
        <v>13331.4</v>
      </c>
      <c r="EC32" s="2">
        <v>25556.93</v>
      </c>
      <c r="ED32" s="2">
        <v>23109.01</v>
      </c>
      <c r="EE32" s="2">
        <v>19137.22</v>
      </c>
      <c r="EF32" s="2">
        <v>10704.27</v>
      </c>
      <c r="EG32" s="2">
        <v>8100</v>
      </c>
      <c r="EH32" s="2">
        <v>6800</v>
      </c>
      <c r="EI32" s="2">
        <v>6220</v>
      </c>
      <c r="EJ32" s="2">
        <v>5649</v>
      </c>
      <c r="EK32" s="2">
        <v>11552</v>
      </c>
      <c r="EL32" s="2">
        <v>11050</v>
      </c>
      <c r="EM32" s="2">
        <v>10725</v>
      </c>
      <c r="EN32" s="2"/>
      <c r="EO32" s="2"/>
      <c r="EP32" s="2"/>
      <c r="EQ32" s="2"/>
      <c r="ER32" s="2"/>
      <c r="ES32" s="2"/>
      <c r="ET32" s="2"/>
      <c r="EU32" s="2">
        <v>6630.5</v>
      </c>
      <c r="EV32" s="2">
        <v>9205.6</v>
      </c>
      <c r="EW32" s="2">
        <v>9715.6</v>
      </c>
      <c r="EX32" s="2">
        <v>9256.7999999999993</v>
      </c>
      <c r="EY32" s="2">
        <v>2195.4</v>
      </c>
      <c r="EZ32" s="2">
        <v>18362.5</v>
      </c>
      <c r="FA32" s="2">
        <v>22764.6</v>
      </c>
      <c r="FB32" s="2">
        <v>5694.4</v>
      </c>
      <c r="FC32" s="2">
        <v>11395.8</v>
      </c>
      <c r="FD32" s="2">
        <v>861.8</v>
      </c>
      <c r="FE32" s="2">
        <v>12814.8</v>
      </c>
      <c r="FF32" s="2">
        <v>11470.5</v>
      </c>
      <c r="FG32" s="2">
        <v>5347.2</v>
      </c>
      <c r="FH32" s="2">
        <v>7081.2</v>
      </c>
      <c r="FI32" s="2">
        <v>813.2</v>
      </c>
      <c r="FJ32" s="2">
        <v>18362.5</v>
      </c>
      <c r="FK32" s="2">
        <v>22764.6</v>
      </c>
      <c r="FL32" s="2">
        <v>5694.4</v>
      </c>
      <c r="FM32" s="2">
        <v>11395.8</v>
      </c>
      <c r="FN32" s="2">
        <v>861.8</v>
      </c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</row>
    <row r="33" spans="1:194" ht="14.4" x14ac:dyDescent="0.25">
      <c r="A33" s="2">
        <v>32</v>
      </c>
      <c r="B33" s="2" t="s">
        <v>517</v>
      </c>
      <c r="C33" s="2" t="s">
        <v>2199</v>
      </c>
      <c r="D33" s="14" t="s">
        <v>2130</v>
      </c>
      <c r="E33" s="2" t="s">
        <v>2144</v>
      </c>
      <c r="F33" s="2"/>
      <c r="G33" s="2"/>
      <c r="H33" s="20">
        <v>23926</v>
      </c>
      <c r="I33" s="20">
        <v>5382</v>
      </c>
      <c r="J33" s="2"/>
      <c r="K33" s="2">
        <v>53.31</v>
      </c>
      <c r="L33" s="2">
        <v>6.1</v>
      </c>
      <c r="M33" s="2">
        <v>4.57</v>
      </c>
      <c r="N33" s="2">
        <v>3.89</v>
      </c>
      <c r="O33" s="2"/>
      <c r="P33" s="2"/>
      <c r="Q33" s="2">
        <v>600.49</v>
      </c>
      <c r="R33" s="2">
        <v>617.33000000000004</v>
      </c>
      <c r="S33" s="2">
        <v>5540</v>
      </c>
      <c r="T33" s="2">
        <v>8183.9999999999991</v>
      </c>
      <c r="U33" s="2">
        <v>7818</v>
      </c>
      <c r="V33" s="2">
        <v>5644</v>
      </c>
      <c r="W33" s="2">
        <v>6423</v>
      </c>
      <c r="X33" s="2"/>
      <c r="Y33" s="2"/>
      <c r="Z33" s="2"/>
      <c r="AA33" s="2"/>
      <c r="AB33" s="2">
        <v>20.838000000000001</v>
      </c>
      <c r="AC33" s="2"/>
      <c r="AD33" s="2"/>
      <c r="AE33" s="2"/>
      <c r="AF33" s="2"/>
      <c r="AG33" s="2"/>
      <c r="AH33" s="2"/>
      <c r="AI33" s="2">
        <v>13281</v>
      </c>
      <c r="AJ33" s="2">
        <v>39843</v>
      </c>
      <c r="AK33" s="2"/>
      <c r="AL33" s="2">
        <v>26562</v>
      </c>
      <c r="AM33" s="2"/>
      <c r="AN33" s="2">
        <v>30546.3</v>
      </c>
      <c r="AO33" s="2"/>
      <c r="AP33" s="2">
        <v>27890.100000000002</v>
      </c>
      <c r="AQ33" s="2">
        <v>13281</v>
      </c>
      <c r="AR33" s="2"/>
      <c r="AS33">
        <v>593</v>
      </c>
      <c r="AT33">
        <v>246</v>
      </c>
      <c r="AU33">
        <v>767</v>
      </c>
      <c r="AV33">
        <v>1150</v>
      </c>
      <c r="AW33">
        <v>1600</v>
      </c>
      <c r="AX33">
        <v>3160</v>
      </c>
      <c r="AY33">
        <v>4590</v>
      </c>
      <c r="AZ33">
        <v>6840</v>
      </c>
      <c r="BA33">
        <v>5179.59</v>
      </c>
      <c r="BB33">
        <v>3984.3</v>
      </c>
      <c r="BC33">
        <v>6242.07</v>
      </c>
      <c r="BD33">
        <v>7304.5500000000011</v>
      </c>
      <c r="BE33" s="2">
        <v>34341.925000000003</v>
      </c>
      <c r="BF33" s="2">
        <v>48490.7981</v>
      </c>
      <c r="BG33" s="2">
        <v>35440.866600000001</v>
      </c>
      <c r="BH33" s="2">
        <v>15110.447000000002</v>
      </c>
      <c r="BI33" s="2">
        <v>28984.584699999999</v>
      </c>
      <c r="BJ33" s="2">
        <v>32418.7772</v>
      </c>
      <c r="BK33" s="2">
        <v>11401.5191</v>
      </c>
      <c r="BL33" s="2">
        <v>27610.9077</v>
      </c>
      <c r="BM33" s="2">
        <v>150</v>
      </c>
      <c r="BN33" s="2">
        <v>100</v>
      </c>
      <c r="BO33" s="2">
        <v>60</v>
      </c>
      <c r="BP33" s="2">
        <v>150</v>
      </c>
      <c r="BQ33" s="2">
        <v>11220</v>
      </c>
      <c r="BR33" s="2">
        <v>1340</v>
      </c>
      <c r="BS33" s="2">
        <v>1100</v>
      </c>
      <c r="BT33" s="2">
        <v>94140</v>
      </c>
      <c r="BU33" s="2">
        <v>122710</v>
      </c>
      <c r="BV33" s="2">
        <v>200</v>
      </c>
      <c r="BW33" s="2">
        <v>310</v>
      </c>
      <c r="BX33" s="2">
        <v>240</v>
      </c>
      <c r="BY33" s="2">
        <v>340</v>
      </c>
      <c r="BZ33" s="2">
        <v>450</v>
      </c>
      <c r="CA33" s="2">
        <v>12408.06</v>
      </c>
      <c r="CB33" s="2">
        <v>21471</v>
      </c>
      <c r="CC33" s="2"/>
      <c r="CD33" s="2">
        <v>4050</v>
      </c>
      <c r="CE33" s="2">
        <v>10630</v>
      </c>
      <c r="CF33" s="2">
        <v>12820</v>
      </c>
      <c r="CG33" s="2">
        <v>16090</v>
      </c>
      <c r="CH33" s="2">
        <v>14090</v>
      </c>
      <c r="CI33" s="2">
        <v>11230</v>
      </c>
      <c r="CJ33" s="2">
        <v>27540</v>
      </c>
      <c r="CK33" s="2">
        <v>9350</v>
      </c>
      <c r="CL33" s="2">
        <v>9300</v>
      </c>
      <c r="CM33" s="2">
        <v>16300</v>
      </c>
      <c r="CN33" s="2"/>
      <c r="CO33" s="2">
        <v>8400</v>
      </c>
      <c r="CP33" s="2">
        <v>10.95</v>
      </c>
      <c r="CQ33" s="2">
        <v>12.96</v>
      </c>
      <c r="CR33" s="2">
        <v>9.1300000000000008</v>
      </c>
      <c r="CS33" s="2">
        <v>7.17</v>
      </c>
      <c r="CT33" s="2">
        <v>6.61</v>
      </c>
      <c r="CU33" s="2">
        <v>6.64</v>
      </c>
      <c r="CV33" s="2">
        <v>9.81</v>
      </c>
      <c r="CW33" s="2">
        <v>12.98</v>
      </c>
      <c r="CX33" s="2">
        <v>24.32</v>
      </c>
      <c r="CY33" s="2">
        <v>11.86</v>
      </c>
      <c r="CZ33" s="2">
        <v>13.53</v>
      </c>
      <c r="DA33" s="2">
        <v>16.32</v>
      </c>
      <c r="DB33" s="2">
        <v>23.92</v>
      </c>
      <c r="DC33" s="2">
        <v>125</v>
      </c>
      <c r="DD33" s="2">
        <v>108</v>
      </c>
      <c r="DE33" s="2">
        <v>200.99999999999997</v>
      </c>
      <c r="DF33" s="2">
        <v>137</v>
      </c>
      <c r="DG33" s="2">
        <v>235</v>
      </c>
      <c r="DH33" s="2">
        <v>17200</v>
      </c>
      <c r="DI33" s="2">
        <v>8500</v>
      </c>
      <c r="DJ33" s="2">
        <v>17400</v>
      </c>
      <c r="DK33" s="2">
        <v>6100</v>
      </c>
      <c r="DL33" s="2">
        <v>6200</v>
      </c>
      <c r="DM33" s="2">
        <v>11600</v>
      </c>
      <c r="DN33" s="2">
        <v>9300</v>
      </c>
      <c r="DO33" s="2">
        <v>15400</v>
      </c>
      <c r="DP33" s="2">
        <v>8000</v>
      </c>
      <c r="DQ33" s="2">
        <v>16000</v>
      </c>
      <c r="DR33" s="2">
        <v>13.98</v>
      </c>
      <c r="DS33" s="2">
        <v>14.14</v>
      </c>
      <c r="DT33" s="2">
        <v>11.03</v>
      </c>
      <c r="DU33" s="2">
        <v>11.55</v>
      </c>
      <c r="DV33" s="2">
        <v>19.7</v>
      </c>
      <c r="DW33" s="2">
        <v>31.08</v>
      </c>
      <c r="DX33" s="2">
        <v>19.96</v>
      </c>
      <c r="DY33" s="2">
        <v>28.2</v>
      </c>
      <c r="DZ33" s="2">
        <v>24.94</v>
      </c>
      <c r="EA33" s="2">
        <v>24.71</v>
      </c>
      <c r="EB33" s="2">
        <v>21.92</v>
      </c>
      <c r="EC33" s="2">
        <v>19.7</v>
      </c>
      <c r="ED33" s="2">
        <v>22.37</v>
      </c>
      <c r="EE33" s="2">
        <v>20.38</v>
      </c>
      <c r="EF33" s="2">
        <v>17.73</v>
      </c>
      <c r="EG33" s="2">
        <v>62500</v>
      </c>
      <c r="EH33" s="2">
        <v>94600</v>
      </c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>
        <v>13711.2</v>
      </c>
      <c r="EV33" s="2">
        <v>10627.9</v>
      </c>
      <c r="EW33" s="2">
        <v>10973.5</v>
      </c>
      <c r="EX33" s="2">
        <v>13755.5</v>
      </c>
      <c r="EY33" s="2">
        <v>13800.4</v>
      </c>
      <c r="EZ33" s="2">
        <v>10570.4</v>
      </c>
      <c r="FA33" s="2">
        <v>13439.1</v>
      </c>
      <c r="FB33" s="2">
        <v>9685</v>
      </c>
      <c r="FC33" s="2">
        <v>13095.3</v>
      </c>
      <c r="FD33" s="2">
        <v>5494.9</v>
      </c>
      <c r="FE33" s="2">
        <v>22769.8</v>
      </c>
      <c r="FF33" s="2">
        <v>22961.200000000001</v>
      </c>
      <c r="FG33" s="2">
        <v>19656.900000000001</v>
      </c>
      <c r="FH33" s="2">
        <v>23047.1</v>
      </c>
      <c r="FI33" s="2">
        <v>4591.3999999999996</v>
      </c>
      <c r="FJ33" s="2">
        <v>10570.4</v>
      </c>
      <c r="FK33" s="2">
        <v>13439.1</v>
      </c>
      <c r="FL33" s="2">
        <v>9685</v>
      </c>
      <c r="FM33" s="2">
        <v>13095.3</v>
      </c>
      <c r="FN33" s="2">
        <v>5494.9</v>
      </c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</row>
    <row r="34" spans="1:194" x14ac:dyDescent="0.25">
      <c r="A34" s="2">
        <v>33</v>
      </c>
      <c r="B34" s="2" t="s">
        <v>522</v>
      </c>
      <c r="C34" s="2" t="s">
        <v>1992</v>
      </c>
      <c r="D34" s="14" t="s">
        <v>2035</v>
      </c>
      <c r="E34" s="2" t="s">
        <v>2060</v>
      </c>
      <c r="F34" s="1"/>
      <c r="G34" s="1"/>
      <c r="H34" s="20">
        <v>295816</v>
      </c>
      <c r="I34" s="20">
        <v>78618</v>
      </c>
      <c r="J34" s="2">
        <v>41.62</v>
      </c>
      <c r="K34" s="2">
        <v>17.579999999999998</v>
      </c>
      <c r="L34" s="2">
        <v>8.31</v>
      </c>
      <c r="M34" s="2">
        <v>30.4</v>
      </c>
      <c r="N34" s="2">
        <v>36.159999999999997</v>
      </c>
      <c r="O34" s="2">
        <v>1937</v>
      </c>
      <c r="P34" s="2">
        <v>1731</v>
      </c>
      <c r="Q34" s="2">
        <v>8590.76</v>
      </c>
      <c r="R34" s="2">
        <v>8827.57</v>
      </c>
      <c r="S34" s="2">
        <v>1048</v>
      </c>
      <c r="T34" s="2">
        <v>4010</v>
      </c>
      <c r="U34" s="2">
        <v>2852</v>
      </c>
      <c r="V34" s="2"/>
      <c r="W34" s="2">
        <v>650</v>
      </c>
      <c r="X34" s="2">
        <v>98.742519999999999</v>
      </c>
      <c r="Y34" s="2">
        <v>137.57244</v>
      </c>
      <c r="Z34" s="2">
        <v>127.10339999999999</v>
      </c>
      <c r="AA34" s="2">
        <v>123.28596</v>
      </c>
      <c r="AB34" s="2">
        <v>164.46804</v>
      </c>
      <c r="AC34" s="2">
        <v>56.046959999999999</v>
      </c>
      <c r="AD34" s="2">
        <v>180.98136</v>
      </c>
      <c r="AE34" s="2">
        <v>110.38764</v>
      </c>
      <c r="AF34" s="2">
        <v>91580</v>
      </c>
      <c r="AG34" s="2">
        <v>109896</v>
      </c>
      <c r="AH34" s="2">
        <v>73264</v>
      </c>
      <c r="AI34" s="2">
        <v>147645</v>
      </c>
      <c r="AJ34" s="2">
        <v>130275</v>
      </c>
      <c r="AK34" s="2">
        <v>87815</v>
      </c>
      <c r="AL34" s="2">
        <v>123520</v>
      </c>
      <c r="AM34" s="2">
        <v>150540</v>
      </c>
      <c r="AN34" s="2">
        <v>101325</v>
      </c>
      <c r="AO34" s="2">
        <v>151505</v>
      </c>
      <c r="AP34" s="2">
        <v>122555</v>
      </c>
      <c r="AQ34" s="2">
        <v>96500</v>
      </c>
      <c r="AR34" s="2">
        <v>88780</v>
      </c>
      <c r="AS34">
        <v>65300</v>
      </c>
      <c r="AT34">
        <v>40400</v>
      </c>
      <c r="AU34">
        <v>64900.000000000007</v>
      </c>
      <c r="AV34">
        <v>78900</v>
      </c>
      <c r="AW34">
        <v>103000</v>
      </c>
      <c r="AX34">
        <v>153000</v>
      </c>
      <c r="AY34">
        <v>159000</v>
      </c>
      <c r="AZ34">
        <v>188000</v>
      </c>
      <c r="BA34">
        <v>71381.05</v>
      </c>
      <c r="BB34">
        <v>56896.4</v>
      </c>
      <c r="BC34">
        <v>90459.099999999991</v>
      </c>
      <c r="BD34">
        <v>122323.40000000001</v>
      </c>
      <c r="BE34" s="2">
        <v>30125.707200000001</v>
      </c>
      <c r="BF34" s="2">
        <v>54174.182399999998</v>
      </c>
      <c r="BG34" s="2">
        <v>35556.630400000002</v>
      </c>
      <c r="BH34" s="2">
        <v>37997.169600000001</v>
      </c>
      <c r="BI34" s="2">
        <v>38431.257600000004</v>
      </c>
      <c r="BJ34" s="2">
        <v>42241.585599999999</v>
      </c>
      <c r="BK34" s="2">
        <v>51019.809600000001</v>
      </c>
      <c r="BL34" s="2">
        <v>41325.177600000003</v>
      </c>
      <c r="BM34" s="2">
        <v>50</v>
      </c>
      <c r="BN34" s="2">
        <v>30</v>
      </c>
      <c r="BO34" s="2">
        <v>30</v>
      </c>
      <c r="BP34" s="2">
        <v>40</v>
      </c>
      <c r="BQ34" s="2">
        <v>41050</v>
      </c>
      <c r="BR34" s="2">
        <v>13460</v>
      </c>
      <c r="BS34" s="2">
        <v>14620</v>
      </c>
      <c r="BT34" s="2">
        <v>139710</v>
      </c>
      <c r="BU34" s="2">
        <v>157870</v>
      </c>
      <c r="BV34" s="2"/>
      <c r="BW34" s="2">
        <v>160</v>
      </c>
      <c r="BX34" s="2"/>
      <c r="BY34" s="2">
        <v>460</v>
      </c>
      <c r="BZ34" s="2"/>
      <c r="CA34" s="2">
        <v>36729.230000000003</v>
      </c>
      <c r="CB34" s="2">
        <v>40968.910000000003</v>
      </c>
      <c r="CC34" s="2"/>
      <c r="CD34" s="2">
        <v>55190</v>
      </c>
      <c r="CE34" s="2">
        <v>75690</v>
      </c>
      <c r="CF34" s="2">
        <v>47640</v>
      </c>
      <c r="CG34" s="2">
        <v>86290</v>
      </c>
      <c r="CH34" s="2">
        <v>86780</v>
      </c>
      <c r="CI34" s="2">
        <v>118150</v>
      </c>
      <c r="CJ34" s="2">
        <v>272080</v>
      </c>
      <c r="CK34" s="2">
        <v>125430</v>
      </c>
      <c r="CL34" s="2">
        <v>23100</v>
      </c>
      <c r="CM34" s="2">
        <v>70200</v>
      </c>
      <c r="CN34" s="2">
        <v>86800</v>
      </c>
      <c r="CO34" s="2">
        <v>73600</v>
      </c>
      <c r="CP34" s="2">
        <v>115.83</v>
      </c>
      <c r="CQ34" s="2">
        <v>117.31</v>
      </c>
      <c r="CR34" s="2">
        <v>107.42</v>
      </c>
      <c r="CS34" s="2">
        <v>87.34</v>
      </c>
      <c r="CT34" s="2">
        <v>90.64</v>
      </c>
      <c r="CU34" s="2">
        <v>87.96</v>
      </c>
      <c r="CV34" s="2">
        <v>118.83</v>
      </c>
      <c r="CW34" s="2">
        <v>105.31</v>
      </c>
      <c r="CX34" s="2">
        <v>123.42</v>
      </c>
      <c r="CY34" s="2">
        <v>75.37</v>
      </c>
      <c r="CZ34" s="2">
        <v>150.32</v>
      </c>
      <c r="DA34" s="2">
        <v>122.82</v>
      </c>
      <c r="DB34" s="2">
        <v>148.11000000000001</v>
      </c>
      <c r="DC34" s="2">
        <v>443</v>
      </c>
      <c r="DD34" s="2">
        <v>304</v>
      </c>
      <c r="DE34" s="2">
        <v>256</v>
      </c>
      <c r="DF34" s="2">
        <v>282</v>
      </c>
      <c r="DG34" s="2">
        <v>245.00000000000003</v>
      </c>
      <c r="DH34" s="2">
        <v>143400</v>
      </c>
      <c r="DI34" s="2">
        <v>133900</v>
      </c>
      <c r="DJ34" s="2">
        <v>154500</v>
      </c>
      <c r="DK34" s="2">
        <v>156100</v>
      </c>
      <c r="DL34" s="2">
        <v>45500</v>
      </c>
      <c r="DM34" s="2">
        <v>75100</v>
      </c>
      <c r="DN34" s="2">
        <v>59900</v>
      </c>
      <c r="DO34" s="2">
        <v>178400</v>
      </c>
      <c r="DP34" s="2">
        <v>74800</v>
      </c>
      <c r="DQ34" s="2">
        <v>203700</v>
      </c>
      <c r="DR34" s="2">
        <v>81.34</v>
      </c>
      <c r="DS34" s="2">
        <v>96.33</v>
      </c>
      <c r="DT34" s="2">
        <v>26.02</v>
      </c>
      <c r="DU34" s="2">
        <v>31.97</v>
      </c>
      <c r="DV34" s="2">
        <v>253.91</v>
      </c>
      <c r="DW34" s="2">
        <v>233.1</v>
      </c>
      <c r="DX34" s="2">
        <v>102.04</v>
      </c>
      <c r="DY34" s="2">
        <v>177.22</v>
      </c>
      <c r="DZ34" s="2">
        <v>190.29</v>
      </c>
      <c r="EA34" s="2">
        <v>98.73</v>
      </c>
      <c r="EB34" s="2">
        <v>173.37</v>
      </c>
      <c r="EC34" s="2">
        <v>176.06</v>
      </c>
      <c r="ED34" s="2">
        <v>136.43</v>
      </c>
      <c r="EE34" s="2">
        <v>139.38999999999999</v>
      </c>
      <c r="EF34" s="2">
        <v>78.349999999999994</v>
      </c>
      <c r="EG34" s="2">
        <v>550200</v>
      </c>
      <c r="EH34" s="2">
        <v>253100</v>
      </c>
      <c r="EI34" s="2">
        <v>30313</v>
      </c>
      <c r="EJ34" s="2">
        <v>33174</v>
      </c>
      <c r="EK34" s="2">
        <v>46551</v>
      </c>
      <c r="EL34" s="2">
        <v>41778</v>
      </c>
      <c r="EM34" s="2">
        <v>48714</v>
      </c>
      <c r="EN34" s="2"/>
      <c r="EO34" s="2"/>
      <c r="EP34" s="2"/>
      <c r="EQ34" s="2"/>
      <c r="ER34" s="2"/>
      <c r="ES34" s="2"/>
      <c r="ET34" s="2"/>
      <c r="EU34" s="2">
        <v>91869.9</v>
      </c>
      <c r="EV34" s="2">
        <v>98998.6</v>
      </c>
      <c r="EW34" s="2">
        <v>92622.6</v>
      </c>
      <c r="EX34" s="2">
        <v>81732.600000000006</v>
      </c>
      <c r="EY34" s="2">
        <v>96215.4</v>
      </c>
      <c r="EZ34" s="2">
        <v>92124</v>
      </c>
      <c r="FA34" s="2">
        <v>147859.29999999999</v>
      </c>
      <c r="FB34" s="2">
        <v>150425.5</v>
      </c>
      <c r="FC34" s="2">
        <v>87318.2</v>
      </c>
      <c r="FD34" s="2">
        <v>151195.9</v>
      </c>
      <c r="FE34" s="2">
        <v>94579.5</v>
      </c>
      <c r="FF34" s="2">
        <v>115066.8</v>
      </c>
      <c r="FG34" s="2">
        <v>78188.800000000003</v>
      </c>
      <c r="FH34" s="2">
        <v>90176.7</v>
      </c>
      <c r="FI34" s="2">
        <v>88720.2</v>
      </c>
      <c r="FJ34" s="2">
        <v>92124</v>
      </c>
      <c r="FK34" s="2">
        <v>147859.29999999999</v>
      </c>
      <c r="FL34" s="2">
        <v>150425.5</v>
      </c>
      <c r="FM34" s="2">
        <v>87318.2</v>
      </c>
      <c r="FN34" s="2">
        <v>151195.9</v>
      </c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</row>
    <row r="35" spans="1:194" x14ac:dyDescent="0.25">
      <c r="A35" s="2">
        <v>34</v>
      </c>
      <c r="B35" s="2" t="s">
        <v>533</v>
      </c>
      <c r="C35" s="2" t="s">
        <v>2200</v>
      </c>
      <c r="D35" s="14" t="s">
        <v>2125</v>
      </c>
      <c r="E35" s="1" t="s">
        <v>2140</v>
      </c>
      <c r="F35" s="1"/>
      <c r="G35" s="1"/>
      <c r="H35" s="20">
        <v>732061</v>
      </c>
      <c r="I35" s="20">
        <v>342535</v>
      </c>
      <c r="J35" s="2">
        <v>9.16</v>
      </c>
      <c r="K35" s="2">
        <v>5.3</v>
      </c>
      <c r="L35" s="2">
        <v>15.08</v>
      </c>
      <c r="M35" s="2">
        <v>9.66</v>
      </c>
      <c r="N35" s="2">
        <v>3.11</v>
      </c>
      <c r="O35" s="2">
        <v>128673</v>
      </c>
      <c r="P35" s="2">
        <v>81517</v>
      </c>
      <c r="Q35" s="2">
        <v>120907.88</v>
      </c>
      <c r="R35" s="2">
        <v>119647.69</v>
      </c>
      <c r="S35" s="2">
        <v>1933</v>
      </c>
      <c r="T35" s="2">
        <v>2781</v>
      </c>
      <c r="U35" s="2">
        <v>3118</v>
      </c>
      <c r="V35" s="2">
        <v>2759</v>
      </c>
      <c r="W35" s="2">
        <v>3158</v>
      </c>
      <c r="X35" s="2">
        <v>492.8</v>
      </c>
      <c r="Y35" s="2">
        <v>504</v>
      </c>
      <c r="Z35" s="2">
        <v>459.20000000000005</v>
      </c>
      <c r="AA35" s="2">
        <v>475.20000000000005</v>
      </c>
      <c r="AB35" s="2">
        <v>566.4</v>
      </c>
      <c r="AC35" s="2">
        <v>550.4</v>
      </c>
      <c r="AD35" s="2">
        <v>508.8</v>
      </c>
      <c r="AE35" s="2">
        <v>555.20000000000005</v>
      </c>
      <c r="AF35" s="2">
        <v>800000</v>
      </c>
      <c r="AG35" s="2">
        <v>800000</v>
      </c>
      <c r="AH35" s="2">
        <v>960000</v>
      </c>
      <c r="AI35" s="2">
        <v>1376000</v>
      </c>
      <c r="AJ35" s="2">
        <v>304000</v>
      </c>
      <c r="AK35" s="2">
        <v>1440000</v>
      </c>
      <c r="AL35" s="2">
        <v>288000</v>
      </c>
      <c r="AM35" s="2">
        <v>1360000</v>
      </c>
      <c r="AN35" s="2">
        <v>320000</v>
      </c>
      <c r="AO35" s="2">
        <v>704000</v>
      </c>
      <c r="AP35" s="2">
        <v>288000</v>
      </c>
      <c r="AQ35" s="2">
        <v>1360000</v>
      </c>
      <c r="AR35" s="2"/>
      <c r="AS35">
        <v>51500</v>
      </c>
      <c r="AT35">
        <v>44900</v>
      </c>
      <c r="AU35">
        <v>60600</v>
      </c>
      <c r="AV35">
        <v>74900</v>
      </c>
      <c r="AW35">
        <v>97100</v>
      </c>
      <c r="AX35">
        <v>62100</v>
      </c>
      <c r="AY35">
        <v>124000</v>
      </c>
      <c r="AZ35">
        <v>148000</v>
      </c>
      <c r="BA35">
        <v>1184907.22</v>
      </c>
      <c r="BB35">
        <v>1100270.99</v>
      </c>
      <c r="BC35">
        <v>1430831.36</v>
      </c>
      <c r="BD35">
        <v>1456381.92</v>
      </c>
      <c r="BE35" s="2">
        <v>404799.99999999994</v>
      </c>
      <c r="BF35" s="2">
        <v>752000</v>
      </c>
      <c r="BG35" s="2">
        <v>406400</v>
      </c>
      <c r="BH35" s="2">
        <v>360000</v>
      </c>
      <c r="BI35" s="2">
        <v>228800</v>
      </c>
      <c r="BJ35" s="2">
        <v>257600.00000000003</v>
      </c>
      <c r="BK35" s="2">
        <v>340800</v>
      </c>
      <c r="BL35" s="2">
        <v>305600</v>
      </c>
      <c r="BM35" s="2">
        <v>39950</v>
      </c>
      <c r="BN35" s="2">
        <v>25340</v>
      </c>
      <c r="BO35" s="2">
        <v>49180</v>
      </c>
      <c r="BP35" s="2">
        <v>42350</v>
      </c>
      <c r="BQ35" s="2">
        <v>782760</v>
      </c>
      <c r="BR35" s="2">
        <v>1800500</v>
      </c>
      <c r="BS35" s="2">
        <v>1043220</v>
      </c>
      <c r="BT35" s="2">
        <v>15550</v>
      </c>
      <c r="BU35" s="2">
        <v>14730</v>
      </c>
      <c r="BV35" s="2">
        <v>460</v>
      </c>
      <c r="BW35" s="2">
        <v>700</v>
      </c>
      <c r="BX35" s="2">
        <v>970</v>
      </c>
      <c r="BY35" s="2">
        <v>740</v>
      </c>
      <c r="BZ35" s="2">
        <v>540</v>
      </c>
      <c r="CA35" s="2">
        <v>64412.4</v>
      </c>
      <c r="CB35" s="2">
        <v>103564.41</v>
      </c>
      <c r="CC35" s="2"/>
      <c r="CD35" s="2">
        <v>309760</v>
      </c>
      <c r="CE35" s="2">
        <v>464760</v>
      </c>
      <c r="CF35" s="2">
        <v>336330</v>
      </c>
      <c r="CG35" s="2">
        <v>449180</v>
      </c>
      <c r="CH35" s="2">
        <v>472890</v>
      </c>
      <c r="CI35" s="2">
        <v>586660</v>
      </c>
      <c r="CJ35" s="2">
        <v>524930</v>
      </c>
      <c r="CK35" s="2">
        <v>550620</v>
      </c>
      <c r="CL35" s="2">
        <v>264500</v>
      </c>
      <c r="CM35" s="2">
        <v>531300</v>
      </c>
      <c r="CN35" s="2">
        <v>331000</v>
      </c>
      <c r="CO35" s="2">
        <v>602800</v>
      </c>
      <c r="CP35" s="2">
        <v>865.73</v>
      </c>
      <c r="CQ35" s="2">
        <v>936.42</v>
      </c>
      <c r="CR35" s="2">
        <v>869.21</v>
      </c>
      <c r="CS35" s="2">
        <v>685.45</v>
      </c>
      <c r="CT35" s="2">
        <v>844.82</v>
      </c>
      <c r="CU35" s="2">
        <v>879.21</v>
      </c>
      <c r="CV35" s="2">
        <v>359.92</v>
      </c>
      <c r="CW35" s="2">
        <v>888.62</v>
      </c>
      <c r="CX35" s="2">
        <v>370.91</v>
      </c>
      <c r="CY35" s="2">
        <v>666.52</v>
      </c>
      <c r="CZ35" s="2">
        <v>486.89</v>
      </c>
      <c r="DA35" s="2">
        <v>778.72</v>
      </c>
      <c r="DB35" s="2">
        <v>1016</v>
      </c>
      <c r="DC35" s="2">
        <v>161</v>
      </c>
      <c r="DD35" s="2">
        <v>262</v>
      </c>
      <c r="DE35" s="2">
        <v>154</v>
      </c>
      <c r="DF35" s="2">
        <v>153</v>
      </c>
      <c r="DG35" s="2">
        <v>79</v>
      </c>
      <c r="DH35" s="2">
        <v>713800</v>
      </c>
      <c r="DI35" s="2">
        <v>776100</v>
      </c>
      <c r="DJ35" s="2">
        <v>775800</v>
      </c>
      <c r="DK35" s="2">
        <v>452600</v>
      </c>
      <c r="DL35" s="2">
        <v>616100</v>
      </c>
      <c r="DM35" s="2">
        <v>874500</v>
      </c>
      <c r="DN35" s="2">
        <v>301100</v>
      </c>
      <c r="DO35" s="2">
        <v>371900</v>
      </c>
      <c r="DP35" s="2">
        <v>795300</v>
      </c>
      <c r="DQ35" s="2">
        <v>371900</v>
      </c>
      <c r="DR35" s="2">
        <v>148.75</v>
      </c>
      <c r="DS35" s="2">
        <v>176.44</v>
      </c>
      <c r="DT35" s="2">
        <v>152.84</v>
      </c>
      <c r="DU35" s="2">
        <v>164.64</v>
      </c>
      <c r="DV35" s="2">
        <v>217.42</v>
      </c>
      <c r="DW35" s="2">
        <v>518.74</v>
      </c>
      <c r="DX35" s="2">
        <v>198.14</v>
      </c>
      <c r="DY35" s="2">
        <v>286.23</v>
      </c>
      <c r="DZ35" s="2">
        <v>432.38</v>
      </c>
      <c r="EA35" s="2">
        <v>648.34</v>
      </c>
      <c r="EB35" s="2">
        <v>431.9</v>
      </c>
      <c r="EC35" s="2">
        <v>827.58</v>
      </c>
      <c r="ED35" s="2">
        <v>498.85</v>
      </c>
      <c r="EE35" s="2">
        <v>616.34</v>
      </c>
      <c r="EF35" s="2">
        <v>321.92</v>
      </c>
      <c r="EG35" s="2">
        <v>618100</v>
      </c>
      <c r="EH35" s="2">
        <v>498000</v>
      </c>
      <c r="EI35" s="2">
        <v>658877</v>
      </c>
      <c r="EJ35" s="2">
        <v>790538</v>
      </c>
      <c r="EK35" s="2">
        <v>767905</v>
      </c>
      <c r="EL35" s="2">
        <v>412896</v>
      </c>
      <c r="EM35" s="2">
        <v>676313</v>
      </c>
      <c r="EN35" s="2"/>
      <c r="EO35" s="2"/>
      <c r="EP35" s="2"/>
      <c r="EQ35" s="2"/>
      <c r="ER35" s="2"/>
      <c r="ES35" s="2"/>
      <c r="ET35" s="2"/>
      <c r="EU35" s="2">
        <v>415018.3</v>
      </c>
      <c r="EV35" s="2">
        <v>302788.40000000002</v>
      </c>
      <c r="EW35" s="2">
        <v>411817</v>
      </c>
      <c r="EX35" s="2">
        <v>457468.5</v>
      </c>
      <c r="EY35" s="2">
        <v>1364925.3</v>
      </c>
      <c r="EZ35" s="2">
        <v>396048.7</v>
      </c>
      <c r="FA35" s="2">
        <v>1368237</v>
      </c>
      <c r="FB35" s="2">
        <v>1357405.5</v>
      </c>
      <c r="FC35" s="2">
        <v>1447391.3</v>
      </c>
      <c r="FD35" s="2">
        <v>701348</v>
      </c>
      <c r="FE35" s="2">
        <v>310962.90000000002</v>
      </c>
      <c r="FF35" s="2">
        <v>278156.90000000002</v>
      </c>
      <c r="FG35" s="2">
        <v>264721.40000000002</v>
      </c>
      <c r="FH35" s="2">
        <v>270408</v>
      </c>
      <c r="FI35" s="2">
        <v>143377.29999999999</v>
      </c>
      <c r="FJ35" s="2">
        <v>396048.7</v>
      </c>
      <c r="FK35" s="2">
        <v>1368237</v>
      </c>
      <c r="FL35" s="2">
        <v>1357405.5</v>
      </c>
      <c r="FM35" s="2">
        <v>1447391.3</v>
      </c>
      <c r="FN35" s="2">
        <v>701348</v>
      </c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</row>
    <row r="36" spans="1:194" x14ac:dyDescent="0.25">
      <c r="A36" s="2">
        <v>35</v>
      </c>
      <c r="B36" s="2" t="s">
        <v>553</v>
      </c>
      <c r="C36" s="2" t="s">
        <v>2137</v>
      </c>
      <c r="D36" s="12" t="s">
        <v>2124</v>
      </c>
      <c r="E36" s="1" t="s">
        <v>2138</v>
      </c>
      <c r="F36" s="2"/>
      <c r="G36" s="2"/>
      <c r="H36" s="20">
        <v>1311</v>
      </c>
      <c r="I36">
        <v>300</v>
      </c>
      <c r="J36" s="2"/>
      <c r="K36" s="2">
        <v>126.52</v>
      </c>
      <c r="L36" s="2">
        <v>1.85</v>
      </c>
      <c r="M36" s="2">
        <v>5.34</v>
      </c>
      <c r="N36" s="2">
        <v>5.58</v>
      </c>
      <c r="O36" s="2">
        <v>35645</v>
      </c>
      <c r="P36" s="2">
        <v>41356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V36">
        <v>412</v>
      </c>
      <c r="AW36">
        <v>393</v>
      </c>
      <c r="AX36">
        <v>525</v>
      </c>
      <c r="AY36">
        <v>675</v>
      </c>
      <c r="AZ36">
        <v>843</v>
      </c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>
        <v>1382.73</v>
      </c>
      <c r="CB36" s="2">
        <v>1858.68</v>
      </c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>
        <v>491.22</v>
      </c>
      <c r="CQ36" s="2">
        <v>631.80999999999995</v>
      </c>
      <c r="CR36" s="2">
        <v>395.33</v>
      </c>
      <c r="CS36" s="2">
        <v>254.11</v>
      </c>
      <c r="CT36" s="2">
        <v>281.12</v>
      </c>
      <c r="CU36" s="2">
        <v>364.22</v>
      </c>
      <c r="CV36" s="2">
        <v>455.63</v>
      </c>
      <c r="CW36" s="2">
        <v>685.61</v>
      </c>
      <c r="CX36" s="2">
        <v>626.72</v>
      </c>
      <c r="CY36" s="2">
        <v>322.22000000000003</v>
      </c>
      <c r="CZ36" s="2">
        <v>530.80999999999995</v>
      </c>
      <c r="DA36" s="2">
        <v>1473.03</v>
      </c>
      <c r="DB36" s="2">
        <v>621.12</v>
      </c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>
        <v>942.05</v>
      </c>
      <c r="DS36" s="2">
        <v>996.42</v>
      </c>
      <c r="DT36" s="2">
        <v>458.77</v>
      </c>
      <c r="DU36" s="2">
        <v>454.62</v>
      </c>
      <c r="DV36" s="2">
        <v>1399.91</v>
      </c>
      <c r="DW36" s="2">
        <v>4104.59</v>
      </c>
      <c r="DX36" s="2">
        <v>785.43</v>
      </c>
      <c r="DY36" s="2">
        <v>2233.91</v>
      </c>
      <c r="DZ36" s="2">
        <v>1489.7</v>
      </c>
      <c r="EA36" s="2">
        <v>1215.3499999999999</v>
      </c>
      <c r="EB36" s="2">
        <v>1091.3599999999999</v>
      </c>
      <c r="EC36" s="2">
        <v>1683.48</v>
      </c>
      <c r="ED36" s="2">
        <v>1030.82</v>
      </c>
      <c r="EE36" s="2">
        <v>900.59</v>
      </c>
      <c r="EF36" s="2">
        <v>826.75</v>
      </c>
      <c r="EG36" s="2"/>
      <c r="EH36" s="2"/>
      <c r="EI36" s="2">
        <v>615</v>
      </c>
      <c r="EJ36" s="2">
        <v>679</v>
      </c>
      <c r="EK36" s="2">
        <v>628</v>
      </c>
      <c r="EL36" s="2">
        <v>670</v>
      </c>
      <c r="EM36" s="2">
        <v>503</v>
      </c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</row>
    <row r="37" spans="1:194" x14ac:dyDescent="0.25">
      <c r="A37" s="2">
        <v>36</v>
      </c>
      <c r="B37" s="2" t="s">
        <v>1252</v>
      </c>
      <c r="C37" s="2" t="s">
        <v>2002</v>
      </c>
      <c r="D37" s="12" t="s">
        <v>2160</v>
      </c>
      <c r="E37" s="1" t="s">
        <v>2070</v>
      </c>
      <c r="F37" s="2"/>
      <c r="G37" s="2"/>
      <c r="H37" s="20">
        <v>13702</v>
      </c>
      <c r="I37" s="20">
        <v>3885</v>
      </c>
      <c r="J37" s="2"/>
      <c r="K37" s="2"/>
      <c r="L37" s="2"/>
      <c r="M37" s="2"/>
      <c r="N37" s="2"/>
      <c r="O37" s="2"/>
      <c r="P37" s="2"/>
      <c r="Q37" s="2">
        <v>1484.33</v>
      </c>
      <c r="R37" s="2">
        <v>1484.1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>
        <v>12600</v>
      </c>
      <c r="AJ37" s="2">
        <v>15750</v>
      </c>
      <c r="AK37" s="2">
        <v>6825</v>
      </c>
      <c r="AL37" s="2">
        <v>12600</v>
      </c>
      <c r="AM37" s="2">
        <v>10185</v>
      </c>
      <c r="AN37" s="2">
        <v>13650</v>
      </c>
      <c r="AO37" s="2">
        <v>4725</v>
      </c>
      <c r="AP37" s="2">
        <v>14700</v>
      </c>
      <c r="AQ37" s="2">
        <v>7665</v>
      </c>
      <c r="AR37" s="2">
        <v>6615</v>
      </c>
      <c r="AS37">
        <v>4930</v>
      </c>
      <c r="AT37">
        <v>2500</v>
      </c>
      <c r="AU37">
        <v>4710</v>
      </c>
      <c r="AV37">
        <v>6340</v>
      </c>
      <c r="AW37">
        <v>12300</v>
      </c>
      <c r="AX37">
        <v>18200</v>
      </c>
      <c r="AY37">
        <v>18800</v>
      </c>
      <c r="AZ37">
        <v>25500</v>
      </c>
      <c r="BE37" s="2">
        <v>4328.2457999999997</v>
      </c>
      <c r="BF37" s="2">
        <v>6691.0080000000007</v>
      </c>
      <c r="BG37" s="2">
        <v>3993.6954000000001</v>
      </c>
      <c r="BH37" s="2">
        <v>4390.9740000000002</v>
      </c>
      <c r="BI37" s="2">
        <v>3690.5090999999998</v>
      </c>
      <c r="BJ37" s="2">
        <v>7516.9293000000007</v>
      </c>
      <c r="BK37" s="2">
        <v>6722.3720999999996</v>
      </c>
      <c r="BL37" s="2">
        <v>6419.1858000000002</v>
      </c>
      <c r="BM37" s="2">
        <v>3950</v>
      </c>
      <c r="BN37" s="2">
        <v>3860</v>
      </c>
      <c r="BO37" s="2">
        <v>6650</v>
      </c>
      <c r="BP37" s="2">
        <v>5750</v>
      </c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>
        <v>8109.9999999999991</v>
      </c>
      <c r="CE37" s="2">
        <v>9570</v>
      </c>
      <c r="CF37" s="2">
        <v>9640</v>
      </c>
      <c r="CG37" s="2">
        <v>15800</v>
      </c>
      <c r="CH37" s="2">
        <v>15890</v>
      </c>
      <c r="CI37" s="2">
        <v>13840</v>
      </c>
      <c r="CJ37" s="2"/>
      <c r="CK37" s="2">
        <v>11240</v>
      </c>
      <c r="CL37" s="2">
        <v>22500</v>
      </c>
      <c r="CM37" s="2">
        <v>29100</v>
      </c>
      <c r="CN37" s="2"/>
      <c r="CO37" s="2"/>
      <c r="CP37" s="2">
        <v>8.09</v>
      </c>
      <c r="CQ37" s="2">
        <v>12.49</v>
      </c>
      <c r="CR37" s="2">
        <v>9.2100000000000009</v>
      </c>
      <c r="CS37" s="2">
        <v>6.61</v>
      </c>
      <c r="CT37" s="2">
        <v>5.49</v>
      </c>
      <c r="CU37" s="2">
        <v>6.07</v>
      </c>
      <c r="CV37" s="2">
        <v>5.45</v>
      </c>
      <c r="CW37" s="2">
        <v>16.57</v>
      </c>
      <c r="CX37" s="2">
        <v>10.57</v>
      </c>
      <c r="CY37" s="2">
        <v>1.75</v>
      </c>
      <c r="CZ37" s="2">
        <v>5.48</v>
      </c>
      <c r="DA37" s="2">
        <v>8.9499999999999993</v>
      </c>
      <c r="DB37" s="2">
        <v>3.66</v>
      </c>
      <c r="DC37" s="2"/>
      <c r="DD37" s="2"/>
      <c r="DE37" s="2">
        <v>63</v>
      </c>
      <c r="DF37" s="2">
        <v>88</v>
      </c>
      <c r="DG37" s="2">
        <v>85</v>
      </c>
      <c r="DH37" s="2">
        <v>18400</v>
      </c>
      <c r="DI37" s="2">
        <v>7100</v>
      </c>
      <c r="DJ37" s="2">
        <v>18100</v>
      </c>
      <c r="DK37" s="2">
        <v>12600</v>
      </c>
      <c r="DL37" s="2">
        <v>15800</v>
      </c>
      <c r="DM37" s="2">
        <v>32299.999999999996</v>
      </c>
      <c r="DN37" s="2">
        <v>7000</v>
      </c>
      <c r="DO37" s="2">
        <v>25600</v>
      </c>
      <c r="DP37" s="2">
        <v>16900</v>
      </c>
      <c r="DQ37" s="2">
        <v>26000</v>
      </c>
      <c r="DR37" s="2">
        <v>5.08</v>
      </c>
      <c r="DS37" s="2">
        <v>5.51</v>
      </c>
      <c r="DT37" s="2">
        <v>1.37</v>
      </c>
      <c r="DU37" s="2">
        <v>1.6</v>
      </c>
      <c r="DV37" s="2">
        <v>9.52</v>
      </c>
      <c r="DW37" s="2">
        <v>13.17</v>
      </c>
      <c r="DX37" s="2">
        <v>4.93</v>
      </c>
      <c r="DY37" s="2">
        <v>12.71</v>
      </c>
      <c r="DZ37" s="2">
        <v>12.74</v>
      </c>
      <c r="EA37" s="2">
        <v>11.83</v>
      </c>
      <c r="EB37" s="2">
        <v>11.47</v>
      </c>
      <c r="EC37" s="2">
        <v>14.54</v>
      </c>
      <c r="ED37" s="2">
        <v>5.17</v>
      </c>
      <c r="EE37" s="2">
        <v>4.8</v>
      </c>
      <c r="EF37" s="2">
        <v>4.8</v>
      </c>
      <c r="EG37" s="2">
        <v>27100</v>
      </c>
      <c r="EH37" s="2">
        <v>26100</v>
      </c>
      <c r="EI37" s="2">
        <v>4489</v>
      </c>
      <c r="EJ37" s="2">
        <v>5026</v>
      </c>
      <c r="EK37" s="2">
        <v>3170</v>
      </c>
      <c r="EL37" s="2">
        <v>3491</v>
      </c>
      <c r="EM37" s="2">
        <v>5380</v>
      </c>
      <c r="EN37" s="2"/>
      <c r="EO37" s="2"/>
      <c r="EP37" s="2"/>
      <c r="EQ37" s="2"/>
      <c r="ER37" s="2"/>
      <c r="ES37" s="2"/>
      <c r="ET37" s="2"/>
      <c r="EU37" s="2">
        <v>8835.7999999999993</v>
      </c>
      <c r="EV37" s="2">
        <v>7017.6</v>
      </c>
      <c r="EW37" s="2">
        <v>8091.7</v>
      </c>
      <c r="EX37" s="2">
        <v>7944</v>
      </c>
      <c r="EY37" s="2">
        <v>7716.4</v>
      </c>
      <c r="EZ37" s="2">
        <v>7983.6</v>
      </c>
      <c r="FA37" s="2">
        <v>12847.7</v>
      </c>
      <c r="FB37" s="2">
        <v>10206.9</v>
      </c>
      <c r="FC37" s="2">
        <v>6864.6</v>
      </c>
      <c r="FD37" s="2">
        <v>4760.3999999999996</v>
      </c>
      <c r="FE37" s="2">
        <v>5283.6</v>
      </c>
      <c r="FF37" s="2">
        <v>5762.5</v>
      </c>
      <c r="FG37" s="2">
        <v>5175.7</v>
      </c>
      <c r="FH37" s="2">
        <v>6506.8</v>
      </c>
      <c r="FI37" s="2">
        <v>6655.6</v>
      </c>
      <c r="FJ37" s="2">
        <v>7983.6</v>
      </c>
      <c r="FK37" s="2">
        <v>12847.7</v>
      </c>
      <c r="FL37" s="2">
        <v>10206.9</v>
      </c>
      <c r="FM37" s="2">
        <v>6864.6</v>
      </c>
      <c r="FN37" s="2">
        <v>4760.3999999999996</v>
      </c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</row>
    <row r="38" spans="1:194" ht="14.4" x14ac:dyDescent="0.25">
      <c r="A38" s="2">
        <v>37</v>
      </c>
      <c r="B38" s="2" t="s">
        <v>568</v>
      </c>
      <c r="C38" s="2" t="s">
        <v>2201</v>
      </c>
      <c r="D38" s="14" t="s">
        <v>2044</v>
      </c>
      <c r="E38" s="2" t="s">
        <v>2139</v>
      </c>
      <c r="F38" s="2"/>
      <c r="G38" s="2"/>
      <c r="H38" s="20">
        <v>1903</v>
      </c>
      <c r="I38" s="20">
        <v>1498</v>
      </c>
      <c r="J38" s="2">
        <v>3.03</v>
      </c>
      <c r="K38" s="2">
        <v>8.16</v>
      </c>
      <c r="L38" s="2"/>
      <c r="M38" s="2"/>
      <c r="N38" s="2"/>
      <c r="O38" s="2">
        <v>3123</v>
      </c>
      <c r="P38" s="2">
        <v>4507</v>
      </c>
      <c r="Q38" s="2">
        <v>435.04</v>
      </c>
      <c r="R38" s="2">
        <v>394.13</v>
      </c>
      <c r="S38" s="2"/>
      <c r="T38" s="2"/>
      <c r="U38" s="2"/>
      <c r="V38" s="2"/>
      <c r="W38" s="2"/>
      <c r="X38" s="2">
        <v>859.3599999999999</v>
      </c>
      <c r="Y38" s="2">
        <v>529.24</v>
      </c>
      <c r="Z38" s="2">
        <v>1907.3600000000001</v>
      </c>
      <c r="AA38" s="2">
        <v>2316.08</v>
      </c>
      <c r="AB38" s="2">
        <v>1459.3400000000001</v>
      </c>
      <c r="AC38" s="2">
        <v>2360.62</v>
      </c>
      <c r="AD38" s="2">
        <v>1899.5</v>
      </c>
      <c r="AE38" s="2">
        <v>655</v>
      </c>
      <c r="AF38" s="2"/>
      <c r="AG38" s="2"/>
      <c r="AH38" s="2"/>
      <c r="AI38" s="2">
        <v>2069.8000000000002</v>
      </c>
      <c r="AJ38" s="2"/>
      <c r="AK38" s="2">
        <v>943.2</v>
      </c>
      <c r="AL38" s="2"/>
      <c r="AM38" s="2">
        <v>1860.1999999999998</v>
      </c>
      <c r="AN38" s="2"/>
      <c r="AO38" s="2">
        <v>812.2</v>
      </c>
      <c r="AP38" s="2"/>
      <c r="AQ38" s="2">
        <v>3144</v>
      </c>
      <c r="AR38" s="2">
        <v>576.40000000000009</v>
      </c>
      <c r="AS38">
        <v>2009.9999999999998</v>
      </c>
      <c r="AT38">
        <v>1900</v>
      </c>
      <c r="AU38">
        <v>3380</v>
      </c>
      <c r="AV38">
        <v>5520</v>
      </c>
      <c r="AW38">
        <v>6730</v>
      </c>
      <c r="AX38">
        <v>13000</v>
      </c>
      <c r="AY38">
        <v>16500</v>
      </c>
      <c r="AZ38">
        <v>18800</v>
      </c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>
        <v>5310</v>
      </c>
      <c r="BR38" s="2">
        <v>5570</v>
      </c>
      <c r="BS38" s="2">
        <v>9760</v>
      </c>
      <c r="BT38" s="2"/>
      <c r="BU38" s="2"/>
      <c r="BV38" s="2">
        <v>590</v>
      </c>
      <c r="BW38" s="2">
        <v>310</v>
      </c>
      <c r="BX38" s="2">
        <v>400</v>
      </c>
      <c r="BY38" s="2"/>
      <c r="BZ38" s="2">
        <v>2230</v>
      </c>
      <c r="CA38" s="2">
        <v>481.37</v>
      </c>
      <c r="CB38" s="2">
        <v>182.51</v>
      </c>
      <c r="CC38" s="2">
        <v>370.92</v>
      </c>
      <c r="CD38" s="2"/>
      <c r="CE38" s="2"/>
      <c r="CF38" s="2"/>
      <c r="CG38" s="2">
        <v>2230</v>
      </c>
      <c r="CH38" s="2">
        <v>2020</v>
      </c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>
        <v>114.99999999999999</v>
      </c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>
        <v>200.54</v>
      </c>
      <c r="DS38" s="2">
        <v>190.56</v>
      </c>
      <c r="DT38" s="2">
        <v>1694.71</v>
      </c>
      <c r="DU38" s="2">
        <v>624.47</v>
      </c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>
        <v>2072.6</v>
      </c>
      <c r="EV38" s="2">
        <v>4041.6</v>
      </c>
      <c r="EW38" s="2">
        <v>1174.4000000000001</v>
      </c>
      <c r="EX38" s="2">
        <v>2178.9</v>
      </c>
      <c r="EY38" s="2">
        <v>3096.5</v>
      </c>
      <c r="EZ38" s="2">
        <v>634.1</v>
      </c>
      <c r="FA38" s="2">
        <v>192.5</v>
      </c>
      <c r="FB38" s="2">
        <v>125.8</v>
      </c>
      <c r="FC38" s="2">
        <v>181.2</v>
      </c>
      <c r="FD38" s="2">
        <v>86.2</v>
      </c>
      <c r="FE38" s="2">
        <v>514.6</v>
      </c>
      <c r="FF38" s="2">
        <v>525.9</v>
      </c>
      <c r="FG38" s="2">
        <v>395.9</v>
      </c>
      <c r="FH38" s="2">
        <v>298.2</v>
      </c>
      <c r="FI38" s="2">
        <v>564.70000000000005</v>
      </c>
      <c r="FJ38" s="2">
        <v>634.1</v>
      </c>
      <c r="FK38" s="2">
        <v>192.5</v>
      </c>
      <c r="FL38" s="2">
        <v>125.8</v>
      </c>
      <c r="FM38" s="2">
        <v>181.2</v>
      </c>
      <c r="FN38" s="2">
        <v>86.2</v>
      </c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</row>
    <row r="39" spans="1:194" ht="14.4" x14ac:dyDescent="0.25">
      <c r="A39" s="2">
        <v>38</v>
      </c>
      <c r="B39" s="2" t="s">
        <v>564</v>
      </c>
      <c r="C39" s="2" t="s">
        <v>2229</v>
      </c>
      <c r="D39" s="14" t="s">
        <v>2221</v>
      </c>
      <c r="E39" s="2" t="s">
        <v>2155</v>
      </c>
      <c r="H39"/>
      <c r="J39" s="2">
        <v>1.65</v>
      </c>
      <c r="K39" s="2">
        <v>1.8</v>
      </c>
      <c r="L39" s="2"/>
      <c r="M39" s="2">
        <v>15.31</v>
      </c>
      <c r="N39" s="2"/>
      <c r="O39" s="2">
        <v>1733</v>
      </c>
      <c r="P39" s="2">
        <v>1783</v>
      </c>
      <c r="Q39" s="2">
        <v>11066.25</v>
      </c>
      <c r="R39" s="2">
        <v>7800</v>
      </c>
      <c r="S39" s="2">
        <v>327</v>
      </c>
      <c r="T39" s="2">
        <v>477</v>
      </c>
      <c r="U39" s="2">
        <v>600</v>
      </c>
      <c r="V39" s="2">
        <v>714</v>
      </c>
      <c r="W39" s="2">
        <v>469</v>
      </c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BA39">
        <v>48059.999999999993</v>
      </c>
      <c r="BB39">
        <v>72791.999999999985</v>
      </c>
      <c r="BC39">
        <v>35064</v>
      </c>
      <c r="BD39">
        <v>62063.999999999993</v>
      </c>
      <c r="BE39" s="2">
        <v>217325</v>
      </c>
      <c r="BF39" s="2">
        <v>88890</v>
      </c>
      <c r="BG39" s="2">
        <v>220305</v>
      </c>
      <c r="BH39" s="2">
        <v>233305</v>
      </c>
      <c r="BI39" s="2">
        <v>203505</v>
      </c>
      <c r="BJ39" s="2">
        <v>400525</v>
      </c>
      <c r="BK39" s="2">
        <v>187520</v>
      </c>
      <c r="BL39" s="2">
        <v>218005</v>
      </c>
      <c r="BM39" s="2">
        <v>49500</v>
      </c>
      <c r="BN39" s="2">
        <v>39640</v>
      </c>
      <c r="BO39" s="2">
        <v>33680</v>
      </c>
      <c r="BP39" s="2">
        <v>30150</v>
      </c>
      <c r="BQ39" s="2"/>
      <c r="BR39" s="2"/>
      <c r="BS39" s="2"/>
      <c r="BT39" s="2"/>
      <c r="BU39" s="2"/>
      <c r="BV39" s="2">
        <v>400</v>
      </c>
      <c r="BW39" s="2">
        <v>1800</v>
      </c>
      <c r="BX39" s="2"/>
      <c r="BY39" s="2"/>
      <c r="BZ39" s="2"/>
      <c r="CA39" s="2"/>
      <c r="CB39" s="2"/>
      <c r="CC39" s="2"/>
      <c r="CD39" s="2">
        <v>12580</v>
      </c>
      <c r="CE39" s="2">
        <v>12540</v>
      </c>
      <c r="CF39" s="2">
        <v>11610</v>
      </c>
      <c r="CG39" s="2">
        <v>40820</v>
      </c>
      <c r="CH39" s="2">
        <v>38250</v>
      </c>
      <c r="CI39" s="2">
        <v>362060</v>
      </c>
      <c r="CJ39" s="2">
        <v>231440</v>
      </c>
      <c r="CK39" s="2">
        <v>115130</v>
      </c>
      <c r="CL39" s="2">
        <v>147600</v>
      </c>
      <c r="CM39" s="2">
        <v>311600</v>
      </c>
      <c r="CN39" s="2">
        <v>173200</v>
      </c>
      <c r="CO39" s="2">
        <v>208700</v>
      </c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>
        <v>35</v>
      </c>
      <c r="DD39" s="2">
        <v>30</v>
      </c>
      <c r="DE39" s="2">
        <v>33</v>
      </c>
      <c r="DF39" s="2">
        <v>30</v>
      </c>
      <c r="DG39" s="2">
        <v>11</v>
      </c>
      <c r="DH39" s="2">
        <v>367300</v>
      </c>
      <c r="DI39" s="2">
        <v>661100</v>
      </c>
      <c r="DJ39" s="2">
        <v>395900</v>
      </c>
      <c r="DK39" s="2">
        <v>72100</v>
      </c>
      <c r="DL39" s="2">
        <v>103000</v>
      </c>
      <c r="DM39" s="2">
        <v>84500</v>
      </c>
      <c r="DN39" s="2">
        <v>134200</v>
      </c>
      <c r="DO39" s="2">
        <v>113100</v>
      </c>
      <c r="DP39" s="2">
        <v>179000</v>
      </c>
      <c r="DQ39" s="2">
        <v>111400</v>
      </c>
      <c r="DR39" s="2">
        <v>339.37</v>
      </c>
      <c r="DS39" s="2">
        <v>253.49</v>
      </c>
      <c r="DT39" s="2">
        <v>377.92</v>
      </c>
      <c r="DU39" s="2">
        <v>210.96</v>
      </c>
      <c r="DV39" s="2">
        <v>347.5</v>
      </c>
      <c r="DW39" s="2">
        <v>268</v>
      </c>
      <c r="DX39" s="2">
        <v>282.72000000000003</v>
      </c>
      <c r="DY39" s="2">
        <v>230.43</v>
      </c>
      <c r="DZ39" s="2">
        <v>352.8</v>
      </c>
      <c r="EA39" s="2">
        <v>184.58</v>
      </c>
      <c r="EB39" s="2">
        <v>302.56</v>
      </c>
      <c r="EC39" s="2">
        <v>228.27</v>
      </c>
      <c r="ED39" s="2">
        <v>228.67</v>
      </c>
      <c r="EE39" s="2">
        <v>243.58</v>
      </c>
      <c r="EF39" s="2">
        <v>184.24</v>
      </c>
      <c r="EG39" s="2">
        <v>43300</v>
      </c>
      <c r="EH39" s="2">
        <v>44500</v>
      </c>
      <c r="EI39" s="2"/>
      <c r="EJ39" s="2"/>
      <c r="EK39" s="2"/>
      <c r="EL39" s="2"/>
      <c r="EM39" s="2"/>
      <c r="EN39" s="2">
        <v>185454</v>
      </c>
      <c r="EO39" s="2">
        <v>187976</v>
      </c>
      <c r="EP39" s="2">
        <v>2219.15</v>
      </c>
      <c r="EQ39" s="2">
        <v>1105.0999999999999</v>
      </c>
      <c r="ER39" s="2">
        <v>2300.02</v>
      </c>
      <c r="ES39" s="2">
        <v>831.95</v>
      </c>
      <c r="ET39" s="2">
        <v>1270.5899999999999</v>
      </c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</row>
    <row r="40" spans="1:194" ht="14.4" x14ac:dyDescent="0.25">
      <c r="A40" s="2">
        <v>39</v>
      </c>
      <c r="B40" s="23" t="s">
        <v>2492</v>
      </c>
      <c r="C40" s="2" t="s">
        <v>2180</v>
      </c>
      <c r="D40" s="14" t="s">
        <v>2159</v>
      </c>
      <c r="E40" s="2" t="s">
        <v>2211</v>
      </c>
      <c r="H40"/>
      <c r="J40" s="2">
        <v>22.64</v>
      </c>
      <c r="K40" s="2"/>
      <c r="L40" s="2"/>
      <c r="M40" s="2"/>
      <c r="N40" s="2"/>
      <c r="O40" s="2"/>
      <c r="P40" s="2"/>
      <c r="Q40" s="2">
        <v>2520.91</v>
      </c>
      <c r="R40" s="2">
        <v>2989.92</v>
      </c>
      <c r="S40" s="2"/>
      <c r="T40" s="2"/>
      <c r="U40" s="2"/>
      <c r="V40" s="2"/>
      <c r="W40" s="2"/>
      <c r="X40" s="2">
        <v>7.1345599999999996</v>
      </c>
      <c r="Y40" s="2">
        <v>3.7551600000000001</v>
      </c>
      <c r="Z40" s="2">
        <v>8.6009999999999991</v>
      </c>
      <c r="AA40" s="2">
        <v>8.9926199999999987</v>
      </c>
      <c r="AB40" s="2">
        <v>8.8547599999999989</v>
      </c>
      <c r="AC40" s="2">
        <v>5.3716600000000003</v>
      </c>
      <c r="AD40" s="2">
        <v>6.5806799999999992</v>
      </c>
      <c r="AE40" s="2">
        <v>6.8344399999999998</v>
      </c>
      <c r="AF40" s="2"/>
      <c r="AG40" s="2"/>
      <c r="AH40" s="2"/>
      <c r="AI40" s="2">
        <v>57200</v>
      </c>
      <c r="AJ40" s="2"/>
      <c r="AK40" s="2">
        <v>48400.000000000007</v>
      </c>
      <c r="AL40" s="2"/>
      <c r="AM40" s="2"/>
      <c r="AN40" s="2"/>
      <c r="AO40" s="2">
        <v>48400.000000000007</v>
      </c>
      <c r="AP40" s="2"/>
      <c r="AQ40" s="2"/>
      <c r="AR40" s="2"/>
      <c r="AS40">
        <v>16800</v>
      </c>
      <c r="AT40">
        <v>11600</v>
      </c>
      <c r="AU40">
        <v>24400</v>
      </c>
      <c r="AV40">
        <v>42700</v>
      </c>
      <c r="AW40">
        <v>60400</v>
      </c>
      <c r="AX40">
        <v>110000</v>
      </c>
      <c r="AY40">
        <v>123000</v>
      </c>
      <c r="AZ40">
        <v>129000</v>
      </c>
      <c r="BA40">
        <v>11007.5</v>
      </c>
      <c r="BB40">
        <v>13649.300000000001</v>
      </c>
      <c r="BC40">
        <v>18492.599999999999</v>
      </c>
      <c r="BD40">
        <v>18932.900000000001</v>
      </c>
      <c r="BE40" s="2">
        <v>660</v>
      </c>
      <c r="BF40" s="2">
        <v>860</v>
      </c>
      <c r="BG40" s="2">
        <v>320</v>
      </c>
      <c r="BH40" s="2"/>
      <c r="BI40" s="2"/>
      <c r="BJ40" s="2">
        <v>2780</v>
      </c>
      <c r="BK40" s="2">
        <v>2020</v>
      </c>
      <c r="BL40" s="2">
        <v>1600</v>
      </c>
      <c r="BM40" s="2"/>
      <c r="BN40" s="2"/>
      <c r="BO40" s="2">
        <v>20</v>
      </c>
      <c r="BP40" s="2"/>
      <c r="BQ40" s="2">
        <v>10550</v>
      </c>
      <c r="BR40" s="2">
        <v>15500</v>
      </c>
      <c r="BS40" s="2">
        <v>9570</v>
      </c>
      <c r="BT40" s="2">
        <v>50640</v>
      </c>
      <c r="BU40" s="2">
        <v>45860</v>
      </c>
      <c r="BV40" s="2">
        <v>1840</v>
      </c>
      <c r="BW40" s="2">
        <v>1640</v>
      </c>
      <c r="BX40" s="2">
        <v>1860</v>
      </c>
      <c r="BY40" s="2">
        <v>2100</v>
      </c>
      <c r="BZ40" s="2">
        <v>7950</v>
      </c>
      <c r="CA40" s="2">
        <v>3158.46</v>
      </c>
      <c r="CB40" s="2">
        <v>657.46</v>
      </c>
      <c r="CC40" s="2">
        <v>5809.69</v>
      </c>
      <c r="CD40" s="2"/>
      <c r="CE40" s="2"/>
      <c r="CF40" s="2">
        <v>12360</v>
      </c>
      <c r="CG40" s="2">
        <v>23410</v>
      </c>
      <c r="CH40" s="2">
        <v>25930</v>
      </c>
      <c r="CI40" s="2">
        <v>28430</v>
      </c>
      <c r="CJ40" s="2">
        <v>34090</v>
      </c>
      <c r="CK40" s="2">
        <v>12160</v>
      </c>
      <c r="CL40" s="2"/>
      <c r="CM40" s="2"/>
      <c r="CN40" s="2"/>
      <c r="CO40" s="2"/>
      <c r="CP40" s="2">
        <v>18.809999999999999</v>
      </c>
      <c r="CQ40" s="2">
        <v>28.78</v>
      </c>
      <c r="CR40" s="2">
        <v>17.5</v>
      </c>
      <c r="CS40" s="2">
        <v>13.08</v>
      </c>
      <c r="CT40" s="2">
        <v>10.81</v>
      </c>
      <c r="CU40" s="2">
        <v>11.09</v>
      </c>
      <c r="CV40" s="2">
        <v>29.42</v>
      </c>
      <c r="CW40" s="2">
        <v>36.630000000000003</v>
      </c>
      <c r="CX40" s="2">
        <v>29.9</v>
      </c>
      <c r="CY40" s="2">
        <v>4.72</v>
      </c>
      <c r="CZ40" s="2">
        <v>14.89</v>
      </c>
      <c r="DA40" s="2">
        <v>10.15</v>
      </c>
      <c r="DB40" s="2"/>
      <c r="DC40" s="2">
        <v>264</v>
      </c>
      <c r="DD40" s="2">
        <v>285</v>
      </c>
      <c r="DE40" s="2">
        <v>225</v>
      </c>
      <c r="DF40" s="2">
        <v>177</v>
      </c>
      <c r="DG40" s="2">
        <v>268</v>
      </c>
      <c r="DH40" s="2">
        <v>62300</v>
      </c>
      <c r="DI40" s="2">
        <v>96000</v>
      </c>
      <c r="DJ40" s="2">
        <v>57300</v>
      </c>
      <c r="DK40" s="2">
        <v>24300</v>
      </c>
      <c r="DL40" s="2">
        <v>70600</v>
      </c>
      <c r="DM40" s="2">
        <v>55000</v>
      </c>
      <c r="DN40" s="2">
        <v>122400</v>
      </c>
      <c r="DO40" s="2">
        <v>68400</v>
      </c>
      <c r="DP40" s="2">
        <v>202500</v>
      </c>
      <c r="DQ40" s="2">
        <v>69000</v>
      </c>
      <c r="DR40" s="2">
        <v>28.43</v>
      </c>
      <c r="DS40" s="2">
        <v>14.92</v>
      </c>
      <c r="DT40" s="2">
        <v>8.68</v>
      </c>
      <c r="DU40" s="2">
        <v>2.36</v>
      </c>
      <c r="DV40" s="2">
        <v>90.23</v>
      </c>
      <c r="DW40" s="2">
        <v>25.03</v>
      </c>
      <c r="DX40" s="2">
        <v>21.74</v>
      </c>
      <c r="DY40" s="2">
        <v>58.65</v>
      </c>
      <c r="DZ40" s="2">
        <v>114.18</v>
      </c>
      <c r="EA40" s="2">
        <v>53.7</v>
      </c>
      <c r="EB40" s="2">
        <v>145.88</v>
      </c>
      <c r="EC40" s="2">
        <v>86.59</v>
      </c>
      <c r="ED40" s="2">
        <v>27.3</v>
      </c>
      <c r="EE40" s="2">
        <v>68.09</v>
      </c>
      <c r="EF40" s="2">
        <v>9.26</v>
      </c>
      <c r="EG40" s="2">
        <v>31500</v>
      </c>
      <c r="EH40" s="2">
        <v>17600</v>
      </c>
      <c r="EI40" s="2"/>
      <c r="EJ40" s="2"/>
      <c r="EK40" s="2"/>
      <c r="EL40" s="2"/>
      <c r="EM40" s="2"/>
      <c r="EN40" s="2">
        <v>14795.45</v>
      </c>
      <c r="EO40" s="2">
        <v>25341.79</v>
      </c>
      <c r="EP40" s="2"/>
      <c r="EQ40" s="2"/>
      <c r="ER40" s="2"/>
      <c r="ES40" s="2"/>
      <c r="ET40" s="2"/>
      <c r="EU40" s="2">
        <v>103251.9</v>
      </c>
      <c r="EV40" s="2">
        <v>99557.7</v>
      </c>
      <c r="EW40" s="2">
        <v>102809.60000000001</v>
      </c>
      <c r="EX40" s="2">
        <v>80825.8</v>
      </c>
      <c r="EY40" s="2">
        <v>21057.7</v>
      </c>
      <c r="EZ40" s="2">
        <v>106389.5</v>
      </c>
      <c r="FA40" s="2">
        <v>56557.1</v>
      </c>
      <c r="FB40" s="2">
        <v>27990.7</v>
      </c>
      <c r="FC40" s="2">
        <v>49042.6</v>
      </c>
      <c r="FD40" s="2">
        <v>49044.7</v>
      </c>
      <c r="FE40" s="2">
        <v>8217.7000000000007</v>
      </c>
      <c r="FF40" s="2">
        <v>7729.4</v>
      </c>
      <c r="FG40" s="2">
        <v>7132</v>
      </c>
      <c r="FH40" s="2">
        <v>4960.3999999999996</v>
      </c>
      <c r="FI40" s="2">
        <v>11654.9</v>
      </c>
      <c r="FJ40" s="2">
        <v>106389.5</v>
      </c>
      <c r="FK40" s="2">
        <v>56557.1</v>
      </c>
      <c r="FL40" s="2">
        <v>27990.7</v>
      </c>
      <c r="FM40" s="2">
        <v>49042.6</v>
      </c>
      <c r="FN40" s="2">
        <v>49044.7</v>
      </c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</row>
    <row r="41" spans="1:194" x14ac:dyDescent="0.25">
      <c r="A41" s="2">
        <v>40</v>
      </c>
      <c r="B41" s="2" t="s">
        <v>2482</v>
      </c>
      <c r="C41" s="2" t="s">
        <v>2156</v>
      </c>
      <c r="D41" s="14" t="s">
        <v>2157</v>
      </c>
      <c r="E41" s="1" t="s">
        <v>2212</v>
      </c>
      <c r="H41"/>
      <c r="J41" s="2">
        <v>212.95</v>
      </c>
      <c r="K41" s="2">
        <v>472.55</v>
      </c>
      <c r="L41" s="2">
        <v>676.65</v>
      </c>
      <c r="M41" s="2">
        <v>2745.25</v>
      </c>
      <c r="N41" s="2">
        <v>428.66</v>
      </c>
      <c r="O41" s="2"/>
      <c r="P41" s="2"/>
      <c r="Q41" s="2">
        <v>30463.75</v>
      </c>
      <c r="R41" s="2">
        <v>20675</v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>
        <v>112860</v>
      </c>
      <c r="AJ41" s="2">
        <v>117040</v>
      </c>
      <c r="AK41" s="2">
        <v>190190</v>
      </c>
      <c r="AL41" s="2">
        <v>150480</v>
      </c>
      <c r="AM41" s="2">
        <v>125400</v>
      </c>
      <c r="AN41" s="2">
        <v>123310</v>
      </c>
      <c r="AO41" s="2">
        <v>89870</v>
      </c>
      <c r="AP41" s="2">
        <v>121220</v>
      </c>
      <c r="AQ41" s="2">
        <v>127490</v>
      </c>
      <c r="AR41" s="2">
        <v>158840</v>
      </c>
      <c r="BE41" s="2"/>
      <c r="BF41" s="2"/>
      <c r="BG41" s="2"/>
      <c r="BH41" s="2"/>
      <c r="BI41" s="2"/>
      <c r="BJ41" s="2"/>
      <c r="BK41" s="2"/>
      <c r="BL41" s="2"/>
      <c r="BM41" s="2">
        <v>50750</v>
      </c>
      <c r="BN41" s="2">
        <v>23420</v>
      </c>
      <c r="BO41" s="2">
        <v>30280</v>
      </c>
      <c r="BP41" s="2">
        <v>29300</v>
      </c>
      <c r="BQ41" s="2">
        <v>149240</v>
      </c>
      <c r="BR41" s="2">
        <v>154060</v>
      </c>
      <c r="BS41" s="2">
        <v>191190</v>
      </c>
      <c r="BT41" s="2">
        <v>301260</v>
      </c>
      <c r="BU41" s="2">
        <v>221230</v>
      </c>
      <c r="BV41" s="2"/>
      <c r="BW41" s="2"/>
      <c r="BX41" s="2"/>
      <c r="BY41" s="2"/>
      <c r="BZ41" s="2"/>
      <c r="CA41" s="2"/>
      <c r="CB41" s="2"/>
      <c r="CC41" s="2"/>
      <c r="CD41" s="2">
        <v>140850</v>
      </c>
      <c r="CE41" s="2">
        <v>162080</v>
      </c>
      <c r="CF41" s="2">
        <v>180560</v>
      </c>
      <c r="CG41" s="2">
        <v>364160</v>
      </c>
      <c r="CH41" s="2">
        <v>362760</v>
      </c>
      <c r="CI41" s="2"/>
      <c r="CJ41" s="2">
        <v>239630</v>
      </c>
      <c r="CK41" s="2">
        <v>250640</v>
      </c>
      <c r="CL41" s="2">
        <v>85600</v>
      </c>
      <c r="CM41" s="2">
        <v>250900</v>
      </c>
      <c r="CN41" s="2">
        <v>77200</v>
      </c>
      <c r="CO41" s="2">
        <v>113300</v>
      </c>
      <c r="CP41" s="2">
        <v>28.47</v>
      </c>
      <c r="CQ41" s="2">
        <v>90.36</v>
      </c>
      <c r="CR41" s="2">
        <v>53.52</v>
      </c>
      <c r="CS41" s="2">
        <v>19.170000000000002</v>
      </c>
      <c r="CT41" s="2">
        <v>12.09</v>
      </c>
      <c r="CU41" s="2">
        <v>9.61</v>
      </c>
      <c r="CV41" s="2">
        <v>34.67</v>
      </c>
      <c r="CW41" s="2">
        <v>39.61</v>
      </c>
      <c r="CX41" s="2">
        <v>64.31</v>
      </c>
      <c r="CY41" s="2">
        <v>11.28</v>
      </c>
      <c r="CZ41" s="2">
        <v>15.98</v>
      </c>
      <c r="DA41" s="2">
        <v>34.65</v>
      </c>
      <c r="DB41" s="2">
        <v>103.33</v>
      </c>
      <c r="DC41" s="2">
        <v>244</v>
      </c>
      <c r="DD41" s="2">
        <v>341</v>
      </c>
      <c r="DE41" s="2">
        <v>217</v>
      </c>
      <c r="DF41" s="2">
        <v>143</v>
      </c>
      <c r="DG41" s="2"/>
      <c r="DH41" s="2">
        <v>423000</v>
      </c>
      <c r="DI41" s="2">
        <v>784300</v>
      </c>
      <c r="DJ41" s="2">
        <v>447800</v>
      </c>
      <c r="DK41" s="2">
        <v>91700</v>
      </c>
      <c r="DL41" s="2">
        <v>118500</v>
      </c>
      <c r="DM41" s="2">
        <v>89000</v>
      </c>
      <c r="DN41" s="2">
        <v>153700</v>
      </c>
      <c r="DO41" s="2">
        <v>127500</v>
      </c>
      <c r="DP41" s="2">
        <v>205200</v>
      </c>
      <c r="DQ41" s="2">
        <v>138500</v>
      </c>
      <c r="DR41" s="2">
        <v>125.35</v>
      </c>
      <c r="DS41" s="2">
        <v>132.03</v>
      </c>
      <c r="DT41" s="2">
        <v>147.75</v>
      </c>
      <c r="DU41" s="2">
        <v>135.29</v>
      </c>
      <c r="DV41" s="2">
        <v>346.17</v>
      </c>
      <c r="DW41" s="2">
        <v>412.62</v>
      </c>
      <c r="DX41" s="2">
        <v>409.22</v>
      </c>
      <c r="DY41" s="2">
        <v>125.81</v>
      </c>
      <c r="DZ41" s="2">
        <v>141.38</v>
      </c>
      <c r="EA41" s="2">
        <v>179.15</v>
      </c>
      <c r="EB41" s="2">
        <v>147.99</v>
      </c>
      <c r="EC41" s="2">
        <v>146.68</v>
      </c>
      <c r="ED41" s="2">
        <v>285.95</v>
      </c>
      <c r="EE41" s="2">
        <v>227.21</v>
      </c>
      <c r="EF41" s="2">
        <v>134.15</v>
      </c>
      <c r="EG41" s="2">
        <v>148100</v>
      </c>
      <c r="EH41" s="2">
        <v>157700</v>
      </c>
      <c r="EI41" s="2"/>
      <c r="EJ41" s="2"/>
      <c r="EK41" s="2"/>
      <c r="EL41" s="2"/>
      <c r="EM41" s="2"/>
      <c r="EN41" s="2">
        <v>115006</v>
      </c>
      <c r="EO41" s="2">
        <v>170082</v>
      </c>
      <c r="EP41" s="2">
        <v>1162.94</v>
      </c>
      <c r="EQ41" s="2">
        <v>1974.01</v>
      </c>
      <c r="ER41" s="2">
        <v>1636.61</v>
      </c>
      <c r="ES41" s="2">
        <v>1271.3900000000001</v>
      </c>
      <c r="ET41" s="2">
        <v>1286.47</v>
      </c>
      <c r="EU41" s="2">
        <v>123173.3</v>
      </c>
      <c r="EV41" s="2">
        <v>121700.7</v>
      </c>
      <c r="EW41" s="2">
        <v>125917.4</v>
      </c>
      <c r="EX41" s="2">
        <v>123095</v>
      </c>
      <c r="EY41" s="2">
        <v>127871</v>
      </c>
      <c r="EZ41" s="2">
        <v>126128.4</v>
      </c>
      <c r="FA41" s="2">
        <v>113392.4</v>
      </c>
      <c r="FB41" s="2">
        <v>124775.6</v>
      </c>
      <c r="FC41" s="2">
        <v>191053.1</v>
      </c>
      <c r="FD41" s="2">
        <v>89743.2</v>
      </c>
      <c r="FE41" s="2">
        <v>143919.29999999999</v>
      </c>
      <c r="FF41" s="2">
        <v>142399.29999999999</v>
      </c>
      <c r="FG41" s="2">
        <v>124499.7</v>
      </c>
      <c r="FH41" s="2">
        <v>125154.1</v>
      </c>
      <c r="FI41" s="2">
        <v>159549.79999999999</v>
      </c>
      <c r="FJ41" s="2">
        <v>126128.4</v>
      </c>
      <c r="FK41" s="2">
        <v>113392.4</v>
      </c>
      <c r="FL41" s="2">
        <v>124775.6</v>
      </c>
      <c r="FM41" s="2">
        <v>191053.1</v>
      </c>
      <c r="FN41" s="2">
        <v>89743.2</v>
      </c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</row>
    <row r="42" spans="1:194" ht="14.4" x14ac:dyDescent="0.25">
      <c r="A42" s="2">
        <v>41</v>
      </c>
      <c r="B42" s="2" t="s">
        <v>620</v>
      </c>
      <c r="C42" s="2" t="s">
        <v>2230</v>
      </c>
      <c r="D42" s="14" t="s">
        <v>2162</v>
      </c>
      <c r="E42" s="2" t="s">
        <v>2163</v>
      </c>
      <c r="H42"/>
      <c r="J42" s="2"/>
      <c r="K42" s="2"/>
      <c r="L42" s="2"/>
      <c r="M42" s="2"/>
      <c r="N42" s="2"/>
      <c r="O42" s="2"/>
      <c r="P42" s="2"/>
      <c r="Q42" s="2">
        <v>1923.75</v>
      </c>
      <c r="R42" s="2">
        <v>2412.5</v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BA42">
        <v>13646.710000000001</v>
      </c>
      <c r="BB42">
        <v>16894.570000000003</v>
      </c>
      <c r="BC42">
        <v>81403.7</v>
      </c>
      <c r="BD42">
        <v>134348.48000000001</v>
      </c>
      <c r="BE42" s="2"/>
      <c r="BF42" s="2"/>
      <c r="BG42" s="2"/>
      <c r="BH42" s="2"/>
      <c r="BI42" s="2"/>
      <c r="BJ42" s="2"/>
      <c r="BK42" s="2"/>
      <c r="BL42" s="2"/>
      <c r="BM42" s="2">
        <v>200</v>
      </c>
      <c r="BN42" s="2">
        <v>260</v>
      </c>
      <c r="BO42" s="2">
        <v>420</v>
      </c>
      <c r="BP42" s="2">
        <v>180</v>
      </c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>
        <v>2130</v>
      </c>
      <c r="CE42" s="2"/>
      <c r="CF42" s="2">
        <v>1210</v>
      </c>
      <c r="CG42" s="2">
        <v>4350</v>
      </c>
      <c r="CH42" s="2">
        <v>4520</v>
      </c>
      <c r="CI42" s="2">
        <v>15180</v>
      </c>
      <c r="CJ42" s="2">
        <v>51160</v>
      </c>
      <c r="CK42" s="2">
        <v>46120</v>
      </c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>
        <v>41500</v>
      </c>
      <c r="DI42" s="2">
        <v>29900</v>
      </c>
      <c r="DJ42" s="2">
        <v>38600</v>
      </c>
      <c r="DK42" s="2">
        <v>17900</v>
      </c>
      <c r="DL42" s="2">
        <v>13500</v>
      </c>
      <c r="DM42" s="2">
        <v>29500</v>
      </c>
      <c r="DN42" s="2">
        <v>257200</v>
      </c>
      <c r="DO42" s="2">
        <v>142300</v>
      </c>
      <c r="DP42" s="2">
        <v>39600</v>
      </c>
      <c r="DQ42" s="2">
        <v>142300</v>
      </c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>
        <v>36300</v>
      </c>
      <c r="EH42" s="2">
        <v>13400</v>
      </c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</row>
    <row r="43" spans="1:194" x14ac:dyDescent="0.25">
      <c r="A43" s="2">
        <v>42</v>
      </c>
      <c r="B43" s="2" t="s">
        <v>2483</v>
      </c>
      <c r="C43" s="2" t="s">
        <v>2185</v>
      </c>
      <c r="D43" s="12" t="s">
        <v>2222</v>
      </c>
      <c r="E43" s="2" t="s">
        <v>2213</v>
      </c>
      <c r="H43"/>
      <c r="J43" s="2"/>
      <c r="K43" s="2"/>
      <c r="L43" s="2">
        <v>0.5</v>
      </c>
      <c r="M43" s="2"/>
      <c r="N43" s="2">
        <v>0.13</v>
      </c>
      <c r="O43" s="2"/>
      <c r="P43" s="2"/>
      <c r="Q43" s="2">
        <v>342.5</v>
      </c>
      <c r="R43" s="2">
        <v>437.5</v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>
        <v>48050</v>
      </c>
      <c r="BU43" s="2">
        <v>88150</v>
      </c>
      <c r="BV43" s="2"/>
      <c r="BW43" s="2"/>
      <c r="BX43" s="2"/>
      <c r="BY43" s="2"/>
      <c r="BZ43" s="2"/>
      <c r="CA43" s="2">
        <v>1677.37</v>
      </c>
      <c r="CB43" s="2"/>
      <c r="CC43" s="2">
        <v>2312.46</v>
      </c>
      <c r="CD43" s="2">
        <v>1020</v>
      </c>
      <c r="CE43" s="2">
        <v>610</v>
      </c>
      <c r="CF43" s="2">
        <v>1070</v>
      </c>
      <c r="CG43" s="2">
        <v>1250</v>
      </c>
      <c r="CH43" s="2">
        <v>1120</v>
      </c>
      <c r="CI43" s="2"/>
      <c r="CJ43" s="2"/>
      <c r="CK43" s="2"/>
      <c r="CL43" s="2">
        <v>99000</v>
      </c>
      <c r="CM43" s="2">
        <v>112300</v>
      </c>
      <c r="CN43" s="2"/>
      <c r="CO43" s="2">
        <v>11100</v>
      </c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>
        <v>0.442</v>
      </c>
      <c r="DB43" s="2">
        <v>0.38600000000000001</v>
      </c>
      <c r="DC43" s="2"/>
      <c r="DD43" s="2"/>
      <c r="DE43" s="2">
        <v>7.0000000000000009</v>
      </c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>
        <v>690.68</v>
      </c>
      <c r="DW43" s="2">
        <v>678.33</v>
      </c>
      <c r="DX43" s="2">
        <v>708.29</v>
      </c>
      <c r="DY43" s="2">
        <v>656.44</v>
      </c>
      <c r="DZ43" s="2">
        <v>696.25</v>
      </c>
      <c r="EA43" s="2">
        <v>725.89</v>
      </c>
      <c r="EB43" s="2">
        <v>758.45</v>
      </c>
      <c r="EC43" s="2">
        <v>690.68</v>
      </c>
      <c r="ED43" s="2">
        <v>678.33</v>
      </c>
      <c r="EE43" s="2">
        <v>708.29</v>
      </c>
      <c r="EF43" s="2">
        <v>649.61</v>
      </c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>
        <v>0.1</v>
      </c>
      <c r="EX43" s="2"/>
      <c r="EY43" s="2"/>
      <c r="EZ43" s="2">
        <v>0.5</v>
      </c>
      <c r="FA43" s="2">
        <v>0.4</v>
      </c>
      <c r="FB43" s="2">
        <v>0.4</v>
      </c>
      <c r="FC43" s="2">
        <v>0.4</v>
      </c>
      <c r="FD43" s="2">
        <v>0.4</v>
      </c>
      <c r="FE43" s="2">
        <v>0.5</v>
      </c>
      <c r="FF43" s="2">
        <v>0.4</v>
      </c>
      <c r="FG43" s="2">
        <v>0.4</v>
      </c>
      <c r="FH43" s="2">
        <v>0.4</v>
      </c>
      <c r="FI43" s="2">
        <v>0.4</v>
      </c>
      <c r="FJ43" s="2">
        <v>0.5</v>
      </c>
      <c r="FK43" s="2">
        <v>0.4</v>
      </c>
      <c r="FL43" s="2">
        <v>0.4</v>
      </c>
      <c r="FM43" s="2">
        <v>0.4</v>
      </c>
      <c r="FN43" s="2">
        <v>0.4</v>
      </c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</row>
    <row r="44" spans="1:194" x14ac:dyDescent="0.25">
      <c r="A44" s="2">
        <v>43</v>
      </c>
      <c r="B44" s="16" t="s">
        <v>2011</v>
      </c>
      <c r="C44" s="2" t="s">
        <v>2151</v>
      </c>
      <c r="D44" s="12" t="s">
        <v>2223</v>
      </c>
      <c r="E44" s="1" t="s">
        <v>2057</v>
      </c>
      <c r="F44" s="2"/>
      <c r="G44" s="2"/>
      <c r="H44">
        <v>187</v>
      </c>
      <c r="I44">
        <v>26</v>
      </c>
      <c r="J44" s="2"/>
      <c r="K44" s="2"/>
      <c r="L44" s="2"/>
      <c r="M44" s="2"/>
      <c r="N44" s="2">
        <v>0.28000000000000003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>
        <v>321.12</v>
      </c>
      <c r="AG44" s="2">
        <v>451.44</v>
      </c>
      <c r="AH44" s="2">
        <v>504.35999999999996</v>
      </c>
      <c r="AI44" s="2">
        <v>66.959999999999994</v>
      </c>
      <c r="AJ44" s="2">
        <v>59.76</v>
      </c>
      <c r="AK44" s="2">
        <v>124.92</v>
      </c>
      <c r="AL44" s="2"/>
      <c r="AM44" s="2">
        <v>132.47999999999999</v>
      </c>
      <c r="AN44" s="2"/>
      <c r="AO44" s="2">
        <v>15.479999999999999</v>
      </c>
      <c r="AP44" s="2"/>
      <c r="AQ44" s="2">
        <v>73.8</v>
      </c>
      <c r="AR44" s="2">
        <v>73.44</v>
      </c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>
        <v>67.87</v>
      </c>
      <c r="CB44" s="2">
        <v>112.26</v>
      </c>
      <c r="CC44" s="2">
        <v>97.87</v>
      </c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>
        <v>28.999999999999996</v>
      </c>
      <c r="DD44" s="2">
        <v>25</v>
      </c>
      <c r="DE44" s="2">
        <v>24</v>
      </c>
      <c r="DF44" s="2">
        <v>25</v>
      </c>
      <c r="DG44" s="2">
        <v>18</v>
      </c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>
        <v>1423.56</v>
      </c>
      <c r="DS44" s="2">
        <v>1339.87</v>
      </c>
      <c r="DT44" s="2">
        <v>1060.51</v>
      </c>
      <c r="DU44" s="2">
        <v>1035.1300000000001</v>
      </c>
      <c r="DV44" s="2">
        <v>2055.29</v>
      </c>
      <c r="DW44" s="2">
        <v>1698.84</v>
      </c>
      <c r="DX44" s="2">
        <v>1635.57</v>
      </c>
      <c r="DY44" s="2">
        <v>1343</v>
      </c>
      <c r="DZ44" s="2">
        <v>1525.2</v>
      </c>
      <c r="EA44" s="2">
        <v>2533.63</v>
      </c>
      <c r="EB44" s="2">
        <v>3292.75</v>
      </c>
      <c r="EC44" s="2">
        <v>2372.7199999999998</v>
      </c>
      <c r="ED44" s="2">
        <v>4201.4399999999996</v>
      </c>
      <c r="EE44" s="2">
        <v>1777.63</v>
      </c>
      <c r="EF44" s="2">
        <v>2623.03</v>
      </c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>
        <v>216.3</v>
      </c>
      <c r="EV44" s="2">
        <v>211.6</v>
      </c>
      <c r="EW44" s="2">
        <v>203.6</v>
      </c>
      <c r="EX44" s="2">
        <v>193.2</v>
      </c>
      <c r="EY44" s="2">
        <v>73.7</v>
      </c>
      <c r="EZ44" s="2">
        <v>181.7</v>
      </c>
      <c r="FA44" s="2">
        <v>67</v>
      </c>
      <c r="FB44" s="2">
        <v>132.4</v>
      </c>
      <c r="FC44" s="2">
        <v>124.9</v>
      </c>
      <c r="FD44" s="2">
        <v>15.3</v>
      </c>
      <c r="FE44" s="2">
        <v>181.7</v>
      </c>
      <c r="FF44" s="2">
        <v>67</v>
      </c>
      <c r="FG44" s="2">
        <v>132.4</v>
      </c>
      <c r="FH44" s="2">
        <v>124.9</v>
      </c>
      <c r="FI44" s="2">
        <v>15.3</v>
      </c>
      <c r="FJ44" s="2">
        <v>181.7</v>
      </c>
      <c r="FK44" s="2">
        <v>67</v>
      </c>
      <c r="FL44" s="2">
        <v>132.4</v>
      </c>
      <c r="FM44" s="2">
        <v>124.9</v>
      </c>
      <c r="FN44" s="2">
        <v>15.3</v>
      </c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</row>
    <row r="45" spans="1:194" x14ac:dyDescent="0.25">
      <c r="A45" s="2">
        <v>44</v>
      </c>
      <c r="B45" s="2" t="s">
        <v>2484</v>
      </c>
      <c r="C45" s="2" t="s">
        <v>1995</v>
      </c>
      <c r="D45" s="14" t="s">
        <v>2038</v>
      </c>
      <c r="E45" s="1" t="s">
        <v>2063</v>
      </c>
      <c r="F45" s="1"/>
      <c r="G45" s="1"/>
      <c r="H45"/>
      <c r="J45" s="2"/>
      <c r="K45" s="2"/>
      <c r="L45" s="2"/>
      <c r="M45" s="2"/>
      <c r="N45" s="2"/>
      <c r="O45" s="2">
        <v>139</v>
      </c>
      <c r="P45" s="2">
        <v>136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>
        <v>26300</v>
      </c>
      <c r="CF45" s="2">
        <v>39780</v>
      </c>
      <c r="CG45" s="2">
        <v>40320</v>
      </c>
      <c r="CH45" s="2">
        <v>46760</v>
      </c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</row>
    <row r="46" spans="1:194" x14ac:dyDescent="0.25">
      <c r="A46" s="2">
        <v>45</v>
      </c>
      <c r="B46" s="2" t="s">
        <v>1232</v>
      </c>
      <c r="C46" s="2" t="s">
        <v>2001</v>
      </c>
      <c r="D46" s="14" t="s">
        <v>2045</v>
      </c>
      <c r="E46" s="1" t="s">
        <v>2069</v>
      </c>
      <c r="F46" s="1"/>
      <c r="G46" s="1"/>
      <c r="H46"/>
      <c r="J46" s="2"/>
      <c r="K46" s="2"/>
      <c r="L46" s="2">
        <v>0.81</v>
      </c>
      <c r="M46" s="2"/>
      <c r="N46" s="2">
        <v>0.49</v>
      </c>
      <c r="O46" s="2">
        <v>940</v>
      </c>
      <c r="P46" s="2">
        <v>1121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>
        <v>791</v>
      </c>
      <c r="AT46">
        <v>448</v>
      </c>
      <c r="AU46">
        <v>633</v>
      </c>
      <c r="AV46">
        <v>1170</v>
      </c>
      <c r="AW46">
        <v>1790</v>
      </c>
      <c r="AX46">
        <v>2990</v>
      </c>
      <c r="AY46">
        <v>3510</v>
      </c>
      <c r="AZ46">
        <v>4140</v>
      </c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>
        <v>3470</v>
      </c>
      <c r="BR46" s="2">
        <v>1370</v>
      </c>
      <c r="BS46" s="2">
        <v>1240</v>
      </c>
      <c r="BT46" s="2"/>
      <c r="BU46" s="2"/>
      <c r="BV46" s="2">
        <v>130</v>
      </c>
      <c r="BW46" s="2"/>
      <c r="BX46" s="2"/>
      <c r="BY46" s="2">
        <v>60</v>
      </c>
      <c r="BZ46" s="2"/>
      <c r="CA46" s="2"/>
      <c r="CB46" s="2"/>
      <c r="CC46" s="2"/>
      <c r="CD46" s="2">
        <v>12920</v>
      </c>
      <c r="CE46" s="2">
        <v>10980</v>
      </c>
      <c r="CF46" s="2">
        <v>14400</v>
      </c>
      <c r="CG46" s="2">
        <v>15390</v>
      </c>
      <c r="CH46" s="2">
        <v>14840</v>
      </c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>
        <v>18.22</v>
      </c>
      <c r="CW46" s="2"/>
      <c r="CX46" s="2">
        <v>22.96</v>
      </c>
      <c r="CY46" s="2">
        <v>143.72</v>
      </c>
      <c r="CZ46" s="2">
        <v>501.32</v>
      </c>
      <c r="DA46" s="2">
        <v>1158.1199999999999</v>
      </c>
      <c r="DB46" s="2">
        <v>96.91</v>
      </c>
      <c r="DC46" s="2"/>
      <c r="DD46" s="2"/>
      <c r="DE46" s="2"/>
      <c r="DF46" s="2"/>
      <c r="DG46" s="2">
        <v>20</v>
      </c>
      <c r="DH46" s="2">
        <v>27800</v>
      </c>
      <c r="DI46" s="2">
        <v>40100</v>
      </c>
      <c r="DJ46" s="2">
        <v>32800</v>
      </c>
      <c r="DK46" s="2">
        <v>15300</v>
      </c>
      <c r="DL46" s="2">
        <v>8700</v>
      </c>
      <c r="DM46" s="2">
        <v>25500</v>
      </c>
      <c r="DN46" s="2">
        <v>2000</v>
      </c>
      <c r="DO46" s="2">
        <v>35400</v>
      </c>
      <c r="DP46" s="2">
        <v>18200</v>
      </c>
      <c r="DQ46" s="2">
        <v>35400</v>
      </c>
      <c r="DR46" s="2">
        <v>28.6</v>
      </c>
      <c r="DS46" s="2">
        <v>21.29</v>
      </c>
      <c r="DT46" s="2">
        <v>7.64</v>
      </c>
      <c r="DU46" s="2">
        <v>7.64</v>
      </c>
      <c r="DV46" s="2">
        <v>61.22</v>
      </c>
      <c r="DW46" s="2">
        <v>28.28</v>
      </c>
      <c r="DX46" s="2">
        <v>21.34</v>
      </c>
      <c r="DY46" s="2">
        <v>23.44</v>
      </c>
      <c r="DZ46" s="2">
        <v>36.85</v>
      </c>
      <c r="EA46" s="2">
        <v>290.95999999999998</v>
      </c>
      <c r="EB46" s="2">
        <v>37.99</v>
      </c>
      <c r="EC46" s="2">
        <v>61.22</v>
      </c>
      <c r="ED46" s="2">
        <v>28.28</v>
      </c>
      <c r="EE46" s="2">
        <v>21.34</v>
      </c>
      <c r="EF46" s="2">
        <v>23.44</v>
      </c>
      <c r="EG46" s="2"/>
      <c r="EH46" s="2"/>
      <c r="EI46" s="2"/>
      <c r="EJ46" s="2">
        <v>9310</v>
      </c>
      <c r="EK46" s="2">
        <v>24310</v>
      </c>
      <c r="EL46" s="2">
        <v>32479.999999999996</v>
      </c>
      <c r="EM46" s="2">
        <v>23700</v>
      </c>
      <c r="EN46" s="2"/>
      <c r="EO46" s="2"/>
      <c r="EP46" s="2"/>
      <c r="EQ46" s="2"/>
      <c r="ER46" s="2"/>
      <c r="ES46" s="2"/>
      <c r="ET46" s="2"/>
      <c r="EU46" s="2">
        <v>36.200000000000003</v>
      </c>
      <c r="EV46" s="2">
        <v>47.5</v>
      </c>
      <c r="EW46" s="2">
        <v>85.2</v>
      </c>
      <c r="EX46" s="2">
        <v>117.2</v>
      </c>
      <c r="EY46" s="2">
        <v>18.7</v>
      </c>
      <c r="EZ46" s="2">
        <v>68.2</v>
      </c>
      <c r="FA46" s="2">
        <v>132.69999999999999</v>
      </c>
      <c r="FB46" s="2">
        <v>62.9</v>
      </c>
      <c r="FC46" s="2">
        <v>121.8</v>
      </c>
      <c r="FD46" s="2"/>
      <c r="FE46" s="2"/>
      <c r="FF46" s="2"/>
      <c r="FG46" s="2"/>
      <c r="FH46" s="2"/>
      <c r="FI46" s="2"/>
      <c r="FJ46" s="2">
        <v>12.8</v>
      </c>
      <c r="FK46" s="2">
        <v>20.7</v>
      </c>
      <c r="FL46" s="2">
        <v>3.3</v>
      </c>
      <c r="FM46" s="2">
        <v>5</v>
      </c>
      <c r="FN46" s="2">
        <v>2.8</v>
      </c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</row>
    <row r="47" spans="1:194" x14ac:dyDescent="0.25">
      <c r="A47" s="2">
        <v>46</v>
      </c>
      <c r="B47" s="2" t="s">
        <v>2012</v>
      </c>
      <c r="C47" s="2" t="s">
        <v>2005</v>
      </c>
      <c r="D47" s="14" t="s">
        <v>2182</v>
      </c>
      <c r="E47" s="2" t="s">
        <v>2073</v>
      </c>
      <c r="F47" s="1"/>
      <c r="G47" s="1"/>
      <c r="H47"/>
      <c r="J47" s="2"/>
      <c r="K47" s="2"/>
      <c r="L47" s="2"/>
      <c r="M47" s="2"/>
      <c r="N47" s="2"/>
      <c r="O47" s="2">
        <v>524</v>
      </c>
      <c r="P47" s="2">
        <v>526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U47">
        <v>125</v>
      </c>
      <c r="AV47">
        <v>200</v>
      </c>
      <c r="AW47">
        <v>215</v>
      </c>
      <c r="AX47">
        <v>279</v>
      </c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>
        <v>810</v>
      </c>
      <c r="BR47" s="2">
        <v>460</v>
      </c>
      <c r="BS47" s="2">
        <v>350</v>
      </c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>
        <v>1523</v>
      </c>
      <c r="DB47" s="2">
        <v>219.72</v>
      </c>
      <c r="DC47" s="2"/>
      <c r="DD47" s="2"/>
      <c r="DE47" s="2">
        <v>10</v>
      </c>
      <c r="DF47" s="2"/>
      <c r="DG47" s="2">
        <v>30</v>
      </c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>
        <v>31.12</v>
      </c>
      <c r="DS47" s="2">
        <v>51.2</v>
      </c>
      <c r="DT47" s="2">
        <v>20.54</v>
      </c>
      <c r="DU47" s="2">
        <v>11.26</v>
      </c>
      <c r="DV47" s="2">
        <v>259.52</v>
      </c>
      <c r="DW47" s="2">
        <v>126.81</v>
      </c>
      <c r="DX47" s="2">
        <v>94.92</v>
      </c>
      <c r="DY47" s="2">
        <v>57.77</v>
      </c>
      <c r="DZ47" s="2">
        <v>115.21</v>
      </c>
      <c r="EA47" s="2">
        <v>994.41</v>
      </c>
      <c r="EB47" s="2">
        <v>197.85</v>
      </c>
      <c r="EC47" s="2">
        <v>259.52</v>
      </c>
      <c r="ED47" s="2">
        <v>126.81</v>
      </c>
      <c r="EE47" s="2">
        <v>94.92</v>
      </c>
      <c r="EF47" s="2">
        <v>57.77</v>
      </c>
      <c r="EG47" s="2"/>
      <c r="EH47" s="2"/>
      <c r="EI47" s="2"/>
      <c r="EJ47" s="2"/>
      <c r="EK47" s="2">
        <v>3500</v>
      </c>
      <c r="EL47" s="2">
        <v>23900</v>
      </c>
      <c r="EM47" s="2"/>
      <c r="EN47" s="2"/>
      <c r="EO47" s="2"/>
      <c r="EP47" s="2"/>
      <c r="EQ47" s="2"/>
      <c r="ER47" s="2"/>
      <c r="ES47" s="2"/>
      <c r="ET47" s="2"/>
      <c r="EU47" s="2"/>
      <c r="EV47" s="2">
        <v>54.1</v>
      </c>
      <c r="EW47" s="2"/>
      <c r="EX47" s="2"/>
      <c r="EY47" s="2"/>
      <c r="EZ47" s="2">
        <v>50.3</v>
      </c>
      <c r="FA47" s="2">
        <v>22</v>
      </c>
      <c r="FB47" s="2"/>
      <c r="FC47" s="2">
        <v>14.9</v>
      </c>
      <c r="FD47" s="2"/>
      <c r="FE47" s="2"/>
      <c r="FF47" s="2"/>
      <c r="FG47" s="2"/>
      <c r="FH47" s="2"/>
      <c r="FI47" s="2"/>
      <c r="FJ47" s="2"/>
      <c r="FK47" s="2">
        <v>245.7</v>
      </c>
      <c r="FL47" s="2"/>
      <c r="FM47" s="2"/>
      <c r="FN47" s="2">
        <v>163.5</v>
      </c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</row>
    <row r="48" spans="1:194" x14ac:dyDescent="0.25">
      <c r="A48" s="2">
        <v>47</v>
      </c>
      <c r="B48" s="2" t="s">
        <v>2013</v>
      </c>
      <c r="C48" s="2" t="s">
        <v>2202</v>
      </c>
      <c r="D48" s="14" t="s">
        <v>2048</v>
      </c>
      <c r="E48" s="2" t="s">
        <v>2074</v>
      </c>
      <c r="F48" s="1"/>
      <c r="G48" s="1"/>
      <c r="H48">
        <v>129</v>
      </c>
      <c r="I48">
        <v>59</v>
      </c>
      <c r="J48" s="2"/>
      <c r="K48" s="2">
        <v>0.16</v>
      </c>
      <c r="L48" s="2"/>
      <c r="M48" s="2"/>
      <c r="N48" s="2"/>
      <c r="O48" s="2">
        <v>579</v>
      </c>
      <c r="P48" s="2">
        <v>579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>
        <v>17.41</v>
      </c>
      <c r="DW48" s="2"/>
      <c r="DX48" s="2"/>
      <c r="DY48" s="2"/>
      <c r="DZ48" s="2"/>
      <c r="EA48" s="2">
        <v>124.62</v>
      </c>
      <c r="EB48" s="2"/>
      <c r="EC48" s="2"/>
      <c r="ED48" s="2">
        <v>43.05</v>
      </c>
      <c r="EE48" s="2">
        <v>24.02</v>
      </c>
      <c r="EF48" s="2">
        <v>52.01</v>
      </c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>
        <v>145.69999999999999</v>
      </c>
      <c r="EV48" s="2">
        <v>181.3</v>
      </c>
      <c r="EW48" s="2">
        <v>108.8</v>
      </c>
      <c r="EX48" s="2">
        <v>150.6</v>
      </c>
      <c r="EY48" s="2">
        <v>166.2</v>
      </c>
      <c r="EZ48" s="2">
        <v>191.6</v>
      </c>
      <c r="FA48" s="2">
        <v>191.6</v>
      </c>
      <c r="FB48" s="2">
        <v>97.9</v>
      </c>
      <c r="FC48" s="2">
        <v>158.9</v>
      </c>
      <c r="FD48" s="2">
        <v>94.6</v>
      </c>
      <c r="FE48" s="2">
        <v>39.299999999999997</v>
      </c>
      <c r="FF48" s="2">
        <v>28.4</v>
      </c>
      <c r="FG48" s="2">
        <v>93.7</v>
      </c>
      <c r="FH48" s="2">
        <v>43.5</v>
      </c>
      <c r="FI48" s="2">
        <v>68.7</v>
      </c>
      <c r="FJ48" s="2">
        <v>62.4</v>
      </c>
      <c r="FK48" s="2">
        <v>20</v>
      </c>
      <c r="FL48" s="2"/>
      <c r="FM48" s="2"/>
      <c r="FN48" s="2">
        <v>18.2</v>
      </c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</row>
    <row r="49" spans="1:194" x14ac:dyDescent="0.25">
      <c r="A49" s="2">
        <v>48</v>
      </c>
      <c r="B49" s="2" t="s">
        <v>1213</v>
      </c>
      <c r="C49" s="2" t="s">
        <v>2006</v>
      </c>
      <c r="D49" s="14" t="s">
        <v>2049</v>
      </c>
      <c r="E49" s="2" t="s">
        <v>2075</v>
      </c>
      <c r="F49" s="1"/>
      <c r="G49" s="1"/>
      <c r="H49"/>
      <c r="J49" s="2"/>
      <c r="K49" s="2"/>
      <c r="L49" s="2"/>
      <c r="M49" s="2"/>
      <c r="N49" s="2"/>
      <c r="O49" s="2">
        <v>130</v>
      </c>
      <c r="P49" s="2">
        <v>13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>
        <v>6740</v>
      </c>
      <c r="AT49">
        <v>4230</v>
      </c>
      <c r="AU49">
        <v>5510</v>
      </c>
      <c r="AV49">
        <v>7660</v>
      </c>
      <c r="AW49">
        <v>9890</v>
      </c>
      <c r="AX49">
        <v>17100</v>
      </c>
      <c r="AY49">
        <v>16700</v>
      </c>
      <c r="AZ49">
        <v>21400</v>
      </c>
      <c r="BA49">
        <v>4500</v>
      </c>
      <c r="BB49">
        <v>6480</v>
      </c>
      <c r="BC49">
        <v>12180</v>
      </c>
      <c r="BD49">
        <v>9800</v>
      </c>
      <c r="BE49" s="2">
        <v>9040</v>
      </c>
      <c r="BF49" s="2">
        <v>3200</v>
      </c>
      <c r="BG49" s="2">
        <v>1740</v>
      </c>
      <c r="BH49" s="2">
        <v>1920</v>
      </c>
      <c r="BI49" s="2">
        <v>1540</v>
      </c>
      <c r="BJ49" s="2">
        <v>1720</v>
      </c>
      <c r="BK49" s="2">
        <v>2460</v>
      </c>
      <c r="BL49" s="2">
        <v>1380</v>
      </c>
      <c r="BM49" s="2">
        <v>20</v>
      </c>
      <c r="BN49" s="2">
        <v>30</v>
      </c>
      <c r="BO49" s="2">
        <v>10</v>
      </c>
      <c r="BP49" s="2">
        <v>30</v>
      </c>
      <c r="BQ49" s="2"/>
      <c r="BR49" s="2"/>
      <c r="BS49" s="2"/>
      <c r="BT49" s="2">
        <v>62800</v>
      </c>
      <c r="BU49" s="2">
        <v>49400</v>
      </c>
      <c r="BV49" s="2"/>
      <c r="BW49" s="2"/>
      <c r="BX49" s="2"/>
      <c r="BY49" s="2"/>
      <c r="BZ49" s="2"/>
      <c r="CA49" s="2">
        <v>3158.46</v>
      </c>
      <c r="CB49" s="2">
        <v>657.46</v>
      </c>
      <c r="CC49" s="2">
        <v>5809.69</v>
      </c>
      <c r="CD49" s="2">
        <v>2210</v>
      </c>
      <c r="CE49" s="2">
        <v>1710</v>
      </c>
      <c r="CF49" s="2">
        <v>2320</v>
      </c>
      <c r="CG49" s="2">
        <v>4210</v>
      </c>
      <c r="CH49" s="2">
        <v>4240</v>
      </c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>
        <v>2000</v>
      </c>
      <c r="DI49" s="2">
        <v>1900</v>
      </c>
      <c r="DJ49" s="2">
        <v>1900</v>
      </c>
      <c r="DK49" s="2">
        <v>2100</v>
      </c>
      <c r="DL49" s="2">
        <v>4300</v>
      </c>
      <c r="DM49" s="2">
        <v>6200</v>
      </c>
      <c r="DN49" s="2">
        <v>5000</v>
      </c>
      <c r="DO49" s="2">
        <v>1600</v>
      </c>
      <c r="DP49" s="2">
        <v>6900</v>
      </c>
      <c r="DQ49" s="2">
        <v>1500</v>
      </c>
      <c r="DR49" s="2">
        <v>7.13</v>
      </c>
      <c r="DS49" s="2">
        <v>7.29</v>
      </c>
      <c r="DT49" s="2">
        <v>7</v>
      </c>
      <c r="DU49" s="2">
        <v>6.89</v>
      </c>
      <c r="DV49" s="2">
        <v>8.1199999999999992</v>
      </c>
      <c r="DW49" s="2">
        <v>8.68</v>
      </c>
      <c r="DX49" s="2">
        <v>7.66</v>
      </c>
      <c r="DY49" s="2">
        <v>9.25</v>
      </c>
      <c r="DZ49" s="2">
        <v>9.69</v>
      </c>
      <c r="EA49" s="2">
        <v>9.8800000000000008</v>
      </c>
      <c r="EB49" s="2">
        <v>13.02</v>
      </c>
      <c r="EC49" s="2">
        <v>22.17</v>
      </c>
      <c r="ED49" s="2">
        <v>11.37</v>
      </c>
      <c r="EE49" s="2">
        <v>11.28</v>
      </c>
      <c r="EF49" s="2">
        <v>6.49</v>
      </c>
      <c r="EG49" s="2">
        <v>8100</v>
      </c>
      <c r="EH49" s="2">
        <v>8700</v>
      </c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</row>
    <row r="50" spans="1:194" x14ac:dyDescent="0.25">
      <c r="A50" s="2">
        <v>49</v>
      </c>
      <c r="B50" s="2" t="s">
        <v>2485</v>
      </c>
      <c r="C50" s="2" t="s">
        <v>2010</v>
      </c>
      <c r="D50" s="12" t="s">
        <v>2053</v>
      </c>
      <c r="E50" s="1" t="s">
        <v>2079</v>
      </c>
      <c r="F50" s="1"/>
      <c r="G50" s="1"/>
      <c r="H50"/>
      <c r="J50" s="2">
        <v>1.31</v>
      </c>
      <c r="K50" s="2">
        <v>1.51</v>
      </c>
      <c r="L50" s="2">
        <v>0.7</v>
      </c>
      <c r="M50" s="2">
        <v>1.34</v>
      </c>
      <c r="N50" s="2">
        <v>1.58</v>
      </c>
      <c r="O50" s="2">
        <v>2533</v>
      </c>
      <c r="P50" s="2">
        <v>2505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>
        <v>5940</v>
      </c>
      <c r="AJ50" s="2">
        <v>3780</v>
      </c>
      <c r="AK50" s="2">
        <v>3060</v>
      </c>
      <c r="AL50" s="2">
        <v>1800</v>
      </c>
      <c r="AM50" s="2">
        <v>6300</v>
      </c>
      <c r="AN50" s="2">
        <v>3240</v>
      </c>
      <c r="AO50" s="2">
        <v>7200</v>
      </c>
      <c r="AP50" s="2">
        <v>1980.0000000000002</v>
      </c>
      <c r="AQ50" s="2">
        <v>7740</v>
      </c>
      <c r="AR50" s="2">
        <v>3780</v>
      </c>
      <c r="AS50">
        <v>47100</v>
      </c>
      <c r="AT50">
        <v>6420</v>
      </c>
      <c r="AU50">
        <v>4170</v>
      </c>
      <c r="AV50">
        <v>2920</v>
      </c>
      <c r="AW50">
        <v>2070</v>
      </c>
      <c r="AX50">
        <v>1390</v>
      </c>
      <c r="AY50">
        <v>625</v>
      </c>
      <c r="AZ50">
        <v>431</v>
      </c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>
        <v>107800</v>
      </c>
      <c r="BU50" s="2">
        <v>90350</v>
      </c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>
        <v>1690</v>
      </c>
      <c r="CK50" s="2"/>
      <c r="CL50" s="2"/>
      <c r="CM50" s="2"/>
      <c r="CN50" s="2"/>
      <c r="CO50" s="2"/>
      <c r="CP50" s="2">
        <v>2.4900000000000002</v>
      </c>
      <c r="CQ50" s="2">
        <v>1.865</v>
      </c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>
        <v>67</v>
      </c>
      <c r="DD50" s="2">
        <v>57.999999999999993</v>
      </c>
      <c r="DE50" s="2">
        <v>81</v>
      </c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>
        <v>3930.99</v>
      </c>
      <c r="DW50" s="2">
        <v>5983.94</v>
      </c>
      <c r="DX50" s="2">
        <v>6287.21</v>
      </c>
      <c r="DY50" s="2">
        <v>3102.28</v>
      </c>
      <c r="DZ50" s="2">
        <v>7222.92</v>
      </c>
      <c r="EA50" s="2">
        <v>3584.22</v>
      </c>
      <c r="EB50" s="2">
        <v>3514.34</v>
      </c>
      <c r="EC50" s="2">
        <v>8474.1</v>
      </c>
      <c r="ED50" s="2">
        <v>6927.46</v>
      </c>
      <c r="EE50" s="2">
        <v>4399.84</v>
      </c>
      <c r="EF50" s="2">
        <v>4046.94</v>
      </c>
      <c r="EG50" s="2"/>
      <c r="EH50" s="2"/>
      <c r="EI50" s="2"/>
      <c r="EJ50" s="2"/>
      <c r="EK50" s="2"/>
      <c r="EL50" s="2"/>
      <c r="EM50" s="2"/>
      <c r="EN50" s="2">
        <v>9.4499999999999993</v>
      </c>
      <c r="EO50" s="2">
        <v>486.19</v>
      </c>
      <c r="EP50" s="2"/>
      <c r="EQ50" s="2"/>
      <c r="ER50" s="2"/>
      <c r="ES50" s="2"/>
      <c r="ET50" s="2"/>
      <c r="EU50" s="2">
        <v>4609</v>
      </c>
      <c r="EV50" s="2">
        <v>3470.6</v>
      </c>
      <c r="EW50" s="2">
        <v>4203.6000000000004</v>
      </c>
      <c r="EX50" s="2">
        <v>5487.2</v>
      </c>
      <c r="EY50" s="2">
        <v>7707.9</v>
      </c>
      <c r="EZ50" s="2">
        <v>3931</v>
      </c>
      <c r="FA50" s="2">
        <v>5983.9</v>
      </c>
      <c r="FB50" s="2">
        <v>6287.2</v>
      </c>
      <c r="FC50" s="2">
        <v>3102.3</v>
      </c>
      <c r="FD50" s="2">
        <v>7222.9</v>
      </c>
      <c r="FE50" s="2">
        <v>2197.1999999999998</v>
      </c>
      <c r="FF50" s="2">
        <v>1893.5</v>
      </c>
      <c r="FG50" s="2">
        <v>2005.7</v>
      </c>
      <c r="FH50" s="2">
        <v>2017.6</v>
      </c>
      <c r="FI50" s="2">
        <v>3869.2</v>
      </c>
      <c r="FJ50" s="2">
        <v>3931</v>
      </c>
      <c r="FK50" s="2">
        <v>5983.9</v>
      </c>
      <c r="FL50" s="2">
        <v>6287.2</v>
      </c>
      <c r="FM50" s="2">
        <v>3102.3</v>
      </c>
      <c r="FN50" s="2">
        <v>7222.9</v>
      </c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</row>
    <row r="51" spans="1:194" x14ac:dyDescent="0.25">
      <c r="A51" s="2">
        <v>50</v>
      </c>
      <c r="B51" s="2" t="s">
        <v>2084</v>
      </c>
      <c r="C51" s="2" t="s">
        <v>2203</v>
      </c>
      <c r="D51" s="12" t="s">
        <v>2109</v>
      </c>
      <c r="E51" s="2" t="s">
        <v>2110</v>
      </c>
      <c r="F51" s="1"/>
      <c r="G51" s="1"/>
      <c r="H51" s="20">
        <v>9437</v>
      </c>
      <c r="I51" s="20">
        <v>8766</v>
      </c>
      <c r="J51" s="2"/>
      <c r="K51" s="2"/>
      <c r="L51" s="2"/>
      <c r="M51" s="2"/>
      <c r="N51" s="2"/>
      <c r="O51" s="2">
        <v>4971</v>
      </c>
      <c r="P51" s="2">
        <v>4316</v>
      </c>
      <c r="Q51" s="2">
        <v>441.81</v>
      </c>
      <c r="R51" s="2">
        <v>524.64</v>
      </c>
      <c r="S51" s="2">
        <v>423</v>
      </c>
      <c r="T51" s="2">
        <v>1629</v>
      </c>
      <c r="U51" s="2">
        <v>1263</v>
      </c>
      <c r="V51" s="2">
        <v>1996</v>
      </c>
      <c r="W51" s="2">
        <v>2609</v>
      </c>
      <c r="X51" s="2"/>
      <c r="Y51" s="2"/>
      <c r="Z51" s="2"/>
      <c r="AA51" s="2"/>
      <c r="AB51" s="2"/>
      <c r="AC51" s="2"/>
      <c r="AD51" s="2"/>
      <c r="AE51" s="2"/>
      <c r="AF51" s="2">
        <v>7532.5</v>
      </c>
      <c r="AG51" s="2">
        <v>9602.5</v>
      </c>
      <c r="AH51" s="2">
        <v>8625</v>
      </c>
      <c r="AI51" s="2">
        <v>7992.5</v>
      </c>
      <c r="AJ51" s="2">
        <v>3737.5</v>
      </c>
      <c r="AK51" s="2">
        <v>9717.5</v>
      </c>
      <c r="AL51" s="2">
        <v>4657.5</v>
      </c>
      <c r="AM51" s="2">
        <v>7532.5</v>
      </c>
      <c r="AN51" s="2">
        <v>4255</v>
      </c>
      <c r="AO51" s="2">
        <v>9027.5</v>
      </c>
      <c r="AP51" s="2">
        <v>3162.5</v>
      </c>
      <c r="AQ51" s="2">
        <v>15065</v>
      </c>
      <c r="AR51" s="2">
        <v>8222.5</v>
      </c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>
        <v>193560</v>
      </c>
      <c r="BU51" s="2">
        <v>176960</v>
      </c>
      <c r="BV51" s="2"/>
      <c r="BW51" s="2"/>
      <c r="BX51" s="2"/>
      <c r="BY51" s="2"/>
      <c r="BZ51" s="2"/>
      <c r="CA51" s="2"/>
      <c r="CB51" s="2"/>
      <c r="CC51" s="2"/>
      <c r="CD51" s="2"/>
      <c r="CE51" s="2">
        <v>6290</v>
      </c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>
        <v>5700</v>
      </c>
      <c r="DI51" s="2">
        <v>4400</v>
      </c>
      <c r="DJ51" s="2">
        <v>5600</v>
      </c>
      <c r="DK51" s="2">
        <v>3100</v>
      </c>
      <c r="DL51" s="2">
        <v>2500</v>
      </c>
      <c r="DM51" s="2">
        <v>3800</v>
      </c>
      <c r="DN51" s="2">
        <v>1100</v>
      </c>
      <c r="DO51" s="2">
        <v>2000</v>
      </c>
      <c r="DP51" s="2">
        <v>1900</v>
      </c>
      <c r="DQ51" s="2">
        <v>3100</v>
      </c>
      <c r="DR51" s="2">
        <v>26.5</v>
      </c>
      <c r="DS51" s="2">
        <v>38.409999999999997</v>
      </c>
      <c r="DT51" s="2">
        <v>27.67</v>
      </c>
      <c r="DU51" s="2">
        <v>18.68</v>
      </c>
      <c r="DV51" s="2">
        <v>153.43</v>
      </c>
      <c r="DW51" s="2">
        <v>75.290000000000006</v>
      </c>
      <c r="DX51" s="2">
        <v>32.159999999999997</v>
      </c>
      <c r="DY51" s="2">
        <v>89.01</v>
      </c>
      <c r="DZ51" s="2">
        <v>139.11000000000001</v>
      </c>
      <c r="EA51" s="2">
        <v>101.53</v>
      </c>
      <c r="EB51" s="2">
        <v>163.09</v>
      </c>
      <c r="EC51" s="2">
        <v>261.16000000000003</v>
      </c>
      <c r="ED51" s="2">
        <v>168.68</v>
      </c>
      <c r="EE51" s="2">
        <v>112.74</v>
      </c>
      <c r="EF51" s="2">
        <v>139.41</v>
      </c>
      <c r="EG51" s="2">
        <v>6300</v>
      </c>
      <c r="EH51" s="2">
        <v>2800</v>
      </c>
      <c r="EI51" s="2">
        <v>42469</v>
      </c>
      <c r="EJ51" s="2">
        <v>21326</v>
      </c>
      <c r="EK51" s="2">
        <v>33475</v>
      </c>
      <c r="EL51" s="2">
        <v>37250</v>
      </c>
      <c r="EM51" s="2">
        <v>37489</v>
      </c>
      <c r="EN51" s="2"/>
      <c r="EO51" s="2"/>
      <c r="EP51" s="2"/>
      <c r="EQ51" s="2"/>
      <c r="ER51" s="2"/>
      <c r="ES51" s="2"/>
      <c r="ET51" s="2"/>
      <c r="EU51" s="2">
        <v>12294.7</v>
      </c>
      <c r="EV51" s="2">
        <v>24164.9</v>
      </c>
      <c r="EW51" s="2">
        <v>12778.8</v>
      </c>
      <c r="EX51" s="2">
        <v>11326.3</v>
      </c>
      <c r="EY51" s="2">
        <v>15064.3</v>
      </c>
      <c r="EZ51" s="2">
        <v>13164.6</v>
      </c>
      <c r="FA51" s="2">
        <v>7994.5</v>
      </c>
      <c r="FB51" s="2">
        <v>7501.5</v>
      </c>
      <c r="FC51" s="2">
        <v>9686.2000000000007</v>
      </c>
      <c r="FD51" s="2">
        <v>9046</v>
      </c>
      <c r="FE51" s="2">
        <v>3716.2</v>
      </c>
      <c r="FF51" s="2">
        <v>5759.5</v>
      </c>
      <c r="FG51" s="2">
        <v>3856.7</v>
      </c>
      <c r="FH51" s="2">
        <v>4007.1</v>
      </c>
      <c r="FI51" s="2">
        <v>8215.2000000000007</v>
      </c>
      <c r="FJ51" s="2">
        <v>13164.6</v>
      </c>
      <c r="FK51" s="2">
        <v>7994.5</v>
      </c>
      <c r="FL51" s="2">
        <v>7501.5</v>
      </c>
      <c r="FM51" s="2">
        <v>9686.2000000000007</v>
      </c>
      <c r="FN51" s="2">
        <v>9046</v>
      </c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</row>
    <row r="52" spans="1:194" x14ac:dyDescent="0.25">
      <c r="A52" s="2">
        <v>51</v>
      </c>
      <c r="B52" s="2" t="s">
        <v>2090</v>
      </c>
      <c r="C52" s="2" t="s">
        <v>2204</v>
      </c>
      <c r="D52" s="14" t="s">
        <v>2113</v>
      </c>
      <c r="E52" s="2" t="s">
        <v>2112</v>
      </c>
      <c r="F52" s="1"/>
      <c r="G52" s="1"/>
      <c r="H52">
        <v>863</v>
      </c>
      <c r="I52">
        <v>819</v>
      </c>
      <c r="J52" s="2">
        <v>1.02</v>
      </c>
      <c r="K52" s="2">
        <v>0.78</v>
      </c>
      <c r="L52" s="2">
        <v>0.45</v>
      </c>
      <c r="M52" s="2">
        <v>1</v>
      </c>
      <c r="N52" s="2">
        <v>1.05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>
        <v>1494</v>
      </c>
      <c r="AG52" s="2">
        <v>1548</v>
      </c>
      <c r="AH52" s="2">
        <v>1692</v>
      </c>
      <c r="AI52" s="2">
        <v>1062</v>
      </c>
      <c r="AJ52" s="2">
        <v>180</v>
      </c>
      <c r="AK52" s="2">
        <v>522</v>
      </c>
      <c r="AL52" s="2">
        <v>288</v>
      </c>
      <c r="AM52" s="2">
        <v>918</v>
      </c>
      <c r="AN52" s="2">
        <v>216</v>
      </c>
      <c r="AO52" s="2">
        <v>720</v>
      </c>
      <c r="AP52" s="2">
        <v>109.8</v>
      </c>
      <c r="AQ52" s="2">
        <v>1170</v>
      </c>
      <c r="AR52" s="2">
        <v>306</v>
      </c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>
        <v>177940</v>
      </c>
      <c r="BU52" s="2">
        <v>209940</v>
      </c>
      <c r="BV52" s="2"/>
      <c r="BW52" s="2"/>
      <c r="BX52" s="2"/>
      <c r="BY52" s="2"/>
      <c r="BZ52" s="2"/>
      <c r="CA52" s="2">
        <v>7203.41</v>
      </c>
      <c r="CB52" s="2">
        <v>10447.85</v>
      </c>
      <c r="CC52" s="2"/>
      <c r="CD52" s="2">
        <v>10780</v>
      </c>
      <c r="CE52" s="2">
        <v>12620</v>
      </c>
      <c r="CF52" s="2">
        <v>2990</v>
      </c>
      <c r="CG52" s="2">
        <v>3940</v>
      </c>
      <c r="CH52" s="2">
        <v>7980</v>
      </c>
      <c r="CI52" s="2">
        <v>970</v>
      </c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>
        <v>14.000000000000002</v>
      </c>
      <c r="DD52" s="2">
        <v>12</v>
      </c>
      <c r="DE52" s="2"/>
      <c r="DF52" s="2"/>
      <c r="DG52" s="2">
        <v>21</v>
      </c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>
        <v>3565.2</v>
      </c>
      <c r="DW52" s="2">
        <v>2072.83</v>
      </c>
      <c r="DX52" s="2">
        <v>1458.56</v>
      </c>
      <c r="DY52" s="2">
        <v>3424</v>
      </c>
      <c r="DZ52" s="2">
        <v>4073.31</v>
      </c>
      <c r="EA52" s="2">
        <v>5113.07</v>
      </c>
      <c r="EB52" s="2">
        <v>4903.82</v>
      </c>
      <c r="EC52" s="2">
        <v>6039.31</v>
      </c>
      <c r="ED52" s="2">
        <v>14715.89</v>
      </c>
      <c r="EE52" s="2">
        <v>10598.19</v>
      </c>
      <c r="EF52" s="2">
        <v>13889.37</v>
      </c>
      <c r="EG52" s="2"/>
      <c r="EH52" s="2"/>
      <c r="EI52" s="2">
        <v>605</v>
      </c>
      <c r="EJ52" s="2">
        <v>258</v>
      </c>
      <c r="EK52" s="2">
        <v>336</v>
      </c>
      <c r="EL52" s="2">
        <v>340</v>
      </c>
      <c r="EM52" s="2">
        <v>931</v>
      </c>
      <c r="EN52" s="2">
        <v>498.33</v>
      </c>
      <c r="EO52" s="2">
        <v>518.24</v>
      </c>
      <c r="EP52" s="2"/>
      <c r="EQ52" s="2"/>
      <c r="ER52" s="2"/>
      <c r="ES52" s="2"/>
      <c r="ET52" s="2"/>
      <c r="EU52" s="2">
        <v>1101.0999999999999</v>
      </c>
      <c r="EV52" s="2">
        <v>1254.9000000000001</v>
      </c>
      <c r="EW52" s="2">
        <v>935.5</v>
      </c>
      <c r="EX52" s="2">
        <v>999.7</v>
      </c>
      <c r="EY52" s="2">
        <v>1161.3</v>
      </c>
      <c r="EZ52" s="2">
        <v>956.9</v>
      </c>
      <c r="FA52" s="2">
        <v>1065</v>
      </c>
      <c r="FB52" s="2">
        <v>914.3</v>
      </c>
      <c r="FC52" s="2">
        <v>518.20000000000005</v>
      </c>
      <c r="FD52" s="2">
        <v>711.6</v>
      </c>
      <c r="FE52" s="2">
        <v>192.3</v>
      </c>
      <c r="FF52" s="2">
        <v>236.9</v>
      </c>
      <c r="FG52" s="2">
        <v>178.3</v>
      </c>
      <c r="FH52" s="2">
        <v>129</v>
      </c>
      <c r="FI52" s="2">
        <v>299.89999999999998</v>
      </c>
      <c r="FJ52" s="2">
        <v>956.9</v>
      </c>
      <c r="FK52" s="2">
        <v>1065</v>
      </c>
      <c r="FL52" s="2">
        <v>914.3</v>
      </c>
      <c r="FM52" s="2">
        <v>518.20000000000005</v>
      </c>
      <c r="FN52" s="2">
        <v>711.6</v>
      </c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</row>
    <row r="53" spans="1:194" x14ac:dyDescent="0.25">
      <c r="A53" s="2">
        <v>52</v>
      </c>
      <c r="B53" s="2" t="s">
        <v>609</v>
      </c>
      <c r="C53" s="2" t="s">
        <v>2114</v>
      </c>
      <c r="D53" s="14" t="s">
        <v>2115</v>
      </c>
      <c r="E53" s="1" t="s">
        <v>2116</v>
      </c>
      <c r="F53" s="1"/>
      <c r="G53" s="1"/>
      <c r="H53" s="20">
        <v>3271</v>
      </c>
      <c r="I53">
        <v>571</v>
      </c>
      <c r="J53" s="2">
        <v>3.12</v>
      </c>
      <c r="K53" s="2">
        <v>138.28</v>
      </c>
      <c r="L53" s="2"/>
      <c r="M53" s="2">
        <v>0.13</v>
      </c>
      <c r="N53" s="2">
        <v>0.08</v>
      </c>
      <c r="O53" s="2"/>
      <c r="P53" s="2"/>
      <c r="Q53" s="2"/>
      <c r="R53" s="2"/>
      <c r="S53" s="2">
        <v>280</v>
      </c>
      <c r="T53" s="2">
        <v>290</v>
      </c>
      <c r="U53" s="2"/>
      <c r="V53" s="2">
        <v>210</v>
      </c>
      <c r="W53" s="2">
        <v>89</v>
      </c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>
        <v>1369.3999999999999</v>
      </c>
      <c r="AJ53" s="2">
        <v>183.70000000000002</v>
      </c>
      <c r="AK53" s="2">
        <v>701.4</v>
      </c>
      <c r="AL53" s="2">
        <v>183.70000000000002</v>
      </c>
      <c r="AM53" s="2">
        <v>701.4</v>
      </c>
      <c r="AN53" s="2">
        <v>200.4</v>
      </c>
      <c r="AO53" s="2">
        <v>400.8</v>
      </c>
      <c r="AP53" s="2"/>
      <c r="AQ53" s="2">
        <v>968.6</v>
      </c>
      <c r="AR53" s="2"/>
      <c r="AS53">
        <v>474</v>
      </c>
      <c r="AT53">
        <v>391</v>
      </c>
      <c r="AU53">
        <v>446</v>
      </c>
      <c r="AV53">
        <v>645</v>
      </c>
      <c r="AW53">
        <v>10900</v>
      </c>
      <c r="AX53">
        <v>1520</v>
      </c>
      <c r="AY53">
        <v>1750</v>
      </c>
      <c r="AZ53">
        <v>1980</v>
      </c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>
        <v>446.96</v>
      </c>
      <c r="CB53" s="2">
        <v>357.83</v>
      </c>
      <c r="CC53" s="2">
        <v>540.11</v>
      </c>
      <c r="CD53" s="2"/>
      <c r="CE53" s="2"/>
      <c r="CF53" s="2">
        <v>11640</v>
      </c>
      <c r="CG53" s="2">
        <v>8340</v>
      </c>
      <c r="CH53" s="2">
        <v>9300</v>
      </c>
      <c r="CI53" s="2"/>
      <c r="CJ53" s="2"/>
      <c r="CK53" s="2"/>
      <c r="CL53" s="2"/>
      <c r="CM53" s="2"/>
      <c r="CN53" s="2"/>
      <c r="CO53" s="2"/>
      <c r="CP53" s="2">
        <v>1053.33</v>
      </c>
      <c r="CQ53" s="2">
        <v>638.61</v>
      </c>
      <c r="CR53" s="2">
        <v>855.62</v>
      </c>
      <c r="CS53" s="2">
        <v>373</v>
      </c>
      <c r="CT53" s="2">
        <v>341.62</v>
      </c>
      <c r="CU53" s="2">
        <v>437.61</v>
      </c>
      <c r="CV53" s="2">
        <v>2030.97</v>
      </c>
      <c r="CW53" s="2">
        <v>1133</v>
      </c>
      <c r="CX53" s="2">
        <v>4109.12</v>
      </c>
      <c r="CY53" s="2">
        <v>342.52</v>
      </c>
      <c r="CZ53" s="2">
        <v>2331.23</v>
      </c>
      <c r="DA53" s="2">
        <v>7394.1</v>
      </c>
      <c r="DB53" s="2">
        <v>6272.04</v>
      </c>
      <c r="DC53" s="2">
        <v>26</v>
      </c>
      <c r="DD53" s="2"/>
      <c r="DE53" s="2">
        <v>41</v>
      </c>
      <c r="DF53" s="2">
        <v>61</v>
      </c>
      <c r="DG53" s="2">
        <v>89</v>
      </c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>
        <v>346.47</v>
      </c>
      <c r="DS53" s="2">
        <v>254.88</v>
      </c>
      <c r="DT53" s="2">
        <v>218.67</v>
      </c>
      <c r="DU53" s="2">
        <v>177.42</v>
      </c>
      <c r="DV53" s="2">
        <v>1023.99</v>
      </c>
      <c r="DW53" s="2">
        <v>629.89</v>
      </c>
      <c r="DX53" s="2">
        <v>449.56</v>
      </c>
      <c r="DY53" s="2">
        <v>1587.71</v>
      </c>
      <c r="DZ53" s="2">
        <v>1492.1</v>
      </c>
      <c r="EA53" s="2">
        <v>613.61</v>
      </c>
      <c r="EB53" s="2">
        <v>960.07</v>
      </c>
      <c r="EC53" s="2">
        <v>983.96</v>
      </c>
      <c r="ED53" s="2">
        <v>766.53</v>
      </c>
      <c r="EE53" s="2">
        <v>508.34</v>
      </c>
      <c r="EF53" s="2">
        <v>585.6</v>
      </c>
      <c r="EG53" s="2"/>
      <c r="EH53" s="2"/>
      <c r="EI53" s="2">
        <v>229260</v>
      </c>
      <c r="EJ53" s="2">
        <v>234610</v>
      </c>
      <c r="EK53" s="2">
        <v>172270</v>
      </c>
      <c r="EL53" s="2">
        <v>206020</v>
      </c>
      <c r="EM53" s="2">
        <v>417050</v>
      </c>
      <c r="EN53" s="2">
        <v>72.959999999999994</v>
      </c>
      <c r="EO53" s="2">
        <v>72.06</v>
      </c>
      <c r="EP53" s="2">
        <v>570.27</v>
      </c>
      <c r="EQ53" s="2">
        <v>30.86</v>
      </c>
      <c r="ER53" s="2">
        <v>26.45</v>
      </c>
      <c r="ES53" s="2">
        <v>28.25</v>
      </c>
      <c r="ET53" s="2">
        <v>35.07</v>
      </c>
      <c r="EU53" s="2">
        <v>547.4</v>
      </c>
      <c r="EV53" s="2">
        <v>359.9</v>
      </c>
      <c r="EW53" s="2">
        <v>264.8</v>
      </c>
      <c r="EX53" s="2">
        <v>142.1</v>
      </c>
      <c r="EY53" s="2">
        <v>962</v>
      </c>
      <c r="EZ53" s="2">
        <v>269</v>
      </c>
      <c r="FA53" s="2">
        <v>1368.9</v>
      </c>
      <c r="FB53" s="2">
        <v>706.7</v>
      </c>
      <c r="FC53" s="2">
        <v>702.4</v>
      </c>
      <c r="FD53" s="2">
        <v>402.4</v>
      </c>
      <c r="FE53" s="2">
        <v>31.1</v>
      </c>
      <c r="FF53" s="2">
        <v>15.1</v>
      </c>
      <c r="FG53" s="2">
        <v>14.9</v>
      </c>
      <c r="FH53" s="2">
        <v>14.2</v>
      </c>
      <c r="FI53" s="2">
        <v>49.9</v>
      </c>
      <c r="FJ53" s="2">
        <v>15.9</v>
      </c>
      <c r="FK53" s="2">
        <v>177.9</v>
      </c>
      <c r="FL53" s="2">
        <v>206.7</v>
      </c>
      <c r="FM53" s="2">
        <v>191.7</v>
      </c>
      <c r="FN53" s="2">
        <v>10.5</v>
      </c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</row>
    <row r="54" spans="1:194" x14ac:dyDescent="0.25">
      <c r="A54" s="2">
        <v>53</v>
      </c>
      <c r="B54" s="2" t="s">
        <v>553</v>
      </c>
      <c r="C54" s="2" t="s">
        <v>2137</v>
      </c>
      <c r="D54" s="14" t="s">
        <v>2181</v>
      </c>
      <c r="E54" s="1" t="s">
        <v>2138</v>
      </c>
      <c r="F54" s="1"/>
      <c r="G54" s="1"/>
      <c r="H54"/>
      <c r="J54" s="2"/>
      <c r="K54" s="2"/>
      <c r="L54" s="2"/>
      <c r="M54" s="2"/>
      <c r="N54" s="2"/>
      <c r="O54" s="2">
        <v>95</v>
      </c>
      <c r="P54" s="2">
        <v>103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V54">
        <v>412</v>
      </c>
      <c r="AW54">
        <v>393</v>
      </c>
      <c r="AX54">
        <v>525</v>
      </c>
      <c r="AY54">
        <v>675</v>
      </c>
      <c r="AZ54">
        <v>843</v>
      </c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>
        <v>942.05</v>
      </c>
      <c r="DS54" s="2">
        <v>996.42</v>
      </c>
      <c r="DT54" s="2">
        <v>458.77</v>
      </c>
      <c r="DU54" s="2">
        <v>454.62</v>
      </c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</row>
    <row r="55" spans="1:194" x14ac:dyDescent="0.25">
      <c r="A55" s="2">
        <v>54</v>
      </c>
      <c r="B55" s="2" t="s">
        <v>2486</v>
      </c>
      <c r="C55" s="2" t="s">
        <v>2205</v>
      </c>
      <c r="D55" s="14" t="s">
        <v>2164</v>
      </c>
      <c r="E55" s="1" t="s">
        <v>2126</v>
      </c>
      <c r="F55" s="1"/>
      <c r="G55" s="1"/>
      <c r="H55" s="20">
        <v>2075</v>
      </c>
      <c r="I55">
        <v>992</v>
      </c>
      <c r="J55" s="2">
        <v>6.62</v>
      </c>
      <c r="K55" s="2">
        <v>5.24</v>
      </c>
      <c r="L55" s="2">
        <v>1.9</v>
      </c>
      <c r="M55" s="2">
        <v>3.05</v>
      </c>
      <c r="N55" s="2">
        <v>2.52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>
        <v>306</v>
      </c>
      <c r="AU55">
        <v>1020</v>
      </c>
      <c r="AV55">
        <v>1560</v>
      </c>
      <c r="AW55">
        <v>2009.9999999999998</v>
      </c>
      <c r="AX55">
        <v>3400</v>
      </c>
      <c r="AY55">
        <v>4970</v>
      </c>
      <c r="AZ55">
        <v>5040</v>
      </c>
      <c r="BE55" s="2"/>
      <c r="BF55" s="2"/>
      <c r="BG55" s="2"/>
      <c r="BH55" s="2"/>
      <c r="BI55" s="2"/>
      <c r="BJ55" s="2"/>
      <c r="BK55" s="2"/>
      <c r="BL55" s="2"/>
      <c r="BM55" s="2">
        <v>20</v>
      </c>
      <c r="BN55" s="2">
        <v>20</v>
      </c>
      <c r="BO55" s="2">
        <v>20</v>
      </c>
      <c r="BP55" s="2">
        <v>30</v>
      </c>
      <c r="BQ55" s="2">
        <v>1290</v>
      </c>
      <c r="BR55" s="2">
        <v>290</v>
      </c>
      <c r="BS55" s="2">
        <v>1200</v>
      </c>
      <c r="BT55" s="2">
        <v>11160</v>
      </c>
      <c r="BU55" s="2">
        <v>5250</v>
      </c>
      <c r="BV55" s="2">
        <v>130</v>
      </c>
      <c r="BW55" s="2"/>
      <c r="BX55" s="2"/>
      <c r="BY55" s="2"/>
      <c r="BZ55" s="2"/>
      <c r="CA55" s="2">
        <v>268.73</v>
      </c>
      <c r="CB55" s="2">
        <v>92.11</v>
      </c>
      <c r="CC55" s="2">
        <v>200.87</v>
      </c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>
        <v>334.32</v>
      </c>
      <c r="CQ55" s="2">
        <v>234.12</v>
      </c>
      <c r="CR55" s="2">
        <v>289.72000000000003</v>
      </c>
      <c r="CS55" s="2">
        <v>119.22</v>
      </c>
      <c r="CT55" s="2">
        <v>67.23</v>
      </c>
      <c r="CU55" s="2">
        <v>88.11</v>
      </c>
      <c r="CV55" s="2">
        <v>68.66</v>
      </c>
      <c r="CW55" s="2">
        <v>12.41</v>
      </c>
      <c r="CX55" s="2">
        <v>40.74</v>
      </c>
      <c r="CY55" s="2">
        <v>26.63</v>
      </c>
      <c r="CZ55" s="2">
        <v>320.42</v>
      </c>
      <c r="DA55" s="2">
        <v>1249.23</v>
      </c>
      <c r="DB55" s="2">
        <v>649.41</v>
      </c>
      <c r="DC55" s="2"/>
      <c r="DD55" s="2"/>
      <c r="DE55" s="2">
        <v>69</v>
      </c>
      <c r="DF55" s="2"/>
      <c r="DG55" s="2">
        <v>194</v>
      </c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>
        <v>49.73</v>
      </c>
      <c r="DS55" s="2">
        <v>48.22</v>
      </c>
      <c r="DT55" s="2">
        <v>28.19</v>
      </c>
      <c r="DU55" s="2">
        <v>25.85</v>
      </c>
      <c r="DV55" s="2">
        <v>124.81</v>
      </c>
      <c r="DW55" s="2">
        <v>89.06</v>
      </c>
      <c r="DX55" s="2">
        <v>295.10000000000002</v>
      </c>
      <c r="DY55" s="2">
        <v>1023.65</v>
      </c>
      <c r="DZ55" s="2">
        <v>162.4</v>
      </c>
      <c r="EA55" s="2">
        <v>39.28</v>
      </c>
      <c r="EB55" s="2">
        <v>102.5</v>
      </c>
      <c r="EC55" s="2">
        <v>63.66</v>
      </c>
      <c r="ED55" s="2">
        <v>60.04</v>
      </c>
      <c r="EE55" s="2">
        <v>25.08</v>
      </c>
      <c r="EF55" s="2">
        <v>22.92</v>
      </c>
      <c r="EG55" s="2"/>
      <c r="EH55" s="2"/>
      <c r="EI55" s="2">
        <v>334320</v>
      </c>
      <c r="EJ55" s="2">
        <v>234120</v>
      </c>
      <c r="EK55" s="2">
        <v>289720</v>
      </c>
      <c r="EL55" s="2">
        <v>119220</v>
      </c>
      <c r="EM55" s="2">
        <v>88110</v>
      </c>
      <c r="EN55" s="2">
        <v>234.1</v>
      </c>
      <c r="EO55" s="2">
        <v>264.64999999999998</v>
      </c>
      <c r="EP55" s="2"/>
      <c r="EQ55" s="2"/>
      <c r="ER55" s="2"/>
      <c r="ES55" s="2"/>
      <c r="ET55" s="2"/>
      <c r="EU55" s="2">
        <v>292.7</v>
      </c>
      <c r="EV55" s="2">
        <v>370.3</v>
      </c>
      <c r="EW55" s="2">
        <v>307.39999999999998</v>
      </c>
      <c r="EX55" s="2">
        <v>303.5</v>
      </c>
      <c r="EY55" s="2">
        <v>343.6</v>
      </c>
      <c r="EZ55" s="2">
        <v>310.60000000000002</v>
      </c>
      <c r="FA55" s="2">
        <v>321.8</v>
      </c>
      <c r="FB55" s="2">
        <v>299.39999999999998</v>
      </c>
      <c r="FC55" s="2">
        <v>297.5</v>
      </c>
      <c r="FD55" s="2">
        <v>287.60000000000002</v>
      </c>
      <c r="FE55" s="2"/>
      <c r="FF55" s="2"/>
      <c r="FG55" s="2"/>
      <c r="FH55" s="2"/>
      <c r="FI55" s="2"/>
      <c r="FJ55" s="2"/>
      <c r="FK55" s="2">
        <v>180</v>
      </c>
      <c r="FL55" s="2">
        <v>181.9</v>
      </c>
      <c r="FM55" s="2">
        <v>176.7</v>
      </c>
      <c r="FN55" s="2">
        <v>168.2</v>
      </c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</row>
    <row r="56" spans="1:194" x14ac:dyDescent="0.25">
      <c r="A56" s="2">
        <v>55</v>
      </c>
      <c r="B56" s="2" t="s">
        <v>2103</v>
      </c>
      <c r="C56" s="2" t="s">
        <v>2131</v>
      </c>
      <c r="D56" s="14" t="s">
        <v>2132</v>
      </c>
      <c r="E56" s="2" t="s">
        <v>2145</v>
      </c>
      <c r="F56" s="1"/>
      <c r="G56" s="1"/>
      <c r="H56">
        <v>374</v>
      </c>
      <c r="I56">
        <v>473</v>
      </c>
      <c r="J56" s="2"/>
      <c r="K56" s="2"/>
      <c r="L56" s="2"/>
      <c r="M56" s="2"/>
      <c r="N56" s="2"/>
      <c r="O56" s="2">
        <v>510</v>
      </c>
      <c r="P56" s="2">
        <v>493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</row>
    <row r="57" spans="1:194" x14ac:dyDescent="0.25">
      <c r="A57" s="2">
        <v>56</v>
      </c>
      <c r="B57" s="23" t="s">
        <v>2494</v>
      </c>
      <c r="C57" s="2" t="s">
        <v>2206</v>
      </c>
      <c r="D57" s="12" t="s">
        <v>2133</v>
      </c>
      <c r="E57" s="2" t="s">
        <v>2127</v>
      </c>
      <c r="F57" s="1"/>
      <c r="G57" s="1"/>
      <c r="H57" s="20">
        <v>13666</v>
      </c>
      <c r="I57" s="20">
        <v>1935</v>
      </c>
      <c r="J57" s="2">
        <v>59.4</v>
      </c>
      <c r="K57" s="2">
        <v>48.64</v>
      </c>
      <c r="L57" s="2"/>
      <c r="M57" s="2">
        <v>428.09</v>
      </c>
      <c r="N57" s="2"/>
      <c r="O57" s="2"/>
      <c r="P57" s="2"/>
      <c r="Q57" s="2">
        <v>2868.01</v>
      </c>
      <c r="R57" s="2">
        <v>2941.15</v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BE57" s="2">
        <v>7602</v>
      </c>
      <c r="BF57" s="2">
        <v>22625</v>
      </c>
      <c r="BG57" s="2">
        <v>16290</v>
      </c>
      <c r="BH57" s="2">
        <v>9231</v>
      </c>
      <c r="BI57" s="2">
        <v>3982</v>
      </c>
      <c r="BJ57" s="2">
        <v>1267.0000000000002</v>
      </c>
      <c r="BK57" s="2">
        <v>11222</v>
      </c>
      <c r="BL57" s="2">
        <v>3077</v>
      </c>
      <c r="BM57" s="2">
        <v>1700</v>
      </c>
      <c r="BN57" s="2">
        <v>760</v>
      </c>
      <c r="BO57" s="2">
        <v>1325</v>
      </c>
      <c r="BP57" s="2">
        <v>700</v>
      </c>
      <c r="BQ57" s="2">
        <v>35800</v>
      </c>
      <c r="BR57" s="2">
        <v>24900</v>
      </c>
      <c r="BS57" s="2">
        <v>24050</v>
      </c>
      <c r="BT57" s="2">
        <v>24070</v>
      </c>
      <c r="BU57" s="2">
        <v>19560</v>
      </c>
      <c r="BV57" s="2"/>
      <c r="BW57" s="2"/>
      <c r="BX57" s="2"/>
      <c r="BY57" s="2"/>
      <c r="BZ57" s="2"/>
      <c r="CA57" s="2"/>
      <c r="CB57" s="2"/>
      <c r="CC57" s="2"/>
      <c r="CD57" s="2">
        <v>8800</v>
      </c>
      <c r="CE57" s="2">
        <v>10190</v>
      </c>
      <c r="CF57" s="2">
        <v>11780</v>
      </c>
      <c r="CG57" s="2">
        <v>18630</v>
      </c>
      <c r="CH57" s="2">
        <v>26720</v>
      </c>
      <c r="CI57" s="2">
        <v>15610</v>
      </c>
      <c r="CJ57" s="2">
        <v>12080</v>
      </c>
      <c r="CK57" s="2">
        <v>10630</v>
      </c>
      <c r="CL57" s="2"/>
      <c r="CM57" s="2" t="s">
        <v>2466</v>
      </c>
      <c r="CN57" s="2"/>
      <c r="CO57" s="2" t="s">
        <v>2467</v>
      </c>
      <c r="CP57" s="2">
        <v>13.77</v>
      </c>
      <c r="CQ57" s="2">
        <v>15.99</v>
      </c>
      <c r="CR57" s="2">
        <v>14.4</v>
      </c>
      <c r="CS57" s="2">
        <v>10.98</v>
      </c>
      <c r="CT57" s="2">
        <v>10.23</v>
      </c>
      <c r="CU57" s="2">
        <v>10.25</v>
      </c>
      <c r="CV57" s="2">
        <v>8.15</v>
      </c>
      <c r="CW57" s="2">
        <v>12.67</v>
      </c>
      <c r="CX57" s="2">
        <v>9.5500000000000007</v>
      </c>
      <c r="CY57" s="2">
        <v>6.39</v>
      </c>
      <c r="CZ57" s="2">
        <v>10.89</v>
      </c>
      <c r="DA57" s="2">
        <v>14.31</v>
      </c>
      <c r="DB57" s="2">
        <v>12.21</v>
      </c>
      <c r="DC57" s="2">
        <v>45</v>
      </c>
      <c r="DD57" s="2">
        <v>33</v>
      </c>
      <c r="DE57" s="2">
        <v>41</v>
      </c>
      <c r="DF57" s="2">
        <v>37</v>
      </c>
      <c r="DG57" s="2"/>
      <c r="DH57" s="2">
        <v>7000</v>
      </c>
      <c r="DI57" s="2">
        <v>8600</v>
      </c>
      <c r="DJ57" s="2">
        <v>7800</v>
      </c>
      <c r="DK57" s="2">
        <v>10000</v>
      </c>
      <c r="DL57" s="2">
        <v>7200</v>
      </c>
      <c r="DM57" s="2">
        <v>9800</v>
      </c>
      <c r="DN57" s="2">
        <v>4000</v>
      </c>
      <c r="DO57" s="2">
        <v>9800</v>
      </c>
      <c r="DP57" s="2">
        <v>6900</v>
      </c>
      <c r="DQ57" s="2">
        <v>7600</v>
      </c>
      <c r="DR57" s="2">
        <v>10.98</v>
      </c>
      <c r="DS57" s="2">
        <v>11.09</v>
      </c>
      <c r="DT57" s="2">
        <v>10.029999999999999</v>
      </c>
      <c r="DU57" s="2">
        <v>9.8000000000000007</v>
      </c>
      <c r="DV57" s="2">
        <v>15.29</v>
      </c>
      <c r="DW57" s="2">
        <v>18.13</v>
      </c>
      <c r="DX57" s="2">
        <v>14.5</v>
      </c>
      <c r="DY57" s="2">
        <v>25.21</v>
      </c>
      <c r="DZ57" s="2">
        <v>19.11</v>
      </c>
      <c r="EA57" s="2">
        <v>19.059999999999999</v>
      </c>
      <c r="EB57" s="2">
        <v>18.46</v>
      </c>
      <c r="EC57" s="2">
        <v>24.26</v>
      </c>
      <c r="ED57" s="2">
        <v>16.29</v>
      </c>
      <c r="EE57" s="2">
        <v>15.33</v>
      </c>
      <c r="EF57" s="2">
        <v>14.53</v>
      </c>
      <c r="EG57" s="2">
        <v>39000</v>
      </c>
      <c r="EH57" s="2">
        <v>37300</v>
      </c>
      <c r="EI57" s="2">
        <v>13321</v>
      </c>
      <c r="EJ57" s="2">
        <v>18526</v>
      </c>
      <c r="EK57" s="2">
        <v>9767</v>
      </c>
      <c r="EL57" s="2">
        <v>9242</v>
      </c>
      <c r="EM57" s="2">
        <v>14220</v>
      </c>
      <c r="EN57" s="2">
        <v>10149.08</v>
      </c>
      <c r="EO57" s="2">
        <v>13828.86</v>
      </c>
      <c r="EP57" s="2"/>
      <c r="EQ57" s="2"/>
      <c r="ER57" s="2"/>
      <c r="ES57" s="2"/>
      <c r="ET57" s="2"/>
      <c r="EU57" s="2">
        <v>5675.4</v>
      </c>
      <c r="EV57" s="2">
        <v>4721.8999999999996</v>
      </c>
      <c r="EW57" s="2">
        <v>5760.8</v>
      </c>
      <c r="EX57" s="2">
        <v>4721.3999999999996</v>
      </c>
      <c r="EY57" s="2">
        <v>6468.8</v>
      </c>
      <c r="EZ57" s="2">
        <v>4520.5</v>
      </c>
      <c r="FA57" s="2">
        <v>8002.7</v>
      </c>
      <c r="FB57" s="2">
        <v>8699.1</v>
      </c>
      <c r="FC57" s="2">
        <v>12096</v>
      </c>
      <c r="FD57" s="2">
        <v>5475</v>
      </c>
      <c r="FE57" s="2">
        <v>5820.1</v>
      </c>
      <c r="FF57" s="2">
        <v>5704.3</v>
      </c>
      <c r="FG57" s="2">
        <v>3618.5</v>
      </c>
      <c r="FH57" s="2">
        <v>4567.3999999999996</v>
      </c>
      <c r="FI57" s="2">
        <v>3422.1</v>
      </c>
      <c r="FJ57" s="2">
        <v>4520.5</v>
      </c>
      <c r="FK57" s="2">
        <v>8002.7</v>
      </c>
      <c r="FL57" s="2">
        <v>8699.1</v>
      </c>
      <c r="FM57" s="2">
        <v>12096</v>
      </c>
      <c r="FN57" s="2">
        <v>5475</v>
      </c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</row>
    <row r="58" spans="1:194" x14ac:dyDescent="0.25">
      <c r="A58" s="2">
        <v>57</v>
      </c>
      <c r="B58" s="2" t="s">
        <v>2487</v>
      </c>
      <c r="C58" s="2" t="s">
        <v>2158</v>
      </c>
      <c r="D58" s="12" t="s">
        <v>2167</v>
      </c>
      <c r="E58" s="2" t="s">
        <v>2214</v>
      </c>
      <c r="H58"/>
      <c r="J58" s="2"/>
      <c r="K58" s="2"/>
      <c r="L58" s="2"/>
      <c r="M58" s="2"/>
      <c r="N58" s="2"/>
      <c r="O58" s="2"/>
      <c r="P58" s="2"/>
      <c r="Q58" s="2">
        <v>2803.75</v>
      </c>
      <c r="R58" s="2">
        <v>3433.75</v>
      </c>
      <c r="S58" s="2">
        <v>3576</v>
      </c>
      <c r="T58" s="2">
        <v>5371</v>
      </c>
      <c r="U58" s="2">
        <v>5545</v>
      </c>
      <c r="V58" s="2">
        <v>6509</v>
      </c>
      <c r="W58" s="2">
        <v>5626</v>
      </c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BE58" s="2"/>
      <c r="BF58" s="2"/>
      <c r="BG58" s="2"/>
      <c r="BH58" s="2"/>
      <c r="BI58" s="2"/>
      <c r="BJ58" s="2"/>
      <c r="BK58" s="2"/>
      <c r="BL58" s="2"/>
      <c r="BM58" s="2"/>
      <c r="BN58" s="2">
        <v>130</v>
      </c>
      <c r="BO58" s="2">
        <v>330</v>
      </c>
      <c r="BP58" s="2"/>
      <c r="BQ58" s="2">
        <v>16950</v>
      </c>
      <c r="BR58" s="2">
        <v>15690</v>
      </c>
      <c r="BS58" s="2">
        <v>7380</v>
      </c>
      <c r="BT58" s="2">
        <v>38040</v>
      </c>
      <c r="BU58" s="2">
        <v>35440</v>
      </c>
      <c r="BV58" s="2"/>
      <c r="BW58" s="2"/>
      <c r="BX58" s="2"/>
      <c r="BY58" s="2"/>
      <c r="BZ58" s="2"/>
      <c r="CA58" s="2"/>
      <c r="CB58" s="2"/>
      <c r="CC58" s="2"/>
      <c r="CD58" s="2">
        <v>28250</v>
      </c>
      <c r="CE58" s="2">
        <v>20190</v>
      </c>
      <c r="CF58" s="2">
        <v>43580</v>
      </c>
      <c r="CG58" s="2">
        <v>17210</v>
      </c>
      <c r="CH58" s="2">
        <v>17430</v>
      </c>
      <c r="CI58" s="2"/>
      <c r="CJ58" s="2">
        <v>53450</v>
      </c>
      <c r="CK58" s="2">
        <v>42160</v>
      </c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>
        <v>175</v>
      </c>
      <c r="DD58" s="2">
        <v>136</v>
      </c>
      <c r="DE58" s="2">
        <v>183</v>
      </c>
      <c r="DF58" s="2">
        <v>146</v>
      </c>
      <c r="DG58" s="2">
        <v>62</v>
      </c>
      <c r="DH58" s="2">
        <v>214100</v>
      </c>
      <c r="DI58" s="2">
        <v>55200</v>
      </c>
      <c r="DJ58" s="2">
        <v>227200</v>
      </c>
      <c r="DK58" s="2">
        <v>81000</v>
      </c>
      <c r="DL58" s="2">
        <v>152900</v>
      </c>
      <c r="DM58" s="2">
        <v>127600</v>
      </c>
      <c r="DN58" s="2">
        <v>13900</v>
      </c>
      <c r="DO58" s="2">
        <v>21700</v>
      </c>
      <c r="DP58" s="2">
        <v>64300</v>
      </c>
      <c r="DQ58" s="2">
        <v>21600</v>
      </c>
      <c r="DR58" s="2">
        <v>23.69</v>
      </c>
      <c r="DS58" s="2">
        <v>32</v>
      </c>
      <c r="DT58" s="2">
        <v>10.35</v>
      </c>
      <c r="DU58" s="2">
        <v>4.84</v>
      </c>
      <c r="DV58" s="2">
        <v>108.37</v>
      </c>
      <c r="DW58" s="2">
        <v>51.95</v>
      </c>
      <c r="DX58" s="2">
        <v>29.11</v>
      </c>
      <c r="DY58" s="2">
        <v>63.71</v>
      </c>
      <c r="DZ58" s="2">
        <v>225.04</v>
      </c>
      <c r="EA58" s="2">
        <v>84.44</v>
      </c>
      <c r="EB58" s="2">
        <v>140.44</v>
      </c>
      <c r="EC58" s="2">
        <v>136.69999999999999</v>
      </c>
      <c r="ED58" s="2">
        <v>99.89</v>
      </c>
      <c r="EE58" s="2">
        <v>31.91</v>
      </c>
      <c r="EF58" s="2">
        <v>58.31</v>
      </c>
      <c r="EG58" s="2">
        <v>3800</v>
      </c>
      <c r="EH58" s="2">
        <v>5400</v>
      </c>
      <c r="EI58" s="2">
        <v>9040</v>
      </c>
      <c r="EJ58" s="2">
        <v>4402</v>
      </c>
      <c r="EK58" s="2">
        <v>5366</v>
      </c>
      <c r="EL58" s="2">
        <v>5503</v>
      </c>
      <c r="EM58" s="2">
        <v>20197</v>
      </c>
      <c r="EN58" s="2"/>
      <c r="EO58" s="2"/>
      <c r="EP58" s="2"/>
      <c r="EQ58" s="2"/>
      <c r="ER58" s="2"/>
      <c r="ES58" s="2"/>
      <c r="ET58" s="2"/>
      <c r="EU58" s="2">
        <v>19613.599999999999</v>
      </c>
      <c r="EV58" s="2">
        <v>8319.9</v>
      </c>
      <c r="EW58" s="2">
        <v>14218.5</v>
      </c>
      <c r="EX58" s="2">
        <v>24592.5</v>
      </c>
      <c r="EY58" s="2">
        <v>19134.400000000001</v>
      </c>
      <c r="EZ58" s="2">
        <v>8124.7</v>
      </c>
      <c r="FA58" s="2">
        <v>19993.900000000001</v>
      </c>
      <c r="FB58" s="2">
        <v>19433.400000000001</v>
      </c>
      <c r="FC58" s="2">
        <v>17781.5</v>
      </c>
      <c r="FD58" s="2">
        <v>11359.5</v>
      </c>
      <c r="FE58" s="2">
        <v>5993.1</v>
      </c>
      <c r="FF58" s="2">
        <v>5838.4</v>
      </c>
      <c r="FG58" s="2">
        <v>6587</v>
      </c>
      <c r="FH58" s="2">
        <v>17769.099999999999</v>
      </c>
      <c r="FI58" s="2">
        <v>9323.9</v>
      </c>
      <c r="FJ58" s="2">
        <v>8124.7</v>
      </c>
      <c r="FK58" s="2">
        <v>19993.900000000001</v>
      </c>
      <c r="FL58" s="2">
        <v>19433.400000000001</v>
      </c>
      <c r="FM58" s="2">
        <v>17781.5</v>
      </c>
      <c r="FN58" s="2">
        <v>11359.5</v>
      </c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</row>
    <row r="59" spans="1:194" x14ac:dyDescent="0.25">
      <c r="A59" s="2">
        <v>58</v>
      </c>
      <c r="B59" s="2" t="s">
        <v>2488</v>
      </c>
      <c r="C59" s="2" t="s">
        <v>2186</v>
      </c>
      <c r="D59" s="14" t="s">
        <v>2224</v>
      </c>
      <c r="E59" s="1" t="s">
        <v>2215</v>
      </c>
      <c r="H59"/>
      <c r="J59" s="2"/>
      <c r="K59" s="2"/>
      <c r="L59" s="2"/>
      <c r="M59" s="2"/>
      <c r="N59" s="2"/>
      <c r="O59" s="2"/>
      <c r="P59" s="2"/>
      <c r="Q59" s="2">
        <v>209.65</v>
      </c>
      <c r="R59" s="2">
        <v>273.26</v>
      </c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>
        <v>816</v>
      </c>
      <c r="AJ59" s="2">
        <v>183.6</v>
      </c>
      <c r="AK59" s="2">
        <v>688.5</v>
      </c>
      <c r="AL59" s="2">
        <v>255</v>
      </c>
      <c r="AM59" s="2">
        <v>790.5</v>
      </c>
      <c r="AN59" s="2">
        <v>255</v>
      </c>
      <c r="AO59" s="2">
        <v>1351.5</v>
      </c>
      <c r="AP59" s="2">
        <v>173.4</v>
      </c>
      <c r="AQ59" s="2">
        <v>3085.5</v>
      </c>
      <c r="AR59" s="2">
        <v>841.5</v>
      </c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>
        <v>7720</v>
      </c>
      <c r="CE59" s="2">
        <v>6260</v>
      </c>
      <c r="CF59" s="2">
        <v>10780</v>
      </c>
      <c r="CG59" s="2">
        <v>6530</v>
      </c>
      <c r="CH59" s="2">
        <v>6050</v>
      </c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>
        <v>16</v>
      </c>
      <c r="DD59" s="2">
        <v>16</v>
      </c>
      <c r="DE59" s="2">
        <v>8</v>
      </c>
      <c r="DF59" s="2">
        <v>8</v>
      </c>
      <c r="DG59" s="2">
        <v>8</v>
      </c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>
        <v>593.4</v>
      </c>
      <c r="DS59" s="2">
        <v>844.92</v>
      </c>
      <c r="DT59" s="2">
        <v>1024.8599999999999</v>
      </c>
      <c r="DU59" s="2">
        <v>695.78</v>
      </c>
      <c r="DV59" s="2">
        <v>1072.1600000000001</v>
      </c>
      <c r="DW59" s="2">
        <v>1030.51</v>
      </c>
      <c r="DX59" s="2">
        <v>722.99</v>
      </c>
      <c r="DY59" s="2">
        <v>1498.12</v>
      </c>
      <c r="DZ59" s="2">
        <v>1136.03</v>
      </c>
      <c r="EA59" s="2">
        <v>722.58</v>
      </c>
      <c r="EB59" s="2">
        <v>983.86</v>
      </c>
      <c r="EC59" s="2">
        <v>966.48</v>
      </c>
      <c r="ED59" s="2">
        <v>2091.54</v>
      </c>
      <c r="EE59" s="2">
        <v>553.57000000000005</v>
      </c>
      <c r="EF59" s="2">
        <v>2323.2800000000002</v>
      </c>
      <c r="EG59" s="2"/>
      <c r="EH59" s="2"/>
      <c r="EI59" s="2"/>
      <c r="EJ59" s="2">
        <v>291</v>
      </c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>
        <v>1285.7</v>
      </c>
      <c r="EV59" s="2">
        <v>1048.3</v>
      </c>
      <c r="EW59" s="2">
        <v>1361</v>
      </c>
      <c r="EX59" s="2">
        <v>1386.3</v>
      </c>
      <c r="EY59" s="2">
        <v>3075.9</v>
      </c>
      <c r="EZ59" s="2">
        <v>1462.6</v>
      </c>
      <c r="FA59" s="2">
        <v>806.3</v>
      </c>
      <c r="FB59" s="2">
        <v>788.7</v>
      </c>
      <c r="FC59" s="2">
        <v>696.4</v>
      </c>
      <c r="FD59" s="2">
        <v>1352.6</v>
      </c>
      <c r="FE59" s="2">
        <v>647.6</v>
      </c>
      <c r="FF59" s="2">
        <v>564.1</v>
      </c>
      <c r="FG59" s="2">
        <v>453.9</v>
      </c>
      <c r="FH59" s="2">
        <v>417.4</v>
      </c>
      <c r="FI59" s="2">
        <v>828.9</v>
      </c>
      <c r="FJ59" s="2">
        <v>1462.6</v>
      </c>
      <c r="FK59" s="2">
        <v>806.3</v>
      </c>
      <c r="FL59" s="2">
        <v>788.7</v>
      </c>
      <c r="FM59" s="2">
        <v>696.4</v>
      </c>
      <c r="FN59" s="2">
        <v>1352.6</v>
      </c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</row>
    <row r="60" spans="1:194" ht="14.4" x14ac:dyDescent="0.25">
      <c r="A60" s="2">
        <v>59</v>
      </c>
      <c r="B60" s="16" t="s">
        <v>2489</v>
      </c>
      <c r="C60" s="2" t="s">
        <v>2187</v>
      </c>
      <c r="D60" s="14" t="s">
        <v>2225</v>
      </c>
      <c r="E60" s="2" t="s">
        <v>2161</v>
      </c>
      <c r="H60"/>
      <c r="J60" s="2"/>
      <c r="K60" s="2"/>
      <c r="L60" s="2"/>
      <c r="M60" s="2"/>
      <c r="N60" s="2"/>
      <c r="O60" s="2"/>
      <c r="P60" s="2"/>
      <c r="Q60" s="2">
        <v>1092.5</v>
      </c>
      <c r="R60" s="2">
        <v>853.75</v>
      </c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BE60" s="2"/>
      <c r="BF60" s="2"/>
      <c r="BG60" s="2"/>
      <c r="BH60" s="2"/>
      <c r="BI60" s="2"/>
      <c r="BJ60" s="2"/>
      <c r="BK60" s="2"/>
      <c r="BL60" s="2"/>
      <c r="BM60" s="2"/>
      <c r="BN60" s="2">
        <v>140</v>
      </c>
      <c r="BO60" s="2"/>
      <c r="BP60" s="2">
        <v>1500</v>
      </c>
      <c r="BQ60" s="2"/>
      <c r="BR60" s="2"/>
      <c r="BS60" s="2"/>
      <c r="BT60" s="2">
        <v>14180</v>
      </c>
      <c r="BU60" s="2">
        <v>9610</v>
      </c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>
        <v>3100</v>
      </c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>
        <v>69.7</v>
      </c>
      <c r="DU60" s="2">
        <v>22.23</v>
      </c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>
        <v>98.8</v>
      </c>
      <c r="EV60" s="2">
        <v>91.8</v>
      </c>
      <c r="EW60" s="2">
        <v>97.8</v>
      </c>
      <c r="EX60" s="2">
        <v>86.5</v>
      </c>
      <c r="EY60" s="2">
        <v>129</v>
      </c>
      <c r="EZ60" s="2">
        <v>97.8</v>
      </c>
      <c r="FA60" s="2">
        <v>102.1</v>
      </c>
      <c r="FB60" s="2">
        <v>85.9</v>
      </c>
      <c r="FC60" s="2">
        <v>99</v>
      </c>
      <c r="FD60" s="2">
        <v>112.2</v>
      </c>
      <c r="FE60" s="2">
        <v>61.8</v>
      </c>
      <c r="FF60" s="2">
        <v>51.3</v>
      </c>
      <c r="FG60" s="2">
        <v>40.799999999999997</v>
      </c>
      <c r="FH60" s="2">
        <v>65.900000000000006</v>
      </c>
      <c r="FI60" s="2">
        <v>52.5</v>
      </c>
      <c r="FJ60" s="2">
        <v>97.8</v>
      </c>
      <c r="FK60" s="2">
        <v>102.1</v>
      </c>
      <c r="FL60" s="2">
        <v>85.9</v>
      </c>
      <c r="FM60" s="2">
        <v>99</v>
      </c>
      <c r="FN60" s="2">
        <v>112.2</v>
      </c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</row>
    <row r="61" spans="1:194" ht="14.4" x14ac:dyDescent="0.25">
      <c r="A61" s="2">
        <v>60</v>
      </c>
      <c r="B61" s="2" t="s">
        <v>2490</v>
      </c>
      <c r="C61" s="2" t="s">
        <v>2188</v>
      </c>
      <c r="D61" s="14" t="s">
        <v>2226</v>
      </c>
      <c r="E61" s="2" t="s">
        <v>2216</v>
      </c>
      <c r="H61">
        <v>2</v>
      </c>
      <c r="I61">
        <v>4</v>
      </c>
      <c r="J61" s="2"/>
      <c r="K61" s="2"/>
      <c r="L61" s="2"/>
      <c r="M61" s="2"/>
      <c r="N61" s="2"/>
      <c r="O61" s="2"/>
      <c r="P61" s="2"/>
      <c r="Q61" s="2"/>
      <c r="R61" s="2"/>
      <c r="S61" s="2">
        <v>7506</v>
      </c>
      <c r="T61" s="2">
        <v>6819</v>
      </c>
      <c r="U61" s="2">
        <v>7589</v>
      </c>
      <c r="V61" s="2">
        <v>8093</v>
      </c>
      <c r="W61" s="2">
        <v>7306</v>
      </c>
      <c r="X61" s="2"/>
      <c r="Y61" s="2"/>
      <c r="Z61" s="2"/>
      <c r="AA61" s="2"/>
      <c r="AB61" s="2"/>
      <c r="AC61" s="2"/>
      <c r="AD61" s="2"/>
      <c r="AE61" s="2">
        <v>10008</v>
      </c>
      <c r="AF61" s="2">
        <v>3000</v>
      </c>
      <c r="AG61" s="2">
        <v>6000</v>
      </c>
      <c r="AH61" s="2">
        <v>4500</v>
      </c>
      <c r="AI61" s="2"/>
      <c r="AJ61" s="2"/>
      <c r="AK61" s="2"/>
      <c r="AL61" s="2"/>
      <c r="AM61" s="2"/>
      <c r="AN61" s="2"/>
      <c r="AO61" s="2"/>
      <c r="AP61" s="2"/>
      <c r="AQ61" s="2"/>
      <c r="AR61" s="2"/>
      <c r="AS61">
        <v>21200</v>
      </c>
      <c r="AT61">
        <v>9130</v>
      </c>
      <c r="AU61">
        <v>9200</v>
      </c>
      <c r="AV61">
        <v>6940</v>
      </c>
      <c r="AW61">
        <v>10500</v>
      </c>
      <c r="AX61">
        <v>1390</v>
      </c>
      <c r="AY61">
        <v>779</v>
      </c>
      <c r="AZ61">
        <v>297</v>
      </c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>
        <v>197350</v>
      </c>
      <c r="BR61" s="2">
        <v>121720</v>
      </c>
      <c r="BS61" s="2">
        <v>90200</v>
      </c>
      <c r="BT61" s="2"/>
      <c r="BU61" s="2"/>
      <c r="BV61" s="2">
        <v>260</v>
      </c>
      <c r="BW61" s="2"/>
      <c r="BX61" s="2"/>
      <c r="BY61" s="2">
        <v>110</v>
      </c>
      <c r="BZ61" s="2">
        <v>90</v>
      </c>
      <c r="CA61" s="2">
        <v>1659.84</v>
      </c>
      <c r="CB61" s="2">
        <v>1533.95</v>
      </c>
      <c r="CC61" s="2">
        <v>2288.2399999999998</v>
      </c>
      <c r="CD61" s="2">
        <v>36830</v>
      </c>
      <c r="CE61" s="2">
        <v>32810</v>
      </c>
      <c r="CF61" s="2">
        <v>11200</v>
      </c>
      <c r="CG61" s="2">
        <v>6310</v>
      </c>
      <c r="CH61" s="2">
        <v>9030</v>
      </c>
      <c r="CI61" s="2"/>
      <c r="CJ61" s="2"/>
      <c r="CK61" s="2"/>
      <c r="CL61" s="2"/>
      <c r="CM61" s="2"/>
      <c r="CN61" s="2"/>
      <c r="CO61" s="2"/>
      <c r="CP61" s="2">
        <v>1485.11</v>
      </c>
      <c r="CQ61" s="2">
        <v>1401.98</v>
      </c>
      <c r="CR61" s="2">
        <v>3019.16</v>
      </c>
      <c r="CS61" s="2">
        <v>1260.0899999999999</v>
      </c>
      <c r="CT61" s="2">
        <v>898.42</v>
      </c>
      <c r="CU61" s="2">
        <v>808.23</v>
      </c>
      <c r="CV61" s="2">
        <v>133.41999999999999</v>
      </c>
      <c r="CW61" s="2">
        <v>112.72</v>
      </c>
      <c r="CX61" s="2">
        <v>254.51</v>
      </c>
      <c r="CY61" s="2">
        <v>57.79</v>
      </c>
      <c r="CZ61" s="2">
        <v>1649.11</v>
      </c>
      <c r="DA61" s="2">
        <v>7523.13</v>
      </c>
      <c r="DB61" s="2">
        <v>5036.2299999999996</v>
      </c>
      <c r="DC61" s="2">
        <v>200</v>
      </c>
      <c r="DD61" s="2">
        <v>165</v>
      </c>
      <c r="DE61" s="2">
        <v>120</v>
      </c>
      <c r="DF61" s="2">
        <v>147</v>
      </c>
      <c r="DG61" s="2">
        <v>65</v>
      </c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>
        <v>103.39</v>
      </c>
      <c r="DS61" s="2">
        <v>113.82</v>
      </c>
      <c r="DT61" s="2">
        <v>23.74</v>
      </c>
      <c r="DU61" s="2">
        <v>17.62</v>
      </c>
      <c r="DV61" s="2">
        <v>294.97000000000003</v>
      </c>
      <c r="DW61" s="2">
        <v>176.12</v>
      </c>
      <c r="DX61" s="2">
        <v>132.81</v>
      </c>
      <c r="DY61" s="2">
        <v>240.95</v>
      </c>
      <c r="DZ61" s="2">
        <v>344.8</v>
      </c>
      <c r="EA61" s="2">
        <v>53.42</v>
      </c>
      <c r="EB61" s="2">
        <v>82.39</v>
      </c>
      <c r="EC61" s="2">
        <v>114.36</v>
      </c>
      <c r="ED61" s="2">
        <v>179.81</v>
      </c>
      <c r="EE61" s="2">
        <v>38.54</v>
      </c>
      <c r="EF61" s="2">
        <v>48.94</v>
      </c>
      <c r="EG61" s="2"/>
      <c r="EH61" s="2"/>
      <c r="EI61" s="2">
        <v>16163</v>
      </c>
      <c r="EJ61" s="2">
        <v>5074</v>
      </c>
      <c r="EK61" s="2">
        <v>7874</v>
      </c>
      <c r="EL61" s="2">
        <v>10060</v>
      </c>
      <c r="EM61" s="2">
        <v>48008</v>
      </c>
      <c r="EN61" s="2">
        <v>970.53</v>
      </c>
      <c r="EO61" s="2">
        <v>1194.25</v>
      </c>
      <c r="EP61" s="2">
        <v>2756.09</v>
      </c>
      <c r="EQ61" s="2">
        <v>181.04</v>
      </c>
      <c r="ER61" s="2">
        <v>136.22999999999999</v>
      </c>
      <c r="ES61" s="2">
        <v>51.94</v>
      </c>
      <c r="ET61" s="2">
        <v>178.46</v>
      </c>
      <c r="EU61" s="2">
        <v>381.3</v>
      </c>
      <c r="EV61" s="2">
        <v>77.2</v>
      </c>
      <c r="EW61" s="2">
        <v>325.3</v>
      </c>
      <c r="EX61" s="2">
        <v>164.3</v>
      </c>
      <c r="EY61" s="2">
        <v>885.3</v>
      </c>
      <c r="EZ61" s="2">
        <v>645.4</v>
      </c>
      <c r="FA61" s="2">
        <v>3885</v>
      </c>
      <c r="FB61" s="2">
        <v>1647.1</v>
      </c>
      <c r="FC61" s="2">
        <v>2037.7</v>
      </c>
      <c r="FD61" s="2">
        <v>4362.7</v>
      </c>
      <c r="FE61" s="2">
        <v>394.3</v>
      </c>
      <c r="FF61" s="2">
        <v>645.9</v>
      </c>
      <c r="FG61" s="2">
        <v>110.8</v>
      </c>
      <c r="FH61" s="2">
        <v>702.8</v>
      </c>
      <c r="FI61" s="2">
        <v>467.3</v>
      </c>
      <c r="FJ61" s="2">
        <v>645.4</v>
      </c>
      <c r="FK61" s="2">
        <v>3885</v>
      </c>
      <c r="FL61" s="2">
        <v>1647.1</v>
      </c>
      <c r="FM61" s="2">
        <v>2037.7</v>
      </c>
      <c r="FN61" s="2">
        <v>4362.7</v>
      </c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</row>
    <row r="62" spans="1:194" x14ac:dyDescent="0.25">
      <c r="A62" s="2">
        <v>61</v>
      </c>
      <c r="B62" s="2" t="s">
        <v>2491</v>
      </c>
      <c r="C62" s="2" t="s">
        <v>2231</v>
      </c>
      <c r="D62" s="14" t="s">
        <v>2105</v>
      </c>
      <c r="E62" s="1" t="s">
        <v>2217</v>
      </c>
      <c r="H62">
        <v>839</v>
      </c>
      <c r="I62">
        <v>13</v>
      </c>
      <c r="J62" s="2">
        <v>10.44</v>
      </c>
      <c r="K62" s="2">
        <v>14.36</v>
      </c>
      <c r="L62" s="2">
        <v>9.3800000000000008</v>
      </c>
      <c r="M62" s="2">
        <v>19.309999999999999</v>
      </c>
      <c r="N62" s="2">
        <v>7.47</v>
      </c>
      <c r="O62" s="2">
        <v>762</v>
      </c>
      <c r="P62" s="2">
        <v>756</v>
      </c>
      <c r="Q62" s="2"/>
      <c r="R62" s="2"/>
      <c r="S62" s="2">
        <v>56115</v>
      </c>
      <c r="T62" s="2">
        <v>33791</v>
      </c>
      <c r="U62" s="2">
        <v>42831</v>
      </c>
      <c r="V62" s="2">
        <v>45291</v>
      </c>
      <c r="W62" s="2">
        <v>47867</v>
      </c>
      <c r="X62" s="2"/>
      <c r="Y62" s="2">
        <v>1523.2</v>
      </c>
      <c r="Z62" s="2"/>
      <c r="AA62" s="2"/>
      <c r="AB62" s="2"/>
      <c r="AC62" s="2"/>
      <c r="AD62" s="2"/>
      <c r="AE62" s="2"/>
      <c r="AF62" s="2">
        <v>2240</v>
      </c>
      <c r="AG62" s="2">
        <v>2240</v>
      </c>
      <c r="AH62" s="2">
        <v>2240</v>
      </c>
      <c r="AI62" s="2">
        <v>6832</v>
      </c>
      <c r="AJ62" s="2">
        <v>4256</v>
      </c>
      <c r="AK62" s="2"/>
      <c r="AL62" s="2">
        <v>3024</v>
      </c>
      <c r="AM62" s="2"/>
      <c r="AN62" s="2">
        <v>1456</v>
      </c>
      <c r="AO62" s="2"/>
      <c r="AP62" s="2">
        <v>5152</v>
      </c>
      <c r="AQ62" s="2">
        <v>2128</v>
      </c>
      <c r="AR62" s="2"/>
      <c r="AS62">
        <v>4000</v>
      </c>
      <c r="AT62">
        <v>1100</v>
      </c>
      <c r="AU62">
        <v>3420</v>
      </c>
      <c r="AV62">
        <v>2420</v>
      </c>
      <c r="AW62">
        <v>8140.0000000000009</v>
      </c>
      <c r="AX62">
        <v>1080</v>
      </c>
      <c r="AY62">
        <v>8660</v>
      </c>
      <c r="BA62">
        <v>3186.48</v>
      </c>
      <c r="BB62">
        <v>2670.36</v>
      </c>
      <c r="BC62">
        <v>7640.8200000000006</v>
      </c>
      <c r="BD62">
        <v>8370.1200000000008</v>
      </c>
      <c r="BE62" s="2"/>
      <c r="BF62" s="2"/>
      <c r="BG62" s="2"/>
      <c r="BH62" s="2"/>
      <c r="BI62" s="2"/>
      <c r="BJ62" s="2"/>
      <c r="BK62" s="2"/>
      <c r="BL62" s="2"/>
      <c r="BM62" s="2">
        <v>90</v>
      </c>
      <c r="BN62" s="2">
        <v>120</v>
      </c>
      <c r="BO62" s="2">
        <v>170</v>
      </c>
      <c r="BP62" s="2">
        <v>200</v>
      </c>
      <c r="BQ62" s="2">
        <v>2440</v>
      </c>
      <c r="BR62" s="2">
        <v>3550</v>
      </c>
      <c r="BS62" s="2">
        <v>1830</v>
      </c>
      <c r="BT62" s="2">
        <v>4380</v>
      </c>
      <c r="BU62" s="2">
        <v>5400</v>
      </c>
      <c r="BV62" s="2">
        <v>4670</v>
      </c>
      <c r="BW62" s="2">
        <v>2270</v>
      </c>
      <c r="BX62" s="2">
        <v>1770</v>
      </c>
      <c r="BY62" s="2">
        <v>8410</v>
      </c>
      <c r="BZ62" s="2">
        <v>10270</v>
      </c>
      <c r="CA62" s="2">
        <v>177.7</v>
      </c>
      <c r="CB62" s="2">
        <v>2137.61</v>
      </c>
      <c r="CC62" s="2">
        <v>168.5</v>
      </c>
      <c r="CD62" s="2">
        <v>3970</v>
      </c>
      <c r="CE62" s="2">
        <v>3580</v>
      </c>
      <c r="CF62" s="2">
        <v>2540</v>
      </c>
      <c r="CG62" s="2">
        <v>1830</v>
      </c>
      <c r="CH62" s="2">
        <v>1750</v>
      </c>
      <c r="CI62" s="2">
        <v>6700</v>
      </c>
      <c r="CJ62" s="2"/>
      <c r="CK62" s="2"/>
      <c r="CL62" s="2"/>
      <c r="CM62" s="2"/>
      <c r="CN62" s="2"/>
      <c r="CO62" s="2"/>
      <c r="CP62" s="2">
        <v>1857.12</v>
      </c>
      <c r="CQ62" s="2">
        <v>1691.92</v>
      </c>
      <c r="CR62" s="2">
        <v>1474.13</v>
      </c>
      <c r="CS62" s="2">
        <v>528.34</v>
      </c>
      <c r="CT62" s="2">
        <v>329.62</v>
      </c>
      <c r="CU62" s="2">
        <v>288.20999999999998</v>
      </c>
      <c r="CV62" s="2">
        <v>1806.01</v>
      </c>
      <c r="CW62" s="2">
        <v>950.81</v>
      </c>
      <c r="CX62" s="2">
        <v>1258</v>
      </c>
      <c r="CY62" s="2">
        <v>1213.98</v>
      </c>
      <c r="CZ62" s="2">
        <v>3587</v>
      </c>
      <c r="DA62" s="2">
        <v>4468.1099999999997</v>
      </c>
      <c r="DB62" s="2">
        <v>5016.34</v>
      </c>
      <c r="DC62" s="2">
        <v>1276</v>
      </c>
      <c r="DD62" s="2">
        <v>715</v>
      </c>
      <c r="DE62" s="2">
        <v>877</v>
      </c>
      <c r="DF62" s="2">
        <v>1057</v>
      </c>
      <c r="DG62" s="2">
        <v>558</v>
      </c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>
        <v>2574.5100000000002</v>
      </c>
      <c r="DS62" s="2">
        <v>2416.3000000000002</v>
      </c>
      <c r="DT62" s="2">
        <v>1056.3499999999999</v>
      </c>
      <c r="DU62" s="2">
        <v>826.02</v>
      </c>
      <c r="DV62" s="2">
        <v>4709.91</v>
      </c>
      <c r="DW62" s="2">
        <v>2607.96</v>
      </c>
      <c r="DX62" s="2">
        <v>2451.9899999999998</v>
      </c>
      <c r="DY62" s="2">
        <v>4040.5</v>
      </c>
      <c r="DZ62" s="2">
        <v>2800.07</v>
      </c>
      <c r="EA62" s="2">
        <v>1767.93</v>
      </c>
      <c r="EB62" s="2">
        <v>4272.18</v>
      </c>
      <c r="EC62" s="2">
        <v>4210.53</v>
      </c>
      <c r="ED62" s="2">
        <v>3220.45</v>
      </c>
      <c r="EE62" s="2">
        <v>2045.9</v>
      </c>
      <c r="EF62" s="2">
        <v>1742.03</v>
      </c>
      <c r="EG62" s="2">
        <v>4500</v>
      </c>
      <c r="EH62" s="2">
        <v>3400</v>
      </c>
      <c r="EI62" s="2">
        <v>1493</v>
      </c>
      <c r="EJ62" s="2">
        <v>1685</v>
      </c>
      <c r="EK62" s="2">
        <v>1043</v>
      </c>
      <c r="EL62" s="2">
        <v>1472</v>
      </c>
      <c r="EM62" s="2">
        <v>1640</v>
      </c>
      <c r="EN62" s="2">
        <v>995.32</v>
      </c>
      <c r="EO62" s="2">
        <v>3556.22</v>
      </c>
      <c r="EP62" s="2">
        <v>489.03</v>
      </c>
      <c r="EQ62" s="2">
        <v>274.32</v>
      </c>
      <c r="ER62" s="2">
        <v>238.29</v>
      </c>
      <c r="ES62" s="2">
        <v>205.21</v>
      </c>
      <c r="ET62" s="2">
        <v>310.45999999999998</v>
      </c>
      <c r="EU62" s="2">
        <v>2744.8</v>
      </c>
      <c r="EV62" s="2">
        <v>3601.5</v>
      </c>
      <c r="EW62" s="2">
        <v>2035.7</v>
      </c>
      <c r="EX62" s="2">
        <v>1852.4</v>
      </c>
      <c r="EY62" s="2">
        <v>2105.9</v>
      </c>
      <c r="EZ62" s="2">
        <v>4819.5</v>
      </c>
      <c r="FA62" s="2">
        <v>6788.9</v>
      </c>
      <c r="FB62" s="2">
        <v>1083.7</v>
      </c>
      <c r="FC62" s="2">
        <v>6788.3</v>
      </c>
      <c r="FD62" s="2">
        <v>591.6</v>
      </c>
      <c r="FE62" s="2">
        <v>3177.9</v>
      </c>
      <c r="FF62" s="2">
        <v>6258</v>
      </c>
      <c r="FG62" s="2">
        <v>1142.5</v>
      </c>
      <c r="FH62" s="2">
        <v>3326.9</v>
      </c>
      <c r="FI62" s="2">
        <v>906.8</v>
      </c>
      <c r="FJ62" s="2">
        <v>7958.1</v>
      </c>
      <c r="FK62" s="2">
        <v>4219.8</v>
      </c>
      <c r="FL62" s="2">
        <v>1470.8</v>
      </c>
      <c r="FM62" s="2">
        <v>3069.6</v>
      </c>
      <c r="FN62" s="2">
        <v>5121.5</v>
      </c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</row>
    <row r="63" spans="1:194" x14ac:dyDescent="0.25">
      <c r="A63" s="2">
        <v>62</v>
      </c>
      <c r="B63" s="2" t="s">
        <v>1339</v>
      </c>
      <c r="C63" s="2" t="s">
        <v>2207</v>
      </c>
      <c r="D63" s="14" t="s">
        <v>2227</v>
      </c>
      <c r="E63" s="1" t="s">
        <v>2218</v>
      </c>
      <c r="H63"/>
      <c r="J63" s="2"/>
      <c r="K63" s="2">
        <v>112.1</v>
      </c>
      <c r="L63" s="2">
        <v>6.56</v>
      </c>
      <c r="M63" s="2">
        <v>2.2599999999999998</v>
      </c>
      <c r="N63" s="2">
        <v>1.34</v>
      </c>
      <c r="O63" s="2"/>
      <c r="P63" s="2"/>
      <c r="Q63" s="2"/>
      <c r="R63" s="2"/>
      <c r="S63" s="2">
        <v>28989</v>
      </c>
      <c r="T63" s="2">
        <v>19477</v>
      </c>
      <c r="U63" s="2">
        <v>25425</v>
      </c>
      <c r="V63" s="2">
        <v>21802</v>
      </c>
      <c r="W63" s="2">
        <v>25755</v>
      </c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>
        <v>11658.7</v>
      </c>
      <c r="AJ63" s="2"/>
      <c r="AK63" s="2">
        <v>7877.5</v>
      </c>
      <c r="AL63" s="2">
        <v>5671.8</v>
      </c>
      <c r="AM63" s="2">
        <v>12919.099999999999</v>
      </c>
      <c r="AN63" s="2"/>
      <c r="AO63" s="2">
        <v>5671.8</v>
      </c>
      <c r="AP63" s="2"/>
      <c r="AQ63" s="2">
        <v>34661</v>
      </c>
      <c r="AR63" s="2">
        <v>4411.3999999999996</v>
      </c>
      <c r="AS63">
        <v>1070</v>
      </c>
      <c r="AU63">
        <v>548</v>
      </c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>
        <v>1950</v>
      </c>
      <c r="BR63" s="2">
        <v>1540</v>
      </c>
      <c r="BS63" s="2">
        <v>1610</v>
      </c>
      <c r="BT63" s="2">
        <v>112630</v>
      </c>
      <c r="BU63" s="2">
        <v>118700</v>
      </c>
      <c r="BV63" s="2">
        <v>920</v>
      </c>
      <c r="BW63" s="2">
        <v>390</v>
      </c>
      <c r="BX63" s="2">
        <v>320</v>
      </c>
      <c r="BY63" s="2">
        <v>1590</v>
      </c>
      <c r="BZ63" s="2">
        <v>2410</v>
      </c>
      <c r="CA63" s="2">
        <v>279.20999999999998</v>
      </c>
      <c r="CB63" s="2">
        <v>512.73</v>
      </c>
      <c r="CC63" s="2"/>
      <c r="CD63" s="2">
        <v>5850</v>
      </c>
      <c r="CE63" s="2">
        <v>5670</v>
      </c>
      <c r="CF63" s="2">
        <v>3620</v>
      </c>
      <c r="CG63" s="2">
        <v>2260</v>
      </c>
      <c r="CH63" s="2">
        <v>2780</v>
      </c>
      <c r="CI63" s="2">
        <v>1140</v>
      </c>
      <c r="CJ63" s="2">
        <v>8680</v>
      </c>
      <c r="CK63" s="2">
        <v>4190</v>
      </c>
      <c r="CL63" s="2"/>
      <c r="CM63" s="2"/>
      <c r="CN63" s="2"/>
      <c r="CO63" s="2"/>
      <c r="CP63" s="2">
        <v>971.72</v>
      </c>
      <c r="CQ63" s="2">
        <v>1236</v>
      </c>
      <c r="CR63" s="2">
        <v>959.3</v>
      </c>
      <c r="CS63" s="2">
        <v>491.62</v>
      </c>
      <c r="CT63" s="2">
        <v>262.61</v>
      </c>
      <c r="CU63" s="2">
        <v>244.33</v>
      </c>
      <c r="CV63" s="2">
        <v>749.71</v>
      </c>
      <c r="CW63" s="2">
        <v>684.02</v>
      </c>
      <c r="CX63" s="2">
        <v>1223.8900000000001</v>
      </c>
      <c r="CY63" s="2">
        <v>547.12</v>
      </c>
      <c r="CZ63" s="2">
        <v>2827</v>
      </c>
      <c r="DA63" s="2">
        <v>3006</v>
      </c>
      <c r="DB63" s="2">
        <v>2785.23</v>
      </c>
      <c r="DC63" s="2">
        <v>784</v>
      </c>
      <c r="DD63" s="2">
        <v>617</v>
      </c>
      <c r="DE63" s="2">
        <v>565</v>
      </c>
      <c r="DF63" s="2">
        <v>400</v>
      </c>
      <c r="DG63" s="2">
        <v>204</v>
      </c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>
        <v>1149.69</v>
      </c>
      <c r="DS63" s="2">
        <v>1023.78</v>
      </c>
      <c r="DT63" s="2">
        <v>411.99</v>
      </c>
      <c r="DU63" s="2">
        <v>339.86</v>
      </c>
      <c r="DV63" s="2">
        <v>1676.56</v>
      </c>
      <c r="DW63" s="2">
        <v>1493.18</v>
      </c>
      <c r="DX63" s="2">
        <v>1440.31</v>
      </c>
      <c r="DY63" s="2">
        <v>2433.4299999999998</v>
      </c>
      <c r="DZ63" s="2">
        <v>1654.87</v>
      </c>
      <c r="EA63" s="2">
        <v>1496.32</v>
      </c>
      <c r="EB63" s="2">
        <v>2156.1</v>
      </c>
      <c r="EC63" s="2">
        <v>2828.38</v>
      </c>
      <c r="ED63" s="2">
        <v>2574.71</v>
      </c>
      <c r="EE63" s="2">
        <v>1568.36</v>
      </c>
      <c r="EF63" s="2">
        <v>1385.42</v>
      </c>
      <c r="EG63" s="2"/>
      <c r="EH63" s="2"/>
      <c r="EI63" s="2">
        <v>1285</v>
      </c>
      <c r="EJ63" s="2">
        <v>569</v>
      </c>
      <c r="EK63" s="2">
        <v>771</v>
      </c>
      <c r="EL63" s="2">
        <v>875</v>
      </c>
      <c r="EM63" s="2">
        <v>1476</v>
      </c>
      <c r="EN63" s="2">
        <v>168.05</v>
      </c>
      <c r="EO63" s="2">
        <v>327.82</v>
      </c>
      <c r="EP63" s="2">
        <v>518.11</v>
      </c>
      <c r="EQ63" s="2">
        <v>98.37</v>
      </c>
      <c r="ER63" s="2">
        <v>84.59</v>
      </c>
      <c r="ES63" s="2">
        <v>73.77</v>
      </c>
      <c r="ET63" s="2">
        <v>113.02</v>
      </c>
      <c r="EU63" s="2">
        <v>8001.7</v>
      </c>
      <c r="EV63" s="2">
        <v>2805.5</v>
      </c>
      <c r="EW63" s="2">
        <v>9928.9</v>
      </c>
      <c r="EX63" s="2">
        <v>3969.1</v>
      </c>
      <c r="EY63" s="2">
        <v>35212</v>
      </c>
      <c r="EZ63" s="2">
        <v>18843.599999999999</v>
      </c>
      <c r="FA63" s="2">
        <v>11579.4</v>
      </c>
      <c r="FB63" s="2">
        <v>12982.1</v>
      </c>
      <c r="FC63" s="2">
        <v>7855.7</v>
      </c>
      <c r="FD63" s="2">
        <v>5794.9</v>
      </c>
      <c r="FE63" s="2">
        <v>3469.8</v>
      </c>
      <c r="FF63" s="2">
        <v>7593.4</v>
      </c>
      <c r="FG63" s="2">
        <v>2237.3000000000002</v>
      </c>
      <c r="FH63" s="2">
        <v>3681.5</v>
      </c>
      <c r="FI63" s="2">
        <v>4426.6000000000004</v>
      </c>
      <c r="FJ63" s="2">
        <v>18843.599999999999</v>
      </c>
      <c r="FK63" s="2">
        <v>11579.4</v>
      </c>
      <c r="FL63" s="2">
        <v>12982.1</v>
      </c>
      <c r="FM63" s="2">
        <v>7855.7</v>
      </c>
      <c r="FN63" s="2">
        <v>5794.9</v>
      </c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</row>
    <row r="64" spans="1:194" x14ac:dyDescent="0.25">
      <c r="A64" s="2">
        <v>63</v>
      </c>
      <c r="B64" s="2" t="s">
        <v>1311</v>
      </c>
      <c r="C64" s="2" t="s">
        <v>2189</v>
      </c>
      <c r="D64" s="12" t="s">
        <v>2228</v>
      </c>
      <c r="E64" s="1" t="s">
        <v>2179</v>
      </c>
      <c r="H64" s="20">
        <v>3483</v>
      </c>
      <c r="I64">
        <v>232</v>
      </c>
      <c r="J64" s="2">
        <v>36.04</v>
      </c>
      <c r="K64" s="2">
        <v>45.49</v>
      </c>
      <c r="L64" s="2">
        <v>31.18</v>
      </c>
      <c r="M64" s="2">
        <v>47.71</v>
      </c>
      <c r="N64" s="2">
        <v>11.06</v>
      </c>
      <c r="O64" s="2">
        <v>429</v>
      </c>
      <c r="P64" s="2">
        <v>446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>
        <v>17200</v>
      </c>
      <c r="AT64">
        <v>7910</v>
      </c>
      <c r="AU64">
        <v>11200</v>
      </c>
      <c r="AV64">
        <v>5670</v>
      </c>
      <c r="AW64">
        <v>12200</v>
      </c>
      <c r="AX64">
        <v>5550</v>
      </c>
      <c r="AY64">
        <v>10900</v>
      </c>
      <c r="AZ64">
        <v>1030</v>
      </c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>
        <v>26170</v>
      </c>
      <c r="BU64" s="2">
        <v>65710</v>
      </c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>
        <v>446.34</v>
      </c>
      <c r="CQ64" s="2">
        <v>338.32</v>
      </c>
      <c r="CR64" s="2">
        <v>620.21</v>
      </c>
      <c r="CS64" s="2">
        <v>266</v>
      </c>
      <c r="CT64" s="2">
        <v>239.72</v>
      </c>
      <c r="CU64" s="2">
        <v>256</v>
      </c>
      <c r="CV64" s="2">
        <v>1159</v>
      </c>
      <c r="CW64" s="2">
        <v>397.43</v>
      </c>
      <c r="CX64" s="2">
        <v>575.21</v>
      </c>
      <c r="CY64" s="2">
        <v>283.42</v>
      </c>
      <c r="CZ64" s="2">
        <v>1105</v>
      </c>
      <c r="DA64" s="2">
        <v>996.51</v>
      </c>
      <c r="DB64" s="2">
        <v>935.93</v>
      </c>
      <c r="DC64" s="2"/>
      <c r="DD64" s="2"/>
      <c r="DE64" s="2"/>
      <c r="DF64" s="2"/>
      <c r="DG64" s="2">
        <v>39</v>
      </c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>
        <v>197070</v>
      </c>
      <c r="EJ64" s="2">
        <v>236620</v>
      </c>
      <c r="EK64" s="2">
        <v>104390</v>
      </c>
      <c r="EL64" s="2">
        <v>154470</v>
      </c>
      <c r="EM64" s="2">
        <v>455730</v>
      </c>
      <c r="EN64" s="2">
        <v>519.46</v>
      </c>
      <c r="EO64" s="2">
        <v>591.5</v>
      </c>
      <c r="EP64" s="2"/>
      <c r="EQ64" s="2"/>
      <c r="ER64" s="2"/>
      <c r="ES64" s="2"/>
      <c r="ET64" s="2"/>
      <c r="EU64" s="2">
        <v>510.4</v>
      </c>
      <c r="EV64" s="2">
        <v>199.4</v>
      </c>
      <c r="EW64" s="2">
        <v>476.4</v>
      </c>
      <c r="EX64" s="2">
        <v>208.3</v>
      </c>
      <c r="EY64" s="2">
        <v>2920</v>
      </c>
      <c r="EZ64" s="2">
        <v>540.9</v>
      </c>
      <c r="FA64" s="2">
        <v>354.3</v>
      </c>
      <c r="FB64" s="2">
        <v>125.4</v>
      </c>
      <c r="FC64" s="2">
        <v>178.2</v>
      </c>
      <c r="FD64" s="2">
        <v>42.4</v>
      </c>
      <c r="FE64" s="2">
        <v>11.8</v>
      </c>
      <c r="FF64" s="2">
        <v>11.5</v>
      </c>
      <c r="FG64" s="2">
        <v>66.099999999999994</v>
      </c>
      <c r="FH64" s="2">
        <v>14.6</v>
      </c>
      <c r="FI64" s="2">
        <v>17.399999999999999</v>
      </c>
      <c r="FJ64" s="2">
        <v>78.599999999999994</v>
      </c>
      <c r="FK64" s="2"/>
      <c r="FL64" s="2">
        <v>42.5</v>
      </c>
      <c r="FM64" s="2"/>
      <c r="FN64" s="2">
        <v>33.200000000000003</v>
      </c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</row>
    <row r="65" spans="57:145" x14ac:dyDescent="0.25"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</row>
    <row r="66" spans="57:145" x14ac:dyDescent="0.25"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484A6-72E0-485F-B9C5-1E1680DF8439}">
  <dimension ref="A1:AG64"/>
  <sheetViews>
    <sheetView zoomScale="85" zoomScaleNormal="85" workbookViewId="0">
      <selection activeCell="AF2" sqref="AF2:AG64"/>
    </sheetView>
  </sheetViews>
  <sheetFormatPr defaultRowHeight="13.8" x14ac:dyDescent="0.25"/>
  <cols>
    <col min="2" max="2" width="9.88671875" bestFit="1" customWidth="1"/>
    <col min="26" max="26" width="16.44140625" customWidth="1"/>
    <col min="27" max="27" width="20.6640625" customWidth="1"/>
  </cols>
  <sheetData>
    <row r="1" spans="1:33" ht="97.2" thickBot="1" x14ac:dyDescent="0.3">
      <c r="A1" s="6" t="s">
        <v>6</v>
      </c>
      <c r="B1" s="6" t="s">
        <v>685</v>
      </c>
      <c r="C1" s="6" t="s">
        <v>803</v>
      </c>
      <c r="D1" s="6" t="s">
        <v>804</v>
      </c>
      <c r="E1" s="6" t="s">
        <v>805</v>
      </c>
      <c r="F1" s="6" t="s">
        <v>806</v>
      </c>
      <c r="G1" s="5"/>
      <c r="H1" s="13" t="s">
        <v>2015</v>
      </c>
      <c r="I1" s="13" t="s">
        <v>2107</v>
      </c>
      <c r="M1" s="17" t="s">
        <v>2349</v>
      </c>
      <c r="N1" s="17" t="s">
        <v>2350</v>
      </c>
      <c r="O1" s="17" t="s">
        <v>2351</v>
      </c>
      <c r="P1" s="17" t="s">
        <v>2352</v>
      </c>
      <c r="S1" s="17" t="s">
        <v>2349</v>
      </c>
      <c r="T1" s="17" t="s">
        <v>2423</v>
      </c>
      <c r="U1" s="17" t="s">
        <v>2424</v>
      </c>
      <c r="V1" s="17" t="s">
        <v>2351</v>
      </c>
      <c r="W1" s="17" t="s">
        <v>2352</v>
      </c>
    </row>
    <row r="2" spans="1:33" ht="42" thickBot="1" x14ac:dyDescent="0.3">
      <c r="A2" s="6" t="s">
        <v>7</v>
      </c>
      <c r="B2" s="6">
        <v>55.3</v>
      </c>
      <c r="C2" s="6" t="s">
        <v>8</v>
      </c>
      <c r="D2" s="6" t="s">
        <v>807</v>
      </c>
      <c r="E2" s="6">
        <v>137558</v>
      </c>
      <c r="F2" s="6">
        <v>26890</v>
      </c>
      <c r="G2" s="4"/>
      <c r="H2" s="6" t="s">
        <v>2016</v>
      </c>
      <c r="I2" s="6" t="s">
        <v>1291</v>
      </c>
      <c r="M2" s="18">
        <v>1</v>
      </c>
      <c r="N2" s="18" t="s">
        <v>7</v>
      </c>
      <c r="O2" s="18" t="s">
        <v>8</v>
      </c>
      <c r="P2" s="18" t="s">
        <v>2364</v>
      </c>
      <c r="S2" s="18">
        <v>1</v>
      </c>
      <c r="T2" s="18" t="s">
        <v>2016</v>
      </c>
      <c r="U2" s="18">
        <v>55.3</v>
      </c>
      <c r="V2" s="18" t="s">
        <v>8</v>
      </c>
      <c r="W2" s="18" t="s">
        <v>2364</v>
      </c>
      <c r="Z2" t="s">
        <v>8</v>
      </c>
      <c r="AA2" t="s">
        <v>2364</v>
      </c>
      <c r="AC2" t="str">
        <f>_xlfn.TEXTBEFORE(Z2,"±")</f>
        <v xml:space="preserve">7,606,936 </v>
      </c>
      <c r="AD2" t="str">
        <f>_xlfn.TEXTBEFORE(AA2,"±")</f>
        <v xml:space="preserve">1,487,026 </v>
      </c>
      <c r="AF2" s="20">
        <v>7606936</v>
      </c>
      <c r="AG2" s="20">
        <v>1487026</v>
      </c>
    </row>
    <row r="3" spans="1:33" ht="42" thickBot="1" x14ac:dyDescent="0.3">
      <c r="A3" s="6" t="s">
        <v>9</v>
      </c>
      <c r="B3" s="6">
        <v>81.5</v>
      </c>
      <c r="C3" s="6" t="s">
        <v>808</v>
      </c>
      <c r="D3" s="6" t="s">
        <v>809</v>
      </c>
      <c r="E3" s="6">
        <v>7634</v>
      </c>
      <c r="F3" s="6">
        <v>2674</v>
      </c>
      <c r="G3" s="4"/>
      <c r="H3" s="6" t="s">
        <v>2017</v>
      </c>
      <c r="I3" s="6" t="s">
        <v>1320</v>
      </c>
      <c r="M3" s="18">
        <v>2</v>
      </c>
      <c r="N3" s="18" t="s">
        <v>9</v>
      </c>
      <c r="O3" s="18" t="s">
        <v>2365</v>
      </c>
      <c r="P3" s="18" t="s">
        <v>809</v>
      </c>
      <c r="S3" s="18">
        <v>2</v>
      </c>
      <c r="T3" s="18" t="s">
        <v>2081</v>
      </c>
      <c r="U3" s="18">
        <v>7</v>
      </c>
      <c r="V3" s="18" t="s">
        <v>2371</v>
      </c>
      <c r="W3" s="18" t="s">
        <v>2372</v>
      </c>
      <c r="Z3" t="s">
        <v>2371</v>
      </c>
      <c r="AA3" t="s">
        <v>2372</v>
      </c>
      <c r="AC3" t="str">
        <f t="shared" ref="AC3:AC64" si="0">_xlfn.TEXTBEFORE(Z3,"±")</f>
        <v xml:space="preserve">1,847 </v>
      </c>
      <c r="AD3" t="str">
        <f t="shared" ref="AD3:AD64" si="1">_xlfn.TEXTBEFORE(AA3,"±")</f>
        <v xml:space="preserve">2,783 </v>
      </c>
      <c r="AF3" s="20">
        <v>1847</v>
      </c>
      <c r="AG3" s="20">
        <v>2783</v>
      </c>
    </row>
    <row r="4" spans="1:33" ht="42" thickBot="1" x14ac:dyDescent="0.3">
      <c r="A4" s="6" t="s">
        <v>10</v>
      </c>
      <c r="B4" s="6">
        <v>26.8</v>
      </c>
      <c r="C4" s="6" t="s">
        <v>810</v>
      </c>
      <c r="D4" s="6" t="s">
        <v>811</v>
      </c>
      <c r="E4" s="6">
        <v>5369</v>
      </c>
      <c r="F4" s="6">
        <v>1673</v>
      </c>
      <c r="G4" s="4"/>
      <c r="H4" s="6" t="s">
        <v>2018</v>
      </c>
      <c r="I4" s="6" t="s">
        <v>1277</v>
      </c>
      <c r="M4" s="18">
        <v>3</v>
      </c>
      <c r="N4" s="18" t="s">
        <v>10</v>
      </c>
      <c r="O4" s="18" t="s">
        <v>2366</v>
      </c>
      <c r="P4" s="18" t="s">
        <v>2367</v>
      </c>
      <c r="S4" s="18">
        <v>3</v>
      </c>
      <c r="T4" s="18" t="s">
        <v>2017</v>
      </c>
      <c r="U4" s="18">
        <v>81.5</v>
      </c>
      <c r="V4" s="18" t="s">
        <v>2365</v>
      </c>
      <c r="W4" s="18" t="s">
        <v>809</v>
      </c>
      <c r="Z4" t="s">
        <v>2365</v>
      </c>
      <c r="AA4" t="s">
        <v>809</v>
      </c>
      <c r="AC4" t="str">
        <f t="shared" si="0"/>
        <v xml:space="preserve">622,200 </v>
      </c>
      <c r="AD4" t="str">
        <f t="shared" si="1"/>
        <v xml:space="preserve">217,932 </v>
      </c>
      <c r="AF4" s="20">
        <v>622200</v>
      </c>
      <c r="AG4" s="20">
        <v>217932</v>
      </c>
    </row>
    <row r="5" spans="1:33" ht="42" thickBot="1" x14ac:dyDescent="0.3">
      <c r="A5" s="6" t="s">
        <v>11</v>
      </c>
      <c r="B5" s="6">
        <v>12.9</v>
      </c>
      <c r="C5" s="6" t="s">
        <v>812</v>
      </c>
      <c r="D5" s="6" t="s">
        <v>813</v>
      </c>
      <c r="E5" s="6">
        <v>3401</v>
      </c>
      <c r="F5" s="6">
        <v>185</v>
      </c>
      <c r="G5" s="3"/>
      <c r="H5" s="6" t="s">
        <v>2022</v>
      </c>
      <c r="I5" s="6" t="s">
        <v>1313</v>
      </c>
      <c r="M5" s="18">
        <v>4</v>
      </c>
      <c r="N5" s="18" t="s">
        <v>11</v>
      </c>
      <c r="O5" s="18" t="s">
        <v>2368</v>
      </c>
      <c r="P5" s="18" t="s">
        <v>2369</v>
      </c>
      <c r="S5" s="18">
        <v>4</v>
      </c>
      <c r="T5" s="18" t="s">
        <v>2021</v>
      </c>
      <c r="U5" s="19">
        <v>32600</v>
      </c>
      <c r="V5" s="18" t="s">
        <v>24</v>
      </c>
      <c r="W5" s="18" t="s">
        <v>2377</v>
      </c>
      <c r="Z5" t="s">
        <v>24</v>
      </c>
      <c r="AA5" t="s">
        <v>2377</v>
      </c>
      <c r="AC5" t="str">
        <f t="shared" si="0"/>
        <v xml:space="preserve">1,772,911 </v>
      </c>
      <c r="AD5" t="str">
        <f t="shared" si="1"/>
        <v xml:space="preserve">985,274 </v>
      </c>
      <c r="AF5" s="20">
        <v>1772911</v>
      </c>
      <c r="AG5" s="20">
        <v>985274</v>
      </c>
    </row>
    <row r="6" spans="1:33" ht="55.8" thickBot="1" x14ac:dyDescent="0.3">
      <c r="A6" s="6" t="s">
        <v>12</v>
      </c>
      <c r="B6" s="6">
        <v>0.4</v>
      </c>
      <c r="C6" s="6" t="s">
        <v>13</v>
      </c>
      <c r="D6" s="6" t="s">
        <v>814</v>
      </c>
      <c r="E6" s="6">
        <v>467</v>
      </c>
      <c r="F6" s="6">
        <v>65</v>
      </c>
      <c r="G6" s="3"/>
      <c r="H6" s="6" t="s">
        <v>2080</v>
      </c>
      <c r="I6" s="6" t="s">
        <v>2011</v>
      </c>
      <c r="M6" s="18">
        <v>5</v>
      </c>
      <c r="N6" s="18" t="s">
        <v>12</v>
      </c>
      <c r="O6" s="18" t="s">
        <v>13</v>
      </c>
      <c r="P6" s="18" t="s">
        <v>814</v>
      </c>
      <c r="S6" s="18">
        <v>5</v>
      </c>
      <c r="T6" s="18" t="s">
        <v>2022</v>
      </c>
      <c r="U6" s="18">
        <v>12.9</v>
      </c>
      <c r="V6" s="18" t="s">
        <v>2368</v>
      </c>
      <c r="W6" s="18" t="s">
        <v>2369</v>
      </c>
      <c r="Z6" t="s">
        <v>2368</v>
      </c>
      <c r="AA6" t="s">
        <v>2369</v>
      </c>
      <c r="AC6" t="str">
        <f t="shared" si="0"/>
        <v xml:space="preserve">43,878 </v>
      </c>
      <c r="AD6" t="str">
        <f t="shared" si="1"/>
        <v xml:space="preserve">2,382 </v>
      </c>
      <c r="AF6" s="20">
        <v>43878</v>
      </c>
      <c r="AG6" s="20">
        <v>2382</v>
      </c>
    </row>
    <row r="7" spans="1:33" ht="42" thickBot="1" x14ac:dyDescent="0.3">
      <c r="A7" s="6" t="s">
        <v>815</v>
      </c>
      <c r="B7" s="6">
        <v>2520</v>
      </c>
      <c r="C7" s="6" t="s">
        <v>15</v>
      </c>
      <c r="D7" s="6" t="s">
        <v>816</v>
      </c>
      <c r="E7" s="6">
        <v>447</v>
      </c>
      <c r="F7" s="6">
        <v>287</v>
      </c>
      <c r="G7" s="4"/>
      <c r="H7" s="6" t="s">
        <v>2023</v>
      </c>
      <c r="I7" s="6" t="s">
        <v>482</v>
      </c>
      <c r="M7" s="18">
        <v>6</v>
      </c>
      <c r="N7" s="18" t="s">
        <v>14</v>
      </c>
      <c r="O7" s="18" t="s">
        <v>15</v>
      </c>
      <c r="P7" s="18" t="s">
        <v>816</v>
      </c>
      <c r="S7" s="18">
        <v>6</v>
      </c>
      <c r="T7" s="18" t="s">
        <v>2018</v>
      </c>
      <c r="U7" s="18">
        <v>26.8</v>
      </c>
      <c r="V7" s="18" t="s">
        <v>2366</v>
      </c>
      <c r="W7" s="18" t="s">
        <v>2367</v>
      </c>
      <c r="Z7" t="s">
        <v>2366</v>
      </c>
      <c r="AA7" t="s">
        <v>2367</v>
      </c>
      <c r="AC7" t="str">
        <f t="shared" si="0"/>
        <v xml:space="preserve">143,889 </v>
      </c>
      <c r="AD7" t="str">
        <f t="shared" si="1"/>
        <v xml:space="preserve">44,849 </v>
      </c>
      <c r="AF7" s="20">
        <v>143889</v>
      </c>
      <c r="AG7" s="20">
        <v>44849</v>
      </c>
    </row>
    <row r="8" spans="1:33" ht="42" thickBot="1" x14ac:dyDescent="0.3">
      <c r="A8" s="6" t="s">
        <v>16</v>
      </c>
      <c r="B8" s="6">
        <v>964</v>
      </c>
      <c r="C8" s="6" t="s">
        <v>17</v>
      </c>
      <c r="D8" s="6" t="s">
        <v>817</v>
      </c>
      <c r="E8" s="6">
        <v>307</v>
      </c>
      <c r="F8" s="6">
        <v>82</v>
      </c>
      <c r="G8" s="4"/>
      <c r="H8" s="6" t="s">
        <v>2019</v>
      </c>
      <c r="I8" s="6" t="s">
        <v>522</v>
      </c>
      <c r="M8" s="18">
        <v>7</v>
      </c>
      <c r="N8" s="18" t="s">
        <v>16</v>
      </c>
      <c r="O8" s="18" t="s">
        <v>17</v>
      </c>
      <c r="P8" s="18" t="s">
        <v>2370</v>
      </c>
      <c r="S8" s="18">
        <v>7</v>
      </c>
      <c r="T8" s="18" t="s">
        <v>2097</v>
      </c>
      <c r="U8" s="19">
        <v>13200</v>
      </c>
      <c r="V8" s="18" t="s">
        <v>2395</v>
      </c>
      <c r="W8" s="18" t="s">
        <v>2396</v>
      </c>
      <c r="Z8" t="s">
        <v>2395</v>
      </c>
      <c r="AA8" t="s">
        <v>2396</v>
      </c>
      <c r="AC8" t="str">
        <f t="shared" si="0"/>
        <v xml:space="preserve">44,450 </v>
      </c>
      <c r="AD8" t="str">
        <f t="shared" si="1"/>
        <v xml:space="preserve">5,859 </v>
      </c>
      <c r="AF8" s="20">
        <v>44450</v>
      </c>
      <c r="AG8" s="20">
        <v>5859</v>
      </c>
    </row>
    <row r="9" spans="1:33" ht="42" thickBot="1" x14ac:dyDescent="0.3">
      <c r="A9" s="6" t="s">
        <v>18</v>
      </c>
      <c r="B9" s="6">
        <v>7</v>
      </c>
      <c r="C9" s="6" t="s">
        <v>19</v>
      </c>
      <c r="D9" s="6" t="s">
        <v>818</v>
      </c>
      <c r="E9" s="6">
        <v>264</v>
      </c>
      <c r="F9" s="6">
        <v>398</v>
      </c>
      <c r="G9" s="3"/>
      <c r="H9" s="6" t="s">
        <v>2081</v>
      </c>
      <c r="I9" s="6" t="s">
        <v>2082</v>
      </c>
      <c r="M9" s="18">
        <v>8</v>
      </c>
      <c r="N9" s="18" t="s">
        <v>18</v>
      </c>
      <c r="O9" s="18" t="s">
        <v>2371</v>
      </c>
      <c r="P9" s="18" t="s">
        <v>2372</v>
      </c>
      <c r="S9" s="18">
        <v>8</v>
      </c>
      <c r="T9" s="18" t="s">
        <v>2425</v>
      </c>
      <c r="U9" s="18" t="s">
        <v>2426</v>
      </c>
      <c r="V9" s="18" t="s">
        <v>2426</v>
      </c>
      <c r="W9" s="18" t="s">
        <v>2426</v>
      </c>
      <c r="Z9" t="s">
        <v>2426</v>
      </c>
      <c r="AA9" t="s">
        <v>2426</v>
      </c>
      <c r="AC9" t="e">
        <f t="shared" si="0"/>
        <v>#N/A</v>
      </c>
      <c r="AD9" t="e">
        <f t="shared" si="1"/>
        <v>#N/A</v>
      </c>
    </row>
    <row r="10" spans="1:33" ht="55.8" thickBot="1" x14ac:dyDescent="0.3">
      <c r="A10" s="6" t="s">
        <v>819</v>
      </c>
      <c r="B10" s="6">
        <v>57</v>
      </c>
      <c r="C10" s="6" t="s">
        <v>820</v>
      </c>
      <c r="D10" s="6" t="s">
        <v>821</v>
      </c>
      <c r="E10" s="6">
        <v>166</v>
      </c>
      <c r="F10" s="6">
        <v>154</v>
      </c>
      <c r="G10" s="3"/>
      <c r="H10" s="6" t="s">
        <v>2083</v>
      </c>
      <c r="I10" s="6" t="s">
        <v>2084</v>
      </c>
      <c r="M10" s="18">
        <v>9</v>
      </c>
      <c r="N10" s="18" t="s">
        <v>819</v>
      </c>
      <c r="O10" s="18" t="s">
        <v>2373</v>
      </c>
      <c r="P10" s="18" t="s">
        <v>2374</v>
      </c>
      <c r="S10" s="18">
        <v>9</v>
      </c>
      <c r="T10" s="18" t="s">
        <v>2427</v>
      </c>
      <c r="U10" s="18" t="s">
        <v>1164</v>
      </c>
      <c r="V10" s="18" t="s">
        <v>2411</v>
      </c>
      <c r="W10" s="18" t="s">
        <v>2412</v>
      </c>
      <c r="Z10" t="s">
        <v>2411</v>
      </c>
      <c r="AA10" t="s">
        <v>2412</v>
      </c>
      <c r="AC10" t="str">
        <f t="shared" si="0"/>
        <v xml:space="preserve">4,268 </v>
      </c>
      <c r="AD10" t="str">
        <f t="shared" si="1"/>
        <v xml:space="preserve">6,739 </v>
      </c>
      <c r="AF10" s="20">
        <v>4268</v>
      </c>
      <c r="AG10" s="20">
        <v>6739</v>
      </c>
    </row>
    <row r="11" spans="1:33" ht="69.599999999999994" thickBot="1" x14ac:dyDescent="0.3">
      <c r="A11" s="6" t="s">
        <v>20</v>
      </c>
      <c r="B11" s="6">
        <v>6</v>
      </c>
      <c r="C11" s="6" t="s">
        <v>21</v>
      </c>
      <c r="D11" s="6" t="s">
        <v>822</v>
      </c>
      <c r="E11" s="6">
        <v>155</v>
      </c>
      <c r="F11" s="6">
        <v>101</v>
      </c>
      <c r="G11" s="4"/>
      <c r="H11" s="6" t="s">
        <v>2085</v>
      </c>
      <c r="I11" s="6" t="s">
        <v>2086</v>
      </c>
      <c r="M11" s="18">
        <v>10</v>
      </c>
      <c r="N11" s="18" t="s">
        <v>20</v>
      </c>
      <c r="O11" s="18" t="s">
        <v>21</v>
      </c>
      <c r="P11" s="18" t="s">
        <v>822</v>
      </c>
      <c r="S11" s="18">
        <v>10</v>
      </c>
      <c r="T11" s="18" t="s">
        <v>2085</v>
      </c>
      <c r="U11" s="18">
        <v>6</v>
      </c>
      <c r="V11" s="18" t="s">
        <v>21</v>
      </c>
      <c r="W11" s="18" t="s">
        <v>822</v>
      </c>
      <c r="Z11" t="s">
        <v>21</v>
      </c>
      <c r="AA11" t="s">
        <v>822</v>
      </c>
      <c r="AC11" t="str">
        <f t="shared" si="0"/>
        <v xml:space="preserve">932 </v>
      </c>
      <c r="AD11" t="str">
        <f t="shared" si="1"/>
        <v xml:space="preserve">605 </v>
      </c>
      <c r="AF11">
        <v>932</v>
      </c>
      <c r="AG11">
        <v>605</v>
      </c>
    </row>
    <row r="12" spans="1:33" ht="42" thickBot="1" x14ac:dyDescent="0.3">
      <c r="A12" s="6" t="s">
        <v>823</v>
      </c>
      <c r="B12" s="6">
        <v>389</v>
      </c>
      <c r="C12" s="6" t="s">
        <v>824</v>
      </c>
      <c r="D12" s="6" t="s">
        <v>825</v>
      </c>
      <c r="E12" s="6">
        <v>146</v>
      </c>
      <c r="F12" s="6">
        <v>35</v>
      </c>
      <c r="G12" s="4"/>
      <c r="H12" s="6" t="s">
        <v>2020</v>
      </c>
      <c r="I12" s="6" t="s">
        <v>506</v>
      </c>
      <c r="M12" s="18">
        <v>11</v>
      </c>
      <c r="N12" s="18" t="s">
        <v>22</v>
      </c>
      <c r="O12" s="18" t="s">
        <v>2375</v>
      </c>
      <c r="P12" s="18" t="s">
        <v>2376</v>
      </c>
      <c r="S12" s="18">
        <v>11</v>
      </c>
      <c r="T12" s="18" t="s">
        <v>708</v>
      </c>
      <c r="U12" s="18" t="s">
        <v>2426</v>
      </c>
      <c r="V12" s="18" t="s">
        <v>2426</v>
      </c>
      <c r="W12" s="18" t="s">
        <v>2426</v>
      </c>
      <c r="Z12" t="s">
        <v>2426</v>
      </c>
      <c r="AA12" t="s">
        <v>2426</v>
      </c>
      <c r="AC12" t="e">
        <f t="shared" si="0"/>
        <v>#N/A</v>
      </c>
      <c r="AD12" t="e">
        <f t="shared" si="1"/>
        <v>#N/A</v>
      </c>
    </row>
    <row r="13" spans="1:33" ht="42" thickBot="1" x14ac:dyDescent="0.3">
      <c r="A13" s="6" t="s">
        <v>23</v>
      </c>
      <c r="B13" s="11">
        <v>32600</v>
      </c>
      <c r="C13" s="6" t="s">
        <v>24</v>
      </c>
      <c r="D13" s="6" t="s">
        <v>826</v>
      </c>
      <c r="E13" s="6">
        <v>54</v>
      </c>
      <c r="F13" s="6">
        <v>30</v>
      </c>
      <c r="G13" s="4"/>
      <c r="H13" s="6" t="s">
        <v>2021</v>
      </c>
      <c r="I13" s="6" t="s">
        <v>1273</v>
      </c>
      <c r="M13" s="18">
        <v>12</v>
      </c>
      <c r="N13" s="18" t="s">
        <v>23</v>
      </c>
      <c r="O13" s="18" t="s">
        <v>24</v>
      </c>
      <c r="P13" s="18" t="s">
        <v>2377</v>
      </c>
      <c r="S13" s="18">
        <v>12</v>
      </c>
      <c r="T13" s="18" t="s">
        <v>2428</v>
      </c>
      <c r="U13" s="18" t="s">
        <v>2426</v>
      </c>
      <c r="V13" s="18" t="s">
        <v>2426</v>
      </c>
      <c r="W13" s="18" t="s">
        <v>2426</v>
      </c>
      <c r="Z13" t="s">
        <v>2426</v>
      </c>
      <c r="AA13" t="s">
        <v>2426</v>
      </c>
      <c r="AC13" t="e">
        <f t="shared" si="0"/>
        <v>#N/A</v>
      </c>
      <c r="AD13" t="e">
        <f t="shared" si="1"/>
        <v>#N/A</v>
      </c>
    </row>
    <row r="14" spans="1:33" ht="42" thickBot="1" x14ac:dyDescent="0.3">
      <c r="A14" s="6" t="s">
        <v>25</v>
      </c>
      <c r="B14" s="6">
        <v>2730</v>
      </c>
      <c r="C14" s="6" t="s">
        <v>827</v>
      </c>
      <c r="D14" s="6" t="s">
        <v>828</v>
      </c>
      <c r="E14" s="6">
        <v>54</v>
      </c>
      <c r="F14" s="6">
        <v>15</v>
      </c>
      <c r="G14" s="3"/>
      <c r="H14" s="6" t="s">
        <v>2024</v>
      </c>
      <c r="I14" s="6" t="s">
        <v>377</v>
      </c>
      <c r="M14" s="18">
        <v>13</v>
      </c>
      <c r="N14" s="18" t="s">
        <v>25</v>
      </c>
      <c r="O14" s="18" t="s">
        <v>2378</v>
      </c>
      <c r="P14" s="18" t="s">
        <v>2379</v>
      </c>
      <c r="S14" s="18">
        <v>13</v>
      </c>
      <c r="T14" s="18" t="s">
        <v>2429</v>
      </c>
      <c r="U14" s="18" t="s">
        <v>2426</v>
      </c>
      <c r="V14" s="18" t="s">
        <v>2426</v>
      </c>
      <c r="W14" s="18" t="s">
        <v>2426</v>
      </c>
      <c r="Z14" t="s">
        <v>2426</v>
      </c>
      <c r="AA14" t="s">
        <v>2426</v>
      </c>
      <c r="AC14" t="e">
        <f t="shared" si="0"/>
        <v>#N/A</v>
      </c>
      <c r="AD14" t="e">
        <f t="shared" si="1"/>
        <v>#N/A</v>
      </c>
    </row>
    <row r="15" spans="1:33" ht="55.8" thickBot="1" x14ac:dyDescent="0.3">
      <c r="A15" s="6" t="s">
        <v>26</v>
      </c>
      <c r="B15" s="6">
        <v>7.12</v>
      </c>
      <c r="C15" s="6" t="s">
        <v>27</v>
      </c>
      <c r="D15" s="6" t="s">
        <v>28</v>
      </c>
      <c r="E15" s="6" t="s">
        <v>28</v>
      </c>
      <c r="F15" s="6" t="s">
        <v>28</v>
      </c>
      <c r="G15" s="3"/>
      <c r="H15" s="6" t="s">
        <v>2087</v>
      </c>
      <c r="I15" s="6" t="s">
        <v>2088</v>
      </c>
      <c r="M15" s="18">
        <v>14</v>
      </c>
      <c r="N15" s="18" t="s">
        <v>26</v>
      </c>
      <c r="O15" s="18" t="s">
        <v>27</v>
      </c>
      <c r="P15" s="18" t="s">
        <v>1164</v>
      </c>
      <c r="S15" s="18">
        <v>14</v>
      </c>
      <c r="T15" s="18" t="s">
        <v>2092</v>
      </c>
      <c r="U15" s="19">
        <v>1890</v>
      </c>
      <c r="V15" s="18" t="s">
        <v>34</v>
      </c>
      <c r="W15" s="18" t="s">
        <v>60</v>
      </c>
      <c r="Z15" t="s">
        <v>34</v>
      </c>
      <c r="AA15" t="s">
        <v>60</v>
      </c>
      <c r="AC15" t="str">
        <f t="shared" si="0"/>
        <v xml:space="preserve">28,416 </v>
      </c>
      <c r="AD15" t="str">
        <f t="shared" si="1"/>
        <v xml:space="preserve">146 </v>
      </c>
      <c r="AF15" s="20">
        <v>28416</v>
      </c>
      <c r="AG15">
        <v>146</v>
      </c>
    </row>
    <row r="16" spans="1:33" ht="69.599999999999994" thickBot="1" x14ac:dyDescent="0.3">
      <c r="A16" s="6" t="s">
        <v>29</v>
      </c>
      <c r="B16" s="6">
        <v>24.7</v>
      </c>
      <c r="C16" s="6" t="s">
        <v>30</v>
      </c>
      <c r="D16" s="6" t="s">
        <v>829</v>
      </c>
      <c r="E16" s="6">
        <v>35</v>
      </c>
      <c r="F16" s="6">
        <v>33</v>
      </c>
      <c r="G16" s="3"/>
      <c r="H16" s="6" t="s">
        <v>2089</v>
      </c>
      <c r="I16" s="6" t="s">
        <v>2090</v>
      </c>
      <c r="M16" s="18">
        <v>15</v>
      </c>
      <c r="N16" s="18" t="s">
        <v>29</v>
      </c>
      <c r="O16" s="18" t="s">
        <v>30</v>
      </c>
      <c r="P16" s="18" t="s">
        <v>829</v>
      </c>
      <c r="S16" s="18">
        <v>15</v>
      </c>
      <c r="T16" s="18" t="s">
        <v>2430</v>
      </c>
      <c r="U16" s="18" t="s">
        <v>2426</v>
      </c>
      <c r="V16" s="18" t="s">
        <v>2426</v>
      </c>
      <c r="W16" s="18" t="s">
        <v>2426</v>
      </c>
      <c r="Z16" t="s">
        <v>2426</v>
      </c>
      <c r="AA16" t="s">
        <v>2426</v>
      </c>
      <c r="AC16" t="e">
        <f t="shared" si="0"/>
        <v>#N/A</v>
      </c>
      <c r="AD16" t="e">
        <f t="shared" si="1"/>
        <v>#N/A</v>
      </c>
    </row>
    <row r="17" spans="1:33" ht="42" thickBot="1" x14ac:dyDescent="0.3">
      <c r="A17" s="6" t="s">
        <v>31</v>
      </c>
      <c r="B17" s="6">
        <v>167</v>
      </c>
      <c r="C17" s="6" t="s">
        <v>32</v>
      </c>
      <c r="D17" s="6" t="s">
        <v>830</v>
      </c>
      <c r="E17" s="6">
        <v>20</v>
      </c>
      <c r="F17" s="6">
        <v>3</v>
      </c>
      <c r="G17" s="4"/>
      <c r="H17" s="6" t="s">
        <v>2091</v>
      </c>
      <c r="I17" s="6" t="s">
        <v>609</v>
      </c>
      <c r="M17" s="18">
        <v>16</v>
      </c>
      <c r="N17" s="18" t="s">
        <v>31</v>
      </c>
      <c r="O17" s="18" t="s">
        <v>2380</v>
      </c>
      <c r="P17" s="18" t="s">
        <v>830</v>
      </c>
      <c r="S17" s="18">
        <v>16</v>
      </c>
      <c r="T17" s="18" t="s">
        <v>2028</v>
      </c>
      <c r="U17" s="18">
        <v>125</v>
      </c>
      <c r="V17" s="18" t="s">
        <v>2383</v>
      </c>
      <c r="W17" s="18" t="s">
        <v>2384</v>
      </c>
      <c r="Z17" t="s">
        <v>2383</v>
      </c>
      <c r="AA17" t="s">
        <v>2384</v>
      </c>
      <c r="AC17" t="str">
        <f t="shared" si="0"/>
        <v xml:space="preserve">1,646 </v>
      </c>
      <c r="AD17" t="str">
        <f t="shared" si="1"/>
        <v xml:space="preserve">635 </v>
      </c>
      <c r="AF17" s="20">
        <v>1646</v>
      </c>
      <c r="AG17">
        <v>635</v>
      </c>
    </row>
    <row r="18" spans="1:33" ht="42" thickBot="1" x14ac:dyDescent="0.3">
      <c r="A18" s="6" t="s">
        <v>2118</v>
      </c>
      <c r="B18" s="6">
        <v>5370</v>
      </c>
      <c r="C18" s="6" t="s">
        <v>831</v>
      </c>
      <c r="D18" s="6" t="s">
        <v>832</v>
      </c>
      <c r="E18" s="6">
        <v>18</v>
      </c>
      <c r="F18" s="6">
        <v>6</v>
      </c>
      <c r="G18" s="3"/>
      <c r="H18" s="6" t="s">
        <v>2119</v>
      </c>
      <c r="I18" s="6" t="s">
        <v>2117</v>
      </c>
      <c r="M18" s="18">
        <v>17</v>
      </c>
      <c r="N18" s="18" t="s">
        <v>1060</v>
      </c>
      <c r="O18" s="18" t="s">
        <v>2381</v>
      </c>
      <c r="P18" s="18" t="s">
        <v>2382</v>
      </c>
      <c r="S18" s="18">
        <v>17</v>
      </c>
      <c r="T18" s="18" t="s">
        <v>2027</v>
      </c>
      <c r="U18" s="18">
        <v>407</v>
      </c>
      <c r="V18" s="18" t="s">
        <v>866</v>
      </c>
      <c r="W18" s="18" t="s">
        <v>867</v>
      </c>
      <c r="Z18" t="s">
        <v>866</v>
      </c>
      <c r="AA18" t="s">
        <v>867</v>
      </c>
      <c r="AC18" t="str">
        <f t="shared" si="0"/>
        <v xml:space="preserve">341 </v>
      </c>
      <c r="AD18" t="str">
        <f t="shared" si="1"/>
        <v xml:space="preserve">61 </v>
      </c>
      <c r="AF18">
        <v>341</v>
      </c>
      <c r="AG18">
        <v>61</v>
      </c>
    </row>
    <row r="19" spans="1:33" ht="42" thickBot="1" x14ac:dyDescent="0.3">
      <c r="A19" s="6" t="s">
        <v>33</v>
      </c>
      <c r="B19" s="6">
        <v>1890</v>
      </c>
      <c r="C19" s="6" t="s">
        <v>34</v>
      </c>
      <c r="D19" s="6" t="s">
        <v>60</v>
      </c>
      <c r="E19" s="6">
        <v>15</v>
      </c>
      <c r="F19" s="6" t="s">
        <v>833</v>
      </c>
      <c r="G19" s="3"/>
      <c r="H19" s="6" t="s">
        <v>2092</v>
      </c>
      <c r="I19" s="6" t="s">
        <v>1324</v>
      </c>
      <c r="M19" s="18">
        <v>18</v>
      </c>
      <c r="N19" s="18" t="s">
        <v>33</v>
      </c>
      <c r="O19" s="18" t="s">
        <v>34</v>
      </c>
      <c r="P19" s="18" t="s">
        <v>60</v>
      </c>
      <c r="S19" s="18">
        <v>18</v>
      </c>
      <c r="T19" s="18" t="s">
        <v>2431</v>
      </c>
      <c r="U19" s="18" t="s">
        <v>2426</v>
      </c>
      <c r="V19" s="18" t="s">
        <v>2426</v>
      </c>
      <c r="W19" s="18" t="s">
        <v>2426</v>
      </c>
      <c r="Z19" t="s">
        <v>2426</v>
      </c>
      <c r="AA19" t="s">
        <v>2426</v>
      </c>
      <c r="AC19" t="e">
        <f t="shared" si="0"/>
        <v>#N/A</v>
      </c>
      <c r="AD19" t="e">
        <f t="shared" si="1"/>
        <v>#N/A</v>
      </c>
    </row>
    <row r="20" spans="1:33" ht="69.599999999999994" thickBot="1" x14ac:dyDescent="0.3">
      <c r="A20" s="6" t="s">
        <v>35</v>
      </c>
      <c r="B20" s="6">
        <v>125</v>
      </c>
      <c r="C20" s="6" t="s">
        <v>834</v>
      </c>
      <c r="D20" s="6" t="s">
        <v>835</v>
      </c>
      <c r="E20" s="6">
        <v>13</v>
      </c>
      <c r="F20" s="6">
        <v>5</v>
      </c>
      <c r="G20" s="3"/>
      <c r="H20" s="6" t="s">
        <v>2028</v>
      </c>
      <c r="I20" s="6" t="s">
        <v>1224</v>
      </c>
      <c r="M20" s="18">
        <v>19</v>
      </c>
      <c r="N20" s="18" t="s">
        <v>35</v>
      </c>
      <c r="O20" s="18" t="s">
        <v>2383</v>
      </c>
      <c r="P20" s="18" t="s">
        <v>2384</v>
      </c>
      <c r="S20" s="18">
        <v>19</v>
      </c>
      <c r="T20" s="18" t="s">
        <v>2154</v>
      </c>
      <c r="U20" s="18" t="s">
        <v>1164</v>
      </c>
      <c r="V20" s="18" t="s">
        <v>2421</v>
      </c>
      <c r="W20" s="18" t="s">
        <v>2422</v>
      </c>
      <c r="Z20" t="s">
        <v>2421</v>
      </c>
      <c r="AA20" t="s">
        <v>2422</v>
      </c>
      <c r="AC20" t="str">
        <f t="shared" si="0"/>
        <v xml:space="preserve">14,044 </v>
      </c>
      <c r="AD20" t="str">
        <f t="shared" si="1"/>
        <v xml:space="preserve">601 </v>
      </c>
      <c r="AF20" s="20">
        <v>14044</v>
      </c>
      <c r="AG20">
        <v>601</v>
      </c>
    </row>
    <row r="21" spans="1:33" ht="42" thickBot="1" x14ac:dyDescent="0.3">
      <c r="A21" s="6" t="s">
        <v>36</v>
      </c>
      <c r="B21" s="6">
        <v>1050</v>
      </c>
      <c r="C21" s="6" t="s">
        <v>836</v>
      </c>
      <c r="D21" s="6" t="s">
        <v>837</v>
      </c>
      <c r="E21" s="6">
        <v>13</v>
      </c>
      <c r="F21" s="6" t="s">
        <v>28</v>
      </c>
      <c r="G21" s="3"/>
      <c r="H21" s="6" t="s">
        <v>2025</v>
      </c>
      <c r="I21" s="6" t="s">
        <v>1252</v>
      </c>
      <c r="M21" s="18">
        <v>20</v>
      </c>
      <c r="N21" s="18" t="s">
        <v>36</v>
      </c>
      <c r="O21" s="18" t="s">
        <v>2385</v>
      </c>
      <c r="P21" s="18" t="s">
        <v>2386</v>
      </c>
      <c r="S21" s="18">
        <v>20</v>
      </c>
      <c r="T21" s="18" t="s">
        <v>2432</v>
      </c>
      <c r="U21" s="18" t="s">
        <v>2426</v>
      </c>
      <c r="V21" s="18" t="s">
        <v>2426</v>
      </c>
      <c r="W21" s="18" t="s">
        <v>2426</v>
      </c>
      <c r="Z21" t="s">
        <v>2426</v>
      </c>
      <c r="AA21" t="s">
        <v>2426</v>
      </c>
      <c r="AC21" t="e">
        <f t="shared" si="0"/>
        <v>#N/A</v>
      </c>
      <c r="AD21" t="e">
        <f t="shared" si="1"/>
        <v>#N/A</v>
      </c>
    </row>
    <row r="22" spans="1:33" ht="69.599999999999994" thickBot="1" x14ac:dyDescent="0.3">
      <c r="A22" s="6" t="s">
        <v>37</v>
      </c>
      <c r="B22" s="6">
        <v>1580</v>
      </c>
      <c r="C22" s="6" t="s">
        <v>838</v>
      </c>
      <c r="D22" s="6" t="s">
        <v>839</v>
      </c>
      <c r="E22" s="6">
        <v>11</v>
      </c>
      <c r="F22" s="6" t="s">
        <v>28</v>
      </c>
      <c r="G22" s="3"/>
      <c r="H22" s="6" t="s">
        <v>2123</v>
      </c>
      <c r="I22" s="6" t="s">
        <v>2122</v>
      </c>
      <c r="M22" s="18">
        <v>21</v>
      </c>
      <c r="N22" s="18" t="s">
        <v>37</v>
      </c>
      <c r="O22" s="18" t="s">
        <v>2387</v>
      </c>
      <c r="P22" s="18" t="s">
        <v>839</v>
      </c>
      <c r="S22" s="18">
        <v>21</v>
      </c>
      <c r="T22" s="18" t="s">
        <v>2024</v>
      </c>
      <c r="U22" s="19">
        <v>2730</v>
      </c>
      <c r="V22" s="18" t="s">
        <v>2378</v>
      </c>
      <c r="W22" s="18" t="s">
        <v>2379</v>
      </c>
      <c r="Z22" t="s">
        <v>2378</v>
      </c>
      <c r="AA22" t="s">
        <v>2379</v>
      </c>
      <c r="AC22" t="str">
        <f t="shared" si="0"/>
        <v xml:space="preserve">147,160 </v>
      </c>
      <c r="AD22" t="str">
        <f t="shared" si="1"/>
        <v xml:space="preserve">41,802 </v>
      </c>
      <c r="AF22" s="20">
        <v>147160</v>
      </c>
      <c r="AG22" s="20">
        <v>41802</v>
      </c>
    </row>
    <row r="23" spans="1:33" ht="42" thickBot="1" x14ac:dyDescent="0.3">
      <c r="A23" s="6" t="s">
        <v>38</v>
      </c>
      <c r="B23" s="6">
        <v>2700</v>
      </c>
      <c r="C23" s="6" t="s">
        <v>840</v>
      </c>
      <c r="D23" s="6" t="s">
        <v>841</v>
      </c>
      <c r="E23" s="6">
        <v>10</v>
      </c>
      <c r="F23" s="6" t="s">
        <v>28</v>
      </c>
      <c r="G23" s="3"/>
      <c r="H23" s="6" t="s">
        <v>2093</v>
      </c>
      <c r="I23" s="6" t="s">
        <v>512</v>
      </c>
      <c r="M23" s="18">
        <v>22</v>
      </c>
      <c r="N23" s="18" t="s">
        <v>38</v>
      </c>
      <c r="O23" s="18" t="s">
        <v>2388</v>
      </c>
      <c r="P23" s="18" t="s">
        <v>2389</v>
      </c>
      <c r="S23" s="18">
        <v>22</v>
      </c>
      <c r="T23" s="18" t="s">
        <v>2433</v>
      </c>
      <c r="U23" s="19">
        <v>5370</v>
      </c>
      <c r="V23" s="18" t="s">
        <v>2381</v>
      </c>
      <c r="W23" s="18" t="s">
        <v>2382</v>
      </c>
      <c r="Z23" t="s">
        <v>2381</v>
      </c>
      <c r="AA23" t="s">
        <v>2382</v>
      </c>
      <c r="AC23" t="str">
        <f t="shared" si="0"/>
        <v xml:space="preserve">97,718 </v>
      </c>
      <c r="AD23" t="str">
        <f t="shared" si="1"/>
        <v xml:space="preserve">30,025 </v>
      </c>
      <c r="AF23" s="20">
        <v>97718</v>
      </c>
      <c r="AG23" s="20">
        <v>30025</v>
      </c>
    </row>
    <row r="24" spans="1:33" ht="55.8" thickBot="1" x14ac:dyDescent="0.3">
      <c r="A24" s="6" t="s">
        <v>842</v>
      </c>
      <c r="B24" s="6">
        <v>144</v>
      </c>
      <c r="C24" s="6" t="s">
        <v>843</v>
      </c>
      <c r="D24" s="6" t="s">
        <v>844</v>
      </c>
      <c r="E24" s="6">
        <v>9</v>
      </c>
      <c r="F24" s="6">
        <v>2</v>
      </c>
      <c r="G24" s="3"/>
      <c r="H24" s="6" t="s">
        <v>2094</v>
      </c>
      <c r="I24" s="6" t="s">
        <v>553</v>
      </c>
      <c r="M24" s="18">
        <v>23</v>
      </c>
      <c r="N24" s="18" t="s">
        <v>842</v>
      </c>
      <c r="O24" s="18" t="s">
        <v>2390</v>
      </c>
      <c r="P24" s="18" t="s">
        <v>844</v>
      </c>
      <c r="S24" s="18">
        <v>23</v>
      </c>
      <c r="T24" s="18" t="s">
        <v>2434</v>
      </c>
      <c r="U24" s="19">
        <v>179000</v>
      </c>
      <c r="V24" s="18" t="s">
        <v>55</v>
      </c>
      <c r="W24" s="18" t="s">
        <v>64</v>
      </c>
      <c r="Z24" t="s">
        <v>55</v>
      </c>
      <c r="AA24" t="s">
        <v>64</v>
      </c>
      <c r="AC24" t="str">
        <f t="shared" si="0"/>
        <v xml:space="preserve">84,178 </v>
      </c>
      <c r="AD24" t="str">
        <f t="shared" si="1"/>
        <v xml:space="preserve">142,068 </v>
      </c>
      <c r="AF24" s="20">
        <v>84178</v>
      </c>
      <c r="AG24" s="20">
        <v>142068</v>
      </c>
    </row>
    <row r="25" spans="1:33" ht="42" thickBot="1" x14ac:dyDescent="0.3">
      <c r="A25" s="6" t="s">
        <v>845</v>
      </c>
      <c r="B25" s="6">
        <v>6.09</v>
      </c>
      <c r="C25" s="6" t="s">
        <v>846</v>
      </c>
      <c r="D25" s="6" t="s">
        <v>28</v>
      </c>
      <c r="E25" s="6" t="s">
        <v>28</v>
      </c>
      <c r="F25" s="6" t="s">
        <v>28</v>
      </c>
      <c r="G25" s="3"/>
      <c r="H25" s="6" t="s">
        <v>2095</v>
      </c>
      <c r="I25" s="6" t="s">
        <v>501</v>
      </c>
      <c r="M25" s="18">
        <v>24</v>
      </c>
      <c r="N25" s="18" t="s">
        <v>845</v>
      </c>
      <c r="O25" s="18" t="s">
        <v>846</v>
      </c>
      <c r="P25" s="18" t="s">
        <v>1164</v>
      </c>
      <c r="S25" s="18">
        <v>24</v>
      </c>
      <c r="T25" s="18" t="s">
        <v>2435</v>
      </c>
      <c r="U25" s="18" t="s">
        <v>2426</v>
      </c>
      <c r="V25" s="18" t="s">
        <v>2426</v>
      </c>
      <c r="W25" s="18" t="s">
        <v>2426</v>
      </c>
      <c r="Z25" t="s">
        <v>2426</v>
      </c>
      <c r="AA25" t="s">
        <v>2426</v>
      </c>
      <c r="AC25" t="e">
        <f t="shared" si="0"/>
        <v>#N/A</v>
      </c>
      <c r="AD25" t="e">
        <f t="shared" si="1"/>
        <v>#N/A</v>
      </c>
    </row>
    <row r="26" spans="1:33" ht="42" thickBot="1" x14ac:dyDescent="0.3">
      <c r="A26" s="6" t="s">
        <v>39</v>
      </c>
      <c r="B26" s="6">
        <v>262</v>
      </c>
      <c r="C26" s="6" t="s">
        <v>847</v>
      </c>
      <c r="D26" s="6" t="s">
        <v>848</v>
      </c>
      <c r="E26" s="6">
        <v>7</v>
      </c>
      <c r="F26" s="6">
        <v>6</v>
      </c>
      <c r="G26" s="4"/>
      <c r="H26" s="6" t="s">
        <v>2044</v>
      </c>
      <c r="I26" s="6" t="s">
        <v>2029</v>
      </c>
      <c r="M26" s="18">
        <v>25</v>
      </c>
      <c r="N26" s="18" t="s">
        <v>39</v>
      </c>
      <c r="O26" s="18" t="s">
        <v>2391</v>
      </c>
      <c r="P26" s="18" t="s">
        <v>2392</v>
      </c>
      <c r="S26" s="18">
        <v>25</v>
      </c>
      <c r="T26" s="18" t="s">
        <v>2098</v>
      </c>
      <c r="U26" s="19">
        <v>1100</v>
      </c>
      <c r="V26" s="18" t="s">
        <v>2397</v>
      </c>
      <c r="W26" s="18" t="s">
        <v>62</v>
      </c>
      <c r="Z26" t="s">
        <v>2397</v>
      </c>
      <c r="AA26" t="s">
        <v>62</v>
      </c>
      <c r="AC26" t="str">
        <f t="shared" si="0"/>
        <v xml:space="preserve">2,101 </v>
      </c>
      <c r="AD26" t="str">
        <f t="shared" si="1"/>
        <v xml:space="preserve">439 </v>
      </c>
      <c r="AF26" s="20">
        <v>2101</v>
      </c>
      <c r="AG26">
        <v>439</v>
      </c>
    </row>
    <row r="27" spans="1:33" ht="55.8" thickBot="1" x14ac:dyDescent="0.3">
      <c r="A27" s="6" t="s">
        <v>40</v>
      </c>
      <c r="B27" s="11">
        <v>160000</v>
      </c>
      <c r="C27" s="6" t="s">
        <v>849</v>
      </c>
      <c r="D27" s="6" t="s">
        <v>850</v>
      </c>
      <c r="E27" s="6">
        <v>5</v>
      </c>
      <c r="F27" s="6">
        <v>2</v>
      </c>
      <c r="G27" s="3"/>
      <c r="H27" s="6" t="s">
        <v>2096</v>
      </c>
      <c r="I27" s="6" t="s">
        <v>533</v>
      </c>
      <c r="M27" s="18">
        <v>26</v>
      </c>
      <c r="N27" s="18" t="s">
        <v>40</v>
      </c>
      <c r="O27" s="18" t="s">
        <v>2393</v>
      </c>
      <c r="P27" s="18" t="s">
        <v>850</v>
      </c>
      <c r="S27" s="18">
        <v>26</v>
      </c>
      <c r="T27" s="18" t="s">
        <v>2165</v>
      </c>
      <c r="U27" s="18" t="s">
        <v>2426</v>
      </c>
      <c r="V27" s="18" t="s">
        <v>2426</v>
      </c>
      <c r="W27" s="18" t="s">
        <v>2426</v>
      </c>
      <c r="Z27" t="s">
        <v>2426</v>
      </c>
      <c r="AA27" t="s">
        <v>2426</v>
      </c>
      <c r="AC27" t="e">
        <f t="shared" si="0"/>
        <v>#N/A</v>
      </c>
      <c r="AD27" t="e">
        <f t="shared" si="1"/>
        <v>#N/A</v>
      </c>
    </row>
    <row r="28" spans="1:33" ht="55.8" thickBot="1" x14ac:dyDescent="0.3">
      <c r="A28" s="6" t="s">
        <v>41</v>
      </c>
      <c r="B28" s="6">
        <v>407</v>
      </c>
      <c r="C28" s="6" t="s">
        <v>851</v>
      </c>
      <c r="D28" s="6" t="s">
        <v>852</v>
      </c>
      <c r="E28" s="6">
        <v>5</v>
      </c>
      <c r="F28" s="6">
        <v>2</v>
      </c>
      <c r="G28" s="3"/>
      <c r="H28" s="6" t="s">
        <v>2027</v>
      </c>
      <c r="I28" s="6" t="s">
        <v>2014</v>
      </c>
      <c r="M28" s="18">
        <v>27</v>
      </c>
      <c r="N28" s="18" t="s">
        <v>41</v>
      </c>
      <c r="O28" s="18" t="s">
        <v>2394</v>
      </c>
      <c r="P28" s="18" t="s">
        <v>852</v>
      </c>
      <c r="S28" s="18">
        <v>27</v>
      </c>
      <c r="T28" s="18" t="s">
        <v>2436</v>
      </c>
      <c r="U28" s="18" t="s">
        <v>2426</v>
      </c>
      <c r="V28" s="18" t="s">
        <v>2426</v>
      </c>
      <c r="W28" s="18" t="s">
        <v>2426</v>
      </c>
      <c r="Z28" t="s">
        <v>2426</v>
      </c>
      <c r="AA28" t="s">
        <v>2426</v>
      </c>
      <c r="AC28" t="e">
        <f t="shared" si="0"/>
        <v>#N/A</v>
      </c>
      <c r="AD28" t="e">
        <f t="shared" si="1"/>
        <v>#N/A</v>
      </c>
    </row>
    <row r="29" spans="1:33" ht="42" thickBot="1" x14ac:dyDescent="0.3">
      <c r="A29" s="6" t="s">
        <v>42</v>
      </c>
      <c r="B29" s="11">
        <v>13200</v>
      </c>
      <c r="C29" s="6" t="s">
        <v>853</v>
      </c>
      <c r="D29" s="6" t="s">
        <v>61</v>
      </c>
      <c r="E29" s="6">
        <v>3</v>
      </c>
      <c r="F29" s="6" t="s">
        <v>833</v>
      </c>
      <c r="G29" s="3"/>
      <c r="H29" s="6" t="s">
        <v>2097</v>
      </c>
      <c r="I29" s="6" t="s">
        <v>1298</v>
      </c>
      <c r="M29" s="18">
        <v>28</v>
      </c>
      <c r="N29" s="18" t="s">
        <v>42</v>
      </c>
      <c r="O29" s="18" t="s">
        <v>2395</v>
      </c>
      <c r="P29" s="18" t="s">
        <v>2396</v>
      </c>
      <c r="S29" s="18">
        <v>28</v>
      </c>
      <c r="T29" s="18" t="s">
        <v>2023</v>
      </c>
      <c r="U29" s="19">
        <v>2520</v>
      </c>
      <c r="V29" s="18" t="s">
        <v>15</v>
      </c>
      <c r="W29" s="18" t="s">
        <v>816</v>
      </c>
      <c r="Z29" t="s">
        <v>15</v>
      </c>
      <c r="AA29" t="s">
        <v>816</v>
      </c>
      <c r="AC29" t="str">
        <f t="shared" si="0"/>
        <v xml:space="preserve">1,126,596 </v>
      </c>
      <c r="AD29" t="str">
        <f t="shared" si="1"/>
        <v xml:space="preserve">722,576 </v>
      </c>
      <c r="AF29" s="20">
        <v>1126596</v>
      </c>
      <c r="AG29" s="20">
        <v>722576</v>
      </c>
    </row>
    <row r="30" spans="1:33" ht="28.2" thickBot="1" x14ac:dyDescent="0.3">
      <c r="A30" s="6" t="s">
        <v>43</v>
      </c>
      <c r="B30" s="6">
        <v>1100</v>
      </c>
      <c r="C30" s="6" t="s">
        <v>854</v>
      </c>
      <c r="D30" s="6" t="s">
        <v>62</v>
      </c>
      <c r="E30" s="6">
        <v>2</v>
      </c>
      <c r="F30" s="6" t="s">
        <v>833</v>
      </c>
      <c r="G30" s="3"/>
      <c r="H30" s="6" t="s">
        <v>2098</v>
      </c>
      <c r="I30" s="6" t="s">
        <v>455</v>
      </c>
      <c r="M30" s="18">
        <v>29</v>
      </c>
      <c r="N30" s="18" t="s">
        <v>43</v>
      </c>
      <c r="O30" s="18" t="s">
        <v>2397</v>
      </c>
      <c r="P30" s="18" t="s">
        <v>62</v>
      </c>
      <c r="S30" s="18">
        <v>29</v>
      </c>
      <c r="T30" s="18" t="s">
        <v>2437</v>
      </c>
      <c r="U30" s="18" t="s">
        <v>2426</v>
      </c>
      <c r="V30" s="18" t="s">
        <v>2426</v>
      </c>
      <c r="W30" s="18" t="s">
        <v>2426</v>
      </c>
      <c r="Z30" t="s">
        <v>2426</v>
      </c>
      <c r="AA30" t="s">
        <v>2426</v>
      </c>
      <c r="AC30" t="e">
        <f t="shared" si="0"/>
        <v>#N/A</v>
      </c>
      <c r="AD30" t="e">
        <f t="shared" si="1"/>
        <v>#N/A</v>
      </c>
    </row>
    <row r="31" spans="1:33" ht="42" thickBot="1" x14ac:dyDescent="0.3">
      <c r="A31" s="6" t="s">
        <v>44</v>
      </c>
      <c r="B31" s="11">
        <v>13300</v>
      </c>
      <c r="C31" s="6" t="s">
        <v>855</v>
      </c>
      <c r="D31" s="6" t="s">
        <v>856</v>
      </c>
      <c r="E31" s="6">
        <v>2</v>
      </c>
      <c r="F31" s="6" t="s">
        <v>833</v>
      </c>
      <c r="G31" s="3"/>
      <c r="H31" s="6" t="s">
        <v>2099</v>
      </c>
      <c r="I31" s="6" t="s">
        <v>517</v>
      </c>
      <c r="M31" s="18">
        <v>30</v>
      </c>
      <c r="N31" s="18" t="s">
        <v>44</v>
      </c>
      <c r="O31" s="18" t="s">
        <v>855</v>
      </c>
      <c r="P31" s="18" t="s">
        <v>2398</v>
      </c>
      <c r="S31" s="18">
        <v>30</v>
      </c>
      <c r="T31" s="18" t="s">
        <v>2020</v>
      </c>
      <c r="U31" s="18">
        <v>389</v>
      </c>
      <c r="V31" s="18" t="s">
        <v>2375</v>
      </c>
      <c r="W31" s="18" t="s">
        <v>2376</v>
      </c>
      <c r="Z31" t="s">
        <v>2375</v>
      </c>
      <c r="AA31" t="s">
        <v>2376</v>
      </c>
      <c r="AC31" t="str">
        <f t="shared" si="0"/>
        <v xml:space="preserve">56,841 </v>
      </c>
      <c r="AD31" t="str">
        <f t="shared" si="1"/>
        <v xml:space="preserve">13,732 </v>
      </c>
      <c r="AF31" s="20">
        <v>56841</v>
      </c>
      <c r="AG31" s="20">
        <v>13732</v>
      </c>
    </row>
    <row r="32" spans="1:33" ht="42" thickBot="1" x14ac:dyDescent="0.3">
      <c r="A32" s="6" t="s">
        <v>857</v>
      </c>
      <c r="B32" s="6">
        <v>123</v>
      </c>
      <c r="C32" s="6" t="s">
        <v>45</v>
      </c>
      <c r="D32" s="6" t="s">
        <v>28</v>
      </c>
      <c r="E32" s="6" t="s">
        <v>28</v>
      </c>
      <c r="F32" s="6" t="s">
        <v>28</v>
      </c>
      <c r="G32" s="3"/>
      <c r="H32" s="6" t="s">
        <v>2100</v>
      </c>
      <c r="I32" s="6" t="s">
        <v>1232</v>
      </c>
      <c r="M32" s="18">
        <v>31</v>
      </c>
      <c r="N32" s="18" t="s">
        <v>857</v>
      </c>
      <c r="O32" s="18" t="s">
        <v>45</v>
      </c>
      <c r="P32" s="18" t="s">
        <v>1164</v>
      </c>
      <c r="S32" s="18">
        <v>31</v>
      </c>
      <c r="T32" s="18" t="s">
        <v>2093</v>
      </c>
      <c r="U32" s="19">
        <v>2700</v>
      </c>
      <c r="V32" s="18" t="s">
        <v>2388</v>
      </c>
      <c r="W32" s="18" t="s">
        <v>2389</v>
      </c>
      <c r="Z32" t="s">
        <v>2388</v>
      </c>
      <c r="AA32" t="s">
        <v>2389</v>
      </c>
      <c r="AC32" t="str">
        <f t="shared" si="0"/>
        <v xml:space="preserve">25,675 </v>
      </c>
      <c r="AD32" t="str">
        <f t="shared" si="1"/>
        <v xml:space="preserve">5,535 </v>
      </c>
      <c r="AF32" s="20">
        <v>25675</v>
      </c>
      <c r="AG32" s="20">
        <v>5535</v>
      </c>
    </row>
    <row r="33" spans="1:33" ht="55.8" thickBot="1" x14ac:dyDescent="0.3">
      <c r="A33" s="6" t="s">
        <v>46</v>
      </c>
      <c r="B33" s="6">
        <v>315</v>
      </c>
      <c r="C33" s="6" t="s">
        <v>47</v>
      </c>
      <c r="D33" s="6" t="s">
        <v>28</v>
      </c>
      <c r="E33" s="6" t="s">
        <v>28</v>
      </c>
      <c r="F33" s="6" t="s">
        <v>28</v>
      </c>
      <c r="G33" s="3"/>
      <c r="H33" s="6" t="s">
        <v>2101</v>
      </c>
      <c r="I33" s="6" t="s">
        <v>2012</v>
      </c>
      <c r="M33" s="18">
        <v>32</v>
      </c>
      <c r="N33" s="18" t="s">
        <v>46</v>
      </c>
      <c r="O33" s="18" t="s">
        <v>47</v>
      </c>
      <c r="P33" s="18" t="s">
        <v>1164</v>
      </c>
      <c r="S33" s="18">
        <v>32</v>
      </c>
      <c r="T33" s="18" t="s">
        <v>2099</v>
      </c>
      <c r="U33" s="19">
        <v>13300</v>
      </c>
      <c r="V33" s="18" t="s">
        <v>2438</v>
      </c>
      <c r="W33" s="18" t="s">
        <v>2398</v>
      </c>
      <c r="Z33" t="s">
        <v>2438</v>
      </c>
      <c r="AA33" t="s">
        <v>2398</v>
      </c>
      <c r="AC33" t="str">
        <f t="shared" si="0"/>
        <v xml:space="preserve">23,926 </v>
      </c>
      <c r="AD33" t="str">
        <f t="shared" si="1"/>
        <v xml:space="preserve">5,382 </v>
      </c>
      <c r="AF33" s="20">
        <v>23926</v>
      </c>
      <c r="AG33" s="20">
        <v>5382</v>
      </c>
    </row>
    <row r="34" spans="1:33" ht="42" thickBot="1" x14ac:dyDescent="0.3">
      <c r="A34" s="6" t="s">
        <v>858</v>
      </c>
      <c r="B34" s="6">
        <v>91</v>
      </c>
      <c r="C34" s="6" t="s">
        <v>859</v>
      </c>
      <c r="D34" s="6" t="s">
        <v>860</v>
      </c>
      <c r="E34" s="6" t="s">
        <v>28</v>
      </c>
      <c r="F34" s="6" t="s">
        <v>28</v>
      </c>
      <c r="G34" s="3"/>
      <c r="H34" s="6" t="s">
        <v>2026</v>
      </c>
      <c r="I34" s="6" t="s">
        <v>2013</v>
      </c>
      <c r="M34" s="18">
        <v>33</v>
      </c>
      <c r="N34" s="18" t="s">
        <v>2399</v>
      </c>
      <c r="O34" s="18" t="s">
        <v>859</v>
      </c>
      <c r="P34" s="18" t="s">
        <v>860</v>
      </c>
      <c r="S34" s="18">
        <v>33</v>
      </c>
      <c r="T34" s="18" t="s">
        <v>2019</v>
      </c>
      <c r="U34" s="18">
        <v>964</v>
      </c>
      <c r="V34" s="18" t="s">
        <v>17</v>
      </c>
      <c r="W34" s="18" t="s">
        <v>2370</v>
      </c>
      <c r="Z34" t="s">
        <v>17</v>
      </c>
      <c r="AA34" t="s">
        <v>2370</v>
      </c>
      <c r="AC34" t="str">
        <f t="shared" si="0"/>
        <v xml:space="preserve">295,816 </v>
      </c>
      <c r="AD34" t="str">
        <f t="shared" si="1"/>
        <v xml:space="preserve">78,618 </v>
      </c>
      <c r="AF34" s="20">
        <v>295816</v>
      </c>
      <c r="AG34" s="20">
        <v>78618</v>
      </c>
    </row>
    <row r="35" spans="1:33" ht="69.599999999999994" thickBot="1" x14ac:dyDescent="0.3">
      <c r="A35" s="6" t="s">
        <v>861</v>
      </c>
      <c r="B35" s="6">
        <v>420</v>
      </c>
      <c r="C35" s="6" t="s">
        <v>48</v>
      </c>
      <c r="D35" s="6" t="s">
        <v>63</v>
      </c>
      <c r="E35" s="6">
        <v>1</v>
      </c>
      <c r="F35" s="6" t="s">
        <v>28</v>
      </c>
      <c r="G35" s="3"/>
      <c r="H35" s="6" t="s">
        <v>2102</v>
      </c>
      <c r="I35" s="6" t="s">
        <v>2103</v>
      </c>
      <c r="M35" s="18">
        <v>34</v>
      </c>
      <c r="N35" s="18" t="s">
        <v>861</v>
      </c>
      <c r="O35" s="18" t="s">
        <v>48</v>
      </c>
      <c r="P35" s="18" t="s">
        <v>63</v>
      </c>
      <c r="S35" s="18">
        <v>34</v>
      </c>
      <c r="T35" s="18" t="s">
        <v>2096</v>
      </c>
      <c r="U35" s="19">
        <v>160000</v>
      </c>
      <c r="V35" s="18" t="s">
        <v>2393</v>
      </c>
      <c r="W35" s="18" t="s">
        <v>850</v>
      </c>
      <c r="Z35" t="s">
        <v>2393</v>
      </c>
      <c r="AA35" t="s">
        <v>850</v>
      </c>
      <c r="AC35" t="str">
        <f t="shared" si="0"/>
        <v xml:space="preserve">732,061 </v>
      </c>
      <c r="AD35" t="str">
        <f t="shared" si="1"/>
        <v xml:space="preserve">342,535 </v>
      </c>
      <c r="AF35" s="20">
        <v>732061</v>
      </c>
      <c r="AG35" s="20">
        <v>342535</v>
      </c>
    </row>
    <row r="36" spans="1:33" ht="42" thickBot="1" x14ac:dyDescent="0.3">
      <c r="A36" s="6" t="s">
        <v>49</v>
      </c>
      <c r="B36" s="11">
        <v>18100</v>
      </c>
      <c r="C36" s="6" t="s">
        <v>50</v>
      </c>
      <c r="D36" s="6" t="s">
        <v>862</v>
      </c>
      <c r="E36" s="6">
        <v>1</v>
      </c>
      <c r="F36" s="6" t="s">
        <v>833</v>
      </c>
      <c r="G36" s="3"/>
      <c r="H36" s="6" t="s">
        <v>2104</v>
      </c>
      <c r="I36" s="6">
        <v>29102</v>
      </c>
      <c r="M36" s="18">
        <v>35</v>
      </c>
      <c r="N36" s="18" t="s">
        <v>49</v>
      </c>
      <c r="O36" s="18" t="s">
        <v>50</v>
      </c>
      <c r="P36" s="18" t="s">
        <v>2400</v>
      </c>
      <c r="S36" s="18">
        <v>35</v>
      </c>
      <c r="T36" s="18" t="s">
        <v>2094</v>
      </c>
      <c r="U36" s="18">
        <v>144</v>
      </c>
      <c r="V36" s="18" t="s">
        <v>2390</v>
      </c>
      <c r="W36" s="18" t="s">
        <v>844</v>
      </c>
      <c r="Z36" t="s">
        <v>2390</v>
      </c>
      <c r="AA36" t="s">
        <v>844</v>
      </c>
      <c r="AC36" t="str">
        <f t="shared" si="0"/>
        <v xml:space="preserve">1,311 </v>
      </c>
      <c r="AD36" t="str">
        <f t="shared" si="1"/>
        <v xml:space="preserve">300 </v>
      </c>
      <c r="AF36" s="20">
        <v>1311</v>
      </c>
      <c r="AG36">
        <v>300</v>
      </c>
    </row>
    <row r="37" spans="1:33" ht="42" thickBot="1" x14ac:dyDescent="0.3">
      <c r="A37" s="6" t="s">
        <v>51</v>
      </c>
      <c r="B37" s="6">
        <v>1120</v>
      </c>
      <c r="C37" s="6" t="s">
        <v>52</v>
      </c>
      <c r="D37" s="6" t="s">
        <v>863</v>
      </c>
      <c r="E37" s="6">
        <v>1</v>
      </c>
      <c r="F37" s="6" t="s">
        <v>833</v>
      </c>
      <c r="G37" s="3"/>
      <c r="H37" s="6" t="s">
        <v>2105</v>
      </c>
      <c r="I37" s="6" t="s">
        <v>1328</v>
      </c>
      <c r="M37" s="18">
        <v>36</v>
      </c>
      <c r="N37" s="18" t="s">
        <v>51</v>
      </c>
      <c r="O37" s="18" t="s">
        <v>52</v>
      </c>
      <c r="P37" s="18" t="s">
        <v>863</v>
      </c>
      <c r="S37" s="18">
        <v>36</v>
      </c>
      <c r="T37" s="18" t="s">
        <v>2025</v>
      </c>
      <c r="U37" s="19">
        <v>1050</v>
      </c>
      <c r="V37" s="18" t="s">
        <v>836</v>
      </c>
      <c r="W37" s="18" t="s">
        <v>2386</v>
      </c>
      <c r="Z37" t="s">
        <v>836</v>
      </c>
      <c r="AA37" t="s">
        <v>2386</v>
      </c>
      <c r="AC37" t="str">
        <f t="shared" si="0"/>
        <v xml:space="preserve">13,702 </v>
      </c>
      <c r="AD37" t="str">
        <f t="shared" si="1"/>
        <v xml:space="preserve">3,885 </v>
      </c>
      <c r="AF37" s="20">
        <v>13702</v>
      </c>
      <c r="AG37" s="20">
        <v>3885</v>
      </c>
    </row>
    <row r="38" spans="1:33" ht="42" thickBot="1" x14ac:dyDescent="0.3">
      <c r="A38" s="6" t="s">
        <v>53</v>
      </c>
      <c r="B38" s="11">
        <v>12800</v>
      </c>
      <c r="C38" s="6" t="s">
        <v>34</v>
      </c>
      <c r="D38" s="6" t="s">
        <v>60</v>
      </c>
      <c r="E38" s="6">
        <v>1</v>
      </c>
      <c r="F38" s="6" t="s">
        <v>833</v>
      </c>
      <c r="G38" s="3"/>
      <c r="H38" s="6" t="s">
        <v>2106</v>
      </c>
      <c r="I38" s="6" t="s">
        <v>1295</v>
      </c>
      <c r="M38" s="18">
        <v>37</v>
      </c>
      <c r="N38" s="18" t="s">
        <v>53</v>
      </c>
      <c r="O38" s="18" t="s">
        <v>34</v>
      </c>
      <c r="P38" s="18" t="s">
        <v>60</v>
      </c>
      <c r="S38" s="18">
        <v>37</v>
      </c>
      <c r="T38" s="18" t="s">
        <v>2439</v>
      </c>
      <c r="U38" s="18">
        <v>262</v>
      </c>
      <c r="V38" s="18" t="s">
        <v>2391</v>
      </c>
      <c r="W38" s="18" t="s">
        <v>2392</v>
      </c>
      <c r="Z38" t="s">
        <v>2391</v>
      </c>
      <c r="AA38" t="s">
        <v>2392</v>
      </c>
      <c r="AC38" t="str">
        <f t="shared" si="0"/>
        <v xml:space="preserve">1,903 </v>
      </c>
      <c r="AD38" t="str">
        <f t="shared" si="1"/>
        <v xml:space="preserve">1,498 </v>
      </c>
      <c r="AF38" s="20">
        <v>1903</v>
      </c>
      <c r="AG38" s="20">
        <v>1498</v>
      </c>
    </row>
    <row r="39" spans="1:33" ht="69.599999999999994" thickBot="1" x14ac:dyDescent="0.3">
      <c r="A39" s="6" t="s">
        <v>54</v>
      </c>
      <c r="B39" s="11">
        <v>179000</v>
      </c>
      <c r="C39" s="6" t="s">
        <v>55</v>
      </c>
      <c r="D39" s="6" t="s">
        <v>64</v>
      </c>
      <c r="E39" s="6" t="s">
        <v>833</v>
      </c>
      <c r="F39" s="6" t="s">
        <v>833</v>
      </c>
      <c r="M39" s="18">
        <v>38</v>
      </c>
      <c r="N39" s="18" t="s">
        <v>54</v>
      </c>
      <c r="O39" s="18" t="s">
        <v>55</v>
      </c>
      <c r="P39" s="18" t="s">
        <v>64</v>
      </c>
      <c r="S39" s="18">
        <v>38</v>
      </c>
      <c r="T39" s="18" t="s">
        <v>2440</v>
      </c>
      <c r="U39" s="18" t="s">
        <v>2426</v>
      </c>
      <c r="V39" s="18" t="s">
        <v>2426</v>
      </c>
      <c r="W39" s="18" t="s">
        <v>2426</v>
      </c>
      <c r="Z39" t="s">
        <v>2426</v>
      </c>
      <c r="AA39" t="s">
        <v>2426</v>
      </c>
      <c r="AC39" t="e">
        <f t="shared" si="0"/>
        <v>#N/A</v>
      </c>
      <c r="AD39" t="e">
        <f t="shared" si="1"/>
        <v>#N/A</v>
      </c>
    </row>
    <row r="40" spans="1:33" ht="42" thickBot="1" x14ac:dyDescent="0.3">
      <c r="A40" s="6" t="s">
        <v>56</v>
      </c>
      <c r="B40" s="6">
        <v>1430</v>
      </c>
      <c r="C40" s="6" t="s">
        <v>864</v>
      </c>
      <c r="D40" s="6" t="s">
        <v>865</v>
      </c>
      <c r="E40" s="6" t="s">
        <v>833</v>
      </c>
      <c r="F40" s="6" t="s">
        <v>833</v>
      </c>
      <c r="M40" s="18">
        <v>39</v>
      </c>
      <c r="N40" s="18" t="s">
        <v>56</v>
      </c>
      <c r="O40" s="18" t="s">
        <v>864</v>
      </c>
      <c r="P40" s="18" t="s">
        <v>865</v>
      </c>
      <c r="S40" s="18">
        <v>39</v>
      </c>
      <c r="T40" s="18" t="s">
        <v>2441</v>
      </c>
      <c r="U40" s="18" t="s">
        <v>2426</v>
      </c>
      <c r="V40" s="18" t="s">
        <v>2426</v>
      </c>
      <c r="W40" s="18" t="s">
        <v>2426</v>
      </c>
      <c r="Z40" t="s">
        <v>2426</v>
      </c>
      <c r="AA40" t="s">
        <v>2426</v>
      </c>
      <c r="AC40" t="e">
        <f t="shared" si="0"/>
        <v>#N/A</v>
      </c>
      <c r="AD40" t="e">
        <f t="shared" si="1"/>
        <v>#N/A</v>
      </c>
    </row>
    <row r="41" spans="1:33" ht="55.8" thickBot="1" x14ac:dyDescent="0.3">
      <c r="A41" s="6" t="s">
        <v>57</v>
      </c>
      <c r="B41" s="6">
        <v>909</v>
      </c>
      <c r="C41" s="6" t="s">
        <v>866</v>
      </c>
      <c r="D41" s="6" t="s">
        <v>867</v>
      </c>
      <c r="E41" s="6" t="s">
        <v>833</v>
      </c>
      <c r="F41" s="6" t="s">
        <v>833</v>
      </c>
      <c r="M41" s="18">
        <v>40</v>
      </c>
      <c r="N41" s="18" t="s">
        <v>57</v>
      </c>
      <c r="O41" s="18" t="s">
        <v>866</v>
      </c>
      <c r="P41" s="18" t="s">
        <v>867</v>
      </c>
      <c r="S41" s="18">
        <v>40</v>
      </c>
      <c r="T41" s="18" t="s">
        <v>2442</v>
      </c>
      <c r="U41" s="18" t="s">
        <v>2426</v>
      </c>
      <c r="V41" s="18" t="s">
        <v>2426</v>
      </c>
      <c r="W41" s="18" t="s">
        <v>2426</v>
      </c>
      <c r="Z41" t="s">
        <v>2426</v>
      </c>
      <c r="AA41" t="s">
        <v>2426</v>
      </c>
      <c r="AC41" t="e">
        <f t="shared" si="0"/>
        <v>#N/A</v>
      </c>
      <c r="AD41" t="e">
        <f t="shared" si="1"/>
        <v>#N/A</v>
      </c>
    </row>
    <row r="42" spans="1:33" ht="42" thickBot="1" x14ac:dyDescent="0.3">
      <c r="A42" s="6" t="s">
        <v>601</v>
      </c>
      <c r="B42" s="6">
        <v>618</v>
      </c>
      <c r="C42" s="6" t="s">
        <v>868</v>
      </c>
      <c r="D42" s="6" t="s">
        <v>869</v>
      </c>
      <c r="E42" s="6" t="s">
        <v>833</v>
      </c>
      <c r="F42" s="6" t="s">
        <v>833</v>
      </c>
      <c r="M42" s="18">
        <v>41</v>
      </c>
      <c r="N42" s="18" t="s">
        <v>601</v>
      </c>
      <c r="O42" s="18" t="s">
        <v>868</v>
      </c>
      <c r="P42" s="18" t="s">
        <v>869</v>
      </c>
      <c r="S42" s="18">
        <v>41</v>
      </c>
      <c r="T42" s="18" t="s">
        <v>2443</v>
      </c>
      <c r="U42" s="18" t="s">
        <v>2426</v>
      </c>
      <c r="V42" s="18" t="s">
        <v>2426</v>
      </c>
      <c r="W42" s="18" t="s">
        <v>2426</v>
      </c>
      <c r="Z42" t="s">
        <v>2426</v>
      </c>
      <c r="AA42" t="s">
        <v>2426</v>
      </c>
      <c r="AC42" t="e">
        <f t="shared" si="0"/>
        <v>#N/A</v>
      </c>
      <c r="AD42" t="e">
        <f t="shared" si="1"/>
        <v>#N/A</v>
      </c>
    </row>
    <row r="43" spans="1:33" ht="55.8" thickBot="1" x14ac:dyDescent="0.3">
      <c r="A43" s="6" t="s">
        <v>58</v>
      </c>
      <c r="B43" s="6">
        <v>5250</v>
      </c>
      <c r="C43" s="6" t="s">
        <v>870</v>
      </c>
      <c r="D43" s="6" t="s">
        <v>871</v>
      </c>
      <c r="E43" s="6" t="s">
        <v>833</v>
      </c>
      <c r="F43" s="6" t="s">
        <v>833</v>
      </c>
      <c r="M43" s="18">
        <v>42</v>
      </c>
      <c r="N43" s="18" t="s">
        <v>58</v>
      </c>
      <c r="O43" s="18" t="s">
        <v>870</v>
      </c>
      <c r="P43" s="18" t="s">
        <v>871</v>
      </c>
      <c r="S43" s="18">
        <v>42</v>
      </c>
      <c r="T43" s="18" t="s">
        <v>2444</v>
      </c>
      <c r="U43" s="18" t="s">
        <v>2426</v>
      </c>
      <c r="V43" s="18" t="s">
        <v>2426</v>
      </c>
      <c r="W43" s="18" t="s">
        <v>2426</v>
      </c>
      <c r="Z43" t="s">
        <v>2426</v>
      </c>
      <c r="AA43" t="s">
        <v>2426</v>
      </c>
      <c r="AC43" t="e">
        <f t="shared" si="0"/>
        <v>#N/A</v>
      </c>
      <c r="AD43" t="e">
        <f t="shared" si="1"/>
        <v>#N/A</v>
      </c>
    </row>
    <row r="44" spans="1:33" ht="42" thickBot="1" x14ac:dyDescent="0.3">
      <c r="A44" s="6" t="s">
        <v>872</v>
      </c>
      <c r="B44" s="6">
        <v>8620</v>
      </c>
      <c r="C44" s="6" t="s">
        <v>873</v>
      </c>
      <c r="D44" s="6" t="s">
        <v>874</v>
      </c>
      <c r="E44" s="6" t="s">
        <v>833</v>
      </c>
      <c r="F44" s="6" t="s">
        <v>833</v>
      </c>
      <c r="M44" s="18">
        <v>43</v>
      </c>
      <c r="N44" s="18" t="s">
        <v>872</v>
      </c>
      <c r="O44" s="18" t="s">
        <v>2401</v>
      </c>
      <c r="P44" s="18" t="s">
        <v>874</v>
      </c>
      <c r="S44" s="18">
        <v>43</v>
      </c>
      <c r="T44" s="18" t="s">
        <v>2080</v>
      </c>
      <c r="U44" s="18">
        <v>0.4</v>
      </c>
      <c r="V44" s="18" t="s">
        <v>13</v>
      </c>
      <c r="W44" s="18" t="s">
        <v>814</v>
      </c>
      <c r="Z44" t="s">
        <v>13</v>
      </c>
      <c r="AA44" t="s">
        <v>814</v>
      </c>
      <c r="AC44" t="str">
        <f t="shared" si="0"/>
        <v xml:space="preserve">187 </v>
      </c>
      <c r="AD44" t="str">
        <f t="shared" si="1"/>
        <v xml:space="preserve">26 </v>
      </c>
      <c r="AF44">
        <v>187</v>
      </c>
      <c r="AG44">
        <v>26</v>
      </c>
    </row>
    <row r="45" spans="1:33" ht="55.8" thickBot="1" x14ac:dyDescent="0.3">
      <c r="A45" s="6" t="s">
        <v>875</v>
      </c>
      <c r="B45" s="11">
        <v>26050</v>
      </c>
      <c r="C45" s="6" t="s">
        <v>876</v>
      </c>
      <c r="D45" s="6" t="s">
        <v>779</v>
      </c>
      <c r="E45" s="6" t="s">
        <v>833</v>
      </c>
      <c r="F45" s="6" t="s">
        <v>833</v>
      </c>
      <c r="M45" s="18">
        <v>44</v>
      </c>
      <c r="N45" s="18" t="s">
        <v>875</v>
      </c>
      <c r="O45" s="18" t="s">
        <v>876</v>
      </c>
      <c r="P45" s="18" t="s">
        <v>779</v>
      </c>
      <c r="S45" s="18">
        <v>44</v>
      </c>
      <c r="T45" s="18" t="s">
        <v>2445</v>
      </c>
      <c r="U45" s="18" t="s">
        <v>2426</v>
      </c>
      <c r="V45" s="18" t="s">
        <v>2426</v>
      </c>
      <c r="W45" s="18" t="s">
        <v>2426</v>
      </c>
      <c r="Z45" t="s">
        <v>2426</v>
      </c>
      <c r="AA45" t="s">
        <v>2426</v>
      </c>
      <c r="AC45" t="e">
        <f t="shared" si="0"/>
        <v>#N/A</v>
      </c>
      <c r="AD45" t="e">
        <f t="shared" si="1"/>
        <v>#N/A</v>
      </c>
    </row>
    <row r="46" spans="1:33" ht="42" thickBot="1" x14ac:dyDescent="0.3">
      <c r="A46" s="6" t="s">
        <v>877</v>
      </c>
      <c r="B46" s="11">
        <v>132000</v>
      </c>
      <c r="C46" s="6" t="s">
        <v>878</v>
      </c>
      <c r="D46" s="6" t="s">
        <v>65</v>
      </c>
      <c r="E46" s="6" t="s">
        <v>833</v>
      </c>
      <c r="F46" s="6" t="s">
        <v>833</v>
      </c>
      <c r="M46" s="18">
        <v>45</v>
      </c>
      <c r="N46" s="18" t="s">
        <v>877</v>
      </c>
      <c r="O46" s="18" t="s">
        <v>878</v>
      </c>
      <c r="P46" s="18" t="s">
        <v>65</v>
      </c>
      <c r="S46" s="18">
        <v>45</v>
      </c>
      <c r="T46" s="18" t="s">
        <v>2446</v>
      </c>
      <c r="U46" s="18" t="s">
        <v>2426</v>
      </c>
      <c r="V46" s="18" t="s">
        <v>2426</v>
      </c>
      <c r="W46" s="18" t="s">
        <v>2426</v>
      </c>
      <c r="Z46" t="s">
        <v>2426</v>
      </c>
      <c r="AA46" t="s">
        <v>2426</v>
      </c>
      <c r="AC46" t="e">
        <f t="shared" si="0"/>
        <v>#N/A</v>
      </c>
      <c r="AD46" t="e">
        <f t="shared" si="1"/>
        <v>#N/A</v>
      </c>
    </row>
    <row r="47" spans="1:33" ht="42" thickBot="1" x14ac:dyDescent="0.3">
      <c r="A47" s="6" t="s">
        <v>879</v>
      </c>
      <c r="B47" s="11">
        <v>353193</v>
      </c>
      <c r="C47" s="6" t="s">
        <v>880</v>
      </c>
      <c r="D47" s="6" t="s">
        <v>66</v>
      </c>
      <c r="E47" s="6" t="s">
        <v>833</v>
      </c>
      <c r="F47" s="6" t="s">
        <v>833</v>
      </c>
      <c r="M47" s="18">
        <v>46</v>
      </c>
      <c r="N47" s="18" t="s">
        <v>879</v>
      </c>
      <c r="O47" s="18" t="s">
        <v>2402</v>
      </c>
      <c r="P47" s="18" t="s">
        <v>2403</v>
      </c>
      <c r="S47" s="18">
        <v>46</v>
      </c>
      <c r="T47" s="18" t="s">
        <v>2447</v>
      </c>
      <c r="U47" s="18" t="s">
        <v>2426</v>
      </c>
      <c r="V47" s="18" t="s">
        <v>2426</v>
      </c>
      <c r="W47" s="18" t="s">
        <v>2426</v>
      </c>
      <c r="Z47" t="s">
        <v>2426</v>
      </c>
      <c r="AA47" t="s">
        <v>2426</v>
      </c>
      <c r="AC47" t="e">
        <f t="shared" si="0"/>
        <v>#N/A</v>
      </c>
      <c r="AD47" t="e">
        <f t="shared" si="1"/>
        <v>#N/A</v>
      </c>
    </row>
    <row r="48" spans="1:33" ht="42" thickBot="1" x14ac:dyDescent="0.3">
      <c r="A48" s="6" t="s">
        <v>59</v>
      </c>
      <c r="B48" s="11">
        <v>28900</v>
      </c>
      <c r="C48" s="6" t="s">
        <v>881</v>
      </c>
      <c r="D48" s="6" t="s">
        <v>67</v>
      </c>
      <c r="E48" s="6" t="s">
        <v>833</v>
      </c>
      <c r="F48" s="6" t="s">
        <v>833</v>
      </c>
      <c r="M48" s="18">
        <v>47</v>
      </c>
      <c r="N48" s="18" t="s">
        <v>59</v>
      </c>
      <c r="O48" s="18" t="s">
        <v>2404</v>
      </c>
      <c r="P48" s="18" t="s">
        <v>67</v>
      </c>
      <c r="S48" s="18">
        <v>47</v>
      </c>
      <c r="T48" s="18" t="s">
        <v>2448</v>
      </c>
      <c r="U48" s="18">
        <v>91</v>
      </c>
      <c r="V48" s="18" t="s">
        <v>859</v>
      </c>
      <c r="W48" s="18" t="s">
        <v>860</v>
      </c>
      <c r="Z48" t="s">
        <v>859</v>
      </c>
      <c r="AA48" t="s">
        <v>860</v>
      </c>
      <c r="AC48" t="str">
        <f t="shared" si="0"/>
        <v xml:space="preserve">129 </v>
      </c>
      <c r="AD48" t="str">
        <f t="shared" si="1"/>
        <v xml:space="preserve">59 </v>
      </c>
      <c r="AF48">
        <v>129</v>
      </c>
      <c r="AG48">
        <v>59</v>
      </c>
    </row>
    <row r="49" spans="1:33" ht="42" thickBot="1" x14ac:dyDescent="0.3">
      <c r="A49" s="6" t="s">
        <v>882</v>
      </c>
      <c r="B49" s="6">
        <v>1430</v>
      </c>
      <c r="C49" s="6" t="s">
        <v>883</v>
      </c>
      <c r="D49" s="6" t="s">
        <v>68</v>
      </c>
      <c r="E49" s="6" t="s">
        <v>833</v>
      </c>
      <c r="F49" s="6" t="s">
        <v>833</v>
      </c>
      <c r="M49" s="18">
        <v>48</v>
      </c>
      <c r="N49" s="18" t="s">
        <v>882</v>
      </c>
      <c r="O49" s="18" t="s">
        <v>883</v>
      </c>
      <c r="P49" s="18" t="s">
        <v>68</v>
      </c>
      <c r="S49" s="18">
        <v>48</v>
      </c>
      <c r="T49" s="18" t="s">
        <v>2449</v>
      </c>
      <c r="U49" s="18" t="s">
        <v>2426</v>
      </c>
      <c r="V49" s="18" t="s">
        <v>2426</v>
      </c>
      <c r="W49" s="18" t="s">
        <v>2426</v>
      </c>
      <c r="Z49" t="s">
        <v>2426</v>
      </c>
      <c r="AA49" t="s">
        <v>2426</v>
      </c>
      <c r="AC49" t="e">
        <f t="shared" si="0"/>
        <v>#N/A</v>
      </c>
      <c r="AD49" t="e">
        <f t="shared" si="1"/>
        <v>#N/A</v>
      </c>
    </row>
    <row r="50" spans="1:33" ht="28.2" thickBot="1" x14ac:dyDescent="0.3">
      <c r="A50" s="6" t="s">
        <v>884</v>
      </c>
      <c r="B50" s="6">
        <v>439</v>
      </c>
      <c r="C50" s="6" t="s">
        <v>885</v>
      </c>
      <c r="D50" s="6" t="s">
        <v>868</v>
      </c>
      <c r="E50" s="6" t="s">
        <v>833</v>
      </c>
      <c r="F50" s="6" t="s">
        <v>833</v>
      </c>
      <c r="M50" s="18">
        <v>49</v>
      </c>
      <c r="N50" s="18" t="s">
        <v>884</v>
      </c>
      <c r="O50" s="18" t="s">
        <v>885</v>
      </c>
      <c r="P50" s="18" t="s">
        <v>868</v>
      </c>
      <c r="S50" s="18">
        <v>49</v>
      </c>
      <c r="T50" s="18" t="s">
        <v>2450</v>
      </c>
      <c r="U50" s="18" t="s">
        <v>2426</v>
      </c>
      <c r="V50" s="18" t="s">
        <v>2426</v>
      </c>
      <c r="W50" s="18" t="s">
        <v>2426</v>
      </c>
      <c r="Z50" t="s">
        <v>2426</v>
      </c>
      <c r="AA50" t="s">
        <v>2426</v>
      </c>
      <c r="AC50" t="e">
        <f t="shared" si="0"/>
        <v>#N/A</v>
      </c>
      <c r="AD50" t="e">
        <f t="shared" si="1"/>
        <v>#N/A</v>
      </c>
    </row>
    <row r="51" spans="1:33" ht="111" thickBot="1" x14ac:dyDescent="0.3">
      <c r="M51" s="18">
        <v>50</v>
      </c>
      <c r="N51" s="18" t="s">
        <v>2353</v>
      </c>
      <c r="O51" s="18" t="s">
        <v>2405</v>
      </c>
      <c r="P51" s="18" t="s">
        <v>1164</v>
      </c>
      <c r="S51" s="18">
        <v>50</v>
      </c>
      <c r="T51" s="18" t="s">
        <v>2083</v>
      </c>
      <c r="U51" s="18">
        <v>57</v>
      </c>
      <c r="V51" s="18" t="s">
        <v>2373</v>
      </c>
      <c r="W51" s="18" t="s">
        <v>2374</v>
      </c>
      <c r="Z51" t="s">
        <v>2373</v>
      </c>
      <c r="AA51" t="s">
        <v>2374</v>
      </c>
      <c r="AC51" t="str">
        <f t="shared" si="0"/>
        <v xml:space="preserve">9,437 </v>
      </c>
      <c r="AD51" t="str">
        <f t="shared" si="1"/>
        <v xml:space="preserve">8,766 </v>
      </c>
      <c r="AF51" s="20">
        <v>9437</v>
      </c>
      <c r="AG51" s="20">
        <v>8766</v>
      </c>
    </row>
    <row r="52" spans="1:33" ht="55.8" thickBot="1" x14ac:dyDescent="0.3">
      <c r="M52" s="18">
        <v>51</v>
      </c>
      <c r="N52" s="18" t="s">
        <v>2354</v>
      </c>
      <c r="O52" s="18" t="s">
        <v>2406</v>
      </c>
      <c r="P52" s="18" t="s">
        <v>1164</v>
      </c>
      <c r="S52" s="18">
        <v>51</v>
      </c>
      <c r="T52" s="18" t="s">
        <v>2089</v>
      </c>
      <c r="U52" s="18">
        <v>24.7</v>
      </c>
      <c r="V52" s="18" t="s">
        <v>30</v>
      </c>
      <c r="W52" s="18" t="s">
        <v>829</v>
      </c>
      <c r="Z52" t="s">
        <v>30</v>
      </c>
      <c r="AA52" t="s">
        <v>829</v>
      </c>
      <c r="AC52" t="str">
        <f t="shared" si="0"/>
        <v xml:space="preserve">863 </v>
      </c>
      <c r="AD52" t="str">
        <f t="shared" si="1"/>
        <v xml:space="preserve">819 </v>
      </c>
      <c r="AF52">
        <v>863</v>
      </c>
      <c r="AG52">
        <v>819</v>
      </c>
    </row>
    <row r="53" spans="1:33" ht="69.599999999999994" thickBot="1" x14ac:dyDescent="0.3">
      <c r="M53" s="18">
        <v>52</v>
      </c>
      <c r="N53" s="18" t="s">
        <v>2355</v>
      </c>
      <c r="O53" s="18" t="s">
        <v>2407</v>
      </c>
      <c r="P53" s="18" t="s">
        <v>1164</v>
      </c>
      <c r="S53" s="18">
        <v>52</v>
      </c>
      <c r="T53" s="18" t="s">
        <v>2091</v>
      </c>
      <c r="U53" s="18">
        <v>167</v>
      </c>
      <c r="V53" s="18" t="s">
        <v>2380</v>
      </c>
      <c r="W53" s="18" t="s">
        <v>830</v>
      </c>
      <c r="Z53" t="s">
        <v>2380</v>
      </c>
      <c r="AA53" t="s">
        <v>830</v>
      </c>
      <c r="AC53" t="str">
        <f t="shared" si="0"/>
        <v xml:space="preserve">3,271 </v>
      </c>
      <c r="AD53" t="str">
        <f t="shared" si="1"/>
        <v xml:space="preserve">571 </v>
      </c>
      <c r="AF53" s="20">
        <v>3271</v>
      </c>
      <c r="AG53">
        <v>571</v>
      </c>
    </row>
    <row r="54" spans="1:33" ht="55.8" thickBot="1" x14ac:dyDescent="0.3">
      <c r="M54" s="18">
        <v>53</v>
      </c>
      <c r="N54" s="18" t="s">
        <v>2356</v>
      </c>
      <c r="O54" s="18" t="s">
        <v>2408</v>
      </c>
      <c r="P54" s="18" t="s">
        <v>2409</v>
      </c>
      <c r="S54" s="18">
        <v>53</v>
      </c>
      <c r="T54" s="18" t="s">
        <v>2451</v>
      </c>
      <c r="U54" s="18" t="s">
        <v>2426</v>
      </c>
      <c r="V54" s="18" t="s">
        <v>2426</v>
      </c>
      <c r="W54" s="18" t="s">
        <v>2426</v>
      </c>
      <c r="Z54" t="s">
        <v>2426</v>
      </c>
      <c r="AA54" t="s">
        <v>2426</v>
      </c>
      <c r="AC54" t="e">
        <f t="shared" si="0"/>
        <v>#N/A</v>
      </c>
      <c r="AD54" t="e">
        <f t="shared" si="1"/>
        <v>#N/A</v>
      </c>
    </row>
    <row r="55" spans="1:33" ht="69.599999999999994" thickBot="1" x14ac:dyDescent="0.3">
      <c r="M55" s="18">
        <v>54</v>
      </c>
      <c r="N55" s="18" t="s">
        <v>2357</v>
      </c>
      <c r="O55" s="18" t="s">
        <v>2410</v>
      </c>
      <c r="P55" s="18" t="s">
        <v>1164</v>
      </c>
      <c r="S55" s="18">
        <v>54</v>
      </c>
      <c r="T55" s="18" t="s">
        <v>2452</v>
      </c>
      <c r="U55" s="18">
        <v>407</v>
      </c>
      <c r="V55" s="18" t="s">
        <v>2394</v>
      </c>
      <c r="W55" s="18" t="s">
        <v>852</v>
      </c>
      <c r="Z55" t="s">
        <v>2394</v>
      </c>
      <c r="AA55" t="s">
        <v>852</v>
      </c>
      <c r="AC55" t="str">
        <f t="shared" si="0"/>
        <v xml:space="preserve">2,075 </v>
      </c>
      <c r="AD55" t="str">
        <f t="shared" si="1"/>
        <v xml:space="preserve">992 </v>
      </c>
      <c r="AF55" s="20">
        <v>2075</v>
      </c>
      <c r="AG55">
        <v>992</v>
      </c>
    </row>
    <row r="56" spans="1:33" ht="97.2" thickBot="1" x14ac:dyDescent="0.3">
      <c r="M56" s="18">
        <v>55</v>
      </c>
      <c r="N56" s="18" t="s">
        <v>2358</v>
      </c>
      <c r="O56" s="18" t="s">
        <v>2411</v>
      </c>
      <c r="P56" s="18" t="s">
        <v>2412</v>
      </c>
      <c r="S56" s="18">
        <v>55</v>
      </c>
      <c r="T56" s="18" t="s">
        <v>2102</v>
      </c>
      <c r="U56" s="18">
        <v>420</v>
      </c>
      <c r="V56" s="18" t="s">
        <v>48</v>
      </c>
      <c r="W56" s="18" t="s">
        <v>63</v>
      </c>
      <c r="Z56" t="s">
        <v>48</v>
      </c>
      <c r="AA56" t="s">
        <v>63</v>
      </c>
      <c r="AC56" t="str">
        <f t="shared" si="0"/>
        <v xml:space="preserve">374 </v>
      </c>
      <c r="AD56" t="str">
        <f t="shared" si="1"/>
        <v xml:space="preserve">473 </v>
      </c>
      <c r="AF56">
        <v>374</v>
      </c>
      <c r="AG56">
        <v>473</v>
      </c>
    </row>
    <row r="57" spans="1:33" ht="55.8" thickBot="1" x14ac:dyDescent="0.3">
      <c r="M57" s="18">
        <v>56</v>
      </c>
      <c r="N57" s="18" t="s">
        <v>2359</v>
      </c>
      <c r="O57" s="18" t="s">
        <v>2413</v>
      </c>
      <c r="P57" s="18" t="s">
        <v>2414</v>
      </c>
      <c r="S57" s="18">
        <v>56</v>
      </c>
      <c r="T57" s="18" t="s">
        <v>2104</v>
      </c>
      <c r="U57" s="19">
        <v>18100</v>
      </c>
      <c r="V57" s="18" t="s">
        <v>50</v>
      </c>
      <c r="W57" s="18" t="s">
        <v>2400</v>
      </c>
      <c r="Z57" t="s">
        <v>50</v>
      </c>
      <c r="AA57" t="s">
        <v>2400</v>
      </c>
      <c r="AC57" t="str">
        <f t="shared" si="0"/>
        <v xml:space="preserve">13,666 </v>
      </c>
      <c r="AD57" t="str">
        <f t="shared" si="1"/>
        <v xml:space="preserve">1,935 </v>
      </c>
      <c r="AF57" s="20">
        <v>13666</v>
      </c>
      <c r="AG57" s="20">
        <v>1935</v>
      </c>
    </row>
    <row r="58" spans="1:33" ht="69.599999999999994" thickBot="1" x14ac:dyDescent="0.3">
      <c r="M58" s="18">
        <v>57</v>
      </c>
      <c r="N58" s="18" t="s">
        <v>2360</v>
      </c>
      <c r="O58" s="18" t="s">
        <v>2415</v>
      </c>
      <c r="P58" s="18" t="s">
        <v>2416</v>
      </c>
      <c r="S58" s="18">
        <v>57</v>
      </c>
      <c r="T58" s="18" t="s">
        <v>2453</v>
      </c>
      <c r="U58" s="18" t="s">
        <v>2426</v>
      </c>
      <c r="V58" s="18" t="s">
        <v>2426</v>
      </c>
      <c r="W58" s="18" t="s">
        <v>2426</v>
      </c>
      <c r="Z58" t="s">
        <v>2426</v>
      </c>
      <c r="AA58" t="s">
        <v>2426</v>
      </c>
      <c r="AC58" t="e">
        <f t="shared" si="0"/>
        <v>#N/A</v>
      </c>
      <c r="AD58" t="e">
        <f t="shared" si="1"/>
        <v>#N/A</v>
      </c>
    </row>
    <row r="59" spans="1:33" ht="42" thickBot="1" x14ac:dyDescent="0.3">
      <c r="M59" s="18">
        <v>58</v>
      </c>
      <c r="N59" s="18" t="s">
        <v>2361</v>
      </c>
      <c r="O59" s="18" t="s">
        <v>2417</v>
      </c>
      <c r="P59" s="18" t="s">
        <v>2418</v>
      </c>
      <c r="S59" s="18">
        <v>58</v>
      </c>
      <c r="T59" s="18" t="s">
        <v>2454</v>
      </c>
      <c r="U59" s="18" t="s">
        <v>2426</v>
      </c>
      <c r="V59" s="18" t="s">
        <v>2426</v>
      </c>
      <c r="W59" s="18" t="s">
        <v>2426</v>
      </c>
      <c r="Z59" t="s">
        <v>2426</v>
      </c>
      <c r="AA59" t="s">
        <v>2426</v>
      </c>
      <c r="AC59" t="e">
        <f t="shared" si="0"/>
        <v>#N/A</v>
      </c>
      <c r="AD59" t="e">
        <f t="shared" si="1"/>
        <v>#N/A</v>
      </c>
    </row>
    <row r="60" spans="1:33" ht="55.8" thickBot="1" x14ac:dyDescent="0.3">
      <c r="M60" s="18">
        <v>59</v>
      </c>
      <c r="N60" s="18" t="s">
        <v>2362</v>
      </c>
      <c r="O60" s="18" t="s">
        <v>2419</v>
      </c>
      <c r="P60" s="18" t="s">
        <v>2420</v>
      </c>
      <c r="S60" s="18">
        <v>59</v>
      </c>
      <c r="T60" s="18" t="s">
        <v>2455</v>
      </c>
      <c r="U60" s="18" t="s">
        <v>2426</v>
      </c>
      <c r="V60" s="18" t="s">
        <v>2426</v>
      </c>
      <c r="W60" s="18" t="s">
        <v>2426</v>
      </c>
      <c r="Z60" t="s">
        <v>2426</v>
      </c>
      <c r="AA60" t="s">
        <v>2426</v>
      </c>
      <c r="AC60" t="e">
        <f t="shared" si="0"/>
        <v>#N/A</v>
      </c>
      <c r="AD60" t="e">
        <f t="shared" si="1"/>
        <v>#N/A</v>
      </c>
    </row>
    <row r="61" spans="1:33" ht="42" thickBot="1" x14ac:dyDescent="0.3">
      <c r="M61" s="18">
        <v>60</v>
      </c>
      <c r="N61" s="18" t="s">
        <v>2363</v>
      </c>
      <c r="O61" s="18" t="s">
        <v>2421</v>
      </c>
      <c r="P61" s="18" t="s">
        <v>2422</v>
      </c>
      <c r="S61" s="18">
        <v>60</v>
      </c>
      <c r="T61" s="18" t="s">
        <v>2456</v>
      </c>
      <c r="U61" s="19">
        <v>1500</v>
      </c>
      <c r="V61" s="18" t="s">
        <v>2457</v>
      </c>
      <c r="W61" s="18" t="s">
        <v>2458</v>
      </c>
      <c r="Z61" t="s">
        <v>2457</v>
      </c>
      <c r="AA61" t="s">
        <v>2458</v>
      </c>
      <c r="AC61" t="str">
        <f t="shared" si="0"/>
        <v xml:space="preserve">2 </v>
      </c>
      <c r="AD61" t="str">
        <f t="shared" si="1"/>
        <v xml:space="preserve">4 </v>
      </c>
      <c r="AF61">
        <v>2</v>
      </c>
      <c r="AG61">
        <v>4</v>
      </c>
    </row>
    <row r="62" spans="1:33" ht="28.2" thickBot="1" x14ac:dyDescent="0.3">
      <c r="S62" s="18">
        <v>61</v>
      </c>
      <c r="T62" s="18" t="s">
        <v>2105</v>
      </c>
      <c r="U62" s="19">
        <v>1120</v>
      </c>
      <c r="V62" s="18" t="s">
        <v>52</v>
      </c>
      <c r="W62" s="18" t="s">
        <v>863</v>
      </c>
      <c r="Z62" t="s">
        <v>52</v>
      </c>
      <c r="AA62" t="s">
        <v>863</v>
      </c>
      <c r="AC62" t="str">
        <f t="shared" si="0"/>
        <v xml:space="preserve">839 </v>
      </c>
      <c r="AD62" t="str">
        <f t="shared" si="1"/>
        <v xml:space="preserve">13 </v>
      </c>
      <c r="AF62">
        <v>839</v>
      </c>
      <c r="AG62">
        <v>13</v>
      </c>
    </row>
    <row r="63" spans="1:33" ht="28.2" thickBot="1" x14ac:dyDescent="0.3">
      <c r="S63" s="18">
        <v>62</v>
      </c>
      <c r="T63" s="18" t="s">
        <v>2459</v>
      </c>
      <c r="U63" s="19">
        <v>3200</v>
      </c>
      <c r="V63" s="18" t="s">
        <v>2426</v>
      </c>
      <c r="W63" s="18" t="s">
        <v>2426</v>
      </c>
      <c r="Z63" t="s">
        <v>2426</v>
      </c>
      <c r="AA63" t="s">
        <v>2426</v>
      </c>
      <c r="AC63" t="e">
        <f t="shared" si="0"/>
        <v>#N/A</v>
      </c>
      <c r="AD63" t="e">
        <f t="shared" si="1"/>
        <v>#N/A</v>
      </c>
    </row>
    <row r="64" spans="1:33" ht="28.2" thickBot="1" x14ac:dyDescent="0.3">
      <c r="S64" s="18">
        <v>63</v>
      </c>
      <c r="T64" s="18" t="s">
        <v>2460</v>
      </c>
      <c r="U64" s="19">
        <v>8620</v>
      </c>
      <c r="V64" s="18" t="s">
        <v>2401</v>
      </c>
      <c r="W64" s="18" t="s">
        <v>874</v>
      </c>
      <c r="Z64" t="s">
        <v>2401</v>
      </c>
      <c r="AA64" t="s">
        <v>874</v>
      </c>
      <c r="AC64" t="str">
        <f t="shared" si="0"/>
        <v xml:space="preserve">3,483 </v>
      </c>
      <c r="AD64" t="str">
        <f t="shared" si="1"/>
        <v xml:space="preserve">232 </v>
      </c>
      <c r="AF64" s="20">
        <v>3483</v>
      </c>
      <c r="AG64">
        <v>232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3EE6B-0EAD-417B-A526-79B844BE1704}">
  <dimension ref="A1:J132"/>
  <sheetViews>
    <sheetView zoomScaleNormal="100" workbookViewId="0">
      <selection activeCell="W9" sqref="W9"/>
    </sheetView>
  </sheetViews>
  <sheetFormatPr defaultRowHeight="13.8" x14ac:dyDescent="0.25"/>
  <cols>
    <col min="1" max="1" width="9" bestFit="1" customWidth="1"/>
    <col min="3" max="3" width="9.6640625" bestFit="1" customWidth="1"/>
  </cols>
  <sheetData>
    <row r="1" spans="1:10" ht="34.200000000000003" x14ac:dyDescent="0.25">
      <c r="A1" s="6" t="s">
        <v>69</v>
      </c>
      <c r="B1" s="6" t="s">
        <v>70</v>
      </c>
      <c r="C1" s="6" t="s">
        <v>71</v>
      </c>
      <c r="D1" s="6" t="s">
        <v>72</v>
      </c>
      <c r="E1" s="6" t="s">
        <v>73</v>
      </c>
      <c r="F1" s="6" t="s">
        <v>74</v>
      </c>
      <c r="G1" s="6" t="s">
        <v>75</v>
      </c>
      <c r="H1" s="6" t="s">
        <v>76</v>
      </c>
      <c r="I1" s="9" t="s">
        <v>4</v>
      </c>
      <c r="J1" s="9" t="s">
        <v>683</v>
      </c>
    </row>
    <row r="2" spans="1:10" ht="34.200000000000003" x14ac:dyDescent="0.25">
      <c r="A2" s="6">
        <v>1</v>
      </c>
      <c r="B2" s="6" t="s">
        <v>7</v>
      </c>
      <c r="C2" s="6" t="s">
        <v>77</v>
      </c>
      <c r="D2" s="6" t="s">
        <v>78</v>
      </c>
      <c r="E2" s="6" t="s">
        <v>79</v>
      </c>
      <c r="F2" s="6" t="s">
        <v>80</v>
      </c>
      <c r="G2" s="6" t="s">
        <v>81</v>
      </c>
      <c r="H2" s="6" t="s">
        <v>82</v>
      </c>
    </row>
    <row r="3" spans="1:10" ht="34.200000000000003" x14ac:dyDescent="0.25">
      <c r="A3" s="6">
        <v>2</v>
      </c>
      <c r="B3" s="6" t="s">
        <v>18</v>
      </c>
      <c r="C3" s="6" t="s">
        <v>83</v>
      </c>
      <c r="D3" s="6" t="s">
        <v>84</v>
      </c>
      <c r="E3" s="6" t="s">
        <v>85</v>
      </c>
      <c r="F3" s="6" t="s">
        <v>86</v>
      </c>
      <c r="G3" s="6" t="s">
        <v>87</v>
      </c>
      <c r="H3" s="6" t="s">
        <v>88</v>
      </c>
    </row>
    <row r="4" spans="1:10" ht="34.200000000000003" x14ac:dyDescent="0.25">
      <c r="A4" s="6">
        <v>3</v>
      </c>
      <c r="B4" s="6" t="s">
        <v>9</v>
      </c>
      <c r="C4" s="6" t="s">
        <v>89</v>
      </c>
      <c r="D4" s="6" t="s">
        <v>90</v>
      </c>
      <c r="E4" s="6" t="s">
        <v>91</v>
      </c>
      <c r="F4" s="6" t="s">
        <v>92</v>
      </c>
      <c r="G4" s="6" t="s">
        <v>93</v>
      </c>
      <c r="H4" s="6" t="s">
        <v>94</v>
      </c>
    </row>
    <row r="5" spans="1:10" ht="22.8" x14ac:dyDescent="0.25">
      <c r="A5" s="6">
        <v>4</v>
      </c>
      <c r="B5" s="6" t="s">
        <v>23</v>
      </c>
      <c r="C5" s="6" t="s">
        <v>95</v>
      </c>
      <c r="D5" s="6" t="s">
        <v>96</v>
      </c>
      <c r="E5" s="6" t="s">
        <v>97</v>
      </c>
      <c r="F5" s="6" t="s">
        <v>98</v>
      </c>
      <c r="G5" s="6" t="s">
        <v>99</v>
      </c>
      <c r="H5" s="6" t="s">
        <v>100</v>
      </c>
    </row>
    <row r="6" spans="1:10" ht="22.8" x14ac:dyDescent="0.25">
      <c r="A6" s="6">
        <v>5</v>
      </c>
      <c r="B6" s="6" t="s">
        <v>101</v>
      </c>
      <c r="C6" s="6" t="s">
        <v>102</v>
      </c>
      <c r="D6" s="6" t="s">
        <v>103</v>
      </c>
      <c r="E6" s="6" t="s">
        <v>104</v>
      </c>
      <c r="F6" s="6" t="s">
        <v>105</v>
      </c>
      <c r="G6" s="6" t="s">
        <v>106</v>
      </c>
      <c r="H6" s="6" t="s">
        <v>107</v>
      </c>
    </row>
    <row r="7" spans="1:10" ht="22.8" x14ac:dyDescent="0.25">
      <c r="A7" s="6">
        <v>6</v>
      </c>
      <c r="B7" s="6" t="s">
        <v>108</v>
      </c>
      <c r="C7" s="6" t="s">
        <v>109</v>
      </c>
      <c r="D7" s="6" t="s">
        <v>110</v>
      </c>
      <c r="E7" s="6" t="s">
        <v>111</v>
      </c>
      <c r="F7" s="6" t="s">
        <v>112</v>
      </c>
      <c r="G7" s="6" t="s">
        <v>113</v>
      </c>
      <c r="H7" s="6" t="s">
        <v>114</v>
      </c>
    </row>
    <row r="8" spans="1:10" ht="34.200000000000003" x14ac:dyDescent="0.25">
      <c r="A8" s="6">
        <v>7</v>
      </c>
      <c r="B8" s="6" t="s">
        <v>42</v>
      </c>
      <c r="C8" s="6" t="s">
        <v>115</v>
      </c>
      <c r="D8" s="6" t="s">
        <v>116</v>
      </c>
      <c r="E8" s="6" t="s">
        <v>117</v>
      </c>
      <c r="F8" s="6" t="s">
        <v>118</v>
      </c>
      <c r="G8" s="6" t="s">
        <v>119</v>
      </c>
      <c r="H8" s="6" t="s">
        <v>120</v>
      </c>
    </row>
    <row r="9" spans="1:10" ht="22.8" x14ac:dyDescent="0.25">
      <c r="A9" s="6">
        <v>8</v>
      </c>
      <c r="B9" s="6" t="s">
        <v>121</v>
      </c>
      <c r="C9" s="6" t="s">
        <v>122</v>
      </c>
      <c r="D9" s="6" t="s">
        <v>123</v>
      </c>
      <c r="E9" s="6" t="s">
        <v>124</v>
      </c>
      <c r="F9" s="6" t="s">
        <v>125</v>
      </c>
      <c r="G9" s="6" t="s">
        <v>126</v>
      </c>
      <c r="H9" s="6" t="s">
        <v>127</v>
      </c>
    </row>
    <row r="10" spans="1:10" ht="22.8" x14ac:dyDescent="0.25">
      <c r="A10" s="6">
        <v>9</v>
      </c>
      <c r="B10" s="6" t="s">
        <v>128</v>
      </c>
      <c r="C10" s="6" t="s">
        <v>129</v>
      </c>
      <c r="D10" s="6" t="s">
        <v>130</v>
      </c>
      <c r="E10" s="6" t="s">
        <v>131</v>
      </c>
      <c r="F10" s="6" t="s">
        <v>132</v>
      </c>
      <c r="G10" s="6" t="s">
        <v>133</v>
      </c>
      <c r="H10" s="6" t="s">
        <v>134</v>
      </c>
    </row>
    <row r="11" spans="1:10" ht="45.6" x14ac:dyDescent="0.25">
      <c r="A11" s="6">
        <v>10</v>
      </c>
      <c r="B11" s="6" t="s">
        <v>135</v>
      </c>
      <c r="C11" s="6" t="s">
        <v>136</v>
      </c>
      <c r="D11" s="6" t="s">
        <v>137</v>
      </c>
      <c r="E11" s="6" t="s">
        <v>138</v>
      </c>
      <c r="F11" s="6" t="s">
        <v>139</v>
      </c>
      <c r="G11" s="6" t="s">
        <v>140</v>
      </c>
      <c r="H11" s="6" t="s">
        <v>141</v>
      </c>
    </row>
    <row r="12" spans="1:10" ht="34.200000000000003" x14ac:dyDescent="0.25">
      <c r="A12" s="6">
        <v>11</v>
      </c>
      <c r="B12" s="6" t="s">
        <v>142</v>
      </c>
      <c r="C12" s="6" t="s">
        <v>143</v>
      </c>
      <c r="D12" s="6" t="s">
        <v>144</v>
      </c>
      <c r="E12" s="6" t="s">
        <v>145</v>
      </c>
      <c r="F12" s="6" t="s">
        <v>146</v>
      </c>
      <c r="G12" s="6" t="s">
        <v>147</v>
      </c>
      <c r="H12" s="6" t="s">
        <v>148</v>
      </c>
    </row>
    <row r="13" spans="1:10" ht="34.200000000000003" x14ac:dyDescent="0.25">
      <c r="A13" s="6">
        <v>12</v>
      </c>
      <c r="B13" s="6" t="s">
        <v>149</v>
      </c>
      <c r="C13" s="6" t="s">
        <v>150</v>
      </c>
      <c r="D13" s="6" t="s">
        <v>151</v>
      </c>
      <c r="E13" s="6" t="s">
        <v>152</v>
      </c>
      <c r="F13" s="6" t="s">
        <v>153</v>
      </c>
      <c r="G13" s="6" t="s">
        <v>154</v>
      </c>
      <c r="H13" s="6" t="s">
        <v>151</v>
      </c>
    </row>
    <row r="14" spans="1:10" ht="34.200000000000003" x14ac:dyDescent="0.25">
      <c r="A14" s="6">
        <v>13</v>
      </c>
      <c r="B14" s="6" t="s">
        <v>155</v>
      </c>
      <c r="C14" s="6" t="s">
        <v>156</v>
      </c>
      <c r="D14" s="6" t="s">
        <v>157</v>
      </c>
      <c r="E14" s="6" t="s">
        <v>158</v>
      </c>
      <c r="F14" s="6" t="s">
        <v>151</v>
      </c>
      <c r="G14" s="6" t="s">
        <v>159</v>
      </c>
      <c r="H14" s="6" t="s">
        <v>160</v>
      </c>
    </row>
    <row r="15" spans="1:10" ht="34.200000000000003" x14ac:dyDescent="0.25">
      <c r="A15" s="6">
        <v>14</v>
      </c>
      <c r="B15" s="6" t="s">
        <v>161</v>
      </c>
      <c r="C15" s="6" t="s">
        <v>162</v>
      </c>
      <c r="D15" s="6" t="s">
        <v>151</v>
      </c>
      <c r="E15" s="6" t="s">
        <v>163</v>
      </c>
      <c r="F15" s="6" t="s">
        <v>164</v>
      </c>
      <c r="G15" s="6" t="s">
        <v>165</v>
      </c>
      <c r="H15" s="6" t="s">
        <v>166</v>
      </c>
    </row>
    <row r="16" spans="1:10" ht="57" x14ac:dyDescent="0.25">
      <c r="A16" s="6">
        <v>15</v>
      </c>
      <c r="B16" s="6" t="s">
        <v>167</v>
      </c>
      <c r="C16" s="6" t="s">
        <v>168</v>
      </c>
      <c r="D16" s="6" t="s">
        <v>169</v>
      </c>
      <c r="E16" s="6" t="s">
        <v>170</v>
      </c>
      <c r="F16" s="6" t="s">
        <v>171</v>
      </c>
      <c r="G16" s="6" t="s">
        <v>172</v>
      </c>
      <c r="H16" s="6" t="s">
        <v>173</v>
      </c>
    </row>
    <row r="17" spans="1:8" ht="22.8" x14ac:dyDescent="0.25">
      <c r="A17" s="6">
        <v>16</v>
      </c>
      <c r="B17" s="6" t="s">
        <v>174</v>
      </c>
      <c r="C17" s="6" t="s">
        <v>175</v>
      </c>
      <c r="D17" s="6" t="s">
        <v>176</v>
      </c>
      <c r="E17" s="6" t="s">
        <v>177</v>
      </c>
      <c r="F17" s="6" t="s">
        <v>178</v>
      </c>
      <c r="G17" s="6" t="s">
        <v>179</v>
      </c>
      <c r="H17" s="6" t="s">
        <v>180</v>
      </c>
    </row>
    <row r="18" spans="1:8" ht="45.6" x14ac:dyDescent="0.25">
      <c r="A18" s="6">
        <v>17</v>
      </c>
      <c r="B18" s="6" t="s">
        <v>181</v>
      </c>
      <c r="C18" s="6" t="s">
        <v>182</v>
      </c>
      <c r="D18" s="6" t="s">
        <v>183</v>
      </c>
      <c r="E18" s="6" t="s">
        <v>184</v>
      </c>
      <c r="F18" s="6" t="s">
        <v>185</v>
      </c>
      <c r="G18" s="6" t="s">
        <v>186</v>
      </c>
      <c r="H18" s="6" t="s">
        <v>187</v>
      </c>
    </row>
    <row r="19" spans="1:8" ht="34.200000000000003" x14ac:dyDescent="0.25">
      <c r="A19" s="6">
        <v>18</v>
      </c>
      <c r="B19" s="6" t="s">
        <v>188</v>
      </c>
      <c r="C19" s="6" t="s">
        <v>189</v>
      </c>
      <c r="D19" s="6" t="s">
        <v>190</v>
      </c>
      <c r="E19" s="6" t="s">
        <v>191</v>
      </c>
      <c r="F19" s="6" t="s">
        <v>192</v>
      </c>
      <c r="G19" s="6" t="s">
        <v>193</v>
      </c>
      <c r="H19" s="6" t="s">
        <v>194</v>
      </c>
    </row>
    <row r="20" spans="1:8" ht="34.200000000000003" x14ac:dyDescent="0.25">
      <c r="A20" s="6">
        <v>19</v>
      </c>
      <c r="B20" s="6" t="s">
        <v>195</v>
      </c>
      <c r="C20" s="6" t="s">
        <v>196</v>
      </c>
      <c r="D20" s="6" t="s">
        <v>151</v>
      </c>
      <c r="E20" s="6" t="s">
        <v>197</v>
      </c>
      <c r="F20" s="6" t="s">
        <v>198</v>
      </c>
      <c r="G20" s="6" t="s">
        <v>151</v>
      </c>
      <c r="H20" s="6" t="s">
        <v>151</v>
      </c>
    </row>
    <row r="21" spans="1:8" ht="34.200000000000003" x14ac:dyDescent="0.25">
      <c r="A21" s="6">
        <v>20</v>
      </c>
      <c r="B21" s="6" t="s">
        <v>33</v>
      </c>
      <c r="C21" s="6" t="s">
        <v>199</v>
      </c>
      <c r="D21" s="6" t="s">
        <v>200</v>
      </c>
      <c r="E21" s="6" t="s">
        <v>201</v>
      </c>
      <c r="F21" s="6" t="s">
        <v>202</v>
      </c>
      <c r="G21" s="6" t="s">
        <v>203</v>
      </c>
      <c r="H21" s="6" t="s">
        <v>204</v>
      </c>
    </row>
    <row r="22" spans="1:8" ht="34.200000000000003" x14ac:dyDescent="0.25">
      <c r="A22" s="6">
        <v>21</v>
      </c>
      <c r="B22" s="6" t="s">
        <v>205</v>
      </c>
      <c r="C22" s="6" t="s">
        <v>206</v>
      </c>
      <c r="D22" s="6" t="s">
        <v>207</v>
      </c>
      <c r="E22" s="6" t="s">
        <v>208</v>
      </c>
      <c r="F22" s="6" t="s">
        <v>209</v>
      </c>
      <c r="G22" s="6" t="s">
        <v>210</v>
      </c>
      <c r="H22" s="6" t="s">
        <v>211</v>
      </c>
    </row>
    <row r="23" spans="1:8" ht="34.200000000000003" x14ac:dyDescent="0.25">
      <c r="A23" s="6">
        <v>22</v>
      </c>
      <c r="B23" s="6" t="s">
        <v>212</v>
      </c>
      <c r="C23" s="6" t="s">
        <v>213</v>
      </c>
      <c r="D23" s="6" t="s">
        <v>214</v>
      </c>
      <c r="E23" s="6" t="s">
        <v>215</v>
      </c>
      <c r="F23" s="6" t="s">
        <v>216</v>
      </c>
      <c r="G23" s="6" t="s">
        <v>217</v>
      </c>
      <c r="H23" s="6" t="s">
        <v>218</v>
      </c>
    </row>
    <row r="24" spans="1:8" ht="34.200000000000003" x14ac:dyDescent="0.25">
      <c r="A24" s="6">
        <v>23</v>
      </c>
      <c r="B24" s="6" t="s">
        <v>58</v>
      </c>
      <c r="C24" s="6" t="s">
        <v>219</v>
      </c>
      <c r="D24" s="6" t="s">
        <v>151</v>
      </c>
      <c r="E24" s="6" t="s">
        <v>220</v>
      </c>
      <c r="F24" s="6" t="s">
        <v>221</v>
      </c>
      <c r="G24" s="6" t="s">
        <v>222</v>
      </c>
      <c r="H24" s="6" t="s">
        <v>223</v>
      </c>
    </row>
    <row r="25" spans="1:8" ht="22.8" x14ac:dyDescent="0.25">
      <c r="A25" s="6">
        <v>24</v>
      </c>
      <c r="B25" s="6" t="s">
        <v>224</v>
      </c>
      <c r="C25" s="6" t="s">
        <v>225</v>
      </c>
      <c r="D25" s="6" t="s">
        <v>226</v>
      </c>
      <c r="E25" s="6" t="s">
        <v>227</v>
      </c>
      <c r="F25" s="6" t="s">
        <v>228</v>
      </c>
      <c r="G25" s="6" t="s">
        <v>229</v>
      </c>
      <c r="H25" s="6" t="s">
        <v>230</v>
      </c>
    </row>
    <row r="26" spans="1:8" ht="34.200000000000003" x14ac:dyDescent="0.25">
      <c r="A26" s="6">
        <v>25</v>
      </c>
      <c r="B26" s="6" t="s">
        <v>231</v>
      </c>
      <c r="C26" s="6" t="s">
        <v>232</v>
      </c>
      <c r="D26" s="6" t="s">
        <v>151</v>
      </c>
      <c r="E26" s="6" t="s">
        <v>233</v>
      </c>
      <c r="F26" s="6" t="s">
        <v>151</v>
      </c>
      <c r="G26" s="6" t="s">
        <v>234</v>
      </c>
      <c r="H26" s="6" t="s">
        <v>235</v>
      </c>
    </row>
    <row r="27" spans="1:8" ht="22.8" x14ac:dyDescent="0.25">
      <c r="A27" s="6">
        <v>26</v>
      </c>
      <c r="B27" s="6" t="s">
        <v>236</v>
      </c>
      <c r="C27" s="6" t="s">
        <v>237</v>
      </c>
      <c r="D27" s="6" t="s">
        <v>238</v>
      </c>
      <c r="E27" s="6" t="s">
        <v>239</v>
      </c>
      <c r="F27" s="6" t="s">
        <v>151</v>
      </c>
      <c r="G27" s="6" t="s">
        <v>240</v>
      </c>
      <c r="H27" s="6" t="s">
        <v>151</v>
      </c>
    </row>
    <row r="28" spans="1:8" ht="34.200000000000003" x14ac:dyDescent="0.25">
      <c r="A28" s="6">
        <v>27</v>
      </c>
      <c r="B28" s="6" t="s">
        <v>241</v>
      </c>
      <c r="C28" s="6" t="s">
        <v>242</v>
      </c>
      <c r="D28" s="6" t="s">
        <v>243</v>
      </c>
      <c r="E28" s="6" t="s">
        <v>244</v>
      </c>
      <c r="F28" s="6" t="s">
        <v>245</v>
      </c>
      <c r="G28" s="6" t="s">
        <v>246</v>
      </c>
      <c r="H28" s="6" t="s">
        <v>247</v>
      </c>
    </row>
    <row r="29" spans="1:8" ht="22.8" x14ac:dyDescent="0.25">
      <c r="A29" s="6">
        <v>28</v>
      </c>
      <c r="B29" s="6" t="s">
        <v>248</v>
      </c>
      <c r="C29" s="6" t="s">
        <v>249</v>
      </c>
      <c r="D29" s="6" t="s">
        <v>151</v>
      </c>
      <c r="E29" s="6" t="s">
        <v>250</v>
      </c>
      <c r="F29" s="6" t="s">
        <v>151</v>
      </c>
      <c r="G29" s="6" t="s">
        <v>151</v>
      </c>
      <c r="H29" s="6" t="s">
        <v>151</v>
      </c>
    </row>
    <row r="30" spans="1:8" ht="22.8" x14ac:dyDescent="0.25">
      <c r="A30" s="6">
        <v>29</v>
      </c>
      <c r="B30" s="6" t="s">
        <v>251</v>
      </c>
      <c r="C30" s="6" t="s">
        <v>252</v>
      </c>
      <c r="D30" s="6" t="s">
        <v>151</v>
      </c>
      <c r="E30" s="6" t="s">
        <v>253</v>
      </c>
      <c r="F30" s="6" t="s">
        <v>254</v>
      </c>
      <c r="G30" s="6" t="s">
        <v>255</v>
      </c>
      <c r="H30" s="6" t="s">
        <v>256</v>
      </c>
    </row>
    <row r="31" spans="1:8" ht="34.200000000000003" x14ac:dyDescent="0.25">
      <c r="A31" s="6">
        <v>30</v>
      </c>
      <c r="B31" s="6" t="s">
        <v>257</v>
      </c>
      <c r="C31" s="6" t="s">
        <v>258</v>
      </c>
      <c r="D31" s="6" t="s">
        <v>259</v>
      </c>
      <c r="E31" s="6" t="s">
        <v>151</v>
      </c>
      <c r="F31" s="6" t="s">
        <v>151</v>
      </c>
      <c r="G31" s="6" t="s">
        <v>151</v>
      </c>
      <c r="H31" s="6" t="s">
        <v>151</v>
      </c>
    </row>
    <row r="32" spans="1:8" ht="34.200000000000003" x14ac:dyDescent="0.25">
      <c r="A32" s="6">
        <v>31</v>
      </c>
      <c r="B32" s="6" t="s">
        <v>260</v>
      </c>
      <c r="C32" s="6" t="s">
        <v>261</v>
      </c>
      <c r="D32" s="6" t="s">
        <v>262</v>
      </c>
      <c r="E32" s="6" t="s">
        <v>263</v>
      </c>
      <c r="F32" s="6" t="s">
        <v>264</v>
      </c>
      <c r="G32" s="6" t="s">
        <v>265</v>
      </c>
      <c r="H32" s="6" t="s">
        <v>266</v>
      </c>
    </row>
    <row r="33" spans="1:8" ht="45.6" x14ac:dyDescent="0.25">
      <c r="A33" s="6">
        <v>32</v>
      </c>
      <c r="B33" s="6" t="s">
        <v>267</v>
      </c>
      <c r="C33" s="6" t="s">
        <v>268</v>
      </c>
      <c r="D33" s="6" t="s">
        <v>269</v>
      </c>
      <c r="E33" s="6" t="s">
        <v>270</v>
      </c>
      <c r="F33" s="6" t="s">
        <v>271</v>
      </c>
      <c r="G33" s="6" t="s">
        <v>272</v>
      </c>
      <c r="H33" s="6" t="s">
        <v>273</v>
      </c>
    </row>
    <row r="34" spans="1:8" ht="34.200000000000003" x14ac:dyDescent="0.25">
      <c r="A34" s="6">
        <v>33</v>
      </c>
      <c r="B34" s="6" t="s">
        <v>57</v>
      </c>
      <c r="C34" s="6" t="s">
        <v>274</v>
      </c>
      <c r="D34" s="6" t="s">
        <v>275</v>
      </c>
      <c r="E34" s="6" t="s">
        <v>276</v>
      </c>
      <c r="F34" s="6" t="s">
        <v>277</v>
      </c>
      <c r="G34" s="6" t="s">
        <v>278</v>
      </c>
      <c r="H34" s="6" t="s">
        <v>279</v>
      </c>
    </row>
    <row r="35" spans="1:8" ht="57" x14ac:dyDescent="0.25">
      <c r="A35" s="6">
        <v>34</v>
      </c>
      <c r="B35" s="6" t="s">
        <v>280</v>
      </c>
      <c r="C35" s="6" t="s">
        <v>281</v>
      </c>
      <c r="D35" s="6" t="s">
        <v>282</v>
      </c>
      <c r="E35" s="6" t="s">
        <v>283</v>
      </c>
      <c r="F35" s="6" t="s">
        <v>284</v>
      </c>
      <c r="G35" s="6" t="s">
        <v>285</v>
      </c>
      <c r="H35" s="6" t="s">
        <v>151</v>
      </c>
    </row>
    <row r="36" spans="1:8" ht="22.8" x14ac:dyDescent="0.25">
      <c r="A36" s="6">
        <v>35</v>
      </c>
      <c r="B36" s="6" t="s">
        <v>286</v>
      </c>
      <c r="C36" s="6" t="s">
        <v>287</v>
      </c>
      <c r="D36" s="6" t="s">
        <v>151</v>
      </c>
      <c r="E36" s="6" t="s">
        <v>151</v>
      </c>
      <c r="F36" s="6" t="s">
        <v>288</v>
      </c>
      <c r="G36" s="6" t="s">
        <v>289</v>
      </c>
      <c r="H36" s="6" t="s">
        <v>290</v>
      </c>
    </row>
    <row r="37" spans="1:8" ht="22.8" x14ac:dyDescent="0.25">
      <c r="A37" s="6">
        <v>36</v>
      </c>
      <c r="B37" s="6" t="s">
        <v>291</v>
      </c>
      <c r="C37" s="6" t="s">
        <v>292</v>
      </c>
      <c r="D37" s="6" t="s">
        <v>151</v>
      </c>
      <c r="E37" s="6" t="s">
        <v>293</v>
      </c>
      <c r="F37" s="6" t="s">
        <v>151</v>
      </c>
      <c r="G37" s="6" t="s">
        <v>294</v>
      </c>
      <c r="H37" s="6" t="s">
        <v>151</v>
      </c>
    </row>
    <row r="38" spans="1:8" ht="34.200000000000003" x14ac:dyDescent="0.25">
      <c r="A38" s="6">
        <v>37</v>
      </c>
      <c r="B38" s="6" t="s">
        <v>295</v>
      </c>
      <c r="C38" s="6" t="s">
        <v>296</v>
      </c>
      <c r="D38" s="6" t="s">
        <v>151</v>
      </c>
      <c r="E38" s="6" t="s">
        <v>151</v>
      </c>
      <c r="F38" s="6" t="s">
        <v>297</v>
      </c>
      <c r="G38" s="6" t="s">
        <v>298</v>
      </c>
      <c r="H38" s="6" t="s">
        <v>151</v>
      </c>
    </row>
    <row r="39" spans="1:8" ht="68.400000000000006" x14ac:dyDescent="0.25">
      <c r="A39" s="6">
        <v>38</v>
      </c>
      <c r="B39" s="6" t="s">
        <v>299</v>
      </c>
      <c r="C39" s="6" t="s">
        <v>300</v>
      </c>
      <c r="D39" s="6" t="s">
        <v>301</v>
      </c>
      <c r="E39" s="6" t="s">
        <v>151</v>
      </c>
      <c r="F39" s="6" t="s">
        <v>151</v>
      </c>
      <c r="G39" s="6" t="s">
        <v>151</v>
      </c>
      <c r="H39" s="6" t="s">
        <v>302</v>
      </c>
    </row>
    <row r="40" spans="1:8" ht="57" x14ac:dyDescent="0.25">
      <c r="A40" s="6">
        <v>39</v>
      </c>
      <c r="B40" s="6" t="s">
        <v>303</v>
      </c>
      <c r="C40" s="6" t="s">
        <v>304</v>
      </c>
      <c r="D40" s="6" t="s">
        <v>151</v>
      </c>
      <c r="E40" s="6" t="s">
        <v>305</v>
      </c>
      <c r="F40" s="6" t="s">
        <v>306</v>
      </c>
      <c r="G40" s="6" t="s">
        <v>307</v>
      </c>
      <c r="H40" s="6" t="s">
        <v>308</v>
      </c>
    </row>
    <row r="41" spans="1:8" ht="22.8" x14ac:dyDescent="0.25">
      <c r="A41" s="6">
        <v>40</v>
      </c>
      <c r="B41" s="6" t="s">
        <v>309</v>
      </c>
      <c r="C41" s="6" t="s">
        <v>310</v>
      </c>
      <c r="D41" s="6" t="s">
        <v>151</v>
      </c>
      <c r="E41" s="6" t="s">
        <v>151</v>
      </c>
      <c r="F41" s="6" t="s">
        <v>311</v>
      </c>
      <c r="G41" s="6" t="s">
        <v>151</v>
      </c>
      <c r="H41" s="6" t="s">
        <v>312</v>
      </c>
    </row>
    <row r="42" spans="1:8" ht="22.8" x14ac:dyDescent="0.25">
      <c r="A42" s="6">
        <v>41</v>
      </c>
      <c r="B42" s="6" t="s">
        <v>313</v>
      </c>
      <c r="C42" s="6" t="s">
        <v>314</v>
      </c>
      <c r="D42" s="6" t="s">
        <v>151</v>
      </c>
      <c r="E42" s="6" t="s">
        <v>315</v>
      </c>
      <c r="F42" s="6" t="s">
        <v>151</v>
      </c>
      <c r="G42" s="6" t="s">
        <v>151</v>
      </c>
      <c r="H42" s="6" t="s">
        <v>151</v>
      </c>
    </row>
    <row r="43" spans="1:8" ht="45.6" x14ac:dyDescent="0.25">
      <c r="A43" s="6">
        <v>42</v>
      </c>
      <c r="B43" s="6" t="s">
        <v>316</v>
      </c>
      <c r="C43" s="6" t="s">
        <v>317</v>
      </c>
      <c r="D43" s="6" t="s">
        <v>151</v>
      </c>
      <c r="E43" s="6" t="s">
        <v>151</v>
      </c>
      <c r="F43" s="6" t="s">
        <v>151</v>
      </c>
      <c r="G43" s="6" t="s">
        <v>318</v>
      </c>
      <c r="H43" s="6" t="s">
        <v>319</v>
      </c>
    </row>
    <row r="44" spans="1:8" ht="34.200000000000003" x14ac:dyDescent="0.25">
      <c r="A44" s="6">
        <v>43</v>
      </c>
      <c r="B44" s="6" t="s">
        <v>320</v>
      </c>
      <c r="C44" s="6" t="s">
        <v>321</v>
      </c>
      <c r="D44" s="6" t="s">
        <v>151</v>
      </c>
      <c r="E44" s="6" t="s">
        <v>322</v>
      </c>
      <c r="F44" s="6" t="s">
        <v>151</v>
      </c>
      <c r="G44" s="6" t="s">
        <v>151</v>
      </c>
      <c r="H44" s="6" t="s">
        <v>151</v>
      </c>
    </row>
    <row r="45" spans="1:8" ht="22.8" x14ac:dyDescent="0.25">
      <c r="A45" s="6">
        <v>44</v>
      </c>
      <c r="B45" s="6" t="s">
        <v>323</v>
      </c>
      <c r="C45" s="6" t="s">
        <v>324</v>
      </c>
      <c r="D45" s="6" t="s">
        <v>325</v>
      </c>
      <c r="E45" s="6" t="s">
        <v>151</v>
      </c>
      <c r="F45" s="6" t="s">
        <v>151</v>
      </c>
      <c r="G45" s="6" t="s">
        <v>151</v>
      </c>
      <c r="H45" s="6" t="s">
        <v>151</v>
      </c>
    </row>
    <row r="46" spans="1:8" ht="22.8" x14ac:dyDescent="0.25">
      <c r="A46" s="6">
        <v>45</v>
      </c>
      <c r="B46" s="6" t="s">
        <v>326</v>
      </c>
      <c r="C46" s="6" t="s">
        <v>327</v>
      </c>
      <c r="D46" s="6" t="s">
        <v>151</v>
      </c>
      <c r="E46" s="6" t="s">
        <v>328</v>
      </c>
      <c r="F46" s="6" t="s">
        <v>151</v>
      </c>
      <c r="G46" s="6" t="s">
        <v>151</v>
      </c>
      <c r="H46" s="6" t="s">
        <v>329</v>
      </c>
    </row>
    <row r="47" spans="1:8" ht="34.200000000000003" x14ac:dyDescent="0.25">
      <c r="A47" s="6">
        <v>46</v>
      </c>
      <c r="B47" s="6" t="s">
        <v>56</v>
      </c>
      <c r="C47" s="6" t="s">
        <v>330</v>
      </c>
      <c r="D47" s="6" t="s">
        <v>151</v>
      </c>
      <c r="E47" s="6" t="s">
        <v>331</v>
      </c>
      <c r="F47" s="6" t="s">
        <v>151</v>
      </c>
      <c r="G47" s="6" t="s">
        <v>151</v>
      </c>
      <c r="H47" s="6" t="s">
        <v>332</v>
      </c>
    </row>
    <row r="48" spans="1:8" ht="45.6" x14ac:dyDescent="0.25">
      <c r="A48" s="6">
        <v>47</v>
      </c>
      <c r="B48" s="6" t="s">
        <v>333</v>
      </c>
      <c r="C48" s="6" t="s">
        <v>334</v>
      </c>
      <c r="D48" s="6" t="s">
        <v>151</v>
      </c>
      <c r="E48" s="6" t="s">
        <v>335</v>
      </c>
      <c r="F48" s="6" t="s">
        <v>151</v>
      </c>
      <c r="G48" s="6" t="s">
        <v>151</v>
      </c>
      <c r="H48" s="6" t="s">
        <v>151</v>
      </c>
    </row>
    <row r="49" spans="1:8" ht="22.8" x14ac:dyDescent="0.25">
      <c r="A49" s="6">
        <v>48</v>
      </c>
      <c r="B49" s="6" t="s">
        <v>336</v>
      </c>
      <c r="C49" s="6" t="s">
        <v>337</v>
      </c>
      <c r="D49" s="6" t="s">
        <v>151</v>
      </c>
      <c r="E49" s="6" t="s">
        <v>151</v>
      </c>
      <c r="F49" s="6" t="s">
        <v>151</v>
      </c>
      <c r="G49" s="6" t="s">
        <v>338</v>
      </c>
      <c r="H49" s="6" t="s">
        <v>339</v>
      </c>
    </row>
    <row r="50" spans="1:8" ht="45.6" x14ac:dyDescent="0.25">
      <c r="A50" s="6">
        <v>49</v>
      </c>
      <c r="B50" s="6" t="s">
        <v>340</v>
      </c>
      <c r="C50" s="6" t="s">
        <v>341</v>
      </c>
      <c r="D50" s="6" t="s">
        <v>151</v>
      </c>
      <c r="E50" s="6" t="s">
        <v>151</v>
      </c>
      <c r="F50" s="6" t="s">
        <v>151</v>
      </c>
      <c r="G50" s="6" t="s">
        <v>151</v>
      </c>
      <c r="H50" s="6" t="s">
        <v>342</v>
      </c>
    </row>
    <row r="51" spans="1:8" ht="22.8" x14ac:dyDescent="0.25">
      <c r="A51" s="6">
        <v>50</v>
      </c>
      <c r="B51" s="6" t="s">
        <v>343</v>
      </c>
      <c r="C51" s="6" t="s">
        <v>344</v>
      </c>
      <c r="D51" s="6" t="s">
        <v>151</v>
      </c>
      <c r="E51" s="6" t="s">
        <v>151</v>
      </c>
      <c r="F51" s="6" t="s">
        <v>151</v>
      </c>
      <c r="G51" s="6" t="s">
        <v>151</v>
      </c>
      <c r="H51" s="6" t="s">
        <v>345</v>
      </c>
    </row>
    <row r="52" spans="1:8" ht="34.200000000000003" x14ac:dyDescent="0.25">
      <c r="A52" s="6">
        <v>51</v>
      </c>
      <c r="B52" s="6" t="s">
        <v>346</v>
      </c>
      <c r="C52" s="6" t="s">
        <v>347</v>
      </c>
      <c r="D52" s="6" t="s">
        <v>151</v>
      </c>
      <c r="E52" s="6" t="s">
        <v>348</v>
      </c>
      <c r="F52" s="6" t="s">
        <v>151</v>
      </c>
      <c r="G52" s="6" t="s">
        <v>151</v>
      </c>
      <c r="H52" s="6" t="s">
        <v>151</v>
      </c>
    </row>
    <row r="53" spans="1:8" ht="34.200000000000003" x14ac:dyDescent="0.25">
      <c r="A53" s="6">
        <v>52</v>
      </c>
      <c r="B53" s="6" t="s">
        <v>349</v>
      </c>
      <c r="C53" s="6" t="s">
        <v>350</v>
      </c>
      <c r="D53" s="6" t="s">
        <v>151</v>
      </c>
      <c r="E53" s="6" t="s">
        <v>151</v>
      </c>
      <c r="F53" s="6" t="s">
        <v>151</v>
      </c>
      <c r="G53" s="6" t="s">
        <v>151</v>
      </c>
      <c r="H53" s="6" t="s">
        <v>351</v>
      </c>
    </row>
    <row r="54" spans="1:8" ht="34.200000000000003" x14ac:dyDescent="0.25">
      <c r="A54" s="6">
        <v>53</v>
      </c>
      <c r="B54" s="6" t="s">
        <v>352</v>
      </c>
      <c r="C54" s="6" t="s">
        <v>353</v>
      </c>
      <c r="D54" s="6" t="s">
        <v>151</v>
      </c>
      <c r="E54" s="6" t="s">
        <v>151</v>
      </c>
      <c r="F54" s="6" t="s">
        <v>151</v>
      </c>
      <c r="G54" s="6" t="s">
        <v>151</v>
      </c>
      <c r="H54" s="6" t="s">
        <v>354</v>
      </c>
    </row>
    <row r="55" spans="1:8" ht="34.200000000000003" x14ac:dyDescent="0.25">
      <c r="A55" s="6">
        <v>54</v>
      </c>
      <c r="B55" s="6" t="s">
        <v>355</v>
      </c>
      <c r="C55" s="7"/>
      <c r="D55" s="6" t="s">
        <v>356</v>
      </c>
      <c r="E55" s="6" t="s">
        <v>357</v>
      </c>
      <c r="F55" s="6" t="s">
        <v>358</v>
      </c>
      <c r="G55" s="6" t="s">
        <v>359</v>
      </c>
      <c r="H55" s="6" t="s">
        <v>360</v>
      </c>
    </row>
    <row r="56" spans="1:8" x14ac:dyDescent="0.25">
      <c r="A56" s="6">
        <v>55</v>
      </c>
      <c r="B56" s="6" t="s">
        <v>361</v>
      </c>
      <c r="C56" s="7"/>
      <c r="D56" s="7"/>
      <c r="E56" s="7"/>
      <c r="F56" s="7"/>
      <c r="G56" s="7"/>
      <c r="H56" s="7"/>
    </row>
    <row r="57" spans="1:8" ht="22.8" x14ac:dyDescent="0.25">
      <c r="A57" s="6">
        <v>56</v>
      </c>
      <c r="B57" s="6" t="s">
        <v>362</v>
      </c>
      <c r="C57" s="6" t="s">
        <v>363</v>
      </c>
      <c r="D57" s="6" t="s">
        <v>364</v>
      </c>
      <c r="E57" s="6" t="s">
        <v>365</v>
      </c>
      <c r="F57" s="6" t="s">
        <v>366</v>
      </c>
      <c r="G57" s="6" t="s">
        <v>367</v>
      </c>
      <c r="H57" s="6" t="s">
        <v>368</v>
      </c>
    </row>
    <row r="58" spans="1:8" ht="22.8" x14ac:dyDescent="0.25">
      <c r="A58" s="6">
        <v>57</v>
      </c>
      <c r="B58" s="6" t="s">
        <v>369</v>
      </c>
      <c r="C58" s="6" t="s">
        <v>370</v>
      </c>
      <c r="D58" s="6" t="s">
        <v>371</v>
      </c>
      <c r="E58" s="6" t="s">
        <v>372</v>
      </c>
      <c r="F58" s="6" t="s">
        <v>373</v>
      </c>
      <c r="G58" s="6" t="s">
        <v>374</v>
      </c>
      <c r="H58" s="6" t="s">
        <v>375</v>
      </c>
    </row>
    <row r="59" spans="1:8" ht="22.8" x14ac:dyDescent="0.25">
      <c r="A59" s="6">
        <v>58</v>
      </c>
      <c r="B59" s="6" t="s">
        <v>376</v>
      </c>
      <c r="C59" s="6" t="s">
        <v>377</v>
      </c>
      <c r="D59" s="6" t="s">
        <v>378</v>
      </c>
      <c r="E59" s="6" t="s">
        <v>379</v>
      </c>
      <c r="F59" s="6" t="s">
        <v>380</v>
      </c>
      <c r="G59" s="6" t="s">
        <v>381</v>
      </c>
      <c r="H59" s="6" t="s">
        <v>382</v>
      </c>
    </row>
    <row r="60" spans="1:8" ht="22.8" x14ac:dyDescent="0.25">
      <c r="A60" s="6">
        <v>59</v>
      </c>
      <c r="B60" s="6" t="s">
        <v>25</v>
      </c>
      <c r="C60" s="6" t="s">
        <v>383</v>
      </c>
      <c r="D60" s="6" t="s">
        <v>384</v>
      </c>
      <c r="E60" s="6" t="s">
        <v>385</v>
      </c>
      <c r="F60" s="6" t="s">
        <v>386</v>
      </c>
      <c r="G60" s="6" t="s">
        <v>387</v>
      </c>
      <c r="H60" s="6" t="s">
        <v>388</v>
      </c>
    </row>
    <row r="61" spans="1:8" ht="34.200000000000003" x14ac:dyDescent="0.25">
      <c r="A61" s="6">
        <v>60</v>
      </c>
      <c r="B61" s="6" t="s">
        <v>59</v>
      </c>
      <c r="C61" s="6" t="s">
        <v>389</v>
      </c>
      <c r="D61" s="6" t="s">
        <v>151</v>
      </c>
      <c r="E61" s="6" t="s">
        <v>390</v>
      </c>
      <c r="F61" s="6" t="s">
        <v>391</v>
      </c>
      <c r="G61" s="6" t="s">
        <v>392</v>
      </c>
      <c r="H61" s="6" t="s">
        <v>393</v>
      </c>
    </row>
    <row r="62" spans="1:8" ht="22.8" x14ac:dyDescent="0.25">
      <c r="A62" s="6">
        <v>61</v>
      </c>
      <c r="B62" s="6" t="s">
        <v>394</v>
      </c>
      <c r="C62" s="6" t="s">
        <v>395</v>
      </c>
      <c r="D62" s="6" t="s">
        <v>396</v>
      </c>
      <c r="E62" s="6" t="s">
        <v>397</v>
      </c>
      <c r="F62" s="6" t="s">
        <v>398</v>
      </c>
      <c r="G62" s="6" t="s">
        <v>399</v>
      </c>
      <c r="H62" s="6" t="s">
        <v>400</v>
      </c>
    </row>
    <row r="63" spans="1:8" ht="45.6" x14ac:dyDescent="0.25">
      <c r="A63" s="6">
        <v>62</v>
      </c>
      <c r="B63" s="6" t="s">
        <v>54</v>
      </c>
      <c r="C63" s="6" t="s">
        <v>401</v>
      </c>
      <c r="D63" s="6" t="s">
        <v>402</v>
      </c>
      <c r="E63" s="6" t="s">
        <v>151</v>
      </c>
      <c r="F63" s="6" t="s">
        <v>403</v>
      </c>
      <c r="G63" s="6" t="s">
        <v>404</v>
      </c>
      <c r="H63" s="6" t="s">
        <v>405</v>
      </c>
    </row>
    <row r="64" spans="1:8" ht="34.200000000000003" x14ac:dyDescent="0.25">
      <c r="A64" s="6">
        <v>63</v>
      </c>
      <c r="B64" s="6" t="s">
        <v>406</v>
      </c>
      <c r="C64" s="6" t="s">
        <v>407</v>
      </c>
      <c r="D64" s="6" t="s">
        <v>151</v>
      </c>
      <c r="E64" s="6" t="s">
        <v>151</v>
      </c>
      <c r="F64" s="6" t="s">
        <v>151</v>
      </c>
      <c r="G64" s="6" t="s">
        <v>151</v>
      </c>
      <c r="H64" s="6" t="s">
        <v>408</v>
      </c>
    </row>
    <row r="65" spans="1:8" ht="45.6" x14ac:dyDescent="0.25">
      <c r="A65" s="6">
        <v>64</v>
      </c>
      <c r="B65" s="6" t="s">
        <v>409</v>
      </c>
      <c r="C65" s="6" t="s">
        <v>410</v>
      </c>
      <c r="D65" s="6" t="s">
        <v>411</v>
      </c>
      <c r="E65" s="6" t="s">
        <v>412</v>
      </c>
      <c r="F65" s="6" t="s">
        <v>413</v>
      </c>
      <c r="G65" s="6" t="s">
        <v>414</v>
      </c>
      <c r="H65" s="6" t="s">
        <v>415</v>
      </c>
    </row>
    <row r="66" spans="1:8" ht="22.8" x14ac:dyDescent="0.25">
      <c r="A66" s="6">
        <v>65</v>
      </c>
      <c r="B66" s="6" t="s">
        <v>416</v>
      </c>
      <c r="C66" s="6" t="s">
        <v>417</v>
      </c>
      <c r="D66" s="6" t="s">
        <v>418</v>
      </c>
      <c r="E66" s="6" t="s">
        <v>419</v>
      </c>
      <c r="F66" s="6" t="s">
        <v>151</v>
      </c>
      <c r="G66" s="6" t="s">
        <v>338</v>
      </c>
      <c r="H66" s="6" t="s">
        <v>151</v>
      </c>
    </row>
    <row r="67" spans="1:8" ht="22.8" x14ac:dyDescent="0.25">
      <c r="A67" s="6">
        <v>66</v>
      </c>
      <c r="B67" s="6" t="s">
        <v>420</v>
      </c>
      <c r="C67" s="6" t="s">
        <v>421</v>
      </c>
      <c r="D67" s="6" t="s">
        <v>422</v>
      </c>
      <c r="E67" s="6" t="s">
        <v>151</v>
      </c>
      <c r="F67" s="6" t="s">
        <v>151</v>
      </c>
      <c r="G67" s="6" t="s">
        <v>151</v>
      </c>
      <c r="H67" s="6" t="s">
        <v>423</v>
      </c>
    </row>
    <row r="68" spans="1:8" ht="34.200000000000003" x14ac:dyDescent="0.25">
      <c r="A68" s="6">
        <v>67</v>
      </c>
      <c r="B68" s="6" t="s">
        <v>424</v>
      </c>
      <c r="C68" s="6" t="s">
        <v>425</v>
      </c>
      <c r="D68" s="6" t="s">
        <v>426</v>
      </c>
      <c r="E68" s="6" t="s">
        <v>151</v>
      </c>
      <c r="F68" s="6" t="s">
        <v>151</v>
      </c>
      <c r="G68" s="6" t="s">
        <v>427</v>
      </c>
      <c r="H68" s="6" t="s">
        <v>151</v>
      </c>
    </row>
    <row r="69" spans="1:8" ht="22.8" x14ac:dyDescent="0.25">
      <c r="A69" s="6">
        <v>68</v>
      </c>
      <c r="B69" s="6" t="s">
        <v>428</v>
      </c>
      <c r="C69" s="6" t="s">
        <v>429</v>
      </c>
      <c r="D69" s="6" t="s">
        <v>430</v>
      </c>
      <c r="E69" s="6" t="s">
        <v>431</v>
      </c>
      <c r="F69" s="6" t="s">
        <v>151</v>
      </c>
      <c r="G69" s="6" t="s">
        <v>151</v>
      </c>
      <c r="H69" s="6" t="s">
        <v>432</v>
      </c>
    </row>
    <row r="70" spans="1:8" ht="22.8" x14ac:dyDescent="0.25">
      <c r="A70" s="6">
        <v>69</v>
      </c>
      <c r="B70" s="6" t="s">
        <v>433</v>
      </c>
      <c r="C70" s="6" t="s">
        <v>434</v>
      </c>
      <c r="D70" s="6" t="s">
        <v>435</v>
      </c>
      <c r="E70" s="6" t="s">
        <v>436</v>
      </c>
      <c r="F70" s="6" t="s">
        <v>437</v>
      </c>
      <c r="G70" s="6" t="s">
        <v>438</v>
      </c>
      <c r="H70" s="6" t="s">
        <v>439</v>
      </c>
    </row>
    <row r="71" spans="1:8" ht="22.8" x14ac:dyDescent="0.25">
      <c r="A71" s="6">
        <v>70</v>
      </c>
      <c r="B71" s="6" t="s">
        <v>440</v>
      </c>
      <c r="C71" s="6" t="s">
        <v>441</v>
      </c>
      <c r="D71" s="6" t="s">
        <v>151</v>
      </c>
      <c r="E71" s="6" t="s">
        <v>151</v>
      </c>
      <c r="F71" s="6" t="s">
        <v>151</v>
      </c>
      <c r="G71" s="6" t="s">
        <v>151</v>
      </c>
      <c r="H71" s="6" t="s">
        <v>442</v>
      </c>
    </row>
    <row r="72" spans="1:8" ht="22.8" x14ac:dyDescent="0.25">
      <c r="A72" s="6">
        <v>71</v>
      </c>
      <c r="B72" s="6" t="s">
        <v>443</v>
      </c>
      <c r="C72" s="6" t="s">
        <v>444</v>
      </c>
      <c r="D72" s="6" t="s">
        <v>445</v>
      </c>
      <c r="E72" s="6" t="s">
        <v>446</v>
      </c>
      <c r="F72" s="6" t="s">
        <v>447</v>
      </c>
      <c r="G72" s="6" t="s">
        <v>151</v>
      </c>
      <c r="H72" s="6" t="s">
        <v>448</v>
      </c>
    </row>
    <row r="73" spans="1:8" ht="22.8" x14ac:dyDescent="0.25">
      <c r="A73" s="6">
        <v>72</v>
      </c>
      <c r="B73" s="6" t="s">
        <v>449</v>
      </c>
      <c r="C73" s="6" t="s">
        <v>450</v>
      </c>
      <c r="D73" s="6" t="s">
        <v>151</v>
      </c>
      <c r="E73" s="6" t="s">
        <v>151</v>
      </c>
      <c r="F73" s="6" t="s">
        <v>151</v>
      </c>
      <c r="G73" s="6" t="s">
        <v>151</v>
      </c>
      <c r="H73" s="6" t="s">
        <v>451</v>
      </c>
    </row>
    <row r="74" spans="1:8" ht="34.200000000000003" x14ac:dyDescent="0.25">
      <c r="A74" s="6">
        <v>73</v>
      </c>
      <c r="B74" s="6" t="s">
        <v>452</v>
      </c>
      <c r="C74" s="6" t="s">
        <v>453</v>
      </c>
      <c r="D74" s="6" t="s">
        <v>151</v>
      </c>
      <c r="E74" s="6" t="s">
        <v>151</v>
      </c>
      <c r="F74" s="6" t="s">
        <v>151</v>
      </c>
      <c r="G74" s="6" t="s">
        <v>151</v>
      </c>
      <c r="H74" s="6" t="s">
        <v>454</v>
      </c>
    </row>
    <row r="75" spans="1:8" ht="22.8" x14ac:dyDescent="0.25">
      <c r="A75" s="6">
        <v>74</v>
      </c>
      <c r="B75" s="6" t="s">
        <v>43</v>
      </c>
      <c r="C75" s="6" t="s">
        <v>455</v>
      </c>
      <c r="D75" s="6" t="s">
        <v>151</v>
      </c>
      <c r="E75" s="6" t="s">
        <v>151</v>
      </c>
      <c r="F75" s="6" t="s">
        <v>151</v>
      </c>
      <c r="G75" s="6" t="s">
        <v>151</v>
      </c>
      <c r="H75" s="6" t="s">
        <v>456</v>
      </c>
    </row>
    <row r="76" spans="1:8" ht="34.200000000000003" x14ac:dyDescent="0.25">
      <c r="A76" s="6">
        <v>75</v>
      </c>
      <c r="B76" s="6" t="s">
        <v>457</v>
      </c>
      <c r="C76" s="6" t="s">
        <v>458</v>
      </c>
      <c r="D76" s="6" t="s">
        <v>151</v>
      </c>
      <c r="E76" s="6" t="s">
        <v>151</v>
      </c>
      <c r="F76" s="6" t="s">
        <v>151</v>
      </c>
      <c r="G76" s="6" t="s">
        <v>151</v>
      </c>
      <c r="H76" s="6" t="s">
        <v>459</v>
      </c>
    </row>
    <row r="77" spans="1:8" ht="22.8" x14ac:dyDescent="0.25">
      <c r="A77" s="6">
        <v>76</v>
      </c>
      <c r="B77" s="6" t="s">
        <v>460</v>
      </c>
      <c r="C77" s="6" t="s">
        <v>461</v>
      </c>
      <c r="D77" s="6" t="s">
        <v>151</v>
      </c>
      <c r="E77" s="6" t="s">
        <v>462</v>
      </c>
      <c r="F77" s="6" t="s">
        <v>151</v>
      </c>
      <c r="G77" s="6" t="s">
        <v>151</v>
      </c>
      <c r="H77" s="6" t="s">
        <v>151</v>
      </c>
    </row>
    <row r="78" spans="1:8" ht="22.8" x14ac:dyDescent="0.25">
      <c r="A78" s="6">
        <v>77</v>
      </c>
      <c r="B78" s="6" t="s">
        <v>463</v>
      </c>
      <c r="C78" s="6" t="s">
        <v>464</v>
      </c>
      <c r="D78" s="6" t="s">
        <v>151</v>
      </c>
      <c r="E78" s="6" t="s">
        <v>151</v>
      </c>
      <c r="F78" s="6" t="s">
        <v>465</v>
      </c>
      <c r="G78" s="6" t="s">
        <v>151</v>
      </c>
      <c r="H78" s="6" t="s">
        <v>466</v>
      </c>
    </row>
    <row r="79" spans="1:8" ht="45.6" x14ac:dyDescent="0.25">
      <c r="A79" s="6">
        <v>78</v>
      </c>
      <c r="B79" s="6" t="s">
        <v>467</v>
      </c>
      <c r="C79" s="6" t="s">
        <v>468</v>
      </c>
      <c r="D79" s="6" t="s">
        <v>151</v>
      </c>
      <c r="E79" s="6" t="s">
        <v>469</v>
      </c>
      <c r="F79" s="6" t="s">
        <v>151</v>
      </c>
      <c r="G79" s="6" t="s">
        <v>151</v>
      </c>
      <c r="H79" s="6" t="s">
        <v>151</v>
      </c>
    </row>
    <row r="80" spans="1:8" ht="34.200000000000003" x14ac:dyDescent="0.25">
      <c r="A80" s="6">
        <v>79</v>
      </c>
      <c r="B80" s="6" t="s">
        <v>470</v>
      </c>
      <c r="C80" s="6" t="s">
        <v>471</v>
      </c>
      <c r="D80" s="6" t="s">
        <v>151</v>
      </c>
      <c r="E80" s="6" t="s">
        <v>151</v>
      </c>
      <c r="F80" s="6" t="s">
        <v>151</v>
      </c>
      <c r="G80" s="6" t="s">
        <v>151</v>
      </c>
      <c r="H80" s="6" t="s">
        <v>472</v>
      </c>
    </row>
    <row r="81" spans="1:8" ht="22.8" x14ac:dyDescent="0.25">
      <c r="A81" s="6">
        <v>80</v>
      </c>
      <c r="B81" s="6" t="s">
        <v>473</v>
      </c>
      <c r="C81" s="6" t="s">
        <v>474</v>
      </c>
      <c r="D81" s="6" t="s">
        <v>151</v>
      </c>
      <c r="E81" s="6" t="s">
        <v>151</v>
      </c>
      <c r="F81" s="6" t="s">
        <v>475</v>
      </c>
      <c r="G81" s="6" t="s">
        <v>151</v>
      </c>
      <c r="H81" s="6" t="s">
        <v>151</v>
      </c>
    </row>
    <row r="82" spans="1:8" ht="22.8" x14ac:dyDescent="0.25">
      <c r="A82" s="6">
        <v>81</v>
      </c>
      <c r="B82" s="6" t="s">
        <v>355</v>
      </c>
      <c r="C82" s="7"/>
      <c r="D82" s="6" t="s">
        <v>476</v>
      </c>
      <c r="E82" s="6" t="s">
        <v>477</v>
      </c>
      <c r="F82" s="6" t="s">
        <v>478</v>
      </c>
      <c r="G82" s="6" t="s">
        <v>479</v>
      </c>
      <c r="H82" s="6" t="s">
        <v>480</v>
      </c>
    </row>
    <row r="83" spans="1:8" x14ac:dyDescent="0.25">
      <c r="A83" s="6">
        <v>82</v>
      </c>
      <c r="B83" s="6" t="s">
        <v>481</v>
      </c>
      <c r="C83" s="7"/>
      <c r="D83" s="7"/>
      <c r="E83" s="7"/>
      <c r="F83" s="7"/>
      <c r="G83" s="7"/>
      <c r="H83" s="7"/>
    </row>
    <row r="84" spans="1:8" ht="22.8" x14ac:dyDescent="0.25">
      <c r="A84" s="6">
        <v>83</v>
      </c>
      <c r="B84" s="6" t="s">
        <v>14</v>
      </c>
      <c r="C84" s="6" t="s">
        <v>482</v>
      </c>
      <c r="D84" s="6" t="s">
        <v>483</v>
      </c>
      <c r="E84" s="6" t="s">
        <v>484</v>
      </c>
      <c r="F84" s="6" t="s">
        <v>485</v>
      </c>
      <c r="G84" s="6" t="s">
        <v>486</v>
      </c>
      <c r="H84" s="6" t="s">
        <v>487</v>
      </c>
    </row>
    <row r="85" spans="1:8" ht="22.8" x14ac:dyDescent="0.25">
      <c r="A85" s="6">
        <v>84</v>
      </c>
      <c r="B85" s="6" t="s">
        <v>488</v>
      </c>
      <c r="C85" s="6" t="s">
        <v>489</v>
      </c>
      <c r="D85" s="6" t="s">
        <v>490</v>
      </c>
      <c r="E85" s="6" t="s">
        <v>491</v>
      </c>
      <c r="F85" s="6" t="s">
        <v>151</v>
      </c>
      <c r="G85" s="6" t="s">
        <v>492</v>
      </c>
      <c r="H85" s="6" t="s">
        <v>151</v>
      </c>
    </row>
    <row r="86" spans="1:8" ht="22.8" x14ac:dyDescent="0.25">
      <c r="A86" s="6">
        <v>85</v>
      </c>
      <c r="B86" s="6" t="s">
        <v>493</v>
      </c>
      <c r="C86" s="6" t="s">
        <v>494</v>
      </c>
      <c r="D86" s="6" t="s">
        <v>495</v>
      </c>
      <c r="E86" s="6" t="s">
        <v>496</v>
      </c>
      <c r="F86" s="6" t="s">
        <v>497</v>
      </c>
      <c r="G86" s="6" t="s">
        <v>498</v>
      </c>
      <c r="H86" s="6" t="s">
        <v>499</v>
      </c>
    </row>
    <row r="87" spans="1:8" ht="45.6" x14ac:dyDescent="0.25">
      <c r="A87" s="6">
        <v>86</v>
      </c>
      <c r="B87" s="6" t="s">
        <v>500</v>
      </c>
      <c r="C87" s="6" t="s">
        <v>501</v>
      </c>
      <c r="D87" s="6" t="s">
        <v>151</v>
      </c>
      <c r="E87" s="6" t="s">
        <v>502</v>
      </c>
      <c r="F87" s="6" t="s">
        <v>503</v>
      </c>
      <c r="G87" s="6" t="s">
        <v>504</v>
      </c>
      <c r="H87" s="6" t="s">
        <v>505</v>
      </c>
    </row>
    <row r="88" spans="1:8" ht="22.8" x14ac:dyDescent="0.25">
      <c r="A88" s="6">
        <v>87</v>
      </c>
      <c r="B88" s="6" t="s">
        <v>22</v>
      </c>
      <c r="C88" s="6" t="s">
        <v>506</v>
      </c>
      <c r="D88" s="6" t="s">
        <v>507</v>
      </c>
      <c r="E88" s="6" t="s">
        <v>508</v>
      </c>
      <c r="F88" s="6" t="s">
        <v>509</v>
      </c>
      <c r="G88" s="6" t="s">
        <v>510</v>
      </c>
      <c r="H88" s="6" t="s">
        <v>511</v>
      </c>
    </row>
    <row r="89" spans="1:8" ht="22.8" x14ac:dyDescent="0.25">
      <c r="A89" s="6">
        <v>88</v>
      </c>
      <c r="B89" s="6" t="s">
        <v>38</v>
      </c>
      <c r="C89" s="6" t="s">
        <v>512</v>
      </c>
      <c r="D89" s="6" t="s">
        <v>151</v>
      </c>
      <c r="E89" s="6" t="s">
        <v>513</v>
      </c>
      <c r="F89" s="6" t="s">
        <v>514</v>
      </c>
      <c r="G89" s="6" t="s">
        <v>515</v>
      </c>
      <c r="H89" s="6" t="s">
        <v>516</v>
      </c>
    </row>
    <row r="90" spans="1:8" ht="22.8" x14ac:dyDescent="0.25">
      <c r="A90" s="6">
        <v>89</v>
      </c>
      <c r="B90" s="6" t="s">
        <v>44</v>
      </c>
      <c r="C90" s="6" t="s">
        <v>517</v>
      </c>
      <c r="D90" s="6" t="s">
        <v>151</v>
      </c>
      <c r="E90" s="6" t="s">
        <v>518</v>
      </c>
      <c r="F90" s="6" t="s">
        <v>519</v>
      </c>
      <c r="G90" s="6" t="s">
        <v>520</v>
      </c>
      <c r="H90" s="6" t="s">
        <v>521</v>
      </c>
    </row>
    <row r="91" spans="1:8" ht="22.8" x14ac:dyDescent="0.25">
      <c r="A91" s="6">
        <v>90</v>
      </c>
      <c r="B91" s="6" t="s">
        <v>16</v>
      </c>
      <c r="C91" s="6" t="s">
        <v>522</v>
      </c>
      <c r="D91" s="6" t="s">
        <v>523</v>
      </c>
      <c r="E91" s="6" t="s">
        <v>524</v>
      </c>
      <c r="F91" s="6" t="s">
        <v>525</v>
      </c>
      <c r="G91" s="6" t="s">
        <v>526</v>
      </c>
      <c r="H91" s="6" t="s">
        <v>527</v>
      </c>
    </row>
    <row r="92" spans="1:8" ht="22.8" x14ac:dyDescent="0.25">
      <c r="A92" s="6">
        <v>91</v>
      </c>
      <c r="B92" s="6" t="s">
        <v>528</v>
      </c>
      <c r="C92" s="6" t="s">
        <v>529</v>
      </c>
      <c r="D92" s="6" t="s">
        <v>151</v>
      </c>
      <c r="E92" s="6" t="s">
        <v>151</v>
      </c>
      <c r="F92" s="6" t="s">
        <v>530</v>
      </c>
      <c r="G92" s="6" t="s">
        <v>531</v>
      </c>
      <c r="H92" s="6" t="s">
        <v>532</v>
      </c>
    </row>
    <row r="93" spans="1:8" ht="22.8" x14ac:dyDescent="0.25">
      <c r="A93" s="6">
        <v>92</v>
      </c>
      <c r="B93" s="6" t="s">
        <v>40</v>
      </c>
      <c r="C93" s="6" t="s">
        <v>533</v>
      </c>
      <c r="D93" s="6" t="s">
        <v>534</v>
      </c>
      <c r="E93" s="6" t="s">
        <v>535</v>
      </c>
      <c r="F93" s="6" t="s">
        <v>536</v>
      </c>
      <c r="G93" s="6" t="s">
        <v>537</v>
      </c>
      <c r="H93" s="6" t="s">
        <v>538</v>
      </c>
    </row>
    <row r="94" spans="1:8" ht="34.200000000000003" x14ac:dyDescent="0.25">
      <c r="A94" s="6">
        <v>93</v>
      </c>
      <c r="B94" s="6" t="s">
        <v>539</v>
      </c>
      <c r="C94" s="6" t="s">
        <v>540</v>
      </c>
      <c r="D94" s="6" t="s">
        <v>541</v>
      </c>
      <c r="E94" s="6" t="s">
        <v>151</v>
      </c>
      <c r="F94" s="6" t="s">
        <v>542</v>
      </c>
      <c r="G94" s="6" t="s">
        <v>543</v>
      </c>
      <c r="H94" s="6" t="s">
        <v>151</v>
      </c>
    </row>
    <row r="95" spans="1:8" ht="22.8" x14ac:dyDescent="0.25">
      <c r="A95" s="6">
        <v>94</v>
      </c>
      <c r="B95" s="6" t="s">
        <v>544</v>
      </c>
      <c r="C95" s="6" t="s">
        <v>545</v>
      </c>
      <c r="D95" s="6" t="s">
        <v>151</v>
      </c>
      <c r="E95" s="6" t="s">
        <v>151</v>
      </c>
      <c r="F95" s="6" t="s">
        <v>546</v>
      </c>
      <c r="G95" s="6" t="s">
        <v>547</v>
      </c>
      <c r="H95" s="6" t="s">
        <v>548</v>
      </c>
    </row>
    <row r="96" spans="1:8" ht="22.8" x14ac:dyDescent="0.25">
      <c r="A96" s="6">
        <v>95</v>
      </c>
      <c r="B96" s="6" t="s">
        <v>549</v>
      </c>
      <c r="C96" s="6" t="s">
        <v>550</v>
      </c>
      <c r="D96" s="6" t="s">
        <v>151</v>
      </c>
      <c r="E96" s="6" t="s">
        <v>151</v>
      </c>
      <c r="F96" s="6" t="s">
        <v>151</v>
      </c>
      <c r="G96" s="6" t="s">
        <v>551</v>
      </c>
      <c r="H96" s="6" t="s">
        <v>151</v>
      </c>
    </row>
    <row r="97" spans="1:8" ht="22.8" x14ac:dyDescent="0.25">
      <c r="A97" s="6">
        <v>96</v>
      </c>
      <c r="B97" s="6" t="s">
        <v>552</v>
      </c>
      <c r="C97" s="6" t="s">
        <v>553</v>
      </c>
      <c r="D97" s="6" t="s">
        <v>151</v>
      </c>
      <c r="E97" s="6" t="s">
        <v>554</v>
      </c>
      <c r="F97" s="6" t="s">
        <v>151</v>
      </c>
      <c r="G97" s="6" t="s">
        <v>151</v>
      </c>
      <c r="H97" s="6" t="s">
        <v>151</v>
      </c>
    </row>
    <row r="98" spans="1:8" ht="22.8" x14ac:dyDescent="0.25">
      <c r="A98" s="6">
        <v>97</v>
      </c>
      <c r="B98" s="6" t="s">
        <v>355</v>
      </c>
      <c r="C98" s="7"/>
      <c r="D98" s="6" t="s">
        <v>555</v>
      </c>
      <c r="E98" s="6" t="s">
        <v>556</v>
      </c>
      <c r="F98" s="6" t="s">
        <v>557</v>
      </c>
      <c r="G98" s="6" t="s">
        <v>558</v>
      </c>
      <c r="H98" s="6" t="s">
        <v>559</v>
      </c>
    </row>
    <row r="99" spans="1:8" x14ac:dyDescent="0.25">
      <c r="A99" s="6">
        <v>98</v>
      </c>
      <c r="B99" s="6" t="s">
        <v>560</v>
      </c>
      <c r="C99" s="7"/>
      <c r="D99" s="7"/>
      <c r="E99" s="7"/>
      <c r="F99" s="7"/>
      <c r="G99" s="7"/>
      <c r="H99" s="7"/>
    </row>
    <row r="100" spans="1:8" ht="22.8" x14ac:dyDescent="0.25">
      <c r="A100" s="6">
        <v>99</v>
      </c>
      <c r="B100" s="6" t="s">
        <v>561</v>
      </c>
      <c r="C100" s="8">
        <v>35796</v>
      </c>
      <c r="D100" s="6" t="s">
        <v>562</v>
      </c>
      <c r="E100" s="6" t="s">
        <v>151</v>
      </c>
      <c r="F100" s="6" t="s">
        <v>151</v>
      </c>
      <c r="G100" s="6" t="s">
        <v>151</v>
      </c>
      <c r="H100" s="6" t="s">
        <v>151</v>
      </c>
    </row>
    <row r="101" spans="1:8" ht="22.8" x14ac:dyDescent="0.25">
      <c r="A101" s="6">
        <v>100</v>
      </c>
      <c r="B101" s="6" t="s">
        <v>563</v>
      </c>
      <c r="C101" s="6" t="s">
        <v>564</v>
      </c>
      <c r="D101" s="6" t="s">
        <v>565</v>
      </c>
      <c r="E101" s="6" t="s">
        <v>566</v>
      </c>
      <c r="F101" s="6" t="s">
        <v>151</v>
      </c>
      <c r="G101" s="6" t="s">
        <v>567</v>
      </c>
      <c r="H101" s="6" t="s">
        <v>151</v>
      </c>
    </row>
    <row r="102" spans="1:8" ht="34.200000000000003" x14ac:dyDescent="0.25">
      <c r="A102" s="6">
        <v>101</v>
      </c>
      <c r="B102" s="6" t="s">
        <v>39</v>
      </c>
      <c r="C102" s="6" t="s">
        <v>568</v>
      </c>
      <c r="D102" s="6" t="s">
        <v>569</v>
      </c>
      <c r="E102" s="6" t="s">
        <v>570</v>
      </c>
      <c r="F102" s="6" t="s">
        <v>151</v>
      </c>
      <c r="G102" s="6" t="s">
        <v>151</v>
      </c>
      <c r="H102" s="6" t="s">
        <v>151</v>
      </c>
    </row>
    <row r="103" spans="1:8" ht="22.8" x14ac:dyDescent="0.25">
      <c r="A103" s="6">
        <v>102</v>
      </c>
      <c r="B103" s="6" t="s">
        <v>571</v>
      </c>
      <c r="C103" s="6" t="s">
        <v>572</v>
      </c>
      <c r="D103" s="6" t="s">
        <v>151</v>
      </c>
      <c r="E103" s="6" t="s">
        <v>573</v>
      </c>
      <c r="F103" s="6" t="s">
        <v>574</v>
      </c>
      <c r="G103" s="6" t="s">
        <v>575</v>
      </c>
      <c r="H103" s="6" t="s">
        <v>576</v>
      </c>
    </row>
    <row r="104" spans="1:8" ht="22.8" x14ac:dyDescent="0.25">
      <c r="A104" s="6">
        <v>103</v>
      </c>
      <c r="B104" s="6" t="s">
        <v>577</v>
      </c>
      <c r="C104" s="6" t="s">
        <v>578</v>
      </c>
      <c r="D104" s="6" t="s">
        <v>151</v>
      </c>
      <c r="E104" s="6" t="s">
        <v>151</v>
      </c>
      <c r="F104" s="6" t="s">
        <v>151</v>
      </c>
      <c r="G104" s="6" t="s">
        <v>151</v>
      </c>
      <c r="H104" s="6" t="s">
        <v>579</v>
      </c>
    </row>
    <row r="105" spans="1:8" ht="22.8" x14ac:dyDescent="0.25">
      <c r="A105" s="6">
        <v>104</v>
      </c>
      <c r="B105" s="6" t="s">
        <v>580</v>
      </c>
      <c r="C105" s="6" t="s">
        <v>581</v>
      </c>
      <c r="D105" s="6" t="s">
        <v>151</v>
      </c>
      <c r="E105" s="6" t="s">
        <v>151</v>
      </c>
      <c r="F105" s="6" t="s">
        <v>151</v>
      </c>
      <c r="G105" s="6" t="s">
        <v>151</v>
      </c>
      <c r="H105" s="6" t="s">
        <v>582</v>
      </c>
    </row>
    <row r="106" spans="1:8" ht="34.200000000000003" x14ac:dyDescent="0.25">
      <c r="A106" s="6">
        <v>105</v>
      </c>
      <c r="B106" s="6" t="s">
        <v>583</v>
      </c>
      <c r="C106" s="6" t="s">
        <v>584</v>
      </c>
      <c r="D106" s="6" t="s">
        <v>151</v>
      </c>
      <c r="E106" s="6" t="s">
        <v>585</v>
      </c>
      <c r="F106" s="6" t="s">
        <v>151</v>
      </c>
      <c r="G106" s="6" t="s">
        <v>151</v>
      </c>
      <c r="H106" s="6" t="s">
        <v>582</v>
      </c>
    </row>
    <row r="107" spans="1:8" ht="22.8" x14ac:dyDescent="0.25">
      <c r="A107" s="6">
        <v>106</v>
      </c>
      <c r="B107" s="6" t="s">
        <v>355</v>
      </c>
      <c r="C107" s="7"/>
      <c r="D107" s="6" t="s">
        <v>586</v>
      </c>
      <c r="E107" s="6" t="s">
        <v>587</v>
      </c>
      <c r="F107" s="6" t="s">
        <v>588</v>
      </c>
      <c r="G107" s="6" t="s">
        <v>589</v>
      </c>
      <c r="H107" s="6" t="s">
        <v>590</v>
      </c>
    </row>
    <row r="108" spans="1:8" x14ac:dyDescent="0.25">
      <c r="A108" s="6">
        <v>107</v>
      </c>
      <c r="B108" s="6" t="s">
        <v>591</v>
      </c>
      <c r="C108" s="7"/>
      <c r="D108" s="7"/>
      <c r="E108" s="7"/>
      <c r="F108" s="7"/>
      <c r="G108" s="7"/>
      <c r="H108" s="7"/>
    </row>
    <row r="109" spans="1:8" ht="22.8" x14ac:dyDescent="0.25">
      <c r="A109" s="6">
        <v>108</v>
      </c>
      <c r="B109" s="6" t="s">
        <v>592</v>
      </c>
      <c r="C109" s="6" t="s">
        <v>593</v>
      </c>
      <c r="D109" s="6" t="s">
        <v>594</v>
      </c>
      <c r="E109" s="6" t="s">
        <v>595</v>
      </c>
      <c r="F109" s="6" t="s">
        <v>151</v>
      </c>
      <c r="G109" s="6" t="s">
        <v>596</v>
      </c>
      <c r="H109" s="6" t="s">
        <v>597</v>
      </c>
    </row>
    <row r="110" spans="1:8" ht="57" x14ac:dyDescent="0.25">
      <c r="A110" s="6">
        <v>109</v>
      </c>
      <c r="B110" s="6" t="s">
        <v>598</v>
      </c>
      <c r="C110" s="6" t="s">
        <v>599</v>
      </c>
      <c r="D110" s="6" t="s">
        <v>151</v>
      </c>
      <c r="E110" s="6" t="s">
        <v>151</v>
      </c>
      <c r="F110" s="6" t="s">
        <v>151</v>
      </c>
      <c r="G110" s="6" t="s">
        <v>151</v>
      </c>
      <c r="H110" s="6" t="s">
        <v>600</v>
      </c>
    </row>
    <row r="111" spans="1:8" ht="34.200000000000003" x14ac:dyDescent="0.25">
      <c r="A111" s="6">
        <v>110</v>
      </c>
      <c r="B111" s="6" t="s">
        <v>601</v>
      </c>
      <c r="C111" s="6" t="s">
        <v>602</v>
      </c>
      <c r="D111" s="6" t="s">
        <v>151</v>
      </c>
      <c r="E111" s="6" t="s">
        <v>603</v>
      </c>
      <c r="F111" s="6" t="s">
        <v>151</v>
      </c>
      <c r="G111" s="6" t="s">
        <v>604</v>
      </c>
      <c r="H111" s="6" t="s">
        <v>605</v>
      </c>
    </row>
    <row r="112" spans="1:8" ht="22.8" x14ac:dyDescent="0.25">
      <c r="A112" s="6">
        <v>111</v>
      </c>
      <c r="B112" s="6" t="s">
        <v>606</v>
      </c>
      <c r="C112" s="6" t="s">
        <v>607</v>
      </c>
      <c r="D112" s="6" t="s">
        <v>151</v>
      </c>
      <c r="E112" s="6" t="s">
        <v>608</v>
      </c>
      <c r="F112" s="6" t="s">
        <v>151</v>
      </c>
      <c r="G112" s="6" t="s">
        <v>151</v>
      </c>
      <c r="H112" s="6" t="s">
        <v>151</v>
      </c>
    </row>
    <row r="113" spans="1:8" ht="22.8" x14ac:dyDescent="0.25">
      <c r="A113" s="6">
        <v>112</v>
      </c>
      <c r="B113" s="6" t="s">
        <v>31</v>
      </c>
      <c r="C113" s="6" t="s">
        <v>609</v>
      </c>
      <c r="D113" s="6" t="s">
        <v>610</v>
      </c>
      <c r="E113" s="6" t="s">
        <v>611</v>
      </c>
      <c r="F113" s="6" t="s">
        <v>151</v>
      </c>
      <c r="G113" s="6" t="s">
        <v>612</v>
      </c>
      <c r="H113" s="6" t="s">
        <v>613</v>
      </c>
    </row>
    <row r="114" spans="1:8" ht="22.8" x14ac:dyDescent="0.25">
      <c r="A114" s="6">
        <v>113</v>
      </c>
      <c r="B114" s="6" t="s">
        <v>355</v>
      </c>
      <c r="C114" s="7"/>
      <c r="D114" s="6" t="s">
        <v>614</v>
      </c>
      <c r="E114" s="6" t="s">
        <v>615</v>
      </c>
      <c r="F114" s="6" t="s">
        <v>151</v>
      </c>
      <c r="G114" s="6" t="s">
        <v>616</v>
      </c>
      <c r="H114" s="6" t="s">
        <v>617</v>
      </c>
    </row>
    <row r="115" spans="1:8" x14ac:dyDescent="0.25">
      <c r="A115" s="6">
        <v>114</v>
      </c>
      <c r="B115" s="6" t="s">
        <v>618</v>
      </c>
      <c r="C115" s="7"/>
      <c r="D115" s="7"/>
      <c r="E115" s="7"/>
      <c r="F115" s="7"/>
      <c r="G115" s="7"/>
      <c r="H115" s="7"/>
    </row>
    <row r="116" spans="1:8" ht="22.8" x14ac:dyDescent="0.25">
      <c r="A116" s="6">
        <v>115</v>
      </c>
      <c r="B116" s="6" t="s">
        <v>619</v>
      </c>
      <c r="C116" s="6" t="s">
        <v>620</v>
      </c>
      <c r="D116" s="6" t="s">
        <v>621</v>
      </c>
      <c r="E116" s="6" t="s">
        <v>622</v>
      </c>
      <c r="F116" s="6" t="s">
        <v>623</v>
      </c>
      <c r="G116" s="6" t="s">
        <v>624</v>
      </c>
      <c r="H116" s="6" t="s">
        <v>625</v>
      </c>
    </row>
    <row r="117" spans="1:8" ht="34.200000000000003" x14ac:dyDescent="0.25">
      <c r="A117" s="6">
        <v>116</v>
      </c>
      <c r="B117" s="6" t="s">
        <v>626</v>
      </c>
      <c r="C117" s="6" t="s">
        <v>627</v>
      </c>
      <c r="D117" s="6" t="s">
        <v>151</v>
      </c>
      <c r="E117" s="6" t="s">
        <v>151</v>
      </c>
      <c r="F117" s="6" t="s">
        <v>628</v>
      </c>
      <c r="G117" s="6" t="s">
        <v>629</v>
      </c>
      <c r="H117" s="6" t="s">
        <v>630</v>
      </c>
    </row>
    <row r="118" spans="1:8" ht="34.200000000000003" x14ac:dyDescent="0.25">
      <c r="A118" s="6">
        <v>117</v>
      </c>
      <c r="B118" s="6" t="s">
        <v>631</v>
      </c>
      <c r="C118" s="6" t="s">
        <v>632</v>
      </c>
      <c r="D118" s="6" t="s">
        <v>151</v>
      </c>
      <c r="E118" s="6" t="s">
        <v>633</v>
      </c>
      <c r="F118" s="6" t="s">
        <v>151</v>
      </c>
      <c r="G118" s="6" t="s">
        <v>634</v>
      </c>
      <c r="H118" s="6" t="s">
        <v>151</v>
      </c>
    </row>
    <row r="119" spans="1:8" ht="34.200000000000003" x14ac:dyDescent="0.25">
      <c r="A119" s="6">
        <v>118</v>
      </c>
      <c r="B119" s="6" t="s">
        <v>635</v>
      </c>
      <c r="C119" s="6" t="s">
        <v>636</v>
      </c>
      <c r="D119" s="6" t="s">
        <v>151</v>
      </c>
      <c r="E119" s="6" t="s">
        <v>151</v>
      </c>
      <c r="F119" s="6" t="s">
        <v>151</v>
      </c>
      <c r="G119" s="6" t="s">
        <v>151</v>
      </c>
      <c r="H119" s="6" t="s">
        <v>637</v>
      </c>
    </row>
    <row r="120" spans="1:8" ht="34.200000000000003" x14ac:dyDescent="0.25">
      <c r="A120" s="6">
        <v>119</v>
      </c>
      <c r="B120" s="6" t="s">
        <v>638</v>
      </c>
      <c r="C120" s="6" t="s">
        <v>639</v>
      </c>
      <c r="D120" s="6" t="s">
        <v>151</v>
      </c>
      <c r="E120" s="6" t="s">
        <v>151</v>
      </c>
      <c r="F120" s="6" t="s">
        <v>640</v>
      </c>
      <c r="G120" s="6" t="s">
        <v>641</v>
      </c>
      <c r="H120" s="6" t="s">
        <v>642</v>
      </c>
    </row>
    <row r="121" spans="1:8" ht="34.200000000000003" x14ac:dyDescent="0.25">
      <c r="A121" s="6">
        <v>120</v>
      </c>
      <c r="B121" s="6" t="s">
        <v>643</v>
      </c>
      <c r="C121" s="6" t="s">
        <v>644</v>
      </c>
      <c r="D121" s="6" t="s">
        <v>151</v>
      </c>
      <c r="E121" s="6" t="s">
        <v>151</v>
      </c>
      <c r="F121" s="6" t="s">
        <v>645</v>
      </c>
      <c r="G121" s="6" t="s">
        <v>151</v>
      </c>
      <c r="H121" s="6" t="s">
        <v>646</v>
      </c>
    </row>
    <row r="122" spans="1:8" ht="22.8" x14ac:dyDescent="0.25">
      <c r="A122" s="6">
        <v>121</v>
      </c>
      <c r="B122" s="6" t="s">
        <v>647</v>
      </c>
      <c r="C122" s="6" t="s">
        <v>648</v>
      </c>
      <c r="D122" s="6" t="s">
        <v>151</v>
      </c>
      <c r="E122" s="6" t="s">
        <v>151</v>
      </c>
      <c r="F122" s="6" t="s">
        <v>151</v>
      </c>
      <c r="G122" s="6" t="s">
        <v>151</v>
      </c>
      <c r="H122" s="6" t="s">
        <v>649</v>
      </c>
    </row>
    <row r="123" spans="1:8" ht="34.200000000000003" x14ac:dyDescent="0.25">
      <c r="A123" s="6">
        <v>122</v>
      </c>
      <c r="B123" s="6" t="s">
        <v>650</v>
      </c>
      <c r="C123" s="6" t="s">
        <v>651</v>
      </c>
      <c r="D123" s="6" t="s">
        <v>151</v>
      </c>
      <c r="E123" s="6" t="s">
        <v>652</v>
      </c>
      <c r="F123" s="6" t="s">
        <v>151</v>
      </c>
      <c r="G123" s="6" t="s">
        <v>151</v>
      </c>
      <c r="H123" s="6" t="s">
        <v>151</v>
      </c>
    </row>
    <row r="124" spans="1:8" ht="22.8" x14ac:dyDescent="0.25">
      <c r="A124" s="6">
        <v>123</v>
      </c>
      <c r="B124" s="6" t="s">
        <v>355</v>
      </c>
      <c r="C124" s="7"/>
      <c r="D124" s="6" t="s">
        <v>653</v>
      </c>
      <c r="E124" s="6" t="s">
        <v>654</v>
      </c>
      <c r="F124" s="6" t="s">
        <v>655</v>
      </c>
      <c r="G124" s="6" t="s">
        <v>656</v>
      </c>
      <c r="H124" s="6" t="s">
        <v>657</v>
      </c>
    </row>
    <row r="125" spans="1:8" x14ac:dyDescent="0.25">
      <c r="A125" s="6">
        <v>124</v>
      </c>
      <c r="B125" s="6" t="s">
        <v>658</v>
      </c>
      <c r="C125" s="7"/>
      <c r="D125" s="7"/>
      <c r="E125" s="7"/>
      <c r="F125" s="7"/>
      <c r="G125" s="7"/>
      <c r="H125" s="7"/>
    </row>
    <row r="126" spans="1:8" ht="22.8" x14ac:dyDescent="0.25">
      <c r="A126" s="6">
        <v>125</v>
      </c>
      <c r="B126" s="6" t="s">
        <v>659</v>
      </c>
      <c r="C126" s="6" t="s">
        <v>660</v>
      </c>
      <c r="D126" s="6" t="s">
        <v>151</v>
      </c>
      <c r="E126" s="6" t="s">
        <v>151</v>
      </c>
      <c r="F126" s="6" t="s">
        <v>151</v>
      </c>
      <c r="G126" s="6" t="s">
        <v>151</v>
      </c>
      <c r="H126" s="6" t="s">
        <v>661</v>
      </c>
    </row>
    <row r="127" spans="1:8" ht="34.200000000000003" x14ac:dyDescent="0.25">
      <c r="A127" s="6">
        <v>126</v>
      </c>
      <c r="B127" s="6" t="s">
        <v>662</v>
      </c>
      <c r="C127" s="6" t="s">
        <v>663</v>
      </c>
      <c r="D127" s="6" t="s">
        <v>151</v>
      </c>
      <c r="E127" s="6" t="s">
        <v>151</v>
      </c>
      <c r="F127" s="6" t="s">
        <v>664</v>
      </c>
      <c r="G127" s="6" t="s">
        <v>151</v>
      </c>
      <c r="H127" s="6" t="s">
        <v>665</v>
      </c>
    </row>
    <row r="128" spans="1:8" ht="34.200000000000003" x14ac:dyDescent="0.25">
      <c r="A128" s="6">
        <v>127</v>
      </c>
      <c r="B128" s="6" t="s">
        <v>666</v>
      </c>
      <c r="C128" s="6" t="s">
        <v>667</v>
      </c>
      <c r="D128" s="6" t="s">
        <v>151</v>
      </c>
      <c r="E128" s="6" t="s">
        <v>151</v>
      </c>
      <c r="F128" s="6" t="s">
        <v>151</v>
      </c>
      <c r="G128" s="6" t="s">
        <v>151</v>
      </c>
      <c r="H128" s="6" t="s">
        <v>668</v>
      </c>
    </row>
    <row r="129" spans="1:8" ht="34.200000000000003" x14ac:dyDescent="0.25">
      <c r="A129" s="6">
        <v>128</v>
      </c>
      <c r="B129" s="6" t="s">
        <v>669</v>
      </c>
      <c r="C129" s="6" t="s">
        <v>670</v>
      </c>
      <c r="D129" s="6" t="s">
        <v>649</v>
      </c>
      <c r="E129" s="6" t="s">
        <v>151</v>
      </c>
      <c r="F129" s="6" t="s">
        <v>151</v>
      </c>
      <c r="G129" s="6" t="s">
        <v>151</v>
      </c>
      <c r="H129" s="6" t="s">
        <v>151</v>
      </c>
    </row>
    <row r="130" spans="1:8" ht="22.8" x14ac:dyDescent="0.25">
      <c r="A130" s="6">
        <v>129</v>
      </c>
      <c r="B130" s="6" t="s">
        <v>671</v>
      </c>
      <c r="C130" s="6" t="s">
        <v>672</v>
      </c>
      <c r="D130" s="6" t="s">
        <v>151</v>
      </c>
      <c r="E130" s="6" t="s">
        <v>151</v>
      </c>
      <c r="F130" s="6" t="s">
        <v>151</v>
      </c>
      <c r="G130" s="6" t="s">
        <v>151</v>
      </c>
      <c r="H130" s="6" t="s">
        <v>673</v>
      </c>
    </row>
    <row r="131" spans="1:8" ht="22.8" x14ac:dyDescent="0.25">
      <c r="A131" s="7"/>
      <c r="B131" s="6" t="s">
        <v>355</v>
      </c>
      <c r="C131" s="7"/>
      <c r="D131" s="6" t="s">
        <v>674</v>
      </c>
      <c r="E131" s="6" t="s">
        <v>151</v>
      </c>
      <c r="F131" s="6" t="s">
        <v>675</v>
      </c>
      <c r="G131" s="6" t="s">
        <v>151</v>
      </c>
      <c r="H131" s="6" t="s">
        <v>676</v>
      </c>
    </row>
    <row r="132" spans="1:8" ht="34.200000000000003" x14ac:dyDescent="0.25">
      <c r="A132" s="7"/>
      <c r="B132" s="6" t="s">
        <v>677</v>
      </c>
      <c r="C132" s="6" t="s">
        <v>28</v>
      </c>
      <c r="D132" s="6" t="s">
        <v>678</v>
      </c>
      <c r="E132" s="6" t="s">
        <v>679</v>
      </c>
      <c r="F132" s="6" t="s">
        <v>680</v>
      </c>
      <c r="G132" s="6" t="s">
        <v>681</v>
      </c>
      <c r="H132" s="6" t="s">
        <v>682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7C3E9-5EFB-4E0A-8A1A-AD60D4C9A612}">
  <dimension ref="A1:G29"/>
  <sheetViews>
    <sheetView workbookViewId="0">
      <selection activeCell="N12" sqref="N12"/>
    </sheetView>
  </sheetViews>
  <sheetFormatPr defaultRowHeight="13.8" x14ac:dyDescent="0.25"/>
  <sheetData>
    <row r="1" spans="1:7" ht="57" x14ac:dyDescent="0.25">
      <c r="A1" s="6" t="s">
        <v>684</v>
      </c>
      <c r="B1" s="6" t="s">
        <v>6</v>
      </c>
      <c r="C1" s="6" t="s">
        <v>802</v>
      </c>
      <c r="D1" s="6" t="s">
        <v>800</v>
      </c>
      <c r="E1" s="6" t="s">
        <v>801</v>
      </c>
      <c r="F1" s="6" t="s">
        <v>686</v>
      </c>
      <c r="G1" s="6" t="s">
        <v>687</v>
      </c>
    </row>
    <row r="2" spans="1:7" ht="34.200000000000003" x14ac:dyDescent="0.25">
      <c r="A2" s="6">
        <v>1</v>
      </c>
      <c r="B2" s="6" t="s">
        <v>688</v>
      </c>
      <c r="C2" s="6" t="s">
        <v>689</v>
      </c>
      <c r="D2" s="6" t="s">
        <v>690</v>
      </c>
      <c r="E2" s="6" t="s">
        <v>691</v>
      </c>
      <c r="F2" s="6">
        <v>15783</v>
      </c>
      <c r="G2" s="6">
        <v>13344</v>
      </c>
    </row>
    <row r="3" spans="1:7" ht="22.8" x14ac:dyDescent="0.25">
      <c r="A3" s="6">
        <v>2</v>
      </c>
      <c r="B3" s="6" t="s">
        <v>692</v>
      </c>
      <c r="C3" s="6" t="s">
        <v>693</v>
      </c>
      <c r="D3" s="6" t="s">
        <v>694</v>
      </c>
      <c r="E3" s="6" t="s">
        <v>695</v>
      </c>
      <c r="F3" s="6">
        <v>2036</v>
      </c>
      <c r="G3" s="6">
        <v>2221</v>
      </c>
    </row>
    <row r="4" spans="1:7" ht="22.8" x14ac:dyDescent="0.25">
      <c r="A4" s="6">
        <v>3</v>
      </c>
      <c r="B4" s="6" t="s">
        <v>696</v>
      </c>
      <c r="C4" s="6" t="s">
        <v>697</v>
      </c>
      <c r="D4" s="6" t="s">
        <v>698</v>
      </c>
      <c r="E4" s="6" t="s">
        <v>699</v>
      </c>
      <c r="F4" s="6">
        <v>673</v>
      </c>
      <c r="G4" s="6">
        <v>600</v>
      </c>
    </row>
    <row r="5" spans="1:7" ht="34.200000000000003" x14ac:dyDescent="0.25">
      <c r="A5" s="6">
        <v>4</v>
      </c>
      <c r="B5" s="6" t="s">
        <v>700</v>
      </c>
      <c r="C5" s="6" t="s">
        <v>701</v>
      </c>
      <c r="D5" s="6" t="s">
        <v>702</v>
      </c>
      <c r="E5" s="6" t="s">
        <v>703</v>
      </c>
      <c r="F5" s="6">
        <v>347</v>
      </c>
      <c r="G5" s="6">
        <v>339</v>
      </c>
    </row>
    <row r="6" spans="1:7" ht="34.200000000000003" x14ac:dyDescent="0.25">
      <c r="A6" s="6">
        <v>5</v>
      </c>
      <c r="B6" s="6" t="s">
        <v>704</v>
      </c>
      <c r="C6" s="6" t="s">
        <v>705</v>
      </c>
      <c r="D6" s="6" t="s">
        <v>706</v>
      </c>
      <c r="E6" s="6" t="s">
        <v>707</v>
      </c>
      <c r="F6" s="6">
        <v>189</v>
      </c>
      <c r="G6" s="6">
        <v>194</v>
      </c>
    </row>
    <row r="7" spans="1:7" ht="22.8" x14ac:dyDescent="0.25">
      <c r="A7" s="6">
        <v>6</v>
      </c>
      <c r="B7" s="6" t="s">
        <v>708</v>
      </c>
      <c r="C7" s="6" t="s">
        <v>709</v>
      </c>
      <c r="D7" s="6" t="s">
        <v>710</v>
      </c>
      <c r="E7" s="6" t="s">
        <v>711</v>
      </c>
      <c r="F7" s="6">
        <v>140</v>
      </c>
      <c r="G7" s="6">
        <v>136</v>
      </c>
    </row>
    <row r="8" spans="1:7" ht="22.8" x14ac:dyDescent="0.25">
      <c r="A8" s="6">
        <v>7</v>
      </c>
      <c r="B8" s="6" t="s">
        <v>712</v>
      </c>
      <c r="C8" s="6" t="s">
        <v>713</v>
      </c>
      <c r="D8" s="6" t="s">
        <v>714</v>
      </c>
      <c r="E8" s="6" t="s">
        <v>715</v>
      </c>
      <c r="F8" s="6">
        <v>133</v>
      </c>
      <c r="G8" s="6">
        <v>85</v>
      </c>
    </row>
    <row r="9" spans="1:7" ht="22.8" x14ac:dyDescent="0.25">
      <c r="A9" s="6">
        <v>8</v>
      </c>
      <c r="B9" s="6" t="s">
        <v>716</v>
      </c>
      <c r="C9" s="6" t="s">
        <v>717</v>
      </c>
      <c r="D9" s="6" t="s">
        <v>718</v>
      </c>
      <c r="E9" s="6" t="s">
        <v>719</v>
      </c>
      <c r="F9" s="6">
        <v>127</v>
      </c>
      <c r="G9" s="6">
        <v>147</v>
      </c>
    </row>
    <row r="10" spans="1:7" ht="34.200000000000003" x14ac:dyDescent="0.25">
      <c r="A10" s="6">
        <v>9</v>
      </c>
      <c r="B10" s="6" t="s">
        <v>720</v>
      </c>
      <c r="C10" s="6" t="s">
        <v>721</v>
      </c>
      <c r="D10" s="6" t="s">
        <v>722</v>
      </c>
      <c r="E10" s="6" t="s">
        <v>723</v>
      </c>
      <c r="F10" s="6">
        <v>123</v>
      </c>
      <c r="G10" s="6">
        <v>90</v>
      </c>
    </row>
    <row r="11" spans="1:7" ht="45.6" x14ac:dyDescent="0.25">
      <c r="A11" s="6">
        <v>10</v>
      </c>
      <c r="B11" s="6" t="s">
        <v>724</v>
      </c>
      <c r="C11" s="6" t="s">
        <v>725</v>
      </c>
      <c r="D11" s="6" t="s">
        <v>726</v>
      </c>
      <c r="E11" s="6" t="s">
        <v>727</v>
      </c>
      <c r="F11" s="6">
        <v>88</v>
      </c>
      <c r="G11" s="6">
        <v>105</v>
      </c>
    </row>
    <row r="12" spans="1:7" ht="57" x14ac:dyDescent="0.25">
      <c r="A12" s="6">
        <v>11</v>
      </c>
      <c r="B12" s="6" t="s">
        <v>728</v>
      </c>
      <c r="C12" s="6" t="s">
        <v>729</v>
      </c>
      <c r="D12" s="6" t="s">
        <v>730</v>
      </c>
      <c r="E12" s="6" t="s">
        <v>731</v>
      </c>
      <c r="F12" s="6">
        <v>61</v>
      </c>
      <c r="G12" s="6">
        <v>78</v>
      </c>
    </row>
    <row r="13" spans="1:7" ht="22.8" x14ac:dyDescent="0.25">
      <c r="A13" s="6">
        <v>12</v>
      </c>
      <c r="B13" s="6" t="s">
        <v>732</v>
      </c>
      <c r="C13" s="6" t="s">
        <v>733</v>
      </c>
      <c r="D13" s="6" t="s">
        <v>734</v>
      </c>
      <c r="E13" s="6" t="s">
        <v>735</v>
      </c>
      <c r="F13" s="6">
        <v>73</v>
      </c>
      <c r="G13" s="6">
        <v>130</v>
      </c>
    </row>
    <row r="14" spans="1:7" ht="22.8" x14ac:dyDescent="0.25">
      <c r="A14" s="6">
        <v>13</v>
      </c>
      <c r="B14" s="6" t="s">
        <v>736</v>
      </c>
      <c r="C14" s="6" t="s">
        <v>737</v>
      </c>
      <c r="D14" s="6" t="s">
        <v>738</v>
      </c>
      <c r="E14" s="6" t="s">
        <v>739</v>
      </c>
      <c r="F14" s="6">
        <v>33</v>
      </c>
      <c r="G14" s="6">
        <v>49</v>
      </c>
    </row>
    <row r="15" spans="1:7" ht="22.8" x14ac:dyDescent="0.25">
      <c r="A15" s="6">
        <v>14</v>
      </c>
      <c r="B15" s="6" t="s">
        <v>740</v>
      </c>
      <c r="C15" s="6" t="s">
        <v>741</v>
      </c>
      <c r="D15" s="6" t="s">
        <v>742</v>
      </c>
      <c r="E15" s="6" t="s">
        <v>743</v>
      </c>
      <c r="F15" s="6">
        <v>31</v>
      </c>
      <c r="G15" s="6">
        <v>24</v>
      </c>
    </row>
    <row r="16" spans="1:7" ht="22.8" x14ac:dyDescent="0.25">
      <c r="A16" s="6">
        <v>15</v>
      </c>
      <c r="B16" s="6" t="s">
        <v>744</v>
      </c>
      <c r="C16" s="6" t="s">
        <v>745</v>
      </c>
      <c r="D16" s="6" t="s">
        <v>746</v>
      </c>
      <c r="E16" s="6" t="s">
        <v>747</v>
      </c>
      <c r="F16" s="6">
        <v>20</v>
      </c>
      <c r="G16" s="6">
        <v>25</v>
      </c>
    </row>
    <row r="17" spans="1:7" ht="34.200000000000003" x14ac:dyDescent="0.25">
      <c r="A17" s="6">
        <v>16</v>
      </c>
      <c r="B17" s="6" t="s">
        <v>748</v>
      </c>
      <c r="C17" s="6" t="s">
        <v>749</v>
      </c>
      <c r="D17" s="6" t="s">
        <v>750</v>
      </c>
      <c r="E17" s="6" t="s">
        <v>751</v>
      </c>
      <c r="F17" s="6">
        <v>8</v>
      </c>
      <c r="G17" s="6">
        <v>9</v>
      </c>
    </row>
    <row r="18" spans="1:7" ht="34.200000000000003" x14ac:dyDescent="0.25">
      <c r="A18" s="6">
        <v>17</v>
      </c>
      <c r="B18" s="6" t="s">
        <v>752</v>
      </c>
      <c r="C18" s="6" t="s">
        <v>753</v>
      </c>
      <c r="D18" s="6" t="s">
        <v>754</v>
      </c>
      <c r="E18" s="6" t="s">
        <v>755</v>
      </c>
      <c r="F18" s="6">
        <v>7</v>
      </c>
      <c r="G18" s="6">
        <v>7</v>
      </c>
    </row>
    <row r="19" spans="1:7" ht="45.6" x14ac:dyDescent="0.25">
      <c r="A19" s="6">
        <v>18</v>
      </c>
      <c r="B19" s="6" t="s">
        <v>756</v>
      </c>
      <c r="C19" s="6" t="s">
        <v>757</v>
      </c>
      <c r="D19" s="6" t="s">
        <v>758</v>
      </c>
      <c r="E19" s="6" t="s">
        <v>759</v>
      </c>
      <c r="F19" s="6">
        <v>4</v>
      </c>
      <c r="G19" s="6">
        <v>4</v>
      </c>
    </row>
    <row r="20" spans="1:7" ht="22.8" x14ac:dyDescent="0.25">
      <c r="A20" s="6">
        <v>19</v>
      </c>
      <c r="B20" s="6" t="s">
        <v>760</v>
      </c>
      <c r="C20" s="6" t="s">
        <v>761</v>
      </c>
      <c r="D20" s="6" t="s">
        <v>762</v>
      </c>
      <c r="E20" s="6" t="s">
        <v>763</v>
      </c>
      <c r="F20" s="6">
        <v>3</v>
      </c>
      <c r="G20" s="6">
        <v>4</v>
      </c>
    </row>
    <row r="21" spans="1:7" ht="22.8" x14ac:dyDescent="0.25">
      <c r="A21" s="6">
        <v>20</v>
      </c>
      <c r="B21" s="6" t="s">
        <v>764</v>
      </c>
      <c r="C21" s="6" t="s">
        <v>765</v>
      </c>
      <c r="D21" s="6" t="s">
        <v>766</v>
      </c>
      <c r="E21" s="6" t="s">
        <v>767</v>
      </c>
      <c r="F21" s="6">
        <v>4</v>
      </c>
      <c r="G21" s="6">
        <v>3</v>
      </c>
    </row>
    <row r="22" spans="1:7" ht="45.6" x14ac:dyDescent="0.25">
      <c r="A22" s="6">
        <v>21</v>
      </c>
      <c r="B22" s="6" t="s">
        <v>768</v>
      </c>
      <c r="C22" s="6" t="s">
        <v>769</v>
      </c>
      <c r="D22" s="6" t="s">
        <v>770</v>
      </c>
      <c r="E22" s="6" t="s">
        <v>771</v>
      </c>
      <c r="F22" s="6">
        <v>2</v>
      </c>
      <c r="G22" s="6">
        <v>2</v>
      </c>
    </row>
    <row r="23" spans="1:7" ht="57" x14ac:dyDescent="0.25">
      <c r="A23" s="6">
        <v>22</v>
      </c>
      <c r="B23" s="6" t="s">
        <v>772</v>
      </c>
      <c r="C23" s="6" t="s">
        <v>773</v>
      </c>
      <c r="D23" s="6" t="s">
        <v>774</v>
      </c>
      <c r="E23" s="6" t="s">
        <v>775</v>
      </c>
      <c r="F23" s="6">
        <v>2</v>
      </c>
      <c r="G23" s="6">
        <v>2</v>
      </c>
    </row>
    <row r="24" spans="1:7" ht="34.200000000000003" x14ac:dyDescent="0.25">
      <c r="A24" s="6">
        <v>23</v>
      </c>
      <c r="B24" s="6" t="s">
        <v>776</v>
      </c>
      <c r="C24" s="6" t="s">
        <v>777</v>
      </c>
      <c r="D24" s="6" t="s">
        <v>778</v>
      </c>
      <c r="E24" s="6" t="s">
        <v>779</v>
      </c>
      <c r="F24" s="6">
        <v>1</v>
      </c>
      <c r="G24" s="6">
        <v>1</v>
      </c>
    </row>
    <row r="25" spans="1:7" ht="22.8" x14ac:dyDescent="0.25">
      <c r="A25" s="6">
        <v>24</v>
      </c>
      <c r="B25" s="6" t="s">
        <v>780</v>
      </c>
      <c r="C25" s="6" t="s">
        <v>781</v>
      </c>
      <c r="D25" s="6" t="s">
        <v>782</v>
      </c>
      <c r="E25" s="6" t="s">
        <v>783</v>
      </c>
      <c r="F25" s="6">
        <v>1</v>
      </c>
      <c r="G25" s="6">
        <v>1</v>
      </c>
    </row>
    <row r="26" spans="1:7" ht="34.200000000000003" x14ac:dyDescent="0.25">
      <c r="A26" s="6">
        <v>25</v>
      </c>
      <c r="B26" s="6" t="s">
        <v>784</v>
      </c>
      <c r="C26" s="6" t="s">
        <v>785</v>
      </c>
      <c r="D26" s="6" t="s">
        <v>786</v>
      </c>
      <c r="E26" s="6" t="s">
        <v>787</v>
      </c>
      <c r="F26" s="6">
        <v>1</v>
      </c>
      <c r="G26" s="6">
        <v>1</v>
      </c>
    </row>
    <row r="27" spans="1:7" ht="34.200000000000003" x14ac:dyDescent="0.25">
      <c r="A27" s="6">
        <v>26</v>
      </c>
      <c r="B27" s="6" t="s">
        <v>788</v>
      </c>
      <c r="C27" s="6" t="s">
        <v>789</v>
      </c>
      <c r="D27" s="6" t="s">
        <v>790</v>
      </c>
      <c r="E27" s="6" t="s">
        <v>791</v>
      </c>
      <c r="F27" s="6">
        <v>1</v>
      </c>
      <c r="G27" s="6">
        <v>2</v>
      </c>
    </row>
    <row r="28" spans="1:7" ht="34.200000000000003" x14ac:dyDescent="0.25">
      <c r="A28" s="6">
        <v>27</v>
      </c>
      <c r="B28" s="6" t="s">
        <v>792</v>
      </c>
      <c r="C28" s="6" t="s">
        <v>793</v>
      </c>
      <c r="D28" s="6" t="s">
        <v>794</v>
      </c>
      <c r="E28" s="6" t="s">
        <v>795</v>
      </c>
      <c r="F28" s="6">
        <v>1</v>
      </c>
      <c r="G28" s="6">
        <v>1</v>
      </c>
    </row>
    <row r="29" spans="1:7" ht="22.8" x14ac:dyDescent="0.25">
      <c r="A29" s="6">
        <v>28</v>
      </c>
      <c r="B29" s="6" t="s">
        <v>796</v>
      </c>
      <c r="C29" s="6" t="s">
        <v>797</v>
      </c>
      <c r="D29" s="6" t="s">
        <v>798</v>
      </c>
      <c r="E29" s="6" t="s">
        <v>799</v>
      </c>
      <c r="F29" s="6">
        <v>1</v>
      </c>
      <c r="G29" s="6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DFE34-F282-4314-9B6B-A079974637BE}">
  <dimension ref="A1:E27"/>
  <sheetViews>
    <sheetView workbookViewId="0">
      <selection activeCell="K24" sqref="K24"/>
    </sheetView>
  </sheetViews>
  <sheetFormatPr defaultRowHeight="13.8" x14ac:dyDescent="0.25"/>
  <sheetData>
    <row r="1" spans="1:5" ht="34.200000000000003" x14ac:dyDescent="0.25">
      <c r="A1" s="6" t="s">
        <v>886</v>
      </c>
      <c r="B1" s="6" t="s">
        <v>887</v>
      </c>
      <c r="C1" s="6" t="s">
        <v>888</v>
      </c>
      <c r="D1" s="6" t="s">
        <v>889</v>
      </c>
      <c r="E1" s="6" t="s">
        <v>890</v>
      </c>
    </row>
    <row r="2" spans="1:5" ht="22.8" x14ac:dyDescent="0.25">
      <c r="A2" s="6">
        <v>1</v>
      </c>
      <c r="B2" s="6" t="s">
        <v>720</v>
      </c>
      <c r="C2" s="6">
        <v>32551.599999999999</v>
      </c>
      <c r="D2" s="6" t="s">
        <v>891</v>
      </c>
      <c r="E2" s="6" t="s">
        <v>892</v>
      </c>
    </row>
    <row r="3" spans="1:5" ht="34.200000000000003" x14ac:dyDescent="0.25">
      <c r="A3" s="6">
        <v>2</v>
      </c>
      <c r="B3" s="6" t="s">
        <v>893</v>
      </c>
      <c r="C3" s="6">
        <v>57.47</v>
      </c>
      <c r="D3" s="6" t="s">
        <v>894</v>
      </c>
      <c r="E3" s="6" t="s">
        <v>895</v>
      </c>
    </row>
    <row r="4" spans="1:5" ht="22.8" x14ac:dyDescent="0.25">
      <c r="A4" s="6">
        <v>3</v>
      </c>
      <c r="B4" s="6" t="s">
        <v>692</v>
      </c>
      <c r="C4" s="6">
        <v>81.5</v>
      </c>
      <c r="D4" s="6" t="s">
        <v>896</v>
      </c>
      <c r="E4" s="6" t="s">
        <v>897</v>
      </c>
    </row>
    <row r="5" spans="1:5" ht="34.200000000000003" x14ac:dyDescent="0.25">
      <c r="A5" s="6">
        <v>4</v>
      </c>
      <c r="B5" s="6" t="s">
        <v>18</v>
      </c>
      <c r="C5" s="6">
        <v>6.89</v>
      </c>
      <c r="D5" s="6" t="s">
        <v>898</v>
      </c>
      <c r="E5" s="6" t="s">
        <v>899</v>
      </c>
    </row>
    <row r="6" spans="1:5" ht="22.8" x14ac:dyDescent="0.25">
      <c r="A6" s="6">
        <v>5</v>
      </c>
      <c r="B6" s="6" t="s">
        <v>740</v>
      </c>
      <c r="C6" s="6">
        <v>93.93</v>
      </c>
      <c r="D6" s="6" t="s">
        <v>900</v>
      </c>
      <c r="E6" s="6" t="s">
        <v>901</v>
      </c>
    </row>
    <row r="7" spans="1:5" ht="22.8" x14ac:dyDescent="0.25">
      <c r="A7" s="6">
        <v>6</v>
      </c>
      <c r="B7" s="6" t="s">
        <v>696</v>
      </c>
      <c r="C7" s="6">
        <v>26.78</v>
      </c>
      <c r="D7" s="6" t="s">
        <v>902</v>
      </c>
      <c r="E7" s="6" t="s">
        <v>903</v>
      </c>
    </row>
    <row r="8" spans="1:5" ht="34.200000000000003" x14ac:dyDescent="0.25">
      <c r="A8" s="6">
        <v>7</v>
      </c>
      <c r="B8" s="6" t="s">
        <v>904</v>
      </c>
      <c r="C8" s="6">
        <v>55.33</v>
      </c>
      <c r="D8" s="6" t="s">
        <v>905</v>
      </c>
      <c r="E8" s="6" t="s">
        <v>906</v>
      </c>
    </row>
    <row r="9" spans="1:5" ht="22.8" x14ac:dyDescent="0.25">
      <c r="A9" s="6">
        <v>8</v>
      </c>
      <c r="B9" s="6" t="s">
        <v>907</v>
      </c>
      <c r="C9" s="6">
        <v>128083.8</v>
      </c>
      <c r="D9" s="6" t="s">
        <v>908</v>
      </c>
      <c r="E9" s="6" t="s">
        <v>909</v>
      </c>
    </row>
    <row r="10" spans="1:5" ht="22.8" x14ac:dyDescent="0.25">
      <c r="A10" s="6">
        <v>9</v>
      </c>
      <c r="B10" s="6" t="s">
        <v>732</v>
      </c>
      <c r="C10" s="6">
        <v>12.87</v>
      </c>
      <c r="D10" s="6" t="s">
        <v>910</v>
      </c>
      <c r="E10" s="6" t="s">
        <v>911</v>
      </c>
    </row>
    <row r="11" spans="1:5" ht="34.200000000000003" x14ac:dyDescent="0.25">
      <c r="A11" s="6">
        <v>10</v>
      </c>
      <c r="B11" s="6" t="s">
        <v>912</v>
      </c>
      <c r="C11" s="6">
        <v>1500</v>
      </c>
      <c r="D11" s="6" t="s">
        <v>913</v>
      </c>
      <c r="E11" s="6" t="s">
        <v>914</v>
      </c>
    </row>
    <row r="12" spans="1:5" ht="22.8" x14ac:dyDescent="0.25">
      <c r="A12" s="6">
        <v>1</v>
      </c>
      <c r="B12" s="6" t="s">
        <v>744</v>
      </c>
      <c r="C12" s="6">
        <v>2733.35</v>
      </c>
      <c r="D12" s="6" t="s">
        <v>915</v>
      </c>
      <c r="E12" s="6" t="s">
        <v>916</v>
      </c>
    </row>
    <row r="13" spans="1:5" ht="22.8" x14ac:dyDescent="0.25">
      <c r="A13" s="6">
        <v>2</v>
      </c>
      <c r="B13" s="6" t="s">
        <v>764</v>
      </c>
      <c r="C13" s="6">
        <v>5370</v>
      </c>
      <c r="D13" s="6" t="s">
        <v>917</v>
      </c>
      <c r="E13" s="6" t="s">
        <v>918</v>
      </c>
    </row>
    <row r="14" spans="1:5" ht="22.8" x14ac:dyDescent="0.25">
      <c r="A14" s="6">
        <v>1</v>
      </c>
      <c r="B14" s="6" t="s">
        <v>919</v>
      </c>
      <c r="C14" s="6">
        <v>1200.03</v>
      </c>
      <c r="D14" s="6" t="s">
        <v>920</v>
      </c>
      <c r="E14" s="6" t="s">
        <v>921</v>
      </c>
    </row>
    <row r="15" spans="1:5" ht="22.8" x14ac:dyDescent="0.25">
      <c r="A15" s="6">
        <v>2</v>
      </c>
      <c r="B15" s="6" t="s">
        <v>922</v>
      </c>
      <c r="C15" s="6">
        <v>2086.5</v>
      </c>
      <c r="D15" s="6" t="s">
        <v>923</v>
      </c>
      <c r="E15" s="6" t="s">
        <v>924</v>
      </c>
    </row>
    <row r="16" spans="1:5" ht="22.8" x14ac:dyDescent="0.25">
      <c r="A16" s="6">
        <v>3</v>
      </c>
      <c r="B16" s="6" t="s">
        <v>925</v>
      </c>
      <c r="C16" s="6">
        <v>16.510000000000002</v>
      </c>
      <c r="D16" s="6" t="s">
        <v>926</v>
      </c>
      <c r="E16" s="6" t="s">
        <v>927</v>
      </c>
    </row>
    <row r="17" spans="1:5" ht="22.8" x14ac:dyDescent="0.25">
      <c r="A17" s="6">
        <v>4</v>
      </c>
      <c r="B17" s="6" t="s">
        <v>928</v>
      </c>
      <c r="C17" s="6">
        <v>25.48</v>
      </c>
      <c r="D17" s="6" t="s">
        <v>929</v>
      </c>
      <c r="E17" s="6" t="s">
        <v>930</v>
      </c>
    </row>
    <row r="18" spans="1:5" ht="34.200000000000003" x14ac:dyDescent="0.25">
      <c r="A18" s="6">
        <v>5</v>
      </c>
      <c r="B18" s="6" t="s">
        <v>752</v>
      </c>
      <c r="C18" s="6">
        <v>261.95</v>
      </c>
      <c r="D18" s="6" t="s">
        <v>931</v>
      </c>
      <c r="E18" s="6" t="s">
        <v>932</v>
      </c>
    </row>
    <row r="19" spans="1:5" ht="22.8" x14ac:dyDescent="0.25">
      <c r="A19" s="6">
        <v>6</v>
      </c>
      <c r="B19" s="6" t="s">
        <v>933</v>
      </c>
      <c r="C19" s="6">
        <v>122</v>
      </c>
      <c r="D19" s="6" t="s">
        <v>934</v>
      </c>
      <c r="E19" s="6" t="s">
        <v>935</v>
      </c>
    </row>
    <row r="20" spans="1:5" ht="34.200000000000003" x14ac:dyDescent="0.25">
      <c r="A20" s="6">
        <v>1</v>
      </c>
      <c r="B20" s="6" t="s">
        <v>936</v>
      </c>
      <c r="C20" s="6">
        <v>138</v>
      </c>
      <c r="D20" s="6" t="s">
        <v>937</v>
      </c>
      <c r="E20" s="6" t="s">
        <v>938</v>
      </c>
    </row>
    <row r="21" spans="1:5" ht="22.8" x14ac:dyDescent="0.25">
      <c r="A21" s="6">
        <v>2</v>
      </c>
      <c r="B21" s="6" t="s">
        <v>939</v>
      </c>
      <c r="C21" s="6">
        <v>259</v>
      </c>
      <c r="D21" s="6" t="s">
        <v>940</v>
      </c>
      <c r="E21" s="6" t="s">
        <v>941</v>
      </c>
    </row>
    <row r="22" spans="1:5" ht="34.200000000000003" x14ac:dyDescent="0.25">
      <c r="A22" s="6">
        <v>3</v>
      </c>
      <c r="B22" s="6" t="s">
        <v>942</v>
      </c>
      <c r="C22" s="6">
        <v>140</v>
      </c>
      <c r="D22" s="6" t="s">
        <v>943</v>
      </c>
      <c r="E22" s="6" t="s">
        <v>944</v>
      </c>
    </row>
    <row r="23" spans="1:5" ht="22.8" x14ac:dyDescent="0.25">
      <c r="A23" s="6">
        <v>1</v>
      </c>
      <c r="B23" s="6" t="s">
        <v>712</v>
      </c>
      <c r="C23" s="6">
        <v>964.64</v>
      </c>
      <c r="D23" s="6" t="s">
        <v>945</v>
      </c>
      <c r="E23" s="6" t="s">
        <v>946</v>
      </c>
    </row>
    <row r="24" spans="1:5" ht="45.6" x14ac:dyDescent="0.25">
      <c r="A24" s="6">
        <v>2</v>
      </c>
      <c r="B24" s="6" t="s">
        <v>947</v>
      </c>
      <c r="C24" s="6">
        <v>1045.47</v>
      </c>
      <c r="D24" s="6" t="s">
        <v>948</v>
      </c>
      <c r="E24" s="6" t="s">
        <v>949</v>
      </c>
    </row>
    <row r="25" spans="1:5" ht="22.8" x14ac:dyDescent="0.25">
      <c r="A25" s="6">
        <v>3</v>
      </c>
      <c r="B25" s="6" t="s">
        <v>716</v>
      </c>
      <c r="C25" s="6">
        <v>389.11</v>
      </c>
      <c r="D25" s="6" t="s">
        <v>950</v>
      </c>
      <c r="E25" s="6" t="s">
        <v>951</v>
      </c>
    </row>
    <row r="26" spans="1:5" ht="34.200000000000003" x14ac:dyDescent="0.25">
      <c r="A26" s="6">
        <v>4</v>
      </c>
      <c r="B26" s="6" t="s">
        <v>952</v>
      </c>
      <c r="C26" s="6">
        <v>2517.16</v>
      </c>
      <c r="D26" s="6" t="s">
        <v>953</v>
      </c>
      <c r="E26" s="6" t="s">
        <v>954</v>
      </c>
    </row>
    <row r="27" spans="1:5" ht="34.200000000000003" x14ac:dyDescent="0.25">
      <c r="A27" s="6">
        <v>1</v>
      </c>
      <c r="B27" s="6" t="s">
        <v>955</v>
      </c>
      <c r="C27" s="6">
        <v>729.86</v>
      </c>
      <c r="D27" s="6" t="s">
        <v>956</v>
      </c>
      <c r="E27" s="6" t="s">
        <v>957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70EDB-9990-4781-A89E-EFF8AA16EF68}">
  <dimension ref="A1:G102"/>
  <sheetViews>
    <sheetView topLeftCell="A3" workbookViewId="0">
      <selection activeCell="C3" sqref="C3"/>
    </sheetView>
  </sheetViews>
  <sheetFormatPr defaultRowHeight="13.8" x14ac:dyDescent="0.25"/>
  <sheetData>
    <row r="1" spans="1:7" ht="34.200000000000003" x14ac:dyDescent="0.25">
      <c r="A1" s="6" t="s">
        <v>958</v>
      </c>
      <c r="B1" s="6" t="s">
        <v>959</v>
      </c>
      <c r="C1" s="6" t="s">
        <v>960</v>
      </c>
      <c r="D1" s="6" t="s">
        <v>961</v>
      </c>
      <c r="E1" s="6" t="s">
        <v>962</v>
      </c>
      <c r="F1" s="6" t="s">
        <v>963</v>
      </c>
      <c r="G1" s="6" t="s">
        <v>964</v>
      </c>
    </row>
    <row r="2" spans="1:7" ht="57" x14ac:dyDescent="0.25">
      <c r="A2" s="6" t="s">
        <v>965</v>
      </c>
      <c r="B2" s="6">
        <v>1.6879999999999999</v>
      </c>
      <c r="C2" s="6">
        <v>2.0070000000000001</v>
      </c>
      <c r="D2" s="6">
        <v>2.2389999999999999</v>
      </c>
      <c r="E2" s="6">
        <v>2.1240000000000001</v>
      </c>
      <c r="F2" s="6">
        <v>2.4740000000000002</v>
      </c>
      <c r="G2" s="6">
        <v>2.3159999999999998</v>
      </c>
    </row>
    <row r="3" spans="1:7" ht="34.200000000000003" x14ac:dyDescent="0.25">
      <c r="A3" s="6" t="s">
        <v>966</v>
      </c>
      <c r="B3" s="6">
        <v>348.67099999999999</v>
      </c>
      <c r="C3" s="6">
        <v>234.36199999999999</v>
      </c>
      <c r="D3" s="6">
        <v>263.12299999999999</v>
      </c>
      <c r="E3" s="6">
        <v>242.733</v>
      </c>
      <c r="F3" s="6">
        <v>297.11500000000001</v>
      </c>
      <c r="G3" s="6">
        <v>264.63400000000001</v>
      </c>
    </row>
    <row r="4" spans="1:7" ht="34.200000000000003" x14ac:dyDescent="0.25">
      <c r="A4" s="6" t="s">
        <v>967</v>
      </c>
      <c r="B4" s="6">
        <v>40.843000000000004</v>
      </c>
      <c r="C4" s="6">
        <v>24.228000000000002</v>
      </c>
      <c r="D4" s="6">
        <v>24.707999999999998</v>
      </c>
      <c r="E4" s="6">
        <v>23.626000000000001</v>
      </c>
      <c r="F4" s="6">
        <v>35.625</v>
      </c>
      <c r="G4" s="6">
        <v>29.245000000000001</v>
      </c>
    </row>
    <row r="5" spans="1:7" ht="45.6" x14ac:dyDescent="0.25">
      <c r="A5" s="6" t="s">
        <v>968</v>
      </c>
      <c r="B5" s="6">
        <v>4.1859999999999999</v>
      </c>
      <c r="C5" s="6">
        <v>2.3769999999999998</v>
      </c>
      <c r="D5" s="6">
        <v>2.4769999999999999</v>
      </c>
      <c r="E5" s="6">
        <v>2.7250000000000001</v>
      </c>
      <c r="F5" s="6">
        <v>3.085</v>
      </c>
      <c r="G5" s="6">
        <v>2.9830000000000001</v>
      </c>
    </row>
    <row r="6" spans="1:7" ht="34.200000000000003" x14ac:dyDescent="0.25">
      <c r="A6" s="6" t="s">
        <v>969</v>
      </c>
      <c r="B6" s="6">
        <v>193.75899999999999</v>
      </c>
      <c r="C6" s="6">
        <v>118.62</v>
      </c>
      <c r="D6" s="6">
        <v>133.816</v>
      </c>
      <c r="E6" s="6">
        <v>130.15600000000001</v>
      </c>
      <c r="F6" s="6">
        <v>170.26499999999999</v>
      </c>
      <c r="G6" s="6">
        <v>155.251</v>
      </c>
    </row>
    <row r="7" spans="1:7" ht="22.8" x14ac:dyDescent="0.25">
      <c r="A7" s="6" t="s">
        <v>970</v>
      </c>
      <c r="B7" s="6">
        <v>23.994</v>
      </c>
      <c r="C7" s="6">
        <v>14.21</v>
      </c>
      <c r="D7" s="6">
        <v>15.43</v>
      </c>
      <c r="E7" s="6">
        <v>13.204000000000001</v>
      </c>
      <c r="F7" s="6">
        <v>19.178000000000001</v>
      </c>
      <c r="G7" s="6">
        <v>17.114999999999998</v>
      </c>
    </row>
    <row r="8" spans="1:7" ht="22.8" x14ac:dyDescent="0.25">
      <c r="A8" s="6" t="s">
        <v>696</v>
      </c>
      <c r="B8" s="6">
        <v>69.105000000000004</v>
      </c>
      <c r="C8" s="6">
        <v>124.348</v>
      </c>
      <c r="D8" s="6">
        <v>106.66200000000001</v>
      </c>
      <c r="E8" s="6">
        <v>127.15900000000001</v>
      </c>
      <c r="F8" s="6">
        <v>109.52800000000001</v>
      </c>
      <c r="G8" s="6">
        <v>115.971</v>
      </c>
    </row>
    <row r="9" spans="1:7" ht="22.8" x14ac:dyDescent="0.25">
      <c r="A9" s="6" t="s">
        <v>971</v>
      </c>
      <c r="B9" s="6">
        <v>0.372</v>
      </c>
      <c r="C9" s="6">
        <v>0.47099999999999997</v>
      </c>
      <c r="D9" s="6">
        <v>0.50700000000000001</v>
      </c>
      <c r="E9" s="6">
        <v>0.20899999999999999</v>
      </c>
      <c r="F9" s="6">
        <v>0.17199999999999999</v>
      </c>
      <c r="G9" s="6">
        <v>0.61899999999999999</v>
      </c>
    </row>
    <row r="10" spans="1:7" ht="22.8" x14ac:dyDescent="0.25">
      <c r="A10" s="6" t="s">
        <v>720</v>
      </c>
      <c r="B10" s="6">
        <v>59.371000000000002</v>
      </c>
      <c r="C10" s="6">
        <v>112.53400000000001</v>
      </c>
      <c r="D10" s="6">
        <v>112.723</v>
      </c>
      <c r="E10" s="6">
        <v>95.301000000000002</v>
      </c>
      <c r="F10" s="6">
        <v>90.59</v>
      </c>
      <c r="G10" s="6">
        <v>92.945999999999998</v>
      </c>
    </row>
    <row r="11" spans="1:7" ht="34.200000000000003" x14ac:dyDescent="0.25">
      <c r="A11" s="6" t="s">
        <v>972</v>
      </c>
      <c r="B11" s="6">
        <v>1.1619999999999999</v>
      </c>
      <c r="C11" s="6">
        <v>1.1619999999999999</v>
      </c>
      <c r="D11" s="6">
        <v>1.1619999999999999</v>
      </c>
      <c r="E11" s="6">
        <v>1.1619999999999999</v>
      </c>
      <c r="F11" s="6" t="s">
        <v>28</v>
      </c>
      <c r="G11" s="6" t="s">
        <v>28</v>
      </c>
    </row>
    <row r="12" spans="1:7" ht="34.200000000000003" x14ac:dyDescent="0.25">
      <c r="A12" s="6" t="s">
        <v>893</v>
      </c>
      <c r="B12" s="6">
        <v>0.42299999999999999</v>
      </c>
      <c r="C12" s="6">
        <v>1.629</v>
      </c>
      <c r="D12" s="6">
        <v>1.2629999999999999</v>
      </c>
      <c r="E12" s="6">
        <v>1.996</v>
      </c>
      <c r="F12" s="6">
        <v>2.609</v>
      </c>
      <c r="G12" s="6">
        <v>2.399</v>
      </c>
    </row>
    <row r="13" spans="1:7" ht="22.8" x14ac:dyDescent="0.25">
      <c r="A13" s="6" t="s">
        <v>692</v>
      </c>
      <c r="B13" s="6">
        <v>57.685000000000002</v>
      </c>
      <c r="C13" s="6">
        <v>103.36</v>
      </c>
      <c r="D13" s="6">
        <v>96.548000000000002</v>
      </c>
      <c r="E13" s="6">
        <v>105.31100000000001</v>
      </c>
      <c r="F13" s="6">
        <v>94.441000000000003</v>
      </c>
      <c r="G13" s="6">
        <v>106.623</v>
      </c>
    </row>
    <row r="14" spans="1:7" ht="34.200000000000003" x14ac:dyDescent="0.25">
      <c r="A14" s="6" t="s">
        <v>973</v>
      </c>
      <c r="B14" s="6">
        <v>0.80900000000000005</v>
      </c>
      <c r="C14" s="6">
        <v>0.997</v>
      </c>
      <c r="D14" s="6">
        <v>0.20100000000000001</v>
      </c>
      <c r="E14" s="6">
        <v>1.611</v>
      </c>
      <c r="F14" s="6">
        <v>1.369</v>
      </c>
      <c r="G14" s="6">
        <v>0.621</v>
      </c>
    </row>
    <row r="15" spans="1:7" ht="34.200000000000003" x14ac:dyDescent="0.25">
      <c r="A15" s="6" t="s">
        <v>974</v>
      </c>
      <c r="B15" s="6">
        <v>1.1479999999999999</v>
      </c>
      <c r="C15" s="6">
        <v>4.1840000000000002</v>
      </c>
      <c r="D15" s="6">
        <v>4.3070000000000004</v>
      </c>
      <c r="E15" s="6">
        <v>3.2589999999999999</v>
      </c>
      <c r="F15" s="6">
        <v>2.1379999999999999</v>
      </c>
      <c r="G15" s="6">
        <v>1.3520000000000001</v>
      </c>
    </row>
    <row r="16" spans="1:7" ht="22.8" x14ac:dyDescent="0.25">
      <c r="A16" s="6" t="s">
        <v>740</v>
      </c>
      <c r="B16" s="6">
        <v>3.5190000000000001</v>
      </c>
      <c r="C16" s="6">
        <v>5.3220000000000001</v>
      </c>
      <c r="D16" s="6">
        <v>5.0839999999999996</v>
      </c>
      <c r="E16" s="6">
        <v>6.516</v>
      </c>
      <c r="F16" s="6">
        <v>5.4880000000000004</v>
      </c>
      <c r="G16" s="6">
        <v>6.41</v>
      </c>
    </row>
    <row r="17" spans="1:7" ht="22.8" x14ac:dyDescent="0.25">
      <c r="A17" s="6" t="s">
        <v>975</v>
      </c>
      <c r="B17" s="6">
        <v>2.5550000000000002</v>
      </c>
      <c r="C17" s="6">
        <v>2.468</v>
      </c>
      <c r="D17" s="6">
        <v>2.2010000000000001</v>
      </c>
      <c r="E17" s="6">
        <v>4.0339999999999998</v>
      </c>
      <c r="F17" s="6">
        <v>2.5710000000000002</v>
      </c>
      <c r="G17" s="6">
        <v>2.5179999999999998</v>
      </c>
    </row>
    <row r="18" spans="1:7" ht="34.200000000000003" x14ac:dyDescent="0.25">
      <c r="A18" s="6" t="s">
        <v>904</v>
      </c>
      <c r="B18" s="6">
        <v>1170.5239999999999</v>
      </c>
      <c r="C18" s="6">
        <v>1206.133</v>
      </c>
      <c r="D18" s="6">
        <v>1251.2370000000001</v>
      </c>
      <c r="E18" s="6">
        <v>1217.046</v>
      </c>
      <c r="F18" s="6">
        <v>1264.0309999999999</v>
      </c>
      <c r="G18" s="6">
        <v>1261.51</v>
      </c>
    </row>
    <row r="19" spans="1:7" ht="22.8" x14ac:dyDescent="0.25">
      <c r="A19" s="6" t="s">
        <v>976</v>
      </c>
      <c r="B19" s="6">
        <v>4.1050000000000004</v>
      </c>
      <c r="C19" s="6">
        <v>3.6349999999999998</v>
      </c>
      <c r="D19" s="6">
        <v>3.371</v>
      </c>
      <c r="E19" s="6">
        <v>3.5790000000000002</v>
      </c>
      <c r="F19" s="6">
        <v>3.4239999999999999</v>
      </c>
      <c r="G19" s="6">
        <v>3.8279999999999998</v>
      </c>
    </row>
    <row r="20" spans="1:7" ht="22.8" x14ac:dyDescent="0.25">
      <c r="A20" s="6" t="s">
        <v>977</v>
      </c>
      <c r="B20" s="6">
        <v>7.5060000000000002</v>
      </c>
      <c r="C20" s="6">
        <v>6.819</v>
      </c>
      <c r="D20" s="6">
        <v>7.5890000000000004</v>
      </c>
      <c r="E20" s="6">
        <v>8.093</v>
      </c>
      <c r="F20" s="6">
        <v>7.306</v>
      </c>
      <c r="G20" s="6">
        <v>7.1970000000000001</v>
      </c>
    </row>
    <row r="21" spans="1:7" ht="45.6" x14ac:dyDescent="0.25">
      <c r="A21" s="6" t="s">
        <v>978</v>
      </c>
      <c r="B21" s="6">
        <v>0.83</v>
      </c>
      <c r="C21" s="6">
        <v>0.28699999999999998</v>
      </c>
      <c r="D21" s="6">
        <v>0.41899999999999998</v>
      </c>
      <c r="E21" s="6">
        <v>0.626</v>
      </c>
      <c r="F21" s="6">
        <v>0.13500000000000001</v>
      </c>
      <c r="G21" s="6" t="s">
        <v>28</v>
      </c>
    </row>
    <row r="22" spans="1:7" ht="34.200000000000003" x14ac:dyDescent="0.25">
      <c r="A22" s="6" t="s">
        <v>979</v>
      </c>
      <c r="B22" s="6">
        <v>4.0049999999999999</v>
      </c>
      <c r="C22" s="6">
        <v>1.536</v>
      </c>
      <c r="D22" s="6">
        <v>5.3010000000000002</v>
      </c>
      <c r="E22" s="6">
        <v>5.09</v>
      </c>
      <c r="F22" s="6">
        <v>4.6539999999999999</v>
      </c>
      <c r="G22" s="6">
        <v>5.4459999999999997</v>
      </c>
    </row>
    <row r="23" spans="1:7" ht="34.200000000000003" x14ac:dyDescent="0.25">
      <c r="A23" s="6" t="s">
        <v>980</v>
      </c>
      <c r="B23" s="6">
        <v>0.47899999999999998</v>
      </c>
      <c r="C23" s="6">
        <v>1.1279999999999999</v>
      </c>
      <c r="D23" s="6">
        <v>0.99099999999999999</v>
      </c>
      <c r="E23" s="6" t="s">
        <v>28</v>
      </c>
      <c r="F23" s="6">
        <v>1.0549999999999999</v>
      </c>
      <c r="G23" s="6">
        <v>0.98699999999999999</v>
      </c>
    </row>
    <row r="24" spans="1:7" ht="22.8" x14ac:dyDescent="0.25">
      <c r="A24" s="6" t="s">
        <v>981</v>
      </c>
      <c r="B24" s="6">
        <v>3.1179999999999999</v>
      </c>
      <c r="C24" s="6">
        <v>1.6519999999999999</v>
      </c>
      <c r="D24" s="6">
        <v>1.7949999999999999</v>
      </c>
      <c r="E24" s="6">
        <v>3.3809999999999998</v>
      </c>
      <c r="F24" s="6">
        <v>0.108</v>
      </c>
      <c r="G24" s="6">
        <v>0.36</v>
      </c>
    </row>
    <row r="25" spans="1:7" ht="34.200000000000003" x14ac:dyDescent="0.25">
      <c r="A25" s="6" t="s">
        <v>982</v>
      </c>
      <c r="B25" s="6">
        <v>35.817999999999998</v>
      </c>
      <c r="C25" s="6">
        <v>27.427</v>
      </c>
      <c r="D25" s="6">
        <v>30.692</v>
      </c>
      <c r="E25" s="6">
        <v>27.106000000000002</v>
      </c>
      <c r="F25" s="6">
        <v>26.678999999999998</v>
      </c>
      <c r="G25" s="6">
        <v>34.411000000000001</v>
      </c>
    </row>
    <row r="26" spans="1:7" ht="34.200000000000003" x14ac:dyDescent="0.25">
      <c r="A26" s="6" t="s">
        <v>983</v>
      </c>
      <c r="B26" s="6">
        <v>1.498</v>
      </c>
      <c r="C26" s="6">
        <v>0.66600000000000004</v>
      </c>
      <c r="D26" s="6">
        <v>0.55400000000000005</v>
      </c>
      <c r="E26" s="6">
        <v>1.117</v>
      </c>
      <c r="F26" s="6">
        <v>1.663</v>
      </c>
      <c r="G26" s="6">
        <v>1.07</v>
      </c>
    </row>
    <row r="27" spans="1:7" ht="34.200000000000003" x14ac:dyDescent="0.25">
      <c r="A27" s="6" t="s">
        <v>984</v>
      </c>
      <c r="B27" s="6">
        <v>9.02</v>
      </c>
      <c r="C27" s="6">
        <v>1.268</v>
      </c>
      <c r="D27" s="6" t="s">
        <v>28</v>
      </c>
      <c r="E27" s="6" t="s">
        <v>28</v>
      </c>
      <c r="F27" s="6">
        <v>8.5549999999999997</v>
      </c>
      <c r="G27" s="6" t="s">
        <v>28</v>
      </c>
    </row>
    <row r="28" spans="1:7" ht="22.8" x14ac:dyDescent="0.25">
      <c r="A28" s="6" t="s">
        <v>907</v>
      </c>
      <c r="B28" s="6">
        <v>9.5359999999999996</v>
      </c>
      <c r="C28" s="6">
        <v>14.837999999999999</v>
      </c>
      <c r="D28" s="6">
        <v>13.250999999999999</v>
      </c>
      <c r="E28" s="6">
        <v>10.544</v>
      </c>
      <c r="F28" s="6">
        <v>11.834</v>
      </c>
      <c r="G28" s="6">
        <v>12.452</v>
      </c>
    </row>
    <row r="29" spans="1:7" ht="22.8" x14ac:dyDescent="0.25">
      <c r="A29" s="6" t="s">
        <v>985</v>
      </c>
      <c r="B29" s="6">
        <v>0.33300000000000002</v>
      </c>
      <c r="C29" s="6">
        <v>0.189</v>
      </c>
      <c r="D29" s="6" t="s">
        <v>28</v>
      </c>
      <c r="E29" s="6" t="s">
        <v>28</v>
      </c>
      <c r="F29" s="6" t="s">
        <v>28</v>
      </c>
      <c r="G29" s="6" t="s">
        <v>28</v>
      </c>
    </row>
    <row r="30" spans="1:7" ht="34.200000000000003" x14ac:dyDescent="0.25">
      <c r="A30" s="6" t="s">
        <v>792</v>
      </c>
      <c r="B30" s="6">
        <v>86.3</v>
      </c>
      <c r="C30" s="6">
        <v>69.305000000000007</v>
      </c>
      <c r="D30" s="6">
        <v>32.877000000000002</v>
      </c>
      <c r="E30" s="6">
        <v>59.223999999999997</v>
      </c>
      <c r="F30" s="6">
        <v>67.343999999999994</v>
      </c>
      <c r="G30" s="6">
        <v>72.534000000000006</v>
      </c>
    </row>
    <row r="31" spans="1:7" ht="34.200000000000003" x14ac:dyDescent="0.25">
      <c r="A31" s="6" t="s">
        <v>986</v>
      </c>
      <c r="B31" s="6">
        <v>539.06600000000003</v>
      </c>
      <c r="C31" s="6">
        <v>383.16</v>
      </c>
      <c r="D31" s="6">
        <v>431.96499999999997</v>
      </c>
      <c r="E31" s="6">
        <v>445.51299999999998</v>
      </c>
      <c r="F31" s="6">
        <v>492.64699999999999</v>
      </c>
      <c r="G31" s="6">
        <v>545.63599999999997</v>
      </c>
    </row>
    <row r="32" spans="1:7" ht="34.200000000000003" x14ac:dyDescent="0.25">
      <c r="A32" s="6" t="s">
        <v>987</v>
      </c>
      <c r="B32" s="6">
        <v>60.389000000000003</v>
      </c>
      <c r="C32" s="6">
        <v>51.463999999999999</v>
      </c>
      <c r="D32" s="6">
        <v>52.186999999999998</v>
      </c>
      <c r="E32" s="6">
        <v>49.558999999999997</v>
      </c>
      <c r="F32" s="6">
        <v>57.23</v>
      </c>
      <c r="G32" s="6">
        <v>64.045000000000002</v>
      </c>
    </row>
    <row r="33" spans="1:7" ht="34.200000000000003" x14ac:dyDescent="0.25">
      <c r="A33" s="6" t="s">
        <v>988</v>
      </c>
      <c r="B33" s="6">
        <v>0.253</v>
      </c>
      <c r="C33" s="6">
        <v>0.252</v>
      </c>
      <c r="D33" s="6">
        <v>0.29399999999999998</v>
      </c>
      <c r="E33" s="6">
        <v>9.0999999999999998E-2</v>
      </c>
      <c r="F33" s="6">
        <v>0.28000000000000003</v>
      </c>
      <c r="G33" s="6">
        <v>0.32300000000000001</v>
      </c>
    </row>
    <row r="34" spans="1:7" ht="34.200000000000003" x14ac:dyDescent="0.25">
      <c r="A34" s="6" t="s">
        <v>989</v>
      </c>
      <c r="B34" s="6">
        <v>28.989000000000001</v>
      </c>
      <c r="C34" s="6">
        <v>19.477</v>
      </c>
      <c r="D34" s="6">
        <v>25.425000000000001</v>
      </c>
      <c r="E34" s="6">
        <v>21.802</v>
      </c>
      <c r="F34" s="6">
        <v>25.754999999999999</v>
      </c>
      <c r="G34" s="6">
        <v>27.995999999999999</v>
      </c>
    </row>
    <row r="35" spans="1:7" ht="68.400000000000006" x14ac:dyDescent="0.25">
      <c r="A35" s="6" t="s">
        <v>990</v>
      </c>
      <c r="B35" s="6">
        <v>2.4390000000000001</v>
      </c>
      <c r="C35" s="6">
        <v>3.9249999999999998</v>
      </c>
      <c r="D35" s="6">
        <v>3.43</v>
      </c>
      <c r="E35" s="6">
        <v>3.3530000000000002</v>
      </c>
      <c r="F35" s="6">
        <v>3.2879999999999998</v>
      </c>
      <c r="G35" s="6">
        <v>3.6459999999999999</v>
      </c>
    </row>
    <row r="36" spans="1:7" ht="34.200000000000003" x14ac:dyDescent="0.25">
      <c r="A36" s="6" t="s">
        <v>991</v>
      </c>
      <c r="B36" s="6">
        <v>0.46500000000000002</v>
      </c>
      <c r="C36" s="6">
        <v>0.77</v>
      </c>
      <c r="D36" s="6">
        <v>0.47299999999999998</v>
      </c>
      <c r="E36" s="6">
        <v>0.27900000000000003</v>
      </c>
      <c r="F36" s="6">
        <v>0.91200000000000003</v>
      </c>
      <c r="G36" s="6">
        <v>0.36499999999999999</v>
      </c>
    </row>
    <row r="37" spans="1:7" ht="34.200000000000003" x14ac:dyDescent="0.25">
      <c r="A37" s="6" t="s">
        <v>992</v>
      </c>
      <c r="B37" s="6">
        <v>1.0660000000000001</v>
      </c>
      <c r="C37" s="6">
        <v>0.94699999999999995</v>
      </c>
      <c r="D37" s="6">
        <v>0.95299999999999996</v>
      </c>
      <c r="E37" s="6">
        <v>1.117</v>
      </c>
      <c r="F37" s="6">
        <v>1.1639999999999999</v>
      </c>
      <c r="G37" s="6">
        <v>1.2250000000000001</v>
      </c>
    </row>
    <row r="38" spans="1:7" ht="34.200000000000003" x14ac:dyDescent="0.25">
      <c r="A38" s="6" t="s">
        <v>993</v>
      </c>
      <c r="B38" s="6">
        <v>0.67700000000000005</v>
      </c>
      <c r="C38" s="6">
        <v>1.2230000000000001</v>
      </c>
      <c r="D38" s="6">
        <v>1.3959999999999999</v>
      </c>
      <c r="E38" s="6">
        <v>1.647</v>
      </c>
      <c r="F38" s="6">
        <v>1.466</v>
      </c>
      <c r="G38" s="6">
        <v>1.6910000000000001</v>
      </c>
    </row>
    <row r="39" spans="1:7" ht="22.8" x14ac:dyDescent="0.25">
      <c r="A39" s="6" t="s">
        <v>994</v>
      </c>
      <c r="B39" s="6">
        <v>0.373</v>
      </c>
      <c r="C39" s="6">
        <v>0.35699999999999998</v>
      </c>
      <c r="D39" s="6">
        <v>0.373</v>
      </c>
      <c r="E39" s="6">
        <v>0.36699999999999999</v>
      </c>
      <c r="F39" s="6">
        <v>0.45800000000000002</v>
      </c>
      <c r="G39" s="6">
        <v>0.45700000000000002</v>
      </c>
    </row>
    <row r="40" spans="1:7" ht="34.200000000000003" x14ac:dyDescent="0.25">
      <c r="A40" s="6" t="s">
        <v>995</v>
      </c>
      <c r="B40" s="6">
        <v>56.115000000000002</v>
      </c>
      <c r="C40" s="6">
        <v>33.790999999999997</v>
      </c>
      <c r="D40" s="6">
        <v>42.831000000000003</v>
      </c>
      <c r="E40" s="6">
        <v>45.290999999999997</v>
      </c>
      <c r="F40" s="6">
        <v>47.866999999999997</v>
      </c>
      <c r="G40" s="6">
        <v>44.537999999999997</v>
      </c>
    </row>
    <row r="41" spans="1:7" ht="34.200000000000003" x14ac:dyDescent="0.25">
      <c r="A41" s="6" t="s">
        <v>996</v>
      </c>
      <c r="B41" s="6">
        <v>5.173</v>
      </c>
      <c r="C41" s="6">
        <v>3.66</v>
      </c>
      <c r="D41" s="6">
        <v>4.3769999999999998</v>
      </c>
      <c r="E41" s="6">
        <v>4.6219999999999999</v>
      </c>
      <c r="F41" s="6">
        <v>4.3239999999999998</v>
      </c>
      <c r="G41" s="6">
        <v>5.1680000000000001</v>
      </c>
    </row>
    <row r="42" spans="1:7" ht="22.8" x14ac:dyDescent="0.25">
      <c r="A42" s="6" t="s">
        <v>997</v>
      </c>
      <c r="B42" s="6">
        <v>1.593</v>
      </c>
      <c r="C42" s="6">
        <v>2.6840000000000002</v>
      </c>
      <c r="D42" s="6">
        <v>2.3159999999999998</v>
      </c>
      <c r="E42" s="6">
        <v>2.1259999999999999</v>
      </c>
      <c r="F42" s="6">
        <v>2.3370000000000002</v>
      </c>
      <c r="G42" s="6">
        <v>2.677</v>
      </c>
    </row>
    <row r="43" spans="1:7" ht="34.200000000000003" x14ac:dyDescent="0.25">
      <c r="A43" s="6" t="s">
        <v>998</v>
      </c>
      <c r="B43" s="6">
        <v>0.28699999999999998</v>
      </c>
      <c r="C43" s="6">
        <v>9.7000000000000003E-2</v>
      </c>
      <c r="D43" s="6">
        <v>9.8000000000000004E-2</v>
      </c>
      <c r="E43" s="6">
        <v>0.11899999999999999</v>
      </c>
      <c r="F43" s="6" t="s">
        <v>28</v>
      </c>
      <c r="G43" s="6" t="s">
        <v>28</v>
      </c>
    </row>
    <row r="44" spans="1:7" ht="34.200000000000003" x14ac:dyDescent="0.25">
      <c r="A44" s="6" t="s">
        <v>999</v>
      </c>
      <c r="B44" s="6">
        <v>15.74</v>
      </c>
      <c r="C44" s="6">
        <v>4.6520000000000001</v>
      </c>
      <c r="D44" s="6">
        <v>5.758</v>
      </c>
      <c r="E44" s="6">
        <v>5.2050000000000001</v>
      </c>
      <c r="F44" s="6">
        <v>5.4809999999999999</v>
      </c>
      <c r="G44" s="6">
        <v>5.4809999999999999</v>
      </c>
    </row>
    <row r="45" spans="1:7" ht="34.200000000000003" x14ac:dyDescent="0.25">
      <c r="A45" s="6" t="s">
        <v>1000</v>
      </c>
      <c r="B45" s="6">
        <v>2.149</v>
      </c>
      <c r="C45" s="6">
        <v>0.78500000000000003</v>
      </c>
      <c r="D45" s="6">
        <v>1.1419999999999999</v>
      </c>
      <c r="E45" s="6">
        <v>1.349</v>
      </c>
      <c r="F45" s="6">
        <v>1.046</v>
      </c>
      <c r="G45" s="6">
        <v>1.373</v>
      </c>
    </row>
    <row r="46" spans="1:7" ht="34.200000000000003" x14ac:dyDescent="0.25">
      <c r="A46" s="6" t="s">
        <v>1001</v>
      </c>
      <c r="B46" s="6">
        <v>0.496</v>
      </c>
      <c r="C46" s="6">
        <v>0.35299999999999998</v>
      </c>
      <c r="D46" s="6">
        <v>0.37</v>
      </c>
      <c r="E46" s="6">
        <v>0.41299999999999998</v>
      </c>
      <c r="F46" s="6">
        <v>0.38500000000000001</v>
      </c>
      <c r="G46" s="6">
        <v>0.45800000000000002</v>
      </c>
    </row>
    <row r="47" spans="1:7" ht="34.200000000000003" x14ac:dyDescent="0.25">
      <c r="A47" s="6" t="s">
        <v>784</v>
      </c>
      <c r="B47" s="6">
        <v>6.9669999999999996</v>
      </c>
      <c r="C47" s="6">
        <v>9.9600000000000009</v>
      </c>
      <c r="D47" s="6">
        <v>10.420999999999999</v>
      </c>
      <c r="E47" s="6">
        <v>10.782999999999999</v>
      </c>
      <c r="F47" s="6">
        <v>11.475</v>
      </c>
      <c r="G47" s="6">
        <v>12.404999999999999</v>
      </c>
    </row>
    <row r="48" spans="1:7" ht="34.200000000000003" x14ac:dyDescent="0.25">
      <c r="A48" s="6" t="s">
        <v>1002</v>
      </c>
      <c r="B48" s="6">
        <v>18.396999999999998</v>
      </c>
      <c r="C48" s="6">
        <v>16.506</v>
      </c>
      <c r="D48" s="6">
        <v>18.701000000000001</v>
      </c>
      <c r="E48" s="6">
        <v>14.839</v>
      </c>
      <c r="F48" s="6">
        <v>19.805</v>
      </c>
      <c r="G48" s="6">
        <v>21.311</v>
      </c>
    </row>
    <row r="49" spans="1:7" ht="22.8" x14ac:dyDescent="0.25">
      <c r="A49" s="6" t="s">
        <v>1003</v>
      </c>
      <c r="B49" s="6">
        <v>24.536000000000001</v>
      </c>
      <c r="C49" s="6">
        <v>3.556</v>
      </c>
      <c r="D49" s="6">
        <v>12.571999999999999</v>
      </c>
      <c r="E49" s="6">
        <v>21.614999999999998</v>
      </c>
      <c r="F49" s="6">
        <v>17.119</v>
      </c>
      <c r="G49" s="6">
        <v>6.766</v>
      </c>
    </row>
    <row r="50" spans="1:7" ht="34.200000000000003" x14ac:dyDescent="0.25">
      <c r="A50" s="6" t="s">
        <v>788</v>
      </c>
      <c r="B50" s="6">
        <v>7525</v>
      </c>
      <c r="C50" s="6">
        <v>9245</v>
      </c>
      <c r="D50" s="6">
        <v>11140</v>
      </c>
      <c r="E50" s="6">
        <v>10896</v>
      </c>
      <c r="F50" s="6">
        <v>11533</v>
      </c>
      <c r="G50" s="6">
        <v>11648</v>
      </c>
    </row>
    <row r="51" spans="1:7" ht="34.200000000000003" x14ac:dyDescent="0.25">
      <c r="A51" s="6" t="s">
        <v>1004</v>
      </c>
      <c r="B51" s="6">
        <v>1.0669999999999999</v>
      </c>
      <c r="C51" s="6">
        <v>0.73699999999999999</v>
      </c>
      <c r="D51" s="6">
        <v>0.73899999999999999</v>
      </c>
      <c r="E51" s="6">
        <v>0.72299999999999998</v>
      </c>
      <c r="F51" s="6">
        <v>0.86899999999999999</v>
      </c>
      <c r="G51" s="6">
        <v>0.91500000000000004</v>
      </c>
    </row>
    <row r="52" spans="1:7" ht="34.200000000000003" x14ac:dyDescent="0.25">
      <c r="A52" s="6" t="s">
        <v>1005</v>
      </c>
      <c r="B52" s="6" t="s">
        <v>28</v>
      </c>
      <c r="C52" s="6">
        <v>0.72699999999999998</v>
      </c>
      <c r="D52" s="6">
        <v>0.73899999999999999</v>
      </c>
      <c r="E52" s="6">
        <v>0.75700000000000001</v>
      </c>
      <c r="F52" s="6">
        <v>0.84499999999999997</v>
      </c>
      <c r="G52" s="6">
        <v>0.82899999999999996</v>
      </c>
    </row>
    <row r="53" spans="1:7" ht="34.200000000000003" x14ac:dyDescent="0.25">
      <c r="A53" s="6" t="s">
        <v>1006</v>
      </c>
      <c r="B53" s="6">
        <v>0.65400000000000003</v>
      </c>
      <c r="C53" s="6">
        <v>0.497</v>
      </c>
      <c r="D53" s="6">
        <v>0.502</v>
      </c>
      <c r="E53" s="6">
        <v>0.47699999999999998</v>
      </c>
      <c r="F53" s="6">
        <v>0.57599999999999996</v>
      </c>
      <c r="G53" s="6">
        <v>0.66700000000000004</v>
      </c>
    </row>
    <row r="54" spans="1:7" ht="34.200000000000003" x14ac:dyDescent="0.25">
      <c r="A54" s="6" t="s">
        <v>1007</v>
      </c>
      <c r="B54" s="6">
        <v>3.34</v>
      </c>
      <c r="C54" s="6">
        <v>2.0670000000000002</v>
      </c>
      <c r="D54" s="6">
        <v>2.177</v>
      </c>
      <c r="E54" s="6">
        <v>2.298</v>
      </c>
      <c r="F54" s="6">
        <v>1.9870000000000001</v>
      </c>
      <c r="G54" s="6">
        <v>2.5990000000000002</v>
      </c>
    </row>
    <row r="55" spans="1:7" ht="34.200000000000003" x14ac:dyDescent="0.25">
      <c r="A55" s="6" t="s">
        <v>1008</v>
      </c>
      <c r="B55" s="6">
        <v>7.9000000000000001E-2</v>
      </c>
      <c r="C55" s="6">
        <v>0.246</v>
      </c>
      <c r="D55" s="6">
        <v>0.23200000000000001</v>
      </c>
      <c r="E55" s="6">
        <v>0.28100000000000003</v>
      </c>
      <c r="F55" s="6">
        <v>0.27</v>
      </c>
      <c r="G55" s="6">
        <v>0.315</v>
      </c>
    </row>
    <row r="56" spans="1:7" ht="34.200000000000003" x14ac:dyDescent="0.25">
      <c r="A56" s="6" t="s">
        <v>912</v>
      </c>
      <c r="B56" s="6">
        <v>156.714</v>
      </c>
      <c r="C56" s="6">
        <v>98.682000000000002</v>
      </c>
      <c r="D56" s="6">
        <v>99.126000000000005</v>
      </c>
      <c r="E56" s="6">
        <v>114.452</v>
      </c>
      <c r="F56" s="6">
        <v>106.419</v>
      </c>
      <c r="G56" s="6">
        <v>115.44</v>
      </c>
    </row>
    <row r="57" spans="1:7" ht="34.200000000000003" x14ac:dyDescent="0.25">
      <c r="A57" s="6" t="s">
        <v>1009</v>
      </c>
      <c r="B57" s="6">
        <v>9.6449999999999996</v>
      </c>
      <c r="C57" s="6">
        <v>5.4710000000000001</v>
      </c>
      <c r="D57" s="6">
        <v>6.32</v>
      </c>
      <c r="E57" s="6">
        <v>6.1879999999999997</v>
      </c>
      <c r="F57" s="6">
        <v>5.8659999999999997</v>
      </c>
      <c r="G57" s="6">
        <v>6.968</v>
      </c>
    </row>
    <row r="58" spans="1:7" ht="45.6" x14ac:dyDescent="0.25">
      <c r="A58" s="6" t="s">
        <v>1010</v>
      </c>
      <c r="B58" s="6">
        <v>0.629</v>
      </c>
      <c r="C58" s="6">
        <v>0.28599999999999998</v>
      </c>
      <c r="D58" s="6">
        <v>0.29599999999999999</v>
      </c>
      <c r="E58" s="6">
        <v>0.223</v>
      </c>
      <c r="F58" s="6">
        <v>0.24399999999999999</v>
      </c>
      <c r="G58" s="6">
        <v>9.6000000000000002E-2</v>
      </c>
    </row>
    <row r="59" spans="1:7" ht="22.8" x14ac:dyDescent="0.25">
      <c r="A59" s="6" t="s">
        <v>1011</v>
      </c>
      <c r="B59" s="6">
        <v>28.082999999999998</v>
      </c>
      <c r="C59" s="6">
        <v>13.952</v>
      </c>
      <c r="D59" s="6">
        <v>15.01</v>
      </c>
      <c r="E59" s="6">
        <v>14.786</v>
      </c>
      <c r="F59" s="6">
        <v>13.586</v>
      </c>
      <c r="G59" s="6">
        <v>14.314</v>
      </c>
    </row>
    <row r="60" spans="1:7" ht="22.8" x14ac:dyDescent="0.25">
      <c r="A60" s="6" t="s">
        <v>1012</v>
      </c>
      <c r="B60" s="6">
        <v>31.556999999999999</v>
      </c>
      <c r="C60" s="6">
        <v>15.49</v>
      </c>
      <c r="D60" s="6">
        <v>16.625</v>
      </c>
      <c r="E60" s="6">
        <v>15.487</v>
      </c>
      <c r="F60" s="6">
        <v>14.238</v>
      </c>
      <c r="G60" s="6">
        <v>15.593</v>
      </c>
    </row>
    <row r="61" spans="1:7" ht="34.200000000000003" x14ac:dyDescent="0.25">
      <c r="A61" s="6" t="s">
        <v>1013</v>
      </c>
      <c r="B61" s="6">
        <v>0.224</v>
      </c>
      <c r="C61" s="6">
        <v>0.873</v>
      </c>
      <c r="D61" s="6">
        <v>1.1299999999999999</v>
      </c>
      <c r="E61" s="6">
        <v>1.5680000000000001</v>
      </c>
      <c r="F61" s="6">
        <v>1.0609999999999999</v>
      </c>
      <c r="G61" s="6">
        <v>1.4550000000000001</v>
      </c>
    </row>
    <row r="62" spans="1:7" ht="34.200000000000003" x14ac:dyDescent="0.25">
      <c r="A62" s="6" t="s">
        <v>1014</v>
      </c>
      <c r="B62" s="6">
        <v>4.1859999999999999</v>
      </c>
      <c r="C62" s="6">
        <v>2.3769999999999998</v>
      </c>
      <c r="D62" s="6">
        <v>2.4769999999999999</v>
      </c>
      <c r="E62" s="6">
        <v>2.7250000000000001</v>
      </c>
      <c r="F62" s="6">
        <v>2.65</v>
      </c>
      <c r="G62" s="6">
        <v>3.2360000000000002</v>
      </c>
    </row>
    <row r="63" spans="1:7" ht="34.200000000000003" x14ac:dyDescent="0.25">
      <c r="A63" s="6" t="s">
        <v>1000</v>
      </c>
      <c r="B63" s="6">
        <v>2.149</v>
      </c>
      <c r="C63" s="6">
        <v>0.78500000000000003</v>
      </c>
      <c r="D63" s="6">
        <v>1.1419999999999999</v>
      </c>
      <c r="E63" s="6">
        <v>1.349</v>
      </c>
      <c r="F63" s="6">
        <v>1.046</v>
      </c>
      <c r="G63" s="6">
        <v>1.373</v>
      </c>
    </row>
    <row r="64" spans="1:7" ht="34.200000000000003" x14ac:dyDescent="0.25">
      <c r="A64" s="6" t="s">
        <v>1001</v>
      </c>
      <c r="B64" s="6">
        <v>0.496</v>
      </c>
      <c r="C64" s="6">
        <v>0.35299999999999998</v>
      </c>
      <c r="D64" s="6">
        <v>0.37</v>
      </c>
      <c r="E64" s="6">
        <v>0.41299999999999998</v>
      </c>
      <c r="F64" s="6">
        <v>0.38500000000000001</v>
      </c>
      <c r="G64" s="6">
        <v>0.45800000000000002</v>
      </c>
    </row>
    <row r="65" spans="1:7" ht="34.200000000000003" x14ac:dyDescent="0.25">
      <c r="A65" s="6" t="s">
        <v>784</v>
      </c>
      <c r="B65" s="6">
        <v>6.9669999999999996</v>
      </c>
      <c r="C65" s="6">
        <v>9.56</v>
      </c>
      <c r="D65" s="6">
        <v>10.420999999999999</v>
      </c>
      <c r="E65" s="6">
        <v>10.782999999999999</v>
      </c>
      <c r="F65" s="6">
        <v>11.475</v>
      </c>
      <c r="G65" s="6">
        <v>12.404999999999999</v>
      </c>
    </row>
    <row r="66" spans="1:7" ht="34.200000000000003" x14ac:dyDescent="0.25">
      <c r="A66" s="6" t="s">
        <v>1002</v>
      </c>
      <c r="B66" s="6">
        <v>18.396999999999998</v>
      </c>
      <c r="C66" s="6">
        <v>16.506</v>
      </c>
      <c r="D66" s="6">
        <v>18.704000000000001</v>
      </c>
      <c r="E66" s="6">
        <v>14.859</v>
      </c>
      <c r="F66" s="6">
        <v>19.805</v>
      </c>
      <c r="G66" s="6">
        <v>21.311</v>
      </c>
    </row>
    <row r="67" spans="1:7" ht="34.200000000000003" x14ac:dyDescent="0.25">
      <c r="A67" s="6" t="s">
        <v>912</v>
      </c>
      <c r="B67" s="6">
        <v>156.714</v>
      </c>
      <c r="C67" s="6">
        <v>98.682000000000002</v>
      </c>
      <c r="D67" s="6">
        <v>99.126000000000005</v>
      </c>
      <c r="E67" s="6">
        <v>114.452</v>
      </c>
      <c r="F67" s="6">
        <v>106.419</v>
      </c>
      <c r="G67" s="6">
        <v>115.44</v>
      </c>
    </row>
    <row r="68" spans="1:7" ht="34.200000000000003" x14ac:dyDescent="0.25">
      <c r="A68" s="6" t="s">
        <v>1009</v>
      </c>
      <c r="B68" s="6">
        <v>9.6449999999999996</v>
      </c>
      <c r="C68" s="6">
        <v>5.4710000000000001</v>
      </c>
      <c r="D68" s="6">
        <v>6.32</v>
      </c>
      <c r="E68" s="6">
        <v>6.1879999999999997</v>
      </c>
      <c r="F68" s="6">
        <v>5.8659999999999997</v>
      </c>
      <c r="G68" s="6">
        <v>6.968</v>
      </c>
    </row>
    <row r="69" spans="1:7" ht="22.8" x14ac:dyDescent="0.25">
      <c r="A69" s="6" t="s">
        <v>1011</v>
      </c>
      <c r="B69" s="6">
        <v>28.082999999999998</v>
      </c>
      <c r="C69" s="6">
        <v>13.952</v>
      </c>
      <c r="D69" s="6">
        <v>15.01</v>
      </c>
      <c r="E69" s="6">
        <v>14.786</v>
      </c>
      <c r="F69" s="6">
        <v>13.586</v>
      </c>
      <c r="G69" s="6">
        <v>14.314</v>
      </c>
    </row>
    <row r="70" spans="1:7" ht="22.8" x14ac:dyDescent="0.25">
      <c r="A70" s="6" t="s">
        <v>1012</v>
      </c>
      <c r="B70" s="6">
        <v>31.556999999999999</v>
      </c>
      <c r="C70" s="6">
        <v>15.49</v>
      </c>
      <c r="D70" s="6">
        <v>16.625</v>
      </c>
      <c r="E70" s="6">
        <v>15.487</v>
      </c>
      <c r="F70" s="6">
        <v>14.238</v>
      </c>
      <c r="G70" s="6">
        <v>15.593</v>
      </c>
    </row>
    <row r="71" spans="1:7" ht="22.8" x14ac:dyDescent="0.25">
      <c r="A71" s="6" t="s">
        <v>981</v>
      </c>
      <c r="B71" s="6">
        <v>3.1179999999999999</v>
      </c>
      <c r="C71" s="6">
        <v>1.6519999999999999</v>
      </c>
      <c r="D71" s="6">
        <v>1.7949999999999999</v>
      </c>
      <c r="E71" s="6">
        <v>3.3809999999999998</v>
      </c>
      <c r="F71" s="6">
        <v>0.108</v>
      </c>
      <c r="G71" s="6">
        <v>0.36</v>
      </c>
    </row>
    <row r="72" spans="1:7" ht="22.8" x14ac:dyDescent="0.25">
      <c r="A72" s="6" t="s">
        <v>919</v>
      </c>
      <c r="B72" s="6">
        <v>0.32700000000000001</v>
      </c>
      <c r="C72" s="6">
        <v>0.47699999999999998</v>
      </c>
      <c r="D72" s="6">
        <v>0.6</v>
      </c>
      <c r="E72" s="6">
        <v>0.71399999999999997</v>
      </c>
      <c r="F72" s="6">
        <v>0.46899999999999997</v>
      </c>
      <c r="G72" s="6">
        <v>0.67500000000000004</v>
      </c>
    </row>
    <row r="73" spans="1:7" ht="22.8" x14ac:dyDescent="0.25">
      <c r="A73" s="6" t="s">
        <v>1015</v>
      </c>
      <c r="B73" s="6">
        <v>3.5760000000000001</v>
      </c>
      <c r="C73" s="6">
        <v>5.3710000000000004</v>
      </c>
      <c r="D73" s="6">
        <v>5.5449999999999999</v>
      </c>
      <c r="E73" s="6">
        <v>6.5090000000000003</v>
      </c>
      <c r="F73" s="6">
        <v>5.6260000000000003</v>
      </c>
      <c r="G73" s="6">
        <v>6.7060000000000004</v>
      </c>
    </row>
    <row r="74" spans="1:7" ht="22.8" x14ac:dyDescent="0.25">
      <c r="A74" s="6" t="s">
        <v>1016</v>
      </c>
      <c r="B74" s="6">
        <v>0.22500000000000001</v>
      </c>
      <c r="C74" s="6">
        <v>0.44600000000000001</v>
      </c>
      <c r="D74" s="6">
        <v>0.44700000000000001</v>
      </c>
      <c r="E74" s="6">
        <v>0.40200000000000002</v>
      </c>
      <c r="F74" s="6">
        <v>0.39400000000000002</v>
      </c>
      <c r="G74" s="6">
        <v>0.47</v>
      </c>
    </row>
    <row r="75" spans="1:7" x14ac:dyDescent="0.25">
      <c r="A75" s="6" t="s">
        <v>1017</v>
      </c>
      <c r="B75" s="6">
        <v>1.3009999999999999</v>
      </c>
      <c r="C75" s="6">
        <v>0.46600000000000003</v>
      </c>
      <c r="D75" s="6">
        <v>0.42599999999999999</v>
      </c>
      <c r="E75" s="6">
        <v>1.075</v>
      </c>
      <c r="F75" s="6">
        <v>1.075</v>
      </c>
      <c r="G75" s="6">
        <v>1.075</v>
      </c>
    </row>
    <row r="76" spans="1:7" ht="22.8" x14ac:dyDescent="0.25">
      <c r="A76" s="6" t="s">
        <v>1018</v>
      </c>
      <c r="B76" s="6" t="s">
        <v>28</v>
      </c>
      <c r="C76" s="6">
        <v>0.157</v>
      </c>
      <c r="D76" s="6">
        <v>0.32400000000000001</v>
      </c>
      <c r="E76" s="6">
        <v>0.36299999999999999</v>
      </c>
      <c r="F76" s="6" t="s">
        <v>28</v>
      </c>
      <c r="G76" s="6" t="s">
        <v>28</v>
      </c>
    </row>
    <row r="77" spans="1:7" ht="34.200000000000003" x14ac:dyDescent="0.25">
      <c r="A77" s="6" t="s">
        <v>1019</v>
      </c>
      <c r="B77" s="6">
        <v>1.3240000000000001</v>
      </c>
      <c r="C77" s="6">
        <v>1.2330000000000001</v>
      </c>
      <c r="D77" s="6">
        <v>1.224</v>
      </c>
      <c r="E77" s="6">
        <v>1.5589999999999999</v>
      </c>
      <c r="F77" s="6">
        <v>1.544</v>
      </c>
      <c r="G77" s="6">
        <v>1.1080000000000001</v>
      </c>
    </row>
    <row r="78" spans="1:7" ht="34.200000000000003" x14ac:dyDescent="0.25">
      <c r="A78" s="6" t="s">
        <v>1020</v>
      </c>
      <c r="B78" s="6">
        <v>0.82799999999999996</v>
      </c>
      <c r="C78" s="6">
        <v>0.51200000000000001</v>
      </c>
      <c r="D78" s="6">
        <v>0.58699999999999997</v>
      </c>
      <c r="E78" s="6">
        <v>0.64900000000000002</v>
      </c>
      <c r="F78" s="6">
        <v>0.68200000000000005</v>
      </c>
      <c r="G78" s="6">
        <v>0.72299999999999998</v>
      </c>
    </row>
    <row r="79" spans="1:7" ht="34.200000000000003" x14ac:dyDescent="0.25">
      <c r="A79" s="6" t="s">
        <v>1021</v>
      </c>
      <c r="B79" s="6">
        <v>0.72</v>
      </c>
      <c r="C79" s="6">
        <v>0.51100000000000001</v>
      </c>
      <c r="D79" s="6">
        <v>0.51100000000000001</v>
      </c>
      <c r="E79" s="6">
        <v>0.47699999999999998</v>
      </c>
      <c r="F79" s="6">
        <v>0.57399999999999995</v>
      </c>
      <c r="G79" s="6">
        <v>0.71699999999999997</v>
      </c>
    </row>
    <row r="80" spans="1:7" x14ac:dyDescent="0.25">
      <c r="A80" s="6" t="s">
        <v>1022</v>
      </c>
      <c r="B80" s="6">
        <v>0.50800000000000001</v>
      </c>
      <c r="C80" s="6">
        <v>0.314</v>
      </c>
      <c r="D80" s="6">
        <v>0.27700000000000002</v>
      </c>
      <c r="E80" s="6">
        <v>0.44900000000000001</v>
      </c>
      <c r="F80" s="6">
        <v>0.221</v>
      </c>
      <c r="G80" s="6">
        <v>0.38400000000000001</v>
      </c>
    </row>
    <row r="81" spans="1:7" ht="34.200000000000003" x14ac:dyDescent="0.25">
      <c r="A81" s="6" t="s">
        <v>1023</v>
      </c>
      <c r="B81" s="6">
        <v>0.185</v>
      </c>
      <c r="C81" s="6" t="s">
        <v>28</v>
      </c>
      <c r="D81" s="6">
        <v>0.158</v>
      </c>
      <c r="E81" s="6" t="s">
        <v>28</v>
      </c>
      <c r="F81" s="6" t="s">
        <v>28</v>
      </c>
      <c r="G81" s="6" t="s">
        <v>28</v>
      </c>
    </row>
    <row r="82" spans="1:7" ht="57" x14ac:dyDescent="0.25">
      <c r="A82" s="6" t="s">
        <v>1024</v>
      </c>
      <c r="B82" s="6">
        <v>0.63400000000000001</v>
      </c>
      <c r="C82" s="6">
        <v>1.556</v>
      </c>
      <c r="D82" s="6">
        <v>1.597</v>
      </c>
      <c r="E82" s="6">
        <v>1.3420000000000001</v>
      </c>
      <c r="F82" s="6">
        <v>1.446</v>
      </c>
      <c r="G82" s="6">
        <v>1.925</v>
      </c>
    </row>
    <row r="83" spans="1:7" ht="45.6" x14ac:dyDescent="0.25">
      <c r="A83" s="6" t="s">
        <v>1025</v>
      </c>
      <c r="B83" s="6">
        <v>5.0000000000000001E-3</v>
      </c>
      <c r="C83" s="6">
        <v>0.63900000000000001</v>
      </c>
      <c r="D83" s="6">
        <v>0.72799999999999998</v>
      </c>
      <c r="E83" s="6">
        <v>0.64800000000000002</v>
      </c>
      <c r="F83" s="6">
        <v>0.77700000000000002</v>
      </c>
      <c r="G83" s="6">
        <v>0.83699999999999997</v>
      </c>
    </row>
    <row r="84" spans="1:7" ht="34.200000000000003" x14ac:dyDescent="0.25">
      <c r="A84" s="6" t="s">
        <v>1026</v>
      </c>
      <c r="B84" s="6">
        <v>1.9330000000000001</v>
      </c>
      <c r="C84" s="6">
        <v>2.7810000000000001</v>
      </c>
      <c r="D84" s="6">
        <v>3.1179999999999999</v>
      </c>
      <c r="E84" s="6">
        <v>2.7589999999999999</v>
      </c>
      <c r="F84" s="6">
        <v>2.782</v>
      </c>
      <c r="G84" s="6">
        <v>3.6259999999999999</v>
      </c>
    </row>
    <row r="85" spans="1:7" ht="22.8" x14ac:dyDescent="0.25">
      <c r="A85" s="6" t="s">
        <v>1027</v>
      </c>
      <c r="B85" s="6">
        <v>7.76</v>
      </c>
      <c r="C85" s="6">
        <v>15.257999999999999</v>
      </c>
      <c r="D85" s="6">
        <v>21.190999999999999</v>
      </c>
      <c r="E85" s="6">
        <v>11.021000000000001</v>
      </c>
      <c r="F85" s="6">
        <v>12.849</v>
      </c>
      <c r="G85" s="6">
        <v>25.986999999999998</v>
      </c>
    </row>
    <row r="86" spans="1:7" ht="22.8" x14ac:dyDescent="0.25">
      <c r="A86" s="6" t="s">
        <v>1028</v>
      </c>
      <c r="B86" s="6">
        <v>1.9330000000000001</v>
      </c>
      <c r="C86" s="6">
        <v>2.7829999999999999</v>
      </c>
      <c r="D86" s="6">
        <v>3.1179999999999999</v>
      </c>
      <c r="E86" s="6">
        <v>2.7589999999999999</v>
      </c>
      <c r="F86" s="6">
        <v>3.1579999999999999</v>
      </c>
      <c r="G86" s="6">
        <v>3.98</v>
      </c>
    </row>
    <row r="87" spans="1:7" ht="22.8" x14ac:dyDescent="0.25">
      <c r="A87" s="6" t="s">
        <v>1029</v>
      </c>
      <c r="B87" s="6">
        <v>4.7610000000000001</v>
      </c>
      <c r="C87" s="6">
        <v>3.8079999999999998</v>
      </c>
      <c r="D87" s="6">
        <v>3.681</v>
      </c>
      <c r="E87" s="6">
        <v>4.29</v>
      </c>
      <c r="F87" s="6">
        <v>4.2220000000000004</v>
      </c>
      <c r="G87" s="6">
        <v>4.6379999999999999</v>
      </c>
    </row>
    <row r="88" spans="1:7" ht="22.8" x14ac:dyDescent="0.25">
      <c r="A88" s="6" t="s">
        <v>1030</v>
      </c>
      <c r="B88" s="6">
        <v>1.048</v>
      </c>
      <c r="C88" s="6">
        <v>4.01</v>
      </c>
      <c r="D88" s="6">
        <v>2.8519999999999999</v>
      </c>
      <c r="E88" s="6" t="s">
        <v>28</v>
      </c>
      <c r="F88" s="6">
        <v>0.65</v>
      </c>
      <c r="G88" s="6">
        <v>3.1619999999999999</v>
      </c>
    </row>
    <row r="89" spans="1:7" ht="22.8" x14ac:dyDescent="0.25">
      <c r="A89" s="6" t="s">
        <v>716</v>
      </c>
      <c r="B89" s="6">
        <v>1.8580000000000001</v>
      </c>
      <c r="C89" s="6">
        <v>2.831</v>
      </c>
      <c r="D89" s="6">
        <v>2.4169999999999998</v>
      </c>
      <c r="E89" s="6">
        <v>2.38</v>
      </c>
      <c r="F89" s="6">
        <v>2.419</v>
      </c>
      <c r="G89" s="6">
        <v>2.5659999999999998</v>
      </c>
    </row>
    <row r="90" spans="1:7" ht="22.8" x14ac:dyDescent="0.25">
      <c r="A90" s="6" t="s">
        <v>1031</v>
      </c>
      <c r="B90" s="6">
        <v>72.064999999999998</v>
      </c>
      <c r="C90" s="6">
        <v>141.94900000000001</v>
      </c>
      <c r="D90" s="6">
        <v>111.35</v>
      </c>
      <c r="E90" s="6">
        <v>103.087</v>
      </c>
      <c r="F90" s="6">
        <v>102.015</v>
      </c>
      <c r="G90" s="6">
        <v>120.08799999999999</v>
      </c>
    </row>
    <row r="91" spans="1:7" ht="22.8" x14ac:dyDescent="0.25">
      <c r="A91" s="6" t="s">
        <v>1032</v>
      </c>
      <c r="B91" s="6">
        <v>5.54</v>
      </c>
      <c r="C91" s="6">
        <v>8.1839999999999993</v>
      </c>
      <c r="D91" s="6">
        <v>7.8179999999999996</v>
      </c>
      <c r="E91" s="6">
        <v>5.6440000000000001</v>
      </c>
      <c r="F91" s="6">
        <v>6.423</v>
      </c>
      <c r="G91" s="6">
        <v>9.7579999999999991</v>
      </c>
    </row>
    <row r="92" spans="1:7" ht="22.8" x14ac:dyDescent="0.25">
      <c r="A92" s="6" t="s">
        <v>1033</v>
      </c>
      <c r="B92" s="6">
        <v>7.76</v>
      </c>
      <c r="C92" s="6">
        <v>15.257999999999999</v>
      </c>
      <c r="D92" s="6">
        <v>21.190999999999999</v>
      </c>
      <c r="E92" s="6">
        <v>12.086</v>
      </c>
      <c r="F92" s="6">
        <v>14.749000000000001</v>
      </c>
      <c r="G92" s="6">
        <v>27.998000000000001</v>
      </c>
    </row>
    <row r="93" spans="1:7" ht="22.8" x14ac:dyDescent="0.25">
      <c r="A93" s="6" t="s">
        <v>1027</v>
      </c>
      <c r="B93" s="6" t="s">
        <v>28</v>
      </c>
      <c r="C93" s="6">
        <v>0.14499999999999999</v>
      </c>
      <c r="D93" s="6" t="s">
        <v>28</v>
      </c>
      <c r="E93" s="6">
        <v>0.17599999999999999</v>
      </c>
      <c r="F93" s="6">
        <v>0.23899999999999999</v>
      </c>
      <c r="G93" s="6">
        <v>5.8999999999999997E-2</v>
      </c>
    </row>
    <row r="94" spans="1:7" ht="45.6" x14ac:dyDescent="0.25">
      <c r="A94" s="6" t="s">
        <v>1034</v>
      </c>
      <c r="B94" s="6">
        <v>3.5999999999999997E-2</v>
      </c>
      <c r="C94" s="6">
        <v>7.1999999999999995E-2</v>
      </c>
      <c r="D94" s="6">
        <v>0.189</v>
      </c>
      <c r="E94" s="6">
        <v>0.13400000000000001</v>
      </c>
      <c r="F94" s="6" t="s">
        <v>28</v>
      </c>
      <c r="G94" s="6" t="s">
        <v>28</v>
      </c>
    </row>
    <row r="95" spans="1:7" ht="34.200000000000003" x14ac:dyDescent="0.25">
      <c r="A95" s="6" t="s">
        <v>1035</v>
      </c>
      <c r="B95" s="6">
        <v>0.47899999999999998</v>
      </c>
      <c r="C95" s="6">
        <v>0.442</v>
      </c>
      <c r="D95" s="6">
        <v>0.124</v>
      </c>
      <c r="E95" s="6">
        <v>0.47799999999999998</v>
      </c>
      <c r="F95" s="6">
        <v>0.44400000000000001</v>
      </c>
      <c r="G95" s="6">
        <v>0.44500000000000001</v>
      </c>
    </row>
    <row r="96" spans="1:7" ht="34.200000000000003" x14ac:dyDescent="0.25">
      <c r="A96" s="6" t="s">
        <v>1036</v>
      </c>
      <c r="B96" s="6">
        <v>0.47399999999999998</v>
      </c>
      <c r="C96" s="6">
        <v>1.1479999999999999</v>
      </c>
      <c r="D96" s="6">
        <v>1.262</v>
      </c>
      <c r="E96" s="6">
        <v>1.5549999999999999</v>
      </c>
      <c r="F96" s="6">
        <v>1.323</v>
      </c>
      <c r="G96" s="6">
        <v>1.4970000000000001</v>
      </c>
    </row>
    <row r="97" spans="1:7" ht="34.200000000000003" x14ac:dyDescent="0.25">
      <c r="A97" s="6" t="s">
        <v>1037</v>
      </c>
      <c r="B97" s="6" t="s">
        <v>28</v>
      </c>
      <c r="C97" s="6">
        <v>0.52400000000000002</v>
      </c>
      <c r="D97" s="6">
        <v>0.53400000000000003</v>
      </c>
      <c r="E97" s="6">
        <v>1.504</v>
      </c>
      <c r="F97" s="6">
        <v>1.504</v>
      </c>
      <c r="G97" s="6">
        <v>1.504</v>
      </c>
    </row>
    <row r="98" spans="1:7" ht="45.6" x14ac:dyDescent="0.25">
      <c r="A98" s="6" t="s">
        <v>1038</v>
      </c>
      <c r="B98" s="6" t="s">
        <v>28</v>
      </c>
      <c r="C98" s="6">
        <v>7.0000000000000007E-2</v>
      </c>
      <c r="D98" s="6">
        <v>0.23200000000000001</v>
      </c>
      <c r="E98" s="6">
        <v>0.26300000000000001</v>
      </c>
      <c r="F98" s="6">
        <v>7.3999999999999996E-2</v>
      </c>
      <c r="G98" s="6">
        <v>0.11</v>
      </c>
    </row>
    <row r="99" spans="1:7" ht="45.6" x14ac:dyDescent="0.25">
      <c r="A99" s="6" t="s">
        <v>1039</v>
      </c>
      <c r="B99" s="6" t="s">
        <v>28</v>
      </c>
      <c r="C99" s="6">
        <v>0.09</v>
      </c>
      <c r="D99" s="6">
        <v>0.17399999999999999</v>
      </c>
      <c r="E99" s="6">
        <v>0.158</v>
      </c>
      <c r="F99" s="6">
        <v>0.23799999999999999</v>
      </c>
      <c r="G99" s="6">
        <v>0.36299999999999999</v>
      </c>
    </row>
    <row r="100" spans="1:7" ht="45.6" x14ac:dyDescent="0.25">
      <c r="A100" s="6" t="s">
        <v>1040</v>
      </c>
      <c r="B100" s="6" t="s">
        <v>28</v>
      </c>
      <c r="C100" s="6">
        <v>0.39300000000000002</v>
      </c>
      <c r="D100" s="6" t="s">
        <v>28</v>
      </c>
      <c r="E100" s="6" t="s">
        <v>28</v>
      </c>
      <c r="F100" s="6" t="s">
        <v>28</v>
      </c>
      <c r="G100" s="6" t="s">
        <v>28</v>
      </c>
    </row>
    <row r="101" spans="1:7" ht="22.8" x14ac:dyDescent="0.25">
      <c r="A101" s="6" t="s">
        <v>1041</v>
      </c>
      <c r="B101" s="6">
        <v>0.60499999999999998</v>
      </c>
      <c r="C101" s="6">
        <v>0.432</v>
      </c>
      <c r="D101" s="6">
        <v>0.33300000000000002</v>
      </c>
      <c r="E101" s="6">
        <v>0.36399999999999999</v>
      </c>
      <c r="F101" s="6">
        <v>0.26300000000000001</v>
      </c>
      <c r="G101" s="6">
        <v>1.1439999999999999</v>
      </c>
    </row>
    <row r="102" spans="1:7" ht="34.200000000000003" x14ac:dyDescent="0.25">
      <c r="A102" s="6" t="s">
        <v>1042</v>
      </c>
      <c r="B102" s="6">
        <v>5.516</v>
      </c>
      <c r="C102" s="6">
        <v>6.4359999999999999</v>
      </c>
      <c r="D102" s="6">
        <v>7.46</v>
      </c>
      <c r="E102" s="6">
        <v>6.4989999999999997</v>
      </c>
      <c r="F102" s="6">
        <v>8.1780000000000008</v>
      </c>
      <c r="G102" s="6">
        <v>7.74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5F662-2E3A-450B-81F1-136E1E6EBB38}">
  <dimension ref="A1:K34"/>
  <sheetViews>
    <sheetView workbookViewId="0">
      <selection activeCell="P14" sqref="P14"/>
    </sheetView>
  </sheetViews>
  <sheetFormatPr defaultRowHeight="13.8" x14ac:dyDescent="0.25"/>
  <sheetData>
    <row r="1" spans="1:11" ht="34.200000000000003" x14ac:dyDescent="0.25">
      <c r="A1" s="6" t="s">
        <v>1043</v>
      </c>
      <c r="B1" s="6" t="s">
        <v>1044</v>
      </c>
      <c r="C1" s="6" t="s">
        <v>1045</v>
      </c>
      <c r="D1" s="6" t="s">
        <v>1046</v>
      </c>
      <c r="E1" s="6" t="s">
        <v>1047</v>
      </c>
      <c r="F1" s="6" t="s">
        <v>1048</v>
      </c>
      <c r="G1" s="6" t="s">
        <v>1049</v>
      </c>
      <c r="H1" s="6" t="s">
        <v>1050</v>
      </c>
      <c r="I1" s="6" t="s">
        <v>1051</v>
      </c>
      <c r="J1" s="6" t="s">
        <v>1052</v>
      </c>
      <c r="K1" s="6" t="s">
        <v>1053</v>
      </c>
    </row>
    <row r="2" spans="1:11" ht="22.8" x14ac:dyDescent="0.25">
      <c r="A2" s="6" t="s">
        <v>1054</v>
      </c>
      <c r="B2" s="6" t="s">
        <v>1055</v>
      </c>
      <c r="C2" s="6">
        <v>54</v>
      </c>
      <c r="D2" s="6">
        <v>2.23</v>
      </c>
      <c r="E2" s="6">
        <v>2.68</v>
      </c>
      <c r="F2" s="6">
        <v>3.7</v>
      </c>
      <c r="G2" s="6">
        <v>3.18</v>
      </c>
      <c r="H2" s="6">
        <v>2.81</v>
      </c>
      <c r="I2" s="6">
        <v>3.93</v>
      </c>
      <c r="J2" s="6">
        <v>3.58</v>
      </c>
      <c r="K2" s="6">
        <v>3.59</v>
      </c>
    </row>
    <row r="3" spans="1:11" ht="22.8" x14ac:dyDescent="0.25">
      <c r="A3" s="6" t="s">
        <v>1056</v>
      </c>
      <c r="B3" s="6" t="s">
        <v>394</v>
      </c>
      <c r="C3" s="6">
        <v>40</v>
      </c>
      <c r="D3" s="6">
        <v>4.55</v>
      </c>
      <c r="E3" s="6">
        <v>2.25</v>
      </c>
      <c r="F3" s="6">
        <v>1.85</v>
      </c>
      <c r="G3" s="6">
        <v>1.69</v>
      </c>
      <c r="H3" s="6">
        <v>1.71</v>
      </c>
      <c r="I3" s="6">
        <v>1.9</v>
      </c>
      <c r="J3" s="6">
        <v>1.9</v>
      </c>
      <c r="K3" s="6">
        <v>2</v>
      </c>
    </row>
    <row r="4" spans="1:11" ht="22.8" x14ac:dyDescent="0.25">
      <c r="A4" s="6" t="s">
        <v>1057</v>
      </c>
      <c r="B4" s="6" t="s">
        <v>25</v>
      </c>
      <c r="C4" s="6">
        <v>2.73</v>
      </c>
      <c r="D4" s="6">
        <v>61.16</v>
      </c>
      <c r="E4" s="6">
        <v>58.73</v>
      </c>
      <c r="F4" s="6">
        <v>50.1</v>
      </c>
      <c r="G4" s="6">
        <v>55.16</v>
      </c>
      <c r="H4" s="6">
        <v>53.12</v>
      </c>
      <c r="I4" s="6">
        <v>37.93</v>
      </c>
      <c r="J4" s="6">
        <v>42.16</v>
      </c>
      <c r="K4" s="6">
        <v>14.66</v>
      </c>
    </row>
    <row r="5" spans="1:11" ht="45.6" x14ac:dyDescent="0.25">
      <c r="A5" s="6" t="s">
        <v>1058</v>
      </c>
      <c r="B5" s="6" t="s">
        <v>54</v>
      </c>
      <c r="C5" s="6">
        <v>179</v>
      </c>
      <c r="D5" s="6">
        <v>1.31</v>
      </c>
      <c r="E5" s="6">
        <v>2.36</v>
      </c>
      <c r="F5" s="6">
        <v>1.82</v>
      </c>
      <c r="G5" s="6">
        <v>1.28</v>
      </c>
      <c r="H5" s="6">
        <v>1.27</v>
      </c>
      <c r="I5" s="6">
        <v>2.27</v>
      </c>
      <c r="J5" s="6">
        <v>2.0299999999999998</v>
      </c>
      <c r="K5" s="6">
        <v>1.39</v>
      </c>
    </row>
    <row r="6" spans="1:11" ht="22.8" x14ac:dyDescent="0.25">
      <c r="A6" s="6" t="s">
        <v>1059</v>
      </c>
      <c r="B6" s="6" t="s">
        <v>1060</v>
      </c>
      <c r="C6" s="6">
        <v>5.37</v>
      </c>
      <c r="D6" s="6">
        <v>11.67</v>
      </c>
      <c r="E6" s="6">
        <v>4.3499999999999996</v>
      </c>
      <c r="F6" s="6">
        <v>6.85</v>
      </c>
      <c r="G6" s="6">
        <v>9.08</v>
      </c>
      <c r="H6" s="6">
        <v>10.38</v>
      </c>
      <c r="I6" s="6">
        <v>8.27</v>
      </c>
      <c r="J6" s="6">
        <v>9.75</v>
      </c>
      <c r="K6" s="6">
        <v>11.58</v>
      </c>
    </row>
    <row r="7" spans="1:11" x14ac:dyDescent="0.25">
      <c r="A7" s="6" t="s">
        <v>1061</v>
      </c>
      <c r="B7" s="6" t="s">
        <v>1062</v>
      </c>
      <c r="C7" s="6">
        <v>0.122</v>
      </c>
      <c r="D7" s="6">
        <v>58.48</v>
      </c>
      <c r="E7" s="6">
        <v>30.78</v>
      </c>
      <c r="F7" s="6">
        <v>70.5</v>
      </c>
      <c r="G7" s="6">
        <v>73.709999999999994</v>
      </c>
      <c r="H7" s="6">
        <v>72.58</v>
      </c>
      <c r="I7" s="6">
        <v>44.03</v>
      </c>
      <c r="J7" s="6">
        <v>53.94</v>
      </c>
      <c r="K7" s="6">
        <v>56.02</v>
      </c>
    </row>
    <row r="8" spans="1:11" ht="34.200000000000003" x14ac:dyDescent="0.25">
      <c r="A8" s="6" t="s">
        <v>1063</v>
      </c>
      <c r="B8" s="6" t="s">
        <v>39</v>
      </c>
      <c r="C8" s="6">
        <v>262</v>
      </c>
      <c r="D8" s="6">
        <v>3.28</v>
      </c>
      <c r="E8" s="6">
        <v>2.02</v>
      </c>
      <c r="F8" s="6">
        <v>7.28</v>
      </c>
      <c r="G8" s="6">
        <v>8.84</v>
      </c>
      <c r="H8" s="6">
        <v>5.57</v>
      </c>
      <c r="I8" s="6">
        <v>9.01</v>
      </c>
      <c r="J8" s="6">
        <v>7.25</v>
      </c>
      <c r="K8" s="6">
        <v>2.5</v>
      </c>
    </row>
    <row r="9" spans="1:11" x14ac:dyDescent="0.25">
      <c r="A9" s="6" t="s">
        <v>1064</v>
      </c>
      <c r="B9" s="6" t="s">
        <v>1065</v>
      </c>
      <c r="C9" s="6">
        <v>122</v>
      </c>
      <c r="D9" s="6">
        <v>1.25</v>
      </c>
      <c r="E9" s="6">
        <v>1.42</v>
      </c>
      <c r="F9" s="6">
        <v>1.17</v>
      </c>
      <c r="G9" s="6">
        <v>1.1299999999999999</v>
      </c>
      <c r="H9" s="6">
        <v>1.1399999999999999</v>
      </c>
      <c r="I9" s="6">
        <v>1.75</v>
      </c>
      <c r="J9" s="6">
        <v>1.1100000000000001</v>
      </c>
      <c r="K9" s="6">
        <v>2.84</v>
      </c>
    </row>
    <row r="10" spans="1:11" ht="22.8" x14ac:dyDescent="0.25">
      <c r="A10" s="6" t="s">
        <v>1066</v>
      </c>
      <c r="B10" s="6" t="s">
        <v>1067</v>
      </c>
      <c r="C10" s="6">
        <v>51</v>
      </c>
      <c r="D10" s="6">
        <v>1.35</v>
      </c>
      <c r="E10" s="6">
        <v>1.06</v>
      </c>
      <c r="F10" s="6" t="s">
        <v>1068</v>
      </c>
      <c r="G10" s="6" t="s">
        <v>1068</v>
      </c>
      <c r="H10" s="6" t="s">
        <v>1068</v>
      </c>
      <c r="I10" s="6" t="s">
        <v>1068</v>
      </c>
      <c r="J10" s="6" t="s">
        <v>1068</v>
      </c>
      <c r="K10" s="6" t="s">
        <v>1068</v>
      </c>
    </row>
    <row r="11" spans="1:11" ht="22.8" x14ac:dyDescent="0.25">
      <c r="A11" s="6" t="s">
        <v>1069</v>
      </c>
      <c r="B11" s="6" t="s">
        <v>23</v>
      </c>
      <c r="C11" s="6">
        <v>32.6</v>
      </c>
      <c r="D11" s="6">
        <v>14.97</v>
      </c>
      <c r="E11" s="6">
        <v>39.03</v>
      </c>
      <c r="F11" s="6">
        <v>45.29</v>
      </c>
      <c r="G11" s="6">
        <v>44.45</v>
      </c>
      <c r="H11" s="6">
        <v>51.47</v>
      </c>
      <c r="I11" s="6">
        <v>49.55</v>
      </c>
      <c r="J11" s="6">
        <v>51.1</v>
      </c>
      <c r="K11" s="6">
        <v>45.89</v>
      </c>
    </row>
    <row r="12" spans="1:11" ht="22.8" x14ac:dyDescent="0.25">
      <c r="A12" s="6" t="s">
        <v>1070</v>
      </c>
      <c r="B12" s="6" t="s">
        <v>1071</v>
      </c>
      <c r="C12" s="6">
        <v>8.1500000000000003E-2</v>
      </c>
      <c r="D12" s="6">
        <v>3350.59</v>
      </c>
      <c r="E12" s="6">
        <v>3941.74</v>
      </c>
      <c r="F12" s="6">
        <v>4421.5</v>
      </c>
      <c r="G12" s="6">
        <v>4543.07</v>
      </c>
      <c r="H12" s="6">
        <v>4762.3100000000004</v>
      </c>
      <c r="I12" s="6">
        <v>4576.04</v>
      </c>
      <c r="J12" s="6">
        <v>4871.55</v>
      </c>
      <c r="K12" s="6">
        <v>3835.23</v>
      </c>
    </row>
    <row r="13" spans="1:11" ht="22.8" x14ac:dyDescent="0.25">
      <c r="A13" s="6" t="s">
        <v>1072</v>
      </c>
      <c r="B13" s="6" t="s">
        <v>121</v>
      </c>
      <c r="C13" s="6">
        <v>128</v>
      </c>
      <c r="D13" s="6">
        <v>5.93</v>
      </c>
      <c r="E13" s="6">
        <v>7.17</v>
      </c>
      <c r="F13" s="6">
        <v>10.1</v>
      </c>
      <c r="G13" s="6">
        <v>6.75</v>
      </c>
      <c r="H13" s="6">
        <v>8.2799999999999994</v>
      </c>
      <c r="I13" s="6">
        <v>7.42</v>
      </c>
      <c r="J13" s="6">
        <v>9.76</v>
      </c>
      <c r="K13" s="6">
        <v>5.73</v>
      </c>
    </row>
    <row r="14" spans="1:11" ht="34.200000000000003" x14ac:dyDescent="0.25">
      <c r="A14" s="6" t="s">
        <v>1073</v>
      </c>
      <c r="B14" s="6" t="s">
        <v>18</v>
      </c>
      <c r="C14" s="6">
        <v>7.0000000000000001E-3</v>
      </c>
      <c r="D14" s="6">
        <v>475.71</v>
      </c>
      <c r="E14" s="6">
        <v>408.57</v>
      </c>
      <c r="F14" s="6">
        <v>204.29</v>
      </c>
      <c r="G14" s="6">
        <v>215.71</v>
      </c>
      <c r="H14" s="6">
        <v>295.70999999999998</v>
      </c>
      <c r="I14" s="6">
        <v>442.86</v>
      </c>
      <c r="J14" s="6">
        <v>267.14</v>
      </c>
      <c r="K14" s="6">
        <v>384.29</v>
      </c>
    </row>
    <row r="15" spans="1:11" ht="34.200000000000003" x14ac:dyDescent="0.25">
      <c r="A15" s="6" t="s">
        <v>1074</v>
      </c>
      <c r="B15" s="6" t="s">
        <v>10</v>
      </c>
      <c r="C15" s="6">
        <v>2.7E-2</v>
      </c>
      <c r="D15" s="6">
        <v>2596.5</v>
      </c>
      <c r="E15" s="6">
        <v>1976.98</v>
      </c>
      <c r="F15" s="6">
        <v>2683.99</v>
      </c>
      <c r="G15" s="6">
        <v>2983.81</v>
      </c>
      <c r="H15" s="6">
        <v>3394.03</v>
      </c>
      <c r="I15" s="6">
        <v>4665.72</v>
      </c>
      <c r="J15" s="6">
        <v>4015.88</v>
      </c>
      <c r="K15" s="6">
        <v>6044.19</v>
      </c>
    </row>
    <row r="16" spans="1:11" ht="34.200000000000003" x14ac:dyDescent="0.25">
      <c r="A16" s="6" t="s">
        <v>1075</v>
      </c>
      <c r="B16" s="6" t="s">
        <v>1076</v>
      </c>
      <c r="C16" s="6">
        <v>389</v>
      </c>
      <c r="D16" s="6">
        <v>1.71</v>
      </c>
      <c r="E16" s="6" t="s">
        <v>1068</v>
      </c>
      <c r="F16" s="6" t="s">
        <v>1068</v>
      </c>
      <c r="G16" s="6" t="s">
        <v>1068</v>
      </c>
      <c r="H16" s="6">
        <v>1.47</v>
      </c>
      <c r="I16" s="6">
        <v>2.62</v>
      </c>
      <c r="J16" s="6">
        <v>1.46</v>
      </c>
      <c r="K16" s="6">
        <v>2.8</v>
      </c>
    </row>
    <row r="17" spans="1:11" ht="34.200000000000003" x14ac:dyDescent="0.25">
      <c r="A17" s="6" t="s">
        <v>1077</v>
      </c>
      <c r="B17" s="6" t="s">
        <v>7</v>
      </c>
      <c r="C17" s="6">
        <v>5.5E-2</v>
      </c>
      <c r="D17" s="6">
        <v>45299.64</v>
      </c>
      <c r="E17" s="6">
        <v>31626.18</v>
      </c>
      <c r="F17" s="6">
        <v>52218.36</v>
      </c>
      <c r="G17" s="6">
        <v>39842.36</v>
      </c>
      <c r="H17" s="6">
        <v>43102.73</v>
      </c>
      <c r="I17" s="6">
        <v>53428.73</v>
      </c>
      <c r="J17" s="6">
        <v>49287.27</v>
      </c>
      <c r="K17" s="6">
        <v>60285.27</v>
      </c>
    </row>
    <row r="18" spans="1:11" ht="22.8" x14ac:dyDescent="0.25">
      <c r="A18" s="6" t="s">
        <v>1078</v>
      </c>
      <c r="B18" s="6" t="s">
        <v>1079</v>
      </c>
      <c r="C18" s="6">
        <v>5560</v>
      </c>
      <c r="D18" s="6" t="s">
        <v>1068</v>
      </c>
      <c r="E18" s="6" t="s">
        <v>1068</v>
      </c>
      <c r="F18" s="6" t="s">
        <v>1068</v>
      </c>
      <c r="G18" s="6" t="s">
        <v>1068</v>
      </c>
      <c r="H18" s="6" t="s">
        <v>1068</v>
      </c>
      <c r="I18" s="6" t="s">
        <v>1068</v>
      </c>
      <c r="J18" s="6" t="s">
        <v>1068</v>
      </c>
      <c r="K18" s="6">
        <v>1.8</v>
      </c>
    </row>
    <row r="19" spans="1:11" ht="22.8" x14ac:dyDescent="0.25">
      <c r="A19" s="6" t="s">
        <v>1080</v>
      </c>
      <c r="B19" s="6" t="s">
        <v>1081</v>
      </c>
      <c r="C19" s="6">
        <v>20</v>
      </c>
      <c r="D19" s="6">
        <v>25.69</v>
      </c>
      <c r="E19" s="6">
        <v>16.82</v>
      </c>
      <c r="F19" s="6">
        <v>8.59</v>
      </c>
      <c r="G19" s="6">
        <v>8.1300000000000008</v>
      </c>
      <c r="H19" s="6">
        <v>9.27</v>
      </c>
      <c r="I19" s="6">
        <v>15.56</v>
      </c>
      <c r="J19" s="6">
        <v>8.5299999999999994</v>
      </c>
      <c r="K19" s="6">
        <v>24.58</v>
      </c>
    </row>
    <row r="20" spans="1:11" ht="34.200000000000003" x14ac:dyDescent="0.25">
      <c r="A20" s="6" t="s">
        <v>1082</v>
      </c>
      <c r="B20" s="6" t="s">
        <v>53</v>
      </c>
      <c r="C20" s="6">
        <v>12800</v>
      </c>
      <c r="D20" s="6" t="s">
        <v>1068</v>
      </c>
      <c r="E20" s="6" t="s">
        <v>1068</v>
      </c>
      <c r="F20" s="6" t="s">
        <v>1068</v>
      </c>
      <c r="G20" s="6" t="s">
        <v>1068</v>
      </c>
      <c r="H20" s="6" t="s">
        <v>1068</v>
      </c>
      <c r="I20" s="6" t="s">
        <v>1068</v>
      </c>
      <c r="J20" s="6" t="s">
        <v>1068</v>
      </c>
      <c r="K20" s="6">
        <v>1.01</v>
      </c>
    </row>
    <row r="21" spans="1:11" ht="34.200000000000003" x14ac:dyDescent="0.25">
      <c r="A21" s="6" t="s">
        <v>1083</v>
      </c>
      <c r="B21" s="6" t="s">
        <v>42</v>
      </c>
      <c r="C21" s="6">
        <v>13.2</v>
      </c>
      <c r="D21" s="6">
        <v>5.84</v>
      </c>
      <c r="E21" s="6">
        <v>2.84</v>
      </c>
      <c r="F21" s="6">
        <v>3.91</v>
      </c>
      <c r="G21" s="6">
        <v>3.11</v>
      </c>
      <c r="H21" s="6">
        <v>2.82</v>
      </c>
      <c r="I21" s="6">
        <v>5.43</v>
      </c>
      <c r="J21" s="6">
        <v>2.98</v>
      </c>
      <c r="K21" s="6">
        <v>9.5</v>
      </c>
    </row>
    <row r="22" spans="1:11" ht="34.200000000000003" x14ac:dyDescent="0.25">
      <c r="A22" s="6" t="s">
        <v>1084</v>
      </c>
      <c r="B22" s="6" t="s">
        <v>212</v>
      </c>
      <c r="C22" s="6">
        <v>5.25</v>
      </c>
      <c r="D22" s="6">
        <v>2.06</v>
      </c>
      <c r="E22" s="6" t="s">
        <v>1068</v>
      </c>
      <c r="F22" s="6">
        <v>1.34</v>
      </c>
      <c r="G22" s="6" t="s">
        <v>1068</v>
      </c>
      <c r="H22" s="6" t="s">
        <v>1068</v>
      </c>
      <c r="I22" s="6">
        <v>1.24</v>
      </c>
      <c r="J22" s="6" t="s">
        <v>1068</v>
      </c>
      <c r="K22" s="6">
        <v>3</v>
      </c>
    </row>
    <row r="23" spans="1:11" ht="34.200000000000003" x14ac:dyDescent="0.25">
      <c r="A23" s="6" t="s">
        <v>1085</v>
      </c>
      <c r="B23" s="6" t="s">
        <v>11</v>
      </c>
      <c r="C23" s="6">
        <v>1.2999999999999999E-2</v>
      </c>
      <c r="D23" s="6">
        <v>5068.62</v>
      </c>
      <c r="E23" s="6">
        <v>3823.64</v>
      </c>
      <c r="F23" s="6">
        <v>3592.74</v>
      </c>
      <c r="G23" s="6">
        <v>2089.94</v>
      </c>
      <c r="H23" s="6">
        <v>1805.01</v>
      </c>
      <c r="I23" s="6">
        <v>2280.2800000000002</v>
      </c>
      <c r="J23" s="6">
        <v>1955.27</v>
      </c>
      <c r="K23" s="6">
        <v>2819.95</v>
      </c>
    </row>
    <row r="24" spans="1:11" ht="34.200000000000003" x14ac:dyDescent="0.25">
      <c r="A24" s="6" t="s">
        <v>1086</v>
      </c>
      <c r="B24" s="6" t="s">
        <v>57</v>
      </c>
      <c r="C24" s="6">
        <v>407</v>
      </c>
      <c r="D24" s="6">
        <v>1.38</v>
      </c>
      <c r="E24" s="6" t="s">
        <v>1068</v>
      </c>
      <c r="F24" s="6">
        <v>4.5599999999999996</v>
      </c>
      <c r="G24" s="6">
        <v>6</v>
      </c>
      <c r="H24" s="6">
        <v>5.27</v>
      </c>
      <c r="I24" s="6">
        <v>4.67</v>
      </c>
      <c r="J24" s="6">
        <v>5.82</v>
      </c>
      <c r="K24" s="6">
        <v>1.45</v>
      </c>
    </row>
    <row r="25" spans="1:11" ht="34.200000000000003" x14ac:dyDescent="0.25">
      <c r="A25" s="6" t="s">
        <v>1087</v>
      </c>
      <c r="B25" s="6" t="s">
        <v>1088</v>
      </c>
      <c r="C25" s="6">
        <v>1400</v>
      </c>
      <c r="D25" s="6">
        <v>4.33</v>
      </c>
      <c r="E25" s="6">
        <v>2.41</v>
      </c>
      <c r="F25" s="6">
        <v>1.78</v>
      </c>
      <c r="G25" s="6" t="s">
        <v>1068</v>
      </c>
      <c r="H25" s="6" t="s">
        <v>1068</v>
      </c>
      <c r="I25" s="6">
        <v>1.32</v>
      </c>
      <c r="J25" s="6" t="s">
        <v>1068</v>
      </c>
      <c r="K25" s="6">
        <v>2.5</v>
      </c>
    </row>
    <row r="26" spans="1:11" ht="34.200000000000003" x14ac:dyDescent="0.25">
      <c r="A26" s="6" t="s">
        <v>1089</v>
      </c>
      <c r="B26" s="6" t="s">
        <v>35</v>
      </c>
      <c r="C26" s="6">
        <v>125</v>
      </c>
      <c r="D26" s="6">
        <v>10.69</v>
      </c>
      <c r="E26" s="6">
        <v>7.88</v>
      </c>
      <c r="F26" s="6">
        <v>4.53</v>
      </c>
      <c r="G26" s="6">
        <v>3.94</v>
      </c>
      <c r="H26" s="6">
        <v>4.3</v>
      </c>
      <c r="I26" s="6">
        <v>4.29</v>
      </c>
      <c r="J26" s="6">
        <v>4.8899999999999997</v>
      </c>
      <c r="K26" s="6">
        <v>1.79</v>
      </c>
    </row>
    <row r="27" spans="1:11" ht="34.200000000000003" x14ac:dyDescent="0.25">
      <c r="A27" s="6" t="s">
        <v>1090</v>
      </c>
      <c r="B27" s="6" t="s">
        <v>33</v>
      </c>
      <c r="C27" s="6">
        <v>1.89</v>
      </c>
      <c r="D27" s="6">
        <v>6.01</v>
      </c>
      <c r="E27" s="6">
        <v>2.2999999999999998</v>
      </c>
      <c r="F27" s="6">
        <v>3.26</v>
      </c>
      <c r="G27" s="6">
        <v>2.7</v>
      </c>
      <c r="H27" s="6">
        <v>1.41</v>
      </c>
      <c r="I27" s="6">
        <v>2.0099999999999998</v>
      </c>
      <c r="J27" s="6">
        <v>1.99</v>
      </c>
      <c r="K27" s="6">
        <v>6.07</v>
      </c>
    </row>
    <row r="28" spans="1:11" ht="34.200000000000003" x14ac:dyDescent="0.25">
      <c r="A28" s="6" t="s">
        <v>1091</v>
      </c>
      <c r="B28" s="6" t="s">
        <v>241</v>
      </c>
      <c r="C28" s="6">
        <v>1120</v>
      </c>
      <c r="D28" s="6" t="s">
        <v>1068</v>
      </c>
      <c r="E28" s="6">
        <v>1.36</v>
      </c>
      <c r="F28" s="6" t="s">
        <v>1068</v>
      </c>
      <c r="G28" s="6" t="s">
        <v>1068</v>
      </c>
      <c r="H28" s="6" t="s">
        <v>1068</v>
      </c>
      <c r="I28" s="6" t="s">
        <v>1068</v>
      </c>
      <c r="J28" s="6" t="s">
        <v>1068</v>
      </c>
      <c r="K28" s="6" t="s">
        <v>1068</v>
      </c>
    </row>
    <row r="29" spans="1:11" ht="22.8" x14ac:dyDescent="0.25">
      <c r="A29" s="6" t="s">
        <v>1092</v>
      </c>
      <c r="B29" s="6" t="s">
        <v>40</v>
      </c>
      <c r="C29" s="6">
        <v>160</v>
      </c>
      <c r="D29" s="6">
        <v>3.08</v>
      </c>
      <c r="E29" s="6">
        <v>3.15</v>
      </c>
      <c r="F29" s="6">
        <v>2.87</v>
      </c>
      <c r="G29" s="6">
        <v>2.97</v>
      </c>
      <c r="H29" s="6">
        <v>3.54</v>
      </c>
      <c r="I29" s="6">
        <v>3.44</v>
      </c>
      <c r="J29" s="6">
        <v>3.18</v>
      </c>
      <c r="K29" s="6">
        <v>3.47</v>
      </c>
    </row>
    <row r="30" spans="1:11" ht="22.8" x14ac:dyDescent="0.25">
      <c r="A30" s="6" t="s">
        <v>1093</v>
      </c>
      <c r="B30" s="6" t="s">
        <v>16</v>
      </c>
      <c r="C30" s="6">
        <v>0.96399999999999997</v>
      </c>
      <c r="D30" s="6">
        <v>102.43</v>
      </c>
      <c r="E30" s="6">
        <v>142.71</v>
      </c>
      <c r="F30" s="6">
        <v>131.85</v>
      </c>
      <c r="G30" s="6">
        <v>127.89</v>
      </c>
      <c r="H30" s="6">
        <v>170.61</v>
      </c>
      <c r="I30" s="6">
        <v>58.14</v>
      </c>
      <c r="J30" s="6">
        <v>187.74</v>
      </c>
      <c r="K30" s="6">
        <v>114.51</v>
      </c>
    </row>
    <row r="31" spans="1:11" ht="22.8" x14ac:dyDescent="0.25">
      <c r="A31" s="6" t="s">
        <v>1094</v>
      </c>
      <c r="B31" s="6" t="s">
        <v>1095</v>
      </c>
      <c r="C31" s="6">
        <v>0.38900000000000001</v>
      </c>
      <c r="D31" s="6">
        <v>45.92</v>
      </c>
      <c r="E31" s="6">
        <v>7.55</v>
      </c>
      <c r="F31" s="6">
        <v>126.31</v>
      </c>
      <c r="G31" s="6">
        <v>68.73</v>
      </c>
      <c r="H31" s="6">
        <v>64.36</v>
      </c>
      <c r="I31" s="6">
        <v>37.89</v>
      </c>
      <c r="J31" s="6">
        <v>38.729999999999997</v>
      </c>
      <c r="K31" s="6">
        <v>112.56</v>
      </c>
    </row>
    <row r="32" spans="1:11" ht="22.8" x14ac:dyDescent="0.25">
      <c r="A32" s="6" t="s">
        <v>1096</v>
      </c>
      <c r="B32" s="6" t="s">
        <v>1097</v>
      </c>
      <c r="C32" s="6">
        <v>2.52</v>
      </c>
      <c r="D32" s="6">
        <v>131.37</v>
      </c>
      <c r="E32" s="6">
        <v>151.22</v>
      </c>
      <c r="F32" s="6">
        <v>131.91999999999999</v>
      </c>
      <c r="G32" s="6">
        <v>129.68</v>
      </c>
      <c r="H32" s="6">
        <v>137.83000000000001</v>
      </c>
      <c r="I32" s="6">
        <v>148.44999999999999</v>
      </c>
      <c r="J32" s="6">
        <v>127.59</v>
      </c>
      <c r="K32" s="6">
        <v>123.92</v>
      </c>
    </row>
    <row r="33" spans="1:11" ht="22.8" x14ac:dyDescent="0.25">
      <c r="A33" s="6" t="s">
        <v>1098</v>
      </c>
      <c r="B33" s="6" t="s">
        <v>1099</v>
      </c>
      <c r="C33" s="6">
        <v>13.8</v>
      </c>
      <c r="D33" s="6" t="s">
        <v>1068</v>
      </c>
      <c r="E33" s="6" t="s">
        <v>1068</v>
      </c>
      <c r="F33" s="6" t="s">
        <v>1068</v>
      </c>
      <c r="G33" s="6" t="s">
        <v>1068</v>
      </c>
      <c r="H33" s="6">
        <v>1.51</v>
      </c>
      <c r="I33" s="6" t="s">
        <v>1068</v>
      </c>
      <c r="J33" s="6" t="s">
        <v>1068</v>
      </c>
      <c r="K33" s="6" t="s">
        <v>1068</v>
      </c>
    </row>
    <row r="34" spans="1:11" ht="22.8" x14ac:dyDescent="0.25">
      <c r="A34" s="6" t="s">
        <v>1100</v>
      </c>
      <c r="B34" s="6" t="s">
        <v>1101</v>
      </c>
      <c r="C34" s="6">
        <v>2.7</v>
      </c>
      <c r="D34" s="6">
        <v>11.02</v>
      </c>
      <c r="E34" s="6">
        <v>8.3800000000000008</v>
      </c>
      <c r="F34" s="6">
        <v>1.62</v>
      </c>
      <c r="G34" s="6">
        <v>1.8</v>
      </c>
      <c r="H34" s="6">
        <v>5.78</v>
      </c>
      <c r="I34" s="6">
        <v>5.13</v>
      </c>
      <c r="J34" s="6">
        <v>3.6</v>
      </c>
      <c r="K34" s="6">
        <v>3.49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5E795-37F0-4CF0-AACD-72CEF71037D2}">
  <dimension ref="A1:F39"/>
  <sheetViews>
    <sheetView topLeftCell="A13" workbookViewId="0">
      <selection activeCell="A16" sqref="A16:E20"/>
    </sheetView>
  </sheetViews>
  <sheetFormatPr defaultRowHeight="13.8" x14ac:dyDescent="0.25"/>
  <sheetData>
    <row r="1" spans="1:6" ht="34.200000000000003" x14ac:dyDescent="0.25">
      <c r="A1" s="6" t="s">
        <v>1102</v>
      </c>
      <c r="B1" s="6" t="s">
        <v>1103</v>
      </c>
      <c r="C1" s="6" t="s">
        <v>1104</v>
      </c>
      <c r="D1" s="6" t="s">
        <v>1105</v>
      </c>
      <c r="E1" s="6" t="s">
        <v>1106</v>
      </c>
      <c r="F1" s="6" t="s">
        <v>1107</v>
      </c>
    </row>
    <row r="2" spans="1:6" ht="34.200000000000003" x14ac:dyDescent="0.25">
      <c r="A2" s="6" t="s">
        <v>904</v>
      </c>
      <c r="B2" s="6" t="s">
        <v>1108</v>
      </c>
      <c r="C2" s="6">
        <v>84503</v>
      </c>
      <c r="D2" s="6">
        <v>121499</v>
      </c>
      <c r="E2" s="6">
        <v>111532</v>
      </c>
      <c r="F2" s="6">
        <v>105845</v>
      </c>
    </row>
    <row r="3" spans="1:6" ht="34.200000000000003" x14ac:dyDescent="0.25">
      <c r="A3" s="6" t="s">
        <v>1109</v>
      </c>
      <c r="B3" s="6" t="s">
        <v>1110</v>
      </c>
      <c r="C3" s="6">
        <v>3890</v>
      </c>
      <c r="D3" s="6">
        <v>5580</v>
      </c>
      <c r="E3" s="6">
        <v>5247</v>
      </c>
      <c r="F3" s="6">
        <v>4906</v>
      </c>
    </row>
    <row r="4" spans="1:6" ht="34.200000000000003" x14ac:dyDescent="0.25">
      <c r="A4" s="6" t="s">
        <v>1111</v>
      </c>
      <c r="B4" s="6" t="s">
        <v>1112</v>
      </c>
      <c r="C4" s="6">
        <v>1792</v>
      </c>
      <c r="D4" s="6">
        <v>3162</v>
      </c>
      <c r="E4" s="6">
        <v>1306</v>
      </c>
      <c r="F4" s="6">
        <v>2087</v>
      </c>
    </row>
    <row r="5" spans="1:6" ht="22.8" x14ac:dyDescent="0.25">
      <c r="A5" s="6" t="s">
        <v>1113</v>
      </c>
      <c r="B5" s="6" t="s">
        <v>1114</v>
      </c>
      <c r="C5" s="6">
        <v>892</v>
      </c>
      <c r="D5" s="6">
        <v>1254</v>
      </c>
      <c r="E5" s="6">
        <v>1401</v>
      </c>
      <c r="F5" s="6">
        <v>1182</v>
      </c>
    </row>
    <row r="6" spans="1:6" ht="34.200000000000003" x14ac:dyDescent="0.25">
      <c r="A6" s="6" t="s">
        <v>986</v>
      </c>
      <c r="B6" s="6" t="s">
        <v>1115</v>
      </c>
      <c r="C6" s="6">
        <v>1022</v>
      </c>
      <c r="D6" s="6">
        <v>1158</v>
      </c>
      <c r="E6" s="6">
        <v>937</v>
      </c>
      <c r="F6" s="6">
        <v>1039</v>
      </c>
    </row>
    <row r="7" spans="1:6" ht="34.200000000000003" x14ac:dyDescent="0.25">
      <c r="A7" s="6" t="s">
        <v>1116</v>
      </c>
      <c r="B7" s="6" t="s">
        <v>1117</v>
      </c>
      <c r="C7" s="6">
        <v>864</v>
      </c>
      <c r="D7" s="6">
        <v>376</v>
      </c>
      <c r="E7" s="6">
        <v>408</v>
      </c>
      <c r="F7" s="6">
        <v>549</v>
      </c>
    </row>
    <row r="8" spans="1:6" ht="45.6" x14ac:dyDescent="0.25">
      <c r="A8" s="6" t="s">
        <v>1118</v>
      </c>
      <c r="B8" s="6" t="s">
        <v>1119</v>
      </c>
      <c r="C8" s="6">
        <v>423</v>
      </c>
      <c r="D8" s="6">
        <v>412</v>
      </c>
      <c r="E8" s="6">
        <v>452</v>
      </c>
      <c r="F8" s="6">
        <v>429</v>
      </c>
    </row>
    <row r="9" spans="1:6" ht="22.8" x14ac:dyDescent="0.25">
      <c r="A9" s="6" t="s">
        <v>1031</v>
      </c>
      <c r="B9" s="6" t="s">
        <v>1120</v>
      </c>
      <c r="C9" s="6">
        <v>143</v>
      </c>
      <c r="D9" s="6">
        <v>183</v>
      </c>
      <c r="E9" s="6">
        <v>150</v>
      </c>
      <c r="F9" s="6">
        <v>158</v>
      </c>
    </row>
    <row r="10" spans="1:6" ht="45.6" x14ac:dyDescent="0.25">
      <c r="A10" s="6" t="s">
        <v>1121</v>
      </c>
      <c r="B10" s="6" t="s">
        <v>1122</v>
      </c>
      <c r="C10" s="6">
        <v>131</v>
      </c>
      <c r="D10" s="6">
        <v>167</v>
      </c>
      <c r="E10" s="6">
        <v>150</v>
      </c>
      <c r="F10" s="6">
        <v>149</v>
      </c>
    </row>
    <row r="11" spans="1:6" ht="22.8" x14ac:dyDescent="0.25">
      <c r="A11" s="6" t="s">
        <v>720</v>
      </c>
      <c r="B11" s="6" t="s">
        <v>1123</v>
      </c>
      <c r="C11" s="6">
        <v>112</v>
      </c>
      <c r="D11" s="6">
        <v>97</v>
      </c>
      <c r="E11" s="6">
        <v>143</v>
      </c>
      <c r="F11" s="6">
        <v>117</v>
      </c>
    </row>
    <row r="12" spans="1:6" ht="22.8" x14ac:dyDescent="0.25">
      <c r="A12" s="6" t="s">
        <v>1124</v>
      </c>
      <c r="B12" s="6" t="s">
        <v>1125</v>
      </c>
      <c r="C12" s="6">
        <v>95</v>
      </c>
      <c r="D12" s="6">
        <v>114</v>
      </c>
      <c r="E12" s="6">
        <v>76</v>
      </c>
      <c r="F12" s="6">
        <v>95</v>
      </c>
    </row>
    <row r="13" spans="1:6" ht="34.200000000000003" x14ac:dyDescent="0.25">
      <c r="A13" s="6" t="s">
        <v>1126</v>
      </c>
      <c r="B13" s="6" t="s">
        <v>1127</v>
      </c>
      <c r="C13" s="6">
        <v>83</v>
      </c>
      <c r="D13" s="6">
        <v>86</v>
      </c>
      <c r="E13" s="6">
        <v>94</v>
      </c>
      <c r="F13" s="6">
        <v>88</v>
      </c>
    </row>
    <row r="14" spans="1:6" ht="22.8" x14ac:dyDescent="0.25">
      <c r="A14" s="6" t="s">
        <v>744</v>
      </c>
      <c r="B14" s="6" t="s">
        <v>745</v>
      </c>
      <c r="C14" s="6">
        <v>74</v>
      </c>
      <c r="D14" s="6">
        <v>58</v>
      </c>
      <c r="E14" s="6">
        <v>45</v>
      </c>
      <c r="F14" s="6">
        <v>59</v>
      </c>
    </row>
    <row r="15" spans="1:6" ht="22.8" x14ac:dyDescent="0.25">
      <c r="A15" s="6" t="s">
        <v>740</v>
      </c>
      <c r="B15" s="6" t="s">
        <v>1128</v>
      </c>
      <c r="C15" s="6">
        <v>17</v>
      </c>
      <c r="D15" s="6">
        <v>48</v>
      </c>
      <c r="E15" s="6">
        <v>41</v>
      </c>
      <c r="F15" s="6">
        <v>35</v>
      </c>
    </row>
    <row r="16" spans="1:6" ht="22.8" x14ac:dyDescent="0.25">
      <c r="A16" s="6" t="s">
        <v>764</v>
      </c>
      <c r="B16" s="6" t="s">
        <v>1129</v>
      </c>
      <c r="C16" s="6">
        <v>9</v>
      </c>
      <c r="D16" s="6">
        <v>14</v>
      </c>
      <c r="E16" s="6">
        <v>15</v>
      </c>
      <c r="F16" s="6">
        <v>13</v>
      </c>
    </row>
    <row r="17" spans="1:6" ht="22.8" x14ac:dyDescent="0.25">
      <c r="A17" s="6" t="s">
        <v>907</v>
      </c>
      <c r="B17" s="6" t="s">
        <v>1130</v>
      </c>
      <c r="C17" s="6">
        <v>15</v>
      </c>
      <c r="D17" s="6">
        <v>14</v>
      </c>
      <c r="E17" s="6">
        <v>13</v>
      </c>
      <c r="F17" s="6">
        <v>14</v>
      </c>
    </row>
    <row r="18" spans="1:6" ht="45.6" x14ac:dyDescent="0.25">
      <c r="A18" s="6" t="s">
        <v>1131</v>
      </c>
      <c r="B18" s="6" t="s">
        <v>1132</v>
      </c>
      <c r="C18" s="6">
        <v>2</v>
      </c>
      <c r="D18" s="6">
        <v>8</v>
      </c>
      <c r="E18" s="6">
        <v>6</v>
      </c>
      <c r="F18" s="6">
        <v>5</v>
      </c>
    </row>
    <row r="19" spans="1:6" ht="22.8" x14ac:dyDescent="0.25">
      <c r="A19" s="6" t="s">
        <v>1028</v>
      </c>
      <c r="B19" s="6" t="s">
        <v>1133</v>
      </c>
      <c r="C19" s="6">
        <v>5</v>
      </c>
      <c r="D19" s="6">
        <v>5</v>
      </c>
      <c r="E19" s="6">
        <v>6</v>
      </c>
      <c r="F19" s="6">
        <v>5</v>
      </c>
    </row>
    <row r="20" spans="1:6" ht="34.200000000000003" x14ac:dyDescent="0.25">
      <c r="A20" s="6" t="s">
        <v>969</v>
      </c>
      <c r="B20" s="6" t="s">
        <v>1134</v>
      </c>
      <c r="C20" s="6">
        <v>5</v>
      </c>
      <c r="D20" s="6">
        <v>6</v>
      </c>
      <c r="E20" s="6">
        <v>3</v>
      </c>
      <c r="F20" s="6">
        <v>4</v>
      </c>
    </row>
    <row r="21" spans="1:6" ht="34.200000000000003" x14ac:dyDescent="0.25">
      <c r="A21" s="6" t="s">
        <v>784</v>
      </c>
      <c r="B21" s="6" t="s">
        <v>1135</v>
      </c>
      <c r="C21" s="6">
        <v>1</v>
      </c>
      <c r="D21" s="6">
        <v>5</v>
      </c>
      <c r="E21" s="6">
        <v>4</v>
      </c>
      <c r="F21" s="6">
        <v>4</v>
      </c>
    </row>
    <row r="22" spans="1:6" ht="34.200000000000003" x14ac:dyDescent="0.25">
      <c r="A22" s="6" t="s">
        <v>1136</v>
      </c>
      <c r="B22" s="6" t="s">
        <v>1137</v>
      </c>
      <c r="C22" s="6">
        <v>3</v>
      </c>
      <c r="D22" s="6">
        <v>5</v>
      </c>
      <c r="E22" s="6">
        <v>1</v>
      </c>
      <c r="F22" s="6">
        <v>3</v>
      </c>
    </row>
    <row r="23" spans="1:6" ht="22.8" x14ac:dyDescent="0.25">
      <c r="A23" s="6" t="s">
        <v>977</v>
      </c>
      <c r="B23" s="6" t="s">
        <v>1138</v>
      </c>
      <c r="C23" s="6">
        <v>2</v>
      </c>
      <c r="D23" s="6">
        <v>4</v>
      </c>
      <c r="E23" s="6">
        <v>3</v>
      </c>
      <c r="F23" s="6">
        <v>3</v>
      </c>
    </row>
    <row r="24" spans="1:6" ht="45.6" x14ac:dyDescent="0.25">
      <c r="A24" s="6" t="s">
        <v>1139</v>
      </c>
      <c r="B24" s="6" t="s">
        <v>1140</v>
      </c>
      <c r="C24" s="6">
        <v>2</v>
      </c>
      <c r="D24" s="6">
        <v>3</v>
      </c>
      <c r="E24" s="6">
        <v>1</v>
      </c>
      <c r="F24" s="6">
        <v>2</v>
      </c>
    </row>
    <row r="25" spans="1:6" ht="34.200000000000003" x14ac:dyDescent="0.25">
      <c r="A25" s="6" t="s">
        <v>792</v>
      </c>
      <c r="B25" s="6" t="s">
        <v>1141</v>
      </c>
      <c r="C25" s="6">
        <v>2</v>
      </c>
      <c r="D25" s="6">
        <v>3</v>
      </c>
      <c r="E25" s="6">
        <v>2</v>
      </c>
      <c r="F25" s="6">
        <v>2</v>
      </c>
    </row>
    <row r="26" spans="1:6" ht="34.200000000000003" x14ac:dyDescent="0.25">
      <c r="A26" s="6" t="s">
        <v>1142</v>
      </c>
      <c r="B26" s="6" t="s">
        <v>1143</v>
      </c>
      <c r="C26" s="6" t="s">
        <v>1068</v>
      </c>
      <c r="D26" s="6">
        <v>3</v>
      </c>
      <c r="E26" s="6">
        <v>3</v>
      </c>
      <c r="F26" s="6">
        <v>2</v>
      </c>
    </row>
    <row r="27" spans="1:6" ht="34.200000000000003" x14ac:dyDescent="0.25">
      <c r="A27" s="6" t="s">
        <v>995</v>
      </c>
      <c r="B27" s="6" t="s">
        <v>1144</v>
      </c>
      <c r="C27" s="6">
        <v>2</v>
      </c>
      <c r="D27" s="6">
        <v>2</v>
      </c>
      <c r="E27" s="6">
        <v>2</v>
      </c>
      <c r="F27" s="6">
        <v>2</v>
      </c>
    </row>
    <row r="28" spans="1:6" ht="34.200000000000003" x14ac:dyDescent="0.25">
      <c r="A28" s="6" t="s">
        <v>966</v>
      </c>
      <c r="B28" s="6" t="s">
        <v>1145</v>
      </c>
      <c r="C28" s="6">
        <v>2</v>
      </c>
      <c r="D28" s="6">
        <v>2</v>
      </c>
      <c r="E28" s="6">
        <v>1</v>
      </c>
      <c r="F28" s="6">
        <v>2</v>
      </c>
    </row>
    <row r="29" spans="1:6" ht="45.6" x14ac:dyDescent="0.25">
      <c r="A29" s="6" t="s">
        <v>768</v>
      </c>
      <c r="B29" s="6" t="s">
        <v>1146</v>
      </c>
      <c r="C29" s="6">
        <v>1</v>
      </c>
      <c r="D29" s="6">
        <v>2</v>
      </c>
      <c r="E29" s="6">
        <v>1</v>
      </c>
      <c r="F29" s="6">
        <v>1</v>
      </c>
    </row>
    <row r="30" spans="1:6" ht="22.8" x14ac:dyDescent="0.25">
      <c r="A30" s="6" t="s">
        <v>1147</v>
      </c>
      <c r="B30" s="6" t="s">
        <v>1148</v>
      </c>
      <c r="C30" s="6" t="s">
        <v>1068</v>
      </c>
      <c r="D30" s="6" t="s">
        <v>1068</v>
      </c>
      <c r="E30" s="6">
        <v>1</v>
      </c>
      <c r="F30" s="6">
        <v>1</v>
      </c>
    </row>
    <row r="31" spans="1:6" ht="45.6" x14ac:dyDescent="0.25">
      <c r="A31" s="6" t="s">
        <v>1149</v>
      </c>
      <c r="B31" s="6" t="s">
        <v>1150</v>
      </c>
      <c r="C31" s="6" t="s">
        <v>1068</v>
      </c>
      <c r="D31" s="6" t="s">
        <v>1068</v>
      </c>
      <c r="E31" s="6">
        <v>1</v>
      </c>
      <c r="F31" s="6">
        <v>1</v>
      </c>
    </row>
    <row r="32" spans="1:6" ht="34.200000000000003" x14ac:dyDescent="0.25">
      <c r="A32" s="6" t="s">
        <v>1151</v>
      </c>
      <c r="B32" s="6" t="s">
        <v>1152</v>
      </c>
      <c r="C32" s="6" t="s">
        <v>1068</v>
      </c>
      <c r="D32" s="6" t="s">
        <v>1068</v>
      </c>
      <c r="E32" s="6">
        <v>1</v>
      </c>
      <c r="F32" s="6">
        <v>1</v>
      </c>
    </row>
    <row r="33" spans="1:6" ht="34.200000000000003" x14ac:dyDescent="0.25">
      <c r="A33" s="6" t="s">
        <v>982</v>
      </c>
      <c r="B33" s="6" t="s">
        <v>1153</v>
      </c>
      <c r="C33" s="6" t="s">
        <v>1068</v>
      </c>
      <c r="D33" s="6" t="s">
        <v>1068</v>
      </c>
      <c r="E33" s="6">
        <v>1</v>
      </c>
      <c r="F33" s="6">
        <v>1</v>
      </c>
    </row>
    <row r="34" spans="1:6" ht="57" x14ac:dyDescent="0.25">
      <c r="A34" s="6" t="s">
        <v>1154</v>
      </c>
      <c r="B34" s="6" t="s">
        <v>1155</v>
      </c>
      <c r="C34" s="6" t="s">
        <v>1068</v>
      </c>
      <c r="D34" s="6" t="s">
        <v>1068</v>
      </c>
      <c r="E34" s="6">
        <v>1</v>
      </c>
      <c r="F34" s="6">
        <v>1</v>
      </c>
    </row>
    <row r="35" spans="1:6" ht="34.200000000000003" x14ac:dyDescent="0.25">
      <c r="A35" s="6" t="s">
        <v>989</v>
      </c>
      <c r="B35" s="6" t="s">
        <v>1156</v>
      </c>
      <c r="C35" s="6" t="s">
        <v>1068</v>
      </c>
      <c r="D35" s="6" t="s">
        <v>1068</v>
      </c>
      <c r="E35" s="6">
        <v>1</v>
      </c>
      <c r="F35" s="6">
        <v>1</v>
      </c>
    </row>
    <row r="36" spans="1:6" ht="22.8" x14ac:dyDescent="0.25">
      <c r="A36" s="6" t="s">
        <v>1157</v>
      </c>
      <c r="B36" s="6" t="s">
        <v>1158</v>
      </c>
      <c r="C36" s="6" t="s">
        <v>1068</v>
      </c>
      <c r="D36" s="6" t="s">
        <v>1068</v>
      </c>
      <c r="E36" s="6">
        <v>1</v>
      </c>
      <c r="F36" s="6">
        <v>1</v>
      </c>
    </row>
    <row r="37" spans="1:6" ht="22.8" x14ac:dyDescent="0.25">
      <c r="A37" s="6" t="s">
        <v>1159</v>
      </c>
      <c r="B37" s="6" t="s">
        <v>1160</v>
      </c>
      <c r="C37" s="6" t="s">
        <v>1068</v>
      </c>
      <c r="D37" s="6" t="s">
        <v>1068</v>
      </c>
      <c r="E37" s="6">
        <v>1</v>
      </c>
      <c r="F37" s="6">
        <v>1</v>
      </c>
    </row>
    <row r="38" spans="1:6" ht="34.200000000000003" x14ac:dyDescent="0.25">
      <c r="A38" s="6" t="s">
        <v>1161</v>
      </c>
      <c r="B38" s="6" t="s">
        <v>1162</v>
      </c>
      <c r="C38" s="6" t="s">
        <v>1068</v>
      </c>
      <c r="D38" s="6" t="s">
        <v>1068</v>
      </c>
      <c r="E38" s="6">
        <v>1</v>
      </c>
      <c r="F38" s="6">
        <v>1</v>
      </c>
    </row>
    <row r="39" spans="1:6" ht="34.200000000000003" x14ac:dyDescent="0.25">
      <c r="A39" s="6" t="s">
        <v>1163</v>
      </c>
      <c r="B39" s="6" t="s">
        <v>1164</v>
      </c>
      <c r="C39" s="6" t="s">
        <v>1164</v>
      </c>
      <c r="D39" s="6" t="s">
        <v>1164</v>
      </c>
      <c r="E39" s="6" t="s">
        <v>1164</v>
      </c>
      <c r="F39" s="6" t="s">
        <v>1164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CB238-932B-49D4-90E5-444E058FB070}">
  <dimension ref="A1:P61"/>
  <sheetViews>
    <sheetView workbookViewId="0">
      <selection activeCell="A4" sqref="A4:L9"/>
    </sheetView>
  </sheetViews>
  <sheetFormatPr defaultRowHeight="13.8" x14ac:dyDescent="0.25"/>
  <sheetData>
    <row r="1" spans="1:16" ht="22.8" x14ac:dyDescent="0.25">
      <c r="A1" s="6" t="s">
        <v>5</v>
      </c>
      <c r="B1" s="6" t="s">
        <v>1165</v>
      </c>
      <c r="C1" s="6" t="s">
        <v>6</v>
      </c>
      <c r="D1" s="6" t="s">
        <v>1166</v>
      </c>
      <c r="E1" s="6" t="s">
        <v>1167</v>
      </c>
      <c r="F1" s="6" t="s">
        <v>1168</v>
      </c>
      <c r="G1" s="6" t="s">
        <v>1169</v>
      </c>
      <c r="H1" s="6"/>
      <c r="I1" s="6" t="s">
        <v>1368</v>
      </c>
      <c r="J1" s="6" t="s">
        <v>1165</v>
      </c>
      <c r="K1" s="6" t="s">
        <v>6</v>
      </c>
      <c r="L1" s="6" t="s">
        <v>71</v>
      </c>
      <c r="M1" s="6" t="s">
        <v>1369</v>
      </c>
      <c r="N1" s="6" t="s">
        <v>1370</v>
      </c>
      <c r="O1" s="6" t="s">
        <v>1168</v>
      </c>
      <c r="P1" s="6" t="s">
        <v>1169</v>
      </c>
    </row>
    <row r="2" spans="1:16" ht="22.8" x14ac:dyDescent="0.25">
      <c r="A2" s="6">
        <v>1</v>
      </c>
      <c r="B2" s="6" t="s">
        <v>1170</v>
      </c>
      <c r="C2" s="6" t="s">
        <v>1171</v>
      </c>
      <c r="D2" s="6" t="s">
        <v>421</v>
      </c>
      <c r="E2" s="6" t="s">
        <v>1172</v>
      </c>
      <c r="F2" s="6" t="s">
        <v>1173</v>
      </c>
      <c r="G2" s="6" t="s">
        <v>1174</v>
      </c>
      <c r="H2" s="6"/>
      <c r="I2" s="6">
        <v>1</v>
      </c>
      <c r="J2" s="6" t="s">
        <v>1170</v>
      </c>
      <c r="K2" s="6" t="s">
        <v>1171</v>
      </c>
      <c r="L2" s="6" t="s">
        <v>421</v>
      </c>
      <c r="M2" s="6">
        <v>50</v>
      </c>
      <c r="N2" s="6">
        <v>1</v>
      </c>
      <c r="O2" s="6">
        <v>1</v>
      </c>
      <c r="P2" s="6">
        <v>0</v>
      </c>
    </row>
    <row r="3" spans="1:16" ht="22.8" x14ac:dyDescent="0.25">
      <c r="A3" s="6">
        <v>2</v>
      </c>
      <c r="B3" s="6"/>
      <c r="C3" s="6" t="s">
        <v>1175</v>
      </c>
      <c r="D3" s="6" t="s">
        <v>1176</v>
      </c>
      <c r="E3" s="6" t="s">
        <v>1177</v>
      </c>
      <c r="F3" s="6" t="s">
        <v>1178</v>
      </c>
      <c r="G3" s="6" t="s">
        <v>1179</v>
      </c>
      <c r="H3" s="6"/>
      <c r="I3" s="6">
        <v>2</v>
      </c>
      <c r="J3" s="6" t="s">
        <v>1170</v>
      </c>
      <c r="K3" s="6" t="s">
        <v>1175</v>
      </c>
      <c r="L3" s="6" t="s">
        <v>1176</v>
      </c>
      <c r="M3" s="6">
        <v>53.95</v>
      </c>
      <c r="N3" s="6">
        <v>2</v>
      </c>
      <c r="O3" s="6">
        <v>4</v>
      </c>
      <c r="P3" s="6">
        <v>1</v>
      </c>
    </row>
    <row r="4" spans="1:16" ht="45.6" x14ac:dyDescent="0.25">
      <c r="A4" s="6">
        <v>3</v>
      </c>
      <c r="B4" s="6"/>
      <c r="C4" s="6" t="s">
        <v>1180</v>
      </c>
      <c r="D4" s="6" t="s">
        <v>1181</v>
      </c>
      <c r="E4" s="6" t="s">
        <v>1182</v>
      </c>
      <c r="F4" s="6">
        <v>0</v>
      </c>
      <c r="G4" s="6" t="s">
        <v>1183</v>
      </c>
      <c r="H4" s="6"/>
      <c r="I4" s="6">
        <v>3</v>
      </c>
      <c r="J4" s="6" t="s">
        <v>1170</v>
      </c>
      <c r="K4" s="6" t="s">
        <v>1149</v>
      </c>
      <c r="L4" s="6" t="s">
        <v>395</v>
      </c>
      <c r="M4" s="6">
        <v>40</v>
      </c>
      <c r="N4" s="6">
        <v>0</v>
      </c>
      <c r="O4" s="6">
        <v>1</v>
      </c>
      <c r="P4" s="6">
        <v>0</v>
      </c>
    </row>
    <row r="5" spans="1:16" ht="45.6" x14ac:dyDescent="0.25">
      <c r="A5" s="6">
        <v>4</v>
      </c>
      <c r="B5" s="6"/>
      <c r="C5" s="6" t="s">
        <v>1184</v>
      </c>
      <c r="D5" s="6" t="s">
        <v>1185</v>
      </c>
      <c r="E5" s="6" t="s">
        <v>1186</v>
      </c>
      <c r="F5" s="6" t="s">
        <v>1187</v>
      </c>
      <c r="G5" s="6">
        <v>0</v>
      </c>
      <c r="H5" s="6"/>
      <c r="I5" s="6">
        <v>4</v>
      </c>
      <c r="J5" s="6" t="s">
        <v>1170</v>
      </c>
      <c r="K5" s="6" t="s">
        <v>768</v>
      </c>
      <c r="L5" s="6" t="s">
        <v>401</v>
      </c>
      <c r="M5" s="6">
        <v>179.19</v>
      </c>
      <c r="N5" s="6">
        <v>2</v>
      </c>
      <c r="O5" s="6">
        <v>2</v>
      </c>
      <c r="P5" s="6">
        <v>1</v>
      </c>
    </row>
    <row r="6" spans="1:16" ht="45.6" x14ac:dyDescent="0.25">
      <c r="A6" s="6">
        <v>5</v>
      </c>
      <c r="B6" s="6"/>
      <c r="C6" s="6" t="s">
        <v>768</v>
      </c>
      <c r="D6" s="6" t="s">
        <v>401</v>
      </c>
      <c r="E6" s="6" t="s">
        <v>1188</v>
      </c>
      <c r="F6" s="6" t="s">
        <v>1189</v>
      </c>
      <c r="G6" s="6" t="s">
        <v>1190</v>
      </c>
      <c r="H6" s="6"/>
      <c r="I6" s="6">
        <v>5</v>
      </c>
      <c r="J6" s="6" t="s">
        <v>1170</v>
      </c>
      <c r="K6" s="6" t="s">
        <v>1193</v>
      </c>
      <c r="L6" s="6" t="s">
        <v>370</v>
      </c>
      <c r="M6" s="6">
        <v>4</v>
      </c>
      <c r="N6" s="6">
        <v>3</v>
      </c>
      <c r="O6" s="6">
        <v>0</v>
      </c>
      <c r="P6" s="6">
        <v>0</v>
      </c>
    </row>
    <row r="7" spans="1:16" ht="22.8" x14ac:dyDescent="0.25">
      <c r="A7" s="6">
        <v>6</v>
      </c>
      <c r="B7" s="6"/>
      <c r="C7" s="6" t="s">
        <v>1191</v>
      </c>
      <c r="D7" s="6" t="s">
        <v>464</v>
      </c>
      <c r="E7" s="6" t="s">
        <v>1192</v>
      </c>
      <c r="F7" s="6">
        <v>0</v>
      </c>
      <c r="G7" s="6">
        <v>0</v>
      </c>
      <c r="H7" s="6"/>
      <c r="I7" s="6">
        <v>6</v>
      </c>
      <c r="J7" s="6" t="s">
        <v>1170</v>
      </c>
      <c r="K7" s="6" t="s">
        <v>764</v>
      </c>
      <c r="L7" s="6" t="s">
        <v>383</v>
      </c>
      <c r="M7" s="6">
        <v>5.37</v>
      </c>
      <c r="N7" s="6">
        <v>11</v>
      </c>
      <c r="O7" s="6">
        <v>0</v>
      </c>
      <c r="P7" s="6">
        <v>5</v>
      </c>
    </row>
    <row r="8" spans="1:16" ht="34.200000000000003" x14ac:dyDescent="0.25">
      <c r="A8" s="6">
        <v>7</v>
      </c>
      <c r="B8" s="6"/>
      <c r="C8" s="6" t="s">
        <v>1193</v>
      </c>
      <c r="D8" s="6" t="s">
        <v>370</v>
      </c>
      <c r="E8" s="6" t="s">
        <v>1194</v>
      </c>
      <c r="F8" s="6" t="s">
        <v>1195</v>
      </c>
      <c r="G8" s="6">
        <v>0</v>
      </c>
      <c r="H8" s="6"/>
      <c r="I8" s="6">
        <v>7</v>
      </c>
      <c r="J8" s="6" t="s">
        <v>1211</v>
      </c>
      <c r="K8" s="6" t="s">
        <v>788</v>
      </c>
      <c r="L8" s="6" t="s">
        <v>1224</v>
      </c>
      <c r="M8" s="6">
        <v>0.13</v>
      </c>
      <c r="N8" s="6">
        <v>40</v>
      </c>
      <c r="O8" s="6">
        <v>85</v>
      </c>
      <c r="P8" s="6">
        <v>0</v>
      </c>
    </row>
    <row r="9" spans="1:16" ht="34.200000000000003" x14ac:dyDescent="0.25">
      <c r="A9" s="6">
        <v>8</v>
      </c>
      <c r="B9" s="6"/>
      <c r="C9" s="6" t="s">
        <v>1196</v>
      </c>
      <c r="D9" s="6" t="s">
        <v>1197</v>
      </c>
      <c r="E9" s="6" t="s">
        <v>1198</v>
      </c>
      <c r="F9" s="6">
        <v>0</v>
      </c>
      <c r="G9" s="6">
        <v>0</v>
      </c>
      <c r="H9" s="6"/>
      <c r="I9" s="6">
        <v>8</v>
      </c>
      <c r="J9" s="6" t="s">
        <v>1211</v>
      </c>
      <c r="K9" s="6" t="s">
        <v>1142</v>
      </c>
      <c r="L9" s="6" t="s">
        <v>609</v>
      </c>
      <c r="M9" s="6">
        <v>0.17</v>
      </c>
      <c r="N9" s="6">
        <v>0</v>
      </c>
      <c r="O9" s="6">
        <v>8</v>
      </c>
      <c r="P9" s="6">
        <v>7</v>
      </c>
    </row>
    <row r="10" spans="1:16" ht="34.200000000000003" x14ac:dyDescent="0.25">
      <c r="A10" s="6">
        <v>9</v>
      </c>
      <c r="B10" s="6"/>
      <c r="C10" s="6" t="s">
        <v>764</v>
      </c>
      <c r="D10" s="6" t="s">
        <v>383</v>
      </c>
      <c r="E10" s="6" t="s">
        <v>1199</v>
      </c>
      <c r="F10" s="6">
        <v>0</v>
      </c>
      <c r="G10" s="6" t="s">
        <v>1200</v>
      </c>
      <c r="H10" s="6"/>
      <c r="I10" s="6">
        <v>9</v>
      </c>
      <c r="J10" s="6" t="s">
        <v>1211</v>
      </c>
      <c r="K10" s="6" t="s">
        <v>1212</v>
      </c>
      <c r="L10" s="6" t="s">
        <v>1213</v>
      </c>
      <c r="M10" s="6">
        <v>2</v>
      </c>
      <c r="N10" s="6">
        <v>2</v>
      </c>
      <c r="O10" s="6">
        <v>0</v>
      </c>
      <c r="P10" s="6">
        <v>1</v>
      </c>
    </row>
    <row r="11" spans="1:16" ht="34.200000000000003" x14ac:dyDescent="0.25">
      <c r="A11" s="6">
        <v>10</v>
      </c>
      <c r="B11" s="6"/>
      <c r="C11" s="6" t="s">
        <v>1201</v>
      </c>
      <c r="D11" s="6" t="s">
        <v>1202</v>
      </c>
      <c r="E11" s="6" t="s">
        <v>1203</v>
      </c>
      <c r="F11" s="6" t="s">
        <v>1204</v>
      </c>
      <c r="G11" s="6">
        <v>0</v>
      </c>
      <c r="H11" s="6"/>
      <c r="I11" s="6">
        <v>10</v>
      </c>
      <c r="J11" s="6" t="s">
        <v>1211</v>
      </c>
      <c r="K11" s="6" t="s">
        <v>1216</v>
      </c>
      <c r="L11" s="6">
        <v>35796</v>
      </c>
      <c r="M11" s="6">
        <v>15</v>
      </c>
      <c r="N11" s="6">
        <v>0</v>
      </c>
      <c r="O11" s="6">
        <v>0</v>
      </c>
      <c r="P11" s="6">
        <v>1</v>
      </c>
    </row>
    <row r="12" spans="1:16" ht="34.200000000000003" x14ac:dyDescent="0.25">
      <c r="A12" s="6">
        <v>11</v>
      </c>
      <c r="B12" s="6"/>
      <c r="C12" s="6" t="s">
        <v>1205</v>
      </c>
      <c r="D12" s="6" t="s">
        <v>434</v>
      </c>
      <c r="E12" s="6" t="s">
        <v>1206</v>
      </c>
      <c r="F12" s="6">
        <v>0</v>
      </c>
      <c r="G12" s="6" t="s">
        <v>1207</v>
      </c>
      <c r="H12" s="6"/>
      <c r="I12" s="6">
        <v>11</v>
      </c>
      <c r="J12" s="6" t="s">
        <v>1211</v>
      </c>
      <c r="K12" s="6" t="s">
        <v>1218</v>
      </c>
      <c r="L12" s="6" t="s">
        <v>1219</v>
      </c>
      <c r="M12" s="6">
        <v>0.01</v>
      </c>
      <c r="N12" s="6">
        <v>1157</v>
      </c>
      <c r="O12" s="6">
        <v>0</v>
      </c>
      <c r="P12" s="6">
        <v>0</v>
      </c>
    </row>
    <row r="13" spans="1:16" ht="34.200000000000003" x14ac:dyDescent="0.25">
      <c r="A13" s="6">
        <v>12</v>
      </c>
      <c r="B13" s="6"/>
      <c r="C13" s="6" t="s">
        <v>1208</v>
      </c>
      <c r="D13" s="6" t="s">
        <v>395</v>
      </c>
      <c r="E13" s="6">
        <v>0</v>
      </c>
      <c r="F13" s="6" t="s">
        <v>1209</v>
      </c>
      <c r="G13" s="6">
        <v>0</v>
      </c>
      <c r="H13" s="6"/>
      <c r="I13" s="6">
        <v>12</v>
      </c>
      <c r="J13" s="6" t="s">
        <v>1237</v>
      </c>
      <c r="K13" s="6" t="s">
        <v>1028</v>
      </c>
      <c r="L13" s="6" t="s">
        <v>533</v>
      </c>
      <c r="M13" s="6">
        <v>160</v>
      </c>
      <c r="N13" s="6">
        <v>2</v>
      </c>
      <c r="O13" s="6">
        <v>3</v>
      </c>
      <c r="P13" s="6">
        <v>3</v>
      </c>
    </row>
    <row r="14" spans="1:16" ht="45.6" x14ac:dyDescent="0.25">
      <c r="A14" s="6">
        <v>13</v>
      </c>
      <c r="B14" s="6"/>
      <c r="C14" s="6" t="s">
        <v>1147</v>
      </c>
      <c r="D14" s="6" t="s">
        <v>455</v>
      </c>
      <c r="E14" s="6">
        <v>0</v>
      </c>
      <c r="F14" s="6">
        <v>0</v>
      </c>
      <c r="G14" s="6" t="s">
        <v>1210</v>
      </c>
      <c r="H14" s="6"/>
      <c r="I14" s="6">
        <v>13</v>
      </c>
      <c r="J14" s="6" t="s">
        <v>1237</v>
      </c>
      <c r="K14" s="6" t="s">
        <v>1371</v>
      </c>
      <c r="L14" s="6" t="s">
        <v>494</v>
      </c>
      <c r="M14" s="6">
        <v>0.13</v>
      </c>
      <c r="N14" s="6">
        <v>49</v>
      </c>
      <c r="O14" s="6">
        <v>40</v>
      </c>
      <c r="P14" s="6">
        <v>35</v>
      </c>
    </row>
    <row r="15" spans="1:16" ht="34.200000000000003" x14ac:dyDescent="0.25">
      <c r="A15" s="6">
        <v>14</v>
      </c>
      <c r="B15" s="6" t="s">
        <v>1211</v>
      </c>
      <c r="C15" s="6" t="s">
        <v>1212</v>
      </c>
      <c r="D15" s="6" t="s">
        <v>1213</v>
      </c>
      <c r="E15" s="6" t="s">
        <v>1214</v>
      </c>
      <c r="F15" s="6">
        <v>0</v>
      </c>
      <c r="G15" s="6" t="s">
        <v>1215</v>
      </c>
      <c r="H15" s="6"/>
      <c r="I15" s="6">
        <v>14</v>
      </c>
      <c r="J15" s="6" t="s">
        <v>1237</v>
      </c>
      <c r="K15" s="6" t="s">
        <v>1124</v>
      </c>
      <c r="L15" s="6" t="s">
        <v>522</v>
      </c>
      <c r="M15" s="6">
        <v>0.96</v>
      </c>
      <c r="N15" s="6">
        <v>132</v>
      </c>
      <c r="O15" s="6">
        <v>194</v>
      </c>
      <c r="P15" s="6">
        <v>212</v>
      </c>
    </row>
    <row r="16" spans="1:16" ht="45.6" x14ac:dyDescent="0.25">
      <c r="A16" s="6">
        <v>15</v>
      </c>
      <c r="B16" s="6"/>
      <c r="C16" s="6" t="s">
        <v>1216</v>
      </c>
      <c r="D16" s="6">
        <v>35796</v>
      </c>
      <c r="E16" s="6">
        <v>0</v>
      </c>
      <c r="F16" s="6">
        <v>0</v>
      </c>
      <c r="G16" s="6" t="s">
        <v>1217</v>
      </c>
      <c r="H16" s="6"/>
      <c r="I16" s="6">
        <v>15</v>
      </c>
      <c r="J16" s="6" t="s">
        <v>1237</v>
      </c>
      <c r="K16" s="6" t="s">
        <v>947</v>
      </c>
      <c r="L16" s="6" t="s">
        <v>1252</v>
      </c>
      <c r="M16" s="6">
        <v>1.05</v>
      </c>
      <c r="N16" s="6">
        <v>0</v>
      </c>
      <c r="O16" s="6">
        <v>7</v>
      </c>
      <c r="P16" s="6">
        <v>9</v>
      </c>
    </row>
    <row r="17" spans="1:16" ht="34.200000000000003" x14ac:dyDescent="0.25">
      <c r="A17" s="6">
        <v>16</v>
      </c>
      <c r="B17" s="6"/>
      <c r="C17" s="6" t="s">
        <v>1218</v>
      </c>
      <c r="D17" s="6" t="s">
        <v>1219</v>
      </c>
      <c r="E17" s="6" t="s">
        <v>1220</v>
      </c>
      <c r="F17" s="6">
        <v>0</v>
      </c>
      <c r="G17" s="6">
        <v>0</v>
      </c>
      <c r="H17" s="6"/>
      <c r="I17" s="6">
        <v>16</v>
      </c>
      <c r="J17" s="6" t="s">
        <v>1237</v>
      </c>
      <c r="K17" s="6" t="s">
        <v>1257</v>
      </c>
      <c r="L17" s="6" t="s">
        <v>506</v>
      </c>
      <c r="M17" s="6">
        <v>0.39</v>
      </c>
      <c r="N17" s="6">
        <v>61</v>
      </c>
      <c r="O17" s="6">
        <v>20</v>
      </c>
      <c r="P17" s="6">
        <v>36</v>
      </c>
    </row>
    <row r="18" spans="1:16" ht="45.6" x14ac:dyDescent="0.25">
      <c r="A18" s="6">
        <v>17</v>
      </c>
      <c r="B18" s="6"/>
      <c r="C18" s="6" t="s">
        <v>1221</v>
      </c>
      <c r="D18" s="6" t="s">
        <v>1222</v>
      </c>
      <c r="E18" s="6" t="s">
        <v>1223</v>
      </c>
      <c r="F18" s="6">
        <v>0</v>
      </c>
      <c r="G18" s="6">
        <v>0</v>
      </c>
      <c r="H18" s="6"/>
      <c r="I18" s="6">
        <v>17</v>
      </c>
      <c r="J18" s="6" t="s">
        <v>1237</v>
      </c>
      <c r="K18" s="6" t="s">
        <v>1031</v>
      </c>
      <c r="L18" s="6" t="s">
        <v>482</v>
      </c>
      <c r="M18" s="6">
        <v>2.52</v>
      </c>
      <c r="N18" s="6">
        <v>197</v>
      </c>
      <c r="O18" s="6">
        <v>128</v>
      </c>
      <c r="P18" s="6">
        <v>141</v>
      </c>
    </row>
    <row r="19" spans="1:16" ht="34.200000000000003" x14ac:dyDescent="0.25">
      <c r="A19" s="6">
        <v>18</v>
      </c>
      <c r="B19" s="6"/>
      <c r="C19" s="6" t="s">
        <v>788</v>
      </c>
      <c r="D19" s="6" t="s">
        <v>1224</v>
      </c>
      <c r="E19" s="6" t="s">
        <v>1225</v>
      </c>
      <c r="F19" s="6" t="s">
        <v>1226</v>
      </c>
      <c r="G19" s="6">
        <v>0</v>
      </c>
      <c r="H19" s="6"/>
      <c r="I19" s="6">
        <v>18</v>
      </c>
      <c r="J19" s="6" t="s">
        <v>1237</v>
      </c>
      <c r="K19" s="6" t="s">
        <v>1264</v>
      </c>
      <c r="L19" s="6" t="s">
        <v>517</v>
      </c>
      <c r="M19" s="6">
        <v>13.82</v>
      </c>
      <c r="N19" s="6">
        <v>1</v>
      </c>
      <c r="O19" s="6">
        <v>1</v>
      </c>
      <c r="P19" s="6">
        <v>0</v>
      </c>
    </row>
    <row r="20" spans="1:16" ht="22.8" x14ac:dyDescent="0.25">
      <c r="A20" s="6">
        <v>19</v>
      </c>
      <c r="B20" s="6"/>
      <c r="C20" s="6" t="s">
        <v>1227</v>
      </c>
      <c r="D20" s="6" t="s">
        <v>1228</v>
      </c>
      <c r="E20" s="6" t="s">
        <v>1229</v>
      </c>
      <c r="F20" s="6" t="s">
        <v>1230</v>
      </c>
      <c r="G20" s="6" t="s">
        <v>1231</v>
      </c>
      <c r="H20" s="6"/>
      <c r="I20" s="6">
        <v>19</v>
      </c>
      <c r="J20" s="6" t="s">
        <v>1237</v>
      </c>
      <c r="K20" s="6" t="s">
        <v>1033</v>
      </c>
      <c r="L20" s="6" t="s">
        <v>512</v>
      </c>
      <c r="M20" s="6">
        <v>2.7</v>
      </c>
      <c r="N20" s="6">
        <v>2</v>
      </c>
      <c r="O20" s="6">
        <v>6</v>
      </c>
      <c r="P20" s="6">
        <v>2</v>
      </c>
    </row>
    <row r="21" spans="1:16" ht="45.6" x14ac:dyDescent="0.25">
      <c r="A21" s="6">
        <v>20</v>
      </c>
      <c r="B21" s="6"/>
      <c r="C21" s="6" t="s">
        <v>756</v>
      </c>
      <c r="D21" s="6" t="s">
        <v>1232</v>
      </c>
      <c r="E21" s="6" t="s">
        <v>1233</v>
      </c>
      <c r="F21" s="6">
        <v>0</v>
      </c>
      <c r="G21" s="6">
        <v>0</v>
      </c>
      <c r="H21" s="6"/>
      <c r="I21" s="6">
        <v>20</v>
      </c>
      <c r="J21" s="6" t="s">
        <v>1272</v>
      </c>
      <c r="K21" s="6" t="s">
        <v>720</v>
      </c>
      <c r="L21" s="6" t="s">
        <v>1273</v>
      </c>
      <c r="M21" s="6">
        <v>32.549999999999997</v>
      </c>
      <c r="N21" s="6">
        <v>71</v>
      </c>
      <c r="O21" s="6">
        <v>37</v>
      </c>
      <c r="P21" s="6">
        <v>36</v>
      </c>
    </row>
    <row r="22" spans="1:16" ht="34.200000000000003" x14ac:dyDescent="0.25">
      <c r="A22" s="6">
        <v>21</v>
      </c>
      <c r="B22" s="6"/>
      <c r="C22" s="6" t="s">
        <v>1151</v>
      </c>
      <c r="D22" s="6" t="s">
        <v>1234</v>
      </c>
      <c r="E22" s="6">
        <v>0</v>
      </c>
      <c r="F22" s="6" t="s">
        <v>1235</v>
      </c>
      <c r="G22" s="6">
        <v>0</v>
      </c>
      <c r="H22" s="6"/>
      <c r="I22" s="6">
        <v>21</v>
      </c>
      <c r="J22" s="6" t="s">
        <v>1272</v>
      </c>
      <c r="K22" s="6" t="s">
        <v>1109</v>
      </c>
      <c r="L22" s="6" t="s">
        <v>1320</v>
      </c>
      <c r="M22" s="6">
        <v>0.08</v>
      </c>
      <c r="N22" s="6">
        <v>1828</v>
      </c>
      <c r="O22" s="6">
        <v>2011</v>
      </c>
      <c r="P22" s="6">
        <v>2558</v>
      </c>
    </row>
    <row r="23" spans="1:16" ht="34.200000000000003" x14ac:dyDescent="0.25">
      <c r="A23" s="6">
        <v>22</v>
      </c>
      <c r="B23" s="6"/>
      <c r="C23" s="6" t="s">
        <v>1142</v>
      </c>
      <c r="D23" s="6" t="s">
        <v>609</v>
      </c>
      <c r="E23" s="6">
        <v>0</v>
      </c>
      <c r="F23" s="6" t="s">
        <v>1231</v>
      </c>
      <c r="G23" s="6" t="s">
        <v>1236</v>
      </c>
      <c r="H23" s="6"/>
      <c r="I23" s="6">
        <v>22</v>
      </c>
      <c r="J23" s="6" t="s">
        <v>1272</v>
      </c>
      <c r="K23" s="6" t="s">
        <v>1111</v>
      </c>
      <c r="L23" s="6" t="s">
        <v>1277</v>
      </c>
      <c r="M23" s="6">
        <v>0.03</v>
      </c>
      <c r="N23" s="6">
        <v>2674</v>
      </c>
      <c r="O23" s="6">
        <v>0</v>
      </c>
      <c r="P23" s="6">
        <v>6665</v>
      </c>
    </row>
    <row r="24" spans="1:16" ht="22.8" x14ac:dyDescent="0.25">
      <c r="A24" s="6">
        <v>23</v>
      </c>
      <c r="B24" s="6" t="s">
        <v>1237</v>
      </c>
      <c r="C24" s="6" t="s">
        <v>1028</v>
      </c>
      <c r="D24" s="6" t="s">
        <v>533</v>
      </c>
      <c r="E24" s="6" t="s">
        <v>1238</v>
      </c>
      <c r="F24" s="6" t="s">
        <v>1239</v>
      </c>
      <c r="G24" s="6" t="s">
        <v>1240</v>
      </c>
      <c r="H24" s="6"/>
      <c r="I24" s="6">
        <v>23</v>
      </c>
      <c r="J24" s="6" t="s">
        <v>1272</v>
      </c>
      <c r="K24" s="6" t="s">
        <v>1280</v>
      </c>
      <c r="L24" s="6" t="s">
        <v>1281</v>
      </c>
      <c r="M24" s="6">
        <v>0.8</v>
      </c>
      <c r="N24" s="6">
        <v>89</v>
      </c>
      <c r="O24" s="6">
        <v>64</v>
      </c>
      <c r="P24" s="6">
        <v>71</v>
      </c>
    </row>
    <row r="25" spans="1:16" ht="34.200000000000003" x14ac:dyDescent="0.25">
      <c r="A25" s="6">
        <v>24</v>
      </c>
      <c r="B25" s="6"/>
      <c r="C25" s="6" t="s">
        <v>1241</v>
      </c>
      <c r="D25" s="6">
        <v>29102</v>
      </c>
      <c r="E25" s="6" t="s">
        <v>1242</v>
      </c>
      <c r="F25" s="6" t="s">
        <v>1243</v>
      </c>
      <c r="G25" s="6" t="s">
        <v>1244</v>
      </c>
      <c r="H25" s="6"/>
      <c r="I25" s="6">
        <v>24</v>
      </c>
      <c r="J25" s="6" t="s">
        <v>1272</v>
      </c>
      <c r="K25" s="6" t="s">
        <v>1288</v>
      </c>
      <c r="L25" s="6" t="s">
        <v>1289</v>
      </c>
      <c r="M25" s="6">
        <v>0.11</v>
      </c>
      <c r="N25" s="6">
        <v>310</v>
      </c>
      <c r="O25" s="6">
        <v>0</v>
      </c>
      <c r="P25" s="6">
        <v>0</v>
      </c>
    </row>
    <row r="26" spans="1:16" ht="45.6" x14ac:dyDescent="0.25">
      <c r="A26" s="6">
        <v>25</v>
      </c>
      <c r="B26" s="6"/>
      <c r="C26" s="6" t="s">
        <v>1245</v>
      </c>
      <c r="D26" s="6" t="s">
        <v>494</v>
      </c>
      <c r="E26" s="6" t="s">
        <v>1246</v>
      </c>
      <c r="F26" s="6" t="s">
        <v>1247</v>
      </c>
      <c r="G26" s="6" t="s">
        <v>1248</v>
      </c>
      <c r="H26" s="6"/>
      <c r="I26" s="6">
        <v>25</v>
      </c>
      <c r="J26" s="6" t="s">
        <v>1272</v>
      </c>
      <c r="K26" s="6" t="s">
        <v>904</v>
      </c>
      <c r="L26" s="6" t="s">
        <v>1291</v>
      </c>
      <c r="M26" s="6">
        <v>0.06</v>
      </c>
      <c r="N26" s="6">
        <v>37901</v>
      </c>
      <c r="O26" s="6">
        <v>53206</v>
      </c>
      <c r="P26" s="6">
        <v>44759</v>
      </c>
    </row>
    <row r="27" spans="1:16" ht="34.200000000000003" x14ac:dyDescent="0.25">
      <c r="A27" s="6">
        <v>26</v>
      </c>
      <c r="B27" s="6"/>
      <c r="C27" s="6" t="s">
        <v>1124</v>
      </c>
      <c r="D27" s="6" t="s">
        <v>522</v>
      </c>
      <c r="E27" s="6" t="s">
        <v>1249</v>
      </c>
      <c r="F27" s="6" t="s">
        <v>1250</v>
      </c>
      <c r="G27" s="6" t="s">
        <v>1251</v>
      </c>
      <c r="H27" s="6"/>
      <c r="I27" s="6">
        <v>26</v>
      </c>
      <c r="J27" s="6" t="s">
        <v>1272</v>
      </c>
      <c r="K27" s="6" t="s">
        <v>966</v>
      </c>
      <c r="L27" s="6" t="s">
        <v>1298</v>
      </c>
      <c r="M27" s="6">
        <v>13.15</v>
      </c>
      <c r="N27" s="6">
        <v>29</v>
      </c>
      <c r="O27" s="6">
        <v>5</v>
      </c>
      <c r="P27" s="6">
        <v>8</v>
      </c>
    </row>
    <row r="28" spans="1:16" ht="45.6" x14ac:dyDescent="0.25">
      <c r="A28" s="6">
        <v>27</v>
      </c>
      <c r="B28" s="6"/>
      <c r="C28" s="6" t="s">
        <v>947</v>
      </c>
      <c r="D28" s="6" t="s">
        <v>1252</v>
      </c>
      <c r="E28" s="6">
        <v>0</v>
      </c>
      <c r="F28" s="6" t="s">
        <v>1253</v>
      </c>
      <c r="G28" s="6" t="s">
        <v>1254</v>
      </c>
      <c r="H28" s="6"/>
      <c r="I28" s="6">
        <v>27</v>
      </c>
      <c r="J28" s="6" t="s">
        <v>1272</v>
      </c>
      <c r="K28" s="6" t="s">
        <v>907</v>
      </c>
      <c r="L28" s="6" t="s">
        <v>1302</v>
      </c>
      <c r="M28" s="6">
        <v>128.08000000000001</v>
      </c>
      <c r="N28" s="6">
        <v>7</v>
      </c>
      <c r="O28" s="6">
        <v>4</v>
      </c>
      <c r="P28" s="6">
        <v>5</v>
      </c>
    </row>
    <row r="29" spans="1:16" ht="34.200000000000003" x14ac:dyDescent="0.25">
      <c r="A29" s="6">
        <v>28</v>
      </c>
      <c r="B29" s="6"/>
      <c r="C29" s="6" t="s">
        <v>1255</v>
      </c>
      <c r="D29" s="6" t="s">
        <v>501</v>
      </c>
      <c r="E29" s="6" t="s">
        <v>1256</v>
      </c>
      <c r="F29" s="6">
        <v>0</v>
      </c>
      <c r="G29" s="6">
        <v>0</v>
      </c>
      <c r="H29" s="6"/>
      <c r="I29" s="6">
        <v>28</v>
      </c>
      <c r="J29" s="6" t="s">
        <v>1272</v>
      </c>
      <c r="K29" s="6" t="s">
        <v>982</v>
      </c>
      <c r="L29" s="6" t="s">
        <v>1295</v>
      </c>
      <c r="M29" s="6">
        <v>12.8</v>
      </c>
      <c r="N29" s="6">
        <v>3</v>
      </c>
      <c r="O29" s="6">
        <v>1</v>
      </c>
      <c r="P29" s="6">
        <v>0</v>
      </c>
    </row>
    <row r="30" spans="1:16" ht="34.200000000000003" x14ac:dyDescent="0.25">
      <c r="A30" s="6">
        <v>29</v>
      </c>
      <c r="B30" s="6"/>
      <c r="C30" s="6" t="s">
        <v>1257</v>
      </c>
      <c r="D30" s="6" t="s">
        <v>506</v>
      </c>
      <c r="E30" s="6" t="s">
        <v>1258</v>
      </c>
      <c r="F30" s="6" t="s">
        <v>1259</v>
      </c>
      <c r="G30" s="6" t="s">
        <v>1260</v>
      </c>
      <c r="H30" s="6"/>
      <c r="I30" s="6">
        <v>29</v>
      </c>
      <c r="J30" s="6" t="s">
        <v>1272</v>
      </c>
      <c r="K30" s="6" t="s">
        <v>792</v>
      </c>
      <c r="L30" s="6" t="s">
        <v>1306</v>
      </c>
      <c r="M30" s="6">
        <v>0.7</v>
      </c>
      <c r="N30" s="6">
        <v>113</v>
      </c>
      <c r="O30" s="6">
        <v>21</v>
      </c>
      <c r="P30" s="6">
        <v>29</v>
      </c>
    </row>
    <row r="31" spans="1:16" ht="34.200000000000003" x14ac:dyDescent="0.25">
      <c r="A31" s="6">
        <v>30</v>
      </c>
      <c r="B31" s="6"/>
      <c r="C31" s="6" t="s">
        <v>1031</v>
      </c>
      <c r="D31" s="6" t="s">
        <v>482</v>
      </c>
      <c r="E31" s="6" t="s">
        <v>1261</v>
      </c>
      <c r="F31" s="6" t="s">
        <v>1262</v>
      </c>
      <c r="G31" s="6" t="s">
        <v>1263</v>
      </c>
      <c r="H31" s="6"/>
      <c r="I31" s="6">
        <v>30</v>
      </c>
      <c r="J31" s="6" t="s">
        <v>1272</v>
      </c>
      <c r="K31" s="6" t="s">
        <v>986</v>
      </c>
      <c r="L31" s="6" t="s">
        <v>1313</v>
      </c>
      <c r="M31" s="6">
        <v>0.01</v>
      </c>
      <c r="N31" s="6">
        <v>21313</v>
      </c>
      <c r="O31" s="6">
        <v>10273</v>
      </c>
      <c r="P31" s="6">
        <v>5625</v>
      </c>
    </row>
    <row r="32" spans="1:16" ht="22.8" x14ac:dyDescent="0.25">
      <c r="A32" s="6">
        <v>31</v>
      </c>
      <c r="B32" s="6"/>
      <c r="C32" s="6" t="s">
        <v>1264</v>
      </c>
      <c r="D32" s="6" t="s">
        <v>517</v>
      </c>
      <c r="E32" s="6" t="s">
        <v>1265</v>
      </c>
      <c r="F32" s="6" t="s">
        <v>1266</v>
      </c>
      <c r="G32" s="6">
        <v>0</v>
      </c>
      <c r="H32" s="6"/>
      <c r="I32" s="6">
        <v>31</v>
      </c>
      <c r="J32" s="6" t="s">
        <v>1272</v>
      </c>
      <c r="K32" s="6" t="s">
        <v>1372</v>
      </c>
      <c r="L32" s="6" t="s">
        <v>1311</v>
      </c>
      <c r="M32" s="6">
        <v>0.25</v>
      </c>
      <c r="N32" s="6">
        <v>38</v>
      </c>
      <c r="O32" s="6">
        <v>0</v>
      </c>
      <c r="P32" s="6">
        <v>0</v>
      </c>
    </row>
    <row r="33" spans="1:16" ht="34.200000000000003" x14ac:dyDescent="0.25">
      <c r="A33" s="6">
        <v>32</v>
      </c>
      <c r="B33" s="6"/>
      <c r="C33" s="6" t="s">
        <v>1033</v>
      </c>
      <c r="D33" s="6" t="s">
        <v>512</v>
      </c>
      <c r="E33" s="6" t="s">
        <v>1267</v>
      </c>
      <c r="F33" s="6" t="s">
        <v>1268</v>
      </c>
      <c r="G33" s="6" t="s">
        <v>1269</v>
      </c>
      <c r="H33" s="6"/>
      <c r="I33" s="6">
        <v>32</v>
      </c>
      <c r="J33" s="6" t="s">
        <v>1272</v>
      </c>
      <c r="K33" s="6" t="s">
        <v>969</v>
      </c>
      <c r="L33" s="6" t="s">
        <v>1324</v>
      </c>
      <c r="M33" s="6">
        <v>1.89</v>
      </c>
      <c r="N33" s="6">
        <v>14</v>
      </c>
      <c r="O33" s="6">
        <v>27</v>
      </c>
      <c r="P33" s="6">
        <v>20</v>
      </c>
    </row>
    <row r="34" spans="1:16" ht="34.200000000000003" x14ac:dyDescent="0.25">
      <c r="A34" s="6">
        <v>33</v>
      </c>
      <c r="B34" s="6"/>
      <c r="C34" s="6" t="s">
        <v>1027</v>
      </c>
      <c r="D34" s="6" t="s">
        <v>1270</v>
      </c>
      <c r="E34" s="6">
        <v>0</v>
      </c>
      <c r="F34" s="6">
        <v>0</v>
      </c>
      <c r="G34" s="6" t="s">
        <v>1271</v>
      </c>
      <c r="H34" s="6"/>
      <c r="I34" s="6">
        <v>33</v>
      </c>
      <c r="J34" s="6" t="s">
        <v>1272</v>
      </c>
      <c r="K34" s="6" t="s">
        <v>995</v>
      </c>
      <c r="L34" s="6" t="s">
        <v>1328</v>
      </c>
      <c r="M34" s="6">
        <v>1.1200000000000001</v>
      </c>
      <c r="N34" s="6">
        <v>13</v>
      </c>
      <c r="O34" s="6">
        <v>6</v>
      </c>
      <c r="P34" s="6">
        <v>0</v>
      </c>
    </row>
    <row r="35" spans="1:16" ht="34.200000000000003" x14ac:dyDescent="0.25">
      <c r="A35" s="6">
        <v>34</v>
      </c>
      <c r="B35" s="6" t="s">
        <v>1272</v>
      </c>
      <c r="C35" s="6" t="s">
        <v>720</v>
      </c>
      <c r="D35" s="6" t="s">
        <v>1273</v>
      </c>
      <c r="E35" s="6" t="s">
        <v>1274</v>
      </c>
      <c r="F35" s="6" t="s">
        <v>1275</v>
      </c>
      <c r="G35" s="6" t="s">
        <v>1276</v>
      </c>
      <c r="H35" s="6"/>
      <c r="I35" s="6">
        <v>34</v>
      </c>
      <c r="J35" s="6" t="s">
        <v>1272</v>
      </c>
      <c r="K35" s="6" t="s">
        <v>1163</v>
      </c>
      <c r="L35" s="6" t="s">
        <v>1331</v>
      </c>
      <c r="M35" s="6">
        <v>1.5</v>
      </c>
      <c r="N35" s="6">
        <v>10</v>
      </c>
      <c r="O35" s="6">
        <v>53</v>
      </c>
      <c r="P35" s="6">
        <v>16</v>
      </c>
    </row>
    <row r="36" spans="1:16" ht="34.200000000000003" x14ac:dyDescent="0.25">
      <c r="A36" s="6">
        <v>35</v>
      </c>
      <c r="B36" s="6"/>
      <c r="C36" s="6" t="s">
        <v>1111</v>
      </c>
      <c r="D36" s="6" t="s">
        <v>1277</v>
      </c>
      <c r="E36" s="6" t="s">
        <v>1278</v>
      </c>
      <c r="F36" s="6">
        <v>0</v>
      </c>
      <c r="G36" s="6" t="s">
        <v>1279</v>
      </c>
      <c r="H36" s="6"/>
      <c r="I36" s="6">
        <v>35</v>
      </c>
      <c r="J36" s="6" t="s">
        <v>1272</v>
      </c>
      <c r="K36" s="6" t="s">
        <v>1136</v>
      </c>
      <c r="L36" s="6" t="s">
        <v>1317</v>
      </c>
      <c r="M36" s="6">
        <v>1.4</v>
      </c>
      <c r="N36" s="6">
        <v>71</v>
      </c>
      <c r="O36" s="6">
        <v>36</v>
      </c>
      <c r="P36" s="6">
        <v>0</v>
      </c>
    </row>
    <row r="37" spans="1:16" ht="34.200000000000003" x14ac:dyDescent="0.25">
      <c r="A37" s="6">
        <v>36</v>
      </c>
      <c r="B37" s="6"/>
      <c r="C37" s="6" t="s">
        <v>1280</v>
      </c>
      <c r="D37" s="6" t="s">
        <v>1281</v>
      </c>
      <c r="E37" s="6" t="s">
        <v>1282</v>
      </c>
      <c r="F37" s="6" t="s">
        <v>1283</v>
      </c>
      <c r="G37" s="6" t="s">
        <v>1284</v>
      </c>
      <c r="H37" s="6"/>
      <c r="I37" s="6">
        <v>36</v>
      </c>
      <c r="J37" s="6" t="s">
        <v>1272</v>
      </c>
      <c r="K37" s="6" t="s">
        <v>989</v>
      </c>
      <c r="L37" s="6" t="s">
        <v>1339</v>
      </c>
      <c r="M37" s="6">
        <v>3.15</v>
      </c>
      <c r="N37" s="6">
        <v>1</v>
      </c>
      <c r="O37" s="6">
        <v>0</v>
      </c>
      <c r="P37" s="6">
        <v>0</v>
      </c>
    </row>
    <row r="38" spans="1:16" ht="45.6" x14ac:dyDescent="0.25">
      <c r="A38" s="6">
        <v>37</v>
      </c>
      <c r="B38" s="6"/>
      <c r="C38" s="6" t="s">
        <v>1285</v>
      </c>
      <c r="D38" s="6" t="s">
        <v>1286</v>
      </c>
      <c r="E38" s="6">
        <v>0</v>
      </c>
      <c r="F38" s="6" t="s">
        <v>1287</v>
      </c>
      <c r="G38" s="6">
        <v>0</v>
      </c>
      <c r="H38" s="6"/>
      <c r="I38" s="6">
        <v>37</v>
      </c>
      <c r="J38" s="6" t="s">
        <v>1211</v>
      </c>
      <c r="K38" s="6" t="s">
        <v>1373</v>
      </c>
      <c r="L38" s="6" t="s">
        <v>1232</v>
      </c>
      <c r="M38" s="6">
        <v>0.12</v>
      </c>
      <c r="N38" s="6">
        <v>16</v>
      </c>
      <c r="O38" s="6">
        <v>0</v>
      </c>
      <c r="P38" s="6">
        <v>0</v>
      </c>
    </row>
    <row r="39" spans="1:16" ht="34.200000000000003" x14ac:dyDescent="0.25">
      <c r="A39" s="6">
        <v>38</v>
      </c>
      <c r="B39" s="6"/>
      <c r="C39" s="6" t="s">
        <v>1288</v>
      </c>
      <c r="D39" s="6" t="s">
        <v>1289</v>
      </c>
      <c r="E39" s="6" t="s">
        <v>1290</v>
      </c>
      <c r="F39" s="6">
        <v>0</v>
      </c>
      <c r="G39" s="6">
        <v>0</v>
      </c>
      <c r="H39" s="6"/>
      <c r="I39" s="6">
        <v>38</v>
      </c>
      <c r="J39" s="6" t="s">
        <v>1170</v>
      </c>
      <c r="K39" s="6" t="s">
        <v>1180</v>
      </c>
      <c r="L39" s="6" t="s">
        <v>1181</v>
      </c>
      <c r="M39" s="6">
        <v>45</v>
      </c>
      <c r="N39" s="6">
        <v>1</v>
      </c>
      <c r="O39" s="6">
        <v>0</v>
      </c>
      <c r="P39" s="6">
        <v>0</v>
      </c>
    </row>
    <row r="40" spans="1:16" ht="45.6" x14ac:dyDescent="0.25">
      <c r="A40" s="6">
        <v>39</v>
      </c>
      <c r="B40" s="6"/>
      <c r="C40" s="6" t="s">
        <v>904</v>
      </c>
      <c r="D40" s="6" t="s">
        <v>1291</v>
      </c>
      <c r="E40" s="6" t="s">
        <v>1292</v>
      </c>
      <c r="F40" s="6" t="s">
        <v>1293</v>
      </c>
      <c r="G40" s="6" t="s">
        <v>1294</v>
      </c>
      <c r="H40" s="6"/>
      <c r="I40" s="6">
        <v>39</v>
      </c>
      <c r="J40" s="6" t="s">
        <v>1170</v>
      </c>
      <c r="K40" s="6" t="s">
        <v>1184</v>
      </c>
      <c r="L40" s="6" t="s">
        <v>1185</v>
      </c>
      <c r="M40" s="6">
        <v>50</v>
      </c>
      <c r="N40" s="6">
        <v>2</v>
      </c>
      <c r="O40" s="6">
        <v>3</v>
      </c>
      <c r="P40" s="6">
        <v>0</v>
      </c>
    </row>
    <row r="41" spans="1:16" ht="34.200000000000003" x14ac:dyDescent="0.25">
      <c r="A41" s="6">
        <v>40</v>
      </c>
      <c r="B41" s="6"/>
      <c r="C41" s="6" t="s">
        <v>982</v>
      </c>
      <c r="D41" s="6" t="s">
        <v>1295</v>
      </c>
      <c r="E41" s="6" t="s">
        <v>1296</v>
      </c>
      <c r="F41" s="6" t="s">
        <v>1297</v>
      </c>
      <c r="G41" s="6">
        <v>0</v>
      </c>
      <c r="H41" s="6"/>
      <c r="I41" s="6">
        <v>40</v>
      </c>
      <c r="J41" s="6" t="s">
        <v>1170</v>
      </c>
      <c r="K41" s="6" t="s">
        <v>1191</v>
      </c>
      <c r="L41" s="6" t="s">
        <v>464</v>
      </c>
      <c r="M41" s="6">
        <v>1.51</v>
      </c>
      <c r="N41" s="6">
        <v>16</v>
      </c>
      <c r="O41" s="6">
        <v>0</v>
      </c>
      <c r="P41" s="6">
        <v>0</v>
      </c>
    </row>
    <row r="42" spans="1:16" ht="34.200000000000003" x14ac:dyDescent="0.25">
      <c r="A42" s="6">
        <v>41</v>
      </c>
      <c r="B42" s="6"/>
      <c r="C42" s="6" t="s">
        <v>966</v>
      </c>
      <c r="D42" s="6" t="s">
        <v>1298</v>
      </c>
      <c r="E42" s="6" t="s">
        <v>1299</v>
      </c>
      <c r="F42" s="6" t="s">
        <v>1300</v>
      </c>
      <c r="G42" s="6" t="s">
        <v>1301</v>
      </c>
      <c r="H42" s="6"/>
      <c r="I42" s="6">
        <v>41</v>
      </c>
      <c r="J42" s="6" t="s">
        <v>1170</v>
      </c>
      <c r="K42" s="6" t="s">
        <v>1196</v>
      </c>
      <c r="L42" s="6" t="s">
        <v>1197</v>
      </c>
      <c r="M42" s="6">
        <v>1.43</v>
      </c>
      <c r="N42" s="6">
        <v>2</v>
      </c>
      <c r="O42" s="6">
        <v>0</v>
      </c>
      <c r="P42" s="6">
        <v>0</v>
      </c>
    </row>
    <row r="43" spans="1:16" ht="34.200000000000003" x14ac:dyDescent="0.25">
      <c r="A43" s="6">
        <v>42</v>
      </c>
      <c r="B43" s="6"/>
      <c r="C43" s="6" t="s">
        <v>907</v>
      </c>
      <c r="D43" s="6" t="s">
        <v>1302</v>
      </c>
      <c r="E43" s="6" t="s">
        <v>1303</v>
      </c>
      <c r="F43" s="6" t="s">
        <v>1304</v>
      </c>
      <c r="G43" s="6" t="s">
        <v>1305</v>
      </c>
      <c r="H43" s="6"/>
      <c r="I43" s="6">
        <v>42</v>
      </c>
      <c r="J43" s="6" t="s">
        <v>1211</v>
      </c>
      <c r="K43" s="6" t="s">
        <v>1151</v>
      </c>
      <c r="L43" s="6" t="s">
        <v>1234</v>
      </c>
      <c r="M43" s="6">
        <v>1.43</v>
      </c>
      <c r="N43" s="6">
        <v>0</v>
      </c>
      <c r="O43" s="6">
        <v>1</v>
      </c>
      <c r="P43" s="6">
        <v>0</v>
      </c>
    </row>
    <row r="44" spans="1:16" ht="34.200000000000003" x14ac:dyDescent="0.25">
      <c r="A44" s="6">
        <v>43</v>
      </c>
      <c r="B44" s="6"/>
      <c r="C44" s="6" t="s">
        <v>792</v>
      </c>
      <c r="D44" s="6" t="s">
        <v>1306</v>
      </c>
      <c r="E44" s="6" t="s">
        <v>1307</v>
      </c>
      <c r="F44" s="6" t="s">
        <v>1308</v>
      </c>
      <c r="G44" s="6" t="s">
        <v>1309</v>
      </c>
      <c r="H44" s="6"/>
      <c r="I44" s="6">
        <v>43</v>
      </c>
      <c r="J44" s="6" t="s">
        <v>1237</v>
      </c>
      <c r="K44" s="6" t="s">
        <v>1255</v>
      </c>
      <c r="L44" s="6" t="s">
        <v>501</v>
      </c>
      <c r="M44" s="6">
        <v>0.15</v>
      </c>
      <c r="N44" s="6">
        <v>38</v>
      </c>
      <c r="O44" s="6">
        <v>0</v>
      </c>
      <c r="P44" s="6">
        <v>0</v>
      </c>
    </row>
    <row r="45" spans="1:16" ht="34.200000000000003" x14ac:dyDescent="0.25">
      <c r="A45" s="6">
        <v>44</v>
      </c>
      <c r="B45" s="6"/>
      <c r="C45" s="6" t="s">
        <v>1310</v>
      </c>
      <c r="D45" s="6" t="s">
        <v>1311</v>
      </c>
      <c r="E45" s="6" t="s">
        <v>1312</v>
      </c>
      <c r="F45" s="6">
        <v>0</v>
      </c>
      <c r="G45" s="6">
        <v>0</v>
      </c>
      <c r="H45" s="6"/>
      <c r="I45" s="6">
        <v>44</v>
      </c>
      <c r="J45" s="6" t="s">
        <v>1237</v>
      </c>
      <c r="K45" s="6" t="s">
        <v>1027</v>
      </c>
      <c r="L45" s="6" t="s">
        <v>1270</v>
      </c>
      <c r="M45" s="6">
        <v>3.56</v>
      </c>
      <c r="N45" s="6">
        <v>0</v>
      </c>
      <c r="O45" s="6">
        <v>0</v>
      </c>
      <c r="P45" s="6">
        <v>2</v>
      </c>
    </row>
    <row r="46" spans="1:16" ht="34.200000000000003" x14ac:dyDescent="0.25">
      <c r="A46" s="6">
        <v>45</v>
      </c>
      <c r="B46" s="6" t="s">
        <v>1272</v>
      </c>
      <c r="C46" s="6" t="s">
        <v>986</v>
      </c>
      <c r="D46" s="6" t="s">
        <v>1313</v>
      </c>
      <c r="E46" s="6" t="s">
        <v>1314</v>
      </c>
      <c r="F46" s="6" t="s">
        <v>1315</v>
      </c>
      <c r="G46" s="6" t="s">
        <v>1316</v>
      </c>
      <c r="H46" s="6"/>
      <c r="I46" s="6">
        <v>45</v>
      </c>
      <c r="J46" s="6" t="s">
        <v>1272</v>
      </c>
      <c r="K46" s="6" t="s">
        <v>1374</v>
      </c>
      <c r="L46" s="6" t="s">
        <v>1375</v>
      </c>
      <c r="M46" s="6" t="s">
        <v>1375</v>
      </c>
      <c r="N46" s="6" t="s">
        <v>1375</v>
      </c>
      <c r="O46" s="6" t="s">
        <v>1375</v>
      </c>
      <c r="P46" s="6"/>
    </row>
    <row r="47" spans="1:16" ht="34.200000000000003" x14ac:dyDescent="0.25">
      <c r="A47" s="6">
        <v>46</v>
      </c>
      <c r="B47" s="6"/>
      <c r="C47" s="6" t="s">
        <v>1136</v>
      </c>
      <c r="D47" s="6" t="s">
        <v>1317</v>
      </c>
      <c r="E47" s="6" t="s">
        <v>1318</v>
      </c>
      <c r="F47" s="6" t="s">
        <v>1319</v>
      </c>
      <c r="G47" s="6">
        <v>0</v>
      </c>
      <c r="H47" s="6"/>
      <c r="I47" s="6"/>
      <c r="J47" s="6"/>
      <c r="K47" s="6"/>
      <c r="L47" s="6"/>
      <c r="M47" s="6"/>
      <c r="N47" s="6"/>
      <c r="O47" s="6"/>
      <c r="P47" s="6"/>
    </row>
    <row r="48" spans="1:16" ht="34.200000000000003" x14ac:dyDescent="0.25">
      <c r="A48" s="6">
        <v>47</v>
      </c>
      <c r="B48" s="6"/>
      <c r="C48" s="6" t="s">
        <v>1109</v>
      </c>
      <c r="D48" s="6" t="s">
        <v>1320</v>
      </c>
      <c r="E48" s="6" t="s">
        <v>1321</v>
      </c>
      <c r="F48" s="6" t="s">
        <v>1322</v>
      </c>
      <c r="G48" s="6" t="s">
        <v>1323</v>
      </c>
      <c r="H48" s="6"/>
      <c r="I48" s="6"/>
      <c r="J48" s="6"/>
      <c r="K48" s="6"/>
      <c r="L48" s="6"/>
      <c r="M48" s="6"/>
      <c r="N48" s="6"/>
      <c r="O48" s="6"/>
      <c r="P48" s="6"/>
    </row>
    <row r="49" spans="1:16" ht="34.200000000000003" x14ac:dyDescent="0.25">
      <c r="A49" s="6">
        <v>48</v>
      </c>
      <c r="B49" s="6"/>
      <c r="C49" s="6" t="s">
        <v>969</v>
      </c>
      <c r="D49" s="6" t="s">
        <v>1324</v>
      </c>
      <c r="E49" s="6" t="s">
        <v>1325</v>
      </c>
      <c r="F49" s="6" t="s">
        <v>1326</v>
      </c>
      <c r="G49" s="6" t="s">
        <v>1327</v>
      </c>
      <c r="H49" s="6"/>
      <c r="I49" s="6"/>
      <c r="J49" s="6"/>
      <c r="K49" s="6"/>
      <c r="L49" s="6"/>
      <c r="M49" s="6"/>
      <c r="N49" s="6"/>
      <c r="O49" s="6"/>
      <c r="P49" s="6"/>
    </row>
    <row r="50" spans="1:16" ht="34.200000000000003" x14ac:dyDescent="0.25">
      <c r="A50" s="6">
        <v>49</v>
      </c>
      <c r="B50" s="6"/>
      <c r="C50" s="6" t="s">
        <v>995</v>
      </c>
      <c r="D50" s="6" t="s">
        <v>1328</v>
      </c>
      <c r="E50" s="6" t="s">
        <v>1329</v>
      </c>
      <c r="F50" s="6" t="s">
        <v>1330</v>
      </c>
      <c r="G50" s="6">
        <v>0</v>
      </c>
      <c r="H50" s="6"/>
      <c r="I50" s="6"/>
      <c r="J50" s="6"/>
      <c r="K50" s="6"/>
      <c r="L50" s="6"/>
      <c r="M50" s="6"/>
      <c r="N50" s="6"/>
      <c r="O50" s="6"/>
      <c r="P50" s="6"/>
    </row>
    <row r="51" spans="1:16" ht="34.200000000000003" x14ac:dyDescent="0.25">
      <c r="A51" s="6">
        <v>50</v>
      </c>
      <c r="B51" s="6"/>
      <c r="C51" s="6" t="s">
        <v>1163</v>
      </c>
      <c r="D51" s="6" t="s">
        <v>1331</v>
      </c>
      <c r="E51" s="6" t="s">
        <v>1332</v>
      </c>
      <c r="F51" s="6" t="s">
        <v>1333</v>
      </c>
      <c r="G51" s="6" t="s">
        <v>1334</v>
      </c>
      <c r="H51" s="6"/>
      <c r="I51" s="6"/>
      <c r="J51" s="6"/>
      <c r="K51" s="6"/>
      <c r="L51" s="6"/>
      <c r="M51" s="6"/>
      <c r="N51" s="6"/>
      <c r="O51" s="6"/>
      <c r="P51" s="6"/>
    </row>
    <row r="52" spans="1:16" ht="34.200000000000003" x14ac:dyDescent="0.25">
      <c r="A52" s="6">
        <v>51</v>
      </c>
      <c r="B52" s="6"/>
      <c r="C52" s="6" t="s">
        <v>1335</v>
      </c>
      <c r="D52" s="6" t="s">
        <v>1336</v>
      </c>
      <c r="E52" s="6" t="s">
        <v>1337</v>
      </c>
      <c r="F52" s="6">
        <v>0</v>
      </c>
      <c r="G52" s="6" t="s">
        <v>1338</v>
      </c>
      <c r="H52" s="6"/>
      <c r="I52" s="6"/>
      <c r="J52" s="6"/>
      <c r="K52" s="6"/>
      <c r="L52" s="6"/>
      <c r="M52" s="6"/>
      <c r="N52" s="6"/>
      <c r="O52" s="6"/>
      <c r="P52" s="6"/>
    </row>
    <row r="53" spans="1:16" ht="34.200000000000003" x14ac:dyDescent="0.25">
      <c r="A53" s="6">
        <v>52</v>
      </c>
      <c r="B53" s="6"/>
      <c r="C53" s="6" t="s">
        <v>989</v>
      </c>
      <c r="D53" s="6" t="s">
        <v>1339</v>
      </c>
      <c r="E53" s="6" t="s">
        <v>1340</v>
      </c>
      <c r="F53" s="6">
        <v>0</v>
      </c>
      <c r="G53" s="6">
        <v>0</v>
      </c>
      <c r="H53" s="6"/>
      <c r="I53" s="6"/>
      <c r="J53" s="6"/>
      <c r="K53" s="6"/>
      <c r="L53" s="6"/>
      <c r="M53" s="6"/>
      <c r="N53" s="6"/>
      <c r="O53" s="6"/>
      <c r="P53" s="6"/>
    </row>
    <row r="54" spans="1:16" ht="22.8" x14ac:dyDescent="0.25">
      <c r="A54" s="6">
        <v>53</v>
      </c>
      <c r="B54" s="6"/>
      <c r="C54" s="6" t="s">
        <v>1341</v>
      </c>
      <c r="D54" s="6" t="s">
        <v>1342</v>
      </c>
      <c r="E54" s="6" t="s">
        <v>1343</v>
      </c>
      <c r="F54" s="6" t="s">
        <v>1344</v>
      </c>
      <c r="G54" s="6">
        <v>0</v>
      </c>
      <c r="H54" s="6"/>
      <c r="I54" s="6"/>
      <c r="J54" s="6"/>
      <c r="K54" s="6"/>
      <c r="L54" s="6"/>
      <c r="M54" s="6"/>
      <c r="N54" s="6"/>
      <c r="O54" s="6"/>
      <c r="P54" s="6"/>
    </row>
    <row r="55" spans="1:16" ht="34.200000000000003" x14ac:dyDescent="0.25">
      <c r="A55" s="6">
        <v>54</v>
      </c>
      <c r="B55" s="6"/>
      <c r="C55" s="6" t="s">
        <v>1161</v>
      </c>
      <c r="D55" s="6" t="s">
        <v>1345</v>
      </c>
      <c r="E55" s="6" t="s">
        <v>1346</v>
      </c>
      <c r="F55" s="6" t="s">
        <v>1347</v>
      </c>
      <c r="G55" s="6">
        <v>0</v>
      </c>
      <c r="H55" s="6"/>
      <c r="I55" s="6"/>
      <c r="J55" s="6"/>
      <c r="K55" s="6"/>
      <c r="L55" s="6"/>
      <c r="M55" s="6"/>
      <c r="N55" s="6"/>
      <c r="O55" s="6"/>
      <c r="P55" s="6"/>
    </row>
    <row r="56" spans="1:16" ht="34.200000000000003" x14ac:dyDescent="0.25">
      <c r="A56" s="6">
        <v>55</v>
      </c>
      <c r="B56" s="6"/>
      <c r="C56" s="6" t="s">
        <v>1348</v>
      </c>
      <c r="D56" s="6" t="s">
        <v>1349</v>
      </c>
      <c r="E56" s="6">
        <v>0</v>
      </c>
      <c r="F56" s="6" t="s">
        <v>1350</v>
      </c>
      <c r="G56" s="6">
        <v>0</v>
      </c>
      <c r="H56" s="6"/>
      <c r="I56" s="6"/>
      <c r="J56" s="6"/>
      <c r="K56" s="6"/>
      <c r="L56" s="6"/>
      <c r="M56" s="6"/>
      <c r="N56" s="6"/>
      <c r="O56" s="6"/>
      <c r="P56" s="6"/>
    </row>
    <row r="57" spans="1:16" ht="34.200000000000003" x14ac:dyDescent="0.25">
      <c r="A57" s="6">
        <v>56</v>
      </c>
      <c r="B57" s="6"/>
      <c r="C57" s="6" t="s">
        <v>1351</v>
      </c>
      <c r="D57" s="6" t="s">
        <v>1352</v>
      </c>
      <c r="E57" s="6" t="s">
        <v>1353</v>
      </c>
      <c r="F57" s="6">
        <v>0</v>
      </c>
      <c r="G57" s="6">
        <v>0</v>
      </c>
      <c r="H57" s="6"/>
      <c r="I57" s="6"/>
      <c r="J57" s="6"/>
      <c r="K57" s="6"/>
      <c r="L57" s="6"/>
      <c r="M57" s="6"/>
      <c r="N57" s="6"/>
      <c r="O57" s="6"/>
      <c r="P57" s="6"/>
    </row>
    <row r="58" spans="1:16" ht="34.200000000000003" x14ac:dyDescent="0.25">
      <c r="A58" s="6">
        <v>57</v>
      </c>
      <c r="B58" s="6"/>
      <c r="C58" s="6" t="s">
        <v>1354</v>
      </c>
      <c r="D58" s="6" t="s">
        <v>1355</v>
      </c>
      <c r="E58" s="6" t="s">
        <v>1356</v>
      </c>
      <c r="F58" s="6">
        <v>0</v>
      </c>
      <c r="G58" s="6">
        <v>0</v>
      </c>
      <c r="H58" s="6"/>
      <c r="I58" s="6"/>
      <c r="J58" s="6"/>
      <c r="K58" s="6"/>
      <c r="L58" s="6"/>
      <c r="M58" s="6"/>
      <c r="N58" s="6"/>
      <c r="O58" s="6"/>
      <c r="P58" s="6"/>
    </row>
    <row r="59" spans="1:16" ht="34.200000000000003" x14ac:dyDescent="0.25">
      <c r="A59" s="6">
        <v>58</v>
      </c>
      <c r="B59" s="6"/>
      <c r="C59" s="6" t="s">
        <v>1357</v>
      </c>
      <c r="D59" s="6" t="s">
        <v>1358</v>
      </c>
      <c r="E59" s="6" t="s">
        <v>1359</v>
      </c>
      <c r="F59" s="6">
        <v>0</v>
      </c>
      <c r="G59" s="6">
        <v>0</v>
      </c>
      <c r="H59" s="6"/>
      <c r="I59" s="6"/>
      <c r="J59" s="6"/>
      <c r="K59" s="6"/>
      <c r="L59" s="6"/>
      <c r="M59" s="6"/>
      <c r="N59" s="6"/>
      <c r="O59" s="6"/>
      <c r="P59" s="6"/>
    </row>
    <row r="60" spans="1:16" ht="22.8" x14ac:dyDescent="0.25">
      <c r="A60" s="6">
        <v>59</v>
      </c>
      <c r="B60" s="6"/>
      <c r="C60" s="6" t="s">
        <v>1011</v>
      </c>
      <c r="D60" s="6" t="s">
        <v>1360</v>
      </c>
      <c r="E60" s="6" t="s">
        <v>1361</v>
      </c>
      <c r="F60" s="6" t="s">
        <v>1362</v>
      </c>
      <c r="G60" s="6" t="s">
        <v>1363</v>
      </c>
      <c r="H60" s="6"/>
      <c r="I60" s="6"/>
      <c r="J60" s="6"/>
      <c r="K60" s="6"/>
      <c r="L60" s="6"/>
      <c r="M60" s="6"/>
      <c r="N60" s="6"/>
      <c r="O60" s="6"/>
      <c r="P60" s="6"/>
    </row>
    <row r="61" spans="1:16" ht="34.200000000000003" x14ac:dyDescent="0.25">
      <c r="A61" s="6">
        <v>60</v>
      </c>
      <c r="B61" s="6"/>
      <c r="C61" s="6" t="s">
        <v>1364</v>
      </c>
      <c r="D61" s="6" t="s">
        <v>1365</v>
      </c>
      <c r="E61" s="6">
        <v>0</v>
      </c>
      <c r="F61" s="6" t="s">
        <v>1366</v>
      </c>
      <c r="G61" s="6" t="s">
        <v>1367</v>
      </c>
      <c r="H61" s="6"/>
      <c r="I61" s="6"/>
      <c r="J61" s="6"/>
      <c r="K61" s="6"/>
      <c r="L61" s="6"/>
      <c r="M61" s="6"/>
      <c r="N61" s="6"/>
      <c r="O61" s="6"/>
      <c r="P61" s="6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893ED-10D6-4E01-8773-408A87330963}">
  <dimension ref="A1:M45"/>
  <sheetViews>
    <sheetView workbookViewId="0">
      <selection activeCell="R10" sqref="R10"/>
    </sheetView>
  </sheetViews>
  <sheetFormatPr defaultRowHeight="13.8" x14ac:dyDescent="0.25"/>
  <sheetData>
    <row r="1" spans="1:13" ht="34.200000000000003" x14ac:dyDescent="0.25">
      <c r="A1" s="6" t="s">
        <v>1376</v>
      </c>
      <c r="B1" s="6" t="s">
        <v>1377</v>
      </c>
      <c r="C1" s="6" t="s">
        <v>1468</v>
      </c>
      <c r="D1" s="6" t="s">
        <v>1378</v>
      </c>
      <c r="E1" s="6" t="s">
        <v>1379</v>
      </c>
      <c r="F1" s="6" t="s">
        <v>1380</v>
      </c>
      <c r="G1" s="6" t="s">
        <v>1381</v>
      </c>
      <c r="H1" s="6" t="s">
        <v>1382</v>
      </c>
      <c r="I1" s="6" t="s">
        <v>1383</v>
      </c>
      <c r="J1" s="6" t="s">
        <v>1384</v>
      </c>
      <c r="K1" s="6" t="s">
        <v>1385</v>
      </c>
      <c r="L1" s="6" t="s">
        <v>1386</v>
      </c>
      <c r="M1" s="6" t="s">
        <v>1387</v>
      </c>
    </row>
    <row r="2" spans="1:13" ht="34.200000000000003" x14ac:dyDescent="0.25">
      <c r="A2" s="6">
        <v>19</v>
      </c>
      <c r="B2" s="6" t="s">
        <v>1388</v>
      </c>
      <c r="C2" s="6" t="s">
        <v>1389</v>
      </c>
      <c r="D2" s="6">
        <v>29229</v>
      </c>
      <c r="E2" s="6">
        <v>23061</v>
      </c>
      <c r="F2" s="6">
        <v>28017</v>
      </c>
      <c r="G2" s="6">
        <v>22810</v>
      </c>
      <c r="H2" s="6">
        <v>28456</v>
      </c>
      <c r="I2" s="6">
        <v>22909</v>
      </c>
      <c r="J2" s="6">
        <v>27266</v>
      </c>
      <c r="K2" s="6">
        <v>22513</v>
      </c>
      <c r="L2" s="6">
        <v>30552</v>
      </c>
      <c r="M2" s="6">
        <v>25546</v>
      </c>
    </row>
    <row r="3" spans="1:13" ht="34.200000000000003" x14ac:dyDescent="0.25">
      <c r="A3" s="6">
        <v>7</v>
      </c>
      <c r="B3" s="6" t="s">
        <v>1390</v>
      </c>
      <c r="C3" s="6" t="s">
        <v>1391</v>
      </c>
      <c r="D3" s="6">
        <v>3299</v>
      </c>
      <c r="E3" s="6">
        <v>2679</v>
      </c>
      <c r="F3" s="6">
        <v>3069</v>
      </c>
      <c r="G3" s="6">
        <v>310</v>
      </c>
      <c r="H3" s="6">
        <v>2990</v>
      </c>
      <c r="I3" s="6">
        <v>264</v>
      </c>
      <c r="J3" s="6">
        <v>2796</v>
      </c>
      <c r="K3" s="6">
        <v>2403</v>
      </c>
      <c r="L3" s="6">
        <v>5348</v>
      </c>
      <c r="M3" s="6">
        <v>3030</v>
      </c>
    </row>
    <row r="4" spans="1:13" ht="34.200000000000003" x14ac:dyDescent="0.25">
      <c r="A4" s="6">
        <v>10</v>
      </c>
      <c r="B4" s="6" t="s">
        <v>1392</v>
      </c>
      <c r="C4" s="6" t="s">
        <v>1393</v>
      </c>
      <c r="D4" s="6">
        <v>1211</v>
      </c>
      <c r="E4" s="6">
        <v>525</v>
      </c>
      <c r="F4" s="6">
        <v>1077</v>
      </c>
      <c r="G4" s="6">
        <v>332</v>
      </c>
      <c r="H4" s="6">
        <v>1177</v>
      </c>
      <c r="I4" s="6">
        <v>366</v>
      </c>
      <c r="J4" s="6">
        <v>688</v>
      </c>
      <c r="K4" s="6">
        <v>135</v>
      </c>
      <c r="L4" s="6">
        <v>1159</v>
      </c>
      <c r="M4" s="6">
        <v>565</v>
      </c>
    </row>
    <row r="5" spans="1:13" ht="22.8" x14ac:dyDescent="0.25">
      <c r="A5" s="6">
        <v>81</v>
      </c>
      <c r="B5" s="6" t="s">
        <v>1394</v>
      </c>
      <c r="C5" s="6" t="s">
        <v>1395</v>
      </c>
      <c r="D5" s="6">
        <v>452</v>
      </c>
      <c r="E5" s="6">
        <v>467</v>
      </c>
      <c r="F5" s="6">
        <v>449</v>
      </c>
      <c r="G5" s="6">
        <v>616</v>
      </c>
      <c r="H5" s="6">
        <v>476</v>
      </c>
      <c r="I5" s="6">
        <v>559</v>
      </c>
      <c r="J5" s="6">
        <v>366</v>
      </c>
      <c r="K5" s="6">
        <v>268</v>
      </c>
      <c r="L5" s="6">
        <v>301</v>
      </c>
      <c r="M5" s="6">
        <v>283</v>
      </c>
    </row>
    <row r="6" spans="1:13" ht="45.6" x14ac:dyDescent="0.25">
      <c r="A6" s="6">
        <v>9</v>
      </c>
      <c r="B6" s="6" t="s">
        <v>1396</v>
      </c>
      <c r="C6" s="6" t="s">
        <v>1397</v>
      </c>
      <c r="D6" s="6">
        <v>376</v>
      </c>
      <c r="E6" s="6">
        <v>847</v>
      </c>
      <c r="F6" s="6">
        <v>261</v>
      </c>
      <c r="G6" s="6">
        <v>871</v>
      </c>
      <c r="H6" s="6">
        <v>449</v>
      </c>
      <c r="I6" s="6">
        <v>728</v>
      </c>
      <c r="J6" s="6">
        <v>133</v>
      </c>
      <c r="K6" s="6">
        <v>236</v>
      </c>
      <c r="L6" s="6">
        <v>494</v>
      </c>
      <c r="M6" s="6">
        <v>313</v>
      </c>
    </row>
    <row r="7" spans="1:13" ht="34.200000000000003" x14ac:dyDescent="0.25">
      <c r="A7" s="6">
        <v>17</v>
      </c>
      <c r="B7" s="6" t="s">
        <v>1398</v>
      </c>
      <c r="C7" s="6" t="s">
        <v>1399</v>
      </c>
      <c r="D7" s="6">
        <v>399</v>
      </c>
      <c r="E7" s="6">
        <v>312</v>
      </c>
      <c r="F7" s="6">
        <v>646</v>
      </c>
      <c r="G7" s="6">
        <v>471</v>
      </c>
      <c r="H7" s="6">
        <v>337</v>
      </c>
      <c r="I7" s="6">
        <v>221</v>
      </c>
      <c r="J7" s="6">
        <v>242</v>
      </c>
      <c r="K7" s="6">
        <v>370</v>
      </c>
      <c r="L7" s="6">
        <v>644</v>
      </c>
      <c r="M7" s="6">
        <v>543</v>
      </c>
    </row>
    <row r="8" spans="1:13" ht="83.4" x14ac:dyDescent="0.25">
      <c r="A8" s="6">
        <v>43</v>
      </c>
      <c r="B8" s="6" t="s">
        <v>1400</v>
      </c>
      <c r="C8" s="6" t="s">
        <v>1401</v>
      </c>
      <c r="D8" s="6">
        <v>692</v>
      </c>
      <c r="E8" s="6">
        <v>1400</v>
      </c>
      <c r="F8" s="6">
        <v>497</v>
      </c>
      <c r="G8" s="6">
        <v>171</v>
      </c>
      <c r="H8" s="6">
        <v>342</v>
      </c>
      <c r="I8" s="6">
        <v>116</v>
      </c>
      <c r="J8" s="6">
        <v>177</v>
      </c>
      <c r="K8" s="6">
        <v>217</v>
      </c>
      <c r="L8" s="6">
        <v>412</v>
      </c>
      <c r="M8" s="6">
        <v>236</v>
      </c>
    </row>
    <row r="9" spans="1:13" ht="34.200000000000003" x14ac:dyDescent="0.25">
      <c r="A9" s="6">
        <v>62</v>
      </c>
      <c r="B9" s="6" t="s">
        <v>1402</v>
      </c>
      <c r="C9" s="6" t="s">
        <v>1403</v>
      </c>
      <c r="D9" s="6">
        <v>196</v>
      </c>
      <c r="E9" s="6">
        <v>43</v>
      </c>
      <c r="F9" s="6">
        <v>408</v>
      </c>
      <c r="G9" s="6">
        <v>7.9</v>
      </c>
      <c r="H9" s="6">
        <v>592</v>
      </c>
      <c r="I9" s="6">
        <v>73</v>
      </c>
      <c r="J9" s="6">
        <v>216</v>
      </c>
      <c r="K9" s="6">
        <v>86</v>
      </c>
      <c r="L9" s="6">
        <v>463</v>
      </c>
      <c r="M9" s="6">
        <v>199</v>
      </c>
    </row>
    <row r="10" spans="1:13" ht="83.4" x14ac:dyDescent="0.25">
      <c r="A10" s="6">
        <v>37</v>
      </c>
      <c r="B10" s="6" t="s">
        <v>1404</v>
      </c>
      <c r="C10" s="6" t="s">
        <v>1405</v>
      </c>
      <c r="D10" s="6">
        <v>186</v>
      </c>
      <c r="E10" s="6">
        <v>166</v>
      </c>
      <c r="F10" s="6">
        <v>347</v>
      </c>
      <c r="G10" s="6" t="s">
        <v>1068</v>
      </c>
      <c r="H10" s="6">
        <v>368</v>
      </c>
      <c r="I10" s="6" t="s">
        <v>1068</v>
      </c>
      <c r="J10" s="6">
        <v>43</v>
      </c>
      <c r="K10" s="6" t="s">
        <v>1068</v>
      </c>
      <c r="L10" s="6">
        <v>205</v>
      </c>
      <c r="M10" s="6">
        <v>204</v>
      </c>
    </row>
    <row r="11" spans="1:13" ht="45.6" x14ac:dyDescent="0.25">
      <c r="A11" s="6">
        <v>3</v>
      </c>
      <c r="B11" s="6" t="s">
        <v>1406</v>
      </c>
      <c r="C11" s="6" t="s">
        <v>1407</v>
      </c>
      <c r="D11" s="6">
        <v>139</v>
      </c>
      <c r="E11" s="6">
        <v>65</v>
      </c>
      <c r="F11" s="6">
        <v>169</v>
      </c>
      <c r="G11" s="6">
        <v>81</v>
      </c>
      <c r="H11" s="6">
        <v>131</v>
      </c>
      <c r="I11" s="6">
        <v>74</v>
      </c>
      <c r="J11" s="6">
        <v>157</v>
      </c>
      <c r="K11" s="6">
        <v>55</v>
      </c>
      <c r="L11" s="6">
        <v>262</v>
      </c>
      <c r="M11" s="6">
        <v>143</v>
      </c>
    </row>
    <row r="12" spans="1:13" ht="22.8" x14ac:dyDescent="0.25">
      <c r="A12" s="6">
        <v>64</v>
      </c>
      <c r="B12" s="6" t="s">
        <v>1408</v>
      </c>
      <c r="C12" s="6" t="s">
        <v>1409</v>
      </c>
      <c r="D12" s="6">
        <v>153</v>
      </c>
      <c r="E12" s="6">
        <v>135</v>
      </c>
      <c r="F12" s="6">
        <v>91</v>
      </c>
      <c r="G12" s="6">
        <v>128</v>
      </c>
      <c r="H12" s="6">
        <v>156</v>
      </c>
      <c r="I12" s="6">
        <v>105</v>
      </c>
      <c r="J12" s="6">
        <v>157</v>
      </c>
      <c r="K12" s="6">
        <v>127</v>
      </c>
      <c r="L12" s="6">
        <v>100</v>
      </c>
      <c r="M12" s="6">
        <v>92</v>
      </c>
    </row>
    <row r="13" spans="1:13" ht="22.8" x14ac:dyDescent="0.25">
      <c r="A13" s="6">
        <v>75</v>
      </c>
      <c r="B13" s="6" t="s">
        <v>22</v>
      </c>
      <c r="C13" s="6" t="s">
        <v>1410</v>
      </c>
      <c r="D13" s="6">
        <v>61</v>
      </c>
      <c r="E13" s="6">
        <v>90</v>
      </c>
      <c r="F13" s="6">
        <v>60</v>
      </c>
      <c r="G13" s="6">
        <v>93</v>
      </c>
      <c r="H13" s="6">
        <v>64</v>
      </c>
      <c r="I13" s="6">
        <v>87</v>
      </c>
      <c r="J13" s="6">
        <v>48</v>
      </c>
      <c r="K13" s="6">
        <v>102</v>
      </c>
      <c r="L13" s="6">
        <v>84</v>
      </c>
      <c r="M13" s="6">
        <v>55</v>
      </c>
    </row>
    <row r="14" spans="1:13" ht="34.200000000000003" x14ac:dyDescent="0.25">
      <c r="A14" s="6">
        <v>1</v>
      </c>
      <c r="B14" s="6" t="s">
        <v>1411</v>
      </c>
      <c r="C14" s="6" t="s">
        <v>1412</v>
      </c>
      <c r="D14" s="6">
        <v>54</v>
      </c>
      <c r="E14" s="6">
        <v>56</v>
      </c>
      <c r="F14" s="6">
        <v>91</v>
      </c>
      <c r="G14" s="6">
        <v>72</v>
      </c>
      <c r="H14" s="6">
        <v>60</v>
      </c>
      <c r="I14" s="6">
        <v>59</v>
      </c>
      <c r="J14" s="6">
        <v>43</v>
      </c>
      <c r="K14" s="6">
        <v>588</v>
      </c>
      <c r="L14" s="6">
        <v>61</v>
      </c>
      <c r="M14" s="6">
        <v>76</v>
      </c>
    </row>
    <row r="15" spans="1:13" x14ac:dyDescent="0.25">
      <c r="A15" s="6">
        <v>12</v>
      </c>
      <c r="B15" s="6" t="s">
        <v>1413</v>
      </c>
      <c r="C15" s="6" t="s">
        <v>1414</v>
      </c>
      <c r="D15" s="6">
        <v>32</v>
      </c>
      <c r="E15" s="6">
        <v>72</v>
      </c>
      <c r="F15" s="6">
        <v>27</v>
      </c>
      <c r="G15" s="6">
        <v>10</v>
      </c>
      <c r="H15" s="6">
        <v>31</v>
      </c>
      <c r="I15" s="6">
        <v>10</v>
      </c>
      <c r="J15" s="6">
        <v>53</v>
      </c>
      <c r="K15" s="6">
        <v>63</v>
      </c>
      <c r="L15" s="6">
        <v>121</v>
      </c>
      <c r="M15" s="6">
        <v>33</v>
      </c>
    </row>
    <row r="16" spans="1:13" ht="45.6" x14ac:dyDescent="0.25">
      <c r="A16" s="6">
        <v>8</v>
      </c>
      <c r="B16" s="6" t="s">
        <v>1415</v>
      </c>
      <c r="C16" s="6" t="s">
        <v>1416</v>
      </c>
      <c r="D16" s="6">
        <v>59</v>
      </c>
      <c r="E16" s="6">
        <v>10</v>
      </c>
      <c r="F16" s="6">
        <v>29</v>
      </c>
      <c r="G16" s="6">
        <v>16</v>
      </c>
      <c r="H16" s="6">
        <v>15</v>
      </c>
      <c r="I16" s="6">
        <v>12</v>
      </c>
      <c r="J16" s="6">
        <v>40</v>
      </c>
      <c r="K16" s="6">
        <v>6.1</v>
      </c>
      <c r="L16" s="6">
        <v>65</v>
      </c>
      <c r="M16" s="6">
        <v>17</v>
      </c>
    </row>
    <row r="17" spans="1:13" ht="22.8" x14ac:dyDescent="0.25">
      <c r="A17" s="6">
        <v>14</v>
      </c>
      <c r="B17" s="6" t="s">
        <v>1417</v>
      </c>
      <c r="C17" s="6" t="s">
        <v>1418</v>
      </c>
      <c r="D17" s="6">
        <v>40</v>
      </c>
      <c r="E17" s="6">
        <v>17</v>
      </c>
      <c r="F17" s="6">
        <v>35</v>
      </c>
      <c r="G17" s="6">
        <v>47</v>
      </c>
      <c r="H17" s="6">
        <v>50</v>
      </c>
      <c r="I17" s="6">
        <v>49</v>
      </c>
      <c r="J17" s="6">
        <v>29</v>
      </c>
      <c r="K17" s="6">
        <v>3.7</v>
      </c>
      <c r="L17" s="6">
        <v>64</v>
      </c>
      <c r="M17" s="6">
        <v>11</v>
      </c>
    </row>
    <row r="18" spans="1:13" ht="22.8" x14ac:dyDescent="0.25">
      <c r="A18" s="6">
        <v>2</v>
      </c>
      <c r="B18" s="6" t="s">
        <v>1419</v>
      </c>
      <c r="C18" s="6" t="s">
        <v>1420</v>
      </c>
      <c r="D18" s="6">
        <v>29</v>
      </c>
      <c r="E18" s="6">
        <v>16</v>
      </c>
      <c r="F18" s="6">
        <v>28</v>
      </c>
      <c r="G18" s="6">
        <v>16</v>
      </c>
      <c r="H18" s="6">
        <v>27</v>
      </c>
      <c r="I18" s="6">
        <v>20</v>
      </c>
      <c r="J18" s="6">
        <v>28</v>
      </c>
      <c r="K18" s="6">
        <v>24</v>
      </c>
      <c r="L18" s="6">
        <v>32</v>
      </c>
      <c r="M18" s="6">
        <v>27</v>
      </c>
    </row>
    <row r="19" spans="1:13" ht="22.8" x14ac:dyDescent="0.25">
      <c r="A19" s="6">
        <v>49</v>
      </c>
      <c r="B19" s="6" t="s">
        <v>1421</v>
      </c>
      <c r="C19" s="6" t="s">
        <v>1422</v>
      </c>
      <c r="D19" s="6">
        <v>32</v>
      </c>
      <c r="E19" s="6">
        <v>22</v>
      </c>
      <c r="F19" s="6">
        <v>25</v>
      </c>
      <c r="G19" s="6">
        <v>15</v>
      </c>
      <c r="H19" s="6">
        <v>42</v>
      </c>
      <c r="I19" s="6">
        <v>21</v>
      </c>
      <c r="J19" s="6">
        <v>20</v>
      </c>
      <c r="K19" s="6">
        <v>15</v>
      </c>
      <c r="L19" s="6">
        <v>17</v>
      </c>
      <c r="M19" s="6">
        <v>15</v>
      </c>
    </row>
    <row r="20" spans="1:13" ht="34.200000000000003" x14ac:dyDescent="0.25">
      <c r="A20" s="6">
        <v>79</v>
      </c>
      <c r="B20" s="6" t="s">
        <v>1423</v>
      </c>
      <c r="C20" s="6" t="s">
        <v>1424</v>
      </c>
      <c r="D20" s="6" t="s">
        <v>1068</v>
      </c>
      <c r="E20" s="6">
        <v>31</v>
      </c>
      <c r="F20" s="6" t="s">
        <v>1068</v>
      </c>
      <c r="G20" s="6">
        <v>29</v>
      </c>
      <c r="H20" s="6">
        <v>37</v>
      </c>
      <c r="I20" s="6">
        <v>21</v>
      </c>
      <c r="J20" s="6" t="s">
        <v>1068</v>
      </c>
      <c r="K20" s="6">
        <v>19</v>
      </c>
      <c r="L20" s="6">
        <v>42</v>
      </c>
      <c r="M20" s="6">
        <v>34</v>
      </c>
    </row>
    <row r="21" spans="1:13" ht="83.4" x14ac:dyDescent="0.25">
      <c r="A21" s="6">
        <v>76</v>
      </c>
      <c r="B21" s="6" t="s">
        <v>1425</v>
      </c>
      <c r="C21" s="6" t="s">
        <v>1426</v>
      </c>
      <c r="D21" s="6">
        <v>41</v>
      </c>
      <c r="E21" s="6">
        <v>19</v>
      </c>
      <c r="F21" s="6">
        <v>13</v>
      </c>
      <c r="G21" s="6">
        <v>10</v>
      </c>
      <c r="H21" s="6">
        <v>18</v>
      </c>
      <c r="I21" s="6">
        <v>16</v>
      </c>
      <c r="J21" s="6">
        <v>5</v>
      </c>
      <c r="K21" s="6">
        <v>2.8</v>
      </c>
      <c r="L21" s="6">
        <v>15</v>
      </c>
      <c r="M21" s="6">
        <v>21</v>
      </c>
    </row>
    <row r="22" spans="1:13" ht="45.6" x14ac:dyDescent="0.25">
      <c r="A22" s="6">
        <v>84</v>
      </c>
      <c r="B22" s="6" t="s">
        <v>267</v>
      </c>
      <c r="C22" s="6">
        <v>1257</v>
      </c>
      <c r="D22" s="6">
        <v>11</v>
      </c>
      <c r="E22" s="6">
        <v>11</v>
      </c>
      <c r="F22" s="6">
        <v>16</v>
      </c>
      <c r="G22" s="6" t="s">
        <v>1068</v>
      </c>
      <c r="H22" s="6">
        <v>26</v>
      </c>
      <c r="I22" s="6" t="s">
        <v>1068</v>
      </c>
      <c r="J22" s="6">
        <v>10</v>
      </c>
      <c r="K22" s="6">
        <v>4.9000000000000004</v>
      </c>
      <c r="L22" s="6">
        <v>47</v>
      </c>
      <c r="M22" s="6" t="s">
        <v>1068</v>
      </c>
    </row>
    <row r="23" spans="1:13" ht="34.200000000000003" x14ac:dyDescent="0.25">
      <c r="A23" s="6">
        <v>63</v>
      </c>
      <c r="B23" s="6" t="s">
        <v>1427</v>
      </c>
      <c r="C23" s="6" t="s">
        <v>1428</v>
      </c>
      <c r="D23" s="6">
        <v>17</v>
      </c>
      <c r="E23" s="6">
        <v>17</v>
      </c>
      <c r="F23" s="6">
        <v>69</v>
      </c>
      <c r="G23" s="6">
        <v>17</v>
      </c>
      <c r="H23" s="6">
        <v>4</v>
      </c>
      <c r="I23" s="6">
        <v>26</v>
      </c>
      <c r="J23" s="6">
        <v>3.4</v>
      </c>
      <c r="K23" s="6">
        <v>14</v>
      </c>
      <c r="L23" s="6">
        <v>16</v>
      </c>
      <c r="M23" s="6">
        <v>6.2</v>
      </c>
    </row>
    <row r="24" spans="1:13" ht="45.6" x14ac:dyDescent="0.25">
      <c r="A24" s="6">
        <v>72</v>
      </c>
      <c r="B24" s="6" t="s">
        <v>1429</v>
      </c>
      <c r="C24" s="6" t="s">
        <v>1430</v>
      </c>
      <c r="D24" s="6">
        <v>12</v>
      </c>
      <c r="E24" s="6">
        <v>15</v>
      </c>
      <c r="F24" s="6">
        <v>65</v>
      </c>
      <c r="G24" s="6">
        <v>12</v>
      </c>
      <c r="H24" s="6">
        <v>9</v>
      </c>
      <c r="I24" s="6">
        <v>3</v>
      </c>
      <c r="J24" s="6">
        <v>4.5</v>
      </c>
      <c r="K24" s="6">
        <v>14</v>
      </c>
      <c r="L24" s="6">
        <v>7.3</v>
      </c>
      <c r="M24" s="6">
        <v>6.3</v>
      </c>
    </row>
    <row r="25" spans="1:13" ht="22.8" x14ac:dyDescent="0.25">
      <c r="A25" s="6">
        <v>32</v>
      </c>
      <c r="B25" s="6" t="s">
        <v>1431</v>
      </c>
      <c r="C25" s="6" t="s">
        <v>1432</v>
      </c>
      <c r="D25" s="6">
        <v>4</v>
      </c>
      <c r="E25" s="6">
        <v>9.5</v>
      </c>
      <c r="F25" s="6">
        <v>9.6</v>
      </c>
      <c r="G25" s="6">
        <v>9.1</v>
      </c>
      <c r="H25" s="6">
        <v>9.9</v>
      </c>
      <c r="I25" s="6">
        <v>9.5</v>
      </c>
      <c r="J25" s="6">
        <v>9.9</v>
      </c>
      <c r="K25" s="6">
        <v>8.1999999999999993</v>
      </c>
      <c r="L25" s="6">
        <v>17</v>
      </c>
      <c r="M25" s="6">
        <v>10</v>
      </c>
    </row>
    <row r="26" spans="1:13" ht="34.200000000000003" x14ac:dyDescent="0.25">
      <c r="A26" s="6">
        <v>77</v>
      </c>
      <c r="B26" s="6" t="s">
        <v>1433</v>
      </c>
      <c r="C26" s="6" t="s">
        <v>1434</v>
      </c>
      <c r="D26" s="6">
        <v>12</v>
      </c>
      <c r="E26" s="6">
        <v>3.8</v>
      </c>
      <c r="F26" s="6">
        <v>10</v>
      </c>
      <c r="G26" s="6">
        <v>4.3</v>
      </c>
      <c r="H26" s="6">
        <v>15</v>
      </c>
      <c r="I26" s="6">
        <v>4.2</v>
      </c>
      <c r="J26" s="6">
        <v>4.9000000000000004</v>
      </c>
      <c r="K26" s="6">
        <v>1.1000000000000001</v>
      </c>
      <c r="L26" s="6">
        <v>36</v>
      </c>
      <c r="M26" s="6">
        <v>6.1</v>
      </c>
    </row>
    <row r="27" spans="1:13" x14ac:dyDescent="0.25">
      <c r="A27" s="6">
        <v>53</v>
      </c>
      <c r="B27" s="6" t="s">
        <v>1435</v>
      </c>
      <c r="C27" s="6" t="s">
        <v>1436</v>
      </c>
      <c r="D27" s="6">
        <v>29</v>
      </c>
      <c r="E27" s="6" t="s">
        <v>1068</v>
      </c>
      <c r="F27" s="6">
        <v>1.8</v>
      </c>
      <c r="G27" s="6" t="s">
        <v>1068</v>
      </c>
      <c r="H27" s="6" t="s">
        <v>1068</v>
      </c>
      <c r="I27" s="6" t="s">
        <v>1068</v>
      </c>
      <c r="J27" s="6" t="s">
        <v>1068</v>
      </c>
      <c r="K27" s="6" t="s">
        <v>1068</v>
      </c>
      <c r="L27" s="6">
        <v>1.4</v>
      </c>
      <c r="M27" s="6">
        <v>1.2</v>
      </c>
    </row>
    <row r="28" spans="1:13" ht="22.8" x14ac:dyDescent="0.25">
      <c r="A28" s="6">
        <v>42</v>
      </c>
      <c r="B28" s="6" t="s">
        <v>1437</v>
      </c>
      <c r="C28" s="6" t="s">
        <v>1438</v>
      </c>
      <c r="D28" s="6">
        <v>8.6</v>
      </c>
      <c r="E28" s="6">
        <v>10</v>
      </c>
      <c r="F28" s="6">
        <v>9</v>
      </c>
      <c r="G28" s="6">
        <v>1.8</v>
      </c>
      <c r="H28" s="6">
        <v>8.5</v>
      </c>
      <c r="I28" s="6">
        <v>2</v>
      </c>
      <c r="J28" s="6">
        <v>4.4000000000000004</v>
      </c>
      <c r="K28" s="6">
        <v>1.8</v>
      </c>
      <c r="L28" s="6">
        <v>8.5</v>
      </c>
      <c r="M28" s="6" t="s">
        <v>1068</v>
      </c>
    </row>
    <row r="29" spans="1:13" ht="34.200000000000003" x14ac:dyDescent="0.25">
      <c r="A29" s="6">
        <v>82</v>
      </c>
      <c r="B29" s="6" t="s">
        <v>1439</v>
      </c>
      <c r="C29" s="6" t="s">
        <v>1440</v>
      </c>
      <c r="D29" s="6">
        <v>3.6</v>
      </c>
      <c r="E29" s="6">
        <v>10</v>
      </c>
      <c r="F29" s="6" t="s">
        <v>1068</v>
      </c>
      <c r="G29" s="6">
        <v>4.7</v>
      </c>
      <c r="H29" s="6" t="s">
        <v>1068</v>
      </c>
      <c r="I29" s="6">
        <v>13</v>
      </c>
      <c r="J29" s="6" t="s">
        <v>1068</v>
      </c>
      <c r="K29" s="6">
        <v>13</v>
      </c>
      <c r="L29" s="6" t="s">
        <v>1068</v>
      </c>
      <c r="M29" s="6" t="s">
        <v>1068</v>
      </c>
    </row>
    <row r="30" spans="1:13" ht="57" x14ac:dyDescent="0.25">
      <c r="A30" s="6">
        <v>46</v>
      </c>
      <c r="B30" s="6" t="s">
        <v>167</v>
      </c>
      <c r="C30" s="6" t="s">
        <v>1441</v>
      </c>
      <c r="D30" s="6">
        <v>4.7</v>
      </c>
      <c r="E30" s="6">
        <v>5.2</v>
      </c>
      <c r="F30" s="6">
        <v>1.5</v>
      </c>
      <c r="G30" s="6" t="s">
        <v>1068</v>
      </c>
      <c r="H30" s="6">
        <v>1.2</v>
      </c>
      <c r="I30" s="6" t="s">
        <v>1068</v>
      </c>
      <c r="J30" s="6" t="s">
        <v>1068</v>
      </c>
      <c r="K30" s="6">
        <v>3.3</v>
      </c>
      <c r="L30" s="6">
        <v>3.5</v>
      </c>
      <c r="M30" s="6">
        <v>3.6</v>
      </c>
    </row>
    <row r="31" spans="1:13" ht="45.6" x14ac:dyDescent="0.25">
      <c r="A31" s="6">
        <v>68</v>
      </c>
      <c r="B31" s="6" t="s">
        <v>1442</v>
      </c>
      <c r="C31" s="6" t="s">
        <v>1443</v>
      </c>
      <c r="D31" s="6">
        <v>7.9</v>
      </c>
      <c r="E31" s="6" t="s">
        <v>1068</v>
      </c>
      <c r="F31" s="6">
        <v>3.6</v>
      </c>
      <c r="G31" s="6" t="s">
        <v>1068</v>
      </c>
      <c r="H31" s="6">
        <v>7.1</v>
      </c>
      <c r="I31" s="6" t="s">
        <v>1068</v>
      </c>
      <c r="J31" s="6">
        <v>3.1</v>
      </c>
      <c r="K31" s="6" t="s">
        <v>1068</v>
      </c>
      <c r="L31" s="6">
        <v>12</v>
      </c>
      <c r="M31" s="6">
        <v>2.2000000000000002</v>
      </c>
    </row>
    <row r="32" spans="1:13" ht="45.6" x14ac:dyDescent="0.25">
      <c r="A32" s="6">
        <v>61</v>
      </c>
      <c r="B32" s="6" t="s">
        <v>1444</v>
      </c>
      <c r="C32" s="6" t="s">
        <v>1445</v>
      </c>
      <c r="D32" s="6">
        <v>7.4</v>
      </c>
      <c r="E32" s="6">
        <v>3.7</v>
      </c>
      <c r="F32" s="6">
        <v>3.2</v>
      </c>
      <c r="G32" s="6">
        <v>3.3</v>
      </c>
      <c r="H32" s="6">
        <v>4</v>
      </c>
      <c r="I32" s="6">
        <v>4.5</v>
      </c>
      <c r="J32" s="6">
        <v>1.7</v>
      </c>
      <c r="K32" s="6">
        <v>3.5</v>
      </c>
      <c r="L32" s="6">
        <v>3.6</v>
      </c>
      <c r="M32" s="6">
        <v>2</v>
      </c>
    </row>
    <row r="33" spans="1:13" ht="22.8" x14ac:dyDescent="0.25">
      <c r="A33" s="6">
        <v>92</v>
      </c>
      <c r="B33" s="6" t="s">
        <v>38</v>
      </c>
      <c r="C33" s="6" t="s">
        <v>1446</v>
      </c>
      <c r="D33" s="6">
        <v>8.4</v>
      </c>
      <c r="E33" s="6">
        <v>5.9</v>
      </c>
      <c r="F33" s="6">
        <v>4.2</v>
      </c>
      <c r="G33" s="6">
        <v>4.5999999999999996</v>
      </c>
      <c r="H33" s="6">
        <v>2.1</v>
      </c>
      <c r="I33" s="6">
        <v>5.9</v>
      </c>
      <c r="J33" s="6" t="s">
        <v>1068</v>
      </c>
      <c r="K33" s="6">
        <v>2.8</v>
      </c>
      <c r="L33" s="6" t="s">
        <v>1068</v>
      </c>
      <c r="M33" s="6" t="s">
        <v>1068</v>
      </c>
    </row>
    <row r="34" spans="1:13" ht="34.200000000000003" x14ac:dyDescent="0.25">
      <c r="A34" s="6">
        <v>93</v>
      </c>
      <c r="B34" s="6" t="s">
        <v>1447</v>
      </c>
      <c r="C34" s="6" t="s">
        <v>1448</v>
      </c>
      <c r="D34" s="6">
        <v>8.1999999999999993</v>
      </c>
      <c r="E34" s="6">
        <v>1.1000000000000001</v>
      </c>
      <c r="F34" s="6">
        <v>4.2</v>
      </c>
      <c r="G34" s="6">
        <v>1.1000000000000001</v>
      </c>
      <c r="H34" s="6">
        <v>4.2</v>
      </c>
      <c r="I34" s="6">
        <v>1.2</v>
      </c>
      <c r="J34" s="6">
        <v>2.4</v>
      </c>
      <c r="K34" s="6" t="s">
        <v>1068</v>
      </c>
      <c r="L34" s="6">
        <v>5.8</v>
      </c>
      <c r="M34" s="6" t="s">
        <v>1068</v>
      </c>
    </row>
    <row r="35" spans="1:13" ht="34.200000000000003" x14ac:dyDescent="0.25">
      <c r="A35" s="6">
        <v>56</v>
      </c>
      <c r="B35" s="6" t="s">
        <v>161</v>
      </c>
      <c r="C35" s="6" t="s">
        <v>1449</v>
      </c>
      <c r="D35" s="6">
        <v>3.7</v>
      </c>
      <c r="E35" s="6" t="s">
        <v>1068</v>
      </c>
      <c r="F35" s="6">
        <v>2.5</v>
      </c>
      <c r="G35" s="6">
        <v>1.8</v>
      </c>
      <c r="H35" s="6">
        <v>4.0999999999999996</v>
      </c>
      <c r="I35" s="6" t="s">
        <v>1068</v>
      </c>
      <c r="J35" s="6">
        <v>1.8</v>
      </c>
      <c r="K35" s="6" t="s">
        <v>1068</v>
      </c>
      <c r="L35" s="6">
        <v>1.1000000000000001</v>
      </c>
      <c r="M35" s="6">
        <v>1.4</v>
      </c>
    </row>
    <row r="36" spans="1:13" ht="22.8" x14ac:dyDescent="0.25">
      <c r="A36" s="6">
        <v>11</v>
      </c>
      <c r="B36" s="6" t="s">
        <v>1450</v>
      </c>
      <c r="C36" s="6" t="s">
        <v>1451</v>
      </c>
      <c r="D36" s="6">
        <v>3.3</v>
      </c>
      <c r="E36" s="6">
        <v>2.1</v>
      </c>
      <c r="F36" s="6">
        <v>1.7</v>
      </c>
      <c r="G36" s="6">
        <v>1.7</v>
      </c>
      <c r="H36" s="6">
        <v>3.5</v>
      </c>
      <c r="I36" s="6">
        <v>1.8</v>
      </c>
      <c r="J36" s="6">
        <v>4.4000000000000004</v>
      </c>
      <c r="K36" s="6">
        <v>1.1000000000000001</v>
      </c>
      <c r="L36" s="6">
        <v>4.3</v>
      </c>
      <c r="M36" s="6">
        <v>2.1</v>
      </c>
    </row>
    <row r="37" spans="1:13" ht="34.200000000000003" x14ac:dyDescent="0.25">
      <c r="A37" s="6">
        <v>66</v>
      </c>
      <c r="B37" s="6" t="s">
        <v>1452</v>
      </c>
      <c r="C37" s="6" t="s">
        <v>1453</v>
      </c>
      <c r="D37" s="6">
        <v>6.1</v>
      </c>
      <c r="E37" s="6">
        <v>3.8</v>
      </c>
      <c r="F37" s="6" t="s">
        <v>1068</v>
      </c>
      <c r="G37" s="6">
        <v>2.7</v>
      </c>
      <c r="H37" s="6" t="s">
        <v>1068</v>
      </c>
      <c r="I37" s="6">
        <v>1.3</v>
      </c>
      <c r="J37" s="6" t="s">
        <v>1068</v>
      </c>
      <c r="K37" s="6">
        <v>4.5999999999999996</v>
      </c>
      <c r="L37" s="6">
        <v>1.9</v>
      </c>
      <c r="M37" s="6" t="s">
        <v>1068</v>
      </c>
    </row>
    <row r="38" spans="1:13" ht="34.200000000000003" x14ac:dyDescent="0.25">
      <c r="A38" s="6">
        <v>30</v>
      </c>
      <c r="B38" s="6" t="s">
        <v>1454</v>
      </c>
      <c r="C38" s="6" t="s">
        <v>1455</v>
      </c>
      <c r="D38" s="6">
        <v>1.4</v>
      </c>
      <c r="E38" s="6">
        <v>1.8</v>
      </c>
      <c r="F38" s="6" t="s">
        <v>1068</v>
      </c>
      <c r="G38" s="6">
        <v>1.4</v>
      </c>
      <c r="H38" s="6" t="s">
        <v>1068</v>
      </c>
      <c r="I38" s="6">
        <v>1.3</v>
      </c>
      <c r="J38" s="6" t="s">
        <v>1068</v>
      </c>
      <c r="K38" s="6">
        <v>1.8</v>
      </c>
      <c r="L38" s="6">
        <v>2.8</v>
      </c>
      <c r="M38" s="6">
        <v>1.6</v>
      </c>
    </row>
    <row r="39" spans="1:13" ht="45.6" x14ac:dyDescent="0.25">
      <c r="A39" s="6">
        <v>13</v>
      </c>
      <c r="B39" s="6" t="s">
        <v>1456</v>
      </c>
      <c r="C39" s="6" t="s">
        <v>1457</v>
      </c>
      <c r="D39" s="6">
        <v>3.2</v>
      </c>
      <c r="E39" s="6" t="s">
        <v>1068</v>
      </c>
      <c r="F39" s="6">
        <v>1.7</v>
      </c>
      <c r="G39" s="6" t="s">
        <v>1068</v>
      </c>
      <c r="H39" s="6">
        <v>1.8</v>
      </c>
      <c r="I39" s="6" t="s">
        <v>1068</v>
      </c>
      <c r="J39" s="6" t="s">
        <v>1068</v>
      </c>
      <c r="K39" s="6" t="s">
        <v>1068</v>
      </c>
      <c r="L39" s="6">
        <v>3.1</v>
      </c>
      <c r="M39" s="6">
        <v>1.6</v>
      </c>
    </row>
    <row r="40" spans="1:13" ht="45.6" x14ac:dyDescent="0.25">
      <c r="A40" s="6">
        <v>36</v>
      </c>
      <c r="B40" s="6" t="s">
        <v>1458</v>
      </c>
      <c r="C40" s="6" t="s">
        <v>1459</v>
      </c>
      <c r="D40" s="6">
        <v>1.8</v>
      </c>
      <c r="E40" s="6">
        <v>1.8</v>
      </c>
      <c r="F40" s="6">
        <v>1.5</v>
      </c>
      <c r="G40" s="6">
        <v>1.5</v>
      </c>
      <c r="H40" s="6">
        <v>1.4</v>
      </c>
      <c r="I40" s="6">
        <v>1.4</v>
      </c>
      <c r="J40" s="6">
        <v>1.4</v>
      </c>
      <c r="K40" s="6" t="s">
        <v>1068</v>
      </c>
      <c r="L40" s="6" t="s">
        <v>1068</v>
      </c>
      <c r="M40" s="6" t="s">
        <v>1068</v>
      </c>
    </row>
    <row r="41" spans="1:13" ht="22.8" x14ac:dyDescent="0.25">
      <c r="A41" s="6">
        <v>88</v>
      </c>
      <c r="B41" s="6" t="s">
        <v>44</v>
      </c>
      <c r="C41" s="6" t="s">
        <v>1460</v>
      </c>
      <c r="D41" s="6">
        <v>1.1000000000000001</v>
      </c>
      <c r="E41" s="6">
        <v>3</v>
      </c>
      <c r="F41" s="6" t="s">
        <v>1068</v>
      </c>
      <c r="G41" s="6">
        <v>2</v>
      </c>
      <c r="H41" s="6" t="s">
        <v>1068</v>
      </c>
      <c r="I41" s="6">
        <v>2.2999999999999998</v>
      </c>
      <c r="J41" s="6" t="s">
        <v>1068</v>
      </c>
      <c r="K41" s="6">
        <v>2.1</v>
      </c>
      <c r="L41" s="6">
        <v>1</v>
      </c>
      <c r="M41" s="6">
        <v>1</v>
      </c>
    </row>
    <row r="42" spans="1:13" ht="34.200000000000003" x14ac:dyDescent="0.25">
      <c r="A42" s="6">
        <v>39</v>
      </c>
      <c r="B42" s="6" t="s">
        <v>1461</v>
      </c>
      <c r="C42" s="6" t="s">
        <v>1462</v>
      </c>
      <c r="D42" s="6">
        <v>2.6</v>
      </c>
      <c r="E42" s="6" t="s">
        <v>1068</v>
      </c>
      <c r="F42" s="6">
        <v>2.5</v>
      </c>
      <c r="G42" s="6" t="s">
        <v>1068</v>
      </c>
      <c r="H42" s="6">
        <v>2</v>
      </c>
      <c r="I42" s="6" t="s">
        <v>1068</v>
      </c>
      <c r="J42" s="6">
        <v>2.2999999999999998</v>
      </c>
      <c r="K42" s="6" t="s">
        <v>1068</v>
      </c>
      <c r="L42" s="6" t="s">
        <v>1068</v>
      </c>
      <c r="M42" s="6" t="s">
        <v>1068</v>
      </c>
    </row>
    <row r="43" spans="1:13" ht="57" x14ac:dyDescent="0.25">
      <c r="A43" s="6">
        <v>23</v>
      </c>
      <c r="B43" s="6" t="s">
        <v>1463</v>
      </c>
      <c r="C43" s="6" t="s">
        <v>1464</v>
      </c>
      <c r="D43" s="6">
        <v>2.2999999999999998</v>
      </c>
      <c r="E43" s="6" t="s">
        <v>1068</v>
      </c>
      <c r="F43" s="6">
        <v>1.9</v>
      </c>
      <c r="G43" s="6" t="s">
        <v>1068</v>
      </c>
      <c r="H43" s="6">
        <v>1.5</v>
      </c>
      <c r="I43" s="6" t="s">
        <v>1068</v>
      </c>
      <c r="J43" s="6">
        <v>2.4</v>
      </c>
      <c r="K43" s="6" t="s">
        <v>1068</v>
      </c>
      <c r="L43" s="6">
        <v>3.2</v>
      </c>
      <c r="M43" s="6" t="s">
        <v>1068</v>
      </c>
    </row>
    <row r="44" spans="1:13" ht="34.200000000000003" x14ac:dyDescent="0.25">
      <c r="A44" s="6">
        <v>27</v>
      </c>
      <c r="B44" s="6" t="s">
        <v>1465</v>
      </c>
      <c r="C44" s="6" t="s">
        <v>1466</v>
      </c>
      <c r="D44" s="6">
        <v>1.5</v>
      </c>
      <c r="E44" s="6" t="s">
        <v>1068</v>
      </c>
      <c r="F44" s="6">
        <v>1.8</v>
      </c>
      <c r="G44" s="6" t="s">
        <v>1068</v>
      </c>
      <c r="H44" s="6">
        <v>1.5</v>
      </c>
      <c r="I44" s="6" t="s">
        <v>1068</v>
      </c>
      <c r="J44" s="6">
        <v>1.9</v>
      </c>
      <c r="K44" s="6" t="s">
        <v>1068</v>
      </c>
      <c r="L44" s="6">
        <v>2.2999999999999998</v>
      </c>
      <c r="M44" s="6" t="s">
        <v>1068</v>
      </c>
    </row>
    <row r="45" spans="1:13" ht="34.200000000000003" x14ac:dyDescent="0.25">
      <c r="A45" s="6">
        <v>97</v>
      </c>
      <c r="B45" s="6" t="s">
        <v>205</v>
      </c>
      <c r="C45" s="6" t="s">
        <v>1467</v>
      </c>
      <c r="D45" s="6">
        <v>2.8</v>
      </c>
      <c r="E45" s="6" t="s">
        <v>1068</v>
      </c>
      <c r="F45" s="6">
        <v>1.2</v>
      </c>
      <c r="G45" s="6" t="s">
        <v>1068</v>
      </c>
      <c r="H45" s="6">
        <v>1</v>
      </c>
      <c r="I45" s="6" t="s">
        <v>1068</v>
      </c>
      <c r="J45" s="6" t="s">
        <v>1068</v>
      </c>
      <c r="K45" s="6" t="s">
        <v>1068</v>
      </c>
      <c r="L45" s="6" t="s">
        <v>1068</v>
      </c>
      <c r="M45" s="6" t="s">
        <v>1068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59E86-3452-4607-8CFE-54D1C1DC228D}">
  <dimension ref="A1:V51"/>
  <sheetViews>
    <sheetView topLeftCell="D1" workbookViewId="0">
      <selection activeCell="D1" sqref="D1:K8"/>
    </sheetView>
  </sheetViews>
  <sheetFormatPr defaultRowHeight="13.8" x14ac:dyDescent="0.25"/>
  <sheetData>
    <row r="1" spans="1:22" ht="45.6" x14ac:dyDescent="0.25">
      <c r="A1" s="10" t="s">
        <v>5</v>
      </c>
      <c r="B1" s="6" t="s">
        <v>1469</v>
      </c>
      <c r="C1" s="6" t="s">
        <v>888</v>
      </c>
      <c r="D1" s="6" t="s">
        <v>1899</v>
      </c>
      <c r="E1" s="6" t="s">
        <v>1470</v>
      </c>
      <c r="F1" s="6" t="s">
        <v>1471</v>
      </c>
      <c r="G1" s="6" t="s">
        <v>1472</v>
      </c>
      <c r="H1" s="6" t="s">
        <v>1473</v>
      </c>
      <c r="I1" s="6" t="s">
        <v>1474</v>
      </c>
      <c r="J1" s="6" t="s">
        <v>1475</v>
      </c>
      <c r="K1" s="6" t="s">
        <v>1476</v>
      </c>
      <c r="L1" s="6"/>
      <c r="M1" s="6" t="s">
        <v>5</v>
      </c>
      <c r="N1" s="6" t="s">
        <v>1469</v>
      </c>
      <c r="O1" s="6" t="s">
        <v>1528</v>
      </c>
      <c r="P1" s="6" t="s">
        <v>1529</v>
      </c>
      <c r="Q1" s="6" t="s">
        <v>1530</v>
      </c>
      <c r="R1" s="6" t="s">
        <v>1531</v>
      </c>
      <c r="S1" s="6" t="s">
        <v>1532</v>
      </c>
      <c r="T1" s="6" t="s">
        <v>1900</v>
      </c>
      <c r="U1" s="6" t="s">
        <v>1533</v>
      </c>
      <c r="V1" s="6" t="s">
        <v>1534</v>
      </c>
    </row>
    <row r="2" spans="1:22" ht="34.200000000000003" x14ac:dyDescent="0.25">
      <c r="A2" s="10">
        <v>1</v>
      </c>
      <c r="B2" s="6" t="s">
        <v>1109</v>
      </c>
      <c r="C2" s="6" t="s">
        <v>1477</v>
      </c>
      <c r="D2" s="6">
        <v>11465</v>
      </c>
      <c r="E2" s="6">
        <v>2515</v>
      </c>
      <c r="F2" s="6">
        <v>1677</v>
      </c>
      <c r="G2" s="6">
        <v>1373</v>
      </c>
      <c r="H2" s="6">
        <v>902</v>
      </c>
      <c r="I2" s="6">
        <v>695</v>
      </c>
      <c r="J2" s="6">
        <v>247</v>
      </c>
      <c r="K2" s="6">
        <v>233</v>
      </c>
      <c r="L2" s="6"/>
      <c r="M2" s="6">
        <v>1</v>
      </c>
      <c r="N2" s="6" t="s">
        <v>1109</v>
      </c>
      <c r="O2" s="6" t="s">
        <v>1535</v>
      </c>
      <c r="P2" s="6" t="s">
        <v>1536</v>
      </c>
      <c r="Q2" s="6" t="s">
        <v>1537</v>
      </c>
      <c r="R2" s="6" t="s">
        <v>1538</v>
      </c>
      <c r="S2" s="6" t="s">
        <v>1539</v>
      </c>
      <c r="T2" s="6" t="s">
        <v>1540</v>
      </c>
      <c r="U2" s="6" t="s">
        <v>1541</v>
      </c>
      <c r="V2" s="6" t="s">
        <v>1542</v>
      </c>
    </row>
    <row r="3" spans="1:22" ht="22.8" x14ac:dyDescent="0.25">
      <c r="A3" s="10">
        <v>2</v>
      </c>
      <c r="B3" s="6" t="s">
        <v>796</v>
      </c>
      <c r="C3" s="6" t="s">
        <v>1478</v>
      </c>
      <c r="D3" s="6">
        <v>811</v>
      </c>
      <c r="E3" s="6">
        <v>111</v>
      </c>
      <c r="F3" s="6">
        <v>72</v>
      </c>
      <c r="G3" s="6">
        <v>50</v>
      </c>
      <c r="H3" s="6">
        <v>36</v>
      </c>
      <c r="I3" s="6">
        <v>24</v>
      </c>
      <c r="J3" s="6">
        <v>11</v>
      </c>
      <c r="K3" s="6">
        <v>7</v>
      </c>
      <c r="L3" s="6"/>
      <c r="M3" s="6">
        <v>2</v>
      </c>
      <c r="N3" s="6" t="s">
        <v>796</v>
      </c>
      <c r="O3" s="6" t="s">
        <v>1543</v>
      </c>
      <c r="P3" s="6" t="s">
        <v>1544</v>
      </c>
      <c r="Q3" s="6" t="s">
        <v>1545</v>
      </c>
      <c r="R3" s="6" t="s">
        <v>1546</v>
      </c>
      <c r="S3" s="6" t="s">
        <v>1547</v>
      </c>
      <c r="T3" s="6" t="s">
        <v>1548</v>
      </c>
      <c r="U3" s="6" t="s">
        <v>1549</v>
      </c>
      <c r="V3" s="6" t="s">
        <v>1550</v>
      </c>
    </row>
    <row r="4" spans="1:22" ht="34.200000000000003" x14ac:dyDescent="0.25">
      <c r="A4" s="10">
        <v>3</v>
      </c>
      <c r="B4" s="6" t="s">
        <v>1208</v>
      </c>
      <c r="C4" s="6" t="s">
        <v>1479</v>
      </c>
      <c r="D4" s="6">
        <v>5</v>
      </c>
      <c r="E4" s="6">
        <v>2</v>
      </c>
      <c r="F4" s="6">
        <v>1</v>
      </c>
      <c r="G4" s="6" t="s">
        <v>1068</v>
      </c>
      <c r="H4" s="6" t="s">
        <v>1068</v>
      </c>
      <c r="I4" s="6" t="s">
        <v>1068</v>
      </c>
      <c r="J4" s="6" t="s">
        <v>1068</v>
      </c>
      <c r="K4" s="6" t="s">
        <v>1068</v>
      </c>
      <c r="L4" s="6"/>
      <c r="M4" s="6">
        <v>3</v>
      </c>
      <c r="N4" s="6" t="s">
        <v>1208</v>
      </c>
      <c r="O4" s="6" t="s">
        <v>1551</v>
      </c>
      <c r="P4" s="6" t="s">
        <v>1552</v>
      </c>
      <c r="Q4" s="6" t="s">
        <v>1553</v>
      </c>
      <c r="R4" s="6" t="s">
        <v>1554</v>
      </c>
      <c r="S4" s="6" t="s">
        <v>1555</v>
      </c>
      <c r="T4" s="6" t="s">
        <v>1556</v>
      </c>
      <c r="U4" s="6" t="s">
        <v>1557</v>
      </c>
      <c r="V4" s="6" t="s">
        <v>1558</v>
      </c>
    </row>
    <row r="5" spans="1:22" ht="34.200000000000003" x14ac:dyDescent="0.25">
      <c r="A5" s="10">
        <v>4</v>
      </c>
      <c r="B5" s="6" t="s">
        <v>1111</v>
      </c>
      <c r="C5" s="6" t="s">
        <v>1480</v>
      </c>
      <c r="D5" s="6">
        <v>7145</v>
      </c>
      <c r="E5" s="6">
        <v>1720</v>
      </c>
      <c r="F5" s="6">
        <v>1262</v>
      </c>
      <c r="G5" s="6">
        <v>929</v>
      </c>
      <c r="H5" s="6">
        <v>777</v>
      </c>
      <c r="I5" s="6">
        <v>567</v>
      </c>
      <c r="J5" s="6">
        <v>439</v>
      </c>
      <c r="K5" s="6">
        <v>288</v>
      </c>
      <c r="L5" s="6"/>
      <c r="M5" s="6">
        <v>4</v>
      </c>
      <c r="N5" s="6" t="s">
        <v>1111</v>
      </c>
      <c r="O5" s="6" t="s">
        <v>1559</v>
      </c>
      <c r="P5" s="6" t="s">
        <v>1560</v>
      </c>
      <c r="Q5" s="6" t="s">
        <v>1561</v>
      </c>
      <c r="R5" s="6" t="s">
        <v>1562</v>
      </c>
      <c r="S5" s="6" t="s">
        <v>1563</v>
      </c>
      <c r="T5" s="6" t="s">
        <v>1564</v>
      </c>
      <c r="U5" s="6" t="s">
        <v>1565</v>
      </c>
      <c r="V5" s="6" t="s">
        <v>1566</v>
      </c>
    </row>
    <row r="6" spans="1:22" ht="22.8" x14ac:dyDescent="0.25">
      <c r="A6" s="10">
        <v>5</v>
      </c>
      <c r="B6" s="6" t="s">
        <v>744</v>
      </c>
      <c r="C6" s="6" t="s">
        <v>1481</v>
      </c>
      <c r="D6" s="6">
        <v>187</v>
      </c>
      <c r="E6" s="6">
        <v>123</v>
      </c>
      <c r="F6" s="6">
        <v>109</v>
      </c>
      <c r="G6" s="6">
        <v>113</v>
      </c>
      <c r="H6" s="6">
        <v>99</v>
      </c>
      <c r="I6" s="6">
        <v>98</v>
      </c>
      <c r="J6" s="6">
        <v>64</v>
      </c>
      <c r="K6" s="6">
        <v>46</v>
      </c>
      <c r="L6" s="6"/>
      <c r="M6" s="6">
        <v>5</v>
      </c>
      <c r="N6" s="6" t="s">
        <v>744</v>
      </c>
      <c r="O6" s="6" t="s">
        <v>1567</v>
      </c>
      <c r="P6" s="6" t="s">
        <v>1568</v>
      </c>
      <c r="Q6" s="6" t="s">
        <v>1569</v>
      </c>
      <c r="R6" s="6" t="s">
        <v>1570</v>
      </c>
      <c r="S6" s="6" t="s">
        <v>1571</v>
      </c>
      <c r="T6" s="6" t="s">
        <v>1572</v>
      </c>
      <c r="U6" s="6" t="s">
        <v>1573</v>
      </c>
      <c r="V6" s="6" t="s">
        <v>1574</v>
      </c>
    </row>
    <row r="7" spans="1:22" ht="45.6" x14ac:dyDescent="0.25">
      <c r="A7" s="10">
        <v>6</v>
      </c>
      <c r="B7" s="6" t="s">
        <v>1139</v>
      </c>
      <c r="C7" s="6" t="s">
        <v>1482</v>
      </c>
      <c r="D7" s="6">
        <v>972</v>
      </c>
      <c r="E7" s="6">
        <v>314</v>
      </c>
      <c r="F7" s="6">
        <v>305</v>
      </c>
      <c r="G7" s="6">
        <v>239</v>
      </c>
      <c r="H7" s="6">
        <v>114</v>
      </c>
      <c r="I7" s="6">
        <v>129</v>
      </c>
      <c r="J7" s="6">
        <v>110</v>
      </c>
      <c r="K7" s="6">
        <v>0</v>
      </c>
      <c r="L7" s="6"/>
      <c r="M7" s="6">
        <v>6</v>
      </c>
      <c r="N7" s="6" t="s">
        <v>1139</v>
      </c>
      <c r="O7" s="6" t="s">
        <v>1575</v>
      </c>
      <c r="P7" s="6" t="s">
        <v>1576</v>
      </c>
      <c r="Q7" s="6" t="s">
        <v>1577</v>
      </c>
      <c r="R7" s="6" t="s">
        <v>1578</v>
      </c>
      <c r="S7" s="6" t="s">
        <v>1579</v>
      </c>
      <c r="T7" s="6" t="s">
        <v>1580</v>
      </c>
      <c r="U7" s="6" t="s">
        <v>1581</v>
      </c>
      <c r="V7" s="6" t="s">
        <v>1582</v>
      </c>
    </row>
    <row r="8" spans="1:22" ht="45.6" x14ac:dyDescent="0.25">
      <c r="A8" s="10">
        <v>7</v>
      </c>
      <c r="B8" s="6" t="s">
        <v>768</v>
      </c>
      <c r="C8" s="6" t="s">
        <v>1483</v>
      </c>
      <c r="D8" s="6">
        <v>2</v>
      </c>
      <c r="E8" s="6">
        <v>1</v>
      </c>
      <c r="F8" s="6">
        <v>1</v>
      </c>
      <c r="G8" s="6">
        <v>1</v>
      </c>
      <c r="H8" s="6" t="s">
        <v>1068</v>
      </c>
      <c r="I8" s="6" t="s">
        <v>1068</v>
      </c>
      <c r="J8" s="6" t="s">
        <v>1068</v>
      </c>
      <c r="K8" s="6" t="s">
        <v>1068</v>
      </c>
      <c r="L8" s="6"/>
      <c r="M8" s="6">
        <v>7</v>
      </c>
      <c r="N8" s="6" t="s">
        <v>1583</v>
      </c>
      <c r="O8" s="6" t="s">
        <v>1584</v>
      </c>
      <c r="P8" s="6" t="s">
        <v>1585</v>
      </c>
      <c r="Q8" s="6" t="s">
        <v>1586</v>
      </c>
      <c r="R8" s="6" t="s">
        <v>1587</v>
      </c>
      <c r="S8" s="6" t="s">
        <v>1588</v>
      </c>
      <c r="T8" s="6" t="s">
        <v>1901</v>
      </c>
      <c r="U8" s="6" t="s">
        <v>1589</v>
      </c>
      <c r="V8" s="6" t="s">
        <v>1590</v>
      </c>
    </row>
    <row r="9" spans="1:22" ht="34.200000000000003" x14ac:dyDescent="0.25">
      <c r="A9" s="10">
        <v>8</v>
      </c>
      <c r="B9" s="6" t="s">
        <v>904</v>
      </c>
      <c r="C9" s="6" t="s">
        <v>1484</v>
      </c>
      <c r="D9" s="6">
        <v>46521</v>
      </c>
      <c r="E9" s="6">
        <v>21033</v>
      </c>
      <c r="F9" s="6">
        <v>19863</v>
      </c>
      <c r="G9" s="6">
        <v>15985</v>
      </c>
      <c r="H9" s="6">
        <v>15655</v>
      </c>
      <c r="I9" s="6">
        <v>12340</v>
      </c>
      <c r="J9" s="6">
        <v>12984</v>
      </c>
      <c r="K9" s="6">
        <v>7653</v>
      </c>
      <c r="L9" s="6"/>
      <c r="M9" s="6">
        <v>8</v>
      </c>
      <c r="N9" s="6" t="s">
        <v>1591</v>
      </c>
      <c r="O9" s="6" t="s">
        <v>1592</v>
      </c>
      <c r="P9" s="6" t="s">
        <v>1593</v>
      </c>
      <c r="Q9" s="6" t="s">
        <v>1594</v>
      </c>
      <c r="R9" s="6" t="s">
        <v>1595</v>
      </c>
      <c r="S9" s="6" t="s">
        <v>1596</v>
      </c>
      <c r="T9" s="6" t="s">
        <v>1597</v>
      </c>
      <c r="U9" s="6" t="s">
        <v>1598</v>
      </c>
      <c r="V9" s="6" t="s">
        <v>1599</v>
      </c>
    </row>
    <row r="10" spans="1:22" ht="22.8" x14ac:dyDescent="0.25">
      <c r="A10" s="10">
        <v>9</v>
      </c>
      <c r="B10" s="6" t="s">
        <v>977</v>
      </c>
      <c r="C10" s="6" t="s">
        <v>1485</v>
      </c>
      <c r="D10" s="6">
        <v>4</v>
      </c>
      <c r="E10" s="6">
        <v>2</v>
      </c>
      <c r="F10" s="6">
        <v>2</v>
      </c>
      <c r="G10" s="6">
        <v>1</v>
      </c>
      <c r="H10" s="6">
        <v>2</v>
      </c>
      <c r="I10" s="6" t="s">
        <v>1068</v>
      </c>
      <c r="J10" s="6" t="s">
        <v>1068</v>
      </c>
      <c r="K10" s="6" t="s">
        <v>1068</v>
      </c>
      <c r="L10" s="6"/>
      <c r="M10" s="6">
        <v>9</v>
      </c>
      <c r="N10" s="6" t="s">
        <v>977</v>
      </c>
      <c r="O10" s="6" t="s">
        <v>1600</v>
      </c>
      <c r="P10" s="6" t="s">
        <v>1601</v>
      </c>
      <c r="Q10" s="6" t="s">
        <v>1602</v>
      </c>
      <c r="R10" s="6" t="s">
        <v>1603</v>
      </c>
      <c r="S10" s="6" t="s">
        <v>1604</v>
      </c>
      <c r="T10" s="6" t="s">
        <v>1605</v>
      </c>
      <c r="U10" s="6" t="s">
        <v>1606</v>
      </c>
      <c r="V10" s="6" t="s">
        <v>1607</v>
      </c>
    </row>
    <row r="11" spans="1:22" ht="34.200000000000003" x14ac:dyDescent="0.25">
      <c r="A11" s="10">
        <v>10</v>
      </c>
      <c r="B11" s="6" t="s">
        <v>1486</v>
      </c>
      <c r="C11" s="6" t="s">
        <v>1487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 t="s">
        <v>1068</v>
      </c>
      <c r="J11" s="6" t="s">
        <v>1068</v>
      </c>
      <c r="K11" s="6" t="s">
        <v>1068</v>
      </c>
      <c r="L11" s="6"/>
      <c r="M11" s="6">
        <v>10</v>
      </c>
      <c r="N11" s="6" t="s">
        <v>1608</v>
      </c>
      <c r="O11" s="6" t="s">
        <v>1609</v>
      </c>
      <c r="P11" s="6" t="s">
        <v>1610</v>
      </c>
      <c r="Q11" s="6" t="s">
        <v>1611</v>
      </c>
      <c r="R11" s="6" t="s">
        <v>1612</v>
      </c>
      <c r="S11" s="6" t="s">
        <v>1613</v>
      </c>
      <c r="T11" s="6" t="s">
        <v>1614</v>
      </c>
      <c r="U11" s="6" t="s">
        <v>1615</v>
      </c>
      <c r="V11" s="6" t="s">
        <v>1616</v>
      </c>
    </row>
    <row r="12" spans="1:22" ht="83.4" x14ac:dyDescent="0.25">
      <c r="A12" s="10">
        <v>11</v>
      </c>
      <c r="B12" s="6" t="s">
        <v>982</v>
      </c>
      <c r="C12" s="6" t="s">
        <v>1488</v>
      </c>
      <c r="D12" s="6">
        <v>2</v>
      </c>
      <c r="E12" s="6" t="s">
        <v>1068</v>
      </c>
      <c r="F12" s="6">
        <v>1</v>
      </c>
      <c r="G12" s="6" t="s">
        <v>1068</v>
      </c>
      <c r="H12" s="6">
        <v>1</v>
      </c>
      <c r="I12" s="6" t="s">
        <v>1068</v>
      </c>
      <c r="J12" s="6" t="s">
        <v>1068</v>
      </c>
      <c r="K12" s="6" t="s">
        <v>1068</v>
      </c>
      <c r="L12" s="6"/>
      <c r="M12" s="6">
        <v>11</v>
      </c>
      <c r="N12" s="6" t="s">
        <v>1486</v>
      </c>
      <c r="O12" s="6" t="s">
        <v>1164</v>
      </c>
      <c r="P12" s="6" t="s">
        <v>1164</v>
      </c>
      <c r="Q12" s="6" t="s">
        <v>1617</v>
      </c>
      <c r="R12" s="6" t="s">
        <v>1618</v>
      </c>
      <c r="S12" s="6" t="s">
        <v>1164</v>
      </c>
      <c r="T12" s="6" t="s">
        <v>1619</v>
      </c>
      <c r="U12" s="6" t="s">
        <v>1620</v>
      </c>
      <c r="V12" s="6" t="s">
        <v>1621</v>
      </c>
    </row>
    <row r="13" spans="1:22" ht="83.4" x14ac:dyDescent="0.25">
      <c r="A13" s="10">
        <v>12</v>
      </c>
      <c r="B13" s="6" t="s">
        <v>907</v>
      </c>
      <c r="C13" s="6" t="s">
        <v>1489</v>
      </c>
      <c r="D13" s="6">
        <v>9</v>
      </c>
      <c r="E13" s="6">
        <v>7</v>
      </c>
      <c r="F13" s="6">
        <v>9</v>
      </c>
      <c r="G13" s="6">
        <v>12</v>
      </c>
      <c r="H13" s="6">
        <v>12</v>
      </c>
      <c r="I13" s="6">
        <v>15</v>
      </c>
      <c r="J13" s="6">
        <v>13</v>
      </c>
      <c r="K13" s="6">
        <v>12</v>
      </c>
      <c r="L13" s="6"/>
      <c r="M13" s="6">
        <v>12</v>
      </c>
      <c r="N13" s="6" t="s">
        <v>982</v>
      </c>
      <c r="O13" s="6" t="s">
        <v>1622</v>
      </c>
      <c r="P13" s="6" t="s">
        <v>1623</v>
      </c>
      <c r="Q13" s="6" t="s">
        <v>1624</v>
      </c>
      <c r="R13" s="6" t="s">
        <v>1625</v>
      </c>
      <c r="S13" s="6" t="s">
        <v>1626</v>
      </c>
      <c r="T13" s="6" t="s">
        <v>1627</v>
      </c>
      <c r="U13" s="6" t="s">
        <v>1628</v>
      </c>
      <c r="V13" s="6" t="s">
        <v>1582</v>
      </c>
    </row>
    <row r="14" spans="1:22" ht="83.4" x14ac:dyDescent="0.25">
      <c r="A14" s="10">
        <v>13</v>
      </c>
      <c r="B14" s="6" t="s">
        <v>764</v>
      </c>
      <c r="C14" s="6" t="s">
        <v>1490</v>
      </c>
      <c r="D14" s="6">
        <v>31</v>
      </c>
      <c r="E14" s="6">
        <v>38</v>
      </c>
      <c r="F14" s="6">
        <v>43</v>
      </c>
      <c r="G14" s="6">
        <v>54</v>
      </c>
      <c r="H14" s="6">
        <v>53</v>
      </c>
      <c r="I14" s="6">
        <v>60</v>
      </c>
      <c r="J14" s="6">
        <v>51</v>
      </c>
      <c r="K14" s="6">
        <v>23</v>
      </c>
      <c r="L14" s="6"/>
      <c r="M14" s="6">
        <v>13</v>
      </c>
      <c r="N14" s="6" t="s">
        <v>1629</v>
      </c>
      <c r="O14" s="6" t="s">
        <v>1630</v>
      </c>
      <c r="P14" s="6" t="s">
        <v>1631</v>
      </c>
      <c r="Q14" s="6" t="s">
        <v>1632</v>
      </c>
      <c r="R14" s="6" t="s">
        <v>1633</v>
      </c>
      <c r="S14" s="6" t="s">
        <v>1634</v>
      </c>
      <c r="T14" s="6" t="s">
        <v>1635</v>
      </c>
      <c r="U14" s="6" t="s">
        <v>1636</v>
      </c>
      <c r="V14" s="6" t="s">
        <v>1637</v>
      </c>
    </row>
    <row r="15" spans="1:22" ht="34.200000000000003" x14ac:dyDescent="0.25">
      <c r="A15" s="10">
        <v>14</v>
      </c>
      <c r="B15" s="6" t="s">
        <v>1310</v>
      </c>
      <c r="C15" s="6" t="s">
        <v>1491</v>
      </c>
      <c r="D15" s="6">
        <v>3</v>
      </c>
      <c r="E15" s="6">
        <v>2</v>
      </c>
      <c r="F15" s="6">
        <v>2</v>
      </c>
      <c r="G15" s="6">
        <v>1</v>
      </c>
      <c r="H15" s="6">
        <v>2</v>
      </c>
      <c r="I15" s="6">
        <v>1</v>
      </c>
      <c r="J15" s="6">
        <v>2</v>
      </c>
      <c r="K15" s="6" t="s">
        <v>1068</v>
      </c>
      <c r="L15" s="6"/>
      <c r="M15" s="6">
        <v>14</v>
      </c>
      <c r="N15" s="6" t="s">
        <v>1638</v>
      </c>
      <c r="O15" s="6" t="s">
        <v>1639</v>
      </c>
      <c r="P15" s="6" t="s">
        <v>1640</v>
      </c>
      <c r="Q15" s="6" t="s">
        <v>1641</v>
      </c>
      <c r="R15" s="6" t="s">
        <v>1642</v>
      </c>
      <c r="S15" s="6" t="s">
        <v>1643</v>
      </c>
      <c r="T15" s="6" t="s">
        <v>1902</v>
      </c>
      <c r="U15" s="6" t="s">
        <v>1644</v>
      </c>
      <c r="V15" s="6" t="s">
        <v>1645</v>
      </c>
    </row>
    <row r="16" spans="1:22" ht="45.6" x14ac:dyDescent="0.25">
      <c r="A16" s="10">
        <v>15</v>
      </c>
      <c r="B16" s="6" t="s">
        <v>986</v>
      </c>
      <c r="C16" s="6" t="s">
        <v>1492</v>
      </c>
      <c r="D16" s="6">
        <v>3934</v>
      </c>
      <c r="E16" s="6">
        <v>1755</v>
      </c>
      <c r="F16" s="6">
        <v>2673</v>
      </c>
      <c r="G16" s="6">
        <v>1509</v>
      </c>
      <c r="H16" s="6">
        <v>3181</v>
      </c>
      <c r="I16" s="6">
        <v>1579</v>
      </c>
      <c r="J16" s="6">
        <v>2957</v>
      </c>
      <c r="K16" s="6">
        <v>298</v>
      </c>
      <c r="L16" s="6"/>
      <c r="M16" s="6">
        <v>15</v>
      </c>
      <c r="N16" s="6" t="s">
        <v>1646</v>
      </c>
      <c r="O16" s="6" t="s">
        <v>1647</v>
      </c>
      <c r="P16" s="6" t="s">
        <v>1648</v>
      </c>
      <c r="Q16" s="6" t="s">
        <v>1649</v>
      </c>
      <c r="R16" s="6" t="s">
        <v>1650</v>
      </c>
      <c r="S16" s="6" t="s">
        <v>1651</v>
      </c>
      <c r="T16" s="6" t="s">
        <v>1652</v>
      </c>
      <c r="U16" s="6" t="s">
        <v>1653</v>
      </c>
      <c r="V16" s="6" t="s">
        <v>1654</v>
      </c>
    </row>
    <row r="17" spans="1:22" ht="34.200000000000003" x14ac:dyDescent="0.25">
      <c r="A17" s="10">
        <v>16</v>
      </c>
      <c r="B17" s="6" t="s">
        <v>1028</v>
      </c>
      <c r="C17" s="6" t="s">
        <v>1493</v>
      </c>
      <c r="D17" s="6" t="s">
        <v>1068</v>
      </c>
      <c r="E17" s="6">
        <v>0</v>
      </c>
      <c r="F17" s="6" t="s">
        <v>1068</v>
      </c>
      <c r="G17" s="6" t="s">
        <v>1068</v>
      </c>
      <c r="H17" s="6" t="s">
        <v>1068</v>
      </c>
      <c r="I17" s="6" t="s">
        <v>1068</v>
      </c>
      <c r="J17" s="6" t="s">
        <v>1068</v>
      </c>
      <c r="K17" s="6" t="s">
        <v>1068</v>
      </c>
      <c r="L17" s="6"/>
      <c r="M17" s="6">
        <v>16</v>
      </c>
      <c r="N17" s="6" t="s">
        <v>1310</v>
      </c>
      <c r="O17" s="6" t="s">
        <v>1655</v>
      </c>
      <c r="P17" s="6" t="s">
        <v>1656</v>
      </c>
      <c r="Q17" s="6" t="s">
        <v>1657</v>
      </c>
      <c r="R17" s="6" t="s">
        <v>1658</v>
      </c>
      <c r="S17" s="6" t="s">
        <v>1659</v>
      </c>
      <c r="T17" s="6" t="s">
        <v>1660</v>
      </c>
      <c r="U17" s="6" t="s">
        <v>1661</v>
      </c>
      <c r="V17" s="6" t="s">
        <v>1662</v>
      </c>
    </row>
    <row r="18" spans="1:22" ht="34.200000000000003" x14ac:dyDescent="0.25">
      <c r="A18" s="10">
        <v>17</v>
      </c>
      <c r="B18" s="6" t="s">
        <v>1494</v>
      </c>
      <c r="C18" s="6" t="s">
        <v>1495</v>
      </c>
      <c r="D18" s="6">
        <v>4</v>
      </c>
      <c r="E18" s="6">
        <v>1</v>
      </c>
      <c r="F18" s="6">
        <v>3</v>
      </c>
      <c r="G18" s="6">
        <v>2</v>
      </c>
      <c r="H18" s="6">
        <v>5</v>
      </c>
      <c r="I18" s="6">
        <v>2</v>
      </c>
      <c r="J18" s="6">
        <v>4</v>
      </c>
      <c r="K18" s="6">
        <v>0</v>
      </c>
      <c r="L18" s="6"/>
      <c r="M18" s="6">
        <v>17</v>
      </c>
      <c r="N18" s="6" t="s">
        <v>1663</v>
      </c>
      <c r="O18" s="6" t="s">
        <v>1664</v>
      </c>
      <c r="P18" s="6" t="s">
        <v>1665</v>
      </c>
      <c r="Q18" s="6" t="s">
        <v>1666</v>
      </c>
      <c r="R18" s="6" t="s">
        <v>1667</v>
      </c>
      <c r="S18" s="6" t="s">
        <v>1668</v>
      </c>
      <c r="T18" s="6" t="s">
        <v>1669</v>
      </c>
      <c r="U18" s="6" t="s">
        <v>1670</v>
      </c>
      <c r="V18" s="6" t="s">
        <v>1671</v>
      </c>
    </row>
    <row r="19" spans="1:22" ht="34.200000000000003" x14ac:dyDescent="0.25">
      <c r="A19" s="10">
        <v>18</v>
      </c>
      <c r="B19" s="6" t="s">
        <v>1216</v>
      </c>
      <c r="C19" s="6" t="s">
        <v>1496</v>
      </c>
      <c r="D19" s="6" t="s">
        <v>1068</v>
      </c>
      <c r="E19" s="6">
        <v>0</v>
      </c>
      <c r="F19" s="6" t="s">
        <v>1068</v>
      </c>
      <c r="G19" s="6" t="s">
        <v>1068</v>
      </c>
      <c r="H19" s="6">
        <v>1</v>
      </c>
      <c r="I19" s="6">
        <v>3</v>
      </c>
      <c r="J19" s="6">
        <v>3</v>
      </c>
      <c r="K19" s="6">
        <v>3</v>
      </c>
      <c r="L19" s="6"/>
      <c r="M19" s="6">
        <v>18</v>
      </c>
      <c r="N19" s="6" t="s">
        <v>986</v>
      </c>
      <c r="O19" s="6" t="s">
        <v>1672</v>
      </c>
      <c r="P19" s="6" t="s">
        <v>1673</v>
      </c>
      <c r="Q19" s="6" t="s">
        <v>1674</v>
      </c>
      <c r="R19" s="6" t="s">
        <v>1675</v>
      </c>
      <c r="S19" s="6" t="s">
        <v>1676</v>
      </c>
      <c r="T19" s="6" t="s">
        <v>1677</v>
      </c>
      <c r="U19" s="6" t="s">
        <v>1678</v>
      </c>
      <c r="V19" s="6" t="s">
        <v>1679</v>
      </c>
    </row>
    <row r="20" spans="1:22" ht="34.200000000000003" x14ac:dyDescent="0.25">
      <c r="A20" s="10">
        <v>19</v>
      </c>
      <c r="B20" s="6" t="s">
        <v>1497</v>
      </c>
      <c r="C20" s="6" t="s">
        <v>1498</v>
      </c>
      <c r="D20" s="6">
        <v>0</v>
      </c>
      <c r="E20" s="6">
        <v>0</v>
      </c>
      <c r="F20" s="6">
        <v>0</v>
      </c>
      <c r="G20" s="6">
        <v>0</v>
      </c>
      <c r="H20" s="6" t="s">
        <v>1068</v>
      </c>
      <c r="I20" s="6" t="s">
        <v>1068</v>
      </c>
      <c r="J20" s="6" t="s">
        <v>1068</v>
      </c>
      <c r="K20" s="6" t="s">
        <v>1068</v>
      </c>
      <c r="L20" s="6"/>
      <c r="M20" s="6">
        <v>19</v>
      </c>
      <c r="N20" s="6" t="s">
        <v>1028</v>
      </c>
      <c r="O20" s="6" t="s">
        <v>1680</v>
      </c>
      <c r="P20" s="6" t="s">
        <v>1681</v>
      </c>
      <c r="Q20" s="6" t="s">
        <v>1682</v>
      </c>
      <c r="R20" s="6" t="s">
        <v>1683</v>
      </c>
      <c r="S20" s="6" t="s">
        <v>1684</v>
      </c>
      <c r="T20" s="6" t="s">
        <v>1685</v>
      </c>
      <c r="U20" s="6" t="s">
        <v>1686</v>
      </c>
      <c r="V20" s="6" t="s">
        <v>1687</v>
      </c>
    </row>
    <row r="21" spans="1:22" ht="34.200000000000003" x14ac:dyDescent="0.25">
      <c r="A21" s="10">
        <v>20</v>
      </c>
      <c r="B21" s="6" t="s">
        <v>989</v>
      </c>
      <c r="C21" s="6" t="s">
        <v>1499</v>
      </c>
      <c r="D21" s="6" t="s">
        <v>1068</v>
      </c>
      <c r="E21" s="6">
        <v>0</v>
      </c>
      <c r="F21" s="6" t="s">
        <v>1068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/>
      <c r="M21" s="6">
        <v>20</v>
      </c>
      <c r="N21" s="6" t="s">
        <v>1136</v>
      </c>
      <c r="O21" s="6" t="s">
        <v>1688</v>
      </c>
      <c r="P21" s="6" t="s">
        <v>1689</v>
      </c>
      <c r="Q21" s="6" t="s">
        <v>1690</v>
      </c>
      <c r="R21" s="6" t="s">
        <v>1691</v>
      </c>
      <c r="S21" s="6" t="s">
        <v>1692</v>
      </c>
      <c r="T21" s="6" t="s">
        <v>1693</v>
      </c>
      <c r="U21" s="6" t="s">
        <v>1694</v>
      </c>
      <c r="V21" s="6" t="s">
        <v>1582</v>
      </c>
    </row>
    <row r="22" spans="1:22" ht="34.200000000000003" x14ac:dyDescent="0.25">
      <c r="A22" s="10">
        <v>21</v>
      </c>
      <c r="B22" s="6" t="s">
        <v>969</v>
      </c>
      <c r="C22" s="6" t="s">
        <v>1500</v>
      </c>
      <c r="D22" s="6">
        <v>14</v>
      </c>
      <c r="E22" s="6">
        <v>6</v>
      </c>
      <c r="F22" s="6">
        <v>14</v>
      </c>
      <c r="G22" s="6">
        <v>7</v>
      </c>
      <c r="H22" s="6">
        <v>23</v>
      </c>
      <c r="I22" s="6">
        <v>11</v>
      </c>
      <c r="J22" s="6">
        <v>18</v>
      </c>
      <c r="K22" s="6" t="s">
        <v>1068</v>
      </c>
      <c r="L22" s="6"/>
      <c r="M22" s="6">
        <v>21</v>
      </c>
      <c r="N22" s="6" t="s">
        <v>933</v>
      </c>
      <c r="O22" s="6" t="s">
        <v>1695</v>
      </c>
      <c r="P22" s="6" t="s">
        <v>1696</v>
      </c>
      <c r="Q22" s="6" t="s">
        <v>1697</v>
      </c>
      <c r="R22" s="6" t="s">
        <v>1698</v>
      </c>
      <c r="S22" s="6" t="s">
        <v>1699</v>
      </c>
      <c r="T22" s="6" t="s">
        <v>1903</v>
      </c>
      <c r="U22" s="6" t="s">
        <v>1700</v>
      </c>
      <c r="V22" s="6" t="s">
        <v>1701</v>
      </c>
    </row>
    <row r="23" spans="1:22" ht="34.200000000000003" x14ac:dyDescent="0.25">
      <c r="A23" s="10">
        <v>22</v>
      </c>
      <c r="B23" s="6" t="s">
        <v>1124</v>
      </c>
      <c r="C23" s="6" t="s">
        <v>1501</v>
      </c>
      <c r="D23" s="6">
        <v>68</v>
      </c>
      <c r="E23" s="6">
        <v>42</v>
      </c>
      <c r="F23" s="6">
        <v>67</v>
      </c>
      <c r="G23" s="6">
        <v>82</v>
      </c>
      <c r="H23" s="6">
        <v>107</v>
      </c>
      <c r="I23" s="6">
        <v>159</v>
      </c>
      <c r="J23" s="6">
        <v>165</v>
      </c>
      <c r="K23" s="6">
        <v>195</v>
      </c>
      <c r="L23" s="6"/>
      <c r="M23" s="6">
        <v>22</v>
      </c>
      <c r="N23" s="6" t="s">
        <v>1497</v>
      </c>
      <c r="O23" s="6" t="s">
        <v>1164</v>
      </c>
      <c r="P23" s="6" t="s">
        <v>1164</v>
      </c>
      <c r="Q23" s="6" t="s">
        <v>1164</v>
      </c>
      <c r="R23" s="6" t="s">
        <v>1164</v>
      </c>
      <c r="S23" s="6" t="s">
        <v>1164</v>
      </c>
      <c r="T23" s="6" t="s">
        <v>1702</v>
      </c>
      <c r="U23" s="6" t="s">
        <v>1703</v>
      </c>
      <c r="V23" s="6" t="s">
        <v>1704</v>
      </c>
    </row>
    <row r="24" spans="1:22" ht="34.200000000000003" x14ac:dyDescent="0.25">
      <c r="A24" s="10">
        <v>23</v>
      </c>
      <c r="B24" s="6" t="s">
        <v>995</v>
      </c>
      <c r="C24" s="6" t="s">
        <v>1502</v>
      </c>
      <c r="D24" s="6">
        <v>4</v>
      </c>
      <c r="E24" s="6">
        <v>1</v>
      </c>
      <c r="F24" s="6">
        <v>3</v>
      </c>
      <c r="G24" s="6">
        <v>2</v>
      </c>
      <c r="H24" s="6">
        <v>7</v>
      </c>
      <c r="I24" s="6" t="s">
        <v>1068</v>
      </c>
      <c r="J24" s="6">
        <v>8</v>
      </c>
      <c r="K24" s="6" t="s">
        <v>1068</v>
      </c>
      <c r="L24" s="6"/>
      <c r="M24" s="6">
        <v>23</v>
      </c>
      <c r="N24" s="6" t="s">
        <v>1705</v>
      </c>
      <c r="O24" s="6" t="s">
        <v>1706</v>
      </c>
      <c r="P24" s="6" t="s">
        <v>1707</v>
      </c>
      <c r="Q24" s="6" t="s">
        <v>1708</v>
      </c>
      <c r="R24" s="6" t="s">
        <v>1709</v>
      </c>
      <c r="S24" s="6" t="s">
        <v>1710</v>
      </c>
      <c r="T24" s="6" t="s">
        <v>1164</v>
      </c>
      <c r="U24" s="6" t="s">
        <v>1164</v>
      </c>
      <c r="V24" s="6" t="s">
        <v>1164</v>
      </c>
    </row>
    <row r="25" spans="1:22" ht="34.200000000000003" x14ac:dyDescent="0.25">
      <c r="A25" s="10">
        <v>24</v>
      </c>
      <c r="B25" s="6" t="s">
        <v>752</v>
      </c>
      <c r="C25" s="6" t="s">
        <v>1443</v>
      </c>
      <c r="D25" s="6">
        <v>8</v>
      </c>
      <c r="E25" s="6">
        <v>7</v>
      </c>
      <c r="F25" s="6">
        <v>13</v>
      </c>
      <c r="G25" s="6">
        <v>21</v>
      </c>
      <c r="H25" s="6">
        <v>26</v>
      </c>
      <c r="I25" s="6">
        <v>49</v>
      </c>
      <c r="J25" s="6">
        <v>63</v>
      </c>
      <c r="K25" s="6">
        <v>72</v>
      </c>
      <c r="L25" s="6"/>
      <c r="M25" s="6">
        <v>24</v>
      </c>
      <c r="N25" s="6" t="s">
        <v>989</v>
      </c>
      <c r="O25" s="6" t="s">
        <v>1711</v>
      </c>
      <c r="P25" s="6" t="s">
        <v>1164</v>
      </c>
      <c r="Q25" s="6" t="s">
        <v>1712</v>
      </c>
      <c r="R25" s="6" t="s">
        <v>1164</v>
      </c>
      <c r="S25" s="6" t="s">
        <v>1164</v>
      </c>
      <c r="T25" s="6" t="s">
        <v>1164</v>
      </c>
      <c r="U25" s="6" t="s">
        <v>1164</v>
      </c>
      <c r="V25" s="6" t="s">
        <v>1164</v>
      </c>
    </row>
    <row r="26" spans="1:22" ht="79.8" x14ac:dyDescent="0.25">
      <c r="A26" s="10">
        <v>25</v>
      </c>
      <c r="B26" s="6" t="s">
        <v>1503</v>
      </c>
      <c r="C26" s="6" t="s">
        <v>1504</v>
      </c>
      <c r="D26" s="6">
        <v>3</v>
      </c>
      <c r="E26" s="6">
        <v>2</v>
      </c>
      <c r="F26" s="6">
        <v>3</v>
      </c>
      <c r="G26" s="6">
        <v>4</v>
      </c>
      <c r="H26" s="6">
        <v>5</v>
      </c>
      <c r="I26" s="6">
        <v>9</v>
      </c>
      <c r="J26" s="6">
        <v>8</v>
      </c>
      <c r="K26" s="6">
        <v>11</v>
      </c>
      <c r="L26" s="6"/>
      <c r="M26" s="6">
        <v>25</v>
      </c>
      <c r="N26" s="6" t="s">
        <v>1713</v>
      </c>
      <c r="O26" s="6" t="s">
        <v>1714</v>
      </c>
      <c r="P26" s="6" t="s">
        <v>1715</v>
      </c>
      <c r="Q26" s="6" t="s">
        <v>1716</v>
      </c>
      <c r="R26" s="6" t="s">
        <v>1717</v>
      </c>
      <c r="S26" s="6" t="s">
        <v>1718</v>
      </c>
      <c r="T26" s="6" t="s">
        <v>1719</v>
      </c>
      <c r="U26" s="6" t="s">
        <v>1720</v>
      </c>
      <c r="V26" s="6" t="s">
        <v>1721</v>
      </c>
    </row>
    <row r="27" spans="1:22" ht="45.6" x14ac:dyDescent="0.25">
      <c r="A27" s="10">
        <v>26</v>
      </c>
      <c r="B27" s="6" t="s">
        <v>947</v>
      </c>
      <c r="C27" s="6" t="s">
        <v>1505</v>
      </c>
      <c r="D27" s="6">
        <v>5</v>
      </c>
      <c r="E27" s="6">
        <v>2</v>
      </c>
      <c r="F27" s="6">
        <v>4</v>
      </c>
      <c r="G27" s="6">
        <v>6</v>
      </c>
      <c r="H27" s="6">
        <v>12</v>
      </c>
      <c r="I27" s="6">
        <v>17</v>
      </c>
      <c r="J27" s="6">
        <v>18</v>
      </c>
      <c r="K27" s="6">
        <v>24</v>
      </c>
      <c r="L27" s="6"/>
      <c r="M27" s="6">
        <v>26</v>
      </c>
      <c r="N27" s="6" t="s">
        <v>969</v>
      </c>
      <c r="O27" s="6" t="s">
        <v>1722</v>
      </c>
      <c r="P27" s="6" t="s">
        <v>1723</v>
      </c>
      <c r="Q27" s="6" t="s">
        <v>1724</v>
      </c>
      <c r="R27" s="6" t="s">
        <v>1725</v>
      </c>
      <c r="S27" s="6" t="s">
        <v>1726</v>
      </c>
      <c r="T27" s="6" t="s">
        <v>1727</v>
      </c>
      <c r="U27" s="6" t="s">
        <v>1728</v>
      </c>
      <c r="V27" s="6" t="s">
        <v>1729</v>
      </c>
    </row>
    <row r="28" spans="1:22" ht="34.200000000000003" x14ac:dyDescent="0.25">
      <c r="A28" s="10">
        <v>27</v>
      </c>
      <c r="B28" s="6" t="s">
        <v>1506</v>
      </c>
      <c r="C28" s="6" t="s">
        <v>1507</v>
      </c>
      <c r="D28" s="6" t="s">
        <v>1068</v>
      </c>
      <c r="E28" s="6" t="s">
        <v>1068</v>
      </c>
      <c r="F28" s="6" t="s">
        <v>1068</v>
      </c>
      <c r="G28" s="6" t="s">
        <v>1068</v>
      </c>
      <c r="H28" s="6" t="s">
        <v>1068</v>
      </c>
      <c r="I28" s="6" t="s">
        <v>1068</v>
      </c>
      <c r="J28" s="6" t="s">
        <v>1068</v>
      </c>
      <c r="K28" s="6" t="s">
        <v>1068</v>
      </c>
      <c r="L28" s="6"/>
      <c r="M28" s="6">
        <v>27</v>
      </c>
      <c r="N28" s="6" t="s">
        <v>1124</v>
      </c>
      <c r="O28" s="6" t="s">
        <v>1730</v>
      </c>
      <c r="P28" s="6" t="s">
        <v>1731</v>
      </c>
      <c r="Q28" s="6" t="s">
        <v>1732</v>
      </c>
      <c r="R28" s="6" t="s">
        <v>1733</v>
      </c>
      <c r="S28" s="6" t="s">
        <v>1734</v>
      </c>
      <c r="T28" s="6" t="s">
        <v>1735</v>
      </c>
      <c r="U28" s="6" t="s">
        <v>1736</v>
      </c>
      <c r="V28" s="6" t="s">
        <v>1737</v>
      </c>
    </row>
    <row r="29" spans="1:22" ht="45.6" x14ac:dyDescent="0.25">
      <c r="A29" s="10">
        <v>28</v>
      </c>
      <c r="B29" s="6" t="s">
        <v>1508</v>
      </c>
      <c r="C29" s="6" t="s">
        <v>1509</v>
      </c>
      <c r="D29" s="6" t="s">
        <v>1904</v>
      </c>
      <c r="E29" s="6" t="s">
        <v>1068</v>
      </c>
      <c r="F29" s="6" t="s">
        <v>1068</v>
      </c>
      <c r="G29" s="6" t="s">
        <v>1068</v>
      </c>
      <c r="H29" s="6" t="s">
        <v>1068</v>
      </c>
      <c r="I29" s="6" t="s">
        <v>1068</v>
      </c>
      <c r="J29" s="6" t="s">
        <v>1068</v>
      </c>
      <c r="K29" s="6" t="s">
        <v>1068</v>
      </c>
      <c r="L29" s="6"/>
      <c r="M29" s="6">
        <v>28</v>
      </c>
      <c r="N29" s="6" t="s">
        <v>995</v>
      </c>
      <c r="O29" s="6" t="s">
        <v>1738</v>
      </c>
      <c r="P29" s="6" t="s">
        <v>1739</v>
      </c>
      <c r="Q29" s="6" t="s">
        <v>1740</v>
      </c>
      <c r="R29" s="6" t="s">
        <v>1741</v>
      </c>
      <c r="S29" s="6" t="s">
        <v>1742</v>
      </c>
      <c r="T29" s="6" t="s">
        <v>1905</v>
      </c>
      <c r="U29" s="6" t="s">
        <v>1743</v>
      </c>
      <c r="V29" s="6" t="s">
        <v>1582</v>
      </c>
    </row>
    <row r="30" spans="1:22" ht="34.200000000000003" x14ac:dyDescent="0.25">
      <c r="A30" s="10">
        <v>29</v>
      </c>
      <c r="B30" s="6" t="s">
        <v>1257</v>
      </c>
      <c r="C30" s="6" t="s">
        <v>1510</v>
      </c>
      <c r="D30" s="6">
        <v>17</v>
      </c>
      <c r="E30" s="6">
        <v>7</v>
      </c>
      <c r="F30" s="6">
        <v>14</v>
      </c>
      <c r="G30" s="6">
        <v>19</v>
      </c>
      <c r="H30" s="6">
        <v>29</v>
      </c>
      <c r="I30" s="6">
        <v>46</v>
      </c>
      <c r="J30" s="6">
        <v>56</v>
      </c>
      <c r="K30" s="6">
        <v>76</v>
      </c>
      <c r="L30" s="6"/>
      <c r="M30" s="6">
        <v>29</v>
      </c>
      <c r="N30" s="6" t="s">
        <v>752</v>
      </c>
      <c r="O30" s="6" t="s">
        <v>1744</v>
      </c>
      <c r="P30" s="6" t="s">
        <v>1745</v>
      </c>
      <c r="Q30" s="6" t="s">
        <v>1746</v>
      </c>
      <c r="R30" s="6" t="s">
        <v>1747</v>
      </c>
      <c r="S30" s="6" t="s">
        <v>1748</v>
      </c>
      <c r="T30" s="6" t="s">
        <v>1749</v>
      </c>
      <c r="U30" s="6" t="s">
        <v>1750</v>
      </c>
      <c r="V30" s="6" t="s">
        <v>1751</v>
      </c>
    </row>
    <row r="31" spans="1:22" ht="34.200000000000003" x14ac:dyDescent="0.25">
      <c r="A31" s="10">
        <v>30</v>
      </c>
      <c r="B31" s="6" t="s">
        <v>784</v>
      </c>
      <c r="C31" s="6" t="s">
        <v>1511</v>
      </c>
      <c r="D31" s="6">
        <v>12</v>
      </c>
      <c r="E31" s="6">
        <v>12</v>
      </c>
      <c r="F31" s="6">
        <v>19</v>
      </c>
      <c r="G31" s="6">
        <v>28</v>
      </c>
      <c r="H31" s="6">
        <v>52</v>
      </c>
      <c r="I31" s="6">
        <v>71</v>
      </c>
      <c r="J31" s="6">
        <v>82</v>
      </c>
      <c r="K31" s="6">
        <v>73</v>
      </c>
      <c r="L31" s="6"/>
      <c r="M31" s="6">
        <v>30</v>
      </c>
      <c r="N31" s="6" t="s">
        <v>1752</v>
      </c>
      <c r="O31" s="6" t="s">
        <v>1753</v>
      </c>
      <c r="P31" s="6" t="s">
        <v>1754</v>
      </c>
      <c r="Q31" s="6" t="s">
        <v>1755</v>
      </c>
      <c r="R31" s="6" t="s">
        <v>1756</v>
      </c>
      <c r="S31" s="6" t="s">
        <v>1757</v>
      </c>
      <c r="T31" s="6" t="s">
        <v>1758</v>
      </c>
      <c r="U31" s="6" t="s">
        <v>1759</v>
      </c>
      <c r="V31" s="6" t="s">
        <v>1760</v>
      </c>
    </row>
    <row r="32" spans="1:22" ht="45.6" x14ac:dyDescent="0.25">
      <c r="A32" s="10">
        <v>31</v>
      </c>
      <c r="B32" s="6" t="s">
        <v>1512</v>
      </c>
      <c r="C32" s="6" t="s">
        <v>1513</v>
      </c>
      <c r="D32" s="6">
        <v>0</v>
      </c>
      <c r="E32" s="6">
        <v>0</v>
      </c>
      <c r="F32" s="6">
        <v>0</v>
      </c>
      <c r="G32" s="6">
        <v>3</v>
      </c>
      <c r="H32" s="6">
        <v>3</v>
      </c>
      <c r="I32" s="6">
        <v>4</v>
      </c>
      <c r="J32" s="6">
        <v>5</v>
      </c>
      <c r="K32" s="6">
        <v>6</v>
      </c>
      <c r="L32" s="6"/>
      <c r="M32" s="6">
        <v>31</v>
      </c>
      <c r="N32" s="6" t="s">
        <v>947</v>
      </c>
      <c r="O32" s="6" t="s">
        <v>1761</v>
      </c>
      <c r="P32" s="6" t="s">
        <v>1762</v>
      </c>
      <c r="Q32" s="6" t="s">
        <v>1763</v>
      </c>
      <c r="R32" s="6" t="s">
        <v>1764</v>
      </c>
      <c r="S32" s="6" t="s">
        <v>1765</v>
      </c>
      <c r="T32" s="6" t="s">
        <v>1766</v>
      </c>
      <c r="U32" s="6" t="s">
        <v>1767</v>
      </c>
      <c r="V32" s="6" t="s">
        <v>1768</v>
      </c>
    </row>
    <row r="33" spans="1:22" ht="34.200000000000003" x14ac:dyDescent="0.25">
      <c r="A33" s="10">
        <v>32</v>
      </c>
      <c r="B33" s="6" t="s">
        <v>1514</v>
      </c>
      <c r="C33" s="6" t="s">
        <v>1515</v>
      </c>
      <c r="D33" s="6" t="s">
        <v>1068</v>
      </c>
      <c r="E33" s="6">
        <v>0</v>
      </c>
      <c r="F33" s="6">
        <v>1</v>
      </c>
      <c r="G33" s="6">
        <v>2</v>
      </c>
      <c r="H33" s="6">
        <v>2</v>
      </c>
      <c r="I33" s="6">
        <v>4</v>
      </c>
      <c r="J33" s="6">
        <v>5</v>
      </c>
      <c r="K33" s="6">
        <v>6</v>
      </c>
      <c r="L33" s="6"/>
      <c r="M33" s="6">
        <v>32</v>
      </c>
      <c r="N33" s="6" t="s">
        <v>1161</v>
      </c>
      <c r="O33" s="6" t="s">
        <v>1769</v>
      </c>
      <c r="P33" s="6" t="s">
        <v>1770</v>
      </c>
      <c r="Q33" s="6" t="s">
        <v>1771</v>
      </c>
      <c r="R33" s="6" t="s">
        <v>1772</v>
      </c>
      <c r="S33" s="6" t="s">
        <v>1773</v>
      </c>
      <c r="T33" s="6" t="s">
        <v>1774</v>
      </c>
      <c r="U33" s="6" t="s">
        <v>1775</v>
      </c>
      <c r="V33" s="6" t="s">
        <v>1776</v>
      </c>
    </row>
    <row r="34" spans="1:22" ht="45.6" x14ac:dyDescent="0.25">
      <c r="A34" s="10">
        <v>33</v>
      </c>
      <c r="B34" s="6" t="s">
        <v>1031</v>
      </c>
      <c r="C34" s="6" t="s">
        <v>1516</v>
      </c>
      <c r="D34" s="6">
        <v>45</v>
      </c>
      <c r="E34" s="6">
        <v>23</v>
      </c>
      <c r="F34" s="6">
        <v>41</v>
      </c>
      <c r="G34" s="6">
        <v>52</v>
      </c>
      <c r="H34" s="6">
        <v>70</v>
      </c>
      <c r="I34" s="6">
        <v>88</v>
      </c>
      <c r="J34" s="6">
        <v>74</v>
      </c>
      <c r="K34" s="6">
        <v>79</v>
      </c>
      <c r="L34" s="6"/>
      <c r="M34" s="6">
        <v>33</v>
      </c>
      <c r="N34" s="6" t="s">
        <v>1777</v>
      </c>
      <c r="O34" s="6" t="s">
        <v>1778</v>
      </c>
      <c r="P34" s="6" t="s">
        <v>1779</v>
      </c>
      <c r="Q34" s="6" t="s">
        <v>1780</v>
      </c>
      <c r="R34" s="6" t="s">
        <v>1781</v>
      </c>
      <c r="S34" s="6" t="s">
        <v>1782</v>
      </c>
      <c r="T34" s="6" t="s">
        <v>1783</v>
      </c>
      <c r="U34" s="6" t="s">
        <v>1784</v>
      </c>
      <c r="V34" s="6" t="s">
        <v>1785</v>
      </c>
    </row>
    <row r="35" spans="1:22" ht="45.6" x14ac:dyDescent="0.25">
      <c r="A35" s="10">
        <v>34</v>
      </c>
      <c r="B35" s="6" t="s">
        <v>1131</v>
      </c>
      <c r="C35" s="6" t="s">
        <v>1517</v>
      </c>
      <c r="D35" s="6">
        <v>22</v>
      </c>
      <c r="E35" s="6">
        <v>21</v>
      </c>
      <c r="F35" s="6">
        <v>33</v>
      </c>
      <c r="G35" s="6">
        <v>41</v>
      </c>
      <c r="H35" s="6">
        <v>96</v>
      </c>
      <c r="I35" s="6">
        <v>111</v>
      </c>
      <c r="J35" s="6">
        <v>163</v>
      </c>
      <c r="K35" s="6">
        <v>138</v>
      </c>
      <c r="L35" s="6"/>
      <c r="M35" s="6">
        <v>34</v>
      </c>
      <c r="N35" s="6" t="s">
        <v>1508</v>
      </c>
      <c r="O35" s="6" t="s">
        <v>1786</v>
      </c>
      <c r="P35" s="6" t="s">
        <v>1787</v>
      </c>
      <c r="Q35" s="6" t="s">
        <v>1788</v>
      </c>
      <c r="R35" s="6" t="s">
        <v>1789</v>
      </c>
      <c r="S35" s="6" t="s">
        <v>1790</v>
      </c>
      <c r="T35" s="6" t="s">
        <v>1791</v>
      </c>
      <c r="U35" s="6" t="s">
        <v>1792</v>
      </c>
      <c r="V35" s="6" t="s">
        <v>1793</v>
      </c>
    </row>
    <row r="36" spans="1:22" ht="34.200000000000003" x14ac:dyDescent="0.25">
      <c r="A36" s="10">
        <v>35</v>
      </c>
      <c r="B36" s="6" t="s">
        <v>1518</v>
      </c>
      <c r="C36" s="6" t="s">
        <v>1519</v>
      </c>
      <c r="D36" s="6" t="s">
        <v>1904</v>
      </c>
      <c r="E36" s="6" t="s">
        <v>1068</v>
      </c>
      <c r="F36" s="6" t="s">
        <v>1068</v>
      </c>
      <c r="G36" s="6" t="s">
        <v>1068</v>
      </c>
      <c r="H36" s="6" t="s">
        <v>1068</v>
      </c>
      <c r="I36" s="6" t="s">
        <v>1068</v>
      </c>
      <c r="J36" s="6" t="s">
        <v>1068</v>
      </c>
      <c r="K36" s="6" t="s">
        <v>1068</v>
      </c>
      <c r="L36" s="6"/>
      <c r="M36" s="6">
        <v>35</v>
      </c>
      <c r="N36" s="6" t="s">
        <v>1257</v>
      </c>
      <c r="O36" s="6" t="s">
        <v>1794</v>
      </c>
      <c r="P36" s="6" t="s">
        <v>1795</v>
      </c>
      <c r="Q36" s="6" t="s">
        <v>1796</v>
      </c>
      <c r="R36" s="6" t="s">
        <v>1797</v>
      </c>
      <c r="S36" s="6" t="s">
        <v>1798</v>
      </c>
      <c r="T36" s="6" t="s">
        <v>1906</v>
      </c>
      <c r="U36" s="6" t="s">
        <v>1799</v>
      </c>
      <c r="V36" s="6" t="s">
        <v>1800</v>
      </c>
    </row>
    <row r="37" spans="1:22" ht="34.200000000000003" x14ac:dyDescent="0.25">
      <c r="A37" s="10">
        <v>36</v>
      </c>
      <c r="B37" s="6" t="s">
        <v>1264</v>
      </c>
      <c r="C37" s="6" t="s">
        <v>1520</v>
      </c>
      <c r="D37" s="6" t="s">
        <v>1068</v>
      </c>
      <c r="E37" s="6" t="s">
        <v>1068</v>
      </c>
      <c r="F37" s="6" t="s">
        <v>1068</v>
      </c>
      <c r="G37" s="6" t="s">
        <v>1068</v>
      </c>
      <c r="H37" s="6" t="s">
        <v>1068</v>
      </c>
      <c r="I37" s="6" t="s">
        <v>1068</v>
      </c>
      <c r="J37" s="6" t="s">
        <v>1068</v>
      </c>
      <c r="K37" s="6" t="s">
        <v>1068</v>
      </c>
      <c r="L37" s="6"/>
      <c r="M37" s="6">
        <v>36</v>
      </c>
      <c r="N37" s="6" t="s">
        <v>1042</v>
      </c>
      <c r="O37" s="6" t="s">
        <v>1164</v>
      </c>
      <c r="P37" s="6" t="s">
        <v>1801</v>
      </c>
      <c r="Q37" s="6" t="s">
        <v>1802</v>
      </c>
      <c r="R37" s="6" t="s">
        <v>1803</v>
      </c>
      <c r="S37" s="6" t="s">
        <v>1804</v>
      </c>
      <c r="T37" s="6" t="s">
        <v>1805</v>
      </c>
      <c r="U37" s="6" t="s">
        <v>1806</v>
      </c>
      <c r="V37" s="6" t="s">
        <v>1807</v>
      </c>
    </row>
    <row r="38" spans="1:22" ht="45.6" x14ac:dyDescent="0.25">
      <c r="A38" s="10">
        <v>37</v>
      </c>
      <c r="B38" s="6" t="s">
        <v>1521</v>
      </c>
      <c r="C38" s="6" t="s">
        <v>1522</v>
      </c>
      <c r="D38" s="6">
        <v>0</v>
      </c>
      <c r="E38" s="6">
        <v>0</v>
      </c>
      <c r="F38" s="6">
        <v>2</v>
      </c>
      <c r="G38" s="6">
        <v>4</v>
      </c>
      <c r="H38" s="6">
        <v>4</v>
      </c>
      <c r="I38" s="6">
        <v>6</v>
      </c>
      <c r="J38" s="6">
        <v>0</v>
      </c>
      <c r="K38" s="6">
        <v>0</v>
      </c>
      <c r="L38" s="6"/>
      <c r="M38" s="6">
        <v>37</v>
      </c>
      <c r="N38" s="6" t="s">
        <v>1808</v>
      </c>
      <c r="O38" s="6" t="s">
        <v>1164</v>
      </c>
      <c r="P38" s="6" t="s">
        <v>1164</v>
      </c>
      <c r="Q38" s="6" t="s">
        <v>1164</v>
      </c>
      <c r="R38" s="6" t="s">
        <v>1809</v>
      </c>
      <c r="S38" s="6" t="s">
        <v>1164</v>
      </c>
      <c r="T38" s="6" t="s">
        <v>1810</v>
      </c>
      <c r="U38" s="6" t="s">
        <v>1811</v>
      </c>
      <c r="V38" s="6" t="s">
        <v>1812</v>
      </c>
    </row>
    <row r="39" spans="1:22" ht="34.200000000000003" x14ac:dyDescent="0.25">
      <c r="A39" s="10">
        <v>38</v>
      </c>
      <c r="B39" s="6" t="s">
        <v>1523</v>
      </c>
      <c r="C39" s="6" t="s">
        <v>1524</v>
      </c>
      <c r="D39" s="6" t="s">
        <v>1068</v>
      </c>
      <c r="E39" s="6" t="s">
        <v>1068</v>
      </c>
      <c r="F39" s="6" t="s">
        <v>1068</v>
      </c>
      <c r="G39" s="6" t="s">
        <v>1068</v>
      </c>
      <c r="H39" s="6" t="s">
        <v>1068</v>
      </c>
      <c r="I39" s="6" t="s">
        <v>1068</v>
      </c>
      <c r="J39" s="6" t="s">
        <v>1068</v>
      </c>
      <c r="K39" s="6" t="s">
        <v>1068</v>
      </c>
      <c r="L39" s="6"/>
      <c r="M39" s="6">
        <v>38</v>
      </c>
      <c r="N39" s="6" t="s">
        <v>784</v>
      </c>
      <c r="O39" s="6" t="s">
        <v>1813</v>
      </c>
      <c r="P39" s="6" t="s">
        <v>1814</v>
      </c>
      <c r="Q39" s="6" t="s">
        <v>1815</v>
      </c>
      <c r="R39" s="6" t="s">
        <v>1816</v>
      </c>
      <c r="S39" s="6" t="s">
        <v>1817</v>
      </c>
      <c r="T39" s="6" t="s">
        <v>1818</v>
      </c>
      <c r="U39" s="6" t="s">
        <v>1819</v>
      </c>
      <c r="V39" s="6" t="s">
        <v>1820</v>
      </c>
    </row>
    <row r="40" spans="1:22" ht="45.6" x14ac:dyDescent="0.25">
      <c r="A40" s="10">
        <v>39</v>
      </c>
      <c r="B40" s="6" t="s">
        <v>756</v>
      </c>
      <c r="C40" s="6" t="s">
        <v>1525</v>
      </c>
      <c r="D40" s="6">
        <v>113</v>
      </c>
      <c r="E40" s="6">
        <v>64</v>
      </c>
      <c r="F40" s="6">
        <v>90</v>
      </c>
      <c r="G40" s="6">
        <v>167</v>
      </c>
      <c r="H40" s="6">
        <v>255</v>
      </c>
      <c r="I40" s="6">
        <v>426</v>
      </c>
      <c r="J40" s="6">
        <v>502</v>
      </c>
      <c r="K40" s="6">
        <v>592</v>
      </c>
      <c r="L40" s="6"/>
      <c r="M40" s="6">
        <v>39</v>
      </c>
      <c r="N40" s="6" t="s">
        <v>1512</v>
      </c>
      <c r="O40" s="6" t="s">
        <v>1164</v>
      </c>
      <c r="P40" s="6" t="s">
        <v>1164</v>
      </c>
      <c r="Q40" s="6" t="s">
        <v>1164</v>
      </c>
      <c r="R40" s="6" t="s">
        <v>1821</v>
      </c>
      <c r="S40" s="6" t="s">
        <v>1822</v>
      </c>
      <c r="T40" s="6" t="s">
        <v>1823</v>
      </c>
      <c r="U40" s="6" t="s">
        <v>1824</v>
      </c>
      <c r="V40" s="6" t="s">
        <v>1825</v>
      </c>
    </row>
    <row r="41" spans="1:22" ht="22.8" x14ac:dyDescent="0.25">
      <c r="A41" s="10">
        <v>40</v>
      </c>
      <c r="B41" s="6" t="s">
        <v>1526</v>
      </c>
      <c r="C41" s="6" t="s">
        <v>1527</v>
      </c>
      <c r="D41" s="6">
        <v>8</v>
      </c>
      <c r="E41" s="6">
        <v>7</v>
      </c>
      <c r="F41" s="6">
        <v>7</v>
      </c>
      <c r="G41" s="6">
        <v>11</v>
      </c>
      <c r="H41" s="6">
        <v>18</v>
      </c>
      <c r="I41" s="6">
        <v>25</v>
      </c>
      <c r="J41" s="6">
        <v>29</v>
      </c>
      <c r="K41" s="6">
        <v>33</v>
      </c>
      <c r="L41" s="6"/>
      <c r="M41" s="6">
        <v>40</v>
      </c>
      <c r="N41" s="6" t="s">
        <v>1514</v>
      </c>
      <c r="O41" s="6" t="s">
        <v>1826</v>
      </c>
      <c r="P41" s="6" t="s">
        <v>1164</v>
      </c>
      <c r="Q41" s="6" t="s">
        <v>1827</v>
      </c>
      <c r="R41" s="6" t="s">
        <v>1828</v>
      </c>
      <c r="S41" s="6" t="s">
        <v>1829</v>
      </c>
      <c r="T41" s="6" t="s">
        <v>1830</v>
      </c>
      <c r="U41" s="6" t="s">
        <v>1831</v>
      </c>
      <c r="V41" s="6" t="s">
        <v>1832</v>
      </c>
    </row>
    <row r="42" spans="1:22" ht="22.8" x14ac:dyDescent="0.25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>
        <v>41</v>
      </c>
      <c r="N42" s="6" t="s">
        <v>1031</v>
      </c>
      <c r="O42" s="6" t="s">
        <v>1833</v>
      </c>
      <c r="P42" s="6" t="s">
        <v>1834</v>
      </c>
      <c r="Q42" s="6" t="s">
        <v>1835</v>
      </c>
      <c r="R42" s="6" t="s">
        <v>1836</v>
      </c>
      <c r="S42" s="6" t="s">
        <v>1837</v>
      </c>
      <c r="T42" s="6" t="s">
        <v>1838</v>
      </c>
      <c r="U42" s="6" t="s">
        <v>1839</v>
      </c>
      <c r="V42" s="6" t="s">
        <v>1840</v>
      </c>
    </row>
    <row r="43" spans="1:22" ht="45.6" x14ac:dyDescent="0.25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>
        <v>42</v>
      </c>
      <c r="N43" s="6" t="s">
        <v>1131</v>
      </c>
      <c r="O43" s="6" t="s">
        <v>1841</v>
      </c>
      <c r="P43" s="6" t="s">
        <v>1842</v>
      </c>
      <c r="Q43" s="6" t="s">
        <v>1843</v>
      </c>
      <c r="R43" s="6" t="s">
        <v>1844</v>
      </c>
      <c r="S43" s="6" t="s">
        <v>1845</v>
      </c>
      <c r="T43" s="6" t="s">
        <v>1907</v>
      </c>
      <c r="U43" s="6" t="s">
        <v>1846</v>
      </c>
      <c r="V43" s="6" t="s">
        <v>1847</v>
      </c>
    </row>
    <row r="44" spans="1:22" ht="34.200000000000003" x14ac:dyDescent="0.25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>
        <v>43</v>
      </c>
      <c r="N44" s="6" t="s">
        <v>1518</v>
      </c>
      <c r="O44" s="6" t="s">
        <v>1848</v>
      </c>
      <c r="P44" s="6" t="s">
        <v>1849</v>
      </c>
      <c r="Q44" s="6" t="s">
        <v>1850</v>
      </c>
      <c r="R44" s="6" t="s">
        <v>1851</v>
      </c>
      <c r="S44" s="6" t="s">
        <v>1852</v>
      </c>
      <c r="T44" s="6" t="s">
        <v>1853</v>
      </c>
      <c r="U44" s="6" t="s">
        <v>1854</v>
      </c>
      <c r="V44" s="6" t="s">
        <v>1855</v>
      </c>
    </row>
    <row r="45" spans="1:22" ht="22.8" x14ac:dyDescent="0.25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>
        <v>44</v>
      </c>
      <c r="N45" s="6" t="s">
        <v>1264</v>
      </c>
      <c r="O45" s="6" t="s">
        <v>1856</v>
      </c>
      <c r="P45" s="6" t="s">
        <v>1857</v>
      </c>
      <c r="Q45" s="6" t="s">
        <v>1858</v>
      </c>
      <c r="R45" s="6" t="s">
        <v>1859</v>
      </c>
      <c r="S45" s="6" t="s">
        <v>1860</v>
      </c>
      <c r="T45" s="6" t="s">
        <v>1861</v>
      </c>
      <c r="U45" s="6" t="s">
        <v>1862</v>
      </c>
      <c r="V45" s="6" t="s">
        <v>1863</v>
      </c>
    </row>
    <row r="46" spans="1:22" ht="45.6" x14ac:dyDescent="0.25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>
        <v>45</v>
      </c>
      <c r="N46" s="6" t="s">
        <v>1521</v>
      </c>
      <c r="O46" s="6" t="s">
        <v>1164</v>
      </c>
      <c r="P46" s="6" t="s">
        <v>1164</v>
      </c>
      <c r="Q46" s="6" t="s">
        <v>1864</v>
      </c>
      <c r="R46" s="6" t="s">
        <v>582</v>
      </c>
      <c r="S46" s="6" t="s">
        <v>1865</v>
      </c>
      <c r="T46" s="6" t="s">
        <v>1866</v>
      </c>
      <c r="U46" s="6" t="s">
        <v>1164</v>
      </c>
      <c r="V46" s="6" t="s">
        <v>1164</v>
      </c>
    </row>
    <row r="47" spans="1:22" ht="22.8" x14ac:dyDescent="0.25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>
        <v>46</v>
      </c>
      <c r="N47" s="6" t="s">
        <v>1523</v>
      </c>
      <c r="O47" s="6" t="s">
        <v>1867</v>
      </c>
      <c r="P47" s="6" t="s">
        <v>1868</v>
      </c>
      <c r="Q47" s="6" t="s">
        <v>1869</v>
      </c>
      <c r="R47" s="6" t="s">
        <v>1870</v>
      </c>
      <c r="S47" s="6" t="s">
        <v>1164</v>
      </c>
      <c r="T47" s="6" t="s">
        <v>1871</v>
      </c>
      <c r="U47" s="6" t="s">
        <v>1872</v>
      </c>
      <c r="V47" s="6" t="s">
        <v>1873</v>
      </c>
    </row>
    <row r="48" spans="1:22" ht="45.6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>
        <v>47</v>
      </c>
      <c r="N48" s="6" t="s">
        <v>756</v>
      </c>
      <c r="O48" s="6" t="s">
        <v>1874</v>
      </c>
      <c r="P48" s="6" t="s">
        <v>1875</v>
      </c>
      <c r="Q48" s="6" t="s">
        <v>1876</v>
      </c>
      <c r="R48" s="6" t="s">
        <v>1877</v>
      </c>
      <c r="S48" s="6" t="s">
        <v>1878</v>
      </c>
      <c r="T48" s="6" t="s">
        <v>1879</v>
      </c>
      <c r="U48" s="6" t="s">
        <v>1880</v>
      </c>
      <c r="V48" s="6" t="s">
        <v>1881</v>
      </c>
    </row>
    <row r="49" spans="2:22" ht="22.8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>
        <v>48</v>
      </c>
      <c r="N49" s="6" t="s">
        <v>1882</v>
      </c>
      <c r="O49" s="6" t="s">
        <v>1883</v>
      </c>
      <c r="P49" s="6" t="s">
        <v>1884</v>
      </c>
      <c r="Q49" s="6" t="s">
        <v>1885</v>
      </c>
      <c r="R49" s="6" t="s">
        <v>1886</v>
      </c>
      <c r="S49" s="6" t="s">
        <v>1887</v>
      </c>
      <c r="T49" s="6" t="s">
        <v>1888</v>
      </c>
      <c r="U49" s="6" t="s">
        <v>1889</v>
      </c>
      <c r="V49" s="6" t="s">
        <v>1890</v>
      </c>
    </row>
    <row r="50" spans="2:22" ht="34.200000000000003" x14ac:dyDescent="0.25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>
        <v>49</v>
      </c>
      <c r="N50" s="6" t="s">
        <v>1008</v>
      </c>
      <c r="O50" s="6" t="s">
        <v>1164</v>
      </c>
      <c r="P50" s="6" t="s">
        <v>1164</v>
      </c>
      <c r="Q50" s="6" t="s">
        <v>1164</v>
      </c>
      <c r="R50" s="6" t="s">
        <v>1164</v>
      </c>
      <c r="S50" s="6" t="s">
        <v>1891</v>
      </c>
      <c r="T50" s="6" t="s">
        <v>1908</v>
      </c>
      <c r="U50" s="6" t="s">
        <v>1892</v>
      </c>
      <c r="V50" s="6" t="s">
        <v>1893</v>
      </c>
    </row>
    <row r="51" spans="2:22" ht="34.200000000000003" x14ac:dyDescent="0.25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>
        <v>50</v>
      </c>
      <c r="N51" s="6" t="s">
        <v>1894</v>
      </c>
      <c r="O51" s="6" t="s">
        <v>1895</v>
      </c>
      <c r="P51" s="6" t="s">
        <v>1896</v>
      </c>
      <c r="Q51" s="6" t="s">
        <v>1897</v>
      </c>
      <c r="R51" s="6" t="s">
        <v>1898</v>
      </c>
      <c r="S51" s="6" t="s">
        <v>1164</v>
      </c>
      <c r="T51" s="6" t="s">
        <v>1164</v>
      </c>
      <c r="U51" s="6" t="s">
        <v>1164</v>
      </c>
      <c r="V51" s="6" t="s">
        <v>1164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70E0D-BE70-49C7-924E-826B18B464F5}">
  <dimension ref="A1:J58"/>
  <sheetViews>
    <sheetView workbookViewId="0">
      <selection activeCell="M6" sqref="M6"/>
    </sheetView>
  </sheetViews>
  <sheetFormatPr defaultRowHeight="13.8" x14ac:dyDescent="0.25"/>
  <sheetData>
    <row r="1" spans="1:10" ht="34.200000000000003" x14ac:dyDescent="0.25">
      <c r="A1" s="6" t="s">
        <v>1981</v>
      </c>
      <c r="B1" s="6" t="s">
        <v>6</v>
      </c>
      <c r="C1" s="6" t="s">
        <v>1909</v>
      </c>
      <c r="D1" s="6" t="s">
        <v>1910</v>
      </c>
      <c r="E1" s="6"/>
      <c r="F1" s="6"/>
      <c r="G1" s="6" t="s">
        <v>1911</v>
      </c>
      <c r="H1" s="6" t="s">
        <v>1912</v>
      </c>
      <c r="I1" s="6"/>
      <c r="J1" s="6"/>
    </row>
    <row r="2" spans="1:10" x14ac:dyDescent="0.25">
      <c r="A2" s="6"/>
      <c r="B2" s="6"/>
      <c r="C2" s="6"/>
      <c r="D2" s="6" t="s">
        <v>1913</v>
      </c>
      <c r="E2" s="6" t="s">
        <v>1914</v>
      </c>
      <c r="F2" s="6" t="s">
        <v>1915</v>
      </c>
      <c r="G2" s="6"/>
      <c r="H2" s="6" t="s">
        <v>1913</v>
      </c>
      <c r="I2" s="6" t="s">
        <v>1914</v>
      </c>
      <c r="J2" s="6" t="s">
        <v>1915</v>
      </c>
    </row>
    <row r="3" spans="1:10" ht="22.8" x14ac:dyDescent="0.25">
      <c r="A3" s="6">
        <v>4</v>
      </c>
      <c r="B3" s="6" t="s">
        <v>1916</v>
      </c>
      <c r="C3" s="6">
        <v>56</v>
      </c>
      <c r="D3" s="6" t="s">
        <v>1917</v>
      </c>
      <c r="E3" s="6">
        <v>247.6</v>
      </c>
      <c r="F3" s="6">
        <v>257.2</v>
      </c>
      <c r="G3" s="6">
        <v>2.73</v>
      </c>
      <c r="H3" s="6">
        <v>121</v>
      </c>
      <c r="I3" s="6">
        <v>61</v>
      </c>
      <c r="J3" s="6">
        <v>69</v>
      </c>
    </row>
    <row r="4" spans="1:10" ht="45.6" x14ac:dyDescent="0.25">
      <c r="A4" s="6">
        <v>6</v>
      </c>
      <c r="B4" s="6" t="s">
        <v>1918</v>
      </c>
      <c r="C4" s="6">
        <v>55</v>
      </c>
      <c r="D4" s="6" t="s">
        <v>1919</v>
      </c>
      <c r="E4" s="6">
        <v>264.60000000000002</v>
      </c>
      <c r="F4" s="6">
        <v>164.2</v>
      </c>
      <c r="G4" s="6">
        <v>175</v>
      </c>
      <c r="H4" s="6">
        <v>2</v>
      </c>
      <c r="I4" s="6">
        <v>8</v>
      </c>
      <c r="J4" s="6">
        <v>9</v>
      </c>
    </row>
    <row r="5" spans="1:10" ht="22.8" x14ac:dyDescent="0.25">
      <c r="A5" s="6">
        <v>8</v>
      </c>
      <c r="B5" s="6" t="s">
        <v>1920</v>
      </c>
      <c r="C5" s="6">
        <v>53</v>
      </c>
      <c r="D5" s="6" t="s">
        <v>1921</v>
      </c>
      <c r="E5" s="6">
        <v>242.6</v>
      </c>
      <c r="F5" s="6">
        <v>272.98</v>
      </c>
      <c r="G5" s="6">
        <v>84</v>
      </c>
      <c r="H5" s="6">
        <v>9</v>
      </c>
      <c r="I5" s="6">
        <v>7</v>
      </c>
      <c r="J5" s="6">
        <v>8</v>
      </c>
    </row>
    <row r="6" spans="1:10" ht="22.8" x14ac:dyDescent="0.25">
      <c r="A6" s="6">
        <v>1</v>
      </c>
      <c r="B6" s="6" t="s">
        <v>1920</v>
      </c>
      <c r="C6" s="6">
        <v>45</v>
      </c>
      <c r="D6" s="6" t="s">
        <v>1922</v>
      </c>
      <c r="E6" s="6" t="s">
        <v>1164</v>
      </c>
      <c r="F6" s="6" t="s">
        <v>1164</v>
      </c>
      <c r="G6" s="6">
        <v>50</v>
      </c>
      <c r="H6" s="6" t="s">
        <v>1164</v>
      </c>
      <c r="I6" s="6" t="s">
        <v>1164</v>
      </c>
      <c r="J6" s="6" t="s">
        <v>1164</v>
      </c>
    </row>
    <row r="7" spans="1:10" ht="22.8" x14ac:dyDescent="0.25">
      <c r="A7" s="6">
        <v>3</v>
      </c>
      <c r="B7" s="6" t="s">
        <v>1923</v>
      </c>
      <c r="C7" s="6">
        <v>45</v>
      </c>
      <c r="D7" s="6" t="s">
        <v>1924</v>
      </c>
      <c r="E7" s="6" t="s">
        <v>1164</v>
      </c>
      <c r="F7" s="6" t="s">
        <v>1164</v>
      </c>
      <c r="G7" s="6" t="s">
        <v>1164</v>
      </c>
      <c r="H7" s="6" t="s">
        <v>1164</v>
      </c>
      <c r="I7" s="6" t="s">
        <v>1164</v>
      </c>
      <c r="J7" s="6" t="s">
        <v>1164</v>
      </c>
    </row>
    <row r="8" spans="1:10" ht="22.8" x14ac:dyDescent="0.25">
      <c r="A8" s="6">
        <v>9</v>
      </c>
      <c r="B8" s="6" t="s">
        <v>1925</v>
      </c>
      <c r="C8" s="6">
        <v>70</v>
      </c>
      <c r="D8" s="6" t="s">
        <v>1926</v>
      </c>
      <c r="E8" s="6">
        <v>6.18</v>
      </c>
      <c r="F8" s="6" t="s">
        <v>1164</v>
      </c>
      <c r="G8" s="6">
        <v>36.6</v>
      </c>
      <c r="H8" s="6" t="s">
        <v>1068</v>
      </c>
      <c r="I8" s="6" t="s">
        <v>1068</v>
      </c>
      <c r="J8" s="6" t="s">
        <v>1164</v>
      </c>
    </row>
    <row r="9" spans="1:10" ht="22.8" x14ac:dyDescent="0.25">
      <c r="A9" s="6">
        <v>11</v>
      </c>
      <c r="B9" s="6" t="s">
        <v>1927</v>
      </c>
      <c r="C9" s="6">
        <v>45</v>
      </c>
      <c r="D9" s="6" t="s">
        <v>1164</v>
      </c>
      <c r="E9" s="6" t="s">
        <v>1164</v>
      </c>
      <c r="F9" s="6">
        <v>25.53</v>
      </c>
      <c r="G9" s="6" t="s">
        <v>1164</v>
      </c>
      <c r="H9" s="6" t="s">
        <v>1164</v>
      </c>
      <c r="I9" s="6" t="s">
        <v>1982</v>
      </c>
      <c r="J9" s="6" t="s">
        <v>1164</v>
      </c>
    </row>
    <row r="10" spans="1:10" ht="34.200000000000003" x14ac:dyDescent="0.25">
      <c r="A10" s="6">
        <v>23</v>
      </c>
      <c r="B10" s="6" t="s">
        <v>1928</v>
      </c>
      <c r="C10" s="6">
        <v>43</v>
      </c>
      <c r="D10" s="6" t="s">
        <v>1929</v>
      </c>
      <c r="E10" s="6">
        <v>357.2</v>
      </c>
      <c r="F10" s="6">
        <v>361.05</v>
      </c>
      <c r="G10" s="6">
        <v>40</v>
      </c>
      <c r="H10" s="6">
        <v>7</v>
      </c>
      <c r="I10" s="6">
        <v>7</v>
      </c>
      <c r="J10" s="6">
        <v>4</v>
      </c>
    </row>
    <row r="11" spans="1:10" ht="45.6" x14ac:dyDescent="0.25">
      <c r="A11" s="6">
        <v>13</v>
      </c>
      <c r="B11" s="6" t="s">
        <v>1930</v>
      </c>
      <c r="C11" s="6">
        <v>70</v>
      </c>
      <c r="D11" s="6" t="s">
        <v>1164</v>
      </c>
      <c r="E11" s="6">
        <v>377.2</v>
      </c>
      <c r="F11" s="6">
        <v>186.02</v>
      </c>
      <c r="G11" s="6" t="s">
        <v>1164</v>
      </c>
      <c r="H11" s="6" t="s">
        <v>1164</v>
      </c>
      <c r="I11" s="6" t="s">
        <v>1164</v>
      </c>
      <c r="J11" s="6" t="s">
        <v>1164</v>
      </c>
    </row>
    <row r="12" spans="1:10" ht="22.8" x14ac:dyDescent="0.25">
      <c r="A12" s="6">
        <v>8</v>
      </c>
      <c r="B12" s="6" t="s">
        <v>1931</v>
      </c>
      <c r="C12" s="6">
        <v>56</v>
      </c>
      <c r="D12" s="6" t="s">
        <v>1932</v>
      </c>
      <c r="E12" s="6">
        <v>102.4</v>
      </c>
      <c r="F12" s="6">
        <v>85.53</v>
      </c>
      <c r="G12" s="6">
        <v>4</v>
      </c>
      <c r="H12" s="6" t="s">
        <v>1164</v>
      </c>
      <c r="I12" s="6" t="s">
        <v>1164</v>
      </c>
      <c r="J12" s="6">
        <v>9</v>
      </c>
    </row>
    <row r="13" spans="1:10" ht="22.8" x14ac:dyDescent="0.25">
      <c r="A13" s="6">
        <v>7</v>
      </c>
      <c r="B13" s="6" t="s">
        <v>764</v>
      </c>
      <c r="C13" s="6">
        <v>55</v>
      </c>
      <c r="D13" s="6" t="s">
        <v>1933</v>
      </c>
      <c r="E13" s="6">
        <v>44.6</v>
      </c>
      <c r="F13" s="6">
        <v>174.34</v>
      </c>
      <c r="G13" s="6">
        <v>667</v>
      </c>
      <c r="H13" s="6">
        <v>43</v>
      </c>
      <c r="I13" s="6">
        <v>47</v>
      </c>
      <c r="J13" s="6">
        <v>43</v>
      </c>
    </row>
    <row r="14" spans="1:10" ht="22.8" x14ac:dyDescent="0.25">
      <c r="A14" s="6">
        <v>12</v>
      </c>
      <c r="B14" s="6" t="s">
        <v>1934</v>
      </c>
      <c r="C14" s="6">
        <v>57</v>
      </c>
      <c r="D14" s="6" t="s">
        <v>1935</v>
      </c>
      <c r="E14" s="6">
        <v>88.2</v>
      </c>
      <c r="F14" s="6">
        <v>135.41999999999999</v>
      </c>
      <c r="G14" s="6">
        <v>687</v>
      </c>
      <c r="H14" s="6">
        <v>43</v>
      </c>
      <c r="I14" s="6">
        <v>47</v>
      </c>
      <c r="J14" s="6">
        <v>43</v>
      </c>
    </row>
    <row r="15" spans="1:10" ht="34.200000000000003" x14ac:dyDescent="0.25">
      <c r="A15" s="6">
        <v>24</v>
      </c>
      <c r="B15" s="6" t="s">
        <v>1936</v>
      </c>
      <c r="C15" s="6">
        <v>64</v>
      </c>
      <c r="D15" s="6" t="s">
        <v>1937</v>
      </c>
      <c r="E15" s="6">
        <v>2.19</v>
      </c>
      <c r="F15" s="6">
        <v>5.15</v>
      </c>
      <c r="G15" s="6">
        <v>0.122</v>
      </c>
      <c r="H15" s="6" t="s">
        <v>1164</v>
      </c>
      <c r="I15" s="6" t="s">
        <v>1164</v>
      </c>
      <c r="J15" s="6" t="s">
        <v>1164</v>
      </c>
    </row>
    <row r="16" spans="1:10" x14ac:dyDescent="0.25">
      <c r="A16" s="6">
        <v>14</v>
      </c>
      <c r="B16" s="6" t="s">
        <v>1938</v>
      </c>
      <c r="C16" s="6">
        <v>98</v>
      </c>
      <c r="D16" s="6" t="s">
        <v>1939</v>
      </c>
      <c r="E16" s="6">
        <v>1.92</v>
      </c>
      <c r="F16" s="6">
        <v>1.01</v>
      </c>
      <c r="G16" s="6">
        <v>2</v>
      </c>
      <c r="H16" s="6">
        <v>8</v>
      </c>
      <c r="I16" s="6">
        <v>8</v>
      </c>
      <c r="J16" s="6">
        <v>8</v>
      </c>
    </row>
    <row r="17" spans="1:10" ht="34.200000000000003" x14ac:dyDescent="0.25">
      <c r="A17" s="6">
        <v>15</v>
      </c>
      <c r="B17" s="6" t="s">
        <v>1940</v>
      </c>
      <c r="C17" s="6">
        <v>98</v>
      </c>
      <c r="D17" s="6">
        <v>3276</v>
      </c>
      <c r="E17" s="6">
        <v>1.97</v>
      </c>
      <c r="F17" s="6">
        <v>13.15</v>
      </c>
      <c r="G17" s="6">
        <v>2</v>
      </c>
      <c r="H17" s="6">
        <v>9</v>
      </c>
      <c r="I17" s="6">
        <v>9</v>
      </c>
      <c r="J17" s="6">
        <v>9</v>
      </c>
    </row>
    <row r="18" spans="1:10" ht="34.200000000000003" x14ac:dyDescent="0.25">
      <c r="A18" s="6">
        <v>16</v>
      </c>
      <c r="B18" s="6" t="s">
        <v>1940</v>
      </c>
      <c r="C18" s="6">
        <v>98</v>
      </c>
      <c r="D18" s="6">
        <v>2980</v>
      </c>
      <c r="E18" s="6">
        <v>3.56</v>
      </c>
      <c r="F18" s="6">
        <v>2.74</v>
      </c>
      <c r="G18" s="6">
        <v>0.40699999999999997</v>
      </c>
      <c r="H18" s="6">
        <v>7</v>
      </c>
      <c r="I18" s="6">
        <v>10</v>
      </c>
      <c r="J18" s="6">
        <v>7</v>
      </c>
    </row>
    <row r="19" spans="1:10" ht="34.200000000000003" x14ac:dyDescent="0.25">
      <c r="A19" s="6">
        <v>19</v>
      </c>
      <c r="B19" s="6" t="s">
        <v>1941</v>
      </c>
      <c r="C19" s="6">
        <v>91</v>
      </c>
      <c r="D19" s="6">
        <v>4000</v>
      </c>
      <c r="E19" s="6">
        <v>3.48</v>
      </c>
      <c r="F19" s="6">
        <v>2.62</v>
      </c>
      <c r="G19" s="6">
        <v>0.79</v>
      </c>
      <c r="H19" s="6">
        <v>9</v>
      </c>
      <c r="I19" s="6">
        <v>9</v>
      </c>
      <c r="J19" s="6">
        <v>9</v>
      </c>
    </row>
    <row r="20" spans="1:10" ht="34.200000000000003" x14ac:dyDescent="0.25">
      <c r="A20" s="6">
        <v>21</v>
      </c>
      <c r="B20" s="6" t="s">
        <v>1942</v>
      </c>
      <c r="C20" s="6">
        <v>134</v>
      </c>
      <c r="D20" s="6">
        <v>4256</v>
      </c>
      <c r="E20" s="6">
        <v>4.58</v>
      </c>
      <c r="F20" s="6">
        <v>4.04</v>
      </c>
      <c r="G20" s="6">
        <v>0.125</v>
      </c>
      <c r="H20" s="6">
        <v>54</v>
      </c>
      <c r="I20" s="6">
        <v>54</v>
      </c>
      <c r="J20" s="6">
        <v>54</v>
      </c>
    </row>
    <row r="21" spans="1:10" ht="34.200000000000003" x14ac:dyDescent="0.25">
      <c r="A21" s="6">
        <v>22</v>
      </c>
      <c r="B21" s="6" t="s">
        <v>1943</v>
      </c>
      <c r="C21" s="6">
        <v>137</v>
      </c>
      <c r="D21" s="6">
        <v>0.82</v>
      </c>
      <c r="E21" s="6" t="s">
        <v>1164</v>
      </c>
      <c r="F21" s="6" t="s">
        <v>1164</v>
      </c>
      <c r="G21" s="6">
        <v>0.89</v>
      </c>
      <c r="H21" s="6" t="s">
        <v>1164</v>
      </c>
      <c r="I21" s="6" t="s">
        <v>1164</v>
      </c>
      <c r="J21" s="6" t="s">
        <v>1164</v>
      </c>
    </row>
    <row r="22" spans="1:10" ht="34.200000000000003" x14ac:dyDescent="0.25">
      <c r="A22" s="6">
        <v>23</v>
      </c>
      <c r="B22" s="6" t="s">
        <v>1944</v>
      </c>
      <c r="C22" s="6">
        <v>137</v>
      </c>
      <c r="D22" s="6">
        <v>0.83</v>
      </c>
      <c r="E22" s="6" t="s">
        <v>1164</v>
      </c>
      <c r="F22" s="6" t="s">
        <v>1164</v>
      </c>
      <c r="G22" s="6">
        <v>0.87</v>
      </c>
      <c r="H22" s="6" t="s">
        <v>1164</v>
      </c>
      <c r="I22" s="6" t="s">
        <v>1164</v>
      </c>
      <c r="J22" s="6" t="s">
        <v>1164</v>
      </c>
    </row>
    <row r="23" spans="1:10" ht="34.200000000000003" x14ac:dyDescent="0.25">
      <c r="A23" s="6">
        <v>25</v>
      </c>
      <c r="B23" s="6" t="s">
        <v>1945</v>
      </c>
      <c r="C23" s="6">
        <v>87</v>
      </c>
      <c r="D23" s="6">
        <v>1.75</v>
      </c>
      <c r="E23" s="6" t="s">
        <v>1164</v>
      </c>
      <c r="F23" s="6" t="s">
        <v>1164</v>
      </c>
      <c r="G23" s="6">
        <v>1.4999999999999999E-2</v>
      </c>
      <c r="H23" s="6">
        <v>9</v>
      </c>
      <c r="I23" s="6" t="s">
        <v>1164</v>
      </c>
      <c r="J23" s="6" t="s">
        <v>1164</v>
      </c>
    </row>
    <row r="24" spans="1:10" ht="22.8" x14ac:dyDescent="0.25">
      <c r="A24" s="6">
        <v>27</v>
      </c>
      <c r="B24" s="6" t="s">
        <v>1946</v>
      </c>
      <c r="C24" s="6">
        <v>104</v>
      </c>
      <c r="D24" s="6">
        <v>1.94</v>
      </c>
      <c r="E24" s="6">
        <v>2.4500000000000002</v>
      </c>
      <c r="F24" s="6">
        <v>2.75</v>
      </c>
      <c r="G24" s="6">
        <v>6.28</v>
      </c>
      <c r="H24" s="6" t="s">
        <v>1164</v>
      </c>
      <c r="I24" s="6" t="s">
        <v>1164</v>
      </c>
      <c r="J24" s="6">
        <v>3</v>
      </c>
    </row>
    <row r="25" spans="1:10" ht="34.200000000000003" x14ac:dyDescent="0.25">
      <c r="A25" s="6">
        <v>28</v>
      </c>
      <c r="B25" s="6" t="s">
        <v>1947</v>
      </c>
      <c r="C25" s="6">
        <v>107</v>
      </c>
      <c r="D25" s="6" t="s">
        <v>1164</v>
      </c>
      <c r="E25" s="6">
        <v>2.2000000000000002</v>
      </c>
      <c r="F25" s="6">
        <v>2.86</v>
      </c>
      <c r="G25" s="6">
        <v>6.08</v>
      </c>
      <c r="H25" s="6" t="s">
        <v>1164</v>
      </c>
      <c r="I25" s="6" t="s">
        <v>1982</v>
      </c>
      <c r="J25" s="6">
        <v>3</v>
      </c>
    </row>
    <row r="26" spans="1:10" ht="34.200000000000003" x14ac:dyDescent="0.25">
      <c r="A26" s="6">
        <v>29</v>
      </c>
      <c r="B26" s="6" t="s">
        <v>1948</v>
      </c>
      <c r="C26" s="6">
        <v>97</v>
      </c>
      <c r="D26" s="6" t="s">
        <v>1949</v>
      </c>
      <c r="E26" s="6">
        <v>11.98</v>
      </c>
      <c r="F26" s="6" t="s">
        <v>1164</v>
      </c>
      <c r="G26" s="6">
        <v>0.20699999999999999</v>
      </c>
      <c r="H26" s="6" t="s">
        <v>1164</v>
      </c>
      <c r="I26" s="6" t="s">
        <v>1164</v>
      </c>
      <c r="J26" s="6" t="s">
        <v>1164</v>
      </c>
    </row>
    <row r="27" spans="1:10" ht="34.200000000000003" x14ac:dyDescent="0.25">
      <c r="A27" s="6">
        <v>30</v>
      </c>
      <c r="B27" s="6" t="s">
        <v>1950</v>
      </c>
      <c r="C27" s="6">
        <v>91</v>
      </c>
      <c r="D27" s="6" t="s">
        <v>1951</v>
      </c>
      <c r="E27" s="6">
        <v>6.93</v>
      </c>
      <c r="F27" s="6">
        <v>6.46</v>
      </c>
      <c r="G27" s="6">
        <v>0.56699999999999995</v>
      </c>
      <c r="H27" s="6">
        <v>7</v>
      </c>
      <c r="I27" s="6" t="s">
        <v>1164</v>
      </c>
      <c r="J27" s="6" t="s">
        <v>1164</v>
      </c>
    </row>
    <row r="28" spans="1:10" ht="45.6" x14ac:dyDescent="0.25">
      <c r="A28" s="6">
        <v>34</v>
      </c>
      <c r="B28" s="6" t="s">
        <v>1952</v>
      </c>
      <c r="C28" s="6">
        <v>93</v>
      </c>
      <c r="D28" s="6" t="s">
        <v>1953</v>
      </c>
      <c r="E28" s="6">
        <v>4.63</v>
      </c>
      <c r="F28" s="6">
        <v>6.16</v>
      </c>
      <c r="G28" s="6">
        <v>0.36699999999999999</v>
      </c>
      <c r="H28" s="6">
        <v>7</v>
      </c>
      <c r="I28" s="6" t="s">
        <v>1164</v>
      </c>
      <c r="J28" s="6" t="s">
        <v>1164</v>
      </c>
    </row>
    <row r="29" spans="1:10" ht="45.6" x14ac:dyDescent="0.25">
      <c r="A29" s="6">
        <v>35</v>
      </c>
      <c r="B29" s="6" t="s">
        <v>1954</v>
      </c>
      <c r="C29" s="6">
        <v>60</v>
      </c>
      <c r="D29" s="6" t="s">
        <v>1955</v>
      </c>
      <c r="E29" s="6">
        <v>2.74</v>
      </c>
      <c r="F29" s="6" t="s">
        <v>1164</v>
      </c>
      <c r="G29" s="6">
        <v>1.58</v>
      </c>
      <c r="H29" s="6" t="s">
        <v>1164</v>
      </c>
      <c r="I29" s="6">
        <v>18</v>
      </c>
      <c r="J29" s="6">
        <v>28</v>
      </c>
    </row>
    <row r="30" spans="1:10" ht="22.8" x14ac:dyDescent="0.25">
      <c r="A30" s="6">
        <v>32</v>
      </c>
      <c r="B30" s="6" t="s">
        <v>1028</v>
      </c>
      <c r="C30" s="6">
        <v>90</v>
      </c>
      <c r="D30" s="6" t="s">
        <v>1956</v>
      </c>
      <c r="E30" s="6">
        <v>3.66</v>
      </c>
      <c r="F30" s="6">
        <v>1.77</v>
      </c>
      <c r="G30" s="6">
        <v>1.68</v>
      </c>
      <c r="H30" s="6" t="s">
        <v>1164</v>
      </c>
      <c r="I30" s="6" t="s">
        <v>1164</v>
      </c>
      <c r="J30" s="6" t="s">
        <v>1164</v>
      </c>
    </row>
    <row r="31" spans="1:10" ht="22.8" x14ac:dyDescent="0.25">
      <c r="A31" s="6">
        <v>33</v>
      </c>
      <c r="B31" s="6" t="s">
        <v>1957</v>
      </c>
      <c r="C31" s="6">
        <v>66</v>
      </c>
      <c r="D31" s="6" t="s">
        <v>1958</v>
      </c>
      <c r="E31" s="6">
        <v>123.97</v>
      </c>
      <c r="F31" s="6">
        <v>354.28</v>
      </c>
      <c r="G31" s="6">
        <v>163</v>
      </c>
      <c r="H31" s="6">
        <v>11</v>
      </c>
      <c r="I31" s="6">
        <v>19</v>
      </c>
      <c r="J31" s="6">
        <v>3</v>
      </c>
    </row>
    <row r="32" spans="1:10" ht="22.8" x14ac:dyDescent="0.25">
      <c r="A32" s="6">
        <v>35</v>
      </c>
      <c r="B32" s="6" t="s">
        <v>1957</v>
      </c>
      <c r="C32" s="6">
        <v>65</v>
      </c>
      <c r="D32" s="6" t="s">
        <v>1959</v>
      </c>
      <c r="E32" s="6">
        <v>153.66999999999999</v>
      </c>
      <c r="F32" s="6">
        <v>347.28</v>
      </c>
      <c r="G32" s="6">
        <v>169</v>
      </c>
      <c r="H32" s="6">
        <v>11</v>
      </c>
      <c r="I32" s="6">
        <v>19</v>
      </c>
      <c r="J32" s="6">
        <v>3</v>
      </c>
    </row>
    <row r="33" spans="1:10" ht="22.8" x14ac:dyDescent="0.25">
      <c r="A33" s="6">
        <v>37</v>
      </c>
      <c r="B33" s="6" t="s">
        <v>1960</v>
      </c>
      <c r="C33" s="6">
        <v>69</v>
      </c>
      <c r="D33" s="6" t="s">
        <v>1961</v>
      </c>
      <c r="E33" s="6">
        <v>28.48</v>
      </c>
      <c r="F33" s="6" t="s">
        <v>1164</v>
      </c>
      <c r="G33" s="6">
        <v>18.399999999999999</v>
      </c>
      <c r="H33" s="6" t="s">
        <v>1164</v>
      </c>
      <c r="I33" s="6">
        <v>8</v>
      </c>
      <c r="J33" s="6">
        <v>8</v>
      </c>
    </row>
    <row r="34" spans="1:10" ht="22.8" x14ac:dyDescent="0.25">
      <c r="A34" s="6">
        <v>39</v>
      </c>
      <c r="B34" s="6" t="s">
        <v>1962</v>
      </c>
      <c r="C34" s="6">
        <v>60</v>
      </c>
      <c r="D34" s="6" t="s">
        <v>1963</v>
      </c>
      <c r="E34" s="6">
        <v>28.72</v>
      </c>
      <c r="F34" s="6">
        <v>21.26</v>
      </c>
      <c r="G34" s="6">
        <v>0.89900000000000002</v>
      </c>
      <c r="H34" s="6">
        <v>27</v>
      </c>
      <c r="I34" s="6">
        <v>21</v>
      </c>
      <c r="J34" s="6">
        <v>22</v>
      </c>
    </row>
    <row r="35" spans="1:10" ht="22.8" x14ac:dyDescent="0.25">
      <c r="A35" s="6">
        <v>40</v>
      </c>
      <c r="B35" s="6" t="s">
        <v>1962</v>
      </c>
      <c r="C35" s="6">
        <v>60</v>
      </c>
      <c r="D35" s="6" t="s">
        <v>1964</v>
      </c>
      <c r="E35" s="6">
        <v>8.17</v>
      </c>
      <c r="F35" s="6">
        <v>4.84</v>
      </c>
      <c r="G35" s="6">
        <v>0.89500000000000002</v>
      </c>
      <c r="H35" s="6">
        <v>29</v>
      </c>
      <c r="I35" s="6">
        <v>21</v>
      </c>
      <c r="J35" s="6">
        <v>23</v>
      </c>
    </row>
    <row r="36" spans="1:10" ht="22.8" x14ac:dyDescent="0.25">
      <c r="A36" s="6">
        <v>41</v>
      </c>
      <c r="B36" s="6" t="s">
        <v>1033</v>
      </c>
      <c r="C36" s="6">
        <v>69</v>
      </c>
      <c r="D36" s="6" t="s">
        <v>1965</v>
      </c>
      <c r="E36" s="6">
        <v>204.44</v>
      </c>
      <c r="F36" s="6">
        <v>82.86</v>
      </c>
      <c r="G36" s="6">
        <v>2.52</v>
      </c>
      <c r="H36" s="6">
        <v>99</v>
      </c>
      <c r="I36" s="6">
        <v>80</v>
      </c>
      <c r="J36" s="6">
        <v>97</v>
      </c>
    </row>
    <row r="37" spans="1:10" ht="34.200000000000003" x14ac:dyDescent="0.25">
      <c r="A37" s="6">
        <v>42</v>
      </c>
      <c r="B37" s="6" t="s">
        <v>1966</v>
      </c>
      <c r="C37" s="6">
        <v>69</v>
      </c>
      <c r="D37" s="6" t="s">
        <v>1967</v>
      </c>
      <c r="E37" s="6">
        <v>217.1</v>
      </c>
      <c r="F37" s="6">
        <v>2.14</v>
      </c>
      <c r="G37" s="6">
        <v>2.71</v>
      </c>
      <c r="H37" s="6">
        <v>99</v>
      </c>
      <c r="I37" s="6">
        <v>81</v>
      </c>
      <c r="J37" s="6">
        <v>97</v>
      </c>
    </row>
    <row r="38" spans="1:10" x14ac:dyDescent="0.25">
      <c r="A38" s="6">
        <v>43</v>
      </c>
      <c r="B38" s="6" t="s">
        <v>1968</v>
      </c>
      <c r="C38" s="6">
        <v>45</v>
      </c>
      <c r="D38" s="6" t="s">
        <v>1969</v>
      </c>
      <c r="E38" s="6">
        <v>300</v>
      </c>
      <c r="F38" s="6" t="s">
        <v>1164</v>
      </c>
      <c r="G38" s="6" t="s">
        <v>1164</v>
      </c>
      <c r="H38" s="6" t="s">
        <v>1164</v>
      </c>
      <c r="I38" s="6" t="s">
        <v>1164</v>
      </c>
      <c r="J38" s="6" t="s">
        <v>1164</v>
      </c>
    </row>
    <row r="39" spans="1:10" ht="22.8" x14ac:dyDescent="0.25">
      <c r="A39" s="6">
        <v>44</v>
      </c>
      <c r="B39" s="6" t="s">
        <v>1970</v>
      </c>
      <c r="C39" s="6">
        <v>103</v>
      </c>
      <c r="D39" s="6" t="s">
        <v>1164</v>
      </c>
      <c r="E39" s="6" t="s">
        <v>1164</v>
      </c>
      <c r="F39" s="6" t="s">
        <v>1164</v>
      </c>
      <c r="G39" s="6" t="s">
        <v>1164</v>
      </c>
      <c r="H39" s="6" t="s">
        <v>1164</v>
      </c>
      <c r="I39" s="6" t="s">
        <v>1164</v>
      </c>
      <c r="J39" s="6" t="s">
        <v>1164</v>
      </c>
    </row>
    <row r="40" spans="1:10" ht="22.8" x14ac:dyDescent="0.25">
      <c r="A40" s="6">
        <v>45</v>
      </c>
      <c r="B40" s="6" t="s">
        <v>1971</v>
      </c>
      <c r="C40" s="6">
        <v>103</v>
      </c>
      <c r="D40" s="6" t="s">
        <v>1164</v>
      </c>
      <c r="E40" s="6" t="s">
        <v>1164</v>
      </c>
      <c r="F40" s="6" t="s">
        <v>1164</v>
      </c>
      <c r="G40" s="6" t="s">
        <v>1164</v>
      </c>
      <c r="H40" s="6" t="s">
        <v>1164</v>
      </c>
      <c r="I40" s="6" t="s">
        <v>1164</v>
      </c>
      <c r="J40" s="6" t="s">
        <v>1164</v>
      </c>
    </row>
    <row r="41" spans="1:10" ht="34.200000000000003" x14ac:dyDescent="0.25">
      <c r="A41" s="6">
        <v>54</v>
      </c>
      <c r="B41" s="6" t="s">
        <v>1972</v>
      </c>
      <c r="C41" s="6">
        <v>88</v>
      </c>
      <c r="D41" s="6" t="s">
        <v>1164</v>
      </c>
      <c r="E41" s="6" t="s">
        <v>1164</v>
      </c>
      <c r="F41" s="6" t="s">
        <v>1164</v>
      </c>
      <c r="G41" s="6" t="s">
        <v>1164</v>
      </c>
      <c r="H41" s="6" t="s">
        <v>1164</v>
      </c>
      <c r="I41" s="6" t="s">
        <v>1982</v>
      </c>
      <c r="J41" s="6" t="s">
        <v>1164</v>
      </c>
    </row>
    <row r="42" spans="1:10" ht="22.8" x14ac:dyDescent="0.25">
      <c r="A42" s="6">
        <v>66</v>
      </c>
      <c r="B42" s="6" t="s">
        <v>1973</v>
      </c>
      <c r="C42" s="6">
        <v>48</v>
      </c>
      <c r="D42" s="6" t="s">
        <v>1164</v>
      </c>
      <c r="E42" s="6" t="s">
        <v>1164</v>
      </c>
      <c r="F42" s="6" t="s">
        <v>1164</v>
      </c>
      <c r="G42" s="6" t="s">
        <v>1164</v>
      </c>
      <c r="H42" s="6" t="s">
        <v>1164</v>
      </c>
      <c r="I42" s="6" t="s">
        <v>1164</v>
      </c>
      <c r="J42" s="6" t="s">
        <v>1164</v>
      </c>
    </row>
    <row r="43" spans="1:10" ht="34.200000000000003" x14ac:dyDescent="0.25">
      <c r="A43" s="6">
        <v>71</v>
      </c>
      <c r="B43" s="6" t="s">
        <v>1974</v>
      </c>
      <c r="C43" s="6">
        <v>88</v>
      </c>
      <c r="D43" s="6" t="s">
        <v>1164</v>
      </c>
      <c r="E43" s="6" t="s">
        <v>1164</v>
      </c>
      <c r="F43" s="6" t="s">
        <v>1164</v>
      </c>
      <c r="G43" s="6" t="s">
        <v>1164</v>
      </c>
      <c r="H43" s="6" t="s">
        <v>1164</v>
      </c>
      <c r="I43" s="6" t="s">
        <v>1164</v>
      </c>
      <c r="J43" s="6" t="s">
        <v>1164</v>
      </c>
    </row>
    <row r="44" spans="1:10" ht="34.200000000000003" x14ac:dyDescent="0.25">
      <c r="A44" s="6">
        <v>62</v>
      </c>
      <c r="B44" s="6" t="s">
        <v>1975</v>
      </c>
      <c r="C44" s="6">
        <v>88</v>
      </c>
      <c r="D44" s="6" t="s">
        <v>1164</v>
      </c>
      <c r="E44" s="6" t="s">
        <v>1164</v>
      </c>
      <c r="F44" s="6" t="s">
        <v>1164</v>
      </c>
      <c r="G44" s="6" t="s">
        <v>1164</v>
      </c>
      <c r="H44" s="6" t="s">
        <v>1164</v>
      </c>
      <c r="I44" s="6" t="s">
        <v>1164</v>
      </c>
      <c r="J44" s="6" t="s">
        <v>1164</v>
      </c>
    </row>
    <row r="45" spans="1:10" ht="34.200000000000003" x14ac:dyDescent="0.25">
      <c r="A45" s="6">
        <v>83</v>
      </c>
      <c r="B45" s="6" t="s">
        <v>1975</v>
      </c>
      <c r="C45" s="6">
        <v>85</v>
      </c>
      <c r="D45" s="6" t="s">
        <v>1164</v>
      </c>
      <c r="E45" s="6" t="s">
        <v>1164</v>
      </c>
      <c r="F45" s="6" t="s">
        <v>1164</v>
      </c>
      <c r="G45" s="6" t="s">
        <v>1164</v>
      </c>
      <c r="H45" s="6" t="s">
        <v>1164</v>
      </c>
      <c r="I45" s="6" t="s">
        <v>1164</v>
      </c>
      <c r="J45" s="6" t="s">
        <v>1164</v>
      </c>
    </row>
    <row r="46" spans="1:10" ht="22.8" x14ac:dyDescent="0.25">
      <c r="A46" s="6">
        <v>49</v>
      </c>
      <c r="B46" s="6" t="s">
        <v>1976</v>
      </c>
      <c r="C46" s="6">
        <v>73</v>
      </c>
      <c r="D46" s="6" t="s">
        <v>1164</v>
      </c>
      <c r="E46" s="6" t="s">
        <v>1164</v>
      </c>
      <c r="F46" s="6" t="s">
        <v>1164</v>
      </c>
      <c r="G46" s="6" t="s">
        <v>1164</v>
      </c>
      <c r="H46" s="6" t="s">
        <v>1164</v>
      </c>
      <c r="I46" s="6" t="s">
        <v>1164</v>
      </c>
      <c r="J46" s="6" t="s">
        <v>1164</v>
      </c>
    </row>
    <row r="47" spans="1:10" ht="22.8" x14ac:dyDescent="0.25">
      <c r="A47" s="6">
        <v>68</v>
      </c>
      <c r="B47" s="6" t="s">
        <v>1977</v>
      </c>
      <c r="C47" s="6">
        <v>74</v>
      </c>
      <c r="D47" s="6" t="s">
        <v>1164</v>
      </c>
      <c r="E47" s="6" t="s">
        <v>1164</v>
      </c>
      <c r="F47" s="6" t="s">
        <v>1164</v>
      </c>
      <c r="G47" s="6" t="s">
        <v>1164</v>
      </c>
      <c r="H47" s="6" t="s">
        <v>1164</v>
      </c>
      <c r="I47" s="6" t="s">
        <v>1164</v>
      </c>
      <c r="J47" s="6" t="s">
        <v>1164</v>
      </c>
    </row>
    <row r="48" spans="1:10" ht="34.200000000000003" x14ac:dyDescent="0.25">
      <c r="A48" s="6">
        <v>55</v>
      </c>
      <c r="B48" s="6" t="s">
        <v>1978</v>
      </c>
      <c r="C48" s="6">
        <v>79</v>
      </c>
      <c r="D48" s="6" t="s">
        <v>1164</v>
      </c>
      <c r="E48" s="6" t="s">
        <v>1164</v>
      </c>
      <c r="F48" s="6" t="s">
        <v>1164</v>
      </c>
      <c r="G48" s="6" t="s">
        <v>1164</v>
      </c>
      <c r="H48" s="6" t="s">
        <v>1164</v>
      </c>
      <c r="I48" s="6" t="s">
        <v>1164</v>
      </c>
      <c r="J48" s="6" t="s">
        <v>1164</v>
      </c>
    </row>
    <row r="49" spans="1:10" ht="34.200000000000003" x14ac:dyDescent="0.25">
      <c r="A49" s="6">
        <v>60</v>
      </c>
      <c r="B49" s="6" t="s">
        <v>1979</v>
      </c>
      <c r="C49" s="6">
        <v>89</v>
      </c>
      <c r="D49" s="6" t="s">
        <v>1164</v>
      </c>
      <c r="E49" s="6" t="s">
        <v>1164</v>
      </c>
      <c r="F49" s="6" t="s">
        <v>1164</v>
      </c>
      <c r="G49" s="6" t="s">
        <v>1164</v>
      </c>
      <c r="H49" s="6" t="s">
        <v>1164</v>
      </c>
      <c r="I49" s="6" t="s">
        <v>1982</v>
      </c>
      <c r="J49" s="6" t="s">
        <v>1164</v>
      </c>
    </row>
    <row r="50" spans="1:10" ht="34.200000000000003" x14ac:dyDescent="0.25">
      <c r="A50" s="6">
        <v>75</v>
      </c>
      <c r="B50" s="6" t="s">
        <v>1980</v>
      </c>
      <c r="C50" s="6">
        <v>71</v>
      </c>
      <c r="D50" s="6" t="s">
        <v>1164</v>
      </c>
      <c r="E50" s="6" t="s">
        <v>1164</v>
      </c>
      <c r="F50" s="6" t="s">
        <v>1164</v>
      </c>
      <c r="G50" s="6" t="s">
        <v>1164</v>
      </c>
      <c r="H50" s="6" t="s">
        <v>1164</v>
      </c>
      <c r="I50" s="6" t="s">
        <v>1164</v>
      </c>
      <c r="J50" s="6" t="s">
        <v>1164</v>
      </c>
    </row>
    <row r="51" spans="1:10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 x14ac:dyDescent="0.25">
      <c r="A52" s="6"/>
      <c r="B52" s="6"/>
      <c r="C52" s="6"/>
      <c r="D52" s="6"/>
      <c r="E52" s="6"/>
      <c r="F52" s="6"/>
      <c r="G52" s="6"/>
      <c r="H52" s="6" t="s">
        <v>1913</v>
      </c>
      <c r="I52" s="6" t="s">
        <v>1914</v>
      </c>
      <c r="J52" s="6" t="s">
        <v>1915</v>
      </c>
    </row>
    <row r="53" spans="1:10" ht="22.8" x14ac:dyDescent="0.25">
      <c r="A53" s="6">
        <v>38</v>
      </c>
      <c r="B53" s="6" t="s">
        <v>1983</v>
      </c>
      <c r="C53" s="6"/>
      <c r="D53" s="6"/>
      <c r="E53" s="6"/>
      <c r="F53" s="6"/>
      <c r="G53" s="6"/>
      <c r="H53" s="6">
        <v>9</v>
      </c>
      <c r="I53" s="6">
        <v>11</v>
      </c>
      <c r="J53" s="6">
        <v>18</v>
      </c>
    </row>
    <row r="54" spans="1:10" ht="34.200000000000003" x14ac:dyDescent="0.25">
      <c r="A54" s="6">
        <v>39</v>
      </c>
      <c r="B54" s="6" t="s">
        <v>1984</v>
      </c>
      <c r="C54" s="6"/>
      <c r="D54" s="6"/>
      <c r="E54" s="6"/>
      <c r="F54" s="6"/>
      <c r="G54" s="6"/>
      <c r="H54" s="6">
        <v>2</v>
      </c>
      <c r="I54" s="6">
        <v>1</v>
      </c>
      <c r="J54" s="6">
        <v>1</v>
      </c>
    </row>
    <row r="55" spans="1:10" ht="22.8" x14ac:dyDescent="0.25">
      <c r="A55" s="6">
        <v>40</v>
      </c>
      <c r="B55" s="6" t="s">
        <v>1985</v>
      </c>
      <c r="C55" s="6"/>
      <c r="D55" s="6"/>
      <c r="E55" s="6"/>
      <c r="F55" s="6"/>
      <c r="G55" s="6"/>
      <c r="H55" s="6">
        <v>7</v>
      </c>
      <c r="I55" s="6"/>
      <c r="J55" s="6"/>
    </row>
    <row r="56" spans="1:10" ht="45.6" x14ac:dyDescent="0.25">
      <c r="A56" s="6">
        <v>41</v>
      </c>
      <c r="B56" s="6" t="s">
        <v>1986</v>
      </c>
      <c r="C56" s="6"/>
      <c r="D56" s="6"/>
      <c r="E56" s="6"/>
      <c r="F56" s="6"/>
      <c r="G56" s="6"/>
      <c r="H56" s="6">
        <v>5</v>
      </c>
      <c r="I56" s="6">
        <v>5</v>
      </c>
      <c r="J56" s="6">
        <v>4</v>
      </c>
    </row>
    <row r="57" spans="1:10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spans="1:10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88ACC-EA17-43F4-91CB-49A900D7845A}">
  <dimension ref="A1"/>
  <sheetViews>
    <sheetView workbookViewId="0">
      <selection activeCell="F10" sqref="F10"/>
    </sheetView>
  </sheetViews>
  <sheetFormatPr defaultRowHeight="13.8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all data</vt:lpstr>
      <vt:lpstr>2  Characterization of key odor</vt:lpstr>
      <vt:lpstr>5  Key Aroma Compounds and Arom</vt:lpstr>
      <vt:lpstr>2  Decoding the Molecular Mecha</vt:lpstr>
      <vt:lpstr>2  Volatilomics and Lipidomics </vt:lpstr>
      <vt:lpstr>5  Impact of Pulsed Electric Fi</vt:lpstr>
      <vt:lpstr>8 Flavoromic Exploration of Reg</vt:lpstr>
      <vt:lpstr>3  Characterization of the diff</vt:lpstr>
      <vt:lpstr>3  Unraveling variation on the </vt:lpstr>
      <vt:lpstr>10  Aroma characterization and </vt:lpstr>
      <vt:lpstr>8  Exploration of key aroma act</vt:lpstr>
      <vt:lpstr>3  Investigation on the key fac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d</dc:creator>
  <cp:lastModifiedBy>童 夏</cp:lastModifiedBy>
  <dcterms:created xsi:type="dcterms:W3CDTF">2025-12-24T16:00:51Z</dcterms:created>
  <dcterms:modified xsi:type="dcterms:W3CDTF">2026-10-14T07:41:14Z</dcterms:modified>
</cp:coreProperties>
</file>