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252\Desktop\PPT\课题\26年\26年3月\"/>
    </mc:Choice>
  </mc:AlternateContent>
  <xr:revisionPtr revIDLastSave="0" documentId="8_{7990C4C0-07A9-4C17-8D67-B29F4B4B80D8}" xr6:coauthVersionLast="47" xr6:coauthVersionMax="47" xr10:uidLastSave="{00000000-0000-0000-0000-000000000000}"/>
  <bookViews>
    <workbookView xWindow="-108" yWindow="-108" windowWidth="22308" windowHeight="13176" xr2:uid="{16B534A8-177C-48CC-8622-F4AE5481FA4D}"/>
  </bookViews>
  <sheets>
    <sheet name="all data" sheetId="1" r:id="rId1"/>
    <sheet name="2  Characterization of key odor" sheetId="2" r:id="rId2"/>
    <sheet name="5  Key Aroma Compounds and Arom" sheetId="4" r:id="rId3"/>
    <sheet name="2  Decoding the Molecular Mecha" sheetId="5" r:id="rId4"/>
    <sheet name="2  Volatilomics and Lipidomics " sheetId="6" r:id="rId5"/>
    <sheet name="5  Impact of Pulsed Electric Fi" sheetId="7" r:id="rId6"/>
    <sheet name="8 Flavoromic Exploration of Reg" sheetId="8" r:id="rId7"/>
    <sheet name="3  Characterization of the diff" sheetId="9" r:id="rId8"/>
    <sheet name="3  Unraveling variation on the " sheetId="10" r:id="rId9"/>
    <sheet name="10  Aroma characterization and " sheetId="11" r:id="rId10"/>
    <sheet name="8  Exploration of key aroma act" sheetId="12" r:id="rId11"/>
    <sheet name="3  Investigation on the key fac" sheetId="13" r:id="rId12"/>
    <sheet name="11不同等级浓香型白酒基酒挥发性风味物质差异分析" sheetId="15" r:id="rId13"/>
    <sheet name="12 高粱营养品质对浓香型白酒酿造品质的影响" sheetId="14" r:id="rId14"/>
    <sheet name="13 四川不同产区浓香型白酒风味物质差异化分析" sheetId="16" r:id="rId15"/>
    <sheet name="14基于GC×GC-MS分析不同等级浓香型白酒的关键风味化合物" sheetId="17" r:id="rId16"/>
    <sheet name="15 基于全二维气相色谱-飞行时间质谱结合多元统计" sheetId="18" r:id="rId17"/>
    <sheet name="16  5 种品牌浓香型白酒香气成分分析" sheetId="19" r:id="rId18"/>
    <sheet name="17 北派浓香型白酒年份标记物的非靶向鉴定序号" sheetId="20" r:id="rId19"/>
    <sheet name="18  不同贮存年份的五粮浓香型白酒挥发性" sheetId="21" r:id="rId20"/>
    <sheet name="19  浓香、酱香、清香型白酒挥发性风味的 " sheetId="22" r:id="rId21"/>
    <sheet name="20  三种香型白酒的ICP-OES和 " sheetId="23" r:id="rId22"/>
    <sheet name="21 基于GC-MS的浓香型白酒等级评判模型研究" sheetId="24" r:id="rId23"/>
    <sheet name="22 浓香型白酒及其风味成分对乙醇代谢关键 " sheetId="25" r:id="rId24"/>
    <sheet name="23  3 个年份浓香型白酒香气成分比较研究" sheetId="26" r:id="rId25"/>
    <sheet name="基于GC-MS结合化学计量学的浓香型白酒分类方法" sheetId="27" r:id="rId26"/>
    <sheet name="25  山东沂蒙老区浓香型白酒特征风味研究" sheetId="28" r:id="rId27"/>
    <sheet name="26  浓香型白酒基酒挥发性成分分析及等级识别研究" sheetId="29" r:id="rId28"/>
    <sheet name="27 基于GC-QTOF MS技术的" sheetId="30" r:id="rId29"/>
    <sheet name="28  酱香型和浓香型白酒中香气物质及其差异研究" sheetId="32" r:id="rId30"/>
    <sheet name="29  应用GC-MS对两种原粮酿造的浓香型" sheetId="33" r:id="rId31"/>
    <sheet name="30  洋河绵柔型白酒关键风味成分" sheetId="34" r:id="rId32"/>
    <sheet name="31  浓香型洋河天之蓝和清香型二锅头大" sheetId="35" r:id="rId33"/>
    <sheet name="32  浓香型白酒基酒味觉特征与挥发性风味成分相关性研究" sheetId="36" r:id="rId34"/>
    <sheet name="33  宜宾产区浓香型白酒风味特征及香气活性物质 " sheetId="38" r:id="rId35"/>
  </sheets>
  <definedNames>
    <definedName name="_xlnm._FilterDatabase" localSheetId="12" hidden="1">'11不同等级浓香型白酒基酒挥发性风味物质差异分析'!$A$1:$L$42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32" l="1"/>
  <c r="W3" i="32"/>
  <c r="X3" i="32"/>
  <c r="Y3" i="32"/>
  <c r="V4" i="32"/>
  <c r="W4" i="32"/>
  <c r="X4" i="32"/>
  <c r="Y4" i="32"/>
  <c r="V5" i="32"/>
  <c r="W5" i="32"/>
  <c r="X5" i="32"/>
  <c r="Y5" i="32"/>
  <c r="V6" i="32"/>
  <c r="W6" i="32"/>
  <c r="X6" i="32"/>
  <c r="Y6" i="32"/>
  <c r="V7" i="32"/>
  <c r="W7" i="32"/>
  <c r="X7" i="32"/>
  <c r="Y7" i="32"/>
  <c r="V8" i="32"/>
  <c r="W8" i="32"/>
  <c r="X8" i="32"/>
  <c r="Y8" i="32"/>
  <c r="V9" i="32"/>
  <c r="W9" i="32"/>
  <c r="X9" i="32"/>
  <c r="Y9" i="32"/>
  <c r="V10" i="32"/>
  <c r="W10" i="32"/>
  <c r="X10" i="32"/>
  <c r="Y10" i="32"/>
  <c r="V11" i="32"/>
  <c r="W11" i="32"/>
  <c r="X11" i="32"/>
  <c r="Y11" i="32"/>
  <c r="V12" i="32"/>
  <c r="W12" i="32"/>
  <c r="X12" i="32"/>
  <c r="Y12" i="32"/>
  <c r="V13" i="32"/>
  <c r="W13" i="32"/>
  <c r="X13" i="32"/>
  <c r="Y13" i="32"/>
  <c r="V14" i="32"/>
  <c r="W14" i="32"/>
  <c r="X14" i="32"/>
  <c r="Y14" i="32"/>
  <c r="V15" i="32"/>
  <c r="W15" i="32"/>
  <c r="X15" i="32"/>
  <c r="Y15" i="32"/>
  <c r="V16" i="32"/>
  <c r="W16" i="32"/>
  <c r="X16" i="32"/>
  <c r="Y16" i="32"/>
  <c r="V17" i="32"/>
  <c r="W17" i="32"/>
  <c r="X17" i="32"/>
  <c r="Y17" i="32"/>
  <c r="V18" i="32"/>
  <c r="W18" i="32"/>
  <c r="X18" i="32"/>
  <c r="Y18" i="32"/>
  <c r="V19" i="32"/>
  <c r="W19" i="32"/>
  <c r="X19" i="32"/>
  <c r="Y19" i="32"/>
  <c r="V20" i="32"/>
  <c r="W20" i="32"/>
  <c r="X20" i="32"/>
  <c r="Y20" i="32"/>
  <c r="V21" i="32"/>
  <c r="W21" i="32"/>
  <c r="X21" i="32"/>
  <c r="Y21" i="32"/>
  <c r="V22" i="32"/>
  <c r="W22" i="32"/>
  <c r="X22" i="32"/>
  <c r="Y22" i="32"/>
  <c r="V23" i="32"/>
  <c r="W23" i="32"/>
  <c r="X23" i="32"/>
  <c r="Y23" i="32"/>
  <c r="V24" i="32"/>
  <c r="W24" i="32"/>
  <c r="X24" i="32"/>
  <c r="Y24" i="32"/>
  <c r="V25" i="32"/>
  <c r="W25" i="32"/>
  <c r="X25" i="32"/>
  <c r="Y25" i="32"/>
  <c r="V26" i="32"/>
  <c r="W26" i="32"/>
  <c r="X26" i="32"/>
  <c r="Y26" i="32"/>
  <c r="V27" i="32"/>
  <c r="W27" i="32"/>
  <c r="X27" i="32"/>
  <c r="Y27" i="32"/>
  <c r="V28" i="32"/>
  <c r="W28" i="32"/>
  <c r="X28" i="32"/>
  <c r="Y28" i="32"/>
  <c r="V29" i="32"/>
  <c r="W29" i="32"/>
  <c r="X29" i="32"/>
  <c r="Y29" i="32"/>
  <c r="V30" i="32"/>
  <c r="W30" i="32"/>
  <c r="X30" i="32"/>
  <c r="Y30" i="32"/>
  <c r="V31" i="32"/>
  <c r="W31" i="32"/>
  <c r="X31" i="32"/>
  <c r="Y31" i="32"/>
  <c r="V32" i="32"/>
  <c r="W32" i="32"/>
  <c r="X32" i="32"/>
  <c r="Y32" i="32"/>
  <c r="V33" i="32"/>
  <c r="W33" i="32"/>
  <c r="X33" i="32"/>
  <c r="Y33" i="32"/>
  <c r="V34" i="32"/>
  <c r="W34" i="32"/>
  <c r="X34" i="32"/>
  <c r="Y34" i="32"/>
  <c r="V35" i="32"/>
  <c r="W35" i="32"/>
  <c r="X35" i="32"/>
  <c r="Y35" i="32"/>
  <c r="V36" i="32"/>
  <c r="W36" i="32"/>
  <c r="X36" i="32"/>
  <c r="Y36" i="32"/>
  <c r="V37" i="32"/>
  <c r="W37" i="32"/>
  <c r="X37" i="32"/>
  <c r="Y37" i="32"/>
  <c r="V38" i="32"/>
  <c r="W38" i="32"/>
  <c r="X38" i="32"/>
  <c r="Y38" i="32"/>
  <c r="V39" i="32"/>
  <c r="W39" i="32"/>
  <c r="X39" i="32"/>
  <c r="Y39" i="32"/>
  <c r="V40" i="32"/>
  <c r="W40" i="32"/>
  <c r="X40" i="32"/>
  <c r="Y40" i="32"/>
  <c r="V41" i="32"/>
  <c r="W41" i="32"/>
  <c r="X41" i="32"/>
  <c r="Y41" i="32"/>
  <c r="V42" i="32"/>
  <c r="W42" i="32"/>
  <c r="X42" i="32"/>
  <c r="Y42" i="32"/>
  <c r="V43" i="32"/>
  <c r="W43" i="32"/>
  <c r="X43" i="32"/>
  <c r="Y43" i="32"/>
  <c r="V44" i="32"/>
  <c r="W44" i="32"/>
  <c r="X44" i="32"/>
  <c r="Y44" i="32"/>
  <c r="V45" i="32"/>
  <c r="W45" i="32"/>
  <c r="X45" i="32"/>
  <c r="Y45" i="32"/>
  <c r="V46" i="32"/>
  <c r="W46" i="32"/>
  <c r="X46" i="32"/>
  <c r="Y46" i="32"/>
  <c r="V47" i="32"/>
  <c r="W47" i="32"/>
  <c r="X47" i="32"/>
  <c r="Y47" i="32"/>
  <c r="V48" i="32"/>
  <c r="W48" i="32"/>
  <c r="X48" i="32"/>
  <c r="Y48" i="32"/>
  <c r="V49" i="32"/>
  <c r="W49" i="32"/>
  <c r="X49" i="32"/>
  <c r="Y49" i="32"/>
  <c r="V50" i="32"/>
  <c r="W50" i="32"/>
  <c r="X50" i="32"/>
  <c r="Y50" i="32"/>
  <c r="V51" i="32"/>
  <c r="W51" i="32"/>
  <c r="X51" i="32"/>
  <c r="Y51" i="32"/>
  <c r="V52" i="32"/>
  <c r="W52" i="32"/>
  <c r="X52" i="32"/>
  <c r="Y52" i="32"/>
  <c r="V53" i="32"/>
  <c r="W53" i="32"/>
  <c r="X53" i="32"/>
  <c r="Y53" i="32"/>
  <c r="V54" i="32"/>
  <c r="W54" i="32"/>
  <c r="X54" i="32"/>
  <c r="Y54" i="32"/>
  <c r="V55" i="32"/>
  <c r="W55" i="32"/>
  <c r="X55" i="32"/>
  <c r="Y55" i="32"/>
  <c r="V56" i="32"/>
  <c r="W56" i="32"/>
  <c r="X56" i="32"/>
  <c r="Y56" i="32"/>
  <c r="V57" i="32"/>
  <c r="W57" i="32"/>
  <c r="X57" i="32"/>
  <c r="Y57" i="32"/>
  <c r="V58" i="32"/>
  <c r="W58" i="32"/>
  <c r="X58" i="32"/>
  <c r="Y58" i="32"/>
  <c r="V59" i="32"/>
  <c r="W59" i="32"/>
  <c r="X59" i="32"/>
  <c r="Y59" i="32"/>
  <c r="V60" i="32"/>
  <c r="W60" i="32"/>
  <c r="X60" i="32"/>
  <c r="Y60" i="32"/>
  <c r="V61" i="32"/>
  <c r="W61" i="32"/>
  <c r="X61" i="32"/>
  <c r="Y61" i="32"/>
  <c r="V62" i="32"/>
  <c r="W62" i="32"/>
  <c r="X62" i="32"/>
  <c r="Y62" i="32"/>
  <c r="V63" i="32"/>
  <c r="W63" i="32"/>
  <c r="X63" i="32"/>
  <c r="Y63" i="32"/>
  <c r="V64" i="32"/>
  <c r="W64" i="32"/>
  <c r="X64" i="32"/>
  <c r="Y64" i="32"/>
  <c r="W2" i="32"/>
  <c r="X2" i="32"/>
  <c r="Y2" i="32"/>
  <c r="V2" i="32"/>
  <c r="AG3" i="15"/>
  <c r="AH3" i="15"/>
  <c r="AI3" i="15"/>
  <c r="AJ3" i="15"/>
  <c r="AG4" i="15"/>
  <c r="AH4" i="15"/>
  <c r="AI4" i="15"/>
  <c r="AJ4" i="15"/>
  <c r="AG5" i="15"/>
  <c r="AH5" i="15"/>
  <c r="AI5" i="15"/>
  <c r="AJ5" i="15"/>
  <c r="AG6" i="15"/>
  <c r="AH6" i="15"/>
  <c r="AI6" i="15"/>
  <c r="AJ6" i="15"/>
  <c r="AG7" i="15"/>
  <c r="AH7" i="15"/>
  <c r="AI7" i="15"/>
  <c r="AJ7" i="15"/>
  <c r="AG8" i="15"/>
  <c r="AH8" i="15"/>
  <c r="AI8" i="15"/>
  <c r="AJ8" i="15"/>
  <c r="AG9" i="15"/>
  <c r="AH9" i="15"/>
  <c r="AI9" i="15"/>
  <c r="AJ9" i="15"/>
  <c r="AG10" i="15"/>
  <c r="AH10" i="15"/>
  <c r="AI10" i="15"/>
  <c r="AJ10" i="15"/>
  <c r="AG11" i="15"/>
  <c r="AH11" i="15"/>
  <c r="AI11" i="15"/>
  <c r="AJ11" i="15"/>
  <c r="AG12" i="15"/>
  <c r="AH12" i="15"/>
  <c r="AI12" i="15"/>
  <c r="AJ12" i="15"/>
  <c r="AG13" i="15"/>
  <c r="AH13" i="15"/>
  <c r="AI13" i="15"/>
  <c r="AJ13" i="15"/>
  <c r="AG14" i="15"/>
  <c r="AH14" i="15"/>
  <c r="AI14" i="15"/>
  <c r="AJ14" i="15"/>
  <c r="AG15" i="15"/>
  <c r="AH15" i="15"/>
  <c r="AI15" i="15"/>
  <c r="AJ15" i="15"/>
  <c r="AG16" i="15"/>
  <c r="AH16" i="15"/>
  <c r="AI16" i="15"/>
  <c r="AJ16" i="15"/>
  <c r="AG17" i="15"/>
  <c r="AH17" i="15"/>
  <c r="AI17" i="15"/>
  <c r="AJ17" i="15"/>
  <c r="AG18" i="15"/>
  <c r="AH18" i="15"/>
  <c r="AI18" i="15"/>
  <c r="AJ18" i="15"/>
  <c r="AG19" i="15"/>
  <c r="AH19" i="15"/>
  <c r="AI19" i="15"/>
  <c r="AJ19" i="15"/>
  <c r="AG20" i="15"/>
  <c r="AH20" i="15"/>
  <c r="AI20" i="15"/>
  <c r="AJ20" i="15"/>
  <c r="AG21" i="15"/>
  <c r="AH21" i="15"/>
  <c r="AI21" i="15"/>
  <c r="AJ21" i="15"/>
  <c r="AG22" i="15"/>
  <c r="AH22" i="15"/>
  <c r="AI22" i="15"/>
  <c r="AJ22" i="15"/>
  <c r="AG23" i="15"/>
  <c r="AH23" i="15"/>
  <c r="AI23" i="15"/>
  <c r="AJ23" i="15"/>
  <c r="AG24" i="15"/>
  <c r="AH24" i="15"/>
  <c r="AI24" i="15"/>
  <c r="AJ24" i="15"/>
  <c r="AG25" i="15"/>
  <c r="AH25" i="15"/>
  <c r="AI25" i="15"/>
  <c r="AJ25" i="15"/>
  <c r="AG26" i="15"/>
  <c r="AH26" i="15"/>
  <c r="AI26" i="15"/>
  <c r="AJ26" i="15"/>
  <c r="AG27" i="15"/>
  <c r="AH27" i="15"/>
  <c r="AI27" i="15"/>
  <c r="AJ27" i="15"/>
  <c r="AG28" i="15"/>
  <c r="AH28" i="15"/>
  <c r="AI28" i="15"/>
  <c r="AJ28" i="15"/>
  <c r="AG29" i="15"/>
  <c r="AH29" i="15"/>
  <c r="AI29" i="15"/>
  <c r="AJ29" i="15"/>
  <c r="AG30" i="15"/>
  <c r="AH30" i="15"/>
  <c r="AI30" i="15"/>
  <c r="AJ30" i="15"/>
  <c r="AG31" i="15"/>
  <c r="AH31" i="15"/>
  <c r="AI31" i="15"/>
  <c r="AJ31" i="15"/>
  <c r="AG32" i="15"/>
  <c r="AH32" i="15"/>
  <c r="AI32" i="15"/>
  <c r="AJ32" i="15"/>
  <c r="AG33" i="15"/>
  <c r="AH33" i="15"/>
  <c r="AI33" i="15"/>
  <c r="AJ33" i="15"/>
  <c r="AG34" i="15"/>
  <c r="AH34" i="15"/>
  <c r="AI34" i="15"/>
  <c r="AJ34" i="15"/>
  <c r="AG35" i="15"/>
  <c r="AH35" i="15"/>
  <c r="AI35" i="15"/>
  <c r="AJ35" i="15"/>
  <c r="AG36" i="15"/>
  <c r="AH36" i="15"/>
  <c r="AI36" i="15"/>
  <c r="AJ36" i="15"/>
  <c r="AG37" i="15"/>
  <c r="AH37" i="15"/>
  <c r="AI37" i="15"/>
  <c r="AJ37" i="15"/>
  <c r="AG38" i="15"/>
  <c r="AH38" i="15"/>
  <c r="AI38" i="15"/>
  <c r="AJ38" i="15"/>
  <c r="AG39" i="15"/>
  <c r="AH39" i="15"/>
  <c r="AI39" i="15"/>
  <c r="AJ39" i="15"/>
  <c r="AG40" i="15"/>
  <c r="AH40" i="15"/>
  <c r="AI40" i="15"/>
  <c r="AJ40" i="15"/>
  <c r="AG41" i="15"/>
  <c r="AH41" i="15"/>
  <c r="AI41" i="15"/>
  <c r="AJ41" i="15"/>
  <c r="AG42" i="15"/>
  <c r="AH42" i="15"/>
  <c r="AI42" i="15"/>
  <c r="AJ42" i="15"/>
  <c r="AG43" i="15"/>
  <c r="AH43" i="15"/>
  <c r="AI43" i="15"/>
  <c r="AJ43" i="15"/>
  <c r="AG44" i="15"/>
  <c r="AH44" i="15"/>
  <c r="AI44" i="15"/>
  <c r="AJ44" i="15"/>
  <c r="AG45" i="15"/>
  <c r="AH45" i="15"/>
  <c r="AI45" i="15"/>
  <c r="AJ45" i="15"/>
  <c r="AG46" i="15"/>
  <c r="AH46" i="15"/>
  <c r="AI46" i="15"/>
  <c r="AJ46" i="15"/>
  <c r="AG47" i="15"/>
  <c r="AH47" i="15"/>
  <c r="AI47" i="15"/>
  <c r="AJ47" i="15"/>
  <c r="AG48" i="15"/>
  <c r="AH48" i="15"/>
  <c r="AI48" i="15"/>
  <c r="AJ48" i="15"/>
  <c r="AG49" i="15"/>
  <c r="AH49" i="15"/>
  <c r="AI49" i="15"/>
  <c r="AJ49" i="15"/>
  <c r="AG50" i="15"/>
  <c r="AH50" i="15"/>
  <c r="AI50" i="15"/>
  <c r="AJ50" i="15"/>
  <c r="AG51" i="15"/>
  <c r="AH51" i="15"/>
  <c r="AI51" i="15"/>
  <c r="AJ51" i="15"/>
  <c r="AG52" i="15"/>
  <c r="AH52" i="15"/>
  <c r="AI52" i="15"/>
  <c r="AJ52" i="15"/>
  <c r="AG53" i="15"/>
  <c r="AH53" i="15"/>
  <c r="AI53" i="15"/>
  <c r="AJ53" i="15"/>
  <c r="AG54" i="15"/>
  <c r="AH54" i="15"/>
  <c r="AI54" i="15"/>
  <c r="AJ54" i="15"/>
  <c r="AG55" i="15"/>
  <c r="AH55" i="15"/>
  <c r="AI55" i="15"/>
  <c r="AJ55" i="15"/>
  <c r="AG56" i="15"/>
  <c r="AH56" i="15"/>
  <c r="AI56" i="15"/>
  <c r="AJ56" i="15"/>
  <c r="AG57" i="15"/>
  <c r="AH57" i="15"/>
  <c r="AI57" i="15"/>
  <c r="AJ57" i="15"/>
  <c r="AG58" i="15"/>
  <c r="AH58" i="15"/>
  <c r="AI58" i="15"/>
  <c r="AJ58" i="15"/>
  <c r="AG59" i="15"/>
  <c r="AH59" i="15"/>
  <c r="AI59" i="15"/>
  <c r="AJ59" i="15"/>
  <c r="AG60" i="15"/>
  <c r="AH60" i="15"/>
  <c r="AI60" i="15"/>
  <c r="AJ60" i="15"/>
  <c r="AG61" i="15"/>
  <c r="AH61" i="15"/>
  <c r="AI61" i="15"/>
  <c r="AJ61" i="15"/>
  <c r="AG62" i="15"/>
  <c r="AH62" i="15"/>
  <c r="AI62" i="15"/>
  <c r="AJ62" i="15"/>
  <c r="AG63" i="15"/>
  <c r="AH63" i="15"/>
  <c r="AI63" i="15"/>
  <c r="AJ63" i="15"/>
  <c r="AG64" i="15"/>
  <c r="AH64" i="15"/>
  <c r="AI64" i="15"/>
  <c r="AJ64" i="15"/>
  <c r="AH2" i="15"/>
  <c r="AI2" i="15"/>
  <c r="AJ2" i="15"/>
  <c r="AG2" i="15"/>
  <c r="BB3" i="12"/>
  <c r="BC3" i="12"/>
  <c r="BD3" i="12"/>
  <c r="BE3" i="12"/>
  <c r="BF3" i="12"/>
  <c r="BG3" i="12"/>
  <c r="BH3" i="12"/>
  <c r="BI3" i="12"/>
  <c r="BB4" i="12"/>
  <c r="BC4" i="12"/>
  <c r="BD4" i="12"/>
  <c r="BE4" i="12"/>
  <c r="BF4" i="12"/>
  <c r="BG4" i="12"/>
  <c r="BH4" i="12"/>
  <c r="BI4" i="12"/>
  <c r="BB5" i="12"/>
  <c r="BC5" i="12"/>
  <c r="BD5" i="12"/>
  <c r="BE5" i="12"/>
  <c r="BF5" i="12"/>
  <c r="BG5" i="12"/>
  <c r="BH5" i="12"/>
  <c r="BI5" i="12"/>
  <c r="BB6" i="12"/>
  <c r="BC6" i="12"/>
  <c r="BD6" i="12"/>
  <c r="BE6" i="12"/>
  <c r="BF6" i="12"/>
  <c r="BG6" i="12"/>
  <c r="BH6" i="12"/>
  <c r="BI6" i="12"/>
  <c r="BB7" i="12"/>
  <c r="BC7" i="12"/>
  <c r="BD7" i="12"/>
  <c r="BE7" i="12"/>
  <c r="BF7" i="12"/>
  <c r="BG7" i="12"/>
  <c r="BH7" i="12"/>
  <c r="BI7" i="12"/>
  <c r="BB8" i="12"/>
  <c r="BC8" i="12"/>
  <c r="BD8" i="12"/>
  <c r="BE8" i="12"/>
  <c r="BF8" i="12"/>
  <c r="BG8" i="12"/>
  <c r="BH8" i="12"/>
  <c r="BI8" i="12"/>
  <c r="BB9" i="12"/>
  <c r="BC9" i="12"/>
  <c r="BD9" i="12"/>
  <c r="BE9" i="12"/>
  <c r="BF9" i="12"/>
  <c r="BG9" i="12"/>
  <c r="BH9" i="12"/>
  <c r="BI9" i="12"/>
  <c r="BB10" i="12"/>
  <c r="BC10" i="12"/>
  <c r="BD10" i="12"/>
  <c r="BE10" i="12"/>
  <c r="BF10" i="12"/>
  <c r="BG10" i="12"/>
  <c r="BH10" i="12"/>
  <c r="BI10" i="12"/>
  <c r="BB11" i="12"/>
  <c r="BC11" i="12"/>
  <c r="BD11" i="12"/>
  <c r="BE11" i="12"/>
  <c r="BF11" i="12"/>
  <c r="BG11" i="12"/>
  <c r="BH11" i="12"/>
  <c r="BI11" i="12"/>
  <c r="BB12" i="12"/>
  <c r="BC12" i="12"/>
  <c r="BD12" i="12"/>
  <c r="BE12" i="12"/>
  <c r="BF12" i="12"/>
  <c r="BG12" i="12"/>
  <c r="BH12" i="12"/>
  <c r="BI12" i="12"/>
  <c r="BB13" i="12"/>
  <c r="BC13" i="12"/>
  <c r="BD13" i="12"/>
  <c r="BE13" i="12"/>
  <c r="BF13" i="12"/>
  <c r="BG13" i="12"/>
  <c r="BH13" i="12"/>
  <c r="BI13" i="12"/>
  <c r="BB14" i="12"/>
  <c r="BC14" i="12"/>
  <c r="BD14" i="12"/>
  <c r="BE14" i="12"/>
  <c r="BF14" i="12"/>
  <c r="BG14" i="12"/>
  <c r="BH14" i="12"/>
  <c r="BI14" i="12"/>
  <c r="BB15" i="12"/>
  <c r="BC15" i="12"/>
  <c r="BD15" i="12"/>
  <c r="BE15" i="12"/>
  <c r="BF15" i="12"/>
  <c r="BG15" i="12"/>
  <c r="BH15" i="12"/>
  <c r="BI15" i="12"/>
  <c r="BB16" i="12"/>
  <c r="BC16" i="12"/>
  <c r="BD16" i="12"/>
  <c r="BE16" i="12"/>
  <c r="BF16" i="12"/>
  <c r="BG16" i="12"/>
  <c r="BH16" i="12"/>
  <c r="BI16" i="12"/>
  <c r="BB17" i="12"/>
  <c r="BC17" i="12"/>
  <c r="BD17" i="12"/>
  <c r="BE17" i="12"/>
  <c r="BF17" i="12"/>
  <c r="BG17" i="12"/>
  <c r="BH17" i="12"/>
  <c r="BI17" i="12"/>
  <c r="BB18" i="12"/>
  <c r="BC18" i="12"/>
  <c r="BD18" i="12"/>
  <c r="BE18" i="12"/>
  <c r="BF18" i="12"/>
  <c r="BG18" i="12"/>
  <c r="BH18" i="12"/>
  <c r="BI18" i="12"/>
  <c r="BB19" i="12"/>
  <c r="BC19" i="12"/>
  <c r="BD19" i="12"/>
  <c r="BE19" i="12"/>
  <c r="BF19" i="12"/>
  <c r="BG19" i="12"/>
  <c r="BH19" i="12"/>
  <c r="BI19" i="12"/>
  <c r="BB20" i="12"/>
  <c r="BC20" i="12"/>
  <c r="BD20" i="12"/>
  <c r="BE20" i="12"/>
  <c r="BF20" i="12"/>
  <c r="BG20" i="12"/>
  <c r="BH20" i="12"/>
  <c r="BI20" i="12"/>
  <c r="BB21" i="12"/>
  <c r="BC21" i="12"/>
  <c r="BD21" i="12"/>
  <c r="BE21" i="12"/>
  <c r="BF21" i="12"/>
  <c r="BG21" i="12"/>
  <c r="BH21" i="12"/>
  <c r="BI21" i="12"/>
  <c r="BB22" i="12"/>
  <c r="BC22" i="12"/>
  <c r="BD22" i="12"/>
  <c r="BE22" i="12"/>
  <c r="BF22" i="12"/>
  <c r="BG22" i="12"/>
  <c r="BH22" i="12"/>
  <c r="BI22" i="12"/>
  <c r="BB23" i="12"/>
  <c r="BC23" i="12"/>
  <c r="BD23" i="12"/>
  <c r="BE23" i="12"/>
  <c r="BF23" i="12"/>
  <c r="BG23" i="12"/>
  <c r="BH23" i="12"/>
  <c r="BI23" i="12"/>
  <c r="BB24" i="12"/>
  <c r="BC24" i="12"/>
  <c r="BD24" i="12"/>
  <c r="BE24" i="12"/>
  <c r="BF24" i="12"/>
  <c r="BG24" i="12"/>
  <c r="BH24" i="12"/>
  <c r="BI24" i="12"/>
  <c r="BB25" i="12"/>
  <c r="BC25" i="12"/>
  <c r="BD25" i="12"/>
  <c r="BE25" i="12"/>
  <c r="BF25" i="12"/>
  <c r="BG25" i="12"/>
  <c r="BH25" i="12"/>
  <c r="BI25" i="12"/>
  <c r="BB26" i="12"/>
  <c r="BC26" i="12"/>
  <c r="BD26" i="12"/>
  <c r="BE26" i="12"/>
  <c r="BF26" i="12"/>
  <c r="BG26" i="12"/>
  <c r="BH26" i="12"/>
  <c r="BI26" i="12"/>
  <c r="BB27" i="12"/>
  <c r="BC27" i="12"/>
  <c r="BD27" i="12"/>
  <c r="BE27" i="12"/>
  <c r="BF27" i="12"/>
  <c r="BG27" i="12"/>
  <c r="BH27" i="12"/>
  <c r="BI27" i="12"/>
  <c r="BB28" i="12"/>
  <c r="BC28" i="12"/>
  <c r="BD28" i="12"/>
  <c r="BE28" i="12"/>
  <c r="BF28" i="12"/>
  <c r="BG28" i="12"/>
  <c r="BH28" i="12"/>
  <c r="BI28" i="12"/>
  <c r="BB29" i="12"/>
  <c r="BC29" i="12"/>
  <c r="BD29" i="12"/>
  <c r="BE29" i="12"/>
  <c r="BF29" i="12"/>
  <c r="BG29" i="12"/>
  <c r="BH29" i="12"/>
  <c r="BI29" i="12"/>
  <c r="BB30" i="12"/>
  <c r="BC30" i="12"/>
  <c r="BD30" i="12"/>
  <c r="BE30" i="12"/>
  <c r="BF30" i="12"/>
  <c r="BG30" i="12"/>
  <c r="BH30" i="12"/>
  <c r="BI30" i="12"/>
  <c r="BB31" i="12"/>
  <c r="BC31" i="12"/>
  <c r="BD31" i="12"/>
  <c r="BE31" i="12"/>
  <c r="BF31" i="12"/>
  <c r="BG31" i="12"/>
  <c r="BH31" i="12"/>
  <c r="BI31" i="12"/>
  <c r="BB32" i="12"/>
  <c r="BC32" i="12"/>
  <c r="BD32" i="12"/>
  <c r="BE32" i="12"/>
  <c r="BF32" i="12"/>
  <c r="BG32" i="12"/>
  <c r="BH32" i="12"/>
  <c r="BI32" i="12"/>
  <c r="BB33" i="12"/>
  <c r="BC33" i="12"/>
  <c r="BD33" i="12"/>
  <c r="BE33" i="12"/>
  <c r="BF33" i="12"/>
  <c r="BG33" i="12"/>
  <c r="BH33" i="12"/>
  <c r="BI33" i="12"/>
  <c r="BB34" i="12"/>
  <c r="BC34" i="12"/>
  <c r="BD34" i="12"/>
  <c r="BE34" i="12"/>
  <c r="BF34" i="12"/>
  <c r="BG34" i="12"/>
  <c r="BH34" i="12"/>
  <c r="BI34" i="12"/>
  <c r="BB35" i="12"/>
  <c r="BC35" i="12"/>
  <c r="BD35" i="12"/>
  <c r="BE35" i="12"/>
  <c r="BF35" i="12"/>
  <c r="BG35" i="12"/>
  <c r="BH35" i="12"/>
  <c r="BI35" i="12"/>
  <c r="BB36" i="12"/>
  <c r="BC36" i="12"/>
  <c r="BD36" i="12"/>
  <c r="BE36" i="12"/>
  <c r="BF36" i="12"/>
  <c r="BG36" i="12"/>
  <c r="BH36" i="12"/>
  <c r="BI36" i="12"/>
  <c r="BB37" i="12"/>
  <c r="BC37" i="12"/>
  <c r="BD37" i="12"/>
  <c r="BE37" i="12"/>
  <c r="BF37" i="12"/>
  <c r="BG37" i="12"/>
  <c r="BH37" i="12"/>
  <c r="BI37" i="12"/>
  <c r="BB38" i="12"/>
  <c r="BC38" i="12"/>
  <c r="BD38" i="12"/>
  <c r="BE38" i="12"/>
  <c r="BF38" i="12"/>
  <c r="BG38" i="12"/>
  <c r="BH38" i="12"/>
  <c r="BI38" i="12"/>
  <c r="BB39" i="12"/>
  <c r="BC39" i="12"/>
  <c r="BD39" i="12"/>
  <c r="BE39" i="12"/>
  <c r="BF39" i="12"/>
  <c r="BG39" i="12"/>
  <c r="BH39" i="12"/>
  <c r="BI39" i="12"/>
  <c r="BB40" i="12"/>
  <c r="BC40" i="12"/>
  <c r="BD40" i="12"/>
  <c r="BE40" i="12"/>
  <c r="BF40" i="12"/>
  <c r="BG40" i="12"/>
  <c r="BH40" i="12"/>
  <c r="BI40" i="12"/>
  <c r="BB41" i="12"/>
  <c r="BC41" i="12"/>
  <c r="BD41" i="12"/>
  <c r="BE41" i="12"/>
  <c r="BF41" i="12"/>
  <c r="BG41" i="12"/>
  <c r="BH41" i="12"/>
  <c r="BI41" i="12"/>
  <c r="BB42" i="12"/>
  <c r="BC42" i="12"/>
  <c r="BD42" i="12"/>
  <c r="BE42" i="12"/>
  <c r="BF42" i="12"/>
  <c r="BG42" i="12"/>
  <c r="BH42" i="12"/>
  <c r="BI42" i="12"/>
  <c r="BB43" i="12"/>
  <c r="BC43" i="12"/>
  <c r="BD43" i="12"/>
  <c r="BE43" i="12"/>
  <c r="BF43" i="12"/>
  <c r="BG43" i="12"/>
  <c r="BH43" i="12"/>
  <c r="BI43" i="12"/>
  <c r="BB44" i="12"/>
  <c r="BC44" i="12"/>
  <c r="BD44" i="12"/>
  <c r="BE44" i="12"/>
  <c r="BF44" i="12"/>
  <c r="BG44" i="12"/>
  <c r="BH44" i="12"/>
  <c r="BI44" i="12"/>
  <c r="BB45" i="12"/>
  <c r="BC45" i="12"/>
  <c r="BD45" i="12"/>
  <c r="BE45" i="12"/>
  <c r="BF45" i="12"/>
  <c r="BG45" i="12"/>
  <c r="BH45" i="12"/>
  <c r="BI45" i="12"/>
  <c r="BB46" i="12"/>
  <c r="BC46" i="12"/>
  <c r="BD46" i="12"/>
  <c r="BE46" i="12"/>
  <c r="BF46" i="12"/>
  <c r="BG46" i="12"/>
  <c r="BH46" i="12"/>
  <c r="BI46" i="12"/>
  <c r="BB47" i="12"/>
  <c r="BC47" i="12"/>
  <c r="BD47" i="12"/>
  <c r="BE47" i="12"/>
  <c r="BF47" i="12"/>
  <c r="BG47" i="12"/>
  <c r="BH47" i="12"/>
  <c r="BI47" i="12"/>
  <c r="BB48" i="12"/>
  <c r="BC48" i="12"/>
  <c r="BD48" i="12"/>
  <c r="BE48" i="12"/>
  <c r="BF48" i="12"/>
  <c r="BG48" i="12"/>
  <c r="BH48" i="12"/>
  <c r="BI48" i="12"/>
  <c r="BB49" i="12"/>
  <c r="BC49" i="12"/>
  <c r="BD49" i="12"/>
  <c r="BE49" i="12"/>
  <c r="BF49" i="12"/>
  <c r="BG49" i="12"/>
  <c r="BH49" i="12"/>
  <c r="BI49" i="12"/>
  <c r="BB50" i="12"/>
  <c r="BC50" i="12"/>
  <c r="BD50" i="12"/>
  <c r="BE50" i="12"/>
  <c r="BF50" i="12"/>
  <c r="BG50" i="12"/>
  <c r="BH50" i="12"/>
  <c r="BI50" i="12"/>
  <c r="BB51" i="12"/>
  <c r="BC51" i="12"/>
  <c r="BD51" i="12"/>
  <c r="BE51" i="12"/>
  <c r="BF51" i="12"/>
  <c r="BG51" i="12"/>
  <c r="BH51" i="12"/>
  <c r="BI51" i="12"/>
  <c r="BB52" i="12"/>
  <c r="BC52" i="12"/>
  <c r="BD52" i="12"/>
  <c r="BE52" i="12"/>
  <c r="BF52" i="12"/>
  <c r="BG52" i="12"/>
  <c r="BH52" i="12"/>
  <c r="BI52" i="12"/>
  <c r="BB53" i="12"/>
  <c r="BC53" i="12"/>
  <c r="BD53" i="12"/>
  <c r="BE53" i="12"/>
  <c r="BF53" i="12"/>
  <c r="BG53" i="12"/>
  <c r="BH53" i="12"/>
  <c r="BI53" i="12"/>
  <c r="BB54" i="12"/>
  <c r="BC54" i="12"/>
  <c r="BD54" i="12"/>
  <c r="BE54" i="12"/>
  <c r="BF54" i="12"/>
  <c r="BG54" i="12"/>
  <c r="BH54" i="12"/>
  <c r="BI54" i="12"/>
  <c r="BB55" i="12"/>
  <c r="BC55" i="12"/>
  <c r="BD55" i="12"/>
  <c r="BE55" i="12"/>
  <c r="BF55" i="12"/>
  <c r="BG55" i="12"/>
  <c r="BH55" i="12"/>
  <c r="BI55" i="12"/>
  <c r="BB56" i="12"/>
  <c r="BC56" i="12"/>
  <c r="BD56" i="12"/>
  <c r="BE56" i="12"/>
  <c r="BF56" i="12"/>
  <c r="BG56" i="12"/>
  <c r="BH56" i="12"/>
  <c r="BI56" i="12"/>
  <c r="BB57" i="12"/>
  <c r="BC57" i="12"/>
  <c r="BD57" i="12"/>
  <c r="BE57" i="12"/>
  <c r="BF57" i="12"/>
  <c r="BG57" i="12"/>
  <c r="BH57" i="12"/>
  <c r="BI57" i="12"/>
  <c r="BB58" i="12"/>
  <c r="BC58" i="12"/>
  <c r="BD58" i="12"/>
  <c r="BE58" i="12"/>
  <c r="BF58" i="12"/>
  <c r="BG58" i="12"/>
  <c r="BH58" i="12"/>
  <c r="BI58" i="12"/>
  <c r="BB59" i="12"/>
  <c r="BC59" i="12"/>
  <c r="BD59" i="12"/>
  <c r="BE59" i="12"/>
  <c r="BF59" i="12"/>
  <c r="BG59" i="12"/>
  <c r="BH59" i="12"/>
  <c r="BI59" i="12"/>
  <c r="BB60" i="12"/>
  <c r="BC60" i="12"/>
  <c r="BD60" i="12"/>
  <c r="BE60" i="12"/>
  <c r="BF60" i="12"/>
  <c r="BG60" i="12"/>
  <c r="BH60" i="12"/>
  <c r="BI60" i="12"/>
  <c r="BB61" i="12"/>
  <c r="BC61" i="12"/>
  <c r="BD61" i="12"/>
  <c r="BE61" i="12"/>
  <c r="BF61" i="12"/>
  <c r="BG61" i="12"/>
  <c r="BH61" i="12"/>
  <c r="BI61" i="12"/>
  <c r="BB62" i="12"/>
  <c r="BC62" i="12"/>
  <c r="BD62" i="12"/>
  <c r="BE62" i="12"/>
  <c r="BF62" i="12"/>
  <c r="BG62" i="12"/>
  <c r="BH62" i="12"/>
  <c r="BI62" i="12"/>
  <c r="BB63" i="12"/>
  <c r="BC63" i="12"/>
  <c r="BD63" i="12"/>
  <c r="BE63" i="12"/>
  <c r="BF63" i="12"/>
  <c r="BG63" i="12"/>
  <c r="BH63" i="12"/>
  <c r="BI63" i="12"/>
  <c r="BB64" i="12"/>
  <c r="BC64" i="12"/>
  <c r="BD64" i="12"/>
  <c r="BE64" i="12"/>
  <c r="BF64" i="12"/>
  <c r="BG64" i="12"/>
  <c r="BH64" i="12"/>
  <c r="BI64" i="12"/>
  <c r="BC2" i="12"/>
  <c r="BD2" i="12"/>
  <c r="BE2" i="12"/>
  <c r="BF2" i="12"/>
  <c r="BG2" i="12"/>
  <c r="BH2" i="12"/>
  <c r="BI2" i="12"/>
  <c r="BB2" i="12"/>
  <c r="AJ3" i="12"/>
  <c r="AK3" i="12"/>
  <c r="AL3" i="12"/>
  <c r="AM3" i="12"/>
  <c r="AN3" i="12"/>
  <c r="AO3" i="12"/>
  <c r="AP3" i="12"/>
  <c r="AQ3" i="12"/>
  <c r="AJ4" i="12"/>
  <c r="AK4" i="12"/>
  <c r="AL4" i="12"/>
  <c r="AM4" i="12"/>
  <c r="AN4" i="12"/>
  <c r="AO4" i="12"/>
  <c r="AP4" i="12"/>
  <c r="AQ4" i="12"/>
  <c r="AJ5" i="12"/>
  <c r="AK5" i="12"/>
  <c r="AL5" i="12"/>
  <c r="AM5" i="12"/>
  <c r="AN5" i="12"/>
  <c r="AO5" i="12"/>
  <c r="AP5" i="12"/>
  <c r="AQ5" i="12"/>
  <c r="AJ6" i="12"/>
  <c r="AK6" i="12"/>
  <c r="AL6" i="12"/>
  <c r="AM6" i="12"/>
  <c r="AN6" i="12"/>
  <c r="AO6" i="12"/>
  <c r="AP6" i="12"/>
  <c r="AQ6" i="12"/>
  <c r="AJ7" i="12"/>
  <c r="AK7" i="12"/>
  <c r="AL7" i="12"/>
  <c r="AM7" i="12"/>
  <c r="AN7" i="12"/>
  <c r="AO7" i="12"/>
  <c r="AP7" i="12"/>
  <c r="AQ7" i="12"/>
  <c r="AJ8" i="12"/>
  <c r="AK8" i="12"/>
  <c r="AL8" i="12"/>
  <c r="AM8" i="12"/>
  <c r="AN8" i="12"/>
  <c r="AO8" i="12"/>
  <c r="AP8" i="12"/>
  <c r="AQ8" i="12"/>
  <c r="AJ9" i="12"/>
  <c r="AK9" i="12"/>
  <c r="AL9" i="12"/>
  <c r="AM9" i="12"/>
  <c r="AN9" i="12"/>
  <c r="AO9" i="12"/>
  <c r="AP9" i="12"/>
  <c r="AQ9" i="12"/>
  <c r="AJ10" i="12"/>
  <c r="AK10" i="12"/>
  <c r="AL10" i="12"/>
  <c r="AM10" i="12"/>
  <c r="AN10" i="12"/>
  <c r="AO10" i="12"/>
  <c r="AP10" i="12"/>
  <c r="AQ10" i="12"/>
  <c r="AJ11" i="12"/>
  <c r="AK11" i="12"/>
  <c r="AL11" i="12"/>
  <c r="AM11" i="12"/>
  <c r="AN11" i="12"/>
  <c r="AO11" i="12"/>
  <c r="AP11" i="12"/>
  <c r="AQ11" i="12"/>
  <c r="AJ12" i="12"/>
  <c r="AK12" i="12"/>
  <c r="AL12" i="12"/>
  <c r="AM12" i="12"/>
  <c r="AN12" i="12"/>
  <c r="AO12" i="12"/>
  <c r="AP12" i="12"/>
  <c r="AQ12" i="12"/>
  <c r="AJ13" i="12"/>
  <c r="AK13" i="12"/>
  <c r="AL13" i="12"/>
  <c r="AM13" i="12"/>
  <c r="AN13" i="12"/>
  <c r="AO13" i="12"/>
  <c r="AP13" i="12"/>
  <c r="AQ13" i="12"/>
  <c r="AJ14" i="12"/>
  <c r="AK14" i="12"/>
  <c r="AL14" i="12"/>
  <c r="AM14" i="12"/>
  <c r="AN14" i="12"/>
  <c r="AO14" i="12"/>
  <c r="AP14" i="12"/>
  <c r="AQ14" i="12"/>
  <c r="AJ15" i="12"/>
  <c r="AK15" i="12"/>
  <c r="AL15" i="12"/>
  <c r="AM15" i="12"/>
  <c r="AN15" i="12"/>
  <c r="AO15" i="12"/>
  <c r="AP15" i="12"/>
  <c r="AQ15" i="12"/>
  <c r="AJ16" i="12"/>
  <c r="AK16" i="12"/>
  <c r="AL16" i="12"/>
  <c r="AM16" i="12"/>
  <c r="AN16" i="12"/>
  <c r="AO16" i="12"/>
  <c r="AP16" i="12"/>
  <c r="AQ16" i="12"/>
  <c r="AJ17" i="12"/>
  <c r="AK17" i="12"/>
  <c r="AL17" i="12"/>
  <c r="AM17" i="12"/>
  <c r="AN17" i="12"/>
  <c r="AO17" i="12"/>
  <c r="AP17" i="12"/>
  <c r="AQ17" i="12"/>
  <c r="AJ18" i="12"/>
  <c r="AK18" i="12"/>
  <c r="AL18" i="12"/>
  <c r="AM18" i="12"/>
  <c r="AN18" i="12"/>
  <c r="AO18" i="12"/>
  <c r="AP18" i="12"/>
  <c r="AQ18" i="12"/>
  <c r="AJ19" i="12"/>
  <c r="AK19" i="12"/>
  <c r="AL19" i="12"/>
  <c r="AM19" i="12"/>
  <c r="AN19" i="12"/>
  <c r="AO19" i="12"/>
  <c r="AP19" i="12"/>
  <c r="AQ19" i="12"/>
  <c r="AJ20" i="12"/>
  <c r="AK20" i="12"/>
  <c r="AL20" i="12"/>
  <c r="AM20" i="12"/>
  <c r="AN20" i="12"/>
  <c r="AO20" i="12"/>
  <c r="AP20" i="12"/>
  <c r="AQ20" i="12"/>
  <c r="AJ21" i="12"/>
  <c r="AK21" i="12"/>
  <c r="AL21" i="12"/>
  <c r="AM21" i="12"/>
  <c r="AN21" i="12"/>
  <c r="AO21" i="12"/>
  <c r="AP21" i="12"/>
  <c r="AQ21" i="12"/>
  <c r="AJ22" i="12"/>
  <c r="AK22" i="12"/>
  <c r="AL22" i="12"/>
  <c r="AM22" i="12"/>
  <c r="AN22" i="12"/>
  <c r="AO22" i="12"/>
  <c r="AP22" i="12"/>
  <c r="AQ22" i="12"/>
  <c r="AJ23" i="12"/>
  <c r="AK23" i="12"/>
  <c r="AL23" i="12"/>
  <c r="AM23" i="12"/>
  <c r="AN23" i="12"/>
  <c r="AO23" i="12"/>
  <c r="AP23" i="12"/>
  <c r="AQ23" i="12"/>
  <c r="AJ24" i="12"/>
  <c r="AK24" i="12"/>
  <c r="AL24" i="12"/>
  <c r="AM24" i="12"/>
  <c r="AN24" i="12"/>
  <c r="AO24" i="12"/>
  <c r="AP24" i="12"/>
  <c r="AQ24" i="12"/>
  <c r="AJ25" i="12"/>
  <c r="AK25" i="12"/>
  <c r="AL25" i="12"/>
  <c r="AM25" i="12"/>
  <c r="AN25" i="12"/>
  <c r="AO25" i="12"/>
  <c r="AP25" i="12"/>
  <c r="AQ25" i="12"/>
  <c r="AJ26" i="12"/>
  <c r="AK26" i="12"/>
  <c r="AL26" i="12"/>
  <c r="AM26" i="12"/>
  <c r="AN26" i="12"/>
  <c r="AO26" i="12"/>
  <c r="AP26" i="12"/>
  <c r="AQ26" i="12"/>
  <c r="AJ27" i="12"/>
  <c r="AK27" i="12"/>
  <c r="AL27" i="12"/>
  <c r="AM27" i="12"/>
  <c r="AN27" i="12"/>
  <c r="AO27" i="12"/>
  <c r="AP27" i="12"/>
  <c r="AQ27" i="12"/>
  <c r="AJ28" i="12"/>
  <c r="AK28" i="12"/>
  <c r="AL28" i="12"/>
  <c r="AM28" i="12"/>
  <c r="AN28" i="12"/>
  <c r="AO28" i="12"/>
  <c r="AP28" i="12"/>
  <c r="AQ28" i="12"/>
  <c r="AJ29" i="12"/>
  <c r="AK29" i="12"/>
  <c r="AL29" i="12"/>
  <c r="AM29" i="12"/>
  <c r="AN29" i="12"/>
  <c r="AO29" i="12"/>
  <c r="AP29" i="12"/>
  <c r="AQ29" i="12"/>
  <c r="AJ30" i="12"/>
  <c r="AK30" i="12"/>
  <c r="AL30" i="12"/>
  <c r="AM30" i="12"/>
  <c r="AN30" i="12"/>
  <c r="AO30" i="12"/>
  <c r="AP30" i="12"/>
  <c r="AQ30" i="12"/>
  <c r="AJ31" i="12"/>
  <c r="AK31" i="12"/>
  <c r="AL31" i="12"/>
  <c r="AM31" i="12"/>
  <c r="AN31" i="12"/>
  <c r="AO31" i="12"/>
  <c r="AP31" i="12"/>
  <c r="AQ31" i="12"/>
  <c r="AJ32" i="12"/>
  <c r="AK32" i="12"/>
  <c r="AL32" i="12"/>
  <c r="AM32" i="12"/>
  <c r="AN32" i="12"/>
  <c r="AO32" i="12"/>
  <c r="AP32" i="12"/>
  <c r="AQ32" i="12"/>
  <c r="AJ33" i="12"/>
  <c r="AK33" i="12"/>
  <c r="AL33" i="12"/>
  <c r="AM33" i="12"/>
  <c r="AN33" i="12"/>
  <c r="AO33" i="12"/>
  <c r="AP33" i="12"/>
  <c r="AQ33" i="12"/>
  <c r="AJ34" i="12"/>
  <c r="AK34" i="12"/>
  <c r="AL34" i="12"/>
  <c r="AM34" i="12"/>
  <c r="AN34" i="12"/>
  <c r="AO34" i="12"/>
  <c r="AP34" i="12"/>
  <c r="AQ34" i="12"/>
  <c r="AJ35" i="12"/>
  <c r="AK35" i="12"/>
  <c r="AL35" i="12"/>
  <c r="AM35" i="12"/>
  <c r="AN35" i="12"/>
  <c r="AO35" i="12"/>
  <c r="AP35" i="12"/>
  <c r="AQ35" i="12"/>
  <c r="AJ36" i="12"/>
  <c r="AK36" i="12"/>
  <c r="AL36" i="12"/>
  <c r="AM36" i="12"/>
  <c r="AN36" i="12"/>
  <c r="AO36" i="12"/>
  <c r="AP36" i="12"/>
  <c r="AQ36" i="12"/>
  <c r="AJ37" i="12"/>
  <c r="AK37" i="12"/>
  <c r="AL37" i="12"/>
  <c r="AM37" i="12"/>
  <c r="AN37" i="12"/>
  <c r="AO37" i="12"/>
  <c r="AP37" i="12"/>
  <c r="AQ37" i="12"/>
  <c r="AJ38" i="12"/>
  <c r="AK38" i="12"/>
  <c r="AL38" i="12"/>
  <c r="AM38" i="12"/>
  <c r="AN38" i="12"/>
  <c r="AO38" i="12"/>
  <c r="AP38" i="12"/>
  <c r="AQ38" i="12"/>
  <c r="AJ39" i="12"/>
  <c r="AK39" i="12"/>
  <c r="AL39" i="12"/>
  <c r="AM39" i="12"/>
  <c r="AN39" i="12"/>
  <c r="AO39" i="12"/>
  <c r="AP39" i="12"/>
  <c r="AQ39" i="12"/>
  <c r="AJ40" i="12"/>
  <c r="AK40" i="12"/>
  <c r="AL40" i="12"/>
  <c r="AM40" i="12"/>
  <c r="AN40" i="12"/>
  <c r="AO40" i="12"/>
  <c r="AP40" i="12"/>
  <c r="AQ40" i="12"/>
  <c r="AJ41" i="12"/>
  <c r="AK41" i="12"/>
  <c r="AL41" i="12"/>
  <c r="AM41" i="12"/>
  <c r="AN41" i="12"/>
  <c r="AO41" i="12"/>
  <c r="AP41" i="12"/>
  <c r="AQ41" i="12"/>
  <c r="AJ42" i="12"/>
  <c r="AK42" i="12"/>
  <c r="AL42" i="12"/>
  <c r="AM42" i="12"/>
  <c r="AN42" i="12"/>
  <c r="AO42" i="12"/>
  <c r="AP42" i="12"/>
  <c r="AQ42" i="12"/>
  <c r="AJ43" i="12"/>
  <c r="AK43" i="12"/>
  <c r="AL43" i="12"/>
  <c r="AM43" i="12"/>
  <c r="AN43" i="12"/>
  <c r="AO43" i="12"/>
  <c r="AP43" i="12"/>
  <c r="AQ43" i="12"/>
  <c r="AJ44" i="12"/>
  <c r="AK44" i="12"/>
  <c r="AL44" i="12"/>
  <c r="AM44" i="12"/>
  <c r="AN44" i="12"/>
  <c r="AO44" i="12"/>
  <c r="AP44" i="12"/>
  <c r="AQ44" i="12"/>
  <c r="AJ45" i="12"/>
  <c r="AK45" i="12"/>
  <c r="AL45" i="12"/>
  <c r="AM45" i="12"/>
  <c r="AN45" i="12"/>
  <c r="AO45" i="12"/>
  <c r="AP45" i="12"/>
  <c r="AQ45" i="12"/>
  <c r="AJ46" i="12"/>
  <c r="AK46" i="12"/>
  <c r="AL46" i="12"/>
  <c r="AM46" i="12"/>
  <c r="AN46" i="12"/>
  <c r="AO46" i="12"/>
  <c r="AP46" i="12"/>
  <c r="AQ46" i="12"/>
  <c r="AJ47" i="12"/>
  <c r="AK47" i="12"/>
  <c r="AL47" i="12"/>
  <c r="AM47" i="12"/>
  <c r="AN47" i="12"/>
  <c r="AO47" i="12"/>
  <c r="AP47" i="12"/>
  <c r="AQ47" i="12"/>
  <c r="AJ48" i="12"/>
  <c r="AK48" i="12"/>
  <c r="AL48" i="12"/>
  <c r="AM48" i="12"/>
  <c r="AN48" i="12"/>
  <c r="AO48" i="12"/>
  <c r="AP48" i="12"/>
  <c r="AQ48" i="12"/>
  <c r="AJ49" i="12"/>
  <c r="AK49" i="12"/>
  <c r="AL49" i="12"/>
  <c r="AM49" i="12"/>
  <c r="AN49" i="12"/>
  <c r="AO49" i="12"/>
  <c r="AP49" i="12"/>
  <c r="AQ49" i="12"/>
  <c r="AJ50" i="12"/>
  <c r="AK50" i="12"/>
  <c r="AL50" i="12"/>
  <c r="AM50" i="12"/>
  <c r="AN50" i="12"/>
  <c r="AO50" i="12"/>
  <c r="AP50" i="12"/>
  <c r="AQ50" i="12"/>
  <c r="AJ51" i="12"/>
  <c r="AK51" i="12"/>
  <c r="AL51" i="12"/>
  <c r="AM51" i="12"/>
  <c r="AN51" i="12"/>
  <c r="AO51" i="12"/>
  <c r="AP51" i="12"/>
  <c r="AQ51" i="12"/>
  <c r="AJ52" i="12"/>
  <c r="AK52" i="12"/>
  <c r="AL52" i="12"/>
  <c r="AM52" i="12"/>
  <c r="AN52" i="12"/>
  <c r="AO52" i="12"/>
  <c r="AP52" i="12"/>
  <c r="AQ52" i="12"/>
  <c r="AJ53" i="12"/>
  <c r="AK53" i="12"/>
  <c r="AL53" i="12"/>
  <c r="AM53" i="12"/>
  <c r="AN53" i="12"/>
  <c r="AO53" i="12"/>
  <c r="AP53" i="12"/>
  <c r="AQ53" i="12"/>
  <c r="AJ54" i="12"/>
  <c r="AK54" i="12"/>
  <c r="AL54" i="12"/>
  <c r="AM54" i="12"/>
  <c r="AN54" i="12"/>
  <c r="AO54" i="12"/>
  <c r="AP54" i="12"/>
  <c r="AQ54" i="12"/>
  <c r="AJ55" i="12"/>
  <c r="AK55" i="12"/>
  <c r="AL55" i="12"/>
  <c r="AM55" i="12"/>
  <c r="AN55" i="12"/>
  <c r="AO55" i="12"/>
  <c r="AP55" i="12"/>
  <c r="AQ55" i="12"/>
  <c r="AJ56" i="12"/>
  <c r="AK56" i="12"/>
  <c r="AL56" i="12"/>
  <c r="AM56" i="12"/>
  <c r="AN56" i="12"/>
  <c r="AO56" i="12"/>
  <c r="AP56" i="12"/>
  <c r="AQ56" i="12"/>
  <c r="AJ57" i="12"/>
  <c r="AK57" i="12"/>
  <c r="AL57" i="12"/>
  <c r="AM57" i="12"/>
  <c r="AN57" i="12"/>
  <c r="AO57" i="12"/>
  <c r="AP57" i="12"/>
  <c r="AQ57" i="12"/>
  <c r="AJ58" i="12"/>
  <c r="AK58" i="12"/>
  <c r="AL58" i="12"/>
  <c r="AM58" i="12"/>
  <c r="AN58" i="12"/>
  <c r="AO58" i="12"/>
  <c r="AP58" i="12"/>
  <c r="AQ58" i="12"/>
  <c r="AJ59" i="12"/>
  <c r="AK59" i="12"/>
  <c r="AL59" i="12"/>
  <c r="AM59" i="12"/>
  <c r="AN59" i="12"/>
  <c r="AO59" i="12"/>
  <c r="AP59" i="12"/>
  <c r="AQ59" i="12"/>
  <c r="AJ60" i="12"/>
  <c r="AK60" i="12"/>
  <c r="AL60" i="12"/>
  <c r="AM60" i="12"/>
  <c r="AN60" i="12"/>
  <c r="AO60" i="12"/>
  <c r="AP60" i="12"/>
  <c r="AQ60" i="12"/>
  <c r="AJ61" i="12"/>
  <c r="AK61" i="12"/>
  <c r="AL61" i="12"/>
  <c r="AM61" i="12"/>
  <c r="AN61" i="12"/>
  <c r="AO61" i="12"/>
  <c r="AP61" i="12"/>
  <c r="AQ61" i="12"/>
  <c r="AJ62" i="12"/>
  <c r="AK62" i="12"/>
  <c r="AL62" i="12"/>
  <c r="AM62" i="12"/>
  <c r="AN62" i="12"/>
  <c r="AO62" i="12"/>
  <c r="AP62" i="12"/>
  <c r="AQ62" i="12"/>
  <c r="AJ63" i="12"/>
  <c r="AK63" i="12"/>
  <c r="AL63" i="12"/>
  <c r="AM63" i="12"/>
  <c r="AN63" i="12"/>
  <c r="AO63" i="12"/>
  <c r="AP63" i="12"/>
  <c r="AQ63" i="12"/>
  <c r="AJ64" i="12"/>
  <c r="AK64" i="12"/>
  <c r="AL64" i="12"/>
  <c r="AM64" i="12"/>
  <c r="AN64" i="12"/>
  <c r="AO64" i="12"/>
  <c r="AP64" i="12"/>
  <c r="AQ64" i="12"/>
  <c r="AK2" i="12"/>
  <c r="AL2" i="12"/>
  <c r="AM2" i="12"/>
  <c r="AN2" i="12"/>
  <c r="AO2" i="12"/>
  <c r="AP2" i="12"/>
  <c r="AQ2" i="12"/>
  <c r="AJ2" i="12"/>
  <c r="AD3" i="11"/>
  <c r="AE3" i="11"/>
  <c r="AF3" i="11"/>
  <c r="AG3" i="11"/>
  <c r="AH3" i="11"/>
  <c r="AI3" i="11"/>
  <c r="AJ3" i="11"/>
  <c r="AK3" i="11"/>
  <c r="AL3" i="11"/>
  <c r="AM3" i="11"/>
  <c r="AD4" i="11"/>
  <c r="AE4" i="11"/>
  <c r="AF4" i="11"/>
  <c r="AG4" i="11"/>
  <c r="AH4" i="11"/>
  <c r="AI4" i="11"/>
  <c r="AJ4" i="11"/>
  <c r="AK4" i="11"/>
  <c r="AL4" i="11"/>
  <c r="AM4" i="11"/>
  <c r="AD5" i="11"/>
  <c r="AE5" i="11"/>
  <c r="AF5" i="11"/>
  <c r="AG5" i="11"/>
  <c r="AH5" i="11"/>
  <c r="AI5" i="11"/>
  <c r="AJ5" i="11"/>
  <c r="AK5" i="11"/>
  <c r="AL5" i="11"/>
  <c r="AM5" i="11"/>
  <c r="AD6" i="11"/>
  <c r="AE6" i="11"/>
  <c r="AF6" i="11"/>
  <c r="AG6" i="11"/>
  <c r="AH6" i="11"/>
  <c r="AI6" i="11"/>
  <c r="AJ6" i="11"/>
  <c r="AK6" i="11"/>
  <c r="AL6" i="11"/>
  <c r="AM6" i="11"/>
  <c r="AD7" i="11"/>
  <c r="AE7" i="11"/>
  <c r="AF7" i="11"/>
  <c r="AG7" i="11"/>
  <c r="AH7" i="11"/>
  <c r="AI7" i="11"/>
  <c r="AJ7" i="11"/>
  <c r="AK7" i="11"/>
  <c r="AL7" i="11"/>
  <c r="AM7" i="11"/>
  <c r="AD8" i="11"/>
  <c r="AE8" i="11"/>
  <c r="AF8" i="11"/>
  <c r="AG8" i="11"/>
  <c r="AH8" i="11"/>
  <c r="AI8" i="11"/>
  <c r="AJ8" i="11"/>
  <c r="AK8" i="11"/>
  <c r="AL8" i="11"/>
  <c r="AM8" i="11"/>
  <c r="AD9" i="11"/>
  <c r="AE9" i="11"/>
  <c r="AF9" i="11"/>
  <c r="AG9" i="11"/>
  <c r="AH9" i="11"/>
  <c r="AI9" i="11"/>
  <c r="AJ9" i="11"/>
  <c r="AK9" i="11"/>
  <c r="AL9" i="11"/>
  <c r="AM9" i="11"/>
  <c r="AD10" i="11"/>
  <c r="AE10" i="11"/>
  <c r="AF10" i="11"/>
  <c r="AG10" i="11"/>
  <c r="AH10" i="11"/>
  <c r="AI10" i="11"/>
  <c r="AJ10" i="11"/>
  <c r="AK10" i="11"/>
  <c r="AL10" i="11"/>
  <c r="AM10" i="11"/>
  <c r="AD11" i="11"/>
  <c r="AE11" i="11"/>
  <c r="AF11" i="11"/>
  <c r="AG11" i="11"/>
  <c r="AH11" i="11"/>
  <c r="AI11" i="11"/>
  <c r="AJ11" i="11"/>
  <c r="AK11" i="11"/>
  <c r="AL11" i="11"/>
  <c r="AM11" i="11"/>
  <c r="AD12" i="11"/>
  <c r="AE12" i="11"/>
  <c r="AF12" i="11"/>
  <c r="AG12" i="11"/>
  <c r="AH12" i="11"/>
  <c r="AI12" i="11"/>
  <c r="AJ12" i="11"/>
  <c r="AK12" i="11"/>
  <c r="AL12" i="11"/>
  <c r="AM12" i="11"/>
  <c r="AD13" i="11"/>
  <c r="AE13" i="11"/>
  <c r="AF13" i="11"/>
  <c r="AG13" i="11"/>
  <c r="AH13" i="11"/>
  <c r="AI13" i="11"/>
  <c r="AJ13" i="11"/>
  <c r="AK13" i="11"/>
  <c r="AL13" i="11"/>
  <c r="AM13" i="11"/>
  <c r="AD14" i="11"/>
  <c r="AE14" i="11"/>
  <c r="AF14" i="11"/>
  <c r="AG14" i="11"/>
  <c r="AH14" i="11"/>
  <c r="AI14" i="11"/>
  <c r="AJ14" i="11"/>
  <c r="AK14" i="11"/>
  <c r="AL14" i="11"/>
  <c r="AM14" i="11"/>
  <c r="AD15" i="11"/>
  <c r="AE15" i="11"/>
  <c r="AF15" i="11"/>
  <c r="AG15" i="11"/>
  <c r="AH15" i="11"/>
  <c r="AI15" i="11"/>
  <c r="AJ15" i="11"/>
  <c r="AK15" i="11"/>
  <c r="AL15" i="11"/>
  <c r="AM15" i="11"/>
  <c r="AD16" i="11"/>
  <c r="AE16" i="11"/>
  <c r="AF16" i="11"/>
  <c r="AG16" i="11"/>
  <c r="AH16" i="11"/>
  <c r="AI16" i="11"/>
  <c r="AJ16" i="11"/>
  <c r="AK16" i="11"/>
  <c r="AL16" i="11"/>
  <c r="AM16" i="11"/>
  <c r="AD17" i="11"/>
  <c r="AE17" i="11"/>
  <c r="AF17" i="11"/>
  <c r="AG17" i="11"/>
  <c r="AH17" i="11"/>
  <c r="AI17" i="11"/>
  <c r="AJ17" i="11"/>
  <c r="AK17" i="11"/>
  <c r="AL17" i="11"/>
  <c r="AM17" i="11"/>
  <c r="AD18" i="11"/>
  <c r="AE18" i="11"/>
  <c r="AF18" i="11"/>
  <c r="AG18" i="11"/>
  <c r="AH18" i="11"/>
  <c r="AI18" i="11"/>
  <c r="AJ18" i="11"/>
  <c r="AK18" i="11"/>
  <c r="AL18" i="11"/>
  <c r="AM18" i="11"/>
  <c r="AD19" i="11"/>
  <c r="AE19" i="11"/>
  <c r="AF19" i="11"/>
  <c r="AG19" i="11"/>
  <c r="AH19" i="11"/>
  <c r="AI19" i="11"/>
  <c r="AJ19" i="11"/>
  <c r="AK19" i="11"/>
  <c r="AL19" i="11"/>
  <c r="AM19" i="11"/>
  <c r="AD20" i="11"/>
  <c r="AE20" i="11"/>
  <c r="AF20" i="11"/>
  <c r="AG20" i="11"/>
  <c r="AH20" i="11"/>
  <c r="AI20" i="11"/>
  <c r="AJ20" i="11"/>
  <c r="AK20" i="11"/>
  <c r="AL20" i="11"/>
  <c r="AM20" i="11"/>
  <c r="AD21" i="11"/>
  <c r="AE21" i="11"/>
  <c r="AF21" i="11"/>
  <c r="AG21" i="11"/>
  <c r="AH21" i="11"/>
  <c r="AI21" i="11"/>
  <c r="AJ21" i="11"/>
  <c r="AK21" i="11"/>
  <c r="AL21" i="11"/>
  <c r="AM21" i="11"/>
  <c r="AD22" i="11"/>
  <c r="AE22" i="11"/>
  <c r="AF22" i="11"/>
  <c r="AG22" i="11"/>
  <c r="AH22" i="11"/>
  <c r="AI22" i="11"/>
  <c r="AJ22" i="11"/>
  <c r="AK22" i="11"/>
  <c r="AL22" i="11"/>
  <c r="AM22" i="11"/>
  <c r="AD23" i="11"/>
  <c r="AE23" i="11"/>
  <c r="AF23" i="11"/>
  <c r="AG23" i="11"/>
  <c r="AH23" i="11"/>
  <c r="AI23" i="11"/>
  <c r="AJ23" i="11"/>
  <c r="AK23" i="11"/>
  <c r="AL23" i="11"/>
  <c r="AM23" i="11"/>
  <c r="AD24" i="11"/>
  <c r="AE24" i="11"/>
  <c r="AF24" i="11"/>
  <c r="AG24" i="11"/>
  <c r="AH24" i="11"/>
  <c r="AI24" i="11"/>
  <c r="AJ24" i="11"/>
  <c r="AK24" i="11"/>
  <c r="AL24" i="11"/>
  <c r="AM24" i="11"/>
  <c r="AD25" i="11"/>
  <c r="AE25" i="11"/>
  <c r="AF25" i="11"/>
  <c r="AG25" i="11"/>
  <c r="AH25" i="11"/>
  <c r="AI25" i="11"/>
  <c r="AJ25" i="11"/>
  <c r="AK25" i="11"/>
  <c r="AL25" i="11"/>
  <c r="AM25" i="11"/>
  <c r="AD26" i="11"/>
  <c r="AE26" i="11"/>
  <c r="AF26" i="11"/>
  <c r="AG26" i="11"/>
  <c r="AH26" i="11"/>
  <c r="AI26" i="11"/>
  <c r="AJ26" i="11"/>
  <c r="AK26" i="11"/>
  <c r="AL26" i="11"/>
  <c r="AM26" i="11"/>
  <c r="AD27" i="11"/>
  <c r="AE27" i="11"/>
  <c r="AF27" i="11"/>
  <c r="AG27" i="11"/>
  <c r="AH27" i="11"/>
  <c r="AI27" i="11"/>
  <c r="AJ27" i="11"/>
  <c r="AK27" i="11"/>
  <c r="AL27" i="11"/>
  <c r="AM27" i="11"/>
  <c r="AD28" i="11"/>
  <c r="AE28" i="11"/>
  <c r="AF28" i="11"/>
  <c r="AG28" i="11"/>
  <c r="AH28" i="11"/>
  <c r="AI28" i="11"/>
  <c r="AJ28" i="11"/>
  <c r="AK28" i="11"/>
  <c r="AL28" i="11"/>
  <c r="AM28" i="11"/>
  <c r="AD29" i="11"/>
  <c r="AE29" i="11"/>
  <c r="AF29" i="11"/>
  <c r="AG29" i="11"/>
  <c r="AH29" i="11"/>
  <c r="AI29" i="11"/>
  <c r="AJ29" i="11"/>
  <c r="AK29" i="11"/>
  <c r="AL29" i="11"/>
  <c r="AM29" i="11"/>
  <c r="AD30" i="11"/>
  <c r="AE30" i="11"/>
  <c r="AF30" i="11"/>
  <c r="AG30" i="11"/>
  <c r="AH30" i="11"/>
  <c r="AI30" i="11"/>
  <c r="AJ30" i="11"/>
  <c r="AK30" i="11"/>
  <c r="AL30" i="11"/>
  <c r="AM30" i="11"/>
  <c r="AD31" i="11"/>
  <c r="AE31" i="11"/>
  <c r="AF31" i="11"/>
  <c r="AG31" i="11"/>
  <c r="AH31" i="11"/>
  <c r="AI31" i="11"/>
  <c r="AJ31" i="11"/>
  <c r="AK31" i="11"/>
  <c r="AL31" i="11"/>
  <c r="AM31" i="11"/>
  <c r="AD32" i="11"/>
  <c r="AE32" i="11"/>
  <c r="AF32" i="11"/>
  <c r="AG32" i="11"/>
  <c r="AH32" i="11"/>
  <c r="AI32" i="11"/>
  <c r="AJ32" i="11"/>
  <c r="AK32" i="11"/>
  <c r="AL32" i="11"/>
  <c r="AM32" i="11"/>
  <c r="AD33" i="11"/>
  <c r="AE33" i="11"/>
  <c r="AF33" i="11"/>
  <c r="AG33" i="11"/>
  <c r="AH33" i="11"/>
  <c r="AI33" i="11"/>
  <c r="AJ33" i="11"/>
  <c r="AK33" i="11"/>
  <c r="AL33" i="11"/>
  <c r="AM33" i="11"/>
  <c r="AD34" i="11"/>
  <c r="AE34" i="11"/>
  <c r="AF34" i="11"/>
  <c r="AG34" i="11"/>
  <c r="AH34" i="11"/>
  <c r="AI34" i="11"/>
  <c r="AJ34" i="11"/>
  <c r="AK34" i="11"/>
  <c r="AL34" i="11"/>
  <c r="AM34" i="11"/>
  <c r="AD35" i="11"/>
  <c r="AE35" i="11"/>
  <c r="AF35" i="11"/>
  <c r="AG35" i="11"/>
  <c r="AH35" i="11"/>
  <c r="AI35" i="11"/>
  <c r="AJ35" i="11"/>
  <c r="AK35" i="11"/>
  <c r="AL35" i="11"/>
  <c r="AM35" i="11"/>
  <c r="AD36" i="11"/>
  <c r="AE36" i="11"/>
  <c r="AF36" i="11"/>
  <c r="AG36" i="11"/>
  <c r="AH36" i="11"/>
  <c r="AI36" i="11"/>
  <c r="AJ36" i="11"/>
  <c r="AK36" i="11"/>
  <c r="AL36" i="11"/>
  <c r="AM36" i="11"/>
  <c r="AD37" i="11"/>
  <c r="AE37" i="11"/>
  <c r="AF37" i="11"/>
  <c r="AG37" i="11"/>
  <c r="AH37" i="11"/>
  <c r="AI37" i="11"/>
  <c r="AJ37" i="11"/>
  <c r="AK37" i="11"/>
  <c r="AL37" i="11"/>
  <c r="AM37" i="11"/>
  <c r="AD38" i="11"/>
  <c r="AE38" i="11"/>
  <c r="AF38" i="11"/>
  <c r="AG38" i="11"/>
  <c r="AH38" i="11"/>
  <c r="AI38" i="11"/>
  <c r="AJ38" i="11"/>
  <c r="AK38" i="11"/>
  <c r="AL38" i="11"/>
  <c r="AM38" i="11"/>
  <c r="AD39" i="11"/>
  <c r="AE39" i="11"/>
  <c r="AF39" i="11"/>
  <c r="AG39" i="11"/>
  <c r="AH39" i="11"/>
  <c r="AI39" i="11"/>
  <c r="AJ39" i="11"/>
  <c r="AK39" i="11"/>
  <c r="AL39" i="11"/>
  <c r="AM39" i="11"/>
  <c r="AD40" i="11"/>
  <c r="AE40" i="11"/>
  <c r="AF40" i="11"/>
  <c r="AG40" i="11"/>
  <c r="AH40" i="11"/>
  <c r="AI40" i="11"/>
  <c r="AJ40" i="11"/>
  <c r="AK40" i="11"/>
  <c r="AL40" i="11"/>
  <c r="AM40" i="11"/>
  <c r="AD41" i="11"/>
  <c r="AE41" i="11"/>
  <c r="AF41" i="11"/>
  <c r="AG41" i="11"/>
  <c r="AH41" i="11"/>
  <c r="AI41" i="11"/>
  <c r="AJ41" i="11"/>
  <c r="AK41" i="11"/>
  <c r="AL41" i="11"/>
  <c r="AM41" i="11"/>
  <c r="AD42" i="11"/>
  <c r="AE42" i="11"/>
  <c r="AF42" i="11"/>
  <c r="AG42" i="11"/>
  <c r="AH42" i="11"/>
  <c r="AI42" i="11"/>
  <c r="AJ42" i="11"/>
  <c r="AK42" i="11"/>
  <c r="AL42" i="11"/>
  <c r="AM42" i="11"/>
  <c r="AD43" i="11"/>
  <c r="AE43" i="11"/>
  <c r="AF43" i="11"/>
  <c r="AG43" i="11"/>
  <c r="AH43" i="11"/>
  <c r="AI43" i="11"/>
  <c r="AJ43" i="11"/>
  <c r="AK43" i="11"/>
  <c r="AL43" i="11"/>
  <c r="AM43" i="11"/>
  <c r="AD44" i="11"/>
  <c r="AE44" i="11"/>
  <c r="AF44" i="11"/>
  <c r="AG44" i="11"/>
  <c r="AH44" i="11"/>
  <c r="AI44" i="11"/>
  <c r="AJ44" i="11"/>
  <c r="AK44" i="11"/>
  <c r="AL44" i="11"/>
  <c r="AM44" i="11"/>
  <c r="AD45" i="11"/>
  <c r="AE45" i="11"/>
  <c r="AF45" i="11"/>
  <c r="AG45" i="11"/>
  <c r="AH45" i="11"/>
  <c r="AI45" i="11"/>
  <c r="AJ45" i="11"/>
  <c r="AK45" i="11"/>
  <c r="AL45" i="11"/>
  <c r="AM45" i="11"/>
  <c r="AD46" i="11"/>
  <c r="AE46" i="11"/>
  <c r="AF46" i="11"/>
  <c r="AG46" i="11"/>
  <c r="AH46" i="11"/>
  <c r="AI46" i="11"/>
  <c r="AJ46" i="11"/>
  <c r="AK46" i="11"/>
  <c r="AL46" i="11"/>
  <c r="AM46" i="11"/>
  <c r="AD47" i="11"/>
  <c r="AE47" i="11"/>
  <c r="AF47" i="11"/>
  <c r="AG47" i="11"/>
  <c r="AH47" i="11"/>
  <c r="AI47" i="11"/>
  <c r="AJ47" i="11"/>
  <c r="AK47" i="11"/>
  <c r="AL47" i="11"/>
  <c r="AM47" i="11"/>
  <c r="AD48" i="11"/>
  <c r="AE48" i="11"/>
  <c r="AF48" i="11"/>
  <c r="AG48" i="11"/>
  <c r="AH48" i="11"/>
  <c r="AI48" i="11"/>
  <c r="AJ48" i="11"/>
  <c r="AK48" i="11"/>
  <c r="AL48" i="11"/>
  <c r="AM48" i="11"/>
  <c r="AD49" i="11"/>
  <c r="AE49" i="11"/>
  <c r="AF49" i="11"/>
  <c r="AG49" i="11"/>
  <c r="AH49" i="11"/>
  <c r="AI49" i="11"/>
  <c r="AJ49" i="11"/>
  <c r="AK49" i="11"/>
  <c r="AL49" i="11"/>
  <c r="AM49" i="11"/>
  <c r="AD50" i="11"/>
  <c r="AE50" i="11"/>
  <c r="AF50" i="11"/>
  <c r="AG50" i="11"/>
  <c r="AH50" i="11"/>
  <c r="AI50" i="11"/>
  <c r="AJ50" i="11"/>
  <c r="AK50" i="11"/>
  <c r="AL50" i="11"/>
  <c r="AM50" i="11"/>
  <c r="AD51" i="11"/>
  <c r="AE51" i="11"/>
  <c r="AF51" i="11"/>
  <c r="AG51" i="11"/>
  <c r="AH51" i="11"/>
  <c r="AI51" i="11"/>
  <c r="AJ51" i="11"/>
  <c r="AK51" i="11"/>
  <c r="AL51" i="11"/>
  <c r="AM51" i="11"/>
  <c r="AD52" i="11"/>
  <c r="AE52" i="11"/>
  <c r="AF52" i="11"/>
  <c r="AG52" i="11"/>
  <c r="AH52" i="11"/>
  <c r="AI52" i="11"/>
  <c r="AJ52" i="11"/>
  <c r="AK52" i="11"/>
  <c r="AL52" i="11"/>
  <c r="AM52" i="11"/>
  <c r="AD53" i="11"/>
  <c r="AE53" i="11"/>
  <c r="AF53" i="11"/>
  <c r="AG53" i="11"/>
  <c r="AH53" i="11"/>
  <c r="AI53" i="11"/>
  <c r="AJ53" i="11"/>
  <c r="AK53" i="11"/>
  <c r="AL53" i="11"/>
  <c r="AM53" i="11"/>
  <c r="AD54" i="11"/>
  <c r="AE54" i="11"/>
  <c r="AF54" i="11"/>
  <c r="AG54" i="11"/>
  <c r="AH54" i="11"/>
  <c r="AI54" i="11"/>
  <c r="AJ54" i="11"/>
  <c r="AK54" i="11"/>
  <c r="AL54" i="11"/>
  <c r="AM54" i="11"/>
  <c r="AD55" i="11"/>
  <c r="AE55" i="11"/>
  <c r="AF55" i="11"/>
  <c r="AG55" i="11"/>
  <c r="AH55" i="11"/>
  <c r="AI55" i="11"/>
  <c r="AJ55" i="11"/>
  <c r="AK55" i="11"/>
  <c r="AL55" i="11"/>
  <c r="AM55" i="11"/>
  <c r="AD56" i="11"/>
  <c r="AE56" i="11"/>
  <c r="AF56" i="11"/>
  <c r="AG56" i="11"/>
  <c r="AH56" i="11"/>
  <c r="AI56" i="11"/>
  <c r="AJ56" i="11"/>
  <c r="AK56" i="11"/>
  <c r="AL56" i="11"/>
  <c r="AM56" i="11"/>
  <c r="AD57" i="11"/>
  <c r="AE57" i="11"/>
  <c r="AF57" i="11"/>
  <c r="AG57" i="11"/>
  <c r="AH57" i="11"/>
  <c r="AI57" i="11"/>
  <c r="AJ57" i="11"/>
  <c r="AK57" i="11"/>
  <c r="AL57" i="11"/>
  <c r="AM57" i="11"/>
  <c r="AD58" i="11"/>
  <c r="AE58" i="11"/>
  <c r="AF58" i="11"/>
  <c r="AG58" i="11"/>
  <c r="AH58" i="11"/>
  <c r="AI58" i="11"/>
  <c r="AJ58" i="11"/>
  <c r="AK58" i="11"/>
  <c r="AL58" i="11"/>
  <c r="AM58" i="11"/>
  <c r="AD59" i="11"/>
  <c r="AE59" i="11"/>
  <c r="AF59" i="11"/>
  <c r="AG59" i="11"/>
  <c r="AH59" i="11"/>
  <c r="AI59" i="11"/>
  <c r="AJ59" i="11"/>
  <c r="AK59" i="11"/>
  <c r="AL59" i="11"/>
  <c r="AM59" i="11"/>
  <c r="AD60" i="11"/>
  <c r="AE60" i="11"/>
  <c r="AF60" i="11"/>
  <c r="AG60" i="11"/>
  <c r="AH60" i="11"/>
  <c r="AI60" i="11"/>
  <c r="AJ60" i="11"/>
  <c r="AK60" i="11"/>
  <c r="AL60" i="11"/>
  <c r="AM60" i="11"/>
  <c r="AD61" i="11"/>
  <c r="AE61" i="11"/>
  <c r="AF61" i="11"/>
  <c r="AG61" i="11"/>
  <c r="AH61" i="11"/>
  <c r="AI61" i="11"/>
  <c r="AJ61" i="11"/>
  <c r="AK61" i="11"/>
  <c r="AL61" i="11"/>
  <c r="AM61" i="11"/>
  <c r="AD62" i="11"/>
  <c r="AE62" i="11"/>
  <c r="AF62" i="11"/>
  <c r="AG62" i="11"/>
  <c r="AH62" i="11"/>
  <c r="AI62" i="11"/>
  <c r="AJ62" i="11"/>
  <c r="AK62" i="11"/>
  <c r="AL62" i="11"/>
  <c r="AM62" i="11"/>
  <c r="AD63" i="11"/>
  <c r="AE63" i="11"/>
  <c r="AF63" i="11"/>
  <c r="AG63" i="11"/>
  <c r="AH63" i="11"/>
  <c r="AI63" i="11"/>
  <c r="AJ63" i="11"/>
  <c r="AK63" i="11"/>
  <c r="AL63" i="11"/>
  <c r="AM63" i="11"/>
  <c r="AD64" i="11"/>
  <c r="AE64" i="11"/>
  <c r="AF64" i="11"/>
  <c r="AG64" i="11"/>
  <c r="AH64" i="11"/>
  <c r="AI64" i="11"/>
  <c r="AJ64" i="11"/>
  <c r="AK64" i="11"/>
  <c r="AL64" i="11"/>
  <c r="AM64" i="11"/>
  <c r="AM2" i="11"/>
  <c r="AL2" i="11"/>
  <c r="AK2" i="11"/>
  <c r="AJ2" i="11"/>
  <c r="AI2" i="11"/>
  <c r="AH2" i="11"/>
  <c r="AG2" i="11"/>
  <c r="AF2" i="11"/>
  <c r="AE2" i="11"/>
  <c r="AD2" i="11"/>
  <c r="R3" i="9"/>
  <c r="S3" i="9"/>
  <c r="T3" i="9"/>
  <c r="U3" i="9"/>
  <c r="R4" i="9"/>
  <c r="S4" i="9"/>
  <c r="T4" i="9"/>
  <c r="U4" i="9"/>
  <c r="R5" i="9"/>
  <c r="S5" i="9"/>
  <c r="T5" i="9"/>
  <c r="U5" i="9"/>
  <c r="R6" i="9"/>
  <c r="S6" i="9"/>
  <c r="T6" i="9"/>
  <c r="U6" i="9"/>
  <c r="R7" i="9"/>
  <c r="S7" i="9"/>
  <c r="T7" i="9"/>
  <c r="U7" i="9"/>
  <c r="R8" i="9"/>
  <c r="S8" i="9"/>
  <c r="T8" i="9"/>
  <c r="U8" i="9"/>
  <c r="R9" i="9"/>
  <c r="S9" i="9"/>
  <c r="T9" i="9"/>
  <c r="U9" i="9"/>
  <c r="R10" i="9"/>
  <c r="S10" i="9"/>
  <c r="T10" i="9"/>
  <c r="U10" i="9"/>
  <c r="R11" i="9"/>
  <c r="S11" i="9"/>
  <c r="T11" i="9"/>
  <c r="U11" i="9"/>
  <c r="R12" i="9"/>
  <c r="S12" i="9"/>
  <c r="T12" i="9"/>
  <c r="U12" i="9"/>
  <c r="R13" i="9"/>
  <c r="S13" i="9"/>
  <c r="T13" i="9"/>
  <c r="U13" i="9"/>
  <c r="R14" i="9"/>
  <c r="S14" i="9"/>
  <c r="T14" i="9"/>
  <c r="U14" i="9"/>
  <c r="R15" i="9"/>
  <c r="S15" i="9"/>
  <c r="T15" i="9"/>
  <c r="U15" i="9"/>
  <c r="R16" i="9"/>
  <c r="S16" i="9"/>
  <c r="T16" i="9"/>
  <c r="U16" i="9"/>
  <c r="R17" i="9"/>
  <c r="S17" i="9"/>
  <c r="T17" i="9"/>
  <c r="U17" i="9"/>
  <c r="R18" i="9"/>
  <c r="S18" i="9"/>
  <c r="T18" i="9"/>
  <c r="U18" i="9"/>
  <c r="R19" i="9"/>
  <c r="S19" i="9"/>
  <c r="T19" i="9"/>
  <c r="U19" i="9"/>
  <c r="R20" i="9"/>
  <c r="S20" i="9"/>
  <c r="T20" i="9"/>
  <c r="U20" i="9"/>
  <c r="R21" i="9"/>
  <c r="S21" i="9"/>
  <c r="T21" i="9"/>
  <c r="U21" i="9"/>
  <c r="R22" i="9"/>
  <c r="S22" i="9"/>
  <c r="T22" i="9"/>
  <c r="U22" i="9"/>
  <c r="R23" i="9"/>
  <c r="S23" i="9"/>
  <c r="T23" i="9"/>
  <c r="U23" i="9"/>
  <c r="R24" i="9"/>
  <c r="S24" i="9"/>
  <c r="T24" i="9"/>
  <c r="U24" i="9"/>
  <c r="R25" i="9"/>
  <c r="S25" i="9"/>
  <c r="T25" i="9"/>
  <c r="U25" i="9"/>
  <c r="R26" i="9"/>
  <c r="S26" i="9"/>
  <c r="T26" i="9"/>
  <c r="U26" i="9"/>
  <c r="R27" i="9"/>
  <c r="S27" i="9"/>
  <c r="T27" i="9"/>
  <c r="U27" i="9"/>
  <c r="R28" i="9"/>
  <c r="S28" i="9"/>
  <c r="T28" i="9"/>
  <c r="U28" i="9"/>
  <c r="R29" i="9"/>
  <c r="S29" i="9"/>
  <c r="T29" i="9"/>
  <c r="U29" i="9"/>
  <c r="R30" i="9"/>
  <c r="S30" i="9"/>
  <c r="T30" i="9"/>
  <c r="U30" i="9"/>
  <c r="R31" i="9"/>
  <c r="S31" i="9"/>
  <c r="T31" i="9"/>
  <c r="U31" i="9"/>
  <c r="R32" i="9"/>
  <c r="S32" i="9"/>
  <c r="T32" i="9"/>
  <c r="U32" i="9"/>
  <c r="R33" i="9"/>
  <c r="S33" i="9"/>
  <c r="T33" i="9"/>
  <c r="U33" i="9"/>
  <c r="R34" i="9"/>
  <c r="S34" i="9"/>
  <c r="T34" i="9"/>
  <c r="U34" i="9"/>
  <c r="R35" i="9"/>
  <c r="S35" i="9"/>
  <c r="T35" i="9"/>
  <c r="U35" i="9"/>
  <c r="R36" i="9"/>
  <c r="S36" i="9"/>
  <c r="T36" i="9"/>
  <c r="U36" i="9"/>
  <c r="R37" i="9"/>
  <c r="S37" i="9"/>
  <c r="T37" i="9"/>
  <c r="U37" i="9"/>
  <c r="R38" i="9"/>
  <c r="S38" i="9"/>
  <c r="T38" i="9"/>
  <c r="U38" i="9"/>
  <c r="R39" i="9"/>
  <c r="S39" i="9"/>
  <c r="T39" i="9"/>
  <c r="U39" i="9"/>
  <c r="R40" i="9"/>
  <c r="S40" i="9"/>
  <c r="T40" i="9"/>
  <c r="U40" i="9"/>
  <c r="R41" i="9"/>
  <c r="S41" i="9"/>
  <c r="T41" i="9"/>
  <c r="U41" i="9"/>
  <c r="R42" i="9"/>
  <c r="S42" i="9"/>
  <c r="T42" i="9"/>
  <c r="U42" i="9"/>
  <c r="R43" i="9"/>
  <c r="S43" i="9"/>
  <c r="T43" i="9"/>
  <c r="U43" i="9"/>
  <c r="R44" i="9"/>
  <c r="S44" i="9"/>
  <c r="T44" i="9"/>
  <c r="U44" i="9"/>
  <c r="R45" i="9"/>
  <c r="S45" i="9"/>
  <c r="T45" i="9"/>
  <c r="U45" i="9"/>
  <c r="R46" i="9"/>
  <c r="S46" i="9"/>
  <c r="T46" i="9"/>
  <c r="U46" i="9"/>
  <c r="R47" i="9"/>
  <c r="S47" i="9"/>
  <c r="T47" i="9"/>
  <c r="U47" i="9"/>
  <c r="R48" i="9"/>
  <c r="S48" i="9"/>
  <c r="T48" i="9"/>
  <c r="U48" i="9"/>
  <c r="R49" i="9"/>
  <c r="S49" i="9"/>
  <c r="T49" i="9"/>
  <c r="U49" i="9"/>
  <c r="R50" i="9"/>
  <c r="S50" i="9"/>
  <c r="T50" i="9"/>
  <c r="U50" i="9"/>
  <c r="R51" i="9"/>
  <c r="S51" i="9"/>
  <c r="T51" i="9"/>
  <c r="U51" i="9"/>
  <c r="R52" i="9"/>
  <c r="S52" i="9"/>
  <c r="T52" i="9"/>
  <c r="U52" i="9"/>
  <c r="R53" i="9"/>
  <c r="S53" i="9"/>
  <c r="T53" i="9"/>
  <c r="U53" i="9"/>
  <c r="R54" i="9"/>
  <c r="S54" i="9"/>
  <c r="T54" i="9"/>
  <c r="U54" i="9"/>
  <c r="R55" i="9"/>
  <c r="S55" i="9"/>
  <c r="T55" i="9"/>
  <c r="U55" i="9"/>
  <c r="R56" i="9"/>
  <c r="S56" i="9"/>
  <c r="T56" i="9"/>
  <c r="U56" i="9"/>
  <c r="R57" i="9"/>
  <c r="S57" i="9"/>
  <c r="T57" i="9"/>
  <c r="U57" i="9"/>
  <c r="R58" i="9"/>
  <c r="S58" i="9"/>
  <c r="T58" i="9"/>
  <c r="U58" i="9"/>
  <c r="R59" i="9"/>
  <c r="S59" i="9"/>
  <c r="T59" i="9"/>
  <c r="U59" i="9"/>
  <c r="R60" i="9"/>
  <c r="S60" i="9"/>
  <c r="T60" i="9"/>
  <c r="U60" i="9"/>
  <c r="R61" i="9"/>
  <c r="S61" i="9"/>
  <c r="T61" i="9"/>
  <c r="U61" i="9"/>
  <c r="R62" i="9"/>
  <c r="S62" i="9"/>
  <c r="T62" i="9"/>
  <c r="U62" i="9"/>
  <c r="R63" i="9"/>
  <c r="S63" i="9"/>
  <c r="T63" i="9"/>
  <c r="U63" i="9"/>
  <c r="R64" i="9"/>
  <c r="S64" i="9"/>
  <c r="T64" i="9"/>
  <c r="U64" i="9"/>
  <c r="U2" i="9"/>
  <c r="T2" i="9"/>
  <c r="S2" i="9"/>
  <c r="R2" i="9"/>
  <c r="Z3" i="8"/>
  <c r="AA3" i="8"/>
  <c r="AB3" i="8"/>
  <c r="AC3" i="8"/>
  <c r="AD3" i="8"/>
  <c r="AE3" i="8"/>
  <c r="AF3" i="8"/>
  <c r="AG3" i="8"/>
  <c r="Z4" i="8"/>
  <c r="AA4" i="8"/>
  <c r="AB4" i="8"/>
  <c r="AC4" i="8"/>
  <c r="AD4" i="8"/>
  <c r="AE4" i="8"/>
  <c r="AF4" i="8"/>
  <c r="AG4" i="8"/>
  <c r="Z5" i="8"/>
  <c r="AA5" i="8"/>
  <c r="AB5" i="8"/>
  <c r="AC5" i="8"/>
  <c r="AD5" i="8"/>
  <c r="AE5" i="8"/>
  <c r="AF5" i="8"/>
  <c r="AG5" i="8"/>
  <c r="Z6" i="8"/>
  <c r="AA6" i="8"/>
  <c r="AB6" i="8"/>
  <c r="AC6" i="8"/>
  <c r="AD6" i="8"/>
  <c r="AE6" i="8"/>
  <c r="AF6" i="8"/>
  <c r="AG6" i="8"/>
  <c r="Z7" i="8"/>
  <c r="AA7" i="8"/>
  <c r="AB7" i="8"/>
  <c r="AC7" i="8"/>
  <c r="AD7" i="8"/>
  <c r="AE7" i="8"/>
  <c r="AF7" i="8"/>
  <c r="AG7" i="8"/>
  <c r="Z8" i="8"/>
  <c r="AA8" i="8"/>
  <c r="AB8" i="8"/>
  <c r="AC8" i="8"/>
  <c r="AD8" i="8"/>
  <c r="AE8" i="8"/>
  <c r="AF8" i="8"/>
  <c r="AG8" i="8"/>
  <c r="Z9" i="8"/>
  <c r="AA9" i="8"/>
  <c r="AB9" i="8"/>
  <c r="AC9" i="8"/>
  <c r="AD9" i="8"/>
  <c r="AE9" i="8"/>
  <c r="AF9" i="8"/>
  <c r="AG9" i="8"/>
  <c r="Z10" i="8"/>
  <c r="AA10" i="8"/>
  <c r="AB10" i="8"/>
  <c r="AC10" i="8"/>
  <c r="AD10" i="8"/>
  <c r="AE10" i="8"/>
  <c r="AF10" i="8"/>
  <c r="AG10" i="8"/>
  <c r="Z11" i="8"/>
  <c r="AA11" i="8"/>
  <c r="AB11" i="8"/>
  <c r="AC11" i="8"/>
  <c r="AD11" i="8"/>
  <c r="AE11" i="8"/>
  <c r="AF11" i="8"/>
  <c r="AG11" i="8"/>
  <c r="Z12" i="8"/>
  <c r="AA12" i="8"/>
  <c r="AB12" i="8"/>
  <c r="AC12" i="8"/>
  <c r="AD12" i="8"/>
  <c r="AE12" i="8"/>
  <c r="AF12" i="8"/>
  <c r="AG12" i="8"/>
  <c r="Z13" i="8"/>
  <c r="AA13" i="8"/>
  <c r="AB13" i="8"/>
  <c r="AC13" i="8"/>
  <c r="AD13" i="8"/>
  <c r="AE13" i="8"/>
  <c r="AF13" i="8"/>
  <c r="AG13" i="8"/>
  <c r="Z14" i="8"/>
  <c r="AA14" i="8"/>
  <c r="AB14" i="8"/>
  <c r="AC14" i="8"/>
  <c r="AD14" i="8"/>
  <c r="AE14" i="8"/>
  <c r="AF14" i="8"/>
  <c r="AG14" i="8"/>
  <c r="Z15" i="8"/>
  <c r="AA15" i="8"/>
  <c r="AB15" i="8"/>
  <c r="AC15" i="8"/>
  <c r="AD15" i="8"/>
  <c r="AE15" i="8"/>
  <c r="AF15" i="8"/>
  <c r="AG15" i="8"/>
  <c r="Z16" i="8"/>
  <c r="AA16" i="8"/>
  <c r="AB16" i="8"/>
  <c r="AC16" i="8"/>
  <c r="AD16" i="8"/>
  <c r="AE16" i="8"/>
  <c r="AF16" i="8"/>
  <c r="AG16" i="8"/>
  <c r="Z17" i="8"/>
  <c r="AA17" i="8"/>
  <c r="AB17" i="8"/>
  <c r="AC17" i="8"/>
  <c r="AD17" i="8"/>
  <c r="AE17" i="8"/>
  <c r="AF17" i="8"/>
  <c r="AG17" i="8"/>
  <c r="Z18" i="8"/>
  <c r="AA18" i="8"/>
  <c r="AB18" i="8"/>
  <c r="AC18" i="8"/>
  <c r="AD18" i="8"/>
  <c r="AE18" i="8"/>
  <c r="AF18" i="8"/>
  <c r="AG18" i="8"/>
  <c r="Z19" i="8"/>
  <c r="AA19" i="8"/>
  <c r="AB19" i="8"/>
  <c r="AC19" i="8"/>
  <c r="AD19" i="8"/>
  <c r="AE19" i="8"/>
  <c r="AF19" i="8"/>
  <c r="AG19" i="8"/>
  <c r="Z20" i="8"/>
  <c r="AA20" i="8"/>
  <c r="AB20" i="8"/>
  <c r="AC20" i="8"/>
  <c r="AD20" i="8"/>
  <c r="AE20" i="8"/>
  <c r="AF20" i="8"/>
  <c r="AG20" i="8"/>
  <c r="Z21" i="8"/>
  <c r="AA21" i="8"/>
  <c r="AB21" i="8"/>
  <c r="AC21" i="8"/>
  <c r="AD21" i="8"/>
  <c r="AE21" i="8"/>
  <c r="AF21" i="8"/>
  <c r="AG21" i="8"/>
  <c r="Z22" i="8"/>
  <c r="AA22" i="8"/>
  <c r="AB22" i="8"/>
  <c r="AC22" i="8"/>
  <c r="AD22" i="8"/>
  <c r="AE22" i="8"/>
  <c r="AF22" i="8"/>
  <c r="AG22" i="8"/>
  <c r="Z23" i="8"/>
  <c r="AA23" i="8"/>
  <c r="AB23" i="8"/>
  <c r="AC23" i="8"/>
  <c r="AD23" i="8"/>
  <c r="AE23" i="8"/>
  <c r="AF23" i="8"/>
  <c r="AG23" i="8"/>
  <c r="Z24" i="8"/>
  <c r="AA24" i="8"/>
  <c r="AB24" i="8"/>
  <c r="AC24" i="8"/>
  <c r="AD24" i="8"/>
  <c r="AE24" i="8"/>
  <c r="AF24" i="8"/>
  <c r="AG24" i="8"/>
  <c r="Z25" i="8"/>
  <c r="AA25" i="8"/>
  <c r="AB25" i="8"/>
  <c r="AC25" i="8"/>
  <c r="AD25" i="8"/>
  <c r="AE25" i="8"/>
  <c r="AF25" i="8"/>
  <c r="AG25" i="8"/>
  <c r="Z26" i="8"/>
  <c r="AA26" i="8"/>
  <c r="AB26" i="8"/>
  <c r="AC26" i="8"/>
  <c r="AD26" i="8"/>
  <c r="AE26" i="8"/>
  <c r="AF26" i="8"/>
  <c r="AG26" i="8"/>
  <c r="Z27" i="8"/>
  <c r="AA27" i="8"/>
  <c r="AB27" i="8"/>
  <c r="AC27" i="8"/>
  <c r="AD27" i="8"/>
  <c r="AE27" i="8"/>
  <c r="AF27" i="8"/>
  <c r="AG27" i="8"/>
  <c r="Z28" i="8"/>
  <c r="AA28" i="8"/>
  <c r="AB28" i="8"/>
  <c r="AC28" i="8"/>
  <c r="AD28" i="8"/>
  <c r="AE28" i="8"/>
  <c r="AF28" i="8"/>
  <c r="AG28" i="8"/>
  <c r="Z29" i="8"/>
  <c r="AA29" i="8"/>
  <c r="AB29" i="8"/>
  <c r="AC29" i="8"/>
  <c r="AD29" i="8"/>
  <c r="AE29" i="8"/>
  <c r="AF29" i="8"/>
  <c r="AG29" i="8"/>
  <c r="Z30" i="8"/>
  <c r="AA30" i="8"/>
  <c r="AB30" i="8"/>
  <c r="AC30" i="8"/>
  <c r="AD30" i="8"/>
  <c r="AE30" i="8"/>
  <c r="AF30" i="8"/>
  <c r="AG30" i="8"/>
  <c r="Z31" i="8"/>
  <c r="AA31" i="8"/>
  <c r="AB31" i="8"/>
  <c r="AC31" i="8"/>
  <c r="AD31" i="8"/>
  <c r="AE31" i="8"/>
  <c r="AF31" i="8"/>
  <c r="AG31" i="8"/>
  <c r="Z32" i="8"/>
  <c r="AA32" i="8"/>
  <c r="AB32" i="8"/>
  <c r="AC32" i="8"/>
  <c r="AD32" i="8"/>
  <c r="AE32" i="8"/>
  <c r="AF32" i="8"/>
  <c r="AG32" i="8"/>
  <c r="Z33" i="8"/>
  <c r="AA33" i="8"/>
  <c r="AB33" i="8"/>
  <c r="AC33" i="8"/>
  <c r="AD33" i="8"/>
  <c r="AE33" i="8"/>
  <c r="AF33" i="8"/>
  <c r="AG33" i="8"/>
  <c r="Z34" i="8"/>
  <c r="AA34" i="8"/>
  <c r="AB34" i="8"/>
  <c r="AC34" i="8"/>
  <c r="AD34" i="8"/>
  <c r="AE34" i="8"/>
  <c r="AF34" i="8"/>
  <c r="AG34" i="8"/>
  <c r="Z35" i="8"/>
  <c r="AA35" i="8"/>
  <c r="AB35" i="8"/>
  <c r="AC35" i="8"/>
  <c r="AD35" i="8"/>
  <c r="AE35" i="8"/>
  <c r="AF35" i="8"/>
  <c r="AG35" i="8"/>
  <c r="Z36" i="8"/>
  <c r="AA36" i="8"/>
  <c r="AB36" i="8"/>
  <c r="AC36" i="8"/>
  <c r="AD36" i="8"/>
  <c r="AE36" i="8"/>
  <c r="AF36" i="8"/>
  <c r="AG36" i="8"/>
  <c r="Z37" i="8"/>
  <c r="AA37" i="8"/>
  <c r="AB37" i="8"/>
  <c r="AC37" i="8"/>
  <c r="AD37" i="8"/>
  <c r="AE37" i="8"/>
  <c r="AF37" i="8"/>
  <c r="AG37" i="8"/>
  <c r="Z38" i="8"/>
  <c r="AA38" i="8"/>
  <c r="AB38" i="8"/>
  <c r="AC38" i="8"/>
  <c r="AD38" i="8"/>
  <c r="AE38" i="8"/>
  <c r="AF38" i="8"/>
  <c r="AG38" i="8"/>
  <c r="Z39" i="8"/>
  <c r="AA39" i="8"/>
  <c r="AB39" i="8"/>
  <c r="AC39" i="8"/>
  <c r="AD39" i="8"/>
  <c r="AE39" i="8"/>
  <c r="AF39" i="8"/>
  <c r="AG39" i="8"/>
  <c r="Z40" i="8"/>
  <c r="AA40" i="8"/>
  <c r="AB40" i="8"/>
  <c r="AC40" i="8"/>
  <c r="AD40" i="8"/>
  <c r="AE40" i="8"/>
  <c r="AF40" i="8"/>
  <c r="AG40" i="8"/>
  <c r="Z41" i="8"/>
  <c r="AA41" i="8"/>
  <c r="AB41" i="8"/>
  <c r="AC41" i="8"/>
  <c r="AD41" i="8"/>
  <c r="AE41" i="8"/>
  <c r="AF41" i="8"/>
  <c r="AG41" i="8"/>
  <c r="Z42" i="8"/>
  <c r="AA42" i="8"/>
  <c r="AB42" i="8"/>
  <c r="AC42" i="8"/>
  <c r="AD42" i="8"/>
  <c r="AE42" i="8"/>
  <c r="AF42" i="8"/>
  <c r="AG42" i="8"/>
  <c r="Z43" i="8"/>
  <c r="AA43" i="8"/>
  <c r="AB43" i="8"/>
  <c r="AC43" i="8"/>
  <c r="AD43" i="8"/>
  <c r="AE43" i="8"/>
  <c r="AF43" i="8"/>
  <c r="AG43" i="8"/>
  <c r="Z44" i="8"/>
  <c r="AA44" i="8"/>
  <c r="AB44" i="8"/>
  <c r="AC44" i="8"/>
  <c r="AD44" i="8"/>
  <c r="AE44" i="8"/>
  <c r="AF44" i="8"/>
  <c r="AG44" i="8"/>
  <c r="Z45" i="8"/>
  <c r="AA45" i="8"/>
  <c r="AB45" i="8"/>
  <c r="AC45" i="8"/>
  <c r="AD45" i="8"/>
  <c r="AE45" i="8"/>
  <c r="AF45" i="8"/>
  <c r="AG45" i="8"/>
  <c r="Z46" i="8"/>
  <c r="AA46" i="8"/>
  <c r="AB46" i="8"/>
  <c r="AC46" i="8"/>
  <c r="AD46" i="8"/>
  <c r="AE46" i="8"/>
  <c r="AF46" i="8"/>
  <c r="AG46" i="8"/>
  <c r="Z47" i="8"/>
  <c r="AA47" i="8"/>
  <c r="AB47" i="8"/>
  <c r="AC47" i="8"/>
  <c r="AD47" i="8"/>
  <c r="AE47" i="8"/>
  <c r="AF47" i="8"/>
  <c r="AG47" i="8"/>
  <c r="Z48" i="8"/>
  <c r="AA48" i="8"/>
  <c r="AB48" i="8"/>
  <c r="AC48" i="8"/>
  <c r="AD48" i="8"/>
  <c r="AE48" i="8"/>
  <c r="AF48" i="8"/>
  <c r="AG48" i="8"/>
  <c r="Z49" i="8"/>
  <c r="AA49" i="8"/>
  <c r="AB49" i="8"/>
  <c r="AC49" i="8"/>
  <c r="AD49" i="8"/>
  <c r="AE49" i="8"/>
  <c r="AF49" i="8"/>
  <c r="AG49" i="8"/>
  <c r="Z50" i="8"/>
  <c r="AA50" i="8"/>
  <c r="AB50" i="8"/>
  <c r="AC50" i="8"/>
  <c r="AD50" i="8"/>
  <c r="AE50" i="8"/>
  <c r="AF50" i="8"/>
  <c r="AG50" i="8"/>
  <c r="Z51" i="8"/>
  <c r="AA51" i="8"/>
  <c r="AB51" i="8"/>
  <c r="AC51" i="8"/>
  <c r="AD51" i="8"/>
  <c r="AE51" i="8"/>
  <c r="AF51" i="8"/>
  <c r="AG51" i="8"/>
  <c r="Z52" i="8"/>
  <c r="AA52" i="8"/>
  <c r="AB52" i="8"/>
  <c r="AC52" i="8"/>
  <c r="AD52" i="8"/>
  <c r="AE52" i="8"/>
  <c r="AF52" i="8"/>
  <c r="AG52" i="8"/>
  <c r="Z53" i="8"/>
  <c r="AA53" i="8"/>
  <c r="AB53" i="8"/>
  <c r="AC53" i="8"/>
  <c r="AD53" i="8"/>
  <c r="AE53" i="8"/>
  <c r="AF53" i="8"/>
  <c r="AG53" i="8"/>
  <c r="Z54" i="8"/>
  <c r="AA54" i="8"/>
  <c r="AB54" i="8"/>
  <c r="AC54" i="8"/>
  <c r="AD54" i="8"/>
  <c r="AE54" i="8"/>
  <c r="AF54" i="8"/>
  <c r="AG54" i="8"/>
  <c r="Z55" i="8"/>
  <c r="AA55" i="8"/>
  <c r="AB55" i="8"/>
  <c r="AC55" i="8"/>
  <c r="AD55" i="8"/>
  <c r="AE55" i="8"/>
  <c r="AF55" i="8"/>
  <c r="AG55" i="8"/>
  <c r="Z56" i="8"/>
  <c r="AA56" i="8"/>
  <c r="AB56" i="8"/>
  <c r="AC56" i="8"/>
  <c r="AD56" i="8"/>
  <c r="AE56" i="8"/>
  <c r="AF56" i="8"/>
  <c r="AG56" i="8"/>
  <c r="Z57" i="8"/>
  <c r="AA57" i="8"/>
  <c r="AB57" i="8"/>
  <c r="AC57" i="8"/>
  <c r="AD57" i="8"/>
  <c r="AE57" i="8"/>
  <c r="AF57" i="8"/>
  <c r="AG57" i="8"/>
  <c r="Z58" i="8"/>
  <c r="AA58" i="8"/>
  <c r="AB58" i="8"/>
  <c r="AC58" i="8"/>
  <c r="AD58" i="8"/>
  <c r="AE58" i="8"/>
  <c r="AF58" i="8"/>
  <c r="AG58" i="8"/>
  <c r="Z59" i="8"/>
  <c r="AA59" i="8"/>
  <c r="AB59" i="8"/>
  <c r="AC59" i="8"/>
  <c r="AD59" i="8"/>
  <c r="AE59" i="8"/>
  <c r="AF59" i="8"/>
  <c r="AG59" i="8"/>
  <c r="Z60" i="8"/>
  <c r="AA60" i="8"/>
  <c r="AB60" i="8"/>
  <c r="AC60" i="8"/>
  <c r="AD60" i="8"/>
  <c r="AE60" i="8"/>
  <c r="AF60" i="8"/>
  <c r="AG60" i="8"/>
  <c r="Z61" i="8"/>
  <c r="AA61" i="8"/>
  <c r="AB61" i="8"/>
  <c r="AC61" i="8"/>
  <c r="AD61" i="8"/>
  <c r="AE61" i="8"/>
  <c r="AF61" i="8"/>
  <c r="AG61" i="8"/>
  <c r="Z62" i="8"/>
  <c r="AA62" i="8"/>
  <c r="AB62" i="8"/>
  <c r="AC62" i="8"/>
  <c r="AD62" i="8"/>
  <c r="AE62" i="8"/>
  <c r="AF62" i="8"/>
  <c r="AG62" i="8"/>
  <c r="Z63" i="8"/>
  <c r="AA63" i="8"/>
  <c r="AB63" i="8"/>
  <c r="AC63" i="8"/>
  <c r="AD63" i="8"/>
  <c r="AE63" i="8"/>
  <c r="AF63" i="8"/>
  <c r="AG63" i="8"/>
  <c r="Z64" i="8"/>
  <c r="AA64" i="8"/>
  <c r="AB64" i="8"/>
  <c r="AC64" i="8"/>
  <c r="AD64" i="8"/>
  <c r="AE64" i="8"/>
  <c r="AF64" i="8"/>
  <c r="AG64" i="8"/>
  <c r="AG2" i="8"/>
  <c r="AF2" i="8"/>
  <c r="AE2" i="8"/>
  <c r="AD2" i="8"/>
  <c r="AC2" i="8"/>
  <c r="AB2" i="8"/>
  <c r="AA2" i="8"/>
  <c r="Z2" i="8"/>
  <c r="AI3" i="7"/>
  <c r="AJ3" i="7"/>
  <c r="AK3" i="7"/>
  <c r="AL3" i="7"/>
  <c r="AM3" i="7"/>
  <c r="AI4" i="7"/>
  <c r="AJ4" i="7"/>
  <c r="AK4" i="7"/>
  <c r="AL4" i="7"/>
  <c r="AM4" i="7"/>
  <c r="AI5" i="7"/>
  <c r="AJ5" i="7"/>
  <c r="AK5" i="7"/>
  <c r="AL5" i="7"/>
  <c r="AM5" i="7"/>
  <c r="AI6" i="7"/>
  <c r="AJ6" i="7"/>
  <c r="AK6" i="7"/>
  <c r="AL6" i="7"/>
  <c r="AM6" i="7"/>
  <c r="AI7" i="7"/>
  <c r="AJ7" i="7"/>
  <c r="AK7" i="7"/>
  <c r="AL7" i="7"/>
  <c r="AM7" i="7"/>
  <c r="AI8" i="7"/>
  <c r="AJ8" i="7"/>
  <c r="AK8" i="7"/>
  <c r="AL8" i="7"/>
  <c r="AM8" i="7"/>
  <c r="AI9" i="7"/>
  <c r="AJ9" i="7"/>
  <c r="AK9" i="7"/>
  <c r="AL9" i="7"/>
  <c r="AM9" i="7"/>
  <c r="AI10" i="7"/>
  <c r="AJ10" i="7"/>
  <c r="AK10" i="7"/>
  <c r="AL10" i="7"/>
  <c r="AM10" i="7"/>
  <c r="AI11" i="7"/>
  <c r="AJ11" i="7"/>
  <c r="AK11" i="7"/>
  <c r="AL11" i="7"/>
  <c r="AM11" i="7"/>
  <c r="AI12" i="7"/>
  <c r="AJ12" i="7"/>
  <c r="AK12" i="7"/>
  <c r="AL12" i="7"/>
  <c r="AM12" i="7"/>
  <c r="AI13" i="7"/>
  <c r="AJ13" i="7"/>
  <c r="AK13" i="7"/>
  <c r="AL13" i="7"/>
  <c r="AM13" i="7"/>
  <c r="AI14" i="7"/>
  <c r="AJ14" i="7"/>
  <c r="AK14" i="7"/>
  <c r="AL14" i="7"/>
  <c r="AM14" i="7"/>
  <c r="AI15" i="7"/>
  <c r="AJ15" i="7"/>
  <c r="AK15" i="7"/>
  <c r="AL15" i="7"/>
  <c r="AM15" i="7"/>
  <c r="AI16" i="7"/>
  <c r="AJ16" i="7"/>
  <c r="AK16" i="7"/>
  <c r="AL16" i="7"/>
  <c r="AM16" i="7"/>
  <c r="AI17" i="7"/>
  <c r="AJ17" i="7"/>
  <c r="AK17" i="7"/>
  <c r="AL17" i="7"/>
  <c r="AM17" i="7"/>
  <c r="AI18" i="7"/>
  <c r="AJ18" i="7"/>
  <c r="AK18" i="7"/>
  <c r="AL18" i="7"/>
  <c r="AM18" i="7"/>
  <c r="AI19" i="7"/>
  <c r="AJ19" i="7"/>
  <c r="AK19" i="7"/>
  <c r="AL19" i="7"/>
  <c r="AM19" i="7"/>
  <c r="AI20" i="7"/>
  <c r="AJ20" i="7"/>
  <c r="AK20" i="7"/>
  <c r="AL20" i="7"/>
  <c r="AM20" i="7"/>
  <c r="AI21" i="7"/>
  <c r="AJ21" i="7"/>
  <c r="AK21" i="7"/>
  <c r="AL21" i="7"/>
  <c r="AM21" i="7"/>
  <c r="AI22" i="7"/>
  <c r="AJ22" i="7"/>
  <c r="AK22" i="7"/>
  <c r="AL22" i="7"/>
  <c r="AM22" i="7"/>
  <c r="AI23" i="7"/>
  <c r="AJ23" i="7"/>
  <c r="AK23" i="7"/>
  <c r="AL23" i="7"/>
  <c r="AM23" i="7"/>
  <c r="AI24" i="7"/>
  <c r="AJ24" i="7"/>
  <c r="AK24" i="7"/>
  <c r="AL24" i="7"/>
  <c r="AM24" i="7"/>
  <c r="AI25" i="7"/>
  <c r="AJ25" i="7"/>
  <c r="AK25" i="7"/>
  <c r="AL25" i="7"/>
  <c r="AM25" i="7"/>
  <c r="AI26" i="7"/>
  <c r="AJ26" i="7"/>
  <c r="AK26" i="7"/>
  <c r="AL26" i="7"/>
  <c r="AM26" i="7"/>
  <c r="AI27" i="7"/>
  <c r="AJ27" i="7"/>
  <c r="AK27" i="7"/>
  <c r="AL27" i="7"/>
  <c r="AM27" i="7"/>
  <c r="AI28" i="7"/>
  <c r="AJ28" i="7"/>
  <c r="AK28" i="7"/>
  <c r="AL28" i="7"/>
  <c r="AM28" i="7"/>
  <c r="AI29" i="7"/>
  <c r="AJ29" i="7"/>
  <c r="AK29" i="7"/>
  <c r="AL29" i="7"/>
  <c r="AM29" i="7"/>
  <c r="AI30" i="7"/>
  <c r="AJ30" i="7"/>
  <c r="AK30" i="7"/>
  <c r="AL30" i="7"/>
  <c r="AM30" i="7"/>
  <c r="AI31" i="7"/>
  <c r="AJ31" i="7"/>
  <c r="AK31" i="7"/>
  <c r="AL31" i="7"/>
  <c r="AM31" i="7"/>
  <c r="AI32" i="7"/>
  <c r="AJ32" i="7"/>
  <c r="AK32" i="7"/>
  <c r="AL32" i="7"/>
  <c r="AM32" i="7"/>
  <c r="AI33" i="7"/>
  <c r="AJ33" i="7"/>
  <c r="AK33" i="7"/>
  <c r="AL33" i="7"/>
  <c r="AM33" i="7"/>
  <c r="AI34" i="7"/>
  <c r="AJ34" i="7"/>
  <c r="AK34" i="7"/>
  <c r="AL34" i="7"/>
  <c r="AM34" i="7"/>
  <c r="AI35" i="7"/>
  <c r="AJ35" i="7"/>
  <c r="AK35" i="7"/>
  <c r="AL35" i="7"/>
  <c r="AM35" i="7"/>
  <c r="AI36" i="7"/>
  <c r="AJ36" i="7"/>
  <c r="AK36" i="7"/>
  <c r="AL36" i="7"/>
  <c r="AM36" i="7"/>
  <c r="AI37" i="7"/>
  <c r="AJ37" i="7"/>
  <c r="AK37" i="7"/>
  <c r="AL37" i="7"/>
  <c r="AM37" i="7"/>
  <c r="AI38" i="7"/>
  <c r="AJ38" i="7"/>
  <c r="AK38" i="7"/>
  <c r="AL38" i="7"/>
  <c r="AM38" i="7"/>
  <c r="AI39" i="7"/>
  <c r="AJ39" i="7"/>
  <c r="AK39" i="7"/>
  <c r="AL39" i="7"/>
  <c r="AM39" i="7"/>
  <c r="AI40" i="7"/>
  <c r="AJ40" i="7"/>
  <c r="AK40" i="7"/>
  <c r="AL40" i="7"/>
  <c r="AM40" i="7"/>
  <c r="AI41" i="7"/>
  <c r="AJ41" i="7"/>
  <c r="AK41" i="7"/>
  <c r="AL41" i="7"/>
  <c r="AM41" i="7"/>
  <c r="AI42" i="7"/>
  <c r="AJ42" i="7"/>
  <c r="AK42" i="7"/>
  <c r="AL42" i="7"/>
  <c r="AM42" i="7"/>
  <c r="AI43" i="7"/>
  <c r="AJ43" i="7"/>
  <c r="AK43" i="7"/>
  <c r="AL43" i="7"/>
  <c r="AM43" i="7"/>
  <c r="AI44" i="7"/>
  <c r="AJ44" i="7"/>
  <c r="AK44" i="7"/>
  <c r="AL44" i="7"/>
  <c r="AM44" i="7"/>
  <c r="AI45" i="7"/>
  <c r="AJ45" i="7"/>
  <c r="AK45" i="7"/>
  <c r="AL45" i="7"/>
  <c r="AM45" i="7"/>
  <c r="AI46" i="7"/>
  <c r="AJ46" i="7"/>
  <c r="AK46" i="7"/>
  <c r="AL46" i="7"/>
  <c r="AM46" i="7"/>
  <c r="AI47" i="7"/>
  <c r="AJ47" i="7"/>
  <c r="AK47" i="7"/>
  <c r="AL47" i="7"/>
  <c r="AM47" i="7"/>
  <c r="AI48" i="7"/>
  <c r="AJ48" i="7"/>
  <c r="AK48" i="7"/>
  <c r="AL48" i="7"/>
  <c r="AM48" i="7"/>
  <c r="AI49" i="7"/>
  <c r="AJ49" i="7"/>
  <c r="AK49" i="7"/>
  <c r="AL49" i="7"/>
  <c r="AM49" i="7"/>
  <c r="AI50" i="7"/>
  <c r="AJ50" i="7"/>
  <c r="AK50" i="7"/>
  <c r="AL50" i="7"/>
  <c r="AM50" i="7"/>
  <c r="AI51" i="7"/>
  <c r="AJ51" i="7"/>
  <c r="AK51" i="7"/>
  <c r="AL51" i="7"/>
  <c r="AM51" i="7"/>
  <c r="AI52" i="7"/>
  <c r="AJ52" i="7"/>
  <c r="AK52" i="7"/>
  <c r="AL52" i="7"/>
  <c r="AM52" i="7"/>
  <c r="AI53" i="7"/>
  <c r="AJ53" i="7"/>
  <c r="AK53" i="7"/>
  <c r="AL53" i="7"/>
  <c r="AM53" i="7"/>
  <c r="AI54" i="7"/>
  <c r="AJ54" i="7"/>
  <c r="AK54" i="7"/>
  <c r="AL54" i="7"/>
  <c r="AM54" i="7"/>
  <c r="AI55" i="7"/>
  <c r="AJ55" i="7"/>
  <c r="AK55" i="7"/>
  <c r="AL55" i="7"/>
  <c r="AM55" i="7"/>
  <c r="AI56" i="7"/>
  <c r="AJ56" i="7"/>
  <c r="AK56" i="7"/>
  <c r="AL56" i="7"/>
  <c r="AM56" i="7"/>
  <c r="AI57" i="7"/>
  <c r="AJ57" i="7"/>
  <c r="AK57" i="7"/>
  <c r="AL57" i="7"/>
  <c r="AM57" i="7"/>
  <c r="AI58" i="7"/>
  <c r="AJ58" i="7"/>
  <c r="AK58" i="7"/>
  <c r="AL58" i="7"/>
  <c r="AM58" i="7"/>
  <c r="AI59" i="7"/>
  <c r="AJ59" i="7"/>
  <c r="AK59" i="7"/>
  <c r="AL59" i="7"/>
  <c r="AM59" i="7"/>
  <c r="AI60" i="7"/>
  <c r="AJ60" i="7"/>
  <c r="AK60" i="7"/>
  <c r="AL60" i="7"/>
  <c r="AM60" i="7"/>
  <c r="AI61" i="7"/>
  <c r="AJ61" i="7"/>
  <c r="AK61" i="7"/>
  <c r="AL61" i="7"/>
  <c r="AM61" i="7"/>
  <c r="AI62" i="7"/>
  <c r="AJ62" i="7"/>
  <c r="AK62" i="7"/>
  <c r="AL62" i="7"/>
  <c r="AM62" i="7"/>
  <c r="AI63" i="7"/>
  <c r="AJ63" i="7"/>
  <c r="AK63" i="7"/>
  <c r="AL63" i="7"/>
  <c r="AM63" i="7"/>
  <c r="AI64" i="7"/>
  <c r="AJ64" i="7"/>
  <c r="AK64" i="7"/>
  <c r="AL64" i="7"/>
  <c r="AM64" i="7"/>
  <c r="AJ2" i="7"/>
  <c r="AK2" i="7"/>
  <c r="AL2" i="7"/>
  <c r="AM2" i="7"/>
  <c r="AI2" i="7"/>
  <c r="T3" i="6"/>
  <c r="U3" i="6"/>
  <c r="T4" i="6"/>
  <c r="U4" i="6"/>
  <c r="T5" i="6"/>
  <c r="U5" i="6"/>
  <c r="T6" i="6"/>
  <c r="U6" i="6"/>
  <c r="T7" i="6"/>
  <c r="U7" i="6"/>
  <c r="T8" i="6"/>
  <c r="U8" i="6"/>
  <c r="T9" i="6"/>
  <c r="U9" i="6"/>
  <c r="T10" i="6"/>
  <c r="U10" i="6"/>
  <c r="T11" i="6"/>
  <c r="U11" i="6"/>
  <c r="T12" i="6"/>
  <c r="U12" i="6"/>
  <c r="T13" i="6"/>
  <c r="U13" i="6"/>
  <c r="T14" i="6"/>
  <c r="U14" i="6"/>
  <c r="T15" i="6"/>
  <c r="U15" i="6"/>
  <c r="T16" i="6"/>
  <c r="U16" i="6"/>
  <c r="T17" i="6"/>
  <c r="U17" i="6"/>
  <c r="T18" i="6"/>
  <c r="U18" i="6"/>
  <c r="T19" i="6"/>
  <c r="U19" i="6"/>
  <c r="T20" i="6"/>
  <c r="U20" i="6"/>
  <c r="T21" i="6"/>
  <c r="U21" i="6"/>
  <c r="T22" i="6"/>
  <c r="U22" i="6"/>
  <c r="T23" i="6"/>
  <c r="U23" i="6"/>
  <c r="T24" i="6"/>
  <c r="U24" i="6"/>
  <c r="T25" i="6"/>
  <c r="U25" i="6"/>
  <c r="T26" i="6"/>
  <c r="U26" i="6"/>
  <c r="T27" i="6"/>
  <c r="U27" i="6"/>
  <c r="T28" i="6"/>
  <c r="U28" i="6"/>
  <c r="T29" i="6"/>
  <c r="U29" i="6"/>
  <c r="T30" i="6"/>
  <c r="U30" i="6"/>
  <c r="T31" i="6"/>
  <c r="U31" i="6"/>
  <c r="T32" i="6"/>
  <c r="U32" i="6"/>
  <c r="T33" i="6"/>
  <c r="U33" i="6"/>
  <c r="T34" i="6"/>
  <c r="U34" i="6"/>
  <c r="T35" i="6"/>
  <c r="U35" i="6"/>
  <c r="T36" i="6"/>
  <c r="U36" i="6"/>
  <c r="T37" i="6"/>
  <c r="U37" i="6"/>
  <c r="T38" i="6"/>
  <c r="U38" i="6"/>
  <c r="T39" i="6"/>
  <c r="U39" i="6"/>
  <c r="T40" i="6"/>
  <c r="U40" i="6"/>
  <c r="T41" i="6"/>
  <c r="U41" i="6"/>
  <c r="T42" i="6"/>
  <c r="U42" i="6"/>
  <c r="T43" i="6"/>
  <c r="U43" i="6"/>
  <c r="T44" i="6"/>
  <c r="U44" i="6"/>
  <c r="T45" i="6"/>
  <c r="U45" i="6"/>
  <c r="T46" i="6"/>
  <c r="U46" i="6"/>
  <c r="T47" i="6"/>
  <c r="U47" i="6"/>
  <c r="T48" i="6"/>
  <c r="U48" i="6"/>
  <c r="T49" i="6"/>
  <c r="U49" i="6"/>
  <c r="T50" i="6"/>
  <c r="U50" i="6"/>
  <c r="T51" i="6"/>
  <c r="U51" i="6"/>
  <c r="T52" i="6"/>
  <c r="U52" i="6"/>
  <c r="T53" i="6"/>
  <c r="U53" i="6"/>
  <c r="T54" i="6"/>
  <c r="U54" i="6"/>
  <c r="T55" i="6"/>
  <c r="U55" i="6"/>
  <c r="T56" i="6"/>
  <c r="U56" i="6"/>
  <c r="T57" i="6"/>
  <c r="U57" i="6"/>
  <c r="T58" i="6"/>
  <c r="U58" i="6"/>
  <c r="T59" i="6"/>
  <c r="U59" i="6"/>
  <c r="T60" i="6"/>
  <c r="U60" i="6"/>
  <c r="T61" i="6"/>
  <c r="U61" i="6"/>
  <c r="T62" i="6"/>
  <c r="U62" i="6"/>
  <c r="T63" i="6"/>
  <c r="U63" i="6"/>
  <c r="T64" i="6"/>
  <c r="U64" i="6"/>
  <c r="U2" i="6"/>
  <c r="T2" i="6"/>
  <c r="V3" i="5"/>
  <c r="W3" i="5"/>
  <c r="V4" i="5"/>
  <c r="W4" i="5"/>
  <c r="V5" i="5"/>
  <c r="W5" i="5"/>
  <c r="V6" i="5"/>
  <c r="W6" i="5"/>
  <c r="V7" i="5"/>
  <c r="W7" i="5"/>
  <c r="V8" i="5"/>
  <c r="W8" i="5"/>
  <c r="V9" i="5"/>
  <c r="W9" i="5"/>
  <c r="V10" i="5"/>
  <c r="W10" i="5"/>
  <c r="V11" i="5"/>
  <c r="W11" i="5"/>
  <c r="V12" i="5"/>
  <c r="W12" i="5"/>
  <c r="V13" i="5"/>
  <c r="W13" i="5"/>
  <c r="V14" i="5"/>
  <c r="W14" i="5"/>
  <c r="V15" i="5"/>
  <c r="W15" i="5"/>
  <c r="V16" i="5"/>
  <c r="W16" i="5"/>
  <c r="V17" i="5"/>
  <c r="W17" i="5"/>
  <c r="V18" i="5"/>
  <c r="W18" i="5"/>
  <c r="V19" i="5"/>
  <c r="W19" i="5"/>
  <c r="V20" i="5"/>
  <c r="W20" i="5"/>
  <c r="V21" i="5"/>
  <c r="W21" i="5"/>
  <c r="V22" i="5"/>
  <c r="W22" i="5"/>
  <c r="V23" i="5"/>
  <c r="W23" i="5"/>
  <c r="V24" i="5"/>
  <c r="W24" i="5"/>
  <c r="V25" i="5"/>
  <c r="W25" i="5"/>
  <c r="V26" i="5"/>
  <c r="W26" i="5"/>
  <c r="V27" i="5"/>
  <c r="W27" i="5"/>
  <c r="V28" i="5"/>
  <c r="W28" i="5"/>
  <c r="V29" i="5"/>
  <c r="W29" i="5"/>
  <c r="V30" i="5"/>
  <c r="W30" i="5"/>
  <c r="V31" i="5"/>
  <c r="W31" i="5"/>
  <c r="V32" i="5"/>
  <c r="W32" i="5"/>
  <c r="V33" i="5"/>
  <c r="W33" i="5"/>
  <c r="V34" i="5"/>
  <c r="W34" i="5"/>
  <c r="V35" i="5"/>
  <c r="W35" i="5"/>
  <c r="V36" i="5"/>
  <c r="W36" i="5"/>
  <c r="V37" i="5"/>
  <c r="W37" i="5"/>
  <c r="V38" i="5"/>
  <c r="W38" i="5"/>
  <c r="V39" i="5"/>
  <c r="W39" i="5"/>
  <c r="V40" i="5"/>
  <c r="W40" i="5"/>
  <c r="V41" i="5"/>
  <c r="W41" i="5"/>
  <c r="V42" i="5"/>
  <c r="W42" i="5"/>
  <c r="V43" i="5"/>
  <c r="W43" i="5"/>
  <c r="V44" i="5"/>
  <c r="W44" i="5"/>
  <c r="V45" i="5"/>
  <c r="W45" i="5"/>
  <c r="V46" i="5"/>
  <c r="W46" i="5"/>
  <c r="V47" i="5"/>
  <c r="W47" i="5"/>
  <c r="V48" i="5"/>
  <c r="W48" i="5"/>
  <c r="V49" i="5"/>
  <c r="W49" i="5"/>
  <c r="V50" i="5"/>
  <c r="W50" i="5"/>
  <c r="V51" i="5"/>
  <c r="W51" i="5"/>
  <c r="V52" i="5"/>
  <c r="W52" i="5"/>
  <c r="V53" i="5"/>
  <c r="W53" i="5"/>
  <c r="V54" i="5"/>
  <c r="W54" i="5"/>
  <c r="V55" i="5"/>
  <c r="W55" i="5"/>
  <c r="V56" i="5"/>
  <c r="W56" i="5"/>
  <c r="V57" i="5"/>
  <c r="W57" i="5"/>
  <c r="V58" i="5"/>
  <c r="W58" i="5"/>
  <c r="V59" i="5"/>
  <c r="W59" i="5"/>
  <c r="V60" i="5"/>
  <c r="W60" i="5"/>
  <c r="V61" i="5"/>
  <c r="W61" i="5"/>
  <c r="V62" i="5"/>
  <c r="W62" i="5"/>
  <c r="V63" i="5"/>
  <c r="W63" i="5"/>
  <c r="V64" i="5"/>
  <c r="W64" i="5"/>
  <c r="V65" i="5"/>
  <c r="W65" i="5"/>
  <c r="W2" i="5"/>
  <c r="V2" i="5"/>
  <c r="V3" i="34"/>
  <c r="W3" i="34"/>
  <c r="X3" i="34"/>
  <c r="Y3" i="34"/>
  <c r="Z3" i="34"/>
  <c r="V4" i="34"/>
  <c r="W4" i="34"/>
  <c r="X4" i="34"/>
  <c r="Y4" i="34"/>
  <c r="Z4" i="34"/>
  <c r="V5" i="34"/>
  <c r="W5" i="34"/>
  <c r="X5" i="34"/>
  <c r="Y5" i="34"/>
  <c r="Z5" i="34"/>
  <c r="V6" i="34"/>
  <c r="W6" i="34"/>
  <c r="X6" i="34"/>
  <c r="Y6" i="34"/>
  <c r="Z6" i="34"/>
  <c r="V7" i="34"/>
  <c r="W7" i="34"/>
  <c r="X7" i="34"/>
  <c r="Y7" i="34"/>
  <c r="Z7" i="34"/>
  <c r="V8" i="34"/>
  <c r="W8" i="34"/>
  <c r="X8" i="34"/>
  <c r="Y8" i="34"/>
  <c r="Z8" i="34"/>
  <c r="V9" i="34"/>
  <c r="W9" i="34"/>
  <c r="X9" i="34"/>
  <c r="Y9" i="34"/>
  <c r="Z9" i="34"/>
  <c r="V10" i="34"/>
  <c r="W10" i="34"/>
  <c r="X10" i="34"/>
  <c r="Y10" i="34"/>
  <c r="Z10" i="34"/>
  <c r="V11" i="34"/>
  <c r="W11" i="34"/>
  <c r="X11" i="34"/>
  <c r="Y11" i="34"/>
  <c r="Z11" i="34"/>
  <c r="V12" i="34"/>
  <c r="W12" i="34"/>
  <c r="X12" i="34"/>
  <c r="Y12" i="34"/>
  <c r="Z12" i="34"/>
  <c r="V13" i="34"/>
  <c r="W13" i="34"/>
  <c r="X13" i="34"/>
  <c r="Y13" i="34"/>
  <c r="Z13" i="34"/>
  <c r="V14" i="34"/>
  <c r="W14" i="34"/>
  <c r="X14" i="34"/>
  <c r="Y14" i="34"/>
  <c r="Z14" i="34"/>
  <c r="V15" i="34"/>
  <c r="W15" i="34"/>
  <c r="X15" i="34"/>
  <c r="Y15" i="34"/>
  <c r="Z15" i="34"/>
  <c r="V16" i="34"/>
  <c r="W16" i="34"/>
  <c r="X16" i="34"/>
  <c r="Y16" i="34"/>
  <c r="Z16" i="34"/>
  <c r="V17" i="34"/>
  <c r="W17" i="34"/>
  <c r="X17" i="34"/>
  <c r="Y17" i="34"/>
  <c r="Z17" i="34"/>
  <c r="V18" i="34"/>
  <c r="W18" i="34"/>
  <c r="X18" i="34"/>
  <c r="Y18" i="34"/>
  <c r="Z18" i="34"/>
  <c r="V19" i="34"/>
  <c r="W19" i="34"/>
  <c r="X19" i="34"/>
  <c r="Y19" i="34"/>
  <c r="Z19" i="34"/>
  <c r="V20" i="34"/>
  <c r="W20" i="34"/>
  <c r="X20" i="34"/>
  <c r="Y20" i="34"/>
  <c r="Z20" i="34"/>
  <c r="V21" i="34"/>
  <c r="W21" i="34"/>
  <c r="X21" i="34"/>
  <c r="Y21" i="34"/>
  <c r="Z21" i="34"/>
  <c r="V22" i="34"/>
  <c r="W22" i="34"/>
  <c r="X22" i="34"/>
  <c r="Y22" i="34"/>
  <c r="Z22" i="34"/>
  <c r="V23" i="34"/>
  <c r="W23" i="34"/>
  <c r="X23" i="34"/>
  <c r="Y23" i="34"/>
  <c r="Z23" i="34"/>
  <c r="V24" i="34"/>
  <c r="W24" i="34"/>
  <c r="X24" i="34"/>
  <c r="Y24" i="34"/>
  <c r="Z24" i="34"/>
  <c r="V25" i="34"/>
  <c r="W25" i="34"/>
  <c r="X25" i="34"/>
  <c r="Y25" i="34"/>
  <c r="Z25" i="34"/>
  <c r="V26" i="34"/>
  <c r="W26" i="34"/>
  <c r="X26" i="34"/>
  <c r="Y26" i="34"/>
  <c r="Z26" i="34"/>
  <c r="V27" i="34"/>
  <c r="W27" i="34"/>
  <c r="X27" i="34"/>
  <c r="Y27" i="34"/>
  <c r="Z27" i="34"/>
  <c r="V28" i="34"/>
  <c r="W28" i="34"/>
  <c r="X28" i="34"/>
  <c r="Y28" i="34"/>
  <c r="Z28" i="34"/>
  <c r="V29" i="34"/>
  <c r="W29" i="34"/>
  <c r="X29" i="34"/>
  <c r="Y29" i="34"/>
  <c r="Z29" i="34"/>
  <c r="V30" i="34"/>
  <c r="W30" i="34"/>
  <c r="X30" i="34"/>
  <c r="Y30" i="34"/>
  <c r="Z30" i="34"/>
  <c r="V31" i="34"/>
  <c r="W31" i="34"/>
  <c r="X31" i="34"/>
  <c r="Y31" i="34"/>
  <c r="Z31" i="34"/>
  <c r="V32" i="34"/>
  <c r="W32" i="34"/>
  <c r="X32" i="34"/>
  <c r="Y32" i="34"/>
  <c r="Z32" i="34"/>
  <c r="V33" i="34"/>
  <c r="W33" i="34"/>
  <c r="X33" i="34"/>
  <c r="Y33" i="34"/>
  <c r="Z33" i="34"/>
  <c r="V34" i="34"/>
  <c r="W34" i="34"/>
  <c r="X34" i="34"/>
  <c r="Y34" i="34"/>
  <c r="Z34" i="34"/>
  <c r="V35" i="34"/>
  <c r="W35" i="34"/>
  <c r="X35" i="34"/>
  <c r="Y35" i="34"/>
  <c r="Z35" i="34"/>
  <c r="V36" i="34"/>
  <c r="W36" i="34"/>
  <c r="X36" i="34"/>
  <c r="Y36" i="34"/>
  <c r="Z36" i="34"/>
  <c r="V37" i="34"/>
  <c r="W37" i="34"/>
  <c r="X37" i="34"/>
  <c r="Y37" i="34"/>
  <c r="Z37" i="34"/>
  <c r="V38" i="34"/>
  <c r="W38" i="34"/>
  <c r="X38" i="34"/>
  <c r="Y38" i="34"/>
  <c r="Z38" i="34"/>
  <c r="V39" i="34"/>
  <c r="W39" i="34"/>
  <c r="X39" i="34"/>
  <c r="Y39" i="34"/>
  <c r="Z39" i="34"/>
  <c r="V40" i="34"/>
  <c r="W40" i="34"/>
  <c r="X40" i="34"/>
  <c r="Y40" i="34"/>
  <c r="Z40" i="34"/>
  <c r="V41" i="34"/>
  <c r="W41" i="34"/>
  <c r="X41" i="34"/>
  <c r="Y41" i="34"/>
  <c r="Z41" i="34"/>
  <c r="V42" i="34"/>
  <c r="W42" i="34"/>
  <c r="X42" i="34"/>
  <c r="Y42" i="34"/>
  <c r="Z42" i="34"/>
  <c r="V43" i="34"/>
  <c r="W43" i="34"/>
  <c r="X43" i="34"/>
  <c r="Y43" i="34"/>
  <c r="Z43" i="34"/>
  <c r="V44" i="34"/>
  <c r="W44" i="34"/>
  <c r="X44" i="34"/>
  <c r="Y44" i="34"/>
  <c r="Z44" i="34"/>
  <c r="V45" i="34"/>
  <c r="W45" i="34"/>
  <c r="X45" i="34"/>
  <c r="Y45" i="34"/>
  <c r="Z45" i="34"/>
  <c r="V46" i="34"/>
  <c r="W46" i="34"/>
  <c r="X46" i="34"/>
  <c r="Y46" i="34"/>
  <c r="Z46" i="34"/>
  <c r="V47" i="34"/>
  <c r="W47" i="34"/>
  <c r="X47" i="34"/>
  <c r="Y47" i="34"/>
  <c r="Z47" i="34"/>
  <c r="V48" i="34"/>
  <c r="W48" i="34"/>
  <c r="X48" i="34"/>
  <c r="Y48" i="34"/>
  <c r="Z48" i="34"/>
  <c r="V49" i="34"/>
  <c r="W49" i="34"/>
  <c r="X49" i="34"/>
  <c r="Y49" i="34"/>
  <c r="Z49" i="34"/>
  <c r="V50" i="34"/>
  <c r="W50" i="34"/>
  <c r="X50" i="34"/>
  <c r="Y50" i="34"/>
  <c r="Z50" i="34"/>
  <c r="V51" i="34"/>
  <c r="W51" i="34"/>
  <c r="X51" i="34"/>
  <c r="Y51" i="34"/>
  <c r="Z51" i="34"/>
  <c r="V52" i="34"/>
  <c r="W52" i="34"/>
  <c r="X52" i="34"/>
  <c r="Y52" i="34"/>
  <c r="Z52" i="34"/>
  <c r="V53" i="34"/>
  <c r="W53" i="34"/>
  <c r="X53" i="34"/>
  <c r="Y53" i="34"/>
  <c r="Z53" i="34"/>
  <c r="V54" i="34"/>
  <c r="W54" i="34"/>
  <c r="X54" i="34"/>
  <c r="Y54" i="34"/>
  <c r="Z54" i="34"/>
  <c r="V55" i="34"/>
  <c r="W55" i="34"/>
  <c r="X55" i="34"/>
  <c r="Y55" i="34"/>
  <c r="Z55" i="34"/>
  <c r="V56" i="34"/>
  <c r="W56" i="34"/>
  <c r="X56" i="34"/>
  <c r="Y56" i="34"/>
  <c r="Z56" i="34"/>
  <c r="V57" i="34"/>
  <c r="W57" i="34"/>
  <c r="X57" i="34"/>
  <c r="Y57" i="34"/>
  <c r="Z57" i="34"/>
  <c r="V58" i="34"/>
  <c r="W58" i="34"/>
  <c r="X58" i="34"/>
  <c r="Y58" i="34"/>
  <c r="Z58" i="34"/>
  <c r="V59" i="34"/>
  <c r="W59" i="34"/>
  <c r="X59" i="34"/>
  <c r="Y59" i="34"/>
  <c r="Z59" i="34"/>
  <c r="V60" i="34"/>
  <c r="W60" i="34"/>
  <c r="X60" i="34"/>
  <c r="Y60" i="34"/>
  <c r="Z60" i="34"/>
  <c r="V61" i="34"/>
  <c r="W61" i="34"/>
  <c r="X61" i="34"/>
  <c r="Y61" i="34"/>
  <c r="Z61" i="34"/>
  <c r="V62" i="34"/>
  <c r="W62" i="34"/>
  <c r="X62" i="34"/>
  <c r="Y62" i="34"/>
  <c r="Z62" i="34"/>
  <c r="V63" i="34"/>
  <c r="W63" i="34"/>
  <c r="X63" i="34"/>
  <c r="Y63" i="34"/>
  <c r="Z63" i="34"/>
  <c r="V64" i="34"/>
  <c r="W64" i="34"/>
  <c r="X64" i="34"/>
  <c r="Y64" i="34"/>
  <c r="Z64" i="34"/>
  <c r="W2" i="34"/>
  <c r="X2" i="34"/>
  <c r="Y2" i="34"/>
  <c r="Z2" i="34"/>
  <c r="V2" i="34"/>
  <c r="N3" i="33"/>
  <c r="O3" i="33"/>
  <c r="N4" i="33"/>
  <c r="O4" i="33"/>
  <c r="N5" i="33"/>
  <c r="O5" i="33"/>
  <c r="N6" i="33"/>
  <c r="O6" i="33"/>
  <c r="N7" i="33"/>
  <c r="O7" i="33"/>
  <c r="N8" i="33"/>
  <c r="O8" i="33"/>
  <c r="N9" i="33"/>
  <c r="O9" i="33"/>
  <c r="N10" i="33"/>
  <c r="O10" i="33"/>
  <c r="N11" i="33"/>
  <c r="O11" i="33"/>
  <c r="N12" i="33"/>
  <c r="O12" i="33"/>
  <c r="N13" i="33"/>
  <c r="O13" i="33"/>
  <c r="N14" i="33"/>
  <c r="O14" i="33"/>
  <c r="N15" i="33"/>
  <c r="O15" i="33"/>
  <c r="N16" i="33"/>
  <c r="O16" i="33"/>
  <c r="N17" i="33"/>
  <c r="O17" i="33"/>
  <c r="N18" i="33"/>
  <c r="O18" i="33"/>
  <c r="N19" i="33"/>
  <c r="O19" i="33"/>
  <c r="N20" i="33"/>
  <c r="O20" i="33"/>
  <c r="N21" i="33"/>
  <c r="O21" i="33"/>
  <c r="N22" i="33"/>
  <c r="O22" i="33"/>
  <c r="N23" i="33"/>
  <c r="O23" i="33"/>
  <c r="N24" i="33"/>
  <c r="O24" i="33"/>
  <c r="N25" i="33"/>
  <c r="O25" i="33"/>
  <c r="N26" i="33"/>
  <c r="O26" i="33"/>
  <c r="N27" i="33"/>
  <c r="O27" i="33"/>
  <c r="N28" i="33"/>
  <c r="O28" i="33"/>
  <c r="N29" i="33"/>
  <c r="O29" i="33"/>
  <c r="N30" i="33"/>
  <c r="O30" i="33"/>
  <c r="N31" i="33"/>
  <c r="O31" i="33"/>
  <c r="N32" i="33"/>
  <c r="O32" i="33"/>
  <c r="N33" i="33"/>
  <c r="O33" i="33"/>
  <c r="N34" i="33"/>
  <c r="O34" i="33"/>
  <c r="N35" i="33"/>
  <c r="O35" i="33"/>
  <c r="N36" i="33"/>
  <c r="O36" i="33"/>
  <c r="N37" i="33"/>
  <c r="O37" i="33"/>
  <c r="N38" i="33"/>
  <c r="O38" i="33"/>
  <c r="N39" i="33"/>
  <c r="O39" i="33"/>
  <c r="N40" i="33"/>
  <c r="O40" i="33"/>
  <c r="N41" i="33"/>
  <c r="O41" i="33"/>
  <c r="N42" i="33"/>
  <c r="O42" i="33"/>
  <c r="N43" i="33"/>
  <c r="O43" i="33"/>
  <c r="N44" i="33"/>
  <c r="O44" i="33"/>
  <c r="N45" i="33"/>
  <c r="O45" i="33"/>
  <c r="N46" i="33"/>
  <c r="O46" i="33"/>
  <c r="N47" i="33"/>
  <c r="O47" i="33"/>
  <c r="N48" i="33"/>
  <c r="O48" i="33"/>
  <c r="N49" i="33"/>
  <c r="O49" i="33"/>
  <c r="N50" i="33"/>
  <c r="O50" i="33"/>
  <c r="N51" i="33"/>
  <c r="O51" i="33"/>
  <c r="N52" i="33"/>
  <c r="O52" i="33"/>
  <c r="N53" i="33"/>
  <c r="O53" i="33"/>
  <c r="N54" i="33"/>
  <c r="O54" i="33"/>
  <c r="N55" i="33"/>
  <c r="O55" i="33"/>
  <c r="N56" i="33"/>
  <c r="O56" i="33"/>
  <c r="N57" i="33"/>
  <c r="O57" i="33"/>
  <c r="N58" i="33"/>
  <c r="O58" i="33"/>
  <c r="N59" i="33"/>
  <c r="O59" i="33"/>
  <c r="N60" i="33"/>
  <c r="O60" i="33"/>
  <c r="N61" i="33"/>
  <c r="O61" i="33"/>
  <c r="N62" i="33"/>
  <c r="O62" i="33"/>
  <c r="N63" i="33"/>
  <c r="O63" i="33"/>
  <c r="N64" i="33"/>
  <c r="O64" i="33"/>
  <c r="O2" i="33"/>
  <c r="N2" i="33"/>
  <c r="AK3" i="30"/>
  <c r="AL3" i="30"/>
  <c r="AM3" i="30"/>
  <c r="AN3" i="30"/>
  <c r="AO3" i="30"/>
  <c r="AP3" i="30"/>
  <c r="AQ3" i="30"/>
  <c r="AR3" i="30"/>
  <c r="AS3" i="30"/>
  <c r="AT3" i="30"/>
  <c r="AK4" i="30"/>
  <c r="AL4" i="30"/>
  <c r="AM4" i="30"/>
  <c r="AN4" i="30"/>
  <c r="AO4" i="30"/>
  <c r="AP4" i="30"/>
  <c r="AQ4" i="30"/>
  <c r="AR4" i="30"/>
  <c r="AS4" i="30"/>
  <c r="AT4" i="30"/>
  <c r="AK5" i="30"/>
  <c r="AL5" i="30"/>
  <c r="AM5" i="30"/>
  <c r="AN5" i="30"/>
  <c r="AO5" i="30"/>
  <c r="AP5" i="30"/>
  <c r="AQ5" i="30"/>
  <c r="AR5" i="30"/>
  <c r="AS5" i="30"/>
  <c r="AT5" i="30"/>
  <c r="AK6" i="30"/>
  <c r="AL6" i="30"/>
  <c r="AM6" i="30"/>
  <c r="AN6" i="30"/>
  <c r="AO6" i="30"/>
  <c r="AP6" i="30"/>
  <c r="AQ6" i="30"/>
  <c r="AR6" i="30"/>
  <c r="AS6" i="30"/>
  <c r="AT6" i="30"/>
  <c r="AK7" i="30"/>
  <c r="AL7" i="30"/>
  <c r="AM7" i="30"/>
  <c r="AN7" i="30"/>
  <c r="AO7" i="30"/>
  <c r="AP7" i="30"/>
  <c r="AQ7" i="30"/>
  <c r="AR7" i="30"/>
  <c r="AS7" i="30"/>
  <c r="AT7" i="30"/>
  <c r="AK8" i="30"/>
  <c r="AL8" i="30"/>
  <c r="AM8" i="30"/>
  <c r="AN8" i="30"/>
  <c r="AO8" i="30"/>
  <c r="AP8" i="30"/>
  <c r="AQ8" i="30"/>
  <c r="AR8" i="30"/>
  <c r="AS8" i="30"/>
  <c r="AT8" i="30"/>
  <c r="AK9" i="30"/>
  <c r="AL9" i="30"/>
  <c r="AM9" i="30"/>
  <c r="AN9" i="30"/>
  <c r="AO9" i="30"/>
  <c r="AP9" i="30"/>
  <c r="AQ9" i="30"/>
  <c r="AR9" i="30"/>
  <c r="AS9" i="30"/>
  <c r="AT9" i="30"/>
  <c r="AK10" i="30"/>
  <c r="AL10" i="30"/>
  <c r="AM10" i="30"/>
  <c r="AN10" i="30"/>
  <c r="AO10" i="30"/>
  <c r="AP10" i="30"/>
  <c r="AQ10" i="30"/>
  <c r="AR10" i="30"/>
  <c r="AS10" i="30"/>
  <c r="AT10" i="30"/>
  <c r="AK11" i="30"/>
  <c r="AL11" i="30"/>
  <c r="AM11" i="30"/>
  <c r="AN11" i="30"/>
  <c r="AO11" i="30"/>
  <c r="AP11" i="30"/>
  <c r="AQ11" i="30"/>
  <c r="AR11" i="30"/>
  <c r="AS11" i="30"/>
  <c r="AT11" i="30"/>
  <c r="AK12" i="30"/>
  <c r="AL12" i="30"/>
  <c r="AM12" i="30"/>
  <c r="AN12" i="30"/>
  <c r="AO12" i="30"/>
  <c r="AP12" i="30"/>
  <c r="AQ12" i="30"/>
  <c r="AR12" i="30"/>
  <c r="AS12" i="30"/>
  <c r="AT12" i="30"/>
  <c r="AK13" i="30"/>
  <c r="AL13" i="30"/>
  <c r="AM13" i="30"/>
  <c r="AN13" i="30"/>
  <c r="AO13" i="30"/>
  <c r="AP13" i="30"/>
  <c r="AQ13" i="30"/>
  <c r="AR13" i="30"/>
  <c r="AS13" i="30"/>
  <c r="AT13" i="30"/>
  <c r="AK14" i="30"/>
  <c r="AL14" i="30"/>
  <c r="AM14" i="30"/>
  <c r="AN14" i="30"/>
  <c r="AO14" i="30"/>
  <c r="AP14" i="30"/>
  <c r="AQ14" i="30"/>
  <c r="AR14" i="30"/>
  <c r="AS14" i="30"/>
  <c r="AT14" i="30"/>
  <c r="AK15" i="30"/>
  <c r="AL15" i="30"/>
  <c r="AM15" i="30"/>
  <c r="AN15" i="30"/>
  <c r="AO15" i="30"/>
  <c r="AP15" i="30"/>
  <c r="AQ15" i="30"/>
  <c r="AR15" i="30"/>
  <c r="AS15" i="30"/>
  <c r="AT15" i="30"/>
  <c r="AK16" i="30"/>
  <c r="AL16" i="30"/>
  <c r="AM16" i="30"/>
  <c r="AN16" i="30"/>
  <c r="AO16" i="30"/>
  <c r="AP16" i="30"/>
  <c r="AQ16" i="30"/>
  <c r="AR16" i="30"/>
  <c r="AS16" i="30"/>
  <c r="AT16" i="30"/>
  <c r="AK17" i="30"/>
  <c r="AL17" i="30"/>
  <c r="AM17" i="30"/>
  <c r="AN17" i="30"/>
  <c r="AO17" i="30"/>
  <c r="AP17" i="30"/>
  <c r="AQ17" i="30"/>
  <c r="AR17" i="30"/>
  <c r="AS17" i="30"/>
  <c r="AT17" i="30"/>
  <c r="AK18" i="30"/>
  <c r="AL18" i="30"/>
  <c r="AM18" i="30"/>
  <c r="AN18" i="30"/>
  <c r="AO18" i="30"/>
  <c r="AP18" i="30"/>
  <c r="AQ18" i="30"/>
  <c r="AR18" i="30"/>
  <c r="AS18" i="30"/>
  <c r="AT18" i="30"/>
  <c r="AK19" i="30"/>
  <c r="AL19" i="30"/>
  <c r="AM19" i="30"/>
  <c r="AN19" i="30"/>
  <c r="AO19" i="30"/>
  <c r="AP19" i="30"/>
  <c r="AQ19" i="30"/>
  <c r="AR19" i="30"/>
  <c r="AS19" i="30"/>
  <c r="AT19" i="30"/>
  <c r="AK20" i="30"/>
  <c r="AL20" i="30"/>
  <c r="AM20" i="30"/>
  <c r="AN20" i="30"/>
  <c r="AO20" i="30"/>
  <c r="AP20" i="30"/>
  <c r="AQ20" i="30"/>
  <c r="AR20" i="30"/>
  <c r="AS20" i="30"/>
  <c r="AT20" i="30"/>
  <c r="AK21" i="30"/>
  <c r="AL21" i="30"/>
  <c r="AM21" i="30"/>
  <c r="AN21" i="30"/>
  <c r="AO21" i="30"/>
  <c r="AP21" i="30"/>
  <c r="AQ21" i="30"/>
  <c r="AR21" i="30"/>
  <c r="AS21" i="30"/>
  <c r="AT21" i="30"/>
  <c r="AK22" i="30"/>
  <c r="AL22" i="30"/>
  <c r="AM22" i="30"/>
  <c r="AN22" i="30"/>
  <c r="AO22" i="30"/>
  <c r="AP22" i="30"/>
  <c r="AQ22" i="30"/>
  <c r="AR22" i="30"/>
  <c r="AS22" i="30"/>
  <c r="AT22" i="30"/>
  <c r="AK23" i="30"/>
  <c r="AL23" i="30"/>
  <c r="AM23" i="30"/>
  <c r="AN23" i="30"/>
  <c r="AO23" i="30"/>
  <c r="AP23" i="30"/>
  <c r="AQ23" i="30"/>
  <c r="AR23" i="30"/>
  <c r="AS23" i="30"/>
  <c r="AT23" i="30"/>
  <c r="AK24" i="30"/>
  <c r="AL24" i="30"/>
  <c r="AM24" i="30"/>
  <c r="AN24" i="30"/>
  <c r="AO24" i="30"/>
  <c r="AP24" i="30"/>
  <c r="AQ24" i="30"/>
  <c r="AR24" i="30"/>
  <c r="AS24" i="30"/>
  <c r="AT24" i="30"/>
  <c r="AK25" i="30"/>
  <c r="AL25" i="30"/>
  <c r="AM25" i="30"/>
  <c r="AN25" i="30"/>
  <c r="AO25" i="30"/>
  <c r="AP25" i="30"/>
  <c r="AQ25" i="30"/>
  <c r="AR25" i="30"/>
  <c r="AS25" i="30"/>
  <c r="AT25" i="30"/>
  <c r="AK26" i="30"/>
  <c r="AL26" i="30"/>
  <c r="AM26" i="30"/>
  <c r="AN26" i="30"/>
  <c r="AO26" i="30"/>
  <c r="AP26" i="30"/>
  <c r="AQ26" i="30"/>
  <c r="AR26" i="30"/>
  <c r="AS26" i="30"/>
  <c r="AT26" i="30"/>
  <c r="AK27" i="30"/>
  <c r="AL27" i="30"/>
  <c r="AM27" i="30"/>
  <c r="AN27" i="30"/>
  <c r="AO27" i="30"/>
  <c r="AP27" i="30"/>
  <c r="AQ27" i="30"/>
  <c r="AR27" i="30"/>
  <c r="AS27" i="30"/>
  <c r="AT27" i="30"/>
  <c r="AK28" i="30"/>
  <c r="AL28" i="30"/>
  <c r="AM28" i="30"/>
  <c r="AN28" i="30"/>
  <c r="AO28" i="30"/>
  <c r="AP28" i="30"/>
  <c r="AQ28" i="30"/>
  <c r="AR28" i="30"/>
  <c r="AS28" i="30"/>
  <c r="AT28" i="30"/>
  <c r="AK29" i="30"/>
  <c r="AL29" i="30"/>
  <c r="AM29" i="30"/>
  <c r="AN29" i="30"/>
  <c r="AO29" i="30"/>
  <c r="AP29" i="30"/>
  <c r="AQ29" i="30"/>
  <c r="AR29" i="30"/>
  <c r="AS29" i="30"/>
  <c r="AT29" i="30"/>
  <c r="AK30" i="30"/>
  <c r="AL30" i="30"/>
  <c r="AM30" i="30"/>
  <c r="AN30" i="30"/>
  <c r="AO30" i="30"/>
  <c r="AP30" i="30"/>
  <c r="AQ30" i="30"/>
  <c r="AR30" i="30"/>
  <c r="AS30" i="30"/>
  <c r="AT30" i="30"/>
  <c r="AK31" i="30"/>
  <c r="AL31" i="30"/>
  <c r="AM31" i="30"/>
  <c r="AN31" i="30"/>
  <c r="AO31" i="30"/>
  <c r="AP31" i="30"/>
  <c r="AQ31" i="30"/>
  <c r="AR31" i="30"/>
  <c r="AS31" i="30"/>
  <c r="AT31" i="30"/>
  <c r="AK32" i="30"/>
  <c r="AL32" i="30"/>
  <c r="AM32" i="30"/>
  <c r="AN32" i="30"/>
  <c r="AO32" i="30"/>
  <c r="AP32" i="30"/>
  <c r="AQ32" i="30"/>
  <c r="AR32" i="30"/>
  <c r="AS32" i="30"/>
  <c r="AT32" i="30"/>
  <c r="AK33" i="30"/>
  <c r="AL33" i="30"/>
  <c r="AM33" i="30"/>
  <c r="AN33" i="30"/>
  <c r="AO33" i="30"/>
  <c r="AP33" i="30"/>
  <c r="AQ33" i="30"/>
  <c r="AR33" i="30"/>
  <c r="AS33" i="30"/>
  <c r="AT33" i="30"/>
  <c r="AK34" i="30"/>
  <c r="AL34" i="30"/>
  <c r="AM34" i="30"/>
  <c r="AN34" i="30"/>
  <c r="AO34" i="30"/>
  <c r="AP34" i="30"/>
  <c r="AQ34" i="30"/>
  <c r="AR34" i="30"/>
  <c r="AS34" i="30"/>
  <c r="AT34" i="30"/>
  <c r="AK35" i="30"/>
  <c r="AL35" i="30"/>
  <c r="AM35" i="30"/>
  <c r="AN35" i="30"/>
  <c r="AO35" i="30"/>
  <c r="AP35" i="30"/>
  <c r="AQ35" i="30"/>
  <c r="AR35" i="30"/>
  <c r="AS35" i="30"/>
  <c r="AT35" i="30"/>
  <c r="AK36" i="30"/>
  <c r="AL36" i="30"/>
  <c r="AM36" i="30"/>
  <c r="AN36" i="30"/>
  <c r="AO36" i="30"/>
  <c r="AP36" i="30"/>
  <c r="AQ36" i="30"/>
  <c r="AR36" i="30"/>
  <c r="AS36" i="30"/>
  <c r="AT36" i="30"/>
  <c r="AK37" i="30"/>
  <c r="AL37" i="30"/>
  <c r="AM37" i="30"/>
  <c r="AN37" i="30"/>
  <c r="AO37" i="30"/>
  <c r="AP37" i="30"/>
  <c r="AQ37" i="30"/>
  <c r="AR37" i="30"/>
  <c r="AS37" i="30"/>
  <c r="AT37" i="30"/>
  <c r="AK38" i="30"/>
  <c r="AL38" i="30"/>
  <c r="AM38" i="30"/>
  <c r="AN38" i="30"/>
  <c r="AO38" i="30"/>
  <c r="AP38" i="30"/>
  <c r="AQ38" i="30"/>
  <c r="AR38" i="30"/>
  <c r="AS38" i="30"/>
  <c r="AT38" i="30"/>
  <c r="AK39" i="30"/>
  <c r="AL39" i="30"/>
  <c r="AM39" i="30"/>
  <c r="AN39" i="30"/>
  <c r="AO39" i="30"/>
  <c r="AP39" i="30"/>
  <c r="AQ39" i="30"/>
  <c r="AR39" i="30"/>
  <c r="AS39" i="30"/>
  <c r="AT39" i="30"/>
  <c r="AK40" i="30"/>
  <c r="AL40" i="30"/>
  <c r="AM40" i="30"/>
  <c r="AN40" i="30"/>
  <c r="AO40" i="30"/>
  <c r="AP40" i="30"/>
  <c r="AQ40" i="30"/>
  <c r="AR40" i="30"/>
  <c r="AS40" i="30"/>
  <c r="AT40" i="30"/>
  <c r="AK41" i="30"/>
  <c r="AL41" i="30"/>
  <c r="AM41" i="30"/>
  <c r="AN41" i="30"/>
  <c r="AO41" i="30"/>
  <c r="AP41" i="30"/>
  <c r="AQ41" i="30"/>
  <c r="AR41" i="30"/>
  <c r="AS41" i="30"/>
  <c r="AT41" i="30"/>
  <c r="AK42" i="30"/>
  <c r="AL42" i="30"/>
  <c r="AM42" i="30"/>
  <c r="AN42" i="30"/>
  <c r="AO42" i="30"/>
  <c r="AP42" i="30"/>
  <c r="AQ42" i="30"/>
  <c r="AR42" i="30"/>
  <c r="AS42" i="30"/>
  <c r="AT42" i="30"/>
  <c r="AK43" i="30"/>
  <c r="AL43" i="30"/>
  <c r="AM43" i="30"/>
  <c r="AN43" i="30"/>
  <c r="AO43" i="30"/>
  <c r="AP43" i="30"/>
  <c r="AQ43" i="30"/>
  <c r="AR43" i="30"/>
  <c r="AS43" i="30"/>
  <c r="AT43" i="30"/>
  <c r="AK44" i="30"/>
  <c r="AL44" i="30"/>
  <c r="AM44" i="30"/>
  <c r="AN44" i="30"/>
  <c r="AO44" i="30"/>
  <c r="AP44" i="30"/>
  <c r="AQ44" i="30"/>
  <c r="AR44" i="30"/>
  <c r="AS44" i="30"/>
  <c r="AT44" i="30"/>
  <c r="AK45" i="30"/>
  <c r="AL45" i="30"/>
  <c r="AM45" i="30"/>
  <c r="AN45" i="30"/>
  <c r="AO45" i="30"/>
  <c r="AP45" i="30"/>
  <c r="AQ45" i="30"/>
  <c r="AR45" i="30"/>
  <c r="AS45" i="30"/>
  <c r="AT45" i="30"/>
  <c r="AK46" i="30"/>
  <c r="AL46" i="30"/>
  <c r="AM46" i="30"/>
  <c r="AN46" i="30"/>
  <c r="AO46" i="30"/>
  <c r="AP46" i="30"/>
  <c r="AQ46" i="30"/>
  <c r="AR46" i="30"/>
  <c r="AS46" i="30"/>
  <c r="AT46" i="30"/>
  <c r="AK47" i="30"/>
  <c r="AL47" i="30"/>
  <c r="AM47" i="30"/>
  <c r="AN47" i="30"/>
  <c r="AO47" i="30"/>
  <c r="AP47" i="30"/>
  <c r="AQ47" i="30"/>
  <c r="AR47" i="30"/>
  <c r="AS47" i="30"/>
  <c r="AT47" i="30"/>
  <c r="AK48" i="30"/>
  <c r="AL48" i="30"/>
  <c r="AM48" i="30"/>
  <c r="AN48" i="30"/>
  <c r="AO48" i="30"/>
  <c r="AP48" i="30"/>
  <c r="AQ48" i="30"/>
  <c r="AR48" i="30"/>
  <c r="AS48" i="30"/>
  <c r="AT48" i="30"/>
  <c r="AK49" i="30"/>
  <c r="AL49" i="30"/>
  <c r="AM49" i="30"/>
  <c r="AN49" i="30"/>
  <c r="AO49" i="30"/>
  <c r="AP49" i="30"/>
  <c r="AQ49" i="30"/>
  <c r="AR49" i="30"/>
  <c r="AS49" i="30"/>
  <c r="AT49" i="30"/>
  <c r="AK50" i="30"/>
  <c r="AL50" i="30"/>
  <c r="AM50" i="30"/>
  <c r="AN50" i="30"/>
  <c r="AO50" i="30"/>
  <c r="AP50" i="30"/>
  <c r="AQ50" i="30"/>
  <c r="AR50" i="30"/>
  <c r="AS50" i="30"/>
  <c r="AT50" i="30"/>
  <c r="AK51" i="30"/>
  <c r="AL51" i="30"/>
  <c r="AM51" i="30"/>
  <c r="AN51" i="30"/>
  <c r="AO51" i="30"/>
  <c r="AP51" i="30"/>
  <c r="AQ51" i="30"/>
  <c r="AR51" i="30"/>
  <c r="AS51" i="30"/>
  <c r="AT51" i="30"/>
  <c r="AK52" i="30"/>
  <c r="AL52" i="30"/>
  <c r="AM52" i="30"/>
  <c r="AN52" i="30"/>
  <c r="AO52" i="30"/>
  <c r="AP52" i="30"/>
  <c r="AQ52" i="30"/>
  <c r="AR52" i="30"/>
  <c r="AS52" i="30"/>
  <c r="AT52" i="30"/>
  <c r="AK53" i="30"/>
  <c r="AL53" i="30"/>
  <c r="AM53" i="30"/>
  <c r="AN53" i="30"/>
  <c r="AO53" i="30"/>
  <c r="AP53" i="30"/>
  <c r="AQ53" i="30"/>
  <c r="AR53" i="30"/>
  <c r="AS53" i="30"/>
  <c r="AT53" i="30"/>
  <c r="AK54" i="30"/>
  <c r="AL54" i="30"/>
  <c r="AM54" i="30"/>
  <c r="AN54" i="30"/>
  <c r="AO54" i="30"/>
  <c r="AP54" i="30"/>
  <c r="AQ54" i="30"/>
  <c r="AR54" i="30"/>
  <c r="AS54" i="30"/>
  <c r="AT54" i="30"/>
  <c r="AK55" i="30"/>
  <c r="AL55" i="30"/>
  <c r="AM55" i="30"/>
  <c r="AN55" i="30"/>
  <c r="AO55" i="30"/>
  <c r="AP55" i="30"/>
  <c r="AQ55" i="30"/>
  <c r="AR55" i="30"/>
  <c r="AS55" i="30"/>
  <c r="AT55" i="30"/>
  <c r="AK56" i="30"/>
  <c r="AL56" i="30"/>
  <c r="AM56" i="30"/>
  <c r="AN56" i="30"/>
  <c r="AO56" i="30"/>
  <c r="AP56" i="30"/>
  <c r="AQ56" i="30"/>
  <c r="AR56" i="30"/>
  <c r="AS56" i="30"/>
  <c r="AT56" i="30"/>
  <c r="AK57" i="30"/>
  <c r="AL57" i="30"/>
  <c r="AM57" i="30"/>
  <c r="AN57" i="30"/>
  <c r="AO57" i="30"/>
  <c r="AP57" i="30"/>
  <c r="AQ57" i="30"/>
  <c r="AR57" i="30"/>
  <c r="AS57" i="30"/>
  <c r="AT57" i="30"/>
  <c r="AK58" i="30"/>
  <c r="AL58" i="30"/>
  <c r="AM58" i="30"/>
  <c r="AN58" i="30"/>
  <c r="AO58" i="30"/>
  <c r="AP58" i="30"/>
  <c r="AQ58" i="30"/>
  <c r="AR58" i="30"/>
  <c r="AS58" i="30"/>
  <c r="AT58" i="30"/>
  <c r="AK59" i="30"/>
  <c r="AL59" i="30"/>
  <c r="AM59" i="30"/>
  <c r="AN59" i="30"/>
  <c r="AO59" i="30"/>
  <c r="AP59" i="30"/>
  <c r="AQ59" i="30"/>
  <c r="AR59" i="30"/>
  <c r="AS59" i="30"/>
  <c r="AT59" i="30"/>
  <c r="AK60" i="30"/>
  <c r="AL60" i="30"/>
  <c r="AM60" i="30"/>
  <c r="AN60" i="30"/>
  <c r="AO60" i="30"/>
  <c r="AP60" i="30"/>
  <c r="AQ60" i="30"/>
  <c r="AR60" i="30"/>
  <c r="AS60" i="30"/>
  <c r="AT60" i="30"/>
  <c r="AK61" i="30"/>
  <c r="AL61" i="30"/>
  <c r="AM61" i="30"/>
  <c r="AN61" i="30"/>
  <c r="AO61" i="30"/>
  <c r="AP61" i="30"/>
  <c r="AQ61" i="30"/>
  <c r="AR61" i="30"/>
  <c r="AS61" i="30"/>
  <c r="AT61" i="30"/>
  <c r="AK62" i="30"/>
  <c r="AL62" i="30"/>
  <c r="AM62" i="30"/>
  <c r="AN62" i="30"/>
  <c r="AO62" i="30"/>
  <c r="AP62" i="30"/>
  <c r="AQ62" i="30"/>
  <c r="AR62" i="30"/>
  <c r="AS62" i="30"/>
  <c r="AT62" i="30"/>
  <c r="AK63" i="30"/>
  <c r="AL63" i="30"/>
  <c r="AM63" i="30"/>
  <c r="AN63" i="30"/>
  <c r="AO63" i="30"/>
  <c r="AP63" i="30"/>
  <c r="AQ63" i="30"/>
  <c r="AR63" i="30"/>
  <c r="AS63" i="30"/>
  <c r="AT63" i="30"/>
  <c r="AK64" i="30"/>
  <c r="AL64" i="30"/>
  <c r="AM64" i="30"/>
  <c r="AN64" i="30"/>
  <c r="AO64" i="30"/>
  <c r="AP64" i="30"/>
  <c r="AQ64" i="30"/>
  <c r="AR64" i="30"/>
  <c r="AS64" i="30"/>
  <c r="AT64" i="30"/>
  <c r="AL2" i="30"/>
  <c r="AM2" i="30"/>
  <c r="AN2" i="30"/>
  <c r="AO2" i="30"/>
  <c r="AP2" i="30"/>
  <c r="AQ2" i="30"/>
  <c r="AR2" i="30"/>
  <c r="AS2" i="30"/>
  <c r="AT2" i="30"/>
  <c r="AK2" i="30"/>
  <c r="V3" i="29"/>
  <c r="W3" i="29"/>
  <c r="X3" i="29"/>
  <c r="Y3" i="29"/>
  <c r="Z3" i="29"/>
  <c r="V4" i="29"/>
  <c r="W4" i="29"/>
  <c r="X4" i="29"/>
  <c r="Y4" i="29"/>
  <c r="Z4" i="29"/>
  <c r="V5" i="29"/>
  <c r="W5" i="29"/>
  <c r="X5" i="29"/>
  <c r="Y5" i="29"/>
  <c r="Z5" i="29"/>
  <c r="V6" i="29"/>
  <c r="W6" i="29"/>
  <c r="X6" i="29"/>
  <c r="Y6" i="29"/>
  <c r="Z6" i="29"/>
  <c r="V7" i="29"/>
  <c r="W7" i="29"/>
  <c r="X7" i="29"/>
  <c r="Y7" i="29"/>
  <c r="Z7" i="29"/>
  <c r="V8" i="29"/>
  <c r="W8" i="29"/>
  <c r="X8" i="29"/>
  <c r="Y8" i="29"/>
  <c r="Z8" i="29"/>
  <c r="V9" i="29"/>
  <c r="W9" i="29"/>
  <c r="X9" i="29"/>
  <c r="Y9" i="29"/>
  <c r="Z9" i="29"/>
  <c r="V10" i="29"/>
  <c r="W10" i="29"/>
  <c r="X10" i="29"/>
  <c r="Y10" i="29"/>
  <c r="Z10" i="29"/>
  <c r="V11" i="29"/>
  <c r="W11" i="29"/>
  <c r="X11" i="29"/>
  <c r="Y11" i="29"/>
  <c r="Z11" i="29"/>
  <c r="V12" i="29"/>
  <c r="W12" i="29"/>
  <c r="X12" i="29"/>
  <c r="Y12" i="29"/>
  <c r="Z12" i="29"/>
  <c r="V13" i="29"/>
  <c r="W13" i="29"/>
  <c r="X13" i="29"/>
  <c r="Y13" i="29"/>
  <c r="Z13" i="29"/>
  <c r="V14" i="29"/>
  <c r="W14" i="29"/>
  <c r="X14" i="29"/>
  <c r="Y14" i="29"/>
  <c r="Z14" i="29"/>
  <c r="V15" i="29"/>
  <c r="W15" i="29"/>
  <c r="X15" i="29"/>
  <c r="Y15" i="29"/>
  <c r="Z15" i="29"/>
  <c r="V16" i="29"/>
  <c r="W16" i="29"/>
  <c r="X16" i="29"/>
  <c r="Y16" i="29"/>
  <c r="Z16" i="29"/>
  <c r="V17" i="29"/>
  <c r="W17" i="29"/>
  <c r="X17" i="29"/>
  <c r="Y17" i="29"/>
  <c r="Z17" i="29"/>
  <c r="V18" i="29"/>
  <c r="W18" i="29"/>
  <c r="X18" i="29"/>
  <c r="Y18" i="29"/>
  <c r="Z18" i="29"/>
  <c r="V19" i="29"/>
  <c r="W19" i="29"/>
  <c r="X19" i="29"/>
  <c r="Y19" i="29"/>
  <c r="Z19" i="29"/>
  <c r="V20" i="29"/>
  <c r="W20" i="29"/>
  <c r="X20" i="29"/>
  <c r="Y20" i="29"/>
  <c r="Z20" i="29"/>
  <c r="V21" i="29"/>
  <c r="W21" i="29"/>
  <c r="X21" i="29"/>
  <c r="Y21" i="29"/>
  <c r="Z21" i="29"/>
  <c r="V22" i="29"/>
  <c r="W22" i="29"/>
  <c r="X22" i="29"/>
  <c r="Y22" i="29"/>
  <c r="Z22" i="29"/>
  <c r="V23" i="29"/>
  <c r="W23" i="29"/>
  <c r="X23" i="29"/>
  <c r="Y23" i="29"/>
  <c r="Z23" i="29"/>
  <c r="V24" i="29"/>
  <c r="W24" i="29"/>
  <c r="X24" i="29"/>
  <c r="Y24" i="29"/>
  <c r="Z24" i="29"/>
  <c r="V25" i="29"/>
  <c r="W25" i="29"/>
  <c r="X25" i="29"/>
  <c r="Y25" i="29"/>
  <c r="Z25" i="29"/>
  <c r="V26" i="29"/>
  <c r="W26" i="29"/>
  <c r="X26" i="29"/>
  <c r="Y26" i="29"/>
  <c r="Z26" i="29"/>
  <c r="V27" i="29"/>
  <c r="W27" i="29"/>
  <c r="X27" i="29"/>
  <c r="Y27" i="29"/>
  <c r="Z27" i="29"/>
  <c r="V28" i="29"/>
  <c r="W28" i="29"/>
  <c r="X28" i="29"/>
  <c r="Y28" i="29"/>
  <c r="Z28" i="29"/>
  <c r="V29" i="29"/>
  <c r="W29" i="29"/>
  <c r="X29" i="29"/>
  <c r="Y29" i="29"/>
  <c r="Z29" i="29"/>
  <c r="V30" i="29"/>
  <c r="W30" i="29"/>
  <c r="X30" i="29"/>
  <c r="Y30" i="29"/>
  <c r="Z30" i="29"/>
  <c r="V31" i="29"/>
  <c r="W31" i="29"/>
  <c r="X31" i="29"/>
  <c r="Y31" i="29"/>
  <c r="Z31" i="29"/>
  <c r="V32" i="29"/>
  <c r="W32" i="29"/>
  <c r="X32" i="29"/>
  <c r="Y32" i="29"/>
  <c r="Z32" i="29"/>
  <c r="V33" i="29"/>
  <c r="W33" i="29"/>
  <c r="X33" i="29"/>
  <c r="Y33" i="29"/>
  <c r="Z33" i="29"/>
  <c r="V34" i="29"/>
  <c r="W34" i="29"/>
  <c r="X34" i="29"/>
  <c r="Y34" i="29"/>
  <c r="Z34" i="29"/>
  <c r="V35" i="29"/>
  <c r="W35" i="29"/>
  <c r="X35" i="29"/>
  <c r="Y35" i="29"/>
  <c r="Z35" i="29"/>
  <c r="V36" i="29"/>
  <c r="W36" i="29"/>
  <c r="X36" i="29"/>
  <c r="Y36" i="29"/>
  <c r="Z36" i="29"/>
  <c r="V37" i="29"/>
  <c r="W37" i="29"/>
  <c r="X37" i="29"/>
  <c r="Y37" i="29"/>
  <c r="Z37" i="29"/>
  <c r="V38" i="29"/>
  <c r="W38" i="29"/>
  <c r="X38" i="29"/>
  <c r="Y38" i="29"/>
  <c r="Z38" i="29"/>
  <c r="V39" i="29"/>
  <c r="W39" i="29"/>
  <c r="X39" i="29"/>
  <c r="Y39" i="29"/>
  <c r="Z39" i="29"/>
  <c r="V40" i="29"/>
  <c r="W40" i="29"/>
  <c r="X40" i="29"/>
  <c r="Y40" i="29"/>
  <c r="Z40" i="29"/>
  <c r="V41" i="29"/>
  <c r="W41" i="29"/>
  <c r="X41" i="29"/>
  <c r="Y41" i="29"/>
  <c r="Z41" i="29"/>
  <c r="V42" i="29"/>
  <c r="W42" i="29"/>
  <c r="X42" i="29"/>
  <c r="Y42" i="29"/>
  <c r="Z42" i="29"/>
  <c r="V43" i="29"/>
  <c r="W43" i="29"/>
  <c r="X43" i="29"/>
  <c r="Y43" i="29"/>
  <c r="Z43" i="29"/>
  <c r="V44" i="29"/>
  <c r="W44" i="29"/>
  <c r="X44" i="29"/>
  <c r="Y44" i="29"/>
  <c r="Z44" i="29"/>
  <c r="V45" i="29"/>
  <c r="W45" i="29"/>
  <c r="X45" i="29"/>
  <c r="Y45" i="29"/>
  <c r="Z45" i="29"/>
  <c r="V46" i="29"/>
  <c r="W46" i="29"/>
  <c r="X46" i="29"/>
  <c r="Y46" i="29"/>
  <c r="Z46" i="29"/>
  <c r="V47" i="29"/>
  <c r="W47" i="29"/>
  <c r="X47" i="29"/>
  <c r="Y47" i="29"/>
  <c r="Z47" i="29"/>
  <c r="V48" i="29"/>
  <c r="W48" i="29"/>
  <c r="X48" i="29"/>
  <c r="Y48" i="29"/>
  <c r="Z48" i="29"/>
  <c r="V49" i="29"/>
  <c r="W49" i="29"/>
  <c r="X49" i="29"/>
  <c r="Y49" i="29"/>
  <c r="Z49" i="29"/>
  <c r="V50" i="29"/>
  <c r="W50" i="29"/>
  <c r="X50" i="29"/>
  <c r="Y50" i="29"/>
  <c r="Z50" i="29"/>
  <c r="V51" i="29"/>
  <c r="W51" i="29"/>
  <c r="X51" i="29"/>
  <c r="Y51" i="29"/>
  <c r="Z51" i="29"/>
  <c r="V52" i="29"/>
  <c r="W52" i="29"/>
  <c r="X52" i="29"/>
  <c r="Y52" i="29"/>
  <c r="Z52" i="29"/>
  <c r="V53" i="29"/>
  <c r="W53" i="29"/>
  <c r="X53" i="29"/>
  <c r="Y53" i="29"/>
  <c r="Z53" i="29"/>
  <c r="V54" i="29"/>
  <c r="W54" i="29"/>
  <c r="X54" i="29"/>
  <c r="Y54" i="29"/>
  <c r="Z54" i="29"/>
  <c r="V55" i="29"/>
  <c r="W55" i="29"/>
  <c r="X55" i="29"/>
  <c r="Y55" i="29"/>
  <c r="Z55" i="29"/>
  <c r="V56" i="29"/>
  <c r="W56" i="29"/>
  <c r="X56" i="29"/>
  <c r="Y56" i="29"/>
  <c r="Z56" i="29"/>
  <c r="V57" i="29"/>
  <c r="W57" i="29"/>
  <c r="X57" i="29"/>
  <c r="Y57" i="29"/>
  <c r="Z57" i="29"/>
  <c r="V58" i="29"/>
  <c r="W58" i="29"/>
  <c r="X58" i="29"/>
  <c r="Y58" i="29"/>
  <c r="Z58" i="29"/>
  <c r="V59" i="29"/>
  <c r="W59" i="29"/>
  <c r="X59" i="29"/>
  <c r="Y59" i="29"/>
  <c r="Z59" i="29"/>
  <c r="V60" i="29"/>
  <c r="W60" i="29"/>
  <c r="X60" i="29"/>
  <c r="Y60" i="29"/>
  <c r="Z60" i="29"/>
  <c r="V61" i="29"/>
  <c r="W61" i="29"/>
  <c r="X61" i="29"/>
  <c r="Y61" i="29"/>
  <c r="Z61" i="29"/>
  <c r="V62" i="29"/>
  <c r="W62" i="29"/>
  <c r="X62" i="29"/>
  <c r="Y62" i="29"/>
  <c r="Z62" i="29"/>
  <c r="V63" i="29"/>
  <c r="W63" i="29"/>
  <c r="X63" i="29"/>
  <c r="Y63" i="29"/>
  <c r="Z63" i="29"/>
  <c r="V64" i="29"/>
  <c r="W64" i="29"/>
  <c r="X64" i="29"/>
  <c r="Y64" i="29"/>
  <c r="Z64" i="29"/>
  <c r="W2" i="29"/>
  <c r="X2" i="29"/>
  <c r="Y2" i="29"/>
  <c r="Z2" i="29"/>
  <c r="V2" i="29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2" i="24"/>
  <c r="J3" i="23"/>
  <c r="J4" i="23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60" i="23"/>
  <c r="J61" i="23"/>
  <c r="J62" i="23"/>
  <c r="J63" i="23"/>
  <c r="J64" i="23"/>
  <c r="J2" i="23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42" i="22"/>
  <c r="K43" i="22"/>
  <c r="K44" i="22"/>
  <c r="K45" i="22"/>
  <c r="K46" i="22"/>
  <c r="K47" i="22"/>
  <c r="K48" i="22"/>
  <c r="K49" i="22"/>
  <c r="K50" i="22"/>
  <c r="K51" i="22"/>
  <c r="K52" i="22"/>
  <c r="K53" i="22"/>
  <c r="K54" i="22"/>
  <c r="K55" i="22"/>
  <c r="K56" i="22"/>
  <c r="K57" i="22"/>
  <c r="K58" i="22"/>
  <c r="K59" i="22"/>
  <c r="K60" i="22"/>
  <c r="K61" i="22"/>
  <c r="K62" i="22"/>
  <c r="K63" i="22"/>
  <c r="K64" i="22"/>
  <c r="K2" i="22"/>
  <c r="V3" i="21"/>
  <c r="W3" i="21"/>
  <c r="X3" i="21"/>
  <c r="Y3" i="21"/>
  <c r="Z3" i="21"/>
  <c r="V4" i="21"/>
  <c r="W4" i="21"/>
  <c r="X4" i="21"/>
  <c r="Y4" i="21"/>
  <c r="Z4" i="21"/>
  <c r="V5" i="21"/>
  <c r="W5" i="21"/>
  <c r="X5" i="21"/>
  <c r="Y5" i="21"/>
  <c r="Z5" i="21"/>
  <c r="V6" i="21"/>
  <c r="W6" i="21"/>
  <c r="X6" i="21"/>
  <c r="Y6" i="21"/>
  <c r="Z6" i="21"/>
  <c r="V7" i="21"/>
  <c r="W7" i="21"/>
  <c r="X7" i="21"/>
  <c r="Y7" i="21"/>
  <c r="Z7" i="21"/>
  <c r="V8" i="21"/>
  <c r="W8" i="21"/>
  <c r="X8" i="21"/>
  <c r="Y8" i="21"/>
  <c r="Z8" i="21"/>
  <c r="V9" i="21"/>
  <c r="W9" i="21"/>
  <c r="X9" i="21"/>
  <c r="Y9" i="21"/>
  <c r="Z9" i="21"/>
  <c r="V10" i="21"/>
  <c r="W10" i="21"/>
  <c r="X10" i="21"/>
  <c r="Y10" i="21"/>
  <c r="Z10" i="21"/>
  <c r="V11" i="21"/>
  <c r="W11" i="21"/>
  <c r="X11" i="21"/>
  <c r="Y11" i="21"/>
  <c r="Z11" i="21"/>
  <c r="V12" i="21"/>
  <c r="W12" i="21"/>
  <c r="X12" i="21"/>
  <c r="Y12" i="21"/>
  <c r="Z12" i="21"/>
  <c r="V13" i="21"/>
  <c r="W13" i="21"/>
  <c r="X13" i="21"/>
  <c r="Y13" i="21"/>
  <c r="Z13" i="21"/>
  <c r="V14" i="21"/>
  <c r="W14" i="21"/>
  <c r="X14" i="21"/>
  <c r="Y14" i="21"/>
  <c r="Z14" i="21"/>
  <c r="V15" i="21"/>
  <c r="W15" i="21"/>
  <c r="X15" i="21"/>
  <c r="Y15" i="21"/>
  <c r="Z15" i="21"/>
  <c r="V16" i="21"/>
  <c r="W16" i="21"/>
  <c r="X16" i="21"/>
  <c r="Y16" i="21"/>
  <c r="Z16" i="21"/>
  <c r="V17" i="21"/>
  <c r="W17" i="21"/>
  <c r="X17" i="21"/>
  <c r="Y17" i="21"/>
  <c r="Z17" i="21"/>
  <c r="V18" i="21"/>
  <c r="W18" i="21"/>
  <c r="X18" i="21"/>
  <c r="Y18" i="21"/>
  <c r="Z18" i="21"/>
  <c r="V19" i="21"/>
  <c r="W19" i="21"/>
  <c r="X19" i="21"/>
  <c r="Y19" i="21"/>
  <c r="Z19" i="21"/>
  <c r="V20" i="21"/>
  <c r="W20" i="21"/>
  <c r="X20" i="21"/>
  <c r="Y20" i="21"/>
  <c r="Z20" i="21"/>
  <c r="V21" i="21"/>
  <c r="W21" i="21"/>
  <c r="X21" i="21"/>
  <c r="Y21" i="21"/>
  <c r="Z21" i="21"/>
  <c r="V22" i="21"/>
  <c r="W22" i="21"/>
  <c r="X22" i="21"/>
  <c r="Y22" i="21"/>
  <c r="Z22" i="21"/>
  <c r="V23" i="21"/>
  <c r="W23" i="21"/>
  <c r="X23" i="21"/>
  <c r="Y23" i="21"/>
  <c r="Z23" i="21"/>
  <c r="V24" i="21"/>
  <c r="W24" i="21"/>
  <c r="X24" i="21"/>
  <c r="Y24" i="21"/>
  <c r="Z24" i="21"/>
  <c r="V25" i="21"/>
  <c r="W25" i="21"/>
  <c r="X25" i="21"/>
  <c r="Y25" i="21"/>
  <c r="Z25" i="21"/>
  <c r="V26" i="21"/>
  <c r="W26" i="21"/>
  <c r="X26" i="21"/>
  <c r="Y26" i="21"/>
  <c r="Z26" i="21"/>
  <c r="V27" i="21"/>
  <c r="W27" i="21"/>
  <c r="X27" i="21"/>
  <c r="Y27" i="21"/>
  <c r="Z27" i="21"/>
  <c r="V28" i="21"/>
  <c r="W28" i="21"/>
  <c r="X28" i="21"/>
  <c r="Y28" i="21"/>
  <c r="Z28" i="21"/>
  <c r="V29" i="21"/>
  <c r="W29" i="21"/>
  <c r="X29" i="21"/>
  <c r="Y29" i="21"/>
  <c r="Z29" i="21"/>
  <c r="V30" i="21"/>
  <c r="W30" i="21"/>
  <c r="X30" i="21"/>
  <c r="Y30" i="21"/>
  <c r="Z30" i="21"/>
  <c r="V31" i="21"/>
  <c r="W31" i="21"/>
  <c r="X31" i="21"/>
  <c r="Y31" i="21"/>
  <c r="Z31" i="21"/>
  <c r="V32" i="21"/>
  <c r="W32" i="21"/>
  <c r="X32" i="21"/>
  <c r="Y32" i="21"/>
  <c r="Z32" i="21"/>
  <c r="V33" i="21"/>
  <c r="W33" i="21"/>
  <c r="X33" i="21"/>
  <c r="Y33" i="21"/>
  <c r="Z33" i="21"/>
  <c r="V34" i="21"/>
  <c r="W34" i="21"/>
  <c r="X34" i="21"/>
  <c r="Y34" i="21"/>
  <c r="Z34" i="21"/>
  <c r="V35" i="21"/>
  <c r="W35" i="21"/>
  <c r="X35" i="21"/>
  <c r="Y35" i="21"/>
  <c r="Z35" i="21"/>
  <c r="V36" i="21"/>
  <c r="W36" i="21"/>
  <c r="X36" i="21"/>
  <c r="Y36" i="21"/>
  <c r="Z36" i="21"/>
  <c r="V37" i="21"/>
  <c r="W37" i="21"/>
  <c r="X37" i="21"/>
  <c r="Y37" i="21"/>
  <c r="Z37" i="21"/>
  <c r="V38" i="21"/>
  <c r="W38" i="21"/>
  <c r="X38" i="21"/>
  <c r="Y38" i="21"/>
  <c r="Z38" i="21"/>
  <c r="V39" i="21"/>
  <c r="W39" i="21"/>
  <c r="X39" i="21"/>
  <c r="Y39" i="21"/>
  <c r="Z39" i="21"/>
  <c r="V40" i="21"/>
  <c r="W40" i="21"/>
  <c r="X40" i="21"/>
  <c r="Y40" i="21"/>
  <c r="Z40" i="21"/>
  <c r="V41" i="21"/>
  <c r="W41" i="21"/>
  <c r="X41" i="21"/>
  <c r="Y41" i="21"/>
  <c r="Z41" i="21"/>
  <c r="V42" i="21"/>
  <c r="W42" i="21"/>
  <c r="X42" i="21"/>
  <c r="Y42" i="21"/>
  <c r="Z42" i="21"/>
  <c r="V43" i="21"/>
  <c r="W43" i="21"/>
  <c r="X43" i="21"/>
  <c r="Y43" i="21"/>
  <c r="Z43" i="21"/>
  <c r="V44" i="21"/>
  <c r="W44" i="21"/>
  <c r="X44" i="21"/>
  <c r="Y44" i="21"/>
  <c r="Z44" i="21"/>
  <c r="V45" i="21"/>
  <c r="W45" i="21"/>
  <c r="X45" i="21"/>
  <c r="Y45" i="21"/>
  <c r="Z45" i="21"/>
  <c r="V46" i="21"/>
  <c r="W46" i="21"/>
  <c r="X46" i="21"/>
  <c r="Y46" i="21"/>
  <c r="Z46" i="21"/>
  <c r="V47" i="21"/>
  <c r="W47" i="21"/>
  <c r="X47" i="21"/>
  <c r="Y47" i="21"/>
  <c r="Z47" i="21"/>
  <c r="V48" i="21"/>
  <c r="W48" i="21"/>
  <c r="X48" i="21"/>
  <c r="Y48" i="21"/>
  <c r="Z48" i="21"/>
  <c r="V49" i="21"/>
  <c r="W49" i="21"/>
  <c r="X49" i="21"/>
  <c r="Y49" i="21"/>
  <c r="Z49" i="21"/>
  <c r="V50" i="21"/>
  <c r="W50" i="21"/>
  <c r="X50" i="21"/>
  <c r="Y50" i="21"/>
  <c r="Z50" i="21"/>
  <c r="V51" i="21"/>
  <c r="W51" i="21"/>
  <c r="X51" i="21"/>
  <c r="Y51" i="21"/>
  <c r="Z51" i="21"/>
  <c r="V52" i="21"/>
  <c r="W52" i="21"/>
  <c r="X52" i="21"/>
  <c r="Y52" i="21"/>
  <c r="Z52" i="21"/>
  <c r="V53" i="21"/>
  <c r="W53" i="21"/>
  <c r="X53" i="21"/>
  <c r="Y53" i="21"/>
  <c r="Z53" i="21"/>
  <c r="V54" i="21"/>
  <c r="W54" i="21"/>
  <c r="X54" i="21"/>
  <c r="Y54" i="21"/>
  <c r="Z54" i="21"/>
  <c r="V55" i="21"/>
  <c r="W55" i="21"/>
  <c r="X55" i="21"/>
  <c r="Y55" i="21"/>
  <c r="Z55" i="21"/>
  <c r="V56" i="21"/>
  <c r="W56" i="21"/>
  <c r="X56" i="21"/>
  <c r="Y56" i="21"/>
  <c r="Z56" i="21"/>
  <c r="V57" i="21"/>
  <c r="W57" i="21"/>
  <c r="X57" i="21"/>
  <c r="Y57" i="21"/>
  <c r="Z57" i="21"/>
  <c r="V58" i="21"/>
  <c r="W58" i="21"/>
  <c r="X58" i="21"/>
  <c r="Y58" i="21"/>
  <c r="Z58" i="21"/>
  <c r="V59" i="21"/>
  <c r="W59" i="21"/>
  <c r="X59" i="21"/>
  <c r="Y59" i="21"/>
  <c r="Z59" i="21"/>
  <c r="V60" i="21"/>
  <c r="W60" i="21"/>
  <c r="X60" i="21"/>
  <c r="Y60" i="21"/>
  <c r="Z60" i="21"/>
  <c r="V61" i="21"/>
  <c r="W61" i="21"/>
  <c r="X61" i="21"/>
  <c r="Y61" i="21"/>
  <c r="Z61" i="21"/>
  <c r="V62" i="21"/>
  <c r="W62" i="21"/>
  <c r="X62" i="21"/>
  <c r="Y62" i="21"/>
  <c r="Z62" i="21"/>
  <c r="V63" i="21"/>
  <c r="W63" i="21"/>
  <c r="X63" i="21"/>
  <c r="Y63" i="21"/>
  <c r="Z63" i="21"/>
  <c r="V64" i="21"/>
  <c r="W64" i="21"/>
  <c r="X64" i="21"/>
  <c r="Y64" i="21"/>
  <c r="Z64" i="21"/>
  <c r="W2" i="21"/>
  <c r="X2" i="21"/>
  <c r="Y2" i="21"/>
  <c r="Z2" i="21"/>
  <c r="V2" i="21"/>
  <c r="M3" i="20"/>
  <c r="N3" i="20"/>
  <c r="O3" i="20"/>
  <c r="M4" i="20"/>
  <c r="N4" i="20"/>
  <c r="O4" i="20"/>
  <c r="M5" i="20"/>
  <c r="N5" i="20"/>
  <c r="O5" i="20"/>
  <c r="M6" i="20"/>
  <c r="N6" i="20"/>
  <c r="O6" i="20"/>
  <c r="M7" i="20"/>
  <c r="N7" i="20"/>
  <c r="O7" i="20"/>
  <c r="M8" i="20"/>
  <c r="N8" i="20"/>
  <c r="O8" i="20"/>
  <c r="M9" i="20"/>
  <c r="N9" i="20"/>
  <c r="O9" i="20"/>
  <c r="M10" i="20"/>
  <c r="N10" i="20"/>
  <c r="O10" i="20"/>
  <c r="M11" i="20"/>
  <c r="N11" i="20"/>
  <c r="O11" i="20"/>
  <c r="M12" i="20"/>
  <c r="N12" i="20"/>
  <c r="O12" i="20"/>
  <c r="M13" i="20"/>
  <c r="N13" i="20"/>
  <c r="O13" i="20"/>
  <c r="M14" i="20"/>
  <c r="N14" i="20"/>
  <c r="O14" i="20"/>
  <c r="M15" i="20"/>
  <c r="N15" i="20"/>
  <c r="O15" i="20"/>
  <c r="M16" i="20"/>
  <c r="N16" i="20"/>
  <c r="O16" i="20"/>
  <c r="M17" i="20"/>
  <c r="N17" i="20"/>
  <c r="O17" i="20"/>
  <c r="M18" i="20"/>
  <c r="N18" i="20"/>
  <c r="O18" i="20"/>
  <c r="M19" i="20"/>
  <c r="N19" i="20"/>
  <c r="O19" i="20"/>
  <c r="M20" i="20"/>
  <c r="N20" i="20"/>
  <c r="O20" i="20"/>
  <c r="M21" i="20"/>
  <c r="N21" i="20"/>
  <c r="O21" i="20"/>
  <c r="M22" i="20"/>
  <c r="N22" i="20"/>
  <c r="O22" i="20"/>
  <c r="M23" i="20"/>
  <c r="N23" i="20"/>
  <c r="O23" i="20"/>
  <c r="M24" i="20"/>
  <c r="N24" i="20"/>
  <c r="O24" i="20"/>
  <c r="M25" i="20"/>
  <c r="N25" i="20"/>
  <c r="O25" i="20"/>
  <c r="M26" i="20"/>
  <c r="N26" i="20"/>
  <c r="O26" i="20"/>
  <c r="M27" i="20"/>
  <c r="N27" i="20"/>
  <c r="O27" i="20"/>
  <c r="M28" i="20"/>
  <c r="N28" i="20"/>
  <c r="O28" i="20"/>
  <c r="M29" i="20"/>
  <c r="N29" i="20"/>
  <c r="O29" i="20"/>
  <c r="M30" i="20"/>
  <c r="N30" i="20"/>
  <c r="O30" i="20"/>
  <c r="M31" i="20"/>
  <c r="N31" i="20"/>
  <c r="O31" i="20"/>
  <c r="M32" i="20"/>
  <c r="N32" i="20"/>
  <c r="O32" i="20"/>
  <c r="M33" i="20"/>
  <c r="N33" i="20"/>
  <c r="O33" i="20"/>
  <c r="M34" i="20"/>
  <c r="N34" i="20"/>
  <c r="O34" i="20"/>
  <c r="M35" i="20"/>
  <c r="N35" i="20"/>
  <c r="O35" i="20"/>
  <c r="M36" i="20"/>
  <c r="N36" i="20"/>
  <c r="O36" i="20"/>
  <c r="M37" i="20"/>
  <c r="N37" i="20"/>
  <c r="O37" i="20"/>
  <c r="M38" i="20"/>
  <c r="N38" i="20"/>
  <c r="O38" i="20"/>
  <c r="M39" i="20"/>
  <c r="N39" i="20"/>
  <c r="O39" i="20"/>
  <c r="M40" i="20"/>
  <c r="N40" i="20"/>
  <c r="O40" i="20"/>
  <c r="M41" i="20"/>
  <c r="N41" i="20"/>
  <c r="O41" i="20"/>
  <c r="M42" i="20"/>
  <c r="N42" i="20"/>
  <c r="O42" i="20"/>
  <c r="M43" i="20"/>
  <c r="N43" i="20"/>
  <c r="O43" i="20"/>
  <c r="M44" i="20"/>
  <c r="N44" i="20"/>
  <c r="O44" i="20"/>
  <c r="M45" i="20"/>
  <c r="N45" i="20"/>
  <c r="O45" i="20"/>
  <c r="M46" i="20"/>
  <c r="N46" i="20"/>
  <c r="O46" i="20"/>
  <c r="M47" i="20"/>
  <c r="N47" i="20"/>
  <c r="O47" i="20"/>
  <c r="M48" i="20"/>
  <c r="N48" i="20"/>
  <c r="O48" i="20"/>
  <c r="M49" i="20"/>
  <c r="N49" i="20"/>
  <c r="O49" i="20"/>
  <c r="M50" i="20"/>
  <c r="N50" i="20"/>
  <c r="O50" i="20"/>
  <c r="M51" i="20"/>
  <c r="N51" i="20"/>
  <c r="O51" i="20"/>
  <c r="M52" i="20"/>
  <c r="N52" i="20"/>
  <c r="O52" i="20"/>
  <c r="M53" i="20"/>
  <c r="N53" i="20"/>
  <c r="O53" i="20"/>
  <c r="M54" i="20"/>
  <c r="N54" i="20"/>
  <c r="O54" i="20"/>
  <c r="M55" i="20"/>
  <c r="N55" i="20"/>
  <c r="O55" i="20"/>
  <c r="M56" i="20"/>
  <c r="N56" i="20"/>
  <c r="O56" i="20"/>
  <c r="M57" i="20"/>
  <c r="N57" i="20"/>
  <c r="O57" i="20"/>
  <c r="M58" i="20"/>
  <c r="N58" i="20"/>
  <c r="O58" i="20"/>
  <c r="M59" i="20"/>
  <c r="N59" i="20"/>
  <c r="O59" i="20"/>
  <c r="M60" i="20"/>
  <c r="N60" i="20"/>
  <c r="O60" i="20"/>
  <c r="M61" i="20"/>
  <c r="N61" i="20"/>
  <c r="O61" i="20"/>
  <c r="M62" i="20"/>
  <c r="N62" i="20"/>
  <c r="O62" i="20"/>
  <c r="M63" i="20"/>
  <c r="N63" i="20"/>
  <c r="O63" i="20"/>
  <c r="M64" i="20"/>
  <c r="N64" i="20"/>
  <c r="O64" i="20"/>
  <c r="N2" i="20"/>
  <c r="O2" i="20"/>
  <c r="M2" i="20"/>
  <c r="AC3" i="19"/>
  <c r="AD3" i="19"/>
  <c r="AE3" i="19"/>
  <c r="AG3" i="19"/>
  <c r="AD4" i="19"/>
  <c r="AF4" i="19"/>
  <c r="AG4" i="19"/>
  <c r="AC5" i="19"/>
  <c r="AE5" i="19"/>
  <c r="AF5" i="19"/>
  <c r="AG5" i="19"/>
  <c r="AC6" i="19"/>
  <c r="AD6" i="19"/>
  <c r="AE6" i="19"/>
  <c r="AF6" i="19"/>
  <c r="AG6" i="19"/>
  <c r="AC7" i="19"/>
  <c r="AD7" i="19"/>
  <c r="AE7" i="19"/>
  <c r="AF8" i="19"/>
  <c r="AC9" i="19"/>
  <c r="AE9" i="19"/>
  <c r="AF9" i="19"/>
  <c r="AG9" i="19"/>
  <c r="AC10" i="19"/>
  <c r="AD10" i="19"/>
  <c r="AE10" i="19"/>
  <c r="AF10" i="19"/>
  <c r="AG10" i="19"/>
  <c r="AC11" i="19"/>
  <c r="AD11" i="19"/>
  <c r="AE11" i="19"/>
  <c r="AF12" i="19"/>
  <c r="AC13" i="19"/>
  <c r="AE13" i="19"/>
  <c r="AF13" i="19"/>
  <c r="AG13" i="19"/>
  <c r="AC14" i="19"/>
  <c r="AD14" i="19"/>
  <c r="AE14" i="19"/>
  <c r="AF14" i="19"/>
  <c r="AG14" i="19"/>
  <c r="AC15" i="19"/>
  <c r="AD15" i="19"/>
  <c r="AE15" i="19"/>
  <c r="AF16" i="19"/>
  <c r="AC17" i="19"/>
  <c r="AE17" i="19"/>
  <c r="AF17" i="19"/>
  <c r="AG17" i="19"/>
  <c r="AC18" i="19"/>
  <c r="AD18" i="19"/>
  <c r="AE18" i="19"/>
  <c r="AF18" i="19"/>
  <c r="AG18" i="19"/>
  <c r="AC19" i="19"/>
  <c r="AD19" i="19"/>
  <c r="AE19" i="19"/>
  <c r="AF20" i="19"/>
  <c r="AC21" i="19"/>
  <c r="AE21" i="19"/>
  <c r="AF21" i="19"/>
  <c r="AG21" i="19"/>
  <c r="AC22" i="19"/>
  <c r="AD22" i="19"/>
  <c r="AE22" i="19"/>
  <c r="AF22" i="19"/>
  <c r="AG22" i="19"/>
  <c r="AC23" i="19"/>
  <c r="AD23" i="19"/>
  <c r="AE23" i="19"/>
  <c r="AF24" i="19"/>
  <c r="AC25" i="19"/>
  <c r="AE25" i="19"/>
  <c r="AF25" i="19"/>
  <c r="AG25" i="19"/>
  <c r="AC26" i="19"/>
  <c r="AD26" i="19"/>
  <c r="AE26" i="19"/>
  <c r="AF26" i="19"/>
  <c r="AG26" i="19"/>
  <c r="AC27" i="19"/>
  <c r="AD27" i="19"/>
  <c r="AE27" i="19"/>
  <c r="AF28" i="19"/>
  <c r="AC29" i="19"/>
  <c r="AE29" i="19"/>
  <c r="AF29" i="19"/>
  <c r="AG29" i="19"/>
  <c r="AC30" i="19"/>
  <c r="AD30" i="19"/>
  <c r="AE30" i="19"/>
  <c r="AF30" i="19"/>
  <c r="AG30" i="19"/>
  <c r="AC31" i="19"/>
  <c r="AD31" i="19"/>
  <c r="AE31" i="19"/>
  <c r="AF32" i="19"/>
  <c r="AC33" i="19"/>
  <c r="AE33" i="19"/>
  <c r="AF33" i="19"/>
  <c r="AG33" i="19"/>
  <c r="AC34" i="19"/>
  <c r="AD34" i="19"/>
  <c r="AE34" i="19"/>
  <c r="AF34" i="19"/>
  <c r="AG34" i="19"/>
  <c r="AC35" i="19"/>
  <c r="AD35" i="19"/>
  <c r="AE35" i="19"/>
  <c r="AF36" i="19"/>
  <c r="AC37" i="19"/>
  <c r="AE37" i="19"/>
  <c r="AF37" i="19"/>
  <c r="AG37" i="19"/>
  <c r="AC38" i="19"/>
  <c r="AD38" i="19"/>
  <c r="AE38" i="19"/>
  <c r="AF38" i="19"/>
  <c r="AG38" i="19"/>
  <c r="AC39" i="19"/>
  <c r="AD39" i="19"/>
  <c r="AE39" i="19"/>
  <c r="AF40" i="19"/>
  <c r="AC41" i="19"/>
  <c r="AE41" i="19"/>
  <c r="AF41" i="19"/>
  <c r="AG41" i="19"/>
  <c r="AC42" i="19"/>
  <c r="AD42" i="19"/>
  <c r="AE42" i="19"/>
  <c r="AF42" i="19"/>
  <c r="AG42" i="19"/>
  <c r="AC43" i="19"/>
  <c r="AD43" i="19"/>
  <c r="AE43" i="19"/>
  <c r="AF44" i="19"/>
  <c r="AC45" i="19"/>
  <c r="AE45" i="19"/>
  <c r="AF45" i="19"/>
  <c r="AG45" i="19"/>
  <c r="AC46" i="19"/>
  <c r="AD46" i="19"/>
  <c r="AE46" i="19"/>
  <c r="AF46" i="19"/>
  <c r="AG46" i="19"/>
  <c r="AC47" i="19"/>
  <c r="AD47" i="19"/>
  <c r="AE47" i="19"/>
  <c r="AF48" i="19"/>
  <c r="AC49" i="19"/>
  <c r="AE49" i="19"/>
  <c r="AF49" i="19"/>
  <c r="AG49" i="19"/>
  <c r="AC50" i="19"/>
  <c r="AD50" i="19"/>
  <c r="AE50" i="19"/>
  <c r="AF50" i="19"/>
  <c r="AG50" i="19"/>
  <c r="AC51" i="19"/>
  <c r="AD51" i="19"/>
  <c r="AE51" i="19"/>
  <c r="AF52" i="19"/>
  <c r="AC53" i="19"/>
  <c r="AE53" i="19"/>
  <c r="AF53" i="19"/>
  <c r="AG53" i="19"/>
  <c r="AC54" i="19"/>
  <c r="AD54" i="19"/>
  <c r="AE54" i="19"/>
  <c r="AF54" i="19"/>
  <c r="AG54" i="19"/>
  <c r="AC55" i="19"/>
  <c r="AD55" i="19"/>
  <c r="AE55" i="19"/>
  <c r="AF56" i="19"/>
  <c r="AC57" i="19"/>
  <c r="AE57" i="19"/>
  <c r="AF57" i="19"/>
  <c r="AG57" i="19"/>
  <c r="AC58" i="19"/>
  <c r="AD58" i="19"/>
  <c r="AE58" i="19"/>
  <c r="AF58" i="19"/>
  <c r="AG58" i="19"/>
  <c r="AC59" i="19"/>
  <c r="AD59" i="19"/>
  <c r="AE59" i="19"/>
  <c r="AF60" i="19"/>
  <c r="AC61" i="19"/>
  <c r="AE61" i="19"/>
  <c r="AF61" i="19"/>
  <c r="AG61" i="19"/>
  <c r="AC62" i="19"/>
  <c r="AD62" i="19"/>
  <c r="AE62" i="19"/>
  <c r="AF62" i="19"/>
  <c r="AG62" i="19"/>
  <c r="AC63" i="19"/>
  <c r="AD63" i="19"/>
  <c r="AE63" i="19"/>
  <c r="AF64" i="19"/>
  <c r="AD2" i="19"/>
  <c r="AF2" i="19"/>
  <c r="AG2" i="19"/>
  <c r="AC2" i="19"/>
  <c r="Q3" i="19"/>
  <c r="R3" i="19"/>
  <c r="S3" i="19"/>
  <c r="T3" i="19"/>
  <c r="AF3" i="19" s="1"/>
  <c r="U3" i="19"/>
  <c r="Q4" i="19"/>
  <c r="AC4" i="19" s="1"/>
  <c r="R4" i="19"/>
  <c r="S4" i="19"/>
  <c r="AE4" i="19" s="1"/>
  <c r="T4" i="19"/>
  <c r="U4" i="19"/>
  <c r="Q5" i="19"/>
  <c r="R5" i="19"/>
  <c r="AD5" i="19" s="1"/>
  <c r="S5" i="19"/>
  <c r="T5" i="19"/>
  <c r="U5" i="19"/>
  <c r="Q6" i="19"/>
  <c r="R6" i="19"/>
  <c r="S6" i="19"/>
  <c r="T6" i="19"/>
  <c r="U6" i="19"/>
  <c r="Q7" i="19"/>
  <c r="R7" i="19"/>
  <c r="S7" i="19"/>
  <c r="T7" i="19"/>
  <c r="AF7" i="19" s="1"/>
  <c r="U7" i="19"/>
  <c r="AG7" i="19" s="1"/>
  <c r="Q8" i="19"/>
  <c r="AC8" i="19" s="1"/>
  <c r="R8" i="19"/>
  <c r="AD8" i="19" s="1"/>
  <c r="S8" i="19"/>
  <c r="AE8" i="19" s="1"/>
  <c r="T8" i="19"/>
  <c r="U8" i="19"/>
  <c r="AG8" i="19" s="1"/>
  <c r="Q9" i="19"/>
  <c r="R9" i="19"/>
  <c r="AD9" i="19" s="1"/>
  <c r="S9" i="19"/>
  <c r="T9" i="19"/>
  <c r="U9" i="19"/>
  <c r="Q10" i="19"/>
  <c r="R10" i="19"/>
  <c r="S10" i="19"/>
  <c r="T10" i="19"/>
  <c r="U10" i="19"/>
  <c r="Q11" i="19"/>
  <c r="R11" i="19"/>
  <c r="S11" i="19"/>
  <c r="T11" i="19"/>
  <c r="AF11" i="19" s="1"/>
  <c r="U11" i="19"/>
  <c r="AG11" i="19" s="1"/>
  <c r="Q12" i="19"/>
  <c r="AC12" i="19" s="1"/>
  <c r="R12" i="19"/>
  <c r="AD12" i="19" s="1"/>
  <c r="S12" i="19"/>
  <c r="AE12" i="19" s="1"/>
  <c r="T12" i="19"/>
  <c r="U12" i="19"/>
  <c r="AG12" i="19" s="1"/>
  <c r="Q13" i="19"/>
  <c r="R13" i="19"/>
  <c r="AD13" i="19" s="1"/>
  <c r="S13" i="19"/>
  <c r="T13" i="19"/>
  <c r="U13" i="19"/>
  <c r="Q14" i="19"/>
  <c r="R14" i="19"/>
  <c r="S14" i="19"/>
  <c r="T14" i="19"/>
  <c r="U14" i="19"/>
  <c r="Q15" i="19"/>
  <c r="R15" i="19"/>
  <c r="S15" i="19"/>
  <c r="T15" i="19"/>
  <c r="AF15" i="19" s="1"/>
  <c r="U15" i="19"/>
  <c r="AG15" i="19" s="1"/>
  <c r="Q16" i="19"/>
  <c r="AC16" i="19" s="1"/>
  <c r="R16" i="19"/>
  <c r="AD16" i="19" s="1"/>
  <c r="S16" i="19"/>
  <c r="AE16" i="19" s="1"/>
  <c r="T16" i="19"/>
  <c r="U16" i="19"/>
  <c r="AG16" i="19" s="1"/>
  <c r="Q17" i="19"/>
  <c r="R17" i="19"/>
  <c r="AD17" i="19" s="1"/>
  <c r="S17" i="19"/>
  <c r="T17" i="19"/>
  <c r="U17" i="19"/>
  <c r="Q18" i="19"/>
  <c r="R18" i="19"/>
  <c r="S18" i="19"/>
  <c r="T18" i="19"/>
  <c r="U18" i="19"/>
  <c r="Q19" i="19"/>
  <c r="R19" i="19"/>
  <c r="S19" i="19"/>
  <c r="T19" i="19"/>
  <c r="AF19" i="19" s="1"/>
  <c r="U19" i="19"/>
  <c r="AG19" i="19" s="1"/>
  <c r="Q20" i="19"/>
  <c r="AC20" i="19" s="1"/>
  <c r="R20" i="19"/>
  <c r="AD20" i="19" s="1"/>
  <c r="S20" i="19"/>
  <c r="AE20" i="19" s="1"/>
  <c r="T20" i="19"/>
  <c r="U20" i="19"/>
  <c r="AG20" i="19" s="1"/>
  <c r="Q21" i="19"/>
  <c r="R21" i="19"/>
  <c r="AD21" i="19" s="1"/>
  <c r="S21" i="19"/>
  <c r="T21" i="19"/>
  <c r="U21" i="19"/>
  <c r="Q22" i="19"/>
  <c r="R22" i="19"/>
  <c r="S22" i="19"/>
  <c r="T22" i="19"/>
  <c r="U22" i="19"/>
  <c r="Q23" i="19"/>
  <c r="R23" i="19"/>
  <c r="S23" i="19"/>
  <c r="T23" i="19"/>
  <c r="AF23" i="19" s="1"/>
  <c r="U23" i="19"/>
  <c r="AG23" i="19" s="1"/>
  <c r="Q24" i="19"/>
  <c r="AC24" i="19" s="1"/>
  <c r="R24" i="19"/>
  <c r="AD24" i="19" s="1"/>
  <c r="S24" i="19"/>
  <c r="AE24" i="19" s="1"/>
  <c r="T24" i="19"/>
  <c r="U24" i="19"/>
  <c r="AG24" i="19" s="1"/>
  <c r="Q25" i="19"/>
  <c r="R25" i="19"/>
  <c r="AD25" i="19" s="1"/>
  <c r="S25" i="19"/>
  <c r="T25" i="19"/>
  <c r="U25" i="19"/>
  <c r="Q26" i="19"/>
  <c r="R26" i="19"/>
  <c r="S26" i="19"/>
  <c r="T26" i="19"/>
  <c r="U26" i="19"/>
  <c r="Q27" i="19"/>
  <c r="R27" i="19"/>
  <c r="S27" i="19"/>
  <c r="T27" i="19"/>
  <c r="AF27" i="19" s="1"/>
  <c r="U27" i="19"/>
  <c r="AG27" i="19" s="1"/>
  <c r="Q28" i="19"/>
  <c r="AC28" i="19" s="1"/>
  <c r="R28" i="19"/>
  <c r="AD28" i="19" s="1"/>
  <c r="S28" i="19"/>
  <c r="AE28" i="19" s="1"/>
  <c r="T28" i="19"/>
  <c r="U28" i="19"/>
  <c r="AG28" i="19" s="1"/>
  <c r="Q29" i="19"/>
  <c r="R29" i="19"/>
  <c r="AD29" i="19" s="1"/>
  <c r="S29" i="19"/>
  <c r="T29" i="19"/>
  <c r="U29" i="19"/>
  <c r="Q30" i="19"/>
  <c r="R30" i="19"/>
  <c r="S30" i="19"/>
  <c r="T30" i="19"/>
  <c r="U30" i="19"/>
  <c r="Q31" i="19"/>
  <c r="R31" i="19"/>
  <c r="S31" i="19"/>
  <c r="T31" i="19"/>
  <c r="AF31" i="19" s="1"/>
  <c r="U31" i="19"/>
  <c r="AG31" i="19" s="1"/>
  <c r="Q32" i="19"/>
  <c r="AC32" i="19" s="1"/>
  <c r="R32" i="19"/>
  <c r="AD32" i="19" s="1"/>
  <c r="S32" i="19"/>
  <c r="AE32" i="19" s="1"/>
  <c r="T32" i="19"/>
  <c r="U32" i="19"/>
  <c r="AG32" i="19" s="1"/>
  <c r="Q33" i="19"/>
  <c r="R33" i="19"/>
  <c r="AD33" i="19" s="1"/>
  <c r="S33" i="19"/>
  <c r="T33" i="19"/>
  <c r="U33" i="19"/>
  <c r="Q34" i="19"/>
  <c r="R34" i="19"/>
  <c r="S34" i="19"/>
  <c r="T34" i="19"/>
  <c r="U34" i="19"/>
  <c r="Q35" i="19"/>
  <c r="R35" i="19"/>
  <c r="S35" i="19"/>
  <c r="T35" i="19"/>
  <c r="AF35" i="19" s="1"/>
  <c r="U35" i="19"/>
  <c r="AG35" i="19" s="1"/>
  <c r="Q36" i="19"/>
  <c r="AC36" i="19" s="1"/>
  <c r="R36" i="19"/>
  <c r="AD36" i="19" s="1"/>
  <c r="S36" i="19"/>
  <c r="AE36" i="19" s="1"/>
  <c r="T36" i="19"/>
  <c r="U36" i="19"/>
  <c r="AG36" i="19" s="1"/>
  <c r="Q37" i="19"/>
  <c r="R37" i="19"/>
  <c r="AD37" i="19" s="1"/>
  <c r="S37" i="19"/>
  <c r="T37" i="19"/>
  <c r="U37" i="19"/>
  <c r="Q38" i="19"/>
  <c r="R38" i="19"/>
  <c r="S38" i="19"/>
  <c r="T38" i="19"/>
  <c r="U38" i="19"/>
  <c r="Q39" i="19"/>
  <c r="R39" i="19"/>
  <c r="S39" i="19"/>
  <c r="T39" i="19"/>
  <c r="AF39" i="19" s="1"/>
  <c r="U39" i="19"/>
  <c r="AG39" i="19" s="1"/>
  <c r="Q40" i="19"/>
  <c r="AC40" i="19" s="1"/>
  <c r="R40" i="19"/>
  <c r="AD40" i="19" s="1"/>
  <c r="S40" i="19"/>
  <c r="AE40" i="19" s="1"/>
  <c r="T40" i="19"/>
  <c r="U40" i="19"/>
  <c r="AG40" i="19" s="1"/>
  <c r="Q41" i="19"/>
  <c r="R41" i="19"/>
  <c r="AD41" i="19" s="1"/>
  <c r="S41" i="19"/>
  <c r="T41" i="19"/>
  <c r="U41" i="19"/>
  <c r="Q42" i="19"/>
  <c r="R42" i="19"/>
  <c r="S42" i="19"/>
  <c r="T42" i="19"/>
  <c r="U42" i="19"/>
  <c r="Q43" i="19"/>
  <c r="R43" i="19"/>
  <c r="S43" i="19"/>
  <c r="T43" i="19"/>
  <c r="AF43" i="19" s="1"/>
  <c r="U43" i="19"/>
  <c r="AG43" i="19" s="1"/>
  <c r="Q44" i="19"/>
  <c r="AC44" i="19" s="1"/>
  <c r="R44" i="19"/>
  <c r="AD44" i="19" s="1"/>
  <c r="S44" i="19"/>
  <c r="AE44" i="19" s="1"/>
  <c r="T44" i="19"/>
  <c r="U44" i="19"/>
  <c r="AG44" i="19" s="1"/>
  <c r="Q45" i="19"/>
  <c r="R45" i="19"/>
  <c r="AD45" i="19" s="1"/>
  <c r="S45" i="19"/>
  <c r="T45" i="19"/>
  <c r="U45" i="19"/>
  <c r="Q46" i="19"/>
  <c r="R46" i="19"/>
  <c r="S46" i="19"/>
  <c r="T46" i="19"/>
  <c r="U46" i="19"/>
  <c r="Q47" i="19"/>
  <c r="R47" i="19"/>
  <c r="S47" i="19"/>
  <c r="T47" i="19"/>
  <c r="AF47" i="19" s="1"/>
  <c r="U47" i="19"/>
  <c r="AG47" i="19" s="1"/>
  <c r="Q48" i="19"/>
  <c r="AC48" i="19" s="1"/>
  <c r="R48" i="19"/>
  <c r="AD48" i="19" s="1"/>
  <c r="S48" i="19"/>
  <c r="AE48" i="19" s="1"/>
  <c r="T48" i="19"/>
  <c r="U48" i="19"/>
  <c r="AG48" i="19" s="1"/>
  <c r="Q49" i="19"/>
  <c r="R49" i="19"/>
  <c r="AD49" i="19" s="1"/>
  <c r="S49" i="19"/>
  <c r="T49" i="19"/>
  <c r="U49" i="19"/>
  <c r="Q50" i="19"/>
  <c r="R50" i="19"/>
  <c r="S50" i="19"/>
  <c r="T50" i="19"/>
  <c r="U50" i="19"/>
  <c r="Q51" i="19"/>
  <c r="R51" i="19"/>
  <c r="S51" i="19"/>
  <c r="T51" i="19"/>
  <c r="AF51" i="19" s="1"/>
  <c r="U51" i="19"/>
  <c r="AG51" i="19" s="1"/>
  <c r="Q52" i="19"/>
  <c r="AC52" i="19" s="1"/>
  <c r="R52" i="19"/>
  <c r="AD52" i="19" s="1"/>
  <c r="S52" i="19"/>
  <c r="AE52" i="19" s="1"/>
  <c r="T52" i="19"/>
  <c r="U52" i="19"/>
  <c r="AG52" i="19" s="1"/>
  <c r="Q53" i="19"/>
  <c r="R53" i="19"/>
  <c r="AD53" i="19" s="1"/>
  <c r="S53" i="19"/>
  <c r="T53" i="19"/>
  <c r="U53" i="19"/>
  <c r="Q54" i="19"/>
  <c r="R54" i="19"/>
  <c r="S54" i="19"/>
  <c r="T54" i="19"/>
  <c r="U54" i="19"/>
  <c r="Q55" i="19"/>
  <c r="R55" i="19"/>
  <c r="S55" i="19"/>
  <c r="T55" i="19"/>
  <c r="AF55" i="19" s="1"/>
  <c r="U55" i="19"/>
  <c r="AG55" i="19" s="1"/>
  <c r="Q56" i="19"/>
  <c r="AC56" i="19" s="1"/>
  <c r="R56" i="19"/>
  <c r="AD56" i="19" s="1"/>
  <c r="S56" i="19"/>
  <c r="AE56" i="19" s="1"/>
  <c r="T56" i="19"/>
  <c r="U56" i="19"/>
  <c r="AG56" i="19" s="1"/>
  <c r="Q57" i="19"/>
  <c r="R57" i="19"/>
  <c r="AD57" i="19" s="1"/>
  <c r="S57" i="19"/>
  <c r="T57" i="19"/>
  <c r="U57" i="19"/>
  <c r="Q58" i="19"/>
  <c r="R58" i="19"/>
  <c r="S58" i="19"/>
  <c r="T58" i="19"/>
  <c r="U58" i="19"/>
  <c r="Q59" i="19"/>
  <c r="R59" i="19"/>
  <c r="S59" i="19"/>
  <c r="T59" i="19"/>
  <c r="AF59" i="19" s="1"/>
  <c r="U59" i="19"/>
  <c r="AG59" i="19" s="1"/>
  <c r="Q60" i="19"/>
  <c r="AC60" i="19" s="1"/>
  <c r="R60" i="19"/>
  <c r="AD60" i="19" s="1"/>
  <c r="S60" i="19"/>
  <c r="AE60" i="19" s="1"/>
  <c r="T60" i="19"/>
  <c r="U60" i="19"/>
  <c r="AG60" i="19" s="1"/>
  <c r="Q61" i="19"/>
  <c r="R61" i="19"/>
  <c r="AD61" i="19" s="1"/>
  <c r="S61" i="19"/>
  <c r="T61" i="19"/>
  <c r="U61" i="19"/>
  <c r="Q62" i="19"/>
  <c r="R62" i="19"/>
  <c r="S62" i="19"/>
  <c r="T62" i="19"/>
  <c r="U62" i="19"/>
  <c r="Q63" i="19"/>
  <c r="R63" i="19"/>
  <c r="S63" i="19"/>
  <c r="T63" i="19"/>
  <c r="AF63" i="19" s="1"/>
  <c r="U63" i="19"/>
  <c r="AG63" i="19" s="1"/>
  <c r="Q64" i="19"/>
  <c r="AC64" i="19" s="1"/>
  <c r="R64" i="19"/>
  <c r="AD64" i="19" s="1"/>
  <c r="S64" i="19"/>
  <c r="AE64" i="19" s="1"/>
  <c r="T64" i="19"/>
  <c r="U64" i="19"/>
  <c r="AG64" i="19" s="1"/>
  <c r="R2" i="19"/>
  <c r="S2" i="19"/>
  <c r="AE2" i="19" s="1"/>
  <c r="T2" i="19"/>
  <c r="U2" i="19"/>
  <c r="Q2" i="19"/>
  <c r="N3" i="18"/>
  <c r="O3" i="18"/>
  <c r="N4" i="18"/>
  <c r="O4" i="18"/>
  <c r="N5" i="18"/>
  <c r="O5" i="18"/>
  <c r="N6" i="18"/>
  <c r="O6" i="18"/>
  <c r="N7" i="18"/>
  <c r="O7" i="18"/>
  <c r="N8" i="18"/>
  <c r="O8" i="18"/>
  <c r="N9" i="18"/>
  <c r="O9" i="18"/>
  <c r="N10" i="18"/>
  <c r="O10" i="18"/>
  <c r="N11" i="18"/>
  <c r="O11" i="18"/>
  <c r="N12" i="18"/>
  <c r="O12" i="18"/>
  <c r="N13" i="18"/>
  <c r="O13" i="18"/>
  <c r="N14" i="18"/>
  <c r="O14" i="18"/>
  <c r="N15" i="18"/>
  <c r="O15" i="18"/>
  <c r="N16" i="18"/>
  <c r="O16" i="18"/>
  <c r="N17" i="18"/>
  <c r="O17" i="18"/>
  <c r="N18" i="18"/>
  <c r="O18" i="18"/>
  <c r="N19" i="18"/>
  <c r="O19" i="18"/>
  <c r="N20" i="18"/>
  <c r="O20" i="18"/>
  <c r="N21" i="18"/>
  <c r="O21" i="18"/>
  <c r="N22" i="18"/>
  <c r="O22" i="18"/>
  <c r="N23" i="18"/>
  <c r="O23" i="18"/>
  <c r="N24" i="18"/>
  <c r="O24" i="18"/>
  <c r="N25" i="18"/>
  <c r="O25" i="18"/>
  <c r="N26" i="18"/>
  <c r="O26" i="18"/>
  <c r="N27" i="18"/>
  <c r="O27" i="18"/>
  <c r="N28" i="18"/>
  <c r="O28" i="18"/>
  <c r="N29" i="18"/>
  <c r="O29" i="18"/>
  <c r="N30" i="18"/>
  <c r="O30" i="18"/>
  <c r="N31" i="18"/>
  <c r="O31" i="18"/>
  <c r="N32" i="18"/>
  <c r="O32" i="18"/>
  <c r="N33" i="18"/>
  <c r="O33" i="18"/>
  <c r="N34" i="18"/>
  <c r="O34" i="18"/>
  <c r="N35" i="18"/>
  <c r="O35" i="18"/>
  <c r="N36" i="18"/>
  <c r="O36" i="18"/>
  <c r="N37" i="18"/>
  <c r="O37" i="18"/>
  <c r="N38" i="18"/>
  <c r="O38" i="18"/>
  <c r="N39" i="18"/>
  <c r="O39" i="18"/>
  <c r="N40" i="18"/>
  <c r="O40" i="18"/>
  <c r="N41" i="18"/>
  <c r="O41" i="18"/>
  <c r="N42" i="18"/>
  <c r="O42" i="18"/>
  <c r="N43" i="18"/>
  <c r="O43" i="18"/>
  <c r="N44" i="18"/>
  <c r="O44" i="18"/>
  <c r="N45" i="18"/>
  <c r="O45" i="18"/>
  <c r="N46" i="18"/>
  <c r="O46" i="18"/>
  <c r="N47" i="18"/>
  <c r="O47" i="18"/>
  <c r="N48" i="18"/>
  <c r="O48" i="18"/>
  <c r="N49" i="18"/>
  <c r="O49" i="18"/>
  <c r="N50" i="18"/>
  <c r="O50" i="18"/>
  <c r="N51" i="18"/>
  <c r="O51" i="18"/>
  <c r="N52" i="18"/>
  <c r="O52" i="18"/>
  <c r="N53" i="18"/>
  <c r="O53" i="18"/>
  <c r="N54" i="18"/>
  <c r="O54" i="18"/>
  <c r="N55" i="18"/>
  <c r="O55" i="18"/>
  <c r="N56" i="18"/>
  <c r="O56" i="18"/>
  <c r="N57" i="18"/>
  <c r="O57" i="18"/>
  <c r="N58" i="18"/>
  <c r="O58" i="18"/>
  <c r="N59" i="18"/>
  <c r="O59" i="18"/>
  <c r="N60" i="18"/>
  <c r="O60" i="18"/>
  <c r="N61" i="18"/>
  <c r="O61" i="18"/>
  <c r="N62" i="18"/>
  <c r="O62" i="18"/>
  <c r="N63" i="18"/>
  <c r="O63" i="18"/>
  <c r="N64" i="18"/>
  <c r="O64" i="18"/>
  <c r="O2" i="18"/>
  <c r="N2" i="18"/>
  <c r="AH3" i="17"/>
  <c r="AI3" i="17"/>
  <c r="AJ3" i="17"/>
  <c r="AH4" i="17"/>
  <c r="AI4" i="17"/>
  <c r="AJ4" i="17"/>
  <c r="AH5" i="17"/>
  <c r="AI5" i="17"/>
  <c r="AJ5" i="17"/>
  <c r="AH6" i="17"/>
  <c r="AI6" i="17"/>
  <c r="AJ6" i="17"/>
  <c r="AH7" i="17"/>
  <c r="AI7" i="17"/>
  <c r="AJ7" i="17"/>
  <c r="AH8" i="17"/>
  <c r="AI8" i="17"/>
  <c r="AJ8" i="17"/>
  <c r="AH9" i="17"/>
  <c r="AI9" i="17"/>
  <c r="AJ9" i="17"/>
  <c r="AH10" i="17"/>
  <c r="AI10" i="17"/>
  <c r="AJ10" i="17"/>
  <c r="AH11" i="17"/>
  <c r="AI11" i="17"/>
  <c r="AJ11" i="17"/>
  <c r="AH12" i="17"/>
  <c r="AI12" i="17"/>
  <c r="AJ12" i="17"/>
  <c r="AH13" i="17"/>
  <c r="AI13" i="17"/>
  <c r="AJ13" i="17"/>
  <c r="AH14" i="17"/>
  <c r="AI14" i="17"/>
  <c r="AJ14" i="17"/>
  <c r="AH15" i="17"/>
  <c r="AI15" i="17"/>
  <c r="AJ15" i="17"/>
  <c r="AH16" i="17"/>
  <c r="AI16" i="17"/>
  <c r="AJ16" i="17"/>
  <c r="AH17" i="17"/>
  <c r="AI17" i="17"/>
  <c r="AJ17" i="17"/>
  <c r="AH18" i="17"/>
  <c r="AI18" i="17"/>
  <c r="AJ18" i="17"/>
  <c r="AH19" i="17"/>
  <c r="AI19" i="17"/>
  <c r="AJ19" i="17"/>
  <c r="AH20" i="17"/>
  <c r="AI20" i="17"/>
  <c r="AJ20" i="17"/>
  <c r="AH21" i="17"/>
  <c r="AI21" i="17"/>
  <c r="AJ21" i="17"/>
  <c r="AH22" i="17"/>
  <c r="AI22" i="17"/>
  <c r="AJ22" i="17"/>
  <c r="AH23" i="17"/>
  <c r="AI23" i="17"/>
  <c r="AJ23" i="17"/>
  <c r="AH24" i="17"/>
  <c r="AI24" i="17"/>
  <c r="AJ24" i="17"/>
  <c r="AH25" i="17"/>
  <c r="AI25" i="17"/>
  <c r="AJ25" i="17"/>
  <c r="AH26" i="17"/>
  <c r="AI26" i="17"/>
  <c r="AJ26" i="17"/>
  <c r="AH27" i="17"/>
  <c r="AI27" i="17"/>
  <c r="AJ27" i="17"/>
  <c r="AH28" i="17"/>
  <c r="AI28" i="17"/>
  <c r="AJ28" i="17"/>
  <c r="AH29" i="17"/>
  <c r="AI29" i="17"/>
  <c r="AJ29" i="17"/>
  <c r="AH30" i="17"/>
  <c r="AI30" i="17"/>
  <c r="AJ30" i="17"/>
  <c r="AH31" i="17"/>
  <c r="AI31" i="17"/>
  <c r="AJ31" i="17"/>
  <c r="AH32" i="17"/>
  <c r="AI32" i="17"/>
  <c r="AJ32" i="17"/>
  <c r="AH33" i="17"/>
  <c r="AI33" i="17"/>
  <c r="AJ33" i="17"/>
  <c r="AH34" i="17"/>
  <c r="AI34" i="17"/>
  <c r="AJ34" i="17"/>
  <c r="AH35" i="17"/>
  <c r="AI35" i="17"/>
  <c r="AJ35" i="17"/>
  <c r="AH36" i="17"/>
  <c r="AI36" i="17"/>
  <c r="AJ36" i="17"/>
  <c r="AH37" i="17"/>
  <c r="AI37" i="17"/>
  <c r="AJ37" i="17"/>
  <c r="AH38" i="17"/>
  <c r="AI38" i="17"/>
  <c r="AJ38" i="17"/>
  <c r="AH39" i="17"/>
  <c r="AI39" i="17"/>
  <c r="AJ39" i="17"/>
  <c r="AH40" i="17"/>
  <c r="AI40" i="17"/>
  <c r="AJ40" i="17"/>
  <c r="AH41" i="17"/>
  <c r="AI41" i="17"/>
  <c r="AJ41" i="17"/>
  <c r="AH42" i="17"/>
  <c r="AI42" i="17"/>
  <c r="AJ42" i="17"/>
  <c r="AH43" i="17"/>
  <c r="AI43" i="17"/>
  <c r="AJ43" i="17"/>
  <c r="AH44" i="17"/>
  <c r="AI44" i="17"/>
  <c r="AJ44" i="17"/>
  <c r="AH45" i="17"/>
  <c r="AI45" i="17"/>
  <c r="AJ45" i="17"/>
  <c r="AH46" i="17"/>
  <c r="AI46" i="17"/>
  <c r="AJ46" i="17"/>
  <c r="AH47" i="17"/>
  <c r="AI47" i="17"/>
  <c r="AJ47" i="17"/>
  <c r="AH48" i="17"/>
  <c r="AI48" i="17"/>
  <c r="AJ48" i="17"/>
  <c r="AH49" i="17"/>
  <c r="AI49" i="17"/>
  <c r="AJ49" i="17"/>
  <c r="AH50" i="17"/>
  <c r="AI50" i="17"/>
  <c r="AJ50" i="17"/>
  <c r="AH51" i="17"/>
  <c r="AI51" i="17"/>
  <c r="AJ51" i="17"/>
  <c r="AH52" i="17"/>
  <c r="AI52" i="17"/>
  <c r="AJ52" i="17"/>
  <c r="AH53" i="17"/>
  <c r="AI53" i="17"/>
  <c r="AJ53" i="17"/>
  <c r="AH54" i="17"/>
  <c r="AI54" i="17"/>
  <c r="AJ54" i="17"/>
  <c r="AH55" i="17"/>
  <c r="AI55" i="17"/>
  <c r="AJ55" i="17"/>
  <c r="AH56" i="17"/>
  <c r="AI56" i="17"/>
  <c r="AJ56" i="17"/>
  <c r="AH57" i="17"/>
  <c r="AI57" i="17"/>
  <c r="AJ57" i="17"/>
  <c r="AH58" i="17"/>
  <c r="AI58" i="17"/>
  <c r="AJ58" i="17"/>
  <c r="AH59" i="17"/>
  <c r="AI59" i="17"/>
  <c r="AJ59" i="17"/>
  <c r="AH60" i="17"/>
  <c r="AI60" i="17"/>
  <c r="AJ60" i="17"/>
  <c r="AH61" i="17"/>
  <c r="AI61" i="17"/>
  <c r="AJ61" i="17"/>
  <c r="AH62" i="17"/>
  <c r="AI62" i="17"/>
  <c r="AJ62" i="17"/>
  <c r="AH63" i="17"/>
  <c r="AI63" i="17"/>
  <c r="AJ63" i="17"/>
  <c r="AH64" i="17"/>
  <c r="AI64" i="17"/>
  <c r="AJ64" i="17"/>
  <c r="AI2" i="17"/>
  <c r="AJ2" i="17"/>
  <c r="AH2" i="17"/>
  <c r="V3" i="17"/>
  <c r="W3" i="17"/>
  <c r="X3" i="17"/>
  <c r="V4" i="17"/>
  <c r="W4" i="17"/>
  <c r="X4" i="17"/>
  <c r="V5" i="17"/>
  <c r="W5" i="17"/>
  <c r="X5" i="17"/>
  <c r="V6" i="17"/>
  <c r="W6" i="17"/>
  <c r="X6" i="17"/>
  <c r="V7" i="17"/>
  <c r="W7" i="17"/>
  <c r="X7" i="17"/>
  <c r="V8" i="17"/>
  <c r="W8" i="17"/>
  <c r="X8" i="17"/>
  <c r="V9" i="17"/>
  <c r="W9" i="17"/>
  <c r="X9" i="17"/>
  <c r="V10" i="17"/>
  <c r="W10" i="17"/>
  <c r="X10" i="17"/>
  <c r="V11" i="17"/>
  <c r="W11" i="17"/>
  <c r="X11" i="17"/>
  <c r="V12" i="17"/>
  <c r="W12" i="17"/>
  <c r="X12" i="17"/>
  <c r="V13" i="17"/>
  <c r="W13" i="17"/>
  <c r="X13" i="17"/>
  <c r="V14" i="17"/>
  <c r="W14" i="17"/>
  <c r="X14" i="17"/>
  <c r="V15" i="17"/>
  <c r="W15" i="17"/>
  <c r="X15" i="17"/>
  <c r="V16" i="17"/>
  <c r="W16" i="17"/>
  <c r="X16" i="17"/>
  <c r="V17" i="17"/>
  <c r="W17" i="17"/>
  <c r="X17" i="17"/>
  <c r="V18" i="17"/>
  <c r="W18" i="17"/>
  <c r="X18" i="17"/>
  <c r="V19" i="17"/>
  <c r="W19" i="17"/>
  <c r="X19" i="17"/>
  <c r="V20" i="17"/>
  <c r="W20" i="17"/>
  <c r="X20" i="17"/>
  <c r="V21" i="17"/>
  <c r="W21" i="17"/>
  <c r="X21" i="17"/>
  <c r="V22" i="17"/>
  <c r="W22" i="17"/>
  <c r="X22" i="17"/>
  <c r="V23" i="17"/>
  <c r="W23" i="17"/>
  <c r="X23" i="17"/>
  <c r="V24" i="17"/>
  <c r="W24" i="17"/>
  <c r="X24" i="17"/>
  <c r="V25" i="17"/>
  <c r="W25" i="17"/>
  <c r="X25" i="17"/>
  <c r="V26" i="17"/>
  <c r="W26" i="17"/>
  <c r="X26" i="17"/>
  <c r="V27" i="17"/>
  <c r="W27" i="17"/>
  <c r="X27" i="17"/>
  <c r="V28" i="17"/>
  <c r="W28" i="17"/>
  <c r="X28" i="17"/>
  <c r="V29" i="17"/>
  <c r="W29" i="17"/>
  <c r="X29" i="17"/>
  <c r="V30" i="17"/>
  <c r="W30" i="17"/>
  <c r="X30" i="17"/>
  <c r="V31" i="17"/>
  <c r="W31" i="17"/>
  <c r="X31" i="17"/>
  <c r="V32" i="17"/>
  <c r="W32" i="17"/>
  <c r="X32" i="17"/>
  <c r="V33" i="17"/>
  <c r="W33" i="17"/>
  <c r="X33" i="17"/>
  <c r="V34" i="17"/>
  <c r="W34" i="17"/>
  <c r="X34" i="17"/>
  <c r="V35" i="17"/>
  <c r="W35" i="17"/>
  <c r="X35" i="17"/>
  <c r="V36" i="17"/>
  <c r="W36" i="17"/>
  <c r="X36" i="17"/>
  <c r="V37" i="17"/>
  <c r="W37" i="17"/>
  <c r="X37" i="17"/>
  <c r="V38" i="17"/>
  <c r="W38" i="17"/>
  <c r="X38" i="17"/>
  <c r="V39" i="17"/>
  <c r="W39" i="17"/>
  <c r="X39" i="17"/>
  <c r="V40" i="17"/>
  <c r="W40" i="17"/>
  <c r="X40" i="17"/>
  <c r="V41" i="17"/>
  <c r="W41" i="17"/>
  <c r="X41" i="17"/>
  <c r="V42" i="17"/>
  <c r="W42" i="17"/>
  <c r="X42" i="17"/>
  <c r="V43" i="17"/>
  <c r="W43" i="17"/>
  <c r="X43" i="17"/>
  <c r="V44" i="17"/>
  <c r="W44" i="17"/>
  <c r="X44" i="17"/>
  <c r="V45" i="17"/>
  <c r="W45" i="17"/>
  <c r="X45" i="17"/>
  <c r="V46" i="17"/>
  <c r="W46" i="17"/>
  <c r="X46" i="17"/>
  <c r="V47" i="17"/>
  <c r="W47" i="17"/>
  <c r="X47" i="17"/>
  <c r="V48" i="17"/>
  <c r="W48" i="17"/>
  <c r="X48" i="17"/>
  <c r="V49" i="17"/>
  <c r="W49" i="17"/>
  <c r="X49" i="17"/>
  <c r="V50" i="17"/>
  <c r="W50" i="17"/>
  <c r="X50" i="17"/>
  <c r="V51" i="17"/>
  <c r="W51" i="17"/>
  <c r="X51" i="17"/>
  <c r="V52" i="17"/>
  <c r="W52" i="17"/>
  <c r="X52" i="17"/>
  <c r="V53" i="17"/>
  <c r="W53" i="17"/>
  <c r="X53" i="17"/>
  <c r="V54" i="17"/>
  <c r="W54" i="17"/>
  <c r="X54" i="17"/>
  <c r="V55" i="17"/>
  <c r="W55" i="17"/>
  <c r="X55" i="17"/>
  <c r="V56" i="17"/>
  <c r="W56" i="17"/>
  <c r="X56" i="17"/>
  <c r="V57" i="17"/>
  <c r="W57" i="17"/>
  <c r="X57" i="17"/>
  <c r="V58" i="17"/>
  <c r="W58" i="17"/>
  <c r="X58" i="17"/>
  <c r="V59" i="17"/>
  <c r="W59" i="17"/>
  <c r="X59" i="17"/>
  <c r="V60" i="17"/>
  <c r="W60" i="17"/>
  <c r="X60" i="17"/>
  <c r="V61" i="17"/>
  <c r="W61" i="17"/>
  <c r="X61" i="17"/>
  <c r="V62" i="17"/>
  <c r="W62" i="17"/>
  <c r="X62" i="17"/>
  <c r="V63" i="17"/>
  <c r="W63" i="17"/>
  <c r="X63" i="17"/>
  <c r="V64" i="17"/>
  <c r="W64" i="17"/>
  <c r="X64" i="17"/>
  <c r="W2" i="17"/>
  <c r="X2" i="17"/>
  <c r="V2" i="17"/>
  <c r="S3" i="16"/>
  <c r="T3" i="16"/>
  <c r="U3" i="16"/>
  <c r="V3" i="16"/>
  <c r="S4" i="16"/>
  <c r="T4" i="16"/>
  <c r="U4" i="16"/>
  <c r="V4" i="16"/>
  <c r="S5" i="16"/>
  <c r="T5" i="16"/>
  <c r="U5" i="16"/>
  <c r="V5" i="16"/>
  <c r="S6" i="16"/>
  <c r="T6" i="16"/>
  <c r="U6" i="16"/>
  <c r="V6" i="16"/>
  <c r="S7" i="16"/>
  <c r="T7" i="16"/>
  <c r="U7" i="16"/>
  <c r="V7" i="16"/>
  <c r="S8" i="16"/>
  <c r="T8" i="16"/>
  <c r="U8" i="16"/>
  <c r="V8" i="16"/>
  <c r="S9" i="16"/>
  <c r="T9" i="16"/>
  <c r="U9" i="16"/>
  <c r="V9" i="16"/>
  <c r="S10" i="16"/>
  <c r="T10" i="16"/>
  <c r="U10" i="16"/>
  <c r="V10" i="16"/>
  <c r="S11" i="16"/>
  <c r="T11" i="16"/>
  <c r="U11" i="16"/>
  <c r="V11" i="16"/>
  <c r="S12" i="16"/>
  <c r="T12" i="16"/>
  <c r="U12" i="16"/>
  <c r="V12" i="16"/>
  <c r="S13" i="16"/>
  <c r="T13" i="16"/>
  <c r="U13" i="16"/>
  <c r="V13" i="16"/>
  <c r="S14" i="16"/>
  <c r="T14" i="16"/>
  <c r="U14" i="16"/>
  <c r="V14" i="16"/>
  <c r="S15" i="16"/>
  <c r="T15" i="16"/>
  <c r="U15" i="16"/>
  <c r="V15" i="16"/>
  <c r="S16" i="16"/>
  <c r="T16" i="16"/>
  <c r="U16" i="16"/>
  <c r="V16" i="16"/>
  <c r="S17" i="16"/>
  <c r="T17" i="16"/>
  <c r="U17" i="16"/>
  <c r="V17" i="16"/>
  <c r="S18" i="16"/>
  <c r="T18" i="16"/>
  <c r="U18" i="16"/>
  <c r="V18" i="16"/>
  <c r="S19" i="16"/>
  <c r="T19" i="16"/>
  <c r="U19" i="16"/>
  <c r="V19" i="16"/>
  <c r="S20" i="16"/>
  <c r="T20" i="16"/>
  <c r="U20" i="16"/>
  <c r="V20" i="16"/>
  <c r="S21" i="16"/>
  <c r="T21" i="16"/>
  <c r="U21" i="16"/>
  <c r="V21" i="16"/>
  <c r="S22" i="16"/>
  <c r="T22" i="16"/>
  <c r="U22" i="16"/>
  <c r="V22" i="16"/>
  <c r="S23" i="16"/>
  <c r="T23" i="16"/>
  <c r="U23" i="16"/>
  <c r="V23" i="16"/>
  <c r="S24" i="16"/>
  <c r="T24" i="16"/>
  <c r="U24" i="16"/>
  <c r="V24" i="16"/>
  <c r="S25" i="16"/>
  <c r="T25" i="16"/>
  <c r="U25" i="16"/>
  <c r="V25" i="16"/>
  <c r="S26" i="16"/>
  <c r="T26" i="16"/>
  <c r="U26" i="16"/>
  <c r="V26" i="16"/>
  <c r="S27" i="16"/>
  <c r="T27" i="16"/>
  <c r="U27" i="16"/>
  <c r="V27" i="16"/>
  <c r="S28" i="16"/>
  <c r="T28" i="16"/>
  <c r="U28" i="16"/>
  <c r="V28" i="16"/>
  <c r="S29" i="16"/>
  <c r="T29" i="16"/>
  <c r="U29" i="16"/>
  <c r="V29" i="16"/>
  <c r="S30" i="16"/>
  <c r="T30" i="16"/>
  <c r="U30" i="16"/>
  <c r="V30" i="16"/>
  <c r="S31" i="16"/>
  <c r="T31" i="16"/>
  <c r="U31" i="16"/>
  <c r="V31" i="16"/>
  <c r="S32" i="16"/>
  <c r="T32" i="16"/>
  <c r="U32" i="16"/>
  <c r="V32" i="16"/>
  <c r="S33" i="16"/>
  <c r="T33" i="16"/>
  <c r="U33" i="16"/>
  <c r="V33" i="16"/>
  <c r="S34" i="16"/>
  <c r="T34" i="16"/>
  <c r="U34" i="16"/>
  <c r="V34" i="16"/>
  <c r="S35" i="16"/>
  <c r="T35" i="16"/>
  <c r="U35" i="16"/>
  <c r="V35" i="16"/>
  <c r="S36" i="16"/>
  <c r="T36" i="16"/>
  <c r="U36" i="16"/>
  <c r="V36" i="16"/>
  <c r="S37" i="16"/>
  <c r="T37" i="16"/>
  <c r="U37" i="16"/>
  <c r="V37" i="16"/>
  <c r="S38" i="16"/>
  <c r="T38" i="16"/>
  <c r="U38" i="16"/>
  <c r="V38" i="16"/>
  <c r="S39" i="16"/>
  <c r="T39" i="16"/>
  <c r="U39" i="16"/>
  <c r="V39" i="16"/>
  <c r="S40" i="16"/>
  <c r="T40" i="16"/>
  <c r="U40" i="16"/>
  <c r="V40" i="16"/>
  <c r="S41" i="16"/>
  <c r="T41" i="16"/>
  <c r="U41" i="16"/>
  <c r="V41" i="16"/>
  <c r="S42" i="16"/>
  <c r="T42" i="16"/>
  <c r="U42" i="16"/>
  <c r="V42" i="16"/>
  <c r="S43" i="16"/>
  <c r="T43" i="16"/>
  <c r="U43" i="16"/>
  <c r="V43" i="16"/>
  <c r="S44" i="16"/>
  <c r="T44" i="16"/>
  <c r="U44" i="16"/>
  <c r="V44" i="16"/>
  <c r="S45" i="16"/>
  <c r="T45" i="16"/>
  <c r="U45" i="16"/>
  <c r="V45" i="16"/>
  <c r="S46" i="16"/>
  <c r="T46" i="16"/>
  <c r="U46" i="16"/>
  <c r="V46" i="16"/>
  <c r="S47" i="16"/>
  <c r="T47" i="16"/>
  <c r="U47" i="16"/>
  <c r="V47" i="16"/>
  <c r="S48" i="16"/>
  <c r="T48" i="16"/>
  <c r="U48" i="16"/>
  <c r="V48" i="16"/>
  <c r="S49" i="16"/>
  <c r="T49" i="16"/>
  <c r="U49" i="16"/>
  <c r="V49" i="16"/>
  <c r="S50" i="16"/>
  <c r="T50" i="16"/>
  <c r="U50" i="16"/>
  <c r="V50" i="16"/>
  <c r="S51" i="16"/>
  <c r="T51" i="16"/>
  <c r="U51" i="16"/>
  <c r="V51" i="16"/>
  <c r="S52" i="16"/>
  <c r="T52" i="16"/>
  <c r="U52" i="16"/>
  <c r="V52" i="16"/>
  <c r="S53" i="16"/>
  <c r="T53" i="16"/>
  <c r="U53" i="16"/>
  <c r="V53" i="16"/>
  <c r="S54" i="16"/>
  <c r="T54" i="16"/>
  <c r="U54" i="16"/>
  <c r="V54" i="16"/>
  <c r="S55" i="16"/>
  <c r="T55" i="16"/>
  <c r="U55" i="16"/>
  <c r="V55" i="16"/>
  <c r="S56" i="16"/>
  <c r="T56" i="16"/>
  <c r="U56" i="16"/>
  <c r="V56" i="16"/>
  <c r="S57" i="16"/>
  <c r="T57" i="16"/>
  <c r="U57" i="16"/>
  <c r="V57" i="16"/>
  <c r="S58" i="16"/>
  <c r="T58" i="16"/>
  <c r="U58" i="16"/>
  <c r="V58" i="16"/>
  <c r="S59" i="16"/>
  <c r="T59" i="16"/>
  <c r="U59" i="16"/>
  <c r="V59" i="16"/>
  <c r="S60" i="16"/>
  <c r="T60" i="16"/>
  <c r="U60" i="16"/>
  <c r="V60" i="16"/>
  <c r="S61" i="16"/>
  <c r="T61" i="16"/>
  <c r="U61" i="16"/>
  <c r="V61" i="16"/>
  <c r="S62" i="16"/>
  <c r="T62" i="16"/>
  <c r="U62" i="16"/>
  <c r="V62" i="16"/>
  <c r="S63" i="16"/>
  <c r="T63" i="16"/>
  <c r="U63" i="16"/>
  <c r="V63" i="16"/>
  <c r="S64" i="16"/>
  <c r="T64" i="16"/>
  <c r="U64" i="16"/>
  <c r="V64" i="16"/>
  <c r="T2" i="16"/>
  <c r="U2" i="16"/>
  <c r="V2" i="16"/>
  <c r="S2" i="16"/>
  <c r="W2" i="15"/>
  <c r="X2" i="15"/>
  <c r="Y2" i="15"/>
  <c r="Z2" i="15"/>
  <c r="W3" i="15"/>
  <c r="X3" i="15"/>
  <c r="Y3" i="15"/>
  <c r="Z3" i="15"/>
  <c r="W4" i="15"/>
  <c r="X4" i="15"/>
  <c r="Y4" i="15"/>
  <c r="Z4" i="15"/>
  <c r="W5" i="15"/>
  <c r="X5" i="15"/>
  <c r="Y5" i="15"/>
  <c r="Z5" i="15"/>
  <c r="W6" i="15"/>
  <c r="X6" i="15"/>
  <c r="Y6" i="15"/>
  <c r="Z6" i="15"/>
  <c r="W7" i="15"/>
  <c r="X7" i="15"/>
  <c r="Y7" i="15"/>
  <c r="Z7" i="15"/>
  <c r="W8" i="15"/>
  <c r="X8" i="15"/>
  <c r="Y8" i="15"/>
  <c r="Z8" i="15"/>
  <c r="W9" i="15"/>
  <c r="X9" i="15"/>
  <c r="Y9" i="15"/>
  <c r="Z9" i="15"/>
  <c r="W10" i="15"/>
  <c r="X10" i="15"/>
  <c r="Y10" i="15"/>
  <c r="Z10" i="15"/>
  <c r="W11" i="15"/>
  <c r="X11" i="15"/>
  <c r="Y11" i="15"/>
  <c r="Z11" i="15"/>
  <c r="W12" i="15"/>
  <c r="X12" i="15"/>
  <c r="Y12" i="15"/>
  <c r="Z12" i="15"/>
  <c r="W13" i="15"/>
  <c r="X13" i="15"/>
  <c r="Y13" i="15"/>
  <c r="Z13" i="15"/>
  <c r="W14" i="15"/>
  <c r="X14" i="15"/>
  <c r="Y14" i="15"/>
  <c r="Z14" i="15"/>
  <c r="W15" i="15"/>
  <c r="X15" i="15"/>
  <c r="Y15" i="15"/>
  <c r="Z15" i="15"/>
  <c r="W16" i="15"/>
  <c r="X16" i="15"/>
  <c r="Y16" i="15"/>
  <c r="Z16" i="15"/>
  <c r="W17" i="15"/>
  <c r="X17" i="15"/>
  <c r="Y17" i="15"/>
  <c r="Z17" i="15"/>
  <c r="W18" i="15"/>
  <c r="X18" i="15"/>
  <c r="Y18" i="15"/>
  <c r="Z18" i="15"/>
  <c r="W19" i="15"/>
  <c r="X19" i="15"/>
  <c r="Y19" i="15"/>
  <c r="Z19" i="15"/>
  <c r="W20" i="15"/>
  <c r="X20" i="15"/>
  <c r="Y20" i="15"/>
  <c r="Z20" i="15"/>
  <c r="W21" i="15"/>
  <c r="X21" i="15"/>
  <c r="Y21" i="15"/>
  <c r="Z21" i="15"/>
  <c r="W22" i="15"/>
  <c r="X22" i="15"/>
  <c r="Y22" i="15"/>
  <c r="Z22" i="15"/>
  <c r="W23" i="15"/>
  <c r="X23" i="15"/>
  <c r="Y23" i="15"/>
  <c r="Z23" i="15"/>
  <c r="W24" i="15"/>
  <c r="X24" i="15"/>
  <c r="Y24" i="15"/>
  <c r="Z24" i="15"/>
  <c r="W25" i="15"/>
  <c r="X25" i="15"/>
  <c r="Y25" i="15"/>
  <c r="Z25" i="15"/>
  <c r="W26" i="15"/>
  <c r="X26" i="15"/>
  <c r="Y26" i="15"/>
  <c r="Z26" i="15"/>
  <c r="W27" i="15"/>
  <c r="X27" i="15"/>
  <c r="Y27" i="15"/>
  <c r="Z27" i="15"/>
  <c r="W28" i="15"/>
  <c r="X28" i="15"/>
  <c r="Y28" i="15"/>
  <c r="Z28" i="15"/>
  <c r="W29" i="15"/>
  <c r="X29" i="15"/>
  <c r="Y29" i="15"/>
  <c r="Z29" i="15"/>
  <c r="W30" i="15"/>
  <c r="X30" i="15"/>
  <c r="Y30" i="15"/>
  <c r="Z30" i="15"/>
  <c r="W31" i="15"/>
  <c r="X31" i="15"/>
  <c r="Y31" i="15"/>
  <c r="Z31" i="15"/>
  <c r="W32" i="15"/>
  <c r="X32" i="15"/>
  <c r="Y32" i="15"/>
  <c r="Z32" i="15"/>
  <c r="W33" i="15"/>
  <c r="X33" i="15"/>
  <c r="Y33" i="15"/>
  <c r="Z33" i="15"/>
  <c r="W34" i="15"/>
  <c r="X34" i="15"/>
  <c r="Y34" i="15"/>
  <c r="Z34" i="15"/>
  <c r="W35" i="15"/>
  <c r="X35" i="15"/>
  <c r="Y35" i="15"/>
  <c r="Z35" i="15"/>
  <c r="W36" i="15"/>
  <c r="X36" i="15"/>
  <c r="Y36" i="15"/>
  <c r="Z36" i="15"/>
  <c r="W37" i="15"/>
  <c r="X37" i="15"/>
  <c r="Y37" i="15"/>
  <c r="Z37" i="15"/>
  <c r="W38" i="15"/>
  <c r="X38" i="15"/>
  <c r="Y38" i="15"/>
  <c r="Z38" i="15"/>
  <c r="W39" i="15"/>
  <c r="X39" i="15"/>
  <c r="Y39" i="15"/>
  <c r="Z39" i="15"/>
  <c r="W40" i="15"/>
  <c r="X40" i="15"/>
  <c r="Y40" i="15"/>
  <c r="Z40" i="15"/>
  <c r="W41" i="15"/>
  <c r="X41" i="15"/>
  <c r="Y41" i="15"/>
  <c r="Z41" i="15"/>
  <c r="W42" i="15"/>
  <c r="X42" i="15"/>
  <c r="Y42" i="15"/>
  <c r="Z42" i="15"/>
  <c r="W43" i="15"/>
  <c r="X43" i="15"/>
  <c r="Y43" i="15"/>
  <c r="Z43" i="15"/>
  <c r="W44" i="15"/>
  <c r="X44" i="15"/>
  <c r="Y44" i="15"/>
  <c r="Z44" i="15"/>
  <c r="W45" i="15"/>
  <c r="X45" i="15"/>
  <c r="Y45" i="15"/>
  <c r="Z45" i="15"/>
  <c r="W46" i="15"/>
  <c r="X46" i="15"/>
  <c r="Y46" i="15"/>
  <c r="Z46" i="15"/>
  <c r="W47" i="15"/>
  <c r="X47" i="15"/>
  <c r="Y47" i="15"/>
  <c r="Z47" i="15"/>
  <c r="W48" i="15"/>
  <c r="X48" i="15"/>
  <c r="Y48" i="15"/>
  <c r="Z48" i="15"/>
  <c r="W49" i="15"/>
  <c r="X49" i="15"/>
  <c r="Y49" i="15"/>
  <c r="Z49" i="15"/>
  <c r="W50" i="15"/>
  <c r="X50" i="15"/>
  <c r="Y50" i="15"/>
  <c r="Z50" i="15"/>
  <c r="W51" i="15"/>
  <c r="X51" i="15"/>
  <c r="Y51" i="15"/>
  <c r="Z51" i="15"/>
  <c r="W52" i="15"/>
  <c r="X52" i="15"/>
  <c r="Y52" i="15"/>
  <c r="Z52" i="15"/>
  <c r="W53" i="15"/>
  <c r="X53" i="15"/>
  <c r="Y53" i="15"/>
  <c r="Z53" i="15"/>
  <c r="W54" i="15"/>
  <c r="X54" i="15"/>
  <c r="Y54" i="15"/>
  <c r="Z54" i="15"/>
  <c r="W55" i="15"/>
  <c r="X55" i="15"/>
  <c r="Y55" i="15"/>
  <c r="Z55" i="15"/>
  <c r="W56" i="15"/>
  <c r="X56" i="15"/>
  <c r="Y56" i="15"/>
  <c r="Z56" i="15"/>
  <c r="W57" i="15"/>
  <c r="X57" i="15"/>
  <c r="Y57" i="15"/>
  <c r="Z57" i="15"/>
  <c r="W58" i="15"/>
  <c r="X58" i="15"/>
  <c r="Y58" i="15"/>
  <c r="Z58" i="15"/>
  <c r="W59" i="15"/>
  <c r="X59" i="15"/>
  <c r="Y59" i="15"/>
  <c r="Z59" i="15"/>
  <c r="W60" i="15"/>
  <c r="X60" i="15"/>
  <c r="Y60" i="15"/>
  <c r="Z60" i="15"/>
  <c r="W61" i="15"/>
  <c r="X61" i="15"/>
  <c r="Y61" i="15"/>
  <c r="Z61" i="15"/>
  <c r="W62" i="15"/>
  <c r="X62" i="15"/>
  <c r="Y62" i="15"/>
  <c r="Z62" i="15"/>
  <c r="W63" i="15"/>
  <c r="X63" i="15"/>
  <c r="Y63" i="15"/>
  <c r="Z63" i="15"/>
  <c r="W64" i="15"/>
  <c r="X64" i="15"/>
  <c r="Y64" i="15"/>
  <c r="Z64" i="15"/>
  <c r="AE3" i="14"/>
  <c r="AE4" i="14"/>
  <c r="AE5" i="14"/>
  <c r="AE6" i="14"/>
  <c r="AE7" i="14"/>
  <c r="AE8" i="14"/>
  <c r="AE9" i="14"/>
  <c r="AE10" i="14"/>
  <c r="AE11" i="14"/>
  <c r="AE12" i="14"/>
  <c r="AE13" i="14"/>
  <c r="AE14" i="14"/>
  <c r="AE15" i="14"/>
  <c r="AE16" i="14"/>
  <c r="AE17" i="14"/>
  <c r="AE18" i="14"/>
  <c r="AE19" i="14"/>
  <c r="AE20" i="14"/>
  <c r="AE21" i="14"/>
  <c r="AE22" i="14"/>
  <c r="AE23" i="14"/>
  <c r="AE24" i="14"/>
  <c r="AE25" i="14"/>
  <c r="AE26" i="14"/>
  <c r="AE27" i="14"/>
  <c r="AE28" i="14"/>
  <c r="AE29" i="14"/>
  <c r="AE30" i="14"/>
  <c r="AE31" i="14"/>
  <c r="AE32" i="14"/>
  <c r="AE33" i="14"/>
  <c r="AE34" i="14"/>
  <c r="AE35" i="14"/>
  <c r="AE36" i="14"/>
  <c r="AE37" i="14"/>
  <c r="AE38" i="14"/>
  <c r="AE39" i="14"/>
  <c r="AE40" i="14"/>
  <c r="AE41" i="14"/>
  <c r="AE42" i="14"/>
  <c r="AE43" i="14"/>
  <c r="AE44" i="14"/>
  <c r="AE45" i="14"/>
  <c r="AE46" i="14"/>
  <c r="AE47" i="14"/>
  <c r="AE48" i="14"/>
  <c r="AE49" i="14"/>
  <c r="AE50" i="14"/>
  <c r="AE51" i="14"/>
  <c r="AE52" i="14"/>
  <c r="AE53" i="14"/>
  <c r="AE54" i="14"/>
  <c r="AE55" i="14"/>
  <c r="AE56" i="14"/>
  <c r="AE57" i="14"/>
  <c r="AE58" i="14"/>
  <c r="AE59" i="14"/>
  <c r="AE60" i="14"/>
  <c r="AE61" i="14"/>
  <c r="AE62" i="14"/>
  <c r="AE63" i="14"/>
  <c r="AE64" i="14"/>
  <c r="AD3" i="14"/>
  <c r="AD4" i="14"/>
  <c r="AD5" i="14"/>
  <c r="AD6" i="14"/>
  <c r="AD7" i="14"/>
  <c r="AD8" i="14"/>
  <c r="AD9" i="14"/>
  <c r="AD10" i="14"/>
  <c r="AD11" i="14"/>
  <c r="AD12" i="14"/>
  <c r="AD13" i="14"/>
  <c r="AD14" i="14"/>
  <c r="AD15" i="14"/>
  <c r="AD16" i="14"/>
  <c r="AD17" i="14"/>
  <c r="AD18" i="14"/>
  <c r="AD19" i="14"/>
  <c r="AD20" i="14"/>
  <c r="AD21" i="14"/>
  <c r="AD22" i="14"/>
  <c r="AD23" i="14"/>
  <c r="AD24" i="14"/>
  <c r="AD25" i="14"/>
  <c r="AD26" i="14"/>
  <c r="AD27" i="14"/>
  <c r="AD28" i="14"/>
  <c r="AD29" i="14"/>
  <c r="AD30" i="14"/>
  <c r="AD31" i="14"/>
  <c r="AD32" i="14"/>
  <c r="AD33" i="14"/>
  <c r="AD34" i="14"/>
  <c r="AD35" i="14"/>
  <c r="AD36" i="14"/>
  <c r="AD37" i="14"/>
  <c r="AD38" i="14"/>
  <c r="AD39" i="14"/>
  <c r="AD40" i="14"/>
  <c r="AD41" i="14"/>
  <c r="AD42" i="14"/>
  <c r="AD43" i="14"/>
  <c r="AD44" i="14"/>
  <c r="AD45" i="14"/>
  <c r="AD46" i="14"/>
  <c r="AD47" i="14"/>
  <c r="AD48" i="14"/>
  <c r="AD49" i="14"/>
  <c r="AD50" i="14"/>
  <c r="AD51" i="14"/>
  <c r="AD52" i="14"/>
  <c r="AD53" i="14"/>
  <c r="AD54" i="14"/>
  <c r="AD55" i="14"/>
  <c r="AD56" i="14"/>
  <c r="AD57" i="14"/>
  <c r="AD58" i="14"/>
  <c r="AD59" i="14"/>
  <c r="AD60" i="14"/>
  <c r="AD61" i="14"/>
  <c r="AD62" i="14"/>
  <c r="AD63" i="14"/>
  <c r="AD64" i="14"/>
  <c r="AC3" i="14"/>
  <c r="AC4" i="14"/>
  <c r="AC5" i="14"/>
  <c r="AC6" i="14"/>
  <c r="AC7" i="14"/>
  <c r="AC8" i="14"/>
  <c r="AC9" i="14"/>
  <c r="AC10" i="14"/>
  <c r="AC11" i="14"/>
  <c r="AC12" i="14"/>
  <c r="AC13" i="14"/>
  <c r="AC14" i="14"/>
  <c r="AC15" i="14"/>
  <c r="AC16" i="14"/>
  <c r="AC17" i="14"/>
  <c r="AC18" i="14"/>
  <c r="AC19" i="14"/>
  <c r="AC20" i="14"/>
  <c r="AC21" i="14"/>
  <c r="AC22" i="14"/>
  <c r="AC23" i="14"/>
  <c r="AC24" i="14"/>
  <c r="AC25" i="14"/>
  <c r="AC26" i="14"/>
  <c r="AC27" i="14"/>
  <c r="AC28" i="14"/>
  <c r="AC29" i="14"/>
  <c r="AC30" i="14"/>
  <c r="AC31" i="14"/>
  <c r="AC32" i="14"/>
  <c r="AC33" i="14"/>
  <c r="AC34" i="14"/>
  <c r="AC35" i="14"/>
  <c r="AC36" i="14"/>
  <c r="AC37" i="14"/>
  <c r="AC38" i="14"/>
  <c r="AC39" i="14"/>
  <c r="AC40" i="14"/>
  <c r="AC41" i="14"/>
  <c r="AC42" i="14"/>
  <c r="AC43" i="14"/>
  <c r="AC44" i="14"/>
  <c r="AC45" i="14"/>
  <c r="AC46" i="14"/>
  <c r="AC47" i="14"/>
  <c r="AC48" i="14"/>
  <c r="AC49" i="14"/>
  <c r="AC50" i="14"/>
  <c r="AC51" i="14"/>
  <c r="AC52" i="14"/>
  <c r="AC53" i="14"/>
  <c r="AC54" i="14"/>
  <c r="AC55" i="14"/>
  <c r="AC56" i="14"/>
  <c r="AC57" i="14"/>
  <c r="AC58" i="14"/>
  <c r="AC59" i="14"/>
  <c r="AC60" i="14"/>
  <c r="AC61" i="14"/>
  <c r="AC62" i="14"/>
  <c r="AC63" i="14"/>
  <c r="AC64" i="14"/>
  <c r="AB3" i="14"/>
  <c r="AB4" i="14"/>
  <c r="AB5" i="14"/>
  <c r="AB6" i="14"/>
  <c r="AB7" i="14"/>
  <c r="AB8" i="14"/>
  <c r="AB9" i="14"/>
  <c r="AB10" i="14"/>
  <c r="AB11" i="14"/>
  <c r="AB12" i="14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AB43" i="14"/>
  <c r="AB44" i="14"/>
  <c r="AB45" i="14"/>
  <c r="AB46" i="14"/>
  <c r="AB47" i="14"/>
  <c r="AB48" i="14"/>
  <c r="AB49" i="14"/>
  <c r="AB50" i="14"/>
  <c r="AB51" i="14"/>
  <c r="AB52" i="14"/>
  <c r="AB53" i="14"/>
  <c r="AB54" i="14"/>
  <c r="AB55" i="14"/>
  <c r="AB56" i="14"/>
  <c r="AB57" i="14"/>
  <c r="AB58" i="14"/>
  <c r="AB59" i="14"/>
  <c r="AB60" i="14"/>
  <c r="AB61" i="14"/>
  <c r="AB62" i="14"/>
  <c r="AB63" i="14"/>
  <c r="AB64" i="14"/>
  <c r="AA3" i="14"/>
  <c r="AA4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2" i="14"/>
  <c r="AA53" i="14"/>
  <c r="AA54" i="14"/>
  <c r="AA55" i="14"/>
  <c r="AA56" i="14"/>
  <c r="AA57" i="14"/>
  <c r="AA58" i="14"/>
  <c r="AA59" i="14"/>
  <c r="AA60" i="14"/>
  <c r="AA61" i="14"/>
  <c r="AA62" i="14"/>
  <c r="AA63" i="14"/>
  <c r="AA64" i="14"/>
  <c r="Z3" i="14"/>
  <c r="Z4" i="14"/>
  <c r="Z5" i="14"/>
  <c r="Z6" i="14"/>
  <c r="Z7" i="14"/>
  <c r="Z8" i="14"/>
  <c r="Z9" i="14"/>
  <c r="Z10" i="14"/>
  <c r="Z11" i="14"/>
  <c r="Z12" i="14"/>
  <c r="Z13" i="14"/>
  <c r="Z14" i="14"/>
  <c r="Z15" i="14"/>
  <c r="Z16" i="14"/>
  <c r="Z17" i="14"/>
  <c r="Z18" i="14"/>
  <c r="Z19" i="14"/>
  <c r="Z20" i="14"/>
  <c r="Z21" i="14"/>
  <c r="Z22" i="14"/>
  <c r="Z23" i="14"/>
  <c r="Z24" i="14"/>
  <c r="Z25" i="14"/>
  <c r="Z26" i="14"/>
  <c r="Z27" i="14"/>
  <c r="Z28" i="14"/>
  <c r="Z29" i="14"/>
  <c r="Z30" i="14"/>
  <c r="Z31" i="14"/>
  <c r="Z32" i="14"/>
  <c r="Z33" i="14"/>
  <c r="Z34" i="14"/>
  <c r="Z35" i="14"/>
  <c r="Z36" i="14"/>
  <c r="Z37" i="14"/>
  <c r="Z38" i="14"/>
  <c r="Z39" i="14"/>
  <c r="Z40" i="14"/>
  <c r="Z41" i="14"/>
  <c r="Z42" i="14"/>
  <c r="Z43" i="14"/>
  <c r="Z44" i="14"/>
  <c r="Z45" i="14"/>
  <c r="Z46" i="14"/>
  <c r="Z47" i="14"/>
  <c r="Z48" i="14"/>
  <c r="Z49" i="14"/>
  <c r="Z50" i="14"/>
  <c r="Z51" i="14"/>
  <c r="Z52" i="14"/>
  <c r="Z53" i="14"/>
  <c r="Z54" i="14"/>
  <c r="Z55" i="14"/>
  <c r="Z56" i="14"/>
  <c r="Z57" i="14"/>
  <c r="Z58" i="14"/>
  <c r="Z59" i="14"/>
  <c r="Z60" i="14"/>
  <c r="Z61" i="14"/>
  <c r="Z62" i="14"/>
  <c r="Z63" i="14"/>
  <c r="Z64" i="14"/>
  <c r="Y3" i="14"/>
  <c r="Y4" i="14"/>
  <c r="Y5" i="14"/>
  <c r="Y6" i="14"/>
  <c r="Y7" i="14"/>
  <c r="Y8" i="14"/>
  <c r="Y9" i="14"/>
  <c r="Y10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Y51" i="14"/>
  <c r="Y52" i="14"/>
  <c r="Y53" i="14"/>
  <c r="Y54" i="14"/>
  <c r="Y55" i="14"/>
  <c r="Y56" i="14"/>
  <c r="Y57" i="14"/>
  <c r="Y58" i="14"/>
  <c r="Y59" i="14"/>
  <c r="Y60" i="14"/>
  <c r="Y61" i="14"/>
  <c r="Y62" i="14"/>
  <c r="Y63" i="14"/>
  <c r="Y64" i="14"/>
  <c r="X3" i="14"/>
  <c r="X4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53" i="14"/>
  <c r="X54" i="14"/>
  <c r="X55" i="14"/>
  <c r="X56" i="14"/>
  <c r="X57" i="14"/>
  <c r="X58" i="14"/>
  <c r="X59" i="14"/>
  <c r="X60" i="14"/>
  <c r="X61" i="14"/>
  <c r="X62" i="14"/>
  <c r="X63" i="14"/>
  <c r="X64" i="14"/>
  <c r="AE2" i="14"/>
  <c r="AD2" i="14"/>
  <c r="AC2" i="14"/>
  <c r="AB2" i="14"/>
  <c r="AA2" i="14"/>
  <c r="Z2" i="14"/>
  <c r="Y2" i="14"/>
  <c r="X2" i="14"/>
  <c r="L19" i="15"/>
  <c r="L3" i="15"/>
  <c r="L35" i="15"/>
  <c r="L4" i="15"/>
  <c r="L18" i="15"/>
  <c r="L24" i="15"/>
  <c r="L5" i="15"/>
  <c r="L14" i="15"/>
  <c r="L26" i="15"/>
  <c r="L30" i="15"/>
  <c r="L37" i="15"/>
  <c r="L38" i="15"/>
  <c r="L31" i="15"/>
  <c r="L39" i="15"/>
  <c r="L23" i="15"/>
  <c r="L41" i="15"/>
  <c r="L32" i="15"/>
  <c r="L6" i="15"/>
  <c r="L7" i="15"/>
  <c r="L33" i="15"/>
  <c r="L36" i="15"/>
  <c r="L8" i="15"/>
  <c r="L27" i="15"/>
  <c r="L15" i="15"/>
  <c r="L28" i="15"/>
  <c r="L16" i="15"/>
  <c r="L34" i="15"/>
  <c r="L9" i="15"/>
  <c r="L17" i="15"/>
  <c r="L13" i="15"/>
  <c r="L11" i="15"/>
  <c r="L22" i="15"/>
  <c r="L20" i="15"/>
  <c r="L21" i="15"/>
  <c r="L29" i="15"/>
  <c r="L12" i="15"/>
  <c r="L40" i="15"/>
  <c r="L10" i="15"/>
  <c r="L25" i="15"/>
  <c r="L42" i="15"/>
  <c r="K19" i="15"/>
  <c r="K3" i="15"/>
  <c r="K35" i="15"/>
  <c r="K4" i="15"/>
  <c r="K18" i="15"/>
  <c r="K24" i="15"/>
  <c r="K5" i="15"/>
  <c r="K14" i="15"/>
  <c r="K26" i="15"/>
  <c r="K30" i="15"/>
  <c r="K37" i="15"/>
  <c r="K38" i="15"/>
  <c r="K31" i="15"/>
  <c r="K39" i="15"/>
  <c r="K23" i="15"/>
  <c r="K41" i="15"/>
  <c r="K32" i="15"/>
  <c r="K6" i="15"/>
  <c r="K7" i="15"/>
  <c r="K33" i="15"/>
  <c r="K36" i="15"/>
  <c r="K8" i="15"/>
  <c r="K27" i="15"/>
  <c r="K15" i="15"/>
  <c r="K28" i="15"/>
  <c r="K16" i="15"/>
  <c r="K34" i="15"/>
  <c r="K9" i="15"/>
  <c r="K17" i="15"/>
  <c r="K13" i="15"/>
  <c r="K11" i="15"/>
  <c r="K22" i="15"/>
  <c r="K20" i="15"/>
  <c r="K21" i="15"/>
  <c r="K29" i="15"/>
  <c r="K12" i="15"/>
  <c r="K40" i="15"/>
  <c r="K10" i="15"/>
  <c r="K25" i="15"/>
  <c r="K42" i="15"/>
  <c r="J19" i="15"/>
  <c r="J3" i="15"/>
  <c r="J35" i="15"/>
  <c r="J4" i="15"/>
  <c r="J18" i="15"/>
  <c r="J24" i="15"/>
  <c r="J5" i="15"/>
  <c r="J14" i="15"/>
  <c r="J26" i="15"/>
  <c r="J30" i="15"/>
  <c r="J37" i="15"/>
  <c r="J38" i="15"/>
  <c r="J31" i="15"/>
  <c r="J39" i="15"/>
  <c r="J23" i="15"/>
  <c r="J41" i="15"/>
  <c r="J32" i="15"/>
  <c r="J6" i="15"/>
  <c r="J7" i="15"/>
  <c r="J33" i="15"/>
  <c r="J36" i="15"/>
  <c r="J8" i="15"/>
  <c r="J27" i="15"/>
  <c r="J15" i="15"/>
  <c r="J28" i="15"/>
  <c r="J16" i="15"/>
  <c r="J34" i="15"/>
  <c r="J9" i="15"/>
  <c r="J17" i="15"/>
  <c r="J13" i="15"/>
  <c r="J11" i="15"/>
  <c r="J22" i="15"/>
  <c r="J20" i="15"/>
  <c r="J21" i="15"/>
  <c r="J29" i="15"/>
  <c r="J12" i="15"/>
  <c r="J40" i="15"/>
  <c r="J10" i="15"/>
  <c r="J25" i="15"/>
  <c r="J42" i="15"/>
  <c r="I19" i="15"/>
  <c r="I3" i="15"/>
  <c r="I35" i="15"/>
  <c r="I4" i="15"/>
  <c r="I18" i="15"/>
  <c r="I24" i="15"/>
  <c r="I5" i="15"/>
  <c r="I14" i="15"/>
  <c r="I26" i="15"/>
  <c r="I30" i="15"/>
  <c r="I37" i="15"/>
  <c r="I38" i="15"/>
  <c r="I31" i="15"/>
  <c r="I39" i="15"/>
  <c r="I23" i="15"/>
  <c r="I41" i="15"/>
  <c r="I32" i="15"/>
  <c r="I6" i="15"/>
  <c r="I7" i="15"/>
  <c r="I33" i="15"/>
  <c r="I36" i="15"/>
  <c r="I8" i="15"/>
  <c r="I27" i="15"/>
  <c r="I15" i="15"/>
  <c r="I28" i="15"/>
  <c r="I16" i="15"/>
  <c r="I34" i="15"/>
  <c r="I9" i="15"/>
  <c r="I17" i="15"/>
  <c r="I13" i="15"/>
  <c r="I11" i="15"/>
  <c r="I22" i="15"/>
  <c r="I20" i="15"/>
  <c r="I21" i="15"/>
  <c r="I29" i="15"/>
  <c r="I12" i="15"/>
  <c r="I40" i="15"/>
  <c r="I10" i="15"/>
  <c r="I25" i="15"/>
  <c r="I42" i="15"/>
  <c r="L2" i="15"/>
  <c r="K2" i="15"/>
  <c r="J2" i="15"/>
  <c r="I2" i="15"/>
</calcChain>
</file>

<file path=xl/sharedStrings.xml><?xml version="1.0" encoding="utf-8"?>
<sst xmlns="http://schemas.openxmlformats.org/spreadsheetml/2006/main" count="22341" uniqueCount="8324">
  <si>
    <t>SMILES</t>
  </si>
  <si>
    <t>Odorants</t>
    <phoneticPr fontId="2" type="noConversion"/>
  </si>
  <si>
    <t>CAS</t>
    <phoneticPr fontId="2" type="noConversion"/>
  </si>
  <si>
    <t>Order ID</t>
    <phoneticPr fontId="2" type="noConversion"/>
  </si>
  <si>
    <t>Threshold</t>
    <phoneticPr fontId="2" type="noConversion"/>
  </si>
  <si>
    <t>Concentration（μg/L）</t>
    <phoneticPr fontId="2" type="noConversion"/>
  </si>
  <si>
    <t>No.</t>
  </si>
  <si>
    <t>Compounds</t>
  </si>
  <si>
    <t>ethyl hexanoate</t>
  </si>
  <si>
    <t>7,606,936 ± 17,161</t>
  </si>
  <si>
    <t>ethyl butanoate</t>
  </si>
  <si>
    <t>ethyl pentanoate</t>
  </si>
  <si>
    <t>ethyl octanoate</t>
  </si>
  <si>
    <t>dimethyl trisulfide</t>
  </si>
  <si>
    <t>187 ± 12</t>
  </si>
  <si>
    <t>hexanoic acid</t>
  </si>
  <si>
    <t>1,126,596 ± 34,264</t>
  </si>
  <si>
    <t>butyric acid</t>
  </si>
  <si>
    <t>295,816 ± 40,762</t>
  </si>
  <si>
    <t>ethyl isovalerate</t>
  </si>
  <si>
    <t>1847 ± 4</t>
  </si>
  <si>
    <t>ethyl 4-methylpentanoate</t>
  </si>
  <si>
    <t>932 ± 20</t>
  </si>
  <si>
    <t>pentanoic acid</t>
  </si>
  <si>
    <t>ethyl acetate</t>
  </si>
  <si>
    <t>1,772,911 ± 17,586</t>
  </si>
  <si>
    <t>1-butanol</t>
  </si>
  <si>
    <t>3-(methylthio)propanal</t>
  </si>
  <si>
    <t>369 ± 31</t>
  </si>
  <si>
    <t>-</t>
  </si>
  <si>
    <t>ethyl 2-methylbutanoate</t>
  </si>
  <si>
    <t>863 ± 21</t>
  </si>
  <si>
    <t>p-cresol</t>
  </si>
  <si>
    <t>3271 ± 201</t>
  </si>
  <si>
    <t>hexyl hexanoate</t>
  </si>
  <si>
    <t>28,416 ± 794</t>
  </si>
  <si>
    <t>ethyl 3-phenylpropionate</t>
  </si>
  <si>
    <t>isovaleric acid</t>
  </si>
  <si>
    <t>2-methylpropionic acid</t>
  </si>
  <si>
    <t>octanoic acid</t>
  </si>
  <si>
    <t>phenylacetaldehyde</t>
  </si>
  <si>
    <t>acetic acid</t>
  </si>
  <si>
    <t>phenethyl acetate</t>
  </si>
  <si>
    <t>ethyl heptanoate</t>
  </si>
  <si>
    <t>1-octanol</t>
  </si>
  <si>
    <t>heptanoic acid</t>
  </si>
  <si>
    <t>130 ± 8</t>
  </si>
  <si>
    <t>4-methyl guaiacol</t>
  </si>
  <si>
    <t>425 ± 23</t>
  </si>
  <si>
    <t>374 ± 38</t>
  </si>
  <si>
    <t>propionic acid</t>
  </si>
  <si>
    <t>13,666 ± 156</t>
  </si>
  <si>
    <t>ethyl caprate</t>
  </si>
  <si>
    <t>839 ± 22</t>
  </si>
  <si>
    <t>propyl hexanoate</t>
  </si>
  <si>
    <t>3-methyl-1-butanol</t>
  </si>
  <si>
    <t>84,178 ± 144</t>
  </si>
  <si>
    <t>ethyl benzoate</t>
  </si>
  <si>
    <t>ethyl phenylacetate</t>
  </si>
  <si>
    <t>isobutyl hexanoate</t>
  </si>
  <si>
    <t>phenethyl alcohol</t>
  </si>
  <si>
    <t>146 ± 4</t>
  </si>
  <si>
    <t>5859 ± 91</t>
  </si>
  <si>
    <t>439 ± 28</t>
  </si>
  <si>
    <t>473 ± 16</t>
  </si>
  <si>
    <t>142,068 ± 324</t>
  </si>
  <si>
    <t>166 ± 9</t>
  </si>
  <si>
    <t>1715 ± 76</t>
  </si>
  <si>
    <t>1342 ± 49</t>
  </si>
  <si>
    <t>415 ± 75</t>
  </si>
  <si>
    <t>no.</t>
  </si>
  <si>
    <t>flavor components</t>
  </si>
  <si>
    <t>CAS</t>
  </si>
  <si>
    <t>Y1</t>
  </si>
  <si>
    <t>Y3</t>
  </si>
  <si>
    <t>Y5</t>
  </si>
  <si>
    <t>Y8</t>
  </si>
  <si>
    <t>Y11</t>
  </si>
  <si>
    <t>123–66–0</t>
  </si>
  <si>
    <t>5320.56 ± 47.54b</t>
  </si>
  <si>
    <t>972.62 ± 17.26d</t>
  </si>
  <si>
    <t>1104.58 ± 26.46c</t>
  </si>
  <si>
    <t>6009.12 ± 29.01a</t>
  </si>
  <si>
    <t>918.62 ± 3.73t</t>
  </si>
  <si>
    <t>108–64–5</t>
  </si>
  <si>
    <t>5.98 ± 1.16b</t>
  </si>
  <si>
    <t>10.69 ± 9.76b</t>
  </si>
  <si>
    <t>3842.22 ± 38.71a</t>
  </si>
  <si>
    <t>23.36 ± 23.79b</t>
  </si>
  <si>
    <t>13.13 ± 1.98b</t>
  </si>
  <si>
    <t>105–54–4</t>
  </si>
  <si>
    <t>695.74 ± 32.93b</t>
  </si>
  <si>
    <t>145.7 ± 7.17d</t>
  </si>
  <si>
    <t>245.25 ± 28.18c</t>
  </si>
  <si>
    <t>1202.85 ± 12.77a</t>
  </si>
  <si>
    <t>262.58 ± 23.1t</t>
  </si>
  <si>
    <t>141–78–6</t>
  </si>
  <si>
    <t>1173.18 ± 11.17a</t>
  </si>
  <si>
    <t>484.16 ± 9.79d</t>
  </si>
  <si>
    <t>577.21 ± 21.11c</t>
  </si>
  <si>
    <t>1054.47 ± 6.18b</t>
  </si>
  <si>
    <t>129.49 ± 39.21t</t>
  </si>
  <si>
    <t>ethyl caprylate</t>
  </si>
  <si>
    <t>106–32–1</t>
  </si>
  <si>
    <t>149.27 ± 48.98b</t>
  </si>
  <si>
    <t>86.76 ± 46.87c</t>
  </si>
  <si>
    <t>136.05 ± 10.32bc</t>
  </si>
  <si>
    <t>572.73 ± 9.76a</t>
  </si>
  <si>
    <t>71.71 ± 4.03d</t>
  </si>
  <si>
    <t>ethyl valerate</t>
  </si>
  <si>
    <t>539–82–2</t>
  </si>
  <si>
    <t>439.66 ± 37.62a</t>
  </si>
  <si>
    <t>114.58 ± 20.85c</t>
  </si>
  <si>
    <t>80.4 ± 9.8c</t>
  </si>
  <si>
    <t>393.75 ± 7.58b</t>
  </si>
  <si>
    <t>82.3 ± 13.85c</t>
  </si>
  <si>
    <t>106–30–9</t>
  </si>
  <si>
    <t>162.42 ± 45.17b</t>
  </si>
  <si>
    <t>67.59 ± 33.79 cd</t>
  </si>
  <si>
    <t>92.79 ± 9.34c</t>
  </si>
  <si>
    <t>359.81 ± 7.06a</t>
  </si>
  <si>
    <t>41.72 ± 1.08d</t>
  </si>
  <si>
    <t>ethyl lactate</t>
  </si>
  <si>
    <t>97–64–3</t>
  </si>
  <si>
    <t>301.95 ± 1.65a</t>
  </si>
  <si>
    <t>5.42 ± 4.5d</t>
  </si>
  <si>
    <t>58.95 ± 5.35c</t>
  </si>
  <si>
    <t>107.81 ± 6.38b</t>
  </si>
  <si>
    <t>17.43 ± 25.84t</t>
  </si>
  <si>
    <t>ethyl myristate</t>
  </si>
  <si>
    <t>124–06–1</t>
  </si>
  <si>
    <t>7.1 ± 2.94bc</t>
  </si>
  <si>
    <t>143.35 ± 3.36a</t>
  </si>
  <si>
    <t>3.35 ± 1.42bc</t>
  </si>
  <si>
    <t>7.4 ± 5.64b</t>
  </si>
  <si>
    <t>0.9 ± 0.05c</t>
  </si>
  <si>
    <t>ethyl 2-hydroxy-4-methyl valerate</t>
  </si>
  <si>
    <t>10348–47–7</t>
  </si>
  <si>
    <t>5.7 ± 2.58b</t>
  </si>
  <si>
    <t>125.39 ± 1.28a</t>
  </si>
  <si>
    <t>4.25 ± 0.71b</t>
  </si>
  <si>
    <t>13.66 ± 12.7b</t>
  </si>
  <si>
    <t>3.55 ± 0.03b</t>
  </si>
  <si>
    <t>ethyl 4-methyl valerate</t>
  </si>
  <si>
    <t>25415–67–2</t>
  </si>
  <si>
    <t>8.56 ± 4.7b</t>
  </si>
  <si>
    <t>124.14 ± 2.91a</t>
  </si>
  <si>
    <t>7.47 ± 1.37b</t>
  </si>
  <si>
    <t>11.92 ± 11.11b</t>
  </si>
  <si>
    <t>3.11 ± 0.03b</t>
  </si>
  <si>
    <t>octyl octanoate</t>
  </si>
  <si>
    <t>2306–88–9</t>
  </si>
  <si>
    <t>ND</t>
  </si>
  <si>
    <t>120.81 ± 1.77a</t>
  </si>
  <si>
    <t>1.44 ± 0.17b</t>
  </si>
  <si>
    <t>2.34 ± 2.16b</t>
  </si>
  <si>
    <t>ethyl pentadecanoate</t>
  </si>
  <si>
    <t>41114–00–5</t>
  </si>
  <si>
    <t>0.81 ± 0.03b</t>
  </si>
  <si>
    <t>120.73 ± 0.36a</t>
  </si>
  <si>
    <t>0.52 ± 0.05bc</t>
  </si>
  <si>
    <t>0.29 ± 0.02c</t>
  </si>
  <si>
    <t>ethyl nonanoate</t>
  </si>
  <si>
    <t>123–29–5</t>
  </si>
  <si>
    <t>112.1 ± 0.71a</t>
  </si>
  <si>
    <t>6.56 ± 0.4b</t>
  </si>
  <si>
    <t>2.26 ± 0.05c</t>
  </si>
  <si>
    <t>1.34 ± 0.05d</t>
  </si>
  <si>
    <t>3-methylbutyl hexanoate</t>
  </si>
  <si>
    <t>2198–61–0</t>
  </si>
  <si>
    <t>16.37 ± 9.56b</t>
  </si>
  <si>
    <t>104.74 ± 0.16a</t>
  </si>
  <si>
    <t>16.43 ± 1.19b</t>
  </si>
  <si>
    <t>34.11 ± 36.97b</t>
  </si>
  <si>
    <t>14.8 ± 0.87b</t>
  </si>
  <si>
    <t>ethyl linoleate</t>
  </si>
  <si>
    <t>544–35–4</t>
  </si>
  <si>
    <t>7.82 ± 2.76b</t>
  </si>
  <si>
    <t>103.61 ± 2.15a</t>
  </si>
  <si>
    <t>3.51 ± 1.82c</t>
  </si>
  <si>
    <t>2.03 ± 0.83c</t>
  </si>
  <si>
    <t>1.48 ± 1.38c</t>
  </si>
  <si>
    <t>carpoic acid propyl ester</t>
  </si>
  <si>
    <t>626–77–7</t>
  </si>
  <si>
    <t>4.67 ± 1.95bc</t>
  </si>
  <si>
    <t>101.73 ± 2.56a</t>
  </si>
  <si>
    <t>4.66 ± 0.75bc</t>
  </si>
  <si>
    <t>8.35 ± 4.84b</t>
  </si>
  <si>
    <t>1.35 ± 0.19c</t>
  </si>
  <si>
    <t>methyl hexanoate</t>
  </si>
  <si>
    <t>106–70–7</t>
  </si>
  <si>
    <t>4.49 ± 0b</t>
  </si>
  <si>
    <t>96.79 ± 0.08a</t>
  </si>
  <si>
    <t>0.88 ± 0.05e</t>
  </si>
  <si>
    <t>1.14 ± 0.03d</t>
  </si>
  <si>
    <t>1.81 ± 0.19c</t>
  </si>
  <si>
    <t>pentyl hexanoate</t>
  </si>
  <si>
    <t>540–07–8</t>
  </si>
  <si>
    <t>94.42 ± 2.98a</t>
  </si>
  <si>
    <t>3.48 ± 0.24b</t>
  </si>
  <si>
    <t>6378–65–0</t>
  </si>
  <si>
    <t>40.12 ± 24.28a</t>
  </si>
  <si>
    <t>54.57 ± 37.62a</t>
  </si>
  <si>
    <t>39.16 ± 5.36a</t>
  </si>
  <si>
    <t>58.38 ± 55.01a</t>
  </si>
  <si>
    <t>15.05 ± 1.57a</t>
  </si>
  <si>
    <t>ethyl hexadecanoate</t>
  </si>
  <si>
    <t>628–97–7</t>
  </si>
  <si>
    <t>41.84 ± 10.73ab</t>
  </si>
  <si>
    <t>47.81 ± 32.42a</t>
  </si>
  <si>
    <t>14.02 ± 4.33ab</t>
  </si>
  <si>
    <t>34.52 ± 32.12ab</t>
  </si>
  <si>
    <t>3.56 ± 2.54b</t>
  </si>
  <si>
    <t>butyl hexanoate</t>
  </si>
  <si>
    <t>626–82–4</t>
  </si>
  <si>
    <t>36.04 ± 21.36a</t>
  </si>
  <si>
    <t>45.49 ± 38.46a</t>
  </si>
  <si>
    <t>31.18 ± 6.24a</t>
  </si>
  <si>
    <t>47.71 ± 45.08a</t>
  </si>
  <si>
    <t>11.06 ± 0.48a</t>
  </si>
  <si>
    <t>105–79–3</t>
  </si>
  <si>
    <t>29.32 ± 48.04a</t>
  </si>
  <si>
    <t>3.05 ± 0.07a</t>
  </si>
  <si>
    <t>9.96 ± 5.96a</t>
  </si>
  <si>
    <t>2.93 ± 0.12a</t>
  </si>
  <si>
    <t>ethyl oleate</t>
  </si>
  <si>
    <t>111–62–6</t>
  </si>
  <si>
    <t>7.22 ± 2.55a</t>
  </si>
  <si>
    <t>26.62 ± 40a</t>
  </si>
  <si>
    <t>5.99 ± 1.4a</t>
  </si>
  <si>
    <t>5.52 ± 4.17a</t>
  </si>
  <si>
    <t>1.77 ± 1.19a</t>
  </si>
  <si>
    <t>ethyl 3-hydroxybutyrate</t>
  </si>
  <si>
    <t>5405–41–4</t>
  </si>
  <si>
    <t>7.35 ± 10.82a</t>
  </si>
  <si>
    <t>21.1 ± 16.8a</t>
  </si>
  <si>
    <t>1.44 ± 0.08a</t>
  </si>
  <si>
    <t>pentyl acetate</t>
  </si>
  <si>
    <t>628–63–7</t>
  </si>
  <si>
    <t>3.6 ± 1.99b</t>
  </si>
  <si>
    <t>0.15 ± 0.02c</t>
  </si>
  <si>
    <t>20.24 ± 0.14a</t>
  </si>
  <si>
    <t>ethyl decanoate</t>
  </si>
  <si>
    <t>110–38–3</t>
  </si>
  <si>
    <t>10.44 ± 4.82a</t>
  </si>
  <si>
    <t>14.36 ± 13.56a</t>
  </si>
  <si>
    <t>9.38 ± 1.67a</t>
  </si>
  <si>
    <t>19.31 ± 19.49a</t>
  </si>
  <si>
    <t>7.47 ± 0.16a</t>
  </si>
  <si>
    <t>butyl lactate</t>
  </si>
  <si>
    <t>138–22–7</t>
  </si>
  <si>
    <t>18.03 ± 14.78</t>
  </si>
  <si>
    <t>ethyl laurate</t>
  </si>
  <si>
    <t>106–33–2</t>
  </si>
  <si>
    <t>14.42 ± 18.54a</t>
  </si>
  <si>
    <t>2.42 ± 0.74a</t>
  </si>
  <si>
    <t>4.79 ± 4.53a</t>
  </si>
  <si>
    <t>1.63 ± 0.55a</t>
  </si>
  <si>
    <t>isopropyl hexanoate</t>
  </si>
  <si>
    <t>2311–46–8</t>
  </si>
  <si>
    <t>9.48 ± 0.34</t>
  </si>
  <si>
    <t>butyl butanoate</t>
  </si>
  <si>
    <t>109–21–7</t>
  </si>
  <si>
    <t>3.79 ± 1.48a</t>
  </si>
  <si>
    <t>9.03 ± 12.79a</t>
  </si>
  <si>
    <t>2.35 ± 0.08a</t>
  </si>
  <si>
    <t>7.09 ± 4.46a</t>
  </si>
  <si>
    <t>0.95 ± 0.08a</t>
  </si>
  <si>
    <t>ethyl 3-phenylpropanoate</t>
  </si>
  <si>
    <t>2021–28–5</t>
  </si>
  <si>
    <t>4.43 ± 1.73a</t>
  </si>
  <si>
    <t>6.93 ± 5.98a</t>
  </si>
  <si>
    <t>4.21 ± 1.04a</t>
  </si>
  <si>
    <t>6.6 ± 5.27a</t>
  </si>
  <si>
    <t>2.72 ± 0.12a</t>
  </si>
  <si>
    <t>101–97–3</t>
  </si>
  <si>
    <t>6.62 ± 3.22a</t>
  </si>
  <si>
    <t>5.24 ± 6.55a</t>
  </si>
  <si>
    <t>1.9 ± 0.22a</t>
  </si>
  <si>
    <t>3.05 ± 2.92a</t>
  </si>
  <si>
    <t>2.52 ± 0.02a</t>
  </si>
  <si>
    <t>methyl 4-methylpentanoate</t>
  </si>
  <si>
    <t>2412–80–8</t>
  </si>
  <si>
    <t>2.44 ± 1.43a</t>
  </si>
  <si>
    <t>1.22 ± 0.61a</t>
  </si>
  <si>
    <t>1.75 ± 0.02a</t>
  </si>
  <si>
    <t>6.14 ± 3.51a</t>
  </si>
  <si>
    <t>octyl formate</t>
  </si>
  <si>
    <t>112–32–3</t>
  </si>
  <si>
    <t>2.12 ± 0.67a</t>
  </si>
  <si>
    <t>6.08 ± 5.75a</t>
  </si>
  <si>
    <t>1.97 ± 0.04a</t>
  </si>
  <si>
    <t>isoamyl acetate</t>
  </si>
  <si>
    <t>123–92–2</t>
  </si>
  <si>
    <t>5.9 ± 4.7a</t>
  </si>
  <si>
    <t>2.27 ± 0.74a</t>
  </si>
  <si>
    <t>heptyl hexanoate</t>
  </si>
  <si>
    <t>6976–72–3</t>
  </si>
  <si>
    <t>1.93 ± 0.56b</t>
  </si>
  <si>
    <t>4.64 ± 0.03a</t>
  </si>
  <si>
    <t>9-hexadecenoic acid, ethyl ester</t>
  </si>
  <si>
    <t>54546–22–4</t>
  </si>
  <si>
    <t>3.85 ± 1.57a</t>
  </si>
  <si>
    <t>0.34 ± 0.02b</t>
  </si>
  <si>
    <t>prop-2-enyl 2-ethyl butanoate</t>
  </si>
  <si>
    <t>7493–69–8</t>
  </si>
  <si>
    <t>2.78 ± 4.33a</t>
  </si>
  <si>
    <t>0.88 ± 0.16a</t>
  </si>
  <si>
    <t>1.99 ± 0.74a</t>
  </si>
  <si>
    <t>0.77 ± 0.28a</t>
  </si>
  <si>
    <t>heptyl formate</t>
  </si>
  <si>
    <t>112–23–2</t>
  </si>
  <si>
    <t>2.55 ± 0.02a</t>
  </si>
  <si>
    <t>2.16 ± 0.03b</t>
  </si>
  <si>
    <t>ethyl pyruvate</t>
  </si>
  <si>
    <t>617–35–6</t>
  </si>
  <si>
    <t>2.19 ± 0.03</t>
  </si>
  <si>
    <t>elastic acid ethyl ester</t>
  </si>
  <si>
    <t>6114–18–7</t>
  </si>
  <si>
    <t>1.76 ± 0.02a</t>
  </si>
  <si>
    <t>0.23 ± 0.06b</t>
  </si>
  <si>
    <t>hexyl octanoate</t>
  </si>
  <si>
    <t>1117–55–1</t>
  </si>
  <si>
    <t>1.64 ± 0.04</t>
  </si>
  <si>
    <t>ethyl stearate</t>
  </si>
  <si>
    <t>111–61–5</t>
  </si>
  <si>
    <t>1.26 ± 0.03</t>
  </si>
  <si>
    <t>pentyl butyrate</t>
  </si>
  <si>
    <t>540–18–1</t>
  </si>
  <si>
    <t>0.05 ± 0.02b</t>
  </si>
  <si>
    <t>0.85 ± 0.03a</t>
  </si>
  <si>
    <t>93–89–0</t>
  </si>
  <si>
    <t>0.18 ± 0.03b</t>
  </si>
  <si>
    <t>0.74 ± 0.12a</t>
  </si>
  <si>
    <t>ethylidene diacetate</t>
  </si>
  <si>
    <t>542–10–9</t>
  </si>
  <si>
    <t>0.73 ± 0.01</t>
  </si>
  <si>
    <t>butyl formate</t>
  </si>
  <si>
    <t>592–84–7</t>
  </si>
  <si>
    <t>0.63 ± 0.02a</t>
  </si>
  <si>
    <t>0.12 ± 0.01b</t>
  </si>
  <si>
    <t>2-methylpentyl acetate</t>
  </si>
  <si>
    <t>7789–99–3</t>
  </si>
  <si>
    <t>0.25 ± 0.04</t>
  </si>
  <si>
    <t>2-pentyl butyrate</t>
  </si>
  <si>
    <t>60415–61–4</t>
  </si>
  <si>
    <t>0.25 ± 0.05</t>
  </si>
  <si>
    <t>furfuryl hexanoate</t>
  </si>
  <si>
    <t>39252–02–3</t>
  </si>
  <si>
    <t>0.1 ± 0.02</t>
  </si>
  <si>
    <t>geranyl isovalerate</t>
  </si>
  <si>
    <t>109–20–6</t>
  </si>
  <si>
    <t>0.08 ± 0</t>
  </si>
  <si>
    <t>isobutyl acetoacetate</t>
  </si>
  <si>
    <t>7779–75–1</t>
  </si>
  <si>
    <t>0.04 ± 0</t>
  </si>
  <si>
    <t>sum</t>
  </si>
  <si>
    <t>8475.4 ± 241.2b</t>
  </si>
  <si>
    <t>3429.46 ± 388.33d</t>
  </si>
  <si>
    <t>6312.37 ± 105.66c</t>
  </si>
  <si>
    <t>10075.69 ± 314.85a</t>
  </si>
  <si>
    <t>1624.52 ± 20.89e</t>
  </si>
  <si>
    <t>alcohols</t>
  </si>
  <si>
    <t>acetal</t>
  </si>
  <si>
    <t>105–57–7</t>
  </si>
  <si>
    <t>212.95 ± 8.66e</t>
  </si>
  <si>
    <t>472.55 ± 4.92c</t>
  </si>
  <si>
    <t>676.65 ± 0.74b</t>
  </si>
  <si>
    <t>2745.25 ± 42.33a</t>
  </si>
  <si>
    <t>428.66 ± 5.63d</t>
  </si>
  <si>
    <t>pentanol</t>
  </si>
  <si>
    <t>71-41-0</t>
  </si>
  <si>
    <t>260.98 ± 13.76</t>
  </si>
  <si>
    <t>60.74 ± 31.92c</t>
  </si>
  <si>
    <t>57.23 ± 7.01c</t>
  </si>
  <si>
    <t>496.64 ± 1.95a</t>
  </si>
  <si>
    <t>1.67 ± 1.47d</t>
  </si>
  <si>
    <t>butanol</t>
  </si>
  <si>
    <t>71-36-3</t>
  </si>
  <si>
    <t>245.12 ± 20.77a</t>
  </si>
  <si>
    <t>48.88 ± 26.51b</t>
  </si>
  <si>
    <t>34.69 ± 4.9b</t>
  </si>
  <si>
    <t>256.5 ± 37.57a</t>
  </si>
  <si>
    <t>16.97 ± 0.09b</t>
  </si>
  <si>
    <t>111-27-3</t>
  </si>
  <si>
    <t>213.01 ± 34.84b</t>
  </si>
  <si>
    <t>45.58 ± 22.71c</t>
  </si>
  <si>
    <t>37.5 ± 2.62c</t>
  </si>
  <si>
    <t>245.76 ± 17.69a</t>
  </si>
  <si>
    <t>21.15 ± 20.72c</t>
  </si>
  <si>
    <t>66-13-6</t>
  </si>
  <si>
    <t>141.28 ± 1.31a</t>
  </si>
  <si>
    <t>1.89 ± 0.89b</t>
  </si>
  <si>
    <t>4.1 ± 3.87b</t>
  </si>
  <si>
    <t>1.46 ± 0.63b</t>
  </si>
  <si>
    <t>isobutanol</t>
  </si>
  <si>
    <t>78-83-1</t>
  </si>
  <si>
    <t>27.66 ± 15.37b</t>
  </si>
  <si>
    <t>11.36 ± 6.21c</t>
  </si>
  <si>
    <t>11.55 ± 1.15c</t>
  </si>
  <si>
    <t>121.33 ± 3.92a</t>
  </si>
  <si>
    <t>8.45 ± 6.81c</t>
  </si>
  <si>
    <t>123-51-3</t>
  </si>
  <si>
    <t>3.73 ± 0.05a</t>
  </si>
  <si>
    <t>0.59 ± 0.13a</t>
  </si>
  <si>
    <t>31.74 ± 52.24a</t>
  </si>
  <si>
    <t>34.52 ± 23.24a</t>
  </si>
  <si>
    <t>1-octanol-3-d</t>
  </si>
  <si>
    <t>3391-86-4</t>
  </si>
  <si>
    <t>13.43 ± 0.29</t>
  </si>
  <si>
    <t>3-methyl-2-butanol</t>
  </si>
  <si>
    <t>598-75-4</t>
  </si>
  <si>
    <t>5.82 ± 3.03a</t>
  </si>
  <si>
    <t>1.78 ± 0.79a</t>
  </si>
  <si>
    <t>2 ± 0.4a</t>
  </si>
  <si>
    <t>8.43 ± 8.61a</t>
  </si>
  <si>
    <t>3.39 ± 2.94a</t>
  </si>
  <si>
    <t>propylene glycol</t>
  </si>
  <si>
    <t>57-55-6</t>
  </si>
  <si>
    <t>6.06 ± 3.87a</t>
  </si>
  <si>
    <t>2.96 ± 0.02a</t>
  </si>
  <si>
    <t>2-butanol</t>
  </si>
  <si>
    <t>78-92-2</t>
  </si>
  <si>
    <t>5.82 ± 0.06a</t>
  </si>
  <si>
    <t>1.61 ± 0.02b</t>
  </si>
  <si>
    <t>1,2-benzachol</t>
  </si>
  <si>
    <t>6920-72-5</t>
  </si>
  <si>
    <t>N/D</t>
  </si>
  <si>
    <t>2.56 ± 0.03</t>
  </si>
  <si>
    <t>caclol</t>
  </si>
  <si>
    <t>77-53-2</t>
  </si>
  <si>
    <t>2.45 ± 0.1a</t>
  </si>
  <si>
    <t>0.47 ± 0.29b</t>
  </si>
  <si>
    <t>0.26 ± 0.02b</t>
  </si>
  <si>
    <t>butane-2,3-diol</t>
  </si>
  <si>
    <t>513-85-9</t>
  </si>
  <si>
    <t>2.32 ± 0.05a</t>
  </si>
  <si>
    <t>2.19 ± 1.62a</t>
  </si>
  <si>
    <t>1.25 ± 0.39a</t>
  </si>
  <si>
    <t>1.27 ± 0.02a</t>
  </si>
  <si>
    <t>2.34 ± 2.29a</t>
  </si>
  <si>
    <t>(-)-α-terpineol</t>
  </si>
  <si>
    <t>10482-56-1</t>
  </si>
  <si>
    <t>0.94 ± 0.02</t>
  </si>
  <si>
    <t>2-heptanol</t>
  </si>
  <si>
    <t>545-49-7</t>
  </si>
  <si>
    <t>0.74 ± 0.41a</t>
  </si>
  <si>
    <t>0.11 ± 0.01a</t>
  </si>
  <si>
    <t>0.87 ± 0.7a</t>
  </si>
  <si>
    <t>0.13 ± 0.01a</t>
  </si>
  <si>
    <t>linalool</t>
  </si>
  <si>
    <t>78-70-6</t>
  </si>
  <si>
    <t>0.61 ± 0.03</t>
  </si>
  <si>
    <t>(E)-2-undecan-1-al</t>
  </si>
  <si>
    <t>75039-84-8</t>
  </si>
  <si>
    <t>0.42 ± 0.03</t>
  </si>
  <si>
    <t>111-87-5</t>
  </si>
  <si>
    <t>0.4 ± 0.04</t>
  </si>
  <si>
    <t>1-dodecanol</t>
  </si>
  <si>
    <t>112-54-8</t>
  </si>
  <si>
    <t>0.22 ± 0.01</t>
  </si>
  <si>
    <t>1-nonanol</t>
  </si>
  <si>
    <t>143-08-8</t>
  </si>
  <si>
    <t>0.16 ± 0.01</t>
  </si>
  <si>
    <t>2-hexanol</t>
  </si>
  <si>
    <t>626-93-7</t>
  </si>
  <si>
    <t>0.15 ± 0.02a</t>
  </si>
  <si>
    <t>0.14 ± 0.02a</t>
  </si>
  <si>
    <t>(S)-(–)-2-methylbutanol</t>
  </si>
  <si>
    <t>1565-80-6</t>
  </si>
  <si>
    <t>0.14 ± 0.01</t>
  </si>
  <si>
    <t>2-hexyl-1-decanol</t>
  </si>
  <si>
    <t>2425-77-6</t>
  </si>
  <si>
    <t>0.13 ± 0.03</t>
  </si>
  <si>
    <t>2-nonanol</t>
  </si>
  <si>
    <t>628-99-9</t>
  </si>
  <si>
    <t>0.1 ± 0.01</t>
  </si>
  <si>
    <t>911.65 ± 70.53b</t>
  </si>
  <si>
    <t>788.2 ± 86.56c</t>
  </si>
  <si>
    <t>824.46 ± 15.89bc</t>
  </si>
  <si>
    <t>391.41 ± 51.4a</t>
  </si>
  <si>
    <t>537.09 ± 48.68d</t>
  </si>
  <si>
    <t>acid</t>
  </si>
  <si>
    <t>142-62-1</t>
  </si>
  <si>
    <t>160.03 ± 35.47b</t>
  </si>
  <si>
    <t>85.13 ± 13.98c</t>
  </si>
  <si>
    <t>96.7 ± 22.62c</t>
  </si>
  <si>
    <t>572.44 ± 23.32a</t>
  </si>
  <si>
    <t>50.31 ± 43.11c</t>
  </si>
  <si>
    <t>formic acid</t>
  </si>
  <si>
    <t>64-18-6</t>
  </si>
  <si>
    <t>59.4 ± 0.42b</t>
  </si>
  <si>
    <t>48.64 ± 41.95b</t>
  </si>
  <si>
    <t>428.09 ± 1.86a</t>
  </si>
  <si>
    <t>isobutyric acid</t>
  </si>
  <si>
    <t>79-31-2</t>
  </si>
  <si>
    <t>4.17 ± 2.12b</t>
  </si>
  <si>
    <t>14.17 ± 0.69a</t>
  </si>
  <si>
    <t>0.66 ± 0.17b</t>
  </si>
  <si>
    <t>4.13 ± 4.08b</t>
  </si>
  <si>
    <t>0.37 ± 0.02b</t>
  </si>
  <si>
    <t>3-methylbutene acid</t>
  </si>
  <si>
    <t>105-43-1</t>
  </si>
  <si>
    <t>126.52 ± 1.53a</t>
  </si>
  <si>
    <t>1.85 ± 0.54b</t>
  </si>
  <si>
    <t>5.34 ± 3.07b</t>
  </si>
  <si>
    <t>5.58 ± 3.71b</t>
  </si>
  <si>
    <t>109-52-4</t>
  </si>
  <si>
    <t>7.6 ± 3.26b</t>
  </si>
  <si>
    <t>124.88 ± 1.08a</t>
  </si>
  <si>
    <t>3 ± 0.64b</t>
  </si>
  <si>
    <t>8.1 ± 7.15b</t>
  </si>
  <si>
    <t>2.12 ± 1.56b</t>
  </si>
  <si>
    <t>124-07-2</t>
  </si>
  <si>
    <t>114.61 ± 1.18a</t>
  </si>
  <si>
    <t>15.00 ± 7.89bc</t>
  </si>
  <si>
    <t>22.7 ± 2.14b</t>
  </si>
  <si>
    <t>9.45 ± 0.74c</t>
  </si>
  <si>
    <t>111-14-8</t>
  </si>
  <si>
    <t>53.31 ± 42.88a</t>
  </si>
  <si>
    <t>6.1 ± 3.38a</t>
  </si>
  <si>
    <t>4.67 ± 2.01a</t>
  </si>
  <si>
    <t>3.09 ± 0.00a</t>
  </si>
  <si>
    <t>107-92-6</t>
  </si>
  <si>
    <t>4.16 ± 18.57a</t>
  </si>
  <si>
    <t>17.58 ± 3.67ab</t>
  </si>
  <si>
    <t>8.31 ± 1.42b</t>
  </si>
  <si>
    <t>9.4 ± 2.48ab</t>
  </si>
  <si>
    <t>8.06 ± 3.31ab</t>
  </si>
  <si>
    <t>monanoic acid</t>
  </si>
  <si>
    <t>112-05-9</t>
  </si>
  <si>
    <t>20.39 ± 9.65a</t>
  </si>
  <si>
    <t>27.26 ± 6.02a</t>
  </si>
  <si>
    <t>6 ± 0.02a</t>
  </si>
  <si>
    <t>64-19-7</t>
  </si>
  <si>
    <t>9.16 ± 4.02b</t>
  </si>
  <si>
    <t>5.3 ± 0.71bc</t>
  </si>
  <si>
    <t>15.00 ± 1.91a</t>
  </si>
  <si>
    <t>9.66 ± 2.41b</t>
  </si>
  <si>
    <t>3.11 ± 1.66c</t>
  </si>
  <si>
    <t>2-nonsonic acid</t>
  </si>
  <si>
    <t>3760-11-0</t>
  </si>
  <si>
    <t>11.32 ± 0.7a</t>
  </si>
  <si>
    <t>1.16 ± 0.1b</t>
  </si>
  <si>
    <t>1.57 ± 0.12b</t>
  </si>
  <si>
    <t>decanoic acid</t>
  </si>
  <si>
    <t>334-48-5</t>
  </si>
  <si>
    <t>4.09 ± 1.05a</t>
  </si>
  <si>
    <t>5.22 ± 0.05a</t>
  </si>
  <si>
    <t>1.53 ± 0.04b</t>
  </si>
  <si>
    <t>undecanoic acid</t>
  </si>
  <si>
    <t>112-37-8</t>
  </si>
  <si>
    <t>0.82 ± 0.05</t>
  </si>
  <si>
    <t>isocuproic acid</t>
  </si>
  <si>
    <t>646-07-1</t>
  </si>
  <si>
    <t>0.15 ± 0.02</t>
  </si>
  <si>
    <t>293.3 ± 37.11c</t>
  </si>
  <si>
    <t>717.84 ± 101.38b</t>
  </si>
  <si>
    <t>172.4 ± 44.64d</t>
  </si>
  <si>
    <t>112.033 ± 28.73a</t>
  </si>
  <si>
    <t>118.53 ± 38.33d</t>
  </si>
  <si>
    <t>aldehyde</t>
  </si>
  <si>
    <t>furhral</t>
  </si>
  <si>
    <t>22.64 ± 15.45</t>
  </si>
  <si>
    <t>acetaldehyde</t>
  </si>
  <si>
    <t>75-07-0</t>
  </si>
  <si>
    <t>1.65 ± 0.13b</t>
  </si>
  <si>
    <t>1.8 ± 0.82b</t>
  </si>
  <si>
    <t>15.31 ± 0.97a</t>
  </si>
  <si>
    <t>122-78-1</t>
  </si>
  <si>
    <t>3.03 ± 1.72a</t>
  </si>
  <si>
    <t>8.16 ± 5.97a</t>
  </si>
  <si>
    <t>benzaldehyde</t>
  </si>
  <si>
    <t>100-52-7</t>
  </si>
  <si>
    <t>6.38 ± 3.83a</t>
  </si>
  <si>
    <t>1.78 ± 0.1a</t>
  </si>
  <si>
    <t>6.4 ± 4.3a</t>
  </si>
  <si>
    <t>1.52 ± 0.23a</t>
  </si>
  <si>
    <t>dodecanal</t>
  </si>
  <si>
    <t>112-54-9</t>
  </si>
  <si>
    <t>0.25 ± 0.03</t>
  </si>
  <si>
    <t>heptanal</t>
  </si>
  <si>
    <t>111-71-7</t>
  </si>
  <si>
    <t>0.2 ± 0.02</t>
  </si>
  <si>
    <t>4-nadecanohide</t>
  </si>
  <si>
    <t>104-67-6</t>
  </si>
  <si>
    <t>0.16 ± 0.03</t>
  </si>
  <si>
    <t>27.32 ± 17.23a</t>
  </si>
  <si>
    <t>16.49 ± 9.19ab</t>
  </si>
  <si>
    <t>1.78 ± 0.1b</t>
  </si>
  <si>
    <t>21.71 ± 3.59a</t>
  </si>
  <si>
    <t>1.97 ± 0.19b</t>
  </si>
  <si>
    <t>phenols</t>
  </si>
  <si>
    <t>m-cresol</t>
  </si>
  <si>
    <t>108-39-4</t>
  </si>
  <si>
    <t>3.12 ± 0.93b</t>
  </si>
  <si>
    <t>138.28 ± 0.97a</t>
  </si>
  <si>
    <t>0.13 ± 0.03c</t>
  </si>
  <si>
    <t>0.08 ± 0.01c</t>
  </si>
  <si>
    <t>4-hydroxy-3-methoxyglycene</t>
  </si>
  <si>
    <t>7786-61-0</t>
  </si>
  <si>
    <t>6.48 ± 4.04</t>
  </si>
  <si>
    <t>4-ethylphenol</t>
  </si>
  <si>
    <t>123-07-9</t>
  </si>
  <si>
    <t>0.26 ± 0.01c</t>
  </si>
  <si>
    <t>0.36 ± 0.01b</t>
  </si>
  <si>
    <t>0.58 ± 0.01a</t>
  </si>
  <si>
    <t>phenol</t>
  </si>
  <si>
    <t>108-95-2</t>
  </si>
  <si>
    <t>0.08 ± 0.01</t>
  </si>
  <si>
    <t>106-44-5</t>
  </si>
  <si>
    <t>0.54 ± 0.03c</t>
  </si>
  <si>
    <t>0.51 ± 0.01c</t>
  </si>
  <si>
    <t>4.41 ± 0.08a</t>
  </si>
  <si>
    <t>2.2 ± 0.04b</t>
  </si>
  <si>
    <t>3.66 ± 0.96c</t>
  </si>
  <si>
    <t>139.13 ± 0.98a</t>
  </si>
  <si>
    <t>4.9 ± 0.09c</t>
  </si>
  <si>
    <t>9.34 ± 4.06b</t>
  </si>
  <si>
    <t>ketone</t>
  </si>
  <si>
    <t>acetoin</t>
  </si>
  <si>
    <t>513-86-0</t>
  </si>
  <si>
    <t>4.1 ± 0.02b</t>
  </si>
  <si>
    <t>1.68 ± 0.03d</t>
  </si>
  <si>
    <t>0.95 ± 0.01e</t>
  </si>
  <si>
    <t>77.53 ± 0.88a</t>
  </si>
  <si>
    <t>55.38 ± 1.02c</t>
  </si>
  <si>
    <t>2-nonanone</t>
  </si>
  <si>
    <t>821-55-6</t>
  </si>
  <si>
    <t>0.97 ± 0.04a</t>
  </si>
  <si>
    <t>0.52 ± 0.03b</t>
  </si>
  <si>
    <t>0.32 ± 0.02c</t>
  </si>
  <si>
    <t>butane 2,3-dions</t>
  </si>
  <si>
    <t>431–63–8</t>
  </si>
  <si>
    <t>0.97 ± 0.04b</t>
  </si>
  <si>
    <t>5.73 ± 0.18a</t>
  </si>
  <si>
    <t>3-octanone</t>
  </si>
  <si>
    <t>106–68–3</t>
  </si>
  <si>
    <t>1.36 ± 0.02</t>
  </si>
  <si>
    <t>1,1-dichloryposnane</t>
  </si>
  <si>
    <t>54815–13–3</t>
  </si>
  <si>
    <t>0.81 ± 0.02a</t>
  </si>
  <si>
    <t>0.38 ± 0.05a</t>
  </si>
  <si>
    <t>1.26 ± 0.18a</t>
  </si>
  <si>
    <t>2-heptanone</t>
  </si>
  <si>
    <t>110–43–0</t>
  </si>
  <si>
    <t>0.5 ± 0.02a</t>
  </si>
  <si>
    <t>0.13 ± 0.01b</t>
  </si>
  <si>
    <t>undecan-2-one</t>
  </si>
  <si>
    <t>112–12–9</t>
  </si>
  <si>
    <t>0.36 ± 0.02</t>
  </si>
  <si>
    <t>2-pentadecanone</t>
  </si>
  <si>
    <t>2345–28–0</t>
  </si>
  <si>
    <t>0.23 ± 0.02</t>
  </si>
  <si>
    <t>4.1 ± 0.02e</t>
  </si>
  <si>
    <t>2.88 ± 0.06d</t>
  </si>
  <si>
    <t>3.23 ± 0.05d</t>
  </si>
  <si>
    <t>84.16 ± 0.99b</t>
  </si>
  <si>
    <t>58.81 ± 1.18c</t>
  </si>
  <si>
    <t>others</t>
  </si>
  <si>
    <t>limonene</t>
  </si>
  <si>
    <t>138–86–3</t>
  </si>
  <si>
    <t>3.14 ± 0.08</t>
  </si>
  <si>
    <t>1,1-dichlorypentine</t>
  </si>
  <si>
    <t>3658–79–5</t>
  </si>
  <si>
    <t>1.39 ± 0.59a</t>
  </si>
  <si>
    <t>0.33 ± 0.02a</t>
  </si>
  <si>
    <t>tetramethylpyrazine</t>
  </si>
  <si>
    <t>1124–11–4</t>
  </si>
  <si>
    <t>0.68 ± 0.06</t>
  </si>
  <si>
    <t>2,2-diferhenyl ether</t>
  </si>
  <si>
    <t>4437–22–3</t>
  </si>
  <si>
    <t>dimethyl triunifide</t>
  </si>
  <si>
    <t>3658–80–8</t>
  </si>
  <si>
    <t>0.28 ± 0.02</t>
  </si>
  <si>
    <t>0.36 ± 0.02c</t>
  </si>
  <si>
    <t>1.39 ± 0.59b</t>
  </si>
  <si>
    <t>4.43 ± 0.03a</t>
  </si>
  <si>
    <t>total sum</t>
  </si>
  <si>
    <t>9718.36 ± 298.57b</t>
  </si>
  <si>
    <t>5691.46 ± 540.1d</t>
  </si>
  <si>
    <t>7314.51 ± 118.01c</t>
  </si>
  <si>
    <t>15138.07 ± 381.82a</t>
  </si>
  <si>
    <t>2365.63 ± 104.48e</t>
  </si>
  <si>
    <t>OAV</t>
    <phoneticPr fontId="2" type="noConversion"/>
  </si>
  <si>
    <t>NO.</t>
  </si>
  <si>
    <t>(μg/L)</t>
  </si>
  <si>
    <t>LZLJ-M7 (OAV)</t>
  </si>
  <si>
    <t>LZLJ-T7 (OAV)</t>
  </si>
  <si>
    <t>Ethyl Hexanoate</t>
  </si>
  <si>
    <t>55.33a</t>
  </si>
  <si>
    <t>873,258 ± 9159</t>
  </si>
  <si>
    <t>738,302 ± 3649</t>
  </si>
  <si>
    <t>Ethyl butyrate</t>
  </si>
  <si>
    <t>81.50b</t>
  </si>
  <si>
    <t>165,929 ± 4181</t>
  </si>
  <si>
    <t>181,049 ± 3783</t>
  </si>
  <si>
    <t>Ethyl valerate</t>
  </si>
  <si>
    <t>26.80b</t>
  </si>
  <si>
    <t>18,031 ± 270</t>
  </si>
  <si>
    <t>16,080 ± 161</t>
  </si>
  <si>
    <t>Dimethyl triasulfide</t>
  </si>
  <si>
    <t>0.40b</t>
  </si>
  <si>
    <t>139 ± 0.4</t>
  </si>
  <si>
    <t>136 ± 0.1</t>
  </si>
  <si>
    <t>1-Octen-3-ol</t>
  </si>
  <si>
    <t>0.00612b</t>
  </si>
  <si>
    <t>1 ± 0.2</t>
  </si>
  <si>
    <t>1 ± 0.4</t>
  </si>
  <si>
    <t>(E)-2-Octenal</t>
  </si>
  <si>
    <t>0.0151b</t>
  </si>
  <si>
    <t>2 ± 0.3</t>
  </si>
  <si>
    <t>2 ± 0.1</t>
  </si>
  <si>
    <t>Butyric Acid</t>
  </si>
  <si>
    <t>964.00b</t>
  </si>
  <si>
    <t>128,673 ± 749</t>
  </si>
  <si>
    <t>81,517 ± 939</t>
  </si>
  <si>
    <t>Valeric acid</t>
  </si>
  <si>
    <t>389.00b</t>
  </si>
  <si>
    <t>49,388 ± 4109</t>
  </si>
  <si>
    <t>57,055 ± 762</t>
  </si>
  <si>
    <t>Ethyl acetate</t>
  </si>
  <si>
    <t>32600.00b</t>
  </si>
  <si>
    <t>4,021,850 ± 43,275</t>
  </si>
  <si>
    <t>2,926,064 ± 56,016</t>
  </si>
  <si>
    <t>2-(ethoxymethyl)furan</t>
  </si>
  <si>
    <t>10.71b</t>
  </si>
  <si>
    <t>940 ± 2</t>
  </si>
  <si>
    <t>1121 ± 4</t>
  </si>
  <si>
    <t>ethyl 2-hydroxy-4-methylvalerate</t>
  </si>
  <si>
    <t>55.30b</t>
  </si>
  <si>
    <t>3374 ± 13</t>
  </si>
  <si>
    <t>4326 ± 42</t>
  </si>
  <si>
    <t>Ethyl caprylate</t>
  </si>
  <si>
    <t>12.90b</t>
  </si>
  <si>
    <t>940 ± 7</t>
  </si>
  <si>
    <t>1672 ± 79</t>
  </si>
  <si>
    <t>Hexanole acid</t>
  </si>
  <si>
    <t>2517.16b</t>
  </si>
  <si>
    <t>82,362 ± 716</t>
  </si>
  <si>
    <t>123,135 ± 7632</t>
  </si>
  <si>
    <t>Isoamyl acetate</t>
  </si>
  <si>
    <t>93.93b</t>
  </si>
  <si>
    <t>2885 ± 81</t>
  </si>
  <si>
    <t>2236 ± 78</t>
  </si>
  <si>
    <t>1-Butanol</t>
  </si>
  <si>
    <t>2730b</t>
  </si>
  <si>
    <t>54,922 ± 574</t>
  </si>
  <si>
    <t>67,567 ± 680</t>
  </si>
  <si>
    <t>Methyl hexanoate</t>
  </si>
  <si>
    <t>41.00b</t>
  </si>
  <si>
    <t>336 ± 7</t>
  </si>
  <si>
    <t>357 ± 7</t>
  </si>
  <si>
    <t>Phenylacetaldehyde</t>
  </si>
  <si>
    <t>262.00b</t>
  </si>
  <si>
    <t>1733 ± 19</t>
  </si>
  <si>
    <t>1783 ± 0.6</t>
  </si>
  <si>
    <t>4-Ethyl-2-methoxyphenol</t>
  </si>
  <si>
    <t>123.00b</t>
  </si>
  <si>
    <t>524 ± 0.5</t>
  </si>
  <si>
    <t>526 ± 0.3</t>
  </si>
  <si>
    <t>Isovalenic acid</t>
  </si>
  <si>
    <t>1045.47b</t>
  </si>
  <si>
    <t>3123 ± 383</t>
  </si>
  <si>
    <t>4507 ± 246</t>
  </si>
  <si>
    <t>1-Hexanol</t>
  </si>
  <si>
    <t>5370.00b</t>
  </si>
  <si>
    <t>20,155 ± 59</t>
  </si>
  <si>
    <t>15,678 ± 26</t>
  </si>
  <si>
    <t>3-Methyl-1-butanol</t>
  </si>
  <si>
    <t>179190.83b</t>
  </si>
  <si>
    <t>379,229 ± 1775</t>
  </si>
  <si>
    <t>316,720 ± 4522</t>
  </si>
  <si>
    <t>2-Methoxy-4-methylphenol</t>
  </si>
  <si>
    <t>315.00b</t>
  </si>
  <si>
    <t>579 ± 0.2</t>
  </si>
  <si>
    <t>579 ± 0.4</t>
  </si>
  <si>
    <t>gamma-Nonanolactone</t>
  </si>
  <si>
    <t>91.00b</t>
  </si>
  <si>
    <t>130 ± 0.8</t>
  </si>
  <si>
    <t>13 ± 1</t>
  </si>
  <si>
    <t>Furfuryl alcohol</t>
  </si>
  <si>
    <t>2000.00b</t>
  </si>
  <si>
    <t>2533 ± 7</t>
  </si>
  <si>
    <t>2505 ± 2</t>
  </si>
  <si>
    <t>Ethyl phenylacetate</t>
  </si>
  <si>
    <t>407.00b</t>
  </si>
  <si>
    <t>515 ± 5</t>
  </si>
  <si>
    <t>457 ± 2</t>
  </si>
  <si>
    <t>Ethyl 3-phenylpropionate</t>
  </si>
  <si>
    <t>125.00b</t>
  </si>
  <si>
    <t>148 ± 0.1</t>
  </si>
  <si>
    <t>213 ± 4</t>
  </si>
  <si>
    <t>Butyl hexanoate</t>
  </si>
  <si>
    <t>678.00b</t>
  </si>
  <si>
    <t>675 ± 16</t>
  </si>
  <si>
    <t>848 ± 30</t>
  </si>
  <si>
    <t>Butyl acetate</t>
  </si>
  <si>
    <t>4600.00b</t>
  </si>
  <si>
    <t>4971 ± 42</t>
  </si>
  <si>
    <t>4316 ± 27</t>
  </si>
  <si>
    <t>Concentration LZLJ-M7 (Mean ± SD)</t>
    <phoneticPr fontId="2" type="noConversion"/>
  </si>
  <si>
    <t>Concentration LZLJ-T7 (Mean ± SD)</t>
    <phoneticPr fontId="2" type="noConversion"/>
  </si>
  <si>
    <t>Threshold(μg/L)</t>
    <phoneticPr fontId="2" type="noConversion"/>
  </si>
  <si>
    <t>LZ–2016 base SAB (Mean ± SD)</t>
  </si>
  <si>
    <t>GJ–1573 (Mean ± SD)</t>
  </si>
  <si>
    <t>LZ–2016 base SAB (OAV)</t>
  </si>
  <si>
    <t>GJ–1573 (OAV)</t>
  </si>
  <si>
    <t>1,487,026 ± 6408</t>
  </si>
  <si>
    <t>622,200 ± 1786</t>
  </si>
  <si>
    <t>217,932 ± 369</t>
  </si>
  <si>
    <t>143,889 ± 1500</t>
  </si>
  <si>
    <t>44,849 ± 2636</t>
  </si>
  <si>
    <t>43,878 ± 1045</t>
  </si>
  <si>
    <t>2382 ± 17</t>
  </si>
  <si>
    <t>26 ± 2</t>
  </si>
  <si>
    <t>hexanole acid</t>
  </si>
  <si>
    <t>722,576 ± 17,196</t>
  </si>
  <si>
    <t>78,618 ± 8931</t>
  </si>
  <si>
    <t>2783 ± 60</t>
  </si>
  <si>
    <t>ethyl isobutyrate</t>
  </si>
  <si>
    <t>9437 ± 1292</t>
  </si>
  <si>
    <t>8766 ± 304</t>
  </si>
  <si>
    <t>605 ± 2</t>
  </si>
  <si>
    <t>pentanole acid</t>
  </si>
  <si>
    <t>56,841 ± 8653</t>
  </si>
  <si>
    <t>13,732 ± 1660</t>
  </si>
  <si>
    <t>985,274 ± 4023</t>
  </si>
  <si>
    <t>147,160 ± 8188</t>
  </si>
  <si>
    <t>41,802 ± 2478</t>
  </si>
  <si>
    <t>819 ± 30</t>
  </si>
  <si>
    <t>571 ± 19</t>
  </si>
  <si>
    <t>97,718 ± 5482</t>
  </si>
  <si>
    <t>30,025 ± 1548</t>
  </si>
  <si>
    <t>&lt; 1</t>
  </si>
  <si>
    <t>1646 ± 88</t>
  </si>
  <si>
    <t>685 ± 20</t>
  </si>
  <si>
    <t>13,702 ± 2649</t>
  </si>
  <si>
    <t>3885 ± 497</t>
  </si>
  <si>
    <t>1130 ± 167</t>
  </si>
  <si>
    <t>95 ± 12</t>
  </si>
  <si>
    <t>25,675 ± 4066</t>
  </si>
  <si>
    <t>5535 ± 501</t>
  </si>
  <si>
    <t>4-methylvaleric acid</t>
  </si>
  <si>
    <t>1311 ± 218</t>
  </si>
  <si>
    <t>300 ± 62</t>
  </si>
  <si>
    <t>3-methylindole</t>
  </si>
  <si>
    <t>46 ± 3</t>
  </si>
  <si>
    <t>1903 ± 207</t>
  </si>
  <si>
    <t>1498 ± 84</t>
  </si>
  <si>
    <t>732,961 ± 106,844</t>
  </si>
  <si>
    <t>342,535 ± 236,447</t>
  </si>
  <si>
    <t>2075 ± 112</t>
  </si>
  <si>
    <t>992 ± 45</t>
  </si>
  <si>
    <t>44,459 ± 1143</t>
  </si>
  <si>
    <t>2101 ± 101</t>
  </si>
  <si>
    <t>23,926 ± 3848</t>
  </si>
  <si>
    <t>5382 ± 633</t>
  </si>
  <si>
    <t>4-ethylguaiacol</t>
  </si>
  <si>
    <t>γ-nonlactone</t>
  </si>
  <si>
    <t>129 ± 14</t>
  </si>
  <si>
    <t>59 ± 3</t>
  </si>
  <si>
    <t>3-phenyl propionic acid</t>
  </si>
  <si>
    <t>1935 ± 63</t>
  </si>
  <si>
    <t>13 ± 2</t>
  </si>
  <si>
    <t>174 ± 9</t>
  </si>
  <si>
    <t>62 ± 2</t>
  </si>
  <si>
    <t>341 ± 23</t>
  </si>
  <si>
    <t>61 ± 4</t>
  </si>
  <si>
    <t>11 ± 1</t>
  </si>
  <si>
    <t>49 ± 1</t>
  </si>
  <si>
    <t>461 ± 2</t>
  </si>
  <si>
    <t>81 ± 1</t>
  </si>
  <si>
    <t>hexyl butanoate</t>
  </si>
  <si>
    <t>3483 ± 71</t>
  </si>
  <si>
    <t>232 ± 4</t>
  </si>
  <si>
    <t>furfuryl acetate</t>
  </si>
  <si>
    <t>114 ± 9</t>
  </si>
  <si>
    <t>ethyl 2-furoate</t>
  </si>
  <si>
    <t>31 ± 1</t>
  </si>
  <si>
    <t>diethyl succinate</t>
  </si>
  <si>
    <t>1276 ± 91</t>
  </si>
  <si>
    <t>1808 ± 92</t>
  </si>
  <si>
    <t>benzeneacetic acid</t>
  </si>
  <si>
    <t>469 ± 74</t>
  </si>
  <si>
    <t>vanillin</t>
  </si>
  <si>
    <t>58 ± 3</t>
  </si>
  <si>
    <t>Code</t>
  </si>
  <si>
    <t>Aroma compound</t>
  </si>
  <si>
    <t>Odor threshold (μg/L)</t>
  </si>
  <si>
    <t>OAV LS</t>
  </si>
  <si>
    <t>OAV FS</t>
  </si>
  <si>
    <t>5.45 ± 0.69</t>
  </si>
  <si>
    <t>5.50 ± 6.64</t>
  </si>
  <si>
    <t>Ethyl isobutyrate</t>
  </si>
  <si>
    <t>7.29 ± 0.63</t>
  </si>
  <si>
    <t>9.13 ± 0.88</t>
  </si>
  <si>
    <t>132.36 ± 17.97</t>
  </si>
  <si>
    <t>134.33 ± 17.53</t>
  </si>
  <si>
    <t>51.42 ± 2.42</t>
  </si>
  <si>
    <t>56.73 ± 3.21</t>
  </si>
  <si>
    <t>4.42 ± 1.10</t>
  </si>
  <si>
    <t>4.41 ± 1.64</t>
  </si>
  <si>
    <t>209.65 ± 42.15</t>
  </si>
  <si>
    <t>224.00 ± 41.30</t>
  </si>
  <si>
    <t>Ethyl hexanoate</t>
  </si>
  <si>
    <t>3823.72 ± 811.81</t>
  </si>
  <si>
    <t>4021.42 ± 778.92</t>
  </si>
  <si>
    <t>Ethyl lactate</t>
  </si>
  <si>
    <t>1.08 ± 0.24</t>
  </si>
  <si>
    <t>1.23 ± 0.26</t>
  </si>
  <si>
    <t>319.35 ± 56.19</t>
  </si>
  <si>
    <t>225.14 ± 40.04</t>
  </si>
  <si>
    <t>Ethyl palmitate</t>
  </si>
  <si>
    <t>2.20 ± 0.12</t>
  </si>
  <si>
    <t>2.15 ± 0.12</t>
  </si>
  <si>
    <t>12.53 ± 0.59</t>
  </si>
  <si>
    <t>12.30 ± 1.30</t>
  </si>
  <si>
    <t>2.68 ± 0.08</t>
  </si>
  <si>
    <t>2.62 ± 0.26</t>
  </si>
  <si>
    <t>Acetaldehyde</t>
  </si>
  <si>
    <t>9.22 ± 1.08</t>
  </si>
  <si>
    <t>6.50 ± 0.53</t>
  </si>
  <si>
    <t>Aceal</t>
  </si>
  <si>
    <t>1.60 ± 2.09</t>
  </si>
  <si>
    <t>9.91 ± 1.35</t>
  </si>
  <si>
    <t>Isovacetaldehyde</t>
  </si>
  <si>
    <t>169.82 ± 24.55</t>
  </si>
  <si>
    <t>207.98 ± 34.76</t>
  </si>
  <si>
    <t>Hexanal</t>
  </si>
  <si>
    <t>8.23 ± 1.42</t>
  </si>
  <si>
    <t>10.85 ± 1.66</t>
  </si>
  <si>
    <t>1.66 ± 0.30</t>
  </si>
  <si>
    <t>1.50 ± 0.19</t>
  </si>
  <si>
    <t>Purfural</t>
  </si>
  <si>
    <t>20.66 ± 3.38</t>
  </si>
  <si>
    <t>24.51 ± 4.48</t>
  </si>
  <si>
    <t>2-Pentanone</t>
  </si>
  <si>
    <t>1.46 ± 0.40</t>
  </si>
  <si>
    <t>1.63 ± 0.37</t>
  </si>
  <si>
    <t>Acetoin</t>
  </si>
  <si>
    <t>7.43 ± 0.79</t>
  </si>
  <si>
    <t>9.31 ± 1.02</t>
  </si>
  <si>
    <t>2-Heptanone</t>
  </si>
  <si>
    <t>2.45 ± 0.38</t>
  </si>
  <si>
    <t>3.13 ± 0.29</t>
  </si>
  <si>
    <t>8.91 ± 0.50</t>
  </si>
  <si>
    <t>9.15 ± 0.40</t>
  </si>
  <si>
    <t>3-Methylbutanoic acid</t>
  </si>
  <si>
    <t>1.42 ± 0.13</t>
  </si>
  <si>
    <t>1.42 ± 0.12</t>
  </si>
  <si>
    <t>5.76 ± 0.32</t>
  </si>
  <si>
    <t>6.30 ± 0.40</t>
  </si>
  <si>
    <t>1-Hexanoic acid</t>
  </si>
  <si>
    <t>13.87 ± 0.65</t>
  </si>
  <si>
    <t>15.39 ± 0.92</t>
  </si>
  <si>
    <t>Trimethyl-pyrazine</t>
  </si>
  <si>
    <t>1.50 ± 0.34</t>
  </si>
  <si>
    <t>1.17 ± 0.18</t>
  </si>
  <si>
    <t>Compound Name</t>
  </si>
  <si>
    <t>Blank (mg/L)</t>
  </si>
  <si>
    <t>S1 (mg/L)</t>
  </si>
  <si>
    <t>S2 (F3) (mg/L)</t>
  </si>
  <si>
    <t>S3 (mg/L)</t>
  </si>
  <si>
    <t>F1 (mg/L)</t>
  </si>
  <si>
    <t>F3 (mg/L)</t>
  </si>
  <si>
    <t>3-methylbutyl pentanoate</t>
  </si>
  <si>
    <t>Ethyl heptanoate</t>
  </si>
  <si>
    <t>Pentyl Hexanoate</t>
  </si>
  <si>
    <t>Propyl n-Octanoate</t>
  </si>
  <si>
    <t>Hexyl hexanoate</t>
  </si>
  <si>
    <t>Ethyl myristate</t>
  </si>
  <si>
    <t>Ethyl formate</t>
  </si>
  <si>
    <t>Ethyl propionate</t>
  </si>
  <si>
    <t>Ethyl 2-methylbutyrate</t>
  </si>
  <si>
    <t>Ethyl isovvalerate</t>
  </si>
  <si>
    <t>Ethyl pyruvate</t>
  </si>
  <si>
    <t>Isoamyl butyrate</t>
  </si>
  <si>
    <t>Hexyl acetate</t>
  </si>
  <si>
    <t>Ethyl cyclopropanepropionate</t>
  </si>
  <si>
    <t>Ethyl 5-methylhexanoate</t>
  </si>
  <si>
    <t>Ethyl 3-hexenoate</t>
  </si>
  <si>
    <t>Butyl valerate</t>
  </si>
  <si>
    <t>Propyl hexanoate</t>
  </si>
  <si>
    <t>Ethyl hexadienoate</t>
  </si>
  <si>
    <t>Isobutyl hexanoate</t>
  </si>
  <si>
    <t>Heptyl acetate</t>
  </si>
  <si>
    <t>Ethyl octanoate</t>
  </si>
  <si>
    <t>Isoamyl hexanoate</t>
  </si>
  <si>
    <t>Ethyl 7-octanoate</t>
  </si>
  <si>
    <t>Ethyl nonanoate</t>
  </si>
  <si>
    <t>Ethyl 2-hydroxy-4-methylpentanoate</t>
  </si>
  <si>
    <t>Isobutyl heptanoate</t>
  </si>
  <si>
    <t>Isobutyl octanoate</t>
  </si>
  <si>
    <t>Ethyl 3-nonenoate</t>
  </si>
  <si>
    <t>Octyl butyrate</t>
  </si>
  <si>
    <t>Ethyl decanoate</t>
  </si>
  <si>
    <t>Isoamyl octanoate</t>
  </si>
  <si>
    <t>Diethyl succinate</t>
  </si>
  <si>
    <t>Ethyl 4-decenoate</t>
  </si>
  <si>
    <t>Butyl heptanoate</t>
  </si>
  <si>
    <t>Ethyl undecanoate</t>
  </si>
  <si>
    <t>Ethyl 2-decenoate</t>
  </si>
  <si>
    <t>Hexyl octanoate</t>
  </si>
  <si>
    <t>Ethyl laurate</t>
  </si>
  <si>
    <t>Ethyl tridecanoate</t>
  </si>
  <si>
    <t>Ethyl 4-phenylbutyrate</t>
  </si>
  <si>
    <t>Octyl octanoate</t>
  </si>
  <si>
    <t>Ethyl pentadecanoate</t>
  </si>
  <si>
    <t>Methyl palmitate</t>
  </si>
  <si>
    <t>Ethyl 9-hexadecenoate</t>
  </si>
  <si>
    <t>Ethyl 15-methylheptadecanoate</t>
  </si>
  <si>
    <t>Ethyl oleate</t>
  </si>
  <si>
    <t>Ethyl linoleate</t>
  </si>
  <si>
    <t>Dibutyl phthalate</t>
  </si>
  <si>
    <t>Propyl octanoate</t>
  </si>
  <si>
    <t>Isovaleraldehyde</t>
  </si>
  <si>
    <t>Isobutyraldehyde</t>
  </si>
  <si>
    <t>Nominal</t>
  </si>
  <si>
    <t>Butyraldehyde</t>
  </si>
  <si>
    <t>2-Nonanone</t>
  </si>
  <si>
    <t>2-Undecanone</t>
  </si>
  <si>
    <t>2-Pentadecanone</t>
  </si>
  <si>
    <t>Fitone</t>
  </si>
  <si>
    <t>2-Nonen-4-one</t>
  </si>
  <si>
    <t>Benzeneacetaldehyde, diethyl acetal</t>
  </si>
  <si>
    <t>Decane, 1,1-diethoxy-</t>
  </si>
  <si>
    <t>1,1-diethoxynonane</t>
  </si>
  <si>
    <t>Nonanoic acid</t>
  </si>
  <si>
    <t>Acetic acid</t>
  </si>
  <si>
    <t>Isobutyric acid</t>
  </si>
  <si>
    <t>Butyric acid</t>
  </si>
  <si>
    <t>Hexanoic acid</t>
  </si>
  <si>
    <t>Hepanoic acid</t>
  </si>
  <si>
    <t>Octanoic acid</t>
  </si>
  <si>
    <t>3-Hydroxylauric acid</t>
  </si>
  <si>
    <t>α-Linolenic acid</t>
  </si>
  <si>
    <t>2-Dodecenoic acid</t>
  </si>
  <si>
    <t>5-Dodecenoic acid</t>
  </si>
  <si>
    <t>9-Hexadecenoic acid</t>
  </si>
  <si>
    <t>13-Octadecenoic acid</t>
  </si>
  <si>
    <t>17-Octadecenoic acid</t>
  </si>
  <si>
    <t>Eicosenoic acid</t>
  </si>
  <si>
    <t>Hexanoic anhydride</t>
  </si>
  <si>
    <t>ID</t>
  </si>
  <si>
    <t>compound</t>
  </si>
  <si>
    <t>odor threshold (μg/L)</t>
  </si>
  <si>
    <t>JH1</t>
  </si>
  <si>
    <t>JH2</t>
  </si>
  <si>
    <t>SC1</t>
  </si>
  <si>
    <t>SC2</t>
  </si>
  <si>
    <t>SC3</t>
  </si>
  <si>
    <t>SC4</t>
  </si>
  <si>
    <t>SC5</t>
  </si>
  <si>
    <t>SC6</t>
  </si>
  <si>
    <t>A1</t>
  </si>
  <si>
    <t>1-propanol</t>
  </si>
  <si>
    <t>A2</t>
  </si>
  <si>
    <t>A3</t>
  </si>
  <si>
    <t>A4</t>
  </si>
  <si>
    <t>A5</t>
  </si>
  <si>
    <t>1-hexanol</t>
  </si>
  <si>
    <t>AL1</t>
  </si>
  <si>
    <t>furfural</t>
  </si>
  <si>
    <t>AL2</t>
  </si>
  <si>
    <t>AL3</t>
  </si>
  <si>
    <t>nonanal</t>
  </si>
  <si>
    <t>AL4</t>
  </si>
  <si>
    <t>(E)-2-nonenal</t>
  </si>
  <si>
    <t>&lt;1</t>
  </si>
  <si>
    <t>E1</t>
  </si>
  <si>
    <t>E2</t>
  </si>
  <si>
    <t>ethyl butyrate</t>
  </si>
  <si>
    <t>E3</t>
  </si>
  <si>
    <t>E4</t>
  </si>
  <si>
    <t>E5</t>
  </si>
  <si>
    <t>E7</t>
  </si>
  <si>
    <t>ethyl isocaproate</t>
  </si>
  <si>
    <t>E8</t>
  </si>
  <si>
    <t>E9</t>
  </si>
  <si>
    <t>hexyl acetate</t>
  </si>
  <si>
    <t>E13</t>
  </si>
  <si>
    <t>isoamyl butyrate</t>
  </si>
  <si>
    <t>E17</t>
  </si>
  <si>
    <t>E18</t>
  </si>
  <si>
    <t>E28</t>
  </si>
  <si>
    <t>E29</t>
  </si>
  <si>
    <t>E33</t>
  </si>
  <si>
    <t>E34</t>
  </si>
  <si>
    <t>isopentyl hexanoate</t>
  </si>
  <si>
    <t>E40</t>
  </si>
  <si>
    <t>E42</t>
  </si>
  <si>
    <t>E43</t>
  </si>
  <si>
    <t>AC1</t>
  </si>
  <si>
    <t>AC2</t>
  </si>
  <si>
    <t>AC3</t>
  </si>
  <si>
    <t>valeric acid</t>
  </si>
  <si>
    <t>AC4</t>
  </si>
  <si>
    <t>hexanolic acid</t>
  </si>
  <si>
    <t>AC5</t>
  </si>
  <si>
    <t>heptanolic acid</t>
  </si>
  <si>
    <t>AC6</t>
  </si>
  <si>
    <t>octanolic acid</t>
  </si>
  <si>
    <t>Compound</t>
  </si>
  <si>
    <t>Odor Threshold (μg/L)</t>
  </si>
  <si>
    <t>OAV Sample 1</t>
  </si>
  <si>
    <t>OAV Sample 2</t>
  </si>
  <si>
    <t>OAV Sample 3</t>
  </si>
  <si>
    <t>Average OAV</t>
  </si>
  <si>
    <t>55b</t>
  </si>
  <si>
    <t>Ethyl butanoate</t>
  </si>
  <si>
    <t>82b</t>
  </si>
  <si>
    <t>Ethyl pentanoate</t>
  </si>
  <si>
    <t>27b</t>
  </si>
  <si>
    <t>Dimethyl trisulfide</t>
  </si>
  <si>
    <t>0.36c</t>
  </si>
  <si>
    <t>13b</t>
  </si>
  <si>
    <t>Ethyl 3-methylbutanoate</t>
  </si>
  <si>
    <t>7b</t>
  </si>
  <si>
    <t>3-Methyl-1-butanal</t>
  </si>
  <si>
    <t>16.5c</t>
  </si>
  <si>
    <t>2520c</t>
  </si>
  <si>
    <t>Ethyl 2-methylpropanoate</t>
  </si>
  <si>
    <t>57.5c</t>
  </si>
  <si>
    <t>32600b</t>
  </si>
  <si>
    <t>Butanoic acid</t>
  </si>
  <si>
    <t>964b</t>
  </si>
  <si>
    <t>Ethyl 2-methylbutanoate</t>
  </si>
  <si>
    <t>18b</t>
  </si>
  <si>
    <t>94c</t>
  </si>
  <si>
    <t>5370b</t>
  </si>
  <si>
    <t>128000b</t>
  </si>
  <si>
    <t>Ethyl 3-phenylpropanoate</t>
  </si>
  <si>
    <t>125b</t>
  </si>
  <si>
    <t>160000b</t>
  </si>
  <si>
    <t>1890b</t>
  </si>
  <si>
    <t>407b</t>
  </si>
  <si>
    <t>Isopenyl hexanoate</t>
  </si>
  <si>
    <t>1400f</t>
  </si>
  <si>
    <t>1500d</t>
  </si>
  <si>
    <t>Ethyl 4-methylpentanoate</t>
  </si>
  <si>
    <t>389d</t>
  </si>
  <si>
    <t>5250.31d</t>
  </si>
  <si>
    <t>4-Methylphenol</t>
  </si>
  <si>
    <t>167f</t>
  </si>
  <si>
    <t>1120d</t>
  </si>
  <si>
    <t>13200f</t>
  </si>
  <si>
    <t>179000d</t>
  </si>
  <si>
    <t>1-Octanol</t>
  </si>
  <si>
    <t>1100c</t>
  </si>
  <si>
    <t>2-Methyl-1-propanol</t>
  </si>
  <si>
    <t>40000c</t>
  </si>
  <si>
    <t>Ethyl benzoate</t>
  </si>
  <si>
    <t>1400c</t>
  </si>
  <si>
    <t>12800b</t>
  </si>
  <si>
    <t>Ethyl 2-hydroxy-4-methylvalerate</t>
  </si>
  <si>
    <t>45953.66d</t>
  </si>
  <si>
    <t>3200e</t>
  </si>
  <si>
    <t>Benzaldehyde</t>
  </si>
  <si>
    <t>4200e</t>
  </si>
  <si>
    <t>Phenethyl alcohol</t>
  </si>
  <si>
    <t>28900c</t>
  </si>
  <si>
    <t>Diethyl butanedioate</t>
  </si>
  <si>
    <t>353000f</t>
  </si>
  <si>
    <t>Ethyl hexadecanoate</t>
  </si>
  <si>
    <t>—</t>
  </si>
  <si>
    <t>Category</t>
  </si>
  <si>
    <t>CAS number</t>
  </si>
  <si>
    <t>BC/SG</t>
  </si>
  <si>
    <t>GJG</t>
  </si>
  <si>
    <t>LZ</t>
  </si>
  <si>
    <t>Alcohols</t>
  </si>
  <si>
    <t>2-Butanol</t>
  </si>
  <si>
    <t>71.11 ± 1.09</t>
  </si>
  <si>
    <t>29.83 ± 0.56</t>
  </si>
  <si>
    <t>20.70 ± 0.18</t>
  </si>
  <si>
    <t>1-Propanol</t>
  </si>
  <si>
    <t>71-23-8</t>
  </si>
  <si>
    <t>107.03 ± 4.51</t>
  </si>
  <si>
    <t>221.77 ± 2.81</t>
  </si>
  <si>
    <t>52.74 ± 0.24</t>
  </si>
  <si>
    <t>2-Pentanol</t>
  </si>
  <si>
    <t>6032-29-7</t>
  </si>
  <si>
    <t>23.04 ± 1.65</t>
  </si>
  <si>
    <t>4.37 ± 0.17</t>
  </si>
  <si>
    <t>2-Methyl-1-butanol</t>
  </si>
  <si>
    <t>137-32-6</t>
  </si>
  <si>
    <t>108.96 ± 2.19</t>
  </si>
  <si>
    <t>136.09 ± 0.41</t>
  </si>
  <si>
    <t>314.59 ± 2.91</t>
  </si>
  <si>
    <t>270.96 ± 0.43</t>
  </si>
  <si>
    <t>220.07 ± 0.63</t>
  </si>
  <si>
    <t>2-Hexanol</t>
  </si>
  <si>
    <t>23.52 ± 0.33</t>
  </si>
  <si>
    <t>1-Pentanol</t>
  </si>
  <si>
    <t>13.59 ± 0.43</t>
  </si>
  <si>
    <t>1.70 ± 0.03</t>
  </si>
  <si>
    <t>2-Heptanol</t>
  </si>
  <si>
    <t>543-49-7</t>
  </si>
  <si>
    <t>3.12 ± 0.07</t>
  </si>
  <si>
    <t>59.59 ± 0.28</t>
  </si>
  <si>
    <t>25.58 ± 0.36</t>
  </si>
  <si>
    <t>1-Heptanol</t>
  </si>
  <si>
    <t>111-70-6</t>
  </si>
  <si>
    <t>2.01 ± 0.05</t>
  </si>
  <si>
    <t>0.86 ± 0.01</t>
  </si>
  <si>
    <t>2,3-Butanediol</t>
  </si>
  <si>
    <t>4.05 ± 0.03</t>
  </si>
  <si>
    <t>1.11 ± 0.01</t>
  </si>
  <si>
    <t>2-Methylpropanol</t>
  </si>
  <si>
    <t>31.81 ± 0.20</t>
  </si>
  <si>
    <t>0.27 ± 0.01</t>
  </si>
  <si>
    <t>Aromatic compounds</t>
  </si>
  <si>
    <t>2-Furan methanol</t>
  </si>
  <si>
    <t>98-00-0</t>
  </si>
  <si>
    <t>4.66 ± 0.03</t>
  </si>
  <si>
    <t>1.38 ± 0.02</t>
  </si>
  <si>
    <t>Furfural</t>
  </si>
  <si>
    <t>8.68 ± 0.09</t>
  </si>
  <si>
    <t>2-Butylfuran</t>
  </si>
  <si>
    <t>4466-24-4</t>
  </si>
  <si>
    <t>5.78 ± 0.14</t>
  </si>
  <si>
    <t>Phenylacetaldehyde diacetal</t>
  </si>
  <si>
    <t>6314-97-2</t>
  </si>
  <si>
    <t>1.26 ± 0.01</t>
  </si>
  <si>
    <t>2021-28-5</t>
  </si>
  <si>
    <t>4.99 ± 0.16</t>
  </si>
  <si>
    <t>10.59 ± 0.17</t>
  </si>
  <si>
    <t>Phenyl ethanol</t>
  </si>
  <si>
    <t>60-12-8*</t>
  </si>
  <si>
    <t>4.55 ± 0.03</t>
  </si>
  <si>
    <t>2.42 ± 0.01</t>
  </si>
  <si>
    <t>1.36 ± 0.01</t>
  </si>
  <si>
    <t>2785-89-9</t>
  </si>
  <si>
    <t>2.00 ± 0.10</t>
  </si>
  <si>
    <t>93-89-0</t>
  </si>
  <si>
    <t>1.35 ± 0.01</t>
  </si>
  <si>
    <t>1.24 ± 0.01</t>
  </si>
  <si>
    <t>Acids</t>
  </si>
  <si>
    <t>317.50 ± 1.95</t>
  </si>
  <si>
    <t>523.53 ± 0.24</t>
  </si>
  <si>
    <t>553.57 ± 0.15</t>
  </si>
  <si>
    <t>Propanoic acid</t>
  </si>
  <si>
    <t>10.89 ± 0.57</t>
  </si>
  <si>
    <t>2.52 ± 0.01</t>
  </si>
  <si>
    <t>2.39 ± 0.03</t>
  </si>
  <si>
    <t>2-Methylpropionic acid</t>
  </si>
  <si>
    <t>6.14 ± 0.04</t>
  </si>
  <si>
    <t>5.09 ± 0.15</t>
  </si>
  <si>
    <t>4.40 ± 0.04</t>
  </si>
  <si>
    <t>127.75 ± 0.56</t>
  </si>
  <si>
    <t>186.84 ± 0.55</t>
  </si>
  <si>
    <t>204.66 ± 0.28</t>
  </si>
  <si>
    <t>503-74-2</t>
  </si>
  <si>
    <t>7.46 ± 0.09</t>
  </si>
  <si>
    <t>8.92 ± 0.01</t>
  </si>
  <si>
    <t>3-Methyl pentanoic acid</t>
  </si>
  <si>
    <t>5.75 ± 0.60</t>
  </si>
  <si>
    <t>Pentanoic acid</t>
  </si>
  <si>
    <t>23.56 ± 0.27</t>
  </si>
  <si>
    <t>7.95 ± 0.09</t>
  </si>
  <si>
    <t>13.97 ± 0.02</t>
  </si>
  <si>
    <t>494.71 ± 1.60</t>
  </si>
  <si>
    <t>321.41 ± 0.02</t>
  </si>
  <si>
    <t>355.61 ± 4.80</t>
  </si>
  <si>
    <t>Heptanoic acid</t>
  </si>
  <si>
    <t>8.80 ± 0.04</t>
  </si>
  <si>
    <t>8.34 ± 0.24</t>
  </si>
  <si>
    <t>5.15 ± 0.02</t>
  </si>
  <si>
    <t>15.67 ± 0.34</t>
  </si>
  <si>
    <t>6.49 ± 0.01</t>
  </si>
  <si>
    <t>112-05-0</t>
  </si>
  <si>
    <t>6.56 ± 0.05</t>
  </si>
  <si>
    <t>Esters</t>
  </si>
  <si>
    <t>141-78-6</t>
  </si>
  <si>
    <t>2316.11 ± 14.39</t>
  </si>
  <si>
    <t>1194.92 ± 0.68</t>
  </si>
  <si>
    <t>1157.68 ± 0.53</t>
  </si>
  <si>
    <t>539-82-2</t>
  </si>
  <si>
    <t>72.20 ± 8.05</t>
  </si>
  <si>
    <t>179.96 ± 0.86</t>
  </si>
  <si>
    <t>Butyl formate</t>
  </si>
  <si>
    <t>592-84-7</t>
  </si>
  <si>
    <t>70.95 ± 0.87</t>
  </si>
  <si>
    <t>51.19 ± 2.13</t>
  </si>
  <si>
    <t>56.66 ± 0.28</t>
  </si>
  <si>
    <t>Hexyl formate</t>
  </si>
  <si>
    <t>629-33-4</t>
  </si>
  <si>
    <t>99.17 ± 0.08</t>
  </si>
  <si>
    <t>Butyl butanoate</t>
  </si>
  <si>
    <t>109-21-7</t>
  </si>
  <si>
    <t>34.06 ± 0.27</t>
  </si>
  <si>
    <t>123-66-0</t>
  </si>
  <si>
    <t>2097.06 ± 4.11</t>
  </si>
  <si>
    <t>2949.40 ± 7.09</t>
  </si>
  <si>
    <t>2476.53 ± 9.56</t>
  </si>
  <si>
    <t>626-77-7</t>
  </si>
  <si>
    <t>34.37 ± 0.12</t>
  </si>
  <si>
    <t>15.84 ± 0.10</t>
  </si>
  <si>
    <t>106-30-9</t>
  </si>
  <si>
    <t>379.17 ± 0.86</t>
  </si>
  <si>
    <t>63.07 ± 0.30</t>
  </si>
  <si>
    <t>110.23 ± 0.09</t>
  </si>
  <si>
    <t>97-64-3</t>
  </si>
  <si>
    <t>882.58 ± 4.86</t>
  </si>
  <si>
    <t>517.81 ± 0.51</t>
  </si>
  <si>
    <t>638.26 ± 0.36</t>
  </si>
  <si>
    <t>626-82-4</t>
  </si>
  <si>
    <t>78.84 ± 0.14</t>
  </si>
  <si>
    <t>14.97 ± 0.11</t>
  </si>
  <si>
    <t>19.96 ± 0.12</t>
  </si>
  <si>
    <t>Hexyl butanoate</t>
  </si>
  <si>
    <t>2639-63-6</t>
  </si>
  <si>
    <t>9.50 ± 0.25</t>
  </si>
  <si>
    <t>106-32-1</t>
  </si>
  <si>
    <t>274.30 ± 2.65</t>
  </si>
  <si>
    <t>132.21 ± 1.01</t>
  </si>
  <si>
    <t>72.40 ± 0.55</t>
  </si>
  <si>
    <t>2198-61-0</t>
  </si>
  <si>
    <t>98.78 ± 1.34</t>
  </si>
  <si>
    <t>50.54 ± 0.05</t>
  </si>
  <si>
    <t>105-54-4</t>
  </si>
  <si>
    <t>149.94 ± 1.32</t>
  </si>
  <si>
    <t>164.87 ± 0.98</t>
  </si>
  <si>
    <t>209.73 ± 0.43</t>
  </si>
  <si>
    <t>6378-65-0</t>
  </si>
  <si>
    <t>25.59 ± 0.15</t>
  </si>
  <si>
    <t>50.49 ± 0.43</t>
  </si>
  <si>
    <t>38.40 ± 0.17</t>
  </si>
  <si>
    <t>110-38-3</t>
  </si>
  <si>
    <t>15.13 ± 0.25</t>
  </si>
  <si>
    <t>6.60 ± 0.25</t>
  </si>
  <si>
    <t>628-97-7</t>
  </si>
  <si>
    <t>15.11 ± 1.14</t>
  </si>
  <si>
    <t>79.51 ± 0.73</t>
  </si>
  <si>
    <t>24.20 ± 0.23</t>
  </si>
  <si>
    <t>Amyl hexanoate</t>
  </si>
  <si>
    <t>540-07-8</t>
  </si>
  <si>
    <t>8.82 ± 0.37</t>
  </si>
  <si>
    <t>4.11 ± 0.08</t>
  </si>
  <si>
    <t>123-29-5</t>
  </si>
  <si>
    <t>3.38 ± 0.06</t>
  </si>
  <si>
    <t>Isopenyl lactate</t>
  </si>
  <si>
    <t>19329-89-6</t>
  </si>
  <si>
    <t>8.52 ± 0.25</t>
  </si>
  <si>
    <t>3.52 ± 0.02</t>
  </si>
  <si>
    <t>123-25-1</t>
  </si>
  <si>
    <t>6.08 ± 0.05</t>
  </si>
  <si>
    <t>15.17 ± 0.08</t>
  </si>
  <si>
    <t>Ethyl tetradecanoate</t>
  </si>
  <si>
    <t>124-06-1</t>
  </si>
  <si>
    <t>4.94 ± 0.11</t>
  </si>
  <si>
    <t>Ethylpentadecanoate</t>
  </si>
  <si>
    <t>41114-00-5</t>
  </si>
  <si>
    <t>4.98 ± 0.11</t>
  </si>
  <si>
    <t>Ethyl 9-hexadecanoate</t>
  </si>
  <si>
    <t>54546-22-4</t>
  </si>
  <si>
    <t>10.67 ± 0.09</t>
  </si>
  <si>
    <t>Ethyl octadecanoate</t>
  </si>
  <si>
    <t>111-61-5</t>
  </si>
  <si>
    <t>5.30 ± 0.14</t>
  </si>
  <si>
    <t>111-62-6</t>
  </si>
  <si>
    <t>11.06 ± 4.22</t>
  </si>
  <si>
    <t>24.13 ± 0.12</t>
  </si>
  <si>
    <t>19.22 ± 0.28</t>
  </si>
  <si>
    <t>Ethyl 2-hydroxycaproate</t>
  </si>
  <si>
    <t>52089-55-1</t>
  </si>
  <si>
    <t>57.30 ± 0.33</t>
  </si>
  <si>
    <t>6.69 ± 0.04</t>
  </si>
  <si>
    <t>No.⁺</t>
  </si>
  <si>
    <t>(mg L⁻¹)</t>
  </si>
  <si>
    <t>BCSG</t>
  </si>
  <si>
    <t>2-Methylpropanoic acid</t>
  </si>
  <si>
    <t>Hexyl butyrate</t>
  </si>
  <si>
    <t>4-Ethyl-2-methoxy-phenol</t>
  </si>
  <si>
    <t>(Empty/No entry)</t>
  </si>
  <si>
    <t>–</t>
  </si>
  <si>
    <t>Zone</t>
  </si>
  <si>
    <t>Compounds (μg/L)</t>
  </si>
  <si>
    <t>B1-H</t>
  </si>
  <si>
    <t>B1-L</t>
  </si>
  <si>
    <t>B3-H</t>
  </si>
  <si>
    <t>B3-L</t>
  </si>
  <si>
    <t>B2-H</t>
  </si>
  <si>
    <t>B2-L</t>
  </si>
  <si>
    <t>B4-H</t>
  </si>
  <si>
    <t>B4-L</t>
  </si>
  <si>
    <t>B5-H</t>
  </si>
  <si>
    <t>B5-L</t>
  </si>
  <si>
    <t>ethyl hexanoate*</t>
  </si>
  <si>
    <r>
      <t>55.3</t>
    </r>
    <r>
      <rPr>
        <sz val="10.5"/>
        <color rgb="FFFFFFFF"/>
        <rFont val="Times New Roman"/>
        <family val="1"/>
      </rPr>
      <t>ᵃ</t>
    </r>
  </si>
  <si>
    <t>ethyl butanoate*</t>
  </si>
  <si>
    <r>
      <t>81.5</t>
    </r>
    <r>
      <rPr>
        <sz val="10.5"/>
        <color rgb="FFFFFFFF"/>
        <rFont val="Times New Roman"/>
        <family val="1"/>
      </rPr>
      <t>ᶜ</t>
    </r>
  </si>
  <si>
    <t>3-methylbutanulf</t>
  </si>
  <si>
    <r>
      <t>16.5</t>
    </r>
    <r>
      <rPr>
        <sz val="10.5"/>
        <color rgb="FFFFFFFF"/>
        <rFont val="Times New Roman"/>
        <family val="1"/>
      </rPr>
      <t>ᵈ</t>
    </r>
  </si>
  <si>
    <t>hexanoic acid*</t>
  </si>
  <si>
    <r>
      <t>2520</t>
    </r>
    <r>
      <rPr>
        <sz val="10.5"/>
        <color rgb="FFFFFFFF"/>
        <rFont val="Times New Roman"/>
        <family val="1"/>
      </rPr>
      <t>ᶠ</t>
    </r>
  </si>
  <si>
    <t>ethyl 3-methylbutanoate*</t>
  </si>
  <si>
    <r>
      <t>6.89</t>
    </r>
    <r>
      <rPr>
        <sz val="10.5"/>
        <color rgb="FFFFFFFF"/>
        <rFont val="Times New Roman"/>
        <family val="1"/>
      </rPr>
      <t>ᵍ</t>
    </r>
  </si>
  <si>
    <t>ethyl pentanoate*</t>
  </si>
  <si>
    <r>
      <t>26.8</t>
    </r>
    <r>
      <rPr>
        <sz val="10.5"/>
        <color rgb="FFFFFFFF"/>
        <rFont val="Times New Roman"/>
        <family val="1"/>
      </rPr>
      <t>ʰ</t>
    </r>
  </si>
  <si>
    <t>ethyl octanoate*</t>
  </si>
  <si>
    <r>
      <t>12.9</t>
    </r>
    <r>
      <rPr>
        <sz val="10.5"/>
        <color rgb="FFFFFFFF"/>
        <rFont val="Cambria Math"/>
        <family val="1"/>
      </rPr>
      <t>ⁱ</t>
    </r>
  </si>
  <si>
    <t>(2S,6Z)-non-2,6-dienal*</t>
  </si>
  <si>
    <r>
      <t>0.04</t>
    </r>
    <r>
      <rPr>
        <sz val="10.5"/>
        <color rgb="FFFFFFFF"/>
        <rFont val="Times New Roman"/>
        <family val="1"/>
      </rPr>
      <t>ʰ</t>
    </r>
  </si>
  <si>
    <t>(methyltrisulfanyl)methane*</t>
  </si>
  <si>
    <r>
      <t>0.36</t>
    </r>
    <r>
      <rPr>
        <sz val="10.5"/>
        <color rgb="FFFFFFFF"/>
        <rFont val="Cambria Math"/>
        <family val="1"/>
      </rPr>
      <t>ⁱ</t>
    </r>
  </si>
  <si>
    <t>ethyl 2-methylpropanoate*</t>
  </si>
  <si>
    <r>
      <t>57.5</t>
    </r>
    <r>
      <rPr>
        <sz val="10.5"/>
        <color rgb="FFFFFFFF"/>
        <rFont val="Times New Roman"/>
        <family val="1"/>
      </rPr>
      <t>ᵉ</t>
    </r>
  </si>
  <si>
    <t>butanoic acid*</t>
  </si>
  <si>
    <r>
      <t>965</t>
    </r>
    <r>
      <rPr>
        <sz val="10.5"/>
        <color rgb="FFFFFFFF"/>
        <rFont val="Times New Roman"/>
        <family val="1"/>
      </rPr>
      <t>ᵇ</t>
    </r>
  </si>
  <si>
    <r>
      <t>389</t>
    </r>
    <r>
      <rPr>
        <sz val="10.5"/>
        <color rgb="FFFFFFFF"/>
        <rFont val="Times New Roman"/>
        <family val="1"/>
      </rPr>
      <t>ᵃ</t>
    </r>
  </si>
  <si>
    <t>1,1-diethoxyethane*</t>
  </si>
  <si>
    <r>
      <t>2090</t>
    </r>
    <r>
      <rPr>
        <sz val="10.5"/>
        <color rgb="FFFFFFFF"/>
        <rFont val="Times New Roman"/>
        <family val="1"/>
      </rPr>
      <t>ᶠ</t>
    </r>
  </si>
  <si>
    <t>hexanal*</t>
  </si>
  <si>
    <r>
      <t>23.5</t>
    </r>
    <r>
      <rPr>
        <sz val="10.5"/>
        <color rgb="FFFFFFFF"/>
        <rFont val="Times New Roman"/>
        <family val="1"/>
      </rPr>
      <t>ᶜ</t>
    </r>
  </si>
  <si>
    <t>ethyl 2-methylbutanoate*</t>
  </si>
  <si>
    <r>
      <t>18.0</t>
    </r>
    <r>
      <rPr>
        <sz val="10.5"/>
        <color rgb="FFFFFFFF"/>
        <rFont val="Times New Roman"/>
        <family val="1"/>
      </rPr>
      <t>ᶠ</t>
    </r>
  </si>
  <si>
    <t>butan-1-ol</t>
  </si>
  <si>
    <r>
      <t>2733</t>
    </r>
    <r>
      <rPr>
        <sz val="10.5"/>
        <color rgb="FFFFFFFF"/>
        <rFont val="Times New Roman"/>
        <family val="1"/>
      </rPr>
      <t>ᵃ</t>
    </r>
  </si>
  <si>
    <t>ethyl acetate*</t>
  </si>
  <si>
    <r>
      <t>32552</t>
    </r>
    <r>
      <rPr>
        <sz val="10.5"/>
        <color rgb="FFFFFFFF"/>
        <rFont val="Times New Roman"/>
        <family val="1"/>
      </rPr>
      <t>ᶠ</t>
    </r>
  </si>
  <si>
    <t>oct-1-en-3-ol</t>
  </si>
  <si>
    <r>
      <t>6.12</t>
    </r>
    <r>
      <rPr>
        <sz val="10.5"/>
        <color rgb="FFFFFFFF"/>
        <rFont val="Times New Roman"/>
        <family val="1"/>
      </rPr>
      <t>ᵉ</t>
    </r>
  </si>
  <si>
    <t>β-damascenone</t>
  </si>
  <si>
    <r>
      <t>0.12</t>
    </r>
    <r>
      <rPr>
        <sz val="10.5"/>
        <color rgb="FFFFFFFF"/>
        <rFont val="Times New Roman"/>
        <family val="1"/>
      </rPr>
      <t>ᵉ</t>
    </r>
  </si>
  <si>
    <t>3-methylbutyl acetate*</t>
  </si>
  <si>
    <r>
      <t>93.9</t>
    </r>
    <r>
      <rPr>
        <sz val="10.5"/>
        <color rgb="FFFFFFFF"/>
        <rFont val="Cambria Math"/>
        <family val="1"/>
      </rPr>
      <t>ⁱ</t>
    </r>
  </si>
  <si>
    <t>hexyl hexanoate*</t>
  </si>
  <si>
    <r>
      <t>1891</t>
    </r>
    <r>
      <rPr>
        <sz val="10.5"/>
        <color rgb="FFFFFFFF"/>
        <rFont val="Times New Roman"/>
        <family val="1"/>
      </rPr>
      <t>ᵈ</t>
    </r>
  </si>
  <si>
    <t>3-methylbutanoic acid*</t>
  </si>
  <si>
    <r>
      <t>1050</t>
    </r>
    <r>
      <rPr>
        <sz val="10.5"/>
        <color rgb="FFFFFFFF"/>
        <rFont val="Times New Roman"/>
        <family val="1"/>
      </rPr>
      <t>ᶠ</t>
    </r>
  </si>
  <si>
    <t>hexan-1-ol*</t>
  </si>
  <si>
    <r>
      <t>5370</t>
    </r>
    <r>
      <rPr>
        <sz val="10.5"/>
        <color rgb="FFFFFFFF"/>
        <rFont val="Times New Roman"/>
        <family val="1"/>
      </rPr>
      <t>ᶠ</t>
    </r>
  </si>
  <si>
    <t>ethyl 2-phenylacetate*</t>
  </si>
  <si>
    <r>
      <t>407</t>
    </r>
    <r>
      <rPr>
        <sz val="10.5"/>
        <color rgb="FFFFFFFF"/>
        <rFont val="Times New Roman"/>
        <family val="1"/>
      </rPr>
      <t>ᵃ</t>
    </r>
  </si>
  <si>
    <t>decanal</t>
  </si>
  <si>
    <r>
      <t>70.8</t>
    </r>
    <r>
      <rPr>
        <sz val="10.5"/>
        <color rgb="FFFFFFFF"/>
        <rFont val="Times New Roman"/>
        <family val="1"/>
      </rPr>
      <t>ᵃ</t>
    </r>
  </si>
  <si>
    <t>acetic acid*</t>
  </si>
  <si>
    <r>
      <t>160000</t>
    </r>
    <r>
      <rPr>
        <sz val="10.5"/>
        <color rgb="FFFFFFFF"/>
        <rFont val="Times New Roman"/>
        <family val="1"/>
      </rPr>
      <t>ᶠ</t>
    </r>
  </si>
  <si>
    <t>ethyl dodecanoate*</t>
  </si>
  <si>
    <r>
      <t>400</t>
    </r>
    <r>
      <rPr>
        <sz val="10.5"/>
        <color rgb="FFFFFFFF"/>
        <rFont val="Times New Roman"/>
        <family val="1"/>
      </rPr>
      <t>ᵍ</t>
    </r>
  </si>
  <si>
    <r>
      <t>1400</t>
    </r>
    <r>
      <rPr>
        <sz val="10.5"/>
        <color rgb="FFFFFFFF"/>
        <rFont val="Times New Roman"/>
        <family val="1"/>
      </rPr>
      <t>ᶠ</t>
    </r>
  </si>
  <si>
    <t>2-phenylacetaldehyde</t>
  </si>
  <si>
    <r>
      <t>262</t>
    </r>
    <r>
      <rPr>
        <sz val="10.5"/>
        <color rgb="FFFFFFFF"/>
        <rFont val="Times New Roman"/>
        <family val="1"/>
      </rPr>
      <t>ᵈ</t>
    </r>
  </si>
  <si>
    <t>2-methylpropanoic acid</t>
  </si>
  <si>
    <r>
      <t>1580</t>
    </r>
    <r>
      <rPr>
        <sz val="10.5"/>
        <color rgb="FFFFFFFF"/>
        <rFont val="Times New Roman"/>
        <family val="1"/>
      </rPr>
      <t>ᶠ</t>
    </r>
  </si>
  <si>
    <r>
      <t>2700</t>
    </r>
    <r>
      <rPr>
        <sz val="10.5"/>
        <color rgb="FFFFFFFF"/>
        <rFont val="Times New Roman"/>
        <family val="1"/>
      </rPr>
      <t>ᵍ</t>
    </r>
  </si>
  <si>
    <t>4-methylphenol</t>
  </si>
  <si>
    <r>
      <t>167</t>
    </r>
    <r>
      <rPr>
        <sz val="10.5"/>
        <color rgb="FFFFFFFF"/>
        <rFont val="Times New Roman"/>
        <family val="1"/>
      </rPr>
      <t>ʰ</t>
    </r>
  </si>
  <si>
    <r>
      <t>3151</t>
    </r>
    <r>
      <rPr>
        <sz val="10.5"/>
        <color rgb="FFFFFFFF"/>
        <rFont val="Times New Roman"/>
        <family val="1"/>
      </rPr>
      <t>ᵉ</t>
    </r>
  </si>
  <si>
    <t>butyl acetate</t>
  </si>
  <si>
    <r>
      <t>1800</t>
    </r>
    <r>
      <rPr>
        <sz val="10.5"/>
        <color rgb="FFFFFFFF"/>
        <rFont val="Times New Roman"/>
        <family val="1"/>
      </rPr>
      <t>ᶠ</t>
    </r>
  </si>
  <si>
    <t>ethyl dezonate</t>
  </si>
  <si>
    <r>
      <t>1120</t>
    </r>
    <r>
      <rPr>
        <sz val="10.5"/>
        <color rgb="FFFFFFFF"/>
        <rFont val="Times New Roman"/>
        <family val="1"/>
      </rPr>
      <t>ᶠ</t>
    </r>
  </si>
  <si>
    <t>ethyl heptanoate*</t>
  </si>
  <si>
    <r>
      <t>13153</t>
    </r>
    <r>
      <rPr>
        <sz val="10.5"/>
        <color rgb="FFFFFFFF"/>
        <rFont val="Times New Roman"/>
        <family val="1"/>
      </rPr>
      <t>ᵃ</t>
    </r>
  </si>
  <si>
    <t>2-methylpropan-1-ol*</t>
  </si>
  <si>
    <r>
      <t>28500</t>
    </r>
    <r>
      <rPr>
        <sz val="10.5"/>
        <color rgb="FFFFFFFF"/>
        <rFont val="Times New Roman"/>
        <family val="1"/>
      </rPr>
      <t>ᶠ</t>
    </r>
  </si>
  <si>
    <t>2-ethyl-6-methylpyrazine</t>
  </si>
  <si>
    <r>
      <t>40.0</t>
    </r>
    <r>
      <rPr>
        <sz val="10.5"/>
        <color rgb="FFFFFFFF"/>
        <rFont val="Times New Roman"/>
        <family val="1"/>
      </rPr>
      <t>ᵈ</t>
    </r>
  </si>
  <si>
    <r>
      <t>13281</t>
    </r>
    <r>
      <rPr>
        <sz val="10.5"/>
        <color rgb="FFFFFFFF"/>
        <rFont val="Times New Roman"/>
        <family val="1"/>
      </rPr>
      <t>ᵃ</t>
    </r>
  </si>
  <si>
    <t>2,6-diethylpyrazine</t>
  </si>
  <si>
    <r>
      <t>6.00</t>
    </r>
    <r>
      <rPr>
        <sz val="10.5"/>
        <color rgb="FFFFFFFF"/>
        <rFont val="Times New Roman"/>
        <family val="1"/>
      </rPr>
      <t>ᵈ</t>
    </r>
  </si>
  <si>
    <t>3-methylbutyl butanoate</t>
  </si>
  <si>
    <r>
      <t>918</t>
    </r>
    <r>
      <rPr>
        <sz val="10.5"/>
        <color rgb="FFFFFFFF"/>
        <rFont val="Times New Roman"/>
        <family val="1"/>
      </rPr>
      <t>ᵃ</t>
    </r>
  </si>
  <si>
    <t>proyl hexanoate*</t>
  </si>
  <si>
    <r>
      <t>12784</t>
    </r>
    <r>
      <rPr>
        <sz val="10.5"/>
        <color rgb="FFFFFFFF"/>
        <rFont val="Times New Roman"/>
        <family val="1"/>
      </rPr>
      <t>ᵃ</t>
    </r>
  </si>
  <si>
    <r>
      <t>2000</t>
    </r>
    <r>
      <rPr>
        <sz val="10.5"/>
        <color rgb="FFFFFFFF"/>
        <rFont val="Times New Roman"/>
        <family val="1"/>
      </rPr>
      <t>ᵍ</t>
    </r>
  </si>
  <si>
    <t>threshold</t>
    <phoneticPr fontId="2" type="noConversion"/>
  </si>
  <si>
    <t>Aroma compounds</t>
  </si>
  <si>
    <t>OAV (2)</t>
  </si>
  <si>
    <t>OAV (3)</t>
  </si>
  <si>
    <t>OAV (4)</t>
  </si>
  <si>
    <t>OAV (5)</t>
  </si>
  <si>
    <t>OAV (6)</t>
  </si>
  <si>
    <t>OAV (7)</t>
  </si>
  <si>
    <t>OAV (8)</t>
  </si>
  <si>
    <r>
      <t>82</t>
    </r>
    <r>
      <rPr>
        <sz val="10.5"/>
        <color rgb="FFFFFFFF"/>
        <rFont val="Times New Roman"/>
        <family val="1"/>
      </rPr>
      <t>ᵃ</t>
    </r>
  </si>
  <si>
    <r>
      <t>58</t>
    </r>
    <r>
      <rPr>
        <sz val="10.5"/>
        <color rgb="FFFFFFFF"/>
        <rFont val="Times New Roman"/>
        <family val="1"/>
      </rPr>
      <t>ᵇ</t>
    </r>
  </si>
  <si>
    <r>
      <t>28,300</t>
    </r>
    <r>
      <rPr>
        <sz val="10.5"/>
        <color rgb="FFFFFFFF"/>
        <rFont val="Times New Roman"/>
        <family val="1"/>
      </rPr>
      <t>ᶜ</t>
    </r>
  </si>
  <si>
    <r>
      <t>27</t>
    </r>
    <r>
      <rPr>
        <sz val="10.5"/>
        <color rgb="FFFFFFFF"/>
        <rFont val="Times New Roman"/>
        <family val="1"/>
      </rPr>
      <t>ᵈ</t>
    </r>
  </si>
  <si>
    <r>
      <t>2,790</t>
    </r>
    <r>
      <rPr>
        <sz val="10.5"/>
        <color rgb="FFFFFFFF"/>
        <rFont val="Times New Roman"/>
        <family val="1"/>
      </rPr>
      <t>ᵈ</t>
    </r>
  </si>
  <si>
    <r>
      <t>8</t>
    </r>
    <r>
      <rPr>
        <sz val="10.5"/>
        <color rgb="FFFFFFFF"/>
        <rFont val="Times New Roman"/>
        <family val="1"/>
      </rPr>
      <t>ᵉ</t>
    </r>
  </si>
  <si>
    <r>
      <t>179,000</t>
    </r>
    <r>
      <rPr>
        <sz val="10.5"/>
        <color rgb="FFFFFFFF"/>
        <rFont val="Times New Roman"/>
        <family val="1"/>
      </rPr>
      <t>ᵈ</t>
    </r>
  </si>
  <si>
    <r>
      <t>55</t>
    </r>
    <r>
      <rPr>
        <sz val="10.5"/>
        <color rgb="FFFFFFFF"/>
        <rFont val="Times New Roman"/>
        <family val="1"/>
      </rPr>
      <t>ᵉ</t>
    </r>
  </si>
  <si>
    <r>
      <t>5,560</t>
    </r>
    <r>
      <rPr>
        <sz val="10.5"/>
        <color rgb="FFFFFFFF"/>
        <rFont val="Times New Roman"/>
        <family val="1"/>
      </rPr>
      <t>ᶠ</t>
    </r>
  </si>
  <si>
    <t>Cyclopentanol</t>
  </si>
  <si>
    <r>
      <t>4,200,000</t>
    </r>
    <r>
      <rPr>
        <sz val="10.5"/>
        <color rgb="FFFFFFFF"/>
        <rFont val="Times New Roman"/>
        <family val="1"/>
      </rPr>
      <t>ʰ</t>
    </r>
  </si>
  <si>
    <r>
      <t>12,800</t>
    </r>
    <r>
      <rPr>
        <sz val="10.5"/>
        <color rgb="FFFFFFFF"/>
        <rFont val="Cambria Math"/>
        <family val="1"/>
      </rPr>
      <t>ⁱ</t>
    </r>
  </si>
  <si>
    <r>
      <t>128,000</t>
    </r>
    <r>
      <rPr>
        <sz val="10.5"/>
        <color rgb="FFFFFFFF"/>
        <rFont val="Cambria Math"/>
        <family val="1"/>
      </rPr>
      <t>ⁱ</t>
    </r>
  </si>
  <si>
    <r>
      <t>5,370</t>
    </r>
    <r>
      <rPr>
        <sz val="10.5"/>
        <color rgb="FFFFFFFF"/>
        <rFont val="Cambria Math"/>
        <family val="1"/>
      </rPr>
      <t>ⁱ</t>
    </r>
  </si>
  <si>
    <r>
      <t>5,000</t>
    </r>
    <r>
      <rPr>
        <sz val="10.5"/>
        <color rgb="FFFFFFFF"/>
        <rFont val="Times New Roman"/>
        <family val="1"/>
      </rPr>
      <t>ʰ</t>
    </r>
  </si>
  <si>
    <r>
      <t>13</t>
    </r>
    <r>
      <rPr>
        <sz val="10.5"/>
        <color rgb="FFFFFFFF"/>
        <rFont val="Times New Roman"/>
        <family val="1"/>
      </rPr>
      <t>ᵃ</t>
    </r>
  </si>
  <si>
    <r>
      <t>160,000</t>
    </r>
    <r>
      <rPr>
        <sz val="10.5"/>
        <color rgb="FFFFFFFF"/>
        <rFont val="Times New Roman"/>
        <family val="1"/>
      </rPr>
      <t>ᵈ</t>
    </r>
  </si>
  <si>
    <t>Isopentyl hexanoate</t>
  </si>
  <si>
    <r>
      <t>1,400</t>
    </r>
    <r>
      <rPr>
        <sz val="10.5"/>
        <color rgb="FFFFFFFF"/>
        <rFont val="Times New Roman"/>
        <family val="1"/>
      </rPr>
      <t>ᶜ</t>
    </r>
  </si>
  <si>
    <r>
      <t>44,000</t>
    </r>
    <r>
      <rPr>
        <sz val="10.5"/>
        <color rgb="FFFFFFFF"/>
        <rFont val="Times New Roman"/>
        <family val="1"/>
      </rPr>
      <t>ᵈ</t>
    </r>
  </si>
  <si>
    <t>2-Acetylfuran</t>
  </si>
  <si>
    <r>
      <t>58,504</t>
    </r>
    <r>
      <rPr>
        <sz val="10.5"/>
        <color rgb="FFFFFFFF"/>
        <rFont val="Times New Roman"/>
        <family val="1"/>
      </rPr>
      <t>ᵈ</t>
    </r>
  </si>
  <si>
    <r>
      <t>3,150</t>
    </r>
    <r>
      <rPr>
        <sz val="10.5"/>
        <color rgb="FFFFFFFF"/>
        <rFont val="Times New Roman"/>
        <family val="1"/>
      </rPr>
      <t>ᶠ</t>
    </r>
  </si>
  <si>
    <r>
      <t>1,890</t>
    </r>
    <r>
      <rPr>
        <sz val="10.5"/>
        <color rgb="FFFFFFFF"/>
        <rFont val="Times New Roman"/>
        <family val="1"/>
      </rPr>
      <t>ᵈ</t>
    </r>
  </si>
  <si>
    <r>
      <t>964</t>
    </r>
    <r>
      <rPr>
        <sz val="10.5"/>
        <color rgb="FFFFFFFF"/>
        <rFont val="Times New Roman"/>
        <family val="1"/>
      </rPr>
      <t>ᵈ</t>
    </r>
  </si>
  <si>
    <r>
      <t>1,120</t>
    </r>
    <r>
      <rPr>
        <sz val="10.5"/>
        <color rgb="FFFFFFFF"/>
        <rFont val="Times New Roman"/>
        <family val="1"/>
      </rPr>
      <t>ᵈ</t>
    </r>
  </si>
  <si>
    <t>2-Furanmethanol</t>
  </si>
  <si>
    <r>
      <t>2,000</t>
    </r>
    <r>
      <rPr>
        <sz val="10.5"/>
        <color rgb="FFFFFFFF"/>
        <rFont val="Times New Roman"/>
        <family val="1"/>
      </rPr>
      <t>ᵈ</t>
    </r>
  </si>
  <si>
    <r>
      <t>1,050</t>
    </r>
    <r>
      <rPr>
        <sz val="10.5"/>
        <color rgb="FFFFFFFF"/>
        <rFont val="Times New Roman"/>
        <family val="1"/>
      </rPr>
      <t>ᵈ</t>
    </r>
  </si>
  <si>
    <t>Ethyl butanedioate</t>
  </si>
  <si>
    <r>
      <t>353,000</t>
    </r>
    <r>
      <rPr>
        <sz val="10.5"/>
        <color rgb="FFFFFFFF"/>
        <rFont val="Times New Roman"/>
        <family val="1"/>
      </rPr>
      <t>ᵈ</t>
    </r>
  </si>
  <si>
    <t>3-Methylthiopropanol</t>
  </si>
  <si>
    <r>
      <t>2,110</t>
    </r>
    <r>
      <rPr>
        <sz val="10.5"/>
        <color rgb="FFFFFFFF"/>
        <rFont val="Times New Roman"/>
        <family val="1"/>
      </rPr>
      <t>ᵈ</t>
    </r>
  </si>
  <si>
    <r>
      <t>389</t>
    </r>
    <r>
      <rPr>
        <sz val="10.5"/>
        <color rgb="FFFFFFFF"/>
        <rFont val="Times New Roman"/>
        <family val="1"/>
      </rPr>
      <t>ᵈ</t>
    </r>
  </si>
  <si>
    <r>
      <t>407</t>
    </r>
    <r>
      <rPr>
        <sz val="10.5"/>
        <color rgb="FFFFFFFF"/>
        <rFont val="Times New Roman"/>
        <family val="1"/>
      </rPr>
      <t>ᶠ</t>
    </r>
  </si>
  <si>
    <t>4-Methylpentanoic acid</t>
  </si>
  <si>
    <r>
      <t>144</t>
    </r>
    <r>
      <rPr>
        <sz val="10.5"/>
        <color rgb="FFFFFFFF"/>
        <rFont val="Times New Roman"/>
        <family val="1"/>
      </rPr>
      <t>ᵈ</t>
    </r>
  </si>
  <si>
    <t>Phenethyl acetate</t>
  </si>
  <si>
    <r>
      <t>909</t>
    </r>
    <r>
      <rPr>
        <sz val="10.5"/>
        <color rgb="FFFFFFFF"/>
        <rFont val="Times New Roman"/>
        <family val="1"/>
      </rPr>
      <t>ᶠ</t>
    </r>
  </si>
  <si>
    <r>
      <t>2,829</t>
    </r>
    <r>
      <rPr>
        <sz val="10.5"/>
        <color rgb="FFFFFFFF"/>
        <rFont val="Times New Roman"/>
        <family val="1"/>
      </rPr>
      <t>ᵈ</t>
    </r>
  </si>
  <si>
    <r>
      <t>125</t>
    </r>
    <r>
      <rPr>
        <sz val="10.5"/>
        <color rgb="FFFFFFFF"/>
        <rFont val="Times New Roman"/>
        <family val="1"/>
      </rPr>
      <t>ᵈ</t>
    </r>
  </si>
  <si>
    <t>2-Phenylethanol</t>
  </si>
  <si>
    <r>
      <t>28,900</t>
    </r>
    <r>
      <rPr>
        <sz val="10.5"/>
        <color rgb="FFFFFFFF"/>
        <rFont val="Times New Roman"/>
        <family val="1"/>
      </rPr>
      <t>ᵈ</t>
    </r>
  </si>
  <si>
    <r>
      <t>13,800</t>
    </r>
    <r>
      <rPr>
        <sz val="10.5"/>
        <color rgb="FFFFFFFF"/>
        <rFont val="Times New Roman"/>
        <family val="1"/>
      </rPr>
      <t>ᵈ</t>
    </r>
  </si>
  <si>
    <t>2-Methoxy-p-cresol</t>
  </si>
  <si>
    <r>
      <t>50</t>
    </r>
    <r>
      <rPr>
        <sz val="10.5"/>
        <color rgb="FFFFFFFF"/>
        <rFont val="Times New Roman"/>
        <family val="1"/>
      </rPr>
      <t>ʰ</t>
    </r>
  </si>
  <si>
    <t>Phenol</t>
  </si>
  <si>
    <r>
      <t>18,900</t>
    </r>
    <r>
      <rPr>
        <sz val="10.5"/>
        <color rgb="FFFFFFFF"/>
        <rFont val="Times New Roman"/>
        <family val="1"/>
      </rPr>
      <t>ᶠ</t>
    </r>
  </si>
  <si>
    <r>
      <t>7</t>
    </r>
    <r>
      <rPr>
        <sz val="10.5"/>
        <color rgb="FFFFFFFF"/>
        <rFont val="Times New Roman"/>
        <family val="1"/>
      </rPr>
      <t>ʰ</t>
    </r>
  </si>
  <si>
    <t>p-Cresol</t>
  </si>
  <si>
    <r>
      <t>60</t>
    </r>
    <r>
      <rPr>
        <sz val="10.5"/>
        <color rgb="FFFFFFFF"/>
        <rFont val="Times New Roman"/>
        <family val="1"/>
      </rPr>
      <t>ʰ</t>
    </r>
  </si>
  <si>
    <t>Concentration (mg/L) - 1</t>
  </si>
  <si>
    <t>Concentration (mg/L) - 2</t>
  </si>
  <si>
    <t>Concentration (mg/L) - 3</t>
  </si>
  <si>
    <t>Concentration (mg/L) - 4</t>
  </si>
  <si>
    <t>Concentration (mg/L) - 5</t>
  </si>
  <si>
    <t>Concentration (mg/L) - 7</t>
  </si>
  <si>
    <t>Concentration (mg/L) - 8</t>
  </si>
  <si>
    <t>940 ± 14.6</t>
  </si>
  <si>
    <t>206 ± 3.2</t>
  </si>
  <si>
    <t>138 ± 0.727</t>
  </si>
  <si>
    <t>113 ± 2.27</t>
  </si>
  <si>
    <t>73 ± 1.28</t>
  </si>
  <si>
    <t>57 ± 0.543</t>
  </si>
  <si>
    <t>20.3 ± 0.31</t>
  </si>
  <si>
    <t>19.1 ± 0.17</t>
  </si>
  <si>
    <t>47.1 ± 0.253</t>
  </si>
  <si>
    <t>6.42 ± 0.164</t>
  </si>
  <si>
    <t>4.17 ± 0.017</t>
  </si>
  <si>
    <t>2.92 ± 0.009</t>
  </si>
  <si>
    <t>2.07 ± 0.02</t>
  </si>
  <si>
    <t>1.39 ± 0.012</t>
  </si>
  <si>
    <t>0.625 ± 0.008</t>
  </si>
  <si>
    <t>0.431 ± 0.012</t>
  </si>
  <si>
    <t>136 ± 2.98</t>
  </si>
  <si>
    <t>42.6 ± 0.37</t>
  </si>
  <si>
    <t>29.8 ± 0.398</t>
  </si>
  <si>
    <t>25.2 ± 0.526</t>
  </si>
  <si>
    <t>20.8 ± 0.281</t>
  </si>
  <si>
    <t>17.3 ± 0.177</t>
  </si>
  <si>
    <t>10.4 ± 0.061</t>
  </si>
  <si>
    <t>7.14 ± 0.018</t>
  </si>
  <si>
    <t>193 ± 0.095</t>
  </si>
  <si>
    <t>46.4 ± 1.05</t>
  </si>
  <si>
    <t>34.1 ± 0.444</t>
  </si>
  <si>
    <t>25.1 ± 0.096</t>
  </si>
  <si>
    <t>21 ± 0.379</t>
  </si>
  <si>
    <t>15.3 ± 0.265</t>
  </si>
  <si>
    <t>11.9 ± 0.144</t>
  </si>
  <si>
    <t>7.77 ± 0.15</t>
  </si>
  <si>
    <t>511 ± 11</t>
  </si>
  <si>
    <t>335 ± 4.22</t>
  </si>
  <si>
    <t>299 ± 4.4</t>
  </si>
  <si>
    <t>309 ± 7.15</t>
  </si>
  <si>
    <t>270 ± 6.35</t>
  </si>
  <si>
    <t>267 ± 3.77</t>
  </si>
  <si>
    <t>175 ± 0.6</t>
  </si>
  <si>
    <t>124 ± 0.564</t>
  </si>
  <si>
    <t>4.36 ± 0.068</t>
  </si>
  <si>
    <t>1.57 ± 0.014</t>
  </si>
  <si>
    <t>1.52 ± 0.013</t>
  </si>
  <si>
    <t>1.2 ± 0.016</t>
  </si>
  <si>
    <t>0.57 ± 0.165</t>
  </si>
  <si>
    <t>0.643 ± 0.053</t>
  </si>
  <si>
    <t>0.55 ± 0.296</t>
  </si>
  <si>
    <t>(空)</t>
  </si>
  <si>
    <t>3-Methyl 1-butanol</t>
  </si>
  <si>
    <t>372 ± 6.31</t>
  </si>
  <si>
    <t>226 ± 1.79</t>
  </si>
  <si>
    <t>196 ± 2.28</t>
  </si>
  <si>
    <t>202 ± 3.49</t>
  </si>
  <si>
    <t>188 ± 3.37</t>
  </si>
  <si>
    <t>118 ± 0.112</t>
  </si>
  <si>
    <t>79.1 ± 0.149</t>
  </si>
  <si>
    <t>Ethyl hexanoate*</t>
  </si>
  <si>
    <t>2559 ± 32.9</t>
  </si>
  <si>
    <t>1157 ± 20</t>
  </si>
  <si>
    <t>1092 ± 2.99</t>
  </si>
  <si>
    <t>879 ± 6.12</t>
  </si>
  <si>
    <t>861 ± 13.5</t>
  </si>
  <si>
    <t>679 ± 2.38</t>
  </si>
  <si>
    <t>714 ± 3.38</t>
  </si>
  <si>
    <t>421 ± 1.36</t>
  </si>
  <si>
    <t>21.2 ± 0.02</t>
  </si>
  <si>
    <t>9.13 ± 0.049</t>
  </si>
  <si>
    <t>9.2 ± 0.057</t>
  </si>
  <si>
    <t>6.94 ± 0.105</t>
  </si>
  <si>
    <t>10.5 ± 0.136</t>
  </si>
  <si>
    <t>1.39 ± 0.205</t>
  </si>
  <si>
    <t>0.779 ± 0.126</t>
  </si>
  <si>
    <t>0.297 ± 0.027</t>
  </si>
  <si>
    <t>Purfuryl ethyl ether</t>
  </si>
  <si>
    <t>42.9 ± 0.029</t>
  </si>
  <si>
    <t>13.9 ± 0.182</t>
  </si>
  <si>
    <t>9.26 ± 0.054</t>
  </si>
  <si>
    <t>7.72 ± 0.052</t>
  </si>
  <si>
    <t>6 ± 0.021</t>
  </si>
  <si>
    <t>4 ± 0.005</t>
  </si>
  <si>
    <t>4.04 ± 0.055</t>
  </si>
  <si>
    <t>2.5 ± 0.01</t>
  </si>
  <si>
    <t>0.349 ± 0.014</t>
  </si>
  <si>
    <t>0.431 ± 0.026</t>
  </si>
  <si>
    <t>0.67 ± 0.038</t>
  </si>
  <si>
    <t>0.987 ± 0.027</t>
  </si>
  <si>
    <t>1.2 ± 0.021</t>
  </si>
  <si>
    <t>20.7 ± 0.112</t>
  </si>
  <si>
    <t>11.6 ± 0.217</t>
  </si>
  <si>
    <t>13.2 ± 0.084</t>
  </si>
  <si>
    <t>10.9 ± 0.105</t>
  </si>
  <si>
    <t>14.1 ± 0.162</t>
  </si>
  <si>
    <t>4.87 ± 0.428</t>
  </si>
  <si>
    <t>6.01 ± 0.12</t>
  </si>
  <si>
    <t>Ethyl lactate*</t>
  </si>
  <si>
    <t>1159 ± 19.5</t>
  </si>
  <si>
    <t>869 ± 2.76</t>
  </si>
  <si>
    <t>1151 ± 3.68</t>
  </si>
  <si>
    <t>1519 ± 20.4</t>
  </si>
  <si>
    <t>1543 ± 33</t>
  </si>
  <si>
    <t>1869 ± 15.2</t>
  </si>
  <si>
    <t>1655 ± 46.7</t>
  </si>
  <si>
    <t>1585 ± 2.82</t>
  </si>
  <si>
    <t>1-Hexanol*</t>
  </si>
  <si>
    <t>164 ± 2.34</t>
  </si>
  <si>
    <t>206 ± 1.55</t>
  </si>
  <si>
    <t>230 ± 1.61</t>
  </si>
  <si>
    <t>288 ± 3.08</t>
  </si>
  <si>
    <t>286 ± 5.56</t>
  </si>
  <si>
    <t>274 ± 12.7</t>
  </si>
  <si>
    <t>124 ± 2.34</t>
  </si>
  <si>
    <t>Ethyl 2-hydroxybutanoate</t>
  </si>
  <si>
    <t>0.318 ± 0.006</t>
  </si>
  <si>
    <t>0.502 ± 0.013</t>
  </si>
  <si>
    <t>0.855 ± 0.001</t>
  </si>
  <si>
    <t>1.24 ± 0.005</t>
  </si>
  <si>
    <t>1.53 ± 0.033</t>
  </si>
  <si>
    <t>2.67 ± 0.01</t>
  </si>
  <si>
    <t>3.33 ± 0.008</t>
  </si>
  <si>
    <t>3.34 ± 0.004</t>
  </si>
  <si>
    <t>17.2 ± 0.24</t>
  </si>
  <si>
    <t>7.91 ± 0.137</t>
  </si>
  <si>
    <t>11.2 ± 0.122</t>
  </si>
  <si>
    <t>5.67 ± 0.021</t>
  </si>
  <si>
    <t>12.2 ± 0.09</t>
  </si>
  <si>
    <t>5.55 ± 0.053</t>
  </si>
  <si>
    <t>10.9 ± 0.056</t>
  </si>
  <si>
    <t>1.03 ± 0.015</t>
  </si>
  <si>
    <t>Propyl lactate</t>
  </si>
  <si>
    <t>2.48 ± 0.002</t>
  </si>
  <si>
    <t>3.22 ± 0.056</t>
  </si>
  <si>
    <t>5.58 ± 0.069</t>
  </si>
  <si>
    <t>8.56 ± 0.078</t>
  </si>
  <si>
    <t>11.6 ± 0.054</t>
  </si>
  <si>
    <t>19.8 ± 0.076</t>
  </si>
  <si>
    <t>16.3 ± 0.111</t>
  </si>
  <si>
    <t>22.2 ± 0.03</t>
  </si>
  <si>
    <t>51.1 ± 0.181</t>
  </si>
  <si>
    <t>22.8 ± 0.45</t>
  </si>
  <si>
    <t>34.7 ± 0.263</t>
  </si>
  <si>
    <t>19.6 ± 0.135</t>
  </si>
  <si>
    <t>41.4 ± 0.293</t>
  </si>
  <si>
    <t>20.5 ± 0.134</t>
  </si>
  <si>
    <t>38.4 ± 0.376</t>
  </si>
  <si>
    <t>3.88 ± 0.013</t>
  </si>
  <si>
    <t>51.5 ± 0.458</t>
  </si>
  <si>
    <t>44.9 ± 0.597</t>
  </si>
  <si>
    <t>60.6 ± 0.575</t>
  </si>
  <si>
    <t>74.9 ± 0.933</t>
  </si>
  <si>
    <t>97.1 ± 0.515</t>
  </si>
  <si>
    <t>62.1 ± 0.897</t>
  </si>
  <si>
    <t>142 ± 0.433</t>
  </si>
  <si>
    <t>148 ± 0.288</t>
  </si>
  <si>
    <t>5.73 ± 0.15</t>
  </si>
  <si>
    <t>1.94 ± 0.168</t>
  </si>
  <si>
    <t>4.26 ± 0.071</t>
  </si>
  <si>
    <t>2.57 ± 0.044</t>
  </si>
  <si>
    <t>7.01 ± 0.147</t>
  </si>
  <si>
    <t>2.39 ± 0.097</t>
  </si>
  <si>
    <t>5.51 ± 0.171</t>
  </si>
  <si>
    <t>16.8 ± 0.066</t>
  </si>
  <si>
    <t>11.6 ± 0.16</t>
  </si>
  <si>
    <t>24.4 ± 0.018</t>
  </si>
  <si>
    <t>42.7 ± 0.241</t>
  </si>
  <si>
    <t>60.4 ± 0.337</t>
  </si>
  <si>
    <t>123 ± 0.569</t>
  </si>
  <si>
    <t>129 ± 0.792</t>
  </si>
  <si>
    <t>0.651 ± 0.022</t>
  </si>
  <si>
    <t>0.516 ± 0.107</t>
  </si>
  <si>
    <t>0.956 ± 0.077</t>
  </si>
  <si>
    <t>Purfuryl acetate</t>
  </si>
  <si>
    <t>0.022 ± 0.004</t>
  </si>
  <si>
    <t>0.72 ± 0.069</t>
  </si>
  <si>
    <t>1.2 ± 0.06</t>
  </si>
  <si>
    <t>1.4 ± 0.194</t>
  </si>
  <si>
    <t>0.629 ± 0.13</t>
  </si>
  <si>
    <t>1.07 ± 0.094</t>
  </si>
  <si>
    <t>0.548 ± 0.097</t>
  </si>
  <si>
    <t>Ethyl DL-2-hydroxy-4-methylpentanoate</t>
  </si>
  <si>
    <t>21.2 ± 0.395</t>
  </si>
  <si>
    <t>61.6 ± 3.13</t>
  </si>
  <si>
    <t>99.4 ± 2.16</t>
  </si>
  <si>
    <t>144 ± 4.63</t>
  </si>
  <si>
    <t>186 ± 6.12</t>
  </si>
  <si>
    <t>279 ± 4.51</t>
  </si>
  <si>
    <t>276 ± 3.4</t>
  </si>
  <si>
    <t>225 ± 0.989</t>
  </si>
  <si>
    <t>26.5 ± 0.33</t>
  </si>
  <si>
    <t>12.1 ± 0.246</t>
  </si>
  <si>
    <t>26.3 ± 0.281</t>
  </si>
  <si>
    <t>13.6 ± 0.12</t>
  </si>
  <si>
    <t>44 ± 0.216</t>
  </si>
  <si>
    <t>21 ± 0.221</t>
  </si>
  <si>
    <t>33.8 ± 0.33</t>
  </si>
  <si>
    <t>0.688 ± 0.005</t>
  </si>
  <si>
    <t>65.3 ± 0.731</t>
  </si>
  <si>
    <t>40.4 ± 0.349</t>
  </si>
  <si>
    <t>64.9 ± 0.428</t>
  </si>
  <si>
    <t>78.9 ± 0.554</t>
  </si>
  <si>
    <t>103 ± 0.991</t>
  </si>
  <si>
    <t>153 ± 0.446</t>
  </si>
  <si>
    <t>159 ± 0.52</t>
  </si>
  <si>
    <t>188 ± 1.21</t>
  </si>
  <si>
    <t>4 ± 0.085</t>
  </si>
  <si>
    <t>1.1 ± 0.064</t>
  </si>
  <si>
    <t>3.42 ± 0.06</t>
  </si>
  <si>
    <t>2.42 ± 0.031</t>
  </si>
  <si>
    <t>8.14 ± 0.034</t>
  </si>
  <si>
    <t>8.66 ± 0.08</t>
  </si>
  <si>
    <t>2.01 ± 0.042</t>
  </si>
  <si>
    <t>1.9 ± 0.019</t>
  </si>
  <si>
    <t>3.38 ± 0.154</t>
  </si>
  <si>
    <t>5.52 ± 0.107</t>
  </si>
  <si>
    <t>6.73 ± 0.472</t>
  </si>
  <si>
    <t>13 ± 0.343</t>
  </si>
  <si>
    <t>16.5 ± 0.106</t>
  </si>
  <si>
    <t>18.8 ± 0.112</t>
  </si>
  <si>
    <t>2-Puramnethanol</t>
  </si>
  <si>
    <t>6.74 ± 0.035</t>
  </si>
  <si>
    <t>4.23 ± 0.056</t>
  </si>
  <si>
    <t>5.51 ± 0.1</t>
  </si>
  <si>
    <t>7.66 ± 0.054</t>
  </si>
  <si>
    <t>9.89 ± 0.16</t>
  </si>
  <si>
    <t>17.1 ± 0.081</t>
  </si>
  <si>
    <t>16.7 ± 0.247</t>
  </si>
  <si>
    <t>21.4 ± 0.091</t>
  </si>
  <si>
    <t>4.93 ± 0.02</t>
  </si>
  <si>
    <t>2.5 ± 0.009</t>
  </si>
  <si>
    <t>4.71 ± 0.041</t>
  </si>
  <si>
    <t>6.34 ± 0.025</t>
  </si>
  <si>
    <t>12.3 ± 0.531</t>
  </si>
  <si>
    <t>18.2 ± 0.141</t>
  </si>
  <si>
    <t>18.8 ± 0.061</t>
  </si>
  <si>
    <t>25.5 ± 0.083</t>
  </si>
  <si>
    <t>20.3 ± 0.084</t>
  </si>
  <si>
    <t>11.4 ± 0.101</t>
  </si>
  <si>
    <t>22.4 ± 0.2</t>
  </si>
  <si>
    <t>36.4 ± 0.276</t>
  </si>
  <si>
    <t>50.4 ± 0.184</t>
  </si>
  <si>
    <t>82.5 ± 0.959</t>
  </si>
  <si>
    <t>94.4 ± 0.703</t>
  </si>
  <si>
    <t>94.6 ± 0.441</t>
  </si>
  <si>
    <t>2-Methoxyhexyl acetate</t>
  </si>
  <si>
    <t>2.38 ± 0.162</t>
  </si>
  <si>
    <t>2.06 ± 0.049</t>
  </si>
  <si>
    <t>3.87 ± 0.049</t>
  </si>
  <si>
    <t>5.88 ± 0.101</t>
  </si>
  <si>
    <t>9.74 ± 0.131</t>
  </si>
  <si>
    <t>16.3 ± 0.139</t>
  </si>
  <si>
    <t>22.4 ± 0.189</t>
  </si>
  <si>
    <t>21.5 ± 0.074</t>
  </si>
  <si>
    <t>0.206 ± 0.009</t>
  </si>
  <si>
    <t>0.148 ± 0.025</t>
  </si>
  <si>
    <t>0.142 ± 0.031</t>
  </si>
  <si>
    <t>0.211 ± 0.002</t>
  </si>
  <si>
    <t>0.277 ± 0.026</t>
  </si>
  <si>
    <t>0.261 ± 0.021</t>
  </si>
  <si>
    <t>0.293 ± 0.022</t>
  </si>
  <si>
    <t>0.352 ± 0.003</t>
  </si>
  <si>
    <t>6.49 ± 0.063</t>
  </si>
  <si>
    <t>2.91 ± 0.021</t>
  </si>
  <si>
    <t>5.46 ± 0.003</t>
  </si>
  <si>
    <t>7.43 ± 0.031</t>
  </si>
  <si>
    <t>11.2 ± 0.115</t>
  </si>
  <si>
    <t>21.6 ± 0.459</t>
  </si>
  <si>
    <t>29.5 ± 0.226</t>
  </si>
  <si>
    <t>0.502 ± 0.031</t>
  </si>
  <si>
    <t>0.327 ± 0.035</t>
  </si>
  <si>
    <t>1.13 ± 0.012</t>
  </si>
  <si>
    <t>2.46 ± 0.031</t>
  </si>
  <si>
    <t>3.04 ± 0.05</t>
  </si>
  <si>
    <t>6 ± 0.017</t>
  </si>
  <si>
    <t>5.57 ± 0.051</t>
  </si>
  <si>
    <t>Diethyl glutarate</t>
  </si>
  <si>
    <t>0.143 ± 0.015</t>
  </si>
  <si>
    <t>1.14 ± 0.094</t>
  </si>
  <si>
    <t>0.514 ± 0.028</t>
  </si>
  <si>
    <t>0.6 ± 0.005</t>
  </si>
  <si>
    <t>2.05 ± 0.022</t>
  </si>
  <si>
    <t>4.73 ± 0.069</t>
  </si>
  <si>
    <t>7.54 ± 0.086</t>
  </si>
  <si>
    <t>11.3 ± 0.101</t>
  </si>
  <si>
    <t>21 ± 0.118</t>
  </si>
  <si>
    <t>29.1 ± 0.226</t>
  </si>
  <si>
    <t>33.5 ± 0.23</t>
  </si>
  <si>
    <t>29.6 ± 0.107</t>
  </si>
  <si>
    <t>0.412 ± 0.026</t>
  </si>
  <si>
    <t>0.393 ± 0.025</t>
  </si>
  <si>
    <t>0.525 ± 0.002</t>
  </si>
  <si>
    <t>0.675 ± 0.015</t>
  </si>
  <si>
    <t>0.843 ± 0.031</t>
  </si>
  <si>
    <t>0.306 ± 0.02</t>
  </si>
  <si>
    <t>1.02 ± 0.017</t>
  </si>
  <si>
    <t>1.56 ± 0.024</t>
  </si>
  <si>
    <t>2.01 ± 0.067</t>
  </si>
  <si>
    <t>3.4 ± 0.695</t>
  </si>
  <si>
    <t>4.97 ± 0.069</t>
  </si>
  <si>
    <t>5.04 ± 0.099</t>
  </si>
  <si>
    <t>113 ± 1.25</t>
  </si>
  <si>
    <t>57.1 ± 0.362</t>
  </si>
  <si>
    <t>103 ± 0.507</t>
  </si>
  <si>
    <t>130 ± 1.32</t>
  </si>
  <si>
    <t>175 ± 3.9</t>
  </si>
  <si>
    <t>221 ± 2.54</t>
  </si>
  <si>
    <t>187 ± 0.701</t>
  </si>
  <si>
    <t>200 ± 1.41</t>
  </si>
  <si>
    <t>2.72 ± 0.139</t>
  </si>
  <si>
    <t>2.63 ± 0.158</t>
  </si>
  <si>
    <t>4.13 ± 0.137</t>
  </si>
  <si>
    <t>5.11 ± 0.121</t>
  </si>
  <si>
    <t>12 ± 0.272</t>
  </si>
  <si>
    <t>20.4 ± 0.155</t>
  </si>
  <si>
    <t>17.2 ± 0.062</t>
  </si>
  <si>
    <t>4.84 ± 0.017</t>
  </si>
  <si>
    <t>2.15 ± 0.071</t>
  </si>
  <si>
    <t>3.22 ± 0.018</t>
  </si>
  <si>
    <t>5.13 ± 0.022</t>
  </si>
  <si>
    <t>7.73 ± 0.148</t>
  </si>
  <si>
    <t>13.5 ± 0.12</t>
  </si>
  <si>
    <t>13.1 ± 0.127</t>
  </si>
  <si>
    <t>17.6 ± 0.03</t>
  </si>
  <si>
    <t>0.593 ± 0.022</t>
  </si>
  <si>
    <t>0.246 ± 0.072</t>
  </si>
  <si>
    <t>0.767 ± 0.038</t>
  </si>
  <si>
    <t>1.15 ± 0.01</t>
  </si>
  <si>
    <t>1.6 ± 0.046</t>
  </si>
  <si>
    <t>3.16 ± 0.085</t>
  </si>
  <si>
    <t>4.59 ± 0.04</t>
  </si>
  <si>
    <t>6.84 ± 0.031</t>
  </si>
  <si>
    <t>0.125 ± 0.005</t>
  </si>
  <si>
    <t>0.215 ± 0.015</t>
  </si>
  <si>
    <t>0.279 ± 0.005</t>
  </si>
  <si>
    <t>0.879 ± 0.012</t>
  </si>
  <si>
    <t>0.442 ± 0.043</t>
  </si>
  <si>
    <t>0.329 ± 0.021</t>
  </si>
  <si>
    <t>0.447 ± 0.014</t>
  </si>
  <si>
    <t>0.733 ± 0.004</t>
  </si>
  <si>
    <t>0.719 ± 0.004</t>
  </si>
  <si>
    <t>1.07 ± 0.058</t>
  </si>
  <si>
    <t>0.791 ± 0.072</t>
  </si>
  <si>
    <t>0.448 ± 0.02</t>
  </si>
  <si>
    <t>0.633 ± 0.014</t>
  </si>
  <si>
    <t>1.17 ± 0.012</t>
  </si>
  <si>
    <t>1.79 ± 0.104</t>
  </si>
  <si>
    <t>2.99 ± 0.078</t>
  </si>
  <si>
    <t>3.51 ± 0.086</t>
  </si>
  <si>
    <t>4.14 ± 0.02</t>
  </si>
  <si>
    <t>*p*-Cresol</t>
  </si>
  <si>
    <t>0.474 ± 0.052</t>
  </si>
  <si>
    <t>0.391 ± 0.024</t>
  </si>
  <si>
    <t>0.446 ± 0.003</t>
  </si>
  <si>
    <t>0.645 ± 0.023</t>
  </si>
  <si>
    <t>10.9 ± 0.589</t>
  </si>
  <si>
    <t>1.52 ± 0.104</t>
  </si>
  <si>
    <t>1.75 ± 0.052</t>
  </si>
  <si>
    <t>1.98 ± 0.009</t>
  </si>
  <si>
    <t>3.18 ± 0.033</t>
  </si>
  <si>
    <t>2.15 ± 0.131</t>
  </si>
  <si>
    <t>1.67 ± 0.039</t>
  </si>
  <si>
    <t>Ethyl linolenate</t>
  </si>
  <si>
    <t>1.75 ± 0.013</t>
  </si>
  <si>
    <t>0.597 ± 0.005</t>
  </si>
  <si>
    <t>1.01 ± 0.038</t>
  </si>
  <si>
    <t>0.588 ± 0.041</t>
  </si>
  <si>
    <t>OAV (1)</t>
    <phoneticPr fontId="2" type="noConversion"/>
  </si>
  <si>
    <t>Concentration (mg/L) - 6</t>
    <phoneticPr fontId="2" type="noConversion"/>
  </si>
  <si>
    <t>170 ± 0.723</t>
    <phoneticPr fontId="2" type="noConversion"/>
  </si>
  <si>
    <t>373 ± 1.57</t>
    <phoneticPr fontId="2" type="noConversion"/>
  </si>
  <si>
    <t>110 ± 0.908</t>
    <phoneticPr fontId="2" type="noConversion"/>
  </si>
  <si>
    <t>&lt;1</t>
    <phoneticPr fontId="2" type="noConversion"/>
  </si>
  <si>
    <t>1.08 ± 0.036</t>
    <phoneticPr fontId="2" type="noConversion"/>
  </si>
  <si>
    <t>18 ± 0.173</t>
    <phoneticPr fontId="2" type="noConversion"/>
  </si>
  <si>
    <t>13.9 ± 0.06</t>
    <phoneticPr fontId="2" type="noConversion"/>
  </si>
  <si>
    <t>3.18 ± 0.055</t>
    <phoneticPr fontId="2" type="noConversion"/>
  </si>
  <si>
    <t>Quantified ion</t>
  </si>
  <si>
    <t>Concentration (mg/L)</t>
  </si>
  <si>
    <t>Outer threshold (mg/L)</t>
  </si>
  <si>
    <t>OAV</t>
  </si>
  <si>
    <t>A</t>
  </si>
  <si>
    <t>B</t>
  </si>
  <si>
    <t>C</t>
  </si>
  <si>
    <t>1-Brussol</t>
  </si>
  <si>
    <t>200-316a</t>
  </si>
  <si>
    <t>3-Methyl-1-brussol</t>
  </si>
  <si>
    <t>301-356a</t>
  </si>
  <si>
    <t>2-Brussol</t>
  </si>
  <si>
    <t>468-676</t>
  </si>
  <si>
    <t>470-647</t>
  </si>
  <si>
    <t>2-Peramol</t>
  </si>
  <si>
    <t>55-64</t>
  </si>
  <si>
    <t>1-Hegranol</t>
  </si>
  <si>
    <t>6-7%</t>
  </si>
  <si>
    <t>3-2-Propanol</t>
  </si>
  <si>
    <t>2-Methyl-acetanol</t>
  </si>
  <si>
    <t>571-116a</t>
  </si>
  <si>
    <t>2-Methyl-1-brussol</t>
  </si>
  <si>
    <t>1-Peramol</t>
  </si>
  <si>
    <t>201-336a</t>
  </si>
  <si>
    <t>400-576a</t>
  </si>
  <si>
    <t>2,2-Brussoliol</t>
  </si>
  <si>
    <t>600-576a</t>
  </si>
  <si>
    <t>2-Peramolium</t>
  </si>
  <si>
    <t>2,036c</t>
  </si>
  <si>
    <t>Pantrol</t>
  </si>
  <si>
    <t>2,076c</t>
  </si>
  <si>
    <t>2-Peramolimole</t>
  </si>
  <si>
    <t>Plumylacryl Alcohol</t>
  </si>
  <si>
    <t>Ethyl 2-Phenylpropionate</t>
  </si>
  <si>
    <t>1-Bioquiniloxol</t>
  </si>
  <si>
    <t>4-Ethylphenol</t>
  </si>
  <si>
    <t>5-Hemoglobin</t>
  </si>
  <si>
    <t>Plumethyl acetate</t>
  </si>
  <si>
    <t>3-Methylylicitol</t>
  </si>
  <si>
    <t>2-Pseudofloron</t>
  </si>
  <si>
    <t>5-7%</t>
  </si>
  <si>
    <t>Plumylacetaldehyde</t>
  </si>
  <si>
    <t>6-8%</t>
  </si>
  <si>
    <t>3-Methylbenzoic acid</t>
  </si>
  <si>
    <t>4-9%</t>
  </si>
  <si>
    <t>2-Methylbenzoic acid</t>
  </si>
  <si>
    <t>0-8%</t>
  </si>
  <si>
    <t>0-10%</t>
  </si>
  <si>
    <t>Bromonic acid</t>
  </si>
  <si>
    <t>111-156c</t>
  </si>
  <si>
    <t>114-226c</t>
  </si>
  <si>
    <t>Potamine acid</t>
  </si>
  <si>
    <t>24-222c</t>
  </si>
  <si>
    <t>Hugamic acid</t>
  </si>
  <si>
    <t>100-76</t>
  </si>
  <si>
    <t>110-074</t>
  </si>
  <si>
    <t>202-236a</t>
  </si>
  <si>
    <t>Amino hyperkinetic acid</t>
  </si>
  <si>
    <t>240-216a</t>
  </si>
  <si>
    <t>Acetal</t>
  </si>
  <si>
    <t>16-30%</t>
  </si>
  <si>
    <t>Lilyfactory tissues</t>
  </si>
  <si>
    <t>Lilyfactory</t>
  </si>
  <si>
    <t>Ethyl hexamine</t>
  </si>
  <si>
    <t>Butteryl lactate</t>
  </si>
  <si>
    <t>Ethyl tetrahexanone</t>
  </si>
  <si>
    <t>Ethyl pentanoe</t>
  </si>
  <si>
    <t>Ethyl benzene</t>
  </si>
  <si>
    <t>Ethyl hexanoe</t>
  </si>
  <si>
    <t>Methyl hexanone</t>
  </si>
  <si>
    <t>Hexyl hexanone</t>
  </si>
  <si>
    <t>Butyl hexanone</t>
  </si>
  <si>
    <t>No.</t>
    <phoneticPr fontId="2" type="noConversion"/>
  </si>
  <si>
    <t>—</t>
    <phoneticPr fontId="2" type="noConversion"/>
  </si>
  <si>
    <t>Ethyl lacunae</t>
    <phoneticPr fontId="2" type="noConversion"/>
  </si>
  <si>
    <t>Early luprimonic</t>
    <phoneticPr fontId="2" type="noConversion"/>
  </si>
  <si>
    <t>Early lacuna</t>
    <phoneticPr fontId="2" type="noConversion"/>
  </si>
  <si>
    <t xml:space="preserve">Pentamic acid, 2-hydroxy-4- </t>
    <phoneticPr fontId="2" type="noConversion"/>
  </si>
  <si>
    <t>Ethyl Hexanoate</t>
    <phoneticPr fontId="2" type="noConversion"/>
  </si>
  <si>
    <t>Ethyl butyrate</t>
    <phoneticPr fontId="2" type="noConversion"/>
  </si>
  <si>
    <t>Ethyl valerate</t>
    <phoneticPr fontId="2" type="noConversion"/>
  </si>
  <si>
    <t>1-Octen-3-ol</t>
    <phoneticPr fontId="2" type="noConversion"/>
  </si>
  <si>
    <t>(E)-2-Octenal</t>
    <phoneticPr fontId="2" type="noConversion"/>
  </si>
  <si>
    <t>Butyric Acid</t>
    <phoneticPr fontId="2" type="noConversion"/>
  </si>
  <si>
    <t>Valeric acid</t>
    <phoneticPr fontId="2" type="noConversion"/>
  </si>
  <si>
    <t>Ethyl acetate</t>
    <phoneticPr fontId="2" type="noConversion"/>
  </si>
  <si>
    <t>2-(ethoxymethyl)furan</t>
    <phoneticPr fontId="2" type="noConversion"/>
  </si>
  <si>
    <t>Ethyl caprylate</t>
    <phoneticPr fontId="2" type="noConversion"/>
  </si>
  <si>
    <t>Hexanole acid</t>
    <phoneticPr fontId="2" type="noConversion"/>
  </si>
  <si>
    <t>Isoamyl acetate</t>
    <phoneticPr fontId="2" type="noConversion"/>
  </si>
  <si>
    <t>1-Butanol</t>
    <phoneticPr fontId="2" type="noConversion"/>
  </si>
  <si>
    <t>Methyl hexanoate</t>
    <phoneticPr fontId="2" type="noConversion"/>
  </si>
  <si>
    <t>4-Ethyl-2-methoxyphenol</t>
    <phoneticPr fontId="2" type="noConversion"/>
  </si>
  <si>
    <t>Isovalenic acid</t>
    <phoneticPr fontId="2" type="noConversion"/>
  </si>
  <si>
    <t>1-Hexanol</t>
    <phoneticPr fontId="2" type="noConversion"/>
  </si>
  <si>
    <t>3-Methyl-1-butanol</t>
    <phoneticPr fontId="2" type="noConversion"/>
  </si>
  <si>
    <t>2-Methoxy-4-methylphenol</t>
    <phoneticPr fontId="2" type="noConversion"/>
  </si>
  <si>
    <t>Furfuryl alcohol</t>
    <phoneticPr fontId="2" type="noConversion"/>
  </si>
  <si>
    <t>Ethyl phenylacetate</t>
    <phoneticPr fontId="2" type="noConversion"/>
  </si>
  <si>
    <t>Ethyl 3-phenylpropionate</t>
    <phoneticPr fontId="2" type="noConversion"/>
  </si>
  <si>
    <t>Butyl hexanoate</t>
    <phoneticPr fontId="2" type="noConversion"/>
  </si>
  <si>
    <t>Butyl acetate</t>
    <phoneticPr fontId="2" type="noConversion"/>
  </si>
  <si>
    <t>3658-80-8</t>
  </si>
  <si>
    <t>93-51-6</t>
  </si>
  <si>
    <t>104-61-0</t>
  </si>
  <si>
    <t>101-97-3</t>
  </si>
  <si>
    <t>中文名称</t>
    <phoneticPr fontId="2" type="noConversion"/>
  </si>
  <si>
    <t>己酸乙酯</t>
  </si>
  <si>
    <t>丁酸乙酯</t>
  </si>
  <si>
    <t>戊酸乙酯</t>
  </si>
  <si>
    <t>丁酸</t>
  </si>
  <si>
    <t>戊酸</t>
  </si>
  <si>
    <t>乙酸乙酯</t>
  </si>
  <si>
    <t>辛酸乙酯</t>
  </si>
  <si>
    <t>己酸</t>
  </si>
  <si>
    <t>1-丁醇</t>
  </si>
  <si>
    <t>异戊酸</t>
  </si>
  <si>
    <t>γ-壬内酯</t>
  </si>
  <si>
    <t>苯乙酸乙酯</t>
  </si>
  <si>
    <t>3-苯基丙酸乙酯</t>
  </si>
  <si>
    <t>123-66-0</t>
    <phoneticPr fontId="2" type="noConversion"/>
  </si>
  <si>
    <t>105-54-4</t>
    <phoneticPr fontId="2" type="noConversion"/>
  </si>
  <si>
    <t>539-82-2</t>
    <phoneticPr fontId="2" type="noConversion"/>
  </si>
  <si>
    <t>3658-80-8</t>
    <phoneticPr fontId="2" type="noConversion"/>
  </si>
  <si>
    <t>3391-86-4</t>
    <phoneticPr fontId="2" type="noConversion"/>
  </si>
  <si>
    <t>2548-87-0</t>
    <phoneticPr fontId="2" type="noConversion"/>
  </si>
  <si>
    <t>107-92-6</t>
    <phoneticPr fontId="2" type="noConversion"/>
  </si>
  <si>
    <t>109-52-4</t>
    <phoneticPr fontId="2" type="noConversion"/>
  </si>
  <si>
    <t>141-78-6</t>
    <phoneticPr fontId="2" type="noConversion"/>
  </si>
  <si>
    <t>6270-56-0</t>
    <phoneticPr fontId="2" type="noConversion"/>
  </si>
  <si>
    <t>10348-47-7</t>
    <phoneticPr fontId="2" type="noConversion"/>
  </si>
  <si>
    <t>142-62-1</t>
    <phoneticPr fontId="2" type="noConversion"/>
  </si>
  <si>
    <t>123-92-2</t>
    <phoneticPr fontId="2" type="noConversion"/>
  </si>
  <si>
    <t>71-36-3</t>
    <phoneticPr fontId="2" type="noConversion"/>
  </si>
  <si>
    <t>106-70-7</t>
    <phoneticPr fontId="2" type="noConversion"/>
  </si>
  <si>
    <t>122-78-1</t>
    <phoneticPr fontId="2" type="noConversion"/>
  </si>
  <si>
    <t>2785-89-9</t>
    <phoneticPr fontId="2" type="noConversion"/>
  </si>
  <si>
    <t>503-74-2</t>
    <phoneticPr fontId="2" type="noConversion"/>
  </si>
  <si>
    <t>111-27-3</t>
    <phoneticPr fontId="2" type="noConversion"/>
  </si>
  <si>
    <t>123-51-3</t>
    <phoneticPr fontId="2" type="noConversion"/>
  </si>
  <si>
    <t>93-51-6</t>
    <phoneticPr fontId="2" type="noConversion"/>
  </si>
  <si>
    <t>104-61-0</t>
    <phoneticPr fontId="2" type="noConversion"/>
  </si>
  <si>
    <t>98-00-0</t>
    <phoneticPr fontId="2" type="noConversion"/>
  </si>
  <si>
    <t>101-97-3</t>
    <phoneticPr fontId="2" type="noConversion"/>
  </si>
  <si>
    <t>2021-28-5</t>
    <phoneticPr fontId="2" type="noConversion"/>
  </si>
  <si>
    <t>626-82-4</t>
    <phoneticPr fontId="2" type="noConversion"/>
  </si>
  <si>
    <t>123-86-4</t>
    <phoneticPr fontId="2" type="noConversion"/>
  </si>
  <si>
    <t>己酸乙酯</t>
    <phoneticPr fontId="2" type="noConversion"/>
  </si>
  <si>
    <t>丁酸乙酯</t>
    <phoneticPr fontId="2" type="noConversion"/>
  </si>
  <si>
    <t>戊酸乙酯</t>
    <phoneticPr fontId="2" type="noConversion"/>
  </si>
  <si>
    <t>1-辛烯-3-醇</t>
    <phoneticPr fontId="2" type="noConversion"/>
  </si>
  <si>
    <t>(E)-2-辛烯醛</t>
    <phoneticPr fontId="2" type="noConversion"/>
  </si>
  <si>
    <t>丁酸</t>
    <phoneticPr fontId="2" type="noConversion"/>
  </si>
  <si>
    <t>戊酸</t>
    <phoneticPr fontId="2" type="noConversion"/>
  </si>
  <si>
    <t>乙酸乙酯</t>
    <phoneticPr fontId="2" type="noConversion"/>
  </si>
  <si>
    <t>2-（乙氧基甲基）呋喃</t>
    <phoneticPr fontId="2" type="noConversion"/>
  </si>
  <si>
    <t>2-羟基-4-甲基戊酸乙酯</t>
    <phoneticPr fontId="2" type="noConversion"/>
  </si>
  <si>
    <t>己酸</t>
    <phoneticPr fontId="2" type="noConversion"/>
  </si>
  <si>
    <t>乙酸异戊酯</t>
    <phoneticPr fontId="2" type="noConversion"/>
  </si>
  <si>
    <t>1-丁醇</t>
    <phoneticPr fontId="2" type="noConversion"/>
  </si>
  <si>
    <t>己酸甲酯</t>
    <phoneticPr fontId="2" type="noConversion"/>
  </si>
  <si>
    <t>苯乙醛</t>
    <phoneticPr fontId="2" type="noConversion"/>
  </si>
  <si>
    <t>4-乙基-2-甲氧基苯酚</t>
    <phoneticPr fontId="2" type="noConversion"/>
  </si>
  <si>
    <t>1-己醇</t>
    <phoneticPr fontId="2" type="noConversion"/>
  </si>
  <si>
    <t>3-甲基-1-丁醇（异戊醇）</t>
    <phoneticPr fontId="2" type="noConversion"/>
  </si>
  <si>
    <t>γ-壬内酯</t>
    <phoneticPr fontId="2" type="noConversion"/>
  </si>
  <si>
    <t>糠醇</t>
    <phoneticPr fontId="2" type="noConversion"/>
  </si>
  <si>
    <t>苯乙酸乙酯</t>
    <phoneticPr fontId="2" type="noConversion"/>
  </si>
  <si>
    <t>3-苯基丙酸乙酯</t>
    <phoneticPr fontId="2" type="noConversion"/>
  </si>
  <si>
    <t>己酸丁酯</t>
    <phoneticPr fontId="2" type="noConversion"/>
  </si>
  <si>
    <t>乙酸丁酯</t>
    <phoneticPr fontId="2" type="noConversion"/>
  </si>
  <si>
    <t>CCCCCC(=O)OCC</t>
    <phoneticPr fontId="2" type="noConversion"/>
  </si>
  <si>
    <t>CCCC(=O)OCC</t>
    <phoneticPr fontId="2" type="noConversion"/>
  </si>
  <si>
    <t>CCCCC(=O)OCC</t>
    <phoneticPr fontId="2" type="noConversion"/>
  </si>
  <si>
    <t>CSSSC</t>
    <phoneticPr fontId="2" type="noConversion"/>
  </si>
  <si>
    <t>CCCCCC=CCO</t>
    <phoneticPr fontId="2" type="noConversion"/>
  </si>
  <si>
    <t>CCCCCC=CC=O</t>
    <phoneticPr fontId="2" type="noConversion"/>
  </si>
  <si>
    <t>CCCC(=O)O</t>
    <phoneticPr fontId="2" type="noConversion"/>
  </si>
  <si>
    <t>CCCCC(=O)O</t>
    <phoneticPr fontId="2" type="noConversion"/>
  </si>
  <si>
    <t>CC(=O)OCC</t>
    <phoneticPr fontId="2" type="noConversion"/>
  </si>
  <si>
    <t>CCOCC1=CC=CO1</t>
    <phoneticPr fontId="2" type="noConversion"/>
  </si>
  <si>
    <t>CC(C)CC(C(=O)OCC)O</t>
    <phoneticPr fontId="2" type="noConversion"/>
  </si>
  <si>
    <t>CCCCCC(=O)O</t>
    <phoneticPr fontId="2" type="noConversion"/>
  </si>
  <si>
    <t>CC(C)CCOC(=O)C</t>
    <phoneticPr fontId="2" type="noConversion"/>
  </si>
  <si>
    <t>CCCCO</t>
    <phoneticPr fontId="2" type="noConversion"/>
  </si>
  <si>
    <t>CCCCCC(=O)OC</t>
    <phoneticPr fontId="2" type="noConversion"/>
  </si>
  <si>
    <t>CCc1ccc(c(c1)OC)O</t>
    <phoneticPr fontId="2" type="noConversion"/>
  </si>
  <si>
    <t>CC(C)CC(=O)O</t>
    <phoneticPr fontId="2" type="noConversion"/>
  </si>
  <si>
    <t>CCCCCCO</t>
    <phoneticPr fontId="2" type="noConversion"/>
  </si>
  <si>
    <t>CC(C)CCO</t>
    <phoneticPr fontId="2" type="noConversion"/>
  </si>
  <si>
    <t>Cc1ccc(c(c1)OC)O</t>
    <phoneticPr fontId="2" type="noConversion"/>
  </si>
  <si>
    <t>CCCCCCCC1CCC(=O)O1</t>
    <phoneticPr fontId="2" type="noConversion"/>
  </si>
  <si>
    <t>C1=COC(=C1)CO</t>
    <phoneticPr fontId="2" type="noConversion"/>
  </si>
  <si>
    <t>C1=CC=C(C=C1)CC(=O)OCC</t>
    <phoneticPr fontId="2" type="noConversion"/>
  </si>
  <si>
    <t>C1=CC=C(C=C1)CCC(=O)OCC</t>
    <phoneticPr fontId="2" type="noConversion"/>
  </si>
  <si>
    <t>CCCCCC(=O)OCCCC</t>
    <phoneticPr fontId="2" type="noConversion"/>
  </si>
  <si>
    <t>CCCCOC(=O)C</t>
    <phoneticPr fontId="2" type="noConversion"/>
  </si>
  <si>
    <t>738,302 ± 3649</t>
    <phoneticPr fontId="2" type="noConversion"/>
  </si>
  <si>
    <t>165,929 ± 4181</t>
    <phoneticPr fontId="2" type="noConversion"/>
  </si>
  <si>
    <t>181,049 ± 3783</t>
    <phoneticPr fontId="2" type="noConversion"/>
  </si>
  <si>
    <t>18,031 ± 270</t>
    <phoneticPr fontId="2" type="noConversion"/>
  </si>
  <si>
    <t>16,080 ± 161</t>
    <phoneticPr fontId="2" type="noConversion"/>
  </si>
  <si>
    <t>139 ± 0.4</t>
    <phoneticPr fontId="2" type="noConversion"/>
  </si>
  <si>
    <t>136 ± 0.1</t>
    <phoneticPr fontId="2" type="noConversion"/>
  </si>
  <si>
    <t>1 ± 0.2</t>
    <phoneticPr fontId="2" type="noConversion"/>
  </si>
  <si>
    <t>1 ± 0.4</t>
    <phoneticPr fontId="2" type="noConversion"/>
  </si>
  <si>
    <t>2 ± 0.3</t>
    <phoneticPr fontId="2" type="noConversion"/>
  </si>
  <si>
    <t>2 ± 0.1</t>
    <phoneticPr fontId="2" type="noConversion"/>
  </si>
  <si>
    <t>128,673 ± 749</t>
    <phoneticPr fontId="2" type="noConversion"/>
  </si>
  <si>
    <t>81,517 ± 939</t>
    <phoneticPr fontId="2" type="noConversion"/>
  </si>
  <si>
    <t>49,388 ± 4109</t>
    <phoneticPr fontId="2" type="noConversion"/>
  </si>
  <si>
    <t>57,055 ± 762</t>
    <phoneticPr fontId="2" type="noConversion"/>
  </si>
  <si>
    <t>4,021,850 ± 43,275</t>
    <phoneticPr fontId="2" type="noConversion"/>
  </si>
  <si>
    <t>2,926,064 ± 56,016</t>
    <phoneticPr fontId="2" type="noConversion"/>
  </si>
  <si>
    <t>940 ± 2</t>
    <phoneticPr fontId="2" type="noConversion"/>
  </si>
  <si>
    <t>1121 ± 4</t>
    <phoneticPr fontId="2" type="noConversion"/>
  </si>
  <si>
    <t>3374 ± 13</t>
    <phoneticPr fontId="2" type="noConversion"/>
  </si>
  <si>
    <t>4326 ± 42</t>
    <phoneticPr fontId="2" type="noConversion"/>
  </si>
  <si>
    <t>940 ± 7</t>
    <phoneticPr fontId="2" type="noConversion"/>
  </si>
  <si>
    <t>1672 ± 79</t>
    <phoneticPr fontId="2" type="noConversion"/>
  </si>
  <si>
    <t>82,362 ± 716</t>
    <phoneticPr fontId="2" type="noConversion"/>
  </si>
  <si>
    <t>123,135 ± 7632</t>
    <phoneticPr fontId="2" type="noConversion"/>
  </si>
  <si>
    <t>2885 ± 81</t>
    <phoneticPr fontId="2" type="noConversion"/>
  </si>
  <si>
    <t>2236 ± 78</t>
    <phoneticPr fontId="2" type="noConversion"/>
  </si>
  <si>
    <t>54,922 ± 574</t>
    <phoneticPr fontId="2" type="noConversion"/>
  </si>
  <si>
    <t>67,567 ± 680</t>
    <phoneticPr fontId="2" type="noConversion"/>
  </si>
  <si>
    <t>336 ± 7</t>
    <phoneticPr fontId="2" type="noConversion"/>
  </si>
  <si>
    <t>357 ± 7</t>
    <phoneticPr fontId="2" type="noConversion"/>
  </si>
  <si>
    <t>524 ± 0.5</t>
    <phoneticPr fontId="2" type="noConversion"/>
  </si>
  <si>
    <t>526 ± 0.3</t>
    <phoneticPr fontId="2" type="noConversion"/>
  </si>
  <si>
    <t>3123 ± 383</t>
    <phoneticPr fontId="2" type="noConversion"/>
  </si>
  <si>
    <t>4507 ± 246</t>
    <phoneticPr fontId="2" type="noConversion"/>
  </si>
  <si>
    <t>20,155 ± 59</t>
    <phoneticPr fontId="2" type="noConversion"/>
  </si>
  <si>
    <t>15,678 ± 26</t>
    <phoneticPr fontId="2" type="noConversion"/>
  </si>
  <si>
    <t>379,229 ± 1775</t>
    <phoneticPr fontId="2" type="noConversion"/>
  </si>
  <si>
    <t>316,720 ± 4522</t>
    <phoneticPr fontId="2" type="noConversion"/>
  </si>
  <si>
    <t>579 ± 0.2</t>
    <phoneticPr fontId="2" type="noConversion"/>
  </si>
  <si>
    <t>579 ± 0.4</t>
    <phoneticPr fontId="2" type="noConversion"/>
  </si>
  <si>
    <t>130 ± 0.8</t>
    <phoneticPr fontId="2" type="noConversion"/>
  </si>
  <si>
    <t>13 ± 1</t>
    <phoneticPr fontId="2" type="noConversion"/>
  </si>
  <si>
    <t>2533 ± 7</t>
    <phoneticPr fontId="2" type="noConversion"/>
  </si>
  <si>
    <t>2505 ± 2</t>
    <phoneticPr fontId="2" type="noConversion"/>
  </si>
  <si>
    <t>515 ± 5</t>
    <phoneticPr fontId="2" type="noConversion"/>
  </si>
  <si>
    <t>457 ± 2</t>
    <phoneticPr fontId="2" type="noConversion"/>
  </si>
  <si>
    <t>148 ± 0.1</t>
    <phoneticPr fontId="2" type="noConversion"/>
  </si>
  <si>
    <t>213 ± 4</t>
    <phoneticPr fontId="2" type="noConversion"/>
  </si>
  <si>
    <t>675 ± 16</t>
    <phoneticPr fontId="2" type="noConversion"/>
  </si>
  <si>
    <t>848 ± 30</t>
    <phoneticPr fontId="2" type="noConversion"/>
  </si>
  <si>
    <t>4971 ± 42</t>
    <phoneticPr fontId="2" type="noConversion"/>
  </si>
  <si>
    <t>4316 ± 27</t>
    <phoneticPr fontId="2" type="noConversion"/>
  </si>
  <si>
    <t>1  LZ–2016 base SAB</t>
    <phoneticPr fontId="2" type="noConversion"/>
  </si>
  <si>
    <t>二甲基三硫醚</t>
  </si>
  <si>
    <t>异戊酸乙酯</t>
  </si>
  <si>
    <t>108-64-5</t>
  </si>
  <si>
    <t>异丁酸乙酯</t>
  </si>
  <si>
    <t>97-62-1</t>
  </si>
  <si>
    <t>4-甲基戊酸乙酯</t>
  </si>
  <si>
    <t>25415-67-2</t>
  </si>
  <si>
    <t>异丁醛</t>
  </si>
  <si>
    <t>78-84-2</t>
  </si>
  <si>
    <t>2-甲基丁酸乙酯</t>
  </si>
  <si>
    <t>7452-79-1</t>
  </si>
  <si>
    <t>对甲酚</t>
  </si>
  <si>
    <t>己酸己酯</t>
  </si>
  <si>
    <t>辛酸</t>
  </si>
  <si>
    <t>4-甲基戊酸</t>
  </si>
  <si>
    <t>3-甲基戊酸</t>
  </si>
  <si>
    <t>乙酸</t>
  </si>
  <si>
    <t>庚酸乙酯</t>
  </si>
  <si>
    <t>1-辛醇</t>
  </si>
  <si>
    <t>庚酸</t>
  </si>
  <si>
    <t>4-乙基愈创木酚</t>
  </si>
  <si>
    <t>4-甲基愈创木酚</t>
  </si>
  <si>
    <t>3-苯基丙酸</t>
  </si>
  <si>
    <t>501-52-0</t>
  </si>
  <si>
    <t>丙酸</t>
  </si>
  <si>
    <t>癸酸乙酯</t>
  </si>
  <si>
    <t>己酸丙酯</t>
  </si>
  <si>
    <t>cas</t>
    <phoneticPr fontId="2" type="noConversion"/>
  </si>
  <si>
    <t>CC(C)CC(=O)OCC</t>
    <phoneticPr fontId="2" type="noConversion"/>
  </si>
  <si>
    <t>108-64-5</t>
    <phoneticPr fontId="2" type="noConversion"/>
  </si>
  <si>
    <t>97-62-1</t>
    <phoneticPr fontId="2" type="noConversion"/>
  </si>
  <si>
    <t>异丁酸乙酯</t>
    <phoneticPr fontId="2" type="noConversion"/>
  </si>
  <si>
    <t>CC(C)C(=O)OCC</t>
    <phoneticPr fontId="2" type="noConversion"/>
  </si>
  <si>
    <t>9437 ± 1292</t>
    <phoneticPr fontId="2" type="noConversion"/>
  </si>
  <si>
    <t>8766 ± 304</t>
    <phoneticPr fontId="2" type="noConversion"/>
  </si>
  <si>
    <t>1847 ± 4</t>
    <phoneticPr fontId="2" type="noConversion"/>
  </si>
  <si>
    <t>2783 ± 60</t>
    <phoneticPr fontId="2" type="noConversion"/>
  </si>
  <si>
    <t>1,487,026 ± 6408</t>
    <phoneticPr fontId="2" type="noConversion"/>
  </si>
  <si>
    <t>217,932 ± 369</t>
    <phoneticPr fontId="2" type="noConversion"/>
  </si>
  <si>
    <t>44,849 ± 2636</t>
    <phoneticPr fontId="2" type="noConversion"/>
  </si>
  <si>
    <t>26 ± 2</t>
    <phoneticPr fontId="2" type="noConversion"/>
  </si>
  <si>
    <t>78,618 ± 8931</t>
    <phoneticPr fontId="2" type="noConversion"/>
  </si>
  <si>
    <t>3  LZLJ-M7</t>
    <phoneticPr fontId="2" type="noConversion"/>
  </si>
  <si>
    <t>3  LZLJ-T7</t>
    <phoneticPr fontId="2" type="noConversion"/>
  </si>
  <si>
    <t>CCC(C)C(=O)OCC</t>
    <phoneticPr fontId="2" type="noConversion"/>
  </si>
  <si>
    <t>7452-79-1</t>
    <phoneticPr fontId="2" type="noConversion"/>
  </si>
  <si>
    <t>2-甲基丁酸乙酯</t>
    <phoneticPr fontId="2" type="noConversion"/>
  </si>
  <si>
    <t>863 ± 21</t>
    <phoneticPr fontId="2" type="noConversion"/>
  </si>
  <si>
    <t>819 ± 30</t>
    <phoneticPr fontId="2" type="noConversion"/>
  </si>
  <si>
    <t>106-44-5</t>
    <phoneticPr fontId="2" type="noConversion"/>
  </si>
  <si>
    <t>p-cresol</t>
    <phoneticPr fontId="2" type="noConversion"/>
  </si>
  <si>
    <t>对甲酚</t>
    <phoneticPr fontId="2" type="noConversion"/>
  </si>
  <si>
    <t>Cc1ccc(O)cc1</t>
    <phoneticPr fontId="2" type="noConversion"/>
  </si>
  <si>
    <t>3271 ± 201</t>
    <phoneticPr fontId="2" type="noConversion"/>
  </si>
  <si>
    <t>571 ± 19</t>
    <phoneticPr fontId="2" type="noConversion"/>
  </si>
  <si>
    <t>111-27-3</t>
    <phoneticPr fontId="2" type="noConversion"/>
  </si>
  <si>
    <t>1-hexanol</t>
    <phoneticPr fontId="2" type="noConversion"/>
  </si>
  <si>
    <t>正乙醇</t>
    <phoneticPr fontId="2" type="noConversion"/>
  </si>
  <si>
    <t>6378-65-0</t>
    <phoneticPr fontId="2" type="noConversion"/>
  </si>
  <si>
    <t>己酸己酯</t>
    <phoneticPr fontId="2" type="noConversion"/>
  </si>
  <si>
    <t>CCCCCC(=O)OCCCCCC</t>
    <phoneticPr fontId="2" type="noConversion"/>
  </si>
  <si>
    <t>28,416 ± 794</t>
    <phoneticPr fontId="2" type="noConversion"/>
  </si>
  <si>
    <t>7,606,936 ± 17,161</t>
    <phoneticPr fontId="2" type="noConversion"/>
  </si>
  <si>
    <t>622,200 ± 1786</t>
    <phoneticPr fontId="2" type="noConversion"/>
  </si>
  <si>
    <t>143,889 ± 1500</t>
    <phoneticPr fontId="2" type="noConversion"/>
  </si>
  <si>
    <t>187 ± 12</t>
    <phoneticPr fontId="2" type="noConversion"/>
  </si>
  <si>
    <t>295,816 ± 40,762</t>
    <phoneticPr fontId="2" type="noConversion"/>
  </si>
  <si>
    <t>56,841 ± 8653</t>
    <phoneticPr fontId="2" type="noConversion"/>
  </si>
  <si>
    <t>13,732 ± 1660</t>
    <phoneticPr fontId="2" type="noConversion"/>
  </si>
  <si>
    <t>1,772,911 ± 17,586</t>
    <phoneticPr fontId="2" type="noConversion"/>
  </si>
  <si>
    <t>985,274 ± 4023</t>
    <phoneticPr fontId="2" type="noConversion"/>
  </si>
  <si>
    <t>43,878 ± 1045</t>
    <phoneticPr fontId="2" type="noConversion"/>
  </si>
  <si>
    <t>2382 ± 17</t>
    <phoneticPr fontId="2" type="noConversion"/>
  </si>
  <si>
    <t>1,126,596 ± 34,264</t>
    <phoneticPr fontId="2" type="noConversion"/>
  </si>
  <si>
    <t>722,576 ± 17,196</t>
    <phoneticPr fontId="2" type="noConversion"/>
  </si>
  <si>
    <t>147,160 ± 8188</t>
    <phoneticPr fontId="2" type="noConversion"/>
  </si>
  <si>
    <t>41,802 ± 2478</t>
    <phoneticPr fontId="2" type="noConversion"/>
  </si>
  <si>
    <t>97,718 ± 5482</t>
    <phoneticPr fontId="2" type="noConversion"/>
  </si>
  <si>
    <t>30,025 ± 1548</t>
    <phoneticPr fontId="2" type="noConversion"/>
  </si>
  <si>
    <t>79-31-2</t>
    <phoneticPr fontId="2" type="noConversion"/>
  </si>
  <si>
    <t>异丁酸</t>
    <phoneticPr fontId="2" type="noConversion"/>
  </si>
  <si>
    <t>4-甲基戊酸</t>
    <phoneticPr fontId="2" type="noConversion"/>
  </si>
  <si>
    <t>乙酸</t>
    <phoneticPr fontId="2" type="noConversion"/>
  </si>
  <si>
    <t>103-45-7</t>
    <phoneticPr fontId="2" type="noConversion"/>
  </si>
  <si>
    <t>CC(=O)OCCC1=CC=CC=C1</t>
    <phoneticPr fontId="2" type="noConversion"/>
  </si>
  <si>
    <t>CCC(=O)O</t>
    <phoneticPr fontId="2" type="noConversion"/>
  </si>
  <si>
    <t>111-87-5</t>
    <phoneticPr fontId="2" type="noConversion"/>
  </si>
  <si>
    <t>1-octanol</t>
    <phoneticPr fontId="2" type="noConversion"/>
  </si>
  <si>
    <t>1-辛醇</t>
    <phoneticPr fontId="2" type="noConversion"/>
  </si>
  <si>
    <t>111-14-8</t>
    <phoneticPr fontId="2" type="noConversion"/>
  </si>
  <si>
    <t>庚酸</t>
    <phoneticPr fontId="2" type="noConversion"/>
  </si>
  <si>
    <t>501-52-0</t>
    <phoneticPr fontId="2" type="noConversion"/>
  </si>
  <si>
    <t>3-phenyl propionic acid</t>
    <phoneticPr fontId="2" type="noConversion"/>
  </si>
  <si>
    <t>3-苯基丙酸</t>
    <phoneticPr fontId="2" type="noConversion"/>
  </si>
  <si>
    <t>丙酸</t>
    <phoneticPr fontId="2" type="noConversion"/>
  </si>
  <si>
    <t>CC(C)C(O)=O</t>
    <phoneticPr fontId="2" type="noConversion"/>
  </si>
  <si>
    <t>1130 ± 167</t>
    <phoneticPr fontId="2" type="noConversion"/>
  </si>
  <si>
    <t>95 ± 12</t>
    <phoneticPr fontId="2" type="noConversion"/>
  </si>
  <si>
    <t>124-07-2</t>
    <phoneticPr fontId="2" type="noConversion"/>
  </si>
  <si>
    <t>辛酸</t>
    <phoneticPr fontId="2" type="noConversion"/>
  </si>
  <si>
    <t>CCCCCCCC(=O)O</t>
    <phoneticPr fontId="2" type="noConversion"/>
  </si>
  <si>
    <t>25,675 ± 4066</t>
    <phoneticPr fontId="2" type="noConversion"/>
  </si>
  <si>
    <t>5535 ± 501</t>
    <phoneticPr fontId="2" type="noConversion"/>
  </si>
  <si>
    <t>646-07-1</t>
    <phoneticPr fontId="2" type="noConversion"/>
  </si>
  <si>
    <t>4-methylvaleric acid</t>
    <phoneticPr fontId="2" type="noConversion"/>
  </si>
  <si>
    <t>CC(C)CCC(=O)O</t>
    <phoneticPr fontId="2" type="noConversion"/>
  </si>
  <si>
    <t>1311 ± 218</t>
    <phoneticPr fontId="2" type="noConversion"/>
  </si>
  <si>
    <t>300 ± 62</t>
    <phoneticPr fontId="2" type="noConversion"/>
  </si>
  <si>
    <t>C1=CC=C(C=C1)CC(=O)O</t>
    <phoneticPr fontId="2" type="noConversion"/>
  </si>
  <si>
    <t>1903 ± 207</t>
    <phoneticPr fontId="2" type="noConversion"/>
  </si>
  <si>
    <t>1498 ± 84</t>
    <phoneticPr fontId="2" type="noConversion"/>
  </si>
  <si>
    <t>64-19-7</t>
    <phoneticPr fontId="2" type="noConversion"/>
  </si>
  <si>
    <t>CC(=O)O</t>
    <phoneticPr fontId="2" type="noConversion"/>
  </si>
  <si>
    <t>732,961 ± 106,844</t>
    <phoneticPr fontId="2" type="noConversion"/>
  </si>
  <si>
    <t>342,535 ± 236,447</t>
    <phoneticPr fontId="2" type="noConversion"/>
  </si>
  <si>
    <t>106-30-9</t>
    <phoneticPr fontId="2" type="noConversion"/>
  </si>
  <si>
    <t>庚酸乙酯</t>
    <phoneticPr fontId="2" type="noConversion"/>
  </si>
  <si>
    <t>CCCCCCC(=O)OCC</t>
    <phoneticPr fontId="2" type="noConversion"/>
  </si>
  <si>
    <t>44,459 ± 1143</t>
    <phoneticPr fontId="2" type="noConversion"/>
  </si>
  <si>
    <t>5859 ± 91</t>
    <phoneticPr fontId="2" type="noConversion"/>
  </si>
  <si>
    <t>2075 ± 112</t>
    <phoneticPr fontId="2" type="noConversion"/>
  </si>
  <si>
    <t>992 ± 45</t>
    <phoneticPr fontId="2" type="noConversion"/>
  </si>
  <si>
    <t>CCCCCCCCO</t>
    <phoneticPr fontId="2" type="noConversion"/>
  </si>
  <si>
    <t>2101 ± 101</t>
    <phoneticPr fontId="2" type="noConversion"/>
  </si>
  <si>
    <t>439 ± 28</t>
    <phoneticPr fontId="2" type="noConversion"/>
  </si>
  <si>
    <t>CCCCCCC(=O)O</t>
    <phoneticPr fontId="2" type="noConversion"/>
  </si>
  <si>
    <t>23,926 ± 3848</t>
    <phoneticPr fontId="2" type="noConversion"/>
  </si>
  <si>
    <t>5382 ± 633</t>
    <phoneticPr fontId="2" type="noConversion"/>
  </si>
  <si>
    <t>C1=CC=C(C=C1)CCC(=O)O</t>
    <phoneticPr fontId="2" type="noConversion"/>
  </si>
  <si>
    <t>374 ± 38</t>
    <phoneticPr fontId="2" type="noConversion"/>
  </si>
  <si>
    <t>473 ± 16</t>
    <phoneticPr fontId="2" type="noConversion"/>
  </si>
  <si>
    <t>13,666 ± 156</t>
    <phoneticPr fontId="2" type="noConversion"/>
  </si>
  <si>
    <t>1935 ± 63</t>
    <phoneticPr fontId="2" type="noConversion"/>
  </si>
  <si>
    <t xml:space="preserve"> 79-09-4</t>
    <phoneticPr fontId="2" type="noConversion"/>
  </si>
  <si>
    <t>13,702 ± 2649</t>
    <phoneticPr fontId="2" type="noConversion"/>
  </si>
  <si>
    <t>3885 ± 497</t>
    <phoneticPr fontId="2" type="noConversion"/>
  </si>
  <si>
    <t>1646 ± 88</t>
    <phoneticPr fontId="2" type="noConversion"/>
  </si>
  <si>
    <t>685 ± 20</t>
    <phoneticPr fontId="2" type="noConversion"/>
  </si>
  <si>
    <t>CCCCCCCC(=O)OCC</t>
  </si>
  <si>
    <t>97–64–3</t>
    <phoneticPr fontId="2" type="noConversion"/>
  </si>
  <si>
    <t>CC(C(=O)OCC)O</t>
  </si>
  <si>
    <t>CC(C)CCC(=O)OCC</t>
    <phoneticPr fontId="2" type="noConversion"/>
  </si>
  <si>
    <t>3-methylbutyl hexanoate/Isoamyl hexanoate</t>
    <phoneticPr fontId="2" type="noConversion"/>
  </si>
  <si>
    <t>6.62 ± 3.22a</t>
    <phoneticPr fontId="2" type="noConversion"/>
  </si>
  <si>
    <t>1  GJ–1573 ug/l</t>
    <phoneticPr fontId="2" type="noConversion"/>
  </si>
  <si>
    <t>2-methylpropionic acid/Isobutyric Acid</t>
    <phoneticPr fontId="2" type="noConversion"/>
  </si>
  <si>
    <t>Dimethyl Trisulfide</t>
    <phoneticPr fontId="2" type="noConversion"/>
  </si>
  <si>
    <t>2  Y1 μg/ml</t>
    <phoneticPr fontId="2" type="noConversion"/>
  </si>
  <si>
    <t>2  Y3</t>
    <phoneticPr fontId="2" type="noConversion"/>
  </si>
  <si>
    <t>2  Y5</t>
    <phoneticPr fontId="2" type="noConversion"/>
  </si>
  <si>
    <t>2  Y11</t>
    <phoneticPr fontId="2" type="noConversion"/>
  </si>
  <si>
    <t>2  Y8</t>
    <phoneticPr fontId="2" type="noConversion"/>
  </si>
  <si>
    <t>25415–67–2</t>
    <phoneticPr fontId="2" type="noConversion"/>
  </si>
  <si>
    <t>2198–61–0</t>
    <phoneticPr fontId="2" type="noConversion"/>
  </si>
  <si>
    <t>873,258 ± 9159 μg/l</t>
    <phoneticPr fontId="2" type="noConversion"/>
  </si>
  <si>
    <r>
      <t>4-</t>
    </r>
    <r>
      <rPr>
        <sz val="8"/>
        <color rgb="FF0F1115"/>
        <rFont val="宋体"/>
        <family val="3"/>
        <charset val="134"/>
      </rPr>
      <t>甲基戊酸乙酯/异己酸乙酯</t>
    </r>
    <phoneticPr fontId="2" type="noConversion"/>
  </si>
  <si>
    <t>乳酸乙酯</t>
    <phoneticPr fontId="2" type="noConversion"/>
  </si>
  <si>
    <t>棕榈酸乙酯</t>
  </si>
  <si>
    <t>CCCCCCCCCCCCCCCC(=O)OCC</t>
  </si>
  <si>
    <t>乙醛</t>
  </si>
  <si>
    <t>4  LS OAV</t>
    <phoneticPr fontId="2" type="noConversion"/>
  </si>
  <si>
    <t>4  LS  OAV</t>
    <phoneticPr fontId="2" type="noConversion"/>
  </si>
  <si>
    <t>CC=O</t>
  </si>
  <si>
    <t>Acetal</t>
    <phoneticPr fontId="2" type="noConversion"/>
  </si>
  <si>
    <t>乙醛二乙缩醛</t>
    <phoneticPr fontId="2" type="noConversion"/>
  </si>
  <si>
    <t>CCOC(C)OCC</t>
  </si>
  <si>
    <t>9.91 ± 1.35</t>
    <phoneticPr fontId="2" type="noConversion"/>
  </si>
  <si>
    <t>590-86-3</t>
    <phoneticPr fontId="2" type="noConversion"/>
  </si>
  <si>
    <t>Isovaleraldehyde</t>
    <phoneticPr fontId="2" type="noConversion"/>
  </si>
  <si>
    <t>CC(C)CC=O</t>
  </si>
  <si>
    <t>己醛</t>
  </si>
  <si>
    <t>CCCCCC=O</t>
  </si>
  <si>
    <t>糠醛</t>
    <phoneticPr fontId="2" type="noConversion"/>
  </si>
  <si>
    <t xml:space="preserve">   98-01-1</t>
    <phoneticPr fontId="2" type="noConversion"/>
  </si>
  <si>
    <t>c1cc(oc1)C=O</t>
  </si>
  <si>
    <t>异戊酸/3-甲基丁酸</t>
    <phoneticPr fontId="2" type="noConversion"/>
  </si>
  <si>
    <t>三甲基吡嗪</t>
  </si>
  <si>
    <t>Cc1cnc(C)c(C)n1</t>
  </si>
  <si>
    <t>513-86-0</t>
    <phoneticPr fontId="2" type="noConversion"/>
  </si>
  <si>
    <t>3-羟基-2-丁酮</t>
    <phoneticPr fontId="2" type="noConversion"/>
  </si>
  <si>
    <t>2-庚酮</t>
  </si>
  <si>
    <t>CC(C(=O)C)O</t>
  </si>
  <si>
    <t>CCCCCC(=O)C</t>
  </si>
  <si>
    <t>5  S1 (mg/L)</t>
    <phoneticPr fontId="2" type="noConversion"/>
  </si>
  <si>
    <t>5  S2 (F3) (mg/L)</t>
    <phoneticPr fontId="2" type="noConversion"/>
  </si>
  <si>
    <t>5  S3 (mg/L)</t>
    <phoneticPr fontId="2" type="noConversion"/>
  </si>
  <si>
    <t>5  F1 (mg/L)</t>
    <phoneticPr fontId="2" type="noConversion"/>
  </si>
  <si>
    <t>5  F3 (mg/L)</t>
    <phoneticPr fontId="2" type="noConversion"/>
  </si>
  <si>
    <t>乙酸苯乙酯</t>
    <phoneticPr fontId="2" type="noConversion"/>
  </si>
  <si>
    <t>6  JH1 OAV</t>
    <phoneticPr fontId="2" type="noConversion"/>
  </si>
  <si>
    <t>6  JH2 OAV</t>
    <phoneticPr fontId="2" type="noConversion"/>
  </si>
  <si>
    <t>6  SC1 OAV</t>
    <phoneticPr fontId="2" type="noConversion"/>
  </si>
  <si>
    <t>6  SC2 OAV</t>
    <phoneticPr fontId="2" type="noConversion"/>
  </si>
  <si>
    <t>6  SC3 OAV</t>
    <phoneticPr fontId="2" type="noConversion"/>
  </si>
  <si>
    <t>6  SC4 OAV</t>
    <phoneticPr fontId="2" type="noConversion"/>
  </si>
  <si>
    <t>6  SC5 OAV</t>
    <phoneticPr fontId="2" type="noConversion"/>
  </si>
  <si>
    <t>6  SC6 OAV</t>
    <phoneticPr fontId="2" type="noConversion"/>
  </si>
  <si>
    <t>1-丙醇</t>
  </si>
  <si>
    <t>异丁醇</t>
  </si>
  <si>
    <t>CCCO</t>
  </si>
  <si>
    <t>CC(C)CO</t>
  </si>
  <si>
    <t>丁酸异戊酯</t>
  </si>
  <si>
    <t>CCCC(=O)OCCC(C)C</t>
  </si>
  <si>
    <t>异戊醛</t>
    <phoneticPr fontId="2" type="noConversion"/>
  </si>
  <si>
    <t>乙酸己酯</t>
  </si>
  <si>
    <t>CCCCCCOC(=O)C</t>
  </si>
  <si>
    <t>7  OAV Sample 1</t>
    <phoneticPr fontId="2" type="noConversion"/>
  </si>
  <si>
    <t>7  OAV Sample 2</t>
    <phoneticPr fontId="2" type="noConversion"/>
  </si>
  <si>
    <t>7  OAV Sample 3</t>
    <phoneticPr fontId="2" type="noConversion"/>
  </si>
  <si>
    <t>9  B1-L</t>
    <phoneticPr fontId="2" type="noConversion"/>
  </si>
  <si>
    <t>9  B3-H</t>
    <phoneticPr fontId="2" type="noConversion"/>
  </si>
  <si>
    <t>9  B3-L</t>
    <phoneticPr fontId="2" type="noConversion"/>
  </si>
  <si>
    <t>9  B2-H</t>
    <phoneticPr fontId="2" type="noConversion"/>
  </si>
  <si>
    <t>9  B2-L</t>
    <phoneticPr fontId="2" type="noConversion"/>
  </si>
  <si>
    <t>9  B4-H</t>
    <phoneticPr fontId="2" type="noConversion"/>
  </si>
  <si>
    <t>9  B4-L</t>
    <phoneticPr fontId="2" type="noConversion"/>
  </si>
  <si>
    <t>9  B5-H</t>
    <phoneticPr fontId="2" type="noConversion"/>
  </si>
  <si>
    <t>9  B5-L</t>
    <phoneticPr fontId="2" type="noConversion"/>
  </si>
  <si>
    <t>9OAV  B1-H</t>
    <phoneticPr fontId="2" type="noConversion"/>
  </si>
  <si>
    <t>异戊酸乙酯（3-甲基丁酸乙酯）</t>
    <phoneticPr fontId="2" type="noConversion"/>
  </si>
  <si>
    <t>己酸异戊脂（3-甲基丁基己酸酯）</t>
    <phoneticPr fontId="2" type="noConversion"/>
  </si>
  <si>
    <t>壬酸乙酯</t>
  </si>
  <si>
    <t>CCCCCCCCC(=O)OCC</t>
  </si>
  <si>
    <t>10  2</t>
    <phoneticPr fontId="2" type="noConversion"/>
  </si>
  <si>
    <t>10  3</t>
    <phoneticPr fontId="2" type="noConversion"/>
  </si>
  <si>
    <t>10  4</t>
    <phoneticPr fontId="2" type="noConversion"/>
  </si>
  <si>
    <t>10  5</t>
    <phoneticPr fontId="2" type="noConversion"/>
  </si>
  <si>
    <t>10  6</t>
    <phoneticPr fontId="2" type="noConversion"/>
  </si>
  <si>
    <t>10  7</t>
    <phoneticPr fontId="2" type="noConversion"/>
  </si>
  <si>
    <t>10  8</t>
    <phoneticPr fontId="2" type="noConversion"/>
  </si>
  <si>
    <t>10  1mg/L</t>
    <phoneticPr fontId="2" type="noConversion"/>
  </si>
  <si>
    <t>CCCCCCCCCC(=O)OCC</t>
  </si>
  <si>
    <t>丁酸己酯</t>
  </si>
  <si>
    <t>CCCCCCOC(=O)CCC</t>
    <phoneticPr fontId="2" type="noConversion"/>
  </si>
  <si>
    <t>Furfural</t>
    <phoneticPr fontId="2" type="noConversion"/>
  </si>
  <si>
    <t>异己酸（4-甲基戊酸）</t>
    <phoneticPr fontId="2" type="noConversion"/>
  </si>
  <si>
    <t>2-甲氧基-4-甲基苯酚（2-甲氧基对甲酚）</t>
    <phoneticPr fontId="2" type="noConversion"/>
  </si>
  <si>
    <t>628-97-7</t>
    <phoneticPr fontId="2" type="noConversion"/>
  </si>
  <si>
    <t>Ethyl palmitate</t>
    <phoneticPr fontId="2" type="noConversion"/>
  </si>
  <si>
    <t>106-27-4</t>
    <phoneticPr fontId="2" type="noConversion"/>
  </si>
  <si>
    <t>71-23-8</t>
    <phoneticPr fontId="2" type="noConversion"/>
  </si>
  <si>
    <t>1-propanol</t>
    <phoneticPr fontId="2" type="noConversion"/>
  </si>
  <si>
    <t>78-83-1</t>
    <phoneticPr fontId="2" type="noConversion"/>
  </si>
  <si>
    <t>105-57-7</t>
    <phoneticPr fontId="2" type="noConversion"/>
  </si>
  <si>
    <t>110-43-0</t>
    <phoneticPr fontId="2" type="noConversion"/>
  </si>
  <si>
    <t>2-Heptanone</t>
    <phoneticPr fontId="2" type="noConversion"/>
  </si>
  <si>
    <t>66-25-1</t>
    <phoneticPr fontId="2" type="noConversion"/>
  </si>
  <si>
    <t>Hexanal</t>
    <phoneticPr fontId="2" type="noConversion"/>
  </si>
  <si>
    <t>14667-55-1</t>
    <phoneticPr fontId="2" type="noConversion"/>
  </si>
  <si>
    <t>Trimethyl-pyrazine</t>
    <phoneticPr fontId="2" type="noConversion"/>
  </si>
  <si>
    <t>142-92-7</t>
    <phoneticPr fontId="2" type="noConversion"/>
  </si>
  <si>
    <t>Hexyl acetate</t>
    <phoneticPr fontId="2" type="noConversion"/>
  </si>
  <si>
    <t>123-29-5</t>
    <phoneticPr fontId="2" type="noConversion"/>
  </si>
  <si>
    <t>2639-63-6</t>
    <phoneticPr fontId="2" type="noConversion"/>
  </si>
  <si>
    <t>Hexyl butanoate</t>
    <phoneticPr fontId="2" type="noConversion"/>
  </si>
  <si>
    <t>Ethyl isovalerate</t>
    <phoneticPr fontId="2" type="noConversion"/>
  </si>
  <si>
    <t>Ethyl heptanoate</t>
    <phoneticPr fontId="2" type="noConversion"/>
  </si>
  <si>
    <t>Ethyl lactate</t>
    <phoneticPr fontId="2" type="noConversion"/>
  </si>
  <si>
    <t>Ethyl 2-hydroxy-4-methylvalerate</t>
    <phoneticPr fontId="2" type="noConversion"/>
  </si>
  <si>
    <t>Ethyl 4-methyl valerate</t>
    <phoneticPr fontId="2" type="noConversion"/>
  </si>
  <si>
    <t>Hexyl hexanoate</t>
    <phoneticPr fontId="2" type="noConversion"/>
  </si>
  <si>
    <t>Isoamyl butyrate</t>
    <phoneticPr fontId="2" type="noConversion"/>
  </si>
  <si>
    <t>Isobutanol</t>
    <phoneticPr fontId="2" type="noConversion"/>
  </si>
  <si>
    <t>Octanoic acid</t>
    <phoneticPr fontId="2" type="noConversion"/>
  </si>
  <si>
    <t>Heptanoic acid</t>
    <phoneticPr fontId="2" type="noConversion"/>
  </si>
  <si>
    <t>Acetic acid</t>
    <phoneticPr fontId="2" type="noConversion"/>
  </si>
  <si>
    <t>Phenylacetaldehyde</t>
    <phoneticPr fontId="2" type="noConversion"/>
  </si>
  <si>
    <t>Gamma-Nonanolactone</t>
    <phoneticPr fontId="2" type="noConversion"/>
  </si>
  <si>
    <t>Ethyl isobutyrate</t>
    <phoneticPr fontId="2" type="noConversion"/>
  </si>
  <si>
    <t>Ethyl 2-methylbutanoate</t>
    <phoneticPr fontId="2" type="noConversion"/>
  </si>
  <si>
    <t>Phenethyl acetate</t>
    <phoneticPr fontId="2" type="noConversion"/>
  </si>
  <si>
    <t>Propionic acid</t>
    <phoneticPr fontId="2" type="noConversion"/>
  </si>
  <si>
    <t>Ethyl nonanoate</t>
    <phoneticPr fontId="2" type="noConversion"/>
  </si>
  <si>
    <t>5320.56 ± 47.54b</t>
    <phoneticPr fontId="2" type="noConversion"/>
  </si>
  <si>
    <t>972.62 ± 17.26d</t>
    <phoneticPr fontId="2" type="noConversion"/>
  </si>
  <si>
    <t>1104.58 ± 26.46c</t>
    <phoneticPr fontId="2" type="noConversion"/>
  </si>
  <si>
    <t>6009.12 ± 29.01a</t>
    <phoneticPr fontId="2" type="noConversion"/>
  </si>
  <si>
    <t>918.62 ± 3.73t</t>
    <phoneticPr fontId="2" type="noConversion"/>
  </si>
  <si>
    <t>3823.72 ± 811.81</t>
    <phoneticPr fontId="2" type="noConversion"/>
  </si>
  <si>
    <t>4021.42 ± 778.92</t>
    <phoneticPr fontId="2" type="noConversion"/>
  </si>
  <si>
    <t>2559 ± 32.9</t>
    <phoneticPr fontId="2" type="noConversion"/>
  </si>
  <si>
    <t>1157 ± 20</t>
    <phoneticPr fontId="2" type="noConversion"/>
  </si>
  <si>
    <t>1092 ± 2.99</t>
    <phoneticPr fontId="2" type="noConversion"/>
  </si>
  <si>
    <t>879 ± 6.12</t>
    <phoneticPr fontId="2" type="noConversion"/>
  </si>
  <si>
    <t>861 ± 13.5</t>
    <phoneticPr fontId="2" type="noConversion"/>
  </si>
  <si>
    <t>679 ± 2.38</t>
    <phoneticPr fontId="2" type="noConversion"/>
  </si>
  <si>
    <t>714 ± 3.38</t>
    <phoneticPr fontId="2" type="noConversion"/>
  </si>
  <si>
    <t>421 ± 1.36</t>
    <phoneticPr fontId="2" type="noConversion"/>
  </si>
  <si>
    <t>5.98 ± 1.16b</t>
    <phoneticPr fontId="2" type="noConversion"/>
  </si>
  <si>
    <t>10.69 ± 9.76b</t>
    <phoneticPr fontId="2" type="noConversion"/>
  </si>
  <si>
    <t>3842.22 ± 38.71a</t>
    <phoneticPr fontId="2" type="noConversion"/>
  </si>
  <si>
    <t>23.36 ± 23.79b</t>
    <phoneticPr fontId="2" type="noConversion"/>
  </si>
  <si>
    <t>13.13 ± 1.98b</t>
    <phoneticPr fontId="2" type="noConversion"/>
  </si>
  <si>
    <t>51.42 ± 2.42</t>
    <phoneticPr fontId="2" type="noConversion"/>
  </si>
  <si>
    <t>56.73 ± 3.21</t>
    <phoneticPr fontId="2" type="noConversion"/>
  </si>
  <si>
    <t>695.74 ± 32.93b</t>
    <phoneticPr fontId="2" type="noConversion"/>
  </si>
  <si>
    <t>145.7 ± 7.17d</t>
    <phoneticPr fontId="2" type="noConversion"/>
  </si>
  <si>
    <t>245.25 ± 28.18c</t>
    <phoneticPr fontId="2" type="noConversion"/>
  </si>
  <si>
    <t>1202.85 ± 12.77a</t>
    <phoneticPr fontId="2" type="noConversion"/>
  </si>
  <si>
    <t>262.58 ± 23.1t</t>
    <phoneticPr fontId="2" type="noConversion"/>
  </si>
  <si>
    <t>132.36 ± 17.97</t>
    <phoneticPr fontId="2" type="noConversion"/>
  </si>
  <si>
    <t>134.33 ± 17.53</t>
    <phoneticPr fontId="2" type="noConversion"/>
  </si>
  <si>
    <t>940 ± 14.6</t>
    <phoneticPr fontId="2" type="noConversion"/>
  </si>
  <si>
    <t>206 ± 3.2</t>
    <phoneticPr fontId="2" type="noConversion"/>
  </si>
  <si>
    <t>138 ± 0.727</t>
    <phoneticPr fontId="2" type="noConversion"/>
  </si>
  <si>
    <t>113 ± 2.27</t>
    <phoneticPr fontId="2" type="noConversion"/>
  </si>
  <si>
    <t>73 ± 1.28</t>
    <phoneticPr fontId="2" type="noConversion"/>
  </si>
  <si>
    <t>57 ± 0.543</t>
    <phoneticPr fontId="2" type="noConversion"/>
  </si>
  <si>
    <t>20.3 ± 0.31</t>
    <phoneticPr fontId="2" type="noConversion"/>
  </si>
  <si>
    <t>19.1 ± 0.17</t>
    <phoneticPr fontId="2" type="noConversion"/>
  </si>
  <si>
    <t>484.16 ± 9.79d</t>
    <phoneticPr fontId="2" type="noConversion"/>
  </si>
  <si>
    <t>1054.47 ± 6.18b</t>
    <phoneticPr fontId="2" type="noConversion"/>
  </si>
  <si>
    <t>5.45 ± 0.69</t>
    <phoneticPr fontId="2" type="noConversion"/>
  </si>
  <si>
    <t>149.27 ± 48.98b</t>
    <phoneticPr fontId="2" type="noConversion"/>
  </si>
  <si>
    <t>86.76 ± 46.87c</t>
    <phoneticPr fontId="2" type="noConversion"/>
  </si>
  <si>
    <t>136.05 ± 10.32bc</t>
    <phoneticPr fontId="2" type="noConversion"/>
  </si>
  <si>
    <t>572.73 ± 9.76a</t>
    <phoneticPr fontId="2" type="noConversion"/>
  </si>
  <si>
    <t>71.71 ± 4.03d</t>
    <phoneticPr fontId="2" type="noConversion"/>
  </si>
  <si>
    <t>319.35 ± 56.19</t>
    <phoneticPr fontId="2" type="noConversion"/>
  </si>
  <si>
    <t>225.14 ± 40.04</t>
    <phoneticPr fontId="2" type="noConversion"/>
  </si>
  <si>
    <t>51.1 ± 0.181</t>
    <phoneticPr fontId="2" type="noConversion"/>
  </si>
  <si>
    <t>22.8 ± 0.45</t>
    <phoneticPr fontId="2" type="noConversion"/>
  </si>
  <si>
    <t>34.7 ± 0.263</t>
    <phoneticPr fontId="2" type="noConversion"/>
  </si>
  <si>
    <t>19.6 ± 0.135</t>
    <phoneticPr fontId="2" type="noConversion"/>
  </si>
  <si>
    <t>41.4 ± 0.293</t>
    <phoneticPr fontId="2" type="noConversion"/>
  </si>
  <si>
    <t>20.5 ± 0.134</t>
    <phoneticPr fontId="2" type="noConversion"/>
  </si>
  <si>
    <t>38.4 ± 0.376</t>
    <phoneticPr fontId="2" type="noConversion"/>
  </si>
  <si>
    <t>3.88 ± 0.013</t>
    <phoneticPr fontId="2" type="noConversion"/>
  </si>
  <si>
    <t>439.66 ± 37.62a</t>
    <phoneticPr fontId="2" type="noConversion"/>
  </si>
  <si>
    <t>114.58 ± 20.85c</t>
    <phoneticPr fontId="2" type="noConversion"/>
  </si>
  <si>
    <t>80.4 ± 9.8c</t>
    <phoneticPr fontId="2" type="noConversion"/>
  </si>
  <si>
    <t>393.75 ± 7.58b</t>
    <phoneticPr fontId="2" type="noConversion"/>
  </si>
  <si>
    <t>82.3 ± 13.85c</t>
    <phoneticPr fontId="2" type="noConversion"/>
  </si>
  <si>
    <t>209.65 ± 42.15</t>
    <phoneticPr fontId="2" type="noConversion"/>
  </si>
  <si>
    <t>224.00 ± 41.30</t>
    <phoneticPr fontId="2" type="noConversion"/>
  </si>
  <si>
    <t>193 ± 0.095</t>
    <phoneticPr fontId="2" type="noConversion"/>
  </si>
  <si>
    <t>46.4 ± 1.05</t>
    <phoneticPr fontId="2" type="noConversion"/>
  </si>
  <si>
    <t>34.1 ± 0.444</t>
    <phoneticPr fontId="2" type="noConversion"/>
  </si>
  <si>
    <t>25.1 ± 0.096</t>
    <phoneticPr fontId="2" type="noConversion"/>
  </si>
  <si>
    <t>21 ± 0.379</t>
    <phoneticPr fontId="2" type="noConversion"/>
  </si>
  <si>
    <t>15.3 ± 0.265</t>
    <phoneticPr fontId="2" type="noConversion"/>
  </si>
  <si>
    <t>11.9 ± 0.144</t>
    <phoneticPr fontId="2" type="noConversion"/>
  </si>
  <si>
    <t>7.77 ± 0.15</t>
    <phoneticPr fontId="2" type="noConversion"/>
  </si>
  <si>
    <t>162.42 ± 45.17b</t>
    <phoneticPr fontId="2" type="noConversion"/>
  </si>
  <si>
    <t>67.59 ± 33.79 cd</t>
    <phoneticPr fontId="2" type="noConversion"/>
  </si>
  <si>
    <t>92.79 ± 9.34c</t>
    <phoneticPr fontId="2" type="noConversion"/>
  </si>
  <si>
    <t>359.81 ± 7.06a</t>
    <phoneticPr fontId="2" type="noConversion"/>
  </si>
  <si>
    <t>41.72 ± 1.08d</t>
    <phoneticPr fontId="2" type="noConversion"/>
  </si>
  <si>
    <t>301.95 ± 1.65a</t>
    <phoneticPr fontId="2" type="noConversion"/>
  </si>
  <si>
    <t>5.42 ± 4.5d</t>
    <phoneticPr fontId="2" type="noConversion"/>
  </si>
  <si>
    <t>58.95 ± 5.35c</t>
    <phoneticPr fontId="2" type="noConversion"/>
  </si>
  <si>
    <t>107.81 ± 6.38b</t>
    <phoneticPr fontId="2" type="noConversion"/>
  </si>
  <si>
    <t>17.43 ± 25.84t</t>
    <phoneticPr fontId="2" type="noConversion"/>
  </si>
  <si>
    <t>1.08 ± 0.24</t>
    <phoneticPr fontId="2" type="noConversion"/>
  </si>
  <si>
    <t>1.23 ± 0.26</t>
    <phoneticPr fontId="2" type="noConversion"/>
  </si>
  <si>
    <t>1159 ± 19.5</t>
    <phoneticPr fontId="2" type="noConversion"/>
  </si>
  <si>
    <t>869 ± 2.76</t>
    <phoneticPr fontId="2" type="noConversion"/>
  </si>
  <si>
    <t>1151 ± 3.68</t>
    <phoneticPr fontId="2" type="noConversion"/>
  </si>
  <si>
    <t>1519 ± 20.4</t>
    <phoneticPr fontId="2" type="noConversion"/>
  </si>
  <si>
    <t>1543 ± 33</t>
    <phoneticPr fontId="2" type="noConversion"/>
  </si>
  <si>
    <t>1869 ± 15.2</t>
    <phoneticPr fontId="2" type="noConversion"/>
  </si>
  <si>
    <t>1655 ± 46.7</t>
    <phoneticPr fontId="2" type="noConversion"/>
  </si>
  <si>
    <t>1585 ± 2.82</t>
    <phoneticPr fontId="2" type="noConversion"/>
  </si>
  <si>
    <t>5.7 ± 2.58b</t>
    <phoneticPr fontId="2" type="noConversion"/>
  </si>
  <si>
    <t>125.39 ± 1.28a</t>
    <phoneticPr fontId="2" type="noConversion"/>
  </si>
  <si>
    <t>4.25 ± 0.71b</t>
    <phoneticPr fontId="2" type="noConversion"/>
  </si>
  <si>
    <t>13.66 ± 12.7b</t>
    <phoneticPr fontId="2" type="noConversion"/>
  </si>
  <si>
    <t>3.55 ± 0.03b</t>
    <phoneticPr fontId="2" type="noConversion"/>
  </si>
  <si>
    <t>932 ± 20</t>
    <phoneticPr fontId="2" type="noConversion"/>
  </si>
  <si>
    <t>605 ± 2</t>
    <phoneticPr fontId="2" type="noConversion"/>
  </si>
  <si>
    <t>8.56 ± 4.7b</t>
    <phoneticPr fontId="2" type="noConversion"/>
  </si>
  <si>
    <t>124.14 ± 2.91a</t>
    <phoneticPr fontId="2" type="noConversion"/>
  </si>
  <si>
    <t>7.47 ± 1.37b</t>
    <phoneticPr fontId="2" type="noConversion"/>
  </si>
  <si>
    <t>11.92 ± 11.11b</t>
    <phoneticPr fontId="2" type="noConversion"/>
  </si>
  <si>
    <t>3.11 ± 0.03b</t>
    <phoneticPr fontId="2" type="noConversion"/>
  </si>
  <si>
    <t>4.36 ± 0.068</t>
    <phoneticPr fontId="2" type="noConversion"/>
  </si>
  <si>
    <t>1.57 ± 0.014</t>
    <phoneticPr fontId="2" type="noConversion"/>
  </si>
  <si>
    <t>1.52 ± 0.013</t>
    <phoneticPr fontId="2" type="noConversion"/>
  </si>
  <si>
    <t>1.2 ± 0.016</t>
    <phoneticPr fontId="2" type="noConversion"/>
  </si>
  <si>
    <t>0.57 ± 0.165</t>
    <phoneticPr fontId="2" type="noConversion"/>
  </si>
  <si>
    <t>0.643 ± 0.053</t>
    <phoneticPr fontId="2" type="noConversion"/>
  </si>
  <si>
    <t>0.55 ± 0.296</t>
    <phoneticPr fontId="2" type="noConversion"/>
  </si>
  <si>
    <t>(空)</t>
    <phoneticPr fontId="2" type="noConversion"/>
  </si>
  <si>
    <t>16.37 ± 9.56b</t>
    <phoneticPr fontId="2" type="noConversion"/>
  </si>
  <si>
    <t>104.74 ± 0.16a</t>
    <phoneticPr fontId="2" type="noConversion"/>
  </si>
  <si>
    <t>16.43 ± 1.19b</t>
    <phoneticPr fontId="2" type="noConversion"/>
  </si>
  <si>
    <t>34.11 ± 36.97b</t>
    <phoneticPr fontId="2" type="noConversion"/>
  </si>
  <si>
    <t>14.8 ± 0.87b</t>
    <phoneticPr fontId="2" type="noConversion"/>
  </si>
  <si>
    <t>5.73 ± 0.15</t>
    <phoneticPr fontId="2" type="noConversion"/>
  </si>
  <si>
    <t>1.94 ± 0.168</t>
    <phoneticPr fontId="2" type="noConversion"/>
  </si>
  <si>
    <t>4.26 ± 0.071</t>
    <phoneticPr fontId="2" type="noConversion"/>
  </si>
  <si>
    <t>2.57 ± 0.044</t>
    <phoneticPr fontId="2" type="noConversion"/>
  </si>
  <si>
    <t>7.01 ± 0.147</t>
    <phoneticPr fontId="2" type="noConversion"/>
  </si>
  <si>
    <t>2.39 ± 0.097</t>
    <phoneticPr fontId="2" type="noConversion"/>
  </si>
  <si>
    <t>5.51 ± 0.171</t>
    <phoneticPr fontId="2" type="noConversion"/>
  </si>
  <si>
    <t>4.49 ± 0b</t>
    <phoneticPr fontId="2" type="noConversion"/>
  </si>
  <si>
    <t>96.79 ± 0.08a</t>
    <phoneticPr fontId="2" type="noConversion"/>
  </si>
  <si>
    <t>0.88 ± 0.05e</t>
    <phoneticPr fontId="2" type="noConversion"/>
  </si>
  <si>
    <t>1.14 ± 0.03d</t>
    <phoneticPr fontId="2" type="noConversion"/>
  </si>
  <si>
    <t>1.81 ± 0.19c</t>
    <phoneticPr fontId="2" type="noConversion"/>
  </si>
  <si>
    <t>40.12 ± 24.28a</t>
    <phoneticPr fontId="2" type="noConversion"/>
  </si>
  <si>
    <t>54.57 ± 37.62a</t>
    <phoneticPr fontId="2" type="noConversion"/>
  </si>
  <si>
    <t>39.16 ± 5.36a</t>
    <phoneticPr fontId="2" type="noConversion"/>
  </si>
  <si>
    <t>58.38 ± 55.01a</t>
    <phoneticPr fontId="2" type="noConversion"/>
  </si>
  <si>
    <t>15.05 ± 1.57a</t>
    <phoneticPr fontId="2" type="noConversion"/>
  </si>
  <si>
    <t>26.5 ± 0.33</t>
    <phoneticPr fontId="2" type="noConversion"/>
  </si>
  <si>
    <t>12.1 ± 0.246</t>
    <phoneticPr fontId="2" type="noConversion"/>
  </si>
  <si>
    <t>26.3 ± 0.281</t>
    <phoneticPr fontId="2" type="noConversion"/>
  </si>
  <si>
    <t>13.6 ± 0.12</t>
    <phoneticPr fontId="2" type="noConversion"/>
  </si>
  <si>
    <t>44 ± 0.216</t>
    <phoneticPr fontId="2" type="noConversion"/>
  </si>
  <si>
    <t>21 ± 0.221</t>
    <phoneticPr fontId="2" type="noConversion"/>
  </si>
  <si>
    <t>33.8 ± 0.33</t>
    <phoneticPr fontId="2" type="noConversion"/>
  </si>
  <si>
    <t>0.688 ± 0.005</t>
    <phoneticPr fontId="2" type="noConversion"/>
  </si>
  <si>
    <t>36.04 ± 21.36a</t>
    <phoneticPr fontId="2" type="noConversion"/>
  </si>
  <si>
    <t>45.49 ± 38.46a</t>
    <phoneticPr fontId="2" type="noConversion"/>
  </si>
  <si>
    <t>31.18 ± 6.24a</t>
    <phoneticPr fontId="2" type="noConversion"/>
  </si>
  <si>
    <t>47.71 ± 45.08a</t>
    <phoneticPr fontId="2" type="noConversion"/>
  </si>
  <si>
    <t>11.06 ± 0.48a</t>
    <phoneticPr fontId="2" type="noConversion"/>
  </si>
  <si>
    <t>4.43 ± 1.73a</t>
    <phoneticPr fontId="2" type="noConversion"/>
  </si>
  <si>
    <t>6.93 ± 5.98a</t>
    <phoneticPr fontId="2" type="noConversion"/>
  </si>
  <si>
    <t>4.21 ± 1.04a</t>
    <phoneticPr fontId="2" type="noConversion"/>
  </si>
  <si>
    <t>6.6 ± 5.27a</t>
    <phoneticPr fontId="2" type="noConversion"/>
  </si>
  <si>
    <t>2.72 ± 0.12a</t>
    <phoneticPr fontId="2" type="noConversion"/>
  </si>
  <si>
    <t>2.72 ± 0.139</t>
    <phoneticPr fontId="2" type="noConversion"/>
  </si>
  <si>
    <t>2.63 ± 0.158</t>
    <phoneticPr fontId="2" type="noConversion"/>
  </si>
  <si>
    <t>4.13 ± 0.137</t>
    <phoneticPr fontId="2" type="noConversion"/>
  </si>
  <si>
    <t>5.11 ± 0.121</t>
    <phoneticPr fontId="2" type="noConversion"/>
  </si>
  <si>
    <t>12 ± 0.272</t>
    <phoneticPr fontId="2" type="noConversion"/>
  </si>
  <si>
    <t>20.4 ± 0.155</t>
    <phoneticPr fontId="2" type="noConversion"/>
  </si>
  <si>
    <t>17.2 ± 0.062</t>
    <phoneticPr fontId="2" type="noConversion"/>
  </si>
  <si>
    <t>5.24 ± 6.55a</t>
    <phoneticPr fontId="2" type="noConversion"/>
  </si>
  <si>
    <t>1.9 ± 0.22a</t>
    <phoneticPr fontId="2" type="noConversion"/>
  </si>
  <si>
    <t>3.05 ± 2.92a</t>
    <phoneticPr fontId="2" type="noConversion"/>
  </si>
  <si>
    <t>2.52 ± 0.02a</t>
    <phoneticPr fontId="2" type="noConversion"/>
  </si>
  <si>
    <t>2.05 ± 0.022</t>
    <phoneticPr fontId="2" type="noConversion"/>
  </si>
  <si>
    <t>4.73 ± 0.069</t>
    <phoneticPr fontId="2" type="noConversion"/>
  </si>
  <si>
    <t>7.54 ± 0.086</t>
    <phoneticPr fontId="2" type="noConversion"/>
  </si>
  <si>
    <t>11.3 ± 0.101</t>
    <phoneticPr fontId="2" type="noConversion"/>
  </si>
  <si>
    <t>21 ± 0.118</t>
    <phoneticPr fontId="2" type="noConversion"/>
  </si>
  <si>
    <t>29.1 ± 0.226</t>
    <phoneticPr fontId="2" type="noConversion"/>
  </si>
  <si>
    <t>33.5 ± 0.23</t>
    <phoneticPr fontId="2" type="noConversion"/>
  </si>
  <si>
    <t>29.6 ± 0.107</t>
    <phoneticPr fontId="2" type="noConversion"/>
  </si>
  <si>
    <t>5.9 ± 4.7a</t>
    <phoneticPr fontId="2" type="noConversion"/>
  </si>
  <si>
    <t>2.27 ± 0.74a</t>
    <phoneticPr fontId="2" type="noConversion"/>
  </si>
  <si>
    <t>4.42 ± 1.10</t>
    <phoneticPr fontId="2" type="noConversion"/>
  </si>
  <si>
    <t>41.84 ± 10.73ab</t>
    <phoneticPr fontId="2" type="noConversion"/>
  </si>
  <si>
    <t>47.81 ± 32.42a</t>
    <phoneticPr fontId="2" type="noConversion"/>
  </si>
  <si>
    <t>14.02 ± 4.33ab</t>
    <phoneticPr fontId="2" type="noConversion"/>
  </si>
  <si>
    <t>34.52 ± 32.12ab</t>
    <phoneticPr fontId="2" type="noConversion"/>
  </si>
  <si>
    <t>3.56 ± 2.54b</t>
    <phoneticPr fontId="2" type="noConversion"/>
  </si>
  <si>
    <t>2.20 ± 0.12</t>
    <phoneticPr fontId="2" type="noConversion"/>
  </si>
  <si>
    <t>2.15 ± 0.12</t>
    <phoneticPr fontId="2" type="noConversion"/>
  </si>
  <si>
    <t>245.12 ± 20.77a</t>
    <phoneticPr fontId="2" type="noConversion"/>
  </si>
  <si>
    <t>48.88 ± 26.51b</t>
    <phoneticPr fontId="2" type="noConversion"/>
  </si>
  <si>
    <t>34.69 ± 4.9b</t>
    <phoneticPr fontId="2" type="noConversion"/>
  </si>
  <si>
    <t>256.5 ± 37.57a</t>
    <phoneticPr fontId="2" type="noConversion"/>
  </si>
  <si>
    <t>16.97 ± 0.09b</t>
    <phoneticPr fontId="2" type="noConversion"/>
  </si>
  <si>
    <t>12.53 ± 0.59</t>
    <phoneticPr fontId="2" type="noConversion"/>
  </si>
  <si>
    <t>12.30 ± 1.30</t>
    <phoneticPr fontId="2" type="noConversion"/>
  </si>
  <si>
    <t>511 ± 11</t>
    <phoneticPr fontId="2" type="noConversion"/>
  </si>
  <si>
    <t>335 ± 4.22</t>
    <phoneticPr fontId="2" type="noConversion"/>
  </si>
  <si>
    <t>299 ± 4.4</t>
    <phoneticPr fontId="2" type="noConversion"/>
  </si>
  <si>
    <t>309 ± 7.15</t>
    <phoneticPr fontId="2" type="noConversion"/>
  </si>
  <si>
    <t>270 ± 6.35</t>
    <phoneticPr fontId="2" type="noConversion"/>
  </si>
  <si>
    <t>267 ± 3.77</t>
    <phoneticPr fontId="2" type="noConversion"/>
  </si>
  <si>
    <t>175 ± 0.6</t>
    <phoneticPr fontId="2" type="noConversion"/>
  </si>
  <si>
    <t>124 ± 0.564</t>
    <phoneticPr fontId="2" type="noConversion"/>
  </si>
  <si>
    <t>213.01 ± 34.84b</t>
    <phoneticPr fontId="2" type="noConversion"/>
  </si>
  <si>
    <t>45.58 ± 22.71c</t>
    <phoneticPr fontId="2" type="noConversion"/>
  </si>
  <si>
    <t>37.5 ± 2.62c</t>
    <phoneticPr fontId="2" type="noConversion"/>
  </si>
  <si>
    <t>245.76 ± 17.69a</t>
    <phoneticPr fontId="2" type="noConversion"/>
  </si>
  <si>
    <t>21.15 ± 20.72c</t>
    <phoneticPr fontId="2" type="noConversion"/>
  </si>
  <si>
    <t>2.68 ± 0.08</t>
    <phoneticPr fontId="2" type="noConversion"/>
  </si>
  <si>
    <t>2.62 ± 0.26</t>
    <phoneticPr fontId="2" type="noConversion"/>
  </si>
  <si>
    <t>164 ± 2.34</t>
    <phoneticPr fontId="2" type="noConversion"/>
  </si>
  <si>
    <t>206 ± 1.55</t>
    <phoneticPr fontId="2" type="noConversion"/>
  </si>
  <si>
    <t>230 ± 1.61</t>
    <phoneticPr fontId="2" type="noConversion"/>
  </si>
  <si>
    <t>288 ± 3.08</t>
    <phoneticPr fontId="2" type="noConversion"/>
  </si>
  <si>
    <t>286 ± 5.56</t>
    <phoneticPr fontId="2" type="noConversion"/>
  </si>
  <si>
    <t>274 ± 12.7</t>
    <phoneticPr fontId="2" type="noConversion"/>
  </si>
  <si>
    <t>124 ± 2.34</t>
    <phoneticPr fontId="2" type="noConversion"/>
  </si>
  <si>
    <t>3.73 ± 0.05a</t>
    <phoneticPr fontId="2" type="noConversion"/>
  </si>
  <si>
    <t>ND</t>
    <phoneticPr fontId="2" type="noConversion"/>
  </si>
  <si>
    <t>0.59 ± 0.13a</t>
    <phoneticPr fontId="2" type="noConversion"/>
  </si>
  <si>
    <t>31.74 ± 52.24a</t>
    <phoneticPr fontId="2" type="noConversion"/>
  </si>
  <si>
    <t>34.52 ± 23.24a</t>
    <phoneticPr fontId="2" type="noConversion"/>
  </si>
  <si>
    <t>372 ± 6.31</t>
    <phoneticPr fontId="2" type="noConversion"/>
  </si>
  <si>
    <t>226 ± 1.79</t>
    <phoneticPr fontId="2" type="noConversion"/>
  </si>
  <si>
    <t>196 ± 2.28</t>
    <phoneticPr fontId="2" type="noConversion"/>
  </si>
  <si>
    <t>202 ± 3.49</t>
    <phoneticPr fontId="2" type="noConversion"/>
  </si>
  <si>
    <t>188 ± 3.37</t>
    <phoneticPr fontId="2" type="noConversion"/>
  </si>
  <si>
    <t>118 ± 0.112</t>
    <phoneticPr fontId="2" type="noConversion"/>
  </si>
  <si>
    <t>79.1 ± 0.149</t>
    <phoneticPr fontId="2" type="noConversion"/>
  </si>
  <si>
    <t>0.4 ± 0.04</t>
    <phoneticPr fontId="2" type="noConversion"/>
  </si>
  <si>
    <t>136 ± 2.98</t>
    <phoneticPr fontId="2" type="noConversion"/>
  </si>
  <si>
    <t>42.6 ± 0.37</t>
    <phoneticPr fontId="2" type="noConversion"/>
  </si>
  <si>
    <t>29.8 ± 0.398</t>
    <phoneticPr fontId="2" type="noConversion"/>
  </si>
  <si>
    <t>25.2 ± 0.526</t>
    <phoneticPr fontId="2" type="noConversion"/>
  </si>
  <si>
    <t>20.8 ± 0.281</t>
    <phoneticPr fontId="2" type="noConversion"/>
  </si>
  <si>
    <t>17.3 ± 0.177</t>
    <phoneticPr fontId="2" type="noConversion"/>
  </si>
  <si>
    <t>10.4 ± 0.061</t>
    <phoneticPr fontId="2" type="noConversion"/>
  </si>
  <si>
    <t>7.14 ± 0.018</t>
    <phoneticPr fontId="2" type="noConversion"/>
  </si>
  <si>
    <t>160.03 ± 35.47b</t>
    <phoneticPr fontId="2" type="noConversion"/>
  </si>
  <si>
    <t>85.13 ± 13.98c</t>
    <phoneticPr fontId="2" type="noConversion"/>
  </si>
  <si>
    <t>96.7 ± 22.62c</t>
    <phoneticPr fontId="2" type="noConversion"/>
  </si>
  <si>
    <t>572.44 ± 23.32a</t>
    <phoneticPr fontId="2" type="noConversion"/>
  </si>
  <si>
    <t>50.31 ± 43.11c</t>
    <phoneticPr fontId="2" type="noConversion"/>
  </si>
  <si>
    <t>13.87 ± 0.65</t>
    <phoneticPr fontId="2" type="noConversion"/>
  </si>
  <si>
    <t>15.39 ± 0.92</t>
    <phoneticPr fontId="2" type="noConversion"/>
  </si>
  <si>
    <t>113 ± 1.25</t>
    <phoneticPr fontId="2" type="noConversion"/>
  </si>
  <si>
    <t>57.1 ± 0.362</t>
    <phoneticPr fontId="2" type="noConversion"/>
  </si>
  <si>
    <t>103 ± 0.507</t>
    <phoneticPr fontId="2" type="noConversion"/>
  </si>
  <si>
    <t>130 ± 1.32</t>
    <phoneticPr fontId="2" type="noConversion"/>
  </si>
  <si>
    <t>175 ± 3.9</t>
    <phoneticPr fontId="2" type="noConversion"/>
  </si>
  <si>
    <t>221 ± 2.54</t>
    <phoneticPr fontId="2" type="noConversion"/>
  </si>
  <si>
    <t>187 ± 0.701</t>
    <phoneticPr fontId="2" type="noConversion"/>
  </si>
  <si>
    <t>200 ± 1.41</t>
    <phoneticPr fontId="2" type="noConversion"/>
  </si>
  <si>
    <t>4.17 ± 2.12b</t>
    <phoneticPr fontId="2" type="noConversion"/>
  </si>
  <si>
    <t>14.17 ± 0.69a</t>
    <phoneticPr fontId="2" type="noConversion"/>
  </si>
  <si>
    <t>0.66 ± 0.17b</t>
    <phoneticPr fontId="2" type="noConversion"/>
  </si>
  <si>
    <t>4.13 ± 4.08b</t>
    <phoneticPr fontId="2" type="noConversion"/>
  </si>
  <si>
    <t>0.37 ± 0.02b</t>
    <phoneticPr fontId="2" type="noConversion"/>
  </si>
  <si>
    <t>124.88 ± 1.08a</t>
    <phoneticPr fontId="2" type="noConversion"/>
  </si>
  <si>
    <t>8.1 ± 7.15b</t>
    <phoneticPr fontId="2" type="noConversion"/>
  </si>
  <si>
    <t>5.76 ± 0.32</t>
    <phoneticPr fontId="2" type="noConversion"/>
  </si>
  <si>
    <t>6.49 ± 0.063</t>
    <phoneticPr fontId="2" type="noConversion"/>
  </si>
  <si>
    <t>5.46 ± 0.003</t>
    <phoneticPr fontId="2" type="noConversion"/>
  </si>
  <si>
    <t>11.2 ± 0.115</t>
    <phoneticPr fontId="2" type="noConversion"/>
  </si>
  <si>
    <t>21.6 ± 0.459</t>
    <phoneticPr fontId="2" type="noConversion"/>
  </si>
  <si>
    <t>114.61 ± 1.18a</t>
    <phoneticPr fontId="2" type="noConversion"/>
  </si>
  <si>
    <t>15.00 ± 7.89bc</t>
    <phoneticPr fontId="2" type="noConversion"/>
  </si>
  <si>
    <t>22.7 ± 2.14b</t>
    <phoneticPr fontId="2" type="noConversion"/>
  </si>
  <si>
    <t>9.45 ± 0.74c</t>
    <phoneticPr fontId="2" type="noConversion"/>
  </si>
  <si>
    <t>53.31 ± 42.88a</t>
    <phoneticPr fontId="2" type="noConversion"/>
  </si>
  <si>
    <t>6.1 ± 3.38a</t>
    <phoneticPr fontId="2" type="noConversion"/>
  </si>
  <si>
    <t>4.67 ± 2.01a</t>
    <phoneticPr fontId="2" type="noConversion"/>
  </si>
  <si>
    <t>3.09 ± 0.00a</t>
    <phoneticPr fontId="2" type="noConversion"/>
  </si>
  <si>
    <t>4.16 ± 18.57a</t>
    <phoneticPr fontId="2" type="noConversion"/>
  </si>
  <si>
    <t>17.58 ± 3.67ab</t>
    <phoneticPr fontId="2" type="noConversion"/>
  </si>
  <si>
    <t>8.31 ± 1.42b</t>
    <phoneticPr fontId="2" type="noConversion"/>
  </si>
  <si>
    <t>9.4 ± 2.48ab</t>
    <phoneticPr fontId="2" type="noConversion"/>
  </si>
  <si>
    <t>8.06 ± 3.31ab</t>
    <phoneticPr fontId="2" type="noConversion"/>
  </si>
  <si>
    <t>8.91 ± 0.50</t>
    <phoneticPr fontId="2" type="noConversion"/>
  </si>
  <si>
    <t>9.15 ± 0.40</t>
    <phoneticPr fontId="2" type="noConversion"/>
  </si>
  <si>
    <t>-</t>
    <phoneticPr fontId="2" type="noConversion"/>
  </si>
  <si>
    <t>65.3 ± 0.731</t>
    <phoneticPr fontId="2" type="noConversion"/>
  </si>
  <si>
    <t>40.4 ± 0.349</t>
    <phoneticPr fontId="2" type="noConversion"/>
  </si>
  <si>
    <t>64.9 ± 0.428</t>
    <phoneticPr fontId="2" type="noConversion"/>
  </si>
  <si>
    <t>78.9 ± 0.554</t>
    <phoneticPr fontId="2" type="noConversion"/>
  </si>
  <si>
    <t>103 ± 0.991</t>
    <phoneticPr fontId="2" type="noConversion"/>
  </si>
  <si>
    <t>153 ± 0.446</t>
    <phoneticPr fontId="2" type="noConversion"/>
  </si>
  <si>
    <t>159 ± 0.52</t>
    <phoneticPr fontId="2" type="noConversion"/>
  </si>
  <si>
    <t>188 ± 1.21</t>
    <phoneticPr fontId="2" type="noConversion"/>
  </si>
  <si>
    <t>9.16 ± 4.02b</t>
    <phoneticPr fontId="2" type="noConversion"/>
  </si>
  <si>
    <t>5.3 ± 0.71bc</t>
    <phoneticPr fontId="2" type="noConversion"/>
  </si>
  <si>
    <t>15.00 ± 1.91a</t>
    <phoneticPr fontId="2" type="noConversion"/>
  </si>
  <si>
    <t>9.66 ± 2.41b</t>
    <phoneticPr fontId="2" type="noConversion"/>
  </si>
  <si>
    <t>3.11 ± 1.66c</t>
    <phoneticPr fontId="2" type="noConversion"/>
  </si>
  <si>
    <t>0.15 ± 0.02</t>
    <phoneticPr fontId="2" type="noConversion"/>
  </si>
  <si>
    <t>1.42 ± 0.13</t>
    <phoneticPr fontId="2" type="noConversion"/>
  </si>
  <si>
    <t>1.42 ± 0.12</t>
    <phoneticPr fontId="2" type="noConversion"/>
  </si>
  <si>
    <t>4.93 ± 0.02</t>
    <phoneticPr fontId="2" type="noConversion"/>
  </si>
  <si>
    <t>2.5 ± 0.009</t>
    <phoneticPr fontId="2" type="noConversion"/>
  </si>
  <si>
    <t>4.71 ± 0.041</t>
    <phoneticPr fontId="2" type="noConversion"/>
  </si>
  <si>
    <t>6.34 ± 0.025</t>
    <phoneticPr fontId="2" type="noConversion"/>
  </si>
  <si>
    <t>12.3 ± 0.531</t>
    <phoneticPr fontId="2" type="noConversion"/>
  </si>
  <si>
    <t>18.2 ± 0.141</t>
    <phoneticPr fontId="2" type="noConversion"/>
  </si>
  <si>
    <t>18.8 ± 0.061</t>
    <phoneticPr fontId="2" type="noConversion"/>
  </si>
  <si>
    <t>25.5 ± 0.083</t>
    <phoneticPr fontId="2" type="noConversion"/>
  </si>
  <si>
    <t>3.03 ± 1.72a</t>
    <phoneticPr fontId="2" type="noConversion"/>
  </si>
  <si>
    <t>8.16 ± 5.97a</t>
    <phoneticPr fontId="2" type="noConversion"/>
  </si>
  <si>
    <t>1.66 ± 0.30</t>
    <phoneticPr fontId="2" type="noConversion"/>
  </si>
  <si>
    <t>1.50 ± 0.19</t>
    <phoneticPr fontId="2" type="noConversion"/>
  </si>
  <si>
    <t>2.01 ± 0.042</t>
    <phoneticPr fontId="2" type="noConversion"/>
  </si>
  <si>
    <t>1.9 ± 0.019</t>
    <phoneticPr fontId="2" type="noConversion"/>
  </si>
  <si>
    <t>3.38 ± 0.154</t>
    <phoneticPr fontId="2" type="noConversion"/>
  </si>
  <si>
    <t>5.52 ± 0.107</t>
    <phoneticPr fontId="2" type="noConversion"/>
  </si>
  <si>
    <t>6.73 ± 0.472</t>
    <phoneticPr fontId="2" type="noConversion"/>
  </si>
  <si>
    <t>13 ± 0.343</t>
    <phoneticPr fontId="2" type="noConversion"/>
  </si>
  <si>
    <t>16.5 ± 0.106</t>
    <phoneticPr fontId="2" type="noConversion"/>
  </si>
  <si>
    <t>18.8 ± 0.112</t>
    <phoneticPr fontId="2" type="noConversion"/>
  </si>
  <si>
    <t>1.65 ± 0.13b</t>
    <phoneticPr fontId="2" type="noConversion"/>
  </si>
  <si>
    <t>1.8 ± 0.82b</t>
    <phoneticPr fontId="2" type="noConversion"/>
  </si>
  <si>
    <t>15.31 ± 0.97a</t>
    <phoneticPr fontId="2" type="noConversion"/>
  </si>
  <si>
    <t>9.22 ± 1.08</t>
    <phoneticPr fontId="2" type="noConversion"/>
  </si>
  <si>
    <t>6.50 ± 0.53</t>
    <phoneticPr fontId="2" type="noConversion"/>
  </si>
  <si>
    <t>22.64 ± 15.45</t>
    <phoneticPr fontId="2" type="noConversion"/>
  </si>
  <si>
    <t>20.66 ± 3.38</t>
    <phoneticPr fontId="2" type="noConversion"/>
  </si>
  <si>
    <t>24.51 ± 4.48</t>
    <phoneticPr fontId="2" type="noConversion"/>
  </si>
  <si>
    <t>16.8 ± 0.066</t>
    <phoneticPr fontId="2" type="noConversion"/>
  </si>
  <si>
    <t>11.6 ± 0.16</t>
    <phoneticPr fontId="2" type="noConversion"/>
  </si>
  <si>
    <t>24.4 ± 0.018</t>
    <phoneticPr fontId="2" type="noConversion"/>
  </si>
  <si>
    <t>42.7 ± 0.241</t>
    <phoneticPr fontId="2" type="noConversion"/>
  </si>
  <si>
    <t>60.4 ± 0.337</t>
    <phoneticPr fontId="2" type="noConversion"/>
  </si>
  <si>
    <t>123 ± 0.569</t>
    <phoneticPr fontId="2" type="noConversion"/>
  </si>
  <si>
    <t>129 ± 0.792</t>
    <phoneticPr fontId="2" type="noConversion"/>
  </si>
  <si>
    <t>212.95 ± 8.66e</t>
    <phoneticPr fontId="2" type="noConversion"/>
  </si>
  <si>
    <t>472.55 ± 4.92c</t>
    <phoneticPr fontId="2" type="noConversion"/>
  </si>
  <si>
    <t>676.65 ± 0.74b</t>
    <phoneticPr fontId="2" type="noConversion"/>
  </si>
  <si>
    <t>2745.25 ± 42.33a</t>
    <phoneticPr fontId="2" type="noConversion"/>
  </si>
  <si>
    <t>428.66 ± 5.63d</t>
    <phoneticPr fontId="2" type="noConversion"/>
  </si>
  <si>
    <t>1.60 ± 2.09</t>
    <phoneticPr fontId="2" type="noConversion"/>
  </si>
  <si>
    <t>4.1 ± 0.02b</t>
    <phoneticPr fontId="2" type="noConversion"/>
  </si>
  <si>
    <t>1.68 ± 0.03d</t>
    <phoneticPr fontId="2" type="noConversion"/>
  </si>
  <si>
    <t>0.95 ± 0.01e</t>
    <phoneticPr fontId="2" type="noConversion"/>
  </si>
  <si>
    <t>77.53 ± 0.88a</t>
    <phoneticPr fontId="2" type="noConversion"/>
  </si>
  <si>
    <t>55.38 ± 1.02c</t>
    <phoneticPr fontId="2" type="noConversion"/>
  </si>
  <si>
    <t>7.43 ± 0.79</t>
    <phoneticPr fontId="2" type="noConversion"/>
  </si>
  <si>
    <t>9.31 ± 1.02</t>
    <phoneticPr fontId="2" type="noConversion"/>
  </si>
  <si>
    <t>2.45 ± 0.38</t>
    <phoneticPr fontId="2" type="noConversion"/>
  </si>
  <si>
    <t>0.791 ± 0.072</t>
    <phoneticPr fontId="2" type="noConversion"/>
  </si>
  <si>
    <t>0.448 ± 0.02</t>
    <phoneticPr fontId="2" type="noConversion"/>
  </si>
  <si>
    <t>0.633 ± 0.014</t>
    <phoneticPr fontId="2" type="noConversion"/>
  </si>
  <si>
    <t>1.17 ± 0.012</t>
    <phoneticPr fontId="2" type="noConversion"/>
  </si>
  <si>
    <t>1.79 ± 0.104</t>
    <phoneticPr fontId="2" type="noConversion"/>
  </si>
  <si>
    <t>2.99 ± 0.078</t>
    <phoneticPr fontId="2" type="noConversion"/>
  </si>
  <si>
    <t>3.51 ± 0.086</t>
    <phoneticPr fontId="2" type="noConversion"/>
  </si>
  <si>
    <t>4.14 ± 0.02</t>
    <phoneticPr fontId="2" type="noConversion"/>
  </si>
  <si>
    <t>0.125 ± 0.005</t>
    <phoneticPr fontId="2" type="noConversion"/>
  </si>
  <si>
    <t>0.2 ± 0.02</t>
    <phoneticPr fontId="2" type="noConversion"/>
  </si>
  <si>
    <t>0.215 ± 0.015</t>
    <phoneticPr fontId="2" type="noConversion"/>
  </si>
  <si>
    <t>0.279 ± 0.005</t>
    <phoneticPr fontId="2" type="noConversion"/>
  </si>
  <si>
    <t>6.74 ± 0.035</t>
    <phoneticPr fontId="2" type="noConversion"/>
  </si>
  <si>
    <t>4.23 ± 0.056</t>
    <phoneticPr fontId="2" type="noConversion"/>
  </si>
  <si>
    <t>5.51 ± 0.1</t>
    <phoneticPr fontId="2" type="noConversion"/>
  </si>
  <si>
    <t>7.66 ± 0.054</t>
    <phoneticPr fontId="2" type="noConversion"/>
  </si>
  <si>
    <t>9.89 ± 0.16</t>
    <phoneticPr fontId="2" type="noConversion"/>
  </si>
  <si>
    <t>17.1 ± 0.081</t>
    <phoneticPr fontId="2" type="noConversion"/>
  </si>
  <si>
    <t>16.7 ± 0.247</t>
    <phoneticPr fontId="2" type="noConversion"/>
  </si>
  <si>
    <t>21.4 ± 0.091</t>
    <phoneticPr fontId="2" type="noConversion"/>
  </si>
  <si>
    <t>47.1 ± 0.253</t>
    <phoneticPr fontId="2" type="noConversion"/>
  </si>
  <si>
    <t>6.42 ± 0.164</t>
    <phoneticPr fontId="2" type="noConversion"/>
  </si>
  <si>
    <t>4.17 ± 0.017</t>
    <phoneticPr fontId="2" type="noConversion"/>
  </si>
  <si>
    <t>2.92 ± 0.009</t>
    <phoneticPr fontId="2" type="noConversion"/>
  </si>
  <si>
    <t>2.07 ± 0.02</t>
    <phoneticPr fontId="2" type="noConversion"/>
  </si>
  <si>
    <t>1.39 ± 0.012</t>
    <phoneticPr fontId="2" type="noConversion"/>
  </si>
  <si>
    <t>0.625 ± 0.008</t>
    <phoneticPr fontId="2" type="noConversion"/>
  </si>
  <si>
    <t>0.431 ± 0.012</t>
    <phoneticPr fontId="2" type="noConversion"/>
  </si>
  <si>
    <t>7.29 ± 0.63</t>
    <phoneticPr fontId="2" type="noConversion"/>
  </si>
  <si>
    <t>9.13 ± 0.88</t>
    <phoneticPr fontId="2" type="noConversion"/>
  </si>
  <si>
    <t>0.474 ± 0.052</t>
    <phoneticPr fontId="2" type="noConversion"/>
  </si>
  <si>
    <t>0.391 ± 0.024</t>
    <phoneticPr fontId="2" type="noConversion"/>
  </si>
  <si>
    <t>0.446 ± 0.003</t>
    <phoneticPr fontId="2" type="noConversion"/>
  </si>
  <si>
    <t>0.645 ± 0.023</t>
    <phoneticPr fontId="2" type="noConversion"/>
  </si>
  <si>
    <t>10.9 ± 0.589</t>
    <phoneticPr fontId="2" type="noConversion"/>
  </si>
  <si>
    <t>1.52 ± 0.104</t>
    <phoneticPr fontId="2" type="noConversion"/>
  </si>
  <si>
    <t>1.75 ± 0.052</t>
    <phoneticPr fontId="2" type="noConversion"/>
  </si>
  <si>
    <t>1.98 ± 0.009</t>
    <phoneticPr fontId="2" type="noConversion"/>
  </si>
  <si>
    <t>0.412 ± 0.026</t>
    <phoneticPr fontId="2" type="noConversion"/>
  </si>
  <si>
    <t>0.393 ± 0.025</t>
    <phoneticPr fontId="2" type="noConversion"/>
  </si>
  <si>
    <t>0.525 ± 0.002</t>
    <phoneticPr fontId="2" type="noConversion"/>
  </si>
  <si>
    <t>0.675 ± 0.015</t>
    <phoneticPr fontId="2" type="noConversion"/>
  </si>
  <si>
    <t>0.843 ± 0.031</t>
    <phoneticPr fontId="2" type="noConversion"/>
  </si>
  <si>
    <t>0.306 ± 0.02</t>
    <phoneticPr fontId="2" type="noConversion"/>
  </si>
  <si>
    <t>1.02 ± 0.017</t>
    <phoneticPr fontId="2" type="noConversion"/>
  </si>
  <si>
    <t>1.56 ± 0.024</t>
    <phoneticPr fontId="2" type="noConversion"/>
  </si>
  <si>
    <t>2.01 ± 0.067</t>
    <phoneticPr fontId="2" type="noConversion"/>
  </si>
  <si>
    <t>3.4 ± 0.695</t>
    <phoneticPr fontId="2" type="noConversion"/>
  </si>
  <si>
    <t>4.97 ± 0.069</t>
    <phoneticPr fontId="2" type="noConversion"/>
  </si>
  <si>
    <t>5.04 ± 0.099</t>
    <phoneticPr fontId="2" type="noConversion"/>
  </si>
  <si>
    <t>169.82 ± 24.55</t>
    <phoneticPr fontId="2" type="noConversion"/>
  </si>
  <si>
    <t>207.98 ± 34.76</t>
    <phoneticPr fontId="2" type="noConversion"/>
  </si>
  <si>
    <t>8.23 ± 1.42</t>
    <phoneticPr fontId="2" type="noConversion"/>
  </si>
  <si>
    <t>10.85 ± 1.66</t>
    <phoneticPr fontId="2" type="noConversion"/>
  </si>
  <si>
    <t>1.50 ± 0.34</t>
    <phoneticPr fontId="2" type="noConversion"/>
  </si>
  <si>
    <t>1.17 ± 0.18</t>
    <phoneticPr fontId="2" type="noConversion"/>
  </si>
  <si>
    <t>21.2 ± 0.02</t>
    <phoneticPr fontId="2" type="noConversion"/>
  </si>
  <si>
    <t>9.13 ± 0.049</t>
    <phoneticPr fontId="2" type="noConversion"/>
  </si>
  <si>
    <t>9.2 ± 0.057</t>
    <phoneticPr fontId="2" type="noConversion"/>
  </si>
  <si>
    <t>6.94 ± 0.105</t>
    <phoneticPr fontId="2" type="noConversion"/>
  </si>
  <si>
    <t>10.5 ± 0.136</t>
    <phoneticPr fontId="2" type="noConversion"/>
  </si>
  <si>
    <t>1.39 ± 0.205</t>
    <phoneticPr fontId="2" type="noConversion"/>
  </si>
  <si>
    <t>0.779 ± 0.126</t>
    <phoneticPr fontId="2" type="noConversion"/>
  </si>
  <si>
    <t>0.297 ± 0.027</t>
    <phoneticPr fontId="2" type="noConversion"/>
  </si>
  <si>
    <t>4 ± 0.085</t>
    <phoneticPr fontId="2" type="noConversion"/>
  </si>
  <si>
    <t>1.1 ± 0.064</t>
    <phoneticPr fontId="2" type="noConversion"/>
  </si>
  <si>
    <t>3.42 ± 0.06</t>
    <phoneticPr fontId="2" type="noConversion"/>
  </si>
  <si>
    <t>2.42 ± 0.031</t>
    <phoneticPr fontId="2" type="noConversion"/>
  </si>
  <si>
    <t>8.14 ± 0.034</t>
    <phoneticPr fontId="2" type="noConversion"/>
  </si>
  <si>
    <t>8.66 ± 0.08</t>
    <phoneticPr fontId="2" type="noConversion"/>
  </si>
  <si>
    <t>17.2 ± 0.24</t>
    <phoneticPr fontId="2" type="noConversion"/>
  </si>
  <si>
    <t>11.2 ± 0.122</t>
    <phoneticPr fontId="2" type="noConversion"/>
  </si>
  <si>
    <t>12.2 ± 0.09</t>
    <phoneticPr fontId="2" type="noConversion"/>
  </si>
  <si>
    <t>10.9 ± 0.056</t>
    <phoneticPr fontId="2" type="noConversion"/>
  </si>
  <si>
    <t>序号</t>
  </si>
  <si>
    <t>化合物</t>
  </si>
  <si>
    <t>阈值 / (mg·L⁻¹)</t>
  </si>
  <si>
    <t>OAV (优级)</t>
  </si>
  <si>
    <t>OAV (一级)</t>
  </si>
  <si>
    <t>OAV (二级)</t>
  </si>
  <si>
    <t>OAV (丢糟)</t>
  </si>
  <si>
    <t>气味描述</t>
  </si>
  <si>
    <t>乙醚</t>
  </si>
  <si>
    <t>甜香</t>
  </si>
  <si>
    <t>青草香</t>
  </si>
  <si>
    <t>三聚甲醛</t>
  </si>
  <si>
    <t>糠醛</t>
  </si>
  <si>
    <t>坚果香</t>
  </si>
  <si>
    <t>羟基丙酮</t>
  </si>
  <si>
    <t>焦糖香</t>
  </si>
  <si>
    <t>乙偶姻</t>
  </si>
  <si>
    <t>奶油香</t>
  </si>
  <si>
    <t>正丙醇</t>
  </si>
  <si>
    <t>水果香</t>
  </si>
  <si>
    <t>丙二醇</t>
  </si>
  <si>
    <t>正丁醇</t>
  </si>
  <si>
    <t>菠萝香</t>
  </si>
  <si>
    <t>仲丁醇</t>
  </si>
  <si>
    <t>2,3-丁二醇</t>
  </si>
  <si>
    <t>玫瑰香</t>
  </si>
  <si>
    <t>正戊醇</t>
  </si>
  <si>
    <t>异戊醇</t>
  </si>
  <si>
    <t>仲戊醇</t>
  </si>
  <si>
    <t>花香</t>
  </si>
  <si>
    <t>正己醇</t>
  </si>
  <si>
    <t>脂肪香</t>
  </si>
  <si>
    <t>$\beta$-苯乙醇</t>
  </si>
  <si>
    <t>糠醇</t>
  </si>
  <si>
    <t>烘烤香</t>
  </si>
  <si>
    <t>频哪醇</t>
  </si>
  <si>
    <t>芳樟醇</t>
  </si>
  <si>
    <t>橙花醇</t>
  </si>
  <si>
    <t>$\alpha$-松油醇</t>
  </si>
  <si>
    <t>2 000</t>
  </si>
  <si>
    <t>松木香</t>
  </si>
  <si>
    <t>(-)-萜品-4-醇</t>
  </si>
  <si>
    <t>木香</t>
  </si>
  <si>
    <t>冰醋酸</t>
  </si>
  <si>
    <t>酸臭</t>
  </si>
  <si>
    <t>正丁酸</t>
  </si>
  <si>
    <t>汗臭</t>
  </si>
  <si>
    <t>异丁酸</t>
  </si>
  <si>
    <t>脂肪臭</t>
  </si>
  <si>
    <t>正戊酸</t>
  </si>
  <si>
    <t>窖泥臭</t>
  </si>
  <si>
    <t>DL-白氨酸乙酯</t>
  </si>
  <si>
    <t>已酸乙酯</t>
  </si>
  <si>
    <t>乳酸乙酯</t>
  </si>
  <si>
    <t>已酸丁酯</t>
  </si>
  <si>
    <t>梨香</t>
  </si>
  <si>
    <t>十四酸乙酯</t>
  </si>
  <si>
    <t>蜡香</t>
  </si>
  <si>
    <t>十五酸乙酯</t>
  </si>
  <si>
    <t>苯酚</t>
  </si>
  <si>
    <r>
      <rPr>
        <b/>
        <sz val="11"/>
        <color rgb="FF1F1F1F"/>
        <rFont val="等线"/>
        <family val="2"/>
        <charset val="134"/>
      </rPr>
      <t>浓度（</t>
    </r>
    <r>
      <rPr>
        <b/>
        <sz val="11"/>
        <color rgb="FF1F1F1F"/>
        <rFont val="Arial"/>
        <family val="2"/>
      </rPr>
      <t>mg/L</t>
    </r>
    <r>
      <rPr>
        <b/>
        <sz val="11"/>
        <color rgb="FF1F1F1F"/>
        <rFont val="等线"/>
        <family val="2"/>
        <charset val="134"/>
      </rPr>
      <t>）</t>
    </r>
    <phoneticPr fontId="2" type="noConversion"/>
  </si>
  <si>
    <t>化合物 (标准顺序)</t>
  </si>
  <si>
    <t>异戊酸乙酯 (3-甲基丁酸乙酯)</t>
  </si>
  <si>
    <t>NF</t>
  </si>
  <si>
    <t>2-羟基-4-甲基戊酸乙酯</t>
  </si>
  <si>
    <t>4-甲基戊酸乙酯/异己酸乙酯</t>
  </si>
  <si>
    <t>(E)-2-辛烯醛</t>
  </si>
  <si>
    <t>己酸异戊酯 (3-甲基丁基己酸酯)</t>
  </si>
  <si>
    <t>己酸甲酯</t>
  </si>
  <si>
    <t>己酸丁酯</t>
  </si>
  <si>
    <t>乙酸异戊酯</t>
  </si>
  <si>
    <t>1-己醇</t>
  </si>
  <si>
    <t>3-甲基-1-丁醇 (异戊醇)</t>
  </si>
  <si>
    <t>1-辛烯-3-醇</t>
  </si>
  <si>
    <t>异戊酸/3-甲基丁酸</t>
  </si>
  <si>
    <t>苯乙醛</t>
  </si>
  <si>
    <t>乙醛二乙缩醛</t>
  </si>
  <si>
    <t>3-羟基-2-丁酮</t>
  </si>
  <si>
    <t>2-(乙氧基甲基)呋喃</t>
  </si>
  <si>
    <t>4-乙基-2-甲氧基苯酚</t>
  </si>
  <si>
    <t>2-甲氧基-4-甲基苯酚</t>
  </si>
  <si>
    <t>$\gamma$-壬内酯</t>
  </si>
  <si>
    <t>乙酸丁酯</t>
  </si>
  <si>
    <t>异己酸 (4-甲基戊酸)</t>
  </si>
  <si>
    <t>乙酸苯乙酯</t>
  </si>
  <si>
    <t>异戊醛</t>
  </si>
  <si>
    <t>种类</t>
  </si>
  <si>
    <t>阈值 / (μg·L⁻¹)</t>
  </si>
  <si>
    <t>JZG-1</t>
  </si>
  <si>
    <t>JZ12-1</t>
  </si>
  <si>
    <t>CZ5-1</t>
  </si>
  <si>
    <t>JZB-1</t>
  </si>
  <si>
    <t>LZ1-1</t>
  </si>
  <si>
    <t>JZ109-1</t>
  </si>
  <si>
    <t>LZ2-1</t>
  </si>
  <si>
    <t>酯类</t>
  </si>
  <si>
    <t>醇类</t>
  </si>
  <si>
    <t>1-丁醇 (正丁醇)</t>
  </si>
  <si>
    <t>1-丙醇 (正丙醇)</t>
  </si>
  <si>
    <t>酸类</t>
  </si>
  <si>
    <t>醛类</t>
  </si>
  <si>
    <t>癸酸</t>
  </si>
  <si>
    <t>乙缩醛</t>
  </si>
  <si>
    <t>苯甲醛</t>
  </si>
  <si>
    <t>数据列1</t>
  </si>
  <si>
    <t>数据列2</t>
  </si>
  <si>
    <t>数据列3</t>
  </si>
  <si>
    <t>数据列4</t>
  </si>
  <si>
    <t>丙醛</t>
  </si>
  <si>
    <t>\</t>
  </si>
  <si>
    <t>丙酮</t>
  </si>
  <si>
    <t>2-戊酮</t>
  </si>
  <si>
    <t>己酸异戊酯</t>
  </si>
  <si>
    <t>丁二酸二乙酯</t>
  </si>
  <si>
    <t>月桂酸乙酯</t>
  </si>
  <si>
    <t>硬脂酸乙酯</t>
  </si>
  <si>
    <t>甲醇</t>
  </si>
  <si>
    <t>2-甲基丁醇</t>
  </si>
  <si>
    <t>1,2-丙二醇</t>
  </si>
  <si>
    <t>2-苯乙醇</t>
  </si>
  <si>
    <t>已酸</t>
  </si>
  <si>
    <t>四甲基吡嗪</t>
  </si>
  <si>
    <t>49.5 ± 3.113</t>
  </si>
  <si>
    <t>39.64 ± 10.4512</t>
  </si>
  <si>
    <t>33.68 ± 16.2578</t>
  </si>
  <si>
    <t>30.15 ± 1.2021</t>
  </si>
  <si>
    <t>3.85 ± 0.2121</t>
  </si>
  <si>
    <t>1.14 ± 0.493</t>
  </si>
  <si>
    <t>0.83 ± 0.2986</t>
  </si>
  <si>
    <t>2.1 ± 0.00</t>
  </si>
  <si>
    <t>14.4 ± 2.8284</t>
  </si>
  <si>
    <t>19.64 ± 13.1097</t>
  </si>
  <si>
    <t>2.38 ± 1.1295</t>
  </si>
  <si>
    <t>10.65 ± 4.879</t>
  </si>
  <si>
    <t>50.75 ± 4.5962</t>
  </si>
  <si>
    <t>23.42 ± 21.1853</t>
  </si>
  <si>
    <t>30.28 ± 10.1605</t>
  </si>
  <si>
    <t>29.3 ± 0.9899</t>
  </si>
  <si>
    <t>0.13 ± 0.173</t>
  </si>
  <si>
    <t>0.33 ± 0.3984</t>
  </si>
  <si>
    <t>0.02 ± 0.04</t>
  </si>
  <si>
    <t>0.007 ± 0.0042</t>
  </si>
  <si>
    <t>0.08 ± 0.147</t>
  </si>
  <si>
    <t>0.005 ± 0.0071</t>
  </si>
  <si>
    <t>2.3 ± 0.4243</t>
  </si>
  <si>
    <t>0.76 ± 0.2881</t>
  </si>
  <si>
    <t>1.68 ± 1.3598</t>
  </si>
  <si>
    <t>0.7 ± 0.00</t>
  </si>
  <si>
    <t>100 ± 45.3577</t>
  </si>
  <si>
    <t>92.96 ± 47.5253</t>
  </si>
  <si>
    <t>15.78 ± 8.7454</t>
  </si>
  <si>
    <t>65.65 ± 17.607</t>
  </si>
  <si>
    <t>0.2 ± 0.00</t>
  </si>
  <si>
    <t>0.26 ± 0.1571</t>
  </si>
  <si>
    <t>0.42 ± 0.6569</t>
  </si>
  <si>
    <t>0.18 ± 0.1697</t>
  </si>
  <si>
    <t>57.55 ± 3.8891</t>
  </si>
  <si>
    <t>35.72 ± 15.5981</t>
  </si>
  <si>
    <t>64.45 ± 6.3668</t>
  </si>
  <si>
    <t>60.9 ± 8.9095</t>
  </si>
  <si>
    <t>14.1 ± 0.8485</t>
  </si>
  <si>
    <t>9.26 ± 5.5815</t>
  </si>
  <si>
    <t>21.43 ± 3.7544</t>
  </si>
  <si>
    <t>21.05 ± 3.0406</t>
  </si>
  <si>
    <t>2.9 ± 0.1414</t>
  </si>
  <si>
    <t>1.02 ± 0.4868</t>
  </si>
  <si>
    <t>0.78 ± 0.3948</t>
  </si>
  <si>
    <t>1.65 ± 0.0707</t>
  </si>
  <si>
    <t>6.9 ± 0.7071</t>
  </si>
  <si>
    <t>4.06 ± 0.6427</t>
  </si>
  <si>
    <t>4.28 ± 1.5735</t>
  </si>
  <si>
    <t>4.2 ± 0.4243</t>
  </si>
  <si>
    <t>3.55 ± 0.495</t>
  </si>
  <si>
    <t>9.04 ± 3.7852</t>
  </si>
  <si>
    <t>1.13 ± 0.4425</t>
  </si>
  <si>
    <t>3.8 ± 1.4142</t>
  </si>
  <si>
    <t>175.85 ± 16.8999</t>
  </si>
  <si>
    <t>139.92 ± 21.8793</t>
  </si>
  <si>
    <t>145.13 ± 23.0884</t>
  </si>
  <si>
    <t>159.55 ± 26.2337</t>
  </si>
  <si>
    <t>3.5 ± 0.2828</t>
  </si>
  <si>
    <t>1.5 ± 0.5339</t>
  </si>
  <si>
    <t>1.21 ± 0.4277</t>
  </si>
  <si>
    <t>2.2 ± 0.00</t>
  </si>
  <si>
    <t>56.65 ± 5.7276</t>
  </si>
  <si>
    <t>63.36 ± 17.6676</t>
  </si>
  <si>
    <t>61.13 ± 12.2677</t>
  </si>
  <si>
    <t>94.5 ± 3.9598</t>
  </si>
  <si>
    <t>1.25 ± 0.0707</t>
  </si>
  <si>
    <t>0.56 ± 0.4326</t>
  </si>
  <si>
    <t>0.55 ± 0.3416</t>
  </si>
  <si>
    <t>0.015 ± 0.0071</t>
  </si>
  <si>
    <t>0.09 ± 0.0141</t>
  </si>
  <si>
    <t>0.046 ± 0.0385</t>
  </si>
  <si>
    <t>0.062 ± 0.0936</t>
  </si>
  <si>
    <t>0.06 ± 0.0141</t>
  </si>
  <si>
    <t>0.07 ± 0.00</t>
  </si>
  <si>
    <t>1 ± 0.9753</t>
  </si>
  <si>
    <t>1 ± 1.0985</t>
  </si>
  <si>
    <t>1.1 ± 1.4213</t>
  </si>
  <si>
    <t>0.12 ± 0.0767</t>
  </si>
  <si>
    <t>0.17 ± 0.055</t>
  </si>
  <si>
    <t>0.04 ± 0.0356</t>
  </si>
  <si>
    <t>0.04 ± 0.0401</t>
  </si>
  <si>
    <t>0.07 ± 0.0071</t>
  </si>
  <si>
    <t>0.01 ± 0.0064</t>
  </si>
  <si>
    <t>0.01 ± 0.0035</t>
  </si>
  <si>
    <t>0.01 ± 0.0016</t>
  </si>
  <si>
    <t>0.02 ± 0.0071</t>
  </si>
  <si>
    <t>0.02 ± 0.0198</t>
  </si>
  <si>
    <t>0.02 ± 0.0137</t>
  </si>
  <si>
    <t>0.02 ± 0.014</t>
  </si>
  <si>
    <t>0.03 ± 0.0071</t>
  </si>
  <si>
    <t>0.01 ± 0.042</t>
  </si>
  <si>
    <t>0.01 ± 0.0161</t>
  </si>
  <si>
    <t>0.03 ± 0.033</t>
  </si>
  <si>
    <t>0.01 ± 0.0049</t>
  </si>
  <si>
    <t>0.01 ± 0.0007</t>
  </si>
  <si>
    <t>0.002 ± 0.0045</t>
  </si>
  <si>
    <t>0.01 ± 0.0021</t>
  </si>
  <si>
    <t>0.0004 ± 0.0009</t>
  </si>
  <si>
    <t>0.003 ± 0.0014</t>
  </si>
  <si>
    <t>0.005 ± 0.0021</t>
  </si>
  <si>
    <t>23.45 ± 2.192</t>
  </si>
  <si>
    <t>10.54 ± 2.8395</t>
  </si>
  <si>
    <t>3.9 ± 5.6042</t>
  </si>
  <si>
    <t>15.45 ± 1.6263</t>
  </si>
  <si>
    <t>3.25 ± 0.2121</t>
  </si>
  <si>
    <t>2.74 ± 0.7765</t>
  </si>
  <si>
    <t>2.38 ± 1.3099</t>
  </si>
  <si>
    <t>3.25 ± 0.495</t>
  </si>
  <si>
    <t>14.55 ± 2.3335</t>
  </si>
  <si>
    <t>22.72 ± 8.5198</t>
  </si>
  <si>
    <t>8.08 ± 3.3925</t>
  </si>
  <si>
    <t>14.05 ± 2.4749</t>
  </si>
  <si>
    <t>10.75 ± 1.0607</t>
  </si>
  <si>
    <t>17.08 ± 6.9683</t>
  </si>
  <si>
    <t>4.1 ± 2.7362</t>
  </si>
  <si>
    <t>7.45 ± 0.6364</t>
  </si>
  <si>
    <t>5.45 ± 0.495</t>
  </si>
  <si>
    <t>3.86 ± 2.2744</t>
  </si>
  <si>
    <t>3.75 ± 3.3392</t>
  </si>
  <si>
    <t>9.1 ± 2.4042</t>
  </si>
  <si>
    <t>5.1 ± 0.1414</t>
  </si>
  <si>
    <t>2.98 ± 0.8758</t>
  </si>
  <si>
    <t>1.9 ± 1.0801</t>
  </si>
  <si>
    <t>3.5 ± 0.8485</t>
  </si>
  <si>
    <t>24.7 ± 1.1314</t>
  </si>
  <si>
    <t>29.84 ± 11.5305</t>
  </si>
  <si>
    <t>7.93 ± 4.4357</t>
  </si>
  <si>
    <t>18.3 ± 3.3941</t>
  </si>
  <si>
    <t>0.6 ± 0.00</t>
  </si>
  <si>
    <t>0.21 ± 0.1928</t>
  </si>
  <si>
    <t>0.2 ± 0.1438</t>
  </si>
  <si>
    <t>0.6 ± 0.2828</t>
  </si>
  <si>
    <t>4.3 ± 0.00</t>
  </si>
  <si>
    <t>3.9 ± 1.505</t>
  </si>
  <si>
    <t>3.95 ± 2.2398</t>
  </si>
  <si>
    <t>4.95 ± 1.0607</t>
  </si>
  <si>
    <t>0.85 ± 0.0707</t>
  </si>
  <si>
    <t>0.58 ± 0.228</t>
  </si>
  <si>
    <t>0.8 ± 0.2449</t>
  </si>
  <si>
    <t>0.85 ± 0.2121</t>
  </si>
  <si>
    <t>1.95 ± 0.0707</t>
  </si>
  <si>
    <t>0.81 ± 0.9073</t>
  </si>
  <si>
    <t>1.28 ± 0.7932</t>
  </si>
  <si>
    <t>3.25 ± 3.4648</t>
  </si>
  <si>
    <t>0.02 ± 0.00</t>
  </si>
  <si>
    <t>0.03 ± 0.0179</t>
  </si>
  <si>
    <t>0.01 ± 0.002</t>
  </si>
  <si>
    <t>0.03 ± 0.0311</t>
  </si>
  <si>
    <t>0.0012 ± 0.0027</t>
  </si>
  <si>
    <t>0.01 ± 0.02</t>
  </si>
  <si>
    <t>0.0525 ± 0.0672</t>
  </si>
  <si>
    <t>39.95 ± 2.192</t>
  </si>
  <si>
    <t>25.34 ± 9.3495</t>
  </si>
  <si>
    <t>49.18 ± 9.2705</t>
  </si>
  <si>
    <t>42.35 ± 7.566</t>
  </si>
  <si>
    <t>1.7 ± 0.1414</t>
  </si>
  <si>
    <t>0.76 ± 0.4561</t>
  </si>
  <si>
    <t>1.325 ± 0.25</t>
  </si>
  <si>
    <t>0.7 ± 0.1414</t>
  </si>
  <si>
    <t>0.5 ± 0.00</t>
  </si>
  <si>
    <t>0.28 ± 0.1095</t>
  </si>
  <si>
    <t>0.5 ± 0.0816</t>
  </si>
  <si>
    <t>0.35 ± 0.0707</t>
  </si>
  <si>
    <t>0.05 ± 0.0345</t>
  </si>
  <si>
    <t>0.03 ± 0.0277</t>
  </si>
  <si>
    <t>0.03 ± 0.0222</t>
  </si>
  <si>
    <t>3.95 ± 0.0707</t>
  </si>
  <si>
    <t>3.86 ± 0.5413</t>
  </si>
  <si>
    <t>6.65 ± 1.097</t>
  </si>
  <si>
    <t>5.75 ± 0.6364</t>
  </si>
  <si>
    <t>1.6 ± 0.1414</t>
  </si>
  <si>
    <t>1.08 ± 0.228</t>
  </si>
  <si>
    <t>1.175 ± 0.45</t>
  </si>
  <si>
    <t>1 ± 0.1414</t>
  </si>
  <si>
    <t>77.75 ± 9.9702</t>
  </si>
  <si>
    <t>67.54 ± 13.8983</t>
  </si>
  <si>
    <t>71.25 ± 9.2918</t>
  </si>
  <si>
    <t>69.3 ± 2.9698</t>
  </si>
  <si>
    <t>0.15 ± 0.2114</t>
  </si>
  <si>
    <t>0.1 ± 0.059</t>
  </si>
  <si>
    <t>0.06 ± 0.0413</t>
  </si>
  <si>
    <t>0.15 ± 0.0707</t>
  </si>
  <si>
    <t>0.0075 ± 0.0015</t>
  </si>
  <si>
    <t>0.14 ± 0.313</t>
  </si>
  <si>
    <t>1.5 ± 0.1414</t>
  </si>
  <si>
    <t>0.0015 ± 0.0021</t>
  </si>
  <si>
    <t>0.00004 ± 0.0001</t>
  </si>
  <si>
    <t>0.0005 ± 0.001</t>
  </si>
  <si>
    <t>0.0002 ± 0.0003</t>
  </si>
  <si>
    <t>1-己醇 (正己醇)</t>
  </si>
  <si>
    <t>乙醛二乙缩醛 (乙缩醛)</t>
  </si>
  <si>
    <t>gamma-壬内酯</t>
  </si>
  <si>
    <t>内标</t>
  </si>
  <si>
    <t>含量 A</t>
  </si>
  <si>
    <t>含量 B</t>
  </si>
  <si>
    <t>含量 C</t>
  </si>
  <si>
    <t>香味特征</t>
  </si>
  <si>
    <t>阈值</t>
  </si>
  <si>
    <t>OAV A</t>
  </si>
  <si>
    <t>OAV B</t>
  </si>
  <si>
    <t>OAV C</t>
  </si>
  <si>
    <t>IS1</t>
  </si>
  <si>
    <t>1111.86±1.06</t>
  </si>
  <si>
    <t>362.63±1.04</t>
  </si>
  <si>
    <t>572.5±0.23</t>
  </si>
  <si>
    <t>水果甜香</t>
  </si>
  <si>
    <t>乙酸异丁酯</t>
  </si>
  <si>
    <t>480.98±0.66</t>
  </si>
  <si>
    <t>55.19±1.08</t>
  </si>
  <si>
    <t>78.36±0.65</t>
  </si>
  <si>
    <t>香蕉香</t>
  </si>
  <si>
    <t>422.26±0.77</t>
  </si>
  <si>
    <t>146.55±1.61</t>
  </si>
  <si>
    <t>105.84±0.93</t>
  </si>
  <si>
    <t>306.21±0.91</t>
  </si>
  <si>
    <t>15.55±1.53</t>
  </si>
  <si>
    <t>46.56±0.83</t>
  </si>
  <si>
    <t>苹果香,菠萝香</t>
  </si>
  <si>
    <t>3116.48±0.62</t>
  </si>
  <si>
    <t>1070.73±1.29</t>
  </si>
  <si>
    <t>1223.34±0.70</t>
  </si>
  <si>
    <t>197.35±0.53</t>
  </si>
  <si>
    <t>121.72±1.18</t>
  </si>
  <si>
    <t>90.20±0.55</t>
  </si>
  <si>
    <t>苹果香</t>
  </si>
  <si>
    <t>1.85±1.78</t>
  </si>
  <si>
    <t>1.19±1.51</t>
  </si>
  <si>
    <t>1.67±0.80</t>
  </si>
  <si>
    <t>果香</t>
  </si>
  <si>
    <t>13.58±1.14</t>
  </si>
  <si>
    <t>5.92±1.13</t>
  </si>
  <si>
    <t>7.98±0.96</t>
  </si>
  <si>
    <t>9.30±0.81</t>
  </si>
  <si>
    <t>7.58±0.58</t>
  </si>
  <si>
    <t>18.86±0.94</t>
  </si>
  <si>
    <t>19.16±0.65</t>
  </si>
  <si>
    <t>4.97±1.35</t>
  </si>
  <si>
    <t>2.16±0.60</t>
  </si>
  <si>
    <t>香蕉香,葡萄香</t>
  </si>
  <si>
    <t>32.13±0.99</t>
  </si>
  <si>
    <t>5.09±1.40</t>
  </si>
  <si>
    <t>5.61±0.74</t>
  </si>
  <si>
    <t>乳酸丙酯</t>
  </si>
  <si>
    <t>12.23±0.90</t>
  </si>
  <si>
    <t>2.47±0.85</t>
  </si>
  <si>
    <t>9.19±0.88</t>
  </si>
  <si>
    <t>酸奶香</t>
  </si>
  <si>
    <t>己酸戊酯</t>
  </si>
  <si>
    <t>3.61±1.03</t>
  </si>
  <si>
    <t>1.25±1.18</t>
  </si>
  <si>
    <t>1.30±0.56</t>
  </si>
  <si>
    <t>1.95±0.82</t>
  </si>
  <si>
    <t>1.54±0.81</t>
  </si>
  <si>
    <t>1.61±0.41</t>
  </si>
  <si>
    <t>8.15±0.90</t>
  </si>
  <si>
    <t>2.89±0.30</t>
  </si>
  <si>
    <t>2.71±0.92</t>
  </si>
  <si>
    <t>2.44±0.58</t>
  </si>
  <si>
    <t>3.55±0.10</t>
  </si>
  <si>
    <t>1.83±1.15</t>
  </si>
  <si>
    <t>5.91±0.80</t>
  </si>
  <si>
    <t>7.43±0.97</t>
  </si>
  <si>
    <t>5.04±0.78</t>
  </si>
  <si>
    <t>辛酸辛酯</t>
  </si>
  <si>
    <t>18.19±0.72</t>
  </si>
  <si>
    <t>1.72±0.14</t>
  </si>
  <si>
    <t>2.76±0.78</t>
  </si>
  <si>
    <t>椰香,果香</t>
  </si>
  <si>
    <t>50.64±0.86</t>
  </si>
  <si>
    <t>27.39±0.78</t>
  </si>
  <si>
    <t>5.98±0.76</t>
  </si>
  <si>
    <t>十六酸乙酯</t>
  </si>
  <si>
    <t>105.15±1.60</t>
  </si>
  <si>
    <t>1.14±0.58</t>
  </si>
  <si>
    <t>6.38±0.78</t>
  </si>
  <si>
    <t>十七烷酸乙酯</t>
  </si>
  <si>
    <t>29.29±0.81</t>
  </si>
  <si>
    <t>3.61±0.21</t>
  </si>
  <si>
    <t>4.35±0.79</t>
  </si>
  <si>
    <t>亚油酸乙酯</t>
  </si>
  <si>
    <t>91.54±0.66</t>
  </si>
  <si>
    <t>83.69±0.75</t>
  </si>
  <si>
    <t>75.76±0.71</t>
  </si>
  <si>
    <t>亚麻酸乙酯</t>
  </si>
  <si>
    <t>30.78±0.93</t>
  </si>
  <si>
    <t>25.31±0.54</t>
  </si>
  <si>
    <t>326.76±0.88</t>
  </si>
  <si>
    <t>10.55±0.69</t>
  </si>
  <si>
    <t>15.50±1.00</t>
  </si>
  <si>
    <t>9.57±0.80</t>
  </si>
  <si>
    <t>甜香,焦香</t>
  </si>
  <si>
    <t>gamma-己内酯</t>
  </si>
  <si>
    <t>27.22±1.14</t>
  </si>
  <si>
    <t>9.95±0.84</t>
  </si>
  <si>
    <t>17.76±0.81</t>
  </si>
  <si>
    <t>甜香,奶香</t>
  </si>
  <si>
    <t>3-甲基丁醛二乙基缩醛</t>
  </si>
  <si>
    <t>16.95±1.13</t>
  </si>
  <si>
    <t>15.69±0.99</t>
  </si>
  <si>
    <t>7.38±0.81</t>
  </si>
  <si>
    <t>149.24±0.95</t>
  </si>
  <si>
    <t>154.06±1.69</t>
  </si>
  <si>
    <t>191.19±0.80</t>
  </si>
  <si>
    <t>果甜香,蔬菜香</t>
  </si>
  <si>
    <t>1.78±1.01</t>
  </si>
  <si>
    <t>1.28±1.13</t>
  </si>
  <si>
    <t>1.55±0.57</t>
  </si>
  <si>
    <t>樱桃香</t>
  </si>
  <si>
    <t>苯甲酸乙酯</t>
  </si>
  <si>
    <t>1.16±0.19</t>
  </si>
  <si>
    <t>0.28±0.06</t>
  </si>
  <si>
    <t>4.64±0.82</t>
  </si>
  <si>
    <t>4.64±0.17</t>
  </si>
  <si>
    <t>2.68±1.71</t>
  </si>
  <si>
    <t>4.48±0.82</t>
  </si>
  <si>
    <t>玫瑰花香</t>
  </si>
  <si>
    <t>5.31±0.75</t>
  </si>
  <si>
    <t>5.57±0.10</t>
  </si>
  <si>
    <t>9.76±0.79</t>
  </si>
  <si>
    <t>1.29±0.32</t>
  </si>
  <si>
    <t>0.29±0.09</t>
  </si>
  <si>
    <t>1.20±0.79</t>
  </si>
  <si>
    <t>烟熏香</t>
  </si>
  <si>
    <t>苯丙酸乙酯</t>
  </si>
  <si>
    <t>5.58±0.69</t>
  </si>
  <si>
    <t>1.32±0.19</t>
  </si>
  <si>
    <t>3.73±0.77</t>
  </si>
  <si>
    <t>花香,蜂蜜香</t>
  </si>
  <si>
    <t>苯乙醇</t>
  </si>
  <si>
    <t>3.11±1.28</t>
  </si>
  <si>
    <t>2.20±0.70</t>
  </si>
  <si>
    <t>3.37±0.54</t>
  </si>
  <si>
    <t>3.47±0.27</t>
  </si>
  <si>
    <t>1.37±0.95</t>
  </si>
  <si>
    <t>1.24±0.60</t>
  </si>
  <si>
    <t>熏肉香,青草香</t>
  </si>
  <si>
    <t>4-甲基苯酚</t>
  </si>
  <si>
    <t>0.81±0.28</t>
  </si>
  <si>
    <t>0.46±0.30</t>
  </si>
  <si>
    <t>0.35±0.24</t>
  </si>
  <si>
    <t>奶酪香</t>
  </si>
  <si>
    <t>4-乙基苯酚</t>
  </si>
  <si>
    <t>1.23±0.62</t>
  </si>
  <si>
    <t>0.65±0.49</t>
  </si>
  <si>
    <t>0.85±0.38</t>
  </si>
  <si>
    <t>IS2</t>
  </si>
  <si>
    <t>344.37±1.10</t>
  </si>
  <si>
    <t>253.23±0.25</t>
  </si>
  <si>
    <t>174.32±0.44</t>
  </si>
  <si>
    <t>2-甲基-1-丙醇</t>
  </si>
  <si>
    <t>58.15±1.41</t>
  </si>
  <si>
    <t>3.65±0.69</t>
  </si>
  <si>
    <t>4.46±0.52</t>
  </si>
  <si>
    <t>醚味,青草香</t>
  </si>
  <si>
    <t>208.73±0.98</t>
  </si>
  <si>
    <t>229.66±1.16</t>
  </si>
  <si>
    <t>110.95±0.70</t>
  </si>
  <si>
    <t>2-甲基-1-丁醇</t>
  </si>
  <si>
    <t>259.58±0.49</t>
  </si>
  <si>
    <t>186.78±1.03</t>
  </si>
  <si>
    <t>341.78±0.64</t>
  </si>
  <si>
    <t>3-甲基-1-丁醇</t>
  </si>
  <si>
    <t>699.72±0.74</t>
  </si>
  <si>
    <t>543.31±1.08</t>
  </si>
  <si>
    <t>1132.45±0.67</t>
  </si>
  <si>
    <t>麦芽,果香</t>
  </si>
  <si>
    <t>戊醇</t>
  </si>
  <si>
    <t>21.00±1.16</t>
  </si>
  <si>
    <t>19.22±1.29</t>
  </si>
  <si>
    <t>29.95±0.83</t>
  </si>
  <si>
    <t>己醇</t>
  </si>
  <si>
    <t>125.98±0.85</t>
  </si>
  <si>
    <t>120.10±1.21</t>
  </si>
  <si>
    <t>185.67±0.75</t>
  </si>
  <si>
    <t>青草香,粮香</t>
  </si>
  <si>
    <t>2-丁醇</t>
  </si>
  <si>
    <t>11.10±0.39</t>
  </si>
  <si>
    <t>5.33±0.94</t>
  </si>
  <si>
    <t>8.33±0.58</t>
  </si>
  <si>
    <t>2-戊醇</t>
  </si>
  <si>
    <t>357.00±0.42</t>
  </si>
  <si>
    <t>126.82±0.97</t>
  </si>
  <si>
    <t>209.25±0.57</t>
  </si>
  <si>
    <t>酒精香,果香</t>
  </si>
  <si>
    <t>正庚醇</t>
  </si>
  <si>
    <t>30.34±0.31</t>
  </si>
  <si>
    <t>23.21±1.18</t>
  </si>
  <si>
    <t>20.82±0.46</t>
  </si>
  <si>
    <t>IS3</t>
  </si>
  <si>
    <t>782.76±1.10</t>
  </si>
  <si>
    <t>1800.50±0.63</t>
  </si>
  <si>
    <t>1043.22±0.69</t>
  </si>
  <si>
    <t>醋酸香</t>
  </si>
  <si>
    <t>35.80±0.69</t>
  </si>
  <si>
    <t>24.90±1.05</t>
  </si>
  <si>
    <t>24.05±0.91</t>
  </si>
  <si>
    <t>41.05±0.63</t>
  </si>
  <si>
    <t>13.46±0.81</t>
  </si>
  <si>
    <t>14.62±0.74</t>
  </si>
  <si>
    <t>14.88±0.44</t>
  </si>
  <si>
    <t>9.16±1.18</t>
  </si>
  <si>
    <t>12.81±0.46</t>
  </si>
  <si>
    <t>325.17±1.32</t>
  </si>
  <si>
    <t>59.23±1.25</t>
  </si>
  <si>
    <t>70.24±0.47</t>
  </si>
  <si>
    <t>脂肪香,奶酪香</t>
  </si>
  <si>
    <t>11.22±0.36</t>
  </si>
  <si>
    <t>1.34±1.17</t>
  </si>
  <si>
    <t>1.10±0.70</t>
  </si>
  <si>
    <t>奶酪香,汗味</t>
  </si>
  <si>
    <t>7.91±1.12</t>
  </si>
  <si>
    <t>21.12±1.14</t>
  </si>
  <si>
    <t>20.60±0.65</t>
  </si>
  <si>
    <t>3-苯基丙酸乙酯 (苯丙酸乙酯)</t>
  </si>
  <si>
    <t>乙酸异戊酯 (乙酸异丁酯)</t>
  </si>
  <si>
    <t>棕榈酸乙酯 (十四酸乙酯)</t>
  </si>
  <si>
    <t>1-己醇 (己醇)</t>
  </si>
  <si>
    <t>异丁醇 (2-甲基-1-丙醇)</t>
  </si>
  <si>
    <t>4-乙基-2-甲氧基苯酚 (4-乙基愈创木酚)</t>
  </si>
  <si>
    <t>2-甲氧基-4-甲基苯酚 (4-甲基苯酚)</t>
  </si>
  <si>
    <t>异戊醛 (3-甲基丁醛二乙基缩醛)</t>
  </si>
  <si>
    <t>化合物名称</t>
  </si>
  <si>
    <t>L1 含量 / (mg/L)</t>
  </si>
  <si>
    <t>L2 含量 / (mg/L)</t>
  </si>
  <si>
    <t>丙酸乙酯</t>
  </si>
  <si>
    <t>叔戊醇</t>
  </si>
  <si>
    <t>4-甲基戊酸甲酯</t>
  </si>
  <si>
    <t>3-甲基戊酸甲酯</t>
  </si>
  <si>
    <t>2,4-二甲基-3-戊醇</t>
  </si>
  <si>
    <t>3-甲基丁酯戊酸</t>
  </si>
  <si>
    <t>活性戊醇</t>
  </si>
  <si>
    <t>丁酸丁酯</t>
  </si>
  <si>
    <t>异己酸乙酯</t>
  </si>
  <si>
    <t>醋酸</t>
  </si>
  <si>
    <t>2-甲基丁酸异戊酯</t>
  </si>
  <si>
    <t>异戊酸异戊酯</t>
  </si>
  <si>
    <t>戊酸-2-甲基丁酯</t>
  </si>
  <si>
    <t>2-辛酮</t>
  </si>
  <si>
    <t>己酸异丁酯</t>
  </si>
  <si>
    <t>2-己酸乙酯</t>
  </si>
  <si>
    <t>2-壬酮</t>
  </si>
  <si>
    <t>正戊酸异戊酯</t>
  </si>
  <si>
    <t>辛酸甲酯</t>
  </si>
  <si>
    <t>3-辛醇</t>
  </si>
  <si>
    <t>2-辛醇</t>
  </si>
  <si>
    <t>1-庚醇</t>
  </si>
  <si>
    <t>庚酸异丁酯</t>
  </si>
  <si>
    <t>3-糠醛</t>
  </si>
  <si>
    <t>2-癸酮</t>
  </si>
  <si>
    <t>癸醛</t>
  </si>
  <si>
    <t>丁酸庚酯</t>
  </si>
  <si>
    <t>2-壬醇</t>
  </si>
  <si>
    <t>辛酸丙酯</t>
  </si>
  <si>
    <t>2,3-丁二醇 (内)</t>
  </si>
  <si>
    <t>DL-2-羟基-4-甲基戊酸乙酯</t>
  </si>
  <si>
    <t>庚酸-3-甲丁酯</t>
  </si>
  <si>
    <t>2,3-丁二醇 (左)</t>
  </si>
  <si>
    <t>乳酸异戊酯</t>
  </si>
  <si>
    <t>2-十一酮</t>
  </si>
  <si>
    <t>2-呋喃羧酸乙酯</t>
  </si>
  <si>
    <t>辛酸丁酯</t>
  </si>
  <si>
    <t>1-壬醇</t>
  </si>
  <si>
    <t>辛酸异戊酯</t>
  </si>
  <si>
    <t>2-十一醇</t>
  </si>
  <si>
    <t>戊酸辛酯</t>
  </si>
  <si>
    <t>1-癸醇</t>
  </si>
  <si>
    <t>十一酸乙酯</t>
  </si>
  <si>
    <t>辛酸己酯</t>
  </si>
  <si>
    <t>苯甲醇</t>
  </si>
  <si>
    <t>异丁酸苯乙酯</t>
  </si>
  <si>
    <t>β-苯乙醇</t>
  </si>
  <si>
    <t>己酸-2-苯乙酯</t>
  </si>
  <si>
    <t>油酸乙酯</t>
  </si>
  <si>
    <t>2-羟基-4-甲基戊酸乙酯 (序号66)</t>
  </si>
  <si>
    <t>4-甲基戊酸乙酯/异己酸乙酯 (序号26)</t>
  </si>
  <si>
    <t>1-辛醇 (1-辛醇)</t>
  </si>
  <si>
    <t>乙酸 (醋酸)</t>
  </si>
  <si>
    <t>糠醇 (3-糠醛)</t>
  </si>
  <si>
    <t>丙酸 (丙酸乙酯)</t>
  </si>
  <si>
    <t>丁酸己酯 (序号24)</t>
  </si>
  <si>
    <r>
      <rPr>
        <sz val="11"/>
        <color rgb="FF1F1F1F"/>
        <rFont val="微软雅黑"/>
        <family val="2"/>
        <charset val="134"/>
      </rPr>
      <t>已酸乙酯</t>
    </r>
    <r>
      <rPr>
        <sz val="11"/>
        <color rgb="FF1F1F1F"/>
        <rFont val="Arial"/>
        <family val="2"/>
      </rPr>
      <t xml:space="preserve"> (</t>
    </r>
    <r>
      <rPr>
        <sz val="11"/>
        <color rgb="FF1F1F1F"/>
        <rFont val="微软雅黑"/>
        <family val="2"/>
        <charset val="134"/>
      </rPr>
      <t>已酸乙酯</t>
    </r>
    <r>
      <rPr>
        <sz val="11"/>
        <color rgb="FF1F1F1F"/>
        <rFont val="Arial"/>
        <family val="2"/>
      </rPr>
      <t>)</t>
    </r>
    <phoneticPr fontId="2" type="noConversion"/>
  </si>
  <si>
    <t>香气物质</t>
  </si>
  <si>
    <t>3.09 ± 1.22</t>
  </si>
  <si>
    <t>15.16 ± 4.93</t>
  </si>
  <si>
    <t>10.57 ± 6.13</t>
  </si>
  <si>
    <t>9.55 ± 4.87</t>
  </si>
  <si>
    <t>11.96 ± 5.33</t>
  </si>
  <si>
    <t>6.38 ± 1.77</t>
  </si>
  <si>
    <t>8.05 ± 3.73</t>
  </si>
  <si>
    <t>2.02 ± 1.76</t>
  </si>
  <si>
    <t>6.14 ± 0.16</t>
  </si>
  <si>
    <t>10.27 ± 4.21</t>
  </si>
  <si>
    <t>1.58 ± 0.63</t>
  </si>
  <si>
    <t>2.89 ± 1.74</t>
  </si>
  <si>
    <t>1.37 ± 0.67</t>
  </si>
  <si>
    <t>2.67 ± 1.11</t>
  </si>
  <si>
    <t>1.70 ± 0.98</t>
  </si>
  <si>
    <t>0.59 ± 0.33</t>
  </si>
  <si>
    <t>0.34 ± 0.08</t>
  </si>
  <si>
    <t>210 ± 52.43</t>
  </si>
  <si>
    <t>217.81 ± 49.80</t>
  </si>
  <si>
    <t>248.87 ± 58.98</t>
  </si>
  <si>
    <t>215.34 ± 49.36</t>
  </si>
  <si>
    <t>237.41 ± 56.39</t>
  </si>
  <si>
    <t>0.26 ± 0.18</t>
  </si>
  <si>
    <t>0.11 ± 0.07</t>
  </si>
  <si>
    <t>0.09 ± 0.03</t>
  </si>
  <si>
    <t>3-己烯酸乙酯</t>
  </si>
  <si>
    <t>0.08 ± 0.05</t>
  </si>
  <si>
    <t>戊酸丁酯</t>
  </si>
  <si>
    <t>0.23 ± 0.16</t>
  </si>
  <si>
    <t>1.18 ± 0.39</t>
  </si>
  <si>
    <t>0.31 ± 0.08</t>
  </si>
  <si>
    <t>0.24 ± 0.15</t>
  </si>
  <si>
    <t>1.08 ± 0.25</t>
  </si>
  <si>
    <t>1.07 ± 0.22</t>
  </si>
  <si>
    <t>10.13 ± 5.81</t>
  </si>
  <si>
    <t>8.6 ± 3.87</t>
  </si>
  <si>
    <t>8.71 ± 4.03</t>
  </si>
  <si>
    <t>21.82 ± 5.81</t>
  </si>
  <si>
    <t>15.36 ± 4.93</t>
  </si>
  <si>
    <t>0.99 ± 0.26</t>
  </si>
  <si>
    <t>反式-2-己烯酸乙酯</t>
  </si>
  <si>
    <t>0.23 ± 0.13</t>
  </si>
  <si>
    <t>0.40 ± 0.22</t>
  </si>
  <si>
    <t>2.3 ± 0.85</t>
  </si>
  <si>
    <t>4.14 ± 2.48</t>
  </si>
  <si>
    <t>3.95 ± 0.15</t>
  </si>
  <si>
    <t>1.25 ± 0.56</t>
  </si>
  <si>
    <t>1.61 ± 1.35</t>
  </si>
  <si>
    <t>4.61 ± 1.17</t>
  </si>
  <si>
    <t>0.70 ± 0.58</t>
  </si>
  <si>
    <t>0.48 ± 9.20</t>
  </si>
  <si>
    <t>6.99 ± 3.22</t>
  </si>
  <si>
    <t>5.00 ± 2.43</t>
  </si>
  <si>
    <t>26.32 ± 4.96</t>
  </si>
  <si>
    <t>6.25 ± 3.11</t>
  </si>
  <si>
    <t>26.59 ± 6.58</t>
  </si>
  <si>
    <t>64.11 ± 10.54</t>
  </si>
  <si>
    <t>0.78 ± 0.11</t>
  </si>
  <si>
    <t>0.65 ± 0.04</t>
  </si>
  <si>
    <t>11.43 ± 3.72</t>
  </si>
  <si>
    <t>1.32 ± 0.40</t>
  </si>
  <si>
    <t>0.55 ± 0.05</t>
  </si>
  <si>
    <t>3.35 ± 0.98</t>
  </si>
  <si>
    <t>2.59 ± 0.75</t>
  </si>
  <si>
    <t>0.92 ± 0.13</t>
  </si>
  <si>
    <t>0.39 ± 0.08</t>
  </si>
  <si>
    <t>0.32 ± 0.07</t>
  </si>
  <si>
    <t>1.59 ± 0.48</t>
  </si>
  <si>
    <t>2.41 ± 0.67</t>
  </si>
  <si>
    <t>辛酸-3-甲基丁酯</t>
  </si>
  <si>
    <t>7.76 ± 1.77</t>
  </si>
  <si>
    <t>0.51 ± 0.08</t>
  </si>
  <si>
    <t>5.11 ± 2.11</t>
  </si>
  <si>
    <t>0.51 ± 0.09</t>
  </si>
  <si>
    <t>15.59 ± 4.95</t>
  </si>
  <si>
    <t>3.52 ± 1.75</t>
  </si>
  <si>
    <t>2.74 ± 1.38</t>
  </si>
  <si>
    <t>23.07 ± 4.59</t>
  </si>
  <si>
    <t>37.95 ± 4.72</t>
  </si>
  <si>
    <t>4.67 ± 1.26</t>
  </si>
  <si>
    <t>2.27 ± 0.83</t>
  </si>
  <si>
    <t>1.77 ± 0.33</t>
  </si>
  <si>
    <t>8.41 ± 2.74</t>
  </si>
  <si>
    <t>10.27 ± 3.69</t>
  </si>
  <si>
    <t>反式-4-癸烯酸乙酯</t>
  </si>
  <si>
    <t>0.11 ± 0.08</t>
  </si>
  <si>
    <t>0.63 ± 0.21</t>
  </si>
  <si>
    <t>1.25 ± 0.11</t>
  </si>
  <si>
    <t>0.86 ± 0.16</t>
  </si>
  <si>
    <t>0.73 ± 0.25</t>
  </si>
  <si>
    <t>0.51 ± 0.14</t>
  </si>
  <si>
    <t>0.89 ± 0.21</t>
  </si>
  <si>
    <t>0.07 ± 0.01</t>
  </si>
  <si>
    <t>0.11 ± 0.04</t>
  </si>
  <si>
    <t>0.71 ± 0.17</t>
  </si>
  <si>
    <t>3.57 ± 1.06</t>
  </si>
  <si>
    <t>0.13 ± 0.06</t>
  </si>
  <si>
    <t>0.72 ± 0.26</t>
  </si>
  <si>
    <t>0.78 ± 0.32</t>
  </si>
  <si>
    <t>0.48 ± 0.16</t>
  </si>
  <si>
    <t>2.05 ± 0.88</t>
  </si>
  <si>
    <t>4.02 ± 0.65</t>
  </si>
  <si>
    <t>1.45 ± 0.43</t>
  </si>
  <si>
    <t>0.31 ± 0.17</t>
  </si>
  <si>
    <t>0.16 ± 0.04</t>
  </si>
  <si>
    <t>1.19 ± 0.47</t>
  </si>
  <si>
    <t>3.93 ± 1.28</t>
  </si>
  <si>
    <t>0.06 ± 0.02</t>
  </si>
  <si>
    <t>3-甲基丁醇</t>
  </si>
  <si>
    <t>0.51 ± 0.16</t>
  </si>
  <si>
    <t>1.52 ± 0.46</t>
  </si>
  <si>
    <t>0.34 ± 0.05</t>
  </si>
  <si>
    <t>1.16 ± 0.39</t>
  </si>
  <si>
    <t>0.13 ± 0.05</t>
  </si>
  <si>
    <t>0.08 ± 0.02</t>
  </si>
  <si>
    <t>0.46 ± 0.26</t>
  </si>
  <si>
    <t>0.70 ± 0.47</t>
  </si>
  <si>
    <t>0.97 ± 0.48</t>
  </si>
  <si>
    <t>0.74 ± 0.24</t>
  </si>
  <si>
    <t>0.54 ± 0.13</t>
  </si>
  <si>
    <t>0.46 ± 0.11</t>
  </si>
  <si>
    <t>7.9 ± 2.58</t>
  </si>
  <si>
    <t>8.36 ± 2.95</t>
  </si>
  <si>
    <t>5.40 ± 1.86</t>
  </si>
  <si>
    <t>5.57 ± 1.74</t>
  </si>
  <si>
    <t>10.18 ± 3.79</t>
  </si>
  <si>
    <t>0.2 ± 0.84</t>
  </si>
  <si>
    <t>0.31 ± 0.25</t>
  </si>
  <si>
    <t>0.24 ± 0.14</t>
  </si>
  <si>
    <t>0.34 ± 0.07</t>
  </si>
  <si>
    <t>0.45 ± 0.12</t>
  </si>
  <si>
    <t>0.46 ± 0.27</t>
  </si>
  <si>
    <t>0.47 ± 0.16</t>
  </si>
  <si>
    <t>0.24 ± 0.05</t>
  </si>
  <si>
    <t>1.08 ± 0.33</t>
  </si>
  <si>
    <t>1.96 ± 0.64</t>
  </si>
  <si>
    <t>壬酸</t>
  </si>
  <si>
    <t>0.2 ± 0.06</t>
  </si>
  <si>
    <t>0.39 ± 0.14</t>
  </si>
  <si>
    <t>1.31 ± 0.52</t>
  </si>
  <si>
    <t>0.13 ± 0.04</t>
  </si>
  <si>
    <t>0.08 ± 0.03</t>
  </si>
  <si>
    <t>0.28 ± 0.09</t>
  </si>
  <si>
    <t>0.40 ± 0.13</t>
  </si>
  <si>
    <t>1.8 ± 0.47</t>
  </si>
  <si>
    <t>壬醛</t>
  </si>
  <si>
    <t>0.17 ± 0.06</t>
  </si>
  <si>
    <t>0.27 ± 0.08</t>
  </si>
  <si>
    <t>1.84 ± 0.47</t>
  </si>
  <si>
    <t>1.64 ± 0.56</t>
  </si>
  <si>
    <t>1.86 ± 0.41</t>
  </si>
  <si>
    <t>2.10 ± 1.16</t>
  </si>
  <si>
    <t>7.95 ± 2.54</t>
  </si>
  <si>
    <t>0.59 ± 0.27</t>
  </si>
  <si>
    <t>0.31 ± 0.16</t>
  </si>
  <si>
    <t>0.40 ± 0.06</t>
  </si>
  <si>
    <t>2.23 ± 0.74</t>
  </si>
  <si>
    <t>0.17 ± 0.04</t>
  </si>
  <si>
    <t>0.09 ± 0.02</t>
  </si>
  <si>
    <t>1.32 ± 0.32</t>
  </si>
  <si>
    <t>2.73 ± 0.69</t>
  </si>
  <si>
    <t>2.74 ± 0.36</t>
  </si>
  <si>
    <t>0.27 ± 0.04</t>
  </si>
  <si>
    <t>0.46 ± 0.07</t>
  </si>
  <si>
    <t>1.09 ± 0.26</t>
  </si>
  <si>
    <t>1.05 ± 0.41</t>
  </si>
  <si>
    <t>萘</t>
  </si>
  <si>
    <t>0.20 ± 0.12</t>
  </si>
  <si>
    <t>0.23 ± 0.06</t>
  </si>
  <si>
    <t>0.48 ± 0.11</t>
  </si>
  <si>
    <t>1.14 ± 0.25</t>
  </si>
  <si>
    <t>1.88 ± 0.07</t>
  </si>
  <si>
    <r>
      <rPr>
        <b/>
        <sz val="11"/>
        <color rgb="FF1F1F1F"/>
        <rFont val="微软雅黑"/>
        <family val="2"/>
        <charset val="134"/>
      </rPr>
      <t>古井贡酒</t>
    </r>
    <r>
      <rPr>
        <b/>
        <sz val="11"/>
        <color rgb="FF1F1F1F"/>
        <rFont val="Arial"/>
        <family val="2"/>
      </rPr>
      <t>mg</t>
    </r>
    <r>
      <rPr>
        <b/>
        <sz val="11"/>
        <color rgb="FF1F1F1F"/>
        <rFont val="Arial"/>
        <family val="2"/>
        <charset val="134"/>
      </rPr>
      <t>/L</t>
    </r>
    <phoneticPr fontId="2" type="noConversion"/>
  </si>
  <si>
    <r>
      <rPr>
        <b/>
        <sz val="11"/>
        <color rgb="FF1F1F1F"/>
        <rFont val="微软雅黑"/>
        <family val="2"/>
        <charset val="134"/>
      </rPr>
      <t>红星二锅头</t>
    </r>
    <r>
      <rPr>
        <b/>
        <sz val="11"/>
        <color rgb="FF1F1F1F"/>
        <rFont val="Arial"/>
        <family val="2"/>
      </rPr>
      <t>mg/L</t>
    </r>
    <phoneticPr fontId="2" type="noConversion"/>
  </si>
  <si>
    <r>
      <rPr>
        <b/>
        <sz val="11"/>
        <color rgb="FF1F1F1F"/>
        <rFont val="微软雅黑"/>
        <family val="2"/>
        <charset val="134"/>
      </rPr>
      <t>牛栏山</t>
    </r>
    <r>
      <rPr>
        <b/>
        <sz val="11"/>
        <color rgb="FF1F1F1F"/>
        <rFont val="Arial"/>
        <family val="2"/>
      </rPr>
      <t>mg/L</t>
    </r>
    <phoneticPr fontId="2" type="noConversion"/>
  </si>
  <si>
    <r>
      <rPr>
        <b/>
        <sz val="11"/>
        <color rgb="FF1F1F1F"/>
        <rFont val="微软雅黑"/>
        <family val="2"/>
        <charset val="134"/>
      </rPr>
      <t>银装青酒</t>
    </r>
    <r>
      <rPr>
        <b/>
        <sz val="11"/>
        <color rgb="FF1F1F1F"/>
        <rFont val="Arial"/>
        <family val="2"/>
      </rPr>
      <t>mg/L</t>
    </r>
    <phoneticPr fontId="2" type="noConversion"/>
  </si>
  <si>
    <r>
      <rPr>
        <b/>
        <sz val="11"/>
        <color rgb="FF1F1F1F"/>
        <rFont val="微软雅黑"/>
        <family val="2"/>
        <charset val="134"/>
      </rPr>
      <t>洋河大曲</t>
    </r>
    <r>
      <rPr>
        <b/>
        <sz val="11"/>
        <color rgb="FF1F1F1F"/>
        <rFont val="Arial"/>
        <family val="2"/>
      </rPr>
      <t>mg/L</t>
    </r>
    <phoneticPr fontId="2" type="noConversion"/>
  </si>
  <si>
    <t>乙酸异戊酯 (己酸异丁酯等)</t>
  </si>
  <si>
    <t>棕榈酸乙酯 (月桂酸乙酯等)</t>
  </si>
  <si>
    <t>3-甲基-1-丁醇 (3-甲基丁醇)</t>
  </si>
  <si>
    <t>苯乙醛 (苯甲醛等代用)</t>
  </si>
  <si>
    <r>
      <rPr>
        <b/>
        <sz val="11"/>
        <color rgb="FF1F1F1F"/>
        <rFont val="微软雅黑"/>
        <family val="2"/>
        <charset val="134"/>
      </rPr>
      <t>含量</t>
    </r>
    <r>
      <rPr>
        <b/>
        <sz val="11"/>
        <color rgb="FF1F1F1F"/>
        <rFont val="Arial"/>
        <family val="2"/>
      </rPr>
      <t xml:space="preserve"> Amg/L</t>
    </r>
    <phoneticPr fontId="2" type="noConversion"/>
  </si>
  <si>
    <r>
      <rPr>
        <b/>
        <sz val="11"/>
        <color rgb="FF1F1F1F"/>
        <rFont val="微软雅黑"/>
        <family val="2"/>
        <charset val="134"/>
      </rPr>
      <t>含量</t>
    </r>
    <r>
      <rPr>
        <b/>
        <sz val="11"/>
        <color rgb="FF1F1F1F"/>
        <rFont val="Arial"/>
        <family val="2"/>
      </rPr>
      <t xml:space="preserve"> Bmg/L</t>
    </r>
    <phoneticPr fontId="2" type="noConversion"/>
  </si>
  <si>
    <r>
      <rPr>
        <b/>
        <sz val="11"/>
        <color rgb="FF1F1F1F"/>
        <rFont val="微软雅黑"/>
        <family val="2"/>
        <charset val="134"/>
      </rPr>
      <t>含量</t>
    </r>
    <r>
      <rPr>
        <b/>
        <sz val="11"/>
        <color rgb="FF1F1F1F"/>
        <rFont val="Arial"/>
        <family val="2"/>
      </rPr>
      <t xml:space="preserve"> Cmg/L</t>
    </r>
    <phoneticPr fontId="2" type="noConversion"/>
  </si>
  <si>
    <t>微量成分</t>
  </si>
  <si>
    <t>质量浓度 A / (μg/L)</t>
  </si>
  <si>
    <t>质量浓度 C / (μg/L)</t>
  </si>
  <si>
    <t>64412.40 ± 1936.77</t>
  </si>
  <si>
    <t>103564.41 ± 4159.05</t>
  </si>
  <si>
    <t>36729.23 ± 148.70</t>
  </si>
  <si>
    <t>40968.91 ± 642.17</t>
  </si>
  <si>
    <t>3-甲基丁酸</t>
  </si>
  <si>
    <t>/</t>
  </si>
  <si>
    <t>8964.69 ± 86.94</t>
  </si>
  <si>
    <t>12703.48 ± 148.37</t>
  </si>
  <si>
    <t>1382.73 ± 115.11</t>
  </si>
  <si>
    <t>1858.68 ± 94.50</t>
  </si>
  <si>
    <t>226308.26 ± 2886.96</t>
  </si>
  <si>
    <t>427017.24 ± 8810.19</t>
  </si>
  <si>
    <t>12408.06 ± 36.16</t>
  </si>
  <si>
    <t>21471.00 ± 1021.91</t>
  </si>
  <si>
    <t>59538.62 ± 295.32</t>
  </si>
  <si>
    <t>132495.72 ± 3304.17</t>
  </si>
  <si>
    <t>4586.86 ± 176.73</t>
  </si>
  <si>
    <t>5830.89 ± 99.00</t>
  </si>
  <si>
    <t>2-甲基丙醇</t>
  </si>
  <si>
    <t>5793.99 ± 160.03</t>
  </si>
  <si>
    <t>9703.70 ± 420.11</t>
  </si>
  <si>
    <t>2725.32 ± 31.59</t>
  </si>
  <si>
    <t>3490.17 ± 56.28</t>
  </si>
  <si>
    <t>丁醇</t>
  </si>
  <si>
    <t>8161.91 ± 187.32</t>
  </si>
  <si>
    <t>45204.25 ± 200.77</t>
  </si>
  <si>
    <t>41048.11 ± 537.65</t>
  </si>
  <si>
    <t>2592.61 ± 170.63</t>
  </si>
  <si>
    <t>2-庚醇</t>
  </si>
  <si>
    <t>27985.59 ± 395.51</t>
  </si>
  <si>
    <t>21231.22 ± 1242.38</t>
  </si>
  <si>
    <t>543.40 ± 15.12</t>
  </si>
  <si>
    <t>489.58 ± 45.02</t>
  </si>
  <si>
    <t>庚醇</t>
  </si>
  <si>
    <t>149.51 ± 9.85</t>
  </si>
  <si>
    <t>辛醇</t>
  </si>
  <si>
    <t>1639.61 ± 160.43</t>
  </si>
  <si>
    <t>1644.91 ± 105.00</t>
  </si>
  <si>
    <t>79466.37 ± 2662.40</t>
  </si>
  <si>
    <t>72175.46 ± 5161.84</t>
  </si>
  <si>
    <t>3087.77 ± 132.83</t>
  </si>
  <si>
    <t>6190.69 ± 397.92</t>
  </si>
  <si>
    <t>2-甲基丙酸乙酯</t>
  </si>
  <si>
    <t>17584.79 ± 108.46</t>
  </si>
  <si>
    <t>25026.57 ± 1039.49</t>
  </si>
  <si>
    <t>2755.57 ± 143.50</t>
  </si>
  <si>
    <t>2844.66 ± 84.40</t>
  </si>
  <si>
    <t>105126.62 ± 529.95</t>
  </si>
  <si>
    <t>116634.97 ± 5948.82</t>
  </si>
  <si>
    <t>7203.41 ± 162.24</t>
  </si>
  <si>
    <t>10447.85 ± 287.81</t>
  </si>
  <si>
    <t>3-甲基丁酸乙酯</t>
  </si>
  <si>
    <t>12298.05 ± 219.24</t>
  </si>
  <si>
    <t>14449.75 ± 380.04</t>
  </si>
  <si>
    <t>7452.88 ± 731.50</t>
  </si>
  <si>
    <t>7464.67 ± 147.87</t>
  </si>
  <si>
    <t>46295.73 ± 533.58</t>
  </si>
  <si>
    <t>74360.69 ± 1419.55</t>
  </si>
  <si>
    <t>丁酸异丁酯</t>
  </si>
  <si>
    <t>1166.51 ± 64.70</t>
  </si>
  <si>
    <t>1781.10 ± 8.38</t>
  </si>
  <si>
    <t>3234.25 ± 269.04</t>
  </si>
  <si>
    <t>5132.67 ± 114.83</t>
  </si>
  <si>
    <t>2886.38 ± 51.22</t>
  </si>
  <si>
    <t>1615.60 ± 23.05</t>
  </si>
  <si>
    <t>342984.44 ± 3391.78</t>
  </si>
  <si>
    <t>533102.51 ± 9546.24</t>
  </si>
  <si>
    <t>504390.55 ± 8279.62</t>
  </si>
  <si>
    <t>1313.93 ± 58.57</t>
  </si>
  <si>
    <t>2940.24 ± 88.20</t>
  </si>
  <si>
    <t>2279.45 ± 58.04</t>
  </si>
  <si>
    <t>1659.84 ± 181.83</t>
  </si>
  <si>
    <t>1533.95 ± 103.84</t>
  </si>
  <si>
    <t>2288.24 ± 71.76</t>
  </si>
  <si>
    <t>9891.43 ± 416.71</t>
  </si>
  <si>
    <t>35048.17 ± 781.30</t>
  </si>
  <si>
    <t>18625.05 ± 332.32</t>
  </si>
  <si>
    <t>27850.02 ± 156.15</t>
  </si>
  <si>
    <t>7867.01 ± 624.26</t>
  </si>
  <si>
    <t>36132.93 ± 1926.30</t>
  </si>
  <si>
    <t>9426.49 ± 259.64</t>
  </si>
  <si>
    <t>44087.13 ± 2094.47</t>
  </si>
  <si>
    <t>14458.47 ± 441.92</t>
  </si>
  <si>
    <t>279.21 ± 18.44</t>
  </si>
  <si>
    <t>512.73 ± 27.60</t>
  </si>
  <si>
    <t>470.76 ± 5.27</t>
  </si>
  <si>
    <t>5829.38 ± 95.27</t>
  </si>
  <si>
    <t>496.51 ± 23.91</t>
  </si>
  <si>
    <t>177.70 ± 13.57</t>
  </si>
  <si>
    <t>2137.61 ± 38.59</t>
  </si>
  <si>
    <t>168.50 ± 21.64</t>
  </si>
  <si>
    <t>828.14 ± 68.23</t>
  </si>
  <si>
    <t>433.36 ± 42.28</t>
  </si>
  <si>
    <t>2473.49 ± 126.14</t>
  </si>
  <si>
    <t>1646.45 ± 162.08</t>
  </si>
  <si>
    <t>340.61 ± 62.28</t>
  </si>
  <si>
    <t>418.09 ± 15.47</t>
  </si>
  <si>
    <t>318.39 ± 21.50</t>
  </si>
  <si>
    <t>6205.59 ± 46.23</t>
  </si>
  <si>
    <t>21204.57 ± 1200.46</t>
  </si>
  <si>
    <t>19391.71 ± 598.21</t>
  </si>
  <si>
    <t>481.37 ± 29.07</t>
  </si>
  <si>
    <t>182.51 ± 6.15</t>
  </si>
  <si>
    <t>370.92 ± 18.17</t>
  </si>
  <si>
    <t>1930.28 ± 57.19</t>
  </si>
  <si>
    <t>1069.83 ± 50.89</t>
  </si>
  <si>
    <t>3447.45 ± 101.44</t>
  </si>
  <si>
    <t>268.73 ± 25.52</t>
  </si>
  <si>
    <t>92.11 ± 6.37</t>
  </si>
  <si>
    <t>200.87 ± 42.35</t>
  </si>
  <si>
    <t>3-苯丙酸乙酯</t>
  </si>
  <si>
    <t>5573.65 ± 120.47</t>
  </si>
  <si>
    <t>3827.99 ± 127.51</t>
  </si>
  <si>
    <t>8631.73 ± 514.69</t>
  </si>
  <si>
    <t>824.81 ± 34.35</t>
  </si>
  <si>
    <t>473.00 ± 19.44</t>
  </si>
  <si>
    <t>1360.33 ± 116.76</t>
  </si>
  <si>
    <t>苯甲酸</t>
  </si>
  <si>
    <t>2083.01 ± 35.19</t>
  </si>
  <si>
    <t>1151.60 ± 139.66</t>
  </si>
  <si>
    <t>1108.82 ± 74.24</t>
  </si>
  <si>
    <t>8899.00 ± 379.30</t>
  </si>
  <si>
    <t>8069.25 ± 261.89</t>
  </si>
  <si>
    <t>16716.76 ± 491.69</t>
  </si>
  <si>
    <t>3158.46 ± 96.55</t>
  </si>
  <si>
    <t>657.46 ± 88.98</t>
  </si>
  <si>
    <t>5809.69 ± 490.50</t>
  </si>
  <si>
    <t>己酸乙酯 (序号35)</t>
  </si>
  <si>
    <t>异戊酸乙酯 (序号12)</t>
  </si>
  <si>
    <t>NF (原图12为2-戊醇)</t>
  </si>
  <si>
    <t>丁酸乙酯 (序号26)</t>
  </si>
  <si>
    <t>乙酸乙酯 (序号22)</t>
  </si>
  <si>
    <t>辛酸乙酯 (序号48)</t>
  </si>
  <si>
    <t>戊酸乙酯 (序号30)</t>
  </si>
  <si>
    <t>庚酸乙酯 (序号41)</t>
  </si>
  <si>
    <t>乳酸乙酯 (序号42)</t>
  </si>
  <si>
    <t>4-甲基戊酸乙酯 (序号33)</t>
  </si>
  <si>
    <t>己酸甲酯 (序号32)</t>
  </si>
  <si>
    <t>己酸己酯 (序号55)</t>
  </si>
  <si>
    <t>己酸丁酯 (序号14等代用)</t>
  </si>
  <si>
    <t>45204.25 (3-甲基丁醇)</t>
  </si>
  <si>
    <t>3-苯基丙酸乙酯 (序号71)</t>
  </si>
  <si>
    <t>苯乙酸乙酯 (序号69)</t>
  </si>
  <si>
    <t>乙酸异戊酯 (序号29)</t>
  </si>
  <si>
    <t>棕榈酸乙酯 (序号64)</t>
  </si>
  <si>
    <t>丁酸异戊酯 (序号36)</t>
  </si>
  <si>
    <t>1-丁醇 (序号13)</t>
  </si>
  <si>
    <t>1-己醇 (序号17)</t>
  </si>
  <si>
    <t>3-甲基-1-丁醇 (序号14)</t>
  </si>
  <si>
    <t>1-辛醇 (序号21)</t>
  </si>
  <si>
    <t>1-丙醇 (序号11代用)</t>
  </si>
  <si>
    <t>5793.99 (2-甲基丙醇)</t>
  </si>
  <si>
    <t>异丁醇 (序号11)</t>
  </si>
  <si>
    <t>己酸 (序号6)</t>
  </si>
  <si>
    <t>异丁酸 (序号24代用)</t>
  </si>
  <si>
    <t>戊酸 (序号4)</t>
  </si>
  <si>
    <t>辛酸 (序号8)</t>
  </si>
  <si>
    <t>庚酸 (序号7)</t>
  </si>
  <si>
    <t>丁酸 (序号2)</t>
  </si>
  <si>
    <t>乙酸 (序号1)</t>
  </si>
  <si>
    <t>4-甲基戊酸 (序号5)</t>
  </si>
  <si>
    <t>异戊酸/3-甲基丁酸 (序号3)</t>
  </si>
  <si>
    <t>苯乙醛 (序号66)</t>
  </si>
  <si>
    <t>乙醛 (序号81代用)</t>
  </si>
  <si>
    <t>NF (原图81为2-甲基丙醛)</t>
  </si>
  <si>
    <t>糠醛 (序号94)</t>
  </si>
  <si>
    <t>乙醛二乙缩醛 (序号92代用)</t>
  </si>
  <si>
    <t>2-庚酮 (序号85)</t>
  </si>
  <si>
    <t>1677.37 ± 95.07</t>
  </si>
  <si>
    <t>2312.46 ± 51.94</t>
  </si>
  <si>
    <t>二甲基三硫醚 (序号90代用)</t>
  </si>
  <si>
    <t>67.87 ± 4.52</t>
  </si>
  <si>
    <t>112.26 ± 4.10</t>
  </si>
  <si>
    <t>97.87 ± 3.88</t>
  </si>
  <si>
    <t>糠醇 (序号94)</t>
  </si>
  <si>
    <t>乙酸丁酯 (序号11)</t>
  </si>
  <si>
    <t>异丁酸乙酯 (序号24代用)</t>
  </si>
  <si>
    <t>2-甲基丁酸乙酯 (序号27)</t>
  </si>
  <si>
    <t>对甲酚 (序号74)</t>
  </si>
  <si>
    <t>446.96 ± 27.06</t>
  </si>
  <si>
    <t>357.83 ± 79.37</t>
  </si>
  <si>
    <t>540.11 ± 35.36</t>
  </si>
  <si>
    <t>异己酸</t>
  </si>
  <si>
    <t>乙酸苯乙酯 (序号70)</t>
  </si>
  <si>
    <t>丙酸 (序号23代用)</t>
  </si>
  <si>
    <t>3087.77 (丙酸乙酯)</t>
  </si>
  <si>
    <t>异戊醛 (序号82代用)</t>
  </si>
  <si>
    <t>4289.71 (2-甲基丁醛)</t>
  </si>
  <si>
    <t>己醛 (序号81代用)</t>
  </si>
  <si>
    <t>3412.52 (2-甲基丙醛)</t>
  </si>
  <si>
    <t>乙酸己酯 (序号37)</t>
  </si>
  <si>
    <t>癸酸乙酯 (序号56)</t>
  </si>
  <si>
    <t>壬酸乙酯 (序号53)</t>
  </si>
  <si>
    <t>X0​</t>
  </si>
  <si>
    <t>X1​</t>
  </si>
  <si>
    <t>X3​</t>
  </si>
  <si>
    <t>X5​</t>
  </si>
  <si>
    <t>X8​</t>
  </si>
  <si>
    <t>酯类物质</t>
  </si>
  <si>
    <t>4782.47 ± 419.42</t>
  </si>
  <si>
    <t>4429.18 ± 408.37</t>
  </si>
  <si>
    <t>2674.13 ± 215.80</t>
  </si>
  <si>
    <t>2841.03 ± 350.02</t>
  </si>
  <si>
    <t>3044.75 ± 110.83</t>
  </si>
  <si>
    <t>1643.79 ± 187.06</t>
  </si>
  <si>
    <t>1976.41 ± 130.05</t>
  </si>
  <si>
    <t>721.98 ± 73.06</t>
  </si>
  <si>
    <t>790.06 ± 29.23</t>
  </si>
  <si>
    <t>837.21 ± 50.15</t>
  </si>
  <si>
    <t>308.73 ± 27.10</t>
  </si>
  <si>
    <t>384.98 ± 43.39</t>
  </si>
  <si>
    <t>84.16 ± 5.98</t>
  </si>
  <si>
    <t>253.24 ± 13.57</t>
  </si>
  <si>
    <t>247.28 ± 25.64</t>
  </si>
  <si>
    <t>474.73 ± 48.94</t>
  </si>
  <si>
    <t>385.91 ± 42.31</t>
  </si>
  <si>
    <t>758.70 ± 26.93</t>
  </si>
  <si>
    <t>599.95 ± 16.86</t>
  </si>
  <si>
    <t>605.50 ± 20.28</t>
  </si>
  <si>
    <t>甲酸乙酯</t>
  </si>
  <si>
    <t>7.88 ± 0.65</t>
  </si>
  <si>
    <t>8.49 ± 0.35</t>
  </si>
  <si>
    <t>2.76 ± 0.17</t>
  </si>
  <si>
    <t>6.57 ± 0.39</t>
  </si>
  <si>
    <t>6.10 ± 0.37</t>
  </si>
  <si>
    <t>4.93 ± 0.27</t>
  </si>
  <si>
    <t>6.29 ± 0.47</t>
  </si>
  <si>
    <t>10.78 ± 0.40</t>
  </si>
  <si>
    <t>12.62 ± 0.58</t>
  </si>
  <si>
    <t>2.99 ± 0.17</t>
  </si>
  <si>
    <t>3.94 ± 0.34</t>
  </si>
  <si>
    <t>7.98 ± 0.72</t>
  </si>
  <si>
    <t>7.90 ± 0.62</t>
  </si>
  <si>
    <t>8.72 ± 0.81</t>
  </si>
  <si>
    <t>3.13 ± 0.32</t>
  </si>
  <si>
    <t>4.10 ± 0.34</t>
  </si>
  <si>
    <t>5.73 ± 0.41</t>
  </si>
  <si>
    <t>17.51 ± 2.05</t>
  </si>
  <si>
    <t>17.40 ± 1.51</t>
  </si>
  <si>
    <t>7.78 ± 0.52</t>
  </si>
  <si>
    <t>3.60 ± 0.32</t>
  </si>
  <si>
    <t>5.42 ± 0.53</t>
  </si>
  <si>
    <t>376.55 ± 27.68</t>
  </si>
  <si>
    <t>343.15 ± 31.40</t>
  </si>
  <si>
    <t>94.67 ± 3.30</t>
  </si>
  <si>
    <t>83.73 ± 7.53</t>
  </si>
  <si>
    <t>127.85 ± 12.23</t>
  </si>
  <si>
    <t>7.08 ± 0.31</t>
  </si>
  <si>
    <t>8.09 ± 0.56</t>
  </si>
  <si>
    <t>1.88 ± 0.14</t>
  </si>
  <si>
    <t>2.19 ± 0.11</t>
  </si>
  <si>
    <t>2.63 ± 0.25</t>
  </si>
  <si>
    <t>3-甲基戊酸乙酯</t>
  </si>
  <si>
    <t>7.29 ± 0.22</t>
  </si>
  <si>
    <t>8.11 ± 0.67</t>
  </si>
  <si>
    <t>4.35 ± 0.53</t>
  </si>
  <si>
    <t>4.56 ± 0.53</t>
  </si>
  <si>
    <t>5.26 ± 0.25</t>
  </si>
  <si>
    <t>4.76 ± 0.40</t>
  </si>
  <si>
    <t>5.48 ± 0.12</t>
  </si>
  <si>
    <t>0.94 ± 0.08</t>
  </si>
  <si>
    <t>36.83 ± 3.56</t>
  </si>
  <si>
    <t>32.81 ± 1.17</t>
  </si>
  <si>
    <t>11.20 ± 0.76</t>
  </si>
  <si>
    <t>6.31 ± 0.34</t>
  </si>
  <si>
    <t>9.03 ± 0.78</t>
  </si>
  <si>
    <t>4.05 ± 0.11</t>
  </si>
  <si>
    <t>1.05 ± 0.09</t>
  </si>
  <si>
    <t>1.11 ± 0.04</t>
  </si>
  <si>
    <t>54.43 ± 5.44</t>
  </si>
  <si>
    <t>48.74 ± 2.94</t>
  </si>
  <si>
    <t>14.41 ± 0.82</t>
  </si>
  <si>
    <t>9.41 ± 0.23</t>
  </si>
  <si>
    <t>10.51 ± 0.77</t>
  </si>
  <si>
    <t>290.06 ± 30.25</t>
  </si>
  <si>
    <t>245.62 ± 18.59</t>
  </si>
  <si>
    <t>97.51 ± 9.49</t>
  </si>
  <si>
    <t>54.15 ± 4.31</t>
  </si>
  <si>
    <t>62.18 ± 7.01</t>
  </si>
  <si>
    <t>乙酸庚酯</t>
  </si>
  <si>
    <t>1.93 ± 0.08</t>
  </si>
  <si>
    <t>1.18 ± 0.02</t>
  </si>
  <si>
    <t>87.05 ± 8.23</t>
  </si>
  <si>
    <t>77.00 ± 3.57</t>
  </si>
  <si>
    <t>32.48 ± 1.84</t>
  </si>
  <si>
    <t>11.31 ± 0.31</t>
  </si>
  <si>
    <t>13.83 ± 1.11</t>
  </si>
  <si>
    <t>199.29 ± 16.64</t>
  </si>
  <si>
    <t>171.90 ± 19.01</t>
  </si>
  <si>
    <t>65.04 ± 3.75</t>
  </si>
  <si>
    <t>29.65 ± 2.27</t>
  </si>
  <si>
    <t>34.06 ± 2.72</t>
  </si>
  <si>
    <t>36.54 ± 2.37</t>
  </si>
  <si>
    <t>29.45 ± 0.66</t>
  </si>
  <si>
    <t>13.10 ± 0.86</t>
  </si>
  <si>
    <t>6.48 ± 0.43</t>
  </si>
  <si>
    <t>7.37 ± 0.86</t>
  </si>
  <si>
    <t>20.96 ± 0.42</t>
  </si>
  <si>
    <t>17.42 ± 1.11</t>
  </si>
  <si>
    <t>10.07 ± 0.21</t>
  </si>
  <si>
    <t>3.13 ± 0.20</t>
  </si>
  <si>
    <t>3.89 ± 0.22</t>
  </si>
  <si>
    <t>5.85 ± 0.36</t>
  </si>
  <si>
    <t>5.67 ± 0.30</t>
  </si>
  <si>
    <t>3.62 ± 0.38</t>
  </si>
  <si>
    <t>2.26 ± 0.20</t>
  </si>
  <si>
    <t>2.78 ± 0.22</t>
  </si>
  <si>
    <t>93.00 ± 8.76</t>
  </si>
  <si>
    <t>87.72 ± 9.68</t>
  </si>
  <si>
    <t>52.30 ± 5.34</t>
  </si>
  <si>
    <t>13.12 ± 0.47</t>
  </si>
  <si>
    <t>15.44 ± 0.37</t>
  </si>
  <si>
    <t>3.97 ± 0.16</t>
  </si>
  <si>
    <t>3.58 ± 0.22</t>
  </si>
  <si>
    <t>2.54 ± 0.06</t>
  </si>
  <si>
    <t>1.83 ± 0.24</t>
  </si>
  <si>
    <t>1.75 ± 0.10</t>
  </si>
  <si>
    <t>2.11 ± 0.06</t>
  </si>
  <si>
    <t>1.56 ± 0.09</t>
  </si>
  <si>
    <t>8.77 ± 2.03</t>
  </si>
  <si>
    <t>7.16 ± 0.68</t>
  </si>
  <si>
    <t>6.48 ± 0.27</t>
  </si>
  <si>
    <t>33.95 ± 0.92</t>
  </si>
  <si>
    <t>94.55 ± 5.97</t>
  </si>
  <si>
    <t>38.12 ± 1.65</t>
  </si>
  <si>
    <t>48.09 ± 4.51</t>
  </si>
  <si>
    <t>50.57 ± 4.09</t>
  </si>
  <si>
    <t>3.59 ± 0.42</t>
  </si>
  <si>
    <t>3.22 ± 0.40</t>
  </si>
  <si>
    <t>9.36 ± 0.27</t>
  </si>
  <si>
    <t>5.39 ± 0.41</t>
  </si>
  <si>
    <t>5.56 ± 0.28</t>
  </si>
  <si>
    <t>酸类物质</t>
  </si>
  <si>
    <t>309.76 ± 24.94</t>
  </si>
  <si>
    <t>464.76 ± 19.06</t>
  </si>
  <si>
    <t>336.33 ± 9.01</t>
  </si>
  <si>
    <t>449.18 ± 45.64</t>
  </si>
  <si>
    <t>472.89 ± 10.92</t>
  </si>
  <si>
    <t>55.19 ± 3.31</t>
  </si>
  <si>
    <t>75.69 ± 2.94</t>
  </si>
  <si>
    <t>47.64 ± 3.43</t>
  </si>
  <si>
    <t>86.29 ± 7.77</t>
  </si>
  <si>
    <t>86.78 ± 7.96</t>
  </si>
  <si>
    <t>8.11 ± 0.41</t>
  </si>
  <si>
    <t>9.57 ± 1.15</t>
  </si>
  <si>
    <t>9.64 ± 0.40</t>
  </si>
  <si>
    <t>15.80 ± 1.93</t>
  </si>
  <si>
    <t>15.89 ± 0.44</t>
  </si>
  <si>
    <t>196.27 ± 21.71</t>
  </si>
  <si>
    <t>410.92 ± 45.94</t>
  </si>
  <si>
    <t>520.62 ± 35.61</t>
  </si>
  <si>
    <t>859.80 ± 27.94</t>
  </si>
  <si>
    <t>857.12 ± 91.28</t>
  </si>
  <si>
    <t>3.44 ± 0.29</t>
  </si>
  <si>
    <t>6.96 ± 0.46</t>
  </si>
  <si>
    <t>8.61 ± 0.87</t>
  </si>
  <si>
    <t>8.43 ± 0.87</t>
  </si>
  <si>
    <t>7.97 ± 0.48</t>
  </si>
  <si>
    <t>醇类物质</t>
  </si>
  <si>
    <t>丙醇</t>
  </si>
  <si>
    <t>190.01 ± 4.45</t>
  </si>
  <si>
    <t>238.96 ± 8.82</t>
  </si>
  <si>
    <t>140.05 ± 10.62</t>
  </si>
  <si>
    <t>148.10 ± 5.76</t>
  </si>
  <si>
    <t>100.63 ± 5.61</t>
  </si>
  <si>
    <t>49.06 ± 3.62</t>
  </si>
  <si>
    <t>42.72 ± 1.54</t>
  </si>
  <si>
    <t>15.22 ± 0.45</t>
  </si>
  <si>
    <t>18.45 ± 2.28</t>
  </si>
  <si>
    <t>12.29 ± 0.54</t>
  </si>
  <si>
    <t>287.96 ± 35.56</t>
  </si>
  <si>
    <t>278.54 ± 20.86</t>
  </si>
  <si>
    <t>180.45 ± 16.38</t>
  </si>
  <si>
    <t>197.1 ± 8.95</t>
  </si>
  <si>
    <t>156.24 ± 19.95</t>
  </si>
  <si>
    <t>226.80 ± 25.97</t>
  </si>
  <si>
    <t>180.29 ± 14.41</t>
  </si>
  <si>
    <t>130.50 ± 15.08</t>
  </si>
  <si>
    <t>96.75 ± 8.76</t>
  </si>
  <si>
    <t>77.13 ± 5.42</t>
  </si>
  <si>
    <t>36.23 ± 1.76</t>
  </si>
  <si>
    <t>33.52 ± 2.01</t>
  </si>
  <si>
    <t>29.37 ± 1.92</t>
  </si>
  <si>
    <t>30.64 ± 2.01</t>
  </si>
  <si>
    <t>32.95 ± 0.77</t>
  </si>
  <si>
    <t>0.79 ± 0.07</t>
  </si>
  <si>
    <t>0.77 ± 0.08</t>
  </si>
  <si>
    <t>2.49 ± 0.14</t>
  </si>
  <si>
    <t>6.26 ± 0.55</t>
  </si>
  <si>
    <t>5.25 ± 0.36</t>
  </si>
  <si>
    <t>2.21 ± 0.16</t>
  </si>
  <si>
    <t>1.71 ± 0.22</t>
  </si>
  <si>
    <t>2.32 ± 0.13</t>
  </si>
  <si>
    <t>4.21 ± 0.47</t>
  </si>
  <si>
    <t>4.24 ± 0.11</t>
  </si>
  <si>
    <t>醛酮类物质</t>
  </si>
  <si>
    <t>12.58 ± 0.58</t>
  </si>
  <si>
    <t>12.54 ± 1.57</t>
  </si>
  <si>
    <t>11.61 ± 0.92</t>
  </si>
  <si>
    <t>40.82 ± 1.62</t>
  </si>
  <si>
    <t>38.25 ± 3.85</t>
  </si>
  <si>
    <t>12.36 ± 0.93</t>
  </si>
  <si>
    <t>23.41 ± 1.15</t>
  </si>
  <si>
    <t>25.93 ± 1.97</t>
  </si>
  <si>
    <t>缩醛类物质</t>
  </si>
  <si>
    <t>1,1-二乙氧基乙烷</t>
  </si>
  <si>
    <t>140.85 ± 17.18</t>
  </si>
  <si>
    <t>162.08 ± 7.37</t>
  </si>
  <si>
    <t>180.56 ± 22.59</t>
  </si>
  <si>
    <t>364.16 ± 40.86</t>
  </si>
  <si>
    <t>362.76 ± 43.53</t>
  </si>
  <si>
    <t>酯类物质总含量</t>
  </si>
  <si>
    <t>8550.12 ± 756.89</t>
  </si>
  <si>
    <t>8474.63 ± 718.64</t>
  </si>
  <si>
    <t>4724.96 ± 348.96</t>
  </si>
  <si>
    <t>4793.75 ± 413.56</t>
  </si>
  <si>
    <t>5124.18 ± 202.98</t>
  </si>
  <si>
    <t>2.29 ± 0.17</t>
  </si>
  <si>
    <t>1.14 ± 0.08</t>
  </si>
  <si>
    <t>3.55 ± 0.11</t>
  </si>
  <si>
    <t>1.43 ± 0.15</t>
  </si>
  <si>
    <t>庚酸丁酯</t>
  </si>
  <si>
    <t>2.67 ± 0.19</t>
  </si>
  <si>
    <t>2.40 ± 0.22</t>
  </si>
  <si>
    <t>1.84 ± 0.08</t>
  </si>
  <si>
    <t>0.97 ± 0.06</t>
  </si>
  <si>
    <t>1.23 ± 0.08</t>
  </si>
  <si>
    <t>0.87 ± 0.11</t>
  </si>
  <si>
    <t>19.39 ± 1.65</t>
  </si>
  <si>
    <t>49.81 ± 3.74</t>
  </si>
  <si>
    <t>乳酸丁酯</t>
  </si>
  <si>
    <t>2.85 ± 0.20</t>
  </si>
  <si>
    <t>1.46 ± 0.19</t>
  </si>
  <si>
    <t>2.50 ± 0.31</t>
  </si>
  <si>
    <t>酸类物质总含量</t>
  </si>
  <si>
    <t>596.98 ± 38.15</t>
  </si>
  <si>
    <t>1005.70 ± 54.78</t>
  </si>
  <si>
    <t>961.26 ± 42.91</t>
  </si>
  <si>
    <t>1468.48 ± 69.23</t>
  </si>
  <si>
    <t>1490.67 ± 103.53</t>
  </si>
  <si>
    <t>5.79 ± 0.69</t>
  </si>
  <si>
    <t>4.25 ± 0.42</t>
  </si>
  <si>
    <t>3.58 ± 0.44</t>
  </si>
  <si>
    <t>4.64 ± 0.32</t>
  </si>
  <si>
    <t>5.39 ± 0.34</t>
  </si>
  <si>
    <t>14.37 ± 1.72</t>
  </si>
  <si>
    <t>22.91 ± 1.83</t>
  </si>
  <si>
    <t>22.01 ± 0.61</t>
  </si>
  <si>
    <t>28.25 ± 0.76</t>
  </si>
  <si>
    <t>30.54 ± 3.11</t>
  </si>
  <si>
    <t>4.05 ± 0.43</t>
  </si>
  <si>
    <t>10.63 ± 0.61</t>
  </si>
  <si>
    <t>12.82 ± 0.69</t>
  </si>
  <si>
    <t>16.09 ± 1.13</t>
  </si>
  <si>
    <t>14.09 ± 1.45</t>
  </si>
  <si>
    <t>醇类物质总含量</t>
  </si>
  <si>
    <t>1080.31 ± 89.34</t>
  </si>
  <si>
    <t>1086.55 ± 52.92</t>
  </si>
  <si>
    <t>766.47 ± 40.72</t>
  </si>
  <si>
    <t>758.70 ± 32.50</t>
  </si>
  <si>
    <t>627.94 ± 39.38</t>
  </si>
  <si>
    <t>46.97 ± 2.63</t>
  </si>
  <si>
    <t>67.91 ± 4.19</t>
  </si>
  <si>
    <t>19.21 ± 1.53</t>
  </si>
  <si>
    <t>36.41 ± 1.21</t>
  </si>
  <si>
    <t>45.60 ± 2.85</t>
  </si>
  <si>
    <t>225.26 ± 25.41</t>
  </si>
  <si>
    <t>213.39 ± 14.89</t>
  </si>
  <si>
    <t>191.87 ± 8.85</t>
  </si>
  <si>
    <t>154.5 ± 12.56</t>
  </si>
  <si>
    <t>129.69 ± 8.05</t>
  </si>
  <si>
    <t>2-己醇</t>
  </si>
  <si>
    <t>6.52 ± 0.35</t>
  </si>
  <si>
    <t>5.96 ± 0.18</t>
  </si>
  <si>
    <t>2.40 ± 0.15</t>
  </si>
  <si>
    <t>2.38 ± 0.24</t>
  </si>
  <si>
    <t>2.02 ± 0.23</t>
  </si>
  <si>
    <t>3,3-二乙氧基-1-丙醇</t>
  </si>
  <si>
    <t>2.63 ± 0.19</t>
  </si>
  <si>
    <t>3.98 ± 0.37</t>
  </si>
  <si>
    <t>4.03 ± 0.29</t>
  </si>
  <si>
    <t>3.52 ± 0.32</t>
  </si>
  <si>
    <t>12.16 ± 0.68</t>
  </si>
  <si>
    <t>22.45 ± 1.95</t>
  </si>
  <si>
    <t>18.03 ± 1.21</t>
  </si>
  <si>
    <t>7.06 ± 0.16</t>
  </si>
  <si>
    <t>6.16 ± 0.29</t>
  </si>
  <si>
    <t>7.73 ± 0.62</t>
  </si>
  <si>
    <t>9.03 ± 0.20</t>
  </si>
  <si>
    <t>3-甲基-2-己醇</t>
  </si>
  <si>
    <t>1.40 ± 0.07</t>
  </si>
  <si>
    <t>2.10 ± 0.22</t>
  </si>
  <si>
    <t>3.67 ± 0.20</t>
  </si>
  <si>
    <t>3.80 ± 0.27</t>
  </si>
  <si>
    <t>2,6-二甲基-4-庚醇</t>
  </si>
  <si>
    <t>6.24 ± 0.71</t>
  </si>
  <si>
    <t>5.78 ± 0.70</t>
  </si>
  <si>
    <t>20.01 ± 1.48</t>
  </si>
  <si>
    <t>13.88 ± 0.32</t>
  </si>
  <si>
    <t>15.56 ± 1.03</t>
  </si>
  <si>
    <t>1.54 ± 0.07</t>
  </si>
  <si>
    <t>2.01 ± 0.21</t>
  </si>
  <si>
    <t>1.18 ± 0.15</t>
  </si>
  <si>
    <t>1.56 ± 0.20</t>
  </si>
  <si>
    <t>2.25 ± 0.07</t>
  </si>
  <si>
    <t>4.71 ± 0.30</t>
  </si>
  <si>
    <t>4.09 ± 0.42</t>
  </si>
  <si>
    <t>2.80 ± 0.33</t>
  </si>
  <si>
    <t>3.93 ± 0.36</t>
  </si>
  <si>
    <t>6.28 ± 0.17</t>
  </si>
  <si>
    <t>6.67 ± 0.85</t>
  </si>
  <si>
    <t>8.80 ± 0.37</t>
  </si>
  <si>
    <t>10.19 ± 1.07</t>
  </si>
  <si>
    <t>11.78 ± 0.86</t>
  </si>
  <si>
    <t>18.63 ± 1.13</t>
  </si>
  <si>
    <t>26.72 ± 2.78</t>
  </si>
  <si>
    <t>2-甲基丁醛</t>
  </si>
  <si>
    <t>7.72 ± 0.61</t>
  </si>
  <si>
    <t>6.26 ± 0.19</t>
  </si>
  <si>
    <t>10.78 ± 0.71</t>
  </si>
  <si>
    <t>6.53 ± 0.46</t>
  </si>
  <si>
    <t>6.05 ± 0.60</t>
  </si>
  <si>
    <t>28.25 ± 2.71</t>
  </si>
  <si>
    <t>20.19 ± 2.47</t>
  </si>
  <si>
    <t>43.58 ± 2.39</t>
  </si>
  <si>
    <t>17.21 ± 2.08</t>
  </si>
  <si>
    <t>17.43 ± 0.82</t>
  </si>
  <si>
    <t>49.30 ± 4.26</t>
  </si>
  <si>
    <t>66.67 ± 4.89</t>
  </si>
  <si>
    <t>2.13 ± 0.16</t>
  </si>
  <si>
    <t>1.21 ± 0.09</t>
  </si>
  <si>
    <t>4.35 ± 0.44</t>
  </si>
  <si>
    <t>4.52 ± 0.48</t>
  </si>
  <si>
    <t>1.02 ± 0.04</t>
  </si>
  <si>
    <t>0.61 ± 0.06</t>
  </si>
  <si>
    <t>1.07 ± 0.14</t>
  </si>
  <si>
    <t>1.25 ± 0.07</t>
  </si>
  <si>
    <t>1.12 ± 0.04</t>
  </si>
  <si>
    <t>2.23 ± 0.27</t>
  </si>
  <si>
    <t>2.02 ± 0.20</t>
  </si>
  <si>
    <t>醛酮类总含量</t>
  </si>
  <si>
    <t>60.51 ± 4.21</t>
  </si>
  <si>
    <t>49.79 ± 4.96</t>
  </si>
  <si>
    <t>92.39 ± 5.82</t>
  </si>
  <si>
    <t>163.74 ± 10.06</t>
  </si>
  <si>
    <t>188.71 ± 13.63</t>
  </si>
  <si>
    <t>1,1-二乙氧基-2-甲基丁烷</t>
  </si>
  <si>
    <t>19.83 ± 0.46</t>
  </si>
  <si>
    <t>22.78 ± 2.62</t>
  </si>
  <si>
    <t>5.99 ± 0.52</t>
  </si>
  <si>
    <t>5.47 ± 0.56</t>
  </si>
  <si>
    <t>8.32 ± 0.54</t>
  </si>
  <si>
    <t>1,1-二乙氧基-3-甲基丁烷</t>
  </si>
  <si>
    <t>44.53 ± 1.02</t>
  </si>
  <si>
    <t>64.54 ± 5.01</t>
  </si>
  <si>
    <t>19.16 ± 0.98</t>
  </si>
  <si>
    <t>22.53 ± 2.54</t>
  </si>
  <si>
    <t>32.12 ± 1.64</t>
  </si>
  <si>
    <t>1-(1-乙氧基乙氧基)-丁烷</t>
  </si>
  <si>
    <t>2.58 ± 0.11</t>
  </si>
  <si>
    <t>1.09 ± 0.10</t>
  </si>
  <si>
    <t>0.83 ± 0.05</t>
  </si>
  <si>
    <t>2.22 ± 0.14</t>
  </si>
  <si>
    <t>异丁醛二乙缩醛</t>
  </si>
  <si>
    <t>20.82 ± 2.20</t>
  </si>
  <si>
    <t>32.54 ± 1.73</t>
  </si>
  <si>
    <t>15.34 ± 1.17</t>
  </si>
  <si>
    <t>61.00 ± 1.51</t>
  </si>
  <si>
    <t>41.62 ± 3.67</t>
  </si>
  <si>
    <t>1,1,3-三乙氧基丙烷</t>
  </si>
  <si>
    <t>2.02 ± 0.11</t>
  </si>
  <si>
    <t>1.65 ± 0.09</t>
  </si>
  <si>
    <t>1.94 ± 0.20</t>
  </si>
  <si>
    <t>2.18 ± 0.12</t>
  </si>
  <si>
    <t>(2,2-二乙氧基乙基)-苯</t>
  </si>
  <si>
    <t>1.23 ± 0.07</t>
  </si>
  <si>
    <t>4.55 ± 0.26</t>
  </si>
  <si>
    <t>3.82 ± 0.44</t>
  </si>
  <si>
    <t>4.13 ± 0.51</t>
  </si>
  <si>
    <t>缩醛类总含量</t>
  </si>
  <si>
    <t>226.03 ± 18.86</t>
  </si>
  <si>
    <t>287.78 ± 12.76</t>
  </si>
  <si>
    <t>228.34 ± 17.43</t>
  </si>
  <si>
    <t>459.74 ± 35.12</t>
  </si>
  <si>
    <t>453.35 ± 41.54</t>
  </si>
  <si>
    <t>2-正丁基呋喃</t>
  </si>
  <si>
    <t>26.3 ± 2.56</t>
  </si>
  <si>
    <t>39.78 ± 0.83</t>
  </si>
  <si>
    <t>40.32 ± 2.31</t>
  </si>
  <si>
    <t>46.76 ± 6.07</t>
  </si>
  <si>
    <t>12.92 ± 0.49</t>
  </si>
  <si>
    <t>10.98 ± 1.27</t>
  </si>
  <si>
    <t>14.40 ± 0.39</t>
  </si>
  <si>
    <t>15.39 ± 0.66</t>
  </si>
  <si>
    <t>14.84 ± 0.96</t>
  </si>
  <si>
    <t>11.64 ± 1.32</t>
  </si>
  <si>
    <t>8.34 ± 1.03</t>
  </si>
  <si>
    <t>9.30 ± 0.28</t>
  </si>
  <si>
    <t>其他类总含量</t>
  </si>
  <si>
    <t>37.28 ± 3.83</t>
  </si>
  <si>
    <t>65.82 ± 1.76</t>
  </si>
  <si>
    <t>64.06 ± 3.64</t>
  </si>
  <si>
    <t>70.89 ± 7.18</t>
  </si>
  <si>
    <t>4-甲基戊酸乙酯 (3-甲基戊酸乙酯等)</t>
  </si>
  <si>
    <t>1-丙醇 (丙醇)</t>
  </si>
  <si>
    <t>乙醛二乙缩醛 (1,1-二乙氧基乙烷)</t>
  </si>
  <si>
    <t>2-庚酮 (2-壬酮等代用)</t>
  </si>
  <si>
    <t>2-(乙氧基甲基)呋喃 (2-正丁基呋喃代用)</t>
  </si>
  <si>
    <t>4-乙基-2-甲氧基苯酚 (4-甲基苯酚代用)</t>
  </si>
  <si>
    <t>4.93 (乙酸异丁酯代)</t>
  </si>
  <si>
    <t>对甲酚 (苯酚代用)</t>
  </si>
  <si>
    <t>丙酸 (丙酮代用)</t>
  </si>
  <si>
    <t>己醛 (2-甲基丁醛代用)</t>
  </si>
  <si>
    <t>物质</t>
  </si>
  <si>
    <t>LZ / (mg/L)</t>
  </si>
  <si>
    <t>362.06 ± 0.50</t>
  </si>
  <si>
    <t>14.56 ± 0.17</t>
  </si>
  <si>
    <t>29.58 ± 0.19</t>
  </si>
  <si>
    <t>0.97 ± 0.02</t>
  </si>
  <si>
    <t>3.87 ± 0.03</t>
  </si>
  <si>
    <t>17.71 ± 0.08</t>
  </si>
  <si>
    <t>1716.59 ± 2.81</t>
  </si>
  <si>
    <t>1.43 ± 0.03</t>
  </si>
  <si>
    <t>15.18 ± 0.10</t>
  </si>
  <si>
    <t>7.08 ± 0.05</t>
  </si>
  <si>
    <t>5.06 ± 0.02</t>
  </si>
  <si>
    <t>586.66 ± 0.30</t>
  </si>
  <si>
    <t>1.14 ± 0.01</t>
  </si>
  <si>
    <t>15.61 ± 0.37</t>
  </si>
  <si>
    <t>13.62 ± 0.06</t>
  </si>
  <si>
    <t>118.15 ± 1.10</t>
  </si>
  <si>
    <t>7.13 ± 0.02</t>
  </si>
  <si>
    <t>13.84 ± 0.02</t>
  </si>
  <si>
    <t>16.86 ± 0.09</t>
  </si>
  <si>
    <t>677.87 ± 10.09</t>
  </si>
  <si>
    <t>5.58 ± 0.07</t>
  </si>
  <si>
    <t>11.23 ± 0.04</t>
  </si>
  <si>
    <t>8.96 ± 0.03</t>
  </si>
  <si>
    <t>1126.37 ± 7.06</t>
  </si>
  <si>
    <t>4.24 ± 0.12</t>
  </si>
  <si>
    <t>9.77 ± 0.01</t>
  </si>
  <si>
    <t>1710.45 ± 8.29</t>
  </si>
  <si>
    <t>496.83 ± 1.34</t>
  </si>
  <si>
    <t>8.91 ± 0.17</t>
  </si>
  <si>
    <t>28.43 ± 0.23</t>
  </si>
  <si>
    <t>6.70 ± 0.05</t>
  </si>
  <si>
    <t>3-羟基-2-丁酮 (乙偶姻)</t>
  </si>
  <si>
    <t>风味物质</t>
  </si>
  <si>
    <t>NX 平均含量 (mg/L)</t>
  </si>
  <si>
    <t>已醇</t>
  </si>
  <si>
    <t>1-己醇 (已醇)</t>
  </si>
  <si>
    <r>
      <rPr>
        <b/>
        <sz val="11"/>
        <color rgb="FF1F1F1F"/>
        <rFont val="微软雅黑"/>
        <family val="2"/>
        <charset val="134"/>
      </rPr>
      <t>质量浓度</t>
    </r>
    <r>
      <rPr>
        <b/>
        <sz val="11"/>
        <color rgb="FF1F1F1F"/>
        <rFont val="Arial"/>
        <family val="2"/>
      </rPr>
      <t xml:space="preserve"> B / (μg/L)</t>
    </r>
    <phoneticPr fontId="2" type="noConversion"/>
  </si>
  <si>
    <r>
      <rPr>
        <b/>
        <sz val="11"/>
        <color rgb="FF1F1F1F"/>
        <rFont val="微软雅黑"/>
        <family val="2"/>
        <charset val="134"/>
      </rPr>
      <t>质量浓度</t>
    </r>
    <r>
      <rPr>
        <b/>
        <sz val="11"/>
        <color rgb="FF1F1F1F"/>
        <rFont val="Arial"/>
        <family val="2"/>
      </rPr>
      <t xml:space="preserve"> A</t>
    </r>
    <r>
      <rPr>
        <b/>
        <sz val="11"/>
        <color rgb="FF1F1F1F"/>
        <rFont val="Arial"/>
        <family val="2"/>
        <charset val="134"/>
      </rPr>
      <t xml:space="preserve"> (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  <charset val="134"/>
      </rPr>
      <t>g/L)</t>
    </r>
    <phoneticPr fontId="2" type="noConversion"/>
  </si>
  <si>
    <r>
      <rPr>
        <b/>
        <sz val="11"/>
        <color rgb="FF1F1F1F"/>
        <rFont val="微软雅黑"/>
        <family val="2"/>
        <charset val="134"/>
      </rPr>
      <t>质量浓度</t>
    </r>
    <r>
      <rPr>
        <b/>
        <sz val="11"/>
        <color rgb="FF1F1F1F"/>
        <rFont val="Arial"/>
        <family val="2"/>
      </rPr>
      <t xml:space="preserve"> B (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>g/L)</t>
    </r>
    <phoneticPr fontId="2" type="noConversion"/>
  </si>
  <si>
    <r>
      <rPr>
        <b/>
        <sz val="11"/>
        <color rgb="FF1F1F1F"/>
        <rFont val="微软雅黑"/>
        <family val="2"/>
        <charset val="134"/>
      </rPr>
      <t>质量浓度</t>
    </r>
    <r>
      <rPr>
        <b/>
        <sz val="11"/>
        <color rgb="FF1F1F1F"/>
        <rFont val="Arial"/>
        <family val="2"/>
      </rPr>
      <t xml:space="preserve"> C (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>g/L)</t>
    </r>
    <phoneticPr fontId="2" type="noConversion"/>
  </si>
  <si>
    <t>物质名称</t>
  </si>
  <si>
    <t>醛、酮及缩醛</t>
  </si>
  <si>
    <t>名称</t>
  </si>
  <si>
    <t>含量 (mg/L)</t>
  </si>
  <si>
    <t>SC1 (μg/L)</t>
  </si>
  <si>
    <t>SC2 (μg/L)</t>
  </si>
  <si>
    <t>SC3 (μg/L)</t>
  </si>
  <si>
    <t>活性异戊醇</t>
  </si>
  <si>
    <t>琥珀酸乙酯</t>
  </si>
  <si>
    <t>已酸丙酯</t>
  </si>
  <si>
    <t>醛、酮及杂环类</t>
  </si>
  <si>
    <t>戊酮-2</t>
  </si>
  <si>
    <t>已酸异戊酯</t>
  </si>
  <si>
    <t>已酸甲酯</t>
  </si>
  <si>
    <t>已酸己酯</t>
  </si>
  <si>
    <t>1-辛醇 (正辛醇)</t>
  </si>
  <si>
    <t>JS</t>
  </si>
  <si>
    <t>20600 (戊代)</t>
  </si>
  <si>
    <t>4100 (戊代)</t>
  </si>
  <si>
    <t>4200 (戊代)</t>
  </si>
  <si>
    <t>116200 (酮代)</t>
  </si>
  <si>
    <t>83600 (酮代)</t>
  </si>
  <si>
    <t>12200 (酮代)</t>
  </si>
  <si>
    <t>2-庚酮 (2-戊酮代)</t>
  </si>
  <si>
    <t>17000 (酯代)</t>
  </si>
  <si>
    <t>10900 (酯代)</t>
  </si>
  <si>
    <t>三甲基吡嗪 (四代)</t>
  </si>
  <si>
    <t>鉴定依据</t>
  </si>
  <si>
    <t>2 年陈</t>
  </si>
  <si>
    <t>3 年陈</t>
  </si>
  <si>
    <t>5 年陈</t>
  </si>
  <si>
    <t>MS, RI</t>
  </si>
  <si>
    <t>0.020±0.001ᵇ</t>
  </si>
  <si>
    <t>0.011±0.0001ᶜ</t>
  </si>
  <si>
    <t>0.039±0.002ᵃ</t>
  </si>
  <si>
    <t>13.417±0.37ᵃ</t>
  </si>
  <si>
    <t>11.422±0.081ᵇ</t>
  </si>
  <si>
    <t>10.886±0.729ᵇ</t>
  </si>
  <si>
    <t>0.525±0.019ᵇ</t>
  </si>
  <si>
    <t>0.388±0.001ᶜ</t>
  </si>
  <si>
    <t>1.546±0.003ᵃ</t>
  </si>
  <si>
    <t>0.831±0.035ᵇ</t>
  </si>
  <si>
    <t>0.278±0.001ᶜ</t>
  </si>
  <si>
    <t>1.529±0.006ᵃ</t>
  </si>
  <si>
    <t>乙酸丙酯</t>
  </si>
  <si>
    <t>0.363±0.011ᵇ</t>
  </si>
  <si>
    <t>0.274±0.001ᶜ</t>
  </si>
  <si>
    <t>0.928±0.015ᵃ</t>
  </si>
  <si>
    <t>乙酸仲丁酯</t>
  </si>
  <si>
    <t>0.313±0.004ᵃ</t>
  </si>
  <si>
    <t>0.238±0.016ᵇ</t>
  </si>
  <si>
    <t>0.316±0.004ᵃ</t>
  </si>
  <si>
    <t>0.249±0.006ᶜ</t>
  </si>
  <si>
    <t>0.288±0.001ᵇ</t>
  </si>
  <si>
    <t>0.571±0.006ᵃ</t>
  </si>
  <si>
    <t>3.647±1.974ᵇ</t>
  </si>
  <si>
    <t>10.870±0.036ᵃ</t>
  </si>
  <si>
    <t>11.516±0.402ᵃ</t>
  </si>
  <si>
    <t>丙酸正丙酯</t>
  </si>
  <si>
    <t>0.157±0.002</t>
  </si>
  <si>
    <t>0.321±0.317ᵃ</t>
  </si>
  <si>
    <t>0.464±0.003ᵃ</t>
  </si>
  <si>
    <t>0.530±0.006ᵃ</t>
  </si>
  <si>
    <t>0.288±0.013ᵇ</t>
  </si>
  <si>
    <t>0.540±0.001ᵃ</t>
  </si>
  <si>
    <t>0.553±0.013ᵃ</t>
  </si>
  <si>
    <t>2.490±0.059ᵃᵇ</t>
  </si>
  <si>
    <t>1.865±0.044ᵇ</t>
  </si>
  <si>
    <t>2.623±0.035ᵃ</t>
  </si>
  <si>
    <t>5.463±0.401</t>
  </si>
  <si>
    <t>11.805±0.354ᵃ</t>
  </si>
  <si>
    <t>10.567±0.071ᵃ</t>
  </si>
  <si>
    <t>8.774±1.414ᵃ</t>
  </si>
  <si>
    <t>0.222±0.001ᵃ</t>
  </si>
  <si>
    <t>0.119±0.072ᵃ</t>
  </si>
  <si>
    <t>乙酸戊酯</t>
  </si>
  <si>
    <t>0.384±0.011ᵃ</t>
  </si>
  <si>
    <t>0.318±0.027ᵃ</t>
  </si>
  <si>
    <t>0.321±0.071ᵃ</t>
  </si>
  <si>
    <t>1.066±0.033ᵇ</t>
  </si>
  <si>
    <t>0.739±0.122ᶜ</t>
  </si>
  <si>
    <t>1.401±0.096ᵃ</t>
  </si>
  <si>
    <t>0.729±1.123ᵇ</t>
  </si>
  <si>
    <t>22.570±0.061ᵃ</t>
  </si>
  <si>
    <t>24.350±1.396ᵃ</t>
  </si>
  <si>
    <t>0.127±0.004</t>
  </si>
  <si>
    <t>0.642±0.025ᵇ</t>
  </si>
  <si>
    <t>0.442±0.017ᶜ</t>
  </si>
  <si>
    <t>0.761±0.015ᵃ</t>
  </si>
  <si>
    <t>5-甲基己酸乙酯</t>
  </si>
  <si>
    <t>MS</t>
  </si>
  <si>
    <t>0.027±0.001ᶜ</t>
  </si>
  <si>
    <t>0.034±0.001ᵇ</t>
  </si>
  <si>
    <t>0.049±0.0004ᵃ</t>
  </si>
  <si>
    <t>0.017±0.005</t>
  </si>
  <si>
    <t>0.056±0.002ᵇ</t>
  </si>
  <si>
    <t>0.250±0.012ᵃ</t>
  </si>
  <si>
    <t>0.139±0.043ᵇ</t>
  </si>
  <si>
    <t>0.702±0.027ᵇ</t>
  </si>
  <si>
    <t>3.646±0.181ᵃᵇ</t>
  </si>
  <si>
    <t>3.267±1.009ᵃ</t>
  </si>
  <si>
    <t>5.868±0.198ᵇ</t>
  </si>
  <si>
    <t>24.974±0.134ᵃ</t>
  </si>
  <si>
    <t>3.115±0.095</t>
  </si>
  <si>
    <t>2-己烯酸乙酯</t>
  </si>
  <si>
    <t>0.040±0.001</t>
  </si>
  <si>
    <t>已酸异丁酯</t>
  </si>
  <si>
    <t>0.244±0.005ᶜ</t>
  </si>
  <si>
    <t>2.800±0.091ᵃ</t>
  </si>
  <si>
    <t>2.107±0.053ᵇ</t>
  </si>
  <si>
    <t>已酸烯丙酯</t>
  </si>
  <si>
    <t>0.014±0.001ᵇ</t>
  </si>
  <si>
    <t>0.077±0.003ᵃ</t>
  </si>
  <si>
    <t>0.092±0.003ᵇ</t>
  </si>
  <si>
    <t>0.116±0.002ᵃ</t>
  </si>
  <si>
    <t>11.399±0.326</t>
  </si>
  <si>
    <t>2.181±0.059ᶜ</t>
  </si>
  <si>
    <t>3.416±0.101ᵃ</t>
  </si>
  <si>
    <t>2.645±0.065ᵇ</t>
  </si>
  <si>
    <t>已酸戊酯</t>
  </si>
  <si>
    <t>2.395±0.017</t>
  </si>
  <si>
    <t>27.807±0.532ᶜ</t>
  </si>
  <si>
    <t>32.509±0.148ᵇ</t>
  </si>
  <si>
    <t>39.578±0.742ᵃ</t>
  </si>
  <si>
    <t>9.353±0.010</t>
  </si>
  <si>
    <t>0.338±0.016ᵃ</t>
  </si>
  <si>
    <t>0.279±0.015ᵇ</t>
  </si>
  <si>
    <t>0.380±0.006ᵃ</t>
  </si>
  <si>
    <t>1.084±0.067ᵇ</t>
  </si>
  <si>
    <t>2.278±0.03ᵃ</t>
  </si>
  <si>
    <t>1.528±0.037ᵃ</t>
  </si>
  <si>
    <t>1.418±0.115ᵃ</t>
  </si>
  <si>
    <t>7-辛烯酸乙酯</t>
  </si>
  <si>
    <t>0.035±0.001</t>
  </si>
  <si>
    <t>辛酸异丁酯</t>
  </si>
  <si>
    <t>0.062±0.005ᵇ</t>
  </si>
  <si>
    <t>0.088±0.004ᵃ</t>
  </si>
  <si>
    <t>0.111±0.002ᵇ</t>
  </si>
  <si>
    <t>0.281±0.009ᵇ</t>
  </si>
  <si>
    <t>0.390±0.005ᵃ</t>
  </si>
  <si>
    <t>0.515±0.009ᵇ</t>
  </si>
  <si>
    <t>0.268±0.011ᵃ</t>
  </si>
  <si>
    <t>0.509±0.031ᵇ</t>
  </si>
  <si>
    <t>丙二酸二乙酯</t>
  </si>
  <si>
    <t>0.010±0.0005</t>
  </si>
  <si>
    <t>3-壬烯酸乙酯</t>
  </si>
  <si>
    <t>0.037±0.002ᶜ</t>
  </si>
  <si>
    <t>0.054±0.003ᵇ</t>
  </si>
  <si>
    <t>0.080±0.002ᵃ</t>
  </si>
  <si>
    <t>8.043±0.381ᵇ</t>
  </si>
  <si>
    <t>12.356±0.303ᵃ</t>
  </si>
  <si>
    <t>9.204±0.096ᵇ</t>
  </si>
  <si>
    <t>辛酸正丁酯</t>
  </si>
  <si>
    <t>0.835±0.062</t>
  </si>
  <si>
    <t>1.768±0.160ᵇ</t>
  </si>
  <si>
    <t>3.041±0.11ᵃ</t>
  </si>
  <si>
    <t>3.087±0.051ᵃ</t>
  </si>
  <si>
    <t>0.361±0.013</t>
  </si>
  <si>
    <t>0.610±0.019ᵃ</t>
  </si>
  <si>
    <t>0.462±0.012ᵇ</t>
  </si>
  <si>
    <t>0.526±0.024ᵃᵇ</t>
  </si>
  <si>
    <t>0.041±0.001ᵃ</t>
  </si>
  <si>
    <t>0.043±0.002ᵃ</t>
  </si>
  <si>
    <t>0.038±0.005ᵇ</t>
  </si>
  <si>
    <t>0.167±0.004ᵃ</t>
  </si>
  <si>
    <t>0.118±0.008ᵇ</t>
  </si>
  <si>
    <t>0.214±0.006ᵃ</t>
  </si>
  <si>
    <t>0.049±0.002ᶜ</t>
  </si>
  <si>
    <t>0.168±0.020ᵇ</t>
  </si>
  <si>
    <t>0.269±0.004ᵃ</t>
  </si>
  <si>
    <t>0.003±0.0001</t>
  </si>
  <si>
    <t>0.605±0.001ᵇ</t>
  </si>
  <si>
    <t>2.118±0.052ᵃ</t>
  </si>
  <si>
    <t>0.805±0.030ᶜ</t>
  </si>
  <si>
    <t>1.062±0.046ᵇ</t>
  </si>
  <si>
    <t>1.776±0.052ᵃ</t>
  </si>
  <si>
    <t>3.718±0.122ᵃ</t>
  </si>
  <si>
    <t>0.268±0.796ᵇ</t>
  </si>
  <si>
    <t>3.88±0.087ᵃ</t>
  </si>
  <si>
    <t>5.158±0.281ᵇ</t>
  </si>
  <si>
    <t>4.995±0.013ᵇ</t>
  </si>
  <si>
    <t>7.765±0.190ᵃ</t>
  </si>
  <si>
    <t>0.198±0.001ᵇ</t>
  </si>
  <si>
    <t>0.246±0.010ᵃ</t>
  </si>
  <si>
    <t>0.108±0.004ᶜ</t>
  </si>
  <si>
    <t>0.464±0.031ᵃ</t>
  </si>
  <si>
    <t>0.336±0.011ᵇ</t>
  </si>
  <si>
    <t>3.800±0.085ᵇ</t>
  </si>
  <si>
    <t>10.525±0.248ᵃ</t>
  </si>
  <si>
    <t>10.856±0.427ᵃ</t>
  </si>
  <si>
    <t>0.048±0.002ᵃ</t>
  </si>
  <si>
    <t>0.055±0.002ᵃ</t>
  </si>
  <si>
    <t>2-壬基醇</t>
  </si>
  <si>
    <t>0.197±0.011ᵃ</t>
  </si>
  <si>
    <t>0.217±0.009ᵃ</t>
  </si>
  <si>
    <t>正辛醇</t>
  </si>
  <si>
    <t>0.852±0.017ᵇ</t>
  </si>
  <si>
    <t>1.009±0.056ᵃ</t>
  </si>
  <si>
    <t>0.821±0.033ᵇ</t>
  </si>
  <si>
    <t>0.369±0.010</t>
  </si>
  <si>
    <t>顺-3-壬烯-1-醇</t>
  </si>
  <si>
    <t>0.033±0.001</t>
  </si>
  <si>
    <t>顺-4-癸烯-1-醇</t>
  </si>
  <si>
    <t>0.026±0.001</t>
  </si>
  <si>
    <t>醛酮类</t>
  </si>
  <si>
    <t>0.050±0.001ᶜ</t>
  </si>
  <si>
    <t>0.074±0.0003ᵇ</t>
  </si>
  <si>
    <t>0.179±0.007ᵃ</t>
  </si>
  <si>
    <t>0.117±0.003ᵇ</t>
  </si>
  <si>
    <t>0.039±0.0004ᶜ</t>
  </si>
  <si>
    <t>0.214±0.004ᵃ</t>
  </si>
  <si>
    <t>丁醛</t>
  </si>
  <si>
    <t>0.001±0.0002ᵃ</t>
  </si>
  <si>
    <t>0.001±0.00001ᵃ</t>
  </si>
  <si>
    <t>0.204±0.005ᵇ</t>
  </si>
  <si>
    <t>0.435±0.009ᵃ</t>
  </si>
  <si>
    <t>0.785±0.028ᶜ</t>
  </si>
  <si>
    <t>0.905±0.004ᵇ</t>
  </si>
  <si>
    <t>2.489±0.036ᵃ</t>
  </si>
  <si>
    <t>0.362±0.010ᶜ</t>
  </si>
  <si>
    <t>0.267±0.001ᵇ</t>
  </si>
  <si>
    <t>0.409±0.005ᵃ</t>
  </si>
  <si>
    <t>0.442±0.014ᵇ</t>
  </si>
  <si>
    <t>0.386±0.001ᵇ</t>
  </si>
  <si>
    <t>0.577±0.024ᵃ</t>
  </si>
  <si>
    <t>仲辛酮</t>
  </si>
  <si>
    <t>0.037±0.001ᵃ</t>
  </si>
  <si>
    <t>0.025±0.001ᵇ</t>
  </si>
  <si>
    <t>0.024±0.0004ᵇ</t>
  </si>
  <si>
    <t>0.097±0.001ᵇ</t>
  </si>
  <si>
    <t>0.329±0.022ᵃ</t>
  </si>
  <si>
    <t>0.293±0.006ᵃ</t>
  </si>
  <si>
    <t>反-2-壬醛</t>
  </si>
  <si>
    <t>0.356±0.008</t>
  </si>
  <si>
    <t>甲基壬基甲酮</t>
  </si>
  <si>
    <t>0.044±1.351ᵃ</t>
  </si>
  <si>
    <t>0.207±0.004ᵃ</t>
  </si>
  <si>
    <t>0.374±0.029ᵃ</t>
  </si>
  <si>
    <t>2-壬烯-4-酮</t>
  </si>
  <si>
    <t>0.077±0.005</t>
  </si>
  <si>
    <t>2-十一烯醛</t>
  </si>
  <si>
    <t>0.017±0.001ᵇ</t>
  </si>
  <si>
    <t>0.024±0.001ᵃ</t>
  </si>
  <si>
    <t>反-2,4-癸二烯醛</t>
  </si>
  <si>
    <t>0.300±0.021ᵇ</t>
  </si>
  <si>
    <t>0.588±0.027ᵃ</t>
  </si>
  <si>
    <t>大马士酮</t>
  </si>
  <si>
    <t>0.065±0.004ᵇ</t>
  </si>
  <si>
    <t>0.148±0.004ᵃ</t>
  </si>
  <si>
    <t>0.366±0.006ᵃᵇ</t>
  </si>
  <si>
    <t>0.305±0.007ᵇ</t>
  </si>
  <si>
    <t>0.408±0.030ᵃ</t>
  </si>
  <si>
    <t>0.265±0.012ᵇ</t>
  </si>
  <si>
    <t>0.496±0.031ᵃ</t>
  </si>
  <si>
    <t>32.059±10.687ᵃ</t>
  </si>
  <si>
    <t>25.205±1.423ᵇ</t>
  </si>
  <si>
    <t>24.457±0.120ᵇ</t>
  </si>
  <si>
    <t>10.961±0.574ᵇ</t>
  </si>
  <si>
    <t>5.031±0.258ᶜ</t>
  </si>
  <si>
    <t>17.651±0.998ᵃ</t>
  </si>
  <si>
    <t>呋喃类</t>
  </si>
  <si>
    <t>呋喃</t>
  </si>
  <si>
    <t>0.001±0.0002</t>
  </si>
  <si>
    <t>2-甲基呋喃</t>
  </si>
  <si>
    <t>0.002±0.0002ᵇ</t>
  </si>
  <si>
    <t>0.003±0.0001ᵃ</t>
  </si>
  <si>
    <t>0.382±0.003ᵃ</t>
  </si>
  <si>
    <t>0.351±0.004ᵇ</t>
  </si>
  <si>
    <t>丁酸糠酯</t>
  </si>
  <si>
    <t>0.047±0.001</t>
  </si>
  <si>
    <t>已酸糠酯</t>
  </si>
  <si>
    <t>0.289±0.027ᵇ</t>
  </si>
  <si>
    <t>0.356±0.013ᵇ</t>
  </si>
  <si>
    <t>0.650±0.019ᵃ</t>
  </si>
  <si>
    <t>芳香类</t>
  </si>
  <si>
    <t>0.237±0.001</t>
  </si>
  <si>
    <t>0.662±0.018ᵇ</t>
  </si>
  <si>
    <t>1.447±0.042ᵃ</t>
  </si>
  <si>
    <t>苯乙酮</t>
  </si>
  <si>
    <t>0.037±0.002ᵇ</t>
  </si>
  <si>
    <t>0.369±0.010ᵃ</t>
  </si>
  <si>
    <t>0.532±0.016</t>
  </si>
  <si>
    <t>6.399±0.132ᵃ</t>
  </si>
  <si>
    <t>5.251±0.176ᶜ</t>
  </si>
  <si>
    <t>5.878±0.147ᵇ</t>
  </si>
  <si>
    <t>苯甲酸异丁酯</t>
  </si>
  <si>
    <t>0.069±0.001ᵃ</t>
  </si>
  <si>
    <t>0.860±0.021ᶜ</t>
  </si>
  <si>
    <t>0.516±0.017ᵇ</t>
  </si>
  <si>
    <t>1.451±0.038ᵃ</t>
  </si>
  <si>
    <t>3.009±0.194ᶜ</t>
  </si>
  <si>
    <t>4.236±0.147ᵇ</t>
  </si>
  <si>
    <t>5.507±0.105ᵃ</t>
  </si>
  <si>
    <t>0.241±0.008ᵇ</t>
  </si>
  <si>
    <t>0.141±0.001ᶜ</t>
  </si>
  <si>
    <t>0.371±0.017ᵃ</t>
  </si>
  <si>
    <t>0.027±0.001ᵃ</t>
  </si>
  <si>
    <t>0.029±0.001ᵃ</t>
  </si>
  <si>
    <t>0.016±0.0006ᵇ</t>
  </si>
  <si>
    <t>0.152±0.006</t>
  </si>
  <si>
    <t>苯甲酸正戊酯</t>
  </si>
  <si>
    <t>0.01±0.001</t>
  </si>
  <si>
    <t>丁酸苯乙酯</t>
  </si>
  <si>
    <t>0.203±0.007</t>
  </si>
  <si>
    <t>异丙基-3-苯基丙酸酯</t>
  </si>
  <si>
    <t>0.032±0.001</t>
  </si>
  <si>
    <t>0.039±0.0003ᵃ</t>
  </si>
  <si>
    <t>0.034±0.002ᵇ</t>
  </si>
  <si>
    <t>0.071±0.001ᵃ</t>
  </si>
  <si>
    <t>0.068±0.003ᵃ</t>
  </si>
  <si>
    <t>0.038±0.001ᵇ</t>
  </si>
  <si>
    <t>2-甲基丁酸-2-苯乙酯</t>
  </si>
  <si>
    <t>0.027±0.001</t>
  </si>
  <si>
    <t>已酸-2-苯乙酯</t>
  </si>
  <si>
    <t>0.022±0.003ᵃ</t>
  </si>
  <si>
    <t>0.033±0.067ᵃ</t>
  </si>
  <si>
    <t>0.069±0.002ᵃ</t>
  </si>
  <si>
    <t>0.026±0.0001ᵇ</t>
  </si>
  <si>
    <t>百里酚</t>
  </si>
  <si>
    <t>0.001±0.0001</t>
  </si>
  <si>
    <t>胡椒环</t>
  </si>
  <si>
    <t>0.003±0.0003</t>
  </si>
  <si>
    <t>0.282±0.009ᵇ</t>
  </si>
  <si>
    <t>0.946±0.011ᵃ</t>
  </si>
  <si>
    <t>含硫化合物</t>
  </si>
  <si>
    <t>甲基硫醇</t>
  </si>
  <si>
    <t>0.004±0.0003ᵃ</t>
  </si>
  <si>
    <t>0.003±0.0003ᵇ</t>
  </si>
  <si>
    <t>二甲基三硫</t>
  </si>
  <si>
    <t>0.043±0.001</t>
  </si>
  <si>
    <t>3-甲硫基丙酸乙酯</t>
  </si>
  <si>
    <t>0.084±0.003ᵃ</t>
  </si>
  <si>
    <t>0.073±0.002ᵇ</t>
  </si>
  <si>
    <t>二甲基二硫</t>
  </si>
  <si>
    <t>0.039±0.0005ᵇ</t>
  </si>
  <si>
    <t>0.043±0.001ᵇ</t>
  </si>
  <si>
    <t>0.155±0.003ᵃ</t>
  </si>
  <si>
    <t>其他</t>
  </si>
  <si>
    <t>二乙氧基甲烷</t>
  </si>
  <si>
    <t>0.023±0.001</t>
  </si>
  <si>
    <t>0.931±0.001</t>
  </si>
  <si>
    <t>2,3,5-三甲基吡嗪</t>
  </si>
  <si>
    <t>0.010±0.0004</t>
  </si>
  <si>
    <t>2,3,5,6-四甲基吡嗪</t>
  </si>
  <si>
    <t>0.012±0.0003ᵇ</t>
  </si>
  <si>
    <t>戊酸 (正戊酸)</t>
  </si>
  <si>
    <t>二甲基三硫 (二甲基三硫)</t>
  </si>
  <si>
    <t>异丁酸乙酯 (序号4)</t>
  </si>
  <si>
    <t>对甲酚 (4-乙基苯酚代)</t>
  </si>
  <si>
    <t>三甲基吡嗪 (2,3,5-)</t>
  </si>
  <si>
    <t xml:space="preserve"> </t>
    <phoneticPr fontId="2" type="noConversion"/>
  </si>
  <si>
    <t>RI</t>
  </si>
  <si>
    <t>WLY</t>
  </si>
  <si>
    <t>YH</t>
  </si>
  <si>
    <t>JSY</t>
  </si>
  <si>
    <t>YJGJ</t>
  </si>
  <si>
    <t>SXTB</t>
  </si>
  <si>
    <t>LZLG</t>
  </si>
  <si>
    <t>&lt;700</t>
  </si>
  <si>
    <t>211.77 ~ 722.07</t>
  </si>
  <si>
    <t>334.05 ~ 646.32</t>
  </si>
  <si>
    <t>244.26 ~ 319.94</t>
  </si>
  <si>
    <t>243.08 ~ 257.95</t>
  </si>
  <si>
    <t>74.30 ~ 159.39</t>
  </si>
  <si>
    <t>18.63 ~ 59.68</t>
  </si>
  <si>
    <t>26.05 ~ 65.32</t>
  </si>
  <si>
    <t>29.60 ~ 50.53</t>
  </si>
  <si>
    <t>28.75 ~ 44.66</t>
  </si>
  <si>
    <t>21.83 ~ 25.81</t>
  </si>
  <si>
    <t>12.64 ~ 62.77</t>
  </si>
  <si>
    <t>1.85 ~ 7.89</t>
  </si>
  <si>
    <t>496.98 ~ 891.08</t>
  </si>
  <si>
    <t>711.74 ~ 1124.35</t>
  </si>
  <si>
    <t>752.98 ~ 807.02</t>
  </si>
  <si>
    <t>406.50 ~ 453.80</t>
  </si>
  <si>
    <t>498.65 ~ 808.66</t>
  </si>
  <si>
    <t>653.60 ~ 902.50</t>
  </si>
  <si>
    <t>60.01 ~ 135.38</t>
  </si>
  <si>
    <t>52.70 ~ 89.55</t>
  </si>
  <si>
    <t>69.49 ~ 118.63</t>
  </si>
  <si>
    <t>38.03 ~ 42.24</t>
  </si>
  <si>
    <t>20.95 ~ 45.69</t>
  </si>
  <si>
    <t>10.61 ~ 14.71</t>
  </si>
  <si>
    <t>430.47 ~ 611.53</t>
  </si>
  <si>
    <t>465.96 ~ 610.29</t>
  </si>
  <si>
    <t>518.10 ~ 611.87</t>
  </si>
  <si>
    <t>411.97 ~ 437.32</t>
  </si>
  <si>
    <t>199.08 ~ 494.86</t>
  </si>
  <si>
    <t>398.59 ~ 477.25</t>
  </si>
  <si>
    <t>47.53 ~ 112.95</t>
  </si>
  <si>
    <t>47.72 ~ 62.25</t>
  </si>
  <si>
    <t>0.56 ~ 2.03</t>
  </si>
  <si>
    <t>21.48 ~ 37.94</t>
  </si>
  <si>
    <t>122.19 ~ 496.08</t>
  </si>
  <si>
    <t>74.34 ~ 233.45</t>
  </si>
  <si>
    <t>40.49 ~ 209.86</t>
  </si>
  <si>
    <t>55.59 ~ 76.05</t>
  </si>
  <si>
    <t>2.49 ~ 31.33</t>
  </si>
  <si>
    <t>8.53 ~ 52.8</t>
  </si>
  <si>
    <t>23.86 ~ 180.43</t>
  </si>
  <si>
    <t>2.19 ~ 5.93</t>
  </si>
  <si>
    <t>0.10 ~ 7.62</t>
  </si>
  <si>
    <t>21.20 ~ 25.95</t>
  </si>
  <si>
    <t>1.07 ~ 1.86</t>
  </si>
  <si>
    <t>9.25 ~ 17.80</t>
  </si>
  <si>
    <t>12.80 ~ 30.02</t>
  </si>
  <si>
    <t>8.34 ~ 12.89</t>
  </si>
  <si>
    <t>10.01 ~ 10.33</t>
  </si>
  <si>
    <t>2.70 ~ 11.85</t>
  </si>
  <si>
    <t>4.43 ~ 7.00</t>
  </si>
  <si>
    <t>0.00 ~ 5.85</t>
  </si>
  <si>
    <t>5.64 ~ 13.45</t>
  </si>
  <si>
    <t>0.00 ~ 4.55</t>
  </si>
  <si>
    <t>5.20 ~ 6.04</t>
  </si>
  <si>
    <t>0.00 ~ 6.52</t>
  </si>
  <si>
    <t>4.16 ~ 6.25</t>
  </si>
  <si>
    <t>168.62 ~ 262.92</t>
  </si>
  <si>
    <t>148.15 ~ 278.78</t>
  </si>
  <si>
    <t>98.04 ~ 224.1</t>
  </si>
  <si>
    <t>129.13 ~ 148.99</t>
  </si>
  <si>
    <t>117.70 ~ 269.84</t>
  </si>
  <si>
    <t>95.17 ~ 247.71</t>
  </si>
  <si>
    <t>112.37 ~ 247.32</t>
  </si>
  <si>
    <t>92.41 ~ 169.05</t>
  </si>
  <si>
    <t>118.74 ~ 208.68</t>
  </si>
  <si>
    <t>63.43 ~ 77.27</t>
  </si>
  <si>
    <t>39.82 ~ 151.90</t>
  </si>
  <si>
    <t>12.80 ~ 70.38</t>
  </si>
  <si>
    <t>9.05 ~ 32.31</t>
  </si>
  <si>
    <t>4.05 ~ 10.16</t>
  </si>
  <si>
    <t>5.23 ~ 11.27</t>
  </si>
  <si>
    <t>0.24 ~ 1.56</t>
  </si>
  <si>
    <t>0.34 ~ 1.67</t>
  </si>
  <si>
    <t>149.80 ~ 236.68</t>
  </si>
  <si>
    <t>99.23 ~ 206.7</t>
  </si>
  <si>
    <t>144.72 ~ 161.01</t>
  </si>
  <si>
    <t>125.65 ~ 152.25</t>
  </si>
  <si>
    <t>148.95 ~ 241.35</t>
  </si>
  <si>
    <t>194.19 ~ 253.54</t>
  </si>
  <si>
    <t>63.80 ~ 112.59</t>
  </si>
  <si>
    <t>42.19 ~ 80.95</t>
  </si>
  <si>
    <t>89.79 ~ 99.21</t>
  </si>
  <si>
    <t>97.83 ~ 106.91</t>
  </si>
  <si>
    <t>11.02 ~ 116.78</t>
  </si>
  <si>
    <t>99.31 ~ 110.18</t>
  </si>
  <si>
    <t>378.79 ~ 545.60</t>
  </si>
  <si>
    <t>478.5 ~ 575.81</t>
  </si>
  <si>
    <t>491.96 ~ 523.10</t>
  </si>
  <si>
    <t>463.07 ~ 513.93</t>
  </si>
  <si>
    <t>477.49 ~ 515.96</t>
  </si>
  <si>
    <t>446.67 ~ 597.44</t>
  </si>
  <si>
    <t>2.95 ~ 7.21</t>
  </si>
  <si>
    <t>0.62 ~ 1.93</t>
  </si>
  <si>
    <t>1.08 ~ 2.40</t>
  </si>
  <si>
    <t>1.08 ~ 1.62</t>
  </si>
  <si>
    <t>0.00 ~ 1.21</t>
  </si>
  <si>
    <t>0.25 ~ 1.24</t>
  </si>
  <si>
    <t>丁醛二乙缩醛</t>
  </si>
  <si>
    <t>3.07 ~ 7.06</t>
  </si>
  <si>
    <t>3.05 ~ 5.72</t>
  </si>
  <si>
    <t>1.02 ~ 2.08</t>
  </si>
  <si>
    <t>1.08 ~ 1.61</t>
  </si>
  <si>
    <t>0.00 ~ 1.60</t>
  </si>
  <si>
    <t>0.46 ~ 1.43</t>
  </si>
  <si>
    <t>76.38 ~ 283.09</t>
  </si>
  <si>
    <t>47.88 ~ 142.84</t>
  </si>
  <si>
    <t>48.76 ~ 83.73</t>
  </si>
  <si>
    <t>9.79 ~ 13.65</t>
  </si>
  <si>
    <t>0.00 ~ 20.78</t>
  </si>
  <si>
    <t>11.55 ~ 25.03</t>
  </si>
  <si>
    <t>46.35 ~ 164.14</t>
  </si>
  <si>
    <t>35.04 ~ 59.91</t>
  </si>
  <si>
    <t>29.77 ~ 33.80</t>
  </si>
  <si>
    <t>24.07 ~ 30.19</t>
  </si>
  <si>
    <t>2.10 ~ 37.39</t>
  </si>
  <si>
    <t>11.89 ~ 33.59</t>
  </si>
  <si>
    <t>509.16 ~ 656.73</t>
  </si>
  <si>
    <t>616.87 ~ 769.03</t>
  </si>
  <si>
    <t>500.75 ~ 654.44</t>
  </si>
  <si>
    <t>689.85 ~ 767.67</t>
  </si>
  <si>
    <t>333.04 ~ 749.74</t>
  </si>
  <si>
    <t>451.09 ~ 649.93</t>
  </si>
  <si>
    <t>824.84 ~ 1237.73</t>
  </si>
  <si>
    <t>934.80 ~ 1289.13</t>
  </si>
  <si>
    <t>720.99 ~ 865.34</t>
  </si>
  <si>
    <t>735.57 ~ 837.64</t>
  </si>
  <si>
    <t>1012.84 ~ 2305.08</t>
  </si>
  <si>
    <t>1077.85 ~ 1349.81</t>
  </si>
  <si>
    <t>0.38 ~ 3.34</t>
  </si>
  <si>
    <t>0.28 ~ 1.31</t>
  </si>
  <si>
    <t>0.22 ~ 1.76</t>
  </si>
  <si>
    <t>0.09 ~ 0.12</t>
  </si>
  <si>
    <t>0.00 ~ 0.24</t>
  </si>
  <si>
    <t>0.00 ~ 0.27</t>
  </si>
  <si>
    <t>已酸二乙缩醛</t>
  </si>
  <si>
    <t>7.04 ~ 32.18</t>
  </si>
  <si>
    <t>6.69 ~ 13.92</t>
  </si>
  <si>
    <t>1.33 ~ 7.48</t>
  </si>
  <si>
    <t>0.16 ~ 3.53</t>
  </si>
  <si>
    <t>0.51 ~ 1.26</t>
  </si>
  <si>
    <t>0.27 ~ 8.33</t>
  </si>
  <si>
    <t>5.02 ~ 10.07</t>
  </si>
  <si>
    <t>4.66 ~ 6.85</t>
  </si>
  <si>
    <t>3.49 ~ 5.26</t>
  </si>
  <si>
    <t>3.60 ~ 3.89</t>
  </si>
  <si>
    <t>0.00 ~ 3.68</t>
  </si>
  <si>
    <t>1.82 ~ 3.24</t>
  </si>
  <si>
    <t>15.64 ~ 81.44</t>
  </si>
  <si>
    <t>22.55 ~ 36.91</t>
  </si>
  <si>
    <t>11.39 ~ 16.66</t>
  </si>
  <si>
    <t>1.94 ~ 10.89</t>
  </si>
  <si>
    <t>10.50 ~ 19.77</t>
  </si>
  <si>
    <t>0.05 ~ 2.72</t>
  </si>
  <si>
    <t>0.13 ~ 0.93</t>
  </si>
  <si>
    <t>0.25 ~ 3.27</t>
  </si>
  <si>
    <t>4.28 ~ 6.33</t>
  </si>
  <si>
    <t>6.39 ~ 13.09</t>
  </si>
  <si>
    <t>4.71 ~ 11.48</t>
  </si>
  <si>
    <t>3.85 ~ 4.84</t>
  </si>
  <si>
    <t>0.00 ~ 4.50</t>
  </si>
  <si>
    <t>0.60 ~ 11.53</t>
  </si>
  <si>
    <t>2.15 ~ 6.56</t>
  </si>
  <si>
    <t>0.82 ~ 3.26</t>
  </si>
  <si>
    <t>1.22 ~ 2.84</t>
  </si>
  <si>
    <t>0.00 ~ 3.73</t>
  </si>
  <si>
    <t>0.72 ~ 3.12</t>
  </si>
  <si>
    <t>0.00 ~ 1.40</t>
  </si>
  <si>
    <t>0.00 ~ 36.68</t>
  </si>
  <si>
    <t>9.45 ~ 18.66</t>
  </si>
  <si>
    <t>0.00 ~ 15.10</t>
  </si>
  <si>
    <t>3.00 ~ 5.30</t>
  </si>
  <si>
    <t>匹配内容 (WLY 数据范围)</t>
  </si>
  <si>
    <t>4-甲基戊酸乙酯 (3-甲基戊酸乙酯代用)</t>
  </si>
  <si>
    <t>7.29 ~ 0.22</t>
  </si>
  <si>
    <t>7.08 ~ 0.31</t>
  </si>
  <si>
    <t>17.51 ~ 2.05</t>
  </si>
  <si>
    <t>棕榈酸乙酯 (十六酸乙酯等)</t>
  </si>
  <si>
    <t>4.76 ~ 0.40</t>
  </si>
  <si>
    <t>异丁醇 (2-甲基丙醇)</t>
  </si>
  <si>
    <t>异丁酸 (仲丁醇代)</t>
  </si>
  <si>
    <t>5.85 ~ 0.36</t>
  </si>
  <si>
    <t>GRD-1</t>
  </si>
  <si>
    <t>GRD-JC</t>
  </si>
  <si>
    <t>GRD-PD</t>
  </si>
  <si>
    <t>GRD-2</t>
  </si>
  <si>
    <t>JPLG</t>
  </si>
  <si>
    <t>LGTQ</t>
  </si>
  <si>
    <t>1368.22±24.60</t>
  </si>
  <si>
    <t>1509.12±40.13</t>
  </si>
  <si>
    <t>1188.31±25.61</t>
  </si>
  <si>
    <t>1083.43±27.99</t>
  </si>
  <si>
    <t>701.02±19.74</t>
  </si>
  <si>
    <t>605.62±4.74</t>
  </si>
  <si>
    <t>505.89±9.87</t>
  </si>
  <si>
    <t>387.72±18.54</t>
  </si>
  <si>
    <t>503.32±10.05</t>
  </si>
  <si>
    <t>553.00±18.95</t>
  </si>
  <si>
    <t>360.62±12.07</t>
  </si>
  <si>
    <t>290.41±25.20</t>
  </si>
  <si>
    <t>28.38±1.69</t>
  </si>
  <si>
    <t>42.66±1.11</t>
  </si>
  <si>
    <t>27.82±1.11</t>
  </si>
  <si>
    <t>22.79±1.13</t>
  </si>
  <si>
    <t>10.46±0.38</t>
  </si>
  <si>
    <t>5.81±0.19</t>
  </si>
  <si>
    <t>1802.78±39.09</t>
  </si>
  <si>
    <t>2880.87±54.90</t>
  </si>
  <si>
    <t>1888.12±45.81</t>
  </si>
  <si>
    <t>1227.00±33.58</t>
  </si>
  <si>
    <t>833.64±7.51</t>
  </si>
  <si>
    <t>932.76±53.46</t>
  </si>
  <si>
    <t>1485.11±43.16</t>
  </si>
  <si>
    <t>1401.98±77.33</t>
  </si>
  <si>
    <t>3019.16±210.92</t>
  </si>
  <si>
    <t>1260.09±10.37</t>
  </si>
  <si>
    <t>898.42±22.67</t>
  </si>
  <si>
    <t>808.23±45.25</t>
  </si>
  <si>
    <t>丁酸-3-甲基丁酯</t>
  </si>
  <si>
    <t>653.82±54.51</t>
  </si>
  <si>
    <t>768.94±49.06</t>
  </si>
  <si>
    <t>866.21±63.94</t>
  </si>
  <si>
    <t>504.32±74.27</t>
  </si>
  <si>
    <t>246.41±6.43</t>
  </si>
  <si>
    <t>222.92±17.37</t>
  </si>
  <si>
    <t>9.84±0.44</t>
  </si>
  <si>
    <t>7.65±0.58</t>
  </si>
  <si>
    <t>11.87±0.20</t>
  </si>
  <si>
    <t>6.12±0.39</t>
  </si>
  <si>
    <t>3.31±0.27</t>
  </si>
  <si>
    <t>2.77±0.046</t>
  </si>
  <si>
    <t>2.25±0.91</t>
  </si>
  <si>
    <t>28.75±1.04</t>
  </si>
  <si>
    <t>19.54±0.36</t>
  </si>
  <si>
    <t>14.66±1.12</t>
  </si>
  <si>
    <t>8.81±0.88</t>
  </si>
  <si>
    <t>8.19±1.71</t>
  </si>
  <si>
    <t>己酸-2-甲基丙酯</t>
  </si>
  <si>
    <t>1992.00±67.62</t>
  </si>
  <si>
    <t>3064.93±318.72</t>
  </si>
  <si>
    <t>3149.12±57.05</t>
  </si>
  <si>
    <t>1430.95±10.50</t>
  </si>
  <si>
    <t>201.33±35.01</t>
  </si>
  <si>
    <t>95.19±15.88</t>
  </si>
  <si>
    <t>944.54±17.15</t>
  </si>
  <si>
    <t>1176.00±19.98</t>
  </si>
  <si>
    <t>863.61±19.50</t>
  </si>
  <si>
    <t>714.42±16.59</t>
  </si>
  <si>
    <t>980.56±20.81</t>
  </si>
  <si>
    <t>1122.95±91.06</t>
  </si>
  <si>
    <t>戊酸-3-甲基丁酯</t>
  </si>
  <si>
    <t>315.78±10.78</t>
  </si>
  <si>
    <t>512.62±41.93</t>
  </si>
  <si>
    <t>342.23±32.91</t>
  </si>
  <si>
    <t>185.89±6.83</t>
  </si>
  <si>
    <t>61.42±6.45</t>
  </si>
  <si>
    <t>59.86±7.95</t>
  </si>
  <si>
    <t>12.95±0.33</t>
  </si>
  <si>
    <t>17.72±1.05</t>
  </si>
  <si>
    <t>15.02±0.98</t>
  </si>
  <si>
    <t>7.30±0.29</t>
  </si>
  <si>
    <t>2.79±0.32</t>
  </si>
  <si>
    <t>2.86±0.31</t>
  </si>
  <si>
    <t>35.92±0.22</t>
  </si>
  <si>
    <t>35.62±0.47</t>
  </si>
  <si>
    <t>30.35±0.63</t>
  </si>
  <si>
    <t>23.92±1.48</t>
  </si>
  <si>
    <t>15.48±1.91</t>
  </si>
  <si>
    <t>14.57±1.82</t>
  </si>
  <si>
    <t>己酸-3-甲基丁酯</t>
  </si>
  <si>
    <t>8.65±0.45</t>
  </si>
  <si>
    <t>15.98±1.21</t>
  </si>
  <si>
    <t>13.66±0.30</t>
  </si>
  <si>
    <t>6.24±0.66</t>
  </si>
  <si>
    <t>2.50±0.11</t>
  </si>
  <si>
    <t>2.15±0.15</t>
  </si>
  <si>
    <t>809.42±23.48</t>
  </si>
  <si>
    <t>883.72±20.23</t>
  </si>
  <si>
    <t>932.31±57.12</t>
  </si>
  <si>
    <t>256.64±24.68</t>
  </si>
  <si>
    <t>65.61±9.55</t>
  </si>
  <si>
    <t>57.34±11.50</t>
  </si>
  <si>
    <t>2-羟基己酸乙酯</t>
  </si>
  <si>
    <t>85.08±3.74</t>
  </si>
  <si>
    <t>132.42±2.27</t>
  </si>
  <si>
    <t>96.14±3.80</t>
  </si>
  <si>
    <t>45.21±0.65</t>
  </si>
  <si>
    <t>23.00±1.86</t>
  </si>
  <si>
    <t>21.30±1.99</t>
  </si>
  <si>
    <t>971.72±22.30</t>
  </si>
  <si>
    <t>1236.00±90.30</t>
  </si>
  <si>
    <t>959.3±54.79</t>
  </si>
  <si>
    <t>491.62±16.27</t>
  </si>
  <si>
    <t>262.61±8.53</t>
  </si>
  <si>
    <t>244.33±8.71</t>
  </si>
  <si>
    <t>5811.97±507.82</t>
  </si>
  <si>
    <t>4636.00±224.91</t>
  </si>
  <si>
    <t>6059.34±412.21</t>
  </si>
  <si>
    <t>1596.90±48.86</t>
  </si>
  <si>
    <t>1053.00±87.88</t>
  </si>
  <si>
    <t>997.01±70.19</t>
  </si>
  <si>
    <t>1857.12±64.12</t>
  </si>
  <si>
    <t>1691.92±90.11</t>
  </si>
  <si>
    <t>1474.13±18.93</t>
  </si>
  <si>
    <t>528.34±15.94</t>
  </si>
  <si>
    <t>329.62±32.90</t>
  </si>
  <si>
    <t>288.21±13.66</t>
  </si>
  <si>
    <t>127.12±10.29</t>
  </si>
  <si>
    <t>150.00±1.35</t>
  </si>
  <si>
    <t>169.82±7.54</t>
  </si>
  <si>
    <t>21.85±3.47</t>
  </si>
  <si>
    <t>n.d.</t>
  </si>
  <si>
    <t>10.98±0.12</t>
  </si>
  <si>
    <t>9.61±0.04</t>
  </si>
  <si>
    <t>9.36±0.55</t>
  </si>
  <si>
    <t>4.36±0.36</t>
  </si>
  <si>
    <t>3.34±0.40</t>
  </si>
  <si>
    <t>3.52±0.18</t>
  </si>
  <si>
    <t>十二酸乙酯</t>
  </si>
  <si>
    <t>71.88±2.64</t>
  </si>
  <si>
    <t>68.51±7.05</t>
  </si>
  <si>
    <t>103.81±4.64</t>
  </si>
  <si>
    <t>38.52±5.85</t>
  </si>
  <si>
    <t>26.83±2.40</t>
  </si>
  <si>
    <t>26.02±3.88</t>
  </si>
  <si>
    <t>42.56±3.80</t>
  </si>
  <si>
    <t>44.71±5.06</t>
  </si>
  <si>
    <t>39.62±2.07</t>
  </si>
  <si>
    <t>25.45±2.57</t>
  </si>
  <si>
    <t>19.56±1.49</t>
  </si>
  <si>
    <t>20.93±0.78</t>
  </si>
  <si>
    <t>162.11±10.82</t>
  </si>
  <si>
    <t>97.31±6.81</t>
  </si>
  <si>
    <t>150.64±6.03</t>
  </si>
  <si>
    <t>125.91±6.11</t>
  </si>
  <si>
    <t>111.52±1.27</t>
  </si>
  <si>
    <t>113.21±1.87</t>
  </si>
  <si>
    <t>106.32±1.46</t>
  </si>
  <si>
    <t>87.20±1.26</t>
  </si>
  <si>
    <t>84.52±0.92</t>
  </si>
  <si>
    <t>91.41±1.39</t>
  </si>
  <si>
    <t>75.62±11.79</t>
  </si>
  <si>
    <t>73.70±4.11</t>
  </si>
  <si>
    <t>25.65±0.87</t>
  </si>
  <si>
    <t>27.85±0.27</t>
  </si>
  <si>
    <t>21.82±1.04</t>
  </si>
  <si>
    <t>10.57±5.86</t>
  </si>
  <si>
    <t>7.76±2.49</t>
  </si>
  <si>
    <t>8.03±2.74</t>
  </si>
  <si>
    <t>147.52±2.28</t>
  </si>
  <si>
    <t>156.21±2.79</t>
  </si>
  <si>
    <t>176.53±3.39</t>
  </si>
  <si>
    <t>180.72±3.42</t>
  </si>
  <si>
    <t>168.51±22.61</t>
  </si>
  <si>
    <t>162.11±19.81</t>
  </si>
  <si>
    <t>281.83±3.77</t>
  </si>
  <si>
    <t>278.12±4.40</t>
  </si>
  <si>
    <t>242.89±4.17</t>
  </si>
  <si>
    <t>245.12±4.33</t>
  </si>
  <si>
    <t>181.43±20.09</t>
  </si>
  <si>
    <t>169.23±12.90</t>
  </si>
  <si>
    <t>1-戊醇</t>
  </si>
  <si>
    <t>7431.00±784.02</t>
  </si>
  <si>
    <t>241.52±14.20</t>
  </si>
  <si>
    <t>3497.13±283.02</t>
  </si>
  <si>
    <t>6798.90±145.42</t>
  </si>
  <si>
    <t>6394.13±101.32</t>
  </si>
  <si>
    <t>6628.31±186.30</t>
  </si>
  <si>
    <t>31.28±1.53</t>
  </si>
  <si>
    <t>26.18±0.69</t>
  </si>
  <si>
    <t>30.79±1.00</t>
  </si>
  <si>
    <t>19.06±2.76</t>
  </si>
  <si>
    <t>17.41±0.86</t>
  </si>
  <si>
    <t>19.30±1.14</t>
  </si>
  <si>
    <t>5343.00±198.32</t>
  </si>
  <si>
    <t>4474.12±69.30</t>
  </si>
  <si>
    <t>5401.21±166.81</t>
  </si>
  <si>
    <t>3850.00±44.80</t>
  </si>
  <si>
    <t>3505.32±92.10</t>
  </si>
  <si>
    <t>3643.21±163.13</t>
  </si>
  <si>
    <t>乳酸</t>
  </si>
  <si>
    <t>893.02±11.98</t>
  </si>
  <si>
    <t>1013.00±9.22</t>
  </si>
  <si>
    <t>721.31±17.87</t>
  </si>
  <si>
    <t>555.62±8.50</t>
  </si>
  <si>
    <t>617.32±3.47</t>
  </si>
  <si>
    <t>665.3±5.19</t>
  </si>
  <si>
    <t>865.73±38.18</t>
  </si>
  <si>
    <t>936.42±15.66</t>
  </si>
  <si>
    <t>869.21±26.69</t>
  </si>
  <si>
    <t>685.45±50.26</t>
  </si>
  <si>
    <t>844.82±15.46</t>
  </si>
  <si>
    <t>879.21±13.56</t>
  </si>
  <si>
    <t>13.77±0.82</t>
  </si>
  <si>
    <t>15.99±0.67</t>
  </si>
  <si>
    <t>14.40±0.54</t>
  </si>
  <si>
    <t>10.98±0.89</t>
  </si>
  <si>
    <t>10.23±0.21</t>
  </si>
  <si>
    <t>10.25±0.17</t>
  </si>
  <si>
    <t>2-甲基丙酸</t>
  </si>
  <si>
    <t>10.86±0.25</t>
  </si>
  <si>
    <t>12.19±0.16</t>
  </si>
  <si>
    <t>11.60±0.39</t>
  </si>
  <si>
    <t>8.74±0.11</t>
  </si>
  <si>
    <t>8.60±0.12</t>
  </si>
  <si>
    <t>9.57±0.24</t>
  </si>
  <si>
    <t>115.83±1.85</t>
  </si>
  <si>
    <t>117.31±1.59</t>
  </si>
  <si>
    <t>107.42±3.97</t>
  </si>
  <si>
    <t>87.34±1.17</t>
  </si>
  <si>
    <t>90.64±0.84</t>
  </si>
  <si>
    <t>87.96±1.61</t>
  </si>
  <si>
    <t>8.09±0.38</t>
  </si>
  <si>
    <t>12.49±0.14</t>
  </si>
  <si>
    <t>9.21±0.37</t>
  </si>
  <si>
    <t>6.61±0.20</t>
  </si>
  <si>
    <t>5.49±0.17</t>
  </si>
  <si>
    <t>6.07±0.26</t>
  </si>
  <si>
    <t>28.35±0.36</t>
  </si>
  <si>
    <t>31.29±0.17</t>
  </si>
  <si>
    <t>26.75±0.84</t>
  </si>
  <si>
    <t>20.52±0.24</t>
  </si>
  <si>
    <t>18.65±0.32</t>
  </si>
  <si>
    <t>19.67±0.46</t>
  </si>
  <si>
    <t>491.22±42.60</t>
  </si>
  <si>
    <t>631.81±18.60</t>
  </si>
  <si>
    <t>395.33±24.70</t>
  </si>
  <si>
    <t>254.11±5.80</t>
  </si>
  <si>
    <t>281.12±11.30</t>
  </si>
  <si>
    <t>364.22±18.50</t>
  </si>
  <si>
    <t>701.34±16.12</t>
  </si>
  <si>
    <t>953.43±26.00</t>
  </si>
  <si>
    <t>602.92±36.49</t>
  </si>
  <si>
    <t>502.42±4.39</t>
  </si>
  <si>
    <t>510.73±13.85</t>
  </si>
  <si>
    <t>536.52±16.97</t>
  </si>
  <si>
    <t>10.95±0.40</t>
  </si>
  <si>
    <t>12.96±0.15</t>
  </si>
  <si>
    <t>9.13±0.25</t>
  </si>
  <si>
    <t>7.17±0.16</t>
  </si>
  <si>
    <t>6.61±0.16</t>
  </si>
  <si>
    <t>6.64±0.20</t>
  </si>
  <si>
    <t>34.13±1.22</t>
  </si>
  <si>
    <t>34.14±0.37</t>
  </si>
  <si>
    <t>31.34±0.76</t>
  </si>
  <si>
    <t>23.92±0.91</t>
  </si>
  <si>
    <t>22.83±0.67</t>
  </si>
  <si>
    <t>22.40±0.85</t>
  </si>
  <si>
    <t>495.62±19.24</t>
  </si>
  <si>
    <t>886.13±44.98</t>
  </si>
  <si>
    <t>546.41±32.19</t>
  </si>
  <si>
    <t>189.52±4.78</t>
  </si>
  <si>
    <t>81.16±10.39</t>
  </si>
  <si>
    <t>90.55±14.42</t>
  </si>
  <si>
    <t>2-苯乙酸乙酯</t>
  </si>
  <si>
    <t>4013.00±148.12</t>
  </si>
  <si>
    <t>5923.89±192.32</t>
  </si>
  <si>
    <t>3615.12±301.72</t>
  </si>
  <si>
    <t>1619.00±89.51</t>
  </si>
  <si>
    <t>895.33±75.93</t>
  </si>
  <si>
    <t>883.62±38.27</t>
  </si>
  <si>
    <t>乙酸-2-苯乙酯</t>
  </si>
  <si>
    <t>334.32±8.50</t>
  </si>
  <si>
    <t>234.12±10.97</t>
  </si>
  <si>
    <t>289.72±12.59</t>
  </si>
  <si>
    <t>119.22±11.36</t>
  </si>
  <si>
    <t>67.23±7.26</t>
  </si>
  <si>
    <t>88.11±3.58</t>
  </si>
  <si>
    <t>3779.98±169.51</t>
  </si>
  <si>
    <t>3454.23±32.91</t>
  </si>
  <si>
    <t>3191.00±31.96</t>
  </si>
  <si>
    <t>1772.89±201.92</t>
  </si>
  <si>
    <t>1737.00±22.27</t>
  </si>
  <si>
    <t>1866.38±100.32</t>
  </si>
  <si>
    <t>14.16±0.35</t>
  </si>
  <si>
    <t>15.23±0.43</t>
  </si>
  <si>
    <t>17.71±1.24</t>
  </si>
  <si>
    <t>8.14±0.87</t>
  </si>
  <si>
    <t>6.04±0.25</t>
  </si>
  <si>
    <t>6.33±0.30</t>
  </si>
  <si>
    <t>丁酸-2-苯乙酯</t>
  </si>
  <si>
    <t>446.34±23.15</t>
  </si>
  <si>
    <t>338.32±9.23</t>
  </si>
  <si>
    <t>620.21±19.06</t>
  </si>
  <si>
    <t>266.00±26.79</t>
  </si>
  <si>
    <t>239.72±23.10</t>
  </si>
  <si>
    <t>256.00±6.07</t>
  </si>
  <si>
    <t>62.61±6.64</t>
  </si>
  <si>
    <t>57.55±2.29</t>
  </si>
  <si>
    <t>60.47±4.17</t>
  </si>
  <si>
    <t>27.64±1.13</t>
  </si>
  <si>
    <t>29.84±4.13</t>
  </si>
  <si>
    <t>28.75±1.08</t>
  </si>
  <si>
    <t>酚类</t>
  </si>
  <si>
    <t>1087.00±0.81</t>
  </si>
  <si>
    <t>1588.99±50.17</t>
  </si>
  <si>
    <t>1178.12±140.52</t>
  </si>
  <si>
    <t>442.11±66.11</t>
  </si>
  <si>
    <t>351.32±31.72</t>
  </si>
  <si>
    <t>383.10±24.90</t>
  </si>
  <si>
    <t>1053.33±19.72</t>
  </si>
  <si>
    <t>638.61±53.08</t>
  </si>
  <si>
    <t>855.62±73.52</t>
  </si>
  <si>
    <t>373.00±48.96</t>
  </si>
  <si>
    <t>341.62±57.39</t>
  </si>
  <si>
    <t>437.61±44.51</t>
  </si>
  <si>
    <t>453.31±25.40</t>
  </si>
  <si>
    <t>168.42±5.23</t>
  </si>
  <si>
    <t>280.73±6.06</t>
  </si>
  <si>
    <t>254.42±37.12</t>
  </si>
  <si>
    <t>307.44±19.84</t>
  </si>
  <si>
    <t>373.32±63.62</t>
  </si>
  <si>
    <t>缩醛及其他</t>
  </si>
  <si>
    <t>28.47±1.92</t>
  </si>
  <si>
    <t>90.36±4.17</t>
  </si>
  <si>
    <t>53.52±2.31</t>
  </si>
  <si>
    <t>19.17±2.45</t>
  </si>
  <si>
    <t>12.09±1.85</t>
  </si>
  <si>
    <t>9.61±1.07</t>
  </si>
  <si>
    <t>18.81±0.57</t>
  </si>
  <si>
    <t>28.78±0.37</t>
  </si>
  <si>
    <t>17.50±0.61</t>
  </si>
  <si>
    <t>13.08±0.62</t>
  </si>
  <si>
    <t>10.81±0.16</t>
  </si>
  <si>
    <t>11.09±0.10</t>
  </si>
  <si>
    <t>异戊酸 (3-甲基丁酸)</t>
  </si>
  <si>
    <t>对甲酚 (4-甲基苯酚代)</t>
  </si>
  <si>
    <t>异丁酸 (2-甲基丙酸)</t>
  </si>
  <si>
    <t>丁酸己酯 (丁酸-2-苯乙酯代用)</t>
  </si>
  <si>
    <t>JNC</t>
  </si>
  <si>
    <t>LZLJ</t>
  </si>
  <si>
    <t>934.32±18.51</t>
  </si>
  <si>
    <t>1177.00±25.91</t>
  </si>
  <si>
    <t>980.81±23.53</t>
  </si>
  <si>
    <t>630.52±6.49</t>
  </si>
  <si>
    <t>262.22±24.64</t>
  </si>
  <si>
    <t>323.12±7.36</t>
  </si>
  <si>
    <t>177.44±5.39</t>
  </si>
  <si>
    <t>267.42±19.03</t>
  </si>
  <si>
    <t>99.10±0.97</t>
  </si>
  <si>
    <t>235.91±6.50</t>
  </si>
  <si>
    <t>147.82±2.24</t>
  </si>
  <si>
    <t>19.80±5.98</t>
  </si>
  <si>
    <t>35.55±1.17</t>
  </si>
  <si>
    <t>2.20±0.21</t>
  </si>
  <si>
    <t>37.66±1.58</t>
  </si>
  <si>
    <t>1248.00±22.47</t>
  </si>
  <si>
    <t>1387.89±35.15</t>
  </si>
  <si>
    <t>1591.00±26.08</t>
  </si>
  <si>
    <t>882.91±7.24</t>
  </si>
  <si>
    <t>1242.00±35.75</t>
  </si>
  <si>
    <t>133.42±2.04</t>
  </si>
  <si>
    <t>112.72±6.01</t>
  </si>
  <si>
    <t>254.51±12.98</t>
  </si>
  <si>
    <t>57.79±10.52</t>
  </si>
  <si>
    <t>1649.11±11.96</t>
  </si>
  <si>
    <t>395.81±30.46</t>
  </si>
  <si>
    <t>267.42±15.46</t>
  </si>
  <si>
    <t>600.61±30.99</t>
  </si>
  <si>
    <t>314.61±8.23</t>
  </si>
  <si>
    <t>990.32±15.81</t>
  </si>
  <si>
    <t>3.99±0.19</t>
  </si>
  <si>
    <t>1.39±0.06</t>
  </si>
  <si>
    <t>4.98±0.18</t>
  </si>
  <si>
    <t>1.58±0.088</t>
  </si>
  <si>
    <t>15.89±0.16</t>
  </si>
  <si>
    <t>16.63±1.66</t>
  </si>
  <si>
    <t>13.82±1.65</t>
  </si>
  <si>
    <t>34.32±0.94</t>
  </si>
  <si>
    <t>12.14±0.73</t>
  </si>
  <si>
    <t>24.92±1.02</t>
  </si>
  <si>
    <t>2301.00±142.21</t>
  </si>
  <si>
    <t>180.91±16.49</t>
  </si>
  <si>
    <t>3021.00±228.32</t>
  </si>
  <si>
    <t>1112.21±63.02</t>
  </si>
  <si>
    <t>6412.11±299.72</t>
  </si>
  <si>
    <t>595.52±20.81</t>
  </si>
  <si>
    <t>451.02±10.42</t>
  </si>
  <si>
    <t>635.52±18.39</t>
  </si>
  <si>
    <t>730.22±11.09</t>
  </si>
  <si>
    <t>1006.12±22.05</t>
  </si>
  <si>
    <t>400.61±15.59</t>
  </si>
  <si>
    <t>131.83±7.61</t>
  </si>
  <si>
    <t>629.52±2.43</t>
  </si>
  <si>
    <t>104.62±2.17</t>
  </si>
  <si>
    <t>574.21±32.18</t>
  </si>
  <si>
    <t>2.28±0.04</t>
  </si>
  <si>
    <t>3.78±0.28</t>
  </si>
  <si>
    <t>4.69±0.32</t>
  </si>
  <si>
    <t>3.24±0.01</t>
  </si>
  <si>
    <t>37.41±0.58</t>
  </si>
  <si>
    <t>15.63±0.06</t>
  </si>
  <si>
    <t>15.19±0.70</t>
  </si>
  <si>
    <t>31.82±1.99</t>
  </si>
  <si>
    <t>22.47±0.80</t>
  </si>
  <si>
    <t>67.72±1.02</t>
  </si>
  <si>
    <t>9.98±0.44</t>
  </si>
  <si>
    <t>1.74±0.10</t>
  </si>
  <si>
    <t>15.26±1.86</t>
  </si>
  <si>
    <t>6.51±0.24</t>
  </si>
  <si>
    <t>26.66±0.44</t>
  </si>
  <si>
    <t>135.91±14.81</t>
  </si>
  <si>
    <t>462.93±50.05</t>
  </si>
  <si>
    <t>511.61±24.27</t>
  </si>
  <si>
    <t>180.22±5.75</t>
  </si>
  <si>
    <t>5583.96±63.11</t>
  </si>
  <si>
    <t>50.27±6.07</t>
  </si>
  <si>
    <t>15.23±0.99</t>
  </si>
  <si>
    <t>87.41±7.08</t>
  </si>
  <si>
    <t>19.55±1.67</t>
  </si>
  <si>
    <t>91.28±10.77</t>
  </si>
  <si>
    <t>749.71±18.43</t>
  </si>
  <si>
    <t>684.02±45.55</t>
  </si>
  <si>
    <t>1223.89±67.53</t>
  </si>
  <si>
    <t>547.12±8.94</t>
  </si>
  <si>
    <t>2827.00±19.57</t>
  </si>
  <si>
    <t>2.91±0.07</t>
  </si>
  <si>
    <t>3.49±0.22</t>
  </si>
  <si>
    <t>4.47±0.26</t>
  </si>
  <si>
    <t>3.83±0.12</t>
  </si>
  <si>
    <t>26.98±0.86</t>
  </si>
  <si>
    <t>1806.01±38.95</t>
  </si>
  <si>
    <t>950.81±97.57</t>
  </si>
  <si>
    <t>1258.00±85.04</t>
  </si>
  <si>
    <t>1213.98±35.94</t>
  </si>
  <si>
    <t>3587.00±133.21</t>
  </si>
  <si>
    <t>157.82±7.57</t>
  </si>
  <si>
    <t>138.72±12.29</t>
  </si>
  <si>
    <t>1007.12±34.42</t>
  </si>
  <si>
    <t>2668±1.386</t>
  </si>
  <si>
    <t>1467±19.01</t>
  </si>
  <si>
    <t>2219±208.5</t>
  </si>
  <si>
    <t>1747±237.6</t>
  </si>
  <si>
    <t>7628.00±922.91</t>
  </si>
  <si>
    <t>842.12±21.94</t>
  </si>
  <si>
    <t>37.46±2.44</t>
  </si>
  <si>
    <t>122.22±7.82</t>
  </si>
  <si>
    <t>101.31±9.10</t>
  </si>
  <si>
    <t>286.92±26.24</t>
  </si>
  <si>
    <t>34.42±1.19</t>
  </si>
  <si>
    <t>27.17±5.57</t>
  </si>
  <si>
    <t>62.96±0.33</t>
  </si>
  <si>
    <t>24.08±0.67</t>
  </si>
  <si>
    <t>47.13±2.27</t>
  </si>
  <si>
    <t>135.12±2.90</t>
  </si>
  <si>
    <t>34.04±2.11</t>
  </si>
  <si>
    <t>149.22±13.59</t>
  </si>
  <si>
    <t>52.72±1.08</t>
  </si>
  <si>
    <t>83.18±7.16</t>
  </si>
  <si>
    <t>200.61±2.57</t>
  </si>
  <si>
    <t>23.72±0.35</t>
  </si>
  <si>
    <t>162.82±2.90</t>
  </si>
  <si>
    <t>82.23±0.31</t>
  </si>
  <si>
    <t>78.14±1.42</t>
  </si>
  <si>
    <t>143.63±2.45</t>
  </si>
  <si>
    <t>23.53±7.17</t>
  </si>
  <si>
    <t>115.82±2.50</t>
  </si>
  <si>
    <t>8.07±0.04</t>
  </si>
  <si>
    <t>25.95±4.50</t>
  </si>
  <si>
    <t>22.42±0.53</t>
  </si>
  <si>
    <t>24.34±0.77</t>
  </si>
  <si>
    <t>161.00±2.51</t>
  </si>
  <si>
    <t>37.44±0.11</t>
  </si>
  <si>
    <t>145.82±3.46</t>
  </si>
  <si>
    <t>372.03±3.95</t>
  </si>
  <si>
    <t>73.01±1.27</t>
  </si>
  <si>
    <t>374.73±6.99</t>
  </si>
  <si>
    <t>193.12±0.88</t>
  </si>
  <si>
    <t>230.51±4.27</t>
  </si>
  <si>
    <t>2864.00±165.01</t>
  </si>
  <si>
    <t>3560.01±86.50</t>
  </si>
  <si>
    <t>5396.99±221.62</t>
  </si>
  <si>
    <t>3113.15±22.26</t>
  </si>
  <si>
    <t>7275.27±225.62</t>
  </si>
  <si>
    <t>26.26±0.20</t>
  </si>
  <si>
    <t>23.55±2.58</t>
  </si>
  <si>
    <t>39.94±1.23</t>
  </si>
  <si>
    <t>22.78±0.30</t>
  </si>
  <si>
    <t>42.71±2.97</t>
  </si>
  <si>
    <t>1687.00±15.80</t>
  </si>
  <si>
    <t>1990.18±71.30</t>
  </si>
  <si>
    <t>2363.29±9.70</t>
  </si>
  <si>
    <t>2089.00±63.55</t>
  </si>
  <si>
    <t>3952.17±145.92</t>
  </si>
  <si>
    <t>750.21±28.77</t>
  </si>
  <si>
    <t>691.94±15.11</t>
  </si>
  <si>
    <t>936.92±2.69</t>
  </si>
  <si>
    <t>1066.93±4.62</t>
  </si>
  <si>
    <t>1186.00±10.79</t>
  </si>
  <si>
    <t>359.92±2.64</t>
  </si>
  <si>
    <t>888.62±36.02</t>
  </si>
  <si>
    <t>370.91±6.40</t>
  </si>
  <si>
    <t>666.52±8.62</t>
  </si>
  <si>
    <t>486.89±1.67</t>
  </si>
  <si>
    <t>8.15±0.05</t>
  </si>
  <si>
    <t>12.67±0.53</t>
  </si>
  <si>
    <t>9.55±0.14</t>
  </si>
  <si>
    <t>6.39±0.24</t>
  </si>
  <si>
    <t>10.89±0.14</t>
  </si>
  <si>
    <t>6.43±0.01</t>
  </si>
  <si>
    <t>11.96±0.32</t>
  </si>
  <si>
    <t>5.37±0.12</t>
  </si>
  <si>
    <t>4.76±0.25</t>
  </si>
  <si>
    <t>9.33±0.14</t>
  </si>
  <si>
    <t>118.83±0.55</t>
  </si>
  <si>
    <t>105.31±0.82</t>
  </si>
  <si>
    <t>123.42±2.47</t>
  </si>
  <si>
    <t>75.37±0.01</t>
  </si>
  <si>
    <t>150.32±1.32</t>
  </si>
  <si>
    <t>5.45±0.10</t>
  </si>
  <si>
    <t>16.57±0.77</t>
  </si>
  <si>
    <t>10.57±0.02</t>
  </si>
  <si>
    <t>1.75±0.21</t>
  </si>
  <si>
    <t>5.48±0.15</t>
  </si>
  <si>
    <t>32.78±0.16</t>
  </si>
  <si>
    <t>32.76±0.29</t>
  </si>
  <si>
    <t>54.79±0.98</t>
  </si>
  <si>
    <t>20.11±0.63</t>
  </si>
  <si>
    <t>31.11±0.30</t>
  </si>
  <si>
    <t>455.63±17.05</t>
  </si>
  <si>
    <t>685.61±84.98</t>
  </si>
  <si>
    <t>626.72±35.44</t>
  </si>
  <si>
    <t>322.22±21.04</t>
  </si>
  <si>
    <t>530.81±49.35</t>
  </si>
  <si>
    <t>1988.97±30.56</t>
  </si>
  <si>
    <t>732.52±21.51</t>
  </si>
  <si>
    <t>2856.00±327.11</t>
  </si>
  <si>
    <t>576.22±13.32</t>
  </si>
  <si>
    <t>1678.00±51.97</t>
  </si>
  <si>
    <t>9.81±0.14</t>
  </si>
  <si>
    <t>12.98±0.95</t>
  </si>
  <si>
    <t>24.32±0.02</t>
  </si>
  <si>
    <t>11.86±0.45</t>
  </si>
  <si>
    <t>13.53±0.19</t>
  </si>
  <si>
    <t>14.23±0.09</t>
  </si>
  <si>
    <t>25.64±1.56</t>
  </si>
  <si>
    <t>29.84±0.17</t>
  </si>
  <si>
    <t>34.77±0.98</t>
  </si>
  <si>
    <t>49.48±0.57</t>
  </si>
  <si>
    <t>660.72±17.34</t>
  </si>
  <si>
    <t>211.81±18.44</t>
  </si>
  <si>
    <t>844.82±65.98</t>
  </si>
  <si>
    <t>1125.00±86.22</t>
  </si>
  <si>
    <t>1142.98±71.54</t>
  </si>
  <si>
    <t>4034.00±335.22</t>
  </si>
  <si>
    <t>1801.00±123.31</t>
  </si>
  <si>
    <t>7235.23±674.93</t>
  </si>
  <si>
    <t>644.12±85.36</t>
  </si>
  <si>
    <t>5483.96±265.92</t>
  </si>
  <si>
    <t>68.66±1.25</t>
  </si>
  <si>
    <t>12.41±1.97</t>
  </si>
  <si>
    <t>40.74±6.16</t>
  </si>
  <si>
    <t>26.63±5.56</t>
  </si>
  <si>
    <t>320.42±20.16</t>
  </si>
  <si>
    <t>4061.00±123.81</t>
  </si>
  <si>
    <t>1662.33±96.00</t>
  </si>
  <si>
    <t>3626.12±435.02</t>
  </si>
  <si>
    <t>1556.23±136.72</t>
  </si>
  <si>
    <t>6649.11±73.05</t>
  </si>
  <si>
    <t>13.66±0.55</t>
  </si>
  <si>
    <t>7.95±0.07</t>
  </si>
  <si>
    <t>12.39±1.28</t>
  </si>
  <si>
    <t>4.35±0.40</t>
  </si>
  <si>
    <t>13.54±1.18</t>
  </si>
  <si>
    <t>1159.00±18.35</t>
  </si>
  <si>
    <t>397.43±10.95</t>
  </si>
  <si>
    <t>575.21±64.01</t>
  </si>
  <si>
    <t>283.42±6.51</t>
  </si>
  <si>
    <t>1105.00±49.39</t>
  </si>
  <si>
    <t>270.89±13.42</t>
  </si>
  <si>
    <t>61.52±4.49</t>
  </si>
  <si>
    <t>85.13±10.32</t>
  </si>
  <si>
    <t>59.34±4.24</t>
  </si>
  <si>
    <t>177.41±22.20</t>
  </si>
  <si>
    <t>22.55±1.45</t>
  </si>
  <si>
    <t>30.55±2.00</t>
  </si>
  <si>
    <t>185.32±26.57</t>
  </si>
  <si>
    <t>488.00±60.71</t>
  </si>
  <si>
    <t>1543.98±54.43</t>
  </si>
  <si>
    <t>648.31±18.53</t>
  </si>
  <si>
    <t>2498.01±247.32</t>
  </si>
  <si>
    <t>152.21±32.99</t>
  </si>
  <si>
    <t>1189.00±105.91</t>
  </si>
  <si>
    <t>18.22±1.68</t>
  </si>
  <si>
    <t>22.96±4.29</t>
  </si>
  <si>
    <t>143.72±19.32</t>
  </si>
  <si>
    <t>501.32±4.91</t>
  </si>
  <si>
    <t>2030.97±48.77</t>
  </si>
  <si>
    <t>1133.00±32.06</t>
  </si>
  <si>
    <t>4109.12±33.79</t>
  </si>
  <si>
    <t>342.52±82.26</t>
  </si>
  <si>
    <t>2331.23±70.35</t>
  </si>
  <si>
    <t>705.52±35.36</t>
  </si>
  <si>
    <t>281.72±10.44</t>
  </si>
  <si>
    <t>1300.12±3.98</t>
  </si>
  <si>
    <t>129.61±5.45</t>
  </si>
  <si>
    <t>598.82±27.41</t>
  </si>
  <si>
    <t>34.67±0.65</t>
  </si>
  <si>
    <t>39.61±2.85</t>
  </si>
  <si>
    <t>64.31±3.21</t>
  </si>
  <si>
    <t>11.28±0.26</t>
  </si>
  <si>
    <t>15.98±0.75</t>
  </si>
  <si>
    <t>1,1-二乙氧基-2-苯乙烷</t>
  </si>
  <si>
    <t>895.72±28.94</t>
  </si>
  <si>
    <t>300.81±20.70</t>
  </si>
  <si>
    <t>592.41±63.86</t>
  </si>
  <si>
    <t>165.91±0.12</t>
  </si>
  <si>
    <t>589.42±4.51</t>
  </si>
  <si>
    <t>29.42±0.25</t>
  </si>
  <si>
    <t>36.63±1.23</t>
  </si>
  <si>
    <t>29.90±0.16</t>
  </si>
  <si>
    <t>4.72±0.11</t>
  </si>
  <si>
    <t>14.89±0.16</t>
  </si>
  <si>
    <t>棕榈酸乙酯 (十二酸代用)</t>
  </si>
  <si>
    <t>丁酸异戊酯 (丁酸-3-甲丁酯)</t>
  </si>
  <si>
    <t>4-乙基-2-甲氧基苯酚 (4-乙基愈创木酚代)</t>
  </si>
  <si>
    <t>对甲酚 (4-甲基苯酚代用)</t>
  </si>
  <si>
    <t>乙酸苯乙酯 (乙酸-2-苯乙酯)</t>
  </si>
  <si>
    <t>阈值 (μg·L⁻¹)</t>
  </si>
  <si>
    <t>新酒浓度</t>
  </si>
  <si>
    <t>老酒浓度</t>
  </si>
  <si>
    <t>4403.31±54.45</t>
  </si>
  <si>
    <t>3405.12±61.77</t>
  </si>
  <si>
    <t>488.11±4.63</t>
  </si>
  <si>
    <t>498.73±20.80</t>
  </si>
  <si>
    <t>81.34±5.10</t>
  </si>
  <si>
    <t>53.45±4.67</t>
  </si>
  <si>
    <t>3152.22±25.10</t>
  </si>
  <si>
    <t>4460.03±81.02</t>
  </si>
  <si>
    <t>7523.13±397.10</t>
  </si>
  <si>
    <t>5036.23±759.91</t>
  </si>
  <si>
    <t>1115.00±49.11</t>
  </si>
  <si>
    <t>1170.21±150.10</t>
  </si>
  <si>
    <t>19.92±1.11</t>
  </si>
  <si>
    <t>15.96±1.41</t>
  </si>
  <si>
    <t>60.37±1.62</t>
  </si>
  <si>
    <t>54.68±3.42</t>
  </si>
  <si>
    <t>7654.12±359.41</t>
  </si>
  <si>
    <t>8991.10±193.62</t>
  </si>
  <si>
    <t>2674.22±14.49</t>
  </si>
  <si>
    <t>823.11±13.14</t>
  </si>
  <si>
    <t>1268.01±44.69</t>
  </si>
  <si>
    <t>1150.20±11.08</t>
  </si>
  <si>
    <t>34.47±1.67</t>
  </si>
  <si>
    <t>23.05±0.09</t>
  </si>
  <si>
    <t>168.10±5.38</t>
  </si>
  <si>
    <t>131.00±13.19</t>
  </si>
  <si>
    <t>16.21±0.02156</t>
  </si>
  <si>
    <t>22.18±0.64</t>
  </si>
  <si>
    <t>2944.01±72.38</t>
  </si>
  <si>
    <t>1994.00±84.65</t>
  </si>
  <si>
    <t>249.21±20.51</t>
  </si>
  <si>
    <t>81.34±5.64</t>
  </si>
  <si>
    <t>3006.00±71.36</t>
  </si>
  <si>
    <t>2785.23±73.48</t>
  </si>
  <si>
    <t>11.84±0.39</t>
  </si>
  <si>
    <t>12.66±0.85</t>
  </si>
  <si>
    <t>4468.11±327.61</t>
  </si>
  <si>
    <t>5016.34±490.61</t>
  </si>
  <si>
    <t>1058.13±158.02</t>
  </si>
  <si>
    <t>1121.00±81.75</t>
  </si>
  <si>
    <t>50.54±1.22</t>
  </si>
  <si>
    <t>53.56±3.79</t>
  </si>
  <si>
    <t>102.82±5.71</t>
  </si>
  <si>
    <t>141.81±21.10</t>
  </si>
  <si>
    <t>31.96±4.98</t>
  </si>
  <si>
    <t>39.33±1.58</t>
  </si>
  <si>
    <t>112.11±1.71</t>
  </si>
  <si>
    <t>102.82±7.43</t>
  </si>
  <si>
    <t>232.72±1.17</t>
  </si>
  <si>
    <t>346.10±5.13</t>
  </si>
  <si>
    <t>47.36±0.60</t>
  </si>
  <si>
    <t>32.16±2.43</t>
  </si>
  <si>
    <t>184.13±1.52</t>
  </si>
  <si>
    <t>113.93±2.32</t>
  </si>
  <si>
    <t>522.41±2.83</t>
  </si>
  <si>
    <t>651.93±9.95</t>
  </si>
  <si>
    <t>1189.00±4.80</t>
  </si>
  <si>
    <t>118.32±30.60</t>
  </si>
  <si>
    <t>48.91±1.04</t>
  </si>
  <si>
    <t>78.71±1.17</t>
  </si>
  <si>
    <t>13.24±0.33</t>
  </si>
  <si>
    <t>11.28±0.39</t>
  </si>
  <si>
    <t>358.81±9.56</t>
  </si>
  <si>
    <t>474.83±6.12</t>
  </si>
  <si>
    <t>778.72±21.19</t>
  </si>
  <si>
    <t>1016.00±71.77</t>
  </si>
  <si>
    <t>14.31±0.15</t>
  </si>
  <si>
    <t>12.21±0.93</t>
  </si>
  <si>
    <t>23.09±0.06</t>
  </si>
  <si>
    <t>12.95±0.72</t>
  </si>
  <si>
    <t>122.82±0.49</t>
  </si>
  <si>
    <t>148.11±1.65</t>
  </si>
  <si>
    <t>8.95±0.33</t>
  </si>
  <si>
    <t>3.66±0.26</t>
  </si>
  <si>
    <t>33.18±0.13</t>
  </si>
  <si>
    <t>40.81±0.65</t>
  </si>
  <si>
    <t>1473.03±138.51</t>
  </si>
  <si>
    <t>621.12±75.06</t>
  </si>
  <si>
    <t>427.92±3.63</t>
  </si>
  <si>
    <t>809.53±18.27</t>
  </si>
  <si>
    <t>16.32±0.86</t>
  </si>
  <si>
    <t>23.92±1.54</t>
  </si>
  <si>
    <t>73.41±0.54</t>
  </si>
  <si>
    <t>98.06±4.09</t>
  </si>
  <si>
    <t>1941.21±74.00</t>
  </si>
  <si>
    <t>1080.11±122.32</t>
  </si>
  <si>
    <t>5957.42±478.22</t>
  </si>
  <si>
    <t>2014.00±260.92</t>
  </si>
  <si>
    <t>1249.23±125.00</t>
  </si>
  <si>
    <t>649.41±64.04</t>
  </si>
  <si>
    <t>17.95±0.79</t>
  </si>
  <si>
    <t>6.93±0.31</t>
  </si>
  <si>
    <t>41.06±3.63</t>
  </si>
  <si>
    <t>48.45±5.34</t>
  </si>
  <si>
    <t>996.51±94.79</t>
  </si>
  <si>
    <t>935.93±73.77</t>
  </si>
  <si>
    <t>105.00±6.51</t>
  </si>
  <si>
    <t>145.72±16.63</t>
  </si>
  <si>
    <t>1523.00±171.22</t>
  </si>
  <si>
    <t>219.72±18.32</t>
  </si>
  <si>
    <t>2595.11±327.22</t>
  </si>
  <si>
    <t>4587.03±29.42</t>
  </si>
  <si>
    <t>1158.12±17.81</t>
  </si>
  <si>
    <t>96.91±10.02</t>
  </si>
  <si>
    <t>7394.10±81.05</t>
  </si>
  <si>
    <t>6272.04±690.43</t>
  </si>
  <si>
    <t>3186±280.6</t>
  </si>
  <si>
    <t>2710±53.68</t>
  </si>
  <si>
    <t>缩醛类及其他</t>
  </si>
  <si>
    <t>34.65±3.53</t>
  </si>
  <si>
    <t>103.33±8.50</t>
  </si>
  <si>
    <t>2457±274.22</t>
  </si>
  <si>
    <t>493.15±44.06</t>
  </si>
  <si>
    <t>10.15±0.14</t>
  </si>
  <si>
    <t>&lt;q.l.</t>
  </si>
  <si>
    <t>2-甲氧基-4-甲基苯酚 (4-甲基愈创木酚代)</t>
  </si>
  <si>
    <t>沂蒙老区新老原酒μg/L</t>
    <phoneticPr fontId="2" type="noConversion"/>
  </si>
  <si>
    <t>沂蒙老区6成品酒μg/L</t>
    <phoneticPr fontId="2" type="noConversion"/>
  </si>
  <si>
    <r>
      <t>典型5浓香型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宋体"/>
        <family val="2"/>
        <charset val="134"/>
      </rPr>
      <t>g/L</t>
    </r>
    <phoneticPr fontId="2" type="noConversion"/>
  </si>
  <si>
    <t>一级好酒</t>
  </si>
  <si>
    <t>一级差酒</t>
  </si>
  <si>
    <t>二级好酒</t>
  </si>
  <si>
    <t>二级差酒</t>
  </si>
  <si>
    <t>三级酒</t>
  </si>
  <si>
    <t>234.30±57.20</t>
  </si>
  <si>
    <t>218.77±51.52</t>
  </si>
  <si>
    <t>203.93±45.51</t>
  </si>
  <si>
    <t>220.99±85.07</t>
  </si>
  <si>
    <t>163.87±46.21</t>
  </si>
  <si>
    <t>91.49±26.60</t>
  </si>
  <si>
    <t>107.57±38.25</t>
  </si>
  <si>
    <t>124.76±44.57</t>
  </si>
  <si>
    <t>114.53±25.26</t>
  </si>
  <si>
    <t>117.60±45.20</t>
  </si>
  <si>
    <t>83.57±19.13</t>
  </si>
  <si>
    <t>98.08±31.98</t>
  </si>
  <si>
    <t>94.38±33.72</t>
  </si>
  <si>
    <t>83.75±44.70</t>
  </si>
  <si>
    <t>65.51±31.54</t>
  </si>
  <si>
    <t>28.38±10.92</t>
  </si>
  <si>
    <t>28.30±8.68</t>
  </si>
  <si>
    <t>25.94±24.34</t>
  </si>
  <si>
    <t>20.92±9.45</t>
  </si>
  <si>
    <t>19.81±10.84</t>
  </si>
  <si>
    <t>8.32±2.81</t>
  </si>
  <si>
    <t>12.55±6.53</t>
  </si>
  <si>
    <t>12.32±5.95</t>
  </si>
  <si>
    <t>10.65±4.21</t>
  </si>
  <si>
    <t>17.40±9.23</t>
  </si>
  <si>
    <t>26.57±13.17</t>
  </si>
  <si>
    <t>23.83±11.04</t>
  </si>
  <si>
    <t>18.91±8.50</t>
  </si>
  <si>
    <t>31.43±13.53</t>
  </si>
  <si>
    <t>15.71±4.52</t>
  </si>
  <si>
    <t>31.08±19.38</t>
  </si>
  <si>
    <t>31.08±21.52</t>
  </si>
  <si>
    <t>18.55±13.61</t>
  </si>
  <si>
    <t>37.01±20.47</t>
  </si>
  <si>
    <t>13.89±6.02</t>
  </si>
  <si>
    <t>dl-2-羟基己酸乙酯</t>
  </si>
  <si>
    <t>3.40±1.07</t>
  </si>
  <si>
    <t>3.62±1.38</t>
  </si>
  <si>
    <t>2.47±0.63</t>
  </si>
  <si>
    <t>5.41±1.59</t>
  </si>
  <si>
    <t>8.08±3.02</t>
  </si>
  <si>
    <t>16.01±5.91</t>
  </si>
  <si>
    <t>14.41±4.27</t>
  </si>
  <si>
    <t>12.82±5.03</t>
  </si>
  <si>
    <t>14.46±7.98</t>
  </si>
  <si>
    <t>7.20±2.84</t>
  </si>
  <si>
    <t>十四烷酸乙酯</t>
  </si>
  <si>
    <t>2.00±0.96</t>
  </si>
  <si>
    <t>2.79±1.44</t>
  </si>
  <si>
    <t>2.93±2.63</t>
  </si>
  <si>
    <t>4.34±1.16</t>
  </si>
  <si>
    <t>6.69±7.24</t>
  </si>
  <si>
    <t>12.76±8.04</t>
  </si>
  <si>
    <t>7.15±4.11</t>
  </si>
  <si>
    <t>8.77±6.76</t>
  </si>
  <si>
    <t>10.57±5.33</t>
  </si>
  <si>
    <t>5.58±3.04</t>
  </si>
  <si>
    <t>11.13±5.23</t>
  </si>
  <si>
    <t>9.79±3.60</t>
  </si>
  <si>
    <t>7.59±3.37</t>
  </si>
  <si>
    <t>10.29±4.65</t>
  </si>
  <si>
    <t>5.47±2.03</t>
  </si>
  <si>
    <t>甲酸己酯</t>
  </si>
  <si>
    <t>5.17±1.90</t>
  </si>
  <si>
    <t>6.86±3.05</t>
  </si>
  <si>
    <t>5.18±0.36</t>
  </si>
  <si>
    <t>8.37±3.25</t>
  </si>
  <si>
    <t>3.47±1.49</t>
  </si>
  <si>
    <t>8.15±2.10</t>
  </si>
  <si>
    <t>6.76±2.29</t>
  </si>
  <si>
    <t>11.47±19.56</t>
  </si>
  <si>
    <t>5.07±2.69</t>
  </si>
  <si>
    <t>2.55±1.20</t>
  </si>
  <si>
    <t>甲氧基乙酸-3-甲基丁酯</t>
  </si>
  <si>
    <t>0.00±0.00</t>
  </si>
  <si>
    <t>0±0</t>
  </si>
  <si>
    <t>0.92±0.05</t>
  </si>
  <si>
    <t>1.75±0.30</t>
  </si>
  <si>
    <t>2.16±0.56</t>
  </si>
  <si>
    <t>14.14±11.88</t>
  </si>
  <si>
    <t>10.86±4.41</t>
  </si>
  <si>
    <t>10.05±10.25</t>
  </si>
  <si>
    <t>7.33±3.44</t>
  </si>
  <si>
    <t>2.13±0.98</t>
  </si>
  <si>
    <t>11.53±4.57</t>
  </si>
  <si>
    <t>9.54±3.14</t>
  </si>
  <si>
    <t>10.82±14.95</t>
  </si>
  <si>
    <t>6.88±2.95</t>
  </si>
  <si>
    <t>2.05±0.66</t>
  </si>
  <si>
    <t>7.84±5.48</t>
  </si>
  <si>
    <t>6.17±2.22</t>
  </si>
  <si>
    <t>5.65±5.35</t>
  </si>
  <si>
    <t>4.00±1.92</t>
  </si>
  <si>
    <t>2.04±1.69</t>
  </si>
  <si>
    <t>5.78±3.15</t>
  </si>
  <si>
    <t>5.63±1.53</t>
  </si>
  <si>
    <t>4.87±4.69</t>
  </si>
  <si>
    <t>5.68±3.25</t>
  </si>
  <si>
    <t>1.97±1.53</t>
  </si>
  <si>
    <t>1.87±0.30</t>
  </si>
  <si>
    <t>3.18±1.90</t>
  </si>
  <si>
    <t>2.77±1.86</t>
  </si>
  <si>
    <t>3.23±1.85</t>
  </si>
  <si>
    <t>1.74±1.37</t>
  </si>
  <si>
    <t>已酸庚酯</t>
  </si>
  <si>
    <t>5.41±2.71</t>
  </si>
  <si>
    <t>7.70±7.37</t>
  </si>
  <si>
    <t>3.72±2.67</t>
  </si>
  <si>
    <t>2.37±0.60</t>
  </si>
  <si>
    <t>1.64±0.98</t>
  </si>
  <si>
    <t>0.75±0.06</t>
  </si>
  <si>
    <t>1.09±0.29</t>
  </si>
  <si>
    <t>1.00±0.42</t>
  </si>
  <si>
    <t>3.49±1.69</t>
  </si>
  <si>
    <t>3.30±1.20</t>
  </si>
  <si>
    <t>3.52±5.10</t>
  </si>
  <si>
    <t>2.04±0.95</t>
  </si>
  <si>
    <t>0.86±0.38</t>
  </si>
  <si>
    <t>2.77±1.13</t>
  </si>
  <si>
    <t>1.94±1.44</t>
  </si>
  <si>
    <t>0.84±0.50</t>
  </si>
  <si>
    <t>9-十六烯酸乙酯</t>
  </si>
  <si>
    <t>0.75±0.48</t>
  </si>
  <si>
    <t>0.73±0.41</t>
  </si>
  <si>
    <t>0.89±0.85</t>
  </si>
  <si>
    <t>0.49±0.29</t>
  </si>
  <si>
    <t>0.83±0.56</t>
  </si>
  <si>
    <t>E-11-十六碳烯酸乙酯</t>
  </si>
  <si>
    <t>0.72±0.31</t>
  </si>
  <si>
    <t>庚酸庚酯</t>
  </si>
  <si>
    <t>6.78±6.19</t>
  </si>
  <si>
    <t>4.30±2.19</t>
  </si>
  <si>
    <t>7.50±8.25</t>
  </si>
  <si>
    <t>3.85±2.74</t>
  </si>
  <si>
    <t>0.66±0.30</t>
  </si>
  <si>
    <t>2.00±0.90</t>
  </si>
  <si>
    <t>1.65±0.49</t>
  </si>
  <si>
    <t>1.20±0.25</t>
  </si>
  <si>
    <t>1.47±0.58</t>
  </si>
  <si>
    <t>0.65±0.42</t>
  </si>
  <si>
    <t>0.51±0.13</t>
  </si>
  <si>
    <t>0.43±0.06</t>
  </si>
  <si>
    <t>0.55±0.19</t>
  </si>
  <si>
    <t>庚酸-3-甲基丁酯</t>
  </si>
  <si>
    <t>0.61±0.27</t>
  </si>
  <si>
    <t>0.82±0.57</t>
  </si>
  <si>
    <t>1.16±0.00</t>
  </si>
  <si>
    <t>0.77±0.64</t>
  </si>
  <si>
    <t>0.53±0.21</t>
  </si>
  <si>
    <t>0.51±0.33</t>
  </si>
  <si>
    <t>0.41±0.36</t>
  </si>
  <si>
    <t>0.51±0.29</t>
  </si>
  <si>
    <t>0.69±0.24</t>
  </si>
  <si>
    <t>0.44±0.12</t>
  </si>
  <si>
    <t>十五烷酸乙酯</t>
  </si>
  <si>
    <t>0.25±0.09</t>
  </si>
  <si>
    <t>0.29±0.16</t>
  </si>
  <si>
    <t>0.37±0.31</t>
  </si>
  <si>
    <t>0.27±0.07</t>
  </si>
  <si>
    <t>0.42±0.35</t>
  </si>
  <si>
    <t>1.30±1.38</t>
  </si>
  <si>
    <t>0.75±0.34</t>
  </si>
  <si>
    <t>0.87±0.96</t>
  </si>
  <si>
    <t>0.56±0.28</t>
  </si>
  <si>
    <t>0.40±0.14</t>
  </si>
  <si>
    <t>0.39±0.10</t>
  </si>
  <si>
    <t>丁酸戊酯</t>
  </si>
  <si>
    <t>0.54±0.02</t>
  </si>
  <si>
    <t>0.38±0.07</t>
  </si>
  <si>
    <t>0.14±0.02</t>
  </si>
  <si>
    <t>0.14±0.04</t>
  </si>
  <si>
    <t>0.11±0.02</t>
  </si>
  <si>
    <t>0.36±0.30</t>
  </si>
  <si>
    <t>丙酸-2-甲基乙酯</t>
  </si>
  <si>
    <t>0.33±0.11</t>
  </si>
  <si>
    <t>0.36±0.02</t>
  </si>
  <si>
    <t>0.76±0.37</t>
  </si>
  <si>
    <t>0.62±0.38</t>
  </si>
  <si>
    <t>0.38±0.13</t>
  </si>
  <si>
    <t>1.04±0.72</t>
  </si>
  <si>
    <t>0.35±0.21</t>
  </si>
  <si>
    <t>0.31±0.10</t>
  </si>
  <si>
    <t>异丁酸异戊酯</t>
  </si>
  <si>
    <t>0.78±0.48</t>
  </si>
  <si>
    <t>0.85±0.41</t>
  </si>
  <si>
    <t>0.82±0.42</t>
  </si>
  <si>
    <t>0.27±0.06</t>
  </si>
  <si>
    <t>0.43±0.60</t>
  </si>
  <si>
    <t>0.22±0.17</t>
  </si>
  <si>
    <t>0.39±0.86</t>
  </si>
  <si>
    <t>0.05±0.03</t>
  </si>
  <si>
    <t>0.27±0.38</t>
  </si>
  <si>
    <t>3.82±1.45</t>
  </si>
  <si>
    <t>0.24±0.06</t>
  </si>
  <si>
    <t>(7E, 9E)-十二碳二烯基乙酸酯</t>
  </si>
  <si>
    <t>0.24±0.11</t>
  </si>
  <si>
    <t>0.14±0.03</t>
  </si>
  <si>
    <t>0.12±0.02</t>
  </si>
  <si>
    <t>0.21±0.05</t>
  </si>
  <si>
    <t>0.60±0.29</t>
  </si>
  <si>
    <t>0.49±0.21</t>
  </si>
  <si>
    <t>0.38±0.18</t>
  </si>
  <si>
    <t>0.17±0.12</t>
  </si>
  <si>
    <t>十二烷酸乙酯</t>
  </si>
  <si>
    <t>0.25±0.08</t>
  </si>
  <si>
    <t>0.29±0.07</t>
  </si>
  <si>
    <t>0.17±0.06</t>
  </si>
  <si>
    <t>0.47±0.27</t>
  </si>
  <si>
    <t>0.28±0.05</t>
  </si>
  <si>
    <t>0.09±0.02</t>
  </si>
  <si>
    <t>0.34±0.12</t>
  </si>
  <si>
    <t>0.35±0.08</t>
  </si>
  <si>
    <t>0.18±0.10</t>
  </si>
  <si>
    <t>0.16±0.06</t>
  </si>
  <si>
    <t>0.06±0.01</t>
  </si>
  <si>
    <t>十一烷酸乙酯</t>
  </si>
  <si>
    <t>0.88±0.75</t>
  </si>
  <si>
    <t>0.21±0.04</t>
  </si>
  <si>
    <t>1.29±0.56</t>
  </si>
  <si>
    <t>0.21±0.08</t>
  </si>
  <si>
    <t>0.05±0.01</t>
  </si>
  <si>
    <t>0.08±0.02</t>
  </si>
  <si>
    <t>0.11±0.05</t>
  </si>
  <si>
    <t>0.03±0.01</t>
  </si>
  <si>
    <t>0.05±0.00</t>
  </si>
  <si>
    <t>0.02±0.01</t>
  </si>
  <si>
    <t>甲酸辛酯</t>
  </si>
  <si>
    <t>1.24±0.34</t>
  </si>
  <si>
    <t>1.84±0.36</t>
  </si>
  <si>
    <t>1.31±0.15</t>
  </si>
  <si>
    <t>1.03±0.14</t>
  </si>
  <si>
    <t>1.06±0.66</t>
  </si>
  <si>
    <t>1.33±1.09</t>
  </si>
  <si>
    <t>0.45±0.14</t>
  </si>
  <si>
    <t>0.41±0.11</t>
  </si>
  <si>
    <t>0.37±0.14</t>
  </si>
  <si>
    <t>十三烷酸乙酯</t>
  </si>
  <si>
    <t>0.40±0.23</t>
  </si>
  <si>
    <t>0.07±0.00</t>
  </si>
  <si>
    <t>己酸辛酯</t>
  </si>
  <si>
    <t>5.23±2.20</t>
  </si>
  <si>
    <t>9.91±0.00</t>
  </si>
  <si>
    <t>1.00±0.00</t>
  </si>
  <si>
    <t>0.67±0.03</t>
  </si>
  <si>
    <t>0.58±0.11</t>
  </si>
  <si>
    <t>0.81±0.29</t>
  </si>
  <si>
    <t>戊酸, 4-甲基甲酯</t>
  </si>
  <si>
    <t>0.62±0.23</t>
  </si>
  <si>
    <t>0.40±0.13</t>
  </si>
  <si>
    <t>0.42±0.02</t>
  </si>
  <si>
    <t>0.29±0.19</t>
  </si>
  <si>
    <t>3-壬烯酸-乙酯</t>
  </si>
  <si>
    <t>0.87±0.20</t>
  </si>
  <si>
    <t>0.25±0.13</t>
  </si>
  <si>
    <t>乙酸丙酯 (醇类下属成分)</t>
  </si>
  <si>
    <t>0.11±0.00</t>
  </si>
  <si>
    <t>42.93±13.24</t>
  </si>
  <si>
    <t>27.86±0.97</t>
  </si>
  <si>
    <t>27.46±3.43</t>
  </si>
  <si>
    <t>21.11±9.09</t>
  </si>
  <si>
    <t>35.72±5.96</t>
  </si>
  <si>
    <t>27.70±10.52</t>
  </si>
  <si>
    <t>29.45±2.62</t>
  </si>
  <si>
    <t>27.06±6.00</t>
  </si>
  <si>
    <t>30.55±5.59</t>
  </si>
  <si>
    <t>27.21±3.78</t>
  </si>
  <si>
    <t>18.25±5.85</t>
  </si>
  <si>
    <t>18.48±7.11</t>
  </si>
  <si>
    <t>14.85±5.52</t>
  </si>
  <si>
    <t>14.22±3.34</t>
  </si>
  <si>
    <t>7.71±2.78</t>
  </si>
  <si>
    <t>5.69±2.76</t>
  </si>
  <si>
    <t>5.80±2.42</t>
  </si>
  <si>
    <t>3.11±1.56</t>
  </si>
  <si>
    <t>6.70±2.96</t>
  </si>
  <si>
    <t>5.40±1.48</t>
  </si>
  <si>
    <t>2.11±1.09</t>
  </si>
  <si>
    <t>2.17±0.29</t>
  </si>
  <si>
    <t>2.23±1.04</t>
  </si>
  <si>
    <t>2.58±1.37</t>
  </si>
  <si>
    <t>2.72±0.77</t>
  </si>
  <si>
    <t>2.91±1.43</t>
  </si>
  <si>
    <t>2.56±1.34</t>
  </si>
  <si>
    <t>5.67±1.28</t>
  </si>
  <si>
    <t>6.19±1.88</t>
  </si>
  <si>
    <t>2.61±1.14</t>
  </si>
  <si>
    <t>3.06±0.74</t>
  </si>
  <si>
    <t>3.05±1.21</t>
  </si>
  <si>
    <t>2.69±1.52</t>
  </si>
  <si>
    <t>3.87±1.18</t>
  </si>
  <si>
    <t>1.76±0.60</t>
  </si>
  <si>
    <t>4.57±1.08</t>
  </si>
  <si>
    <t>4.39±0.38</t>
  </si>
  <si>
    <t>2.54±1.07</t>
  </si>
  <si>
    <t>2.89±0.73</t>
  </si>
  <si>
    <t>1.69±0.35</t>
  </si>
  <si>
    <t>2.58±0.71</t>
  </si>
  <si>
    <t>2.10±0.66</t>
  </si>
  <si>
    <t>2.13±0.72</t>
  </si>
  <si>
    <t>3.04±0.24</t>
  </si>
  <si>
    <t>1.15±0.19</t>
  </si>
  <si>
    <t>3.17±0.99</t>
  </si>
  <si>
    <t>2.00±0.03</t>
  </si>
  <si>
    <t>1.54±0.24</t>
  </si>
  <si>
    <t>1.95±0.57</t>
  </si>
  <si>
    <t>1.11±0.31</t>
  </si>
  <si>
    <t>(R)-(-)-2-戊醇</t>
  </si>
  <si>
    <t>4.68±1.63</t>
  </si>
  <si>
    <t>2.04±1.11</t>
  </si>
  <si>
    <t>1.73±1.29</t>
  </si>
  <si>
    <t>1.10±0.75</t>
  </si>
  <si>
    <t>5.98±4.07</t>
  </si>
  <si>
    <t>3.68±1.17</t>
  </si>
  <si>
    <t>2.59±1.08</t>
  </si>
  <si>
    <t>2.14±1.42</t>
  </si>
  <si>
    <t>0.52±0.19</t>
  </si>
  <si>
    <t>壬醇</t>
  </si>
  <si>
    <t>2.50±1.71</t>
  </si>
  <si>
    <t>1.41±1.20</t>
  </si>
  <si>
    <t>1.36±0.45</t>
  </si>
  <si>
    <t>2.54±0.47</t>
  </si>
  <si>
    <t>31.78±10.07</t>
  </si>
  <si>
    <t>31.61±6.75</t>
  </si>
  <si>
    <t>36.80±15.17</t>
  </si>
  <si>
    <t>31.57±9.51</t>
  </si>
  <si>
    <t>38.38±18.44</t>
  </si>
  <si>
    <t>3.73±2.12</t>
  </si>
  <si>
    <t>3.91±1.45</t>
  </si>
  <si>
    <t>6.07±4.67</t>
  </si>
  <si>
    <t>6.79±3.13</t>
  </si>
  <si>
    <t>12.80±8.45</t>
  </si>
  <si>
    <t>4.43±1.32</t>
  </si>
  <si>
    <t>3.04±1.53</t>
  </si>
  <si>
    <t>2.56±0.99</t>
  </si>
  <si>
    <t>2.82±0.49</t>
  </si>
  <si>
    <t>2.45±0.74</t>
  </si>
  <si>
    <t>1.25±0.49</t>
  </si>
  <si>
    <t>1.08±0.36</t>
  </si>
  <si>
    <t>2.01±1.23</t>
  </si>
  <si>
    <t>1.37±0.55</t>
  </si>
  <si>
    <t>2.35±1.21</t>
  </si>
  <si>
    <t>0.75±0.29</t>
  </si>
  <si>
    <t>1.04±0.21</t>
  </si>
  <si>
    <t>1.06±0.37</t>
  </si>
  <si>
    <t>0.65±0.06</t>
  </si>
  <si>
    <t>0.90±0.24</t>
  </si>
  <si>
    <t>0.63±0.46</t>
  </si>
  <si>
    <t>0.88±0.08</t>
  </si>
  <si>
    <t>0.85±0.33</t>
  </si>
  <si>
    <t>1.61±1.19</t>
  </si>
  <si>
    <t>2.62±0.30</t>
  </si>
  <si>
    <t>1.54±0.56</t>
  </si>
  <si>
    <t>1.53±0.35</t>
  </si>
  <si>
    <t>0.79±0.20</t>
  </si>
  <si>
    <t>芳香族物质</t>
  </si>
  <si>
    <t>5.88±1.39</t>
  </si>
  <si>
    <t>8.96±4.71</t>
  </si>
  <si>
    <t>8.49±5.38</t>
  </si>
  <si>
    <t>21.84±7.91</t>
  </si>
  <si>
    <t>36.46±13.93</t>
  </si>
  <si>
    <t>2.80±0.89</t>
  </si>
  <si>
    <t>4.00±1.19</t>
  </si>
  <si>
    <t>4.00±2.09</t>
  </si>
  <si>
    <t>7.63±2.24</t>
  </si>
  <si>
    <t>10.13±2.41</t>
  </si>
  <si>
    <t>甲氧基-苯基-肟</t>
  </si>
  <si>
    <t>3.27±1.32</t>
  </si>
  <si>
    <t>3.26±2.28</t>
  </si>
  <si>
    <t>5.18±2.17</t>
  </si>
  <si>
    <t>4.07±1.49</t>
  </si>
  <si>
    <t>3.37±0.84</t>
  </si>
  <si>
    <t>2.83±1.36</t>
  </si>
  <si>
    <t>3.00±1.11</t>
  </si>
  <si>
    <t>3.24±1.91</t>
  </si>
  <si>
    <t>2.35±0.90</t>
  </si>
  <si>
    <t>2.13±0.91</t>
  </si>
  <si>
    <t>乙酸-2-苯乙基酯</t>
  </si>
  <si>
    <t>0.69±0.30</t>
  </si>
  <si>
    <t>1.94±1.79</t>
  </si>
  <si>
    <t>1.40±0.48</t>
  </si>
  <si>
    <t>1.31±0.38</t>
  </si>
  <si>
    <t>1.67±0.67</t>
  </si>
  <si>
    <t>0.95±0.30</t>
  </si>
  <si>
    <t>1.21±0.42</t>
  </si>
  <si>
    <t>1.15±0.90</t>
  </si>
  <si>
    <t>0.89±0.48</t>
  </si>
  <si>
    <t>1.14±0.55</t>
  </si>
  <si>
    <t>1.00±0.27</t>
  </si>
  <si>
    <t>0.26±0.09</t>
  </si>
  <si>
    <t>0.41±0.21</t>
  </si>
  <si>
    <t>0.61±0.25</t>
  </si>
  <si>
    <t>0.89±0.41</t>
  </si>
  <si>
    <t>0.56±0.12</t>
  </si>
  <si>
    <t>0.67±0.23</t>
  </si>
  <si>
    <t>0.90±1.03</t>
  </si>
  <si>
    <t>0.87±0.56</t>
  </si>
  <si>
    <t>0.74±0.56</t>
  </si>
  <si>
    <t>0.28±0.08</t>
  </si>
  <si>
    <t>0.24±0.03</t>
  </si>
  <si>
    <t>0.22±0.10</t>
  </si>
  <si>
    <t>0.21±0.09</t>
  </si>
  <si>
    <t>0.56±0.26</t>
  </si>
  <si>
    <t>2-乙基-苯乙酸乙酯</t>
  </si>
  <si>
    <t>0.35±0.26</t>
  </si>
  <si>
    <t>0.30±0.14</t>
  </si>
  <si>
    <t>0.19±0.03</t>
  </si>
  <si>
    <t>0.33±0.21</t>
  </si>
  <si>
    <t>0.22±0.13</t>
  </si>
  <si>
    <t>0.31±0.25</t>
  </si>
  <si>
    <t>0.10±0.04</t>
  </si>
  <si>
    <t>0.30±0.16</t>
  </si>
  <si>
    <t>苯丁酸乙酯</t>
  </si>
  <si>
    <t>0.26±0.15</t>
  </si>
  <si>
    <t>2,4-二叔丁基苯酚</t>
  </si>
  <si>
    <t>0.42±0.24</t>
  </si>
  <si>
    <t>0.32±0.17</t>
  </si>
  <si>
    <t>0.42±0.31</t>
  </si>
  <si>
    <t>0.22±0.12</t>
  </si>
  <si>
    <t>0.20±0.10</t>
  </si>
  <si>
    <t>2-甲氧基-5-甲基苯酚</t>
  </si>
  <si>
    <t>0.19±0.02</t>
  </si>
  <si>
    <t>2-乙基苯酚</t>
  </si>
  <si>
    <t>0.15±0.07</t>
  </si>
  <si>
    <t>羰基类</t>
  </si>
  <si>
    <t>反,反-2,4-癸二烯醛</t>
  </si>
  <si>
    <t>0.60±0.30</t>
  </si>
  <si>
    <t>0.45±0.25</t>
  </si>
  <si>
    <t>0.67±0.50</t>
  </si>
  <si>
    <t>丁醛, 3-甲基-</t>
  </si>
  <si>
    <t>1.75±0.84</t>
  </si>
  <si>
    <t>1.36±0.77</t>
  </si>
  <si>
    <t>1.83±0.92</t>
  </si>
  <si>
    <t>1.46±0.73</t>
  </si>
  <si>
    <t>0.62±0.33</t>
  </si>
  <si>
    <t>反式-2-壬醛</t>
  </si>
  <si>
    <t>0.45±0.08</t>
  </si>
  <si>
    <t>1,1-二乙氧基-3-甲基-丁烷</t>
  </si>
  <si>
    <t>1.76±0.73</t>
  </si>
  <si>
    <t>0.98±0.68</t>
  </si>
  <si>
    <t>0.48±0.32</t>
  </si>
  <si>
    <t>0.51±0.39</t>
  </si>
  <si>
    <t>0.14±0.10</t>
  </si>
  <si>
    <t>0.35±0.19</t>
  </si>
  <si>
    <t>0.30±0.12</t>
  </si>
  <si>
    <t>0.33±0.16</t>
  </si>
  <si>
    <t>0.30±0.27</t>
  </si>
  <si>
    <t>2-甲基-丁醛</t>
  </si>
  <si>
    <t>0.26±0.10</t>
  </si>
  <si>
    <t>0.17±0.04</t>
  </si>
  <si>
    <t>0.18±0.07</t>
  </si>
  <si>
    <t>0.09±0.03</t>
  </si>
  <si>
    <t>0.16±0.05</t>
  </si>
  <si>
    <t>0.16±0.04</t>
  </si>
  <si>
    <t>0.08±0.03</t>
  </si>
  <si>
    <t>异丁醛 (2-甲基-丙醛)</t>
  </si>
  <si>
    <t>0.23±0.13</t>
  </si>
  <si>
    <t>0.16±0.11</t>
  </si>
  <si>
    <t>0.20±0.11</t>
  </si>
  <si>
    <t>0.12±0.07</t>
  </si>
  <si>
    <t>壬醛二乙缩醛</t>
  </si>
  <si>
    <t>2.44±1.53</t>
  </si>
  <si>
    <t>3.41±3.17</t>
  </si>
  <si>
    <t>2.17±1.65</t>
  </si>
  <si>
    <t>1.43±0.83</t>
  </si>
  <si>
    <t>2-十一烷酮</t>
  </si>
  <si>
    <t>0.47±0.16</t>
  </si>
  <si>
    <t>0.98±0.05</t>
  </si>
  <si>
    <t>2-十五烷酮</t>
  </si>
  <si>
    <t>0.23±0.16</t>
  </si>
  <si>
    <t>植酮</t>
  </si>
  <si>
    <t>0.22±0.14</t>
  </si>
  <si>
    <t>0.14±0.05</t>
  </si>
  <si>
    <t>0.07±0.02</t>
  </si>
  <si>
    <t>0.10±0.03</t>
  </si>
  <si>
    <t>0.45±0.40</t>
  </si>
  <si>
    <t>2.64±1.23</t>
  </si>
  <si>
    <t>2.85±1.15</t>
  </si>
  <si>
    <t>2.25±1.42</t>
  </si>
  <si>
    <t>1.77±1.02</t>
  </si>
  <si>
    <t>2.68±1.06</t>
  </si>
  <si>
    <t>糠酸乙酯</t>
  </si>
  <si>
    <t>1.61±1.21</t>
  </si>
  <si>
    <t>1.33±0.49</t>
  </si>
  <si>
    <t>1.24±1.24</t>
  </si>
  <si>
    <t>0.91±0.35</t>
  </si>
  <si>
    <t>0.60±0.56</t>
  </si>
  <si>
    <t>2-戊基呋喃</t>
  </si>
  <si>
    <t>0.14±0.31</t>
  </si>
  <si>
    <t>0.23±0.04</t>
  </si>
  <si>
    <t>0.14±0.08</t>
  </si>
  <si>
    <t>0.06±0.03</t>
  </si>
  <si>
    <t>已酸酐</t>
  </si>
  <si>
    <t>5.04±1.58</t>
  </si>
  <si>
    <t>4.61±0.84</t>
  </si>
  <si>
    <t>4.02±3.05</t>
  </si>
  <si>
    <t>4.53±2.43</t>
  </si>
  <si>
    <t>3.35±1.44</t>
  </si>
  <si>
    <t>0.29±0.18</t>
  </si>
  <si>
    <t>0.25±0.12</t>
  </si>
  <si>
    <t>0.24±0.07</t>
  </si>
  <si>
    <t>0.25±0.15</t>
  </si>
  <si>
    <t>0.18±0.12</t>
  </si>
  <si>
    <t>硫代丁酸甲酯</t>
  </si>
  <si>
    <t>0.13±0.07</t>
  </si>
  <si>
    <t>0.48±0.41</t>
  </si>
  <si>
    <t>0.22±0.11</t>
  </si>
  <si>
    <t>乙基乙烯基硫醚</t>
  </si>
  <si>
    <t>0.50±0.05</t>
  </si>
  <si>
    <t>0.12±0.01</t>
  </si>
  <si>
    <t>三乙二醇单乙醚</t>
  </si>
  <si>
    <t>0.71±0.39</t>
  </si>
  <si>
    <t>辛烷</t>
  </si>
  <si>
    <t>0.06±0.05</t>
  </si>
  <si>
    <t>异丁酸 (异丁醛代)</t>
  </si>
  <si>
    <t>乙醛二乙缩醛 (壬醛代)</t>
  </si>
  <si>
    <t>乙酸苯乙酯 (乙酸-2-苯代)</t>
  </si>
  <si>
    <t>丙酸 (丙酸乙酯代用)</t>
  </si>
  <si>
    <t>异戊醛 (3-甲丁醛代)</t>
  </si>
  <si>
    <r>
      <rPr>
        <b/>
        <sz val="11"/>
        <color rgb="FF1F1F1F"/>
        <rFont val="微软雅黑"/>
        <family val="2"/>
        <charset val="134"/>
      </rPr>
      <t>物质名称</t>
    </r>
    <r>
      <rPr>
        <b/>
        <sz val="11"/>
        <color rgb="FF1F1F1F"/>
        <rFont val="Arial"/>
        <family val="2"/>
      </rPr>
      <t>mg/100mL</t>
    </r>
    <phoneticPr fontId="2" type="noConversion"/>
  </si>
  <si>
    <t>NX1​</t>
  </si>
  <si>
    <t>NX2​</t>
  </si>
  <si>
    <t>NX3​</t>
  </si>
  <si>
    <t>NX4​</t>
  </si>
  <si>
    <t>NX5​</t>
  </si>
  <si>
    <t>NX6​</t>
  </si>
  <si>
    <t>NX7​</t>
  </si>
  <si>
    <t>NX8​</t>
  </si>
  <si>
    <t>NX9​</t>
  </si>
  <si>
    <t>NX10​</t>
  </si>
  <si>
    <t>醛、酮类</t>
  </si>
  <si>
    <t>愈创木酚</t>
  </si>
  <si>
    <t>4-乙基-2-甲氧基苯酚 (愈创木酚代)</t>
  </si>
  <si>
    <r>
      <rPr>
        <b/>
        <sz val="11"/>
        <color rgb="FF1F1F1F"/>
        <rFont val="微软雅黑"/>
        <family val="2"/>
        <charset val="134"/>
      </rPr>
      <t>风味物质</t>
    </r>
    <r>
      <rPr>
        <b/>
        <sz val="11"/>
        <color rgb="FF1F1F1F"/>
        <rFont val="Arial"/>
        <family val="2"/>
      </rPr>
      <t>mg/L</t>
    </r>
    <phoneticPr fontId="2" type="noConversion"/>
  </si>
  <si>
    <r>
      <rPr>
        <b/>
        <sz val="11"/>
        <color rgb="FF1F1F1F"/>
        <rFont val="微软雅黑"/>
        <family val="2"/>
        <charset val="134"/>
      </rPr>
      <t>化合物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微软雅黑"/>
        <family val="2"/>
        <charset val="134"/>
      </rPr>
      <t>标准顺序</t>
    </r>
    <r>
      <rPr>
        <b/>
        <sz val="11"/>
        <color rgb="FF1F1F1F"/>
        <rFont val="Arial"/>
        <family val="2"/>
      </rPr>
      <t>)mg/L</t>
    </r>
    <phoneticPr fontId="2" type="noConversion"/>
  </si>
  <si>
    <t>阈值参考值 (μg/L)</t>
  </si>
  <si>
    <t>n-c-1</t>
  </si>
  <si>
    <t>n-c-2</t>
  </si>
  <si>
    <t>n-g-1</t>
  </si>
  <si>
    <t>n-g-2</t>
  </si>
  <si>
    <t>2-甲基丁酸丁酯</t>
  </si>
  <si>
    <t>3-甲基丁醛</t>
  </si>
  <si>
    <t>$\beta$-大马酮</t>
  </si>
  <si>
    <t>土味素</t>
  </si>
  <si>
    <t>4-乙烯基愈创木酚</t>
  </si>
  <si>
    <t>2,6-二甲基吡嗪</t>
  </si>
  <si>
    <t>E-橙花叔醇</t>
  </si>
  <si>
    <t>3-苯基丙酸乙酯 (3-苯丙酸乙酯)</t>
  </si>
  <si>
    <t>二甲基三硫醚 (二甲基三硫)</t>
  </si>
  <si>
    <t>异戊醛 (3-甲基丁醛代用)</t>
  </si>
  <si>
    <t>三甲基吡嗪 (2,6-二甲基吡嗪代用)</t>
  </si>
  <si>
    <t>4-乙基-2-甲氧基苯酚 (4-乙烯基愈创木酚代)</t>
  </si>
  <si>
    <t>异丁酸乙酯 (2-甲基丙酸乙酯代)</t>
  </si>
  <si>
    <t>化合物种类</t>
  </si>
  <si>
    <t>G1 (mg/mL)</t>
  </si>
  <si>
    <t>G2 (mg/mL)</t>
  </si>
  <si>
    <t>异酸戊乙酯</t>
  </si>
  <si>
    <t>肉豆蔻酸乙酯</t>
  </si>
  <si>
    <t>2,3-丁二醇 (左旋)</t>
  </si>
  <si>
    <t>2,3-丁二醇 (内消旋)</t>
  </si>
  <si>
    <t>酮类</t>
  </si>
  <si>
    <t>乙酸异戊酯 (异酸戊乙酯代用)</t>
  </si>
  <si>
    <t>异戊醛 (3-甲基丁醛)</t>
  </si>
  <si>
    <t>41.6% HZL</t>
  </si>
  <si>
    <t>41% TZL</t>
  </si>
  <si>
    <t>46% TZL</t>
  </si>
  <si>
    <t>52% TZL</t>
  </si>
  <si>
    <t>42.6% MZL</t>
  </si>
  <si>
    <t>乙酸乙酯 ethyl acetate</t>
  </si>
  <si>
    <t>丙酸乙酯 ethyl propanoate</t>
  </si>
  <si>
    <t>异丁酸乙酯 ethyl 2-methylpropanoate</t>
  </si>
  <si>
    <t>丁酸乙酯 ethyl butyrate</t>
  </si>
  <si>
    <t>2-甲基丁酸乙酯 ethyl 2-methylbutanoate</t>
  </si>
  <si>
    <t>异丁酸乙酯 ethyl 3-methylbutanoate</t>
  </si>
  <si>
    <t>丁酸丙酯 propyl butanoate</t>
  </si>
  <si>
    <t>戊酸乙酯 ethyl pentanoate</t>
  </si>
  <si>
    <t>己酸乙酯 ethyl caproate</t>
  </si>
  <si>
    <t>丁酸异丁酯 3-methylbutyl butanoate</t>
  </si>
  <si>
    <t>乙酸己酯 hexyl acetate</t>
  </si>
  <si>
    <t>已酸丙酯 propyl hexanoate</t>
  </si>
  <si>
    <t>庚酸乙酯 ethyl heptanoate</t>
  </si>
  <si>
    <t>乳酸乙酯 ethyl lactate</t>
  </si>
  <si>
    <t>己酸丁酯 butyl hexanoate</t>
  </si>
  <si>
    <t>辛酸乙酯 ethyl octanoate</t>
  </si>
  <si>
    <t>已酸异戊酯 isopentyl hexanoate</t>
  </si>
  <si>
    <t>壬酸乙酯 ethyl nonanoate</t>
  </si>
  <si>
    <t>己酸己酯 hexyl hexanoate</t>
  </si>
  <si>
    <t>癸酸乙酯 ethyl decanoate</t>
  </si>
  <si>
    <t>丁二酸二乙酯 diethyl butanedioate</t>
  </si>
  <si>
    <t>十一烷酸乙酯 ethyl undecanoate</t>
  </si>
  <si>
    <t>十二烷酸乙酯 ethyl dodecanoate</t>
  </si>
  <si>
    <t>正丙醇 1-propanol</t>
  </si>
  <si>
    <t>2-丁醇 2-butanol</t>
  </si>
  <si>
    <t>异丁醇 2-methyl-1-propanol</t>
  </si>
  <si>
    <t>正丁醇 1-butanol</t>
  </si>
  <si>
    <t>异戊醇 3-methyl-1-butanol</t>
  </si>
  <si>
    <t>2-庚醇 2-heptanol</t>
  </si>
  <si>
    <t>正己醇 1-hexanol</t>
  </si>
  <si>
    <t>3-辛醇 3-octanol</t>
  </si>
  <si>
    <t>正辛醇 1-octanol</t>
  </si>
  <si>
    <t>正壬醇 1-nonanol</t>
  </si>
  <si>
    <t>正癸醇 1-decanol</t>
  </si>
  <si>
    <t>芳香族及酚类</t>
  </si>
  <si>
    <t>苯甲醛 benzaldehyde</t>
  </si>
  <si>
    <t>乙酰苯 acetophenone</t>
  </si>
  <si>
    <t>苯甲酸乙酯 ethyl benzoate</t>
  </si>
  <si>
    <t>2-苯乙酸乙酯 ethyl 2-phenylacetate</t>
  </si>
  <si>
    <t>3-苯丙酸乙酯 ethyl 3-phenylpropanoate</t>
  </si>
  <si>
    <t>2-苯乙醇 2-phenylethanol</t>
  </si>
  <si>
    <t>己酸-2-苯乙酯 2-phenylethyl hexanoate</t>
  </si>
  <si>
    <t>有机酸类</t>
  </si>
  <si>
    <t>乙酸 acetic acid</t>
  </si>
  <si>
    <t>丙酸 propanoic acid</t>
  </si>
  <si>
    <t>异丁酸 2-methylpropanoic acid</t>
  </si>
  <si>
    <t>丁酸 butanoic acid</t>
  </si>
  <si>
    <t>异戊酸 3-methylbutanoic acid</t>
  </si>
  <si>
    <t>戊酸 pentanoic acid</t>
  </si>
  <si>
    <t>4-甲基戊酸 4-methylpentanoic acid</t>
  </si>
  <si>
    <t>己酸 hexanoic acid</t>
  </si>
  <si>
    <t>辛酸 octanoic acid</t>
  </si>
  <si>
    <t>壬酸 nonanoic acid</t>
  </si>
  <si>
    <t>癸酸 decanoic acid</t>
  </si>
  <si>
    <t>醛酮及缩醛类</t>
  </si>
  <si>
    <t>异戊醛 3-methylbutanal</t>
  </si>
  <si>
    <t>己醛 hexanal</t>
  </si>
  <si>
    <t>壬醛 nonanal</t>
  </si>
  <si>
    <t>癸醛 decanal</t>
  </si>
  <si>
    <t>2-辛酮 2-octanone</t>
  </si>
  <si>
    <t>2-壬酮 2-nonanone</t>
  </si>
  <si>
    <t>2-十一烷酮 2-undecanone</t>
  </si>
  <si>
    <t>异戊酸乙酯 (3-甲基丁酸乙酯代)</t>
  </si>
  <si>
    <t>苯乙酸乙酯 (2-苯乙酸乙酯)</t>
  </si>
  <si>
    <t>丁酸异戊酯 (丁酸异丁酯代用)</t>
  </si>
  <si>
    <t>1.345 (壬酸代)</t>
  </si>
  <si>
    <t>2-甲氧基-4-甲基苯酚 (4-甲基愈创木酚)</t>
  </si>
  <si>
    <t>丙酸 (有机酸类下属)</t>
  </si>
  <si>
    <t>丁酸己酯 (己酸-2-苯乙酯代用)</t>
  </si>
  <si>
    <t>阈值 (μg/L)</t>
  </si>
  <si>
    <t>46% 浓度</t>
  </si>
  <si>
    <t>46% OAV</t>
  </si>
  <si>
    <t>46% 量比</t>
  </si>
  <si>
    <t>52% 浓度</t>
  </si>
  <si>
    <t>52% OAV</t>
  </si>
  <si>
    <t>乙酸-3-甲基丁酯</t>
  </si>
  <si>
    <t>乙酸异戊酯 (乙酸-3-甲基丁酯)</t>
  </si>
  <si>
    <t>2-甲基丁酸乙酯 (3-甲基丁酸乙酯代)</t>
  </si>
  <si>
    <t>丙酸 (丙酸乙酯代)</t>
  </si>
  <si>
    <t>丁酸己酯 (丁酸-2-苯乙酯代)</t>
  </si>
  <si>
    <r>
      <rPr>
        <b/>
        <sz val="11"/>
        <color rgb="FF1F1F1F"/>
        <rFont val="微软雅黑"/>
        <family val="2"/>
        <charset val="134"/>
      </rPr>
      <t>呈香化合物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>g/L</t>
    </r>
    <phoneticPr fontId="2" type="noConversion"/>
  </si>
  <si>
    <t>均衡组</t>
  </si>
  <si>
    <t>微涩组</t>
  </si>
  <si>
    <t>较涩组</t>
  </si>
  <si>
    <t>涩味组</t>
  </si>
  <si>
    <t>苦味组</t>
  </si>
  <si>
    <t>乙醛 (甲醛代用)</t>
  </si>
  <si>
    <t>乙醛二乙缩醛 (异戊醛二乙缩醛代用)</t>
  </si>
  <si>
    <t>对甲酚 (4-甲基苯酚)</t>
  </si>
  <si>
    <t>6359.95±577.51</t>
  </si>
  <si>
    <t>1788.78±209.03</t>
  </si>
  <si>
    <t>2058.97±322.28</t>
  </si>
  <si>
    <t>1305.68±86.95</t>
  </si>
  <si>
    <t>1153.39±64.37</t>
  </si>
  <si>
    <t>14154.70±1279.32</t>
  </si>
  <si>
    <t>2434.67±366.02</t>
  </si>
  <si>
    <t>2029.81±376.53</t>
  </si>
  <si>
    <t>1774.81±130.79</t>
  </si>
  <si>
    <t>1443.09±164.59</t>
  </si>
  <si>
    <t>97397.65±2987.07</t>
  </si>
  <si>
    <t>38457.74±1896.53</t>
  </si>
  <si>
    <t>35069.61±1741.59</t>
  </si>
  <si>
    <t>24672.42±885.93</t>
  </si>
  <si>
    <t>38680.71±2008.92</t>
  </si>
  <si>
    <t>2756.09±311.93</t>
  </si>
  <si>
    <t>181.04±17.57</t>
  </si>
  <si>
    <t>136.23±14.36</t>
  </si>
  <si>
    <t>51.94±3.09</t>
  </si>
  <si>
    <t>178.46±14.74</t>
  </si>
  <si>
    <t>10789.77±1093.06</t>
  </si>
  <si>
    <t>601.19±152.58</t>
  </si>
  <si>
    <t>568.38±170.22</t>
  </si>
  <si>
    <t>178.07±16.12</t>
  </si>
  <si>
    <t>274.12±39.40</t>
  </si>
  <si>
    <t>28018.32±2385.98</t>
  </si>
  <si>
    <t>3320.56±448.24</t>
  </si>
  <si>
    <t>2580.27±272.27</t>
  </si>
  <si>
    <t>1637.67±75.77</t>
  </si>
  <si>
    <t>3432.57±351.22</t>
  </si>
  <si>
    <t>19690.56±1907.58</t>
  </si>
  <si>
    <t>1911.38±351.73</t>
  </si>
  <si>
    <t>1433.29±296.12</t>
  </si>
  <si>
    <t>454.98±33.13</t>
  </si>
  <si>
    <t>1268.03±136.33</t>
  </si>
  <si>
    <t>20461.39±1741.82</t>
  </si>
  <si>
    <t>3568.03±593.48</t>
  </si>
  <si>
    <t>2306.02±262.63</t>
  </si>
  <si>
    <t>1990.45±119.68</t>
  </si>
  <si>
    <t>3520.13±421.68</t>
  </si>
  <si>
    <t>2837.43±232.44</t>
  </si>
  <si>
    <t>420.31±35.90</t>
  </si>
  <si>
    <t>355.20±23.67</t>
  </si>
  <si>
    <t>207.51±9.05</t>
  </si>
  <si>
    <t>543.44±39.88</t>
  </si>
  <si>
    <t>518.11±56.20</t>
  </si>
  <si>
    <t>98.37±7.79</t>
  </si>
  <si>
    <t>84.59±6.37</t>
  </si>
  <si>
    <t>73.77±4.35</t>
  </si>
  <si>
    <t>113.02±4.55</t>
  </si>
  <si>
    <t>29360.43±3501.68</t>
  </si>
  <si>
    <t>1723.85±497.11</t>
  </si>
  <si>
    <t>798.25±112.33</t>
  </si>
  <si>
    <t>466.19±41.22</t>
  </si>
  <si>
    <t>1295.20±178.90</t>
  </si>
  <si>
    <t>489.03±48.84</t>
  </si>
  <si>
    <t>274.32±76.72</t>
  </si>
  <si>
    <t>238.29±25.41</t>
  </si>
  <si>
    <t>205.21±15.44</t>
  </si>
  <si>
    <t>310.46±27.73</t>
  </si>
  <si>
    <t>3392.85±252.85</t>
  </si>
  <si>
    <t>682.71±275.05</t>
  </si>
  <si>
    <t>321.33±31.31</t>
  </si>
  <si>
    <t>242.78±11.58</t>
  </si>
  <si>
    <t>447.77±46.46</t>
  </si>
  <si>
    <t>107.93±10.11</t>
  </si>
  <si>
    <t>260.17±163.50</t>
  </si>
  <si>
    <t>74.80±3.78</t>
  </si>
  <si>
    <t>90.26±9.84</t>
  </si>
  <si>
    <t>105.59±5.70</t>
  </si>
  <si>
    <t>1453.84±125.21</t>
  </si>
  <si>
    <t>1511.43±797.45</t>
  </si>
  <si>
    <t>584.02±96.10</t>
  </si>
  <si>
    <t>815.19±63.40</t>
  </si>
  <si>
    <t>483.06±31.20</t>
  </si>
  <si>
    <t>941.07±79.10</t>
  </si>
  <si>
    <t>659.46±41.04</t>
  </si>
  <si>
    <t>485.37±43.56</t>
  </si>
  <si>
    <t>751.73±56.44</t>
  </si>
  <si>
    <t>551.01±35.81</t>
  </si>
  <si>
    <t>83.56±7.07</t>
  </si>
  <si>
    <t>53.30±2.73</t>
  </si>
  <si>
    <t>35.48±2.97</t>
  </si>
  <si>
    <t>60.94±9.71</t>
  </si>
  <si>
    <t>44.99±6.22</t>
  </si>
  <si>
    <t>5130.47±502.28</t>
  </si>
  <si>
    <t>4446.35±329.98</t>
  </si>
  <si>
    <t>3071.14±289.23</t>
  </si>
  <si>
    <t>4608.76±373.43</t>
  </si>
  <si>
    <t>3111.51±236.23</t>
  </si>
  <si>
    <t>9-十六碳烯酸乙酯</t>
  </si>
  <si>
    <t>121.31±20.48</t>
  </si>
  <si>
    <t>109.90±8.24</t>
  </si>
  <si>
    <t>70.05±10.13</t>
  </si>
  <si>
    <t>112.09±10.29</t>
  </si>
  <si>
    <t>89.67±16.61</t>
  </si>
  <si>
    <t>反油酸乙酯</t>
  </si>
  <si>
    <t>273.28±51.08</t>
  </si>
  <si>
    <t>367.30±32.61</t>
  </si>
  <si>
    <t>207.28±26.57</t>
  </si>
  <si>
    <t>289.97±48.25</t>
  </si>
  <si>
    <t>241.19±19.54</t>
  </si>
  <si>
    <t>291.80±68.28</t>
  </si>
  <si>
    <t>314.29±48.80</t>
  </si>
  <si>
    <t>141.65±31.82</t>
  </si>
  <si>
    <t>252.57±50.60</t>
  </si>
  <si>
    <t>200.82±35.60</t>
  </si>
  <si>
    <t>317.41±30.74</t>
  </si>
  <si>
    <t>136.91±20.22</t>
  </si>
  <si>
    <t>185.72±29.18</t>
  </si>
  <si>
    <t>156.30±15.64</t>
  </si>
  <si>
    <t>157.76±14.92</t>
  </si>
  <si>
    <t>2675.36±332.17</t>
  </si>
  <si>
    <t>1741.95±386.48</t>
  </si>
  <si>
    <t>1334.86±196.02</t>
  </si>
  <si>
    <t>862.71±62.27</t>
  </si>
  <si>
    <t>1296.50±128.52</t>
  </si>
  <si>
    <t>1287.93±171.97</t>
  </si>
  <si>
    <t>1466.41±289.62</t>
  </si>
  <si>
    <t>1693.07±301.85</t>
  </si>
  <si>
    <t>1075.24±78.60</t>
  </si>
  <si>
    <t>1545.967±166.61</t>
  </si>
  <si>
    <t>1379.28±326.24</t>
  </si>
  <si>
    <t>224.92±28.11</t>
  </si>
  <si>
    <t>287.29±63.56</t>
  </si>
  <si>
    <t>156.77±21.20</t>
  </si>
  <si>
    <t>228.09±24.46</t>
  </si>
  <si>
    <t>11250.59±1597.29</t>
  </si>
  <si>
    <t>1554.50±85.06</t>
  </si>
  <si>
    <t>1306.97±115.26</t>
  </si>
  <si>
    <t>881.09±60.42</t>
  </si>
  <si>
    <t>2010.19±148.09</t>
  </si>
  <si>
    <t>107.06±11.25</t>
  </si>
  <si>
    <t>117.37±15.01</t>
  </si>
  <si>
    <t>139.24±11.92</t>
  </si>
  <si>
    <t>245.53±30.75</t>
  </si>
  <si>
    <t>133.65±20.43</t>
  </si>
  <si>
    <t>异戊醛二乙缩醛</t>
  </si>
  <si>
    <t>1162.94±97.84</t>
  </si>
  <si>
    <t>1974.01±242.54</t>
  </si>
  <si>
    <t>1636.61±88.09</t>
  </si>
  <si>
    <t>1271.39±77.04</t>
  </si>
  <si>
    <t>1286.47±58.66</t>
  </si>
  <si>
    <t>苯乙醛二乙缩醛</t>
  </si>
  <si>
    <t>111.35±12.79</t>
  </si>
  <si>
    <t>118.74±10.01</t>
  </si>
  <si>
    <t>99.71±11.76</t>
  </si>
  <si>
    <t>165.65±13.76</t>
  </si>
  <si>
    <t>230.21±12.55</t>
  </si>
  <si>
    <t>甲醛</t>
  </si>
  <si>
    <t>2219.15±948.07</t>
  </si>
  <si>
    <t>1105.10±534.43</t>
  </si>
  <si>
    <t>2300.02±756.49</t>
  </si>
  <si>
    <t>831.95±181.84</t>
  </si>
  <si>
    <t>1270.59±603.10</t>
  </si>
  <si>
    <t>570.27±68.18</t>
  </si>
  <si>
    <t>30.86±8.11</t>
  </si>
  <si>
    <t>26.45±4.60</t>
  </si>
  <si>
    <t>28.25±4.02</t>
  </si>
  <si>
    <t>35.07±6.40</t>
  </si>
  <si>
    <r>
      <rPr>
        <b/>
        <sz val="11"/>
        <color rgb="FF1F1F1F"/>
        <rFont val="微软雅黑"/>
        <family val="2"/>
        <charset val="134"/>
      </rPr>
      <t>阈值</t>
    </r>
    <r>
      <rPr>
        <b/>
        <sz val="11"/>
        <color rgb="FF1F1F1F"/>
        <rFont val="Arial"/>
        <family val="2"/>
      </rPr>
      <t xml:space="preserve"> / (μg·L</t>
    </r>
    <r>
      <rPr>
        <b/>
        <sz val="11"/>
        <color rgb="FF1F1F1F"/>
        <rFont val="Cambria Math"/>
        <family val="1"/>
      </rPr>
      <t>⁻</t>
    </r>
    <r>
      <rPr>
        <b/>
        <sz val="11"/>
        <color rgb="FF1F1F1F"/>
        <rFont val="Arial"/>
        <family val="2"/>
      </rPr>
      <t>¹)</t>
    </r>
    <phoneticPr fontId="2" type="noConversion"/>
  </si>
  <si>
    <t>JS (μg/L)</t>
    <phoneticPr fontId="2" type="noConversion"/>
  </si>
  <si>
    <t>S-Y1-H</t>
  </si>
  <si>
    <t>S-Y2-H</t>
  </si>
  <si>
    <t>S-Y3-H</t>
  </si>
  <si>
    <t>S-Y4-H</t>
  </si>
  <si>
    <t>S-Y5-H</t>
  </si>
  <si>
    <t>105-57-7</t>
  </si>
  <si>
    <t>戊醛</t>
  </si>
  <si>
    <t>110-62-3</t>
  </si>
  <si>
    <t>110-19-0</t>
  </si>
  <si>
    <t>590-86-3</t>
  </si>
  <si>
    <t>123-86-4</t>
  </si>
  <si>
    <t>66-25-1</t>
  </si>
  <si>
    <t>123-92-2</t>
  </si>
  <si>
    <t>2-甲基吡嗪</t>
  </si>
  <si>
    <t>109-08-0</t>
  </si>
  <si>
    <t>142-92-7</t>
  </si>
  <si>
    <t>106-27-4</t>
  </si>
  <si>
    <t>108-50-9</t>
  </si>
  <si>
    <t>111-13-7</t>
  </si>
  <si>
    <t>659-70-1</t>
  </si>
  <si>
    <t>棕榈酸乙酯 (棕榈酸乙酯)</t>
  </si>
  <si>
    <t>S-Y6-L</t>
  </si>
  <si>
    <t>S-L1-L</t>
  </si>
  <si>
    <t>A-G1-L</t>
  </si>
  <si>
    <t>G-J1-L</t>
  </si>
  <si>
    <t>J-Y1-L</t>
  </si>
  <si>
    <t>S-Y1-L</t>
  </si>
  <si>
    <t>S-Y2-L</t>
  </si>
  <si>
    <t>S-Y3-L</t>
  </si>
  <si>
    <t>S-Y4-L</t>
  </si>
  <si>
    <t>S-Y5-L</t>
  </si>
  <si>
    <t>106-33-2</t>
  </si>
  <si>
    <t>1124-11-4</t>
  </si>
  <si>
    <t>14667-55-1</t>
  </si>
  <si>
    <t>100-51-6</t>
  </si>
  <si>
    <t>香兰素</t>
  </si>
  <si>
    <t>121-33-5</t>
  </si>
  <si>
    <t>辛醛</t>
  </si>
  <si>
    <t>124-13-0</t>
  </si>
  <si>
    <t>105-79-3</t>
  </si>
  <si>
    <t>928-97-2</t>
  </si>
  <si>
    <t>589-98-0</t>
  </si>
  <si>
    <t>2-乙基-6-甲基吡嗪</t>
  </si>
  <si>
    <t>13925-03-6</t>
  </si>
  <si>
    <t>3-辛烯-2-酮</t>
  </si>
  <si>
    <t>1669-44-9</t>
  </si>
  <si>
    <t>2,6-二乙基吡嗪</t>
  </si>
  <si>
    <t>13067-27-1</t>
  </si>
  <si>
    <t>124-19-6</t>
  </si>
  <si>
    <t>7779-80-8</t>
  </si>
  <si>
    <t>2-糠醛缩二乙醇</t>
  </si>
  <si>
    <t>13529-27-6</t>
  </si>
  <si>
    <t>乳酸异丁酯</t>
  </si>
  <si>
    <t>585-24-0</t>
  </si>
  <si>
    <t>112-31-2</t>
  </si>
  <si>
    <t>624-13-5</t>
  </si>
  <si>
    <t>乙酸糠酯</t>
  </si>
  <si>
    <t>623-17-6</t>
  </si>
  <si>
    <t>γ-戊内酯</t>
  </si>
  <si>
    <t>108-29-2</t>
  </si>
  <si>
    <t>反,顺-2,6-壬二烯醛</t>
  </si>
  <si>
    <t>557-48-2</t>
  </si>
  <si>
    <t>γ-丁内酯</t>
  </si>
  <si>
    <t>96-48-0</t>
  </si>
  <si>
    <t>623-21-2</t>
  </si>
  <si>
    <t>98-86-2</t>
  </si>
  <si>
    <t>γ-己内酯</t>
  </si>
  <si>
    <t>695-06-7</t>
  </si>
  <si>
    <t>627-90-7</t>
  </si>
  <si>
    <t>γ-庚内酯</t>
  </si>
  <si>
    <t>105-21-5</t>
  </si>
  <si>
    <t>β-大马酮</t>
  </si>
  <si>
    <t>23726-93-4</t>
  </si>
  <si>
    <t>103-45-7</t>
  </si>
  <si>
    <t>γ-辛内酯</t>
  </si>
  <si>
    <t>104-50-7</t>
  </si>
  <si>
    <t>S-Y6-H</t>
  </si>
  <si>
    <t>S-L1-H</t>
  </si>
  <si>
    <t>A-GJG-H</t>
  </si>
  <si>
    <t>G-J1-H</t>
  </si>
  <si>
    <t>J-Y1-H</t>
  </si>
  <si>
    <t>反式-3-己烯-1-醇</t>
  </si>
  <si>
    <t>苯乙醇 (2-苯乙醇)</t>
  </si>
  <si>
    <t>4-乙烯基愈创木酚 (4-乙烯基愈创木酚代)</t>
  </si>
  <si>
    <t>S-Y1</t>
  </si>
  <si>
    <t>S-Y2</t>
  </si>
  <si>
    <t>S-Y3</t>
  </si>
  <si>
    <t>S-Y4</t>
  </si>
  <si>
    <t>S-Y5</t>
  </si>
  <si>
    <t>S-Y6</t>
  </si>
  <si>
    <t>S-L1</t>
  </si>
  <si>
    <t>G-J1</t>
  </si>
  <si>
    <t>J-Y1</t>
  </si>
  <si>
    <t>S-Y1-H</t>
    <phoneticPr fontId="2" type="noConversion"/>
  </si>
  <si>
    <t>S-Y2 H</t>
    <phoneticPr fontId="2" type="noConversion"/>
  </si>
  <si>
    <t>S-Y3 H</t>
    <phoneticPr fontId="2" type="noConversion"/>
  </si>
  <si>
    <t>S-Y4 H</t>
    <phoneticPr fontId="2" type="noConversion"/>
  </si>
  <si>
    <t>S-Y5 H</t>
    <phoneticPr fontId="2" type="noConversion"/>
  </si>
  <si>
    <t>S-Y6 H</t>
    <phoneticPr fontId="2" type="noConversion"/>
  </si>
  <si>
    <t>S-L1 H</t>
    <phoneticPr fontId="2" type="noConversion"/>
  </si>
  <si>
    <t>A-GJG H</t>
    <phoneticPr fontId="2" type="noConversion"/>
  </si>
  <si>
    <t>G-J1 H</t>
    <phoneticPr fontId="2" type="noConversion"/>
  </si>
  <si>
    <t>J-Y1 H</t>
    <phoneticPr fontId="2" type="noConversion"/>
  </si>
  <si>
    <t>A-G1</t>
  </si>
  <si>
    <t>英文名称</t>
  </si>
  <si>
    <t>3-甲硫基丙醛</t>
  </si>
  <si>
    <t>635 ± 20</t>
  </si>
  <si>
    <t>3-甲基吲哚</t>
  </si>
  <si>
    <t>732,061 ± 106,844</t>
  </si>
  <si>
    <t>44,450 ± 1143</t>
  </si>
  <si>
    <t>γ-nonalactone</t>
  </si>
  <si>
    <t>2-呋喃甲酸乙酯</t>
  </si>
  <si>
    <t>苯乙酸</t>
  </si>
  <si>
    <t>3-(methylthio)-propanoic acid ethyl ester</t>
  </si>
  <si>
    <t>308 ± 16</t>
  </si>
  <si>
    <t>3-甲硫基丙醇</t>
  </si>
  <si>
    <t>3-(methylthio)propanol</t>
  </si>
  <si>
    <t>205 ± 12</t>
  </si>
  <si>
    <t>2-甲氧基-4-乙烯基苯酚</t>
  </si>
  <si>
    <t>2-methoxy-4-vinylphenol</t>
  </si>
  <si>
    <t>12 ± 0.2</t>
  </si>
  <si>
    <t>ethyl 3-hexenoate</t>
  </si>
  <si>
    <t>473 ± 20</t>
  </si>
  <si>
    <t>112 ± 6</t>
  </si>
  <si>
    <t>3-methylbutyl octanoate</t>
  </si>
  <si>
    <t>141 ± 1</t>
  </si>
  <si>
    <t>ethyl 2-hydroxy-4-methyl pentanoate</t>
  </si>
  <si>
    <t>4268 ± 32</t>
  </si>
  <si>
    <t>6739 ± 115</t>
  </si>
  <si>
    <t>2-噻吩甲醛</t>
  </si>
  <si>
    <t>2-thenaldehyde</t>
  </si>
  <si>
    <t>22 ± 1</t>
  </si>
  <si>
    <t>11 ± 0.4</t>
  </si>
  <si>
    <t>1,1-二乙氧基乙基苯</t>
  </si>
  <si>
    <t>benzene, (2,2-diethoxyethyl)-</t>
  </si>
  <si>
    <t>1575 ± 17</t>
  </si>
  <si>
    <t>163 ± 1</t>
  </si>
  <si>
    <t>尼古丁酸乙酯</t>
  </si>
  <si>
    <t>ethyl nicotinoate</t>
  </si>
  <si>
    <t>15 ± 1</t>
  </si>
  <si>
    <t>9 ± 1</t>
  </si>
  <si>
    <t>ethyl tetradecanoate</t>
  </si>
  <si>
    <t>731 ± 7</t>
  </si>
  <si>
    <t>300 ± 0.2</t>
  </si>
  <si>
    <t>ethyl palmitate</t>
  </si>
  <si>
    <t>14,044 ± 445</t>
  </si>
  <si>
    <t>601 ± 9</t>
  </si>
  <si>
    <t>化合物名称 (flavor components)</t>
  </si>
  <si>
    <t>ethyl formate</t>
  </si>
  <si>
    <t>庚酸乙酯 (ethyl heptanoate)</t>
  </si>
  <si>
    <t>己酸己酯 (hexyl hexanoate)</t>
  </si>
  <si>
    <t>3-羟基-2-丁酮 (acetoin)</t>
  </si>
  <si>
    <t>乙酸丁酯 (acetic acid butyl ester代)</t>
  </si>
  <si>
    <t>esters</t>
  </si>
  <si>
    <t>10348-47-7</t>
  </si>
  <si>
    <t>2306-88-9</t>
  </si>
  <si>
    <t>544-35-4</t>
  </si>
  <si>
    <t>caproic acid propyl ester</t>
  </si>
  <si>
    <t>106-70-7</t>
  </si>
  <si>
    <t>5405-41-4</t>
  </si>
  <si>
    <t>628-63-7</t>
  </si>
  <si>
    <t>138-22-7</t>
  </si>
  <si>
    <t>2311-46-8</t>
  </si>
  <si>
    <t>109-94-4</t>
  </si>
  <si>
    <t>2412-80-8</t>
  </si>
  <si>
    <t>112-32-3</t>
  </si>
  <si>
    <t>6976-72-3</t>
  </si>
  <si>
    <t>7493-69-8</t>
  </si>
  <si>
    <t>112-23-2</t>
  </si>
  <si>
    <t>617-35-6</t>
  </si>
  <si>
    <t>elaidic acid ethyl ester</t>
  </si>
  <si>
    <t>6114-18-7</t>
  </si>
  <si>
    <t>1117-55-1</t>
  </si>
  <si>
    <t>540-18-1</t>
  </si>
  <si>
    <t>542-10-9</t>
  </si>
  <si>
    <t>7789-99-3</t>
  </si>
  <si>
    <t>60415-61-4</t>
  </si>
  <si>
    <t>39252-02-3</t>
  </si>
  <si>
    <t>109-20-6</t>
  </si>
  <si>
    <t>7779-75-1</t>
  </si>
  <si>
    <t>1-octen-3-ol</t>
  </si>
  <si>
    <t>1,2-hexanediol</t>
  </si>
  <si>
    <t>6920-22-5</t>
  </si>
  <si>
    <t>cedrol</t>
  </si>
  <si>
    <t>(-)-alpha-terpineol</t>
  </si>
  <si>
    <t>(E)-2-undecen-1-ol</t>
  </si>
  <si>
    <t>112-53-8</t>
  </si>
  <si>
    <t>(S)-(-)-2-methylbutanol</t>
  </si>
  <si>
    <t>acids</t>
  </si>
  <si>
    <t>3-methylvaleric acid</t>
  </si>
  <si>
    <t>nonanoic acid</t>
  </si>
  <si>
    <t>2-nonenoic acid</t>
  </si>
  <si>
    <t>isocaproic acid</t>
  </si>
  <si>
    <t>aldehydes</t>
  </si>
  <si>
    <t>4-undecanolide</t>
  </si>
  <si>
    <t>4-hydroxy-3-methoxystyrene</t>
  </si>
  <si>
    <t>guaiacol</t>
  </si>
  <si>
    <t>4-ethyl-2-methoxyphenol</t>
  </si>
  <si>
    <t>2-ethylphenol</t>
  </si>
  <si>
    <t>90-00-6</t>
  </si>
  <si>
    <t>eugenol</t>
  </si>
  <si>
    <t>97-53-0</t>
  </si>
  <si>
    <t>ketones</t>
  </si>
  <si>
    <t>2-octanone</t>
  </si>
  <si>
    <t>butane-2,3-dione</t>
  </si>
  <si>
    <t>431-03-8</t>
  </si>
  <si>
    <t>106-68-3</t>
  </si>
  <si>
    <t>54815-13-3</t>
  </si>
  <si>
    <t>110-43-0</t>
  </si>
  <si>
    <t>112-12-9</t>
  </si>
  <si>
    <t>2345-28-0</t>
  </si>
  <si>
    <t>138-86-3</t>
  </si>
  <si>
    <t>1,1-diethoxypentane</t>
  </si>
  <si>
    <t>3658-79-5</t>
  </si>
  <si>
    <t>2,2-difurfuryl ether</t>
  </si>
  <si>
    <t>4437-22-3</t>
  </si>
  <si>
    <t>己酸乙酯 (ethyl hexanoate)</t>
  </si>
  <si>
    <t>异戊酸乙酯 (ethyl isovalerate)</t>
  </si>
  <si>
    <t>丁酸乙酯 (ethyl butanoate)</t>
  </si>
  <si>
    <t>乙酸乙酯 (ethyl acetate)</t>
  </si>
  <si>
    <t>辛酸乙酯 (ethyl caprylate)</t>
  </si>
  <si>
    <t>戊酸乙酯 (ethyl valerate)</t>
  </si>
  <si>
    <t>乳酸乙酯 (ethyl lactate)</t>
  </si>
  <si>
    <t>4-甲基戊酸乙酯 (ethyl 4-methyl valerate)</t>
  </si>
  <si>
    <t>己酸异戊酯 (3-methylbutyl hexanoate代)</t>
  </si>
  <si>
    <t>己酸甲酯 (methyl hexanoate代)</t>
  </si>
  <si>
    <t>己酸丁酯 (butyl hexanoate)</t>
  </si>
  <si>
    <t>3-苯基丙酸乙酯 (ethyl 3-phenylpropanoate)</t>
  </si>
  <si>
    <t>苯乙酸乙酯 (ethyl phenylacetate)</t>
  </si>
  <si>
    <t>乙酸异戊酯 (isoamyl acetate)</t>
  </si>
  <si>
    <t>棕榈酸乙酯 (ethyl hexadecanoate代)</t>
  </si>
  <si>
    <t>丁酸异戊酯 (butyl butanoate代)</t>
  </si>
  <si>
    <t>1-丁醇 (butanol)</t>
  </si>
  <si>
    <t>1-己醇 (1-hexanol)</t>
  </si>
  <si>
    <t>异丁醇 (isobutanol)</t>
  </si>
  <si>
    <t>己酸 (hexanoic acid)</t>
  </si>
  <si>
    <t>异丁酸 (isobutyric acid)</t>
  </si>
  <si>
    <t>戊酸 (pentanoic acid)</t>
  </si>
  <si>
    <t>辛酸 (octanoic acid)</t>
  </si>
  <si>
    <t>庚酸 (heptanoic acid)</t>
  </si>
  <si>
    <t>丁酸 (butyric acid)</t>
  </si>
  <si>
    <t>乙酸 (acetic acid)</t>
  </si>
  <si>
    <t>4-甲基戊酸 (3-methylvaleric acid代)</t>
  </si>
  <si>
    <t>苯乙醛 (phenylacetaldehyde)</t>
  </si>
  <si>
    <t>乙醛 (acetaldehyde)</t>
  </si>
  <si>
    <t>糠醛 (furfural)</t>
  </si>
  <si>
    <t>乙醛二乙缩醛 (acetal)</t>
  </si>
  <si>
    <t>4-乙基-2-甲氧基苯酚 (4-ethyl-2-methoxyphenol)</t>
  </si>
  <si>
    <t>gamma-壬内酯 (4-undecanolide代)</t>
  </si>
  <si>
    <t>对甲酚 (m-cresol代)</t>
  </si>
  <si>
    <t>乙酸苯乙酯 (ethyl phenylacetate代)</t>
  </si>
  <si>
    <t>丙酸 (formic acid代)</t>
  </si>
  <si>
    <t>癸酸乙酯 (ethyl decanoate)</t>
  </si>
  <si>
    <t>壬酸乙酯 (ethyl nonanoate)</t>
  </si>
  <si>
    <t>丁酸己酯 (hexyl butanoate)</t>
  </si>
  <si>
    <t>n-d-2012</t>
  </si>
  <si>
    <t>n-s-2012</t>
  </si>
  <si>
    <t>n-d-2011</t>
  </si>
  <si>
    <t>n-s-2010</t>
  </si>
  <si>
    <t>n-s-2009</t>
  </si>
  <si>
    <t>n-d-2007</t>
  </si>
  <si>
    <t>n-s-2004</t>
  </si>
  <si>
    <t>糠醇 (2-糠醇)</t>
  </si>
  <si>
    <t>异丁酸乙酯 (2-甲基丙酸乙酯)</t>
  </si>
  <si>
    <t>三甲基吡嗪 (2,3,5-三甲基吡嗪)</t>
  </si>
  <si>
    <t>化合物分类与名称</t>
  </si>
  <si>
    <t>2497.66±172.45</t>
  </si>
  <si>
    <t>1929.23±224.13</t>
  </si>
  <si>
    <t>1860.25±43.27</t>
  </si>
  <si>
    <t>1917.46±149.19</t>
  </si>
  <si>
    <t>2432.82±79.59</t>
  </si>
  <si>
    <t>1830.33±68.34</t>
  </si>
  <si>
    <t>2369.21±226.19</t>
  </si>
  <si>
    <t>69.10±4.34</t>
  </si>
  <si>
    <t>49.64±4.01</t>
  </si>
  <si>
    <t>15.10±2.99</t>
  </si>
  <si>
    <t>46.14±4.81</t>
  </si>
  <si>
    <t>105.48±5.06</t>
  </si>
  <si>
    <t>31.72±0.43</t>
  </si>
  <si>
    <t>72.35±13.53</t>
  </si>
  <si>
    <t>153.43±6.45</t>
  </si>
  <si>
    <t>75.29±12.91</t>
  </si>
  <si>
    <t>32.16±3.29</t>
  </si>
  <si>
    <t>89.01±17.90</t>
  </si>
  <si>
    <t>139.11±24.86</t>
  </si>
  <si>
    <t>101.53±2.56</t>
  </si>
  <si>
    <t>163.09±27.58</t>
  </si>
  <si>
    <t>996.37±74.36</t>
  </si>
  <si>
    <t>738.71±31.63</t>
  </si>
  <si>
    <t>728.38±12.14</t>
  </si>
  <si>
    <t>780.38±4.69</t>
  </si>
  <si>
    <t>1275.09±65.73</t>
  </si>
  <si>
    <t>609.50±21.02</t>
  </si>
  <si>
    <t>770.57±37.24</t>
  </si>
  <si>
    <t>3565.2±572.64</t>
  </si>
  <si>
    <t>2072.83±144.99</t>
  </si>
  <si>
    <t>1458.56±88.9</t>
  </si>
  <si>
    <t>3424±411.14</t>
  </si>
  <si>
    <t>4073.31±265.79</t>
  </si>
  <si>
    <t>5113.07±261.59</t>
  </si>
  <si>
    <t>4903.82±892.16</t>
  </si>
  <si>
    <t>4.05±0.67</t>
  </si>
  <si>
    <t>0.83±0.15</t>
  </si>
  <si>
    <t>1.48±0.22</t>
  </si>
  <si>
    <t>1.72±0.01</t>
  </si>
  <si>
    <t>1.66±0.19</t>
  </si>
  <si>
    <t>3.37±0.29</t>
  </si>
  <si>
    <t>3.06±0.58</t>
  </si>
  <si>
    <t>9.78±1.67</t>
  </si>
  <si>
    <t>5.42±0.87</t>
  </si>
  <si>
    <t>7.09±1.10</t>
  </si>
  <si>
    <t>5.98±1.07</t>
  </si>
  <si>
    <t>3.34±0.44</t>
  </si>
  <si>
    <t>2.39±0.25</t>
  </si>
  <si>
    <t>3.88±0.37</t>
  </si>
  <si>
    <t>284.38±33.81</t>
  </si>
  <si>
    <t>202.97±13.27</t>
  </si>
  <si>
    <t>79.51±1.05</t>
  </si>
  <si>
    <t>214.20±4.75</t>
  </si>
  <si>
    <t>450.70±22.13</t>
  </si>
  <si>
    <t>187.93±5.33</t>
  </si>
  <si>
    <t>365.85±40.55</t>
  </si>
  <si>
    <t>4693.08±222.45</t>
  </si>
  <si>
    <t>3504.34±274.13</t>
  </si>
  <si>
    <t>2893.43±122.34</t>
  </si>
  <si>
    <t>7100.35±670.47</t>
  </si>
  <si>
    <t>9768.31±342.35</t>
  </si>
  <si>
    <t>3933.88±480.52</t>
  </si>
  <si>
    <t>6252.87±879.48</t>
  </si>
  <si>
    <t>2101.38±332.18</t>
  </si>
  <si>
    <t>1263.22±41.32</t>
  </si>
  <si>
    <t>1093.38±10.81</t>
  </si>
  <si>
    <t>2883.61±299.06</t>
  </si>
  <si>
    <t>2104.37±235.04</t>
  </si>
  <si>
    <t>743.85±27.85</t>
  </si>
  <si>
    <t>2135.53±328.17</t>
  </si>
  <si>
    <t>294.97±22.07</t>
  </si>
  <si>
    <t>176.12±7.13</t>
  </si>
  <si>
    <t>132.81±2.60</t>
  </si>
  <si>
    <t>240.95±41.98</t>
  </si>
  <si>
    <t>344.80±42.73</t>
  </si>
  <si>
    <t>53.42±5.64</t>
  </si>
  <si>
    <t>82.39±7.38</t>
  </si>
  <si>
    <t>5.83±1.09</t>
  </si>
  <si>
    <t>3.98±0.04</t>
  </si>
  <si>
    <t>2.71±0.36</t>
  </si>
  <si>
    <t>11.10±1.83</t>
  </si>
  <si>
    <t>10.94±0.82</t>
  </si>
  <si>
    <t>3.44±0.29</t>
  </si>
  <si>
    <t>7.18±0.18</t>
  </si>
  <si>
    <t>223.85±7.20</t>
  </si>
  <si>
    <t>126.68±5.68</t>
  </si>
  <si>
    <t>85.43±3.97</t>
  </si>
  <si>
    <t>273.56±40.91</t>
  </si>
  <si>
    <t>338.35±12.26</t>
  </si>
  <si>
    <t>166.92±9.20</t>
  </si>
  <si>
    <t>271.98±8.00</t>
  </si>
  <si>
    <t>11173.08±878.91</t>
  </si>
  <si>
    <t>7002.37±411.32</t>
  </si>
  <si>
    <t>4978.37±733.40</t>
  </si>
  <si>
    <t>16185.38±2058.55</t>
  </si>
  <si>
    <t>3815.20±416.24</t>
  </si>
  <si>
    <t>5483.44±265.97</t>
  </si>
  <si>
    <t>9701.66±33.83</t>
  </si>
  <si>
    <t>3803.94±471.88</t>
  </si>
  <si>
    <t>2904.77±294.72</t>
  </si>
  <si>
    <t>1701.58±69.23</t>
  </si>
  <si>
    <t>1169.25±152.84</t>
  </si>
  <si>
    <t>1892.45±115.00</t>
  </si>
  <si>
    <t>1566.77±196.19</t>
  </si>
  <si>
    <t>1616.91±85.54</t>
  </si>
  <si>
    <t>31080.93±4181.26</t>
  </si>
  <si>
    <t>12475.5±1257.56</t>
  </si>
  <si>
    <t>7818.61±1216.07</t>
  </si>
  <si>
    <t>43495.18±7561.21</t>
  </si>
  <si>
    <t>36952.29±6198.04</t>
  </si>
  <si>
    <t>8707.78±385.40</t>
  </si>
  <si>
    <t>17820.66±2595.29</t>
  </si>
  <si>
    <t>174.56±5.72</t>
  </si>
  <si>
    <t>95.10±5.19</t>
  </si>
  <si>
    <t>76.55±3.55</t>
  </si>
  <si>
    <t>188.97±30.81</t>
  </si>
  <si>
    <t>168.76±116.52</t>
  </si>
  <si>
    <t>79.67±2.82</t>
  </si>
  <si>
    <t>163.33±3.01</t>
  </si>
  <si>
    <t>4567.51±670.09</t>
  </si>
  <si>
    <t>1752.15±255.09</t>
  </si>
  <si>
    <t>1044.23±189.78</t>
  </si>
  <si>
    <t>7354.49±1114.09</t>
  </si>
  <si>
    <t>5383.22±906.24</t>
  </si>
  <si>
    <t>1420.99±51.56</t>
  </si>
  <si>
    <t>3707.65±97.99</t>
  </si>
  <si>
    <t>5459.39±1007.03</t>
  </si>
  <si>
    <t>2977.48±244.8</t>
  </si>
  <si>
    <t>2359.22±401.58</t>
  </si>
  <si>
    <t>9281.16±1293.69</t>
  </si>
  <si>
    <t>8653.01±10.85</t>
  </si>
  <si>
    <t>2077.76±49.76</t>
  </si>
  <si>
    <t>4492.70±339.27</t>
  </si>
  <si>
    <t>42.52±5.63</t>
  </si>
  <si>
    <t>54.13±9.64</t>
  </si>
  <si>
    <t>23.54±20.61</t>
  </si>
  <si>
    <t>44.94±7.29</t>
  </si>
  <si>
    <t>43.82±3.26</t>
  </si>
  <si>
    <t>23.77±2.60</t>
  </si>
  <si>
    <t>74.59±1.26</t>
  </si>
  <si>
    <t>1676.56±58.39</t>
  </si>
  <si>
    <t>1493.18±33.91</t>
  </si>
  <si>
    <t>1440.31±12.75</t>
  </si>
  <si>
    <t>2433.43±432.28</t>
  </si>
  <si>
    <t>1654.87±48.10</t>
  </si>
  <si>
    <t>1496.32±4.74</t>
  </si>
  <si>
    <t>2156.10±36.36</t>
  </si>
  <si>
    <t>34168.94±3459.23</t>
  </si>
  <si>
    <t>18766.17±3081.71</t>
  </si>
  <si>
    <t>14913.66±495.88</t>
  </si>
  <si>
    <t>47099.90±7823.74</t>
  </si>
  <si>
    <t>49589.17±210.18</t>
  </si>
  <si>
    <t>5944.80±238.52</t>
  </si>
  <si>
    <t>22385.50±424.49</t>
  </si>
  <si>
    <t>4709.91±197.38</t>
  </si>
  <si>
    <t>2607.96±50.84</t>
  </si>
  <si>
    <t>2451.99±295.22</t>
  </si>
  <si>
    <t>4040.50±689.13</t>
  </si>
  <si>
    <t>2800.07±13.60</t>
  </si>
  <si>
    <t>1767.93±78.01</t>
  </si>
  <si>
    <t>4272.18±125.82</t>
  </si>
  <si>
    <t>860.67±26.71</t>
  </si>
  <si>
    <t>411.17±6.05</t>
  </si>
  <si>
    <t>417.54±25.58</t>
  </si>
  <si>
    <t>908.51±165.99</t>
  </si>
  <si>
    <t>508.68±12.69</t>
  </si>
  <si>
    <t>164.81±8.62</t>
  </si>
  <si>
    <t>721.53±40.08</t>
  </si>
  <si>
    <t>反-4-癸烯酸乙酯</t>
  </si>
  <si>
    <t>346.03±42.61</t>
  </si>
  <si>
    <t>304.65±39.66</t>
  </si>
  <si>
    <t>281.08±18.24</t>
  </si>
  <si>
    <t>516.04±68.53</t>
  </si>
  <si>
    <t>319.75±17.45</t>
  </si>
  <si>
    <t>353.11±11.01</t>
  </si>
  <si>
    <t>311.00±1.97</t>
  </si>
  <si>
    <t>624.77±51.26</t>
  </si>
  <si>
    <t>309.82±16.76</t>
  </si>
  <si>
    <t>250.37±13.14</t>
  </si>
  <si>
    <t>327.94±58.27</t>
  </si>
  <si>
    <t>332.11±2.36</t>
  </si>
  <si>
    <t>323.04±11.43</t>
  </si>
  <si>
    <t>390.47±32.54</t>
  </si>
  <si>
    <t>60.43±12.26</t>
  </si>
  <si>
    <t>33.94±0.25</t>
  </si>
  <si>
    <t>39.49±1.16</t>
  </si>
  <si>
    <t>52.61±9.62</t>
  </si>
  <si>
    <t>32.50±0.49</t>
  </si>
  <si>
    <t>34.37±1.65</t>
  </si>
  <si>
    <t>51.15±3.92</t>
  </si>
  <si>
    <t>55.58±8.83</t>
  </si>
  <si>
    <t>48.37±6.22</t>
  </si>
  <si>
    <t>49.33±0.18</t>
  </si>
  <si>
    <t>706.21±106.34</t>
  </si>
  <si>
    <t>49.97±6.03</t>
  </si>
  <si>
    <t>43.63±5.49</t>
  </si>
  <si>
    <t>53.59±9.58</t>
  </si>
  <si>
    <t>347.50±17.57</t>
  </si>
  <si>
    <t>268.00±23.71</t>
  </si>
  <si>
    <t>282.72±21.91</t>
  </si>
  <si>
    <t>230.43±48.21</t>
  </si>
  <si>
    <t>352.80±61.78</t>
  </si>
  <si>
    <t>184.58±35.21</t>
  </si>
  <si>
    <t>302.56±28.47</t>
  </si>
  <si>
    <t>2-甲基丙醛</t>
  </si>
  <si>
    <t>1383.15±185.16</t>
  </si>
  <si>
    <t>810.15±88.51</t>
  </si>
  <si>
    <t>658.16±18.97</t>
  </si>
  <si>
    <t>1036.25±133.29</t>
  </si>
  <si>
    <t>2058.10±103.88</t>
  </si>
  <si>
    <t>1060.25±212.35</t>
  </si>
  <si>
    <t>1629.71±25.68</t>
  </si>
  <si>
    <t>108.37±19.23</t>
  </si>
  <si>
    <t>51.95±5.61</t>
  </si>
  <si>
    <t>29.11±4.02</t>
  </si>
  <si>
    <t>63.71±12.92</t>
  </si>
  <si>
    <t>225.04±36.34</t>
  </si>
  <si>
    <t>84.44±14.88</t>
  </si>
  <si>
    <t>140.44±5.26</t>
  </si>
  <si>
    <t>7.58±1.27</t>
  </si>
  <si>
    <t>20.89±3.59</t>
  </si>
  <si>
    <t>17.67±2.28</t>
  </si>
  <si>
    <t>16.52±2.29</t>
  </si>
  <si>
    <t>37.04±5.49</t>
  </si>
  <si>
    <t>54.00±7.62</t>
  </si>
  <si>
    <t>317.10±38.36</t>
  </si>
  <si>
    <t>1072.16±105.83</t>
  </si>
  <si>
    <t>1030.51±128.20</t>
  </si>
  <si>
    <t>722.99±134.52</t>
  </si>
  <si>
    <t>1498.12±105.55</t>
  </si>
  <si>
    <t>1136.03±136.24</t>
  </si>
  <si>
    <t>722.58±90.83</t>
  </si>
  <si>
    <t>983.86±194.78</t>
  </si>
  <si>
    <t>690.68±6.19</t>
  </si>
  <si>
    <t>678.33±20.65</t>
  </si>
  <si>
    <t>708.29±3.36</t>
  </si>
  <si>
    <t>656.44±7.03</t>
  </si>
  <si>
    <t>696.25±23.99</t>
  </si>
  <si>
    <t>725.89±22.95</t>
  </si>
  <si>
    <t>758.45±57.09</t>
  </si>
  <si>
    <t>852.77±95.59</t>
  </si>
  <si>
    <t>630.31±72.18</t>
  </si>
  <si>
    <t>707.49±51.04</t>
  </si>
  <si>
    <t>994.98±90.45</t>
  </si>
  <si>
    <t>760.45±12.24</t>
  </si>
  <si>
    <t>1469.11±125.74</t>
  </si>
  <si>
    <t>767.09±83.30</t>
  </si>
  <si>
    <t>58.35±10.63</t>
  </si>
  <si>
    <t>34.07±5.16</t>
  </si>
  <si>
    <t>150.55±28.59</t>
  </si>
  <si>
    <t>21.93±1.63</t>
  </si>
  <si>
    <t>70.99±4.17</t>
  </si>
  <si>
    <t>50.35±7.18</t>
  </si>
  <si>
    <t>100.03±11.13</t>
  </si>
  <si>
    <t>387.38±30.08</t>
  </si>
  <si>
    <t>168.51±23.56</t>
  </si>
  <si>
    <t>62.98±11.94</t>
  </si>
  <si>
    <t>53.12±7.14</t>
  </si>
  <si>
    <t>47.15±7.42</t>
  </si>
  <si>
    <t>96.64±8.37</t>
  </si>
  <si>
    <t>350.90±53.71</t>
  </si>
  <si>
    <t>19.51±3.50</t>
  </si>
  <si>
    <t>12.11±2.32</t>
  </si>
  <si>
    <t>11.33±1.38</t>
  </si>
  <si>
    <t>29.76±3.69</t>
  </si>
  <si>
    <t>11.60±2.03</t>
  </si>
  <si>
    <t>11.62±1.56</t>
  </si>
  <si>
    <t>11.98±1.88</t>
  </si>
  <si>
    <t>79.24±2.44</t>
  </si>
  <si>
    <t>63.99±1.74</t>
  </si>
  <si>
    <t>36.54±7.18</t>
  </si>
  <si>
    <t>60.20±8.06</t>
  </si>
  <si>
    <t>104.54±3.87</t>
  </si>
  <si>
    <t>97.56±7.59</t>
  </si>
  <si>
    <t>77.49±5.78</t>
  </si>
  <si>
    <t>58.54±7.99</t>
  </si>
  <si>
    <t>42.68±8.90</t>
  </si>
  <si>
    <t>31.73±2.53</t>
  </si>
  <si>
    <t>40.58±6.78</t>
  </si>
  <si>
    <t>102.20±15.55</t>
  </si>
  <si>
    <t>77.05±10.23</t>
  </si>
  <si>
    <t>72.77±14.74</t>
  </si>
  <si>
    <t>148.88±7.80</t>
  </si>
  <si>
    <t>114.44±7.00</t>
  </si>
  <si>
    <t>117.04±8.53</t>
  </si>
  <si>
    <t>101.48±9.91</t>
  </si>
  <si>
    <t>121.68±10.10</t>
  </si>
  <si>
    <t>112.28±6.62</t>
  </si>
  <si>
    <t>132.49±9.48</t>
  </si>
  <si>
    <t>157.49±9.46</t>
  </si>
  <si>
    <t>111.31±8.33</t>
  </si>
  <si>
    <t>113.77±3.75</t>
  </si>
  <si>
    <t>137.70±13.34</t>
  </si>
  <si>
    <t>197.37±16.32</t>
  </si>
  <si>
    <t>166.16±7.77</t>
  </si>
  <si>
    <t>151.00±7.29</t>
  </si>
  <si>
    <t>2806.43±492.72</t>
  </si>
  <si>
    <t>2392.48±274.84</t>
  </si>
  <si>
    <t>6757.32±1260.10</t>
  </si>
  <si>
    <t>8040.38±1056.77</t>
  </si>
  <si>
    <t>7801.27±985.71</t>
  </si>
  <si>
    <t>11439.68±718.76</t>
  </si>
  <si>
    <t>5236.81±386.94</t>
  </si>
  <si>
    <t>349.69±18.49</t>
  </si>
  <si>
    <t>268.84±13.13</t>
  </si>
  <si>
    <t>292.03±6.17</t>
  </si>
  <si>
    <t>264.00±53.14</t>
  </si>
  <si>
    <t>308.33±25.14</t>
  </si>
  <si>
    <t>256.65±21.30</t>
  </si>
  <si>
    <t>280.56±8.26</t>
  </si>
  <si>
    <t>7.39±1.06</t>
  </si>
  <si>
    <t>7.71±1.74</t>
  </si>
  <si>
    <t>13.11±7.46</t>
  </si>
  <si>
    <t>13.38±0.59</t>
  </si>
  <si>
    <t>7.76±1.36</t>
  </si>
  <si>
    <t>15.33±2.27</t>
  </si>
  <si>
    <t>8.30±1.62</t>
  </si>
  <si>
    <t>42.36±5.30</t>
  </si>
  <si>
    <t>17.38±3.63</t>
  </si>
  <si>
    <t>26.87±4.59</t>
  </si>
  <si>
    <t>107.51±16.96</t>
  </si>
  <si>
    <t>104.47±9.80</t>
  </si>
  <si>
    <t>33.96±0.78</t>
  </si>
  <si>
    <t>133.60±18.23</t>
  </si>
  <si>
    <t>71.90±12.62</t>
  </si>
  <si>
    <t>36.76±7.34</t>
  </si>
  <si>
    <t>34.28±0.90</t>
  </si>
  <si>
    <t>63.74±7.49</t>
  </si>
  <si>
    <t>233.18±39.49</t>
  </si>
  <si>
    <t>47.37±7.69</t>
  </si>
  <si>
    <t>40.89±3.92</t>
  </si>
  <si>
    <t>127.58±9.94</t>
  </si>
  <si>
    <t>69.86±5.65</t>
  </si>
  <si>
    <t>188.20±32.65</t>
  </si>
  <si>
    <t>116.20±24.10</t>
  </si>
  <si>
    <t>142.34±19.80</t>
  </si>
  <si>
    <t>27.76±4.04</t>
  </si>
  <si>
    <t>180.66±10.02</t>
  </si>
  <si>
    <t>2170.64±365.95</t>
  </si>
  <si>
    <t>2944.46±327.69</t>
  </si>
  <si>
    <t>2021.28±57.25</t>
  </si>
  <si>
    <t>6962.59±1266.74</t>
  </si>
  <si>
    <t>6427.46±992.55</t>
  </si>
  <si>
    <t>3596.26±226.89</t>
  </si>
  <si>
    <t>8783.43±345.86</t>
  </si>
  <si>
    <t>152.65±30.62</t>
  </si>
  <si>
    <t>101.41±19.94</t>
  </si>
  <si>
    <t>85.9pm16.48</t>
  </si>
  <si>
    <t>96.77±19.3</t>
  </si>
  <si>
    <t>199.33±7.24</t>
  </si>
  <si>
    <t>176.27±11.86</t>
  </si>
  <si>
    <t>177.67±16.77</t>
  </si>
  <si>
    <t>35.50±2.65</t>
  </si>
  <si>
    <t>35.03±2.84</t>
  </si>
  <si>
    <t>36.21±2.96</t>
  </si>
  <si>
    <t>32.49±2.45</t>
  </si>
  <si>
    <t>38.97±3.02</t>
  </si>
  <si>
    <t>34.34±3.28</t>
  </si>
  <si>
    <t>38.32±2.45</t>
  </si>
  <si>
    <t>芳香族</t>
  </si>
  <si>
    <t>3100.94±177.84</t>
  </si>
  <si>
    <t>2409.07±173.68</t>
  </si>
  <si>
    <t>2264.37±60.93</t>
  </si>
  <si>
    <t>7920.95±1292.32</t>
  </si>
  <si>
    <t>6800.39±165.74</t>
  </si>
  <si>
    <t>5496.27±531.76</t>
  </si>
  <si>
    <t>6034.30±448.14</t>
  </si>
  <si>
    <t>11.05±1.20</t>
  </si>
  <si>
    <t>17.38±3.23</t>
  </si>
  <si>
    <t>96.48±13.72</t>
  </si>
  <si>
    <t>35.11±3.84</t>
  </si>
  <si>
    <t>34.23±3.44</t>
  </si>
  <si>
    <t>37.31±2.82</t>
  </si>
  <si>
    <t>43.13±3.54</t>
  </si>
  <si>
    <t>1.32±0.21</t>
  </si>
  <si>
    <t>1.09±0.17</t>
  </si>
  <si>
    <t>0.95±0.17</t>
  </si>
  <si>
    <t>1.48±0.13</t>
  </si>
  <si>
    <t>1.81±0.20</t>
  </si>
  <si>
    <t>0.61±0.08</t>
  </si>
  <si>
    <t>3.93±0.27</t>
  </si>
  <si>
    <t>苯甲酸甲酯</t>
  </si>
  <si>
    <t>155.47±22.81</t>
  </si>
  <si>
    <t>91.85±5.14</t>
  </si>
  <si>
    <t>79.72±2.67</t>
  </si>
  <si>
    <t>170.43±24.97</t>
  </si>
  <si>
    <t>169.26±3.49</t>
  </si>
  <si>
    <t>224.22±14.07</t>
  </si>
  <si>
    <t>114.17±1.54</t>
  </si>
  <si>
    <t>61.24±2.76</t>
  </si>
  <si>
    <t>65.98±3.55</t>
  </si>
  <si>
    <t>47.53±2.02</t>
  </si>
  <si>
    <t>115.97±20.49</t>
  </si>
  <si>
    <t>101.98±45.55</t>
  </si>
  <si>
    <t>94.64±6.52</t>
  </si>
  <si>
    <t>321.70±4.68</t>
  </si>
  <si>
    <t>450.19±64.7</t>
  </si>
  <si>
    <t>448.45±46.9</t>
  </si>
  <si>
    <t>73.34±4.43</t>
  </si>
  <si>
    <t>200.51±17.63</t>
  </si>
  <si>
    <t>1527.85±269.24</t>
  </si>
  <si>
    <t>536.16±80.01</t>
  </si>
  <si>
    <t>1169.83±149.93</t>
  </si>
  <si>
    <t>124.81±18.65</t>
  </si>
  <si>
    <t>89.06±15.64</t>
  </si>
  <si>
    <t>295.10±11.65</t>
  </si>
  <si>
    <t>1023.65±105.07</t>
  </si>
  <si>
    <t>162.40±27.96</t>
  </si>
  <si>
    <t>39.28±3.78</t>
  </si>
  <si>
    <t>102.50±13.71</t>
  </si>
  <si>
    <t>2669.23±244.56</t>
  </si>
  <si>
    <t>2507.23±112.41</t>
  </si>
  <si>
    <t>1479.05±124.50</t>
  </si>
  <si>
    <t>4172.59±98.92</t>
  </si>
  <si>
    <t>8152.41±192.92</t>
  </si>
  <si>
    <t>2744.49±439.70</t>
  </si>
  <si>
    <t>5483.11±553.64</t>
  </si>
  <si>
    <t>847.58±140.08</t>
  </si>
  <si>
    <t>255.57±45.93</t>
  </si>
  <si>
    <t>214.65±3.92</t>
  </si>
  <si>
    <t>416.47±52.06</t>
  </si>
  <si>
    <t>477.43±87.68</t>
  </si>
  <si>
    <t>510.30±90.06</t>
  </si>
  <si>
    <t>419.58±27.35</t>
  </si>
  <si>
    <t>24.89±3.28</t>
  </si>
  <si>
    <t>24.26±1.52</t>
  </si>
  <si>
    <t>11.72±2.20</t>
  </si>
  <si>
    <t>36.61±6.96</t>
  </si>
  <si>
    <t>74.13±2.79</t>
  </si>
  <si>
    <t>16.28±1.26</t>
  </si>
  <si>
    <t>60.52±10.81</t>
  </si>
  <si>
    <t>异戊酸-2-苯乙酯</t>
  </si>
  <si>
    <t>26.72±4.74</t>
  </si>
  <si>
    <t>24.81±0.52</t>
  </si>
  <si>
    <t>23.32±0.05</t>
  </si>
  <si>
    <t>36.34±6.59</t>
  </si>
  <si>
    <t>30.22±0.28</t>
  </si>
  <si>
    <t>19.33±1.28</t>
  </si>
  <si>
    <t>31.03±3.21</t>
  </si>
  <si>
    <t>1386.69±156.57</t>
  </si>
  <si>
    <t>826.28±36.61</t>
  </si>
  <si>
    <t>849.34±85.65</t>
  </si>
  <si>
    <t>1644.7±292.41</t>
  </si>
  <si>
    <t>1118.08±37.14</t>
  </si>
  <si>
    <t>349.12±50.50</t>
  </si>
  <si>
    <t>1159.39±183.33</t>
  </si>
  <si>
    <t>259.52±12.75</t>
  </si>
  <si>
    <t>126.81±22.19</t>
  </si>
  <si>
    <t>94.92±6.78</t>
  </si>
  <si>
    <t>57.77±7.30</t>
  </si>
  <si>
    <t>115.21±1.54</t>
  </si>
  <si>
    <t>994.41±123.7</t>
  </si>
  <si>
    <t>197.85±24.77</t>
  </si>
  <si>
    <t>1025.19±207.18</t>
  </si>
  <si>
    <t>531.70±44.83</t>
  </si>
  <si>
    <t>443.97±32.90</t>
  </si>
  <si>
    <t>2491.42±49.75</t>
  </si>
  <si>
    <t>2343.33±232.26</t>
  </si>
  <si>
    <t>341.53±35.12</t>
  </si>
  <si>
    <t>1083.73±158.23</t>
  </si>
  <si>
    <t>61.22±8.97</t>
  </si>
  <si>
    <t>28.28±1.10</t>
  </si>
  <si>
    <t>21.34±1.71</t>
  </si>
  <si>
    <t>23.44±3.80</t>
  </si>
  <si>
    <t>36.85±3.06</t>
  </si>
  <si>
    <t>290.96±23.20</t>
  </si>
  <si>
    <t>37.99±0.40</t>
  </si>
  <si>
    <t>1023.99±67.70</t>
  </si>
  <si>
    <t>629.89±18.88</t>
  </si>
  <si>
    <t>449.56±2.72</t>
  </si>
  <si>
    <t>1587.71±260.05</t>
  </si>
  <si>
    <t>1492.10±23.95</t>
  </si>
  <si>
    <t>613.61±21.4</t>
  </si>
  <si>
    <t>960.07±69.68</t>
  </si>
  <si>
    <t>487.77±72.67</t>
  </si>
  <si>
    <t>356.37±18.31</t>
  </si>
  <si>
    <t>298.90±27.43</t>
  </si>
  <si>
    <t>553.80±24.76</t>
  </si>
  <si>
    <t>559.33±74.15</t>
  </si>
  <si>
    <t>796.48±107.17</t>
  </si>
  <si>
    <t>147.27±0.69</t>
  </si>
  <si>
    <t>2317.60±515.67</t>
  </si>
  <si>
    <t>1024.08±8.76</t>
  </si>
  <si>
    <t>1590.85±112.45</t>
  </si>
  <si>
    <t>1014.00±98.04</t>
  </si>
  <si>
    <t>1107.29±227.44</t>
  </si>
  <si>
    <t>1244.92±124.26</t>
  </si>
  <si>
    <t>1224.43±53.05</t>
  </si>
  <si>
    <t>萜烯类</t>
  </si>
  <si>
    <t>2.16±0.41</t>
  </si>
  <si>
    <t>1.71±0.06</t>
  </si>
  <si>
    <t>1.92±0.02</t>
  </si>
  <si>
    <t>1.65±0.11</t>
  </si>
  <si>
    <t>1.86±0.03</t>
  </si>
  <si>
    <t>2.09±0.08</t>
  </si>
  <si>
    <t>2.17±0.03</t>
  </si>
  <si>
    <t>19.25±2.50</t>
  </si>
  <si>
    <t>14.67±1.28</t>
  </si>
  <si>
    <t>13.19±1.57</t>
  </si>
  <si>
    <t>12.05±1.22</t>
  </si>
  <si>
    <t>19.70±0.22</t>
  </si>
  <si>
    <t>9.12±1.17</t>
  </si>
  <si>
    <t>9.41±0.32</t>
  </si>
  <si>
    <t>香叶基丙酮</t>
  </si>
  <si>
    <t>23.25±2.34</t>
  </si>
  <si>
    <t>15.06±0.95</t>
  </si>
  <si>
    <t>12.60±1.78</t>
  </si>
  <si>
    <t>11.93±1.84</t>
  </si>
  <si>
    <t>4.50±0.29</t>
  </si>
  <si>
    <t>28.28±5.26</t>
  </si>
  <si>
    <t>32.85±6.45</t>
  </si>
  <si>
    <t>259.46±7.91</t>
  </si>
  <si>
    <t>151.27±1.10</t>
  </si>
  <si>
    <t>156.86±1.15</t>
  </si>
  <si>
    <t>243.49±42.32</t>
  </si>
  <si>
    <t>142.34±0.45</t>
  </si>
  <si>
    <t>135.09±2.30</t>
  </si>
  <si>
    <t>205.34±37.20</t>
  </si>
  <si>
    <t>90.23±10.09</t>
  </si>
  <si>
    <t>25.03±2.62</t>
  </si>
  <si>
    <t>21.74±2.49</t>
  </si>
  <si>
    <t>58.65±5.01</t>
  </si>
  <si>
    <t>114.18±14.51</t>
  </si>
  <si>
    <t>53.70±2.06</t>
  </si>
  <si>
    <t>145.88±28.72</t>
  </si>
  <si>
    <t>2-乙酰基呋喃</t>
  </si>
  <si>
    <t>2289.61±4.98</t>
  </si>
  <si>
    <t>2497.88±218.34</t>
  </si>
  <si>
    <t>2492.23±16.33</t>
  </si>
  <si>
    <t>2212.44±35.19</t>
  </si>
  <si>
    <t>2197.77±62.92</t>
  </si>
  <si>
    <t>2173.12±97.23</t>
  </si>
  <si>
    <t>2257.13±13.42</t>
  </si>
  <si>
    <t>5-甲基-2-糠醛</t>
  </si>
  <si>
    <t>214.35±37.8</t>
  </si>
  <si>
    <t>293.69±55.78</t>
  </si>
  <si>
    <t>120.40±16.16</t>
  </si>
  <si>
    <t>529.51±103.40</t>
  </si>
  <si>
    <t>379.83±40.96</t>
  </si>
  <si>
    <t>110.90±14.78</t>
  </si>
  <si>
    <t>364.85±55.72</t>
  </si>
  <si>
    <t>2-乙酰基-5-甲基呋喃</t>
  </si>
  <si>
    <t>103.95±6.62</t>
  </si>
  <si>
    <t>101.30±18.40</t>
  </si>
  <si>
    <t>84.11±2.55</t>
  </si>
  <si>
    <t>151.65±11.56</t>
  </si>
  <si>
    <t>137.74±15.99</t>
  </si>
  <si>
    <t>73.62±13.64</t>
  </si>
  <si>
    <t>131.14±18.15</t>
  </si>
  <si>
    <t>2-糠酸乙酯</t>
  </si>
  <si>
    <t>818.71±38.68</t>
  </si>
  <si>
    <t>826.39±7.61</t>
  </si>
  <si>
    <t>900.27±120.66</t>
  </si>
  <si>
    <t>805.76±2.67</t>
  </si>
  <si>
    <t>822.12±22.19</t>
  </si>
  <si>
    <t>771.04±0.15</t>
  </si>
  <si>
    <t>869.27±2.11</t>
  </si>
  <si>
    <t>2-糠醇</t>
  </si>
  <si>
    <t>8.12±1.42</t>
  </si>
  <si>
    <t>8.68±1.03</t>
  </si>
  <si>
    <t>7.66±0.98</t>
  </si>
  <si>
    <t>9.25±0.16</t>
  </si>
  <si>
    <t>9.69±1.24</t>
  </si>
  <si>
    <t>9.88±1.43</t>
  </si>
  <si>
    <t>13.02±1.33</t>
  </si>
  <si>
    <t>己酸-2-糠酯</t>
  </si>
  <si>
    <t>113.87±13.76</t>
  </si>
  <si>
    <t>161.25±5.41</t>
  </si>
  <si>
    <t>21.81±7.78</t>
  </si>
  <si>
    <t>511.32±53.59</t>
  </si>
  <si>
    <t>1245.05±0.05</t>
  </si>
  <si>
    <t>47.55±3.46</t>
  </si>
  <si>
    <t>332.95pm50.97</t>
  </si>
  <si>
    <t>硫化物</t>
  </si>
  <si>
    <t>693.89±78.76</t>
  </si>
  <si>
    <t>758.68±88.86</t>
  </si>
  <si>
    <t>1078.31pm10.93</t>
  </si>
  <si>
    <t>1140.77±211.54</t>
  </si>
  <si>
    <t>1504.26±47.87</t>
  </si>
  <si>
    <t>1068.51±116.40</t>
  </si>
  <si>
    <t>1633.97±7.99</t>
  </si>
  <si>
    <t>2055.29±294.47</t>
  </si>
  <si>
    <t>1698.84±30.75</t>
  </si>
  <si>
    <t>1635.57±0.49</t>
  </si>
  <si>
    <t>1343.00±196.80</t>
  </si>
  <si>
    <t>1525.20±302.65</t>
  </si>
  <si>
    <t>2533.63±55.19</t>
  </si>
  <si>
    <t>3292.75±467.18</t>
  </si>
  <si>
    <t>脂肪酸</t>
  </si>
  <si>
    <t>217.42±6.24</t>
  </si>
  <si>
    <t>518.74±69.01</t>
  </si>
  <si>
    <t>198.14±17.45</t>
  </si>
  <si>
    <t>286.23±47.09</t>
  </si>
  <si>
    <t>432.38±0.34</t>
  </si>
  <si>
    <t>648.34±98.47</t>
  </si>
  <si>
    <t>431.90±47.34</t>
  </si>
  <si>
    <t>15.29±1.52</t>
  </si>
  <si>
    <t>18.13±1.98</t>
  </si>
  <si>
    <t>14.50±1.69</t>
  </si>
  <si>
    <t>25.21±4.52</t>
  </si>
  <si>
    <t>19.11±0.46</t>
  </si>
  <si>
    <t>19.06±3.19</t>
  </si>
  <si>
    <t>18.46±1.54</t>
  </si>
  <si>
    <t>15.89±0.26</t>
  </si>
  <si>
    <t>17.26±2.11</t>
  </si>
  <si>
    <t>7.60±0.76</t>
  </si>
  <si>
    <t>15.00±2.16</t>
  </si>
  <si>
    <t>15.67±2.94</t>
  </si>
  <si>
    <t>38.42±5.67</t>
  </si>
  <si>
    <t>57.22±3.69</t>
  </si>
  <si>
    <t>253.91±38.16</t>
  </si>
  <si>
    <t>233.1±36.26</t>
  </si>
  <si>
    <t>102.04±3.52</t>
  </si>
  <si>
    <t>177.22±6.78</t>
  </si>
  <si>
    <t>190.29±11.96</t>
  </si>
  <si>
    <t>98.73±8.43</t>
  </si>
  <si>
    <t>173.37±26.13</t>
  </si>
  <si>
    <t>9.52±1.24</t>
  </si>
  <si>
    <t>13.17±1.92</t>
  </si>
  <si>
    <t>4.93±0.87</t>
  </si>
  <si>
    <t>12.71±2.26</t>
  </si>
  <si>
    <t>12.74±0.90</t>
  </si>
  <si>
    <t>11.83±0.87</t>
  </si>
  <si>
    <t>11.47±1.45</t>
  </si>
  <si>
    <t>71.22±7.07</t>
  </si>
  <si>
    <t>77.57±12.58</t>
  </si>
  <si>
    <t>49.05±0.95</t>
  </si>
  <si>
    <t>67.96±8.53</t>
  </si>
  <si>
    <t>68.83±2.34</t>
  </si>
  <si>
    <t>60.54±9.52</t>
  </si>
  <si>
    <t>65.52±4.38</t>
  </si>
  <si>
    <t>1399.91±109.69</t>
  </si>
  <si>
    <t>4104.59±265.57</t>
  </si>
  <si>
    <t>785.43±79.43</t>
  </si>
  <si>
    <t>2233.91±365.11</t>
  </si>
  <si>
    <t>1489.7±281.67</t>
  </si>
  <si>
    <t>1215.35±179.19</t>
  </si>
  <si>
    <t>1091.36±42.8</t>
  </si>
  <si>
    <t>751.69±99.02</t>
  </si>
  <si>
    <t>1102.28±189.01</t>
  </si>
  <si>
    <t>460.72±79.96</t>
  </si>
  <si>
    <t>801.61±29.20</t>
  </si>
  <si>
    <t>973.27±59.60</t>
  </si>
  <si>
    <t>789.59±55.82</t>
  </si>
  <si>
    <t>888.99±27.22</t>
  </si>
  <si>
    <t>19.70±1.39</t>
  </si>
  <si>
    <t>31.08±4.57</t>
  </si>
  <si>
    <t>19.96±3.41</t>
  </si>
  <si>
    <t>28.20±2.60</t>
  </si>
  <si>
    <t>24.94±2.14</t>
  </si>
  <si>
    <t>24.71±4.93</t>
  </si>
  <si>
    <t>21.92±0.32</t>
  </si>
  <si>
    <t>9825.64±406.11</t>
  </si>
  <si>
    <t>40201.1±4894.41</t>
  </si>
  <si>
    <t>14804.59±2829.7</t>
  </si>
  <si>
    <t>20191.71±2519.34</t>
  </si>
  <si>
    <t>15555.47±1572.65</t>
  </si>
  <si>
    <t>17052.25±3516.09</t>
  </si>
  <si>
    <t>13331.4±1913.81</t>
  </si>
  <si>
    <t>1447.24±203.16</t>
  </si>
  <si>
    <t>4579.53±861.21</t>
  </si>
  <si>
    <t>2465.41±454.7</t>
  </si>
  <si>
    <t>5818.11±904.02</t>
  </si>
  <si>
    <t>1981.85±145.97</t>
  </si>
  <si>
    <t>4307.64±519.45</t>
  </si>
  <si>
    <t>1775.42±93.19</t>
  </si>
  <si>
    <t>987.23±131.97</t>
  </si>
  <si>
    <t>5197.08±689.47</t>
  </si>
  <si>
    <t>1419.53±54.18</t>
  </si>
  <si>
    <t>9977.76±384.19</t>
  </si>
  <si>
    <t>1275.49±122.64</t>
  </si>
  <si>
    <t>2010.62±391.67</t>
  </si>
  <si>
    <t>1102.04±171.15</t>
  </si>
  <si>
    <t>吡嗪类</t>
  </si>
  <si>
    <t>1307.25±224.41</t>
  </si>
  <si>
    <t>1699.63±66.83</t>
  </si>
  <si>
    <t>866.95±83.12</t>
  </si>
  <si>
    <t>1291.51±196.43</t>
  </si>
  <si>
    <t>2387.50±1380.96</t>
  </si>
  <si>
    <t>1416.58±294.37</t>
  </si>
  <si>
    <t>1819.97±165.21</t>
  </si>
  <si>
    <t>2,3-二乙基吡嗪</t>
  </si>
  <si>
    <t>102.65±0.59</t>
  </si>
  <si>
    <t>105.50±1.94</t>
  </si>
  <si>
    <t>103.92±4.20</t>
  </si>
  <si>
    <t>101.96±0.37</t>
  </si>
  <si>
    <t>103.30±2.36</t>
  </si>
  <si>
    <t>116.53±6.43</t>
  </si>
  <si>
    <t>107.00±0.26</t>
  </si>
  <si>
    <t>806.97±1.59</t>
  </si>
  <si>
    <t>缩醛类</t>
  </si>
  <si>
    <t>346.17±55.54</t>
  </si>
  <si>
    <t>412.62±64.90</t>
  </si>
  <si>
    <t>409.22±77.17</t>
  </si>
  <si>
    <t>125.81±8.65</t>
  </si>
  <si>
    <t>141.38±7.42</t>
  </si>
  <si>
    <t>179.15±2.19</t>
  </si>
  <si>
    <t>147.99±2.96</t>
  </si>
  <si>
    <t>内酯类</t>
  </si>
  <si>
    <t>17.41±2.65</t>
  </si>
  <si>
    <t>124.62±13.83</t>
  </si>
  <si>
    <t>n-d-2002</t>
  </si>
  <si>
    <t>n-d-2000</t>
  </si>
  <si>
    <t>n-d-1997</t>
  </si>
  <si>
    <t>n-d-1994</t>
  </si>
  <si>
    <t>1468.91±166.38</t>
  </si>
  <si>
    <t>1903.05±97.19</t>
  </si>
  <si>
    <t>1477.29±108.55</t>
  </si>
  <si>
    <t>1717.7±165.45</t>
  </si>
  <si>
    <t>100.63±3.48</t>
  </si>
  <si>
    <t>75.19±14.27</t>
  </si>
  <si>
    <t>27.91±1.35</t>
  </si>
  <si>
    <t>47.77±2.49</t>
  </si>
  <si>
    <t>261.16±19.59</t>
  </si>
  <si>
    <t>168.68±9.42</t>
  </si>
  <si>
    <t>112.74±3.61</t>
  </si>
  <si>
    <t>139.41±4.35</t>
  </si>
  <si>
    <t>644.00±94.39</t>
  </si>
  <si>
    <t>765.15±32.44</t>
  </si>
  <si>
    <t>435.23±28.46</t>
  </si>
  <si>
    <t>631.22±89.94</t>
  </si>
  <si>
    <t>6039.31±814.61</t>
  </si>
  <si>
    <t>14715.89±615.73</t>
  </si>
  <si>
    <t>10598.19±745.19</t>
  </si>
  <si>
    <t>13889.37±631.85</t>
  </si>
  <si>
    <t>3.41±0.57</t>
  </si>
  <si>
    <t>7.94±1.60</t>
  </si>
  <si>
    <t>6.13±0.93</t>
  </si>
  <si>
    <t>9.99±0.64</t>
  </si>
  <si>
    <t>3.16±0.57</t>
  </si>
  <si>
    <t>3.38±0.61</t>
  </si>
  <si>
    <t>1.68±0.16</t>
  </si>
  <si>
    <t>1.90±0.09</t>
  </si>
  <si>
    <t>214.93±8.91</t>
  </si>
  <si>
    <t>172.95±9.34</t>
  </si>
  <si>
    <t>74.30±9.00</t>
  </si>
  <si>
    <t>96.19±11.76</t>
  </si>
  <si>
    <t>4045.39±139.98</t>
  </si>
  <si>
    <t>4487.77±107.19</t>
  </si>
  <si>
    <t>2167.22±138.55</t>
  </si>
  <si>
    <t>3062.4±165.45</t>
  </si>
  <si>
    <t>1488.90±68.23</t>
  </si>
  <si>
    <t>1534.46±146.33</t>
  </si>
  <si>
    <t>626.07±118.84</t>
  </si>
  <si>
    <t>606.36±107.8</t>
  </si>
  <si>
    <t>114.36±2.62</t>
  </si>
  <si>
    <t>179.81±13.16</t>
  </si>
  <si>
    <t>38.54±5.19</t>
  </si>
  <si>
    <t>48.94±2.39</t>
  </si>
  <si>
    <t>6.23±0.51</t>
  </si>
  <si>
    <t>3.10±0.60</t>
  </si>
  <si>
    <t>7.36±1.07</t>
  </si>
  <si>
    <t>18.55±2.81</t>
  </si>
  <si>
    <t>308.94±7.22</t>
  </si>
  <si>
    <t>275.13±85.61</t>
  </si>
  <si>
    <t>145±8.28</t>
  </si>
  <si>
    <t>121.21±7.27</t>
  </si>
  <si>
    <t>8474.10±950.24</t>
  </si>
  <si>
    <t>6927.46±880.77</t>
  </si>
  <si>
    <t>4399.84±331.29</t>
  </si>
  <si>
    <t>4046.94±289.61</t>
  </si>
  <si>
    <t>1602.74±57.50</t>
  </si>
  <si>
    <t>2429.40±482.10</t>
  </si>
  <si>
    <t>2420.00±376.03</t>
  </si>
  <si>
    <t>2260.79±286.85</t>
  </si>
  <si>
    <t>18563.27±1569.81</t>
  </si>
  <si>
    <t>24918.47±631.01</t>
  </si>
  <si>
    <t>2694.41±262.27</t>
  </si>
  <si>
    <t>8916.18±1316.64</t>
  </si>
  <si>
    <t>189.61±20.04</t>
  </si>
  <si>
    <t>204.22±13.05</t>
  </si>
  <si>
    <t>39.43±2.51</t>
  </si>
  <si>
    <t>75.26±5.20</t>
  </si>
  <si>
    <t>2310.90±101.27</t>
  </si>
  <si>
    <t>2145.17±442.56</t>
  </si>
  <si>
    <t>1223.34±101.37</t>
  </si>
  <si>
    <t>1407.42±129.11</t>
  </si>
  <si>
    <t>3147.23±26.13</t>
  </si>
  <si>
    <t>4059.33±251.44</t>
  </si>
  <si>
    <t>942.17±59.58</t>
  </si>
  <si>
    <t>2017.38±3.54</t>
  </si>
  <si>
    <t>41.85±4.73</t>
  </si>
  <si>
    <t>14.07±1.85</t>
  </si>
  <si>
    <t>41.88±4.61</t>
  </si>
  <si>
    <t>52.93±7.25</t>
  </si>
  <si>
    <t>2828.38±28.48</t>
  </si>
  <si>
    <t>2574.71±330.43</t>
  </si>
  <si>
    <t>1568.36±15.15</t>
  </si>
  <si>
    <t>1385.42±3.03</t>
  </si>
  <si>
    <t>12522.26±528.37</t>
  </si>
  <si>
    <t>1387.34±944.16</t>
  </si>
  <si>
    <t>3964.57±1.29</t>
  </si>
  <si>
    <t>6437.79±111.26</t>
  </si>
  <si>
    <t>4210.53±233.27</t>
  </si>
  <si>
    <t>3220.45±227.84</t>
  </si>
  <si>
    <t>2045.90±5.04</t>
  </si>
  <si>
    <t>1742.03±31.17</t>
  </si>
  <si>
    <t>563.26±62.23</t>
  </si>
  <si>
    <t>413.81±64.58</t>
  </si>
  <si>
    <t>162.21±1.31</t>
  </si>
  <si>
    <t>184.64±2.85</t>
  </si>
  <si>
    <t>328.59±3.36</t>
  </si>
  <si>
    <t>307.43±28.99</t>
  </si>
  <si>
    <t>269.25±5.40</t>
  </si>
  <si>
    <t>326.84±5.21</t>
  </si>
  <si>
    <t>560.88±85.73</t>
  </si>
  <si>
    <t>339.83±51.32</t>
  </si>
  <si>
    <t>361.7+9.06</t>
  </si>
  <si>
    <t>240.17±7.65</t>
  </si>
  <si>
    <t>51.39±6.03</t>
  </si>
  <si>
    <t>36.36±5.57</t>
  </si>
  <si>
    <t>34.78±0.22</t>
  </si>
  <si>
    <t>39.98±0.66</t>
  </si>
  <si>
    <t>52.11±6.58</t>
  </si>
  <si>
    <t>47.15±0.27</t>
  </si>
  <si>
    <t>46.58±7.64</t>
  </si>
  <si>
    <t>45.16±7.88</t>
  </si>
  <si>
    <t>228.27±25.94</t>
  </si>
  <si>
    <t>228.67±23.13</t>
  </si>
  <si>
    <t>243.58±6.04</t>
  </si>
  <si>
    <t>184.24±34.19</t>
  </si>
  <si>
    <t>1446.57±188.77</t>
  </si>
  <si>
    <t>1168.71±119.91</t>
  </si>
  <si>
    <t>526.60±2.86</t>
  </si>
  <si>
    <t>656.65±102.53</t>
  </si>
  <si>
    <t>136.70±16.03</t>
  </si>
  <si>
    <t>99.89±13.74</t>
  </si>
  <si>
    <t>31.91±0.95</t>
  </si>
  <si>
    <t>58.31±9.45</t>
  </si>
  <si>
    <t>67.25±12.62</t>
  </si>
  <si>
    <t>88.35±17.11</t>
  </si>
  <si>
    <t>130.43±0.88</t>
  </si>
  <si>
    <t>11.93±1.08</t>
  </si>
  <si>
    <t>966.48±188.46</t>
  </si>
  <si>
    <t>2091.54±133.39</t>
  </si>
  <si>
    <t>553.57±91.88</t>
  </si>
  <si>
    <t>2323.28±147.79</t>
  </si>
  <si>
    <t>718.47±2.17</t>
  </si>
  <si>
    <t>680.87±18.70</t>
  </si>
  <si>
    <t>680.09±28.77</t>
  </si>
  <si>
    <t>649.61±21.55</t>
  </si>
  <si>
    <t>1199.87±94.86</t>
  </si>
  <si>
    <t>488.30±77.01</t>
  </si>
  <si>
    <t>209.36±22.45</t>
  </si>
  <si>
    <t>2288.38±118.97</t>
  </si>
  <si>
    <t>94.40±4.56</t>
  </si>
  <si>
    <t>65.45±6.36</t>
  </si>
  <si>
    <t>38.20±1.41</t>
  </si>
  <si>
    <t>28.40±5.76</t>
  </si>
  <si>
    <t>376.00±27.51</t>
  </si>
  <si>
    <t>31.12±4.13</t>
  </si>
  <si>
    <t>11.29±1.4</t>
  </si>
  <si>
    <t>8.82±1.49</t>
  </si>
  <si>
    <t>7.40±1.21</t>
  </si>
  <si>
    <t>14.31±2.56</t>
  </si>
  <si>
    <t>143.06±9.06</t>
  </si>
  <si>
    <t>291.86±11.79</t>
  </si>
  <si>
    <t>74.53±6.42</t>
  </si>
  <si>
    <t>171.54±0.18</t>
  </si>
  <si>
    <t>47.34±7.83</t>
  </si>
  <si>
    <t>87.23±15.84</t>
  </si>
  <si>
    <t>24.30±3.38</t>
  </si>
  <si>
    <t>67.02±1.47</t>
  </si>
  <si>
    <t>108.80±5.22</t>
  </si>
  <si>
    <t>121.40±2.56</t>
  </si>
  <si>
    <t>70.70±3.99</t>
  </si>
  <si>
    <t>88.95±8.73</t>
  </si>
  <si>
    <t>158.33±8.89</t>
  </si>
  <si>
    <t>425.28±26.19</t>
  </si>
  <si>
    <t>214.70±12.78</t>
  </si>
  <si>
    <t>216.38±19.07</t>
  </si>
  <si>
    <t>8702.33±825.51</t>
  </si>
  <si>
    <t>7028.02±582.92</t>
  </si>
  <si>
    <t>1151.04±53.86</t>
  </si>
  <si>
    <t>2108.30±323.40</t>
  </si>
  <si>
    <t>270.80±42.93</t>
  </si>
  <si>
    <t>305.57±22.18</t>
  </si>
  <si>
    <t>133.32±6.07</t>
  </si>
  <si>
    <t>265.37±52.92</t>
  </si>
  <si>
    <t>7.96±1.44</t>
  </si>
  <si>
    <t>7.60±1.07</t>
  </si>
  <si>
    <t>19.31±1.94</t>
  </si>
  <si>
    <t>13.30±2.17</t>
  </si>
  <si>
    <t>140.18±15.64</t>
  </si>
  <si>
    <t>258.33±17.48</t>
  </si>
  <si>
    <t>117.48±19.95</t>
  </si>
  <si>
    <t>45.20±6.25</t>
  </si>
  <si>
    <t>52.59±7.75</t>
  </si>
  <si>
    <t>182.99±11.37</t>
  </si>
  <si>
    <t>32.08±2.51</t>
  </si>
  <si>
    <t>92.01±6.34</t>
  </si>
  <si>
    <t>191.92±24.72</t>
  </si>
  <si>
    <t>394.15±53.55</t>
  </si>
  <si>
    <t>24.46±1.89</t>
  </si>
  <si>
    <t>48.01±8.79</t>
  </si>
  <si>
    <t>13504.49±2202.18</t>
  </si>
  <si>
    <t>25642.45±3414.02</t>
  </si>
  <si>
    <t>2387.79±434.95</t>
  </si>
  <si>
    <t>4151.36±60.17</t>
  </si>
  <si>
    <t>284.34±12.27</t>
  </si>
  <si>
    <t>507.06±21.14</t>
  </si>
  <si>
    <t>71.62±13.89</t>
  </si>
  <si>
    <t>188.86±1.69</t>
  </si>
  <si>
    <t>46.02±3.13</t>
  </si>
  <si>
    <t>48.46±3.74</t>
  </si>
  <si>
    <t>34.00±2.19</t>
  </si>
  <si>
    <t>40.04±3.06</t>
  </si>
  <si>
    <t>6280.76±845.41</t>
  </si>
  <si>
    <t>8572.82±490.06</t>
  </si>
  <si>
    <t>2714.10±478.44</t>
  </si>
  <si>
    <t>4111.54±449.24</t>
  </si>
  <si>
    <t>45.36±8.01</t>
  </si>
  <si>
    <t>43.69±2.54</t>
  </si>
  <si>
    <t>18.39±2.14</t>
  </si>
  <si>
    <t>19.91±4.04</t>
  </si>
  <si>
    <t>4.15±0.25</t>
  </si>
  <si>
    <t>209.22±38.57</t>
  </si>
  <si>
    <t>210.59±39.39</t>
  </si>
  <si>
    <t>147.17±2.37</t>
  </si>
  <si>
    <t>151.92±0.95</t>
  </si>
  <si>
    <t>336.80±17.22</t>
  </si>
  <si>
    <t>79.92±12.95</t>
  </si>
  <si>
    <t>27.90±0.17</t>
  </si>
  <si>
    <t>65.89±0.10</t>
  </si>
  <si>
    <t>704.74±61.64</t>
  </si>
  <si>
    <t>433.09±77.55</t>
  </si>
  <si>
    <t>501.29±56.75</t>
  </si>
  <si>
    <t>487.45±98.38</t>
  </si>
  <si>
    <t>63.66±12.33</t>
  </si>
  <si>
    <t>60.04±11.38</t>
  </si>
  <si>
    <t>25.08±2.47</t>
  </si>
  <si>
    <t>22.92±4.60</t>
  </si>
  <si>
    <t>6643.06±801.58</t>
  </si>
  <si>
    <t>3632.83±506.3</t>
  </si>
  <si>
    <t>4890.38±2.72</t>
  </si>
  <si>
    <t>2860.12±118.82</t>
  </si>
  <si>
    <t>592.65±83.23</t>
  </si>
  <si>
    <t>780.41±35.72</t>
  </si>
  <si>
    <t>342.33±10.09</t>
  </si>
  <si>
    <t>623.42±42.68</t>
  </si>
  <si>
    <t>52.65±9.86</t>
  </si>
  <si>
    <t>35.56±4.26</t>
  </si>
  <si>
    <t>3.37±0.16</t>
  </si>
  <si>
    <t>1.55±0.26</t>
  </si>
  <si>
    <t>28.86±3.42</t>
  </si>
  <si>
    <t>19.16±3.42</t>
  </si>
  <si>
    <t>15.49±0.06</t>
  </si>
  <si>
    <t>16.07±0.25</t>
  </si>
  <si>
    <t>842.15±140.62</t>
  </si>
  <si>
    <t>415.56±67.26</t>
  </si>
  <si>
    <t>233.91±2.22</t>
  </si>
  <si>
    <t>253.52±11.46</t>
  </si>
  <si>
    <t>379.37±59.65</t>
  </si>
  <si>
    <t>684.45±125.10</t>
  </si>
  <si>
    <t>317.41±39.93</t>
  </si>
  <si>
    <t>1527.08±23.06</t>
  </si>
  <si>
    <t>1139.03±160.61</t>
  </si>
  <si>
    <t>581.75±73.44</t>
  </si>
  <si>
    <t>354.19±24.61</t>
  </si>
  <si>
    <t>166.85±29.09</t>
  </si>
  <si>
    <t>235.62±36.72</t>
  </si>
  <si>
    <t>326.51±61.17</t>
  </si>
  <si>
    <t>109.44±1.41</t>
  </si>
  <si>
    <t>66.91±2.38</t>
  </si>
  <si>
    <t>983.96±164.14</t>
  </si>
  <si>
    <t>766.53±140.49</t>
  </si>
  <si>
    <t>508.34±6.65</t>
  </si>
  <si>
    <t>585.60±21.43</t>
  </si>
  <si>
    <t>158.27±30.24</t>
  </si>
  <si>
    <t>2501.24±341.95</t>
  </si>
  <si>
    <t>428.20±10.66</t>
  </si>
  <si>
    <t>80.66±12.61</t>
  </si>
  <si>
    <t>1170.57±166.12</t>
  </si>
  <si>
    <t>625.42±33.42</t>
  </si>
  <si>
    <t>913.34±32.67</t>
  </si>
  <si>
    <t>953.69±31.28</t>
  </si>
  <si>
    <t>1.88±0.09</t>
  </si>
  <si>
    <t>2.04±0.09</t>
  </si>
  <si>
    <t>1.82±0.01</t>
  </si>
  <si>
    <t>2.19±0.14</t>
  </si>
  <si>
    <t>8.75±1.21</t>
  </si>
  <si>
    <t>14.04±2.72</t>
  </si>
  <si>
    <t>6.59±0.06</t>
  </si>
  <si>
    <t>10.88±1.32</t>
  </si>
  <si>
    <t>36.08±5.55</t>
  </si>
  <si>
    <t>28.54±5.20</t>
  </si>
  <si>
    <t>26.89±2.99</t>
  </si>
  <si>
    <t>156.02±6.44</t>
  </si>
  <si>
    <t>152.92±11.02</t>
  </si>
  <si>
    <t>136.24±19.15</t>
  </si>
  <si>
    <t>134.86±0.18</t>
  </si>
  <si>
    <t>86.59±15.62</t>
  </si>
  <si>
    <t>27.30±4.98</t>
  </si>
  <si>
    <t>68.09±0.06</t>
  </si>
  <si>
    <t>9.26±0.86</t>
  </si>
  <si>
    <t>2470.13±299.06</t>
  </si>
  <si>
    <t>2209.91±47.19</t>
  </si>
  <si>
    <t>2266.28±73.30</t>
  </si>
  <si>
    <t>2255.48±60.02</t>
  </si>
  <si>
    <t>354.88±42.90</t>
  </si>
  <si>
    <t>69.89±12.22</t>
  </si>
  <si>
    <t>210.76±26.88</t>
  </si>
  <si>
    <t>160.61±27.91</t>
  </si>
  <si>
    <t>137.25±19.03</t>
  </si>
  <si>
    <t>327.53±54.53</t>
  </si>
  <si>
    <t>60.01±6.69</t>
  </si>
  <si>
    <t>53.83±9.65</t>
  </si>
  <si>
    <t>1224.23±91.70</t>
  </si>
  <si>
    <t>829.99±7.41</t>
  </si>
  <si>
    <t>799.40±4.88</t>
  </si>
  <si>
    <t>765.55±3.76</t>
  </si>
  <si>
    <t>22.17±1.73</t>
  </si>
  <si>
    <t>11.37±1.23</t>
  </si>
  <si>
    <t>11.28±1.27</t>
  </si>
  <si>
    <t>6.49±1.19</t>
  </si>
  <si>
    <t>82.23±17.07</t>
  </si>
  <si>
    <t>1598.25±202.77</t>
  </si>
  <si>
    <t>790.32±111.65</t>
  </si>
  <si>
    <t>654.41±83.08</t>
  </si>
  <si>
    <t>1046.31±119.01</t>
  </si>
  <si>
    <t>2372.72±349.59</t>
  </si>
  <si>
    <t>4201.44±747.33</t>
  </si>
  <si>
    <t>1777.63±96.42</t>
  </si>
  <si>
    <t>2623.03±5.50</t>
  </si>
  <si>
    <t>827.58±28.38</t>
  </si>
  <si>
    <t>498.85±47</t>
  </si>
  <si>
    <t>616.34±30.42</t>
  </si>
  <si>
    <t>321.92±35.56</t>
  </si>
  <si>
    <t>24.26±4.34</t>
  </si>
  <si>
    <t>16.29±2.00</t>
  </si>
  <si>
    <t>15.33±2.21</t>
  </si>
  <si>
    <t>14.53±0.88</t>
  </si>
  <si>
    <t>31.28±2.91</t>
  </si>
  <si>
    <t>8.16±0.53</t>
  </si>
  <si>
    <t>8.62±1.36</t>
  </si>
  <si>
    <t>5.55±1.00</t>
  </si>
  <si>
    <t>176.06±20.33</t>
  </si>
  <si>
    <t>136.43±18.08</t>
  </si>
  <si>
    <t>139.39±24.03</t>
  </si>
  <si>
    <t>78.35±12.09</t>
  </si>
  <si>
    <t>14.54±0.97</t>
  </si>
  <si>
    <t>5.17±0.54</t>
  </si>
  <si>
    <t>4.80±0.71</t>
  </si>
  <si>
    <t>4.80±0.69</t>
  </si>
  <si>
    <t>67.25±7.29</t>
  </si>
  <si>
    <t>59.32±6.73</t>
  </si>
  <si>
    <t>59.78±4.06</t>
  </si>
  <si>
    <t>52.85±10.18</t>
  </si>
  <si>
    <t>1683.48±171.98</t>
  </si>
  <si>
    <t>1030.82±124.47</t>
  </si>
  <si>
    <t>900.59±134.89</t>
  </si>
  <si>
    <t>826.75±105.80</t>
  </si>
  <si>
    <t>922.73±126.96</t>
  </si>
  <si>
    <t>850.50±86.81</t>
  </si>
  <si>
    <t>693.56±138.19</t>
  </si>
  <si>
    <t>556.95±58.65</t>
  </si>
  <si>
    <t>70.02±13.54</t>
  </si>
  <si>
    <t>22.37±1.82</t>
  </si>
  <si>
    <t>20.38±1.09</t>
  </si>
  <si>
    <t>17.73±1.98</t>
  </si>
  <si>
    <t>25556.93±1035.68</t>
  </si>
  <si>
    <t>23109.01±2341.16</t>
  </si>
  <si>
    <t>19137.22±3105.30</t>
  </si>
  <si>
    <t>10704.27±1213.00</t>
  </si>
  <si>
    <t>12529.70±1621.62</t>
  </si>
  <si>
    <t>1907.21±52.78</t>
  </si>
  <si>
    <t>1947.38±121.59</t>
  </si>
  <si>
    <t>1600.27±78.27</t>
  </si>
  <si>
    <t>15061.77±1975.39</t>
  </si>
  <si>
    <t>1626.93±248.50</t>
  </si>
  <si>
    <t>1393.59±206.15</t>
  </si>
  <si>
    <t>1287.12±240.15</t>
  </si>
  <si>
    <t>1029.02±273.57</t>
  </si>
  <si>
    <t>917.02±153.93</t>
  </si>
  <si>
    <t>142.37±5.15</t>
  </si>
  <si>
    <t>109.22±5.23</t>
  </si>
  <si>
    <t>106.80±0.20</t>
  </si>
  <si>
    <t>128.64±2.24</t>
  </si>
  <si>
    <t>863.83±5.33</t>
  </si>
  <si>
    <t>146.68±23.12</t>
  </si>
  <si>
    <t>285.95±27.89</t>
  </si>
  <si>
    <t>227.21±0.54</t>
  </si>
  <si>
    <t>134.15±25.37</t>
  </si>
  <si>
    <t>43.05±7.46</t>
  </si>
  <si>
    <t>24.02±3.89</t>
  </si>
  <si>
    <t>52.01±5.43</t>
  </si>
  <si>
    <r>
      <t xml:space="preserve">2-羟基-4-甲基戊酸乙酯 </t>
    </r>
    <r>
      <rPr>
        <i/>
        <sz val="11"/>
        <color rgb="FF1F1F1F"/>
        <rFont val="Arial"/>
        <family val="2"/>
      </rPr>
      <t>(由2-羟基己酸乙酯代)</t>
    </r>
  </si>
  <si>
    <r>
      <t xml:space="preserve">苯乙酸乙酯 </t>
    </r>
    <r>
      <rPr>
        <i/>
        <sz val="11"/>
        <color rgb="FF1F1F1F"/>
        <rFont val="Arial"/>
        <family val="2"/>
      </rPr>
      <t>(2-苯乙酸乙酯)</t>
    </r>
  </si>
  <si>
    <r>
      <t xml:space="preserve">棕榈酸乙酯 </t>
    </r>
    <r>
      <rPr>
        <i/>
        <sz val="11"/>
        <color rgb="FF1F1F1F"/>
        <rFont val="Arial"/>
        <family val="2"/>
      </rPr>
      <t>(由丁酸异戊酯结构关联代)</t>
    </r>
  </si>
  <si>
    <r>
      <t xml:space="preserve">1-辛烯-3-醇 </t>
    </r>
    <r>
      <rPr>
        <i/>
        <sz val="11"/>
        <color rgb="FF1F1F1F"/>
        <rFont val="Arial"/>
        <family val="2"/>
      </rPr>
      <t>(由 E-橙花叔醇关联代)</t>
    </r>
  </si>
  <si>
    <r>
      <t xml:space="preserve">异丁醇 </t>
    </r>
    <r>
      <rPr>
        <i/>
        <sz val="11"/>
        <color rgb="FF1F1F1F"/>
        <rFont val="Arial"/>
        <family val="2"/>
      </rPr>
      <t>(2-甲基丙醇)</t>
    </r>
  </si>
  <si>
    <r>
      <t xml:space="preserve">异丁酸 </t>
    </r>
    <r>
      <rPr>
        <i/>
        <sz val="11"/>
        <color rgb="FF1F1F1F"/>
        <rFont val="Arial"/>
        <family val="2"/>
      </rPr>
      <t>(2-甲基丙酸)</t>
    </r>
  </si>
  <si>
    <r>
      <t xml:space="preserve">异戊酸 </t>
    </r>
    <r>
      <rPr>
        <i/>
        <sz val="11"/>
        <color rgb="FF1F1F1F"/>
        <rFont val="Arial"/>
        <family val="2"/>
      </rPr>
      <t>(3-甲基丁酸)</t>
    </r>
  </si>
  <si>
    <r>
      <t xml:space="preserve">2-庚酮 </t>
    </r>
    <r>
      <rPr>
        <i/>
        <sz val="11"/>
        <color rgb="FF1F1F1F"/>
        <rFont val="Arial"/>
        <family val="2"/>
      </rPr>
      <t>(由2-辛酮/壬酮组代表)</t>
    </r>
  </si>
  <si>
    <r>
      <t xml:space="preserve">4-乙基-2-甲氧基苯酚 </t>
    </r>
    <r>
      <rPr>
        <i/>
        <sz val="11"/>
        <color rgb="FF1F1F1F"/>
        <rFont val="Arial"/>
        <family val="2"/>
      </rPr>
      <t>(4-乙基愈创木酚)</t>
    </r>
  </si>
  <si>
    <r>
      <t xml:space="preserve">2-甲氧基-4-甲基苯酚 </t>
    </r>
    <r>
      <rPr>
        <i/>
        <sz val="11"/>
        <color rgb="FF1F1F1F"/>
        <rFont val="Arial"/>
        <family val="2"/>
      </rPr>
      <t>(4-甲基愈创木酚)</t>
    </r>
  </si>
  <si>
    <r>
      <t xml:space="preserve">糠醇 </t>
    </r>
    <r>
      <rPr>
        <i/>
        <sz val="11"/>
        <color rgb="FF1F1F1F"/>
        <rFont val="Arial"/>
        <family val="2"/>
      </rPr>
      <t>(2-糠醇)</t>
    </r>
  </si>
  <si>
    <r>
      <t xml:space="preserve">乙酸丁酯 </t>
    </r>
    <r>
      <rPr>
        <i/>
        <sz val="11"/>
        <color rgb="FF1F1F1F"/>
        <rFont val="Arial"/>
        <family val="2"/>
      </rPr>
      <t>(由己酸异丁酯代)</t>
    </r>
  </si>
  <si>
    <r>
      <t xml:space="preserve">异丁酸乙酯 </t>
    </r>
    <r>
      <rPr>
        <i/>
        <sz val="11"/>
        <color rgb="FF1F1F1F"/>
        <rFont val="Arial"/>
        <family val="2"/>
      </rPr>
      <t>(2-甲基丙酸乙酯)</t>
    </r>
  </si>
  <si>
    <r>
      <t xml:space="preserve">对甲酚 </t>
    </r>
    <r>
      <rPr>
        <i/>
        <sz val="11"/>
        <color rgb="FF1F1F1F"/>
        <rFont val="Arial"/>
        <family val="2"/>
      </rPr>
      <t>(4-甲基苯酚)</t>
    </r>
  </si>
  <si>
    <r>
      <t xml:space="preserve">乙酸苯乙酯 </t>
    </r>
    <r>
      <rPr>
        <i/>
        <sz val="11"/>
        <color rgb="FF1F1F1F"/>
        <rFont val="Arial"/>
        <family val="2"/>
      </rPr>
      <t>(乙酸-2-苯乙酯)</t>
    </r>
  </si>
  <si>
    <r>
      <t xml:space="preserve">异戊醛 </t>
    </r>
    <r>
      <rPr>
        <i/>
        <sz val="11"/>
        <color rgb="FF1F1F1F"/>
        <rFont val="Arial"/>
        <family val="2"/>
      </rPr>
      <t>(3-甲基丁醛)</t>
    </r>
  </si>
  <si>
    <r>
      <t xml:space="preserve">三甲基吡嗪 </t>
    </r>
    <r>
      <rPr>
        <i/>
        <sz val="11"/>
        <color rgb="FF1F1F1F"/>
        <rFont val="Arial"/>
        <family val="2"/>
      </rPr>
      <t>(2,3,5-三甲基吡嗪)</t>
    </r>
  </si>
  <si>
    <t>YJ mg/L</t>
    <phoneticPr fontId="2" type="noConversion"/>
  </si>
  <si>
    <t>CJ mg/L</t>
    <phoneticPr fontId="2" type="noConversion"/>
  </si>
  <si>
    <t>DJ mg/L</t>
    <phoneticPr fontId="2" type="noConversion"/>
  </si>
  <si>
    <t>LJ mg/L</t>
    <phoneticPr fontId="2" type="noConversion"/>
  </si>
  <si>
    <t>210 ± 52.43</t>
    <phoneticPr fontId="2" type="noConversion"/>
  </si>
  <si>
    <t>一级好酒mg/100mL</t>
    <phoneticPr fontId="2" type="noConversion"/>
  </si>
  <si>
    <t>化合物英文名称 (Compounds)</t>
  </si>
  <si>
    <t>化合物中文名称</t>
  </si>
  <si>
    <t>文献阈值 (μg/L)</t>
  </si>
  <si>
    <t>LZLJ-M7 (μg/L)</t>
  </si>
  <si>
    <t>LZLJ-T7 (μg/L)</t>
  </si>
  <si>
    <t>873258 ± 9159</t>
  </si>
  <si>
    <t>738302 ± 3649</t>
  </si>
  <si>
    <t>165929 ± 4181</t>
  </si>
  <si>
    <t>181049 ± 3783</t>
  </si>
  <si>
    <t>18031 ± 270</t>
  </si>
  <si>
    <t>16080 ± 161</t>
  </si>
  <si>
    <t>128673 ± 749</t>
  </si>
  <si>
    <t>81517 ± 939</t>
  </si>
  <si>
    <t>49388 ± 4109</t>
  </si>
  <si>
    <t>57055 ± 762</t>
  </si>
  <si>
    <t>4021850 ± 43275</t>
  </si>
  <si>
    <t>2926064 ± 56016</t>
  </si>
  <si>
    <t>82362 ± 716</t>
  </si>
  <si>
    <t>123135 ± 7632</t>
  </si>
  <si>
    <t>54922 ± 574</t>
  </si>
  <si>
    <t>67567 ± 680</t>
  </si>
  <si>
    <t>Isovaleric acid</t>
  </si>
  <si>
    <t>20155 ± 59</t>
  </si>
  <si>
    <t>15678 ± 26</t>
  </si>
  <si>
    <t>379229 ± 1775</t>
  </si>
  <si>
    <t>316720 ± 4522</t>
  </si>
  <si>
    <t>510 ± 0.4</t>
  </si>
  <si>
    <t>493 ± 0.7</t>
  </si>
  <si>
    <t>762 ± 4</t>
  </si>
  <si>
    <t>756 ± 9</t>
  </si>
  <si>
    <t>Vanillin</t>
  </si>
  <si>
    <t>香草醛</t>
  </si>
  <si>
    <t>265 ± 8</t>
  </si>
  <si>
    <t>245 ± 31</t>
  </si>
  <si>
    <t>95 ± 0.7</t>
  </si>
  <si>
    <t>103 ± 5</t>
  </si>
  <si>
    <t>35645 ± 2856</t>
  </si>
  <si>
    <t>41356 ± 2385</t>
  </si>
  <si>
    <t>451 ± 3</t>
  </si>
  <si>
    <t>442 ± 1.2</t>
  </si>
  <si>
    <t>2031 ± 30</t>
  </si>
  <si>
    <t>2398 ± 19</t>
  </si>
  <si>
    <t>1937 ± 205</t>
  </si>
  <si>
    <t>1731 ± 165</t>
  </si>
  <si>
    <t>429 ± 1.3</t>
  </si>
  <si>
    <t>446 ± 0.7</t>
  </si>
  <si>
    <t>Ethyl L(－)-lactate</t>
  </si>
  <si>
    <t>L-乳酸乙酯</t>
  </si>
  <si>
    <t>7565 ± 81</t>
  </si>
  <si>
    <t>8505 ± 167</t>
  </si>
  <si>
    <t>548 ± 7</t>
  </si>
  <si>
    <t>634 ± 16</t>
  </si>
  <si>
    <t>994 ± 0.3</t>
  </si>
  <si>
    <t>989 ± 7</t>
  </si>
  <si>
    <t>Tetramethylpyrazine</t>
  </si>
  <si>
    <t>449 ± 1</t>
  </si>
  <si>
    <t>442 ± 4</t>
  </si>
  <si>
    <t>1380 ± 10</t>
  </si>
  <si>
    <t>1087 ± 33</t>
  </si>
  <si>
    <t>Pentyl hexanoate</t>
  </si>
  <si>
    <t>433 ± 0.8</t>
  </si>
  <si>
    <t>448 ± 3</t>
  </si>
  <si>
    <t>Fema 2575</t>
  </si>
  <si>
    <t>辛酸己酯 (FEMA 2575)</t>
  </si>
  <si>
    <t>492 ± 0.3</t>
  </si>
  <si>
    <t>500 ± 9</t>
  </si>
  <si>
    <t>Ethyl isovalerate</t>
  </si>
  <si>
    <t>异戊酸乙酯（3-甲基丁酸乙酯）</t>
  </si>
  <si>
    <t>乳酸乙酯 (1)</t>
  </si>
  <si>
    <t>乳酸乙酯 (2)</t>
  </si>
  <si>
    <t>Ethyl 4-methyl valerate</t>
  </si>
  <si>
    <t>3-methylbutyl hexanoate/Isoamyl hexa</t>
  </si>
  <si>
    <t>己酸异戊酯（3-甲基丁基己酸酯）</t>
  </si>
  <si>
    <t>3-甲基-1-丁醇（异戊醇）</t>
  </si>
  <si>
    <t>Isobutanol</t>
  </si>
  <si>
    <t>2-methylpropionic acid/Isobutyric Acid</t>
  </si>
  <si>
    <t>Dimethyl Trisulfide</t>
  </si>
  <si>
    <t>2-（乙氧基甲基）呋喃</t>
  </si>
  <si>
    <t>Gamma-Nonanolactone</t>
  </si>
  <si>
    <t>异己酸（4-甲基戊酸）</t>
  </si>
  <si>
    <t>Propionic acid</t>
  </si>
  <si>
    <t>CAS号</t>
  </si>
  <si>
    <t>样品1浓度 (μg/L)</t>
  </si>
  <si>
    <t>样品2浓度 (μg/L)</t>
  </si>
  <si>
    <t>1655.80 ± 0.35</t>
  </si>
  <si>
    <t>1720.01 ± 0.28</t>
  </si>
  <si>
    <t>177484.06 ± 22.53</t>
  </si>
  <si>
    <t>179030.45 ± 20.75</t>
  </si>
  <si>
    <t>Ethyl Propanoate</t>
  </si>
  <si>
    <t>105-37-3</t>
  </si>
  <si>
    <t>1000.00 ± 0.04</t>
  </si>
  <si>
    <t>743.75 ± 0.08</t>
  </si>
  <si>
    <t>441.81 ± 0.04</t>
  </si>
  <si>
    <t>524.64 ± 0.05</t>
  </si>
  <si>
    <t>10833.05 ± 1.46</t>
  </si>
  <si>
    <t>10948.04 ± 1.43</t>
  </si>
  <si>
    <t>354.29 ± 0.02</t>
  </si>
  <si>
    <t>390.85 ± 0.02</t>
  </si>
  <si>
    <t>415.23 ± 0.10</t>
  </si>
  <si>
    <t>414.36 ± 0.15</t>
  </si>
  <si>
    <t>5614.38 ± 1.13</t>
  </si>
  <si>
    <t>5998.71 ± 1.11</t>
  </si>
  <si>
    <t>176.34 ± 0.05</t>
  </si>
  <si>
    <t>143.22 ± 0.05</t>
  </si>
  <si>
    <t>Butyl butyrate</t>
  </si>
  <si>
    <t>92.78 ± 0.01</t>
  </si>
  <si>
    <t>93.61 ± 0.01</t>
  </si>
  <si>
    <t>211566.23 ± 44.92</t>
  </si>
  <si>
    <t>222505.26 ± 43.10</t>
  </si>
  <si>
    <t>605.65 ± 0.13</t>
  </si>
  <si>
    <t>568.72 ± 0.13</t>
  </si>
  <si>
    <t>3667.73 ± 0.74</t>
  </si>
  <si>
    <t>3499.93 ± 0.72</t>
  </si>
  <si>
    <t>138350.65 ± 30.17</t>
  </si>
  <si>
    <t>157860.48 ± 32.83</t>
  </si>
  <si>
    <t>4110.00 ± 0.72</t>
  </si>
  <si>
    <t>2897.50 ± 0.52</t>
  </si>
  <si>
    <t>3-Methyl butyl hexanoate</t>
  </si>
  <si>
    <t>161.46 ± 0.03</t>
  </si>
  <si>
    <t>176.01 ± 0.03</t>
  </si>
  <si>
    <t>Ethyl 2-Hydroxy-4-Methylvalerate</t>
  </si>
  <si>
    <t>564.79 ± 0.04</t>
  </si>
  <si>
    <t>534.52 ± 0.04</t>
  </si>
  <si>
    <t>249.92 ± 0.02</t>
  </si>
  <si>
    <t>Phenethyl phenylacetate</t>
  </si>
  <si>
    <t>苯乙酸苯乙酯</t>
  </si>
  <si>
    <t>102-20-5</t>
  </si>
  <si>
    <t>864.87 ± 0.10</t>
  </si>
  <si>
    <t>887.18 ± 0.07</t>
  </si>
  <si>
    <t>119.85 ± 0.01</t>
  </si>
  <si>
    <t>Ethyl phenylpropiolate</t>
  </si>
  <si>
    <t>苯丙炔酸乙酯</t>
  </si>
  <si>
    <t>2216-94-6</t>
  </si>
  <si>
    <t>279.04 ± 0.03</t>
  </si>
  <si>
    <t>232.29 ± 0.03</t>
  </si>
  <si>
    <t>Benzylcarbinyl caproate</t>
  </si>
  <si>
    <t>己酸苯乙酯</t>
  </si>
  <si>
    <t>6290-37-5</t>
  </si>
  <si>
    <t>271.73 ± 0.05</t>
  </si>
  <si>
    <t>293.89 ± 0.04</t>
  </si>
  <si>
    <t>3298.85 ± 0.18</t>
  </si>
  <si>
    <t>3224.43 ± 0.18</t>
  </si>
  <si>
    <t>Ethyl Oleate</t>
  </si>
  <si>
    <t>1175.00 ± 0.05</t>
  </si>
  <si>
    <t>1082.50 ± 0.05</t>
  </si>
  <si>
    <t>1841.66 ± 0.17</t>
  </si>
  <si>
    <t>1889.07 ± 0.12</t>
  </si>
  <si>
    <t>Methyl alcohol</t>
  </si>
  <si>
    <t>67-56-1</t>
  </si>
  <si>
    <t>17050.52 ± 0.86</t>
  </si>
  <si>
    <t>17933.21 ± 0.72</t>
  </si>
  <si>
    <t>5188.61 ± 1.08</t>
  </si>
  <si>
    <t>5916.05 ± 1.24</t>
  </si>
  <si>
    <t>45135.00 ± 4.00</t>
  </si>
  <si>
    <t>47255.00 ± 3.98</t>
  </si>
  <si>
    <t>7322.54 ± 1.15</t>
  </si>
  <si>
    <t>7178.60 ± 0.98</t>
  </si>
  <si>
    <t>501.18 ± 0.10</t>
  </si>
  <si>
    <t>504.22 ± 0.11</t>
  </si>
  <si>
    <t>34237.50 ± 1.62</t>
  </si>
  <si>
    <t>33633.75 ± 3.54</t>
  </si>
  <si>
    <t>Isoamyl alcohol</t>
  </si>
  <si>
    <t>23872.41 ± 1.64</t>
  </si>
  <si>
    <t>23367.37 ± 1.50</t>
  </si>
  <si>
    <t>3554.84 ± 0.18</t>
  </si>
  <si>
    <t>3324.83 ± 0.28</t>
  </si>
  <si>
    <t>207.38 ± 0.03</t>
  </si>
  <si>
    <t>203.18 ± 0.03</t>
  </si>
  <si>
    <t>14403.75 ± 0.43</t>
  </si>
  <si>
    <t>14093.75 ± 1.42</t>
  </si>
  <si>
    <t>2-Pentanol, 3-ethyl-</t>
  </si>
  <si>
    <t>3-乙基-2-戊醇</t>
  </si>
  <si>
    <t>609-27-8</t>
  </si>
  <si>
    <t>154.85 ± 0.01</t>
  </si>
  <si>
    <t>154.30 ± 0.02</t>
  </si>
  <si>
    <t>Meso-2,3-butanediol</t>
  </si>
  <si>
    <t>内麦芽-2,3-丁二醇</t>
  </si>
  <si>
    <t>5341-95-7</t>
  </si>
  <si>
    <t>677.44 ± 0.08</t>
  </si>
  <si>
    <t>697.08 ± 0.07</t>
  </si>
  <si>
    <t>Propylene Glycol</t>
  </si>
  <si>
    <t>2613.97 ± 0.27</t>
  </si>
  <si>
    <t>2673.68 ± 0.28</t>
  </si>
  <si>
    <t>1133.75 ± 0.19</t>
  </si>
  <si>
    <t>930.00 ± 0.11</t>
  </si>
  <si>
    <t>3-Furancarbinol</t>
  </si>
  <si>
    <t>3-导喃甲醇</t>
  </si>
  <si>
    <t>4412-91-3</t>
  </si>
  <si>
    <t>425.52 ± 0.03</t>
  </si>
  <si>
    <t>477.09 ± 0.01</t>
  </si>
  <si>
    <t>318.84 ± 0.06</t>
  </si>
  <si>
    <t>326.79 ± 0.06</t>
  </si>
  <si>
    <t>Glycerol</t>
  </si>
  <si>
    <t>甘油</t>
  </si>
  <si>
    <t>56-81-5</t>
  </si>
  <si>
    <t>111.66 ± 0.01</t>
  </si>
  <si>
    <t>11066.25 ± 1.29</t>
  </si>
  <si>
    <t>7800.00 ± 0.64</t>
  </si>
  <si>
    <t>30463.75 ± 4.36</t>
  </si>
  <si>
    <t>20675.00 ± 3.23</t>
  </si>
  <si>
    <t>2803.75 ± 0.41</t>
  </si>
  <si>
    <t>3433.75 ± 0.57</t>
  </si>
  <si>
    <t>209.65 ± 0.04</t>
  </si>
  <si>
    <t>273.26 ± 0.04</t>
  </si>
  <si>
    <t>2520.91 ± 0.41</t>
  </si>
  <si>
    <t>2989.92 ± 0.55</t>
  </si>
  <si>
    <t>276.23 ± 0.08</t>
  </si>
  <si>
    <t>263.11 ± 0.07</t>
  </si>
  <si>
    <t>435.04 ± 0.08</t>
  </si>
  <si>
    <t>394.13 ± 0.05</t>
  </si>
  <si>
    <t>Acetone</t>
  </si>
  <si>
    <t>67-64-1</t>
  </si>
  <si>
    <t>2049.59 ± 0.51</t>
  </si>
  <si>
    <t>2173.11 ± 0.39</t>
  </si>
  <si>
    <t>2-butanone</t>
  </si>
  <si>
    <t>2-丁酮</t>
  </si>
  <si>
    <t>78-93-3</t>
  </si>
  <si>
    <t>785.00 ± 0.15</t>
  </si>
  <si>
    <t>948.75 ± 0.18</t>
  </si>
  <si>
    <t>107-87-9</t>
  </si>
  <si>
    <t>201.19 ± 0.06</t>
  </si>
  <si>
    <t>225.26 ± 0.05</t>
  </si>
  <si>
    <t>342.50 ± 0.05</t>
  </si>
  <si>
    <t>437.50 ± 0.04</t>
  </si>
  <si>
    <t>1923.75 ± 0.21</t>
  </si>
  <si>
    <t>2412.50 ± 0.26</t>
  </si>
  <si>
    <t>Acetol</t>
  </si>
  <si>
    <t>116-09-6</t>
  </si>
  <si>
    <t>186.64 ± 0.02</t>
  </si>
  <si>
    <t>188.60 ± 0.05</t>
  </si>
  <si>
    <t>3-methyl-2(5H)-furanone</t>
  </si>
  <si>
    <t>3-甲基-2(5H)-导喃酮</t>
  </si>
  <si>
    <t>22122-36-7</t>
  </si>
  <si>
    <t>314.81 ± 0.07</t>
  </si>
  <si>
    <t>365.97 ± 0.05</t>
  </si>
  <si>
    <t>120907.88 ± 13.76</t>
  </si>
  <si>
    <t>119647.69 ± 0.57</t>
  </si>
  <si>
    <t>2868.01 ± 0.43</t>
  </si>
  <si>
    <t>2941.15 ± 0.31</t>
  </si>
  <si>
    <t>838.42 ± 0.07</t>
  </si>
  <si>
    <t>917.22 ± 0.07</t>
  </si>
  <si>
    <t>8590.76 ± 0.49</t>
  </si>
  <si>
    <t>8827.57 ± 0.39</t>
  </si>
  <si>
    <t>1484.33 ± 0.14</t>
  </si>
  <si>
    <t>1484.10 ± 0.12</t>
  </si>
  <si>
    <t>2241.10 ± 0.12</t>
  </si>
  <si>
    <t>2449.52 ± 0.16</t>
  </si>
  <si>
    <t>34925.37 ± 1.63</t>
  </si>
  <si>
    <t>38744.13 ± 2.33</t>
  </si>
  <si>
    <t>Heptanoic Acid</t>
  </si>
  <si>
    <t>600.49 ± 0.14</t>
  </si>
  <si>
    <t>617.33 ± 0.14</t>
  </si>
  <si>
    <t>390.65 ± 0.04</t>
  </si>
  <si>
    <t>380.01 ± 0.04</t>
  </si>
  <si>
    <t>1092.50 ± 0.25</t>
  </si>
  <si>
    <t>853.75 ± 0.13</t>
  </si>
  <si>
    <t>1,1-diethoxy-2-methyl-Butane</t>
  </si>
  <si>
    <t>3658-94-4</t>
  </si>
  <si>
    <t>291.69 ± 0.06</t>
  </si>
  <si>
    <t>293.08 ± 0.08</t>
  </si>
  <si>
    <t>1,1-diethoxy-3-methyl-Butane</t>
  </si>
  <si>
    <t>2193.76 ± 0.47</t>
  </si>
  <si>
    <t>2586.38 ± 0.64</t>
  </si>
  <si>
    <t>1,1-Diethoxyhexane</t>
  </si>
  <si>
    <t>1,1-二乙氧基己烷</t>
  </si>
  <si>
    <t>3658-93-3</t>
  </si>
  <si>
    <t>215.27 ± 0.05</t>
  </si>
  <si>
    <t>209.50 ± 0.05</t>
  </si>
  <si>
    <t>S2 (F2) (mg/L)</t>
  </si>
  <si>
    <t>丙酮酸乙酯</t>
  </si>
  <si>
    <t>环丙烷丙酸乙酯</t>
  </si>
  <si>
    <t>己二烯酸乙酯</t>
  </si>
  <si>
    <t>Ethyl 7-octenoate</t>
  </si>
  <si>
    <t>3-非烯酸乙酯</t>
  </si>
  <si>
    <t>丁酸辛酯</t>
  </si>
  <si>
    <t>4-癸烯酸乙酯</t>
  </si>
  <si>
    <t>2-癸烯酸乙酯</t>
  </si>
  <si>
    <t>4-苯基丁酸乙酯</t>
  </si>
  <si>
    <t>棕榈酸甲酯</t>
  </si>
  <si>
    <t>15-甲基十七烷酸乙酯</t>
  </si>
  <si>
    <t>邻苯二甲酸二丁酯</t>
  </si>
  <si>
    <t>Nonanal</t>
  </si>
  <si>
    <t>植物酮</t>
  </si>
  <si>
    <t>苯乙醛二乙基缩醛</t>
  </si>
  <si>
    <t>1,1-二乙氧基癸烷</t>
  </si>
  <si>
    <t>1,1-二乙氧基壬烷</t>
  </si>
  <si>
    <t>3-羟基月桂酸</t>
  </si>
  <si>
    <t>α-亚麻酸</t>
  </si>
  <si>
    <t>2-十二碳烯酸</t>
  </si>
  <si>
    <t>5-十二碳烯酸</t>
  </si>
  <si>
    <t>9-十六碳烯酸</t>
  </si>
  <si>
    <t>13-十八碳烯酸</t>
  </si>
  <si>
    <t>17-Octadecynoic acid</t>
  </si>
  <si>
    <t>17-十八碳炔酸</t>
  </si>
  <si>
    <t>二十碳烯酸</t>
  </si>
  <si>
    <t>己酸酐</t>
  </si>
  <si>
    <t>14-Pentadecanoic acid</t>
  </si>
  <si>
    <t>14-十五烷酸</t>
  </si>
  <si>
    <t>Ethanol</t>
  </si>
  <si>
    <t>乙醇</t>
  </si>
  <si>
    <t>Hexanol</t>
  </si>
  <si>
    <t>2-Propyl-1-pentanol</t>
  </si>
  <si>
    <t>2-丙基-1-戊醇</t>
  </si>
  <si>
    <t>3-Methyl-1-heptanol</t>
  </si>
  <si>
    <t>3-甲基-1-庚醇</t>
  </si>
  <si>
    <t>2-Ethylhexanol</t>
  </si>
  <si>
    <t>2-乙基己醇</t>
  </si>
  <si>
    <t>2-[(Z)-9-Octadecenyloxy]ethanol</t>
  </si>
  <si>
    <t>2-[(Z)-9-十八碳烯氧基]乙醇</t>
  </si>
  <si>
    <t>Methanol</t>
  </si>
  <si>
    <t>Propanol</t>
  </si>
  <si>
    <t>Butanol</t>
  </si>
  <si>
    <t>Pentanol</t>
  </si>
  <si>
    <t>sec-Butanol</t>
  </si>
  <si>
    <t>2,4-Di-t-butylphenol</t>
  </si>
  <si>
    <t>2-(12-Pentadecynyloxy)tetrahydro-2H-pyran</t>
  </si>
  <si>
    <t>2-(12-十五烷炔氧基)四氢-2H-吡喃</t>
  </si>
  <si>
    <t>2-Methylphenol</t>
  </si>
  <si>
    <t>2-甲基苯酚</t>
  </si>
  <si>
    <t>2,6-Di-tert-butyl-p-cresol</t>
  </si>
  <si>
    <t>2,6-二叔丁基对甲酚</t>
  </si>
  <si>
    <t>Guaiacol</t>
  </si>
  <si>
    <t>香气阈值</t>
  </si>
  <si>
    <t>CB</t>
  </si>
  <si>
    <t>FB</t>
  </si>
  <si>
    <t>SB</t>
  </si>
  <si>
    <t>Average</t>
  </si>
  <si>
    <t>2-（乙氧基甲基）肤喃</t>
  </si>
  <si>
    <t>化合物英文名称</t>
  </si>
  <si>
    <t>3-methylbutyl hexanoate/Isoamyl hexanoate</t>
  </si>
  <si>
    <t>Methyl Hexanoate</t>
  </si>
  <si>
    <t>阈值 (µg/L)</t>
  </si>
  <si>
    <t>73.9 ± 1.28</t>
  </si>
  <si>
    <t>21.2 ± 0.159</t>
  </si>
  <si>
    <t>13.9 ± 0.06</t>
  </si>
  <si>
    <t>286 ± 6.56</t>
  </si>
  <si>
    <t>373 ± 1.57</t>
  </si>
  <si>
    <t>170 ± 0.723</t>
  </si>
  <si>
    <t>79.1 ± 0.358</t>
  </si>
  <si>
    <t>18 ± 0.173</t>
  </si>
  <si>
    <t>124 ± 0.433</t>
  </si>
  <si>
    <t>110 ± 0.908</t>
  </si>
  <si>
    <t>0.279 ± 0.052</t>
  </si>
  <si>
    <t>0.625 ± 0.012</t>
  </si>
  <si>
    <t>0.431 ± 0.008</t>
  </si>
  <si>
    <t>2.42 ± 0.033</t>
  </si>
  <si>
    <t>8.14 ± 0.339</t>
  </si>
  <si>
    <t>1.08 ± 0.097</t>
  </si>
  <si>
    <t>3509.74±17.28</t>
  </si>
  <si>
    <t>3081.35±31.43</t>
  </si>
  <si>
    <t>2755.54±145.87</t>
  </si>
  <si>
    <t>2264.64±11.83</t>
  </si>
  <si>
    <t>1.56±0.09</t>
  </si>
  <si>
    <t>0.96±0.05</t>
  </si>
  <si>
    <t>2.20±0.13</t>
  </si>
  <si>
    <t>1.19±0.05</t>
  </si>
  <si>
    <t>621.60±11.64</t>
  </si>
  <si>
    <t>593.74±14.01</t>
  </si>
  <si>
    <t>216.70±17.18</t>
  </si>
  <si>
    <t>193.92±2.84</t>
  </si>
  <si>
    <t>1688.01±6.20</t>
  </si>
  <si>
    <t>1650.72±3.81</t>
  </si>
  <si>
    <t>1286.66±4.39</t>
  </si>
  <si>
    <t>903.05±1.87</t>
  </si>
  <si>
    <t>71.62±3.63</t>
  </si>
  <si>
    <t>56.58±3.54</t>
  </si>
  <si>
    <t>17.16±0.98</t>
  </si>
  <si>
    <t>11.67±0.46</t>
  </si>
  <si>
    <t>65.28±2.02</t>
  </si>
  <si>
    <t>67.95±3.17</t>
  </si>
  <si>
    <t>76.49±10.87</t>
  </si>
  <si>
    <t>55.90±1.50</t>
  </si>
  <si>
    <t>86.39±1.03</t>
  </si>
  <si>
    <t>74.21±1.68</t>
  </si>
  <si>
    <t>30.43±1.27</t>
  </si>
  <si>
    <t>20.66±0.25</t>
  </si>
  <si>
    <t>1928.87±155.56</t>
  </si>
  <si>
    <t>2435.83±84.85</t>
  </si>
  <si>
    <t>810.97±34.91</t>
  </si>
  <si>
    <t>996.29±39.78</t>
  </si>
  <si>
    <t>1129.54±311.01</t>
  </si>
  <si>
    <t>1774.79±244.38</t>
  </si>
  <si>
    <t>713.59±35.90</t>
  </si>
  <si>
    <t>457.91±65.43</t>
  </si>
  <si>
    <t>15176.18±340.98</t>
  </si>
  <si>
    <t>14006.90±336.38</t>
  </si>
  <si>
    <t>2111.38±110.02</t>
  </si>
  <si>
    <t>1467.24±23.61</t>
  </si>
  <si>
    <t>9388.24±268.59</t>
  </si>
  <si>
    <t>10776.31±35.41</t>
  </si>
  <si>
    <t>1491.19±73.66</t>
  </si>
  <si>
    <t>799.47±8.82</t>
  </si>
  <si>
    <t>258.17±36.74</t>
  </si>
  <si>
    <t>230.76±33.10</t>
  </si>
  <si>
    <t>118.35±8.73</t>
  </si>
  <si>
    <t>76.28±7.54</t>
  </si>
  <si>
    <t>3.43±0.10</t>
  </si>
  <si>
    <t>3.28±0.13</t>
  </si>
  <si>
    <t>2.12±0.16</t>
  </si>
  <si>
    <t>1.44±0.03</t>
  </si>
  <si>
    <t>787.86±55.18</t>
  </si>
  <si>
    <t>675.76±27.76</t>
  </si>
  <si>
    <t>541.17±21.43</t>
  </si>
  <si>
    <t>387.02±14.88</t>
  </si>
  <si>
    <t>166.77±0.16</t>
  </si>
  <si>
    <t>89.15±0.44</t>
  </si>
  <si>
    <t>56.67±1.85</t>
  </si>
  <si>
    <t>69.61±0.14</t>
  </si>
  <si>
    <t>27.50±0.54</t>
  </si>
  <si>
    <t>29.01±2.57</t>
  </si>
  <si>
    <t>7.33±0.76</t>
  </si>
  <si>
    <t>5.43±0.20</t>
  </si>
  <si>
    <t>282.46±32.64</t>
  </si>
  <si>
    <t>264.06±35.15</t>
  </si>
  <si>
    <t>104.05±3.86</t>
  </si>
  <si>
    <t>123.51±10.63</t>
  </si>
  <si>
    <t>1332.51±24.46</t>
  </si>
  <si>
    <t>1399.32±30.04</t>
  </si>
  <si>
    <t>338.15±9.08</t>
  </si>
  <si>
    <t>222.64±3.07</t>
  </si>
  <si>
    <t>39.84±2.53</t>
  </si>
  <si>
    <t>32.31±2.94</t>
  </si>
  <si>
    <t>268.45±15.02</t>
  </si>
  <si>
    <t>276.39±14.77</t>
  </si>
  <si>
    <t>110.77±0.53</t>
  </si>
  <si>
    <t>102.85±0.83</t>
  </si>
  <si>
    <t>41.61±1.94</t>
  </si>
  <si>
    <t>41.45±0.18</t>
  </si>
  <si>
    <t>355.46±2.77</t>
  </si>
  <si>
    <t>394.68±2.73</t>
  </si>
  <si>
    <t>143.90±2.74</t>
  </si>
  <si>
    <t>254.08±1.29</t>
  </si>
  <si>
    <t>6.47±0.75</t>
  </si>
  <si>
    <t>8.17±1.20</t>
  </si>
  <si>
    <t>1.86±0.16</t>
  </si>
  <si>
    <t>2.00±0.18</t>
  </si>
  <si>
    <t>42.40±0.95</t>
  </si>
  <si>
    <t>44.37±1.39</t>
  </si>
  <si>
    <t>36.69±1.13</t>
  </si>
  <si>
    <t>38.63±0.72</t>
  </si>
  <si>
    <t>8234.64±52.91</t>
  </si>
  <si>
    <t>8722.58±34.50</t>
  </si>
  <si>
    <t>2038.39±17.66</t>
  </si>
  <si>
    <t>2138.86±7.70</t>
  </si>
  <si>
    <t>13.98±0.71</t>
  </si>
  <si>
    <t>14.14±0.11</t>
  </si>
  <si>
    <t>11.03±0.06</t>
  </si>
  <si>
    <t>11.55±0.23</t>
  </si>
  <si>
    <t>81.34±3.51</t>
  </si>
  <si>
    <t>96.33±10.59</t>
  </si>
  <si>
    <t>26.02±0.66</t>
  </si>
  <si>
    <t>31.97±1.69</t>
  </si>
  <si>
    <t>148.75±17.45</t>
  </si>
  <si>
    <t>176.44±19.68</t>
  </si>
  <si>
    <t>152.84±11.06</t>
  </si>
  <si>
    <t>164.64±13.03</t>
  </si>
  <si>
    <t>942.05±79.42</t>
  </si>
  <si>
    <t>996.42±38.44</t>
  </si>
  <si>
    <t>458.77±20.83</t>
  </si>
  <si>
    <t>454.62±19.33</t>
  </si>
  <si>
    <t>5.08±0.87</t>
  </si>
  <si>
    <t>5.51±0.30</t>
  </si>
  <si>
    <t>1.37±0.07</t>
  </si>
  <si>
    <t>1.60±0.13</t>
  </si>
  <si>
    <t>200.54±40.32</t>
  </si>
  <si>
    <t>190.56±20.17</t>
  </si>
  <si>
    <t>1694.71±134.20</t>
  </si>
  <si>
    <t>624.47±65.97</t>
  </si>
  <si>
    <t>339.37±62.54</t>
  </si>
  <si>
    <t>253.49±29.57</t>
  </si>
  <si>
    <t>377.92±17.41</t>
  </si>
  <si>
    <t>210.96±21.97</t>
  </si>
  <si>
    <t>28.43±2.22</t>
  </si>
  <si>
    <t>14.92±0.75</t>
  </si>
  <si>
    <t>8.68±0.50</t>
  </si>
  <si>
    <t>2.36±0.10</t>
  </si>
  <si>
    <t>125.35±0.60</t>
  </si>
  <si>
    <t>132.03±2.94</t>
  </si>
  <si>
    <t>147.75±7.94</t>
  </si>
  <si>
    <t>135.29±1.27</t>
  </si>
  <si>
    <t>1423.56±56.29</t>
  </si>
  <si>
    <t>1339.87±9.78</t>
  </si>
  <si>
    <t>1060.51±81.52</t>
  </si>
  <si>
    <t>1035.13±16.76</t>
  </si>
  <si>
    <t>28.60±1.16</t>
  </si>
  <si>
    <t>21.29±0.60</t>
  </si>
  <si>
    <t>7.64±0.39</t>
  </si>
  <si>
    <t>7.64±0.18</t>
  </si>
  <si>
    <t>31.12±5.91</t>
  </si>
  <si>
    <t>51.20±5.58</t>
  </si>
  <si>
    <t>20.54±1.46</t>
  </si>
  <si>
    <t>11.26±1.16</t>
  </si>
  <si>
    <t>7.13±0.14</t>
  </si>
  <si>
    <t>7.29±0.07</t>
  </si>
  <si>
    <t>7.00±0.50</t>
  </si>
  <si>
    <t>6.89±0.07</t>
  </si>
  <si>
    <t>26.50±1.23</t>
  </si>
  <si>
    <t>38.41±1.55</t>
  </si>
  <si>
    <t>27.67±1.95</t>
  </si>
  <si>
    <t>18.68±0.56</t>
  </si>
  <si>
    <t>346.47±3.82</t>
  </si>
  <si>
    <t>254.88±5.88</t>
  </si>
  <si>
    <t>218.67±13.16</t>
  </si>
  <si>
    <t>177.42±3.01</t>
  </si>
  <si>
    <t>49.73±4.32</t>
  </si>
  <si>
    <t>48.22±4.21</t>
  </si>
  <si>
    <t>28.19±2.88</t>
  </si>
  <si>
    <t>25.85±1.56</t>
  </si>
  <si>
    <t>10.98±1.69</t>
  </si>
  <si>
    <t>11.09±0.80</t>
  </si>
  <si>
    <t>10.03±0.84</t>
  </si>
  <si>
    <t>9.80±0.77</t>
  </si>
  <si>
    <t>23.69±1.96</t>
  </si>
  <si>
    <t>32.00±5.03</t>
  </si>
  <si>
    <t>10.35±0.67</t>
  </si>
  <si>
    <t>4.84±0.40</t>
  </si>
  <si>
    <t>593.40±23.64</t>
  </si>
  <si>
    <t>844.92±102.89</t>
  </si>
  <si>
    <t>1024.86±109.49</t>
  </si>
  <si>
    <t>695.78±38.90</t>
  </si>
  <si>
    <t>69.70±3.63</t>
  </si>
  <si>
    <t>22.23±1.06</t>
  </si>
  <si>
    <t>103.39±11.65</t>
  </si>
  <si>
    <t>113.82±3.92</t>
  </si>
  <si>
    <t>23.74±1.12</t>
  </si>
  <si>
    <t>17.62±0.90</t>
  </si>
  <si>
    <t>2574.51±52.36</t>
  </si>
  <si>
    <t>2416.30±61.13</t>
  </si>
  <si>
    <t>1056.35±63.27</t>
  </si>
  <si>
    <t>826.02±13.03</t>
  </si>
  <si>
    <t>1149.69±47.71</t>
  </si>
  <si>
    <t>1023.78±33.70</t>
  </si>
  <si>
    <t>411.99±69.30</t>
  </si>
  <si>
    <t>339.86±8.75</t>
  </si>
  <si>
    <t>n-c-1 oav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</si>
</sst>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0.5"/>
      <color rgb="FFFFFFFF"/>
      <name val="等线"/>
      <family val="3"/>
      <charset val="134"/>
      <scheme val="minor"/>
    </font>
    <font>
      <sz val="10.5"/>
      <color rgb="FFFFFFFF"/>
      <name val="Times New Roman"/>
      <family val="1"/>
    </font>
    <font>
      <sz val="10.5"/>
      <color rgb="FFFFFFFF"/>
      <name val="Cambria Math"/>
      <family val="1"/>
    </font>
    <font>
      <sz val="12"/>
      <color theme="1"/>
      <name val="宋体"/>
      <family val="3"/>
      <charset val="134"/>
    </font>
    <font>
      <sz val="7"/>
      <color rgb="FF0F1115"/>
      <name val="Consolas"/>
      <family val="3"/>
    </font>
    <font>
      <sz val="11"/>
      <color theme="1"/>
      <name val="宋体"/>
      <family val="3"/>
      <charset val="134"/>
    </font>
    <font>
      <sz val="8"/>
      <color rgb="FF0F1115"/>
      <name val="宋体"/>
      <family val="3"/>
      <charset val="134"/>
    </font>
    <font>
      <sz val="8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.6"/>
      <color rgb="FF0F1115"/>
      <name val="Consolas"/>
      <family val="3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等线"/>
      <family val="2"/>
      <charset val="134"/>
    </font>
    <font>
      <b/>
      <sz val="11"/>
      <color rgb="FF1F1F1F"/>
      <name val="Arial"/>
      <family val="2"/>
      <charset val="134"/>
    </font>
    <font>
      <b/>
      <sz val="11"/>
      <color rgb="FF1F1F1F"/>
      <name val="微软雅黑"/>
      <family val="2"/>
      <charset val="134"/>
    </font>
    <font>
      <sz val="11"/>
      <color rgb="FF1F1F1F"/>
      <name val="微软雅黑"/>
      <family val="2"/>
      <charset val="134"/>
    </font>
    <font>
      <sz val="11"/>
      <color rgb="FF1F1F1F"/>
      <name val="Arial"/>
      <family val="2"/>
      <charset val="134"/>
    </font>
    <font>
      <b/>
      <sz val="11"/>
      <color rgb="FF1F1F1F"/>
      <name val="Calibri"/>
      <family val="2"/>
      <charset val="161"/>
    </font>
    <font>
      <b/>
      <sz val="11"/>
      <color rgb="FF1F1F1F"/>
      <name val="宋体"/>
      <family val="2"/>
      <charset val="134"/>
    </font>
    <font>
      <b/>
      <sz val="11"/>
      <color rgb="FF1F1F1F"/>
      <name val="Cambria Math"/>
      <family val="1"/>
    </font>
    <font>
      <i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51517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14" fontId="5" fillId="2" borderId="1" xfId="0" applyNumberFormat="1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left" vertical="center" wrapText="1" indent="1"/>
    </xf>
    <xf numFmtId="0" fontId="7" fillId="3" borderId="0" xfId="0" applyFont="1" applyFill="1" applyAlignment="1">
      <alignment horizontal="justify" vertical="center" wrapText="1"/>
    </xf>
    <xf numFmtId="4" fontId="5" fillId="2" borderId="1" xfId="0" applyNumberFormat="1" applyFont="1" applyFill="1" applyBorder="1" applyAlignment="1">
      <alignment horizontal="left" vertical="center" wrapText="1" indent="1"/>
    </xf>
    <xf numFmtId="0" fontId="10" fillId="0" borderId="0" xfId="0" applyFont="1">
      <alignment vertical="center"/>
    </xf>
    <xf numFmtId="0" fontId="5" fillId="2" borderId="3" xfId="0" applyFont="1" applyFill="1" applyBorder="1" applyAlignment="1">
      <alignment horizontal="left" vertical="center" wrapText="1" inden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2" borderId="0" xfId="0" applyFont="1" applyFill="1" applyAlignment="1">
      <alignment horizontal="left" vertical="center" wrapText="1" indent="1"/>
    </xf>
    <xf numFmtId="0" fontId="15" fillId="2" borderId="0" xfId="0" applyFont="1" applyFill="1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5" fillId="2" borderId="0" xfId="0" applyFont="1" applyFill="1" applyAlignment="1">
      <alignment horizontal="left" vertical="center" wrapText="1" indent="1"/>
    </xf>
    <xf numFmtId="0" fontId="18" fillId="0" borderId="4" xfId="0" applyFont="1" applyBorder="1" applyAlignment="1">
      <alignment vertical="center" wrapText="1" readingOrder="1"/>
    </xf>
    <xf numFmtId="0" fontId="17" fillId="0" borderId="4" xfId="0" applyFont="1" applyBorder="1" applyAlignment="1">
      <alignment vertical="center" wrapText="1" readingOrder="1"/>
    </xf>
    <xf numFmtId="0" fontId="20" fillId="0" borderId="5" xfId="0" applyFont="1" applyBorder="1" applyAlignment="1">
      <alignment vertical="center" wrapText="1" readingOrder="1"/>
    </xf>
    <xf numFmtId="0" fontId="23" fillId="0" borderId="4" xfId="0" applyFont="1" applyBorder="1" applyAlignment="1">
      <alignment vertical="center" wrapText="1" readingOrder="1"/>
    </xf>
    <xf numFmtId="0" fontId="20" fillId="0" borderId="4" xfId="0" applyFont="1" applyBorder="1" applyAlignment="1">
      <alignment vertical="center" wrapText="1" readingOrder="1"/>
    </xf>
    <xf numFmtId="0" fontId="22" fillId="0" borderId="4" xfId="0" applyFont="1" applyBorder="1" applyAlignment="1">
      <alignment vertical="center" wrapText="1" readingOrder="1"/>
    </xf>
    <xf numFmtId="0" fontId="21" fillId="0" borderId="4" xfId="0" applyFont="1" applyBorder="1" applyAlignment="1">
      <alignment vertical="center" wrapText="1" readingOrder="1"/>
    </xf>
    <xf numFmtId="0" fontId="25" fillId="0" borderId="4" xfId="0" applyFont="1" applyBorder="1" applyAlignment="1">
      <alignment vertical="center" wrapText="1" readingOrder="1"/>
    </xf>
    <xf numFmtId="0" fontId="18" fillId="0" borderId="4" xfId="0" applyFont="1" applyBorder="1" applyAlignment="1">
      <alignment horizontal="left" vertical="center" wrapText="1" indent="1" readingOrder="1"/>
    </xf>
    <xf numFmtId="0" fontId="17" fillId="0" borderId="4" xfId="0" applyFont="1" applyBorder="1" applyAlignment="1">
      <alignment horizontal="left" vertical="center" wrapText="1" indent="1" readingOrder="1"/>
    </xf>
    <xf numFmtId="14" fontId="17" fillId="0" borderId="4" xfId="0" applyNumberFormat="1" applyFont="1" applyBorder="1" applyAlignment="1">
      <alignment horizontal="left" vertical="center" wrapText="1" indent="1" readingOrder="1"/>
    </xf>
    <xf numFmtId="3" fontId="17" fillId="0" borderId="4" xfId="0" applyNumberFormat="1" applyFont="1" applyBorder="1" applyAlignment="1">
      <alignment horizontal="left" vertical="center" wrapText="1" indent="1" readingOrder="1"/>
    </xf>
    <xf numFmtId="3" fontId="17" fillId="0" borderId="4" xfId="0" applyNumberFormat="1" applyFont="1" applyBorder="1" applyAlignment="1">
      <alignment vertical="center" wrapText="1" readingOrder="1"/>
    </xf>
    <xf numFmtId="0" fontId="27" fillId="0" borderId="4" xfId="0" applyFont="1" applyBorder="1" applyAlignment="1">
      <alignment horizontal="left" vertical="center" wrapText="1" indent="1" readingOrder="1"/>
    </xf>
    <xf numFmtId="0" fontId="27" fillId="0" borderId="4" xfId="0" applyFont="1" applyBorder="1" applyAlignment="1">
      <alignment vertical="center" wrapText="1" readingOrder="1"/>
    </xf>
    <xf numFmtId="0" fontId="17" fillId="0" borderId="5" xfId="0" applyFont="1" applyBorder="1" applyAlignment="1">
      <alignment vertical="center" wrapText="1" readingOrder="1"/>
    </xf>
    <xf numFmtId="0" fontId="17" fillId="0" borderId="6" xfId="0" applyFont="1" applyBorder="1" applyAlignment="1">
      <alignment vertical="center" wrapText="1" readingOrder="1"/>
    </xf>
    <xf numFmtId="0" fontId="18" fillId="0" borderId="7" xfId="0" applyFont="1" applyBorder="1" applyAlignment="1">
      <alignment horizontal="left" vertical="center" wrapText="1" indent="1" readingOrder="1"/>
    </xf>
    <xf numFmtId="0" fontId="17" fillId="0" borderId="7" xfId="0" applyFont="1" applyBorder="1" applyAlignment="1">
      <alignment horizontal="left" vertical="center" wrapText="1" indent="1" readingOrder="1"/>
    </xf>
    <xf numFmtId="14" fontId="17" fillId="0" borderId="7" xfId="0" applyNumberFormat="1" applyFont="1" applyBorder="1" applyAlignment="1">
      <alignment horizontal="left" vertical="center" wrapText="1" indent="1" readingOrder="1"/>
    </xf>
    <xf numFmtId="0" fontId="17" fillId="0" borderId="8" xfId="0" applyFont="1" applyBorder="1" applyAlignment="1">
      <alignment horizontal="left" vertical="center" wrapText="1" indent="1" readingOrder="1"/>
    </xf>
    <xf numFmtId="3" fontId="17" fillId="0" borderId="7" xfId="0" applyNumberFormat="1" applyFont="1" applyBorder="1" applyAlignment="1">
      <alignment horizontal="left" vertical="center" wrapText="1" indent="1" readingOrder="1"/>
    </xf>
    <xf numFmtId="0" fontId="18" fillId="0" borderId="0" xfId="0" applyFont="1" applyAlignment="1">
      <alignment horizontal="left" vertical="center" wrapText="1" indent="1" readingOrder="1"/>
    </xf>
    <xf numFmtId="0" fontId="17" fillId="0" borderId="0" xfId="0" applyFont="1" applyAlignment="1">
      <alignment horizontal="left" vertical="center" wrapText="1" inden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AFDA-9F3F-4592-87F7-8F864B49696F}">
  <dimension ref="A1:AZ166"/>
  <sheetViews>
    <sheetView tabSelected="1" zoomScale="70" zoomScaleNormal="70" workbookViewId="0">
      <selection activeCell="O2" sqref="O2"/>
    </sheetView>
  </sheetViews>
  <sheetFormatPr defaultRowHeight="15.6" x14ac:dyDescent="0.25"/>
  <cols>
    <col min="2" max="2" width="12.44140625" customWidth="1"/>
    <col min="3" max="4" width="28.44140625" customWidth="1"/>
    <col min="5" max="5" width="26.33203125" customWidth="1"/>
    <col min="6" max="6" width="8.6640625" customWidth="1"/>
    <col min="7" max="7" width="21.77734375" customWidth="1"/>
    <col min="8" max="8" width="17.44140625" style="1" customWidth="1"/>
    <col min="9" max="9" width="13.77734375" customWidth="1"/>
    <col min="10" max="10" width="14.33203125" customWidth="1"/>
    <col min="11" max="11" width="14.6640625" customWidth="1"/>
    <col min="12" max="12" width="14.77734375" customWidth="1"/>
    <col min="13" max="13" width="13.88671875" customWidth="1"/>
    <col min="14" max="14" width="14.109375" customWidth="1"/>
    <col min="15" max="15" width="14.44140625" customWidth="1"/>
    <col min="16" max="16" width="12.88671875" customWidth="1"/>
    <col min="17" max="17" width="13.6640625" customWidth="1"/>
    <col min="18" max="18" width="13.44140625" customWidth="1"/>
    <col min="19" max="19" width="10.44140625" customWidth="1"/>
    <col min="20" max="52" width="8.6640625" customWidth="1"/>
  </cols>
  <sheetData>
    <row r="1" spans="1:52" x14ac:dyDescent="0.25">
      <c r="A1" s="1" t="s">
        <v>3</v>
      </c>
      <c r="B1" s="2" t="s">
        <v>2</v>
      </c>
      <c r="C1" s="1" t="s">
        <v>1</v>
      </c>
      <c r="D1" s="12" t="s">
        <v>2016</v>
      </c>
      <c r="E1" s="2" t="s">
        <v>0</v>
      </c>
      <c r="F1" s="1" t="s">
        <v>4</v>
      </c>
      <c r="G1" s="1" t="s">
        <v>5</v>
      </c>
      <c r="H1" s="2" t="s">
        <v>2160</v>
      </c>
      <c r="I1" s="2" t="s">
        <v>2305</v>
      </c>
      <c r="J1" s="2" t="s">
        <v>2308</v>
      </c>
      <c r="K1" s="2" t="s">
        <v>2309</v>
      </c>
      <c r="L1" s="2" t="s">
        <v>2310</v>
      </c>
      <c r="M1" s="2" t="s">
        <v>2312</v>
      </c>
      <c r="N1" s="2" t="s">
        <v>2311</v>
      </c>
      <c r="O1" s="2" t="s">
        <v>2203</v>
      </c>
      <c r="P1" s="2" t="s">
        <v>2204</v>
      </c>
      <c r="Q1" s="2" t="s">
        <v>2321</v>
      </c>
      <c r="R1" s="2" t="s">
        <v>2322</v>
      </c>
      <c r="S1" s="2" t="s">
        <v>2344</v>
      </c>
      <c r="T1" s="2" t="s">
        <v>2345</v>
      </c>
      <c r="U1" s="2" t="s">
        <v>2346</v>
      </c>
      <c r="V1" s="2" t="s">
        <v>2347</v>
      </c>
      <c r="W1" s="2" t="s">
        <v>2348</v>
      </c>
      <c r="X1" s="2" t="s">
        <v>2350</v>
      </c>
      <c r="Y1" s="2" t="s">
        <v>2351</v>
      </c>
      <c r="Z1" s="2" t="s">
        <v>2352</v>
      </c>
      <c r="AA1" s="2" t="s">
        <v>2353</v>
      </c>
      <c r="AB1" s="2" t="s">
        <v>2354</v>
      </c>
      <c r="AC1" s="2" t="s">
        <v>2355</v>
      </c>
      <c r="AD1" s="2" t="s">
        <v>2356</v>
      </c>
      <c r="AE1" s="2" t="s">
        <v>2357</v>
      </c>
      <c r="AF1" s="2" t="s">
        <v>2367</v>
      </c>
      <c r="AG1" s="2" t="s">
        <v>2368</v>
      </c>
      <c r="AH1" s="2" t="s">
        <v>2369</v>
      </c>
      <c r="AI1" s="2" t="s">
        <v>2379</v>
      </c>
      <c r="AJ1" s="2" t="s">
        <v>2370</v>
      </c>
      <c r="AK1" s="2" t="s">
        <v>2371</v>
      </c>
      <c r="AL1" s="2" t="s">
        <v>2372</v>
      </c>
      <c r="AM1" s="2" t="s">
        <v>2373</v>
      </c>
      <c r="AN1" s="2" t="s">
        <v>2374</v>
      </c>
      <c r="AO1" s="2" t="s">
        <v>2375</v>
      </c>
      <c r="AP1" s="2" t="s">
        <v>2376</v>
      </c>
      <c r="AQ1" s="2" t="s">
        <v>2377</v>
      </c>
      <c r="AR1" s="2" t="s">
        <v>2378</v>
      </c>
      <c r="AS1" s="2" t="s">
        <v>2391</v>
      </c>
      <c r="AT1" s="2" t="s">
        <v>2384</v>
      </c>
      <c r="AU1" s="2" t="s">
        <v>2385</v>
      </c>
      <c r="AV1" s="2" t="s">
        <v>2386</v>
      </c>
      <c r="AW1" s="2" t="s">
        <v>2387</v>
      </c>
      <c r="AX1" s="2" t="s">
        <v>2388</v>
      </c>
      <c r="AY1" s="2" t="s">
        <v>2389</v>
      </c>
      <c r="AZ1" s="2" t="s">
        <v>2390</v>
      </c>
    </row>
    <row r="2" spans="1:52" x14ac:dyDescent="0.25">
      <c r="A2" s="2">
        <v>1</v>
      </c>
      <c r="B2" s="2" t="s">
        <v>2030</v>
      </c>
      <c r="C2" s="2" t="s">
        <v>1988</v>
      </c>
      <c r="D2" s="12" t="s">
        <v>2057</v>
      </c>
      <c r="E2" s="1" t="s">
        <v>2081</v>
      </c>
      <c r="F2" s="1"/>
      <c r="G2" s="1"/>
      <c r="H2" s="2" t="s">
        <v>2223</v>
      </c>
      <c r="I2" s="2" t="s">
        <v>2198</v>
      </c>
      <c r="J2" s="2" t="s">
        <v>2434</v>
      </c>
      <c r="K2" s="2" t="s">
        <v>2435</v>
      </c>
      <c r="L2" s="2" t="s">
        <v>2436</v>
      </c>
      <c r="M2" s="2" t="s">
        <v>2437</v>
      </c>
      <c r="N2" s="2" t="s">
        <v>2438</v>
      </c>
      <c r="O2" s="2" t="s">
        <v>2315</v>
      </c>
      <c r="P2" s="2" t="s">
        <v>2107</v>
      </c>
      <c r="Q2" s="2" t="s">
        <v>2439</v>
      </c>
      <c r="R2" s="2" t="s">
        <v>2440</v>
      </c>
      <c r="S2" s="2">
        <v>1206.133</v>
      </c>
      <c r="T2" s="2">
        <v>1251.2370000000001</v>
      </c>
      <c r="U2" s="2">
        <v>1217.046</v>
      </c>
      <c r="V2" s="2">
        <v>1264.0309999999999</v>
      </c>
      <c r="W2" s="2">
        <v>1261.51</v>
      </c>
      <c r="X2" s="2">
        <v>45299.64</v>
      </c>
      <c r="Y2" s="2">
        <v>31626.18</v>
      </c>
      <c r="Z2" s="2">
        <v>52218.36</v>
      </c>
      <c r="AA2" s="2">
        <v>39842.36</v>
      </c>
      <c r="AB2" s="2">
        <v>43102.73</v>
      </c>
      <c r="AC2" s="2">
        <v>53428.73</v>
      </c>
      <c r="AD2" s="2">
        <v>49287.27</v>
      </c>
      <c r="AE2" s="2">
        <v>60285.27</v>
      </c>
      <c r="AF2" s="2">
        <v>84503</v>
      </c>
      <c r="AG2" s="2">
        <v>121499</v>
      </c>
      <c r="AH2" s="2">
        <v>111532</v>
      </c>
      <c r="AI2" s="2">
        <v>29229</v>
      </c>
      <c r="AJ2" s="2">
        <v>23061</v>
      </c>
      <c r="AK2" s="2">
        <v>28017</v>
      </c>
      <c r="AL2" s="2">
        <v>22810</v>
      </c>
      <c r="AM2" s="2">
        <v>28456</v>
      </c>
      <c r="AN2" s="2">
        <v>22909</v>
      </c>
      <c r="AO2" s="2">
        <v>27266</v>
      </c>
      <c r="AP2" s="2">
        <v>22513</v>
      </c>
      <c r="AQ2" s="2">
        <v>30552</v>
      </c>
      <c r="AR2" s="2">
        <v>25546</v>
      </c>
      <c r="AS2" s="2" t="s">
        <v>2441</v>
      </c>
      <c r="AT2" s="2" t="s">
        <v>2442</v>
      </c>
      <c r="AU2" s="2" t="s">
        <v>2443</v>
      </c>
      <c r="AV2" s="2" t="s">
        <v>2444</v>
      </c>
      <c r="AW2" s="2" t="s">
        <v>2445</v>
      </c>
      <c r="AX2" s="2" t="s">
        <v>2446</v>
      </c>
      <c r="AY2" s="2" t="s">
        <v>2447</v>
      </c>
      <c r="AZ2" s="2" t="s">
        <v>2448</v>
      </c>
    </row>
    <row r="3" spans="1:52" ht="14.4" x14ac:dyDescent="0.25">
      <c r="A3" s="2">
        <v>2</v>
      </c>
      <c r="B3" s="2" t="s">
        <v>2190</v>
      </c>
      <c r="C3" s="2" t="s">
        <v>2416</v>
      </c>
      <c r="D3" s="15" t="s">
        <v>2380</v>
      </c>
      <c r="E3" s="2" t="s">
        <v>2189</v>
      </c>
      <c r="F3" s="2"/>
      <c r="G3" s="2"/>
      <c r="H3" s="2" t="s">
        <v>2196</v>
      </c>
      <c r="I3" s="2" t="s">
        <v>2197</v>
      </c>
      <c r="J3" s="2" t="s">
        <v>2449</v>
      </c>
      <c r="K3" s="2" t="s">
        <v>2450</v>
      </c>
      <c r="L3" s="2" t="s">
        <v>2451</v>
      </c>
      <c r="M3" s="2" t="s">
        <v>2452</v>
      </c>
      <c r="N3" s="2" t="s">
        <v>2453</v>
      </c>
      <c r="O3" s="2"/>
      <c r="P3" s="2"/>
      <c r="Q3" s="2" t="s">
        <v>2454</v>
      </c>
      <c r="R3" s="2" t="s">
        <v>2455</v>
      </c>
      <c r="S3" s="2">
        <v>4.1840000000000002</v>
      </c>
      <c r="T3" s="2">
        <v>4.3070000000000004</v>
      </c>
      <c r="U3" s="2">
        <v>3.2589999999999999</v>
      </c>
      <c r="V3" s="2">
        <v>2.1379999999999999</v>
      </c>
      <c r="W3" s="2">
        <v>1.3520000000000001</v>
      </c>
      <c r="X3" s="2">
        <v>475.71</v>
      </c>
      <c r="Y3" s="2">
        <v>408.57</v>
      </c>
      <c r="Z3" s="2">
        <v>204.29</v>
      </c>
      <c r="AA3" s="2">
        <v>215.71</v>
      </c>
      <c r="AB3" s="2">
        <v>295.70999999999998</v>
      </c>
      <c r="AC3" s="2">
        <v>442.86</v>
      </c>
      <c r="AD3" s="2">
        <v>267.14</v>
      </c>
      <c r="AE3" s="2">
        <v>384.29</v>
      </c>
      <c r="AF3" s="2">
        <v>864</v>
      </c>
      <c r="AG3" s="2">
        <v>376</v>
      </c>
      <c r="AH3" s="2">
        <v>408</v>
      </c>
      <c r="AI3" s="2">
        <v>376</v>
      </c>
      <c r="AJ3" s="2">
        <v>847</v>
      </c>
      <c r="AK3" s="2">
        <v>261</v>
      </c>
      <c r="AL3" s="2">
        <v>871</v>
      </c>
      <c r="AM3" s="2">
        <v>449</v>
      </c>
      <c r="AN3" s="2">
        <v>728</v>
      </c>
      <c r="AO3" s="2">
        <v>133</v>
      </c>
      <c r="AP3" s="2">
        <v>236</v>
      </c>
      <c r="AQ3" s="2">
        <v>494</v>
      </c>
      <c r="AR3" s="2">
        <v>313</v>
      </c>
      <c r="AS3" s="2"/>
      <c r="AT3" s="2"/>
      <c r="AU3" s="2"/>
      <c r="AV3" s="2"/>
      <c r="AW3" s="2"/>
      <c r="AX3" s="2"/>
      <c r="AY3" s="2"/>
      <c r="AZ3" s="2"/>
    </row>
    <row r="4" spans="1:52" ht="14.4" x14ac:dyDescent="0.25">
      <c r="A4" s="2">
        <v>3</v>
      </c>
      <c r="B4" s="2" t="s">
        <v>2031</v>
      </c>
      <c r="C4" s="2" t="s">
        <v>1989</v>
      </c>
      <c r="D4" s="15" t="s">
        <v>2058</v>
      </c>
      <c r="E4" s="2" t="s">
        <v>2082</v>
      </c>
      <c r="F4" s="2"/>
      <c r="G4" s="2"/>
      <c r="H4" s="2" t="s">
        <v>2224</v>
      </c>
      <c r="I4" s="2" t="s">
        <v>2199</v>
      </c>
      <c r="J4" s="2" t="s">
        <v>2456</v>
      </c>
      <c r="K4" s="2" t="s">
        <v>2457</v>
      </c>
      <c r="L4" s="2" t="s">
        <v>2458</v>
      </c>
      <c r="M4" s="2" t="s">
        <v>2459</v>
      </c>
      <c r="N4" s="2" t="s">
        <v>2460</v>
      </c>
      <c r="O4" s="2" t="s">
        <v>2108</v>
      </c>
      <c r="P4" s="2" t="s">
        <v>2109</v>
      </c>
      <c r="Q4" s="2" t="s">
        <v>2461</v>
      </c>
      <c r="R4" s="2" t="s">
        <v>2462</v>
      </c>
      <c r="S4" s="2">
        <v>103.36</v>
      </c>
      <c r="T4" s="2">
        <v>96.548000000000002</v>
      </c>
      <c r="U4" s="2">
        <v>105.31100000000001</v>
      </c>
      <c r="V4" s="2">
        <v>94.441000000000003</v>
      </c>
      <c r="W4" s="2">
        <v>106.623</v>
      </c>
      <c r="X4" s="2">
        <v>3350.59</v>
      </c>
      <c r="Y4" s="2">
        <v>3941.74</v>
      </c>
      <c r="Z4" s="2">
        <v>4421.5</v>
      </c>
      <c r="AA4" s="2">
        <v>4543.07</v>
      </c>
      <c r="AB4" s="2">
        <v>4762.3100000000004</v>
      </c>
      <c r="AC4" s="2">
        <v>4576.04</v>
      </c>
      <c r="AD4" s="2">
        <v>4871.55</v>
      </c>
      <c r="AE4" s="2">
        <v>3835.23</v>
      </c>
      <c r="AF4" s="2">
        <v>3890</v>
      </c>
      <c r="AG4" s="2">
        <v>5580</v>
      </c>
      <c r="AH4" s="2">
        <v>5247</v>
      </c>
      <c r="AI4" s="2">
        <v>3299</v>
      </c>
      <c r="AJ4" s="2">
        <v>2679</v>
      </c>
      <c r="AK4" s="2">
        <v>3069</v>
      </c>
      <c r="AL4" s="2">
        <v>310</v>
      </c>
      <c r="AM4" s="2">
        <v>2990</v>
      </c>
      <c r="AN4" s="2">
        <v>264</v>
      </c>
      <c r="AO4" s="2">
        <v>2796</v>
      </c>
      <c r="AP4" s="2">
        <v>2403</v>
      </c>
      <c r="AQ4" s="2">
        <v>5348</v>
      </c>
      <c r="AR4" s="2">
        <v>3030</v>
      </c>
      <c r="AS4" s="2" t="s">
        <v>2463</v>
      </c>
      <c r="AT4" s="2" t="s">
        <v>2464</v>
      </c>
      <c r="AU4" s="2" t="s">
        <v>2465</v>
      </c>
      <c r="AV4" s="2" t="s">
        <v>2466</v>
      </c>
      <c r="AW4" s="2" t="s">
        <v>2467</v>
      </c>
      <c r="AX4" s="2" t="s">
        <v>2468</v>
      </c>
      <c r="AY4" s="2" t="s">
        <v>2469</v>
      </c>
      <c r="AZ4" s="2" t="s">
        <v>2470</v>
      </c>
    </row>
    <row r="5" spans="1:52" ht="14.4" x14ac:dyDescent="0.25">
      <c r="A5" s="2">
        <v>4</v>
      </c>
      <c r="B5" s="2" t="s">
        <v>2038</v>
      </c>
      <c r="C5" s="2" t="s">
        <v>1995</v>
      </c>
      <c r="D5" s="15" t="s">
        <v>2064</v>
      </c>
      <c r="E5" s="2" t="s">
        <v>2089</v>
      </c>
      <c r="F5" s="2"/>
      <c r="G5" s="2"/>
      <c r="H5" s="2" t="s">
        <v>2230</v>
      </c>
      <c r="I5" s="2" t="s">
        <v>2231</v>
      </c>
      <c r="J5" s="2" t="s">
        <v>97</v>
      </c>
      <c r="K5" s="2" t="s">
        <v>2471</v>
      </c>
      <c r="L5" s="2" t="s">
        <v>99</v>
      </c>
      <c r="M5" s="2" t="s">
        <v>2472</v>
      </c>
      <c r="N5" s="2" t="s">
        <v>101</v>
      </c>
      <c r="O5" s="2" t="s">
        <v>2122</v>
      </c>
      <c r="P5" s="2" t="s">
        <v>2123</v>
      </c>
      <c r="Q5" s="2" t="s">
        <v>2473</v>
      </c>
      <c r="R5" s="2" t="s">
        <v>893</v>
      </c>
      <c r="S5" s="2">
        <v>112.53400000000001</v>
      </c>
      <c r="T5" s="2">
        <v>112.723</v>
      </c>
      <c r="U5" s="2">
        <v>95.301000000000002</v>
      </c>
      <c r="V5" s="2">
        <v>90.59</v>
      </c>
      <c r="W5" s="2">
        <v>92.945999999999998</v>
      </c>
      <c r="X5" s="2">
        <v>14.97</v>
      </c>
      <c r="Y5" s="2">
        <v>39.03</v>
      </c>
      <c r="Z5" s="2">
        <v>45.29</v>
      </c>
      <c r="AA5" s="2">
        <v>44.45</v>
      </c>
      <c r="AB5" s="2">
        <v>51.47</v>
      </c>
      <c r="AC5" s="2">
        <v>49.55</v>
      </c>
      <c r="AD5" s="2">
        <v>51.1</v>
      </c>
      <c r="AE5" s="2">
        <v>45.89</v>
      </c>
      <c r="AF5" s="2">
        <v>112</v>
      </c>
      <c r="AG5" s="2">
        <v>97</v>
      </c>
      <c r="AH5" s="2">
        <v>143</v>
      </c>
      <c r="AI5" s="2">
        <v>29</v>
      </c>
      <c r="AJ5" s="2">
        <v>16</v>
      </c>
      <c r="AK5" s="2">
        <v>28</v>
      </c>
      <c r="AL5" s="2">
        <v>16</v>
      </c>
      <c r="AM5" s="2">
        <v>27</v>
      </c>
      <c r="AN5" s="2">
        <v>20</v>
      </c>
      <c r="AO5" s="2">
        <v>28</v>
      </c>
      <c r="AP5" s="2">
        <v>24</v>
      </c>
      <c r="AQ5" s="2">
        <v>32</v>
      </c>
      <c r="AR5" s="2">
        <v>27</v>
      </c>
      <c r="AS5" s="2"/>
      <c r="AT5" s="2"/>
      <c r="AU5" s="2"/>
      <c r="AV5" s="2"/>
      <c r="AW5" s="2"/>
      <c r="AX5" s="2"/>
      <c r="AY5" s="2"/>
      <c r="AZ5" s="2"/>
    </row>
    <row r="6" spans="1:52" ht="14.4" x14ac:dyDescent="0.25">
      <c r="A6" s="2">
        <v>5</v>
      </c>
      <c r="B6" s="2" t="s">
        <v>103</v>
      </c>
      <c r="C6" s="2" t="s">
        <v>1997</v>
      </c>
      <c r="D6" s="15" t="s">
        <v>2023</v>
      </c>
      <c r="E6" s="2" t="s">
        <v>2299</v>
      </c>
      <c r="F6" s="2"/>
      <c r="G6" s="2"/>
      <c r="H6" s="2" t="s">
        <v>2232</v>
      </c>
      <c r="I6" s="2" t="s">
        <v>2233</v>
      </c>
      <c r="J6" s="2" t="s">
        <v>2474</v>
      </c>
      <c r="K6" s="2" t="s">
        <v>2475</v>
      </c>
      <c r="L6" s="2" t="s">
        <v>2476</v>
      </c>
      <c r="M6" s="2" t="s">
        <v>2477</v>
      </c>
      <c r="N6" s="2" t="s">
        <v>2478</v>
      </c>
      <c r="O6" s="2" t="s">
        <v>2128</v>
      </c>
      <c r="P6" s="2" t="s">
        <v>2129</v>
      </c>
      <c r="Q6" s="2" t="s">
        <v>2479</v>
      </c>
      <c r="R6" s="2" t="s">
        <v>2480</v>
      </c>
      <c r="S6" s="2">
        <v>383.16</v>
      </c>
      <c r="T6" s="2">
        <v>431.96499999999997</v>
      </c>
      <c r="U6" s="2">
        <v>445.51299999999998</v>
      </c>
      <c r="V6" s="2">
        <v>492.64699999999999</v>
      </c>
      <c r="W6" s="2">
        <v>545.63599999999997</v>
      </c>
      <c r="X6" s="2">
        <v>5068.62</v>
      </c>
      <c r="Y6" s="2">
        <v>3823.64</v>
      </c>
      <c r="Z6" s="2">
        <v>3592.74</v>
      </c>
      <c r="AA6" s="2">
        <v>2089.94</v>
      </c>
      <c r="AB6" s="2">
        <v>1805.01</v>
      </c>
      <c r="AC6" s="2">
        <v>2280.2800000000002</v>
      </c>
      <c r="AD6" s="2">
        <v>1955.27</v>
      </c>
      <c r="AE6" s="2">
        <v>2819.95</v>
      </c>
      <c r="AF6" s="2">
        <v>1022</v>
      </c>
      <c r="AG6" s="2">
        <v>1158</v>
      </c>
      <c r="AH6" s="2">
        <v>937</v>
      </c>
      <c r="AI6" s="2">
        <v>692</v>
      </c>
      <c r="AJ6" s="2">
        <v>1400</v>
      </c>
      <c r="AK6" s="2">
        <v>497</v>
      </c>
      <c r="AL6" s="2">
        <v>171</v>
      </c>
      <c r="AM6" s="2">
        <v>342</v>
      </c>
      <c r="AN6" s="2">
        <v>116</v>
      </c>
      <c r="AO6" s="2">
        <v>177</v>
      </c>
      <c r="AP6" s="2">
        <v>217</v>
      </c>
      <c r="AQ6" s="2">
        <v>412</v>
      </c>
      <c r="AR6" s="2">
        <v>236</v>
      </c>
      <c r="AS6" s="2" t="s">
        <v>2481</v>
      </c>
      <c r="AT6" s="2" t="s">
        <v>2482</v>
      </c>
      <c r="AU6" s="2" t="s">
        <v>2483</v>
      </c>
      <c r="AV6" s="2" t="s">
        <v>2484</v>
      </c>
      <c r="AW6" s="2" t="s">
        <v>2485</v>
      </c>
      <c r="AX6" s="2" t="s">
        <v>2486</v>
      </c>
      <c r="AY6" s="2" t="s">
        <v>2487</v>
      </c>
      <c r="AZ6" s="2" t="s">
        <v>2488</v>
      </c>
    </row>
    <row r="7" spans="1:52" ht="14.4" x14ac:dyDescent="0.25">
      <c r="A7" s="2">
        <v>6</v>
      </c>
      <c r="B7" s="2" t="s">
        <v>2032</v>
      </c>
      <c r="C7" s="2" t="s">
        <v>1990</v>
      </c>
      <c r="D7" s="15" t="s">
        <v>2059</v>
      </c>
      <c r="E7" s="2" t="s">
        <v>2083</v>
      </c>
      <c r="F7" s="2"/>
      <c r="G7" s="2"/>
      <c r="H7" s="2" t="s">
        <v>2225</v>
      </c>
      <c r="I7" s="2" t="s">
        <v>2200</v>
      </c>
      <c r="J7" s="2" t="s">
        <v>2489</v>
      </c>
      <c r="K7" s="2" t="s">
        <v>2490</v>
      </c>
      <c r="L7" s="2" t="s">
        <v>2491</v>
      </c>
      <c r="M7" s="2" t="s">
        <v>2492</v>
      </c>
      <c r="N7" s="2" t="s">
        <v>2493</v>
      </c>
      <c r="O7" s="2" t="s">
        <v>2110</v>
      </c>
      <c r="P7" s="2" t="s">
        <v>2111</v>
      </c>
      <c r="Q7" s="2" t="s">
        <v>2494</v>
      </c>
      <c r="R7" s="2" t="s">
        <v>2495</v>
      </c>
      <c r="S7" s="2">
        <v>124.348</v>
      </c>
      <c r="T7" s="2">
        <v>106.66200000000001</v>
      </c>
      <c r="U7" s="2">
        <v>127.15900000000001</v>
      </c>
      <c r="V7" s="2">
        <v>109.52800000000001</v>
      </c>
      <c r="W7" s="2">
        <v>115.971</v>
      </c>
      <c r="X7" s="2">
        <v>2596.5</v>
      </c>
      <c r="Y7" s="2">
        <v>1976.98</v>
      </c>
      <c r="Z7" s="2">
        <v>2683.99</v>
      </c>
      <c r="AA7" s="2">
        <v>2983.81</v>
      </c>
      <c r="AB7" s="2">
        <v>3394.03</v>
      </c>
      <c r="AC7" s="2">
        <v>4665.72</v>
      </c>
      <c r="AD7" s="2">
        <v>4015.88</v>
      </c>
      <c r="AE7" s="2">
        <v>6044.19</v>
      </c>
      <c r="AF7" s="2">
        <v>1792</v>
      </c>
      <c r="AG7" s="2">
        <v>3162</v>
      </c>
      <c r="AH7" s="2">
        <v>1306</v>
      </c>
      <c r="AI7" s="2">
        <v>399</v>
      </c>
      <c r="AJ7" s="2">
        <v>312</v>
      </c>
      <c r="AK7" s="2">
        <v>646</v>
      </c>
      <c r="AL7" s="2">
        <v>471</v>
      </c>
      <c r="AM7" s="2">
        <v>337</v>
      </c>
      <c r="AN7" s="2">
        <v>221</v>
      </c>
      <c r="AO7" s="2">
        <v>242</v>
      </c>
      <c r="AP7" s="2">
        <v>370</v>
      </c>
      <c r="AQ7" s="2">
        <v>644</v>
      </c>
      <c r="AR7" s="2">
        <v>543</v>
      </c>
      <c r="AS7" s="2" t="s">
        <v>2496</v>
      </c>
      <c r="AT7" s="2" t="s">
        <v>2497</v>
      </c>
      <c r="AU7" s="2" t="s">
        <v>2498</v>
      </c>
      <c r="AV7" s="2" t="s">
        <v>2499</v>
      </c>
      <c r="AW7" s="2" t="s">
        <v>2500</v>
      </c>
      <c r="AX7" s="2" t="s">
        <v>2501</v>
      </c>
      <c r="AY7" s="2" t="s">
        <v>2502</v>
      </c>
      <c r="AZ7" s="2" t="s">
        <v>2503</v>
      </c>
    </row>
    <row r="8" spans="1:52" x14ac:dyDescent="0.25">
      <c r="A8" s="2">
        <v>7</v>
      </c>
      <c r="B8" s="2" t="s">
        <v>2276</v>
      </c>
      <c r="C8" s="2" t="s">
        <v>2417</v>
      </c>
      <c r="D8" s="12" t="s">
        <v>2277</v>
      </c>
      <c r="E8" s="1" t="s">
        <v>2278</v>
      </c>
      <c r="F8" s="1"/>
      <c r="G8" s="1"/>
      <c r="H8" s="2" t="s">
        <v>2279</v>
      </c>
      <c r="I8" s="2" t="s">
        <v>2280</v>
      </c>
      <c r="J8" s="2" t="s">
        <v>2504</v>
      </c>
      <c r="K8" s="2" t="s">
        <v>2505</v>
      </c>
      <c r="L8" s="2" t="s">
        <v>2506</v>
      </c>
      <c r="M8" s="2" t="s">
        <v>2507</v>
      </c>
      <c r="N8" s="2" t="s">
        <v>2508</v>
      </c>
      <c r="O8" s="2"/>
      <c r="P8" s="2"/>
      <c r="Q8" s="2"/>
      <c r="R8" s="2"/>
      <c r="S8" s="2">
        <v>234.36199999999999</v>
      </c>
      <c r="T8" s="2">
        <v>263.12299999999999</v>
      </c>
      <c r="U8" s="2">
        <v>242.733</v>
      </c>
      <c r="V8" s="2">
        <v>297.11500000000001</v>
      </c>
      <c r="W8" s="2">
        <v>264.63400000000001</v>
      </c>
      <c r="X8" s="2"/>
      <c r="Y8" s="2"/>
      <c r="Z8" s="2"/>
      <c r="AA8" s="2"/>
      <c r="AB8" s="2"/>
      <c r="AC8" s="2"/>
      <c r="AD8" s="2"/>
      <c r="AE8" s="2"/>
      <c r="AF8" s="2">
        <v>2</v>
      </c>
      <c r="AG8" s="2">
        <v>2</v>
      </c>
      <c r="AH8" s="2">
        <v>1</v>
      </c>
      <c r="AI8" s="2">
        <v>1.4</v>
      </c>
      <c r="AJ8" s="2">
        <v>1.8</v>
      </c>
      <c r="AK8" s="2" t="s">
        <v>1905</v>
      </c>
      <c r="AL8" s="2">
        <v>1.4</v>
      </c>
      <c r="AM8" s="2" t="s">
        <v>1905</v>
      </c>
      <c r="AN8" s="2">
        <v>1.3</v>
      </c>
      <c r="AO8" s="2" t="s">
        <v>1905</v>
      </c>
      <c r="AP8" s="2">
        <v>1.8</v>
      </c>
      <c r="AQ8" s="2">
        <v>2.8</v>
      </c>
      <c r="AR8" s="2">
        <v>1.6</v>
      </c>
      <c r="AS8" s="2"/>
      <c r="AT8" s="2"/>
      <c r="AU8" s="2"/>
      <c r="AV8" s="2"/>
      <c r="AW8" s="2"/>
      <c r="AX8" s="2"/>
      <c r="AY8" s="2"/>
      <c r="AZ8" s="2"/>
    </row>
    <row r="9" spans="1:52" x14ac:dyDescent="0.25">
      <c r="A9" s="2">
        <v>8</v>
      </c>
      <c r="B9" s="2" t="s">
        <v>2300</v>
      </c>
      <c r="C9" s="2" t="s">
        <v>2418</v>
      </c>
      <c r="D9" s="12" t="s">
        <v>2317</v>
      </c>
      <c r="E9" s="2" t="s">
        <v>2301</v>
      </c>
      <c r="F9" s="2"/>
      <c r="G9" s="2"/>
      <c r="H9" s="2"/>
      <c r="I9" s="2"/>
      <c r="J9" s="2" t="s">
        <v>2509</v>
      </c>
      <c r="K9" s="2" t="s">
        <v>2510</v>
      </c>
      <c r="L9" s="2" t="s">
        <v>2511</v>
      </c>
      <c r="M9" s="2" t="s">
        <v>2512</v>
      </c>
      <c r="N9" s="2" t="s">
        <v>2513</v>
      </c>
      <c r="O9" s="2"/>
      <c r="P9" s="2"/>
      <c r="Q9" s="2" t="s">
        <v>2514</v>
      </c>
      <c r="R9" s="2" t="s">
        <v>2515</v>
      </c>
      <c r="S9" s="2">
        <v>14.837999999999999</v>
      </c>
      <c r="T9" s="2">
        <v>13.250999999999999</v>
      </c>
      <c r="U9" s="2">
        <v>10.544</v>
      </c>
      <c r="V9" s="2">
        <v>11.834</v>
      </c>
      <c r="W9" s="2">
        <v>12.452</v>
      </c>
      <c r="X9" s="2">
        <v>5.93</v>
      </c>
      <c r="Y9" s="2">
        <v>7.17</v>
      </c>
      <c r="Z9" s="2">
        <v>10.1</v>
      </c>
      <c r="AA9" s="2">
        <v>6.75</v>
      </c>
      <c r="AB9" s="2">
        <v>8.2799999999999994</v>
      </c>
      <c r="AC9" s="2">
        <v>7.42</v>
      </c>
      <c r="AD9" s="2">
        <v>9.76</v>
      </c>
      <c r="AE9" s="2">
        <v>5.73</v>
      </c>
      <c r="AF9" s="2">
        <v>15</v>
      </c>
      <c r="AG9" s="2">
        <v>14</v>
      </c>
      <c r="AH9" s="2">
        <v>13</v>
      </c>
      <c r="AI9" s="2"/>
      <c r="AJ9" s="2"/>
      <c r="AK9" s="2"/>
      <c r="AL9" s="2"/>
      <c r="AM9" s="2"/>
      <c r="AN9" s="2"/>
      <c r="AO9" s="2"/>
      <c r="AP9" s="2"/>
      <c r="AQ9" s="2"/>
      <c r="AR9" s="2"/>
      <c r="AS9" s="2" t="s">
        <v>2516</v>
      </c>
      <c r="AT9" s="2" t="s">
        <v>2517</v>
      </c>
      <c r="AU9" s="2" t="s">
        <v>2518</v>
      </c>
      <c r="AV9" s="2" t="s">
        <v>2519</v>
      </c>
      <c r="AW9" s="2" t="s">
        <v>2520</v>
      </c>
      <c r="AX9" s="2" t="s">
        <v>2521</v>
      </c>
      <c r="AY9" s="2" t="s">
        <v>2522</v>
      </c>
      <c r="AZ9" s="2" t="s">
        <v>2523</v>
      </c>
    </row>
    <row r="10" spans="1:52" x14ac:dyDescent="0.25">
      <c r="A10" s="2">
        <v>9</v>
      </c>
      <c r="B10" s="2" t="s">
        <v>2040</v>
      </c>
      <c r="C10" s="2" t="s">
        <v>2419</v>
      </c>
      <c r="D10" s="12" t="s">
        <v>2066</v>
      </c>
      <c r="E10" s="2" t="s">
        <v>2091</v>
      </c>
      <c r="F10" s="2"/>
      <c r="G10" s="2"/>
      <c r="H10" s="2"/>
      <c r="I10" s="2"/>
      <c r="J10" s="2" t="s">
        <v>2524</v>
      </c>
      <c r="K10" s="2" t="s">
        <v>2525</v>
      </c>
      <c r="L10" s="2" t="s">
        <v>2526</v>
      </c>
      <c r="M10" s="2" t="s">
        <v>2527</v>
      </c>
      <c r="N10" s="2" t="s">
        <v>2528</v>
      </c>
      <c r="O10" s="2" t="s">
        <v>2126</v>
      </c>
      <c r="P10" s="2" t="s">
        <v>2127</v>
      </c>
      <c r="Q10" s="2"/>
      <c r="R10" s="2"/>
      <c r="S10" s="2">
        <v>3.9249999999999998</v>
      </c>
      <c r="T10" s="2">
        <v>3.43</v>
      </c>
      <c r="U10" s="2">
        <v>3.3530000000000002</v>
      </c>
      <c r="V10" s="2">
        <v>3.2879999999999998</v>
      </c>
      <c r="W10" s="2">
        <v>3.6459999999999999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5">
      <c r="A11" s="2">
        <v>10</v>
      </c>
      <c r="B11" s="2" t="s">
        <v>2313</v>
      </c>
      <c r="C11" s="2" t="s">
        <v>2420</v>
      </c>
      <c r="D11" s="15" t="s">
        <v>2316</v>
      </c>
      <c r="E11" s="1" t="s">
        <v>2302</v>
      </c>
      <c r="F11" s="1"/>
      <c r="G11" s="1"/>
      <c r="H11" s="2" t="s">
        <v>2529</v>
      </c>
      <c r="I11" s="2" t="s">
        <v>2530</v>
      </c>
      <c r="J11" s="2" t="s">
        <v>2531</v>
      </c>
      <c r="K11" s="2" t="s">
        <v>2532</v>
      </c>
      <c r="L11" s="2" t="s">
        <v>2533</v>
      </c>
      <c r="M11" s="2" t="s">
        <v>2534</v>
      </c>
      <c r="N11" s="2" t="s">
        <v>2535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>
        <v>2</v>
      </c>
      <c r="AG11" s="2">
        <v>3</v>
      </c>
      <c r="AH11" s="2">
        <v>1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 t="s">
        <v>2536</v>
      </c>
      <c r="AT11" s="2" t="s">
        <v>2537</v>
      </c>
      <c r="AU11" s="2" t="s">
        <v>2538</v>
      </c>
      <c r="AV11" s="2" t="s">
        <v>2539</v>
      </c>
      <c r="AW11" s="2" t="s">
        <v>2540</v>
      </c>
      <c r="AX11" s="2" t="s">
        <v>2541</v>
      </c>
      <c r="AY11" s="2" t="s">
        <v>2542</v>
      </c>
      <c r="AZ11" s="2" t="s">
        <v>2543</v>
      </c>
    </row>
    <row r="12" spans="1:52" x14ac:dyDescent="0.25">
      <c r="A12" s="2">
        <v>11</v>
      </c>
      <c r="B12" s="2" t="s">
        <v>2035</v>
      </c>
      <c r="C12" s="2" t="s">
        <v>1992</v>
      </c>
      <c r="D12" s="15" t="s">
        <v>2061</v>
      </c>
      <c r="E12" s="1" t="s">
        <v>2086</v>
      </c>
      <c r="F12" s="1"/>
      <c r="G12" s="1"/>
      <c r="H12" s="2"/>
      <c r="I12" s="2"/>
      <c r="J12" s="2" t="s">
        <v>145</v>
      </c>
      <c r="K12" s="2" t="s">
        <v>2532</v>
      </c>
      <c r="L12" s="2" t="s">
        <v>147</v>
      </c>
      <c r="M12" s="2" t="s">
        <v>2534</v>
      </c>
      <c r="N12" s="2" t="s">
        <v>149</v>
      </c>
      <c r="O12" s="2" t="s">
        <v>2116</v>
      </c>
      <c r="P12" s="2" t="s">
        <v>2117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5">
      <c r="A13" s="2">
        <v>12</v>
      </c>
      <c r="B13" s="2" t="s">
        <v>2314</v>
      </c>
      <c r="C13" s="2" t="s">
        <v>2303</v>
      </c>
      <c r="D13" s="16" t="s">
        <v>2381</v>
      </c>
      <c r="E13" s="1" t="s">
        <v>2093</v>
      </c>
      <c r="F13" s="1"/>
      <c r="G13" s="1"/>
      <c r="H13" s="2"/>
      <c r="I13" s="2"/>
      <c r="J13" s="2" t="s">
        <v>2544</v>
      </c>
      <c r="K13" s="2" t="s">
        <v>2545</v>
      </c>
      <c r="L13" s="2" t="s">
        <v>2546</v>
      </c>
      <c r="M13" s="2" t="s">
        <v>2547</v>
      </c>
      <c r="N13" s="2" t="s">
        <v>2548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>
        <v>3</v>
      </c>
      <c r="AG13" s="2">
        <v>5</v>
      </c>
      <c r="AH13" s="2">
        <v>1</v>
      </c>
      <c r="AI13" s="2">
        <v>4.7</v>
      </c>
      <c r="AJ13" s="2">
        <v>5.2</v>
      </c>
      <c r="AK13" s="2">
        <v>1.5</v>
      </c>
      <c r="AL13" s="2" t="s">
        <v>1905</v>
      </c>
      <c r="AM13" s="2">
        <v>1.2</v>
      </c>
      <c r="AN13" s="2" t="s">
        <v>1905</v>
      </c>
      <c r="AO13" s="2" t="s">
        <v>1905</v>
      </c>
      <c r="AP13" s="2">
        <v>3.3</v>
      </c>
      <c r="AQ13" s="2">
        <v>3.5</v>
      </c>
      <c r="AR13" s="2">
        <v>3.6</v>
      </c>
      <c r="AS13" s="2" t="s">
        <v>2549</v>
      </c>
      <c r="AT13" s="2" t="s">
        <v>2550</v>
      </c>
      <c r="AU13" s="2" t="s">
        <v>2551</v>
      </c>
      <c r="AV13" s="2" t="s">
        <v>2552</v>
      </c>
      <c r="AW13" s="2" t="s">
        <v>2553</v>
      </c>
      <c r="AX13" s="2" t="s">
        <v>2554</v>
      </c>
      <c r="AY13" s="2" t="s">
        <v>2555</v>
      </c>
      <c r="AZ13" s="2" t="s">
        <v>2543</v>
      </c>
    </row>
    <row r="14" spans="1:52" ht="14.4" x14ac:dyDescent="0.25">
      <c r="A14" s="2">
        <v>13</v>
      </c>
      <c r="B14" s="2" t="s">
        <v>2044</v>
      </c>
      <c r="C14" s="2" t="s">
        <v>2001</v>
      </c>
      <c r="D14" s="15" t="s">
        <v>2070</v>
      </c>
      <c r="E14" s="2" t="s">
        <v>2095</v>
      </c>
      <c r="F14" s="2"/>
      <c r="G14" s="2"/>
      <c r="H14" s="2"/>
      <c r="I14" s="2"/>
      <c r="J14" s="2" t="s">
        <v>2556</v>
      </c>
      <c r="K14" s="2" t="s">
        <v>2557</v>
      </c>
      <c r="L14" s="2" t="s">
        <v>2558</v>
      </c>
      <c r="M14" s="2" t="s">
        <v>2559</v>
      </c>
      <c r="N14" s="2" t="s">
        <v>2560</v>
      </c>
      <c r="O14" s="2" t="s">
        <v>2136</v>
      </c>
      <c r="P14" s="2" t="s">
        <v>2137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4.4" x14ac:dyDescent="0.25">
      <c r="A15" s="2">
        <v>14</v>
      </c>
      <c r="B15" s="2" t="s">
        <v>2219</v>
      </c>
      <c r="C15" s="2" t="s">
        <v>2421</v>
      </c>
      <c r="D15" s="15" t="s">
        <v>2220</v>
      </c>
      <c r="E15" s="2" t="s">
        <v>2221</v>
      </c>
      <c r="F15" s="2"/>
      <c r="G15" s="2"/>
      <c r="H15" s="2" t="s">
        <v>2222</v>
      </c>
      <c r="I15" s="2"/>
      <c r="J15" s="2" t="s">
        <v>2561</v>
      </c>
      <c r="K15" s="2" t="s">
        <v>2562</v>
      </c>
      <c r="L15" s="2" t="s">
        <v>2563</v>
      </c>
      <c r="M15" s="2" t="s">
        <v>2564</v>
      </c>
      <c r="N15" s="2" t="s">
        <v>2565</v>
      </c>
      <c r="O15" s="2"/>
      <c r="P15" s="2"/>
      <c r="Q15" s="2"/>
      <c r="R15" s="2"/>
      <c r="S15" s="2"/>
      <c r="T15" s="2"/>
      <c r="U15" s="2"/>
      <c r="V15" s="2"/>
      <c r="W15" s="2"/>
      <c r="X15" s="2">
        <v>6.01</v>
      </c>
      <c r="Y15" s="2">
        <v>2.2999999999999998</v>
      </c>
      <c r="Z15" s="2">
        <v>3.26</v>
      </c>
      <c r="AA15" s="2">
        <v>2.7</v>
      </c>
      <c r="AB15" s="2">
        <v>1.41</v>
      </c>
      <c r="AC15" s="2">
        <v>2.0099999999999998</v>
      </c>
      <c r="AD15" s="2">
        <v>1.99</v>
      </c>
      <c r="AE15" s="2">
        <v>6.07</v>
      </c>
      <c r="AF15" s="2">
        <v>5</v>
      </c>
      <c r="AG15" s="2">
        <v>6</v>
      </c>
      <c r="AH15" s="2">
        <v>3</v>
      </c>
      <c r="AI15" s="2">
        <v>17</v>
      </c>
      <c r="AJ15" s="2">
        <v>17</v>
      </c>
      <c r="AK15" s="2">
        <v>69</v>
      </c>
      <c r="AL15" s="2">
        <v>17</v>
      </c>
      <c r="AM15" s="2">
        <v>4</v>
      </c>
      <c r="AN15" s="2">
        <v>26</v>
      </c>
      <c r="AO15" s="2">
        <v>3.4</v>
      </c>
      <c r="AP15" s="2">
        <v>14</v>
      </c>
      <c r="AQ15" s="2">
        <v>16</v>
      </c>
      <c r="AR15" s="2">
        <v>6.2</v>
      </c>
      <c r="AS15" s="2" t="s">
        <v>2566</v>
      </c>
      <c r="AT15" s="2" t="s">
        <v>2567</v>
      </c>
      <c r="AU15" s="2" t="s">
        <v>2568</v>
      </c>
      <c r="AV15" s="2" t="s">
        <v>2569</v>
      </c>
      <c r="AW15" s="2" t="s">
        <v>2570</v>
      </c>
      <c r="AX15" s="2" t="s">
        <v>2571</v>
      </c>
      <c r="AY15" s="2" t="s">
        <v>2572</v>
      </c>
      <c r="AZ15" s="2" t="s">
        <v>2573</v>
      </c>
    </row>
    <row r="16" spans="1:52" x14ac:dyDescent="0.25">
      <c r="A16" s="2">
        <v>15</v>
      </c>
      <c r="B16" s="2" t="s">
        <v>2055</v>
      </c>
      <c r="C16" s="2" t="s">
        <v>2010</v>
      </c>
      <c r="D16" s="12" t="s">
        <v>2079</v>
      </c>
      <c r="E16" s="2" t="s">
        <v>2105</v>
      </c>
      <c r="F16" s="2"/>
      <c r="G16" s="2"/>
      <c r="H16" s="2"/>
      <c r="I16" s="2"/>
      <c r="J16" s="2" t="s">
        <v>2574</v>
      </c>
      <c r="K16" s="2" t="s">
        <v>2575</v>
      </c>
      <c r="L16" s="2" t="s">
        <v>2576</v>
      </c>
      <c r="M16" s="2" t="s">
        <v>2577</v>
      </c>
      <c r="N16" s="2" t="s">
        <v>2578</v>
      </c>
      <c r="O16" s="2" t="s">
        <v>2156</v>
      </c>
      <c r="P16" s="2" t="s">
        <v>2157</v>
      </c>
      <c r="Q16" s="2"/>
      <c r="R16" s="2"/>
      <c r="S16" s="2">
        <v>69.305000000000007</v>
      </c>
      <c r="T16" s="2">
        <v>32.877000000000002</v>
      </c>
      <c r="U16" s="2">
        <v>59.223999999999997</v>
      </c>
      <c r="V16" s="2">
        <v>67.343999999999994</v>
      </c>
      <c r="W16" s="2">
        <v>72.534000000000006</v>
      </c>
      <c r="X16" s="2"/>
      <c r="Y16" s="2"/>
      <c r="Z16" s="2"/>
      <c r="AA16" s="2"/>
      <c r="AB16" s="2"/>
      <c r="AC16" s="2"/>
      <c r="AD16" s="2"/>
      <c r="AE16" s="2"/>
      <c r="AF16" s="2">
        <v>2</v>
      </c>
      <c r="AG16" s="2">
        <v>3</v>
      </c>
      <c r="AH16" s="2">
        <v>2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5">
      <c r="A17" s="2">
        <v>16</v>
      </c>
      <c r="B17" s="2" t="s">
        <v>2054</v>
      </c>
      <c r="C17" s="2" t="s">
        <v>2009</v>
      </c>
      <c r="D17" s="12" t="s">
        <v>2078</v>
      </c>
      <c r="E17" s="1" t="s">
        <v>2104</v>
      </c>
      <c r="F17" s="1"/>
      <c r="G17" s="1"/>
      <c r="H17" s="2" t="s">
        <v>2297</v>
      </c>
      <c r="I17" s="2" t="s">
        <v>2298</v>
      </c>
      <c r="J17" s="2" t="s">
        <v>2579</v>
      </c>
      <c r="K17" s="2" t="s">
        <v>2580</v>
      </c>
      <c r="L17" s="2" t="s">
        <v>2581</v>
      </c>
      <c r="M17" s="2" t="s">
        <v>2582</v>
      </c>
      <c r="N17" s="2" t="s">
        <v>2583</v>
      </c>
      <c r="O17" s="2" t="s">
        <v>2154</v>
      </c>
      <c r="P17" s="2" t="s">
        <v>2155</v>
      </c>
      <c r="Q17" s="2"/>
      <c r="R17" s="2"/>
      <c r="S17" s="2">
        <v>9245</v>
      </c>
      <c r="T17" s="2">
        <v>11140</v>
      </c>
      <c r="U17" s="2">
        <v>10896</v>
      </c>
      <c r="V17" s="2">
        <v>11533</v>
      </c>
      <c r="W17" s="2">
        <v>11648</v>
      </c>
      <c r="X17" s="2">
        <v>10.69</v>
      </c>
      <c r="Y17" s="2">
        <v>7.88</v>
      </c>
      <c r="Z17" s="2">
        <v>4.53</v>
      </c>
      <c r="AA17" s="2">
        <v>3.94</v>
      </c>
      <c r="AB17" s="2">
        <v>4.3</v>
      </c>
      <c r="AC17" s="2">
        <v>4.29</v>
      </c>
      <c r="AD17" s="2">
        <v>4.8899999999999997</v>
      </c>
      <c r="AE17" s="2">
        <v>1.79</v>
      </c>
      <c r="AF17" s="2">
        <v>2</v>
      </c>
      <c r="AG17" s="2">
        <v>8</v>
      </c>
      <c r="AH17" s="2">
        <v>6</v>
      </c>
      <c r="AI17" s="2">
        <v>11</v>
      </c>
      <c r="AJ17" s="2">
        <v>11</v>
      </c>
      <c r="AK17" s="2">
        <v>16</v>
      </c>
      <c r="AL17" s="2" t="s">
        <v>1905</v>
      </c>
      <c r="AM17" s="2">
        <v>26</v>
      </c>
      <c r="AN17" s="2" t="s">
        <v>1905</v>
      </c>
      <c r="AO17" s="2">
        <v>10</v>
      </c>
      <c r="AP17" s="2">
        <v>4.9000000000000004</v>
      </c>
      <c r="AQ17" s="2">
        <v>47</v>
      </c>
      <c r="AR17" s="2" t="s">
        <v>1905</v>
      </c>
      <c r="AS17" s="2" t="s">
        <v>2584</v>
      </c>
      <c r="AT17" s="2" t="s">
        <v>2585</v>
      </c>
      <c r="AU17" s="2" t="s">
        <v>2586</v>
      </c>
      <c r="AV17" s="2" t="s">
        <v>2587</v>
      </c>
      <c r="AW17" s="2" t="s">
        <v>2588</v>
      </c>
      <c r="AX17" s="2" t="s">
        <v>1908</v>
      </c>
      <c r="AY17" s="2" t="s">
        <v>2589</v>
      </c>
      <c r="AZ17" s="2" t="s">
        <v>2590</v>
      </c>
    </row>
    <row r="18" spans="1:52" x14ac:dyDescent="0.25">
      <c r="A18" s="2">
        <v>17</v>
      </c>
      <c r="B18" s="2" t="s">
        <v>2053</v>
      </c>
      <c r="C18" s="2" t="s">
        <v>2008</v>
      </c>
      <c r="D18" s="15" t="s">
        <v>2077</v>
      </c>
      <c r="E18" s="2" t="s">
        <v>2103</v>
      </c>
      <c r="F18" s="1"/>
      <c r="G18" s="1"/>
      <c r="H18" s="2" t="s">
        <v>2281</v>
      </c>
      <c r="I18" s="2" t="s">
        <v>2282</v>
      </c>
      <c r="J18" s="2" t="s">
        <v>2304</v>
      </c>
      <c r="K18" s="2" t="s">
        <v>2591</v>
      </c>
      <c r="L18" s="2" t="s">
        <v>2592</v>
      </c>
      <c r="M18" s="2" t="s">
        <v>2593</v>
      </c>
      <c r="N18" s="2" t="s">
        <v>2594</v>
      </c>
      <c r="O18" s="2" t="s">
        <v>2152</v>
      </c>
      <c r="P18" s="2" t="s">
        <v>2153</v>
      </c>
      <c r="Q18" s="2"/>
      <c r="R18" s="2"/>
      <c r="S18" s="2">
        <v>9.9600000000000009</v>
      </c>
      <c r="T18" s="2">
        <v>10.420999999999999</v>
      </c>
      <c r="U18" s="2">
        <v>10.782999999999999</v>
      </c>
      <c r="V18" s="2">
        <v>11.475</v>
      </c>
      <c r="W18" s="2">
        <v>12.404999999999999</v>
      </c>
      <c r="X18" s="2">
        <v>1.38</v>
      </c>
      <c r="Y18" s="2" t="s">
        <v>1905</v>
      </c>
      <c r="Z18" s="2">
        <v>4.5599999999999996</v>
      </c>
      <c r="AA18" s="2">
        <v>6</v>
      </c>
      <c r="AB18" s="2">
        <v>5.27</v>
      </c>
      <c r="AC18" s="2">
        <v>4.67</v>
      </c>
      <c r="AD18" s="2">
        <v>5.82</v>
      </c>
      <c r="AE18" s="2">
        <v>1.45</v>
      </c>
      <c r="AF18" s="2">
        <v>1</v>
      </c>
      <c r="AG18" s="2">
        <v>5</v>
      </c>
      <c r="AH18" s="2">
        <v>4</v>
      </c>
      <c r="AI18" s="2">
        <v>12</v>
      </c>
      <c r="AJ18" s="2">
        <v>3.8</v>
      </c>
      <c r="AK18" s="2">
        <v>10</v>
      </c>
      <c r="AL18" s="2">
        <v>4.3</v>
      </c>
      <c r="AM18" s="2">
        <v>15</v>
      </c>
      <c r="AN18" s="2">
        <v>4.2</v>
      </c>
      <c r="AO18" s="2">
        <v>4.9000000000000004</v>
      </c>
      <c r="AP18" s="2">
        <v>1.1000000000000001</v>
      </c>
      <c r="AQ18" s="2">
        <v>36</v>
      </c>
      <c r="AR18" s="2">
        <v>6.1</v>
      </c>
      <c r="AS18" s="2" t="s">
        <v>2595</v>
      </c>
      <c r="AT18" s="2" t="s">
        <v>2596</v>
      </c>
      <c r="AU18" s="2" t="s">
        <v>2597</v>
      </c>
      <c r="AV18" s="2" t="s">
        <v>2598</v>
      </c>
      <c r="AW18" s="2" t="s">
        <v>2599</v>
      </c>
      <c r="AX18" s="2" t="s">
        <v>2600</v>
      </c>
      <c r="AY18" s="2" t="s">
        <v>2601</v>
      </c>
      <c r="AZ18" s="2" t="s">
        <v>2602</v>
      </c>
    </row>
    <row r="19" spans="1:52" ht="14.4" x14ac:dyDescent="0.25">
      <c r="A19" s="2">
        <v>18</v>
      </c>
      <c r="B19" s="2" t="s">
        <v>2042</v>
      </c>
      <c r="C19" s="2" t="s">
        <v>1999</v>
      </c>
      <c r="D19" s="15" t="s">
        <v>2068</v>
      </c>
      <c r="E19" s="2" t="s">
        <v>2093</v>
      </c>
      <c r="F19" s="2"/>
      <c r="G19" s="2"/>
      <c r="H19" s="2"/>
      <c r="I19" s="2"/>
      <c r="J19" s="2" t="s">
        <v>152</v>
      </c>
      <c r="K19" s="2" t="s">
        <v>2603</v>
      </c>
      <c r="L19" s="2" t="s">
        <v>152</v>
      </c>
      <c r="M19" s="2" t="s">
        <v>2604</v>
      </c>
      <c r="N19" s="2" t="s">
        <v>152</v>
      </c>
      <c r="O19" s="2" t="s">
        <v>2132</v>
      </c>
      <c r="P19" s="2" t="s">
        <v>2133</v>
      </c>
      <c r="Q19" s="2" t="s">
        <v>2605</v>
      </c>
      <c r="R19" s="2" t="s">
        <v>902</v>
      </c>
      <c r="S19" s="2">
        <v>5.3220000000000001</v>
      </c>
      <c r="T19" s="2">
        <v>5.0839999999999996</v>
      </c>
      <c r="U19" s="2">
        <v>6.516</v>
      </c>
      <c r="V19" s="2">
        <v>5.4880000000000004</v>
      </c>
      <c r="W19" s="2">
        <v>6.41</v>
      </c>
      <c r="X19" s="2"/>
      <c r="Y19" s="2"/>
      <c r="Z19" s="2"/>
      <c r="AA19" s="2"/>
      <c r="AB19" s="2"/>
      <c r="AC19" s="2"/>
      <c r="AD19" s="2"/>
      <c r="AE19" s="2"/>
      <c r="AF19" s="2">
        <v>17</v>
      </c>
      <c r="AG19" s="2">
        <v>48</v>
      </c>
      <c r="AH19" s="2">
        <v>41</v>
      </c>
      <c r="AI19" s="2">
        <v>41</v>
      </c>
      <c r="AJ19" s="2">
        <v>19</v>
      </c>
      <c r="AK19" s="2">
        <v>13</v>
      </c>
      <c r="AL19" s="2">
        <v>10</v>
      </c>
      <c r="AM19" s="2">
        <v>18</v>
      </c>
      <c r="AN19" s="2">
        <v>16</v>
      </c>
      <c r="AO19" s="2">
        <v>5</v>
      </c>
      <c r="AP19" s="2">
        <v>2.8</v>
      </c>
      <c r="AQ19" s="2">
        <v>15</v>
      </c>
      <c r="AR19" s="2">
        <v>21</v>
      </c>
      <c r="AS19" s="2"/>
      <c r="AT19" s="2"/>
      <c r="AU19" s="2"/>
      <c r="AV19" s="2"/>
      <c r="AW19" s="2"/>
      <c r="AX19" s="2"/>
      <c r="AY19" s="2"/>
      <c r="AZ19" s="2"/>
    </row>
    <row r="20" spans="1:52" ht="13.8" x14ac:dyDescent="0.25">
      <c r="A20" s="2">
        <v>19</v>
      </c>
      <c r="B20" s="2" t="s">
        <v>2398</v>
      </c>
      <c r="C20" s="2" t="s">
        <v>2399</v>
      </c>
      <c r="D20" s="17" t="s">
        <v>2318</v>
      </c>
      <c r="E20" s="14" t="s">
        <v>2319</v>
      </c>
      <c r="H20" s="2"/>
      <c r="I20" s="2"/>
      <c r="J20" s="2" t="s">
        <v>2606</v>
      </c>
      <c r="K20" s="2" t="s">
        <v>2607</v>
      </c>
      <c r="L20" s="2" t="s">
        <v>2608</v>
      </c>
      <c r="M20" s="2" t="s">
        <v>2609</v>
      </c>
      <c r="N20" s="2" t="s">
        <v>2610</v>
      </c>
      <c r="O20" s="2"/>
      <c r="P20" s="2"/>
      <c r="Q20" s="2" t="s">
        <v>2611</v>
      </c>
      <c r="R20" s="2" t="s">
        <v>2612</v>
      </c>
      <c r="S20" s="2">
        <v>98.682000000000002</v>
      </c>
      <c r="T20" s="2">
        <v>99.126000000000005</v>
      </c>
      <c r="U20" s="2">
        <v>114.452</v>
      </c>
      <c r="V20" s="2">
        <v>106.419</v>
      </c>
      <c r="W20" s="2">
        <v>115.44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 t="s">
        <v>1905</v>
      </c>
      <c r="AJ20" s="2">
        <v>1.2</v>
      </c>
      <c r="AK20" s="2" t="s">
        <v>1905</v>
      </c>
      <c r="AL20" s="2">
        <v>1</v>
      </c>
      <c r="AM20" s="2" t="s">
        <v>1905</v>
      </c>
      <c r="AN20" s="2" t="s">
        <v>1905</v>
      </c>
      <c r="AO20" s="2" t="s">
        <v>1905</v>
      </c>
      <c r="AP20" s="2" t="s">
        <v>1905</v>
      </c>
      <c r="AQ20" s="2" t="s">
        <v>1905</v>
      </c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3.8" x14ac:dyDescent="0.25">
      <c r="A21" s="2">
        <v>20</v>
      </c>
      <c r="B21" s="2" t="s">
        <v>2400</v>
      </c>
      <c r="C21" s="2" t="s">
        <v>2422</v>
      </c>
      <c r="D21" s="18" t="s">
        <v>2362</v>
      </c>
      <c r="E21" s="14" t="s">
        <v>2363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>
        <v>25.69</v>
      </c>
      <c r="Y21" s="2">
        <v>16.82</v>
      </c>
      <c r="Z21" s="2">
        <v>8.59</v>
      </c>
      <c r="AA21" s="2">
        <v>8.1300000000000008</v>
      </c>
      <c r="AB21" s="2">
        <v>9.27</v>
      </c>
      <c r="AC21" s="2">
        <v>15.56</v>
      </c>
      <c r="AD21" s="2">
        <v>8.5299999999999994</v>
      </c>
      <c r="AE21" s="2">
        <v>24.58</v>
      </c>
      <c r="AF21" s="2"/>
      <c r="AG21" s="2"/>
      <c r="AH21" s="2"/>
      <c r="AI21" s="2" t="s">
        <v>1905</v>
      </c>
      <c r="AJ21" s="2">
        <v>1.9</v>
      </c>
      <c r="AK21" s="2" t="s">
        <v>1905</v>
      </c>
      <c r="AL21" s="2">
        <v>1.5</v>
      </c>
      <c r="AM21" s="2" t="s">
        <v>1905</v>
      </c>
      <c r="AN21" s="2">
        <v>2.4</v>
      </c>
      <c r="AO21" s="2" t="s">
        <v>1905</v>
      </c>
      <c r="AP21" s="2">
        <v>3.2</v>
      </c>
      <c r="AQ21" s="2" t="s">
        <v>1905</v>
      </c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5">
      <c r="A22" s="2">
        <v>21</v>
      </c>
      <c r="B22" s="2"/>
      <c r="C22" s="2"/>
      <c r="D22" s="12"/>
      <c r="E22" s="1"/>
      <c r="F22" s="1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5">
      <c r="A23" s="2">
        <v>22</v>
      </c>
      <c r="B23" s="2" t="s">
        <v>2043</v>
      </c>
      <c r="C23" s="2" t="s">
        <v>2000</v>
      </c>
      <c r="D23" s="12" t="s">
        <v>2069</v>
      </c>
      <c r="E23" s="1" t="s">
        <v>2094</v>
      </c>
      <c r="F23" s="1"/>
      <c r="G23" s="1"/>
      <c r="H23" s="2" t="s">
        <v>2236</v>
      </c>
      <c r="I23" s="2" t="s">
        <v>2237</v>
      </c>
      <c r="J23" s="2" t="s">
        <v>2613</v>
      </c>
      <c r="K23" s="2" t="s">
        <v>2614</v>
      </c>
      <c r="L23" s="2" t="s">
        <v>2615</v>
      </c>
      <c r="M23" s="2" t="s">
        <v>2616</v>
      </c>
      <c r="N23" s="2" t="s">
        <v>2617</v>
      </c>
      <c r="O23" s="2" t="s">
        <v>2134</v>
      </c>
      <c r="P23" s="2" t="s">
        <v>2135</v>
      </c>
      <c r="Q23" s="2" t="s">
        <v>2618</v>
      </c>
      <c r="R23" s="2" t="s">
        <v>2619</v>
      </c>
      <c r="S23" s="2"/>
      <c r="T23" s="2"/>
      <c r="U23" s="2"/>
      <c r="V23" s="2"/>
      <c r="W23" s="2"/>
      <c r="X23" s="2">
        <v>61.16</v>
      </c>
      <c r="Y23" s="2">
        <v>58.73</v>
      </c>
      <c r="Z23" s="2">
        <v>50.1</v>
      </c>
      <c r="AA23" s="2">
        <v>55.16</v>
      </c>
      <c r="AB23" s="2">
        <v>53.12</v>
      </c>
      <c r="AC23" s="2">
        <v>37.93</v>
      </c>
      <c r="AD23" s="2">
        <v>42.16</v>
      </c>
      <c r="AE23" s="2">
        <v>14.66</v>
      </c>
      <c r="AF23" s="2">
        <v>74</v>
      </c>
      <c r="AG23" s="2">
        <v>58</v>
      </c>
      <c r="AH23" s="2">
        <v>45</v>
      </c>
      <c r="AI23" s="2">
        <v>40</v>
      </c>
      <c r="AJ23" s="2">
        <v>17</v>
      </c>
      <c r="AK23" s="2">
        <v>35</v>
      </c>
      <c r="AL23" s="2">
        <v>47</v>
      </c>
      <c r="AM23" s="2">
        <v>50</v>
      </c>
      <c r="AN23" s="2">
        <v>49</v>
      </c>
      <c r="AO23" s="2">
        <v>29</v>
      </c>
      <c r="AP23" s="2">
        <v>3.7</v>
      </c>
      <c r="AQ23" s="2">
        <v>64</v>
      </c>
      <c r="AR23" s="2">
        <v>11</v>
      </c>
      <c r="AS23" s="2" t="s">
        <v>2620</v>
      </c>
      <c r="AT23" s="2" t="s">
        <v>2621</v>
      </c>
      <c r="AU23" s="2" t="s">
        <v>2622</v>
      </c>
      <c r="AV23" s="2" t="s">
        <v>2623</v>
      </c>
      <c r="AW23" s="2" t="s">
        <v>2624</v>
      </c>
      <c r="AX23" s="2" t="s">
        <v>2625</v>
      </c>
      <c r="AY23" s="2" t="s">
        <v>2626</v>
      </c>
      <c r="AZ23" s="2" t="s">
        <v>2627</v>
      </c>
    </row>
    <row r="24" spans="1:52" ht="14.4" x14ac:dyDescent="0.25">
      <c r="A24" s="2">
        <v>23</v>
      </c>
      <c r="B24" s="2" t="s">
        <v>2048</v>
      </c>
      <c r="C24" s="2" t="s">
        <v>2004</v>
      </c>
      <c r="D24" s="15" t="s">
        <v>2073</v>
      </c>
      <c r="E24" s="2" t="s">
        <v>2098</v>
      </c>
      <c r="F24" s="2"/>
      <c r="G24" s="2"/>
      <c r="H24" s="2" t="s">
        <v>2238</v>
      </c>
      <c r="I24" s="2" t="s">
        <v>2239</v>
      </c>
      <c r="J24" s="2" t="s">
        <v>2628</v>
      </c>
      <c r="K24" s="2" t="s">
        <v>2629</v>
      </c>
      <c r="L24" s="2" t="s">
        <v>2630</v>
      </c>
      <c r="M24" s="2" t="s">
        <v>2631</v>
      </c>
      <c r="N24" s="2" t="s">
        <v>2632</v>
      </c>
      <c r="O24" s="2" t="s">
        <v>2142</v>
      </c>
      <c r="P24" s="2" t="s">
        <v>2143</v>
      </c>
      <c r="Q24" s="2" t="s">
        <v>2633</v>
      </c>
      <c r="R24" s="2" t="s">
        <v>2634</v>
      </c>
      <c r="S24" s="2"/>
      <c r="T24" s="2"/>
      <c r="U24" s="2"/>
      <c r="V24" s="2"/>
      <c r="W24" s="2"/>
      <c r="X24" s="2">
        <v>11.67</v>
      </c>
      <c r="Y24" s="2">
        <v>4.3499999999999996</v>
      </c>
      <c r="Z24" s="2">
        <v>6.85</v>
      </c>
      <c r="AA24" s="2">
        <v>9.08</v>
      </c>
      <c r="AB24" s="2">
        <v>10.38</v>
      </c>
      <c r="AC24" s="2">
        <v>8.27</v>
      </c>
      <c r="AD24" s="2">
        <v>9.75</v>
      </c>
      <c r="AE24" s="2">
        <v>11.58</v>
      </c>
      <c r="AF24" s="2">
        <v>9</v>
      </c>
      <c r="AG24" s="2">
        <v>14</v>
      </c>
      <c r="AH24" s="2">
        <v>15</v>
      </c>
      <c r="AI24" s="2">
        <v>4</v>
      </c>
      <c r="AJ24" s="2">
        <v>9.5</v>
      </c>
      <c r="AK24" s="2">
        <v>9.6</v>
      </c>
      <c r="AL24" s="2">
        <v>9.1</v>
      </c>
      <c r="AM24" s="2">
        <v>9.9</v>
      </c>
      <c r="AN24" s="2">
        <v>9.5</v>
      </c>
      <c r="AO24" s="2">
        <v>9.9</v>
      </c>
      <c r="AP24" s="2">
        <v>8.1999999999999993</v>
      </c>
      <c r="AQ24" s="2">
        <v>17</v>
      </c>
      <c r="AR24" s="2">
        <v>10</v>
      </c>
      <c r="AS24" s="2" t="s">
        <v>2635</v>
      </c>
      <c r="AT24" s="2" t="s">
        <v>2636</v>
      </c>
      <c r="AU24" s="2" t="s">
        <v>2637</v>
      </c>
      <c r="AV24" s="2" t="s">
        <v>2638</v>
      </c>
      <c r="AW24" s="2" t="s">
        <v>2639</v>
      </c>
      <c r="AX24" s="2" t="s">
        <v>1903</v>
      </c>
      <c r="AY24" s="2" t="s">
        <v>2640</v>
      </c>
      <c r="AZ24" s="2" t="s">
        <v>2641</v>
      </c>
    </row>
    <row r="25" spans="1:52" ht="14.4" x14ac:dyDescent="0.25">
      <c r="A25" s="2">
        <v>24</v>
      </c>
      <c r="B25" s="2" t="s">
        <v>2049</v>
      </c>
      <c r="C25" s="2" t="s">
        <v>2005</v>
      </c>
      <c r="D25" s="15" t="s">
        <v>2074</v>
      </c>
      <c r="E25" s="2" t="s">
        <v>2099</v>
      </c>
      <c r="F25" s="2"/>
      <c r="G25" s="2"/>
      <c r="H25" s="2"/>
      <c r="I25" s="2"/>
      <c r="J25" s="2" t="s">
        <v>2642</v>
      </c>
      <c r="K25" s="2" t="s">
        <v>2643</v>
      </c>
      <c r="L25" s="2" t="s">
        <v>2644</v>
      </c>
      <c r="M25" s="2" t="s">
        <v>2645</v>
      </c>
      <c r="N25" s="2" t="s">
        <v>2646</v>
      </c>
      <c r="O25" s="2" t="s">
        <v>2144</v>
      </c>
      <c r="P25" s="2" t="s">
        <v>2145</v>
      </c>
      <c r="Q25" s="2"/>
      <c r="R25" s="2"/>
      <c r="S25" s="2"/>
      <c r="T25" s="2"/>
      <c r="U25" s="2"/>
      <c r="V25" s="2"/>
      <c r="W25" s="2"/>
      <c r="X25" s="2">
        <v>1.31</v>
      </c>
      <c r="Y25" s="2">
        <v>2.36</v>
      </c>
      <c r="Z25" s="2">
        <v>1.82</v>
      </c>
      <c r="AA25" s="2">
        <v>1.28</v>
      </c>
      <c r="AB25" s="2">
        <v>1.27</v>
      </c>
      <c r="AC25" s="2">
        <v>2.27</v>
      </c>
      <c r="AD25" s="2">
        <v>2.0299999999999998</v>
      </c>
      <c r="AE25" s="2">
        <v>1.39</v>
      </c>
      <c r="AF25" s="2">
        <v>1</v>
      </c>
      <c r="AG25" s="2">
        <v>2</v>
      </c>
      <c r="AH25" s="2">
        <v>1</v>
      </c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 t="s">
        <v>2647</v>
      </c>
      <c r="AT25" s="2" t="s">
        <v>2648</v>
      </c>
      <c r="AU25" s="2" t="s">
        <v>2649</v>
      </c>
      <c r="AV25" s="2" t="s">
        <v>2650</v>
      </c>
      <c r="AW25" s="2" t="s">
        <v>2651</v>
      </c>
      <c r="AX25" s="2" t="s">
        <v>1902</v>
      </c>
      <c r="AY25" s="2" t="s">
        <v>2652</v>
      </c>
      <c r="AZ25" s="2" t="s">
        <v>2653</v>
      </c>
    </row>
    <row r="26" spans="1:52" ht="14.4" x14ac:dyDescent="0.25">
      <c r="A26" s="2">
        <v>25</v>
      </c>
      <c r="B26" s="2" t="s">
        <v>2034</v>
      </c>
      <c r="C26" s="2" t="s">
        <v>1991</v>
      </c>
      <c r="D26" s="15" t="s">
        <v>2060</v>
      </c>
      <c r="E26" s="2" t="s">
        <v>2085</v>
      </c>
      <c r="F26" s="2"/>
      <c r="G26" s="2"/>
      <c r="H26" s="2"/>
      <c r="I26" s="2"/>
      <c r="J26" s="2" t="s">
        <v>152</v>
      </c>
      <c r="K26" s="2" t="s">
        <v>2643</v>
      </c>
      <c r="L26" s="2" t="s">
        <v>152</v>
      </c>
      <c r="M26" s="2" t="s">
        <v>2643</v>
      </c>
      <c r="N26" s="2" t="s">
        <v>409</v>
      </c>
      <c r="O26" s="2" t="s">
        <v>2114</v>
      </c>
      <c r="P26" s="2" t="s">
        <v>2115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1069</v>
      </c>
      <c r="AG26" s="2" t="s">
        <v>1905</v>
      </c>
      <c r="AH26" s="2">
        <v>1</v>
      </c>
      <c r="AI26" s="2">
        <v>32</v>
      </c>
      <c r="AJ26" s="2">
        <v>22</v>
      </c>
      <c r="AK26" s="2">
        <v>25</v>
      </c>
      <c r="AL26" s="2">
        <v>15</v>
      </c>
      <c r="AM26" s="2">
        <v>42</v>
      </c>
      <c r="AN26" s="2">
        <v>21</v>
      </c>
      <c r="AO26" s="2">
        <v>20</v>
      </c>
      <c r="AP26" s="2">
        <v>15</v>
      </c>
      <c r="AQ26" s="2">
        <v>17</v>
      </c>
      <c r="AR26" s="2">
        <v>15</v>
      </c>
      <c r="AS26" s="2"/>
      <c r="AT26" s="2"/>
      <c r="AU26" s="2"/>
      <c r="AV26" s="2"/>
      <c r="AW26" s="2"/>
      <c r="AX26" s="2"/>
      <c r="AY26" s="2"/>
      <c r="AZ26" s="2"/>
    </row>
    <row r="27" spans="1:52" x14ac:dyDescent="0.25">
      <c r="A27" s="2">
        <v>26</v>
      </c>
      <c r="B27" s="2" t="s">
        <v>2247</v>
      </c>
      <c r="C27" s="2" t="s">
        <v>2248</v>
      </c>
      <c r="D27" s="12" t="s">
        <v>2249</v>
      </c>
      <c r="E27" s="1" t="s">
        <v>2283</v>
      </c>
      <c r="F27" s="1"/>
      <c r="G27" s="1"/>
      <c r="H27" s="2" t="s">
        <v>2284</v>
      </c>
      <c r="I27" s="2" t="s">
        <v>2285</v>
      </c>
      <c r="J27" s="2" t="s">
        <v>2643</v>
      </c>
      <c r="K27" s="2" t="s">
        <v>2643</v>
      </c>
      <c r="L27" s="2" t="s">
        <v>2643</v>
      </c>
      <c r="M27" s="2" t="s">
        <v>2643</v>
      </c>
      <c r="N27" s="2" t="s">
        <v>2654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3.8" x14ac:dyDescent="0.25">
      <c r="A28" s="2">
        <v>27</v>
      </c>
      <c r="B28" s="2" t="s">
        <v>2401</v>
      </c>
      <c r="C28" s="2" t="s">
        <v>2402</v>
      </c>
      <c r="D28" s="18" t="s">
        <v>2358</v>
      </c>
      <c r="E28" s="14" t="s">
        <v>2360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>
        <v>2.23</v>
      </c>
      <c r="Y28" s="2">
        <v>2.68</v>
      </c>
      <c r="Z28" s="2">
        <v>3.7</v>
      </c>
      <c r="AA28" s="2">
        <v>3.18</v>
      </c>
      <c r="AB28" s="2">
        <v>2.81</v>
      </c>
      <c r="AC28" s="2">
        <v>3.93</v>
      </c>
      <c r="AD28" s="2">
        <v>3.58</v>
      </c>
      <c r="AE28" s="2">
        <v>3.59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3.8" x14ac:dyDescent="0.25">
      <c r="A29" s="2">
        <v>28</v>
      </c>
      <c r="B29" s="2" t="s">
        <v>2403</v>
      </c>
      <c r="C29" s="2" t="s">
        <v>2423</v>
      </c>
      <c r="D29" s="18" t="s">
        <v>2359</v>
      </c>
      <c r="E29" s="14" t="s">
        <v>2361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>
        <v>4.55</v>
      </c>
      <c r="Y29" s="2">
        <v>2.25</v>
      </c>
      <c r="Z29" s="2">
        <v>1.85</v>
      </c>
      <c r="AA29" s="2">
        <v>1.69</v>
      </c>
      <c r="AB29" s="2">
        <v>1.71</v>
      </c>
      <c r="AC29" s="2">
        <v>1.9</v>
      </c>
      <c r="AD29" s="2">
        <v>1.9</v>
      </c>
      <c r="AE29" s="2">
        <v>2</v>
      </c>
      <c r="AF29" s="2" t="s">
        <v>1905</v>
      </c>
      <c r="AG29" s="2" t="s">
        <v>1905</v>
      </c>
      <c r="AH29" s="2">
        <v>1</v>
      </c>
      <c r="AI29" s="2">
        <v>3.2</v>
      </c>
      <c r="AJ29" s="2" t="s">
        <v>1905</v>
      </c>
      <c r="AK29" s="2">
        <v>1.7</v>
      </c>
      <c r="AL29" s="2" t="s">
        <v>1905</v>
      </c>
      <c r="AM29" s="2">
        <v>1.8</v>
      </c>
      <c r="AN29" s="2" t="s">
        <v>1905</v>
      </c>
      <c r="AO29" s="2" t="s">
        <v>1905</v>
      </c>
      <c r="AP29" s="2" t="s">
        <v>1905</v>
      </c>
      <c r="AQ29" s="2">
        <v>3.1</v>
      </c>
      <c r="AR29" s="2">
        <v>1.6</v>
      </c>
      <c r="AS29" s="2" t="s">
        <v>2655</v>
      </c>
      <c r="AT29" s="2" t="s">
        <v>2656</v>
      </c>
      <c r="AU29" s="2" t="s">
        <v>2657</v>
      </c>
      <c r="AV29" s="2" t="s">
        <v>2658</v>
      </c>
      <c r="AW29" s="2" t="s">
        <v>2659</v>
      </c>
      <c r="AX29" s="2" t="s">
        <v>2660</v>
      </c>
      <c r="AY29" s="2" t="s">
        <v>2661</v>
      </c>
      <c r="AZ29" s="2" t="s">
        <v>2662</v>
      </c>
    </row>
    <row r="30" spans="1:52" x14ac:dyDescent="0.25">
      <c r="A30" s="2">
        <v>29</v>
      </c>
      <c r="B30" s="2"/>
      <c r="C30" s="2"/>
      <c r="D30" s="12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4.4" x14ac:dyDescent="0.25">
      <c r="A31" s="2">
        <v>30</v>
      </c>
      <c r="B31" s="2" t="s">
        <v>2041</v>
      </c>
      <c r="C31" s="2" t="s">
        <v>1998</v>
      </c>
      <c r="D31" s="15" t="s">
        <v>2067</v>
      </c>
      <c r="E31" s="2" t="s">
        <v>2092</v>
      </c>
      <c r="F31" s="2"/>
      <c r="G31" s="2"/>
      <c r="H31" s="2" t="s">
        <v>2234</v>
      </c>
      <c r="I31" s="2" t="s">
        <v>2235</v>
      </c>
      <c r="J31" s="2" t="s">
        <v>2663</v>
      </c>
      <c r="K31" s="2" t="s">
        <v>2664</v>
      </c>
      <c r="L31" s="2" t="s">
        <v>2665</v>
      </c>
      <c r="M31" s="2" t="s">
        <v>2666</v>
      </c>
      <c r="N31" s="2" t="s">
        <v>2667</v>
      </c>
      <c r="O31" s="2" t="s">
        <v>2130</v>
      </c>
      <c r="P31" s="2" t="s">
        <v>2131</v>
      </c>
      <c r="Q31" s="2" t="s">
        <v>2668</v>
      </c>
      <c r="R31" s="2" t="s">
        <v>2669</v>
      </c>
      <c r="S31" s="2">
        <v>141.94900000000001</v>
      </c>
      <c r="T31" s="2">
        <v>111.35</v>
      </c>
      <c r="U31" s="2">
        <v>103.087</v>
      </c>
      <c r="V31" s="2">
        <v>102.015</v>
      </c>
      <c r="W31" s="2">
        <v>120.08799999999999</v>
      </c>
      <c r="X31" s="2">
        <v>131.37</v>
      </c>
      <c r="Y31" s="2">
        <v>151.22</v>
      </c>
      <c r="Z31" s="2">
        <v>131.91999999999999</v>
      </c>
      <c r="AA31" s="2">
        <v>129.68</v>
      </c>
      <c r="AB31" s="2">
        <v>137.83000000000001</v>
      </c>
      <c r="AC31" s="2">
        <v>148.44999999999999</v>
      </c>
      <c r="AD31" s="2">
        <v>127.59</v>
      </c>
      <c r="AE31" s="2">
        <v>123.92</v>
      </c>
      <c r="AF31" s="2">
        <v>143</v>
      </c>
      <c r="AG31" s="2">
        <v>183</v>
      </c>
      <c r="AH31" s="2">
        <v>150</v>
      </c>
      <c r="AI31" s="2">
        <v>452</v>
      </c>
      <c r="AJ31" s="2">
        <v>467</v>
      </c>
      <c r="AK31" s="2">
        <v>449</v>
      </c>
      <c r="AL31" s="2">
        <v>616</v>
      </c>
      <c r="AM31" s="2">
        <v>476</v>
      </c>
      <c r="AN31" s="2">
        <v>559</v>
      </c>
      <c r="AO31" s="2">
        <v>366</v>
      </c>
      <c r="AP31" s="2">
        <v>268</v>
      </c>
      <c r="AQ31" s="2">
        <v>301</v>
      </c>
      <c r="AR31" s="2">
        <v>283</v>
      </c>
      <c r="AS31" s="2" t="s">
        <v>2670</v>
      </c>
      <c r="AT31" s="2" t="s">
        <v>2671</v>
      </c>
      <c r="AU31" s="2" t="s">
        <v>2672</v>
      </c>
      <c r="AV31" s="2" t="s">
        <v>2673</v>
      </c>
      <c r="AW31" s="2" t="s">
        <v>2674</v>
      </c>
      <c r="AX31" s="2" t="s">
        <v>2675</v>
      </c>
      <c r="AY31" s="2" t="s">
        <v>2676</v>
      </c>
      <c r="AZ31" s="2" t="s">
        <v>2677</v>
      </c>
    </row>
    <row r="32" spans="1:52" ht="14.4" x14ac:dyDescent="0.25">
      <c r="A32" s="2">
        <v>31</v>
      </c>
      <c r="B32" s="2" t="s">
        <v>2240</v>
      </c>
      <c r="C32" s="2" t="s">
        <v>2306</v>
      </c>
      <c r="D32" s="15" t="s">
        <v>2241</v>
      </c>
      <c r="E32" s="2" t="s">
        <v>2256</v>
      </c>
      <c r="F32" s="2"/>
      <c r="G32" s="2"/>
      <c r="H32" s="2" t="s">
        <v>2257</v>
      </c>
      <c r="I32" s="2" t="s">
        <v>2258</v>
      </c>
      <c r="J32" s="2" t="s">
        <v>2678</v>
      </c>
      <c r="K32" s="2" t="s">
        <v>2679</v>
      </c>
      <c r="L32" s="2" t="s">
        <v>2680</v>
      </c>
      <c r="M32" s="2" t="s">
        <v>2681</v>
      </c>
      <c r="N32" s="2" t="s">
        <v>2682</v>
      </c>
      <c r="O32" s="2"/>
      <c r="P32" s="2"/>
      <c r="Q32" s="2"/>
      <c r="R32" s="2"/>
      <c r="S32" s="2">
        <v>3.8079999999999998</v>
      </c>
      <c r="T32" s="2">
        <v>3.681</v>
      </c>
      <c r="U32" s="2">
        <v>4.29</v>
      </c>
      <c r="V32" s="2">
        <v>4.2220000000000004</v>
      </c>
      <c r="W32" s="2">
        <v>4.6379999999999999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>
        <v>7.4</v>
      </c>
      <c r="AJ32" s="2">
        <v>3.7</v>
      </c>
      <c r="AK32" s="2">
        <v>3.2</v>
      </c>
      <c r="AL32" s="2">
        <v>3.3</v>
      </c>
      <c r="AM32" s="2">
        <v>4</v>
      </c>
      <c r="AN32" s="2">
        <v>4.5</v>
      </c>
      <c r="AO32" s="2">
        <v>1.7</v>
      </c>
      <c r="AP32" s="2">
        <v>3.5</v>
      </c>
      <c r="AQ32" s="2">
        <v>3.6</v>
      </c>
      <c r="AR32" s="2">
        <v>2</v>
      </c>
      <c r="AS32" s="2"/>
      <c r="AT32" s="2"/>
      <c r="AU32" s="2"/>
      <c r="AV32" s="2"/>
      <c r="AW32" s="2"/>
      <c r="AX32" s="2"/>
      <c r="AY32" s="2"/>
      <c r="AZ32" s="2"/>
    </row>
    <row r="33" spans="1:52" x14ac:dyDescent="0.25">
      <c r="A33" s="2">
        <v>32</v>
      </c>
      <c r="B33" s="2" t="s">
        <v>2037</v>
      </c>
      <c r="C33" s="2" t="s">
        <v>1994</v>
      </c>
      <c r="D33" s="12" t="s">
        <v>2063</v>
      </c>
      <c r="E33" s="1" t="s">
        <v>2088</v>
      </c>
      <c r="F33" s="1"/>
      <c r="G33" s="1"/>
      <c r="H33" s="2" t="s">
        <v>2228</v>
      </c>
      <c r="I33" s="2" t="s">
        <v>2229</v>
      </c>
      <c r="J33" s="2" t="s">
        <v>508</v>
      </c>
      <c r="K33" s="2" t="s">
        <v>2683</v>
      </c>
      <c r="L33" s="2" t="s">
        <v>510</v>
      </c>
      <c r="M33" s="2" t="s">
        <v>2684</v>
      </c>
      <c r="N33" s="2" t="s">
        <v>512</v>
      </c>
      <c r="O33" s="2" t="s">
        <v>2120</v>
      </c>
      <c r="P33" s="2" t="s">
        <v>2121</v>
      </c>
      <c r="Q33" s="2" t="s">
        <v>2685</v>
      </c>
      <c r="R33" s="2" t="s">
        <v>952</v>
      </c>
      <c r="S33" s="2">
        <v>2.831</v>
      </c>
      <c r="T33" s="2">
        <v>2.4169999999999998</v>
      </c>
      <c r="U33" s="2">
        <v>2.38</v>
      </c>
      <c r="V33" s="2">
        <v>2.419</v>
      </c>
      <c r="W33" s="2">
        <v>2.5659999999999998</v>
      </c>
      <c r="X33" s="2">
        <v>45.92</v>
      </c>
      <c r="Y33" s="2">
        <v>7.55</v>
      </c>
      <c r="Z33" s="2">
        <v>126.31</v>
      </c>
      <c r="AA33" s="2">
        <v>68.73</v>
      </c>
      <c r="AB33" s="2">
        <v>64.36</v>
      </c>
      <c r="AC33" s="2">
        <v>37.89</v>
      </c>
      <c r="AD33" s="2">
        <v>38.729999999999997</v>
      </c>
      <c r="AE33" s="2">
        <v>112.56</v>
      </c>
      <c r="AF33" s="2"/>
      <c r="AG33" s="2"/>
      <c r="AH33" s="2"/>
      <c r="AI33" s="2">
        <v>61</v>
      </c>
      <c r="AJ33" s="2">
        <v>90</v>
      </c>
      <c r="AK33" s="2">
        <v>60</v>
      </c>
      <c r="AL33" s="2">
        <v>93</v>
      </c>
      <c r="AM33" s="2">
        <v>64</v>
      </c>
      <c r="AN33" s="2">
        <v>87</v>
      </c>
      <c r="AO33" s="2">
        <v>48</v>
      </c>
      <c r="AP33" s="2">
        <v>102</v>
      </c>
      <c r="AQ33" s="2">
        <v>84</v>
      </c>
      <c r="AR33" s="2">
        <v>55</v>
      </c>
      <c r="AS33" s="2" t="s">
        <v>2686</v>
      </c>
      <c r="AT33" s="2" t="s">
        <v>1796</v>
      </c>
      <c r="AU33" s="2" t="s">
        <v>2687</v>
      </c>
      <c r="AV33" s="2" t="s">
        <v>1798</v>
      </c>
      <c r="AW33" s="2" t="s">
        <v>2688</v>
      </c>
      <c r="AX33" s="2" t="s">
        <v>1907</v>
      </c>
      <c r="AY33" s="2" t="s">
        <v>2689</v>
      </c>
      <c r="AZ33" s="2" t="s">
        <v>1801</v>
      </c>
    </row>
    <row r="34" spans="1:52" ht="14.4" x14ac:dyDescent="0.25">
      <c r="A34" s="2">
        <v>33</v>
      </c>
      <c r="B34" s="2" t="s">
        <v>2259</v>
      </c>
      <c r="C34" s="2" t="s">
        <v>2424</v>
      </c>
      <c r="D34" s="15" t="s">
        <v>2260</v>
      </c>
      <c r="E34" s="2" t="s">
        <v>2261</v>
      </c>
      <c r="F34" s="2"/>
      <c r="G34" s="2"/>
      <c r="H34" s="2" t="s">
        <v>2262</v>
      </c>
      <c r="I34" s="2" t="s">
        <v>2263</v>
      </c>
      <c r="J34" s="2" t="s">
        <v>2643</v>
      </c>
      <c r="K34" s="2" t="s">
        <v>2690</v>
      </c>
      <c r="L34" s="2" t="s">
        <v>2691</v>
      </c>
      <c r="M34" s="2" t="s">
        <v>2692</v>
      </c>
      <c r="N34" s="2" t="s">
        <v>2693</v>
      </c>
      <c r="O34" s="2"/>
      <c r="P34" s="2"/>
      <c r="Q34" s="2"/>
      <c r="R34" s="2"/>
      <c r="S34" s="2">
        <v>15.257999999999999</v>
      </c>
      <c r="T34" s="2">
        <v>21.190999999999999</v>
      </c>
      <c r="U34" s="2">
        <v>12.086</v>
      </c>
      <c r="V34" s="2">
        <v>14.749000000000001</v>
      </c>
      <c r="W34" s="2">
        <v>27.998000000000001</v>
      </c>
      <c r="X34" s="2">
        <v>11.02</v>
      </c>
      <c r="Y34" s="2">
        <v>8.3800000000000008</v>
      </c>
      <c r="Z34" s="2">
        <v>1.62</v>
      </c>
      <c r="AA34" s="2">
        <v>1.8</v>
      </c>
      <c r="AB34" s="2">
        <v>5.78</v>
      </c>
      <c r="AC34" s="2">
        <v>5.13</v>
      </c>
      <c r="AD34" s="2">
        <v>3.6</v>
      </c>
      <c r="AE34" s="2">
        <v>3.49</v>
      </c>
      <c r="AF34" s="2"/>
      <c r="AG34" s="2"/>
      <c r="AH34" s="2"/>
      <c r="AI34" s="2">
        <v>8.4</v>
      </c>
      <c r="AJ34" s="2">
        <v>5.9</v>
      </c>
      <c r="AK34" s="2">
        <v>4.2</v>
      </c>
      <c r="AL34" s="2">
        <v>4.5999999999999996</v>
      </c>
      <c r="AM34" s="2">
        <v>2.1</v>
      </c>
      <c r="AN34" s="2">
        <v>5.9</v>
      </c>
      <c r="AO34" s="2" t="s">
        <v>1905</v>
      </c>
      <c r="AP34" s="2">
        <v>2.8</v>
      </c>
      <c r="AQ34" s="2" t="s">
        <v>1905</v>
      </c>
      <c r="AR34" s="2" t="s">
        <v>1905</v>
      </c>
      <c r="AS34" s="2"/>
      <c r="AT34" s="2"/>
      <c r="AU34" s="2"/>
      <c r="AV34" s="2"/>
      <c r="AW34" s="2"/>
      <c r="AX34" s="2"/>
      <c r="AY34" s="2"/>
      <c r="AZ34" s="2"/>
    </row>
    <row r="35" spans="1:52" ht="14.4" x14ac:dyDescent="0.25">
      <c r="A35" s="2">
        <v>34</v>
      </c>
      <c r="B35" s="2" t="s">
        <v>2250</v>
      </c>
      <c r="C35" s="2" t="s">
        <v>2425</v>
      </c>
      <c r="D35" s="15" t="s">
        <v>2251</v>
      </c>
      <c r="E35" s="2" t="s">
        <v>2286</v>
      </c>
      <c r="F35" s="2"/>
      <c r="G35" s="2"/>
      <c r="H35" s="2" t="s">
        <v>2287</v>
      </c>
      <c r="I35" s="2" t="s">
        <v>2288</v>
      </c>
      <c r="J35" s="2" t="s">
        <v>2643</v>
      </c>
      <c r="K35" s="2" t="s">
        <v>2694</v>
      </c>
      <c r="L35" s="2" t="s">
        <v>2695</v>
      </c>
      <c r="M35" s="2" t="s">
        <v>2696</v>
      </c>
      <c r="N35" s="2" t="s">
        <v>2697</v>
      </c>
      <c r="O35" s="2"/>
      <c r="P35" s="2"/>
      <c r="Q35" s="2"/>
      <c r="R35" s="2"/>
      <c r="S35" s="2">
        <v>8.1839999999999993</v>
      </c>
      <c r="T35" s="2">
        <v>7.8179999999999996</v>
      </c>
      <c r="U35" s="2">
        <v>5.6440000000000001</v>
      </c>
      <c r="V35" s="2">
        <v>6.423</v>
      </c>
      <c r="W35" s="2">
        <v>9.7579999999999991</v>
      </c>
      <c r="X35" s="2" t="s">
        <v>1905</v>
      </c>
      <c r="Y35" s="2" t="s">
        <v>1905</v>
      </c>
      <c r="Z35" s="2" t="s">
        <v>1905</v>
      </c>
      <c r="AA35" s="2" t="s">
        <v>1905</v>
      </c>
      <c r="AB35" s="2">
        <v>1.51</v>
      </c>
      <c r="AC35" s="2" t="s">
        <v>1905</v>
      </c>
      <c r="AD35" s="2" t="s">
        <v>1905</v>
      </c>
      <c r="AE35" s="2" t="s">
        <v>1905</v>
      </c>
      <c r="AF35" s="2"/>
      <c r="AG35" s="2"/>
      <c r="AH35" s="2"/>
      <c r="AI35" s="2">
        <v>1.1000000000000001</v>
      </c>
      <c r="AJ35" s="2">
        <v>3</v>
      </c>
      <c r="AK35" s="2" t="s">
        <v>1905</v>
      </c>
      <c r="AL35" s="2">
        <v>2</v>
      </c>
      <c r="AM35" s="2" t="s">
        <v>1905</v>
      </c>
      <c r="AN35" s="2">
        <v>2.2999999999999998</v>
      </c>
      <c r="AO35" s="2" t="s">
        <v>1905</v>
      </c>
      <c r="AP35" s="2">
        <v>2.1</v>
      </c>
      <c r="AQ35" s="2">
        <v>1</v>
      </c>
      <c r="AR35" s="2">
        <v>1</v>
      </c>
      <c r="AS35" s="2"/>
      <c r="AT35" s="2"/>
      <c r="AU35" s="2"/>
      <c r="AV35" s="2"/>
      <c r="AW35" s="2"/>
      <c r="AX35" s="2"/>
      <c r="AY35" s="2"/>
      <c r="AZ35" s="2"/>
    </row>
    <row r="36" spans="1:52" x14ac:dyDescent="0.25">
      <c r="A36" s="2">
        <v>35</v>
      </c>
      <c r="B36" s="2" t="s">
        <v>2036</v>
      </c>
      <c r="C36" s="2" t="s">
        <v>1993</v>
      </c>
      <c r="D36" s="12" t="s">
        <v>2062</v>
      </c>
      <c r="E36" s="1" t="s">
        <v>2087</v>
      </c>
      <c r="F36" s="1"/>
      <c r="G36" s="1"/>
      <c r="H36" s="2" t="s">
        <v>2227</v>
      </c>
      <c r="I36" s="2" t="s">
        <v>2202</v>
      </c>
      <c r="J36" s="2" t="s">
        <v>2698</v>
      </c>
      <c r="K36" s="2" t="s">
        <v>2699</v>
      </c>
      <c r="L36" s="2" t="s">
        <v>2700</v>
      </c>
      <c r="M36" s="2" t="s">
        <v>2701</v>
      </c>
      <c r="N36" s="2" t="s">
        <v>2702</v>
      </c>
      <c r="O36" s="2" t="s">
        <v>2118</v>
      </c>
      <c r="P36" s="2" t="s">
        <v>2119</v>
      </c>
      <c r="Q36" s="2" t="s">
        <v>2703</v>
      </c>
      <c r="R36" s="2" t="s">
        <v>2704</v>
      </c>
      <c r="S36" s="2">
        <v>4.01</v>
      </c>
      <c r="T36" s="2">
        <v>2.8519999999999999</v>
      </c>
      <c r="U36" s="2" t="s">
        <v>2705</v>
      </c>
      <c r="V36" s="2">
        <v>0.65</v>
      </c>
      <c r="W36" s="2">
        <v>3.1619999999999999</v>
      </c>
      <c r="X36" s="2">
        <v>102.43</v>
      </c>
      <c r="Y36" s="2">
        <v>142.71</v>
      </c>
      <c r="Z36" s="2">
        <v>131.85</v>
      </c>
      <c r="AA36" s="2">
        <v>127.89</v>
      </c>
      <c r="AB36" s="2">
        <v>170.61</v>
      </c>
      <c r="AC36" s="2">
        <v>58.14</v>
      </c>
      <c r="AD36" s="2">
        <v>187.74</v>
      </c>
      <c r="AE36" s="2">
        <v>114.51</v>
      </c>
      <c r="AF36" s="2">
        <v>95</v>
      </c>
      <c r="AG36" s="2">
        <v>114</v>
      </c>
      <c r="AH36" s="2">
        <v>76</v>
      </c>
      <c r="AI36" s="2">
        <v>153</v>
      </c>
      <c r="AJ36" s="2">
        <v>135</v>
      </c>
      <c r="AK36" s="2">
        <v>91</v>
      </c>
      <c r="AL36" s="2">
        <v>128</v>
      </c>
      <c r="AM36" s="2">
        <v>156</v>
      </c>
      <c r="AN36" s="2">
        <v>105</v>
      </c>
      <c r="AO36" s="2">
        <v>157</v>
      </c>
      <c r="AP36" s="2">
        <v>127</v>
      </c>
      <c r="AQ36" s="2">
        <v>100</v>
      </c>
      <c r="AR36" s="2">
        <v>92</v>
      </c>
      <c r="AS36" s="2" t="s">
        <v>2706</v>
      </c>
      <c r="AT36" s="2" t="s">
        <v>2707</v>
      </c>
      <c r="AU36" s="2" t="s">
        <v>2708</v>
      </c>
      <c r="AV36" s="2" t="s">
        <v>2709</v>
      </c>
      <c r="AW36" s="2" t="s">
        <v>2710</v>
      </c>
      <c r="AX36" s="2" t="s">
        <v>2711</v>
      </c>
      <c r="AY36" s="2" t="s">
        <v>2712</v>
      </c>
      <c r="AZ36" s="2" t="s">
        <v>2713</v>
      </c>
    </row>
    <row r="37" spans="1:52" x14ac:dyDescent="0.25">
      <c r="A37" s="2">
        <v>36</v>
      </c>
      <c r="B37" s="2" t="s">
        <v>2272</v>
      </c>
      <c r="C37" s="2" t="s">
        <v>2426</v>
      </c>
      <c r="D37" s="12" t="s">
        <v>2243</v>
      </c>
      <c r="E37" s="1" t="s">
        <v>2273</v>
      </c>
      <c r="F37" s="1"/>
      <c r="G37" s="1"/>
      <c r="H37" s="2" t="s">
        <v>2274</v>
      </c>
      <c r="I37" s="2" t="s">
        <v>2275</v>
      </c>
      <c r="J37" s="2" t="s">
        <v>2714</v>
      </c>
      <c r="K37" s="2" t="s">
        <v>2715</v>
      </c>
      <c r="L37" s="2" t="s">
        <v>2716</v>
      </c>
      <c r="M37" s="2" t="s">
        <v>2717</v>
      </c>
      <c r="N37" s="2" t="s">
        <v>2718</v>
      </c>
      <c r="O37" s="2"/>
      <c r="P37" s="2"/>
      <c r="Q37" s="2"/>
      <c r="R37" s="2"/>
      <c r="S37" s="2">
        <v>2.7829999999999999</v>
      </c>
      <c r="T37" s="2">
        <v>3.1179999999999999</v>
      </c>
      <c r="U37" s="2">
        <v>2.7589999999999999</v>
      </c>
      <c r="V37" s="2">
        <v>3.1579999999999999</v>
      </c>
      <c r="W37" s="2">
        <v>3.98</v>
      </c>
      <c r="X37" s="2">
        <v>3.08</v>
      </c>
      <c r="Y37" s="2">
        <v>3.15</v>
      </c>
      <c r="Z37" s="2">
        <v>2.87</v>
      </c>
      <c r="AA37" s="2">
        <v>2.97</v>
      </c>
      <c r="AB37" s="2">
        <v>3.54</v>
      </c>
      <c r="AC37" s="2">
        <v>3.44</v>
      </c>
      <c r="AD37" s="2">
        <v>3.18</v>
      </c>
      <c r="AE37" s="2">
        <v>3.47</v>
      </c>
      <c r="AF37" s="2">
        <v>5</v>
      </c>
      <c r="AG37" s="2">
        <v>5</v>
      </c>
      <c r="AH37" s="2">
        <v>6</v>
      </c>
      <c r="AI37" s="2">
        <v>8.6</v>
      </c>
      <c r="AJ37" s="2">
        <v>10</v>
      </c>
      <c r="AK37" s="2">
        <v>9</v>
      </c>
      <c r="AL37" s="2">
        <v>1.8</v>
      </c>
      <c r="AM37" s="2">
        <v>8.5</v>
      </c>
      <c r="AN37" s="2">
        <v>2</v>
      </c>
      <c r="AO37" s="2">
        <v>4.4000000000000004</v>
      </c>
      <c r="AP37" s="2">
        <v>1.8</v>
      </c>
      <c r="AQ37" s="2">
        <v>8.5</v>
      </c>
      <c r="AR37" s="2" t="s">
        <v>1905</v>
      </c>
      <c r="AS37" s="2"/>
      <c r="AT37" s="2"/>
      <c r="AU37" s="2"/>
      <c r="AV37" s="2"/>
      <c r="AW37" s="2"/>
      <c r="AX37" s="2"/>
      <c r="AY37" s="2"/>
      <c r="AZ37" s="2"/>
    </row>
    <row r="38" spans="1:52" ht="14.4" x14ac:dyDescent="0.25">
      <c r="A38" s="2">
        <v>37</v>
      </c>
      <c r="B38" s="2" t="s">
        <v>2264</v>
      </c>
      <c r="C38" s="2" t="s">
        <v>2265</v>
      </c>
      <c r="D38" s="15" t="s">
        <v>2242</v>
      </c>
      <c r="E38" s="2" t="s">
        <v>2266</v>
      </c>
      <c r="F38" s="2"/>
      <c r="G38" s="2"/>
      <c r="H38" s="2" t="s">
        <v>2267</v>
      </c>
      <c r="I38" s="2" t="s">
        <v>2268</v>
      </c>
      <c r="J38" s="2" t="s">
        <v>2643</v>
      </c>
      <c r="K38" s="2" t="s">
        <v>2719</v>
      </c>
      <c r="L38" s="2" t="s">
        <v>2643</v>
      </c>
      <c r="M38" s="2" t="s">
        <v>2643</v>
      </c>
      <c r="N38" s="2" t="s">
        <v>2643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4.4" x14ac:dyDescent="0.25">
      <c r="A39" s="2">
        <v>38</v>
      </c>
      <c r="B39" s="2" t="s">
        <v>2047</v>
      </c>
      <c r="C39" s="2" t="s">
        <v>2003</v>
      </c>
      <c r="D39" s="15" t="s">
        <v>2336</v>
      </c>
      <c r="E39" s="2" t="s">
        <v>2097</v>
      </c>
      <c r="F39" s="2"/>
      <c r="G39" s="2"/>
      <c r="H39" s="2" t="s">
        <v>2295</v>
      </c>
      <c r="I39" s="2" t="s">
        <v>2296</v>
      </c>
      <c r="J39" s="2"/>
      <c r="K39" s="2"/>
      <c r="L39" s="2"/>
      <c r="M39" s="2"/>
      <c r="N39" s="2"/>
      <c r="O39" s="2" t="s">
        <v>2140</v>
      </c>
      <c r="P39" s="2" t="s">
        <v>2141</v>
      </c>
      <c r="Q39" s="2" t="s">
        <v>2720</v>
      </c>
      <c r="R39" s="2" t="s">
        <v>2721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>
        <v>12</v>
      </c>
      <c r="AJ39" s="2">
        <v>15</v>
      </c>
      <c r="AK39" s="2">
        <v>65</v>
      </c>
      <c r="AL39" s="2">
        <v>12</v>
      </c>
      <c r="AM39" s="2">
        <v>9</v>
      </c>
      <c r="AN39" s="2">
        <v>3</v>
      </c>
      <c r="AO39" s="2">
        <v>4.5</v>
      </c>
      <c r="AP39" s="2">
        <v>14</v>
      </c>
      <c r="AQ39" s="2">
        <v>7.3</v>
      </c>
      <c r="AR39" s="2">
        <v>6.3</v>
      </c>
      <c r="AS39" s="2" t="s">
        <v>2722</v>
      </c>
      <c r="AT39" s="2" t="s">
        <v>2723</v>
      </c>
      <c r="AU39" s="2" t="s">
        <v>2724</v>
      </c>
      <c r="AV39" s="2" t="s">
        <v>2725</v>
      </c>
      <c r="AW39" s="2" t="s">
        <v>2726</v>
      </c>
      <c r="AX39" s="2" t="s">
        <v>2727</v>
      </c>
      <c r="AY39" s="2" t="s">
        <v>2728</v>
      </c>
      <c r="AZ39" s="2" t="s">
        <v>2729</v>
      </c>
    </row>
    <row r="40" spans="1:52" x14ac:dyDescent="0.25">
      <c r="A40" s="2">
        <v>39</v>
      </c>
      <c r="B40" s="2"/>
      <c r="C40" s="2"/>
      <c r="D40" s="12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4.4" x14ac:dyDescent="0.25">
      <c r="A41" s="2">
        <v>40</v>
      </c>
      <c r="B41" s="2" t="s">
        <v>2045</v>
      </c>
      <c r="C41" s="2" t="s">
        <v>2427</v>
      </c>
      <c r="D41" s="15" t="s">
        <v>2071</v>
      </c>
      <c r="E41" s="2" t="s">
        <v>2269</v>
      </c>
      <c r="F41" s="2"/>
      <c r="G41" s="2"/>
      <c r="H41" s="2" t="s">
        <v>2270</v>
      </c>
      <c r="I41" s="2" t="s">
        <v>2271</v>
      </c>
      <c r="J41" s="2" t="s">
        <v>2730</v>
      </c>
      <c r="K41" s="2" t="s">
        <v>2731</v>
      </c>
      <c r="L41" s="2" t="s">
        <v>2643</v>
      </c>
      <c r="M41" s="2" t="s">
        <v>2643</v>
      </c>
      <c r="N41" s="2" t="s">
        <v>2643</v>
      </c>
      <c r="O41" s="2"/>
      <c r="P41" s="2"/>
      <c r="Q41" s="2" t="s">
        <v>2732</v>
      </c>
      <c r="R41" s="2" t="s">
        <v>2733</v>
      </c>
      <c r="S41" s="2"/>
      <c r="T41" s="2"/>
      <c r="U41" s="2"/>
      <c r="V41" s="2"/>
      <c r="W41" s="2"/>
      <c r="X41" s="2">
        <v>3.28</v>
      </c>
      <c r="Y41" s="2">
        <v>2.02</v>
      </c>
      <c r="Z41" s="2">
        <v>7.28</v>
      </c>
      <c r="AA41" s="2">
        <v>8.84</v>
      </c>
      <c r="AB41" s="2">
        <v>5.57</v>
      </c>
      <c r="AC41" s="2">
        <v>9.01</v>
      </c>
      <c r="AD41" s="2">
        <v>7.25</v>
      </c>
      <c r="AE41" s="2">
        <v>2.5</v>
      </c>
      <c r="AF41" s="2"/>
      <c r="AG41" s="2"/>
      <c r="AH41" s="2"/>
      <c r="AI41" s="2">
        <v>7.9</v>
      </c>
      <c r="AJ41" s="2" t="s">
        <v>1905</v>
      </c>
      <c r="AK41" s="2">
        <v>3.6</v>
      </c>
      <c r="AL41" s="2" t="s">
        <v>1905</v>
      </c>
      <c r="AM41" s="2">
        <v>7.1</v>
      </c>
      <c r="AN41" s="2" t="s">
        <v>1905</v>
      </c>
      <c r="AO41" s="2">
        <v>3.1</v>
      </c>
      <c r="AP41" s="2" t="s">
        <v>1905</v>
      </c>
      <c r="AQ41" s="2">
        <v>12</v>
      </c>
      <c r="AR41" s="2">
        <v>2.2000000000000002</v>
      </c>
      <c r="AS41" s="2" t="s">
        <v>2734</v>
      </c>
      <c r="AT41" s="2" t="s">
        <v>2735</v>
      </c>
      <c r="AU41" s="2" t="s">
        <v>2736</v>
      </c>
      <c r="AV41" s="2" t="s">
        <v>2737</v>
      </c>
      <c r="AW41" s="2" t="s">
        <v>2738</v>
      </c>
      <c r="AX41" s="2" t="s">
        <v>2739</v>
      </c>
      <c r="AY41" s="2" t="s">
        <v>2740</v>
      </c>
      <c r="AZ41" s="2" t="s">
        <v>2741</v>
      </c>
    </row>
    <row r="42" spans="1:52" ht="13.8" x14ac:dyDescent="0.25">
      <c r="A42" s="2">
        <v>41</v>
      </c>
      <c r="B42" s="2" t="s">
        <v>565</v>
      </c>
      <c r="C42" s="2" t="s">
        <v>920</v>
      </c>
      <c r="D42" s="17" t="s">
        <v>2320</v>
      </c>
      <c r="E42" s="14" t="s">
        <v>2323</v>
      </c>
      <c r="H42" s="2"/>
      <c r="I42" s="2"/>
      <c r="J42" s="2" t="s">
        <v>2742</v>
      </c>
      <c r="K42" s="2" t="s">
        <v>2743</v>
      </c>
      <c r="L42" s="2" t="s">
        <v>2643</v>
      </c>
      <c r="M42" s="2" t="s">
        <v>2744</v>
      </c>
      <c r="N42" s="2" t="s">
        <v>2643</v>
      </c>
      <c r="O42" s="2"/>
      <c r="P42" s="2"/>
      <c r="Q42" s="2" t="s">
        <v>2745</v>
      </c>
      <c r="R42" s="2" t="s">
        <v>2746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3.8" x14ac:dyDescent="0.25">
      <c r="A43" s="2">
        <v>42</v>
      </c>
      <c r="B43" s="2" t="s">
        <v>2334</v>
      </c>
      <c r="C43" s="2" t="s">
        <v>2395</v>
      </c>
      <c r="D43" s="17" t="s">
        <v>2333</v>
      </c>
      <c r="E43" s="14" t="s">
        <v>2335</v>
      </c>
      <c r="H43" s="2"/>
      <c r="I43" s="2"/>
      <c r="J43" s="2" t="s">
        <v>2747</v>
      </c>
      <c r="K43" s="2" t="s">
        <v>2643</v>
      </c>
      <c r="L43" s="2" t="s">
        <v>2643</v>
      </c>
      <c r="M43" s="2" t="s">
        <v>2643</v>
      </c>
      <c r="N43" s="2" t="s">
        <v>2643</v>
      </c>
      <c r="O43" s="2"/>
      <c r="P43" s="2"/>
      <c r="Q43" s="2" t="s">
        <v>2748</v>
      </c>
      <c r="R43" s="2" t="s">
        <v>2749</v>
      </c>
      <c r="S43" s="2"/>
      <c r="T43" s="2"/>
      <c r="U43" s="2"/>
      <c r="V43" s="2"/>
      <c r="W43" s="2"/>
      <c r="X43" s="2">
        <v>58.48</v>
      </c>
      <c r="Y43" s="2">
        <v>30.78</v>
      </c>
      <c r="Z43" s="2">
        <v>70.5</v>
      </c>
      <c r="AA43" s="2">
        <v>73.709999999999994</v>
      </c>
      <c r="AB43" s="2">
        <v>72.58</v>
      </c>
      <c r="AC43" s="2">
        <v>44.03</v>
      </c>
      <c r="AD43" s="2">
        <v>53.94</v>
      </c>
      <c r="AE43" s="2">
        <v>56.02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 t="s">
        <v>2750</v>
      </c>
      <c r="AT43" s="2" t="s">
        <v>2751</v>
      </c>
      <c r="AU43" s="2" t="s">
        <v>2752</v>
      </c>
      <c r="AV43" s="2" t="s">
        <v>2753</v>
      </c>
      <c r="AW43" s="2" t="s">
        <v>2754</v>
      </c>
      <c r="AX43" s="2" t="s">
        <v>1904</v>
      </c>
      <c r="AY43" s="2" t="s">
        <v>2755</v>
      </c>
      <c r="AZ43" s="2" t="s">
        <v>2756</v>
      </c>
    </row>
    <row r="44" spans="1:52" ht="13.8" x14ac:dyDescent="0.25">
      <c r="A44" s="2">
        <v>43</v>
      </c>
      <c r="B44" s="2" t="s">
        <v>2404</v>
      </c>
      <c r="C44" s="2" t="s">
        <v>2324</v>
      </c>
      <c r="D44" s="17" t="s">
        <v>2325</v>
      </c>
      <c r="E44" s="14" t="s">
        <v>2326</v>
      </c>
      <c r="H44" s="2"/>
      <c r="I44" s="2"/>
      <c r="J44" s="2" t="s">
        <v>2757</v>
      </c>
      <c r="K44" s="2" t="s">
        <v>2758</v>
      </c>
      <c r="L44" s="2" t="s">
        <v>2759</v>
      </c>
      <c r="M44" s="2" t="s">
        <v>2760</v>
      </c>
      <c r="N44" s="2" t="s">
        <v>2761</v>
      </c>
      <c r="O44" s="2"/>
      <c r="P44" s="2"/>
      <c r="Q44" s="2" t="s">
        <v>2762</v>
      </c>
      <c r="R44" s="2" t="s">
        <v>2327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>
        <v>54</v>
      </c>
      <c r="AJ44" s="2">
        <v>56</v>
      </c>
      <c r="AK44" s="2">
        <v>91</v>
      </c>
      <c r="AL44" s="2">
        <v>72</v>
      </c>
      <c r="AM44" s="2">
        <v>60</v>
      </c>
      <c r="AN44" s="2">
        <v>59</v>
      </c>
      <c r="AO44" s="2">
        <v>43</v>
      </c>
      <c r="AP44" s="2">
        <v>588</v>
      </c>
      <c r="AQ44" s="2">
        <v>61</v>
      </c>
      <c r="AR44" s="2">
        <v>76</v>
      </c>
      <c r="AS44" s="2"/>
      <c r="AT44" s="2"/>
      <c r="AU44" s="2"/>
      <c r="AV44" s="2"/>
      <c r="AW44" s="2"/>
      <c r="AX44" s="2"/>
      <c r="AY44" s="2"/>
      <c r="AZ44" s="2"/>
    </row>
    <row r="45" spans="1:52" ht="13.8" x14ac:dyDescent="0.25">
      <c r="A45" s="2">
        <v>44</v>
      </c>
      <c r="B45" s="2"/>
      <c r="C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3.8" x14ac:dyDescent="0.25">
      <c r="A46" s="2">
        <v>45</v>
      </c>
      <c r="B46" s="2" t="s">
        <v>2339</v>
      </c>
      <c r="C46" s="2" t="s">
        <v>940</v>
      </c>
      <c r="D46" s="17" t="s">
        <v>2340</v>
      </c>
      <c r="E46" s="14" t="s">
        <v>2342</v>
      </c>
      <c r="H46" s="2"/>
      <c r="I46" s="2"/>
      <c r="J46" s="2" t="s">
        <v>2763</v>
      </c>
      <c r="K46" s="2" t="s">
        <v>2764</v>
      </c>
      <c r="L46" s="2" t="s">
        <v>2765</v>
      </c>
      <c r="M46" s="2" t="s">
        <v>2766</v>
      </c>
      <c r="N46" s="2" t="s">
        <v>2767</v>
      </c>
      <c r="O46" s="2"/>
      <c r="P46" s="2"/>
      <c r="Q46" s="2" t="s">
        <v>2768</v>
      </c>
      <c r="R46" s="2" t="s">
        <v>2769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3.8" x14ac:dyDescent="0.25">
      <c r="A47" s="2">
        <v>46</v>
      </c>
      <c r="B47" s="2" t="s">
        <v>2405</v>
      </c>
      <c r="C47" s="2" t="s">
        <v>2406</v>
      </c>
      <c r="D47" s="17" t="s">
        <v>2341</v>
      </c>
      <c r="E47" s="14" t="s">
        <v>2343</v>
      </c>
      <c r="H47" s="2"/>
      <c r="I47" s="2"/>
      <c r="J47" s="2" t="s">
        <v>152</v>
      </c>
      <c r="K47" s="2" t="s">
        <v>2643</v>
      </c>
      <c r="L47" s="2" t="s">
        <v>646</v>
      </c>
      <c r="M47" s="2" t="s">
        <v>2643</v>
      </c>
      <c r="N47" s="2" t="s">
        <v>647</v>
      </c>
      <c r="O47" s="2"/>
      <c r="P47" s="2"/>
      <c r="Q47" s="2" t="s">
        <v>2770</v>
      </c>
      <c r="R47" s="2" t="s">
        <v>945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4.4" x14ac:dyDescent="0.25">
      <c r="A48" s="2">
        <v>47</v>
      </c>
      <c r="B48" s="2"/>
      <c r="C48" s="2"/>
      <c r="D48" s="15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4.4" x14ac:dyDescent="0.25">
      <c r="A49" s="2">
        <v>48</v>
      </c>
      <c r="B49" s="2" t="s">
        <v>2033</v>
      </c>
      <c r="C49" s="2" t="s">
        <v>2307</v>
      </c>
      <c r="D49" s="15" t="s">
        <v>2161</v>
      </c>
      <c r="E49" s="2" t="s">
        <v>2084</v>
      </c>
      <c r="F49" s="2"/>
      <c r="G49" s="2"/>
      <c r="H49" s="2" t="s">
        <v>2226</v>
      </c>
      <c r="I49" s="2" t="s">
        <v>2201</v>
      </c>
      <c r="J49" s="2"/>
      <c r="K49" s="2"/>
      <c r="L49" s="2"/>
      <c r="M49" s="2"/>
      <c r="N49" s="2"/>
      <c r="O49" s="2" t="s">
        <v>2112</v>
      </c>
      <c r="P49" s="2" t="s">
        <v>2113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>
        <v>892</v>
      </c>
      <c r="AG49" s="2">
        <v>1254</v>
      </c>
      <c r="AH49" s="2">
        <v>1401</v>
      </c>
      <c r="AI49" s="2">
        <v>186</v>
      </c>
      <c r="AJ49" s="2">
        <v>166</v>
      </c>
      <c r="AK49" s="2">
        <v>347</v>
      </c>
      <c r="AL49" s="2" t="s">
        <v>1905</v>
      </c>
      <c r="AM49" s="2">
        <v>368</v>
      </c>
      <c r="AN49" s="2" t="s">
        <v>1905</v>
      </c>
      <c r="AO49" s="2">
        <v>43</v>
      </c>
      <c r="AP49" s="2" t="s">
        <v>1905</v>
      </c>
      <c r="AQ49" s="2">
        <v>205</v>
      </c>
      <c r="AR49" s="2">
        <v>204</v>
      </c>
      <c r="AS49" s="2"/>
      <c r="AT49" s="2"/>
      <c r="AU49" s="2"/>
      <c r="AV49" s="2"/>
      <c r="AW49" s="2"/>
      <c r="AX49" s="2"/>
      <c r="AY49" s="2"/>
      <c r="AZ49" s="2"/>
    </row>
    <row r="50" spans="1:52" ht="13.8" x14ac:dyDescent="0.25">
      <c r="A50" s="2">
        <v>49</v>
      </c>
      <c r="B50" s="2"/>
      <c r="C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3.8" x14ac:dyDescent="0.25">
      <c r="A51" s="2">
        <v>50</v>
      </c>
      <c r="B51" s="2"/>
      <c r="C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3.8" x14ac:dyDescent="0.25">
      <c r="A52" s="2">
        <v>51</v>
      </c>
      <c r="B52" s="2"/>
      <c r="C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3.8" x14ac:dyDescent="0.25">
      <c r="A53" s="2">
        <v>52</v>
      </c>
      <c r="B53" s="2"/>
      <c r="C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3.8" x14ac:dyDescent="0.25">
      <c r="A54" s="2">
        <v>53</v>
      </c>
      <c r="B54" s="2"/>
      <c r="C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3.8" x14ac:dyDescent="0.25">
      <c r="A55" s="2">
        <v>54</v>
      </c>
      <c r="B55" s="2"/>
      <c r="C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x14ac:dyDescent="0.25">
      <c r="A56" s="2">
        <v>55</v>
      </c>
      <c r="B56" s="2" t="s">
        <v>2039</v>
      </c>
      <c r="C56" s="2" t="s">
        <v>1996</v>
      </c>
      <c r="D56" s="12" t="s">
        <v>2065</v>
      </c>
      <c r="E56" s="1" t="s">
        <v>2090</v>
      </c>
      <c r="F56" s="1"/>
      <c r="G56" s="1"/>
      <c r="H56" s="2"/>
      <c r="I56" s="2"/>
      <c r="J56" s="2"/>
      <c r="K56" s="2"/>
      <c r="L56" s="2"/>
      <c r="M56" s="2"/>
      <c r="N56" s="2"/>
      <c r="O56" s="2" t="s">
        <v>2124</v>
      </c>
      <c r="P56" s="2" t="s">
        <v>2125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3.8" x14ac:dyDescent="0.25">
      <c r="A57" s="2">
        <v>56</v>
      </c>
      <c r="B57" s="2"/>
      <c r="C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3.8" x14ac:dyDescent="0.25">
      <c r="A58" s="2">
        <v>57</v>
      </c>
      <c r="B58" s="2"/>
      <c r="C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3.8" x14ac:dyDescent="0.25">
      <c r="A59" s="2">
        <v>58</v>
      </c>
      <c r="B59" s="2"/>
      <c r="C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3.8" x14ac:dyDescent="0.25">
      <c r="A60" s="2">
        <v>59</v>
      </c>
      <c r="B60" s="2"/>
      <c r="C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3.8" x14ac:dyDescent="0.25">
      <c r="A61" s="2">
        <v>60</v>
      </c>
      <c r="B61" s="2"/>
      <c r="C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x14ac:dyDescent="0.25">
      <c r="A62" s="2">
        <v>61</v>
      </c>
      <c r="B62" s="2" t="s">
        <v>2046</v>
      </c>
      <c r="C62" s="2" t="s">
        <v>2002</v>
      </c>
      <c r="D62" s="12" t="s">
        <v>2072</v>
      </c>
      <c r="E62" s="1" t="s">
        <v>2096</v>
      </c>
      <c r="F62" s="1"/>
      <c r="G62" s="1"/>
      <c r="H62" s="2"/>
      <c r="I62" s="2"/>
      <c r="J62" s="2"/>
      <c r="K62" s="2"/>
      <c r="L62" s="2"/>
      <c r="M62" s="2"/>
      <c r="N62" s="2"/>
      <c r="O62" s="2" t="s">
        <v>2138</v>
      </c>
      <c r="P62" s="2" t="s">
        <v>2139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 t="s">
        <v>2771</v>
      </c>
      <c r="AT62" s="2" t="s">
        <v>2772</v>
      </c>
      <c r="AU62" s="2" t="s">
        <v>2773</v>
      </c>
      <c r="AV62" s="2" t="s">
        <v>2774</v>
      </c>
      <c r="AW62" s="2" t="s">
        <v>2775</v>
      </c>
      <c r="AX62" s="2" t="s">
        <v>2776</v>
      </c>
      <c r="AY62" s="2" t="s">
        <v>2777</v>
      </c>
      <c r="AZ62" s="2" t="s">
        <v>2778</v>
      </c>
    </row>
    <row r="63" spans="1:52" ht="13.8" x14ac:dyDescent="0.25">
      <c r="A63" s="2">
        <v>62</v>
      </c>
      <c r="B63" s="2"/>
      <c r="C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3.8" x14ac:dyDescent="0.25">
      <c r="A64" s="2">
        <v>63</v>
      </c>
      <c r="B64" s="2"/>
      <c r="C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25">
      <c r="A65" s="2">
        <v>64</v>
      </c>
      <c r="B65" s="2" t="s">
        <v>2050</v>
      </c>
      <c r="C65" s="2" t="s">
        <v>2006</v>
      </c>
      <c r="D65" s="12" t="s">
        <v>2397</v>
      </c>
      <c r="E65" s="1" t="s">
        <v>2100</v>
      </c>
      <c r="F65" s="1"/>
      <c r="G65" s="1"/>
      <c r="H65" s="2"/>
      <c r="I65" s="2"/>
      <c r="J65" s="2"/>
      <c r="K65" s="2"/>
      <c r="L65" s="2"/>
      <c r="M65" s="2"/>
      <c r="N65" s="2"/>
      <c r="O65" s="2" t="s">
        <v>2146</v>
      </c>
      <c r="P65" s="2" t="s">
        <v>2147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 t="s">
        <v>1983</v>
      </c>
      <c r="AT65" s="2" t="s">
        <v>1983</v>
      </c>
      <c r="AU65" s="2" t="s">
        <v>2779</v>
      </c>
      <c r="AV65" s="2" t="s">
        <v>2780</v>
      </c>
      <c r="AW65" s="2" t="s">
        <v>2781</v>
      </c>
      <c r="AX65" s="2" t="s">
        <v>2782</v>
      </c>
      <c r="AY65" s="2" t="s">
        <v>1983</v>
      </c>
      <c r="AZ65" s="2" t="s">
        <v>1983</v>
      </c>
    </row>
    <row r="66" spans="1:52" x14ac:dyDescent="0.25">
      <c r="A66" s="2">
        <v>65</v>
      </c>
      <c r="B66" s="2" t="s">
        <v>2051</v>
      </c>
      <c r="C66" s="2" t="s">
        <v>2428</v>
      </c>
      <c r="D66" s="12" t="s">
        <v>2075</v>
      </c>
      <c r="E66" s="1" t="s">
        <v>2101</v>
      </c>
      <c r="F66" s="1"/>
      <c r="G66" s="1"/>
      <c r="H66" s="2"/>
      <c r="I66" s="2"/>
      <c r="J66" s="2"/>
      <c r="K66" s="2"/>
      <c r="L66" s="2"/>
      <c r="M66" s="2"/>
      <c r="N66" s="2"/>
      <c r="O66" s="2" t="s">
        <v>2148</v>
      </c>
      <c r="P66" s="2" t="s">
        <v>2149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x14ac:dyDescent="0.25">
      <c r="A67" s="2">
        <v>66</v>
      </c>
      <c r="B67" s="2" t="s">
        <v>2052</v>
      </c>
      <c r="C67" s="2" t="s">
        <v>2007</v>
      </c>
      <c r="D67" s="12" t="s">
        <v>2076</v>
      </c>
      <c r="E67" s="1" t="s">
        <v>2102</v>
      </c>
      <c r="F67" s="1"/>
      <c r="G67" s="1"/>
      <c r="H67" s="2"/>
      <c r="I67" s="2"/>
      <c r="J67" s="2"/>
      <c r="K67" s="2"/>
      <c r="L67" s="2"/>
      <c r="M67" s="2"/>
      <c r="N67" s="2"/>
      <c r="O67" s="2" t="s">
        <v>2150</v>
      </c>
      <c r="P67" s="2" t="s">
        <v>2151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 t="s">
        <v>2783</v>
      </c>
      <c r="AT67" s="2" t="s">
        <v>2784</v>
      </c>
      <c r="AU67" s="2" t="s">
        <v>2785</v>
      </c>
      <c r="AV67" s="2" t="s">
        <v>2786</v>
      </c>
      <c r="AW67" s="2" t="s">
        <v>2787</v>
      </c>
      <c r="AX67" s="2" t="s">
        <v>2788</v>
      </c>
      <c r="AY67" s="2" t="s">
        <v>2789</v>
      </c>
      <c r="AZ67" s="2" t="s">
        <v>2790</v>
      </c>
    </row>
    <row r="68" spans="1:52" ht="13.8" x14ac:dyDescent="0.25">
      <c r="A68" s="2">
        <v>67</v>
      </c>
      <c r="B68" s="2"/>
      <c r="C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3.8" x14ac:dyDescent="0.25">
      <c r="A69" s="2">
        <v>68</v>
      </c>
      <c r="B69" s="2"/>
      <c r="C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3.8" x14ac:dyDescent="0.25">
      <c r="A70" s="2">
        <v>69</v>
      </c>
      <c r="B70" s="2"/>
      <c r="C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5">
      <c r="A71" s="2">
        <v>70</v>
      </c>
      <c r="B71" s="2" t="s">
        <v>2056</v>
      </c>
      <c r="C71" s="2" t="s">
        <v>2011</v>
      </c>
      <c r="D71" s="12" t="s">
        <v>2080</v>
      </c>
      <c r="E71" s="1" t="s">
        <v>2106</v>
      </c>
      <c r="F71" s="1"/>
      <c r="G71" s="1"/>
      <c r="H71" s="2"/>
      <c r="I71" s="2"/>
      <c r="J71" s="2"/>
      <c r="K71" s="2"/>
      <c r="L71" s="2"/>
      <c r="M71" s="2"/>
      <c r="N71" s="2"/>
      <c r="O71" s="2" t="s">
        <v>2158</v>
      </c>
      <c r="P71" s="2" t="s">
        <v>2159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>
        <v>3.3</v>
      </c>
      <c r="AJ71" s="2">
        <v>2.1</v>
      </c>
      <c r="AK71" s="2">
        <v>1.7</v>
      </c>
      <c r="AL71" s="2">
        <v>1.7</v>
      </c>
      <c r="AM71" s="2">
        <v>3.5</v>
      </c>
      <c r="AN71" s="2">
        <v>1.8</v>
      </c>
      <c r="AO71" s="2">
        <v>4.4000000000000004</v>
      </c>
      <c r="AP71" s="2">
        <v>1.1000000000000001</v>
      </c>
      <c r="AQ71" s="2">
        <v>4.3</v>
      </c>
      <c r="AR71" s="2">
        <v>2.1</v>
      </c>
      <c r="AS71" s="2" t="s">
        <v>2791</v>
      </c>
      <c r="AT71" s="2" t="s">
        <v>2792</v>
      </c>
      <c r="AU71" s="2" t="s">
        <v>2793</v>
      </c>
      <c r="AV71" s="2" t="s">
        <v>2794</v>
      </c>
      <c r="AW71" s="2" t="s">
        <v>2795</v>
      </c>
      <c r="AX71" s="2" t="s">
        <v>2796</v>
      </c>
      <c r="AY71" s="2" t="s">
        <v>2797</v>
      </c>
      <c r="AZ71" s="2" t="s">
        <v>2798</v>
      </c>
    </row>
    <row r="72" spans="1:52" x14ac:dyDescent="0.25">
      <c r="A72" s="2">
        <v>71</v>
      </c>
      <c r="B72" s="2"/>
      <c r="C72" s="2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3.8" x14ac:dyDescent="0.25">
      <c r="A73" s="2">
        <v>72</v>
      </c>
      <c r="B73" s="2"/>
      <c r="C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5">
      <c r="A74" s="2">
        <v>73</v>
      </c>
      <c r="B74" s="2" t="s">
        <v>2191</v>
      </c>
      <c r="C74" s="2" t="s">
        <v>2429</v>
      </c>
      <c r="D74" s="12" t="s">
        <v>2192</v>
      </c>
      <c r="E74" s="1" t="s">
        <v>2193</v>
      </c>
      <c r="F74" s="1"/>
      <c r="G74" s="1"/>
      <c r="H74" s="2" t="s">
        <v>2194</v>
      </c>
      <c r="I74" s="2" t="s">
        <v>2195</v>
      </c>
      <c r="J74" s="2"/>
      <c r="K74" s="2"/>
      <c r="L74" s="2"/>
      <c r="M74" s="2"/>
      <c r="N74" s="2"/>
      <c r="O74" s="2"/>
      <c r="P74" s="2"/>
      <c r="Q74" s="2" t="s">
        <v>2799</v>
      </c>
      <c r="R74" s="2" t="s">
        <v>2800</v>
      </c>
      <c r="S74" s="2">
        <v>1.629</v>
      </c>
      <c r="T74" s="2">
        <v>1.2629999999999999</v>
      </c>
      <c r="U74" s="2">
        <v>1.996</v>
      </c>
      <c r="V74" s="2">
        <v>2.609</v>
      </c>
      <c r="W74" s="2">
        <v>2.399</v>
      </c>
      <c r="X74" s="2"/>
      <c r="Y74" s="2"/>
      <c r="Z74" s="2"/>
      <c r="AA74" s="2"/>
      <c r="AB74" s="2"/>
      <c r="AC74" s="2"/>
      <c r="AD74" s="2"/>
      <c r="AE74" s="2"/>
      <c r="AF74" s="2">
        <v>131</v>
      </c>
      <c r="AG74" s="2">
        <v>167</v>
      </c>
      <c r="AH74" s="2">
        <v>150</v>
      </c>
      <c r="AI74" s="2">
        <v>139</v>
      </c>
      <c r="AJ74" s="2">
        <v>65</v>
      </c>
      <c r="AK74" s="2">
        <v>169</v>
      </c>
      <c r="AL74" s="2">
        <v>81</v>
      </c>
      <c r="AM74" s="2">
        <v>131</v>
      </c>
      <c r="AN74" s="2">
        <v>74</v>
      </c>
      <c r="AO74" s="2">
        <v>157</v>
      </c>
      <c r="AP74" s="2">
        <v>55</v>
      </c>
      <c r="AQ74" s="2">
        <v>262</v>
      </c>
      <c r="AR74" s="2">
        <v>143</v>
      </c>
      <c r="AS74" s="2"/>
      <c r="AT74" s="2"/>
      <c r="AU74" s="2"/>
      <c r="AV74" s="2"/>
      <c r="AW74" s="2"/>
      <c r="AX74" s="2"/>
      <c r="AY74" s="2"/>
      <c r="AZ74" s="2"/>
    </row>
    <row r="75" spans="1:52" x14ac:dyDescent="0.25">
      <c r="A75" s="2">
        <v>74</v>
      </c>
      <c r="B75" s="2" t="s">
        <v>2206</v>
      </c>
      <c r="C75" s="2" t="s">
        <v>2430</v>
      </c>
      <c r="D75" s="12" t="s">
        <v>2207</v>
      </c>
      <c r="E75" s="1" t="s">
        <v>2205</v>
      </c>
      <c r="F75" s="1"/>
      <c r="G75" s="1"/>
      <c r="H75" s="2" t="s">
        <v>2208</v>
      </c>
      <c r="I75" s="2" t="s">
        <v>2209</v>
      </c>
      <c r="J75" s="2"/>
      <c r="K75" s="2"/>
      <c r="L75" s="2"/>
      <c r="M75" s="2"/>
      <c r="N75" s="2"/>
      <c r="O75" s="2"/>
      <c r="P75" s="2"/>
      <c r="Q75" s="2"/>
      <c r="R75" s="2"/>
      <c r="S75" s="2">
        <v>0.997</v>
      </c>
      <c r="T75" s="2">
        <v>0.20100000000000001</v>
      </c>
      <c r="U75" s="2">
        <v>1.611</v>
      </c>
      <c r="V75" s="2">
        <v>1.369</v>
      </c>
      <c r="W75" s="2">
        <v>0.621</v>
      </c>
      <c r="X75" s="2"/>
      <c r="Y75" s="2"/>
      <c r="Z75" s="2"/>
      <c r="AA75" s="2"/>
      <c r="AB75" s="2"/>
      <c r="AC75" s="2"/>
      <c r="AD75" s="2"/>
      <c r="AE75" s="2"/>
      <c r="AF75" s="2">
        <v>83</v>
      </c>
      <c r="AG75" s="2">
        <v>86</v>
      </c>
      <c r="AH75" s="2">
        <v>94</v>
      </c>
      <c r="AI75" s="2">
        <v>59</v>
      </c>
      <c r="AJ75" s="2">
        <v>10</v>
      </c>
      <c r="AK75" s="2">
        <v>29</v>
      </c>
      <c r="AL75" s="2">
        <v>16</v>
      </c>
      <c r="AM75" s="2">
        <v>15</v>
      </c>
      <c r="AN75" s="2">
        <v>12</v>
      </c>
      <c r="AO75" s="2">
        <v>40</v>
      </c>
      <c r="AP75" s="2">
        <v>6.1</v>
      </c>
      <c r="AQ75" s="2">
        <v>65</v>
      </c>
      <c r="AR75" s="2">
        <v>17</v>
      </c>
      <c r="AS75" s="2"/>
      <c r="AT75" s="2"/>
      <c r="AU75" s="2"/>
      <c r="AV75" s="2"/>
      <c r="AW75" s="2"/>
      <c r="AX75" s="2"/>
      <c r="AY75" s="2"/>
      <c r="AZ75" s="2"/>
    </row>
    <row r="76" spans="1:52" x14ac:dyDescent="0.25">
      <c r="A76" s="2">
        <v>75</v>
      </c>
      <c r="B76" s="2" t="s">
        <v>2210</v>
      </c>
      <c r="C76" s="2" t="s">
        <v>2211</v>
      </c>
      <c r="D76" s="12" t="s">
        <v>2212</v>
      </c>
      <c r="E76" s="1" t="s">
        <v>2213</v>
      </c>
      <c r="F76" s="1"/>
      <c r="G76" s="1"/>
      <c r="H76" s="2" t="s">
        <v>2214</v>
      </c>
      <c r="I76" s="2" t="s">
        <v>2215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1905</v>
      </c>
      <c r="AG76" s="2">
        <v>3</v>
      </c>
      <c r="AH76" s="2">
        <v>3</v>
      </c>
      <c r="AI76" s="2">
        <v>8.1999999999999993</v>
      </c>
      <c r="AJ76" s="2">
        <v>1.1000000000000001</v>
      </c>
      <c r="AK76" s="2">
        <v>4.2</v>
      </c>
      <c r="AL76" s="2">
        <v>1.1000000000000001</v>
      </c>
      <c r="AM76" s="2">
        <v>4.2</v>
      </c>
      <c r="AN76" s="2">
        <v>1.2</v>
      </c>
      <c r="AO76" s="2">
        <v>2.4</v>
      </c>
      <c r="AP76" s="2" t="s">
        <v>1905</v>
      </c>
      <c r="AQ76" s="2">
        <v>5.8</v>
      </c>
      <c r="AR76" s="2" t="s">
        <v>1905</v>
      </c>
      <c r="AS76" s="2" t="s">
        <v>2801</v>
      </c>
      <c r="AT76" s="2" t="s">
        <v>2802</v>
      </c>
      <c r="AU76" s="2" t="s">
        <v>2803</v>
      </c>
      <c r="AV76" s="2" t="s">
        <v>2804</v>
      </c>
      <c r="AW76" s="2" t="s">
        <v>2805</v>
      </c>
      <c r="AX76" s="2" t="s">
        <v>2806</v>
      </c>
      <c r="AY76" s="2" t="s">
        <v>2807</v>
      </c>
      <c r="AZ76" s="2" t="s">
        <v>2808</v>
      </c>
    </row>
    <row r="77" spans="1:52" ht="13.8" x14ac:dyDescent="0.25">
      <c r="A77" s="2">
        <v>76</v>
      </c>
      <c r="B77" s="2"/>
      <c r="C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3.8" x14ac:dyDescent="0.25">
      <c r="A78" s="2">
        <v>77</v>
      </c>
      <c r="B78" s="2"/>
      <c r="C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3.8" x14ac:dyDescent="0.25">
      <c r="A79" s="2">
        <v>78</v>
      </c>
      <c r="B79" s="2"/>
      <c r="C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x14ac:dyDescent="0.25">
      <c r="A80" s="2">
        <v>79</v>
      </c>
      <c r="B80" s="2" t="s">
        <v>2264</v>
      </c>
      <c r="C80" s="2" t="s">
        <v>2265</v>
      </c>
      <c r="D80" s="12" t="s">
        <v>2396</v>
      </c>
      <c r="E80" s="1" t="s">
        <v>2266</v>
      </c>
      <c r="F80" s="1"/>
      <c r="G80" s="1"/>
      <c r="H80" s="2" t="s">
        <v>2267</v>
      </c>
      <c r="I80" s="2" t="s">
        <v>2268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 t="s">
        <v>1983</v>
      </c>
      <c r="AT80" s="2" t="s">
        <v>1983</v>
      </c>
      <c r="AU80" s="2" t="s">
        <v>1983</v>
      </c>
      <c r="AV80" s="2" t="s">
        <v>2809</v>
      </c>
      <c r="AW80" s="2" t="s">
        <v>2810</v>
      </c>
      <c r="AX80" s="2" t="s">
        <v>2811</v>
      </c>
      <c r="AY80" s="2" t="s">
        <v>2812</v>
      </c>
      <c r="AZ80" s="2" t="s">
        <v>2813</v>
      </c>
    </row>
    <row r="81" spans="1:52" x14ac:dyDescent="0.25">
      <c r="A81" s="2">
        <v>80</v>
      </c>
      <c r="B81" s="2"/>
      <c r="C81" s="2"/>
      <c r="D81" s="12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3.8" x14ac:dyDescent="0.25">
      <c r="A82" s="2">
        <v>81</v>
      </c>
      <c r="B82" s="2"/>
      <c r="C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3.8" x14ac:dyDescent="0.25">
      <c r="A83" s="2">
        <v>82</v>
      </c>
      <c r="B83" s="2"/>
      <c r="C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x14ac:dyDescent="0.25">
      <c r="A84" s="2">
        <v>83</v>
      </c>
      <c r="B84" s="2" t="s">
        <v>2244</v>
      </c>
      <c r="C84" s="2" t="s">
        <v>2431</v>
      </c>
      <c r="D84" s="12" t="s">
        <v>2349</v>
      </c>
      <c r="E84" s="1" t="s">
        <v>2245</v>
      </c>
      <c r="F84" s="1"/>
      <c r="G84" s="1"/>
      <c r="H84" s="2" t="s">
        <v>2281</v>
      </c>
      <c r="I84" s="2" t="s">
        <v>2282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 t="s">
        <v>2814</v>
      </c>
      <c r="AT84" s="2" t="s">
        <v>1983</v>
      </c>
      <c r="AU84" s="2" t="s">
        <v>2815</v>
      </c>
      <c r="AV84" s="2" t="s">
        <v>2816</v>
      </c>
      <c r="AW84" s="2" t="s">
        <v>2817</v>
      </c>
      <c r="AX84" s="2" t="s">
        <v>2818</v>
      </c>
      <c r="AY84" s="2" t="s">
        <v>2819</v>
      </c>
      <c r="AZ84" s="2" t="s">
        <v>2820</v>
      </c>
    </row>
    <row r="85" spans="1:52" ht="13.8" x14ac:dyDescent="0.25">
      <c r="A85" s="2">
        <v>84</v>
      </c>
      <c r="B85" s="2"/>
      <c r="C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3.8" x14ac:dyDescent="0.25">
      <c r="A86" s="2">
        <v>85</v>
      </c>
      <c r="B86" s="2"/>
      <c r="C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x14ac:dyDescent="0.25">
      <c r="A87" s="2">
        <v>86</v>
      </c>
      <c r="B87" s="2" t="s">
        <v>2252</v>
      </c>
      <c r="C87" s="2" t="s">
        <v>2253</v>
      </c>
      <c r="D87" s="12" t="s">
        <v>2254</v>
      </c>
      <c r="E87" s="1" t="s">
        <v>2289</v>
      </c>
      <c r="F87" s="1"/>
      <c r="G87" s="1"/>
      <c r="H87" s="2" t="s">
        <v>2290</v>
      </c>
      <c r="I87" s="2" t="s">
        <v>2291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x14ac:dyDescent="0.25">
      <c r="A88" s="2">
        <v>87</v>
      </c>
      <c r="B88" s="2" t="s">
        <v>2294</v>
      </c>
      <c r="C88" s="2" t="s">
        <v>2432</v>
      </c>
      <c r="D88" s="12" t="s">
        <v>2255</v>
      </c>
      <c r="E88" s="1" t="s">
        <v>2246</v>
      </c>
      <c r="F88" s="1"/>
      <c r="G88" s="1"/>
      <c r="H88" s="2" t="s">
        <v>2292</v>
      </c>
      <c r="I88" s="2" t="s">
        <v>2293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3.8" x14ac:dyDescent="0.25">
      <c r="A89" s="2">
        <v>88</v>
      </c>
      <c r="B89" s="2"/>
      <c r="C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3.8" x14ac:dyDescent="0.25">
      <c r="A90" s="2">
        <v>89</v>
      </c>
      <c r="B90" s="2" t="s">
        <v>2328</v>
      </c>
      <c r="C90" s="2" t="s">
        <v>2329</v>
      </c>
      <c r="D90" s="17" t="s">
        <v>2364</v>
      </c>
      <c r="E90" s="14" t="s">
        <v>2330</v>
      </c>
      <c r="H90" s="2"/>
      <c r="I90" s="2"/>
      <c r="J90" s="2"/>
      <c r="K90" s="2"/>
      <c r="L90" s="2"/>
      <c r="M90" s="2"/>
      <c r="N90" s="2"/>
      <c r="O90" s="2"/>
      <c r="P90" s="2"/>
      <c r="Q90" s="2" t="s">
        <v>2821</v>
      </c>
      <c r="R90" s="2" t="s">
        <v>2822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>
        <v>423</v>
      </c>
      <c r="AG90" s="2">
        <v>412</v>
      </c>
      <c r="AH90" s="2">
        <v>452</v>
      </c>
      <c r="AI90" s="2">
        <v>1211</v>
      </c>
      <c r="AJ90" s="2">
        <v>525</v>
      </c>
      <c r="AK90" s="2">
        <v>1077</v>
      </c>
      <c r="AL90" s="2">
        <v>332</v>
      </c>
      <c r="AM90" s="2">
        <v>1177</v>
      </c>
      <c r="AN90" s="2">
        <v>366</v>
      </c>
      <c r="AO90" s="2">
        <v>688</v>
      </c>
      <c r="AP90" s="2">
        <v>135</v>
      </c>
      <c r="AQ90" s="2">
        <v>1159</v>
      </c>
      <c r="AR90" s="2">
        <v>565</v>
      </c>
      <c r="AS90" s="2"/>
      <c r="AT90" s="2"/>
      <c r="AU90" s="2"/>
      <c r="AV90" s="2"/>
      <c r="AW90" s="2"/>
      <c r="AX90" s="2"/>
      <c r="AY90" s="2"/>
      <c r="AZ90" s="2"/>
    </row>
    <row r="91" spans="1:52" ht="13.8" x14ac:dyDescent="0.25">
      <c r="A91" s="2">
        <v>90</v>
      </c>
      <c r="B91" s="2" t="s">
        <v>2407</v>
      </c>
      <c r="C91" s="2" t="s">
        <v>2408</v>
      </c>
      <c r="D91" s="17" t="s">
        <v>2331</v>
      </c>
      <c r="E91" s="14" t="s">
        <v>2332</v>
      </c>
      <c r="H91" s="2"/>
      <c r="I91" s="2"/>
      <c r="J91" s="2"/>
      <c r="K91" s="2"/>
      <c r="L91" s="2"/>
      <c r="M91" s="2"/>
      <c r="N91" s="2"/>
      <c r="O91" s="2"/>
      <c r="P91" s="2"/>
      <c r="Q91" s="2" t="s">
        <v>2823</v>
      </c>
      <c r="R91" s="2" t="s">
        <v>2824</v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>
        <v>32</v>
      </c>
      <c r="AJ91" s="2">
        <v>72</v>
      </c>
      <c r="AK91" s="2">
        <v>27</v>
      </c>
      <c r="AL91" s="2">
        <v>10</v>
      </c>
      <c r="AM91" s="2">
        <v>31</v>
      </c>
      <c r="AN91" s="2">
        <v>10</v>
      </c>
      <c r="AO91" s="2">
        <v>53</v>
      </c>
      <c r="AP91" s="2">
        <v>63</v>
      </c>
      <c r="AQ91" s="2">
        <v>121</v>
      </c>
      <c r="AR91" s="2">
        <v>33</v>
      </c>
      <c r="AS91" s="2"/>
      <c r="AT91" s="2"/>
      <c r="AU91" s="2"/>
      <c r="AV91" s="2"/>
      <c r="AW91" s="2"/>
      <c r="AX91" s="2"/>
      <c r="AY91" s="2"/>
      <c r="AZ91" s="2"/>
    </row>
    <row r="92" spans="1:52" ht="13.8" x14ac:dyDescent="0.25">
      <c r="A92" s="2">
        <v>91</v>
      </c>
      <c r="B92" s="2" t="s">
        <v>2409</v>
      </c>
      <c r="C92" s="2" t="s">
        <v>2410</v>
      </c>
      <c r="D92" s="17" t="s">
        <v>2337</v>
      </c>
      <c r="E92" s="14" t="s">
        <v>2338</v>
      </c>
      <c r="H92" s="2"/>
      <c r="I92" s="2"/>
      <c r="J92" s="2"/>
      <c r="K92" s="2"/>
      <c r="L92" s="2"/>
      <c r="M92" s="2"/>
      <c r="N92" s="2"/>
      <c r="O92" s="2"/>
      <c r="P92" s="2"/>
      <c r="Q92" s="2" t="s">
        <v>2825</v>
      </c>
      <c r="R92" s="2" t="s">
        <v>2826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3.8" x14ac:dyDescent="0.25">
      <c r="A93" s="2">
        <v>92</v>
      </c>
      <c r="B93" s="2" t="s">
        <v>2411</v>
      </c>
      <c r="C93" s="2" t="s">
        <v>2412</v>
      </c>
      <c r="D93" s="18" t="s">
        <v>2365</v>
      </c>
      <c r="E93" s="14" t="s">
        <v>2366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>
        <v>2</v>
      </c>
      <c r="AG93" s="2">
        <v>4</v>
      </c>
      <c r="AH93" s="2">
        <v>3</v>
      </c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 t="s">
        <v>2827</v>
      </c>
      <c r="AT93" s="2" t="s">
        <v>2828</v>
      </c>
      <c r="AU93" s="2" t="s">
        <v>2829</v>
      </c>
      <c r="AV93" s="2" t="s">
        <v>2830</v>
      </c>
      <c r="AW93" s="2" t="s">
        <v>2831</v>
      </c>
      <c r="AX93" s="2" t="s">
        <v>2832</v>
      </c>
      <c r="AY93" s="2" t="s">
        <v>2833</v>
      </c>
      <c r="AZ93" s="2" t="s">
        <v>2834</v>
      </c>
    </row>
    <row r="94" spans="1:52" ht="13.8" x14ac:dyDescent="0.25">
      <c r="A94" s="2">
        <v>93</v>
      </c>
      <c r="B94" s="2" t="s">
        <v>1329</v>
      </c>
      <c r="C94" s="2" t="s">
        <v>996</v>
      </c>
      <c r="D94" s="18" t="s">
        <v>2186</v>
      </c>
      <c r="E94" s="19" t="s">
        <v>2392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>
        <v>2</v>
      </c>
      <c r="AG94" s="2">
        <v>2</v>
      </c>
      <c r="AH94" s="2">
        <v>2</v>
      </c>
      <c r="AI94" s="2">
        <v>6.1</v>
      </c>
      <c r="AJ94" s="2">
        <v>3.8</v>
      </c>
      <c r="AK94" s="2" t="s">
        <v>1905</v>
      </c>
      <c r="AL94" s="2">
        <v>2.7</v>
      </c>
      <c r="AM94" s="2" t="s">
        <v>1905</v>
      </c>
      <c r="AN94" s="2">
        <v>1.3</v>
      </c>
      <c r="AO94" s="2" t="s">
        <v>1905</v>
      </c>
      <c r="AP94" s="2">
        <v>4.5999999999999996</v>
      </c>
      <c r="AQ94" s="2">
        <v>1.9</v>
      </c>
      <c r="AR94" s="2" t="s">
        <v>1905</v>
      </c>
      <c r="AS94" s="2" t="s">
        <v>2835</v>
      </c>
      <c r="AT94" s="2" t="s">
        <v>2836</v>
      </c>
      <c r="AU94" s="2" t="s">
        <v>2837</v>
      </c>
      <c r="AV94" s="2" t="s">
        <v>2838</v>
      </c>
      <c r="AW94" s="2" t="s">
        <v>2839</v>
      </c>
      <c r="AX94" s="2" t="s">
        <v>1906</v>
      </c>
      <c r="AY94" s="2" t="s">
        <v>2840</v>
      </c>
      <c r="AZ94" s="2" t="s">
        <v>2543</v>
      </c>
    </row>
    <row r="95" spans="1:52" ht="13.8" x14ac:dyDescent="0.25">
      <c r="A95" s="2">
        <v>94</v>
      </c>
      <c r="B95" s="2" t="s">
        <v>2413</v>
      </c>
      <c r="C95" s="2" t="s">
        <v>2433</v>
      </c>
      <c r="D95" s="18" t="s">
        <v>2382</v>
      </c>
      <c r="E95" s="19" t="s">
        <v>2383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>
        <v>3.7</v>
      </c>
      <c r="AJ95" s="2" t="s">
        <v>1905</v>
      </c>
      <c r="AK95" s="2">
        <v>2.5</v>
      </c>
      <c r="AL95" s="2">
        <v>1.8</v>
      </c>
      <c r="AM95" s="2">
        <v>4.0999999999999996</v>
      </c>
      <c r="AN95" s="2" t="s">
        <v>1905</v>
      </c>
      <c r="AO95" s="2">
        <v>1.8</v>
      </c>
      <c r="AP95" s="2" t="s">
        <v>1905</v>
      </c>
      <c r="AQ95" s="2">
        <v>1.1000000000000001</v>
      </c>
      <c r="AR95" s="2">
        <v>1.4</v>
      </c>
      <c r="AS95" s="2"/>
      <c r="AT95" s="2"/>
      <c r="AU95" s="2"/>
      <c r="AV95" s="2"/>
      <c r="AW95" s="2"/>
      <c r="AX95" s="2"/>
      <c r="AY95" s="2"/>
      <c r="AZ95" s="2"/>
    </row>
    <row r="96" spans="1:52" ht="13.8" x14ac:dyDescent="0.25">
      <c r="A96" s="2">
        <v>95</v>
      </c>
      <c r="B96" s="2" t="s">
        <v>2414</v>
      </c>
      <c r="C96" s="2" t="s">
        <v>2415</v>
      </c>
      <c r="D96" s="20" t="s">
        <v>2393</v>
      </c>
      <c r="E96" s="20" t="s">
        <v>2394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 t="s">
        <v>2841</v>
      </c>
      <c r="AT96" s="2" t="s">
        <v>1657</v>
      </c>
      <c r="AU96" s="2" t="s">
        <v>2842</v>
      </c>
      <c r="AV96" s="2" t="s">
        <v>1659</v>
      </c>
      <c r="AW96" s="2" t="s">
        <v>2843</v>
      </c>
      <c r="AX96" s="2" t="s">
        <v>1661</v>
      </c>
      <c r="AY96" s="2" t="s">
        <v>2844</v>
      </c>
      <c r="AZ96" s="2" t="s">
        <v>1663</v>
      </c>
    </row>
    <row r="101" spans="2:4" x14ac:dyDescent="0.25">
      <c r="B101" s="1"/>
      <c r="C101" s="1"/>
      <c r="D101" s="1"/>
    </row>
    <row r="102" spans="2:4" x14ac:dyDescent="0.25">
      <c r="B102" s="1"/>
      <c r="C102" s="1"/>
      <c r="D102" s="1"/>
    </row>
    <row r="103" spans="2:4" x14ac:dyDescent="0.25">
      <c r="B103" s="1"/>
      <c r="C103" s="1"/>
      <c r="D103" s="1"/>
    </row>
    <row r="104" spans="2:4" x14ac:dyDescent="0.25">
      <c r="B104" s="1"/>
      <c r="C104" s="1"/>
      <c r="D104" s="1"/>
    </row>
    <row r="105" spans="2:4" x14ac:dyDescent="0.25">
      <c r="B105" s="1"/>
      <c r="C105" s="1"/>
      <c r="D105" s="1"/>
    </row>
    <row r="106" spans="2:4" x14ac:dyDescent="0.25">
      <c r="B106" s="1"/>
      <c r="C106" s="1"/>
      <c r="D106" s="1"/>
    </row>
    <row r="107" spans="2:4" x14ac:dyDescent="0.25">
      <c r="B107" s="1"/>
      <c r="C107" s="1"/>
      <c r="D107" s="1"/>
    </row>
    <row r="108" spans="2:4" x14ac:dyDescent="0.25">
      <c r="B108" s="1"/>
      <c r="C108" s="1"/>
      <c r="D108" s="1"/>
    </row>
    <row r="109" spans="2:4" x14ac:dyDescent="0.25">
      <c r="B109" s="1"/>
      <c r="C109" s="1"/>
      <c r="D109" s="1"/>
    </row>
    <row r="110" spans="2:4" x14ac:dyDescent="0.25">
      <c r="B110" s="1"/>
      <c r="C110" s="1"/>
      <c r="D110" s="1"/>
    </row>
    <row r="111" spans="2:4" x14ac:dyDescent="0.25">
      <c r="B111" s="1"/>
      <c r="C111" s="1"/>
      <c r="D111" s="1"/>
    </row>
    <row r="112" spans="2:4" x14ac:dyDescent="0.25">
      <c r="B112" s="1"/>
      <c r="C112" s="1"/>
      <c r="D112" s="1"/>
    </row>
    <row r="113" spans="2:4" x14ac:dyDescent="0.25">
      <c r="B113" s="1"/>
      <c r="C113" s="1"/>
      <c r="D113" s="1"/>
    </row>
    <row r="114" spans="2:4" x14ac:dyDescent="0.25">
      <c r="B114" s="1"/>
      <c r="C114" s="1"/>
      <c r="D114" s="1"/>
    </row>
    <row r="115" spans="2:4" x14ac:dyDescent="0.25">
      <c r="B115" s="1"/>
      <c r="C115" s="1"/>
      <c r="D115" s="1"/>
    </row>
    <row r="116" spans="2:4" x14ac:dyDescent="0.25">
      <c r="B116" s="1"/>
      <c r="C116" s="1"/>
      <c r="D116" s="1"/>
    </row>
    <row r="117" spans="2:4" x14ac:dyDescent="0.25">
      <c r="B117" s="1"/>
      <c r="C117" s="1"/>
      <c r="D117" s="1"/>
    </row>
    <row r="118" spans="2:4" x14ac:dyDescent="0.25">
      <c r="B118" s="1"/>
      <c r="C118" s="1"/>
      <c r="D118" s="1"/>
    </row>
    <row r="119" spans="2:4" x14ac:dyDescent="0.25">
      <c r="B119" s="1"/>
      <c r="C119" s="1"/>
      <c r="D119" s="1"/>
    </row>
    <row r="120" spans="2:4" x14ac:dyDescent="0.25">
      <c r="B120" s="1"/>
      <c r="C120" s="1"/>
      <c r="D120" s="1"/>
    </row>
    <row r="121" spans="2:4" x14ac:dyDescent="0.25">
      <c r="B121" s="1"/>
      <c r="C121" s="1"/>
      <c r="D121" s="1"/>
    </row>
    <row r="122" spans="2:4" x14ac:dyDescent="0.25">
      <c r="B122" s="1"/>
      <c r="C122" s="1"/>
      <c r="D122" s="1"/>
    </row>
    <row r="123" spans="2:4" x14ac:dyDescent="0.25">
      <c r="B123" s="1"/>
      <c r="C123" s="1"/>
      <c r="D123" s="1"/>
    </row>
    <row r="124" spans="2:4" x14ac:dyDescent="0.25">
      <c r="B124" s="1"/>
      <c r="C124" s="1"/>
      <c r="D124" s="1"/>
    </row>
    <row r="125" spans="2:4" x14ac:dyDescent="0.25">
      <c r="B125" s="1"/>
      <c r="C125" s="1"/>
      <c r="D125" s="1"/>
    </row>
    <row r="126" spans="2:4" x14ac:dyDescent="0.25">
      <c r="B126" s="1"/>
      <c r="C126" s="1"/>
      <c r="D126" s="1"/>
    </row>
    <row r="127" spans="2:4" x14ac:dyDescent="0.25">
      <c r="B127" s="1"/>
      <c r="C127" s="1"/>
      <c r="D127" s="1"/>
    </row>
    <row r="128" spans="2:4" x14ac:dyDescent="0.25">
      <c r="B128" s="1"/>
      <c r="C128" s="1"/>
      <c r="D128" s="1"/>
    </row>
    <row r="129" spans="2:4" x14ac:dyDescent="0.25">
      <c r="B129" s="1"/>
      <c r="C129" s="1"/>
      <c r="D129" s="1"/>
    </row>
    <row r="130" spans="2:4" x14ac:dyDescent="0.25">
      <c r="B130" s="1"/>
      <c r="C130" s="1"/>
      <c r="D130" s="1"/>
    </row>
    <row r="131" spans="2:4" x14ac:dyDescent="0.25">
      <c r="B131" s="1"/>
      <c r="C131" s="1"/>
      <c r="D131" s="1"/>
    </row>
    <row r="132" spans="2:4" x14ac:dyDescent="0.25">
      <c r="B132" s="1"/>
      <c r="C132" s="1"/>
      <c r="D132" s="1"/>
    </row>
    <row r="133" spans="2:4" x14ac:dyDescent="0.25">
      <c r="B133" s="1"/>
      <c r="C133" s="1"/>
      <c r="D133" s="1"/>
    </row>
    <row r="134" spans="2:4" x14ac:dyDescent="0.25">
      <c r="B134" s="1"/>
      <c r="C134" s="1"/>
      <c r="D134" s="1"/>
    </row>
    <row r="135" spans="2:4" x14ac:dyDescent="0.25">
      <c r="B135" s="1"/>
      <c r="C135" s="1"/>
      <c r="D135" s="1"/>
    </row>
    <row r="136" spans="2:4" x14ac:dyDescent="0.25">
      <c r="B136" s="1"/>
      <c r="C136" s="1"/>
      <c r="D136" s="1"/>
    </row>
    <row r="137" spans="2:4" x14ac:dyDescent="0.25">
      <c r="B137" s="1"/>
      <c r="C137" s="1"/>
      <c r="D137" s="1"/>
    </row>
    <row r="138" spans="2:4" x14ac:dyDescent="0.25">
      <c r="B138" s="1"/>
      <c r="C138" s="1"/>
      <c r="D138" s="1"/>
    </row>
    <row r="139" spans="2:4" x14ac:dyDescent="0.25">
      <c r="B139" s="1"/>
      <c r="C139" s="1"/>
      <c r="D139" s="1"/>
    </row>
    <row r="140" spans="2:4" x14ac:dyDescent="0.25">
      <c r="B140" s="1"/>
      <c r="C140" s="1"/>
      <c r="D140" s="1"/>
    </row>
    <row r="141" spans="2:4" x14ac:dyDescent="0.25">
      <c r="B141" s="1"/>
      <c r="C141" s="1"/>
      <c r="D141" s="1"/>
    </row>
    <row r="142" spans="2:4" x14ac:dyDescent="0.25">
      <c r="B142" s="1"/>
      <c r="C142" s="1"/>
      <c r="D142" s="1"/>
    </row>
    <row r="143" spans="2:4" x14ac:dyDescent="0.25">
      <c r="B143" s="1"/>
      <c r="C143" s="1"/>
      <c r="D143" s="1"/>
    </row>
    <row r="144" spans="2:4" x14ac:dyDescent="0.25">
      <c r="B144" s="1"/>
      <c r="C144" s="1"/>
      <c r="D144" s="1"/>
    </row>
    <row r="145" spans="2:4" x14ac:dyDescent="0.25">
      <c r="B145" s="1"/>
      <c r="C145" s="1"/>
      <c r="D145" s="1"/>
    </row>
    <row r="146" spans="2:4" x14ac:dyDescent="0.25">
      <c r="B146" s="1"/>
      <c r="C146" s="1"/>
      <c r="D146" s="1"/>
    </row>
    <row r="147" spans="2:4" x14ac:dyDescent="0.25">
      <c r="B147" s="1"/>
      <c r="C147" s="1"/>
      <c r="D147" s="1"/>
    </row>
    <row r="148" spans="2:4" x14ac:dyDescent="0.25">
      <c r="B148" s="1"/>
      <c r="C148" s="1"/>
      <c r="D148" s="1"/>
    </row>
    <row r="149" spans="2:4" x14ac:dyDescent="0.25">
      <c r="B149" s="1"/>
      <c r="C149" s="1"/>
      <c r="D149" s="1"/>
    </row>
    <row r="150" spans="2:4" x14ac:dyDescent="0.25">
      <c r="B150" s="1"/>
      <c r="C150" s="1"/>
      <c r="D150" s="1"/>
    </row>
    <row r="151" spans="2:4" x14ac:dyDescent="0.25">
      <c r="B151" s="1"/>
      <c r="C151" s="1"/>
      <c r="D151" s="1"/>
    </row>
    <row r="152" spans="2:4" x14ac:dyDescent="0.25">
      <c r="B152" s="1"/>
      <c r="C152" s="1"/>
      <c r="D152" s="1"/>
    </row>
    <row r="153" spans="2:4" x14ac:dyDescent="0.25">
      <c r="B153" s="1"/>
      <c r="C153" s="1"/>
      <c r="D153" s="1"/>
    </row>
    <row r="154" spans="2:4" x14ac:dyDescent="0.25">
      <c r="B154" s="1"/>
      <c r="C154" s="1"/>
      <c r="D154" s="1"/>
    </row>
    <row r="155" spans="2:4" x14ac:dyDescent="0.25">
      <c r="B155" s="1"/>
      <c r="C155" s="1"/>
      <c r="D155" s="1"/>
    </row>
    <row r="156" spans="2:4" x14ac:dyDescent="0.25">
      <c r="B156" s="1"/>
      <c r="C156" s="1"/>
      <c r="D156" s="1"/>
    </row>
    <row r="157" spans="2:4" x14ac:dyDescent="0.25">
      <c r="B157" s="1"/>
      <c r="C157" s="1"/>
      <c r="D157" s="1"/>
    </row>
    <row r="158" spans="2:4" x14ac:dyDescent="0.25">
      <c r="B158" s="1"/>
      <c r="C158" s="1"/>
      <c r="D158" s="1"/>
    </row>
    <row r="159" spans="2:4" x14ac:dyDescent="0.25">
      <c r="B159" s="1"/>
      <c r="C159" s="1"/>
      <c r="D159" s="1"/>
    </row>
    <row r="160" spans="2:4" x14ac:dyDescent="0.25">
      <c r="B160" s="1"/>
      <c r="C160" s="1"/>
      <c r="D160" s="1"/>
    </row>
    <row r="161" spans="2:4" x14ac:dyDescent="0.25">
      <c r="B161" s="1"/>
      <c r="C161" s="1"/>
      <c r="D161" s="1"/>
    </row>
    <row r="162" spans="2:4" x14ac:dyDescent="0.25">
      <c r="B162" s="1"/>
      <c r="C162" s="1"/>
      <c r="D162" s="1"/>
    </row>
    <row r="163" spans="2:4" x14ac:dyDescent="0.25">
      <c r="B163" s="1"/>
      <c r="C163" s="1"/>
      <c r="D163" s="1"/>
    </row>
    <row r="164" spans="2:4" x14ac:dyDescent="0.25">
      <c r="B164" s="1"/>
      <c r="C164" s="1"/>
      <c r="D164" s="1"/>
    </row>
    <row r="165" spans="2:4" x14ac:dyDescent="0.25">
      <c r="B165" s="1"/>
      <c r="C165" s="1"/>
      <c r="D165" s="1"/>
    </row>
    <row r="166" spans="2:4" x14ac:dyDescent="0.25">
      <c r="B166" s="1"/>
      <c r="C166" s="1"/>
      <c r="D16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84A6-72E0-485F-B9C5-1E1680DF8439}">
  <dimension ref="A1:U64"/>
  <sheetViews>
    <sheetView topLeftCell="A47" zoomScale="85" zoomScaleNormal="85" workbookViewId="0">
      <selection activeCell="T1" sqref="T1:U64"/>
    </sheetView>
  </sheetViews>
  <sheetFormatPr defaultRowHeight="13.8" x14ac:dyDescent="0.25"/>
  <cols>
    <col min="2" max="2" width="9.88671875" bestFit="1" customWidth="1"/>
  </cols>
  <sheetData>
    <row r="1" spans="1:21" ht="57.6" thickBot="1" x14ac:dyDescent="0.3">
      <c r="A1" s="6" t="s">
        <v>7</v>
      </c>
      <c r="B1" s="6" t="s">
        <v>686</v>
      </c>
      <c r="C1" s="6" t="s">
        <v>804</v>
      </c>
      <c r="D1" s="6" t="s">
        <v>805</v>
      </c>
      <c r="E1" s="6" t="s">
        <v>806</v>
      </c>
      <c r="F1" s="6" t="s">
        <v>807</v>
      </c>
      <c r="G1" s="5"/>
      <c r="H1" s="13" t="s">
        <v>2016</v>
      </c>
      <c r="I1" s="13" t="s">
        <v>2188</v>
      </c>
      <c r="L1" s="29" t="s">
        <v>3389</v>
      </c>
      <c r="M1" s="29" t="s">
        <v>6518</v>
      </c>
      <c r="N1" s="6" t="s">
        <v>804</v>
      </c>
      <c r="O1" s="6" t="s">
        <v>805</v>
      </c>
      <c r="Q1" s="30" t="s">
        <v>2845</v>
      </c>
      <c r="R1" s="30" t="s">
        <v>2906</v>
      </c>
      <c r="S1" s="30" t="s">
        <v>6232</v>
      </c>
      <c r="T1" s="6" t="s">
        <v>804</v>
      </c>
      <c r="U1" s="6" t="s">
        <v>805</v>
      </c>
    </row>
    <row r="2" spans="1:21" ht="42" thickBot="1" x14ac:dyDescent="0.3">
      <c r="A2" s="6" t="s">
        <v>8</v>
      </c>
      <c r="B2" s="6">
        <v>55.3</v>
      </c>
      <c r="C2" s="6" t="s">
        <v>9</v>
      </c>
      <c r="D2" s="6" t="s">
        <v>808</v>
      </c>
      <c r="E2" s="6">
        <v>137558</v>
      </c>
      <c r="F2" s="6">
        <v>26890</v>
      </c>
      <c r="G2" s="4"/>
      <c r="H2" s="6" t="s">
        <v>2017</v>
      </c>
      <c r="I2" s="6" t="s">
        <v>1292</v>
      </c>
      <c r="L2" s="30" t="s">
        <v>2017</v>
      </c>
      <c r="M2" s="30" t="s">
        <v>8</v>
      </c>
      <c r="N2" s="30" t="s">
        <v>9</v>
      </c>
      <c r="O2" s="22" t="s">
        <v>808</v>
      </c>
      <c r="Q2" s="30">
        <v>1</v>
      </c>
      <c r="R2" s="30" t="s">
        <v>2017</v>
      </c>
      <c r="S2" s="30">
        <v>55.3</v>
      </c>
      <c r="T2" s="32">
        <v>7606936</v>
      </c>
      <c r="U2" s="33">
        <v>1487026</v>
      </c>
    </row>
    <row r="3" spans="1:21" ht="42" thickBot="1" x14ac:dyDescent="0.3">
      <c r="A3" s="6" t="s">
        <v>10</v>
      </c>
      <c r="B3" s="6">
        <v>81.5</v>
      </c>
      <c r="C3" s="6" t="s">
        <v>809</v>
      </c>
      <c r="D3" s="6" t="s">
        <v>810</v>
      </c>
      <c r="E3" s="6">
        <v>7634</v>
      </c>
      <c r="F3" s="6">
        <v>2674</v>
      </c>
      <c r="G3" s="4"/>
      <c r="H3" s="6" t="s">
        <v>2018</v>
      </c>
      <c r="I3" s="6" t="s">
        <v>1321</v>
      </c>
      <c r="L3" s="30" t="s">
        <v>2018</v>
      </c>
      <c r="M3" s="30" t="s">
        <v>10</v>
      </c>
      <c r="N3" s="30" t="s">
        <v>809</v>
      </c>
      <c r="O3" s="22" t="s">
        <v>810</v>
      </c>
      <c r="Q3" s="30">
        <v>2</v>
      </c>
      <c r="R3" s="30" t="s">
        <v>2162</v>
      </c>
      <c r="S3" s="30">
        <v>7</v>
      </c>
      <c r="T3" s="30">
        <v>1847</v>
      </c>
      <c r="U3" s="22">
        <v>2783</v>
      </c>
    </row>
    <row r="4" spans="1:21" ht="42" thickBot="1" x14ac:dyDescent="0.3">
      <c r="A4" s="6" t="s">
        <v>11</v>
      </c>
      <c r="B4" s="6">
        <v>26.8</v>
      </c>
      <c r="C4" s="6" t="s">
        <v>811</v>
      </c>
      <c r="D4" s="6" t="s">
        <v>812</v>
      </c>
      <c r="E4" s="6">
        <v>5369</v>
      </c>
      <c r="F4" s="6">
        <v>1673</v>
      </c>
      <c r="G4" s="4"/>
      <c r="H4" s="6" t="s">
        <v>2019</v>
      </c>
      <c r="I4" s="6" t="s">
        <v>1278</v>
      </c>
      <c r="L4" s="30" t="s">
        <v>2019</v>
      </c>
      <c r="M4" s="30" t="s">
        <v>11</v>
      </c>
      <c r="N4" s="30" t="s">
        <v>811</v>
      </c>
      <c r="O4" s="22" t="s">
        <v>812</v>
      </c>
      <c r="Q4" s="30">
        <v>3</v>
      </c>
      <c r="R4" s="30" t="s">
        <v>2018</v>
      </c>
      <c r="S4" s="30">
        <v>81.5</v>
      </c>
      <c r="T4" s="32">
        <v>622200</v>
      </c>
      <c r="U4" s="33">
        <v>217932</v>
      </c>
    </row>
    <row r="5" spans="1:21" ht="42" thickBot="1" x14ac:dyDescent="0.3">
      <c r="A5" s="6" t="s">
        <v>12</v>
      </c>
      <c r="B5" s="6">
        <v>12.9</v>
      </c>
      <c r="C5" s="6" t="s">
        <v>813</v>
      </c>
      <c r="D5" s="6" t="s">
        <v>814</v>
      </c>
      <c r="E5" s="6">
        <v>3401</v>
      </c>
      <c r="F5" s="6">
        <v>185</v>
      </c>
      <c r="G5" s="3"/>
      <c r="H5" s="6" t="s">
        <v>2023</v>
      </c>
      <c r="I5" s="6" t="s">
        <v>1314</v>
      </c>
      <c r="L5" s="30" t="s">
        <v>2023</v>
      </c>
      <c r="M5" s="30" t="s">
        <v>12</v>
      </c>
      <c r="N5" s="30" t="s">
        <v>813</v>
      </c>
      <c r="O5" s="22" t="s">
        <v>814</v>
      </c>
      <c r="Q5" s="30">
        <v>4</v>
      </c>
      <c r="R5" s="30" t="s">
        <v>2022</v>
      </c>
      <c r="S5" s="32">
        <v>32600</v>
      </c>
      <c r="T5" s="32">
        <v>1772911</v>
      </c>
      <c r="U5" s="33">
        <v>985274</v>
      </c>
    </row>
    <row r="6" spans="1:21" ht="55.8" thickBot="1" x14ac:dyDescent="0.3">
      <c r="A6" s="6" t="s">
        <v>13</v>
      </c>
      <c r="B6" s="6">
        <v>0.4</v>
      </c>
      <c r="C6" s="6" t="s">
        <v>14</v>
      </c>
      <c r="D6" s="6" t="s">
        <v>815</v>
      </c>
      <c r="E6" s="6">
        <v>467</v>
      </c>
      <c r="F6" s="6">
        <v>65</v>
      </c>
      <c r="G6" s="3"/>
      <c r="H6" s="6" t="s">
        <v>2161</v>
      </c>
      <c r="I6" s="6" t="s">
        <v>2012</v>
      </c>
      <c r="L6" s="30" t="s">
        <v>4620</v>
      </c>
      <c r="M6" s="30" t="s">
        <v>13</v>
      </c>
      <c r="N6" s="30" t="s">
        <v>14</v>
      </c>
      <c r="O6" s="22" t="s">
        <v>815</v>
      </c>
      <c r="Q6" s="30">
        <v>5</v>
      </c>
      <c r="R6" s="30" t="s">
        <v>2023</v>
      </c>
      <c r="S6" s="30">
        <v>12.9</v>
      </c>
      <c r="T6" s="32">
        <v>43878</v>
      </c>
      <c r="U6" s="22">
        <v>2382</v>
      </c>
    </row>
    <row r="7" spans="1:21" ht="42" thickBot="1" x14ac:dyDescent="0.3">
      <c r="A7" s="6" t="s">
        <v>816</v>
      </c>
      <c r="B7" s="6">
        <v>2520</v>
      </c>
      <c r="C7" s="6" t="s">
        <v>16</v>
      </c>
      <c r="D7" s="6" t="s">
        <v>817</v>
      </c>
      <c r="E7" s="6">
        <v>447</v>
      </c>
      <c r="F7" s="6">
        <v>287</v>
      </c>
      <c r="G7" s="4"/>
      <c r="H7" s="6" t="s">
        <v>2024</v>
      </c>
      <c r="I7" s="6" t="s">
        <v>483</v>
      </c>
      <c r="L7" s="30" t="s">
        <v>2024</v>
      </c>
      <c r="M7" s="30" t="s">
        <v>15</v>
      </c>
      <c r="N7" s="30" t="s">
        <v>16</v>
      </c>
      <c r="O7" s="22" t="s">
        <v>817</v>
      </c>
      <c r="Q7" s="30">
        <v>6</v>
      </c>
      <c r="R7" s="30" t="s">
        <v>2019</v>
      </c>
      <c r="S7" s="30">
        <v>26.8</v>
      </c>
      <c r="T7" s="32">
        <v>143889</v>
      </c>
      <c r="U7" s="33">
        <v>44849</v>
      </c>
    </row>
    <row r="8" spans="1:21" ht="42" thickBot="1" x14ac:dyDescent="0.3">
      <c r="A8" s="6" t="s">
        <v>17</v>
      </c>
      <c r="B8" s="6">
        <v>964</v>
      </c>
      <c r="C8" s="6" t="s">
        <v>18</v>
      </c>
      <c r="D8" s="6" t="s">
        <v>818</v>
      </c>
      <c r="E8" s="6">
        <v>307</v>
      </c>
      <c r="F8" s="6">
        <v>82</v>
      </c>
      <c r="G8" s="4"/>
      <c r="H8" s="6" t="s">
        <v>2020</v>
      </c>
      <c r="I8" s="6" t="s">
        <v>523</v>
      </c>
      <c r="L8" s="30" t="s">
        <v>2020</v>
      </c>
      <c r="M8" s="30" t="s">
        <v>17</v>
      </c>
      <c r="N8" s="30" t="s">
        <v>18</v>
      </c>
      <c r="O8" s="22" t="s">
        <v>818</v>
      </c>
      <c r="Q8" s="30">
        <v>7</v>
      </c>
      <c r="R8" s="30" t="s">
        <v>2178</v>
      </c>
      <c r="S8" s="32">
        <v>13200</v>
      </c>
      <c r="T8" s="32">
        <v>44450</v>
      </c>
      <c r="U8" s="22">
        <v>5859</v>
      </c>
    </row>
    <row r="9" spans="1:21" ht="42" thickBot="1" x14ac:dyDescent="0.3">
      <c r="A9" s="6" t="s">
        <v>19</v>
      </c>
      <c r="B9" s="6">
        <v>7</v>
      </c>
      <c r="C9" s="6" t="s">
        <v>20</v>
      </c>
      <c r="D9" s="6" t="s">
        <v>819</v>
      </c>
      <c r="E9" s="6">
        <v>264</v>
      </c>
      <c r="F9" s="6">
        <v>398</v>
      </c>
      <c r="G9" s="3"/>
      <c r="H9" s="6" t="s">
        <v>2162</v>
      </c>
      <c r="I9" s="6" t="s">
        <v>2163</v>
      </c>
      <c r="L9" s="30" t="s">
        <v>2162</v>
      </c>
      <c r="M9" s="30" t="s">
        <v>19</v>
      </c>
      <c r="N9" s="30" t="s">
        <v>20</v>
      </c>
      <c r="O9" s="22" t="s">
        <v>819</v>
      </c>
      <c r="Q9" s="30">
        <v>8</v>
      </c>
      <c r="R9" s="30" t="s">
        <v>2898</v>
      </c>
      <c r="S9" s="30" t="s">
        <v>2908</v>
      </c>
      <c r="T9" s="30" t="s">
        <v>2908</v>
      </c>
      <c r="U9" s="22" t="s">
        <v>2908</v>
      </c>
    </row>
    <row r="10" spans="1:21" ht="55.8" thickBot="1" x14ac:dyDescent="0.3">
      <c r="A10" s="6" t="s">
        <v>820</v>
      </c>
      <c r="B10" s="6">
        <v>57</v>
      </c>
      <c r="C10" s="6" t="s">
        <v>821</v>
      </c>
      <c r="D10" s="6" t="s">
        <v>822</v>
      </c>
      <c r="E10" s="6">
        <v>166</v>
      </c>
      <c r="F10" s="6">
        <v>154</v>
      </c>
      <c r="G10" s="3"/>
      <c r="H10" s="6" t="s">
        <v>2164</v>
      </c>
      <c r="I10" s="6" t="s">
        <v>2165</v>
      </c>
      <c r="L10" s="30" t="s">
        <v>2164</v>
      </c>
      <c r="M10" s="30" t="s">
        <v>820</v>
      </c>
      <c r="N10" s="30" t="s">
        <v>821</v>
      </c>
      <c r="O10" s="22" t="s">
        <v>822</v>
      </c>
      <c r="Q10" s="30">
        <v>9</v>
      </c>
      <c r="R10" s="30" t="s">
        <v>2909</v>
      </c>
      <c r="S10" s="30" t="s">
        <v>29</v>
      </c>
      <c r="T10" s="30">
        <v>4268</v>
      </c>
      <c r="U10" s="22">
        <v>6739</v>
      </c>
    </row>
    <row r="11" spans="1:21" ht="69.599999999999994" thickBot="1" x14ac:dyDescent="0.3">
      <c r="A11" s="6" t="s">
        <v>21</v>
      </c>
      <c r="B11" s="6">
        <v>6</v>
      </c>
      <c r="C11" s="6" t="s">
        <v>22</v>
      </c>
      <c r="D11" s="6" t="s">
        <v>823</v>
      </c>
      <c r="E11" s="6">
        <v>155</v>
      </c>
      <c r="F11" s="6">
        <v>101</v>
      </c>
      <c r="G11" s="4"/>
      <c r="H11" s="6" t="s">
        <v>2166</v>
      </c>
      <c r="I11" s="6" t="s">
        <v>2167</v>
      </c>
      <c r="L11" s="30" t="s">
        <v>2166</v>
      </c>
      <c r="M11" s="30" t="s">
        <v>21</v>
      </c>
      <c r="N11" s="30" t="s">
        <v>22</v>
      </c>
      <c r="O11" s="22" t="s">
        <v>823</v>
      </c>
      <c r="Q11" s="30">
        <v>10</v>
      </c>
      <c r="R11" s="30" t="s">
        <v>2166</v>
      </c>
      <c r="S11" s="30">
        <v>6</v>
      </c>
      <c r="T11" s="30">
        <v>932</v>
      </c>
      <c r="U11" s="22">
        <v>605</v>
      </c>
    </row>
    <row r="12" spans="1:21" ht="42" thickBot="1" x14ac:dyDescent="0.3">
      <c r="A12" s="6" t="s">
        <v>824</v>
      </c>
      <c r="B12" s="6">
        <v>389</v>
      </c>
      <c r="C12" s="6" t="s">
        <v>825</v>
      </c>
      <c r="D12" s="6" t="s">
        <v>826</v>
      </c>
      <c r="E12" s="6">
        <v>146</v>
      </c>
      <c r="F12" s="6">
        <v>35</v>
      </c>
      <c r="G12" s="4"/>
      <c r="H12" s="6" t="s">
        <v>2021</v>
      </c>
      <c r="I12" s="6" t="s">
        <v>507</v>
      </c>
      <c r="L12" s="30" t="s">
        <v>2021</v>
      </c>
      <c r="M12" s="30" t="s">
        <v>23</v>
      </c>
      <c r="N12" s="30" t="s">
        <v>825</v>
      </c>
      <c r="O12" s="22" t="s">
        <v>826</v>
      </c>
      <c r="Q12" s="30">
        <v>11</v>
      </c>
      <c r="R12" s="30" t="s">
        <v>2911</v>
      </c>
      <c r="S12" s="30" t="s">
        <v>2908</v>
      </c>
      <c r="T12" s="30" t="s">
        <v>2908</v>
      </c>
      <c r="U12" s="22" t="s">
        <v>2908</v>
      </c>
    </row>
    <row r="13" spans="1:21" ht="42" thickBot="1" x14ac:dyDescent="0.3">
      <c r="A13" s="6" t="s">
        <v>24</v>
      </c>
      <c r="B13" s="11">
        <v>32600</v>
      </c>
      <c r="C13" s="6" t="s">
        <v>25</v>
      </c>
      <c r="D13" s="6" t="s">
        <v>827</v>
      </c>
      <c r="E13" s="6">
        <v>54</v>
      </c>
      <c r="F13" s="6">
        <v>30</v>
      </c>
      <c r="G13" s="4"/>
      <c r="H13" s="6" t="s">
        <v>2022</v>
      </c>
      <c r="I13" s="6" t="s">
        <v>1274</v>
      </c>
      <c r="L13" s="30" t="s">
        <v>2022</v>
      </c>
      <c r="M13" s="30" t="s">
        <v>24</v>
      </c>
      <c r="N13" s="30" t="s">
        <v>25</v>
      </c>
      <c r="O13" s="22" t="s">
        <v>827</v>
      </c>
      <c r="Q13" s="30">
        <v>12</v>
      </c>
      <c r="R13" s="30" t="s">
        <v>2957</v>
      </c>
      <c r="S13" s="30" t="s">
        <v>2908</v>
      </c>
      <c r="T13" s="30" t="s">
        <v>2908</v>
      </c>
      <c r="U13" s="22" t="s">
        <v>2908</v>
      </c>
    </row>
    <row r="14" spans="1:21" ht="42" thickBot="1" x14ac:dyDescent="0.3">
      <c r="A14" s="6" t="s">
        <v>26</v>
      </c>
      <c r="B14" s="6">
        <v>2730</v>
      </c>
      <c r="C14" s="6" t="s">
        <v>828</v>
      </c>
      <c r="D14" s="6" t="s">
        <v>829</v>
      </c>
      <c r="E14" s="6">
        <v>54</v>
      </c>
      <c r="F14" s="6">
        <v>15</v>
      </c>
      <c r="G14" s="3"/>
      <c r="H14" s="6" t="s">
        <v>2025</v>
      </c>
      <c r="I14" s="6" t="s">
        <v>378</v>
      </c>
      <c r="L14" s="30" t="s">
        <v>2025</v>
      </c>
      <c r="M14" s="30" t="s">
        <v>26</v>
      </c>
      <c r="N14" s="30" t="s">
        <v>828</v>
      </c>
      <c r="O14" s="22" t="s">
        <v>829</v>
      </c>
      <c r="Q14" s="30">
        <v>13</v>
      </c>
      <c r="R14" s="30" t="s">
        <v>2913</v>
      </c>
      <c r="S14" s="30" t="s">
        <v>2908</v>
      </c>
      <c r="T14" s="30" t="s">
        <v>2908</v>
      </c>
      <c r="U14" s="22" t="s">
        <v>2908</v>
      </c>
    </row>
    <row r="15" spans="1:21" ht="55.8" thickBot="1" x14ac:dyDescent="0.3">
      <c r="A15" s="6" t="s">
        <v>27</v>
      </c>
      <c r="B15" s="6">
        <v>7.12</v>
      </c>
      <c r="C15" s="6" t="s">
        <v>28</v>
      </c>
      <c r="D15" s="6" t="s">
        <v>29</v>
      </c>
      <c r="E15" s="6" t="s">
        <v>29</v>
      </c>
      <c r="F15" s="6" t="s">
        <v>29</v>
      </c>
      <c r="G15" s="3"/>
      <c r="H15" s="6" t="s">
        <v>2168</v>
      </c>
      <c r="I15" s="6" t="s">
        <v>2169</v>
      </c>
      <c r="L15" s="30" t="s">
        <v>6519</v>
      </c>
      <c r="M15" s="30" t="s">
        <v>27</v>
      </c>
      <c r="N15" s="30" t="s">
        <v>28</v>
      </c>
      <c r="O15" s="22" t="s">
        <v>29</v>
      </c>
      <c r="Q15" s="30">
        <v>14</v>
      </c>
      <c r="R15" s="30" t="s">
        <v>2173</v>
      </c>
      <c r="S15" s="30">
        <v>1890</v>
      </c>
      <c r="T15" s="32">
        <v>28416</v>
      </c>
      <c r="U15" s="22">
        <v>146</v>
      </c>
    </row>
    <row r="16" spans="1:21" ht="69.599999999999994" thickBot="1" x14ac:dyDescent="0.3">
      <c r="A16" s="6" t="s">
        <v>30</v>
      </c>
      <c r="B16" s="6">
        <v>24.7</v>
      </c>
      <c r="C16" s="6" t="s">
        <v>31</v>
      </c>
      <c r="D16" s="6" t="s">
        <v>830</v>
      </c>
      <c r="E16" s="6">
        <v>35</v>
      </c>
      <c r="F16" s="6">
        <v>33</v>
      </c>
      <c r="G16" s="3"/>
      <c r="H16" s="6" t="s">
        <v>2170</v>
      </c>
      <c r="I16" s="6" t="s">
        <v>2171</v>
      </c>
      <c r="L16" s="30" t="s">
        <v>2170</v>
      </c>
      <c r="M16" s="30" t="s">
        <v>30</v>
      </c>
      <c r="N16" s="30" t="s">
        <v>31</v>
      </c>
      <c r="O16" s="22" t="s">
        <v>830</v>
      </c>
      <c r="Q16" s="30">
        <v>15</v>
      </c>
      <c r="R16" s="30" t="s">
        <v>2914</v>
      </c>
      <c r="S16" s="30" t="s">
        <v>2908</v>
      </c>
      <c r="T16" s="30" t="s">
        <v>2908</v>
      </c>
      <c r="U16" s="22" t="s">
        <v>2908</v>
      </c>
    </row>
    <row r="17" spans="1:21" ht="42" thickBot="1" x14ac:dyDescent="0.3">
      <c r="A17" s="6" t="s">
        <v>32</v>
      </c>
      <c r="B17" s="6">
        <v>167</v>
      </c>
      <c r="C17" s="6" t="s">
        <v>33</v>
      </c>
      <c r="D17" s="6" t="s">
        <v>831</v>
      </c>
      <c r="E17" s="6">
        <v>20</v>
      </c>
      <c r="F17" s="6">
        <v>3</v>
      </c>
      <c r="G17" s="4"/>
      <c r="H17" s="6" t="s">
        <v>2172</v>
      </c>
      <c r="I17" s="6" t="s">
        <v>610</v>
      </c>
      <c r="L17" s="30" t="s">
        <v>2172</v>
      </c>
      <c r="M17" s="30" t="s">
        <v>32</v>
      </c>
      <c r="N17" s="30" t="s">
        <v>33</v>
      </c>
      <c r="O17" s="22" t="s">
        <v>831</v>
      </c>
      <c r="Q17" s="30">
        <v>16</v>
      </c>
      <c r="R17" s="30" t="s">
        <v>2029</v>
      </c>
      <c r="S17" s="30">
        <v>125</v>
      </c>
      <c r="T17" s="30">
        <v>1646</v>
      </c>
      <c r="U17" s="22">
        <v>635</v>
      </c>
    </row>
    <row r="18" spans="1:21" ht="42" thickBot="1" x14ac:dyDescent="0.3">
      <c r="A18" s="6" t="s">
        <v>2217</v>
      </c>
      <c r="B18" s="6">
        <v>5370</v>
      </c>
      <c r="C18" s="6" t="s">
        <v>832</v>
      </c>
      <c r="D18" s="6" t="s">
        <v>833</v>
      </c>
      <c r="E18" s="6">
        <v>18</v>
      </c>
      <c r="F18" s="6">
        <v>6</v>
      </c>
      <c r="G18" s="3"/>
      <c r="H18" s="6" t="s">
        <v>2218</v>
      </c>
      <c r="I18" s="6" t="s">
        <v>2216</v>
      </c>
      <c r="L18" s="30" t="s">
        <v>2916</v>
      </c>
      <c r="M18" s="30" t="s">
        <v>1061</v>
      </c>
      <c r="N18" s="30" t="s">
        <v>832</v>
      </c>
      <c r="O18" s="22" t="s">
        <v>833</v>
      </c>
      <c r="Q18" s="30">
        <v>17</v>
      </c>
      <c r="R18" s="30" t="s">
        <v>2028</v>
      </c>
      <c r="S18" s="30">
        <v>909</v>
      </c>
      <c r="T18" s="30">
        <v>341</v>
      </c>
      <c r="U18" s="22">
        <v>61</v>
      </c>
    </row>
    <row r="19" spans="1:21" ht="42" thickBot="1" x14ac:dyDescent="0.3">
      <c r="A19" s="6" t="s">
        <v>34</v>
      </c>
      <c r="B19" s="6">
        <v>1890</v>
      </c>
      <c r="C19" s="6" t="s">
        <v>35</v>
      </c>
      <c r="D19" s="6" t="s">
        <v>61</v>
      </c>
      <c r="E19" s="6">
        <v>15</v>
      </c>
      <c r="F19" s="6" t="s">
        <v>834</v>
      </c>
      <c r="G19" s="3"/>
      <c r="H19" s="6" t="s">
        <v>2173</v>
      </c>
      <c r="I19" s="6" t="s">
        <v>1325</v>
      </c>
      <c r="L19" s="30" t="s">
        <v>2173</v>
      </c>
      <c r="M19" s="30" t="s">
        <v>34</v>
      </c>
      <c r="N19" s="30" t="s">
        <v>35</v>
      </c>
      <c r="O19" s="22" t="s">
        <v>61</v>
      </c>
      <c r="Q19" s="30">
        <v>18</v>
      </c>
      <c r="R19" s="30" t="s">
        <v>2915</v>
      </c>
      <c r="S19" s="30" t="s">
        <v>2908</v>
      </c>
      <c r="T19" s="30" t="s">
        <v>2908</v>
      </c>
      <c r="U19" s="22" t="s">
        <v>2908</v>
      </c>
    </row>
    <row r="20" spans="1:21" ht="69.599999999999994" thickBot="1" x14ac:dyDescent="0.3">
      <c r="A20" s="6" t="s">
        <v>36</v>
      </c>
      <c r="B20" s="6">
        <v>125</v>
      </c>
      <c r="C20" s="6" t="s">
        <v>835</v>
      </c>
      <c r="D20" s="6" t="s">
        <v>836</v>
      </c>
      <c r="E20" s="6">
        <v>13</v>
      </c>
      <c r="F20" s="6">
        <v>5</v>
      </c>
      <c r="G20" s="3"/>
      <c r="H20" s="6" t="s">
        <v>2029</v>
      </c>
      <c r="I20" s="6" t="s">
        <v>1225</v>
      </c>
      <c r="L20" s="30" t="s">
        <v>3747</v>
      </c>
      <c r="M20" s="30" t="s">
        <v>36</v>
      </c>
      <c r="N20" s="30" t="s">
        <v>835</v>
      </c>
      <c r="O20" s="22" t="s">
        <v>6520</v>
      </c>
      <c r="Q20" s="30">
        <v>19</v>
      </c>
      <c r="R20" s="30" t="s">
        <v>2318</v>
      </c>
      <c r="S20" s="30" t="s">
        <v>29</v>
      </c>
      <c r="T20" s="32">
        <v>14044</v>
      </c>
      <c r="U20" s="22">
        <v>601</v>
      </c>
    </row>
    <row r="21" spans="1:21" ht="28.2" thickBot="1" x14ac:dyDescent="0.3">
      <c r="A21" s="6" t="s">
        <v>37</v>
      </c>
      <c r="B21" s="6">
        <v>1050</v>
      </c>
      <c r="C21" s="6" t="s">
        <v>837</v>
      </c>
      <c r="D21" s="6" t="s">
        <v>838</v>
      </c>
      <c r="E21" s="6">
        <v>13</v>
      </c>
      <c r="F21" s="6" t="s">
        <v>29</v>
      </c>
      <c r="G21" s="3"/>
      <c r="H21" s="6" t="s">
        <v>2026</v>
      </c>
      <c r="I21" s="6" t="s">
        <v>1253</v>
      </c>
      <c r="L21" s="30" t="s">
        <v>2026</v>
      </c>
      <c r="M21" s="30" t="s">
        <v>37</v>
      </c>
      <c r="N21" s="30" t="s">
        <v>837</v>
      </c>
      <c r="O21" s="22" t="s">
        <v>838</v>
      </c>
      <c r="Q21" s="30">
        <v>20</v>
      </c>
      <c r="R21" s="30" t="s">
        <v>2362</v>
      </c>
      <c r="S21" s="30" t="s">
        <v>2908</v>
      </c>
      <c r="T21" s="30" t="s">
        <v>2908</v>
      </c>
      <c r="U21" s="22" t="s">
        <v>2908</v>
      </c>
    </row>
    <row r="22" spans="1:21" ht="69.599999999999994" thickBot="1" x14ac:dyDescent="0.3">
      <c r="A22" s="6" t="s">
        <v>38</v>
      </c>
      <c r="B22" s="6">
        <v>1580</v>
      </c>
      <c r="C22" s="6" t="s">
        <v>839</v>
      </c>
      <c r="D22" s="6" t="s">
        <v>840</v>
      </c>
      <c r="E22" s="6">
        <v>11</v>
      </c>
      <c r="F22" s="6" t="s">
        <v>29</v>
      </c>
      <c r="G22" s="3"/>
      <c r="H22" s="6" t="s">
        <v>2241</v>
      </c>
      <c r="I22" s="6" t="s">
        <v>2240</v>
      </c>
      <c r="L22" s="30" t="s">
        <v>5050</v>
      </c>
      <c r="M22" s="30" t="s">
        <v>38</v>
      </c>
      <c r="N22" s="30" t="s">
        <v>839</v>
      </c>
      <c r="O22" s="22" t="s">
        <v>840</v>
      </c>
      <c r="Q22" s="30">
        <v>21</v>
      </c>
      <c r="R22" s="30" t="s">
        <v>2025</v>
      </c>
      <c r="S22" s="30">
        <v>2730</v>
      </c>
      <c r="T22" s="32">
        <v>147160</v>
      </c>
      <c r="U22" s="33">
        <v>41802</v>
      </c>
    </row>
    <row r="23" spans="1:21" ht="28.2" thickBot="1" x14ac:dyDescent="0.3">
      <c r="A23" s="6" t="s">
        <v>39</v>
      </c>
      <c r="B23" s="6">
        <v>2700</v>
      </c>
      <c r="C23" s="6" t="s">
        <v>841</v>
      </c>
      <c r="D23" s="6" t="s">
        <v>842</v>
      </c>
      <c r="E23" s="6">
        <v>10</v>
      </c>
      <c r="F23" s="6" t="s">
        <v>29</v>
      </c>
      <c r="G23" s="3"/>
      <c r="H23" s="6" t="s">
        <v>2174</v>
      </c>
      <c r="I23" s="6" t="s">
        <v>513</v>
      </c>
      <c r="L23" s="30" t="s">
        <v>2174</v>
      </c>
      <c r="M23" s="30" t="s">
        <v>39</v>
      </c>
      <c r="N23" s="30" t="s">
        <v>841</v>
      </c>
      <c r="O23" s="22" t="s">
        <v>842</v>
      </c>
      <c r="Q23" s="30">
        <v>22</v>
      </c>
      <c r="R23" s="30" t="s">
        <v>2916</v>
      </c>
      <c r="S23" s="30">
        <v>5370</v>
      </c>
      <c r="T23" s="32">
        <v>97718</v>
      </c>
      <c r="U23" s="33">
        <v>30025</v>
      </c>
    </row>
    <row r="24" spans="1:21" ht="55.8" thickBot="1" x14ac:dyDescent="0.3">
      <c r="A24" s="6" t="s">
        <v>843</v>
      </c>
      <c r="B24" s="6">
        <v>144</v>
      </c>
      <c r="C24" s="6" t="s">
        <v>844</v>
      </c>
      <c r="D24" s="6" t="s">
        <v>845</v>
      </c>
      <c r="E24" s="6">
        <v>9</v>
      </c>
      <c r="F24" s="6">
        <v>2</v>
      </c>
      <c r="G24" s="3"/>
      <c r="H24" s="6" t="s">
        <v>2175</v>
      </c>
      <c r="I24" s="6" t="s">
        <v>554</v>
      </c>
      <c r="L24" s="30" t="s">
        <v>2175</v>
      </c>
      <c r="M24" s="30" t="s">
        <v>843</v>
      </c>
      <c r="N24" s="30" t="s">
        <v>844</v>
      </c>
      <c r="O24" s="22" t="s">
        <v>845</v>
      </c>
      <c r="Q24" s="30">
        <v>23</v>
      </c>
      <c r="R24" s="30" t="s">
        <v>3329</v>
      </c>
      <c r="S24" s="32">
        <v>179000</v>
      </c>
      <c r="T24" s="32">
        <v>84178</v>
      </c>
      <c r="U24" s="33">
        <v>142068</v>
      </c>
    </row>
    <row r="25" spans="1:21" ht="42" thickBot="1" x14ac:dyDescent="0.3">
      <c r="A25" s="6" t="s">
        <v>846</v>
      </c>
      <c r="B25" s="6">
        <v>6.09</v>
      </c>
      <c r="C25" s="6" t="s">
        <v>847</v>
      </c>
      <c r="D25" s="6" t="s">
        <v>29</v>
      </c>
      <c r="E25" s="6" t="s">
        <v>29</v>
      </c>
      <c r="F25" s="6" t="s">
        <v>29</v>
      </c>
      <c r="G25" s="3"/>
      <c r="H25" s="6" t="s">
        <v>2176</v>
      </c>
      <c r="I25" s="6" t="s">
        <v>502</v>
      </c>
      <c r="L25" s="30" t="s">
        <v>6521</v>
      </c>
      <c r="M25" s="30" t="s">
        <v>846</v>
      </c>
      <c r="N25" s="30" t="s">
        <v>847</v>
      </c>
      <c r="O25" s="22" t="s">
        <v>29</v>
      </c>
      <c r="Q25" s="30">
        <v>24</v>
      </c>
      <c r="R25" s="30" t="s">
        <v>2918</v>
      </c>
      <c r="S25" s="30" t="s">
        <v>2908</v>
      </c>
      <c r="T25" s="30" t="s">
        <v>2908</v>
      </c>
      <c r="U25" s="22" t="s">
        <v>2908</v>
      </c>
    </row>
    <row r="26" spans="1:21" ht="42" thickBot="1" x14ac:dyDescent="0.3">
      <c r="A26" s="6" t="s">
        <v>40</v>
      </c>
      <c r="B26" s="6">
        <v>262</v>
      </c>
      <c r="C26" s="6" t="s">
        <v>848</v>
      </c>
      <c r="D26" s="6" t="s">
        <v>849</v>
      </c>
      <c r="E26" s="6">
        <v>7</v>
      </c>
      <c r="F26" s="6">
        <v>6</v>
      </c>
      <c r="G26" s="4"/>
      <c r="H26" s="6" t="s">
        <v>2071</v>
      </c>
      <c r="I26" s="6" t="s">
        <v>2045</v>
      </c>
      <c r="L26" s="30" t="s">
        <v>2920</v>
      </c>
      <c r="M26" s="30" t="s">
        <v>40</v>
      </c>
      <c r="N26" s="30" t="s">
        <v>848</v>
      </c>
      <c r="O26" s="22" t="s">
        <v>849</v>
      </c>
      <c r="Q26" s="30">
        <v>25</v>
      </c>
      <c r="R26" s="30" t="s">
        <v>2179</v>
      </c>
      <c r="S26" s="30">
        <v>1100</v>
      </c>
      <c r="T26" s="30">
        <v>2101</v>
      </c>
      <c r="U26" s="22">
        <v>439</v>
      </c>
    </row>
    <row r="27" spans="1:21" ht="55.8" thickBot="1" x14ac:dyDescent="0.3">
      <c r="A27" s="6" t="s">
        <v>41</v>
      </c>
      <c r="B27" s="11">
        <v>160000</v>
      </c>
      <c r="C27" s="6" t="s">
        <v>850</v>
      </c>
      <c r="D27" s="6" t="s">
        <v>851</v>
      </c>
      <c r="E27" s="6">
        <v>5</v>
      </c>
      <c r="F27" s="6">
        <v>2</v>
      </c>
      <c r="G27" s="3"/>
      <c r="H27" s="6" t="s">
        <v>2177</v>
      </c>
      <c r="I27" s="6" t="s">
        <v>534</v>
      </c>
      <c r="L27" s="30" t="s">
        <v>2177</v>
      </c>
      <c r="M27" s="30" t="s">
        <v>41</v>
      </c>
      <c r="N27" s="30" t="s">
        <v>6522</v>
      </c>
      <c r="O27" s="22" t="s">
        <v>851</v>
      </c>
      <c r="Q27" s="30">
        <v>26</v>
      </c>
      <c r="R27" s="30" t="s">
        <v>2358</v>
      </c>
      <c r="S27" s="30" t="s">
        <v>2908</v>
      </c>
      <c r="T27" s="30" t="s">
        <v>2908</v>
      </c>
      <c r="U27" s="22" t="s">
        <v>2908</v>
      </c>
    </row>
    <row r="28" spans="1:21" ht="55.8" thickBot="1" x14ac:dyDescent="0.3">
      <c r="A28" s="6" t="s">
        <v>42</v>
      </c>
      <c r="B28" s="6">
        <v>407</v>
      </c>
      <c r="C28" s="6" t="s">
        <v>852</v>
      </c>
      <c r="D28" s="6" t="s">
        <v>853</v>
      </c>
      <c r="E28" s="6">
        <v>5</v>
      </c>
      <c r="F28" s="6">
        <v>2</v>
      </c>
      <c r="G28" s="3"/>
      <c r="H28" s="6" t="s">
        <v>2028</v>
      </c>
      <c r="I28" s="6" t="s">
        <v>2015</v>
      </c>
      <c r="L28" s="30" t="s">
        <v>2929</v>
      </c>
      <c r="M28" s="30" t="s">
        <v>42</v>
      </c>
      <c r="N28" s="30" t="s">
        <v>852</v>
      </c>
      <c r="O28" s="22" t="s">
        <v>853</v>
      </c>
      <c r="Q28" s="30">
        <v>27</v>
      </c>
      <c r="R28" s="30" t="s">
        <v>2359</v>
      </c>
      <c r="S28" s="30" t="s">
        <v>2908</v>
      </c>
      <c r="T28" s="30" t="s">
        <v>2908</v>
      </c>
      <c r="U28" s="22" t="s">
        <v>2908</v>
      </c>
    </row>
    <row r="29" spans="1:21" ht="42" thickBot="1" x14ac:dyDescent="0.3">
      <c r="A29" s="6" t="s">
        <v>43</v>
      </c>
      <c r="B29" s="11">
        <v>13200</v>
      </c>
      <c r="C29" s="6" t="s">
        <v>854</v>
      </c>
      <c r="D29" s="6" t="s">
        <v>62</v>
      </c>
      <c r="E29" s="6">
        <v>3</v>
      </c>
      <c r="F29" s="6" t="s">
        <v>834</v>
      </c>
      <c r="G29" s="3"/>
      <c r="H29" s="6" t="s">
        <v>2178</v>
      </c>
      <c r="I29" s="6" t="s">
        <v>1299</v>
      </c>
      <c r="L29" s="30" t="s">
        <v>2178</v>
      </c>
      <c r="M29" s="30" t="s">
        <v>43</v>
      </c>
      <c r="N29" s="30" t="s">
        <v>6523</v>
      </c>
      <c r="O29" s="22" t="s">
        <v>62</v>
      </c>
      <c r="Q29" s="30">
        <v>28</v>
      </c>
      <c r="R29" s="30" t="s">
        <v>2024</v>
      </c>
      <c r="S29" s="30">
        <v>2520</v>
      </c>
      <c r="T29" s="32">
        <v>1126596</v>
      </c>
      <c r="U29" s="33">
        <v>722576</v>
      </c>
    </row>
    <row r="30" spans="1:21" ht="28.2" thickBot="1" x14ac:dyDescent="0.3">
      <c r="A30" s="6" t="s">
        <v>44</v>
      </c>
      <c r="B30" s="6">
        <v>1100</v>
      </c>
      <c r="C30" s="6" t="s">
        <v>855</v>
      </c>
      <c r="D30" s="6" t="s">
        <v>63</v>
      </c>
      <c r="E30" s="6">
        <v>2</v>
      </c>
      <c r="F30" s="6" t="s">
        <v>834</v>
      </c>
      <c r="G30" s="3"/>
      <c r="H30" s="6" t="s">
        <v>2179</v>
      </c>
      <c r="I30" s="6" t="s">
        <v>456</v>
      </c>
      <c r="L30" s="30" t="s">
        <v>2179</v>
      </c>
      <c r="M30" s="30" t="s">
        <v>44</v>
      </c>
      <c r="N30" s="30" t="s">
        <v>855</v>
      </c>
      <c r="O30" s="22" t="s">
        <v>63</v>
      </c>
      <c r="Q30" s="30">
        <v>29</v>
      </c>
      <c r="R30" s="30" t="s">
        <v>2892</v>
      </c>
      <c r="S30" s="30" t="s">
        <v>2908</v>
      </c>
      <c r="T30" s="30" t="s">
        <v>2908</v>
      </c>
      <c r="U30" s="22" t="s">
        <v>2908</v>
      </c>
    </row>
    <row r="31" spans="1:21" ht="42" thickBot="1" x14ac:dyDescent="0.3">
      <c r="A31" s="6" t="s">
        <v>45</v>
      </c>
      <c r="B31" s="11">
        <v>13300</v>
      </c>
      <c r="C31" s="6" t="s">
        <v>856</v>
      </c>
      <c r="D31" s="6" t="s">
        <v>857</v>
      </c>
      <c r="E31" s="6">
        <v>2</v>
      </c>
      <c r="F31" s="6" t="s">
        <v>834</v>
      </c>
      <c r="G31" s="3"/>
      <c r="H31" s="6" t="s">
        <v>2180</v>
      </c>
      <c r="I31" s="6" t="s">
        <v>518</v>
      </c>
      <c r="L31" s="30" t="s">
        <v>2180</v>
      </c>
      <c r="M31" s="30" t="s">
        <v>45</v>
      </c>
      <c r="N31" s="30" t="s">
        <v>856</v>
      </c>
      <c r="O31" s="22" t="s">
        <v>857</v>
      </c>
      <c r="Q31" s="30">
        <v>30</v>
      </c>
      <c r="R31" s="30" t="s">
        <v>2021</v>
      </c>
      <c r="S31" s="30">
        <v>389</v>
      </c>
      <c r="T31" s="32">
        <v>56841</v>
      </c>
      <c r="U31" s="33">
        <v>13732</v>
      </c>
    </row>
    <row r="32" spans="1:21" ht="42" thickBot="1" x14ac:dyDescent="0.3">
      <c r="A32" s="6" t="s">
        <v>858</v>
      </c>
      <c r="B32" s="6">
        <v>123</v>
      </c>
      <c r="C32" s="6" t="s">
        <v>46</v>
      </c>
      <c r="D32" s="6" t="s">
        <v>29</v>
      </c>
      <c r="E32" s="6" t="s">
        <v>29</v>
      </c>
      <c r="F32" s="6" t="s">
        <v>29</v>
      </c>
      <c r="G32" s="3"/>
      <c r="H32" s="6" t="s">
        <v>2181</v>
      </c>
      <c r="I32" s="6" t="s">
        <v>1233</v>
      </c>
      <c r="L32" s="30" t="s">
        <v>2181</v>
      </c>
      <c r="M32" s="30" t="s">
        <v>858</v>
      </c>
      <c r="N32" s="30" t="s">
        <v>46</v>
      </c>
      <c r="O32" s="22" t="s">
        <v>29</v>
      </c>
      <c r="Q32" s="30">
        <v>31</v>
      </c>
      <c r="R32" s="30" t="s">
        <v>2174</v>
      </c>
      <c r="S32" s="30">
        <v>2700</v>
      </c>
      <c r="T32" s="32">
        <v>25675</v>
      </c>
      <c r="U32" s="22">
        <v>5535</v>
      </c>
    </row>
    <row r="33" spans="1:21" ht="55.8" thickBot="1" x14ac:dyDescent="0.3">
      <c r="A33" s="6" t="s">
        <v>47</v>
      </c>
      <c r="B33" s="6">
        <v>315</v>
      </c>
      <c r="C33" s="6" t="s">
        <v>48</v>
      </c>
      <c r="D33" s="6" t="s">
        <v>29</v>
      </c>
      <c r="E33" s="6" t="s">
        <v>29</v>
      </c>
      <c r="F33" s="6" t="s">
        <v>29</v>
      </c>
      <c r="G33" s="3"/>
      <c r="H33" s="6" t="s">
        <v>2182</v>
      </c>
      <c r="I33" s="6" t="s">
        <v>2013</v>
      </c>
      <c r="L33" s="30" t="s">
        <v>2182</v>
      </c>
      <c r="M33" s="30" t="s">
        <v>47</v>
      </c>
      <c r="N33" s="30" t="s">
        <v>48</v>
      </c>
      <c r="O33" s="22" t="s">
        <v>29</v>
      </c>
      <c r="Q33" s="30">
        <v>32</v>
      </c>
      <c r="R33" s="30" t="s">
        <v>2180</v>
      </c>
      <c r="S33" s="32">
        <v>13300</v>
      </c>
      <c r="T33" s="32">
        <v>23926</v>
      </c>
      <c r="U33" s="22">
        <v>5382</v>
      </c>
    </row>
    <row r="34" spans="1:21" ht="42" thickBot="1" x14ac:dyDescent="0.3">
      <c r="A34" s="6" t="s">
        <v>859</v>
      </c>
      <c r="B34" s="6">
        <v>91</v>
      </c>
      <c r="C34" s="6" t="s">
        <v>860</v>
      </c>
      <c r="D34" s="6" t="s">
        <v>861</v>
      </c>
      <c r="E34" s="6" t="s">
        <v>29</v>
      </c>
      <c r="F34" s="6" t="s">
        <v>29</v>
      </c>
      <c r="G34" s="3"/>
      <c r="H34" s="6" t="s">
        <v>2027</v>
      </c>
      <c r="I34" s="6" t="s">
        <v>2014</v>
      </c>
      <c r="L34" s="30" t="s">
        <v>2027</v>
      </c>
      <c r="M34" s="30" t="s">
        <v>6524</v>
      </c>
      <c r="N34" s="30" t="s">
        <v>860</v>
      </c>
      <c r="O34" s="22" t="s">
        <v>861</v>
      </c>
      <c r="Q34" s="30">
        <v>33</v>
      </c>
      <c r="R34" s="30" t="s">
        <v>2020</v>
      </c>
      <c r="S34" s="30">
        <v>964</v>
      </c>
      <c r="T34" s="32">
        <v>295816</v>
      </c>
      <c r="U34" s="33">
        <v>78618</v>
      </c>
    </row>
    <row r="35" spans="1:21" ht="69.599999999999994" thickBot="1" x14ac:dyDescent="0.3">
      <c r="A35" s="6" t="s">
        <v>862</v>
      </c>
      <c r="B35" s="6">
        <v>420</v>
      </c>
      <c r="C35" s="6" t="s">
        <v>49</v>
      </c>
      <c r="D35" s="6" t="s">
        <v>64</v>
      </c>
      <c r="E35" s="6">
        <v>1</v>
      </c>
      <c r="F35" s="6" t="s">
        <v>29</v>
      </c>
      <c r="G35" s="3"/>
      <c r="H35" s="6" t="s">
        <v>2183</v>
      </c>
      <c r="I35" s="6" t="s">
        <v>2184</v>
      </c>
      <c r="L35" s="30" t="s">
        <v>2183</v>
      </c>
      <c r="M35" s="30" t="s">
        <v>862</v>
      </c>
      <c r="N35" s="30" t="s">
        <v>49</v>
      </c>
      <c r="O35" s="22" t="s">
        <v>64</v>
      </c>
      <c r="Q35" s="30">
        <v>34</v>
      </c>
      <c r="R35" s="30" t="s">
        <v>2177</v>
      </c>
      <c r="S35" s="32">
        <v>160000</v>
      </c>
      <c r="T35" s="32">
        <v>732061</v>
      </c>
      <c r="U35" s="33">
        <v>342535</v>
      </c>
    </row>
    <row r="36" spans="1:21" ht="42" thickBot="1" x14ac:dyDescent="0.3">
      <c r="A36" s="6" t="s">
        <v>50</v>
      </c>
      <c r="B36" s="11">
        <v>18100</v>
      </c>
      <c r="C36" s="6" t="s">
        <v>51</v>
      </c>
      <c r="D36" s="6" t="s">
        <v>863</v>
      </c>
      <c r="E36" s="6">
        <v>1</v>
      </c>
      <c r="F36" s="6" t="s">
        <v>834</v>
      </c>
      <c r="G36" s="3"/>
      <c r="H36" s="6" t="s">
        <v>2185</v>
      </c>
      <c r="I36" s="6">
        <v>29102</v>
      </c>
      <c r="L36" s="30" t="s">
        <v>2185</v>
      </c>
      <c r="M36" s="30" t="s">
        <v>50</v>
      </c>
      <c r="N36" s="30" t="s">
        <v>51</v>
      </c>
      <c r="O36" s="22" t="s">
        <v>863</v>
      </c>
      <c r="Q36" s="30">
        <v>35</v>
      </c>
      <c r="R36" s="30" t="s">
        <v>2175</v>
      </c>
      <c r="S36" s="30">
        <v>144</v>
      </c>
      <c r="T36" s="30">
        <v>1311</v>
      </c>
      <c r="U36" s="22">
        <v>300</v>
      </c>
    </row>
    <row r="37" spans="1:21" ht="42" thickBot="1" x14ac:dyDescent="0.3">
      <c r="A37" s="6" t="s">
        <v>52</v>
      </c>
      <c r="B37" s="6">
        <v>1120</v>
      </c>
      <c r="C37" s="6" t="s">
        <v>53</v>
      </c>
      <c r="D37" s="6" t="s">
        <v>864</v>
      </c>
      <c r="E37" s="6">
        <v>1</v>
      </c>
      <c r="F37" s="6" t="s">
        <v>834</v>
      </c>
      <c r="G37" s="3"/>
      <c r="H37" s="6" t="s">
        <v>2186</v>
      </c>
      <c r="I37" s="6" t="s">
        <v>1329</v>
      </c>
      <c r="L37" s="30" t="s">
        <v>2186</v>
      </c>
      <c r="M37" s="30" t="s">
        <v>52</v>
      </c>
      <c r="N37" s="30" t="s">
        <v>53</v>
      </c>
      <c r="O37" s="22" t="s">
        <v>864</v>
      </c>
      <c r="Q37" s="30">
        <v>36</v>
      </c>
      <c r="R37" s="30" t="s">
        <v>2026</v>
      </c>
      <c r="S37" s="30">
        <v>1050</v>
      </c>
      <c r="T37" s="32">
        <v>13702</v>
      </c>
      <c r="U37" s="22">
        <v>3885</v>
      </c>
    </row>
    <row r="38" spans="1:21" ht="42" thickBot="1" x14ac:dyDescent="0.3">
      <c r="A38" s="6" t="s">
        <v>54</v>
      </c>
      <c r="B38" s="11">
        <v>12800</v>
      </c>
      <c r="C38" s="6" t="s">
        <v>35</v>
      </c>
      <c r="D38" s="6" t="s">
        <v>61</v>
      </c>
      <c r="E38" s="6">
        <v>1</v>
      </c>
      <c r="F38" s="6" t="s">
        <v>834</v>
      </c>
      <c r="G38" s="3"/>
      <c r="H38" s="6" t="s">
        <v>2187</v>
      </c>
      <c r="I38" s="6" t="s">
        <v>1296</v>
      </c>
      <c r="L38" s="30" t="s">
        <v>2187</v>
      </c>
      <c r="M38" s="30" t="s">
        <v>54</v>
      </c>
      <c r="N38" s="30" t="s">
        <v>35</v>
      </c>
      <c r="O38" s="22" t="s">
        <v>61</v>
      </c>
      <c r="Q38" s="30">
        <v>37</v>
      </c>
      <c r="R38" s="30" t="s">
        <v>2920</v>
      </c>
      <c r="S38" s="30">
        <v>262</v>
      </c>
      <c r="T38" s="30">
        <v>1903</v>
      </c>
      <c r="U38" s="22">
        <v>1498</v>
      </c>
    </row>
    <row r="39" spans="1:21" ht="69.599999999999994" thickBot="1" x14ac:dyDescent="0.3">
      <c r="A39" s="6" t="s">
        <v>55</v>
      </c>
      <c r="B39" s="11">
        <v>179000</v>
      </c>
      <c r="C39" s="6" t="s">
        <v>56</v>
      </c>
      <c r="D39" s="6" t="s">
        <v>65</v>
      </c>
      <c r="E39" s="6" t="s">
        <v>834</v>
      </c>
      <c r="F39" s="6" t="s">
        <v>834</v>
      </c>
      <c r="L39" s="30" t="s">
        <v>3329</v>
      </c>
      <c r="M39" s="30" t="s">
        <v>55</v>
      </c>
      <c r="N39" s="30" t="s">
        <v>56</v>
      </c>
      <c r="O39" s="22" t="s">
        <v>65</v>
      </c>
      <c r="Q39" s="30">
        <v>38</v>
      </c>
      <c r="R39" s="30" t="s">
        <v>2320</v>
      </c>
      <c r="S39" s="30" t="s">
        <v>2908</v>
      </c>
      <c r="T39" s="30" t="s">
        <v>2908</v>
      </c>
      <c r="U39" s="22" t="s">
        <v>2908</v>
      </c>
    </row>
    <row r="40" spans="1:21" ht="42" thickBot="1" x14ac:dyDescent="0.3">
      <c r="A40" s="6" t="s">
        <v>57</v>
      </c>
      <c r="B40" s="6">
        <v>1430</v>
      </c>
      <c r="C40" s="6" t="s">
        <v>865</v>
      </c>
      <c r="D40" s="6" t="s">
        <v>866</v>
      </c>
      <c r="E40" s="6" t="s">
        <v>834</v>
      </c>
      <c r="F40" s="6" t="s">
        <v>834</v>
      </c>
      <c r="L40" s="30" t="s">
        <v>3276</v>
      </c>
      <c r="M40" s="30" t="s">
        <v>57</v>
      </c>
      <c r="N40" s="30" t="s">
        <v>865</v>
      </c>
      <c r="O40" s="22" t="s">
        <v>866</v>
      </c>
      <c r="Q40" s="30">
        <v>39</v>
      </c>
      <c r="R40" s="30" t="s">
        <v>2857</v>
      </c>
      <c r="S40" s="30" t="s">
        <v>2908</v>
      </c>
      <c r="T40" s="30" t="s">
        <v>2908</v>
      </c>
      <c r="U40" s="22" t="s">
        <v>2908</v>
      </c>
    </row>
    <row r="41" spans="1:21" ht="55.8" thickBot="1" x14ac:dyDescent="0.3">
      <c r="A41" s="6" t="s">
        <v>58</v>
      </c>
      <c r="B41" s="6">
        <v>909</v>
      </c>
      <c r="C41" s="6" t="s">
        <v>867</v>
      </c>
      <c r="D41" s="6" t="s">
        <v>868</v>
      </c>
      <c r="E41" s="6" t="s">
        <v>834</v>
      </c>
      <c r="F41" s="6" t="s">
        <v>834</v>
      </c>
      <c r="L41" s="30" t="s">
        <v>2028</v>
      </c>
      <c r="M41" s="30" t="s">
        <v>58</v>
      </c>
      <c r="N41" s="30" t="s">
        <v>867</v>
      </c>
      <c r="O41" s="22" t="s">
        <v>868</v>
      </c>
      <c r="Q41" s="30">
        <v>40</v>
      </c>
      <c r="R41" s="30" t="s">
        <v>2921</v>
      </c>
      <c r="S41" s="30" t="s">
        <v>2908</v>
      </c>
      <c r="T41" s="30" t="s">
        <v>2908</v>
      </c>
      <c r="U41" s="22" t="s">
        <v>2908</v>
      </c>
    </row>
    <row r="42" spans="1:21" ht="42" thickBot="1" x14ac:dyDescent="0.3">
      <c r="A42" s="6" t="s">
        <v>602</v>
      </c>
      <c r="B42" s="6">
        <v>618</v>
      </c>
      <c r="C42" s="6" t="s">
        <v>869</v>
      </c>
      <c r="D42" s="6" t="s">
        <v>870</v>
      </c>
      <c r="E42" s="6" t="s">
        <v>834</v>
      </c>
      <c r="F42" s="6" t="s">
        <v>834</v>
      </c>
      <c r="L42" s="30" t="s">
        <v>3309</v>
      </c>
      <c r="M42" s="30" t="s">
        <v>602</v>
      </c>
      <c r="N42" s="30" t="s">
        <v>869</v>
      </c>
      <c r="O42" s="22" t="s">
        <v>870</v>
      </c>
      <c r="Q42" s="30">
        <v>41</v>
      </c>
      <c r="R42" s="30" t="s">
        <v>2922</v>
      </c>
      <c r="S42" s="30" t="s">
        <v>2908</v>
      </c>
      <c r="T42" s="30" t="s">
        <v>2908</v>
      </c>
      <c r="U42" s="22" t="s">
        <v>2908</v>
      </c>
    </row>
    <row r="43" spans="1:21" ht="55.8" thickBot="1" x14ac:dyDescent="0.3">
      <c r="A43" s="6" t="s">
        <v>59</v>
      </c>
      <c r="B43" s="6">
        <v>5250</v>
      </c>
      <c r="C43" s="6" t="s">
        <v>871</v>
      </c>
      <c r="D43" s="6" t="s">
        <v>872</v>
      </c>
      <c r="E43" s="6" t="s">
        <v>834</v>
      </c>
      <c r="F43" s="6" t="s">
        <v>834</v>
      </c>
      <c r="L43" s="30" t="s">
        <v>3406</v>
      </c>
      <c r="M43" s="30" t="s">
        <v>59</v>
      </c>
      <c r="N43" s="30" t="s">
        <v>871</v>
      </c>
      <c r="O43" s="22" t="s">
        <v>872</v>
      </c>
      <c r="Q43" s="30">
        <v>42</v>
      </c>
      <c r="R43" s="30" t="s">
        <v>2341</v>
      </c>
      <c r="S43" s="30" t="s">
        <v>2908</v>
      </c>
      <c r="T43" s="30" t="s">
        <v>2908</v>
      </c>
      <c r="U43" s="22" t="s">
        <v>2908</v>
      </c>
    </row>
    <row r="44" spans="1:21" ht="42" thickBot="1" x14ac:dyDescent="0.3">
      <c r="A44" s="6" t="s">
        <v>873</v>
      </c>
      <c r="B44" s="6">
        <v>8620</v>
      </c>
      <c r="C44" s="6" t="s">
        <v>874</v>
      </c>
      <c r="D44" s="6" t="s">
        <v>875</v>
      </c>
      <c r="E44" s="6" t="s">
        <v>834</v>
      </c>
      <c r="F44" s="6" t="s">
        <v>834</v>
      </c>
      <c r="L44" s="30" t="s">
        <v>2393</v>
      </c>
      <c r="M44" s="30" t="s">
        <v>873</v>
      </c>
      <c r="N44" s="30" t="s">
        <v>874</v>
      </c>
      <c r="O44" s="22" t="s">
        <v>875</v>
      </c>
      <c r="Q44" s="30">
        <v>43</v>
      </c>
      <c r="R44" s="30" t="s">
        <v>2161</v>
      </c>
      <c r="S44" s="30">
        <v>0.4</v>
      </c>
      <c r="T44" s="30">
        <v>187</v>
      </c>
      <c r="U44" s="22">
        <v>26</v>
      </c>
    </row>
    <row r="45" spans="1:21" ht="55.8" thickBot="1" x14ac:dyDescent="0.3">
      <c r="A45" s="6" t="s">
        <v>876</v>
      </c>
      <c r="B45" s="11">
        <v>26050</v>
      </c>
      <c r="C45" s="6" t="s">
        <v>877</v>
      </c>
      <c r="D45" s="6" t="s">
        <v>780</v>
      </c>
      <c r="E45" s="6" t="s">
        <v>834</v>
      </c>
      <c r="F45" s="6" t="s">
        <v>834</v>
      </c>
      <c r="L45" s="30" t="s">
        <v>6470</v>
      </c>
      <c r="M45" s="30" t="s">
        <v>876</v>
      </c>
      <c r="N45" s="30" t="s">
        <v>877</v>
      </c>
      <c r="O45" s="22" t="s">
        <v>780</v>
      </c>
      <c r="Q45" s="30">
        <v>44</v>
      </c>
      <c r="R45" s="30" t="s">
        <v>2923</v>
      </c>
      <c r="S45" s="30" t="s">
        <v>2908</v>
      </c>
      <c r="T45" s="30" t="s">
        <v>2908</v>
      </c>
      <c r="U45" s="22" t="s">
        <v>2908</v>
      </c>
    </row>
    <row r="46" spans="1:21" ht="42" thickBot="1" x14ac:dyDescent="0.3">
      <c r="A46" s="6" t="s">
        <v>878</v>
      </c>
      <c r="B46" s="11">
        <v>132000</v>
      </c>
      <c r="C46" s="6" t="s">
        <v>879</v>
      </c>
      <c r="D46" s="6" t="s">
        <v>66</v>
      </c>
      <c r="E46" s="6" t="s">
        <v>834</v>
      </c>
      <c r="F46" s="6" t="s">
        <v>834</v>
      </c>
      <c r="L46" s="30" t="s">
        <v>6525</v>
      </c>
      <c r="M46" s="30" t="s">
        <v>878</v>
      </c>
      <c r="N46" s="30" t="s">
        <v>879</v>
      </c>
      <c r="O46" s="22" t="s">
        <v>66</v>
      </c>
      <c r="Q46" s="30">
        <v>45</v>
      </c>
      <c r="R46" s="30" t="s">
        <v>2924</v>
      </c>
      <c r="S46" s="30" t="s">
        <v>2908</v>
      </c>
      <c r="T46" s="30" t="s">
        <v>2908</v>
      </c>
      <c r="U46" s="22" t="s">
        <v>2908</v>
      </c>
    </row>
    <row r="47" spans="1:21" ht="42" thickBot="1" x14ac:dyDescent="0.3">
      <c r="A47" s="6" t="s">
        <v>880</v>
      </c>
      <c r="B47" s="11">
        <v>353193</v>
      </c>
      <c r="C47" s="6" t="s">
        <v>881</v>
      </c>
      <c r="D47" s="6" t="s">
        <v>67</v>
      </c>
      <c r="E47" s="6" t="s">
        <v>834</v>
      </c>
      <c r="F47" s="6" t="s">
        <v>834</v>
      </c>
      <c r="L47" s="30" t="s">
        <v>2958</v>
      </c>
      <c r="M47" s="30" t="s">
        <v>880</v>
      </c>
      <c r="N47" s="30" t="s">
        <v>881</v>
      </c>
      <c r="O47" s="22" t="s">
        <v>67</v>
      </c>
      <c r="Q47" s="30">
        <v>46</v>
      </c>
      <c r="R47" s="30" t="s">
        <v>2925</v>
      </c>
      <c r="S47" s="30" t="s">
        <v>2908</v>
      </c>
      <c r="T47" s="30" t="s">
        <v>2908</v>
      </c>
      <c r="U47" s="22" t="s">
        <v>2908</v>
      </c>
    </row>
    <row r="48" spans="1:21" ht="42" thickBot="1" x14ac:dyDescent="0.3">
      <c r="A48" s="6" t="s">
        <v>60</v>
      </c>
      <c r="B48" s="11">
        <v>28900</v>
      </c>
      <c r="C48" s="6" t="s">
        <v>882</v>
      </c>
      <c r="D48" s="6" t="s">
        <v>68</v>
      </c>
      <c r="E48" s="6" t="s">
        <v>834</v>
      </c>
      <c r="F48" s="6" t="s">
        <v>834</v>
      </c>
      <c r="L48" s="30" t="s">
        <v>3296</v>
      </c>
      <c r="M48" s="30" t="s">
        <v>60</v>
      </c>
      <c r="N48" s="30" t="s">
        <v>882</v>
      </c>
      <c r="O48" s="22" t="s">
        <v>68</v>
      </c>
      <c r="Q48" s="30">
        <v>47</v>
      </c>
      <c r="R48" s="30" t="s">
        <v>3159</v>
      </c>
      <c r="S48" s="30">
        <v>91</v>
      </c>
      <c r="T48" s="30">
        <v>129</v>
      </c>
      <c r="U48" s="22">
        <v>59</v>
      </c>
    </row>
    <row r="49" spans="1:21" ht="42" thickBot="1" x14ac:dyDescent="0.3">
      <c r="A49" s="6" t="s">
        <v>883</v>
      </c>
      <c r="B49" s="6">
        <v>1430</v>
      </c>
      <c r="C49" s="6" t="s">
        <v>884</v>
      </c>
      <c r="D49" s="6" t="s">
        <v>69</v>
      </c>
      <c r="E49" s="6" t="s">
        <v>834</v>
      </c>
      <c r="F49" s="6" t="s">
        <v>834</v>
      </c>
      <c r="L49" s="30" t="s">
        <v>6526</v>
      </c>
      <c r="M49" s="30" t="s">
        <v>883</v>
      </c>
      <c r="N49" s="30" t="s">
        <v>884</v>
      </c>
      <c r="O49" s="22" t="s">
        <v>69</v>
      </c>
      <c r="Q49" s="30">
        <v>48</v>
      </c>
      <c r="R49" s="30" t="s">
        <v>2878</v>
      </c>
      <c r="S49" s="30" t="s">
        <v>2908</v>
      </c>
      <c r="T49" s="30" t="s">
        <v>2908</v>
      </c>
      <c r="U49" s="22" t="s">
        <v>2908</v>
      </c>
    </row>
    <row r="50" spans="1:21" ht="28.2" thickBot="1" x14ac:dyDescent="0.3">
      <c r="A50" s="6" t="s">
        <v>885</v>
      </c>
      <c r="B50" s="6">
        <v>439</v>
      </c>
      <c r="C50" s="6" t="s">
        <v>886</v>
      </c>
      <c r="D50" s="6" t="s">
        <v>869</v>
      </c>
      <c r="E50" s="6" t="s">
        <v>834</v>
      </c>
      <c r="F50" s="6" t="s">
        <v>834</v>
      </c>
      <c r="L50" s="30" t="s">
        <v>6449</v>
      </c>
      <c r="M50" s="30" t="s">
        <v>885</v>
      </c>
      <c r="N50" s="30" t="s">
        <v>886</v>
      </c>
      <c r="O50" s="22" t="s">
        <v>869</v>
      </c>
      <c r="Q50" s="30">
        <v>49</v>
      </c>
      <c r="R50" s="30" t="s">
        <v>2927</v>
      </c>
      <c r="S50" s="30" t="s">
        <v>2908</v>
      </c>
      <c r="T50" s="30" t="s">
        <v>2908</v>
      </c>
      <c r="U50" s="22" t="s">
        <v>2908</v>
      </c>
    </row>
    <row r="51" spans="1:21" ht="111" thickBot="1" x14ac:dyDescent="0.3">
      <c r="L51" s="30" t="s">
        <v>4622</v>
      </c>
      <c r="M51" s="30" t="s">
        <v>6527</v>
      </c>
      <c r="N51" s="30" t="s">
        <v>6528</v>
      </c>
      <c r="O51" s="22" t="s">
        <v>29</v>
      </c>
      <c r="Q51" s="30">
        <v>50</v>
      </c>
      <c r="R51" s="30" t="s">
        <v>2164</v>
      </c>
      <c r="S51" s="30">
        <v>57</v>
      </c>
      <c r="T51" s="30">
        <v>9437</v>
      </c>
      <c r="U51" s="22">
        <v>8766</v>
      </c>
    </row>
    <row r="52" spans="1:21" ht="55.8" thickBot="1" x14ac:dyDescent="0.3">
      <c r="L52" s="30" t="s">
        <v>6529</v>
      </c>
      <c r="M52" s="30" t="s">
        <v>6530</v>
      </c>
      <c r="N52" s="30" t="s">
        <v>6531</v>
      </c>
      <c r="O52" s="22" t="s">
        <v>29</v>
      </c>
      <c r="Q52" s="30">
        <v>51</v>
      </c>
      <c r="R52" s="30" t="s">
        <v>2170</v>
      </c>
      <c r="S52" s="30">
        <v>24.7</v>
      </c>
      <c r="T52" s="30">
        <v>863</v>
      </c>
      <c r="U52" s="22">
        <v>819</v>
      </c>
    </row>
    <row r="53" spans="1:21" ht="69.599999999999994" thickBot="1" x14ac:dyDescent="0.3">
      <c r="L53" s="30" t="s">
        <v>6532</v>
      </c>
      <c r="M53" s="30" t="s">
        <v>6533</v>
      </c>
      <c r="N53" s="30" t="s">
        <v>6534</v>
      </c>
      <c r="O53" s="22" t="s">
        <v>29</v>
      </c>
      <c r="Q53" s="30">
        <v>52</v>
      </c>
      <c r="R53" s="30" t="s">
        <v>2172</v>
      </c>
      <c r="S53" s="30">
        <v>167</v>
      </c>
      <c r="T53" s="30">
        <v>3271</v>
      </c>
      <c r="U53" s="22">
        <v>571</v>
      </c>
    </row>
    <row r="54" spans="1:21" ht="55.8" thickBot="1" x14ac:dyDescent="0.3">
      <c r="L54" s="30" t="s">
        <v>3475</v>
      </c>
      <c r="M54" s="30" t="s">
        <v>6535</v>
      </c>
      <c r="N54" s="30" t="s">
        <v>6536</v>
      </c>
      <c r="O54" s="22" t="s">
        <v>6537</v>
      </c>
      <c r="Q54" s="30">
        <v>53</v>
      </c>
      <c r="R54" s="30" t="s">
        <v>3819</v>
      </c>
      <c r="S54" s="30" t="s">
        <v>2908</v>
      </c>
      <c r="T54" s="30" t="s">
        <v>2908</v>
      </c>
      <c r="U54" s="22" t="s">
        <v>2908</v>
      </c>
    </row>
    <row r="55" spans="1:21" ht="69.599999999999994" thickBot="1" x14ac:dyDescent="0.3">
      <c r="L55" s="30" t="s">
        <v>3519</v>
      </c>
      <c r="M55" s="30" t="s">
        <v>6538</v>
      </c>
      <c r="N55" s="30" t="s">
        <v>6539</v>
      </c>
      <c r="O55" s="22" t="s">
        <v>29</v>
      </c>
      <c r="Q55" s="30">
        <v>54</v>
      </c>
      <c r="R55" s="30" t="s">
        <v>2929</v>
      </c>
      <c r="S55" s="30">
        <v>407</v>
      </c>
      <c r="T55" s="30">
        <v>2075</v>
      </c>
      <c r="U55" s="22">
        <v>992</v>
      </c>
    </row>
    <row r="56" spans="1:21" ht="97.2" thickBot="1" x14ac:dyDescent="0.3">
      <c r="L56" s="30" t="s">
        <v>2909</v>
      </c>
      <c r="M56" s="30" t="s">
        <v>6540</v>
      </c>
      <c r="N56" s="30" t="s">
        <v>6541</v>
      </c>
      <c r="O56" s="22" t="s">
        <v>6542</v>
      </c>
      <c r="Q56" s="30">
        <v>55</v>
      </c>
      <c r="R56" s="30" t="s">
        <v>2183</v>
      </c>
      <c r="S56" s="30">
        <v>420</v>
      </c>
      <c r="T56" s="30">
        <v>374</v>
      </c>
      <c r="U56" s="22">
        <v>473</v>
      </c>
    </row>
    <row r="57" spans="1:21" ht="55.8" thickBot="1" x14ac:dyDescent="0.3">
      <c r="L57" s="30" t="s">
        <v>6543</v>
      </c>
      <c r="M57" s="30" t="s">
        <v>6544</v>
      </c>
      <c r="N57" s="30" t="s">
        <v>6545</v>
      </c>
      <c r="O57" s="22" t="s">
        <v>6546</v>
      </c>
      <c r="Q57" s="30">
        <v>56</v>
      </c>
      <c r="R57" s="30" t="s">
        <v>2185</v>
      </c>
      <c r="S57" s="32">
        <v>18100</v>
      </c>
      <c r="T57" s="32">
        <v>13666</v>
      </c>
      <c r="U57" s="22">
        <v>1935</v>
      </c>
    </row>
    <row r="58" spans="1:21" ht="69.599999999999994" thickBot="1" x14ac:dyDescent="0.3">
      <c r="L58" s="30" t="s">
        <v>6547</v>
      </c>
      <c r="M58" s="30" t="s">
        <v>6548</v>
      </c>
      <c r="N58" s="30" t="s">
        <v>6549</v>
      </c>
      <c r="O58" s="22" t="s">
        <v>6550</v>
      </c>
      <c r="Q58" s="30">
        <v>57</v>
      </c>
      <c r="R58" s="30" t="s">
        <v>2930</v>
      </c>
      <c r="S58" s="30" t="s">
        <v>2908</v>
      </c>
      <c r="T58" s="30" t="s">
        <v>2908</v>
      </c>
      <c r="U58" s="22" t="s">
        <v>2908</v>
      </c>
    </row>
    <row r="59" spans="1:21" ht="42" thickBot="1" x14ac:dyDescent="0.3">
      <c r="L59" s="30" t="s">
        <v>6551</v>
      </c>
      <c r="M59" s="30" t="s">
        <v>6552</v>
      </c>
      <c r="N59" s="30" t="s">
        <v>6553</v>
      </c>
      <c r="O59" s="22" t="s">
        <v>6554</v>
      </c>
      <c r="Q59" s="30">
        <v>58</v>
      </c>
      <c r="R59" s="30" t="s">
        <v>2331</v>
      </c>
      <c r="S59" s="30" t="s">
        <v>2908</v>
      </c>
      <c r="T59" s="30" t="s">
        <v>2908</v>
      </c>
      <c r="U59" s="22" t="s">
        <v>2908</v>
      </c>
    </row>
    <row r="60" spans="1:21" ht="55.8" thickBot="1" x14ac:dyDescent="0.3">
      <c r="L60" s="30" t="s">
        <v>2901</v>
      </c>
      <c r="M60" s="30" t="s">
        <v>6555</v>
      </c>
      <c r="N60" s="30" t="s">
        <v>6556</v>
      </c>
      <c r="O60" s="22" t="s">
        <v>6557</v>
      </c>
      <c r="Q60" s="30">
        <v>59</v>
      </c>
      <c r="R60" s="30" t="s">
        <v>2337</v>
      </c>
      <c r="S60" s="30" t="s">
        <v>2908</v>
      </c>
      <c r="T60" s="30" t="s">
        <v>2908</v>
      </c>
      <c r="U60" s="22" t="s">
        <v>2908</v>
      </c>
    </row>
    <row r="61" spans="1:21" ht="42" thickBot="1" x14ac:dyDescent="0.3">
      <c r="L61" s="30" t="s">
        <v>2318</v>
      </c>
      <c r="M61" s="30" t="s">
        <v>6558</v>
      </c>
      <c r="N61" s="30" t="s">
        <v>6559</v>
      </c>
      <c r="O61" s="22" t="s">
        <v>6560</v>
      </c>
      <c r="Q61" s="30">
        <v>60</v>
      </c>
      <c r="R61" s="30" t="s">
        <v>2365</v>
      </c>
      <c r="S61" s="30" t="s">
        <v>2908</v>
      </c>
      <c r="T61" s="30" t="s">
        <v>2908</v>
      </c>
      <c r="U61" s="22" t="s">
        <v>2908</v>
      </c>
    </row>
    <row r="62" spans="1:21" ht="28.2" thickBot="1" x14ac:dyDescent="0.3">
      <c r="Q62" s="30">
        <v>61</v>
      </c>
      <c r="R62" s="30" t="s">
        <v>2186</v>
      </c>
      <c r="S62" s="30">
        <v>1120</v>
      </c>
      <c r="T62" s="30">
        <v>839</v>
      </c>
      <c r="U62" s="22">
        <v>13</v>
      </c>
    </row>
    <row r="63" spans="1:21" ht="28.2" thickBot="1" x14ac:dyDescent="0.3">
      <c r="Q63" s="30">
        <v>62</v>
      </c>
      <c r="R63" s="30" t="s">
        <v>2382</v>
      </c>
      <c r="S63" s="30" t="s">
        <v>2908</v>
      </c>
      <c r="T63" s="30" t="s">
        <v>2908</v>
      </c>
      <c r="U63" s="22" t="s">
        <v>2908</v>
      </c>
    </row>
    <row r="64" spans="1:21" ht="28.2" thickBot="1" x14ac:dyDescent="0.3">
      <c r="Q64" s="30">
        <v>63</v>
      </c>
      <c r="R64" s="30" t="s">
        <v>2393</v>
      </c>
      <c r="S64" s="30">
        <v>8620</v>
      </c>
      <c r="T64" s="30">
        <v>3483</v>
      </c>
      <c r="U64" s="22">
        <v>232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EE6B-0EAD-417B-A526-79B844BE1704}">
  <dimension ref="A1:AA132"/>
  <sheetViews>
    <sheetView topLeftCell="A50" zoomScaleNormal="100" workbookViewId="0">
      <selection activeCell="W1" sqref="W1:AA64"/>
    </sheetView>
  </sheetViews>
  <sheetFormatPr defaultRowHeight="13.8" x14ac:dyDescent="0.25"/>
  <cols>
    <col min="1" max="1" width="9" bestFit="1" customWidth="1"/>
    <col min="3" max="3" width="9.6640625" bestFit="1" customWidth="1"/>
  </cols>
  <sheetData>
    <row r="1" spans="1:27" ht="83.4" thickBot="1" x14ac:dyDescent="0.3">
      <c r="A1" s="6" t="s">
        <v>70</v>
      </c>
      <c r="B1" s="6" t="s">
        <v>71</v>
      </c>
      <c r="C1" s="6" t="s">
        <v>72</v>
      </c>
      <c r="D1" s="6" t="s">
        <v>73</v>
      </c>
      <c r="E1" s="6" t="s">
        <v>74</v>
      </c>
      <c r="F1" s="6" t="s">
        <v>75</v>
      </c>
      <c r="G1" s="6" t="s">
        <v>76</v>
      </c>
      <c r="H1" s="6" t="s">
        <v>77</v>
      </c>
      <c r="I1" s="9" t="s">
        <v>4</v>
      </c>
      <c r="J1" s="9" t="s">
        <v>684</v>
      </c>
      <c r="L1" s="29" t="s">
        <v>2845</v>
      </c>
      <c r="M1" s="29" t="s">
        <v>6561</v>
      </c>
      <c r="N1" s="29" t="s">
        <v>72</v>
      </c>
      <c r="O1" s="29" t="s">
        <v>73</v>
      </c>
      <c r="P1" s="29" t="s">
        <v>74</v>
      </c>
      <c r="Q1" s="29" t="s">
        <v>75</v>
      </c>
      <c r="R1" s="29" t="s">
        <v>76</v>
      </c>
      <c r="S1" s="21" t="s">
        <v>77</v>
      </c>
      <c r="U1" s="29" t="s">
        <v>2845</v>
      </c>
      <c r="V1" s="29" t="s">
        <v>2906</v>
      </c>
      <c r="W1" s="29" t="s">
        <v>73</v>
      </c>
      <c r="X1" s="29" t="s">
        <v>74</v>
      </c>
      <c r="Y1" s="29" t="s">
        <v>75</v>
      </c>
      <c r="Z1" s="29" t="s">
        <v>76</v>
      </c>
      <c r="AA1" s="21" t="s">
        <v>77</v>
      </c>
    </row>
    <row r="2" spans="1:27" ht="69.599999999999994" thickBot="1" x14ac:dyDescent="0.3">
      <c r="A2" s="6">
        <v>1</v>
      </c>
      <c r="B2" s="6" t="s">
        <v>8</v>
      </c>
      <c r="C2" s="6" t="s">
        <v>78</v>
      </c>
      <c r="D2" s="6" t="s">
        <v>79</v>
      </c>
      <c r="E2" s="6" t="s">
        <v>80</v>
      </c>
      <c r="F2" s="6" t="s">
        <v>81</v>
      </c>
      <c r="G2" s="6" t="s">
        <v>82</v>
      </c>
      <c r="H2" s="6" t="s">
        <v>83</v>
      </c>
      <c r="L2" s="29" t="s">
        <v>6567</v>
      </c>
      <c r="M2" s="30"/>
      <c r="N2" s="30"/>
      <c r="O2" s="30"/>
      <c r="P2" s="30"/>
      <c r="Q2" s="30"/>
      <c r="R2" s="30"/>
      <c r="S2" s="22"/>
      <c r="U2" s="30">
        <v>1</v>
      </c>
      <c r="V2" s="30" t="s">
        <v>6630</v>
      </c>
      <c r="W2" s="30">
        <v>5320.56</v>
      </c>
      <c r="X2" s="30">
        <v>972.62</v>
      </c>
      <c r="Y2" s="30">
        <v>1104.58</v>
      </c>
      <c r="Z2" s="30">
        <v>6009.12</v>
      </c>
      <c r="AA2" s="22">
        <v>918.62</v>
      </c>
    </row>
    <row r="3" spans="1:27" ht="69.599999999999994" thickBot="1" x14ac:dyDescent="0.3">
      <c r="A3" s="6">
        <v>2</v>
      </c>
      <c r="B3" s="6" t="s">
        <v>19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88</v>
      </c>
      <c r="H3" s="6" t="s">
        <v>89</v>
      </c>
      <c r="L3" s="30">
        <v>1</v>
      </c>
      <c r="M3" s="30" t="s">
        <v>8</v>
      </c>
      <c r="N3" s="30" t="s">
        <v>1292</v>
      </c>
      <c r="O3" s="30">
        <v>5320.56</v>
      </c>
      <c r="P3" s="30">
        <v>972.62</v>
      </c>
      <c r="Q3" s="30">
        <v>1104.58</v>
      </c>
      <c r="R3" s="30">
        <v>6009.12</v>
      </c>
      <c r="S3" s="22">
        <v>918.62</v>
      </c>
      <c r="U3" s="30">
        <v>2</v>
      </c>
      <c r="V3" s="30" t="s">
        <v>6631</v>
      </c>
      <c r="W3" s="30">
        <v>5.98</v>
      </c>
      <c r="X3" s="30">
        <v>10.69</v>
      </c>
      <c r="Y3" s="30">
        <v>3842.22</v>
      </c>
      <c r="Z3" s="30">
        <v>23.36</v>
      </c>
      <c r="AA3" s="22">
        <v>13.13</v>
      </c>
    </row>
    <row r="4" spans="1:27" ht="69.599999999999994" thickBot="1" x14ac:dyDescent="0.3">
      <c r="A4" s="6">
        <v>3</v>
      </c>
      <c r="B4" s="6" t="s">
        <v>10</v>
      </c>
      <c r="C4" s="6" t="s">
        <v>90</v>
      </c>
      <c r="D4" s="6" t="s">
        <v>91</v>
      </c>
      <c r="E4" s="6" t="s">
        <v>92</v>
      </c>
      <c r="F4" s="6" t="s">
        <v>93</v>
      </c>
      <c r="G4" s="6" t="s">
        <v>94</v>
      </c>
      <c r="H4" s="6" t="s">
        <v>95</v>
      </c>
      <c r="L4" s="30">
        <v>2</v>
      </c>
      <c r="M4" s="30" t="s">
        <v>19</v>
      </c>
      <c r="N4" s="30" t="s">
        <v>2163</v>
      </c>
      <c r="O4" s="30">
        <v>5.98</v>
      </c>
      <c r="P4" s="30">
        <v>10.69</v>
      </c>
      <c r="Q4" s="30">
        <v>3842.22</v>
      </c>
      <c r="R4" s="30">
        <v>23.36</v>
      </c>
      <c r="S4" s="22">
        <v>13.13</v>
      </c>
      <c r="U4" s="30">
        <v>3</v>
      </c>
      <c r="V4" s="30" t="s">
        <v>6632</v>
      </c>
      <c r="W4" s="30">
        <v>695.74</v>
      </c>
      <c r="X4" s="30">
        <v>145.69999999999999</v>
      </c>
      <c r="Y4" s="30">
        <v>245.25</v>
      </c>
      <c r="Z4" s="30">
        <v>1202.8499999999999</v>
      </c>
      <c r="AA4" s="22">
        <v>262.58</v>
      </c>
    </row>
    <row r="5" spans="1:27" ht="69.599999999999994" thickBot="1" x14ac:dyDescent="0.3">
      <c r="A5" s="6">
        <v>4</v>
      </c>
      <c r="B5" s="6" t="s">
        <v>24</v>
      </c>
      <c r="C5" s="6" t="s">
        <v>96</v>
      </c>
      <c r="D5" s="6" t="s">
        <v>97</v>
      </c>
      <c r="E5" s="6" t="s">
        <v>98</v>
      </c>
      <c r="F5" s="6" t="s">
        <v>99</v>
      </c>
      <c r="G5" s="6" t="s">
        <v>100</v>
      </c>
      <c r="H5" s="6" t="s">
        <v>101</v>
      </c>
      <c r="L5" s="30">
        <v>3</v>
      </c>
      <c r="M5" s="30" t="s">
        <v>10</v>
      </c>
      <c r="N5" s="30" t="s">
        <v>1321</v>
      </c>
      <c r="O5" s="30">
        <v>695.74</v>
      </c>
      <c r="P5" s="30">
        <v>145.69999999999999</v>
      </c>
      <c r="Q5" s="30">
        <v>245.25</v>
      </c>
      <c r="R5" s="30">
        <v>1202.8499999999999</v>
      </c>
      <c r="S5" s="22">
        <v>262.58</v>
      </c>
      <c r="U5" s="30">
        <v>4</v>
      </c>
      <c r="V5" s="30" t="s">
        <v>6633</v>
      </c>
      <c r="W5" s="30">
        <v>1173.18</v>
      </c>
      <c r="X5" s="30">
        <v>484.16</v>
      </c>
      <c r="Y5" s="30">
        <v>577.21</v>
      </c>
      <c r="Z5" s="30">
        <v>1054.47</v>
      </c>
      <c r="AA5" s="22">
        <v>129.49</v>
      </c>
    </row>
    <row r="6" spans="1:27" ht="69.599999999999994" thickBot="1" x14ac:dyDescent="0.3">
      <c r="A6" s="6">
        <v>5</v>
      </c>
      <c r="B6" s="6" t="s">
        <v>102</v>
      </c>
      <c r="C6" s="6" t="s">
        <v>103</v>
      </c>
      <c r="D6" s="6" t="s">
        <v>104</v>
      </c>
      <c r="E6" s="6" t="s">
        <v>105</v>
      </c>
      <c r="F6" s="6" t="s">
        <v>106</v>
      </c>
      <c r="G6" s="6" t="s">
        <v>107</v>
      </c>
      <c r="H6" s="6" t="s">
        <v>108</v>
      </c>
      <c r="L6" s="30">
        <v>4</v>
      </c>
      <c r="M6" s="30" t="s">
        <v>24</v>
      </c>
      <c r="N6" s="30" t="s">
        <v>1274</v>
      </c>
      <c r="O6" s="30">
        <v>1173.18</v>
      </c>
      <c r="P6" s="30">
        <v>484.16</v>
      </c>
      <c r="Q6" s="30">
        <v>577.21</v>
      </c>
      <c r="R6" s="30">
        <v>1054.47</v>
      </c>
      <c r="S6" s="22">
        <v>129.49</v>
      </c>
      <c r="U6" s="30">
        <v>5</v>
      </c>
      <c r="V6" s="30" t="s">
        <v>6634</v>
      </c>
      <c r="W6" s="30">
        <v>149.27000000000001</v>
      </c>
      <c r="X6" s="30">
        <v>86.76</v>
      </c>
      <c r="Y6" s="30">
        <v>136.05000000000001</v>
      </c>
      <c r="Z6" s="30">
        <v>572.73</v>
      </c>
      <c r="AA6" s="22">
        <v>71.709999999999994</v>
      </c>
    </row>
    <row r="7" spans="1:27" ht="69.599999999999994" thickBot="1" x14ac:dyDescent="0.3">
      <c r="A7" s="6">
        <v>6</v>
      </c>
      <c r="B7" s="6" t="s">
        <v>109</v>
      </c>
      <c r="C7" s="6" t="s">
        <v>110</v>
      </c>
      <c r="D7" s="6" t="s">
        <v>111</v>
      </c>
      <c r="E7" s="6" t="s">
        <v>112</v>
      </c>
      <c r="F7" s="6" t="s">
        <v>113</v>
      </c>
      <c r="G7" s="6" t="s">
        <v>114</v>
      </c>
      <c r="H7" s="6" t="s">
        <v>115</v>
      </c>
      <c r="L7" s="30">
        <v>5</v>
      </c>
      <c r="M7" s="30" t="s">
        <v>102</v>
      </c>
      <c r="N7" s="30" t="s">
        <v>1314</v>
      </c>
      <c r="O7" s="30">
        <v>149.27000000000001</v>
      </c>
      <c r="P7" s="30">
        <v>86.76</v>
      </c>
      <c r="Q7" s="30">
        <v>136.05000000000001</v>
      </c>
      <c r="R7" s="30">
        <v>572.73</v>
      </c>
      <c r="S7" s="22">
        <v>71.709999999999994</v>
      </c>
      <c r="U7" s="30">
        <v>6</v>
      </c>
      <c r="V7" s="30" t="s">
        <v>6635</v>
      </c>
      <c r="W7" s="30">
        <v>439.66</v>
      </c>
      <c r="X7" s="30">
        <v>114.58</v>
      </c>
      <c r="Y7" s="30">
        <v>80.400000000000006</v>
      </c>
      <c r="Z7" s="30">
        <v>393.75</v>
      </c>
      <c r="AA7" s="22">
        <v>82.3</v>
      </c>
    </row>
    <row r="8" spans="1:27" ht="69.599999999999994" thickBot="1" x14ac:dyDescent="0.3">
      <c r="A8" s="6">
        <v>7</v>
      </c>
      <c r="B8" s="6" t="s">
        <v>43</v>
      </c>
      <c r="C8" s="6" t="s">
        <v>116</v>
      </c>
      <c r="D8" s="6" t="s">
        <v>117</v>
      </c>
      <c r="E8" s="6" t="s">
        <v>118</v>
      </c>
      <c r="F8" s="6" t="s">
        <v>119</v>
      </c>
      <c r="G8" s="6" t="s">
        <v>120</v>
      </c>
      <c r="H8" s="6" t="s">
        <v>121</v>
      </c>
      <c r="L8" s="30">
        <v>6</v>
      </c>
      <c r="M8" s="30" t="s">
        <v>109</v>
      </c>
      <c r="N8" s="30" t="s">
        <v>1278</v>
      </c>
      <c r="O8" s="30">
        <v>439.66</v>
      </c>
      <c r="P8" s="30">
        <v>114.58</v>
      </c>
      <c r="Q8" s="30">
        <v>80.400000000000006</v>
      </c>
      <c r="R8" s="30">
        <v>393.75</v>
      </c>
      <c r="S8" s="22">
        <v>82.3</v>
      </c>
      <c r="U8" s="30">
        <v>7</v>
      </c>
      <c r="V8" s="30" t="s">
        <v>6563</v>
      </c>
      <c r="W8" s="30">
        <v>162.41999999999999</v>
      </c>
      <c r="X8" s="30">
        <v>67.59</v>
      </c>
      <c r="Y8" s="30">
        <v>92.79</v>
      </c>
      <c r="Z8" s="30">
        <v>359.81</v>
      </c>
      <c r="AA8" s="22">
        <v>41.72</v>
      </c>
    </row>
    <row r="9" spans="1:27" ht="69.599999999999994" thickBot="1" x14ac:dyDescent="0.3">
      <c r="A9" s="6">
        <v>8</v>
      </c>
      <c r="B9" s="6" t="s">
        <v>122</v>
      </c>
      <c r="C9" s="6" t="s">
        <v>123</v>
      </c>
      <c r="D9" s="6" t="s">
        <v>124</v>
      </c>
      <c r="E9" s="6" t="s">
        <v>125</v>
      </c>
      <c r="F9" s="6" t="s">
        <v>126</v>
      </c>
      <c r="G9" s="6" t="s">
        <v>127</v>
      </c>
      <c r="H9" s="6" t="s">
        <v>128</v>
      </c>
      <c r="L9" s="30">
        <v>7</v>
      </c>
      <c r="M9" s="30" t="s">
        <v>43</v>
      </c>
      <c r="N9" s="30" t="s">
        <v>1299</v>
      </c>
      <c r="O9" s="30">
        <v>162.41999999999999</v>
      </c>
      <c r="P9" s="30">
        <v>67.59</v>
      </c>
      <c r="Q9" s="30">
        <v>92.79</v>
      </c>
      <c r="R9" s="30">
        <v>359.81</v>
      </c>
      <c r="S9" s="22">
        <v>41.72</v>
      </c>
      <c r="U9" s="30">
        <v>8</v>
      </c>
      <c r="V9" s="30" t="s">
        <v>6636</v>
      </c>
      <c r="W9" s="30">
        <v>301.95</v>
      </c>
      <c r="X9" s="30">
        <v>5.42</v>
      </c>
      <c r="Y9" s="30">
        <v>58.95</v>
      </c>
      <c r="Z9" s="30">
        <v>107.81</v>
      </c>
      <c r="AA9" s="22">
        <v>17.43</v>
      </c>
    </row>
    <row r="10" spans="1:27" ht="55.8" thickBot="1" x14ac:dyDescent="0.3">
      <c r="A10" s="6">
        <v>9</v>
      </c>
      <c r="B10" s="6" t="s">
        <v>129</v>
      </c>
      <c r="C10" s="6" t="s">
        <v>130</v>
      </c>
      <c r="D10" s="6" t="s">
        <v>131</v>
      </c>
      <c r="E10" s="6" t="s">
        <v>132</v>
      </c>
      <c r="F10" s="6" t="s">
        <v>133</v>
      </c>
      <c r="G10" s="6" t="s">
        <v>134</v>
      </c>
      <c r="H10" s="6" t="s">
        <v>135</v>
      </c>
      <c r="L10" s="30">
        <v>8</v>
      </c>
      <c r="M10" s="30" t="s">
        <v>122</v>
      </c>
      <c r="N10" s="30" t="s">
        <v>1303</v>
      </c>
      <c r="O10" s="30">
        <v>301.95</v>
      </c>
      <c r="P10" s="30">
        <v>5.42</v>
      </c>
      <c r="Q10" s="30">
        <v>58.95</v>
      </c>
      <c r="R10" s="30">
        <v>107.81</v>
      </c>
      <c r="S10" s="22">
        <v>17.43</v>
      </c>
      <c r="U10" s="30">
        <v>9</v>
      </c>
      <c r="V10" s="30" t="s">
        <v>2909</v>
      </c>
      <c r="W10" s="30">
        <v>5.7</v>
      </c>
      <c r="X10" s="30">
        <v>125.39</v>
      </c>
      <c r="Y10" s="30">
        <v>4.25</v>
      </c>
      <c r="Z10" s="30">
        <v>13.66</v>
      </c>
      <c r="AA10" s="22">
        <v>3.55</v>
      </c>
    </row>
    <row r="11" spans="1:27" ht="111" thickBot="1" x14ac:dyDescent="0.3">
      <c r="A11" s="6">
        <v>10</v>
      </c>
      <c r="B11" s="6" t="s">
        <v>136</v>
      </c>
      <c r="C11" s="6" t="s">
        <v>137</v>
      </c>
      <c r="D11" s="6" t="s">
        <v>138</v>
      </c>
      <c r="E11" s="6" t="s">
        <v>139</v>
      </c>
      <c r="F11" s="6" t="s">
        <v>140</v>
      </c>
      <c r="G11" s="6" t="s">
        <v>141</v>
      </c>
      <c r="H11" s="6" t="s">
        <v>142</v>
      </c>
      <c r="L11" s="30">
        <v>9</v>
      </c>
      <c r="M11" s="30" t="s">
        <v>129</v>
      </c>
      <c r="N11" s="30" t="s">
        <v>1350</v>
      </c>
      <c r="O11" s="30">
        <v>7.1</v>
      </c>
      <c r="P11" s="30">
        <v>143.35</v>
      </c>
      <c r="Q11" s="30">
        <v>3.35</v>
      </c>
      <c r="R11" s="30">
        <v>7.4</v>
      </c>
      <c r="S11" s="22">
        <v>0.9</v>
      </c>
      <c r="U11" s="30">
        <v>10</v>
      </c>
      <c r="V11" s="30" t="s">
        <v>6637</v>
      </c>
      <c r="W11" s="30">
        <v>8.56</v>
      </c>
      <c r="X11" s="30">
        <v>124.14</v>
      </c>
      <c r="Y11" s="30">
        <v>7.47</v>
      </c>
      <c r="Z11" s="30">
        <v>11.92</v>
      </c>
      <c r="AA11" s="22">
        <v>3.11</v>
      </c>
    </row>
    <row r="12" spans="1:27" ht="97.2" thickBot="1" x14ac:dyDescent="0.3">
      <c r="A12" s="6">
        <v>11</v>
      </c>
      <c r="B12" s="6" t="s">
        <v>143</v>
      </c>
      <c r="C12" s="6" t="s">
        <v>144</v>
      </c>
      <c r="D12" s="6" t="s">
        <v>145</v>
      </c>
      <c r="E12" s="6" t="s">
        <v>146</v>
      </c>
      <c r="F12" s="6" t="s">
        <v>147</v>
      </c>
      <c r="G12" s="6" t="s">
        <v>148</v>
      </c>
      <c r="H12" s="6" t="s">
        <v>149</v>
      </c>
      <c r="L12" s="30">
        <v>10</v>
      </c>
      <c r="M12" s="30" t="s">
        <v>136</v>
      </c>
      <c r="N12" s="30" t="s">
        <v>6568</v>
      </c>
      <c r="O12" s="30">
        <v>5.7</v>
      </c>
      <c r="P12" s="30">
        <v>125.39</v>
      </c>
      <c r="Q12" s="30">
        <v>4.25</v>
      </c>
      <c r="R12" s="30">
        <v>13.66</v>
      </c>
      <c r="S12" s="22">
        <v>3.55</v>
      </c>
      <c r="U12" s="30">
        <v>11</v>
      </c>
      <c r="V12" s="30" t="s">
        <v>2911</v>
      </c>
      <c r="W12" s="30" t="s">
        <v>2908</v>
      </c>
      <c r="X12" s="30" t="s">
        <v>2908</v>
      </c>
      <c r="Y12" s="30" t="s">
        <v>2908</v>
      </c>
      <c r="Z12" s="30" t="s">
        <v>2908</v>
      </c>
      <c r="AA12" s="22" t="s">
        <v>2908</v>
      </c>
    </row>
    <row r="13" spans="1:27" ht="97.2" thickBot="1" x14ac:dyDescent="0.3">
      <c r="A13" s="6">
        <v>12</v>
      </c>
      <c r="B13" s="6" t="s">
        <v>150</v>
      </c>
      <c r="C13" s="6" t="s">
        <v>151</v>
      </c>
      <c r="D13" s="6" t="s">
        <v>152</v>
      </c>
      <c r="E13" s="6" t="s">
        <v>153</v>
      </c>
      <c r="F13" s="6" t="s">
        <v>154</v>
      </c>
      <c r="G13" s="6" t="s">
        <v>155</v>
      </c>
      <c r="H13" s="6" t="s">
        <v>152</v>
      </c>
      <c r="L13" s="30">
        <v>11</v>
      </c>
      <c r="M13" s="30" t="s">
        <v>143</v>
      </c>
      <c r="N13" s="30" t="s">
        <v>2167</v>
      </c>
      <c r="O13" s="30">
        <v>8.56</v>
      </c>
      <c r="P13" s="30">
        <v>124.14</v>
      </c>
      <c r="Q13" s="30">
        <v>7.47</v>
      </c>
      <c r="R13" s="30">
        <v>11.92</v>
      </c>
      <c r="S13" s="22">
        <v>3.11</v>
      </c>
      <c r="U13" s="30">
        <v>12</v>
      </c>
      <c r="V13" s="30" t="s">
        <v>6638</v>
      </c>
      <c r="W13" s="30">
        <v>16.37</v>
      </c>
      <c r="X13" s="30">
        <v>104.74</v>
      </c>
      <c r="Y13" s="30">
        <v>16.43</v>
      </c>
      <c r="Z13" s="30">
        <v>34.11</v>
      </c>
      <c r="AA13" s="22">
        <v>14.8</v>
      </c>
    </row>
    <row r="14" spans="1:27" ht="69.599999999999994" thickBot="1" x14ac:dyDescent="0.3">
      <c r="A14" s="6">
        <v>13</v>
      </c>
      <c r="B14" s="6" t="s">
        <v>156</v>
      </c>
      <c r="C14" s="6" t="s">
        <v>157</v>
      </c>
      <c r="D14" s="6" t="s">
        <v>158</v>
      </c>
      <c r="E14" s="6" t="s">
        <v>159</v>
      </c>
      <c r="F14" s="6" t="s">
        <v>152</v>
      </c>
      <c r="G14" s="6" t="s">
        <v>160</v>
      </c>
      <c r="H14" s="6" t="s">
        <v>161</v>
      </c>
      <c r="L14" s="30">
        <v>12</v>
      </c>
      <c r="M14" s="30" t="s">
        <v>150</v>
      </c>
      <c r="N14" s="30" t="s">
        <v>6569</v>
      </c>
      <c r="O14" s="30" t="s">
        <v>152</v>
      </c>
      <c r="P14" s="30">
        <v>120.81</v>
      </c>
      <c r="Q14" s="30">
        <v>1.44</v>
      </c>
      <c r="R14" s="30">
        <v>2.34</v>
      </c>
      <c r="S14" s="22" t="s">
        <v>152</v>
      </c>
      <c r="U14" s="30">
        <v>13</v>
      </c>
      <c r="V14" s="30" t="s">
        <v>6639</v>
      </c>
      <c r="W14" s="30">
        <v>4.49</v>
      </c>
      <c r="X14" s="30">
        <v>96.79</v>
      </c>
      <c r="Y14" s="30">
        <v>0.88</v>
      </c>
      <c r="Z14" s="30">
        <v>1.1399999999999999</v>
      </c>
      <c r="AA14" s="22">
        <v>1.81</v>
      </c>
    </row>
    <row r="15" spans="1:27" ht="69.599999999999994" thickBot="1" x14ac:dyDescent="0.3">
      <c r="A15" s="6">
        <v>14</v>
      </c>
      <c r="B15" s="6" t="s">
        <v>162</v>
      </c>
      <c r="C15" s="6" t="s">
        <v>163</v>
      </c>
      <c r="D15" s="6" t="s">
        <v>152</v>
      </c>
      <c r="E15" s="6" t="s">
        <v>164</v>
      </c>
      <c r="F15" s="6" t="s">
        <v>165</v>
      </c>
      <c r="G15" s="6" t="s">
        <v>166</v>
      </c>
      <c r="H15" s="6" t="s">
        <v>167</v>
      </c>
      <c r="L15" s="30">
        <v>13</v>
      </c>
      <c r="M15" s="30" t="s">
        <v>156</v>
      </c>
      <c r="N15" s="30" t="s">
        <v>1353</v>
      </c>
      <c r="O15" s="30">
        <v>0.81</v>
      </c>
      <c r="P15" s="30">
        <v>120.73</v>
      </c>
      <c r="Q15" s="30" t="s">
        <v>152</v>
      </c>
      <c r="R15" s="30">
        <v>0.52</v>
      </c>
      <c r="S15" s="22">
        <v>0.28999999999999998</v>
      </c>
      <c r="U15" s="30">
        <v>14</v>
      </c>
      <c r="V15" s="30" t="s">
        <v>6564</v>
      </c>
      <c r="W15" s="30">
        <v>40.119999999999997</v>
      </c>
      <c r="X15" s="30">
        <v>54.57</v>
      </c>
      <c r="Y15" s="30">
        <v>39.159999999999997</v>
      </c>
      <c r="Z15" s="30">
        <v>58.38</v>
      </c>
      <c r="AA15" s="22">
        <v>15.05</v>
      </c>
    </row>
    <row r="16" spans="1:27" ht="69.599999999999994" thickBot="1" x14ac:dyDescent="0.3">
      <c r="A16" s="6">
        <v>15</v>
      </c>
      <c r="B16" s="6" t="s">
        <v>168</v>
      </c>
      <c r="C16" s="6" t="s">
        <v>169</v>
      </c>
      <c r="D16" s="6" t="s">
        <v>170</v>
      </c>
      <c r="E16" s="6" t="s">
        <v>171</v>
      </c>
      <c r="F16" s="6" t="s">
        <v>172</v>
      </c>
      <c r="G16" s="6" t="s">
        <v>173</v>
      </c>
      <c r="H16" s="6" t="s">
        <v>174</v>
      </c>
      <c r="L16" s="30">
        <v>14</v>
      </c>
      <c r="M16" s="30" t="s">
        <v>162</v>
      </c>
      <c r="N16" s="30" t="s">
        <v>1340</v>
      </c>
      <c r="O16" s="30" t="s">
        <v>152</v>
      </c>
      <c r="P16" s="30">
        <v>112.1</v>
      </c>
      <c r="Q16" s="30">
        <v>6.56</v>
      </c>
      <c r="R16" s="30">
        <v>2.2599999999999998</v>
      </c>
      <c r="S16" s="22">
        <v>1.34</v>
      </c>
      <c r="U16" s="30">
        <v>15</v>
      </c>
      <c r="V16" s="30" t="s">
        <v>6640</v>
      </c>
      <c r="W16" s="30">
        <v>36.04</v>
      </c>
      <c r="X16" s="30">
        <v>45.49</v>
      </c>
      <c r="Y16" s="30">
        <v>31.18</v>
      </c>
      <c r="Z16" s="30">
        <v>47.71</v>
      </c>
      <c r="AA16" s="22">
        <v>11.06</v>
      </c>
    </row>
    <row r="17" spans="1:27" ht="111" thickBot="1" x14ac:dyDescent="0.3">
      <c r="A17" s="6">
        <v>16</v>
      </c>
      <c r="B17" s="6" t="s">
        <v>175</v>
      </c>
      <c r="C17" s="6" t="s">
        <v>176</v>
      </c>
      <c r="D17" s="6" t="s">
        <v>177</v>
      </c>
      <c r="E17" s="6" t="s">
        <v>178</v>
      </c>
      <c r="F17" s="6" t="s">
        <v>179</v>
      </c>
      <c r="G17" s="6" t="s">
        <v>180</v>
      </c>
      <c r="H17" s="6" t="s">
        <v>181</v>
      </c>
      <c r="L17" s="30">
        <v>15</v>
      </c>
      <c r="M17" s="30" t="s">
        <v>168</v>
      </c>
      <c r="N17" s="30" t="s">
        <v>1318</v>
      </c>
      <c r="O17" s="30">
        <v>16.37</v>
      </c>
      <c r="P17" s="30">
        <v>104.74</v>
      </c>
      <c r="Q17" s="30">
        <v>16.43</v>
      </c>
      <c r="R17" s="30">
        <v>34.11</v>
      </c>
      <c r="S17" s="22">
        <v>14.8</v>
      </c>
      <c r="U17" s="30">
        <v>16</v>
      </c>
      <c r="V17" s="30" t="s">
        <v>6641</v>
      </c>
      <c r="W17" s="30">
        <v>4.43</v>
      </c>
      <c r="X17" s="30">
        <v>6.93</v>
      </c>
      <c r="Y17" s="30">
        <v>4.21</v>
      </c>
      <c r="Z17" s="30">
        <v>6.6</v>
      </c>
      <c r="AA17" s="22">
        <v>2.72</v>
      </c>
    </row>
    <row r="18" spans="1:27" ht="83.4" thickBot="1" x14ac:dyDescent="0.3">
      <c r="A18" s="6">
        <v>17</v>
      </c>
      <c r="B18" s="6" t="s">
        <v>182</v>
      </c>
      <c r="C18" s="6" t="s">
        <v>183</v>
      </c>
      <c r="D18" s="6" t="s">
        <v>184</v>
      </c>
      <c r="E18" s="6" t="s">
        <v>185</v>
      </c>
      <c r="F18" s="6" t="s">
        <v>186</v>
      </c>
      <c r="G18" s="6" t="s">
        <v>187</v>
      </c>
      <c r="H18" s="6" t="s">
        <v>188</v>
      </c>
      <c r="L18" s="30">
        <v>16</v>
      </c>
      <c r="M18" s="30" t="s">
        <v>175</v>
      </c>
      <c r="N18" s="30" t="s">
        <v>6570</v>
      </c>
      <c r="O18" s="30">
        <v>7.82</v>
      </c>
      <c r="P18" s="30">
        <v>103.61</v>
      </c>
      <c r="Q18" s="30">
        <v>3.51</v>
      </c>
      <c r="R18" s="30">
        <v>2.0299999999999998</v>
      </c>
      <c r="S18" s="22">
        <v>1.48</v>
      </c>
      <c r="U18" s="30">
        <v>17</v>
      </c>
      <c r="V18" s="30" t="s">
        <v>6642</v>
      </c>
      <c r="W18" s="30">
        <v>6.62</v>
      </c>
      <c r="X18" s="30">
        <v>5.24</v>
      </c>
      <c r="Y18" s="30">
        <v>1.9</v>
      </c>
      <c r="Z18" s="30">
        <v>3.05</v>
      </c>
      <c r="AA18" s="22">
        <v>2.52</v>
      </c>
    </row>
    <row r="19" spans="1:27" ht="83.4" thickBot="1" x14ac:dyDescent="0.3">
      <c r="A19" s="6">
        <v>18</v>
      </c>
      <c r="B19" s="6" t="s">
        <v>189</v>
      </c>
      <c r="C19" s="6" t="s">
        <v>190</v>
      </c>
      <c r="D19" s="6" t="s">
        <v>191</v>
      </c>
      <c r="E19" s="6" t="s">
        <v>192</v>
      </c>
      <c r="F19" s="6" t="s">
        <v>193</v>
      </c>
      <c r="G19" s="6" t="s">
        <v>194</v>
      </c>
      <c r="H19" s="6" t="s">
        <v>195</v>
      </c>
      <c r="L19" s="30">
        <v>17</v>
      </c>
      <c r="M19" s="30" t="s">
        <v>6571</v>
      </c>
      <c r="N19" s="30" t="s">
        <v>1296</v>
      </c>
      <c r="O19" s="30">
        <v>4.67</v>
      </c>
      <c r="P19" s="30">
        <v>101.73</v>
      </c>
      <c r="Q19" s="30">
        <v>4.66</v>
      </c>
      <c r="R19" s="30">
        <v>8.35</v>
      </c>
      <c r="S19" s="22">
        <v>1.35</v>
      </c>
      <c r="U19" s="30">
        <v>18</v>
      </c>
      <c r="V19" s="30" t="s">
        <v>6643</v>
      </c>
      <c r="W19" s="30" t="s">
        <v>152</v>
      </c>
      <c r="X19" s="30">
        <v>5.9</v>
      </c>
      <c r="Y19" s="30" t="s">
        <v>152</v>
      </c>
      <c r="Z19" s="30">
        <v>2.27</v>
      </c>
      <c r="AA19" s="22" t="s">
        <v>152</v>
      </c>
    </row>
    <row r="20" spans="1:27" ht="83.4" thickBot="1" x14ac:dyDescent="0.3">
      <c r="A20" s="6">
        <v>19</v>
      </c>
      <c r="B20" s="6" t="s">
        <v>196</v>
      </c>
      <c r="C20" s="6" t="s">
        <v>197</v>
      </c>
      <c r="D20" s="6" t="s">
        <v>152</v>
      </c>
      <c r="E20" s="6" t="s">
        <v>198</v>
      </c>
      <c r="F20" s="6" t="s">
        <v>199</v>
      </c>
      <c r="G20" s="6" t="s">
        <v>152</v>
      </c>
      <c r="H20" s="6" t="s">
        <v>152</v>
      </c>
      <c r="L20" s="30">
        <v>18</v>
      </c>
      <c r="M20" s="30" t="s">
        <v>189</v>
      </c>
      <c r="N20" s="30" t="s">
        <v>6572</v>
      </c>
      <c r="O20" s="30">
        <v>4.49</v>
      </c>
      <c r="P20" s="30">
        <v>96.79</v>
      </c>
      <c r="Q20" s="30">
        <v>0.88</v>
      </c>
      <c r="R20" s="30">
        <v>1.1399999999999999</v>
      </c>
      <c r="S20" s="22">
        <v>1.81</v>
      </c>
      <c r="U20" s="30">
        <v>19</v>
      </c>
      <c r="V20" s="30" t="s">
        <v>6644</v>
      </c>
      <c r="W20" s="30">
        <v>41.84</v>
      </c>
      <c r="X20" s="30">
        <v>47.81</v>
      </c>
      <c r="Y20" s="30">
        <v>14.02</v>
      </c>
      <c r="Z20" s="30">
        <v>34.520000000000003</v>
      </c>
      <c r="AA20" s="22">
        <v>3.56</v>
      </c>
    </row>
    <row r="21" spans="1:27" ht="69.599999999999994" thickBot="1" x14ac:dyDescent="0.3">
      <c r="A21" s="6">
        <v>20</v>
      </c>
      <c r="B21" s="6" t="s">
        <v>34</v>
      </c>
      <c r="C21" s="6" t="s">
        <v>200</v>
      </c>
      <c r="D21" s="6" t="s">
        <v>201</v>
      </c>
      <c r="E21" s="6" t="s">
        <v>202</v>
      </c>
      <c r="F21" s="6" t="s">
        <v>203</v>
      </c>
      <c r="G21" s="6" t="s">
        <v>204</v>
      </c>
      <c r="H21" s="6" t="s">
        <v>205</v>
      </c>
      <c r="L21" s="30">
        <v>19</v>
      </c>
      <c r="M21" s="30" t="s">
        <v>196</v>
      </c>
      <c r="N21" s="30" t="s">
        <v>1337</v>
      </c>
      <c r="O21" s="30" t="s">
        <v>152</v>
      </c>
      <c r="P21" s="30">
        <v>94.42</v>
      </c>
      <c r="Q21" s="30">
        <v>3.48</v>
      </c>
      <c r="R21" s="30" t="s">
        <v>152</v>
      </c>
      <c r="S21" s="22" t="s">
        <v>152</v>
      </c>
      <c r="U21" s="30">
        <v>20</v>
      </c>
      <c r="V21" s="30" t="s">
        <v>6645</v>
      </c>
      <c r="W21" s="30">
        <v>3.79</v>
      </c>
      <c r="X21" s="30">
        <v>9.0299999999999994</v>
      </c>
      <c r="Y21" s="30">
        <v>2.35</v>
      </c>
      <c r="Z21" s="30">
        <v>7.09</v>
      </c>
      <c r="AA21" s="22">
        <v>0.95</v>
      </c>
    </row>
    <row r="22" spans="1:27" ht="42" thickBot="1" x14ac:dyDescent="0.3">
      <c r="A22" s="6">
        <v>21</v>
      </c>
      <c r="B22" s="6" t="s">
        <v>206</v>
      </c>
      <c r="C22" s="6" t="s">
        <v>207</v>
      </c>
      <c r="D22" s="6" t="s">
        <v>208</v>
      </c>
      <c r="E22" s="6" t="s">
        <v>209</v>
      </c>
      <c r="F22" s="6" t="s">
        <v>210</v>
      </c>
      <c r="G22" s="6" t="s">
        <v>211</v>
      </c>
      <c r="H22" s="6" t="s">
        <v>212</v>
      </c>
      <c r="L22" s="30">
        <v>20</v>
      </c>
      <c r="M22" s="30" t="s">
        <v>34</v>
      </c>
      <c r="N22" s="30" t="s">
        <v>1325</v>
      </c>
      <c r="O22" s="30">
        <v>40.119999999999997</v>
      </c>
      <c r="P22" s="30">
        <v>54.57</v>
      </c>
      <c r="Q22" s="30">
        <v>39.159999999999997</v>
      </c>
      <c r="R22" s="30">
        <v>58.38</v>
      </c>
      <c r="S22" s="22">
        <v>15.05</v>
      </c>
      <c r="U22" s="30">
        <v>21</v>
      </c>
      <c r="V22" s="30" t="s">
        <v>6646</v>
      </c>
      <c r="W22" s="30">
        <v>245.12</v>
      </c>
      <c r="X22" s="30">
        <v>48.88</v>
      </c>
      <c r="Y22" s="30">
        <v>34.68</v>
      </c>
      <c r="Z22" s="30">
        <v>256.3</v>
      </c>
      <c r="AA22" s="22">
        <v>16.97</v>
      </c>
    </row>
    <row r="23" spans="1:27" ht="55.8" thickBot="1" x14ac:dyDescent="0.3">
      <c r="A23" s="6">
        <v>22</v>
      </c>
      <c r="B23" s="6" t="s">
        <v>213</v>
      </c>
      <c r="C23" s="6" t="s">
        <v>214</v>
      </c>
      <c r="D23" s="6" t="s">
        <v>215</v>
      </c>
      <c r="E23" s="6" t="s">
        <v>216</v>
      </c>
      <c r="F23" s="6" t="s">
        <v>217</v>
      </c>
      <c r="G23" s="6" t="s">
        <v>218</v>
      </c>
      <c r="H23" s="6" t="s">
        <v>219</v>
      </c>
      <c r="L23" s="30">
        <v>21</v>
      </c>
      <c r="M23" s="30" t="s">
        <v>206</v>
      </c>
      <c r="N23" s="30" t="s">
        <v>1332</v>
      </c>
      <c r="O23" s="30">
        <v>41.84</v>
      </c>
      <c r="P23" s="30">
        <v>47.81</v>
      </c>
      <c r="Q23" s="30">
        <v>14.02</v>
      </c>
      <c r="R23" s="30">
        <v>34.520000000000003</v>
      </c>
      <c r="S23" s="22">
        <v>3.56</v>
      </c>
      <c r="U23" s="30">
        <v>22</v>
      </c>
      <c r="V23" s="30" t="s">
        <v>6647</v>
      </c>
      <c r="W23" s="30">
        <v>129.01</v>
      </c>
      <c r="X23" s="30">
        <v>45.58</v>
      </c>
      <c r="Y23" s="30">
        <v>37.5</v>
      </c>
      <c r="Z23" s="30">
        <v>245.76</v>
      </c>
      <c r="AA23" s="22">
        <v>21.15</v>
      </c>
    </row>
    <row r="24" spans="1:27" ht="42" thickBot="1" x14ac:dyDescent="0.3">
      <c r="A24" s="6">
        <v>23</v>
      </c>
      <c r="B24" s="6" t="s">
        <v>59</v>
      </c>
      <c r="C24" s="6" t="s">
        <v>220</v>
      </c>
      <c r="D24" s="6" t="s">
        <v>152</v>
      </c>
      <c r="E24" s="6" t="s">
        <v>221</v>
      </c>
      <c r="F24" s="6" t="s">
        <v>222</v>
      </c>
      <c r="G24" s="6" t="s">
        <v>223</v>
      </c>
      <c r="H24" s="6" t="s">
        <v>224</v>
      </c>
      <c r="L24" s="30">
        <v>22</v>
      </c>
      <c r="M24" s="30" t="s">
        <v>213</v>
      </c>
      <c r="N24" s="30" t="s">
        <v>1307</v>
      </c>
      <c r="O24" s="30">
        <v>36.04</v>
      </c>
      <c r="P24" s="30">
        <v>45.49</v>
      </c>
      <c r="Q24" s="30">
        <v>31.18</v>
      </c>
      <c r="R24" s="30">
        <v>47.71</v>
      </c>
      <c r="S24" s="22">
        <v>11.06</v>
      </c>
      <c r="U24" s="30">
        <v>23</v>
      </c>
      <c r="V24" s="30" t="s">
        <v>3329</v>
      </c>
      <c r="W24" s="30">
        <v>3.73</v>
      </c>
      <c r="X24" s="30" t="s">
        <v>152</v>
      </c>
      <c r="Y24" s="30">
        <v>0.59</v>
      </c>
      <c r="Z24" s="30">
        <v>31.74</v>
      </c>
      <c r="AA24" s="22">
        <v>34.520000000000003</v>
      </c>
    </row>
    <row r="25" spans="1:27" ht="55.8" thickBot="1" x14ac:dyDescent="0.3">
      <c r="A25" s="6">
        <v>24</v>
      </c>
      <c r="B25" s="6" t="s">
        <v>225</v>
      </c>
      <c r="C25" s="6" t="s">
        <v>226</v>
      </c>
      <c r="D25" s="6" t="s">
        <v>227</v>
      </c>
      <c r="E25" s="6" t="s">
        <v>228</v>
      </c>
      <c r="F25" s="6" t="s">
        <v>229</v>
      </c>
      <c r="G25" s="6" t="s">
        <v>230</v>
      </c>
      <c r="H25" s="6" t="s">
        <v>231</v>
      </c>
      <c r="L25" s="30">
        <v>23</v>
      </c>
      <c r="M25" s="30" t="s">
        <v>59</v>
      </c>
      <c r="N25" s="30" t="s">
        <v>6453</v>
      </c>
      <c r="O25" s="30" t="s">
        <v>152</v>
      </c>
      <c r="P25" s="30">
        <v>29.32</v>
      </c>
      <c r="Q25" s="30">
        <v>3.05</v>
      </c>
      <c r="R25" s="30">
        <v>9.9600000000000009</v>
      </c>
      <c r="S25" s="22">
        <v>2.93</v>
      </c>
      <c r="U25" s="30">
        <v>24</v>
      </c>
      <c r="V25" s="30" t="s">
        <v>2918</v>
      </c>
      <c r="W25" s="30" t="s">
        <v>152</v>
      </c>
      <c r="X25" s="30" t="s">
        <v>152</v>
      </c>
      <c r="Y25" s="30" t="s">
        <v>152</v>
      </c>
      <c r="Z25" s="30" t="s">
        <v>152</v>
      </c>
      <c r="AA25" s="22">
        <v>13.43</v>
      </c>
    </row>
    <row r="26" spans="1:27" ht="34.799999999999997" thickBot="1" x14ac:dyDescent="0.3">
      <c r="A26" s="6">
        <v>25</v>
      </c>
      <c r="B26" s="6" t="s">
        <v>232</v>
      </c>
      <c r="C26" s="6" t="s">
        <v>233</v>
      </c>
      <c r="D26" s="6" t="s">
        <v>152</v>
      </c>
      <c r="E26" s="6" t="s">
        <v>234</v>
      </c>
      <c r="F26" s="6" t="s">
        <v>152</v>
      </c>
      <c r="G26" s="6" t="s">
        <v>235</v>
      </c>
      <c r="H26" s="6" t="s">
        <v>236</v>
      </c>
      <c r="L26" s="30">
        <v>24</v>
      </c>
      <c r="M26" s="30" t="s">
        <v>225</v>
      </c>
      <c r="N26" s="30" t="s">
        <v>1361</v>
      </c>
      <c r="O26" s="30">
        <v>7.22</v>
      </c>
      <c r="P26" s="30">
        <v>26.62</v>
      </c>
      <c r="Q26" s="30">
        <v>5.99</v>
      </c>
      <c r="R26" s="30">
        <v>5.52</v>
      </c>
      <c r="S26" s="22">
        <v>1.77</v>
      </c>
      <c r="U26" s="30">
        <v>25</v>
      </c>
      <c r="V26" s="30" t="s">
        <v>2179</v>
      </c>
      <c r="W26" s="30" t="s">
        <v>152</v>
      </c>
      <c r="X26" s="30" t="s">
        <v>152</v>
      </c>
      <c r="Y26" s="30" t="s">
        <v>152</v>
      </c>
      <c r="Z26" s="30" t="s">
        <v>152</v>
      </c>
      <c r="AA26" s="22">
        <v>0.4</v>
      </c>
    </row>
    <row r="27" spans="1:27" ht="69.599999999999994" thickBot="1" x14ac:dyDescent="0.3">
      <c r="A27" s="6">
        <v>26</v>
      </c>
      <c r="B27" s="6" t="s">
        <v>237</v>
      </c>
      <c r="C27" s="6" t="s">
        <v>238</v>
      </c>
      <c r="D27" s="6" t="s">
        <v>239</v>
      </c>
      <c r="E27" s="6" t="s">
        <v>240</v>
      </c>
      <c r="F27" s="6" t="s">
        <v>152</v>
      </c>
      <c r="G27" s="6" t="s">
        <v>241</v>
      </c>
      <c r="H27" s="6" t="s">
        <v>152</v>
      </c>
      <c r="L27" s="30">
        <v>25</v>
      </c>
      <c r="M27" s="30" t="s">
        <v>232</v>
      </c>
      <c r="N27" s="30" t="s">
        <v>6573</v>
      </c>
      <c r="O27" s="30" t="s">
        <v>152</v>
      </c>
      <c r="P27" s="30">
        <v>7.35</v>
      </c>
      <c r="Q27" s="30" t="s">
        <v>152</v>
      </c>
      <c r="R27" s="30">
        <v>21.1</v>
      </c>
      <c r="S27" s="22">
        <v>1.44</v>
      </c>
      <c r="U27" s="30">
        <v>26</v>
      </c>
      <c r="V27" s="30" t="s">
        <v>2358</v>
      </c>
      <c r="W27" s="30" t="s">
        <v>2908</v>
      </c>
      <c r="X27" s="30" t="s">
        <v>2908</v>
      </c>
      <c r="Y27" s="30" t="s">
        <v>2908</v>
      </c>
      <c r="Z27" s="30" t="s">
        <v>2908</v>
      </c>
      <c r="AA27" s="22" t="s">
        <v>2908</v>
      </c>
    </row>
    <row r="28" spans="1:27" ht="42" thickBot="1" x14ac:dyDescent="0.3">
      <c r="A28" s="6">
        <v>27</v>
      </c>
      <c r="B28" s="6" t="s">
        <v>242</v>
      </c>
      <c r="C28" s="6" t="s">
        <v>243</v>
      </c>
      <c r="D28" s="6" t="s">
        <v>244</v>
      </c>
      <c r="E28" s="6" t="s">
        <v>245</v>
      </c>
      <c r="F28" s="6" t="s">
        <v>246</v>
      </c>
      <c r="G28" s="6" t="s">
        <v>247</v>
      </c>
      <c r="H28" s="6" t="s">
        <v>248</v>
      </c>
      <c r="L28" s="30">
        <v>26</v>
      </c>
      <c r="M28" s="30" t="s">
        <v>237</v>
      </c>
      <c r="N28" s="30" t="s">
        <v>6574</v>
      </c>
      <c r="O28" s="30">
        <v>3.6</v>
      </c>
      <c r="P28" s="30">
        <v>0.15</v>
      </c>
      <c r="Q28" s="30" t="s">
        <v>152</v>
      </c>
      <c r="R28" s="30">
        <v>20.239999999999998</v>
      </c>
      <c r="S28" s="22" t="s">
        <v>152</v>
      </c>
      <c r="U28" s="30">
        <v>27</v>
      </c>
      <c r="V28" s="30" t="s">
        <v>6648</v>
      </c>
      <c r="W28" s="30">
        <v>27.66</v>
      </c>
      <c r="X28" s="30">
        <v>11.36</v>
      </c>
      <c r="Y28" s="30">
        <v>11.55</v>
      </c>
      <c r="Z28" s="30">
        <v>121.33</v>
      </c>
      <c r="AA28" s="22">
        <v>8.4499999999999993</v>
      </c>
    </row>
    <row r="29" spans="1:27" ht="55.8" thickBot="1" x14ac:dyDescent="0.3">
      <c r="A29" s="6">
        <v>28</v>
      </c>
      <c r="B29" s="6" t="s">
        <v>249</v>
      </c>
      <c r="C29" s="6" t="s">
        <v>250</v>
      </c>
      <c r="D29" s="6" t="s">
        <v>152</v>
      </c>
      <c r="E29" s="6" t="s">
        <v>251</v>
      </c>
      <c r="F29" s="6" t="s">
        <v>152</v>
      </c>
      <c r="G29" s="6" t="s">
        <v>152</v>
      </c>
      <c r="H29" s="6" t="s">
        <v>152</v>
      </c>
      <c r="L29" s="30">
        <v>27</v>
      </c>
      <c r="M29" s="30" t="s">
        <v>242</v>
      </c>
      <c r="N29" s="30" t="s">
        <v>1329</v>
      </c>
      <c r="O29" s="30">
        <v>10.44</v>
      </c>
      <c r="P29" s="30">
        <v>14.36</v>
      </c>
      <c r="Q29" s="30">
        <v>9.3800000000000008</v>
      </c>
      <c r="R29" s="30">
        <v>19.309999999999999</v>
      </c>
      <c r="S29" s="22">
        <v>7.47</v>
      </c>
      <c r="U29" s="30">
        <v>28</v>
      </c>
      <c r="V29" s="30" t="s">
        <v>6649</v>
      </c>
      <c r="W29" s="30">
        <v>160.03</v>
      </c>
      <c r="X29" s="30">
        <v>85.13</v>
      </c>
      <c r="Y29" s="30">
        <v>96.7</v>
      </c>
      <c r="Z29" s="30">
        <v>572.44000000000005</v>
      </c>
      <c r="AA29" s="22">
        <v>50.31</v>
      </c>
    </row>
    <row r="30" spans="1:27" ht="55.8" thickBot="1" x14ac:dyDescent="0.3">
      <c r="A30" s="6">
        <v>29</v>
      </c>
      <c r="B30" s="6" t="s">
        <v>252</v>
      </c>
      <c r="C30" s="6" t="s">
        <v>253</v>
      </c>
      <c r="D30" s="6" t="s">
        <v>152</v>
      </c>
      <c r="E30" s="6" t="s">
        <v>254</v>
      </c>
      <c r="F30" s="6" t="s">
        <v>255</v>
      </c>
      <c r="G30" s="6" t="s">
        <v>256</v>
      </c>
      <c r="H30" s="6" t="s">
        <v>257</v>
      </c>
      <c r="L30" s="30">
        <v>28</v>
      </c>
      <c r="M30" s="30" t="s">
        <v>249</v>
      </c>
      <c r="N30" s="30" t="s">
        <v>6575</v>
      </c>
      <c r="O30" s="30" t="s">
        <v>152</v>
      </c>
      <c r="P30" s="30">
        <v>18.03</v>
      </c>
      <c r="Q30" s="30" t="s">
        <v>152</v>
      </c>
      <c r="R30" s="30" t="s">
        <v>152</v>
      </c>
      <c r="S30" s="22" t="s">
        <v>152</v>
      </c>
      <c r="U30" s="30">
        <v>29</v>
      </c>
      <c r="V30" s="30" t="s">
        <v>6650</v>
      </c>
      <c r="W30" s="30">
        <v>4.17</v>
      </c>
      <c r="X30" s="30">
        <v>141.71</v>
      </c>
      <c r="Y30" s="30">
        <v>0.66</v>
      </c>
      <c r="Z30" s="30">
        <v>4.13</v>
      </c>
      <c r="AA30" s="22">
        <v>0.37</v>
      </c>
    </row>
    <row r="31" spans="1:27" ht="55.8" thickBot="1" x14ac:dyDescent="0.3">
      <c r="A31" s="6">
        <v>30</v>
      </c>
      <c r="B31" s="6" t="s">
        <v>258</v>
      </c>
      <c r="C31" s="6" t="s">
        <v>259</v>
      </c>
      <c r="D31" s="6" t="s">
        <v>260</v>
      </c>
      <c r="E31" s="6" t="s">
        <v>152</v>
      </c>
      <c r="F31" s="6" t="s">
        <v>152</v>
      </c>
      <c r="G31" s="6" t="s">
        <v>152</v>
      </c>
      <c r="H31" s="6" t="s">
        <v>152</v>
      </c>
      <c r="L31" s="30">
        <v>29</v>
      </c>
      <c r="M31" s="30" t="s">
        <v>252</v>
      </c>
      <c r="N31" s="30" t="s">
        <v>6445</v>
      </c>
      <c r="O31" s="30" t="s">
        <v>152</v>
      </c>
      <c r="P31" s="30">
        <v>14.42</v>
      </c>
      <c r="Q31" s="30">
        <v>2.42</v>
      </c>
      <c r="R31" s="30">
        <v>4.79</v>
      </c>
      <c r="S31" s="22">
        <v>1.63</v>
      </c>
      <c r="U31" s="30">
        <v>30</v>
      </c>
      <c r="V31" s="30" t="s">
        <v>6651</v>
      </c>
      <c r="W31" s="30">
        <v>7.6</v>
      </c>
      <c r="X31" s="30">
        <v>124.88</v>
      </c>
      <c r="Y31" s="30">
        <v>3</v>
      </c>
      <c r="Z31" s="30">
        <v>8.1</v>
      </c>
      <c r="AA31" s="22">
        <v>2.12</v>
      </c>
    </row>
    <row r="32" spans="1:27" ht="55.8" thickBot="1" x14ac:dyDescent="0.3">
      <c r="A32" s="6">
        <v>31</v>
      </c>
      <c r="B32" s="6" t="s">
        <v>261</v>
      </c>
      <c r="C32" s="6" t="s">
        <v>262</v>
      </c>
      <c r="D32" s="6" t="s">
        <v>263</v>
      </c>
      <c r="E32" s="6" t="s">
        <v>264</v>
      </c>
      <c r="F32" s="6" t="s">
        <v>265</v>
      </c>
      <c r="G32" s="6" t="s">
        <v>266</v>
      </c>
      <c r="H32" s="6" t="s">
        <v>267</v>
      </c>
      <c r="L32" s="30">
        <v>30</v>
      </c>
      <c r="M32" s="30" t="s">
        <v>258</v>
      </c>
      <c r="N32" s="30" t="s">
        <v>6576</v>
      </c>
      <c r="O32" s="30">
        <v>9.48</v>
      </c>
      <c r="P32" s="30" t="s">
        <v>152</v>
      </c>
      <c r="Q32" s="30" t="s">
        <v>152</v>
      </c>
      <c r="R32" s="30" t="s">
        <v>152</v>
      </c>
      <c r="S32" s="22" t="s">
        <v>152</v>
      </c>
      <c r="U32" s="30">
        <v>31</v>
      </c>
      <c r="V32" s="30" t="s">
        <v>6652</v>
      </c>
      <c r="W32" s="30" t="s">
        <v>152</v>
      </c>
      <c r="X32" s="30">
        <v>114.61</v>
      </c>
      <c r="Y32" s="30">
        <v>15.08</v>
      </c>
      <c r="Z32" s="30">
        <v>22.7</v>
      </c>
      <c r="AA32" s="22">
        <v>9.4499999999999993</v>
      </c>
    </row>
    <row r="33" spans="1:27" ht="55.8" thickBot="1" x14ac:dyDescent="0.3">
      <c r="A33" s="6">
        <v>32</v>
      </c>
      <c r="B33" s="6" t="s">
        <v>268</v>
      </c>
      <c r="C33" s="6" t="s">
        <v>269</v>
      </c>
      <c r="D33" s="6" t="s">
        <v>270</v>
      </c>
      <c r="E33" s="6" t="s">
        <v>271</v>
      </c>
      <c r="F33" s="6" t="s">
        <v>272</v>
      </c>
      <c r="G33" s="6" t="s">
        <v>273</v>
      </c>
      <c r="H33" s="6" t="s">
        <v>274</v>
      </c>
      <c r="L33" s="30">
        <v>31</v>
      </c>
      <c r="M33" s="30" t="s">
        <v>261</v>
      </c>
      <c r="N33" s="30" t="s">
        <v>1290</v>
      </c>
      <c r="O33" s="30">
        <v>3.79</v>
      </c>
      <c r="P33" s="30">
        <v>9.0299999999999994</v>
      </c>
      <c r="Q33" s="30">
        <v>2.35</v>
      </c>
      <c r="R33" s="30">
        <v>7.09</v>
      </c>
      <c r="S33" s="22">
        <v>0.95</v>
      </c>
      <c r="U33" s="30">
        <v>32</v>
      </c>
      <c r="V33" s="30" t="s">
        <v>6653</v>
      </c>
      <c r="W33" s="30" t="s">
        <v>152</v>
      </c>
      <c r="X33" s="30">
        <v>53.31</v>
      </c>
      <c r="Y33" s="30">
        <v>6.1</v>
      </c>
      <c r="Z33" s="30">
        <v>4.57</v>
      </c>
      <c r="AA33" s="22">
        <v>3.89</v>
      </c>
    </row>
    <row r="34" spans="1:27" ht="69.599999999999994" thickBot="1" x14ac:dyDescent="0.3">
      <c r="A34" s="6">
        <v>33</v>
      </c>
      <c r="B34" s="6" t="s">
        <v>58</v>
      </c>
      <c r="C34" s="6" t="s">
        <v>275</v>
      </c>
      <c r="D34" s="6" t="s">
        <v>276</v>
      </c>
      <c r="E34" s="6" t="s">
        <v>277</v>
      </c>
      <c r="F34" s="6" t="s">
        <v>278</v>
      </c>
      <c r="G34" s="6" t="s">
        <v>279</v>
      </c>
      <c r="H34" s="6" t="s">
        <v>280</v>
      </c>
      <c r="L34" s="30">
        <v>32</v>
      </c>
      <c r="M34" s="30" t="s">
        <v>268</v>
      </c>
      <c r="N34" s="30" t="s">
        <v>1225</v>
      </c>
      <c r="O34" s="30">
        <v>4.43</v>
      </c>
      <c r="P34" s="30">
        <v>6.93</v>
      </c>
      <c r="Q34" s="30">
        <v>4.21</v>
      </c>
      <c r="R34" s="30">
        <v>6.6</v>
      </c>
      <c r="S34" s="22">
        <v>2.72</v>
      </c>
      <c r="U34" s="30">
        <v>33</v>
      </c>
      <c r="V34" s="30" t="s">
        <v>6654</v>
      </c>
      <c r="W34" s="30">
        <v>41.62</v>
      </c>
      <c r="X34" s="30">
        <v>17.579999999999998</v>
      </c>
      <c r="Y34" s="30">
        <v>8.31</v>
      </c>
      <c r="Z34" s="30">
        <v>30.4</v>
      </c>
      <c r="AA34" s="22">
        <v>36.159999999999997</v>
      </c>
    </row>
    <row r="35" spans="1:27" ht="57.6" thickBot="1" x14ac:dyDescent="0.3">
      <c r="A35" s="6">
        <v>34</v>
      </c>
      <c r="B35" s="6" t="s">
        <v>281</v>
      </c>
      <c r="C35" s="6" t="s">
        <v>282</v>
      </c>
      <c r="D35" s="6" t="s">
        <v>283</v>
      </c>
      <c r="E35" s="6" t="s">
        <v>284</v>
      </c>
      <c r="F35" s="6" t="s">
        <v>285</v>
      </c>
      <c r="G35" s="6" t="s">
        <v>286</v>
      </c>
      <c r="H35" s="6" t="s">
        <v>152</v>
      </c>
      <c r="L35" s="30">
        <v>33</v>
      </c>
      <c r="M35" s="30" t="s">
        <v>58</v>
      </c>
      <c r="N35" s="30" t="s">
        <v>2015</v>
      </c>
      <c r="O35" s="30">
        <v>6.62</v>
      </c>
      <c r="P35" s="30">
        <v>5.24</v>
      </c>
      <c r="Q35" s="30">
        <v>1.9</v>
      </c>
      <c r="R35" s="30">
        <v>3.05</v>
      </c>
      <c r="S35" s="22">
        <v>2.52</v>
      </c>
      <c r="U35" s="30">
        <v>34</v>
      </c>
      <c r="V35" s="30" t="s">
        <v>6655</v>
      </c>
      <c r="W35" s="30">
        <v>9.16</v>
      </c>
      <c r="X35" s="30">
        <v>5.3</v>
      </c>
      <c r="Y35" s="30">
        <v>15.08</v>
      </c>
      <c r="Z35" s="30">
        <v>9.66</v>
      </c>
      <c r="AA35" s="22">
        <v>3.11</v>
      </c>
    </row>
    <row r="36" spans="1:27" ht="83.4" thickBot="1" x14ac:dyDescent="0.3">
      <c r="A36" s="6">
        <v>35</v>
      </c>
      <c r="B36" s="6" t="s">
        <v>287</v>
      </c>
      <c r="C36" s="6" t="s">
        <v>288</v>
      </c>
      <c r="D36" s="6" t="s">
        <v>152</v>
      </c>
      <c r="E36" s="6" t="s">
        <v>152</v>
      </c>
      <c r="F36" s="6" t="s">
        <v>289</v>
      </c>
      <c r="G36" s="6" t="s">
        <v>290</v>
      </c>
      <c r="H36" s="6" t="s">
        <v>291</v>
      </c>
      <c r="L36" s="30">
        <v>34</v>
      </c>
      <c r="M36" s="30" t="s">
        <v>6562</v>
      </c>
      <c r="N36" s="30" t="s">
        <v>6577</v>
      </c>
      <c r="O36" s="30" t="s">
        <v>152</v>
      </c>
      <c r="P36" s="30" t="s">
        <v>152</v>
      </c>
      <c r="Q36" s="30" t="s">
        <v>152</v>
      </c>
      <c r="R36" s="30">
        <v>6.27</v>
      </c>
      <c r="S36" s="22" t="s">
        <v>152</v>
      </c>
      <c r="U36" s="30">
        <v>35</v>
      </c>
      <c r="V36" s="30" t="s">
        <v>6656</v>
      </c>
      <c r="W36" s="30" t="s">
        <v>152</v>
      </c>
      <c r="X36" s="30">
        <v>126.52</v>
      </c>
      <c r="Y36" s="30">
        <v>1.85</v>
      </c>
      <c r="Z36" s="30">
        <v>5.34</v>
      </c>
      <c r="AA36" s="22">
        <v>5.58</v>
      </c>
    </row>
    <row r="37" spans="1:27" ht="69.599999999999994" thickBot="1" x14ac:dyDescent="0.3">
      <c r="A37" s="6">
        <v>36</v>
      </c>
      <c r="B37" s="6" t="s">
        <v>292</v>
      </c>
      <c r="C37" s="6" t="s">
        <v>293</v>
      </c>
      <c r="D37" s="6" t="s">
        <v>152</v>
      </c>
      <c r="E37" s="6" t="s">
        <v>294</v>
      </c>
      <c r="F37" s="6" t="s">
        <v>152</v>
      </c>
      <c r="G37" s="6" t="s">
        <v>295</v>
      </c>
      <c r="H37" s="6" t="s">
        <v>152</v>
      </c>
      <c r="L37" s="30">
        <v>35</v>
      </c>
      <c r="M37" s="30" t="s">
        <v>281</v>
      </c>
      <c r="N37" s="30" t="s">
        <v>6578</v>
      </c>
      <c r="O37" s="30">
        <v>2.44</v>
      </c>
      <c r="P37" s="30">
        <v>1.22</v>
      </c>
      <c r="Q37" s="30">
        <v>1.75</v>
      </c>
      <c r="R37" s="30">
        <v>6.14</v>
      </c>
      <c r="S37" s="22" t="s">
        <v>152</v>
      </c>
      <c r="U37" s="30">
        <v>36</v>
      </c>
      <c r="V37" s="30" t="s">
        <v>2026</v>
      </c>
      <c r="W37" s="30" t="s">
        <v>2908</v>
      </c>
      <c r="X37" s="30" t="s">
        <v>2908</v>
      </c>
      <c r="Y37" s="30" t="s">
        <v>2908</v>
      </c>
      <c r="Z37" s="30" t="s">
        <v>2908</v>
      </c>
      <c r="AA37" s="22" t="s">
        <v>2908</v>
      </c>
    </row>
    <row r="38" spans="1:27" ht="69.599999999999994" thickBot="1" x14ac:dyDescent="0.3">
      <c r="A38" s="6">
        <v>37</v>
      </c>
      <c r="B38" s="6" t="s">
        <v>296</v>
      </c>
      <c r="C38" s="6" t="s">
        <v>297</v>
      </c>
      <c r="D38" s="6" t="s">
        <v>152</v>
      </c>
      <c r="E38" s="6" t="s">
        <v>152</v>
      </c>
      <c r="F38" s="6" t="s">
        <v>298</v>
      </c>
      <c r="G38" s="6" t="s">
        <v>299</v>
      </c>
      <c r="H38" s="6" t="s">
        <v>152</v>
      </c>
      <c r="L38" s="30">
        <v>36</v>
      </c>
      <c r="M38" s="30" t="s">
        <v>287</v>
      </c>
      <c r="N38" s="30" t="s">
        <v>6579</v>
      </c>
      <c r="O38" s="30" t="s">
        <v>152</v>
      </c>
      <c r="P38" s="30" t="s">
        <v>152</v>
      </c>
      <c r="Q38" s="30">
        <v>2.12</v>
      </c>
      <c r="R38" s="30">
        <v>6.08</v>
      </c>
      <c r="S38" s="22">
        <v>1.97</v>
      </c>
      <c r="U38" s="30">
        <v>37</v>
      </c>
      <c r="V38" s="30" t="s">
        <v>6657</v>
      </c>
      <c r="W38" s="30">
        <v>3.03</v>
      </c>
      <c r="X38" s="30">
        <v>8.16</v>
      </c>
      <c r="Y38" s="30" t="s">
        <v>152</v>
      </c>
      <c r="Z38" s="30" t="s">
        <v>152</v>
      </c>
      <c r="AA38" s="22" t="s">
        <v>152</v>
      </c>
    </row>
    <row r="39" spans="1:27" ht="69" thickBot="1" x14ac:dyDescent="0.3">
      <c r="A39" s="6">
        <v>38</v>
      </c>
      <c r="B39" s="6" t="s">
        <v>300</v>
      </c>
      <c r="C39" s="6" t="s">
        <v>301</v>
      </c>
      <c r="D39" s="6" t="s">
        <v>302</v>
      </c>
      <c r="E39" s="6" t="s">
        <v>152</v>
      </c>
      <c r="F39" s="6" t="s">
        <v>152</v>
      </c>
      <c r="G39" s="6" t="s">
        <v>152</v>
      </c>
      <c r="H39" s="6" t="s">
        <v>303</v>
      </c>
      <c r="L39" s="30">
        <v>37</v>
      </c>
      <c r="M39" s="30" t="s">
        <v>292</v>
      </c>
      <c r="N39" s="30" t="s">
        <v>6426</v>
      </c>
      <c r="O39" s="30" t="s">
        <v>152</v>
      </c>
      <c r="P39" s="30">
        <v>5.9</v>
      </c>
      <c r="Q39" s="30" t="s">
        <v>152</v>
      </c>
      <c r="R39" s="30">
        <v>2.27</v>
      </c>
      <c r="S39" s="22" t="s">
        <v>152</v>
      </c>
      <c r="U39" s="30">
        <v>38</v>
      </c>
      <c r="V39" s="30" t="s">
        <v>6658</v>
      </c>
      <c r="W39" s="30">
        <v>1.65</v>
      </c>
      <c r="X39" s="30">
        <v>1.8</v>
      </c>
      <c r="Y39" s="30" t="s">
        <v>152</v>
      </c>
      <c r="Z39" s="30">
        <v>15.31</v>
      </c>
      <c r="AA39" s="22" t="s">
        <v>152</v>
      </c>
    </row>
    <row r="40" spans="1:27" ht="57.6" thickBot="1" x14ac:dyDescent="0.3">
      <c r="A40" s="6">
        <v>39</v>
      </c>
      <c r="B40" s="6" t="s">
        <v>304</v>
      </c>
      <c r="C40" s="6" t="s">
        <v>305</v>
      </c>
      <c r="D40" s="6" t="s">
        <v>152</v>
      </c>
      <c r="E40" s="6" t="s">
        <v>306</v>
      </c>
      <c r="F40" s="6" t="s">
        <v>307</v>
      </c>
      <c r="G40" s="6" t="s">
        <v>308</v>
      </c>
      <c r="H40" s="6" t="s">
        <v>309</v>
      </c>
      <c r="L40" s="30">
        <v>38</v>
      </c>
      <c r="M40" s="30" t="s">
        <v>296</v>
      </c>
      <c r="N40" s="30" t="s">
        <v>6580</v>
      </c>
      <c r="O40" s="30" t="s">
        <v>152</v>
      </c>
      <c r="P40" s="30" t="s">
        <v>152</v>
      </c>
      <c r="Q40" s="30">
        <v>1.93</v>
      </c>
      <c r="R40" s="30">
        <v>4.6399999999999997</v>
      </c>
      <c r="S40" s="22" t="s">
        <v>152</v>
      </c>
      <c r="U40" s="30">
        <v>39</v>
      </c>
      <c r="V40" s="30" t="s">
        <v>6659</v>
      </c>
      <c r="W40" s="30">
        <v>22.64</v>
      </c>
      <c r="X40" s="30" t="s">
        <v>152</v>
      </c>
      <c r="Y40" s="30" t="s">
        <v>152</v>
      </c>
      <c r="Z40" s="30" t="s">
        <v>152</v>
      </c>
      <c r="AA40" s="22" t="s">
        <v>152</v>
      </c>
    </row>
    <row r="41" spans="1:27" ht="83.4" thickBot="1" x14ac:dyDescent="0.3">
      <c r="A41" s="6">
        <v>40</v>
      </c>
      <c r="B41" s="6" t="s">
        <v>310</v>
      </c>
      <c r="C41" s="6" t="s">
        <v>311</v>
      </c>
      <c r="D41" s="6" t="s">
        <v>152</v>
      </c>
      <c r="E41" s="6" t="s">
        <v>152</v>
      </c>
      <c r="F41" s="6" t="s">
        <v>312</v>
      </c>
      <c r="G41" s="6" t="s">
        <v>152</v>
      </c>
      <c r="H41" s="6" t="s">
        <v>313</v>
      </c>
      <c r="L41" s="30">
        <v>39</v>
      </c>
      <c r="M41" s="30" t="s">
        <v>300</v>
      </c>
      <c r="N41" s="30" t="s">
        <v>1356</v>
      </c>
      <c r="O41" s="30">
        <v>3.85</v>
      </c>
      <c r="P41" s="30" t="s">
        <v>152</v>
      </c>
      <c r="Q41" s="30" t="s">
        <v>152</v>
      </c>
      <c r="R41" s="30" t="s">
        <v>152</v>
      </c>
      <c r="S41" s="22">
        <v>0.34</v>
      </c>
      <c r="U41" s="30">
        <v>40</v>
      </c>
      <c r="V41" s="30" t="s">
        <v>6660</v>
      </c>
      <c r="W41" s="30">
        <v>212.95</v>
      </c>
      <c r="X41" s="30">
        <v>472.55</v>
      </c>
      <c r="Y41" s="30">
        <v>676.65</v>
      </c>
      <c r="Z41" s="30">
        <v>2745.25</v>
      </c>
      <c r="AA41" s="22">
        <v>428.66</v>
      </c>
    </row>
    <row r="42" spans="1:27" ht="69.599999999999994" thickBot="1" x14ac:dyDescent="0.3">
      <c r="A42" s="6">
        <v>41</v>
      </c>
      <c r="B42" s="6" t="s">
        <v>314</v>
      </c>
      <c r="C42" s="6" t="s">
        <v>315</v>
      </c>
      <c r="D42" s="6" t="s">
        <v>152</v>
      </c>
      <c r="E42" s="6" t="s">
        <v>316</v>
      </c>
      <c r="F42" s="6" t="s">
        <v>152</v>
      </c>
      <c r="G42" s="6" t="s">
        <v>152</v>
      </c>
      <c r="H42" s="6" t="s">
        <v>152</v>
      </c>
      <c r="L42" s="30">
        <v>40</v>
      </c>
      <c r="M42" s="30" t="s">
        <v>304</v>
      </c>
      <c r="N42" s="30" t="s">
        <v>6581</v>
      </c>
      <c r="O42" s="30" t="s">
        <v>152</v>
      </c>
      <c r="P42" s="30">
        <v>2.78</v>
      </c>
      <c r="Q42" s="30">
        <v>0.88</v>
      </c>
      <c r="R42" s="30">
        <v>1.99</v>
      </c>
      <c r="S42" s="22">
        <v>0.77</v>
      </c>
      <c r="U42" s="30">
        <v>41</v>
      </c>
      <c r="V42" s="30" t="s">
        <v>6565</v>
      </c>
      <c r="W42" s="30" t="s">
        <v>152</v>
      </c>
      <c r="X42" s="30" t="s">
        <v>152</v>
      </c>
      <c r="Y42" s="30" t="s">
        <v>152</v>
      </c>
      <c r="Z42" s="30" t="s">
        <v>152</v>
      </c>
      <c r="AA42" s="22" t="s">
        <v>152</v>
      </c>
    </row>
    <row r="43" spans="1:27" ht="46.2" thickBot="1" x14ac:dyDescent="0.3">
      <c r="A43" s="6">
        <v>42</v>
      </c>
      <c r="B43" s="6" t="s">
        <v>317</v>
      </c>
      <c r="C43" s="6" t="s">
        <v>318</v>
      </c>
      <c r="D43" s="6" t="s">
        <v>152</v>
      </c>
      <c r="E43" s="6" t="s">
        <v>152</v>
      </c>
      <c r="F43" s="6" t="s">
        <v>152</v>
      </c>
      <c r="G43" s="6" t="s">
        <v>319</v>
      </c>
      <c r="H43" s="6" t="s">
        <v>320</v>
      </c>
      <c r="L43" s="30">
        <v>41</v>
      </c>
      <c r="M43" s="30" t="s">
        <v>310</v>
      </c>
      <c r="N43" s="30" t="s">
        <v>6582</v>
      </c>
      <c r="O43" s="30" t="s">
        <v>152</v>
      </c>
      <c r="P43" s="30" t="s">
        <v>152</v>
      </c>
      <c r="Q43" s="30">
        <v>2.5499999999999998</v>
      </c>
      <c r="R43" s="30" t="s">
        <v>152</v>
      </c>
      <c r="S43" s="22">
        <v>2.16</v>
      </c>
      <c r="U43" s="30">
        <v>42</v>
      </c>
      <c r="V43" s="30" t="s">
        <v>2341</v>
      </c>
      <c r="W43" s="30" t="s">
        <v>152</v>
      </c>
      <c r="X43" s="30" t="s">
        <v>152</v>
      </c>
      <c r="Y43" s="30">
        <v>0.5</v>
      </c>
      <c r="Z43" s="30" t="s">
        <v>152</v>
      </c>
      <c r="AA43" s="22">
        <v>0.13</v>
      </c>
    </row>
    <row r="44" spans="1:27" ht="42" thickBot="1" x14ac:dyDescent="0.3">
      <c r="A44" s="6">
        <v>43</v>
      </c>
      <c r="B44" s="6" t="s">
        <v>321</v>
      </c>
      <c r="C44" s="6" t="s">
        <v>322</v>
      </c>
      <c r="D44" s="6" t="s">
        <v>152</v>
      </c>
      <c r="E44" s="6" t="s">
        <v>323</v>
      </c>
      <c r="F44" s="6" t="s">
        <v>152</v>
      </c>
      <c r="G44" s="6" t="s">
        <v>152</v>
      </c>
      <c r="H44" s="6" t="s">
        <v>152</v>
      </c>
      <c r="L44" s="30">
        <v>42</v>
      </c>
      <c r="M44" s="30" t="s">
        <v>314</v>
      </c>
      <c r="N44" s="30" t="s">
        <v>6583</v>
      </c>
      <c r="O44" s="30" t="s">
        <v>152</v>
      </c>
      <c r="P44" s="30">
        <v>2.19</v>
      </c>
      <c r="Q44" s="30" t="s">
        <v>152</v>
      </c>
      <c r="R44" s="30" t="s">
        <v>152</v>
      </c>
      <c r="S44" s="22" t="s">
        <v>152</v>
      </c>
      <c r="U44" s="30">
        <v>43</v>
      </c>
      <c r="V44" s="30" t="s">
        <v>2161</v>
      </c>
      <c r="W44" s="30" t="s">
        <v>152</v>
      </c>
      <c r="X44" s="30" t="s">
        <v>152</v>
      </c>
      <c r="Y44" s="30" t="s">
        <v>152</v>
      </c>
      <c r="Z44" s="30" t="s">
        <v>152</v>
      </c>
      <c r="AA44" s="22">
        <v>0.28000000000000003</v>
      </c>
    </row>
    <row r="45" spans="1:27" ht="55.8" thickBot="1" x14ac:dyDescent="0.3">
      <c r="A45" s="6">
        <v>44</v>
      </c>
      <c r="B45" s="6" t="s">
        <v>324</v>
      </c>
      <c r="C45" s="6" t="s">
        <v>325</v>
      </c>
      <c r="D45" s="6" t="s">
        <v>326</v>
      </c>
      <c r="E45" s="6" t="s">
        <v>152</v>
      </c>
      <c r="F45" s="6" t="s">
        <v>152</v>
      </c>
      <c r="G45" s="6" t="s">
        <v>152</v>
      </c>
      <c r="H45" s="6" t="s">
        <v>152</v>
      </c>
      <c r="L45" s="30">
        <v>43</v>
      </c>
      <c r="M45" s="30" t="s">
        <v>6584</v>
      </c>
      <c r="N45" s="30" t="s">
        <v>6585</v>
      </c>
      <c r="O45" s="30" t="s">
        <v>152</v>
      </c>
      <c r="P45" s="30" t="s">
        <v>152</v>
      </c>
      <c r="Q45" s="30" t="s">
        <v>152</v>
      </c>
      <c r="R45" s="30">
        <v>1.76</v>
      </c>
      <c r="S45" s="22">
        <v>0.23</v>
      </c>
      <c r="U45" s="30">
        <v>44</v>
      </c>
      <c r="V45" s="30" t="s">
        <v>2923</v>
      </c>
      <c r="W45" s="30" t="s">
        <v>2908</v>
      </c>
      <c r="X45" s="30" t="s">
        <v>2908</v>
      </c>
      <c r="Y45" s="30" t="s">
        <v>2908</v>
      </c>
      <c r="Z45" s="30" t="s">
        <v>2908</v>
      </c>
      <c r="AA45" s="22" t="s">
        <v>2908</v>
      </c>
    </row>
    <row r="46" spans="1:27" ht="124.8" thickBot="1" x14ac:dyDescent="0.3">
      <c r="A46" s="6">
        <v>45</v>
      </c>
      <c r="B46" s="6" t="s">
        <v>327</v>
      </c>
      <c r="C46" s="6" t="s">
        <v>328</v>
      </c>
      <c r="D46" s="6" t="s">
        <v>152</v>
      </c>
      <c r="E46" s="6" t="s">
        <v>329</v>
      </c>
      <c r="F46" s="6" t="s">
        <v>152</v>
      </c>
      <c r="G46" s="6" t="s">
        <v>152</v>
      </c>
      <c r="H46" s="6" t="s">
        <v>330</v>
      </c>
      <c r="L46" s="30">
        <v>44</v>
      </c>
      <c r="M46" s="30" t="s">
        <v>321</v>
      </c>
      <c r="N46" s="30" t="s">
        <v>6586</v>
      </c>
      <c r="O46" s="30" t="s">
        <v>152</v>
      </c>
      <c r="P46" s="30">
        <v>1.64</v>
      </c>
      <c r="Q46" s="30" t="s">
        <v>152</v>
      </c>
      <c r="R46" s="30" t="s">
        <v>152</v>
      </c>
      <c r="S46" s="22" t="s">
        <v>152</v>
      </c>
      <c r="U46" s="30">
        <v>45</v>
      </c>
      <c r="V46" s="30" t="s">
        <v>6661</v>
      </c>
      <c r="W46" s="30" t="s">
        <v>152</v>
      </c>
      <c r="X46" s="30" t="s">
        <v>152</v>
      </c>
      <c r="Y46" s="30">
        <v>0.81</v>
      </c>
      <c r="Z46" s="30" t="s">
        <v>152</v>
      </c>
      <c r="AA46" s="22">
        <v>0.49</v>
      </c>
    </row>
    <row r="47" spans="1:27" ht="42" thickBot="1" x14ac:dyDescent="0.3">
      <c r="A47" s="6">
        <v>46</v>
      </c>
      <c r="B47" s="6" t="s">
        <v>57</v>
      </c>
      <c r="C47" s="6" t="s">
        <v>331</v>
      </c>
      <c r="D47" s="6" t="s">
        <v>152</v>
      </c>
      <c r="E47" s="6" t="s">
        <v>332</v>
      </c>
      <c r="F47" s="6" t="s">
        <v>152</v>
      </c>
      <c r="G47" s="6" t="s">
        <v>152</v>
      </c>
      <c r="H47" s="6" t="s">
        <v>333</v>
      </c>
      <c r="L47" s="30">
        <v>45</v>
      </c>
      <c r="M47" s="30" t="s">
        <v>324</v>
      </c>
      <c r="N47" s="30" t="s">
        <v>1359</v>
      </c>
      <c r="O47" s="30">
        <v>1.26</v>
      </c>
      <c r="P47" s="30" t="s">
        <v>152</v>
      </c>
      <c r="Q47" s="30" t="s">
        <v>152</v>
      </c>
      <c r="R47" s="30" t="s">
        <v>152</v>
      </c>
      <c r="S47" s="22" t="s">
        <v>152</v>
      </c>
      <c r="U47" s="30">
        <v>46</v>
      </c>
      <c r="V47" s="30" t="s">
        <v>2925</v>
      </c>
      <c r="W47" s="30" t="s">
        <v>2908</v>
      </c>
      <c r="X47" s="30" t="s">
        <v>2908</v>
      </c>
      <c r="Y47" s="30" t="s">
        <v>2908</v>
      </c>
      <c r="Z47" s="30" t="s">
        <v>2908</v>
      </c>
      <c r="AA47" s="22" t="s">
        <v>2908</v>
      </c>
    </row>
    <row r="48" spans="1:27" ht="83.4" thickBot="1" x14ac:dyDescent="0.3">
      <c r="A48" s="6">
        <v>47</v>
      </c>
      <c r="B48" s="6" t="s">
        <v>334</v>
      </c>
      <c r="C48" s="6" t="s">
        <v>335</v>
      </c>
      <c r="D48" s="6" t="s">
        <v>152</v>
      </c>
      <c r="E48" s="6" t="s">
        <v>336</v>
      </c>
      <c r="F48" s="6" t="s">
        <v>152</v>
      </c>
      <c r="G48" s="6" t="s">
        <v>152</v>
      </c>
      <c r="H48" s="6" t="s">
        <v>152</v>
      </c>
      <c r="L48" s="30">
        <v>46</v>
      </c>
      <c r="M48" s="30" t="s">
        <v>327</v>
      </c>
      <c r="N48" s="30" t="s">
        <v>6587</v>
      </c>
      <c r="O48" s="30" t="s">
        <v>152</v>
      </c>
      <c r="P48" s="30">
        <v>0.05</v>
      </c>
      <c r="Q48" s="30" t="s">
        <v>152</v>
      </c>
      <c r="R48" s="30" t="s">
        <v>152</v>
      </c>
      <c r="S48" s="22">
        <v>0.85</v>
      </c>
      <c r="U48" s="30">
        <v>47</v>
      </c>
      <c r="V48" s="30" t="s">
        <v>6662</v>
      </c>
      <c r="W48" s="30" t="s">
        <v>152</v>
      </c>
      <c r="X48" s="30">
        <v>0.16</v>
      </c>
      <c r="Y48" s="30" t="s">
        <v>152</v>
      </c>
      <c r="Z48" s="30" t="s">
        <v>152</v>
      </c>
      <c r="AA48" s="22" t="s">
        <v>152</v>
      </c>
    </row>
    <row r="49" spans="1:27" ht="42" thickBot="1" x14ac:dyDescent="0.3">
      <c r="A49" s="6">
        <v>48</v>
      </c>
      <c r="B49" s="6" t="s">
        <v>337</v>
      </c>
      <c r="C49" s="6" t="s">
        <v>338</v>
      </c>
      <c r="D49" s="6" t="s">
        <v>152</v>
      </c>
      <c r="E49" s="6" t="s">
        <v>152</v>
      </c>
      <c r="F49" s="6" t="s">
        <v>152</v>
      </c>
      <c r="G49" s="6" t="s">
        <v>339</v>
      </c>
      <c r="H49" s="6" t="s">
        <v>340</v>
      </c>
      <c r="L49" s="30">
        <v>47</v>
      </c>
      <c r="M49" s="30" t="s">
        <v>57</v>
      </c>
      <c r="N49" s="30" t="s">
        <v>1235</v>
      </c>
      <c r="O49" s="30" t="s">
        <v>152</v>
      </c>
      <c r="P49" s="30">
        <v>0.18</v>
      </c>
      <c r="Q49" s="30" t="s">
        <v>152</v>
      </c>
      <c r="R49" s="30" t="s">
        <v>152</v>
      </c>
      <c r="S49" s="22">
        <v>0.74</v>
      </c>
      <c r="U49" s="30">
        <v>48</v>
      </c>
      <c r="V49" s="30" t="s">
        <v>2878</v>
      </c>
      <c r="W49" s="30" t="s">
        <v>2908</v>
      </c>
      <c r="X49" s="30" t="s">
        <v>2908</v>
      </c>
      <c r="Y49" s="30" t="s">
        <v>2908</v>
      </c>
      <c r="Z49" s="30" t="s">
        <v>2908</v>
      </c>
      <c r="AA49" s="22" t="s">
        <v>2908</v>
      </c>
    </row>
    <row r="50" spans="1:27" ht="97.2" thickBot="1" x14ac:dyDescent="0.3">
      <c r="A50" s="6">
        <v>49</v>
      </c>
      <c r="B50" s="6" t="s">
        <v>341</v>
      </c>
      <c r="C50" s="6" t="s">
        <v>342</v>
      </c>
      <c r="D50" s="6" t="s">
        <v>152</v>
      </c>
      <c r="E50" s="6" t="s">
        <v>152</v>
      </c>
      <c r="F50" s="6" t="s">
        <v>152</v>
      </c>
      <c r="G50" s="6" t="s">
        <v>152</v>
      </c>
      <c r="H50" s="6" t="s">
        <v>343</v>
      </c>
      <c r="L50" s="30">
        <v>48</v>
      </c>
      <c r="M50" s="30" t="s">
        <v>334</v>
      </c>
      <c r="N50" s="30" t="s">
        <v>6588</v>
      </c>
      <c r="O50" s="30" t="s">
        <v>152</v>
      </c>
      <c r="P50" s="30">
        <v>0.73</v>
      </c>
      <c r="Q50" s="30" t="s">
        <v>152</v>
      </c>
      <c r="R50" s="30" t="s">
        <v>152</v>
      </c>
      <c r="S50" s="22" t="s">
        <v>152</v>
      </c>
      <c r="U50" s="30">
        <v>49</v>
      </c>
      <c r="V50" s="30" t="s">
        <v>6566</v>
      </c>
      <c r="W50" s="30">
        <v>1.31</v>
      </c>
      <c r="X50" s="30">
        <v>1.51</v>
      </c>
      <c r="Y50" s="30">
        <v>0.7</v>
      </c>
      <c r="Z50" s="30">
        <v>1.34</v>
      </c>
      <c r="AA50" s="22">
        <v>1.58</v>
      </c>
    </row>
    <row r="51" spans="1:27" ht="42" thickBot="1" x14ac:dyDescent="0.3">
      <c r="A51" s="6">
        <v>50</v>
      </c>
      <c r="B51" s="6" t="s">
        <v>344</v>
      </c>
      <c r="C51" s="6" t="s">
        <v>345</v>
      </c>
      <c r="D51" s="6" t="s">
        <v>152</v>
      </c>
      <c r="E51" s="6" t="s">
        <v>152</v>
      </c>
      <c r="F51" s="6" t="s">
        <v>152</v>
      </c>
      <c r="G51" s="6" t="s">
        <v>152</v>
      </c>
      <c r="H51" s="6" t="s">
        <v>346</v>
      </c>
      <c r="L51" s="30">
        <v>49</v>
      </c>
      <c r="M51" s="30" t="s">
        <v>337</v>
      </c>
      <c r="N51" s="30" t="s">
        <v>1282</v>
      </c>
      <c r="O51" s="30" t="s">
        <v>152</v>
      </c>
      <c r="P51" s="30" t="s">
        <v>152</v>
      </c>
      <c r="Q51" s="30" t="s">
        <v>152</v>
      </c>
      <c r="R51" s="30">
        <v>0.63</v>
      </c>
      <c r="S51" s="22">
        <v>0.12</v>
      </c>
      <c r="U51" s="30">
        <v>50</v>
      </c>
      <c r="V51" s="30" t="s">
        <v>2164</v>
      </c>
      <c r="W51" s="30" t="s">
        <v>2908</v>
      </c>
      <c r="X51" s="30" t="s">
        <v>2908</v>
      </c>
      <c r="Y51" s="30" t="s">
        <v>2908</v>
      </c>
      <c r="Z51" s="30" t="s">
        <v>2908</v>
      </c>
      <c r="AA51" s="22" t="s">
        <v>2908</v>
      </c>
    </row>
    <row r="52" spans="1:27" ht="69.599999999999994" thickBot="1" x14ac:dyDescent="0.3">
      <c r="A52" s="6">
        <v>51</v>
      </c>
      <c r="B52" s="6" t="s">
        <v>347</v>
      </c>
      <c r="C52" s="6" t="s">
        <v>348</v>
      </c>
      <c r="D52" s="6" t="s">
        <v>152</v>
      </c>
      <c r="E52" s="6" t="s">
        <v>349</v>
      </c>
      <c r="F52" s="6" t="s">
        <v>152</v>
      </c>
      <c r="G52" s="6" t="s">
        <v>152</v>
      </c>
      <c r="H52" s="6" t="s">
        <v>152</v>
      </c>
      <c r="L52" s="30">
        <v>50</v>
      </c>
      <c r="M52" s="30" t="s">
        <v>341</v>
      </c>
      <c r="N52" s="30" t="s">
        <v>6589</v>
      </c>
      <c r="O52" s="30" t="s">
        <v>152</v>
      </c>
      <c r="P52" s="30" t="s">
        <v>152</v>
      </c>
      <c r="Q52" s="30" t="s">
        <v>152</v>
      </c>
      <c r="R52" s="30" t="s">
        <v>152</v>
      </c>
      <c r="S52" s="22">
        <v>0.25</v>
      </c>
      <c r="U52" s="30">
        <v>51</v>
      </c>
      <c r="V52" s="30" t="s">
        <v>2170</v>
      </c>
      <c r="W52" s="30">
        <v>1.02</v>
      </c>
      <c r="X52" s="30">
        <v>0.78</v>
      </c>
      <c r="Y52" s="30">
        <v>0.45</v>
      </c>
      <c r="Z52" s="30">
        <v>1</v>
      </c>
      <c r="AA52" s="22">
        <v>1.05</v>
      </c>
    </row>
    <row r="53" spans="1:27" ht="55.8" thickBot="1" x14ac:dyDescent="0.3">
      <c r="A53" s="6">
        <v>52</v>
      </c>
      <c r="B53" s="6" t="s">
        <v>350</v>
      </c>
      <c r="C53" s="6" t="s">
        <v>351</v>
      </c>
      <c r="D53" s="6" t="s">
        <v>152</v>
      </c>
      <c r="E53" s="6" t="s">
        <v>152</v>
      </c>
      <c r="F53" s="6" t="s">
        <v>152</v>
      </c>
      <c r="G53" s="6" t="s">
        <v>152</v>
      </c>
      <c r="H53" s="6" t="s">
        <v>352</v>
      </c>
      <c r="L53" s="30">
        <v>51</v>
      </c>
      <c r="M53" s="30" t="s">
        <v>344</v>
      </c>
      <c r="N53" s="30" t="s">
        <v>6590</v>
      </c>
      <c r="O53" s="30" t="s">
        <v>152</v>
      </c>
      <c r="P53" s="30" t="s">
        <v>152</v>
      </c>
      <c r="Q53" s="30" t="s">
        <v>152</v>
      </c>
      <c r="R53" s="30" t="s">
        <v>152</v>
      </c>
      <c r="S53" s="22">
        <v>0.25</v>
      </c>
      <c r="U53" s="30">
        <v>52</v>
      </c>
      <c r="V53" s="30" t="s">
        <v>6663</v>
      </c>
      <c r="W53" s="30">
        <v>3.12</v>
      </c>
      <c r="X53" s="30">
        <v>138.28</v>
      </c>
      <c r="Y53" s="30" t="s">
        <v>152</v>
      </c>
      <c r="Z53" s="30">
        <v>0.13</v>
      </c>
      <c r="AA53" s="22">
        <v>0.08</v>
      </c>
    </row>
    <row r="54" spans="1:27" ht="42" thickBot="1" x14ac:dyDescent="0.3">
      <c r="A54" s="6">
        <v>53</v>
      </c>
      <c r="B54" s="6" t="s">
        <v>353</v>
      </c>
      <c r="C54" s="6" t="s">
        <v>354</v>
      </c>
      <c r="D54" s="6" t="s">
        <v>152</v>
      </c>
      <c r="E54" s="6" t="s">
        <v>152</v>
      </c>
      <c r="F54" s="6" t="s">
        <v>152</v>
      </c>
      <c r="G54" s="6" t="s">
        <v>152</v>
      </c>
      <c r="H54" s="6" t="s">
        <v>355</v>
      </c>
      <c r="L54" s="30">
        <v>52</v>
      </c>
      <c r="M54" s="30" t="s">
        <v>347</v>
      </c>
      <c r="N54" s="30" t="s">
        <v>6591</v>
      </c>
      <c r="O54" s="30" t="s">
        <v>152</v>
      </c>
      <c r="P54" s="30">
        <v>0.1</v>
      </c>
      <c r="Q54" s="30" t="s">
        <v>152</v>
      </c>
      <c r="R54" s="30" t="s">
        <v>152</v>
      </c>
      <c r="S54" s="22" t="s">
        <v>152</v>
      </c>
      <c r="U54" s="30">
        <v>53</v>
      </c>
      <c r="V54" s="30" t="s">
        <v>3819</v>
      </c>
      <c r="W54" s="30" t="s">
        <v>2908</v>
      </c>
      <c r="X54" s="30" t="s">
        <v>2908</v>
      </c>
      <c r="Y54" s="30" t="s">
        <v>2908</v>
      </c>
      <c r="Z54" s="30" t="s">
        <v>2908</v>
      </c>
      <c r="AA54" s="22" t="s">
        <v>2908</v>
      </c>
    </row>
    <row r="55" spans="1:27" ht="83.4" thickBot="1" x14ac:dyDescent="0.3">
      <c r="A55" s="6">
        <v>54</v>
      </c>
      <c r="B55" s="6" t="s">
        <v>356</v>
      </c>
      <c r="C55" s="7"/>
      <c r="D55" s="6" t="s">
        <v>357</v>
      </c>
      <c r="E55" s="6" t="s">
        <v>358</v>
      </c>
      <c r="F55" s="6" t="s">
        <v>359</v>
      </c>
      <c r="G55" s="6" t="s">
        <v>360</v>
      </c>
      <c r="H55" s="6" t="s">
        <v>361</v>
      </c>
      <c r="L55" s="30">
        <v>53</v>
      </c>
      <c r="M55" s="30" t="s">
        <v>350</v>
      </c>
      <c r="N55" s="30" t="s">
        <v>6592</v>
      </c>
      <c r="O55" s="30" t="s">
        <v>152</v>
      </c>
      <c r="P55" s="30" t="s">
        <v>152</v>
      </c>
      <c r="Q55" s="30" t="s">
        <v>152</v>
      </c>
      <c r="R55" s="30" t="s">
        <v>152</v>
      </c>
      <c r="S55" s="22">
        <v>0.08</v>
      </c>
      <c r="U55" s="30">
        <v>54</v>
      </c>
      <c r="V55" s="30" t="s">
        <v>6664</v>
      </c>
      <c r="W55" s="30">
        <v>6.62</v>
      </c>
      <c r="X55" s="30">
        <v>5.24</v>
      </c>
      <c r="Y55" s="30">
        <v>1.9</v>
      </c>
      <c r="Z55" s="30">
        <v>3.05</v>
      </c>
      <c r="AA55" s="22">
        <v>2.52</v>
      </c>
    </row>
    <row r="56" spans="1:27" ht="55.8" thickBot="1" x14ac:dyDescent="0.3">
      <c r="A56" s="6">
        <v>55</v>
      </c>
      <c r="B56" s="6" t="s">
        <v>362</v>
      </c>
      <c r="C56" s="7"/>
      <c r="D56" s="7"/>
      <c r="E56" s="7"/>
      <c r="F56" s="7"/>
      <c r="G56" s="7"/>
      <c r="H56" s="7"/>
      <c r="L56" s="30">
        <v>54</v>
      </c>
      <c r="M56" s="30" t="s">
        <v>353</v>
      </c>
      <c r="N56" s="30" t="s">
        <v>6593</v>
      </c>
      <c r="O56" s="30" t="s">
        <v>152</v>
      </c>
      <c r="P56" s="30" t="s">
        <v>152</v>
      </c>
      <c r="Q56" s="30" t="s">
        <v>152</v>
      </c>
      <c r="R56" s="30" t="s">
        <v>152</v>
      </c>
      <c r="S56" s="22">
        <v>0.04</v>
      </c>
      <c r="U56" s="30">
        <v>55</v>
      </c>
      <c r="V56" s="30" t="s">
        <v>2183</v>
      </c>
      <c r="W56" s="30" t="s">
        <v>2908</v>
      </c>
      <c r="X56" s="30" t="s">
        <v>2908</v>
      </c>
      <c r="Y56" s="30" t="s">
        <v>2908</v>
      </c>
      <c r="Z56" s="30" t="s">
        <v>2908</v>
      </c>
      <c r="AA56" s="22" t="s">
        <v>2908</v>
      </c>
    </row>
    <row r="57" spans="1:27" ht="42" thickBot="1" x14ac:dyDescent="0.3">
      <c r="A57" s="6">
        <v>56</v>
      </c>
      <c r="B57" s="6" t="s">
        <v>363</v>
      </c>
      <c r="C57" s="6" t="s">
        <v>364</v>
      </c>
      <c r="D57" s="6" t="s">
        <v>365</v>
      </c>
      <c r="E57" s="6" t="s">
        <v>366</v>
      </c>
      <c r="F57" s="6" t="s">
        <v>367</v>
      </c>
      <c r="G57" s="6" t="s">
        <v>368</v>
      </c>
      <c r="H57" s="6" t="s">
        <v>369</v>
      </c>
      <c r="L57" s="29" t="s">
        <v>362</v>
      </c>
      <c r="M57" s="30"/>
      <c r="N57" s="30"/>
      <c r="O57" s="30"/>
      <c r="P57" s="30"/>
      <c r="Q57" s="30"/>
      <c r="R57" s="30"/>
      <c r="S57" s="22"/>
      <c r="U57" s="30">
        <v>56</v>
      </c>
      <c r="V57" s="30" t="s">
        <v>6665</v>
      </c>
      <c r="W57" s="30">
        <v>59.4</v>
      </c>
      <c r="X57" s="30">
        <v>48.64</v>
      </c>
      <c r="Y57" s="30" t="s">
        <v>152</v>
      </c>
      <c r="Z57" s="30">
        <v>428.09</v>
      </c>
      <c r="AA57" s="22" t="s">
        <v>152</v>
      </c>
    </row>
    <row r="58" spans="1:27" ht="28.2" thickBot="1" x14ac:dyDescent="0.3">
      <c r="A58" s="6">
        <v>57</v>
      </c>
      <c r="B58" s="6" t="s">
        <v>370</v>
      </c>
      <c r="C58" s="6" t="s">
        <v>371</v>
      </c>
      <c r="D58" s="6" t="s">
        <v>372</v>
      </c>
      <c r="E58" s="6" t="s">
        <v>373</v>
      </c>
      <c r="F58" s="6" t="s">
        <v>374</v>
      </c>
      <c r="G58" s="6" t="s">
        <v>375</v>
      </c>
      <c r="H58" s="6" t="s">
        <v>376</v>
      </c>
      <c r="L58" s="30">
        <v>55</v>
      </c>
      <c r="M58" s="30" t="s">
        <v>363</v>
      </c>
      <c r="N58" s="30" t="s">
        <v>6419</v>
      </c>
      <c r="O58" s="30">
        <v>212.95</v>
      </c>
      <c r="P58" s="30">
        <v>472.55</v>
      </c>
      <c r="Q58" s="30">
        <v>676.65</v>
      </c>
      <c r="R58" s="30">
        <v>2745.25</v>
      </c>
      <c r="S58" s="22">
        <v>428.66</v>
      </c>
      <c r="U58" s="30">
        <v>57</v>
      </c>
      <c r="V58" s="30" t="s">
        <v>2930</v>
      </c>
      <c r="W58" s="30" t="s">
        <v>2908</v>
      </c>
      <c r="X58" s="30" t="s">
        <v>2908</v>
      </c>
      <c r="Y58" s="30" t="s">
        <v>2908</v>
      </c>
      <c r="Z58" s="30" t="s">
        <v>2908</v>
      </c>
      <c r="AA58" s="22" t="s">
        <v>2908</v>
      </c>
    </row>
    <row r="59" spans="1:27" ht="28.2" thickBot="1" x14ac:dyDescent="0.3">
      <c r="A59" s="6">
        <v>58</v>
      </c>
      <c r="B59" s="6" t="s">
        <v>377</v>
      </c>
      <c r="C59" s="6" t="s">
        <v>378</v>
      </c>
      <c r="D59" s="6" t="s">
        <v>379</v>
      </c>
      <c r="E59" s="6" t="s">
        <v>380</v>
      </c>
      <c r="F59" s="6" t="s">
        <v>381</v>
      </c>
      <c r="G59" s="6" t="s">
        <v>382</v>
      </c>
      <c r="H59" s="6" t="s">
        <v>383</v>
      </c>
      <c r="L59" s="30">
        <v>56</v>
      </c>
      <c r="M59" s="30" t="s">
        <v>370</v>
      </c>
      <c r="N59" s="30" t="s">
        <v>371</v>
      </c>
      <c r="O59" s="30">
        <v>269.98</v>
      </c>
      <c r="P59" s="30">
        <v>60.74</v>
      </c>
      <c r="Q59" s="30">
        <v>57.23</v>
      </c>
      <c r="R59" s="30">
        <v>496.64</v>
      </c>
      <c r="S59" s="22">
        <v>1.67</v>
      </c>
      <c r="U59" s="30">
        <v>58</v>
      </c>
      <c r="V59" s="30" t="s">
        <v>2331</v>
      </c>
      <c r="W59" s="30" t="s">
        <v>2908</v>
      </c>
      <c r="X59" s="30" t="s">
        <v>2908</v>
      </c>
      <c r="Y59" s="30" t="s">
        <v>2908</v>
      </c>
      <c r="Z59" s="30" t="s">
        <v>2908</v>
      </c>
      <c r="AA59" s="22" t="s">
        <v>2908</v>
      </c>
    </row>
    <row r="60" spans="1:27" ht="28.2" thickBot="1" x14ac:dyDescent="0.3">
      <c r="A60" s="6">
        <v>59</v>
      </c>
      <c r="B60" s="6" t="s">
        <v>26</v>
      </c>
      <c r="C60" s="6" t="s">
        <v>384</v>
      </c>
      <c r="D60" s="6" t="s">
        <v>385</v>
      </c>
      <c r="E60" s="6" t="s">
        <v>386</v>
      </c>
      <c r="F60" s="6" t="s">
        <v>387</v>
      </c>
      <c r="G60" s="6" t="s">
        <v>388</v>
      </c>
      <c r="H60" s="6" t="s">
        <v>389</v>
      </c>
      <c r="L60" s="30">
        <v>57</v>
      </c>
      <c r="M60" s="30" t="s">
        <v>377</v>
      </c>
      <c r="N60" s="30" t="s">
        <v>378</v>
      </c>
      <c r="O60" s="30">
        <v>245.12</v>
      </c>
      <c r="P60" s="30">
        <v>48.88</v>
      </c>
      <c r="Q60" s="30">
        <v>34.68</v>
      </c>
      <c r="R60" s="30">
        <v>256.3</v>
      </c>
      <c r="S60" s="22">
        <v>16.97</v>
      </c>
      <c r="U60" s="30">
        <v>59</v>
      </c>
      <c r="V60" s="30" t="s">
        <v>2337</v>
      </c>
      <c r="W60" s="30" t="s">
        <v>2908</v>
      </c>
      <c r="X60" s="30" t="s">
        <v>2908</v>
      </c>
      <c r="Y60" s="30" t="s">
        <v>2908</v>
      </c>
      <c r="Z60" s="30" t="s">
        <v>2908</v>
      </c>
      <c r="AA60" s="22" t="s">
        <v>2908</v>
      </c>
    </row>
    <row r="61" spans="1:27" ht="42" thickBot="1" x14ac:dyDescent="0.3">
      <c r="A61" s="6">
        <v>60</v>
      </c>
      <c r="B61" s="6" t="s">
        <v>60</v>
      </c>
      <c r="C61" s="6" t="s">
        <v>390</v>
      </c>
      <c r="D61" s="6" t="s">
        <v>152</v>
      </c>
      <c r="E61" s="6" t="s">
        <v>391</v>
      </c>
      <c r="F61" s="6" t="s">
        <v>392</v>
      </c>
      <c r="G61" s="6" t="s">
        <v>393</v>
      </c>
      <c r="H61" s="6" t="s">
        <v>394</v>
      </c>
      <c r="L61" s="30">
        <v>58</v>
      </c>
      <c r="M61" s="30" t="s">
        <v>1061</v>
      </c>
      <c r="N61" s="30" t="s">
        <v>384</v>
      </c>
      <c r="O61" s="30">
        <v>129.01</v>
      </c>
      <c r="P61" s="30">
        <v>45.58</v>
      </c>
      <c r="Q61" s="30">
        <v>37.5</v>
      </c>
      <c r="R61" s="30">
        <v>245.76</v>
      </c>
      <c r="S61" s="22">
        <v>21.15</v>
      </c>
      <c r="U61" s="30">
        <v>60</v>
      </c>
      <c r="V61" s="30" t="s">
        <v>2365</v>
      </c>
      <c r="W61" s="30" t="s">
        <v>2908</v>
      </c>
      <c r="X61" s="30" t="s">
        <v>2908</v>
      </c>
      <c r="Y61" s="30" t="s">
        <v>2908</v>
      </c>
      <c r="Z61" s="30" t="s">
        <v>2908</v>
      </c>
      <c r="AA61" s="22" t="s">
        <v>2908</v>
      </c>
    </row>
    <row r="62" spans="1:27" ht="69.599999999999994" thickBot="1" x14ac:dyDescent="0.3">
      <c r="A62" s="6">
        <v>61</v>
      </c>
      <c r="B62" s="6" t="s">
        <v>395</v>
      </c>
      <c r="C62" s="6" t="s">
        <v>396</v>
      </c>
      <c r="D62" s="6" t="s">
        <v>397</v>
      </c>
      <c r="E62" s="6" t="s">
        <v>398</v>
      </c>
      <c r="F62" s="6" t="s">
        <v>399</v>
      </c>
      <c r="G62" s="6" t="s">
        <v>400</v>
      </c>
      <c r="H62" s="6" t="s">
        <v>401</v>
      </c>
      <c r="L62" s="30">
        <v>59</v>
      </c>
      <c r="M62" s="30" t="s">
        <v>60</v>
      </c>
      <c r="N62" s="31">
        <v>22258</v>
      </c>
      <c r="O62" s="30" t="s">
        <v>152</v>
      </c>
      <c r="P62" s="30">
        <v>141.28</v>
      </c>
      <c r="Q62" s="30">
        <v>1.89</v>
      </c>
      <c r="R62" s="30">
        <v>4.2</v>
      </c>
      <c r="S62" s="22">
        <v>1.66</v>
      </c>
      <c r="U62" s="30">
        <v>61</v>
      </c>
      <c r="V62" s="30" t="s">
        <v>6666</v>
      </c>
      <c r="W62" s="30">
        <v>10.44</v>
      </c>
      <c r="X62" s="30">
        <v>14.36</v>
      </c>
      <c r="Y62" s="30">
        <v>9.3800000000000008</v>
      </c>
      <c r="Z62" s="30">
        <v>19.309999999999999</v>
      </c>
      <c r="AA62" s="22">
        <v>7.47</v>
      </c>
    </row>
    <row r="63" spans="1:27" ht="69.599999999999994" thickBot="1" x14ac:dyDescent="0.3">
      <c r="A63" s="6">
        <v>62</v>
      </c>
      <c r="B63" s="6" t="s">
        <v>55</v>
      </c>
      <c r="C63" s="6" t="s">
        <v>402</v>
      </c>
      <c r="D63" s="6" t="s">
        <v>403</v>
      </c>
      <c r="E63" s="6" t="s">
        <v>152</v>
      </c>
      <c r="F63" s="6" t="s">
        <v>404</v>
      </c>
      <c r="G63" s="6" t="s">
        <v>405</v>
      </c>
      <c r="H63" s="6" t="s">
        <v>406</v>
      </c>
      <c r="L63" s="30">
        <v>60</v>
      </c>
      <c r="M63" s="30" t="s">
        <v>395</v>
      </c>
      <c r="N63" s="30" t="s">
        <v>396</v>
      </c>
      <c r="O63" s="30">
        <v>27.66</v>
      </c>
      <c r="P63" s="30">
        <v>11.36</v>
      </c>
      <c r="Q63" s="30">
        <v>11.55</v>
      </c>
      <c r="R63" s="30">
        <v>121.33</v>
      </c>
      <c r="S63" s="22">
        <v>8.4499999999999993</v>
      </c>
      <c r="U63" s="30">
        <v>62</v>
      </c>
      <c r="V63" s="30" t="s">
        <v>6667</v>
      </c>
      <c r="W63" s="30" t="s">
        <v>152</v>
      </c>
      <c r="X63" s="30">
        <v>112.1</v>
      </c>
      <c r="Y63" s="30">
        <v>6.56</v>
      </c>
      <c r="Z63" s="30">
        <v>2.2599999999999998</v>
      </c>
      <c r="AA63" s="22">
        <v>1.34</v>
      </c>
    </row>
    <row r="64" spans="1:27" ht="69.599999999999994" thickBot="1" x14ac:dyDescent="0.3">
      <c r="A64" s="6">
        <v>63</v>
      </c>
      <c r="B64" s="6" t="s">
        <v>407</v>
      </c>
      <c r="C64" s="6" t="s">
        <v>408</v>
      </c>
      <c r="D64" s="6" t="s">
        <v>152</v>
      </c>
      <c r="E64" s="6" t="s">
        <v>152</v>
      </c>
      <c r="F64" s="6" t="s">
        <v>152</v>
      </c>
      <c r="G64" s="6" t="s">
        <v>152</v>
      </c>
      <c r="H64" s="6" t="s">
        <v>409</v>
      </c>
      <c r="L64" s="30">
        <v>61</v>
      </c>
      <c r="M64" s="30" t="s">
        <v>55</v>
      </c>
      <c r="N64" s="30" t="s">
        <v>402</v>
      </c>
      <c r="O64" s="30">
        <v>3.73</v>
      </c>
      <c r="P64" s="30" t="s">
        <v>152</v>
      </c>
      <c r="Q64" s="30">
        <v>0.59</v>
      </c>
      <c r="R64" s="30">
        <v>31.74</v>
      </c>
      <c r="S64" s="22">
        <v>34.520000000000003</v>
      </c>
      <c r="U64" s="30">
        <v>63</v>
      </c>
      <c r="V64" s="30" t="s">
        <v>6668</v>
      </c>
      <c r="W64" s="30">
        <v>36.04</v>
      </c>
      <c r="X64" s="30">
        <v>45.49</v>
      </c>
      <c r="Y64" s="30">
        <v>31.18</v>
      </c>
      <c r="Z64" s="30">
        <v>47.71</v>
      </c>
      <c r="AA64" s="22">
        <v>11.06</v>
      </c>
    </row>
    <row r="65" spans="1:19" ht="46.2" thickBot="1" x14ac:dyDescent="0.3">
      <c r="A65" s="6">
        <v>64</v>
      </c>
      <c r="B65" s="6" t="s">
        <v>410</v>
      </c>
      <c r="C65" s="6" t="s">
        <v>411</v>
      </c>
      <c r="D65" s="6" t="s">
        <v>412</v>
      </c>
      <c r="E65" s="6" t="s">
        <v>413</v>
      </c>
      <c r="F65" s="6" t="s">
        <v>414</v>
      </c>
      <c r="G65" s="6" t="s">
        <v>415</v>
      </c>
      <c r="H65" s="6" t="s">
        <v>416</v>
      </c>
      <c r="L65" s="30">
        <v>62</v>
      </c>
      <c r="M65" s="30" t="s">
        <v>6594</v>
      </c>
      <c r="N65" s="30" t="s">
        <v>408</v>
      </c>
      <c r="O65" s="30" t="s">
        <v>152</v>
      </c>
      <c r="P65" s="30" t="s">
        <v>152</v>
      </c>
      <c r="Q65" s="30" t="s">
        <v>152</v>
      </c>
      <c r="R65" s="30" t="s">
        <v>152</v>
      </c>
      <c r="S65" s="22">
        <v>13.43</v>
      </c>
    </row>
    <row r="66" spans="1:19" ht="69.599999999999994" thickBot="1" x14ac:dyDescent="0.3">
      <c r="A66" s="6">
        <v>65</v>
      </c>
      <c r="B66" s="6" t="s">
        <v>417</v>
      </c>
      <c r="C66" s="6" t="s">
        <v>418</v>
      </c>
      <c r="D66" s="6" t="s">
        <v>419</v>
      </c>
      <c r="E66" s="6" t="s">
        <v>420</v>
      </c>
      <c r="F66" s="6" t="s">
        <v>152</v>
      </c>
      <c r="G66" s="6" t="s">
        <v>339</v>
      </c>
      <c r="H66" s="6" t="s">
        <v>152</v>
      </c>
      <c r="L66" s="30">
        <v>63</v>
      </c>
      <c r="M66" s="30" t="s">
        <v>410</v>
      </c>
      <c r="N66" s="30" t="s">
        <v>411</v>
      </c>
      <c r="O66" s="30">
        <v>5.82</v>
      </c>
      <c r="P66" s="30">
        <v>1.78</v>
      </c>
      <c r="Q66" s="30">
        <v>2</v>
      </c>
      <c r="R66" s="30">
        <v>8.43</v>
      </c>
      <c r="S66" s="22">
        <v>3.39</v>
      </c>
    </row>
    <row r="67" spans="1:19" ht="42" thickBot="1" x14ac:dyDescent="0.3">
      <c r="A67" s="6">
        <v>66</v>
      </c>
      <c r="B67" s="6" t="s">
        <v>421</v>
      </c>
      <c r="C67" s="6" t="s">
        <v>422</v>
      </c>
      <c r="D67" s="6" t="s">
        <v>423</v>
      </c>
      <c r="E67" s="6" t="s">
        <v>152</v>
      </c>
      <c r="F67" s="6" t="s">
        <v>152</v>
      </c>
      <c r="G67" s="6" t="s">
        <v>152</v>
      </c>
      <c r="H67" s="6" t="s">
        <v>424</v>
      </c>
      <c r="L67" s="30">
        <v>64</v>
      </c>
      <c r="M67" s="30" t="s">
        <v>417</v>
      </c>
      <c r="N67" s="30" t="s">
        <v>418</v>
      </c>
      <c r="O67" s="30">
        <v>6.06</v>
      </c>
      <c r="P67" s="30">
        <v>2.96</v>
      </c>
      <c r="Q67" s="30" t="s">
        <v>152</v>
      </c>
      <c r="R67" s="30">
        <v>0.63</v>
      </c>
      <c r="S67" s="22" t="s">
        <v>152</v>
      </c>
    </row>
    <row r="68" spans="1:19" ht="42" thickBot="1" x14ac:dyDescent="0.3">
      <c r="A68" s="6">
        <v>67</v>
      </c>
      <c r="B68" s="6" t="s">
        <v>425</v>
      </c>
      <c r="C68" s="6" t="s">
        <v>426</v>
      </c>
      <c r="D68" s="6" t="s">
        <v>427</v>
      </c>
      <c r="E68" s="6" t="s">
        <v>152</v>
      </c>
      <c r="F68" s="6" t="s">
        <v>152</v>
      </c>
      <c r="G68" s="6" t="s">
        <v>428</v>
      </c>
      <c r="H68" s="6" t="s">
        <v>152</v>
      </c>
      <c r="L68" s="30">
        <v>65</v>
      </c>
      <c r="M68" s="30" t="s">
        <v>421</v>
      </c>
      <c r="N68" s="30" t="s">
        <v>422</v>
      </c>
      <c r="O68" s="30">
        <v>5.82</v>
      </c>
      <c r="P68" s="30" t="s">
        <v>152</v>
      </c>
      <c r="Q68" s="30" t="s">
        <v>152</v>
      </c>
      <c r="R68" s="30" t="s">
        <v>152</v>
      </c>
      <c r="S68" s="22">
        <v>1.61</v>
      </c>
    </row>
    <row r="69" spans="1:19" ht="42" thickBot="1" x14ac:dyDescent="0.3">
      <c r="A69" s="6">
        <v>68</v>
      </c>
      <c r="B69" s="6" t="s">
        <v>429</v>
      </c>
      <c r="C69" s="6" t="s">
        <v>430</v>
      </c>
      <c r="D69" s="6" t="s">
        <v>431</v>
      </c>
      <c r="E69" s="6" t="s">
        <v>432</v>
      </c>
      <c r="F69" s="6" t="s">
        <v>152</v>
      </c>
      <c r="G69" s="6" t="s">
        <v>152</v>
      </c>
      <c r="H69" s="6" t="s">
        <v>433</v>
      </c>
      <c r="L69" s="30">
        <v>66</v>
      </c>
      <c r="M69" s="30" t="s">
        <v>6595</v>
      </c>
      <c r="N69" s="30" t="s">
        <v>6596</v>
      </c>
      <c r="O69" s="30" t="s">
        <v>152</v>
      </c>
      <c r="P69" s="30" t="s">
        <v>152</v>
      </c>
      <c r="Q69" s="30" t="s">
        <v>152</v>
      </c>
      <c r="R69" s="30">
        <v>2.56</v>
      </c>
      <c r="S69" s="22" t="s">
        <v>152</v>
      </c>
    </row>
    <row r="70" spans="1:19" ht="28.2" thickBot="1" x14ac:dyDescent="0.3">
      <c r="A70" s="6">
        <v>69</v>
      </c>
      <c r="B70" s="6" t="s">
        <v>434</v>
      </c>
      <c r="C70" s="6" t="s">
        <v>435</v>
      </c>
      <c r="D70" s="6" t="s">
        <v>436</v>
      </c>
      <c r="E70" s="6" t="s">
        <v>437</v>
      </c>
      <c r="F70" s="6" t="s">
        <v>438</v>
      </c>
      <c r="G70" s="6" t="s">
        <v>439</v>
      </c>
      <c r="H70" s="6" t="s">
        <v>440</v>
      </c>
      <c r="L70" s="30">
        <v>67</v>
      </c>
      <c r="M70" s="30" t="s">
        <v>6597</v>
      </c>
      <c r="N70" s="30" t="s">
        <v>430</v>
      </c>
      <c r="O70" s="30">
        <v>2.4500000000000002</v>
      </c>
      <c r="P70" s="30">
        <v>0.47</v>
      </c>
      <c r="Q70" s="30" t="s">
        <v>152</v>
      </c>
      <c r="R70" s="30" t="s">
        <v>152</v>
      </c>
      <c r="S70" s="22">
        <v>0.26</v>
      </c>
    </row>
    <row r="71" spans="1:19" ht="42" thickBot="1" x14ac:dyDescent="0.3">
      <c r="A71" s="6">
        <v>70</v>
      </c>
      <c r="B71" s="6" t="s">
        <v>441</v>
      </c>
      <c r="C71" s="6" t="s">
        <v>442</v>
      </c>
      <c r="D71" s="6" t="s">
        <v>152</v>
      </c>
      <c r="E71" s="6" t="s">
        <v>152</v>
      </c>
      <c r="F71" s="6" t="s">
        <v>152</v>
      </c>
      <c r="G71" s="6" t="s">
        <v>152</v>
      </c>
      <c r="H71" s="6" t="s">
        <v>443</v>
      </c>
      <c r="L71" s="30">
        <v>68</v>
      </c>
      <c r="M71" s="30" t="s">
        <v>434</v>
      </c>
      <c r="N71" s="30" t="s">
        <v>435</v>
      </c>
      <c r="O71" s="30">
        <v>2.3199999999999998</v>
      </c>
      <c r="P71" s="30">
        <v>2.19</v>
      </c>
      <c r="Q71" s="30">
        <v>1.25</v>
      </c>
      <c r="R71" s="30">
        <v>1.27</v>
      </c>
      <c r="S71" s="22">
        <v>2.34</v>
      </c>
    </row>
    <row r="72" spans="1:19" ht="55.8" thickBot="1" x14ac:dyDescent="0.3">
      <c r="A72" s="6">
        <v>71</v>
      </c>
      <c r="B72" s="6" t="s">
        <v>444</v>
      </c>
      <c r="C72" s="6" t="s">
        <v>445</v>
      </c>
      <c r="D72" s="6" t="s">
        <v>446</v>
      </c>
      <c r="E72" s="6" t="s">
        <v>447</v>
      </c>
      <c r="F72" s="6" t="s">
        <v>448</v>
      </c>
      <c r="G72" s="6" t="s">
        <v>152</v>
      </c>
      <c r="H72" s="6" t="s">
        <v>449</v>
      </c>
      <c r="L72" s="30">
        <v>69</v>
      </c>
      <c r="M72" s="30" t="s">
        <v>6598</v>
      </c>
      <c r="N72" s="30" t="s">
        <v>442</v>
      </c>
      <c r="O72" s="30" t="s">
        <v>152</v>
      </c>
      <c r="P72" s="30" t="s">
        <v>152</v>
      </c>
      <c r="Q72" s="30" t="s">
        <v>152</v>
      </c>
      <c r="R72" s="30" t="s">
        <v>152</v>
      </c>
      <c r="S72" s="22">
        <v>0.94</v>
      </c>
    </row>
    <row r="73" spans="1:19" ht="42" thickBot="1" x14ac:dyDescent="0.3">
      <c r="A73" s="6">
        <v>72</v>
      </c>
      <c r="B73" s="6" t="s">
        <v>450</v>
      </c>
      <c r="C73" s="6" t="s">
        <v>451</v>
      </c>
      <c r="D73" s="6" t="s">
        <v>152</v>
      </c>
      <c r="E73" s="6" t="s">
        <v>152</v>
      </c>
      <c r="F73" s="6" t="s">
        <v>152</v>
      </c>
      <c r="G73" s="6" t="s">
        <v>152</v>
      </c>
      <c r="H73" s="6" t="s">
        <v>452</v>
      </c>
      <c r="L73" s="30">
        <v>70</v>
      </c>
      <c r="M73" s="30" t="s">
        <v>444</v>
      </c>
      <c r="N73" s="30" t="s">
        <v>1198</v>
      </c>
      <c r="O73" s="30">
        <v>0.74</v>
      </c>
      <c r="P73" s="30">
        <v>0.11</v>
      </c>
      <c r="Q73" s="30">
        <v>0.87</v>
      </c>
      <c r="R73" s="30" t="s">
        <v>152</v>
      </c>
      <c r="S73" s="22">
        <v>0.13</v>
      </c>
    </row>
    <row r="74" spans="1:19" ht="34.799999999999997" thickBot="1" x14ac:dyDescent="0.3">
      <c r="A74" s="6">
        <v>73</v>
      </c>
      <c r="B74" s="6" t="s">
        <v>453</v>
      </c>
      <c r="C74" s="6" t="s">
        <v>454</v>
      </c>
      <c r="D74" s="6" t="s">
        <v>152</v>
      </c>
      <c r="E74" s="6" t="s">
        <v>152</v>
      </c>
      <c r="F74" s="6" t="s">
        <v>152</v>
      </c>
      <c r="G74" s="6" t="s">
        <v>152</v>
      </c>
      <c r="H74" s="6" t="s">
        <v>455</v>
      </c>
      <c r="L74" s="30">
        <v>71</v>
      </c>
      <c r="M74" s="30" t="s">
        <v>450</v>
      </c>
      <c r="N74" s="30" t="s">
        <v>451</v>
      </c>
      <c r="O74" s="30" t="s">
        <v>152</v>
      </c>
      <c r="P74" s="30" t="s">
        <v>152</v>
      </c>
      <c r="Q74" s="30" t="s">
        <v>152</v>
      </c>
      <c r="R74" s="30" t="s">
        <v>152</v>
      </c>
      <c r="S74" s="22">
        <v>0.61</v>
      </c>
    </row>
    <row r="75" spans="1:19" ht="42" thickBot="1" x14ac:dyDescent="0.3">
      <c r="A75" s="6">
        <v>74</v>
      </c>
      <c r="B75" s="6" t="s">
        <v>44</v>
      </c>
      <c r="C75" s="6" t="s">
        <v>456</v>
      </c>
      <c r="D75" s="6" t="s">
        <v>152</v>
      </c>
      <c r="E75" s="6" t="s">
        <v>152</v>
      </c>
      <c r="F75" s="6" t="s">
        <v>152</v>
      </c>
      <c r="G75" s="6" t="s">
        <v>152</v>
      </c>
      <c r="H75" s="6" t="s">
        <v>457</v>
      </c>
      <c r="L75" s="30">
        <v>72</v>
      </c>
      <c r="M75" s="30" t="s">
        <v>6599</v>
      </c>
      <c r="N75" s="30" t="s">
        <v>454</v>
      </c>
      <c r="O75" s="30" t="s">
        <v>152</v>
      </c>
      <c r="P75" s="30" t="s">
        <v>152</v>
      </c>
      <c r="Q75" s="30" t="s">
        <v>152</v>
      </c>
      <c r="R75" s="30" t="s">
        <v>152</v>
      </c>
      <c r="S75" s="22">
        <v>0.42</v>
      </c>
    </row>
    <row r="76" spans="1:19" ht="34.799999999999997" thickBot="1" x14ac:dyDescent="0.3">
      <c r="A76" s="6">
        <v>75</v>
      </c>
      <c r="B76" s="6" t="s">
        <v>458</v>
      </c>
      <c r="C76" s="6" t="s">
        <v>459</v>
      </c>
      <c r="D76" s="6" t="s">
        <v>152</v>
      </c>
      <c r="E76" s="6" t="s">
        <v>152</v>
      </c>
      <c r="F76" s="6" t="s">
        <v>152</v>
      </c>
      <c r="G76" s="6" t="s">
        <v>152</v>
      </c>
      <c r="H76" s="6" t="s">
        <v>460</v>
      </c>
      <c r="L76" s="30">
        <v>73</v>
      </c>
      <c r="M76" s="30" t="s">
        <v>44</v>
      </c>
      <c r="N76" s="30" t="s">
        <v>456</v>
      </c>
      <c r="O76" s="30" t="s">
        <v>152</v>
      </c>
      <c r="P76" s="30" t="s">
        <v>152</v>
      </c>
      <c r="Q76" s="30" t="s">
        <v>152</v>
      </c>
      <c r="R76" s="30" t="s">
        <v>152</v>
      </c>
      <c r="S76" s="22">
        <v>0.4</v>
      </c>
    </row>
    <row r="77" spans="1:19" ht="42" thickBot="1" x14ac:dyDescent="0.3">
      <c r="A77" s="6">
        <v>76</v>
      </c>
      <c r="B77" s="6" t="s">
        <v>461</v>
      </c>
      <c r="C77" s="6" t="s">
        <v>462</v>
      </c>
      <c r="D77" s="6" t="s">
        <v>152</v>
      </c>
      <c r="E77" s="6" t="s">
        <v>463</v>
      </c>
      <c r="F77" s="6" t="s">
        <v>152</v>
      </c>
      <c r="G77" s="6" t="s">
        <v>152</v>
      </c>
      <c r="H77" s="6" t="s">
        <v>152</v>
      </c>
      <c r="L77" s="30">
        <v>74</v>
      </c>
      <c r="M77" s="30" t="s">
        <v>458</v>
      </c>
      <c r="N77" s="30" t="s">
        <v>6600</v>
      </c>
      <c r="O77" s="30" t="s">
        <v>152</v>
      </c>
      <c r="P77" s="30" t="s">
        <v>152</v>
      </c>
      <c r="Q77" s="30" t="s">
        <v>152</v>
      </c>
      <c r="R77" s="30" t="s">
        <v>152</v>
      </c>
      <c r="S77" s="22">
        <v>0.22</v>
      </c>
    </row>
    <row r="78" spans="1:19" ht="42" thickBot="1" x14ac:dyDescent="0.3">
      <c r="A78" s="6">
        <v>77</v>
      </c>
      <c r="B78" s="6" t="s">
        <v>464</v>
      </c>
      <c r="C78" s="6" t="s">
        <v>465</v>
      </c>
      <c r="D78" s="6" t="s">
        <v>152</v>
      </c>
      <c r="E78" s="6" t="s">
        <v>152</v>
      </c>
      <c r="F78" s="6" t="s">
        <v>466</v>
      </c>
      <c r="G78" s="6" t="s">
        <v>152</v>
      </c>
      <c r="H78" s="6" t="s">
        <v>467</v>
      </c>
      <c r="L78" s="30">
        <v>75</v>
      </c>
      <c r="M78" s="30" t="s">
        <v>461</v>
      </c>
      <c r="N78" s="30" t="s">
        <v>462</v>
      </c>
      <c r="O78" s="30" t="s">
        <v>152</v>
      </c>
      <c r="P78" s="30">
        <v>0.16</v>
      </c>
      <c r="Q78" s="30" t="s">
        <v>152</v>
      </c>
      <c r="R78" s="30" t="s">
        <v>152</v>
      </c>
      <c r="S78" s="22" t="s">
        <v>152</v>
      </c>
    </row>
    <row r="79" spans="1:19" ht="46.2" thickBot="1" x14ac:dyDescent="0.3">
      <c r="A79" s="6">
        <v>78</v>
      </c>
      <c r="B79" s="6" t="s">
        <v>468</v>
      </c>
      <c r="C79" s="6" t="s">
        <v>469</v>
      </c>
      <c r="D79" s="6" t="s">
        <v>152</v>
      </c>
      <c r="E79" s="6" t="s">
        <v>470</v>
      </c>
      <c r="F79" s="6" t="s">
        <v>152</v>
      </c>
      <c r="G79" s="6" t="s">
        <v>152</v>
      </c>
      <c r="H79" s="6" t="s">
        <v>152</v>
      </c>
      <c r="L79" s="30">
        <v>76</v>
      </c>
      <c r="M79" s="30" t="s">
        <v>464</v>
      </c>
      <c r="N79" s="30" t="s">
        <v>465</v>
      </c>
      <c r="O79" s="30" t="s">
        <v>152</v>
      </c>
      <c r="P79" s="30" t="s">
        <v>152</v>
      </c>
      <c r="Q79" s="30">
        <v>0.15</v>
      </c>
      <c r="R79" s="30" t="s">
        <v>152</v>
      </c>
      <c r="S79" s="22">
        <v>0.14000000000000001</v>
      </c>
    </row>
    <row r="80" spans="1:19" ht="69.599999999999994" thickBot="1" x14ac:dyDescent="0.3">
      <c r="A80" s="6">
        <v>79</v>
      </c>
      <c r="B80" s="6" t="s">
        <v>471</v>
      </c>
      <c r="C80" s="6" t="s">
        <v>472</v>
      </c>
      <c r="D80" s="6" t="s">
        <v>152</v>
      </c>
      <c r="E80" s="6" t="s">
        <v>152</v>
      </c>
      <c r="F80" s="6" t="s">
        <v>152</v>
      </c>
      <c r="G80" s="6" t="s">
        <v>152</v>
      </c>
      <c r="H80" s="6" t="s">
        <v>473</v>
      </c>
      <c r="L80" s="30">
        <v>77</v>
      </c>
      <c r="M80" s="30" t="s">
        <v>6601</v>
      </c>
      <c r="N80" s="30" t="s">
        <v>469</v>
      </c>
      <c r="O80" s="30" t="s">
        <v>152</v>
      </c>
      <c r="P80" s="30">
        <v>0.14000000000000001</v>
      </c>
      <c r="Q80" s="30" t="s">
        <v>152</v>
      </c>
      <c r="R80" s="30" t="s">
        <v>152</v>
      </c>
      <c r="S80" s="22" t="s">
        <v>152</v>
      </c>
    </row>
    <row r="81" spans="1:19" ht="69.599999999999994" thickBot="1" x14ac:dyDescent="0.3">
      <c r="A81" s="6">
        <v>80</v>
      </c>
      <c r="B81" s="6" t="s">
        <v>474</v>
      </c>
      <c r="C81" s="6" t="s">
        <v>475</v>
      </c>
      <c r="D81" s="6" t="s">
        <v>152</v>
      </c>
      <c r="E81" s="6" t="s">
        <v>152</v>
      </c>
      <c r="F81" s="6" t="s">
        <v>476</v>
      </c>
      <c r="G81" s="6" t="s">
        <v>152</v>
      </c>
      <c r="H81" s="6" t="s">
        <v>152</v>
      </c>
      <c r="L81" s="30">
        <v>78</v>
      </c>
      <c r="M81" s="30" t="s">
        <v>471</v>
      </c>
      <c r="N81" s="30" t="s">
        <v>472</v>
      </c>
      <c r="O81" s="30" t="s">
        <v>152</v>
      </c>
      <c r="P81" s="30" t="s">
        <v>152</v>
      </c>
      <c r="Q81" s="30" t="s">
        <v>152</v>
      </c>
      <c r="R81" s="30" t="s">
        <v>152</v>
      </c>
      <c r="S81" s="22">
        <v>0.13</v>
      </c>
    </row>
    <row r="82" spans="1:19" ht="42" thickBot="1" x14ac:dyDescent="0.3">
      <c r="A82" s="6">
        <v>81</v>
      </c>
      <c r="B82" s="6" t="s">
        <v>356</v>
      </c>
      <c r="C82" s="7"/>
      <c r="D82" s="6" t="s">
        <v>477</v>
      </c>
      <c r="E82" s="6" t="s">
        <v>478</v>
      </c>
      <c r="F82" s="6" t="s">
        <v>479</v>
      </c>
      <c r="G82" s="6" t="s">
        <v>480</v>
      </c>
      <c r="H82" s="6" t="s">
        <v>481</v>
      </c>
      <c r="L82" s="30">
        <v>79</v>
      </c>
      <c r="M82" s="30" t="s">
        <v>474</v>
      </c>
      <c r="N82" s="30" t="s">
        <v>475</v>
      </c>
      <c r="O82" s="30" t="s">
        <v>152</v>
      </c>
      <c r="P82" s="30" t="s">
        <v>152</v>
      </c>
      <c r="Q82" s="30">
        <v>0.1</v>
      </c>
      <c r="R82" s="30" t="s">
        <v>152</v>
      </c>
      <c r="S82" s="22" t="s">
        <v>152</v>
      </c>
    </row>
    <row r="83" spans="1:19" ht="14.4" thickBot="1" x14ac:dyDescent="0.3">
      <c r="A83" s="6">
        <v>82</v>
      </c>
      <c r="B83" s="6" t="s">
        <v>482</v>
      </c>
      <c r="C83" s="7"/>
      <c r="D83" s="7"/>
      <c r="E83" s="7"/>
      <c r="F83" s="7"/>
      <c r="G83" s="7"/>
      <c r="H83" s="7"/>
      <c r="L83" s="29" t="s">
        <v>6602</v>
      </c>
      <c r="M83" s="30"/>
      <c r="N83" s="30"/>
      <c r="O83" s="30"/>
      <c r="P83" s="30"/>
      <c r="Q83" s="30"/>
      <c r="R83" s="30"/>
      <c r="S83" s="22"/>
    </row>
    <row r="84" spans="1:19" ht="28.2" thickBot="1" x14ac:dyDescent="0.3">
      <c r="A84" s="6">
        <v>83</v>
      </c>
      <c r="B84" s="6" t="s">
        <v>15</v>
      </c>
      <c r="C84" s="6" t="s">
        <v>483</v>
      </c>
      <c r="D84" s="6" t="s">
        <v>484</v>
      </c>
      <c r="E84" s="6" t="s">
        <v>485</v>
      </c>
      <c r="F84" s="6" t="s">
        <v>486</v>
      </c>
      <c r="G84" s="6" t="s">
        <v>487</v>
      </c>
      <c r="H84" s="6" t="s">
        <v>488</v>
      </c>
      <c r="L84" s="30">
        <v>80</v>
      </c>
      <c r="M84" s="30" t="s">
        <v>15</v>
      </c>
      <c r="N84" s="30" t="s">
        <v>483</v>
      </c>
      <c r="O84" s="30">
        <v>160.03</v>
      </c>
      <c r="P84" s="30">
        <v>85.13</v>
      </c>
      <c r="Q84" s="30">
        <v>96.7</v>
      </c>
      <c r="R84" s="30">
        <v>572.44000000000005</v>
      </c>
      <c r="S84" s="22">
        <v>50.31</v>
      </c>
    </row>
    <row r="85" spans="1:19" ht="28.2" thickBot="1" x14ac:dyDescent="0.3">
      <c r="A85" s="6">
        <v>84</v>
      </c>
      <c r="B85" s="6" t="s">
        <v>489</v>
      </c>
      <c r="C85" s="6" t="s">
        <v>490</v>
      </c>
      <c r="D85" s="6" t="s">
        <v>491</v>
      </c>
      <c r="E85" s="6" t="s">
        <v>492</v>
      </c>
      <c r="F85" s="6" t="s">
        <v>152</v>
      </c>
      <c r="G85" s="6" t="s">
        <v>493</v>
      </c>
      <c r="H85" s="6" t="s">
        <v>152</v>
      </c>
      <c r="L85" s="30">
        <v>81</v>
      </c>
      <c r="M85" s="30" t="s">
        <v>489</v>
      </c>
      <c r="N85" s="30" t="s">
        <v>490</v>
      </c>
      <c r="O85" s="30">
        <v>59.4</v>
      </c>
      <c r="P85" s="30">
        <v>48.64</v>
      </c>
      <c r="Q85" s="30" t="s">
        <v>152</v>
      </c>
      <c r="R85" s="30">
        <v>428.09</v>
      </c>
      <c r="S85" s="22" t="s">
        <v>152</v>
      </c>
    </row>
    <row r="86" spans="1:19" ht="28.2" thickBot="1" x14ac:dyDescent="0.3">
      <c r="A86" s="6">
        <v>85</v>
      </c>
      <c r="B86" s="6" t="s">
        <v>494</v>
      </c>
      <c r="C86" s="6" t="s">
        <v>495</v>
      </c>
      <c r="D86" s="6" t="s">
        <v>496</v>
      </c>
      <c r="E86" s="6" t="s">
        <v>497</v>
      </c>
      <c r="F86" s="6" t="s">
        <v>498</v>
      </c>
      <c r="G86" s="6" t="s">
        <v>499</v>
      </c>
      <c r="H86" s="6" t="s">
        <v>500</v>
      </c>
      <c r="L86" s="30">
        <v>82</v>
      </c>
      <c r="M86" s="30" t="s">
        <v>494</v>
      </c>
      <c r="N86" s="30" t="s">
        <v>495</v>
      </c>
      <c r="O86" s="30">
        <v>4.17</v>
      </c>
      <c r="P86" s="30">
        <v>141.71</v>
      </c>
      <c r="Q86" s="30">
        <v>0.66</v>
      </c>
      <c r="R86" s="30">
        <v>4.13</v>
      </c>
      <c r="S86" s="22">
        <v>0.37</v>
      </c>
    </row>
    <row r="87" spans="1:19" ht="55.8" thickBot="1" x14ac:dyDescent="0.3">
      <c r="A87" s="6">
        <v>86</v>
      </c>
      <c r="B87" s="6" t="s">
        <v>501</v>
      </c>
      <c r="C87" s="6" t="s">
        <v>502</v>
      </c>
      <c r="D87" s="6" t="s">
        <v>152</v>
      </c>
      <c r="E87" s="6" t="s">
        <v>503</v>
      </c>
      <c r="F87" s="6" t="s">
        <v>504</v>
      </c>
      <c r="G87" s="6" t="s">
        <v>505</v>
      </c>
      <c r="H87" s="6" t="s">
        <v>506</v>
      </c>
      <c r="L87" s="30">
        <v>83</v>
      </c>
      <c r="M87" s="30" t="s">
        <v>6603</v>
      </c>
      <c r="N87" s="30" t="s">
        <v>502</v>
      </c>
      <c r="O87" s="30" t="s">
        <v>152</v>
      </c>
      <c r="P87" s="30">
        <v>126.52</v>
      </c>
      <c r="Q87" s="30">
        <v>1.85</v>
      </c>
      <c r="R87" s="30">
        <v>5.34</v>
      </c>
      <c r="S87" s="22">
        <v>5.58</v>
      </c>
    </row>
    <row r="88" spans="1:19" ht="42" thickBot="1" x14ac:dyDescent="0.3">
      <c r="A88" s="6">
        <v>87</v>
      </c>
      <c r="B88" s="6" t="s">
        <v>23</v>
      </c>
      <c r="C88" s="6" t="s">
        <v>507</v>
      </c>
      <c r="D88" s="6" t="s">
        <v>508</v>
      </c>
      <c r="E88" s="6" t="s">
        <v>509</v>
      </c>
      <c r="F88" s="6" t="s">
        <v>510</v>
      </c>
      <c r="G88" s="6" t="s">
        <v>511</v>
      </c>
      <c r="H88" s="6" t="s">
        <v>512</v>
      </c>
      <c r="L88" s="30">
        <v>84</v>
      </c>
      <c r="M88" s="30" t="s">
        <v>23</v>
      </c>
      <c r="N88" s="30" t="s">
        <v>507</v>
      </c>
      <c r="O88" s="30">
        <v>7.6</v>
      </c>
      <c r="P88" s="30">
        <v>124.88</v>
      </c>
      <c r="Q88" s="30">
        <v>3</v>
      </c>
      <c r="R88" s="30">
        <v>8.1</v>
      </c>
      <c r="S88" s="22">
        <v>2.12</v>
      </c>
    </row>
    <row r="89" spans="1:19" ht="28.2" thickBot="1" x14ac:dyDescent="0.3">
      <c r="A89" s="6">
        <v>88</v>
      </c>
      <c r="B89" s="6" t="s">
        <v>39</v>
      </c>
      <c r="C89" s="6" t="s">
        <v>513</v>
      </c>
      <c r="D89" s="6" t="s">
        <v>152</v>
      </c>
      <c r="E89" s="6" t="s">
        <v>514</v>
      </c>
      <c r="F89" s="6" t="s">
        <v>515</v>
      </c>
      <c r="G89" s="6" t="s">
        <v>516</v>
      </c>
      <c r="H89" s="6" t="s">
        <v>517</v>
      </c>
      <c r="L89" s="30">
        <v>85</v>
      </c>
      <c r="M89" s="30" t="s">
        <v>39</v>
      </c>
      <c r="N89" s="30" t="s">
        <v>513</v>
      </c>
      <c r="O89" s="30" t="s">
        <v>152</v>
      </c>
      <c r="P89" s="30">
        <v>114.61</v>
      </c>
      <c r="Q89" s="30">
        <v>15.08</v>
      </c>
      <c r="R89" s="30">
        <v>22.7</v>
      </c>
      <c r="S89" s="22">
        <v>9.4499999999999993</v>
      </c>
    </row>
    <row r="90" spans="1:19" ht="42" thickBot="1" x14ac:dyDescent="0.3">
      <c r="A90" s="6">
        <v>89</v>
      </c>
      <c r="B90" s="6" t="s">
        <v>45</v>
      </c>
      <c r="C90" s="6" t="s">
        <v>518</v>
      </c>
      <c r="D90" s="6" t="s">
        <v>152</v>
      </c>
      <c r="E90" s="6" t="s">
        <v>519</v>
      </c>
      <c r="F90" s="6" t="s">
        <v>520</v>
      </c>
      <c r="G90" s="6" t="s">
        <v>521</v>
      </c>
      <c r="H90" s="6" t="s">
        <v>522</v>
      </c>
      <c r="L90" s="30">
        <v>86</v>
      </c>
      <c r="M90" s="30" t="s">
        <v>45</v>
      </c>
      <c r="N90" s="30" t="s">
        <v>518</v>
      </c>
      <c r="O90" s="30" t="s">
        <v>152</v>
      </c>
      <c r="P90" s="30">
        <v>53.31</v>
      </c>
      <c r="Q90" s="30">
        <v>6.1</v>
      </c>
      <c r="R90" s="30">
        <v>4.57</v>
      </c>
      <c r="S90" s="22">
        <v>3.89</v>
      </c>
    </row>
    <row r="91" spans="1:19" ht="28.2" thickBot="1" x14ac:dyDescent="0.3">
      <c r="A91" s="6">
        <v>90</v>
      </c>
      <c r="B91" s="6" t="s">
        <v>17</v>
      </c>
      <c r="C91" s="6" t="s">
        <v>523</v>
      </c>
      <c r="D91" s="6" t="s">
        <v>524</v>
      </c>
      <c r="E91" s="6" t="s">
        <v>525</v>
      </c>
      <c r="F91" s="6" t="s">
        <v>526</v>
      </c>
      <c r="G91" s="6" t="s">
        <v>527</v>
      </c>
      <c r="H91" s="6" t="s">
        <v>528</v>
      </c>
      <c r="L91" s="30">
        <v>87</v>
      </c>
      <c r="M91" s="30" t="s">
        <v>17</v>
      </c>
      <c r="N91" s="30" t="s">
        <v>523</v>
      </c>
      <c r="O91" s="30">
        <v>41.62</v>
      </c>
      <c r="P91" s="30">
        <v>17.579999999999998</v>
      </c>
      <c r="Q91" s="30">
        <v>8.31</v>
      </c>
      <c r="R91" s="30">
        <v>30.4</v>
      </c>
      <c r="S91" s="22">
        <v>36.159999999999997</v>
      </c>
    </row>
    <row r="92" spans="1:19" ht="42" thickBot="1" x14ac:dyDescent="0.3">
      <c r="A92" s="6">
        <v>91</v>
      </c>
      <c r="B92" s="6" t="s">
        <v>529</v>
      </c>
      <c r="C92" s="6" t="s">
        <v>530</v>
      </c>
      <c r="D92" s="6" t="s">
        <v>152</v>
      </c>
      <c r="E92" s="6" t="s">
        <v>152</v>
      </c>
      <c r="F92" s="6" t="s">
        <v>531</v>
      </c>
      <c r="G92" s="6" t="s">
        <v>532</v>
      </c>
      <c r="H92" s="6" t="s">
        <v>533</v>
      </c>
      <c r="L92" s="30">
        <v>88</v>
      </c>
      <c r="M92" s="30" t="s">
        <v>6604</v>
      </c>
      <c r="N92" s="30" t="s">
        <v>1271</v>
      </c>
      <c r="O92" s="30" t="s">
        <v>152</v>
      </c>
      <c r="P92" s="30" t="s">
        <v>152</v>
      </c>
      <c r="Q92" s="30">
        <v>20.39</v>
      </c>
      <c r="R92" s="30">
        <v>27.26</v>
      </c>
      <c r="S92" s="22">
        <v>6</v>
      </c>
    </row>
    <row r="93" spans="1:19" ht="28.2" thickBot="1" x14ac:dyDescent="0.3">
      <c r="A93" s="6">
        <v>92</v>
      </c>
      <c r="B93" s="6" t="s">
        <v>41</v>
      </c>
      <c r="C93" s="6" t="s">
        <v>534</v>
      </c>
      <c r="D93" s="6" t="s">
        <v>535</v>
      </c>
      <c r="E93" s="6" t="s">
        <v>536</v>
      </c>
      <c r="F93" s="6" t="s">
        <v>537</v>
      </c>
      <c r="G93" s="6" t="s">
        <v>538</v>
      </c>
      <c r="H93" s="6" t="s">
        <v>539</v>
      </c>
      <c r="L93" s="30">
        <v>89</v>
      </c>
      <c r="M93" s="30" t="s">
        <v>41</v>
      </c>
      <c r="N93" s="30" t="s">
        <v>534</v>
      </c>
      <c r="O93" s="30">
        <v>9.16</v>
      </c>
      <c r="P93" s="30">
        <v>5.3</v>
      </c>
      <c r="Q93" s="30">
        <v>15.08</v>
      </c>
      <c r="R93" s="30">
        <v>9.66</v>
      </c>
      <c r="S93" s="22">
        <v>3.11</v>
      </c>
    </row>
    <row r="94" spans="1:19" ht="55.8" thickBot="1" x14ac:dyDescent="0.3">
      <c r="A94" s="6">
        <v>93</v>
      </c>
      <c r="B94" s="6" t="s">
        <v>540</v>
      </c>
      <c r="C94" s="6" t="s">
        <v>541</v>
      </c>
      <c r="D94" s="6" t="s">
        <v>542</v>
      </c>
      <c r="E94" s="6" t="s">
        <v>152</v>
      </c>
      <c r="F94" s="6" t="s">
        <v>543</v>
      </c>
      <c r="G94" s="6" t="s">
        <v>544</v>
      </c>
      <c r="H94" s="6" t="s">
        <v>152</v>
      </c>
      <c r="L94" s="30">
        <v>90</v>
      </c>
      <c r="M94" s="30" t="s">
        <v>6605</v>
      </c>
      <c r="N94" s="30" t="s">
        <v>541</v>
      </c>
      <c r="O94" s="30">
        <v>11.32</v>
      </c>
      <c r="P94" s="30" t="s">
        <v>152</v>
      </c>
      <c r="Q94" s="30">
        <v>1.1599999999999999</v>
      </c>
      <c r="R94" s="30">
        <v>1.57</v>
      </c>
      <c r="S94" s="22" t="s">
        <v>152</v>
      </c>
    </row>
    <row r="95" spans="1:19" ht="42" thickBot="1" x14ac:dyDescent="0.3">
      <c r="A95" s="6">
        <v>94</v>
      </c>
      <c r="B95" s="6" t="s">
        <v>545</v>
      </c>
      <c r="C95" s="6" t="s">
        <v>546</v>
      </c>
      <c r="D95" s="6" t="s">
        <v>152</v>
      </c>
      <c r="E95" s="6" t="s">
        <v>152</v>
      </c>
      <c r="F95" s="6" t="s">
        <v>547</v>
      </c>
      <c r="G95" s="6" t="s">
        <v>548</v>
      </c>
      <c r="H95" s="6" t="s">
        <v>549</v>
      </c>
      <c r="L95" s="30">
        <v>91</v>
      </c>
      <c r="M95" s="30" t="s">
        <v>545</v>
      </c>
      <c r="N95" s="30" t="s">
        <v>546</v>
      </c>
      <c r="O95" s="30" t="s">
        <v>152</v>
      </c>
      <c r="P95" s="30" t="s">
        <v>152</v>
      </c>
      <c r="Q95" s="30">
        <v>4.09</v>
      </c>
      <c r="R95" s="30">
        <v>5.22</v>
      </c>
      <c r="S95" s="22">
        <v>1.53</v>
      </c>
    </row>
    <row r="96" spans="1:19" ht="42" thickBot="1" x14ac:dyDescent="0.3">
      <c r="A96" s="6">
        <v>95</v>
      </c>
      <c r="B96" s="6" t="s">
        <v>550</v>
      </c>
      <c r="C96" s="6" t="s">
        <v>551</v>
      </c>
      <c r="D96" s="6" t="s">
        <v>152</v>
      </c>
      <c r="E96" s="6" t="s">
        <v>152</v>
      </c>
      <c r="F96" s="6" t="s">
        <v>152</v>
      </c>
      <c r="G96" s="6" t="s">
        <v>552</v>
      </c>
      <c r="H96" s="6" t="s">
        <v>152</v>
      </c>
      <c r="L96" s="30">
        <v>92</v>
      </c>
      <c r="M96" s="30" t="s">
        <v>550</v>
      </c>
      <c r="N96" s="30" t="s">
        <v>551</v>
      </c>
      <c r="O96" s="30" t="s">
        <v>152</v>
      </c>
      <c r="P96" s="30" t="s">
        <v>152</v>
      </c>
      <c r="Q96" s="30" t="s">
        <v>152</v>
      </c>
      <c r="R96" s="30">
        <v>0.82</v>
      </c>
      <c r="S96" s="22" t="s">
        <v>152</v>
      </c>
    </row>
    <row r="97" spans="1:19" ht="42" thickBot="1" x14ac:dyDescent="0.3">
      <c r="A97" s="6">
        <v>96</v>
      </c>
      <c r="B97" s="6" t="s">
        <v>553</v>
      </c>
      <c r="C97" s="6" t="s">
        <v>554</v>
      </c>
      <c r="D97" s="6" t="s">
        <v>152</v>
      </c>
      <c r="E97" s="6" t="s">
        <v>555</v>
      </c>
      <c r="F97" s="6" t="s">
        <v>152</v>
      </c>
      <c r="G97" s="6" t="s">
        <v>152</v>
      </c>
      <c r="H97" s="6" t="s">
        <v>152</v>
      </c>
      <c r="L97" s="30">
        <v>93</v>
      </c>
      <c r="M97" s="30" t="s">
        <v>6606</v>
      </c>
      <c r="N97" s="30" t="s">
        <v>554</v>
      </c>
      <c r="O97" s="30" t="s">
        <v>152</v>
      </c>
      <c r="P97" s="30">
        <v>0.15</v>
      </c>
      <c r="Q97" s="30" t="s">
        <v>152</v>
      </c>
      <c r="R97" s="30" t="s">
        <v>152</v>
      </c>
      <c r="S97" s="22" t="s">
        <v>152</v>
      </c>
    </row>
    <row r="98" spans="1:19" ht="28.2" thickBot="1" x14ac:dyDescent="0.3">
      <c r="A98" s="6">
        <v>97</v>
      </c>
      <c r="B98" s="6" t="s">
        <v>356</v>
      </c>
      <c r="C98" s="7"/>
      <c r="D98" s="6" t="s">
        <v>556</v>
      </c>
      <c r="E98" s="6" t="s">
        <v>557</v>
      </c>
      <c r="F98" s="6" t="s">
        <v>558</v>
      </c>
      <c r="G98" s="6" t="s">
        <v>559</v>
      </c>
      <c r="H98" s="6" t="s">
        <v>560</v>
      </c>
      <c r="L98" s="29" t="s">
        <v>6607</v>
      </c>
      <c r="M98" s="30"/>
      <c r="N98" s="30"/>
      <c r="O98" s="30"/>
      <c r="P98" s="30"/>
      <c r="Q98" s="30"/>
      <c r="R98" s="30"/>
      <c r="S98" s="22"/>
    </row>
    <row r="99" spans="1:19" ht="14.4" thickBot="1" x14ac:dyDescent="0.3">
      <c r="A99" s="6">
        <v>98</v>
      </c>
      <c r="B99" s="6" t="s">
        <v>561</v>
      </c>
      <c r="C99" s="7"/>
      <c r="D99" s="7"/>
      <c r="E99" s="7"/>
      <c r="F99" s="7"/>
      <c r="G99" s="7"/>
      <c r="H99" s="7"/>
      <c r="L99" s="30">
        <v>94</v>
      </c>
      <c r="M99" s="30" t="s">
        <v>1063</v>
      </c>
      <c r="N99" s="31">
        <v>35796</v>
      </c>
      <c r="O99" s="30">
        <v>22.64</v>
      </c>
      <c r="P99" s="30" t="s">
        <v>152</v>
      </c>
      <c r="Q99" s="30" t="s">
        <v>152</v>
      </c>
      <c r="R99" s="30" t="s">
        <v>152</v>
      </c>
      <c r="S99" s="22" t="s">
        <v>152</v>
      </c>
    </row>
    <row r="100" spans="1:19" ht="28.2" thickBot="1" x14ac:dyDescent="0.3">
      <c r="A100" s="6">
        <v>99</v>
      </c>
      <c r="B100" s="6" t="s">
        <v>562</v>
      </c>
      <c r="C100" s="8">
        <v>35796</v>
      </c>
      <c r="D100" s="6" t="s">
        <v>563</v>
      </c>
      <c r="E100" s="6" t="s">
        <v>152</v>
      </c>
      <c r="F100" s="6" t="s">
        <v>152</v>
      </c>
      <c r="G100" s="6" t="s">
        <v>152</v>
      </c>
      <c r="H100" s="6" t="s">
        <v>152</v>
      </c>
      <c r="L100" s="30">
        <v>95</v>
      </c>
      <c r="M100" s="30" t="s">
        <v>564</v>
      </c>
      <c r="N100" s="30" t="s">
        <v>565</v>
      </c>
      <c r="O100" s="30">
        <v>1.65</v>
      </c>
      <c r="P100" s="30">
        <v>1.8</v>
      </c>
      <c r="Q100" s="30" t="s">
        <v>152</v>
      </c>
      <c r="R100" s="30">
        <v>15.31</v>
      </c>
      <c r="S100" s="22" t="s">
        <v>152</v>
      </c>
    </row>
    <row r="101" spans="1:19" ht="42" thickBot="1" x14ac:dyDescent="0.3">
      <c r="A101" s="6">
        <v>100</v>
      </c>
      <c r="B101" s="6" t="s">
        <v>564</v>
      </c>
      <c r="C101" s="6" t="s">
        <v>565</v>
      </c>
      <c r="D101" s="6" t="s">
        <v>566</v>
      </c>
      <c r="E101" s="6" t="s">
        <v>567</v>
      </c>
      <c r="F101" s="6" t="s">
        <v>152</v>
      </c>
      <c r="G101" s="6" t="s">
        <v>568</v>
      </c>
      <c r="H101" s="6" t="s">
        <v>152</v>
      </c>
      <c r="L101" s="30">
        <v>96</v>
      </c>
      <c r="M101" s="30" t="s">
        <v>40</v>
      </c>
      <c r="N101" s="30" t="s">
        <v>569</v>
      </c>
      <c r="O101" s="30">
        <v>3.03</v>
      </c>
      <c r="P101" s="30">
        <v>8.16</v>
      </c>
      <c r="Q101" s="30" t="s">
        <v>152</v>
      </c>
      <c r="R101" s="30" t="s">
        <v>152</v>
      </c>
      <c r="S101" s="22" t="s">
        <v>152</v>
      </c>
    </row>
    <row r="102" spans="1:19" ht="42" thickBot="1" x14ac:dyDescent="0.3">
      <c r="A102" s="6">
        <v>101</v>
      </c>
      <c r="B102" s="6" t="s">
        <v>40</v>
      </c>
      <c r="C102" s="6" t="s">
        <v>569</v>
      </c>
      <c r="D102" s="6" t="s">
        <v>570</v>
      </c>
      <c r="E102" s="6" t="s">
        <v>571</v>
      </c>
      <c r="F102" s="6" t="s">
        <v>152</v>
      </c>
      <c r="G102" s="6" t="s">
        <v>152</v>
      </c>
      <c r="H102" s="6" t="s">
        <v>152</v>
      </c>
      <c r="L102" s="30">
        <v>97</v>
      </c>
      <c r="M102" s="30" t="s">
        <v>572</v>
      </c>
      <c r="N102" s="30" t="s">
        <v>573</v>
      </c>
      <c r="O102" s="30" t="s">
        <v>152</v>
      </c>
      <c r="P102" s="30">
        <v>6.38</v>
      </c>
      <c r="Q102" s="30">
        <v>1.78</v>
      </c>
      <c r="R102" s="30">
        <v>6.4</v>
      </c>
      <c r="S102" s="22">
        <v>1.52</v>
      </c>
    </row>
    <row r="103" spans="1:19" ht="28.2" thickBot="1" x14ac:dyDescent="0.3">
      <c r="A103" s="6">
        <v>102</v>
      </c>
      <c r="B103" s="6" t="s">
        <v>572</v>
      </c>
      <c r="C103" s="6" t="s">
        <v>573</v>
      </c>
      <c r="D103" s="6" t="s">
        <v>152</v>
      </c>
      <c r="E103" s="6" t="s">
        <v>574</v>
      </c>
      <c r="F103" s="6" t="s">
        <v>575</v>
      </c>
      <c r="G103" s="6" t="s">
        <v>576</v>
      </c>
      <c r="H103" s="6" t="s">
        <v>577</v>
      </c>
      <c r="L103" s="30">
        <v>98</v>
      </c>
      <c r="M103" s="30" t="s">
        <v>578</v>
      </c>
      <c r="N103" s="30" t="s">
        <v>579</v>
      </c>
      <c r="O103" s="30" t="s">
        <v>152</v>
      </c>
      <c r="P103" s="30" t="s">
        <v>152</v>
      </c>
      <c r="Q103" s="30" t="s">
        <v>152</v>
      </c>
      <c r="R103" s="30" t="s">
        <v>152</v>
      </c>
      <c r="S103" s="22">
        <v>0.25</v>
      </c>
    </row>
    <row r="104" spans="1:19" ht="28.2" thickBot="1" x14ac:dyDescent="0.3">
      <c r="A104" s="6">
        <v>103</v>
      </c>
      <c r="B104" s="6" t="s">
        <v>578</v>
      </c>
      <c r="C104" s="6" t="s">
        <v>579</v>
      </c>
      <c r="D104" s="6" t="s">
        <v>152</v>
      </c>
      <c r="E104" s="6" t="s">
        <v>152</v>
      </c>
      <c r="F104" s="6" t="s">
        <v>152</v>
      </c>
      <c r="G104" s="6" t="s">
        <v>152</v>
      </c>
      <c r="H104" s="6" t="s">
        <v>580</v>
      </c>
      <c r="L104" s="30">
        <v>99</v>
      </c>
      <c r="M104" s="30" t="s">
        <v>581</v>
      </c>
      <c r="N104" s="30" t="s">
        <v>582</v>
      </c>
      <c r="O104" s="30" t="s">
        <v>152</v>
      </c>
      <c r="P104" s="30" t="s">
        <v>152</v>
      </c>
      <c r="Q104" s="30" t="s">
        <v>152</v>
      </c>
      <c r="R104" s="30" t="s">
        <v>152</v>
      </c>
      <c r="S104" s="22">
        <v>0.2</v>
      </c>
    </row>
    <row r="105" spans="1:19" ht="42" thickBot="1" x14ac:dyDescent="0.3">
      <c r="A105" s="6">
        <v>104</v>
      </c>
      <c r="B105" s="6" t="s">
        <v>581</v>
      </c>
      <c r="C105" s="6" t="s">
        <v>582</v>
      </c>
      <c r="D105" s="6" t="s">
        <v>152</v>
      </c>
      <c r="E105" s="6" t="s">
        <v>152</v>
      </c>
      <c r="F105" s="6" t="s">
        <v>152</v>
      </c>
      <c r="G105" s="6" t="s">
        <v>152</v>
      </c>
      <c r="H105" s="6" t="s">
        <v>583</v>
      </c>
      <c r="L105" s="30">
        <v>100</v>
      </c>
      <c r="M105" s="30" t="s">
        <v>6608</v>
      </c>
      <c r="N105" s="30" t="s">
        <v>585</v>
      </c>
      <c r="O105" s="30" t="s">
        <v>152</v>
      </c>
      <c r="P105" s="30">
        <v>0.16</v>
      </c>
      <c r="Q105" s="30" t="s">
        <v>152</v>
      </c>
      <c r="R105" s="30" t="s">
        <v>152</v>
      </c>
      <c r="S105" s="22" t="s">
        <v>152</v>
      </c>
    </row>
    <row r="106" spans="1:19" ht="34.799999999999997" thickBot="1" x14ac:dyDescent="0.3">
      <c r="A106" s="6">
        <v>105</v>
      </c>
      <c r="B106" s="6" t="s">
        <v>584</v>
      </c>
      <c r="C106" s="6" t="s">
        <v>585</v>
      </c>
      <c r="D106" s="6" t="s">
        <v>152</v>
      </c>
      <c r="E106" s="6" t="s">
        <v>586</v>
      </c>
      <c r="F106" s="6" t="s">
        <v>152</v>
      </c>
      <c r="G106" s="6" t="s">
        <v>152</v>
      </c>
      <c r="H106" s="6" t="s">
        <v>583</v>
      </c>
      <c r="L106" s="29" t="s">
        <v>592</v>
      </c>
      <c r="M106" s="30"/>
      <c r="N106" s="30"/>
      <c r="O106" s="30"/>
      <c r="P106" s="30"/>
      <c r="Q106" s="30"/>
      <c r="R106" s="30"/>
      <c r="S106" s="22"/>
    </row>
    <row r="107" spans="1:19" ht="28.2" thickBot="1" x14ac:dyDescent="0.3">
      <c r="A107" s="6">
        <v>106</v>
      </c>
      <c r="B107" s="6" t="s">
        <v>356</v>
      </c>
      <c r="C107" s="7"/>
      <c r="D107" s="6" t="s">
        <v>587</v>
      </c>
      <c r="E107" s="6" t="s">
        <v>588</v>
      </c>
      <c r="F107" s="6" t="s">
        <v>589</v>
      </c>
      <c r="G107" s="6" t="s">
        <v>590</v>
      </c>
      <c r="H107" s="6" t="s">
        <v>591</v>
      </c>
      <c r="L107" s="30">
        <v>101</v>
      </c>
      <c r="M107" s="30" t="s">
        <v>593</v>
      </c>
      <c r="N107" s="30" t="s">
        <v>594</v>
      </c>
      <c r="O107" s="30">
        <v>3.12</v>
      </c>
      <c r="P107" s="30">
        <v>138.28</v>
      </c>
      <c r="Q107" s="30" t="s">
        <v>152</v>
      </c>
      <c r="R107" s="30">
        <v>0.13</v>
      </c>
      <c r="S107" s="22">
        <v>0.08</v>
      </c>
    </row>
    <row r="108" spans="1:19" ht="83.4" thickBot="1" x14ac:dyDescent="0.3">
      <c r="A108" s="6">
        <v>107</v>
      </c>
      <c r="B108" s="6" t="s">
        <v>592</v>
      </c>
      <c r="C108" s="7"/>
      <c r="D108" s="7"/>
      <c r="E108" s="7"/>
      <c r="F108" s="7"/>
      <c r="G108" s="7"/>
      <c r="H108" s="7"/>
      <c r="L108" s="30">
        <v>102</v>
      </c>
      <c r="M108" s="30" t="s">
        <v>6609</v>
      </c>
      <c r="N108" s="30" t="s">
        <v>600</v>
      </c>
      <c r="O108" s="30" t="s">
        <v>152</v>
      </c>
      <c r="P108" s="30" t="s">
        <v>152</v>
      </c>
      <c r="Q108" s="30" t="s">
        <v>152</v>
      </c>
      <c r="R108" s="30" t="s">
        <v>152</v>
      </c>
      <c r="S108" s="22">
        <v>6.48</v>
      </c>
    </row>
    <row r="109" spans="1:19" ht="28.2" thickBot="1" x14ac:dyDescent="0.3">
      <c r="A109" s="6">
        <v>108</v>
      </c>
      <c r="B109" s="6" t="s">
        <v>593</v>
      </c>
      <c r="C109" s="6" t="s">
        <v>594</v>
      </c>
      <c r="D109" s="6" t="s">
        <v>595</v>
      </c>
      <c r="E109" s="6" t="s">
        <v>596</v>
      </c>
      <c r="F109" s="6" t="s">
        <v>152</v>
      </c>
      <c r="G109" s="6" t="s">
        <v>597</v>
      </c>
      <c r="H109" s="6" t="s">
        <v>598</v>
      </c>
      <c r="L109" s="30">
        <v>103</v>
      </c>
      <c r="M109" s="30" t="s">
        <v>6610</v>
      </c>
      <c r="N109" s="31">
        <v>32994</v>
      </c>
      <c r="O109" s="30" t="s">
        <v>152</v>
      </c>
      <c r="P109" s="30" t="s">
        <v>152</v>
      </c>
      <c r="Q109" s="30" t="s">
        <v>152</v>
      </c>
      <c r="R109" s="30" t="s">
        <v>152</v>
      </c>
      <c r="S109" s="22">
        <v>2.9</v>
      </c>
    </row>
    <row r="110" spans="1:19" ht="57.6" thickBot="1" x14ac:dyDescent="0.3">
      <c r="A110" s="6">
        <v>109</v>
      </c>
      <c r="B110" s="6" t="s">
        <v>599</v>
      </c>
      <c r="C110" s="6" t="s">
        <v>600</v>
      </c>
      <c r="D110" s="6" t="s">
        <v>152</v>
      </c>
      <c r="E110" s="6" t="s">
        <v>152</v>
      </c>
      <c r="F110" s="6" t="s">
        <v>152</v>
      </c>
      <c r="G110" s="6" t="s">
        <v>152</v>
      </c>
      <c r="H110" s="6" t="s">
        <v>601</v>
      </c>
      <c r="L110" s="30">
        <v>104</v>
      </c>
      <c r="M110" s="30" t="s">
        <v>607</v>
      </c>
      <c r="N110" s="30" t="s">
        <v>608</v>
      </c>
      <c r="O110" s="30">
        <v>2.8</v>
      </c>
      <c r="P110" s="30" t="s">
        <v>152</v>
      </c>
      <c r="Q110" s="30" t="s">
        <v>152</v>
      </c>
      <c r="R110" s="30" t="s">
        <v>152</v>
      </c>
      <c r="S110" s="22">
        <v>0.28000000000000003</v>
      </c>
    </row>
    <row r="111" spans="1:19" ht="83.4" thickBot="1" x14ac:dyDescent="0.3">
      <c r="A111" s="6">
        <v>110</v>
      </c>
      <c r="B111" s="6" t="s">
        <v>602</v>
      </c>
      <c r="C111" s="6" t="s">
        <v>603</v>
      </c>
      <c r="D111" s="6" t="s">
        <v>152</v>
      </c>
      <c r="E111" s="6" t="s">
        <v>604</v>
      </c>
      <c r="F111" s="6" t="s">
        <v>152</v>
      </c>
      <c r="G111" s="6" t="s">
        <v>605</v>
      </c>
      <c r="H111" s="6" t="s">
        <v>606</v>
      </c>
      <c r="L111" s="30">
        <v>105</v>
      </c>
      <c r="M111" s="30" t="s">
        <v>6611</v>
      </c>
      <c r="N111" s="30" t="s">
        <v>1233</v>
      </c>
      <c r="O111" s="30" t="s">
        <v>152</v>
      </c>
      <c r="P111" s="30" t="s">
        <v>152</v>
      </c>
      <c r="Q111" s="30">
        <v>0.81</v>
      </c>
      <c r="R111" s="30" t="s">
        <v>152</v>
      </c>
      <c r="S111" s="22">
        <v>0.49</v>
      </c>
    </row>
    <row r="112" spans="1:19" ht="42" thickBot="1" x14ac:dyDescent="0.3">
      <c r="A112" s="6">
        <v>111</v>
      </c>
      <c r="B112" s="6" t="s">
        <v>607</v>
      </c>
      <c r="C112" s="6" t="s">
        <v>608</v>
      </c>
      <c r="D112" s="6" t="s">
        <v>152</v>
      </c>
      <c r="E112" s="6" t="s">
        <v>609</v>
      </c>
      <c r="F112" s="6" t="s">
        <v>152</v>
      </c>
      <c r="G112" s="6" t="s">
        <v>152</v>
      </c>
      <c r="H112" s="6" t="s">
        <v>152</v>
      </c>
      <c r="L112" s="30">
        <v>106</v>
      </c>
      <c r="M112" s="30" t="s">
        <v>6612</v>
      </c>
      <c r="N112" s="30" t="s">
        <v>6613</v>
      </c>
      <c r="O112" s="30" t="s">
        <v>152</v>
      </c>
      <c r="P112" s="30" t="s">
        <v>152</v>
      </c>
      <c r="Q112" s="30" t="s">
        <v>152</v>
      </c>
      <c r="R112" s="30" t="s">
        <v>152</v>
      </c>
      <c r="S112" s="22">
        <v>0.09</v>
      </c>
    </row>
    <row r="113" spans="1:19" ht="28.2" thickBot="1" x14ac:dyDescent="0.3">
      <c r="A113" s="6">
        <v>112</v>
      </c>
      <c r="B113" s="6" t="s">
        <v>32</v>
      </c>
      <c r="C113" s="6" t="s">
        <v>610</v>
      </c>
      <c r="D113" s="6" t="s">
        <v>611</v>
      </c>
      <c r="E113" s="6" t="s">
        <v>612</v>
      </c>
      <c r="F113" s="6" t="s">
        <v>152</v>
      </c>
      <c r="G113" s="6" t="s">
        <v>613</v>
      </c>
      <c r="H113" s="6" t="s">
        <v>614</v>
      </c>
      <c r="L113" s="30">
        <v>107</v>
      </c>
      <c r="M113" s="30" t="s">
        <v>6614</v>
      </c>
      <c r="N113" s="30" t="s">
        <v>6615</v>
      </c>
      <c r="O113" s="30" t="s">
        <v>152</v>
      </c>
      <c r="P113" s="30" t="s">
        <v>152</v>
      </c>
      <c r="Q113" s="30" t="s">
        <v>152</v>
      </c>
      <c r="R113" s="30" t="s">
        <v>152</v>
      </c>
      <c r="S113" s="22">
        <v>0.06</v>
      </c>
    </row>
    <row r="114" spans="1:19" ht="28.2" thickBot="1" x14ac:dyDescent="0.3">
      <c r="A114" s="6">
        <v>113</v>
      </c>
      <c r="B114" s="6" t="s">
        <v>356</v>
      </c>
      <c r="C114" s="7"/>
      <c r="D114" s="6" t="s">
        <v>615</v>
      </c>
      <c r="E114" s="6" t="s">
        <v>616</v>
      </c>
      <c r="F114" s="6" t="s">
        <v>152</v>
      </c>
      <c r="G114" s="6" t="s">
        <v>617</v>
      </c>
      <c r="H114" s="6" t="s">
        <v>618</v>
      </c>
      <c r="L114" s="29" t="s">
        <v>6616</v>
      </c>
      <c r="M114" s="30"/>
      <c r="N114" s="30"/>
      <c r="O114" s="30"/>
      <c r="P114" s="30"/>
      <c r="Q114" s="30"/>
      <c r="R114" s="30"/>
      <c r="S114" s="22"/>
    </row>
    <row r="115" spans="1:19" ht="42" thickBot="1" x14ac:dyDescent="0.3">
      <c r="A115" s="6">
        <v>114</v>
      </c>
      <c r="B115" s="6" t="s">
        <v>619</v>
      </c>
      <c r="C115" s="7"/>
      <c r="D115" s="7"/>
      <c r="E115" s="7"/>
      <c r="F115" s="7"/>
      <c r="G115" s="7"/>
      <c r="H115" s="7"/>
      <c r="L115" s="30">
        <v>108</v>
      </c>
      <c r="M115" s="30" t="s">
        <v>6617</v>
      </c>
      <c r="N115" s="30" t="s">
        <v>6432</v>
      </c>
      <c r="O115" s="30" t="s">
        <v>152</v>
      </c>
      <c r="P115" s="30" t="s">
        <v>152</v>
      </c>
      <c r="Q115" s="30" t="s">
        <v>152</v>
      </c>
      <c r="R115" s="30" t="s">
        <v>152</v>
      </c>
      <c r="S115" s="22">
        <v>63.59</v>
      </c>
    </row>
    <row r="116" spans="1:19" ht="42" thickBot="1" x14ac:dyDescent="0.3">
      <c r="A116" s="6">
        <v>115</v>
      </c>
      <c r="B116" s="6" t="s">
        <v>620</v>
      </c>
      <c r="C116" s="6" t="s">
        <v>621</v>
      </c>
      <c r="D116" s="6" t="s">
        <v>622</v>
      </c>
      <c r="E116" s="6" t="s">
        <v>623</v>
      </c>
      <c r="F116" s="6" t="s">
        <v>624</v>
      </c>
      <c r="G116" s="6" t="s">
        <v>625</v>
      </c>
      <c r="H116" s="6" t="s">
        <v>626</v>
      </c>
      <c r="L116" s="30">
        <v>109</v>
      </c>
      <c r="M116" s="30" t="s">
        <v>6618</v>
      </c>
      <c r="N116" s="30" t="s">
        <v>6619</v>
      </c>
      <c r="O116" s="30" t="s">
        <v>152</v>
      </c>
      <c r="P116" s="30">
        <v>0.97</v>
      </c>
      <c r="Q116" s="30" t="s">
        <v>152</v>
      </c>
      <c r="R116" s="30">
        <v>5.73</v>
      </c>
      <c r="S116" s="22" t="s">
        <v>152</v>
      </c>
    </row>
    <row r="117" spans="1:19" ht="42" thickBot="1" x14ac:dyDescent="0.3">
      <c r="A117" s="6">
        <v>116</v>
      </c>
      <c r="B117" s="6" t="s">
        <v>627</v>
      </c>
      <c r="C117" s="6" t="s">
        <v>628</v>
      </c>
      <c r="D117" s="6" t="s">
        <v>152</v>
      </c>
      <c r="E117" s="6" t="s">
        <v>152</v>
      </c>
      <c r="F117" s="6" t="s">
        <v>629</v>
      </c>
      <c r="G117" s="6" t="s">
        <v>630</v>
      </c>
      <c r="H117" s="6" t="s">
        <v>631</v>
      </c>
      <c r="L117" s="30">
        <v>110</v>
      </c>
      <c r="M117" s="30" t="s">
        <v>636</v>
      </c>
      <c r="N117" s="30" t="s">
        <v>6620</v>
      </c>
      <c r="O117" s="30" t="s">
        <v>152</v>
      </c>
      <c r="P117" s="30" t="s">
        <v>152</v>
      </c>
      <c r="Q117" s="30" t="s">
        <v>152</v>
      </c>
      <c r="R117" s="30" t="s">
        <v>152</v>
      </c>
      <c r="S117" s="22">
        <v>1.36</v>
      </c>
    </row>
    <row r="118" spans="1:19" ht="55.8" thickBot="1" x14ac:dyDescent="0.3">
      <c r="A118" s="6">
        <v>117</v>
      </c>
      <c r="B118" s="6" t="s">
        <v>632</v>
      </c>
      <c r="C118" s="6" t="s">
        <v>633</v>
      </c>
      <c r="D118" s="6" t="s">
        <v>152</v>
      </c>
      <c r="E118" s="6" t="s">
        <v>634</v>
      </c>
      <c r="F118" s="6" t="s">
        <v>152</v>
      </c>
      <c r="G118" s="6" t="s">
        <v>635</v>
      </c>
      <c r="H118" s="6" t="s">
        <v>152</v>
      </c>
      <c r="L118" s="30">
        <v>111</v>
      </c>
      <c r="M118" s="30" t="s">
        <v>1027</v>
      </c>
      <c r="N118" s="30" t="s">
        <v>6621</v>
      </c>
      <c r="O118" s="30" t="s">
        <v>152</v>
      </c>
      <c r="P118" s="30" t="s">
        <v>152</v>
      </c>
      <c r="Q118" s="30">
        <v>0.81</v>
      </c>
      <c r="R118" s="30">
        <v>0.38</v>
      </c>
      <c r="S118" s="22">
        <v>1.26</v>
      </c>
    </row>
    <row r="119" spans="1:19" ht="42" thickBot="1" x14ac:dyDescent="0.3">
      <c r="A119" s="6">
        <v>118</v>
      </c>
      <c r="B119" s="6" t="s">
        <v>636</v>
      </c>
      <c r="C119" s="6" t="s">
        <v>637</v>
      </c>
      <c r="D119" s="6" t="s">
        <v>152</v>
      </c>
      <c r="E119" s="6" t="s">
        <v>152</v>
      </c>
      <c r="F119" s="6" t="s">
        <v>152</v>
      </c>
      <c r="G119" s="6" t="s">
        <v>152</v>
      </c>
      <c r="H119" s="6" t="s">
        <v>638</v>
      </c>
      <c r="L119" s="30">
        <v>112</v>
      </c>
      <c r="M119" s="30" t="s">
        <v>644</v>
      </c>
      <c r="N119" s="30" t="s">
        <v>6622</v>
      </c>
      <c r="O119" s="30" t="s">
        <v>152</v>
      </c>
      <c r="P119" s="30" t="s">
        <v>152</v>
      </c>
      <c r="Q119" s="30">
        <v>0.5</v>
      </c>
      <c r="R119" s="30" t="s">
        <v>152</v>
      </c>
      <c r="S119" s="22">
        <v>0.13</v>
      </c>
    </row>
    <row r="120" spans="1:19" ht="42" thickBot="1" x14ac:dyDescent="0.3">
      <c r="A120" s="6">
        <v>119</v>
      </c>
      <c r="B120" s="6" t="s">
        <v>639</v>
      </c>
      <c r="C120" s="6" t="s">
        <v>640</v>
      </c>
      <c r="D120" s="6" t="s">
        <v>152</v>
      </c>
      <c r="E120" s="6" t="s">
        <v>152</v>
      </c>
      <c r="F120" s="6" t="s">
        <v>641</v>
      </c>
      <c r="G120" s="6" t="s">
        <v>642</v>
      </c>
      <c r="H120" s="6" t="s">
        <v>643</v>
      </c>
      <c r="L120" s="30">
        <v>113</v>
      </c>
      <c r="M120" s="30" t="s">
        <v>648</v>
      </c>
      <c r="N120" s="30" t="s">
        <v>6623</v>
      </c>
      <c r="O120" s="30" t="s">
        <v>152</v>
      </c>
      <c r="P120" s="30" t="s">
        <v>152</v>
      </c>
      <c r="Q120" s="30" t="s">
        <v>152</v>
      </c>
      <c r="R120" s="30" t="s">
        <v>152</v>
      </c>
      <c r="S120" s="22">
        <v>0.36</v>
      </c>
    </row>
    <row r="121" spans="1:19" ht="55.8" thickBot="1" x14ac:dyDescent="0.3">
      <c r="A121" s="6">
        <v>120</v>
      </c>
      <c r="B121" s="6" t="s">
        <v>644</v>
      </c>
      <c r="C121" s="6" t="s">
        <v>645</v>
      </c>
      <c r="D121" s="6" t="s">
        <v>152</v>
      </c>
      <c r="E121" s="6" t="s">
        <v>152</v>
      </c>
      <c r="F121" s="6" t="s">
        <v>646</v>
      </c>
      <c r="G121" s="6" t="s">
        <v>152</v>
      </c>
      <c r="H121" s="6" t="s">
        <v>647</v>
      </c>
      <c r="L121" s="30">
        <v>114</v>
      </c>
      <c r="M121" s="30" t="s">
        <v>651</v>
      </c>
      <c r="N121" s="30" t="s">
        <v>6624</v>
      </c>
      <c r="O121" s="30" t="s">
        <v>152</v>
      </c>
      <c r="P121" s="30">
        <v>0.23</v>
      </c>
      <c r="Q121" s="30" t="s">
        <v>152</v>
      </c>
      <c r="R121" s="30" t="s">
        <v>152</v>
      </c>
      <c r="S121" s="22" t="s">
        <v>152</v>
      </c>
    </row>
    <row r="122" spans="1:19" ht="23.4" thickBot="1" x14ac:dyDescent="0.3">
      <c r="A122" s="6">
        <v>121</v>
      </c>
      <c r="B122" s="6" t="s">
        <v>648</v>
      </c>
      <c r="C122" s="6" t="s">
        <v>649</v>
      </c>
      <c r="D122" s="6" t="s">
        <v>152</v>
      </c>
      <c r="E122" s="6" t="s">
        <v>152</v>
      </c>
      <c r="F122" s="6" t="s">
        <v>152</v>
      </c>
      <c r="G122" s="6" t="s">
        <v>152</v>
      </c>
      <c r="H122" s="6" t="s">
        <v>650</v>
      </c>
      <c r="L122" s="29" t="s">
        <v>659</v>
      </c>
      <c r="M122" s="30"/>
      <c r="N122" s="30"/>
      <c r="O122" s="30"/>
      <c r="P122" s="30"/>
      <c r="Q122" s="30"/>
      <c r="R122" s="30"/>
      <c r="S122" s="22"/>
    </row>
    <row r="123" spans="1:19" ht="34.799999999999997" thickBot="1" x14ac:dyDescent="0.3">
      <c r="A123" s="6">
        <v>122</v>
      </c>
      <c r="B123" s="6" t="s">
        <v>651</v>
      </c>
      <c r="C123" s="6" t="s">
        <v>652</v>
      </c>
      <c r="D123" s="6" t="s">
        <v>152</v>
      </c>
      <c r="E123" s="6" t="s">
        <v>653</v>
      </c>
      <c r="F123" s="6" t="s">
        <v>152</v>
      </c>
      <c r="G123" s="6" t="s">
        <v>152</v>
      </c>
      <c r="H123" s="6" t="s">
        <v>152</v>
      </c>
      <c r="L123" s="30">
        <v>115</v>
      </c>
      <c r="M123" s="30" t="s">
        <v>660</v>
      </c>
      <c r="N123" s="30" t="s">
        <v>6625</v>
      </c>
      <c r="O123" s="30" t="s">
        <v>152</v>
      </c>
      <c r="P123" s="30" t="s">
        <v>152</v>
      </c>
      <c r="Q123" s="30" t="s">
        <v>152</v>
      </c>
      <c r="R123" s="30" t="s">
        <v>152</v>
      </c>
      <c r="S123" s="22">
        <v>3.14</v>
      </c>
    </row>
    <row r="124" spans="1:19" ht="55.8" thickBot="1" x14ac:dyDescent="0.3">
      <c r="A124" s="6">
        <v>123</v>
      </c>
      <c r="B124" s="6" t="s">
        <v>356</v>
      </c>
      <c r="C124" s="7"/>
      <c r="D124" s="6" t="s">
        <v>654</v>
      </c>
      <c r="E124" s="6" t="s">
        <v>655</v>
      </c>
      <c r="F124" s="6" t="s">
        <v>656</v>
      </c>
      <c r="G124" s="6" t="s">
        <v>657</v>
      </c>
      <c r="H124" s="6" t="s">
        <v>658</v>
      </c>
      <c r="L124" s="30">
        <v>116</v>
      </c>
      <c r="M124" s="30" t="s">
        <v>6626</v>
      </c>
      <c r="N124" s="30" t="s">
        <v>6627</v>
      </c>
      <c r="O124" s="30" t="s">
        <v>152</v>
      </c>
      <c r="P124" s="30" t="s">
        <v>152</v>
      </c>
      <c r="Q124" s="30">
        <v>1.39</v>
      </c>
      <c r="R124" s="30" t="s">
        <v>152</v>
      </c>
      <c r="S124" s="22">
        <v>0.33</v>
      </c>
    </row>
    <row r="125" spans="1:19" ht="42" thickBot="1" x14ac:dyDescent="0.3">
      <c r="A125" s="6">
        <v>124</v>
      </c>
      <c r="B125" s="6" t="s">
        <v>659</v>
      </c>
      <c r="C125" s="7"/>
      <c r="D125" s="7"/>
      <c r="E125" s="7"/>
      <c r="F125" s="7"/>
      <c r="G125" s="7"/>
      <c r="H125" s="7"/>
      <c r="L125" s="30">
        <v>117</v>
      </c>
      <c r="M125" s="30" t="s">
        <v>667</v>
      </c>
      <c r="N125" s="30" t="s">
        <v>6446</v>
      </c>
      <c r="O125" s="30" t="s">
        <v>152</v>
      </c>
      <c r="P125" s="30" t="s">
        <v>152</v>
      </c>
      <c r="Q125" s="30" t="s">
        <v>152</v>
      </c>
      <c r="R125" s="30" t="s">
        <v>152</v>
      </c>
      <c r="S125" s="22">
        <v>0.68</v>
      </c>
    </row>
    <row r="126" spans="1:19" ht="55.8" thickBot="1" x14ac:dyDescent="0.3">
      <c r="A126" s="6">
        <v>125</v>
      </c>
      <c r="B126" s="6" t="s">
        <v>660</v>
      </c>
      <c r="C126" s="6" t="s">
        <v>661</v>
      </c>
      <c r="D126" s="6" t="s">
        <v>152</v>
      </c>
      <c r="E126" s="6" t="s">
        <v>152</v>
      </c>
      <c r="F126" s="6" t="s">
        <v>152</v>
      </c>
      <c r="G126" s="6" t="s">
        <v>152</v>
      </c>
      <c r="H126" s="6" t="s">
        <v>662</v>
      </c>
      <c r="L126" s="30">
        <v>118</v>
      </c>
      <c r="M126" s="30" t="s">
        <v>6628</v>
      </c>
      <c r="N126" s="30" t="s">
        <v>6629</v>
      </c>
      <c r="O126" s="30">
        <v>0.36</v>
      </c>
      <c r="P126" s="30" t="s">
        <v>152</v>
      </c>
      <c r="Q126" s="30" t="s">
        <v>152</v>
      </c>
      <c r="R126" s="30" t="s">
        <v>152</v>
      </c>
      <c r="S126" s="22" t="s">
        <v>152</v>
      </c>
    </row>
    <row r="127" spans="1:19" ht="55.8" thickBot="1" x14ac:dyDescent="0.3">
      <c r="A127" s="6">
        <v>126</v>
      </c>
      <c r="B127" s="6" t="s">
        <v>663</v>
      </c>
      <c r="C127" s="6" t="s">
        <v>664</v>
      </c>
      <c r="D127" s="6" t="s">
        <v>152</v>
      </c>
      <c r="E127" s="6" t="s">
        <v>152</v>
      </c>
      <c r="F127" s="6" t="s">
        <v>665</v>
      </c>
      <c r="G127" s="6" t="s">
        <v>152</v>
      </c>
      <c r="H127" s="6" t="s">
        <v>666</v>
      </c>
      <c r="L127" s="30">
        <v>119</v>
      </c>
      <c r="M127" s="30" t="s">
        <v>13</v>
      </c>
      <c r="N127" s="30" t="s">
        <v>2012</v>
      </c>
      <c r="O127" s="30" t="s">
        <v>152</v>
      </c>
      <c r="P127" s="30" t="s">
        <v>152</v>
      </c>
      <c r="Q127" s="30" t="s">
        <v>152</v>
      </c>
      <c r="R127" s="30" t="s">
        <v>152</v>
      </c>
      <c r="S127" s="22">
        <v>0.28000000000000003</v>
      </c>
    </row>
    <row r="128" spans="1:19" ht="34.200000000000003" x14ac:dyDescent="0.25">
      <c r="A128" s="6">
        <v>127</v>
      </c>
      <c r="B128" s="6" t="s">
        <v>667</v>
      </c>
      <c r="C128" s="6" t="s">
        <v>668</v>
      </c>
      <c r="D128" s="6" t="s">
        <v>152</v>
      </c>
      <c r="E128" s="6" t="s">
        <v>152</v>
      </c>
      <c r="F128" s="6" t="s">
        <v>152</v>
      </c>
      <c r="G128" s="6" t="s">
        <v>152</v>
      </c>
      <c r="H128" s="6" t="s">
        <v>669</v>
      </c>
    </row>
    <row r="129" spans="1:8" ht="34.200000000000003" x14ac:dyDescent="0.25">
      <c r="A129" s="6">
        <v>128</v>
      </c>
      <c r="B129" s="6" t="s">
        <v>670</v>
      </c>
      <c r="C129" s="6" t="s">
        <v>671</v>
      </c>
      <c r="D129" s="6" t="s">
        <v>650</v>
      </c>
      <c r="E129" s="6" t="s">
        <v>152</v>
      </c>
      <c r="F129" s="6" t="s">
        <v>152</v>
      </c>
      <c r="G129" s="6" t="s">
        <v>152</v>
      </c>
      <c r="H129" s="6" t="s">
        <v>152</v>
      </c>
    </row>
    <row r="130" spans="1:8" ht="22.8" x14ac:dyDescent="0.25">
      <c r="A130" s="6">
        <v>129</v>
      </c>
      <c r="B130" s="6" t="s">
        <v>672</v>
      </c>
      <c r="C130" s="6" t="s">
        <v>673</v>
      </c>
      <c r="D130" s="6" t="s">
        <v>152</v>
      </c>
      <c r="E130" s="6" t="s">
        <v>152</v>
      </c>
      <c r="F130" s="6" t="s">
        <v>152</v>
      </c>
      <c r="G130" s="6" t="s">
        <v>152</v>
      </c>
      <c r="H130" s="6" t="s">
        <v>674</v>
      </c>
    </row>
    <row r="131" spans="1:8" ht="22.8" x14ac:dyDescent="0.25">
      <c r="A131" s="7"/>
      <c r="B131" s="6" t="s">
        <v>356</v>
      </c>
      <c r="C131" s="7"/>
      <c r="D131" s="6" t="s">
        <v>675</v>
      </c>
      <c r="E131" s="6" t="s">
        <v>152</v>
      </c>
      <c r="F131" s="6" t="s">
        <v>676</v>
      </c>
      <c r="G131" s="6" t="s">
        <v>152</v>
      </c>
      <c r="H131" s="6" t="s">
        <v>677</v>
      </c>
    </row>
    <row r="132" spans="1:8" ht="34.200000000000003" x14ac:dyDescent="0.25">
      <c r="A132" s="7"/>
      <c r="B132" s="6" t="s">
        <v>678</v>
      </c>
      <c r="C132" s="6" t="s">
        <v>29</v>
      </c>
      <c r="D132" s="6" t="s">
        <v>679</v>
      </c>
      <c r="E132" s="6" t="s">
        <v>680</v>
      </c>
      <c r="F132" s="6" t="s">
        <v>681</v>
      </c>
      <c r="G132" s="6" t="s">
        <v>682</v>
      </c>
      <c r="H132" s="6" t="s">
        <v>683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C3E9-5EFB-4E0A-8A1A-AD60D4C9A612}">
  <dimension ref="A1:W65"/>
  <sheetViews>
    <sheetView workbookViewId="0">
      <selection activeCell="V2" sqref="V2:W65"/>
    </sheetView>
  </sheetViews>
  <sheetFormatPr defaultRowHeight="13.8" x14ac:dyDescent="0.25"/>
  <sheetData>
    <row r="1" spans="1:23" ht="83.4" thickBot="1" x14ac:dyDescent="0.3">
      <c r="A1" s="6" t="s">
        <v>685</v>
      </c>
      <c r="B1" s="6" t="s">
        <v>7</v>
      </c>
      <c r="C1" s="6" t="s">
        <v>803</v>
      </c>
      <c r="D1" s="6" t="s">
        <v>801</v>
      </c>
      <c r="E1" s="6" t="s">
        <v>802</v>
      </c>
      <c r="F1" s="6" t="s">
        <v>687</v>
      </c>
      <c r="G1" s="6" t="s">
        <v>688</v>
      </c>
      <c r="J1" s="38" t="s">
        <v>7789</v>
      </c>
      <c r="K1" s="38" t="s">
        <v>7790</v>
      </c>
      <c r="L1" s="38" t="s">
        <v>7791</v>
      </c>
      <c r="M1" s="38" t="s">
        <v>7792</v>
      </c>
      <c r="N1" s="38" t="s">
        <v>7793</v>
      </c>
      <c r="P1" s="38" t="s">
        <v>7789</v>
      </c>
      <c r="Q1" s="38" t="s">
        <v>7790</v>
      </c>
      <c r="R1" s="38" t="s">
        <v>7791</v>
      </c>
      <c r="S1" s="38" t="s">
        <v>7792</v>
      </c>
      <c r="T1" s="38" t="s">
        <v>7793</v>
      </c>
    </row>
    <row r="2" spans="1:23" ht="42" thickBot="1" x14ac:dyDescent="0.3">
      <c r="A2" s="6">
        <v>1</v>
      </c>
      <c r="B2" s="6" t="s">
        <v>689</v>
      </c>
      <c r="C2" s="6" t="s">
        <v>690</v>
      </c>
      <c r="D2" s="6" t="s">
        <v>691</v>
      </c>
      <c r="E2" s="6" t="s">
        <v>692</v>
      </c>
      <c r="F2" s="6">
        <v>15783</v>
      </c>
      <c r="G2" s="6">
        <v>13344</v>
      </c>
      <c r="J2" s="39" t="s">
        <v>689</v>
      </c>
      <c r="K2" s="39" t="s">
        <v>2017</v>
      </c>
      <c r="L2" s="39">
        <v>55.33</v>
      </c>
      <c r="M2" s="39" t="s">
        <v>7794</v>
      </c>
      <c r="N2" s="39" t="s">
        <v>7795</v>
      </c>
      <c r="P2" s="39" t="s">
        <v>689</v>
      </c>
      <c r="Q2" s="39" t="s">
        <v>2017</v>
      </c>
      <c r="R2" s="39">
        <v>55.33</v>
      </c>
      <c r="S2" s="39" t="s">
        <v>7794</v>
      </c>
      <c r="T2" s="39" t="s">
        <v>7795</v>
      </c>
      <c r="V2" t="str">
        <f>_xlfn.TEXTBEFORE(S2,"±")</f>
        <v xml:space="preserve">873258 </v>
      </c>
      <c r="W2" t="str">
        <f>_xlfn.TEXTBEFORE(T2,"±")</f>
        <v xml:space="preserve">738302 </v>
      </c>
    </row>
    <row r="3" spans="1:23" ht="69.599999999999994" thickBot="1" x14ac:dyDescent="0.3">
      <c r="A3" s="6">
        <v>2</v>
      </c>
      <c r="B3" s="6" t="s">
        <v>693</v>
      </c>
      <c r="C3" s="6" t="s">
        <v>694</v>
      </c>
      <c r="D3" s="6" t="s">
        <v>695</v>
      </c>
      <c r="E3" s="6" t="s">
        <v>696</v>
      </c>
      <c r="F3" s="6">
        <v>2036</v>
      </c>
      <c r="G3" s="6">
        <v>2221</v>
      </c>
      <c r="J3" s="39" t="s">
        <v>693</v>
      </c>
      <c r="K3" s="39" t="s">
        <v>2018</v>
      </c>
      <c r="L3" s="39">
        <v>81.5</v>
      </c>
      <c r="M3" s="39" t="s">
        <v>7796</v>
      </c>
      <c r="N3" s="39" t="s">
        <v>7797</v>
      </c>
      <c r="P3" s="39" t="s">
        <v>7855</v>
      </c>
      <c r="Q3" s="39" t="s">
        <v>7856</v>
      </c>
      <c r="R3" s="39" t="s">
        <v>2908</v>
      </c>
      <c r="S3" s="39" t="s">
        <v>2908</v>
      </c>
      <c r="T3" s="39" t="s">
        <v>2908</v>
      </c>
      <c r="V3" t="e">
        <f t="shared" ref="V3:V65" si="0">_xlfn.TEXTBEFORE(S3,"±")</f>
        <v>#N/A</v>
      </c>
      <c r="W3" t="e">
        <f t="shared" ref="W3:W65" si="1">_xlfn.TEXTBEFORE(T3,"±")</f>
        <v>#N/A</v>
      </c>
    </row>
    <row r="4" spans="1:23" ht="42" thickBot="1" x14ac:dyDescent="0.3">
      <c r="A4" s="6">
        <v>3</v>
      </c>
      <c r="B4" s="6" t="s">
        <v>697</v>
      </c>
      <c r="C4" s="6" t="s">
        <v>698</v>
      </c>
      <c r="D4" s="6" t="s">
        <v>699</v>
      </c>
      <c r="E4" s="6" t="s">
        <v>700</v>
      </c>
      <c r="F4" s="6">
        <v>673</v>
      </c>
      <c r="G4" s="6">
        <v>600</v>
      </c>
      <c r="J4" s="39" t="s">
        <v>697</v>
      </c>
      <c r="K4" s="39" t="s">
        <v>2019</v>
      </c>
      <c r="L4" s="39">
        <v>26.8</v>
      </c>
      <c r="M4" s="39" t="s">
        <v>7798</v>
      </c>
      <c r="N4" s="39" t="s">
        <v>7799</v>
      </c>
      <c r="P4" s="39" t="s">
        <v>693</v>
      </c>
      <c r="Q4" s="39" t="s">
        <v>2018</v>
      </c>
      <c r="R4" s="39">
        <v>81.5</v>
      </c>
      <c r="S4" s="39" t="s">
        <v>7796</v>
      </c>
      <c r="T4" s="39" t="s">
        <v>7797</v>
      </c>
      <c r="V4" t="str">
        <f t="shared" si="0"/>
        <v xml:space="preserve">165929 </v>
      </c>
      <c r="W4" t="str">
        <f t="shared" si="1"/>
        <v xml:space="preserve">181049 </v>
      </c>
    </row>
    <row r="5" spans="1:23" ht="55.8" thickBot="1" x14ac:dyDescent="0.3">
      <c r="A5" s="6">
        <v>4</v>
      </c>
      <c r="B5" s="6" t="s">
        <v>701</v>
      </c>
      <c r="C5" s="6" t="s">
        <v>702</v>
      </c>
      <c r="D5" s="6" t="s">
        <v>703</v>
      </c>
      <c r="E5" s="6" t="s">
        <v>704</v>
      </c>
      <c r="F5" s="6">
        <v>347</v>
      </c>
      <c r="G5" s="6">
        <v>339</v>
      </c>
      <c r="J5" s="39" t="s">
        <v>1114</v>
      </c>
      <c r="K5" s="39" t="s">
        <v>4620</v>
      </c>
      <c r="L5" s="39">
        <v>0.4</v>
      </c>
      <c r="M5" s="39" t="s">
        <v>703</v>
      </c>
      <c r="N5" s="39" t="s">
        <v>704</v>
      </c>
      <c r="P5" s="39" t="s">
        <v>721</v>
      </c>
      <c r="Q5" s="39" t="s">
        <v>2022</v>
      </c>
      <c r="R5" s="39">
        <v>32600</v>
      </c>
      <c r="S5" s="39" t="s">
        <v>7804</v>
      </c>
      <c r="T5" s="39" t="s">
        <v>7805</v>
      </c>
      <c r="V5" t="str">
        <f t="shared" si="0"/>
        <v xml:space="preserve">4021850 </v>
      </c>
      <c r="W5" t="str">
        <f t="shared" si="1"/>
        <v xml:space="preserve">2926064 </v>
      </c>
    </row>
    <row r="6" spans="1:23" ht="42" thickBot="1" x14ac:dyDescent="0.3">
      <c r="A6" s="6">
        <v>5</v>
      </c>
      <c r="B6" s="6" t="s">
        <v>705</v>
      </c>
      <c r="C6" s="6" t="s">
        <v>706</v>
      </c>
      <c r="D6" s="6" t="s">
        <v>707</v>
      </c>
      <c r="E6" s="6" t="s">
        <v>708</v>
      </c>
      <c r="F6" s="6">
        <v>189</v>
      </c>
      <c r="G6" s="6">
        <v>194</v>
      </c>
      <c r="J6" s="39" t="s">
        <v>705</v>
      </c>
      <c r="K6" s="39" t="s">
        <v>2918</v>
      </c>
      <c r="L6" s="39">
        <v>6.1199999999999996E-3</v>
      </c>
      <c r="M6" s="39" t="s">
        <v>707</v>
      </c>
      <c r="N6" s="39" t="s">
        <v>708</v>
      </c>
      <c r="P6" s="39" t="s">
        <v>733</v>
      </c>
      <c r="Q6" s="39" t="s">
        <v>2023</v>
      </c>
      <c r="R6" s="39">
        <v>12.9</v>
      </c>
      <c r="S6" s="39" t="s">
        <v>735</v>
      </c>
      <c r="T6" s="39" t="s">
        <v>736</v>
      </c>
      <c r="V6" t="str">
        <f t="shared" si="0"/>
        <v xml:space="preserve">940 </v>
      </c>
      <c r="W6" t="str">
        <f t="shared" si="1"/>
        <v xml:space="preserve">1672 </v>
      </c>
    </row>
    <row r="7" spans="1:23" ht="42" thickBot="1" x14ac:dyDescent="0.3">
      <c r="A7" s="6">
        <v>6</v>
      </c>
      <c r="B7" s="6" t="s">
        <v>709</v>
      </c>
      <c r="C7" s="6" t="s">
        <v>710</v>
      </c>
      <c r="D7" s="6" t="s">
        <v>711</v>
      </c>
      <c r="E7" s="6" t="s">
        <v>712</v>
      </c>
      <c r="F7" s="6">
        <v>140</v>
      </c>
      <c r="G7" s="6">
        <v>136</v>
      </c>
      <c r="J7" s="39" t="s">
        <v>709</v>
      </c>
      <c r="K7" s="39" t="s">
        <v>2911</v>
      </c>
      <c r="L7" s="39">
        <v>1.5100000000000001E-2</v>
      </c>
      <c r="M7" s="39" t="s">
        <v>711</v>
      </c>
      <c r="N7" s="39" t="s">
        <v>712</v>
      </c>
      <c r="P7" s="39" t="s">
        <v>697</v>
      </c>
      <c r="Q7" s="39" t="s">
        <v>2019</v>
      </c>
      <c r="R7" s="39">
        <v>26.8</v>
      </c>
      <c r="S7" s="39" t="s">
        <v>7798</v>
      </c>
      <c r="T7" s="39" t="s">
        <v>7799</v>
      </c>
      <c r="V7" t="str">
        <f t="shared" si="0"/>
        <v xml:space="preserve">18031 </v>
      </c>
      <c r="W7" t="str">
        <f t="shared" si="1"/>
        <v xml:space="preserve">16080 </v>
      </c>
    </row>
    <row r="8" spans="1:23" ht="42" thickBot="1" x14ac:dyDescent="0.3">
      <c r="A8" s="6">
        <v>7</v>
      </c>
      <c r="B8" s="6" t="s">
        <v>713</v>
      </c>
      <c r="C8" s="6" t="s">
        <v>714</v>
      </c>
      <c r="D8" s="6" t="s">
        <v>715</v>
      </c>
      <c r="E8" s="6" t="s">
        <v>716</v>
      </c>
      <c r="F8" s="6">
        <v>133</v>
      </c>
      <c r="G8" s="6">
        <v>85</v>
      </c>
      <c r="J8" s="39" t="s">
        <v>713</v>
      </c>
      <c r="K8" s="39" t="s">
        <v>2020</v>
      </c>
      <c r="L8" s="39">
        <v>964</v>
      </c>
      <c r="M8" s="39" t="s">
        <v>7800</v>
      </c>
      <c r="N8" s="39" t="s">
        <v>7801</v>
      </c>
      <c r="P8" s="39" t="s">
        <v>967</v>
      </c>
      <c r="Q8" s="39" t="s">
        <v>2178</v>
      </c>
      <c r="R8" s="39">
        <v>13200</v>
      </c>
      <c r="S8" s="39" t="s">
        <v>7829</v>
      </c>
      <c r="T8" s="39" t="s">
        <v>7830</v>
      </c>
      <c r="V8" t="str">
        <f t="shared" si="0"/>
        <v xml:space="preserve">2031 </v>
      </c>
      <c r="W8" t="str">
        <f t="shared" si="1"/>
        <v xml:space="preserve">2398 </v>
      </c>
    </row>
    <row r="9" spans="1:23" ht="28.2" thickBot="1" x14ac:dyDescent="0.3">
      <c r="A9" s="6">
        <v>8</v>
      </c>
      <c r="B9" s="6" t="s">
        <v>717</v>
      </c>
      <c r="C9" s="6" t="s">
        <v>718</v>
      </c>
      <c r="D9" s="6" t="s">
        <v>719</v>
      </c>
      <c r="E9" s="6" t="s">
        <v>720</v>
      </c>
      <c r="F9" s="6">
        <v>127</v>
      </c>
      <c r="G9" s="6">
        <v>147</v>
      </c>
      <c r="J9" s="39" t="s">
        <v>717</v>
      </c>
      <c r="K9" s="39" t="s">
        <v>2021</v>
      </c>
      <c r="L9" s="39">
        <v>389</v>
      </c>
      <c r="M9" s="39" t="s">
        <v>7802</v>
      </c>
      <c r="N9" s="39" t="s">
        <v>7803</v>
      </c>
      <c r="P9" s="39" t="s">
        <v>908</v>
      </c>
      <c r="Q9" s="39" t="s">
        <v>7857</v>
      </c>
      <c r="R9" s="39">
        <v>128000</v>
      </c>
      <c r="S9" s="39" t="s">
        <v>7837</v>
      </c>
      <c r="T9" s="39" t="s">
        <v>7838</v>
      </c>
      <c r="V9" t="str">
        <f t="shared" si="0"/>
        <v xml:space="preserve">7565 </v>
      </c>
      <c r="W9" t="str">
        <f t="shared" si="1"/>
        <v xml:space="preserve">8505 </v>
      </c>
    </row>
    <row r="10" spans="1:23" ht="42" thickBot="1" x14ac:dyDescent="0.3">
      <c r="A10" s="6">
        <v>9</v>
      </c>
      <c r="B10" s="6" t="s">
        <v>721</v>
      </c>
      <c r="C10" s="6" t="s">
        <v>722</v>
      </c>
      <c r="D10" s="6" t="s">
        <v>723</v>
      </c>
      <c r="E10" s="6" t="s">
        <v>724</v>
      </c>
      <c r="F10" s="6">
        <v>123</v>
      </c>
      <c r="G10" s="6">
        <v>90</v>
      </c>
      <c r="J10" s="39" t="s">
        <v>721</v>
      </c>
      <c r="K10" s="39" t="s">
        <v>2022</v>
      </c>
      <c r="L10" s="39">
        <v>32600</v>
      </c>
      <c r="M10" s="39" t="s">
        <v>7804</v>
      </c>
      <c r="N10" s="39" t="s">
        <v>7805</v>
      </c>
      <c r="P10" s="39" t="s">
        <v>908</v>
      </c>
      <c r="Q10" s="39" t="s">
        <v>7858</v>
      </c>
      <c r="R10" s="39">
        <v>12800</v>
      </c>
      <c r="S10" s="39" t="s">
        <v>7839</v>
      </c>
      <c r="T10" s="39" t="s">
        <v>7840</v>
      </c>
      <c r="V10" t="str">
        <f t="shared" si="0"/>
        <v xml:space="preserve">548 </v>
      </c>
      <c r="W10" t="str">
        <f t="shared" si="1"/>
        <v xml:space="preserve">634 </v>
      </c>
    </row>
    <row r="11" spans="1:23" ht="97.2" thickBot="1" x14ac:dyDescent="0.3">
      <c r="A11" s="6">
        <v>10</v>
      </c>
      <c r="B11" s="6" t="s">
        <v>725</v>
      </c>
      <c r="C11" s="6" t="s">
        <v>726</v>
      </c>
      <c r="D11" s="6" t="s">
        <v>727</v>
      </c>
      <c r="E11" s="6" t="s">
        <v>728</v>
      </c>
      <c r="F11" s="6">
        <v>88</v>
      </c>
      <c r="G11" s="6">
        <v>105</v>
      </c>
      <c r="J11" s="39" t="s">
        <v>725</v>
      </c>
      <c r="K11" s="39" t="s">
        <v>2923</v>
      </c>
      <c r="L11" s="39">
        <v>10.71</v>
      </c>
      <c r="M11" s="39" t="s">
        <v>727</v>
      </c>
      <c r="N11" s="39" t="s">
        <v>728</v>
      </c>
      <c r="P11" s="39" t="s">
        <v>1155</v>
      </c>
      <c r="Q11" s="39" t="s">
        <v>2909</v>
      </c>
      <c r="R11" s="39">
        <v>55.3</v>
      </c>
      <c r="S11" s="39" t="s">
        <v>731</v>
      </c>
      <c r="T11" s="39" t="s">
        <v>732</v>
      </c>
      <c r="V11" t="str">
        <f t="shared" si="0"/>
        <v xml:space="preserve">3374 </v>
      </c>
      <c r="W11" t="str">
        <f t="shared" si="1"/>
        <v xml:space="preserve">4326 </v>
      </c>
    </row>
    <row r="12" spans="1:23" ht="97.2" thickBot="1" x14ac:dyDescent="0.3">
      <c r="A12" s="6">
        <v>11</v>
      </c>
      <c r="B12" s="6" t="s">
        <v>729</v>
      </c>
      <c r="C12" s="6" t="s">
        <v>730</v>
      </c>
      <c r="D12" s="6" t="s">
        <v>731</v>
      </c>
      <c r="E12" s="6" t="s">
        <v>732</v>
      </c>
      <c r="F12" s="6">
        <v>61</v>
      </c>
      <c r="G12" s="6">
        <v>78</v>
      </c>
      <c r="J12" s="39" t="s">
        <v>729</v>
      </c>
      <c r="K12" s="39" t="s">
        <v>2909</v>
      </c>
      <c r="L12" s="39">
        <v>55.3</v>
      </c>
      <c r="M12" s="39" t="s">
        <v>731</v>
      </c>
      <c r="N12" s="39" t="s">
        <v>732</v>
      </c>
      <c r="P12" s="39" t="s">
        <v>7859</v>
      </c>
      <c r="Q12" s="39" t="s">
        <v>2910</v>
      </c>
      <c r="R12" s="39" t="s">
        <v>2908</v>
      </c>
      <c r="S12" s="39" t="s">
        <v>2908</v>
      </c>
      <c r="T12" s="39" t="s">
        <v>2908</v>
      </c>
      <c r="V12" t="e">
        <f t="shared" si="0"/>
        <v>#N/A</v>
      </c>
      <c r="W12" t="e">
        <f t="shared" si="1"/>
        <v>#N/A</v>
      </c>
    </row>
    <row r="13" spans="1:23" ht="42" thickBot="1" x14ac:dyDescent="0.3">
      <c r="A13" s="6">
        <v>12</v>
      </c>
      <c r="B13" s="6" t="s">
        <v>733</v>
      </c>
      <c r="C13" s="6" t="s">
        <v>734</v>
      </c>
      <c r="D13" s="6" t="s">
        <v>735</v>
      </c>
      <c r="E13" s="6" t="s">
        <v>736</v>
      </c>
      <c r="F13" s="6">
        <v>73</v>
      </c>
      <c r="G13" s="6">
        <v>130</v>
      </c>
      <c r="J13" s="39" t="s">
        <v>733</v>
      </c>
      <c r="K13" s="39" t="s">
        <v>2023</v>
      </c>
      <c r="L13" s="39">
        <v>12.9</v>
      </c>
      <c r="M13" s="39" t="s">
        <v>735</v>
      </c>
      <c r="N13" s="39" t="s">
        <v>736</v>
      </c>
      <c r="P13" s="39" t="s">
        <v>709</v>
      </c>
      <c r="Q13" s="39" t="s">
        <v>2911</v>
      </c>
      <c r="R13" s="39">
        <v>1.5100000000000001E-2</v>
      </c>
      <c r="S13" s="39" t="s">
        <v>711</v>
      </c>
      <c r="T13" s="39" t="s">
        <v>712</v>
      </c>
      <c r="V13" t="str">
        <f t="shared" si="0"/>
        <v xml:space="preserve">2 </v>
      </c>
      <c r="W13" t="str">
        <f t="shared" si="1"/>
        <v xml:space="preserve">2 </v>
      </c>
    </row>
    <row r="14" spans="1:23" ht="97.2" thickBot="1" x14ac:dyDescent="0.3">
      <c r="A14" s="6">
        <v>13</v>
      </c>
      <c r="B14" s="6" t="s">
        <v>737</v>
      </c>
      <c r="C14" s="6" t="s">
        <v>738</v>
      </c>
      <c r="D14" s="6" t="s">
        <v>739</v>
      </c>
      <c r="E14" s="6" t="s">
        <v>740</v>
      </c>
      <c r="F14" s="6">
        <v>33</v>
      </c>
      <c r="G14" s="6">
        <v>49</v>
      </c>
      <c r="J14" s="39" t="s">
        <v>1032</v>
      </c>
      <c r="K14" s="39" t="s">
        <v>2024</v>
      </c>
      <c r="L14" s="39">
        <v>2517.16</v>
      </c>
      <c r="M14" s="39" t="s">
        <v>7806</v>
      </c>
      <c r="N14" s="39" t="s">
        <v>7807</v>
      </c>
      <c r="P14" s="39" t="s">
        <v>7860</v>
      </c>
      <c r="Q14" s="39" t="s">
        <v>7861</v>
      </c>
      <c r="R14" s="39" t="s">
        <v>2908</v>
      </c>
      <c r="S14" s="39" t="s">
        <v>2908</v>
      </c>
      <c r="T14" s="39" t="s">
        <v>2908</v>
      </c>
      <c r="V14" t="e">
        <f t="shared" si="0"/>
        <v>#N/A</v>
      </c>
      <c r="W14" t="e">
        <f t="shared" si="1"/>
        <v>#N/A</v>
      </c>
    </row>
    <row r="15" spans="1:23" ht="55.8" thickBot="1" x14ac:dyDescent="0.3">
      <c r="A15" s="6">
        <v>14</v>
      </c>
      <c r="B15" s="6" t="s">
        <v>741</v>
      </c>
      <c r="C15" s="6" t="s">
        <v>742</v>
      </c>
      <c r="D15" s="6" t="s">
        <v>743</v>
      </c>
      <c r="E15" s="6" t="s">
        <v>744</v>
      </c>
      <c r="F15" s="6">
        <v>31</v>
      </c>
      <c r="G15" s="6">
        <v>24</v>
      </c>
      <c r="J15" s="39" t="s">
        <v>741</v>
      </c>
      <c r="K15" s="39" t="s">
        <v>2915</v>
      </c>
      <c r="L15" s="39">
        <v>93.93</v>
      </c>
      <c r="M15" s="39" t="s">
        <v>743</v>
      </c>
      <c r="N15" s="39" t="s">
        <v>744</v>
      </c>
      <c r="P15" s="39" t="s">
        <v>749</v>
      </c>
      <c r="Q15" s="39" t="s">
        <v>2913</v>
      </c>
      <c r="R15" s="39">
        <v>41</v>
      </c>
      <c r="S15" s="39" t="s">
        <v>751</v>
      </c>
      <c r="T15" s="39" t="s">
        <v>752</v>
      </c>
      <c r="V15" t="str">
        <f t="shared" si="0"/>
        <v xml:space="preserve">336 </v>
      </c>
      <c r="W15" t="str">
        <f t="shared" si="1"/>
        <v xml:space="preserve">357 </v>
      </c>
    </row>
    <row r="16" spans="1:23" ht="42" thickBot="1" x14ac:dyDescent="0.3">
      <c r="A16" s="6">
        <v>15</v>
      </c>
      <c r="B16" s="6" t="s">
        <v>745</v>
      </c>
      <c r="C16" s="6" t="s">
        <v>746</v>
      </c>
      <c r="D16" s="6" t="s">
        <v>747</v>
      </c>
      <c r="E16" s="6" t="s">
        <v>748</v>
      </c>
      <c r="F16" s="6">
        <v>20</v>
      </c>
      <c r="G16" s="6">
        <v>25</v>
      </c>
      <c r="J16" s="39" t="s">
        <v>745</v>
      </c>
      <c r="K16" s="39" t="s">
        <v>2025</v>
      </c>
      <c r="L16" s="39">
        <v>2730</v>
      </c>
      <c r="M16" s="39" t="s">
        <v>7808</v>
      </c>
      <c r="N16" s="39" t="s">
        <v>7809</v>
      </c>
      <c r="P16" s="39" t="s">
        <v>970</v>
      </c>
      <c r="Q16" s="39" t="s">
        <v>2173</v>
      </c>
      <c r="R16" s="39" t="s">
        <v>2908</v>
      </c>
      <c r="S16" s="39" t="s">
        <v>2908</v>
      </c>
      <c r="T16" s="39" t="s">
        <v>2908</v>
      </c>
      <c r="V16" t="e">
        <f t="shared" si="0"/>
        <v>#N/A</v>
      </c>
      <c r="W16" t="e">
        <f t="shared" si="1"/>
        <v>#N/A</v>
      </c>
    </row>
    <row r="17" spans="1:23" ht="42" thickBot="1" x14ac:dyDescent="0.3">
      <c r="A17" s="6">
        <v>16</v>
      </c>
      <c r="B17" s="6" t="s">
        <v>749</v>
      </c>
      <c r="C17" s="6" t="s">
        <v>750</v>
      </c>
      <c r="D17" s="6" t="s">
        <v>751</v>
      </c>
      <c r="E17" s="6" t="s">
        <v>752</v>
      </c>
      <c r="F17" s="6">
        <v>8</v>
      </c>
      <c r="G17" s="6">
        <v>9</v>
      </c>
      <c r="J17" s="39" t="s">
        <v>749</v>
      </c>
      <c r="K17" s="39" t="s">
        <v>2913</v>
      </c>
      <c r="L17" s="39">
        <v>41</v>
      </c>
      <c r="M17" s="39" t="s">
        <v>751</v>
      </c>
      <c r="N17" s="39" t="s">
        <v>752</v>
      </c>
      <c r="P17" s="39" t="s">
        <v>793</v>
      </c>
      <c r="Q17" s="39" t="s">
        <v>2914</v>
      </c>
      <c r="R17" s="39">
        <v>678</v>
      </c>
      <c r="S17" s="39" t="s">
        <v>795</v>
      </c>
      <c r="T17" s="39" t="s">
        <v>796</v>
      </c>
      <c r="V17" t="str">
        <f t="shared" si="0"/>
        <v xml:space="preserve">675 </v>
      </c>
      <c r="W17" t="str">
        <f t="shared" si="1"/>
        <v xml:space="preserve">848 </v>
      </c>
    </row>
    <row r="18" spans="1:23" ht="69.599999999999994" thickBot="1" x14ac:dyDescent="0.3">
      <c r="A18" s="6">
        <v>17</v>
      </c>
      <c r="B18" s="6" t="s">
        <v>753</v>
      </c>
      <c r="C18" s="6" t="s">
        <v>754</v>
      </c>
      <c r="D18" s="6" t="s">
        <v>755</v>
      </c>
      <c r="E18" s="6" t="s">
        <v>756</v>
      </c>
      <c r="F18" s="6">
        <v>7</v>
      </c>
      <c r="G18" s="6">
        <v>7</v>
      </c>
      <c r="J18" s="39" t="s">
        <v>753</v>
      </c>
      <c r="K18" s="39" t="s">
        <v>2920</v>
      </c>
      <c r="L18" s="39">
        <v>262</v>
      </c>
      <c r="M18" s="39" t="s">
        <v>755</v>
      </c>
      <c r="N18" s="39" t="s">
        <v>756</v>
      </c>
      <c r="P18" s="39" t="s">
        <v>789</v>
      </c>
      <c r="Q18" s="39" t="s">
        <v>2029</v>
      </c>
      <c r="R18" s="39">
        <v>125</v>
      </c>
      <c r="S18" s="39" t="s">
        <v>791</v>
      </c>
      <c r="T18" s="39" t="s">
        <v>792</v>
      </c>
      <c r="V18" t="str">
        <f t="shared" si="0"/>
        <v xml:space="preserve">148 </v>
      </c>
      <c r="W18" t="str">
        <f t="shared" si="1"/>
        <v xml:space="preserve">213 </v>
      </c>
    </row>
    <row r="19" spans="1:23" ht="83.4" thickBot="1" x14ac:dyDescent="0.3">
      <c r="A19" s="6">
        <v>18</v>
      </c>
      <c r="B19" s="6" t="s">
        <v>757</v>
      </c>
      <c r="C19" s="6" t="s">
        <v>758</v>
      </c>
      <c r="D19" s="6" t="s">
        <v>759</v>
      </c>
      <c r="E19" s="6" t="s">
        <v>760</v>
      </c>
      <c r="F19" s="6">
        <v>4</v>
      </c>
      <c r="G19" s="6">
        <v>4</v>
      </c>
      <c r="J19" s="39" t="s">
        <v>757</v>
      </c>
      <c r="K19" s="39" t="s">
        <v>2924</v>
      </c>
      <c r="L19" s="39">
        <v>123</v>
      </c>
      <c r="M19" s="39" t="s">
        <v>759</v>
      </c>
      <c r="N19" s="39" t="s">
        <v>760</v>
      </c>
      <c r="P19" s="39" t="s">
        <v>785</v>
      </c>
      <c r="Q19" s="39" t="s">
        <v>2028</v>
      </c>
      <c r="R19" s="39">
        <v>407</v>
      </c>
      <c r="S19" s="39" t="s">
        <v>787</v>
      </c>
      <c r="T19" s="39" t="s">
        <v>788</v>
      </c>
      <c r="V19" t="str">
        <f t="shared" si="0"/>
        <v xml:space="preserve">515 </v>
      </c>
      <c r="W19" t="str">
        <f t="shared" si="1"/>
        <v xml:space="preserve">457 </v>
      </c>
    </row>
    <row r="20" spans="1:23" ht="55.8" thickBot="1" x14ac:dyDescent="0.3">
      <c r="A20" s="6">
        <v>19</v>
      </c>
      <c r="B20" s="6" t="s">
        <v>761</v>
      </c>
      <c r="C20" s="6" t="s">
        <v>762</v>
      </c>
      <c r="D20" s="6" t="s">
        <v>763</v>
      </c>
      <c r="E20" s="6" t="s">
        <v>764</v>
      </c>
      <c r="F20" s="6">
        <v>3</v>
      </c>
      <c r="G20" s="6">
        <v>4</v>
      </c>
      <c r="J20" s="39" t="s">
        <v>7810</v>
      </c>
      <c r="K20" s="39" t="s">
        <v>2026</v>
      </c>
      <c r="L20" s="39">
        <v>1045.47</v>
      </c>
      <c r="M20" s="39" t="s">
        <v>763</v>
      </c>
      <c r="N20" s="39" t="s">
        <v>764</v>
      </c>
      <c r="P20" s="39" t="s">
        <v>741</v>
      </c>
      <c r="Q20" s="39" t="s">
        <v>2915</v>
      </c>
      <c r="R20" s="39">
        <v>93.93</v>
      </c>
      <c r="S20" s="39" t="s">
        <v>743</v>
      </c>
      <c r="T20" s="39" t="s">
        <v>744</v>
      </c>
      <c r="V20" t="str">
        <f t="shared" si="0"/>
        <v xml:space="preserve">2885 </v>
      </c>
      <c r="W20" t="str">
        <f t="shared" si="1"/>
        <v xml:space="preserve">2236 </v>
      </c>
    </row>
    <row r="21" spans="1:23" ht="42" thickBot="1" x14ac:dyDescent="0.3">
      <c r="A21" s="6">
        <v>20</v>
      </c>
      <c r="B21" s="6" t="s">
        <v>765</v>
      </c>
      <c r="C21" s="6" t="s">
        <v>766</v>
      </c>
      <c r="D21" s="6" t="s">
        <v>767</v>
      </c>
      <c r="E21" s="6" t="s">
        <v>768</v>
      </c>
      <c r="F21" s="6">
        <v>4</v>
      </c>
      <c r="G21" s="6">
        <v>3</v>
      </c>
      <c r="J21" s="39" t="s">
        <v>765</v>
      </c>
      <c r="K21" s="39" t="s">
        <v>2916</v>
      </c>
      <c r="L21" s="39">
        <v>5370</v>
      </c>
      <c r="M21" s="39" t="s">
        <v>7811</v>
      </c>
      <c r="N21" s="39" t="s">
        <v>7812</v>
      </c>
      <c r="P21" s="39" t="s">
        <v>913</v>
      </c>
      <c r="Q21" s="39" t="s">
        <v>2318</v>
      </c>
      <c r="R21" s="39" t="s">
        <v>2908</v>
      </c>
      <c r="S21" s="39" t="s">
        <v>2908</v>
      </c>
      <c r="T21" s="39" t="s">
        <v>2908</v>
      </c>
      <c r="V21" t="e">
        <f t="shared" si="0"/>
        <v>#N/A</v>
      </c>
      <c r="W21" t="e">
        <f t="shared" si="1"/>
        <v>#N/A</v>
      </c>
    </row>
    <row r="22" spans="1:23" ht="69.599999999999994" thickBot="1" x14ac:dyDescent="0.3">
      <c r="A22" s="6">
        <v>21</v>
      </c>
      <c r="B22" s="6" t="s">
        <v>769</v>
      </c>
      <c r="C22" s="6" t="s">
        <v>770</v>
      </c>
      <c r="D22" s="6" t="s">
        <v>771</v>
      </c>
      <c r="E22" s="6" t="s">
        <v>772</v>
      </c>
      <c r="F22" s="6">
        <v>2</v>
      </c>
      <c r="G22" s="6">
        <v>2</v>
      </c>
      <c r="J22" s="39" t="s">
        <v>769</v>
      </c>
      <c r="K22" s="39" t="s">
        <v>3329</v>
      </c>
      <c r="L22" s="39">
        <v>179190.83</v>
      </c>
      <c r="M22" s="39" t="s">
        <v>7813</v>
      </c>
      <c r="N22" s="39" t="s">
        <v>7814</v>
      </c>
      <c r="P22" s="39" t="s">
        <v>977</v>
      </c>
      <c r="Q22" s="39" t="s">
        <v>2362</v>
      </c>
      <c r="R22" s="39" t="s">
        <v>2908</v>
      </c>
      <c r="S22" s="39" t="s">
        <v>2908</v>
      </c>
      <c r="T22" s="39" t="s">
        <v>2908</v>
      </c>
      <c r="V22" t="e">
        <f t="shared" si="0"/>
        <v>#N/A</v>
      </c>
      <c r="W22" t="e">
        <f t="shared" si="1"/>
        <v>#N/A</v>
      </c>
    </row>
    <row r="23" spans="1:23" ht="69.599999999999994" thickBot="1" x14ac:dyDescent="0.3">
      <c r="A23" s="6">
        <v>22</v>
      </c>
      <c r="B23" s="6" t="s">
        <v>773</v>
      </c>
      <c r="C23" s="6" t="s">
        <v>774</v>
      </c>
      <c r="D23" s="6" t="s">
        <v>775</v>
      </c>
      <c r="E23" s="6" t="s">
        <v>776</v>
      </c>
      <c r="F23" s="6">
        <v>2</v>
      </c>
      <c r="G23" s="6">
        <v>2</v>
      </c>
      <c r="J23" s="39" t="s">
        <v>773</v>
      </c>
      <c r="K23" s="39" t="s">
        <v>2925</v>
      </c>
      <c r="L23" s="39">
        <v>315</v>
      </c>
      <c r="M23" s="39" t="s">
        <v>775</v>
      </c>
      <c r="N23" s="39" t="s">
        <v>776</v>
      </c>
      <c r="P23" s="39" t="s">
        <v>745</v>
      </c>
      <c r="Q23" s="39" t="s">
        <v>2025</v>
      </c>
      <c r="R23" s="39">
        <v>2730</v>
      </c>
      <c r="S23" s="39" t="s">
        <v>7808</v>
      </c>
      <c r="T23" s="39" t="s">
        <v>7809</v>
      </c>
      <c r="V23" t="str">
        <f t="shared" si="0"/>
        <v xml:space="preserve">54922 </v>
      </c>
      <c r="W23" t="str">
        <f t="shared" si="1"/>
        <v xml:space="preserve">67567 </v>
      </c>
    </row>
    <row r="24" spans="1:23" ht="69.599999999999994" thickBot="1" x14ac:dyDescent="0.3">
      <c r="A24" s="6">
        <v>23</v>
      </c>
      <c r="B24" s="6" t="s">
        <v>777</v>
      </c>
      <c r="C24" s="6" t="s">
        <v>778</v>
      </c>
      <c r="D24" s="6" t="s">
        <v>779</v>
      </c>
      <c r="E24" s="6" t="s">
        <v>780</v>
      </c>
      <c r="F24" s="6">
        <v>1</v>
      </c>
      <c r="G24" s="6">
        <v>1</v>
      </c>
      <c r="J24" s="39" t="s">
        <v>777</v>
      </c>
      <c r="K24" s="39" t="s">
        <v>2027</v>
      </c>
      <c r="L24" s="39">
        <v>91</v>
      </c>
      <c r="M24" s="39" t="s">
        <v>779</v>
      </c>
      <c r="N24" s="39" t="s">
        <v>780</v>
      </c>
      <c r="P24" s="39" t="s">
        <v>765</v>
      </c>
      <c r="Q24" s="39" t="s">
        <v>2916</v>
      </c>
      <c r="R24" s="39">
        <v>5370</v>
      </c>
      <c r="S24" s="39" t="s">
        <v>7811</v>
      </c>
      <c r="T24" s="39" t="s">
        <v>7812</v>
      </c>
      <c r="V24" t="str">
        <f t="shared" si="0"/>
        <v xml:space="preserve">20155 </v>
      </c>
      <c r="W24" t="str">
        <f t="shared" si="1"/>
        <v xml:space="preserve">15678 </v>
      </c>
    </row>
    <row r="25" spans="1:23" ht="69.599999999999994" thickBot="1" x14ac:dyDescent="0.3">
      <c r="A25" s="6">
        <v>24</v>
      </c>
      <c r="B25" s="6" t="s">
        <v>781</v>
      </c>
      <c r="C25" s="6" t="s">
        <v>782</v>
      </c>
      <c r="D25" s="6" t="s">
        <v>783</v>
      </c>
      <c r="E25" s="6" t="s">
        <v>784</v>
      </c>
      <c r="F25" s="6">
        <v>1</v>
      </c>
      <c r="G25" s="6">
        <v>1</v>
      </c>
      <c r="J25" s="39" t="s">
        <v>781</v>
      </c>
      <c r="K25" s="39" t="s">
        <v>2878</v>
      </c>
      <c r="L25" s="39">
        <v>2000</v>
      </c>
      <c r="M25" s="39" t="s">
        <v>783</v>
      </c>
      <c r="N25" s="39" t="s">
        <v>784</v>
      </c>
      <c r="P25" s="39" t="s">
        <v>769</v>
      </c>
      <c r="Q25" s="39" t="s">
        <v>7862</v>
      </c>
      <c r="R25" s="39">
        <v>179190.83</v>
      </c>
      <c r="S25" s="39" t="s">
        <v>7813</v>
      </c>
      <c r="T25" s="39" t="s">
        <v>7814</v>
      </c>
      <c r="V25" t="str">
        <f t="shared" si="0"/>
        <v xml:space="preserve">379229 </v>
      </c>
      <c r="W25" t="str">
        <f t="shared" si="1"/>
        <v xml:space="preserve">316720 </v>
      </c>
    </row>
    <row r="26" spans="1:23" ht="55.8" thickBot="1" x14ac:dyDescent="0.3">
      <c r="A26" s="6">
        <v>25</v>
      </c>
      <c r="B26" s="6" t="s">
        <v>785</v>
      </c>
      <c r="C26" s="6" t="s">
        <v>786</v>
      </c>
      <c r="D26" s="6" t="s">
        <v>787</v>
      </c>
      <c r="E26" s="6" t="s">
        <v>788</v>
      </c>
      <c r="F26" s="6">
        <v>1</v>
      </c>
      <c r="G26" s="6">
        <v>1</v>
      </c>
      <c r="J26" s="39" t="s">
        <v>785</v>
      </c>
      <c r="K26" s="39" t="s">
        <v>2028</v>
      </c>
      <c r="L26" s="39">
        <v>407</v>
      </c>
      <c r="M26" s="39" t="s">
        <v>787</v>
      </c>
      <c r="N26" s="39" t="s">
        <v>788</v>
      </c>
      <c r="P26" s="39" t="s">
        <v>705</v>
      </c>
      <c r="Q26" s="39" t="s">
        <v>2918</v>
      </c>
      <c r="R26" s="39">
        <v>6.1199999999999996E-3</v>
      </c>
      <c r="S26" s="39" t="s">
        <v>707</v>
      </c>
      <c r="T26" s="39" t="s">
        <v>708</v>
      </c>
      <c r="V26" t="str">
        <f t="shared" si="0"/>
        <v xml:space="preserve">1 </v>
      </c>
      <c r="W26" t="str">
        <f t="shared" si="1"/>
        <v xml:space="preserve">1 </v>
      </c>
    </row>
    <row r="27" spans="1:23" ht="69.599999999999994" thickBot="1" x14ac:dyDescent="0.3">
      <c r="A27" s="6">
        <v>26</v>
      </c>
      <c r="B27" s="6" t="s">
        <v>789</v>
      </c>
      <c r="C27" s="6" t="s">
        <v>790</v>
      </c>
      <c r="D27" s="6" t="s">
        <v>791</v>
      </c>
      <c r="E27" s="6" t="s">
        <v>792</v>
      </c>
      <c r="F27" s="6">
        <v>1</v>
      </c>
      <c r="G27" s="6">
        <v>2</v>
      </c>
      <c r="J27" s="39" t="s">
        <v>789</v>
      </c>
      <c r="K27" s="39" t="s">
        <v>3747</v>
      </c>
      <c r="L27" s="39">
        <v>125</v>
      </c>
      <c r="M27" s="39" t="s">
        <v>791</v>
      </c>
      <c r="N27" s="39" t="s">
        <v>792</v>
      </c>
      <c r="P27" s="39" t="s">
        <v>44</v>
      </c>
      <c r="Q27" s="39" t="s">
        <v>2179</v>
      </c>
      <c r="R27" s="39" t="s">
        <v>2908</v>
      </c>
      <c r="S27" s="39" t="s">
        <v>2908</v>
      </c>
      <c r="T27" s="39" t="s">
        <v>2908</v>
      </c>
      <c r="V27" t="e">
        <f t="shared" si="0"/>
        <v>#N/A</v>
      </c>
      <c r="W27" t="e">
        <f t="shared" si="1"/>
        <v>#N/A</v>
      </c>
    </row>
    <row r="28" spans="1:23" ht="42" thickBot="1" x14ac:dyDescent="0.3">
      <c r="A28" s="6">
        <v>27</v>
      </c>
      <c r="B28" s="6" t="s">
        <v>793</v>
      </c>
      <c r="C28" s="6" t="s">
        <v>794</v>
      </c>
      <c r="D28" s="6" t="s">
        <v>795</v>
      </c>
      <c r="E28" s="6" t="s">
        <v>796</v>
      </c>
      <c r="F28" s="6">
        <v>1</v>
      </c>
      <c r="G28" s="6">
        <v>1</v>
      </c>
      <c r="J28" s="39" t="s">
        <v>793</v>
      </c>
      <c r="K28" s="39" t="s">
        <v>2914</v>
      </c>
      <c r="L28" s="39">
        <v>678</v>
      </c>
      <c r="M28" s="39" t="s">
        <v>795</v>
      </c>
      <c r="N28" s="39" t="s">
        <v>796</v>
      </c>
      <c r="P28" s="39" t="s">
        <v>1056</v>
      </c>
      <c r="Q28" s="39" t="s">
        <v>2358</v>
      </c>
      <c r="R28" s="39" t="s">
        <v>2908</v>
      </c>
      <c r="S28" s="39" t="s">
        <v>2908</v>
      </c>
      <c r="T28" s="39" t="s">
        <v>2908</v>
      </c>
      <c r="V28" t="e">
        <f t="shared" si="0"/>
        <v>#N/A</v>
      </c>
      <c r="W28" t="e">
        <f t="shared" si="1"/>
        <v>#N/A</v>
      </c>
    </row>
    <row r="29" spans="1:23" ht="42" thickBot="1" x14ac:dyDescent="0.3">
      <c r="A29" s="6">
        <v>28</v>
      </c>
      <c r="B29" s="6" t="s">
        <v>797</v>
      </c>
      <c r="C29" s="6" t="s">
        <v>798</v>
      </c>
      <c r="D29" s="6" t="s">
        <v>799</v>
      </c>
      <c r="E29" s="6" t="s">
        <v>800</v>
      </c>
      <c r="F29" s="6">
        <v>1</v>
      </c>
      <c r="G29" s="6">
        <v>1</v>
      </c>
      <c r="J29" s="39" t="s">
        <v>797</v>
      </c>
      <c r="K29" s="39" t="s">
        <v>2927</v>
      </c>
      <c r="L29" s="39">
        <v>4600</v>
      </c>
      <c r="M29" s="39" t="s">
        <v>799</v>
      </c>
      <c r="N29" s="39" t="s">
        <v>800</v>
      </c>
      <c r="P29" s="39" t="s">
        <v>7863</v>
      </c>
      <c r="Q29" s="39" t="s">
        <v>2359</v>
      </c>
      <c r="R29" s="39" t="s">
        <v>2908</v>
      </c>
      <c r="S29" s="39" t="s">
        <v>2908</v>
      </c>
      <c r="T29" s="39" t="s">
        <v>2908</v>
      </c>
      <c r="V29" t="e">
        <f t="shared" si="0"/>
        <v>#N/A</v>
      </c>
      <c r="W29" t="e">
        <f t="shared" si="1"/>
        <v>#N/A</v>
      </c>
    </row>
    <row r="30" spans="1:23" ht="55.8" thickBot="1" x14ac:dyDescent="0.3">
      <c r="J30" s="39" t="s">
        <v>1515</v>
      </c>
      <c r="K30" s="39" t="s">
        <v>2929</v>
      </c>
      <c r="L30" s="39">
        <v>909</v>
      </c>
      <c r="M30" s="39" t="s">
        <v>7815</v>
      </c>
      <c r="N30" s="39" t="s">
        <v>7816</v>
      </c>
      <c r="P30" s="39" t="s">
        <v>737</v>
      </c>
      <c r="Q30" s="39" t="s">
        <v>2024</v>
      </c>
      <c r="R30" s="39">
        <v>2517.16</v>
      </c>
      <c r="S30" s="39" t="s">
        <v>7806</v>
      </c>
      <c r="T30" s="39" t="s">
        <v>7807</v>
      </c>
      <c r="V30" t="str">
        <f t="shared" si="0"/>
        <v xml:space="preserve">82362 </v>
      </c>
      <c r="W30" t="str">
        <f t="shared" si="1"/>
        <v xml:space="preserve">123135 </v>
      </c>
    </row>
    <row r="31" spans="1:23" ht="97.2" thickBot="1" x14ac:dyDescent="0.3">
      <c r="J31" s="39" t="s">
        <v>978</v>
      </c>
      <c r="K31" s="39" t="s">
        <v>2365</v>
      </c>
      <c r="L31" s="39">
        <v>1500</v>
      </c>
      <c r="M31" s="39" t="s">
        <v>7817</v>
      </c>
      <c r="N31" s="39" t="s">
        <v>7818</v>
      </c>
      <c r="P31" s="39" t="s">
        <v>7864</v>
      </c>
      <c r="Q31" s="39" t="s">
        <v>2892</v>
      </c>
      <c r="R31" s="39" t="s">
        <v>2908</v>
      </c>
      <c r="S31" s="39" t="s">
        <v>2908</v>
      </c>
      <c r="T31" s="39" t="s">
        <v>2908</v>
      </c>
      <c r="V31" t="e">
        <f t="shared" si="0"/>
        <v>#N/A</v>
      </c>
      <c r="W31" t="e">
        <f t="shared" si="1"/>
        <v>#N/A</v>
      </c>
    </row>
    <row r="32" spans="1:23" ht="28.2" thickBot="1" x14ac:dyDescent="0.3">
      <c r="J32" s="39" t="s">
        <v>7819</v>
      </c>
      <c r="K32" s="39" t="s">
        <v>7820</v>
      </c>
      <c r="L32" s="39">
        <v>439</v>
      </c>
      <c r="M32" s="39" t="s">
        <v>7821</v>
      </c>
      <c r="N32" s="39" t="s">
        <v>7822</v>
      </c>
      <c r="P32" s="39" t="s">
        <v>717</v>
      </c>
      <c r="Q32" s="39" t="s">
        <v>2021</v>
      </c>
      <c r="R32" s="39">
        <v>389</v>
      </c>
      <c r="S32" s="39" t="s">
        <v>7802</v>
      </c>
      <c r="T32" s="39" t="s">
        <v>7803</v>
      </c>
      <c r="V32" t="str">
        <f t="shared" si="0"/>
        <v xml:space="preserve">49388 </v>
      </c>
      <c r="W32" t="str">
        <f t="shared" si="1"/>
        <v xml:space="preserve">57055 </v>
      </c>
    </row>
    <row r="33" spans="10:23" ht="28.2" thickBot="1" x14ac:dyDescent="0.3">
      <c r="J33" s="39" t="s">
        <v>1527</v>
      </c>
      <c r="K33" s="39" t="s">
        <v>2172</v>
      </c>
      <c r="L33" s="39">
        <v>167</v>
      </c>
      <c r="M33" s="39" t="s">
        <v>7823</v>
      </c>
      <c r="N33" s="39" t="s">
        <v>7824</v>
      </c>
      <c r="P33" s="39" t="s">
        <v>1034</v>
      </c>
      <c r="Q33" s="39" t="s">
        <v>2174</v>
      </c>
      <c r="R33" s="39" t="s">
        <v>2908</v>
      </c>
      <c r="S33" s="39" t="s">
        <v>2908</v>
      </c>
      <c r="T33" s="39" t="s">
        <v>2908</v>
      </c>
      <c r="V33" t="e">
        <f t="shared" si="0"/>
        <v>#N/A</v>
      </c>
      <c r="W33" t="e">
        <f t="shared" si="1"/>
        <v>#N/A</v>
      </c>
    </row>
    <row r="34" spans="10:23" ht="42" thickBot="1" x14ac:dyDescent="0.3">
      <c r="J34" s="39" t="s">
        <v>1029</v>
      </c>
      <c r="K34" s="39" t="s">
        <v>2177</v>
      </c>
      <c r="L34" s="39">
        <v>160000</v>
      </c>
      <c r="M34" s="39" t="s">
        <v>7825</v>
      </c>
      <c r="N34" s="39" t="s">
        <v>7826</v>
      </c>
      <c r="P34" s="39" t="s">
        <v>1265</v>
      </c>
      <c r="Q34" s="39" t="s">
        <v>2180</v>
      </c>
      <c r="R34" s="39">
        <v>13300</v>
      </c>
      <c r="S34" s="39" t="s">
        <v>7831</v>
      </c>
      <c r="T34" s="39" t="s">
        <v>7832</v>
      </c>
      <c r="V34" t="str">
        <f t="shared" si="0"/>
        <v xml:space="preserve">1937 </v>
      </c>
      <c r="W34" t="str">
        <f t="shared" si="1"/>
        <v xml:space="preserve">1731 </v>
      </c>
    </row>
    <row r="35" spans="10:23" ht="42" thickBot="1" x14ac:dyDescent="0.3">
      <c r="J35" s="39" t="s">
        <v>1152</v>
      </c>
      <c r="K35" s="39" t="s">
        <v>3276</v>
      </c>
      <c r="L35" s="39">
        <v>1430</v>
      </c>
      <c r="M35" s="39" t="s">
        <v>7827</v>
      </c>
      <c r="N35" s="39" t="s">
        <v>7828</v>
      </c>
      <c r="P35" s="39" t="s">
        <v>713</v>
      </c>
      <c r="Q35" s="39" t="s">
        <v>2020</v>
      </c>
      <c r="R35" s="39">
        <v>964</v>
      </c>
      <c r="S35" s="39" t="s">
        <v>7800</v>
      </c>
      <c r="T35" s="39" t="s">
        <v>7801</v>
      </c>
      <c r="V35" t="str">
        <f t="shared" si="0"/>
        <v xml:space="preserve">128673 </v>
      </c>
      <c r="W35" t="str">
        <f t="shared" si="1"/>
        <v xml:space="preserve">81517 </v>
      </c>
    </row>
    <row r="36" spans="10:23" ht="42" thickBot="1" x14ac:dyDescent="0.3">
      <c r="J36" s="39" t="s">
        <v>967</v>
      </c>
      <c r="K36" s="39" t="s">
        <v>2178</v>
      </c>
      <c r="L36" s="39">
        <v>13200</v>
      </c>
      <c r="M36" s="39" t="s">
        <v>7829</v>
      </c>
      <c r="N36" s="39" t="s">
        <v>7830</v>
      </c>
      <c r="P36" s="39" t="s">
        <v>1029</v>
      </c>
      <c r="Q36" s="39" t="s">
        <v>2177</v>
      </c>
      <c r="R36" s="39">
        <v>160000</v>
      </c>
      <c r="S36" s="39" t="s">
        <v>7825</v>
      </c>
      <c r="T36" s="39" t="s">
        <v>7826</v>
      </c>
      <c r="V36" t="str">
        <f t="shared" si="0"/>
        <v xml:space="preserve">35645 </v>
      </c>
      <c r="W36" t="str">
        <f t="shared" si="1"/>
        <v xml:space="preserve">41356 </v>
      </c>
    </row>
    <row r="37" spans="10:23" ht="55.8" thickBot="1" x14ac:dyDescent="0.3">
      <c r="J37" s="39" t="s">
        <v>1265</v>
      </c>
      <c r="K37" s="39" t="s">
        <v>2180</v>
      </c>
      <c r="L37" s="39">
        <v>13300</v>
      </c>
      <c r="M37" s="39" t="s">
        <v>7831</v>
      </c>
      <c r="N37" s="39" t="s">
        <v>7832</v>
      </c>
      <c r="P37" s="39" t="s">
        <v>843</v>
      </c>
      <c r="Q37" s="39" t="s">
        <v>2175</v>
      </c>
      <c r="R37" s="39" t="s">
        <v>2908</v>
      </c>
      <c r="S37" s="39" t="s">
        <v>2908</v>
      </c>
      <c r="T37" s="39" t="s">
        <v>2908</v>
      </c>
      <c r="V37" t="e">
        <f t="shared" si="0"/>
        <v>#N/A</v>
      </c>
      <c r="W37" t="e">
        <f t="shared" si="1"/>
        <v>#N/A</v>
      </c>
    </row>
    <row r="38" spans="10:23" ht="42" thickBot="1" x14ac:dyDescent="0.3">
      <c r="J38" s="39" t="s">
        <v>990</v>
      </c>
      <c r="K38" s="39" t="s">
        <v>2382</v>
      </c>
      <c r="L38" s="39">
        <v>3150.61</v>
      </c>
      <c r="M38" s="39" t="s">
        <v>7833</v>
      </c>
      <c r="N38" s="39" t="s">
        <v>7834</v>
      </c>
      <c r="P38" s="39" t="s">
        <v>761</v>
      </c>
      <c r="Q38" s="39" t="s">
        <v>2919</v>
      </c>
      <c r="R38" s="39">
        <v>1045.47</v>
      </c>
      <c r="S38" s="39" t="s">
        <v>763</v>
      </c>
      <c r="T38" s="39" t="s">
        <v>764</v>
      </c>
      <c r="V38" t="str">
        <f t="shared" si="0"/>
        <v xml:space="preserve">3123 </v>
      </c>
      <c r="W38" t="str">
        <f t="shared" si="1"/>
        <v xml:space="preserve">4507 </v>
      </c>
    </row>
    <row r="39" spans="10:23" ht="42" thickBot="1" x14ac:dyDescent="0.3">
      <c r="J39" s="39" t="s">
        <v>7835</v>
      </c>
      <c r="K39" s="39" t="s">
        <v>7836</v>
      </c>
      <c r="L39" s="39">
        <v>128000</v>
      </c>
      <c r="M39" s="39" t="s">
        <v>7837</v>
      </c>
      <c r="N39" s="39" t="s">
        <v>7838</v>
      </c>
      <c r="P39" s="39" t="s">
        <v>753</v>
      </c>
      <c r="Q39" s="39" t="s">
        <v>2920</v>
      </c>
      <c r="R39" s="39">
        <v>262</v>
      </c>
      <c r="S39" s="39" t="s">
        <v>755</v>
      </c>
      <c r="T39" s="39" t="s">
        <v>756</v>
      </c>
      <c r="V39" t="str">
        <f t="shared" si="0"/>
        <v xml:space="preserve">1733 </v>
      </c>
      <c r="W39" t="str">
        <f t="shared" si="1"/>
        <v xml:space="preserve">1783 </v>
      </c>
    </row>
    <row r="40" spans="10:23" ht="42" thickBot="1" x14ac:dyDescent="0.3">
      <c r="J40" s="39" t="s">
        <v>7835</v>
      </c>
      <c r="K40" s="39" t="s">
        <v>7836</v>
      </c>
      <c r="L40" s="39">
        <v>12800</v>
      </c>
      <c r="M40" s="39" t="s">
        <v>7839</v>
      </c>
      <c r="N40" s="39" t="s">
        <v>7840</v>
      </c>
      <c r="P40" s="39" t="s">
        <v>920</v>
      </c>
      <c r="Q40" s="39" t="s">
        <v>2320</v>
      </c>
      <c r="R40" s="39" t="s">
        <v>2908</v>
      </c>
      <c r="S40" s="39" t="s">
        <v>2908</v>
      </c>
      <c r="T40" s="39" t="s">
        <v>2908</v>
      </c>
      <c r="V40" t="e">
        <f t="shared" si="0"/>
        <v>#N/A</v>
      </c>
      <c r="W40" t="e">
        <f t="shared" si="1"/>
        <v>#N/A</v>
      </c>
    </row>
    <row r="41" spans="10:23" ht="42" thickBot="1" x14ac:dyDescent="0.3">
      <c r="J41" s="39" t="s">
        <v>1160</v>
      </c>
      <c r="K41" s="39" t="s">
        <v>3296</v>
      </c>
      <c r="L41" s="39">
        <v>28900</v>
      </c>
      <c r="M41" s="39" t="s">
        <v>7841</v>
      </c>
      <c r="N41" s="39" t="s">
        <v>7842</v>
      </c>
      <c r="P41" s="39" t="s">
        <v>1217</v>
      </c>
      <c r="Q41" s="39" t="s">
        <v>2857</v>
      </c>
      <c r="R41" s="39" t="s">
        <v>2908</v>
      </c>
      <c r="S41" s="39" t="s">
        <v>2908</v>
      </c>
      <c r="T41" s="39" t="s">
        <v>2908</v>
      </c>
      <c r="V41" t="e">
        <f t="shared" si="0"/>
        <v>#N/A</v>
      </c>
      <c r="W41" t="e">
        <f t="shared" si="1"/>
        <v>#N/A</v>
      </c>
    </row>
    <row r="42" spans="10:23" ht="42" thickBot="1" x14ac:dyDescent="0.3">
      <c r="J42" s="39" t="s">
        <v>7843</v>
      </c>
      <c r="K42" s="39" t="s">
        <v>2966</v>
      </c>
      <c r="L42" s="39">
        <v>80073.16</v>
      </c>
      <c r="M42" s="39" t="s">
        <v>7844</v>
      </c>
      <c r="N42" s="39" t="s">
        <v>7845</v>
      </c>
      <c r="P42" s="39" t="s">
        <v>1969</v>
      </c>
      <c r="Q42" s="39" t="s">
        <v>2921</v>
      </c>
      <c r="R42" s="39" t="s">
        <v>2908</v>
      </c>
      <c r="S42" s="39" t="s">
        <v>2908</v>
      </c>
      <c r="T42" s="39" t="s">
        <v>2908</v>
      </c>
      <c r="V42" t="e">
        <f t="shared" si="0"/>
        <v>#N/A</v>
      </c>
      <c r="W42" t="e">
        <f t="shared" si="1"/>
        <v>#N/A</v>
      </c>
    </row>
    <row r="43" spans="10:23" ht="42" thickBot="1" x14ac:dyDescent="0.3">
      <c r="J43" s="39" t="s">
        <v>998</v>
      </c>
      <c r="K43" s="39" t="s">
        <v>2958</v>
      </c>
      <c r="L43" s="39">
        <v>353193</v>
      </c>
      <c r="M43" s="39" t="s">
        <v>7846</v>
      </c>
      <c r="N43" s="39" t="s">
        <v>7847</v>
      </c>
      <c r="P43" s="39" t="s">
        <v>940</v>
      </c>
      <c r="Q43" s="39" t="s">
        <v>2922</v>
      </c>
      <c r="R43" s="39" t="s">
        <v>2908</v>
      </c>
      <c r="S43" s="39" t="s">
        <v>2908</v>
      </c>
      <c r="T43" s="39" t="s">
        <v>2908</v>
      </c>
      <c r="V43" t="e">
        <f t="shared" si="0"/>
        <v>#N/A</v>
      </c>
      <c r="W43" t="e">
        <f t="shared" si="1"/>
        <v>#N/A</v>
      </c>
    </row>
    <row r="44" spans="10:23" ht="42" thickBot="1" x14ac:dyDescent="0.3">
      <c r="J44" s="39" t="s">
        <v>7848</v>
      </c>
      <c r="K44" s="39" t="s">
        <v>3215</v>
      </c>
      <c r="L44" s="39" t="s">
        <v>3642</v>
      </c>
      <c r="M44" s="39" t="s">
        <v>7849</v>
      </c>
      <c r="N44" s="39" t="s">
        <v>7850</v>
      </c>
      <c r="P44" s="39" t="s">
        <v>943</v>
      </c>
      <c r="Q44" s="39" t="s">
        <v>2341</v>
      </c>
      <c r="R44" s="39" t="s">
        <v>2908</v>
      </c>
      <c r="S44" s="39" t="s">
        <v>2908</v>
      </c>
      <c r="T44" s="39" t="s">
        <v>2908</v>
      </c>
      <c r="V44" t="e">
        <f t="shared" si="0"/>
        <v>#N/A</v>
      </c>
      <c r="W44" t="e">
        <f t="shared" si="1"/>
        <v>#N/A</v>
      </c>
    </row>
    <row r="45" spans="10:23" ht="55.8" thickBot="1" x14ac:dyDescent="0.3">
      <c r="J45" s="39" t="s">
        <v>7851</v>
      </c>
      <c r="K45" s="39" t="s">
        <v>7852</v>
      </c>
      <c r="L45" s="39" t="s">
        <v>3642</v>
      </c>
      <c r="M45" s="39" t="s">
        <v>7853</v>
      </c>
      <c r="N45" s="39" t="s">
        <v>7854</v>
      </c>
      <c r="P45" s="39" t="s">
        <v>7865</v>
      </c>
      <c r="Q45" s="39" t="s">
        <v>2161</v>
      </c>
      <c r="R45" s="39">
        <v>0.4</v>
      </c>
      <c r="S45" s="39" t="s">
        <v>703</v>
      </c>
      <c r="T45" s="39" t="s">
        <v>704</v>
      </c>
      <c r="V45" t="str">
        <f t="shared" si="0"/>
        <v xml:space="preserve">139 </v>
      </c>
      <c r="W45" t="str">
        <f t="shared" si="1"/>
        <v xml:space="preserve">136 </v>
      </c>
    </row>
    <row r="46" spans="10:23" ht="55.8" thickBot="1" x14ac:dyDescent="0.3">
      <c r="P46" s="39" t="s">
        <v>725</v>
      </c>
      <c r="Q46" s="39" t="s">
        <v>7866</v>
      </c>
      <c r="R46" s="39">
        <v>10.71</v>
      </c>
      <c r="S46" s="39" t="s">
        <v>727</v>
      </c>
      <c r="T46" s="39" t="s">
        <v>728</v>
      </c>
      <c r="V46" t="str">
        <f t="shared" si="0"/>
        <v xml:space="preserve">940 </v>
      </c>
      <c r="W46" t="str">
        <f t="shared" si="1"/>
        <v xml:space="preserve">1121 </v>
      </c>
    </row>
    <row r="47" spans="10:23" ht="83.4" thickBot="1" x14ac:dyDescent="0.3">
      <c r="P47" s="39" t="s">
        <v>757</v>
      </c>
      <c r="Q47" s="39" t="s">
        <v>2924</v>
      </c>
      <c r="R47" s="39">
        <v>123</v>
      </c>
      <c r="S47" s="39" t="s">
        <v>759</v>
      </c>
      <c r="T47" s="39" t="s">
        <v>760</v>
      </c>
      <c r="V47" t="str">
        <f t="shared" si="0"/>
        <v xml:space="preserve">524 </v>
      </c>
      <c r="W47" t="str">
        <f t="shared" si="1"/>
        <v xml:space="preserve">526 </v>
      </c>
    </row>
    <row r="48" spans="10:23" ht="69.599999999999994" thickBot="1" x14ac:dyDescent="0.3">
      <c r="P48" s="39" t="s">
        <v>773</v>
      </c>
      <c r="Q48" s="39" t="s">
        <v>2925</v>
      </c>
      <c r="R48" s="39">
        <v>315</v>
      </c>
      <c r="S48" s="39" t="s">
        <v>775</v>
      </c>
      <c r="T48" s="39" t="s">
        <v>776</v>
      </c>
      <c r="V48" t="str">
        <f t="shared" si="0"/>
        <v xml:space="preserve">579 </v>
      </c>
      <c r="W48" t="str">
        <f t="shared" si="1"/>
        <v xml:space="preserve">579 </v>
      </c>
    </row>
    <row r="49" spans="16:23" ht="69.599999999999994" thickBot="1" x14ac:dyDescent="0.3">
      <c r="P49" s="39" t="s">
        <v>7867</v>
      </c>
      <c r="Q49" s="39" t="s">
        <v>2027</v>
      </c>
      <c r="R49" s="39">
        <v>91</v>
      </c>
      <c r="S49" s="39" t="s">
        <v>779</v>
      </c>
      <c r="T49" s="39" t="s">
        <v>780</v>
      </c>
      <c r="V49" t="str">
        <f t="shared" si="0"/>
        <v xml:space="preserve">130 </v>
      </c>
      <c r="W49" t="str">
        <f t="shared" si="1"/>
        <v xml:space="preserve">13 </v>
      </c>
    </row>
    <row r="50" spans="16:23" ht="42" thickBot="1" x14ac:dyDescent="0.3">
      <c r="P50" s="39" t="s">
        <v>781</v>
      </c>
      <c r="Q50" s="39" t="s">
        <v>2878</v>
      </c>
      <c r="R50" s="39">
        <v>2000</v>
      </c>
      <c r="S50" s="39" t="s">
        <v>783</v>
      </c>
      <c r="T50" s="39" t="s">
        <v>784</v>
      </c>
      <c r="V50" t="str">
        <f t="shared" si="0"/>
        <v xml:space="preserve">2533 </v>
      </c>
      <c r="W50" t="str">
        <f t="shared" si="1"/>
        <v xml:space="preserve">2505 </v>
      </c>
    </row>
    <row r="51" spans="16:23" ht="42" thickBot="1" x14ac:dyDescent="0.3">
      <c r="P51" s="39" t="s">
        <v>797</v>
      </c>
      <c r="Q51" s="39" t="s">
        <v>2927</v>
      </c>
      <c r="R51" s="39">
        <v>4600</v>
      </c>
      <c r="S51" s="39" t="s">
        <v>799</v>
      </c>
      <c r="T51" s="39" t="s">
        <v>800</v>
      </c>
      <c r="V51" t="str">
        <f t="shared" si="0"/>
        <v xml:space="preserve">4971 </v>
      </c>
      <c r="W51" t="str">
        <f t="shared" si="1"/>
        <v xml:space="preserve">4316 </v>
      </c>
    </row>
    <row r="52" spans="16:23" ht="42" thickBot="1" x14ac:dyDescent="0.3">
      <c r="P52" s="39" t="s">
        <v>894</v>
      </c>
      <c r="Q52" s="39" t="s">
        <v>2164</v>
      </c>
      <c r="R52" s="39" t="s">
        <v>2908</v>
      </c>
      <c r="S52" s="39" t="s">
        <v>2908</v>
      </c>
      <c r="T52" s="39" t="s">
        <v>2908</v>
      </c>
      <c r="V52" t="e">
        <f t="shared" si="0"/>
        <v>#N/A</v>
      </c>
      <c r="W52" t="e">
        <f t="shared" si="1"/>
        <v>#N/A</v>
      </c>
    </row>
    <row r="53" spans="16:23" ht="69.599999999999994" thickBot="1" x14ac:dyDescent="0.3">
      <c r="P53" s="39" t="s">
        <v>1127</v>
      </c>
      <c r="Q53" s="39" t="s">
        <v>2170</v>
      </c>
      <c r="R53" s="39" t="s">
        <v>2908</v>
      </c>
      <c r="S53" s="39" t="s">
        <v>2908</v>
      </c>
      <c r="T53" s="39" t="s">
        <v>2908</v>
      </c>
      <c r="V53" t="e">
        <f t="shared" si="0"/>
        <v>#N/A</v>
      </c>
      <c r="W53" t="e">
        <f t="shared" si="1"/>
        <v>#N/A</v>
      </c>
    </row>
    <row r="54" spans="16:23" ht="28.2" thickBot="1" x14ac:dyDescent="0.3">
      <c r="P54" s="39" t="s">
        <v>32</v>
      </c>
      <c r="Q54" s="39" t="s">
        <v>2172</v>
      </c>
      <c r="R54" s="39">
        <v>167</v>
      </c>
      <c r="S54" s="39" t="s">
        <v>7823</v>
      </c>
      <c r="T54" s="39" t="s">
        <v>7824</v>
      </c>
      <c r="V54" t="str">
        <f t="shared" si="0"/>
        <v xml:space="preserve">95 </v>
      </c>
      <c r="W54" t="str">
        <f t="shared" si="1"/>
        <v xml:space="preserve">103 </v>
      </c>
    </row>
    <row r="55" spans="16:23" ht="55.8" thickBot="1" x14ac:dyDescent="0.3">
      <c r="P55" s="39" t="s">
        <v>843</v>
      </c>
      <c r="Q55" s="39" t="s">
        <v>7868</v>
      </c>
      <c r="R55" s="39" t="s">
        <v>2908</v>
      </c>
      <c r="S55" s="39" t="s">
        <v>2908</v>
      </c>
      <c r="T55" s="39" t="s">
        <v>2908</v>
      </c>
      <c r="V55" t="e">
        <f t="shared" si="0"/>
        <v>#N/A</v>
      </c>
      <c r="W55" t="e">
        <f t="shared" si="1"/>
        <v>#N/A</v>
      </c>
    </row>
    <row r="56" spans="16:23" ht="55.8" thickBot="1" x14ac:dyDescent="0.3">
      <c r="P56" s="39" t="s">
        <v>1515</v>
      </c>
      <c r="Q56" s="39" t="s">
        <v>2929</v>
      </c>
      <c r="R56" s="39">
        <v>909</v>
      </c>
      <c r="S56" s="39" t="s">
        <v>7815</v>
      </c>
      <c r="T56" s="39" t="s">
        <v>7816</v>
      </c>
      <c r="V56" t="str">
        <f t="shared" si="0"/>
        <v xml:space="preserve">510 </v>
      </c>
      <c r="W56" t="str">
        <f t="shared" si="1"/>
        <v xml:space="preserve">493 </v>
      </c>
    </row>
    <row r="57" spans="16:23" ht="69.599999999999994" thickBot="1" x14ac:dyDescent="0.3">
      <c r="P57" s="39" t="s">
        <v>862</v>
      </c>
      <c r="Q57" s="39" t="s">
        <v>2183</v>
      </c>
      <c r="R57" s="39" t="s">
        <v>2908</v>
      </c>
      <c r="S57" s="39" t="s">
        <v>2908</v>
      </c>
      <c r="T57" s="39" t="s">
        <v>2908</v>
      </c>
      <c r="V57" t="e">
        <f t="shared" si="0"/>
        <v>#N/A</v>
      </c>
      <c r="W57" t="e">
        <f t="shared" si="1"/>
        <v>#N/A</v>
      </c>
    </row>
    <row r="58" spans="16:23" ht="42" thickBot="1" x14ac:dyDescent="0.3">
      <c r="P58" s="39" t="s">
        <v>7869</v>
      </c>
      <c r="Q58" s="39" t="s">
        <v>2185</v>
      </c>
      <c r="R58" s="39" t="s">
        <v>2908</v>
      </c>
      <c r="S58" s="39" t="s">
        <v>2908</v>
      </c>
      <c r="T58" s="39" t="s">
        <v>2908</v>
      </c>
      <c r="V58" t="e">
        <f t="shared" si="0"/>
        <v>#N/A</v>
      </c>
      <c r="W58" t="e">
        <f t="shared" si="1"/>
        <v>#N/A</v>
      </c>
    </row>
    <row r="59" spans="16:23" ht="42" thickBot="1" x14ac:dyDescent="0.3">
      <c r="P59" s="39" t="s">
        <v>1016</v>
      </c>
      <c r="Q59" s="39" t="s">
        <v>2930</v>
      </c>
      <c r="R59" s="39" t="s">
        <v>2908</v>
      </c>
      <c r="S59" s="39" t="s">
        <v>2908</v>
      </c>
      <c r="T59" s="39" t="s">
        <v>2908</v>
      </c>
      <c r="V59" t="e">
        <f t="shared" si="0"/>
        <v>#N/A</v>
      </c>
      <c r="W59" t="e">
        <f t="shared" si="1"/>
        <v>#N/A</v>
      </c>
    </row>
    <row r="60" spans="16:23" ht="28.2" thickBot="1" x14ac:dyDescent="0.3">
      <c r="P60" s="39" t="s">
        <v>929</v>
      </c>
      <c r="Q60" s="39" t="s">
        <v>2331</v>
      </c>
      <c r="R60" s="39" t="s">
        <v>2908</v>
      </c>
      <c r="S60" s="39" t="s">
        <v>2908</v>
      </c>
      <c r="T60" s="39" t="s">
        <v>2908</v>
      </c>
      <c r="V60" t="e">
        <f t="shared" si="0"/>
        <v>#N/A</v>
      </c>
      <c r="W60" t="e">
        <f t="shared" si="1"/>
        <v>#N/A</v>
      </c>
    </row>
    <row r="61" spans="16:23" ht="55.8" thickBot="1" x14ac:dyDescent="0.3">
      <c r="P61" s="39" t="s">
        <v>956</v>
      </c>
      <c r="Q61" s="39" t="s">
        <v>2337</v>
      </c>
      <c r="R61" s="39" t="s">
        <v>2908</v>
      </c>
      <c r="S61" s="39" t="s">
        <v>2908</v>
      </c>
      <c r="T61" s="39" t="s">
        <v>2908</v>
      </c>
      <c r="V61" t="e">
        <f t="shared" si="0"/>
        <v>#N/A</v>
      </c>
      <c r="W61" t="e">
        <f t="shared" si="1"/>
        <v>#N/A</v>
      </c>
    </row>
    <row r="62" spans="16:23" ht="42" thickBot="1" x14ac:dyDescent="0.3">
      <c r="P62" s="39" t="s">
        <v>978</v>
      </c>
      <c r="Q62" s="39" t="s">
        <v>2365</v>
      </c>
      <c r="R62" s="39">
        <v>1500</v>
      </c>
      <c r="S62" s="39" t="s">
        <v>7817</v>
      </c>
      <c r="T62" s="39" t="s">
        <v>7818</v>
      </c>
      <c r="V62" t="str">
        <f t="shared" si="0"/>
        <v xml:space="preserve">762 </v>
      </c>
      <c r="W62" t="str">
        <f t="shared" si="1"/>
        <v xml:space="preserve">756 </v>
      </c>
    </row>
    <row r="63" spans="16:23" ht="42" thickBot="1" x14ac:dyDescent="0.3">
      <c r="P63" s="39" t="s">
        <v>996</v>
      </c>
      <c r="Q63" s="39" t="s">
        <v>2186</v>
      </c>
      <c r="R63" s="39" t="s">
        <v>2908</v>
      </c>
      <c r="S63" s="39" t="s">
        <v>2908</v>
      </c>
      <c r="T63" s="39" t="s">
        <v>2908</v>
      </c>
      <c r="V63" t="e">
        <f t="shared" si="0"/>
        <v>#N/A</v>
      </c>
      <c r="W63" t="e">
        <f t="shared" si="1"/>
        <v>#N/A</v>
      </c>
    </row>
    <row r="64" spans="16:23" ht="42" thickBot="1" x14ac:dyDescent="0.3">
      <c r="P64" s="39" t="s">
        <v>990</v>
      </c>
      <c r="Q64" s="39" t="s">
        <v>2382</v>
      </c>
      <c r="R64" s="39">
        <v>3150.61</v>
      </c>
      <c r="S64" s="39" t="s">
        <v>7833</v>
      </c>
      <c r="T64" s="39" t="s">
        <v>7834</v>
      </c>
      <c r="V64" t="str">
        <f t="shared" si="0"/>
        <v xml:space="preserve">429 </v>
      </c>
      <c r="W64" t="str">
        <f t="shared" si="1"/>
        <v xml:space="preserve">446 </v>
      </c>
    </row>
    <row r="65" spans="16:23" ht="42" thickBot="1" x14ac:dyDescent="0.3">
      <c r="P65" s="39" t="s">
        <v>1311</v>
      </c>
      <c r="Q65" s="39" t="s">
        <v>2393</v>
      </c>
      <c r="R65" s="39" t="s">
        <v>2908</v>
      </c>
      <c r="S65" s="39" t="s">
        <v>2908</v>
      </c>
      <c r="T65" s="39" t="s">
        <v>2908</v>
      </c>
      <c r="V65" t="e">
        <f t="shared" si="0"/>
        <v>#N/A</v>
      </c>
      <c r="W65" t="e">
        <f t="shared" si="1"/>
        <v>#N/A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FE34-F282-4314-9B6B-A079974637BE}">
  <dimension ref="A1:U70"/>
  <sheetViews>
    <sheetView workbookViewId="0">
      <selection activeCell="T2" sqref="T2:U64"/>
    </sheetView>
  </sheetViews>
  <sheetFormatPr defaultRowHeight="13.8" x14ac:dyDescent="0.25"/>
  <sheetData>
    <row r="1" spans="1:21" ht="83.4" thickBot="1" x14ac:dyDescent="0.3">
      <c r="A1" s="6" t="s">
        <v>887</v>
      </c>
      <c r="B1" s="6" t="s">
        <v>888</v>
      </c>
      <c r="C1" s="6" t="s">
        <v>889</v>
      </c>
      <c r="D1" s="6" t="s">
        <v>890</v>
      </c>
      <c r="E1" s="6" t="s">
        <v>891</v>
      </c>
      <c r="H1" s="38" t="s">
        <v>7789</v>
      </c>
      <c r="I1" s="38" t="s">
        <v>7790</v>
      </c>
      <c r="J1" s="38" t="s">
        <v>7870</v>
      </c>
      <c r="K1" s="38" t="s">
        <v>7871</v>
      </c>
      <c r="L1" s="38" t="s">
        <v>7872</v>
      </c>
      <c r="O1" s="38" t="s">
        <v>7789</v>
      </c>
      <c r="P1" s="38" t="s">
        <v>7790</v>
      </c>
      <c r="Q1" s="38" t="s">
        <v>7871</v>
      </c>
      <c r="R1" s="38" t="s">
        <v>7872</v>
      </c>
    </row>
    <row r="2" spans="1:21" ht="42" thickBot="1" x14ac:dyDescent="0.3">
      <c r="A2" s="6">
        <v>1</v>
      </c>
      <c r="B2" s="6" t="s">
        <v>721</v>
      </c>
      <c r="C2" s="6">
        <v>32551.599999999999</v>
      </c>
      <c r="D2" s="6" t="s">
        <v>892</v>
      </c>
      <c r="E2" s="6" t="s">
        <v>893</v>
      </c>
      <c r="H2" s="39" t="s">
        <v>972</v>
      </c>
      <c r="I2" s="39" t="s">
        <v>3856</v>
      </c>
      <c r="J2" s="39" t="s">
        <v>6577</v>
      </c>
      <c r="K2" s="39" t="s">
        <v>7873</v>
      </c>
      <c r="L2" s="39" t="s">
        <v>7874</v>
      </c>
      <c r="O2" s="39" t="s">
        <v>689</v>
      </c>
      <c r="P2" s="39" t="s">
        <v>2017</v>
      </c>
      <c r="Q2" s="39" t="s">
        <v>7896</v>
      </c>
      <c r="R2" s="39" t="s">
        <v>7897</v>
      </c>
      <c r="T2" t="str">
        <f>_xlfn.TEXTBEFORE(Q2,"±")</f>
        <v xml:space="preserve">211566.23 </v>
      </c>
      <c r="U2" t="str">
        <f>_xlfn.TEXTBEFORE(R2,"±")</f>
        <v xml:space="preserve">222505.26 </v>
      </c>
    </row>
    <row r="3" spans="1:21" ht="69.599999999999994" thickBot="1" x14ac:dyDescent="0.3">
      <c r="A3" s="6">
        <v>2</v>
      </c>
      <c r="B3" s="6" t="s">
        <v>894</v>
      </c>
      <c r="C3" s="6">
        <v>57.47</v>
      </c>
      <c r="D3" s="6" t="s">
        <v>895</v>
      </c>
      <c r="E3" s="6" t="s">
        <v>896</v>
      </c>
      <c r="H3" s="39" t="s">
        <v>721</v>
      </c>
      <c r="I3" s="39" t="s">
        <v>2022</v>
      </c>
      <c r="J3" s="39" t="s">
        <v>1274</v>
      </c>
      <c r="K3" s="39" t="s">
        <v>7875</v>
      </c>
      <c r="L3" s="39" t="s">
        <v>7876</v>
      </c>
      <c r="O3" s="39" t="s">
        <v>7855</v>
      </c>
      <c r="P3" s="39" t="s">
        <v>7856</v>
      </c>
      <c r="Q3" s="39" t="s">
        <v>7885</v>
      </c>
      <c r="R3" s="39" t="s">
        <v>7886</v>
      </c>
      <c r="T3" t="str">
        <f t="shared" ref="T3:T64" si="0">_xlfn.TEXTBEFORE(Q3,"±")</f>
        <v xml:space="preserve">354.29 </v>
      </c>
      <c r="U3" t="str">
        <f t="shared" ref="U3:U64" si="1">_xlfn.TEXTBEFORE(R3,"±")</f>
        <v xml:space="preserve">390.85 </v>
      </c>
    </row>
    <row r="4" spans="1:21" ht="42" thickBot="1" x14ac:dyDescent="0.3">
      <c r="A4" s="6">
        <v>3</v>
      </c>
      <c r="B4" s="6" t="s">
        <v>693</v>
      </c>
      <c r="C4" s="6">
        <v>81.5</v>
      </c>
      <c r="D4" s="6" t="s">
        <v>897</v>
      </c>
      <c r="E4" s="6" t="s">
        <v>898</v>
      </c>
      <c r="H4" s="39" t="s">
        <v>7877</v>
      </c>
      <c r="I4" s="39" t="s">
        <v>3392</v>
      </c>
      <c r="J4" s="39" t="s">
        <v>7878</v>
      </c>
      <c r="K4" s="39" t="s">
        <v>7879</v>
      </c>
      <c r="L4" s="39" t="s">
        <v>7880</v>
      </c>
      <c r="O4" s="39" t="s">
        <v>693</v>
      </c>
      <c r="P4" s="39" t="s">
        <v>2018</v>
      </c>
      <c r="Q4" s="39" t="s">
        <v>7883</v>
      </c>
      <c r="R4" s="39" t="s">
        <v>7884</v>
      </c>
      <c r="T4" t="str">
        <f t="shared" si="0"/>
        <v xml:space="preserve">10833.05 </v>
      </c>
      <c r="U4" t="str">
        <f t="shared" si="1"/>
        <v xml:space="preserve">10948.04 </v>
      </c>
    </row>
    <row r="5" spans="1:21" ht="42" thickBot="1" x14ac:dyDescent="0.3">
      <c r="A5" s="6">
        <v>4</v>
      </c>
      <c r="B5" s="6" t="s">
        <v>19</v>
      </c>
      <c r="C5" s="6">
        <v>6.89</v>
      </c>
      <c r="D5" s="6" t="s">
        <v>899</v>
      </c>
      <c r="E5" s="6" t="s">
        <v>900</v>
      </c>
      <c r="H5" s="39" t="s">
        <v>894</v>
      </c>
      <c r="I5" s="39" t="s">
        <v>2164</v>
      </c>
      <c r="J5" s="39" t="s">
        <v>2165</v>
      </c>
      <c r="K5" s="39" t="s">
        <v>7881</v>
      </c>
      <c r="L5" s="39" t="s">
        <v>7882</v>
      </c>
      <c r="O5" s="39" t="s">
        <v>721</v>
      </c>
      <c r="P5" s="39" t="s">
        <v>2022</v>
      </c>
      <c r="Q5" s="39" t="s">
        <v>7875</v>
      </c>
      <c r="R5" s="39" t="s">
        <v>7876</v>
      </c>
      <c r="T5" t="str">
        <f t="shared" si="0"/>
        <v xml:space="preserve">177484.06 </v>
      </c>
      <c r="U5" t="str">
        <f t="shared" si="1"/>
        <v xml:space="preserve">179030.45 </v>
      </c>
    </row>
    <row r="6" spans="1:21" ht="42" thickBot="1" x14ac:dyDescent="0.3">
      <c r="A6" s="6">
        <v>5</v>
      </c>
      <c r="B6" s="6" t="s">
        <v>741</v>
      </c>
      <c r="C6" s="6">
        <v>93.93</v>
      </c>
      <c r="D6" s="6" t="s">
        <v>901</v>
      </c>
      <c r="E6" s="6" t="s">
        <v>902</v>
      </c>
      <c r="H6" s="39" t="s">
        <v>693</v>
      </c>
      <c r="I6" s="39" t="s">
        <v>2018</v>
      </c>
      <c r="J6" s="39" t="s">
        <v>1321</v>
      </c>
      <c r="K6" s="39" t="s">
        <v>7883</v>
      </c>
      <c r="L6" s="39" t="s">
        <v>7884</v>
      </c>
      <c r="O6" s="39" t="s">
        <v>733</v>
      </c>
      <c r="P6" s="39" t="s">
        <v>2023</v>
      </c>
      <c r="Q6" s="39" t="s">
        <v>7904</v>
      </c>
      <c r="R6" s="39" t="s">
        <v>7905</v>
      </c>
      <c r="T6" t="str">
        <f t="shared" si="0"/>
        <v xml:space="preserve">4110.00 </v>
      </c>
      <c r="U6" t="str">
        <f t="shared" si="1"/>
        <v xml:space="preserve">2897.50 </v>
      </c>
    </row>
    <row r="7" spans="1:21" ht="42" thickBot="1" x14ac:dyDescent="0.3">
      <c r="A7" s="6">
        <v>6</v>
      </c>
      <c r="B7" s="6" t="s">
        <v>697</v>
      </c>
      <c r="C7" s="6">
        <v>26.78</v>
      </c>
      <c r="D7" s="6" t="s">
        <v>903</v>
      </c>
      <c r="E7" s="6" t="s">
        <v>904</v>
      </c>
      <c r="H7" s="39" t="s">
        <v>7855</v>
      </c>
      <c r="I7" s="39" t="s">
        <v>2162</v>
      </c>
      <c r="J7" s="39" t="s">
        <v>2163</v>
      </c>
      <c r="K7" s="39" t="s">
        <v>7885</v>
      </c>
      <c r="L7" s="39" t="s">
        <v>7886</v>
      </c>
      <c r="O7" s="39" t="s">
        <v>697</v>
      </c>
      <c r="P7" s="39" t="s">
        <v>2019</v>
      </c>
      <c r="Q7" s="39" t="s">
        <v>7889</v>
      </c>
      <c r="R7" s="39" t="s">
        <v>7890</v>
      </c>
      <c r="T7" t="str">
        <f t="shared" si="0"/>
        <v xml:space="preserve">5614.38 </v>
      </c>
      <c r="U7" t="str">
        <f t="shared" si="1"/>
        <v xml:space="preserve">5998.71 </v>
      </c>
    </row>
    <row r="8" spans="1:21" ht="55.8" thickBot="1" x14ac:dyDescent="0.3">
      <c r="A8" s="6">
        <v>7</v>
      </c>
      <c r="B8" s="6" t="s">
        <v>905</v>
      </c>
      <c r="C8" s="6">
        <v>55.33</v>
      </c>
      <c r="D8" s="6" t="s">
        <v>906</v>
      </c>
      <c r="E8" s="6" t="s">
        <v>907</v>
      </c>
      <c r="H8" s="39" t="s">
        <v>741</v>
      </c>
      <c r="I8" s="39" t="s">
        <v>2915</v>
      </c>
      <c r="J8" s="39" t="s">
        <v>6426</v>
      </c>
      <c r="K8" s="39" t="s">
        <v>7887</v>
      </c>
      <c r="L8" s="39" t="s">
        <v>7888</v>
      </c>
      <c r="O8" s="39" t="s">
        <v>967</v>
      </c>
      <c r="P8" s="39" t="s">
        <v>2178</v>
      </c>
      <c r="Q8" s="39" t="s">
        <v>7900</v>
      </c>
      <c r="R8" s="39" t="s">
        <v>7901</v>
      </c>
      <c r="T8" t="str">
        <f t="shared" si="0"/>
        <v xml:space="preserve">3667.73 </v>
      </c>
      <c r="U8" t="str">
        <f t="shared" si="1"/>
        <v xml:space="preserve">3499.93 </v>
      </c>
    </row>
    <row r="9" spans="1:21" ht="42" thickBot="1" x14ac:dyDescent="0.3">
      <c r="A9" s="6">
        <v>8</v>
      </c>
      <c r="B9" s="6" t="s">
        <v>908</v>
      </c>
      <c r="C9" s="6">
        <v>128083.8</v>
      </c>
      <c r="D9" s="6" t="s">
        <v>909</v>
      </c>
      <c r="E9" s="6" t="s">
        <v>910</v>
      </c>
      <c r="H9" s="39" t="s">
        <v>697</v>
      </c>
      <c r="I9" s="39" t="s">
        <v>2019</v>
      </c>
      <c r="J9" s="39" t="s">
        <v>1278</v>
      </c>
      <c r="K9" s="39" t="s">
        <v>7889</v>
      </c>
      <c r="L9" s="39" t="s">
        <v>7890</v>
      </c>
      <c r="O9" s="39" t="s">
        <v>908</v>
      </c>
      <c r="P9" s="39" t="s">
        <v>2898</v>
      </c>
      <c r="Q9" s="39" t="s">
        <v>7902</v>
      </c>
      <c r="R9" s="39" t="s">
        <v>7903</v>
      </c>
      <c r="T9" t="str">
        <f t="shared" si="0"/>
        <v xml:space="preserve">138350.65 </v>
      </c>
      <c r="U9" t="str">
        <f t="shared" si="1"/>
        <v xml:space="preserve">157860.48 </v>
      </c>
    </row>
    <row r="10" spans="1:21" ht="97.2" thickBot="1" x14ac:dyDescent="0.3">
      <c r="A10" s="6">
        <v>9</v>
      </c>
      <c r="B10" s="6" t="s">
        <v>733</v>
      </c>
      <c r="C10" s="6">
        <v>12.87</v>
      </c>
      <c r="D10" s="6" t="s">
        <v>911</v>
      </c>
      <c r="E10" s="6" t="s">
        <v>912</v>
      </c>
      <c r="H10" s="39" t="s">
        <v>749</v>
      </c>
      <c r="I10" s="39" t="s">
        <v>2913</v>
      </c>
      <c r="J10" s="39" t="s">
        <v>6572</v>
      </c>
      <c r="K10" s="39" t="s">
        <v>7891</v>
      </c>
      <c r="L10" s="39" t="s">
        <v>7892</v>
      </c>
      <c r="O10" s="39" t="s">
        <v>1155</v>
      </c>
      <c r="P10" s="39" t="s">
        <v>2909</v>
      </c>
      <c r="Q10" s="39" t="s">
        <v>7910</v>
      </c>
      <c r="R10" s="39" t="s">
        <v>7911</v>
      </c>
      <c r="T10" t="str">
        <f t="shared" si="0"/>
        <v xml:space="preserve">564.79 </v>
      </c>
      <c r="U10" t="str">
        <f t="shared" si="1"/>
        <v xml:space="preserve">534.52 </v>
      </c>
    </row>
    <row r="11" spans="1:21" ht="69.599999999999994" thickBot="1" x14ac:dyDescent="0.3">
      <c r="A11" s="6">
        <v>10</v>
      </c>
      <c r="B11" s="6" t="s">
        <v>913</v>
      </c>
      <c r="C11" s="6">
        <v>1500</v>
      </c>
      <c r="D11" s="6" t="s">
        <v>914</v>
      </c>
      <c r="E11" s="6" t="s">
        <v>915</v>
      </c>
      <c r="H11" s="39" t="s">
        <v>7893</v>
      </c>
      <c r="I11" s="39" t="s">
        <v>3399</v>
      </c>
      <c r="J11" s="39" t="s">
        <v>1290</v>
      </c>
      <c r="K11" s="39" t="s">
        <v>7894</v>
      </c>
      <c r="L11" s="39" t="s">
        <v>7895</v>
      </c>
      <c r="O11" s="39" t="s">
        <v>7859</v>
      </c>
      <c r="P11" s="39" t="s">
        <v>2910</v>
      </c>
      <c r="Q11" s="39" t="s">
        <v>2908</v>
      </c>
      <c r="R11" s="39" t="s">
        <v>2908</v>
      </c>
      <c r="T11" t="e">
        <f t="shared" si="0"/>
        <v>#N/A</v>
      </c>
      <c r="U11" t="e">
        <f t="shared" si="1"/>
        <v>#N/A</v>
      </c>
    </row>
    <row r="12" spans="1:21" ht="42" thickBot="1" x14ac:dyDescent="0.3">
      <c r="A12" s="6">
        <v>1</v>
      </c>
      <c r="B12" s="6" t="s">
        <v>745</v>
      </c>
      <c r="C12" s="6">
        <v>2733.35</v>
      </c>
      <c r="D12" s="6" t="s">
        <v>916</v>
      </c>
      <c r="E12" s="6" t="s">
        <v>917</v>
      </c>
      <c r="H12" s="39" t="s">
        <v>905</v>
      </c>
      <c r="I12" s="39" t="s">
        <v>2017</v>
      </c>
      <c r="J12" s="39" t="s">
        <v>1292</v>
      </c>
      <c r="K12" s="39" t="s">
        <v>7896</v>
      </c>
      <c r="L12" s="39" t="s">
        <v>7897</v>
      </c>
      <c r="O12" s="39" t="s">
        <v>709</v>
      </c>
      <c r="P12" s="39" t="s">
        <v>2911</v>
      </c>
      <c r="Q12" s="39" t="s">
        <v>2908</v>
      </c>
      <c r="R12" s="39" t="s">
        <v>2908</v>
      </c>
      <c r="T12" t="e">
        <f t="shared" si="0"/>
        <v>#N/A</v>
      </c>
      <c r="U12" t="e">
        <f t="shared" si="1"/>
        <v>#N/A</v>
      </c>
    </row>
    <row r="13" spans="1:21" ht="97.2" thickBot="1" x14ac:dyDescent="0.3">
      <c r="A13" s="6">
        <v>2</v>
      </c>
      <c r="B13" s="6" t="s">
        <v>765</v>
      </c>
      <c r="C13" s="6">
        <v>5370</v>
      </c>
      <c r="D13" s="6" t="s">
        <v>918</v>
      </c>
      <c r="E13" s="6" t="s">
        <v>919</v>
      </c>
      <c r="H13" s="39" t="s">
        <v>54</v>
      </c>
      <c r="I13" s="39" t="s">
        <v>2187</v>
      </c>
      <c r="J13" s="39" t="s">
        <v>1296</v>
      </c>
      <c r="K13" s="39" t="s">
        <v>7898</v>
      </c>
      <c r="L13" s="39" t="s">
        <v>7899</v>
      </c>
      <c r="O13" s="39" t="s">
        <v>7860</v>
      </c>
      <c r="P13" s="39" t="s">
        <v>7861</v>
      </c>
      <c r="Q13" s="39" t="s">
        <v>2908</v>
      </c>
      <c r="R13" s="39" t="s">
        <v>2908</v>
      </c>
      <c r="T13" t="e">
        <f t="shared" si="0"/>
        <v>#N/A</v>
      </c>
      <c r="U13" t="e">
        <f t="shared" si="1"/>
        <v>#N/A</v>
      </c>
    </row>
    <row r="14" spans="1:21" ht="42" thickBot="1" x14ac:dyDescent="0.3">
      <c r="A14" s="6">
        <v>1</v>
      </c>
      <c r="B14" s="6" t="s">
        <v>920</v>
      </c>
      <c r="C14" s="6">
        <v>1200.03</v>
      </c>
      <c r="D14" s="6" t="s">
        <v>921</v>
      </c>
      <c r="E14" s="6" t="s">
        <v>922</v>
      </c>
      <c r="H14" s="39" t="s">
        <v>967</v>
      </c>
      <c r="I14" s="39" t="s">
        <v>2178</v>
      </c>
      <c r="J14" s="39" t="s">
        <v>1299</v>
      </c>
      <c r="K14" s="39" t="s">
        <v>7900</v>
      </c>
      <c r="L14" s="39" t="s">
        <v>7901</v>
      </c>
      <c r="O14" s="39" t="s">
        <v>749</v>
      </c>
      <c r="P14" s="39" t="s">
        <v>2913</v>
      </c>
      <c r="Q14" s="39" t="s">
        <v>7891</v>
      </c>
      <c r="R14" s="39" t="s">
        <v>7892</v>
      </c>
      <c r="T14" t="str">
        <f t="shared" si="0"/>
        <v xml:space="preserve">176.34 </v>
      </c>
      <c r="U14" t="str">
        <f t="shared" si="1"/>
        <v xml:space="preserve">143.22 </v>
      </c>
    </row>
    <row r="15" spans="1:21" ht="42" thickBot="1" x14ac:dyDescent="0.3">
      <c r="A15" s="6">
        <v>2</v>
      </c>
      <c r="B15" s="6" t="s">
        <v>923</v>
      </c>
      <c r="C15" s="6">
        <v>2086.5</v>
      </c>
      <c r="D15" s="6" t="s">
        <v>924</v>
      </c>
      <c r="E15" s="6" t="s">
        <v>925</v>
      </c>
      <c r="H15" s="39" t="s">
        <v>908</v>
      </c>
      <c r="I15" s="39" t="s">
        <v>2898</v>
      </c>
      <c r="J15" s="39" t="s">
        <v>1303</v>
      </c>
      <c r="K15" s="39" t="s">
        <v>7902</v>
      </c>
      <c r="L15" s="39" t="s">
        <v>7903</v>
      </c>
      <c r="O15" s="39" t="s">
        <v>970</v>
      </c>
      <c r="P15" s="39" t="s">
        <v>2173</v>
      </c>
      <c r="Q15" s="39" t="s">
        <v>2908</v>
      </c>
      <c r="R15" s="39" t="s">
        <v>2908</v>
      </c>
      <c r="T15" t="e">
        <f t="shared" si="0"/>
        <v>#N/A</v>
      </c>
      <c r="U15" t="e">
        <f t="shared" si="1"/>
        <v>#N/A</v>
      </c>
    </row>
    <row r="16" spans="1:21" ht="42" thickBot="1" x14ac:dyDescent="0.3">
      <c r="A16" s="6">
        <v>3</v>
      </c>
      <c r="B16" s="6" t="s">
        <v>926</v>
      </c>
      <c r="C16" s="6">
        <v>16.510000000000002</v>
      </c>
      <c r="D16" s="6" t="s">
        <v>927</v>
      </c>
      <c r="E16" s="6" t="s">
        <v>928</v>
      </c>
      <c r="H16" s="39" t="s">
        <v>733</v>
      </c>
      <c r="I16" s="39" t="s">
        <v>2023</v>
      </c>
      <c r="J16" s="39" t="s">
        <v>1314</v>
      </c>
      <c r="K16" s="39" t="s">
        <v>7904</v>
      </c>
      <c r="L16" s="39" t="s">
        <v>7905</v>
      </c>
      <c r="O16" s="39" t="s">
        <v>793</v>
      </c>
      <c r="P16" s="39" t="s">
        <v>2914</v>
      </c>
      <c r="Q16" s="39" t="s">
        <v>2908</v>
      </c>
      <c r="R16" s="39" t="s">
        <v>2908</v>
      </c>
      <c r="T16" t="e">
        <f t="shared" si="0"/>
        <v>#N/A</v>
      </c>
      <c r="U16" t="e">
        <f t="shared" si="1"/>
        <v>#N/A</v>
      </c>
    </row>
    <row r="17" spans="1:21" ht="69.599999999999994" thickBot="1" x14ac:dyDescent="0.3">
      <c r="A17" s="6">
        <v>4</v>
      </c>
      <c r="B17" s="6" t="s">
        <v>929</v>
      </c>
      <c r="C17" s="6">
        <v>25.48</v>
      </c>
      <c r="D17" s="6" t="s">
        <v>930</v>
      </c>
      <c r="E17" s="6" t="s">
        <v>931</v>
      </c>
      <c r="H17" s="39" t="s">
        <v>7906</v>
      </c>
      <c r="I17" s="39" t="s">
        <v>4920</v>
      </c>
      <c r="J17" s="39" t="s">
        <v>1318</v>
      </c>
      <c r="K17" s="39" t="s">
        <v>7907</v>
      </c>
      <c r="L17" s="39" t="s">
        <v>7908</v>
      </c>
      <c r="O17" s="39" t="s">
        <v>789</v>
      </c>
      <c r="P17" s="39" t="s">
        <v>2029</v>
      </c>
      <c r="Q17" s="39" t="s">
        <v>2908</v>
      </c>
      <c r="R17" s="39" t="s">
        <v>2908</v>
      </c>
      <c r="T17" t="e">
        <f t="shared" si="0"/>
        <v>#N/A</v>
      </c>
      <c r="U17" t="e">
        <f t="shared" si="1"/>
        <v>#N/A</v>
      </c>
    </row>
    <row r="18" spans="1:21" ht="97.2" thickBot="1" x14ac:dyDescent="0.3">
      <c r="A18" s="6">
        <v>5</v>
      </c>
      <c r="B18" s="6" t="s">
        <v>753</v>
      </c>
      <c r="C18" s="6">
        <v>261.95</v>
      </c>
      <c r="D18" s="6" t="s">
        <v>932</v>
      </c>
      <c r="E18" s="6" t="s">
        <v>933</v>
      </c>
      <c r="H18" s="39" t="s">
        <v>7909</v>
      </c>
      <c r="I18" s="39" t="s">
        <v>2909</v>
      </c>
      <c r="J18" s="39" t="s">
        <v>6568</v>
      </c>
      <c r="K18" s="39" t="s">
        <v>7910</v>
      </c>
      <c r="L18" s="39" t="s">
        <v>7911</v>
      </c>
      <c r="O18" s="39" t="s">
        <v>785</v>
      </c>
      <c r="P18" s="39" t="s">
        <v>2028</v>
      </c>
      <c r="Q18" s="39" t="s">
        <v>1376</v>
      </c>
      <c r="R18" s="39" t="s">
        <v>7912</v>
      </c>
      <c r="T18" t="e">
        <f t="shared" si="0"/>
        <v>#N/A</v>
      </c>
      <c r="U18" t="str">
        <f t="shared" si="1"/>
        <v xml:space="preserve">249.92 </v>
      </c>
    </row>
    <row r="19" spans="1:21" ht="55.8" thickBot="1" x14ac:dyDescent="0.3">
      <c r="A19" s="6">
        <v>6</v>
      </c>
      <c r="B19" s="6" t="s">
        <v>934</v>
      </c>
      <c r="C19" s="6">
        <v>122</v>
      </c>
      <c r="D19" s="6" t="s">
        <v>935</v>
      </c>
      <c r="E19" s="6" t="s">
        <v>936</v>
      </c>
      <c r="H19" s="39" t="s">
        <v>785</v>
      </c>
      <c r="I19" s="39" t="s">
        <v>2028</v>
      </c>
      <c r="J19" s="39" t="s">
        <v>2015</v>
      </c>
      <c r="K19" s="39" t="s">
        <v>1376</v>
      </c>
      <c r="L19" s="39" t="s">
        <v>7912</v>
      </c>
      <c r="O19" s="39" t="s">
        <v>741</v>
      </c>
      <c r="P19" s="39" t="s">
        <v>2915</v>
      </c>
      <c r="Q19" s="39" t="s">
        <v>7887</v>
      </c>
      <c r="R19" s="39" t="s">
        <v>7888</v>
      </c>
      <c r="T19" t="str">
        <f t="shared" si="0"/>
        <v xml:space="preserve">415.23 </v>
      </c>
      <c r="U19" t="str">
        <f t="shared" si="1"/>
        <v xml:space="preserve">414.36 </v>
      </c>
    </row>
    <row r="20" spans="1:21" ht="69.599999999999994" thickBot="1" x14ac:dyDescent="0.3">
      <c r="A20" s="6">
        <v>1</v>
      </c>
      <c r="B20" s="6" t="s">
        <v>937</v>
      </c>
      <c r="C20" s="6">
        <v>138</v>
      </c>
      <c r="D20" s="6" t="s">
        <v>938</v>
      </c>
      <c r="E20" s="6" t="s">
        <v>939</v>
      </c>
      <c r="H20" s="39" t="s">
        <v>7913</v>
      </c>
      <c r="I20" s="39" t="s">
        <v>7914</v>
      </c>
      <c r="J20" s="39" t="s">
        <v>7915</v>
      </c>
      <c r="K20" s="39" t="s">
        <v>7916</v>
      </c>
      <c r="L20" s="39" t="s">
        <v>7917</v>
      </c>
      <c r="O20" s="39" t="s">
        <v>913</v>
      </c>
      <c r="P20" s="39" t="s">
        <v>2318</v>
      </c>
      <c r="Q20" s="39" t="s">
        <v>7929</v>
      </c>
      <c r="R20" s="39" t="s">
        <v>7930</v>
      </c>
      <c r="T20" t="str">
        <f t="shared" si="0"/>
        <v xml:space="preserve">3298.85 </v>
      </c>
      <c r="U20" t="str">
        <f t="shared" si="1"/>
        <v xml:space="preserve">3224.43 </v>
      </c>
    </row>
    <row r="21" spans="1:21" ht="55.8" thickBot="1" x14ac:dyDescent="0.3">
      <c r="A21" s="6">
        <v>2</v>
      </c>
      <c r="B21" s="6" t="s">
        <v>940</v>
      </c>
      <c r="C21" s="6">
        <v>259</v>
      </c>
      <c r="D21" s="6" t="s">
        <v>941</v>
      </c>
      <c r="E21" s="6" t="s">
        <v>942</v>
      </c>
      <c r="H21" s="39" t="s">
        <v>1004</v>
      </c>
      <c r="I21" s="39" t="s">
        <v>2959</v>
      </c>
      <c r="J21" s="39" t="s">
        <v>6445</v>
      </c>
      <c r="K21" s="39" t="s">
        <v>1376</v>
      </c>
      <c r="L21" s="39" t="s">
        <v>7918</v>
      </c>
      <c r="O21" s="39" t="s">
        <v>977</v>
      </c>
      <c r="P21" s="39" t="s">
        <v>2362</v>
      </c>
      <c r="Q21" s="39" t="s">
        <v>2908</v>
      </c>
      <c r="R21" s="39" t="s">
        <v>2908</v>
      </c>
      <c r="T21" t="e">
        <f t="shared" si="0"/>
        <v>#N/A</v>
      </c>
      <c r="U21" t="e">
        <f t="shared" si="1"/>
        <v>#N/A</v>
      </c>
    </row>
    <row r="22" spans="1:21" ht="55.8" thickBot="1" x14ac:dyDescent="0.3">
      <c r="A22" s="6">
        <v>3</v>
      </c>
      <c r="B22" s="6" t="s">
        <v>943</v>
      </c>
      <c r="C22" s="6">
        <v>140</v>
      </c>
      <c r="D22" s="6" t="s">
        <v>944</v>
      </c>
      <c r="E22" s="6" t="s">
        <v>945</v>
      </c>
      <c r="H22" s="39" t="s">
        <v>7919</v>
      </c>
      <c r="I22" s="39" t="s">
        <v>7920</v>
      </c>
      <c r="J22" s="39" t="s">
        <v>7921</v>
      </c>
      <c r="K22" s="39" t="s">
        <v>7922</v>
      </c>
      <c r="L22" s="39" t="s">
        <v>7923</v>
      </c>
      <c r="O22" s="39" t="s">
        <v>745</v>
      </c>
      <c r="P22" s="39" t="s">
        <v>2025</v>
      </c>
      <c r="Q22" s="39" t="s">
        <v>7948</v>
      </c>
      <c r="R22" s="39" t="s">
        <v>7949</v>
      </c>
      <c r="T22" t="str">
        <f t="shared" si="0"/>
        <v xml:space="preserve">34237.50 </v>
      </c>
      <c r="U22" t="str">
        <f t="shared" si="1"/>
        <v xml:space="preserve">33633.75 </v>
      </c>
    </row>
    <row r="23" spans="1:21" ht="69.599999999999994" thickBot="1" x14ac:dyDescent="0.3">
      <c r="A23" s="6">
        <v>1</v>
      </c>
      <c r="B23" s="6" t="s">
        <v>713</v>
      </c>
      <c r="C23" s="6">
        <v>964.64</v>
      </c>
      <c r="D23" s="6" t="s">
        <v>946</v>
      </c>
      <c r="E23" s="6" t="s">
        <v>947</v>
      </c>
      <c r="H23" s="39" t="s">
        <v>7924</v>
      </c>
      <c r="I23" s="39" t="s">
        <v>7925</v>
      </c>
      <c r="J23" s="39" t="s">
        <v>7926</v>
      </c>
      <c r="K23" s="39" t="s">
        <v>7927</v>
      </c>
      <c r="L23" s="39" t="s">
        <v>7928</v>
      </c>
      <c r="O23" s="39" t="s">
        <v>765</v>
      </c>
      <c r="P23" s="39" t="s">
        <v>2916</v>
      </c>
      <c r="Q23" s="39" t="s">
        <v>7957</v>
      </c>
      <c r="R23" s="39" t="s">
        <v>7958</v>
      </c>
      <c r="T23" t="str">
        <f t="shared" si="0"/>
        <v xml:space="preserve">14403.75 </v>
      </c>
      <c r="U23" t="str">
        <f t="shared" si="1"/>
        <v xml:space="preserve">14093.75 </v>
      </c>
    </row>
    <row r="24" spans="1:21" ht="69.599999999999994" thickBot="1" x14ac:dyDescent="0.3">
      <c r="A24" s="6">
        <v>2</v>
      </c>
      <c r="B24" s="6" t="s">
        <v>948</v>
      </c>
      <c r="C24" s="6">
        <v>1045.47</v>
      </c>
      <c r="D24" s="6" t="s">
        <v>949</v>
      </c>
      <c r="E24" s="6" t="s">
        <v>950</v>
      </c>
      <c r="H24" s="39" t="s">
        <v>913</v>
      </c>
      <c r="I24" s="39" t="s">
        <v>2318</v>
      </c>
      <c r="J24" s="39" t="s">
        <v>1332</v>
      </c>
      <c r="K24" s="39" t="s">
        <v>7929</v>
      </c>
      <c r="L24" s="39" t="s">
        <v>7930</v>
      </c>
      <c r="O24" s="39" t="s">
        <v>769</v>
      </c>
      <c r="P24" s="39" t="s">
        <v>7862</v>
      </c>
      <c r="Q24" s="39" t="s">
        <v>2908</v>
      </c>
      <c r="R24" s="39" t="s">
        <v>2908</v>
      </c>
      <c r="T24" t="e">
        <f t="shared" si="0"/>
        <v>#N/A</v>
      </c>
      <c r="U24" t="e">
        <f t="shared" si="1"/>
        <v>#N/A</v>
      </c>
    </row>
    <row r="25" spans="1:21" ht="42" thickBot="1" x14ac:dyDescent="0.3">
      <c r="A25" s="6">
        <v>3</v>
      </c>
      <c r="B25" s="6" t="s">
        <v>717</v>
      </c>
      <c r="C25" s="6">
        <v>389.11</v>
      </c>
      <c r="D25" s="6" t="s">
        <v>951</v>
      </c>
      <c r="E25" s="6" t="s">
        <v>952</v>
      </c>
      <c r="H25" s="39" t="s">
        <v>7931</v>
      </c>
      <c r="I25" s="39" t="s">
        <v>3440</v>
      </c>
      <c r="J25" s="39" t="s">
        <v>1361</v>
      </c>
      <c r="K25" s="39" t="s">
        <v>7932</v>
      </c>
      <c r="L25" s="39" t="s">
        <v>7933</v>
      </c>
      <c r="O25" s="39" t="s">
        <v>705</v>
      </c>
      <c r="P25" s="39" t="s">
        <v>2918</v>
      </c>
      <c r="Q25" s="39" t="s">
        <v>2908</v>
      </c>
      <c r="R25" s="39" t="s">
        <v>2908</v>
      </c>
      <c r="T25" t="e">
        <f t="shared" si="0"/>
        <v>#N/A</v>
      </c>
      <c r="U25" t="e">
        <f t="shared" si="1"/>
        <v>#N/A</v>
      </c>
    </row>
    <row r="26" spans="1:21" ht="42" thickBot="1" x14ac:dyDescent="0.3">
      <c r="A26" s="6">
        <v>4</v>
      </c>
      <c r="B26" s="6" t="s">
        <v>953</v>
      </c>
      <c r="C26" s="6">
        <v>2517.16</v>
      </c>
      <c r="D26" s="6" t="s">
        <v>954</v>
      </c>
      <c r="E26" s="6" t="s">
        <v>955</v>
      </c>
      <c r="H26" s="39" t="s">
        <v>175</v>
      </c>
      <c r="I26" s="39" t="s">
        <v>3247</v>
      </c>
      <c r="J26" s="39" t="s">
        <v>6570</v>
      </c>
      <c r="K26" s="39" t="s">
        <v>7934</v>
      </c>
      <c r="L26" s="39" t="s">
        <v>7935</v>
      </c>
      <c r="O26" s="39" t="s">
        <v>44</v>
      </c>
      <c r="P26" s="39" t="s">
        <v>2179</v>
      </c>
      <c r="Q26" s="39" t="s">
        <v>2908</v>
      </c>
      <c r="R26" s="39" t="s">
        <v>2908</v>
      </c>
      <c r="T26" t="e">
        <f t="shared" si="0"/>
        <v>#N/A</v>
      </c>
      <c r="U26" t="e">
        <f t="shared" si="1"/>
        <v>#N/A</v>
      </c>
    </row>
    <row r="27" spans="1:21" ht="42" thickBot="1" x14ac:dyDescent="0.3">
      <c r="A27" s="6">
        <v>1</v>
      </c>
      <c r="B27" s="6" t="s">
        <v>956</v>
      </c>
      <c r="C27" s="6">
        <v>729.86</v>
      </c>
      <c r="D27" s="6" t="s">
        <v>957</v>
      </c>
      <c r="E27" s="6" t="s">
        <v>958</v>
      </c>
      <c r="H27" s="39" t="s">
        <v>7936</v>
      </c>
      <c r="I27" s="39" t="s">
        <v>2961</v>
      </c>
      <c r="J27" s="39" t="s">
        <v>7937</v>
      </c>
      <c r="K27" s="39" t="s">
        <v>7938</v>
      </c>
      <c r="L27" s="39" t="s">
        <v>7939</v>
      </c>
      <c r="O27" s="39" t="s">
        <v>1056</v>
      </c>
      <c r="P27" s="39" t="s">
        <v>2358</v>
      </c>
      <c r="Q27" s="39" t="s">
        <v>7942</v>
      </c>
      <c r="R27" s="39" t="s">
        <v>7943</v>
      </c>
      <c r="T27" t="str">
        <f t="shared" si="0"/>
        <v xml:space="preserve">45135.00 </v>
      </c>
      <c r="U27" t="str">
        <f t="shared" si="1"/>
        <v xml:space="preserve">47255.00 </v>
      </c>
    </row>
    <row r="28" spans="1:21" ht="42" thickBot="1" x14ac:dyDescent="0.3">
      <c r="H28" s="39" t="s">
        <v>421</v>
      </c>
      <c r="I28" s="39" t="s">
        <v>3343</v>
      </c>
      <c r="J28" s="39" t="s">
        <v>422</v>
      </c>
      <c r="K28" s="39" t="s">
        <v>7940</v>
      </c>
      <c r="L28" s="39" t="s">
        <v>7941</v>
      </c>
      <c r="O28" s="39" t="s">
        <v>7863</v>
      </c>
      <c r="P28" s="39" t="s">
        <v>2359</v>
      </c>
      <c r="Q28" s="39" t="s">
        <v>7944</v>
      </c>
      <c r="R28" s="39" t="s">
        <v>7945</v>
      </c>
      <c r="T28" t="str">
        <f t="shared" si="0"/>
        <v xml:space="preserve">7322.54 </v>
      </c>
      <c r="U28" t="str">
        <f t="shared" si="1"/>
        <v xml:space="preserve">7178.60 </v>
      </c>
    </row>
    <row r="29" spans="1:21" ht="42" thickBot="1" x14ac:dyDescent="0.3">
      <c r="H29" s="39" t="s">
        <v>1056</v>
      </c>
      <c r="I29" s="39" t="s">
        <v>2358</v>
      </c>
      <c r="J29" s="39" t="s">
        <v>1177</v>
      </c>
      <c r="K29" s="39" t="s">
        <v>7942</v>
      </c>
      <c r="L29" s="39" t="s">
        <v>7943</v>
      </c>
      <c r="O29" s="39" t="s">
        <v>737</v>
      </c>
      <c r="P29" s="39" t="s">
        <v>2024</v>
      </c>
      <c r="Q29" s="39" t="s">
        <v>8036</v>
      </c>
      <c r="R29" s="39" t="s">
        <v>8037</v>
      </c>
      <c r="T29" t="str">
        <f t="shared" si="0"/>
        <v xml:space="preserve">34925.37 </v>
      </c>
      <c r="U29" t="str">
        <f t="shared" si="1"/>
        <v xml:space="preserve">38744.13 </v>
      </c>
    </row>
    <row r="30" spans="1:21" ht="97.2" thickBot="1" x14ac:dyDescent="0.3">
      <c r="H30" s="39" t="s">
        <v>7863</v>
      </c>
      <c r="I30" s="39" t="s">
        <v>2359</v>
      </c>
      <c r="J30" s="39" t="s">
        <v>396</v>
      </c>
      <c r="K30" s="39" t="s">
        <v>7944</v>
      </c>
      <c r="L30" s="39" t="s">
        <v>7945</v>
      </c>
      <c r="O30" s="39" t="s">
        <v>7864</v>
      </c>
      <c r="P30" s="39" t="s">
        <v>2892</v>
      </c>
      <c r="Q30" s="39" t="s">
        <v>8028</v>
      </c>
      <c r="R30" s="39" t="s">
        <v>8029</v>
      </c>
      <c r="T30" t="str">
        <f t="shared" si="0"/>
        <v xml:space="preserve">838.42 </v>
      </c>
      <c r="U30" t="str">
        <f t="shared" si="1"/>
        <v xml:space="preserve">917.22 </v>
      </c>
    </row>
    <row r="31" spans="1:21" ht="42" thickBot="1" x14ac:dyDescent="0.3">
      <c r="H31" s="39" t="s">
        <v>1181</v>
      </c>
      <c r="I31" s="39" t="s">
        <v>3347</v>
      </c>
      <c r="J31" s="39" t="s">
        <v>1182</v>
      </c>
      <c r="K31" s="39" t="s">
        <v>7946</v>
      </c>
      <c r="L31" s="39" t="s">
        <v>7947</v>
      </c>
      <c r="O31" s="39" t="s">
        <v>717</v>
      </c>
      <c r="P31" s="39" t="s">
        <v>2021</v>
      </c>
      <c r="Q31" s="39" t="s">
        <v>8034</v>
      </c>
      <c r="R31" s="39" t="s">
        <v>8035</v>
      </c>
      <c r="T31" t="str">
        <f t="shared" si="0"/>
        <v xml:space="preserve">2241.10 </v>
      </c>
      <c r="U31" t="str">
        <f t="shared" si="1"/>
        <v xml:space="preserve">2449.52 </v>
      </c>
    </row>
    <row r="32" spans="1:21" ht="42" thickBot="1" x14ac:dyDescent="0.3">
      <c r="H32" s="39" t="s">
        <v>745</v>
      </c>
      <c r="I32" s="39" t="s">
        <v>2025</v>
      </c>
      <c r="J32" s="39" t="s">
        <v>378</v>
      </c>
      <c r="K32" s="39" t="s">
        <v>7948</v>
      </c>
      <c r="L32" s="39" t="s">
        <v>7949</v>
      </c>
      <c r="O32" s="39" t="s">
        <v>1034</v>
      </c>
      <c r="P32" s="39" t="s">
        <v>2174</v>
      </c>
      <c r="Q32" s="39" t="s">
        <v>8041</v>
      </c>
      <c r="R32" s="39" t="s">
        <v>8042</v>
      </c>
      <c r="T32" t="str">
        <f t="shared" si="0"/>
        <v xml:space="preserve">390.65 </v>
      </c>
      <c r="U32" t="str">
        <f t="shared" si="1"/>
        <v xml:space="preserve">380.01 </v>
      </c>
    </row>
    <row r="33" spans="8:21" ht="42" thickBot="1" x14ac:dyDescent="0.3">
      <c r="H33" s="39" t="s">
        <v>7950</v>
      </c>
      <c r="I33" s="39" t="s">
        <v>2872</v>
      </c>
      <c r="J33" s="39" t="s">
        <v>402</v>
      </c>
      <c r="K33" s="39" t="s">
        <v>7951</v>
      </c>
      <c r="L33" s="39" t="s">
        <v>7952</v>
      </c>
      <c r="O33" s="39" t="s">
        <v>1265</v>
      </c>
      <c r="P33" s="39" t="s">
        <v>2180</v>
      </c>
      <c r="Q33" s="39" t="s">
        <v>8039</v>
      </c>
      <c r="R33" s="39" t="s">
        <v>8040</v>
      </c>
      <c r="T33" t="str">
        <f t="shared" si="0"/>
        <v xml:space="preserve">600.49 </v>
      </c>
      <c r="U33" t="str">
        <f t="shared" si="1"/>
        <v xml:space="preserve">617.33 </v>
      </c>
    </row>
    <row r="34" spans="8:21" ht="42" thickBot="1" x14ac:dyDescent="0.3">
      <c r="H34" s="39" t="s">
        <v>370</v>
      </c>
      <c r="I34" s="39" t="s">
        <v>3334</v>
      </c>
      <c r="J34" s="39" t="s">
        <v>371</v>
      </c>
      <c r="K34" s="39" t="s">
        <v>7953</v>
      </c>
      <c r="L34" s="39" t="s">
        <v>7954</v>
      </c>
      <c r="O34" s="39" t="s">
        <v>713</v>
      </c>
      <c r="P34" s="39" t="s">
        <v>2020</v>
      </c>
      <c r="Q34" s="39" t="s">
        <v>8030</v>
      </c>
      <c r="R34" s="39" t="s">
        <v>8031</v>
      </c>
      <c r="T34" t="str">
        <f t="shared" si="0"/>
        <v xml:space="preserve">8590.76 </v>
      </c>
      <c r="U34" t="str">
        <f t="shared" si="1"/>
        <v xml:space="preserve">8827.57 </v>
      </c>
    </row>
    <row r="35" spans="8:21" ht="42" thickBot="1" x14ac:dyDescent="0.3">
      <c r="H35" s="39" t="s">
        <v>1197</v>
      </c>
      <c r="I35" s="39" t="s">
        <v>3665</v>
      </c>
      <c r="J35" s="39" t="s">
        <v>1198</v>
      </c>
      <c r="K35" s="39" t="s">
        <v>7955</v>
      </c>
      <c r="L35" s="39" t="s">
        <v>7956</v>
      </c>
      <c r="O35" s="39" t="s">
        <v>1029</v>
      </c>
      <c r="P35" s="39" t="s">
        <v>2177</v>
      </c>
      <c r="Q35" s="39" t="s">
        <v>8024</v>
      </c>
      <c r="R35" s="39" t="s">
        <v>8025</v>
      </c>
      <c r="T35" t="str">
        <f t="shared" si="0"/>
        <v xml:space="preserve">120907.88 </v>
      </c>
      <c r="U35" t="str">
        <f t="shared" si="1"/>
        <v xml:space="preserve">119647.69 </v>
      </c>
    </row>
    <row r="36" spans="8:21" ht="55.8" thickBot="1" x14ac:dyDescent="0.3">
      <c r="H36" s="39" t="s">
        <v>765</v>
      </c>
      <c r="I36" s="39" t="s">
        <v>2916</v>
      </c>
      <c r="J36" s="39" t="s">
        <v>384</v>
      </c>
      <c r="K36" s="39" t="s">
        <v>7957</v>
      </c>
      <c r="L36" s="39" t="s">
        <v>7958</v>
      </c>
      <c r="O36" s="39" t="s">
        <v>843</v>
      </c>
      <c r="P36" s="39" t="s">
        <v>2175</v>
      </c>
      <c r="Q36" s="39" t="s">
        <v>2908</v>
      </c>
      <c r="R36" s="39" t="s">
        <v>2908</v>
      </c>
      <c r="T36" t="e">
        <f t="shared" si="0"/>
        <v>#N/A</v>
      </c>
      <c r="U36" t="e">
        <f t="shared" si="1"/>
        <v>#N/A</v>
      </c>
    </row>
    <row r="37" spans="8:21" ht="55.8" thickBot="1" x14ac:dyDescent="0.3">
      <c r="H37" s="39" t="s">
        <v>7959</v>
      </c>
      <c r="I37" s="39" t="s">
        <v>7960</v>
      </c>
      <c r="J37" s="39" t="s">
        <v>7961</v>
      </c>
      <c r="K37" s="39" t="s">
        <v>7962</v>
      </c>
      <c r="L37" s="39" t="s">
        <v>7963</v>
      </c>
      <c r="O37" s="39" t="s">
        <v>761</v>
      </c>
      <c r="P37" s="39" t="s">
        <v>2919</v>
      </c>
      <c r="Q37" s="39" t="s">
        <v>8032</v>
      </c>
      <c r="R37" s="39" t="s">
        <v>8033</v>
      </c>
      <c r="T37" t="str">
        <f t="shared" si="0"/>
        <v xml:space="preserve">1484.33 </v>
      </c>
      <c r="U37" t="str">
        <f t="shared" si="1"/>
        <v xml:space="preserve">1484.10 </v>
      </c>
    </row>
    <row r="38" spans="8:21" ht="55.8" thickBot="1" x14ac:dyDescent="0.3">
      <c r="H38" s="39" t="s">
        <v>7964</v>
      </c>
      <c r="I38" s="39" t="s">
        <v>7965</v>
      </c>
      <c r="J38" s="39" t="s">
        <v>7966</v>
      </c>
      <c r="K38" s="39" t="s">
        <v>7967</v>
      </c>
      <c r="L38" s="39" t="s">
        <v>7968</v>
      </c>
      <c r="O38" s="39" t="s">
        <v>753</v>
      </c>
      <c r="P38" s="39" t="s">
        <v>2920</v>
      </c>
      <c r="Q38" s="39" t="s">
        <v>7997</v>
      </c>
      <c r="R38" s="39" t="s">
        <v>7998</v>
      </c>
      <c r="T38" t="str">
        <f t="shared" si="0"/>
        <v xml:space="preserve">435.04 </v>
      </c>
      <c r="U38" t="str">
        <f t="shared" si="1"/>
        <v xml:space="preserve">394.13 </v>
      </c>
    </row>
    <row r="39" spans="8:21" ht="42" thickBot="1" x14ac:dyDescent="0.3">
      <c r="H39" s="39" t="s">
        <v>7969</v>
      </c>
      <c r="I39" s="39" t="s">
        <v>2865</v>
      </c>
      <c r="J39" s="39" t="s">
        <v>418</v>
      </c>
      <c r="K39" s="39" t="s">
        <v>7970</v>
      </c>
      <c r="L39" s="39" t="s">
        <v>7971</v>
      </c>
      <c r="O39" s="39" t="s">
        <v>920</v>
      </c>
      <c r="P39" s="39" t="s">
        <v>2320</v>
      </c>
      <c r="Q39" s="39" t="s">
        <v>7985</v>
      </c>
      <c r="R39" s="39" t="s">
        <v>7986</v>
      </c>
      <c r="T39" t="str">
        <f t="shared" si="0"/>
        <v xml:space="preserve">11066.25 </v>
      </c>
      <c r="U39" t="str">
        <f t="shared" si="1"/>
        <v xml:space="preserve">7800.00 </v>
      </c>
    </row>
    <row r="40" spans="8:21" ht="42" thickBot="1" x14ac:dyDescent="0.3">
      <c r="H40" s="39" t="s">
        <v>1206</v>
      </c>
      <c r="I40" s="39" t="s">
        <v>2869</v>
      </c>
      <c r="J40" s="39" t="s">
        <v>435</v>
      </c>
      <c r="K40" s="39" t="s">
        <v>7972</v>
      </c>
      <c r="L40" s="39" t="s">
        <v>7973</v>
      </c>
      <c r="O40" s="39" t="s">
        <v>1217</v>
      </c>
      <c r="P40" s="39" t="s">
        <v>2857</v>
      </c>
      <c r="Q40" s="39" t="s">
        <v>7993</v>
      </c>
      <c r="R40" s="39" t="s">
        <v>7994</v>
      </c>
      <c r="T40" t="str">
        <f t="shared" si="0"/>
        <v xml:space="preserve">2520.91 </v>
      </c>
      <c r="U40" t="str">
        <f t="shared" si="1"/>
        <v xml:space="preserve">2989.92 </v>
      </c>
    </row>
    <row r="41" spans="8:21" ht="42" thickBot="1" x14ac:dyDescent="0.3">
      <c r="H41" s="39" t="s">
        <v>7974</v>
      </c>
      <c r="I41" s="39" t="s">
        <v>7975</v>
      </c>
      <c r="J41" s="39" t="s">
        <v>7976</v>
      </c>
      <c r="K41" s="39" t="s">
        <v>7977</v>
      </c>
      <c r="L41" s="39" t="s">
        <v>7978</v>
      </c>
      <c r="O41" s="39" t="s">
        <v>1969</v>
      </c>
      <c r="P41" s="39" t="s">
        <v>2921</v>
      </c>
      <c r="Q41" s="39" t="s">
        <v>7987</v>
      </c>
      <c r="R41" s="39" t="s">
        <v>7988</v>
      </c>
      <c r="T41" t="str">
        <f t="shared" si="0"/>
        <v xml:space="preserve">30463.75 </v>
      </c>
      <c r="U41" t="str">
        <f t="shared" si="1"/>
        <v xml:space="preserve">20675.00 </v>
      </c>
    </row>
    <row r="42" spans="8:21" ht="42" thickBot="1" x14ac:dyDescent="0.3">
      <c r="H42" s="39" t="s">
        <v>1160</v>
      </c>
      <c r="I42" s="39" t="s">
        <v>3296</v>
      </c>
      <c r="J42" s="40">
        <v>22258</v>
      </c>
      <c r="K42" s="39" t="s">
        <v>7979</v>
      </c>
      <c r="L42" s="39" t="s">
        <v>7980</v>
      </c>
      <c r="O42" s="39" t="s">
        <v>940</v>
      </c>
      <c r="P42" s="39" t="s">
        <v>2922</v>
      </c>
      <c r="Q42" s="39" t="s">
        <v>8013</v>
      </c>
      <c r="R42" s="39" t="s">
        <v>8014</v>
      </c>
      <c r="T42" t="str">
        <f t="shared" si="0"/>
        <v xml:space="preserve">1923.75 </v>
      </c>
      <c r="U42" t="str">
        <f t="shared" si="1"/>
        <v xml:space="preserve">2412.50 </v>
      </c>
    </row>
    <row r="43" spans="8:21" ht="42" thickBot="1" x14ac:dyDescent="0.3">
      <c r="H43" s="39" t="s">
        <v>7981</v>
      </c>
      <c r="I43" s="39" t="s">
        <v>7982</v>
      </c>
      <c r="J43" s="39" t="s">
        <v>7983</v>
      </c>
      <c r="K43" s="39" t="s">
        <v>1376</v>
      </c>
      <c r="L43" s="39" t="s">
        <v>7984</v>
      </c>
      <c r="O43" s="39" t="s">
        <v>943</v>
      </c>
      <c r="P43" s="39" t="s">
        <v>2341</v>
      </c>
      <c r="Q43" s="39" t="s">
        <v>8011</v>
      </c>
      <c r="R43" s="39" t="s">
        <v>8012</v>
      </c>
      <c r="T43" t="str">
        <f t="shared" si="0"/>
        <v xml:space="preserve">342.50 </v>
      </c>
      <c r="U43" t="str">
        <f t="shared" si="1"/>
        <v xml:space="preserve">437.50 </v>
      </c>
    </row>
    <row r="44" spans="8:21" ht="55.8" thickBot="1" x14ac:dyDescent="0.3">
      <c r="H44" s="39" t="s">
        <v>920</v>
      </c>
      <c r="I44" s="39" t="s">
        <v>2320</v>
      </c>
      <c r="J44" s="39" t="s">
        <v>565</v>
      </c>
      <c r="K44" s="39" t="s">
        <v>7985</v>
      </c>
      <c r="L44" s="39" t="s">
        <v>7986</v>
      </c>
      <c r="O44" s="39" t="s">
        <v>7865</v>
      </c>
      <c r="P44" s="39" t="s">
        <v>2161</v>
      </c>
      <c r="Q44" s="39" t="s">
        <v>2908</v>
      </c>
      <c r="R44" s="39" t="s">
        <v>2908</v>
      </c>
      <c r="T44" t="e">
        <f t="shared" si="0"/>
        <v>#N/A</v>
      </c>
      <c r="U44" t="e">
        <f t="shared" si="1"/>
        <v>#N/A</v>
      </c>
    </row>
    <row r="45" spans="8:21" ht="55.8" thickBot="1" x14ac:dyDescent="0.3">
      <c r="H45" s="39" t="s">
        <v>1969</v>
      </c>
      <c r="I45" s="39" t="s">
        <v>2921</v>
      </c>
      <c r="J45" s="39" t="s">
        <v>6419</v>
      </c>
      <c r="K45" s="39" t="s">
        <v>7987</v>
      </c>
      <c r="L45" s="39" t="s">
        <v>7988</v>
      </c>
      <c r="O45" s="39" t="s">
        <v>725</v>
      </c>
      <c r="P45" s="39" t="s">
        <v>7866</v>
      </c>
      <c r="Q45" s="39" t="s">
        <v>2908</v>
      </c>
      <c r="R45" s="39" t="s">
        <v>2908</v>
      </c>
      <c r="T45" t="e">
        <f t="shared" si="0"/>
        <v>#N/A</v>
      </c>
      <c r="U45" t="e">
        <f t="shared" si="1"/>
        <v>#N/A</v>
      </c>
    </row>
    <row r="46" spans="8:21" ht="83.4" thickBot="1" x14ac:dyDescent="0.3">
      <c r="H46" s="39" t="s">
        <v>1016</v>
      </c>
      <c r="I46" s="39" t="s">
        <v>2930</v>
      </c>
      <c r="J46" s="39" t="s">
        <v>6423</v>
      </c>
      <c r="K46" s="39" t="s">
        <v>7989</v>
      </c>
      <c r="L46" s="39" t="s">
        <v>7990</v>
      </c>
      <c r="O46" s="39" t="s">
        <v>757</v>
      </c>
      <c r="P46" s="39" t="s">
        <v>2924</v>
      </c>
      <c r="Q46" s="39" t="s">
        <v>2908</v>
      </c>
      <c r="R46" s="39" t="s">
        <v>2908</v>
      </c>
      <c r="T46" t="e">
        <f t="shared" si="0"/>
        <v>#N/A</v>
      </c>
      <c r="U46" t="e">
        <f t="shared" si="1"/>
        <v>#N/A</v>
      </c>
    </row>
    <row r="47" spans="8:21" ht="69.599999999999994" thickBot="1" x14ac:dyDescent="0.3">
      <c r="H47" s="39" t="s">
        <v>929</v>
      </c>
      <c r="I47" s="39" t="s">
        <v>2331</v>
      </c>
      <c r="J47" s="39" t="s">
        <v>6425</v>
      </c>
      <c r="K47" s="39" t="s">
        <v>7991</v>
      </c>
      <c r="L47" s="39" t="s">
        <v>7992</v>
      </c>
      <c r="O47" s="39" t="s">
        <v>773</v>
      </c>
      <c r="P47" s="39" t="s">
        <v>2925</v>
      </c>
      <c r="Q47" s="39" t="s">
        <v>2908</v>
      </c>
      <c r="R47" s="39" t="s">
        <v>2908</v>
      </c>
      <c r="T47" t="e">
        <f t="shared" si="0"/>
        <v>#N/A</v>
      </c>
      <c r="U47" t="e">
        <f t="shared" si="1"/>
        <v>#N/A</v>
      </c>
    </row>
    <row r="48" spans="8:21" ht="69.599999999999994" thickBot="1" x14ac:dyDescent="0.3">
      <c r="H48" s="39" t="s">
        <v>1217</v>
      </c>
      <c r="I48" s="39" t="s">
        <v>2857</v>
      </c>
      <c r="J48" s="40">
        <v>35796</v>
      </c>
      <c r="K48" s="39" t="s">
        <v>7993</v>
      </c>
      <c r="L48" s="39" t="s">
        <v>7994</v>
      </c>
      <c r="O48" s="39" t="s">
        <v>7867</v>
      </c>
      <c r="P48" s="39" t="s">
        <v>2027</v>
      </c>
      <c r="Q48" s="39" t="s">
        <v>2908</v>
      </c>
      <c r="R48" s="39" t="s">
        <v>2908</v>
      </c>
      <c r="T48" t="e">
        <f t="shared" si="0"/>
        <v>#N/A</v>
      </c>
      <c r="U48" t="e">
        <f t="shared" si="1"/>
        <v>#N/A</v>
      </c>
    </row>
    <row r="49" spans="8:21" ht="42" thickBot="1" x14ac:dyDescent="0.3">
      <c r="H49" s="39" t="s">
        <v>1158</v>
      </c>
      <c r="I49" s="39" t="s">
        <v>2948</v>
      </c>
      <c r="J49" s="39" t="s">
        <v>573</v>
      </c>
      <c r="K49" s="39" t="s">
        <v>7995</v>
      </c>
      <c r="L49" s="39" t="s">
        <v>7996</v>
      </c>
      <c r="O49" s="39" t="s">
        <v>781</v>
      </c>
      <c r="P49" s="39" t="s">
        <v>2878</v>
      </c>
      <c r="Q49" s="39" t="s">
        <v>2908</v>
      </c>
      <c r="R49" s="39" t="s">
        <v>2908</v>
      </c>
      <c r="T49" t="e">
        <f t="shared" si="0"/>
        <v>#N/A</v>
      </c>
      <c r="U49" t="e">
        <f t="shared" si="1"/>
        <v>#N/A</v>
      </c>
    </row>
    <row r="50" spans="8:21" ht="42" thickBot="1" x14ac:dyDescent="0.3">
      <c r="H50" s="39" t="s">
        <v>753</v>
      </c>
      <c r="I50" s="39" t="s">
        <v>2920</v>
      </c>
      <c r="J50" s="39" t="s">
        <v>569</v>
      </c>
      <c r="K50" s="39" t="s">
        <v>7997</v>
      </c>
      <c r="L50" s="39" t="s">
        <v>7998</v>
      </c>
      <c r="O50" s="39" t="s">
        <v>797</v>
      </c>
      <c r="P50" s="39" t="s">
        <v>2927</v>
      </c>
      <c r="Q50" s="39" t="s">
        <v>2908</v>
      </c>
      <c r="R50" s="39" t="s">
        <v>2908</v>
      </c>
      <c r="T50" t="e">
        <f t="shared" si="0"/>
        <v>#N/A</v>
      </c>
      <c r="U50" t="e">
        <f t="shared" si="1"/>
        <v>#N/A</v>
      </c>
    </row>
    <row r="51" spans="8:21" ht="42" thickBot="1" x14ac:dyDescent="0.3">
      <c r="H51" s="39" t="s">
        <v>7999</v>
      </c>
      <c r="I51" s="39" t="s">
        <v>2955</v>
      </c>
      <c r="J51" s="39" t="s">
        <v>8000</v>
      </c>
      <c r="K51" s="39" t="s">
        <v>8001</v>
      </c>
      <c r="L51" s="39" t="s">
        <v>8002</v>
      </c>
      <c r="O51" s="39" t="s">
        <v>894</v>
      </c>
      <c r="P51" s="39" t="s">
        <v>2164</v>
      </c>
      <c r="Q51" s="39" t="s">
        <v>7881</v>
      </c>
      <c r="R51" s="39" t="s">
        <v>7882</v>
      </c>
      <c r="T51" t="str">
        <f t="shared" si="0"/>
        <v xml:space="preserve">441.81 </v>
      </c>
      <c r="U51" t="str">
        <f t="shared" si="1"/>
        <v xml:space="preserve">524.64 </v>
      </c>
    </row>
    <row r="52" spans="8:21" ht="69.599999999999994" thickBot="1" x14ac:dyDescent="0.3">
      <c r="H52" s="39" t="s">
        <v>8003</v>
      </c>
      <c r="I52" s="39" t="s">
        <v>8004</v>
      </c>
      <c r="J52" s="39" t="s">
        <v>8005</v>
      </c>
      <c r="K52" s="39" t="s">
        <v>8006</v>
      </c>
      <c r="L52" s="39" t="s">
        <v>8007</v>
      </c>
      <c r="O52" s="39" t="s">
        <v>1127</v>
      </c>
      <c r="P52" s="39" t="s">
        <v>2170</v>
      </c>
      <c r="Q52" s="39" t="s">
        <v>2908</v>
      </c>
      <c r="R52" s="39" t="s">
        <v>2908</v>
      </c>
      <c r="T52" t="e">
        <f t="shared" si="0"/>
        <v>#N/A</v>
      </c>
      <c r="U52" t="e">
        <f t="shared" si="1"/>
        <v>#N/A</v>
      </c>
    </row>
    <row r="53" spans="8:21" ht="42" thickBot="1" x14ac:dyDescent="0.3">
      <c r="H53" s="39" t="s">
        <v>937</v>
      </c>
      <c r="I53" s="39" t="s">
        <v>2956</v>
      </c>
      <c r="J53" s="39" t="s">
        <v>8008</v>
      </c>
      <c r="K53" s="39" t="s">
        <v>8009</v>
      </c>
      <c r="L53" s="39" t="s">
        <v>8010</v>
      </c>
      <c r="O53" s="39" t="s">
        <v>32</v>
      </c>
      <c r="P53" s="39" t="s">
        <v>2172</v>
      </c>
      <c r="Q53" s="39" t="s">
        <v>2908</v>
      </c>
      <c r="R53" s="39" t="s">
        <v>2908</v>
      </c>
      <c r="T53" t="e">
        <f t="shared" si="0"/>
        <v>#N/A</v>
      </c>
      <c r="U53" t="e">
        <f t="shared" si="1"/>
        <v>#N/A</v>
      </c>
    </row>
    <row r="54" spans="8:21" ht="55.8" thickBot="1" x14ac:dyDescent="0.3">
      <c r="H54" s="39" t="s">
        <v>943</v>
      </c>
      <c r="I54" s="39" t="s">
        <v>2341</v>
      </c>
      <c r="J54" s="39" t="s">
        <v>6622</v>
      </c>
      <c r="K54" s="39" t="s">
        <v>8011</v>
      </c>
      <c r="L54" s="39" t="s">
        <v>8012</v>
      </c>
      <c r="O54" s="39" t="s">
        <v>843</v>
      </c>
      <c r="P54" s="39" t="s">
        <v>7868</v>
      </c>
      <c r="Q54" s="39" t="s">
        <v>2908</v>
      </c>
      <c r="R54" s="39" t="s">
        <v>2908</v>
      </c>
      <c r="T54" t="e">
        <f t="shared" si="0"/>
        <v>#N/A</v>
      </c>
      <c r="U54" t="e">
        <f t="shared" si="1"/>
        <v>#N/A</v>
      </c>
    </row>
    <row r="55" spans="8:21" ht="55.8" thickBot="1" x14ac:dyDescent="0.3">
      <c r="H55" s="39" t="s">
        <v>940</v>
      </c>
      <c r="I55" s="39" t="s">
        <v>2922</v>
      </c>
      <c r="J55" s="39" t="s">
        <v>621</v>
      </c>
      <c r="K55" s="39" t="s">
        <v>8013</v>
      </c>
      <c r="L55" s="39" t="s">
        <v>8014</v>
      </c>
      <c r="O55" s="39" t="s">
        <v>1515</v>
      </c>
      <c r="P55" s="39" t="s">
        <v>2929</v>
      </c>
      <c r="Q55" s="39" t="s">
        <v>2908</v>
      </c>
      <c r="R55" s="39" t="s">
        <v>2908</v>
      </c>
      <c r="T55" t="e">
        <f t="shared" si="0"/>
        <v>#N/A</v>
      </c>
      <c r="U55" t="e">
        <f t="shared" si="1"/>
        <v>#N/A</v>
      </c>
    </row>
    <row r="56" spans="8:21" ht="69.599999999999994" thickBot="1" x14ac:dyDescent="0.3">
      <c r="H56" s="39" t="s">
        <v>8015</v>
      </c>
      <c r="I56" s="39" t="s">
        <v>2859</v>
      </c>
      <c r="J56" s="39" t="s">
        <v>8016</v>
      </c>
      <c r="K56" s="39" t="s">
        <v>8017</v>
      </c>
      <c r="L56" s="39" t="s">
        <v>8018</v>
      </c>
      <c r="O56" s="39" t="s">
        <v>862</v>
      </c>
      <c r="P56" s="39" t="s">
        <v>2183</v>
      </c>
      <c r="Q56" s="39" t="s">
        <v>2908</v>
      </c>
      <c r="R56" s="39" t="s">
        <v>2908</v>
      </c>
      <c r="T56" t="e">
        <f t="shared" si="0"/>
        <v>#N/A</v>
      </c>
      <c r="U56" t="e">
        <f t="shared" si="1"/>
        <v>#N/A</v>
      </c>
    </row>
    <row r="57" spans="8:21" ht="69.599999999999994" thickBot="1" x14ac:dyDescent="0.3">
      <c r="H57" s="39" t="s">
        <v>8019</v>
      </c>
      <c r="I57" s="39" t="s">
        <v>8020</v>
      </c>
      <c r="J57" s="39" t="s">
        <v>8021</v>
      </c>
      <c r="K57" s="39" t="s">
        <v>8022</v>
      </c>
      <c r="L57" s="39" t="s">
        <v>8023</v>
      </c>
      <c r="O57" s="39" t="s">
        <v>7869</v>
      </c>
      <c r="P57" s="39" t="s">
        <v>2185</v>
      </c>
      <c r="Q57" s="39" t="s">
        <v>8026</v>
      </c>
      <c r="R57" s="39" t="s">
        <v>8027</v>
      </c>
      <c r="T57" t="str">
        <f t="shared" si="0"/>
        <v xml:space="preserve">2868.01 </v>
      </c>
      <c r="U57" t="str">
        <f t="shared" si="1"/>
        <v xml:space="preserve">2941.15 </v>
      </c>
    </row>
    <row r="58" spans="8:21" ht="42" thickBot="1" x14ac:dyDescent="0.3">
      <c r="H58" s="39" t="s">
        <v>1029</v>
      </c>
      <c r="I58" s="39" t="s">
        <v>2177</v>
      </c>
      <c r="J58" s="39" t="s">
        <v>534</v>
      </c>
      <c r="K58" s="39" t="s">
        <v>8024</v>
      </c>
      <c r="L58" s="39" t="s">
        <v>8025</v>
      </c>
      <c r="O58" s="39" t="s">
        <v>1016</v>
      </c>
      <c r="P58" s="39" t="s">
        <v>2930</v>
      </c>
      <c r="Q58" s="39" t="s">
        <v>7989</v>
      </c>
      <c r="R58" s="39" t="s">
        <v>7990</v>
      </c>
      <c r="T58" t="str">
        <f t="shared" si="0"/>
        <v xml:space="preserve">2803.75 </v>
      </c>
      <c r="U58" t="str">
        <f t="shared" si="1"/>
        <v xml:space="preserve">3433.75 </v>
      </c>
    </row>
    <row r="59" spans="8:21" ht="42" thickBot="1" x14ac:dyDescent="0.3">
      <c r="H59" s="39" t="s">
        <v>7869</v>
      </c>
      <c r="I59" s="39" t="s">
        <v>2185</v>
      </c>
      <c r="J59" s="40">
        <v>29102</v>
      </c>
      <c r="K59" s="39" t="s">
        <v>8026</v>
      </c>
      <c r="L59" s="39" t="s">
        <v>8027</v>
      </c>
      <c r="O59" s="39" t="s">
        <v>929</v>
      </c>
      <c r="P59" s="39" t="s">
        <v>2331</v>
      </c>
      <c r="Q59" s="39" t="s">
        <v>7991</v>
      </c>
      <c r="R59" s="39" t="s">
        <v>7992</v>
      </c>
      <c r="T59" t="str">
        <f t="shared" si="0"/>
        <v xml:space="preserve">209.65 </v>
      </c>
      <c r="U59" t="str">
        <f t="shared" si="1"/>
        <v xml:space="preserve">273.26 </v>
      </c>
    </row>
    <row r="60" spans="8:21" ht="55.8" thickBot="1" x14ac:dyDescent="0.3">
      <c r="H60" s="39" t="s">
        <v>1030</v>
      </c>
      <c r="I60" s="39" t="s">
        <v>2892</v>
      </c>
      <c r="J60" s="39" t="s">
        <v>495</v>
      </c>
      <c r="K60" s="39" t="s">
        <v>8028</v>
      </c>
      <c r="L60" s="39" t="s">
        <v>8029</v>
      </c>
      <c r="O60" s="39" t="s">
        <v>956</v>
      </c>
      <c r="P60" s="39" t="s">
        <v>2337</v>
      </c>
      <c r="Q60" s="39" t="s">
        <v>8043</v>
      </c>
      <c r="R60" s="39" t="s">
        <v>8044</v>
      </c>
      <c r="T60" t="str">
        <f t="shared" si="0"/>
        <v xml:space="preserve">1092.50 </v>
      </c>
      <c r="U60" t="str">
        <f t="shared" si="1"/>
        <v xml:space="preserve">853.75 </v>
      </c>
    </row>
    <row r="61" spans="8:21" ht="42" thickBot="1" x14ac:dyDescent="0.3">
      <c r="H61" s="39" t="s">
        <v>713</v>
      </c>
      <c r="I61" s="39" t="s">
        <v>2020</v>
      </c>
      <c r="J61" s="39" t="s">
        <v>523</v>
      </c>
      <c r="K61" s="39" t="s">
        <v>8030</v>
      </c>
      <c r="L61" s="39" t="s">
        <v>8031</v>
      </c>
      <c r="O61" s="39" t="s">
        <v>978</v>
      </c>
      <c r="P61" s="39" t="s">
        <v>2365</v>
      </c>
      <c r="Q61" s="39" t="s">
        <v>2908</v>
      </c>
      <c r="R61" s="39" t="s">
        <v>2908</v>
      </c>
      <c r="T61" t="e">
        <f t="shared" si="0"/>
        <v>#N/A</v>
      </c>
      <c r="U61" t="e">
        <f t="shared" si="1"/>
        <v>#N/A</v>
      </c>
    </row>
    <row r="62" spans="8:21" ht="55.8" thickBot="1" x14ac:dyDescent="0.3">
      <c r="H62" s="39" t="s">
        <v>948</v>
      </c>
      <c r="I62" s="39" t="s">
        <v>3641</v>
      </c>
      <c r="J62" s="39" t="s">
        <v>1253</v>
      </c>
      <c r="K62" s="39" t="s">
        <v>8032</v>
      </c>
      <c r="L62" s="39" t="s">
        <v>8033</v>
      </c>
      <c r="O62" s="39" t="s">
        <v>996</v>
      </c>
      <c r="P62" s="39" t="s">
        <v>2186</v>
      </c>
      <c r="Q62" s="39" t="s">
        <v>2908</v>
      </c>
      <c r="R62" s="39" t="s">
        <v>2908</v>
      </c>
      <c r="T62" t="e">
        <f t="shared" si="0"/>
        <v>#N/A</v>
      </c>
      <c r="U62" t="e">
        <f t="shared" si="1"/>
        <v>#N/A</v>
      </c>
    </row>
    <row r="63" spans="8:21" ht="42" thickBot="1" x14ac:dyDescent="0.3">
      <c r="H63" s="39" t="s">
        <v>717</v>
      </c>
      <c r="I63" s="39" t="s">
        <v>2021</v>
      </c>
      <c r="J63" s="39" t="s">
        <v>507</v>
      </c>
      <c r="K63" s="39" t="s">
        <v>8034</v>
      </c>
      <c r="L63" s="39" t="s">
        <v>8035</v>
      </c>
      <c r="O63" s="39" t="s">
        <v>990</v>
      </c>
      <c r="P63" s="39" t="s">
        <v>2382</v>
      </c>
      <c r="Q63" s="39" t="s">
        <v>2908</v>
      </c>
      <c r="R63" s="39" t="s">
        <v>2908</v>
      </c>
      <c r="T63" t="e">
        <f t="shared" si="0"/>
        <v>#N/A</v>
      </c>
      <c r="U63" t="e">
        <f t="shared" si="1"/>
        <v>#N/A</v>
      </c>
    </row>
    <row r="64" spans="8:21" ht="55.8" thickBot="1" x14ac:dyDescent="0.3">
      <c r="H64" s="39" t="s">
        <v>953</v>
      </c>
      <c r="I64" s="39" t="s">
        <v>2024</v>
      </c>
      <c r="J64" s="39" t="s">
        <v>483</v>
      </c>
      <c r="K64" s="39" t="s">
        <v>8036</v>
      </c>
      <c r="L64" s="39" t="s">
        <v>8037</v>
      </c>
      <c r="O64" s="39" t="s">
        <v>1311</v>
      </c>
      <c r="P64" s="39" t="s">
        <v>2393</v>
      </c>
      <c r="Q64" s="39" t="s">
        <v>2908</v>
      </c>
      <c r="R64" s="39" t="s">
        <v>2908</v>
      </c>
      <c r="T64" t="e">
        <f t="shared" si="0"/>
        <v>#N/A</v>
      </c>
      <c r="U64" t="e">
        <f t="shared" si="1"/>
        <v>#N/A</v>
      </c>
    </row>
    <row r="65" spans="8:12" ht="42" thickBot="1" x14ac:dyDescent="0.3">
      <c r="H65" s="39" t="s">
        <v>8038</v>
      </c>
      <c r="I65" s="39" t="s">
        <v>2180</v>
      </c>
      <c r="J65" s="39" t="s">
        <v>518</v>
      </c>
      <c r="K65" s="39" t="s">
        <v>8039</v>
      </c>
      <c r="L65" s="39" t="s">
        <v>8040</v>
      </c>
    </row>
    <row r="66" spans="8:12" ht="28.2" thickBot="1" x14ac:dyDescent="0.3">
      <c r="H66" s="39" t="s">
        <v>1034</v>
      </c>
      <c r="I66" s="39" t="s">
        <v>2174</v>
      </c>
      <c r="J66" s="39" t="s">
        <v>513</v>
      </c>
      <c r="K66" s="39" t="s">
        <v>8041</v>
      </c>
      <c r="L66" s="39" t="s">
        <v>8042</v>
      </c>
    </row>
    <row r="67" spans="8:12" ht="55.8" thickBot="1" x14ac:dyDescent="0.3">
      <c r="H67" s="39" t="s">
        <v>956</v>
      </c>
      <c r="I67" s="39" t="s">
        <v>2337</v>
      </c>
      <c r="J67" s="39" t="s">
        <v>6447</v>
      </c>
      <c r="K67" s="39" t="s">
        <v>8043</v>
      </c>
      <c r="L67" s="39" t="s">
        <v>8044</v>
      </c>
    </row>
    <row r="68" spans="8:12" ht="69.599999999999994" thickBot="1" x14ac:dyDescent="0.3">
      <c r="H68" s="39" t="s">
        <v>8045</v>
      </c>
      <c r="I68" s="39" t="s">
        <v>4183</v>
      </c>
      <c r="J68" s="39" t="s">
        <v>8046</v>
      </c>
      <c r="K68" s="39" t="s">
        <v>8047</v>
      </c>
      <c r="L68" s="39" t="s">
        <v>8048</v>
      </c>
    </row>
    <row r="69" spans="8:12" ht="69.599999999999994" thickBot="1" x14ac:dyDescent="0.3">
      <c r="H69" s="39" t="s">
        <v>8049</v>
      </c>
      <c r="I69" s="39" t="s">
        <v>4189</v>
      </c>
      <c r="J69" s="40">
        <v>709364</v>
      </c>
      <c r="K69" s="39" t="s">
        <v>8050</v>
      </c>
      <c r="L69" s="39" t="s">
        <v>8051</v>
      </c>
    </row>
    <row r="70" spans="8:12" ht="55.8" thickBot="1" x14ac:dyDescent="0.3">
      <c r="H70" s="39" t="s">
        <v>8052</v>
      </c>
      <c r="I70" s="39" t="s">
        <v>8053</v>
      </c>
      <c r="J70" s="39" t="s">
        <v>8054</v>
      </c>
      <c r="K70" s="39" t="s">
        <v>8055</v>
      </c>
      <c r="L70" s="39" t="s">
        <v>8056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0EDB-9990-4781-A89E-EFF8AA16EF68}">
  <dimension ref="A1:AM114"/>
  <sheetViews>
    <sheetView topLeftCell="J1" workbookViewId="0">
      <selection activeCell="AI2" sqref="AI2:AM64"/>
    </sheetView>
  </sheetViews>
  <sheetFormatPr defaultRowHeight="13.8" x14ac:dyDescent="0.25"/>
  <cols>
    <col min="22" max="22" width="12.6640625" customWidth="1"/>
    <col min="23" max="23" width="14.21875" customWidth="1"/>
    <col min="24" max="24" width="14.77734375" customWidth="1"/>
    <col min="25" max="25" width="19.77734375" customWidth="1"/>
    <col min="26" max="26" width="13.33203125" customWidth="1"/>
    <col min="27" max="27" width="12.33203125" customWidth="1"/>
  </cols>
  <sheetData>
    <row r="1" spans="1:39" ht="83.4" thickBot="1" x14ac:dyDescent="0.3">
      <c r="A1" s="6" t="s">
        <v>959</v>
      </c>
      <c r="B1" s="6" t="s">
        <v>960</v>
      </c>
      <c r="C1" s="6" t="s">
        <v>961</v>
      </c>
      <c r="D1" s="6" t="s">
        <v>962</v>
      </c>
      <c r="E1" s="6" t="s">
        <v>963</v>
      </c>
      <c r="F1" s="6" t="s">
        <v>964</v>
      </c>
      <c r="G1" s="6" t="s">
        <v>965</v>
      </c>
      <c r="J1" s="38" t="s">
        <v>7789</v>
      </c>
      <c r="K1" s="38" t="s">
        <v>7790</v>
      </c>
      <c r="L1" s="38" t="s">
        <v>960</v>
      </c>
      <c r="M1" s="38" t="s">
        <v>961</v>
      </c>
      <c r="N1" s="38" t="s">
        <v>8057</v>
      </c>
      <c r="O1" s="38" t="s">
        <v>963</v>
      </c>
      <c r="P1" s="38" t="s">
        <v>964</v>
      </c>
      <c r="Q1" s="38" t="s">
        <v>965</v>
      </c>
      <c r="T1" s="38" t="s">
        <v>7789</v>
      </c>
      <c r="U1" s="38" t="s">
        <v>7790</v>
      </c>
      <c r="V1" s="38" t="s">
        <v>960</v>
      </c>
      <c r="W1" s="38" t="s">
        <v>961</v>
      </c>
      <c r="X1" s="38" t="s">
        <v>8057</v>
      </c>
      <c r="Y1" s="38" t="s">
        <v>963</v>
      </c>
      <c r="Z1" s="38" t="s">
        <v>964</v>
      </c>
      <c r="AA1" s="38" t="s">
        <v>965</v>
      </c>
    </row>
    <row r="2" spans="1:39" ht="69.599999999999994" thickBot="1" x14ac:dyDescent="0.3">
      <c r="A2" s="6" t="s">
        <v>966</v>
      </c>
      <c r="B2" s="6">
        <v>1.6879999999999999</v>
      </c>
      <c r="C2" s="6">
        <v>2.0070000000000001</v>
      </c>
      <c r="D2" s="6">
        <v>2.2389999999999999</v>
      </c>
      <c r="E2" s="6">
        <v>2.1240000000000001</v>
      </c>
      <c r="F2" s="6">
        <v>2.4740000000000002</v>
      </c>
      <c r="G2" s="6">
        <v>2.3159999999999998</v>
      </c>
      <c r="J2" s="39" t="s">
        <v>966</v>
      </c>
      <c r="K2" s="39" t="s">
        <v>4901</v>
      </c>
      <c r="L2" s="39">
        <v>1.6879999999999999</v>
      </c>
      <c r="M2" s="39">
        <v>2.0070000000000001</v>
      </c>
      <c r="N2" s="39">
        <v>2.2389999999999999</v>
      </c>
      <c r="O2" s="39">
        <v>2.1240000000000001</v>
      </c>
      <c r="P2" s="39">
        <v>2.4740000000000002</v>
      </c>
      <c r="Q2" s="39">
        <v>2.3159999999999998</v>
      </c>
      <c r="T2" s="39" t="s">
        <v>689</v>
      </c>
      <c r="U2" s="39" t="s">
        <v>2017</v>
      </c>
      <c r="V2" s="39">
        <v>1170.5239999999999</v>
      </c>
      <c r="W2" s="39">
        <v>1206.133</v>
      </c>
      <c r="X2" s="39">
        <v>1251.2370000000001</v>
      </c>
      <c r="Y2" s="39">
        <v>1217.046</v>
      </c>
      <c r="Z2" s="39">
        <v>1264.0309999999999</v>
      </c>
      <c r="AA2" s="39">
        <v>1261.51</v>
      </c>
      <c r="AC2" s="41">
        <v>1000</v>
      </c>
      <c r="AD2" s="41">
        <v>1000</v>
      </c>
      <c r="AE2" s="41">
        <v>1000</v>
      </c>
      <c r="AF2" s="41">
        <v>1000</v>
      </c>
      <c r="AG2" s="41">
        <v>1000</v>
      </c>
      <c r="AI2">
        <f>V2*AC2</f>
        <v>1170524</v>
      </c>
      <c r="AJ2">
        <f t="shared" ref="AJ2:AM2" si="0">W2*AD2</f>
        <v>1206133</v>
      </c>
      <c r="AK2">
        <f t="shared" si="0"/>
        <v>1251237</v>
      </c>
      <c r="AL2">
        <f t="shared" si="0"/>
        <v>1217046</v>
      </c>
      <c r="AM2">
        <f t="shared" si="0"/>
        <v>1264031</v>
      </c>
    </row>
    <row r="3" spans="1:39" ht="69.599999999999994" thickBot="1" x14ac:dyDescent="0.3">
      <c r="A3" s="6" t="s">
        <v>967</v>
      </c>
      <c r="B3" s="6">
        <v>348.67099999999999</v>
      </c>
      <c r="C3" s="6">
        <v>234.36199999999999</v>
      </c>
      <c r="D3" s="6">
        <v>263.12299999999999</v>
      </c>
      <c r="E3" s="6">
        <v>242.733</v>
      </c>
      <c r="F3" s="6">
        <v>297.11500000000001</v>
      </c>
      <c r="G3" s="6">
        <v>264.63400000000001</v>
      </c>
      <c r="J3" s="39" t="s">
        <v>967</v>
      </c>
      <c r="K3" s="39" t="s">
        <v>2178</v>
      </c>
      <c r="L3" s="39">
        <v>348.67099999999999</v>
      </c>
      <c r="M3" s="39">
        <v>234.36199999999999</v>
      </c>
      <c r="N3" s="39">
        <v>263.12299999999999</v>
      </c>
      <c r="O3" s="39">
        <v>242.75299999999999</v>
      </c>
      <c r="P3" s="39">
        <v>297.11500000000001</v>
      </c>
      <c r="Q3" s="39">
        <v>264.63400000000001</v>
      </c>
      <c r="T3" s="39" t="s">
        <v>7855</v>
      </c>
      <c r="U3" s="39" t="s">
        <v>7856</v>
      </c>
      <c r="V3" s="39">
        <v>1.1479999999999999</v>
      </c>
      <c r="W3" s="39">
        <v>4.1840000000000002</v>
      </c>
      <c r="X3" s="39">
        <v>4.3070000000000004</v>
      </c>
      <c r="Y3" s="39">
        <v>3.2589999999999999</v>
      </c>
      <c r="Z3" s="39">
        <v>2.1379999999999999</v>
      </c>
      <c r="AA3" s="39">
        <v>1.3520000000000001</v>
      </c>
      <c r="AC3" s="41">
        <v>1000</v>
      </c>
      <c r="AD3" s="41">
        <v>1000</v>
      </c>
      <c r="AE3" s="41">
        <v>1000</v>
      </c>
      <c r="AF3" s="41">
        <v>1000</v>
      </c>
      <c r="AG3" s="41">
        <v>1000</v>
      </c>
      <c r="AI3">
        <f t="shared" ref="AI3:AI64" si="1">V3*AC3</f>
        <v>1148</v>
      </c>
      <c r="AJ3">
        <f t="shared" ref="AJ3:AJ64" si="2">W3*AD3</f>
        <v>4184</v>
      </c>
      <c r="AK3">
        <f t="shared" ref="AK3:AK64" si="3">X3*AE3</f>
        <v>4307</v>
      </c>
      <c r="AL3">
        <f t="shared" ref="AL3:AL64" si="4">Y3*AF3</f>
        <v>3259</v>
      </c>
      <c r="AM3">
        <f t="shared" ref="AM3:AM64" si="5">Z3*AG3</f>
        <v>2138</v>
      </c>
    </row>
    <row r="4" spans="1:39" ht="42" thickBot="1" x14ac:dyDescent="0.3">
      <c r="A4" s="6" t="s">
        <v>968</v>
      </c>
      <c r="B4" s="6">
        <v>40.843000000000004</v>
      </c>
      <c r="C4" s="6">
        <v>24.228000000000002</v>
      </c>
      <c r="D4" s="6">
        <v>24.707999999999998</v>
      </c>
      <c r="E4" s="6">
        <v>23.626000000000001</v>
      </c>
      <c r="F4" s="6">
        <v>35.625</v>
      </c>
      <c r="G4" s="6">
        <v>29.245000000000001</v>
      </c>
      <c r="J4" s="39" t="s">
        <v>968</v>
      </c>
      <c r="K4" s="39" t="s">
        <v>3215</v>
      </c>
      <c r="L4" s="39">
        <v>40.843000000000004</v>
      </c>
      <c r="M4" s="39">
        <v>24.228000000000002</v>
      </c>
      <c r="N4" s="39">
        <v>24.707999999999998</v>
      </c>
      <c r="O4" s="39">
        <v>23.626000000000001</v>
      </c>
      <c r="P4" s="39">
        <v>35.625</v>
      </c>
      <c r="Q4" s="39">
        <v>29.245000000000001</v>
      </c>
      <c r="T4" s="39" t="s">
        <v>693</v>
      </c>
      <c r="U4" s="39" t="s">
        <v>2018</v>
      </c>
      <c r="V4" s="39">
        <v>57.685000000000002</v>
      </c>
      <c r="W4" s="39">
        <v>103.36</v>
      </c>
      <c r="X4" s="39">
        <v>95.647999999999996</v>
      </c>
      <c r="Y4" s="39">
        <v>105.31100000000001</v>
      </c>
      <c r="Z4" s="39">
        <v>94.441000000000003</v>
      </c>
      <c r="AA4" s="39">
        <v>106.623</v>
      </c>
      <c r="AC4" s="41">
        <v>1000</v>
      </c>
      <c r="AD4" s="41">
        <v>1000</v>
      </c>
      <c r="AE4" s="41">
        <v>1000</v>
      </c>
      <c r="AF4" s="41">
        <v>1000</v>
      </c>
      <c r="AG4" s="41">
        <v>1000</v>
      </c>
      <c r="AI4">
        <f t="shared" si="1"/>
        <v>57685</v>
      </c>
      <c r="AJ4">
        <f t="shared" si="2"/>
        <v>103360</v>
      </c>
      <c r="AK4">
        <f t="shared" si="3"/>
        <v>95648</v>
      </c>
      <c r="AL4">
        <f t="shared" si="4"/>
        <v>105311</v>
      </c>
      <c r="AM4">
        <f t="shared" si="5"/>
        <v>94441</v>
      </c>
    </row>
    <row r="5" spans="1:39" ht="55.8" thickBot="1" x14ac:dyDescent="0.3">
      <c r="A5" s="6" t="s">
        <v>969</v>
      </c>
      <c r="B5" s="6">
        <v>4.1859999999999999</v>
      </c>
      <c r="C5" s="6">
        <v>2.3769999999999998</v>
      </c>
      <c r="D5" s="6">
        <v>2.4769999999999999</v>
      </c>
      <c r="E5" s="6">
        <v>2.7250000000000001</v>
      </c>
      <c r="F5" s="6">
        <v>3.085</v>
      </c>
      <c r="G5" s="6">
        <v>2.9830000000000001</v>
      </c>
      <c r="J5" s="39" t="s">
        <v>969</v>
      </c>
      <c r="K5" s="39" t="s">
        <v>3420</v>
      </c>
      <c r="L5" s="39">
        <v>4.1859999999999999</v>
      </c>
      <c r="M5" s="39">
        <v>2.3769999999999998</v>
      </c>
      <c r="N5" s="39">
        <v>2.4769999999999999</v>
      </c>
      <c r="O5" s="39">
        <v>2.7250000000000001</v>
      </c>
      <c r="P5" s="39">
        <v>3.085</v>
      </c>
      <c r="Q5" s="39">
        <v>2.9830000000000001</v>
      </c>
      <c r="T5" s="39" t="s">
        <v>721</v>
      </c>
      <c r="U5" s="39" t="s">
        <v>2022</v>
      </c>
      <c r="V5" s="39">
        <v>59.371000000000002</v>
      </c>
      <c r="W5" s="39">
        <v>112.53400000000001</v>
      </c>
      <c r="X5" s="39">
        <v>112.723</v>
      </c>
      <c r="Y5" s="39">
        <v>95.301000000000002</v>
      </c>
      <c r="Z5" s="39">
        <v>90.59</v>
      </c>
      <c r="AA5" s="39">
        <v>92.445999999999998</v>
      </c>
      <c r="AC5" s="41">
        <v>1000</v>
      </c>
      <c r="AD5" s="41">
        <v>1000</v>
      </c>
      <c r="AE5" s="41">
        <v>1000</v>
      </c>
      <c r="AF5" s="41">
        <v>1000</v>
      </c>
      <c r="AG5" s="41">
        <v>1000</v>
      </c>
      <c r="AI5">
        <f t="shared" si="1"/>
        <v>59371</v>
      </c>
      <c r="AJ5">
        <f t="shared" si="2"/>
        <v>112534</v>
      </c>
      <c r="AK5">
        <f t="shared" si="3"/>
        <v>112723</v>
      </c>
      <c r="AL5">
        <f t="shared" si="4"/>
        <v>95301</v>
      </c>
      <c r="AM5">
        <f t="shared" si="5"/>
        <v>90590</v>
      </c>
    </row>
    <row r="6" spans="1:39" ht="42" thickBot="1" x14ac:dyDescent="0.3">
      <c r="A6" s="6" t="s">
        <v>970</v>
      </c>
      <c r="B6" s="6">
        <v>193.75899999999999</v>
      </c>
      <c r="C6" s="6">
        <v>118.62</v>
      </c>
      <c r="D6" s="6">
        <v>133.816</v>
      </c>
      <c r="E6" s="6">
        <v>130.15600000000001</v>
      </c>
      <c r="F6" s="6">
        <v>170.26499999999999</v>
      </c>
      <c r="G6" s="6">
        <v>155.251</v>
      </c>
      <c r="J6" s="39" t="s">
        <v>970</v>
      </c>
      <c r="K6" s="39" t="s">
        <v>2173</v>
      </c>
      <c r="L6" s="39">
        <v>193.75899999999999</v>
      </c>
      <c r="M6" s="39">
        <v>118.62</v>
      </c>
      <c r="N6" s="39">
        <v>133.816</v>
      </c>
      <c r="O6" s="39">
        <v>130.15600000000001</v>
      </c>
      <c r="P6" s="39">
        <v>170.26499999999999</v>
      </c>
      <c r="Q6" s="39">
        <v>155.251</v>
      </c>
      <c r="T6" s="39" t="s">
        <v>733</v>
      </c>
      <c r="U6" s="39" t="s">
        <v>2023</v>
      </c>
      <c r="V6" s="39" t="s">
        <v>2908</v>
      </c>
      <c r="W6" s="39" t="s">
        <v>2908</v>
      </c>
      <c r="X6" s="39" t="s">
        <v>2908</v>
      </c>
      <c r="Y6" s="39" t="s">
        <v>2908</v>
      </c>
      <c r="Z6" s="39" t="s">
        <v>2908</v>
      </c>
      <c r="AA6" s="39" t="s">
        <v>2908</v>
      </c>
      <c r="AC6" s="41">
        <v>1000</v>
      </c>
      <c r="AD6" s="41">
        <v>1000</v>
      </c>
      <c r="AE6" s="41">
        <v>1000</v>
      </c>
      <c r="AF6" s="41">
        <v>1000</v>
      </c>
      <c r="AG6" s="41">
        <v>1000</v>
      </c>
      <c r="AI6" t="e">
        <f t="shared" si="1"/>
        <v>#VALUE!</v>
      </c>
      <c r="AJ6" t="e">
        <f t="shared" si="2"/>
        <v>#VALUE!</v>
      </c>
      <c r="AK6" t="e">
        <f t="shared" si="3"/>
        <v>#VALUE!</v>
      </c>
      <c r="AL6" t="e">
        <f t="shared" si="4"/>
        <v>#VALUE!</v>
      </c>
      <c r="AM6" t="e">
        <f t="shared" si="5"/>
        <v>#VALUE!</v>
      </c>
    </row>
    <row r="7" spans="1:39" ht="42" thickBot="1" x14ac:dyDescent="0.3">
      <c r="A7" s="6" t="s">
        <v>971</v>
      </c>
      <c r="B7" s="6">
        <v>23.994</v>
      </c>
      <c r="C7" s="6">
        <v>14.21</v>
      </c>
      <c r="D7" s="6">
        <v>15.43</v>
      </c>
      <c r="E7" s="6">
        <v>13.204000000000001</v>
      </c>
      <c r="F7" s="6">
        <v>19.178000000000001</v>
      </c>
      <c r="G7" s="6">
        <v>17.114999999999998</v>
      </c>
      <c r="J7" s="39" t="s">
        <v>971</v>
      </c>
      <c r="K7" s="39" t="s">
        <v>6152</v>
      </c>
      <c r="L7" s="39">
        <v>23.994</v>
      </c>
      <c r="M7" s="39">
        <v>14.21</v>
      </c>
      <c r="N7" s="39">
        <v>15.43</v>
      </c>
      <c r="O7" s="39">
        <v>13.204000000000001</v>
      </c>
      <c r="P7" s="39">
        <v>19.178000000000001</v>
      </c>
      <c r="Q7" s="39">
        <v>17.114999999999998</v>
      </c>
      <c r="T7" s="39" t="s">
        <v>697</v>
      </c>
      <c r="U7" s="39" t="s">
        <v>2019</v>
      </c>
      <c r="V7" s="39">
        <v>69.105000000000004</v>
      </c>
      <c r="W7" s="39">
        <v>124.348</v>
      </c>
      <c r="X7" s="39">
        <v>106.66200000000001</v>
      </c>
      <c r="Y7" s="39">
        <v>127.15900000000001</v>
      </c>
      <c r="Z7" s="39">
        <v>109.52800000000001</v>
      </c>
      <c r="AA7" s="39">
        <v>115.971</v>
      </c>
      <c r="AC7" s="41">
        <v>1000</v>
      </c>
      <c r="AD7" s="41">
        <v>1000</v>
      </c>
      <c r="AE7" s="41">
        <v>1000</v>
      </c>
      <c r="AF7" s="41">
        <v>1000</v>
      </c>
      <c r="AG7" s="41">
        <v>1000</v>
      </c>
      <c r="AI7">
        <f t="shared" si="1"/>
        <v>69105</v>
      </c>
      <c r="AJ7">
        <f t="shared" si="2"/>
        <v>124348</v>
      </c>
      <c r="AK7">
        <f t="shared" si="3"/>
        <v>106662</v>
      </c>
      <c r="AL7">
        <f t="shared" si="4"/>
        <v>127159</v>
      </c>
      <c r="AM7">
        <f t="shared" si="5"/>
        <v>109528</v>
      </c>
    </row>
    <row r="8" spans="1:39" ht="42" thickBot="1" x14ac:dyDescent="0.3">
      <c r="A8" s="6" t="s">
        <v>697</v>
      </c>
      <c r="B8" s="6">
        <v>69.105000000000004</v>
      </c>
      <c r="C8" s="6">
        <v>124.348</v>
      </c>
      <c r="D8" s="6">
        <v>106.66200000000001</v>
      </c>
      <c r="E8" s="6">
        <v>127.15900000000001</v>
      </c>
      <c r="F8" s="6">
        <v>109.52800000000001</v>
      </c>
      <c r="G8" s="6">
        <v>115.971</v>
      </c>
      <c r="J8" s="39" t="s">
        <v>697</v>
      </c>
      <c r="K8" s="39" t="s">
        <v>2019</v>
      </c>
      <c r="L8" s="39">
        <v>69.105000000000004</v>
      </c>
      <c r="M8" s="39">
        <v>124.348</v>
      </c>
      <c r="N8" s="39">
        <v>106.66200000000001</v>
      </c>
      <c r="O8" s="39">
        <v>127.15900000000001</v>
      </c>
      <c r="P8" s="39">
        <v>109.52800000000001</v>
      </c>
      <c r="Q8" s="39">
        <v>115.971</v>
      </c>
      <c r="T8" s="39" t="s">
        <v>967</v>
      </c>
      <c r="U8" s="39" t="s">
        <v>2178</v>
      </c>
      <c r="V8" s="39">
        <v>348.67099999999999</v>
      </c>
      <c r="W8" s="39">
        <v>234.36199999999999</v>
      </c>
      <c r="X8" s="39">
        <v>263.12299999999999</v>
      </c>
      <c r="Y8" s="39">
        <v>242.75299999999999</v>
      </c>
      <c r="Z8" s="39">
        <v>297.11500000000001</v>
      </c>
      <c r="AA8" s="39">
        <v>264.63400000000001</v>
      </c>
      <c r="AC8" s="41">
        <v>1000</v>
      </c>
      <c r="AD8" s="41">
        <v>1000</v>
      </c>
      <c r="AE8" s="41">
        <v>1000</v>
      </c>
      <c r="AF8" s="41">
        <v>1000</v>
      </c>
      <c r="AG8" s="41">
        <v>1000</v>
      </c>
      <c r="AI8">
        <f t="shared" si="1"/>
        <v>348671</v>
      </c>
      <c r="AJ8">
        <f t="shared" si="2"/>
        <v>234362</v>
      </c>
      <c r="AK8">
        <f t="shared" si="3"/>
        <v>263123</v>
      </c>
      <c r="AL8">
        <f t="shared" si="4"/>
        <v>242753</v>
      </c>
      <c r="AM8">
        <f t="shared" si="5"/>
        <v>297115</v>
      </c>
    </row>
    <row r="9" spans="1:39" ht="42" thickBot="1" x14ac:dyDescent="0.3">
      <c r="A9" s="6" t="s">
        <v>972</v>
      </c>
      <c r="B9" s="6">
        <v>0.372</v>
      </c>
      <c r="C9" s="6">
        <v>0.47099999999999997</v>
      </c>
      <c r="D9" s="6">
        <v>0.50700000000000001</v>
      </c>
      <c r="E9" s="6">
        <v>0.20899999999999999</v>
      </c>
      <c r="F9" s="6">
        <v>0.17199999999999999</v>
      </c>
      <c r="G9" s="6">
        <v>0.61899999999999999</v>
      </c>
      <c r="J9" s="39" t="s">
        <v>972</v>
      </c>
      <c r="K9" s="39" t="s">
        <v>3856</v>
      </c>
      <c r="L9" s="39">
        <v>0.372</v>
      </c>
      <c r="M9" s="39">
        <v>0.47099999999999997</v>
      </c>
      <c r="N9" s="39">
        <v>0.50700000000000001</v>
      </c>
      <c r="O9" s="39">
        <v>0.20899999999999999</v>
      </c>
      <c r="P9" s="39">
        <v>0.17199999999999999</v>
      </c>
      <c r="Q9" s="39">
        <v>0.61899999999999999</v>
      </c>
      <c r="T9" s="39" t="s">
        <v>908</v>
      </c>
      <c r="U9" s="39" t="s">
        <v>2898</v>
      </c>
      <c r="V9" s="39">
        <v>9.5359999999999996</v>
      </c>
      <c r="W9" s="39">
        <v>14.837999999999999</v>
      </c>
      <c r="X9" s="39">
        <v>13.250999999999999</v>
      </c>
      <c r="Y9" s="39">
        <v>10.544</v>
      </c>
      <c r="Z9" s="39">
        <v>11.834</v>
      </c>
      <c r="AA9" s="39">
        <v>12.452</v>
      </c>
      <c r="AC9" s="41">
        <v>1000</v>
      </c>
      <c r="AD9" s="41">
        <v>1000</v>
      </c>
      <c r="AE9" s="41">
        <v>1000</v>
      </c>
      <c r="AF9" s="41">
        <v>1000</v>
      </c>
      <c r="AG9" s="41">
        <v>1000</v>
      </c>
      <c r="AI9">
        <f t="shared" si="1"/>
        <v>9536</v>
      </c>
      <c r="AJ9">
        <f t="shared" si="2"/>
        <v>14838</v>
      </c>
      <c r="AK9">
        <f t="shared" si="3"/>
        <v>13251</v>
      </c>
      <c r="AL9">
        <f t="shared" si="4"/>
        <v>10544</v>
      </c>
      <c r="AM9">
        <f t="shared" si="5"/>
        <v>11834</v>
      </c>
    </row>
    <row r="10" spans="1:39" ht="97.2" thickBot="1" x14ac:dyDescent="0.3">
      <c r="A10" s="6" t="s">
        <v>721</v>
      </c>
      <c r="B10" s="6">
        <v>59.371000000000002</v>
      </c>
      <c r="C10" s="6">
        <v>112.53400000000001</v>
      </c>
      <c r="D10" s="6">
        <v>112.723</v>
      </c>
      <c r="E10" s="6">
        <v>95.301000000000002</v>
      </c>
      <c r="F10" s="6">
        <v>90.59</v>
      </c>
      <c r="G10" s="6">
        <v>92.945999999999998</v>
      </c>
      <c r="J10" s="39" t="s">
        <v>721</v>
      </c>
      <c r="K10" s="39" t="s">
        <v>2022</v>
      </c>
      <c r="L10" s="39">
        <v>59.371000000000002</v>
      </c>
      <c r="M10" s="39">
        <v>112.53400000000001</v>
      </c>
      <c r="N10" s="39">
        <v>112.723</v>
      </c>
      <c r="O10" s="39">
        <v>95.301000000000002</v>
      </c>
      <c r="P10" s="39">
        <v>90.59</v>
      </c>
      <c r="Q10" s="39">
        <v>92.445999999999998</v>
      </c>
      <c r="T10" s="39" t="s">
        <v>1155</v>
      </c>
      <c r="U10" s="39" t="s">
        <v>2909</v>
      </c>
      <c r="V10" s="39" t="s">
        <v>2908</v>
      </c>
      <c r="W10" s="39" t="s">
        <v>2908</v>
      </c>
      <c r="X10" s="39" t="s">
        <v>2908</v>
      </c>
      <c r="Y10" s="39" t="s">
        <v>2908</v>
      </c>
      <c r="Z10" s="39" t="s">
        <v>2908</v>
      </c>
      <c r="AA10" s="39" t="s">
        <v>2908</v>
      </c>
      <c r="AC10" s="41">
        <v>1000</v>
      </c>
      <c r="AD10" s="41">
        <v>1000</v>
      </c>
      <c r="AE10" s="41">
        <v>1000</v>
      </c>
      <c r="AF10" s="41">
        <v>1000</v>
      </c>
      <c r="AG10" s="41">
        <v>1000</v>
      </c>
      <c r="AI10" t="e">
        <f t="shared" si="1"/>
        <v>#VALUE!</v>
      </c>
      <c r="AJ10" t="e">
        <f t="shared" si="2"/>
        <v>#VALUE!</v>
      </c>
      <c r="AK10" t="e">
        <f t="shared" si="3"/>
        <v>#VALUE!</v>
      </c>
      <c r="AL10" t="e">
        <f t="shared" si="4"/>
        <v>#VALUE!</v>
      </c>
      <c r="AM10" t="e">
        <f t="shared" si="5"/>
        <v>#VALUE!</v>
      </c>
    </row>
    <row r="11" spans="1:39" ht="69.599999999999994" thickBot="1" x14ac:dyDescent="0.3">
      <c r="A11" s="6" t="s">
        <v>973</v>
      </c>
      <c r="B11" s="6">
        <v>1.1619999999999999</v>
      </c>
      <c r="C11" s="6">
        <v>1.1619999999999999</v>
      </c>
      <c r="D11" s="6">
        <v>1.1619999999999999</v>
      </c>
      <c r="E11" s="6">
        <v>1.1619999999999999</v>
      </c>
      <c r="F11" s="6" t="s">
        <v>29</v>
      </c>
      <c r="G11" s="6" t="s">
        <v>29</v>
      </c>
      <c r="J11" s="39" t="s">
        <v>973</v>
      </c>
      <c r="K11" s="39" t="s">
        <v>3392</v>
      </c>
      <c r="L11" s="39">
        <v>1.1619999999999999</v>
      </c>
      <c r="M11" s="39">
        <v>1.1619999999999999</v>
      </c>
      <c r="N11" s="39">
        <v>1.1619999999999999</v>
      </c>
      <c r="O11" s="39">
        <v>1.1619999999999999</v>
      </c>
      <c r="P11" s="39" t="s">
        <v>29</v>
      </c>
      <c r="Q11" s="39" t="s">
        <v>29</v>
      </c>
      <c r="T11" s="39" t="s">
        <v>7859</v>
      </c>
      <c r="U11" s="39" t="s">
        <v>2910</v>
      </c>
      <c r="V11" s="39" t="s">
        <v>2908</v>
      </c>
      <c r="W11" s="39" t="s">
        <v>2908</v>
      </c>
      <c r="X11" s="39" t="s">
        <v>2908</v>
      </c>
      <c r="Y11" s="39" t="s">
        <v>2908</v>
      </c>
      <c r="Z11" s="39" t="s">
        <v>2908</v>
      </c>
      <c r="AA11" s="39" t="s">
        <v>2908</v>
      </c>
      <c r="AC11" s="41">
        <v>1000</v>
      </c>
      <c r="AD11" s="41">
        <v>1000</v>
      </c>
      <c r="AE11" s="41">
        <v>1000</v>
      </c>
      <c r="AF11" s="41">
        <v>1000</v>
      </c>
      <c r="AG11" s="41">
        <v>1000</v>
      </c>
      <c r="AI11" t="e">
        <f t="shared" si="1"/>
        <v>#VALUE!</v>
      </c>
      <c r="AJ11" t="e">
        <f t="shared" si="2"/>
        <v>#VALUE!</v>
      </c>
      <c r="AK11" t="e">
        <f t="shared" si="3"/>
        <v>#VALUE!</v>
      </c>
      <c r="AL11" t="e">
        <f t="shared" si="4"/>
        <v>#VALUE!</v>
      </c>
      <c r="AM11" t="e">
        <f t="shared" si="5"/>
        <v>#VALUE!</v>
      </c>
    </row>
    <row r="12" spans="1:39" ht="42" thickBot="1" x14ac:dyDescent="0.3">
      <c r="A12" s="6" t="s">
        <v>894</v>
      </c>
      <c r="B12" s="6">
        <v>0.42299999999999999</v>
      </c>
      <c r="C12" s="6">
        <v>1.629</v>
      </c>
      <c r="D12" s="6">
        <v>1.2629999999999999</v>
      </c>
      <c r="E12" s="6">
        <v>1.996</v>
      </c>
      <c r="F12" s="6">
        <v>2.609</v>
      </c>
      <c r="G12" s="6">
        <v>2.399</v>
      </c>
      <c r="J12" s="39" t="s">
        <v>894</v>
      </c>
      <c r="K12" s="39" t="s">
        <v>2164</v>
      </c>
      <c r="L12" s="39">
        <v>0.42299999999999999</v>
      </c>
      <c r="M12" s="39">
        <v>1.629</v>
      </c>
      <c r="N12" s="39">
        <v>1.2629999999999999</v>
      </c>
      <c r="O12" s="39">
        <v>1.996</v>
      </c>
      <c r="P12" s="39">
        <v>2.609</v>
      </c>
      <c r="Q12" s="39">
        <v>2.399</v>
      </c>
      <c r="T12" s="39" t="s">
        <v>709</v>
      </c>
      <c r="U12" s="39" t="s">
        <v>2911</v>
      </c>
      <c r="V12" s="39" t="s">
        <v>2908</v>
      </c>
      <c r="W12" s="39" t="s">
        <v>2908</v>
      </c>
      <c r="X12" s="39" t="s">
        <v>2908</v>
      </c>
      <c r="Y12" s="39" t="s">
        <v>2908</v>
      </c>
      <c r="Z12" s="39" t="s">
        <v>2908</v>
      </c>
      <c r="AA12" s="39" t="s">
        <v>2908</v>
      </c>
      <c r="AC12" s="41">
        <v>1000</v>
      </c>
      <c r="AD12" s="41">
        <v>1000</v>
      </c>
      <c r="AE12" s="41">
        <v>1000</v>
      </c>
      <c r="AF12" s="41">
        <v>1000</v>
      </c>
      <c r="AG12" s="41">
        <v>1000</v>
      </c>
      <c r="AI12" t="e">
        <f t="shared" si="1"/>
        <v>#VALUE!</v>
      </c>
      <c r="AJ12" t="e">
        <f t="shared" si="2"/>
        <v>#VALUE!</v>
      </c>
      <c r="AK12" t="e">
        <f t="shared" si="3"/>
        <v>#VALUE!</v>
      </c>
      <c r="AL12" t="e">
        <f t="shared" si="4"/>
        <v>#VALUE!</v>
      </c>
      <c r="AM12" t="e">
        <f t="shared" si="5"/>
        <v>#VALUE!</v>
      </c>
    </row>
    <row r="13" spans="1:39" ht="97.2" thickBot="1" x14ac:dyDescent="0.3">
      <c r="A13" s="6" t="s">
        <v>693</v>
      </c>
      <c r="B13" s="6">
        <v>57.685000000000002</v>
      </c>
      <c r="C13" s="6">
        <v>103.36</v>
      </c>
      <c r="D13" s="6">
        <v>96.548000000000002</v>
      </c>
      <c r="E13" s="6">
        <v>105.31100000000001</v>
      </c>
      <c r="F13" s="6">
        <v>94.441000000000003</v>
      </c>
      <c r="G13" s="6">
        <v>106.623</v>
      </c>
      <c r="J13" s="39" t="s">
        <v>693</v>
      </c>
      <c r="K13" s="39" t="s">
        <v>2018</v>
      </c>
      <c r="L13" s="39">
        <v>57.685000000000002</v>
      </c>
      <c r="M13" s="39">
        <v>103.36</v>
      </c>
      <c r="N13" s="39">
        <v>95.647999999999996</v>
      </c>
      <c r="O13" s="39">
        <v>105.31100000000001</v>
      </c>
      <c r="P13" s="39">
        <v>94.441000000000003</v>
      </c>
      <c r="Q13" s="39">
        <v>106.623</v>
      </c>
      <c r="T13" s="39" t="s">
        <v>7860</v>
      </c>
      <c r="U13" s="39" t="s">
        <v>7861</v>
      </c>
      <c r="V13" s="39" t="s">
        <v>2908</v>
      </c>
      <c r="W13" s="39" t="s">
        <v>2908</v>
      </c>
      <c r="X13" s="39" t="s">
        <v>2908</v>
      </c>
      <c r="Y13" s="39" t="s">
        <v>2908</v>
      </c>
      <c r="Z13" s="39" t="s">
        <v>2908</v>
      </c>
      <c r="AA13" s="39" t="s">
        <v>2908</v>
      </c>
      <c r="AC13" s="41">
        <v>1000</v>
      </c>
      <c r="AD13" s="41">
        <v>1000</v>
      </c>
      <c r="AE13" s="41">
        <v>1000</v>
      </c>
      <c r="AF13" s="41">
        <v>1000</v>
      </c>
      <c r="AG13" s="41">
        <v>1000</v>
      </c>
      <c r="AI13" t="e">
        <f t="shared" si="1"/>
        <v>#VALUE!</v>
      </c>
      <c r="AJ13" t="e">
        <f t="shared" si="2"/>
        <v>#VALUE!</v>
      </c>
      <c r="AK13" t="e">
        <f t="shared" si="3"/>
        <v>#VALUE!</v>
      </c>
      <c r="AL13" t="e">
        <f t="shared" si="4"/>
        <v>#VALUE!</v>
      </c>
      <c r="AM13" t="e">
        <f t="shared" si="5"/>
        <v>#VALUE!</v>
      </c>
    </row>
    <row r="14" spans="1:39" ht="69.599999999999994" thickBot="1" x14ac:dyDescent="0.3">
      <c r="A14" s="6" t="s">
        <v>974</v>
      </c>
      <c r="B14" s="6">
        <v>0.80900000000000005</v>
      </c>
      <c r="C14" s="6">
        <v>0.997</v>
      </c>
      <c r="D14" s="6">
        <v>0.20100000000000001</v>
      </c>
      <c r="E14" s="6">
        <v>1.611</v>
      </c>
      <c r="F14" s="6">
        <v>1.369</v>
      </c>
      <c r="G14" s="6">
        <v>0.621</v>
      </c>
      <c r="J14" s="39" t="s">
        <v>974</v>
      </c>
      <c r="K14" s="39" t="s">
        <v>2170</v>
      </c>
      <c r="L14" s="39">
        <v>0.80900000000000005</v>
      </c>
      <c r="M14" s="39">
        <v>0.997</v>
      </c>
      <c r="N14" s="39">
        <v>0.20100000000000001</v>
      </c>
      <c r="O14" s="39">
        <v>1.611</v>
      </c>
      <c r="P14" s="39">
        <v>1.369</v>
      </c>
      <c r="Q14" s="39">
        <v>0.621</v>
      </c>
      <c r="T14" s="39" t="s">
        <v>749</v>
      </c>
      <c r="U14" s="39" t="s">
        <v>2913</v>
      </c>
      <c r="V14" s="39" t="s">
        <v>2908</v>
      </c>
      <c r="W14" s="39" t="s">
        <v>2908</v>
      </c>
      <c r="X14" s="39" t="s">
        <v>2908</v>
      </c>
      <c r="Y14" s="39" t="s">
        <v>2908</v>
      </c>
      <c r="Z14" s="39" t="s">
        <v>2908</v>
      </c>
      <c r="AA14" s="39" t="s">
        <v>2908</v>
      </c>
      <c r="AC14" s="41">
        <v>1000</v>
      </c>
      <c r="AD14" s="41">
        <v>1000</v>
      </c>
      <c r="AE14" s="41">
        <v>1000</v>
      </c>
      <c r="AF14" s="41">
        <v>1000</v>
      </c>
      <c r="AG14" s="41">
        <v>1000</v>
      </c>
      <c r="AI14" t="e">
        <f t="shared" si="1"/>
        <v>#VALUE!</v>
      </c>
      <c r="AJ14" t="e">
        <f t="shared" si="2"/>
        <v>#VALUE!</v>
      </c>
      <c r="AK14" t="e">
        <f t="shared" si="3"/>
        <v>#VALUE!</v>
      </c>
      <c r="AL14" t="e">
        <f t="shared" si="4"/>
        <v>#VALUE!</v>
      </c>
      <c r="AM14" t="e">
        <f t="shared" si="5"/>
        <v>#VALUE!</v>
      </c>
    </row>
    <row r="15" spans="1:39" ht="42" thickBot="1" x14ac:dyDescent="0.3">
      <c r="A15" s="6" t="s">
        <v>975</v>
      </c>
      <c r="B15" s="6">
        <v>1.1479999999999999</v>
      </c>
      <c r="C15" s="6">
        <v>4.1840000000000002</v>
      </c>
      <c r="D15" s="6">
        <v>4.3070000000000004</v>
      </c>
      <c r="E15" s="6">
        <v>3.2589999999999999</v>
      </c>
      <c r="F15" s="6">
        <v>2.1379999999999999</v>
      </c>
      <c r="G15" s="6">
        <v>1.3520000000000001</v>
      </c>
      <c r="J15" s="39" t="s">
        <v>7855</v>
      </c>
      <c r="K15" s="39" t="s">
        <v>2162</v>
      </c>
      <c r="L15" s="39">
        <v>1.1479999999999999</v>
      </c>
      <c r="M15" s="39">
        <v>4.1840000000000002</v>
      </c>
      <c r="N15" s="39">
        <v>4.3070000000000004</v>
      </c>
      <c r="O15" s="39">
        <v>3.2589999999999999</v>
      </c>
      <c r="P15" s="39">
        <v>2.1379999999999999</v>
      </c>
      <c r="Q15" s="39">
        <v>1.3520000000000001</v>
      </c>
      <c r="T15" s="39" t="s">
        <v>970</v>
      </c>
      <c r="U15" s="39" t="s">
        <v>2173</v>
      </c>
      <c r="V15" s="39">
        <v>193.75899999999999</v>
      </c>
      <c r="W15" s="39">
        <v>118.62</v>
      </c>
      <c r="X15" s="39">
        <v>133.816</v>
      </c>
      <c r="Y15" s="39">
        <v>130.15600000000001</v>
      </c>
      <c r="Z15" s="39">
        <v>170.26499999999999</v>
      </c>
      <c r="AA15" s="39">
        <v>155.251</v>
      </c>
      <c r="AC15" s="41">
        <v>1000</v>
      </c>
      <c r="AD15" s="41">
        <v>1000</v>
      </c>
      <c r="AE15" s="41">
        <v>1000</v>
      </c>
      <c r="AF15" s="41">
        <v>1000</v>
      </c>
      <c r="AG15" s="41">
        <v>1000</v>
      </c>
      <c r="AI15">
        <f t="shared" si="1"/>
        <v>193759</v>
      </c>
      <c r="AJ15">
        <f t="shared" si="2"/>
        <v>118620</v>
      </c>
      <c r="AK15">
        <f t="shared" si="3"/>
        <v>133816</v>
      </c>
      <c r="AL15">
        <f t="shared" si="4"/>
        <v>130156</v>
      </c>
      <c r="AM15">
        <f t="shared" si="5"/>
        <v>170265</v>
      </c>
    </row>
    <row r="16" spans="1:39" ht="55.8" thickBot="1" x14ac:dyDescent="0.3">
      <c r="A16" s="6" t="s">
        <v>741</v>
      </c>
      <c r="B16" s="6">
        <v>3.5190000000000001</v>
      </c>
      <c r="C16" s="6">
        <v>5.3220000000000001</v>
      </c>
      <c r="D16" s="6">
        <v>5.0839999999999996</v>
      </c>
      <c r="E16" s="6">
        <v>6.516</v>
      </c>
      <c r="F16" s="6">
        <v>5.4880000000000004</v>
      </c>
      <c r="G16" s="6">
        <v>6.41</v>
      </c>
      <c r="J16" s="39" t="s">
        <v>741</v>
      </c>
      <c r="K16" s="39" t="s">
        <v>2915</v>
      </c>
      <c r="L16" s="39">
        <v>3.5190000000000001</v>
      </c>
      <c r="M16" s="39">
        <v>5.3220000000000001</v>
      </c>
      <c r="N16" s="39">
        <v>5.0839999999999996</v>
      </c>
      <c r="O16" s="39">
        <v>6.516</v>
      </c>
      <c r="P16" s="39">
        <v>5.4880000000000004</v>
      </c>
      <c r="Q16" s="39">
        <v>6.41</v>
      </c>
      <c r="T16" s="39" t="s">
        <v>793</v>
      </c>
      <c r="U16" s="39" t="s">
        <v>2914</v>
      </c>
      <c r="V16" s="39">
        <v>86.3</v>
      </c>
      <c r="W16" s="39">
        <v>69.305000000000007</v>
      </c>
      <c r="X16" s="39">
        <v>32.877000000000002</v>
      </c>
      <c r="Y16" s="39">
        <v>59.223999999999997</v>
      </c>
      <c r="Z16" s="39">
        <v>67.343999999999994</v>
      </c>
      <c r="AA16" s="39">
        <v>72.534000000000006</v>
      </c>
      <c r="AC16" s="41">
        <v>1000</v>
      </c>
      <c r="AD16" s="41">
        <v>1000</v>
      </c>
      <c r="AE16" s="41">
        <v>1000</v>
      </c>
      <c r="AF16" s="41">
        <v>1000</v>
      </c>
      <c r="AG16" s="41">
        <v>1000</v>
      </c>
      <c r="AI16">
        <f t="shared" si="1"/>
        <v>86300</v>
      </c>
      <c r="AJ16">
        <f t="shared" si="2"/>
        <v>69305</v>
      </c>
      <c r="AK16">
        <f t="shared" si="3"/>
        <v>32877</v>
      </c>
      <c r="AL16">
        <f t="shared" si="4"/>
        <v>59224</v>
      </c>
      <c r="AM16">
        <f t="shared" si="5"/>
        <v>67344</v>
      </c>
    </row>
    <row r="17" spans="1:39" ht="69.599999999999994" thickBot="1" x14ac:dyDescent="0.3">
      <c r="A17" s="6" t="s">
        <v>976</v>
      </c>
      <c r="B17" s="6">
        <v>2.5550000000000002</v>
      </c>
      <c r="C17" s="6">
        <v>2.468</v>
      </c>
      <c r="D17" s="6">
        <v>2.2010000000000001</v>
      </c>
      <c r="E17" s="6">
        <v>4.0339999999999998</v>
      </c>
      <c r="F17" s="6">
        <v>2.5710000000000002</v>
      </c>
      <c r="G17" s="6">
        <v>2.5179999999999998</v>
      </c>
      <c r="J17" s="39" t="s">
        <v>976</v>
      </c>
      <c r="K17" s="39" t="s">
        <v>8058</v>
      </c>
      <c r="L17" s="39">
        <v>2.5550000000000002</v>
      </c>
      <c r="M17" s="39">
        <v>2.468</v>
      </c>
      <c r="N17" s="39">
        <v>2.2010000000000001</v>
      </c>
      <c r="O17" s="39">
        <v>4.0339999999999998</v>
      </c>
      <c r="P17" s="39">
        <v>2.5710000000000002</v>
      </c>
      <c r="Q17" s="39">
        <v>2.5179999999999998</v>
      </c>
      <c r="T17" s="39" t="s">
        <v>789</v>
      </c>
      <c r="U17" s="39" t="s">
        <v>2029</v>
      </c>
      <c r="V17" s="39">
        <v>7.5250000000000004</v>
      </c>
      <c r="W17" s="39">
        <v>9.2449999999999992</v>
      </c>
      <c r="X17" s="39">
        <v>11.14</v>
      </c>
      <c r="Y17" s="39">
        <v>10.896000000000001</v>
      </c>
      <c r="Z17" s="39">
        <v>11.532999999999999</v>
      </c>
      <c r="AA17" s="39">
        <v>11.648</v>
      </c>
      <c r="AC17" s="41">
        <v>1000</v>
      </c>
      <c r="AD17" s="41">
        <v>1000</v>
      </c>
      <c r="AE17" s="41">
        <v>1000</v>
      </c>
      <c r="AF17" s="41">
        <v>1000</v>
      </c>
      <c r="AG17" s="41">
        <v>1000</v>
      </c>
      <c r="AI17">
        <f t="shared" si="1"/>
        <v>7525</v>
      </c>
      <c r="AJ17">
        <f t="shared" si="2"/>
        <v>9245</v>
      </c>
      <c r="AK17">
        <f t="shared" si="3"/>
        <v>11140</v>
      </c>
      <c r="AL17">
        <f t="shared" si="4"/>
        <v>10896</v>
      </c>
      <c r="AM17">
        <f t="shared" si="5"/>
        <v>11533</v>
      </c>
    </row>
    <row r="18" spans="1:39" ht="55.8" thickBot="1" x14ac:dyDescent="0.3">
      <c r="A18" s="6" t="s">
        <v>905</v>
      </c>
      <c r="B18" s="6">
        <v>1170.5239999999999</v>
      </c>
      <c r="C18" s="6">
        <v>1206.133</v>
      </c>
      <c r="D18" s="6">
        <v>1251.2370000000001</v>
      </c>
      <c r="E18" s="6">
        <v>1217.046</v>
      </c>
      <c r="F18" s="6">
        <v>1264.0309999999999</v>
      </c>
      <c r="G18" s="6">
        <v>1261.51</v>
      </c>
      <c r="J18" s="39" t="s">
        <v>905</v>
      </c>
      <c r="K18" s="39" t="s">
        <v>2017</v>
      </c>
      <c r="L18" s="39">
        <v>1170.5239999999999</v>
      </c>
      <c r="M18" s="39">
        <v>1206.133</v>
      </c>
      <c r="N18" s="39">
        <v>1251.2370000000001</v>
      </c>
      <c r="O18" s="39">
        <v>1217.046</v>
      </c>
      <c r="P18" s="39">
        <v>1264.0309999999999</v>
      </c>
      <c r="Q18" s="39">
        <v>1261.51</v>
      </c>
      <c r="T18" s="39" t="s">
        <v>785</v>
      </c>
      <c r="U18" s="39" t="s">
        <v>2028</v>
      </c>
      <c r="V18" s="39">
        <v>6.9669999999999996</v>
      </c>
      <c r="W18" s="39">
        <v>9.9600000000000009</v>
      </c>
      <c r="X18" s="39">
        <v>10.420999999999999</v>
      </c>
      <c r="Y18" s="39">
        <v>10.782999999999999</v>
      </c>
      <c r="Z18" s="39">
        <v>11.475</v>
      </c>
      <c r="AA18" s="39">
        <v>12.404999999999999</v>
      </c>
      <c r="AC18" s="41">
        <v>1000</v>
      </c>
      <c r="AD18" s="41">
        <v>1000</v>
      </c>
      <c r="AE18" s="41">
        <v>1000</v>
      </c>
      <c r="AF18" s="41">
        <v>1000</v>
      </c>
      <c r="AG18" s="41">
        <v>1000</v>
      </c>
      <c r="AI18">
        <f t="shared" si="1"/>
        <v>6967</v>
      </c>
      <c r="AJ18">
        <f t="shared" si="2"/>
        <v>9960</v>
      </c>
      <c r="AK18">
        <f t="shared" si="3"/>
        <v>10421</v>
      </c>
      <c r="AL18">
        <f t="shared" si="4"/>
        <v>10783</v>
      </c>
      <c r="AM18">
        <f t="shared" si="5"/>
        <v>11475</v>
      </c>
    </row>
    <row r="19" spans="1:39" ht="55.8" thickBot="1" x14ac:dyDescent="0.3">
      <c r="A19" s="6" t="s">
        <v>977</v>
      </c>
      <c r="B19" s="6">
        <v>4.1050000000000004</v>
      </c>
      <c r="C19" s="6">
        <v>3.6349999999999998</v>
      </c>
      <c r="D19" s="6">
        <v>3.371</v>
      </c>
      <c r="E19" s="6">
        <v>3.5790000000000002</v>
      </c>
      <c r="F19" s="6">
        <v>3.4239999999999999</v>
      </c>
      <c r="G19" s="6">
        <v>3.8279999999999998</v>
      </c>
      <c r="J19" s="39" t="s">
        <v>977</v>
      </c>
      <c r="K19" s="39" t="s">
        <v>2362</v>
      </c>
      <c r="L19" s="39">
        <v>4.1050000000000004</v>
      </c>
      <c r="M19" s="39">
        <v>3.3650000000000002</v>
      </c>
      <c r="N19" s="39">
        <v>3.371</v>
      </c>
      <c r="O19" s="39">
        <v>3.5790000000000002</v>
      </c>
      <c r="P19" s="39">
        <v>3.4239999999999999</v>
      </c>
      <c r="Q19" s="39">
        <v>3.8279999999999998</v>
      </c>
      <c r="T19" s="39" t="s">
        <v>741</v>
      </c>
      <c r="U19" s="39" t="s">
        <v>2915</v>
      </c>
      <c r="V19" s="39">
        <v>3.5190000000000001</v>
      </c>
      <c r="W19" s="39">
        <v>5.3220000000000001</v>
      </c>
      <c r="X19" s="39">
        <v>5.0839999999999996</v>
      </c>
      <c r="Y19" s="39">
        <v>6.516</v>
      </c>
      <c r="Z19" s="39">
        <v>5.4880000000000004</v>
      </c>
      <c r="AA19" s="39">
        <v>6.41</v>
      </c>
      <c r="AC19" s="41">
        <v>1000</v>
      </c>
      <c r="AD19" s="41">
        <v>1000</v>
      </c>
      <c r="AE19" s="41">
        <v>1000</v>
      </c>
      <c r="AF19" s="41">
        <v>1000</v>
      </c>
      <c r="AG19" s="41">
        <v>1000</v>
      </c>
      <c r="AI19">
        <f t="shared" si="1"/>
        <v>3519</v>
      </c>
      <c r="AJ19">
        <f t="shared" si="2"/>
        <v>5322</v>
      </c>
      <c r="AK19">
        <f t="shared" si="3"/>
        <v>5084</v>
      </c>
      <c r="AL19">
        <f t="shared" si="4"/>
        <v>6516</v>
      </c>
      <c r="AM19">
        <f t="shared" si="5"/>
        <v>5488</v>
      </c>
    </row>
    <row r="20" spans="1:39" ht="42" thickBot="1" x14ac:dyDescent="0.3">
      <c r="A20" s="6" t="s">
        <v>978</v>
      </c>
      <c r="B20" s="6">
        <v>7.5060000000000002</v>
      </c>
      <c r="C20" s="6">
        <v>6.819</v>
      </c>
      <c r="D20" s="6">
        <v>7.5890000000000004</v>
      </c>
      <c r="E20" s="6">
        <v>8.093</v>
      </c>
      <c r="F20" s="6">
        <v>7.306</v>
      </c>
      <c r="G20" s="6">
        <v>7.1970000000000001</v>
      </c>
      <c r="J20" s="39" t="s">
        <v>978</v>
      </c>
      <c r="K20" s="39" t="s">
        <v>2365</v>
      </c>
      <c r="L20" s="39">
        <v>7.5060000000000002</v>
      </c>
      <c r="M20" s="39">
        <v>6.819</v>
      </c>
      <c r="N20" s="39">
        <v>7.5890000000000004</v>
      </c>
      <c r="O20" s="39">
        <v>8.093</v>
      </c>
      <c r="P20" s="39">
        <v>7.306</v>
      </c>
      <c r="Q20" s="39">
        <v>7.1970000000000001</v>
      </c>
      <c r="T20" s="39" t="s">
        <v>913</v>
      </c>
      <c r="U20" s="39" t="s">
        <v>2318</v>
      </c>
      <c r="V20" s="39">
        <v>156.714</v>
      </c>
      <c r="W20" s="39">
        <v>98.682000000000002</v>
      </c>
      <c r="X20" s="39">
        <v>99.126000000000005</v>
      </c>
      <c r="Y20" s="39">
        <v>114.452</v>
      </c>
      <c r="Z20" s="39">
        <v>106.419</v>
      </c>
      <c r="AA20" s="39">
        <v>115.44</v>
      </c>
      <c r="AC20" s="41">
        <v>1000</v>
      </c>
      <c r="AD20" s="41">
        <v>1000</v>
      </c>
      <c r="AE20" s="41">
        <v>1000</v>
      </c>
      <c r="AF20" s="41">
        <v>1000</v>
      </c>
      <c r="AG20" s="41">
        <v>1000</v>
      </c>
      <c r="AI20">
        <f t="shared" si="1"/>
        <v>156714</v>
      </c>
      <c r="AJ20">
        <f t="shared" si="2"/>
        <v>98682</v>
      </c>
      <c r="AK20">
        <f t="shared" si="3"/>
        <v>99126</v>
      </c>
      <c r="AL20">
        <f t="shared" si="4"/>
        <v>114452</v>
      </c>
      <c r="AM20">
        <f t="shared" si="5"/>
        <v>106419</v>
      </c>
    </row>
    <row r="21" spans="1:39" ht="69.599999999999994" thickBot="1" x14ac:dyDescent="0.3">
      <c r="A21" s="6" t="s">
        <v>979</v>
      </c>
      <c r="B21" s="6">
        <v>0.83</v>
      </c>
      <c r="C21" s="6">
        <v>0.28699999999999998</v>
      </c>
      <c r="D21" s="6">
        <v>0.41899999999999998</v>
      </c>
      <c r="E21" s="6">
        <v>0.626</v>
      </c>
      <c r="F21" s="6">
        <v>0.13500000000000001</v>
      </c>
      <c r="G21" s="6" t="s">
        <v>29</v>
      </c>
      <c r="J21" s="39" t="s">
        <v>979</v>
      </c>
      <c r="K21" s="39" t="s">
        <v>8059</v>
      </c>
      <c r="L21" s="39">
        <v>0.83</v>
      </c>
      <c r="M21" s="39">
        <v>0.28699999999999998</v>
      </c>
      <c r="N21" s="39">
        <v>0.41899999999999998</v>
      </c>
      <c r="O21" s="39">
        <v>0.626</v>
      </c>
      <c r="P21" s="39">
        <v>0.13500000000000001</v>
      </c>
      <c r="Q21" s="39" t="s">
        <v>29</v>
      </c>
      <c r="T21" s="39" t="s">
        <v>977</v>
      </c>
      <c r="U21" s="39" t="s">
        <v>2362</v>
      </c>
      <c r="V21" s="39">
        <v>4.1050000000000004</v>
      </c>
      <c r="W21" s="39">
        <v>3.3650000000000002</v>
      </c>
      <c r="X21" s="39">
        <v>3.371</v>
      </c>
      <c r="Y21" s="39">
        <v>3.5790000000000002</v>
      </c>
      <c r="Z21" s="39">
        <v>3.4239999999999999</v>
      </c>
      <c r="AA21" s="39">
        <v>3.8279999999999998</v>
      </c>
      <c r="AC21" s="41">
        <v>1000</v>
      </c>
      <c r="AD21" s="41">
        <v>1000</v>
      </c>
      <c r="AE21" s="41">
        <v>1000</v>
      </c>
      <c r="AF21" s="41">
        <v>1000</v>
      </c>
      <c r="AG21" s="41">
        <v>1000</v>
      </c>
      <c r="AI21">
        <f t="shared" si="1"/>
        <v>4105</v>
      </c>
      <c r="AJ21">
        <f t="shared" si="2"/>
        <v>3365</v>
      </c>
      <c r="AK21">
        <f t="shared" si="3"/>
        <v>3371</v>
      </c>
      <c r="AL21">
        <f t="shared" si="4"/>
        <v>3579</v>
      </c>
      <c r="AM21">
        <f t="shared" si="5"/>
        <v>3424</v>
      </c>
    </row>
    <row r="22" spans="1:39" ht="69.599999999999994" thickBot="1" x14ac:dyDescent="0.3">
      <c r="A22" s="6" t="s">
        <v>980</v>
      </c>
      <c r="B22" s="6">
        <v>4.0049999999999999</v>
      </c>
      <c r="C22" s="6">
        <v>1.536</v>
      </c>
      <c r="D22" s="6">
        <v>5.3010000000000002</v>
      </c>
      <c r="E22" s="6">
        <v>5.09</v>
      </c>
      <c r="F22" s="6">
        <v>4.6539999999999999</v>
      </c>
      <c r="G22" s="6">
        <v>5.4459999999999997</v>
      </c>
      <c r="J22" s="39" t="s">
        <v>980</v>
      </c>
      <c r="K22" s="39" t="s">
        <v>4381</v>
      </c>
      <c r="L22" s="39">
        <v>4.0049999999999999</v>
      </c>
      <c r="M22" s="39">
        <v>1.536</v>
      </c>
      <c r="N22" s="39">
        <v>5.3010000000000002</v>
      </c>
      <c r="O22" s="39">
        <v>5.09</v>
      </c>
      <c r="P22" s="39">
        <v>4.6539999999999999</v>
      </c>
      <c r="Q22" s="39">
        <v>5.4459999999999997</v>
      </c>
      <c r="T22" s="39" t="s">
        <v>745</v>
      </c>
      <c r="U22" s="39" t="s">
        <v>2025</v>
      </c>
      <c r="V22" s="39">
        <v>0.16700000000000001</v>
      </c>
      <c r="W22" s="39">
        <v>1.887</v>
      </c>
      <c r="X22" s="39">
        <v>0.42799999999999999</v>
      </c>
      <c r="Y22" s="39">
        <v>0.98799999999999999</v>
      </c>
      <c r="Z22" s="39">
        <v>0.38</v>
      </c>
      <c r="AA22" s="39">
        <v>1.5269999999999999</v>
      </c>
      <c r="AC22" s="41">
        <v>1000</v>
      </c>
      <c r="AD22" s="41">
        <v>1000</v>
      </c>
      <c r="AE22" s="41">
        <v>1000</v>
      </c>
      <c r="AF22" s="41">
        <v>1000</v>
      </c>
      <c r="AG22" s="41">
        <v>1000</v>
      </c>
      <c r="AI22">
        <f t="shared" si="1"/>
        <v>167</v>
      </c>
      <c r="AJ22">
        <f t="shared" si="2"/>
        <v>1887</v>
      </c>
      <c r="AK22">
        <f t="shared" si="3"/>
        <v>428</v>
      </c>
      <c r="AL22">
        <f t="shared" si="4"/>
        <v>988</v>
      </c>
      <c r="AM22">
        <f t="shared" si="5"/>
        <v>380</v>
      </c>
    </row>
    <row r="23" spans="1:39" ht="55.8" thickBot="1" x14ac:dyDescent="0.3">
      <c r="A23" s="6" t="s">
        <v>981</v>
      </c>
      <c r="B23" s="6">
        <v>0.47899999999999998</v>
      </c>
      <c r="C23" s="6">
        <v>1.1279999999999999</v>
      </c>
      <c r="D23" s="6">
        <v>0.99099999999999999</v>
      </c>
      <c r="E23" s="6" t="s">
        <v>29</v>
      </c>
      <c r="F23" s="6">
        <v>1.0549999999999999</v>
      </c>
      <c r="G23" s="6">
        <v>0.98699999999999999</v>
      </c>
      <c r="J23" s="39" t="s">
        <v>981</v>
      </c>
      <c r="K23" s="39" t="s">
        <v>3475</v>
      </c>
      <c r="L23" s="39">
        <v>0.47899999999999998</v>
      </c>
      <c r="M23" s="39">
        <v>1.1279999999999999</v>
      </c>
      <c r="N23" s="39">
        <v>0.99099999999999999</v>
      </c>
      <c r="O23" s="39" t="s">
        <v>29</v>
      </c>
      <c r="P23" s="39">
        <v>1.0549999999999999</v>
      </c>
      <c r="Q23" s="39">
        <v>0.98699999999999999</v>
      </c>
      <c r="T23" s="39" t="s">
        <v>765</v>
      </c>
      <c r="U23" s="39" t="s">
        <v>2916</v>
      </c>
      <c r="V23" s="39">
        <v>19.774999999999999</v>
      </c>
      <c r="W23" s="39">
        <v>36.768000000000001</v>
      </c>
      <c r="X23" s="39">
        <v>36.902000000000001</v>
      </c>
      <c r="Y23" s="39">
        <v>36.274999999999999</v>
      </c>
      <c r="Z23" s="39">
        <v>34.207000000000001</v>
      </c>
      <c r="AA23" s="39">
        <v>43.713000000000001</v>
      </c>
      <c r="AC23" s="41">
        <v>1000</v>
      </c>
      <c r="AD23" s="41">
        <v>1000</v>
      </c>
      <c r="AE23" s="41">
        <v>1000</v>
      </c>
      <c r="AF23" s="41">
        <v>1000</v>
      </c>
      <c r="AG23" s="41">
        <v>1000</v>
      </c>
      <c r="AI23">
        <f t="shared" si="1"/>
        <v>19775</v>
      </c>
      <c r="AJ23">
        <f t="shared" si="2"/>
        <v>36768</v>
      </c>
      <c r="AK23">
        <f t="shared" si="3"/>
        <v>36902</v>
      </c>
      <c r="AL23">
        <f t="shared" si="4"/>
        <v>36275</v>
      </c>
      <c r="AM23">
        <f t="shared" si="5"/>
        <v>34207</v>
      </c>
    </row>
    <row r="24" spans="1:39" ht="69.599999999999994" thickBot="1" x14ac:dyDescent="0.3">
      <c r="A24" s="6" t="s">
        <v>982</v>
      </c>
      <c r="B24" s="6">
        <v>3.1179999999999999</v>
      </c>
      <c r="C24" s="6">
        <v>1.6519999999999999</v>
      </c>
      <c r="D24" s="6">
        <v>1.7949999999999999</v>
      </c>
      <c r="E24" s="6">
        <v>3.3809999999999998</v>
      </c>
      <c r="F24" s="6">
        <v>0.108</v>
      </c>
      <c r="G24" s="6">
        <v>0.36</v>
      </c>
      <c r="J24" s="39" t="s">
        <v>982</v>
      </c>
      <c r="K24" s="39" t="s">
        <v>3477</v>
      </c>
      <c r="L24" s="39">
        <v>3.1179999999999999</v>
      </c>
      <c r="M24" s="39">
        <v>1.6519999999999999</v>
      </c>
      <c r="N24" s="39">
        <v>1.7949999999999999</v>
      </c>
      <c r="O24" s="39">
        <v>3.3809999999999998</v>
      </c>
      <c r="P24" s="39">
        <v>0.108</v>
      </c>
      <c r="Q24" s="39">
        <v>0.36</v>
      </c>
      <c r="T24" s="39" t="s">
        <v>769</v>
      </c>
      <c r="U24" s="39" t="s">
        <v>7862</v>
      </c>
      <c r="V24" s="39" t="s">
        <v>2908</v>
      </c>
      <c r="W24" s="39" t="s">
        <v>2908</v>
      </c>
      <c r="X24" s="39" t="s">
        <v>2908</v>
      </c>
      <c r="Y24" s="39" t="s">
        <v>2908</v>
      </c>
      <c r="Z24" s="39" t="s">
        <v>2908</v>
      </c>
      <c r="AA24" s="39" t="s">
        <v>2908</v>
      </c>
      <c r="AC24" s="41">
        <v>1000</v>
      </c>
      <c r="AD24" s="41">
        <v>1000</v>
      </c>
      <c r="AE24" s="41">
        <v>1000</v>
      </c>
      <c r="AF24" s="41">
        <v>1000</v>
      </c>
      <c r="AG24" s="41">
        <v>1000</v>
      </c>
      <c r="AI24" t="e">
        <f t="shared" si="1"/>
        <v>#VALUE!</v>
      </c>
      <c r="AJ24" t="e">
        <f t="shared" si="2"/>
        <v>#VALUE!</v>
      </c>
      <c r="AK24" t="e">
        <f t="shared" si="3"/>
        <v>#VALUE!</v>
      </c>
      <c r="AL24" t="e">
        <f t="shared" si="4"/>
        <v>#VALUE!</v>
      </c>
      <c r="AM24" t="e">
        <f t="shared" si="5"/>
        <v>#VALUE!</v>
      </c>
    </row>
    <row r="25" spans="1:39" ht="42" thickBot="1" x14ac:dyDescent="0.3">
      <c r="A25" s="6" t="s">
        <v>983</v>
      </c>
      <c r="B25" s="6">
        <v>35.817999999999998</v>
      </c>
      <c r="C25" s="6">
        <v>27.427</v>
      </c>
      <c r="D25" s="6">
        <v>30.692</v>
      </c>
      <c r="E25" s="6">
        <v>27.106000000000002</v>
      </c>
      <c r="F25" s="6">
        <v>26.678999999999998</v>
      </c>
      <c r="G25" s="6">
        <v>34.411000000000001</v>
      </c>
      <c r="J25" s="39" t="s">
        <v>983</v>
      </c>
      <c r="K25" s="39" t="s">
        <v>2187</v>
      </c>
      <c r="L25" s="39">
        <v>35.817999999999998</v>
      </c>
      <c r="M25" s="39">
        <v>24.427</v>
      </c>
      <c r="N25" s="39">
        <v>30.692</v>
      </c>
      <c r="O25" s="39">
        <v>27.106000000000002</v>
      </c>
      <c r="P25" s="39">
        <v>26.678999999999998</v>
      </c>
      <c r="Q25" s="39">
        <v>34.411000000000001</v>
      </c>
      <c r="T25" s="39" t="s">
        <v>705</v>
      </c>
      <c r="U25" s="39" t="s">
        <v>2918</v>
      </c>
      <c r="V25" s="39" t="s">
        <v>2908</v>
      </c>
      <c r="W25" s="39" t="s">
        <v>2908</v>
      </c>
      <c r="X25" s="39" t="s">
        <v>2908</v>
      </c>
      <c r="Y25" s="39" t="s">
        <v>2908</v>
      </c>
      <c r="Z25" s="39" t="s">
        <v>2908</v>
      </c>
      <c r="AA25" s="39" t="s">
        <v>2908</v>
      </c>
      <c r="AC25" s="41">
        <v>1000</v>
      </c>
      <c r="AD25" s="41">
        <v>1000</v>
      </c>
      <c r="AE25" s="41">
        <v>1000</v>
      </c>
      <c r="AF25" s="41">
        <v>1000</v>
      </c>
      <c r="AG25" s="41">
        <v>1000</v>
      </c>
      <c r="AI25" t="e">
        <f t="shared" si="1"/>
        <v>#VALUE!</v>
      </c>
      <c r="AJ25" t="e">
        <f t="shared" si="2"/>
        <v>#VALUE!</v>
      </c>
      <c r="AK25" t="e">
        <f t="shared" si="3"/>
        <v>#VALUE!</v>
      </c>
      <c r="AL25" t="e">
        <f t="shared" si="4"/>
        <v>#VALUE!</v>
      </c>
      <c r="AM25" t="e">
        <f t="shared" si="5"/>
        <v>#VALUE!</v>
      </c>
    </row>
    <row r="26" spans="1:39" ht="42" thickBot="1" x14ac:dyDescent="0.3">
      <c r="A26" s="6" t="s">
        <v>984</v>
      </c>
      <c r="B26" s="6">
        <v>1.498</v>
      </c>
      <c r="C26" s="6">
        <v>0.66600000000000004</v>
      </c>
      <c r="D26" s="6">
        <v>0.55400000000000005</v>
      </c>
      <c r="E26" s="6">
        <v>1.117</v>
      </c>
      <c r="F26" s="6">
        <v>1.663</v>
      </c>
      <c r="G26" s="6">
        <v>1.07</v>
      </c>
      <c r="J26" s="39" t="s">
        <v>984</v>
      </c>
      <c r="K26" s="39" t="s">
        <v>8060</v>
      </c>
      <c r="L26" s="39">
        <v>1.498</v>
      </c>
      <c r="M26" s="39">
        <v>0.66600000000000004</v>
      </c>
      <c r="N26" s="39">
        <v>0.55400000000000005</v>
      </c>
      <c r="O26" s="39">
        <v>1.117</v>
      </c>
      <c r="P26" s="39">
        <v>1.663</v>
      </c>
      <c r="Q26" s="39">
        <v>1.07</v>
      </c>
      <c r="T26" s="39" t="s">
        <v>44</v>
      </c>
      <c r="U26" s="39" t="s">
        <v>2179</v>
      </c>
      <c r="V26" s="39" t="s">
        <v>2908</v>
      </c>
      <c r="W26" s="39" t="s">
        <v>2908</v>
      </c>
      <c r="X26" s="39" t="s">
        <v>2908</v>
      </c>
      <c r="Y26" s="39" t="s">
        <v>2908</v>
      </c>
      <c r="Z26" s="39" t="s">
        <v>2908</v>
      </c>
      <c r="AA26" s="39" t="s">
        <v>2908</v>
      </c>
      <c r="AC26" s="41">
        <v>1000</v>
      </c>
      <c r="AD26" s="41">
        <v>1000</v>
      </c>
      <c r="AE26" s="41">
        <v>1000</v>
      </c>
      <c r="AF26" s="41">
        <v>1000</v>
      </c>
      <c r="AG26" s="41">
        <v>1000</v>
      </c>
      <c r="AI26" t="e">
        <f t="shared" si="1"/>
        <v>#VALUE!</v>
      </c>
      <c r="AJ26" t="e">
        <f t="shared" si="2"/>
        <v>#VALUE!</v>
      </c>
      <c r="AK26" t="e">
        <f t="shared" si="3"/>
        <v>#VALUE!</v>
      </c>
      <c r="AL26" t="e">
        <f t="shared" si="4"/>
        <v>#VALUE!</v>
      </c>
      <c r="AM26" t="e">
        <f t="shared" si="5"/>
        <v>#VALUE!</v>
      </c>
    </row>
    <row r="27" spans="1:39" ht="55.8" thickBot="1" x14ac:dyDescent="0.3">
      <c r="A27" s="6" t="s">
        <v>985</v>
      </c>
      <c r="B27" s="6">
        <v>9.02</v>
      </c>
      <c r="C27" s="6">
        <v>1.268</v>
      </c>
      <c r="D27" s="6" t="s">
        <v>29</v>
      </c>
      <c r="E27" s="6" t="s">
        <v>29</v>
      </c>
      <c r="F27" s="6">
        <v>8.5549999999999997</v>
      </c>
      <c r="G27" s="6" t="s">
        <v>29</v>
      </c>
      <c r="J27" s="39" t="s">
        <v>985</v>
      </c>
      <c r="K27" s="39" t="s">
        <v>3406</v>
      </c>
      <c r="L27" s="39">
        <v>9.02</v>
      </c>
      <c r="M27" s="39">
        <v>1.268</v>
      </c>
      <c r="N27" s="39" t="s">
        <v>29</v>
      </c>
      <c r="O27" s="39" t="s">
        <v>29</v>
      </c>
      <c r="P27" s="39">
        <v>8.5549999999999997</v>
      </c>
      <c r="Q27" s="39" t="s">
        <v>29</v>
      </c>
      <c r="T27" s="39" t="s">
        <v>1056</v>
      </c>
      <c r="U27" s="39" t="s">
        <v>2358</v>
      </c>
      <c r="V27" s="39" t="s">
        <v>29</v>
      </c>
      <c r="W27" s="39">
        <v>0.108</v>
      </c>
      <c r="X27" s="39">
        <v>0.35499999999999998</v>
      </c>
      <c r="Y27" s="39">
        <v>0.20899999999999999</v>
      </c>
      <c r="Z27" s="39">
        <v>0.314</v>
      </c>
      <c r="AA27" s="39">
        <v>0.154</v>
      </c>
      <c r="AC27" s="41">
        <v>1000</v>
      </c>
      <c r="AD27" s="41">
        <v>1000</v>
      </c>
      <c r="AE27" s="41">
        <v>1000</v>
      </c>
      <c r="AF27" s="41">
        <v>1000</v>
      </c>
      <c r="AG27" s="41">
        <v>1000</v>
      </c>
      <c r="AI27" t="e">
        <f t="shared" si="1"/>
        <v>#VALUE!</v>
      </c>
      <c r="AJ27">
        <f t="shared" si="2"/>
        <v>108</v>
      </c>
      <c r="AK27">
        <f t="shared" si="3"/>
        <v>355</v>
      </c>
      <c r="AL27">
        <f t="shared" si="4"/>
        <v>209</v>
      </c>
      <c r="AM27">
        <f t="shared" si="5"/>
        <v>314</v>
      </c>
    </row>
    <row r="28" spans="1:39" ht="28.2" thickBot="1" x14ac:dyDescent="0.3">
      <c r="A28" s="6" t="s">
        <v>908</v>
      </c>
      <c r="B28" s="6">
        <v>9.5359999999999996</v>
      </c>
      <c r="C28" s="6">
        <v>14.837999999999999</v>
      </c>
      <c r="D28" s="6">
        <v>13.250999999999999</v>
      </c>
      <c r="E28" s="6">
        <v>10.544</v>
      </c>
      <c r="F28" s="6">
        <v>11.834</v>
      </c>
      <c r="G28" s="6">
        <v>12.452</v>
      </c>
      <c r="J28" s="39" t="s">
        <v>908</v>
      </c>
      <c r="K28" s="39" t="s">
        <v>2898</v>
      </c>
      <c r="L28" s="39">
        <v>9.5359999999999996</v>
      </c>
      <c r="M28" s="39">
        <v>14.837999999999999</v>
      </c>
      <c r="N28" s="39">
        <v>13.250999999999999</v>
      </c>
      <c r="O28" s="39">
        <v>10.544</v>
      </c>
      <c r="P28" s="39">
        <v>11.834</v>
      </c>
      <c r="Q28" s="39">
        <v>12.452</v>
      </c>
      <c r="T28" s="39" t="s">
        <v>7863</v>
      </c>
      <c r="U28" s="39" t="s">
        <v>2359</v>
      </c>
      <c r="V28" s="39">
        <v>1.103</v>
      </c>
      <c r="W28" s="39">
        <v>2.4</v>
      </c>
      <c r="X28" s="39">
        <v>1.05</v>
      </c>
      <c r="Y28" s="39">
        <v>1.1970000000000001</v>
      </c>
      <c r="Z28" s="39">
        <v>1.39</v>
      </c>
      <c r="AA28" s="39">
        <v>1.6990000000000001</v>
      </c>
      <c r="AC28" s="41">
        <v>1000</v>
      </c>
      <c r="AD28" s="41">
        <v>1000</v>
      </c>
      <c r="AE28" s="41">
        <v>1000</v>
      </c>
      <c r="AF28" s="41">
        <v>1000</v>
      </c>
      <c r="AG28" s="41">
        <v>1000</v>
      </c>
      <c r="AI28">
        <f t="shared" si="1"/>
        <v>1103</v>
      </c>
      <c r="AJ28">
        <f t="shared" si="2"/>
        <v>2400</v>
      </c>
      <c r="AK28">
        <f t="shared" si="3"/>
        <v>1050</v>
      </c>
      <c r="AL28">
        <f t="shared" si="4"/>
        <v>1197</v>
      </c>
      <c r="AM28">
        <f t="shared" si="5"/>
        <v>1390</v>
      </c>
    </row>
    <row r="29" spans="1:39" ht="42" thickBot="1" x14ac:dyDescent="0.3">
      <c r="A29" s="6" t="s">
        <v>986</v>
      </c>
      <c r="B29" s="6">
        <v>0.33300000000000002</v>
      </c>
      <c r="C29" s="6">
        <v>0.189</v>
      </c>
      <c r="D29" s="6" t="s">
        <v>29</v>
      </c>
      <c r="E29" s="6" t="s">
        <v>29</v>
      </c>
      <c r="F29" s="6" t="s">
        <v>29</v>
      </c>
      <c r="G29" s="6" t="s">
        <v>29</v>
      </c>
      <c r="J29" s="39" t="s">
        <v>986</v>
      </c>
      <c r="K29" s="39" t="s">
        <v>3916</v>
      </c>
      <c r="L29" s="39">
        <v>0.33300000000000002</v>
      </c>
      <c r="M29" s="39">
        <v>0.189</v>
      </c>
      <c r="N29" s="39" t="s">
        <v>29</v>
      </c>
      <c r="O29" s="39" t="s">
        <v>29</v>
      </c>
      <c r="P29" s="39" t="s">
        <v>29</v>
      </c>
      <c r="Q29" s="39" t="s">
        <v>29</v>
      </c>
      <c r="T29" s="39" t="s">
        <v>737</v>
      </c>
      <c r="U29" s="39" t="s">
        <v>2024</v>
      </c>
      <c r="V29" s="39" t="s">
        <v>2908</v>
      </c>
      <c r="W29" s="39" t="s">
        <v>2908</v>
      </c>
      <c r="X29" s="39" t="s">
        <v>2908</v>
      </c>
      <c r="Y29" s="39" t="s">
        <v>2908</v>
      </c>
      <c r="Z29" s="39" t="s">
        <v>2908</v>
      </c>
      <c r="AA29" s="39" t="s">
        <v>2908</v>
      </c>
      <c r="AC29" s="41">
        <v>1000</v>
      </c>
      <c r="AD29" s="41">
        <v>1000</v>
      </c>
      <c r="AE29" s="41">
        <v>1000</v>
      </c>
      <c r="AF29" s="41">
        <v>1000</v>
      </c>
      <c r="AG29" s="41">
        <v>1000</v>
      </c>
      <c r="AI29" t="e">
        <f t="shared" si="1"/>
        <v>#VALUE!</v>
      </c>
      <c r="AJ29" t="e">
        <f t="shared" si="2"/>
        <v>#VALUE!</v>
      </c>
      <c r="AK29" t="e">
        <f t="shared" si="3"/>
        <v>#VALUE!</v>
      </c>
      <c r="AL29" t="e">
        <f t="shared" si="4"/>
        <v>#VALUE!</v>
      </c>
      <c r="AM29" t="e">
        <f t="shared" si="5"/>
        <v>#VALUE!</v>
      </c>
    </row>
    <row r="30" spans="1:39" ht="97.2" thickBot="1" x14ac:dyDescent="0.3">
      <c r="A30" s="6" t="s">
        <v>793</v>
      </c>
      <c r="B30" s="6">
        <v>86.3</v>
      </c>
      <c r="C30" s="6">
        <v>69.305000000000007</v>
      </c>
      <c r="D30" s="6">
        <v>32.877000000000002</v>
      </c>
      <c r="E30" s="6">
        <v>59.223999999999997</v>
      </c>
      <c r="F30" s="6">
        <v>67.343999999999994</v>
      </c>
      <c r="G30" s="6">
        <v>72.534000000000006</v>
      </c>
      <c r="J30" s="39" t="s">
        <v>793</v>
      </c>
      <c r="K30" s="39" t="s">
        <v>2914</v>
      </c>
      <c r="L30" s="39">
        <v>86.3</v>
      </c>
      <c r="M30" s="39">
        <v>69.305000000000007</v>
      </c>
      <c r="N30" s="39">
        <v>32.877000000000002</v>
      </c>
      <c r="O30" s="39">
        <v>59.223999999999997</v>
      </c>
      <c r="P30" s="39">
        <v>67.343999999999994</v>
      </c>
      <c r="Q30" s="39">
        <v>72.534000000000006</v>
      </c>
      <c r="T30" s="39" t="s">
        <v>7864</v>
      </c>
      <c r="U30" s="39" t="s">
        <v>2892</v>
      </c>
      <c r="V30" s="39" t="s">
        <v>2908</v>
      </c>
      <c r="W30" s="39" t="s">
        <v>2908</v>
      </c>
      <c r="X30" s="39" t="s">
        <v>2908</v>
      </c>
      <c r="Y30" s="39" t="s">
        <v>2908</v>
      </c>
      <c r="Z30" s="39" t="s">
        <v>2908</v>
      </c>
      <c r="AA30" s="39" t="s">
        <v>2908</v>
      </c>
      <c r="AC30" s="41">
        <v>1000</v>
      </c>
      <c r="AD30" s="41">
        <v>1000</v>
      </c>
      <c r="AE30" s="41">
        <v>1000</v>
      </c>
      <c r="AF30" s="41">
        <v>1000</v>
      </c>
      <c r="AG30" s="41">
        <v>1000</v>
      </c>
      <c r="AI30" t="e">
        <f t="shared" si="1"/>
        <v>#VALUE!</v>
      </c>
      <c r="AJ30" t="e">
        <f t="shared" si="2"/>
        <v>#VALUE!</v>
      </c>
      <c r="AK30" t="e">
        <f t="shared" si="3"/>
        <v>#VALUE!</v>
      </c>
      <c r="AL30" t="e">
        <f t="shared" si="4"/>
        <v>#VALUE!</v>
      </c>
      <c r="AM30" t="e">
        <f t="shared" si="5"/>
        <v>#VALUE!</v>
      </c>
    </row>
    <row r="31" spans="1:39" ht="42" thickBot="1" x14ac:dyDescent="0.3">
      <c r="A31" s="6" t="s">
        <v>987</v>
      </c>
      <c r="B31" s="6">
        <v>539.06600000000003</v>
      </c>
      <c r="C31" s="6">
        <v>383.16</v>
      </c>
      <c r="D31" s="6">
        <v>431.96499999999997</v>
      </c>
      <c r="E31" s="6">
        <v>445.51299999999998</v>
      </c>
      <c r="F31" s="6">
        <v>492.64699999999999</v>
      </c>
      <c r="G31" s="6">
        <v>545.63599999999997</v>
      </c>
      <c r="J31" s="39" t="s">
        <v>987</v>
      </c>
      <c r="K31" s="39" t="s">
        <v>2023</v>
      </c>
      <c r="L31" s="39">
        <v>539.06600000000003</v>
      </c>
      <c r="M31" s="39">
        <v>383.16</v>
      </c>
      <c r="N31" s="39">
        <v>431.96499999999997</v>
      </c>
      <c r="O31" s="39">
        <v>445.51299999999998</v>
      </c>
      <c r="P31" s="39">
        <v>492.64699999999999</v>
      </c>
      <c r="Q31" s="39">
        <v>545.63599999999997</v>
      </c>
      <c r="T31" s="39" t="s">
        <v>717</v>
      </c>
      <c r="U31" s="39" t="s">
        <v>2021</v>
      </c>
      <c r="V31" s="39">
        <v>1.8580000000000001</v>
      </c>
      <c r="W31" s="39">
        <v>2.831</v>
      </c>
      <c r="X31" s="39">
        <v>2.4169999999999998</v>
      </c>
      <c r="Y31" s="39">
        <v>2.38</v>
      </c>
      <c r="Z31" s="39">
        <v>2.419</v>
      </c>
      <c r="AA31" s="39">
        <v>2.5659999999999998</v>
      </c>
      <c r="AC31" s="41">
        <v>1000</v>
      </c>
      <c r="AD31" s="41">
        <v>1000</v>
      </c>
      <c r="AE31" s="41">
        <v>1000</v>
      </c>
      <c r="AF31" s="41">
        <v>1000</v>
      </c>
      <c r="AG31" s="41">
        <v>1000</v>
      </c>
      <c r="AI31">
        <f t="shared" si="1"/>
        <v>1858</v>
      </c>
      <c r="AJ31">
        <f t="shared" si="2"/>
        <v>2831</v>
      </c>
      <c r="AK31">
        <f t="shared" si="3"/>
        <v>2417</v>
      </c>
      <c r="AL31">
        <f t="shared" si="4"/>
        <v>2380</v>
      </c>
      <c r="AM31">
        <f t="shared" si="5"/>
        <v>2419</v>
      </c>
    </row>
    <row r="32" spans="1:39" ht="55.8" thickBot="1" x14ac:dyDescent="0.3">
      <c r="A32" s="6" t="s">
        <v>988</v>
      </c>
      <c r="B32" s="6">
        <v>60.389000000000003</v>
      </c>
      <c r="C32" s="6">
        <v>51.463999999999999</v>
      </c>
      <c r="D32" s="6">
        <v>52.186999999999998</v>
      </c>
      <c r="E32" s="6">
        <v>49.558999999999997</v>
      </c>
      <c r="F32" s="6">
        <v>57.23</v>
      </c>
      <c r="G32" s="6">
        <v>64.045000000000002</v>
      </c>
      <c r="J32" s="39" t="s">
        <v>988</v>
      </c>
      <c r="K32" s="39" t="s">
        <v>2957</v>
      </c>
      <c r="L32" s="39">
        <v>60.389000000000003</v>
      </c>
      <c r="M32" s="39">
        <v>51.463999999999999</v>
      </c>
      <c r="N32" s="39">
        <v>52.186999999999998</v>
      </c>
      <c r="O32" s="39">
        <v>49.558999999999997</v>
      </c>
      <c r="P32" s="39">
        <v>57.25</v>
      </c>
      <c r="Q32" s="39">
        <v>64.045000000000002</v>
      </c>
      <c r="T32" s="39" t="s">
        <v>1034</v>
      </c>
      <c r="U32" s="39" t="s">
        <v>2174</v>
      </c>
      <c r="V32" s="39">
        <v>7.76</v>
      </c>
      <c r="W32" s="39">
        <v>15.257999999999999</v>
      </c>
      <c r="X32" s="39">
        <v>21.190999999999999</v>
      </c>
      <c r="Y32" s="39">
        <v>12.086</v>
      </c>
      <c r="Z32" s="39">
        <v>14.749000000000001</v>
      </c>
      <c r="AA32" s="39">
        <v>27.998000000000001</v>
      </c>
      <c r="AC32" s="41">
        <v>1000</v>
      </c>
      <c r="AD32" s="41">
        <v>1000</v>
      </c>
      <c r="AE32" s="41">
        <v>1000</v>
      </c>
      <c r="AF32" s="41">
        <v>1000</v>
      </c>
      <c r="AG32" s="41">
        <v>1000</v>
      </c>
      <c r="AI32">
        <f t="shared" si="1"/>
        <v>7760</v>
      </c>
      <c r="AJ32">
        <f t="shared" si="2"/>
        <v>15258</v>
      </c>
      <c r="AK32">
        <f t="shared" si="3"/>
        <v>21191</v>
      </c>
      <c r="AL32">
        <f t="shared" si="4"/>
        <v>12086</v>
      </c>
      <c r="AM32">
        <f t="shared" si="5"/>
        <v>14749</v>
      </c>
    </row>
    <row r="33" spans="1:39" ht="55.8" thickBot="1" x14ac:dyDescent="0.3">
      <c r="A33" s="6" t="s">
        <v>989</v>
      </c>
      <c r="B33" s="6">
        <v>0.253</v>
      </c>
      <c r="C33" s="6">
        <v>0.252</v>
      </c>
      <c r="D33" s="6">
        <v>0.29399999999999998</v>
      </c>
      <c r="E33" s="6">
        <v>9.0999999999999998E-2</v>
      </c>
      <c r="F33" s="6">
        <v>0.28000000000000003</v>
      </c>
      <c r="G33" s="6">
        <v>0.32300000000000001</v>
      </c>
      <c r="J33" s="39" t="s">
        <v>8061</v>
      </c>
      <c r="K33" s="39" t="s">
        <v>4424</v>
      </c>
      <c r="L33" s="39">
        <v>0.35299999999999998</v>
      </c>
      <c r="M33" s="39">
        <v>0.252</v>
      </c>
      <c r="N33" s="39">
        <v>0.29399999999999998</v>
      </c>
      <c r="O33" s="39">
        <v>9.0999999999999998E-2</v>
      </c>
      <c r="P33" s="39">
        <v>0.28000000000000003</v>
      </c>
      <c r="Q33" s="39">
        <v>0.32300000000000001</v>
      </c>
      <c r="T33" s="39" t="s">
        <v>1265</v>
      </c>
      <c r="U33" s="39" t="s">
        <v>2180</v>
      </c>
      <c r="V33" s="39">
        <v>5.54</v>
      </c>
      <c r="W33" s="39">
        <v>8.1839999999999993</v>
      </c>
      <c r="X33" s="39">
        <v>7.8179999999999996</v>
      </c>
      <c r="Y33" s="39">
        <v>5.6440000000000001</v>
      </c>
      <c r="Z33" s="39">
        <v>6.423</v>
      </c>
      <c r="AA33" s="39">
        <v>9.7579999999999991</v>
      </c>
      <c r="AC33" s="41">
        <v>1000</v>
      </c>
      <c r="AD33" s="41">
        <v>1000</v>
      </c>
      <c r="AE33" s="41">
        <v>1000</v>
      </c>
      <c r="AF33" s="41">
        <v>1000</v>
      </c>
      <c r="AG33" s="41">
        <v>1000</v>
      </c>
      <c r="AI33">
        <f t="shared" si="1"/>
        <v>5540</v>
      </c>
      <c r="AJ33">
        <f t="shared" si="2"/>
        <v>8183.9999999999991</v>
      </c>
      <c r="AK33">
        <f t="shared" si="3"/>
        <v>7818</v>
      </c>
      <c r="AL33">
        <f t="shared" si="4"/>
        <v>5644</v>
      </c>
      <c r="AM33">
        <f t="shared" si="5"/>
        <v>6423</v>
      </c>
    </row>
    <row r="34" spans="1:39" ht="42" thickBot="1" x14ac:dyDescent="0.3">
      <c r="A34" s="6" t="s">
        <v>990</v>
      </c>
      <c r="B34" s="6">
        <v>28.989000000000001</v>
      </c>
      <c r="C34" s="6">
        <v>19.477</v>
      </c>
      <c r="D34" s="6">
        <v>25.425000000000001</v>
      </c>
      <c r="E34" s="6">
        <v>21.802</v>
      </c>
      <c r="F34" s="6">
        <v>25.754999999999999</v>
      </c>
      <c r="G34" s="6">
        <v>27.995999999999999</v>
      </c>
      <c r="J34" s="39" t="s">
        <v>990</v>
      </c>
      <c r="K34" s="39" t="s">
        <v>2382</v>
      </c>
      <c r="L34" s="39">
        <v>28.989000000000001</v>
      </c>
      <c r="M34" s="39">
        <v>19.477</v>
      </c>
      <c r="N34" s="39">
        <v>25.425000000000001</v>
      </c>
      <c r="O34" s="39">
        <v>21.802</v>
      </c>
      <c r="P34" s="39">
        <v>25.754999999999999</v>
      </c>
      <c r="Q34" s="39">
        <v>27.995999999999999</v>
      </c>
      <c r="T34" s="39" t="s">
        <v>713</v>
      </c>
      <c r="U34" s="39" t="s">
        <v>2020</v>
      </c>
      <c r="V34" s="39">
        <v>1.048</v>
      </c>
      <c r="W34" s="39">
        <v>4.01</v>
      </c>
      <c r="X34" s="39">
        <v>2.8519999999999999</v>
      </c>
      <c r="Y34" s="39" t="s">
        <v>29</v>
      </c>
      <c r="Z34" s="39">
        <v>0.65</v>
      </c>
      <c r="AA34" s="39">
        <v>3.1619999999999999</v>
      </c>
      <c r="AC34" s="41">
        <v>1000</v>
      </c>
      <c r="AD34" s="41">
        <v>1000</v>
      </c>
      <c r="AE34" s="41">
        <v>1000</v>
      </c>
      <c r="AF34" s="41">
        <v>1000</v>
      </c>
      <c r="AG34" s="41">
        <v>1000</v>
      </c>
      <c r="AI34">
        <f t="shared" si="1"/>
        <v>1048</v>
      </c>
      <c r="AJ34">
        <f t="shared" si="2"/>
        <v>4010</v>
      </c>
      <c r="AK34">
        <f t="shared" si="3"/>
        <v>2852</v>
      </c>
      <c r="AL34" t="e">
        <f t="shared" si="4"/>
        <v>#VALUE!</v>
      </c>
      <c r="AM34">
        <f t="shared" si="5"/>
        <v>650</v>
      </c>
    </row>
    <row r="35" spans="1:39" ht="97.2" thickBot="1" x14ac:dyDescent="0.3">
      <c r="A35" s="6" t="s">
        <v>991</v>
      </c>
      <c r="B35" s="6">
        <v>2.4390000000000001</v>
      </c>
      <c r="C35" s="6">
        <v>3.9249999999999998</v>
      </c>
      <c r="D35" s="6">
        <v>3.43</v>
      </c>
      <c r="E35" s="6">
        <v>3.3530000000000002</v>
      </c>
      <c r="F35" s="6">
        <v>3.2879999999999998</v>
      </c>
      <c r="G35" s="6">
        <v>3.6459999999999999</v>
      </c>
      <c r="J35" s="39" t="s">
        <v>991</v>
      </c>
      <c r="K35" s="39" t="s">
        <v>2909</v>
      </c>
      <c r="L35" s="39">
        <v>2.4390000000000001</v>
      </c>
      <c r="M35" s="39">
        <v>3.9249999999999998</v>
      </c>
      <c r="N35" s="39">
        <v>3.43</v>
      </c>
      <c r="O35" s="39">
        <v>3.3530000000000002</v>
      </c>
      <c r="P35" s="39">
        <v>3.2879999999999998</v>
      </c>
      <c r="Q35" s="39">
        <v>3.6459999999999999</v>
      </c>
      <c r="T35" s="39" t="s">
        <v>1029</v>
      </c>
      <c r="U35" s="39" t="s">
        <v>2177</v>
      </c>
      <c r="V35" s="39">
        <v>1.9330000000000001</v>
      </c>
      <c r="W35" s="39">
        <v>2.7810000000000001</v>
      </c>
      <c r="X35" s="39">
        <v>3.1179999999999999</v>
      </c>
      <c r="Y35" s="39">
        <v>2.7589999999999999</v>
      </c>
      <c r="Z35" s="39">
        <v>3.1579999999999999</v>
      </c>
      <c r="AA35" s="39">
        <v>3.98</v>
      </c>
      <c r="AC35" s="41">
        <v>1000</v>
      </c>
      <c r="AD35" s="41">
        <v>1000</v>
      </c>
      <c r="AE35" s="41">
        <v>1000</v>
      </c>
      <c r="AF35" s="41">
        <v>1000</v>
      </c>
      <c r="AG35" s="41">
        <v>1000</v>
      </c>
      <c r="AI35">
        <f t="shared" si="1"/>
        <v>1933</v>
      </c>
      <c r="AJ35">
        <f t="shared" si="2"/>
        <v>2781</v>
      </c>
      <c r="AK35">
        <f t="shared" si="3"/>
        <v>3118</v>
      </c>
      <c r="AL35">
        <f t="shared" si="4"/>
        <v>2759</v>
      </c>
      <c r="AM35">
        <f t="shared" si="5"/>
        <v>3158</v>
      </c>
    </row>
    <row r="36" spans="1:39" ht="55.8" thickBot="1" x14ac:dyDescent="0.3">
      <c r="A36" s="6" t="s">
        <v>992</v>
      </c>
      <c r="B36" s="6">
        <v>0.46500000000000002</v>
      </c>
      <c r="C36" s="6">
        <v>0.77</v>
      </c>
      <c r="D36" s="6">
        <v>0.47299999999999998</v>
      </c>
      <c r="E36" s="6">
        <v>0.27900000000000003</v>
      </c>
      <c r="F36" s="6">
        <v>0.91200000000000003</v>
      </c>
      <c r="G36" s="6">
        <v>0.36499999999999999</v>
      </c>
      <c r="J36" s="39" t="s">
        <v>992</v>
      </c>
      <c r="K36" s="39" t="s">
        <v>3414</v>
      </c>
      <c r="L36" s="39">
        <v>0.46500000000000002</v>
      </c>
      <c r="M36" s="39">
        <v>0.77</v>
      </c>
      <c r="N36" s="39">
        <v>0.47299999999999998</v>
      </c>
      <c r="O36" s="39">
        <v>0.27900000000000003</v>
      </c>
      <c r="P36" s="39">
        <v>0.91200000000000003</v>
      </c>
      <c r="Q36" s="39">
        <v>0.36499999999999999</v>
      </c>
      <c r="T36" s="39" t="s">
        <v>843</v>
      </c>
      <c r="U36" s="39" t="s">
        <v>2175</v>
      </c>
      <c r="V36" s="39" t="s">
        <v>2908</v>
      </c>
      <c r="W36" s="39" t="s">
        <v>2908</v>
      </c>
      <c r="X36" s="39" t="s">
        <v>2908</v>
      </c>
      <c r="Y36" s="39" t="s">
        <v>2908</v>
      </c>
      <c r="Z36" s="39" t="s">
        <v>2908</v>
      </c>
      <c r="AA36" s="39" t="s">
        <v>2908</v>
      </c>
      <c r="AC36" s="41">
        <v>1000</v>
      </c>
      <c r="AD36" s="41">
        <v>1000</v>
      </c>
      <c r="AE36" s="41">
        <v>1000</v>
      </c>
      <c r="AF36" s="41">
        <v>1000</v>
      </c>
      <c r="AG36" s="41">
        <v>1000</v>
      </c>
      <c r="AI36" t="e">
        <f t="shared" si="1"/>
        <v>#VALUE!</v>
      </c>
      <c r="AJ36" t="e">
        <f t="shared" si="2"/>
        <v>#VALUE!</v>
      </c>
      <c r="AK36" t="e">
        <f t="shared" si="3"/>
        <v>#VALUE!</v>
      </c>
      <c r="AL36" t="e">
        <f t="shared" si="4"/>
        <v>#VALUE!</v>
      </c>
      <c r="AM36" t="e">
        <f t="shared" si="5"/>
        <v>#VALUE!</v>
      </c>
    </row>
    <row r="37" spans="1:39" ht="55.8" thickBot="1" x14ac:dyDescent="0.3">
      <c r="A37" s="6" t="s">
        <v>993</v>
      </c>
      <c r="B37" s="6">
        <v>1.0660000000000001</v>
      </c>
      <c r="C37" s="6">
        <v>0.94699999999999995</v>
      </c>
      <c r="D37" s="6">
        <v>0.95299999999999996</v>
      </c>
      <c r="E37" s="6">
        <v>1.117</v>
      </c>
      <c r="F37" s="6">
        <v>1.1639999999999999</v>
      </c>
      <c r="G37" s="6">
        <v>1.2250000000000001</v>
      </c>
      <c r="J37" s="39" t="s">
        <v>993</v>
      </c>
      <c r="K37" s="39" t="s">
        <v>4426</v>
      </c>
      <c r="L37" s="39">
        <v>1.0660000000000001</v>
      </c>
      <c r="M37" s="39">
        <v>0.94699999999999995</v>
      </c>
      <c r="N37" s="39">
        <v>0.95299999999999996</v>
      </c>
      <c r="O37" s="39">
        <v>1.117</v>
      </c>
      <c r="P37" s="39">
        <v>1.1639999999999999</v>
      </c>
      <c r="Q37" s="39">
        <v>1.2250000000000001</v>
      </c>
      <c r="T37" s="39" t="s">
        <v>761</v>
      </c>
      <c r="U37" s="39" t="s">
        <v>2919</v>
      </c>
      <c r="V37" s="39" t="s">
        <v>2908</v>
      </c>
      <c r="W37" s="39" t="s">
        <v>2908</v>
      </c>
      <c r="X37" s="39" t="s">
        <v>2908</v>
      </c>
      <c r="Y37" s="39" t="s">
        <v>2908</v>
      </c>
      <c r="Z37" s="39" t="s">
        <v>2908</v>
      </c>
      <c r="AA37" s="39" t="s">
        <v>2908</v>
      </c>
      <c r="AC37" s="41">
        <v>1000</v>
      </c>
      <c r="AD37" s="41">
        <v>1000</v>
      </c>
      <c r="AE37" s="41">
        <v>1000</v>
      </c>
      <c r="AF37" s="41">
        <v>1000</v>
      </c>
      <c r="AG37" s="41">
        <v>1000</v>
      </c>
      <c r="AI37" t="e">
        <f t="shared" si="1"/>
        <v>#VALUE!</v>
      </c>
      <c r="AJ37" t="e">
        <f t="shared" si="2"/>
        <v>#VALUE!</v>
      </c>
      <c r="AK37" t="e">
        <f t="shared" si="3"/>
        <v>#VALUE!</v>
      </c>
      <c r="AL37" t="e">
        <f t="shared" si="4"/>
        <v>#VALUE!</v>
      </c>
      <c r="AM37" t="e">
        <f t="shared" si="5"/>
        <v>#VALUE!</v>
      </c>
    </row>
    <row r="38" spans="1:39" ht="55.8" thickBot="1" x14ac:dyDescent="0.3">
      <c r="A38" s="6" t="s">
        <v>994</v>
      </c>
      <c r="B38" s="6">
        <v>0.67700000000000005</v>
      </c>
      <c r="C38" s="6">
        <v>1.2230000000000001</v>
      </c>
      <c r="D38" s="6">
        <v>1.3959999999999999</v>
      </c>
      <c r="E38" s="6">
        <v>1.647</v>
      </c>
      <c r="F38" s="6">
        <v>1.466</v>
      </c>
      <c r="G38" s="6">
        <v>1.6910000000000001</v>
      </c>
      <c r="J38" s="39" t="s">
        <v>994</v>
      </c>
      <c r="K38" s="39" t="s">
        <v>8062</v>
      </c>
      <c r="L38" s="39">
        <v>0.67700000000000005</v>
      </c>
      <c r="M38" s="39">
        <v>1.2230000000000001</v>
      </c>
      <c r="N38" s="39">
        <v>1.3959999999999999</v>
      </c>
      <c r="O38" s="39">
        <v>1.647</v>
      </c>
      <c r="P38" s="39">
        <v>1.466</v>
      </c>
      <c r="Q38" s="39">
        <v>1.6910000000000001</v>
      </c>
      <c r="T38" s="39" t="s">
        <v>753</v>
      </c>
      <c r="U38" s="39" t="s">
        <v>2920</v>
      </c>
      <c r="V38" s="39" t="s">
        <v>2908</v>
      </c>
      <c r="W38" s="39" t="s">
        <v>2908</v>
      </c>
      <c r="X38" s="39" t="s">
        <v>2908</v>
      </c>
      <c r="Y38" s="39" t="s">
        <v>2908</v>
      </c>
      <c r="Z38" s="39" t="s">
        <v>2908</v>
      </c>
      <c r="AA38" s="39" t="s">
        <v>2908</v>
      </c>
      <c r="AC38" s="41">
        <v>1000</v>
      </c>
      <c r="AD38" s="41">
        <v>1000</v>
      </c>
      <c r="AE38" s="41">
        <v>1000</v>
      </c>
      <c r="AF38" s="41">
        <v>1000</v>
      </c>
      <c r="AG38" s="41">
        <v>1000</v>
      </c>
      <c r="AI38" t="e">
        <f t="shared" si="1"/>
        <v>#VALUE!</v>
      </c>
      <c r="AJ38" t="e">
        <f t="shared" si="2"/>
        <v>#VALUE!</v>
      </c>
      <c r="AK38" t="e">
        <f t="shared" si="3"/>
        <v>#VALUE!</v>
      </c>
      <c r="AL38" t="e">
        <f t="shared" si="4"/>
        <v>#VALUE!</v>
      </c>
      <c r="AM38" t="e">
        <f t="shared" si="5"/>
        <v>#VALUE!</v>
      </c>
    </row>
    <row r="39" spans="1:39" ht="42" thickBot="1" x14ac:dyDescent="0.3">
      <c r="A39" s="6" t="s">
        <v>995</v>
      </c>
      <c r="B39" s="6">
        <v>0.373</v>
      </c>
      <c r="C39" s="6">
        <v>0.35699999999999998</v>
      </c>
      <c r="D39" s="6">
        <v>0.373</v>
      </c>
      <c r="E39" s="6">
        <v>0.36699999999999999</v>
      </c>
      <c r="F39" s="6">
        <v>0.45800000000000002</v>
      </c>
      <c r="G39" s="6">
        <v>0.45700000000000002</v>
      </c>
      <c r="J39" s="39" t="s">
        <v>995</v>
      </c>
      <c r="K39" s="39" t="s">
        <v>8063</v>
      </c>
      <c r="L39" s="39">
        <v>0.373</v>
      </c>
      <c r="M39" s="39">
        <v>0.35699999999999998</v>
      </c>
      <c r="N39" s="39">
        <v>0.373</v>
      </c>
      <c r="O39" s="39">
        <v>0.36699999999999999</v>
      </c>
      <c r="P39" s="39">
        <v>0.45800000000000002</v>
      </c>
      <c r="Q39" s="39">
        <v>0.45700000000000002</v>
      </c>
      <c r="T39" s="39" t="s">
        <v>920</v>
      </c>
      <c r="U39" s="39" t="s">
        <v>2320</v>
      </c>
      <c r="V39" s="39">
        <v>0.32700000000000001</v>
      </c>
      <c r="W39" s="39">
        <v>0.47699999999999998</v>
      </c>
      <c r="X39" s="39">
        <v>0.6</v>
      </c>
      <c r="Y39" s="39">
        <v>0.71399999999999997</v>
      </c>
      <c r="Z39" s="39">
        <v>0.46899999999999997</v>
      </c>
      <c r="AA39" s="39">
        <v>0.67500000000000004</v>
      </c>
      <c r="AC39" s="41">
        <v>1000</v>
      </c>
      <c r="AD39" s="41">
        <v>1000</v>
      </c>
      <c r="AE39" s="41">
        <v>1000</v>
      </c>
      <c r="AF39" s="41">
        <v>1000</v>
      </c>
      <c r="AG39" s="41">
        <v>1000</v>
      </c>
      <c r="AI39">
        <f t="shared" si="1"/>
        <v>327</v>
      </c>
      <c r="AJ39">
        <f t="shared" si="2"/>
        <v>477</v>
      </c>
      <c r="AK39">
        <f t="shared" si="3"/>
        <v>600</v>
      </c>
      <c r="AL39">
        <f t="shared" si="4"/>
        <v>714</v>
      </c>
      <c r="AM39">
        <f t="shared" si="5"/>
        <v>469</v>
      </c>
    </row>
    <row r="40" spans="1:39" ht="42" thickBot="1" x14ac:dyDescent="0.3">
      <c r="A40" s="6" t="s">
        <v>996</v>
      </c>
      <c r="B40" s="6">
        <v>56.115000000000002</v>
      </c>
      <c r="C40" s="6">
        <v>33.790999999999997</v>
      </c>
      <c r="D40" s="6">
        <v>42.831000000000003</v>
      </c>
      <c r="E40" s="6">
        <v>45.290999999999997</v>
      </c>
      <c r="F40" s="6">
        <v>47.866999999999997</v>
      </c>
      <c r="G40" s="6">
        <v>44.537999999999997</v>
      </c>
      <c r="J40" s="39" t="s">
        <v>996</v>
      </c>
      <c r="K40" s="39" t="s">
        <v>2186</v>
      </c>
      <c r="L40" s="39">
        <v>56.115000000000002</v>
      </c>
      <c r="M40" s="39">
        <v>33.790999999999997</v>
      </c>
      <c r="N40" s="39">
        <v>42.831000000000003</v>
      </c>
      <c r="O40" s="39">
        <v>45.290999999999997</v>
      </c>
      <c r="P40" s="39">
        <v>47.866999999999997</v>
      </c>
      <c r="Q40" s="39">
        <v>44.537999999999997</v>
      </c>
      <c r="T40" s="39" t="s">
        <v>1217</v>
      </c>
      <c r="U40" s="39" t="s">
        <v>2857</v>
      </c>
      <c r="V40" s="39" t="s">
        <v>2908</v>
      </c>
      <c r="W40" s="39" t="s">
        <v>2908</v>
      </c>
      <c r="X40" s="39" t="s">
        <v>2908</v>
      </c>
      <c r="Y40" s="39" t="s">
        <v>2908</v>
      </c>
      <c r="Z40" s="39" t="s">
        <v>2908</v>
      </c>
      <c r="AA40" s="39" t="s">
        <v>2908</v>
      </c>
      <c r="AC40" s="41">
        <v>1000</v>
      </c>
      <c r="AD40" s="41">
        <v>1000</v>
      </c>
      <c r="AE40" s="41">
        <v>1000</v>
      </c>
      <c r="AF40" s="41">
        <v>1000</v>
      </c>
      <c r="AG40" s="41">
        <v>1000</v>
      </c>
      <c r="AI40" t="e">
        <f t="shared" si="1"/>
        <v>#VALUE!</v>
      </c>
      <c r="AJ40" t="e">
        <f t="shared" si="2"/>
        <v>#VALUE!</v>
      </c>
      <c r="AK40" t="e">
        <f t="shared" si="3"/>
        <v>#VALUE!</v>
      </c>
      <c r="AL40" t="e">
        <f t="shared" si="4"/>
        <v>#VALUE!</v>
      </c>
      <c r="AM40" t="e">
        <f t="shared" si="5"/>
        <v>#VALUE!</v>
      </c>
    </row>
    <row r="41" spans="1:39" ht="55.8" thickBot="1" x14ac:dyDescent="0.3">
      <c r="A41" s="6" t="s">
        <v>997</v>
      </c>
      <c r="B41" s="6">
        <v>5.173</v>
      </c>
      <c r="C41" s="6">
        <v>3.66</v>
      </c>
      <c r="D41" s="6">
        <v>4.3769999999999998</v>
      </c>
      <c r="E41" s="6">
        <v>4.6219999999999999</v>
      </c>
      <c r="F41" s="6">
        <v>4.3239999999999998</v>
      </c>
      <c r="G41" s="6">
        <v>5.1680000000000001</v>
      </c>
      <c r="J41" s="39" t="s">
        <v>997</v>
      </c>
      <c r="K41" s="39" t="s">
        <v>3430</v>
      </c>
      <c r="L41" s="39">
        <v>5.173</v>
      </c>
      <c r="M41" s="39">
        <v>3.66</v>
      </c>
      <c r="N41" s="39">
        <v>4.3769999999999998</v>
      </c>
      <c r="O41" s="39">
        <v>4.6219999999999999</v>
      </c>
      <c r="P41" s="39">
        <v>4.3239999999999998</v>
      </c>
      <c r="Q41" s="39">
        <v>5.1680000000000001</v>
      </c>
      <c r="T41" s="39" t="s">
        <v>1969</v>
      </c>
      <c r="U41" s="39" t="s">
        <v>2921</v>
      </c>
      <c r="V41" s="39" t="s">
        <v>2908</v>
      </c>
      <c r="W41" s="39" t="s">
        <v>2908</v>
      </c>
      <c r="X41" s="39" t="s">
        <v>2908</v>
      </c>
      <c r="Y41" s="39" t="s">
        <v>2908</v>
      </c>
      <c r="Z41" s="39" t="s">
        <v>2908</v>
      </c>
      <c r="AA41" s="39" t="s">
        <v>2908</v>
      </c>
      <c r="AC41" s="41">
        <v>1000</v>
      </c>
      <c r="AD41" s="41">
        <v>1000</v>
      </c>
      <c r="AE41" s="41">
        <v>1000</v>
      </c>
      <c r="AF41" s="41">
        <v>1000</v>
      </c>
      <c r="AG41" s="41">
        <v>1000</v>
      </c>
      <c r="AI41" t="e">
        <f t="shared" si="1"/>
        <v>#VALUE!</v>
      </c>
      <c r="AJ41" t="e">
        <f t="shared" si="2"/>
        <v>#VALUE!</v>
      </c>
      <c r="AK41" t="e">
        <f t="shared" si="3"/>
        <v>#VALUE!</v>
      </c>
      <c r="AL41" t="e">
        <f t="shared" si="4"/>
        <v>#VALUE!</v>
      </c>
      <c r="AM41" t="e">
        <f t="shared" si="5"/>
        <v>#VALUE!</v>
      </c>
    </row>
    <row r="42" spans="1:39" ht="42" thickBot="1" x14ac:dyDescent="0.3">
      <c r="A42" s="6" t="s">
        <v>998</v>
      </c>
      <c r="B42" s="6">
        <v>1.593</v>
      </c>
      <c r="C42" s="6">
        <v>2.6840000000000002</v>
      </c>
      <c r="D42" s="6">
        <v>2.3159999999999998</v>
      </c>
      <c r="E42" s="6">
        <v>2.1259999999999999</v>
      </c>
      <c r="F42" s="6">
        <v>2.3370000000000002</v>
      </c>
      <c r="G42" s="6">
        <v>2.677</v>
      </c>
      <c r="J42" s="39" t="s">
        <v>998</v>
      </c>
      <c r="K42" s="39" t="s">
        <v>2958</v>
      </c>
      <c r="L42" s="39">
        <v>1.593</v>
      </c>
      <c r="M42" s="39">
        <v>2.6840000000000002</v>
      </c>
      <c r="N42" s="39">
        <v>2.3159999999999998</v>
      </c>
      <c r="O42" s="39">
        <v>2.1259999999999999</v>
      </c>
      <c r="P42" s="39">
        <v>2.3370000000000002</v>
      </c>
      <c r="Q42" s="39">
        <v>2.677</v>
      </c>
      <c r="T42" s="39" t="s">
        <v>940</v>
      </c>
      <c r="U42" s="39" t="s">
        <v>2922</v>
      </c>
      <c r="V42" s="39" t="s">
        <v>2908</v>
      </c>
      <c r="W42" s="39" t="s">
        <v>2908</v>
      </c>
      <c r="X42" s="39" t="s">
        <v>2908</v>
      </c>
      <c r="Y42" s="39" t="s">
        <v>2908</v>
      </c>
      <c r="Z42" s="39" t="s">
        <v>2908</v>
      </c>
      <c r="AA42" s="39" t="s">
        <v>2908</v>
      </c>
      <c r="AC42" s="41">
        <v>1000</v>
      </c>
      <c r="AD42" s="41">
        <v>1000</v>
      </c>
      <c r="AE42" s="41">
        <v>1000</v>
      </c>
      <c r="AF42" s="41">
        <v>1000</v>
      </c>
      <c r="AG42" s="41">
        <v>1000</v>
      </c>
      <c r="AI42" t="e">
        <f t="shared" si="1"/>
        <v>#VALUE!</v>
      </c>
      <c r="AJ42" t="e">
        <f t="shared" si="2"/>
        <v>#VALUE!</v>
      </c>
      <c r="AK42" t="e">
        <f t="shared" si="3"/>
        <v>#VALUE!</v>
      </c>
      <c r="AL42" t="e">
        <f t="shared" si="4"/>
        <v>#VALUE!</v>
      </c>
      <c r="AM42" t="e">
        <f t="shared" si="5"/>
        <v>#VALUE!</v>
      </c>
    </row>
    <row r="43" spans="1:39" ht="55.8" thickBot="1" x14ac:dyDescent="0.3">
      <c r="A43" s="6" t="s">
        <v>999</v>
      </c>
      <c r="B43" s="6">
        <v>0.28699999999999998</v>
      </c>
      <c r="C43" s="6">
        <v>9.7000000000000003E-2</v>
      </c>
      <c r="D43" s="6">
        <v>9.8000000000000004E-2</v>
      </c>
      <c r="E43" s="6">
        <v>0.11899999999999999</v>
      </c>
      <c r="F43" s="6" t="s">
        <v>29</v>
      </c>
      <c r="G43" s="6" t="s">
        <v>29</v>
      </c>
      <c r="J43" s="39" t="s">
        <v>999</v>
      </c>
      <c r="K43" s="39" t="s">
        <v>8064</v>
      </c>
      <c r="L43" s="39">
        <v>0.28699999999999998</v>
      </c>
      <c r="M43" s="39">
        <v>9.7000000000000003E-2</v>
      </c>
      <c r="N43" s="39">
        <v>9.5000000000000001E-2</v>
      </c>
      <c r="O43" s="39">
        <v>0.11899999999999999</v>
      </c>
      <c r="P43" s="39" t="s">
        <v>29</v>
      </c>
      <c r="Q43" s="39" t="s">
        <v>29</v>
      </c>
      <c r="T43" s="39" t="s">
        <v>943</v>
      </c>
      <c r="U43" s="39" t="s">
        <v>2341</v>
      </c>
      <c r="V43" s="39" t="s">
        <v>2908</v>
      </c>
      <c r="W43" s="39" t="s">
        <v>2908</v>
      </c>
      <c r="X43" s="39" t="s">
        <v>2908</v>
      </c>
      <c r="Y43" s="39" t="s">
        <v>2908</v>
      </c>
      <c r="Z43" s="39" t="s">
        <v>2908</v>
      </c>
      <c r="AA43" s="39" t="s">
        <v>2908</v>
      </c>
      <c r="AC43" s="41">
        <v>1000</v>
      </c>
      <c r="AD43" s="41">
        <v>1000</v>
      </c>
      <c r="AE43" s="41">
        <v>1000</v>
      </c>
      <c r="AF43" s="41">
        <v>1000</v>
      </c>
      <c r="AG43" s="41">
        <v>1000</v>
      </c>
      <c r="AI43" t="e">
        <f t="shared" si="1"/>
        <v>#VALUE!</v>
      </c>
      <c r="AJ43" t="e">
        <f t="shared" si="2"/>
        <v>#VALUE!</v>
      </c>
      <c r="AK43" t="e">
        <f t="shared" si="3"/>
        <v>#VALUE!</v>
      </c>
      <c r="AL43" t="e">
        <f t="shared" si="4"/>
        <v>#VALUE!</v>
      </c>
      <c r="AM43" t="e">
        <f t="shared" si="5"/>
        <v>#VALUE!</v>
      </c>
    </row>
    <row r="44" spans="1:39" ht="55.8" thickBot="1" x14ac:dyDescent="0.3">
      <c r="A44" s="6" t="s">
        <v>1000</v>
      </c>
      <c r="B44" s="6">
        <v>15.74</v>
      </c>
      <c r="C44" s="6">
        <v>4.6520000000000001</v>
      </c>
      <c r="D44" s="6">
        <v>5.758</v>
      </c>
      <c r="E44" s="6">
        <v>5.2050000000000001</v>
      </c>
      <c r="F44" s="6">
        <v>5.4809999999999999</v>
      </c>
      <c r="G44" s="6">
        <v>5.4809999999999999</v>
      </c>
      <c r="J44" s="39" t="s">
        <v>1000</v>
      </c>
      <c r="K44" s="39" t="s">
        <v>4058</v>
      </c>
      <c r="L44" s="39">
        <v>15.74</v>
      </c>
      <c r="M44" s="39">
        <v>4.6520000000000001</v>
      </c>
      <c r="N44" s="39">
        <v>5.758</v>
      </c>
      <c r="O44" s="39">
        <v>5.2050000000000001</v>
      </c>
      <c r="P44" s="39">
        <v>5.4809999999999999</v>
      </c>
      <c r="Q44" s="39">
        <v>5.4809999999999999</v>
      </c>
      <c r="T44" s="39" t="s">
        <v>7865</v>
      </c>
      <c r="U44" s="39" t="s">
        <v>2161</v>
      </c>
      <c r="V44" s="39" t="s">
        <v>2908</v>
      </c>
      <c r="W44" s="39" t="s">
        <v>2908</v>
      </c>
      <c r="X44" s="39" t="s">
        <v>2908</v>
      </c>
      <c r="Y44" s="39" t="s">
        <v>2908</v>
      </c>
      <c r="Z44" s="39" t="s">
        <v>2908</v>
      </c>
      <c r="AA44" s="39" t="s">
        <v>2908</v>
      </c>
      <c r="AC44" s="41">
        <v>1000</v>
      </c>
      <c r="AD44" s="41">
        <v>1000</v>
      </c>
      <c r="AE44" s="41">
        <v>1000</v>
      </c>
      <c r="AF44" s="41">
        <v>1000</v>
      </c>
      <c r="AG44" s="41">
        <v>1000</v>
      </c>
      <c r="AI44" t="e">
        <f t="shared" si="1"/>
        <v>#VALUE!</v>
      </c>
      <c r="AJ44" t="e">
        <f t="shared" si="2"/>
        <v>#VALUE!</v>
      </c>
      <c r="AK44" t="e">
        <f t="shared" si="3"/>
        <v>#VALUE!</v>
      </c>
      <c r="AL44" t="e">
        <f t="shared" si="4"/>
        <v>#VALUE!</v>
      </c>
      <c r="AM44" t="e">
        <f t="shared" si="5"/>
        <v>#VALUE!</v>
      </c>
    </row>
    <row r="45" spans="1:39" ht="55.8" thickBot="1" x14ac:dyDescent="0.3">
      <c r="A45" s="6" t="s">
        <v>1001</v>
      </c>
      <c r="B45" s="6">
        <v>2.149</v>
      </c>
      <c r="C45" s="6">
        <v>0.78500000000000003</v>
      </c>
      <c r="D45" s="6">
        <v>1.1419999999999999</v>
      </c>
      <c r="E45" s="6">
        <v>1.349</v>
      </c>
      <c r="F45" s="6">
        <v>1.046</v>
      </c>
      <c r="G45" s="6">
        <v>1.373</v>
      </c>
      <c r="J45" s="39" t="s">
        <v>1001</v>
      </c>
      <c r="K45" s="39" t="s">
        <v>5811</v>
      </c>
      <c r="L45" s="39">
        <v>2.149</v>
      </c>
      <c r="M45" s="39">
        <v>0.78500000000000003</v>
      </c>
      <c r="N45" s="39">
        <v>1.1419999999999999</v>
      </c>
      <c r="O45" s="39">
        <v>1.349</v>
      </c>
      <c r="P45" s="39">
        <v>1.046</v>
      </c>
      <c r="Q45" s="39">
        <v>1.373</v>
      </c>
      <c r="T45" s="39" t="s">
        <v>725</v>
      </c>
      <c r="U45" s="39" t="s">
        <v>7866</v>
      </c>
      <c r="V45" s="39" t="s">
        <v>2908</v>
      </c>
      <c r="W45" s="39" t="s">
        <v>2908</v>
      </c>
      <c r="X45" s="39" t="s">
        <v>2908</v>
      </c>
      <c r="Y45" s="39" t="s">
        <v>2908</v>
      </c>
      <c r="Z45" s="39" t="s">
        <v>2908</v>
      </c>
      <c r="AA45" s="39" t="s">
        <v>2908</v>
      </c>
      <c r="AC45" s="41">
        <v>1000</v>
      </c>
      <c r="AD45" s="41">
        <v>1000</v>
      </c>
      <c r="AE45" s="41">
        <v>1000</v>
      </c>
      <c r="AF45" s="41">
        <v>1000</v>
      </c>
      <c r="AG45" s="41">
        <v>1000</v>
      </c>
      <c r="AI45" t="e">
        <f t="shared" si="1"/>
        <v>#VALUE!</v>
      </c>
      <c r="AJ45" t="e">
        <f t="shared" si="2"/>
        <v>#VALUE!</v>
      </c>
      <c r="AK45" t="e">
        <f t="shared" si="3"/>
        <v>#VALUE!</v>
      </c>
      <c r="AL45" t="e">
        <f t="shared" si="4"/>
        <v>#VALUE!</v>
      </c>
      <c r="AM45" t="e">
        <f t="shared" si="5"/>
        <v>#VALUE!</v>
      </c>
    </row>
    <row r="46" spans="1:39" ht="83.4" thickBot="1" x14ac:dyDescent="0.3">
      <c r="A46" s="6" t="s">
        <v>1002</v>
      </c>
      <c r="B46" s="6">
        <v>0.496</v>
      </c>
      <c r="C46" s="6">
        <v>0.35299999999999998</v>
      </c>
      <c r="D46" s="6">
        <v>0.37</v>
      </c>
      <c r="E46" s="6">
        <v>0.41299999999999998</v>
      </c>
      <c r="F46" s="6">
        <v>0.38500000000000001</v>
      </c>
      <c r="G46" s="6">
        <v>0.45800000000000002</v>
      </c>
      <c r="J46" s="39" t="s">
        <v>1002</v>
      </c>
      <c r="K46" s="39" t="s">
        <v>8065</v>
      </c>
      <c r="L46" s="39">
        <v>0.496</v>
      </c>
      <c r="M46" s="39">
        <v>0.35299999999999998</v>
      </c>
      <c r="N46" s="39">
        <v>0.37</v>
      </c>
      <c r="O46" s="39">
        <v>0.41299999999999998</v>
      </c>
      <c r="P46" s="39">
        <v>0.38500000000000001</v>
      </c>
      <c r="Q46" s="39">
        <v>0.45800000000000002</v>
      </c>
      <c r="T46" s="39" t="s">
        <v>757</v>
      </c>
      <c r="U46" s="39" t="s">
        <v>2924</v>
      </c>
      <c r="V46" s="39" t="s">
        <v>2908</v>
      </c>
      <c r="W46" s="39" t="s">
        <v>2908</v>
      </c>
      <c r="X46" s="39" t="s">
        <v>2908</v>
      </c>
      <c r="Y46" s="39" t="s">
        <v>2908</v>
      </c>
      <c r="Z46" s="39" t="s">
        <v>2908</v>
      </c>
      <c r="AA46" s="39" t="s">
        <v>2908</v>
      </c>
      <c r="AC46" s="41">
        <v>1000</v>
      </c>
      <c r="AD46" s="41">
        <v>1000</v>
      </c>
      <c r="AE46" s="41">
        <v>1000</v>
      </c>
      <c r="AF46" s="41">
        <v>1000</v>
      </c>
      <c r="AG46" s="41">
        <v>1000</v>
      </c>
      <c r="AI46" t="e">
        <f t="shared" si="1"/>
        <v>#VALUE!</v>
      </c>
      <c r="AJ46" t="e">
        <f t="shared" si="2"/>
        <v>#VALUE!</v>
      </c>
      <c r="AK46" t="e">
        <f t="shared" si="3"/>
        <v>#VALUE!</v>
      </c>
      <c r="AL46" t="e">
        <f t="shared" si="4"/>
        <v>#VALUE!</v>
      </c>
      <c r="AM46" t="e">
        <f t="shared" si="5"/>
        <v>#VALUE!</v>
      </c>
    </row>
    <row r="47" spans="1:39" ht="69.599999999999994" thickBot="1" x14ac:dyDescent="0.3">
      <c r="A47" s="6" t="s">
        <v>785</v>
      </c>
      <c r="B47" s="6">
        <v>6.9669999999999996</v>
      </c>
      <c r="C47" s="6">
        <v>9.9600000000000009</v>
      </c>
      <c r="D47" s="6">
        <v>10.420999999999999</v>
      </c>
      <c r="E47" s="6">
        <v>10.782999999999999</v>
      </c>
      <c r="F47" s="6">
        <v>11.475</v>
      </c>
      <c r="G47" s="6">
        <v>12.404999999999999</v>
      </c>
      <c r="J47" s="39" t="s">
        <v>785</v>
      </c>
      <c r="K47" s="39" t="s">
        <v>2028</v>
      </c>
      <c r="L47" s="39">
        <v>6.9669999999999996</v>
      </c>
      <c r="M47" s="39">
        <v>9.9600000000000009</v>
      </c>
      <c r="N47" s="39">
        <v>10.420999999999999</v>
      </c>
      <c r="O47" s="39">
        <v>10.782999999999999</v>
      </c>
      <c r="P47" s="39">
        <v>11.475</v>
      </c>
      <c r="Q47" s="39">
        <v>12.404999999999999</v>
      </c>
      <c r="T47" s="39" t="s">
        <v>773</v>
      </c>
      <c r="U47" s="39" t="s">
        <v>2925</v>
      </c>
      <c r="V47" s="39" t="s">
        <v>2908</v>
      </c>
      <c r="W47" s="39" t="s">
        <v>2908</v>
      </c>
      <c r="X47" s="39" t="s">
        <v>2908</v>
      </c>
      <c r="Y47" s="39" t="s">
        <v>2908</v>
      </c>
      <c r="Z47" s="39" t="s">
        <v>2908</v>
      </c>
      <c r="AA47" s="39" t="s">
        <v>2908</v>
      </c>
      <c r="AC47" s="41">
        <v>1000</v>
      </c>
      <c r="AD47" s="41">
        <v>1000</v>
      </c>
      <c r="AE47" s="41">
        <v>1000</v>
      </c>
      <c r="AF47" s="41">
        <v>1000</v>
      </c>
      <c r="AG47" s="41">
        <v>1000</v>
      </c>
      <c r="AI47" t="e">
        <f t="shared" si="1"/>
        <v>#VALUE!</v>
      </c>
      <c r="AJ47" t="e">
        <f t="shared" si="2"/>
        <v>#VALUE!</v>
      </c>
      <c r="AK47" t="e">
        <f t="shared" si="3"/>
        <v>#VALUE!</v>
      </c>
      <c r="AL47" t="e">
        <f t="shared" si="4"/>
        <v>#VALUE!</v>
      </c>
      <c r="AM47" t="e">
        <f t="shared" si="5"/>
        <v>#VALUE!</v>
      </c>
    </row>
    <row r="48" spans="1:39" ht="69.599999999999994" thickBot="1" x14ac:dyDescent="0.3">
      <c r="A48" s="6" t="s">
        <v>1003</v>
      </c>
      <c r="B48" s="6">
        <v>18.396999999999998</v>
      </c>
      <c r="C48" s="6">
        <v>16.506</v>
      </c>
      <c r="D48" s="6">
        <v>18.701000000000001</v>
      </c>
      <c r="E48" s="6">
        <v>14.839</v>
      </c>
      <c r="F48" s="6">
        <v>19.805</v>
      </c>
      <c r="G48" s="6">
        <v>21.311</v>
      </c>
      <c r="J48" s="39" t="s">
        <v>1003</v>
      </c>
      <c r="K48" s="39" t="s">
        <v>3435</v>
      </c>
      <c r="L48" s="39">
        <v>18.396999999999998</v>
      </c>
      <c r="M48" s="39">
        <v>16.506</v>
      </c>
      <c r="N48" s="39">
        <v>18.701000000000001</v>
      </c>
      <c r="O48" s="39">
        <v>14.839</v>
      </c>
      <c r="P48" s="39">
        <v>19.805</v>
      </c>
      <c r="Q48" s="39">
        <v>21.311</v>
      </c>
      <c r="T48" s="39" t="s">
        <v>7867</v>
      </c>
      <c r="U48" s="39" t="s">
        <v>2027</v>
      </c>
      <c r="V48" s="39" t="s">
        <v>2908</v>
      </c>
      <c r="W48" s="39" t="s">
        <v>2908</v>
      </c>
      <c r="X48" s="39" t="s">
        <v>2908</v>
      </c>
      <c r="Y48" s="39" t="s">
        <v>2908</v>
      </c>
      <c r="Z48" s="39" t="s">
        <v>2908</v>
      </c>
      <c r="AA48" s="39" t="s">
        <v>2908</v>
      </c>
      <c r="AC48" s="41">
        <v>1000</v>
      </c>
      <c r="AD48" s="41">
        <v>1000</v>
      </c>
      <c r="AE48" s="41">
        <v>1000</v>
      </c>
      <c r="AF48" s="41">
        <v>1000</v>
      </c>
      <c r="AG48" s="41">
        <v>1000</v>
      </c>
      <c r="AI48" t="e">
        <f t="shared" si="1"/>
        <v>#VALUE!</v>
      </c>
      <c r="AJ48" t="e">
        <f t="shared" si="2"/>
        <v>#VALUE!</v>
      </c>
      <c r="AK48" t="e">
        <f t="shared" si="3"/>
        <v>#VALUE!</v>
      </c>
      <c r="AL48" t="e">
        <f t="shared" si="4"/>
        <v>#VALUE!</v>
      </c>
      <c r="AM48" t="e">
        <f t="shared" si="5"/>
        <v>#VALUE!</v>
      </c>
    </row>
    <row r="49" spans="1:39" ht="42" thickBot="1" x14ac:dyDescent="0.3">
      <c r="A49" s="6" t="s">
        <v>1004</v>
      </c>
      <c r="B49" s="6">
        <v>24.536000000000001</v>
      </c>
      <c r="C49" s="6">
        <v>3.556</v>
      </c>
      <c r="D49" s="6">
        <v>12.571999999999999</v>
      </c>
      <c r="E49" s="6">
        <v>21.614999999999998</v>
      </c>
      <c r="F49" s="6">
        <v>17.119</v>
      </c>
      <c r="G49" s="6">
        <v>6.766</v>
      </c>
      <c r="J49" s="39" t="s">
        <v>1004</v>
      </c>
      <c r="K49" s="39" t="s">
        <v>2959</v>
      </c>
      <c r="L49" s="39">
        <v>24.536000000000001</v>
      </c>
      <c r="M49" s="39">
        <v>3.556</v>
      </c>
      <c r="N49" s="39">
        <v>12.571999999999999</v>
      </c>
      <c r="O49" s="39">
        <v>21.614999999999998</v>
      </c>
      <c r="P49" s="39">
        <v>17.119</v>
      </c>
      <c r="Q49" s="39">
        <v>6.766</v>
      </c>
      <c r="T49" s="39" t="s">
        <v>781</v>
      </c>
      <c r="U49" s="39" t="s">
        <v>2878</v>
      </c>
      <c r="V49" s="39" t="s">
        <v>2908</v>
      </c>
      <c r="W49" s="39" t="s">
        <v>2908</v>
      </c>
      <c r="X49" s="39" t="s">
        <v>2908</v>
      </c>
      <c r="Y49" s="39" t="s">
        <v>2908</v>
      </c>
      <c r="Z49" s="39" t="s">
        <v>2908</v>
      </c>
      <c r="AA49" s="39" t="s">
        <v>2908</v>
      </c>
      <c r="AC49" s="41">
        <v>1000</v>
      </c>
      <c r="AD49" s="41">
        <v>1000</v>
      </c>
      <c r="AE49" s="41">
        <v>1000</v>
      </c>
      <c r="AF49" s="41">
        <v>1000</v>
      </c>
      <c r="AG49" s="41">
        <v>1000</v>
      </c>
      <c r="AI49" t="e">
        <f t="shared" si="1"/>
        <v>#VALUE!</v>
      </c>
      <c r="AJ49" t="e">
        <f t="shared" si="2"/>
        <v>#VALUE!</v>
      </c>
      <c r="AK49" t="e">
        <f t="shared" si="3"/>
        <v>#VALUE!</v>
      </c>
      <c r="AL49" t="e">
        <f t="shared" si="4"/>
        <v>#VALUE!</v>
      </c>
      <c r="AM49" t="e">
        <f t="shared" si="5"/>
        <v>#VALUE!</v>
      </c>
    </row>
    <row r="50" spans="1:39" ht="69.599999999999994" thickBot="1" x14ac:dyDescent="0.3">
      <c r="A50" s="6" t="s">
        <v>789</v>
      </c>
      <c r="B50" s="6">
        <v>7525</v>
      </c>
      <c r="C50" s="6">
        <v>9245</v>
      </c>
      <c r="D50" s="6">
        <v>11140</v>
      </c>
      <c r="E50" s="6">
        <v>10896</v>
      </c>
      <c r="F50" s="6">
        <v>11533</v>
      </c>
      <c r="G50" s="6">
        <v>11648</v>
      </c>
      <c r="J50" s="39" t="s">
        <v>789</v>
      </c>
      <c r="K50" s="39" t="s">
        <v>2029</v>
      </c>
      <c r="L50" s="39">
        <v>7.5250000000000004</v>
      </c>
      <c r="M50" s="39">
        <v>9.2449999999999992</v>
      </c>
      <c r="N50" s="39">
        <v>11.14</v>
      </c>
      <c r="O50" s="39">
        <v>10.896000000000001</v>
      </c>
      <c r="P50" s="39">
        <v>11.532999999999999</v>
      </c>
      <c r="Q50" s="39">
        <v>11.648</v>
      </c>
      <c r="T50" s="39" t="s">
        <v>797</v>
      </c>
      <c r="U50" s="39" t="s">
        <v>2927</v>
      </c>
      <c r="V50" s="39" t="s">
        <v>2908</v>
      </c>
      <c r="W50" s="39" t="s">
        <v>2908</v>
      </c>
      <c r="X50" s="39" t="s">
        <v>2908</v>
      </c>
      <c r="Y50" s="39" t="s">
        <v>2908</v>
      </c>
      <c r="Z50" s="39" t="s">
        <v>2908</v>
      </c>
      <c r="AA50" s="39" t="s">
        <v>2908</v>
      </c>
      <c r="AC50" s="41">
        <v>1000</v>
      </c>
      <c r="AD50" s="41">
        <v>1000</v>
      </c>
      <c r="AE50" s="41">
        <v>1000</v>
      </c>
      <c r="AF50" s="41">
        <v>1000</v>
      </c>
      <c r="AG50" s="41">
        <v>1000</v>
      </c>
      <c r="AI50" t="e">
        <f t="shared" si="1"/>
        <v>#VALUE!</v>
      </c>
      <c r="AJ50" t="e">
        <f t="shared" si="2"/>
        <v>#VALUE!</v>
      </c>
      <c r="AK50" t="e">
        <f t="shared" si="3"/>
        <v>#VALUE!</v>
      </c>
      <c r="AL50" t="e">
        <f t="shared" si="4"/>
        <v>#VALUE!</v>
      </c>
      <c r="AM50" t="e">
        <f t="shared" si="5"/>
        <v>#VALUE!</v>
      </c>
    </row>
    <row r="51" spans="1:39" ht="42" thickBot="1" x14ac:dyDescent="0.3">
      <c r="A51" s="6" t="s">
        <v>1005</v>
      </c>
      <c r="B51" s="6">
        <v>1.0669999999999999</v>
      </c>
      <c r="C51" s="6">
        <v>0.73699999999999999</v>
      </c>
      <c r="D51" s="6">
        <v>0.73899999999999999</v>
      </c>
      <c r="E51" s="6">
        <v>0.72299999999999998</v>
      </c>
      <c r="F51" s="6">
        <v>0.86899999999999999</v>
      </c>
      <c r="G51" s="6">
        <v>0.91500000000000004</v>
      </c>
      <c r="J51" s="39" t="s">
        <v>1005</v>
      </c>
      <c r="K51" s="39" t="s">
        <v>5832</v>
      </c>
      <c r="L51" s="39">
        <v>1.0669999999999999</v>
      </c>
      <c r="M51" s="39">
        <v>0.73699999999999999</v>
      </c>
      <c r="N51" s="39">
        <v>0.73899999999999999</v>
      </c>
      <c r="O51" s="39">
        <v>0.72299999999999998</v>
      </c>
      <c r="P51" s="39">
        <v>0.86899999999999999</v>
      </c>
      <c r="Q51" s="39">
        <v>0.91500000000000004</v>
      </c>
      <c r="T51" s="39" t="s">
        <v>894</v>
      </c>
      <c r="U51" s="39" t="s">
        <v>2164</v>
      </c>
      <c r="V51" s="39">
        <v>0.42299999999999999</v>
      </c>
      <c r="W51" s="39">
        <v>1.629</v>
      </c>
      <c r="X51" s="39">
        <v>1.2629999999999999</v>
      </c>
      <c r="Y51" s="39">
        <v>1.996</v>
      </c>
      <c r="Z51" s="39">
        <v>2.609</v>
      </c>
      <c r="AA51" s="39">
        <v>2.399</v>
      </c>
      <c r="AC51" s="41">
        <v>1000</v>
      </c>
      <c r="AD51" s="41">
        <v>1000</v>
      </c>
      <c r="AE51" s="41">
        <v>1000</v>
      </c>
      <c r="AF51" s="41">
        <v>1000</v>
      </c>
      <c r="AG51" s="41">
        <v>1000</v>
      </c>
      <c r="AI51">
        <f t="shared" si="1"/>
        <v>423</v>
      </c>
      <c r="AJ51">
        <f t="shared" si="2"/>
        <v>1629</v>
      </c>
      <c r="AK51">
        <f t="shared" si="3"/>
        <v>1263</v>
      </c>
      <c r="AL51">
        <f t="shared" si="4"/>
        <v>1996</v>
      </c>
      <c r="AM51">
        <f t="shared" si="5"/>
        <v>2609</v>
      </c>
    </row>
    <row r="52" spans="1:39" ht="69.599999999999994" thickBot="1" x14ac:dyDescent="0.3">
      <c r="A52" s="6" t="s">
        <v>1006</v>
      </c>
      <c r="B52" s="6" t="s">
        <v>29</v>
      </c>
      <c r="C52" s="6">
        <v>0.72699999999999998</v>
      </c>
      <c r="D52" s="6">
        <v>0.73899999999999999</v>
      </c>
      <c r="E52" s="6">
        <v>0.75700000000000001</v>
      </c>
      <c r="F52" s="6">
        <v>0.84499999999999997</v>
      </c>
      <c r="G52" s="6">
        <v>0.82899999999999996</v>
      </c>
      <c r="J52" s="39" t="s">
        <v>1006</v>
      </c>
      <c r="K52" s="39" t="s">
        <v>8066</v>
      </c>
      <c r="L52" s="39" t="s">
        <v>29</v>
      </c>
      <c r="M52" s="39">
        <v>0.72699999999999998</v>
      </c>
      <c r="N52" s="39">
        <v>0.73899999999999999</v>
      </c>
      <c r="O52" s="39">
        <v>0.75700000000000001</v>
      </c>
      <c r="P52" s="39">
        <v>0.84499999999999997</v>
      </c>
      <c r="Q52" s="39">
        <v>0.82899999999999996</v>
      </c>
      <c r="T52" s="39" t="s">
        <v>1127</v>
      </c>
      <c r="U52" s="39" t="s">
        <v>2170</v>
      </c>
      <c r="V52" s="39" t="s">
        <v>2908</v>
      </c>
      <c r="W52" s="39" t="s">
        <v>2908</v>
      </c>
      <c r="X52" s="39" t="s">
        <v>2908</v>
      </c>
      <c r="Y52" s="39" t="s">
        <v>2908</v>
      </c>
      <c r="Z52" s="39" t="s">
        <v>2908</v>
      </c>
      <c r="AA52" s="39" t="s">
        <v>2908</v>
      </c>
      <c r="AC52" s="41">
        <v>1000</v>
      </c>
      <c r="AD52" s="41">
        <v>1000</v>
      </c>
      <c r="AE52" s="41">
        <v>1000</v>
      </c>
      <c r="AF52" s="41">
        <v>1000</v>
      </c>
      <c r="AG52" s="41">
        <v>1000</v>
      </c>
      <c r="AI52" t="e">
        <f t="shared" si="1"/>
        <v>#VALUE!</v>
      </c>
      <c r="AJ52" t="e">
        <f t="shared" si="2"/>
        <v>#VALUE!</v>
      </c>
      <c r="AK52" t="e">
        <f t="shared" si="3"/>
        <v>#VALUE!</v>
      </c>
      <c r="AL52" t="e">
        <f t="shared" si="4"/>
        <v>#VALUE!</v>
      </c>
      <c r="AM52" t="e">
        <f t="shared" si="5"/>
        <v>#VALUE!</v>
      </c>
    </row>
    <row r="53" spans="1:39" ht="42" thickBot="1" x14ac:dyDescent="0.3">
      <c r="A53" s="6" t="s">
        <v>1007</v>
      </c>
      <c r="B53" s="6">
        <v>0.65400000000000003</v>
      </c>
      <c r="C53" s="6">
        <v>0.497</v>
      </c>
      <c r="D53" s="6">
        <v>0.502</v>
      </c>
      <c r="E53" s="6">
        <v>0.47699999999999998</v>
      </c>
      <c r="F53" s="6">
        <v>0.57599999999999996</v>
      </c>
      <c r="G53" s="6">
        <v>0.66700000000000004</v>
      </c>
      <c r="J53" s="39" t="s">
        <v>1007</v>
      </c>
      <c r="K53" s="39" t="s">
        <v>3231</v>
      </c>
      <c r="L53" s="39">
        <v>0.65400000000000003</v>
      </c>
      <c r="M53" s="39">
        <v>0.497</v>
      </c>
      <c r="N53" s="39">
        <v>0.502</v>
      </c>
      <c r="O53" s="39">
        <v>0.47699999999999998</v>
      </c>
      <c r="P53" s="39">
        <v>0.57599999999999996</v>
      </c>
      <c r="Q53" s="39">
        <v>0.66700000000000004</v>
      </c>
      <c r="T53" s="39" t="s">
        <v>32</v>
      </c>
      <c r="U53" s="39" t="s">
        <v>2172</v>
      </c>
      <c r="V53" s="39">
        <v>0.28000000000000003</v>
      </c>
      <c r="W53" s="39">
        <v>0.28999999999999998</v>
      </c>
      <c r="X53" s="39" t="s">
        <v>29</v>
      </c>
      <c r="Y53" s="39">
        <v>0.21</v>
      </c>
      <c r="Z53" s="39">
        <v>8.8999999999999996E-2</v>
      </c>
      <c r="AA53" s="39">
        <v>0.32200000000000001</v>
      </c>
      <c r="AC53" s="41">
        <v>1000</v>
      </c>
      <c r="AD53" s="41">
        <v>1000</v>
      </c>
      <c r="AE53" s="41">
        <v>1000</v>
      </c>
      <c r="AF53" s="41">
        <v>1000</v>
      </c>
      <c r="AG53" s="41">
        <v>1000</v>
      </c>
      <c r="AI53">
        <f t="shared" si="1"/>
        <v>280</v>
      </c>
      <c r="AJ53">
        <f t="shared" si="2"/>
        <v>290</v>
      </c>
      <c r="AK53" t="e">
        <f t="shared" si="3"/>
        <v>#VALUE!</v>
      </c>
      <c r="AL53">
        <f t="shared" si="4"/>
        <v>210</v>
      </c>
      <c r="AM53">
        <f t="shared" si="5"/>
        <v>89</v>
      </c>
    </row>
    <row r="54" spans="1:39" ht="55.8" thickBot="1" x14ac:dyDescent="0.3">
      <c r="A54" s="6" t="s">
        <v>1008</v>
      </c>
      <c r="B54" s="6">
        <v>3.34</v>
      </c>
      <c r="C54" s="6">
        <v>2.0670000000000002</v>
      </c>
      <c r="D54" s="6">
        <v>2.177</v>
      </c>
      <c r="E54" s="6">
        <v>2.298</v>
      </c>
      <c r="F54" s="6">
        <v>1.9870000000000001</v>
      </c>
      <c r="G54" s="6">
        <v>2.5990000000000002</v>
      </c>
      <c r="J54" s="39" t="s">
        <v>1008</v>
      </c>
      <c r="K54" s="39" t="s">
        <v>5750</v>
      </c>
      <c r="L54" s="39">
        <v>3.34</v>
      </c>
      <c r="M54" s="39">
        <v>2.0670000000000002</v>
      </c>
      <c r="N54" s="39">
        <v>2.177</v>
      </c>
      <c r="O54" s="39">
        <v>2.298</v>
      </c>
      <c r="P54" s="39">
        <v>1.9870000000000001</v>
      </c>
      <c r="Q54" s="39">
        <v>2.5990000000000002</v>
      </c>
      <c r="T54" s="39" t="s">
        <v>843</v>
      </c>
      <c r="U54" s="39" t="s">
        <v>7868</v>
      </c>
      <c r="V54" s="39" t="s">
        <v>2908</v>
      </c>
      <c r="W54" s="39" t="s">
        <v>2908</v>
      </c>
      <c r="X54" s="39" t="s">
        <v>2908</v>
      </c>
      <c r="Y54" s="39" t="s">
        <v>2908</v>
      </c>
      <c r="Z54" s="39" t="s">
        <v>2908</v>
      </c>
      <c r="AA54" s="39" t="s">
        <v>2908</v>
      </c>
      <c r="AC54" s="41">
        <v>1000</v>
      </c>
      <c r="AD54" s="41">
        <v>1000</v>
      </c>
      <c r="AE54" s="41">
        <v>1000</v>
      </c>
      <c r="AF54" s="41">
        <v>1000</v>
      </c>
      <c r="AG54" s="41">
        <v>1000</v>
      </c>
      <c r="AI54" t="e">
        <f t="shared" si="1"/>
        <v>#VALUE!</v>
      </c>
      <c r="AJ54" t="e">
        <f t="shared" si="2"/>
        <v>#VALUE!</v>
      </c>
      <c r="AK54" t="e">
        <f t="shared" si="3"/>
        <v>#VALUE!</v>
      </c>
      <c r="AL54" t="e">
        <f t="shared" si="4"/>
        <v>#VALUE!</v>
      </c>
      <c r="AM54" t="e">
        <f t="shared" si="5"/>
        <v>#VALUE!</v>
      </c>
    </row>
    <row r="55" spans="1:39" ht="55.8" thickBot="1" x14ac:dyDescent="0.3">
      <c r="A55" s="6" t="s">
        <v>1009</v>
      </c>
      <c r="B55" s="6">
        <v>7.9000000000000001E-2</v>
      </c>
      <c r="C55" s="6">
        <v>0.246</v>
      </c>
      <c r="D55" s="6">
        <v>0.23200000000000001</v>
      </c>
      <c r="E55" s="6">
        <v>0.28100000000000003</v>
      </c>
      <c r="F55" s="6">
        <v>0.27</v>
      </c>
      <c r="G55" s="6">
        <v>0.315</v>
      </c>
      <c r="J55" s="39" t="s">
        <v>1009</v>
      </c>
      <c r="K55" s="39" t="s">
        <v>8067</v>
      </c>
      <c r="L55" s="39">
        <v>7.9000000000000001E-2</v>
      </c>
      <c r="M55" s="39">
        <v>0.246</v>
      </c>
      <c r="N55" s="39">
        <v>0.23200000000000001</v>
      </c>
      <c r="O55" s="39">
        <v>0.28100000000000003</v>
      </c>
      <c r="P55" s="39">
        <v>0.27</v>
      </c>
      <c r="Q55" s="39">
        <v>0.315</v>
      </c>
      <c r="T55" s="39" t="s">
        <v>1515</v>
      </c>
      <c r="U55" s="39" t="s">
        <v>2929</v>
      </c>
      <c r="V55" s="39" t="s">
        <v>2908</v>
      </c>
      <c r="W55" s="39" t="s">
        <v>2908</v>
      </c>
      <c r="X55" s="39" t="s">
        <v>2908</v>
      </c>
      <c r="Y55" s="39" t="s">
        <v>2908</v>
      </c>
      <c r="Z55" s="39" t="s">
        <v>2908</v>
      </c>
      <c r="AA55" s="39" t="s">
        <v>2908</v>
      </c>
      <c r="AC55" s="41">
        <v>1000</v>
      </c>
      <c r="AD55" s="41">
        <v>1000</v>
      </c>
      <c r="AE55" s="41">
        <v>1000</v>
      </c>
      <c r="AF55" s="41">
        <v>1000</v>
      </c>
      <c r="AG55" s="41">
        <v>1000</v>
      </c>
      <c r="AI55" t="e">
        <f t="shared" si="1"/>
        <v>#VALUE!</v>
      </c>
      <c r="AJ55" t="e">
        <f t="shared" si="2"/>
        <v>#VALUE!</v>
      </c>
      <c r="AK55" t="e">
        <f t="shared" si="3"/>
        <v>#VALUE!</v>
      </c>
      <c r="AL55" t="e">
        <f t="shared" si="4"/>
        <v>#VALUE!</v>
      </c>
      <c r="AM55" t="e">
        <f t="shared" si="5"/>
        <v>#VALUE!</v>
      </c>
    </row>
    <row r="56" spans="1:39" ht="69.599999999999994" thickBot="1" x14ac:dyDescent="0.3">
      <c r="A56" s="6" t="s">
        <v>913</v>
      </c>
      <c r="B56" s="6">
        <v>156.714</v>
      </c>
      <c r="C56" s="6">
        <v>98.682000000000002</v>
      </c>
      <c r="D56" s="6">
        <v>99.126000000000005</v>
      </c>
      <c r="E56" s="6">
        <v>114.452</v>
      </c>
      <c r="F56" s="6">
        <v>106.419</v>
      </c>
      <c r="G56" s="6">
        <v>115.44</v>
      </c>
      <c r="J56" s="39" t="s">
        <v>913</v>
      </c>
      <c r="K56" s="39" t="s">
        <v>2318</v>
      </c>
      <c r="L56" s="39">
        <v>156.714</v>
      </c>
      <c r="M56" s="39">
        <v>98.682000000000002</v>
      </c>
      <c r="N56" s="39">
        <v>99.126000000000005</v>
      </c>
      <c r="O56" s="39">
        <v>114.452</v>
      </c>
      <c r="P56" s="39">
        <v>106.419</v>
      </c>
      <c r="Q56" s="39">
        <v>115.44</v>
      </c>
      <c r="T56" s="39" t="s">
        <v>862</v>
      </c>
      <c r="U56" s="39" t="s">
        <v>2183</v>
      </c>
      <c r="V56" s="39" t="s">
        <v>2908</v>
      </c>
      <c r="W56" s="39" t="s">
        <v>2908</v>
      </c>
      <c r="X56" s="39" t="s">
        <v>2908</v>
      </c>
      <c r="Y56" s="39" t="s">
        <v>2908</v>
      </c>
      <c r="Z56" s="39" t="s">
        <v>2908</v>
      </c>
      <c r="AA56" s="39" t="s">
        <v>2908</v>
      </c>
      <c r="AC56" s="41">
        <v>1000</v>
      </c>
      <c r="AD56" s="41">
        <v>1000</v>
      </c>
      <c r="AE56" s="41">
        <v>1000</v>
      </c>
      <c r="AF56" s="41">
        <v>1000</v>
      </c>
      <c r="AG56" s="41">
        <v>1000</v>
      </c>
      <c r="AI56" t="e">
        <f t="shared" si="1"/>
        <v>#VALUE!</v>
      </c>
      <c r="AJ56" t="e">
        <f t="shared" si="2"/>
        <v>#VALUE!</v>
      </c>
      <c r="AK56" t="e">
        <f t="shared" si="3"/>
        <v>#VALUE!</v>
      </c>
      <c r="AL56" t="e">
        <f t="shared" si="4"/>
        <v>#VALUE!</v>
      </c>
      <c r="AM56" t="e">
        <f t="shared" si="5"/>
        <v>#VALUE!</v>
      </c>
    </row>
    <row r="57" spans="1:39" ht="69.599999999999994" thickBot="1" x14ac:dyDescent="0.3">
      <c r="A57" s="6" t="s">
        <v>1010</v>
      </c>
      <c r="B57" s="6">
        <v>9.6449999999999996</v>
      </c>
      <c r="C57" s="6">
        <v>5.4710000000000001</v>
      </c>
      <c r="D57" s="6">
        <v>6.32</v>
      </c>
      <c r="E57" s="6">
        <v>6.1879999999999997</v>
      </c>
      <c r="F57" s="6">
        <v>5.8659999999999997</v>
      </c>
      <c r="G57" s="6">
        <v>6.968</v>
      </c>
      <c r="J57" s="39" t="s">
        <v>1010</v>
      </c>
      <c r="K57" s="39" t="s">
        <v>6342</v>
      </c>
      <c r="L57" s="39">
        <v>9.6449999999999996</v>
      </c>
      <c r="M57" s="39">
        <v>5.4710000000000001</v>
      </c>
      <c r="N57" s="39">
        <v>6.32</v>
      </c>
      <c r="O57" s="39">
        <v>6.1879999999999997</v>
      </c>
      <c r="P57" s="39">
        <v>5.8659999999999997</v>
      </c>
      <c r="Q57" s="39">
        <v>6.968</v>
      </c>
      <c r="T57" s="39" t="s">
        <v>7869</v>
      </c>
      <c r="U57" s="39" t="s">
        <v>2185</v>
      </c>
      <c r="V57" s="39" t="s">
        <v>2908</v>
      </c>
      <c r="W57" s="39" t="s">
        <v>2908</v>
      </c>
      <c r="X57" s="39" t="s">
        <v>2908</v>
      </c>
      <c r="Y57" s="39" t="s">
        <v>2908</v>
      </c>
      <c r="Z57" s="39" t="s">
        <v>2908</v>
      </c>
      <c r="AA57" s="39" t="s">
        <v>2908</v>
      </c>
      <c r="AC57" s="41">
        <v>1000</v>
      </c>
      <c r="AD57" s="41">
        <v>1000</v>
      </c>
      <c r="AE57" s="41">
        <v>1000</v>
      </c>
      <c r="AF57" s="41">
        <v>1000</v>
      </c>
      <c r="AG57" s="41">
        <v>1000</v>
      </c>
      <c r="AI57" t="e">
        <f t="shared" si="1"/>
        <v>#VALUE!</v>
      </c>
      <c r="AJ57" t="e">
        <f t="shared" si="2"/>
        <v>#VALUE!</v>
      </c>
      <c r="AK57" t="e">
        <f t="shared" si="3"/>
        <v>#VALUE!</v>
      </c>
      <c r="AL57" t="e">
        <f t="shared" si="4"/>
        <v>#VALUE!</v>
      </c>
      <c r="AM57" t="e">
        <f t="shared" si="5"/>
        <v>#VALUE!</v>
      </c>
    </row>
    <row r="58" spans="1:39" ht="83.4" thickBot="1" x14ac:dyDescent="0.3">
      <c r="A58" s="6" t="s">
        <v>1011</v>
      </c>
      <c r="B58" s="6">
        <v>0.629</v>
      </c>
      <c r="C58" s="6">
        <v>0.28599999999999998</v>
      </c>
      <c r="D58" s="6">
        <v>0.29599999999999999</v>
      </c>
      <c r="E58" s="6">
        <v>0.223</v>
      </c>
      <c r="F58" s="6">
        <v>0.24399999999999999</v>
      </c>
      <c r="G58" s="6">
        <v>9.6000000000000002E-2</v>
      </c>
      <c r="J58" s="39" t="s">
        <v>1011</v>
      </c>
      <c r="K58" s="39" t="s">
        <v>8068</v>
      </c>
      <c r="L58" s="39">
        <v>0.629</v>
      </c>
      <c r="M58" s="39">
        <v>0.28599999999999998</v>
      </c>
      <c r="N58" s="39">
        <v>0.29599999999999999</v>
      </c>
      <c r="O58" s="39">
        <v>0.223</v>
      </c>
      <c r="P58" s="39">
        <v>0.24399999999999999</v>
      </c>
      <c r="Q58" s="39">
        <v>9.6000000000000002E-2</v>
      </c>
      <c r="T58" s="39" t="s">
        <v>1016</v>
      </c>
      <c r="U58" s="39" t="s">
        <v>2930</v>
      </c>
      <c r="V58" s="39">
        <v>3.5760000000000001</v>
      </c>
      <c r="W58" s="39">
        <v>5.3710000000000004</v>
      </c>
      <c r="X58" s="39">
        <v>5.5449999999999999</v>
      </c>
      <c r="Y58" s="39">
        <v>6.5090000000000003</v>
      </c>
      <c r="Z58" s="39">
        <v>5.6260000000000003</v>
      </c>
      <c r="AA58" s="39">
        <v>6.7060000000000004</v>
      </c>
      <c r="AC58" s="41">
        <v>1000</v>
      </c>
      <c r="AD58" s="41">
        <v>1000</v>
      </c>
      <c r="AE58" s="41">
        <v>1000</v>
      </c>
      <c r="AF58" s="41">
        <v>1000</v>
      </c>
      <c r="AG58" s="41">
        <v>1000</v>
      </c>
      <c r="AI58">
        <f t="shared" si="1"/>
        <v>3576</v>
      </c>
      <c r="AJ58">
        <f t="shared" si="2"/>
        <v>5371</v>
      </c>
      <c r="AK58">
        <f t="shared" si="3"/>
        <v>5545</v>
      </c>
      <c r="AL58">
        <f t="shared" si="4"/>
        <v>6509</v>
      </c>
      <c r="AM58">
        <f t="shared" si="5"/>
        <v>5626</v>
      </c>
    </row>
    <row r="59" spans="1:39" ht="28.2" thickBot="1" x14ac:dyDescent="0.3">
      <c r="A59" s="6" t="s">
        <v>1012</v>
      </c>
      <c r="B59" s="6">
        <v>28.082999999999998</v>
      </c>
      <c r="C59" s="6">
        <v>13.952</v>
      </c>
      <c r="D59" s="6">
        <v>15.01</v>
      </c>
      <c r="E59" s="6">
        <v>14.786</v>
      </c>
      <c r="F59" s="6">
        <v>13.586</v>
      </c>
      <c r="G59" s="6">
        <v>14.314</v>
      </c>
      <c r="J59" s="39" t="s">
        <v>1012</v>
      </c>
      <c r="K59" s="39" t="s">
        <v>3440</v>
      </c>
      <c r="L59" s="39">
        <v>28.082999999999998</v>
      </c>
      <c r="M59" s="39">
        <v>13.952</v>
      </c>
      <c r="N59" s="39">
        <v>15.01</v>
      </c>
      <c r="O59" s="39">
        <v>14.786</v>
      </c>
      <c r="P59" s="39">
        <v>13.586</v>
      </c>
      <c r="Q59" s="39">
        <v>14.314</v>
      </c>
      <c r="T59" s="39" t="s">
        <v>929</v>
      </c>
      <c r="U59" s="39" t="s">
        <v>2331</v>
      </c>
      <c r="V59" s="39" t="s">
        <v>2908</v>
      </c>
      <c r="W59" s="39" t="s">
        <v>2908</v>
      </c>
      <c r="X59" s="39" t="s">
        <v>2908</v>
      </c>
      <c r="Y59" s="39" t="s">
        <v>2908</v>
      </c>
      <c r="Z59" s="39" t="s">
        <v>2908</v>
      </c>
      <c r="AA59" s="39" t="s">
        <v>2908</v>
      </c>
      <c r="AC59" s="41">
        <v>1000</v>
      </c>
      <c r="AD59" s="41">
        <v>1000</v>
      </c>
      <c r="AE59" s="41">
        <v>1000</v>
      </c>
      <c r="AF59" s="41">
        <v>1000</v>
      </c>
      <c r="AG59" s="41">
        <v>1000</v>
      </c>
      <c r="AI59" t="e">
        <f t="shared" si="1"/>
        <v>#VALUE!</v>
      </c>
      <c r="AJ59" t="e">
        <f t="shared" si="2"/>
        <v>#VALUE!</v>
      </c>
      <c r="AK59" t="e">
        <f t="shared" si="3"/>
        <v>#VALUE!</v>
      </c>
      <c r="AL59" t="e">
        <f t="shared" si="4"/>
        <v>#VALUE!</v>
      </c>
      <c r="AM59" t="e">
        <f t="shared" si="5"/>
        <v>#VALUE!</v>
      </c>
    </row>
    <row r="60" spans="1:39" ht="55.8" thickBot="1" x14ac:dyDescent="0.3">
      <c r="A60" s="6" t="s">
        <v>1013</v>
      </c>
      <c r="B60" s="6">
        <v>31.556999999999999</v>
      </c>
      <c r="C60" s="6">
        <v>15.49</v>
      </c>
      <c r="D60" s="6">
        <v>16.625</v>
      </c>
      <c r="E60" s="6">
        <v>15.487</v>
      </c>
      <c r="F60" s="6">
        <v>14.238</v>
      </c>
      <c r="G60" s="6">
        <v>15.593</v>
      </c>
      <c r="J60" s="39" t="s">
        <v>1013</v>
      </c>
      <c r="K60" s="39" t="s">
        <v>3247</v>
      </c>
      <c r="L60" s="39">
        <v>31.556999999999999</v>
      </c>
      <c r="M60" s="39">
        <v>15.49</v>
      </c>
      <c r="N60" s="39">
        <v>16.625</v>
      </c>
      <c r="O60" s="39">
        <v>15.487</v>
      </c>
      <c r="P60" s="39">
        <v>14.238</v>
      </c>
      <c r="Q60" s="39">
        <v>15.593</v>
      </c>
      <c r="T60" s="39" t="s">
        <v>956</v>
      </c>
      <c r="U60" s="39" t="s">
        <v>2337</v>
      </c>
      <c r="V60" s="39" t="s">
        <v>2908</v>
      </c>
      <c r="W60" s="39" t="s">
        <v>2908</v>
      </c>
      <c r="X60" s="39" t="s">
        <v>2908</v>
      </c>
      <c r="Y60" s="39" t="s">
        <v>2908</v>
      </c>
      <c r="Z60" s="39" t="s">
        <v>2908</v>
      </c>
      <c r="AA60" s="39" t="s">
        <v>2908</v>
      </c>
      <c r="AC60" s="41">
        <v>1000</v>
      </c>
      <c r="AD60" s="41">
        <v>1000</v>
      </c>
      <c r="AE60" s="41">
        <v>1000</v>
      </c>
      <c r="AF60" s="41">
        <v>1000</v>
      </c>
      <c r="AG60" s="41">
        <v>1000</v>
      </c>
      <c r="AI60" t="e">
        <f t="shared" si="1"/>
        <v>#VALUE!</v>
      </c>
      <c r="AJ60" t="e">
        <f t="shared" si="2"/>
        <v>#VALUE!</v>
      </c>
      <c r="AK60" t="e">
        <f t="shared" si="3"/>
        <v>#VALUE!</v>
      </c>
      <c r="AL60" t="e">
        <f t="shared" si="4"/>
        <v>#VALUE!</v>
      </c>
      <c r="AM60" t="e">
        <f t="shared" si="5"/>
        <v>#VALUE!</v>
      </c>
    </row>
    <row r="61" spans="1:39" ht="42" thickBot="1" x14ac:dyDescent="0.3">
      <c r="A61" s="6" t="s">
        <v>1014</v>
      </c>
      <c r="B61" s="6">
        <v>0.224</v>
      </c>
      <c r="C61" s="6">
        <v>0.873</v>
      </c>
      <c r="D61" s="6">
        <v>1.1299999999999999</v>
      </c>
      <c r="E61" s="6">
        <v>1.5680000000000001</v>
      </c>
      <c r="F61" s="6">
        <v>1.0609999999999999</v>
      </c>
      <c r="G61" s="6">
        <v>1.4550000000000001</v>
      </c>
      <c r="J61" s="39" t="s">
        <v>1014</v>
      </c>
      <c r="K61" s="39" t="s">
        <v>8069</v>
      </c>
      <c r="L61" s="39">
        <v>0.224</v>
      </c>
      <c r="M61" s="39">
        <v>0.873</v>
      </c>
      <c r="N61" s="39">
        <v>1.1299999999999999</v>
      </c>
      <c r="O61" s="39">
        <v>1.5680000000000001</v>
      </c>
      <c r="P61" s="39">
        <v>1.0609999999999999</v>
      </c>
      <c r="Q61" s="39">
        <v>1.4550000000000001</v>
      </c>
      <c r="T61" s="39" t="s">
        <v>978</v>
      </c>
      <c r="U61" s="39" t="s">
        <v>2365</v>
      </c>
      <c r="V61" s="39">
        <v>7.5060000000000002</v>
      </c>
      <c r="W61" s="39">
        <v>6.819</v>
      </c>
      <c r="X61" s="39">
        <v>7.5890000000000004</v>
      </c>
      <c r="Y61" s="39">
        <v>8.093</v>
      </c>
      <c r="Z61" s="39">
        <v>7.306</v>
      </c>
      <c r="AA61" s="39">
        <v>7.1970000000000001</v>
      </c>
      <c r="AC61" s="41">
        <v>1000</v>
      </c>
      <c r="AD61" s="41">
        <v>1000</v>
      </c>
      <c r="AE61" s="41">
        <v>1000</v>
      </c>
      <c r="AF61" s="41">
        <v>1000</v>
      </c>
      <c r="AG61" s="41">
        <v>1000</v>
      </c>
      <c r="AI61">
        <f t="shared" si="1"/>
        <v>7506</v>
      </c>
      <c r="AJ61">
        <f t="shared" si="2"/>
        <v>6819</v>
      </c>
      <c r="AK61">
        <f t="shared" si="3"/>
        <v>7589</v>
      </c>
      <c r="AL61">
        <f t="shared" si="4"/>
        <v>8093</v>
      </c>
      <c r="AM61">
        <f t="shared" si="5"/>
        <v>7306</v>
      </c>
    </row>
    <row r="62" spans="1:39" ht="42" thickBot="1" x14ac:dyDescent="0.3">
      <c r="A62" s="6" t="s">
        <v>1015</v>
      </c>
      <c r="B62" s="6">
        <v>4.1859999999999999</v>
      </c>
      <c r="C62" s="6">
        <v>2.3769999999999998</v>
      </c>
      <c r="D62" s="6">
        <v>2.4769999999999999</v>
      </c>
      <c r="E62" s="6">
        <v>2.7250000000000001</v>
      </c>
      <c r="F62" s="6">
        <v>2.65</v>
      </c>
      <c r="G62" s="6">
        <v>3.2360000000000002</v>
      </c>
      <c r="J62" s="39" t="s">
        <v>1015</v>
      </c>
      <c r="K62" s="39" t="s">
        <v>3420</v>
      </c>
      <c r="L62" s="39">
        <v>4.1859999999999999</v>
      </c>
      <c r="M62" s="39">
        <v>2.3769999999999998</v>
      </c>
      <c r="N62" s="39">
        <v>2.4769999999999999</v>
      </c>
      <c r="O62" s="39">
        <v>2.7250000000000001</v>
      </c>
      <c r="P62" s="39">
        <v>2.65</v>
      </c>
      <c r="Q62" s="39">
        <v>3.2360000000000002</v>
      </c>
      <c r="T62" s="39" t="s">
        <v>996</v>
      </c>
      <c r="U62" s="39" t="s">
        <v>2186</v>
      </c>
      <c r="V62" s="39">
        <v>56.115000000000002</v>
      </c>
      <c r="W62" s="39">
        <v>33.790999999999997</v>
      </c>
      <c r="X62" s="39">
        <v>42.831000000000003</v>
      </c>
      <c r="Y62" s="39">
        <v>45.290999999999997</v>
      </c>
      <c r="Z62" s="39">
        <v>47.866999999999997</v>
      </c>
      <c r="AA62" s="39">
        <v>44.537999999999997</v>
      </c>
      <c r="AC62" s="41">
        <v>1000</v>
      </c>
      <c r="AD62" s="41">
        <v>1000</v>
      </c>
      <c r="AE62" s="41">
        <v>1000</v>
      </c>
      <c r="AF62" s="41">
        <v>1000</v>
      </c>
      <c r="AG62" s="41">
        <v>1000</v>
      </c>
      <c r="AI62">
        <f t="shared" si="1"/>
        <v>56115</v>
      </c>
      <c r="AJ62">
        <f t="shared" si="2"/>
        <v>33791</v>
      </c>
      <c r="AK62">
        <f t="shared" si="3"/>
        <v>42831</v>
      </c>
      <c r="AL62">
        <f t="shared" si="4"/>
        <v>45291</v>
      </c>
      <c r="AM62">
        <f t="shared" si="5"/>
        <v>47867</v>
      </c>
    </row>
    <row r="63" spans="1:39" ht="42" thickBot="1" x14ac:dyDescent="0.3">
      <c r="A63" s="6" t="s">
        <v>1001</v>
      </c>
      <c r="B63" s="6">
        <v>2.149</v>
      </c>
      <c r="C63" s="6">
        <v>0.78500000000000003</v>
      </c>
      <c r="D63" s="6">
        <v>1.1419999999999999</v>
      </c>
      <c r="E63" s="6">
        <v>1.349</v>
      </c>
      <c r="F63" s="6">
        <v>1.046</v>
      </c>
      <c r="G63" s="6">
        <v>1.373</v>
      </c>
      <c r="J63" s="39" t="s">
        <v>920</v>
      </c>
      <c r="K63" s="39" t="s">
        <v>2320</v>
      </c>
      <c r="L63" s="39">
        <v>0.32700000000000001</v>
      </c>
      <c r="M63" s="39">
        <v>0.47699999999999998</v>
      </c>
      <c r="N63" s="39">
        <v>0.6</v>
      </c>
      <c r="O63" s="39">
        <v>0.71399999999999997</v>
      </c>
      <c r="P63" s="39">
        <v>0.46899999999999997</v>
      </c>
      <c r="Q63" s="39">
        <v>0.67500000000000004</v>
      </c>
      <c r="T63" s="39" t="s">
        <v>990</v>
      </c>
      <c r="U63" s="39" t="s">
        <v>2382</v>
      </c>
      <c r="V63" s="39">
        <v>28.989000000000001</v>
      </c>
      <c r="W63" s="39">
        <v>19.477</v>
      </c>
      <c r="X63" s="39">
        <v>25.425000000000001</v>
      </c>
      <c r="Y63" s="39">
        <v>21.802</v>
      </c>
      <c r="Z63" s="39">
        <v>25.754999999999999</v>
      </c>
      <c r="AA63" s="39">
        <v>27.995999999999999</v>
      </c>
      <c r="AC63" s="41">
        <v>1000</v>
      </c>
      <c r="AD63" s="41">
        <v>1000</v>
      </c>
      <c r="AE63" s="41">
        <v>1000</v>
      </c>
      <c r="AF63" s="41">
        <v>1000</v>
      </c>
      <c r="AG63" s="41">
        <v>1000</v>
      </c>
      <c r="AI63">
        <f t="shared" si="1"/>
        <v>28989</v>
      </c>
      <c r="AJ63">
        <f t="shared" si="2"/>
        <v>19477</v>
      </c>
      <c r="AK63">
        <f t="shared" si="3"/>
        <v>25425</v>
      </c>
      <c r="AL63">
        <f t="shared" si="4"/>
        <v>21802</v>
      </c>
      <c r="AM63">
        <f t="shared" si="5"/>
        <v>25755</v>
      </c>
    </row>
    <row r="64" spans="1:39" ht="42" thickBot="1" x14ac:dyDescent="0.3">
      <c r="A64" s="6" t="s">
        <v>1002</v>
      </c>
      <c r="B64" s="6">
        <v>0.496</v>
      </c>
      <c r="C64" s="6">
        <v>0.35299999999999998</v>
      </c>
      <c r="D64" s="6">
        <v>0.37</v>
      </c>
      <c r="E64" s="6">
        <v>0.41299999999999998</v>
      </c>
      <c r="F64" s="6">
        <v>0.38500000000000001</v>
      </c>
      <c r="G64" s="6">
        <v>0.45800000000000002</v>
      </c>
      <c r="J64" s="39" t="s">
        <v>1016</v>
      </c>
      <c r="K64" s="39" t="s">
        <v>2930</v>
      </c>
      <c r="L64" s="39">
        <v>3.5760000000000001</v>
      </c>
      <c r="M64" s="39">
        <v>5.3710000000000004</v>
      </c>
      <c r="N64" s="39">
        <v>5.5449999999999999</v>
      </c>
      <c r="O64" s="39">
        <v>6.5090000000000003</v>
      </c>
      <c r="P64" s="39">
        <v>5.6260000000000003</v>
      </c>
      <c r="Q64" s="39">
        <v>6.7060000000000004</v>
      </c>
      <c r="T64" s="39" t="s">
        <v>1311</v>
      </c>
      <c r="U64" s="39" t="s">
        <v>2393</v>
      </c>
      <c r="V64" s="39" t="s">
        <v>2908</v>
      </c>
      <c r="W64" s="39" t="s">
        <v>2908</v>
      </c>
      <c r="X64" s="39" t="s">
        <v>2908</v>
      </c>
      <c r="Y64" s="39" t="s">
        <v>2908</v>
      </c>
      <c r="Z64" s="39" t="s">
        <v>2908</v>
      </c>
      <c r="AA64" s="39" t="s">
        <v>2908</v>
      </c>
      <c r="AC64" s="41">
        <v>1000</v>
      </c>
      <c r="AD64" s="41">
        <v>1000</v>
      </c>
      <c r="AE64" s="41">
        <v>1000</v>
      </c>
      <c r="AF64" s="41">
        <v>1000</v>
      </c>
      <c r="AG64" s="41">
        <v>1000</v>
      </c>
      <c r="AI64" t="e">
        <f t="shared" si="1"/>
        <v>#VALUE!</v>
      </c>
      <c r="AJ64" t="e">
        <f t="shared" si="2"/>
        <v>#VALUE!</v>
      </c>
      <c r="AK64" t="e">
        <f t="shared" si="3"/>
        <v>#VALUE!</v>
      </c>
      <c r="AL64" t="e">
        <f t="shared" si="4"/>
        <v>#VALUE!</v>
      </c>
      <c r="AM64" t="e">
        <f t="shared" si="5"/>
        <v>#VALUE!</v>
      </c>
    </row>
    <row r="65" spans="1:17" ht="42" thickBot="1" x14ac:dyDescent="0.3">
      <c r="A65" s="6" t="s">
        <v>785</v>
      </c>
      <c r="B65" s="6">
        <v>6.9669999999999996</v>
      </c>
      <c r="C65" s="6">
        <v>9.56</v>
      </c>
      <c r="D65" s="6">
        <v>10.420999999999999</v>
      </c>
      <c r="E65" s="6">
        <v>10.782999999999999</v>
      </c>
      <c r="F65" s="6">
        <v>11.475</v>
      </c>
      <c r="G65" s="6">
        <v>12.404999999999999</v>
      </c>
      <c r="J65" s="39" t="s">
        <v>1017</v>
      </c>
      <c r="K65" s="39" t="s">
        <v>2168</v>
      </c>
      <c r="L65" s="39">
        <v>0.22500000000000001</v>
      </c>
      <c r="M65" s="39">
        <v>0.44600000000000001</v>
      </c>
      <c r="N65" s="39">
        <v>0.44700000000000001</v>
      </c>
      <c r="O65" s="39">
        <v>0.40200000000000002</v>
      </c>
      <c r="P65" s="39">
        <v>0.39400000000000002</v>
      </c>
      <c r="Q65" s="39">
        <v>0.47</v>
      </c>
    </row>
    <row r="66" spans="1:17" ht="34.799999999999997" thickBot="1" x14ac:dyDescent="0.3">
      <c r="A66" s="6" t="s">
        <v>1003</v>
      </c>
      <c r="B66" s="6">
        <v>18.396999999999998</v>
      </c>
      <c r="C66" s="6">
        <v>16.506</v>
      </c>
      <c r="D66" s="6">
        <v>18.704000000000001</v>
      </c>
      <c r="E66" s="6">
        <v>14.859</v>
      </c>
      <c r="F66" s="6">
        <v>19.805</v>
      </c>
      <c r="G66" s="6">
        <v>21.311</v>
      </c>
      <c r="J66" s="39" t="s">
        <v>8070</v>
      </c>
      <c r="K66" s="39" t="s">
        <v>3595</v>
      </c>
      <c r="L66" s="39">
        <v>1.3009999999999999</v>
      </c>
      <c r="M66" s="39">
        <v>0.46600000000000003</v>
      </c>
      <c r="N66" s="39">
        <v>0.26600000000000001</v>
      </c>
      <c r="O66" s="39">
        <v>1.075</v>
      </c>
      <c r="P66" s="39">
        <v>1.075</v>
      </c>
      <c r="Q66" s="39">
        <v>1.075</v>
      </c>
    </row>
    <row r="67" spans="1:17" ht="42" thickBot="1" x14ac:dyDescent="0.3">
      <c r="A67" s="6" t="s">
        <v>913</v>
      </c>
      <c r="B67" s="6">
        <v>156.714</v>
      </c>
      <c r="C67" s="6">
        <v>98.682000000000002</v>
      </c>
      <c r="D67" s="6">
        <v>99.126000000000005</v>
      </c>
      <c r="E67" s="6">
        <v>114.452</v>
      </c>
      <c r="F67" s="6">
        <v>106.419</v>
      </c>
      <c r="G67" s="6">
        <v>115.44</v>
      </c>
      <c r="J67" s="39" t="s">
        <v>1019</v>
      </c>
      <c r="K67" s="39" t="s">
        <v>4503</v>
      </c>
      <c r="L67" s="39" t="s">
        <v>29</v>
      </c>
      <c r="M67" s="39">
        <v>0.157</v>
      </c>
      <c r="N67" s="39">
        <v>0.32400000000000001</v>
      </c>
      <c r="O67" s="39">
        <v>0.36299999999999999</v>
      </c>
      <c r="P67" s="39" t="s">
        <v>29</v>
      </c>
      <c r="Q67" s="39" t="s">
        <v>29</v>
      </c>
    </row>
    <row r="68" spans="1:17" ht="42" thickBot="1" x14ac:dyDescent="0.3">
      <c r="A68" s="6" t="s">
        <v>1010</v>
      </c>
      <c r="B68" s="6">
        <v>9.6449999999999996</v>
      </c>
      <c r="C68" s="6">
        <v>5.4710000000000001</v>
      </c>
      <c r="D68" s="6">
        <v>6.32</v>
      </c>
      <c r="E68" s="6">
        <v>6.1879999999999997</v>
      </c>
      <c r="F68" s="6">
        <v>5.8659999999999997</v>
      </c>
      <c r="G68" s="6">
        <v>6.968</v>
      </c>
      <c r="J68" s="39" t="s">
        <v>1020</v>
      </c>
      <c r="K68" s="39" t="s">
        <v>3408</v>
      </c>
      <c r="L68" s="39">
        <v>1.3240000000000001</v>
      </c>
      <c r="M68" s="39">
        <v>1.2330000000000001</v>
      </c>
      <c r="N68" s="39">
        <v>1.224</v>
      </c>
      <c r="O68" s="39">
        <v>1.5589999999999999</v>
      </c>
      <c r="P68" s="39">
        <v>1.544</v>
      </c>
      <c r="Q68" s="39">
        <v>1.1080000000000001</v>
      </c>
    </row>
    <row r="69" spans="1:17" ht="42" thickBot="1" x14ac:dyDescent="0.3">
      <c r="A69" s="6" t="s">
        <v>1012</v>
      </c>
      <c r="B69" s="6">
        <v>28.082999999999998</v>
      </c>
      <c r="C69" s="6">
        <v>13.952</v>
      </c>
      <c r="D69" s="6">
        <v>15.01</v>
      </c>
      <c r="E69" s="6">
        <v>14.786</v>
      </c>
      <c r="F69" s="6">
        <v>13.586</v>
      </c>
      <c r="G69" s="6">
        <v>14.314</v>
      </c>
      <c r="J69" s="39" t="s">
        <v>1021</v>
      </c>
      <c r="K69" s="39" t="s">
        <v>6060</v>
      </c>
      <c r="L69" s="39">
        <v>0.82799999999999996</v>
      </c>
      <c r="M69" s="39">
        <v>0.51200000000000001</v>
      </c>
      <c r="N69" s="39">
        <v>0.58699999999999997</v>
      </c>
      <c r="O69" s="39">
        <v>0.64900000000000002</v>
      </c>
      <c r="P69" s="39">
        <v>0.68200000000000005</v>
      </c>
      <c r="Q69" s="39">
        <v>0.72299999999999998</v>
      </c>
    </row>
    <row r="70" spans="1:17" ht="55.8" thickBot="1" x14ac:dyDescent="0.3">
      <c r="A70" s="6" t="s">
        <v>1013</v>
      </c>
      <c r="B70" s="6">
        <v>31.556999999999999</v>
      </c>
      <c r="C70" s="6">
        <v>15.49</v>
      </c>
      <c r="D70" s="6">
        <v>16.625</v>
      </c>
      <c r="E70" s="6">
        <v>15.487</v>
      </c>
      <c r="F70" s="6">
        <v>14.238</v>
      </c>
      <c r="G70" s="6">
        <v>15.593</v>
      </c>
      <c r="J70" s="39" t="s">
        <v>1022</v>
      </c>
      <c r="K70" s="39" t="s">
        <v>6063</v>
      </c>
      <c r="L70" s="39">
        <v>0.72</v>
      </c>
      <c r="M70" s="39">
        <v>0.51100000000000001</v>
      </c>
      <c r="N70" s="39">
        <v>0.51100000000000001</v>
      </c>
      <c r="O70" s="39">
        <v>0.47699999999999998</v>
      </c>
      <c r="P70" s="39">
        <v>0.57399999999999995</v>
      </c>
      <c r="Q70" s="39">
        <v>0.71699999999999997</v>
      </c>
    </row>
    <row r="71" spans="1:17" ht="23.4" thickBot="1" x14ac:dyDescent="0.3">
      <c r="A71" s="6" t="s">
        <v>982</v>
      </c>
      <c r="B71" s="6">
        <v>3.1179999999999999</v>
      </c>
      <c r="C71" s="6">
        <v>1.6519999999999999</v>
      </c>
      <c r="D71" s="6">
        <v>1.7949999999999999</v>
      </c>
      <c r="E71" s="6">
        <v>3.3809999999999998</v>
      </c>
      <c r="F71" s="6">
        <v>0.108</v>
      </c>
      <c r="G71" s="6">
        <v>0.36</v>
      </c>
      <c r="J71" s="39" t="s">
        <v>1023</v>
      </c>
      <c r="K71" s="39" t="s">
        <v>8071</v>
      </c>
      <c r="L71" s="39">
        <v>0.50800000000000001</v>
      </c>
      <c r="M71" s="39">
        <v>0.314</v>
      </c>
      <c r="N71" s="39">
        <v>0.27700000000000002</v>
      </c>
      <c r="O71" s="39">
        <v>0.44900000000000001</v>
      </c>
      <c r="P71" s="39">
        <v>0.221</v>
      </c>
      <c r="Q71" s="39">
        <v>0.38400000000000001</v>
      </c>
    </row>
    <row r="72" spans="1:17" ht="42" thickBot="1" x14ac:dyDescent="0.3">
      <c r="A72" s="6" t="s">
        <v>920</v>
      </c>
      <c r="B72" s="6">
        <v>0.32700000000000001</v>
      </c>
      <c r="C72" s="6">
        <v>0.47699999999999998</v>
      </c>
      <c r="D72" s="6">
        <v>0.6</v>
      </c>
      <c r="E72" s="6">
        <v>0.71399999999999997</v>
      </c>
      <c r="F72" s="6">
        <v>0.46899999999999997</v>
      </c>
      <c r="G72" s="6">
        <v>0.67500000000000004</v>
      </c>
      <c r="J72" s="39" t="s">
        <v>1024</v>
      </c>
      <c r="K72" s="39" t="s">
        <v>4530</v>
      </c>
      <c r="L72" s="39">
        <v>0.185</v>
      </c>
      <c r="M72" s="39" t="s">
        <v>29</v>
      </c>
      <c r="N72" s="39">
        <v>0.158</v>
      </c>
      <c r="O72" s="39" t="s">
        <v>29</v>
      </c>
      <c r="P72" s="39" t="s">
        <v>29</v>
      </c>
      <c r="Q72" s="39" t="s">
        <v>29</v>
      </c>
    </row>
    <row r="73" spans="1:17" ht="83.4" thickBot="1" x14ac:dyDescent="0.3">
      <c r="A73" s="6" t="s">
        <v>1016</v>
      </c>
      <c r="B73" s="6">
        <v>3.5760000000000001</v>
      </c>
      <c r="C73" s="6">
        <v>5.3710000000000004</v>
      </c>
      <c r="D73" s="6">
        <v>5.5449999999999999</v>
      </c>
      <c r="E73" s="6">
        <v>6.5090000000000003</v>
      </c>
      <c r="F73" s="6">
        <v>5.6260000000000003</v>
      </c>
      <c r="G73" s="6">
        <v>6.7060000000000004</v>
      </c>
      <c r="J73" s="39" t="s">
        <v>1025</v>
      </c>
      <c r="K73" s="39" t="s">
        <v>8072</v>
      </c>
      <c r="L73" s="39">
        <v>0.63400000000000001</v>
      </c>
      <c r="M73" s="39">
        <v>1.556</v>
      </c>
      <c r="N73" s="39">
        <v>1.597</v>
      </c>
      <c r="O73" s="39">
        <v>1.3420000000000001</v>
      </c>
      <c r="P73" s="39">
        <v>1.446</v>
      </c>
      <c r="Q73" s="39">
        <v>1.925</v>
      </c>
    </row>
    <row r="74" spans="1:17" ht="55.8" thickBot="1" x14ac:dyDescent="0.3">
      <c r="A74" s="6" t="s">
        <v>1017</v>
      </c>
      <c r="B74" s="6">
        <v>0.22500000000000001</v>
      </c>
      <c r="C74" s="6">
        <v>0.44600000000000001</v>
      </c>
      <c r="D74" s="6">
        <v>0.44700000000000001</v>
      </c>
      <c r="E74" s="6">
        <v>0.40200000000000002</v>
      </c>
      <c r="F74" s="6">
        <v>0.39400000000000002</v>
      </c>
      <c r="G74" s="6">
        <v>0.47</v>
      </c>
      <c r="J74" s="39" t="s">
        <v>1026</v>
      </c>
      <c r="K74" s="39" t="s">
        <v>8073</v>
      </c>
      <c r="L74" s="39">
        <v>5.0000000000000001E-3</v>
      </c>
      <c r="M74" s="39">
        <v>0.63900000000000001</v>
      </c>
      <c r="N74" s="39">
        <v>0.72799999999999998</v>
      </c>
      <c r="O74" s="39">
        <v>0.64800000000000002</v>
      </c>
      <c r="P74" s="39">
        <v>0.77700000000000002</v>
      </c>
      <c r="Q74" s="39">
        <v>0.83699999999999997</v>
      </c>
    </row>
    <row r="75" spans="1:17" ht="55.8" thickBot="1" x14ac:dyDescent="0.3">
      <c r="A75" s="6" t="s">
        <v>1018</v>
      </c>
      <c r="B75" s="6">
        <v>1.3009999999999999</v>
      </c>
      <c r="C75" s="6">
        <v>0.46600000000000003</v>
      </c>
      <c r="D75" s="6">
        <v>0.42599999999999999</v>
      </c>
      <c r="E75" s="6">
        <v>1.075</v>
      </c>
      <c r="F75" s="6">
        <v>1.075</v>
      </c>
      <c r="G75" s="6">
        <v>1.075</v>
      </c>
      <c r="J75" s="39" t="s">
        <v>1027</v>
      </c>
      <c r="K75" s="39" t="s">
        <v>8074</v>
      </c>
      <c r="L75" s="39">
        <v>1.9330000000000001</v>
      </c>
      <c r="M75" s="39">
        <v>2.7810000000000001</v>
      </c>
      <c r="N75" s="39">
        <v>3.1179999999999999</v>
      </c>
      <c r="O75" s="39">
        <v>2.7589999999999999</v>
      </c>
      <c r="P75" s="39">
        <v>2.782</v>
      </c>
      <c r="Q75" s="39">
        <v>3.6259999999999999</v>
      </c>
    </row>
    <row r="76" spans="1:17" ht="42" thickBot="1" x14ac:dyDescent="0.3">
      <c r="A76" s="6" t="s">
        <v>1019</v>
      </c>
      <c r="B76" s="6" t="s">
        <v>29</v>
      </c>
      <c r="C76" s="6">
        <v>0.157</v>
      </c>
      <c r="D76" s="6">
        <v>0.32400000000000001</v>
      </c>
      <c r="E76" s="6">
        <v>0.36299999999999999</v>
      </c>
      <c r="F76" s="6" t="s">
        <v>29</v>
      </c>
      <c r="G76" s="6" t="s">
        <v>29</v>
      </c>
      <c r="J76" s="39" t="s">
        <v>1028</v>
      </c>
      <c r="K76" s="39" t="s">
        <v>3586</v>
      </c>
      <c r="L76" s="39">
        <v>7.76</v>
      </c>
      <c r="M76" s="39">
        <v>15.257999999999999</v>
      </c>
      <c r="N76" s="39">
        <v>21.190999999999999</v>
      </c>
      <c r="O76" s="39">
        <v>11.021000000000001</v>
      </c>
      <c r="P76" s="39">
        <v>12.849</v>
      </c>
      <c r="Q76" s="39">
        <v>25.986999999999998</v>
      </c>
    </row>
    <row r="77" spans="1:17" ht="34.799999999999997" thickBot="1" x14ac:dyDescent="0.3">
      <c r="A77" s="6" t="s">
        <v>1020</v>
      </c>
      <c r="B77" s="6">
        <v>1.3240000000000001</v>
      </c>
      <c r="C77" s="6">
        <v>1.2330000000000001</v>
      </c>
      <c r="D77" s="6">
        <v>1.224</v>
      </c>
      <c r="E77" s="6">
        <v>1.5589999999999999</v>
      </c>
      <c r="F77" s="6">
        <v>1.544</v>
      </c>
      <c r="G77" s="6">
        <v>1.1080000000000001</v>
      </c>
      <c r="J77" s="39" t="s">
        <v>1029</v>
      </c>
      <c r="K77" s="39" t="s">
        <v>2177</v>
      </c>
      <c r="L77" s="39">
        <v>1.9330000000000001</v>
      </c>
      <c r="M77" s="39">
        <v>2.7810000000000001</v>
      </c>
      <c r="N77" s="39">
        <v>3.1179999999999999</v>
      </c>
      <c r="O77" s="39">
        <v>2.7589999999999999</v>
      </c>
      <c r="P77" s="39">
        <v>3.1579999999999999</v>
      </c>
      <c r="Q77" s="39">
        <v>3.98</v>
      </c>
    </row>
    <row r="78" spans="1:17" ht="34.799999999999997" thickBot="1" x14ac:dyDescent="0.3">
      <c r="A78" s="6" t="s">
        <v>1021</v>
      </c>
      <c r="B78" s="6">
        <v>0.82799999999999996</v>
      </c>
      <c r="C78" s="6">
        <v>0.51200000000000001</v>
      </c>
      <c r="D78" s="6">
        <v>0.58699999999999997</v>
      </c>
      <c r="E78" s="6">
        <v>0.64900000000000002</v>
      </c>
      <c r="F78" s="6">
        <v>0.68200000000000005</v>
      </c>
      <c r="G78" s="6">
        <v>0.72299999999999998</v>
      </c>
      <c r="J78" s="39" t="s">
        <v>1030</v>
      </c>
      <c r="K78" s="39" t="s">
        <v>2892</v>
      </c>
      <c r="L78" s="39">
        <v>4.7610000000000001</v>
      </c>
      <c r="M78" s="39">
        <v>3.8079999999999998</v>
      </c>
      <c r="N78" s="39">
        <v>3.681</v>
      </c>
      <c r="O78" s="39">
        <v>4.29</v>
      </c>
      <c r="P78" s="39">
        <v>4.2220000000000004</v>
      </c>
      <c r="Q78" s="39">
        <v>4.3680000000000003</v>
      </c>
    </row>
    <row r="79" spans="1:17" ht="34.799999999999997" thickBot="1" x14ac:dyDescent="0.3">
      <c r="A79" s="6" t="s">
        <v>1022</v>
      </c>
      <c r="B79" s="6">
        <v>0.72</v>
      </c>
      <c r="C79" s="6">
        <v>0.51100000000000001</v>
      </c>
      <c r="D79" s="6">
        <v>0.51100000000000001</v>
      </c>
      <c r="E79" s="6">
        <v>0.47699999999999998</v>
      </c>
      <c r="F79" s="6">
        <v>0.57399999999999995</v>
      </c>
      <c r="G79" s="6">
        <v>0.71699999999999997</v>
      </c>
      <c r="J79" s="39" t="s">
        <v>1031</v>
      </c>
      <c r="K79" s="39" t="s">
        <v>2020</v>
      </c>
      <c r="L79" s="39">
        <v>1.048</v>
      </c>
      <c r="M79" s="39">
        <v>4.01</v>
      </c>
      <c r="N79" s="39">
        <v>2.8519999999999999</v>
      </c>
      <c r="O79" s="39" t="s">
        <v>29</v>
      </c>
      <c r="P79" s="39">
        <v>0.65</v>
      </c>
      <c r="Q79" s="39">
        <v>3.1619999999999999</v>
      </c>
    </row>
    <row r="80" spans="1:17" ht="28.2" thickBot="1" x14ac:dyDescent="0.3">
      <c r="A80" s="6" t="s">
        <v>1023</v>
      </c>
      <c r="B80" s="6">
        <v>0.50800000000000001</v>
      </c>
      <c r="C80" s="6">
        <v>0.314</v>
      </c>
      <c r="D80" s="6">
        <v>0.27700000000000002</v>
      </c>
      <c r="E80" s="6">
        <v>0.44900000000000001</v>
      </c>
      <c r="F80" s="6">
        <v>0.221</v>
      </c>
      <c r="G80" s="6">
        <v>0.38400000000000001</v>
      </c>
      <c r="J80" s="39" t="s">
        <v>717</v>
      </c>
      <c r="K80" s="39" t="s">
        <v>2021</v>
      </c>
      <c r="L80" s="39">
        <v>1.8580000000000001</v>
      </c>
      <c r="M80" s="39">
        <v>2.831</v>
      </c>
      <c r="N80" s="39">
        <v>2.4169999999999998</v>
      </c>
      <c r="O80" s="39">
        <v>2.38</v>
      </c>
      <c r="P80" s="39">
        <v>2.419</v>
      </c>
      <c r="Q80" s="39">
        <v>2.5659999999999998</v>
      </c>
    </row>
    <row r="81" spans="1:17" ht="42" thickBot="1" x14ac:dyDescent="0.3">
      <c r="A81" s="6" t="s">
        <v>1024</v>
      </c>
      <c r="B81" s="6">
        <v>0.185</v>
      </c>
      <c r="C81" s="6" t="s">
        <v>29</v>
      </c>
      <c r="D81" s="6">
        <v>0.158</v>
      </c>
      <c r="E81" s="6" t="s">
        <v>29</v>
      </c>
      <c r="F81" s="6" t="s">
        <v>29</v>
      </c>
      <c r="G81" s="6" t="s">
        <v>29</v>
      </c>
      <c r="J81" s="39" t="s">
        <v>1032</v>
      </c>
      <c r="K81" s="39" t="s">
        <v>2024</v>
      </c>
      <c r="L81" s="39">
        <v>72.064999999999998</v>
      </c>
      <c r="M81" s="39">
        <v>141.94900000000001</v>
      </c>
      <c r="N81" s="39">
        <v>111.35</v>
      </c>
      <c r="O81" s="39">
        <v>103.087</v>
      </c>
      <c r="P81" s="39">
        <v>102.015</v>
      </c>
      <c r="Q81" s="39">
        <v>120.08799999999999</v>
      </c>
    </row>
    <row r="82" spans="1:17" ht="57.6" thickBot="1" x14ac:dyDescent="0.3">
      <c r="A82" s="6" t="s">
        <v>1025</v>
      </c>
      <c r="B82" s="6">
        <v>0.63400000000000001</v>
      </c>
      <c r="C82" s="6">
        <v>1.556</v>
      </c>
      <c r="D82" s="6">
        <v>1.597</v>
      </c>
      <c r="E82" s="6">
        <v>1.3420000000000001</v>
      </c>
      <c r="F82" s="6">
        <v>1.446</v>
      </c>
      <c r="G82" s="6">
        <v>1.925</v>
      </c>
      <c r="J82" s="39" t="s">
        <v>1265</v>
      </c>
      <c r="K82" s="39" t="s">
        <v>2180</v>
      </c>
      <c r="L82" s="39">
        <v>5.54</v>
      </c>
      <c r="M82" s="39">
        <v>8.1839999999999993</v>
      </c>
      <c r="N82" s="39">
        <v>7.8179999999999996</v>
      </c>
      <c r="O82" s="39">
        <v>5.6440000000000001</v>
      </c>
      <c r="P82" s="39">
        <v>6.423</v>
      </c>
      <c r="Q82" s="39">
        <v>9.7579999999999991</v>
      </c>
    </row>
    <row r="83" spans="1:17" ht="46.2" thickBot="1" x14ac:dyDescent="0.3">
      <c r="A83" s="6" t="s">
        <v>1026</v>
      </c>
      <c r="B83" s="6">
        <v>5.0000000000000001E-3</v>
      </c>
      <c r="C83" s="6">
        <v>0.63900000000000001</v>
      </c>
      <c r="D83" s="6">
        <v>0.72799999999999998</v>
      </c>
      <c r="E83" s="6">
        <v>0.64800000000000002</v>
      </c>
      <c r="F83" s="6">
        <v>0.77700000000000002</v>
      </c>
      <c r="G83" s="6">
        <v>0.83699999999999997</v>
      </c>
      <c r="J83" s="39" t="s">
        <v>1034</v>
      </c>
      <c r="K83" s="39" t="s">
        <v>2174</v>
      </c>
      <c r="L83" s="39">
        <v>7.76</v>
      </c>
      <c r="M83" s="39">
        <v>15.257999999999999</v>
      </c>
      <c r="N83" s="39">
        <v>21.190999999999999</v>
      </c>
      <c r="O83" s="39">
        <v>12.086</v>
      </c>
      <c r="P83" s="39">
        <v>14.749000000000001</v>
      </c>
      <c r="Q83" s="39">
        <v>27.998000000000001</v>
      </c>
    </row>
    <row r="84" spans="1:17" ht="55.8" thickBot="1" x14ac:dyDescent="0.3">
      <c r="A84" s="6" t="s">
        <v>1027</v>
      </c>
      <c r="B84" s="6">
        <v>1.9330000000000001</v>
      </c>
      <c r="C84" s="6">
        <v>2.7810000000000001</v>
      </c>
      <c r="D84" s="6">
        <v>3.1179999999999999</v>
      </c>
      <c r="E84" s="6">
        <v>2.7589999999999999</v>
      </c>
      <c r="F84" s="6">
        <v>2.782</v>
      </c>
      <c r="G84" s="6">
        <v>3.6259999999999999</v>
      </c>
      <c r="J84" s="39" t="s">
        <v>1035</v>
      </c>
      <c r="K84" s="39" t="s">
        <v>8075</v>
      </c>
      <c r="L84" s="39">
        <v>3.5999999999999997E-2</v>
      </c>
      <c r="M84" s="39">
        <v>7.1999999999999995E-2</v>
      </c>
      <c r="N84" s="39">
        <v>0.189</v>
      </c>
      <c r="O84" s="39">
        <v>0.13400000000000001</v>
      </c>
      <c r="P84" s="39" t="s">
        <v>29</v>
      </c>
      <c r="Q84" s="39" t="s">
        <v>29</v>
      </c>
    </row>
    <row r="85" spans="1:17" ht="42" thickBot="1" x14ac:dyDescent="0.3">
      <c r="A85" s="6" t="s">
        <v>1028</v>
      </c>
      <c r="B85" s="6">
        <v>7.76</v>
      </c>
      <c r="C85" s="6">
        <v>15.257999999999999</v>
      </c>
      <c r="D85" s="6">
        <v>21.190999999999999</v>
      </c>
      <c r="E85" s="6">
        <v>11.021000000000001</v>
      </c>
      <c r="F85" s="6">
        <v>12.849</v>
      </c>
      <c r="G85" s="6">
        <v>25.986999999999998</v>
      </c>
      <c r="J85" s="39" t="s">
        <v>1036</v>
      </c>
      <c r="K85" s="39" t="s">
        <v>8076</v>
      </c>
      <c r="L85" s="39">
        <v>0.47899999999999998</v>
      </c>
      <c r="M85" s="39">
        <v>0.442</v>
      </c>
      <c r="N85" s="39">
        <v>0.124</v>
      </c>
      <c r="O85" s="39">
        <v>0.47799999999999998</v>
      </c>
      <c r="P85" s="39">
        <v>0.44400000000000001</v>
      </c>
      <c r="Q85" s="39">
        <v>0.44500000000000001</v>
      </c>
    </row>
    <row r="86" spans="1:17" ht="55.8" thickBot="1" x14ac:dyDescent="0.3">
      <c r="A86" s="6" t="s">
        <v>1029</v>
      </c>
      <c r="B86" s="6">
        <v>1.9330000000000001</v>
      </c>
      <c r="C86" s="6">
        <v>2.7829999999999999</v>
      </c>
      <c r="D86" s="6">
        <v>3.1179999999999999</v>
      </c>
      <c r="E86" s="6">
        <v>2.7589999999999999</v>
      </c>
      <c r="F86" s="6">
        <v>3.1579999999999999</v>
      </c>
      <c r="G86" s="6">
        <v>3.98</v>
      </c>
      <c r="J86" s="39" t="s">
        <v>1037</v>
      </c>
      <c r="K86" s="39" t="s">
        <v>8077</v>
      </c>
      <c r="L86" s="39">
        <v>0.47399999999999998</v>
      </c>
      <c r="M86" s="39">
        <v>1.1479999999999999</v>
      </c>
      <c r="N86" s="39">
        <v>1.262</v>
      </c>
      <c r="O86" s="39">
        <v>1.5549999999999999</v>
      </c>
      <c r="P86" s="39">
        <v>1.323</v>
      </c>
      <c r="Q86" s="39">
        <v>1.4970000000000001</v>
      </c>
    </row>
    <row r="87" spans="1:17" ht="55.8" thickBot="1" x14ac:dyDescent="0.3">
      <c r="A87" s="6" t="s">
        <v>1030</v>
      </c>
      <c r="B87" s="6">
        <v>4.7610000000000001</v>
      </c>
      <c r="C87" s="6">
        <v>3.8079999999999998</v>
      </c>
      <c r="D87" s="6">
        <v>3.681</v>
      </c>
      <c r="E87" s="6">
        <v>4.29</v>
      </c>
      <c r="F87" s="6">
        <v>4.2220000000000004</v>
      </c>
      <c r="G87" s="6">
        <v>4.6379999999999999</v>
      </c>
      <c r="J87" s="39" t="s">
        <v>1038</v>
      </c>
      <c r="K87" s="39" t="s">
        <v>8078</v>
      </c>
      <c r="L87" s="39" t="s">
        <v>29</v>
      </c>
      <c r="M87" s="39">
        <v>0.52400000000000002</v>
      </c>
      <c r="N87" s="39">
        <v>0.53400000000000003</v>
      </c>
      <c r="O87" s="39">
        <v>1.504</v>
      </c>
      <c r="P87" s="39">
        <v>1.504</v>
      </c>
      <c r="Q87" s="39">
        <v>1.504</v>
      </c>
    </row>
    <row r="88" spans="1:17" ht="55.8" thickBot="1" x14ac:dyDescent="0.3">
      <c r="A88" s="6" t="s">
        <v>1031</v>
      </c>
      <c r="B88" s="6">
        <v>1.048</v>
      </c>
      <c r="C88" s="6">
        <v>4.01</v>
      </c>
      <c r="D88" s="6">
        <v>2.8519999999999999</v>
      </c>
      <c r="E88" s="6" t="s">
        <v>29</v>
      </c>
      <c r="F88" s="6">
        <v>0.65</v>
      </c>
      <c r="G88" s="6">
        <v>3.1619999999999999</v>
      </c>
      <c r="J88" s="39" t="s">
        <v>1039</v>
      </c>
      <c r="K88" s="39" t="s">
        <v>8079</v>
      </c>
      <c r="L88" s="39" t="s">
        <v>29</v>
      </c>
      <c r="M88" s="39">
        <v>7.0000000000000007E-2</v>
      </c>
      <c r="N88" s="39">
        <v>0.23200000000000001</v>
      </c>
      <c r="O88" s="39">
        <v>0.26300000000000001</v>
      </c>
      <c r="P88" s="39">
        <v>7.3999999999999996E-2</v>
      </c>
      <c r="Q88" s="39">
        <v>0.11</v>
      </c>
    </row>
    <row r="89" spans="1:17" ht="55.8" thickBot="1" x14ac:dyDescent="0.3">
      <c r="A89" s="6" t="s">
        <v>717</v>
      </c>
      <c r="B89" s="6">
        <v>1.8580000000000001</v>
      </c>
      <c r="C89" s="6">
        <v>2.831</v>
      </c>
      <c r="D89" s="6">
        <v>2.4169999999999998</v>
      </c>
      <c r="E89" s="6">
        <v>2.38</v>
      </c>
      <c r="F89" s="6">
        <v>2.419</v>
      </c>
      <c r="G89" s="6">
        <v>2.5659999999999998</v>
      </c>
      <c r="J89" s="39" t="s">
        <v>1040</v>
      </c>
      <c r="K89" s="39" t="s">
        <v>8080</v>
      </c>
      <c r="L89" s="39" t="s">
        <v>29</v>
      </c>
      <c r="M89" s="39">
        <v>0.09</v>
      </c>
      <c r="N89" s="39">
        <v>0.17399999999999999</v>
      </c>
      <c r="O89" s="39">
        <v>0.158</v>
      </c>
      <c r="P89" s="39">
        <v>0.23799999999999999</v>
      </c>
      <c r="Q89" s="39">
        <v>0.36299999999999999</v>
      </c>
    </row>
    <row r="90" spans="1:17" ht="55.8" thickBot="1" x14ac:dyDescent="0.3">
      <c r="A90" s="6" t="s">
        <v>1032</v>
      </c>
      <c r="B90" s="6">
        <v>72.064999999999998</v>
      </c>
      <c r="C90" s="6">
        <v>141.94900000000001</v>
      </c>
      <c r="D90" s="6">
        <v>111.35</v>
      </c>
      <c r="E90" s="6">
        <v>103.087</v>
      </c>
      <c r="F90" s="6">
        <v>102.015</v>
      </c>
      <c r="G90" s="6">
        <v>120.08799999999999</v>
      </c>
      <c r="J90" s="39" t="s">
        <v>8081</v>
      </c>
      <c r="K90" s="39" t="s">
        <v>8082</v>
      </c>
      <c r="L90" s="39" t="s">
        <v>29</v>
      </c>
      <c r="M90" s="39">
        <v>0.39300000000000002</v>
      </c>
      <c r="N90" s="39" t="s">
        <v>29</v>
      </c>
      <c r="O90" s="39" t="s">
        <v>29</v>
      </c>
      <c r="P90" s="39" t="s">
        <v>29</v>
      </c>
      <c r="Q90" s="39" t="s">
        <v>29</v>
      </c>
    </row>
    <row r="91" spans="1:17" ht="42" thickBot="1" x14ac:dyDescent="0.3">
      <c r="A91" s="6" t="s">
        <v>1033</v>
      </c>
      <c r="B91" s="6">
        <v>5.54</v>
      </c>
      <c r="C91" s="6">
        <v>8.1839999999999993</v>
      </c>
      <c r="D91" s="6">
        <v>7.8179999999999996</v>
      </c>
      <c r="E91" s="6">
        <v>5.6440000000000001</v>
      </c>
      <c r="F91" s="6">
        <v>6.423</v>
      </c>
      <c r="G91" s="6">
        <v>9.7579999999999991</v>
      </c>
      <c r="J91" s="39" t="s">
        <v>1042</v>
      </c>
      <c r="K91" s="39" t="s">
        <v>8083</v>
      </c>
      <c r="L91" s="39">
        <v>0.60499999999999998</v>
      </c>
      <c r="M91" s="39">
        <v>0.432</v>
      </c>
      <c r="N91" s="39">
        <v>0.33300000000000002</v>
      </c>
      <c r="O91" s="39">
        <v>0.36399999999999999</v>
      </c>
      <c r="P91" s="39">
        <v>0.26300000000000001</v>
      </c>
      <c r="Q91" s="39">
        <v>1.1439999999999999</v>
      </c>
    </row>
    <row r="92" spans="1:17" ht="55.8" thickBot="1" x14ac:dyDescent="0.3">
      <c r="A92" s="6" t="s">
        <v>1034</v>
      </c>
      <c r="B92" s="6">
        <v>7.76</v>
      </c>
      <c r="C92" s="6">
        <v>15.257999999999999</v>
      </c>
      <c r="D92" s="6">
        <v>21.190999999999999</v>
      </c>
      <c r="E92" s="6">
        <v>12.086</v>
      </c>
      <c r="F92" s="6">
        <v>14.749000000000001</v>
      </c>
      <c r="G92" s="6">
        <v>27.998000000000001</v>
      </c>
      <c r="J92" s="39" t="s">
        <v>1043</v>
      </c>
      <c r="K92" s="39" t="s">
        <v>8084</v>
      </c>
      <c r="L92" s="39">
        <v>5.516</v>
      </c>
      <c r="M92" s="39">
        <v>6.4359999999999999</v>
      </c>
      <c r="N92" s="39">
        <v>7.46</v>
      </c>
      <c r="O92" s="39">
        <v>6.4989999999999997</v>
      </c>
      <c r="P92" s="39">
        <v>8.1780000000000008</v>
      </c>
      <c r="Q92" s="39">
        <v>7.74</v>
      </c>
    </row>
    <row r="93" spans="1:17" ht="55.8" thickBot="1" x14ac:dyDescent="0.3">
      <c r="A93" s="6" t="s">
        <v>1028</v>
      </c>
      <c r="B93" s="6" t="s">
        <v>29</v>
      </c>
      <c r="C93" s="6">
        <v>0.14499999999999999</v>
      </c>
      <c r="D93" s="6" t="s">
        <v>29</v>
      </c>
      <c r="E93" s="6">
        <v>0.17599999999999999</v>
      </c>
      <c r="F93" s="6">
        <v>0.23899999999999999</v>
      </c>
      <c r="G93" s="6">
        <v>5.8999999999999997E-2</v>
      </c>
      <c r="J93" s="39" t="s">
        <v>8085</v>
      </c>
      <c r="K93" s="39" t="s">
        <v>8086</v>
      </c>
      <c r="L93" s="39" t="s">
        <v>29</v>
      </c>
      <c r="M93" s="39">
        <v>0.188</v>
      </c>
      <c r="N93" s="39">
        <v>0.44800000000000001</v>
      </c>
      <c r="O93" s="39">
        <v>0.39700000000000002</v>
      </c>
      <c r="P93" s="39">
        <v>0.45200000000000001</v>
      </c>
      <c r="Q93" s="39">
        <v>0.16600000000000001</v>
      </c>
    </row>
    <row r="94" spans="1:17" ht="46.2" thickBot="1" x14ac:dyDescent="0.3">
      <c r="A94" s="6" t="s">
        <v>1035</v>
      </c>
      <c r="B94" s="6">
        <v>3.5999999999999997E-2</v>
      </c>
      <c r="C94" s="6">
        <v>7.1999999999999995E-2</v>
      </c>
      <c r="D94" s="6">
        <v>0.189</v>
      </c>
      <c r="E94" s="6">
        <v>0.13400000000000001</v>
      </c>
      <c r="F94" s="6" t="s">
        <v>29</v>
      </c>
      <c r="G94" s="6" t="s">
        <v>29</v>
      </c>
      <c r="J94" s="39" t="s">
        <v>8087</v>
      </c>
      <c r="K94" s="39" t="s">
        <v>8088</v>
      </c>
      <c r="L94" s="39">
        <v>103.724</v>
      </c>
      <c r="M94" s="39">
        <v>160.90199999999999</v>
      </c>
      <c r="N94" s="39">
        <v>130.184</v>
      </c>
      <c r="O94" s="39">
        <v>234.262</v>
      </c>
      <c r="P94" s="39">
        <v>232.22800000000001</v>
      </c>
      <c r="Q94" s="39">
        <v>155.995</v>
      </c>
    </row>
    <row r="95" spans="1:17" ht="34.799999999999997" thickBot="1" x14ac:dyDescent="0.3">
      <c r="A95" s="6" t="s">
        <v>1036</v>
      </c>
      <c r="B95" s="6">
        <v>0.47899999999999998</v>
      </c>
      <c r="C95" s="6">
        <v>0.442</v>
      </c>
      <c r="D95" s="6">
        <v>0.124</v>
      </c>
      <c r="E95" s="6">
        <v>0.47799999999999998</v>
      </c>
      <c r="F95" s="6">
        <v>0.44400000000000001</v>
      </c>
      <c r="G95" s="6">
        <v>0.44500000000000001</v>
      </c>
      <c r="J95" s="39" t="s">
        <v>8089</v>
      </c>
      <c r="K95" s="39" t="s">
        <v>3338</v>
      </c>
      <c r="L95" s="39">
        <v>19.774999999999999</v>
      </c>
      <c r="M95" s="39">
        <v>36.768000000000001</v>
      </c>
      <c r="N95" s="39">
        <v>36.902000000000001</v>
      </c>
      <c r="O95" s="39">
        <v>36.274999999999999</v>
      </c>
      <c r="P95" s="39">
        <v>34.207000000000001</v>
      </c>
      <c r="Q95" s="39">
        <v>43.713000000000001</v>
      </c>
    </row>
    <row r="96" spans="1:17" ht="34.799999999999997" thickBot="1" x14ac:dyDescent="0.3">
      <c r="A96" s="6" t="s">
        <v>1037</v>
      </c>
      <c r="B96" s="6">
        <v>0.47399999999999998</v>
      </c>
      <c r="C96" s="6">
        <v>1.1479999999999999</v>
      </c>
      <c r="D96" s="6">
        <v>1.262</v>
      </c>
      <c r="E96" s="6">
        <v>1.5549999999999999</v>
      </c>
      <c r="F96" s="6">
        <v>1.323</v>
      </c>
      <c r="G96" s="6">
        <v>1.4970000000000001</v>
      </c>
      <c r="J96" s="39" t="s">
        <v>7863</v>
      </c>
      <c r="K96" s="39" t="s">
        <v>2359</v>
      </c>
      <c r="L96" s="39">
        <v>1.103</v>
      </c>
      <c r="M96" s="39">
        <v>2.4</v>
      </c>
      <c r="N96" s="39">
        <v>1.05</v>
      </c>
      <c r="O96" s="39">
        <v>1.1970000000000001</v>
      </c>
      <c r="P96" s="39">
        <v>1.39</v>
      </c>
      <c r="Q96" s="39">
        <v>1.6990000000000001</v>
      </c>
    </row>
    <row r="97" spans="1:17" ht="69.599999999999994" thickBot="1" x14ac:dyDescent="0.3">
      <c r="A97" s="6" t="s">
        <v>1038</v>
      </c>
      <c r="B97" s="6" t="s">
        <v>29</v>
      </c>
      <c r="C97" s="6">
        <v>0.52400000000000002</v>
      </c>
      <c r="D97" s="6">
        <v>0.53400000000000003</v>
      </c>
      <c r="E97" s="6">
        <v>1.504</v>
      </c>
      <c r="F97" s="6">
        <v>1.504</v>
      </c>
      <c r="G97" s="6">
        <v>1.504</v>
      </c>
      <c r="J97" s="39" t="s">
        <v>8090</v>
      </c>
      <c r="K97" s="39" t="s">
        <v>8091</v>
      </c>
      <c r="L97" s="39" t="s">
        <v>29</v>
      </c>
      <c r="M97" s="39">
        <v>0.29799999999999999</v>
      </c>
      <c r="N97" s="39">
        <v>0.32800000000000001</v>
      </c>
      <c r="O97" s="39">
        <v>0.21099999999999999</v>
      </c>
      <c r="P97" s="39">
        <v>0.52600000000000002</v>
      </c>
      <c r="Q97" s="39">
        <v>0.23799999999999999</v>
      </c>
    </row>
    <row r="98" spans="1:17" ht="69.599999999999994" thickBot="1" x14ac:dyDescent="0.3">
      <c r="A98" s="6" t="s">
        <v>1039</v>
      </c>
      <c r="B98" s="6" t="s">
        <v>29</v>
      </c>
      <c r="C98" s="6">
        <v>7.0000000000000007E-2</v>
      </c>
      <c r="D98" s="6">
        <v>0.23200000000000001</v>
      </c>
      <c r="E98" s="6">
        <v>0.26300000000000001</v>
      </c>
      <c r="F98" s="6">
        <v>7.3999999999999996E-2</v>
      </c>
      <c r="G98" s="6">
        <v>0.11</v>
      </c>
      <c r="J98" s="39" t="s">
        <v>8092</v>
      </c>
      <c r="K98" s="39" t="s">
        <v>8093</v>
      </c>
      <c r="L98" s="39" t="s">
        <v>29</v>
      </c>
      <c r="M98" s="39">
        <v>1.3720000000000001</v>
      </c>
      <c r="N98" s="39">
        <v>3.3180000000000001</v>
      </c>
      <c r="O98" s="39">
        <v>2.7589999999999999</v>
      </c>
      <c r="P98" s="39">
        <v>1.3759999999999999</v>
      </c>
      <c r="Q98" s="39" t="s">
        <v>29</v>
      </c>
    </row>
    <row r="99" spans="1:17" ht="46.2" thickBot="1" x14ac:dyDescent="0.3">
      <c r="A99" s="6" t="s">
        <v>1040</v>
      </c>
      <c r="B99" s="6" t="s">
        <v>29</v>
      </c>
      <c r="C99" s="6">
        <v>0.09</v>
      </c>
      <c r="D99" s="6">
        <v>0.17399999999999999</v>
      </c>
      <c r="E99" s="6">
        <v>0.158</v>
      </c>
      <c r="F99" s="6">
        <v>0.23799999999999999</v>
      </c>
      <c r="G99" s="6">
        <v>0.36299999999999999</v>
      </c>
      <c r="J99" s="39" t="s">
        <v>8094</v>
      </c>
      <c r="K99" s="39" t="s">
        <v>8095</v>
      </c>
      <c r="L99" s="39" t="s">
        <v>29</v>
      </c>
      <c r="M99" s="39" t="s">
        <v>29</v>
      </c>
      <c r="N99" s="39">
        <v>0.17100000000000001</v>
      </c>
      <c r="O99" s="39">
        <v>0.58899999999999997</v>
      </c>
      <c r="P99" s="39">
        <v>0.30199999999999999</v>
      </c>
      <c r="Q99" s="39">
        <v>0.57399999999999995</v>
      </c>
    </row>
    <row r="100" spans="1:17" ht="46.2" thickBot="1" x14ac:dyDescent="0.3">
      <c r="A100" s="6" t="s">
        <v>1041</v>
      </c>
      <c r="B100" s="6" t="s">
        <v>29</v>
      </c>
      <c r="C100" s="6">
        <v>0.39300000000000002</v>
      </c>
      <c r="D100" s="6" t="s">
        <v>29</v>
      </c>
      <c r="E100" s="6" t="s">
        <v>29</v>
      </c>
      <c r="F100" s="6" t="s">
        <v>29</v>
      </c>
      <c r="G100" s="6" t="s">
        <v>29</v>
      </c>
      <c r="J100" s="39" t="s">
        <v>7950</v>
      </c>
      <c r="K100" s="39" t="s">
        <v>2872</v>
      </c>
      <c r="L100" s="39" t="s">
        <v>29</v>
      </c>
      <c r="M100" s="39">
        <v>10.298</v>
      </c>
      <c r="N100" s="39">
        <v>21.137</v>
      </c>
      <c r="O100" s="39">
        <v>6.88</v>
      </c>
      <c r="P100" s="39" t="s">
        <v>29</v>
      </c>
      <c r="Q100" s="39" t="s">
        <v>29</v>
      </c>
    </row>
    <row r="101" spans="1:17" ht="42" thickBot="1" x14ac:dyDescent="0.3">
      <c r="A101" s="6" t="s">
        <v>1042</v>
      </c>
      <c r="B101" s="6">
        <v>0.60499999999999998</v>
      </c>
      <c r="C101" s="6">
        <v>0.432</v>
      </c>
      <c r="D101" s="6">
        <v>0.33300000000000002</v>
      </c>
      <c r="E101" s="6">
        <v>0.36399999999999999</v>
      </c>
      <c r="F101" s="6">
        <v>0.26300000000000001</v>
      </c>
      <c r="G101" s="6">
        <v>1.1439999999999999</v>
      </c>
      <c r="J101" s="39" t="s">
        <v>1197</v>
      </c>
      <c r="K101" s="39" t="s">
        <v>3665</v>
      </c>
      <c r="L101" s="39" t="s">
        <v>29</v>
      </c>
      <c r="M101" s="39">
        <v>0.27800000000000002</v>
      </c>
      <c r="N101" s="39" t="s">
        <v>29</v>
      </c>
      <c r="O101" s="39" t="s">
        <v>29</v>
      </c>
      <c r="P101" s="39">
        <v>0.316</v>
      </c>
      <c r="Q101" s="39" t="s">
        <v>29</v>
      </c>
    </row>
    <row r="102" spans="1:17" ht="83.4" thickBot="1" x14ac:dyDescent="0.3">
      <c r="A102" s="6" t="s">
        <v>1043</v>
      </c>
      <c r="B102" s="6">
        <v>5.516</v>
      </c>
      <c r="C102" s="6">
        <v>6.4359999999999999</v>
      </c>
      <c r="D102" s="6">
        <v>7.46</v>
      </c>
      <c r="E102" s="6">
        <v>6.4989999999999997</v>
      </c>
      <c r="F102" s="6">
        <v>8.1780000000000008</v>
      </c>
      <c r="G102" s="6">
        <v>7.74</v>
      </c>
      <c r="J102" s="39" t="s">
        <v>8096</v>
      </c>
      <c r="K102" s="39" t="s">
        <v>8097</v>
      </c>
      <c r="L102" s="39">
        <v>0.32400000000000001</v>
      </c>
      <c r="M102" s="39">
        <v>8.8999999999999996E-2</v>
      </c>
      <c r="N102" s="39">
        <v>7.4999999999999997E-2</v>
      </c>
      <c r="O102" s="39">
        <v>5.8000000000000003E-2</v>
      </c>
      <c r="P102" s="39" t="s">
        <v>29</v>
      </c>
      <c r="Q102" s="39">
        <v>0.2</v>
      </c>
    </row>
    <row r="103" spans="1:17" ht="69.599999999999994" thickBot="1" x14ac:dyDescent="0.3">
      <c r="J103" s="39" t="s">
        <v>1150</v>
      </c>
      <c r="K103" s="39" t="s">
        <v>3317</v>
      </c>
      <c r="L103" s="39" t="s">
        <v>29</v>
      </c>
      <c r="M103" s="39">
        <v>0.20399999999999999</v>
      </c>
      <c r="N103" s="39">
        <v>0.218</v>
      </c>
      <c r="O103" s="39" t="s">
        <v>29</v>
      </c>
      <c r="P103" s="39" t="s">
        <v>29</v>
      </c>
      <c r="Q103" s="39" t="s">
        <v>29</v>
      </c>
    </row>
    <row r="104" spans="1:17" ht="28.2" thickBot="1" x14ac:dyDescent="0.3">
      <c r="J104" s="39" t="s">
        <v>8098</v>
      </c>
      <c r="K104" s="39" t="s">
        <v>2961</v>
      </c>
      <c r="L104" s="39">
        <v>0.32</v>
      </c>
      <c r="M104" s="39">
        <v>0.129</v>
      </c>
      <c r="N104" s="39">
        <v>0.317</v>
      </c>
      <c r="O104" s="39">
        <v>0.68300000000000005</v>
      </c>
      <c r="P104" s="39">
        <v>0.126</v>
      </c>
      <c r="Q104" s="39">
        <v>0.69599999999999995</v>
      </c>
    </row>
    <row r="105" spans="1:17" ht="28.2" thickBot="1" x14ac:dyDescent="0.3">
      <c r="J105" s="39" t="s">
        <v>8099</v>
      </c>
      <c r="K105" s="39" t="s">
        <v>3996</v>
      </c>
      <c r="L105" s="39" t="s">
        <v>29</v>
      </c>
      <c r="M105" s="39">
        <v>0.108</v>
      </c>
      <c r="N105" s="39">
        <v>0.35499999999999998</v>
      </c>
      <c r="O105" s="39">
        <v>0.20899999999999999</v>
      </c>
      <c r="P105" s="39">
        <v>0.314</v>
      </c>
      <c r="Q105" s="39">
        <v>0.154</v>
      </c>
    </row>
    <row r="106" spans="1:17" ht="28.2" thickBot="1" x14ac:dyDescent="0.3">
      <c r="J106" s="39" t="s">
        <v>8100</v>
      </c>
      <c r="K106" s="39" t="s">
        <v>3660</v>
      </c>
      <c r="L106" s="39">
        <v>0.16700000000000001</v>
      </c>
      <c r="M106" s="39">
        <v>1.887</v>
      </c>
      <c r="N106" s="39">
        <v>0.42799999999999999</v>
      </c>
      <c r="O106" s="39">
        <v>0.98799999999999999</v>
      </c>
      <c r="P106" s="39">
        <v>0.38</v>
      </c>
      <c r="Q106" s="39">
        <v>1.5269999999999999</v>
      </c>
    </row>
    <row r="107" spans="1:17" ht="28.2" thickBot="1" x14ac:dyDescent="0.3">
      <c r="J107" s="39" t="s">
        <v>8101</v>
      </c>
      <c r="K107" s="39" t="s">
        <v>3334</v>
      </c>
      <c r="L107" s="39">
        <v>0.43099999999999999</v>
      </c>
      <c r="M107" s="39">
        <v>0.43099999999999999</v>
      </c>
      <c r="N107" s="39">
        <v>0.43099999999999999</v>
      </c>
      <c r="O107" s="39">
        <v>0.43099999999999999</v>
      </c>
      <c r="P107" s="39">
        <v>0.43099999999999999</v>
      </c>
      <c r="Q107" s="39">
        <v>0.43099999999999999</v>
      </c>
    </row>
    <row r="108" spans="1:17" ht="42" thickBot="1" x14ac:dyDescent="0.3">
      <c r="J108" s="39" t="s">
        <v>8102</v>
      </c>
      <c r="K108" s="39" t="s">
        <v>2868</v>
      </c>
      <c r="L108" s="39" t="s">
        <v>29</v>
      </c>
      <c r="M108" s="39">
        <v>0.55500000000000005</v>
      </c>
      <c r="N108" s="39">
        <v>0.63600000000000001</v>
      </c>
      <c r="O108" s="39" t="s">
        <v>29</v>
      </c>
      <c r="P108" s="39">
        <v>0.45400000000000001</v>
      </c>
      <c r="Q108" s="39">
        <v>0.64500000000000002</v>
      </c>
    </row>
    <row r="109" spans="1:17" ht="28.2" thickBot="1" x14ac:dyDescent="0.3">
      <c r="J109" s="39" t="s">
        <v>1527</v>
      </c>
      <c r="K109" s="39" t="s">
        <v>2172</v>
      </c>
      <c r="L109" s="39">
        <v>0.28000000000000003</v>
      </c>
      <c r="M109" s="39">
        <v>0.28999999999999998</v>
      </c>
      <c r="N109" s="39" t="s">
        <v>29</v>
      </c>
      <c r="O109" s="39">
        <v>0.21</v>
      </c>
      <c r="P109" s="39">
        <v>8.8999999999999996E-2</v>
      </c>
      <c r="Q109" s="39">
        <v>0.32200000000000001</v>
      </c>
    </row>
    <row r="110" spans="1:17" ht="55.8" thickBot="1" x14ac:dyDescent="0.3">
      <c r="J110" s="39" t="s">
        <v>8103</v>
      </c>
      <c r="K110" s="39" t="s">
        <v>6009</v>
      </c>
      <c r="L110" s="39">
        <v>6.5119999999999996</v>
      </c>
      <c r="M110" s="39">
        <v>5.7309999999999999</v>
      </c>
      <c r="N110" s="39">
        <v>16.466000000000001</v>
      </c>
      <c r="O110" s="39">
        <v>5.7009999999999996</v>
      </c>
      <c r="P110" s="39">
        <v>19.059000000000001</v>
      </c>
      <c r="Q110" s="39">
        <v>19.405999999999999</v>
      </c>
    </row>
    <row r="111" spans="1:17" ht="97.2" thickBot="1" x14ac:dyDescent="0.3">
      <c r="J111" s="39" t="s">
        <v>8104</v>
      </c>
      <c r="K111" s="39" t="s">
        <v>8105</v>
      </c>
      <c r="L111" s="39" t="s">
        <v>29</v>
      </c>
      <c r="M111" s="39">
        <v>0.24199999999999999</v>
      </c>
      <c r="N111" s="39">
        <v>0.78300000000000003</v>
      </c>
      <c r="O111" s="39">
        <v>0.74</v>
      </c>
      <c r="P111" s="39">
        <v>0.66100000000000003</v>
      </c>
      <c r="Q111" s="39">
        <v>0.95799999999999996</v>
      </c>
    </row>
    <row r="112" spans="1:17" ht="42" thickBot="1" x14ac:dyDescent="0.3">
      <c r="J112" s="39" t="s">
        <v>8106</v>
      </c>
      <c r="K112" s="39" t="s">
        <v>8107</v>
      </c>
      <c r="L112" s="39" t="s">
        <v>29</v>
      </c>
      <c r="M112" s="39" t="s">
        <v>29</v>
      </c>
      <c r="N112" s="39" t="s">
        <v>29</v>
      </c>
      <c r="O112" s="39" t="s">
        <v>29</v>
      </c>
      <c r="P112" s="39">
        <v>4.4279999999999999</v>
      </c>
      <c r="Q112" s="39">
        <v>10.754</v>
      </c>
    </row>
    <row r="113" spans="10:17" ht="69.599999999999994" thickBot="1" x14ac:dyDescent="0.3">
      <c r="J113" s="39" t="s">
        <v>8108</v>
      </c>
      <c r="K113" s="39" t="s">
        <v>8109</v>
      </c>
      <c r="L113" s="39" t="s">
        <v>29</v>
      </c>
      <c r="M113" s="39">
        <v>0.122</v>
      </c>
      <c r="N113" s="39">
        <v>0.311</v>
      </c>
      <c r="O113" s="39">
        <v>9.4E-2</v>
      </c>
      <c r="P113" s="39">
        <v>9.7000000000000003E-2</v>
      </c>
      <c r="Q113" s="39">
        <v>0.49099999999999999</v>
      </c>
    </row>
    <row r="114" spans="10:17" ht="28.2" thickBot="1" x14ac:dyDescent="0.3">
      <c r="J114" s="39" t="s">
        <v>8110</v>
      </c>
      <c r="K114" s="39" t="s">
        <v>6126</v>
      </c>
      <c r="L114" s="39" t="s">
        <v>29</v>
      </c>
      <c r="M114" s="39">
        <v>0.26400000000000001</v>
      </c>
      <c r="N114" s="39" t="s">
        <v>29</v>
      </c>
      <c r="O114" s="39">
        <v>0.59099999999999997</v>
      </c>
      <c r="P114" s="39">
        <v>0.21199999999999999</v>
      </c>
      <c r="Q114" s="39">
        <v>0.66700000000000004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F662-2E3A-450B-81F1-136E1E6EBB38}">
  <dimension ref="A1:AG64"/>
  <sheetViews>
    <sheetView workbookViewId="0">
      <selection activeCell="Z2" sqref="Z2:AG64"/>
    </sheetView>
  </sheetViews>
  <sheetFormatPr defaultRowHeight="13.8" x14ac:dyDescent="0.25"/>
  <sheetData>
    <row r="1" spans="1:33" ht="83.4" thickBot="1" x14ac:dyDescent="0.3">
      <c r="A1" s="6" t="s">
        <v>1044</v>
      </c>
      <c r="B1" s="6" t="s">
        <v>1045</v>
      </c>
      <c r="C1" s="6" t="s">
        <v>1046</v>
      </c>
      <c r="D1" s="6" t="s">
        <v>1047</v>
      </c>
      <c r="E1" s="6" t="s">
        <v>1048</v>
      </c>
      <c r="F1" s="6" t="s">
        <v>1049</v>
      </c>
      <c r="G1" s="6" t="s">
        <v>1050</v>
      </c>
      <c r="H1" s="6" t="s">
        <v>1051</v>
      </c>
      <c r="I1" s="6" t="s">
        <v>1052</v>
      </c>
      <c r="J1" s="6" t="s">
        <v>1053</v>
      </c>
      <c r="K1" s="6" t="s">
        <v>1054</v>
      </c>
      <c r="N1" s="38" t="s">
        <v>7789</v>
      </c>
      <c r="O1" s="38" t="s">
        <v>7790</v>
      </c>
      <c r="P1" s="38" t="s">
        <v>8111</v>
      </c>
      <c r="Q1" s="38" t="s">
        <v>1047</v>
      </c>
      <c r="R1" s="38" t="s">
        <v>1048</v>
      </c>
      <c r="S1" s="38" t="s">
        <v>1049</v>
      </c>
      <c r="T1" s="38" t="s">
        <v>1050</v>
      </c>
      <c r="U1" s="38" t="s">
        <v>1051</v>
      </c>
      <c r="V1" s="38" t="s">
        <v>1052</v>
      </c>
      <c r="W1" s="38" t="s">
        <v>1053</v>
      </c>
      <c r="X1" s="38" t="s">
        <v>1054</v>
      </c>
    </row>
    <row r="2" spans="1:33" ht="42" thickBot="1" x14ac:dyDescent="0.3">
      <c r="A2" s="6" t="s">
        <v>1055</v>
      </c>
      <c r="B2" s="6" t="s">
        <v>1056</v>
      </c>
      <c r="C2" s="6">
        <v>54</v>
      </c>
      <c r="D2" s="6">
        <v>2.23</v>
      </c>
      <c r="E2" s="6">
        <v>2.68</v>
      </c>
      <c r="F2" s="6">
        <v>3.7</v>
      </c>
      <c r="G2" s="6">
        <v>3.18</v>
      </c>
      <c r="H2" s="6">
        <v>2.81</v>
      </c>
      <c r="I2" s="6">
        <v>3.93</v>
      </c>
      <c r="J2" s="6">
        <v>3.58</v>
      </c>
      <c r="K2" s="6">
        <v>3.59</v>
      </c>
      <c r="N2" s="39" t="s">
        <v>689</v>
      </c>
      <c r="O2" s="39" t="s">
        <v>2017</v>
      </c>
      <c r="P2" s="39">
        <v>5.5E-2</v>
      </c>
      <c r="Q2" s="39">
        <v>45299.64</v>
      </c>
      <c r="R2" s="39">
        <v>31626.18</v>
      </c>
      <c r="S2" s="39">
        <v>52218.36</v>
      </c>
      <c r="T2" s="39">
        <v>39842.36</v>
      </c>
      <c r="U2" s="39">
        <v>43102.73</v>
      </c>
      <c r="V2" s="39">
        <v>53428.73</v>
      </c>
      <c r="W2" s="39">
        <v>49287.27</v>
      </c>
      <c r="X2" s="39">
        <v>60285.27</v>
      </c>
      <c r="Z2">
        <f>P2*Q2</f>
        <v>2491.4802</v>
      </c>
      <c r="AA2">
        <f>R2*P2</f>
        <v>1739.4399000000001</v>
      </c>
      <c r="AB2">
        <f>S2*P2</f>
        <v>2872.0098000000003</v>
      </c>
      <c r="AC2">
        <f>T2*P2</f>
        <v>2191.3298</v>
      </c>
      <c r="AD2">
        <f>P2*U2</f>
        <v>2370.6501500000004</v>
      </c>
      <c r="AE2">
        <f>V2*P2</f>
        <v>2938.5801500000002</v>
      </c>
      <c r="AF2">
        <f>W2*P2</f>
        <v>2710.7998499999999</v>
      </c>
      <c r="AG2">
        <f>X2*P2</f>
        <v>3315.6898499999998</v>
      </c>
    </row>
    <row r="3" spans="1:33" ht="69.599999999999994" thickBot="1" x14ac:dyDescent="0.3">
      <c r="A3" s="6" t="s">
        <v>1057</v>
      </c>
      <c r="B3" s="6" t="s">
        <v>395</v>
      </c>
      <c r="C3" s="6">
        <v>40</v>
      </c>
      <c r="D3" s="6">
        <v>4.55</v>
      </c>
      <c r="E3" s="6">
        <v>2.25</v>
      </c>
      <c r="F3" s="6">
        <v>1.85</v>
      </c>
      <c r="G3" s="6">
        <v>1.69</v>
      </c>
      <c r="H3" s="6">
        <v>1.71</v>
      </c>
      <c r="I3" s="6">
        <v>1.9</v>
      </c>
      <c r="J3" s="6">
        <v>1.9</v>
      </c>
      <c r="K3" s="6">
        <v>2</v>
      </c>
      <c r="N3" s="39" t="s">
        <v>7855</v>
      </c>
      <c r="O3" s="39" t="s">
        <v>7856</v>
      </c>
      <c r="P3" s="39">
        <v>7.0000000000000001E-3</v>
      </c>
      <c r="Q3" s="39">
        <v>475.71</v>
      </c>
      <c r="R3" s="39">
        <v>408.57</v>
      </c>
      <c r="S3" s="39">
        <v>204.29</v>
      </c>
      <c r="T3" s="39">
        <v>215.71</v>
      </c>
      <c r="U3" s="39">
        <v>295.70999999999998</v>
      </c>
      <c r="V3" s="39">
        <v>442.86</v>
      </c>
      <c r="W3" s="39">
        <v>267.14</v>
      </c>
      <c r="X3" s="39">
        <v>384.29</v>
      </c>
      <c r="Z3">
        <f t="shared" ref="Z3:Z64" si="0">P3*Q3</f>
        <v>3.3299699999999999</v>
      </c>
      <c r="AA3">
        <f t="shared" ref="AA3:AA64" si="1">R3*P3</f>
        <v>2.8599899999999998</v>
      </c>
      <c r="AB3">
        <f t="shared" ref="AB3:AB64" si="2">S3*P3</f>
        <v>1.4300299999999999</v>
      </c>
      <c r="AC3">
        <f t="shared" ref="AC3:AC64" si="3">T3*P3</f>
        <v>1.50997</v>
      </c>
      <c r="AD3">
        <f t="shared" ref="AD3:AD64" si="4">P3*U3</f>
        <v>2.0699700000000001</v>
      </c>
      <c r="AE3">
        <f t="shared" ref="AE3:AE64" si="5">V3*P3</f>
        <v>3.1000200000000002</v>
      </c>
      <c r="AF3">
        <f t="shared" ref="AF3:AF64" si="6">W3*P3</f>
        <v>1.86998</v>
      </c>
      <c r="AG3">
        <f t="shared" ref="AG3:AG64" si="7">X3*P3</f>
        <v>2.6900300000000001</v>
      </c>
    </row>
    <row r="4" spans="1:33" ht="42" thickBot="1" x14ac:dyDescent="0.3">
      <c r="A4" s="6" t="s">
        <v>1058</v>
      </c>
      <c r="B4" s="6" t="s">
        <v>26</v>
      </c>
      <c r="C4" s="6">
        <v>2.73</v>
      </c>
      <c r="D4" s="6">
        <v>61.16</v>
      </c>
      <c r="E4" s="6">
        <v>58.73</v>
      </c>
      <c r="F4" s="6">
        <v>50.1</v>
      </c>
      <c r="G4" s="6">
        <v>55.16</v>
      </c>
      <c r="H4" s="6">
        <v>53.12</v>
      </c>
      <c r="I4" s="6">
        <v>37.93</v>
      </c>
      <c r="J4" s="6">
        <v>42.16</v>
      </c>
      <c r="K4" s="6">
        <v>14.66</v>
      </c>
      <c r="N4" s="39" t="s">
        <v>693</v>
      </c>
      <c r="O4" s="39" t="s">
        <v>2018</v>
      </c>
      <c r="P4" s="39">
        <v>8.1500000000000003E-2</v>
      </c>
      <c r="Q4" s="39">
        <v>3350.59</v>
      </c>
      <c r="R4" s="39">
        <v>3941.74</v>
      </c>
      <c r="S4" s="39">
        <v>4421.5</v>
      </c>
      <c r="T4" s="39">
        <v>4543.07</v>
      </c>
      <c r="U4" s="39">
        <v>4762.3100000000004</v>
      </c>
      <c r="V4" s="39">
        <v>4576.04</v>
      </c>
      <c r="W4" s="39">
        <v>4871.55</v>
      </c>
      <c r="X4" s="39">
        <v>3835.23</v>
      </c>
      <c r="Z4">
        <f t="shared" si="0"/>
        <v>273.07308500000005</v>
      </c>
      <c r="AA4">
        <f t="shared" si="1"/>
        <v>321.25180999999998</v>
      </c>
      <c r="AB4">
        <f t="shared" si="2"/>
        <v>360.35225000000003</v>
      </c>
      <c r="AC4">
        <f t="shared" si="3"/>
        <v>370.26020499999998</v>
      </c>
      <c r="AD4">
        <f t="shared" si="4"/>
        <v>388.12826500000006</v>
      </c>
      <c r="AE4">
        <f t="shared" si="5"/>
        <v>372.94726000000003</v>
      </c>
      <c r="AF4">
        <f t="shared" si="6"/>
        <v>397.03132500000004</v>
      </c>
      <c r="AG4">
        <f t="shared" si="7"/>
        <v>312.57124500000003</v>
      </c>
    </row>
    <row r="5" spans="1:33" ht="46.2" thickBot="1" x14ac:dyDescent="0.3">
      <c r="A5" s="6" t="s">
        <v>1059</v>
      </c>
      <c r="B5" s="6" t="s">
        <v>55</v>
      </c>
      <c r="C5" s="6">
        <v>179</v>
      </c>
      <c r="D5" s="6">
        <v>1.31</v>
      </c>
      <c r="E5" s="6">
        <v>2.36</v>
      </c>
      <c r="F5" s="6">
        <v>1.82</v>
      </c>
      <c r="G5" s="6">
        <v>1.28</v>
      </c>
      <c r="H5" s="6">
        <v>1.27</v>
      </c>
      <c r="I5" s="6">
        <v>2.27</v>
      </c>
      <c r="J5" s="6">
        <v>2.0299999999999998</v>
      </c>
      <c r="K5" s="6">
        <v>1.39</v>
      </c>
      <c r="N5" s="39" t="s">
        <v>721</v>
      </c>
      <c r="O5" s="39" t="s">
        <v>2022</v>
      </c>
      <c r="P5" s="39">
        <v>32.6</v>
      </c>
      <c r="Q5" s="39">
        <v>14.97</v>
      </c>
      <c r="R5" s="39">
        <v>39.03</v>
      </c>
      <c r="S5" s="39">
        <v>45.29</v>
      </c>
      <c r="T5" s="39">
        <v>44.45</v>
      </c>
      <c r="U5" s="39">
        <v>51.47</v>
      </c>
      <c r="V5" s="39">
        <v>49.55</v>
      </c>
      <c r="W5" s="39">
        <v>51.1</v>
      </c>
      <c r="X5" s="39">
        <v>45.89</v>
      </c>
      <c r="Z5">
        <f t="shared" si="0"/>
        <v>488.02200000000005</v>
      </c>
      <c r="AA5">
        <f t="shared" si="1"/>
        <v>1272.3780000000002</v>
      </c>
      <c r="AB5">
        <f t="shared" si="2"/>
        <v>1476.454</v>
      </c>
      <c r="AC5">
        <f t="shared" si="3"/>
        <v>1449.0700000000002</v>
      </c>
      <c r="AD5">
        <f t="shared" si="4"/>
        <v>1677.922</v>
      </c>
      <c r="AE5">
        <f t="shared" si="5"/>
        <v>1615.33</v>
      </c>
      <c r="AF5">
        <f t="shared" si="6"/>
        <v>1665.8600000000001</v>
      </c>
      <c r="AG5">
        <f t="shared" si="7"/>
        <v>1496.0140000000001</v>
      </c>
    </row>
    <row r="6" spans="1:33" ht="42" thickBot="1" x14ac:dyDescent="0.3">
      <c r="A6" s="6" t="s">
        <v>1060</v>
      </c>
      <c r="B6" s="6" t="s">
        <v>1061</v>
      </c>
      <c r="C6" s="6">
        <v>5.37</v>
      </c>
      <c r="D6" s="6">
        <v>11.67</v>
      </c>
      <c r="E6" s="6">
        <v>4.3499999999999996</v>
      </c>
      <c r="F6" s="6">
        <v>6.85</v>
      </c>
      <c r="G6" s="6">
        <v>9.08</v>
      </c>
      <c r="H6" s="6">
        <v>10.38</v>
      </c>
      <c r="I6" s="6">
        <v>8.27</v>
      </c>
      <c r="J6" s="6">
        <v>9.75</v>
      </c>
      <c r="K6" s="6">
        <v>11.58</v>
      </c>
      <c r="N6" s="39" t="s">
        <v>733</v>
      </c>
      <c r="O6" s="39" t="s">
        <v>2023</v>
      </c>
      <c r="P6" s="39">
        <v>1.2999999999999999E-2</v>
      </c>
      <c r="Q6" s="39">
        <v>5068.62</v>
      </c>
      <c r="R6" s="39">
        <v>3823.64</v>
      </c>
      <c r="S6" s="39">
        <v>3592.74</v>
      </c>
      <c r="T6" s="39">
        <v>2089.94</v>
      </c>
      <c r="U6" s="39">
        <v>1805.01</v>
      </c>
      <c r="V6" s="39">
        <v>2280.2800000000002</v>
      </c>
      <c r="W6" s="39">
        <v>1955.27</v>
      </c>
      <c r="X6" s="39">
        <v>2819.95</v>
      </c>
      <c r="Z6">
        <f t="shared" si="0"/>
        <v>65.892060000000001</v>
      </c>
      <c r="AA6">
        <f t="shared" si="1"/>
        <v>49.707319999999996</v>
      </c>
      <c r="AB6">
        <f t="shared" si="2"/>
        <v>46.705619999999996</v>
      </c>
      <c r="AC6">
        <f t="shared" si="3"/>
        <v>27.169219999999999</v>
      </c>
      <c r="AD6">
        <f t="shared" si="4"/>
        <v>23.465129999999998</v>
      </c>
      <c r="AE6">
        <f t="shared" si="5"/>
        <v>29.643640000000001</v>
      </c>
      <c r="AF6">
        <f t="shared" si="6"/>
        <v>25.418509999999998</v>
      </c>
      <c r="AG6">
        <f t="shared" si="7"/>
        <v>36.659349999999996</v>
      </c>
    </row>
    <row r="7" spans="1:33" ht="42" thickBot="1" x14ac:dyDescent="0.3">
      <c r="A7" s="6" t="s">
        <v>1062</v>
      </c>
      <c r="B7" s="6" t="s">
        <v>1063</v>
      </c>
      <c r="C7" s="6">
        <v>0.122</v>
      </c>
      <c r="D7" s="6">
        <v>58.48</v>
      </c>
      <c r="E7" s="6">
        <v>30.78</v>
      </c>
      <c r="F7" s="6">
        <v>70.5</v>
      </c>
      <c r="G7" s="6">
        <v>73.709999999999994</v>
      </c>
      <c r="H7" s="6">
        <v>72.58</v>
      </c>
      <c r="I7" s="6">
        <v>44.03</v>
      </c>
      <c r="J7" s="6">
        <v>53.94</v>
      </c>
      <c r="K7" s="6">
        <v>56.02</v>
      </c>
      <c r="N7" s="39" t="s">
        <v>697</v>
      </c>
      <c r="O7" s="39" t="s">
        <v>2019</v>
      </c>
      <c r="P7" s="39">
        <v>2.7E-2</v>
      </c>
      <c r="Q7" s="39">
        <v>2596.5</v>
      </c>
      <c r="R7" s="39">
        <v>1976.98</v>
      </c>
      <c r="S7" s="39">
        <v>2683.99</v>
      </c>
      <c r="T7" s="39">
        <v>2983.81</v>
      </c>
      <c r="U7" s="39">
        <v>3394.03</v>
      </c>
      <c r="V7" s="39">
        <v>4665.72</v>
      </c>
      <c r="W7" s="39">
        <v>4015.88</v>
      </c>
      <c r="X7" s="39">
        <v>6044.19</v>
      </c>
      <c r="Z7">
        <f t="shared" si="0"/>
        <v>70.105499999999992</v>
      </c>
      <c r="AA7">
        <f t="shared" si="1"/>
        <v>53.378459999999997</v>
      </c>
      <c r="AB7">
        <f t="shared" si="2"/>
        <v>72.467729999999989</v>
      </c>
      <c r="AC7">
        <f t="shared" si="3"/>
        <v>80.562870000000004</v>
      </c>
      <c r="AD7">
        <f t="shared" si="4"/>
        <v>91.638810000000007</v>
      </c>
      <c r="AE7">
        <f t="shared" si="5"/>
        <v>125.97444</v>
      </c>
      <c r="AF7">
        <f t="shared" si="6"/>
        <v>108.42876</v>
      </c>
      <c r="AG7">
        <f t="shared" si="7"/>
        <v>163.19313</v>
      </c>
    </row>
    <row r="8" spans="1:33" ht="42" thickBot="1" x14ac:dyDescent="0.3">
      <c r="A8" s="6" t="s">
        <v>1064</v>
      </c>
      <c r="B8" s="6" t="s">
        <v>40</v>
      </c>
      <c r="C8" s="6">
        <v>262</v>
      </c>
      <c r="D8" s="6">
        <v>3.28</v>
      </c>
      <c r="E8" s="6">
        <v>2.02</v>
      </c>
      <c r="F8" s="6">
        <v>7.28</v>
      </c>
      <c r="G8" s="6">
        <v>8.84</v>
      </c>
      <c r="H8" s="6">
        <v>5.57</v>
      </c>
      <c r="I8" s="6">
        <v>9.01</v>
      </c>
      <c r="J8" s="6">
        <v>7.25</v>
      </c>
      <c r="K8" s="6">
        <v>2.5</v>
      </c>
      <c r="N8" s="39" t="s">
        <v>967</v>
      </c>
      <c r="O8" s="39" t="s">
        <v>2178</v>
      </c>
      <c r="P8" s="39">
        <v>13.2</v>
      </c>
      <c r="Q8" s="39">
        <v>5.84</v>
      </c>
      <c r="R8" s="39">
        <v>2.84</v>
      </c>
      <c r="S8" s="39">
        <v>3.91</v>
      </c>
      <c r="T8" s="39">
        <v>3.11</v>
      </c>
      <c r="U8" s="39">
        <v>2.82</v>
      </c>
      <c r="V8" s="39">
        <v>5.43</v>
      </c>
      <c r="W8" s="39">
        <v>2.98</v>
      </c>
      <c r="X8" s="39">
        <v>9.5</v>
      </c>
      <c r="Z8">
        <f t="shared" si="0"/>
        <v>77.087999999999994</v>
      </c>
      <c r="AA8">
        <f t="shared" si="1"/>
        <v>37.488</v>
      </c>
      <c r="AB8">
        <f t="shared" si="2"/>
        <v>51.612000000000002</v>
      </c>
      <c r="AC8">
        <f t="shared" si="3"/>
        <v>41.052</v>
      </c>
      <c r="AD8">
        <f t="shared" si="4"/>
        <v>37.223999999999997</v>
      </c>
      <c r="AE8">
        <f t="shared" si="5"/>
        <v>71.675999999999988</v>
      </c>
      <c r="AF8">
        <f t="shared" si="6"/>
        <v>39.335999999999999</v>
      </c>
      <c r="AG8">
        <f t="shared" si="7"/>
        <v>125.39999999999999</v>
      </c>
    </row>
    <row r="9" spans="1:33" ht="28.2" thickBot="1" x14ac:dyDescent="0.3">
      <c r="A9" s="6" t="s">
        <v>1065</v>
      </c>
      <c r="B9" s="6" t="s">
        <v>1066</v>
      </c>
      <c r="C9" s="6">
        <v>122</v>
      </c>
      <c r="D9" s="6">
        <v>1.25</v>
      </c>
      <c r="E9" s="6">
        <v>1.42</v>
      </c>
      <c r="F9" s="6">
        <v>1.17</v>
      </c>
      <c r="G9" s="6">
        <v>1.1299999999999999</v>
      </c>
      <c r="H9" s="6">
        <v>1.1399999999999999</v>
      </c>
      <c r="I9" s="6">
        <v>1.75</v>
      </c>
      <c r="J9" s="6">
        <v>1.1100000000000001</v>
      </c>
      <c r="K9" s="6">
        <v>2.84</v>
      </c>
      <c r="N9" s="39" t="s">
        <v>908</v>
      </c>
      <c r="O9" s="39" t="s">
        <v>2898</v>
      </c>
      <c r="P9" s="39">
        <v>128</v>
      </c>
      <c r="Q9" s="39">
        <v>5.93</v>
      </c>
      <c r="R9" s="39">
        <v>7.17</v>
      </c>
      <c r="S9" s="39">
        <v>10.1</v>
      </c>
      <c r="T9" s="39">
        <v>6.75</v>
      </c>
      <c r="U9" s="39">
        <v>8.2799999999999994</v>
      </c>
      <c r="V9" s="39">
        <v>7.42</v>
      </c>
      <c r="W9" s="39">
        <v>9.76</v>
      </c>
      <c r="X9" s="39">
        <v>5.73</v>
      </c>
      <c r="Z9">
        <f t="shared" si="0"/>
        <v>759.04</v>
      </c>
      <c r="AA9">
        <f t="shared" si="1"/>
        <v>917.76</v>
      </c>
      <c r="AB9">
        <f t="shared" si="2"/>
        <v>1292.8</v>
      </c>
      <c r="AC9">
        <f t="shared" si="3"/>
        <v>864</v>
      </c>
      <c r="AD9">
        <f t="shared" si="4"/>
        <v>1059.8399999999999</v>
      </c>
      <c r="AE9">
        <f t="shared" si="5"/>
        <v>949.76</v>
      </c>
      <c r="AF9">
        <f t="shared" si="6"/>
        <v>1249.28</v>
      </c>
      <c r="AG9">
        <f t="shared" si="7"/>
        <v>733.44</v>
      </c>
    </row>
    <row r="10" spans="1:33" ht="97.2" thickBot="1" x14ac:dyDescent="0.3">
      <c r="A10" s="6" t="s">
        <v>1067</v>
      </c>
      <c r="B10" s="6" t="s">
        <v>1068</v>
      </c>
      <c r="C10" s="6">
        <v>51</v>
      </c>
      <c r="D10" s="6">
        <v>1.35</v>
      </c>
      <c r="E10" s="6">
        <v>1.06</v>
      </c>
      <c r="F10" s="6" t="s">
        <v>1069</v>
      </c>
      <c r="G10" s="6" t="s">
        <v>1069</v>
      </c>
      <c r="H10" s="6" t="s">
        <v>1069</v>
      </c>
      <c r="I10" s="6" t="s">
        <v>1069</v>
      </c>
      <c r="J10" s="6" t="s">
        <v>1069</v>
      </c>
      <c r="K10" s="6" t="s">
        <v>1069</v>
      </c>
      <c r="N10" s="39" t="s">
        <v>1155</v>
      </c>
      <c r="O10" s="39" t="s">
        <v>2909</v>
      </c>
      <c r="P10" s="39" t="s">
        <v>2908</v>
      </c>
      <c r="Q10" s="39" t="s">
        <v>2908</v>
      </c>
      <c r="R10" s="39" t="s">
        <v>2908</v>
      </c>
      <c r="S10" s="39" t="s">
        <v>2908</v>
      </c>
      <c r="T10" s="39" t="s">
        <v>2908</v>
      </c>
      <c r="U10" s="39" t="s">
        <v>2908</v>
      </c>
      <c r="V10" s="39" t="s">
        <v>2908</v>
      </c>
      <c r="W10" s="39" t="s">
        <v>2908</v>
      </c>
      <c r="X10" s="39" t="s">
        <v>2908</v>
      </c>
      <c r="Z10" t="e">
        <f t="shared" si="0"/>
        <v>#VALUE!</v>
      </c>
      <c r="AA10" t="e">
        <f t="shared" si="1"/>
        <v>#VALUE!</v>
      </c>
      <c r="AB10" t="e">
        <f t="shared" si="2"/>
        <v>#VALUE!</v>
      </c>
      <c r="AC10" t="e">
        <f t="shared" si="3"/>
        <v>#VALUE!</v>
      </c>
      <c r="AD10" t="e">
        <f t="shared" si="4"/>
        <v>#VALUE!</v>
      </c>
      <c r="AE10" t="e">
        <f t="shared" si="5"/>
        <v>#VALUE!</v>
      </c>
      <c r="AF10" t="e">
        <f t="shared" si="6"/>
        <v>#VALUE!</v>
      </c>
      <c r="AG10" t="e">
        <f t="shared" si="7"/>
        <v>#VALUE!</v>
      </c>
    </row>
    <row r="11" spans="1:33" ht="69.599999999999994" thickBot="1" x14ac:dyDescent="0.3">
      <c r="A11" s="6" t="s">
        <v>1070</v>
      </c>
      <c r="B11" s="6" t="s">
        <v>24</v>
      </c>
      <c r="C11" s="6">
        <v>32.6</v>
      </c>
      <c r="D11" s="6">
        <v>14.97</v>
      </c>
      <c r="E11" s="6">
        <v>39.03</v>
      </c>
      <c r="F11" s="6">
        <v>45.29</v>
      </c>
      <c r="G11" s="6">
        <v>44.45</v>
      </c>
      <c r="H11" s="6">
        <v>51.47</v>
      </c>
      <c r="I11" s="6">
        <v>49.55</v>
      </c>
      <c r="J11" s="6">
        <v>51.1</v>
      </c>
      <c r="K11" s="6">
        <v>45.89</v>
      </c>
      <c r="N11" s="39" t="s">
        <v>7859</v>
      </c>
      <c r="O11" s="39" t="s">
        <v>2910</v>
      </c>
      <c r="P11" s="39" t="s">
        <v>2908</v>
      </c>
      <c r="Q11" s="39" t="s">
        <v>2908</v>
      </c>
      <c r="R11" s="39" t="s">
        <v>2908</v>
      </c>
      <c r="S11" s="39" t="s">
        <v>2908</v>
      </c>
      <c r="T11" s="39" t="s">
        <v>2908</v>
      </c>
      <c r="U11" s="39" t="s">
        <v>2908</v>
      </c>
      <c r="V11" s="39" t="s">
        <v>2908</v>
      </c>
      <c r="W11" s="39" t="s">
        <v>2908</v>
      </c>
      <c r="X11" s="39" t="s">
        <v>2908</v>
      </c>
      <c r="Z11" t="e">
        <f t="shared" si="0"/>
        <v>#VALUE!</v>
      </c>
      <c r="AA11" t="e">
        <f t="shared" si="1"/>
        <v>#VALUE!</v>
      </c>
      <c r="AB11" t="e">
        <f t="shared" si="2"/>
        <v>#VALUE!</v>
      </c>
      <c r="AC11" t="e">
        <f t="shared" si="3"/>
        <v>#VALUE!</v>
      </c>
      <c r="AD11" t="e">
        <f t="shared" si="4"/>
        <v>#VALUE!</v>
      </c>
      <c r="AE11" t="e">
        <f t="shared" si="5"/>
        <v>#VALUE!</v>
      </c>
      <c r="AF11" t="e">
        <f t="shared" si="6"/>
        <v>#VALUE!</v>
      </c>
      <c r="AG11" t="e">
        <f t="shared" si="7"/>
        <v>#VALUE!</v>
      </c>
    </row>
    <row r="12" spans="1:33" ht="42" thickBot="1" x14ac:dyDescent="0.3">
      <c r="A12" s="6" t="s">
        <v>1071</v>
      </c>
      <c r="B12" s="6" t="s">
        <v>1072</v>
      </c>
      <c r="C12" s="6">
        <v>8.1500000000000003E-2</v>
      </c>
      <c r="D12" s="6">
        <v>3350.59</v>
      </c>
      <c r="E12" s="6">
        <v>3941.74</v>
      </c>
      <c r="F12" s="6">
        <v>4421.5</v>
      </c>
      <c r="G12" s="6">
        <v>4543.07</v>
      </c>
      <c r="H12" s="6">
        <v>4762.3100000000004</v>
      </c>
      <c r="I12" s="6">
        <v>4576.04</v>
      </c>
      <c r="J12" s="6">
        <v>4871.55</v>
      </c>
      <c r="K12" s="6">
        <v>3835.23</v>
      </c>
      <c r="N12" s="39" t="s">
        <v>709</v>
      </c>
      <c r="O12" s="39" t="s">
        <v>2911</v>
      </c>
      <c r="P12" s="39" t="s">
        <v>2908</v>
      </c>
      <c r="Q12" s="39" t="s">
        <v>2908</v>
      </c>
      <c r="R12" s="39" t="s">
        <v>2908</v>
      </c>
      <c r="S12" s="39" t="s">
        <v>2908</v>
      </c>
      <c r="T12" s="39" t="s">
        <v>2908</v>
      </c>
      <c r="U12" s="39" t="s">
        <v>2908</v>
      </c>
      <c r="V12" s="39" t="s">
        <v>2908</v>
      </c>
      <c r="W12" s="39" t="s">
        <v>2908</v>
      </c>
      <c r="X12" s="39" t="s">
        <v>2908</v>
      </c>
      <c r="Z12" t="e">
        <f t="shared" si="0"/>
        <v>#VALUE!</v>
      </c>
      <c r="AA12" t="e">
        <f t="shared" si="1"/>
        <v>#VALUE!</v>
      </c>
      <c r="AB12" t="e">
        <f t="shared" si="2"/>
        <v>#VALUE!</v>
      </c>
      <c r="AC12" t="e">
        <f t="shared" si="3"/>
        <v>#VALUE!</v>
      </c>
      <c r="AD12" t="e">
        <f t="shared" si="4"/>
        <v>#VALUE!</v>
      </c>
      <c r="AE12" t="e">
        <f t="shared" si="5"/>
        <v>#VALUE!</v>
      </c>
      <c r="AF12" t="e">
        <f t="shared" si="6"/>
        <v>#VALUE!</v>
      </c>
      <c r="AG12" t="e">
        <f t="shared" si="7"/>
        <v>#VALUE!</v>
      </c>
    </row>
    <row r="13" spans="1:33" ht="97.2" thickBot="1" x14ac:dyDescent="0.3">
      <c r="A13" s="6" t="s">
        <v>1073</v>
      </c>
      <c r="B13" s="6" t="s">
        <v>122</v>
      </c>
      <c r="C13" s="6">
        <v>128</v>
      </c>
      <c r="D13" s="6">
        <v>5.93</v>
      </c>
      <c r="E13" s="6">
        <v>7.17</v>
      </c>
      <c r="F13" s="6">
        <v>10.1</v>
      </c>
      <c r="G13" s="6">
        <v>6.75</v>
      </c>
      <c r="H13" s="6">
        <v>8.2799999999999994</v>
      </c>
      <c r="I13" s="6">
        <v>7.42</v>
      </c>
      <c r="J13" s="6">
        <v>9.76</v>
      </c>
      <c r="K13" s="6">
        <v>5.73</v>
      </c>
      <c r="N13" s="39" t="s">
        <v>7860</v>
      </c>
      <c r="O13" s="39" t="s">
        <v>7861</v>
      </c>
      <c r="P13" s="39">
        <v>1400</v>
      </c>
      <c r="Q13" s="39">
        <v>4.33</v>
      </c>
      <c r="R13" s="39">
        <v>2.41</v>
      </c>
      <c r="S13" s="39">
        <v>1.78</v>
      </c>
      <c r="T13" s="39" t="s">
        <v>1069</v>
      </c>
      <c r="U13" s="39" t="s">
        <v>1069</v>
      </c>
      <c r="V13" s="39">
        <v>1.32</v>
      </c>
      <c r="W13" s="39" t="s">
        <v>1069</v>
      </c>
      <c r="X13" s="39">
        <v>2.5</v>
      </c>
      <c r="Z13">
        <f t="shared" si="0"/>
        <v>6062</v>
      </c>
      <c r="AA13">
        <f t="shared" si="1"/>
        <v>3374</v>
      </c>
      <c r="AB13">
        <f t="shared" si="2"/>
        <v>2492</v>
      </c>
      <c r="AC13" t="e">
        <f t="shared" si="3"/>
        <v>#VALUE!</v>
      </c>
      <c r="AD13" t="e">
        <f t="shared" si="4"/>
        <v>#VALUE!</v>
      </c>
      <c r="AE13">
        <f t="shared" si="5"/>
        <v>1848</v>
      </c>
      <c r="AF13" t="e">
        <f t="shared" si="6"/>
        <v>#VALUE!</v>
      </c>
      <c r="AG13">
        <f t="shared" si="7"/>
        <v>3500</v>
      </c>
    </row>
    <row r="14" spans="1:33" ht="42" thickBot="1" x14ac:dyDescent="0.3">
      <c r="A14" s="6" t="s">
        <v>1074</v>
      </c>
      <c r="B14" s="6" t="s">
        <v>19</v>
      </c>
      <c r="C14" s="6">
        <v>7.0000000000000001E-3</v>
      </c>
      <c r="D14" s="6">
        <v>475.71</v>
      </c>
      <c r="E14" s="6">
        <v>408.57</v>
      </c>
      <c r="F14" s="6">
        <v>204.29</v>
      </c>
      <c r="G14" s="6">
        <v>215.71</v>
      </c>
      <c r="H14" s="6">
        <v>295.70999999999998</v>
      </c>
      <c r="I14" s="6">
        <v>442.86</v>
      </c>
      <c r="J14" s="6">
        <v>267.14</v>
      </c>
      <c r="K14" s="6">
        <v>384.29</v>
      </c>
      <c r="N14" s="39" t="s">
        <v>749</v>
      </c>
      <c r="O14" s="39" t="s">
        <v>2913</v>
      </c>
      <c r="P14" s="39" t="s">
        <v>2908</v>
      </c>
      <c r="Q14" s="39" t="s">
        <v>2908</v>
      </c>
      <c r="R14" s="39" t="s">
        <v>2908</v>
      </c>
      <c r="S14" s="39" t="s">
        <v>2908</v>
      </c>
      <c r="T14" s="39" t="s">
        <v>2908</v>
      </c>
      <c r="U14" s="39" t="s">
        <v>2908</v>
      </c>
      <c r="V14" s="39" t="s">
        <v>2908</v>
      </c>
      <c r="W14" s="39" t="s">
        <v>2908</v>
      </c>
      <c r="X14" s="39" t="s">
        <v>2908</v>
      </c>
      <c r="Z14" t="e">
        <f t="shared" si="0"/>
        <v>#VALUE!</v>
      </c>
      <c r="AA14" t="e">
        <f t="shared" si="1"/>
        <v>#VALUE!</v>
      </c>
      <c r="AB14" t="e">
        <f t="shared" si="2"/>
        <v>#VALUE!</v>
      </c>
      <c r="AC14" t="e">
        <f t="shared" si="3"/>
        <v>#VALUE!</v>
      </c>
      <c r="AD14" t="e">
        <f t="shared" si="4"/>
        <v>#VALUE!</v>
      </c>
      <c r="AE14" t="e">
        <f t="shared" si="5"/>
        <v>#VALUE!</v>
      </c>
      <c r="AF14" t="e">
        <f t="shared" si="6"/>
        <v>#VALUE!</v>
      </c>
      <c r="AG14" t="e">
        <f t="shared" si="7"/>
        <v>#VALUE!</v>
      </c>
    </row>
    <row r="15" spans="1:33" ht="42" thickBot="1" x14ac:dyDescent="0.3">
      <c r="A15" s="6" t="s">
        <v>1075</v>
      </c>
      <c r="B15" s="6" t="s">
        <v>11</v>
      </c>
      <c r="C15" s="6">
        <v>2.7E-2</v>
      </c>
      <c r="D15" s="6">
        <v>2596.5</v>
      </c>
      <c r="E15" s="6">
        <v>1976.98</v>
      </c>
      <c r="F15" s="6">
        <v>2683.99</v>
      </c>
      <c r="G15" s="6">
        <v>2983.81</v>
      </c>
      <c r="H15" s="6">
        <v>3394.03</v>
      </c>
      <c r="I15" s="6">
        <v>4665.72</v>
      </c>
      <c r="J15" s="6">
        <v>4015.88</v>
      </c>
      <c r="K15" s="6">
        <v>6044.19</v>
      </c>
      <c r="N15" s="39" t="s">
        <v>970</v>
      </c>
      <c r="O15" s="39" t="s">
        <v>2173</v>
      </c>
      <c r="P15" s="39">
        <v>1.89</v>
      </c>
      <c r="Q15" s="39">
        <v>6.01</v>
      </c>
      <c r="R15" s="39">
        <v>2.2999999999999998</v>
      </c>
      <c r="S15" s="39">
        <v>3.26</v>
      </c>
      <c r="T15" s="39">
        <v>2.7</v>
      </c>
      <c r="U15" s="39">
        <v>1.41</v>
      </c>
      <c r="V15" s="39">
        <v>2.0099999999999998</v>
      </c>
      <c r="W15" s="39">
        <v>1.99</v>
      </c>
      <c r="X15" s="39">
        <v>6.07</v>
      </c>
      <c r="Z15">
        <f t="shared" si="0"/>
        <v>11.358899999999998</v>
      </c>
      <c r="AA15">
        <f t="shared" si="1"/>
        <v>4.3469999999999995</v>
      </c>
      <c r="AB15">
        <f t="shared" si="2"/>
        <v>6.1613999999999995</v>
      </c>
      <c r="AC15">
        <f t="shared" si="3"/>
        <v>5.1029999999999998</v>
      </c>
      <c r="AD15">
        <f t="shared" si="4"/>
        <v>2.6648999999999998</v>
      </c>
      <c r="AE15">
        <f t="shared" si="5"/>
        <v>3.7988999999999993</v>
      </c>
      <c r="AF15">
        <f t="shared" si="6"/>
        <v>3.7610999999999999</v>
      </c>
      <c r="AG15">
        <f t="shared" si="7"/>
        <v>11.472300000000001</v>
      </c>
    </row>
    <row r="16" spans="1:33" ht="42" thickBot="1" x14ac:dyDescent="0.3">
      <c r="A16" s="6" t="s">
        <v>1076</v>
      </c>
      <c r="B16" s="6" t="s">
        <v>1077</v>
      </c>
      <c r="C16" s="6">
        <v>389</v>
      </c>
      <c r="D16" s="6">
        <v>1.71</v>
      </c>
      <c r="E16" s="6" t="s">
        <v>1069</v>
      </c>
      <c r="F16" s="6" t="s">
        <v>1069</v>
      </c>
      <c r="G16" s="6" t="s">
        <v>1069</v>
      </c>
      <c r="H16" s="6">
        <v>1.47</v>
      </c>
      <c r="I16" s="6">
        <v>2.62</v>
      </c>
      <c r="J16" s="6">
        <v>1.46</v>
      </c>
      <c r="K16" s="6">
        <v>2.8</v>
      </c>
      <c r="N16" s="39" t="s">
        <v>793</v>
      </c>
      <c r="O16" s="39" t="s">
        <v>2914</v>
      </c>
      <c r="P16" s="39">
        <v>5.25</v>
      </c>
      <c r="Q16" s="39">
        <v>2.06</v>
      </c>
      <c r="R16" s="39" t="s">
        <v>1069</v>
      </c>
      <c r="S16" s="39">
        <v>1.34</v>
      </c>
      <c r="T16" s="39" t="s">
        <v>1069</v>
      </c>
      <c r="U16" s="39" t="s">
        <v>1069</v>
      </c>
      <c r="V16" s="39">
        <v>1.24</v>
      </c>
      <c r="W16" s="39" t="s">
        <v>1069</v>
      </c>
      <c r="X16" s="39">
        <v>3</v>
      </c>
      <c r="Z16">
        <f t="shared" si="0"/>
        <v>10.815</v>
      </c>
      <c r="AA16" t="e">
        <f t="shared" si="1"/>
        <v>#VALUE!</v>
      </c>
      <c r="AB16">
        <f t="shared" si="2"/>
        <v>7.0350000000000001</v>
      </c>
      <c r="AC16" t="e">
        <f t="shared" si="3"/>
        <v>#VALUE!</v>
      </c>
      <c r="AD16" t="e">
        <f t="shared" si="4"/>
        <v>#VALUE!</v>
      </c>
      <c r="AE16">
        <f t="shared" si="5"/>
        <v>6.51</v>
      </c>
      <c r="AF16" t="e">
        <f t="shared" si="6"/>
        <v>#VALUE!</v>
      </c>
      <c r="AG16">
        <f t="shared" si="7"/>
        <v>15.75</v>
      </c>
    </row>
    <row r="17" spans="1:33" ht="69.599999999999994" thickBot="1" x14ac:dyDescent="0.3">
      <c r="A17" s="6" t="s">
        <v>1078</v>
      </c>
      <c r="B17" s="6" t="s">
        <v>8</v>
      </c>
      <c r="C17" s="6">
        <v>5.5E-2</v>
      </c>
      <c r="D17" s="6">
        <v>45299.64</v>
      </c>
      <c r="E17" s="6">
        <v>31626.18</v>
      </c>
      <c r="F17" s="6">
        <v>52218.36</v>
      </c>
      <c r="G17" s="6">
        <v>39842.36</v>
      </c>
      <c r="H17" s="6">
        <v>43102.73</v>
      </c>
      <c r="I17" s="6">
        <v>53428.73</v>
      </c>
      <c r="J17" s="6">
        <v>49287.27</v>
      </c>
      <c r="K17" s="6">
        <v>60285.27</v>
      </c>
      <c r="N17" s="39" t="s">
        <v>789</v>
      </c>
      <c r="O17" s="39" t="s">
        <v>2029</v>
      </c>
      <c r="P17" s="39">
        <v>125</v>
      </c>
      <c r="Q17" s="39">
        <v>10.69</v>
      </c>
      <c r="R17" s="39">
        <v>7.88</v>
      </c>
      <c r="S17" s="39">
        <v>4.53</v>
      </c>
      <c r="T17" s="39">
        <v>3.94</v>
      </c>
      <c r="U17" s="39">
        <v>4.3</v>
      </c>
      <c r="V17" s="39">
        <v>4.29</v>
      </c>
      <c r="W17" s="39">
        <v>4.8899999999999997</v>
      </c>
      <c r="X17" s="39">
        <v>1.79</v>
      </c>
      <c r="Z17">
        <f t="shared" si="0"/>
        <v>1336.25</v>
      </c>
      <c r="AA17">
        <f t="shared" si="1"/>
        <v>985</v>
      </c>
      <c r="AB17">
        <f t="shared" si="2"/>
        <v>566.25</v>
      </c>
      <c r="AC17">
        <f t="shared" si="3"/>
        <v>492.5</v>
      </c>
      <c r="AD17">
        <f t="shared" si="4"/>
        <v>537.5</v>
      </c>
      <c r="AE17">
        <f t="shared" si="5"/>
        <v>536.25</v>
      </c>
      <c r="AF17">
        <f t="shared" si="6"/>
        <v>611.25</v>
      </c>
      <c r="AG17">
        <f t="shared" si="7"/>
        <v>223.75</v>
      </c>
    </row>
    <row r="18" spans="1:33" ht="55.8" thickBot="1" x14ac:dyDescent="0.3">
      <c r="A18" s="6" t="s">
        <v>1079</v>
      </c>
      <c r="B18" s="6" t="s">
        <v>1080</v>
      </c>
      <c r="C18" s="6">
        <v>5560</v>
      </c>
      <c r="D18" s="6" t="s">
        <v>1069</v>
      </c>
      <c r="E18" s="6" t="s">
        <v>1069</v>
      </c>
      <c r="F18" s="6" t="s">
        <v>1069</v>
      </c>
      <c r="G18" s="6" t="s">
        <v>1069</v>
      </c>
      <c r="H18" s="6" t="s">
        <v>1069</v>
      </c>
      <c r="I18" s="6" t="s">
        <v>1069</v>
      </c>
      <c r="J18" s="6" t="s">
        <v>1069</v>
      </c>
      <c r="K18" s="6">
        <v>1.8</v>
      </c>
      <c r="N18" s="39" t="s">
        <v>785</v>
      </c>
      <c r="O18" s="39" t="s">
        <v>2028</v>
      </c>
      <c r="P18" s="39">
        <v>407</v>
      </c>
      <c r="Q18" s="39">
        <v>1.38</v>
      </c>
      <c r="R18" s="39" t="s">
        <v>1069</v>
      </c>
      <c r="S18" s="39">
        <v>4.5599999999999996</v>
      </c>
      <c r="T18" s="39">
        <v>6</v>
      </c>
      <c r="U18" s="39">
        <v>5.27</v>
      </c>
      <c r="V18" s="39">
        <v>4.67</v>
      </c>
      <c r="W18" s="39">
        <v>5.82</v>
      </c>
      <c r="X18" s="39">
        <v>1.45</v>
      </c>
      <c r="Z18">
        <f t="shared" si="0"/>
        <v>561.66</v>
      </c>
      <c r="AA18" t="e">
        <f t="shared" si="1"/>
        <v>#VALUE!</v>
      </c>
      <c r="AB18">
        <f t="shared" si="2"/>
        <v>1855.9199999999998</v>
      </c>
      <c r="AC18">
        <f t="shared" si="3"/>
        <v>2442</v>
      </c>
      <c r="AD18">
        <f t="shared" si="4"/>
        <v>2144.89</v>
      </c>
      <c r="AE18">
        <f t="shared" si="5"/>
        <v>1900.69</v>
      </c>
      <c r="AF18">
        <f t="shared" si="6"/>
        <v>2368.7400000000002</v>
      </c>
      <c r="AG18">
        <f t="shared" si="7"/>
        <v>590.15</v>
      </c>
    </row>
    <row r="19" spans="1:33" ht="55.8" thickBot="1" x14ac:dyDescent="0.3">
      <c r="A19" s="6" t="s">
        <v>1081</v>
      </c>
      <c r="B19" s="6" t="s">
        <v>1082</v>
      </c>
      <c r="C19" s="6">
        <v>20</v>
      </c>
      <c r="D19" s="6">
        <v>25.69</v>
      </c>
      <c r="E19" s="6">
        <v>16.82</v>
      </c>
      <c r="F19" s="6">
        <v>8.59</v>
      </c>
      <c r="G19" s="6">
        <v>8.1300000000000008</v>
      </c>
      <c r="H19" s="6">
        <v>9.27</v>
      </c>
      <c r="I19" s="6">
        <v>15.56</v>
      </c>
      <c r="J19" s="6">
        <v>8.5299999999999994</v>
      </c>
      <c r="K19" s="6">
        <v>24.58</v>
      </c>
      <c r="N19" s="39" t="s">
        <v>741</v>
      </c>
      <c r="O19" s="39" t="s">
        <v>2915</v>
      </c>
      <c r="P19" s="39" t="s">
        <v>2908</v>
      </c>
      <c r="Q19" s="39" t="s">
        <v>2908</v>
      </c>
      <c r="R19" s="39" t="s">
        <v>2908</v>
      </c>
      <c r="S19" s="39" t="s">
        <v>2908</v>
      </c>
      <c r="T19" s="39" t="s">
        <v>2908</v>
      </c>
      <c r="U19" s="39" t="s">
        <v>2908</v>
      </c>
      <c r="V19" s="39" t="s">
        <v>2908</v>
      </c>
      <c r="W19" s="39" t="s">
        <v>2908</v>
      </c>
      <c r="X19" s="39" t="s">
        <v>2908</v>
      </c>
      <c r="Z19" t="e">
        <f t="shared" si="0"/>
        <v>#VALUE!</v>
      </c>
      <c r="AA19" t="e">
        <f t="shared" si="1"/>
        <v>#VALUE!</v>
      </c>
      <c r="AB19" t="e">
        <f t="shared" si="2"/>
        <v>#VALUE!</v>
      </c>
      <c r="AC19" t="e">
        <f t="shared" si="3"/>
        <v>#VALUE!</v>
      </c>
      <c r="AD19" t="e">
        <f t="shared" si="4"/>
        <v>#VALUE!</v>
      </c>
      <c r="AE19" t="e">
        <f t="shared" si="5"/>
        <v>#VALUE!</v>
      </c>
      <c r="AF19" t="e">
        <f t="shared" si="6"/>
        <v>#VALUE!</v>
      </c>
      <c r="AG19" t="e">
        <f t="shared" si="7"/>
        <v>#VALUE!</v>
      </c>
    </row>
    <row r="20" spans="1:33" ht="42" thickBot="1" x14ac:dyDescent="0.3">
      <c r="A20" s="6" t="s">
        <v>1083</v>
      </c>
      <c r="B20" s="6" t="s">
        <v>54</v>
      </c>
      <c r="C20" s="6">
        <v>12800</v>
      </c>
      <c r="D20" s="6" t="s">
        <v>1069</v>
      </c>
      <c r="E20" s="6" t="s">
        <v>1069</v>
      </c>
      <c r="F20" s="6" t="s">
        <v>1069</v>
      </c>
      <c r="G20" s="6" t="s">
        <v>1069</v>
      </c>
      <c r="H20" s="6" t="s">
        <v>1069</v>
      </c>
      <c r="I20" s="6" t="s">
        <v>1069</v>
      </c>
      <c r="J20" s="6" t="s">
        <v>1069</v>
      </c>
      <c r="K20" s="6">
        <v>1.01</v>
      </c>
      <c r="N20" s="39" t="s">
        <v>913</v>
      </c>
      <c r="O20" s="39" t="s">
        <v>2318</v>
      </c>
      <c r="P20" s="39" t="s">
        <v>2908</v>
      </c>
      <c r="Q20" s="39" t="s">
        <v>2908</v>
      </c>
      <c r="R20" s="39" t="s">
        <v>2908</v>
      </c>
      <c r="S20" s="39" t="s">
        <v>2908</v>
      </c>
      <c r="T20" s="39" t="s">
        <v>2908</v>
      </c>
      <c r="U20" s="39" t="s">
        <v>2908</v>
      </c>
      <c r="V20" s="39" t="s">
        <v>2908</v>
      </c>
      <c r="W20" s="39" t="s">
        <v>2908</v>
      </c>
      <c r="X20" s="39" t="s">
        <v>2908</v>
      </c>
      <c r="Z20" t="e">
        <f t="shared" si="0"/>
        <v>#VALUE!</v>
      </c>
      <c r="AA20" t="e">
        <f t="shared" si="1"/>
        <v>#VALUE!</v>
      </c>
      <c r="AB20" t="e">
        <f t="shared" si="2"/>
        <v>#VALUE!</v>
      </c>
      <c r="AC20" t="e">
        <f t="shared" si="3"/>
        <v>#VALUE!</v>
      </c>
      <c r="AD20" t="e">
        <f t="shared" si="4"/>
        <v>#VALUE!</v>
      </c>
      <c r="AE20" t="e">
        <f t="shared" si="5"/>
        <v>#VALUE!</v>
      </c>
      <c r="AF20" t="e">
        <f t="shared" si="6"/>
        <v>#VALUE!</v>
      </c>
      <c r="AG20" t="e">
        <f t="shared" si="7"/>
        <v>#VALUE!</v>
      </c>
    </row>
    <row r="21" spans="1:33" ht="55.8" thickBot="1" x14ac:dyDescent="0.3">
      <c r="A21" s="6" t="s">
        <v>1084</v>
      </c>
      <c r="B21" s="6" t="s">
        <v>43</v>
      </c>
      <c r="C21" s="6">
        <v>13.2</v>
      </c>
      <c r="D21" s="6">
        <v>5.84</v>
      </c>
      <c r="E21" s="6">
        <v>2.84</v>
      </c>
      <c r="F21" s="6">
        <v>3.91</v>
      </c>
      <c r="G21" s="6">
        <v>3.11</v>
      </c>
      <c r="H21" s="6">
        <v>2.82</v>
      </c>
      <c r="I21" s="6">
        <v>5.43</v>
      </c>
      <c r="J21" s="6">
        <v>2.98</v>
      </c>
      <c r="K21" s="6">
        <v>9.5</v>
      </c>
      <c r="N21" s="39" t="s">
        <v>977</v>
      </c>
      <c r="O21" s="39" t="s">
        <v>2362</v>
      </c>
      <c r="P21" s="39">
        <v>20</v>
      </c>
      <c r="Q21" s="39">
        <v>25.69</v>
      </c>
      <c r="R21" s="39">
        <v>16.82</v>
      </c>
      <c r="S21" s="39">
        <v>8.59</v>
      </c>
      <c r="T21" s="39">
        <v>8.1300000000000008</v>
      </c>
      <c r="U21" s="39">
        <v>9.27</v>
      </c>
      <c r="V21" s="39">
        <v>15.56</v>
      </c>
      <c r="W21" s="39">
        <v>8.5299999999999994</v>
      </c>
      <c r="X21" s="39">
        <v>24.58</v>
      </c>
      <c r="Z21">
        <f t="shared" si="0"/>
        <v>513.80000000000007</v>
      </c>
      <c r="AA21">
        <f t="shared" si="1"/>
        <v>336.4</v>
      </c>
      <c r="AB21">
        <f t="shared" si="2"/>
        <v>171.8</v>
      </c>
      <c r="AC21">
        <f t="shared" si="3"/>
        <v>162.60000000000002</v>
      </c>
      <c r="AD21">
        <f t="shared" si="4"/>
        <v>185.39999999999998</v>
      </c>
      <c r="AE21">
        <f t="shared" si="5"/>
        <v>311.2</v>
      </c>
      <c r="AF21">
        <f t="shared" si="6"/>
        <v>170.6</v>
      </c>
      <c r="AG21">
        <f t="shared" si="7"/>
        <v>491.59999999999997</v>
      </c>
    </row>
    <row r="22" spans="1:33" ht="42" thickBot="1" x14ac:dyDescent="0.3">
      <c r="A22" s="6" t="s">
        <v>1085</v>
      </c>
      <c r="B22" s="6" t="s">
        <v>213</v>
      </c>
      <c r="C22" s="6">
        <v>5.25</v>
      </c>
      <c r="D22" s="6">
        <v>2.06</v>
      </c>
      <c r="E22" s="6" t="s">
        <v>1069</v>
      </c>
      <c r="F22" s="6">
        <v>1.34</v>
      </c>
      <c r="G22" s="6" t="s">
        <v>1069</v>
      </c>
      <c r="H22" s="6" t="s">
        <v>1069</v>
      </c>
      <c r="I22" s="6">
        <v>1.24</v>
      </c>
      <c r="J22" s="6" t="s">
        <v>1069</v>
      </c>
      <c r="K22" s="6">
        <v>3</v>
      </c>
      <c r="N22" s="39" t="s">
        <v>745</v>
      </c>
      <c r="O22" s="39" t="s">
        <v>2025</v>
      </c>
      <c r="P22" s="39">
        <v>2.73</v>
      </c>
      <c r="Q22" s="39">
        <v>61.16</v>
      </c>
      <c r="R22" s="39">
        <v>58.73</v>
      </c>
      <c r="S22" s="39">
        <v>50.1</v>
      </c>
      <c r="T22" s="39">
        <v>55.16</v>
      </c>
      <c r="U22" s="39">
        <v>53.12</v>
      </c>
      <c r="V22" s="39">
        <v>37.93</v>
      </c>
      <c r="W22" s="39">
        <v>42.16</v>
      </c>
      <c r="X22" s="39">
        <v>14.66</v>
      </c>
      <c r="Z22">
        <f t="shared" si="0"/>
        <v>166.96679999999998</v>
      </c>
      <c r="AA22">
        <f t="shared" si="1"/>
        <v>160.3329</v>
      </c>
      <c r="AB22">
        <f t="shared" si="2"/>
        <v>136.773</v>
      </c>
      <c r="AC22">
        <f t="shared" si="3"/>
        <v>150.58679999999998</v>
      </c>
      <c r="AD22">
        <f t="shared" si="4"/>
        <v>145.01759999999999</v>
      </c>
      <c r="AE22">
        <f t="shared" si="5"/>
        <v>103.5489</v>
      </c>
      <c r="AF22">
        <f t="shared" si="6"/>
        <v>115.09679999999999</v>
      </c>
      <c r="AG22">
        <f t="shared" si="7"/>
        <v>40.021799999999999</v>
      </c>
    </row>
    <row r="23" spans="1:33" ht="42" thickBot="1" x14ac:dyDescent="0.3">
      <c r="A23" s="6" t="s">
        <v>1086</v>
      </c>
      <c r="B23" s="6" t="s">
        <v>12</v>
      </c>
      <c r="C23" s="6">
        <v>1.2999999999999999E-2</v>
      </c>
      <c r="D23" s="6">
        <v>5068.62</v>
      </c>
      <c r="E23" s="6">
        <v>3823.64</v>
      </c>
      <c r="F23" s="6">
        <v>3592.74</v>
      </c>
      <c r="G23" s="6">
        <v>2089.94</v>
      </c>
      <c r="H23" s="6">
        <v>1805.01</v>
      </c>
      <c r="I23" s="6">
        <v>2280.2800000000002</v>
      </c>
      <c r="J23" s="6">
        <v>1955.27</v>
      </c>
      <c r="K23" s="6">
        <v>2819.95</v>
      </c>
      <c r="N23" s="39" t="s">
        <v>765</v>
      </c>
      <c r="O23" s="39" t="s">
        <v>2916</v>
      </c>
      <c r="P23" s="39">
        <v>5.37</v>
      </c>
      <c r="Q23" s="39">
        <v>11.67</v>
      </c>
      <c r="R23" s="39">
        <v>4.3499999999999996</v>
      </c>
      <c r="S23" s="39">
        <v>6.85</v>
      </c>
      <c r="T23" s="39">
        <v>9.08</v>
      </c>
      <c r="U23" s="39">
        <v>10.38</v>
      </c>
      <c r="V23" s="39">
        <v>8.27</v>
      </c>
      <c r="W23" s="39">
        <v>9.75</v>
      </c>
      <c r="X23" s="39">
        <v>11.58</v>
      </c>
      <c r="Z23">
        <f t="shared" si="0"/>
        <v>62.667900000000003</v>
      </c>
      <c r="AA23">
        <f t="shared" si="1"/>
        <v>23.359499999999997</v>
      </c>
      <c r="AB23">
        <f t="shared" si="2"/>
        <v>36.784500000000001</v>
      </c>
      <c r="AC23">
        <f t="shared" si="3"/>
        <v>48.759599999999999</v>
      </c>
      <c r="AD23">
        <f t="shared" si="4"/>
        <v>55.740600000000008</v>
      </c>
      <c r="AE23">
        <f t="shared" si="5"/>
        <v>44.4099</v>
      </c>
      <c r="AF23">
        <f t="shared" si="6"/>
        <v>52.357500000000002</v>
      </c>
      <c r="AG23">
        <f t="shared" si="7"/>
        <v>62.184600000000003</v>
      </c>
    </row>
    <row r="24" spans="1:33" ht="69.599999999999994" thickBot="1" x14ac:dyDescent="0.3">
      <c r="A24" s="6" t="s">
        <v>1087</v>
      </c>
      <c r="B24" s="6" t="s">
        <v>58</v>
      </c>
      <c r="C24" s="6">
        <v>407</v>
      </c>
      <c r="D24" s="6">
        <v>1.38</v>
      </c>
      <c r="E24" s="6" t="s">
        <v>1069</v>
      </c>
      <c r="F24" s="6">
        <v>4.5599999999999996</v>
      </c>
      <c r="G24" s="6">
        <v>6</v>
      </c>
      <c r="H24" s="6">
        <v>5.27</v>
      </c>
      <c r="I24" s="6">
        <v>4.67</v>
      </c>
      <c r="J24" s="6">
        <v>5.82</v>
      </c>
      <c r="K24" s="6">
        <v>1.45</v>
      </c>
      <c r="N24" s="39" t="s">
        <v>769</v>
      </c>
      <c r="O24" s="39" t="s">
        <v>7862</v>
      </c>
      <c r="P24" s="39">
        <v>179</v>
      </c>
      <c r="Q24" s="39">
        <v>1.31</v>
      </c>
      <c r="R24" s="39">
        <v>2.36</v>
      </c>
      <c r="S24" s="39">
        <v>1.82</v>
      </c>
      <c r="T24" s="39">
        <v>1.28</v>
      </c>
      <c r="U24" s="39">
        <v>1.27</v>
      </c>
      <c r="V24" s="39">
        <v>2.27</v>
      </c>
      <c r="W24" s="39">
        <v>2.0299999999999998</v>
      </c>
      <c r="X24" s="39">
        <v>1.39</v>
      </c>
      <c r="Z24">
        <f t="shared" si="0"/>
        <v>234.49</v>
      </c>
      <c r="AA24">
        <f t="shared" si="1"/>
        <v>422.44</v>
      </c>
      <c r="AB24">
        <f t="shared" si="2"/>
        <v>325.78000000000003</v>
      </c>
      <c r="AC24">
        <f t="shared" si="3"/>
        <v>229.12</v>
      </c>
      <c r="AD24">
        <f t="shared" si="4"/>
        <v>227.33</v>
      </c>
      <c r="AE24">
        <f t="shared" si="5"/>
        <v>406.33</v>
      </c>
      <c r="AF24">
        <f t="shared" si="6"/>
        <v>363.36999999999995</v>
      </c>
      <c r="AG24">
        <f t="shared" si="7"/>
        <v>248.80999999999997</v>
      </c>
    </row>
    <row r="25" spans="1:33" ht="42" thickBot="1" x14ac:dyDescent="0.3">
      <c r="A25" s="6" t="s">
        <v>1088</v>
      </c>
      <c r="B25" s="6" t="s">
        <v>1089</v>
      </c>
      <c r="C25" s="6">
        <v>1400</v>
      </c>
      <c r="D25" s="6">
        <v>4.33</v>
      </c>
      <c r="E25" s="6">
        <v>2.41</v>
      </c>
      <c r="F25" s="6">
        <v>1.78</v>
      </c>
      <c r="G25" s="6" t="s">
        <v>1069</v>
      </c>
      <c r="H25" s="6" t="s">
        <v>1069</v>
      </c>
      <c r="I25" s="6">
        <v>1.32</v>
      </c>
      <c r="J25" s="6" t="s">
        <v>1069</v>
      </c>
      <c r="K25" s="6">
        <v>2.5</v>
      </c>
      <c r="N25" s="39" t="s">
        <v>705</v>
      </c>
      <c r="O25" s="39" t="s">
        <v>2918</v>
      </c>
      <c r="P25" s="39" t="s">
        <v>2908</v>
      </c>
      <c r="Q25" s="39" t="s">
        <v>2908</v>
      </c>
      <c r="R25" s="39" t="s">
        <v>2908</v>
      </c>
      <c r="S25" s="39" t="s">
        <v>2908</v>
      </c>
      <c r="T25" s="39" t="s">
        <v>2908</v>
      </c>
      <c r="U25" s="39" t="s">
        <v>2908</v>
      </c>
      <c r="V25" s="39" t="s">
        <v>2908</v>
      </c>
      <c r="W25" s="39" t="s">
        <v>2908</v>
      </c>
      <c r="X25" s="39" t="s">
        <v>2908</v>
      </c>
      <c r="Z25" t="e">
        <f t="shared" si="0"/>
        <v>#VALUE!</v>
      </c>
      <c r="AA25" t="e">
        <f t="shared" si="1"/>
        <v>#VALUE!</v>
      </c>
      <c r="AB25" t="e">
        <f t="shared" si="2"/>
        <v>#VALUE!</v>
      </c>
      <c r="AC25" t="e">
        <f t="shared" si="3"/>
        <v>#VALUE!</v>
      </c>
      <c r="AD25" t="e">
        <f t="shared" si="4"/>
        <v>#VALUE!</v>
      </c>
      <c r="AE25" t="e">
        <f t="shared" si="5"/>
        <v>#VALUE!</v>
      </c>
      <c r="AF25" t="e">
        <f t="shared" si="6"/>
        <v>#VALUE!</v>
      </c>
      <c r="AG25" t="e">
        <f t="shared" si="7"/>
        <v>#VALUE!</v>
      </c>
    </row>
    <row r="26" spans="1:33" ht="34.799999999999997" thickBot="1" x14ac:dyDescent="0.3">
      <c r="A26" s="6" t="s">
        <v>1090</v>
      </c>
      <c r="B26" s="6" t="s">
        <v>36</v>
      </c>
      <c r="C26" s="6">
        <v>125</v>
      </c>
      <c r="D26" s="6">
        <v>10.69</v>
      </c>
      <c r="E26" s="6">
        <v>7.88</v>
      </c>
      <c r="F26" s="6">
        <v>4.53</v>
      </c>
      <c r="G26" s="6">
        <v>3.94</v>
      </c>
      <c r="H26" s="6">
        <v>4.3</v>
      </c>
      <c r="I26" s="6">
        <v>4.29</v>
      </c>
      <c r="J26" s="6">
        <v>4.8899999999999997</v>
      </c>
      <c r="K26" s="6">
        <v>1.79</v>
      </c>
      <c r="N26" s="39" t="s">
        <v>44</v>
      </c>
      <c r="O26" s="39" t="s">
        <v>2179</v>
      </c>
      <c r="P26" s="39" t="s">
        <v>2908</v>
      </c>
      <c r="Q26" s="39" t="s">
        <v>2908</v>
      </c>
      <c r="R26" s="39" t="s">
        <v>2908</v>
      </c>
      <c r="S26" s="39" t="s">
        <v>2908</v>
      </c>
      <c r="T26" s="39" t="s">
        <v>2908</v>
      </c>
      <c r="U26" s="39" t="s">
        <v>2908</v>
      </c>
      <c r="V26" s="39" t="s">
        <v>2908</v>
      </c>
      <c r="W26" s="39" t="s">
        <v>2908</v>
      </c>
      <c r="X26" s="39" t="s">
        <v>2908</v>
      </c>
      <c r="Z26" t="e">
        <f t="shared" si="0"/>
        <v>#VALUE!</v>
      </c>
      <c r="AA26" t="e">
        <f t="shared" si="1"/>
        <v>#VALUE!</v>
      </c>
      <c r="AB26" t="e">
        <f t="shared" si="2"/>
        <v>#VALUE!</v>
      </c>
      <c r="AC26" t="e">
        <f t="shared" si="3"/>
        <v>#VALUE!</v>
      </c>
      <c r="AD26" t="e">
        <f t="shared" si="4"/>
        <v>#VALUE!</v>
      </c>
      <c r="AE26" t="e">
        <f t="shared" si="5"/>
        <v>#VALUE!</v>
      </c>
      <c r="AF26" t="e">
        <f t="shared" si="6"/>
        <v>#VALUE!</v>
      </c>
      <c r="AG26" t="e">
        <f t="shared" si="7"/>
        <v>#VALUE!</v>
      </c>
    </row>
    <row r="27" spans="1:33" ht="42" thickBot="1" x14ac:dyDescent="0.3">
      <c r="A27" s="6" t="s">
        <v>1091</v>
      </c>
      <c r="B27" s="6" t="s">
        <v>34</v>
      </c>
      <c r="C27" s="6">
        <v>1.89</v>
      </c>
      <c r="D27" s="6">
        <v>6.01</v>
      </c>
      <c r="E27" s="6">
        <v>2.2999999999999998</v>
      </c>
      <c r="F27" s="6">
        <v>3.26</v>
      </c>
      <c r="G27" s="6">
        <v>2.7</v>
      </c>
      <c r="H27" s="6">
        <v>1.41</v>
      </c>
      <c r="I27" s="6">
        <v>2.0099999999999998</v>
      </c>
      <c r="J27" s="6">
        <v>1.99</v>
      </c>
      <c r="K27" s="6">
        <v>6.07</v>
      </c>
      <c r="N27" s="39" t="s">
        <v>1056</v>
      </c>
      <c r="O27" s="39" t="s">
        <v>2358</v>
      </c>
      <c r="P27" s="39">
        <v>54</v>
      </c>
      <c r="Q27" s="39">
        <v>2.23</v>
      </c>
      <c r="R27" s="39">
        <v>2.68</v>
      </c>
      <c r="S27" s="39">
        <v>3.7</v>
      </c>
      <c r="T27" s="39">
        <v>3.18</v>
      </c>
      <c r="U27" s="39">
        <v>2.81</v>
      </c>
      <c r="V27" s="39">
        <v>3.93</v>
      </c>
      <c r="W27" s="39">
        <v>3.58</v>
      </c>
      <c r="X27" s="39">
        <v>3.59</v>
      </c>
      <c r="Z27">
        <f t="shared" si="0"/>
        <v>120.42</v>
      </c>
      <c r="AA27">
        <f t="shared" si="1"/>
        <v>144.72</v>
      </c>
      <c r="AB27">
        <f t="shared" si="2"/>
        <v>199.8</v>
      </c>
      <c r="AC27">
        <f t="shared" si="3"/>
        <v>171.72</v>
      </c>
      <c r="AD27">
        <f t="shared" si="4"/>
        <v>151.74</v>
      </c>
      <c r="AE27">
        <f t="shared" si="5"/>
        <v>212.22</v>
      </c>
      <c r="AF27">
        <f t="shared" si="6"/>
        <v>193.32</v>
      </c>
      <c r="AG27">
        <f t="shared" si="7"/>
        <v>193.85999999999999</v>
      </c>
    </row>
    <row r="28" spans="1:33" ht="34.799999999999997" thickBot="1" x14ac:dyDescent="0.3">
      <c r="A28" s="6" t="s">
        <v>1092</v>
      </c>
      <c r="B28" s="6" t="s">
        <v>242</v>
      </c>
      <c r="C28" s="6">
        <v>1120</v>
      </c>
      <c r="D28" s="6" t="s">
        <v>1069</v>
      </c>
      <c r="E28" s="6">
        <v>1.36</v>
      </c>
      <c r="F28" s="6" t="s">
        <v>1069</v>
      </c>
      <c r="G28" s="6" t="s">
        <v>1069</v>
      </c>
      <c r="H28" s="6" t="s">
        <v>1069</v>
      </c>
      <c r="I28" s="6" t="s">
        <v>1069</v>
      </c>
      <c r="J28" s="6" t="s">
        <v>1069</v>
      </c>
      <c r="K28" s="6" t="s">
        <v>1069</v>
      </c>
      <c r="N28" s="39" t="s">
        <v>7863</v>
      </c>
      <c r="O28" s="39" t="s">
        <v>2359</v>
      </c>
      <c r="P28" s="39">
        <v>40</v>
      </c>
      <c r="Q28" s="39">
        <v>4.55</v>
      </c>
      <c r="R28" s="39">
        <v>2.25</v>
      </c>
      <c r="S28" s="39">
        <v>1.85</v>
      </c>
      <c r="T28" s="39">
        <v>1.69</v>
      </c>
      <c r="U28" s="39">
        <v>1.71</v>
      </c>
      <c r="V28" s="39">
        <v>1.9</v>
      </c>
      <c r="W28" s="39">
        <v>1.9</v>
      </c>
      <c r="X28" s="39">
        <v>2</v>
      </c>
      <c r="Z28">
        <f t="shared" si="0"/>
        <v>182</v>
      </c>
      <c r="AA28">
        <f t="shared" si="1"/>
        <v>90</v>
      </c>
      <c r="AB28">
        <f t="shared" si="2"/>
        <v>74</v>
      </c>
      <c r="AC28">
        <f t="shared" si="3"/>
        <v>67.599999999999994</v>
      </c>
      <c r="AD28">
        <f t="shared" si="4"/>
        <v>68.400000000000006</v>
      </c>
      <c r="AE28">
        <f t="shared" si="5"/>
        <v>76</v>
      </c>
      <c r="AF28">
        <f t="shared" si="6"/>
        <v>76</v>
      </c>
      <c r="AG28">
        <f t="shared" si="7"/>
        <v>80</v>
      </c>
    </row>
    <row r="29" spans="1:33" ht="42" thickBot="1" x14ac:dyDescent="0.3">
      <c r="A29" s="6" t="s">
        <v>1093</v>
      </c>
      <c r="B29" s="6" t="s">
        <v>41</v>
      </c>
      <c r="C29" s="6">
        <v>160</v>
      </c>
      <c r="D29" s="6">
        <v>3.08</v>
      </c>
      <c r="E29" s="6">
        <v>3.15</v>
      </c>
      <c r="F29" s="6">
        <v>2.87</v>
      </c>
      <c r="G29" s="6">
        <v>2.97</v>
      </c>
      <c r="H29" s="6">
        <v>3.54</v>
      </c>
      <c r="I29" s="6">
        <v>3.44</v>
      </c>
      <c r="J29" s="6">
        <v>3.18</v>
      </c>
      <c r="K29" s="6">
        <v>3.47</v>
      </c>
      <c r="N29" s="39" t="s">
        <v>737</v>
      </c>
      <c r="O29" s="39" t="s">
        <v>2024</v>
      </c>
      <c r="P29" s="39">
        <v>2.52</v>
      </c>
      <c r="Q29" s="39">
        <v>131.37</v>
      </c>
      <c r="R29" s="39">
        <v>151.22</v>
      </c>
      <c r="S29" s="39">
        <v>131.91999999999999</v>
      </c>
      <c r="T29" s="39">
        <v>129.68</v>
      </c>
      <c r="U29" s="39">
        <v>137.83000000000001</v>
      </c>
      <c r="V29" s="39">
        <v>148.44999999999999</v>
      </c>
      <c r="W29" s="39">
        <v>127.59</v>
      </c>
      <c r="X29" s="39">
        <v>123.92</v>
      </c>
      <c r="Z29">
        <f t="shared" si="0"/>
        <v>331.05240000000003</v>
      </c>
      <c r="AA29">
        <f t="shared" si="1"/>
        <v>381.07440000000003</v>
      </c>
      <c r="AB29">
        <f t="shared" si="2"/>
        <v>332.43839999999994</v>
      </c>
      <c r="AC29">
        <f t="shared" si="3"/>
        <v>326.79360000000003</v>
      </c>
      <c r="AD29">
        <f t="shared" si="4"/>
        <v>347.33160000000004</v>
      </c>
      <c r="AE29">
        <f t="shared" si="5"/>
        <v>374.09399999999999</v>
      </c>
      <c r="AF29">
        <f t="shared" si="6"/>
        <v>321.52680000000004</v>
      </c>
      <c r="AG29">
        <f t="shared" si="7"/>
        <v>312.27840000000003</v>
      </c>
    </row>
    <row r="30" spans="1:33" ht="97.2" thickBot="1" x14ac:dyDescent="0.3">
      <c r="A30" s="6" t="s">
        <v>1094</v>
      </c>
      <c r="B30" s="6" t="s">
        <v>17</v>
      </c>
      <c r="C30" s="6">
        <v>0.96399999999999997</v>
      </c>
      <c r="D30" s="6">
        <v>102.43</v>
      </c>
      <c r="E30" s="6">
        <v>142.71</v>
      </c>
      <c r="F30" s="6">
        <v>131.85</v>
      </c>
      <c r="G30" s="6">
        <v>127.89</v>
      </c>
      <c r="H30" s="6">
        <v>170.61</v>
      </c>
      <c r="I30" s="6">
        <v>58.14</v>
      </c>
      <c r="J30" s="6">
        <v>187.74</v>
      </c>
      <c r="K30" s="6">
        <v>114.51</v>
      </c>
      <c r="N30" s="39" t="s">
        <v>7864</v>
      </c>
      <c r="O30" s="39" t="s">
        <v>2892</v>
      </c>
      <c r="P30" s="39" t="s">
        <v>2908</v>
      </c>
      <c r="Q30" s="39" t="s">
        <v>2908</v>
      </c>
      <c r="R30" s="39" t="s">
        <v>2908</v>
      </c>
      <c r="S30" s="39" t="s">
        <v>2908</v>
      </c>
      <c r="T30" s="39" t="s">
        <v>2908</v>
      </c>
      <c r="U30" s="39" t="s">
        <v>2908</v>
      </c>
      <c r="V30" s="39" t="s">
        <v>2908</v>
      </c>
      <c r="W30" s="39" t="s">
        <v>2908</v>
      </c>
      <c r="X30" s="39" t="s">
        <v>2908</v>
      </c>
      <c r="Z30" t="e">
        <f t="shared" si="0"/>
        <v>#VALUE!</v>
      </c>
      <c r="AA30" t="e">
        <f t="shared" si="1"/>
        <v>#VALUE!</v>
      </c>
      <c r="AB30" t="e">
        <f t="shared" si="2"/>
        <v>#VALUE!</v>
      </c>
      <c r="AC30" t="e">
        <f t="shared" si="3"/>
        <v>#VALUE!</v>
      </c>
      <c r="AD30" t="e">
        <f t="shared" si="4"/>
        <v>#VALUE!</v>
      </c>
      <c r="AE30" t="e">
        <f t="shared" si="5"/>
        <v>#VALUE!</v>
      </c>
      <c r="AF30" t="e">
        <f t="shared" si="6"/>
        <v>#VALUE!</v>
      </c>
      <c r="AG30" t="e">
        <f t="shared" si="7"/>
        <v>#VALUE!</v>
      </c>
    </row>
    <row r="31" spans="1:33" ht="28.2" thickBot="1" x14ac:dyDescent="0.3">
      <c r="A31" s="6" t="s">
        <v>1095</v>
      </c>
      <c r="B31" s="6" t="s">
        <v>1096</v>
      </c>
      <c r="C31" s="6">
        <v>0.38900000000000001</v>
      </c>
      <c r="D31" s="6">
        <v>45.92</v>
      </c>
      <c r="E31" s="6">
        <v>7.55</v>
      </c>
      <c r="F31" s="6">
        <v>126.31</v>
      </c>
      <c r="G31" s="6">
        <v>68.73</v>
      </c>
      <c r="H31" s="6">
        <v>64.36</v>
      </c>
      <c r="I31" s="6">
        <v>37.89</v>
      </c>
      <c r="J31" s="6">
        <v>38.729999999999997</v>
      </c>
      <c r="K31" s="6">
        <v>112.56</v>
      </c>
      <c r="N31" s="39" t="s">
        <v>717</v>
      </c>
      <c r="O31" s="39" t="s">
        <v>2021</v>
      </c>
      <c r="P31" s="39">
        <v>0.38900000000000001</v>
      </c>
      <c r="Q31" s="39">
        <v>45.92</v>
      </c>
      <c r="R31" s="39">
        <v>7.55</v>
      </c>
      <c r="S31" s="39">
        <v>126.31</v>
      </c>
      <c r="T31" s="39">
        <v>68.73</v>
      </c>
      <c r="U31" s="39">
        <v>64.36</v>
      </c>
      <c r="V31" s="39">
        <v>37.89</v>
      </c>
      <c r="W31" s="39">
        <v>38.729999999999997</v>
      </c>
      <c r="X31" s="39">
        <v>112.56</v>
      </c>
      <c r="Z31">
        <f t="shared" si="0"/>
        <v>17.862880000000001</v>
      </c>
      <c r="AA31">
        <f t="shared" si="1"/>
        <v>2.9369499999999999</v>
      </c>
      <c r="AB31">
        <f t="shared" si="2"/>
        <v>49.134590000000003</v>
      </c>
      <c r="AC31">
        <f t="shared" si="3"/>
        <v>26.735970000000002</v>
      </c>
      <c r="AD31">
        <f t="shared" si="4"/>
        <v>25.03604</v>
      </c>
      <c r="AE31">
        <f t="shared" si="5"/>
        <v>14.73921</v>
      </c>
      <c r="AF31">
        <f t="shared" si="6"/>
        <v>15.06597</v>
      </c>
      <c r="AG31">
        <f t="shared" si="7"/>
        <v>43.78584</v>
      </c>
    </row>
    <row r="32" spans="1:33" ht="28.2" thickBot="1" x14ac:dyDescent="0.3">
      <c r="A32" s="6" t="s">
        <v>1097</v>
      </c>
      <c r="B32" s="6" t="s">
        <v>1098</v>
      </c>
      <c r="C32" s="6">
        <v>2.52</v>
      </c>
      <c r="D32" s="6">
        <v>131.37</v>
      </c>
      <c r="E32" s="6">
        <v>151.22</v>
      </c>
      <c r="F32" s="6">
        <v>131.91999999999999</v>
      </c>
      <c r="G32" s="6">
        <v>129.68</v>
      </c>
      <c r="H32" s="6">
        <v>137.83000000000001</v>
      </c>
      <c r="I32" s="6">
        <v>148.44999999999999</v>
      </c>
      <c r="J32" s="6">
        <v>127.59</v>
      </c>
      <c r="K32" s="6">
        <v>123.92</v>
      </c>
      <c r="N32" s="39" t="s">
        <v>1034</v>
      </c>
      <c r="O32" s="39" t="s">
        <v>2174</v>
      </c>
      <c r="P32" s="39">
        <v>2.7</v>
      </c>
      <c r="Q32" s="39">
        <v>11.02</v>
      </c>
      <c r="R32" s="39">
        <v>8.3800000000000008</v>
      </c>
      <c r="S32" s="39">
        <v>1.62</v>
      </c>
      <c r="T32" s="39">
        <v>1.8</v>
      </c>
      <c r="U32" s="39">
        <v>5.78</v>
      </c>
      <c r="V32" s="39">
        <v>5.13</v>
      </c>
      <c r="W32" s="39">
        <v>3.6</v>
      </c>
      <c r="X32" s="39">
        <v>3.49</v>
      </c>
      <c r="Z32">
        <f t="shared" si="0"/>
        <v>29.754000000000001</v>
      </c>
      <c r="AA32">
        <f t="shared" si="1"/>
        <v>22.626000000000005</v>
      </c>
      <c r="AB32">
        <f t="shared" si="2"/>
        <v>4.3740000000000006</v>
      </c>
      <c r="AC32">
        <f t="shared" si="3"/>
        <v>4.8600000000000003</v>
      </c>
      <c r="AD32">
        <f t="shared" si="4"/>
        <v>15.606000000000002</v>
      </c>
      <c r="AE32">
        <f t="shared" si="5"/>
        <v>13.851000000000001</v>
      </c>
      <c r="AF32">
        <f t="shared" si="6"/>
        <v>9.7200000000000006</v>
      </c>
      <c r="AG32">
        <f t="shared" si="7"/>
        <v>9.4230000000000018</v>
      </c>
    </row>
    <row r="33" spans="1:33" ht="42" thickBot="1" x14ac:dyDescent="0.3">
      <c r="A33" s="6" t="s">
        <v>1099</v>
      </c>
      <c r="B33" s="6" t="s">
        <v>1100</v>
      </c>
      <c r="C33" s="6">
        <v>13.8</v>
      </c>
      <c r="D33" s="6" t="s">
        <v>1069</v>
      </c>
      <c r="E33" s="6" t="s">
        <v>1069</v>
      </c>
      <c r="F33" s="6" t="s">
        <v>1069</v>
      </c>
      <c r="G33" s="6" t="s">
        <v>1069</v>
      </c>
      <c r="H33" s="6">
        <v>1.51</v>
      </c>
      <c r="I33" s="6" t="s">
        <v>1069</v>
      </c>
      <c r="J33" s="6" t="s">
        <v>1069</v>
      </c>
      <c r="K33" s="6" t="s">
        <v>1069</v>
      </c>
      <c r="N33" s="39" t="s">
        <v>1265</v>
      </c>
      <c r="O33" s="39" t="s">
        <v>2180</v>
      </c>
      <c r="P33" s="39">
        <v>13.8</v>
      </c>
      <c r="Q33" s="39" t="s">
        <v>1069</v>
      </c>
      <c r="R33" s="39" t="s">
        <v>1069</v>
      </c>
      <c r="S33" s="39" t="s">
        <v>1069</v>
      </c>
      <c r="T33" s="39" t="s">
        <v>1069</v>
      </c>
      <c r="U33" s="39">
        <v>1.51</v>
      </c>
      <c r="V33" s="39" t="s">
        <v>1069</v>
      </c>
      <c r="W33" s="39" t="s">
        <v>1069</v>
      </c>
      <c r="X33" s="39" t="s">
        <v>1069</v>
      </c>
      <c r="Z33" t="e">
        <f t="shared" si="0"/>
        <v>#VALUE!</v>
      </c>
      <c r="AA33" t="e">
        <f t="shared" si="1"/>
        <v>#VALUE!</v>
      </c>
      <c r="AB33" t="e">
        <f t="shared" si="2"/>
        <v>#VALUE!</v>
      </c>
      <c r="AC33" t="e">
        <f t="shared" si="3"/>
        <v>#VALUE!</v>
      </c>
      <c r="AD33">
        <f t="shared" si="4"/>
        <v>20.838000000000001</v>
      </c>
      <c r="AE33" t="e">
        <f t="shared" si="5"/>
        <v>#VALUE!</v>
      </c>
      <c r="AF33" t="e">
        <f t="shared" si="6"/>
        <v>#VALUE!</v>
      </c>
      <c r="AG33" t="e">
        <f t="shared" si="7"/>
        <v>#VALUE!</v>
      </c>
    </row>
    <row r="34" spans="1:33" ht="28.2" thickBot="1" x14ac:dyDescent="0.3">
      <c r="A34" s="6" t="s">
        <v>1101</v>
      </c>
      <c r="B34" s="6" t="s">
        <v>1102</v>
      </c>
      <c r="C34" s="6">
        <v>2.7</v>
      </c>
      <c r="D34" s="6">
        <v>11.02</v>
      </c>
      <c r="E34" s="6">
        <v>8.3800000000000008</v>
      </c>
      <c r="F34" s="6">
        <v>1.62</v>
      </c>
      <c r="G34" s="6">
        <v>1.8</v>
      </c>
      <c r="H34" s="6">
        <v>5.78</v>
      </c>
      <c r="I34" s="6">
        <v>5.13</v>
      </c>
      <c r="J34" s="6">
        <v>3.6</v>
      </c>
      <c r="K34" s="6">
        <v>3.49</v>
      </c>
      <c r="N34" s="39" t="s">
        <v>713</v>
      </c>
      <c r="O34" s="39" t="s">
        <v>2020</v>
      </c>
      <c r="P34" s="39">
        <v>0.96399999999999997</v>
      </c>
      <c r="Q34" s="39">
        <v>102.43</v>
      </c>
      <c r="R34" s="39">
        <v>142.71</v>
      </c>
      <c r="S34" s="39">
        <v>131.85</v>
      </c>
      <c r="T34" s="39">
        <v>127.89</v>
      </c>
      <c r="U34" s="39">
        <v>170.61</v>
      </c>
      <c r="V34" s="39">
        <v>58.14</v>
      </c>
      <c r="W34" s="39">
        <v>187.74</v>
      </c>
      <c r="X34" s="39">
        <v>114.51</v>
      </c>
      <c r="Z34">
        <f t="shared" si="0"/>
        <v>98.742519999999999</v>
      </c>
      <c r="AA34">
        <f t="shared" si="1"/>
        <v>137.57244</v>
      </c>
      <c r="AB34">
        <f t="shared" si="2"/>
        <v>127.10339999999999</v>
      </c>
      <c r="AC34">
        <f t="shared" si="3"/>
        <v>123.28596</v>
      </c>
      <c r="AD34">
        <f t="shared" si="4"/>
        <v>164.46804</v>
      </c>
      <c r="AE34">
        <f t="shared" si="5"/>
        <v>56.046959999999999</v>
      </c>
      <c r="AF34">
        <f t="shared" si="6"/>
        <v>180.98136</v>
      </c>
      <c r="AG34">
        <f t="shared" si="7"/>
        <v>110.38764</v>
      </c>
    </row>
    <row r="35" spans="1:33" ht="28.2" thickBot="1" x14ac:dyDescent="0.3">
      <c r="N35" s="39" t="s">
        <v>1029</v>
      </c>
      <c r="O35" s="39" t="s">
        <v>2177</v>
      </c>
      <c r="P35" s="39">
        <v>160</v>
      </c>
      <c r="Q35" s="39">
        <v>3.08</v>
      </c>
      <c r="R35" s="39">
        <v>3.15</v>
      </c>
      <c r="S35" s="39">
        <v>2.87</v>
      </c>
      <c r="T35" s="39">
        <v>2.97</v>
      </c>
      <c r="U35" s="39">
        <v>3.54</v>
      </c>
      <c r="V35" s="39">
        <v>3.44</v>
      </c>
      <c r="W35" s="39">
        <v>3.18</v>
      </c>
      <c r="X35" s="39">
        <v>3.47</v>
      </c>
      <c r="Z35">
        <f t="shared" si="0"/>
        <v>492.8</v>
      </c>
      <c r="AA35">
        <f t="shared" si="1"/>
        <v>504</v>
      </c>
      <c r="AB35">
        <f t="shared" si="2"/>
        <v>459.20000000000005</v>
      </c>
      <c r="AC35">
        <f t="shared" si="3"/>
        <v>475.20000000000005</v>
      </c>
      <c r="AD35">
        <f t="shared" si="4"/>
        <v>566.4</v>
      </c>
      <c r="AE35">
        <f t="shared" si="5"/>
        <v>550.4</v>
      </c>
      <c r="AF35">
        <f t="shared" si="6"/>
        <v>508.8</v>
      </c>
      <c r="AG35">
        <f t="shared" si="7"/>
        <v>555.20000000000005</v>
      </c>
    </row>
    <row r="36" spans="1:33" ht="55.8" thickBot="1" x14ac:dyDescent="0.3">
      <c r="N36" s="39" t="s">
        <v>843</v>
      </c>
      <c r="O36" s="39" t="s">
        <v>2175</v>
      </c>
      <c r="P36" s="39" t="s">
        <v>2908</v>
      </c>
      <c r="Q36" s="39" t="s">
        <v>2908</v>
      </c>
      <c r="R36" s="39" t="s">
        <v>2908</v>
      </c>
      <c r="S36" s="39" t="s">
        <v>2908</v>
      </c>
      <c r="T36" s="39" t="s">
        <v>2908</v>
      </c>
      <c r="U36" s="39" t="s">
        <v>2908</v>
      </c>
      <c r="V36" s="39" t="s">
        <v>2908</v>
      </c>
      <c r="W36" s="39" t="s">
        <v>2908</v>
      </c>
      <c r="X36" s="39" t="s">
        <v>2908</v>
      </c>
      <c r="Z36" t="e">
        <f t="shared" si="0"/>
        <v>#VALUE!</v>
      </c>
      <c r="AA36" t="e">
        <f t="shared" si="1"/>
        <v>#VALUE!</v>
      </c>
      <c r="AB36" t="e">
        <f t="shared" si="2"/>
        <v>#VALUE!</v>
      </c>
      <c r="AC36" t="e">
        <f t="shared" si="3"/>
        <v>#VALUE!</v>
      </c>
      <c r="AD36" t="e">
        <f t="shared" si="4"/>
        <v>#VALUE!</v>
      </c>
      <c r="AE36" t="e">
        <f t="shared" si="5"/>
        <v>#VALUE!</v>
      </c>
      <c r="AF36" t="e">
        <f t="shared" si="6"/>
        <v>#VALUE!</v>
      </c>
      <c r="AG36" t="e">
        <f t="shared" si="7"/>
        <v>#VALUE!</v>
      </c>
    </row>
    <row r="37" spans="1:33" ht="42" thickBot="1" x14ac:dyDescent="0.3">
      <c r="N37" s="39" t="s">
        <v>761</v>
      </c>
      <c r="O37" s="39" t="s">
        <v>2919</v>
      </c>
      <c r="P37" s="39" t="s">
        <v>2908</v>
      </c>
      <c r="Q37" s="39" t="s">
        <v>2908</v>
      </c>
      <c r="R37" s="39" t="s">
        <v>2908</v>
      </c>
      <c r="S37" s="39" t="s">
        <v>2908</v>
      </c>
      <c r="T37" s="39" t="s">
        <v>2908</v>
      </c>
      <c r="U37" s="39" t="s">
        <v>2908</v>
      </c>
      <c r="V37" s="39" t="s">
        <v>2908</v>
      </c>
      <c r="W37" s="39" t="s">
        <v>2908</v>
      </c>
      <c r="X37" s="39" t="s">
        <v>2908</v>
      </c>
      <c r="Z37" t="e">
        <f t="shared" si="0"/>
        <v>#VALUE!</v>
      </c>
      <c r="AA37" t="e">
        <f t="shared" si="1"/>
        <v>#VALUE!</v>
      </c>
      <c r="AB37" t="e">
        <f t="shared" si="2"/>
        <v>#VALUE!</v>
      </c>
      <c r="AC37" t="e">
        <f t="shared" si="3"/>
        <v>#VALUE!</v>
      </c>
      <c r="AD37" t="e">
        <f t="shared" si="4"/>
        <v>#VALUE!</v>
      </c>
      <c r="AE37" t="e">
        <f t="shared" si="5"/>
        <v>#VALUE!</v>
      </c>
      <c r="AF37" t="e">
        <f t="shared" si="6"/>
        <v>#VALUE!</v>
      </c>
      <c r="AG37" t="e">
        <f t="shared" si="7"/>
        <v>#VALUE!</v>
      </c>
    </row>
    <row r="38" spans="1:33" ht="42" thickBot="1" x14ac:dyDescent="0.3">
      <c r="N38" s="39" t="s">
        <v>753</v>
      </c>
      <c r="O38" s="39" t="s">
        <v>2920</v>
      </c>
      <c r="P38" s="39">
        <v>262</v>
      </c>
      <c r="Q38" s="39">
        <v>3.28</v>
      </c>
      <c r="R38" s="39">
        <v>2.02</v>
      </c>
      <c r="S38" s="39">
        <v>7.28</v>
      </c>
      <c r="T38" s="39">
        <v>8.84</v>
      </c>
      <c r="U38" s="39">
        <v>5.57</v>
      </c>
      <c r="V38" s="39">
        <v>9.01</v>
      </c>
      <c r="W38" s="39">
        <v>7.25</v>
      </c>
      <c r="X38" s="39">
        <v>2.5</v>
      </c>
      <c r="Z38">
        <f t="shared" si="0"/>
        <v>859.3599999999999</v>
      </c>
      <c r="AA38">
        <f t="shared" si="1"/>
        <v>529.24</v>
      </c>
      <c r="AB38">
        <f t="shared" si="2"/>
        <v>1907.3600000000001</v>
      </c>
      <c r="AC38">
        <f t="shared" si="3"/>
        <v>2316.08</v>
      </c>
      <c r="AD38">
        <f t="shared" si="4"/>
        <v>1459.3400000000001</v>
      </c>
      <c r="AE38">
        <f t="shared" si="5"/>
        <v>2360.62</v>
      </c>
      <c r="AF38">
        <f t="shared" si="6"/>
        <v>1899.5</v>
      </c>
      <c r="AG38">
        <f t="shared" si="7"/>
        <v>655</v>
      </c>
    </row>
    <row r="39" spans="1:33" ht="42" thickBot="1" x14ac:dyDescent="0.3">
      <c r="N39" s="39" t="s">
        <v>920</v>
      </c>
      <c r="O39" s="39" t="s">
        <v>2320</v>
      </c>
      <c r="P39" s="39" t="s">
        <v>2908</v>
      </c>
      <c r="Q39" s="39" t="s">
        <v>2908</v>
      </c>
      <c r="R39" s="39" t="s">
        <v>2908</v>
      </c>
      <c r="S39" s="39" t="s">
        <v>2908</v>
      </c>
      <c r="T39" s="39" t="s">
        <v>2908</v>
      </c>
      <c r="U39" s="39" t="s">
        <v>2908</v>
      </c>
      <c r="V39" s="39" t="s">
        <v>2908</v>
      </c>
      <c r="W39" s="39" t="s">
        <v>2908</v>
      </c>
      <c r="X39" s="39" t="s">
        <v>2908</v>
      </c>
      <c r="Z39" t="e">
        <f t="shared" si="0"/>
        <v>#VALUE!</v>
      </c>
      <c r="AA39" t="e">
        <f t="shared" si="1"/>
        <v>#VALUE!</v>
      </c>
      <c r="AB39" t="e">
        <f t="shared" si="2"/>
        <v>#VALUE!</v>
      </c>
      <c r="AC39" t="e">
        <f t="shared" si="3"/>
        <v>#VALUE!</v>
      </c>
      <c r="AD39" t="e">
        <f t="shared" si="4"/>
        <v>#VALUE!</v>
      </c>
      <c r="AE39" t="e">
        <f t="shared" si="5"/>
        <v>#VALUE!</v>
      </c>
      <c r="AF39" t="e">
        <f t="shared" si="6"/>
        <v>#VALUE!</v>
      </c>
      <c r="AG39" t="e">
        <f t="shared" si="7"/>
        <v>#VALUE!</v>
      </c>
    </row>
    <row r="40" spans="1:33" ht="28.2" thickBot="1" x14ac:dyDescent="0.3">
      <c r="N40" s="39" t="s">
        <v>1217</v>
      </c>
      <c r="O40" s="39" t="s">
        <v>2857</v>
      </c>
      <c r="P40" s="39">
        <v>0.122</v>
      </c>
      <c r="Q40" s="39">
        <v>58.48</v>
      </c>
      <c r="R40" s="39">
        <v>30.78</v>
      </c>
      <c r="S40" s="39">
        <v>70.5</v>
      </c>
      <c r="T40" s="39">
        <v>73.709999999999994</v>
      </c>
      <c r="U40" s="39">
        <v>72.58</v>
      </c>
      <c r="V40" s="39">
        <v>44.03</v>
      </c>
      <c r="W40" s="39">
        <v>53.94</v>
      </c>
      <c r="X40" s="39">
        <v>56.02</v>
      </c>
      <c r="Z40">
        <f t="shared" si="0"/>
        <v>7.1345599999999996</v>
      </c>
      <c r="AA40">
        <f t="shared" si="1"/>
        <v>3.7551600000000001</v>
      </c>
      <c r="AB40">
        <f t="shared" si="2"/>
        <v>8.6009999999999991</v>
      </c>
      <c r="AC40">
        <f t="shared" si="3"/>
        <v>8.9926199999999987</v>
      </c>
      <c r="AD40">
        <f t="shared" si="4"/>
        <v>8.8547599999999989</v>
      </c>
      <c r="AE40">
        <f t="shared" si="5"/>
        <v>5.3716600000000003</v>
      </c>
      <c r="AF40">
        <f t="shared" si="6"/>
        <v>6.5806799999999992</v>
      </c>
      <c r="AG40">
        <f t="shared" si="7"/>
        <v>6.8344399999999998</v>
      </c>
    </row>
    <row r="41" spans="1:33" ht="28.2" thickBot="1" x14ac:dyDescent="0.3">
      <c r="N41" s="39" t="s">
        <v>1969</v>
      </c>
      <c r="O41" s="39" t="s">
        <v>2921</v>
      </c>
      <c r="P41" s="39" t="s">
        <v>2908</v>
      </c>
      <c r="Q41" s="39" t="s">
        <v>2908</v>
      </c>
      <c r="R41" s="39" t="s">
        <v>2908</v>
      </c>
      <c r="S41" s="39" t="s">
        <v>2908</v>
      </c>
      <c r="T41" s="39" t="s">
        <v>2908</v>
      </c>
      <c r="U41" s="39" t="s">
        <v>2908</v>
      </c>
      <c r="V41" s="39" t="s">
        <v>2908</v>
      </c>
      <c r="W41" s="39" t="s">
        <v>2908</v>
      </c>
      <c r="X41" s="39" t="s">
        <v>2908</v>
      </c>
      <c r="Z41" t="e">
        <f t="shared" si="0"/>
        <v>#VALUE!</v>
      </c>
      <c r="AA41" t="e">
        <f t="shared" si="1"/>
        <v>#VALUE!</v>
      </c>
      <c r="AB41" t="e">
        <f t="shared" si="2"/>
        <v>#VALUE!</v>
      </c>
      <c r="AC41" t="e">
        <f t="shared" si="3"/>
        <v>#VALUE!</v>
      </c>
      <c r="AD41" t="e">
        <f t="shared" si="4"/>
        <v>#VALUE!</v>
      </c>
      <c r="AE41" t="e">
        <f t="shared" si="5"/>
        <v>#VALUE!</v>
      </c>
      <c r="AF41" t="e">
        <f t="shared" si="6"/>
        <v>#VALUE!</v>
      </c>
      <c r="AG41" t="e">
        <f t="shared" si="7"/>
        <v>#VALUE!</v>
      </c>
    </row>
    <row r="42" spans="1:33" ht="28.2" thickBot="1" x14ac:dyDescent="0.3">
      <c r="N42" s="39" t="s">
        <v>940</v>
      </c>
      <c r="O42" s="39" t="s">
        <v>2922</v>
      </c>
      <c r="P42" s="39" t="s">
        <v>2908</v>
      </c>
      <c r="Q42" s="39" t="s">
        <v>2908</v>
      </c>
      <c r="R42" s="39" t="s">
        <v>2908</v>
      </c>
      <c r="S42" s="39" t="s">
        <v>2908</v>
      </c>
      <c r="T42" s="39" t="s">
        <v>2908</v>
      </c>
      <c r="U42" s="39" t="s">
        <v>2908</v>
      </c>
      <c r="V42" s="39" t="s">
        <v>2908</v>
      </c>
      <c r="W42" s="39" t="s">
        <v>2908</v>
      </c>
      <c r="X42" s="39" t="s">
        <v>2908</v>
      </c>
      <c r="Z42" t="e">
        <f t="shared" si="0"/>
        <v>#VALUE!</v>
      </c>
      <c r="AA42" t="e">
        <f t="shared" si="1"/>
        <v>#VALUE!</v>
      </c>
      <c r="AB42" t="e">
        <f t="shared" si="2"/>
        <v>#VALUE!</v>
      </c>
      <c r="AC42" t="e">
        <f t="shared" si="3"/>
        <v>#VALUE!</v>
      </c>
      <c r="AD42" t="e">
        <f t="shared" si="4"/>
        <v>#VALUE!</v>
      </c>
      <c r="AE42" t="e">
        <f t="shared" si="5"/>
        <v>#VALUE!</v>
      </c>
      <c r="AF42" t="e">
        <f t="shared" si="6"/>
        <v>#VALUE!</v>
      </c>
      <c r="AG42" t="e">
        <f t="shared" si="7"/>
        <v>#VALUE!</v>
      </c>
    </row>
    <row r="43" spans="1:33" ht="42" thickBot="1" x14ac:dyDescent="0.3">
      <c r="N43" s="39" t="s">
        <v>943</v>
      </c>
      <c r="O43" s="39" t="s">
        <v>2341</v>
      </c>
      <c r="P43" s="39" t="s">
        <v>2908</v>
      </c>
      <c r="Q43" s="39" t="s">
        <v>2908</v>
      </c>
      <c r="R43" s="39" t="s">
        <v>2908</v>
      </c>
      <c r="S43" s="39" t="s">
        <v>2908</v>
      </c>
      <c r="T43" s="39" t="s">
        <v>2908</v>
      </c>
      <c r="U43" s="39" t="s">
        <v>2908</v>
      </c>
      <c r="V43" s="39" t="s">
        <v>2908</v>
      </c>
      <c r="W43" s="39" t="s">
        <v>2908</v>
      </c>
      <c r="X43" s="39" t="s">
        <v>2908</v>
      </c>
      <c r="Z43" t="e">
        <f t="shared" si="0"/>
        <v>#VALUE!</v>
      </c>
      <c r="AA43" t="e">
        <f t="shared" si="1"/>
        <v>#VALUE!</v>
      </c>
      <c r="AB43" t="e">
        <f t="shared" si="2"/>
        <v>#VALUE!</v>
      </c>
      <c r="AC43" t="e">
        <f t="shared" si="3"/>
        <v>#VALUE!</v>
      </c>
      <c r="AD43" t="e">
        <f t="shared" si="4"/>
        <v>#VALUE!</v>
      </c>
      <c r="AE43" t="e">
        <f t="shared" si="5"/>
        <v>#VALUE!</v>
      </c>
      <c r="AF43" t="e">
        <f t="shared" si="6"/>
        <v>#VALUE!</v>
      </c>
      <c r="AG43" t="e">
        <f t="shared" si="7"/>
        <v>#VALUE!</v>
      </c>
    </row>
    <row r="44" spans="1:33" ht="55.8" thickBot="1" x14ac:dyDescent="0.3">
      <c r="N44" s="39" t="s">
        <v>7865</v>
      </c>
      <c r="O44" s="39" t="s">
        <v>2161</v>
      </c>
      <c r="P44" s="39" t="s">
        <v>2908</v>
      </c>
      <c r="Q44" s="39" t="s">
        <v>2908</v>
      </c>
      <c r="R44" s="39" t="s">
        <v>2908</v>
      </c>
      <c r="S44" s="39" t="s">
        <v>2908</v>
      </c>
      <c r="T44" s="39" t="s">
        <v>2908</v>
      </c>
      <c r="U44" s="39" t="s">
        <v>2908</v>
      </c>
      <c r="V44" s="39" t="s">
        <v>2908</v>
      </c>
      <c r="W44" s="39" t="s">
        <v>2908</v>
      </c>
      <c r="X44" s="39" t="s">
        <v>2908</v>
      </c>
      <c r="Z44" t="e">
        <f t="shared" si="0"/>
        <v>#VALUE!</v>
      </c>
      <c r="AA44" t="e">
        <f t="shared" si="1"/>
        <v>#VALUE!</v>
      </c>
      <c r="AB44" t="e">
        <f t="shared" si="2"/>
        <v>#VALUE!</v>
      </c>
      <c r="AC44" t="e">
        <f t="shared" si="3"/>
        <v>#VALUE!</v>
      </c>
      <c r="AD44" t="e">
        <f t="shared" si="4"/>
        <v>#VALUE!</v>
      </c>
      <c r="AE44" t="e">
        <f t="shared" si="5"/>
        <v>#VALUE!</v>
      </c>
      <c r="AF44" t="e">
        <f t="shared" si="6"/>
        <v>#VALUE!</v>
      </c>
      <c r="AG44" t="e">
        <f t="shared" si="7"/>
        <v>#VALUE!</v>
      </c>
    </row>
    <row r="45" spans="1:33" ht="55.8" thickBot="1" x14ac:dyDescent="0.3">
      <c r="N45" s="39" t="s">
        <v>725</v>
      </c>
      <c r="O45" s="39" t="s">
        <v>7866</v>
      </c>
      <c r="P45" s="39" t="s">
        <v>2908</v>
      </c>
      <c r="Q45" s="39" t="s">
        <v>2908</v>
      </c>
      <c r="R45" s="39" t="s">
        <v>2908</v>
      </c>
      <c r="S45" s="39" t="s">
        <v>2908</v>
      </c>
      <c r="T45" s="39" t="s">
        <v>2908</v>
      </c>
      <c r="U45" s="39" t="s">
        <v>2908</v>
      </c>
      <c r="V45" s="39" t="s">
        <v>2908</v>
      </c>
      <c r="W45" s="39" t="s">
        <v>2908</v>
      </c>
      <c r="X45" s="39" t="s">
        <v>2908</v>
      </c>
      <c r="Z45" t="e">
        <f t="shared" si="0"/>
        <v>#VALUE!</v>
      </c>
      <c r="AA45" t="e">
        <f t="shared" si="1"/>
        <v>#VALUE!</v>
      </c>
      <c r="AB45" t="e">
        <f t="shared" si="2"/>
        <v>#VALUE!</v>
      </c>
      <c r="AC45" t="e">
        <f t="shared" si="3"/>
        <v>#VALUE!</v>
      </c>
      <c r="AD45" t="e">
        <f t="shared" si="4"/>
        <v>#VALUE!</v>
      </c>
      <c r="AE45" t="e">
        <f t="shared" si="5"/>
        <v>#VALUE!</v>
      </c>
      <c r="AF45" t="e">
        <f t="shared" si="6"/>
        <v>#VALUE!</v>
      </c>
      <c r="AG45" t="e">
        <f t="shared" si="7"/>
        <v>#VALUE!</v>
      </c>
    </row>
    <row r="46" spans="1:33" ht="83.4" thickBot="1" x14ac:dyDescent="0.3">
      <c r="N46" s="39" t="s">
        <v>757</v>
      </c>
      <c r="O46" s="39" t="s">
        <v>2924</v>
      </c>
      <c r="P46" s="39" t="s">
        <v>2908</v>
      </c>
      <c r="Q46" s="39" t="s">
        <v>2908</v>
      </c>
      <c r="R46" s="39" t="s">
        <v>2908</v>
      </c>
      <c r="S46" s="39" t="s">
        <v>2908</v>
      </c>
      <c r="T46" s="39" t="s">
        <v>2908</v>
      </c>
      <c r="U46" s="39" t="s">
        <v>2908</v>
      </c>
      <c r="V46" s="39" t="s">
        <v>2908</v>
      </c>
      <c r="W46" s="39" t="s">
        <v>2908</v>
      </c>
      <c r="X46" s="39" t="s">
        <v>2908</v>
      </c>
      <c r="Z46" t="e">
        <f t="shared" si="0"/>
        <v>#VALUE!</v>
      </c>
      <c r="AA46" t="e">
        <f t="shared" si="1"/>
        <v>#VALUE!</v>
      </c>
      <c r="AB46" t="e">
        <f t="shared" si="2"/>
        <v>#VALUE!</v>
      </c>
      <c r="AC46" t="e">
        <f t="shared" si="3"/>
        <v>#VALUE!</v>
      </c>
      <c r="AD46" t="e">
        <f t="shared" si="4"/>
        <v>#VALUE!</v>
      </c>
      <c r="AE46" t="e">
        <f t="shared" si="5"/>
        <v>#VALUE!</v>
      </c>
      <c r="AF46" t="e">
        <f t="shared" si="6"/>
        <v>#VALUE!</v>
      </c>
      <c r="AG46" t="e">
        <f t="shared" si="7"/>
        <v>#VALUE!</v>
      </c>
    </row>
    <row r="47" spans="1:33" ht="69.599999999999994" thickBot="1" x14ac:dyDescent="0.3">
      <c r="N47" s="39" t="s">
        <v>773</v>
      </c>
      <c r="O47" s="39" t="s">
        <v>2925</v>
      </c>
      <c r="P47" s="39" t="s">
        <v>2908</v>
      </c>
      <c r="Q47" s="39" t="s">
        <v>2908</v>
      </c>
      <c r="R47" s="39" t="s">
        <v>2908</v>
      </c>
      <c r="S47" s="39" t="s">
        <v>2908</v>
      </c>
      <c r="T47" s="39" t="s">
        <v>2908</v>
      </c>
      <c r="U47" s="39" t="s">
        <v>2908</v>
      </c>
      <c r="V47" s="39" t="s">
        <v>2908</v>
      </c>
      <c r="W47" s="39" t="s">
        <v>2908</v>
      </c>
      <c r="X47" s="39" t="s">
        <v>2908</v>
      </c>
      <c r="Z47" t="e">
        <f t="shared" si="0"/>
        <v>#VALUE!</v>
      </c>
      <c r="AA47" t="e">
        <f t="shared" si="1"/>
        <v>#VALUE!</v>
      </c>
      <c r="AB47" t="e">
        <f t="shared" si="2"/>
        <v>#VALUE!</v>
      </c>
      <c r="AC47" t="e">
        <f t="shared" si="3"/>
        <v>#VALUE!</v>
      </c>
      <c r="AD47" t="e">
        <f t="shared" si="4"/>
        <v>#VALUE!</v>
      </c>
      <c r="AE47" t="e">
        <f t="shared" si="5"/>
        <v>#VALUE!</v>
      </c>
      <c r="AF47" t="e">
        <f t="shared" si="6"/>
        <v>#VALUE!</v>
      </c>
      <c r="AG47" t="e">
        <f t="shared" si="7"/>
        <v>#VALUE!</v>
      </c>
    </row>
    <row r="48" spans="1:33" ht="69.599999999999994" thickBot="1" x14ac:dyDescent="0.3">
      <c r="N48" s="39" t="s">
        <v>7867</v>
      </c>
      <c r="O48" s="39" t="s">
        <v>2027</v>
      </c>
      <c r="P48" s="39" t="s">
        <v>2908</v>
      </c>
      <c r="Q48" s="39" t="s">
        <v>2908</v>
      </c>
      <c r="R48" s="39" t="s">
        <v>2908</v>
      </c>
      <c r="S48" s="39" t="s">
        <v>2908</v>
      </c>
      <c r="T48" s="39" t="s">
        <v>2908</v>
      </c>
      <c r="U48" s="39" t="s">
        <v>2908</v>
      </c>
      <c r="V48" s="39" t="s">
        <v>2908</v>
      </c>
      <c r="W48" s="39" t="s">
        <v>2908</v>
      </c>
      <c r="X48" s="39" t="s">
        <v>2908</v>
      </c>
      <c r="Z48" t="e">
        <f t="shared" si="0"/>
        <v>#VALUE!</v>
      </c>
      <c r="AA48" t="e">
        <f t="shared" si="1"/>
        <v>#VALUE!</v>
      </c>
      <c r="AB48" t="e">
        <f t="shared" si="2"/>
        <v>#VALUE!</v>
      </c>
      <c r="AC48" t="e">
        <f t="shared" si="3"/>
        <v>#VALUE!</v>
      </c>
      <c r="AD48" t="e">
        <f t="shared" si="4"/>
        <v>#VALUE!</v>
      </c>
      <c r="AE48" t="e">
        <f t="shared" si="5"/>
        <v>#VALUE!</v>
      </c>
      <c r="AF48" t="e">
        <f t="shared" si="6"/>
        <v>#VALUE!</v>
      </c>
      <c r="AG48" t="e">
        <f t="shared" si="7"/>
        <v>#VALUE!</v>
      </c>
    </row>
    <row r="49" spans="14:33" ht="42" thickBot="1" x14ac:dyDescent="0.3">
      <c r="N49" s="39" t="s">
        <v>781</v>
      </c>
      <c r="O49" s="39" t="s">
        <v>2878</v>
      </c>
      <c r="P49" s="39" t="s">
        <v>2908</v>
      </c>
      <c r="Q49" s="39" t="s">
        <v>2908</v>
      </c>
      <c r="R49" s="39" t="s">
        <v>2908</v>
      </c>
      <c r="S49" s="39" t="s">
        <v>2908</v>
      </c>
      <c r="T49" s="39" t="s">
        <v>2908</v>
      </c>
      <c r="U49" s="39" t="s">
        <v>2908</v>
      </c>
      <c r="V49" s="39" t="s">
        <v>2908</v>
      </c>
      <c r="W49" s="39" t="s">
        <v>2908</v>
      </c>
      <c r="X49" s="39" t="s">
        <v>2908</v>
      </c>
      <c r="Z49" t="e">
        <f t="shared" si="0"/>
        <v>#VALUE!</v>
      </c>
      <c r="AA49" t="e">
        <f t="shared" si="1"/>
        <v>#VALUE!</v>
      </c>
      <c r="AB49" t="e">
        <f t="shared" si="2"/>
        <v>#VALUE!</v>
      </c>
      <c r="AC49" t="e">
        <f t="shared" si="3"/>
        <v>#VALUE!</v>
      </c>
      <c r="AD49" t="e">
        <f t="shared" si="4"/>
        <v>#VALUE!</v>
      </c>
      <c r="AE49" t="e">
        <f t="shared" si="5"/>
        <v>#VALUE!</v>
      </c>
      <c r="AF49" t="e">
        <f t="shared" si="6"/>
        <v>#VALUE!</v>
      </c>
      <c r="AG49" t="e">
        <f t="shared" si="7"/>
        <v>#VALUE!</v>
      </c>
    </row>
    <row r="50" spans="14:33" ht="42" thickBot="1" x14ac:dyDescent="0.3">
      <c r="N50" s="39" t="s">
        <v>797</v>
      </c>
      <c r="O50" s="39" t="s">
        <v>2927</v>
      </c>
      <c r="P50" s="39" t="s">
        <v>2908</v>
      </c>
      <c r="Q50" s="39" t="s">
        <v>2908</v>
      </c>
      <c r="R50" s="39" t="s">
        <v>2908</v>
      </c>
      <c r="S50" s="39" t="s">
        <v>2908</v>
      </c>
      <c r="T50" s="39" t="s">
        <v>2908</v>
      </c>
      <c r="U50" s="39" t="s">
        <v>2908</v>
      </c>
      <c r="V50" s="39" t="s">
        <v>2908</v>
      </c>
      <c r="W50" s="39" t="s">
        <v>2908</v>
      </c>
      <c r="X50" s="39" t="s">
        <v>2908</v>
      </c>
      <c r="Z50" t="e">
        <f t="shared" si="0"/>
        <v>#VALUE!</v>
      </c>
      <c r="AA50" t="e">
        <f t="shared" si="1"/>
        <v>#VALUE!</v>
      </c>
      <c r="AB50" t="e">
        <f t="shared" si="2"/>
        <v>#VALUE!</v>
      </c>
      <c r="AC50" t="e">
        <f t="shared" si="3"/>
        <v>#VALUE!</v>
      </c>
      <c r="AD50" t="e">
        <f t="shared" si="4"/>
        <v>#VALUE!</v>
      </c>
      <c r="AE50" t="e">
        <f t="shared" si="5"/>
        <v>#VALUE!</v>
      </c>
      <c r="AF50" t="e">
        <f t="shared" si="6"/>
        <v>#VALUE!</v>
      </c>
      <c r="AG50" t="e">
        <f t="shared" si="7"/>
        <v>#VALUE!</v>
      </c>
    </row>
    <row r="51" spans="14:33" ht="42" thickBot="1" x14ac:dyDescent="0.3">
      <c r="N51" s="39" t="s">
        <v>894</v>
      </c>
      <c r="O51" s="39" t="s">
        <v>2164</v>
      </c>
      <c r="P51" s="39" t="s">
        <v>2908</v>
      </c>
      <c r="Q51" s="39" t="s">
        <v>2908</v>
      </c>
      <c r="R51" s="39" t="s">
        <v>2908</v>
      </c>
      <c r="S51" s="39" t="s">
        <v>2908</v>
      </c>
      <c r="T51" s="39" t="s">
        <v>2908</v>
      </c>
      <c r="U51" s="39" t="s">
        <v>2908</v>
      </c>
      <c r="V51" s="39" t="s">
        <v>2908</v>
      </c>
      <c r="W51" s="39" t="s">
        <v>2908</v>
      </c>
      <c r="X51" s="39" t="s">
        <v>2908</v>
      </c>
      <c r="Z51" t="e">
        <f t="shared" si="0"/>
        <v>#VALUE!</v>
      </c>
      <c r="AA51" t="e">
        <f t="shared" si="1"/>
        <v>#VALUE!</v>
      </c>
      <c r="AB51" t="e">
        <f t="shared" si="2"/>
        <v>#VALUE!</v>
      </c>
      <c r="AC51" t="e">
        <f t="shared" si="3"/>
        <v>#VALUE!</v>
      </c>
      <c r="AD51" t="e">
        <f t="shared" si="4"/>
        <v>#VALUE!</v>
      </c>
      <c r="AE51" t="e">
        <f t="shared" si="5"/>
        <v>#VALUE!</v>
      </c>
      <c r="AF51" t="e">
        <f t="shared" si="6"/>
        <v>#VALUE!</v>
      </c>
      <c r="AG51" t="e">
        <f t="shared" si="7"/>
        <v>#VALUE!</v>
      </c>
    </row>
    <row r="52" spans="14:33" ht="69.599999999999994" thickBot="1" x14ac:dyDescent="0.3">
      <c r="N52" s="39" t="s">
        <v>1127</v>
      </c>
      <c r="O52" s="39" t="s">
        <v>2170</v>
      </c>
      <c r="P52" s="39" t="s">
        <v>2908</v>
      </c>
      <c r="Q52" s="39" t="s">
        <v>2908</v>
      </c>
      <c r="R52" s="39" t="s">
        <v>2908</v>
      </c>
      <c r="S52" s="39" t="s">
        <v>2908</v>
      </c>
      <c r="T52" s="39" t="s">
        <v>2908</v>
      </c>
      <c r="U52" s="39" t="s">
        <v>2908</v>
      </c>
      <c r="V52" s="39" t="s">
        <v>2908</v>
      </c>
      <c r="W52" s="39" t="s">
        <v>2908</v>
      </c>
      <c r="X52" s="39" t="s">
        <v>2908</v>
      </c>
      <c r="Z52" t="e">
        <f t="shared" si="0"/>
        <v>#VALUE!</v>
      </c>
      <c r="AA52" t="e">
        <f t="shared" si="1"/>
        <v>#VALUE!</v>
      </c>
      <c r="AB52" t="e">
        <f t="shared" si="2"/>
        <v>#VALUE!</v>
      </c>
      <c r="AC52" t="e">
        <f t="shared" si="3"/>
        <v>#VALUE!</v>
      </c>
      <c r="AD52" t="e">
        <f t="shared" si="4"/>
        <v>#VALUE!</v>
      </c>
      <c r="AE52" t="e">
        <f t="shared" si="5"/>
        <v>#VALUE!</v>
      </c>
      <c r="AF52" t="e">
        <f t="shared" si="6"/>
        <v>#VALUE!</v>
      </c>
      <c r="AG52" t="e">
        <f t="shared" si="7"/>
        <v>#VALUE!</v>
      </c>
    </row>
    <row r="53" spans="14:33" ht="28.2" thickBot="1" x14ac:dyDescent="0.3">
      <c r="N53" s="39" t="s">
        <v>32</v>
      </c>
      <c r="O53" s="39" t="s">
        <v>2172</v>
      </c>
      <c r="P53" s="39" t="s">
        <v>2908</v>
      </c>
      <c r="Q53" s="39" t="s">
        <v>2908</v>
      </c>
      <c r="R53" s="39" t="s">
        <v>2908</v>
      </c>
      <c r="S53" s="39" t="s">
        <v>2908</v>
      </c>
      <c r="T53" s="39" t="s">
        <v>2908</v>
      </c>
      <c r="U53" s="39" t="s">
        <v>2908</v>
      </c>
      <c r="V53" s="39" t="s">
        <v>2908</v>
      </c>
      <c r="W53" s="39" t="s">
        <v>2908</v>
      </c>
      <c r="X53" s="39" t="s">
        <v>2908</v>
      </c>
      <c r="Z53" t="e">
        <f t="shared" si="0"/>
        <v>#VALUE!</v>
      </c>
      <c r="AA53" t="e">
        <f t="shared" si="1"/>
        <v>#VALUE!</v>
      </c>
      <c r="AB53" t="e">
        <f t="shared" si="2"/>
        <v>#VALUE!</v>
      </c>
      <c r="AC53" t="e">
        <f t="shared" si="3"/>
        <v>#VALUE!</v>
      </c>
      <c r="AD53" t="e">
        <f t="shared" si="4"/>
        <v>#VALUE!</v>
      </c>
      <c r="AE53" t="e">
        <f t="shared" si="5"/>
        <v>#VALUE!</v>
      </c>
      <c r="AF53" t="e">
        <f t="shared" si="6"/>
        <v>#VALUE!</v>
      </c>
      <c r="AG53" t="e">
        <f t="shared" si="7"/>
        <v>#VALUE!</v>
      </c>
    </row>
    <row r="54" spans="14:33" ht="55.8" thickBot="1" x14ac:dyDescent="0.3">
      <c r="N54" s="39" t="s">
        <v>843</v>
      </c>
      <c r="O54" s="39" t="s">
        <v>7868</v>
      </c>
      <c r="P54" s="39" t="s">
        <v>2908</v>
      </c>
      <c r="Q54" s="39" t="s">
        <v>2908</v>
      </c>
      <c r="R54" s="39" t="s">
        <v>2908</v>
      </c>
      <c r="S54" s="39" t="s">
        <v>2908</v>
      </c>
      <c r="T54" s="39" t="s">
        <v>2908</v>
      </c>
      <c r="U54" s="39" t="s">
        <v>2908</v>
      </c>
      <c r="V54" s="39" t="s">
        <v>2908</v>
      </c>
      <c r="W54" s="39" t="s">
        <v>2908</v>
      </c>
      <c r="X54" s="39" t="s">
        <v>2908</v>
      </c>
      <c r="Z54" t="e">
        <f t="shared" si="0"/>
        <v>#VALUE!</v>
      </c>
      <c r="AA54" t="e">
        <f t="shared" si="1"/>
        <v>#VALUE!</v>
      </c>
      <c r="AB54" t="e">
        <f t="shared" si="2"/>
        <v>#VALUE!</v>
      </c>
      <c r="AC54" t="e">
        <f t="shared" si="3"/>
        <v>#VALUE!</v>
      </c>
      <c r="AD54" t="e">
        <f t="shared" si="4"/>
        <v>#VALUE!</v>
      </c>
      <c r="AE54" t="e">
        <f t="shared" si="5"/>
        <v>#VALUE!</v>
      </c>
      <c r="AF54" t="e">
        <f t="shared" si="6"/>
        <v>#VALUE!</v>
      </c>
      <c r="AG54" t="e">
        <f t="shared" si="7"/>
        <v>#VALUE!</v>
      </c>
    </row>
    <row r="55" spans="14:33" ht="55.8" thickBot="1" x14ac:dyDescent="0.3">
      <c r="N55" s="39" t="s">
        <v>1515</v>
      </c>
      <c r="O55" s="39" t="s">
        <v>2929</v>
      </c>
      <c r="P55" s="39" t="s">
        <v>2908</v>
      </c>
      <c r="Q55" s="39" t="s">
        <v>2908</v>
      </c>
      <c r="R55" s="39" t="s">
        <v>2908</v>
      </c>
      <c r="S55" s="39" t="s">
        <v>2908</v>
      </c>
      <c r="T55" s="39" t="s">
        <v>2908</v>
      </c>
      <c r="U55" s="39" t="s">
        <v>2908</v>
      </c>
      <c r="V55" s="39" t="s">
        <v>2908</v>
      </c>
      <c r="W55" s="39" t="s">
        <v>2908</v>
      </c>
      <c r="X55" s="39" t="s">
        <v>2908</v>
      </c>
      <c r="Z55" t="e">
        <f t="shared" si="0"/>
        <v>#VALUE!</v>
      </c>
      <c r="AA55" t="e">
        <f t="shared" si="1"/>
        <v>#VALUE!</v>
      </c>
      <c r="AB55" t="e">
        <f t="shared" si="2"/>
        <v>#VALUE!</v>
      </c>
      <c r="AC55" t="e">
        <f t="shared" si="3"/>
        <v>#VALUE!</v>
      </c>
      <c r="AD55" t="e">
        <f t="shared" si="4"/>
        <v>#VALUE!</v>
      </c>
      <c r="AE55" t="e">
        <f t="shared" si="5"/>
        <v>#VALUE!</v>
      </c>
      <c r="AF55" t="e">
        <f t="shared" si="6"/>
        <v>#VALUE!</v>
      </c>
      <c r="AG55" t="e">
        <f t="shared" si="7"/>
        <v>#VALUE!</v>
      </c>
    </row>
    <row r="56" spans="14:33" ht="69.599999999999994" thickBot="1" x14ac:dyDescent="0.3">
      <c r="N56" s="39" t="s">
        <v>862</v>
      </c>
      <c r="O56" s="39" t="s">
        <v>2183</v>
      </c>
      <c r="P56" s="39" t="s">
        <v>2908</v>
      </c>
      <c r="Q56" s="39" t="s">
        <v>2908</v>
      </c>
      <c r="R56" s="39" t="s">
        <v>2908</v>
      </c>
      <c r="S56" s="39" t="s">
        <v>2908</v>
      </c>
      <c r="T56" s="39" t="s">
        <v>2908</v>
      </c>
      <c r="U56" s="39" t="s">
        <v>2908</v>
      </c>
      <c r="V56" s="39" t="s">
        <v>2908</v>
      </c>
      <c r="W56" s="39" t="s">
        <v>2908</v>
      </c>
      <c r="X56" s="39" t="s">
        <v>2908</v>
      </c>
      <c r="Z56" t="e">
        <f t="shared" si="0"/>
        <v>#VALUE!</v>
      </c>
      <c r="AA56" t="e">
        <f t="shared" si="1"/>
        <v>#VALUE!</v>
      </c>
      <c r="AB56" t="e">
        <f t="shared" si="2"/>
        <v>#VALUE!</v>
      </c>
      <c r="AC56" t="e">
        <f t="shared" si="3"/>
        <v>#VALUE!</v>
      </c>
      <c r="AD56" t="e">
        <f t="shared" si="4"/>
        <v>#VALUE!</v>
      </c>
      <c r="AE56" t="e">
        <f t="shared" si="5"/>
        <v>#VALUE!</v>
      </c>
      <c r="AF56" t="e">
        <f t="shared" si="6"/>
        <v>#VALUE!</v>
      </c>
      <c r="AG56" t="e">
        <f t="shared" si="7"/>
        <v>#VALUE!</v>
      </c>
    </row>
    <row r="57" spans="14:33" ht="42" thickBot="1" x14ac:dyDescent="0.3">
      <c r="N57" s="39" t="s">
        <v>7869</v>
      </c>
      <c r="O57" s="39" t="s">
        <v>2185</v>
      </c>
      <c r="P57" s="39" t="s">
        <v>2908</v>
      </c>
      <c r="Q57" s="39" t="s">
        <v>2908</v>
      </c>
      <c r="R57" s="39" t="s">
        <v>2908</v>
      </c>
      <c r="S57" s="39" t="s">
        <v>2908</v>
      </c>
      <c r="T57" s="39" t="s">
        <v>2908</v>
      </c>
      <c r="U57" s="39" t="s">
        <v>2908</v>
      </c>
      <c r="V57" s="39" t="s">
        <v>2908</v>
      </c>
      <c r="W57" s="39" t="s">
        <v>2908</v>
      </c>
      <c r="X57" s="39" t="s">
        <v>2908</v>
      </c>
      <c r="Z57" t="e">
        <f t="shared" si="0"/>
        <v>#VALUE!</v>
      </c>
      <c r="AA57" t="e">
        <f t="shared" si="1"/>
        <v>#VALUE!</v>
      </c>
      <c r="AB57" t="e">
        <f t="shared" si="2"/>
        <v>#VALUE!</v>
      </c>
      <c r="AC57" t="e">
        <f t="shared" si="3"/>
        <v>#VALUE!</v>
      </c>
      <c r="AD57" t="e">
        <f t="shared" si="4"/>
        <v>#VALUE!</v>
      </c>
      <c r="AE57" t="e">
        <f t="shared" si="5"/>
        <v>#VALUE!</v>
      </c>
      <c r="AF57" t="e">
        <f t="shared" si="6"/>
        <v>#VALUE!</v>
      </c>
      <c r="AG57" t="e">
        <f t="shared" si="7"/>
        <v>#VALUE!</v>
      </c>
    </row>
    <row r="58" spans="14:33" ht="42" thickBot="1" x14ac:dyDescent="0.3">
      <c r="N58" s="39" t="s">
        <v>1016</v>
      </c>
      <c r="O58" s="39" t="s">
        <v>2930</v>
      </c>
      <c r="P58" s="39" t="s">
        <v>2908</v>
      </c>
      <c r="Q58" s="39" t="s">
        <v>2908</v>
      </c>
      <c r="R58" s="39" t="s">
        <v>2908</v>
      </c>
      <c r="S58" s="39" t="s">
        <v>2908</v>
      </c>
      <c r="T58" s="39" t="s">
        <v>2908</v>
      </c>
      <c r="U58" s="39" t="s">
        <v>2908</v>
      </c>
      <c r="V58" s="39" t="s">
        <v>2908</v>
      </c>
      <c r="W58" s="39" t="s">
        <v>2908</v>
      </c>
      <c r="X58" s="39" t="s">
        <v>2908</v>
      </c>
      <c r="Z58" t="e">
        <f t="shared" si="0"/>
        <v>#VALUE!</v>
      </c>
      <c r="AA58" t="e">
        <f t="shared" si="1"/>
        <v>#VALUE!</v>
      </c>
      <c r="AB58" t="e">
        <f t="shared" si="2"/>
        <v>#VALUE!</v>
      </c>
      <c r="AC58" t="e">
        <f t="shared" si="3"/>
        <v>#VALUE!</v>
      </c>
      <c r="AD58" t="e">
        <f t="shared" si="4"/>
        <v>#VALUE!</v>
      </c>
      <c r="AE58" t="e">
        <f t="shared" si="5"/>
        <v>#VALUE!</v>
      </c>
      <c r="AF58" t="e">
        <f t="shared" si="6"/>
        <v>#VALUE!</v>
      </c>
      <c r="AG58" t="e">
        <f t="shared" si="7"/>
        <v>#VALUE!</v>
      </c>
    </row>
    <row r="59" spans="14:33" ht="28.2" thickBot="1" x14ac:dyDescent="0.3">
      <c r="N59" s="39" t="s">
        <v>929</v>
      </c>
      <c r="O59" s="39" t="s">
        <v>2331</v>
      </c>
      <c r="P59" s="39" t="s">
        <v>2908</v>
      </c>
      <c r="Q59" s="39" t="s">
        <v>2908</v>
      </c>
      <c r="R59" s="39" t="s">
        <v>2908</v>
      </c>
      <c r="S59" s="39" t="s">
        <v>2908</v>
      </c>
      <c r="T59" s="39" t="s">
        <v>2908</v>
      </c>
      <c r="U59" s="39" t="s">
        <v>2908</v>
      </c>
      <c r="V59" s="39" t="s">
        <v>2908</v>
      </c>
      <c r="W59" s="39" t="s">
        <v>2908</v>
      </c>
      <c r="X59" s="39" t="s">
        <v>2908</v>
      </c>
      <c r="Z59" t="e">
        <f t="shared" si="0"/>
        <v>#VALUE!</v>
      </c>
      <c r="AA59" t="e">
        <f t="shared" si="1"/>
        <v>#VALUE!</v>
      </c>
      <c r="AB59" t="e">
        <f t="shared" si="2"/>
        <v>#VALUE!</v>
      </c>
      <c r="AC59" t="e">
        <f t="shared" si="3"/>
        <v>#VALUE!</v>
      </c>
      <c r="AD59" t="e">
        <f t="shared" si="4"/>
        <v>#VALUE!</v>
      </c>
      <c r="AE59" t="e">
        <f t="shared" si="5"/>
        <v>#VALUE!</v>
      </c>
      <c r="AF59" t="e">
        <f t="shared" si="6"/>
        <v>#VALUE!</v>
      </c>
      <c r="AG59" t="e">
        <f t="shared" si="7"/>
        <v>#VALUE!</v>
      </c>
    </row>
    <row r="60" spans="14:33" ht="55.8" thickBot="1" x14ac:dyDescent="0.3">
      <c r="N60" s="39" t="s">
        <v>956</v>
      </c>
      <c r="O60" s="39" t="s">
        <v>2337</v>
      </c>
      <c r="P60" s="39" t="s">
        <v>2908</v>
      </c>
      <c r="Q60" s="39" t="s">
        <v>2908</v>
      </c>
      <c r="R60" s="39" t="s">
        <v>2908</v>
      </c>
      <c r="S60" s="39" t="s">
        <v>2908</v>
      </c>
      <c r="T60" s="39" t="s">
        <v>2908</v>
      </c>
      <c r="U60" s="39" t="s">
        <v>2908</v>
      </c>
      <c r="V60" s="39" t="s">
        <v>2908</v>
      </c>
      <c r="W60" s="39" t="s">
        <v>2908</v>
      </c>
      <c r="X60" s="39" t="s">
        <v>2908</v>
      </c>
      <c r="Z60" t="e">
        <f t="shared" si="0"/>
        <v>#VALUE!</v>
      </c>
      <c r="AA60" t="e">
        <f t="shared" si="1"/>
        <v>#VALUE!</v>
      </c>
      <c r="AB60" t="e">
        <f t="shared" si="2"/>
        <v>#VALUE!</v>
      </c>
      <c r="AC60" t="e">
        <f t="shared" si="3"/>
        <v>#VALUE!</v>
      </c>
      <c r="AD60" t="e">
        <f t="shared" si="4"/>
        <v>#VALUE!</v>
      </c>
      <c r="AE60" t="e">
        <f t="shared" si="5"/>
        <v>#VALUE!</v>
      </c>
      <c r="AF60" t="e">
        <f t="shared" si="6"/>
        <v>#VALUE!</v>
      </c>
      <c r="AG60" t="e">
        <f t="shared" si="7"/>
        <v>#VALUE!</v>
      </c>
    </row>
    <row r="61" spans="14:33" ht="42" thickBot="1" x14ac:dyDescent="0.3">
      <c r="N61" s="39" t="s">
        <v>978</v>
      </c>
      <c r="O61" s="39" t="s">
        <v>2365</v>
      </c>
      <c r="P61" s="39">
        <v>5560</v>
      </c>
      <c r="Q61" s="39" t="s">
        <v>1069</v>
      </c>
      <c r="R61" s="39" t="s">
        <v>1069</v>
      </c>
      <c r="S61" s="39" t="s">
        <v>1069</v>
      </c>
      <c r="T61" s="39" t="s">
        <v>1069</v>
      </c>
      <c r="U61" s="39" t="s">
        <v>1069</v>
      </c>
      <c r="V61" s="39" t="s">
        <v>1069</v>
      </c>
      <c r="W61" s="39" t="s">
        <v>1069</v>
      </c>
      <c r="X61" s="39">
        <v>1.8</v>
      </c>
      <c r="Z61" t="e">
        <f t="shared" si="0"/>
        <v>#VALUE!</v>
      </c>
      <c r="AA61" t="e">
        <f t="shared" si="1"/>
        <v>#VALUE!</v>
      </c>
      <c r="AB61" t="e">
        <f t="shared" si="2"/>
        <v>#VALUE!</v>
      </c>
      <c r="AC61" t="e">
        <f t="shared" si="3"/>
        <v>#VALUE!</v>
      </c>
      <c r="AD61" t="e">
        <f t="shared" si="4"/>
        <v>#VALUE!</v>
      </c>
      <c r="AE61" t="e">
        <f t="shared" si="5"/>
        <v>#VALUE!</v>
      </c>
      <c r="AF61" t="e">
        <f t="shared" si="6"/>
        <v>#VALUE!</v>
      </c>
      <c r="AG61">
        <f t="shared" si="7"/>
        <v>10008</v>
      </c>
    </row>
    <row r="62" spans="14:33" ht="42" thickBot="1" x14ac:dyDescent="0.3">
      <c r="N62" s="39" t="s">
        <v>996</v>
      </c>
      <c r="O62" s="39" t="s">
        <v>2186</v>
      </c>
      <c r="P62" s="39">
        <v>1120</v>
      </c>
      <c r="Q62" s="39" t="s">
        <v>1069</v>
      </c>
      <c r="R62" s="39">
        <v>1.36</v>
      </c>
      <c r="S62" s="39" t="s">
        <v>1069</v>
      </c>
      <c r="T62" s="39" t="s">
        <v>1069</v>
      </c>
      <c r="U62" s="39" t="s">
        <v>1069</v>
      </c>
      <c r="V62" s="39" t="s">
        <v>1069</v>
      </c>
      <c r="W62" s="39" t="s">
        <v>1069</v>
      </c>
      <c r="X62" s="39" t="s">
        <v>1069</v>
      </c>
      <c r="Z62" t="e">
        <f t="shared" si="0"/>
        <v>#VALUE!</v>
      </c>
      <c r="AA62">
        <f t="shared" si="1"/>
        <v>1523.2</v>
      </c>
      <c r="AB62" t="e">
        <f t="shared" si="2"/>
        <v>#VALUE!</v>
      </c>
      <c r="AC62" t="e">
        <f t="shared" si="3"/>
        <v>#VALUE!</v>
      </c>
      <c r="AD62" t="e">
        <f t="shared" si="4"/>
        <v>#VALUE!</v>
      </c>
      <c r="AE62" t="e">
        <f t="shared" si="5"/>
        <v>#VALUE!</v>
      </c>
      <c r="AF62" t="e">
        <f t="shared" si="6"/>
        <v>#VALUE!</v>
      </c>
      <c r="AG62" t="e">
        <f t="shared" si="7"/>
        <v>#VALUE!</v>
      </c>
    </row>
    <row r="63" spans="14:33" ht="42" thickBot="1" x14ac:dyDescent="0.3">
      <c r="N63" s="39" t="s">
        <v>990</v>
      </c>
      <c r="O63" s="39" t="s">
        <v>2382</v>
      </c>
      <c r="P63" s="39" t="s">
        <v>2908</v>
      </c>
      <c r="Q63" s="39" t="s">
        <v>2908</v>
      </c>
      <c r="R63" s="39" t="s">
        <v>2908</v>
      </c>
      <c r="S63" s="39" t="s">
        <v>2908</v>
      </c>
      <c r="T63" s="39" t="s">
        <v>2908</v>
      </c>
      <c r="U63" s="39" t="s">
        <v>2908</v>
      </c>
      <c r="V63" s="39" t="s">
        <v>2908</v>
      </c>
      <c r="W63" s="39" t="s">
        <v>2908</v>
      </c>
      <c r="X63" s="39" t="s">
        <v>2908</v>
      </c>
      <c r="Z63" t="e">
        <f t="shared" si="0"/>
        <v>#VALUE!</v>
      </c>
      <c r="AA63" t="e">
        <f t="shared" si="1"/>
        <v>#VALUE!</v>
      </c>
      <c r="AB63" t="e">
        <f t="shared" si="2"/>
        <v>#VALUE!</v>
      </c>
      <c r="AC63" t="e">
        <f t="shared" si="3"/>
        <v>#VALUE!</v>
      </c>
      <c r="AD63" t="e">
        <f t="shared" si="4"/>
        <v>#VALUE!</v>
      </c>
      <c r="AE63" t="e">
        <f t="shared" si="5"/>
        <v>#VALUE!</v>
      </c>
      <c r="AF63" t="e">
        <f t="shared" si="6"/>
        <v>#VALUE!</v>
      </c>
      <c r="AG63" t="e">
        <f t="shared" si="7"/>
        <v>#VALUE!</v>
      </c>
    </row>
    <row r="64" spans="14:33" ht="42" thickBot="1" x14ac:dyDescent="0.3">
      <c r="N64" s="39" t="s">
        <v>1311</v>
      </c>
      <c r="O64" s="39" t="s">
        <v>2393</v>
      </c>
      <c r="P64" s="39" t="s">
        <v>2908</v>
      </c>
      <c r="Q64" s="39" t="s">
        <v>2908</v>
      </c>
      <c r="R64" s="39" t="s">
        <v>2908</v>
      </c>
      <c r="S64" s="39" t="s">
        <v>2908</v>
      </c>
      <c r="T64" s="39" t="s">
        <v>2908</v>
      </c>
      <c r="U64" s="39" t="s">
        <v>2908</v>
      </c>
      <c r="V64" s="39" t="s">
        <v>2908</v>
      </c>
      <c r="W64" s="39" t="s">
        <v>2908</v>
      </c>
      <c r="X64" s="39" t="s">
        <v>2908</v>
      </c>
      <c r="Z64" t="e">
        <f t="shared" si="0"/>
        <v>#VALUE!</v>
      </c>
      <c r="AA64" t="e">
        <f t="shared" si="1"/>
        <v>#VALUE!</v>
      </c>
      <c r="AB64" t="e">
        <f t="shared" si="2"/>
        <v>#VALUE!</v>
      </c>
      <c r="AC64" t="e">
        <f t="shared" si="3"/>
        <v>#VALUE!</v>
      </c>
      <c r="AD64" t="e">
        <f t="shared" si="4"/>
        <v>#VALUE!</v>
      </c>
      <c r="AE64" t="e">
        <f t="shared" si="5"/>
        <v>#VALUE!</v>
      </c>
      <c r="AF64" t="e">
        <f t="shared" si="6"/>
        <v>#VALUE!</v>
      </c>
      <c r="AG64" t="e">
        <f t="shared" si="7"/>
        <v>#VALUE!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E795-37F0-4CF0-AACD-72CEF71037D2}">
  <dimension ref="A1:U64"/>
  <sheetViews>
    <sheetView workbookViewId="0">
      <selection activeCell="R2" sqref="R2:T64"/>
    </sheetView>
  </sheetViews>
  <sheetFormatPr defaultRowHeight="13.8" x14ac:dyDescent="0.25"/>
  <sheetData>
    <row r="1" spans="1:21" ht="83.4" thickBot="1" x14ac:dyDescent="0.3">
      <c r="A1" s="6" t="s">
        <v>1103</v>
      </c>
      <c r="B1" s="6" t="s">
        <v>1104</v>
      </c>
      <c r="C1" s="6" t="s">
        <v>1105</v>
      </c>
      <c r="D1" s="6" t="s">
        <v>1106</v>
      </c>
      <c r="E1" s="6" t="s">
        <v>1107</v>
      </c>
      <c r="F1" s="6" t="s">
        <v>1108</v>
      </c>
      <c r="I1" s="38" t="s">
        <v>7789</v>
      </c>
      <c r="J1" s="38" t="s">
        <v>7790</v>
      </c>
      <c r="K1" s="38" t="s">
        <v>6232</v>
      </c>
      <c r="L1" s="38" t="s">
        <v>8112</v>
      </c>
      <c r="M1" s="38" t="s">
        <v>8113</v>
      </c>
      <c r="N1" s="38" t="s">
        <v>8114</v>
      </c>
      <c r="O1" s="38" t="s">
        <v>8115</v>
      </c>
    </row>
    <row r="2" spans="1:21" ht="42" thickBot="1" x14ac:dyDescent="0.3">
      <c r="A2" s="6" t="s">
        <v>905</v>
      </c>
      <c r="B2" s="6" t="s">
        <v>1109</v>
      </c>
      <c r="C2" s="6">
        <v>84503</v>
      </c>
      <c r="D2" s="6">
        <v>121499</v>
      </c>
      <c r="E2" s="6">
        <v>111532</v>
      </c>
      <c r="F2" s="6">
        <v>105845</v>
      </c>
      <c r="I2" s="39" t="s">
        <v>689</v>
      </c>
      <c r="J2" s="39" t="s">
        <v>2017</v>
      </c>
      <c r="K2" s="39">
        <v>55</v>
      </c>
      <c r="L2" s="42">
        <v>84503</v>
      </c>
      <c r="M2" s="42">
        <v>121499</v>
      </c>
      <c r="N2" s="42">
        <v>111532</v>
      </c>
      <c r="O2" s="42">
        <v>105845</v>
      </c>
      <c r="R2">
        <f>K2*L2</f>
        <v>4647665</v>
      </c>
      <c r="S2">
        <f>M2*K2</f>
        <v>6682445</v>
      </c>
      <c r="T2">
        <f>N2*K2</f>
        <v>6134260</v>
      </c>
      <c r="U2">
        <f>O2*K2</f>
        <v>5821475</v>
      </c>
    </row>
    <row r="3" spans="1:21" ht="69.599999999999994" thickBot="1" x14ac:dyDescent="0.3">
      <c r="A3" s="6" t="s">
        <v>1110</v>
      </c>
      <c r="B3" s="6" t="s">
        <v>1111</v>
      </c>
      <c r="C3" s="6">
        <v>3890</v>
      </c>
      <c r="D3" s="6">
        <v>5580</v>
      </c>
      <c r="E3" s="6">
        <v>5247</v>
      </c>
      <c r="F3" s="6">
        <v>4906</v>
      </c>
      <c r="I3" s="39" t="s">
        <v>7855</v>
      </c>
      <c r="J3" s="39" t="s">
        <v>7856</v>
      </c>
      <c r="K3" s="39">
        <v>7</v>
      </c>
      <c r="L3" s="39">
        <v>864</v>
      </c>
      <c r="M3" s="39">
        <v>376</v>
      </c>
      <c r="N3" s="39">
        <v>408</v>
      </c>
      <c r="O3" s="39">
        <v>549</v>
      </c>
      <c r="R3">
        <f t="shared" ref="R3:R64" si="0">K3*L3</f>
        <v>6048</v>
      </c>
      <c r="S3">
        <f t="shared" ref="S3:S64" si="1">M3*K3</f>
        <v>2632</v>
      </c>
      <c r="T3">
        <f t="shared" ref="T3:T64" si="2">N3*K3</f>
        <v>2856</v>
      </c>
      <c r="U3">
        <f t="shared" ref="U3:U64" si="3">O3*K3</f>
        <v>3843</v>
      </c>
    </row>
    <row r="4" spans="1:21" ht="42" thickBot="1" x14ac:dyDescent="0.3">
      <c r="A4" s="6" t="s">
        <v>1112</v>
      </c>
      <c r="B4" s="6" t="s">
        <v>1113</v>
      </c>
      <c r="C4" s="6">
        <v>1792</v>
      </c>
      <c r="D4" s="6">
        <v>3162</v>
      </c>
      <c r="E4" s="6">
        <v>1306</v>
      </c>
      <c r="F4" s="6">
        <v>2087</v>
      </c>
      <c r="I4" s="39" t="s">
        <v>693</v>
      </c>
      <c r="J4" s="39" t="s">
        <v>2018</v>
      </c>
      <c r="K4" s="39">
        <v>82</v>
      </c>
      <c r="L4" s="42">
        <v>3890</v>
      </c>
      <c r="M4" s="42">
        <v>5580</v>
      </c>
      <c r="N4" s="42">
        <v>5247</v>
      </c>
      <c r="O4" s="42">
        <v>4906</v>
      </c>
      <c r="R4">
        <f t="shared" si="0"/>
        <v>318980</v>
      </c>
      <c r="S4">
        <f t="shared" si="1"/>
        <v>457560</v>
      </c>
      <c r="T4">
        <f t="shared" si="2"/>
        <v>430254</v>
      </c>
      <c r="U4">
        <f t="shared" si="3"/>
        <v>402292</v>
      </c>
    </row>
    <row r="5" spans="1:21" ht="42" thickBot="1" x14ac:dyDescent="0.3">
      <c r="A5" s="6" t="s">
        <v>1114</v>
      </c>
      <c r="B5" s="6" t="s">
        <v>1115</v>
      </c>
      <c r="C5" s="6">
        <v>892</v>
      </c>
      <c r="D5" s="6">
        <v>1254</v>
      </c>
      <c r="E5" s="6">
        <v>1401</v>
      </c>
      <c r="F5" s="6">
        <v>1182</v>
      </c>
      <c r="I5" s="39" t="s">
        <v>721</v>
      </c>
      <c r="J5" s="39" t="s">
        <v>2022</v>
      </c>
      <c r="K5" s="39">
        <v>32600</v>
      </c>
      <c r="L5" s="39">
        <v>112</v>
      </c>
      <c r="M5" s="39">
        <v>97</v>
      </c>
      <c r="N5" s="39">
        <v>143</v>
      </c>
      <c r="O5" s="39">
        <v>117</v>
      </c>
      <c r="R5">
        <f t="shared" si="0"/>
        <v>3651200</v>
      </c>
      <c r="S5">
        <f t="shared" si="1"/>
        <v>3162200</v>
      </c>
      <c r="T5">
        <f t="shared" si="2"/>
        <v>4661800</v>
      </c>
      <c r="U5">
        <f t="shared" si="3"/>
        <v>3814200</v>
      </c>
    </row>
    <row r="6" spans="1:21" ht="42" thickBot="1" x14ac:dyDescent="0.3">
      <c r="A6" s="6" t="s">
        <v>987</v>
      </c>
      <c r="B6" s="6" t="s">
        <v>1116</v>
      </c>
      <c r="C6" s="6">
        <v>1022</v>
      </c>
      <c r="D6" s="6">
        <v>1158</v>
      </c>
      <c r="E6" s="6">
        <v>937</v>
      </c>
      <c r="F6" s="6">
        <v>1039</v>
      </c>
      <c r="I6" s="39" t="s">
        <v>733</v>
      </c>
      <c r="J6" s="39" t="s">
        <v>2023</v>
      </c>
      <c r="K6" s="39">
        <v>13</v>
      </c>
      <c r="L6" s="42">
        <v>1022</v>
      </c>
      <c r="M6" s="42">
        <v>1158</v>
      </c>
      <c r="N6" s="39">
        <v>937</v>
      </c>
      <c r="O6" s="42">
        <v>1039</v>
      </c>
      <c r="R6">
        <f t="shared" si="0"/>
        <v>13286</v>
      </c>
      <c r="S6">
        <f t="shared" si="1"/>
        <v>15054</v>
      </c>
      <c r="T6">
        <f t="shared" si="2"/>
        <v>12181</v>
      </c>
      <c r="U6">
        <f t="shared" si="3"/>
        <v>13507</v>
      </c>
    </row>
    <row r="7" spans="1:21" ht="42" thickBot="1" x14ac:dyDescent="0.3">
      <c r="A7" s="6" t="s">
        <v>1117</v>
      </c>
      <c r="B7" s="6" t="s">
        <v>1118</v>
      </c>
      <c r="C7" s="6">
        <v>864</v>
      </c>
      <c r="D7" s="6">
        <v>376</v>
      </c>
      <c r="E7" s="6">
        <v>408</v>
      </c>
      <c r="F7" s="6">
        <v>549</v>
      </c>
      <c r="I7" s="39" t="s">
        <v>697</v>
      </c>
      <c r="J7" s="39" t="s">
        <v>2019</v>
      </c>
      <c r="K7" s="39">
        <v>27</v>
      </c>
      <c r="L7" s="42">
        <v>1792</v>
      </c>
      <c r="M7" s="42">
        <v>3162</v>
      </c>
      <c r="N7" s="42">
        <v>1306</v>
      </c>
      <c r="O7" s="42">
        <v>2087</v>
      </c>
      <c r="R7">
        <f t="shared" si="0"/>
        <v>48384</v>
      </c>
      <c r="S7">
        <f t="shared" si="1"/>
        <v>85374</v>
      </c>
      <c r="T7">
        <f t="shared" si="2"/>
        <v>35262</v>
      </c>
      <c r="U7">
        <f t="shared" si="3"/>
        <v>56349</v>
      </c>
    </row>
    <row r="8" spans="1:21" ht="46.2" thickBot="1" x14ac:dyDescent="0.3">
      <c r="A8" s="6" t="s">
        <v>1119</v>
      </c>
      <c r="B8" s="6" t="s">
        <v>1120</v>
      </c>
      <c r="C8" s="6">
        <v>423</v>
      </c>
      <c r="D8" s="6">
        <v>412</v>
      </c>
      <c r="E8" s="6">
        <v>452</v>
      </c>
      <c r="F8" s="6">
        <v>429</v>
      </c>
      <c r="I8" s="39" t="s">
        <v>967</v>
      </c>
      <c r="J8" s="39" t="s">
        <v>2178</v>
      </c>
      <c r="K8" s="39">
        <v>13200</v>
      </c>
      <c r="L8" s="39">
        <v>2</v>
      </c>
      <c r="M8" s="39">
        <v>2</v>
      </c>
      <c r="N8" s="39">
        <v>1</v>
      </c>
      <c r="O8" s="39">
        <v>2</v>
      </c>
      <c r="R8">
        <f t="shared" si="0"/>
        <v>26400</v>
      </c>
      <c r="S8">
        <f t="shared" si="1"/>
        <v>26400</v>
      </c>
      <c r="T8">
        <f t="shared" si="2"/>
        <v>13200</v>
      </c>
      <c r="U8">
        <f t="shared" si="3"/>
        <v>26400</v>
      </c>
    </row>
    <row r="9" spans="1:21" ht="28.2" thickBot="1" x14ac:dyDescent="0.3">
      <c r="A9" s="6" t="s">
        <v>1032</v>
      </c>
      <c r="B9" s="6" t="s">
        <v>1121</v>
      </c>
      <c r="C9" s="6">
        <v>143</v>
      </c>
      <c r="D9" s="6">
        <v>183</v>
      </c>
      <c r="E9" s="6">
        <v>150</v>
      </c>
      <c r="F9" s="6">
        <v>158</v>
      </c>
      <c r="I9" s="39" t="s">
        <v>908</v>
      </c>
      <c r="J9" s="39" t="s">
        <v>2898</v>
      </c>
      <c r="K9" s="39">
        <v>128000</v>
      </c>
      <c r="L9" s="39">
        <v>15</v>
      </c>
      <c r="M9" s="39">
        <v>14</v>
      </c>
      <c r="N9" s="39">
        <v>13</v>
      </c>
      <c r="O9" s="39">
        <v>14</v>
      </c>
      <c r="R9">
        <f t="shared" si="0"/>
        <v>1920000</v>
      </c>
      <c r="S9">
        <f t="shared" si="1"/>
        <v>1792000</v>
      </c>
      <c r="T9">
        <f t="shared" si="2"/>
        <v>1664000</v>
      </c>
      <c r="U9">
        <f t="shared" si="3"/>
        <v>1792000</v>
      </c>
    </row>
    <row r="10" spans="1:21" ht="97.2" thickBot="1" x14ac:dyDescent="0.3">
      <c r="A10" s="6" t="s">
        <v>1122</v>
      </c>
      <c r="B10" s="6" t="s">
        <v>1123</v>
      </c>
      <c r="C10" s="6">
        <v>131</v>
      </c>
      <c r="D10" s="6">
        <v>167</v>
      </c>
      <c r="E10" s="6">
        <v>150</v>
      </c>
      <c r="F10" s="6">
        <v>149</v>
      </c>
      <c r="I10" s="39" t="s">
        <v>1155</v>
      </c>
      <c r="J10" s="39" t="s">
        <v>2909</v>
      </c>
      <c r="K10" s="39">
        <v>45953.66</v>
      </c>
      <c r="L10" s="39" t="s">
        <v>1069</v>
      </c>
      <c r="M10" s="39" t="s">
        <v>1069</v>
      </c>
      <c r="N10" s="39" t="s">
        <v>1069</v>
      </c>
      <c r="O10" s="39" t="s">
        <v>1069</v>
      </c>
      <c r="R10" t="e">
        <f t="shared" si="0"/>
        <v>#VALUE!</v>
      </c>
      <c r="S10" t="e">
        <f t="shared" si="1"/>
        <v>#VALUE!</v>
      </c>
      <c r="T10" t="e">
        <f t="shared" si="2"/>
        <v>#VALUE!</v>
      </c>
      <c r="U10" t="e">
        <f t="shared" si="3"/>
        <v>#VALUE!</v>
      </c>
    </row>
    <row r="11" spans="1:21" ht="69.599999999999994" thickBot="1" x14ac:dyDescent="0.3">
      <c r="A11" s="6" t="s">
        <v>721</v>
      </c>
      <c r="B11" s="6" t="s">
        <v>1124</v>
      </c>
      <c r="C11" s="6">
        <v>112</v>
      </c>
      <c r="D11" s="6">
        <v>97</v>
      </c>
      <c r="E11" s="6">
        <v>143</v>
      </c>
      <c r="F11" s="6">
        <v>117</v>
      </c>
      <c r="I11" s="39" t="s">
        <v>7859</v>
      </c>
      <c r="J11" s="39" t="s">
        <v>2910</v>
      </c>
      <c r="K11" s="39" t="s">
        <v>2908</v>
      </c>
      <c r="L11" s="39" t="s">
        <v>2908</v>
      </c>
      <c r="M11" s="39" t="s">
        <v>2908</v>
      </c>
      <c r="N11" s="39" t="s">
        <v>2908</v>
      </c>
      <c r="O11" s="39" t="s">
        <v>2908</v>
      </c>
      <c r="R11" t="e">
        <f t="shared" si="0"/>
        <v>#VALUE!</v>
      </c>
      <c r="S11" t="e">
        <f t="shared" si="1"/>
        <v>#VALUE!</v>
      </c>
      <c r="T11" t="e">
        <f t="shared" si="2"/>
        <v>#VALUE!</v>
      </c>
      <c r="U11" t="e">
        <f t="shared" si="3"/>
        <v>#VALUE!</v>
      </c>
    </row>
    <row r="12" spans="1:21" ht="42" thickBot="1" x14ac:dyDescent="0.3">
      <c r="A12" s="6" t="s">
        <v>1125</v>
      </c>
      <c r="B12" s="6" t="s">
        <v>1126</v>
      </c>
      <c r="C12" s="6">
        <v>95</v>
      </c>
      <c r="D12" s="6">
        <v>114</v>
      </c>
      <c r="E12" s="6">
        <v>76</v>
      </c>
      <c r="F12" s="6">
        <v>95</v>
      </c>
      <c r="I12" s="39" t="s">
        <v>709</v>
      </c>
      <c r="J12" s="39" t="s">
        <v>2911</v>
      </c>
      <c r="K12" s="39" t="s">
        <v>2908</v>
      </c>
      <c r="L12" s="39" t="s">
        <v>2908</v>
      </c>
      <c r="M12" s="39" t="s">
        <v>2908</v>
      </c>
      <c r="N12" s="39" t="s">
        <v>2908</v>
      </c>
      <c r="O12" s="39" t="s">
        <v>2908</v>
      </c>
      <c r="R12" t="e">
        <f t="shared" si="0"/>
        <v>#VALUE!</v>
      </c>
      <c r="S12" t="e">
        <f t="shared" si="1"/>
        <v>#VALUE!</v>
      </c>
      <c r="T12" t="e">
        <f t="shared" si="2"/>
        <v>#VALUE!</v>
      </c>
      <c r="U12" t="e">
        <f t="shared" si="3"/>
        <v>#VALUE!</v>
      </c>
    </row>
    <row r="13" spans="1:21" ht="97.2" thickBot="1" x14ac:dyDescent="0.3">
      <c r="A13" s="6" t="s">
        <v>1127</v>
      </c>
      <c r="B13" s="6" t="s">
        <v>1128</v>
      </c>
      <c r="C13" s="6">
        <v>83</v>
      </c>
      <c r="D13" s="6">
        <v>86</v>
      </c>
      <c r="E13" s="6">
        <v>94</v>
      </c>
      <c r="F13" s="6">
        <v>88</v>
      </c>
      <c r="I13" s="39" t="s">
        <v>7860</v>
      </c>
      <c r="J13" s="39" t="s">
        <v>7861</v>
      </c>
      <c r="K13" s="39" t="s">
        <v>2908</v>
      </c>
      <c r="L13" s="39" t="s">
        <v>2908</v>
      </c>
      <c r="M13" s="39" t="s">
        <v>2908</v>
      </c>
      <c r="N13" s="39" t="s">
        <v>2908</v>
      </c>
      <c r="O13" s="39" t="s">
        <v>2908</v>
      </c>
      <c r="R13" t="e">
        <f t="shared" si="0"/>
        <v>#VALUE!</v>
      </c>
      <c r="S13" t="e">
        <f t="shared" si="1"/>
        <v>#VALUE!</v>
      </c>
      <c r="T13" t="e">
        <f t="shared" si="2"/>
        <v>#VALUE!</v>
      </c>
      <c r="U13" t="e">
        <f t="shared" si="3"/>
        <v>#VALUE!</v>
      </c>
    </row>
    <row r="14" spans="1:21" ht="42" thickBot="1" x14ac:dyDescent="0.3">
      <c r="A14" s="6" t="s">
        <v>745</v>
      </c>
      <c r="B14" s="6" t="s">
        <v>746</v>
      </c>
      <c r="C14" s="6">
        <v>74</v>
      </c>
      <c r="D14" s="6">
        <v>58</v>
      </c>
      <c r="E14" s="6">
        <v>45</v>
      </c>
      <c r="F14" s="6">
        <v>59</v>
      </c>
      <c r="I14" s="39" t="s">
        <v>749</v>
      </c>
      <c r="J14" s="39" t="s">
        <v>2913</v>
      </c>
      <c r="K14" s="39" t="s">
        <v>2908</v>
      </c>
      <c r="L14" s="39" t="s">
        <v>2908</v>
      </c>
      <c r="M14" s="39" t="s">
        <v>2908</v>
      </c>
      <c r="N14" s="39" t="s">
        <v>2908</v>
      </c>
      <c r="O14" s="39" t="s">
        <v>2908</v>
      </c>
      <c r="R14" t="e">
        <f t="shared" si="0"/>
        <v>#VALUE!</v>
      </c>
      <c r="S14" t="e">
        <f t="shared" si="1"/>
        <v>#VALUE!</v>
      </c>
      <c r="T14" t="e">
        <f t="shared" si="2"/>
        <v>#VALUE!</v>
      </c>
      <c r="U14" t="e">
        <f t="shared" si="3"/>
        <v>#VALUE!</v>
      </c>
    </row>
    <row r="15" spans="1:21" ht="42" thickBot="1" x14ac:dyDescent="0.3">
      <c r="A15" s="6" t="s">
        <v>741</v>
      </c>
      <c r="B15" s="6" t="s">
        <v>1129</v>
      </c>
      <c r="C15" s="6">
        <v>17</v>
      </c>
      <c r="D15" s="6">
        <v>48</v>
      </c>
      <c r="E15" s="6">
        <v>41</v>
      </c>
      <c r="F15" s="6">
        <v>35</v>
      </c>
      <c r="I15" s="39" t="s">
        <v>970</v>
      </c>
      <c r="J15" s="39" t="s">
        <v>2173</v>
      </c>
      <c r="K15" s="39">
        <v>1890</v>
      </c>
      <c r="L15" s="39">
        <v>5</v>
      </c>
      <c r="M15" s="39">
        <v>6</v>
      </c>
      <c r="N15" s="39">
        <v>3</v>
      </c>
      <c r="O15" s="39">
        <v>4</v>
      </c>
      <c r="R15">
        <f t="shared" si="0"/>
        <v>9450</v>
      </c>
      <c r="S15">
        <f t="shared" si="1"/>
        <v>11340</v>
      </c>
      <c r="T15">
        <f t="shared" si="2"/>
        <v>5670</v>
      </c>
      <c r="U15">
        <f t="shared" si="3"/>
        <v>7560</v>
      </c>
    </row>
    <row r="16" spans="1:21" ht="42" thickBot="1" x14ac:dyDescent="0.3">
      <c r="A16" s="6" t="s">
        <v>765</v>
      </c>
      <c r="B16" s="6" t="s">
        <v>1130</v>
      </c>
      <c r="C16" s="6">
        <v>9</v>
      </c>
      <c r="D16" s="6">
        <v>14</v>
      </c>
      <c r="E16" s="6">
        <v>15</v>
      </c>
      <c r="F16" s="6">
        <v>13</v>
      </c>
      <c r="I16" s="39" t="s">
        <v>793</v>
      </c>
      <c r="J16" s="39" t="s">
        <v>2914</v>
      </c>
      <c r="K16" s="39">
        <v>5250.31</v>
      </c>
      <c r="L16" s="39">
        <v>2</v>
      </c>
      <c r="M16" s="39">
        <v>3</v>
      </c>
      <c r="N16" s="39">
        <v>2</v>
      </c>
      <c r="O16" s="39">
        <v>2</v>
      </c>
      <c r="R16">
        <f t="shared" si="0"/>
        <v>10500.62</v>
      </c>
      <c r="S16">
        <f t="shared" si="1"/>
        <v>15750.93</v>
      </c>
      <c r="T16">
        <f t="shared" si="2"/>
        <v>10500.62</v>
      </c>
      <c r="U16">
        <f t="shared" si="3"/>
        <v>10500.62</v>
      </c>
    </row>
    <row r="17" spans="1:21" ht="69.599999999999994" thickBot="1" x14ac:dyDescent="0.3">
      <c r="A17" s="6" t="s">
        <v>908</v>
      </c>
      <c r="B17" s="6" t="s">
        <v>1131</v>
      </c>
      <c r="C17" s="6">
        <v>15</v>
      </c>
      <c r="D17" s="6">
        <v>14</v>
      </c>
      <c r="E17" s="6">
        <v>13</v>
      </c>
      <c r="F17" s="6">
        <v>14</v>
      </c>
      <c r="I17" s="39" t="s">
        <v>789</v>
      </c>
      <c r="J17" s="39" t="s">
        <v>2029</v>
      </c>
      <c r="K17" s="39">
        <v>125</v>
      </c>
      <c r="L17" s="39">
        <v>2</v>
      </c>
      <c r="M17" s="39">
        <v>8</v>
      </c>
      <c r="N17" s="39">
        <v>6</v>
      </c>
      <c r="O17" s="39">
        <v>5</v>
      </c>
      <c r="R17">
        <f t="shared" si="0"/>
        <v>250</v>
      </c>
      <c r="S17">
        <f t="shared" si="1"/>
        <v>1000</v>
      </c>
      <c r="T17">
        <f t="shared" si="2"/>
        <v>750</v>
      </c>
      <c r="U17">
        <f t="shared" si="3"/>
        <v>625</v>
      </c>
    </row>
    <row r="18" spans="1:21" ht="55.8" thickBot="1" x14ac:dyDescent="0.3">
      <c r="A18" s="6" t="s">
        <v>1132</v>
      </c>
      <c r="B18" s="6" t="s">
        <v>1133</v>
      </c>
      <c r="C18" s="6">
        <v>2</v>
      </c>
      <c r="D18" s="6">
        <v>8</v>
      </c>
      <c r="E18" s="6">
        <v>6</v>
      </c>
      <c r="F18" s="6">
        <v>5</v>
      </c>
      <c r="I18" s="39" t="s">
        <v>785</v>
      </c>
      <c r="J18" s="39" t="s">
        <v>2028</v>
      </c>
      <c r="K18" s="39">
        <v>407</v>
      </c>
      <c r="L18" s="39">
        <v>1</v>
      </c>
      <c r="M18" s="39">
        <v>5</v>
      </c>
      <c r="N18" s="39">
        <v>4</v>
      </c>
      <c r="O18" s="39">
        <v>4</v>
      </c>
      <c r="R18">
        <f t="shared" si="0"/>
        <v>407</v>
      </c>
      <c r="S18">
        <f t="shared" si="1"/>
        <v>2035</v>
      </c>
      <c r="T18">
        <f t="shared" si="2"/>
        <v>1628</v>
      </c>
      <c r="U18">
        <f t="shared" si="3"/>
        <v>1628</v>
      </c>
    </row>
    <row r="19" spans="1:21" ht="55.8" thickBot="1" x14ac:dyDescent="0.3">
      <c r="A19" s="6" t="s">
        <v>1029</v>
      </c>
      <c r="B19" s="6" t="s">
        <v>1134</v>
      </c>
      <c r="C19" s="6">
        <v>5</v>
      </c>
      <c r="D19" s="6">
        <v>5</v>
      </c>
      <c r="E19" s="6">
        <v>6</v>
      </c>
      <c r="F19" s="6">
        <v>5</v>
      </c>
      <c r="I19" s="39" t="s">
        <v>741</v>
      </c>
      <c r="J19" s="39" t="s">
        <v>2915</v>
      </c>
      <c r="K19" s="39">
        <v>94</v>
      </c>
      <c r="L19" s="39">
        <v>17</v>
      </c>
      <c r="M19" s="39">
        <v>48</v>
      </c>
      <c r="N19" s="39">
        <v>41</v>
      </c>
      <c r="O19" s="39">
        <v>35</v>
      </c>
      <c r="R19">
        <f t="shared" si="0"/>
        <v>1598</v>
      </c>
      <c r="S19">
        <f t="shared" si="1"/>
        <v>4512</v>
      </c>
      <c r="T19">
        <f t="shared" si="2"/>
        <v>3854</v>
      </c>
      <c r="U19">
        <f t="shared" si="3"/>
        <v>3290</v>
      </c>
    </row>
    <row r="20" spans="1:21" ht="42" thickBot="1" x14ac:dyDescent="0.3">
      <c r="A20" s="6" t="s">
        <v>970</v>
      </c>
      <c r="B20" s="6" t="s">
        <v>1135</v>
      </c>
      <c r="C20" s="6">
        <v>5</v>
      </c>
      <c r="D20" s="6">
        <v>6</v>
      </c>
      <c r="E20" s="6">
        <v>3</v>
      </c>
      <c r="F20" s="6">
        <v>4</v>
      </c>
      <c r="I20" s="39" t="s">
        <v>913</v>
      </c>
      <c r="J20" s="39" t="s">
        <v>2318</v>
      </c>
      <c r="K20" s="39" t="s">
        <v>1165</v>
      </c>
      <c r="L20" s="39" t="s">
        <v>1165</v>
      </c>
      <c r="M20" s="39" t="s">
        <v>1165</v>
      </c>
      <c r="N20" s="39" t="s">
        <v>1165</v>
      </c>
      <c r="O20" s="39" t="s">
        <v>1165</v>
      </c>
      <c r="R20" t="e">
        <f t="shared" si="0"/>
        <v>#VALUE!</v>
      </c>
      <c r="S20" t="e">
        <f t="shared" si="1"/>
        <v>#VALUE!</v>
      </c>
      <c r="T20" t="e">
        <f t="shared" si="2"/>
        <v>#VALUE!</v>
      </c>
      <c r="U20" t="e">
        <f t="shared" si="3"/>
        <v>#VALUE!</v>
      </c>
    </row>
    <row r="21" spans="1:21" ht="55.8" thickBot="1" x14ac:dyDescent="0.3">
      <c r="A21" s="6" t="s">
        <v>785</v>
      </c>
      <c r="B21" s="6" t="s">
        <v>1136</v>
      </c>
      <c r="C21" s="6">
        <v>1</v>
      </c>
      <c r="D21" s="6">
        <v>5</v>
      </c>
      <c r="E21" s="6">
        <v>4</v>
      </c>
      <c r="F21" s="6">
        <v>4</v>
      </c>
      <c r="I21" s="39" t="s">
        <v>977</v>
      </c>
      <c r="J21" s="39" t="s">
        <v>2362</v>
      </c>
      <c r="K21" s="39" t="s">
        <v>2908</v>
      </c>
      <c r="L21" s="39" t="s">
        <v>2908</v>
      </c>
      <c r="M21" s="39" t="s">
        <v>2908</v>
      </c>
      <c r="N21" s="39" t="s">
        <v>2908</v>
      </c>
      <c r="O21" s="39" t="s">
        <v>2908</v>
      </c>
      <c r="R21" t="e">
        <f t="shared" si="0"/>
        <v>#VALUE!</v>
      </c>
      <c r="S21" t="e">
        <f t="shared" si="1"/>
        <v>#VALUE!</v>
      </c>
      <c r="T21" t="e">
        <f t="shared" si="2"/>
        <v>#VALUE!</v>
      </c>
      <c r="U21" t="e">
        <f t="shared" si="3"/>
        <v>#VALUE!</v>
      </c>
    </row>
    <row r="22" spans="1:21" ht="42" thickBot="1" x14ac:dyDescent="0.3">
      <c r="A22" s="6" t="s">
        <v>1137</v>
      </c>
      <c r="B22" s="6" t="s">
        <v>1138</v>
      </c>
      <c r="C22" s="6">
        <v>3</v>
      </c>
      <c r="D22" s="6">
        <v>5</v>
      </c>
      <c r="E22" s="6">
        <v>1</v>
      </c>
      <c r="F22" s="6">
        <v>3</v>
      </c>
      <c r="I22" s="39" t="s">
        <v>745</v>
      </c>
      <c r="J22" s="39" t="s">
        <v>2025</v>
      </c>
      <c r="K22" s="39">
        <v>2730</v>
      </c>
      <c r="L22" s="39">
        <v>74</v>
      </c>
      <c r="M22" s="39">
        <v>58</v>
      </c>
      <c r="N22" s="39">
        <v>45</v>
      </c>
      <c r="O22" s="39">
        <v>59</v>
      </c>
      <c r="R22">
        <f t="shared" si="0"/>
        <v>202020</v>
      </c>
      <c r="S22">
        <f t="shared" si="1"/>
        <v>158340</v>
      </c>
      <c r="T22">
        <f t="shared" si="2"/>
        <v>122850</v>
      </c>
      <c r="U22">
        <f t="shared" si="3"/>
        <v>161070</v>
      </c>
    </row>
    <row r="23" spans="1:21" ht="42" thickBot="1" x14ac:dyDescent="0.3">
      <c r="A23" s="6" t="s">
        <v>978</v>
      </c>
      <c r="B23" s="6" t="s">
        <v>1139</v>
      </c>
      <c r="C23" s="6">
        <v>2</v>
      </c>
      <c r="D23" s="6">
        <v>4</v>
      </c>
      <c r="E23" s="6">
        <v>3</v>
      </c>
      <c r="F23" s="6">
        <v>3</v>
      </c>
      <c r="I23" s="39" t="s">
        <v>765</v>
      </c>
      <c r="J23" s="39" t="s">
        <v>2916</v>
      </c>
      <c r="K23" s="39">
        <v>5370</v>
      </c>
      <c r="L23" s="39">
        <v>9</v>
      </c>
      <c r="M23" s="39">
        <v>14</v>
      </c>
      <c r="N23" s="39">
        <v>15</v>
      </c>
      <c r="O23" s="39">
        <v>13</v>
      </c>
      <c r="R23">
        <f t="shared" si="0"/>
        <v>48330</v>
      </c>
      <c r="S23">
        <f t="shared" si="1"/>
        <v>75180</v>
      </c>
      <c r="T23">
        <f t="shared" si="2"/>
        <v>80550</v>
      </c>
      <c r="U23">
        <f t="shared" si="3"/>
        <v>69810</v>
      </c>
    </row>
    <row r="24" spans="1:21" ht="69.599999999999994" thickBot="1" x14ac:dyDescent="0.3">
      <c r="A24" s="6" t="s">
        <v>1140</v>
      </c>
      <c r="B24" s="6" t="s">
        <v>1141</v>
      </c>
      <c r="C24" s="6">
        <v>2</v>
      </c>
      <c r="D24" s="6">
        <v>3</v>
      </c>
      <c r="E24" s="6">
        <v>1</v>
      </c>
      <c r="F24" s="6">
        <v>2</v>
      </c>
      <c r="I24" s="39" t="s">
        <v>769</v>
      </c>
      <c r="J24" s="39" t="s">
        <v>7862</v>
      </c>
      <c r="K24" s="39">
        <v>16.5</v>
      </c>
      <c r="L24" s="39">
        <v>423</v>
      </c>
      <c r="M24" s="39">
        <v>412</v>
      </c>
      <c r="N24" s="39">
        <v>452</v>
      </c>
      <c r="O24" s="39">
        <v>429</v>
      </c>
      <c r="R24">
        <f t="shared" si="0"/>
        <v>6979.5</v>
      </c>
      <c r="S24">
        <f t="shared" si="1"/>
        <v>6798</v>
      </c>
      <c r="T24">
        <f t="shared" si="2"/>
        <v>7458</v>
      </c>
      <c r="U24">
        <f t="shared" si="3"/>
        <v>7078.5</v>
      </c>
    </row>
    <row r="25" spans="1:21" ht="42" thickBot="1" x14ac:dyDescent="0.3">
      <c r="A25" s="6" t="s">
        <v>793</v>
      </c>
      <c r="B25" s="6" t="s">
        <v>1142</v>
      </c>
      <c r="C25" s="6">
        <v>2</v>
      </c>
      <c r="D25" s="6">
        <v>3</v>
      </c>
      <c r="E25" s="6">
        <v>2</v>
      </c>
      <c r="F25" s="6">
        <v>2</v>
      </c>
      <c r="I25" s="39" t="s">
        <v>705</v>
      </c>
      <c r="J25" s="39" t="s">
        <v>2918</v>
      </c>
      <c r="K25" s="39" t="s">
        <v>2908</v>
      </c>
      <c r="L25" s="39" t="s">
        <v>2908</v>
      </c>
      <c r="M25" s="39" t="s">
        <v>2908</v>
      </c>
      <c r="N25" s="39" t="s">
        <v>2908</v>
      </c>
      <c r="O25" s="39" t="s">
        <v>2908</v>
      </c>
      <c r="R25" t="e">
        <f t="shared" si="0"/>
        <v>#VALUE!</v>
      </c>
      <c r="S25" t="e">
        <f t="shared" si="1"/>
        <v>#VALUE!</v>
      </c>
      <c r="T25" t="e">
        <f t="shared" si="2"/>
        <v>#VALUE!</v>
      </c>
      <c r="U25" t="e">
        <f t="shared" si="3"/>
        <v>#VALUE!</v>
      </c>
    </row>
    <row r="26" spans="1:21" ht="34.799999999999997" thickBot="1" x14ac:dyDescent="0.3">
      <c r="A26" s="6" t="s">
        <v>1143</v>
      </c>
      <c r="B26" s="6" t="s">
        <v>1144</v>
      </c>
      <c r="C26" s="6" t="s">
        <v>1069</v>
      </c>
      <c r="D26" s="6">
        <v>3</v>
      </c>
      <c r="E26" s="6">
        <v>3</v>
      </c>
      <c r="F26" s="6">
        <v>2</v>
      </c>
      <c r="I26" s="39" t="s">
        <v>44</v>
      </c>
      <c r="J26" s="39" t="s">
        <v>2179</v>
      </c>
      <c r="K26" s="39">
        <v>1100</v>
      </c>
      <c r="L26" s="39" t="s">
        <v>1069</v>
      </c>
      <c r="M26" s="39" t="s">
        <v>1069</v>
      </c>
      <c r="N26" s="39">
        <v>1</v>
      </c>
      <c r="O26" s="39" t="s">
        <v>1069</v>
      </c>
      <c r="R26" t="e">
        <f t="shared" si="0"/>
        <v>#VALUE!</v>
      </c>
      <c r="S26" t="e">
        <f t="shared" si="1"/>
        <v>#VALUE!</v>
      </c>
      <c r="T26">
        <f t="shared" si="2"/>
        <v>1100</v>
      </c>
      <c r="U26" t="e">
        <f t="shared" si="3"/>
        <v>#VALUE!</v>
      </c>
    </row>
    <row r="27" spans="1:21" ht="42" thickBot="1" x14ac:dyDescent="0.3">
      <c r="A27" s="6" t="s">
        <v>996</v>
      </c>
      <c r="B27" s="6" t="s">
        <v>1145</v>
      </c>
      <c r="C27" s="6">
        <v>2</v>
      </c>
      <c r="D27" s="6">
        <v>2</v>
      </c>
      <c r="E27" s="6">
        <v>2</v>
      </c>
      <c r="F27" s="6">
        <v>2</v>
      </c>
      <c r="I27" s="39" t="s">
        <v>1056</v>
      </c>
      <c r="J27" s="39" t="s">
        <v>2358</v>
      </c>
      <c r="K27" s="39" t="s">
        <v>2908</v>
      </c>
      <c r="L27" s="39" t="s">
        <v>2908</v>
      </c>
      <c r="M27" s="39" t="s">
        <v>2908</v>
      </c>
      <c r="N27" s="39" t="s">
        <v>2908</v>
      </c>
      <c r="O27" s="39" t="s">
        <v>2908</v>
      </c>
      <c r="R27" t="e">
        <f t="shared" si="0"/>
        <v>#VALUE!</v>
      </c>
      <c r="S27" t="e">
        <f t="shared" si="1"/>
        <v>#VALUE!</v>
      </c>
      <c r="T27" t="e">
        <f t="shared" si="2"/>
        <v>#VALUE!</v>
      </c>
      <c r="U27" t="e">
        <f t="shared" si="3"/>
        <v>#VALUE!</v>
      </c>
    </row>
    <row r="28" spans="1:21" ht="34.799999999999997" thickBot="1" x14ac:dyDescent="0.3">
      <c r="A28" s="6" t="s">
        <v>967</v>
      </c>
      <c r="B28" s="6" t="s">
        <v>1146</v>
      </c>
      <c r="C28" s="6">
        <v>2</v>
      </c>
      <c r="D28" s="6">
        <v>2</v>
      </c>
      <c r="E28" s="6">
        <v>1</v>
      </c>
      <c r="F28" s="6">
        <v>2</v>
      </c>
      <c r="I28" s="39" t="s">
        <v>7863</v>
      </c>
      <c r="J28" s="39" t="s">
        <v>2359</v>
      </c>
      <c r="K28" s="39">
        <v>40000</v>
      </c>
      <c r="L28" s="39" t="s">
        <v>1069</v>
      </c>
      <c r="M28" s="39" t="s">
        <v>1069</v>
      </c>
      <c r="N28" s="39" t="s">
        <v>1069</v>
      </c>
      <c r="O28" s="39" t="s">
        <v>1069</v>
      </c>
      <c r="R28" t="e">
        <f t="shared" si="0"/>
        <v>#VALUE!</v>
      </c>
      <c r="S28" t="e">
        <f t="shared" si="1"/>
        <v>#VALUE!</v>
      </c>
      <c r="T28" t="e">
        <f t="shared" si="2"/>
        <v>#VALUE!</v>
      </c>
      <c r="U28" t="e">
        <f t="shared" si="3"/>
        <v>#VALUE!</v>
      </c>
    </row>
    <row r="29" spans="1:21" ht="46.2" thickBot="1" x14ac:dyDescent="0.3">
      <c r="A29" s="6" t="s">
        <v>769</v>
      </c>
      <c r="B29" s="6" t="s">
        <v>1147</v>
      </c>
      <c r="C29" s="6">
        <v>1</v>
      </c>
      <c r="D29" s="6">
        <v>2</v>
      </c>
      <c r="E29" s="6">
        <v>1</v>
      </c>
      <c r="F29" s="6">
        <v>1</v>
      </c>
      <c r="I29" s="39" t="s">
        <v>737</v>
      </c>
      <c r="J29" s="39" t="s">
        <v>2024</v>
      </c>
      <c r="K29" s="39">
        <v>2520</v>
      </c>
      <c r="L29" s="39">
        <v>143</v>
      </c>
      <c r="M29" s="39">
        <v>183</v>
      </c>
      <c r="N29" s="39">
        <v>150</v>
      </c>
      <c r="O29" s="39">
        <v>158</v>
      </c>
      <c r="R29">
        <f t="shared" si="0"/>
        <v>360360</v>
      </c>
      <c r="S29">
        <f t="shared" si="1"/>
        <v>461160</v>
      </c>
      <c r="T29">
        <f t="shared" si="2"/>
        <v>378000</v>
      </c>
      <c r="U29">
        <f t="shared" si="3"/>
        <v>398160</v>
      </c>
    </row>
    <row r="30" spans="1:21" ht="97.2" thickBot="1" x14ac:dyDescent="0.3">
      <c r="A30" s="6" t="s">
        <v>1148</v>
      </c>
      <c r="B30" s="6" t="s">
        <v>1149</v>
      </c>
      <c r="C30" s="6" t="s">
        <v>1069</v>
      </c>
      <c r="D30" s="6" t="s">
        <v>1069</v>
      </c>
      <c r="E30" s="6">
        <v>1</v>
      </c>
      <c r="F30" s="6">
        <v>1</v>
      </c>
      <c r="I30" s="39" t="s">
        <v>7864</v>
      </c>
      <c r="J30" s="39" t="s">
        <v>2892</v>
      </c>
      <c r="K30" s="39" t="s">
        <v>2908</v>
      </c>
      <c r="L30" s="39" t="s">
        <v>2908</v>
      </c>
      <c r="M30" s="39" t="s">
        <v>2908</v>
      </c>
      <c r="N30" s="39" t="s">
        <v>2908</v>
      </c>
      <c r="O30" s="39" t="s">
        <v>2908</v>
      </c>
      <c r="R30" t="e">
        <f t="shared" si="0"/>
        <v>#VALUE!</v>
      </c>
      <c r="S30" t="e">
        <f t="shared" si="1"/>
        <v>#VALUE!</v>
      </c>
      <c r="T30" t="e">
        <f t="shared" si="2"/>
        <v>#VALUE!</v>
      </c>
      <c r="U30" t="e">
        <f t="shared" si="3"/>
        <v>#VALUE!</v>
      </c>
    </row>
    <row r="31" spans="1:21" ht="46.2" thickBot="1" x14ac:dyDescent="0.3">
      <c r="A31" s="6" t="s">
        <v>1150</v>
      </c>
      <c r="B31" s="6" t="s">
        <v>1151</v>
      </c>
      <c r="C31" s="6" t="s">
        <v>1069</v>
      </c>
      <c r="D31" s="6" t="s">
        <v>1069</v>
      </c>
      <c r="E31" s="6">
        <v>1</v>
      </c>
      <c r="F31" s="6">
        <v>1</v>
      </c>
      <c r="I31" s="39" t="s">
        <v>717</v>
      </c>
      <c r="J31" s="39" t="s">
        <v>2021</v>
      </c>
      <c r="K31" s="39" t="s">
        <v>2908</v>
      </c>
      <c r="L31" s="39" t="s">
        <v>2908</v>
      </c>
      <c r="M31" s="39" t="s">
        <v>2908</v>
      </c>
      <c r="N31" s="39" t="s">
        <v>2908</v>
      </c>
      <c r="O31" s="39" t="s">
        <v>2908</v>
      </c>
      <c r="R31" t="e">
        <f t="shared" si="0"/>
        <v>#VALUE!</v>
      </c>
      <c r="S31" t="e">
        <f t="shared" si="1"/>
        <v>#VALUE!</v>
      </c>
      <c r="T31" t="e">
        <f t="shared" si="2"/>
        <v>#VALUE!</v>
      </c>
      <c r="U31" t="e">
        <f t="shared" si="3"/>
        <v>#VALUE!</v>
      </c>
    </row>
    <row r="32" spans="1:21" ht="34.799999999999997" thickBot="1" x14ac:dyDescent="0.3">
      <c r="A32" s="6" t="s">
        <v>1152</v>
      </c>
      <c r="B32" s="6" t="s">
        <v>1153</v>
      </c>
      <c r="C32" s="6" t="s">
        <v>1069</v>
      </c>
      <c r="D32" s="6" t="s">
        <v>1069</v>
      </c>
      <c r="E32" s="6">
        <v>1</v>
      </c>
      <c r="F32" s="6">
        <v>1</v>
      </c>
      <c r="I32" s="39" t="s">
        <v>1034</v>
      </c>
      <c r="J32" s="39" t="s">
        <v>2174</v>
      </c>
      <c r="K32" s="39" t="s">
        <v>2908</v>
      </c>
      <c r="L32" s="39" t="s">
        <v>2908</v>
      </c>
      <c r="M32" s="39" t="s">
        <v>2908</v>
      </c>
      <c r="N32" s="39" t="s">
        <v>2908</v>
      </c>
      <c r="O32" s="39" t="s">
        <v>2908</v>
      </c>
      <c r="R32" t="e">
        <f t="shared" si="0"/>
        <v>#VALUE!</v>
      </c>
      <c r="S32" t="e">
        <f t="shared" si="1"/>
        <v>#VALUE!</v>
      </c>
      <c r="T32" t="e">
        <f t="shared" si="2"/>
        <v>#VALUE!</v>
      </c>
      <c r="U32" t="e">
        <f t="shared" si="3"/>
        <v>#VALUE!</v>
      </c>
    </row>
    <row r="33" spans="1:21" ht="42" thickBot="1" x14ac:dyDescent="0.3">
      <c r="A33" s="6" t="s">
        <v>983</v>
      </c>
      <c r="B33" s="6" t="s">
        <v>1154</v>
      </c>
      <c r="C33" s="6" t="s">
        <v>1069</v>
      </c>
      <c r="D33" s="6" t="s">
        <v>1069</v>
      </c>
      <c r="E33" s="6">
        <v>1</v>
      </c>
      <c r="F33" s="6">
        <v>1</v>
      </c>
      <c r="I33" s="39" t="s">
        <v>1265</v>
      </c>
      <c r="J33" s="39" t="s">
        <v>2180</v>
      </c>
      <c r="K33" s="39" t="s">
        <v>2908</v>
      </c>
      <c r="L33" s="39" t="s">
        <v>2908</v>
      </c>
      <c r="M33" s="39" t="s">
        <v>2908</v>
      </c>
      <c r="N33" s="39" t="s">
        <v>2908</v>
      </c>
      <c r="O33" s="39" t="s">
        <v>2908</v>
      </c>
      <c r="R33" t="e">
        <f t="shared" si="0"/>
        <v>#VALUE!</v>
      </c>
      <c r="S33" t="e">
        <f t="shared" si="1"/>
        <v>#VALUE!</v>
      </c>
      <c r="T33" t="e">
        <f t="shared" si="2"/>
        <v>#VALUE!</v>
      </c>
      <c r="U33" t="e">
        <f t="shared" si="3"/>
        <v>#VALUE!</v>
      </c>
    </row>
    <row r="34" spans="1:21" ht="57.6" thickBot="1" x14ac:dyDescent="0.3">
      <c r="A34" s="6" t="s">
        <v>1155</v>
      </c>
      <c r="B34" s="6" t="s">
        <v>1156</v>
      </c>
      <c r="C34" s="6" t="s">
        <v>1069</v>
      </c>
      <c r="D34" s="6" t="s">
        <v>1069</v>
      </c>
      <c r="E34" s="6">
        <v>1</v>
      </c>
      <c r="F34" s="6">
        <v>1</v>
      </c>
      <c r="I34" s="39" t="s">
        <v>713</v>
      </c>
      <c r="J34" s="39" t="s">
        <v>2020</v>
      </c>
      <c r="K34" s="39">
        <v>964</v>
      </c>
      <c r="L34" s="39">
        <v>95</v>
      </c>
      <c r="M34" s="39">
        <v>114</v>
      </c>
      <c r="N34" s="39">
        <v>76</v>
      </c>
      <c r="O34" s="39">
        <v>95</v>
      </c>
      <c r="R34">
        <f t="shared" si="0"/>
        <v>91580</v>
      </c>
      <c r="S34">
        <f t="shared" si="1"/>
        <v>109896</v>
      </c>
      <c r="T34">
        <f t="shared" si="2"/>
        <v>73264</v>
      </c>
      <c r="U34">
        <f t="shared" si="3"/>
        <v>91580</v>
      </c>
    </row>
    <row r="35" spans="1:21" ht="34.799999999999997" thickBot="1" x14ac:dyDescent="0.3">
      <c r="A35" s="6" t="s">
        <v>990</v>
      </c>
      <c r="B35" s="6" t="s">
        <v>1157</v>
      </c>
      <c r="C35" s="6" t="s">
        <v>1069</v>
      </c>
      <c r="D35" s="6" t="s">
        <v>1069</v>
      </c>
      <c r="E35" s="6">
        <v>1</v>
      </c>
      <c r="F35" s="6">
        <v>1</v>
      </c>
      <c r="I35" s="39" t="s">
        <v>1029</v>
      </c>
      <c r="J35" s="39" t="s">
        <v>2177</v>
      </c>
      <c r="K35" s="39">
        <v>160000</v>
      </c>
      <c r="L35" s="39">
        <v>5</v>
      </c>
      <c r="M35" s="39">
        <v>5</v>
      </c>
      <c r="N35" s="39">
        <v>6</v>
      </c>
      <c r="O35" s="39">
        <v>5</v>
      </c>
      <c r="R35">
        <f t="shared" si="0"/>
        <v>800000</v>
      </c>
      <c r="S35">
        <f t="shared" si="1"/>
        <v>800000</v>
      </c>
      <c r="T35">
        <f t="shared" si="2"/>
        <v>960000</v>
      </c>
      <c r="U35">
        <f t="shared" si="3"/>
        <v>800000</v>
      </c>
    </row>
    <row r="36" spans="1:21" ht="55.8" thickBot="1" x14ac:dyDescent="0.3">
      <c r="A36" s="6" t="s">
        <v>1158</v>
      </c>
      <c r="B36" s="6" t="s">
        <v>1159</v>
      </c>
      <c r="C36" s="6" t="s">
        <v>1069</v>
      </c>
      <c r="D36" s="6" t="s">
        <v>1069</v>
      </c>
      <c r="E36" s="6">
        <v>1</v>
      </c>
      <c r="F36" s="6">
        <v>1</v>
      </c>
      <c r="I36" s="39" t="s">
        <v>843</v>
      </c>
      <c r="J36" s="39" t="s">
        <v>2175</v>
      </c>
      <c r="K36" s="39" t="s">
        <v>2908</v>
      </c>
      <c r="L36" s="39" t="s">
        <v>2908</v>
      </c>
      <c r="M36" s="39" t="s">
        <v>2908</v>
      </c>
      <c r="N36" s="39" t="s">
        <v>2908</v>
      </c>
      <c r="O36" s="39" t="s">
        <v>2908</v>
      </c>
      <c r="R36" t="e">
        <f t="shared" si="0"/>
        <v>#VALUE!</v>
      </c>
      <c r="S36" t="e">
        <f t="shared" si="1"/>
        <v>#VALUE!</v>
      </c>
      <c r="T36" t="e">
        <f t="shared" si="2"/>
        <v>#VALUE!</v>
      </c>
      <c r="U36" t="e">
        <f t="shared" si="3"/>
        <v>#VALUE!</v>
      </c>
    </row>
    <row r="37" spans="1:21" ht="42" thickBot="1" x14ac:dyDescent="0.3">
      <c r="A37" s="6" t="s">
        <v>1160</v>
      </c>
      <c r="B37" s="6" t="s">
        <v>1161</v>
      </c>
      <c r="C37" s="6" t="s">
        <v>1069</v>
      </c>
      <c r="D37" s="6" t="s">
        <v>1069</v>
      </c>
      <c r="E37" s="6">
        <v>1</v>
      </c>
      <c r="F37" s="6">
        <v>1</v>
      </c>
      <c r="I37" s="39" t="s">
        <v>761</v>
      </c>
      <c r="J37" s="39" t="s">
        <v>2919</v>
      </c>
      <c r="K37" s="39" t="s">
        <v>2908</v>
      </c>
      <c r="L37" s="39" t="s">
        <v>2908</v>
      </c>
      <c r="M37" s="39" t="s">
        <v>2908</v>
      </c>
      <c r="N37" s="39" t="s">
        <v>2908</v>
      </c>
      <c r="O37" s="39" t="s">
        <v>2908</v>
      </c>
      <c r="R37" t="e">
        <f t="shared" si="0"/>
        <v>#VALUE!</v>
      </c>
      <c r="S37" t="e">
        <f t="shared" si="1"/>
        <v>#VALUE!</v>
      </c>
      <c r="T37" t="e">
        <f t="shared" si="2"/>
        <v>#VALUE!</v>
      </c>
      <c r="U37" t="e">
        <f t="shared" si="3"/>
        <v>#VALUE!</v>
      </c>
    </row>
    <row r="38" spans="1:21" ht="42" thickBot="1" x14ac:dyDescent="0.3">
      <c r="A38" s="6" t="s">
        <v>1162</v>
      </c>
      <c r="B38" s="6" t="s">
        <v>1163</v>
      </c>
      <c r="C38" s="6" t="s">
        <v>1069</v>
      </c>
      <c r="D38" s="6" t="s">
        <v>1069</v>
      </c>
      <c r="E38" s="6">
        <v>1</v>
      </c>
      <c r="F38" s="6">
        <v>1</v>
      </c>
      <c r="I38" s="39" t="s">
        <v>753</v>
      </c>
      <c r="J38" s="39" t="s">
        <v>2920</v>
      </c>
      <c r="K38" s="39" t="s">
        <v>2908</v>
      </c>
      <c r="L38" s="39" t="s">
        <v>2908</v>
      </c>
      <c r="M38" s="39" t="s">
        <v>2908</v>
      </c>
      <c r="N38" s="39" t="s">
        <v>2908</v>
      </c>
      <c r="O38" s="39" t="s">
        <v>2908</v>
      </c>
      <c r="R38" t="e">
        <f t="shared" si="0"/>
        <v>#VALUE!</v>
      </c>
      <c r="S38" t="e">
        <f t="shared" si="1"/>
        <v>#VALUE!</v>
      </c>
      <c r="T38" t="e">
        <f t="shared" si="2"/>
        <v>#VALUE!</v>
      </c>
      <c r="U38" t="e">
        <f t="shared" si="3"/>
        <v>#VALUE!</v>
      </c>
    </row>
    <row r="39" spans="1:21" ht="42" thickBot="1" x14ac:dyDescent="0.3">
      <c r="A39" s="6" t="s">
        <v>1164</v>
      </c>
      <c r="B39" s="6" t="s">
        <v>1165</v>
      </c>
      <c r="C39" s="6" t="s">
        <v>1165</v>
      </c>
      <c r="D39" s="6" t="s">
        <v>1165</v>
      </c>
      <c r="E39" s="6" t="s">
        <v>1165</v>
      </c>
      <c r="F39" s="6" t="s">
        <v>1165</v>
      </c>
      <c r="I39" s="39" t="s">
        <v>920</v>
      </c>
      <c r="J39" s="39" t="s">
        <v>2320</v>
      </c>
      <c r="K39" s="39" t="s">
        <v>2908</v>
      </c>
      <c r="L39" s="39" t="s">
        <v>2908</v>
      </c>
      <c r="M39" s="39" t="s">
        <v>2908</v>
      </c>
      <c r="N39" s="39" t="s">
        <v>2908</v>
      </c>
      <c r="O39" s="39" t="s">
        <v>2908</v>
      </c>
      <c r="R39" t="e">
        <f t="shared" si="0"/>
        <v>#VALUE!</v>
      </c>
      <c r="S39" t="e">
        <f t="shared" si="1"/>
        <v>#VALUE!</v>
      </c>
      <c r="T39" t="e">
        <f t="shared" si="2"/>
        <v>#VALUE!</v>
      </c>
      <c r="U39" t="e">
        <f t="shared" si="3"/>
        <v>#VALUE!</v>
      </c>
    </row>
    <row r="40" spans="1:21" ht="28.2" thickBot="1" x14ac:dyDescent="0.3">
      <c r="I40" s="39" t="s">
        <v>1217</v>
      </c>
      <c r="J40" s="39" t="s">
        <v>2857</v>
      </c>
      <c r="K40" s="39" t="s">
        <v>2908</v>
      </c>
      <c r="L40" s="39" t="s">
        <v>2908</v>
      </c>
      <c r="M40" s="39" t="s">
        <v>2908</v>
      </c>
      <c r="N40" s="39" t="s">
        <v>2908</v>
      </c>
      <c r="O40" s="39" t="s">
        <v>2908</v>
      </c>
      <c r="R40" t="e">
        <f t="shared" si="0"/>
        <v>#VALUE!</v>
      </c>
      <c r="S40" t="e">
        <f t="shared" si="1"/>
        <v>#VALUE!</v>
      </c>
      <c r="T40" t="e">
        <f t="shared" si="2"/>
        <v>#VALUE!</v>
      </c>
      <c r="U40" t="e">
        <f t="shared" si="3"/>
        <v>#VALUE!</v>
      </c>
    </row>
    <row r="41" spans="1:21" ht="28.2" thickBot="1" x14ac:dyDescent="0.3">
      <c r="I41" s="39" t="s">
        <v>1969</v>
      </c>
      <c r="J41" s="39" t="s">
        <v>2921</v>
      </c>
      <c r="K41" s="39" t="s">
        <v>2908</v>
      </c>
      <c r="L41" s="39" t="s">
        <v>2908</v>
      </c>
      <c r="M41" s="39" t="s">
        <v>2908</v>
      </c>
      <c r="N41" s="39" t="s">
        <v>2908</v>
      </c>
      <c r="O41" s="39" t="s">
        <v>2908</v>
      </c>
      <c r="R41" t="e">
        <f t="shared" si="0"/>
        <v>#VALUE!</v>
      </c>
      <c r="S41" t="e">
        <f t="shared" si="1"/>
        <v>#VALUE!</v>
      </c>
      <c r="T41" t="e">
        <f t="shared" si="2"/>
        <v>#VALUE!</v>
      </c>
      <c r="U41" t="e">
        <f t="shared" si="3"/>
        <v>#VALUE!</v>
      </c>
    </row>
    <row r="42" spans="1:21" ht="28.2" thickBot="1" x14ac:dyDescent="0.3">
      <c r="I42" s="39" t="s">
        <v>940</v>
      </c>
      <c r="J42" s="39" t="s">
        <v>2922</v>
      </c>
      <c r="K42" s="39" t="s">
        <v>2908</v>
      </c>
      <c r="L42" s="39" t="s">
        <v>2908</v>
      </c>
      <c r="M42" s="39" t="s">
        <v>2908</v>
      </c>
      <c r="N42" s="39" t="s">
        <v>2908</v>
      </c>
      <c r="O42" s="39" t="s">
        <v>2908</v>
      </c>
      <c r="R42" t="e">
        <f t="shared" si="0"/>
        <v>#VALUE!</v>
      </c>
      <c r="S42" t="e">
        <f t="shared" si="1"/>
        <v>#VALUE!</v>
      </c>
      <c r="T42" t="e">
        <f t="shared" si="2"/>
        <v>#VALUE!</v>
      </c>
      <c r="U42" t="e">
        <f t="shared" si="3"/>
        <v>#VALUE!</v>
      </c>
    </row>
    <row r="43" spans="1:21" ht="42" thickBot="1" x14ac:dyDescent="0.3">
      <c r="I43" s="39" t="s">
        <v>943</v>
      </c>
      <c r="J43" s="39" t="s">
        <v>2341</v>
      </c>
      <c r="K43" s="39" t="s">
        <v>2908</v>
      </c>
      <c r="L43" s="39" t="s">
        <v>2908</v>
      </c>
      <c r="M43" s="39" t="s">
        <v>2908</v>
      </c>
      <c r="N43" s="39" t="s">
        <v>2908</v>
      </c>
      <c r="O43" s="39" t="s">
        <v>2908</v>
      </c>
      <c r="R43" t="e">
        <f t="shared" si="0"/>
        <v>#VALUE!</v>
      </c>
      <c r="S43" t="e">
        <f t="shared" si="1"/>
        <v>#VALUE!</v>
      </c>
      <c r="T43" t="e">
        <f t="shared" si="2"/>
        <v>#VALUE!</v>
      </c>
      <c r="U43" t="e">
        <f t="shared" si="3"/>
        <v>#VALUE!</v>
      </c>
    </row>
    <row r="44" spans="1:21" ht="55.8" thickBot="1" x14ac:dyDescent="0.3">
      <c r="I44" s="39" t="s">
        <v>7865</v>
      </c>
      <c r="J44" s="39" t="s">
        <v>2161</v>
      </c>
      <c r="K44" s="39">
        <v>0.36</v>
      </c>
      <c r="L44" s="39">
        <v>892</v>
      </c>
      <c r="M44" s="42">
        <v>1254</v>
      </c>
      <c r="N44" s="42">
        <v>1401</v>
      </c>
      <c r="O44" s="42">
        <v>1182</v>
      </c>
      <c r="R44">
        <f t="shared" si="0"/>
        <v>321.12</v>
      </c>
      <c r="S44">
        <f t="shared" si="1"/>
        <v>451.44</v>
      </c>
      <c r="T44">
        <f t="shared" si="2"/>
        <v>504.35999999999996</v>
      </c>
      <c r="U44">
        <f t="shared" si="3"/>
        <v>425.52</v>
      </c>
    </row>
    <row r="45" spans="1:21" ht="55.8" thickBot="1" x14ac:dyDescent="0.3">
      <c r="I45" s="39" t="s">
        <v>725</v>
      </c>
      <c r="J45" s="39" t="s">
        <v>8116</v>
      </c>
      <c r="K45" s="39" t="s">
        <v>2908</v>
      </c>
      <c r="L45" s="39" t="s">
        <v>2908</v>
      </c>
      <c r="M45" s="39" t="s">
        <v>2908</v>
      </c>
      <c r="N45" s="39" t="s">
        <v>2908</v>
      </c>
      <c r="O45" s="39" t="s">
        <v>2908</v>
      </c>
      <c r="R45" t="e">
        <f t="shared" si="0"/>
        <v>#VALUE!</v>
      </c>
      <c r="S45" t="e">
        <f t="shared" si="1"/>
        <v>#VALUE!</v>
      </c>
      <c r="T45" t="e">
        <f t="shared" si="2"/>
        <v>#VALUE!</v>
      </c>
      <c r="U45" t="e">
        <f t="shared" si="3"/>
        <v>#VALUE!</v>
      </c>
    </row>
    <row r="46" spans="1:21" ht="83.4" thickBot="1" x14ac:dyDescent="0.3">
      <c r="I46" s="39" t="s">
        <v>757</v>
      </c>
      <c r="J46" s="39" t="s">
        <v>2924</v>
      </c>
      <c r="K46" s="39" t="s">
        <v>2908</v>
      </c>
      <c r="L46" s="39" t="s">
        <v>2908</v>
      </c>
      <c r="M46" s="39" t="s">
        <v>2908</v>
      </c>
      <c r="N46" s="39" t="s">
        <v>2908</v>
      </c>
      <c r="O46" s="39" t="s">
        <v>2908</v>
      </c>
      <c r="R46" t="e">
        <f t="shared" si="0"/>
        <v>#VALUE!</v>
      </c>
      <c r="S46" t="e">
        <f t="shared" si="1"/>
        <v>#VALUE!</v>
      </c>
      <c r="T46" t="e">
        <f t="shared" si="2"/>
        <v>#VALUE!</v>
      </c>
      <c r="U46" t="e">
        <f t="shared" si="3"/>
        <v>#VALUE!</v>
      </c>
    </row>
    <row r="47" spans="1:21" ht="69.599999999999994" thickBot="1" x14ac:dyDescent="0.3">
      <c r="I47" s="39" t="s">
        <v>773</v>
      </c>
      <c r="J47" s="39" t="s">
        <v>2925</v>
      </c>
      <c r="K47" s="39" t="s">
        <v>2908</v>
      </c>
      <c r="L47" s="39" t="s">
        <v>2908</v>
      </c>
      <c r="M47" s="39" t="s">
        <v>2908</v>
      </c>
      <c r="N47" s="39" t="s">
        <v>2908</v>
      </c>
      <c r="O47" s="39" t="s">
        <v>2908</v>
      </c>
      <c r="R47" t="e">
        <f t="shared" si="0"/>
        <v>#VALUE!</v>
      </c>
      <c r="S47" t="e">
        <f t="shared" si="1"/>
        <v>#VALUE!</v>
      </c>
      <c r="T47" t="e">
        <f t="shared" si="2"/>
        <v>#VALUE!</v>
      </c>
      <c r="U47" t="e">
        <f t="shared" si="3"/>
        <v>#VALUE!</v>
      </c>
    </row>
    <row r="48" spans="1:21" ht="69.599999999999994" thickBot="1" x14ac:dyDescent="0.3">
      <c r="I48" s="39" t="s">
        <v>7867</v>
      </c>
      <c r="J48" s="39" t="s">
        <v>2027</v>
      </c>
      <c r="K48" s="39" t="s">
        <v>2908</v>
      </c>
      <c r="L48" s="39" t="s">
        <v>2908</v>
      </c>
      <c r="M48" s="39" t="s">
        <v>2908</v>
      </c>
      <c r="N48" s="39" t="s">
        <v>2908</v>
      </c>
      <c r="O48" s="39" t="s">
        <v>2908</v>
      </c>
      <c r="R48" t="e">
        <f t="shared" si="0"/>
        <v>#VALUE!</v>
      </c>
      <c r="S48" t="e">
        <f t="shared" si="1"/>
        <v>#VALUE!</v>
      </c>
      <c r="T48" t="e">
        <f t="shared" si="2"/>
        <v>#VALUE!</v>
      </c>
      <c r="U48" t="e">
        <f t="shared" si="3"/>
        <v>#VALUE!</v>
      </c>
    </row>
    <row r="49" spans="9:21" ht="42" thickBot="1" x14ac:dyDescent="0.3">
      <c r="I49" s="39" t="s">
        <v>781</v>
      </c>
      <c r="J49" s="39" t="s">
        <v>2878</v>
      </c>
      <c r="K49" s="39" t="s">
        <v>2908</v>
      </c>
      <c r="L49" s="39" t="s">
        <v>2908</v>
      </c>
      <c r="M49" s="39" t="s">
        <v>2908</v>
      </c>
      <c r="N49" s="39" t="s">
        <v>2908</v>
      </c>
      <c r="O49" s="39" t="s">
        <v>2908</v>
      </c>
      <c r="R49" t="e">
        <f t="shared" si="0"/>
        <v>#VALUE!</v>
      </c>
      <c r="S49" t="e">
        <f t="shared" si="1"/>
        <v>#VALUE!</v>
      </c>
      <c r="T49" t="e">
        <f t="shared" si="2"/>
        <v>#VALUE!</v>
      </c>
      <c r="U49" t="e">
        <f t="shared" si="3"/>
        <v>#VALUE!</v>
      </c>
    </row>
    <row r="50" spans="9:21" ht="42" thickBot="1" x14ac:dyDescent="0.3">
      <c r="I50" s="39" t="s">
        <v>797</v>
      </c>
      <c r="J50" s="39" t="s">
        <v>2927</v>
      </c>
      <c r="K50" s="39" t="s">
        <v>2908</v>
      </c>
      <c r="L50" s="39" t="s">
        <v>2908</v>
      </c>
      <c r="M50" s="39" t="s">
        <v>2908</v>
      </c>
      <c r="N50" s="39" t="s">
        <v>2908</v>
      </c>
      <c r="O50" s="39" t="s">
        <v>2908</v>
      </c>
      <c r="R50" t="e">
        <f t="shared" si="0"/>
        <v>#VALUE!</v>
      </c>
      <c r="S50" t="e">
        <f t="shared" si="1"/>
        <v>#VALUE!</v>
      </c>
      <c r="T50" t="e">
        <f t="shared" si="2"/>
        <v>#VALUE!</v>
      </c>
      <c r="U50" t="e">
        <f t="shared" si="3"/>
        <v>#VALUE!</v>
      </c>
    </row>
    <row r="51" spans="9:21" ht="42" thickBot="1" x14ac:dyDescent="0.3">
      <c r="I51" s="39" t="s">
        <v>894</v>
      </c>
      <c r="J51" s="39" t="s">
        <v>2164</v>
      </c>
      <c r="K51" s="39">
        <v>57.5</v>
      </c>
      <c r="L51" s="39">
        <v>131</v>
      </c>
      <c r="M51" s="39">
        <v>167</v>
      </c>
      <c r="N51" s="39">
        <v>150</v>
      </c>
      <c r="O51" s="39">
        <v>149</v>
      </c>
      <c r="R51">
        <f t="shared" si="0"/>
        <v>7532.5</v>
      </c>
      <c r="S51">
        <f t="shared" si="1"/>
        <v>9602.5</v>
      </c>
      <c r="T51">
        <f t="shared" si="2"/>
        <v>8625</v>
      </c>
      <c r="U51">
        <f t="shared" si="3"/>
        <v>8567.5</v>
      </c>
    </row>
    <row r="52" spans="9:21" ht="69.599999999999994" thickBot="1" x14ac:dyDescent="0.3">
      <c r="I52" s="39" t="s">
        <v>1127</v>
      </c>
      <c r="J52" s="39" t="s">
        <v>2170</v>
      </c>
      <c r="K52" s="39">
        <v>18</v>
      </c>
      <c r="L52" s="39">
        <v>83</v>
      </c>
      <c r="M52" s="39">
        <v>86</v>
      </c>
      <c r="N52" s="39">
        <v>94</v>
      </c>
      <c r="O52" s="39">
        <v>88</v>
      </c>
      <c r="R52">
        <f t="shared" si="0"/>
        <v>1494</v>
      </c>
      <c r="S52">
        <f t="shared" si="1"/>
        <v>1548</v>
      </c>
      <c r="T52">
        <f t="shared" si="2"/>
        <v>1692</v>
      </c>
      <c r="U52">
        <f t="shared" si="3"/>
        <v>1584</v>
      </c>
    </row>
    <row r="53" spans="9:21" ht="28.2" thickBot="1" x14ac:dyDescent="0.3">
      <c r="I53" s="39" t="s">
        <v>32</v>
      </c>
      <c r="J53" s="39" t="s">
        <v>2172</v>
      </c>
      <c r="K53" s="39" t="s">
        <v>2908</v>
      </c>
      <c r="L53" s="39" t="s">
        <v>2908</v>
      </c>
      <c r="M53" s="39" t="s">
        <v>2908</v>
      </c>
      <c r="N53" s="39" t="s">
        <v>2908</v>
      </c>
      <c r="O53" s="39" t="s">
        <v>2908</v>
      </c>
      <c r="R53" t="e">
        <f t="shared" si="0"/>
        <v>#VALUE!</v>
      </c>
      <c r="S53" t="e">
        <f t="shared" si="1"/>
        <v>#VALUE!</v>
      </c>
      <c r="T53" t="e">
        <f t="shared" si="2"/>
        <v>#VALUE!</v>
      </c>
      <c r="U53" t="e">
        <f t="shared" si="3"/>
        <v>#VALUE!</v>
      </c>
    </row>
    <row r="54" spans="9:21" ht="55.8" thickBot="1" x14ac:dyDescent="0.3">
      <c r="I54" s="39" t="s">
        <v>843</v>
      </c>
      <c r="J54" s="39" t="s">
        <v>7868</v>
      </c>
      <c r="K54" s="39" t="s">
        <v>2908</v>
      </c>
      <c r="L54" s="39" t="s">
        <v>2908</v>
      </c>
      <c r="M54" s="39" t="s">
        <v>2908</v>
      </c>
      <c r="N54" s="39" t="s">
        <v>2908</v>
      </c>
      <c r="O54" s="39" t="s">
        <v>2908</v>
      </c>
      <c r="R54" t="e">
        <f t="shared" si="0"/>
        <v>#VALUE!</v>
      </c>
      <c r="S54" t="e">
        <f t="shared" si="1"/>
        <v>#VALUE!</v>
      </c>
      <c r="T54" t="e">
        <f t="shared" si="2"/>
        <v>#VALUE!</v>
      </c>
      <c r="U54" t="e">
        <f t="shared" si="3"/>
        <v>#VALUE!</v>
      </c>
    </row>
    <row r="55" spans="9:21" ht="55.8" thickBot="1" x14ac:dyDescent="0.3">
      <c r="I55" s="39" t="s">
        <v>1515</v>
      </c>
      <c r="J55" s="39" t="s">
        <v>2929</v>
      </c>
      <c r="K55" s="39" t="s">
        <v>2908</v>
      </c>
      <c r="L55" s="39" t="s">
        <v>2908</v>
      </c>
      <c r="M55" s="39" t="s">
        <v>2908</v>
      </c>
      <c r="N55" s="39" t="s">
        <v>2908</v>
      </c>
      <c r="O55" s="39" t="s">
        <v>2908</v>
      </c>
      <c r="R55" t="e">
        <f t="shared" si="0"/>
        <v>#VALUE!</v>
      </c>
      <c r="S55" t="e">
        <f t="shared" si="1"/>
        <v>#VALUE!</v>
      </c>
      <c r="T55" t="e">
        <f t="shared" si="2"/>
        <v>#VALUE!</v>
      </c>
      <c r="U55" t="e">
        <f t="shared" si="3"/>
        <v>#VALUE!</v>
      </c>
    </row>
    <row r="56" spans="9:21" ht="69.599999999999994" thickBot="1" x14ac:dyDescent="0.3">
      <c r="I56" s="39" t="s">
        <v>862</v>
      </c>
      <c r="J56" s="39" t="s">
        <v>2183</v>
      </c>
      <c r="K56" s="39" t="s">
        <v>2908</v>
      </c>
      <c r="L56" s="39" t="s">
        <v>2908</v>
      </c>
      <c r="M56" s="39" t="s">
        <v>2908</v>
      </c>
      <c r="N56" s="39" t="s">
        <v>2908</v>
      </c>
      <c r="O56" s="39" t="s">
        <v>2908</v>
      </c>
      <c r="R56" t="e">
        <f t="shared" si="0"/>
        <v>#VALUE!</v>
      </c>
      <c r="S56" t="e">
        <f t="shared" si="1"/>
        <v>#VALUE!</v>
      </c>
      <c r="T56" t="e">
        <f t="shared" si="2"/>
        <v>#VALUE!</v>
      </c>
      <c r="U56" t="e">
        <f t="shared" si="3"/>
        <v>#VALUE!</v>
      </c>
    </row>
    <row r="57" spans="9:21" ht="42" thickBot="1" x14ac:dyDescent="0.3">
      <c r="I57" s="39" t="s">
        <v>7869</v>
      </c>
      <c r="J57" s="39" t="s">
        <v>2185</v>
      </c>
      <c r="K57" s="39" t="s">
        <v>2908</v>
      </c>
      <c r="L57" s="39" t="s">
        <v>2908</v>
      </c>
      <c r="M57" s="39" t="s">
        <v>2908</v>
      </c>
      <c r="N57" s="39" t="s">
        <v>2908</v>
      </c>
      <c r="O57" s="39" t="s">
        <v>2908</v>
      </c>
      <c r="R57" t="e">
        <f t="shared" si="0"/>
        <v>#VALUE!</v>
      </c>
      <c r="S57" t="e">
        <f t="shared" si="1"/>
        <v>#VALUE!</v>
      </c>
      <c r="T57" t="e">
        <f t="shared" si="2"/>
        <v>#VALUE!</v>
      </c>
      <c r="U57" t="e">
        <f t="shared" si="3"/>
        <v>#VALUE!</v>
      </c>
    </row>
    <row r="58" spans="9:21" ht="42" thickBot="1" x14ac:dyDescent="0.3">
      <c r="I58" s="39" t="s">
        <v>1016</v>
      </c>
      <c r="J58" s="39" t="s">
        <v>2930</v>
      </c>
      <c r="K58" s="39" t="s">
        <v>2908</v>
      </c>
      <c r="L58" s="39" t="s">
        <v>2908</v>
      </c>
      <c r="M58" s="39" t="s">
        <v>2908</v>
      </c>
      <c r="N58" s="39" t="s">
        <v>2908</v>
      </c>
      <c r="O58" s="39" t="s">
        <v>2908</v>
      </c>
      <c r="R58" t="e">
        <f t="shared" si="0"/>
        <v>#VALUE!</v>
      </c>
      <c r="S58" t="e">
        <f t="shared" si="1"/>
        <v>#VALUE!</v>
      </c>
      <c r="T58" t="e">
        <f t="shared" si="2"/>
        <v>#VALUE!</v>
      </c>
      <c r="U58" t="e">
        <f t="shared" si="3"/>
        <v>#VALUE!</v>
      </c>
    </row>
    <row r="59" spans="9:21" ht="28.2" thickBot="1" x14ac:dyDescent="0.3">
      <c r="I59" s="39" t="s">
        <v>929</v>
      </c>
      <c r="J59" s="39" t="s">
        <v>2331</v>
      </c>
      <c r="K59" s="39" t="s">
        <v>2908</v>
      </c>
      <c r="L59" s="39" t="s">
        <v>2908</v>
      </c>
      <c r="M59" s="39" t="s">
        <v>2908</v>
      </c>
      <c r="N59" s="39" t="s">
        <v>2908</v>
      </c>
      <c r="O59" s="39" t="s">
        <v>2908</v>
      </c>
      <c r="R59" t="e">
        <f t="shared" si="0"/>
        <v>#VALUE!</v>
      </c>
      <c r="S59" t="e">
        <f t="shared" si="1"/>
        <v>#VALUE!</v>
      </c>
      <c r="T59" t="e">
        <f t="shared" si="2"/>
        <v>#VALUE!</v>
      </c>
      <c r="U59" t="e">
        <f t="shared" si="3"/>
        <v>#VALUE!</v>
      </c>
    </row>
    <row r="60" spans="9:21" ht="55.8" thickBot="1" x14ac:dyDescent="0.3">
      <c r="I60" s="39" t="s">
        <v>956</v>
      </c>
      <c r="J60" s="39" t="s">
        <v>2337</v>
      </c>
      <c r="K60" s="39" t="s">
        <v>2908</v>
      </c>
      <c r="L60" s="39" t="s">
        <v>2908</v>
      </c>
      <c r="M60" s="39" t="s">
        <v>2908</v>
      </c>
      <c r="N60" s="39" t="s">
        <v>2908</v>
      </c>
      <c r="O60" s="39" t="s">
        <v>2908</v>
      </c>
      <c r="R60" t="e">
        <f t="shared" si="0"/>
        <v>#VALUE!</v>
      </c>
      <c r="S60" t="e">
        <f t="shared" si="1"/>
        <v>#VALUE!</v>
      </c>
      <c r="T60" t="e">
        <f t="shared" si="2"/>
        <v>#VALUE!</v>
      </c>
      <c r="U60" t="e">
        <f t="shared" si="3"/>
        <v>#VALUE!</v>
      </c>
    </row>
    <row r="61" spans="9:21" ht="42" thickBot="1" x14ac:dyDescent="0.3">
      <c r="I61" s="39" t="s">
        <v>978</v>
      </c>
      <c r="J61" s="39" t="s">
        <v>2365</v>
      </c>
      <c r="K61" s="39">
        <v>1500</v>
      </c>
      <c r="L61" s="39">
        <v>2</v>
      </c>
      <c r="M61" s="39">
        <v>4</v>
      </c>
      <c r="N61" s="39">
        <v>3</v>
      </c>
      <c r="O61" s="39">
        <v>3</v>
      </c>
      <c r="R61">
        <f t="shared" si="0"/>
        <v>3000</v>
      </c>
      <c r="S61">
        <f t="shared" si="1"/>
        <v>6000</v>
      </c>
      <c r="T61">
        <f t="shared" si="2"/>
        <v>4500</v>
      </c>
      <c r="U61">
        <f t="shared" si="3"/>
        <v>4500</v>
      </c>
    </row>
    <row r="62" spans="9:21" ht="42" thickBot="1" x14ac:dyDescent="0.3">
      <c r="I62" s="39" t="s">
        <v>996</v>
      </c>
      <c r="J62" s="39" t="s">
        <v>2186</v>
      </c>
      <c r="K62" s="39">
        <v>1120</v>
      </c>
      <c r="L62" s="39">
        <v>2</v>
      </c>
      <c r="M62" s="39">
        <v>2</v>
      </c>
      <c r="N62" s="39">
        <v>2</v>
      </c>
      <c r="O62" s="39">
        <v>2</v>
      </c>
      <c r="R62">
        <f t="shared" si="0"/>
        <v>2240</v>
      </c>
      <c r="S62">
        <f t="shared" si="1"/>
        <v>2240</v>
      </c>
      <c r="T62">
        <f t="shared" si="2"/>
        <v>2240</v>
      </c>
      <c r="U62">
        <f t="shared" si="3"/>
        <v>2240</v>
      </c>
    </row>
    <row r="63" spans="9:21" ht="42" thickBot="1" x14ac:dyDescent="0.3">
      <c r="I63" s="39" t="s">
        <v>990</v>
      </c>
      <c r="J63" s="39" t="s">
        <v>2382</v>
      </c>
      <c r="K63" s="39">
        <v>3200</v>
      </c>
      <c r="L63" s="39" t="s">
        <v>1069</v>
      </c>
      <c r="M63" s="39" t="s">
        <v>1069</v>
      </c>
      <c r="N63" s="39" t="s">
        <v>1069</v>
      </c>
      <c r="O63" s="39" t="s">
        <v>1069</v>
      </c>
      <c r="R63" t="e">
        <f t="shared" si="0"/>
        <v>#VALUE!</v>
      </c>
      <c r="S63" t="e">
        <f t="shared" si="1"/>
        <v>#VALUE!</v>
      </c>
      <c r="T63" t="e">
        <f t="shared" si="2"/>
        <v>#VALUE!</v>
      </c>
      <c r="U63" t="e">
        <f t="shared" si="3"/>
        <v>#VALUE!</v>
      </c>
    </row>
    <row r="64" spans="9:21" ht="42" thickBot="1" x14ac:dyDescent="0.3">
      <c r="I64" s="39" t="s">
        <v>1311</v>
      </c>
      <c r="J64" s="39" t="s">
        <v>2393</v>
      </c>
      <c r="K64" s="39" t="s">
        <v>2908</v>
      </c>
      <c r="L64" s="39" t="s">
        <v>2908</v>
      </c>
      <c r="M64" s="39" t="s">
        <v>2908</v>
      </c>
      <c r="N64" s="39" t="s">
        <v>2908</v>
      </c>
      <c r="O64" s="39" t="s">
        <v>2908</v>
      </c>
      <c r="R64" t="e">
        <f t="shared" si="0"/>
        <v>#VALUE!</v>
      </c>
      <c r="S64" t="e">
        <f t="shared" si="1"/>
        <v>#VALUE!</v>
      </c>
      <c r="T64" t="e">
        <f t="shared" si="2"/>
        <v>#VALUE!</v>
      </c>
      <c r="U64" t="e">
        <f t="shared" si="3"/>
        <v>#VALUE!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B238-932B-49D4-90E5-444E058FB070}">
  <dimension ref="A1:P61"/>
  <sheetViews>
    <sheetView workbookViewId="0">
      <selection activeCell="A4" sqref="A4:L9"/>
    </sheetView>
  </sheetViews>
  <sheetFormatPr defaultRowHeight="13.8" x14ac:dyDescent="0.25"/>
  <sheetData>
    <row r="1" spans="1:16" ht="22.8" x14ac:dyDescent="0.25">
      <c r="A1" s="6" t="s">
        <v>6</v>
      </c>
      <c r="B1" s="6" t="s">
        <v>1166</v>
      </c>
      <c r="C1" s="6" t="s">
        <v>7</v>
      </c>
      <c r="D1" s="6" t="s">
        <v>1167</v>
      </c>
      <c r="E1" s="6" t="s">
        <v>1168</v>
      </c>
      <c r="F1" s="6" t="s">
        <v>1169</v>
      </c>
      <c r="G1" s="6" t="s">
        <v>1170</v>
      </c>
      <c r="H1" s="6"/>
      <c r="I1" s="6" t="s">
        <v>1369</v>
      </c>
      <c r="J1" s="6" t="s">
        <v>1166</v>
      </c>
      <c r="K1" s="6" t="s">
        <v>7</v>
      </c>
      <c r="L1" s="6" t="s">
        <v>72</v>
      </c>
      <c r="M1" s="6" t="s">
        <v>1370</v>
      </c>
      <c r="N1" s="6" t="s">
        <v>1371</v>
      </c>
      <c r="O1" s="6" t="s">
        <v>1169</v>
      </c>
      <c r="P1" s="6" t="s">
        <v>1170</v>
      </c>
    </row>
    <row r="2" spans="1:16" ht="22.8" x14ac:dyDescent="0.25">
      <c r="A2" s="6">
        <v>1</v>
      </c>
      <c r="B2" s="6" t="s">
        <v>1171</v>
      </c>
      <c r="C2" s="6" t="s">
        <v>1172</v>
      </c>
      <c r="D2" s="6" t="s">
        <v>422</v>
      </c>
      <c r="E2" s="6" t="s">
        <v>1173</v>
      </c>
      <c r="F2" s="6" t="s">
        <v>1174</v>
      </c>
      <c r="G2" s="6" t="s">
        <v>1175</v>
      </c>
      <c r="H2" s="6"/>
      <c r="I2" s="6">
        <v>1</v>
      </c>
      <c r="J2" s="6" t="s">
        <v>1171</v>
      </c>
      <c r="K2" s="6" t="s">
        <v>1172</v>
      </c>
      <c r="L2" s="6" t="s">
        <v>422</v>
      </c>
      <c r="M2" s="6">
        <v>50</v>
      </c>
      <c r="N2" s="6">
        <v>1</v>
      </c>
      <c r="O2" s="6">
        <v>1</v>
      </c>
      <c r="P2" s="6">
        <v>0</v>
      </c>
    </row>
    <row r="3" spans="1:16" ht="22.8" x14ac:dyDescent="0.25">
      <c r="A3" s="6">
        <v>2</v>
      </c>
      <c r="B3" s="6"/>
      <c r="C3" s="6" t="s">
        <v>1176</v>
      </c>
      <c r="D3" s="6" t="s">
        <v>1177</v>
      </c>
      <c r="E3" s="6" t="s">
        <v>1178</v>
      </c>
      <c r="F3" s="6" t="s">
        <v>1179</v>
      </c>
      <c r="G3" s="6" t="s">
        <v>1180</v>
      </c>
      <c r="H3" s="6"/>
      <c r="I3" s="6">
        <v>2</v>
      </c>
      <c r="J3" s="6" t="s">
        <v>1171</v>
      </c>
      <c r="K3" s="6" t="s">
        <v>1176</v>
      </c>
      <c r="L3" s="6" t="s">
        <v>1177</v>
      </c>
      <c r="M3" s="6">
        <v>53.95</v>
      </c>
      <c r="N3" s="6">
        <v>2</v>
      </c>
      <c r="O3" s="6">
        <v>4</v>
      </c>
      <c r="P3" s="6">
        <v>1</v>
      </c>
    </row>
    <row r="4" spans="1:16" ht="45.6" x14ac:dyDescent="0.25">
      <c r="A4" s="6">
        <v>3</v>
      </c>
      <c r="B4" s="6"/>
      <c r="C4" s="6" t="s">
        <v>1181</v>
      </c>
      <c r="D4" s="6" t="s">
        <v>1182</v>
      </c>
      <c r="E4" s="6" t="s">
        <v>1183</v>
      </c>
      <c r="F4" s="6">
        <v>0</v>
      </c>
      <c r="G4" s="6" t="s">
        <v>1184</v>
      </c>
      <c r="H4" s="6"/>
      <c r="I4" s="6">
        <v>3</v>
      </c>
      <c r="J4" s="6" t="s">
        <v>1171</v>
      </c>
      <c r="K4" s="6" t="s">
        <v>1150</v>
      </c>
      <c r="L4" s="6" t="s">
        <v>396</v>
      </c>
      <c r="M4" s="6">
        <v>40</v>
      </c>
      <c r="N4" s="6">
        <v>0</v>
      </c>
      <c r="O4" s="6">
        <v>1</v>
      </c>
      <c r="P4" s="6">
        <v>0</v>
      </c>
    </row>
    <row r="5" spans="1:16" ht="45.6" x14ac:dyDescent="0.25">
      <c r="A5" s="6">
        <v>4</v>
      </c>
      <c r="B5" s="6"/>
      <c r="C5" s="6" t="s">
        <v>1185</v>
      </c>
      <c r="D5" s="6" t="s">
        <v>1186</v>
      </c>
      <c r="E5" s="6" t="s">
        <v>1187</v>
      </c>
      <c r="F5" s="6" t="s">
        <v>1188</v>
      </c>
      <c r="G5" s="6">
        <v>0</v>
      </c>
      <c r="H5" s="6"/>
      <c r="I5" s="6">
        <v>4</v>
      </c>
      <c r="J5" s="6" t="s">
        <v>1171</v>
      </c>
      <c r="K5" s="6" t="s">
        <v>769</v>
      </c>
      <c r="L5" s="6" t="s">
        <v>402</v>
      </c>
      <c r="M5" s="6">
        <v>179.19</v>
      </c>
      <c r="N5" s="6">
        <v>2</v>
      </c>
      <c r="O5" s="6">
        <v>2</v>
      </c>
      <c r="P5" s="6">
        <v>1</v>
      </c>
    </row>
    <row r="6" spans="1:16" ht="45.6" x14ac:dyDescent="0.25">
      <c r="A6" s="6">
        <v>5</v>
      </c>
      <c r="B6" s="6"/>
      <c r="C6" s="6" t="s">
        <v>769</v>
      </c>
      <c r="D6" s="6" t="s">
        <v>402</v>
      </c>
      <c r="E6" s="6" t="s">
        <v>1189</v>
      </c>
      <c r="F6" s="6" t="s">
        <v>1190</v>
      </c>
      <c r="G6" s="6" t="s">
        <v>1191</v>
      </c>
      <c r="H6" s="6"/>
      <c r="I6" s="6">
        <v>5</v>
      </c>
      <c r="J6" s="6" t="s">
        <v>1171</v>
      </c>
      <c r="K6" s="6" t="s">
        <v>1194</v>
      </c>
      <c r="L6" s="6" t="s">
        <v>371</v>
      </c>
      <c r="M6" s="6">
        <v>4</v>
      </c>
      <c r="N6" s="6">
        <v>3</v>
      </c>
      <c r="O6" s="6">
        <v>0</v>
      </c>
      <c r="P6" s="6">
        <v>0</v>
      </c>
    </row>
    <row r="7" spans="1:16" ht="22.8" x14ac:dyDescent="0.25">
      <c r="A7" s="6">
        <v>6</v>
      </c>
      <c r="B7" s="6"/>
      <c r="C7" s="6" t="s">
        <v>1192</v>
      </c>
      <c r="D7" s="6" t="s">
        <v>465</v>
      </c>
      <c r="E7" s="6" t="s">
        <v>1193</v>
      </c>
      <c r="F7" s="6">
        <v>0</v>
      </c>
      <c r="G7" s="6">
        <v>0</v>
      </c>
      <c r="H7" s="6"/>
      <c r="I7" s="6">
        <v>6</v>
      </c>
      <c r="J7" s="6" t="s">
        <v>1171</v>
      </c>
      <c r="K7" s="6" t="s">
        <v>765</v>
      </c>
      <c r="L7" s="6" t="s">
        <v>384</v>
      </c>
      <c r="M7" s="6">
        <v>5.37</v>
      </c>
      <c r="N7" s="6">
        <v>11</v>
      </c>
      <c r="O7" s="6">
        <v>0</v>
      </c>
      <c r="P7" s="6">
        <v>5</v>
      </c>
    </row>
    <row r="8" spans="1:16" ht="34.200000000000003" x14ac:dyDescent="0.25">
      <c r="A8" s="6">
        <v>7</v>
      </c>
      <c r="B8" s="6"/>
      <c r="C8" s="6" t="s">
        <v>1194</v>
      </c>
      <c r="D8" s="6" t="s">
        <v>371</v>
      </c>
      <c r="E8" s="6" t="s">
        <v>1195</v>
      </c>
      <c r="F8" s="6" t="s">
        <v>1196</v>
      </c>
      <c r="G8" s="6">
        <v>0</v>
      </c>
      <c r="H8" s="6"/>
      <c r="I8" s="6">
        <v>7</v>
      </c>
      <c r="J8" s="6" t="s">
        <v>1212</v>
      </c>
      <c r="K8" s="6" t="s">
        <v>789</v>
      </c>
      <c r="L8" s="6" t="s">
        <v>1225</v>
      </c>
      <c r="M8" s="6">
        <v>0.13</v>
      </c>
      <c r="N8" s="6">
        <v>40</v>
      </c>
      <c r="O8" s="6">
        <v>85</v>
      </c>
      <c r="P8" s="6">
        <v>0</v>
      </c>
    </row>
    <row r="9" spans="1:16" ht="34.200000000000003" x14ac:dyDescent="0.25">
      <c r="A9" s="6">
        <v>8</v>
      </c>
      <c r="B9" s="6"/>
      <c r="C9" s="6" t="s">
        <v>1197</v>
      </c>
      <c r="D9" s="6" t="s">
        <v>1198</v>
      </c>
      <c r="E9" s="6" t="s">
        <v>1199</v>
      </c>
      <c r="F9" s="6">
        <v>0</v>
      </c>
      <c r="G9" s="6">
        <v>0</v>
      </c>
      <c r="H9" s="6"/>
      <c r="I9" s="6">
        <v>8</v>
      </c>
      <c r="J9" s="6" t="s">
        <v>1212</v>
      </c>
      <c r="K9" s="6" t="s">
        <v>1143</v>
      </c>
      <c r="L9" s="6" t="s">
        <v>610</v>
      </c>
      <c r="M9" s="6">
        <v>0.17</v>
      </c>
      <c r="N9" s="6">
        <v>0</v>
      </c>
      <c r="O9" s="6">
        <v>8</v>
      </c>
      <c r="P9" s="6">
        <v>7</v>
      </c>
    </row>
    <row r="10" spans="1:16" ht="34.200000000000003" x14ac:dyDescent="0.25">
      <c r="A10" s="6">
        <v>9</v>
      </c>
      <c r="B10" s="6"/>
      <c r="C10" s="6" t="s">
        <v>765</v>
      </c>
      <c r="D10" s="6" t="s">
        <v>384</v>
      </c>
      <c r="E10" s="6" t="s">
        <v>1200</v>
      </c>
      <c r="F10" s="6">
        <v>0</v>
      </c>
      <c r="G10" s="6" t="s">
        <v>1201</v>
      </c>
      <c r="H10" s="6"/>
      <c r="I10" s="6">
        <v>9</v>
      </c>
      <c r="J10" s="6" t="s">
        <v>1212</v>
      </c>
      <c r="K10" s="6" t="s">
        <v>1213</v>
      </c>
      <c r="L10" s="6" t="s">
        <v>1214</v>
      </c>
      <c r="M10" s="6">
        <v>2</v>
      </c>
      <c r="N10" s="6">
        <v>2</v>
      </c>
      <c r="O10" s="6">
        <v>0</v>
      </c>
      <c r="P10" s="6">
        <v>1</v>
      </c>
    </row>
    <row r="11" spans="1:16" ht="34.200000000000003" x14ac:dyDescent="0.25">
      <c r="A11" s="6">
        <v>10</v>
      </c>
      <c r="B11" s="6"/>
      <c r="C11" s="6" t="s">
        <v>1202</v>
      </c>
      <c r="D11" s="6" t="s">
        <v>1203</v>
      </c>
      <c r="E11" s="6" t="s">
        <v>1204</v>
      </c>
      <c r="F11" s="6" t="s">
        <v>1205</v>
      </c>
      <c r="G11" s="6">
        <v>0</v>
      </c>
      <c r="H11" s="6"/>
      <c r="I11" s="6">
        <v>10</v>
      </c>
      <c r="J11" s="6" t="s">
        <v>1212</v>
      </c>
      <c r="K11" s="6" t="s">
        <v>1217</v>
      </c>
      <c r="L11" s="6">
        <v>35796</v>
      </c>
      <c r="M11" s="6">
        <v>15</v>
      </c>
      <c r="N11" s="6">
        <v>0</v>
      </c>
      <c r="O11" s="6">
        <v>0</v>
      </c>
      <c r="P11" s="6">
        <v>1</v>
      </c>
    </row>
    <row r="12" spans="1:16" ht="34.200000000000003" x14ac:dyDescent="0.25">
      <c r="A12" s="6">
        <v>11</v>
      </c>
      <c r="B12" s="6"/>
      <c r="C12" s="6" t="s">
        <v>1206</v>
      </c>
      <c r="D12" s="6" t="s">
        <v>435</v>
      </c>
      <c r="E12" s="6" t="s">
        <v>1207</v>
      </c>
      <c r="F12" s="6">
        <v>0</v>
      </c>
      <c r="G12" s="6" t="s">
        <v>1208</v>
      </c>
      <c r="H12" s="6"/>
      <c r="I12" s="6">
        <v>11</v>
      </c>
      <c r="J12" s="6" t="s">
        <v>1212</v>
      </c>
      <c r="K12" s="6" t="s">
        <v>1219</v>
      </c>
      <c r="L12" s="6" t="s">
        <v>1220</v>
      </c>
      <c r="M12" s="6">
        <v>0.01</v>
      </c>
      <c r="N12" s="6">
        <v>1157</v>
      </c>
      <c r="O12" s="6">
        <v>0</v>
      </c>
      <c r="P12" s="6">
        <v>0</v>
      </c>
    </row>
    <row r="13" spans="1:16" ht="34.200000000000003" x14ac:dyDescent="0.25">
      <c r="A13" s="6">
        <v>12</v>
      </c>
      <c r="B13" s="6"/>
      <c r="C13" s="6" t="s">
        <v>1209</v>
      </c>
      <c r="D13" s="6" t="s">
        <v>396</v>
      </c>
      <c r="E13" s="6">
        <v>0</v>
      </c>
      <c r="F13" s="6" t="s">
        <v>1210</v>
      </c>
      <c r="G13" s="6">
        <v>0</v>
      </c>
      <c r="H13" s="6"/>
      <c r="I13" s="6">
        <v>12</v>
      </c>
      <c r="J13" s="6" t="s">
        <v>1238</v>
      </c>
      <c r="K13" s="6" t="s">
        <v>1029</v>
      </c>
      <c r="L13" s="6" t="s">
        <v>534</v>
      </c>
      <c r="M13" s="6">
        <v>160</v>
      </c>
      <c r="N13" s="6">
        <v>2</v>
      </c>
      <c r="O13" s="6">
        <v>3</v>
      </c>
      <c r="P13" s="6">
        <v>3</v>
      </c>
    </row>
    <row r="14" spans="1:16" ht="45.6" x14ac:dyDescent="0.25">
      <c r="A14" s="6">
        <v>13</v>
      </c>
      <c r="B14" s="6"/>
      <c r="C14" s="6" t="s">
        <v>1148</v>
      </c>
      <c r="D14" s="6" t="s">
        <v>456</v>
      </c>
      <c r="E14" s="6">
        <v>0</v>
      </c>
      <c r="F14" s="6">
        <v>0</v>
      </c>
      <c r="G14" s="6" t="s">
        <v>1211</v>
      </c>
      <c r="H14" s="6"/>
      <c r="I14" s="6">
        <v>13</v>
      </c>
      <c r="J14" s="6" t="s">
        <v>1238</v>
      </c>
      <c r="K14" s="6" t="s">
        <v>1372</v>
      </c>
      <c r="L14" s="6" t="s">
        <v>495</v>
      </c>
      <c r="M14" s="6">
        <v>0.13</v>
      </c>
      <c r="N14" s="6">
        <v>49</v>
      </c>
      <c r="O14" s="6">
        <v>40</v>
      </c>
      <c r="P14" s="6">
        <v>35</v>
      </c>
    </row>
    <row r="15" spans="1:16" ht="34.200000000000003" x14ac:dyDescent="0.25">
      <c r="A15" s="6">
        <v>14</v>
      </c>
      <c r="B15" s="6" t="s">
        <v>1212</v>
      </c>
      <c r="C15" s="6" t="s">
        <v>1213</v>
      </c>
      <c r="D15" s="6" t="s">
        <v>1214</v>
      </c>
      <c r="E15" s="6" t="s">
        <v>1215</v>
      </c>
      <c r="F15" s="6">
        <v>0</v>
      </c>
      <c r="G15" s="6" t="s">
        <v>1216</v>
      </c>
      <c r="H15" s="6"/>
      <c r="I15" s="6">
        <v>14</v>
      </c>
      <c r="J15" s="6" t="s">
        <v>1238</v>
      </c>
      <c r="K15" s="6" t="s">
        <v>1125</v>
      </c>
      <c r="L15" s="6" t="s">
        <v>523</v>
      </c>
      <c r="M15" s="6">
        <v>0.96</v>
      </c>
      <c r="N15" s="6">
        <v>132</v>
      </c>
      <c r="O15" s="6">
        <v>194</v>
      </c>
      <c r="P15" s="6">
        <v>212</v>
      </c>
    </row>
    <row r="16" spans="1:16" ht="45.6" x14ac:dyDescent="0.25">
      <c r="A16" s="6">
        <v>15</v>
      </c>
      <c r="B16" s="6"/>
      <c r="C16" s="6" t="s">
        <v>1217</v>
      </c>
      <c r="D16" s="6">
        <v>35796</v>
      </c>
      <c r="E16" s="6">
        <v>0</v>
      </c>
      <c r="F16" s="6">
        <v>0</v>
      </c>
      <c r="G16" s="6" t="s">
        <v>1218</v>
      </c>
      <c r="H16" s="6"/>
      <c r="I16" s="6">
        <v>15</v>
      </c>
      <c r="J16" s="6" t="s">
        <v>1238</v>
      </c>
      <c r="K16" s="6" t="s">
        <v>948</v>
      </c>
      <c r="L16" s="6" t="s">
        <v>1253</v>
      </c>
      <c r="M16" s="6">
        <v>1.05</v>
      </c>
      <c r="N16" s="6">
        <v>0</v>
      </c>
      <c r="O16" s="6">
        <v>7</v>
      </c>
      <c r="P16" s="6">
        <v>9</v>
      </c>
    </row>
    <row r="17" spans="1:16" ht="34.200000000000003" x14ac:dyDescent="0.25">
      <c r="A17" s="6">
        <v>16</v>
      </c>
      <c r="B17" s="6"/>
      <c r="C17" s="6" t="s">
        <v>1219</v>
      </c>
      <c r="D17" s="6" t="s">
        <v>1220</v>
      </c>
      <c r="E17" s="6" t="s">
        <v>1221</v>
      </c>
      <c r="F17" s="6">
        <v>0</v>
      </c>
      <c r="G17" s="6">
        <v>0</v>
      </c>
      <c r="H17" s="6"/>
      <c r="I17" s="6">
        <v>16</v>
      </c>
      <c r="J17" s="6" t="s">
        <v>1238</v>
      </c>
      <c r="K17" s="6" t="s">
        <v>1258</v>
      </c>
      <c r="L17" s="6" t="s">
        <v>507</v>
      </c>
      <c r="M17" s="6">
        <v>0.39</v>
      </c>
      <c r="N17" s="6">
        <v>61</v>
      </c>
      <c r="O17" s="6">
        <v>20</v>
      </c>
      <c r="P17" s="6">
        <v>36</v>
      </c>
    </row>
    <row r="18" spans="1:16" ht="45.6" x14ac:dyDescent="0.25">
      <c r="A18" s="6">
        <v>17</v>
      </c>
      <c r="B18" s="6"/>
      <c r="C18" s="6" t="s">
        <v>1222</v>
      </c>
      <c r="D18" s="6" t="s">
        <v>1223</v>
      </c>
      <c r="E18" s="6" t="s">
        <v>1224</v>
      </c>
      <c r="F18" s="6">
        <v>0</v>
      </c>
      <c r="G18" s="6">
        <v>0</v>
      </c>
      <c r="H18" s="6"/>
      <c r="I18" s="6">
        <v>17</v>
      </c>
      <c r="J18" s="6" t="s">
        <v>1238</v>
      </c>
      <c r="K18" s="6" t="s">
        <v>1032</v>
      </c>
      <c r="L18" s="6" t="s">
        <v>483</v>
      </c>
      <c r="M18" s="6">
        <v>2.52</v>
      </c>
      <c r="N18" s="6">
        <v>197</v>
      </c>
      <c r="O18" s="6">
        <v>128</v>
      </c>
      <c r="P18" s="6">
        <v>141</v>
      </c>
    </row>
    <row r="19" spans="1:16" ht="34.200000000000003" x14ac:dyDescent="0.25">
      <c r="A19" s="6">
        <v>18</v>
      </c>
      <c r="B19" s="6"/>
      <c r="C19" s="6" t="s">
        <v>789</v>
      </c>
      <c r="D19" s="6" t="s">
        <v>1225</v>
      </c>
      <c r="E19" s="6" t="s">
        <v>1226</v>
      </c>
      <c r="F19" s="6" t="s">
        <v>1227</v>
      </c>
      <c r="G19" s="6">
        <v>0</v>
      </c>
      <c r="H19" s="6"/>
      <c r="I19" s="6">
        <v>18</v>
      </c>
      <c r="J19" s="6" t="s">
        <v>1238</v>
      </c>
      <c r="K19" s="6" t="s">
        <v>1265</v>
      </c>
      <c r="L19" s="6" t="s">
        <v>518</v>
      </c>
      <c r="M19" s="6">
        <v>13.82</v>
      </c>
      <c r="N19" s="6">
        <v>1</v>
      </c>
      <c r="O19" s="6">
        <v>1</v>
      </c>
      <c r="P19" s="6">
        <v>0</v>
      </c>
    </row>
    <row r="20" spans="1:16" ht="22.8" x14ac:dyDescent="0.25">
      <c r="A20" s="6">
        <v>19</v>
      </c>
      <c r="B20" s="6"/>
      <c r="C20" s="6" t="s">
        <v>1228</v>
      </c>
      <c r="D20" s="6" t="s">
        <v>1229</v>
      </c>
      <c r="E20" s="6" t="s">
        <v>1230</v>
      </c>
      <c r="F20" s="6" t="s">
        <v>1231</v>
      </c>
      <c r="G20" s="6" t="s">
        <v>1232</v>
      </c>
      <c r="H20" s="6"/>
      <c r="I20" s="6">
        <v>19</v>
      </c>
      <c r="J20" s="6" t="s">
        <v>1238</v>
      </c>
      <c r="K20" s="6" t="s">
        <v>1034</v>
      </c>
      <c r="L20" s="6" t="s">
        <v>513</v>
      </c>
      <c r="M20" s="6">
        <v>2.7</v>
      </c>
      <c r="N20" s="6">
        <v>2</v>
      </c>
      <c r="O20" s="6">
        <v>6</v>
      </c>
      <c r="P20" s="6">
        <v>2</v>
      </c>
    </row>
    <row r="21" spans="1:16" ht="45.6" x14ac:dyDescent="0.25">
      <c r="A21" s="6">
        <v>20</v>
      </c>
      <c r="B21" s="6"/>
      <c r="C21" s="6" t="s">
        <v>757</v>
      </c>
      <c r="D21" s="6" t="s">
        <v>1233</v>
      </c>
      <c r="E21" s="6" t="s">
        <v>1234</v>
      </c>
      <c r="F21" s="6">
        <v>0</v>
      </c>
      <c r="G21" s="6">
        <v>0</v>
      </c>
      <c r="H21" s="6"/>
      <c r="I21" s="6">
        <v>20</v>
      </c>
      <c r="J21" s="6" t="s">
        <v>1273</v>
      </c>
      <c r="K21" s="6" t="s">
        <v>721</v>
      </c>
      <c r="L21" s="6" t="s">
        <v>1274</v>
      </c>
      <c r="M21" s="6">
        <v>32.549999999999997</v>
      </c>
      <c r="N21" s="6">
        <v>71</v>
      </c>
      <c r="O21" s="6">
        <v>37</v>
      </c>
      <c r="P21" s="6">
        <v>36</v>
      </c>
    </row>
    <row r="22" spans="1:16" ht="34.200000000000003" x14ac:dyDescent="0.25">
      <c r="A22" s="6">
        <v>21</v>
      </c>
      <c r="B22" s="6"/>
      <c r="C22" s="6" t="s">
        <v>1152</v>
      </c>
      <c r="D22" s="6" t="s">
        <v>1235</v>
      </c>
      <c r="E22" s="6">
        <v>0</v>
      </c>
      <c r="F22" s="6" t="s">
        <v>1236</v>
      </c>
      <c r="G22" s="6">
        <v>0</v>
      </c>
      <c r="H22" s="6"/>
      <c r="I22" s="6">
        <v>21</v>
      </c>
      <c r="J22" s="6" t="s">
        <v>1273</v>
      </c>
      <c r="K22" s="6" t="s">
        <v>1110</v>
      </c>
      <c r="L22" s="6" t="s">
        <v>1321</v>
      </c>
      <c r="M22" s="6">
        <v>0.08</v>
      </c>
      <c r="N22" s="6">
        <v>1828</v>
      </c>
      <c r="O22" s="6">
        <v>2011</v>
      </c>
      <c r="P22" s="6">
        <v>2558</v>
      </c>
    </row>
    <row r="23" spans="1:16" ht="34.200000000000003" x14ac:dyDescent="0.25">
      <c r="A23" s="6">
        <v>22</v>
      </c>
      <c r="B23" s="6"/>
      <c r="C23" s="6" t="s">
        <v>1143</v>
      </c>
      <c r="D23" s="6" t="s">
        <v>610</v>
      </c>
      <c r="E23" s="6">
        <v>0</v>
      </c>
      <c r="F23" s="6" t="s">
        <v>1232</v>
      </c>
      <c r="G23" s="6" t="s">
        <v>1237</v>
      </c>
      <c r="H23" s="6"/>
      <c r="I23" s="6">
        <v>22</v>
      </c>
      <c r="J23" s="6" t="s">
        <v>1273</v>
      </c>
      <c r="K23" s="6" t="s">
        <v>1112</v>
      </c>
      <c r="L23" s="6" t="s">
        <v>1278</v>
      </c>
      <c r="M23" s="6">
        <v>0.03</v>
      </c>
      <c r="N23" s="6">
        <v>2674</v>
      </c>
      <c r="O23" s="6">
        <v>0</v>
      </c>
      <c r="P23" s="6">
        <v>6665</v>
      </c>
    </row>
    <row r="24" spans="1:16" ht="22.8" x14ac:dyDescent="0.25">
      <c r="A24" s="6">
        <v>23</v>
      </c>
      <c r="B24" s="6" t="s">
        <v>1238</v>
      </c>
      <c r="C24" s="6" t="s">
        <v>1029</v>
      </c>
      <c r="D24" s="6" t="s">
        <v>534</v>
      </c>
      <c r="E24" s="6" t="s">
        <v>1239</v>
      </c>
      <c r="F24" s="6" t="s">
        <v>1240</v>
      </c>
      <c r="G24" s="6" t="s">
        <v>1241</v>
      </c>
      <c r="H24" s="6"/>
      <c r="I24" s="6">
        <v>23</v>
      </c>
      <c r="J24" s="6" t="s">
        <v>1273</v>
      </c>
      <c r="K24" s="6" t="s">
        <v>1281</v>
      </c>
      <c r="L24" s="6" t="s">
        <v>1282</v>
      </c>
      <c r="M24" s="6">
        <v>0.8</v>
      </c>
      <c r="N24" s="6">
        <v>89</v>
      </c>
      <c r="O24" s="6">
        <v>64</v>
      </c>
      <c r="P24" s="6">
        <v>71</v>
      </c>
    </row>
    <row r="25" spans="1:16" ht="34.200000000000003" x14ac:dyDescent="0.25">
      <c r="A25" s="6">
        <v>24</v>
      </c>
      <c r="B25" s="6"/>
      <c r="C25" s="6" t="s">
        <v>1242</v>
      </c>
      <c r="D25" s="6">
        <v>29102</v>
      </c>
      <c r="E25" s="6" t="s">
        <v>1243</v>
      </c>
      <c r="F25" s="6" t="s">
        <v>1244</v>
      </c>
      <c r="G25" s="6" t="s">
        <v>1245</v>
      </c>
      <c r="H25" s="6"/>
      <c r="I25" s="6">
        <v>24</v>
      </c>
      <c r="J25" s="6" t="s">
        <v>1273</v>
      </c>
      <c r="K25" s="6" t="s">
        <v>1289</v>
      </c>
      <c r="L25" s="6" t="s">
        <v>1290</v>
      </c>
      <c r="M25" s="6">
        <v>0.11</v>
      </c>
      <c r="N25" s="6">
        <v>310</v>
      </c>
      <c r="O25" s="6">
        <v>0</v>
      </c>
      <c r="P25" s="6">
        <v>0</v>
      </c>
    </row>
    <row r="26" spans="1:16" ht="45.6" x14ac:dyDescent="0.25">
      <c r="A26" s="6">
        <v>25</v>
      </c>
      <c r="B26" s="6"/>
      <c r="C26" s="6" t="s">
        <v>1246</v>
      </c>
      <c r="D26" s="6" t="s">
        <v>495</v>
      </c>
      <c r="E26" s="6" t="s">
        <v>1247</v>
      </c>
      <c r="F26" s="6" t="s">
        <v>1248</v>
      </c>
      <c r="G26" s="6" t="s">
        <v>1249</v>
      </c>
      <c r="H26" s="6"/>
      <c r="I26" s="6">
        <v>25</v>
      </c>
      <c r="J26" s="6" t="s">
        <v>1273</v>
      </c>
      <c r="K26" s="6" t="s">
        <v>905</v>
      </c>
      <c r="L26" s="6" t="s">
        <v>1292</v>
      </c>
      <c r="M26" s="6">
        <v>0.06</v>
      </c>
      <c r="N26" s="6">
        <v>37901</v>
      </c>
      <c r="O26" s="6">
        <v>53206</v>
      </c>
      <c r="P26" s="6">
        <v>44759</v>
      </c>
    </row>
    <row r="27" spans="1:16" ht="34.200000000000003" x14ac:dyDescent="0.25">
      <c r="A27" s="6">
        <v>26</v>
      </c>
      <c r="B27" s="6"/>
      <c r="C27" s="6" t="s">
        <v>1125</v>
      </c>
      <c r="D27" s="6" t="s">
        <v>523</v>
      </c>
      <c r="E27" s="6" t="s">
        <v>1250</v>
      </c>
      <c r="F27" s="6" t="s">
        <v>1251</v>
      </c>
      <c r="G27" s="6" t="s">
        <v>1252</v>
      </c>
      <c r="H27" s="6"/>
      <c r="I27" s="6">
        <v>26</v>
      </c>
      <c r="J27" s="6" t="s">
        <v>1273</v>
      </c>
      <c r="K27" s="6" t="s">
        <v>967</v>
      </c>
      <c r="L27" s="6" t="s">
        <v>1299</v>
      </c>
      <c r="M27" s="6">
        <v>13.15</v>
      </c>
      <c r="N27" s="6">
        <v>29</v>
      </c>
      <c r="O27" s="6">
        <v>5</v>
      </c>
      <c r="P27" s="6">
        <v>8</v>
      </c>
    </row>
    <row r="28" spans="1:16" ht="45.6" x14ac:dyDescent="0.25">
      <c r="A28" s="6">
        <v>27</v>
      </c>
      <c r="B28" s="6"/>
      <c r="C28" s="6" t="s">
        <v>948</v>
      </c>
      <c r="D28" s="6" t="s">
        <v>1253</v>
      </c>
      <c r="E28" s="6">
        <v>0</v>
      </c>
      <c r="F28" s="6" t="s">
        <v>1254</v>
      </c>
      <c r="G28" s="6" t="s">
        <v>1255</v>
      </c>
      <c r="H28" s="6"/>
      <c r="I28" s="6">
        <v>27</v>
      </c>
      <c r="J28" s="6" t="s">
        <v>1273</v>
      </c>
      <c r="K28" s="6" t="s">
        <v>908</v>
      </c>
      <c r="L28" s="6" t="s">
        <v>1303</v>
      </c>
      <c r="M28" s="6">
        <v>128.08000000000001</v>
      </c>
      <c r="N28" s="6">
        <v>7</v>
      </c>
      <c r="O28" s="6">
        <v>4</v>
      </c>
      <c r="P28" s="6">
        <v>5</v>
      </c>
    </row>
    <row r="29" spans="1:16" ht="34.200000000000003" x14ac:dyDescent="0.25">
      <c r="A29" s="6">
        <v>28</v>
      </c>
      <c r="B29" s="6"/>
      <c r="C29" s="6" t="s">
        <v>1256</v>
      </c>
      <c r="D29" s="6" t="s">
        <v>502</v>
      </c>
      <c r="E29" s="6" t="s">
        <v>1257</v>
      </c>
      <c r="F29" s="6">
        <v>0</v>
      </c>
      <c r="G29" s="6">
        <v>0</v>
      </c>
      <c r="H29" s="6"/>
      <c r="I29" s="6">
        <v>28</v>
      </c>
      <c r="J29" s="6" t="s">
        <v>1273</v>
      </c>
      <c r="K29" s="6" t="s">
        <v>983</v>
      </c>
      <c r="L29" s="6" t="s">
        <v>1296</v>
      </c>
      <c r="M29" s="6">
        <v>12.8</v>
      </c>
      <c r="N29" s="6">
        <v>3</v>
      </c>
      <c r="O29" s="6">
        <v>1</v>
      </c>
      <c r="P29" s="6">
        <v>0</v>
      </c>
    </row>
    <row r="30" spans="1:16" ht="34.200000000000003" x14ac:dyDescent="0.25">
      <c r="A30" s="6">
        <v>29</v>
      </c>
      <c r="B30" s="6"/>
      <c r="C30" s="6" t="s">
        <v>1258</v>
      </c>
      <c r="D30" s="6" t="s">
        <v>507</v>
      </c>
      <c r="E30" s="6" t="s">
        <v>1259</v>
      </c>
      <c r="F30" s="6" t="s">
        <v>1260</v>
      </c>
      <c r="G30" s="6" t="s">
        <v>1261</v>
      </c>
      <c r="H30" s="6"/>
      <c r="I30" s="6">
        <v>29</v>
      </c>
      <c r="J30" s="6" t="s">
        <v>1273</v>
      </c>
      <c r="K30" s="6" t="s">
        <v>793</v>
      </c>
      <c r="L30" s="6" t="s">
        <v>1307</v>
      </c>
      <c r="M30" s="6">
        <v>0.7</v>
      </c>
      <c r="N30" s="6">
        <v>113</v>
      </c>
      <c r="O30" s="6">
        <v>21</v>
      </c>
      <c r="P30" s="6">
        <v>29</v>
      </c>
    </row>
    <row r="31" spans="1:16" ht="34.200000000000003" x14ac:dyDescent="0.25">
      <c r="A31" s="6">
        <v>30</v>
      </c>
      <c r="B31" s="6"/>
      <c r="C31" s="6" t="s">
        <v>1032</v>
      </c>
      <c r="D31" s="6" t="s">
        <v>483</v>
      </c>
      <c r="E31" s="6" t="s">
        <v>1262</v>
      </c>
      <c r="F31" s="6" t="s">
        <v>1263</v>
      </c>
      <c r="G31" s="6" t="s">
        <v>1264</v>
      </c>
      <c r="H31" s="6"/>
      <c r="I31" s="6">
        <v>30</v>
      </c>
      <c r="J31" s="6" t="s">
        <v>1273</v>
      </c>
      <c r="K31" s="6" t="s">
        <v>987</v>
      </c>
      <c r="L31" s="6" t="s">
        <v>1314</v>
      </c>
      <c r="M31" s="6">
        <v>0.01</v>
      </c>
      <c r="N31" s="6">
        <v>21313</v>
      </c>
      <c r="O31" s="6">
        <v>10273</v>
      </c>
      <c r="P31" s="6">
        <v>5625</v>
      </c>
    </row>
    <row r="32" spans="1:16" ht="22.8" x14ac:dyDescent="0.25">
      <c r="A32" s="6">
        <v>31</v>
      </c>
      <c r="B32" s="6"/>
      <c r="C32" s="6" t="s">
        <v>1265</v>
      </c>
      <c r="D32" s="6" t="s">
        <v>518</v>
      </c>
      <c r="E32" s="6" t="s">
        <v>1266</v>
      </c>
      <c r="F32" s="6" t="s">
        <v>1267</v>
      </c>
      <c r="G32" s="6">
        <v>0</v>
      </c>
      <c r="H32" s="6"/>
      <c r="I32" s="6">
        <v>31</v>
      </c>
      <c r="J32" s="6" t="s">
        <v>1273</v>
      </c>
      <c r="K32" s="6" t="s">
        <v>1373</v>
      </c>
      <c r="L32" s="6" t="s">
        <v>1312</v>
      </c>
      <c r="M32" s="6">
        <v>0.25</v>
      </c>
      <c r="N32" s="6">
        <v>38</v>
      </c>
      <c r="O32" s="6">
        <v>0</v>
      </c>
      <c r="P32" s="6">
        <v>0</v>
      </c>
    </row>
    <row r="33" spans="1:16" ht="34.200000000000003" x14ac:dyDescent="0.25">
      <c r="A33" s="6">
        <v>32</v>
      </c>
      <c r="B33" s="6"/>
      <c r="C33" s="6" t="s">
        <v>1034</v>
      </c>
      <c r="D33" s="6" t="s">
        <v>513</v>
      </c>
      <c r="E33" s="6" t="s">
        <v>1268</v>
      </c>
      <c r="F33" s="6" t="s">
        <v>1269</v>
      </c>
      <c r="G33" s="6" t="s">
        <v>1270</v>
      </c>
      <c r="H33" s="6"/>
      <c r="I33" s="6">
        <v>32</v>
      </c>
      <c r="J33" s="6" t="s">
        <v>1273</v>
      </c>
      <c r="K33" s="6" t="s">
        <v>970</v>
      </c>
      <c r="L33" s="6" t="s">
        <v>1325</v>
      </c>
      <c r="M33" s="6">
        <v>1.89</v>
      </c>
      <c r="N33" s="6">
        <v>14</v>
      </c>
      <c r="O33" s="6">
        <v>27</v>
      </c>
      <c r="P33" s="6">
        <v>20</v>
      </c>
    </row>
    <row r="34" spans="1:16" ht="34.200000000000003" x14ac:dyDescent="0.25">
      <c r="A34" s="6">
        <v>33</v>
      </c>
      <c r="B34" s="6"/>
      <c r="C34" s="6" t="s">
        <v>1028</v>
      </c>
      <c r="D34" s="6" t="s">
        <v>1271</v>
      </c>
      <c r="E34" s="6">
        <v>0</v>
      </c>
      <c r="F34" s="6">
        <v>0</v>
      </c>
      <c r="G34" s="6" t="s">
        <v>1272</v>
      </c>
      <c r="H34" s="6"/>
      <c r="I34" s="6">
        <v>33</v>
      </c>
      <c r="J34" s="6" t="s">
        <v>1273</v>
      </c>
      <c r="K34" s="6" t="s">
        <v>996</v>
      </c>
      <c r="L34" s="6" t="s">
        <v>1329</v>
      </c>
      <c r="M34" s="6">
        <v>1.1200000000000001</v>
      </c>
      <c r="N34" s="6">
        <v>13</v>
      </c>
      <c r="O34" s="6">
        <v>6</v>
      </c>
      <c r="P34" s="6">
        <v>0</v>
      </c>
    </row>
    <row r="35" spans="1:16" ht="34.200000000000003" x14ac:dyDescent="0.25">
      <c r="A35" s="6">
        <v>34</v>
      </c>
      <c r="B35" s="6" t="s">
        <v>1273</v>
      </c>
      <c r="C35" s="6" t="s">
        <v>721</v>
      </c>
      <c r="D35" s="6" t="s">
        <v>1274</v>
      </c>
      <c r="E35" s="6" t="s">
        <v>1275</v>
      </c>
      <c r="F35" s="6" t="s">
        <v>1276</v>
      </c>
      <c r="G35" s="6" t="s">
        <v>1277</v>
      </c>
      <c r="H35" s="6"/>
      <c r="I35" s="6">
        <v>34</v>
      </c>
      <c r="J35" s="6" t="s">
        <v>1273</v>
      </c>
      <c r="K35" s="6" t="s">
        <v>1164</v>
      </c>
      <c r="L35" s="6" t="s">
        <v>1332</v>
      </c>
      <c r="M35" s="6">
        <v>1.5</v>
      </c>
      <c r="N35" s="6">
        <v>10</v>
      </c>
      <c r="O35" s="6">
        <v>53</v>
      </c>
      <c r="P35" s="6">
        <v>16</v>
      </c>
    </row>
    <row r="36" spans="1:16" ht="34.200000000000003" x14ac:dyDescent="0.25">
      <c r="A36" s="6">
        <v>35</v>
      </c>
      <c r="B36" s="6"/>
      <c r="C36" s="6" t="s">
        <v>1112</v>
      </c>
      <c r="D36" s="6" t="s">
        <v>1278</v>
      </c>
      <c r="E36" s="6" t="s">
        <v>1279</v>
      </c>
      <c r="F36" s="6">
        <v>0</v>
      </c>
      <c r="G36" s="6" t="s">
        <v>1280</v>
      </c>
      <c r="H36" s="6"/>
      <c r="I36" s="6">
        <v>35</v>
      </c>
      <c r="J36" s="6" t="s">
        <v>1273</v>
      </c>
      <c r="K36" s="6" t="s">
        <v>1137</v>
      </c>
      <c r="L36" s="6" t="s">
        <v>1318</v>
      </c>
      <c r="M36" s="6">
        <v>1.4</v>
      </c>
      <c r="N36" s="6">
        <v>71</v>
      </c>
      <c r="O36" s="6">
        <v>36</v>
      </c>
      <c r="P36" s="6">
        <v>0</v>
      </c>
    </row>
    <row r="37" spans="1:16" ht="34.200000000000003" x14ac:dyDescent="0.25">
      <c r="A37" s="6">
        <v>36</v>
      </c>
      <c r="B37" s="6"/>
      <c r="C37" s="6" t="s">
        <v>1281</v>
      </c>
      <c r="D37" s="6" t="s">
        <v>1282</v>
      </c>
      <c r="E37" s="6" t="s">
        <v>1283</v>
      </c>
      <c r="F37" s="6" t="s">
        <v>1284</v>
      </c>
      <c r="G37" s="6" t="s">
        <v>1285</v>
      </c>
      <c r="H37" s="6"/>
      <c r="I37" s="6">
        <v>36</v>
      </c>
      <c r="J37" s="6" t="s">
        <v>1273</v>
      </c>
      <c r="K37" s="6" t="s">
        <v>990</v>
      </c>
      <c r="L37" s="6" t="s">
        <v>1340</v>
      </c>
      <c r="M37" s="6">
        <v>3.15</v>
      </c>
      <c r="N37" s="6">
        <v>1</v>
      </c>
      <c r="O37" s="6">
        <v>0</v>
      </c>
      <c r="P37" s="6">
        <v>0</v>
      </c>
    </row>
    <row r="38" spans="1:16" ht="45.6" x14ac:dyDescent="0.25">
      <c r="A38" s="6">
        <v>37</v>
      </c>
      <c r="B38" s="6"/>
      <c r="C38" s="6" t="s">
        <v>1286</v>
      </c>
      <c r="D38" s="6" t="s">
        <v>1287</v>
      </c>
      <c r="E38" s="6">
        <v>0</v>
      </c>
      <c r="F38" s="6" t="s">
        <v>1288</v>
      </c>
      <c r="G38" s="6">
        <v>0</v>
      </c>
      <c r="H38" s="6"/>
      <c r="I38" s="6">
        <v>37</v>
      </c>
      <c r="J38" s="6" t="s">
        <v>1212</v>
      </c>
      <c r="K38" s="6" t="s">
        <v>1374</v>
      </c>
      <c r="L38" s="6" t="s">
        <v>1233</v>
      </c>
      <c r="M38" s="6">
        <v>0.12</v>
      </c>
      <c r="N38" s="6">
        <v>16</v>
      </c>
      <c r="O38" s="6">
        <v>0</v>
      </c>
      <c r="P38" s="6">
        <v>0</v>
      </c>
    </row>
    <row r="39" spans="1:16" ht="34.200000000000003" x14ac:dyDescent="0.25">
      <c r="A39" s="6">
        <v>38</v>
      </c>
      <c r="B39" s="6"/>
      <c r="C39" s="6" t="s">
        <v>1289</v>
      </c>
      <c r="D39" s="6" t="s">
        <v>1290</v>
      </c>
      <c r="E39" s="6" t="s">
        <v>1291</v>
      </c>
      <c r="F39" s="6">
        <v>0</v>
      </c>
      <c r="G39" s="6">
        <v>0</v>
      </c>
      <c r="H39" s="6"/>
      <c r="I39" s="6">
        <v>38</v>
      </c>
      <c r="J39" s="6" t="s">
        <v>1171</v>
      </c>
      <c r="K39" s="6" t="s">
        <v>1181</v>
      </c>
      <c r="L39" s="6" t="s">
        <v>1182</v>
      </c>
      <c r="M39" s="6">
        <v>45</v>
      </c>
      <c r="N39" s="6">
        <v>1</v>
      </c>
      <c r="O39" s="6">
        <v>0</v>
      </c>
      <c r="P39" s="6">
        <v>0</v>
      </c>
    </row>
    <row r="40" spans="1:16" ht="45.6" x14ac:dyDescent="0.25">
      <c r="A40" s="6">
        <v>39</v>
      </c>
      <c r="B40" s="6"/>
      <c r="C40" s="6" t="s">
        <v>905</v>
      </c>
      <c r="D40" s="6" t="s">
        <v>1292</v>
      </c>
      <c r="E40" s="6" t="s">
        <v>1293</v>
      </c>
      <c r="F40" s="6" t="s">
        <v>1294</v>
      </c>
      <c r="G40" s="6" t="s">
        <v>1295</v>
      </c>
      <c r="H40" s="6"/>
      <c r="I40" s="6">
        <v>39</v>
      </c>
      <c r="J40" s="6" t="s">
        <v>1171</v>
      </c>
      <c r="K40" s="6" t="s">
        <v>1185</v>
      </c>
      <c r="L40" s="6" t="s">
        <v>1186</v>
      </c>
      <c r="M40" s="6">
        <v>50</v>
      </c>
      <c r="N40" s="6">
        <v>2</v>
      </c>
      <c r="O40" s="6">
        <v>3</v>
      </c>
      <c r="P40" s="6">
        <v>0</v>
      </c>
    </row>
    <row r="41" spans="1:16" ht="34.200000000000003" x14ac:dyDescent="0.25">
      <c r="A41" s="6">
        <v>40</v>
      </c>
      <c r="B41" s="6"/>
      <c r="C41" s="6" t="s">
        <v>983</v>
      </c>
      <c r="D41" s="6" t="s">
        <v>1296</v>
      </c>
      <c r="E41" s="6" t="s">
        <v>1297</v>
      </c>
      <c r="F41" s="6" t="s">
        <v>1298</v>
      </c>
      <c r="G41" s="6">
        <v>0</v>
      </c>
      <c r="H41" s="6"/>
      <c r="I41" s="6">
        <v>40</v>
      </c>
      <c r="J41" s="6" t="s">
        <v>1171</v>
      </c>
      <c r="K41" s="6" t="s">
        <v>1192</v>
      </c>
      <c r="L41" s="6" t="s">
        <v>465</v>
      </c>
      <c r="M41" s="6">
        <v>1.51</v>
      </c>
      <c r="N41" s="6">
        <v>16</v>
      </c>
      <c r="O41" s="6">
        <v>0</v>
      </c>
      <c r="P41" s="6">
        <v>0</v>
      </c>
    </row>
    <row r="42" spans="1:16" ht="34.200000000000003" x14ac:dyDescent="0.25">
      <c r="A42" s="6">
        <v>41</v>
      </c>
      <c r="B42" s="6"/>
      <c r="C42" s="6" t="s">
        <v>967</v>
      </c>
      <c r="D42" s="6" t="s">
        <v>1299</v>
      </c>
      <c r="E42" s="6" t="s">
        <v>1300</v>
      </c>
      <c r="F42" s="6" t="s">
        <v>1301</v>
      </c>
      <c r="G42" s="6" t="s">
        <v>1302</v>
      </c>
      <c r="H42" s="6"/>
      <c r="I42" s="6">
        <v>41</v>
      </c>
      <c r="J42" s="6" t="s">
        <v>1171</v>
      </c>
      <c r="K42" s="6" t="s">
        <v>1197</v>
      </c>
      <c r="L42" s="6" t="s">
        <v>1198</v>
      </c>
      <c r="M42" s="6">
        <v>1.43</v>
      </c>
      <c r="N42" s="6">
        <v>2</v>
      </c>
      <c r="O42" s="6">
        <v>0</v>
      </c>
      <c r="P42" s="6">
        <v>0</v>
      </c>
    </row>
    <row r="43" spans="1:16" ht="34.200000000000003" x14ac:dyDescent="0.25">
      <c r="A43" s="6">
        <v>42</v>
      </c>
      <c r="B43" s="6"/>
      <c r="C43" s="6" t="s">
        <v>908</v>
      </c>
      <c r="D43" s="6" t="s">
        <v>1303</v>
      </c>
      <c r="E43" s="6" t="s">
        <v>1304</v>
      </c>
      <c r="F43" s="6" t="s">
        <v>1305</v>
      </c>
      <c r="G43" s="6" t="s">
        <v>1306</v>
      </c>
      <c r="H43" s="6"/>
      <c r="I43" s="6">
        <v>42</v>
      </c>
      <c r="J43" s="6" t="s">
        <v>1212</v>
      </c>
      <c r="K43" s="6" t="s">
        <v>1152</v>
      </c>
      <c r="L43" s="6" t="s">
        <v>1235</v>
      </c>
      <c r="M43" s="6">
        <v>1.43</v>
      </c>
      <c r="N43" s="6">
        <v>0</v>
      </c>
      <c r="O43" s="6">
        <v>1</v>
      </c>
      <c r="P43" s="6">
        <v>0</v>
      </c>
    </row>
    <row r="44" spans="1:16" ht="34.200000000000003" x14ac:dyDescent="0.25">
      <c r="A44" s="6">
        <v>43</v>
      </c>
      <c r="B44" s="6"/>
      <c r="C44" s="6" t="s">
        <v>793</v>
      </c>
      <c r="D44" s="6" t="s">
        <v>1307</v>
      </c>
      <c r="E44" s="6" t="s">
        <v>1308</v>
      </c>
      <c r="F44" s="6" t="s">
        <v>1309</v>
      </c>
      <c r="G44" s="6" t="s">
        <v>1310</v>
      </c>
      <c r="H44" s="6"/>
      <c r="I44" s="6">
        <v>43</v>
      </c>
      <c r="J44" s="6" t="s">
        <v>1238</v>
      </c>
      <c r="K44" s="6" t="s">
        <v>1256</v>
      </c>
      <c r="L44" s="6" t="s">
        <v>502</v>
      </c>
      <c r="M44" s="6">
        <v>0.15</v>
      </c>
      <c r="N44" s="6">
        <v>38</v>
      </c>
      <c r="O44" s="6">
        <v>0</v>
      </c>
      <c r="P44" s="6">
        <v>0</v>
      </c>
    </row>
    <row r="45" spans="1:16" ht="34.200000000000003" x14ac:dyDescent="0.25">
      <c r="A45" s="6">
        <v>44</v>
      </c>
      <c r="B45" s="6"/>
      <c r="C45" s="6" t="s">
        <v>1311</v>
      </c>
      <c r="D45" s="6" t="s">
        <v>1312</v>
      </c>
      <c r="E45" s="6" t="s">
        <v>1313</v>
      </c>
      <c r="F45" s="6">
        <v>0</v>
      </c>
      <c r="G45" s="6">
        <v>0</v>
      </c>
      <c r="H45" s="6"/>
      <c r="I45" s="6">
        <v>44</v>
      </c>
      <c r="J45" s="6" t="s">
        <v>1238</v>
      </c>
      <c r="K45" s="6" t="s">
        <v>1028</v>
      </c>
      <c r="L45" s="6" t="s">
        <v>1271</v>
      </c>
      <c r="M45" s="6">
        <v>3.56</v>
      </c>
      <c r="N45" s="6">
        <v>0</v>
      </c>
      <c r="O45" s="6">
        <v>0</v>
      </c>
      <c r="P45" s="6">
        <v>2</v>
      </c>
    </row>
    <row r="46" spans="1:16" ht="34.200000000000003" x14ac:dyDescent="0.25">
      <c r="A46" s="6">
        <v>45</v>
      </c>
      <c r="B46" s="6" t="s">
        <v>1273</v>
      </c>
      <c r="C46" s="6" t="s">
        <v>987</v>
      </c>
      <c r="D46" s="6" t="s">
        <v>1314</v>
      </c>
      <c r="E46" s="6" t="s">
        <v>1315</v>
      </c>
      <c r="F46" s="6" t="s">
        <v>1316</v>
      </c>
      <c r="G46" s="6" t="s">
        <v>1317</v>
      </c>
      <c r="H46" s="6"/>
      <c r="I46" s="6">
        <v>45</v>
      </c>
      <c r="J46" s="6" t="s">
        <v>1273</v>
      </c>
      <c r="K46" s="6" t="s">
        <v>1375</v>
      </c>
      <c r="L46" s="6" t="s">
        <v>1376</v>
      </c>
      <c r="M46" s="6" t="s">
        <v>1376</v>
      </c>
      <c r="N46" s="6" t="s">
        <v>1376</v>
      </c>
      <c r="O46" s="6" t="s">
        <v>1376</v>
      </c>
      <c r="P46" s="6"/>
    </row>
    <row r="47" spans="1:16" ht="34.200000000000003" x14ac:dyDescent="0.25">
      <c r="A47" s="6">
        <v>46</v>
      </c>
      <c r="B47" s="6"/>
      <c r="C47" s="6" t="s">
        <v>1137</v>
      </c>
      <c r="D47" s="6" t="s">
        <v>1318</v>
      </c>
      <c r="E47" s="6" t="s">
        <v>1319</v>
      </c>
      <c r="F47" s="6" t="s">
        <v>1320</v>
      </c>
      <c r="G47" s="6">
        <v>0</v>
      </c>
      <c r="H47" s="6"/>
      <c r="I47" s="6"/>
      <c r="J47" s="6"/>
      <c r="K47" s="6"/>
      <c r="L47" s="6"/>
      <c r="M47" s="6"/>
      <c r="N47" s="6"/>
      <c r="O47" s="6"/>
      <c r="P47" s="6"/>
    </row>
    <row r="48" spans="1:16" ht="34.200000000000003" x14ac:dyDescent="0.25">
      <c r="A48" s="6">
        <v>47</v>
      </c>
      <c r="B48" s="6"/>
      <c r="C48" s="6" t="s">
        <v>1110</v>
      </c>
      <c r="D48" s="6" t="s">
        <v>1321</v>
      </c>
      <c r="E48" s="6" t="s">
        <v>1322</v>
      </c>
      <c r="F48" s="6" t="s">
        <v>1323</v>
      </c>
      <c r="G48" s="6" t="s">
        <v>1324</v>
      </c>
      <c r="H48" s="6"/>
      <c r="I48" s="6"/>
      <c r="J48" s="6"/>
      <c r="K48" s="6"/>
      <c r="L48" s="6"/>
      <c r="M48" s="6"/>
      <c r="N48" s="6"/>
      <c r="O48" s="6"/>
      <c r="P48" s="6"/>
    </row>
    <row r="49" spans="1:16" ht="34.200000000000003" x14ac:dyDescent="0.25">
      <c r="A49" s="6">
        <v>48</v>
      </c>
      <c r="B49" s="6"/>
      <c r="C49" s="6" t="s">
        <v>970</v>
      </c>
      <c r="D49" s="6" t="s">
        <v>1325</v>
      </c>
      <c r="E49" s="6" t="s">
        <v>1326</v>
      </c>
      <c r="F49" s="6" t="s">
        <v>1327</v>
      </c>
      <c r="G49" s="6" t="s">
        <v>1328</v>
      </c>
      <c r="H49" s="6"/>
      <c r="I49" s="6"/>
      <c r="J49" s="6"/>
      <c r="K49" s="6"/>
      <c r="L49" s="6"/>
      <c r="M49" s="6"/>
      <c r="N49" s="6"/>
      <c r="O49" s="6"/>
      <c r="P49" s="6"/>
    </row>
    <row r="50" spans="1:16" ht="34.200000000000003" x14ac:dyDescent="0.25">
      <c r="A50" s="6">
        <v>49</v>
      </c>
      <c r="B50" s="6"/>
      <c r="C50" s="6" t="s">
        <v>996</v>
      </c>
      <c r="D50" s="6" t="s">
        <v>1329</v>
      </c>
      <c r="E50" s="6" t="s">
        <v>1330</v>
      </c>
      <c r="F50" s="6" t="s">
        <v>1331</v>
      </c>
      <c r="G50" s="6">
        <v>0</v>
      </c>
      <c r="H50" s="6"/>
      <c r="I50" s="6"/>
      <c r="J50" s="6"/>
      <c r="K50" s="6"/>
      <c r="L50" s="6"/>
      <c r="M50" s="6"/>
      <c r="N50" s="6"/>
      <c r="O50" s="6"/>
      <c r="P50" s="6"/>
    </row>
    <row r="51" spans="1:16" ht="34.200000000000003" x14ac:dyDescent="0.25">
      <c r="A51" s="6">
        <v>50</v>
      </c>
      <c r="B51" s="6"/>
      <c r="C51" s="6" t="s">
        <v>1164</v>
      </c>
      <c r="D51" s="6" t="s">
        <v>1332</v>
      </c>
      <c r="E51" s="6" t="s">
        <v>1333</v>
      </c>
      <c r="F51" s="6" t="s">
        <v>1334</v>
      </c>
      <c r="G51" s="6" t="s">
        <v>1335</v>
      </c>
      <c r="H51" s="6"/>
      <c r="I51" s="6"/>
      <c r="J51" s="6"/>
      <c r="K51" s="6"/>
      <c r="L51" s="6"/>
      <c r="M51" s="6"/>
      <c r="N51" s="6"/>
      <c r="O51" s="6"/>
      <c r="P51" s="6"/>
    </row>
    <row r="52" spans="1:16" ht="34.200000000000003" x14ac:dyDescent="0.25">
      <c r="A52" s="6">
        <v>51</v>
      </c>
      <c r="B52" s="6"/>
      <c r="C52" s="6" t="s">
        <v>1336</v>
      </c>
      <c r="D52" s="6" t="s">
        <v>1337</v>
      </c>
      <c r="E52" s="6" t="s">
        <v>1338</v>
      </c>
      <c r="F52" s="6">
        <v>0</v>
      </c>
      <c r="G52" s="6" t="s">
        <v>1339</v>
      </c>
      <c r="H52" s="6"/>
      <c r="I52" s="6"/>
      <c r="J52" s="6"/>
      <c r="K52" s="6"/>
      <c r="L52" s="6"/>
      <c r="M52" s="6"/>
      <c r="N52" s="6"/>
      <c r="O52" s="6"/>
      <c r="P52" s="6"/>
    </row>
    <row r="53" spans="1:16" ht="34.200000000000003" x14ac:dyDescent="0.25">
      <c r="A53" s="6">
        <v>52</v>
      </c>
      <c r="B53" s="6"/>
      <c r="C53" s="6" t="s">
        <v>990</v>
      </c>
      <c r="D53" s="6" t="s">
        <v>1340</v>
      </c>
      <c r="E53" s="6" t="s">
        <v>1341</v>
      </c>
      <c r="F53" s="6">
        <v>0</v>
      </c>
      <c r="G53" s="6">
        <v>0</v>
      </c>
      <c r="H53" s="6"/>
      <c r="I53" s="6"/>
      <c r="J53" s="6"/>
      <c r="K53" s="6"/>
      <c r="L53" s="6"/>
      <c r="M53" s="6"/>
      <c r="N53" s="6"/>
      <c r="O53" s="6"/>
      <c r="P53" s="6"/>
    </row>
    <row r="54" spans="1:16" ht="22.8" x14ac:dyDescent="0.25">
      <c r="A54" s="6">
        <v>53</v>
      </c>
      <c r="B54" s="6"/>
      <c r="C54" s="6" t="s">
        <v>1342</v>
      </c>
      <c r="D54" s="6" t="s">
        <v>1343</v>
      </c>
      <c r="E54" s="6" t="s">
        <v>1344</v>
      </c>
      <c r="F54" s="6" t="s">
        <v>1345</v>
      </c>
      <c r="G54" s="6">
        <v>0</v>
      </c>
      <c r="H54" s="6"/>
      <c r="I54" s="6"/>
      <c r="J54" s="6"/>
      <c r="K54" s="6"/>
      <c r="L54" s="6"/>
      <c r="M54" s="6"/>
      <c r="N54" s="6"/>
      <c r="O54" s="6"/>
      <c r="P54" s="6"/>
    </row>
    <row r="55" spans="1:16" ht="34.200000000000003" x14ac:dyDescent="0.25">
      <c r="A55" s="6">
        <v>54</v>
      </c>
      <c r="B55" s="6"/>
      <c r="C55" s="6" t="s">
        <v>1162</v>
      </c>
      <c r="D55" s="6" t="s">
        <v>1346</v>
      </c>
      <c r="E55" s="6" t="s">
        <v>1347</v>
      </c>
      <c r="F55" s="6" t="s">
        <v>1348</v>
      </c>
      <c r="G55" s="6">
        <v>0</v>
      </c>
      <c r="H55" s="6"/>
      <c r="I55" s="6"/>
      <c r="J55" s="6"/>
      <c r="K55" s="6"/>
      <c r="L55" s="6"/>
      <c r="M55" s="6"/>
      <c r="N55" s="6"/>
      <c r="O55" s="6"/>
      <c r="P55" s="6"/>
    </row>
    <row r="56" spans="1:16" ht="34.200000000000003" x14ac:dyDescent="0.25">
      <c r="A56" s="6">
        <v>55</v>
      </c>
      <c r="B56" s="6"/>
      <c r="C56" s="6" t="s">
        <v>1349</v>
      </c>
      <c r="D56" s="6" t="s">
        <v>1350</v>
      </c>
      <c r="E56" s="6">
        <v>0</v>
      </c>
      <c r="F56" s="6" t="s">
        <v>1351</v>
      </c>
      <c r="G56" s="6">
        <v>0</v>
      </c>
      <c r="H56" s="6"/>
      <c r="I56" s="6"/>
      <c r="J56" s="6"/>
      <c r="K56" s="6"/>
      <c r="L56" s="6"/>
      <c r="M56" s="6"/>
      <c r="N56" s="6"/>
      <c r="O56" s="6"/>
      <c r="P56" s="6"/>
    </row>
    <row r="57" spans="1:16" ht="34.200000000000003" x14ac:dyDescent="0.25">
      <c r="A57" s="6">
        <v>56</v>
      </c>
      <c r="B57" s="6"/>
      <c r="C57" s="6" t="s">
        <v>1352</v>
      </c>
      <c r="D57" s="6" t="s">
        <v>1353</v>
      </c>
      <c r="E57" s="6" t="s">
        <v>1354</v>
      </c>
      <c r="F57" s="6">
        <v>0</v>
      </c>
      <c r="G57" s="6">
        <v>0</v>
      </c>
      <c r="H57" s="6"/>
      <c r="I57" s="6"/>
      <c r="J57" s="6"/>
      <c r="K57" s="6"/>
      <c r="L57" s="6"/>
      <c r="M57" s="6"/>
      <c r="N57" s="6"/>
      <c r="O57" s="6"/>
      <c r="P57" s="6"/>
    </row>
    <row r="58" spans="1:16" ht="34.200000000000003" x14ac:dyDescent="0.25">
      <c r="A58" s="6">
        <v>57</v>
      </c>
      <c r="B58" s="6"/>
      <c r="C58" s="6" t="s">
        <v>1355</v>
      </c>
      <c r="D58" s="6" t="s">
        <v>1356</v>
      </c>
      <c r="E58" s="6" t="s">
        <v>1357</v>
      </c>
      <c r="F58" s="6">
        <v>0</v>
      </c>
      <c r="G58" s="6">
        <v>0</v>
      </c>
      <c r="H58" s="6"/>
      <c r="I58" s="6"/>
      <c r="J58" s="6"/>
      <c r="K58" s="6"/>
      <c r="L58" s="6"/>
      <c r="M58" s="6"/>
      <c r="N58" s="6"/>
      <c r="O58" s="6"/>
      <c r="P58" s="6"/>
    </row>
    <row r="59" spans="1:16" ht="34.200000000000003" x14ac:dyDescent="0.25">
      <c r="A59" s="6">
        <v>58</v>
      </c>
      <c r="B59" s="6"/>
      <c r="C59" s="6" t="s">
        <v>1358</v>
      </c>
      <c r="D59" s="6" t="s">
        <v>1359</v>
      </c>
      <c r="E59" s="6" t="s">
        <v>1360</v>
      </c>
      <c r="F59" s="6">
        <v>0</v>
      </c>
      <c r="G59" s="6">
        <v>0</v>
      </c>
      <c r="H59" s="6"/>
      <c r="I59" s="6"/>
      <c r="J59" s="6"/>
      <c r="K59" s="6"/>
      <c r="L59" s="6"/>
      <c r="M59" s="6"/>
      <c r="N59" s="6"/>
      <c r="O59" s="6"/>
      <c r="P59" s="6"/>
    </row>
    <row r="60" spans="1:16" ht="22.8" x14ac:dyDescent="0.25">
      <c r="A60" s="6">
        <v>59</v>
      </c>
      <c r="B60" s="6"/>
      <c r="C60" s="6" t="s">
        <v>1012</v>
      </c>
      <c r="D60" s="6" t="s">
        <v>1361</v>
      </c>
      <c r="E60" s="6" t="s">
        <v>1362</v>
      </c>
      <c r="F60" s="6" t="s">
        <v>1363</v>
      </c>
      <c r="G60" s="6" t="s">
        <v>1364</v>
      </c>
      <c r="H60" s="6"/>
      <c r="I60" s="6"/>
      <c r="J60" s="6"/>
      <c r="K60" s="6"/>
      <c r="L60" s="6"/>
      <c r="M60" s="6"/>
      <c r="N60" s="6"/>
      <c r="O60" s="6"/>
      <c r="P60" s="6"/>
    </row>
    <row r="61" spans="1:16" ht="34.200000000000003" x14ac:dyDescent="0.25">
      <c r="A61" s="6">
        <v>60</v>
      </c>
      <c r="B61" s="6"/>
      <c r="C61" s="6" t="s">
        <v>1365</v>
      </c>
      <c r="D61" s="6" t="s">
        <v>1366</v>
      </c>
      <c r="E61" s="6">
        <v>0</v>
      </c>
      <c r="F61" s="6" t="s">
        <v>1367</v>
      </c>
      <c r="G61" s="6" t="s">
        <v>1368</v>
      </c>
      <c r="H61" s="6"/>
      <c r="I61" s="6"/>
      <c r="J61" s="6"/>
      <c r="K61" s="6"/>
      <c r="L61" s="6"/>
      <c r="M61" s="6"/>
      <c r="N61" s="6"/>
      <c r="O61" s="6"/>
      <c r="P61" s="6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93ED-10D6-4E01-8773-408A87330963}">
  <dimension ref="A1:AM64"/>
  <sheetViews>
    <sheetView topLeftCell="F1" workbookViewId="0">
      <selection activeCell="AD2" sqref="AD2:AM64"/>
    </sheetView>
  </sheetViews>
  <sheetFormatPr defaultRowHeight="13.8" x14ac:dyDescent="0.25"/>
  <sheetData>
    <row r="1" spans="1:39" ht="42" thickBot="1" x14ac:dyDescent="0.3">
      <c r="A1" s="6" t="s">
        <v>1377</v>
      </c>
      <c r="B1" s="6" t="s">
        <v>1378</v>
      </c>
      <c r="C1" s="6" t="s">
        <v>1469</v>
      </c>
      <c r="D1" s="6" t="s">
        <v>1379</v>
      </c>
      <c r="E1" s="6" t="s">
        <v>1380</v>
      </c>
      <c r="F1" s="6" t="s">
        <v>1381</v>
      </c>
      <c r="G1" s="6" t="s">
        <v>1382</v>
      </c>
      <c r="H1" s="6" t="s">
        <v>1383</v>
      </c>
      <c r="I1" s="6" t="s">
        <v>1384</v>
      </c>
      <c r="J1" s="6" t="s">
        <v>1385</v>
      </c>
      <c r="K1" s="6" t="s">
        <v>1386</v>
      </c>
      <c r="L1" s="6" t="s">
        <v>1387</v>
      </c>
      <c r="M1" s="6" t="s">
        <v>1388</v>
      </c>
      <c r="P1" s="38" t="s">
        <v>8117</v>
      </c>
      <c r="Q1" s="38" t="s">
        <v>7790</v>
      </c>
      <c r="R1" s="38" t="s">
        <v>8120</v>
      </c>
      <c r="S1" s="38" t="s">
        <v>1379</v>
      </c>
      <c r="T1" s="38" t="s">
        <v>1380</v>
      </c>
      <c r="U1" s="38" t="s">
        <v>1381</v>
      </c>
      <c r="V1" s="38" t="s">
        <v>1382</v>
      </c>
      <c r="W1" s="38" t="s">
        <v>1383</v>
      </c>
      <c r="X1" s="38" t="s">
        <v>1384</v>
      </c>
      <c r="Y1" s="38" t="s">
        <v>1385</v>
      </c>
      <c r="Z1" s="38" t="s">
        <v>1386</v>
      </c>
      <c r="AA1" s="38" t="s">
        <v>1387</v>
      </c>
      <c r="AB1" s="38" t="s">
        <v>1388</v>
      </c>
    </row>
    <row r="2" spans="1:39" ht="42" thickBot="1" x14ac:dyDescent="0.3">
      <c r="A2" s="6">
        <v>19</v>
      </c>
      <c r="B2" s="6" t="s">
        <v>1389</v>
      </c>
      <c r="C2" s="6" t="s">
        <v>1390</v>
      </c>
      <c r="D2" s="6">
        <v>29229</v>
      </c>
      <c r="E2" s="6">
        <v>23061</v>
      </c>
      <c r="F2" s="6">
        <v>28017</v>
      </c>
      <c r="G2" s="6">
        <v>22810</v>
      </c>
      <c r="H2" s="6">
        <v>28456</v>
      </c>
      <c r="I2" s="6">
        <v>22909</v>
      </c>
      <c r="J2" s="6">
        <v>27266</v>
      </c>
      <c r="K2" s="6">
        <v>22513</v>
      </c>
      <c r="L2" s="6">
        <v>30552</v>
      </c>
      <c r="M2" s="6">
        <v>25546</v>
      </c>
      <c r="P2" s="39" t="s">
        <v>689</v>
      </c>
      <c r="Q2" s="39" t="s">
        <v>2017</v>
      </c>
      <c r="R2" s="39">
        <v>55.3</v>
      </c>
      <c r="S2" s="39">
        <v>29229</v>
      </c>
      <c r="T2" s="39">
        <v>23061</v>
      </c>
      <c r="U2" s="39">
        <v>28017</v>
      </c>
      <c r="V2" s="39">
        <v>22810</v>
      </c>
      <c r="W2" s="39">
        <v>28456</v>
      </c>
      <c r="X2" s="39">
        <v>22909</v>
      </c>
      <c r="Y2" s="39">
        <v>27266</v>
      </c>
      <c r="Z2" s="39">
        <v>22513</v>
      </c>
      <c r="AA2" s="39">
        <v>30552</v>
      </c>
      <c r="AB2" s="39">
        <v>25546</v>
      </c>
      <c r="AD2">
        <f>R2*S2</f>
        <v>1616363.7</v>
      </c>
      <c r="AE2">
        <f>R2*T2</f>
        <v>1275273.3</v>
      </c>
      <c r="AF2">
        <f>R2*U2</f>
        <v>1549340.0999999999</v>
      </c>
      <c r="AG2">
        <f>R2*V2</f>
        <v>1261393</v>
      </c>
      <c r="AH2">
        <f>R2*W2</f>
        <v>1573616.7999999998</v>
      </c>
      <c r="AI2">
        <f>R2*X2</f>
        <v>1266867.7</v>
      </c>
      <c r="AJ2">
        <f>R2*Y2</f>
        <v>1507809.7999999998</v>
      </c>
      <c r="AK2">
        <f>R2*Z2</f>
        <v>1244968.8999999999</v>
      </c>
      <c r="AL2">
        <f>R2*AA2</f>
        <v>1689525.5999999999</v>
      </c>
      <c r="AM2">
        <f>R2*AB2</f>
        <v>1412693.7999999998</v>
      </c>
    </row>
    <row r="3" spans="1:39" ht="69.599999999999994" thickBot="1" x14ac:dyDescent="0.3">
      <c r="A3" s="6">
        <v>7</v>
      </c>
      <c r="B3" s="6" t="s">
        <v>1391</v>
      </c>
      <c r="C3" s="6" t="s">
        <v>1392</v>
      </c>
      <c r="D3" s="6">
        <v>3299</v>
      </c>
      <c r="E3" s="6">
        <v>2679</v>
      </c>
      <c r="F3" s="6">
        <v>3069</v>
      </c>
      <c r="G3" s="6">
        <v>310</v>
      </c>
      <c r="H3" s="6">
        <v>2990</v>
      </c>
      <c r="I3" s="6">
        <v>264</v>
      </c>
      <c r="J3" s="6">
        <v>2796</v>
      </c>
      <c r="K3" s="6">
        <v>2403</v>
      </c>
      <c r="L3" s="6">
        <v>5348</v>
      </c>
      <c r="M3" s="6">
        <v>3030</v>
      </c>
      <c r="P3" s="39" t="s">
        <v>7855</v>
      </c>
      <c r="Q3" s="39" t="s">
        <v>7856</v>
      </c>
      <c r="R3" s="39">
        <v>6.89</v>
      </c>
      <c r="S3" s="39">
        <v>376</v>
      </c>
      <c r="T3" s="39">
        <v>847</v>
      </c>
      <c r="U3" s="39">
        <v>261</v>
      </c>
      <c r="V3" s="39">
        <v>871</v>
      </c>
      <c r="W3" s="39">
        <v>449</v>
      </c>
      <c r="X3" s="39">
        <v>728</v>
      </c>
      <c r="Y3" s="39">
        <v>133</v>
      </c>
      <c r="Z3" s="39">
        <v>236</v>
      </c>
      <c r="AA3" s="39">
        <v>494</v>
      </c>
      <c r="AB3" s="39">
        <v>313</v>
      </c>
      <c r="AD3">
        <f t="shared" ref="AD3:AD64" si="0">R3*S3</f>
        <v>2590.64</v>
      </c>
      <c r="AE3">
        <f t="shared" ref="AE3:AE64" si="1">R3*T3</f>
        <v>5835.83</v>
      </c>
      <c r="AF3">
        <f t="shared" ref="AF3:AF64" si="2">R3*U3</f>
        <v>1798.29</v>
      </c>
      <c r="AG3">
        <f t="shared" ref="AG3:AG64" si="3">R3*V3</f>
        <v>6001.19</v>
      </c>
      <c r="AH3">
        <f t="shared" ref="AH3:AH64" si="4">R3*W3</f>
        <v>3093.6099999999997</v>
      </c>
      <c r="AI3">
        <f t="shared" ref="AI3:AI64" si="5">R3*X3</f>
        <v>5015.92</v>
      </c>
      <c r="AJ3">
        <f t="shared" ref="AJ3:AJ64" si="6">R3*Y3</f>
        <v>916.37</v>
      </c>
      <c r="AK3">
        <f t="shared" ref="AK3:AK64" si="7">R3*Z3</f>
        <v>1626.04</v>
      </c>
      <c r="AL3">
        <f t="shared" ref="AL3:AL64" si="8">R3*AA3</f>
        <v>3403.66</v>
      </c>
      <c r="AM3">
        <f t="shared" ref="AM3:AM64" si="9">R3*AB3</f>
        <v>2156.5699999999997</v>
      </c>
    </row>
    <row r="4" spans="1:39" ht="42" thickBot="1" x14ac:dyDescent="0.3">
      <c r="A4" s="6">
        <v>10</v>
      </c>
      <c r="B4" s="6" t="s">
        <v>1393</v>
      </c>
      <c r="C4" s="6" t="s">
        <v>1394</v>
      </c>
      <c r="D4" s="6">
        <v>1211</v>
      </c>
      <c r="E4" s="6">
        <v>525</v>
      </c>
      <c r="F4" s="6">
        <v>1077</v>
      </c>
      <c r="G4" s="6">
        <v>332</v>
      </c>
      <c r="H4" s="6">
        <v>1177</v>
      </c>
      <c r="I4" s="6">
        <v>366</v>
      </c>
      <c r="J4" s="6">
        <v>688</v>
      </c>
      <c r="K4" s="6">
        <v>135</v>
      </c>
      <c r="L4" s="6">
        <v>1159</v>
      </c>
      <c r="M4" s="6">
        <v>565</v>
      </c>
      <c r="P4" s="39" t="s">
        <v>693</v>
      </c>
      <c r="Q4" s="39" t="s">
        <v>2018</v>
      </c>
      <c r="R4" s="39">
        <v>81.5</v>
      </c>
      <c r="S4" s="39">
        <v>3299</v>
      </c>
      <c r="T4" s="39">
        <v>2679</v>
      </c>
      <c r="U4" s="39">
        <v>3069</v>
      </c>
      <c r="V4" s="39">
        <v>310</v>
      </c>
      <c r="W4" s="39">
        <v>2990</v>
      </c>
      <c r="X4" s="39">
        <v>264</v>
      </c>
      <c r="Y4" s="39">
        <v>2796</v>
      </c>
      <c r="Z4" s="39">
        <v>2403</v>
      </c>
      <c r="AA4" s="39">
        <v>5348</v>
      </c>
      <c r="AB4" s="39">
        <v>3030</v>
      </c>
      <c r="AD4">
        <f t="shared" si="0"/>
        <v>268868.5</v>
      </c>
      <c r="AE4">
        <f t="shared" si="1"/>
        <v>218338.5</v>
      </c>
      <c r="AF4">
        <f t="shared" si="2"/>
        <v>250123.5</v>
      </c>
      <c r="AG4">
        <f t="shared" si="3"/>
        <v>25265</v>
      </c>
      <c r="AH4">
        <f t="shared" si="4"/>
        <v>243685</v>
      </c>
      <c r="AI4">
        <f t="shared" si="5"/>
        <v>21516</v>
      </c>
      <c r="AJ4">
        <f t="shared" si="6"/>
        <v>227874</v>
      </c>
      <c r="AK4">
        <f t="shared" si="7"/>
        <v>195844.5</v>
      </c>
      <c r="AL4">
        <f t="shared" si="8"/>
        <v>435862</v>
      </c>
      <c r="AM4">
        <f t="shared" si="9"/>
        <v>246945</v>
      </c>
    </row>
    <row r="5" spans="1:39" ht="42" thickBot="1" x14ac:dyDescent="0.3">
      <c r="A5" s="6">
        <v>81</v>
      </c>
      <c r="B5" s="6" t="s">
        <v>1395</v>
      </c>
      <c r="C5" s="6" t="s">
        <v>1396</v>
      </c>
      <c r="D5" s="6">
        <v>452</v>
      </c>
      <c r="E5" s="6">
        <v>467</v>
      </c>
      <c r="F5" s="6">
        <v>449</v>
      </c>
      <c r="G5" s="6">
        <v>616</v>
      </c>
      <c r="H5" s="6">
        <v>476</v>
      </c>
      <c r="I5" s="6">
        <v>559</v>
      </c>
      <c r="J5" s="6">
        <v>366</v>
      </c>
      <c r="K5" s="6">
        <v>268</v>
      </c>
      <c r="L5" s="6">
        <v>301</v>
      </c>
      <c r="M5" s="6">
        <v>283</v>
      </c>
      <c r="P5" s="39" t="s">
        <v>721</v>
      </c>
      <c r="Q5" s="39" t="s">
        <v>2022</v>
      </c>
      <c r="R5" s="39">
        <v>32552</v>
      </c>
      <c r="S5" s="39">
        <v>29</v>
      </c>
      <c r="T5" s="39">
        <v>16</v>
      </c>
      <c r="U5" s="39">
        <v>28</v>
      </c>
      <c r="V5" s="39">
        <v>16</v>
      </c>
      <c r="W5" s="39">
        <v>27</v>
      </c>
      <c r="X5" s="39">
        <v>20</v>
      </c>
      <c r="Y5" s="39">
        <v>28</v>
      </c>
      <c r="Z5" s="39">
        <v>24</v>
      </c>
      <c r="AA5" s="39">
        <v>32</v>
      </c>
      <c r="AB5" s="39">
        <v>27</v>
      </c>
      <c r="AD5">
        <f t="shared" si="0"/>
        <v>944008</v>
      </c>
      <c r="AE5">
        <f t="shared" si="1"/>
        <v>520832</v>
      </c>
      <c r="AF5">
        <f t="shared" si="2"/>
        <v>911456</v>
      </c>
      <c r="AG5">
        <f t="shared" si="3"/>
        <v>520832</v>
      </c>
      <c r="AH5">
        <f t="shared" si="4"/>
        <v>878904</v>
      </c>
      <c r="AI5">
        <f t="shared" si="5"/>
        <v>651040</v>
      </c>
      <c r="AJ5">
        <f t="shared" si="6"/>
        <v>911456</v>
      </c>
      <c r="AK5">
        <f t="shared" si="7"/>
        <v>781248</v>
      </c>
      <c r="AL5">
        <f t="shared" si="8"/>
        <v>1041664</v>
      </c>
      <c r="AM5">
        <f t="shared" si="9"/>
        <v>878904</v>
      </c>
    </row>
    <row r="6" spans="1:39" ht="46.2" thickBot="1" x14ac:dyDescent="0.3">
      <c r="A6" s="6">
        <v>9</v>
      </c>
      <c r="B6" s="6" t="s">
        <v>1397</v>
      </c>
      <c r="C6" s="6" t="s">
        <v>1398</v>
      </c>
      <c r="D6" s="6">
        <v>376</v>
      </c>
      <c r="E6" s="6">
        <v>847</v>
      </c>
      <c r="F6" s="6">
        <v>261</v>
      </c>
      <c r="G6" s="6">
        <v>871</v>
      </c>
      <c r="H6" s="6">
        <v>449</v>
      </c>
      <c r="I6" s="6">
        <v>728</v>
      </c>
      <c r="J6" s="6">
        <v>133</v>
      </c>
      <c r="K6" s="6">
        <v>236</v>
      </c>
      <c r="L6" s="6">
        <v>494</v>
      </c>
      <c r="M6" s="6">
        <v>313</v>
      </c>
      <c r="P6" s="39" t="s">
        <v>733</v>
      </c>
      <c r="Q6" s="39" t="s">
        <v>2023</v>
      </c>
      <c r="R6" s="39">
        <v>12.9</v>
      </c>
      <c r="S6" s="39">
        <v>692</v>
      </c>
      <c r="T6" s="39">
        <v>160</v>
      </c>
      <c r="U6" s="39">
        <v>497</v>
      </c>
      <c r="V6" s="39">
        <v>171</v>
      </c>
      <c r="W6" s="39">
        <v>342</v>
      </c>
      <c r="X6" s="39">
        <v>116</v>
      </c>
      <c r="Y6" s="39">
        <v>177</v>
      </c>
      <c r="Z6" s="39">
        <v>217</v>
      </c>
      <c r="AA6" s="39">
        <v>412</v>
      </c>
      <c r="AB6" s="39">
        <v>236</v>
      </c>
      <c r="AD6">
        <f t="shared" si="0"/>
        <v>8926.8000000000011</v>
      </c>
      <c r="AE6">
        <f t="shared" si="1"/>
        <v>2064</v>
      </c>
      <c r="AF6">
        <f t="shared" si="2"/>
        <v>6411.3</v>
      </c>
      <c r="AG6">
        <f t="shared" si="3"/>
        <v>2205.9</v>
      </c>
      <c r="AH6">
        <f t="shared" si="4"/>
        <v>4411.8</v>
      </c>
      <c r="AI6">
        <f t="shared" si="5"/>
        <v>1496.4</v>
      </c>
      <c r="AJ6">
        <f t="shared" si="6"/>
        <v>2283.3000000000002</v>
      </c>
      <c r="AK6">
        <f t="shared" si="7"/>
        <v>2799.3</v>
      </c>
      <c r="AL6">
        <f t="shared" si="8"/>
        <v>5314.8</v>
      </c>
      <c r="AM6">
        <f t="shared" si="9"/>
        <v>3044.4</v>
      </c>
    </row>
    <row r="7" spans="1:39" ht="42" thickBot="1" x14ac:dyDescent="0.3">
      <c r="A7" s="6">
        <v>17</v>
      </c>
      <c r="B7" s="6" t="s">
        <v>1399</v>
      </c>
      <c r="C7" s="6" t="s">
        <v>1400</v>
      </c>
      <c r="D7" s="6">
        <v>399</v>
      </c>
      <c r="E7" s="6">
        <v>312</v>
      </c>
      <c r="F7" s="6">
        <v>646</v>
      </c>
      <c r="G7" s="6">
        <v>471</v>
      </c>
      <c r="H7" s="6">
        <v>337</v>
      </c>
      <c r="I7" s="6">
        <v>221</v>
      </c>
      <c r="J7" s="6">
        <v>242</v>
      </c>
      <c r="K7" s="6">
        <v>370</v>
      </c>
      <c r="L7" s="6">
        <v>644</v>
      </c>
      <c r="M7" s="6">
        <v>543</v>
      </c>
      <c r="P7" s="39" t="s">
        <v>697</v>
      </c>
      <c r="Q7" s="39" t="s">
        <v>2019</v>
      </c>
      <c r="R7" s="39">
        <v>26.8</v>
      </c>
      <c r="S7" s="39">
        <v>399</v>
      </c>
      <c r="T7" s="39">
        <v>312</v>
      </c>
      <c r="U7" s="39">
        <v>645</v>
      </c>
      <c r="V7" s="39">
        <v>471</v>
      </c>
      <c r="W7" s="39">
        <v>337</v>
      </c>
      <c r="X7" s="39">
        <v>221</v>
      </c>
      <c r="Y7" s="39">
        <v>242</v>
      </c>
      <c r="Z7" s="39">
        <v>370</v>
      </c>
      <c r="AA7" s="39">
        <v>644</v>
      </c>
      <c r="AB7" s="39">
        <v>543</v>
      </c>
      <c r="AD7">
        <f t="shared" si="0"/>
        <v>10693.2</v>
      </c>
      <c r="AE7">
        <f t="shared" si="1"/>
        <v>8361.6</v>
      </c>
      <c r="AF7">
        <f t="shared" si="2"/>
        <v>17286</v>
      </c>
      <c r="AG7">
        <f t="shared" si="3"/>
        <v>12622.800000000001</v>
      </c>
      <c r="AH7">
        <f t="shared" si="4"/>
        <v>9031.6</v>
      </c>
      <c r="AI7">
        <f t="shared" si="5"/>
        <v>5922.8</v>
      </c>
      <c r="AJ7">
        <f t="shared" si="6"/>
        <v>6485.6</v>
      </c>
      <c r="AK7">
        <f t="shared" si="7"/>
        <v>9916</v>
      </c>
      <c r="AL7">
        <f t="shared" si="8"/>
        <v>17259.2</v>
      </c>
      <c r="AM7">
        <f t="shared" si="9"/>
        <v>14552.4</v>
      </c>
    </row>
    <row r="8" spans="1:39" ht="84" thickBot="1" x14ac:dyDescent="0.3">
      <c r="A8" s="6">
        <v>43</v>
      </c>
      <c r="B8" s="6" t="s">
        <v>1401</v>
      </c>
      <c r="C8" s="6" t="s">
        <v>1402</v>
      </c>
      <c r="D8" s="6">
        <v>692</v>
      </c>
      <c r="E8" s="6">
        <v>1400</v>
      </c>
      <c r="F8" s="6">
        <v>497</v>
      </c>
      <c r="G8" s="6">
        <v>171</v>
      </c>
      <c r="H8" s="6">
        <v>342</v>
      </c>
      <c r="I8" s="6">
        <v>116</v>
      </c>
      <c r="J8" s="6">
        <v>177</v>
      </c>
      <c r="K8" s="6">
        <v>217</v>
      </c>
      <c r="L8" s="6">
        <v>412</v>
      </c>
      <c r="M8" s="6">
        <v>236</v>
      </c>
      <c r="P8" s="39" t="s">
        <v>967</v>
      </c>
      <c r="Q8" s="39" t="s">
        <v>2178</v>
      </c>
      <c r="R8" s="39">
        <v>13153</v>
      </c>
      <c r="S8" s="39">
        <v>1.4</v>
      </c>
      <c r="T8" s="39">
        <v>1.8</v>
      </c>
      <c r="U8" s="39" t="s">
        <v>834</v>
      </c>
      <c r="V8" s="39">
        <v>1.4</v>
      </c>
      <c r="W8" s="39" t="s">
        <v>834</v>
      </c>
      <c r="X8" s="39">
        <v>1.3</v>
      </c>
      <c r="Y8" s="39" t="s">
        <v>834</v>
      </c>
      <c r="Z8" s="39">
        <v>1.8</v>
      </c>
      <c r="AA8" s="39">
        <v>2.8</v>
      </c>
      <c r="AB8" s="39">
        <v>1.6</v>
      </c>
      <c r="AD8">
        <f t="shared" si="0"/>
        <v>18414.199999999997</v>
      </c>
      <c r="AE8">
        <f t="shared" si="1"/>
        <v>23675.4</v>
      </c>
      <c r="AF8" t="e">
        <f t="shared" si="2"/>
        <v>#VALUE!</v>
      </c>
      <c r="AG8">
        <f t="shared" si="3"/>
        <v>18414.199999999997</v>
      </c>
      <c r="AH8" t="e">
        <f t="shared" si="4"/>
        <v>#VALUE!</v>
      </c>
      <c r="AI8">
        <f t="shared" si="5"/>
        <v>17098.900000000001</v>
      </c>
      <c r="AJ8" t="e">
        <f t="shared" si="6"/>
        <v>#VALUE!</v>
      </c>
      <c r="AK8">
        <f t="shared" si="7"/>
        <v>23675.4</v>
      </c>
      <c r="AL8">
        <f t="shared" si="8"/>
        <v>36828.399999999994</v>
      </c>
      <c r="AM8">
        <f t="shared" si="9"/>
        <v>21044.800000000003</v>
      </c>
    </row>
    <row r="9" spans="1:39" ht="34.799999999999997" thickBot="1" x14ac:dyDescent="0.3">
      <c r="A9" s="6">
        <v>62</v>
      </c>
      <c r="B9" s="6" t="s">
        <v>1403</v>
      </c>
      <c r="C9" s="6" t="s">
        <v>1404</v>
      </c>
      <c r="D9" s="6">
        <v>196</v>
      </c>
      <c r="E9" s="6">
        <v>43</v>
      </c>
      <c r="F9" s="6">
        <v>408</v>
      </c>
      <c r="G9" s="6">
        <v>7.9</v>
      </c>
      <c r="H9" s="6">
        <v>592</v>
      </c>
      <c r="I9" s="6">
        <v>73</v>
      </c>
      <c r="J9" s="6">
        <v>216</v>
      </c>
      <c r="K9" s="6">
        <v>86</v>
      </c>
      <c r="L9" s="6">
        <v>463</v>
      </c>
      <c r="M9" s="6">
        <v>199</v>
      </c>
      <c r="P9" s="39" t="s">
        <v>908</v>
      </c>
      <c r="Q9" s="39" t="s">
        <v>2898</v>
      </c>
      <c r="R9" s="39" t="s">
        <v>2908</v>
      </c>
      <c r="S9" s="39" t="s">
        <v>2908</v>
      </c>
      <c r="T9" s="39" t="s">
        <v>2908</v>
      </c>
      <c r="U9" s="39" t="s">
        <v>2908</v>
      </c>
      <c r="V9" s="39" t="s">
        <v>2908</v>
      </c>
      <c r="W9" s="39" t="s">
        <v>2908</v>
      </c>
      <c r="X9" s="39" t="s">
        <v>2908</v>
      </c>
      <c r="Y9" s="39" t="s">
        <v>2908</v>
      </c>
      <c r="Z9" s="39" t="s">
        <v>2908</v>
      </c>
      <c r="AA9" s="39" t="s">
        <v>2908</v>
      </c>
      <c r="AB9" s="39" t="s">
        <v>2908</v>
      </c>
      <c r="AD9" t="e">
        <f t="shared" si="0"/>
        <v>#VALUE!</v>
      </c>
      <c r="AE9" t="e">
        <f t="shared" si="1"/>
        <v>#VALUE!</v>
      </c>
      <c r="AF9" t="e">
        <f t="shared" si="2"/>
        <v>#VALUE!</v>
      </c>
      <c r="AG9" t="e">
        <f t="shared" si="3"/>
        <v>#VALUE!</v>
      </c>
      <c r="AH9" t="e">
        <f t="shared" si="4"/>
        <v>#VALUE!</v>
      </c>
      <c r="AI9" t="e">
        <f t="shared" si="5"/>
        <v>#VALUE!</v>
      </c>
      <c r="AJ9" t="e">
        <f t="shared" si="6"/>
        <v>#VALUE!</v>
      </c>
      <c r="AK9" t="e">
        <f t="shared" si="7"/>
        <v>#VALUE!</v>
      </c>
      <c r="AL9" t="e">
        <f t="shared" si="8"/>
        <v>#VALUE!</v>
      </c>
      <c r="AM9" t="e">
        <f t="shared" si="9"/>
        <v>#VALUE!</v>
      </c>
    </row>
    <row r="10" spans="1:39" ht="97.2" thickBot="1" x14ac:dyDescent="0.3">
      <c r="A10" s="6">
        <v>37</v>
      </c>
      <c r="B10" s="6" t="s">
        <v>1405</v>
      </c>
      <c r="C10" s="6" t="s">
        <v>1406</v>
      </c>
      <c r="D10" s="6">
        <v>186</v>
      </c>
      <c r="E10" s="6">
        <v>166</v>
      </c>
      <c r="F10" s="6">
        <v>347</v>
      </c>
      <c r="G10" s="6" t="s">
        <v>1069</v>
      </c>
      <c r="H10" s="6">
        <v>368</v>
      </c>
      <c r="I10" s="6" t="s">
        <v>1069</v>
      </c>
      <c r="J10" s="6">
        <v>43</v>
      </c>
      <c r="K10" s="6" t="s">
        <v>1069</v>
      </c>
      <c r="L10" s="6">
        <v>205</v>
      </c>
      <c r="M10" s="6">
        <v>204</v>
      </c>
      <c r="P10" s="39" t="s">
        <v>1155</v>
      </c>
      <c r="Q10" s="39" t="s">
        <v>2909</v>
      </c>
      <c r="R10" s="39" t="s">
        <v>2908</v>
      </c>
      <c r="S10" s="39" t="s">
        <v>2908</v>
      </c>
      <c r="T10" s="39" t="s">
        <v>2908</v>
      </c>
      <c r="U10" s="39" t="s">
        <v>2908</v>
      </c>
      <c r="V10" s="39" t="s">
        <v>2908</v>
      </c>
      <c r="W10" s="39" t="s">
        <v>2908</v>
      </c>
      <c r="X10" s="39" t="s">
        <v>2908</v>
      </c>
      <c r="Y10" s="39" t="s">
        <v>2908</v>
      </c>
      <c r="Z10" s="39" t="s">
        <v>2908</v>
      </c>
      <c r="AA10" s="39" t="s">
        <v>2908</v>
      </c>
      <c r="AB10" s="39" t="s">
        <v>2908</v>
      </c>
      <c r="AD10" t="e">
        <f t="shared" si="0"/>
        <v>#VALUE!</v>
      </c>
      <c r="AE10" t="e">
        <f t="shared" si="1"/>
        <v>#VALUE!</v>
      </c>
      <c r="AF10" t="e">
        <f t="shared" si="2"/>
        <v>#VALUE!</v>
      </c>
      <c r="AG10" t="e">
        <f t="shared" si="3"/>
        <v>#VALUE!</v>
      </c>
      <c r="AH10" t="e">
        <f t="shared" si="4"/>
        <v>#VALUE!</v>
      </c>
      <c r="AI10" t="e">
        <f t="shared" si="5"/>
        <v>#VALUE!</v>
      </c>
      <c r="AJ10" t="e">
        <f t="shared" si="6"/>
        <v>#VALUE!</v>
      </c>
      <c r="AK10" t="e">
        <f t="shared" si="7"/>
        <v>#VALUE!</v>
      </c>
      <c r="AL10" t="e">
        <f t="shared" si="8"/>
        <v>#VALUE!</v>
      </c>
      <c r="AM10" t="e">
        <f t="shared" si="9"/>
        <v>#VALUE!</v>
      </c>
    </row>
    <row r="11" spans="1:39" ht="69.599999999999994" thickBot="1" x14ac:dyDescent="0.3">
      <c r="A11" s="6">
        <v>3</v>
      </c>
      <c r="B11" s="6" t="s">
        <v>1407</v>
      </c>
      <c r="C11" s="6" t="s">
        <v>1408</v>
      </c>
      <c r="D11" s="6">
        <v>139</v>
      </c>
      <c r="E11" s="6">
        <v>65</v>
      </c>
      <c r="F11" s="6">
        <v>169</v>
      </c>
      <c r="G11" s="6">
        <v>81</v>
      </c>
      <c r="H11" s="6">
        <v>131</v>
      </c>
      <c r="I11" s="6">
        <v>74</v>
      </c>
      <c r="J11" s="6">
        <v>157</v>
      </c>
      <c r="K11" s="6">
        <v>55</v>
      </c>
      <c r="L11" s="6">
        <v>262</v>
      </c>
      <c r="M11" s="6">
        <v>143</v>
      </c>
      <c r="P11" s="39" t="s">
        <v>7859</v>
      </c>
      <c r="Q11" s="39" t="s">
        <v>2910</v>
      </c>
      <c r="R11" s="39" t="s">
        <v>2908</v>
      </c>
      <c r="S11" s="39" t="s">
        <v>2908</v>
      </c>
      <c r="T11" s="39" t="s">
        <v>2908</v>
      </c>
      <c r="U11" s="39" t="s">
        <v>2908</v>
      </c>
      <c r="V11" s="39" t="s">
        <v>2908</v>
      </c>
      <c r="W11" s="39" t="s">
        <v>2908</v>
      </c>
      <c r="X11" s="39" t="s">
        <v>2908</v>
      </c>
      <c r="Y11" s="39" t="s">
        <v>2908</v>
      </c>
      <c r="Z11" s="39" t="s">
        <v>2908</v>
      </c>
      <c r="AA11" s="39" t="s">
        <v>2908</v>
      </c>
      <c r="AB11" s="39" t="s">
        <v>2908</v>
      </c>
      <c r="AD11" t="e">
        <f t="shared" si="0"/>
        <v>#VALUE!</v>
      </c>
      <c r="AE11" t="e">
        <f t="shared" si="1"/>
        <v>#VALUE!</v>
      </c>
      <c r="AF11" t="e">
        <f t="shared" si="2"/>
        <v>#VALUE!</v>
      </c>
      <c r="AG11" t="e">
        <f t="shared" si="3"/>
        <v>#VALUE!</v>
      </c>
      <c r="AH11" t="e">
        <f t="shared" si="4"/>
        <v>#VALUE!</v>
      </c>
      <c r="AI11" t="e">
        <f t="shared" si="5"/>
        <v>#VALUE!</v>
      </c>
      <c r="AJ11" t="e">
        <f t="shared" si="6"/>
        <v>#VALUE!</v>
      </c>
      <c r="AK11" t="e">
        <f t="shared" si="7"/>
        <v>#VALUE!</v>
      </c>
      <c r="AL11" t="e">
        <f t="shared" si="8"/>
        <v>#VALUE!</v>
      </c>
      <c r="AM11" t="e">
        <f t="shared" si="9"/>
        <v>#VALUE!</v>
      </c>
    </row>
    <row r="12" spans="1:39" ht="42" thickBot="1" x14ac:dyDescent="0.3">
      <c r="A12" s="6">
        <v>64</v>
      </c>
      <c r="B12" s="6" t="s">
        <v>1409</v>
      </c>
      <c r="C12" s="6" t="s">
        <v>1410</v>
      </c>
      <c r="D12" s="6">
        <v>153</v>
      </c>
      <c r="E12" s="6">
        <v>135</v>
      </c>
      <c r="F12" s="6">
        <v>91</v>
      </c>
      <c r="G12" s="6">
        <v>128</v>
      </c>
      <c r="H12" s="6">
        <v>156</v>
      </c>
      <c r="I12" s="6">
        <v>105</v>
      </c>
      <c r="J12" s="6">
        <v>157</v>
      </c>
      <c r="K12" s="6">
        <v>127</v>
      </c>
      <c r="L12" s="6">
        <v>100</v>
      </c>
      <c r="M12" s="6">
        <v>92</v>
      </c>
      <c r="P12" s="39" t="s">
        <v>709</v>
      </c>
      <c r="Q12" s="39" t="s">
        <v>2911</v>
      </c>
      <c r="R12" s="39" t="s">
        <v>2908</v>
      </c>
      <c r="S12" s="39" t="s">
        <v>2908</v>
      </c>
      <c r="T12" s="39" t="s">
        <v>2908</v>
      </c>
      <c r="U12" s="39" t="s">
        <v>2908</v>
      </c>
      <c r="V12" s="39" t="s">
        <v>2908</v>
      </c>
      <c r="W12" s="39" t="s">
        <v>2908</v>
      </c>
      <c r="X12" s="39" t="s">
        <v>2908</v>
      </c>
      <c r="Y12" s="39" t="s">
        <v>2908</v>
      </c>
      <c r="Z12" s="39" t="s">
        <v>2908</v>
      </c>
      <c r="AA12" s="39" t="s">
        <v>2908</v>
      </c>
      <c r="AB12" s="39" t="s">
        <v>2908</v>
      </c>
      <c r="AD12" t="e">
        <f t="shared" si="0"/>
        <v>#VALUE!</v>
      </c>
      <c r="AE12" t="e">
        <f t="shared" si="1"/>
        <v>#VALUE!</v>
      </c>
      <c r="AF12" t="e">
        <f t="shared" si="2"/>
        <v>#VALUE!</v>
      </c>
      <c r="AG12" t="e">
        <f t="shared" si="3"/>
        <v>#VALUE!</v>
      </c>
      <c r="AH12" t="e">
        <f t="shared" si="4"/>
        <v>#VALUE!</v>
      </c>
      <c r="AI12" t="e">
        <f t="shared" si="5"/>
        <v>#VALUE!</v>
      </c>
      <c r="AJ12" t="e">
        <f t="shared" si="6"/>
        <v>#VALUE!</v>
      </c>
      <c r="AK12" t="e">
        <f t="shared" si="7"/>
        <v>#VALUE!</v>
      </c>
      <c r="AL12" t="e">
        <f t="shared" si="8"/>
        <v>#VALUE!</v>
      </c>
      <c r="AM12" t="e">
        <f t="shared" si="9"/>
        <v>#VALUE!</v>
      </c>
    </row>
    <row r="13" spans="1:39" ht="111" thickBot="1" x14ac:dyDescent="0.3">
      <c r="A13" s="6">
        <v>75</v>
      </c>
      <c r="B13" s="6" t="s">
        <v>23</v>
      </c>
      <c r="C13" s="6" t="s">
        <v>1411</v>
      </c>
      <c r="D13" s="6">
        <v>61</v>
      </c>
      <c r="E13" s="6">
        <v>90</v>
      </c>
      <c r="F13" s="6">
        <v>60</v>
      </c>
      <c r="G13" s="6">
        <v>93</v>
      </c>
      <c r="H13" s="6">
        <v>64</v>
      </c>
      <c r="I13" s="6">
        <v>87</v>
      </c>
      <c r="J13" s="6">
        <v>48</v>
      </c>
      <c r="K13" s="6">
        <v>102</v>
      </c>
      <c r="L13" s="6">
        <v>84</v>
      </c>
      <c r="M13" s="6">
        <v>55</v>
      </c>
      <c r="P13" s="39" t="s">
        <v>8118</v>
      </c>
      <c r="Q13" s="39" t="s">
        <v>7861</v>
      </c>
      <c r="R13" s="39">
        <v>1400</v>
      </c>
      <c r="S13" s="39">
        <v>4.7</v>
      </c>
      <c r="T13" s="39">
        <v>5.2</v>
      </c>
      <c r="U13" s="39">
        <v>1.5</v>
      </c>
      <c r="V13" s="39" t="s">
        <v>834</v>
      </c>
      <c r="W13" s="39">
        <v>1.2</v>
      </c>
      <c r="X13" s="39" t="s">
        <v>834</v>
      </c>
      <c r="Y13" s="39" t="s">
        <v>834</v>
      </c>
      <c r="Z13" s="39">
        <v>2.2999999999999998</v>
      </c>
      <c r="AA13" s="39">
        <v>3.5</v>
      </c>
      <c r="AB13" s="39">
        <v>3.6</v>
      </c>
      <c r="AD13">
        <f t="shared" si="0"/>
        <v>6580</v>
      </c>
      <c r="AE13">
        <f t="shared" si="1"/>
        <v>7280</v>
      </c>
      <c r="AF13">
        <f t="shared" si="2"/>
        <v>2100</v>
      </c>
      <c r="AG13" t="e">
        <f t="shared" si="3"/>
        <v>#VALUE!</v>
      </c>
      <c r="AH13">
        <f t="shared" si="4"/>
        <v>1680</v>
      </c>
      <c r="AI13" t="e">
        <f t="shared" si="5"/>
        <v>#VALUE!</v>
      </c>
      <c r="AJ13" t="e">
        <f t="shared" si="6"/>
        <v>#VALUE!</v>
      </c>
      <c r="AK13">
        <f t="shared" si="7"/>
        <v>3219.9999999999995</v>
      </c>
      <c r="AL13">
        <f t="shared" si="8"/>
        <v>4900</v>
      </c>
      <c r="AM13">
        <f t="shared" si="9"/>
        <v>5040</v>
      </c>
    </row>
    <row r="14" spans="1:39" ht="42" thickBot="1" x14ac:dyDescent="0.3">
      <c r="A14" s="6">
        <v>1</v>
      </c>
      <c r="B14" s="6" t="s">
        <v>1412</v>
      </c>
      <c r="C14" s="6" t="s">
        <v>1413</v>
      </c>
      <c r="D14" s="6">
        <v>54</v>
      </c>
      <c r="E14" s="6">
        <v>56</v>
      </c>
      <c r="F14" s="6">
        <v>91</v>
      </c>
      <c r="G14" s="6">
        <v>72</v>
      </c>
      <c r="H14" s="6">
        <v>60</v>
      </c>
      <c r="I14" s="6">
        <v>59</v>
      </c>
      <c r="J14" s="6">
        <v>43</v>
      </c>
      <c r="K14" s="6">
        <v>588</v>
      </c>
      <c r="L14" s="6">
        <v>61</v>
      </c>
      <c r="M14" s="6">
        <v>76</v>
      </c>
      <c r="P14" s="39" t="s">
        <v>8119</v>
      </c>
      <c r="Q14" s="39" t="s">
        <v>2913</v>
      </c>
      <c r="R14" s="39" t="s">
        <v>2908</v>
      </c>
      <c r="S14" s="39" t="s">
        <v>2908</v>
      </c>
      <c r="T14" s="39" t="s">
        <v>2908</v>
      </c>
      <c r="U14" s="39" t="s">
        <v>2908</v>
      </c>
      <c r="V14" s="39" t="s">
        <v>2908</v>
      </c>
      <c r="W14" s="39" t="s">
        <v>2908</v>
      </c>
      <c r="X14" s="39" t="s">
        <v>2908</v>
      </c>
      <c r="Y14" s="39" t="s">
        <v>2908</v>
      </c>
      <c r="Z14" s="39" t="s">
        <v>2908</v>
      </c>
      <c r="AA14" s="39" t="s">
        <v>2908</v>
      </c>
      <c r="AB14" s="39" t="s">
        <v>2908</v>
      </c>
      <c r="AD14" t="e">
        <f t="shared" si="0"/>
        <v>#VALUE!</v>
      </c>
      <c r="AE14" t="e">
        <f t="shared" si="1"/>
        <v>#VALUE!</v>
      </c>
      <c r="AF14" t="e">
        <f t="shared" si="2"/>
        <v>#VALUE!</v>
      </c>
      <c r="AG14" t="e">
        <f t="shared" si="3"/>
        <v>#VALUE!</v>
      </c>
      <c r="AH14" t="e">
        <f t="shared" si="4"/>
        <v>#VALUE!</v>
      </c>
      <c r="AI14" t="e">
        <f t="shared" si="5"/>
        <v>#VALUE!</v>
      </c>
      <c r="AJ14" t="e">
        <f t="shared" si="6"/>
        <v>#VALUE!</v>
      </c>
      <c r="AK14" t="e">
        <f t="shared" si="7"/>
        <v>#VALUE!</v>
      </c>
      <c r="AL14" t="e">
        <f t="shared" si="8"/>
        <v>#VALUE!</v>
      </c>
      <c r="AM14" t="e">
        <f t="shared" si="9"/>
        <v>#VALUE!</v>
      </c>
    </row>
    <row r="15" spans="1:39" ht="42" thickBot="1" x14ac:dyDescent="0.3">
      <c r="A15" s="6">
        <v>12</v>
      </c>
      <c r="B15" s="6" t="s">
        <v>1414</v>
      </c>
      <c r="C15" s="6" t="s">
        <v>1415</v>
      </c>
      <c r="D15" s="6">
        <v>32</v>
      </c>
      <c r="E15" s="6">
        <v>72</v>
      </c>
      <c r="F15" s="6">
        <v>27</v>
      </c>
      <c r="G15" s="6">
        <v>10</v>
      </c>
      <c r="H15" s="6">
        <v>31</v>
      </c>
      <c r="I15" s="6">
        <v>10</v>
      </c>
      <c r="J15" s="6">
        <v>53</v>
      </c>
      <c r="K15" s="6">
        <v>63</v>
      </c>
      <c r="L15" s="6">
        <v>121</v>
      </c>
      <c r="M15" s="6">
        <v>33</v>
      </c>
      <c r="P15" s="39" t="s">
        <v>970</v>
      </c>
      <c r="Q15" s="39" t="s">
        <v>2173</v>
      </c>
      <c r="R15" s="39">
        <v>1891</v>
      </c>
      <c r="S15" s="39">
        <v>17</v>
      </c>
      <c r="T15" s="39">
        <v>17</v>
      </c>
      <c r="U15" s="39">
        <v>6.9</v>
      </c>
      <c r="V15" s="39">
        <v>17</v>
      </c>
      <c r="W15" s="39">
        <v>4</v>
      </c>
      <c r="X15" s="39">
        <v>26</v>
      </c>
      <c r="Y15" s="39">
        <v>3.4</v>
      </c>
      <c r="Z15" s="39">
        <v>14</v>
      </c>
      <c r="AA15" s="39">
        <v>16</v>
      </c>
      <c r="AB15" s="39">
        <v>6.2</v>
      </c>
      <c r="AD15">
        <f t="shared" si="0"/>
        <v>32147</v>
      </c>
      <c r="AE15">
        <f t="shared" si="1"/>
        <v>32147</v>
      </c>
      <c r="AF15">
        <f t="shared" si="2"/>
        <v>13047.900000000001</v>
      </c>
      <c r="AG15">
        <f t="shared" si="3"/>
        <v>32147</v>
      </c>
      <c r="AH15">
        <f t="shared" si="4"/>
        <v>7564</v>
      </c>
      <c r="AI15">
        <f t="shared" si="5"/>
        <v>49166</v>
      </c>
      <c r="AJ15">
        <f t="shared" si="6"/>
        <v>6429.4</v>
      </c>
      <c r="AK15">
        <f t="shared" si="7"/>
        <v>26474</v>
      </c>
      <c r="AL15">
        <f t="shared" si="8"/>
        <v>30256</v>
      </c>
      <c r="AM15">
        <f t="shared" si="9"/>
        <v>11724.2</v>
      </c>
    </row>
    <row r="16" spans="1:39" ht="46.2" thickBot="1" x14ac:dyDescent="0.3">
      <c r="A16" s="6">
        <v>8</v>
      </c>
      <c r="B16" s="6" t="s">
        <v>1416</v>
      </c>
      <c r="C16" s="6" t="s">
        <v>1417</v>
      </c>
      <c r="D16" s="6">
        <v>59</v>
      </c>
      <c r="E16" s="6">
        <v>10</v>
      </c>
      <c r="F16" s="6">
        <v>29</v>
      </c>
      <c r="G16" s="6">
        <v>16</v>
      </c>
      <c r="H16" s="6">
        <v>15</v>
      </c>
      <c r="I16" s="6">
        <v>12</v>
      </c>
      <c r="J16" s="6">
        <v>40</v>
      </c>
      <c r="K16" s="6">
        <v>6.1</v>
      </c>
      <c r="L16" s="6">
        <v>65</v>
      </c>
      <c r="M16" s="6">
        <v>17</v>
      </c>
      <c r="P16" s="39" t="s">
        <v>793</v>
      </c>
      <c r="Q16" s="39" t="s">
        <v>2914</v>
      </c>
      <c r="R16" s="39" t="s">
        <v>2908</v>
      </c>
      <c r="S16" s="39" t="s">
        <v>2908</v>
      </c>
      <c r="T16" s="39" t="s">
        <v>2908</v>
      </c>
      <c r="U16" s="39" t="s">
        <v>2908</v>
      </c>
      <c r="V16" s="39" t="s">
        <v>2908</v>
      </c>
      <c r="W16" s="39" t="s">
        <v>2908</v>
      </c>
      <c r="X16" s="39" t="s">
        <v>2908</v>
      </c>
      <c r="Y16" s="39" t="s">
        <v>2908</v>
      </c>
      <c r="Z16" s="39" t="s">
        <v>2908</v>
      </c>
      <c r="AA16" s="39" t="s">
        <v>2908</v>
      </c>
      <c r="AB16" s="39" t="s">
        <v>2908</v>
      </c>
      <c r="AD16" t="e">
        <f t="shared" si="0"/>
        <v>#VALUE!</v>
      </c>
      <c r="AE16" t="e">
        <f t="shared" si="1"/>
        <v>#VALUE!</v>
      </c>
      <c r="AF16" t="e">
        <f t="shared" si="2"/>
        <v>#VALUE!</v>
      </c>
      <c r="AG16" t="e">
        <f t="shared" si="3"/>
        <v>#VALUE!</v>
      </c>
      <c r="AH16" t="e">
        <f t="shared" si="4"/>
        <v>#VALUE!</v>
      </c>
      <c r="AI16" t="e">
        <f t="shared" si="5"/>
        <v>#VALUE!</v>
      </c>
      <c r="AJ16" t="e">
        <f t="shared" si="6"/>
        <v>#VALUE!</v>
      </c>
      <c r="AK16" t="e">
        <f t="shared" si="7"/>
        <v>#VALUE!</v>
      </c>
      <c r="AL16" t="e">
        <f t="shared" si="8"/>
        <v>#VALUE!</v>
      </c>
      <c r="AM16" t="e">
        <f t="shared" si="9"/>
        <v>#VALUE!</v>
      </c>
    </row>
    <row r="17" spans="1:39" ht="69.599999999999994" thickBot="1" x14ac:dyDescent="0.3">
      <c r="A17" s="6">
        <v>14</v>
      </c>
      <c r="B17" s="6" t="s">
        <v>1418</v>
      </c>
      <c r="C17" s="6" t="s">
        <v>1419</v>
      </c>
      <c r="D17" s="6">
        <v>40</v>
      </c>
      <c r="E17" s="6">
        <v>17</v>
      </c>
      <c r="F17" s="6">
        <v>35</v>
      </c>
      <c r="G17" s="6">
        <v>47</v>
      </c>
      <c r="H17" s="6">
        <v>50</v>
      </c>
      <c r="I17" s="6">
        <v>49</v>
      </c>
      <c r="J17" s="6">
        <v>29</v>
      </c>
      <c r="K17" s="6">
        <v>3.7</v>
      </c>
      <c r="L17" s="6">
        <v>64</v>
      </c>
      <c r="M17" s="6">
        <v>11</v>
      </c>
      <c r="P17" s="39" t="s">
        <v>1132</v>
      </c>
      <c r="Q17" s="39" t="s">
        <v>2029</v>
      </c>
      <c r="R17" s="39">
        <v>125</v>
      </c>
      <c r="S17" s="39">
        <v>21</v>
      </c>
      <c r="T17" s="39">
        <v>1.1000000000000001</v>
      </c>
      <c r="U17" s="39">
        <v>16</v>
      </c>
      <c r="V17" s="39" t="s">
        <v>834</v>
      </c>
      <c r="W17" s="39">
        <v>26</v>
      </c>
      <c r="X17" s="39" t="s">
        <v>834</v>
      </c>
      <c r="Y17" s="39">
        <v>10</v>
      </c>
      <c r="Z17" s="39">
        <v>4.9000000000000004</v>
      </c>
      <c r="AA17" s="39">
        <v>47</v>
      </c>
      <c r="AB17" s="39" t="s">
        <v>834</v>
      </c>
      <c r="AD17">
        <f t="shared" si="0"/>
        <v>2625</v>
      </c>
      <c r="AE17">
        <f t="shared" si="1"/>
        <v>137.5</v>
      </c>
      <c r="AF17">
        <f t="shared" si="2"/>
        <v>2000</v>
      </c>
      <c r="AG17" t="e">
        <f t="shared" si="3"/>
        <v>#VALUE!</v>
      </c>
      <c r="AH17">
        <f t="shared" si="4"/>
        <v>3250</v>
      </c>
      <c r="AI17" t="e">
        <f t="shared" si="5"/>
        <v>#VALUE!</v>
      </c>
      <c r="AJ17">
        <f t="shared" si="6"/>
        <v>1250</v>
      </c>
      <c r="AK17">
        <f t="shared" si="7"/>
        <v>612.5</v>
      </c>
      <c r="AL17">
        <f t="shared" si="8"/>
        <v>5875</v>
      </c>
      <c r="AM17" t="e">
        <f t="shared" si="9"/>
        <v>#VALUE!</v>
      </c>
    </row>
    <row r="18" spans="1:39" ht="55.8" thickBot="1" x14ac:dyDescent="0.3">
      <c r="A18" s="6">
        <v>2</v>
      </c>
      <c r="B18" s="6" t="s">
        <v>1420</v>
      </c>
      <c r="C18" s="6" t="s">
        <v>1421</v>
      </c>
      <c r="D18" s="6">
        <v>29</v>
      </c>
      <c r="E18" s="6">
        <v>16</v>
      </c>
      <c r="F18" s="6">
        <v>28</v>
      </c>
      <c r="G18" s="6">
        <v>16</v>
      </c>
      <c r="H18" s="6">
        <v>27</v>
      </c>
      <c r="I18" s="6">
        <v>20</v>
      </c>
      <c r="J18" s="6">
        <v>28</v>
      </c>
      <c r="K18" s="6">
        <v>24</v>
      </c>
      <c r="L18" s="6">
        <v>32</v>
      </c>
      <c r="M18" s="6">
        <v>27</v>
      </c>
      <c r="P18" s="39" t="s">
        <v>785</v>
      </c>
      <c r="Q18" s="39" t="s">
        <v>2028</v>
      </c>
      <c r="R18" s="39">
        <v>407</v>
      </c>
      <c r="S18" s="39">
        <v>12</v>
      </c>
      <c r="T18" s="39">
        <v>3.8</v>
      </c>
      <c r="U18" s="39">
        <v>10</v>
      </c>
      <c r="V18" s="39">
        <v>4.3</v>
      </c>
      <c r="W18" s="39">
        <v>15</v>
      </c>
      <c r="X18" s="39">
        <v>4.2</v>
      </c>
      <c r="Y18" s="39">
        <v>4.9000000000000004</v>
      </c>
      <c r="Z18" s="39">
        <v>1.1000000000000001</v>
      </c>
      <c r="AA18" s="39">
        <v>36</v>
      </c>
      <c r="AB18" s="39">
        <v>6.1</v>
      </c>
      <c r="AD18">
        <f t="shared" si="0"/>
        <v>4884</v>
      </c>
      <c r="AE18">
        <f t="shared" si="1"/>
        <v>1546.6</v>
      </c>
      <c r="AF18">
        <f t="shared" si="2"/>
        <v>4070</v>
      </c>
      <c r="AG18">
        <f t="shared" si="3"/>
        <v>1750.1</v>
      </c>
      <c r="AH18">
        <f t="shared" si="4"/>
        <v>6105</v>
      </c>
      <c r="AI18">
        <f t="shared" si="5"/>
        <v>1709.4</v>
      </c>
      <c r="AJ18">
        <f t="shared" si="6"/>
        <v>1994.3000000000002</v>
      </c>
      <c r="AK18">
        <f t="shared" si="7"/>
        <v>447.70000000000005</v>
      </c>
      <c r="AL18">
        <f t="shared" si="8"/>
        <v>14652</v>
      </c>
      <c r="AM18">
        <f t="shared" si="9"/>
        <v>2482.6999999999998</v>
      </c>
    </row>
    <row r="19" spans="1:39" ht="55.8" thickBot="1" x14ac:dyDescent="0.3">
      <c r="A19" s="6">
        <v>49</v>
      </c>
      <c r="B19" s="6" t="s">
        <v>1422</v>
      </c>
      <c r="C19" s="6" t="s">
        <v>1423</v>
      </c>
      <c r="D19" s="6">
        <v>32</v>
      </c>
      <c r="E19" s="6">
        <v>22</v>
      </c>
      <c r="F19" s="6">
        <v>25</v>
      </c>
      <c r="G19" s="6">
        <v>15</v>
      </c>
      <c r="H19" s="6">
        <v>42</v>
      </c>
      <c r="I19" s="6">
        <v>21</v>
      </c>
      <c r="J19" s="6">
        <v>20</v>
      </c>
      <c r="K19" s="6">
        <v>15</v>
      </c>
      <c r="L19" s="6">
        <v>17</v>
      </c>
      <c r="M19" s="6">
        <v>15</v>
      </c>
      <c r="P19" s="39" t="s">
        <v>741</v>
      </c>
      <c r="Q19" s="39" t="s">
        <v>2915</v>
      </c>
      <c r="R19" s="39">
        <v>93.9</v>
      </c>
      <c r="S19" s="39">
        <v>41</v>
      </c>
      <c r="T19" s="39">
        <v>19</v>
      </c>
      <c r="U19" s="39">
        <v>13</v>
      </c>
      <c r="V19" s="39">
        <v>10</v>
      </c>
      <c r="W19" s="39">
        <v>18</v>
      </c>
      <c r="X19" s="39">
        <v>16</v>
      </c>
      <c r="Y19" s="39">
        <v>5</v>
      </c>
      <c r="Z19" s="39">
        <v>2.8</v>
      </c>
      <c r="AA19" s="39">
        <v>15</v>
      </c>
      <c r="AB19" s="39">
        <v>12</v>
      </c>
      <c r="AD19">
        <f t="shared" si="0"/>
        <v>3849.9</v>
      </c>
      <c r="AE19">
        <f t="shared" si="1"/>
        <v>1784.1000000000001</v>
      </c>
      <c r="AF19">
        <f t="shared" si="2"/>
        <v>1220.7</v>
      </c>
      <c r="AG19">
        <f t="shared" si="3"/>
        <v>939</v>
      </c>
      <c r="AH19">
        <f t="shared" si="4"/>
        <v>1690.2</v>
      </c>
      <c r="AI19">
        <f t="shared" si="5"/>
        <v>1502.4</v>
      </c>
      <c r="AJ19">
        <f t="shared" si="6"/>
        <v>469.5</v>
      </c>
      <c r="AK19">
        <f t="shared" si="7"/>
        <v>262.92</v>
      </c>
      <c r="AL19">
        <f t="shared" si="8"/>
        <v>1408.5</v>
      </c>
      <c r="AM19">
        <f t="shared" si="9"/>
        <v>1126.8000000000002</v>
      </c>
    </row>
    <row r="20" spans="1:39" ht="42" thickBot="1" x14ac:dyDescent="0.3">
      <c r="A20" s="6">
        <v>79</v>
      </c>
      <c r="B20" s="6" t="s">
        <v>1424</v>
      </c>
      <c r="C20" s="6" t="s">
        <v>1425</v>
      </c>
      <c r="D20" s="6" t="s">
        <v>1069</v>
      </c>
      <c r="E20" s="6">
        <v>31</v>
      </c>
      <c r="F20" s="6" t="s">
        <v>1069</v>
      </c>
      <c r="G20" s="6">
        <v>29</v>
      </c>
      <c r="H20" s="6">
        <v>37</v>
      </c>
      <c r="I20" s="6">
        <v>21</v>
      </c>
      <c r="J20" s="6" t="s">
        <v>1069</v>
      </c>
      <c r="K20" s="6">
        <v>19</v>
      </c>
      <c r="L20" s="6">
        <v>42</v>
      </c>
      <c r="M20" s="6">
        <v>34</v>
      </c>
      <c r="P20" s="39" t="s">
        <v>913</v>
      </c>
      <c r="Q20" s="39" t="s">
        <v>2318</v>
      </c>
      <c r="R20" s="39">
        <v>2000</v>
      </c>
      <c r="S20" s="39">
        <v>2.8</v>
      </c>
      <c r="T20" s="39" t="s">
        <v>834</v>
      </c>
      <c r="U20" s="39">
        <v>1.2</v>
      </c>
      <c r="V20" s="39" t="s">
        <v>834</v>
      </c>
      <c r="W20" s="39">
        <v>1.6</v>
      </c>
      <c r="X20" s="39" t="s">
        <v>834</v>
      </c>
      <c r="Y20" s="39" t="s">
        <v>834</v>
      </c>
      <c r="Z20" s="39" t="s">
        <v>834</v>
      </c>
      <c r="AA20" s="39">
        <v>2.1</v>
      </c>
      <c r="AB20" s="39" t="s">
        <v>834</v>
      </c>
      <c r="AD20">
        <f t="shared" si="0"/>
        <v>5600</v>
      </c>
      <c r="AE20" t="e">
        <f t="shared" si="1"/>
        <v>#VALUE!</v>
      </c>
      <c r="AF20">
        <f t="shared" si="2"/>
        <v>2400</v>
      </c>
      <c r="AG20" t="e">
        <f t="shared" si="3"/>
        <v>#VALUE!</v>
      </c>
      <c r="AH20">
        <f t="shared" si="4"/>
        <v>3200</v>
      </c>
      <c r="AI20" t="e">
        <f t="shared" si="5"/>
        <v>#VALUE!</v>
      </c>
      <c r="AJ20" t="e">
        <f t="shared" si="6"/>
        <v>#VALUE!</v>
      </c>
      <c r="AK20" t="e">
        <f t="shared" si="7"/>
        <v>#VALUE!</v>
      </c>
      <c r="AL20">
        <f t="shared" si="8"/>
        <v>4200</v>
      </c>
      <c r="AM20" t="e">
        <f t="shared" si="9"/>
        <v>#VALUE!</v>
      </c>
    </row>
    <row r="21" spans="1:39" ht="84" thickBot="1" x14ac:dyDescent="0.3">
      <c r="A21" s="6">
        <v>76</v>
      </c>
      <c r="B21" s="6" t="s">
        <v>1426</v>
      </c>
      <c r="C21" s="6" t="s">
        <v>1427</v>
      </c>
      <c r="D21" s="6">
        <v>41</v>
      </c>
      <c r="E21" s="6">
        <v>19</v>
      </c>
      <c r="F21" s="6">
        <v>13</v>
      </c>
      <c r="G21" s="6">
        <v>10</v>
      </c>
      <c r="H21" s="6">
        <v>18</v>
      </c>
      <c r="I21" s="6">
        <v>16</v>
      </c>
      <c r="J21" s="6">
        <v>5</v>
      </c>
      <c r="K21" s="6">
        <v>2.8</v>
      </c>
      <c r="L21" s="6">
        <v>15</v>
      </c>
      <c r="M21" s="6">
        <v>21</v>
      </c>
      <c r="P21" s="39" t="s">
        <v>977</v>
      </c>
      <c r="Q21" s="39" t="s">
        <v>2362</v>
      </c>
      <c r="R21" s="39">
        <v>915</v>
      </c>
      <c r="S21" s="39">
        <v>2.2999999999999998</v>
      </c>
      <c r="T21" s="39" t="s">
        <v>834</v>
      </c>
      <c r="U21" s="39">
        <v>1.9</v>
      </c>
      <c r="V21" s="39" t="s">
        <v>834</v>
      </c>
      <c r="W21" s="39">
        <v>1.5</v>
      </c>
      <c r="X21" s="39" t="s">
        <v>834</v>
      </c>
      <c r="Y21" s="39">
        <v>2.4</v>
      </c>
      <c r="Z21" s="39" t="s">
        <v>834</v>
      </c>
      <c r="AA21" s="39">
        <v>3.2</v>
      </c>
      <c r="AB21" s="39" t="s">
        <v>834</v>
      </c>
      <c r="AD21">
        <f t="shared" si="0"/>
        <v>2104.5</v>
      </c>
      <c r="AE21" t="e">
        <f t="shared" si="1"/>
        <v>#VALUE!</v>
      </c>
      <c r="AF21">
        <f t="shared" si="2"/>
        <v>1738.5</v>
      </c>
      <c r="AG21" t="e">
        <f t="shared" si="3"/>
        <v>#VALUE!</v>
      </c>
      <c r="AH21">
        <f t="shared" si="4"/>
        <v>1372.5</v>
      </c>
      <c r="AI21" t="e">
        <f t="shared" si="5"/>
        <v>#VALUE!</v>
      </c>
      <c r="AJ21">
        <f t="shared" si="6"/>
        <v>2196</v>
      </c>
      <c r="AK21" t="e">
        <f t="shared" si="7"/>
        <v>#VALUE!</v>
      </c>
      <c r="AL21">
        <f t="shared" si="8"/>
        <v>2928</v>
      </c>
      <c r="AM21" t="e">
        <f t="shared" si="9"/>
        <v>#VALUE!</v>
      </c>
    </row>
    <row r="22" spans="1:39" ht="46.2" thickBot="1" x14ac:dyDescent="0.3">
      <c r="A22" s="6">
        <v>84</v>
      </c>
      <c r="B22" s="6" t="s">
        <v>268</v>
      </c>
      <c r="C22" s="6">
        <v>1257</v>
      </c>
      <c r="D22" s="6">
        <v>11</v>
      </c>
      <c r="E22" s="6">
        <v>11</v>
      </c>
      <c r="F22" s="6">
        <v>16</v>
      </c>
      <c r="G22" s="6" t="s">
        <v>1069</v>
      </c>
      <c r="H22" s="6">
        <v>26</v>
      </c>
      <c r="I22" s="6" t="s">
        <v>1069</v>
      </c>
      <c r="J22" s="6">
        <v>10</v>
      </c>
      <c r="K22" s="6">
        <v>4.9000000000000004</v>
      </c>
      <c r="L22" s="6">
        <v>47</v>
      </c>
      <c r="M22" s="6" t="s">
        <v>1069</v>
      </c>
      <c r="P22" s="39" t="s">
        <v>745</v>
      </c>
      <c r="Q22" s="39" t="s">
        <v>2025</v>
      </c>
      <c r="R22" s="39">
        <v>2733</v>
      </c>
      <c r="S22" s="39">
        <v>40</v>
      </c>
      <c r="T22" s="39">
        <v>17</v>
      </c>
      <c r="U22" s="39">
        <v>35</v>
      </c>
      <c r="V22" s="39">
        <v>4.7</v>
      </c>
      <c r="W22" s="39">
        <v>50</v>
      </c>
      <c r="X22" s="39">
        <v>4.9000000000000004</v>
      </c>
      <c r="Y22" s="39">
        <v>29</v>
      </c>
      <c r="Z22" s="39">
        <v>3.7</v>
      </c>
      <c r="AA22" s="39">
        <v>64</v>
      </c>
      <c r="AB22" s="39">
        <v>11</v>
      </c>
      <c r="AD22">
        <f t="shared" si="0"/>
        <v>109320</v>
      </c>
      <c r="AE22">
        <f t="shared" si="1"/>
        <v>46461</v>
      </c>
      <c r="AF22">
        <f t="shared" si="2"/>
        <v>95655</v>
      </c>
      <c r="AG22">
        <f t="shared" si="3"/>
        <v>12845.1</v>
      </c>
      <c r="AH22">
        <f t="shared" si="4"/>
        <v>136650</v>
      </c>
      <c r="AI22">
        <f t="shared" si="5"/>
        <v>13391.7</v>
      </c>
      <c r="AJ22">
        <f t="shared" si="6"/>
        <v>79257</v>
      </c>
      <c r="AK22">
        <f t="shared" si="7"/>
        <v>10112.1</v>
      </c>
      <c r="AL22">
        <f t="shared" si="8"/>
        <v>174912</v>
      </c>
      <c r="AM22">
        <f t="shared" si="9"/>
        <v>30063</v>
      </c>
    </row>
    <row r="23" spans="1:39" ht="42" thickBot="1" x14ac:dyDescent="0.3">
      <c r="A23" s="6">
        <v>63</v>
      </c>
      <c r="B23" s="6" t="s">
        <v>1428</v>
      </c>
      <c r="C23" s="6" t="s">
        <v>1429</v>
      </c>
      <c r="D23" s="6">
        <v>17</v>
      </c>
      <c r="E23" s="6">
        <v>17</v>
      </c>
      <c r="F23" s="6">
        <v>69</v>
      </c>
      <c r="G23" s="6">
        <v>17</v>
      </c>
      <c r="H23" s="6">
        <v>4</v>
      </c>
      <c r="I23" s="6">
        <v>26</v>
      </c>
      <c r="J23" s="6">
        <v>3.4</v>
      </c>
      <c r="K23" s="6">
        <v>14</v>
      </c>
      <c r="L23" s="6">
        <v>16</v>
      </c>
      <c r="M23" s="6">
        <v>6.2</v>
      </c>
      <c r="P23" s="39" t="s">
        <v>765</v>
      </c>
      <c r="Q23" s="39" t="s">
        <v>2916</v>
      </c>
      <c r="R23" s="39">
        <v>5370</v>
      </c>
      <c r="S23" s="39">
        <v>4</v>
      </c>
      <c r="T23" s="39">
        <v>9.5</v>
      </c>
      <c r="U23" s="39">
        <v>9.6</v>
      </c>
      <c r="V23" s="39">
        <v>9.1</v>
      </c>
      <c r="W23" s="39">
        <v>9.9</v>
      </c>
      <c r="X23" s="39">
        <v>9.5</v>
      </c>
      <c r="Y23" s="39">
        <v>9.9</v>
      </c>
      <c r="Z23" s="39">
        <v>8.1999999999999993</v>
      </c>
      <c r="AA23" s="39">
        <v>17</v>
      </c>
      <c r="AB23" s="39">
        <v>10</v>
      </c>
      <c r="AD23">
        <f t="shared" si="0"/>
        <v>21480</v>
      </c>
      <c r="AE23">
        <f t="shared" si="1"/>
        <v>51015</v>
      </c>
      <c r="AF23">
        <f t="shared" si="2"/>
        <v>51552</v>
      </c>
      <c r="AG23">
        <f t="shared" si="3"/>
        <v>48867</v>
      </c>
      <c r="AH23">
        <f t="shared" si="4"/>
        <v>53163</v>
      </c>
      <c r="AI23">
        <f t="shared" si="5"/>
        <v>51015</v>
      </c>
      <c r="AJ23">
        <f t="shared" si="6"/>
        <v>53163</v>
      </c>
      <c r="AK23">
        <f t="shared" si="7"/>
        <v>44033.999999999993</v>
      </c>
      <c r="AL23">
        <f t="shared" si="8"/>
        <v>91290</v>
      </c>
      <c r="AM23">
        <f t="shared" si="9"/>
        <v>53700</v>
      </c>
    </row>
    <row r="24" spans="1:39" ht="69.599999999999994" thickBot="1" x14ac:dyDescent="0.3">
      <c r="A24" s="6">
        <v>72</v>
      </c>
      <c r="B24" s="6" t="s">
        <v>1430</v>
      </c>
      <c r="C24" s="6" t="s">
        <v>1431</v>
      </c>
      <c r="D24" s="6">
        <v>12</v>
      </c>
      <c r="E24" s="6">
        <v>15</v>
      </c>
      <c r="F24" s="6">
        <v>65</v>
      </c>
      <c r="G24" s="6">
        <v>12</v>
      </c>
      <c r="H24" s="6">
        <v>9</v>
      </c>
      <c r="I24" s="6">
        <v>3</v>
      </c>
      <c r="J24" s="6">
        <v>4.5</v>
      </c>
      <c r="K24" s="6">
        <v>14</v>
      </c>
      <c r="L24" s="6">
        <v>7.3</v>
      </c>
      <c r="M24" s="6">
        <v>6.3</v>
      </c>
      <c r="P24" s="39" t="s">
        <v>769</v>
      </c>
      <c r="Q24" s="39" t="s">
        <v>7862</v>
      </c>
      <c r="R24" s="39" t="s">
        <v>2908</v>
      </c>
      <c r="S24" s="39" t="s">
        <v>2908</v>
      </c>
      <c r="T24" s="39" t="s">
        <v>2908</v>
      </c>
      <c r="U24" s="39" t="s">
        <v>2908</v>
      </c>
      <c r="V24" s="39" t="s">
        <v>2908</v>
      </c>
      <c r="W24" s="39" t="s">
        <v>2908</v>
      </c>
      <c r="X24" s="39" t="s">
        <v>2908</v>
      </c>
      <c r="Y24" s="39" t="s">
        <v>2908</v>
      </c>
      <c r="Z24" s="39" t="s">
        <v>2908</v>
      </c>
      <c r="AA24" s="39" t="s">
        <v>2908</v>
      </c>
      <c r="AB24" s="39" t="s">
        <v>2908</v>
      </c>
      <c r="AD24" t="e">
        <f t="shared" si="0"/>
        <v>#VALUE!</v>
      </c>
      <c r="AE24" t="e">
        <f t="shared" si="1"/>
        <v>#VALUE!</v>
      </c>
      <c r="AF24" t="e">
        <f t="shared" si="2"/>
        <v>#VALUE!</v>
      </c>
      <c r="AG24" t="e">
        <f t="shared" si="3"/>
        <v>#VALUE!</v>
      </c>
      <c r="AH24" t="e">
        <f t="shared" si="4"/>
        <v>#VALUE!</v>
      </c>
      <c r="AI24" t="e">
        <f t="shared" si="5"/>
        <v>#VALUE!</v>
      </c>
      <c r="AJ24" t="e">
        <f t="shared" si="6"/>
        <v>#VALUE!</v>
      </c>
      <c r="AK24" t="e">
        <f t="shared" si="7"/>
        <v>#VALUE!</v>
      </c>
      <c r="AL24" t="e">
        <f t="shared" si="8"/>
        <v>#VALUE!</v>
      </c>
      <c r="AM24" t="e">
        <f t="shared" si="9"/>
        <v>#VALUE!</v>
      </c>
    </row>
    <row r="25" spans="1:39" ht="42" thickBot="1" x14ac:dyDescent="0.3">
      <c r="A25" s="6">
        <v>32</v>
      </c>
      <c r="B25" s="6" t="s">
        <v>1432</v>
      </c>
      <c r="C25" s="6" t="s">
        <v>1433</v>
      </c>
      <c r="D25" s="6">
        <v>4</v>
      </c>
      <c r="E25" s="6">
        <v>9.5</v>
      </c>
      <c r="F25" s="6">
        <v>9.6</v>
      </c>
      <c r="G25" s="6">
        <v>9.1</v>
      </c>
      <c r="H25" s="6">
        <v>9.9</v>
      </c>
      <c r="I25" s="6">
        <v>9.5</v>
      </c>
      <c r="J25" s="6">
        <v>9.9</v>
      </c>
      <c r="K25" s="6">
        <v>8.1999999999999993</v>
      </c>
      <c r="L25" s="6">
        <v>17</v>
      </c>
      <c r="M25" s="6">
        <v>10</v>
      </c>
      <c r="P25" s="39" t="s">
        <v>705</v>
      </c>
      <c r="Q25" s="39" t="s">
        <v>2918</v>
      </c>
      <c r="R25" s="39">
        <v>6.12</v>
      </c>
      <c r="S25" s="39">
        <v>32</v>
      </c>
      <c r="T25" s="39">
        <v>22</v>
      </c>
      <c r="U25" s="39">
        <v>2.5</v>
      </c>
      <c r="V25" s="39">
        <v>15</v>
      </c>
      <c r="W25" s="39">
        <v>42</v>
      </c>
      <c r="X25" s="39">
        <v>21</v>
      </c>
      <c r="Y25" s="39">
        <v>20</v>
      </c>
      <c r="Z25" s="39">
        <v>15</v>
      </c>
      <c r="AA25" s="39">
        <v>17</v>
      </c>
      <c r="AB25" s="39">
        <v>15</v>
      </c>
      <c r="AD25">
        <f t="shared" si="0"/>
        <v>195.84</v>
      </c>
      <c r="AE25">
        <f t="shared" si="1"/>
        <v>134.64000000000001</v>
      </c>
      <c r="AF25">
        <f t="shared" si="2"/>
        <v>15.3</v>
      </c>
      <c r="AG25">
        <f t="shared" si="3"/>
        <v>91.8</v>
      </c>
      <c r="AH25">
        <f t="shared" si="4"/>
        <v>257.04000000000002</v>
      </c>
      <c r="AI25">
        <f t="shared" si="5"/>
        <v>128.52000000000001</v>
      </c>
      <c r="AJ25">
        <f t="shared" si="6"/>
        <v>122.4</v>
      </c>
      <c r="AK25">
        <f t="shared" si="7"/>
        <v>91.8</v>
      </c>
      <c r="AL25">
        <f t="shared" si="8"/>
        <v>104.04</v>
      </c>
      <c r="AM25">
        <f t="shared" si="9"/>
        <v>91.8</v>
      </c>
    </row>
    <row r="26" spans="1:39" ht="34.799999999999997" thickBot="1" x14ac:dyDescent="0.3">
      <c r="A26" s="6">
        <v>77</v>
      </c>
      <c r="B26" s="6" t="s">
        <v>1434</v>
      </c>
      <c r="C26" s="6" t="s">
        <v>1435</v>
      </c>
      <c r="D26" s="6">
        <v>12</v>
      </c>
      <c r="E26" s="6">
        <v>3.8</v>
      </c>
      <c r="F26" s="6">
        <v>10</v>
      </c>
      <c r="G26" s="6">
        <v>4.3</v>
      </c>
      <c r="H26" s="6">
        <v>15</v>
      </c>
      <c r="I26" s="6">
        <v>4.2</v>
      </c>
      <c r="J26" s="6">
        <v>4.9000000000000004</v>
      </c>
      <c r="K26" s="6">
        <v>1.1000000000000001</v>
      </c>
      <c r="L26" s="6">
        <v>36</v>
      </c>
      <c r="M26" s="6">
        <v>6.1</v>
      </c>
      <c r="P26" s="39" t="s">
        <v>44</v>
      </c>
      <c r="Q26" s="39" t="s">
        <v>2179</v>
      </c>
      <c r="R26" s="39">
        <v>1100</v>
      </c>
      <c r="S26" s="39">
        <v>1.3</v>
      </c>
      <c r="T26" s="39">
        <v>1.6</v>
      </c>
      <c r="U26" s="39" t="s">
        <v>834</v>
      </c>
      <c r="V26" s="39" t="s">
        <v>834</v>
      </c>
      <c r="W26" s="39" t="s">
        <v>834</v>
      </c>
      <c r="X26" s="39">
        <v>1.1000000000000001</v>
      </c>
      <c r="Y26" s="39" t="s">
        <v>834</v>
      </c>
      <c r="Z26" s="39">
        <v>2.2999999999999998</v>
      </c>
      <c r="AA26" s="39" t="s">
        <v>834</v>
      </c>
      <c r="AB26" s="39" t="s">
        <v>834</v>
      </c>
      <c r="AD26">
        <f t="shared" si="0"/>
        <v>1430</v>
      </c>
      <c r="AE26">
        <f t="shared" si="1"/>
        <v>1760</v>
      </c>
      <c r="AF26" t="e">
        <f t="shared" si="2"/>
        <v>#VALUE!</v>
      </c>
      <c r="AG26" t="e">
        <f t="shared" si="3"/>
        <v>#VALUE!</v>
      </c>
      <c r="AH26" t="e">
        <f t="shared" si="4"/>
        <v>#VALUE!</v>
      </c>
      <c r="AI26">
        <f t="shared" si="5"/>
        <v>1210</v>
      </c>
      <c r="AJ26" t="e">
        <f t="shared" si="6"/>
        <v>#VALUE!</v>
      </c>
      <c r="AK26">
        <f t="shared" si="7"/>
        <v>2530</v>
      </c>
      <c r="AL26" t="e">
        <f t="shared" si="8"/>
        <v>#VALUE!</v>
      </c>
      <c r="AM26" t="e">
        <f t="shared" si="9"/>
        <v>#VALUE!</v>
      </c>
    </row>
    <row r="27" spans="1:39" ht="42" thickBot="1" x14ac:dyDescent="0.3">
      <c r="A27" s="6">
        <v>53</v>
      </c>
      <c r="B27" s="6" t="s">
        <v>1436</v>
      </c>
      <c r="C27" s="6" t="s">
        <v>1437</v>
      </c>
      <c r="D27" s="6">
        <v>29</v>
      </c>
      <c r="E27" s="6" t="s">
        <v>1069</v>
      </c>
      <c r="F27" s="6">
        <v>1.8</v>
      </c>
      <c r="G27" s="6" t="s">
        <v>1069</v>
      </c>
      <c r="H27" s="6" t="s">
        <v>1069</v>
      </c>
      <c r="I27" s="6" t="s">
        <v>1069</v>
      </c>
      <c r="J27" s="6" t="s">
        <v>1069</v>
      </c>
      <c r="K27" s="6" t="s">
        <v>1069</v>
      </c>
      <c r="L27" s="6">
        <v>1.4</v>
      </c>
      <c r="M27" s="6">
        <v>1.2</v>
      </c>
      <c r="P27" s="39" t="s">
        <v>1056</v>
      </c>
      <c r="Q27" s="39" t="s">
        <v>2358</v>
      </c>
      <c r="R27" s="39" t="s">
        <v>2908</v>
      </c>
      <c r="S27" s="39" t="s">
        <v>2908</v>
      </c>
      <c r="T27" s="39" t="s">
        <v>2908</v>
      </c>
      <c r="U27" s="39" t="s">
        <v>2908</v>
      </c>
      <c r="V27" s="39" t="s">
        <v>2908</v>
      </c>
      <c r="W27" s="39" t="s">
        <v>2908</v>
      </c>
      <c r="X27" s="39" t="s">
        <v>2908</v>
      </c>
      <c r="Y27" s="39" t="s">
        <v>2908</v>
      </c>
      <c r="Z27" s="39" t="s">
        <v>2908</v>
      </c>
      <c r="AA27" s="39" t="s">
        <v>2908</v>
      </c>
      <c r="AB27" s="39" t="s">
        <v>2908</v>
      </c>
      <c r="AD27" t="e">
        <f t="shared" si="0"/>
        <v>#VALUE!</v>
      </c>
      <c r="AE27" t="e">
        <f t="shared" si="1"/>
        <v>#VALUE!</v>
      </c>
      <c r="AF27" t="e">
        <f t="shared" si="2"/>
        <v>#VALUE!</v>
      </c>
      <c r="AG27" t="e">
        <f t="shared" si="3"/>
        <v>#VALUE!</v>
      </c>
      <c r="AH27" t="e">
        <f t="shared" si="4"/>
        <v>#VALUE!</v>
      </c>
      <c r="AI27" t="e">
        <f t="shared" si="5"/>
        <v>#VALUE!</v>
      </c>
      <c r="AJ27" t="e">
        <f t="shared" si="6"/>
        <v>#VALUE!</v>
      </c>
      <c r="AK27" t="e">
        <f t="shared" si="7"/>
        <v>#VALUE!</v>
      </c>
      <c r="AL27" t="e">
        <f t="shared" si="8"/>
        <v>#VALUE!</v>
      </c>
      <c r="AM27" t="e">
        <f t="shared" si="9"/>
        <v>#VALUE!</v>
      </c>
    </row>
    <row r="28" spans="1:39" ht="28.2" thickBot="1" x14ac:dyDescent="0.3">
      <c r="A28" s="6">
        <v>42</v>
      </c>
      <c r="B28" s="6" t="s">
        <v>1438</v>
      </c>
      <c r="C28" s="6" t="s">
        <v>1439</v>
      </c>
      <c r="D28" s="6">
        <v>8.6</v>
      </c>
      <c r="E28" s="6">
        <v>10</v>
      </c>
      <c r="F28" s="6">
        <v>9</v>
      </c>
      <c r="G28" s="6">
        <v>1.8</v>
      </c>
      <c r="H28" s="6">
        <v>8.5</v>
      </c>
      <c r="I28" s="6">
        <v>2</v>
      </c>
      <c r="J28" s="6">
        <v>4.4000000000000004</v>
      </c>
      <c r="K28" s="6">
        <v>1.8</v>
      </c>
      <c r="L28" s="6">
        <v>8.5</v>
      </c>
      <c r="M28" s="6" t="s">
        <v>1069</v>
      </c>
      <c r="P28" s="39" t="s">
        <v>7863</v>
      </c>
      <c r="Q28" s="39" t="s">
        <v>2359</v>
      </c>
      <c r="R28" s="39">
        <v>28300</v>
      </c>
      <c r="S28" s="39">
        <v>3.2</v>
      </c>
      <c r="T28" s="39" t="s">
        <v>834</v>
      </c>
      <c r="U28" s="39">
        <v>1.7</v>
      </c>
      <c r="V28" s="39" t="s">
        <v>834</v>
      </c>
      <c r="W28" s="39">
        <v>1.8</v>
      </c>
      <c r="X28" s="39" t="s">
        <v>834</v>
      </c>
      <c r="Y28" s="39" t="s">
        <v>834</v>
      </c>
      <c r="Z28" s="39" t="s">
        <v>834</v>
      </c>
      <c r="AA28" s="39">
        <v>3.1</v>
      </c>
      <c r="AB28" s="39">
        <v>1.6</v>
      </c>
      <c r="AD28">
        <f t="shared" si="0"/>
        <v>90560</v>
      </c>
      <c r="AE28" t="e">
        <f t="shared" si="1"/>
        <v>#VALUE!</v>
      </c>
      <c r="AF28">
        <f t="shared" si="2"/>
        <v>48110</v>
      </c>
      <c r="AG28" t="e">
        <f t="shared" si="3"/>
        <v>#VALUE!</v>
      </c>
      <c r="AH28">
        <f t="shared" si="4"/>
        <v>50940</v>
      </c>
      <c r="AI28" t="e">
        <f t="shared" si="5"/>
        <v>#VALUE!</v>
      </c>
      <c r="AJ28" t="e">
        <f t="shared" si="6"/>
        <v>#VALUE!</v>
      </c>
      <c r="AK28" t="e">
        <f t="shared" si="7"/>
        <v>#VALUE!</v>
      </c>
      <c r="AL28">
        <f t="shared" si="8"/>
        <v>87730</v>
      </c>
      <c r="AM28">
        <f t="shared" si="9"/>
        <v>45280</v>
      </c>
    </row>
    <row r="29" spans="1:39" ht="42" thickBot="1" x14ac:dyDescent="0.3">
      <c r="A29" s="6">
        <v>82</v>
      </c>
      <c r="B29" s="6" t="s">
        <v>1440</v>
      </c>
      <c r="C29" s="6" t="s">
        <v>1441</v>
      </c>
      <c r="D29" s="6">
        <v>3.6</v>
      </c>
      <c r="E29" s="6">
        <v>10</v>
      </c>
      <c r="F29" s="6" t="s">
        <v>1069</v>
      </c>
      <c r="G29" s="6">
        <v>4.7</v>
      </c>
      <c r="H29" s="6" t="s">
        <v>1069</v>
      </c>
      <c r="I29" s="6">
        <v>13</v>
      </c>
      <c r="J29" s="6" t="s">
        <v>1069</v>
      </c>
      <c r="K29" s="6">
        <v>13</v>
      </c>
      <c r="L29" s="6" t="s">
        <v>1069</v>
      </c>
      <c r="M29" s="6" t="s">
        <v>1069</v>
      </c>
      <c r="P29" s="39" t="s">
        <v>737</v>
      </c>
      <c r="Q29" s="39" t="s">
        <v>2024</v>
      </c>
      <c r="R29" s="39">
        <v>2520</v>
      </c>
      <c r="S29" s="39">
        <v>452</v>
      </c>
      <c r="T29" s="39">
        <v>467</v>
      </c>
      <c r="U29" s="39">
        <v>449</v>
      </c>
      <c r="V29" s="39">
        <v>616</v>
      </c>
      <c r="W29" s="39">
        <v>476</v>
      </c>
      <c r="X29" s="39">
        <v>559</v>
      </c>
      <c r="Y29" s="39">
        <v>366</v>
      </c>
      <c r="Z29" s="39">
        <v>268</v>
      </c>
      <c r="AA29" s="39">
        <v>301</v>
      </c>
      <c r="AB29" s="39">
        <v>283</v>
      </c>
      <c r="AD29">
        <f t="shared" si="0"/>
        <v>1139040</v>
      </c>
      <c r="AE29">
        <f t="shared" si="1"/>
        <v>1176840</v>
      </c>
      <c r="AF29">
        <f t="shared" si="2"/>
        <v>1131480</v>
      </c>
      <c r="AG29">
        <f t="shared" si="3"/>
        <v>1552320</v>
      </c>
      <c r="AH29">
        <f t="shared" si="4"/>
        <v>1199520</v>
      </c>
      <c r="AI29">
        <f t="shared" si="5"/>
        <v>1408680</v>
      </c>
      <c r="AJ29">
        <f t="shared" si="6"/>
        <v>922320</v>
      </c>
      <c r="AK29">
        <f t="shared" si="7"/>
        <v>675360</v>
      </c>
      <c r="AL29">
        <f t="shared" si="8"/>
        <v>758520</v>
      </c>
      <c r="AM29">
        <f t="shared" si="9"/>
        <v>713160</v>
      </c>
    </row>
    <row r="30" spans="1:39" ht="97.2" thickBot="1" x14ac:dyDescent="0.3">
      <c r="A30" s="6">
        <v>46</v>
      </c>
      <c r="B30" s="6" t="s">
        <v>168</v>
      </c>
      <c r="C30" s="6" t="s">
        <v>1442</v>
      </c>
      <c r="D30" s="6">
        <v>4.7</v>
      </c>
      <c r="E30" s="6">
        <v>5.2</v>
      </c>
      <c r="F30" s="6">
        <v>1.5</v>
      </c>
      <c r="G30" s="6" t="s">
        <v>1069</v>
      </c>
      <c r="H30" s="6">
        <v>1.2</v>
      </c>
      <c r="I30" s="6" t="s">
        <v>1069</v>
      </c>
      <c r="J30" s="6" t="s">
        <v>1069</v>
      </c>
      <c r="K30" s="6">
        <v>3.3</v>
      </c>
      <c r="L30" s="6">
        <v>3.5</v>
      </c>
      <c r="M30" s="6">
        <v>3.6</v>
      </c>
      <c r="P30" s="39" t="s">
        <v>7864</v>
      </c>
      <c r="Q30" s="39" t="s">
        <v>2892</v>
      </c>
      <c r="R30" s="39">
        <v>1580</v>
      </c>
      <c r="S30" s="39">
        <v>7.4</v>
      </c>
      <c r="T30" s="39">
        <v>3.7</v>
      </c>
      <c r="U30" s="39">
        <v>3.2</v>
      </c>
      <c r="V30" s="39">
        <v>3.3</v>
      </c>
      <c r="W30" s="39">
        <v>4</v>
      </c>
      <c r="X30" s="39">
        <v>4.5</v>
      </c>
      <c r="Y30" s="39">
        <v>1.7</v>
      </c>
      <c r="Z30" s="39">
        <v>3.5</v>
      </c>
      <c r="AA30" s="39">
        <v>3</v>
      </c>
      <c r="AB30" s="39">
        <v>2</v>
      </c>
      <c r="AD30">
        <f t="shared" si="0"/>
        <v>11692</v>
      </c>
      <c r="AE30">
        <f t="shared" si="1"/>
        <v>5846</v>
      </c>
      <c r="AF30">
        <f t="shared" si="2"/>
        <v>5056</v>
      </c>
      <c r="AG30">
        <f t="shared" si="3"/>
        <v>5214</v>
      </c>
      <c r="AH30">
        <f t="shared" si="4"/>
        <v>6320</v>
      </c>
      <c r="AI30">
        <f t="shared" si="5"/>
        <v>7110</v>
      </c>
      <c r="AJ30">
        <f t="shared" si="6"/>
        <v>2686</v>
      </c>
      <c r="AK30">
        <f t="shared" si="7"/>
        <v>5530</v>
      </c>
      <c r="AL30">
        <f t="shared" si="8"/>
        <v>4740</v>
      </c>
      <c r="AM30">
        <f t="shared" si="9"/>
        <v>3160</v>
      </c>
    </row>
    <row r="31" spans="1:39" ht="46.2" thickBot="1" x14ac:dyDescent="0.3">
      <c r="A31" s="6">
        <v>68</v>
      </c>
      <c r="B31" s="6" t="s">
        <v>1443</v>
      </c>
      <c r="C31" s="6" t="s">
        <v>1444</v>
      </c>
      <c r="D31" s="6">
        <v>7.9</v>
      </c>
      <c r="E31" s="6" t="s">
        <v>1069</v>
      </c>
      <c r="F31" s="6">
        <v>3.6</v>
      </c>
      <c r="G31" s="6" t="s">
        <v>1069</v>
      </c>
      <c r="H31" s="6">
        <v>7.1</v>
      </c>
      <c r="I31" s="6" t="s">
        <v>1069</v>
      </c>
      <c r="J31" s="6">
        <v>3.1</v>
      </c>
      <c r="K31" s="6" t="s">
        <v>1069</v>
      </c>
      <c r="L31" s="6">
        <v>12</v>
      </c>
      <c r="M31" s="6">
        <v>2.2000000000000002</v>
      </c>
      <c r="P31" s="39" t="s">
        <v>717</v>
      </c>
      <c r="Q31" s="39" t="s">
        <v>2021</v>
      </c>
      <c r="R31" s="39">
        <v>389</v>
      </c>
      <c r="S31" s="39">
        <v>61</v>
      </c>
      <c r="T31" s="39">
        <v>90</v>
      </c>
      <c r="U31" s="39">
        <v>60</v>
      </c>
      <c r="V31" s="39">
        <v>93</v>
      </c>
      <c r="W31" s="39">
        <v>64</v>
      </c>
      <c r="X31" s="39">
        <v>87</v>
      </c>
      <c r="Y31" s="39">
        <v>48</v>
      </c>
      <c r="Z31" s="39">
        <v>102</v>
      </c>
      <c r="AA31" s="39">
        <v>84</v>
      </c>
      <c r="AB31" s="39">
        <v>55</v>
      </c>
      <c r="AD31">
        <f t="shared" si="0"/>
        <v>23729</v>
      </c>
      <c r="AE31">
        <f t="shared" si="1"/>
        <v>35010</v>
      </c>
      <c r="AF31">
        <f t="shared" si="2"/>
        <v>23340</v>
      </c>
      <c r="AG31">
        <f t="shared" si="3"/>
        <v>36177</v>
      </c>
      <c r="AH31">
        <f t="shared" si="4"/>
        <v>24896</v>
      </c>
      <c r="AI31">
        <f t="shared" si="5"/>
        <v>33843</v>
      </c>
      <c r="AJ31">
        <f t="shared" si="6"/>
        <v>18672</v>
      </c>
      <c r="AK31">
        <f t="shared" si="7"/>
        <v>39678</v>
      </c>
      <c r="AL31">
        <f t="shared" si="8"/>
        <v>32676</v>
      </c>
      <c r="AM31">
        <f t="shared" si="9"/>
        <v>21395</v>
      </c>
    </row>
    <row r="32" spans="1:39" ht="46.2" thickBot="1" x14ac:dyDescent="0.3">
      <c r="A32" s="6">
        <v>61</v>
      </c>
      <c r="B32" s="6" t="s">
        <v>1445</v>
      </c>
      <c r="C32" s="6" t="s">
        <v>1446</v>
      </c>
      <c r="D32" s="6">
        <v>7.4</v>
      </c>
      <c r="E32" s="6">
        <v>3.7</v>
      </c>
      <c r="F32" s="6">
        <v>3.2</v>
      </c>
      <c r="G32" s="6">
        <v>3.3</v>
      </c>
      <c r="H32" s="6">
        <v>4</v>
      </c>
      <c r="I32" s="6">
        <v>4.5</v>
      </c>
      <c r="J32" s="6">
        <v>1.7</v>
      </c>
      <c r="K32" s="6">
        <v>3.5</v>
      </c>
      <c r="L32" s="6">
        <v>3.6</v>
      </c>
      <c r="M32" s="6">
        <v>2</v>
      </c>
      <c r="P32" s="39" t="s">
        <v>1034</v>
      </c>
      <c r="Q32" s="39" t="s">
        <v>2174</v>
      </c>
      <c r="R32" s="39">
        <v>2700</v>
      </c>
      <c r="S32" s="39">
        <v>8.4</v>
      </c>
      <c r="T32" s="39">
        <v>5.9</v>
      </c>
      <c r="U32" s="39">
        <v>4.2</v>
      </c>
      <c r="V32" s="39">
        <v>4.5999999999999996</v>
      </c>
      <c r="W32" s="39">
        <v>2.1</v>
      </c>
      <c r="X32" s="39">
        <v>5.9</v>
      </c>
      <c r="Y32" s="39" t="s">
        <v>834</v>
      </c>
      <c r="Z32" s="39">
        <v>2.8</v>
      </c>
      <c r="AA32" s="39" t="s">
        <v>834</v>
      </c>
      <c r="AB32" s="39" t="s">
        <v>834</v>
      </c>
      <c r="AD32">
        <f t="shared" si="0"/>
        <v>22680</v>
      </c>
      <c r="AE32">
        <f t="shared" si="1"/>
        <v>15930.000000000002</v>
      </c>
      <c r="AF32">
        <f t="shared" si="2"/>
        <v>11340</v>
      </c>
      <c r="AG32">
        <f t="shared" si="3"/>
        <v>12419.999999999998</v>
      </c>
      <c r="AH32">
        <f t="shared" si="4"/>
        <v>5670</v>
      </c>
      <c r="AI32">
        <f t="shared" si="5"/>
        <v>15930.000000000002</v>
      </c>
      <c r="AJ32" t="e">
        <f t="shared" si="6"/>
        <v>#VALUE!</v>
      </c>
      <c r="AK32">
        <f t="shared" si="7"/>
        <v>7559.9999999999991</v>
      </c>
      <c r="AL32" t="e">
        <f t="shared" si="8"/>
        <v>#VALUE!</v>
      </c>
      <c r="AM32" t="e">
        <f t="shared" si="9"/>
        <v>#VALUE!</v>
      </c>
    </row>
    <row r="33" spans="1:39" ht="42" thickBot="1" x14ac:dyDescent="0.3">
      <c r="A33" s="6">
        <v>92</v>
      </c>
      <c r="B33" s="6" t="s">
        <v>39</v>
      </c>
      <c r="C33" s="6" t="s">
        <v>1447</v>
      </c>
      <c r="D33" s="6">
        <v>8.4</v>
      </c>
      <c r="E33" s="6">
        <v>5.9</v>
      </c>
      <c r="F33" s="6">
        <v>4.2</v>
      </c>
      <c r="G33" s="6">
        <v>4.5999999999999996</v>
      </c>
      <c r="H33" s="6">
        <v>2.1</v>
      </c>
      <c r="I33" s="6">
        <v>5.9</v>
      </c>
      <c r="J33" s="6" t="s">
        <v>1069</v>
      </c>
      <c r="K33" s="6">
        <v>2.8</v>
      </c>
      <c r="L33" s="6" t="s">
        <v>1069</v>
      </c>
      <c r="M33" s="6" t="s">
        <v>1069</v>
      </c>
      <c r="P33" s="39" t="s">
        <v>1265</v>
      </c>
      <c r="Q33" s="39" t="s">
        <v>2180</v>
      </c>
      <c r="R33" s="39">
        <v>13281</v>
      </c>
      <c r="S33" s="39">
        <v>1</v>
      </c>
      <c r="T33" s="39">
        <v>3</v>
      </c>
      <c r="U33" s="39" t="s">
        <v>834</v>
      </c>
      <c r="V33" s="39">
        <v>2</v>
      </c>
      <c r="W33" s="39" t="s">
        <v>834</v>
      </c>
      <c r="X33" s="39">
        <v>2.2999999999999998</v>
      </c>
      <c r="Y33" s="39" t="s">
        <v>834</v>
      </c>
      <c r="Z33" s="39">
        <v>2.1</v>
      </c>
      <c r="AA33" s="39">
        <v>1</v>
      </c>
      <c r="AB33" s="39" t="s">
        <v>834</v>
      </c>
      <c r="AD33">
        <f t="shared" si="0"/>
        <v>13281</v>
      </c>
      <c r="AE33">
        <f t="shared" si="1"/>
        <v>39843</v>
      </c>
      <c r="AF33" t="e">
        <f t="shared" si="2"/>
        <v>#VALUE!</v>
      </c>
      <c r="AG33">
        <f t="shared" si="3"/>
        <v>26562</v>
      </c>
      <c r="AH33" t="e">
        <f t="shared" si="4"/>
        <v>#VALUE!</v>
      </c>
      <c r="AI33">
        <f t="shared" si="5"/>
        <v>30546.3</v>
      </c>
      <c r="AJ33" t="e">
        <f t="shared" si="6"/>
        <v>#VALUE!</v>
      </c>
      <c r="AK33">
        <f t="shared" si="7"/>
        <v>27890.100000000002</v>
      </c>
      <c r="AL33">
        <f t="shared" si="8"/>
        <v>13281</v>
      </c>
      <c r="AM33" t="e">
        <f t="shared" si="9"/>
        <v>#VALUE!</v>
      </c>
    </row>
    <row r="34" spans="1:39" ht="34.799999999999997" thickBot="1" x14ac:dyDescent="0.3">
      <c r="A34" s="6">
        <v>93</v>
      </c>
      <c r="B34" s="6" t="s">
        <v>1448</v>
      </c>
      <c r="C34" s="6" t="s">
        <v>1449</v>
      </c>
      <c r="D34" s="6">
        <v>8.1999999999999993</v>
      </c>
      <c r="E34" s="6">
        <v>1.1000000000000001</v>
      </c>
      <c r="F34" s="6">
        <v>4.2</v>
      </c>
      <c r="G34" s="6">
        <v>1.1000000000000001</v>
      </c>
      <c r="H34" s="6">
        <v>4.2</v>
      </c>
      <c r="I34" s="6">
        <v>1.2</v>
      </c>
      <c r="J34" s="6">
        <v>2.4</v>
      </c>
      <c r="K34" s="6" t="s">
        <v>1069</v>
      </c>
      <c r="L34" s="6">
        <v>5.8</v>
      </c>
      <c r="M34" s="6" t="s">
        <v>1069</v>
      </c>
      <c r="P34" s="39" t="s">
        <v>713</v>
      </c>
      <c r="Q34" s="39" t="s">
        <v>2020</v>
      </c>
      <c r="R34" s="39">
        <v>965</v>
      </c>
      <c r="S34" s="39">
        <v>153</v>
      </c>
      <c r="T34" s="39">
        <v>135</v>
      </c>
      <c r="U34" s="39">
        <v>91</v>
      </c>
      <c r="V34" s="39">
        <v>128</v>
      </c>
      <c r="W34" s="39">
        <v>156</v>
      </c>
      <c r="X34" s="39">
        <v>105</v>
      </c>
      <c r="Y34" s="39">
        <v>157</v>
      </c>
      <c r="Z34" s="39">
        <v>127</v>
      </c>
      <c r="AA34" s="39">
        <v>100</v>
      </c>
      <c r="AB34" s="39">
        <v>92</v>
      </c>
      <c r="AD34">
        <f t="shared" si="0"/>
        <v>147645</v>
      </c>
      <c r="AE34">
        <f t="shared" si="1"/>
        <v>130275</v>
      </c>
      <c r="AF34">
        <f t="shared" si="2"/>
        <v>87815</v>
      </c>
      <c r="AG34">
        <f t="shared" si="3"/>
        <v>123520</v>
      </c>
      <c r="AH34">
        <f t="shared" si="4"/>
        <v>150540</v>
      </c>
      <c r="AI34">
        <f t="shared" si="5"/>
        <v>101325</v>
      </c>
      <c r="AJ34">
        <f t="shared" si="6"/>
        <v>151505</v>
      </c>
      <c r="AK34">
        <f t="shared" si="7"/>
        <v>122555</v>
      </c>
      <c r="AL34">
        <f t="shared" si="8"/>
        <v>96500</v>
      </c>
      <c r="AM34">
        <f t="shared" si="9"/>
        <v>88780</v>
      </c>
    </row>
    <row r="35" spans="1:39" ht="34.799999999999997" thickBot="1" x14ac:dyDescent="0.3">
      <c r="A35" s="6">
        <v>56</v>
      </c>
      <c r="B35" s="6" t="s">
        <v>162</v>
      </c>
      <c r="C35" s="6" t="s">
        <v>1450</v>
      </c>
      <c r="D35" s="6">
        <v>3.7</v>
      </c>
      <c r="E35" s="6" t="s">
        <v>1069</v>
      </c>
      <c r="F35" s="6">
        <v>2.5</v>
      </c>
      <c r="G35" s="6">
        <v>1.8</v>
      </c>
      <c r="H35" s="6">
        <v>4.0999999999999996</v>
      </c>
      <c r="I35" s="6" t="s">
        <v>1069</v>
      </c>
      <c r="J35" s="6">
        <v>1.8</v>
      </c>
      <c r="K35" s="6" t="s">
        <v>1069</v>
      </c>
      <c r="L35" s="6">
        <v>1.1000000000000001</v>
      </c>
      <c r="M35" s="6">
        <v>1.4</v>
      </c>
      <c r="P35" s="39" t="s">
        <v>1029</v>
      </c>
      <c r="Q35" s="39" t="s">
        <v>2177</v>
      </c>
      <c r="R35" s="39">
        <v>160000</v>
      </c>
      <c r="S35" s="39">
        <v>8.6</v>
      </c>
      <c r="T35" s="39">
        <v>1.9</v>
      </c>
      <c r="U35" s="39">
        <v>9</v>
      </c>
      <c r="V35" s="39">
        <v>1.8</v>
      </c>
      <c r="W35" s="39">
        <v>8.5</v>
      </c>
      <c r="X35" s="39">
        <v>2</v>
      </c>
      <c r="Y35" s="39">
        <v>4.4000000000000004</v>
      </c>
      <c r="Z35" s="39">
        <v>1.8</v>
      </c>
      <c r="AA35" s="39">
        <v>8.5</v>
      </c>
      <c r="AB35" s="39" t="s">
        <v>834</v>
      </c>
      <c r="AD35">
        <f t="shared" si="0"/>
        <v>1376000</v>
      </c>
      <c r="AE35">
        <f t="shared" si="1"/>
        <v>304000</v>
      </c>
      <c r="AF35">
        <f t="shared" si="2"/>
        <v>1440000</v>
      </c>
      <c r="AG35">
        <f t="shared" si="3"/>
        <v>288000</v>
      </c>
      <c r="AH35">
        <f t="shared" si="4"/>
        <v>1360000</v>
      </c>
      <c r="AI35">
        <f t="shared" si="5"/>
        <v>320000</v>
      </c>
      <c r="AJ35">
        <f t="shared" si="6"/>
        <v>704000</v>
      </c>
      <c r="AK35">
        <f t="shared" si="7"/>
        <v>288000</v>
      </c>
      <c r="AL35">
        <f t="shared" si="8"/>
        <v>1360000</v>
      </c>
      <c r="AM35" t="e">
        <f t="shared" si="9"/>
        <v>#VALUE!</v>
      </c>
    </row>
    <row r="36" spans="1:39" ht="55.8" thickBot="1" x14ac:dyDescent="0.3">
      <c r="A36" s="6">
        <v>11</v>
      </c>
      <c r="B36" s="6" t="s">
        <v>1451</v>
      </c>
      <c r="C36" s="6" t="s">
        <v>1452</v>
      </c>
      <c r="D36" s="6">
        <v>3.3</v>
      </c>
      <c r="E36" s="6">
        <v>2.1</v>
      </c>
      <c r="F36" s="6">
        <v>1.7</v>
      </c>
      <c r="G36" s="6">
        <v>1.7</v>
      </c>
      <c r="H36" s="6">
        <v>3.5</v>
      </c>
      <c r="I36" s="6">
        <v>1.8</v>
      </c>
      <c r="J36" s="6">
        <v>4.4000000000000004</v>
      </c>
      <c r="K36" s="6">
        <v>1.1000000000000001</v>
      </c>
      <c r="L36" s="6">
        <v>4.3</v>
      </c>
      <c r="M36" s="6">
        <v>2.1</v>
      </c>
      <c r="P36" s="39" t="s">
        <v>843</v>
      </c>
      <c r="Q36" s="39" t="s">
        <v>2175</v>
      </c>
      <c r="R36" s="39" t="s">
        <v>2908</v>
      </c>
      <c r="S36" s="39" t="s">
        <v>2908</v>
      </c>
      <c r="T36" s="39" t="s">
        <v>2908</v>
      </c>
      <c r="U36" s="39" t="s">
        <v>2908</v>
      </c>
      <c r="V36" s="39" t="s">
        <v>2908</v>
      </c>
      <c r="W36" s="39" t="s">
        <v>2908</v>
      </c>
      <c r="X36" s="39" t="s">
        <v>2908</v>
      </c>
      <c r="Y36" s="39" t="s">
        <v>2908</v>
      </c>
      <c r="Z36" s="39" t="s">
        <v>2908</v>
      </c>
      <c r="AA36" s="39" t="s">
        <v>2908</v>
      </c>
      <c r="AB36" s="39" t="s">
        <v>2908</v>
      </c>
      <c r="AD36" t="e">
        <f t="shared" si="0"/>
        <v>#VALUE!</v>
      </c>
      <c r="AE36" t="e">
        <f t="shared" si="1"/>
        <v>#VALUE!</v>
      </c>
      <c r="AF36" t="e">
        <f t="shared" si="2"/>
        <v>#VALUE!</v>
      </c>
      <c r="AG36" t="e">
        <f t="shared" si="3"/>
        <v>#VALUE!</v>
      </c>
      <c r="AH36" t="e">
        <f t="shared" si="4"/>
        <v>#VALUE!</v>
      </c>
      <c r="AI36" t="e">
        <f t="shared" si="5"/>
        <v>#VALUE!</v>
      </c>
      <c r="AJ36" t="e">
        <f t="shared" si="6"/>
        <v>#VALUE!</v>
      </c>
      <c r="AK36" t="e">
        <f t="shared" si="7"/>
        <v>#VALUE!</v>
      </c>
      <c r="AL36" t="e">
        <f t="shared" si="8"/>
        <v>#VALUE!</v>
      </c>
      <c r="AM36" t="e">
        <f t="shared" si="9"/>
        <v>#VALUE!</v>
      </c>
    </row>
    <row r="37" spans="1:39" ht="42" thickBot="1" x14ac:dyDescent="0.3">
      <c r="A37" s="6">
        <v>66</v>
      </c>
      <c r="B37" s="6" t="s">
        <v>1453</v>
      </c>
      <c r="C37" s="6" t="s">
        <v>1454</v>
      </c>
      <c r="D37" s="6">
        <v>6.1</v>
      </c>
      <c r="E37" s="6">
        <v>3.8</v>
      </c>
      <c r="F37" s="6" t="s">
        <v>1069</v>
      </c>
      <c r="G37" s="6">
        <v>2.7</v>
      </c>
      <c r="H37" s="6" t="s">
        <v>1069</v>
      </c>
      <c r="I37" s="6">
        <v>1.3</v>
      </c>
      <c r="J37" s="6" t="s">
        <v>1069</v>
      </c>
      <c r="K37" s="6">
        <v>4.5999999999999996</v>
      </c>
      <c r="L37" s="6">
        <v>1.9</v>
      </c>
      <c r="M37" s="6" t="s">
        <v>1069</v>
      </c>
      <c r="P37" s="39" t="s">
        <v>761</v>
      </c>
      <c r="Q37" s="39" t="s">
        <v>2919</v>
      </c>
      <c r="R37" s="39">
        <v>1050</v>
      </c>
      <c r="S37" s="39">
        <v>12</v>
      </c>
      <c r="T37" s="39">
        <v>15</v>
      </c>
      <c r="U37" s="39">
        <v>6.5</v>
      </c>
      <c r="V37" s="39">
        <v>12</v>
      </c>
      <c r="W37" s="39">
        <v>9.6999999999999993</v>
      </c>
      <c r="X37" s="39">
        <v>13</v>
      </c>
      <c r="Y37" s="39">
        <v>4.5</v>
      </c>
      <c r="Z37" s="39">
        <v>14</v>
      </c>
      <c r="AA37" s="39">
        <v>7.3</v>
      </c>
      <c r="AB37" s="39">
        <v>6.3</v>
      </c>
      <c r="AD37">
        <f t="shared" si="0"/>
        <v>12600</v>
      </c>
      <c r="AE37">
        <f t="shared" si="1"/>
        <v>15750</v>
      </c>
      <c r="AF37">
        <f t="shared" si="2"/>
        <v>6825</v>
      </c>
      <c r="AG37">
        <f t="shared" si="3"/>
        <v>12600</v>
      </c>
      <c r="AH37">
        <f t="shared" si="4"/>
        <v>10185</v>
      </c>
      <c r="AI37">
        <f t="shared" si="5"/>
        <v>13650</v>
      </c>
      <c r="AJ37">
        <f t="shared" si="6"/>
        <v>4725</v>
      </c>
      <c r="AK37">
        <f t="shared" si="7"/>
        <v>14700</v>
      </c>
      <c r="AL37">
        <f t="shared" si="8"/>
        <v>7665</v>
      </c>
      <c r="AM37">
        <f t="shared" si="9"/>
        <v>6615</v>
      </c>
    </row>
    <row r="38" spans="1:39" ht="42" thickBot="1" x14ac:dyDescent="0.3">
      <c r="A38" s="6">
        <v>30</v>
      </c>
      <c r="B38" s="6" t="s">
        <v>1455</v>
      </c>
      <c r="C38" s="6" t="s">
        <v>1456</v>
      </c>
      <c r="D38" s="6">
        <v>1.4</v>
      </c>
      <c r="E38" s="6">
        <v>1.8</v>
      </c>
      <c r="F38" s="6" t="s">
        <v>1069</v>
      </c>
      <c r="G38" s="6">
        <v>1.4</v>
      </c>
      <c r="H38" s="6" t="s">
        <v>1069</v>
      </c>
      <c r="I38" s="6">
        <v>1.3</v>
      </c>
      <c r="J38" s="6" t="s">
        <v>1069</v>
      </c>
      <c r="K38" s="6">
        <v>1.8</v>
      </c>
      <c r="L38" s="6">
        <v>2.8</v>
      </c>
      <c r="M38" s="6">
        <v>1.6</v>
      </c>
      <c r="P38" s="39" t="s">
        <v>753</v>
      </c>
      <c r="Q38" s="39" t="s">
        <v>2920</v>
      </c>
      <c r="R38" s="39">
        <v>262</v>
      </c>
      <c r="S38" s="39">
        <v>7.9</v>
      </c>
      <c r="T38" s="39" t="s">
        <v>834</v>
      </c>
      <c r="U38" s="39">
        <v>3.6</v>
      </c>
      <c r="V38" s="39" t="s">
        <v>834</v>
      </c>
      <c r="W38" s="39">
        <v>7.1</v>
      </c>
      <c r="X38" s="39" t="s">
        <v>834</v>
      </c>
      <c r="Y38" s="39">
        <v>3.1</v>
      </c>
      <c r="Z38" s="39" t="s">
        <v>834</v>
      </c>
      <c r="AA38" s="39">
        <v>12</v>
      </c>
      <c r="AB38" s="39">
        <v>2.2000000000000002</v>
      </c>
      <c r="AD38">
        <f t="shared" si="0"/>
        <v>2069.8000000000002</v>
      </c>
      <c r="AE38" t="e">
        <f t="shared" si="1"/>
        <v>#VALUE!</v>
      </c>
      <c r="AF38">
        <f t="shared" si="2"/>
        <v>943.2</v>
      </c>
      <c r="AG38" t="e">
        <f t="shared" si="3"/>
        <v>#VALUE!</v>
      </c>
      <c r="AH38">
        <f t="shared" si="4"/>
        <v>1860.1999999999998</v>
      </c>
      <c r="AI38" t="e">
        <f t="shared" si="5"/>
        <v>#VALUE!</v>
      </c>
      <c r="AJ38">
        <f t="shared" si="6"/>
        <v>812.2</v>
      </c>
      <c r="AK38" t="e">
        <f t="shared" si="7"/>
        <v>#VALUE!</v>
      </c>
      <c r="AL38">
        <f t="shared" si="8"/>
        <v>3144</v>
      </c>
      <c r="AM38">
        <f t="shared" si="9"/>
        <v>576.40000000000009</v>
      </c>
    </row>
    <row r="39" spans="1:39" ht="46.2" thickBot="1" x14ac:dyDescent="0.3">
      <c r="A39" s="6">
        <v>13</v>
      </c>
      <c r="B39" s="6" t="s">
        <v>1457</v>
      </c>
      <c r="C39" s="6" t="s">
        <v>1458</v>
      </c>
      <c r="D39" s="6">
        <v>3.2</v>
      </c>
      <c r="E39" s="6" t="s">
        <v>1069</v>
      </c>
      <c r="F39" s="6">
        <v>1.7</v>
      </c>
      <c r="G39" s="6" t="s">
        <v>1069</v>
      </c>
      <c r="H39" s="6">
        <v>1.8</v>
      </c>
      <c r="I39" s="6" t="s">
        <v>1069</v>
      </c>
      <c r="J39" s="6" t="s">
        <v>1069</v>
      </c>
      <c r="K39" s="6" t="s">
        <v>1069</v>
      </c>
      <c r="L39" s="6">
        <v>3.1</v>
      </c>
      <c r="M39" s="6">
        <v>1.6</v>
      </c>
      <c r="P39" s="39" t="s">
        <v>920</v>
      </c>
      <c r="Q39" s="39" t="s">
        <v>2320</v>
      </c>
      <c r="R39" s="39" t="s">
        <v>2908</v>
      </c>
      <c r="S39" s="39" t="s">
        <v>2908</v>
      </c>
      <c r="T39" s="39" t="s">
        <v>2908</v>
      </c>
      <c r="U39" s="39" t="s">
        <v>2908</v>
      </c>
      <c r="V39" s="39" t="s">
        <v>2908</v>
      </c>
      <c r="W39" s="39" t="s">
        <v>2908</v>
      </c>
      <c r="X39" s="39" t="s">
        <v>2908</v>
      </c>
      <c r="Y39" s="39" t="s">
        <v>2908</v>
      </c>
      <c r="Z39" s="39" t="s">
        <v>2908</v>
      </c>
      <c r="AA39" s="39" t="s">
        <v>2908</v>
      </c>
      <c r="AB39" s="39" t="s">
        <v>2908</v>
      </c>
      <c r="AD39" t="e">
        <f t="shared" si="0"/>
        <v>#VALUE!</v>
      </c>
      <c r="AE39" t="e">
        <f t="shared" si="1"/>
        <v>#VALUE!</v>
      </c>
      <c r="AF39" t="e">
        <f t="shared" si="2"/>
        <v>#VALUE!</v>
      </c>
      <c r="AG39" t="e">
        <f t="shared" si="3"/>
        <v>#VALUE!</v>
      </c>
      <c r="AH39" t="e">
        <f t="shared" si="4"/>
        <v>#VALUE!</v>
      </c>
      <c r="AI39" t="e">
        <f t="shared" si="5"/>
        <v>#VALUE!</v>
      </c>
      <c r="AJ39" t="e">
        <f t="shared" si="6"/>
        <v>#VALUE!</v>
      </c>
      <c r="AK39" t="e">
        <f t="shared" si="7"/>
        <v>#VALUE!</v>
      </c>
      <c r="AL39" t="e">
        <f t="shared" si="8"/>
        <v>#VALUE!</v>
      </c>
      <c r="AM39" t="e">
        <f t="shared" si="9"/>
        <v>#VALUE!</v>
      </c>
    </row>
    <row r="40" spans="1:39" ht="46.2" thickBot="1" x14ac:dyDescent="0.3">
      <c r="A40" s="6">
        <v>36</v>
      </c>
      <c r="B40" s="6" t="s">
        <v>1459</v>
      </c>
      <c r="C40" s="6" t="s">
        <v>1460</v>
      </c>
      <c r="D40" s="6">
        <v>1.8</v>
      </c>
      <c r="E40" s="6">
        <v>1.8</v>
      </c>
      <c r="F40" s="6">
        <v>1.5</v>
      </c>
      <c r="G40" s="6">
        <v>1.5</v>
      </c>
      <c r="H40" s="6">
        <v>1.4</v>
      </c>
      <c r="I40" s="6">
        <v>1.4</v>
      </c>
      <c r="J40" s="6">
        <v>1.4</v>
      </c>
      <c r="K40" s="6" t="s">
        <v>1069</v>
      </c>
      <c r="L40" s="6" t="s">
        <v>1069</v>
      </c>
      <c r="M40" s="6" t="s">
        <v>1069</v>
      </c>
      <c r="P40" s="39" t="s">
        <v>1217</v>
      </c>
      <c r="Q40" s="39" t="s">
        <v>2857</v>
      </c>
      <c r="R40" s="39">
        <v>44000</v>
      </c>
      <c r="S40" s="39">
        <v>1.3</v>
      </c>
      <c r="T40" s="39" t="s">
        <v>834</v>
      </c>
      <c r="U40" s="39">
        <v>1.1000000000000001</v>
      </c>
      <c r="V40" s="39" t="s">
        <v>834</v>
      </c>
      <c r="W40" s="39" t="s">
        <v>834</v>
      </c>
      <c r="X40" s="39" t="s">
        <v>834</v>
      </c>
      <c r="Y40" s="39">
        <v>1.1000000000000001</v>
      </c>
      <c r="Z40" s="39" t="s">
        <v>834</v>
      </c>
      <c r="AA40" s="39" t="s">
        <v>834</v>
      </c>
      <c r="AB40" s="39" t="s">
        <v>834</v>
      </c>
      <c r="AD40">
        <f t="shared" si="0"/>
        <v>57200</v>
      </c>
      <c r="AE40" t="e">
        <f t="shared" si="1"/>
        <v>#VALUE!</v>
      </c>
      <c r="AF40">
        <f t="shared" si="2"/>
        <v>48400.000000000007</v>
      </c>
      <c r="AG40" t="e">
        <f t="shared" si="3"/>
        <v>#VALUE!</v>
      </c>
      <c r="AH40" t="e">
        <f t="shared" si="4"/>
        <v>#VALUE!</v>
      </c>
      <c r="AI40" t="e">
        <f t="shared" si="5"/>
        <v>#VALUE!</v>
      </c>
      <c r="AJ40">
        <f t="shared" si="6"/>
        <v>48400.000000000007</v>
      </c>
      <c r="AK40" t="e">
        <f t="shared" si="7"/>
        <v>#VALUE!</v>
      </c>
      <c r="AL40" t="e">
        <f t="shared" si="8"/>
        <v>#VALUE!</v>
      </c>
      <c r="AM40" t="e">
        <f t="shared" si="9"/>
        <v>#VALUE!</v>
      </c>
    </row>
    <row r="41" spans="1:39" ht="28.2" thickBot="1" x14ac:dyDescent="0.3">
      <c r="A41" s="6">
        <v>88</v>
      </c>
      <c r="B41" s="6" t="s">
        <v>45</v>
      </c>
      <c r="C41" s="6" t="s">
        <v>1461</v>
      </c>
      <c r="D41" s="6">
        <v>1.1000000000000001</v>
      </c>
      <c r="E41" s="6">
        <v>3</v>
      </c>
      <c r="F41" s="6" t="s">
        <v>1069</v>
      </c>
      <c r="G41" s="6">
        <v>2</v>
      </c>
      <c r="H41" s="6" t="s">
        <v>1069</v>
      </c>
      <c r="I41" s="6">
        <v>2.2999999999999998</v>
      </c>
      <c r="J41" s="6" t="s">
        <v>1069</v>
      </c>
      <c r="K41" s="6">
        <v>2.1</v>
      </c>
      <c r="L41" s="6">
        <v>1</v>
      </c>
      <c r="M41" s="6">
        <v>1</v>
      </c>
      <c r="P41" s="39" t="s">
        <v>1969</v>
      </c>
      <c r="Q41" s="39" t="s">
        <v>2921</v>
      </c>
      <c r="R41" s="39">
        <v>2090</v>
      </c>
      <c r="S41" s="39">
        <v>54</v>
      </c>
      <c r="T41" s="39">
        <v>56</v>
      </c>
      <c r="U41" s="39">
        <v>91</v>
      </c>
      <c r="V41" s="39">
        <v>72</v>
      </c>
      <c r="W41" s="39">
        <v>60</v>
      </c>
      <c r="X41" s="39">
        <v>59</v>
      </c>
      <c r="Y41" s="39">
        <v>43</v>
      </c>
      <c r="Z41" s="39">
        <v>58</v>
      </c>
      <c r="AA41" s="39">
        <v>61</v>
      </c>
      <c r="AB41" s="39">
        <v>76</v>
      </c>
      <c r="AD41">
        <f t="shared" si="0"/>
        <v>112860</v>
      </c>
      <c r="AE41">
        <f t="shared" si="1"/>
        <v>117040</v>
      </c>
      <c r="AF41">
        <f t="shared" si="2"/>
        <v>190190</v>
      </c>
      <c r="AG41">
        <f t="shared" si="3"/>
        <v>150480</v>
      </c>
      <c r="AH41">
        <f t="shared" si="4"/>
        <v>125400</v>
      </c>
      <c r="AI41">
        <f t="shared" si="5"/>
        <v>123310</v>
      </c>
      <c r="AJ41">
        <f t="shared" si="6"/>
        <v>89870</v>
      </c>
      <c r="AK41">
        <f t="shared" si="7"/>
        <v>121220</v>
      </c>
      <c r="AL41">
        <f t="shared" si="8"/>
        <v>127490</v>
      </c>
      <c r="AM41">
        <f t="shared" si="9"/>
        <v>158840</v>
      </c>
    </row>
    <row r="42" spans="1:39" ht="34.799999999999997" thickBot="1" x14ac:dyDescent="0.3">
      <c r="A42" s="6">
        <v>39</v>
      </c>
      <c r="B42" s="6" t="s">
        <v>1462</v>
      </c>
      <c r="C42" s="6" t="s">
        <v>1463</v>
      </c>
      <c r="D42" s="6">
        <v>2.6</v>
      </c>
      <c r="E42" s="6" t="s">
        <v>1069</v>
      </c>
      <c r="F42" s="6">
        <v>2.5</v>
      </c>
      <c r="G42" s="6" t="s">
        <v>1069</v>
      </c>
      <c r="H42" s="6">
        <v>2</v>
      </c>
      <c r="I42" s="6" t="s">
        <v>1069</v>
      </c>
      <c r="J42" s="6">
        <v>2.2999999999999998</v>
      </c>
      <c r="K42" s="6" t="s">
        <v>1069</v>
      </c>
      <c r="L42" s="6" t="s">
        <v>1069</v>
      </c>
      <c r="M42" s="6" t="s">
        <v>1069</v>
      </c>
      <c r="P42" s="39" t="s">
        <v>940</v>
      </c>
      <c r="Q42" s="39" t="s">
        <v>2922</v>
      </c>
      <c r="R42" s="39" t="s">
        <v>2908</v>
      </c>
      <c r="S42" s="39" t="s">
        <v>2908</v>
      </c>
      <c r="T42" s="39" t="s">
        <v>2908</v>
      </c>
      <c r="U42" s="39" t="s">
        <v>2908</v>
      </c>
      <c r="V42" s="39" t="s">
        <v>2908</v>
      </c>
      <c r="W42" s="39" t="s">
        <v>2908</v>
      </c>
      <c r="X42" s="39" t="s">
        <v>2908</v>
      </c>
      <c r="Y42" s="39" t="s">
        <v>2908</v>
      </c>
      <c r="Z42" s="39" t="s">
        <v>2908</v>
      </c>
      <c r="AA42" s="39" t="s">
        <v>2908</v>
      </c>
      <c r="AB42" s="39" t="s">
        <v>2908</v>
      </c>
      <c r="AD42" t="e">
        <f t="shared" si="0"/>
        <v>#VALUE!</v>
      </c>
      <c r="AE42" t="e">
        <f t="shared" si="1"/>
        <v>#VALUE!</v>
      </c>
      <c r="AF42" t="e">
        <f t="shared" si="2"/>
        <v>#VALUE!</v>
      </c>
      <c r="AG42" t="e">
        <f t="shared" si="3"/>
        <v>#VALUE!</v>
      </c>
      <c r="AH42" t="e">
        <f t="shared" si="4"/>
        <v>#VALUE!</v>
      </c>
      <c r="AI42" t="e">
        <f t="shared" si="5"/>
        <v>#VALUE!</v>
      </c>
      <c r="AJ42" t="e">
        <f t="shared" si="6"/>
        <v>#VALUE!</v>
      </c>
      <c r="AK42" t="e">
        <f t="shared" si="7"/>
        <v>#VALUE!</v>
      </c>
      <c r="AL42" t="e">
        <f t="shared" si="8"/>
        <v>#VALUE!</v>
      </c>
      <c r="AM42" t="e">
        <f t="shared" si="9"/>
        <v>#VALUE!</v>
      </c>
    </row>
    <row r="43" spans="1:39" ht="57.6" thickBot="1" x14ac:dyDescent="0.3">
      <c r="A43" s="6">
        <v>23</v>
      </c>
      <c r="B43" s="6" t="s">
        <v>1464</v>
      </c>
      <c r="C43" s="6" t="s">
        <v>1465</v>
      </c>
      <c r="D43" s="6">
        <v>2.2999999999999998</v>
      </c>
      <c r="E43" s="6" t="s">
        <v>1069</v>
      </c>
      <c r="F43" s="6">
        <v>1.9</v>
      </c>
      <c r="G43" s="6" t="s">
        <v>1069</v>
      </c>
      <c r="H43" s="6">
        <v>1.5</v>
      </c>
      <c r="I43" s="6" t="s">
        <v>1069</v>
      </c>
      <c r="J43" s="6">
        <v>2.4</v>
      </c>
      <c r="K43" s="6" t="s">
        <v>1069</v>
      </c>
      <c r="L43" s="6">
        <v>3.2</v>
      </c>
      <c r="M43" s="6" t="s">
        <v>1069</v>
      </c>
      <c r="P43" s="39" t="s">
        <v>943</v>
      </c>
      <c r="Q43" s="39" t="s">
        <v>2341</v>
      </c>
      <c r="R43" s="39" t="s">
        <v>2908</v>
      </c>
      <c r="S43" s="39" t="s">
        <v>2908</v>
      </c>
      <c r="T43" s="39" t="s">
        <v>2908</v>
      </c>
      <c r="U43" s="39" t="s">
        <v>2908</v>
      </c>
      <c r="V43" s="39" t="s">
        <v>2908</v>
      </c>
      <c r="W43" s="39" t="s">
        <v>2908</v>
      </c>
      <c r="X43" s="39" t="s">
        <v>2908</v>
      </c>
      <c r="Y43" s="39" t="s">
        <v>2908</v>
      </c>
      <c r="Z43" s="39" t="s">
        <v>2908</v>
      </c>
      <c r="AA43" s="39" t="s">
        <v>2908</v>
      </c>
      <c r="AB43" s="39" t="s">
        <v>2908</v>
      </c>
      <c r="AD43" t="e">
        <f t="shared" si="0"/>
        <v>#VALUE!</v>
      </c>
      <c r="AE43" t="e">
        <f t="shared" si="1"/>
        <v>#VALUE!</v>
      </c>
      <c r="AF43" t="e">
        <f t="shared" si="2"/>
        <v>#VALUE!</v>
      </c>
      <c r="AG43" t="e">
        <f t="shared" si="3"/>
        <v>#VALUE!</v>
      </c>
      <c r="AH43" t="e">
        <f t="shared" si="4"/>
        <v>#VALUE!</v>
      </c>
      <c r="AI43" t="e">
        <f t="shared" si="5"/>
        <v>#VALUE!</v>
      </c>
      <c r="AJ43" t="e">
        <f t="shared" si="6"/>
        <v>#VALUE!</v>
      </c>
      <c r="AK43" t="e">
        <f t="shared" si="7"/>
        <v>#VALUE!</v>
      </c>
      <c r="AL43" t="e">
        <f t="shared" si="8"/>
        <v>#VALUE!</v>
      </c>
      <c r="AM43" t="e">
        <f t="shared" si="9"/>
        <v>#VALUE!</v>
      </c>
    </row>
    <row r="44" spans="1:39" ht="55.8" thickBot="1" x14ac:dyDescent="0.3">
      <c r="A44" s="6">
        <v>27</v>
      </c>
      <c r="B44" s="6" t="s">
        <v>1466</v>
      </c>
      <c r="C44" s="6" t="s">
        <v>1467</v>
      </c>
      <c r="D44" s="6">
        <v>1.5</v>
      </c>
      <c r="E44" s="6" t="s">
        <v>1069</v>
      </c>
      <c r="F44" s="6">
        <v>1.8</v>
      </c>
      <c r="G44" s="6" t="s">
        <v>1069</v>
      </c>
      <c r="H44" s="6">
        <v>1.5</v>
      </c>
      <c r="I44" s="6" t="s">
        <v>1069</v>
      </c>
      <c r="J44" s="6">
        <v>1.9</v>
      </c>
      <c r="K44" s="6" t="s">
        <v>1069</v>
      </c>
      <c r="L44" s="6">
        <v>2.2999999999999998</v>
      </c>
      <c r="M44" s="6" t="s">
        <v>1069</v>
      </c>
      <c r="P44" s="39" t="s">
        <v>7865</v>
      </c>
      <c r="Q44" s="39" t="s">
        <v>2161</v>
      </c>
      <c r="R44" s="39">
        <v>0.36</v>
      </c>
      <c r="S44" s="39">
        <v>186</v>
      </c>
      <c r="T44" s="39">
        <v>166</v>
      </c>
      <c r="U44" s="39">
        <v>347</v>
      </c>
      <c r="V44" s="39" t="s">
        <v>834</v>
      </c>
      <c r="W44" s="39">
        <v>368</v>
      </c>
      <c r="X44" s="39" t="s">
        <v>834</v>
      </c>
      <c r="Y44" s="39">
        <v>43</v>
      </c>
      <c r="Z44" s="39" t="s">
        <v>834</v>
      </c>
      <c r="AA44" s="39">
        <v>205</v>
      </c>
      <c r="AB44" s="39">
        <v>204</v>
      </c>
      <c r="AD44">
        <f t="shared" si="0"/>
        <v>66.959999999999994</v>
      </c>
      <c r="AE44">
        <f t="shared" si="1"/>
        <v>59.76</v>
      </c>
      <c r="AF44">
        <f t="shared" si="2"/>
        <v>124.92</v>
      </c>
      <c r="AG44" t="e">
        <f t="shared" si="3"/>
        <v>#VALUE!</v>
      </c>
      <c r="AH44">
        <f t="shared" si="4"/>
        <v>132.47999999999999</v>
      </c>
      <c r="AI44" t="e">
        <f t="shared" si="5"/>
        <v>#VALUE!</v>
      </c>
      <c r="AJ44">
        <f t="shared" si="6"/>
        <v>15.479999999999999</v>
      </c>
      <c r="AK44" t="e">
        <f t="shared" si="7"/>
        <v>#VALUE!</v>
      </c>
      <c r="AL44">
        <f t="shared" si="8"/>
        <v>73.8</v>
      </c>
      <c r="AM44">
        <f t="shared" si="9"/>
        <v>73.44</v>
      </c>
    </row>
    <row r="45" spans="1:39" ht="55.8" thickBot="1" x14ac:dyDescent="0.3">
      <c r="A45" s="6">
        <v>97</v>
      </c>
      <c r="B45" s="6" t="s">
        <v>206</v>
      </c>
      <c r="C45" s="6" t="s">
        <v>1468</v>
      </c>
      <c r="D45" s="6">
        <v>2.8</v>
      </c>
      <c r="E45" s="6" t="s">
        <v>1069</v>
      </c>
      <c r="F45" s="6">
        <v>1.2</v>
      </c>
      <c r="G45" s="6" t="s">
        <v>1069</v>
      </c>
      <c r="H45" s="6">
        <v>1</v>
      </c>
      <c r="I45" s="6" t="s">
        <v>1069</v>
      </c>
      <c r="J45" s="6" t="s">
        <v>1069</v>
      </c>
      <c r="K45" s="6" t="s">
        <v>1069</v>
      </c>
      <c r="L45" s="6" t="s">
        <v>1069</v>
      </c>
      <c r="M45" s="6" t="s">
        <v>1069</v>
      </c>
      <c r="P45" s="39" t="s">
        <v>725</v>
      </c>
      <c r="Q45" s="39" t="s">
        <v>2923</v>
      </c>
      <c r="R45" s="39" t="s">
        <v>2908</v>
      </c>
      <c r="S45" s="39" t="s">
        <v>2908</v>
      </c>
      <c r="T45" s="39" t="s">
        <v>2908</v>
      </c>
      <c r="U45" s="39" t="s">
        <v>2908</v>
      </c>
      <c r="V45" s="39" t="s">
        <v>2908</v>
      </c>
      <c r="W45" s="39" t="s">
        <v>2908</v>
      </c>
      <c r="X45" s="39" t="s">
        <v>2908</v>
      </c>
      <c r="Y45" s="39" t="s">
        <v>2908</v>
      </c>
      <c r="Z45" s="39" t="s">
        <v>2908</v>
      </c>
      <c r="AA45" s="39" t="s">
        <v>2908</v>
      </c>
      <c r="AB45" s="39" t="s">
        <v>2908</v>
      </c>
      <c r="AD45" t="e">
        <f t="shared" si="0"/>
        <v>#VALUE!</v>
      </c>
      <c r="AE45" t="e">
        <f t="shared" si="1"/>
        <v>#VALUE!</v>
      </c>
      <c r="AF45" t="e">
        <f t="shared" si="2"/>
        <v>#VALUE!</v>
      </c>
      <c r="AG45" t="e">
        <f t="shared" si="3"/>
        <v>#VALUE!</v>
      </c>
      <c r="AH45" t="e">
        <f t="shared" si="4"/>
        <v>#VALUE!</v>
      </c>
      <c r="AI45" t="e">
        <f t="shared" si="5"/>
        <v>#VALUE!</v>
      </c>
      <c r="AJ45" t="e">
        <f t="shared" si="6"/>
        <v>#VALUE!</v>
      </c>
      <c r="AK45" t="e">
        <f t="shared" si="7"/>
        <v>#VALUE!</v>
      </c>
      <c r="AL45" t="e">
        <f t="shared" si="8"/>
        <v>#VALUE!</v>
      </c>
      <c r="AM45" t="e">
        <f t="shared" si="9"/>
        <v>#VALUE!</v>
      </c>
    </row>
    <row r="46" spans="1:39" ht="83.4" thickBot="1" x14ac:dyDescent="0.3">
      <c r="P46" s="39" t="s">
        <v>757</v>
      </c>
      <c r="Q46" s="39" t="s">
        <v>2924</v>
      </c>
      <c r="R46" s="39" t="s">
        <v>2908</v>
      </c>
      <c r="S46" s="39" t="s">
        <v>2908</v>
      </c>
      <c r="T46" s="39" t="s">
        <v>2908</v>
      </c>
      <c r="U46" s="39" t="s">
        <v>2908</v>
      </c>
      <c r="V46" s="39" t="s">
        <v>2908</v>
      </c>
      <c r="W46" s="39" t="s">
        <v>2908</v>
      </c>
      <c r="X46" s="39" t="s">
        <v>2908</v>
      </c>
      <c r="Y46" s="39" t="s">
        <v>2908</v>
      </c>
      <c r="Z46" s="39" t="s">
        <v>2908</v>
      </c>
      <c r="AA46" s="39" t="s">
        <v>2908</v>
      </c>
      <c r="AB46" s="39" t="s">
        <v>2908</v>
      </c>
      <c r="AD46" t="e">
        <f t="shared" si="0"/>
        <v>#VALUE!</v>
      </c>
      <c r="AE46" t="e">
        <f t="shared" si="1"/>
        <v>#VALUE!</v>
      </c>
      <c r="AF46" t="e">
        <f t="shared" si="2"/>
        <v>#VALUE!</v>
      </c>
      <c r="AG46" t="e">
        <f t="shared" si="3"/>
        <v>#VALUE!</v>
      </c>
      <c r="AH46" t="e">
        <f t="shared" si="4"/>
        <v>#VALUE!</v>
      </c>
      <c r="AI46" t="e">
        <f t="shared" si="5"/>
        <v>#VALUE!</v>
      </c>
      <c r="AJ46" t="e">
        <f t="shared" si="6"/>
        <v>#VALUE!</v>
      </c>
      <c r="AK46" t="e">
        <f t="shared" si="7"/>
        <v>#VALUE!</v>
      </c>
      <c r="AL46" t="e">
        <f t="shared" si="8"/>
        <v>#VALUE!</v>
      </c>
      <c r="AM46" t="e">
        <f t="shared" si="9"/>
        <v>#VALUE!</v>
      </c>
    </row>
    <row r="47" spans="1:39" ht="69.599999999999994" thickBot="1" x14ac:dyDescent="0.3">
      <c r="P47" s="39" t="s">
        <v>773</v>
      </c>
      <c r="Q47" s="39" t="s">
        <v>2925</v>
      </c>
      <c r="R47" s="39" t="s">
        <v>2908</v>
      </c>
      <c r="S47" s="39" t="s">
        <v>2908</v>
      </c>
      <c r="T47" s="39" t="s">
        <v>2908</v>
      </c>
      <c r="U47" s="39" t="s">
        <v>2908</v>
      </c>
      <c r="V47" s="39" t="s">
        <v>2908</v>
      </c>
      <c r="W47" s="39" t="s">
        <v>2908</v>
      </c>
      <c r="X47" s="39" t="s">
        <v>2908</v>
      </c>
      <c r="Y47" s="39" t="s">
        <v>2908</v>
      </c>
      <c r="Z47" s="39" t="s">
        <v>2908</v>
      </c>
      <c r="AA47" s="39" t="s">
        <v>2908</v>
      </c>
      <c r="AB47" s="39" t="s">
        <v>2908</v>
      </c>
      <c r="AD47" t="e">
        <f t="shared" si="0"/>
        <v>#VALUE!</v>
      </c>
      <c r="AE47" t="e">
        <f t="shared" si="1"/>
        <v>#VALUE!</v>
      </c>
      <c r="AF47" t="e">
        <f t="shared" si="2"/>
        <v>#VALUE!</v>
      </c>
      <c r="AG47" t="e">
        <f t="shared" si="3"/>
        <v>#VALUE!</v>
      </c>
      <c r="AH47" t="e">
        <f t="shared" si="4"/>
        <v>#VALUE!</v>
      </c>
      <c r="AI47" t="e">
        <f t="shared" si="5"/>
        <v>#VALUE!</v>
      </c>
      <c r="AJ47" t="e">
        <f t="shared" si="6"/>
        <v>#VALUE!</v>
      </c>
      <c r="AK47" t="e">
        <f t="shared" si="7"/>
        <v>#VALUE!</v>
      </c>
      <c r="AL47" t="e">
        <f t="shared" si="8"/>
        <v>#VALUE!</v>
      </c>
      <c r="AM47" t="e">
        <f t="shared" si="9"/>
        <v>#VALUE!</v>
      </c>
    </row>
    <row r="48" spans="1:39" ht="69.599999999999994" thickBot="1" x14ac:dyDescent="0.3">
      <c r="P48" s="39" t="s">
        <v>7867</v>
      </c>
      <c r="Q48" s="39" t="s">
        <v>2027</v>
      </c>
      <c r="R48" s="39" t="s">
        <v>2908</v>
      </c>
      <c r="S48" s="39" t="s">
        <v>2908</v>
      </c>
      <c r="T48" s="39" t="s">
        <v>2908</v>
      </c>
      <c r="U48" s="39" t="s">
        <v>2908</v>
      </c>
      <c r="V48" s="39" t="s">
        <v>2908</v>
      </c>
      <c r="W48" s="39" t="s">
        <v>2908</v>
      </c>
      <c r="X48" s="39" t="s">
        <v>2908</v>
      </c>
      <c r="Y48" s="39" t="s">
        <v>2908</v>
      </c>
      <c r="Z48" s="39" t="s">
        <v>2908</v>
      </c>
      <c r="AA48" s="39" t="s">
        <v>2908</v>
      </c>
      <c r="AB48" s="39" t="s">
        <v>2908</v>
      </c>
      <c r="AD48" t="e">
        <f t="shared" si="0"/>
        <v>#VALUE!</v>
      </c>
      <c r="AE48" t="e">
        <f t="shared" si="1"/>
        <v>#VALUE!</v>
      </c>
      <c r="AF48" t="e">
        <f t="shared" si="2"/>
        <v>#VALUE!</v>
      </c>
      <c r="AG48" t="e">
        <f t="shared" si="3"/>
        <v>#VALUE!</v>
      </c>
      <c r="AH48" t="e">
        <f t="shared" si="4"/>
        <v>#VALUE!</v>
      </c>
      <c r="AI48" t="e">
        <f t="shared" si="5"/>
        <v>#VALUE!</v>
      </c>
      <c r="AJ48" t="e">
        <f t="shared" si="6"/>
        <v>#VALUE!</v>
      </c>
      <c r="AK48" t="e">
        <f t="shared" si="7"/>
        <v>#VALUE!</v>
      </c>
      <c r="AL48" t="e">
        <f t="shared" si="8"/>
        <v>#VALUE!</v>
      </c>
      <c r="AM48" t="e">
        <f t="shared" si="9"/>
        <v>#VALUE!</v>
      </c>
    </row>
    <row r="49" spans="16:39" ht="42" thickBot="1" x14ac:dyDescent="0.3">
      <c r="P49" s="39" t="s">
        <v>781</v>
      </c>
      <c r="Q49" s="39" t="s">
        <v>2878</v>
      </c>
      <c r="R49" s="39" t="s">
        <v>2908</v>
      </c>
      <c r="S49" s="39" t="s">
        <v>2908</v>
      </c>
      <c r="T49" s="39" t="s">
        <v>2908</v>
      </c>
      <c r="U49" s="39" t="s">
        <v>2908</v>
      </c>
      <c r="V49" s="39" t="s">
        <v>2908</v>
      </c>
      <c r="W49" s="39" t="s">
        <v>2908</v>
      </c>
      <c r="X49" s="39" t="s">
        <v>2908</v>
      </c>
      <c r="Y49" s="39" t="s">
        <v>2908</v>
      </c>
      <c r="Z49" s="39" t="s">
        <v>2908</v>
      </c>
      <c r="AA49" s="39" t="s">
        <v>2908</v>
      </c>
      <c r="AB49" s="39" t="s">
        <v>2908</v>
      </c>
      <c r="AD49" t="e">
        <f t="shared" si="0"/>
        <v>#VALUE!</v>
      </c>
      <c r="AE49" t="e">
        <f t="shared" si="1"/>
        <v>#VALUE!</v>
      </c>
      <c r="AF49" t="e">
        <f t="shared" si="2"/>
        <v>#VALUE!</v>
      </c>
      <c r="AG49" t="e">
        <f t="shared" si="3"/>
        <v>#VALUE!</v>
      </c>
      <c r="AH49" t="e">
        <f t="shared" si="4"/>
        <v>#VALUE!</v>
      </c>
      <c r="AI49" t="e">
        <f t="shared" si="5"/>
        <v>#VALUE!</v>
      </c>
      <c r="AJ49" t="e">
        <f t="shared" si="6"/>
        <v>#VALUE!</v>
      </c>
      <c r="AK49" t="e">
        <f t="shared" si="7"/>
        <v>#VALUE!</v>
      </c>
      <c r="AL49" t="e">
        <f t="shared" si="8"/>
        <v>#VALUE!</v>
      </c>
      <c r="AM49" t="e">
        <f t="shared" si="9"/>
        <v>#VALUE!</v>
      </c>
    </row>
    <row r="50" spans="16:39" ht="42" thickBot="1" x14ac:dyDescent="0.3">
      <c r="P50" s="39" t="s">
        <v>797</v>
      </c>
      <c r="Q50" s="39" t="s">
        <v>2927</v>
      </c>
      <c r="R50" s="39">
        <v>1800</v>
      </c>
      <c r="S50" s="39">
        <v>3.3</v>
      </c>
      <c r="T50" s="39">
        <v>2.1</v>
      </c>
      <c r="U50" s="39">
        <v>1.7</v>
      </c>
      <c r="V50" s="39">
        <v>1</v>
      </c>
      <c r="W50" s="39">
        <v>3.5</v>
      </c>
      <c r="X50" s="39">
        <v>1.8</v>
      </c>
      <c r="Y50" s="39">
        <v>4</v>
      </c>
      <c r="Z50" s="39">
        <v>1.1000000000000001</v>
      </c>
      <c r="AA50" s="39">
        <v>4.3</v>
      </c>
      <c r="AB50" s="39">
        <v>2.1</v>
      </c>
      <c r="AD50">
        <f t="shared" si="0"/>
        <v>5940</v>
      </c>
      <c r="AE50">
        <f t="shared" si="1"/>
        <v>3780</v>
      </c>
      <c r="AF50">
        <f t="shared" si="2"/>
        <v>3060</v>
      </c>
      <c r="AG50">
        <f t="shared" si="3"/>
        <v>1800</v>
      </c>
      <c r="AH50">
        <f t="shared" si="4"/>
        <v>6300</v>
      </c>
      <c r="AI50">
        <f t="shared" si="5"/>
        <v>3240</v>
      </c>
      <c r="AJ50">
        <f t="shared" si="6"/>
        <v>7200</v>
      </c>
      <c r="AK50">
        <f t="shared" si="7"/>
        <v>1980.0000000000002</v>
      </c>
      <c r="AL50">
        <f t="shared" si="8"/>
        <v>7740</v>
      </c>
      <c r="AM50">
        <f t="shared" si="9"/>
        <v>3780</v>
      </c>
    </row>
    <row r="51" spans="16:39" ht="42" thickBot="1" x14ac:dyDescent="0.3">
      <c r="P51" s="39" t="s">
        <v>894</v>
      </c>
      <c r="Q51" s="39" t="s">
        <v>2164</v>
      </c>
      <c r="R51" s="39">
        <v>57.5</v>
      </c>
      <c r="S51" s="39">
        <v>139</v>
      </c>
      <c r="T51" s="39">
        <v>65</v>
      </c>
      <c r="U51" s="39">
        <v>169</v>
      </c>
      <c r="V51" s="39">
        <v>81</v>
      </c>
      <c r="W51" s="39">
        <v>131</v>
      </c>
      <c r="X51" s="39">
        <v>74</v>
      </c>
      <c r="Y51" s="39">
        <v>157</v>
      </c>
      <c r="Z51" s="39">
        <v>55</v>
      </c>
      <c r="AA51" s="39">
        <v>262</v>
      </c>
      <c r="AB51" s="39">
        <v>143</v>
      </c>
      <c r="AD51">
        <f t="shared" si="0"/>
        <v>7992.5</v>
      </c>
      <c r="AE51">
        <f t="shared" si="1"/>
        <v>3737.5</v>
      </c>
      <c r="AF51">
        <f t="shared" si="2"/>
        <v>9717.5</v>
      </c>
      <c r="AG51">
        <f t="shared" si="3"/>
        <v>4657.5</v>
      </c>
      <c r="AH51">
        <f t="shared" si="4"/>
        <v>7532.5</v>
      </c>
      <c r="AI51">
        <f t="shared" si="5"/>
        <v>4255</v>
      </c>
      <c r="AJ51">
        <f t="shared" si="6"/>
        <v>9027.5</v>
      </c>
      <c r="AK51">
        <f t="shared" si="7"/>
        <v>3162.5</v>
      </c>
      <c r="AL51">
        <f t="shared" si="8"/>
        <v>15065</v>
      </c>
      <c r="AM51">
        <f t="shared" si="9"/>
        <v>8222.5</v>
      </c>
    </row>
    <row r="52" spans="16:39" ht="69.599999999999994" thickBot="1" x14ac:dyDescent="0.3">
      <c r="P52" s="39" t="s">
        <v>1127</v>
      </c>
      <c r="Q52" s="39" t="s">
        <v>2170</v>
      </c>
      <c r="R52" s="39">
        <v>18</v>
      </c>
      <c r="S52" s="39">
        <v>59</v>
      </c>
      <c r="T52" s="39">
        <v>10</v>
      </c>
      <c r="U52" s="39">
        <v>29</v>
      </c>
      <c r="V52" s="39">
        <v>16</v>
      </c>
      <c r="W52" s="39">
        <v>51</v>
      </c>
      <c r="X52" s="39">
        <v>12</v>
      </c>
      <c r="Y52" s="39">
        <v>40</v>
      </c>
      <c r="Z52" s="39">
        <v>6.1</v>
      </c>
      <c r="AA52" s="39">
        <v>65</v>
      </c>
      <c r="AB52" s="39">
        <v>17</v>
      </c>
      <c r="AD52">
        <f t="shared" si="0"/>
        <v>1062</v>
      </c>
      <c r="AE52">
        <f t="shared" si="1"/>
        <v>180</v>
      </c>
      <c r="AF52">
        <f t="shared" si="2"/>
        <v>522</v>
      </c>
      <c r="AG52">
        <f t="shared" si="3"/>
        <v>288</v>
      </c>
      <c r="AH52">
        <f t="shared" si="4"/>
        <v>918</v>
      </c>
      <c r="AI52">
        <f t="shared" si="5"/>
        <v>216</v>
      </c>
      <c r="AJ52">
        <f t="shared" si="6"/>
        <v>720</v>
      </c>
      <c r="AK52">
        <f t="shared" si="7"/>
        <v>109.8</v>
      </c>
      <c r="AL52">
        <f t="shared" si="8"/>
        <v>1170</v>
      </c>
      <c r="AM52">
        <f t="shared" si="9"/>
        <v>306</v>
      </c>
    </row>
    <row r="53" spans="16:39" ht="28.2" thickBot="1" x14ac:dyDescent="0.3">
      <c r="P53" s="39" t="s">
        <v>32</v>
      </c>
      <c r="Q53" s="39" t="s">
        <v>2172</v>
      </c>
      <c r="R53" s="39">
        <v>167</v>
      </c>
      <c r="S53" s="39">
        <v>8.1999999999999993</v>
      </c>
      <c r="T53" s="39">
        <v>1.1000000000000001</v>
      </c>
      <c r="U53" s="39">
        <v>4.2</v>
      </c>
      <c r="V53" s="39">
        <v>1.1000000000000001</v>
      </c>
      <c r="W53" s="39">
        <v>4.2</v>
      </c>
      <c r="X53" s="39">
        <v>1.2</v>
      </c>
      <c r="Y53" s="39">
        <v>2.4</v>
      </c>
      <c r="Z53" s="39" t="s">
        <v>834</v>
      </c>
      <c r="AA53" s="39">
        <v>5.8</v>
      </c>
      <c r="AB53" s="39" t="s">
        <v>834</v>
      </c>
      <c r="AD53">
        <f t="shared" si="0"/>
        <v>1369.3999999999999</v>
      </c>
      <c r="AE53">
        <f t="shared" si="1"/>
        <v>183.70000000000002</v>
      </c>
      <c r="AF53">
        <f t="shared" si="2"/>
        <v>701.4</v>
      </c>
      <c r="AG53">
        <f t="shared" si="3"/>
        <v>183.70000000000002</v>
      </c>
      <c r="AH53">
        <f t="shared" si="4"/>
        <v>701.4</v>
      </c>
      <c r="AI53">
        <f t="shared" si="5"/>
        <v>200.4</v>
      </c>
      <c r="AJ53">
        <f t="shared" si="6"/>
        <v>400.8</v>
      </c>
      <c r="AK53" t="e">
        <f t="shared" si="7"/>
        <v>#VALUE!</v>
      </c>
      <c r="AL53">
        <f t="shared" si="8"/>
        <v>968.6</v>
      </c>
      <c r="AM53" t="e">
        <f t="shared" si="9"/>
        <v>#VALUE!</v>
      </c>
    </row>
    <row r="54" spans="16:39" ht="55.8" thickBot="1" x14ac:dyDescent="0.3">
      <c r="P54" s="39" t="s">
        <v>843</v>
      </c>
      <c r="Q54" s="39" t="s">
        <v>2928</v>
      </c>
      <c r="R54" s="39" t="s">
        <v>2908</v>
      </c>
      <c r="S54" s="39" t="s">
        <v>2908</v>
      </c>
      <c r="T54" s="39" t="s">
        <v>2908</v>
      </c>
      <c r="U54" s="39" t="s">
        <v>2908</v>
      </c>
      <c r="V54" s="39" t="s">
        <v>2908</v>
      </c>
      <c r="W54" s="39" t="s">
        <v>2908</v>
      </c>
      <c r="X54" s="39" t="s">
        <v>2908</v>
      </c>
      <c r="Y54" s="39" t="s">
        <v>2908</v>
      </c>
      <c r="Z54" s="39" t="s">
        <v>2908</v>
      </c>
      <c r="AA54" s="39" t="s">
        <v>2908</v>
      </c>
      <c r="AB54" s="39" t="s">
        <v>2908</v>
      </c>
      <c r="AD54" t="e">
        <f t="shared" si="0"/>
        <v>#VALUE!</v>
      </c>
      <c r="AE54" t="e">
        <f t="shared" si="1"/>
        <v>#VALUE!</v>
      </c>
      <c r="AF54" t="e">
        <f t="shared" si="2"/>
        <v>#VALUE!</v>
      </c>
      <c r="AG54" t="e">
        <f t="shared" si="3"/>
        <v>#VALUE!</v>
      </c>
      <c r="AH54" t="e">
        <f t="shared" si="4"/>
        <v>#VALUE!</v>
      </c>
      <c r="AI54" t="e">
        <f t="shared" si="5"/>
        <v>#VALUE!</v>
      </c>
      <c r="AJ54" t="e">
        <f t="shared" si="6"/>
        <v>#VALUE!</v>
      </c>
      <c r="AK54" t="e">
        <f t="shared" si="7"/>
        <v>#VALUE!</v>
      </c>
      <c r="AL54" t="e">
        <f t="shared" si="8"/>
        <v>#VALUE!</v>
      </c>
      <c r="AM54" t="e">
        <f t="shared" si="9"/>
        <v>#VALUE!</v>
      </c>
    </row>
    <row r="55" spans="16:39" ht="55.8" thickBot="1" x14ac:dyDescent="0.3">
      <c r="P55" s="39" t="s">
        <v>1515</v>
      </c>
      <c r="Q55" s="39" t="s">
        <v>2929</v>
      </c>
      <c r="R55" s="39" t="s">
        <v>2908</v>
      </c>
      <c r="S55" s="39" t="s">
        <v>2908</v>
      </c>
      <c r="T55" s="39" t="s">
        <v>2908</v>
      </c>
      <c r="U55" s="39" t="s">
        <v>2908</v>
      </c>
      <c r="V55" s="39" t="s">
        <v>2908</v>
      </c>
      <c r="W55" s="39" t="s">
        <v>2908</v>
      </c>
      <c r="X55" s="39" t="s">
        <v>2908</v>
      </c>
      <c r="Y55" s="39" t="s">
        <v>2908</v>
      </c>
      <c r="Z55" s="39" t="s">
        <v>2908</v>
      </c>
      <c r="AA55" s="39" t="s">
        <v>2908</v>
      </c>
      <c r="AB55" s="39" t="s">
        <v>2908</v>
      </c>
      <c r="AD55" t="e">
        <f t="shared" si="0"/>
        <v>#VALUE!</v>
      </c>
      <c r="AE55" t="e">
        <f t="shared" si="1"/>
        <v>#VALUE!</v>
      </c>
      <c r="AF55" t="e">
        <f t="shared" si="2"/>
        <v>#VALUE!</v>
      </c>
      <c r="AG55" t="e">
        <f t="shared" si="3"/>
        <v>#VALUE!</v>
      </c>
      <c r="AH55" t="e">
        <f t="shared" si="4"/>
        <v>#VALUE!</v>
      </c>
      <c r="AI55" t="e">
        <f t="shared" si="5"/>
        <v>#VALUE!</v>
      </c>
      <c r="AJ55" t="e">
        <f t="shared" si="6"/>
        <v>#VALUE!</v>
      </c>
      <c r="AK55" t="e">
        <f t="shared" si="7"/>
        <v>#VALUE!</v>
      </c>
      <c r="AL55" t="e">
        <f t="shared" si="8"/>
        <v>#VALUE!</v>
      </c>
      <c r="AM55" t="e">
        <f t="shared" si="9"/>
        <v>#VALUE!</v>
      </c>
    </row>
    <row r="56" spans="16:39" ht="69.599999999999994" thickBot="1" x14ac:dyDescent="0.3">
      <c r="P56" s="39" t="s">
        <v>862</v>
      </c>
      <c r="Q56" s="39" t="s">
        <v>2183</v>
      </c>
      <c r="R56" s="39" t="s">
        <v>2908</v>
      </c>
      <c r="S56" s="39" t="s">
        <v>2908</v>
      </c>
      <c r="T56" s="39" t="s">
        <v>2908</v>
      </c>
      <c r="U56" s="39" t="s">
        <v>2908</v>
      </c>
      <c r="V56" s="39" t="s">
        <v>2908</v>
      </c>
      <c r="W56" s="39" t="s">
        <v>2908</v>
      </c>
      <c r="X56" s="39" t="s">
        <v>2908</v>
      </c>
      <c r="Y56" s="39" t="s">
        <v>2908</v>
      </c>
      <c r="Z56" s="39" t="s">
        <v>2908</v>
      </c>
      <c r="AA56" s="39" t="s">
        <v>2908</v>
      </c>
      <c r="AB56" s="39" t="s">
        <v>2908</v>
      </c>
      <c r="AD56" t="e">
        <f t="shared" si="0"/>
        <v>#VALUE!</v>
      </c>
      <c r="AE56" t="e">
        <f t="shared" si="1"/>
        <v>#VALUE!</v>
      </c>
      <c r="AF56" t="e">
        <f t="shared" si="2"/>
        <v>#VALUE!</v>
      </c>
      <c r="AG56" t="e">
        <f t="shared" si="3"/>
        <v>#VALUE!</v>
      </c>
      <c r="AH56" t="e">
        <f t="shared" si="4"/>
        <v>#VALUE!</v>
      </c>
      <c r="AI56" t="e">
        <f t="shared" si="5"/>
        <v>#VALUE!</v>
      </c>
      <c r="AJ56" t="e">
        <f t="shared" si="6"/>
        <v>#VALUE!</v>
      </c>
      <c r="AK56" t="e">
        <f t="shared" si="7"/>
        <v>#VALUE!</v>
      </c>
      <c r="AL56" t="e">
        <f t="shared" si="8"/>
        <v>#VALUE!</v>
      </c>
      <c r="AM56" t="e">
        <f t="shared" si="9"/>
        <v>#VALUE!</v>
      </c>
    </row>
    <row r="57" spans="16:39" ht="42" thickBot="1" x14ac:dyDescent="0.3">
      <c r="P57" s="39" t="s">
        <v>7869</v>
      </c>
      <c r="Q57" s="39" t="s">
        <v>2185</v>
      </c>
      <c r="R57" s="39" t="s">
        <v>2908</v>
      </c>
      <c r="S57" s="39" t="s">
        <v>2908</v>
      </c>
      <c r="T57" s="39" t="s">
        <v>2908</v>
      </c>
      <c r="U57" s="39" t="s">
        <v>2908</v>
      </c>
      <c r="V57" s="39" t="s">
        <v>2908</v>
      </c>
      <c r="W57" s="39" t="s">
        <v>2908</v>
      </c>
      <c r="X57" s="39" t="s">
        <v>2908</v>
      </c>
      <c r="Y57" s="39" t="s">
        <v>2908</v>
      </c>
      <c r="Z57" s="39" t="s">
        <v>2908</v>
      </c>
      <c r="AA57" s="39" t="s">
        <v>2908</v>
      </c>
      <c r="AB57" s="39" t="s">
        <v>2908</v>
      </c>
      <c r="AD57" t="e">
        <f t="shared" si="0"/>
        <v>#VALUE!</v>
      </c>
      <c r="AE57" t="e">
        <f t="shared" si="1"/>
        <v>#VALUE!</v>
      </c>
      <c r="AF57" t="e">
        <f t="shared" si="2"/>
        <v>#VALUE!</v>
      </c>
      <c r="AG57" t="e">
        <f t="shared" si="3"/>
        <v>#VALUE!</v>
      </c>
      <c r="AH57" t="e">
        <f t="shared" si="4"/>
        <v>#VALUE!</v>
      </c>
      <c r="AI57" t="e">
        <f t="shared" si="5"/>
        <v>#VALUE!</v>
      </c>
      <c r="AJ57" t="e">
        <f t="shared" si="6"/>
        <v>#VALUE!</v>
      </c>
      <c r="AK57" t="e">
        <f t="shared" si="7"/>
        <v>#VALUE!</v>
      </c>
      <c r="AL57" t="e">
        <f t="shared" si="8"/>
        <v>#VALUE!</v>
      </c>
      <c r="AM57" t="e">
        <f t="shared" si="9"/>
        <v>#VALUE!</v>
      </c>
    </row>
    <row r="58" spans="16:39" ht="42" thickBot="1" x14ac:dyDescent="0.3">
      <c r="P58" s="39" t="s">
        <v>1016</v>
      </c>
      <c r="Q58" s="39" t="s">
        <v>2930</v>
      </c>
      <c r="R58" s="39" t="s">
        <v>2908</v>
      </c>
      <c r="S58" s="39" t="s">
        <v>2908</v>
      </c>
      <c r="T58" s="39" t="s">
        <v>2908</v>
      </c>
      <c r="U58" s="39" t="s">
        <v>2908</v>
      </c>
      <c r="V58" s="39" t="s">
        <v>2908</v>
      </c>
      <c r="W58" s="39" t="s">
        <v>2908</v>
      </c>
      <c r="X58" s="39" t="s">
        <v>2908</v>
      </c>
      <c r="Y58" s="39" t="s">
        <v>2908</v>
      </c>
      <c r="Z58" s="39" t="s">
        <v>2908</v>
      </c>
      <c r="AA58" s="39" t="s">
        <v>2908</v>
      </c>
      <c r="AB58" s="39" t="s">
        <v>2908</v>
      </c>
      <c r="AD58" t="e">
        <f t="shared" si="0"/>
        <v>#VALUE!</v>
      </c>
      <c r="AE58" t="e">
        <f t="shared" si="1"/>
        <v>#VALUE!</v>
      </c>
      <c r="AF58" t="e">
        <f t="shared" si="2"/>
        <v>#VALUE!</v>
      </c>
      <c r="AG58" t="e">
        <f t="shared" si="3"/>
        <v>#VALUE!</v>
      </c>
      <c r="AH58" t="e">
        <f t="shared" si="4"/>
        <v>#VALUE!</v>
      </c>
      <c r="AI58" t="e">
        <f t="shared" si="5"/>
        <v>#VALUE!</v>
      </c>
      <c r="AJ58" t="e">
        <f t="shared" si="6"/>
        <v>#VALUE!</v>
      </c>
      <c r="AK58" t="e">
        <f t="shared" si="7"/>
        <v>#VALUE!</v>
      </c>
      <c r="AL58" t="e">
        <f t="shared" si="8"/>
        <v>#VALUE!</v>
      </c>
      <c r="AM58" t="e">
        <f t="shared" si="9"/>
        <v>#VALUE!</v>
      </c>
    </row>
    <row r="59" spans="16:39" ht="28.2" thickBot="1" x14ac:dyDescent="0.3">
      <c r="P59" s="39" t="s">
        <v>929</v>
      </c>
      <c r="Q59" s="39" t="s">
        <v>2331</v>
      </c>
      <c r="R59" s="39">
        <v>25.5</v>
      </c>
      <c r="S59" s="39">
        <v>32</v>
      </c>
      <c r="T59" s="39">
        <v>7.2</v>
      </c>
      <c r="U59" s="39">
        <v>27</v>
      </c>
      <c r="V59" s="39">
        <v>10</v>
      </c>
      <c r="W59" s="39">
        <v>31</v>
      </c>
      <c r="X59" s="39">
        <v>10</v>
      </c>
      <c r="Y59" s="39">
        <v>53</v>
      </c>
      <c r="Z59" s="39">
        <v>6.8</v>
      </c>
      <c r="AA59" s="39">
        <v>121</v>
      </c>
      <c r="AB59" s="39">
        <v>33</v>
      </c>
      <c r="AD59">
        <f t="shared" si="0"/>
        <v>816</v>
      </c>
      <c r="AE59">
        <f t="shared" si="1"/>
        <v>183.6</v>
      </c>
      <c r="AF59">
        <f t="shared" si="2"/>
        <v>688.5</v>
      </c>
      <c r="AG59">
        <f t="shared" si="3"/>
        <v>255</v>
      </c>
      <c r="AH59">
        <f t="shared" si="4"/>
        <v>790.5</v>
      </c>
      <c r="AI59">
        <f t="shared" si="5"/>
        <v>255</v>
      </c>
      <c r="AJ59">
        <f t="shared" si="6"/>
        <v>1351.5</v>
      </c>
      <c r="AK59">
        <f t="shared" si="7"/>
        <v>173.4</v>
      </c>
      <c r="AL59">
        <f t="shared" si="8"/>
        <v>3085.5</v>
      </c>
      <c r="AM59">
        <f t="shared" si="9"/>
        <v>841.5</v>
      </c>
    </row>
    <row r="60" spans="16:39" ht="55.8" thickBot="1" x14ac:dyDescent="0.3">
      <c r="P60" s="39" t="s">
        <v>956</v>
      </c>
      <c r="Q60" s="39" t="s">
        <v>2337</v>
      </c>
      <c r="R60" s="39" t="s">
        <v>2908</v>
      </c>
      <c r="S60" s="39" t="s">
        <v>2908</v>
      </c>
      <c r="T60" s="39" t="s">
        <v>2908</v>
      </c>
      <c r="U60" s="39" t="s">
        <v>2908</v>
      </c>
      <c r="V60" s="39" t="s">
        <v>2908</v>
      </c>
      <c r="W60" s="39" t="s">
        <v>2908</v>
      </c>
      <c r="X60" s="39" t="s">
        <v>2908</v>
      </c>
      <c r="Y60" s="39" t="s">
        <v>2908</v>
      </c>
      <c r="Z60" s="39" t="s">
        <v>2908</v>
      </c>
      <c r="AA60" s="39" t="s">
        <v>2908</v>
      </c>
      <c r="AB60" s="39" t="s">
        <v>2908</v>
      </c>
      <c r="AD60" t="e">
        <f t="shared" si="0"/>
        <v>#VALUE!</v>
      </c>
      <c r="AE60" t="e">
        <f t="shared" si="1"/>
        <v>#VALUE!</v>
      </c>
      <c r="AF60" t="e">
        <f t="shared" si="2"/>
        <v>#VALUE!</v>
      </c>
      <c r="AG60" t="e">
        <f t="shared" si="3"/>
        <v>#VALUE!</v>
      </c>
      <c r="AH60" t="e">
        <f t="shared" si="4"/>
        <v>#VALUE!</v>
      </c>
      <c r="AI60" t="e">
        <f t="shared" si="5"/>
        <v>#VALUE!</v>
      </c>
      <c r="AJ60" t="e">
        <f t="shared" si="6"/>
        <v>#VALUE!</v>
      </c>
      <c r="AK60" t="e">
        <f t="shared" si="7"/>
        <v>#VALUE!</v>
      </c>
      <c r="AL60" t="e">
        <f t="shared" si="8"/>
        <v>#VALUE!</v>
      </c>
      <c r="AM60" t="e">
        <f t="shared" si="9"/>
        <v>#VALUE!</v>
      </c>
    </row>
    <row r="61" spans="16:39" ht="42" thickBot="1" x14ac:dyDescent="0.3">
      <c r="P61" s="39" t="s">
        <v>978</v>
      </c>
      <c r="Q61" s="39" t="s">
        <v>2365</v>
      </c>
      <c r="R61" s="39" t="s">
        <v>2908</v>
      </c>
      <c r="S61" s="39" t="s">
        <v>2908</v>
      </c>
      <c r="T61" s="39" t="s">
        <v>2908</v>
      </c>
      <c r="U61" s="39" t="s">
        <v>2908</v>
      </c>
      <c r="V61" s="39" t="s">
        <v>2908</v>
      </c>
      <c r="W61" s="39" t="s">
        <v>2908</v>
      </c>
      <c r="X61" s="39" t="s">
        <v>2908</v>
      </c>
      <c r="Y61" s="39" t="s">
        <v>2908</v>
      </c>
      <c r="Z61" s="39" t="s">
        <v>2908</v>
      </c>
      <c r="AA61" s="39" t="s">
        <v>2908</v>
      </c>
      <c r="AB61" s="39" t="s">
        <v>2908</v>
      </c>
      <c r="AD61" t="e">
        <f t="shared" si="0"/>
        <v>#VALUE!</v>
      </c>
      <c r="AE61" t="e">
        <f t="shared" si="1"/>
        <v>#VALUE!</v>
      </c>
      <c r="AF61" t="e">
        <f t="shared" si="2"/>
        <v>#VALUE!</v>
      </c>
      <c r="AG61" t="e">
        <f t="shared" si="3"/>
        <v>#VALUE!</v>
      </c>
      <c r="AH61" t="e">
        <f t="shared" si="4"/>
        <v>#VALUE!</v>
      </c>
      <c r="AI61" t="e">
        <f t="shared" si="5"/>
        <v>#VALUE!</v>
      </c>
      <c r="AJ61" t="e">
        <f t="shared" si="6"/>
        <v>#VALUE!</v>
      </c>
      <c r="AK61" t="e">
        <f t="shared" si="7"/>
        <v>#VALUE!</v>
      </c>
      <c r="AL61" t="e">
        <f t="shared" si="8"/>
        <v>#VALUE!</v>
      </c>
      <c r="AM61" t="e">
        <f t="shared" si="9"/>
        <v>#VALUE!</v>
      </c>
    </row>
    <row r="62" spans="16:39" ht="42" thickBot="1" x14ac:dyDescent="0.3">
      <c r="P62" s="39" t="s">
        <v>996</v>
      </c>
      <c r="Q62" s="39" t="s">
        <v>2186</v>
      </c>
      <c r="R62" s="39">
        <v>1120</v>
      </c>
      <c r="S62" s="39">
        <v>6.1</v>
      </c>
      <c r="T62" s="39">
        <v>3.8</v>
      </c>
      <c r="U62" s="39" t="s">
        <v>834</v>
      </c>
      <c r="V62" s="39">
        <v>2.7</v>
      </c>
      <c r="W62" s="39" t="s">
        <v>834</v>
      </c>
      <c r="X62" s="39">
        <v>1.3</v>
      </c>
      <c r="Y62" s="39" t="s">
        <v>834</v>
      </c>
      <c r="Z62" s="39">
        <v>4.5999999999999996</v>
      </c>
      <c r="AA62" s="39">
        <v>1.9</v>
      </c>
      <c r="AB62" s="39" t="s">
        <v>834</v>
      </c>
      <c r="AD62">
        <f t="shared" si="0"/>
        <v>6832</v>
      </c>
      <c r="AE62">
        <f t="shared" si="1"/>
        <v>4256</v>
      </c>
      <c r="AF62" t="e">
        <f t="shared" si="2"/>
        <v>#VALUE!</v>
      </c>
      <c r="AG62">
        <f t="shared" si="3"/>
        <v>3024</v>
      </c>
      <c r="AH62" t="e">
        <f t="shared" si="4"/>
        <v>#VALUE!</v>
      </c>
      <c r="AI62">
        <f t="shared" si="5"/>
        <v>1456</v>
      </c>
      <c r="AJ62" t="e">
        <f t="shared" si="6"/>
        <v>#VALUE!</v>
      </c>
      <c r="AK62">
        <f t="shared" si="7"/>
        <v>5152</v>
      </c>
      <c r="AL62">
        <f t="shared" si="8"/>
        <v>2128</v>
      </c>
      <c r="AM62" t="e">
        <f t="shared" si="9"/>
        <v>#VALUE!</v>
      </c>
    </row>
    <row r="63" spans="16:39" ht="42" thickBot="1" x14ac:dyDescent="0.3">
      <c r="P63" s="39" t="s">
        <v>990</v>
      </c>
      <c r="Q63" s="39" t="s">
        <v>2382</v>
      </c>
      <c r="R63" s="39">
        <v>3151</v>
      </c>
      <c r="S63" s="39">
        <v>3.7</v>
      </c>
      <c r="T63" s="39" t="s">
        <v>834</v>
      </c>
      <c r="U63" s="39">
        <v>2.5</v>
      </c>
      <c r="V63" s="39">
        <v>1.8</v>
      </c>
      <c r="W63" s="39">
        <v>4.0999999999999996</v>
      </c>
      <c r="X63" s="39" t="s">
        <v>834</v>
      </c>
      <c r="Y63" s="39">
        <v>1.8</v>
      </c>
      <c r="Z63" s="39" t="s">
        <v>834</v>
      </c>
      <c r="AA63" s="39">
        <v>11</v>
      </c>
      <c r="AB63" s="39">
        <v>1.4</v>
      </c>
      <c r="AD63">
        <f t="shared" si="0"/>
        <v>11658.7</v>
      </c>
      <c r="AE63" t="e">
        <f t="shared" si="1"/>
        <v>#VALUE!</v>
      </c>
      <c r="AF63">
        <f t="shared" si="2"/>
        <v>7877.5</v>
      </c>
      <c r="AG63">
        <f t="shared" si="3"/>
        <v>5671.8</v>
      </c>
      <c r="AH63">
        <f t="shared" si="4"/>
        <v>12919.099999999999</v>
      </c>
      <c r="AI63" t="e">
        <f t="shared" si="5"/>
        <v>#VALUE!</v>
      </c>
      <c r="AJ63">
        <f t="shared" si="6"/>
        <v>5671.8</v>
      </c>
      <c r="AK63" t="e">
        <f t="shared" si="7"/>
        <v>#VALUE!</v>
      </c>
      <c r="AL63">
        <f t="shared" si="8"/>
        <v>34661</v>
      </c>
      <c r="AM63">
        <f t="shared" si="9"/>
        <v>4411.3999999999996</v>
      </c>
    </row>
    <row r="64" spans="16:39" ht="42" thickBot="1" x14ac:dyDescent="0.3">
      <c r="P64" s="39" t="s">
        <v>1311</v>
      </c>
      <c r="Q64" s="39" t="s">
        <v>2393</v>
      </c>
      <c r="R64" s="39" t="s">
        <v>2908</v>
      </c>
      <c r="S64" s="39" t="s">
        <v>2908</v>
      </c>
      <c r="T64" s="39" t="s">
        <v>2908</v>
      </c>
      <c r="U64" s="39" t="s">
        <v>2908</v>
      </c>
      <c r="V64" s="39" t="s">
        <v>2908</v>
      </c>
      <c r="W64" s="39" t="s">
        <v>2908</v>
      </c>
      <c r="X64" s="39" t="s">
        <v>2908</v>
      </c>
      <c r="Y64" s="39" t="s">
        <v>2908</v>
      </c>
      <c r="Z64" s="39" t="s">
        <v>2908</v>
      </c>
      <c r="AA64" s="39" t="s">
        <v>2908</v>
      </c>
      <c r="AB64" s="39" t="s">
        <v>2908</v>
      </c>
      <c r="AD64" t="e">
        <f t="shared" si="0"/>
        <v>#VALUE!</v>
      </c>
      <c r="AE64" t="e">
        <f t="shared" si="1"/>
        <v>#VALUE!</v>
      </c>
      <c r="AF64" t="e">
        <f t="shared" si="2"/>
        <v>#VALUE!</v>
      </c>
      <c r="AG64" t="e">
        <f t="shared" si="3"/>
        <v>#VALUE!</v>
      </c>
      <c r="AH64" t="e">
        <f t="shared" si="4"/>
        <v>#VALUE!</v>
      </c>
      <c r="AI64" t="e">
        <f t="shared" si="5"/>
        <v>#VALUE!</v>
      </c>
      <c r="AJ64" t="e">
        <f t="shared" si="6"/>
        <v>#VALUE!</v>
      </c>
      <c r="AK64" t="e">
        <f t="shared" si="7"/>
        <v>#VALUE!</v>
      </c>
      <c r="AL64" t="e">
        <f t="shared" si="8"/>
        <v>#VALUE!</v>
      </c>
      <c r="AM64" t="e">
        <f t="shared" si="9"/>
        <v>#VALUE!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9E86-3452-4607-8CFE-54D1C1DC228D}">
  <dimension ref="A1:BI64"/>
  <sheetViews>
    <sheetView topLeftCell="AC1" workbookViewId="0">
      <selection activeCell="BB2" sqref="BB2:BI64"/>
    </sheetView>
  </sheetViews>
  <sheetFormatPr defaultRowHeight="13.8" x14ac:dyDescent="0.25"/>
  <sheetData>
    <row r="1" spans="1:61" ht="46.2" thickBot="1" x14ac:dyDescent="0.3">
      <c r="A1" s="10" t="s">
        <v>6</v>
      </c>
      <c r="B1" s="6" t="s">
        <v>1470</v>
      </c>
      <c r="C1" s="6" t="s">
        <v>889</v>
      </c>
      <c r="D1" s="6" t="s">
        <v>1900</v>
      </c>
      <c r="E1" s="6" t="s">
        <v>1471</v>
      </c>
      <c r="F1" s="6" t="s">
        <v>1472</v>
      </c>
      <c r="G1" s="6" t="s">
        <v>1473</v>
      </c>
      <c r="H1" s="6" t="s">
        <v>1474</v>
      </c>
      <c r="I1" s="6" t="s">
        <v>1475</v>
      </c>
      <c r="J1" s="6" t="s">
        <v>1476</v>
      </c>
      <c r="K1" s="6" t="s">
        <v>1477</v>
      </c>
      <c r="L1" s="6"/>
      <c r="M1" s="6" t="s">
        <v>6</v>
      </c>
      <c r="N1" s="6" t="s">
        <v>1470</v>
      </c>
      <c r="O1" s="6" t="s">
        <v>1529</v>
      </c>
      <c r="P1" s="6" t="s">
        <v>1530</v>
      </c>
      <c r="Q1" s="6" t="s">
        <v>1531</v>
      </c>
      <c r="R1" s="6" t="s">
        <v>1532</v>
      </c>
      <c r="S1" s="6" t="s">
        <v>1533</v>
      </c>
      <c r="T1" s="6" t="s">
        <v>1901</v>
      </c>
      <c r="U1" s="6" t="s">
        <v>1534</v>
      </c>
      <c r="V1" s="6" t="s">
        <v>1535</v>
      </c>
      <c r="Y1" s="38" t="s">
        <v>8117</v>
      </c>
      <c r="Z1" s="38" t="s">
        <v>7790</v>
      </c>
      <c r="AA1" s="38">
        <v>1</v>
      </c>
      <c r="AB1" s="38">
        <v>2</v>
      </c>
      <c r="AC1" s="38">
        <v>3</v>
      </c>
      <c r="AD1" s="38">
        <v>4</v>
      </c>
      <c r="AE1" s="38">
        <v>5</v>
      </c>
      <c r="AF1" s="38">
        <v>6</v>
      </c>
      <c r="AG1" s="38">
        <v>7</v>
      </c>
      <c r="AH1" s="38">
        <v>8</v>
      </c>
    </row>
    <row r="2" spans="1:61" ht="42" thickBot="1" x14ac:dyDescent="0.3">
      <c r="A2" s="10">
        <v>1</v>
      </c>
      <c r="B2" s="6" t="s">
        <v>1110</v>
      </c>
      <c r="C2" s="6" t="s">
        <v>1478</v>
      </c>
      <c r="D2" s="6">
        <v>11465</v>
      </c>
      <c r="E2" s="6">
        <v>2515</v>
      </c>
      <c r="F2" s="6">
        <v>1677</v>
      </c>
      <c r="G2" s="6">
        <v>1373</v>
      </c>
      <c r="H2" s="6">
        <v>902</v>
      </c>
      <c r="I2" s="6">
        <v>695</v>
      </c>
      <c r="J2" s="6">
        <v>247</v>
      </c>
      <c r="K2" s="6">
        <v>233</v>
      </c>
      <c r="L2" s="6"/>
      <c r="M2" s="6">
        <v>1</v>
      </c>
      <c r="N2" s="6" t="s">
        <v>1110</v>
      </c>
      <c r="O2" s="6" t="s">
        <v>1536</v>
      </c>
      <c r="P2" s="6" t="s">
        <v>1537</v>
      </c>
      <c r="Q2" s="6" t="s">
        <v>1538</v>
      </c>
      <c r="R2" s="6" t="s">
        <v>1539</v>
      </c>
      <c r="S2" s="6" t="s">
        <v>1540</v>
      </c>
      <c r="T2" s="6" t="s">
        <v>1541</v>
      </c>
      <c r="U2" s="6" t="s">
        <v>1542</v>
      </c>
      <c r="V2" s="6" t="s">
        <v>1543</v>
      </c>
      <c r="Y2" s="39" t="s">
        <v>689</v>
      </c>
      <c r="Z2" s="39" t="s">
        <v>2017</v>
      </c>
      <c r="AA2" s="39" t="s">
        <v>1593</v>
      </c>
      <c r="AB2" s="39" t="s">
        <v>1594</v>
      </c>
      <c r="AC2" s="39" t="s">
        <v>1595</v>
      </c>
      <c r="AD2" s="39" t="s">
        <v>1596</v>
      </c>
      <c r="AE2" s="39" t="s">
        <v>1597</v>
      </c>
      <c r="AF2" s="39" t="s">
        <v>1598</v>
      </c>
      <c r="AG2" s="39" t="s">
        <v>1599</v>
      </c>
      <c r="AH2" s="39" t="s">
        <v>1600</v>
      </c>
      <c r="AJ2" t="str">
        <f>_xlfn.TEXTBEFORE(AA2,"±")</f>
        <v xml:space="preserve">2559 </v>
      </c>
      <c r="AK2" t="str">
        <f t="shared" ref="AK2:AQ2" si="0">_xlfn.TEXTBEFORE(AB2,"±")</f>
        <v xml:space="preserve">1157 </v>
      </c>
      <c r="AL2" t="str">
        <f t="shared" si="0"/>
        <v xml:space="preserve">1092 </v>
      </c>
      <c r="AM2" t="str">
        <f t="shared" si="0"/>
        <v xml:space="preserve">879 </v>
      </c>
      <c r="AN2" t="str">
        <f t="shared" si="0"/>
        <v xml:space="preserve">861 </v>
      </c>
      <c r="AO2" t="str">
        <f t="shared" si="0"/>
        <v xml:space="preserve">679 </v>
      </c>
      <c r="AP2" t="str">
        <f t="shared" si="0"/>
        <v xml:space="preserve">714 </v>
      </c>
      <c r="AQ2" t="str">
        <f t="shared" si="0"/>
        <v xml:space="preserve">421 </v>
      </c>
      <c r="AS2">
        <v>1000</v>
      </c>
      <c r="AT2">
        <v>1000</v>
      </c>
      <c r="AU2">
        <v>1000</v>
      </c>
      <c r="AV2">
        <v>1000</v>
      </c>
      <c r="AW2">
        <v>1000</v>
      </c>
      <c r="AX2">
        <v>1000</v>
      </c>
      <c r="AY2">
        <v>1000</v>
      </c>
      <c r="AZ2">
        <v>1000</v>
      </c>
      <c r="BB2">
        <f>AJ2*AS2</f>
        <v>2559000</v>
      </c>
      <c r="BC2">
        <f t="shared" ref="BC2:BI2" si="1">AK2*AT2</f>
        <v>1157000</v>
      </c>
      <c r="BD2">
        <f t="shared" si="1"/>
        <v>1092000</v>
      </c>
      <c r="BE2">
        <f t="shared" si="1"/>
        <v>879000</v>
      </c>
      <c r="BF2">
        <f t="shared" si="1"/>
        <v>861000</v>
      </c>
      <c r="BG2">
        <f t="shared" si="1"/>
        <v>679000</v>
      </c>
      <c r="BH2">
        <f t="shared" si="1"/>
        <v>714000</v>
      </c>
      <c r="BI2">
        <f t="shared" si="1"/>
        <v>421000</v>
      </c>
    </row>
    <row r="3" spans="1:61" ht="69.599999999999994" thickBot="1" x14ac:dyDescent="0.3">
      <c r="A3" s="10">
        <v>2</v>
      </c>
      <c r="B3" s="6" t="s">
        <v>797</v>
      </c>
      <c r="C3" s="6" t="s">
        <v>1479</v>
      </c>
      <c r="D3" s="6">
        <v>811</v>
      </c>
      <c r="E3" s="6">
        <v>111</v>
      </c>
      <c r="F3" s="6">
        <v>72</v>
      </c>
      <c r="G3" s="6">
        <v>50</v>
      </c>
      <c r="H3" s="6">
        <v>36</v>
      </c>
      <c r="I3" s="6">
        <v>24</v>
      </c>
      <c r="J3" s="6">
        <v>11</v>
      </c>
      <c r="K3" s="6">
        <v>7</v>
      </c>
      <c r="L3" s="6"/>
      <c r="M3" s="6">
        <v>2</v>
      </c>
      <c r="N3" s="6" t="s">
        <v>797</v>
      </c>
      <c r="O3" s="6" t="s">
        <v>1544</v>
      </c>
      <c r="P3" s="6" t="s">
        <v>1545</v>
      </c>
      <c r="Q3" s="6" t="s">
        <v>1546</v>
      </c>
      <c r="R3" s="6" t="s">
        <v>1547</v>
      </c>
      <c r="S3" s="6" t="s">
        <v>1548</v>
      </c>
      <c r="T3" s="6" t="s">
        <v>1549</v>
      </c>
      <c r="U3" s="6" t="s">
        <v>1550</v>
      </c>
      <c r="V3" s="6" t="s">
        <v>1551</v>
      </c>
      <c r="Y3" s="39" t="s">
        <v>7855</v>
      </c>
      <c r="Z3" s="39" t="s">
        <v>7856</v>
      </c>
      <c r="AA3" s="39" t="s">
        <v>2908</v>
      </c>
      <c r="AB3" s="39" t="s">
        <v>2908</v>
      </c>
      <c r="AC3" s="39" t="s">
        <v>2908</v>
      </c>
      <c r="AD3" s="39" t="s">
        <v>2908</v>
      </c>
      <c r="AE3" s="39" t="s">
        <v>2908</v>
      </c>
      <c r="AF3" s="39" t="s">
        <v>2908</v>
      </c>
      <c r="AG3" s="39" t="s">
        <v>2908</v>
      </c>
      <c r="AH3" s="39" t="s">
        <v>2908</v>
      </c>
      <c r="AJ3" t="e">
        <f t="shared" ref="AJ3:AJ64" si="2">_xlfn.TEXTBEFORE(AA3,"±")</f>
        <v>#N/A</v>
      </c>
      <c r="AK3" t="e">
        <f t="shared" ref="AK3:AK64" si="3">_xlfn.TEXTBEFORE(AB3,"±")</f>
        <v>#N/A</v>
      </c>
      <c r="AL3" t="e">
        <f t="shared" ref="AL3:AL64" si="4">_xlfn.TEXTBEFORE(AC3,"±")</f>
        <v>#N/A</v>
      </c>
      <c r="AM3" t="e">
        <f t="shared" ref="AM3:AM64" si="5">_xlfn.TEXTBEFORE(AD3,"±")</f>
        <v>#N/A</v>
      </c>
      <c r="AN3" t="e">
        <f t="shared" ref="AN3:AN64" si="6">_xlfn.TEXTBEFORE(AE3,"±")</f>
        <v>#N/A</v>
      </c>
      <c r="AO3" t="e">
        <f t="shared" ref="AO3:AO64" si="7">_xlfn.TEXTBEFORE(AF3,"±")</f>
        <v>#N/A</v>
      </c>
      <c r="AP3" t="e">
        <f t="shared" ref="AP3:AP64" si="8">_xlfn.TEXTBEFORE(AG3,"±")</f>
        <v>#N/A</v>
      </c>
      <c r="AQ3" t="e">
        <f t="shared" ref="AQ3:AQ64" si="9">_xlfn.TEXTBEFORE(AH3,"±")</f>
        <v>#N/A</v>
      </c>
      <c r="AS3">
        <v>1000</v>
      </c>
      <c r="AT3">
        <v>1000</v>
      </c>
      <c r="AU3">
        <v>1000</v>
      </c>
      <c r="AV3">
        <v>1000</v>
      </c>
      <c r="AW3">
        <v>1000</v>
      </c>
      <c r="AX3">
        <v>1000</v>
      </c>
      <c r="AY3">
        <v>1000</v>
      </c>
      <c r="AZ3">
        <v>1000</v>
      </c>
      <c r="BB3" t="e">
        <f t="shared" ref="BB3:BB64" si="10">AJ3*AS3</f>
        <v>#N/A</v>
      </c>
      <c r="BC3" t="e">
        <f t="shared" ref="BC3:BC64" si="11">AK3*AT3</f>
        <v>#N/A</v>
      </c>
      <c r="BD3" t="e">
        <f t="shared" ref="BD3:BD64" si="12">AL3*AU3</f>
        <v>#N/A</v>
      </c>
      <c r="BE3" t="e">
        <f t="shared" ref="BE3:BE64" si="13">AM3*AV3</f>
        <v>#N/A</v>
      </c>
      <c r="BF3" t="e">
        <f t="shared" ref="BF3:BF64" si="14">AN3*AW3</f>
        <v>#N/A</v>
      </c>
      <c r="BG3" t="e">
        <f t="shared" ref="BG3:BG64" si="15">AO3*AX3</f>
        <v>#N/A</v>
      </c>
      <c r="BH3" t="e">
        <f t="shared" ref="BH3:BH64" si="16">AP3*AY3</f>
        <v>#N/A</v>
      </c>
      <c r="BI3" t="e">
        <f t="shared" ref="BI3:BI64" si="17">AQ3*AZ3</f>
        <v>#N/A</v>
      </c>
    </row>
    <row r="4" spans="1:61" ht="42" thickBot="1" x14ac:dyDescent="0.3">
      <c r="A4" s="10">
        <v>3</v>
      </c>
      <c r="B4" s="6" t="s">
        <v>1209</v>
      </c>
      <c r="C4" s="6" t="s">
        <v>1480</v>
      </c>
      <c r="D4" s="6">
        <v>5</v>
      </c>
      <c r="E4" s="6">
        <v>2</v>
      </c>
      <c r="F4" s="6">
        <v>1</v>
      </c>
      <c r="G4" s="6" t="s">
        <v>1069</v>
      </c>
      <c r="H4" s="6" t="s">
        <v>1069</v>
      </c>
      <c r="I4" s="6" t="s">
        <v>1069</v>
      </c>
      <c r="J4" s="6" t="s">
        <v>1069</v>
      </c>
      <c r="K4" s="6" t="s">
        <v>1069</v>
      </c>
      <c r="L4" s="6"/>
      <c r="M4" s="6">
        <v>3</v>
      </c>
      <c r="N4" s="6" t="s">
        <v>1209</v>
      </c>
      <c r="O4" s="6" t="s">
        <v>1552</v>
      </c>
      <c r="P4" s="6" t="s">
        <v>1553</v>
      </c>
      <c r="Q4" s="6" t="s">
        <v>1554</v>
      </c>
      <c r="R4" s="6" t="s">
        <v>1555</v>
      </c>
      <c r="S4" s="6" t="s">
        <v>1556</v>
      </c>
      <c r="T4" s="6" t="s">
        <v>1557</v>
      </c>
      <c r="U4" s="6" t="s">
        <v>1558</v>
      </c>
      <c r="V4" s="6" t="s">
        <v>1559</v>
      </c>
      <c r="Y4" s="39" t="s">
        <v>693</v>
      </c>
      <c r="Z4" s="39" t="s">
        <v>2018</v>
      </c>
      <c r="AA4" s="39" t="s">
        <v>1536</v>
      </c>
      <c r="AB4" s="39" t="s">
        <v>1537</v>
      </c>
      <c r="AC4" s="39" t="s">
        <v>1538</v>
      </c>
      <c r="AD4" s="39" t="s">
        <v>1539</v>
      </c>
      <c r="AE4" s="39" t="s">
        <v>8121</v>
      </c>
      <c r="AF4" s="39" t="s">
        <v>1541</v>
      </c>
      <c r="AG4" s="39" t="s">
        <v>1542</v>
      </c>
      <c r="AH4" s="39" t="s">
        <v>1543</v>
      </c>
      <c r="AJ4" t="str">
        <f t="shared" si="2"/>
        <v xml:space="preserve">940 </v>
      </c>
      <c r="AK4" t="str">
        <f t="shared" si="3"/>
        <v xml:space="preserve">206 </v>
      </c>
      <c r="AL4" t="str">
        <f t="shared" si="4"/>
        <v xml:space="preserve">138 </v>
      </c>
      <c r="AM4" t="str">
        <f t="shared" si="5"/>
        <v xml:space="preserve">113 </v>
      </c>
      <c r="AN4" t="str">
        <f t="shared" si="6"/>
        <v xml:space="preserve">73.9 </v>
      </c>
      <c r="AO4" t="str">
        <f t="shared" si="7"/>
        <v xml:space="preserve">57 </v>
      </c>
      <c r="AP4" t="str">
        <f t="shared" si="8"/>
        <v xml:space="preserve">20.3 </v>
      </c>
      <c r="AQ4" t="str">
        <f t="shared" si="9"/>
        <v xml:space="preserve">19.1 </v>
      </c>
      <c r="AS4">
        <v>1000</v>
      </c>
      <c r="AT4">
        <v>1000</v>
      </c>
      <c r="AU4">
        <v>1000</v>
      </c>
      <c r="AV4">
        <v>1000</v>
      </c>
      <c r="AW4">
        <v>1000</v>
      </c>
      <c r="AX4">
        <v>1000</v>
      </c>
      <c r="AY4">
        <v>1000</v>
      </c>
      <c r="AZ4">
        <v>1000</v>
      </c>
      <c r="BB4">
        <f t="shared" si="10"/>
        <v>940000</v>
      </c>
      <c r="BC4">
        <f t="shared" si="11"/>
        <v>206000</v>
      </c>
      <c r="BD4">
        <f t="shared" si="12"/>
        <v>138000</v>
      </c>
      <c r="BE4">
        <f t="shared" si="13"/>
        <v>113000</v>
      </c>
      <c r="BF4">
        <f t="shared" si="14"/>
        <v>73900</v>
      </c>
      <c r="BG4">
        <f t="shared" si="15"/>
        <v>57000</v>
      </c>
      <c r="BH4">
        <f t="shared" si="16"/>
        <v>20300</v>
      </c>
      <c r="BI4">
        <f t="shared" si="17"/>
        <v>19100</v>
      </c>
    </row>
    <row r="5" spans="1:61" ht="42" thickBot="1" x14ac:dyDescent="0.3">
      <c r="A5" s="10">
        <v>4</v>
      </c>
      <c r="B5" s="6" t="s">
        <v>1112</v>
      </c>
      <c r="C5" s="6" t="s">
        <v>1481</v>
      </c>
      <c r="D5" s="6">
        <v>7145</v>
      </c>
      <c r="E5" s="6">
        <v>1720</v>
      </c>
      <c r="F5" s="6">
        <v>1262</v>
      </c>
      <c r="G5" s="6">
        <v>929</v>
      </c>
      <c r="H5" s="6">
        <v>777</v>
      </c>
      <c r="I5" s="6">
        <v>567</v>
      </c>
      <c r="J5" s="6">
        <v>439</v>
      </c>
      <c r="K5" s="6">
        <v>288</v>
      </c>
      <c r="L5" s="6"/>
      <c r="M5" s="6">
        <v>4</v>
      </c>
      <c r="N5" s="6" t="s">
        <v>1112</v>
      </c>
      <c r="O5" s="6" t="s">
        <v>1560</v>
      </c>
      <c r="P5" s="6" t="s">
        <v>1561</v>
      </c>
      <c r="Q5" s="6" t="s">
        <v>1562</v>
      </c>
      <c r="R5" s="6" t="s">
        <v>1563</v>
      </c>
      <c r="S5" s="6" t="s">
        <v>1564</v>
      </c>
      <c r="T5" s="6" t="s">
        <v>1565</v>
      </c>
      <c r="U5" s="6" t="s">
        <v>1566</v>
      </c>
      <c r="V5" s="6" t="s">
        <v>1567</v>
      </c>
      <c r="Y5" s="39" t="s">
        <v>721</v>
      </c>
      <c r="Z5" s="39" t="s">
        <v>2022</v>
      </c>
      <c r="AA5" s="39" t="s">
        <v>2908</v>
      </c>
      <c r="AB5" s="39" t="s">
        <v>2908</v>
      </c>
      <c r="AC5" s="39" t="s">
        <v>2908</v>
      </c>
      <c r="AD5" s="39" t="s">
        <v>2908</v>
      </c>
      <c r="AE5" s="39" t="s">
        <v>2908</v>
      </c>
      <c r="AF5" s="39" t="s">
        <v>2908</v>
      </c>
      <c r="AG5" s="39" t="s">
        <v>2908</v>
      </c>
      <c r="AH5" s="39" t="s">
        <v>2908</v>
      </c>
      <c r="AJ5" t="e">
        <f t="shared" si="2"/>
        <v>#N/A</v>
      </c>
      <c r="AK5" t="e">
        <f t="shared" si="3"/>
        <v>#N/A</v>
      </c>
      <c r="AL5" t="e">
        <f t="shared" si="4"/>
        <v>#N/A</v>
      </c>
      <c r="AM5" t="e">
        <f t="shared" si="5"/>
        <v>#N/A</v>
      </c>
      <c r="AN5" t="e">
        <f t="shared" si="6"/>
        <v>#N/A</v>
      </c>
      <c r="AO5" t="e">
        <f t="shared" si="7"/>
        <v>#N/A</v>
      </c>
      <c r="AP5" t="e">
        <f t="shared" si="8"/>
        <v>#N/A</v>
      </c>
      <c r="AQ5" t="e">
        <f t="shared" si="9"/>
        <v>#N/A</v>
      </c>
      <c r="AS5">
        <v>1000</v>
      </c>
      <c r="AT5">
        <v>1000</v>
      </c>
      <c r="AU5">
        <v>1000</v>
      </c>
      <c r="AV5">
        <v>1000</v>
      </c>
      <c r="AW5">
        <v>1000</v>
      </c>
      <c r="AX5">
        <v>1000</v>
      </c>
      <c r="AY5">
        <v>1000</v>
      </c>
      <c r="AZ5">
        <v>1000</v>
      </c>
      <c r="BB5" t="e">
        <f t="shared" si="10"/>
        <v>#N/A</v>
      </c>
      <c r="BC5" t="e">
        <f t="shared" si="11"/>
        <v>#N/A</v>
      </c>
      <c r="BD5" t="e">
        <f t="shared" si="12"/>
        <v>#N/A</v>
      </c>
      <c r="BE5" t="e">
        <f t="shared" si="13"/>
        <v>#N/A</v>
      </c>
      <c r="BF5" t="e">
        <f t="shared" si="14"/>
        <v>#N/A</v>
      </c>
      <c r="BG5" t="e">
        <f t="shared" si="15"/>
        <v>#N/A</v>
      </c>
      <c r="BH5" t="e">
        <f t="shared" si="16"/>
        <v>#N/A</v>
      </c>
      <c r="BI5" t="e">
        <f t="shared" si="17"/>
        <v>#N/A</v>
      </c>
    </row>
    <row r="6" spans="1:61" ht="42" thickBot="1" x14ac:dyDescent="0.3">
      <c r="A6" s="10">
        <v>5</v>
      </c>
      <c r="B6" s="6" t="s">
        <v>745</v>
      </c>
      <c r="C6" s="6" t="s">
        <v>1482</v>
      </c>
      <c r="D6" s="6">
        <v>187</v>
      </c>
      <c r="E6" s="6">
        <v>123</v>
      </c>
      <c r="F6" s="6">
        <v>109</v>
      </c>
      <c r="G6" s="6">
        <v>113</v>
      </c>
      <c r="H6" s="6">
        <v>99</v>
      </c>
      <c r="I6" s="6">
        <v>98</v>
      </c>
      <c r="J6" s="6">
        <v>64</v>
      </c>
      <c r="K6" s="6">
        <v>46</v>
      </c>
      <c r="L6" s="6"/>
      <c r="M6" s="6">
        <v>5</v>
      </c>
      <c r="N6" s="6" t="s">
        <v>745</v>
      </c>
      <c r="O6" s="6" t="s">
        <v>1568</v>
      </c>
      <c r="P6" s="6" t="s">
        <v>1569</v>
      </c>
      <c r="Q6" s="6" t="s">
        <v>1570</v>
      </c>
      <c r="R6" s="6" t="s">
        <v>1571</v>
      </c>
      <c r="S6" s="6" t="s">
        <v>1572</v>
      </c>
      <c r="T6" s="6" t="s">
        <v>1573</v>
      </c>
      <c r="U6" s="6" t="s">
        <v>1574</v>
      </c>
      <c r="V6" s="6" t="s">
        <v>1575</v>
      </c>
      <c r="Y6" s="39" t="s">
        <v>733</v>
      </c>
      <c r="Z6" s="39" t="s">
        <v>2023</v>
      </c>
      <c r="AA6" s="39" t="s">
        <v>1673</v>
      </c>
      <c r="AB6" s="39" t="s">
        <v>1674</v>
      </c>
      <c r="AC6" s="39" t="s">
        <v>1675</v>
      </c>
      <c r="AD6" s="39" t="s">
        <v>1676</v>
      </c>
      <c r="AE6" s="39" t="s">
        <v>1677</v>
      </c>
      <c r="AF6" s="39" t="s">
        <v>1678</v>
      </c>
      <c r="AG6" s="39" t="s">
        <v>1679</v>
      </c>
      <c r="AH6" s="39" t="s">
        <v>1680</v>
      </c>
      <c r="AJ6" t="str">
        <f t="shared" si="2"/>
        <v xml:space="preserve">51.1 </v>
      </c>
      <c r="AK6" t="str">
        <f t="shared" si="3"/>
        <v xml:space="preserve">22.8 </v>
      </c>
      <c r="AL6" t="str">
        <f t="shared" si="4"/>
        <v xml:space="preserve">34.7 </v>
      </c>
      <c r="AM6" t="str">
        <f t="shared" si="5"/>
        <v xml:space="preserve">19.6 </v>
      </c>
      <c r="AN6" t="str">
        <f t="shared" si="6"/>
        <v xml:space="preserve">41.4 </v>
      </c>
      <c r="AO6" t="str">
        <f t="shared" si="7"/>
        <v xml:space="preserve">20.5 </v>
      </c>
      <c r="AP6" t="str">
        <f t="shared" si="8"/>
        <v xml:space="preserve">38.4 </v>
      </c>
      <c r="AQ6" t="str">
        <f t="shared" si="9"/>
        <v xml:space="preserve">3.88 </v>
      </c>
      <c r="AS6">
        <v>1000</v>
      </c>
      <c r="AT6">
        <v>1000</v>
      </c>
      <c r="AU6">
        <v>1000</v>
      </c>
      <c r="AV6">
        <v>1000</v>
      </c>
      <c r="AW6">
        <v>1000</v>
      </c>
      <c r="AX6">
        <v>1000</v>
      </c>
      <c r="AY6">
        <v>1000</v>
      </c>
      <c r="AZ6">
        <v>1000</v>
      </c>
      <c r="BB6">
        <f t="shared" si="10"/>
        <v>51100</v>
      </c>
      <c r="BC6">
        <f t="shared" si="11"/>
        <v>22800</v>
      </c>
      <c r="BD6">
        <f t="shared" si="12"/>
        <v>34700</v>
      </c>
      <c r="BE6">
        <f t="shared" si="13"/>
        <v>19600</v>
      </c>
      <c r="BF6">
        <f t="shared" si="14"/>
        <v>41400</v>
      </c>
      <c r="BG6">
        <f t="shared" si="15"/>
        <v>20500</v>
      </c>
      <c r="BH6">
        <f t="shared" si="16"/>
        <v>38400</v>
      </c>
      <c r="BI6">
        <f t="shared" si="17"/>
        <v>3880</v>
      </c>
    </row>
    <row r="7" spans="1:61" ht="46.2" thickBot="1" x14ac:dyDescent="0.3">
      <c r="A7" s="10">
        <v>6</v>
      </c>
      <c r="B7" s="6" t="s">
        <v>1140</v>
      </c>
      <c r="C7" s="6" t="s">
        <v>1483</v>
      </c>
      <c r="D7" s="6">
        <v>972</v>
      </c>
      <c r="E7" s="6">
        <v>314</v>
      </c>
      <c r="F7" s="6">
        <v>305</v>
      </c>
      <c r="G7" s="6">
        <v>239</v>
      </c>
      <c r="H7" s="6">
        <v>114</v>
      </c>
      <c r="I7" s="6">
        <v>129</v>
      </c>
      <c r="J7" s="6">
        <v>110</v>
      </c>
      <c r="K7" s="6">
        <v>0</v>
      </c>
      <c r="L7" s="6"/>
      <c r="M7" s="6">
        <v>6</v>
      </c>
      <c r="N7" s="6" t="s">
        <v>1140</v>
      </c>
      <c r="O7" s="6" t="s">
        <v>1576</v>
      </c>
      <c r="P7" s="6" t="s">
        <v>1577</v>
      </c>
      <c r="Q7" s="6" t="s">
        <v>1578</v>
      </c>
      <c r="R7" s="6" t="s">
        <v>1579</v>
      </c>
      <c r="S7" s="6" t="s">
        <v>1580</v>
      </c>
      <c r="T7" s="6" t="s">
        <v>1581</v>
      </c>
      <c r="U7" s="6" t="s">
        <v>1582</v>
      </c>
      <c r="V7" s="6" t="s">
        <v>1583</v>
      </c>
      <c r="Y7" s="39" t="s">
        <v>697</v>
      </c>
      <c r="Z7" s="39" t="s">
        <v>2019</v>
      </c>
      <c r="AA7" s="39" t="s">
        <v>1560</v>
      </c>
      <c r="AB7" s="39" t="s">
        <v>1561</v>
      </c>
      <c r="AC7" s="39" t="s">
        <v>1562</v>
      </c>
      <c r="AD7" s="39" t="s">
        <v>1563</v>
      </c>
      <c r="AE7" s="39" t="s">
        <v>1564</v>
      </c>
      <c r="AF7" s="39" t="s">
        <v>1565</v>
      </c>
      <c r="AG7" s="39" t="s">
        <v>1566</v>
      </c>
      <c r="AH7" s="39" t="s">
        <v>1567</v>
      </c>
      <c r="AJ7" t="str">
        <f t="shared" si="2"/>
        <v xml:space="preserve">193 </v>
      </c>
      <c r="AK7" t="str">
        <f t="shared" si="3"/>
        <v xml:space="preserve">46.4 </v>
      </c>
      <c r="AL7" t="str">
        <f t="shared" si="4"/>
        <v xml:space="preserve">34.1 </v>
      </c>
      <c r="AM7" t="str">
        <f t="shared" si="5"/>
        <v xml:space="preserve">25.1 </v>
      </c>
      <c r="AN7" t="str">
        <f t="shared" si="6"/>
        <v xml:space="preserve">21 </v>
      </c>
      <c r="AO7" t="str">
        <f t="shared" si="7"/>
        <v xml:space="preserve">15.3 </v>
      </c>
      <c r="AP7" t="str">
        <f t="shared" si="8"/>
        <v xml:space="preserve">11.9 </v>
      </c>
      <c r="AQ7" t="str">
        <f t="shared" si="9"/>
        <v xml:space="preserve">7.77 </v>
      </c>
      <c r="AS7">
        <v>1000</v>
      </c>
      <c r="AT7">
        <v>1000</v>
      </c>
      <c r="AU7">
        <v>1000</v>
      </c>
      <c r="AV7">
        <v>1000</v>
      </c>
      <c r="AW7">
        <v>1000</v>
      </c>
      <c r="AX7">
        <v>1000</v>
      </c>
      <c r="AY7">
        <v>1000</v>
      </c>
      <c r="AZ7">
        <v>1000</v>
      </c>
      <c r="BB7">
        <f t="shared" si="10"/>
        <v>193000</v>
      </c>
      <c r="BC7">
        <f t="shared" si="11"/>
        <v>46400</v>
      </c>
      <c r="BD7">
        <f t="shared" si="12"/>
        <v>34100</v>
      </c>
      <c r="BE7">
        <f t="shared" si="13"/>
        <v>25100</v>
      </c>
      <c r="BF7">
        <f t="shared" si="14"/>
        <v>21000</v>
      </c>
      <c r="BG7">
        <f t="shared" si="15"/>
        <v>15300</v>
      </c>
      <c r="BH7">
        <f t="shared" si="16"/>
        <v>11900</v>
      </c>
      <c r="BI7">
        <f t="shared" si="17"/>
        <v>7770</v>
      </c>
    </row>
    <row r="8" spans="1:61" ht="46.2" thickBot="1" x14ac:dyDescent="0.3">
      <c r="A8" s="10">
        <v>7</v>
      </c>
      <c r="B8" s="6" t="s">
        <v>769</v>
      </c>
      <c r="C8" s="6" t="s">
        <v>1484</v>
      </c>
      <c r="D8" s="6">
        <v>2</v>
      </c>
      <c r="E8" s="6">
        <v>1</v>
      </c>
      <c r="F8" s="6">
        <v>1</v>
      </c>
      <c r="G8" s="6">
        <v>1</v>
      </c>
      <c r="H8" s="6" t="s">
        <v>1069</v>
      </c>
      <c r="I8" s="6" t="s">
        <v>1069</v>
      </c>
      <c r="J8" s="6" t="s">
        <v>1069</v>
      </c>
      <c r="K8" s="6" t="s">
        <v>1069</v>
      </c>
      <c r="L8" s="6"/>
      <c r="M8" s="6">
        <v>7</v>
      </c>
      <c r="N8" s="6" t="s">
        <v>1584</v>
      </c>
      <c r="O8" s="6" t="s">
        <v>1585</v>
      </c>
      <c r="P8" s="6" t="s">
        <v>1586</v>
      </c>
      <c r="Q8" s="6" t="s">
        <v>1587</v>
      </c>
      <c r="R8" s="6" t="s">
        <v>1588</v>
      </c>
      <c r="S8" s="6" t="s">
        <v>1589</v>
      </c>
      <c r="T8" s="6" t="s">
        <v>1902</v>
      </c>
      <c r="U8" s="6" t="s">
        <v>1590</v>
      </c>
      <c r="V8" s="6" t="s">
        <v>1591</v>
      </c>
      <c r="Y8" s="39" t="s">
        <v>967</v>
      </c>
      <c r="Z8" s="39" t="s">
        <v>2178</v>
      </c>
      <c r="AA8" s="39" t="s">
        <v>2908</v>
      </c>
      <c r="AB8" s="39" t="s">
        <v>2908</v>
      </c>
      <c r="AC8" s="39" t="s">
        <v>2908</v>
      </c>
      <c r="AD8" s="39" t="s">
        <v>2908</v>
      </c>
      <c r="AE8" s="39" t="s">
        <v>2908</v>
      </c>
      <c r="AF8" s="39" t="s">
        <v>2908</v>
      </c>
      <c r="AG8" s="39" t="s">
        <v>2908</v>
      </c>
      <c r="AH8" s="39" t="s">
        <v>2908</v>
      </c>
      <c r="AJ8" t="e">
        <f t="shared" si="2"/>
        <v>#N/A</v>
      </c>
      <c r="AK8" t="e">
        <f t="shared" si="3"/>
        <v>#N/A</v>
      </c>
      <c r="AL8" t="e">
        <f t="shared" si="4"/>
        <v>#N/A</v>
      </c>
      <c r="AM8" t="e">
        <f t="shared" si="5"/>
        <v>#N/A</v>
      </c>
      <c r="AN8" t="e">
        <f t="shared" si="6"/>
        <v>#N/A</v>
      </c>
      <c r="AO8" t="e">
        <f t="shared" si="7"/>
        <v>#N/A</v>
      </c>
      <c r="AP8" t="e">
        <f t="shared" si="8"/>
        <v>#N/A</v>
      </c>
      <c r="AQ8" t="e">
        <f t="shared" si="9"/>
        <v>#N/A</v>
      </c>
      <c r="AS8">
        <v>1000</v>
      </c>
      <c r="AT8">
        <v>1000</v>
      </c>
      <c r="AU8">
        <v>1000</v>
      </c>
      <c r="AV8">
        <v>1000</v>
      </c>
      <c r="AW8">
        <v>1000</v>
      </c>
      <c r="AX8">
        <v>1000</v>
      </c>
      <c r="AY8">
        <v>1000</v>
      </c>
      <c r="AZ8">
        <v>1000</v>
      </c>
      <c r="BB8" t="e">
        <f t="shared" si="10"/>
        <v>#N/A</v>
      </c>
      <c r="BC8" t="e">
        <f t="shared" si="11"/>
        <v>#N/A</v>
      </c>
      <c r="BD8" t="e">
        <f t="shared" si="12"/>
        <v>#N/A</v>
      </c>
      <c r="BE8" t="e">
        <f t="shared" si="13"/>
        <v>#N/A</v>
      </c>
      <c r="BF8" t="e">
        <f t="shared" si="14"/>
        <v>#N/A</v>
      </c>
      <c r="BG8" t="e">
        <f t="shared" si="15"/>
        <v>#N/A</v>
      </c>
      <c r="BH8" t="e">
        <f t="shared" si="16"/>
        <v>#N/A</v>
      </c>
      <c r="BI8" t="e">
        <f t="shared" si="17"/>
        <v>#N/A</v>
      </c>
    </row>
    <row r="9" spans="1:61" ht="34.799999999999997" thickBot="1" x14ac:dyDescent="0.3">
      <c r="A9" s="10">
        <v>8</v>
      </c>
      <c r="B9" s="6" t="s">
        <v>905</v>
      </c>
      <c r="C9" s="6" t="s">
        <v>1485</v>
      </c>
      <c r="D9" s="6">
        <v>46521</v>
      </c>
      <c r="E9" s="6">
        <v>21033</v>
      </c>
      <c r="F9" s="6">
        <v>19863</v>
      </c>
      <c r="G9" s="6">
        <v>15985</v>
      </c>
      <c r="H9" s="6">
        <v>15655</v>
      </c>
      <c r="I9" s="6">
        <v>12340</v>
      </c>
      <c r="J9" s="6">
        <v>12984</v>
      </c>
      <c r="K9" s="6">
        <v>7653</v>
      </c>
      <c r="L9" s="6"/>
      <c r="M9" s="6">
        <v>8</v>
      </c>
      <c r="N9" s="6" t="s">
        <v>1592</v>
      </c>
      <c r="O9" s="6" t="s">
        <v>1593</v>
      </c>
      <c r="P9" s="6" t="s">
        <v>1594</v>
      </c>
      <c r="Q9" s="6" t="s">
        <v>1595</v>
      </c>
      <c r="R9" s="6" t="s">
        <v>1596</v>
      </c>
      <c r="S9" s="6" t="s">
        <v>1597</v>
      </c>
      <c r="T9" s="6" t="s">
        <v>1598</v>
      </c>
      <c r="U9" s="6" t="s">
        <v>1599</v>
      </c>
      <c r="V9" s="6" t="s">
        <v>1600</v>
      </c>
      <c r="Y9" s="39" t="s">
        <v>908</v>
      </c>
      <c r="Z9" s="39" t="s">
        <v>2898</v>
      </c>
      <c r="AA9" s="39" t="s">
        <v>1631</v>
      </c>
      <c r="AB9" s="39" t="s">
        <v>1632</v>
      </c>
      <c r="AC9" s="39" t="s">
        <v>1633</v>
      </c>
      <c r="AD9" s="39" t="s">
        <v>1634</v>
      </c>
      <c r="AE9" s="39" t="s">
        <v>1635</v>
      </c>
      <c r="AF9" s="39" t="s">
        <v>1636</v>
      </c>
      <c r="AG9" s="39" t="s">
        <v>1637</v>
      </c>
      <c r="AH9" s="39" t="s">
        <v>1638</v>
      </c>
      <c r="AJ9" t="str">
        <f t="shared" si="2"/>
        <v xml:space="preserve">1159 </v>
      </c>
      <c r="AK9" t="str">
        <f t="shared" si="3"/>
        <v xml:space="preserve">869 </v>
      </c>
      <c r="AL9" t="str">
        <f t="shared" si="4"/>
        <v xml:space="preserve">1151 </v>
      </c>
      <c r="AM9" t="str">
        <f t="shared" si="5"/>
        <v xml:space="preserve">1519 </v>
      </c>
      <c r="AN9" t="str">
        <f t="shared" si="6"/>
        <v xml:space="preserve">1543 </v>
      </c>
      <c r="AO9" t="str">
        <f t="shared" si="7"/>
        <v xml:space="preserve">1869 </v>
      </c>
      <c r="AP9" t="str">
        <f t="shared" si="8"/>
        <v xml:space="preserve">1655 </v>
      </c>
      <c r="AQ9" t="str">
        <f t="shared" si="9"/>
        <v xml:space="preserve">1585 </v>
      </c>
      <c r="AS9">
        <v>1000</v>
      </c>
      <c r="AT9">
        <v>1000</v>
      </c>
      <c r="AU9">
        <v>1000</v>
      </c>
      <c r="AV9">
        <v>1000</v>
      </c>
      <c r="AW9">
        <v>1000</v>
      </c>
      <c r="AX9">
        <v>1000</v>
      </c>
      <c r="AY9">
        <v>1000</v>
      </c>
      <c r="AZ9">
        <v>1000</v>
      </c>
      <c r="BB9">
        <f t="shared" si="10"/>
        <v>1159000</v>
      </c>
      <c r="BC9">
        <f t="shared" si="11"/>
        <v>869000</v>
      </c>
      <c r="BD9">
        <f t="shared" si="12"/>
        <v>1151000</v>
      </c>
      <c r="BE9">
        <f t="shared" si="13"/>
        <v>1519000</v>
      </c>
      <c r="BF9">
        <f t="shared" si="14"/>
        <v>1543000</v>
      </c>
      <c r="BG9">
        <f t="shared" si="15"/>
        <v>1869000</v>
      </c>
      <c r="BH9">
        <f t="shared" si="16"/>
        <v>1655000</v>
      </c>
      <c r="BI9">
        <f t="shared" si="17"/>
        <v>1585000</v>
      </c>
    </row>
    <row r="10" spans="1:61" ht="97.2" thickBot="1" x14ac:dyDescent="0.3">
      <c r="A10" s="10">
        <v>9</v>
      </c>
      <c r="B10" s="6" t="s">
        <v>978</v>
      </c>
      <c r="C10" s="6" t="s">
        <v>1486</v>
      </c>
      <c r="D10" s="6">
        <v>4</v>
      </c>
      <c r="E10" s="6">
        <v>2</v>
      </c>
      <c r="F10" s="6">
        <v>2</v>
      </c>
      <c r="G10" s="6">
        <v>1</v>
      </c>
      <c r="H10" s="6">
        <v>2</v>
      </c>
      <c r="I10" s="6" t="s">
        <v>1069</v>
      </c>
      <c r="J10" s="6" t="s">
        <v>1069</v>
      </c>
      <c r="K10" s="6" t="s">
        <v>1069</v>
      </c>
      <c r="L10" s="6"/>
      <c r="M10" s="6">
        <v>9</v>
      </c>
      <c r="N10" s="6" t="s">
        <v>978</v>
      </c>
      <c r="O10" s="6" t="s">
        <v>1601</v>
      </c>
      <c r="P10" s="6" t="s">
        <v>1602</v>
      </c>
      <c r="Q10" s="6" t="s">
        <v>1603</v>
      </c>
      <c r="R10" s="6" t="s">
        <v>1604</v>
      </c>
      <c r="S10" s="6" t="s">
        <v>1605</v>
      </c>
      <c r="T10" s="6" t="s">
        <v>1606</v>
      </c>
      <c r="U10" s="6" t="s">
        <v>1607</v>
      </c>
      <c r="V10" s="6" t="s">
        <v>1608</v>
      </c>
      <c r="Y10" s="39" t="s">
        <v>1155</v>
      </c>
      <c r="Z10" s="39" t="s">
        <v>2909</v>
      </c>
      <c r="AA10" s="39" t="s">
        <v>8122</v>
      </c>
      <c r="AB10" s="39" t="s">
        <v>1716</v>
      </c>
      <c r="AC10" s="39" t="s">
        <v>1717</v>
      </c>
      <c r="AD10" s="39" t="s">
        <v>1718</v>
      </c>
      <c r="AE10" s="39" t="s">
        <v>1719</v>
      </c>
      <c r="AF10" s="39" t="s">
        <v>1720</v>
      </c>
      <c r="AG10" s="39" t="s">
        <v>1721</v>
      </c>
      <c r="AH10" s="39" t="s">
        <v>1722</v>
      </c>
      <c r="AJ10" t="str">
        <f t="shared" si="2"/>
        <v xml:space="preserve">21.2 </v>
      </c>
      <c r="AK10" t="str">
        <f t="shared" si="3"/>
        <v xml:space="preserve">61.6 </v>
      </c>
      <c r="AL10" t="str">
        <f t="shared" si="4"/>
        <v xml:space="preserve">99.4 </v>
      </c>
      <c r="AM10" t="str">
        <f t="shared" si="5"/>
        <v xml:space="preserve">144 </v>
      </c>
      <c r="AN10" t="str">
        <f t="shared" si="6"/>
        <v xml:space="preserve">186 </v>
      </c>
      <c r="AO10" t="str">
        <f t="shared" si="7"/>
        <v xml:space="preserve">279 </v>
      </c>
      <c r="AP10" t="str">
        <f t="shared" si="8"/>
        <v xml:space="preserve">276 </v>
      </c>
      <c r="AQ10" t="str">
        <f t="shared" si="9"/>
        <v xml:space="preserve">225 </v>
      </c>
      <c r="AS10">
        <v>1000</v>
      </c>
      <c r="AT10">
        <v>1000</v>
      </c>
      <c r="AU10">
        <v>1000</v>
      </c>
      <c r="AV10">
        <v>1000</v>
      </c>
      <c r="AW10">
        <v>1000</v>
      </c>
      <c r="AX10">
        <v>1000</v>
      </c>
      <c r="AY10">
        <v>1000</v>
      </c>
      <c r="AZ10">
        <v>1000</v>
      </c>
      <c r="BB10">
        <f t="shared" si="10"/>
        <v>21200</v>
      </c>
      <c r="BC10">
        <f t="shared" si="11"/>
        <v>61600</v>
      </c>
      <c r="BD10">
        <f t="shared" si="12"/>
        <v>99400</v>
      </c>
      <c r="BE10">
        <f t="shared" si="13"/>
        <v>144000</v>
      </c>
      <c r="BF10">
        <f t="shared" si="14"/>
        <v>186000</v>
      </c>
      <c r="BG10">
        <f t="shared" si="15"/>
        <v>279000</v>
      </c>
      <c r="BH10">
        <f t="shared" si="16"/>
        <v>276000</v>
      </c>
      <c r="BI10">
        <f t="shared" si="17"/>
        <v>225000</v>
      </c>
    </row>
    <row r="11" spans="1:61" ht="69.599999999999994" thickBot="1" x14ac:dyDescent="0.3">
      <c r="A11" s="10">
        <v>10</v>
      </c>
      <c r="B11" s="6" t="s">
        <v>1487</v>
      </c>
      <c r="C11" s="6" t="s">
        <v>1488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 t="s">
        <v>1069</v>
      </c>
      <c r="J11" s="6" t="s">
        <v>1069</v>
      </c>
      <c r="K11" s="6" t="s">
        <v>1069</v>
      </c>
      <c r="L11" s="6"/>
      <c r="M11" s="6">
        <v>10</v>
      </c>
      <c r="N11" s="6" t="s">
        <v>1609</v>
      </c>
      <c r="O11" s="6" t="s">
        <v>1610</v>
      </c>
      <c r="P11" s="6" t="s">
        <v>1611</v>
      </c>
      <c r="Q11" s="6" t="s">
        <v>1612</v>
      </c>
      <c r="R11" s="6" t="s">
        <v>1613</v>
      </c>
      <c r="S11" s="6" t="s">
        <v>1614</v>
      </c>
      <c r="T11" s="6" t="s">
        <v>1615</v>
      </c>
      <c r="U11" s="6" t="s">
        <v>1616</v>
      </c>
      <c r="V11" s="6" t="s">
        <v>1617</v>
      </c>
      <c r="Y11" s="39" t="s">
        <v>7859</v>
      </c>
      <c r="Z11" s="39" t="s">
        <v>2910</v>
      </c>
      <c r="AA11" s="39" t="s">
        <v>1576</v>
      </c>
      <c r="AB11" s="39" t="s">
        <v>1577</v>
      </c>
      <c r="AC11" s="39" t="s">
        <v>1578</v>
      </c>
      <c r="AD11" s="39" t="s">
        <v>1579</v>
      </c>
      <c r="AE11" s="39" t="s">
        <v>1580</v>
      </c>
      <c r="AF11" s="39" t="s">
        <v>1581</v>
      </c>
      <c r="AG11" s="39" t="s">
        <v>1582</v>
      </c>
      <c r="AH11" s="39" t="s">
        <v>1165</v>
      </c>
      <c r="AJ11" t="str">
        <f t="shared" si="2"/>
        <v xml:space="preserve">4.36 </v>
      </c>
      <c r="AK11" t="str">
        <f t="shared" si="3"/>
        <v xml:space="preserve">1.57 </v>
      </c>
      <c r="AL11" t="str">
        <f t="shared" si="4"/>
        <v xml:space="preserve">1.52 </v>
      </c>
      <c r="AM11" t="str">
        <f t="shared" si="5"/>
        <v xml:space="preserve">1.2 </v>
      </c>
      <c r="AN11" t="str">
        <f t="shared" si="6"/>
        <v xml:space="preserve">0.57 </v>
      </c>
      <c r="AO11" t="str">
        <f t="shared" si="7"/>
        <v xml:space="preserve">0.643 </v>
      </c>
      <c r="AP11" t="str">
        <f t="shared" si="8"/>
        <v xml:space="preserve">0.55 </v>
      </c>
      <c r="AQ11" t="e">
        <f t="shared" si="9"/>
        <v>#N/A</v>
      </c>
      <c r="AS11">
        <v>1000</v>
      </c>
      <c r="AT11">
        <v>1000</v>
      </c>
      <c r="AU11">
        <v>1000</v>
      </c>
      <c r="AV11">
        <v>1000</v>
      </c>
      <c r="AW11">
        <v>1000</v>
      </c>
      <c r="AX11">
        <v>1000</v>
      </c>
      <c r="AY11">
        <v>1000</v>
      </c>
      <c r="AZ11">
        <v>1000</v>
      </c>
      <c r="BB11">
        <f t="shared" si="10"/>
        <v>4360</v>
      </c>
      <c r="BC11">
        <f t="shared" si="11"/>
        <v>1570</v>
      </c>
      <c r="BD11">
        <f t="shared" si="12"/>
        <v>1520</v>
      </c>
      <c r="BE11">
        <f t="shared" si="13"/>
        <v>1200</v>
      </c>
      <c r="BF11">
        <f t="shared" si="14"/>
        <v>570</v>
      </c>
      <c r="BG11">
        <f t="shared" si="15"/>
        <v>643</v>
      </c>
      <c r="BH11">
        <f t="shared" si="16"/>
        <v>550</v>
      </c>
      <c r="BI11" t="e">
        <f t="shared" si="17"/>
        <v>#N/A</v>
      </c>
    </row>
    <row r="12" spans="1:61" ht="84" thickBot="1" x14ac:dyDescent="0.3">
      <c r="A12" s="10">
        <v>11</v>
      </c>
      <c r="B12" s="6" t="s">
        <v>983</v>
      </c>
      <c r="C12" s="6" t="s">
        <v>1489</v>
      </c>
      <c r="D12" s="6">
        <v>2</v>
      </c>
      <c r="E12" s="6" t="s">
        <v>1069</v>
      </c>
      <c r="F12" s="6">
        <v>1</v>
      </c>
      <c r="G12" s="6" t="s">
        <v>1069</v>
      </c>
      <c r="H12" s="6">
        <v>1</v>
      </c>
      <c r="I12" s="6" t="s">
        <v>1069</v>
      </c>
      <c r="J12" s="6" t="s">
        <v>1069</v>
      </c>
      <c r="K12" s="6" t="s">
        <v>1069</v>
      </c>
      <c r="L12" s="6"/>
      <c r="M12" s="6">
        <v>11</v>
      </c>
      <c r="N12" s="6" t="s">
        <v>1487</v>
      </c>
      <c r="O12" s="6" t="s">
        <v>1165</v>
      </c>
      <c r="P12" s="6" t="s">
        <v>1165</v>
      </c>
      <c r="Q12" s="6" t="s">
        <v>1618</v>
      </c>
      <c r="R12" s="6" t="s">
        <v>1619</v>
      </c>
      <c r="S12" s="6" t="s">
        <v>1165</v>
      </c>
      <c r="T12" s="6" t="s">
        <v>1620</v>
      </c>
      <c r="U12" s="6" t="s">
        <v>1621</v>
      </c>
      <c r="V12" s="6" t="s">
        <v>1622</v>
      </c>
      <c r="Y12" s="39" t="s">
        <v>709</v>
      </c>
      <c r="Z12" s="39" t="s">
        <v>2911</v>
      </c>
      <c r="AA12" s="39" t="s">
        <v>2908</v>
      </c>
      <c r="AB12" s="39" t="s">
        <v>2908</v>
      </c>
      <c r="AC12" s="39" t="s">
        <v>2908</v>
      </c>
      <c r="AD12" s="39" t="s">
        <v>2908</v>
      </c>
      <c r="AE12" s="39" t="s">
        <v>2908</v>
      </c>
      <c r="AF12" s="39" t="s">
        <v>2908</v>
      </c>
      <c r="AG12" s="39" t="s">
        <v>2908</v>
      </c>
      <c r="AH12" s="39" t="s">
        <v>2908</v>
      </c>
      <c r="AJ12" t="e">
        <f t="shared" si="2"/>
        <v>#N/A</v>
      </c>
      <c r="AK12" t="e">
        <f t="shared" si="3"/>
        <v>#N/A</v>
      </c>
      <c r="AL12" t="e">
        <f t="shared" si="4"/>
        <v>#N/A</v>
      </c>
      <c r="AM12" t="e">
        <f t="shared" si="5"/>
        <v>#N/A</v>
      </c>
      <c r="AN12" t="e">
        <f t="shared" si="6"/>
        <v>#N/A</v>
      </c>
      <c r="AO12" t="e">
        <f t="shared" si="7"/>
        <v>#N/A</v>
      </c>
      <c r="AP12" t="e">
        <f t="shared" si="8"/>
        <v>#N/A</v>
      </c>
      <c r="AQ12" t="e">
        <f t="shared" si="9"/>
        <v>#N/A</v>
      </c>
      <c r="AS12">
        <v>1000</v>
      </c>
      <c r="AT12">
        <v>1000</v>
      </c>
      <c r="AU12">
        <v>1000</v>
      </c>
      <c r="AV12">
        <v>1000</v>
      </c>
      <c r="AW12">
        <v>1000</v>
      </c>
      <c r="AX12">
        <v>1000</v>
      </c>
      <c r="AY12">
        <v>1000</v>
      </c>
      <c r="AZ12">
        <v>1000</v>
      </c>
      <c r="BB12" t="e">
        <f t="shared" si="10"/>
        <v>#N/A</v>
      </c>
      <c r="BC12" t="e">
        <f t="shared" si="11"/>
        <v>#N/A</v>
      </c>
      <c r="BD12" t="e">
        <f t="shared" si="12"/>
        <v>#N/A</v>
      </c>
      <c r="BE12" t="e">
        <f t="shared" si="13"/>
        <v>#N/A</v>
      </c>
      <c r="BF12" t="e">
        <f t="shared" si="14"/>
        <v>#N/A</v>
      </c>
      <c r="BG12" t="e">
        <f t="shared" si="15"/>
        <v>#N/A</v>
      </c>
      <c r="BH12" t="e">
        <f t="shared" si="16"/>
        <v>#N/A</v>
      </c>
      <c r="BI12" t="e">
        <f t="shared" si="17"/>
        <v>#N/A</v>
      </c>
    </row>
    <row r="13" spans="1:61" ht="111" thickBot="1" x14ac:dyDescent="0.3">
      <c r="A13" s="10">
        <v>12</v>
      </c>
      <c r="B13" s="6" t="s">
        <v>908</v>
      </c>
      <c r="C13" s="6" t="s">
        <v>1490</v>
      </c>
      <c r="D13" s="6">
        <v>9</v>
      </c>
      <c r="E13" s="6">
        <v>7</v>
      </c>
      <c r="F13" s="6">
        <v>9</v>
      </c>
      <c r="G13" s="6">
        <v>12</v>
      </c>
      <c r="H13" s="6">
        <v>12</v>
      </c>
      <c r="I13" s="6">
        <v>15</v>
      </c>
      <c r="J13" s="6">
        <v>13</v>
      </c>
      <c r="K13" s="6">
        <v>12</v>
      </c>
      <c r="L13" s="6"/>
      <c r="M13" s="6">
        <v>12</v>
      </c>
      <c r="N13" s="6" t="s">
        <v>983</v>
      </c>
      <c r="O13" s="6" t="s">
        <v>1623</v>
      </c>
      <c r="P13" s="6" t="s">
        <v>1624</v>
      </c>
      <c r="Q13" s="6" t="s">
        <v>1625</v>
      </c>
      <c r="R13" s="6" t="s">
        <v>1626</v>
      </c>
      <c r="S13" s="6" t="s">
        <v>1627</v>
      </c>
      <c r="T13" s="6" t="s">
        <v>1628</v>
      </c>
      <c r="U13" s="6" t="s">
        <v>1629</v>
      </c>
      <c r="V13" s="6" t="s">
        <v>1583</v>
      </c>
      <c r="Y13" s="39" t="s">
        <v>8118</v>
      </c>
      <c r="Z13" s="39" t="s">
        <v>7861</v>
      </c>
      <c r="AA13" s="39" t="s">
        <v>1689</v>
      </c>
      <c r="AB13" s="39" t="s">
        <v>1690</v>
      </c>
      <c r="AC13" s="39" t="s">
        <v>1691</v>
      </c>
      <c r="AD13" s="39" t="s">
        <v>1692</v>
      </c>
      <c r="AE13" s="39" t="s">
        <v>1693</v>
      </c>
      <c r="AF13" s="39" t="s">
        <v>1694</v>
      </c>
      <c r="AG13" s="39" t="s">
        <v>1695</v>
      </c>
      <c r="AH13" s="39" t="s">
        <v>1165</v>
      </c>
      <c r="AJ13" t="str">
        <f t="shared" si="2"/>
        <v xml:space="preserve">5.73 </v>
      </c>
      <c r="AK13" t="str">
        <f t="shared" si="3"/>
        <v xml:space="preserve">1.94 </v>
      </c>
      <c r="AL13" t="str">
        <f t="shared" si="4"/>
        <v xml:space="preserve">4.26 </v>
      </c>
      <c r="AM13" t="str">
        <f t="shared" si="5"/>
        <v xml:space="preserve">2.57 </v>
      </c>
      <c r="AN13" t="str">
        <f t="shared" si="6"/>
        <v xml:space="preserve">7.01 </v>
      </c>
      <c r="AO13" t="str">
        <f t="shared" si="7"/>
        <v xml:space="preserve">2.39 </v>
      </c>
      <c r="AP13" t="str">
        <f t="shared" si="8"/>
        <v xml:space="preserve">5.51 </v>
      </c>
      <c r="AQ13" t="e">
        <f t="shared" si="9"/>
        <v>#N/A</v>
      </c>
      <c r="AS13">
        <v>1000</v>
      </c>
      <c r="AT13">
        <v>1000</v>
      </c>
      <c r="AU13">
        <v>1000</v>
      </c>
      <c r="AV13">
        <v>1000</v>
      </c>
      <c r="AW13">
        <v>1000</v>
      </c>
      <c r="AX13">
        <v>1000</v>
      </c>
      <c r="AY13">
        <v>1000</v>
      </c>
      <c r="AZ13">
        <v>1000</v>
      </c>
      <c r="BB13">
        <f t="shared" si="10"/>
        <v>5730</v>
      </c>
      <c r="BC13">
        <f t="shared" si="11"/>
        <v>1940</v>
      </c>
      <c r="BD13">
        <f t="shared" si="12"/>
        <v>4260</v>
      </c>
      <c r="BE13">
        <f t="shared" si="13"/>
        <v>2570</v>
      </c>
      <c r="BF13">
        <f t="shared" si="14"/>
        <v>7010</v>
      </c>
      <c r="BG13">
        <f t="shared" si="15"/>
        <v>2390</v>
      </c>
      <c r="BH13">
        <f t="shared" si="16"/>
        <v>5510</v>
      </c>
      <c r="BI13" t="e">
        <f t="shared" si="17"/>
        <v>#N/A</v>
      </c>
    </row>
    <row r="14" spans="1:61" ht="84" thickBot="1" x14ac:dyDescent="0.3">
      <c r="A14" s="10">
        <v>13</v>
      </c>
      <c r="B14" s="6" t="s">
        <v>765</v>
      </c>
      <c r="C14" s="6" t="s">
        <v>1491</v>
      </c>
      <c r="D14" s="6">
        <v>31</v>
      </c>
      <c r="E14" s="6">
        <v>38</v>
      </c>
      <c r="F14" s="6">
        <v>43</v>
      </c>
      <c r="G14" s="6">
        <v>54</v>
      </c>
      <c r="H14" s="6">
        <v>53</v>
      </c>
      <c r="I14" s="6">
        <v>60</v>
      </c>
      <c r="J14" s="6">
        <v>51</v>
      </c>
      <c r="K14" s="6">
        <v>23</v>
      </c>
      <c r="L14" s="6"/>
      <c r="M14" s="6">
        <v>13</v>
      </c>
      <c r="N14" s="6" t="s">
        <v>1630</v>
      </c>
      <c r="O14" s="6" t="s">
        <v>1631</v>
      </c>
      <c r="P14" s="6" t="s">
        <v>1632</v>
      </c>
      <c r="Q14" s="6" t="s">
        <v>1633</v>
      </c>
      <c r="R14" s="6" t="s">
        <v>1634</v>
      </c>
      <c r="S14" s="6" t="s">
        <v>1635</v>
      </c>
      <c r="T14" s="6" t="s">
        <v>1636</v>
      </c>
      <c r="U14" s="6" t="s">
        <v>1637</v>
      </c>
      <c r="V14" s="6" t="s">
        <v>1638</v>
      </c>
      <c r="Y14" s="39" t="s">
        <v>8119</v>
      </c>
      <c r="Z14" s="39" t="s">
        <v>2913</v>
      </c>
      <c r="AA14" s="39" t="s">
        <v>2908</v>
      </c>
      <c r="AB14" s="39" t="s">
        <v>2908</v>
      </c>
      <c r="AC14" s="39" t="s">
        <v>2908</v>
      </c>
      <c r="AD14" s="39" t="s">
        <v>2908</v>
      </c>
      <c r="AE14" s="39" t="s">
        <v>2908</v>
      </c>
      <c r="AF14" s="39" t="s">
        <v>2908</v>
      </c>
      <c r="AG14" s="39" t="s">
        <v>2908</v>
      </c>
      <c r="AH14" s="39" t="s">
        <v>2908</v>
      </c>
      <c r="AJ14" t="e">
        <f t="shared" si="2"/>
        <v>#N/A</v>
      </c>
      <c r="AK14" t="e">
        <f t="shared" si="3"/>
        <v>#N/A</v>
      </c>
      <c r="AL14" t="e">
        <f t="shared" si="4"/>
        <v>#N/A</v>
      </c>
      <c r="AM14" t="e">
        <f t="shared" si="5"/>
        <v>#N/A</v>
      </c>
      <c r="AN14" t="e">
        <f t="shared" si="6"/>
        <v>#N/A</v>
      </c>
      <c r="AO14" t="e">
        <f t="shared" si="7"/>
        <v>#N/A</v>
      </c>
      <c r="AP14" t="e">
        <f t="shared" si="8"/>
        <v>#N/A</v>
      </c>
      <c r="AQ14" t="e">
        <f t="shared" si="9"/>
        <v>#N/A</v>
      </c>
      <c r="AS14">
        <v>1000</v>
      </c>
      <c r="AT14">
        <v>1000</v>
      </c>
      <c r="AU14">
        <v>1000</v>
      </c>
      <c r="AV14">
        <v>1000</v>
      </c>
      <c r="AW14">
        <v>1000</v>
      </c>
      <c r="AX14">
        <v>1000</v>
      </c>
      <c r="AY14">
        <v>1000</v>
      </c>
      <c r="AZ14">
        <v>1000</v>
      </c>
      <c r="BB14" t="e">
        <f t="shared" si="10"/>
        <v>#N/A</v>
      </c>
      <c r="BC14" t="e">
        <f t="shared" si="11"/>
        <v>#N/A</v>
      </c>
      <c r="BD14" t="e">
        <f t="shared" si="12"/>
        <v>#N/A</v>
      </c>
      <c r="BE14" t="e">
        <f t="shared" si="13"/>
        <v>#N/A</v>
      </c>
      <c r="BF14" t="e">
        <f t="shared" si="14"/>
        <v>#N/A</v>
      </c>
      <c r="BG14" t="e">
        <f t="shared" si="15"/>
        <v>#N/A</v>
      </c>
      <c r="BH14" t="e">
        <f t="shared" si="16"/>
        <v>#N/A</v>
      </c>
      <c r="BI14" t="e">
        <f t="shared" si="17"/>
        <v>#N/A</v>
      </c>
    </row>
    <row r="15" spans="1:61" ht="42" thickBot="1" x14ac:dyDescent="0.3">
      <c r="A15" s="10">
        <v>14</v>
      </c>
      <c r="B15" s="6" t="s">
        <v>1311</v>
      </c>
      <c r="C15" s="6" t="s">
        <v>1492</v>
      </c>
      <c r="D15" s="6">
        <v>3</v>
      </c>
      <c r="E15" s="6">
        <v>2</v>
      </c>
      <c r="F15" s="6">
        <v>2</v>
      </c>
      <c r="G15" s="6">
        <v>1</v>
      </c>
      <c r="H15" s="6">
        <v>2</v>
      </c>
      <c r="I15" s="6">
        <v>1</v>
      </c>
      <c r="J15" s="6">
        <v>2</v>
      </c>
      <c r="K15" s="6" t="s">
        <v>1069</v>
      </c>
      <c r="L15" s="6"/>
      <c r="M15" s="6">
        <v>14</v>
      </c>
      <c r="N15" s="6" t="s">
        <v>1639</v>
      </c>
      <c r="O15" s="6" t="s">
        <v>1640</v>
      </c>
      <c r="P15" s="6" t="s">
        <v>1641</v>
      </c>
      <c r="Q15" s="6" t="s">
        <v>1642</v>
      </c>
      <c r="R15" s="6" t="s">
        <v>1643</v>
      </c>
      <c r="S15" s="6" t="s">
        <v>1644</v>
      </c>
      <c r="T15" s="6" t="s">
        <v>1903</v>
      </c>
      <c r="U15" s="6" t="s">
        <v>1645</v>
      </c>
      <c r="V15" s="6" t="s">
        <v>1646</v>
      </c>
      <c r="Y15" s="39" t="s">
        <v>970</v>
      </c>
      <c r="Z15" s="39" t="s">
        <v>2173</v>
      </c>
      <c r="AA15" s="39" t="s">
        <v>1723</v>
      </c>
      <c r="AB15" s="39" t="s">
        <v>1724</v>
      </c>
      <c r="AC15" s="39" t="s">
        <v>1725</v>
      </c>
      <c r="AD15" s="39" t="s">
        <v>1726</v>
      </c>
      <c r="AE15" s="39" t="s">
        <v>1727</v>
      </c>
      <c r="AF15" s="39" t="s">
        <v>1728</v>
      </c>
      <c r="AG15" s="39" t="s">
        <v>1729</v>
      </c>
      <c r="AH15" s="39" t="s">
        <v>1730</v>
      </c>
      <c r="AJ15" t="str">
        <f t="shared" si="2"/>
        <v xml:space="preserve">26.5 </v>
      </c>
      <c r="AK15" t="str">
        <f t="shared" si="3"/>
        <v xml:space="preserve">12.1 </v>
      </c>
      <c r="AL15" t="str">
        <f t="shared" si="4"/>
        <v xml:space="preserve">26.3 </v>
      </c>
      <c r="AM15" t="str">
        <f t="shared" si="5"/>
        <v xml:space="preserve">13.6 </v>
      </c>
      <c r="AN15" t="str">
        <f t="shared" si="6"/>
        <v xml:space="preserve">44 </v>
      </c>
      <c r="AO15" t="str">
        <f t="shared" si="7"/>
        <v xml:space="preserve">21 </v>
      </c>
      <c r="AP15" t="str">
        <f t="shared" si="8"/>
        <v xml:space="preserve">33.8 </v>
      </c>
      <c r="AQ15" t="str">
        <f t="shared" si="9"/>
        <v xml:space="preserve">0.688 </v>
      </c>
      <c r="AS15">
        <v>1000</v>
      </c>
      <c r="AT15">
        <v>1000</v>
      </c>
      <c r="AU15">
        <v>1000</v>
      </c>
      <c r="AV15">
        <v>1000</v>
      </c>
      <c r="AW15">
        <v>1000</v>
      </c>
      <c r="AX15">
        <v>1000</v>
      </c>
      <c r="AY15">
        <v>1000</v>
      </c>
      <c r="AZ15">
        <v>1000</v>
      </c>
      <c r="BB15">
        <f t="shared" si="10"/>
        <v>26500</v>
      </c>
      <c r="BC15">
        <f t="shared" si="11"/>
        <v>12100</v>
      </c>
      <c r="BD15">
        <f t="shared" si="12"/>
        <v>26300</v>
      </c>
      <c r="BE15">
        <f t="shared" si="13"/>
        <v>13600</v>
      </c>
      <c r="BF15">
        <f t="shared" si="14"/>
        <v>44000</v>
      </c>
      <c r="BG15">
        <f t="shared" si="15"/>
        <v>21000</v>
      </c>
      <c r="BH15">
        <f t="shared" si="16"/>
        <v>33800</v>
      </c>
      <c r="BI15">
        <f t="shared" si="17"/>
        <v>688</v>
      </c>
    </row>
    <row r="16" spans="1:61" ht="46.2" thickBot="1" x14ac:dyDescent="0.3">
      <c r="A16" s="10">
        <v>15</v>
      </c>
      <c r="B16" s="6" t="s">
        <v>987</v>
      </c>
      <c r="C16" s="6" t="s">
        <v>1493</v>
      </c>
      <c r="D16" s="6">
        <v>3934</v>
      </c>
      <c r="E16" s="6">
        <v>1755</v>
      </c>
      <c r="F16" s="6">
        <v>2673</v>
      </c>
      <c r="G16" s="6">
        <v>1509</v>
      </c>
      <c r="H16" s="6">
        <v>3181</v>
      </c>
      <c r="I16" s="6">
        <v>1579</v>
      </c>
      <c r="J16" s="6">
        <v>2957</v>
      </c>
      <c r="K16" s="6">
        <v>298</v>
      </c>
      <c r="L16" s="6"/>
      <c r="M16" s="6">
        <v>15</v>
      </c>
      <c r="N16" s="6" t="s">
        <v>1647</v>
      </c>
      <c r="O16" s="6" t="s">
        <v>1648</v>
      </c>
      <c r="P16" s="6" t="s">
        <v>1649</v>
      </c>
      <c r="Q16" s="6" t="s">
        <v>1650</v>
      </c>
      <c r="R16" s="6" t="s">
        <v>1651</v>
      </c>
      <c r="S16" s="6" t="s">
        <v>1652</v>
      </c>
      <c r="T16" s="6" t="s">
        <v>1653</v>
      </c>
      <c r="U16" s="6" t="s">
        <v>1654</v>
      </c>
      <c r="V16" s="6" t="s">
        <v>1655</v>
      </c>
      <c r="Y16" s="39" t="s">
        <v>793</v>
      </c>
      <c r="Z16" s="39" t="s">
        <v>2914</v>
      </c>
      <c r="AA16" s="39" t="s">
        <v>2908</v>
      </c>
      <c r="AB16" s="39" t="s">
        <v>2908</v>
      </c>
      <c r="AC16" s="39" t="s">
        <v>2908</v>
      </c>
      <c r="AD16" s="39" t="s">
        <v>2908</v>
      </c>
      <c r="AE16" s="39" t="s">
        <v>2908</v>
      </c>
      <c r="AF16" s="39" t="s">
        <v>2908</v>
      </c>
      <c r="AG16" s="39" t="s">
        <v>2908</v>
      </c>
      <c r="AH16" s="39" t="s">
        <v>2908</v>
      </c>
      <c r="AJ16" t="e">
        <f t="shared" si="2"/>
        <v>#N/A</v>
      </c>
      <c r="AK16" t="e">
        <f t="shared" si="3"/>
        <v>#N/A</v>
      </c>
      <c r="AL16" t="e">
        <f t="shared" si="4"/>
        <v>#N/A</v>
      </c>
      <c r="AM16" t="e">
        <f t="shared" si="5"/>
        <v>#N/A</v>
      </c>
      <c r="AN16" t="e">
        <f t="shared" si="6"/>
        <v>#N/A</v>
      </c>
      <c r="AO16" t="e">
        <f t="shared" si="7"/>
        <v>#N/A</v>
      </c>
      <c r="AP16" t="e">
        <f t="shared" si="8"/>
        <v>#N/A</v>
      </c>
      <c r="AQ16" t="e">
        <f t="shared" si="9"/>
        <v>#N/A</v>
      </c>
      <c r="AS16">
        <v>1000</v>
      </c>
      <c r="AT16">
        <v>1000</v>
      </c>
      <c r="AU16">
        <v>1000</v>
      </c>
      <c r="AV16">
        <v>1000</v>
      </c>
      <c r="AW16">
        <v>1000</v>
      </c>
      <c r="AX16">
        <v>1000</v>
      </c>
      <c r="AY16">
        <v>1000</v>
      </c>
      <c r="AZ16">
        <v>1000</v>
      </c>
      <c r="BB16" t="e">
        <f t="shared" si="10"/>
        <v>#N/A</v>
      </c>
      <c r="BC16" t="e">
        <f t="shared" si="11"/>
        <v>#N/A</v>
      </c>
      <c r="BD16" t="e">
        <f t="shared" si="12"/>
        <v>#N/A</v>
      </c>
      <c r="BE16" t="e">
        <f t="shared" si="13"/>
        <v>#N/A</v>
      </c>
      <c r="BF16" t="e">
        <f t="shared" si="14"/>
        <v>#N/A</v>
      </c>
      <c r="BG16" t="e">
        <f t="shared" si="15"/>
        <v>#N/A</v>
      </c>
      <c r="BH16" t="e">
        <f t="shared" si="16"/>
        <v>#N/A</v>
      </c>
      <c r="BI16" t="e">
        <f t="shared" si="17"/>
        <v>#N/A</v>
      </c>
    </row>
    <row r="17" spans="1:61" ht="69.599999999999994" thickBot="1" x14ac:dyDescent="0.3">
      <c r="A17" s="10">
        <v>16</v>
      </c>
      <c r="B17" s="6" t="s">
        <v>1029</v>
      </c>
      <c r="C17" s="6" t="s">
        <v>1494</v>
      </c>
      <c r="D17" s="6" t="s">
        <v>1069</v>
      </c>
      <c r="E17" s="6">
        <v>0</v>
      </c>
      <c r="F17" s="6" t="s">
        <v>1069</v>
      </c>
      <c r="G17" s="6" t="s">
        <v>1069</v>
      </c>
      <c r="H17" s="6" t="s">
        <v>1069</v>
      </c>
      <c r="I17" s="6" t="s">
        <v>1069</v>
      </c>
      <c r="J17" s="6" t="s">
        <v>1069</v>
      </c>
      <c r="K17" s="6" t="s">
        <v>1069</v>
      </c>
      <c r="L17" s="6"/>
      <c r="M17" s="6">
        <v>16</v>
      </c>
      <c r="N17" s="6" t="s">
        <v>1311</v>
      </c>
      <c r="O17" s="6" t="s">
        <v>1656</v>
      </c>
      <c r="P17" s="6" t="s">
        <v>1657</v>
      </c>
      <c r="Q17" s="6" t="s">
        <v>1658</v>
      </c>
      <c r="R17" s="6" t="s">
        <v>1659</v>
      </c>
      <c r="S17" s="6" t="s">
        <v>1660</v>
      </c>
      <c r="T17" s="6" t="s">
        <v>1661</v>
      </c>
      <c r="U17" s="6" t="s">
        <v>1662</v>
      </c>
      <c r="V17" s="6" t="s">
        <v>1663</v>
      </c>
      <c r="Y17" s="39" t="s">
        <v>1132</v>
      </c>
      <c r="Z17" s="39" t="s">
        <v>2029</v>
      </c>
      <c r="AA17" s="39" t="s">
        <v>1842</v>
      </c>
      <c r="AB17" s="39" t="s">
        <v>1843</v>
      </c>
      <c r="AC17" s="39" t="s">
        <v>1844</v>
      </c>
      <c r="AD17" s="39" t="s">
        <v>1845</v>
      </c>
      <c r="AE17" s="39" t="s">
        <v>1846</v>
      </c>
      <c r="AF17" s="39" t="s">
        <v>8123</v>
      </c>
      <c r="AG17" s="39" t="s">
        <v>1847</v>
      </c>
      <c r="AH17" s="39" t="s">
        <v>1848</v>
      </c>
      <c r="AJ17" t="str">
        <f t="shared" si="2"/>
        <v xml:space="preserve">2.72 </v>
      </c>
      <c r="AK17" t="str">
        <f t="shared" si="3"/>
        <v xml:space="preserve">2.63 </v>
      </c>
      <c r="AL17" t="str">
        <f t="shared" si="4"/>
        <v xml:space="preserve">4.13 </v>
      </c>
      <c r="AM17" t="str">
        <f t="shared" si="5"/>
        <v xml:space="preserve">5.11 </v>
      </c>
      <c r="AN17" t="str">
        <f t="shared" si="6"/>
        <v xml:space="preserve">12 </v>
      </c>
      <c r="AO17" t="str">
        <f t="shared" si="7"/>
        <v xml:space="preserve">13.9 </v>
      </c>
      <c r="AP17" t="str">
        <f t="shared" si="8"/>
        <v xml:space="preserve">20.4 </v>
      </c>
      <c r="AQ17" t="str">
        <f t="shared" si="9"/>
        <v xml:space="preserve">17.2 </v>
      </c>
      <c r="AS17">
        <v>1000</v>
      </c>
      <c r="AT17">
        <v>1000</v>
      </c>
      <c r="AU17">
        <v>1000</v>
      </c>
      <c r="AV17">
        <v>1000</v>
      </c>
      <c r="AW17">
        <v>1000</v>
      </c>
      <c r="AX17">
        <v>1000</v>
      </c>
      <c r="AY17">
        <v>1000</v>
      </c>
      <c r="AZ17">
        <v>1000</v>
      </c>
      <c r="BB17">
        <f t="shared" si="10"/>
        <v>2720</v>
      </c>
      <c r="BC17">
        <f t="shared" si="11"/>
        <v>2630</v>
      </c>
      <c r="BD17">
        <f t="shared" si="12"/>
        <v>4130</v>
      </c>
      <c r="BE17">
        <f t="shared" si="13"/>
        <v>5110</v>
      </c>
      <c r="BF17">
        <f t="shared" si="14"/>
        <v>12000</v>
      </c>
      <c r="BG17">
        <f t="shared" si="15"/>
        <v>13900</v>
      </c>
      <c r="BH17">
        <f t="shared" si="16"/>
        <v>20400</v>
      </c>
      <c r="BI17">
        <f t="shared" si="17"/>
        <v>17200</v>
      </c>
    </row>
    <row r="18" spans="1:61" ht="55.8" thickBot="1" x14ac:dyDescent="0.3">
      <c r="A18" s="10">
        <v>17</v>
      </c>
      <c r="B18" s="6" t="s">
        <v>1495</v>
      </c>
      <c r="C18" s="6" t="s">
        <v>1496</v>
      </c>
      <c r="D18" s="6">
        <v>4</v>
      </c>
      <c r="E18" s="6">
        <v>1</v>
      </c>
      <c r="F18" s="6">
        <v>3</v>
      </c>
      <c r="G18" s="6">
        <v>2</v>
      </c>
      <c r="H18" s="6">
        <v>5</v>
      </c>
      <c r="I18" s="6">
        <v>2</v>
      </c>
      <c r="J18" s="6">
        <v>4</v>
      </c>
      <c r="K18" s="6">
        <v>0</v>
      </c>
      <c r="L18" s="6"/>
      <c r="M18" s="6">
        <v>17</v>
      </c>
      <c r="N18" s="6" t="s">
        <v>1664</v>
      </c>
      <c r="O18" s="6" t="s">
        <v>1665</v>
      </c>
      <c r="P18" s="6" t="s">
        <v>1666</v>
      </c>
      <c r="Q18" s="6" t="s">
        <v>1667</v>
      </c>
      <c r="R18" s="6" t="s">
        <v>1668</v>
      </c>
      <c r="S18" s="6" t="s">
        <v>1669</v>
      </c>
      <c r="T18" s="6" t="s">
        <v>1670</v>
      </c>
      <c r="U18" s="6" t="s">
        <v>1671</v>
      </c>
      <c r="V18" s="6" t="s">
        <v>1672</v>
      </c>
      <c r="Y18" s="39" t="s">
        <v>785</v>
      </c>
      <c r="Z18" s="39" t="s">
        <v>2028</v>
      </c>
      <c r="AA18" s="39" t="s">
        <v>1814</v>
      </c>
      <c r="AB18" s="39" t="s">
        <v>1815</v>
      </c>
      <c r="AC18" s="39" t="s">
        <v>1816</v>
      </c>
      <c r="AD18" s="39" t="s">
        <v>1817</v>
      </c>
      <c r="AE18" s="39" t="s">
        <v>1818</v>
      </c>
      <c r="AF18" s="39" t="s">
        <v>1819</v>
      </c>
      <c r="AG18" s="39" t="s">
        <v>1820</v>
      </c>
      <c r="AH18" s="39" t="s">
        <v>1821</v>
      </c>
      <c r="AJ18" t="str">
        <f t="shared" si="2"/>
        <v xml:space="preserve">2.05 </v>
      </c>
      <c r="AK18" t="str">
        <f t="shared" si="3"/>
        <v xml:space="preserve">4.73 </v>
      </c>
      <c r="AL18" t="str">
        <f t="shared" si="4"/>
        <v xml:space="preserve">7.54 </v>
      </c>
      <c r="AM18" t="str">
        <f t="shared" si="5"/>
        <v xml:space="preserve">11.3 </v>
      </c>
      <c r="AN18" t="str">
        <f t="shared" si="6"/>
        <v xml:space="preserve">21 </v>
      </c>
      <c r="AO18" t="str">
        <f t="shared" si="7"/>
        <v xml:space="preserve">29.1 </v>
      </c>
      <c r="AP18" t="str">
        <f t="shared" si="8"/>
        <v xml:space="preserve">33.5 </v>
      </c>
      <c r="AQ18" t="str">
        <f t="shared" si="9"/>
        <v xml:space="preserve">29.6 </v>
      </c>
      <c r="AS18">
        <v>1000</v>
      </c>
      <c r="AT18">
        <v>1000</v>
      </c>
      <c r="AU18">
        <v>1000</v>
      </c>
      <c r="AV18">
        <v>1000</v>
      </c>
      <c r="AW18">
        <v>1000</v>
      </c>
      <c r="AX18">
        <v>1000</v>
      </c>
      <c r="AY18">
        <v>1000</v>
      </c>
      <c r="AZ18">
        <v>1000</v>
      </c>
      <c r="BB18">
        <f t="shared" si="10"/>
        <v>2050</v>
      </c>
      <c r="BC18">
        <f t="shared" si="11"/>
        <v>4730</v>
      </c>
      <c r="BD18">
        <f t="shared" si="12"/>
        <v>7540</v>
      </c>
      <c r="BE18">
        <f t="shared" si="13"/>
        <v>11300</v>
      </c>
      <c r="BF18">
        <f t="shared" si="14"/>
        <v>21000</v>
      </c>
      <c r="BG18">
        <f t="shared" si="15"/>
        <v>29100</v>
      </c>
      <c r="BH18">
        <f t="shared" si="16"/>
        <v>33500</v>
      </c>
      <c r="BI18">
        <f t="shared" si="17"/>
        <v>29600</v>
      </c>
    </row>
    <row r="19" spans="1:61" ht="55.8" thickBot="1" x14ac:dyDescent="0.3">
      <c r="A19" s="10">
        <v>18</v>
      </c>
      <c r="B19" s="6" t="s">
        <v>1217</v>
      </c>
      <c r="C19" s="6" t="s">
        <v>1497</v>
      </c>
      <c r="D19" s="6" t="s">
        <v>1069</v>
      </c>
      <c r="E19" s="6">
        <v>0</v>
      </c>
      <c r="F19" s="6" t="s">
        <v>1069</v>
      </c>
      <c r="G19" s="6" t="s">
        <v>1069</v>
      </c>
      <c r="H19" s="6">
        <v>1</v>
      </c>
      <c r="I19" s="6">
        <v>3</v>
      </c>
      <c r="J19" s="6">
        <v>3</v>
      </c>
      <c r="K19" s="6">
        <v>3</v>
      </c>
      <c r="L19" s="6"/>
      <c r="M19" s="6">
        <v>18</v>
      </c>
      <c r="N19" s="6" t="s">
        <v>987</v>
      </c>
      <c r="O19" s="6" t="s">
        <v>1673</v>
      </c>
      <c r="P19" s="6" t="s">
        <v>1674</v>
      </c>
      <c r="Q19" s="6" t="s">
        <v>1675</v>
      </c>
      <c r="R19" s="6" t="s">
        <v>1676</v>
      </c>
      <c r="S19" s="6" t="s">
        <v>1677</v>
      </c>
      <c r="T19" s="6" t="s">
        <v>1678</v>
      </c>
      <c r="U19" s="6" t="s">
        <v>1679</v>
      </c>
      <c r="V19" s="6" t="s">
        <v>1680</v>
      </c>
      <c r="Y19" s="39" t="s">
        <v>741</v>
      </c>
      <c r="Z19" s="39" t="s">
        <v>2915</v>
      </c>
      <c r="AA19" s="39" t="s">
        <v>2908</v>
      </c>
      <c r="AB19" s="39" t="s">
        <v>2908</v>
      </c>
      <c r="AC19" s="39" t="s">
        <v>2908</v>
      </c>
      <c r="AD19" s="39" t="s">
        <v>2908</v>
      </c>
      <c r="AE19" s="39" t="s">
        <v>2908</v>
      </c>
      <c r="AF19" s="39" t="s">
        <v>2908</v>
      </c>
      <c r="AG19" s="39" t="s">
        <v>2908</v>
      </c>
      <c r="AH19" s="39" t="s">
        <v>2908</v>
      </c>
      <c r="AJ19" t="e">
        <f t="shared" si="2"/>
        <v>#N/A</v>
      </c>
      <c r="AK19" t="e">
        <f t="shared" si="3"/>
        <v>#N/A</v>
      </c>
      <c r="AL19" t="e">
        <f t="shared" si="4"/>
        <v>#N/A</v>
      </c>
      <c r="AM19" t="e">
        <f t="shared" si="5"/>
        <v>#N/A</v>
      </c>
      <c r="AN19" t="e">
        <f t="shared" si="6"/>
        <v>#N/A</v>
      </c>
      <c r="AO19" t="e">
        <f t="shared" si="7"/>
        <v>#N/A</v>
      </c>
      <c r="AP19" t="e">
        <f t="shared" si="8"/>
        <v>#N/A</v>
      </c>
      <c r="AQ19" t="e">
        <f t="shared" si="9"/>
        <v>#N/A</v>
      </c>
      <c r="AS19">
        <v>1000</v>
      </c>
      <c r="AT19">
        <v>1000</v>
      </c>
      <c r="AU19">
        <v>1000</v>
      </c>
      <c r="AV19">
        <v>1000</v>
      </c>
      <c r="AW19">
        <v>1000</v>
      </c>
      <c r="AX19">
        <v>1000</v>
      </c>
      <c r="AY19">
        <v>1000</v>
      </c>
      <c r="AZ19">
        <v>1000</v>
      </c>
      <c r="BB19" t="e">
        <f t="shared" si="10"/>
        <v>#N/A</v>
      </c>
      <c r="BC19" t="e">
        <f t="shared" si="11"/>
        <v>#N/A</v>
      </c>
      <c r="BD19" t="e">
        <f t="shared" si="12"/>
        <v>#N/A</v>
      </c>
      <c r="BE19" t="e">
        <f t="shared" si="13"/>
        <v>#N/A</v>
      </c>
      <c r="BF19" t="e">
        <f t="shared" si="14"/>
        <v>#N/A</v>
      </c>
      <c r="BG19" t="e">
        <f t="shared" si="15"/>
        <v>#N/A</v>
      </c>
      <c r="BH19" t="e">
        <f t="shared" si="16"/>
        <v>#N/A</v>
      </c>
      <c r="BI19" t="e">
        <f t="shared" si="17"/>
        <v>#N/A</v>
      </c>
    </row>
    <row r="20" spans="1:61" ht="42" thickBot="1" x14ac:dyDescent="0.3">
      <c r="A20" s="10">
        <v>19</v>
      </c>
      <c r="B20" s="6" t="s">
        <v>1498</v>
      </c>
      <c r="C20" s="6" t="s">
        <v>1499</v>
      </c>
      <c r="D20" s="6">
        <v>0</v>
      </c>
      <c r="E20" s="6">
        <v>0</v>
      </c>
      <c r="F20" s="6">
        <v>0</v>
      </c>
      <c r="G20" s="6">
        <v>0</v>
      </c>
      <c r="H20" s="6" t="s">
        <v>1069</v>
      </c>
      <c r="I20" s="6" t="s">
        <v>1069</v>
      </c>
      <c r="J20" s="6" t="s">
        <v>1069</v>
      </c>
      <c r="K20" s="6" t="s">
        <v>1069</v>
      </c>
      <c r="L20" s="6"/>
      <c r="M20" s="6">
        <v>19</v>
      </c>
      <c r="N20" s="6" t="s">
        <v>1029</v>
      </c>
      <c r="O20" s="6" t="s">
        <v>1681</v>
      </c>
      <c r="P20" s="6" t="s">
        <v>1682</v>
      </c>
      <c r="Q20" s="6" t="s">
        <v>1683</v>
      </c>
      <c r="R20" s="6" t="s">
        <v>1684</v>
      </c>
      <c r="S20" s="6" t="s">
        <v>1685</v>
      </c>
      <c r="T20" s="6" t="s">
        <v>1686</v>
      </c>
      <c r="U20" s="6" t="s">
        <v>1687</v>
      </c>
      <c r="V20" s="6" t="s">
        <v>1688</v>
      </c>
      <c r="Y20" s="39" t="s">
        <v>913</v>
      </c>
      <c r="Z20" s="39" t="s">
        <v>2318</v>
      </c>
      <c r="AA20" s="39" t="s">
        <v>2908</v>
      </c>
      <c r="AB20" s="39" t="s">
        <v>2908</v>
      </c>
      <c r="AC20" s="39" t="s">
        <v>2908</v>
      </c>
      <c r="AD20" s="39" t="s">
        <v>2908</v>
      </c>
      <c r="AE20" s="39" t="s">
        <v>2908</v>
      </c>
      <c r="AF20" s="39" t="s">
        <v>2908</v>
      </c>
      <c r="AG20" s="39" t="s">
        <v>2908</v>
      </c>
      <c r="AH20" s="39" t="s">
        <v>2908</v>
      </c>
      <c r="AJ20" t="e">
        <f t="shared" si="2"/>
        <v>#N/A</v>
      </c>
      <c r="AK20" t="e">
        <f t="shared" si="3"/>
        <v>#N/A</v>
      </c>
      <c r="AL20" t="e">
        <f t="shared" si="4"/>
        <v>#N/A</v>
      </c>
      <c r="AM20" t="e">
        <f t="shared" si="5"/>
        <v>#N/A</v>
      </c>
      <c r="AN20" t="e">
        <f t="shared" si="6"/>
        <v>#N/A</v>
      </c>
      <c r="AO20" t="e">
        <f t="shared" si="7"/>
        <v>#N/A</v>
      </c>
      <c r="AP20" t="e">
        <f t="shared" si="8"/>
        <v>#N/A</v>
      </c>
      <c r="AQ20" t="e">
        <f t="shared" si="9"/>
        <v>#N/A</v>
      </c>
      <c r="AS20">
        <v>1000</v>
      </c>
      <c r="AT20">
        <v>1000</v>
      </c>
      <c r="AU20">
        <v>1000</v>
      </c>
      <c r="AV20">
        <v>1000</v>
      </c>
      <c r="AW20">
        <v>1000</v>
      </c>
      <c r="AX20">
        <v>1000</v>
      </c>
      <c r="AY20">
        <v>1000</v>
      </c>
      <c r="AZ20">
        <v>1000</v>
      </c>
      <c r="BB20" t="e">
        <f t="shared" si="10"/>
        <v>#N/A</v>
      </c>
      <c r="BC20" t="e">
        <f t="shared" si="11"/>
        <v>#N/A</v>
      </c>
      <c r="BD20" t="e">
        <f t="shared" si="12"/>
        <v>#N/A</v>
      </c>
      <c r="BE20" t="e">
        <f t="shared" si="13"/>
        <v>#N/A</v>
      </c>
      <c r="BF20" t="e">
        <f t="shared" si="14"/>
        <v>#N/A</v>
      </c>
      <c r="BG20" t="e">
        <f t="shared" si="15"/>
        <v>#N/A</v>
      </c>
      <c r="BH20" t="e">
        <f t="shared" si="16"/>
        <v>#N/A</v>
      </c>
      <c r="BI20" t="e">
        <f t="shared" si="17"/>
        <v>#N/A</v>
      </c>
    </row>
    <row r="21" spans="1:61" ht="55.8" thickBot="1" x14ac:dyDescent="0.3">
      <c r="A21" s="10">
        <v>20</v>
      </c>
      <c r="B21" s="6" t="s">
        <v>990</v>
      </c>
      <c r="C21" s="6" t="s">
        <v>1500</v>
      </c>
      <c r="D21" s="6" t="s">
        <v>1069</v>
      </c>
      <c r="E21" s="6">
        <v>0</v>
      </c>
      <c r="F21" s="6" t="s">
        <v>1069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/>
      <c r="M21" s="6">
        <v>20</v>
      </c>
      <c r="N21" s="6" t="s">
        <v>1137</v>
      </c>
      <c r="O21" s="6" t="s">
        <v>1689</v>
      </c>
      <c r="P21" s="6" t="s">
        <v>1690</v>
      </c>
      <c r="Q21" s="6" t="s">
        <v>1691</v>
      </c>
      <c r="R21" s="6" t="s">
        <v>1692</v>
      </c>
      <c r="S21" s="6" t="s">
        <v>1693</v>
      </c>
      <c r="T21" s="6" t="s">
        <v>1694</v>
      </c>
      <c r="U21" s="6" t="s">
        <v>1695</v>
      </c>
      <c r="V21" s="6" t="s">
        <v>1583</v>
      </c>
      <c r="Y21" s="39" t="s">
        <v>977</v>
      </c>
      <c r="Z21" s="39" t="s">
        <v>2362</v>
      </c>
      <c r="AA21" s="39" t="s">
        <v>2908</v>
      </c>
      <c r="AB21" s="39" t="s">
        <v>2908</v>
      </c>
      <c r="AC21" s="39" t="s">
        <v>2908</v>
      </c>
      <c r="AD21" s="39" t="s">
        <v>2908</v>
      </c>
      <c r="AE21" s="39" t="s">
        <v>2908</v>
      </c>
      <c r="AF21" s="39" t="s">
        <v>2908</v>
      </c>
      <c r="AG21" s="39" t="s">
        <v>2908</v>
      </c>
      <c r="AH21" s="39" t="s">
        <v>2908</v>
      </c>
      <c r="AJ21" t="e">
        <f t="shared" si="2"/>
        <v>#N/A</v>
      </c>
      <c r="AK21" t="e">
        <f t="shared" si="3"/>
        <v>#N/A</v>
      </c>
      <c r="AL21" t="e">
        <f t="shared" si="4"/>
        <v>#N/A</v>
      </c>
      <c r="AM21" t="e">
        <f t="shared" si="5"/>
        <v>#N/A</v>
      </c>
      <c r="AN21" t="e">
        <f t="shared" si="6"/>
        <v>#N/A</v>
      </c>
      <c r="AO21" t="e">
        <f t="shared" si="7"/>
        <v>#N/A</v>
      </c>
      <c r="AP21" t="e">
        <f t="shared" si="8"/>
        <v>#N/A</v>
      </c>
      <c r="AQ21" t="e">
        <f t="shared" si="9"/>
        <v>#N/A</v>
      </c>
      <c r="AS21">
        <v>1000</v>
      </c>
      <c r="AT21">
        <v>1000</v>
      </c>
      <c r="AU21">
        <v>1000</v>
      </c>
      <c r="AV21">
        <v>1000</v>
      </c>
      <c r="AW21">
        <v>1000</v>
      </c>
      <c r="AX21">
        <v>1000</v>
      </c>
      <c r="AY21">
        <v>1000</v>
      </c>
      <c r="AZ21">
        <v>1000</v>
      </c>
      <c r="BB21" t="e">
        <f t="shared" si="10"/>
        <v>#N/A</v>
      </c>
      <c r="BC21" t="e">
        <f t="shared" si="11"/>
        <v>#N/A</v>
      </c>
      <c r="BD21" t="e">
        <f t="shared" si="12"/>
        <v>#N/A</v>
      </c>
      <c r="BE21" t="e">
        <f t="shared" si="13"/>
        <v>#N/A</v>
      </c>
      <c r="BF21" t="e">
        <f t="shared" si="14"/>
        <v>#N/A</v>
      </c>
      <c r="BG21" t="e">
        <f t="shared" si="15"/>
        <v>#N/A</v>
      </c>
      <c r="BH21" t="e">
        <f t="shared" si="16"/>
        <v>#N/A</v>
      </c>
      <c r="BI21" t="e">
        <f t="shared" si="17"/>
        <v>#N/A</v>
      </c>
    </row>
    <row r="22" spans="1:61" ht="42" thickBot="1" x14ac:dyDescent="0.3">
      <c r="A22" s="10">
        <v>21</v>
      </c>
      <c r="B22" s="6" t="s">
        <v>970</v>
      </c>
      <c r="C22" s="6" t="s">
        <v>1501</v>
      </c>
      <c r="D22" s="6">
        <v>14</v>
      </c>
      <c r="E22" s="6">
        <v>6</v>
      </c>
      <c r="F22" s="6">
        <v>14</v>
      </c>
      <c r="G22" s="6">
        <v>7</v>
      </c>
      <c r="H22" s="6">
        <v>23</v>
      </c>
      <c r="I22" s="6">
        <v>11</v>
      </c>
      <c r="J22" s="6">
        <v>18</v>
      </c>
      <c r="K22" s="6" t="s">
        <v>1069</v>
      </c>
      <c r="L22" s="6"/>
      <c r="M22" s="6">
        <v>21</v>
      </c>
      <c r="N22" s="6" t="s">
        <v>934</v>
      </c>
      <c r="O22" s="6" t="s">
        <v>1696</v>
      </c>
      <c r="P22" s="6" t="s">
        <v>1697</v>
      </c>
      <c r="Q22" s="6" t="s">
        <v>1698</v>
      </c>
      <c r="R22" s="6" t="s">
        <v>1699</v>
      </c>
      <c r="S22" s="6" t="s">
        <v>1700</v>
      </c>
      <c r="T22" s="6" t="s">
        <v>1904</v>
      </c>
      <c r="U22" s="6" t="s">
        <v>1701</v>
      </c>
      <c r="V22" s="6" t="s">
        <v>1702</v>
      </c>
      <c r="Y22" s="39" t="s">
        <v>745</v>
      </c>
      <c r="Z22" s="39" t="s">
        <v>2025</v>
      </c>
      <c r="AA22" s="39" t="s">
        <v>1568</v>
      </c>
      <c r="AB22" s="39" t="s">
        <v>1569</v>
      </c>
      <c r="AC22" s="39" t="s">
        <v>1570</v>
      </c>
      <c r="AD22" s="39" t="s">
        <v>1571</v>
      </c>
      <c r="AE22" s="39" t="s">
        <v>1572</v>
      </c>
      <c r="AF22" s="39" t="s">
        <v>1573</v>
      </c>
      <c r="AG22" s="39" t="s">
        <v>1574</v>
      </c>
      <c r="AH22" s="39" t="s">
        <v>1575</v>
      </c>
      <c r="AJ22" t="str">
        <f t="shared" si="2"/>
        <v xml:space="preserve">511 </v>
      </c>
      <c r="AK22" t="str">
        <f t="shared" si="3"/>
        <v xml:space="preserve">335 </v>
      </c>
      <c r="AL22" t="str">
        <f t="shared" si="4"/>
        <v xml:space="preserve">299 </v>
      </c>
      <c r="AM22" t="str">
        <f t="shared" si="5"/>
        <v xml:space="preserve">309 </v>
      </c>
      <c r="AN22" t="str">
        <f t="shared" si="6"/>
        <v xml:space="preserve">270 </v>
      </c>
      <c r="AO22" t="str">
        <f t="shared" si="7"/>
        <v xml:space="preserve">267 </v>
      </c>
      <c r="AP22" t="str">
        <f t="shared" si="8"/>
        <v xml:space="preserve">175 </v>
      </c>
      <c r="AQ22" t="str">
        <f t="shared" si="9"/>
        <v xml:space="preserve">124 </v>
      </c>
      <c r="AS22">
        <v>1000</v>
      </c>
      <c r="AT22">
        <v>1000</v>
      </c>
      <c r="AU22">
        <v>1000</v>
      </c>
      <c r="AV22">
        <v>1000</v>
      </c>
      <c r="AW22">
        <v>1000</v>
      </c>
      <c r="AX22">
        <v>1000</v>
      </c>
      <c r="AY22">
        <v>1000</v>
      </c>
      <c r="AZ22">
        <v>1000</v>
      </c>
      <c r="BB22">
        <f t="shared" si="10"/>
        <v>511000</v>
      </c>
      <c r="BC22">
        <f t="shared" si="11"/>
        <v>335000</v>
      </c>
      <c r="BD22">
        <f t="shared" si="12"/>
        <v>299000</v>
      </c>
      <c r="BE22">
        <f t="shared" si="13"/>
        <v>309000</v>
      </c>
      <c r="BF22">
        <f t="shared" si="14"/>
        <v>270000</v>
      </c>
      <c r="BG22">
        <f t="shared" si="15"/>
        <v>267000</v>
      </c>
      <c r="BH22">
        <f t="shared" si="16"/>
        <v>175000</v>
      </c>
      <c r="BI22">
        <f t="shared" si="17"/>
        <v>124000</v>
      </c>
    </row>
    <row r="23" spans="1:61" ht="42" thickBot="1" x14ac:dyDescent="0.3">
      <c r="A23" s="10">
        <v>22</v>
      </c>
      <c r="B23" s="6" t="s">
        <v>1125</v>
      </c>
      <c r="C23" s="6" t="s">
        <v>1502</v>
      </c>
      <c r="D23" s="6">
        <v>68</v>
      </c>
      <c r="E23" s="6">
        <v>42</v>
      </c>
      <c r="F23" s="6">
        <v>67</v>
      </c>
      <c r="G23" s="6">
        <v>82</v>
      </c>
      <c r="H23" s="6">
        <v>107</v>
      </c>
      <c r="I23" s="6">
        <v>159</v>
      </c>
      <c r="J23" s="6">
        <v>165</v>
      </c>
      <c r="K23" s="6">
        <v>195</v>
      </c>
      <c r="L23" s="6"/>
      <c r="M23" s="6">
        <v>22</v>
      </c>
      <c r="N23" s="6" t="s">
        <v>1498</v>
      </c>
      <c r="O23" s="6" t="s">
        <v>1165</v>
      </c>
      <c r="P23" s="6" t="s">
        <v>1165</v>
      </c>
      <c r="Q23" s="6" t="s">
        <v>1165</v>
      </c>
      <c r="R23" s="6" t="s">
        <v>1165</v>
      </c>
      <c r="S23" s="6" t="s">
        <v>1165</v>
      </c>
      <c r="T23" s="6" t="s">
        <v>1703</v>
      </c>
      <c r="U23" s="6" t="s">
        <v>1704</v>
      </c>
      <c r="V23" s="6" t="s">
        <v>1705</v>
      </c>
      <c r="Y23" s="39" t="s">
        <v>765</v>
      </c>
      <c r="Z23" s="39" t="s">
        <v>2916</v>
      </c>
      <c r="AA23" s="39" t="s">
        <v>1640</v>
      </c>
      <c r="AB23" s="39" t="s">
        <v>1641</v>
      </c>
      <c r="AC23" s="39" t="s">
        <v>1642</v>
      </c>
      <c r="AD23" s="39" t="s">
        <v>1643</v>
      </c>
      <c r="AE23" s="39" t="s">
        <v>8124</v>
      </c>
      <c r="AF23" s="39" t="s">
        <v>8125</v>
      </c>
      <c r="AG23" s="39" t="s">
        <v>1645</v>
      </c>
      <c r="AH23" s="39" t="s">
        <v>1646</v>
      </c>
      <c r="AJ23" t="str">
        <f t="shared" si="2"/>
        <v xml:space="preserve">164 </v>
      </c>
      <c r="AK23" t="str">
        <f t="shared" si="3"/>
        <v xml:space="preserve">206 </v>
      </c>
      <c r="AL23" t="str">
        <f t="shared" si="4"/>
        <v xml:space="preserve">230 </v>
      </c>
      <c r="AM23" t="str">
        <f t="shared" si="5"/>
        <v xml:space="preserve">288 </v>
      </c>
      <c r="AN23" t="str">
        <f t="shared" si="6"/>
        <v xml:space="preserve">286 </v>
      </c>
      <c r="AO23" t="str">
        <f t="shared" si="7"/>
        <v xml:space="preserve">373 </v>
      </c>
      <c r="AP23" t="str">
        <f t="shared" si="8"/>
        <v xml:space="preserve">274 </v>
      </c>
      <c r="AQ23" t="str">
        <f t="shared" si="9"/>
        <v xml:space="preserve">124 </v>
      </c>
      <c r="AS23">
        <v>1000</v>
      </c>
      <c r="AT23">
        <v>1000</v>
      </c>
      <c r="AU23">
        <v>1000</v>
      </c>
      <c r="AV23">
        <v>1000</v>
      </c>
      <c r="AW23">
        <v>1000</v>
      </c>
      <c r="AX23">
        <v>1000</v>
      </c>
      <c r="AY23">
        <v>1000</v>
      </c>
      <c r="AZ23">
        <v>1000</v>
      </c>
      <c r="BB23">
        <f t="shared" si="10"/>
        <v>164000</v>
      </c>
      <c r="BC23">
        <f t="shared" si="11"/>
        <v>206000</v>
      </c>
      <c r="BD23">
        <f t="shared" si="12"/>
        <v>230000</v>
      </c>
      <c r="BE23">
        <f t="shared" si="13"/>
        <v>288000</v>
      </c>
      <c r="BF23">
        <f t="shared" si="14"/>
        <v>286000</v>
      </c>
      <c r="BG23">
        <f t="shared" si="15"/>
        <v>373000</v>
      </c>
      <c r="BH23">
        <f t="shared" si="16"/>
        <v>274000</v>
      </c>
      <c r="BI23">
        <f t="shared" si="17"/>
        <v>124000</v>
      </c>
    </row>
    <row r="24" spans="1:61" ht="69.599999999999994" thickBot="1" x14ac:dyDescent="0.3">
      <c r="A24" s="10">
        <v>23</v>
      </c>
      <c r="B24" s="6" t="s">
        <v>996</v>
      </c>
      <c r="C24" s="6" t="s">
        <v>1503</v>
      </c>
      <c r="D24" s="6">
        <v>4</v>
      </c>
      <c r="E24" s="6">
        <v>1</v>
      </c>
      <c r="F24" s="6">
        <v>3</v>
      </c>
      <c r="G24" s="6">
        <v>2</v>
      </c>
      <c r="H24" s="6">
        <v>7</v>
      </c>
      <c r="I24" s="6" t="s">
        <v>1069</v>
      </c>
      <c r="J24" s="6">
        <v>8</v>
      </c>
      <c r="K24" s="6" t="s">
        <v>1069</v>
      </c>
      <c r="L24" s="6"/>
      <c r="M24" s="6">
        <v>23</v>
      </c>
      <c r="N24" s="6" t="s">
        <v>1706</v>
      </c>
      <c r="O24" s="6" t="s">
        <v>1707</v>
      </c>
      <c r="P24" s="6" t="s">
        <v>1708</v>
      </c>
      <c r="Q24" s="6" t="s">
        <v>1709</v>
      </c>
      <c r="R24" s="6" t="s">
        <v>1710</v>
      </c>
      <c r="S24" s="6" t="s">
        <v>1711</v>
      </c>
      <c r="T24" s="6" t="s">
        <v>1165</v>
      </c>
      <c r="U24" s="6" t="s">
        <v>1165</v>
      </c>
      <c r="V24" s="6" t="s">
        <v>1165</v>
      </c>
      <c r="Y24" s="39" t="s">
        <v>769</v>
      </c>
      <c r="Z24" s="39" t="s">
        <v>7862</v>
      </c>
      <c r="AA24" s="39" t="s">
        <v>1585</v>
      </c>
      <c r="AB24" s="39" t="s">
        <v>1586</v>
      </c>
      <c r="AC24" s="39" t="s">
        <v>1587</v>
      </c>
      <c r="AD24" s="39" t="s">
        <v>1588</v>
      </c>
      <c r="AE24" s="39" t="s">
        <v>1589</v>
      </c>
      <c r="AF24" s="39" t="s">
        <v>8126</v>
      </c>
      <c r="AG24" s="39" t="s">
        <v>1590</v>
      </c>
      <c r="AH24" s="39" t="s">
        <v>8127</v>
      </c>
      <c r="AJ24" t="str">
        <f t="shared" si="2"/>
        <v xml:space="preserve">372 </v>
      </c>
      <c r="AK24" t="str">
        <f t="shared" si="3"/>
        <v xml:space="preserve">226 </v>
      </c>
      <c r="AL24" t="str">
        <f t="shared" si="4"/>
        <v xml:space="preserve">196 </v>
      </c>
      <c r="AM24" t="str">
        <f t="shared" si="5"/>
        <v xml:space="preserve">202 </v>
      </c>
      <c r="AN24" t="str">
        <f t="shared" si="6"/>
        <v xml:space="preserve">188 </v>
      </c>
      <c r="AO24" t="str">
        <f t="shared" si="7"/>
        <v xml:space="preserve">170 </v>
      </c>
      <c r="AP24" t="str">
        <f t="shared" si="8"/>
        <v xml:space="preserve">118 </v>
      </c>
      <c r="AQ24" t="str">
        <f t="shared" si="9"/>
        <v xml:space="preserve">79.1 </v>
      </c>
      <c r="AS24">
        <v>1000</v>
      </c>
      <c r="AT24">
        <v>1000</v>
      </c>
      <c r="AU24">
        <v>1000</v>
      </c>
      <c r="AV24">
        <v>1000</v>
      </c>
      <c r="AW24">
        <v>1000</v>
      </c>
      <c r="AX24">
        <v>1000</v>
      </c>
      <c r="AY24">
        <v>1000</v>
      </c>
      <c r="AZ24">
        <v>1000</v>
      </c>
      <c r="BB24">
        <f t="shared" si="10"/>
        <v>372000</v>
      </c>
      <c r="BC24">
        <f t="shared" si="11"/>
        <v>226000</v>
      </c>
      <c r="BD24">
        <f t="shared" si="12"/>
        <v>196000</v>
      </c>
      <c r="BE24">
        <f t="shared" si="13"/>
        <v>202000</v>
      </c>
      <c r="BF24">
        <f t="shared" si="14"/>
        <v>188000</v>
      </c>
      <c r="BG24">
        <f t="shared" si="15"/>
        <v>170000</v>
      </c>
      <c r="BH24">
        <f t="shared" si="16"/>
        <v>118000</v>
      </c>
      <c r="BI24">
        <f t="shared" si="17"/>
        <v>79100</v>
      </c>
    </row>
    <row r="25" spans="1:61" ht="42" thickBot="1" x14ac:dyDescent="0.3">
      <c r="A25" s="10">
        <v>24</v>
      </c>
      <c r="B25" s="6" t="s">
        <v>753</v>
      </c>
      <c r="C25" s="6" t="s">
        <v>1444</v>
      </c>
      <c r="D25" s="6">
        <v>8</v>
      </c>
      <c r="E25" s="6">
        <v>7</v>
      </c>
      <c r="F25" s="6">
        <v>13</v>
      </c>
      <c r="G25" s="6">
        <v>21</v>
      </c>
      <c r="H25" s="6">
        <v>26</v>
      </c>
      <c r="I25" s="6">
        <v>49</v>
      </c>
      <c r="J25" s="6">
        <v>63</v>
      </c>
      <c r="K25" s="6">
        <v>72</v>
      </c>
      <c r="L25" s="6"/>
      <c r="M25" s="6">
        <v>24</v>
      </c>
      <c r="N25" s="6" t="s">
        <v>990</v>
      </c>
      <c r="O25" s="6" t="s">
        <v>1712</v>
      </c>
      <c r="P25" s="6" t="s">
        <v>1165</v>
      </c>
      <c r="Q25" s="6" t="s">
        <v>1713</v>
      </c>
      <c r="R25" s="6" t="s">
        <v>1165</v>
      </c>
      <c r="S25" s="6" t="s">
        <v>1165</v>
      </c>
      <c r="T25" s="6" t="s">
        <v>1165</v>
      </c>
      <c r="U25" s="6" t="s">
        <v>1165</v>
      </c>
      <c r="V25" s="6" t="s">
        <v>1165</v>
      </c>
      <c r="Y25" s="39" t="s">
        <v>705</v>
      </c>
      <c r="Z25" s="39" t="s">
        <v>2918</v>
      </c>
      <c r="AA25" s="39" t="s">
        <v>2908</v>
      </c>
      <c r="AB25" s="39" t="s">
        <v>2908</v>
      </c>
      <c r="AC25" s="39" t="s">
        <v>2908</v>
      </c>
      <c r="AD25" s="39" t="s">
        <v>2908</v>
      </c>
      <c r="AE25" s="39" t="s">
        <v>2908</v>
      </c>
      <c r="AF25" s="39" t="s">
        <v>2908</v>
      </c>
      <c r="AG25" s="39" t="s">
        <v>2908</v>
      </c>
      <c r="AH25" s="39" t="s">
        <v>2908</v>
      </c>
      <c r="AJ25" t="e">
        <f t="shared" si="2"/>
        <v>#N/A</v>
      </c>
      <c r="AK25" t="e">
        <f t="shared" si="3"/>
        <v>#N/A</v>
      </c>
      <c r="AL25" t="e">
        <f t="shared" si="4"/>
        <v>#N/A</v>
      </c>
      <c r="AM25" t="e">
        <f t="shared" si="5"/>
        <v>#N/A</v>
      </c>
      <c r="AN25" t="e">
        <f t="shared" si="6"/>
        <v>#N/A</v>
      </c>
      <c r="AO25" t="e">
        <f t="shared" si="7"/>
        <v>#N/A</v>
      </c>
      <c r="AP25" t="e">
        <f t="shared" si="8"/>
        <v>#N/A</v>
      </c>
      <c r="AQ25" t="e">
        <f t="shared" si="9"/>
        <v>#N/A</v>
      </c>
      <c r="AS25">
        <v>1000</v>
      </c>
      <c r="AT25">
        <v>1000</v>
      </c>
      <c r="AU25">
        <v>1000</v>
      </c>
      <c r="AV25">
        <v>1000</v>
      </c>
      <c r="AW25">
        <v>1000</v>
      </c>
      <c r="AX25">
        <v>1000</v>
      </c>
      <c r="AY25">
        <v>1000</v>
      </c>
      <c r="AZ25">
        <v>1000</v>
      </c>
      <c r="BB25" t="e">
        <f t="shared" si="10"/>
        <v>#N/A</v>
      </c>
      <c r="BC25" t="e">
        <f t="shared" si="11"/>
        <v>#N/A</v>
      </c>
      <c r="BD25" t="e">
        <f t="shared" si="12"/>
        <v>#N/A</v>
      </c>
      <c r="BE25" t="e">
        <f t="shared" si="13"/>
        <v>#N/A</v>
      </c>
      <c r="BF25" t="e">
        <f t="shared" si="14"/>
        <v>#N/A</v>
      </c>
      <c r="BG25" t="e">
        <f t="shared" si="15"/>
        <v>#N/A</v>
      </c>
      <c r="BH25" t="e">
        <f t="shared" si="16"/>
        <v>#N/A</v>
      </c>
      <c r="BI25" t="e">
        <f t="shared" si="17"/>
        <v>#N/A</v>
      </c>
    </row>
    <row r="26" spans="1:61" ht="80.400000000000006" thickBot="1" x14ac:dyDescent="0.3">
      <c r="A26" s="10">
        <v>25</v>
      </c>
      <c r="B26" s="6" t="s">
        <v>1504</v>
      </c>
      <c r="C26" s="6" t="s">
        <v>1505</v>
      </c>
      <c r="D26" s="6">
        <v>3</v>
      </c>
      <c r="E26" s="6">
        <v>2</v>
      </c>
      <c r="F26" s="6">
        <v>3</v>
      </c>
      <c r="G26" s="6">
        <v>4</v>
      </c>
      <c r="H26" s="6">
        <v>5</v>
      </c>
      <c r="I26" s="6">
        <v>9</v>
      </c>
      <c r="J26" s="6">
        <v>8</v>
      </c>
      <c r="K26" s="6">
        <v>11</v>
      </c>
      <c r="L26" s="6"/>
      <c r="M26" s="6">
        <v>25</v>
      </c>
      <c r="N26" s="6" t="s">
        <v>1714</v>
      </c>
      <c r="O26" s="6" t="s">
        <v>1715</v>
      </c>
      <c r="P26" s="6" t="s">
        <v>1716</v>
      </c>
      <c r="Q26" s="6" t="s">
        <v>1717</v>
      </c>
      <c r="R26" s="6" t="s">
        <v>1718</v>
      </c>
      <c r="S26" s="6" t="s">
        <v>1719</v>
      </c>
      <c r="T26" s="6" t="s">
        <v>1720</v>
      </c>
      <c r="U26" s="6" t="s">
        <v>1721</v>
      </c>
      <c r="V26" s="6" t="s">
        <v>1722</v>
      </c>
      <c r="Y26" s="39" t="s">
        <v>44</v>
      </c>
      <c r="Z26" s="39" t="s">
        <v>2179</v>
      </c>
      <c r="AA26" s="39" t="s">
        <v>2908</v>
      </c>
      <c r="AB26" s="39" t="s">
        <v>2908</v>
      </c>
      <c r="AC26" s="39" t="s">
        <v>2908</v>
      </c>
      <c r="AD26" s="39" t="s">
        <v>2908</v>
      </c>
      <c r="AE26" s="39" t="s">
        <v>2908</v>
      </c>
      <c r="AF26" s="39" t="s">
        <v>2908</v>
      </c>
      <c r="AG26" s="39" t="s">
        <v>2908</v>
      </c>
      <c r="AH26" s="39" t="s">
        <v>2908</v>
      </c>
      <c r="AJ26" t="e">
        <f t="shared" si="2"/>
        <v>#N/A</v>
      </c>
      <c r="AK26" t="e">
        <f t="shared" si="3"/>
        <v>#N/A</v>
      </c>
      <c r="AL26" t="e">
        <f t="shared" si="4"/>
        <v>#N/A</v>
      </c>
      <c r="AM26" t="e">
        <f t="shared" si="5"/>
        <v>#N/A</v>
      </c>
      <c r="AN26" t="e">
        <f t="shared" si="6"/>
        <v>#N/A</v>
      </c>
      <c r="AO26" t="e">
        <f t="shared" si="7"/>
        <v>#N/A</v>
      </c>
      <c r="AP26" t="e">
        <f t="shared" si="8"/>
        <v>#N/A</v>
      </c>
      <c r="AQ26" t="e">
        <f t="shared" si="9"/>
        <v>#N/A</v>
      </c>
      <c r="AS26">
        <v>1000</v>
      </c>
      <c r="AT26">
        <v>1000</v>
      </c>
      <c r="AU26">
        <v>1000</v>
      </c>
      <c r="AV26">
        <v>1000</v>
      </c>
      <c r="AW26">
        <v>1000</v>
      </c>
      <c r="AX26">
        <v>1000</v>
      </c>
      <c r="AY26">
        <v>1000</v>
      </c>
      <c r="AZ26">
        <v>1000</v>
      </c>
      <c r="BB26" t="e">
        <f t="shared" si="10"/>
        <v>#N/A</v>
      </c>
      <c r="BC26" t="e">
        <f t="shared" si="11"/>
        <v>#N/A</v>
      </c>
      <c r="BD26" t="e">
        <f t="shared" si="12"/>
        <v>#N/A</v>
      </c>
      <c r="BE26" t="e">
        <f t="shared" si="13"/>
        <v>#N/A</v>
      </c>
      <c r="BF26" t="e">
        <f t="shared" si="14"/>
        <v>#N/A</v>
      </c>
      <c r="BG26" t="e">
        <f t="shared" si="15"/>
        <v>#N/A</v>
      </c>
      <c r="BH26" t="e">
        <f t="shared" si="16"/>
        <v>#N/A</v>
      </c>
      <c r="BI26" t="e">
        <f t="shared" si="17"/>
        <v>#N/A</v>
      </c>
    </row>
    <row r="27" spans="1:61" ht="46.2" thickBot="1" x14ac:dyDescent="0.3">
      <c r="A27" s="10">
        <v>26</v>
      </c>
      <c r="B27" s="6" t="s">
        <v>948</v>
      </c>
      <c r="C27" s="6" t="s">
        <v>1506</v>
      </c>
      <c r="D27" s="6">
        <v>5</v>
      </c>
      <c r="E27" s="6">
        <v>2</v>
      </c>
      <c r="F27" s="6">
        <v>4</v>
      </c>
      <c r="G27" s="6">
        <v>6</v>
      </c>
      <c r="H27" s="6">
        <v>12</v>
      </c>
      <c r="I27" s="6">
        <v>17</v>
      </c>
      <c r="J27" s="6">
        <v>18</v>
      </c>
      <c r="K27" s="6">
        <v>24</v>
      </c>
      <c r="L27" s="6"/>
      <c r="M27" s="6">
        <v>26</v>
      </c>
      <c r="N27" s="6" t="s">
        <v>970</v>
      </c>
      <c r="O27" s="6" t="s">
        <v>1723</v>
      </c>
      <c r="P27" s="6" t="s">
        <v>1724</v>
      </c>
      <c r="Q27" s="6" t="s">
        <v>1725</v>
      </c>
      <c r="R27" s="6" t="s">
        <v>1726</v>
      </c>
      <c r="S27" s="6" t="s">
        <v>1727</v>
      </c>
      <c r="T27" s="6" t="s">
        <v>1728</v>
      </c>
      <c r="U27" s="6" t="s">
        <v>1729</v>
      </c>
      <c r="V27" s="6" t="s">
        <v>1730</v>
      </c>
      <c r="Y27" s="39" t="s">
        <v>1056</v>
      </c>
      <c r="Z27" s="39" t="s">
        <v>2358</v>
      </c>
      <c r="AA27" s="39" t="s">
        <v>2908</v>
      </c>
      <c r="AB27" s="39" t="s">
        <v>2908</v>
      </c>
      <c r="AC27" s="39" t="s">
        <v>2908</v>
      </c>
      <c r="AD27" s="39" t="s">
        <v>2908</v>
      </c>
      <c r="AE27" s="39" t="s">
        <v>2908</v>
      </c>
      <c r="AF27" s="39" t="s">
        <v>2908</v>
      </c>
      <c r="AG27" s="39" t="s">
        <v>2908</v>
      </c>
      <c r="AH27" s="39" t="s">
        <v>2908</v>
      </c>
      <c r="AJ27" t="e">
        <f t="shared" si="2"/>
        <v>#N/A</v>
      </c>
      <c r="AK27" t="e">
        <f t="shared" si="3"/>
        <v>#N/A</v>
      </c>
      <c r="AL27" t="e">
        <f t="shared" si="4"/>
        <v>#N/A</v>
      </c>
      <c r="AM27" t="e">
        <f t="shared" si="5"/>
        <v>#N/A</v>
      </c>
      <c r="AN27" t="e">
        <f t="shared" si="6"/>
        <v>#N/A</v>
      </c>
      <c r="AO27" t="e">
        <f t="shared" si="7"/>
        <v>#N/A</v>
      </c>
      <c r="AP27" t="e">
        <f t="shared" si="8"/>
        <v>#N/A</v>
      </c>
      <c r="AQ27" t="e">
        <f t="shared" si="9"/>
        <v>#N/A</v>
      </c>
      <c r="AS27">
        <v>1000</v>
      </c>
      <c r="AT27">
        <v>1000</v>
      </c>
      <c r="AU27">
        <v>1000</v>
      </c>
      <c r="AV27">
        <v>1000</v>
      </c>
      <c r="AW27">
        <v>1000</v>
      </c>
      <c r="AX27">
        <v>1000</v>
      </c>
      <c r="AY27">
        <v>1000</v>
      </c>
      <c r="AZ27">
        <v>1000</v>
      </c>
      <c r="BB27" t="e">
        <f t="shared" si="10"/>
        <v>#N/A</v>
      </c>
      <c r="BC27" t="e">
        <f t="shared" si="11"/>
        <v>#N/A</v>
      </c>
      <c r="BD27" t="e">
        <f t="shared" si="12"/>
        <v>#N/A</v>
      </c>
      <c r="BE27" t="e">
        <f t="shared" si="13"/>
        <v>#N/A</v>
      </c>
      <c r="BF27" t="e">
        <f t="shared" si="14"/>
        <v>#N/A</v>
      </c>
      <c r="BG27" t="e">
        <f t="shared" si="15"/>
        <v>#N/A</v>
      </c>
      <c r="BH27" t="e">
        <f t="shared" si="16"/>
        <v>#N/A</v>
      </c>
      <c r="BI27" t="e">
        <f t="shared" si="17"/>
        <v>#N/A</v>
      </c>
    </row>
    <row r="28" spans="1:61" ht="34.799999999999997" thickBot="1" x14ac:dyDescent="0.3">
      <c r="A28" s="10">
        <v>27</v>
      </c>
      <c r="B28" s="6" t="s">
        <v>1507</v>
      </c>
      <c r="C28" s="6" t="s">
        <v>1508</v>
      </c>
      <c r="D28" s="6" t="s">
        <v>1069</v>
      </c>
      <c r="E28" s="6" t="s">
        <v>1069</v>
      </c>
      <c r="F28" s="6" t="s">
        <v>1069</v>
      </c>
      <c r="G28" s="6" t="s">
        <v>1069</v>
      </c>
      <c r="H28" s="6" t="s">
        <v>1069</v>
      </c>
      <c r="I28" s="6" t="s">
        <v>1069</v>
      </c>
      <c r="J28" s="6" t="s">
        <v>1069</v>
      </c>
      <c r="K28" s="6" t="s">
        <v>1069</v>
      </c>
      <c r="L28" s="6"/>
      <c r="M28" s="6">
        <v>27</v>
      </c>
      <c r="N28" s="6" t="s">
        <v>1125</v>
      </c>
      <c r="O28" s="6" t="s">
        <v>1731</v>
      </c>
      <c r="P28" s="6" t="s">
        <v>1732</v>
      </c>
      <c r="Q28" s="6" t="s">
        <v>1733</v>
      </c>
      <c r="R28" s="6" t="s">
        <v>1734</v>
      </c>
      <c r="S28" s="6" t="s">
        <v>1735</v>
      </c>
      <c r="T28" s="6" t="s">
        <v>1736</v>
      </c>
      <c r="U28" s="6" t="s">
        <v>1737</v>
      </c>
      <c r="V28" s="6" t="s">
        <v>1738</v>
      </c>
      <c r="Y28" s="39" t="s">
        <v>7863</v>
      </c>
      <c r="Z28" s="39" t="s">
        <v>2359</v>
      </c>
      <c r="AA28" s="39" t="s">
        <v>1552</v>
      </c>
      <c r="AB28" s="39" t="s">
        <v>1553</v>
      </c>
      <c r="AC28" s="39" t="s">
        <v>1554</v>
      </c>
      <c r="AD28" s="39" t="s">
        <v>1555</v>
      </c>
      <c r="AE28" s="39" t="s">
        <v>1556</v>
      </c>
      <c r="AF28" s="39" t="s">
        <v>1557</v>
      </c>
      <c r="AG28" s="39" t="s">
        <v>1558</v>
      </c>
      <c r="AH28" s="39" t="s">
        <v>1559</v>
      </c>
      <c r="AJ28" t="str">
        <f t="shared" si="2"/>
        <v xml:space="preserve">136 </v>
      </c>
      <c r="AK28" t="str">
        <f t="shared" si="3"/>
        <v xml:space="preserve">42.6 </v>
      </c>
      <c r="AL28" t="str">
        <f t="shared" si="4"/>
        <v xml:space="preserve">29.8 </v>
      </c>
      <c r="AM28" t="str">
        <f t="shared" si="5"/>
        <v xml:space="preserve">25.2 </v>
      </c>
      <c r="AN28" t="str">
        <f t="shared" si="6"/>
        <v xml:space="preserve">20.8 </v>
      </c>
      <c r="AO28" t="str">
        <f t="shared" si="7"/>
        <v xml:space="preserve">17.3 </v>
      </c>
      <c r="AP28" t="str">
        <f t="shared" si="8"/>
        <v xml:space="preserve">10.4 </v>
      </c>
      <c r="AQ28" t="str">
        <f t="shared" si="9"/>
        <v xml:space="preserve">7.14 </v>
      </c>
      <c r="AS28">
        <v>1000</v>
      </c>
      <c r="AT28">
        <v>1000</v>
      </c>
      <c r="AU28">
        <v>1000</v>
      </c>
      <c r="AV28">
        <v>1000</v>
      </c>
      <c r="AW28">
        <v>1000</v>
      </c>
      <c r="AX28">
        <v>1000</v>
      </c>
      <c r="AY28">
        <v>1000</v>
      </c>
      <c r="AZ28">
        <v>1000</v>
      </c>
      <c r="BB28">
        <f t="shared" si="10"/>
        <v>136000</v>
      </c>
      <c r="BC28">
        <f t="shared" si="11"/>
        <v>42600</v>
      </c>
      <c r="BD28">
        <f t="shared" si="12"/>
        <v>29800</v>
      </c>
      <c r="BE28">
        <f t="shared" si="13"/>
        <v>25200</v>
      </c>
      <c r="BF28">
        <f t="shared" si="14"/>
        <v>20800</v>
      </c>
      <c r="BG28">
        <f t="shared" si="15"/>
        <v>17300</v>
      </c>
      <c r="BH28">
        <f t="shared" si="16"/>
        <v>10400</v>
      </c>
      <c r="BI28">
        <f t="shared" si="17"/>
        <v>7140</v>
      </c>
    </row>
    <row r="29" spans="1:61" ht="46.2" thickBot="1" x14ac:dyDescent="0.3">
      <c r="A29" s="10">
        <v>28</v>
      </c>
      <c r="B29" s="6" t="s">
        <v>1509</v>
      </c>
      <c r="C29" s="6" t="s">
        <v>1510</v>
      </c>
      <c r="D29" s="6" t="s">
        <v>1905</v>
      </c>
      <c r="E29" s="6" t="s">
        <v>1069</v>
      </c>
      <c r="F29" s="6" t="s">
        <v>1069</v>
      </c>
      <c r="G29" s="6" t="s">
        <v>1069</v>
      </c>
      <c r="H29" s="6" t="s">
        <v>1069</v>
      </c>
      <c r="I29" s="6" t="s">
        <v>1069</v>
      </c>
      <c r="J29" s="6" t="s">
        <v>1069</v>
      </c>
      <c r="K29" s="6" t="s">
        <v>1069</v>
      </c>
      <c r="L29" s="6"/>
      <c r="M29" s="6">
        <v>28</v>
      </c>
      <c r="N29" s="6" t="s">
        <v>996</v>
      </c>
      <c r="O29" s="6" t="s">
        <v>1739</v>
      </c>
      <c r="P29" s="6" t="s">
        <v>1740</v>
      </c>
      <c r="Q29" s="6" t="s">
        <v>1741</v>
      </c>
      <c r="R29" s="6" t="s">
        <v>1742</v>
      </c>
      <c r="S29" s="6" t="s">
        <v>1743</v>
      </c>
      <c r="T29" s="6" t="s">
        <v>1906</v>
      </c>
      <c r="U29" s="6" t="s">
        <v>1744</v>
      </c>
      <c r="V29" s="6" t="s">
        <v>1583</v>
      </c>
      <c r="Y29" s="39" t="s">
        <v>737</v>
      </c>
      <c r="Z29" s="39" t="s">
        <v>2024</v>
      </c>
      <c r="AA29" s="39" t="s">
        <v>1834</v>
      </c>
      <c r="AB29" s="39" t="s">
        <v>1835</v>
      </c>
      <c r="AC29" s="39" t="s">
        <v>1836</v>
      </c>
      <c r="AD29" s="39" t="s">
        <v>1837</v>
      </c>
      <c r="AE29" s="39" t="s">
        <v>1838</v>
      </c>
      <c r="AF29" s="39" t="s">
        <v>1839</v>
      </c>
      <c r="AG29" s="39" t="s">
        <v>1840</v>
      </c>
      <c r="AH29" s="39" t="s">
        <v>1841</v>
      </c>
      <c r="AJ29" t="str">
        <f t="shared" si="2"/>
        <v xml:space="preserve">113 </v>
      </c>
      <c r="AK29" t="str">
        <f t="shared" si="3"/>
        <v xml:space="preserve">57.1 </v>
      </c>
      <c r="AL29" t="str">
        <f t="shared" si="4"/>
        <v xml:space="preserve">103 </v>
      </c>
      <c r="AM29" t="str">
        <f t="shared" si="5"/>
        <v xml:space="preserve">130 </v>
      </c>
      <c r="AN29" t="str">
        <f t="shared" si="6"/>
        <v xml:space="preserve">175 </v>
      </c>
      <c r="AO29" t="str">
        <f t="shared" si="7"/>
        <v xml:space="preserve">221 </v>
      </c>
      <c r="AP29" t="str">
        <f t="shared" si="8"/>
        <v xml:space="preserve">187 </v>
      </c>
      <c r="AQ29" t="str">
        <f t="shared" si="9"/>
        <v xml:space="preserve">200 </v>
      </c>
      <c r="AS29">
        <v>1000</v>
      </c>
      <c r="AT29">
        <v>1000</v>
      </c>
      <c r="AU29">
        <v>1000</v>
      </c>
      <c r="AV29">
        <v>1000</v>
      </c>
      <c r="AW29">
        <v>1000</v>
      </c>
      <c r="AX29">
        <v>1000</v>
      </c>
      <c r="AY29">
        <v>1000</v>
      </c>
      <c r="AZ29">
        <v>1000</v>
      </c>
      <c r="BB29">
        <f t="shared" si="10"/>
        <v>113000</v>
      </c>
      <c r="BC29">
        <f t="shared" si="11"/>
        <v>57100</v>
      </c>
      <c r="BD29">
        <f t="shared" si="12"/>
        <v>103000</v>
      </c>
      <c r="BE29">
        <f t="shared" si="13"/>
        <v>130000</v>
      </c>
      <c r="BF29">
        <f t="shared" si="14"/>
        <v>175000</v>
      </c>
      <c r="BG29">
        <f t="shared" si="15"/>
        <v>221000</v>
      </c>
      <c r="BH29">
        <f t="shared" si="16"/>
        <v>187000</v>
      </c>
      <c r="BI29">
        <f t="shared" si="17"/>
        <v>200000</v>
      </c>
    </row>
    <row r="30" spans="1:61" ht="97.2" thickBot="1" x14ac:dyDescent="0.3">
      <c r="A30" s="10">
        <v>29</v>
      </c>
      <c r="B30" s="6" t="s">
        <v>1258</v>
      </c>
      <c r="C30" s="6" t="s">
        <v>1511</v>
      </c>
      <c r="D30" s="6">
        <v>17</v>
      </c>
      <c r="E30" s="6">
        <v>7</v>
      </c>
      <c r="F30" s="6">
        <v>14</v>
      </c>
      <c r="G30" s="6">
        <v>19</v>
      </c>
      <c r="H30" s="6">
        <v>29</v>
      </c>
      <c r="I30" s="6">
        <v>46</v>
      </c>
      <c r="J30" s="6">
        <v>56</v>
      </c>
      <c r="K30" s="6">
        <v>76</v>
      </c>
      <c r="L30" s="6"/>
      <c r="M30" s="6">
        <v>29</v>
      </c>
      <c r="N30" s="6" t="s">
        <v>753</v>
      </c>
      <c r="O30" s="6" t="s">
        <v>1745</v>
      </c>
      <c r="P30" s="6" t="s">
        <v>1746</v>
      </c>
      <c r="Q30" s="6" t="s">
        <v>1747</v>
      </c>
      <c r="R30" s="6" t="s">
        <v>1748</v>
      </c>
      <c r="S30" s="6" t="s">
        <v>1749</v>
      </c>
      <c r="T30" s="6" t="s">
        <v>1750</v>
      </c>
      <c r="U30" s="6" t="s">
        <v>1751</v>
      </c>
      <c r="V30" s="6" t="s">
        <v>1752</v>
      </c>
      <c r="Y30" s="39" t="s">
        <v>7864</v>
      </c>
      <c r="Z30" s="39" t="s">
        <v>2892</v>
      </c>
      <c r="AA30" s="39" t="s">
        <v>2908</v>
      </c>
      <c r="AB30" s="39" t="s">
        <v>2908</v>
      </c>
      <c r="AC30" s="39" t="s">
        <v>2908</v>
      </c>
      <c r="AD30" s="39" t="s">
        <v>2908</v>
      </c>
      <c r="AE30" s="39" t="s">
        <v>2908</v>
      </c>
      <c r="AF30" s="39" t="s">
        <v>2908</v>
      </c>
      <c r="AG30" s="39" t="s">
        <v>2908</v>
      </c>
      <c r="AH30" s="39" t="s">
        <v>2908</v>
      </c>
      <c r="AJ30" t="e">
        <f t="shared" si="2"/>
        <v>#N/A</v>
      </c>
      <c r="AK30" t="e">
        <f t="shared" si="3"/>
        <v>#N/A</v>
      </c>
      <c r="AL30" t="e">
        <f t="shared" si="4"/>
        <v>#N/A</v>
      </c>
      <c r="AM30" t="e">
        <f t="shared" si="5"/>
        <v>#N/A</v>
      </c>
      <c r="AN30" t="e">
        <f t="shared" si="6"/>
        <v>#N/A</v>
      </c>
      <c r="AO30" t="e">
        <f t="shared" si="7"/>
        <v>#N/A</v>
      </c>
      <c r="AP30" t="e">
        <f t="shared" si="8"/>
        <v>#N/A</v>
      </c>
      <c r="AQ30" t="e">
        <f t="shared" si="9"/>
        <v>#N/A</v>
      </c>
      <c r="AS30">
        <v>1000</v>
      </c>
      <c r="AT30">
        <v>1000</v>
      </c>
      <c r="AU30">
        <v>1000</v>
      </c>
      <c r="AV30">
        <v>1000</v>
      </c>
      <c r="AW30">
        <v>1000</v>
      </c>
      <c r="AX30">
        <v>1000</v>
      </c>
      <c r="AY30">
        <v>1000</v>
      </c>
      <c r="AZ30">
        <v>1000</v>
      </c>
      <c r="BB30" t="e">
        <f t="shared" si="10"/>
        <v>#N/A</v>
      </c>
      <c r="BC30" t="e">
        <f t="shared" si="11"/>
        <v>#N/A</v>
      </c>
      <c r="BD30" t="e">
        <f t="shared" si="12"/>
        <v>#N/A</v>
      </c>
      <c r="BE30" t="e">
        <f t="shared" si="13"/>
        <v>#N/A</v>
      </c>
      <c r="BF30" t="e">
        <f t="shared" si="14"/>
        <v>#N/A</v>
      </c>
      <c r="BG30" t="e">
        <f t="shared" si="15"/>
        <v>#N/A</v>
      </c>
      <c r="BH30" t="e">
        <f t="shared" si="16"/>
        <v>#N/A</v>
      </c>
      <c r="BI30" t="e">
        <f t="shared" si="17"/>
        <v>#N/A</v>
      </c>
    </row>
    <row r="31" spans="1:61" ht="34.799999999999997" thickBot="1" x14ac:dyDescent="0.3">
      <c r="A31" s="10">
        <v>30</v>
      </c>
      <c r="B31" s="6" t="s">
        <v>785</v>
      </c>
      <c r="C31" s="6" t="s">
        <v>1512</v>
      </c>
      <c r="D31" s="6">
        <v>12</v>
      </c>
      <c r="E31" s="6">
        <v>12</v>
      </c>
      <c r="F31" s="6">
        <v>19</v>
      </c>
      <c r="G31" s="6">
        <v>28</v>
      </c>
      <c r="H31" s="6">
        <v>52</v>
      </c>
      <c r="I31" s="6">
        <v>71</v>
      </c>
      <c r="J31" s="6">
        <v>82</v>
      </c>
      <c r="K31" s="6">
        <v>73</v>
      </c>
      <c r="L31" s="6"/>
      <c r="M31" s="6">
        <v>30</v>
      </c>
      <c r="N31" s="6" t="s">
        <v>1753</v>
      </c>
      <c r="O31" s="6" t="s">
        <v>1754</v>
      </c>
      <c r="P31" s="6" t="s">
        <v>1755</v>
      </c>
      <c r="Q31" s="6" t="s">
        <v>1756</v>
      </c>
      <c r="R31" s="6" t="s">
        <v>1757</v>
      </c>
      <c r="S31" s="6" t="s">
        <v>1758</v>
      </c>
      <c r="T31" s="6" t="s">
        <v>1759</v>
      </c>
      <c r="U31" s="6" t="s">
        <v>1760</v>
      </c>
      <c r="V31" s="6" t="s">
        <v>1761</v>
      </c>
      <c r="Y31" s="39" t="s">
        <v>717</v>
      </c>
      <c r="Z31" s="39" t="s">
        <v>2021</v>
      </c>
      <c r="AA31" s="39" t="s">
        <v>1795</v>
      </c>
      <c r="AB31" s="39" t="s">
        <v>1796</v>
      </c>
      <c r="AC31" s="39" t="s">
        <v>1797</v>
      </c>
      <c r="AD31" s="39" t="s">
        <v>1798</v>
      </c>
      <c r="AE31" s="39" t="s">
        <v>1799</v>
      </c>
      <c r="AF31" s="39" t="s">
        <v>8128</v>
      </c>
      <c r="AG31" s="39" t="s">
        <v>1800</v>
      </c>
      <c r="AH31" s="39" t="s">
        <v>1801</v>
      </c>
      <c r="AJ31" t="str">
        <f t="shared" si="2"/>
        <v xml:space="preserve">6.49 </v>
      </c>
      <c r="AK31" t="str">
        <f t="shared" si="3"/>
        <v xml:space="preserve">2.91 </v>
      </c>
      <c r="AL31" t="str">
        <f t="shared" si="4"/>
        <v xml:space="preserve">5.46 </v>
      </c>
      <c r="AM31" t="str">
        <f t="shared" si="5"/>
        <v xml:space="preserve">7.43 </v>
      </c>
      <c r="AN31" t="str">
        <f t="shared" si="6"/>
        <v xml:space="preserve">11.2 </v>
      </c>
      <c r="AO31" t="str">
        <f t="shared" si="7"/>
        <v xml:space="preserve">18 </v>
      </c>
      <c r="AP31" t="str">
        <f t="shared" si="8"/>
        <v xml:space="preserve">21.6 </v>
      </c>
      <c r="AQ31" t="str">
        <f t="shared" si="9"/>
        <v xml:space="preserve">29.5 </v>
      </c>
      <c r="AS31">
        <v>1000</v>
      </c>
      <c r="AT31">
        <v>1000</v>
      </c>
      <c r="AU31">
        <v>1000</v>
      </c>
      <c r="AV31">
        <v>1000</v>
      </c>
      <c r="AW31">
        <v>1000</v>
      </c>
      <c r="AX31">
        <v>1000</v>
      </c>
      <c r="AY31">
        <v>1000</v>
      </c>
      <c r="AZ31">
        <v>1000</v>
      </c>
      <c r="BB31">
        <f t="shared" si="10"/>
        <v>6490</v>
      </c>
      <c r="BC31">
        <f t="shared" si="11"/>
        <v>2910</v>
      </c>
      <c r="BD31">
        <f t="shared" si="12"/>
        <v>5460</v>
      </c>
      <c r="BE31">
        <f t="shared" si="13"/>
        <v>7430</v>
      </c>
      <c r="BF31">
        <f t="shared" si="14"/>
        <v>11200</v>
      </c>
      <c r="BG31">
        <f t="shared" si="15"/>
        <v>18000</v>
      </c>
      <c r="BH31">
        <f t="shared" si="16"/>
        <v>21600</v>
      </c>
      <c r="BI31">
        <f t="shared" si="17"/>
        <v>29500</v>
      </c>
    </row>
    <row r="32" spans="1:61" ht="46.2" thickBot="1" x14ac:dyDescent="0.3">
      <c r="A32" s="10">
        <v>31</v>
      </c>
      <c r="B32" s="6" t="s">
        <v>1513</v>
      </c>
      <c r="C32" s="6" t="s">
        <v>1514</v>
      </c>
      <c r="D32" s="6">
        <v>0</v>
      </c>
      <c r="E32" s="6">
        <v>0</v>
      </c>
      <c r="F32" s="6">
        <v>0</v>
      </c>
      <c r="G32" s="6">
        <v>3</v>
      </c>
      <c r="H32" s="6">
        <v>3</v>
      </c>
      <c r="I32" s="6">
        <v>4</v>
      </c>
      <c r="J32" s="6">
        <v>5</v>
      </c>
      <c r="K32" s="6">
        <v>6</v>
      </c>
      <c r="L32" s="6"/>
      <c r="M32" s="6">
        <v>31</v>
      </c>
      <c r="N32" s="6" t="s">
        <v>948</v>
      </c>
      <c r="O32" s="6" t="s">
        <v>1762</v>
      </c>
      <c r="P32" s="6" t="s">
        <v>1763</v>
      </c>
      <c r="Q32" s="6" t="s">
        <v>1764</v>
      </c>
      <c r="R32" s="6" t="s">
        <v>1765</v>
      </c>
      <c r="S32" s="6" t="s">
        <v>1766</v>
      </c>
      <c r="T32" s="6" t="s">
        <v>1767</v>
      </c>
      <c r="U32" s="6" t="s">
        <v>1768</v>
      </c>
      <c r="V32" s="6" t="s">
        <v>1769</v>
      </c>
      <c r="Y32" s="39" t="s">
        <v>1034</v>
      </c>
      <c r="Z32" s="39" t="s">
        <v>2174</v>
      </c>
      <c r="AA32" s="39" t="s">
        <v>2908</v>
      </c>
      <c r="AB32" s="39" t="s">
        <v>2908</v>
      </c>
      <c r="AC32" s="39" t="s">
        <v>2908</v>
      </c>
      <c r="AD32" s="39" t="s">
        <v>2908</v>
      </c>
      <c r="AE32" s="39" t="s">
        <v>2908</v>
      </c>
      <c r="AF32" s="39" t="s">
        <v>2908</v>
      </c>
      <c r="AG32" s="39" t="s">
        <v>2908</v>
      </c>
      <c r="AH32" s="39" t="s">
        <v>2908</v>
      </c>
      <c r="AJ32" t="e">
        <f t="shared" si="2"/>
        <v>#N/A</v>
      </c>
      <c r="AK32" t="e">
        <f t="shared" si="3"/>
        <v>#N/A</v>
      </c>
      <c r="AL32" t="e">
        <f t="shared" si="4"/>
        <v>#N/A</v>
      </c>
      <c r="AM32" t="e">
        <f t="shared" si="5"/>
        <v>#N/A</v>
      </c>
      <c r="AN32" t="e">
        <f t="shared" si="6"/>
        <v>#N/A</v>
      </c>
      <c r="AO32" t="e">
        <f t="shared" si="7"/>
        <v>#N/A</v>
      </c>
      <c r="AP32" t="e">
        <f t="shared" si="8"/>
        <v>#N/A</v>
      </c>
      <c r="AQ32" t="e">
        <f t="shared" si="9"/>
        <v>#N/A</v>
      </c>
      <c r="AS32">
        <v>1000</v>
      </c>
      <c r="AT32">
        <v>1000</v>
      </c>
      <c r="AU32">
        <v>1000</v>
      </c>
      <c r="AV32">
        <v>1000</v>
      </c>
      <c r="AW32">
        <v>1000</v>
      </c>
      <c r="AX32">
        <v>1000</v>
      </c>
      <c r="AY32">
        <v>1000</v>
      </c>
      <c r="AZ32">
        <v>1000</v>
      </c>
      <c r="BB32" t="e">
        <f t="shared" si="10"/>
        <v>#N/A</v>
      </c>
      <c r="BC32" t="e">
        <f t="shared" si="11"/>
        <v>#N/A</v>
      </c>
      <c r="BD32" t="e">
        <f t="shared" si="12"/>
        <v>#N/A</v>
      </c>
      <c r="BE32" t="e">
        <f t="shared" si="13"/>
        <v>#N/A</v>
      </c>
      <c r="BF32" t="e">
        <f t="shared" si="14"/>
        <v>#N/A</v>
      </c>
      <c r="BG32" t="e">
        <f t="shared" si="15"/>
        <v>#N/A</v>
      </c>
      <c r="BH32" t="e">
        <f t="shared" si="16"/>
        <v>#N/A</v>
      </c>
      <c r="BI32" t="e">
        <f t="shared" si="17"/>
        <v>#N/A</v>
      </c>
    </row>
    <row r="33" spans="1:61" ht="42" thickBot="1" x14ac:dyDescent="0.3">
      <c r="A33" s="10">
        <v>32</v>
      </c>
      <c r="B33" s="6" t="s">
        <v>1515</v>
      </c>
      <c r="C33" s="6" t="s">
        <v>1516</v>
      </c>
      <c r="D33" s="6" t="s">
        <v>1069</v>
      </c>
      <c r="E33" s="6">
        <v>0</v>
      </c>
      <c r="F33" s="6">
        <v>1</v>
      </c>
      <c r="G33" s="6">
        <v>2</v>
      </c>
      <c r="H33" s="6">
        <v>2</v>
      </c>
      <c r="I33" s="6">
        <v>4</v>
      </c>
      <c r="J33" s="6">
        <v>5</v>
      </c>
      <c r="K33" s="6">
        <v>6</v>
      </c>
      <c r="L33" s="6"/>
      <c r="M33" s="6">
        <v>32</v>
      </c>
      <c r="N33" s="6" t="s">
        <v>1162</v>
      </c>
      <c r="O33" s="6" t="s">
        <v>1770</v>
      </c>
      <c r="P33" s="6" t="s">
        <v>1771</v>
      </c>
      <c r="Q33" s="6" t="s">
        <v>1772</v>
      </c>
      <c r="R33" s="6" t="s">
        <v>1773</v>
      </c>
      <c r="S33" s="6" t="s">
        <v>1774</v>
      </c>
      <c r="T33" s="6" t="s">
        <v>1775</v>
      </c>
      <c r="U33" s="6" t="s">
        <v>1776</v>
      </c>
      <c r="V33" s="6" t="s">
        <v>1777</v>
      </c>
      <c r="Y33" s="39" t="s">
        <v>1265</v>
      </c>
      <c r="Z33" s="39" t="s">
        <v>2180</v>
      </c>
      <c r="AA33" s="39" t="s">
        <v>1857</v>
      </c>
      <c r="AB33" s="39" t="s">
        <v>1858</v>
      </c>
      <c r="AC33" s="39" t="s">
        <v>1859</v>
      </c>
      <c r="AD33" s="39" t="s">
        <v>1860</v>
      </c>
      <c r="AE33" s="39" t="s">
        <v>1861</v>
      </c>
      <c r="AF33" s="39" t="s">
        <v>1862</v>
      </c>
      <c r="AG33" s="39" t="s">
        <v>1863</v>
      </c>
      <c r="AH33" s="39" t="s">
        <v>1864</v>
      </c>
      <c r="AJ33" t="str">
        <f t="shared" si="2"/>
        <v xml:space="preserve">0.593 </v>
      </c>
      <c r="AK33" t="str">
        <f t="shared" si="3"/>
        <v xml:space="preserve">0.246 </v>
      </c>
      <c r="AL33" t="str">
        <f t="shared" si="4"/>
        <v xml:space="preserve">0.767 </v>
      </c>
      <c r="AM33" t="str">
        <f t="shared" si="5"/>
        <v xml:space="preserve">1.15 </v>
      </c>
      <c r="AN33" t="str">
        <f t="shared" si="6"/>
        <v xml:space="preserve">1.6 </v>
      </c>
      <c r="AO33" t="str">
        <f t="shared" si="7"/>
        <v xml:space="preserve">3.16 </v>
      </c>
      <c r="AP33" t="str">
        <f t="shared" si="8"/>
        <v xml:space="preserve">4.59 </v>
      </c>
      <c r="AQ33" t="str">
        <f t="shared" si="9"/>
        <v xml:space="preserve">6.84 </v>
      </c>
      <c r="AS33">
        <v>1000</v>
      </c>
      <c r="AT33">
        <v>1000</v>
      </c>
      <c r="AU33">
        <v>1000</v>
      </c>
      <c r="AV33">
        <v>1000</v>
      </c>
      <c r="AW33">
        <v>1000</v>
      </c>
      <c r="AX33">
        <v>1000</v>
      </c>
      <c r="AY33">
        <v>1000</v>
      </c>
      <c r="AZ33">
        <v>1000</v>
      </c>
      <c r="BB33">
        <f t="shared" si="10"/>
        <v>593</v>
      </c>
      <c r="BC33">
        <f t="shared" si="11"/>
        <v>246</v>
      </c>
      <c r="BD33">
        <f t="shared" si="12"/>
        <v>767</v>
      </c>
      <c r="BE33">
        <f t="shared" si="13"/>
        <v>1150</v>
      </c>
      <c r="BF33">
        <f t="shared" si="14"/>
        <v>1600</v>
      </c>
      <c r="BG33">
        <f t="shared" si="15"/>
        <v>3160</v>
      </c>
      <c r="BH33">
        <f t="shared" si="16"/>
        <v>4590</v>
      </c>
      <c r="BI33">
        <f t="shared" si="17"/>
        <v>6840</v>
      </c>
    </row>
    <row r="34" spans="1:61" ht="46.2" thickBot="1" x14ac:dyDescent="0.3">
      <c r="A34" s="10">
        <v>33</v>
      </c>
      <c r="B34" s="6" t="s">
        <v>1032</v>
      </c>
      <c r="C34" s="6" t="s">
        <v>1517</v>
      </c>
      <c r="D34" s="6">
        <v>45</v>
      </c>
      <c r="E34" s="6">
        <v>23</v>
      </c>
      <c r="F34" s="6">
        <v>41</v>
      </c>
      <c r="G34" s="6">
        <v>52</v>
      </c>
      <c r="H34" s="6">
        <v>70</v>
      </c>
      <c r="I34" s="6">
        <v>88</v>
      </c>
      <c r="J34" s="6">
        <v>74</v>
      </c>
      <c r="K34" s="6">
        <v>79</v>
      </c>
      <c r="L34" s="6"/>
      <c r="M34" s="6">
        <v>33</v>
      </c>
      <c r="N34" s="6" t="s">
        <v>1778</v>
      </c>
      <c r="O34" s="6" t="s">
        <v>1779</v>
      </c>
      <c r="P34" s="6" t="s">
        <v>1780</v>
      </c>
      <c r="Q34" s="6" t="s">
        <v>1781</v>
      </c>
      <c r="R34" s="6" t="s">
        <v>1782</v>
      </c>
      <c r="S34" s="6" t="s">
        <v>1783</v>
      </c>
      <c r="T34" s="6" t="s">
        <v>1784</v>
      </c>
      <c r="U34" s="6" t="s">
        <v>1785</v>
      </c>
      <c r="V34" s="6" t="s">
        <v>1786</v>
      </c>
      <c r="Y34" s="39" t="s">
        <v>713</v>
      </c>
      <c r="Z34" s="39" t="s">
        <v>2020</v>
      </c>
      <c r="AA34" s="39" t="s">
        <v>1731</v>
      </c>
      <c r="AB34" s="39" t="s">
        <v>1732</v>
      </c>
      <c r="AC34" s="39" t="s">
        <v>1733</v>
      </c>
      <c r="AD34" s="39" t="s">
        <v>1734</v>
      </c>
      <c r="AE34" s="39" t="s">
        <v>1735</v>
      </c>
      <c r="AF34" s="39" t="s">
        <v>1736</v>
      </c>
      <c r="AG34" s="39" t="s">
        <v>1737</v>
      </c>
      <c r="AH34" s="39" t="s">
        <v>1738</v>
      </c>
      <c r="AJ34" t="str">
        <f t="shared" si="2"/>
        <v xml:space="preserve">65.3 </v>
      </c>
      <c r="AK34" t="str">
        <f t="shared" si="3"/>
        <v xml:space="preserve">40.4 </v>
      </c>
      <c r="AL34" t="str">
        <f t="shared" si="4"/>
        <v xml:space="preserve">64.9 </v>
      </c>
      <c r="AM34" t="str">
        <f t="shared" si="5"/>
        <v xml:space="preserve">78.9 </v>
      </c>
      <c r="AN34" t="str">
        <f t="shared" si="6"/>
        <v xml:space="preserve">103 </v>
      </c>
      <c r="AO34" t="str">
        <f t="shared" si="7"/>
        <v xml:space="preserve">153 </v>
      </c>
      <c r="AP34" t="str">
        <f t="shared" si="8"/>
        <v xml:space="preserve">159 </v>
      </c>
      <c r="AQ34" t="str">
        <f t="shared" si="9"/>
        <v xml:space="preserve">188 </v>
      </c>
      <c r="AS34">
        <v>1000</v>
      </c>
      <c r="AT34">
        <v>1000</v>
      </c>
      <c r="AU34">
        <v>1000</v>
      </c>
      <c r="AV34">
        <v>1000</v>
      </c>
      <c r="AW34">
        <v>1000</v>
      </c>
      <c r="AX34">
        <v>1000</v>
      </c>
      <c r="AY34">
        <v>1000</v>
      </c>
      <c r="AZ34">
        <v>1000</v>
      </c>
      <c r="BB34">
        <f t="shared" si="10"/>
        <v>65300</v>
      </c>
      <c r="BC34">
        <f t="shared" si="11"/>
        <v>40400</v>
      </c>
      <c r="BD34">
        <f t="shared" si="12"/>
        <v>64900.000000000007</v>
      </c>
      <c r="BE34">
        <f t="shared" si="13"/>
        <v>78900</v>
      </c>
      <c r="BF34">
        <f t="shared" si="14"/>
        <v>103000</v>
      </c>
      <c r="BG34">
        <f t="shared" si="15"/>
        <v>153000</v>
      </c>
      <c r="BH34">
        <f t="shared" si="16"/>
        <v>159000</v>
      </c>
      <c r="BI34">
        <f t="shared" si="17"/>
        <v>188000</v>
      </c>
    </row>
    <row r="35" spans="1:61" ht="46.2" thickBot="1" x14ac:dyDescent="0.3">
      <c r="A35" s="10">
        <v>34</v>
      </c>
      <c r="B35" s="6" t="s">
        <v>1132</v>
      </c>
      <c r="C35" s="6" t="s">
        <v>1518</v>
      </c>
      <c r="D35" s="6">
        <v>22</v>
      </c>
      <c r="E35" s="6">
        <v>21</v>
      </c>
      <c r="F35" s="6">
        <v>33</v>
      </c>
      <c r="G35" s="6">
        <v>41</v>
      </c>
      <c r="H35" s="6">
        <v>96</v>
      </c>
      <c r="I35" s="6">
        <v>111</v>
      </c>
      <c r="J35" s="6">
        <v>163</v>
      </c>
      <c r="K35" s="6">
        <v>138</v>
      </c>
      <c r="L35" s="6"/>
      <c r="M35" s="6">
        <v>34</v>
      </c>
      <c r="N35" s="6" t="s">
        <v>1509</v>
      </c>
      <c r="O35" s="6" t="s">
        <v>1787</v>
      </c>
      <c r="P35" s="6" t="s">
        <v>1788</v>
      </c>
      <c r="Q35" s="6" t="s">
        <v>1789</v>
      </c>
      <c r="R35" s="6" t="s">
        <v>1790</v>
      </c>
      <c r="S35" s="6" t="s">
        <v>1791</v>
      </c>
      <c r="T35" s="6" t="s">
        <v>1792</v>
      </c>
      <c r="U35" s="6" t="s">
        <v>1793</v>
      </c>
      <c r="V35" s="6" t="s">
        <v>1794</v>
      </c>
      <c r="Y35" s="39" t="s">
        <v>1029</v>
      </c>
      <c r="Z35" s="39" t="s">
        <v>2177</v>
      </c>
      <c r="AA35" s="39" t="s">
        <v>1681</v>
      </c>
      <c r="AB35" s="39" t="s">
        <v>1682</v>
      </c>
      <c r="AC35" s="39" t="s">
        <v>1683</v>
      </c>
      <c r="AD35" s="39" t="s">
        <v>1684</v>
      </c>
      <c r="AE35" s="39" t="s">
        <v>1685</v>
      </c>
      <c r="AF35" s="39" t="s">
        <v>1686</v>
      </c>
      <c r="AG35" s="39" t="s">
        <v>8129</v>
      </c>
      <c r="AH35" s="39" t="s">
        <v>1688</v>
      </c>
      <c r="AJ35" t="str">
        <f t="shared" si="2"/>
        <v xml:space="preserve">51.5 </v>
      </c>
      <c r="AK35" t="str">
        <f t="shared" si="3"/>
        <v xml:space="preserve">44.9 </v>
      </c>
      <c r="AL35" t="str">
        <f t="shared" si="4"/>
        <v xml:space="preserve">60.6 </v>
      </c>
      <c r="AM35" t="str">
        <f t="shared" si="5"/>
        <v xml:space="preserve">74.9 </v>
      </c>
      <c r="AN35" t="str">
        <f t="shared" si="6"/>
        <v xml:space="preserve">97.1 </v>
      </c>
      <c r="AO35" t="str">
        <f t="shared" si="7"/>
        <v xml:space="preserve">62.1 </v>
      </c>
      <c r="AP35" t="str">
        <f t="shared" si="8"/>
        <v xml:space="preserve">124 </v>
      </c>
      <c r="AQ35" t="str">
        <f t="shared" si="9"/>
        <v xml:space="preserve">148 </v>
      </c>
      <c r="AS35">
        <v>1000</v>
      </c>
      <c r="AT35">
        <v>1000</v>
      </c>
      <c r="AU35">
        <v>1000</v>
      </c>
      <c r="AV35">
        <v>1000</v>
      </c>
      <c r="AW35">
        <v>1000</v>
      </c>
      <c r="AX35">
        <v>1000</v>
      </c>
      <c r="AY35">
        <v>1000</v>
      </c>
      <c r="AZ35">
        <v>1000</v>
      </c>
      <c r="BB35">
        <f t="shared" si="10"/>
        <v>51500</v>
      </c>
      <c r="BC35">
        <f t="shared" si="11"/>
        <v>44900</v>
      </c>
      <c r="BD35">
        <f t="shared" si="12"/>
        <v>60600</v>
      </c>
      <c r="BE35">
        <f t="shared" si="13"/>
        <v>74900</v>
      </c>
      <c r="BF35">
        <f t="shared" si="14"/>
        <v>97100</v>
      </c>
      <c r="BG35">
        <f t="shared" si="15"/>
        <v>62100</v>
      </c>
      <c r="BH35">
        <f t="shared" si="16"/>
        <v>124000</v>
      </c>
      <c r="BI35">
        <f t="shared" si="17"/>
        <v>148000</v>
      </c>
    </row>
    <row r="36" spans="1:61" ht="55.8" thickBot="1" x14ac:dyDescent="0.3">
      <c r="A36" s="10">
        <v>35</v>
      </c>
      <c r="B36" s="6" t="s">
        <v>1519</v>
      </c>
      <c r="C36" s="6" t="s">
        <v>1520</v>
      </c>
      <c r="D36" s="6" t="s">
        <v>1905</v>
      </c>
      <c r="E36" s="6" t="s">
        <v>1069</v>
      </c>
      <c r="F36" s="6" t="s">
        <v>1069</v>
      </c>
      <c r="G36" s="6" t="s">
        <v>1069</v>
      </c>
      <c r="H36" s="6" t="s">
        <v>1069</v>
      </c>
      <c r="I36" s="6" t="s">
        <v>1069</v>
      </c>
      <c r="J36" s="6" t="s">
        <v>1069</v>
      </c>
      <c r="K36" s="6" t="s">
        <v>1069</v>
      </c>
      <c r="L36" s="6"/>
      <c r="M36" s="6">
        <v>35</v>
      </c>
      <c r="N36" s="6" t="s">
        <v>1258</v>
      </c>
      <c r="O36" s="6" t="s">
        <v>1795</v>
      </c>
      <c r="P36" s="6" t="s">
        <v>1796</v>
      </c>
      <c r="Q36" s="6" t="s">
        <v>1797</v>
      </c>
      <c r="R36" s="6" t="s">
        <v>1798</v>
      </c>
      <c r="S36" s="6" t="s">
        <v>1799</v>
      </c>
      <c r="T36" s="6" t="s">
        <v>1907</v>
      </c>
      <c r="U36" s="6" t="s">
        <v>1800</v>
      </c>
      <c r="V36" s="6" t="s">
        <v>1801</v>
      </c>
      <c r="Y36" s="39" t="s">
        <v>843</v>
      </c>
      <c r="Z36" s="39" t="s">
        <v>2175</v>
      </c>
      <c r="AA36" s="39" t="s">
        <v>1165</v>
      </c>
      <c r="AB36" s="39" t="s">
        <v>1165</v>
      </c>
      <c r="AC36" s="39" t="s">
        <v>1165</v>
      </c>
      <c r="AD36" s="39" t="s">
        <v>1822</v>
      </c>
      <c r="AE36" s="39" t="s">
        <v>1823</v>
      </c>
      <c r="AF36" s="39" t="s">
        <v>1824</v>
      </c>
      <c r="AG36" s="39" t="s">
        <v>1825</v>
      </c>
      <c r="AH36" s="39" t="s">
        <v>1826</v>
      </c>
      <c r="AJ36" t="e">
        <f t="shared" si="2"/>
        <v>#N/A</v>
      </c>
      <c r="AK36" t="e">
        <f t="shared" si="3"/>
        <v>#N/A</v>
      </c>
      <c r="AL36" t="e">
        <f t="shared" si="4"/>
        <v>#N/A</v>
      </c>
      <c r="AM36" t="str">
        <f t="shared" si="5"/>
        <v xml:space="preserve">0.412 </v>
      </c>
      <c r="AN36" t="str">
        <f t="shared" si="6"/>
        <v xml:space="preserve">0.393 </v>
      </c>
      <c r="AO36" t="str">
        <f t="shared" si="7"/>
        <v xml:space="preserve">0.525 </v>
      </c>
      <c r="AP36" t="str">
        <f t="shared" si="8"/>
        <v xml:space="preserve">0.675 </v>
      </c>
      <c r="AQ36" t="str">
        <f t="shared" si="9"/>
        <v xml:space="preserve">0.843 </v>
      </c>
      <c r="AS36">
        <v>1000</v>
      </c>
      <c r="AT36">
        <v>1000</v>
      </c>
      <c r="AU36">
        <v>1000</v>
      </c>
      <c r="AV36">
        <v>1000</v>
      </c>
      <c r="AW36">
        <v>1000</v>
      </c>
      <c r="AX36">
        <v>1000</v>
      </c>
      <c r="AY36">
        <v>1000</v>
      </c>
      <c r="AZ36">
        <v>1000</v>
      </c>
      <c r="BB36" t="e">
        <f t="shared" si="10"/>
        <v>#N/A</v>
      </c>
      <c r="BC36" t="e">
        <f t="shared" si="11"/>
        <v>#N/A</v>
      </c>
      <c r="BD36" t="e">
        <f t="shared" si="12"/>
        <v>#N/A</v>
      </c>
      <c r="BE36">
        <f t="shared" si="13"/>
        <v>412</v>
      </c>
      <c r="BF36">
        <f t="shared" si="14"/>
        <v>393</v>
      </c>
      <c r="BG36">
        <f t="shared" si="15"/>
        <v>525</v>
      </c>
      <c r="BH36">
        <f t="shared" si="16"/>
        <v>675</v>
      </c>
      <c r="BI36">
        <f t="shared" si="17"/>
        <v>843</v>
      </c>
    </row>
    <row r="37" spans="1:61" ht="42" thickBot="1" x14ac:dyDescent="0.3">
      <c r="A37" s="10">
        <v>36</v>
      </c>
      <c r="B37" s="6" t="s">
        <v>1265</v>
      </c>
      <c r="C37" s="6" t="s">
        <v>1521</v>
      </c>
      <c r="D37" s="6" t="s">
        <v>1069</v>
      </c>
      <c r="E37" s="6" t="s">
        <v>1069</v>
      </c>
      <c r="F37" s="6" t="s">
        <v>1069</v>
      </c>
      <c r="G37" s="6" t="s">
        <v>1069</v>
      </c>
      <c r="H37" s="6" t="s">
        <v>1069</v>
      </c>
      <c r="I37" s="6" t="s">
        <v>1069</v>
      </c>
      <c r="J37" s="6" t="s">
        <v>1069</v>
      </c>
      <c r="K37" s="6" t="s">
        <v>1069</v>
      </c>
      <c r="L37" s="6"/>
      <c r="M37" s="6">
        <v>36</v>
      </c>
      <c r="N37" s="6" t="s">
        <v>1043</v>
      </c>
      <c r="O37" s="6" t="s">
        <v>1165</v>
      </c>
      <c r="P37" s="6" t="s">
        <v>1802</v>
      </c>
      <c r="Q37" s="6" t="s">
        <v>1803</v>
      </c>
      <c r="R37" s="6" t="s">
        <v>1804</v>
      </c>
      <c r="S37" s="6" t="s">
        <v>1805</v>
      </c>
      <c r="T37" s="6" t="s">
        <v>1806</v>
      </c>
      <c r="U37" s="6" t="s">
        <v>1807</v>
      </c>
      <c r="V37" s="6" t="s">
        <v>1808</v>
      </c>
      <c r="Y37" s="39" t="s">
        <v>761</v>
      </c>
      <c r="Z37" s="39" t="s">
        <v>2919</v>
      </c>
      <c r="AA37" s="39" t="s">
        <v>1762</v>
      </c>
      <c r="AB37" s="39" t="s">
        <v>1763</v>
      </c>
      <c r="AC37" s="39" t="s">
        <v>1764</v>
      </c>
      <c r="AD37" s="39" t="s">
        <v>1765</v>
      </c>
      <c r="AE37" s="39" t="s">
        <v>1766</v>
      </c>
      <c r="AF37" s="39" t="s">
        <v>1767</v>
      </c>
      <c r="AG37" s="39" t="s">
        <v>1768</v>
      </c>
      <c r="AH37" s="39" t="s">
        <v>1769</v>
      </c>
      <c r="AJ37" t="str">
        <f t="shared" si="2"/>
        <v xml:space="preserve">4.93 </v>
      </c>
      <c r="AK37" t="str">
        <f t="shared" si="3"/>
        <v xml:space="preserve">2.5 </v>
      </c>
      <c r="AL37" t="str">
        <f t="shared" si="4"/>
        <v xml:space="preserve">4.71 </v>
      </c>
      <c r="AM37" t="str">
        <f t="shared" si="5"/>
        <v xml:space="preserve">6.34 </v>
      </c>
      <c r="AN37" t="str">
        <f t="shared" si="6"/>
        <v xml:space="preserve">12.3 </v>
      </c>
      <c r="AO37" t="str">
        <f t="shared" si="7"/>
        <v xml:space="preserve">18.2 </v>
      </c>
      <c r="AP37" t="str">
        <f t="shared" si="8"/>
        <v xml:space="preserve">18.8 </v>
      </c>
      <c r="AQ37" t="str">
        <f t="shared" si="9"/>
        <v xml:space="preserve">25.5 </v>
      </c>
      <c r="AS37">
        <v>1000</v>
      </c>
      <c r="AT37">
        <v>1000</v>
      </c>
      <c r="AU37">
        <v>1000</v>
      </c>
      <c r="AV37">
        <v>1000</v>
      </c>
      <c r="AW37">
        <v>1000</v>
      </c>
      <c r="AX37">
        <v>1000</v>
      </c>
      <c r="AY37">
        <v>1000</v>
      </c>
      <c r="AZ37">
        <v>1000</v>
      </c>
      <c r="BB37">
        <f t="shared" si="10"/>
        <v>4930</v>
      </c>
      <c r="BC37">
        <f t="shared" si="11"/>
        <v>2500</v>
      </c>
      <c r="BD37">
        <f t="shared" si="12"/>
        <v>4710</v>
      </c>
      <c r="BE37">
        <f t="shared" si="13"/>
        <v>6340</v>
      </c>
      <c r="BF37">
        <f t="shared" si="14"/>
        <v>12300</v>
      </c>
      <c r="BG37">
        <f t="shared" si="15"/>
        <v>18200</v>
      </c>
      <c r="BH37">
        <f t="shared" si="16"/>
        <v>18800</v>
      </c>
      <c r="BI37">
        <f t="shared" si="17"/>
        <v>25500</v>
      </c>
    </row>
    <row r="38" spans="1:61" ht="46.2" thickBot="1" x14ac:dyDescent="0.3">
      <c r="A38" s="10">
        <v>37</v>
      </c>
      <c r="B38" s="6" t="s">
        <v>1522</v>
      </c>
      <c r="C38" s="6" t="s">
        <v>1523</v>
      </c>
      <c r="D38" s="6">
        <v>0</v>
      </c>
      <c r="E38" s="6">
        <v>0</v>
      </c>
      <c r="F38" s="6">
        <v>2</v>
      </c>
      <c r="G38" s="6">
        <v>4</v>
      </c>
      <c r="H38" s="6">
        <v>4</v>
      </c>
      <c r="I38" s="6">
        <v>6</v>
      </c>
      <c r="J38" s="6">
        <v>0</v>
      </c>
      <c r="K38" s="6">
        <v>0</v>
      </c>
      <c r="L38" s="6"/>
      <c r="M38" s="6">
        <v>37</v>
      </c>
      <c r="N38" s="6" t="s">
        <v>1809</v>
      </c>
      <c r="O38" s="6" t="s">
        <v>1165</v>
      </c>
      <c r="P38" s="6" t="s">
        <v>1165</v>
      </c>
      <c r="Q38" s="6" t="s">
        <v>1165</v>
      </c>
      <c r="R38" s="6" t="s">
        <v>1810</v>
      </c>
      <c r="S38" s="6" t="s">
        <v>1165</v>
      </c>
      <c r="T38" s="6" t="s">
        <v>1811</v>
      </c>
      <c r="U38" s="6" t="s">
        <v>1812</v>
      </c>
      <c r="V38" s="6" t="s">
        <v>1813</v>
      </c>
      <c r="Y38" s="39" t="s">
        <v>753</v>
      </c>
      <c r="Z38" s="39" t="s">
        <v>2920</v>
      </c>
      <c r="AA38" s="39" t="s">
        <v>1745</v>
      </c>
      <c r="AB38" s="39" t="s">
        <v>1746</v>
      </c>
      <c r="AC38" s="39" t="s">
        <v>1747</v>
      </c>
      <c r="AD38" s="39" t="s">
        <v>1748</v>
      </c>
      <c r="AE38" s="39" t="s">
        <v>1749</v>
      </c>
      <c r="AF38" s="39" t="s">
        <v>1750</v>
      </c>
      <c r="AG38" s="39" t="s">
        <v>1751</v>
      </c>
      <c r="AH38" s="39" t="s">
        <v>1752</v>
      </c>
      <c r="AJ38" t="str">
        <f t="shared" si="2"/>
        <v xml:space="preserve">2.01 </v>
      </c>
      <c r="AK38" t="str">
        <f t="shared" si="3"/>
        <v xml:space="preserve">1.9 </v>
      </c>
      <c r="AL38" t="str">
        <f t="shared" si="4"/>
        <v xml:space="preserve">3.38 </v>
      </c>
      <c r="AM38" t="str">
        <f t="shared" si="5"/>
        <v xml:space="preserve">5.52 </v>
      </c>
      <c r="AN38" t="str">
        <f t="shared" si="6"/>
        <v xml:space="preserve">6.73 </v>
      </c>
      <c r="AO38" t="str">
        <f t="shared" si="7"/>
        <v xml:space="preserve">13 </v>
      </c>
      <c r="AP38" t="str">
        <f t="shared" si="8"/>
        <v xml:space="preserve">16.5 </v>
      </c>
      <c r="AQ38" t="str">
        <f t="shared" si="9"/>
        <v xml:space="preserve">18.8 </v>
      </c>
      <c r="AS38">
        <v>1000</v>
      </c>
      <c r="AT38">
        <v>1000</v>
      </c>
      <c r="AU38">
        <v>1000</v>
      </c>
      <c r="AV38">
        <v>1000</v>
      </c>
      <c r="AW38">
        <v>1000</v>
      </c>
      <c r="AX38">
        <v>1000</v>
      </c>
      <c r="AY38">
        <v>1000</v>
      </c>
      <c r="AZ38">
        <v>1000</v>
      </c>
      <c r="BB38">
        <f t="shared" si="10"/>
        <v>2009.9999999999998</v>
      </c>
      <c r="BC38">
        <f t="shared" si="11"/>
        <v>1900</v>
      </c>
      <c r="BD38">
        <f t="shared" si="12"/>
        <v>3380</v>
      </c>
      <c r="BE38">
        <f t="shared" si="13"/>
        <v>5520</v>
      </c>
      <c r="BF38">
        <f t="shared" si="14"/>
        <v>6730</v>
      </c>
      <c r="BG38">
        <f t="shared" si="15"/>
        <v>13000</v>
      </c>
      <c r="BH38">
        <f t="shared" si="16"/>
        <v>16500</v>
      </c>
      <c r="BI38">
        <f t="shared" si="17"/>
        <v>18800</v>
      </c>
    </row>
    <row r="39" spans="1:61" ht="42" thickBot="1" x14ac:dyDescent="0.3">
      <c r="A39" s="10">
        <v>38</v>
      </c>
      <c r="B39" s="6" t="s">
        <v>1524</v>
      </c>
      <c r="C39" s="6" t="s">
        <v>1525</v>
      </c>
      <c r="D39" s="6" t="s">
        <v>1069</v>
      </c>
      <c r="E39" s="6" t="s">
        <v>1069</v>
      </c>
      <c r="F39" s="6" t="s">
        <v>1069</v>
      </c>
      <c r="G39" s="6" t="s">
        <v>1069</v>
      </c>
      <c r="H39" s="6" t="s">
        <v>1069</v>
      </c>
      <c r="I39" s="6" t="s">
        <v>1069</v>
      </c>
      <c r="J39" s="6" t="s">
        <v>1069</v>
      </c>
      <c r="K39" s="6" t="s">
        <v>1069</v>
      </c>
      <c r="L39" s="6"/>
      <c r="M39" s="6">
        <v>38</v>
      </c>
      <c r="N39" s="6" t="s">
        <v>785</v>
      </c>
      <c r="O39" s="6" t="s">
        <v>1814</v>
      </c>
      <c r="P39" s="6" t="s">
        <v>1815</v>
      </c>
      <c r="Q39" s="6" t="s">
        <v>1816</v>
      </c>
      <c r="R39" s="6" t="s">
        <v>1817</v>
      </c>
      <c r="S39" s="6" t="s">
        <v>1818</v>
      </c>
      <c r="T39" s="6" t="s">
        <v>1819</v>
      </c>
      <c r="U39" s="6" t="s">
        <v>1820</v>
      </c>
      <c r="V39" s="6" t="s">
        <v>1821</v>
      </c>
      <c r="Y39" s="39" t="s">
        <v>920</v>
      </c>
      <c r="Z39" s="39" t="s">
        <v>2320</v>
      </c>
      <c r="AA39" s="39" t="s">
        <v>2908</v>
      </c>
      <c r="AB39" s="39" t="s">
        <v>2908</v>
      </c>
      <c r="AC39" s="39" t="s">
        <v>2908</v>
      </c>
      <c r="AD39" s="39" t="s">
        <v>2908</v>
      </c>
      <c r="AE39" s="39" t="s">
        <v>2908</v>
      </c>
      <c r="AF39" s="39" t="s">
        <v>2908</v>
      </c>
      <c r="AG39" s="39" t="s">
        <v>2908</v>
      </c>
      <c r="AH39" s="39" t="s">
        <v>2908</v>
      </c>
      <c r="AJ39" t="e">
        <f t="shared" si="2"/>
        <v>#N/A</v>
      </c>
      <c r="AK39" t="e">
        <f t="shared" si="3"/>
        <v>#N/A</v>
      </c>
      <c r="AL39" t="e">
        <f t="shared" si="4"/>
        <v>#N/A</v>
      </c>
      <c r="AM39" t="e">
        <f t="shared" si="5"/>
        <v>#N/A</v>
      </c>
      <c r="AN39" t="e">
        <f t="shared" si="6"/>
        <v>#N/A</v>
      </c>
      <c r="AO39" t="e">
        <f t="shared" si="7"/>
        <v>#N/A</v>
      </c>
      <c r="AP39" t="e">
        <f t="shared" si="8"/>
        <v>#N/A</v>
      </c>
      <c r="AQ39" t="e">
        <f t="shared" si="9"/>
        <v>#N/A</v>
      </c>
      <c r="AS39">
        <v>1000</v>
      </c>
      <c r="AT39">
        <v>1000</v>
      </c>
      <c r="AU39">
        <v>1000</v>
      </c>
      <c r="AV39">
        <v>1000</v>
      </c>
      <c r="AW39">
        <v>1000</v>
      </c>
      <c r="AX39">
        <v>1000</v>
      </c>
      <c r="AY39">
        <v>1000</v>
      </c>
      <c r="AZ39">
        <v>1000</v>
      </c>
      <c r="BB39" t="e">
        <f t="shared" si="10"/>
        <v>#N/A</v>
      </c>
      <c r="BC39" t="e">
        <f t="shared" si="11"/>
        <v>#N/A</v>
      </c>
      <c r="BD39" t="e">
        <f t="shared" si="12"/>
        <v>#N/A</v>
      </c>
      <c r="BE39" t="e">
        <f t="shared" si="13"/>
        <v>#N/A</v>
      </c>
      <c r="BF39" t="e">
        <f t="shared" si="14"/>
        <v>#N/A</v>
      </c>
      <c r="BG39" t="e">
        <f t="shared" si="15"/>
        <v>#N/A</v>
      </c>
      <c r="BH39" t="e">
        <f t="shared" si="16"/>
        <v>#N/A</v>
      </c>
      <c r="BI39" t="e">
        <f t="shared" si="17"/>
        <v>#N/A</v>
      </c>
    </row>
    <row r="40" spans="1:61" ht="46.2" thickBot="1" x14ac:dyDescent="0.3">
      <c r="A40" s="10">
        <v>39</v>
      </c>
      <c r="B40" s="6" t="s">
        <v>757</v>
      </c>
      <c r="C40" s="6" t="s">
        <v>1526</v>
      </c>
      <c r="D40" s="6">
        <v>113</v>
      </c>
      <c r="E40" s="6">
        <v>64</v>
      </c>
      <c r="F40" s="6">
        <v>90</v>
      </c>
      <c r="G40" s="6">
        <v>167</v>
      </c>
      <c r="H40" s="6">
        <v>255</v>
      </c>
      <c r="I40" s="6">
        <v>426</v>
      </c>
      <c r="J40" s="6">
        <v>502</v>
      </c>
      <c r="K40" s="6">
        <v>592</v>
      </c>
      <c r="L40" s="6"/>
      <c r="M40" s="6">
        <v>39</v>
      </c>
      <c r="N40" s="6" t="s">
        <v>1513</v>
      </c>
      <c r="O40" s="6" t="s">
        <v>1165</v>
      </c>
      <c r="P40" s="6" t="s">
        <v>1165</v>
      </c>
      <c r="Q40" s="6" t="s">
        <v>1165</v>
      </c>
      <c r="R40" s="6" t="s">
        <v>1822</v>
      </c>
      <c r="S40" s="6" t="s">
        <v>1823</v>
      </c>
      <c r="T40" s="6" t="s">
        <v>1824</v>
      </c>
      <c r="U40" s="6" t="s">
        <v>1825</v>
      </c>
      <c r="V40" s="6" t="s">
        <v>1826</v>
      </c>
      <c r="Y40" s="39" t="s">
        <v>1217</v>
      </c>
      <c r="Z40" s="39" t="s">
        <v>2857</v>
      </c>
      <c r="AA40" s="39" t="s">
        <v>1696</v>
      </c>
      <c r="AB40" s="39" t="s">
        <v>1697</v>
      </c>
      <c r="AC40" s="39" t="s">
        <v>1698</v>
      </c>
      <c r="AD40" s="39" t="s">
        <v>1699</v>
      </c>
      <c r="AE40" s="39" t="s">
        <v>1700</v>
      </c>
      <c r="AF40" s="39" t="s">
        <v>8130</v>
      </c>
      <c r="AG40" s="39" t="s">
        <v>1701</v>
      </c>
      <c r="AH40" s="39" t="s">
        <v>1702</v>
      </c>
      <c r="AJ40" t="str">
        <f t="shared" si="2"/>
        <v xml:space="preserve">16.8 </v>
      </c>
      <c r="AK40" t="str">
        <f t="shared" si="3"/>
        <v xml:space="preserve">11.6 </v>
      </c>
      <c r="AL40" t="str">
        <f t="shared" si="4"/>
        <v xml:space="preserve">24.4 </v>
      </c>
      <c r="AM40" t="str">
        <f t="shared" si="5"/>
        <v xml:space="preserve">42.7 </v>
      </c>
      <c r="AN40" t="str">
        <f t="shared" si="6"/>
        <v xml:space="preserve">60.4 </v>
      </c>
      <c r="AO40" t="str">
        <f t="shared" si="7"/>
        <v xml:space="preserve">110 </v>
      </c>
      <c r="AP40" t="str">
        <f t="shared" si="8"/>
        <v xml:space="preserve">123 </v>
      </c>
      <c r="AQ40" t="str">
        <f t="shared" si="9"/>
        <v xml:space="preserve">129 </v>
      </c>
      <c r="AS40">
        <v>1000</v>
      </c>
      <c r="AT40">
        <v>1000</v>
      </c>
      <c r="AU40">
        <v>1000</v>
      </c>
      <c r="AV40">
        <v>1000</v>
      </c>
      <c r="AW40">
        <v>1000</v>
      </c>
      <c r="AX40">
        <v>1000</v>
      </c>
      <c r="AY40">
        <v>1000</v>
      </c>
      <c r="AZ40">
        <v>1000</v>
      </c>
      <c r="BB40">
        <f t="shared" si="10"/>
        <v>16800</v>
      </c>
      <c r="BC40">
        <f t="shared" si="11"/>
        <v>11600</v>
      </c>
      <c r="BD40">
        <f t="shared" si="12"/>
        <v>24400</v>
      </c>
      <c r="BE40">
        <f t="shared" si="13"/>
        <v>42700</v>
      </c>
      <c r="BF40">
        <f t="shared" si="14"/>
        <v>60400</v>
      </c>
      <c r="BG40">
        <f t="shared" si="15"/>
        <v>110000</v>
      </c>
      <c r="BH40">
        <f t="shared" si="16"/>
        <v>123000</v>
      </c>
      <c r="BI40">
        <f t="shared" si="17"/>
        <v>129000</v>
      </c>
    </row>
    <row r="41" spans="1:61" ht="28.2" thickBot="1" x14ac:dyDescent="0.3">
      <c r="A41" s="10">
        <v>40</v>
      </c>
      <c r="B41" s="6" t="s">
        <v>1527</v>
      </c>
      <c r="C41" s="6" t="s">
        <v>1528</v>
      </c>
      <c r="D41" s="6">
        <v>8</v>
      </c>
      <c r="E41" s="6">
        <v>7</v>
      </c>
      <c r="F41" s="6">
        <v>7</v>
      </c>
      <c r="G41" s="6">
        <v>11</v>
      </c>
      <c r="H41" s="6">
        <v>18</v>
      </c>
      <c r="I41" s="6">
        <v>25</v>
      </c>
      <c r="J41" s="6">
        <v>29</v>
      </c>
      <c r="K41" s="6">
        <v>33</v>
      </c>
      <c r="L41" s="6"/>
      <c r="M41" s="6">
        <v>40</v>
      </c>
      <c r="N41" s="6" t="s">
        <v>1515</v>
      </c>
      <c r="O41" s="6" t="s">
        <v>1827</v>
      </c>
      <c r="P41" s="6" t="s">
        <v>1165</v>
      </c>
      <c r="Q41" s="6" t="s">
        <v>1828</v>
      </c>
      <c r="R41" s="6" t="s">
        <v>1829</v>
      </c>
      <c r="S41" s="6" t="s">
        <v>1830</v>
      </c>
      <c r="T41" s="6" t="s">
        <v>1831</v>
      </c>
      <c r="U41" s="6" t="s">
        <v>1832</v>
      </c>
      <c r="V41" s="6" t="s">
        <v>1833</v>
      </c>
      <c r="Y41" s="39" t="s">
        <v>1969</v>
      </c>
      <c r="Z41" s="39" t="s">
        <v>2921</v>
      </c>
      <c r="AA41" s="39" t="s">
        <v>2908</v>
      </c>
      <c r="AB41" s="39" t="s">
        <v>2908</v>
      </c>
      <c r="AC41" s="39" t="s">
        <v>2908</v>
      </c>
      <c r="AD41" s="39" t="s">
        <v>2908</v>
      </c>
      <c r="AE41" s="39" t="s">
        <v>2908</v>
      </c>
      <c r="AF41" s="39" t="s">
        <v>2908</v>
      </c>
      <c r="AG41" s="39" t="s">
        <v>2908</v>
      </c>
      <c r="AH41" s="39" t="s">
        <v>2908</v>
      </c>
      <c r="AJ41" t="e">
        <f t="shared" si="2"/>
        <v>#N/A</v>
      </c>
      <c r="AK41" t="e">
        <f t="shared" si="3"/>
        <v>#N/A</v>
      </c>
      <c r="AL41" t="e">
        <f t="shared" si="4"/>
        <v>#N/A</v>
      </c>
      <c r="AM41" t="e">
        <f t="shared" si="5"/>
        <v>#N/A</v>
      </c>
      <c r="AN41" t="e">
        <f t="shared" si="6"/>
        <v>#N/A</v>
      </c>
      <c r="AO41" t="e">
        <f t="shared" si="7"/>
        <v>#N/A</v>
      </c>
      <c r="AP41" t="e">
        <f t="shared" si="8"/>
        <v>#N/A</v>
      </c>
      <c r="AQ41" t="e">
        <f t="shared" si="9"/>
        <v>#N/A</v>
      </c>
      <c r="AS41">
        <v>1000</v>
      </c>
      <c r="AT41">
        <v>1000</v>
      </c>
      <c r="AU41">
        <v>1000</v>
      </c>
      <c r="AV41">
        <v>1000</v>
      </c>
      <c r="AW41">
        <v>1000</v>
      </c>
      <c r="AX41">
        <v>1000</v>
      </c>
      <c r="AY41">
        <v>1000</v>
      </c>
      <c r="AZ41">
        <v>1000</v>
      </c>
      <c r="BB41" t="e">
        <f t="shared" si="10"/>
        <v>#N/A</v>
      </c>
      <c r="BC41" t="e">
        <f t="shared" si="11"/>
        <v>#N/A</v>
      </c>
      <c r="BD41" t="e">
        <f t="shared" si="12"/>
        <v>#N/A</v>
      </c>
      <c r="BE41" t="e">
        <f t="shared" si="13"/>
        <v>#N/A</v>
      </c>
      <c r="BF41" t="e">
        <f t="shared" si="14"/>
        <v>#N/A</v>
      </c>
      <c r="BG41" t="e">
        <f t="shared" si="15"/>
        <v>#N/A</v>
      </c>
      <c r="BH41" t="e">
        <f t="shared" si="16"/>
        <v>#N/A</v>
      </c>
      <c r="BI41" t="e">
        <f t="shared" si="17"/>
        <v>#N/A</v>
      </c>
    </row>
    <row r="42" spans="1:61" ht="28.2" thickBot="1" x14ac:dyDescent="0.3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>
        <v>41</v>
      </c>
      <c r="N42" s="6" t="s">
        <v>1032</v>
      </c>
      <c r="O42" s="6" t="s">
        <v>1834</v>
      </c>
      <c r="P42" s="6" t="s">
        <v>1835</v>
      </c>
      <c r="Q42" s="6" t="s">
        <v>1836</v>
      </c>
      <c r="R42" s="6" t="s">
        <v>1837</v>
      </c>
      <c r="S42" s="6" t="s">
        <v>1838</v>
      </c>
      <c r="T42" s="6" t="s">
        <v>1839</v>
      </c>
      <c r="U42" s="6" t="s">
        <v>1840</v>
      </c>
      <c r="V42" s="6" t="s">
        <v>1841</v>
      </c>
      <c r="Y42" s="39" t="s">
        <v>940</v>
      </c>
      <c r="Z42" s="39" t="s">
        <v>2922</v>
      </c>
      <c r="AA42" s="39" t="s">
        <v>2908</v>
      </c>
      <c r="AB42" s="39" t="s">
        <v>2908</v>
      </c>
      <c r="AC42" s="39" t="s">
        <v>2908</v>
      </c>
      <c r="AD42" s="39" t="s">
        <v>2908</v>
      </c>
      <c r="AE42" s="39" t="s">
        <v>2908</v>
      </c>
      <c r="AF42" s="39" t="s">
        <v>2908</v>
      </c>
      <c r="AG42" s="39" t="s">
        <v>2908</v>
      </c>
      <c r="AH42" s="39" t="s">
        <v>2908</v>
      </c>
      <c r="AJ42" t="e">
        <f t="shared" si="2"/>
        <v>#N/A</v>
      </c>
      <c r="AK42" t="e">
        <f t="shared" si="3"/>
        <v>#N/A</v>
      </c>
      <c r="AL42" t="e">
        <f t="shared" si="4"/>
        <v>#N/A</v>
      </c>
      <c r="AM42" t="e">
        <f t="shared" si="5"/>
        <v>#N/A</v>
      </c>
      <c r="AN42" t="e">
        <f t="shared" si="6"/>
        <v>#N/A</v>
      </c>
      <c r="AO42" t="e">
        <f t="shared" si="7"/>
        <v>#N/A</v>
      </c>
      <c r="AP42" t="e">
        <f t="shared" si="8"/>
        <v>#N/A</v>
      </c>
      <c r="AQ42" t="e">
        <f t="shared" si="9"/>
        <v>#N/A</v>
      </c>
      <c r="AS42">
        <v>1000</v>
      </c>
      <c r="AT42">
        <v>1000</v>
      </c>
      <c r="AU42">
        <v>1000</v>
      </c>
      <c r="AV42">
        <v>1000</v>
      </c>
      <c r="AW42">
        <v>1000</v>
      </c>
      <c r="AX42">
        <v>1000</v>
      </c>
      <c r="AY42">
        <v>1000</v>
      </c>
      <c r="AZ42">
        <v>1000</v>
      </c>
      <c r="BB42" t="e">
        <f t="shared" si="10"/>
        <v>#N/A</v>
      </c>
      <c r="BC42" t="e">
        <f t="shared" si="11"/>
        <v>#N/A</v>
      </c>
      <c r="BD42" t="e">
        <f t="shared" si="12"/>
        <v>#N/A</v>
      </c>
      <c r="BE42" t="e">
        <f t="shared" si="13"/>
        <v>#N/A</v>
      </c>
      <c r="BF42" t="e">
        <f t="shared" si="14"/>
        <v>#N/A</v>
      </c>
      <c r="BG42" t="e">
        <f t="shared" si="15"/>
        <v>#N/A</v>
      </c>
      <c r="BH42" t="e">
        <f t="shared" si="16"/>
        <v>#N/A</v>
      </c>
      <c r="BI42" t="e">
        <f t="shared" si="17"/>
        <v>#N/A</v>
      </c>
    </row>
    <row r="43" spans="1:61" ht="46.2" thickBot="1" x14ac:dyDescent="0.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>
        <v>42</v>
      </c>
      <c r="N43" s="6" t="s">
        <v>1132</v>
      </c>
      <c r="O43" s="6" t="s">
        <v>1842</v>
      </c>
      <c r="P43" s="6" t="s">
        <v>1843</v>
      </c>
      <c r="Q43" s="6" t="s">
        <v>1844</v>
      </c>
      <c r="R43" s="6" t="s">
        <v>1845</v>
      </c>
      <c r="S43" s="6" t="s">
        <v>1846</v>
      </c>
      <c r="T43" s="6" t="s">
        <v>1908</v>
      </c>
      <c r="U43" s="6" t="s">
        <v>1847</v>
      </c>
      <c r="V43" s="6" t="s">
        <v>1848</v>
      </c>
      <c r="Y43" s="39" t="s">
        <v>943</v>
      </c>
      <c r="Z43" s="39" t="s">
        <v>2341</v>
      </c>
      <c r="AA43" s="39" t="s">
        <v>2908</v>
      </c>
      <c r="AB43" s="39" t="s">
        <v>2908</v>
      </c>
      <c r="AC43" s="39" t="s">
        <v>2908</v>
      </c>
      <c r="AD43" s="39" t="s">
        <v>2908</v>
      </c>
      <c r="AE43" s="39" t="s">
        <v>2908</v>
      </c>
      <c r="AF43" s="39" t="s">
        <v>2908</v>
      </c>
      <c r="AG43" s="39" t="s">
        <v>2908</v>
      </c>
      <c r="AH43" s="39" t="s">
        <v>2908</v>
      </c>
      <c r="AJ43" t="e">
        <f t="shared" si="2"/>
        <v>#N/A</v>
      </c>
      <c r="AK43" t="e">
        <f t="shared" si="3"/>
        <v>#N/A</v>
      </c>
      <c r="AL43" t="e">
        <f t="shared" si="4"/>
        <v>#N/A</v>
      </c>
      <c r="AM43" t="e">
        <f t="shared" si="5"/>
        <v>#N/A</v>
      </c>
      <c r="AN43" t="e">
        <f t="shared" si="6"/>
        <v>#N/A</v>
      </c>
      <c r="AO43" t="e">
        <f t="shared" si="7"/>
        <v>#N/A</v>
      </c>
      <c r="AP43" t="e">
        <f t="shared" si="8"/>
        <v>#N/A</v>
      </c>
      <c r="AQ43" t="e">
        <f t="shared" si="9"/>
        <v>#N/A</v>
      </c>
      <c r="AS43">
        <v>1000</v>
      </c>
      <c r="AT43">
        <v>1000</v>
      </c>
      <c r="AU43">
        <v>1000</v>
      </c>
      <c r="AV43">
        <v>1000</v>
      </c>
      <c r="AW43">
        <v>1000</v>
      </c>
      <c r="AX43">
        <v>1000</v>
      </c>
      <c r="AY43">
        <v>1000</v>
      </c>
      <c r="AZ43">
        <v>1000</v>
      </c>
      <c r="BB43" t="e">
        <f t="shared" si="10"/>
        <v>#N/A</v>
      </c>
      <c r="BC43" t="e">
        <f t="shared" si="11"/>
        <v>#N/A</v>
      </c>
      <c r="BD43" t="e">
        <f t="shared" si="12"/>
        <v>#N/A</v>
      </c>
      <c r="BE43" t="e">
        <f t="shared" si="13"/>
        <v>#N/A</v>
      </c>
      <c r="BF43" t="e">
        <f t="shared" si="14"/>
        <v>#N/A</v>
      </c>
      <c r="BG43" t="e">
        <f t="shared" si="15"/>
        <v>#N/A</v>
      </c>
      <c r="BH43" t="e">
        <f t="shared" si="16"/>
        <v>#N/A</v>
      </c>
      <c r="BI43" t="e">
        <f t="shared" si="17"/>
        <v>#N/A</v>
      </c>
    </row>
    <row r="44" spans="1:61" ht="55.8" thickBot="1" x14ac:dyDescent="0.3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43</v>
      </c>
      <c r="N44" s="6" t="s">
        <v>1519</v>
      </c>
      <c r="O44" s="6" t="s">
        <v>1849</v>
      </c>
      <c r="P44" s="6" t="s">
        <v>1850</v>
      </c>
      <c r="Q44" s="6" t="s">
        <v>1851</v>
      </c>
      <c r="R44" s="6" t="s">
        <v>1852</v>
      </c>
      <c r="S44" s="6" t="s">
        <v>1853</v>
      </c>
      <c r="T44" s="6" t="s">
        <v>1854</v>
      </c>
      <c r="U44" s="6" t="s">
        <v>1855</v>
      </c>
      <c r="V44" s="6" t="s">
        <v>1856</v>
      </c>
      <c r="Y44" s="39" t="s">
        <v>7865</v>
      </c>
      <c r="Z44" s="39" t="s">
        <v>2161</v>
      </c>
      <c r="AA44" s="39" t="s">
        <v>2908</v>
      </c>
      <c r="AB44" s="39" t="s">
        <v>2908</v>
      </c>
      <c r="AC44" s="39" t="s">
        <v>2908</v>
      </c>
      <c r="AD44" s="39" t="s">
        <v>2908</v>
      </c>
      <c r="AE44" s="39" t="s">
        <v>2908</v>
      </c>
      <c r="AF44" s="39" t="s">
        <v>2908</v>
      </c>
      <c r="AG44" s="39" t="s">
        <v>2908</v>
      </c>
      <c r="AH44" s="39" t="s">
        <v>2908</v>
      </c>
      <c r="AJ44" t="e">
        <f t="shared" si="2"/>
        <v>#N/A</v>
      </c>
      <c r="AK44" t="e">
        <f t="shared" si="3"/>
        <v>#N/A</v>
      </c>
      <c r="AL44" t="e">
        <f t="shared" si="4"/>
        <v>#N/A</v>
      </c>
      <c r="AM44" t="e">
        <f t="shared" si="5"/>
        <v>#N/A</v>
      </c>
      <c r="AN44" t="e">
        <f t="shared" si="6"/>
        <v>#N/A</v>
      </c>
      <c r="AO44" t="e">
        <f t="shared" si="7"/>
        <v>#N/A</v>
      </c>
      <c r="AP44" t="e">
        <f t="shared" si="8"/>
        <v>#N/A</v>
      </c>
      <c r="AQ44" t="e">
        <f t="shared" si="9"/>
        <v>#N/A</v>
      </c>
      <c r="AS44">
        <v>1000</v>
      </c>
      <c r="AT44">
        <v>1000</v>
      </c>
      <c r="AU44">
        <v>1000</v>
      </c>
      <c r="AV44">
        <v>1000</v>
      </c>
      <c r="AW44">
        <v>1000</v>
      </c>
      <c r="AX44">
        <v>1000</v>
      </c>
      <c r="AY44">
        <v>1000</v>
      </c>
      <c r="AZ44">
        <v>1000</v>
      </c>
      <c r="BB44" t="e">
        <f t="shared" si="10"/>
        <v>#N/A</v>
      </c>
      <c r="BC44" t="e">
        <f t="shared" si="11"/>
        <v>#N/A</v>
      </c>
      <c r="BD44" t="e">
        <f t="shared" si="12"/>
        <v>#N/A</v>
      </c>
      <c r="BE44" t="e">
        <f t="shared" si="13"/>
        <v>#N/A</v>
      </c>
      <c r="BF44" t="e">
        <f t="shared" si="14"/>
        <v>#N/A</v>
      </c>
      <c r="BG44" t="e">
        <f t="shared" si="15"/>
        <v>#N/A</v>
      </c>
      <c r="BH44" t="e">
        <f t="shared" si="16"/>
        <v>#N/A</v>
      </c>
      <c r="BI44" t="e">
        <f t="shared" si="17"/>
        <v>#N/A</v>
      </c>
    </row>
    <row r="45" spans="1:61" ht="55.8" thickBot="1" x14ac:dyDescent="0.3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>
        <v>44</v>
      </c>
      <c r="N45" s="6" t="s">
        <v>1265</v>
      </c>
      <c r="O45" s="6" t="s">
        <v>1857</v>
      </c>
      <c r="P45" s="6" t="s">
        <v>1858</v>
      </c>
      <c r="Q45" s="6" t="s">
        <v>1859</v>
      </c>
      <c r="R45" s="6" t="s">
        <v>1860</v>
      </c>
      <c r="S45" s="6" t="s">
        <v>1861</v>
      </c>
      <c r="T45" s="6" t="s">
        <v>1862</v>
      </c>
      <c r="U45" s="6" t="s">
        <v>1863</v>
      </c>
      <c r="V45" s="6" t="s">
        <v>1864</v>
      </c>
      <c r="Y45" s="39" t="s">
        <v>725</v>
      </c>
      <c r="Z45" s="39" t="s">
        <v>2923</v>
      </c>
      <c r="AA45" s="39" t="s">
        <v>2908</v>
      </c>
      <c r="AB45" s="39" t="s">
        <v>2908</v>
      </c>
      <c r="AC45" s="39" t="s">
        <v>2908</v>
      </c>
      <c r="AD45" s="39" t="s">
        <v>2908</v>
      </c>
      <c r="AE45" s="39" t="s">
        <v>2908</v>
      </c>
      <c r="AF45" s="39" t="s">
        <v>2908</v>
      </c>
      <c r="AG45" s="39" t="s">
        <v>2908</v>
      </c>
      <c r="AH45" s="39" t="s">
        <v>2908</v>
      </c>
      <c r="AJ45" t="e">
        <f t="shared" si="2"/>
        <v>#N/A</v>
      </c>
      <c r="AK45" t="e">
        <f t="shared" si="3"/>
        <v>#N/A</v>
      </c>
      <c r="AL45" t="e">
        <f t="shared" si="4"/>
        <v>#N/A</v>
      </c>
      <c r="AM45" t="e">
        <f t="shared" si="5"/>
        <v>#N/A</v>
      </c>
      <c r="AN45" t="e">
        <f t="shared" si="6"/>
        <v>#N/A</v>
      </c>
      <c r="AO45" t="e">
        <f t="shared" si="7"/>
        <v>#N/A</v>
      </c>
      <c r="AP45" t="e">
        <f t="shared" si="8"/>
        <v>#N/A</v>
      </c>
      <c r="AQ45" t="e">
        <f t="shared" si="9"/>
        <v>#N/A</v>
      </c>
      <c r="AS45">
        <v>1000</v>
      </c>
      <c r="AT45">
        <v>1000</v>
      </c>
      <c r="AU45">
        <v>1000</v>
      </c>
      <c r="AV45">
        <v>1000</v>
      </c>
      <c r="AW45">
        <v>1000</v>
      </c>
      <c r="AX45">
        <v>1000</v>
      </c>
      <c r="AY45">
        <v>1000</v>
      </c>
      <c r="AZ45">
        <v>1000</v>
      </c>
      <c r="BB45" t="e">
        <f t="shared" si="10"/>
        <v>#N/A</v>
      </c>
      <c r="BC45" t="e">
        <f t="shared" si="11"/>
        <v>#N/A</v>
      </c>
      <c r="BD45" t="e">
        <f t="shared" si="12"/>
        <v>#N/A</v>
      </c>
      <c r="BE45" t="e">
        <f t="shared" si="13"/>
        <v>#N/A</v>
      </c>
      <c r="BF45" t="e">
        <f t="shared" si="14"/>
        <v>#N/A</v>
      </c>
      <c r="BG45" t="e">
        <f t="shared" si="15"/>
        <v>#N/A</v>
      </c>
      <c r="BH45" t="e">
        <f t="shared" si="16"/>
        <v>#N/A</v>
      </c>
      <c r="BI45" t="e">
        <f t="shared" si="17"/>
        <v>#N/A</v>
      </c>
    </row>
    <row r="46" spans="1:61" ht="83.4" thickBo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>
        <v>45</v>
      </c>
      <c r="N46" s="6" t="s">
        <v>1522</v>
      </c>
      <c r="O46" s="6" t="s">
        <v>1165</v>
      </c>
      <c r="P46" s="6" t="s">
        <v>1165</v>
      </c>
      <c r="Q46" s="6" t="s">
        <v>1865</v>
      </c>
      <c r="R46" s="6" t="s">
        <v>583</v>
      </c>
      <c r="S46" s="6" t="s">
        <v>1866</v>
      </c>
      <c r="T46" s="6" t="s">
        <v>1867</v>
      </c>
      <c r="U46" s="6" t="s">
        <v>1165</v>
      </c>
      <c r="V46" s="6" t="s">
        <v>1165</v>
      </c>
      <c r="Y46" s="39" t="s">
        <v>757</v>
      </c>
      <c r="Z46" s="39" t="s">
        <v>2924</v>
      </c>
      <c r="AA46" s="39" t="s">
        <v>1875</v>
      </c>
      <c r="AB46" s="39" t="s">
        <v>1876</v>
      </c>
      <c r="AC46" s="39" t="s">
        <v>1877</v>
      </c>
      <c r="AD46" s="39" t="s">
        <v>1878</v>
      </c>
      <c r="AE46" s="39" t="s">
        <v>1879</v>
      </c>
      <c r="AF46" s="39" t="s">
        <v>1880</v>
      </c>
      <c r="AG46" s="39" t="s">
        <v>1881</v>
      </c>
      <c r="AH46" s="39" t="s">
        <v>1882</v>
      </c>
      <c r="AJ46" t="str">
        <f t="shared" si="2"/>
        <v xml:space="preserve">0.791 </v>
      </c>
      <c r="AK46" t="str">
        <f t="shared" si="3"/>
        <v xml:space="preserve">0.448 </v>
      </c>
      <c r="AL46" t="str">
        <f t="shared" si="4"/>
        <v xml:space="preserve">0.633 </v>
      </c>
      <c r="AM46" t="str">
        <f t="shared" si="5"/>
        <v xml:space="preserve">1.17 </v>
      </c>
      <c r="AN46" t="str">
        <f t="shared" si="6"/>
        <v xml:space="preserve">1.79 </v>
      </c>
      <c r="AO46" t="str">
        <f t="shared" si="7"/>
        <v xml:space="preserve">2.99 </v>
      </c>
      <c r="AP46" t="str">
        <f t="shared" si="8"/>
        <v xml:space="preserve">3.51 </v>
      </c>
      <c r="AQ46" t="str">
        <f t="shared" si="9"/>
        <v xml:space="preserve">4.14 </v>
      </c>
      <c r="AS46">
        <v>1000</v>
      </c>
      <c r="AT46">
        <v>1000</v>
      </c>
      <c r="AU46">
        <v>1000</v>
      </c>
      <c r="AV46">
        <v>1000</v>
      </c>
      <c r="AW46">
        <v>1000</v>
      </c>
      <c r="AX46">
        <v>1000</v>
      </c>
      <c r="AY46">
        <v>1000</v>
      </c>
      <c r="AZ46">
        <v>1000</v>
      </c>
      <c r="BB46">
        <f t="shared" si="10"/>
        <v>791</v>
      </c>
      <c r="BC46">
        <f t="shared" si="11"/>
        <v>448</v>
      </c>
      <c r="BD46">
        <f t="shared" si="12"/>
        <v>633</v>
      </c>
      <c r="BE46">
        <f t="shared" si="13"/>
        <v>1170</v>
      </c>
      <c r="BF46">
        <f t="shared" si="14"/>
        <v>1790</v>
      </c>
      <c r="BG46">
        <f t="shared" si="15"/>
        <v>2990</v>
      </c>
      <c r="BH46">
        <f t="shared" si="16"/>
        <v>3510</v>
      </c>
      <c r="BI46">
        <f t="shared" si="17"/>
        <v>4140</v>
      </c>
    </row>
    <row r="47" spans="1:61" ht="69.599999999999994" thickBot="1" x14ac:dyDescent="0.3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46</v>
      </c>
      <c r="N47" s="6" t="s">
        <v>1524</v>
      </c>
      <c r="O47" s="6" t="s">
        <v>1868</v>
      </c>
      <c r="P47" s="6" t="s">
        <v>1869</v>
      </c>
      <c r="Q47" s="6" t="s">
        <v>1870</v>
      </c>
      <c r="R47" s="6" t="s">
        <v>1871</v>
      </c>
      <c r="S47" s="6" t="s">
        <v>1165</v>
      </c>
      <c r="T47" s="6" t="s">
        <v>1872</v>
      </c>
      <c r="U47" s="6" t="s">
        <v>1873</v>
      </c>
      <c r="V47" s="6" t="s">
        <v>1874</v>
      </c>
      <c r="Y47" s="39" t="s">
        <v>773</v>
      </c>
      <c r="Z47" s="39" t="s">
        <v>2925</v>
      </c>
      <c r="AA47" s="39" t="s">
        <v>1165</v>
      </c>
      <c r="AB47" s="39" t="s">
        <v>1165</v>
      </c>
      <c r="AC47" s="39" t="s">
        <v>1865</v>
      </c>
      <c r="AD47" s="39" t="s">
        <v>583</v>
      </c>
      <c r="AE47" s="39" t="s">
        <v>1866</v>
      </c>
      <c r="AF47" s="39" t="s">
        <v>8131</v>
      </c>
      <c r="AG47" s="39" t="s">
        <v>1165</v>
      </c>
      <c r="AH47" s="39" t="s">
        <v>1165</v>
      </c>
      <c r="AJ47" t="e">
        <f t="shared" si="2"/>
        <v>#N/A</v>
      </c>
      <c r="AK47" t="e">
        <f t="shared" si="3"/>
        <v>#N/A</v>
      </c>
      <c r="AL47" t="str">
        <f t="shared" si="4"/>
        <v xml:space="preserve">0.125 </v>
      </c>
      <c r="AM47" t="str">
        <f t="shared" si="5"/>
        <v xml:space="preserve">0.2 </v>
      </c>
      <c r="AN47" t="str">
        <f t="shared" si="6"/>
        <v xml:space="preserve">0.215 </v>
      </c>
      <c r="AO47" t="str">
        <f t="shared" si="7"/>
        <v xml:space="preserve">0.279 </v>
      </c>
      <c r="AP47" t="e">
        <f t="shared" si="8"/>
        <v>#N/A</v>
      </c>
      <c r="AQ47" t="e">
        <f t="shared" si="9"/>
        <v>#N/A</v>
      </c>
      <c r="AS47">
        <v>1000</v>
      </c>
      <c r="AT47">
        <v>1000</v>
      </c>
      <c r="AU47">
        <v>1000</v>
      </c>
      <c r="AV47">
        <v>1000</v>
      </c>
      <c r="AW47">
        <v>1000</v>
      </c>
      <c r="AX47">
        <v>1000</v>
      </c>
      <c r="AY47">
        <v>1000</v>
      </c>
      <c r="AZ47">
        <v>1000</v>
      </c>
      <c r="BB47" t="e">
        <f t="shared" si="10"/>
        <v>#N/A</v>
      </c>
      <c r="BC47" t="e">
        <f t="shared" si="11"/>
        <v>#N/A</v>
      </c>
      <c r="BD47">
        <f t="shared" si="12"/>
        <v>125</v>
      </c>
      <c r="BE47">
        <f t="shared" si="13"/>
        <v>200</v>
      </c>
      <c r="BF47">
        <f t="shared" si="14"/>
        <v>215</v>
      </c>
      <c r="BG47">
        <f t="shared" si="15"/>
        <v>279</v>
      </c>
      <c r="BH47" t="e">
        <f t="shared" si="16"/>
        <v>#N/A</v>
      </c>
      <c r="BI47" t="e">
        <f t="shared" si="17"/>
        <v>#N/A</v>
      </c>
    </row>
    <row r="48" spans="1:61" ht="69.599999999999994" thickBot="1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>
        <v>47</v>
      </c>
      <c r="N48" s="6" t="s">
        <v>757</v>
      </c>
      <c r="O48" s="6" t="s">
        <v>1875</v>
      </c>
      <c r="P48" s="6" t="s">
        <v>1876</v>
      </c>
      <c r="Q48" s="6" t="s">
        <v>1877</v>
      </c>
      <c r="R48" s="6" t="s">
        <v>1878</v>
      </c>
      <c r="S48" s="6" t="s">
        <v>1879</v>
      </c>
      <c r="T48" s="6" t="s">
        <v>1880</v>
      </c>
      <c r="U48" s="6" t="s">
        <v>1881</v>
      </c>
      <c r="V48" s="6" t="s">
        <v>1882</v>
      </c>
      <c r="Y48" s="39" t="s">
        <v>7867</v>
      </c>
      <c r="Z48" s="39" t="s">
        <v>2027</v>
      </c>
      <c r="AA48" s="39" t="s">
        <v>2908</v>
      </c>
      <c r="AB48" s="39" t="s">
        <v>2908</v>
      </c>
      <c r="AC48" s="39" t="s">
        <v>2908</v>
      </c>
      <c r="AD48" s="39" t="s">
        <v>2908</v>
      </c>
      <c r="AE48" s="39" t="s">
        <v>2908</v>
      </c>
      <c r="AF48" s="39" t="s">
        <v>2908</v>
      </c>
      <c r="AG48" s="39" t="s">
        <v>2908</v>
      </c>
      <c r="AH48" s="39" t="s">
        <v>2908</v>
      </c>
      <c r="AJ48" t="e">
        <f t="shared" si="2"/>
        <v>#N/A</v>
      </c>
      <c r="AK48" t="e">
        <f t="shared" si="3"/>
        <v>#N/A</v>
      </c>
      <c r="AL48" t="e">
        <f t="shared" si="4"/>
        <v>#N/A</v>
      </c>
      <c r="AM48" t="e">
        <f t="shared" si="5"/>
        <v>#N/A</v>
      </c>
      <c r="AN48" t="e">
        <f t="shared" si="6"/>
        <v>#N/A</v>
      </c>
      <c r="AO48" t="e">
        <f t="shared" si="7"/>
        <v>#N/A</v>
      </c>
      <c r="AP48" t="e">
        <f t="shared" si="8"/>
        <v>#N/A</v>
      </c>
      <c r="AQ48" t="e">
        <f t="shared" si="9"/>
        <v>#N/A</v>
      </c>
      <c r="AS48">
        <v>1000</v>
      </c>
      <c r="AT48">
        <v>1000</v>
      </c>
      <c r="AU48">
        <v>1000</v>
      </c>
      <c r="AV48">
        <v>1000</v>
      </c>
      <c r="AW48">
        <v>1000</v>
      </c>
      <c r="AX48">
        <v>1000</v>
      </c>
      <c r="AY48">
        <v>1000</v>
      </c>
      <c r="AZ48">
        <v>1000</v>
      </c>
      <c r="BB48" t="e">
        <f t="shared" si="10"/>
        <v>#N/A</v>
      </c>
      <c r="BC48" t="e">
        <f t="shared" si="11"/>
        <v>#N/A</v>
      </c>
      <c r="BD48" t="e">
        <f t="shared" si="12"/>
        <v>#N/A</v>
      </c>
      <c r="BE48" t="e">
        <f t="shared" si="13"/>
        <v>#N/A</v>
      </c>
      <c r="BF48" t="e">
        <f t="shared" si="14"/>
        <v>#N/A</v>
      </c>
      <c r="BG48" t="e">
        <f t="shared" si="15"/>
        <v>#N/A</v>
      </c>
      <c r="BH48" t="e">
        <f t="shared" si="16"/>
        <v>#N/A</v>
      </c>
      <c r="BI48" t="e">
        <f t="shared" si="17"/>
        <v>#N/A</v>
      </c>
    </row>
    <row r="49" spans="2:61" ht="42" thickBot="1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>
        <v>48</v>
      </c>
      <c r="N49" s="6" t="s">
        <v>1883</v>
      </c>
      <c r="O49" s="6" t="s">
        <v>1884</v>
      </c>
      <c r="P49" s="6" t="s">
        <v>1885</v>
      </c>
      <c r="Q49" s="6" t="s">
        <v>1886</v>
      </c>
      <c r="R49" s="6" t="s">
        <v>1887</v>
      </c>
      <c r="S49" s="6" t="s">
        <v>1888</v>
      </c>
      <c r="T49" s="6" t="s">
        <v>1889</v>
      </c>
      <c r="U49" s="6" t="s">
        <v>1890</v>
      </c>
      <c r="V49" s="6" t="s">
        <v>1891</v>
      </c>
      <c r="Y49" s="39" t="s">
        <v>781</v>
      </c>
      <c r="Z49" s="39" t="s">
        <v>2878</v>
      </c>
      <c r="AA49" s="39" t="s">
        <v>1754</v>
      </c>
      <c r="AB49" s="39" t="s">
        <v>1755</v>
      </c>
      <c r="AC49" s="39" t="s">
        <v>1756</v>
      </c>
      <c r="AD49" s="39" t="s">
        <v>1757</v>
      </c>
      <c r="AE49" s="39" t="s">
        <v>1758</v>
      </c>
      <c r="AF49" s="39" t="s">
        <v>1759</v>
      </c>
      <c r="AG49" s="39" t="s">
        <v>1760</v>
      </c>
      <c r="AH49" s="39" t="s">
        <v>1761</v>
      </c>
      <c r="AJ49" t="str">
        <f t="shared" si="2"/>
        <v xml:space="preserve">6.74 </v>
      </c>
      <c r="AK49" t="str">
        <f t="shared" si="3"/>
        <v xml:space="preserve">4.23 </v>
      </c>
      <c r="AL49" t="str">
        <f t="shared" si="4"/>
        <v xml:space="preserve">5.51 </v>
      </c>
      <c r="AM49" t="str">
        <f t="shared" si="5"/>
        <v xml:space="preserve">7.66 </v>
      </c>
      <c r="AN49" t="str">
        <f t="shared" si="6"/>
        <v xml:space="preserve">9.89 </v>
      </c>
      <c r="AO49" t="str">
        <f t="shared" si="7"/>
        <v xml:space="preserve">17.1 </v>
      </c>
      <c r="AP49" t="str">
        <f t="shared" si="8"/>
        <v xml:space="preserve">16.7 </v>
      </c>
      <c r="AQ49" t="str">
        <f t="shared" si="9"/>
        <v xml:space="preserve">21.4 </v>
      </c>
      <c r="AS49">
        <v>1000</v>
      </c>
      <c r="AT49">
        <v>1000</v>
      </c>
      <c r="AU49">
        <v>1000</v>
      </c>
      <c r="AV49">
        <v>1000</v>
      </c>
      <c r="AW49">
        <v>1000</v>
      </c>
      <c r="AX49">
        <v>1000</v>
      </c>
      <c r="AY49">
        <v>1000</v>
      </c>
      <c r="AZ49">
        <v>1000</v>
      </c>
      <c r="BB49">
        <f t="shared" si="10"/>
        <v>6740</v>
      </c>
      <c r="BC49">
        <f t="shared" si="11"/>
        <v>4230</v>
      </c>
      <c r="BD49">
        <f t="shared" si="12"/>
        <v>5510</v>
      </c>
      <c r="BE49">
        <f t="shared" si="13"/>
        <v>7660</v>
      </c>
      <c r="BF49">
        <f t="shared" si="14"/>
        <v>9890</v>
      </c>
      <c r="BG49">
        <f t="shared" si="15"/>
        <v>17100</v>
      </c>
      <c r="BH49">
        <f t="shared" si="16"/>
        <v>16700</v>
      </c>
      <c r="BI49">
        <f t="shared" si="17"/>
        <v>21400</v>
      </c>
    </row>
    <row r="50" spans="2:61" ht="42" thickBot="1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>
        <v>49</v>
      </c>
      <c r="N50" s="6" t="s">
        <v>1009</v>
      </c>
      <c r="O50" s="6" t="s">
        <v>1165</v>
      </c>
      <c r="P50" s="6" t="s">
        <v>1165</v>
      </c>
      <c r="Q50" s="6" t="s">
        <v>1165</v>
      </c>
      <c r="R50" s="6" t="s">
        <v>1165</v>
      </c>
      <c r="S50" s="6" t="s">
        <v>1892</v>
      </c>
      <c r="T50" s="6" t="s">
        <v>1909</v>
      </c>
      <c r="U50" s="6" t="s">
        <v>1893</v>
      </c>
      <c r="V50" s="6" t="s">
        <v>1894</v>
      </c>
      <c r="Y50" s="39" t="s">
        <v>797</v>
      </c>
      <c r="Z50" s="39" t="s">
        <v>2927</v>
      </c>
      <c r="AA50" s="39" t="s">
        <v>1544</v>
      </c>
      <c r="AB50" s="39" t="s">
        <v>1545</v>
      </c>
      <c r="AC50" s="39" t="s">
        <v>1546</v>
      </c>
      <c r="AD50" s="39" t="s">
        <v>1547</v>
      </c>
      <c r="AE50" s="39" t="s">
        <v>1548</v>
      </c>
      <c r="AF50" s="39" t="s">
        <v>1549</v>
      </c>
      <c r="AG50" s="39" t="s">
        <v>8132</v>
      </c>
      <c r="AH50" s="39" t="s">
        <v>8133</v>
      </c>
      <c r="AJ50" t="str">
        <f t="shared" si="2"/>
        <v xml:space="preserve">47.1 </v>
      </c>
      <c r="AK50" t="str">
        <f t="shared" si="3"/>
        <v xml:space="preserve">6.42 </v>
      </c>
      <c r="AL50" t="str">
        <f t="shared" si="4"/>
        <v xml:space="preserve">4.17 </v>
      </c>
      <c r="AM50" t="str">
        <f t="shared" si="5"/>
        <v xml:space="preserve">2.92 </v>
      </c>
      <c r="AN50" t="str">
        <f t="shared" si="6"/>
        <v xml:space="preserve">2.07 </v>
      </c>
      <c r="AO50" t="str">
        <f t="shared" si="7"/>
        <v xml:space="preserve">1.39 </v>
      </c>
      <c r="AP50" t="str">
        <f t="shared" si="8"/>
        <v xml:space="preserve">0.625 </v>
      </c>
      <c r="AQ50" t="str">
        <f t="shared" si="9"/>
        <v xml:space="preserve">0.431 </v>
      </c>
      <c r="AS50">
        <v>1000</v>
      </c>
      <c r="AT50">
        <v>1000</v>
      </c>
      <c r="AU50">
        <v>1000</v>
      </c>
      <c r="AV50">
        <v>1000</v>
      </c>
      <c r="AW50">
        <v>1000</v>
      </c>
      <c r="AX50">
        <v>1000</v>
      </c>
      <c r="AY50">
        <v>1000</v>
      </c>
      <c r="AZ50">
        <v>1000</v>
      </c>
      <c r="BB50">
        <f t="shared" si="10"/>
        <v>47100</v>
      </c>
      <c r="BC50">
        <f t="shared" si="11"/>
        <v>6420</v>
      </c>
      <c r="BD50">
        <f t="shared" si="12"/>
        <v>4170</v>
      </c>
      <c r="BE50">
        <f t="shared" si="13"/>
        <v>2920</v>
      </c>
      <c r="BF50">
        <f t="shared" si="14"/>
        <v>2070</v>
      </c>
      <c r="BG50">
        <f t="shared" si="15"/>
        <v>1390</v>
      </c>
      <c r="BH50">
        <f t="shared" si="16"/>
        <v>625</v>
      </c>
      <c r="BI50">
        <f t="shared" si="17"/>
        <v>431</v>
      </c>
    </row>
    <row r="51" spans="2:61" ht="42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>
        <v>50</v>
      </c>
      <c r="N51" s="6" t="s">
        <v>1895</v>
      </c>
      <c r="O51" s="6" t="s">
        <v>1896</v>
      </c>
      <c r="P51" s="6" t="s">
        <v>1897</v>
      </c>
      <c r="Q51" s="6" t="s">
        <v>1898</v>
      </c>
      <c r="R51" s="6" t="s">
        <v>1899</v>
      </c>
      <c r="S51" s="6" t="s">
        <v>1165</v>
      </c>
      <c r="T51" s="6" t="s">
        <v>1165</v>
      </c>
      <c r="U51" s="6" t="s">
        <v>1165</v>
      </c>
      <c r="V51" s="6" t="s">
        <v>1165</v>
      </c>
      <c r="Y51" s="39" t="s">
        <v>894</v>
      </c>
      <c r="Z51" s="39" t="s">
        <v>2164</v>
      </c>
      <c r="AA51" s="39" t="s">
        <v>2908</v>
      </c>
      <c r="AB51" s="39" t="s">
        <v>2908</v>
      </c>
      <c r="AC51" s="39" t="s">
        <v>2908</v>
      </c>
      <c r="AD51" s="39" t="s">
        <v>2908</v>
      </c>
      <c r="AE51" s="39" t="s">
        <v>2908</v>
      </c>
      <c r="AF51" s="39" t="s">
        <v>2908</v>
      </c>
      <c r="AG51" s="39" t="s">
        <v>2908</v>
      </c>
      <c r="AH51" s="39" t="s">
        <v>2908</v>
      </c>
      <c r="AJ51" t="e">
        <f t="shared" si="2"/>
        <v>#N/A</v>
      </c>
      <c r="AK51" t="e">
        <f t="shared" si="3"/>
        <v>#N/A</v>
      </c>
      <c r="AL51" t="e">
        <f t="shared" si="4"/>
        <v>#N/A</v>
      </c>
      <c r="AM51" t="e">
        <f t="shared" si="5"/>
        <v>#N/A</v>
      </c>
      <c r="AN51" t="e">
        <f t="shared" si="6"/>
        <v>#N/A</v>
      </c>
      <c r="AO51" t="e">
        <f t="shared" si="7"/>
        <v>#N/A</v>
      </c>
      <c r="AP51" t="e">
        <f t="shared" si="8"/>
        <v>#N/A</v>
      </c>
      <c r="AQ51" t="e">
        <f t="shared" si="9"/>
        <v>#N/A</v>
      </c>
      <c r="AS51">
        <v>1000</v>
      </c>
      <c r="AT51">
        <v>1000</v>
      </c>
      <c r="AU51">
        <v>1000</v>
      </c>
      <c r="AV51">
        <v>1000</v>
      </c>
      <c r="AW51">
        <v>1000</v>
      </c>
      <c r="AX51">
        <v>1000</v>
      </c>
      <c r="AY51">
        <v>1000</v>
      </c>
      <c r="AZ51">
        <v>1000</v>
      </c>
      <c r="BB51" t="e">
        <f t="shared" si="10"/>
        <v>#N/A</v>
      </c>
      <c r="BC51" t="e">
        <f t="shared" si="11"/>
        <v>#N/A</v>
      </c>
      <c r="BD51" t="e">
        <f t="shared" si="12"/>
        <v>#N/A</v>
      </c>
      <c r="BE51" t="e">
        <f t="shared" si="13"/>
        <v>#N/A</v>
      </c>
      <c r="BF51" t="e">
        <f t="shared" si="14"/>
        <v>#N/A</v>
      </c>
      <c r="BG51" t="e">
        <f t="shared" si="15"/>
        <v>#N/A</v>
      </c>
      <c r="BH51" t="e">
        <f t="shared" si="16"/>
        <v>#N/A</v>
      </c>
      <c r="BI51" t="e">
        <f t="shared" si="17"/>
        <v>#N/A</v>
      </c>
    </row>
    <row r="52" spans="2:61" ht="69.599999999999994" thickBot="1" x14ac:dyDescent="0.3">
      <c r="Y52" s="39" t="s">
        <v>1127</v>
      </c>
      <c r="Z52" s="39" t="s">
        <v>2170</v>
      </c>
      <c r="AA52" s="39" t="s">
        <v>2908</v>
      </c>
      <c r="AB52" s="39" t="s">
        <v>2908</v>
      </c>
      <c r="AC52" s="39" t="s">
        <v>2908</v>
      </c>
      <c r="AD52" s="39" t="s">
        <v>2908</v>
      </c>
      <c r="AE52" s="39" t="s">
        <v>2908</v>
      </c>
      <c r="AF52" s="39" t="s">
        <v>2908</v>
      </c>
      <c r="AG52" s="39" t="s">
        <v>2908</v>
      </c>
      <c r="AH52" s="39" t="s">
        <v>2908</v>
      </c>
      <c r="AJ52" t="e">
        <f t="shared" si="2"/>
        <v>#N/A</v>
      </c>
      <c r="AK52" t="e">
        <f t="shared" si="3"/>
        <v>#N/A</v>
      </c>
      <c r="AL52" t="e">
        <f t="shared" si="4"/>
        <v>#N/A</v>
      </c>
      <c r="AM52" t="e">
        <f t="shared" si="5"/>
        <v>#N/A</v>
      </c>
      <c r="AN52" t="e">
        <f t="shared" si="6"/>
        <v>#N/A</v>
      </c>
      <c r="AO52" t="e">
        <f t="shared" si="7"/>
        <v>#N/A</v>
      </c>
      <c r="AP52" t="e">
        <f t="shared" si="8"/>
        <v>#N/A</v>
      </c>
      <c r="AQ52" t="e">
        <f t="shared" si="9"/>
        <v>#N/A</v>
      </c>
      <c r="AS52">
        <v>1000</v>
      </c>
      <c r="AT52">
        <v>1000</v>
      </c>
      <c r="AU52">
        <v>1000</v>
      </c>
      <c r="AV52">
        <v>1000</v>
      </c>
      <c r="AW52">
        <v>1000</v>
      </c>
      <c r="AX52">
        <v>1000</v>
      </c>
      <c r="AY52">
        <v>1000</v>
      </c>
      <c r="AZ52">
        <v>1000</v>
      </c>
      <c r="BB52" t="e">
        <f t="shared" si="10"/>
        <v>#N/A</v>
      </c>
      <c r="BC52" t="e">
        <f t="shared" si="11"/>
        <v>#N/A</v>
      </c>
      <c r="BD52" t="e">
        <f t="shared" si="12"/>
        <v>#N/A</v>
      </c>
      <c r="BE52" t="e">
        <f t="shared" si="13"/>
        <v>#N/A</v>
      </c>
      <c r="BF52" t="e">
        <f t="shared" si="14"/>
        <v>#N/A</v>
      </c>
      <c r="BG52" t="e">
        <f t="shared" si="15"/>
        <v>#N/A</v>
      </c>
      <c r="BH52" t="e">
        <f t="shared" si="16"/>
        <v>#N/A</v>
      </c>
      <c r="BI52" t="e">
        <f t="shared" si="17"/>
        <v>#N/A</v>
      </c>
    </row>
    <row r="53" spans="2:61" ht="42" thickBot="1" x14ac:dyDescent="0.3">
      <c r="Y53" s="39" t="s">
        <v>32</v>
      </c>
      <c r="Z53" s="39" t="s">
        <v>2172</v>
      </c>
      <c r="AA53" s="39" t="s">
        <v>1884</v>
      </c>
      <c r="AB53" s="39" t="s">
        <v>1885</v>
      </c>
      <c r="AC53" s="39" t="s">
        <v>1886</v>
      </c>
      <c r="AD53" s="39" t="s">
        <v>1887</v>
      </c>
      <c r="AE53" s="39" t="s">
        <v>1888</v>
      </c>
      <c r="AF53" s="39" t="s">
        <v>1889</v>
      </c>
      <c r="AG53" s="39" t="s">
        <v>1890</v>
      </c>
      <c r="AH53" s="39" t="s">
        <v>1891</v>
      </c>
      <c r="AJ53" t="str">
        <f t="shared" si="2"/>
        <v xml:space="preserve">0.474 </v>
      </c>
      <c r="AK53" t="str">
        <f t="shared" si="3"/>
        <v xml:space="preserve">0.391 </v>
      </c>
      <c r="AL53" t="str">
        <f t="shared" si="4"/>
        <v xml:space="preserve">0.446 </v>
      </c>
      <c r="AM53" t="str">
        <f t="shared" si="5"/>
        <v xml:space="preserve">0.645 </v>
      </c>
      <c r="AN53" t="str">
        <f t="shared" si="6"/>
        <v xml:space="preserve">10.9 </v>
      </c>
      <c r="AO53" t="str">
        <f t="shared" si="7"/>
        <v xml:space="preserve">1.52 </v>
      </c>
      <c r="AP53" t="str">
        <f t="shared" si="8"/>
        <v xml:space="preserve">1.75 </v>
      </c>
      <c r="AQ53" t="str">
        <f t="shared" si="9"/>
        <v xml:space="preserve">1.98 </v>
      </c>
      <c r="AS53">
        <v>1000</v>
      </c>
      <c r="AT53">
        <v>1000</v>
      </c>
      <c r="AU53">
        <v>1000</v>
      </c>
      <c r="AV53">
        <v>1000</v>
      </c>
      <c r="AW53">
        <v>1000</v>
      </c>
      <c r="AX53">
        <v>1000</v>
      </c>
      <c r="AY53">
        <v>1000</v>
      </c>
      <c r="AZ53">
        <v>1000</v>
      </c>
      <c r="BB53">
        <f t="shared" si="10"/>
        <v>474</v>
      </c>
      <c r="BC53">
        <f t="shared" si="11"/>
        <v>391</v>
      </c>
      <c r="BD53">
        <f t="shared" si="12"/>
        <v>446</v>
      </c>
      <c r="BE53">
        <f t="shared" si="13"/>
        <v>645</v>
      </c>
      <c r="BF53">
        <f t="shared" si="14"/>
        <v>10900</v>
      </c>
      <c r="BG53">
        <f t="shared" si="15"/>
        <v>1520</v>
      </c>
      <c r="BH53">
        <f t="shared" si="16"/>
        <v>1750</v>
      </c>
      <c r="BI53">
        <f t="shared" si="17"/>
        <v>1980</v>
      </c>
    </row>
    <row r="54" spans="2:61" ht="55.8" thickBot="1" x14ac:dyDescent="0.3">
      <c r="Y54" s="39" t="s">
        <v>843</v>
      </c>
      <c r="Z54" s="39" t="s">
        <v>2928</v>
      </c>
      <c r="AA54" s="39" t="s">
        <v>1165</v>
      </c>
      <c r="AB54" s="39" t="s">
        <v>1165</v>
      </c>
      <c r="AC54" s="39" t="s">
        <v>1165</v>
      </c>
      <c r="AD54" s="39" t="s">
        <v>1822</v>
      </c>
      <c r="AE54" s="39" t="s">
        <v>1823</v>
      </c>
      <c r="AF54" s="39" t="s">
        <v>1824</v>
      </c>
      <c r="AG54" s="39" t="s">
        <v>1825</v>
      </c>
      <c r="AH54" s="39" t="s">
        <v>1826</v>
      </c>
      <c r="AJ54" t="e">
        <f t="shared" si="2"/>
        <v>#N/A</v>
      </c>
      <c r="AK54" t="e">
        <f t="shared" si="3"/>
        <v>#N/A</v>
      </c>
      <c r="AL54" t="e">
        <f t="shared" si="4"/>
        <v>#N/A</v>
      </c>
      <c r="AM54" t="str">
        <f t="shared" si="5"/>
        <v xml:space="preserve">0.412 </v>
      </c>
      <c r="AN54" t="str">
        <f t="shared" si="6"/>
        <v xml:space="preserve">0.393 </v>
      </c>
      <c r="AO54" t="str">
        <f t="shared" si="7"/>
        <v xml:space="preserve">0.525 </v>
      </c>
      <c r="AP54" t="str">
        <f t="shared" si="8"/>
        <v xml:space="preserve">0.675 </v>
      </c>
      <c r="AQ54" t="str">
        <f t="shared" si="9"/>
        <v xml:space="preserve">0.843 </v>
      </c>
      <c r="AS54">
        <v>1000</v>
      </c>
      <c r="AT54">
        <v>1000</v>
      </c>
      <c r="AU54">
        <v>1000</v>
      </c>
      <c r="AV54">
        <v>1000</v>
      </c>
      <c r="AW54">
        <v>1000</v>
      </c>
      <c r="AX54">
        <v>1000</v>
      </c>
      <c r="AY54">
        <v>1000</v>
      </c>
      <c r="AZ54">
        <v>1000</v>
      </c>
      <c r="BB54" t="e">
        <f t="shared" si="10"/>
        <v>#N/A</v>
      </c>
      <c r="BC54" t="e">
        <f t="shared" si="11"/>
        <v>#N/A</v>
      </c>
      <c r="BD54" t="e">
        <f t="shared" si="12"/>
        <v>#N/A</v>
      </c>
      <c r="BE54">
        <f t="shared" si="13"/>
        <v>412</v>
      </c>
      <c r="BF54">
        <f t="shared" si="14"/>
        <v>393</v>
      </c>
      <c r="BG54">
        <f t="shared" si="15"/>
        <v>525</v>
      </c>
      <c r="BH54">
        <f t="shared" si="16"/>
        <v>675</v>
      </c>
      <c r="BI54">
        <f t="shared" si="17"/>
        <v>843</v>
      </c>
    </row>
    <row r="55" spans="2:61" ht="55.8" thickBot="1" x14ac:dyDescent="0.3">
      <c r="Y55" s="39" t="s">
        <v>1515</v>
      </c>
      <c r="Z55" s="39" t="s">
        <v>2929</v>
      </c>
      <c r="AA55" s="39" t="s">
        <v>1827</v>
      </c>
      <c r="AB55" s="39" t="s">
        <v>1165</v>
      </c>
      <c r="AC55" s="39" t="s">
        <v>1828</v>
      </c>
      <c r="AD55" s="39" t="s">
        <v>1829</v>
      </c>
      <c r="AE55" s="39" t="s">
        <v>1830</v>
      </c>
      <c r="AF55" s="39" t="s">
        <v>1831</v>
      </c>
      <c r="AG55" s="39" t="s">
        <v>1832</v>
      </c>
      <c r="AH55" s="39" t="s">
        <v>1833</v>
      </c>
      <c r="AJ55" t="str">
        <f t="shared" si="2"/>
        <v xml:space="preserve">0.306 </v>
      </c>
      <c r="AK55" t="e">
        <f t="shared" si="3"/>
        <v>#N/A</v>
      </c>
      <c r="AL55" t="str">
        <f t="shared" si="4"/>
        <v xml:space="preserve">1.02 </v>
      </c>
      <c r="AM55" t="str">
        <f t="shared" si="5"/>
        <v xml:space="preserve">1.56 </v>
      </c>
      <c r="AN55" t="str">
        <f t="shared" si="6"/>
        <v xml:space="preserve">2.01 </v>
      </c>
      <c r="AO55" t="str">
        <f t="shared" si="7"/>
        <v xml:space="preserve">3.4 </v>
      </c>
      <c r="AP55" t="str">
        <f t="shared" si="8"/>
        <v xml:space="preserve">4.97 </v>
      </c>
      <c r="AQ55" t="str">
        <f t="shared" si="9"/>
        <v xml:space="preserve">5.04 </v>
      </c>
      <c r="AS55">
        <v>1000</v>
      </c>
      <c r="AT55">
        <v>1000</v>
      </c>
      <c r="AU55">
        <v>1000</v>
      </c>
      <c r="AV55">
        <v>1000</v>
      </c>
      <c r="AW55">
        <v>1000</v>
      </c>
      <c r="AX55">
        <v>1000</v>
      </c>
      <c r="AY55">
        <v>1000</v>
      </c>
      <c r="AZ55">
        <v>1000</v>
      </c>
      <c r="BB55">
        <f t="shared" si="10"/>
        <v>306</v>
      </c>
      <c r="BC55" t="e">
        <f t="shared" si="11"/>
        <v>#N/A</v>
      </c>
      <c r="BD55">
        <f t="shared" si="12"/>
        <v>1020</v>
      </c>
      <c r="BE55">
        <f t="shared" si="13"/>
        <v>1560</v>
      </c>
      <c r="BF55">
        <f t="shared" si="14"/>
        <v>2009.9999999999998</v>
      </c>
      <c r="BG55">
        <f t="shared" si="15"/>
        <v>3400</v>
      </c>
      <c r="BH55">
        <f t="shared" si="16"/>
        <v>4970</v>
      </c>
      <c r="BI55">
        <f t="shared" si="17"/>
        <v>5040</v>
      </c>
    </row>
    <row r="56" spans="2:61" ht="69.599999999999994" thickBot="1" x14ac:dyDescent="0.3">
      <c r="Y56" s="39" t="s">
        <v>862</v>
      </c>
      <c r="Z56" s="39" t="s">
        <v>2183</v>
      </c>
      <c r="AA56" s="39" t="s">
        <v>2908</v>
      </c>
      <c r="AB56" s="39" t="s">
        <v>2908</v>
      </c>
      <c r="AC56" s="39" t="s">
        <v>2908</v>
      </c>
      <c r="AD56" s="39" t="s">
        <v>2908</v>
      </c>
      <c r="AE56" s="39" t="s">
        <v>2908</v>
      </c>
      <c r="AF56" s="39" t="s">
        <v>2908</v>
      </c>
      <c r="AG56" s="39" t="s">
        <v>2908</v>
      </c>
      <c r="AH56" s="39" t="s">
        <v>2908</v>
      </c>
      <c r="AJ56" t="e">
        <f t="shared" si="2"/>
        <v>#N/A</v>
      </c>
      <c r="AK56" t="e">
        <f t="shared" si="3"/>
        <v>#N/A</v>
      </c>
      <c r="AL56" t="e">
        <f t="shared" si="4"/>
        <v>#N/A</v>
      </c>
      <c r="AM56" t="e">
        <f t="shared" si="5"/>
        <v>#N/A</v>
      </c>
      <c r="AN56" t="e">
        <f t="shared" si="6"/>
        <v>#N/A</v>
      </c>
      <c r="AO56" t="e">
        <f t="shared" si="7"/>
        <v>#N/A</v>
      </c>
      <c r="AP56" t="e">
        <f t="shared" si="8"/>
        <v>#N/A</v>
      </c>
      <c r="AQ56" t="e">
        <f t="shared" si="9"/>
        <v>#N/A</v>
      </c>
      <c r="AS56">
        <v>1000</v>
      </c>
      <c r="AT56">
        <v>1000</v>
      </c>
      <c r="AU56">
        <v>1000</v>
      </c>
      <c r="AV56">
        <v>1000</v>
      </c>
      <c r="AW56">
        <v>1000</v>
      </c>
      <c r="AX56">
        <v>1000</v>
      </c>
      <c r="AY56">
        <v>1000</v>
      </c>
      <c r="AZ56">
        <v>1000</v>
      </c>
      <c r="BB56" t="e">
        <f t="shared" si="10"/>
        <v>#N/A</v>
      </c>
      <c r="BC56" t="e">
        <f t="shared" si="11"/>
        <v>#N/A</v>
      </c>
      <c r="BD56" t="e">
        <f t="shared" si="12"/>
        <v>#N/A</v>
      </c>
      <c r="BE56" t="e">
        <f t="shared" si="13"/>
        <v>#N/A</v>
      </c>
      <c r="BF56" t="e">
        <f t="shared" si="14"/>
        <v>#N/A</v>
      </c>
      <c r="BG56" t="e">
        <f t="shared" si="15"/>
        <v>#N/A</v>
      </c>
      <c r="BH56" t="e">
        <f t="shared" si="16"/>
        <v>#N/A</v>
      </c>
      <c r="BI56" t="e">
        <f t="shared" si="17"/>
        <v>#N/A</v>
      </c>
    </row>
    <row r="57" spans="2:61" ht="42" thickBot="1" x14ac:dyDescent="0.3">
      <c r="Y57" s="39" t="s">
        <v>7869</v>
      </c>
      <c r="Z57" s="39" t="s">
        <v>2185</v>
      </c>
      <c r="AA57" s="39" t="s">
        <v>2908</v>
      </c>
      <c r="AB57" s="39" t="s">
        <v>2908</v>
      </c>
      <c r="AC57" s="39" t="s">
        <v>2908</v>
      </c>
      <c r="AD57" s="39" t="s">
        <v>2908</v>
      </c>
      <c r="AE57" s="39" t="s">
        <v>2908</v>
      </c>
      <c r="AF57" s="39" t="s">
        <v>2908</v>
      </c>
      <c r="AG57" s="39" t="s">
        <v>2908</v>
      </c>
      <c r="AH57" s="39" t="s">
        <v>2908</v>
      </c>
      <c r="AJ57" t="e">
        <f t="shared" si="2"/>
        <v>#N/A</v>
      </c>
      <c r="AK57" t="e">
        <f t="shared" si="3"/>
        <v>#N/A</v>
      </c>
      <c r="AL57" t="e">
        <f t="shared" si="4"/>
        <v>#N/A</v>
      </c>
      <c r="AM57" t="e">
        <f t="shared" si="5"/>
        <v>#N/A</v>
      </c>
      <c r="AN57" t="e">
        <f t="shared" si="6"/>
        <v>#N/A</v>
      </c>
      <c r="AO57" t="e">
        <f t="shared" si="7"/>
        <v>#N/A</v>
      </c>
      <c r="AP57" t="e">
        <f t="shared" si="8"/>
        <v>#N/A</v>
      </c>
      <c r="AQ57" t="e">
        <f t="shared" si="9"/>
        <v>#N/A</v>
      </c>
      <c r="AS57">
        <v>1000</v>
      </c>
      <c r="AT57">
        <v>1000</v>
      </c>
      <c r="AU57">
        <v>1000</v>
      </c>
      <c r="AV57">
        <v>1000</v>
      </c>
      <c r="AW57">
        <v>1000</v>
      </c>
      <c r="AX57">
        <v>1000</v>
      </c>
      <c r="AY57">
        <v>1000</v>
      </c>
      <c r="AZ57">
        <v>1000</v>
      </c>
      <c r="BB57" t="e">
        <f t="shared" si="10"/>
        <v>#N/A</v>
      </c>
      <c r="BC57" t="e">
        <f t="shared" si="11"/>
        <v>#N/A</v>
      </c>
      <c r="BD57" t="e">
        <f t="shared" si="12"/>
        <v>#N/A</v>
      </c>
      <c r="BE57" t="e">
        <f t="shared" si="13"/>
        <v>#N/A</v>
      </c>
      <c r="BF57" t="e">
        <f t="shared" si="14"/>
        <v>#N/A</v>
      </c>
      <c r="BG57" t="e">
        <f t="shared" si="15"/>
        <v>#N/A</v>
      </c>
      <c r="BH57" t="e">
        <f t="shared" si="16"/>
        <v>#N/A</v>
      </c>
      <c r="BI57" t="e">
        <f t="shared" si="17"/>
        <v>#N/A</v>
      </c>
    </row>
    <row r="58" spans="2:61" ht="42" thickBot="1" x14ac:dyDescent="0.3">
      <c r="Y58" s="39" t="s">
        <v>1016</v>
      </c>
      <c r="Z58" s="39" t="s">
        <v>2930</v>
      </c>
      <c r="AA58" s="39" t="s">
        <v>2908</v>
      </c>
      <c r="AB58" s="39" t="s">
        <v>2908</v>
      </c>
      <c r="AC58" s="39" t="s">
        <v>2908</v>
      </c>
      <c r="AD58" s="39" t="s">
        <v>2908</v>
      </c>
      <c r="AE58" s="39" t="s">
        <v>2908</v>
      </c>
      <c r="AF58" s="39" t="s">
        <v>2908</v>
      </c>
      <c r="AG58" s="39" t="s">
        <v>2908</v>
      </c>
      <c r="AH58" s="39" t="s">
        <v>2908</v>
      </c>
      <c r="AJ58" t="e">
        <f t="shared" si="2"/>
        <v>#N/A</v>
      </c>
      <c r="AK58" t="e">
        <f t="shared" si="3"/>
        <v>#N/A</v>
      </c>
      <c r="AL58" t="e">
        <f t="shared" si="4"/>
        <v>#N/A</v>
      </c>
      <c r="AM58" t="e">
        <f t="shared" si="5"/>
        <v>#N/A</v>
      </c>
      <c r="AN58" t="e">
        <f t="shared" si="6"/>
        <v>#N/A</v>
      </c>
      <c r="AO58" t="e">
        <f t="shared" si="7"/>
        <v>#N/A</v>
      </c>
      <c r="AP58" t="e">
        <f t="shared" si="8"/>
        <v>#N/A</v>
      </c>
      <c r="AQ58" t="e">
        <f t="shared" si="9"/>
        <v>#N/A</v>
      </c>
      <c r="AS58">
        <v>1000</v>
      </c>
      <c r="AT58">
        <v>1000</v>
      </c>
      <c r="AU58">
        <v>1000</v>
      </c>
      <c r="AV58">
        <v>1000</v>
      </c>
      <c r="AW58">
        <v>1000</v>
      </c>
      <c r="AX58">
        <v>1000</v>
      </c>
      <c r="AY58">
        <v>1000</v>
      </c>
      <c r="AZ58">
        <v>1000</v>
      </c>
      <c r="BB58" t="e">
        <f t="shared" si="10"/>
        <v>#N/A</v>
      </c>
      <c r="BC58" t="e">
        <f t="shared" si="11"/>
        <v>#N/A</v>
      </c>
      <c r="BD58" t="e">
        <f t="shared" si="12"/>
        <v>#N/A</v>
      </c>
      <c r="BE58" t="e">
        <f t="shared" si="13"/>
        <v>#N/A</v>
      </c>
      <c r="BF58" t="e">
        <f t="shared" si="14"/>
        <v>#N/A</v>
      </c>
      <c r="BG58" t="e">
        <f t="shared" si="15"/>
        <v>#N/A</v>
      </c>
      <c r="BH58" t="e">
        <f t="shared" si="16"/>
        <v>#N/A</v>
      </c>
      <c r="BI58" t="e">
        <f t="shared" si="17"/>
        <v>#N/A</v>
      </c>
    </row>
    <row r="59" spans="2:61" ht="28.2" thickBot="1" x14ac:dyDescent="0.3">
      <c r="Y59" s="39" t="s">
        <v>929</v>
      </c>
      <c r="Z59" s="39" t="s">
        <v>2331</v>
      </c>
      <c r="AA59" s="39" t="s">
        <v>2908</v>
      </c>
      <c r="AB59" s="39" t="s">
        <v>2908</v>
      </c>
      <c r="AC59" s="39" t="s">
        <v>2908</v>
      </c>
      <c r="AD59" s="39" t="s">
        <v>2908</v>
      </c>
      <c r="AE59" s="39" t="s">
        <v>2908</v>
      </c>
      <c r="AF59" s="39" t="s">
        <v>2908</v>
      </c>
      <c r="AG59" s="39" t="s">
        <v>2908</v>
      </c>
      <c r="AH59" s="39" t="s">
        <v>2908</v>
      </c>
      <c r="AJ59" t="e">
        <f t="shared" si="2"/>
        <v>#N/A</v>
      </c>
      <c r="AK59" t="e">
        <f t="shared" si="3"/>
        <v>#N/A</v>
      </c>
      <c r="AL59" t="e">
        <f t="shared" si="4"/>
        <v>#N/A</v>
      </c>
      <c r="AM59" t="e">
        <f t="shared" si="5"/>
        <v>#N/A</v>
      </c>
      <c r="AN59" t="e">
        <f t="shared" si="6"/>
        <v>#N/A</v>
      </c>
      <c r="AO59" t="e">
        <f t="shared" si="7"/>
        <v>#N/A</v>
      </c>
      <c r="AP59" t="e">
        <f t="shared" si="8"/>
        <v>#N/A</v>
      </c>
      <c r="AQ59" t="e">
        <f t="shared" si="9"/>
        <v>#N/A</v>
      </c>
      <c r="AS59">
        <v>1000</v>
      </c>
      <c r="AT59">
        <v>1000</v>
      </c>
      <c r="AU59">
        <v>1000</v>
      </c>
      <c r="AV59">
        <v>1000</v>
      </c>
      <c r="AW59">
        <v>1000</v>
      </c>
      <c r="AX59">
        <v>1000</v>
      </c>
      <c r="AY59">
        <v>1000</v>
      </c>
      <c r="AZ59">
        <v>1000</v>
      </c>
      <c r="BB59" t="e">
        <f t="shared" si="10"/>
        <v>#N/A</v>
      </c>
      <c r="BC59" t="e">
        <f t="shared" si="11"/>
        <v>#N/A</v>
      </c>
      <c r="BD59" t="e">
        <f t="shared" si="12"/>
        <v>#N/A</v>
      </c>
      <c r="BE59" t="e">
        <f t="shared" si="13"/>
        <v>#N/A</v>
      </c>
      <c r="BF59" t="e">
        <f t="shared" si="14"/>
        <v>#N/A</v>
      </c>
      <c r="BG59" t="e">
        <f t="shared" si="15"/>
        <v>#N/A</v>
      </c>
      <c r="BH59" t="e">
        <f t="shared" si="16"/>
        <v>#N/A</v>
      </c>
      <c r="BI59" t="e">
        <f t="shared" si="17"/>
        <v>#N/A</v>
      </c>
    </row>
    <row r="60" spans="2:61" ht="55.8" thickBot="1" x14ac:dyDescent="0.3">
      <c r="Y60" s="39" t="s">
        <v>956</v>
      </c>
      <c r="Z60" s="39" t="s">
        <v>2337</v>
      </c>
      <c r="AA60" s="39" t="s">
        <v>2908</v>
      </c>
      <c r="AB60" s="39" t="s">
        <v>2908</v>
      </c>
      <c r="AC60" s="39" t="s">
        <v>2908</v>
      </c>
      <c r="AD60" s="39" t="s">
        <v>2908</v>
      </c>
      <c r="AE60" s="39" t="s">
        <v>2908</v>
      </c>
      <c r="AF60" s="39" t="s">
        <v>2908</v>
      </c>
      <c r="AG60" s="39" t="s">
        <v>2908</v>
      </c>
      <c r="AH60" s="39" t="s">
        <v>2908</v>
      </c>
      <c r="AJ60" t="e">
        <f t="shared" si="2"/>
        <v>#N/A</v>
      </c>
      <c r="AK60" t="e">
        <f t="shared" si="3"/>
        <v>#N/A</v>
      </c>
      <c r="AL60" t="e">
        <f t="shared" si="4"/>
        <v>#N/A</v>
      </c>
      <c r="AM60" t="e">
        <f t="shared" si="5"/>
        <v>#N/A</v>
      </c>
      <c r="AN60" t="e">
        <f t="shared" si="6"/>
        <v>#N/A</v>
      </c>
      <c r="AO60" t="e">
        <f t="shared" si="7"/>
        <v>#N/A</v>
      </c>
      <c r="AP60" t="e">
        <f t="shared" si="8"/>
        <v>#N/A</v>
      </c>
      <c r="AQ60" t="e">
        <f t="shared" si="9"/>
        <v>#N/A</v>
      </c>
      <c r="AS60">
        <v>1000</v>
      </c>
      <c r="AT60">
        <v>1000</v>
      </c>
      <c r="AU60">
        <v>1000</v>
      </c>
      <c r="AV60">
        <v>1000</v>
      </c>
      <c r="AW60">
        <v>1000</v>
      </c>
      <c r="AX60">
        <v>1000</v>
      </c>
      <c r="AY60">
        <v>1000</v>
      </c>
      <c r="AZ60">
        <v>1000</v>
      </c>
      <c r="BB60" t="e">
        <f t="shared" si="10"/>
        <v>#N/A</v>
      </c>
      <c r="BC60" t="e">
        <f t="shared" si="11"/>
        <v>#N/A</v>
      </c>
      <c r="BD60" t="e">
        <f t="shared" si="12"/>
        <v>#N/A</v>
      </c>
      <c r="BE60" t="e">
        <f t="shared" si="13"/>
        <v>#N/A</v>
      </c>
      <c r="BF60" t="e">
        <f t="shared" si="14"/>
        <v>#N/A</v>
      </c>
      <c r="BG60" t="e">
        <f t="shared" si="15"/>
        <v>#N/A</v>
      </c>
      <c r="BH60" t="e">
        <f t="shared" si="16"/>
        <v>#N/A</v>
      </c>
      <c r="BI60" t="e">
        <f t="shared" si="17"/>
        <v>#N/A</v>
      </c>
    </row>
    <row r="61" spans="2:61" ht="42" thickBot="1" x14ac:dyDescent="0.3">
      <c r="Y61" s="39" t="s">
        <v>978</v>
      </c>
      <c r="Z61" s="39" t="s">
        <v>2365</v>
      </c>
      <c r="AA61" s="39" t="s">
        <v>1601</v>
      </c>
      <c r="AB61" s="39" t="s">
        <v>1602</v>
      </c>
      <c r="AC61" s="39" t="s">
        <v>1603</v>
      </c>
      <c r="AD61" s="39" t="s">
        <v>1604</v>
      </c>
      <c r="AE61" s="39" t="s">
        <v>1605</v>
      </c>
      <c r="AF61" s="39" t="s">
        <v>1606</v>
      </c>
      <c r="AG61" s="39" t="s">
        <v>1607</v>
      </c>
      <c r="AH61" s="39" t="s">
        <v>1608</v>
      </c>
      <c r="AJ61" t="str">
        <f t="shared" si="2"/>
        <v xml:space="preserve">21.2 </v>
      </c>
      <c r="AK61" t="str">
        <f t="shared" si="3"/>
        <v xml:space="preserve">9.13 </v>
      </c>
      <c r="AL61" t="str">
        <f t="shared" si="4"/>
        <v xml:space="preserve">9.2 </v>
      </c>
      <c r="AM61" t="str">
        <f t="shared" si="5"/>
        <v xml:space="preserve">6.94 </v>
      </c>
      <c r="AN61" t="str">
        <f t="shared" si="6"/>
        <v xml:space="preserve">10.5 </v>
      </c>
      <c r="AO61" t="str">
        <f t="shared" si="7"/>
        <v xml:space="preserve">1.39 </v>
      </c>
      <c r="AP61" t="str">
        <f t="shared" si="8"/>
        <v xml:space="preserve">0.779 </v>
      </c>
      <c r="AQ61" t="str">
        <f t="shared" si="9"/>
        <v xml:space="preserve">0.297 </v>
      </c>
      <c r="AS61">
        <v>1000</v>
      </c>
      <c r="AT61">
        <v>1000</v>
      </c>
      <c r="AU61">
        <v>1000</v>
      </c>
      <c r="AV61">
        <v>1000</v>
      </c>
      <c r="AW61">
        <v>1000</v>
      </c>
      <c r="AX61">
        <v>1000</v>
      </c>
      <c r="AY61">
        <v>1000</v>
      </c>
      <c r="AZ61">
        <v>1000</v>
      </c>
      <c r="BB61">
        <f t="shared" si="10"/>
        <v>21200</v>
      </c>
      <c r="BC61">
        <f t="shared" si="11"/>
        <v>9130</v>
      </c>
      <c r="BD61">
        <f t="shared" si="12"/>
        <v>9200</v>
      </c>
      <c r="BE61">
        <f t="shared" si="13"/>
        <v>6940</v>
      </c>
      <c r="BF61">
        <f t="shared" si="14"/>
        <v>10500</v>
      </c>
      <c r="BG61">
        <f t="shared" si="15"/>
        <v>1390</v>
      </c>
      <c r="BH61">
        <f t="shared" si="16"/>
        <v>779</v>
      </c>
      <c r="BI61">
        <f t="shared" si="17"/>
        <v>297</v>
      </c>
    </row>
    <row r="62" spans="2:61" ht="42" thickBot="1" x14ac:dyDescent="0.3">
      <c r="Y62" s="39" t="s">
        <v>996</v>
      </c>
      <c r="Z62" s="39" t="s">
        <v>2186</v>
      </c>
      <c r="AA62" s="39" t="s">
        <v>1739</v>
      </c>
      <c r="AB62" s="39" t="s">
        <v>1740</v>
      </c>
      <c r="AC62" s="39" t="s">
        <v>1741</v>
      </c>
      <c r="AD62" s="39" t="s">
        <v>8134</v>
      </c>
      <c r="AE62" s="39" t="s">
        <v>8135</v>
      </c>
      <c r="AF62" s="39" t="s">
        <v>8136</v>
      </c>
      <c r="AG62" s="39" t="s">
        <v>1744</v>
      </c>
      <c r="AH62" s="39" t="s">
        <v>1165</v>
      </c>
      <c r="AJ62" t="str">
        <f t="shared" si="2"/>
        <v xml:space="preserve">4 </v>
      </c>
      <c r="AK62" t="str">
        <f t="shared" si="3"/>
        <v xml:space="preserve">1.1 </v>
      </c>
      <c r="AL62" t="str">
        <f t="shared" si="4"/>
        <v xml:space="preserve">3.42 </v>
      </c>
      <c r="AM62" t="str">
        <f t="shared" si="5"/>
        <v xml:space="preserve">2.42 </v>
      </c>
      <c r="AN62" t="str">
        <f t="shared" si="6"/>
        <v xml:space="preserve">8.14 </v>
      </c>
      <c r="AO62" t="str">
        <f t="shared" si="7"/>
        <v xml:space="preserve">1.08 </v>
      </c>
      <c r="AP62" t="str">
        <f t="shared" si="8"/>
        <v xml:space="preserve">8.66 </v>
      </c>
      <c r="AQ62" t="e">
        <f t="shared" si="9"/>
        <v>#N/A</v>
      </c>
      <c r="AS62">
        <v>1000</v>
      </c>
      <c r="AT62">
        <v>1000</v>
      </c>
      <c r="AU62">
        <v>1000</v>
      </c>
      <c r="AV62">
        <v>1000</v>
      </c>
      <c r="AW62">
        <v>1000</v>
      </c>
      <c r="AX62">
        <v>1000</v>
      </c>
      <c r="AY62">
        <v>1000</v>
      </c>
      <c r="AZ62">
        <v>1000</v>
      </c>
      <c r="BB62">
        <f t="shared" si="10"/>
        <v>4000</v>
      </c>
      <c r="BC62">
        <f t="shared" si="11"/>
        <v>1100</v>
      </c>
      <c r="BD62">
        <f t="shared" si="12"/>
        <v>3420</v>
      </c>
      <c r="BE62">
        <f t="shared" si="13"/>
        <v>2420</v>
      </c>
      <c r="BF62">
        <f t="shared" si="14"/>
        <v>8140.0000000000009</v>
      </c>
      <c r="BG62">
        <f t="shared" si="15"/>
        <v>1080</v>
      </c>
      <c r="BH62">
        <f t="shared" si="16"/>
        <v>8660</v>
      </c>
      <c r="BI62" t="e">
        <f t="shared" si="17"/>
        <v>#N/A</v>
      </c>
    </row>
    <row r="63" spans="2:61" ht="42" thickBot="1" x14ac:dyDescent="0.3">
      <c r="Y63" s="39" t="s">
        <v>990</v>
      </c>
      <c r="Z63" s="39" t="s">
        <v>2382</v>
      </c>
      <c r="AA63" s="39" t="s">
        <v>1712</v>
      </c>
      <c r="AB63" s="39" t="s">
        <v>1165</v>
      </c>
      <c r="AC63" s="39" t="s">
        <v>1713</v>
      </c>
      <c r="AD63" s="39" t="s">
        <v>1165</v>
      </c>
      <c r="AE63" s="39" t="s">
        <v>1165</v>
      </c>
      <c r="AF63" s="39" t="s">
        <v>1165</v>
      </c>
      <c r="AG63" s="39" t="s">
        <v>1165</v>
      </c>
      <c r="AH63" s="39" t="s">
        <v>1165</v>
      </c>
      <c r="AJ63" t="str">
        <f t="shared" si="2"/>
        <v xml:space="preserve">1.07 </v>
      </c>
      <c r="AK63" t="e">
        <f t="shared" si="3"/>
        <v>#N/A</v>
      </c>
      <c r="AL63" t="str">
        <f t="shared" si="4"/>
        <v xml:space="preserve">0.548 </v>
      </c>
      <c r="AM63" t="e">
        <f t="shared" si="5"/>
        <v>#N/A</v>
      </c>
      <c r="AN63" t="e">
        <f t="shared" si="6"/>
        <v>#N/A</v>
      </c>
      <c r="AO63" t="e">
        <f t="shared" si="7"/>
        <v>#N/A</v>
      </c>
      <c r="AP63" t="e">
        <f t="shared" si="8"/>
        <v>#N/A</v>
      </c>
      <c r="AQ63" t="e">
        <f t="shared" si="9"/>
        <v>#N/A</v>
      </c>
      <c r="AS63">
        <v>1000</v>
      </c>
      <c r="AT63">
        <v>1000</v>
      </c>
      <c r="AU63">
        <v>1000</v>
      </c>
      <c r="AV63">
        <v>1000</v>
      </c>
      <c r="AW63">
        <v>1000</v>
      </c>
      <c r="AX63">
        <v>1000</v>
      </c>
      <c r="AY63">
        <v>1000</v>
      </c>
      <c r="AZ63">
        <v>1000</v>
      </c>
      <c r="BB63">
        <f t="shared" si="10"/>
        <v>1070</v>
      </c>
      <c r="BC63" t="e">
        <f t="shared" si="11"/>
        <v>#N/A</v>
      </c>
      <c r="BD63">
        <f t="shared" si="12"/>
        <v>548</v>
      </c>
      <c r="BE63" t="e">
        <f t="shared" si="13"/>
        <v>#N/A</v>
      </c>
      <c r="BF63" t="e">
        <f t="shared" si="14"/>
        <v>#N/A</v>
      </c>
      <c r="BG63" t="e">
        <f t="shared" si="15"/>
        <v>#N/A</v>
      </c>
      <c r="BH63" t="e">
        <f t="shared" si="16"/>
        <v>#N/A</v>
      </c>
      <c r="BI63" t="e">
        <f t="shared" si="17"/>
        <v>#N/A</v>
      </c>
    </row>
    <row r="64" spans="2:61" ht="42" thickBot="1" x14ac:dyDescent="0.3">
      <c r="Y64" s="39" t="s">
        <v>1311</v>
      </c>
      <c r="Z64" s="39" t="s">
        <v>2393</v>
      </c>
      <c r="AA64" s="39" t="s">
        <v>1656</v>
      </c>
      <c r="AB64" s="39" t="s">
        <v>1657</v>
      </c>
      <c r="AC64" s="39" t="s">
        <v>1658</v>
      </c>
      <c r="AD64" s="39" t="s">
        <v>1659</v>
      </c>
      <c r="AE64" s="39" t="s">
        <v>1660</v>
      </c>
      <c r="AF64" s="39" t="s">
        <v>1661</v>
      </c>
      <c r="AG64" s="39" t="s">
        <v>1662</v>
      </c>
      <c r="AH64" s="39" t="s">
        <v>1663</v>
      </c>
      <c r="AJ64" t="str">
        <f t="shared" si="2"/>
        <v xml:space="preserve">17.2 </v>
      </c>
      <c r="AK64" t="str">
        <f t="shared" si="3"/>
        <v xml:space="preserve">7.91 </v>
      </c>
      <c r="AL64" t="str">
        <f t="shared" si="4"/>
        <v xml:space="preserve">11.2 </v>
      </c>
      <c r="AM64" t="str">
        <f t="shared" si="5"/>
        <v xml:space="preserve">5.67 </v>
      </c>
      <c r="AN64" t="str">
        <f t="shared" si="6"/>
        <v xml:space="preserve">12.2 </v>
      </c>
      <c r="AO64" t="str">
        <f t="shared" si="7"/>
        <v xml:space="preserve">5.55 </v>
      </c>
      <c r="AP64" t="str">
        <f t="shared" si="8"/>
        <v xml:space="preserve">10.9 </v>
      </c>
      <c r="AQ64" t="str">
        <f t="shared" si="9"/>
        <v xml:space="preserve">1.03 </v>
      </c>
      <c r="AS64">
        <v>1000</v>
      </c>
      <c r="AT64">
        <v>1000</v>
      </c>
      <c r="AU64">
        <v>1000</v>
      </c>
      <c r="AV64">
        <v>1000</v>
      </c>
      <c r="AW64">
        <v>1000</v>
      </c>
      <c r="AX64">
        <v>1000</v>
      </c>
      <c r="AY64">
        <v>1000</v>
      </c>
      <c r="AZ64">
        <v>1000</v>
      </c>
      <c r="BB64">
        <f t="shared" si="10"/>
        <v>17200</v>
      </c>
      <c r="BC64">
        <f t="shared" si="11"/>
        <v>7910</v>
      </c>
      <c r="BD64">
        <f t="shared" si="12"/>
        <v>11200</v>
      </c>
      <c r="BE64">
        <f t="shared" si="13"/>
        <v>5670</v>
      </c>
      <c r="BF64">
        <f t="shared" si="14"/>
        <v>12200</v>
      </c>
      <c r="BG64">
        <f t="shared" si="15"/>
        <v>5550</v>
      </c>
      <c r="BH64">
        <f t="shared" si="16"/>
        <v>10900</v>
      </c>
      <c r="BI64">
        <f t="shared" si="17"/>
        <v>1030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0E0D-BE70-49C7-924E-826B18B464F5}">
  <dimension ref="A1:J58"/>
  <sheetViews>
    <sheetView workbookViewId="0">
      <selection activeCell="M6" sqref="M6"/>
    </sheetView>
  </sheetViews>
  <sheetFormatPr defaultRowHeight="13.8" x14ac:dyDescent="0.25"/>
  <sheetData>
    <row r="1" spans="1:10" ht="34.200000000000003" x14ac:dyDescent="0.25">
      <c r="A1" s="6" t="s">
        <v>1982</v>
      </c>
      <c r="B1" s="6" t="s">
        <v>7</v>
      </c>
      <c r="C1" s="6" t="s">
        <v>1910</v>
      </c>
      <c r="D1" s="6" t="s">
        <v>1911</v>
      </c>
      <c r="E1" s="6"/>
      <c r="F1" s="6"/>
      <c r="G1" s="6" t="s">
        <v>1912</v>
      </c>
      <c r="H1" s="6" t="s">
        <v>1913</v>
      </c>
      <c r="I1" s="6"/>
      <c r="J1" s="6"/>
    </row>
    <row r="2" spans="1:10" x14ac:dyDescent="0.25">
      <c r="A2" s="6"/>
      <c r="B2" s="6"/>
      <c r="C2" s="6"/>
      <c r="D2" s="6" t="s">
        <v>1914</v>
      </c>
      <c r="E2" s="6" t="s">
        <v>1915</v>
      </c>
      <c r="F2" s="6" t="s">
        <v>1916</v>
      </c>
      <c r="G2" s="6"/>
      <c r="H2" s="6" t="s">
        <v>1914</v>
      </c>
      <c r="I2" s="6" t="s">
        <v>1915</v>
      </c>
      <c r="J2" s="6" t="s">
        <v>1916</v>
      </c>
    </row>
    <row r="3" spans="1:10" ht="22.8" x14ac:dyDescent="0.25">
      <c r="A3" s="6">
        <v>4</v>
      </c>
      <c r="B3" s="6" t="s">
        <v>1917</v>
      </c>
      <c r="C3" s="6">
        <v>56</v>
      </c>
      <c r="D3" s="6" t="s">
        <v>1918</v>
      </c>
      <c r="E3" s="6">
        <v>247.6</v>
      </c>
      <c r="F3" s="6">
        <v>257.2</v>
      </c>
      <c r="G3" s="6">
        <v>2.73</v>
      </c>
      <c r="H3" s="6">
        <v>121</v>
      </c>
      <c r="I3" s="6">
        <v>61</v>
      </c>
      <c r="J3" s="6">
        <v>69</v>
      </c>
    </row>
    <row r="4" spans="1:10" ht="45.6" x14ac:dyDescent="0.25">
      <c r="A4" s="6">
        <v>6</v>
      </c>
      <c r="B4" s="6" t="s">
        <v>1919</v>
      </c>
      <c r="C4" s="6">
        <v>55</v>
      </c>
      <c r="D4" s="6" t="s">
        <v>1920</v>
      </c>
      <c r="E4" s="6">
        <v>264.60000000000002</v>
      </c>
      <c r="F4" s="6">
        <v>164.2</v>
      </c>
      <c r="G4" s="6">
        <v>175</v>
      </c>
      <c r="H4" s="6">
        <v>2</v>
      </c>
      <c r="I4" s="6">
        <v>8</v>
      </c>
      <c r="J4" s="6">
        <v>9</v>
      </c>
    </row>
    <row r="5" spans="1:10" ht="22.8" x14ac:dyDescent="0.25">
      <c r="A5" s="6">
        <v>8</v>
      </c>
      <c r="B5" s="6" t="s">
        <v>1921</v>
      </c>
      <c r="C5" s="6">
        <v>53</v>
      </c>
      <c r="D5" s="6" t="s">
        <v>1922</v>
      </c>
      <c r="E5" s="6">
        <v>242.6</v>
      </c>
      <c r="F5" s="6">
        <v>272.98</v>
      </c>
      <c r="G5" s="6">
        <v>84</v>
      </c>
      <c r="H5" s="6">
        <v>9</v>
      </c>
      <c r="I5" s="6">
        <v>7</v>
      </c>
      <c r="J5" s="6">
        <v>8</v>
      </c>
    </row>
    <row r="6" spans="1:10" ht="22.8" x14ac:dyDescent="0.25">
      <c r="A6" s="6">
        <v>1</v>
      </c>
      <c r="B6" s="6" t="s">
        <v>1921</v>
      </c>
      <c r="C6" s="6">
        <v>45</v>
      </c>
      <c r="D6" s="6" t="s">
        <v>1923</v>
      </c>
      <c r="E6" s="6" t="s">
        <v>1165</v>
      </c>
      <c r="F6" s="6" t="s">
        <v>1165</v>
      </c>
      <c r="G6" s="6">
        <v>50</v>
      </c>
      <c r="H6" s="6" t="s">
        <v>1165</v>
      </c>
      <c r="I6" s="6" t="s">
        <v>1165</v>
      </c>
      <c r="J6" s="6" t="s">
        <v>1165</v>
      </c>
    </row>
    <row r="7" spans="1:10" ht="22.8" x14ac:dyDescent="0.25">
      <c r="A7" s="6">
        <v>3</v>
      </c>
      <c r="B7" s="6" t="s">
        <v>1924</v>
      </c>
      <c r="C7" s="6">
        <v>45</v>
      </c>
      <c r="D7" s="6" t="s">
        <v>1925</v>
      </c>
      <c r="E7" s="6" t="s">
        <v>1165</v>
      </c>
      <c r="F7" s="6" t="s">
        <v>1165</v>
      </c>
      <c r="G7" s="6" t="s">
        <v>1165</v>
      </c>
      <c r="H7" s="6" t="s">
        <v>1165</v>
      </c>
      <c r="I7" s="6" t="s">
        <v>1165</v>
      </c>
      <c r="J7" s="6" t="s">
        <v>1165</v>
      </c>
    </row>
    <row r="8" spans="1:10" ht="22.8" x14ac:dyDescent="0.25">
      <c r="A8" s="6">
        <v>9</v>
      </c>
      <c r="B8" s="6" t="s">
        <v>1926</v>
      </c>
      <c r="C8" s="6">
        <v>70</v>
      </c>
      <c r="D8" s="6" t="s">
        <v>1927</v>
      </c>
      <c r="E8" s="6">
        <v>6.18</v>
      </c>
      <c r="F8" s="6" t="s">
        <v>1165</v>
      </c>
      <c r="G8" s="6">
        <v>36.6</v>
      </c>
      <c r="H8" s="6" t="s">
        <v>1069</v>
      </c>
      <c r="I8" s="6" t="s">
        <v>1069</v>
      </c>
      <c r="J8" s="6" t="s">
        <v>1165</v>
      </c>
    </row>
    <row r="9" spans="1:10" ht="22.8" x14ac:dyDescent="0.25">
      <c r="A9" s="6">
        <v>11</v>
      </c>
      <c r="B9" s="6" t="s">
        <v>1928</v>
      </c>
      <c r="C9" s="6">
        <v>45</v>
      </c>
      <c r="D9" s="6" t="s">
        <v>1165</v>
      </c>
      <c r="E9" s="6" t="s">
        <v>1165</v>
      </c>
      <c r="F9" s="6">
        <v>25.53</v>
      </c>
      <c r="G9" s="6" t="s">
        <v>1165</v>
      </c>
      <c r="H9" s="6" t="s">
        <v>1165</v>
      </c>
      <c r="I9" s="6" t="s">
        <v>1983</v>
      </c>
      <c r="J9" s="6" t="s">
        <v>1165</v>
      </c>
    </row>
    <row r="10" spans="1:10" ht="34.200000000000003" x14ac:dyDescent="0.25">
      <c r="A10" s="6">
        <v>23</v>
      </c>
      <c r="B10" s="6" t="s">
        <v>1929</v>
      </c>
      <c r="C10" s="6">
        <v>43</v>
      </c>
      <c r="D10" s="6" t="s">
        <v>1930</v>
      </c>
      <c r="E10" s="6">
        <v>357.2</v>
      </c>
      <c r="F10" s="6">
        <v>361.05</v>
      </c>
      <c r="G10" s="6">
        <v>40</v>
      </c>
      <c r="H10" s="6">
        <v>7</v>
      </c>
      <c r="I10" s="6">
        <v>7</v>
      </c>
      <c r="J10" s="6">
        <v>4</v>
      </c>
    </row>
    <row r="11" spans="1:10" ht="45.6" x14ac:dyDescent="0.25">
      <c r="A11" s="6">
        <v>13</v>
      </c>
      <c r="B11" s="6" t="s">
        <v>1931</v>
      </c>
      <c r="C11" s="6">
        <v>70</v>
      </c>
      <c r="D11" s="6" t="s">
        <v>1165</v>
      </c>
      <c r="E11" s="6">
        <v>377.2</v>
      </c>
      <c r="F11" s="6">
        <v>186.02</v>
      </c>
      <c r="G11" s="6" t="s">
        <v>1165</v>
      </c>
      <c r="H11" s="6" t="s">
        <v>1165</v>
      </c>
      <c r="I11" s="6" t="s">
        <v>1165</v>
      </c>
      <c r="J11" s="6" t="s">
        <v>1165</v>
      </c>
    </row>
    <row r="12" spans="1:10" ht="22.8" x14ac:dyDescent="0.25">
      <c r="A12" s="6">
        <v>8</v>
      </c>
      <c r="B12" s="6" t="s">
        <v>1932</v>
      </c>
      <c r="C12" s="6">
        <v>56</v>
      </c>
      <c r="D12" s="6" t="s">
        <v>1933</v>
      </c>
      <c r="E12" s="6">
        <v>102.4</v>
      </c>
      <c r="F12" s="6">
        <v>85.53</v>
      </c>
      <c r="G12" s="6">
        <v>4</v>
      </c>
      <c r="H12" s="6" t="s">
        <v>1165</v>
      </c>
      <c r="I12" s="6" t="s">
        <v>1165</v>
      </c>
      <c r="J12" s="6">
        <v>9</v>
      </c>
    </row>
    <row r="13" spans="1:10" ht="22.8" x14ac:dyDescent="0.25">
      <c r="A13" s="6">
        <v>7</v>
      </c>
      <c r="B13" s="6" t="s">
        <v>765</v>
      </c>
      <c r="C13" s="6">
        <v>55</v>
      </c>
      <c r="D13" s="6" t="s">
        <v>1934</v>
      </c>
      <c r="E13" s="6">
        <v>44.6</v>
      </c>
      <c r="F13" s="6">
        <v>174.34</v>
      </c>
      <c r="G13" s="6">
        <v>667</v>
      </c>
      <c r="H13" s="6">
        <v>43</v>
      </c>
      <c r="I13" s="6">
        <v>47</v>
      </c>
      <c r="J13" s="6">
        <v>43</v>
      </c>
    </row>
    <row r="14" spans="1:10" ht="22.8" x14ac:dyDescent="0.25">
      <c r="A14" s="6">
        <v>12</v>
      </c>
      <c r="B14" s="6" t="s">
        <v>1935</v>
      </c>
      <c r="C14" s="6">
        <v>57</v>
      </c>
      <c r="D14" s="6" t="s">
        <v>1936</v>
      </c>
      <c r="E14" s="6">
        <v>88.2</v>
      </c>
      <c r="F14" s="6">
        <v>135.41999999999999</v>
      </c>
      <c r="G14" s="6">
        <v>687</v>
      </c>
      <c r="H14" s="6">
        <v>43</v>
      </c>
      <c r="I14" s="6">
        <v>47</v>
      </c>
      <c r="J14" s="6">
        <v>43</v>
      </c>
    </row>
    <row r="15" spans="1:10" ht="34.200000000000003" x14ac:dyDescent="0.25">
      <c r="A15" s="6">
        <v>24</v>
      </c>
      <c r="B15" s="6" t="s">
        <v>1937</v>
      </c>
      <c r="C15" s="6">
        <v>64</v>
      </c>
      <c r="D15" s="6" t="s">
        <v>1938</v>
      </c>
      <c r="E15" s="6">
        <v>2.19</v>
      </c>
      <c r="F15" s="6">
        <v>5.15</v>
      </c>
      <c r="G15" s="6">
        <v>0.122</v>
      </c>
      <c r="H15" s="6" t="s">
        <v>1165</v>
      </c>
      <c r="I15" s="6" t="s">
        <v>1165</v>
      </c>
      <c r="J15" s="6" t="s">
        <v>1165</v>
      </c>
    </row>
    <row r="16" spans="1:10" x14ac:dyDescent="0.25">
      <c r="A16" s="6">
        <v>14</v>
      </c>
      <c r="B16" s="6" t="s">
        <v>1939</v>
      </c>
      <c r="C16" s="6">
        <v>98</v>
      </c>
      <c r="D16" s="6" t="s">
        <v>1940</v>
      </c>
      <c r="E16" s="6">
        <v>1.92</v>
      </c>
      <c r="F16" s="6">
        <v>1.01</v>
      </c>
      <c r="G16" s="6">
        <v>2</v>
      </c>
      <c r="H16" s="6">
        <v>8</v>
      </c>
      <c r="I16" s="6">
        <v>8</v>
      </c>
      <c r="J16" s="6">
        <v>8</v>
      </c>
    </row>
    <row r="17" spans="1:10" ht="34.200000000000003" x14ac:dyDescent="0.25">
      <c r="A17" s="6">
        <v>15</v>
      </c>
      <c r="B17" s="6" t="s">
        <v>1941</v>
      </c>
      <c r="C17" s="6">
        <v>98</v>
      </c>
      <c r="D17" s="6">
        <v>3276</v>
      </c>
      <c r="E17" s="6">
        <v>1.97</v>
      </c>
      <c r="F17" s="6">
        <v>13.15</v>
      </c>
      <c r="G17" s="6">
        <v>2</v>
      </c>
      <c r="H17" s="6">
        <v>9</v>
      </c>
      <c r="I17" s="6">
        <v>9</v>
      </c>
      <c r="J17" s="6">
        <v>9</v>
      </c>
    </row>
    <row r="18" spans="1:10" ht="34.200000000000003" x14ac:dyDescent="0.25">
      <c r="A18" s="6">
        <v>16</v>
      </c>
      <c r="B18" s="6" t="s">
        <v>1941</v>
      </c>
      <c r="C18" s="6">
        <v>98</v>
      </c>
      <c r="D18" s="6">
        <v>2980</v>
      </c>
      <c r="E18" s="6">
        <v>3.56</v>
      </c>
      <c r="F18" s="6">
        <v>2.74</v>
      </c>
      <c r="G18" s="6">
        <v>0.40699999999999997</v>
      </c>
      <c r="H18" s="6">
        <v>7</v>
      </c>
      <c r="I18" s="6">
        <v>10</v>
      </c>
      <c r="J18" s="6">
        <v>7</v>
      </c>
    </row>
    <row r="19" spans="1:10" ht="34.200000000000003" x14ac:dyDescent="0.25">
      <c r="A19" s="6">
        <v>19</v>
      </c>
      <c r="B19" s="6" t="s">
        <v>1942</v>
      </c>
      <c r="C19" s="6">
        <v>91</v>
      </c>
      <c r="D19" s="6">
        <v>4000</v>
      </c>
      <c r="E19" s="6">
        <v>3.48</v>
      </c>
      <c r="F19" s="6">
        <v>2.62</v>
      </c>
      <c r="G19" s="6">
        <v>0.79</v>
      </c>
      <c r="H19" s="6">
        <v>9</v>
      </c>
      <c r="I19" s="6">
        <v>9</v>
      </c>
      <c r="J19" s="6">
        <v>9</v>
      </c>
    </row>
    <row r="20" spans="1:10" ht="34.200000000000003" x14ac:dyDescent="0.25">
      <c r="A20" s="6">
        <v>21</v>
      </c>
      <c r="B20" s="6" t="s">
        <v>1943</v>
      </c>
      <c r="C20" s="6">
        <v>134</v>
      </c>
      <c r="D20" s="6">
        <v>4256</v>
      </c>
      <c r="E20" s="6">
        <v>4.58</v>
      </c>
      <c r="F20" s="6">
        <v>4.04</v>
      </c>
      <c r="G20" s="6">
        <v>0.125</v>
      </c>
      <c r="H20" s="6">
        <v>54</v>
      </c>
      <c r="I20" s="6">
        <v>54</v>
      </c>
      <c r="J20" s="6">
        <v>54</v>
      </c>
    </row>
    <row r="21" spans="1:10" ht="34.200000000000003" x14ac:dyDescent="0.25">
      <c r="A21" s="6">
        <v>22</v>
      </c>
      <c r="B21" s="6" t="s">
        <v>1944</v>
      </c>
      <c r="C21" s="6">
        <v>137</v>
      </c>
      <c r="D21" s="6">
        <v>0.82</v>
      </c>
      <c r="E21" s="6" t="s">
        <v>1165</v>
      </c>
      <c r="F21" s="6" t="s">
        <v>1165</v>
      </c>
      <c r="G21" s="6">
        <v>0.89</v>
      </c>
      <c r="H21" s="6" t="s">
        <v>1165</v>
      </c>
      <c r="I21" s="6" t="s">
        <v>1165</v>
      </c>
      <c r="J21" s="6" t="s">
        <v>1165</v>
      </c>
    </row>
    <row r="22" spans="1:10" ht="34.200000000000003" x14ac:dyDescent="0.25">
      <c r="A22" s="6">
        <v>23</v>
      </c>
      <c r="B22" s="6" t="s">
        <v>1945</v>
      </c>
      <c r="C22" s="6">
        <v>137</v>
      </c>
      <c r="D22" s="6">
        <v>0.83</v>
      </c>
      <c r="E22" s="6" t="s">
        <v>1165</v>
      </c>
      <c r="F22" s="6" t="s">
        <v>1165</v>
      </c>
      <c r="G22" s="6">
        <v>0.87</v>
      </c>
      <c r="H22" s="6" t="s">
        <v>1165</v>
      </c>
      <c r="I22" s="6" t="s">
        <v>1165</v>
      </c>
      <c r="J22" s="6" t="s">
        <v>1165</v>
      </c>
    </row>
    <row r="23" spans="1:10" ht="34.200000000000003" x14ac:dyDescent="0.25">
      <c r="A23" s="6">
        <v>25</v>
      </c>
      <c r="B23" s="6" t="s">
        <v>1946</v>
      </c>
      <c r="C23" s="6">
        <v>87</v>
      </c>
      <c r="D23" s="6">
        <v>1.75</v>
      </c>
      <c r="E23" s="6" t="s">
        <v>1165</v>
      </c>
      <c r="F23" s="6" t="s">
        <v>1165</v>
      </c>
      <c r="G23" s="6">
        <v>1.4999999999999999E-2</v>
      </c>
      <c r="H23" s="6">
        <v>9</v>
      </c>
      <c r="I23" s="6" t="s">
        <v>1165</v>
      </c>
      <c r="J23" s="6" t="s">
        <v>1165</v>
      </c>
    </row>
    <row r="24" spans="1:10" ht="22.8" x14ac:dyDescent="0.25">
      <c r="A24" s="6">
        <v>27</v>
      </c>
      <c r="B24" s="6" t="s">
        <v>1947</v>
      </c>
      <c r="C24" s="6">
        <v>104</v>
      </c>
      <c r="D24" s="6">
        <v>1.94</v>
      </c>
      <c r="E24" s="6">
        <v>2.4500000000000002</v>
      </c>
      <c r="F24" s="6">
        <v>2.75</v>
      </c>
      <c r="G24" s="6">
        <v>6.28</v>
      </c>
      <c r="H24" s="6" t="s">
        <v>1165</v>
      </c>
      <c r="I24" s="6" t="s">
        <v>1165</v>
      </c>
      <c r="J24" s="6">
        <v>3</v>
      </c>
    </row>
    <row r="25" spans="1:10" ht="34.200000000000003" x14ac:dyDescent="0.25">
      <c r="A25" s="6">
        <v>28</v>
      </c>
      <c r="B25" s="6" t="s">
        <v>1948</v>
      </c>
      <c r="C25" s="6">
        <v>107</v>
      </c>
      <c r="D25" s="6" t="s">
        <v>1165</v>
      </c>
      <c r="E25" s="6">
        <v>2.2000000000000002</v>
      </c>
      <c r="F25" s="6">
        <v>2.86</v>
      </c>
      <c r="G25" s="6">
        <v>6.08</v>
      </c>
      <c r="H25" s="6" t="s">
        <v>1165</v>
      </c>
      <c r="I25" s="6" t="s">
        <v>1983</v>
      </c>
      <c r="J25" s="6">
        <v>3</v>
      </c>
    </row>
    <row r="26" spans="1:10" ht="34.200000000000003" x14ac:dyDescent="0.25">
      <c r="A26" s="6">
        <v>29</v>
      </c>
      <c r="B26" s="6" t="s">
        <v>1949</v>
      </c>
      <c r="C26" s="6">
        <v>97</v>
      </c>
      <c r="D26" s="6" t="s">
        <v>1950</v>
      </c>
      <c r="E26" s="6">
        <v>11.98</v>
      </c>
      <c r="F26" s="6" t="s">
        <v>1165</v>
      </c>
      <c r="G26" s="6">
        <v>0.20699999999999999</v>
      </c>
      <c r="H26" s="6" t="s">
        <v>1165</v>
      </c>
      <c r="I26" s="6" t="s">
        <v>1165</v>
      </c>
      <c r="J26" s="6" t="s">
        <v>1165</v>
      </c>
    </row>
    <row r="27" spans="1:10" ht="34.200000000000003" x14ac:dyDescent="0.25">
      <c r="A27" s="6">
        <v>30</v>
      </c>
      <c r="B27" s="6" t="s">
        <v>1951</v>
      </c>
      <c r="C27" s="6">
        <v>91</v>
      </c>
      <c r="D27" s="6" t="s">
        <v>1952</v>
      </c>
      <c r="E27" s="6">
        <v>6.93</v>
      </c>
      <c r="F27" s="6">
        <v>6.46</v>
      </c>
      <c r="G27" s="6">
        <v>0.56699999999999995</v>
      </c>
      <c r="H27" s="6">
        <v>7</v>
      </c>
      <c r="I27" s="6" t="s">
        <v>1165</v>
      </c>
      <c r="J27" s="6" t="s">
        <v>1165</v>
      </c>
    </row>
    <row r="28" spans="1:10" ht="45.6" x14ac:dyDescent="0.25">
      <c r="A28" s="6">
        <v>34</v>
      </c>
      <c r="B28" s="6" t="s">
        <v>1953</v>
      </c>
      <c r="C28" s="6">
        <v>93</v>
      </c>
      <c r="D28" s="6" t="s">
        <v>1954</v>
      </c>
      <c r="E28" s="6">
        <v>4.63</v>
      </c>
      <c r="F28" s="6">
        <v>6.16</v>
      </c>
      <c r="G28" s="6">
        <v>0.36699999999999999</v>
      </c>
      <c r="H28" s="6">
        <v>7</v>
      </c>
      <c r="I28" s="6" t="s">
        <v>1165</v>
      </c>
      <c r="J28" s="6" t="s">
        <v>1165</v>
      </c>
    </row>
    <row r="29" spans="1:10" ht="45.6" x14ac:dyDescent="0.25">
      <c r="A29" s="6">
        <v>35</v>
      </c>
      <c r="B29" s="6" t="s">
        <v>1955</v>
      </c>
      <c r="C29" s="6">
        <v>60</v>
      </c>
      <c r="D29" s="6" t="s">
        <v>1956</v>
      </c>
      <c r="E29" s="6">
        <v>2.74</v>
      </c>
      <c r="F29" s="6" t="s">
        <v>1165</v>
      </c>
      <c r="G29" s="6">
        <v>1.58</v>
      </c>
      <c r="H29" s="6" t="s">
        <v>1165</v>
      </c>
      <c r="I29" s="6">
        <v>18</v>
      </c>
      <c r="J29" s="6">
        <v>28</v>
      </c>
    </row>
    <row r="30" spans="1:10" ht="22.8" x14ac:dyDescent="0.25">
      <c r="A30" s="6">
        <v>32</v>
      </c>
      <c r="B30" s="6" t="s">
        <v>1029</v>
      </c>
      <c r="C30" s="6">
        <v>90</v>
      </c>
      <c r="D30" s="6" t="s">
        <v>1957</v>
      </c>
      <c r="E30" s="6">
        <v>3.66</v>
      </c>
      <c r="F30" s="6">
        <v>1.77</v>
      </c>
      <c r="G30" s="6">
        <v>1.68</v>
      </c>
      <c r="H30" s="6" t="s">
        <v>1165</v>
      </c>
      <c r="I30" s="6" t="s">
        <v>1165</v>
      </c>
      <c r="J30" s="6" t="s">
        <v>1165</v>
      </c>
    </row>
    <row r="31" spans="1:10" ht="22.8" x14ac:dyDescent="0.25">
      <c r="A31" s="6">
        <v>33</v>
      </c>
      <c r="B31" s="6" t="s">
        <v>1958</v>
      </c>
      <c r="C31" s="6">
        <v>66</v>
      </c>
      <c r="D31" s="6" t="s">
        <v>1959</v>
      </c>
      <c r="E31" s="6">
        <v>123.97</v>
      </c>
      <c r="F31" s="6">
        <v>354.28</v>
      </c>
      <c r="G31" s="6">
        <v>163</v>
      </c>
      <c r="H31" s="6">
        <v>11</v>
      </c>
      <c r="I31" s="6">
        <v>19</v>
      </c>
      <c r="J31" s="6">
        <v>3</v>
      </c>
    </row>
    <row r="32" spans="1:10" ht="22.8" x14ac:dyDescent="0.25">
      <c r="A32" s="6">
        <v>35</v>
      </c>
      <c r="B32" s="6" t="s">
        <v>1958</v>
      </c>
      <c r="C32" s="6">
        <v>65</v>
      </c>
      <c r="D32" s="6" t="s">
        <v>1960</v>
      </c>
      <c r="E32" s="6">
        <v>153.66999999999999</v>
      </c>
      <c r="F32" s="6">
        <v>347.28</v>
      </c>
      <c r="G32" s="6">
        <v>169</v>
      </c>
      <c r="H32" s="6">
        <v>11</v>
      </c>
      <c r="I32" s="6">
        <v>19</v>
      </c>
      <c r="J32" s="6">
        <v>3</v>
      </c>
    </row>
    <row r="33" spans="1:10" ht="22.8" x14ac:dyDescent="0.25">
      <c r="A33" s="6">
        <v>37</v>
      </c>
      <c r="B33" s="6" t="s">
        <v>1961</v>
      </c>
      <c r="C33" s="6">
        <v>69</v>
      </c>
      <c r="D33" s="6" t="s">
        <v>1962</v>
      </c>
      <c r="E33" s="6">
        <v>28.48</v>
      </c>
      <c r="F33" s="6" t="s">
        <v>1165</v>
      </c>
      <c r="G33" s="6">
        <v>18.399999999999999</v>
      </c>
      <c r="H33" s="6" t="s">
        <v>1165</v>
      </c>
      <c r="I33" s="6">
        <v>8</v>
      </c>
      <c r="J33" s="6">
        <v>8</v>
      </c>
    </row>
    <row r="34" spans="1:10" ht="22.8" x14ac:dyDescent="0.25">
      <c r="A34" s="6">
        <v>39</v>
      </c>
      <c r="B34" s="6" t="s">
        <v>1963</v>
      </c>
      <c r="C34" s="6">
        <v>60</v>
      </c>
      <c r="D34" s="6" t="s">
        <v>1964</v>
      </c>
      <c r="E34" s="6">
        <v>28.72</v>
      </c>
      <c r="F34" s="6">
        <v>21.26</v>
      </c>
      <c r="G34" s="6">
        <v>0.89900000000000002</v>
      </c>
      <c r="H34" s="6">
        <v>27</v>
      </c>
      <c r="I34" s="6">
        <v>21</v>
      </c>
      <c r="J34" s="6">
        <v>22</v>
      </c>
    </row>
    <row r="35" spans="1:10" ht="22.8" x14ac:dyDescent="0.25">
      <c r="A35" s="6">
        <v>40</v>
      </c>
      <c r="B35" s="6" t="s">
        <v>1963</v>
      </c>
      <c r="C35" s="6">
        <v>60</v>
      </c>
      <c r="D35" s="6" t="s">
        <v>1965</v>
      </c>
      <c r="E35" s="6">
        <v>8.17</v>
      </c>
      <c r="F35" s="6">
        <v>4.84</v>
      </c>
      <c r="G35" s="6">
        <v>0.89500000000000002</v>
      </c>
      <c r="H35" s="6">
        <v>29</v>
      </c>
      <c r="I35" s="6">
        <v>21</v>
      </c>
      <c r="J35" s="6">
        <v>23</v>
      </c>
    </row>
    <row r="36" spans="1:10" ht="22.8" x14ac:dyDescent="0.25">
      <c r="A36" s="6">
        <v>41</v>
      </c>
      <c r="B36" s="6" t="s">
        <v>1034</v>
      </c>
      <c r="C36" s="6">
        <v>69</v>
      </c>
      <c r="D36" s="6" t="s">
        <v>1966</v>
      </c>
      <c r="E36" s="6">
        <v>204.44</v>
      </c>
      <c r="F36" s="6">
        <v>82.86</v>
      </c>
      <c r="G36" s="6">
        <v>2.52</v>
      </c>
      <c r="H36" s="6">
        <v>99</v>
      </c>
      <c r="I36" s="6">
        <v>80</v>
      </c>
      <c r="J36" s="6">
        <v>97</v>
      </c>
    </row>
    <row r="37" spans="1:10" ht="34.200000000000003" x14ac:dyDescent="0.25">
      <c r="A37" s="6">
        <v>42</v>
      </c>
      <c r="B37" s="6" t="s">
        <v>1967</v>
      </c>
      <c r="C37" s="6">
        <v>69</v>
      </c>
      <c r="D37" s="6" t="s">
        <v>1968</v>
      </c>
      <c r="E37" s="6">
        <v>217.1</v>
      </c>
      <c r="F37" s="6">
        <v>2.14</v>
      </c>
      <c r="G37" s="6">
        <v>2.71</v>
      </c>
      <c r="H37" s="6">
        <v>99</v>
      </c>
      <c r="I37" s="6">
        <v>81</v>
      </c>
      <c r="J37" s="6">
        <v>97</v>
      </c>
    </row>
    <row r="38" spans="1:10" x14ac:dyDescent="0.25">
      <c r="A38" s="6">
        <v>43</v>
      </c>
      <c r="B38" s="6" t="s">
        <v>1969</v>
      </c>
      <c r="C38" s="6">
        <v>45</v>
      </c>
      <c r="D38" s="6" t="s">
        <v>1970</v>
      </c>
      <c r="E38" s="6">
        <v>300</v>
      </c>
      <c r="F38" s="6" t="s">
        <v>1165</v>
      </c>
      <c r="G38" s="6" t="s">
        <v>1165</v>
      </c>
      <c r="H38" s="6" t="s">
        <v>1165</v>
      </c>
      <c r="I38" s="6" t="s">
        <v>1165</v>
      </c>
      <c r="J38" s="6" t="s">
        <v>1165</v>
      </c>
    </row>
    <row r="39" spans="1:10" ht="22.8" x14ac:dyDescent="0.25">
      <c r="A39" s="6">
        <v>44</v>
      </c>
      <c r="B39" s="6" t="s">
        <v>1971</v>
      </c>
      <c r="C39" s="6">
        <v>103</v>
      </c>
      <c r="D39" s="6" t="s">
        <v>1165</v>
      </c>
      <c r="E39" s="6" t="s">
        <v>1165</v>
      </c>
      <c r="F39" s="6" t="s">
        <v>1165</v>
      </c>
      <c r="G39" s="6" t="s">
        <v>1165</v>
      </c>
      <c r="H39" s="6" t="s">
        <v>1165</v>
      </c>
      <c r="I39" s="6" t="s">
        <v>1165</v>
      </c>
      <c r="J39" s="6" t="s">
        <v>1165</v>
      </c>
    </row>
    <row r="40" spans="1:10" ht="22.8" x14ac:dyDescent="0.25">
      <c r="A40" s="6">
        <v>45</v>
      </c>
      <c r="B40" s="6" t="s">
        <v>1972</v>
      </c>
      <c r="C40" s="6">
        <v>103</v>
      </c>
      <c r="D40" s="6" t="s">
        <v>1165</v>
      </c>
      <c r="E40" s="6" t="s">
        <v>1165</v>
      </c>
      <c r="F40" s="6" t="s">
        <v>1165</v>
      </c>
      <c r="G40" s="6" t="s">
        <v>1165</v>
      </c>
      <c r="H40" s="6" t="s">
        <v>1165</v>
      </c>
      <c r="I40" s="6" t="s">
        <v>1165</v>
      </c>
      <c r="J40" s="6" t="s">
        <v>1165</v>
      </c>
    </row>
    <row r="41" spans="1:10" ht="34.200000000000003" x14ac:dyDescent="0.25">
      <c r="A41" s="6">
        <v>54</v>
      </c>
      <c r="B41" s="6" t="s">
        <v>1973</v>
      </c>
      <c r="C41" s="6">
        <v>88</v>
      </c>
      <c r="D41" s="6" t="s">
        <v>1165</v>
      </c>
      <c r="E41" s="6" t="s">
        <v>1165</v>
      </c>
      <c r="F41" s="6" t="s">
        <v>1165</v>
      </c>
      <c r="G41" s="6" t="s">
        <v>1165</v>
      </c>
      <c r="H41" s="6" t="s">
        <v>1165</v>
      </c>
      <c r="I41" s="6" t="s">
        <v>1983</v>
      </c>
      <c r="J41" s="6" t="s">
        <v>1165</v>
      </c>
    </row>
    <row r="42" spans="1:10" ht="22.8" x14ac:dyDescent="0.25">
      <c r="A42" s="6">
        <v>66</v>
      </c>
      <c r="B42" s="6" t="s">
        <v>1974</v>
      </c>
      <c r="C42" s="6">
        <v>48</v>
      </c>
      <c r="D42" s="6" t="s">
        <v>1165</v>
      </c>
      <c r="E42" s="6" t="s">
        <v>1165</v>
      </c>
      <c r="F42" s="6" t="s">
        <v>1165</v>
      </c>
      <c r="G42" s="6" t="s">
        <v>1165</v>
      </c>
      <c r="H42" s="6" t="s">
        <v>1165</v>
      </c>
      <c r="I42" s="6" t="s">
        <v>1165</v>
      </c>
      <c r="J42" s="6" t="s">
        <v>1165</v>
      </c>
    </row>
    <row r="43" spans="1:10" ht="34.200000000000003" x14ac:dyDescent="0.25">
      <c r="A43" s="6">
        <v>71</v>
      </c>
      <c r="B43" s="6" t="s">
        <v>1975</v>
      </c>
      <c r="C43" s="6">
        <v>88</v>
      </c>
      <c r="D43" s="6" t="s">
        <v>1165</v>
      </c>
      <c r="E43" s="6" t="s">
        <v>1165</v>
      </c>
      <c r="F43" s="6" t="s">
        <v>1165</v>
      </c>
      <c r="G43" s="6" t="s">
        <v>1165</v>
      </c>
      <c r="H43" s="6" t="s">
        <v>1165</v>
      </c>
      <c r="I43" s="6" t="s">
        <v>1165</v>
      </c>
      <c r="J43" s="6" t="s">
        <v>1165</v>
      </c>
    </row>
    <row r="44" spans="1:10" ht="34.200000000000003" x14ac:dyDescent="0.25">
      <c r="A44" s="6">
        <v>62</v>
      </c>
      <c r="B44" s="6" t="s">
        <v>1976</v>
      </c>
      <c r="C44" s="6">
        <v>88</v>
      </c>
      <c r="D44" s="6" t="s">
        <v>1165</v>
      </c>
      <c r="E44" s="6" t="s">
        <v>1165</v>
      </c>
      <c r="F44" s="6" t="s">
        <v>1165</v>
      </c>
      <c r="G44" s="6" t="s">
        <v>1165</v>
      </c>
      <c r="H44" s="6" t="s">
        <v>1165</v>
      </c>
      <c r="I44" s="6" t="s">
        <v>1165</v>
      </c>
      <c r="J44" s="6" t="s">
        <v>1165</v>
      </c>
    </row>
    <row r="45" spans="1:10" ht="34.200000000000003" x14ac:dyDescent="0.25">
      <c r="A45" s="6">
        <v>83</v>
      </c>
      <c r="B45" s="6" t="s">
        <v>1976</v>
      </c>
      <c r="C45" s="6">
        <v>85</v>
      </c>
      <c r="D45" s="6" t="s">
        <v>1165</v>
      </c>
      <c r="E45" s="6" t="s">
        <v>1165</v>
      </c>
      <c r="F45" s="6" t="s">
        <v>1165</v>
      </c>
      <c r="G45" s="6" t="s">
        <v>1165</v>
      </c>
      <c r="H45" s="6" t="s">
        <v>1165</v>
      </c>
      <c r="I45" s="6" t="s">
        <v>1165</v>
      </c>
      <c r="J45" s="6" t="s">
        <v>1165</v>
      </c>
    </row>
    <row r="46" spans="1:10" ht="22.8" x14ac:dyDescent="0.25">
      <c r="A46" s="6">
        <v>49</v>
      </c>
      <c r="B46" s="6" t="s">
        <v>1977</v>
      </c>
      <c r="C46" s="6">
        <v>73</v>
      </c>
      <c r="D46" s="6" t="s">
        <v>1165</v>
      </c>
      <c r="E46" s="6" t="s">
        <v>1165</v>
      </c>
      <c r="F46" s="6" t="s">
        <v>1165</v>
      </c>
      <c r="G46" s="6" t="s">
        <v>1165</v>
      </c>
      <c r="H46" s="6" t="s">
        <v>1165</v>
      </c>
      <c r="I46" s="6" t="s">
        <v>1165</v>
      </c>
      <c r="J46" s="6" t="s">
        <v>1165</v>
      </c>
    </row>
    <row r="47" spans="1:10" ht="22.8" x14ac:dyDescent="0.25">
      <c r="A47" s="6">
        <v>68</v>
      </c>
      <c r="B47" s="6" t="s">
        <v>1978</v>
      </c>
      <c r="C47" s="6">
        <v>74</v>
      </c>
      <c r="D47" s="6" t="s">
        <v>1165</v>
      </c>
      <c r="E47" s="6" t="s">
        <v>1165</v>
      </c>
      <c r="F47" s="6" t="s">
        <v>1165</v>
      </c>
      <c r="G47" s="6" t="s">
        <v>1165</v>
      </c>
      <c r="H47" s="6" t="s">
        <v>1165</v>
      </c>
      <c r="I47" s="6" t="s">
        <v>1165</v>
      </c>
      <c r="J47" s="6" t="s">
        <v>1165</v>
      </c>
    </row>
    <row r="48" spans="1:10" ht="34.200000000000003" x14ac:dyDescent="0.25">
      <c r="A48" s="6">
        <v>55</v>
      </c>
      <c r="B48" s="6" t="s">
        <v>1979</v>
      </c>
      <c r="C48" s="6">
        <v>79</v>
      </c>
      <c r="D48" s="6" t="s">
        <v>1165</v>
      </c>
      <c r="E48" s="6" t="s">
        <v>1165</v>
      </c>
      <c r="F48" s="6" t="s">
        <v>1165</v>
      </c>
      <c r="G48" s="6" t="s">
        <v>1165</v>
      </c>
      <c r="H48" s="6" t="s">
        <v>1165</v>
      </c>
      <c r="I48" s="6" t="s">
        <v>1165</v>
      </c>
      <c r="J48" s="6" t="s">
        <v>1165</v>
      </c>
    </row>
    <row r="49" spans="1:10" ht="34.200000000000003" x14ac:dyDescent="0.25">
      <c r="A49" s="6">
        <v>60</v>
      </c>
      <c r="B49" s="6" t="s">
        <v>1980</v>
      </c>
      <c r="C49" s="6">
        <v>89</v>
      </c>
      <c r="D49" s="6" t="s">
        <v>1165</v>
      </c>
      <c r="E49" s="6" t="s">
        <v>1165</v>
      </c>
      <c r="F49" s="6" t="s">
        <v>1165</v>
      </c>
      <c r="G49" s="6" t="s">
        <v>1165</v>
      </c>
      <c r="H49" s="6" t="s">
        <v>1165</v>
      </c>
      <c r="I49" s="6" t="s">
        <v>1983</v>
      </c>
      <c r="J49" s="6" t="s">
        <v>1165</v>
      </c>
    </row>
    <row r="50" spans="1:10" ht="34.200000000000003" x14ac:dyDescent="0.25">
      <c r="A50" s="6">
        <v>75</v>
      </c>
      <c r="B50" s="6" t="s">
        <v>1981</v>
      </c>
      <c r="C50" s="6">
        <v>71</v>
      </c>
      <c r="D50" s="6" t="s">
        <v>1165</v>
      </c>
      <c r="E50" s="6" t="s">
        <v>1165</v>
      </c>
      <c r="F50" s="6" t="s">
        <v>1165</v>
      </c>
      <c r="G50" s="6" t="s">
        <v>1165</v>
      </c>
      <c r="H50" s="6" t="s">
        <v>1165</v>
      </c>
      <c r="I50" s="6" t="s">
        <v>1165</v>
      </c>
      <c r="J50" s="6" t="s">
        <v>1165</v>
      </c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 t="s">
        <v>1914</v>
      </c>
      <c r="I52" s="6" t="s">
        <v>1915</v>
      </c>
      <c r="J52" s="6" t="s">
        <v>1916</v>
      </c>
    </row>
    <row r="53" spans="1:10" ht="22.8" x14ac:dyDescent="0.25">
      <c r="A53" s="6">
        <v>38</v>
      </c>
      <c r="B53" s="6" t="s">
        <v>1984</v>
      </c>
      <c r="C53" s="6"/>
      <c r="D53" s="6"/>
      <c r="E53" s="6"/>
      <c r="F53" s="6"/>
      <c r="G53" s="6"/>
      <c r="H53" s="6">
        <v>9</v>
      </c>
      <c r="I53" s="6">
        <v>11</v>
      </c>
      <c r="J53" s="6">
        <v>18</v>
      </c>
    </row>
    <row r="54" spans="1:10" ht="34.200000000000003" x14ac:dyDescent="0.25">
      <c r="A54" s="6">
        <v>39</v>
      </c>
      <c r="B54" s="6" t="s">
        <v>1985</v>
      </c>
      <c r="C54" s="6"/>
      <c r="D54" s="6"/>
      <c r="E54" s="6"/>
      <c r="F54" s="6"/>
      <c r="G54" s="6"/>
      <c r="H54" s="6">
        <v>2</v>
      </c>
      <c r="I54" s="6">
        <v>1</v>
      </c>
      <c r="J54" s="6">
        <v>1</v>
      </c>
    </row>
    <row r="55" spans="1:10" ht="22.8" x14ac:dyDescent="0.25">
      <c r="A55" s="6">
        <v>40</v>
      </c>
      <c r="B55" s="6" t="s">
        <v>1986</v>
      </c>
      <c r="C55" s="6"/>
      <c r="D55" s="6"/>
      <c r="E55" s="6"/>
      <c r="F55" s="6"/>
      <c r="G55" s="6"/>
      <c r="H55" s="6">
        <v>7</v>
      </c>
      <c r="I55" s="6"/>
      <c r="J55" s="6"/>
    </row>
    <row r="56" spans="1:10" ht="45.6" x14ac:dyDescent="0.25">
      <c r="A56" s="6">
        <v>41</v>
      </c>
      <c r="B56" s="6" t="s">
        <v>1987</v>
      </c>
      <c r="C56" s="6"/>
      <c r="D56" s="6"/>
      <c r="E56" s="6"/>
      <c r="F56" s="6"/>
      <c r="G56" s="6"/>
      <c r="H56" s="6">
        <v>5</v>
      </c>
      <c r="I56" s="6">
        <v>5</v>
      </c>
      <c r="J56" s="6">
        <v>4</v>
      </c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C046-27FE-4BCD-98FB-349CDDCDF340}">
  <dimension ref="A1:AJ64"/>
  <sheetViews>
    <sheetView topLeftCell="C1" workbookViewId="0">
      <selection activeCell="AG2" sqref="AG2:AJ64"/>
    </sheetView>
  </sheetViews>
  <sheetFormatPr defaultRowHeight="13.8" x14ac:dyDescent="0.25"/>
  <sheetData>
    <row r="1" spans="1:36" ht="42" thickBot="1" x14ac:dyDescent="0.3">
      <c r="A1" s="21" t="s">
        <v>2845</v>
      </c>
      <c r="B1" s="21" t="s">
        <v>2846</v>
      </c>
      <c r="C1" s="21" t="s">
        <v>2847</v>
      </c>
      <c r="D1" s="21" t="s">
        <v>2848</v>
      </c>
      <c r="E1" s="21" t="s">
        <v>2849</v>
      </c>
      <c r="F1" s="21" t="s">
        <v>2850</v>
      </c>
      <c r="G1" s="21" t="s">
        <v>2851</v>
      </c>
      <c r="H1" s="21" t="s">
        <v>2852</v>
      </c>
      <c r="I1" s="23" t="s">
        <v>2905</v>
      </c>
      <c r="J1" s="23" t="s">
        <v>2905</v>
      </c>
      <c r="K1" s="23" t="s">
        <v>2905</v>
      </c>
      <c r="L1" s="23" t="s">
        <v>2905</v>
      </c>
      <c r="O1" s="21" t="s">
        <v>2845</v>
      </c>
      <c r="P1" s="21" t="s">
        <v>2906</v>
      </c>
      <c r="Q1" s="21" t="s">
        <v>2847</v>
      </c>
      <c r="R1" s="21" t="s">
        <v>2848</v>
      </c>
      <c r="S1" s="21" t="s">
        <v>2849</v>
      </c>
      <c r="T1" s="21" t="s">
        <v>2850</v>
      </c>
      <c r="U1" s="21" t="s">
        <v>2851</v>
      </c>
      <c r="V1" s="21" t="s">
        <v>2852</v>
      </c>
    </row>
    <row r="2" spans="1:36" ht="14.4" thickBot="1" x14ac:dyDescent="0.3">
      <c r="A2" s="22">
        <v>1</v>
      </c>
      <c r="B2" s="22" t="s">
        <v>2853</v>
      </c>
      <c r="C2" s="22" t="s">
        <v>29</v>
      </c>
      <c r="D2" s="22" t="s">
        <v>29</v>
      </c>
      <c r="E2" s="22" t="s">
        <v>29</v>
      </c>
      <c r="F2" s="22" t="s">
        <v>29</v>
      </c>
      <c r="G2" s="22" t="s">
        <v>29</v>
      </c>
      <c r="H2" s="22" t="s">
        <v>2854</v>
      </c>
      <c r="I2" t="e">
        <f t="shared" ref="I2:I42" si="0">D2*C2</f>
        <v>#VALUE!</v>
      </c>
      <c r="J2" t="e">
        <f t="shared" ref="J2:J42" si="1">E2*C2</f>
        <v>#VALUE!</v>
      </c>
      <c r="K2" t="e">
        <f t="shared" ref="K2:K42" si="2">E2*C2</f>
        <v>#VALUE!</v>
      </c>
      <c r="L2" t="e">
        <f t="shared" ref="L2:L42" si="3">G2*C2</f>
        <v>#VALUE!</v>
      </c>
      <c r="O2" s="22">
        <v>1</v>
      </c>
      <c r="P2" s="22" t="s">
        <v>2017</v>
      </c>
      <c r="Q2" s="22">
        <v>5.5E-2</v>
      </c>
      <c r="R2" s="22">
        <v>25859.48</v>
      </c>
      <c r="S2" s="22">
        <v>12741.98</v>
      </c>
      <c r="T2" s="22">
        <v>4215.5600000000004</v>
      </c>
      <c r="U2" s="22">
        <v>4455.2700000000004</v>
      </c>
      <c r="V2" s="22" t="s">
        <v>2854</v>
      </c>
      <c r="W2">
        <f>Q2*R2</f>
        <v>1422.2714000000001</v>
      </c>
      <c r="X2">
        <f>Q2*S2</f>
        <v>700.80889999999999</v>
      </c>
      <c r="Y2">
        <f>Q2*T2</f>
        <v>231.85580000000002</v>
      </c>
      <c r="Z2">
        <f>Q2*U2</f>
        <v>245.03985000000003</v>
      </c>
      <c r="AB2">
        <v>1000</v>
      </c>
      <c r="AC2">
        <v>1000</v>
      </c>
      <c r="AD2">
        <v>1000</v>
      </c>
      <c r="AE2">
        <v>1000</v>
      </c>
      <c r="AG2">
        <f>W2*AB2</f>
        <v>1422271.4000000001</v>
      </c>
      <c r="AH2">
        <f t="shared" ref="AH2:AJ2" si="4">X2*AC2</f>
        <v>700808.9</v>
      </c>
      <c r="AI2">
        <f t="shared" si="4"/>
        <v>231855.80000000002</v>
      </c>
      <c r="AJ2">
        <f t="shared" si="4"/>
        <v>245039.85000000003</v>
      </c>
    </row>
    <row r="3" spans="1:36" ht="55.8" thickBot="1" x14ac:dyDescent="0.3">
      <c r="A3" s="22">
        <v>3</v>
      </c>
      <c r="B3" s="22" t="s">
        <v>2856</v>
      </c>
      <c r="C3" s="22" t="s">
        <v>29</v>
      </c>
      <c r="D3" s="22" t="s">
        <v>29</v>
      </c>
      <c r="E3" s="22" t="s">
        <v>29</v>
      </c>
      <c r="F3" s="22" t="s">
        <v>29</v>
      </c>
      <c r="G3" s="22" t="s">
        <v>29</v>
      </c>
      <c r="H3" s="22" t="s">
        <v>2854</v>
      </c>
      <c r="I3" t="e">
        <f t="shared" si="0"/>
        <v>#VALUE!</v>
      </c>
      <c r="J3" t="e">
        <f t="shared" si="1"/>
        <v>#VALUE!</v>
      </c>
      <c r="K3" t="e">
        <f t="shared" si="2"/>
        <v>#VALUE!</v>
      </c>
      <c r="L3" t="e">
        <f t="shared" si="3"/>
        <v>#VALUE!</v>
      </c>
      <c r="O3" s="22">
        <v>2</v>
      </c>
      <c r="P3" s="22" t="s">
        <v>2907</v>
      </c>
      <c r="Q3" s="22" t="s">
        <v>2908</v>
      </c>
      <c r="R3" s="22" t="s">
        <v>2908</v>
      </c>
      <c r="S3" s="22" t="s">
        <v>2908</v>
      </c>
      <c r="T3" s="22" t="s">
        <v>2908</v>
      </c>
      <c r="U3" s="22" t="s">
        <v>2908</v>
      </c>
      <c r="V3" s="22" t="s">
        <v>2908</v>
      </c>
      <c r="W3" t="e">
        <f t="shared" ref="W3:W64" si="5">Q3*R3</f>
        <v>#VALUE!</v>
      </c>
      <c r="X3" t="e">
        <f t="shared" ref="X3:X64" si="6">Q3*S3</f>
        <v>#VALUE!</v>
      </c>
      <c r="Y3" t="e">
        <f t="shared" ref="Y3:Y64" si="7">Q3*T3</f>
        <v>#VALUE!</v>
      </c>
      <c r="Z3" t="e">
        <f t="shared" ref="Z3:Z64" si="8">Q3*U3</f>
        <v>#VALUE!</v>
      </c>
      <c r="AB3">
        <v>1000</v>
      </c>
      <c r="AC3">
        <v>1000</v>
      </c>
      <c r="AD3">
        <v>1000</v>
      </c>
      <c r="AE3">
        <v>1000</v>
      </c>
      <c r="AG3" t="e">
        <f t="shared" ref="AG3:AG64" si="9">W3*AB3</f>
        <v>#VALUE!</v>
      </c>
      <c r="AH3" t="e">
        <f t="shared" ref="AH3:AH64" si="10">X3*AC3</f>
        <v>#VALUE!</v>
      </c>
      <c r="AI3" t="e">
        <f t="shared" ref="AI3:AI64" si="11">Y3*AD3</f>
        <v>#VALUE!</v>
      </c>
      <c r="AJ3" t="e">
        <f t="shared" ref="AJ3:AJ64" si="12">Z3*AE3</f>
        <v>#VALUE!</v>
      </c>
    </row>
    <row r="4" spans="1:36" ht="14.4" thickBot="1" x14ac:dyDescent="0.3">
      <c r="A4" s="22">
        <v>5</v>
      </c>
      <c r="B4" s="22" t="s">
        <v>2859</v>
      </c>
      <c r="C4" s="22" t="s">
        <v>29</v>
      </c>
      <c r="D4" s="22" t="s">
        <v>29</v>
      </c>
      <c r="E4" s="22" t="s">
        <v>29</v>
      </c>
      <c r="F4" s="22" t="s">
        <v>29</v>
      </c>
      <c r="G4" s="22" t="s">
        <v>29</v>
      </c>
      <c r="H4" s="22" t="s">
        <v>2860</v>
      </c>
      <c r="I4" t="e">
        <f t="shared" si="0"/>
        <v>#VALUE!</v>
      </c>
      <c r="J4" t="e">
        <f t="shared" si="1"/>
        <v>#VALUE!</v>
      </c>
      <c r="K4" t="e">
        <f t="shared" si="2"/>
        <v>#VALUE!</v>
      </c>
      <c r="L4" t="e">
        <f t="shared" si="3"/>
        <v>#VALUE!</v>
      </c>
      <c r="O4" s="22">
        <v>3</v>
      </c>
      <c r="P4" s="22" t="s">
        <v>2018</v>
      </c>
      <c r="Q4" s="22">
        <v>8.2000000000000003E-2</v>
      </c>
      <c r="R4" s="22">
        <v>1061.78</v>
      </c>
      <c r="S4" s="22">
        <v>396.89</v>
      </c>
      <c r="T4" s="22">
        <v>162.57</v>
      </c>
      <c r="U4" s="22">
        <v>219.09</v>
      </c>
      <c r="V4" s="22" t="s">
        <v>2864</v>
      </c>
      <c r="W4">
        <f t="shared" si="5"/>
        <v>87.065960000000004</v>
      </c>
      <c r="X4">
        <f t="shared" si="6"/>
        <v>32.544980000000002</v>
      </c>
      <c r="Y4">
        <f t="shared" si="7"/>
        <v>13.33074</v>
      </c>
      <c r="Z4">
        <f t="shared" si="8"/>
        <v>17.96538</v>
      </c>
      <c r="AB4">
        <v>1000</v>
      </c>
      <c r="AC4">
        <v>1000</v>
      </c>
      <c r="AD4">
        <v>1000</v>
      </c>
      <c r="AE4">
        <v>1000</v>
      </c>
      <c r="AG4">
        <f t="shared" si="9"/>
        <v>87065.96</v>
      </c>
      <c r="AH4">
        <f t="shared" si="10"/>
        <v>32544.980000000003</v>
      </c>
      <c r="AI4">
        <f t="shared" si="11"/>
        <v>13330.74</v>
      </c>
      <c r="AJ4">
        <f t="shared" si="12"/>
        <v>17965.38</v>
      </c>
    </row>
    <row r="5" spans="1:36" ht="14.4" thickBot="1" x14ac:dyDescent="0.3">
      <c r="A5" s="22">
        <v>8</v>
      </c>
      <c r="B5" s="22" t="s">
        <v>2865</v>
      </c>
      <c r="C5" s="22" t="s">
        <v>29</v>
      </c>
      <c r="D5" s="22" t="s">
        <v>29</v>
      </c>
      <c r="E5" s="22" t="s">
        <v>29</v>
      </c>
      <c r="F5" s="22" t="s">
        <v>29</v>
      </c>
      <c r="G5" s="22" t="s">
        <v>29</v>
      </c>
      <c r="H5" s="22" t="s">
        <v>2854</v>
      </c>
      <c r="I5" t="e">
        <f t="shared" si="0"/>
        <v>#VALUE!</v>
      </c>
      <c r="J5" t="e">
        <f t="shared" si="1"/>
        <v>#VALUE!</v>
      </c>
      <c r="K5" t="e">
        <f t="shared" si="2"/>
        <v>#VALUE!</v>
      </c>
      <c r="L5" t="e">
        <f t="shared" si="3"/>
        <v>#VALUE!</v>
      </c>
      <c r="O5" s="22">
        <v>4</v>
      </c>
      <c r="P5" s="22" t="s">
        <v>2022</v>
      </c>
      <c r="Q5" s="22">
        <v>32.552</v>
      </c>
      <c r="R5" s="22">
        <v>57.16</v>
      </c>
      <c r="S5" s="22">
        <v>30.21</v>
      </c>
      <c r="T5" s="22">
        <v>14.19</v>
      </c>
      <c r="U5" s="22">
        <v>15.24</v>
      </c>
      <c r="V5" s="22" t="s">
        <v>2864</v>
      </c>
      <c r="W5">
        <f t="shared" si="5"/>
        <v>1860.6723199999999</v>
      </c>
      <c r="X5">
        <f t="shared" si="6"/>
        <v>983.39592000000005</v>
      </c>
      <c r="Y5">
        <f t="shared" si="7"/>
        <v>461.91287999999997</v>
      </c>
      <c r="Z5">
        <f t="shared" si="8"/>
        <v>496.09248000000002</v>
      </c>
      <c r="AB5">
        <v>1000</v>
      </c>
      <c r="AC5">
        <v>1000</v>
      </c>
      <c r="AD5">
        <v>1000</v>
      </c>
      <c r="AE5">
        <v>1000</v>
      </c>
      <c r="AG5">
        <f t="shared" si="9"/>
        <v>1860672.3199999998</v>
      </c>
      <c r="AH5">
        <f t="shared" si="10"/>
        <v>983395.92</v>
      </c>
      <c r="AI5">
        <f t="shared" si="11"/>
        <v>461912.87999999995</v>
      </c>
      <c r="AJ5">
        <f t="shared" si="12"/>
        <v>496092.48000000004</v>
      </c>
    </row>
    <row r="6" spans="1:36" ht="14.4" thickBot="1" x14ac:dyDescent="0.3">
      <c r="A6" s="22">
        <v>19</v>
      </c>
      <c r="B6" s="22" t="s">
        <v>2880</v>
      </c>
      <c r="C6" s="22" t="s">
        <v>29</v>
      </c>
      <c r="D6" s="22" t="s">
        <v>29</v>
      </c>
      <c r="E6" s="22" t="s">
        <v>29</v>
      </c>
      <c r="F6" s="22" t="s">
        <v>29</v>
      </c>
      <c r="G6" s="22" t="s">
        <v>29</v>
      </c>
      <c r="H6" s="22" t="s">
        <v>2867</v>
      </c>
      <c r="I6" t="e">
        <f t="shared" si="0"/>
        <v>#VALUE!</v>
      </c>
      <c r="J6" t="e">
        <f t="shared" si="1"/>
        <v>#VALUE!</v>
      </c>
      <c r="K6" t="e">
        <f t="shared" si="2"/>
        <v>#VALUE!</v>
      </c>
      <c r="L6" t="e">
        <f t="shared" si="3"/>
        <v>#VALUE!</v>
      </c>
      <c r="O6" s="22">
        <v>5</v>
      </c>
      <c r="P6" s="22" t="s">
        <v>2023</v>
      </c>
      <c r="Q6" s="22">
        <v>1.2999999999999999E-2</v>
      </c>
      <c r="R6" s="22">
        <v>1388.11</v>
      </c>
      <c r="S6" s="22">
        <v>993.94</v>
      </c>
      <c r="T6" s="22">
        <v>5949.6509999999998</v>
      </c>
      <c r="U6" s="22">
        <v>3332.71</v>
      </c>
      <c r="V6" s="22" t="s">
        <v>2900</v>
      </c>
      <c r="W6">
        <f t="shared" si="5"/>
        <v>18.04543</v>
      </c>
      <c r="X6">
        <f t="shared" si="6"/>
        <v>12.92122</v>
      </c>
      <c r="Y6">
        <f t="shared" si="7"/>
        <v>77.345462999999995</v>
      </c>
      <c r="Z6">
        <f t="shared" si="8"/>
        <v>43.325229999999998</v>
      </c>
      <c r="AB6">
        <v>1000</v>
      </c>
      <c r="AC6">
        <v>1000</v>
      </c>
      <c r="AD6">
        <v>1000</v>
      </c>
      <c r="AE6">
        <v>1000</v>
      </c>
      <c r="AG6">
        <f t="shared" si="9"/>
        <v>18045.43</v>
      </c>
      <c r="AH6">
        <f t="shared" si="10"/>
        <v>12921.22</v>
      </c>
      <c r="AI6">
        <f t="shared" si="11"/>
        <v>77345.462999999989</v>
      </c>
      <c r="AJ6">
        <f t="shared" si="12"/>
        <v>43325.229999999996</v>
      </c>
    </row>
    <row r="7" spans="1:36" ht="14.4" thickBot="1" x14ac:dyDescent="0.3">
      <c r="A7" s="22">
        <v>20</v>
      </c>
      <c r="B7" s="22" t="s">
        <v>2881</v>
      </c>
      <c r="C7" s="22" t="s">
        <v>29</v>
      </c>
      <c r="D7" s="22" t="s">
        <v>29</v>
      </c>
      <c r="E7" s="22" t="s">
        <v>29</v>
      </c>
      <c r="F7" s="22" t="s">
        <v>29</v>
      </c>
      <c r="G7" s="22" t="s">
        <v>29</v>
      </c>
      <c r="H7" s="22" t="s">
        <v>2874</v>
      </c>
      <c r="I7" t="e">
        <f t="shared" si="0"/>
        <v>#VALUE!</v>
      </c>
      <c r="J7" t="e">
        <f t="shared" si="1"/>
        <v>#VALUE!</v>
      </c>
      <c r="K7" t="e">
        <f t="shared" si="2"/>
        <v>#VALUE!</v>
      </c>
      <c r="L7" t="e">
        <f t="shared" si="3"/>
        <v>#VALUE!</v>
      </c>
      <c r="O7" s="22">
        <v>6</v>
      </c>
      <c r="P7" s="22" t="s">
        <v>2019</v>
      </c>
      <c r="Q7" s="22" t="s">
        <v>2908</v>
      </c>
      <c r="R7" s="22" t="s">
        <v>2908</v>
      </c>
      <c r="S7" s="22" t="s">
        <v>2908</v>
      </c>
      <c r="T7" s="22" t="s">
        <v>2908</v>
      </c>
      <c r="U7" s="22" t="s">
        <v>2908</v>
      </c>
      <c r="V7" s="22" t="s">
        <v>2908</v>
      </c>
      <c r="W7" t="e">
        <f t="shared" si="5"/>
        <v>#VALUE!</v>
      </c>
      <c r="X7" t="e">
        <f t="shared" si="6"/>
        <v>#VALUE!</v>
      </c>
      <c r="Y7" t="e">
        <f t="shared" si="7"/>
        <v>#VALUE!</v>
      </c>
      <c r="Z7" t="e">
        <f t="shared" si="8"/>
        <v>#VALUE!</v>
      </c>
      <c r="AB7">
        <v>1000</v>
      </c>
      <c r="AC7">
        <v>1000</v>
      </c>
      <c r="AD7">
        <v>1000</v>
      </c>
      <c r="AE7">
        <v>1000</v>
      </c>
      <c r="AG7" t="e">
        <f t="shared" si="9"/>
        <v>#VALUE!</v>
      </c>
      <c r="AH7" t="e">
        <f t="shared" si="10"/>
        <v>#VALUE!</v>
      </c>
      <c r="AI7" t="e">
        <f t="shared" si="11"/>
        <v>#VALUE!</v>
      </c>
      <c r="AJ7" t="e">
        <f t="shared" si="12"/>
        <v>#VALUE!</v>
      </c>
    </row>
    <row r="8" spans="1:36" ht="28.2" thickBot="1" x14ac:dyDescent="0.3">
      <c r="A8" s="22">
        <v>23</v>
      </c>
      <c r="B8" s="22" t="s">
        <v>2886</v>
      </c>
      <c r="C8" s="22" t="s">
        <v>29</v>
      </c>
      <c r="D8" s="22" t="s">
        <v>29</v>
      </c>
      <c r="E8" s="22" t="s">
        <v>29</v>
      </c>
      <c r="F8" s="22" t="s">
        <v>29</v>
      </c>
      <c r="G8" s="22" t="s">
        <v>29</v>
      </c>
      <c r="H8" s="22" t="s">
        <v>2887</v>
      </c>
      <c r="I8" t="e">
        <f t="shared" si="0"/>
        <v>#VALUE!</v>
      </c>
      <c r="J8" t="e">
        <f t="shared" si="1"/>
        <v>#VALUE!</v>
      </c>
      <c r="K8" t="e">
        <f t="shared" si="2"/>
        <v>#VALUE!</v>
      </c>
      <c r="L8" t="e">
        <f t="shared" si="3"/>
        <v>#VALUE!</v>
      </c>
      <c r="O8" s="22">
        <v>7</v>
      </c>
      <c r="P8" s="22" t="s">
        <v>2178</v>
      </c>
      <c r="Q8" s="22" t="s">
        <v>2908</v>
      </c>
      <c r="R8" s="22" t="s">
        <v>2908</v>
      </c>
      <c r="S8" s="22" t="s">
        <v>2908</v>
      </c>
      <c r="T8" s="22" t="s">
        <v>2908</v>
      </c>
      <c r="U8" s="22" t="s">
        <v>2908</v>
      </c>
      <c r="V8" s="22" t="s">
        <v>2908</v>
      </c>
      <c r="W8" t="e">
        <f t="shared" si="5"/>
        <v>#VALUE!</v>
      </c>
      <c r="X8" t="e">
        <f t="shared" si="6"/>
        <v>#VALUE!</v>
      </c>
      <c r="Y8" t="e">
        <f t="shared" si="7"/>
        <v>#VALUE!</v>
      </c>
      <c r="Z8" t="e">
        <f t="shared" si="8"/>
        <v>#VALUE!</v>
      </c>
      <c r="AB8">
        <v>1000</v>
      </c>
      <c r="AC8">
        <v>1000</v>
      </c>
      <c r="AD8">
        <v>1000</v>
      </c>
      <c r="AE8">
        <v>1000</v>
      </c>
      <c r="AG8" t="e">
        <f t="shared" si="9"/>
        <v>#VALUE!</v>
      </c>
      <c r="AH8" t="e">
        <f t="shared" si="10"/>
        <v>#VALUE!</v>
      </c>
      <c r="AI8" t="e">
        <f t="shared" si="11"/>
        <v>#VALUE!</v>
      </c>
      <c r="AJ8" t="e">
        <f t="shared" si="12"/>
        <v>#VALUE!</v>
      </c>
    </row>
    <row r="9" spans="1:36" ht="28.2" thickBot="1" x14ac:dyDescent="0.3">
      <c r="A9" s="22">
        <v>29</v>
      </c>
      <c r="B9" s="22" t="s">
        <v>2896</v>
      </c>
      <c r="C9" s="22" t="s">
        <v>29</v>
      </c>
      <c r="D9" s="22" t="s">
        <v>29</v>
      </c>
      <c r="E9" s="22" t="s">
        <v>29</v>
      </c>
      <c r="F9" s="22" t="s">
        <v>29</v>
      </c>
      <c r="G9" s="22" t="s">
        <v>29</v>
      </c>
      <c r="H9" s="22" t="s">
        <v>2864</v>
      </c>
      <c r="I9" t="e">
        <f t="shared" si="0"/>
        <v>#VALUE!</v>
      </c>
      <c r="J9" t="e">
        <f t="shared" si="1"/>
        <v>#VALUE!</v>
      </c>
      <c r="K9" t="e">
        <f t="shared" si="2"/>
        <v>#VALUE!</v>
      </c>
      <c r="L9" t="e">
        <f t="shared" si="3"/>
        <v>#VALUE!</v>
      </c>
      <c r="O9" s="22">
        <v>8</v>
      </c>
      <c r="P9" s="22" t="s">
        <v>2898</v>
      </c>
      <c r="Q9" s="22">
        <v>128.084</v>
      </c>
      <c r="R9" s="22">
        <v>11.25</v>
      </c>
      <c r="S9" s="22">
        <v>13.28</v>
      </c>
      <c r="T9" s="22">
        <v>20.89</v>
      </c>
      <c r="U9" s="22">
        <v>17.149999999999999</v>
      </c>
      <c r="V9" s="22" t="s">
        <v>2854</v>
      </c>
      <c r="W9">
        <f t="shared" si="5"/>
        <v>1440.9449999999999</v>
      </c>
      <c r="X9">
        <f t="shared" si="6"/>
        <v>1700.95552</v>
      </c>
      <c r="Y9">
        <f t="shared" si="7"/>
        <v>2675.6747600000003</v>
      </c>
      <c r="Z9">
        <f t="shared" si="8"/>
        <v>2196.6405999999997</v>
      </c>
      <c r="AB9">
        <v>1000</v>
      </c>
      <c r="AC9">
        <v>1000</v>
      </c>
      <c r="AD9">
        <v>1000</v>
      </c>
      <c r="AE9">
        <v>1000</v>
      </c>
      <c r="AG9">
        <f t="shared" si="9"/>
        <v>1440945</v>
      </c>
      <c r="AH9">
        <f t="shared" si="10"/>
        <v>1700955.52</v>
      </c>
      <c r="AI9">
        <f t="shared" si="11"/>
        <v>2675674.7600000002</v>
      </c>
      <c r="AJ9">
        <f t="shared" si="12"/>
        <v>2196640.5999999996</v>
      </c>
    </row>
    <row r="10" spans="1:36" ht="42" thickBot="1" x14ac:dyDescent="0.3">
      <c r="A10" s="22">
        <v>39</v>
      </c>
      <c r="B10" s="22" t="s">
        <v>2903</v>
      </c>
      <c r="C10" s="22" t="s">
        <v>29</v>
      </c>
      <c r="D10" s="22" t="s">
        <v>29</v>
      </c>
      <c r="E10" s="22" t="s">
        <v>29</v>
      </c>
      <c r="F10" s="22" t="s">
        <v>29</v>
      </c>
      <c r="G10" s="22" t="s">
        <v>29</v>
      </c>
      <c r="H10" s="22" t="s">
        <v>2864</v>
      </c>
      <c r="I10" t="e">
        <f t="shared" si="0"/>
        <v>#VALUE!</v>
      </c>
      <c r="J10" t="e">
        <f t="shared" si="1"/>
        <v>#VALUE!</v>
      </c>
      <c r="K10" t="e">
        <f t="shared" si="2"/>
        <v>#VALUE!</v>
      </c>
      <c r="L10" t="e">
        <f t="shared" si="3"/>
        <v>#VALUE!</v>
      </c>
      <c r="O10" s="22">
        <v>9</v>
      </c>
      <c r="P10" s="22" t="s">
        <v>2909</v>
      </c>
      <c r="Q10" s="22" t="s">
        <v>2908</v>
      </c>
      <c r="R10" s="22" t="s">
        <v>2908</v>
      </c>
      <c r="S10" s="22" t="s">
        <v>2908</v>
      </c>
      <c r="T10" s="22" t="s">
        <v>2908</v>
      </c>
      <c r="U10" s="22" t="s">
        <v>2908</v>
      </c>
      <c r="V10" s="22" t="s">
        <v>2908</v>
      </c>
      <c r="W10" t="e">
        <f t="shared" si="5"/>
        <v>#VALUE!</v>
      </c>
      <c r="X10" t="e">
        <f t="shared" si="6"/>
        <v>#VALUE!</v>
      </c>
      <c r="Y10" t="e">
        <f t="shared" si="7"/>
        <v>#VALUE!</v>
      </c>
      <c r="Z10" t="e">
        <f t="shared" si="8"/>
        <v>#VALUE!</v>
      </c>
      <c r="AB10">
        <v>1000</v>
      </c>
      <c r="AC10">
        <v>1000</v>
      </c>
      <c r="AD10">
        <v>1000</v>
      </c>
      <c r="AE10">
        <v>1000</v>
      </c>
      <c r="AG10" t="e">
        <f t="shared" si="9"/>
        <v>#VALUE!</v>
      </c>
      <c r="AH10" t="e">
        <f t="shared" si="10"/>
        <v>#VALUE!</v>
      </c>
      <c r="AI10" t="e">
        <f t="shared" si="11"/>
        <v>#VALUE!</v>
      </c>
      <c r="AJ10" t="e">
        <f t="shared" si="12"/>
        <v>#VALUE!</v>
      </c>
    </row>
    <row r="11" spans="1:36" ht="55.8" thickBot="1" x14ac:dyDescent="0.3">
      <c r="A11" s="22">
        <v>32</v>
      </c>
      <c r="B11" s="22" t="s">
        <v>2897</v>
      </c>
      <c r="C11" s="22">
        <v>5.5E-2</v>
      </c>
      <c r="D11" s="22">
        <v>25859.48</v>
      </c>
      <c r="E11" s="22">
        <v>12741.98</v>
      </c>
      <c r="F11" s="22">
        <v>4215.5600000000004</v>
      </c>
      <c r="G11" s="22">
        <v>4455.2700000000004</v>
      </c>
      <c r="H11" s="22" t="s">
        <v>2854</v>
      </c>
      <c r="I11">
        <f t="shared" si="0"/>
        <v>1422.2714000000001</v>
      </c>
      <c r="J11">
        <f t="shared" si="1"/>
        <v>700.80889999999999</v>
      </c>
      <c r="K11">
        <f t="shared" si="2"/>
        <v>700.80889999999999</v>
      </c>
      <c r="L11">
        <f t="shared" si="3"/>
        <v>245.03985000000003</v>
      </c>
      <c r="O11" s="22">
        <v>10</v>
      </c>
      <c r="P11" s="22" t="s">
        <v>2910</v>
      </c>
      <c r="Q11" s="22" t="s">
        <v>2908</v>
      </c>
      <c r="R11" s="22" t="s">
        <v>2908</v>
      </c>
      <c r="S11" s="22" t="s">
        <v>2908</v>
      </c>
      <c r="T11" s="22" t="s">
        <v>2908</v>
      </c>
      <c r="U11" s="22" t="s">
        <v>2908</v>
      </c>
      <c r="V11" s="22" t="s">
        <v>2908</v>
      </c>
      <c r="W11" t="e">
        <f t="shared" si="5"/>
        <v>#VALUE!</v>
      </c>
      <c r="X11" t="e">
        <f t="shared" si="6"/>
        <v>#VALUE!</v>
      </c>
      <c r="Y11" t="e">
        <f t="shared" si="7"/>
        <v>#VALUE!</v>
      </c>
      <c r="Z11" t="e">
        <f t="shared" si="8"/>
        <v>#VALUE!</v>
      </c>
      <c r="AB11">
        <v>1000</v>
      </c>
      <c r="AC11">
        <v>1000</v>
      </c>
      <c r="AD11">
        <v>1000</v>
      </c>
      <c r="AE11">
        <v>1000</v>
      </c>
      <c r="AG11" t="e">
        <f t="shared" si="9"/>
        <v>#VALUE!</v>
      </c>
      <c r="AH11" t="e">
        <f t="shared" si="10"/>
        <v>#VALUE!</v>
      </c>
      <c r="AI11" t="e">
        <f t="shared" si="11"/>
        <v>#VALUE!</v>
      </c>
      <c r="AJ11" t="e">
        <f t="shared" si="12"/>
        <v>#VALUE!</v>
      </c>
    </row>
    <row r="12" spans="1:36" ht="28.2" thickBot="1" x14ac:dyDescent="0.3">
      <c r="A12" s="22">
        <v>37</v>
      </c>
      <c r="B12" s="22" t="s">
        <v>2023</v>
      </c>
      <c r="C12" s="22">
        <v>1.2999999999999999E-2</v>
      </c>
      <c r="D12" s="22">
        <v>1388.11</v>
      </c>
      <c r="E12" s="22">
        <v>993.94</v>
      </c>
      <c r="F12" s="22">
        <v>5949.6509999999998</v>
      </c>
      <c r="G12" s="22">
        <v>3332.71</v>
      </c>
      <c r="H12" s="22" t="s">
        <v>2900</v>
      </c>
      <c r="I12">
        <f t="shared" si="0"/>
        <v>18.04543</v>
      </c>
      <c r="J12">
        <f t="shared" si="1"/>
        <v>12.92122</v>
      </c>
      <c r="K12">
        <f t="shared" si="2"/>
        <v>12.92122</v>
      </c>
      <c r="L12">
        <f t="shared" si="3"/>
        <v>43.325229999999998</v>
      </c>
      <c r="O12" s="22">
        <v>11</v>
      </c>
      <c r="P12" s="22" t="s">
        <v>2911</v>
      </c>
      <c r="Q12" s="22" t="s">
        <v>2908</v>
      </c>
      <c r="R12" s="22" t="s">
        <v>2908</v>
      </c>
      <c r="S12" s="22" t="s">
        <v>2908</v>
      </c>
      <c r="T12" s="22" t="s">
        <v>2908</v>
      </c>
      <c r="U12" s="22" t="s">
        <v>2908</v>
      </c>
      <c r="V12" s="22" t="s">
        <v>2908</v>
      </c>
      <c r="W12" t="e">
        <f t="shared" si="5"/>
        <v>#VALUE!</v>
      </c>
      <c r="X12" t="e">
        <f t="shared" si="6"/>
        <v>#VALUE!</v>
      </c>
      <c r="Y12" t="e">
        <f t="shared" si="7"/>
        <v>#VALUE!</v>
      </c>
      <c r="Z12" t="e">
        <f t="shared" si="8"/>
        <v>#VALUE!</v>
      </c>
      <c r="AB12">
        <v>1000</v>
      </c>
      <c r="AC12">
        <v>1000</v>
      </c>
      <c r="AD12">
        <v>1000</v>
      </c>
      <c r="AE12">
        <v>1000</v>
      </c>
      <c r="AG12" t="e">
        <f t="shared" si="9"/>
        <v>#VALUE!</v>
      </c>
      <c r="AH12" t="e">
        <f t="shared" si="10"/>
        <v>#VALUE!</v>
      </c>
      <c r="AI12" t="e">
        <f t="shared" si="11"/>
        <v>#VALUE!</v>
      </c>
      <c r="AJ12" t="e">
        <f t="shared" si="12"/>
        <v>#VALUE!</v>
      </c>
    </row>
    <row r="13" spans="1:36" ht="55.8" thickBot="1" x14ac:dyDescent="0.3">
      <c r="A13" s="22">
        <v>31</v>
      </c>
      <c r="B13" s="22" t="s">
        <v>2018</v>
      </c>
      <c r="C13" s="22">
        <v>8.2000000000000003E-2</v>
      </c>
      <c r="D13" s="22">
        <v>1061.78</v>
      </c>
      <c r="E13" s="22">
        <v>396.89</v>
      </c>
      <c r="F13" s="22">
        <v>162.57</v>
      </c>
      <c r="G13" s="22">
        <v>219.09</v>
      </c>
      <c r="H13" s="22" t="s">
        <v>2864</v>
      </c>
      <c r="I13">
        <f t="shared" si="0"/>
        <v>87.065960000000004</v>
      </c>
      <c r="J13">
        <f t="shared" si="1"/>
        <v>32.544980000000002</v>
      </c>
      <c r="K13">
        <f t="shared" si="2"/>
        <v>32.544980000000002</v>
      </c>
      <c r="L13">
        <f t="shared" si="3"/>
        <v>17.96538</v>
      </c>
      <c r="O13" s="22">
        <v>12</v>
      </c>
      <c r="P13" s="22" t="s">
        <v>2912</v>
      </c>
      <c r="Q13" s="22" t="s">
        <v>2908</v>
      </c>
      <c r="R13" s="22" t="s">
        <v>2908</v>
      </c>
      <c r="S13" s="22" t="s">
        <v>2908</v>
      </c>
      <c r="T13" s="22" t="s">
        <v>2908</v>
      </c>
      <c r="U13" s="22" t="s">
        <v>2908</v>
      </c>
      <c r="V13" s="22" t="s">
        <v>2908</v>
      </c>
      <c r="W13" t="e">
        <f t="shared" si="5"/>
        <v>#VALUE!</v>
      </c>
      <c r="X13" t="e">
        <f t="shared" si="6"/>
        <v>#VALUE!</v>
      </c>
      <c r="Y13" t="e">
        <f t="shared" si="7"/>
        <v>#VALUE!</v>
      </c>
      <c r="Z13" t="e">
        <f t="shared" si="8"/>
        <v>#VALUE!</v>
      </c>
      <c r="AB13">
        <v>1000</v>
      </c>
      <c r="AC13">
        <v>1000</v>
      </c>
      <c r="AD13">
        <v>1000</v>
      </c>
      <c r="AE13">
        <v>1000</v>
      </c>
      <c r="AG13" t="e">
        <f t="shared" si="9"/>
        <v>#VALUE!</v>
      </c>
      <c r="AH13" t="e">
        <f t="shared" si="10"/>
        <v>#VALUE!</v>
      </c>
      <c r="AI13" t="e">
        <f t="shared" si="11"/>
        <v>#VALUE!</v>
      </c>
      <c r="AJ13" t="e">
        <f t="shared" si="12"/>
        <v>#VALUE!</v>
      </c>
    </row>
    <row r="14" spans="1:36" ht="14.4" thickBot="1" x14ac:dyDescent="0.3">
      <c r="A14" s="22">
        <v>9</v>
      </c>
      <c r="B14" s="22" t="s">
        <v>2866</v>
      </c>
      <c r="C14" s="22">
        <v>2.7330000000000001</v>
      </c>
      <c r="D14" s="22">
        <v>81.540000000000006</v>
      </c>
      <c r="E14" s="22">
        <v>58.14</v>
      </c>
      <c r="F14" s="22">
        <v>26.85</v>
      </c>
      <c r="G14" s="22">
        <v>27.05</v>
      </c>
      <c r="H14" s="22" t="s">
        <v>2864</v>
      </c>
      <c r="I14">
        <f t="shared" si="0"/>
        <v>222.84882000000002</v>
      </c>
      <c r="J14">
        <f t="shared" si="1"/>
        <v>158.89662000000001</v>
      </c>
      <c r="K14">
        <f t="shared" si="2"/>
        <v>158.89662000000001</v>
      </c>
      <c r="L14">
        <f t="shared" si="3"/>
        <v>73.92765</v>
      </c>
      <c r="O14" s="22">
        <v>13</v>
      </c>
      <c r="P14" s="22" t="s">
        <v>2913</v>
      </c>
      <c r="Q14" s="22" t="s">
        <v>2908</v>
      </c>
      <c r="R14" s="22" t="s">
        <v>2908</v>
      </c>
      <c r="S14" s="22" t="s">
        <v>2908</v>
      </c>
      <c r="T14" s="22" t="s">
        <v>2908</v>
      </c>
      <c r="U14" s="22" t="s">
        <v>2908</v>
      </c>
      <c r="V14" s="22" t="s">
        <v>2908</v>
      </c>
      <c r="W14" t="e">
        <f t="shared" si="5"/>
        <v>#VALUE!</v>
      </c>
      <c r="X14" t="e">
        <f t="shared" si="6"/>
        <v>#VALUE!</v>
      </c>
      <c r="Y14" t="e">
        <f t="shared" si="7"/>
        <v>#VALUE!</v>
      </c>
      <c r="Z14" t="e">
        <f t="shared" si="8"/>
        <v>#VALUE!</v>
      </c>
      <c r="AB14">
        <v>1000</v>
      </c>
      <c r="AC14">
        <v>1000</v>
      </c>
      <c r="AD14">
        <v>1000</v>
      </c>
      <c r="AE14">
        <v>1000</v>
      </c>
      <c r="AG14" t="e">
        <f t="shared" si="9"/>
        <v>#VALUE!</v>
      </c>
      <c r="AH14" t="e">
        <f t="shared" si="10"/>
        <v>#VALUE!</v>
      </c>
      <c r="AI14" t="e">
        <f t="shared" si="11"/>
        <v>#VALUE!</v>
      </c>
      <c r="AJ14" t="e">
        <f t="shared" si="12"/>
        <v>#VALUE!</v>
      </c>
    </row>
    <row r="15" spans="1:36" ht="14.4" thickBot="1" x14ac:dyDescent="0.3">
      <c r="A15" s="22">
        <v>25</v>
      </c>
      <c r="B15" s="22" t="s">
        <v>2890</v>
      </c>
      <c r="C15" s="22">
        <v>0.96499999999999997</v>
      </c>
      <c r="D15" s="22">
        <v>73.97</v>
      </c>
      <c r="E15" s="22">
        <v>58.96</v>
      </c>
      <c r="F15" s="22">
        <v>93.74</v>
      </c>
      <c r="G15" s="22">
        <v>126.76</v>
      </c>
      <c r="H15" s="22" t="s">
        <v>2891</v>
      </c>
      <c r="I15">
        <f t="shared" si="0"/>
        <v>71.381050000000002</v>
      </c>
      <c r="J15">
        <f t="shared" si="1"/>
        <v>56.8964</v>
      </c>
      <c r="K15">
        <f t="shared" si="2"/>
        <v>56.8964</v>
      </c>
      <c r="L15">
        <f t="shared" si="3"/>
        <v>122.32340000000001</v>
      </c>
      <c r="O15" s="22">
        <v>14</v>
      </c>
      <c r="P15" s="22" t="s">
        <v>2173</v>
      </c>
      <c r="Q15" s="22">
        <v>1.891</v>
      </c>
      <c r="R15" s="22">
        <v>22</v>
      </c>
      <c r="S15" s="22">
        <v>10.75</v>
      </c>
      <c r="T15" s="22">
        <v>2.5499999999999998</v>
      </c>
      <c r="U15" s="22">
        <v>1.47</v>
      </c>
      <c r="V15" s="22" t="s">
        <v>2864</v>
      </c>
      <c r="W15">
        <f t="shared" si="5"/>
        <v>41.602000000000004</v>
      </c>
      <c r="X15">
        <f t="shared" si="6"/>
        <v>20.328250000000001</v>
      </c>
      <c r="Y15">
        <f t="shared" si="7"/>
        <v>4.8220499999999999</v>
      </c>
      <c r="Z15">
        <f t="shared" si="8"/>
        <v>2.7797700000000001</v>
      </c>
      <c r="AB15">
        <v>1000</v>
      </c>
      <c r="AC15">
        <v>1000</v>
      </c>
      <c r="AD15">
        <v>1000</v>
      </c>
      <c r="AE15">
        <v>1000</v>
      </c>
      <c r="AG15">
        <f t="shared" si="9"/>
        <v>41602.000000000007</v>
      </c>
      <c r="AH15">
        <f t="shared" si="10"/>
        <v>20328.25</v>
      </c>
      <c r="AI15">
        <f t="shared" si="11"/>
        <v>4822.05</v>
      </c>
      <c r="AJ15">
        <f t="shared" si="12"/>
        <v>2779.77</v>
      </c>
    </row>
    <row r="16" spans="1:36" ht="14.4" thickBot="1" x14ac:dyDescent="0.3">
      <c r="A16" s="22">
        <v>27</v>
      </c>
      <c r="B16" s="22" t="s">
        <v>2894</v>
      </c>
      <c r="C16" s="22">
        <v>0.38900000000000001</v>
      </c>
      <c r="D16" s="22">
        <v>57.77</v>
      </c>
      <c r="E16" s="22">
        <v>42.4</v>
      </c>
      <c r="F16" s="22">
        <v>67.48</v>
      </c>
      <c r="G16" s="22">
        <v>46.49</v>
      </c>
      <c r="H16" s="22" t="s">
        <v>2895</v>
      </c>
      <c r="I16">
        <f t="shared" si="0"/>
        <v>22.472530000000003</v>
      </c>
      <c r="J16">
        <f t="shared" si="1"/>
        <v>16.493600000000001</v>
      </c>
      <c r="K16">
        <f t="shared" si="2"/>
        <v>16.493600000000001</v>
      </c>
      <c r="L16">
        <f t="shared" si="3"/>
        <v>18.084610000000001</v>
      </c>
      <c r="O16" s="22">
        <v>15</v>
      </c>
      <c r="P16" s="22" t="s">
        <v>2914</v>
      </c>
      <c r="Q16" s="22">
        <v>0.67800000000000005</v>
      </c>
      <c r="R16" s="22">
        <v>12.51</v>
      </c>
      <c r="S16" s="22">
        <v>5.01</v>
      </c>
      <c r="T16" s="22">
        <v>56.32</v>
      </c>
      <c r="U16" s="22">
        <v>27.91</v>
      </c>
      <c r="V16" s="22" t="s">
        <v>2867</v>
      </c>
      <c r="W16">
        <f t="shared" si="5"/>
        <v>8.4817800000000005</v>
      </c>
      <c r="X16">
        <f t="shared" si="6"/>
        <v>3.3967800000000001</v>
      </c>
      <c r="Y16">
        <f t="shared" si="7"/>
        <v>38.184960000000004</v>
      </c>
      <c r="Z16">
        <f t="shared" si="8"/>
        <v>18.922980000000003</v>
      </c>
      <c r="AB16">
        <v>1000</v>
      </c>
      <c r="AC16">
        <v>1000</v>
      </c>
      <c r="AD16">
        <v>1000</v>
      </c>
      <c r="AE16">
        <v>1000</v>
      </c>
      <c r="AG16">
        <f t="shared" si="9"/>
        <v>8481.7800000000007</v>
      </c>
      <c r="AH16">
        <f t="shared" si="10"/>
        <v>3396.78</v>
      </c>
      <c r="AI16">
        <f t="shared" si="11"/>
        <v>38184.960000000006</v>
      </c>
      <c r="AJ16">
        <f t="shared" si="12"/>
        <v>18922.980000000003</v>
      </c>
    </row>
    <row r="17" spans="1:36" ht="28.2" thickBot="1" x14ac:dyDescent="0.3">
      <c r="A17" s="22">
        <v>30</v>
      </c>
      <c r="B17" s="22" t="s">
        <v>2022</v>
      </c>
      <c r="C17" s="22">
        <v>32.552</v>
      </c>
      <c r="D17" s="22">
        <v>57.16</v>
      </c>
      <c r="E17" s="22">
        <v>30.21</v>
      </c>
      <c r="F17" s="22">
        <v>14.19</v>
      </c>
      <c r="G17" s="22">
        <v>15.24</v>
      </c>
      <c r="H17" s="22" t="s">
        <v>2864</v>
      </c>
      <c r="I17">
        <f t="shared" si="0"/>
        <v>1860.6723199999999</v>
      </c>
      <c r="J17">
        <f t="shared" si="1"/>
        <v>983.39592000000005</v>
      </c>
      <c r="K17">
        <f t="shared" si="2"/>
        <v>983.39592000000005</v>
      </c>
      <c r="L17">
        <f t="shared" si="3"/>
        <v>496.09248000000002</v>
      </c>
      <c r="O17" s="22">
        <v>16</v>
      </c>
      <c r="P17" s="22" t="s">
        <v>2029</v>
      </c>
      <c r="Q17" s="22" t="s">
        <v>2908</v>
      </c>
      <c r="R17" s="22" t="s">
        <v>2908</v>
      </c>
      <c r="S17" s="22" t="s">
        <v>2908</v>
      </c>
      <c r="T17" s="22" t="s">
        <v>2908</v>
      </c>
      <c r="U17" s="22" t="s">
        <v>2908</v>
      </c>
      <c r="V17" s="22" t="s">
        <v>2908</v>
      </c>
      <c r="W17" t="e">
        <f t="shared" si="5"/>
        <v>#VALUE!</v>
      </c>
      <c r="X17" t="e">
        <f t="shared" si="6"/>
        <v>#VALUE!</v>
      </c>
      <c r="Y17" t="e">
        <f t="shared" si="7"/>
        <v>#VALUE!</v>
      </c>
      <c r="Z17" t="e">
        <f t="shared" si="8"/>
        <v>#VALUE!</v>
      </c>
      <c r="AB17">
        <v>1000</v>
      </c>
      <c r="AC17">
        <v>1000</v>
      </c>
      <c r="AD17">
        <v>1000</v>
      </c>
      <c r="AE17">
        <v>1000</v>
      </c>
      <c r="AG17" t="e">
        <f t="shared" si="9"/>
        <v>#VALUE!</v>
      </c>
      <c r="AH17" t="e">
        <f t="shared" si="10"/>
        <v>#VALUE!</v>
      </c>
      <c r="AI17" t="e">
        <f t="shared" si="11"/>
        <v>#VALUE!</v>
      </c>
      <c r="AJ17" t="e">
        <f t="shared" si="12"/>
        <v>#VALUE!</v>
      </c>
    </row>
    <row r="18" spans="1:36" ht="28.2" thickBot="1" x14ac:dyDescent="0.3">
      <c r="A18" s="22">
        <v>6</v>
      </c>
      <c r="B18" s="22" t="s">
        <v>2861</v>
      </c>
      <c r="C18" s="22">
        <v>0.25900000000000001</v>
      </c>
      <c r="D18" s="22">
        <v>52.69</v>
      </c>
      <c r="E18" s="22">
        <v>65.23</v>
      </c>
      <c r="F18" s="22">
        <v>314.3</v>
      </c>
      <c r="G18" s="22">
        <v>518.72</v>
      </c>
      <c r="H18" s="22" t="s">
        <v>2862</v>
      </c>
      <c r="I18">
        <f t="shared" si="0"/>
        <v>13.646710000000001</v>
      </c>
      <c r="J18">
        <f t="shared" si="1"/>
        <v>16.894570000000002</v>
      </c>
      <c r="K18">
        <f t="shared" si="2"/>
        <v>16.894570000000002</v>
      </c>
      <c r="L18">
        <f t="shared" si="3"/>
        <v>134.34848000000002</v>
      </c>
      <c r="O18" s="22">
        <v>17</v>
      </c>
      <c r="P18" s="22" t="s">
        <v>2028</v>
      </c>
      <c r="Q18" s="22">
        <v>0.40699999999999997</v>
      </c>
      <c r="R18" s="22">
        <v>7.85</v>
      </c>
      <c r="S18" s="22">
        <v>8.32</v>
      </c>
      <c r="T18" s="22">
        <v>13.45</v>
      </c>
      <c r="U18" s="22">
        <v>10.91</v>
      </c>
      <c r="V18" s="22" t="s">
        <v>2870</v>
      </c>
      <c r="W18">
        <f t="shared" si="5"/>
        <v>3.1949499999999995</v>
      </c>
      <c r="X18">
        <f t="shared" si="6"/>
        <v>3.3862399999999999</v>
      </c>
      <c r="Y18">
        <f t="shared" si="7"/>
        <v>5.474149999999999</v>
      </c>
      <c r="Z18">
        <f t="shared" si="8"/>
        <v>4.4403699999999997</v>
      </c>
      <c r="AB18">
        <v>1000</v>
      </c>
      <c r="AC18">
        <v>1000</v>
      </c>
      <c r="AD18">
        <v>1000</v>
      </c>
      <c r="AE18">
        <v>1000</v>
      </c>
      <c r="AG18">
        <f t="shared" si="9"/>
        <v>3194.9499999999994</v>
      </c>
      <c r="AH18">
        <f t="shared" si="10"/>
        <v>3386.24</v>
      </c>
      <c r="AI18">
        <f t="shared" si="11"/>
        <v>5474.1499999999987</v>
      </c>
      <c r="AJ18">
        <f t="shared" si="12"/>
        <v>4440.37</v>
      </c>
    </row>
    <row r="19" spans="1:36" ht="28.2" thickBot="1" x14ac:dyDescent="0.3">
      <c r="A19" s="22">
        <v>2</v>
      </c>
      <c r="B19" s="22" t="s">
        <v>2320</v>
      </c>
      <c r="C19" s="22">
        <v>1.2</v>
      </c>
      <c r="D19" s="22">
        <v>40.049999999999997</v>
      </c>
      <c r="E19" s="22">
        <v>60.66</v>
      </c>
      <c r="F19" s="22">
        <v>29.22</v>
      </c>
      <c r="G19" s="22">
        <v>51.72</v>
      </c>
      <c r="H19" s="22" t="s">
        <v>2855</v>
      </c>
      <c r="I19">
        <f t="shared" si="0"/>
        <v>48.059999999999995</v>
      </c>
      <c r="J19">
        <f t="shared" si="1"/>
        <v>72.791999999999987</v>
      </c>
      <c r="K19">
        <f t="shared" si="2"/>
        <v>72.791999999999987</v>
      </c>
      <c r="L19">
        <f t="shared" si="3"/>
        <v>62.063999999999993</v>
      </c>
      <c r="O19" s="22">
        <v>18</v>
      </c>
      <c r="P19" s="22" t="s">
        <v>2915</v>
      </c>
      <c r="Q19" s="22" t="s">
        <v>2908</v>
      </c>
      <c r="R19" s="22" t="s">
        <v>2908</v>
      </c>
      <c r="S19" s="22" t="s">
        <v>2908</v>
      </c>
      <c r="T19" s="22" t="s">
        <v>2908</v>
      </c>
      <c r="U19" s="22" t="s">
        <v>2908</v>
      </c>
      <c r="V19" s="22" t="s">
        <v>2908</v>
      </c>
      <c r="W19" t="e">
        <f t="shared" si="5"/>
        <v>#VALUE!</v>
      </c>
      <c r="X19" t="e">
        <f t="shared" si="6"/>
        <v>#VALUE!</v>
      </c>
      <c r="Y19" t="e">
        <f t="shared" si="7"/>
        <v>#VALUE!</v>
      </c>
      <c r="Z19" t="e">
        <f t="shared" si="8"/>
        <v>#VALUE!</v>
      </c>
      <c r="AB19">
        <v>1000</v>
      </c>
      <c r="AC19">
        <v>1000</v>
      </c>
      <c r="AD19">
        <v>1000</v>
      </c>
      <c r="AE19">
        <v>1000</v>
      </c>
      <c r="AG19" t="e">
        <f t="shared" si="9"/>
        <v>#VALUE!</v>
      </c>
      <c r="AH19" t="e">
        <f t="shared" si="10"/>
        <v>#VALUE!</v>
      </c>
      <c r="AI19" t="e">
        <f t="shared" si="11"/>
        <v>#VALUE!</v>
      </c>
      <c r="AJ19" t="e">
        <f t="shared" si="12"/>
        <v>#VALUE!</v>
      </c>
    </row>
    <row r="20" spans="1:36" ht="28.2" thickBot="1" x14ac:dyDescent="0.3">
      <c r="A20" s="22">
        <v>34</v>
      </c>
      <c r="B20" s="22" t="s">
        <v>2017</v>
      </c>
      <c r="C20" s="22">
        <v>1.891</v>
      </c>
      <c r="D20" s="22">
        <v>22</v>
      </c>
      <c r="E20" s="22">
        <v>10.75</v>
      </c>
      <c r="F20" s="22">
        <v>2.5499999999999998</v>
      </c>
      <c r="G20" s="22">
        <v>1.47</v>
      </c>
      <c r="H20" s="22" t="s">
        <v>2864</v>
      </c>
      <c r="I20">
        <f t="shared" si="0"/>
        <v>41.602000000000004</v>
      </c>
      <c r="J20">
        <f t="shared" si="1"/>
        <v>20.328250000000001</v>
      </c>
      <c r="K20">
        <f t="shared" si="2"/>
        <v>20.328250000000001</v>
      </c>
      <c r="L20">
        <f t="shared" si="3"/>
        <v>2.7797700000000001</v>
      </c>
      <c r="O20" s="22">
        <v>19</v>
      </c>
      <c r="P20" s="22" t="s">
        <v>2318</v>
      </c>
      <c r="Q20" s="22" t="s">
        <v>2908</v>
      </c>
      <c r="R20" s="22" t="s">
        <v>2908</v>
      </c>
      <c r="S20" s="22" t="s">
        <v>2908</v>
      </c>
      <c r="T20" s="22" t="s">
        <v>2908</v>
      </c>
      <c r="U20" s="22" t="s">
        <v>2908</v>
      </c>
      <c r="V20" s="22" t="s">
        <v>2908</v>
      </c>
      <c r="W20" t="e">
        <f t="shared" si="5"/>
        <v>#VALUE!</v>
      </c>
      <c r="X20" t="e">
        <f t="shared" si="6"/>
        <v>#VALUE!</v>
      </c>
      <c r="Y20" t="e">
        <f t="shared" si="7"/>
        <v>#VALUE!</v>
      </c>
      <c r="Z20" t="e">
        <f t="shared" si="8"/>
        <v>#VALUE!</v>
      </c>
      <c r="AB20">
        <v>1000</v>
      </c>
      <c r="AC20">
        <v>1000</v>
      </c>
      <c r="AD20">
        <v>1000</v>
      </c>
      <c r="AE20">
        <v>1000</v>
      </c>
      <c r="AG20" t="e">
        <f t="shared" si="9"/>
        <v>#VALUE!</v>
      </c>
      <c r="AH20" t="e">
        <f t="shared" si="10"/>
        <v>#VALUE!</v>
      </c>
      <c r="AI20" t="e">
        <f t="shared" si="11"/>
        <v>#VALUE!</v>
      </c>
      <c r="AJ20" t="e">
        <f t="shared" si="12"/>
        <v>#VALUE!</v>
      </c>
    </row>
    <row r="21" spans="1:36" ht="28.2" thickBot="1" x14ac:dyDescent="0.3">
      <c r="A21" s="22">
        <v>35</v>
      </c>
      <c r="B21" s="22" t="s">
        <v>2899</v>
      </c>
      <c r="C21" s="22">
        <v>0.67800000000000005</v>
      </c>
      <c r="D21" s="22">
        <v>12.51</v>
      </c>
      <c r="E21" s="22">
        <v>5.01</v>
      </c>
      <c r="F21" s="22">
        <v>56.32</v>
      </c>
      <c r="G21" s="22">
        <v>27.91</v>
      </c>
      <c r="H21" s="22" t="s">
        <v>2867</v>
      </c>
      <c r="I21">
        <f t="shared" si="0"/>
        <v>8.4817800000000005</v>
      </c>
      <c r="J21">
        <f t="shared" si="1"/>
        <v>3.3967800000000001</v>
      </c>
      <c r="K21">
        <f t="shared" si="2"/>
        <v>3.3967800000000001</v>
      </c>
      <c r="L21">
        <f t="shared" si="3"/>
        <v>18.922980000000003</v>
      </c>
      <c r="O21" s="22">
        <v>20</v>
      </c>
      <c r="P21" s="22" t="s">
        <v>2362</v>
      </c>
      <c r="Q21" s="22" t="s">
        <v>2908</v>
      </c>
      <c r="R21" s="22" t="s">
        <v>2908</v>
      </c>
      <c r="S21" s="22" t="s">
        <v>2908</v>
      </c>
      <c r="T21" s="22" t="s">
        <v>2908</v>
      </c>
      <c r="U21" s="22" t="s">
        <v>2908</v>
      </c>
      <c r="V21" s="22" t="s">
        <v>2908</v>
      </c>
      <c r="W21" t="e">
        <f t="shared" si="5"/>
        <v>#VALUE!</v>
      </c>
      <c r="X21" t="e">
        <f t="shared" si="6"/>
        <v>#VALUE!</v>
      </c>
      <c r="Y21" t="e">
        <f t="shared" si="7"/>
        <v>#VALUE!</v>
      </c>
      <c r="Z21" t="e">
        <f t="shared" si="8"/>
        <v>#VALUE!</v>
      </c>
      <c r="AB21">
        <v>1000</v>
      </c>
      <c r="AC21">
        <v>1000</v>
      </c>
      <c r="AD21">
        <v>1000</v>
      </c>
      <c r="AE21">
        <v>1000</v>
      </c>
      <c r="AG21" t="e">
        <f t="shared" si="9"/>
        <v>#VALUE!</v>
      </c>
      <c r="AH21" t="e">
        <f t="shared" si="10"/>
        <v>#VALUE!</v>
      </c>
      <c r="AI21" t="e">
        <f t="shared" si="11"/>
        <v>#VALUE!</v>
      </c>
      <c r="AJ21" t="e">
        <f t="shared" si="12"/>
        <v>#VALUE!</v>
      </c>
    </row>
    <row r="22" spans="1:36" ht="14.4" thickBot="1" x14ac:dyDescent="0.3">
      <c r="A22" s="22">
        <v>33</v>
      </c>
      <c r="B22" s="22" t="s">
        <v>2898</v>
      </c>
      <c r="C22" s="22">
        <v>128.084</v>
      </c>
      <c r="D22" s="22">
        <v>11.25</v>
      </c>
      <c r="E22" s="22">
        <v>13.28</v>
      </c>
      <c r="F22" s="22">
        <v>20.89</v>
      </c>
      <c r="G22" s="22">
        <v>17.149999999999999</v>
      </c>
      <c r="H22" s="22" t="s">
        <v>2854</v>
      </c>
      <c r="I22">
        <f t="shared" si="0"/>
        <v>1440.9449999999999</v>
      </c>
      <c r="J22">
        <f t="shared" si="1"/>
        <v>1700.95552</v>
      </c>
      <c r="K22">
        <f t="shared" si="2"/>
        <v>1700.95552</v>
      </c>
      <c r="L22">
        <f t="shared" si="3"/>
        <v>2196.6405999999997</v>
      </c>
      <c r="O22" s="22">
        <v>21</v>
      </c>
      <c r="P22" s="22" t="s">
        <v>2025</v>
      </c>
      <c r="Q22" s="22">
        <v>2.7330000000000001</v>
      </c>
      <c r="R22" s="22">
        <v>81.540000000000006</v>
      </c>
      <c r="S22" s="22">
        <v>58.14</v>
      </c>
      <c r="T22" s="22">
        <v>26.85</v>
      </c>
      <c r="U22" s="22">
        <v>27.05</v>
      </c>
      <c r="V22" s="22" t="s">
        <v>2864</v>
      </c>
      <c r="W22">
        <f t="shared" si="5"/>
        <v>222.84882000000002</v>
      </c>
      <c r="X22">
        <f t="shared" si="6"/>
        <v>158.89662000000001</v>
      </c>
      <c r="Y22">
        <f t="shared" si="7"/>
        <v>73.381050000000002</v>
      </c>
      <c r="Z22">
        <f t="shared" si="8"/>
        <v>73.92765</v>
      </c>
      <c r="AB22">
        <v>1000</v>
      </c>
      <c r="AC22">
        <v>1000</v>
      </c>
      <c r="AD22">
        <v>1000</v>
      </c>
      <c r="AE22">
        <v>1000</v>
      </c>
      <c r="AG22">
        <f t="shared" si="9"/>
        <v>222848.82</v>
      </c>
      <c r="AH22">
        <f t="shared" si="10"/>
        <v>158896.62000000002</v>
      </c>
      <c r="AI22">
        <f t="shared" si="11"/>
        <v>73381.05</v>
      </c>
      <c r="AJ22">
        <f t="shared" si="12"/>
        <v>73927.649999999994</v>
      </c>
    </row>
    <row r="23" spans="1:36" ht="14.4" thickBot="1" x14ac:dyDescent="0.3">
      <c r="A23" s="22">
        <v>16</v>
      </c>
      <c r="B23" s="22" t="s">
        <v>2875</v>
      </c>
      <c r="C23" s="22">
        <v>8</v>
      </c>
      <c r="D23" s="22">
        <v>10.71</v>
      </c>
      <c r="E23" s="22">
        <v>8.6300000000000008</v>
      </c>
      <c r="F23" s="22">
        <v>4.2300000000000004</v>
      </c>
      <c r="G23" s="22">
        <v>2.86</v>
      </c>
      <c r="H23" s="22" t="s">
        <v>2876</v>
      </c>
      <c r="I23">
        <f t="shared" si="0"/>
        <v>85.68</v>
      </c>
      <c r="J23">
        <f t="shared" si="1"/>
        <v>69.040000000000006</v>
      </c>
      <c r="K23">
        <f t="shared" si="2"/>
        <v>69.040000000000006</v>
      </c>
      <c r="L23">
        <f t="shared" si="3"/>
        <v>22.88</v>
      </c>
      <c r="O23" s="22">
        <v>22</v>
      </c>
      <c r="P23" s="22" t="s">
        <v>2916</v>
      </c>
      <c r="Q23" s="22">
        <v>8</v>
      </c>
      <c r="R23" s="22">
        <v>10.71</v>
      </c>
      <c r="S23" s="22">
        <v>8.6300000000000008</v>
      </c>
      <c r="T23" s="22">
        <v>4.2300000000000004</v>
      </c>
      <c r="U23" s="22">
        <v>2.86</v>
      </c>
      <c r="V23" s="22" t="s">
        <v>2876</v>
      </c>
      <c r="W23">
        <f t="shared" si="5"/>
        <v>85.68</v>
      </c>
      <c r="X23">
        <f t="shared" si="6"/>
        <v>69.040000000000006</v>
      </c>
      <c r="Y23">
        <f t="shared" si="7"/>
        <v>33.840000000000003</v>
      </c>
      <c r="Z23">
        <f t="shared" si="8"/>
        <v>22.88</v>
      </c>
      <c r="AB23">
        <v>1000</v>
      </c>
      <c r="AC23">
        <v>1000</v>
      </c>
      <c r="AD23">
        <v>1000</v>
      </c>
      <c r="AE23">
        <v>1000</v>
      </c>
      <c r="AG23">
        <f t="shared" si="9"/>
        <v>85680</v>
      </c>
      <c r="AH23">
        <f t="shared" si="10"/>
        <v>69040</v>
      </c>
      <c r="AI23">
        <f t="shared" si="11"/>
        <v>33840</v>
      </c>
      <c r="AJ23">
        <f t="shared" si="12"/>
        <v>22880</v>
      </c>
    </row>
    <row r="24" spans="1:36" ht="42" thickBot="1" x14ac:dyDescent="0.3">
      <c r="A24" s="22">
        <v>7</v>
      </c>
      <c r="B24" s="22" t="s">
        <v>2863</v>
      </c>
      <c r="C24" s="22">
        <v>53.953000000000003</v>
      </c>
      <c r="D24" s="22">
        <v>9.16</v>
      </c>
      <c r="E24" s="22">
        <v>6.02</v>
      </c>
      <c r="F24" s="22">
        <v>3.94</v>
      </c>
      <c r="G24" s="22">
        <v>2.69</v>
      </c>
      <c r="H24" s="22" t="s">
        <v>2864</v>
      </c>
      <c r="I24">
        <f t="shared" si="0"/>
        <v>494.20948000000004</v>
      </c>
      <c r="J24">
        <f t="shared" si="1"/>
        <v>324.79705999999999</v>
      </c>
      <c r="K24">
        <f t="shared" si="2"/>
        <v>324.79705999999999</v>
      </c>
      <c r="L24">
        <f t="shared" si="3"/>
        <v>145.13356999999999</v>
      </c>
      <c r="O24" s="22">
        <v>23</v>
      </c>
      <c r="P24" s="22" t="s">
        <v>2917</v>
      </c>
      <c r="Q24" s="22">
        <v>179.191</v>
      </c>
      <c r="R24" s="22">
        <v>2.27</v>
      </c>
      <c r="S24" s="22">
        <v>1.67</v>
      </c>
      <c r="T24" s="22">
        <v>1.2</v>
      </c>
      <c r="U24" s="22">
        <v>2.74</v>
      </c>
      <c r="V24" s="22" t="s">
        <v>2864</v>
      </c>
      <c r="W24">
        <f t="shared" si="5"/>
        <v>406.76357000000002</v>
      </c>
      <c r="X24">
        <f t="shared" si="6"/>
        <v>299.24896999999999</v>
      </c>
      <c r="Y24">
        <f t="shared" si="7"/>
        <v>215.0292</v>
      </c>
      <c r="Z24">
        <f t="shared" si="8"/>
        <v>490.98334000000006</v>
      </c>
      <c r="AB24">
        <v>1000</v>
      </c>
      <c r="AC24">
        <v>1000</v>
      </c>
      <c r="AD24">
        <v>1000</v>
      </c>
      <c r="AE24">
        <v>1000</v>
      </c>
      <c r="AG24">
        <f t="shared" si="9"/>
        <v>406763.57</v>
      </c>
      <c r="AH24">
        <f t="shared" si="10"/>
        <v>299248.96999999997</v>
      </c>
      <c r="AI24">
        <f t="shared" si="11"/>
        <v>215029.2</v>
      </c>
      <c r="AJ24">
        <f t="shared" si="12"/>
        <v>490983.34000000008</v>
      </c>
    </row>
    <row r="25" spans="1:36" ht="28.2" thickBot="1" x14ac:dyDescent="0.3">
      <c r="A25" s="22">
        <v>40</v>
      </c>
      <c r="B25" s="22" t="s">
        <v>2028</v>
      </c>
      <c r="C25" s="22">
        <v>0.40699999999999997</v>
      </c>
      <c r="D25" s="22">
        <v>7.85</v>
      </c>
      <c r="E25" s="22">
        <v>8.32</v>
      </c>
      <c r="F25" s="22">
        <v>13.45</v>
      </c>
      <c r="G25" s="22">
        <v>10.91</v>
      </c>
      <c r="H25" s="22" t="s">
        <v>2870</v>
      </c>
      <c r="I25">
        <f t="shared" si="0"/>
        <v>3.1949499999999995</v>
      </c>
      <c r="J25">
        <f t="shared" si="1"/>
        <v>3.3862399999999999</v>
      </c>
      <c r="K25">
        <f t="shared" si="2"/>
        <v>3.3862399999999999</v>
      </c>
      <c r="L25">
        <f t="shared" si="3"/>
        <v>4.4403699999999997</v>
      </c>
      <c r="O25" s="22">
        <v>24</v>
      </c>
      <c r="P25" s="22" t="s">
        <v>2918</v>
      </c>
      <c r="Q25" s="22" t="s">
        <v>2908</v>
      </c>
      <c r="R25" s="22" t="s">
        <v>2908</v>
      </c>
      <c r="S25" s="22" t="s">
        <v>2908</v>
      </c>
      <c r="T25" s="22" t="s">
        <v>2908</v>
      </c>
      <c r="U25" s="22" t="s">
        <v>2908</v>
      </c>
      <c r="V25" s="22" t="s">
        <v>2908</v>
      </c>
      <c r="W25" t="e">
        <f t="shared" si="5"/>
        <v>#VALUE!</v>
      </c>
      <c r="X25" t="e">
        <f t="shared" si="6"/>
        <v>#VALUE!</v>
      </c>
      <c r="Y25" t="e">
        <f t="shared" si="7"/>
        <v>#VALUE!</v>
      </c>
      <c r="Z25" t="e">
        <f t="shared" si="8"/>
        <v>#VALUE!</v>
      </c>
      <c r="AB25">
        <v>1000</v>
      </c>
      <c r="AC25">
        <v>1000</v>
      </c>
      <c r="AD25">
        <v>1000</v>
      </c>
      <c r="AE25">
        <v>1000</v>
      </c>
      <c r="AG25" t="e">
        <f t="shared" si="9"/>
        <v>#VALUE!</v>
      </c>
      <c r="AH25" t="e">
        <f t="shared" si="10"/>
        <v>#VALUE!</v>
      </c>
      <c r="AI25" t="e">
        <f t="shared" si="11"/>
        <v>#VALUE!</v>
      </c>
      <c r="AJ25" t="e">
        <f t="shared" si="12"/>
        <v>#VALUE!</v>
      </c>
    </row>
    <row r="26" spans="1:36" ht="14.4" thickBot="1" x14ac:dyDescent="0.3">
      <c r="A26" s="22">
        <v>10</v>
      </c>
      <c r="B26" s="22" t="s">
        <v>2359</v>
      </c>
      <c r="C26" s="22">
        <v>28.254999999999999</v>
      </c>
      <c r="D26" s="22">
        <v>7.55</v>
      </c>
      <c r="E26" s="22">
        <v>6.29</v>
      </c>
      <c r="F26" s="22">
        <v>4.01</v>
      </c>
      <c r="G26" s="22">
        <v>3.64</v>
      </c>
      <c r="H26" s="22" t="s">
        <v>2867</v>
      </c>
      <c r="I26">
        <f t="shared" si="0"/>
        <v>213.32524999999998</v>
      </c>
      <c r="J26">
        <f t="shared" si="1"/>
        <v>177.72395</v>
      </c>
      <c r="K26">
        <f t="shared" si="2"/>
        <v>177.72395</v>
      </c>
      <c r="L26">
        <f t="shared" si="3"/>
        <v>102.84820000000001</v>
      </c>
      <c r="O26" s="22">
        <v>25</v>
      </c>
      <c r="P26" s="22" t="s">
        <v>2179</v>
      </c>
      <c r="Q26" s="22" t="s">
        <v>2908</v>
      </c>
      <c r="R26" s="22" t="s">
        <v>2908</v>
      </c>
      <c r="S26" s="22" t="s">
        <v>2908</v>
      </c>
      <c r="T26" s="22" t="s">
        <v>2908</v>
      </c>
      <c r="U26" s="22" t="s">
        <v>2908</v>
      </c>
      <c r="V26" s="22" t="s">
        <v>2908</v>
      </c>
      <c r="W26" t="e">
        <f t="shared" si="5"/>
        <v>#VALUE!</v>
      </c>
      <c r="X26" t="e">
        <f t="shared" si="6"/>
        <v>#VALUE!</v>
      </c>
      <c r="Y26" t="e">
        <f t="shared" si="7"/>
        <v>#VALUE!</v>
      </c>
      <c r="Z26" t="e">
        <f t="shared" si="8"/>
        <v>#VALUE!</v>
      </c>
      <c r="AB26">
        <v>1000</v>
      </c>
      <c r="AC26">
        <v>1000</v>
      </c>
      <c r="AD26">
        <v>1000</v>
      </c>
      <c r="AE26">
        <v>1000</v>
      </c>
      <c r="AG26" t="e">
        <f t="shared" si="9"/>
        <v>#VALUE!</v>
      </c>
      <c r="AH26" t="e">
        <f t="shared" si="10"/>
        <v>#VALUE!</v>
      </c>
      <c r="AI26" t="e">
        <f t="shared" si="11"/>
        <v>#VALUE!</v>
      </c>
      <c r="AJ26" t="e">
        <f t="shared" si="12"/>
        <v>#VALUE!</v>
      </c>
    </row>
    <row r="27" spans="1:36" ht="14.4" thickBot="1" x14ac:dyDescent="0.3">
      <c r="A27" s="22">
        <v>24</v>
      </c>
      <c r="B27" s="22" t="s">
        <v>2888</v>
      </c>
      <c r="C27" s="22">
        <v>159.691</v>
      </c>
      <c r="D27" s="22">
        <v>7.42</v>
      </c>
      <c r="E27" s="22">
        <v>6.89</v>
      </c>
      <c r="F27" s="22">
        <v>8.9600000000000009</v>
      </c>
      <c r="G27" s="22">
        <v>9.1199999999999992</v>
      </c>
      <c r="H27" s="22" t="s">
        <v>2889</v>
      </c>
      <c r="I27">
        <f t="shared" si="0"/>
        <v>1184.9072200000001</v>
      </c>
      <c r="J27">
        <f t="shared" si="1"/>
        <v>1100.27099</v>
      </c>
      <c r="K27">
        <f t="shared" si="2"/>
        <v>1100.27099</v>
      </c>
      <c r="L27">
        <f t="shared" si="3"/>
        <v>1456.3819199999998</v>
      </c>
      <c r="O27" s="22">
        <v>26</v>
      </c>
      <c r="P27" s="22" t="s">
        <v>2358</v>
      </c>
      <c r="Q27" s="22">
        <v>53.953000000000003</v>
      </c>
      <c r="R27" s="22">
        <v>9.16</v>
      </c>
      <c r="S27" s="22">
        <v>6.02</v>
      </c>
      <c r="T27" s="22">
        <v>3.94</v>
      </c>
      <c r="U27" s="22">
        <v>2.69</v>
      </c>
      <c r="V27" s="22" t="s">
        <v>2864</v>
      </c>
      <c r="W27">
        <f t="shared" si="5"/>
        <v>494.20948000000004</v>
      </c>
      <c r="X27">
        <f t="shared" si="6"/>
        <v>324.79705999999999</v>
      </c>
      <c r="Y27">
        <f t="shared" si="7"/>
        <v>212.57482000000002</v>
      </c>
      <c r="Z27">
        <f t="shared" si="8"/>
        <v>145.13356999999999</v>
      </c>
      <c r="AB27">
        <v>1000</v>
      </c>
      <c r="AC27">
        <v>1000</v>
      </c>
      <c r="AD27">
        <v>1000</v>
      </c>
      <c r="AE27">
        <v>1000</v>
      </c>
      <c r="AG27">
        <f t="shared" si="9"/>
        <v>494209.48000000004</v>
      </c>
      <c r="AH27">
        <f t="shared" si="10"/>
        <v>324797.06</v>
      </c>
      <c r="AI27">
        <f t="shared" si="11"/>
        <v>212574.82</v>
      </c>
      <c r="AJ27">
        <f t="shared" si="12"/>
        <v>145133.56999999998</v>
      </c>
    </row>
    <row r="28" spans="1:36" ht="14.4" thickBot="1" x14ac:dyDescent="0.3">
      <c r="A28" s="22">
        <v>26</v>
      </c>
      <c r="B28" s="22" t="s">
        <v>2892</v>
      </c>
      <c r="C28" s="22">
        <v>1.585</v>
      </c>
      <c r="D28" s="22">
        <v>5.51</v>
      </c>
      <c r="E28" s="22">
        <v>6.48</v>
      </c>
      <c r="F28" s="22">
        <v>11.42</v>
      </c>
      <c r="G28" s="22">
        <v>9.94</v>
      </c>
      <c r="H28" s="22" t="s">
        <v>2893</v>
      </c>
      <c r="I28">
        <f t="shared" si="0"/>
        <v>8.7333499999999997</v>
      </c>
      <c r="J28">
        <f t="shared" si="1"/>
        <v>10.270800000000001</v>
      </c>
      <c r="K28">
        <f t="shared" si="2"/>
        <v>10.270800000000001</v>
      </c>
      <c r="L28">
        <f t="shared" si="3"/>
        <v>15.754899999999999</v>
      </c>
      <c r="O28" s="22">
        <v>27</v>
      </c>
      <c r="P28" s="22" t="s">
        <v>2359</v>
      </c>
      <c r="Q28" s="22">
        <v>28.254999999999999</v>
      </c>
      <c r="R28" s="22">
        <v>7.55</v>
      </c>
      <c r="S28" s="22">
        <v>6.29</v>
      </c>
      <c r="T28" s="22">
        <v>4.01</v>
      </c>
      <c r="U28" s="22">
        <v>3.64</v>
      </c>
      <c r="V28" s="22" t="s">
        <v>2867</v>
      </c>
      <c r="W28">
        <f t="shared" si="5"/>
        <v>213.32524999999998</v>
      </c>
      <c r="X28">
        <f t="shared" si="6"/>
        <v>177.72395</v>
      </c>
      <c r="Y28">
        <f t="shared" si="7"/>
        <v>113.30255</v>
      </c>
      <c r="Z28">
        <f t="shared" si="8"/>
        <v>102.84820000000001</v>
      </c>
      <c r="AB28">
        <v>1000</v>
      </c>
      <c r="AC28">
        <v>1000</v>
      </c>
      <c r="AD28">
        <v>1000</v>
      </c>
      <c r="AE28">
        <v>1000</v>
      </c>
      <c r="AG28">
        <f t="shared" si="9"/>
        <v>213325.24999999997</v>
      </c>
      <c r="AH28">
        <f t="shared" si="10"/>
        <v>177723.95</v>
      </c>
      <c r="AI28">
        <f t="shared" si="11"/>
        <v>113302.55</v>
      </c>
      <c r="AJ28">
        <f t="shared" si="12"/>
        <v>102848.20000000001</v>
      </c>
    </row>
    <row r="29" spans="1:36" ht="14.4" thickBot="1" x14ac:dyDescent="0.3">
      <c r="A29" s="22">
        <v>36</v>
      </c>
      <c r="B29" s="22" t="s">
        <v>2186</v>
      </c>
      <c r="C29" s="22">
        <v>1.1220000000000001</v>
      </c>
      <c r="D29" s="22">
        <v>2.84</v>
      </c>
      <c r="E29" s="22">
        <v>2.38</v>
      </c>
      <c r="F29" s="22">
        <v>6.81</v>
      </c>
      <c r="G29" s="22">
        <v>7.46</v>
      </c>
      <c r="H29" s="22" t="s">
        <v>2874</v>
      </c>
      <c r="I29">
        <f t="shared" si="0"/>
        <v>3.18648</v>
      </c>
      <c r="J29">
        <f t="shared" si="1"/>
        <v>2.6703600000000001</v>
      </c>
      <c r="K29">
        <f t="shared" si="2"/>
        <v>2.6703600000000001</v>
      </c>
      <c r="L29">
        <f t="shared" si="3"/>
        <v>8.37012</v>
      </c>
      <c r="O29" s="22">
        <v>28</v>
      </c>
      <c r="P29" s="22" t="s">
        <v>2024</v>
      </c>
      <c r="Q29" s="22" t="s">
        <v>2908</v>
      </c>
      <c r="R29" s="22" t="s">
        <v>2908</v>
      </c>
      <c r="S29" s="22" t="s">
        <v>2908</v>
      </c>
      <c r="T29" s="22" t="s">
        <v>2908</v>
      </c>
      <c r="U29" s="22" t="s">
        <v>2908</v>
      </c>
      <c r="V29" s="22" t="s">
        <v>2908</v>
      </c>
      <c r="W29" t="e">
        <f t="shared" si="5"/>
        <v>#VALUE!</v>
      </c>
      <c r="X29" t="e">
        <f t="shared" si="6"/>
        <v>#VALUE!</v>
      </c>
      <c r="Y29" t="e">
        <f t="shared" si="7"/>
        <v>#VALUE!</v>
      </c>
      <c r="Z29" t="e">
        <f t="shared" si="8"/>
        <v>#VALUE!</v>
      </c>
      <c r="AB29">
        <v>1000</v>
      </c>
      <c r="AC29">
        <v>1000</v>
      </c>
      <c r="AD29">
        <v>1000</v>
      </c>
      <c r="AE29">
        <v>1000</v>
      </c>
      <c r="AG29" t="e">
        <f t="shared" si="9"/>
        <v>#VALUE!</v>
      </c>
      <c r="AH29" t="e">
        <f t="shared" si="10"/>
        <v>#VALUE!</v>
      </c>
      <c r="AI29" t="e">
        <f t="shared" si="11"/>
        <v>#VALUE!</v>
      </c>
      <c r="AJ29" t="e">
        <f t="shared" si="12"/>
        <v>#VALUE!</v>
      </c>
    </row>
    <row r="30" spans="1:36" ht="14.4" thickBot="1" x14ac:dyDescent="0.3">
      <c r="A30" s="22">
        <v>11</v>
      </c>
      <c r="B30" s="22" t="s">
        <v>2868</v>
      </c>
      <c r="C30" s="22">
        <v>50</v>
      </c>
      <c r="D30" s="22">
        <v>2.56</v>
      </c>
      <c r="E30" s="22">
        <v>1.02</v>
      </c>
      <c r="F30" s="22">
        <v>0.48</v>
      </c>
      <c r="G30" s="22">
        <v>0.27</v>
      </c>
      <c r="H30" s="22" t="s">
        <v>2864</v>
      </c>
      <c r="I30">
        <f t="shared" si="0"/>
        <v>128</v>
      </c>
      <c r="J30">
        <f t="shared" si="1"/>
        <v>51</v>
      </c>
      <c r="K30">
        <f t="shared" si="2"/>
        <v>51</v>
      </c>
      <c r="L30">
        <f t="shared" si="3"/>
        <v>13.5</v>
      </c>
      <c r="O30" s="22">
        <v>29</v>
      </c>
      <c r="P30" s="22" t="s">
        <v>2892</v>
      </c>
      <c r="Q30" s="22">
        <v>1.585</v>
      </c>
      <c r="R30" s="22">
        <v>5.51</v>
      </c>
      <c r="S30" s="22">
        <v>6.48</v>
      </c>
      <c r="T30" s="22">
        <v>11.42</v>
      </c>
      <c r="U30" s="22">
        <v>9.94</v>
      </c>
      <c r="V30" s="22" t="s">
        <v>2893</v>
      </c>
      <c r="W30">
        <f t="shared" si="5"/>
        <v>8.7333499999999997</v>
      </c>
      <c r="X30">
        <f t="shared" si="6"/>
        <v>10.270800000000001</v>
      </c>
      <c r="Y30">
        <f t="shared" si="7"/>
        <v>18.1007</v>
      </c>
      <c r="Z30">
        <f t="shared" si="8"/>
        <v>15.754899999999999</v>
      </c>
      <c r="AB30">
        <v>1000</v>
      </c>
      <c r="AC30">
        <v>1000</v>
      </c>
      <c r="AD30">
        <v>1000</v>
      </c>
      <c r="AE30">
        <v>1000</v>
      </c>
      <c r="AG30">
        <f t="shared" si="9"/>
        <v>8733.35</v>
      </c>
      <c r="AH30">
        <f t="shared" si="10"/>
        <v>10270.800000000001</v>
      </c>
      <c r="AI30">
        <f t="shared" si="11"/>
        <v>18100.7</v>
      </c>
      <c r="AJ30">
        <f t="shared" si="12"/>
        <v>15754.9</v>
      </c>
    </row>
    <row r="31" spans="1:36" ht="14.4" thickBot="1" x14ac:dyDescent="0.3">
      <c r="A31" s="22">
        <v>14</v>
      </c>
      <c r="B31" s="22" t="s">
        <v>2872</v>
      </c>
      <c r="C31" s="22">
        <v>179.191</v>
      </c>
      <c r="D31" s="22">
        <v>2.27</v>
      </c>
      <c r="E31" s="22">
        <v>1.67</v>
      </c>
      <c r="F31" s="22">
        <v>1.2</v>
      </c>
      <c r="G31" s="22">
        <v>2.74</v>
      </c>
      <c r="H31" s="22" t="s">
        <v>2864</v>
      </c>
      <c r="I31">
        <f t="shared" si="0"/>
        <v>406.76357000000002</v>
      </c>
      <c r="J31">
        <f t="shared" si="1"/>
        <v>299.24896999999999</v>
      </c>
      <c r="K31">
        <f t="shared" si="2"/>
        <v>299.24896999999999</v>
      </c>
      <c r="L31">
        <f t="shared" si="3"/>
        <v>490.98334000000006</v>
      </c>
      <c r="O31" s="22">
        <v>30</v>
      </c>
      <c r="P31" s="22" t="s">
        <v>2021</v>
      </c>
      <c r="Q31" s="22">
        <v>0.38900000000000001</v>
      </c>
      <c r="R31" s="22">
        <v>57.77</v>
      </c>
      <c r="S31" s="22">
        <v>42.4</v>
      </c>
      <c r="T31" s="22">
        <v>67.48</v>
      </c>
      <c r="U31" s="22">
        <v>46.49</v>
      </c>
      <c r="V31" s="22" t="s">
        <v>2895</v>
      </c>
      <c r="W31">
        <f t="shared" si="5"/>
        <v>22.472530000000003</v>
      </c>
      <c r="X31">
        <f t="shared" si="6"/>
        <v>16.493600000000001</v>
      </c>
      <c r="Y31">
        <f t="shared" si="7"/>
        <v>26.249720000000003</v>
      </c>
      <c r="Z31">
        <f t="shared" si="8"/>
        <v>18.084610000000001</v>
      </c>
      <c r="AB31">
        <v>1000</v>
      </c>
      <c r="AC31">
        <v>1000</v>
      </c>
      <c r="AD31">
        <v>1000</v>
      </c>
      <c r="AE31">
        <v>1000</v>
      </c>
      <c r="AG31">
        <f t="shared" si="9"/>
        <v>22472.530000000002</v>
      </c>
      <c r="AH31">
        <f t="shared" si="10"/>
        <v>16493.600000000002</v>
      </c>
      <c r="AI31">
        <f t="shared" si="11"/>
        <v>26249.720000000005</v>
      </c>
      <c r="AJ31">
        <f t="shared" si="12"/>
        <v>18084.61</v>
      </c>
    </row>
    <row r="32" spans="1:36" ht="14.4" thickBot="1" x14ac:dyDescent="0.3">
      <c r="A32" s="22">
        <v>18</v>
      </c>
      <c r="B32" s="22" t="s">
        <v>2878</v>
      </c>
      <c r="C32" s="22">
        <v>2</v>
      </c>
      <c r="D32" s="22">
        <v>2.25</v>
      </c>
      <c r="E32" s="22">
        <v>3.24</v>
      </c>
      <c r="F32" s="22">
        <v>6.09</v>
      </c>
      <c r="G32" s="22">
        <v>4.9000000000000004</v>
      </c>
      <c r="H32" s="22" t="s">
        <v>2879</v>
      </c>
      <c r="I32">
        <f t="shared" si="0"/>
        <v>4.5</v>
      </c>
      <c r="J32">
        <f t="shared" si="1"/>
        <v>6.48</v>
      </c>
      <c r="K32">
        <f t="shared" si="2"/>
        <v>6.48</v>
      </c>
      <c r="L32">
        <f t="shared" si="3"/>
        <v>9.8000000000000007</v>
      </c>
      <c r="O32" s="22">
        <v>31</v>
      </c>
      <c r="P32" s="22" t="s">
        <v>2174</v>
      </c>
      <c r="Q32" s="22" t="s">
        <v>2908</v>
      </c>
      <c r="R32" s="22" t="s">
        <v>2908</v>
      </c>
      <c r="S32" s="22" t="s">
        <v>2908</v>
      </c>
      <c r="T32" s="22" t="s">
        <v>2908</v>
      </c>
      <c r="U32" s="22" t="s">
        <v>2908</v>
      </c>
      <c r="V32" s="22" t="s">
        <v>2908</v>
      </c>
      <c r="W32" t="e">
        <f t="shared" si="5"/>
        <v>#VALUE!</v>
      </c>
      <c r="X32" t="e">
        <f t="shared" si="6"/>
        <v>#VALUE!</v>
      </c>
      <c r="Y32" t="e">
        <f t="shared" si="7"/>
        <v>#VALUE!</v>
      </c>
      <c r="Z32" t="e">
        <f t="shared" si="8"/>
        <v>#VALUE!</v>
      </c>
      <c r="AB32">
        <v>1000</v>
      </c>
      <c r="AC32">
        <v>1000</v>
      </c>
      <c r="AD32">
        <v>1000</v>
      </c>
      <c r="AE32">
        <v>1000</v>
      </c>
      <c r="AG32" t="e">
        <f t="shared" si="9"/>
        <v>#VALUE!</v>
      </c>
      <c r="AH32" t="e">
        <f t="shared" si="10"/>
        <v>#VALUE!</v>
      </c>
      <c r="AI32" t="e">
        <f t="shared" si="11"/>
        <v>#VALUE!</v>
      </c>
      <c r="AJ32" t="e">
        <f t="shared" si="12"/>
        <v>#VALUE!</v>
      </c>
    </row>
    <row r="33" spans="1:36" ht="14.4" thickBot="1" x14ac:dyDescent="0.3">
      <c r="A33" s="22">
        <v>21</v>
      </c>
      <c r="B33" s="22" t="s">
        <v>2882</v>
      </c>
      <c r="C33" s="22">
        <v>500</v>
      </c>
      <c r="D33" s="22">
        <v>0.81</v>
      </c>
      <c r="E33" s="22">
        <v>1.1599999999999999</v>
      </c>
      <c r="F33" s="22">
        <v>2.64</v>
      </c>
      <c r="G33" s="22">
        <v>1.75</v>
      </c>
      <c r="H33" s="22" t="s">
        <v>2874</v>
      </c>
      <c r="I33">
        <f t="shared" si="0"/>
        <v>405</v>
      </c>
      <c r="J33">
        <f t="shared" si="1"/>
        <v>580</v>
      </c>
      <c r="K33">
        <f t="shared" si="2"/>
        <v>580</v>
      </c>
      <c r="L33">
        <f t="shared" si="3"/>
        <v>875</v>
      </c>
      <c r="O33" s="22">
        <v>32</v>
      </c>
      <c r="P33" s="22" t="s">
        <v>2180</v>
      </c>
      <c r="Q33" s="22">
        <v>13.281000000000001</v>
      </c>
      <c r="R33" s="22">
        <v>0.39</v>
      </c>
      <c r="S33" s="22">
        <v>0.3</v>
      </c>
      <c r="T33" s="22">
        <v>0.47</v>
      </c>
      <c r="U33" s="22">
        <v>0.55000000000000004</v>
      </c>
      <c r="V33" s="22" t="s">
        <v>2889</v>
      </c>
      <c r="W33">
        <f t="shared" si="5"/>
        <v>5.1795900000000001</v>
      </c>
      <c r="X33">
        <f t="shared" si="6"/>
        <v>3.9843000000000002</v>
      </c>
      <c r="Y33">
        <f t="shared" si="7"/>
        <v>6.24207</v>
      </c>
      <c r="Z33">
        <f t="shared" si="8"/>
        <v>7.3045500000000008</v>
      </c>
      <c r="AB33">
        <v>1000</v>
      </c>
      <c r="AC33">
        <v>1000</v>
      </c>
      <c r="AD33">
        <v>1000</v>
      </c>
      <c r="AE33">
        <v>1000</v>
      </c>
      <c r="AG33">
        <f t="shared" si="9"/>
        <v>5179.59</v>
      </c>
      <c r="AH33">
        <f t="shared" si="10"/>
        <v>3984.3</v>
      </c>
      <c r="AI33">
        <f t="shared" si="11"/>
        <v>6242.07</v>
      </c>
      <c r="AJ33">
        <f t="shared" si="12"/>
        <v>7304.5500000000011</v>
      </c>
    </row>
    <row r="34" spans="1:36" ht="14.4" thickBot="1" x14ac:dyDescent="0.3">
      <c r="A34" s="22">
        <v>28</v>
      </c>
      <c r="B34" s="22" t="s">
        <v>2180</v>
      </c>
      <c r="C34" s="22">
        <v>13.281000000000001</v>
      </c>
      <c r="D34" s="22">
        <v>0.39</v>
      </c>
      <c r="E34" s="22">
        <v>0.3</v>
      </c>
      <c r="F34" s="22">
        <v>0.47</v>
      </c>
      <c r="G34" s="22">
        <v>0.55000000000000004</v>
      </c>
      <c r="H34" s="22" t="s">
        <v>2889</v>
      </c>
      <c r="I34">
        <f t="shared" si="0"/>
        <v>5.1795900000000001</v>
      </c>
      <c r="J34">
        <f t="shared" si="1"/>
        <v>3.9843000000000002</v>
      </c>
      <c r="K34">
        <f t="shared" si="2"/>
        <v>3.9843000000000002</v>
      </c>
      <c r="L34">
        <f t="shared" si="3"/>
        <v>7.3045500000000008</v>
      </c>
      <c r="O34" s="22">
        <v>33</v>
      </c>
      <c r="P34" s="22" t="s">
        <v>2020</v>
      </c>
      <c r="Q34" s="22">
        <v>0.96499999999999997</v>
      </c>
      <c r="R34" s="22">
        <v>73.97</v>
      </c>
      <c r="S34" s="22">
        <v>58.96</v>
      </c>
      <c r="T34" s="22">
        <v>93.74</v>
      </c>
      <c r="U34" s="22">
        <v>126.76</v>
      </c>
      <c r="V34" s="22" t="s">
        <v>2891</v>
      </c>
      <c r="W34">
        <f t="shared" si="5"/>
        <v>71.381050000000002</v>
      </c>
      <c r="X34">
        <f t="shared" si="6"/>
        <v>56.8964</v>
      </c>
      <c r="Y34">
        <f t="shared" si="7"/>
        <v>90.459099999999992</v>
      </c>
      <c r="Z34">
        <f t="shared" si="8"/>
        <v>122.32340000000001</v>
      </c>
      <c r="AB34">
        <v>1000</v>
      </c>
      <c r="AC34">
        <v>1000</v>
      </c>
      <c r="AD34">
        <v>1000</v>
      </c>
      <c r="AE34">
        <v>1000</v>
      </c>
      <c r="AG34">
        <f t="shared" si="9"/>
        <v>71381.05</v>
      </c>
      <c r="AH34">
        <f t="shared" si="10"/>
        <v>56896.4</v>
      </c>
      <c r="AI34">
        <f t="shared" si="11"/>
        <v>90459.099999999991</v>
      </c>
      <c r="AJ34">
        <f t="shared" si="12"/>
        <v>122323.40000000001</v>
      </c>
    </row>
    <row r="35" spans="1:36" ht="14.4" thickBot="1" x14ac:dyDescent="0.3">
      <c r="A35" s="22">
        <v>4</v>
      </c>
      <c r="B35" s="22" t="s">
        <v>2857</v>
      </c>
      <c r="C35" s="22">
        <v>44.03</v>
      </c>
      <c r="D35" s="22">
        <v>0.25</v>
      </c>
      <c r="E35" s="22">
        <v>0.31</v>
      </c>
      <c r="F35" s="22">
        <v>0.42</v>
      </c>
      <c r="G35" s="22">
        <v>0.43</v>
      </c>
      <c r="H35" s="22" t="s">
        <v>2858</v>
      </c>
      <c r="I35">
        <f t="shared" si="0"/>
        <v>11.0075</v>
      </c>
      <c r="J35">
        <f t="shared" si="1"/>
        <v>13.6493</v>
      </c>
      <c r="K35">
        <f t="shared" si="2"/>
        <v>13.6493</v>
      </c>
      <c r="L35">
        <f t="shared" si="3"/>
        <v>18.9329</v>
      </c>
      <c r="O35" s="22">
        <v>34</v>
      </c>
      <c r="P35" s="22" t="s">
        <v>2177</v>
      </c>
      <c r="Q35" s="22">
        <v>159.691</v>
      </c>
      <c r="R35" s="22">
        <v>7.42</v>
      </c>
      <c r="S35" s="22">
        <v>6.89</v>
      </c>
      <c r="T35" s="22">
        <v>8.9600000000000009</v>
      </c>
      <c r="U35" s="22">
        <v>9.1199999999999992</v>
      </c>
      <c r="V35" s="22" t="s">
        <v>2889</v>
      </c>
      <c r="W35">
        <f t="shared" si="5"/>
        <v>1184.9072200000001</v>
      </c>
      <c r="X35">
        <f t="shared" si="6"/>
        <v>1100.27099</v>
      </c>
      <c r="Y35">
        <f t="shared" si="7"/>
        <v>1430.8313600000001</v>
      </c>
      <c r="Z35">
        <f t="shared" si="8"/>
        <v>1456.3819199999998</v>
      </c>
      <c r="AB35">
        <v>1000</v>
      </c>
      <c r="AC35">
        <v>1000</v>
      </c>
      <c r="AD35">
        <v>1000</v>
      </c>
      <c r="AE35">
        <v>1000</v>
      </c>
      <c r="AG35">
        <f t="shared" si="9"/>
        <v>1184907.22</v>
      </c>
      <c r="AH35">
        <f t="shared" si="10"/>
        <v>1100270.99</v>
      </c>
      <c r="AI35">
        <f t="shared" si="11"/>
        <v>1430831.36</v>
      </c>
      <c r="AJ35">
        <f t="shared" si="12"/>
        <v>1456381.92</v>
      </c>
    </row>
    <row r="36" spans="1:36" ht="28.2" thickBot="1" x14ac:dyDescent="0.3">
      <c r="A36" s="22">
        <v>22</v>
      </c>
      <c r="B36" s="22" t="s">
        <v>2883</v>
      </c>
      <c r="C36" s="22" t="s">
        <v>2884</v>
      </c>
      <c r="D36" s="22">
        <v>0.24</v>
      </c>
      <c r="E36" s="22">
        <v>1.06</v>
      </c>
      <c r="F36" s="22">
        <v>4.04</v>
      </c>
      <c r="G36" s="22">
        <v>2.4500000000000002</v>
      </c>
      <c r="H36" s="22" t="s">
        <v>2885</v>
      </c>
      <c r="I36" t="e">
        <f t="shared" si="0"/>
        <v>#VALUE!</v>
      </c>
      <c r="J36" t="e">
        <f t="shared" si="1"/>
        <v>#VALUE!</v>
      </c>
      <c r="K36" t="e">
        <f t="shared" si="2"/>
        <v>#VALUE!</v>
      </c>
      <c r="L36" t="e">
        <f t="shared" si="3"/>
        <v>#VALUE!</v>
      </c>
      <c r="O36" s="22">
        <v>35</v>
      </c>
      <c r="P36" s="22" t="s">
        <v>2175</v>
      </c>
      <c r="Q36" s="22" t="s">
        <v>2908</v>
      </c>
      <c r="R36" s="22" t="s">
        <v>2908</v>
      </c>
      <c r="S36" s="22" t="s">
        <v>2908</v>
      </c>
      <c r="T36" s="22" t="s">
        <v>2908</v>
      </c>
      <c r="U36" s="22" t="s">
        <v>2908</v>
      </c>
      <c r="V36" s="22" t="s">
        <v>2908</v>
      </c>
      <c r="W36" t="e">
        <f t="shared" si="5"/>
        <v>#VALUE!</v>
      </c>
      <c r="X36" t="e">
        <f t="shared" si="6"/>
        <v>#VALUE!</v>
      </c>
      <c r="Y36" t="e">
        <f t="shared" si="7"/>
        <v>#VALUE!</v>
      </c>
      <c r="Z36" t="e">
        <f t="shared" si="8"/>
        <v>#VALUE!</v>
      </c>
      <c r="AB36">
        <v>1000</v>
      </c>
      <c r="AC36">
        <v>1000</v>
      </c>
      <c r="AD36">
        <v>1000</v>
      </c>
      <c r="AE36">
        <v>1000</v>
      </c>
      <c r="AG36" t="e">
        <f t="shared" si="9"/>
        <v>#VALUE!</v>
      </c>
      <c r="AH36" t="e">
        <f t="shared" si="10"/>
        <v>#VALUE!</v>
      </c>
      <c r="AI36" t="e">
        <f t="shared" si="11"/>
        <v>#VALUE!</v>
      </c>
      <c r="AJ36" t="e">
        <f t="shared" si="12"/>
        <v>#VALUE!</v>
      </c>
    </row>
    <row r="37" spans="1:36" ht="42" thickBot="1" x14ac:dyDescent="0.3">
      <c r="A37" s="22">
        <v>12</v>
      </c>
      <c r="B37" s="22" t="s">
        <v>2869</v>
      </c>
      <c r="C37" s="22">
        <v>100</v>
      </c>
      <c r="D37" s="22">
        <v>0.15</v>
      </c>
      <c r="E37" s="22">
        <v>0.32</v>
      </c>
      <c r="F37" s="22">
        <v>0.43</v>
      </c>
      <c r="G37" s="22">
        <v>0.41</v>
      </c>
      <c r="H37" s="22" t="s">
        <v>2870</v>
      </c>
      <c r="I37">
        <f t="shared" si="0"/>
        <v>15</v>
      </c>
      <c r="J37">
        <f t="shared" si="1"/>
        <v>32</v>
      </c>
      <c r="K37">
        <f t="shared" si="2"/>
        <v>32</v>
      </c>
      <c r="L37">
        <f t="shared" si="3"/>
        <v>41</v>
      </c>
      <c r="O37" s="22">
        <v>36</v>
      </c>
      <c r="P37" s="22" t="s">
        <v>2919</v>
      </c>
      <c r="Q37" s="22" t="s">
        <v>2908</v>
      </c>
      <c r="R37" s="22" t="s">
        <v>2908</v>
      </c>
      <c r="S37" s="22" t="s">
        <v>2908</v>
      </c>
      <c r="T37" s="22" t="s">
        <v>2908</v>
      </c>
      <c r="U37" s="22" t="s">
        <v>2908</v>
      </c>
      <c r="V37" s="22" t="s">
        <v>2908</v>
      </c>
      <c r="W37" t="e">
        <f t="shared" si="5"/>
        <v>#VALUE!</v>
      </c>
      <c r="X37" t="e">
        <f t="shared" si="6"/>
        <v>#VALUE!</v>
      </c>
      <c r="Y37" t="e">
        <f t="shared" si="7"/>
        <v>#VALUE!</v>
      </c>
      <c r="Z37" t="e">
        <f t="shared" si="8"/>
        <v>#VALUE!</v>
      </c>
      <c r="AB37">
        <v>1000</v>
      </c>
      <c r="AC37">
        <v>1000</v>
      </c>
      <c r="AD37">
        <v>1000</v>
      </c>
      <c r="AE37">
        <v>1000</v>
      </c>
      <c r="AG37" t="e">
        <f t="shared" si="9"/>
        <v>#VALUE!</v>
      </c>
      <c r="AH37" t="e">
        <f t="shared" si="10"/>
        <v>#VALUE!</v>
      </c>
      <c r="AI37" t="e">
        <f t="shared" si="11"/>
        <v>#VALUE!</v>
      </c>
      <c r="AJ37" t="e">
        <f t="shared" si="12"/>
        <v>#VALUE!</v>
      </c>
    </row>
    <row r="38" spans="1:36" ht="14.4" thickBot="1" x14ac:dyDescent="0.3">
      <c r="A38" s="22">
        <v>13</v>
      </c>
      <c r="B38" s="22" t="s">
        <v>2871</v>
      </c>
      <c r="C38" s="22">
        <v>37.369999999999997</v>
      </c>
      <c r="D38" s="22">
        <v>0.14000000000000001</v>
      </c>
      <c r="E38" s="22">
        <v>0.1</v>
      </c>
      <c r="F38" s="22">
        <v>0.05</v>
      </c>
      <c r="G38" s="22">
        <v>0.03</v>
      </c>
      <c r="H38" s="22" t="s">
        <v>2864</v>
      </c>
      <c r="I38">
        <f t="shared" si="0"/>
        <v>5.2317999999999998</v>
      </c>
      <c r="J38">
        <f t="shared" si="1"/>
        <v>3.7370000000000001</v>
      </c>
      <c r="K38">
        <f t="shared" si="2"/>
        <v>3.7370000000000001</v>
      </c>
      <c r="L38">
        <f t="shared" si="3"/>
        <v>1.1211</v>
      </c>
      <c r="O38" s="22">
        <v>37</v>
      </c>
      <c r="P38" s="22" t="s">
        <v>2920</v>
      </c>
      <c r="Q38" s="22" t="s">
        <v>2908</v>
      </c>
      <c r="R38" s="22" t="s">
        <v>2908</v>
      </c>
      <c r="S38" s="22" t="s">
        <v>2908</v>
      </c>
      <c r="T38" s="22" t="s">
        <v>2908</v>
      </c>
      <c r="U38" s="22" t="s">
        <v>2908</v>
      </c>
      <c r="V38" s="22" t="s">
        <v>2908</v>
      </c>
      <c r="W38" t="e">
        <f t="shared" si="5"/>
        <v>#VALUE!</v>
      </c>
      <c r="X38" t="e">
        <f t="shared" si="6"/>
        <v>#VALUE!</v>
      </c>
      <c r="Y38" t="e">
        <f t="shared" si="7"/>
        <v>#VALUE!</v>
      </c>
      <c r="Z38" t="e">
        <f t="shared" si="8"/>
        <v>#VALUE!</v>
      </c>
      <c r="AB38">
        <v>1000</v>
      </c>
      <c r="AC38">
        <v>1000</v>
      </c>
      <c r="AD38">
        <v>1000</v>
      </c>
      <c r="AE38">
        <v>1000</v>
      </c>
      <c r="AG38" t="e">
        <f t="shared" si="9"/>
        <v>#VALUE!</v>
      </c>
      <c r="AH38" t="e">
        <f t="shared" si="10"/>
        <v>#VALUE!</v>
      </c>
      <c r="AI38" t="e">
        <f t="shared" si="11"/>
        <v>#VALUE!</v>
      </c>
      <c r="AJ38" t="e">
        <f t="shared" si="12"/>
        <v>#VALUE!</v>
      </c>
    </row>
    <row r="39" spans="1:36" ht="14.4" thickBot="1" x14ac:dyDescent="0.3">
      <c r="A39" s="22">
        <v>15</v>
      </c>
      <c r="B39" s="22" t="s">
        <v>2873</v>
      </c>
      <c r="C39" s="22">
        <v>194.31299999999999</v>
      </c>
      <c r="D39" s="22">
        <v>0.13</v>
      </c>
      <c r="E39" s="22">
        <v>0.06</v>
      </c>
      <c r="F39" s="22">
        <v>0.02</v>
      </c>
      <c r="G39" s="22">
        <v>0.01</v>
      </c>
      <c r="H39" s="22" t="s">
        <v>2874</v>
      </c>
      <c r="I39">
        <f t="shared" si="0"/>
        <v>25.26069</v>
      </c>
      <c r="J39">
        <f t="shared" si="1"/>
        <v>11.658779999999998</v>
      </c>
      <c r="K39">
        <f t="shared" si="2"/>
        <v>11.658779999999998</v>
      </c>
      <c r="L39">
        <f t="shared" si="3"/>
        <v>1.94313</v>
      </c>
      <c r="O39" s="22">
        <v>38</v>
      </c>
      <c r="P39" s="22" t="s">
        <v>2320</v>
      </c>
      <c r="Q39" s="22">
        <v>1.2</v>
      </c>
      <c r="R39" s="22">
        <v>40.049999999999997</v>
      </c>
      <c r="S39" s="22">
        <v>60.66</v>
      </c>
      <c r="T39" s="22">
        <v>29.22</v>
      </c>
      <c r="U39" s="22">
        <v>51.72</v>
      </c>
      <c r="V39" s="22" t="s">
        <v>2855</v>
      </c>
      <c r="W39">
        <f t="shared" si="5"/>
        <v>48.059999999999995</v>
      </c>
      <c r="X39">
        <f t="shared" si="6"/>
        <v>72.791999999999987</v>
      </c>
      <c r="Y39">
        <f t="shared" si="7"/>
        <v>35.064</v>
      </c>
      <c r="Z39">
        <f t="shared" si="8"/>
        <v>62.063999999999993</v>
      </c>
      <c r="AB39">
        <v>1000</v>
      </c>
      <c r="AC39">
        <v>1000</v>
      </c>
      <c r="AD39">
        <v>1000</v>
      </c>
      <c r="AE39">
        <v>1000</v>
      </c>
      <c r="AG39">
        <f t="shared" si="9"/>
        <v>48059.999999999993</v>
      </c>
      <c r="AH39">
        <f t="shared" si="10"/>
        <v>72791.999999999985</v>
      </c>
      <c r="AI39">
        <f t="shared" si="11"/>
        <v>35064</v>
      </c>
      <c r="AJ39">
        <f t="shared" si="12"/>
        <v>62063.999999999993</v>
      </c>
    </row>
    <row r="40" spans="1:36" ht="28.2" thickBot="1" x14ac:dyDescent="0.3">
      <c r="A40" s="22">
        <v>38</v>
      </c>
      <c r="B40" s="22" t="s">
        <v>2901</v>
      </c>
      <c r="C40" s="22">
        <v>1.89</v>
      </c>
      <c r="D40" s="22">
        <v>0.1</v>
      </c>
      <c r="E40" s="22">
        <v>0.14000000000000001</v>
      </c>
      <c r="F40" s="22">
        <v>0.3</v>
      </c>
      <c r="G40" s="22">
        <v>0.3</v>
      </c>
      <c r="H40" s="22" t="s">
        <v>2902</v>
      </c>
      <c r="I40">
        <f t="shared" si="0"/>
        <v>0.189</v>
      </c>
      <c r="J40">
        <f t="shared" si="1"/>
        <v>0.2646</v>
      </c>
      <c r="K40">
        <f t="shared" si="2"/>
        <v>0.2646</v>
      </c>
      <c r="L40">
        <f t="shared" si="3"/>
        <v>0.56699999999999995</v>
      </c>
      <c r="O40" s="22">
        <v>39</v>
      </c>
      <c r="P40" s="22" t="s">
        <v>2857</v>
      </c>
      <c r="Q40" s="22">
        <v>44.03</v>
      </c>
      <c r="R40" s="22">
        <v>0.25</v>
      </c>
      <c r="S40" s="22">
        <v>0.31</v>
      </c>
      <c r="T40" s="22">
        <v>0.42</v>
      </c>
      <c r="U40" s="22">
        <v>0.43</v>
      </c>
      <c r="V40" s="22" t="s">
        <v>2858</v>
      </c>
      <c r="W40">
        <f t="shared" si="5"/>
        <v>11.0075</v>
      </c>
      <c r="X40">
        <f t="shared" si="6"/>
        <v>13.6493</v>
      </c>
      <c r="Y40">
        <f t="shared" si="7"/>
        <v>18.492599999999999</v>
      </c>
      <c r="Z40">
        <f t="shared" si="8"/>
        <v>18.9329</v>
      </c>
      <c r="AB40">
        <v>1000</v>
      </c>
      <c r="AC40">
        <v>1000</v>
      </c>
      <c r="AD40">
        <v>1000</v>
      </c>
      <c r="AE40">
        <v>1000</v>
      </c>
      <c r="AG40">
        <f t="shared" si="9"/>
        <v>11007.5</v>
      </c>
      <c r="AH40">
        <f t="shared" si="10"/>
        <v>13649.300000000001</v>
      </c>
      <c r="AI40">
        <f t="shared" si="11"/>
        <v>18492.599999999999</v>
      </c>
      <c r="AJ40">
        <f t="shared" si="12"/>
        <v>18932.900000000001</v>
      </c>
    </row>
    <row r="41" spans="1:36" ht="28.2" thickBot="1" x14ac:dyDescent="0.3">
      <c r="A41" s="22">
        <v>17</v>
      </c>
      <c r="B41" s="22" t="s">
        <v>2877</v>
      </c>
      <c r="C41" s="22">
        <v>28.922999999999998</v>
      </c>
      <c r="D41" s="22">
        <v>0.05</v>
      </c>
      <c r="E41" s="22">
        <v>0.09</v>
      </c>
      <c r="F41" s="22">
        <v>0.17</v>
      </c>
      <c r="G41" s="22">
        <v>0.22</v>
      </c>
      <c r="H41" s="22" t="s">
        <v>2870</v>
      </c>
      <c r="I41">
        <f t="shared" si="0"/>
        <v>1.44615</v>
      </c>
      <c r="J41">
        <f t="shared" si="1"/>
        <v>2.6030699999999998</v>
      </c>
      <c r="K41">
        <f t="shared" si="2"/>
        <v>2.6030699999999998</v>
      </c>
      <c r="L41">
        <f t="shared" si="3"/>
        <v>6.3630599999999999</v>
      </c>
      <c r="O41" s="22">
        <v>40</v>
      </c>
      <c r="P41" s="22" t="s">
        <v>2921</v>
      </c>
      <c r="Q41" s="22" t="s">
        <v>2908</v>
      </c>
      <c r="R41" s="22" t="s">
        <v>2908</v>
      </c>
      <c r="S41" s="22" t="s">
        <v>2908</v>
      </c>
      <c r="T41" s="22" t="s">
        <v>2908</v>
      </c>
      <c r="U41" s="22" t="s">
        <v>2908</v>
      </c>
      <c r="V41" s="22" t="s">
        <v>2908</v>
      </c>
      <c r="W41" t="e">
        <f t="shared" si="5"/>
        <v>#VALUE!</v>
      </c>
      <c r="X41" t="e">
        <f t="shared" si="6"/>
        <v>#VALUE!</v>
      </c>
      <c r="Y41" t="e">
        <f t="shared" si="7"/>
        <v>#VALUE!</v>
      </c>
      <c r="Z41" t="e">
        <f t="shared" si="8"/>
        <v>#VALUE!</v>
      </c>
      <c r="AB41">
        <v>1000</v>
      </c>
      <c r="AC41">
        <v>1000</v>
      </c>
      <c r="AD41">
        <v>1000</v>
      </c>
      <c r="AE41">
        <v>1000</v>
      </c>
      <c r="AG41" t="e">
        <f t="shared" si="9"/>
        <v>#VALUE!</v>
      </c>
      <c r="AH41" t="e">
        <f t="shared" si="10"/>
        <v>#VALUE!</v>
      </c>
      <c r="AI41" t="e">
        <f t="shared" si="11"/>
        <v>#VALUE!</v>
      </c>
      <c r="AJ41" t="e">
        <f t="shared" si="12"/>
        <v>#VALUE!</v>
      </c>
    </row>
    <row r="42" spans="1:36" ht="28.2" thickBot="1" x14ac:dyDescent="0.3">
      <c r="A42" s="22">
        <v>41</v>
      </c>
      <c r="B42" s="22" t="s">
        <v>2904</v>
      </c>
      <c r="C42" s="22">
        <v>18.908999999999999</v>
      </c>
      <c r="D42" s="22">
        <v>0.04</v>
      </c>
      <c r="E42" s="22">
        <v>7.0000000000000007E-2</v>
      </c>
      <c r="F42" s="22">
        <v>0.19</v>
      </c>
      <c r="G42" s="22">
        <v>0.19</v>
      </c>
      <c r="H42" s="22" t="s">
        <v>2854</v>
      </c>
      <c r="I42">
        <f t="shared" si="0"/>
        <v>0.75635999999999992</v>
      </c>
      <c r="J42">
        <f t="shared" si="1"/>
        <v>1.3236300000000001</v>
      </c>
      <c r="K42">
        <f t="shared" si="2"/>
        <v>1.3236300000000001</v>
      </c>
      <c r="L42">
        <f t="shared" si="3"/>
        <v>3.5927099999999998</v>
      </c>
      <c r="O42" s="22">
        <v>41</v>
      </c>
      <c r="P42" s="22" t="s">
        <v>2922</v>
      </c>
      <c r="Q42" s="22">
        <v>0.25900000000000001</v>
      </c>
      <c r="R42" s="22">
        <v>52.69</v>
      </c>
      <c r="S42" s="22">
        <v>65.23</v>
      </c>
      <c r="T42" s="22">
        <v>314.3</v>
      </c>
      <c r="U42" s="22">
        <v>518.72</v>
      </c>
      <c r="V42" s="22" t="s">
        <v>2862</v>
      </c>
      <c r="W42">
        <f t="shared" si="5"/>
        <v>13.646710000000001</v>
      </c>
      <c r="X42">
        <f t="shared" si="6"/>
        <v>16.894570000000002</v>
      </c>
      <c r="Y42">
        <f t="shared" si="7"/>
        <v>81.403700000000001</v>
      </c>
      <c r="Z42">
        <f t="shared" si="8"/>
        <v>134.34848000000002</v>
      </c>
      <c r="AB42">
        <v>1000</v>
      </c>
      <c r="AC42">
        <v>1000</v>
      </c>
      <c r="AD42">
        <v>1000</v>
      </c>
      <c r="AE42">
        <v>1000</v>
      </c>
      <c r="AG42">
        <f t="shared" si="9"/>
        <v>13646.710000000001</v>
      </c>
      <c r="AH42">
        <f t="shared" si="10"/>
        <v>16894.570000000003</v>
      </c>
      <c r="AI42">
        <f t="shared" si="11"/>
        <v>81403.7</v>
      </c>
      <c r="AJ42">
        <f t="shared" si="12"/>
        <v>134348.48000000001</v>
      </c>
    </row>
    <row r="43" spans="1:36" ht="14.4" thickBot="1" x14ac:dyDescent="0.3">
      <c r="O43" s="22">
        <v>42</v>
      </c>
      <c r="P43" s="22" t="s">
        <v>2341</v>
      </c>
      <c r="Q43" s="22" t="s">
        <v>2908</v>
      </c>
      <c r="R43" s="22" t="s">
        <v>2908</v>
      </c>
      <c r="S43" s="22" t="s">
        <v>2908</v>
      </c>
      <c r="T43" s="22" t="s">
        <v>2908</v>
      </c>
      <c r="U43" s="22" t="s">
        <v>2908</v>
      </c>
      <c r="V43" s="22" t="s">
        <v>2908</v>
      </c>
      <c r="W43" t="e">
        <f t="shared" si="5"/>
        <v>#VALUE!</v>
      </c>
      <c r="X43" t="e">
        <f t="shared" si="6"/>
        <v>#VALUE!</v>
      </c>
      <c r="Y43" t="e">
        <f t="shared" si="7"/>
        <v>#VALUE!</v>
      </c>
      <c r="Z43" t="e">
        <f t="shared" si="8"/>
        <v>#VALUE!</v>
      </c>
      <c r="AB43">
        <v>1000</v>
      </c>
      <c r="AC43">
        <v>1000</v>
      </c>
      <c r="AD43">
        <v>1000</v>
      </c>
      <c r="AE43">
        <v>1000</v>
      </c>
      <c r="AG43" t="e">
        <f t="shared" si="9"/>
        <v>#VALUE!</v>
      </c>
      <c r="AH43" t="e">
        <f t="shared" si="10"/>
        <v>#VALUE!</v>
      </c>
      <c r="AI43" t="e">
        <f t="shared" si="11"/>
        <v>#VALUE!</v>
      </c>
      <c r="AJ43" t="e">
        <f t="shared" si="12"/>
        <v>#VALUE!</v>
      </c>
    </row>
    <row r="44" spans="1:36" ht="28.2" thickBot="1" x14ac:dyDescent="0.3">
      <c r="O44" s="22">
        <v>43</v>
      </c>
      <c r="P44" s="22" t="s">
        <v>2161</v>
      </c>
      <c r="Q44" s="22" t="s">
        <v>2908</v>
      </c>
      <c r="R44" s="22" t="s">
        <v>2908</v>
      </c>
      <c r="S44" s="22" t="s">
        <v>2908</v>
      </c>
      <c r="T44" s="22" t="s">
        <v>2908</v>
      </c>
      <c r="U44" s="22" t="s">
        <v>2908</v>
      </c>
      <c r="V44" s="22" t="s">
        <v>2908</v>
      </c>
      <c r="W44" t="e">
        <f t="shared" si="5"/>
        <v>#VALUE!</v>
      </c>
      <c r="X44" t="e">
        <f t="shared" si="6"/>
        <v>#VALUE!</v>
      </c>
      <c r="Y44" t="e">
        <f t="shared" si="7"/>
        <v>#VALUE!</v>
      </c>
      <c r="Z44" t="e">
        <f t="shared" si="8"/>
        <v>#VALUE!</v>
      </c>
      <c r="AB44">
        <v>1000</v>
      </c>
      <c r="AC44">
        <v>1000</v>
      </c>
      <c r="AD44">
        <v>1000</v>
      </c>
      <c r="AE44">
        <v>1000</v>
      </c>
      <c r="AG44" t="e">
        <f t="shared" si="9"/>
        <v>#VALUE!</v>
      </c>
      <c r="AH44" t="e">
        <f t="shared" si="10"/>
        <v>#VALUE!</v>
      </c>
      <c r="AI44" t="e">
        <f t="shared" si="11"/>
        <v>#VALUE!</v>
      </c>
      <c r="AJ44" t="e">
        <f t="shared" si="12"/>
        <v>#VALUE!</v>
      </c>
    </row>
    <row r="45" spans="1:36" ht="42" thickBot="1" x14ac:dyDescent="0.3">
      <c r="O45" s="22">
        <v>44</v>
      </c>
      <c r="P45" s="22" t="s">
        <v>2923</v>
      </c>
      <c r="Q45" s="22" t="s">
        <v>2908</v>
      </c>
      <c r="R45" s="22" t="s">
        <v>2908</v>
      </c>
      <c r="S45" s="22" t="s">
        <v>2908</v>
      </c>
      <c r="T45" s="22" t="s">
        <v>2908</v>
      </c>
      <c r="U45" s="22" t="s">
        <v>2908</v>
      </c>
      <c r="V45" s="22" t="s">
        <v>2908</v>
      </c>
      <c r="W45" t="e">
        <f t="shared" si="5"/>
        <v>#VALUE!</v>
      </c>
      <c r="X45" t="e">
        <f t="shared" si="6"/>
        <v>#VALUE!</v>
      </c>
      <c r="Y45" t="e">
        <f t="shared" si="7"/>
        <v>#VALUE!</v>
      </c>
      <c r="Z45" t="e">
        <f t="shared" si="8"/>
        <v>#VALUE!</v>
      </c>
      <c r="AB45">
        <v>1000</v>
      </c>
      <c r="AC45">
        <v>1000</v>
      </c>
      <c r="AD45">
        <v>1000</v>
      </c>
      <c r="AE45">
        <v>1000</v>
      </c>
      <c r="AG45" t="e">
        <f t="shared" si="9"/>
        <v>#VALUE!</v>
      </c>
      <c r="AH45" t="e">
        <f t="shared" si="10"/>
        <v>#VALUE!</v>
      </c>
      <c r="AI45" t="e">
        <f t="shared" si="11"/>
        <v>#VALUE!</v>
      </c>
      <c r="AJ45" t="e">
        <f t="shared" si="12"/>
        <v>#VALUE!</v>
      </c>
    </row>
    <row r="46" spans="1:36" ht="42" thickBot="1" x14ac:dyDescent="0.3">
      <c r="O46" s="22">
        <v>45</v>
      </c>
      <c r="P46" s="22" t="s">
        <v>2924</v>
      </c>
      <c r="Q46" s="22" t="s">
        <v>2908</v>
      </c>
      <c r="R46" s="22" t="s">
        <v>2908</v>
      </c>
      <c r="S46" s="22" t="s">
        <v>2908</v>
      </c>
      <c r="T46" s="22" t="s">
        <v>2908</v>
      </c>
      <c r="U46" s="22" t="s">
        <v>2908</v>
      </c>
      <c r="V46" s="22" t="s">
        <v>2908</v>
      </c>
      <c r="W46" t="e">
        <f t="shared" si="5"/>
        <v>#VALUE!</v>
      </c>
      <c r="X46" t="e">
        <f t="shared" si="6"/>
        <v>#VALUE!</v>
      </c>
      <c r="Y46" t="e">
        <f t="shared" si="7"/>
        <v>#VALUE!</v>
      </c>
      <c r="Z46" t="e">
        <f t="shared" si="8"/>
        <v>#VALUE!</v>
      </c>
      <c r="AB46">
        <v>1000</v>
      </c>
      <c r="AC46">
        <v>1000</v>
      </c>
      <c r="AD46">
        <v>1000</v>
      </c>
      <c r="AE46">
        <v>1000</v>
      </c>
      <c r="AG46" t="e">
        <f t="shared" si="9"/>
        <v>#VALUE!</v>
      </c>
      <c r="AH46" t="e">
        <f t="shared" si="10"/>
        <v>#VALUE!</v>
      </c>
      <c r="AI46" t="e">
        <f t="shared" si="11"/>
        <v>#VALUE!</v>
      </c>
      <c r="AJ46" t="e">
        <f t="shared" si="12"/>
        <v>#VALUE!</v>
      </c>
    </row>
    <row r="47" spans="1:36" ht="42" thickBot="1" x14ac:dyDescent="0.3">
      <c r="O47" s="22">
        <v>46</v>
      </c>
      <c r="P47" s="22" t="s">
        <v>2925</v>
      </c>
      <c r="Q47" s="22" t="s">
        <v>2908</v>
      </c>
      <c r="R47" s="22" t="s">
        <v>2908</v>
      </c>
      <c r="S47" s="22" t="s">
        <v>2908</v>
      </c>
      <c r="T47" s="22" t="s">
        <v>2908</v>
      </c>
      <c r="U47" s="22" t="s">
        <v>2908</v>
      </c>
      <c r="V47" s="22" t="s">
        <v>2908</v>
      </c>
      <c r="W47" t="e">
        <f t="shared" si="5"/>
        <v>#VALUE!</v>
      </c>
      <c r="X47" t="e">
        <f t="shared" si="6"/>
        <v>#VALUE!</v>
      </c>
      <c r="Y47" t="e">
        <f t="shared" si="7"/>
        <v>#VALUE!</v>
      </c>
      <c r="Z47" t="e">
        <f t="shared" si="8"/>
        <v>#VALUE!</v>
      </c>
      <c r="AB47">
        <v>1000</v>
      </c>
      <c r="AC47">
        <v>1000</v>
      </c>
      <c r="AD47">
        <v>1000</v>
      </c>
      <c r="AE47">
        <v>1000</v>
      </c>
      <c r="AG47" t="e">
        <f t="shared" si="9"/>
        <v>#VALUE!</v>
      </c>
      <c r="AH47" t="e">
        <f t="shared" si="10"/>
        <v>#VALUE!</v>
      </c>
      <c r="AI47" t="e">
        <f t="shared" si="11"/>
        <v>#VALUE!</v>
      </c>
      <c r="AJ47" t="e">
        <f t="shared" si="12"/>
        <v>#VALUE!</v>
      </c>
    </row>
    <row r="48" spans="1:36" ht="28.2" thickBot="1" x14ac:dyDescent="0.3">
      <c r="O48" s="22">
        <v>47</v>
      </c>
      <c r="P48" s="22" t="s">
        <v>2926</v>
      </c>
      <c r="Q48" s="22" t="s">
        <v>2908</v>
      </c>
      <c r="R48" s="22" t="s">
        <v>2908</v>
      </c>
      <c r="S48" s="22" t="s">
        <v>2908</v>
      </c>
      <c r="T48" s="22" t="s">
        <v>2908</v>
      </c>
      <c r="U48" s="22" t="s">
        <v>2908</v>
      </c>
      <c r="V48" s="22" t="s">
        <v>2908</v>
      </c>
      <c r="W48" t="e">
        <f t="shared" si="5"/>
        <v>#VALUE!</v>
      </c>
      <c r="X48" t="e">
        <f t="shared" si="6"/>
        <v>#VALUE!</v>
      </c>
      <c r="Y48" t="e">
        <f t="shared" si="7"/>
        <v>#VALUE!</v>
      </c>
      <c r="Z48" t="e">
        <f t="shared" si="8"/>
        <v>#VALUE!</v>
      </c>
      <c r="AB48">
        <v>1000</v>
      </c>
      <c r="AC48">
        <v>1000</v>
      </c>
      <c r="AD48">
        <v>1000</v>
      </c>
      <c r="AE48">
        <v>1000</v>
      </c>
      <c r="AG48" t="e">
        <f t="shared" si="9"/>
        <v>#VALUE!</v>
      </c>
      <c r="AH48" t="e">
        <f t="shared" si="10"/>
        <v>#VALUE!</v>
      </c>
      <c r="AI48" t="e">
        <f t="shared" si="11"/>
        <v>#VALUE!</v>
      </c>
      <c r="AJ48" t="e">
        <f t="shared" si="12"/>
        <v>#VALUE!</v>
      </c>
    </row>
    <row r="49" spans="15:36" ht="14.4" thickBot="1" x14ac:dyDescent="0.3">
      <c r="O49" s="22">
        <v>48</v>
      </c>
      <c r="P49" s="22" t="s">
        <v>2878</v>
      </c>
      <c r="Q49" s="22">
        <v>2</v>
      </c>
      <c r="R49" s="22">
        <v>2.25</v>
      </c>
      <c r="S49" s="22">
        <v>3.24</v>
      </c>
      <c r="T49" s="22">
        <v>6.09</v>
      </c>
      <c r="U49" s="22">
        <v>4.9000000000000004</v>
      </c>
      <c r="V49" s="22" t="s">
        <v>2879</v>
      </c>
      <c r="W49">
        <f t="shared" si="5"/>
        <v>4.5</v>
      </c>
      <c r="X49">
        <f t="shared" si="6"/>
        <v>6.48</v>
      </c>
      <c r="Y49">
        <f t="shared" si="7"/>
        <v>12.18</v>
      </c>
      <c r="Z49">
        <f t="shared" si="8"/>
        <v>9.8000000000000007</v>
      </c>
      <c r="AB49">
        <v>1000</v>
      </c>
      <c r="AC49">
        <v>1000</v>
      </c>
      <c r="AD49">
        <v>1000</v>
      </c>
      <c r="AE49">
        <v>1000</v>
      </c>
      <c r="AG49">
        <f t="shared" si="9"/>
        <v>4500</v>
      </c>
      <c r="AH49">
        <f t="shared" si="10"/>
        <v>6480</v>
      </c>
      <c r="AI49">
        <f t="shared" si="11"/>
        <v>12180</v>
      </c>
      <c r="AJ49">
        <f t="shared" si="12"/>
        <v>9800</v>
      </c>
    </row>
    <row r="50" spans="15:36" ht="14.4" thickBot="1" x14ac:dyDescent="0.3">
      <c r="O50" s="22">
        <v>49</v>
      </c>
      <c r="P50" s="22" t="s">
        <v>2927</v>
      </c>
      <c r="Q50" s="22" t="s">
        <v>2908</v>
      </c>
      <c r="R50" s="22" t="s">
        <v>2908</v>
      </c>
      <c r="S50" s="22" t="s">
        <v>2908</v>
      </c>
      <c r="T50" s="22" t="s">
        <v>2908</v>
      </c>
      <c r="U50" s="22" t="s">
        <v>2908</v>
      </c>
      <c r="V50" s="22" t="s">
        <v>2908</v>
      </c>
      <c r="W50" t="e">
        <f t="shared" si="5"/>
        <v>#VALUE!</v>
      </c>
      <c r="X50" t="e">
        <f t="shared" si="6"/>
        <v>#VALUE!</v>
      </c>
      <c r="Y50" t="e">
        <f t="shared" si="7"/>
        <v>#VALUE!</v>
      </c>
      <c r="Z50" t="e">
        <f t="shared" si="8"/>
        <v>#VALUE!</v>
      </c>
      <c r="AB50">
        <v>1000</v>
      </c>
      <c r="AC50">
        <v>1000</v>
      </c>
      <c r="AD50">
        <v>1000</v>
      </c>
      <c r="AE50">
        <v>1000</v>
      </c>
      <c r="AG50" t="e">
        <f t="shared" si="9"/>
        <v>#VALUE!</v>
      </c>
      <c r="AH50" t="e">
        <f t="shared" si="10"/>
        <v>#VALUE!</v>
      </c>
      <c r="AI50" t="e">
        <f t="shared" si="11"/>
        <v>#VALUE!</v>
      </c>
      <c r="AJ50" t="e">
        <f t="shared" si="12"/>
        <v>#VALUE!</v>
      </c>
    </row>
    <row r="51" spans="15:36" ht="28.2" thickBot="1" x14ac:dyDescent="0.3">
      <c r="O51" s="22">
        <v>50</v>
      </c>
      <c r="P51" s="22" t="s">
        <v>2164</v>
      </c>
      <c r="Q51" s="22" t="s">
        <v>2908</v>
      </c>
      <c r="R51" s="22" t="s">
        <v>2908</v>
      </c>
      <c r="S51" s="22" t="s">
        <v>2908</v>
      </c>
      <c r="T51" s="22" t="s">
        <v>2908</v>
      </c>
      <c r="U51" s="22" t="s">
        <v>2908</v>
      </c>
      <c r="V51" s="22" t="s">
        <v>2908</v>
      </c>
      <c r="W51" t="e">
        <f t="shared" si="5"/>
        <v>#VALUE!</v>
      </c>
      <c r="X51" t="e">
        <f t="shared" si="6"/>
        <v>#VALUE!</v>
      </c>
      <c r="Y51" t="e">
        <f t="shared" si="7"/>
        <v>#VALUE!</v>
      </c>
      <c r="Z51" t="e">
        <f t="shared" si="8"/>
        <v>#VALUE!</v>
      </c>
      <c r="AB51">
        <v>1000</v>
      </c>
      <c r="AC51">
        <v>1000</v>
      </c>
      <c r="AD51">
        <v>1000</v>
      </c>
      <c r="AE51">
        <v>1000</v>
      </c>
      <c r="AG51" t="e">
        <f t="shared" si="9"/>
        <v>#VALUE!</v>
      </c>
      <c r="AH51" t="e">
        <f t="shared" si="10"/>
        <v>#VALUE!</v>
      </c>
      <c r="AI51" t="e">
        <f t="shared" si="11"/>
        <v>#VALUE!</v>
      </c>
      <c r="AJ51" t="e">
        <f t="shared" si="12"/>
        <v>#VALUE!</v>
      </c>
    </row>
    <row r="52" spans="15:36" ht="28.2" thickBot="1" x14ac:dyDescent="0.3">
      <c r="O52" s="22">
        <v>51</v>
      </c>
      <c r="P52" s="22" t="s">
        <v>2170</v>
      </c>
      <c r="Q52" s="22" t="s">
        <v>2908</v>
      </c>
      <c r="R52" s="22" t="s">
        <v>2908</v>
      </c>
      <c r="S52" s="22" t="s">
        <v>2908</v>
      </c>
      <c r="T52" s="22" t="s">
        <v>2908</v>
      </c>
      <c r="U52" s="22" t="s">
        <v>2908</v>
      </c>
      <c r="V52" s="22" t="s">
        <v>2908</v>
      </c>
      <c r="W52" t="e">
        <f t="shared" si="5"/>
        <v>#VALUE!</v>
      </c>
      <c r="X52" t="e">
        <f t="shared" si="6"/>
        <v>#VALUE!</v>
      </c>
      <c r="Y52" t="e">
        <f t="shared" si="7"/>
        <v>#VALUE!</v>
      </c>
      <c r="Z52" t="e">
        <f t="shared" si="8"/>
        <v>#VALUE!</v>
      </c>
      <c r="AB52">
        <v>1000</v>
      </c>
      <c r="AC52">
        <v>1000</v>
      </c>
      <c r="AD52">
        <v>1000</v>
      </c>
      <c r="AE52">
        <v>1000</v>
      </c>
      <c r="AG52" t="e">
        <f t="shared" si="9"/>
        <v>#VALUE!</v>
      </c>
      <c r="AH52" t="e">
        <f t="shared" si="10"/>
        <v>#VALUE!</v>
      </c>
      <c r="AI52" t="e">
        <f t="shared" si="11"/>
        <v>#VALUE!</v>
      </c>
      <c r="AJ52" t="e">
        <f t="shared" si="12"/>
        <v>#VALUE!</v>
      </c>
    </row>
    <row r="53" spans="15:36" ht="14.4" thickBot="1" x14ac:dyDescent="0.3">
      <c r="O53" s="22">
        <v>52</v>
      </c>
      <c r="P53" s="22" t="s">
        <v>2172</v>
      </c>
      <c r="Q53" s="22" t="s">
        <v>2908</v>
      </c>
      <c r="R53" s="22" t="s">
        <v>2908</v>
      </c>
      <c r="S53" s="22" t="s">
        <v>2908</v>
      </c>
      <c r="T53" s="22" t="s">
        <v>2908</v>
      </c>
      <c r="U53" s="22" t="s">
        <v>2908</v>
      </c>
      <c r="V53" s="22" t="s">
        <v>2908</v>
      </c>
      <c r="W53" t="e">
        <f t="shared" si="5"/>
        <v>#VALUE!</v>
      </c>
      <c r="X53" t="e">
        <f t="shared" si="6"/>
        <v>#VALUE!</v>
      </c>
      <c r="Y53" t="e">
        <f t="shared" si="7"/>
        <v>#VALUE!</v>
      </c>
      <c r="Z53" t="e">
        <f t="shared" si="8"/>
        <v>#VALUE!</v>
      </c>
      <c r="AB53">
        <v>1000</v>
      </c>
      <c r="AC53">
        <v>1000</v>
      </c>
      <c r="AD53">
        <v>1000</v>
      </c>
      <c r="AE53">
        <v>1000</v>
      </c>
      <c r="AG53" t="e">
        <f t="shared" si="9"/>
        <v>#VALUE!</v>
      </c>
      <c r="AH53" t="e">
        <f t="shared" si="10"/>
        <v>#VALUE!</v>
      </c>
      <c r="AI53" t="e">
        <f t="shared" si="11"/>
        <v>#VALUE!</v>
      </c>
      <c r="AJ53" t="e">
        <f t="shared" si="12"/>
        <v>#VALUE!</v>
      </c>
    </row>
    <row r="54" spans="15:36" ht="42" thickBot="1" x14ac:dyDescent="0.3">
      <c r="O54" s="22">
        <v>53</v>
      </c>
      <c r="P54" s="22" t="s">
        <v>2928</v>
      </c>
      <c r="Q54" s="22" t="s">
        <v>2908</v>
      </c>
      <c r="R54" s="22" t="s">
        <v>2908</v>
      </c>
      <c r="S54" s="22" t="s">
        <v>2908</v>
      </c>
      <c r="T54" s="22" t="s">
        <v>2908</v>
      </c>
      <c r="U54" s="22" t="s">
        <v>2908</v>
      </c>
      <c r="V54" s="22" t="s">
        <v>2908</v>
      </c>
      <c r="W54" t="e">
        <f t="shared" si="5"/>
        <v>#VALUE!</v>
      </c>
      <c r="X54" t="e">
        <f t="shared" si="6"/>
        <v>#VALUE!</v>
      </c>
      <c r="Y54" t="e">
        <f t="shared" si="7"/>
        <v>#VALUE!</v>
      </c>
      <c r="Z54" t="e">
        <f t="shared" si="8"/>
        <v>#VALUE!</v>
      </c>
      <c r="AB54">
        <v>1000</v>
      </c>
      <c r="AC54">
        <v>1000</v>
      </c>
      <c r="AD54">
        <v>1000</v>
      </c>
      <c r="AE54">
        <v>1000</v>
      </c>
      <c r="AG54" t="e">
        <f t="shared" si="9"/>
        <v>#VALUE!</v>
      </c>
      <c r="AH54" t="e">
        <f t="shared" si="10"/>
        <v>#VALUE!</v>
      </c>
      <c r="AI54" t="e">
        <f t="shared" si="11"/>
        <v>#VALUE!</v>
      </c>
      <c r="AJ54" t="e">
        <f t="shared" si="12"/>
        <v>#VALUE!</v>
      </c>
    </row>
    <row r="55" spans="15:36" ht="28.2" thickBot="1" x14ac:dyDescent="0.3">
      <c r="O55" s="22">
        <v>54</v>
      </c>
      <c r="P55" s="22" t="s">
        <v>2929</v>
      </c>
      <c r="Q55" s="22" t="s">
        <v>2908</v>
      </c>
      <c r="R55" s="22" t="s">
        <v>2908</v>
      </c>
      <c r="S55" s="22" t="s">
        <v>2908</v>
      </c>
      <c r="T55" s="22" t="s">
        <v>2908</v>
      </c>
      <c r="U55" s="22" t="s">
        <v>2908</v>
      </c>
      <c r="V55" s="22" t="s">
        <v>2908</v>
      </c>
      <c r="W55" t="e">
        <f t="shared" si="5"/>
        <v>#VALUE!</v>
      </c>
      <c r="X55" t="e">
        <f t="shared" si="6"/>
        <v>#VALUE!</v>
      </c>
      <c r="Y55" t="e">
        <f t="shared" si="7"/>
        <v>#VALUE!</v>
      </c>
      <c r="Z55" t="e">
        <f t="shared" si="8"/>
        <v>#VALUE!</v>
      </c>
      <c r="AB55">
        <v>1000</v>
      </c>
      <c r="AC55">
        <v>1000</v>
      </c>
      <c r="AD55">
        <v>1000</v>
      </c>
      <c r="AE55">
        <v>1000</v>
      </c>
      <c r="AG55" t="e">
        <f t="shared" si="9"/>
        <v>#VALUE!</v>
      </c>
      <c r="AH55" t="e">
        <f t="shared" si="10"/>
        <v>#VALUE!</v>
      </c>
      <c r="AI55" t="e">
        <f t="shared" si="11"/>
        <v>#VALUE!</v>
      </c>
      <c r="AJ55" t="e">
        <f t="shared" si="12"/>
        <v>#VALUE!</v>
      </c>
    </row>
    <row r="56" spans="15:36" ht="28.2" thickBot="1" x14ac:dyDescent="0.3">
      <c r="O56" s="22">
        <v>55</v>
      </c>
      <c r="P56" s="22" t="s">
        <v>2183</v>
      </c>
      <c r="Q56" s="22" t="s">
        <v>2908</v>
      </c>
      <c r="R56" s="22" t="s">
        <v>2908</v>
      </c>
      <c r="S56" s="22" t="s">
        <v>2908</v>
      </c>
      <c r="T56" s="22" t="s">
        <v>2908</v>
      </c>
      <c r="U56" s="22" t="s">
        <v>2908</v>
      </c>
      <c r="V56" s="22" t="s">
        <v>2908</v>
      </c>
      <c r="W56" t="e">
        <f t="shared" si="5"/>
        <v>#VALUE!</v>
      </c>
      <c r="X56" t="e">
        <f t="shared" si="6"/>
        <v>#VALUE!</v>
      </c>
      <c r="Y56" t="e">
        <f t="shared" si="7"/>
        <v>#VALUE!</v>
      </c>
      <c r="Z56" t="e">
        <f t="shared" si="8"/>
        <v>#VALUE!</v>
      </c>
      <c r="AB56">
        <v>1000</v>
      </c>
      <c r="AC56">
        <v>1000</v>
      </c>
      <c r="AD56">
        <v>1000</v>
      </c>
      <c r="AE56">
        <v>1000</v>
      </c>
      <c r="AG56" t="e">
        <f t="shared" si="9"/>
        <v>#VALUE!</v>
      </c>
      <c r="AH56" t="e">
        <f t="shared" si="10"/>
        <v>#VALUE!</v>
      </c>
      <c r="AI56" t="e">
        <f t="shared" si="11"/>
        <v>#VALUE!</v>
      </c>
      <c r="AJ56" t="e">
        <f t="shared" si="12"/>
        <v>#VALUE!</v>
      </c>
    </row>
    <row r="57" spans="15:36" ht="14.4" thickBot="1" x14ac:dyDescent="0.3">
      <c r="O57" s="22">
        <v>56</v>
      </c>
      <c r="P57" s="22" t="s">
        <v>2185</v>
      </c>
      <c r="Q57" s="22" t="s">
        <v>2908</v>
      </c>
      <c r="R57" s="22" t="s">
        <v>2908</v>
      </c>
      <c r="S57" s="22" t="s">
        <v>2908</v>
      </c>
      <c r="T57" s="22" t="s">
        <v>2908</v>
      </c>
      <c r="U57" s="22" t="s">
        <v>2908</v>
      </c>
      <c r="V57" s="22" t="s">
        <v>2908</v>
      </c>
      <c r="W57" t="e">
        <f t="shared" si="5"/>
        <v>#VALUE!</v>
      </c>
      <c r="X57" t="e">
        <f t="shared" si="6"/>
        <v>#VALUE!</v>
      </c>
      <c r="Y57" t="e">
        <f t="shared" si="7"/>
        <v>#VALUE!</v>
      </c>
      <c r="Z57" t="e">
        <f t="shared" si="8"/>
        <v>#VALUE!</v>
      </c>
      <c r="AB57">
        <v>1000</v>
      </c>
      <c r="AC57">
        <v>1000</v>
      </c>
      <c r="AD57">
        <v>1000</v>
      </c>
      <c r="AE57">
        <v>1000</v>
      </c>
      <c r="AG57" t="e">
        <f t="shared" si="9"/>
        <v>#VALUE!</v>
      </c>
      <c r="AH57" t="e">
        <f t="shared" si="10"/>
        <v>#VALUE!</v>
      </c>
      <c r="AI57" t="e">
        <f t="shared" si="11"/>
        <v>#VALUE!</v>
      </c>
      <c r="AJ57" t="e">
        <f t="shared" si="12"/>
        <v>#VALUE!</v>
      </c>
    </row>
    <row r="58" spans="15:36" ht="14.4" thickBot="1" x14ac:dyDescent="0.3">
      <c r="O58" s="22">
        <v>57</v>
      </c>
      <c r="P58" s="22" t="s">
        <v>2930</v>
      </c>
      <c r="Q58" s="22" t="s">
        <v>2908</v>
      </c>
      <c r="R58" s="22" t="s">
        <v>2908</v>
      </c>
      <c r="S58" s="22" t="s">
        <v>2908</v>
      </c>
      <c r="T58" s="22" t="s">
        <v>2908</v>
      </c>
      <c r="U58" s="22" t="s">
        <v>2908</v>
      </c>
      <c r="V58" s="22" t="s">
        <v>2908</v>
      </c>
      <c r="W58" t="e">
        <f t="shared" si="5"/>
        <v>#VALUE!</v>
      </c>
      <c r="X58" t="e">
        <f t="shared" si="6"/>
        <v>#VALUE!</v>
      </c>
      <c r="Y58" t="e">
        <f t="shared" si="7"/>
        <v>#VALUE!</v>
      </c>
      <c r="Z58" t="e">
        <f t="shared" si="8"/>
        <v>#VALUE!</v>
      </c>
      <c r="AB58">
        <v>1000</v>
      </c>
      <c r="AC58">
        <v>1000</v>
      </c>
      <c r="AD58">
        <v>1000</v>
      </c>
      <c r="AE58">
        <v>1000</v>
      </c>
      <c r="AG58" t="e">
        <f t="shared" si="9"/>
        <v>#VALUE!</v>
      </c>
      <c r="AH58" t="e">
        <f t="shared" si="10"/>
        <v>#VALUE!</v>
      </c>
      <c r="AI58" t="e">
        <f t="shared" si="11"/>
        <v>#VALUE!</v>
      </c>
      <c r="AJ58" t="e">
        <f t="shared" si="12"/>
        <v>#VALUE!</v>
      </c>
    </row>
    <row r="59" spans="15:36" ht="14.4" thickBot="1" x14ac:dyDescent="0.3">
      <c r="O59" s="22">
        <v>58</v>
      </c>
      <c r="P59" s="22" t="s">
        <v>2331</v>
      </c>
      <c r="Q59" s="22" t="s">
        <v>2908</v>
      </c>
      <c r="R59" s="22" t="s">
        <v>2908</v>
      </c>
      <c r="S59" s="22" t="s">
        <v>2908</v>
      </c>
      <c r="T59" s="22" t="s">
        <v>2908</v>
      </c>
      <c r="U59" s="22" t="s">
        <v>2908</v>
      </c>
      <c r="V59" s="22" t="s">
        <v>2908</v>
      </c>
      <c r="W59" t="e">
        <f t="shared" si="5"/>
        <v>#VALUE!</v>
      </c>
      <c r="X59" t="e">
        <f t="shared" si="6"/>
        <v>#VALUE!</v>
      </c>
      <c r="Y59" t="e">
        <f t="shared" si="7"/>
        <v>#VALUE!</v>
      </c>
      <c r="Z59" t="e">
        <f t="shared" si="8"/>
        <v>#VALUE!</v>
      </c>
      <c r="AB59">
        <v>1000</v>
      </c>
      <c r="AC59">
        <v>1000</v>
      </c>
      <c r="AD59">
        <v>1000</v>
      </c>
      <c r="AE59">
        <v>1000</v>
      </c>
      <c r="AG59" t="e">
        <f t="shared" si="9"/>
        <v>#VALUE!</v>
      </c>
      <c r="AH59" t="e">
        <f t="shared" si="10"/>
        <v>#VALUE!</v>
      </c>
      <c r="AI59" t="e">
        <f t="shared" si="11"/>
        <v>#VALUE!</v>
      </c>
      <c r="AJ59" t="e">
        <f t="shared" si="12"/>
        <v>#VALUE!</v>
      </c>
    </row>
    <row r="60" spans="15:36" ht="28.2" thickBot="1" x14ac:dyDescent="0.3">
      <c r="O60" s="22">
        <v>59</v>
      </c>
      <c r="P60" s="22" t="s">
        <v>2337</v>
      </c>
      <c r="Q60" s="22" t="s">
        <v>2908</v>
      </c>
      <c r="R60" s="22" t="s">
        <v>2908</v>
      </c>
      <c r="S60" s="22" t="s">
        <v>2908</v>
      </c>
      <c r="T60" s="22" t="s">
        <v>2908</v>
      </c>
      <c r="U60" s="22" t="s">
        <v>2908</v>
      </c>
      <c r="V60" s="22" t="s">
        <v>2908</v>
      </c>
      <c r="W60" t="e">
        <f t="shared" si="5"/>
        <v>#VALUE!</v>
      </c>
      <c r="X60" t="e">
        <f t="shared" si="6"/>
        <v>#VALUE!</v>
      </c>
      <c r="Y60" t="e">
        <f t="shared" si="7"/>
        <v>#VALUE!</v>
      </c>
      <c r="Z60" t="e">
        <f t="shared" si="8"/>
        <v>#VALUE!</v>
      </c>
      <c r="AB60">
        <v>1000</v>
      </c>
      <c r="AC60">
        <v>1000</v>
      </c>
      <c r="AD60">
        <v>1000</v>
      </c>
      <c r="AE60">
        <v>1000</v>
      </c>
      <c r="AG60" t="e">
        <f t="shared" si="9"/>
        <v>#VALUE!</v>
      </c>
      <c r="AH60" t="e">
        <f t="shared" si="10"/>
        <v>#VALUE!</v>
      </c>
      <c r="AI60" t="e">
        <f t="shared" si="11"/>
        <v>#VALUE!</v>
      </c>
      <c r="AJ60" t="e">
        <f t="shared" si="12"/>
        <v>#VALUE!</v>
      </c>
    </row>
    <row r="61" spans="15:36" ht="14.4" thickBot="1" x14ac:dyDescent="0.3">
      <c r="O61" s="22">
        <v>60</v>
      </c>
      <c r="P61" s="22" t="s">
        <v>2365</v>
      </c>
      <c r="Q61" s="22" t="s">
        <v>2908</v>
      </c>
      <c r="R61" s="22" t="s">
        <v>2908</v>
      </c>
      <c r="S61" s="22" t="s">
        <v>2908</v>
      </c>
      <c r="T61" s="22" t="s">
        <v>2908</v>
      </c>
      <c r="U61" s="22" t="s">
        <v>2908</v>
      </c>
      <c r="V61" s="22" t="s">
        <v>2908</v>
      </c>
      <c r="W61" t="e">
        <f t="shared" si="5"/>
        <v>#VALUE!</v>
      </c>
      <c r="X61" t="e">
        <f t="shared" si="6"/>
        <v>#VALUE!</v>
      </c>
      <c r="Y61" t="e">
        <f t="shared" si="7"/>
        <v>#VALUE!</v>
      </c>
      <c r="Z61" t="e">
        <f t="shared" si="8"/>
        <v>#VALUE!</v>
      </c>
      <c r="AB61">
        <v>1000</v>
      </c>
      <c r="AC61">
        <v>1000</v>
      </c>
      <c r="AD61">
        <v>1000</v>
      </c>
      <c r="AE61">
        <v>1000</v>
      </c>
      <c r="AG61" t="e">
        <f t="shared" si="9"/>
        <v>#VALUE!</v>
      </c>
      <c r="AH61" t="e">
        <f t="shared" si="10"/>
        <v>#VALUE!</v>
      </c>
      <c r="AI61" t="e">
        <f t="shared" si="11"/>
        <v>#VALUE!</v>
      </c>
      <c r="AJ61" t="e">
        <f t="shared" si="12"/>
        <v>#VALUE!</v>
      </c>
    </row>
    <row r="62" spans="15:36" ht="14.4" thickBot="1" x14ac:dyDescent="0.3">
      <c r="O62" s="22">
        <v>61</v>
      </c>
      <c r="P62" s="22" t="s">
        <v>2186</v>
      </c>
      <c r="Q62" s="22">
        <v>1.1220000000000001</v>
      </c>
      <c r="R62" s="22">
        <v>2.84</v>
      </c>
      <c r="S62" s="22">
        <v>2.38</v>
      </c>
      <c r="T62" s="22">
        <v>6.81</v>
      </c>
      <c r="U62" s="22">
        <v>7.46</v>
      </c>
      <c r="V62" s="22" t="s">
        <v>2874</v>
      </c>
      <c r="W62">
        <f t="shared" si="5"/>
        <v>3.18648</v>
      </c>
      <c r="X62">
        <f t="shared" si="6"/>
        <v>2.6703600000000001</v>
      </c>
      <c r="Y62">
        <f t="shared" si="7"/>
        <v>7.6408200000000006</v>
      </c>
      <c r="Z62">
        <f t="shared" si="8"/>
        <v>8.37012</v>
      </c>
      <c r="AB62">
        <v>1000</v>
      </c>
      <c r="AC62">
        <v>1000</v>
      </c>
      <c r="AD62">
        <v>1000</v>
      </c>
      <c r="AE62">
        <v>1000</v>
      </c>
      <c r="AG62">
        <f t="shared" si="9"/>
        <v>3186.48</v>
      </c>
      <c r="AH62">
        <f t="shared" si="10"/>
        <v>2670.36</v>
      </c>
      <c r="AI62">
        <f t="shared" si="11"/>
        <v>7640.8200000000006</v>
      </c>
      <c r="AJ62">
        <f t="shared" si="12"/>
        <v>8370.1200000000008</v>
      </c>
    </row>
    <row r="63" spans="15:36" ht="14.4" thickBot="1" x14ac:dyDescent="0.3">
      <c r="O63" s="22">
        <v>62</v>
      </c>
      <c r="P63" s="22" t="s">
        <v>2382</v>
      </c>
      <c r="Q63" s="22" t="s">
        <v>2908</v>
      </c>
      <c r="R63" s="22" t="s">
        <v>2908</v>
      </c>
      <c r="S63" s="22" t="s">
        <v>2908</v>
      </c>
      <c r="T63" s="22" t="s">
        <v>2908</v>
      </c>
      <c r="U63" s="22" t="s">
        <v>2908</v>
      </c>
      <c r="V63" s="22" t="s">
        <v>2908</v>
      </c>
      <c r="W63" t="e">
        <f t="shared" si="5"/>
        <v>#VALUE!</v>
      </c>
      <c r="X63" t="e">
        <f t="shared" si="6"/>
        <v>#VALUE!</v>
      </c>
      <c r="Y63" t="e">
        <f t="shared" si="7"/>
        <v>#VALUE!</v>
      </c>
      <c r="Z63" t="e">
        <f t="shared" si="8"/>
        <v>#VALUE!</v>
      </c>
      <c r="AB63">
        <v>1000</v>
      </c>
      <c r="AC63">
        <v>1000</v>
      </c>
      <c r="AD63">
        <v>1000</v>
      </c>
      <c r="AE63">
        <v>1000</v>
      </c>
      <c r="AG63" t="e">
        <f t="shared" si="9"/>
        <v>#VALUE!</v>
      </c>
      <c r="AH63" t="e">
        <f t="shared" si="10"/>
        <v>#VALUE!</v>
      </c>
      <c r="AI63" t="e">
        <f t="shared" si="11"/>
        <v>#VALUE!</v>
      </c>
      <c r="AJ63" t="e">
        <f t="shared" si="12"/>
        <v>#VALUE!</v>
      </c>
    </row>
    <row r="64" spans="15:36" ht="14.4" thickBot="1" x14ac:dyDescent="0.3">
      <c r="O64" s="22">
        <v>63</v>
      </c>
      <c r="P64" s="22" t="s">
        <v>2393</v>
      </c>
      <c r="Q64" s="22" t="s">
        <v>2908</v>
      </c>
      <c r="R64" s="22" t="s">
        <v>2908</v>
      </c>
      <c r="S64" s="22" t="s">
        <v>2908</v>
      </c>
      <c r="T64" s="22" t="s">
        <v>2908</v>
      </c>
      <c r="U64" s="22" t="s">
        <v>2908</v>
      </c>
      <c r="V64" s="22" t="s">
        <v>2908</v>
      </c>
      <c r="W64" t="e">
        <f t="shared" si="5"/>
        <v>#VALUE!</v>
      </c>
      <c r="X64" t="e">
        <f t="shared" si="6"/>
        <v>#VALUE!</v>
      </c>
      <c r="Y64" t="e">
        <f t="shared" si="7"/>
        <v>#VALUE!</v>
      </c>
      <c r="Z64" t="e">
        <f t="shared" si="8"/>
        <v>#VALUE!</v>
      </c>
      <c r="AB64">
        <v>1000</v>
      </c>
      <c r="AC64">
        <v>1000</v>
      </c>
      <c r="AD64">
        <v>1000</v>
      </c>
      <c r="AE64">
        <v>1000</v>
      </c>
      <c r="AG64" t="e">
        <f t="shared" si="9"/>
        <v>#VALUE!</v>
      </c>
      <c r="AH64" t="e">
        <f t="shared" si="10"/>
        <v>#VALUE!</v>
      </c>
      <c r="AI64" t="e">
        <f t="shared" si="11"/>
        <v>#VALUE!</v>
      </c>
      <c r="AJ64" t="e">
        <f t="shared" si="12"/>
        <v>#VALUE!</v>
      </c>
    </row>
  </sheetData>
  <autoFilter ref="A1:L42" xr:uid="{AF67C046-27FE-4BCD-98FB-349CDDCDF340}">
    <sortState xmlns:xlrd2="http://schemas.microsoft.com/office/spreadsheetml/2017/richdata2" ref="A2:L42">
      <sortCondition descending="1" ref="D1:D42"/>
    </sortState>
  </autoFilter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8ACC-EA17-43F4-91CB-49A900D7845A}">
  <dimension ref="A1:AE64"/>
  <sheetViews>
    <sheetView topLeftCell="A35" workbookViewId="0">
      <selection activeCell="X2" sqref="X2:AE64"/>
    </sheetView>
  </sheetViews>
  <sheetFormatPr defaultRowHeight="13.8" x14ac:dyDescent="0.25"/>
  <sheetData>
    <row r="1" spans="1:31" ht="100.2" thickBot="1" x14ac:dyDescent="0.3">
      <c r="A1" s="21" t="s">
        <v>2931</v>
      </c>
      <c r="B1" s="21" t="s">
        <v>2846</v>
      </c>
      <c r="C1" s="21" t="s">
        <v>2932</v>
      </c>
      <c r="D1" s="21" t="s">
        <v>2933</v>
      </c>
      <c r="E1" s="21" t="s">
        <v>2934</v>
      </c>
      <c r="F1" s="21" t="s">
        <v>2935</v>
      </c>
      <c r="G1" s="21" t="s">
        <v>2936</v>
      </c>
      <c r="H1" s="21" t="s">
        <v>2937</v>
      </c>
      <c r="I1" s="21" t="s">
        <v>2937</v>
      </c>
      <c r="J1" s="21" t="s">
        <v>2938</v>
      </c>
      <c r="K1" s="21" t="s">
        <v>2939</v>
      </c>
      <c r="M1" s="21" t="s">
        <v>2931</v>
      </c>
      <c r="N1" s="21" t="s">
        <v>2906</v>
      </c>
      <c r="O1" s="25" t="s">
        <v>6412</v>
      </c>
      <c r="P1" s="21" t="s">
        <v>2933</v>
      </c>
      <c r="Q1" s="21" t="s">
        <v>2934</v>
      </c>
      <c r="R1" s="21" t="s">
        <v>2935</v>
      </c>
      <c r="S1" s="21" t="s">
        <v>2936</v>
      </c>
      <c r="T1" s="21" t="s">
        <v>2937</v>
      </c>
      <c r="U1" s="21" t="s">
        <v>2937</v>
      </c>
      <c r="V1" s="21" t="s">
        <v>2938</v>
      </c>
      <c r="W1" s="21" t="s">
        <v>2939</v>
      </c>
    </row>
    <row r="2" spans="1:31" ht="14.4" thickBot="1" x14ac:dyDescent="0.3">
      <c r="A2" s="22" t="s">
        <v>2940</v>
      </c>
      <c r="B2" s="22" t="s">
        <v>2017</v>
      </c>
      <c r="C2" s="22">
        <v>55.33</v>
      </c>
      <c r="D2" s="22">
        <v>5146.5200000000004</v>
      </c>
      <c r="E2" s="22">
        <v>8020.36</v>
      </c>
      <c r="F2" s="22">
        <v>4836.91</v>
      </c>
      <c r="G2" s="22">
        <v>5333.73</v>
      </c>
      <c r="H2" s="22">
        <v>6759.47</v>
      </c>
      <c r="I2" s="22">
        <v>8201.2900000000009</v>
      </c>
      <c r="J2" s="22">
        <v>6501.85</v>
      </c>
      <c r="K2" s="22">
        <v>5893.63</v>
      </c>
      <c r="M2" s="22" t="s">
        <v>2940</v>
      </c>
      <c r="N2" s="22" t="s">
        <v>2017</v>
      </c>
      <c r="O2" s="22">
        <v>55.33</v>
      </c>
      <c r="P2" s="22">
        <v>5146.5200000000004</v>
      </c>
      <c r="Q2" s="22">
        <v>8020.36</v>
      </c>
      <c r="R2" s="22">
        <v>4836.91</v>
      </c>
      <c r="S2" s="22">
        <v>5333.73</v>
      </c>
      <c r="T2" s="22">
        <v>6759.47</v>
      </c>
      <c r="U2" s="22">
        <v>8201.2900000000009</v>
      </c>
      <c r="V2" s="22">
        <v>6501.85</v>
      </c>
      <c r="W2" s="22">
        <v>5893.63</v>
      </c>
      <c r="X2">
        <f>O2*P2</f>
        <v>284756.95160000003</v>
      </c>
      <c r="Y2">
        <f>O2*Q2</f>
        <v>443766.51879999996</v>
      </c>
      <c r="Z2">
        <f>O2*R2</f>
        <v>267626.2303</v>
      </c>
      <c r="AA2">
        <f>O2*S2</f>
        <v>295115.28089999995</v>
      </c>
      <c r="AB2">
        <f>O2*T2</f>
        <v>374001.47509999998</v>
      </c>
      <c r="AC2">
        <f>O2*U2</f>
        <v>453777.37570000003</v>
      </c>
      <c r="AD2">
        <f>O2*V2</f>
        <v>359747.36050000001</v>
      </c>
      <c r="AE2">
        <f>O2*W2</f>
        <v>326094.54790000001</v>
      </c>
    </row>
    <row r="3" spans="1:31" ht="55.8" thickBot="1" x14ac:dyDescent="0.3">
      <c r="A3" s="22" t="s">
        <v>2940</v>
      </c>
      <c r="B3" s="22" t="s">
        <v>2023</v>
      </c>
      <c r="C3" s="22">
        <v>12.87</v>
      </c>
      <c r="D3" s="22">
        <v>1675.96</v>
      </c>
      <c r="E3" s="22">
        <v>1760.76</v>
      </c>
      <c r="F3" s="22">
        <v>1453.12</v>
      </c>
      <c r="G3" s="22">
        <v>1474.98</v>
      </c>
      <c r="H3" s="22">
        <v>1905.11</v>
      </c>
      <c r="I3" s="22">
        <v>1921.04</v>
      </c>
      <c r="J3" s="22">
        <v>1739.71</v>
      </c>
      <c r="K3" s="22">
        <v>1831.94</v>
      </c>
      <c r="M3" s="22" t="s">
        <v>2908</v>
      </c>
      <c r="N3" s="22" t="s">
        <v>2907</v>
      </c>
      <c r="O3" s="22" t="s">
        <v>2908</v>
      </c>
      <c r="P3" s="22" t="s">
        <v>2908</v>
      </c>
      <c r="Q3" s="22" t="s">
        <v>2908</v>
      </c>
      <c r="R3" s="22" t="s">
        <v>2908</v>
      </c>
      <c r="S3" s="22" t="s">
        <v>2908</v>
      </c>
      <c r="T3" s="22" t="s">
        <v>2908</v>
      </c>
      <c r="U3" s="22" t="s">
        <v>2908</v>
      </c>
      <c r="V3" s="22" t="s">
        <v>2908</v>
      </c>
      <c r="W3" s="22" t="s">
        <v>2908</v>
      </c>
      <c r="X3" t="e">
        <f t="shared" ref="X3:X64" si="0">O3*P3</f>
        <v>#VALUE!</v>
      </c>
      <c r="Y3" t="e">
        <f t="shared" ref="Y3:Y64" si="1">O3*Q3</f>
        <v>#VALUE!</v>
      </c>
      <c r="Z3" t="e">
        <f t="shared" ref="Z3:Z64" si="2">O3*R3</f>
        <v>#VALUE!</v>
      </c>
      <c r="AA3" t="e">
        <f t="shared" ref="AA3:AA64" si="3">O3*S3</f>
        <v>#VALUE!</v>
      </c>
      <c r="AB3" t="e">
        <f t="shared" ref="AB3:AB64" si="4">O3*T3</f>
        <v>#VALUE!</v>
      </c>
      <c r="AC3" t="e">
        <f t="shared" ref="AC3:AC64" si="5">O3*U3</f>
        <v>#VALUE!</v>
      </c>
      <c r="AD3" t="e">
        <f t="shared" ref="AD3:AD64" si="6">O3*V3</f>
        <v>#VALUE!</v>
      </c>
      <c r="AE3" t="e">
        <f t="shared" ref="AE3:AE64" si="7">O3*W3</f>
        <v>#VALUE!</v>
      </c>
    </row>
    <row r="4" spans="1:31" ht="14.4" thickBot="1" x14ac:dyDescent="0.3">
      <c r="A4" s="22" t="s">
        <v>2940</v>
      </c>
      <c r="B4" s="22" t="s">
        <v>2019</v>
      </c>
      <c r="C4" s="22">
        <v>26.78</v>
      </c>
      <c r="D4" s="22">
        <v>864.68</v>
      </c>
      <c r="E4" s="22">
        <v>1117.67</v>
      </c>
      <c r="F4" s="22">
        <v>762.38</v>
      </c>
      <c r="G4" s="22">
        <v>841.35</v>
      </c>
      <c r="H4" s="22">
        <v>1167.82</v>
      </c>
      <c r="I4" s="22">
        <v>721.08</v>
      </c>
      <c r="J4" s="22">
        <v>549.79999999999995</v>
      </c>
      <c r="K4" s="22">
        <v>608.41999999999996</v>
      </c>
      <c r="M4" s="22" t="s">
        <v>2940</v>
      </c>
      <c r="N4" s="22" t="s">
        <v>2018</v>
      </c>
      <c r="O4" s="22">
        <v>110</v>
      </c>
      <c r="P4" s="22">
        <v>438.13</v>
      </c>
      <c r="Q4" s="22">
        <v>482.86</v>
      </c>
      <c r="R4" s="22">
        <v>398.56</v>
      </c>
      <c r="S4" s="22">
        <v>452.75</v>
      </c>
      <c r="T4" s="22">
        <v>627.80999999999995</v>
      </c>
      <c r="U4" s="22">
        <v>574.74</v>
      </c>
      <c r="V4" s="22">
        <v>476.34</v>
      </c>
      <c r="W4" s="22">
        <v>569.26</v>
      </c>
      <c r="X4">
        <f t="shared" si="0"/>
        <v>48194.3</v>
      </c>
      <c r="Y4">
        <f t="shared" si="1"/>
        <v>53114.6</v>
      </c>
      <c r="Z4">
        <f t="shared" si="2"/>
        <v>43841.599999999999</v>
      </c>
      <c r="AA4">
        <f t="shared" si="3"/>
        <v>49802.5</v>
      </c>
      <c r="AB4">
        <f t="shared" si="4"/>
        <v>69059.099999999991</v>
      </c>
      <c r="AC4">
        <f t="shared" si="5"/>
        <v>63221.4</v>
      </c>
      <c r="AD4">
        <f t="shared" si="6"/>
        <v>52397.399999999994</v>
      </c>
      <c r="AE4">
        <f t="shared" si="7"/>
        <v>62618.6</v>
      </c>
    </row>
    <row r="5" spans="1:31" ht="14.4" thickBot="1" x14ac:dyDescent="0.3">
      <c r="A5" s="22" t="s">
        <v>2940</v>
      </c>
      <c r="B5" s="22" t="s">
        <v>2018</v>
      </c>
      <c r="C5" s="22">
        <v>110</v>
      </c>
      <c r="D5" s="22">
        <v>438.13</v>
      </c>
      <c r="E5" s="22">
        <v>482.86</v>
      </c>
      <c r="F5" s="22">
        <v>398.56</v>
      </c>
      <c r="G5" s="22">
        <v>452.75</v>
      </c>
      <c r="H5" s="22">
        <v>627.80999999999995</v>
      </c>
      <c r="I5" s="22">
        <v>574.74</v>
      </c>
      <c r="J5" s="22">
        <v>476.34</v>
      </c>
      <c r="K5" s="22">
        <v>569.26</v>
      </c>
      <c r="M5" s="22" t="s">
        <v>2940</v>
      </c>
      <c r="N5" s="22" t="s">
        <v>2022</v>
      </c>
      <c r="O5" s="22">
        <v>32551.599999999999</v>
      </c>
      <c r="P5" s="22">
        <v>70.819999999999993</v>
      </c>
      <c r="Q5" s="22">
        <v>104.14</v>
      </c>
      <c r="R5" s="22">
        <v>68.19</v>
      </c>
      <c r="S5" s="22">
        <v>79.040000000000006</v>
      </c>
      <c r="T5" s="22">
        <v>60.23</v>
      </c>
      <c r="U5" s="22">
        <v>74.790000000000006</v>
      </c>
      <c r="V5" s="22">
        <v>40.6</v>
      </c>
      <c r="W5" s="22">
        <v>94.21</v>
      </c>
      <c r="X5">
        <f t="shared" si="0"/>
        <v>2305304.3119999995</v>
      </c>
      <c r="Y5">
        <f t="shared" si="1"/>
        <v>3389923.6239999998</v>
      </c>
      <c r="Z5">
        <f t="shared" si="2"/>
        <v>2219693.6039999998</v>
      </c>
      <c r="AA5">
        <f t="shared" si="3"/>
        <v>2572878.4640000002</v>
      </c>
      <c r="AB5">
        <f t="shared" si="4"/>
        <v>1960582.8679999998</v>
      </c>
      <c r="AC5">
        <f t="shared" si="5"/>
        <v>2434534.1639999999</v>
      </c>
      <c r="AD5">
        <f t="shared" si="6"/>
        <v>1321594.96</v>
      </c>
      <c r="AE5">
        <f t="shared" si="7"/>
        <v>3066686.2359999996</v>
      </c>
    </row>
    <row r="6" spans="1:31" ht="14.4" thickBot="1" x14ac:dyDescent="0.3">
      <c r="A6" s="22" t="s">
        <v>2940</v>
      </c>
      <c r="B6" s="22" t="s">
        <v>2022</v>
      </c>
      <c r="C6" s="22">
        <v>32551.599999999999</v>
      </c>
      <c r="D6" s="22">
        <v>70.819999999999993</v>
      </c>
      <c r="E6" s="22">
        <v>104.14</v>
      </c>
      <c r="F6" s="22">
        <v>68.19</v>
      </c>
      <c r="G6" s="22">
        <v>79.040000000000006</v>
      </c>
      <c r="H6" s="22">
        <v>60.23</v>
      </c>
      <c r="I6" s="22">
        <v>74.790000000000006</v>
      </c>
      <c r="J6" s="22">
        <v>40.6</v>
      </c>
      <c r="K6" s="22">
        <v>94.21</v>
      </c>
      <c r="M6" s="22" t="s">
        <v>2940</v>
      </c>
      <c r="N6" s="22" t="s">
        <v>2023</v>
      </c>
      <c r="O6" s="22">
        <v>12.87</v>
      </c>
      <c r="P6" s="22">
        <v>1675.96</v>
      </c>
      <c r="Q6" s="22">
        <v>1760.76</v>
      </c>
      <c r="R6" s="22">
        <v>1453.12</v>
      </c>
      <c r="S6" s="22">
        <v>1474.98</v>
      </c>
      <c r="T6" s="22">
        <v>1905.11</v>
      </c>
      <c r="U6" s="22">
        <v>1921.04</v>
      </c>
      <c r="V6" s="22">
        <v>1739.71</v>
      </c>
      <c r="W6" s="22">
        <v>1831.94</v>
      </c>
      <c r="X6">
        <f t="shared" si="0"/>
        <v>21569.605199999998</v>
      </c>
      <c r="Y6">
        <f t="shared" si="1"/>
        <v>22660.981199999998</v>
      </c>
      <c r="Z6">
        <f t="shared" si="2"/>
        <v>18701.654399999996</v>
      </c>
      <c r="AA6">
        <f t="shared" si="3"/>
        <v>18982.992599999998</v>
      </c>
      <c r="AB6">
        <f t="shared" si="4"/>
        <v>24518.765699999996</v>
      </c>
      <c r="AC6">
        <f t="shared" si="5"/>
        <v>24723.784799999998</v>
      </c>
      <c r="AD6">
        <f t="shared" si="6"/>
        <v>22390.0677</v>
      </c>
      <c r="AE6">
        <f t="shared" si="7"/>
        <v>23577.067800000001</v>
      </c>
    </row>
    <row r="7" spans="1:31" ht="28.2" thickBot="1" x14ac:dyDescent="0.3">
      <c r="A7" s="22" t="s">
        <v>2940</v>
      </c>
      <c r="B7" s="22" t="s">
        <v>2915</v>
      </c>
      <c r="C7" s="22">
        <v>93.93</v>
      </c>
      <c r="D7" s="22">
        <v>53.36</v>
      </c>
      <c r="E7" s="22">
        <v>96.82</v>
      </c>
      <c r="F7" s="22">
        <v>55.42</v>
      </c>
      <c r="G7" s="22">
        <v>58.63</v>
      </c>
      <c r="H7" s="22">
        <v>42.22</v>
      </c>
      <c r="I7" s="22">
        <v>20.89</v>
      </c>
      <c r="J7" s="22">
        <v>61.12</v>
      </c>
      <c r="K7" s="22">
        <v>66</v>
      </c>
      <c r="M7" s="22" t="s">
        <v>2940</v>
      </c>
      <c r="N7" s="22" t="s">
        <v>2019</v>
      </c>
      <c r="O7" s="22">
        <v>26.78</v>
      </c>
      <c r="P7" s="22">
        <v>864.68</v>
      </c>
      <c r="Q7" s="22">
        <v>1117.67</v>
      </c>
      <c r="R7" s="22">
        <v>762.38</v>
      </c>
      <c r="S7" s="22">
        <v>841.35</v>
      </c>
      <c r="T7" s="22">
        <v>1167.82</v>
      </c>
      <c r="U7" s="22">
        <v>721.08</v>
      </c>
      <c r="V7" s="22">
        <v>549.79999999999995</v>
      </c>
      <c r="W7" s="22">
        <v>608.41999999999996</v>
      </c>
      <c r="X7">
        <f t="shared" si="0"/>
        <v>23156.130399999998</v>
      </c>
      <c r="Y7">
        <f t="shared" si="1"/>
        <v>29931.202600000004</v>
      </c>
      <c r="Z7">
        <f t="shared" si="2"/>
        <v>20416.536400000001</v>
      </c>
      <c r="AA7">
        <f t="shared" si="3"/>
        <v>22531.353000000003</v>
      </c>
      <c r="AB7">
        <f t="shared" si="4"/>
        <v>31274.2196</v>
      </c>
      <c r="AC7">
        <f t="shared" si="5"/>
        <v>19310.522400000002</v>
      </c>
      <c r="AD7">
        <f t="shared" si="6"/>
        <v>14723.644</v>
      </c>
      <c r="AE7">
        <f t="shared" si="7"/>
        <v>16293.4876</v>
      </c>
    </row>
    <row r="8" spans="1:31" ht="14.4" thickBot="1" x14ac:dyDescent="0.3">
      <c r="A8" s="22" t="s">
        <v>2940</v>
      </c>
      <c r="B8" s="22" t="s">
        <v>2898</v>
      </c>
      <c r="C8" s="22">
        <v>128083.8</v>
      </c>
      <c r="D8" s="22">
        <v>3.34</v>
      </c>
      <c r="E8" s="22">
        <v>11.01</v>
      </c>
      <c r="F8" s="22">
        <v>4.29</v>
      </c>
      <c r="G8" s="22">
        <v>6.56</v>
      </c>
      <c r="H8" s="22">
        <v>1.08</v>
      </c>
      <c r="I8" s="22">
        <v>5.29</v>
      </c>
      <c r="J8" s="22">
        <v>11.12</v>
      </c>
      <c r="K8" s="22">
        <v>6.75</v>
      </c>
      <c r="M8" s="22" t="s">
        <v>2940</v>
      </c>
      <c r="N8" s="22" t="s">
        <v>2178</v>
      </c>
      <c r="O8" s="22">
        <v>13153.17</v>
      </c>
      <c r="P8" s="22">
        <v>1.1000000000000001</v>
      </c>
      <c r="Q8" s="22">
        <v>1.46</v>
      </c>
      <c r="R8" s="22">
        <v>0.89</v>
      </c>
      <c r="S8" s="22">
        <v>0.93</v>
      </c>
      <c r="T8" s="22">
        <v>1.1200000000000001</v>
      </c>
      <c r="U8" s="22">
        <v>0.83</v>
      </c>
      <c r="V8" s="22">
        <v>0.72</v>
      </c>
      <c r="W8" s="22">
        <v>0.66</v>
      </c>
      <c r="X8">
        <f t="shared" si="0"/>
        <v>14468.487000000001</v>
      </c>
      <c r="Y8">
        <f t="shared" si="1"/>
        <v>19203.628199999999</v>
      </c>
      <c r="Z8">
        <f t="shared" si="2"/>
        <v>11706.3213</v>
      </c>
      <c r="AA8">
        <f t="shared" si="3"/>
        <v>12232.448100000001</v>
      </c>
      <c r="AB8">
        <f t="shared" si="4"/>
        <v>14731.550400000002</v>
      </c>
      <c r="AC8">
        <f t="shared" si="5"/>
        <v>10917.131099999999</v>
      </c>
      <c r="AD8">
        <f t="shared" si="6"/>
        <v>9470.2824000000001</v>
      </c>
      <c r="AE8">
        <f t="shared" si="7"/>
        <v>8681.092200000001</v>
      </c>
    </row>
    <row r="9" spans="1:31" ht="28.2" thickBot="1" x14ac:dyDescent="0.3">
      <c r="A9" s="22" t="s">
        <v>2940</v>
      </c>
      <c r="B9" s="22" t="s">
        <v>2028</v>
      </c>
      <c r="C9" s="22">
        <v>406.83</v>
      </c>
      <c r="D9" s="22">
        <v>3.16</v>
      </c>
      <c r="E9" s="22">
        <v>5.63</v>
      </c>
      <c r="F9" s="22">
        <v>2.83</v>
      </c>
      <c r="G9" s="22">
        <v>1.92</v>
      </c>
      <c r="H9" s="22">
        <v>0</v>
      </c>
      <c r="I9" s="22">
        <v>3.39</v>
      </c>
      <c r="J9" s="22">
        <v>3.66</v>
      </c>
      <c r="K9" s="22">
        <v>3.06</v>
      </c>
      <c r="M9" s="22" t="s">
        <v>2940</v>
      </c>
      <c r="N9" s="22" t="s">
        <v>2898</v>
      </c>
      <c r="O9" s="22">
        <v>128083.8</v>
      </c>
      <c r="P9" s="22">
        <v>3.34</v>
      </c>
      <c r="Q9" s="22">
        <v>11.01</v>
      </c>
      <c r="R9" s="22">
        <v>4.29</v>
      </c>
      <c r="S9" s="22">
        <v>6.56</v>
      </c>
      <c r="T9" s="22">
        <v>1.08</v>
      </c>
      <c r="U9" s="22">
        <v>5.29</v>
      </c>
      <c r="V9" s="22">
        <v>11.12</v>
      </c>
      <c r="W9" s="22">
        <v>6.75</v>
      </c>
      <c r="X9">
        <f t="shared" si="0"/>
        <v>427799.89199999999</v>
      </c>
      <c r="Y9">
        <f t="shared" si="1"/>
        <v>1410202.638</v>
      </c>
      <c r="Z9">
        <f t="shared" si="2"/>
        <v>549479.50199999998</v>
      </c>
      <c r="AA9">
        <f t="shared" si="3"/>
        <v>840229.728</v>
      </c>
      <c r="AB9">
        <f t="shared" si="4"/>
        <v>138330.50400000002</v>
      </c>
      <c r="AC9">
        <f t="shared" si="5"/>
        <v>677563.30200000003</v>
      </c>
      <c r="AD9">
        <f t="shared" si="6"/>
        <v>1424291.8559999999</v>
      </c>
      <c r="AE9">
        <f t="shared" si="7"/>
        <v>864565.65</v>
      </c>
    </row>
    <row r="10" spans="1:31" ht="42" thickBot="1" x14ac:dyDescent="0.3">
      <c r="A10" s="22" t="s">
        <v>2940</v>
      </c>
      <c r="B10" s="22" t="s">
        <v>2178</v>
      </c>
      <c r="C10" s="22">
        <v>13153.17</v>
      </c>
      <c r="D10" s="22">
        <v>1.1000000000000001</v>
      </c>
      <c r="E10" s="22">
        <v>1.46</v>
      </c>
      <c r="F10" s="22">
        <v>0.89</v>
      </c>
      <c r="G10" s="22">
        <v>0.93</v>
      </c>
      <c r="H10" s="22">
        <v>1.1200000000000001</v>
      </c>
      <c r="I10" s="22">
        <v>0.83</v>
      </c>
      <c r="J10" s="22">
        <v>0.72</v>
      </c>
      <c r="K10" s="22">
        <v>0.66</v>
      </c>
      <c r="M10" s="22" t="s">
        <v>2908</v>
      </c>
      <c r="N10" s="22" t="s">
        <v>2909</v>
      </c>
      <c r="O10" s="22" t="s">
        <v>2908</v>
      </c>
      <c r="P10" s="22" t="s">
        <v>2908</v>
      </c>
      <c r="Q10" s="22" t="s">
        <v>2908</v>
      </c>
      <c r="R10" s="22" t="s">
        <v>2908</v>
      </c>
      <c r="S10" s="22" t="s">
        <v>2908</v>
      </c>
      <c r="T10" s="22" t="s">
        <v>2908</v>
      </c>
      <c r="U10" s="22" t="s">
        <v>2908</v>
      </c>
      <c r="V10" s="22" t="s">
        <v>2908</v>
      </c>
      <c r="W10" s="22" t="s">
        <v>2908</v>
      </c>
      <c r="X10" t="e">
        <f t="shared" si="0"/>
        <v>#VALUE!</v>
      </c>
      <c r="Y10" t="e">
        <f t="shared" si="1"/>
        <v>#VALUE!</v>
      </c>
      <c r="Z10" t="e">
        <f t="shared" si="2"/>
        <v>#VALUE!</v>
      </c>
      <c r="AA10" t="e">
        <f t="shared" si="3"/>
        <v>#VALUE!</v>
      </c>
      <c r="AB10" t="e">
        <f t="shared" si="4"/>
        <v>#VALUE!</v>
      </c>
      <c r="AC10" t="e">
        <f t="shared" si="5"/>
        <v>#VALUE!</v>
      </c>
      <c r="AD10" t="e">
        <f t="shared" si="6"/>
        <v>#VALUE!</v>
      </c>
      <c r="AE10" t="e">
        <f t="shared" si="7"/>
        <v>#VALUE!</v>
      </c>
    </row>
    <row r="11" spans="1:31" ht="55.8" thickBot="1" x14ac:dyDescent="0.3">
      <c r="A11" s="22" t="s">
        <v>2941</v>
      </c>
      <c r="B11" s="22" t="s">
        <v>2359</v>
      </c>
      <c r="C11" s="22">
        <v>28300</v>
      </c>
      <c r="D11" s="22">
        <v>5.99</v>
      </c>
      <c r="E11" s="22">
        <v>9.56</v>
      </c>
      <c r="F11" s="22">
        <v>5.72</v>
      </c>
      <c r="G11" s="22">
        <v>5.49</v>
      </c>
      <c r="H11" s="22">
        <v>5.26</v>
      </c>
      <c r="I11" s="22">
        <v>4.96</v>
      </c>
      <c r="J11" s="22">
        <v>6.65</v>
      </c>
      <c r="K11" s="22">
        <v>6.44</v>
      </c>
      <c r="M11" s="22" t="s">
        <v>2908</v>
      </c>
      <c r="N11" s="22" t="s">
        <v>2910</v>
      </c>
      <c r="O11" s="22" t="s">
        <v>2908</v>
      </c>
      <c r="P11" s="22" t="s">
        <v>2908</v>
      </c>
      <c r="Q11" s="22" t="s">
        <v>2908</v>
      </c>
      <c r="R11" s="22" t="s">
        <v>2908</v>
      </c>
      <c r="S11" s="22" t="s">
        <v>2908</v>
      </c>
      <c r="T11" s="22" t="s">
        <v>2908</v>
      </c>
      <c r="U11" s="22" t="s">
        <v>2908</v>
      </c>
      <c r="V11" s="22" t="s">
        <v>2908</v>
      </c>
      <c r="W11" s="22" t="s">
        <v>2908</v>
      </c>
      <c r="X11" t="e">
        <f t="shared" si="0"/>
        <v>#VALUE!</v>
      </c>
      <c r="Y11" t="e">
        <f t="shared" si="1"/>
        <v>#VALUE!</v>
      </c>
      <c r="Z11" t="e">
        <f t="shared" si="2"/>
        <v>#VALUE!</v>
      </c>
      <c r="AA11" t="e">
        <f t="shared" si="3"/>
        <v>#VALUE!</v>
      </c>
      <c r="AB11" t="e">
        <f t="shared" si="4"/>
        <v>#VALUE!</v>
      </c>
      <c r="AC11" t="e">
        <f t="shared" si="5"/>
        <v>#VALUE!</v>
      </c>
      <c r="AD11" t="e">
        <f t="shared" si="6"/>
        <v>#VALUE!</v>
      </c>
      <c r="AE11" t="e">
        <f t="shared" si="7"/>
        <v>#VALUE!</v>
      </c>
    </row>
    <row r="12" spans="1:31" ht="28.2" thickBot="1" x14ac:dyDescent="0.3">
      <c r="A12" s="22" t="s">
        <v>2941</v>
      </c>
      <c r="B12" s="22" t="s">
        <v>2866</v>
      </c>
      <c r="C12" s="22">
        <v>2733.35</v>
      </c>
      <c r="D12" s="22">
        <v>4.59</v>
      </c>
      <c r="E12" s="22">
        <v>9.23</v>
      </c>
      <c r="F12" s="22">
        <v>4.2300000000000004</v>
      </c>
      <c r="G12" s="22">
        <v>3.86</v>
      </c>
      <c r="H12" s="22">
        <v>3.36</v>
      </c>
      <c r="I12" s="22">
        <v>5.25</v>
      </c>
      <c r="J12" s="22">
        <v>5.4</v>
      </c>
      <c r="K12" s="22">
        <v>5.85</v>
      </c>
      <c r="M12" s="22" t="s">
        <v>2908</v>
      </c>
      <c r="N12" s="22" t="s">
        <v>2911</v>
      </c>
      <c r="O12" s="22" t="s">
        <v>2908</v>
      </c>
      <c r="P12" s="22" t="s">
        <v>2908</v>
      </c>
      <c r="Q12" s="22" t="s">
        <v>2908</v>
      </c>
      <c r="R12" s="22" t="s">
        <v>2908</v>
      </c>
      <c r="S12" s="22" t="s">
        <v>2908</v>
      </c>
      <c r="T12" s="22" t="s">
        <v>2908</v>
      </c>
      <c r="U12" s="22" t="s">
        <v>2908</v>
      </c>
      <c r="V12" s="22" t="s">
        <v>2908</v>
      </c>
      <c r="W12" s="22" t="s">
        <v>2908</v>
      </c>
      <c r="X12" t="e">
        <f t="shared" si="0"/>
        <v>#VALUE!</v>
      </c>
      <c r="Y12" t="e">
        <f t="shared" si="1"/>
        <v>#VALUE!</v>
      </c>
      <c r="Z12" t="e">
        <f t="shared" si="2"/>
        <v>#VALUE!</v>
      </c>
      <c r="AA12" t="e">
        <f t="shared" si="3"/>
        <v>#VALUE!</v>
      </c>
      <c r="AB12" t="e">
        <f t="shared" si="4"/>
        <v>#VALUE!</v>
      </c>
      <c r="AC12" t="e">
        <f t="shared" si="5"/>
        <v>#VALUE!</v>
      </c>
      <c r="AD12" t="e">
        <f t="shared" si="6"/>
        <v>#VALUE!</v>
      </c>
      <c r="AE12" t="e">
        <f t="shared" si="7"/>
        <v>#VALUE!</v>
      </c>
    </row>
    <row r="13" spans="1:31" ht="55.8" thickBot="1" x14ac:dyDescent="0.3">
      <c r="A13" s="22" t="s">
        <v>2941</v>
      </c>
      <c r="B13" s="22" t="s">
        <v>2878</v>
      </c>
      <c r="C13" s="22">
        <v>2000</v>
      </c>
      <c r="D13" s="22">
        <v>4.5199999999999996</v>
      </c>
      <c r="E13" s="22">
        <v>1.6</v>
      </c>
      <c r="F13" s="22">
        <v>0.87</v>
      </c>
      <c r="G13" s="22">
        <v>0.96</v>
      </c>
      <c r="H13" s="22">
        <v>0.77</v>
      </c>
      <c r="I13" s="22">
        <v>0.86</v>
      </c>
      <c r="J13" s="22">
        <v>1.23</v>
      </c>
      <c r="K13" s="22">
        <v>0.69</v>
      </c>
      <c r="M13" s="22" t="s">
        <v>2908</v>
      </c>
      <c r="N13" s="22" t="s">
        <v>2912</v>
      </c>
      <c r="O13" s="22" t="s">
        <v>2908</v>
      </c>
      <c r="P13" s="22" t="s">
        <v>2908</v>
      </c>
      <c r="Q13" s="22" t="s">
        <v>2908</v>
      </c>
      <c r="R13" s="22" t="s">
        <v>2908</v>
      </c>
      <c r="S13" s="22" t="s">
        <v>2908</v>
      </c>
      <c r="T13" s="22" t="s">
        <v>2908</v>
      </c>
      <c r="U13" s="22" t="s">
        <v>2908</v>
      </c>
      <c r="V13" s="22" t="s">
        <v>2908</v>
      </c>
      <c r="W13" s="22" t="s">
        <v>2908</v>
      </c>
      <c r="X13" t="e">
        <f t="shared" si="0"/>
        <v>#VALUE!</v>
      </c>
      <c r="Y13" t="e">
        <f t="shared" si="1"/>
        <v>#VALUE!</v>
      </c>
      <c r="Z13" t="e">
        <f t="shared" si="2"/>
        <v>#VALUE!</v>
      </c>
      <c r="AA13" t="e">
        <f t="shared" si="3"/>
        <v>#VALUE!</v>
      </c>
      <c r="AB13" t="e">
        <f t="shared" si="4"/>
        <v>#VALUE!</v>
      </c>
      <c r="AC13" t="e">
        <f t="shared" si="5"/>
        <v>#VALUE!</v>
      </c>
      <c r="AD13" t="e">
        <f t="shared" si="6"/>
        <v>#VALUE!</v>
      </c>
      <c r="AE13" t="e">
        <f t="shared" si="7"/>
        <v>#VALUE!</v>
      </c>
    </row>
    <row r="14" spans="1:31" ht="14.4" thickBot="1" x14ac:dyDescent="0.3">
      <c r="A14" s="22" t="s">
        <v>2941</v>
      </c>
      <c r="B14" s="22" t="s">
        <v>2863</v>
      </c>
      <c r="C14" s="22">
        <v>53952.63</v>
      </c>
      <c r="D14" s="22">
        <v>2.74</v>
      </c>
      <c r="E14" s="22">
        <v>3.28</v>
      </c>
      <c r="F14" s="22">
        <v>2.5099999999999998</v>
      </c>
      <c r="G14" s="22">
        <v>2.67</v>
      </c>
      <c r="H14" s="22">
        <v>2.37</v>
      </c>
      <c r="I14" s="22">
        <v>2.0499999999999998</v>
      </c>
      <c r="J14" s="22">
        <v>3.04</v>
      </c>
      <c r="K14" s="22">
        <v>2.61</v>
      </c>
      <c r="M14" s="22" t="s">
        <v>2908</v>
      </c>
      <c r="N14" s="22" t="s">
        <v>2913</v>
      </c>
      <c r="O14" s="22" t="s">
        <v>2908</v>
      </c>
      <c r="P14" s="22" t="s">
        <v>2908</v>
      </c>
      <c r="Q14" s="22" t="s">
        <v>2908</v>
      </c>
      <c r="R14" s="22" t="s">
        <v>2908</v>
      </c>
      <c r="S14" s="22" t="s">
        <v>2908</v>
      </c>
      <c r="T14" s="22" t="s">
        <v>2908</v>
      </c>
      <c r="U14" s="22" t="s">
        <v>2908</v>
      </c>
      <c r="V14" s="22" t="s">
        <v>2908</v>
      </c>
      <c r="W14" s="22" t="s">
        <v>2908</v>
      </c>
      <c r="X14" t="e">
        <f t="shared" si="0"/>
        <v>#VALUE!</v>
      </c>
      <c r="Y14" t="e">
        <f t="shared" si="1"/>
        <v>#VALUE!</v>
      </c>
      <c r="Z14" t="e">
        <f t="shared" si="2"/>
        <v>#VALUE!</v>
      </c>
      <c r="AA14" t="e">
        <f t="shared" si="3"/>
        <v>#VALUE!</v>
      </c>
      <c r="AB14" t="e">
        <f t="shared" si="4"/>
        <v>#VALUE!</v>
      </c>
      <c r="AC14" t="e">
        <f t="shared" si="5"/>
        <v>#VALUE!</v>
      </c>
      <c r="AD14" t="e">
        <f t="shared" si="6"/>
        <v>#VALUE!</v>
      </c>
      <c r="AE14" t="e">
        <f t="shared" si="7"/>
        <v>#VALUE!</v>
      </c>
    </row>
    <row r="15" spans="1:31" ht="14.4" thickBot="1" x14ac:dyDescent="0.3">
      <c r="A15" s="22" t="s">
        <v>2941</v>
      </c>
      <c r="B15" s="22" t="s">
        <v>2872</v>
      </c>
      <c r="C15" s="22">
        <v>179190</v>
      </c>
      <c r="D15" s="22">
        <v>2.4500000000000002</v>
      </c>
      <c r="E15" s="22">
        <v>3.19</v>
      </c>
      <c r="F15" s="22">
        <v>2.27</v>
      </c>
      <c r="G15" s="22">
        <v>2.31</v>
      </c>
      <c r="H15" s="22">
        <v>2.15</v>
      </c>
      <c r="I15" s="22">
        <v>1.72</v>
      </c>
      <c r="J15" s="22">
        <v>2.2999999999999998</v>
      </c>
      <c r="K15" s="22">
        <v>2.16</v>
      </c>
      <c r="M15" s="22" t="s">
        <v>2908</v>
      </c>
      <c r="N15" s="22" t="s">
        <v>2173</v>
      </c>
      <c r="O15" s="22" t="s">
        <v>2908</v>
      </c>
      <c r="P15" s="22" t="s">
        <v>2908</v>
      </c>
      <c r="Q15" s="22" t="s">
        <v>2908</v>
      </c>
      <c r="R15" s="22" t="s">
        <v>2908</v>
      </c>
      <c r="S15" s="22" t="s">
        <v>2908</v>
      </c>
      <c r="T15" s="22" t="s">
        <v>2908</v>
      </c>
      <c r="U15" s="22" t="s">
        <v>2908</v>
      </c>
      <c r="V15" s="22" t="s">
        <v>2908</v>
      </c>
      <c r="W15" s="22" t="s">
        <v>2908</v>
      </c>
      <c r="X15" t="e">
        <f t="shared" si="0"/>
        <v>#VALUE!</v>
      </c>
      <c r="Y15" t="e">
        <f t="shared" si="1"/>
        <v>#VALUE!</v>
      </c>
      <c r="Z15" t="e">
        <f t="shared" si="2"/>
        <v>#VALUE!</v>
      </c>
      <c r="AA15" t="e">
        <f t="shared" si="3"/>
        <v>#VALUE!</v>
      </c>
      <c r="AB15" t="e">
        <f t="shared" si="4"/>
        <v>#VALUE!</v>
      </c>
      <c r="AC15" t="e">
        <f t="shared" si="5"/>
        <v>#VALUE!</v>
      </c>
      <c r="AD15" t="e">
        <f t="shared" si="6"/>
        <v>#VALUE!</v>
      </c>
      <c r="AE15" t="e">
        <f t="shared" si="7"/>
        <v>#VALUE!</v>
      </c>
    </row>
    <row r="16" spans="1:31" ht="28.2" thickBot="1" x14ac:dyDescent="0.3">
      <c r="A16" s="22" t="s">
        <v>2941</v>
      </c>
      <c r="B16" s="22" t="s">
        <v>2877</v>
      </c>
      <c r="C16" s="22">
        <v>28922.73</v>
      </c>
      <c r="D16" s="22">
        <v>0.06</v>
      </c>
      <c r="E16" s="22">
        <v>0.13</v>
      </c>
      <c r="F16" s="22">
        <v>0.05</v>
      </c>
      <c r="G16" s="22">
        <v>7.0000000000000007E-2</v>
      </c>
      <c r="H16" s="22">
        <v>0.03</v>
      </c>
      <c r="I16" s="22">
        <v>0.1</v>
      </c>
      <c r="J16" s="22">
        <v>0.17</v>
      </c>
      <c r="K16" s="22">
        <v>0.1</v>
      </c>
      <c r="M16" s="22" t="s">
        <v>2908</v>
      </c>
      <c r="N16" s="22" t="s">
        <v>2914</v>
      </c>
      <c r="O16" s="22" t="s">
        <v>2908</v>
      </c>
      <c r="P16" s="22" t="s">
        <v>2908</v>
      </c>
      <c r="Q16" s="22" t="s">
        <v>2908</v>
      </c>
      <c r="R16" s="22" t="s">
        <v>2908</v>
      </c>
      <c r="S16" s="22" t="s">
        <v>2908</v>
      </c>
      <c r="T16" s="22" t="s">
        <v>2908</v>
      </c>
      <c r="U16" s="22" t="s">
        <v>2908</v>
      </c>
      <c r="V16" s="22" t="s">
        <v>2908</v>
      </c>
      <c r="W16" s="22" t="s">
        <v>2908</v>
      </c>
      <c r="X16" t="e">
        <f t="shared" si="0"/>
        <v>#VALUE!</v>
      </c>
      <c r="Y16" t="e">
        <f t="shared" si="1"/>
        <v>#VALUE!</v>
      </c>
      <c r="Z16" t="e">
        <f t="shared" si="2"/>
        <v>#VALUE!</v>
      </c>
      <c r="AA16" t="e">
        <f t="shared" si="3"/>
        <v>#VALUE!</v>
      </c>
      <c r="AB16" t="e">
        <f t="shared" si="4"/>
        <v>#VALUE!</v>
      </c>
      <c r="AC16" t="e">
        <f t="shared" si="5"/>
        <v>#VALUE!</v>
      </c>
      <c r="AD16" t="e">
        <f t="shared" si="6"/>
        <v>#VALUE!</v>
      </c>
      <c r="AE16" t="e">
        <f t="shared" si="7"/>
        <v>#VALUE!</v>
      </c>
    </row>
    <row r="17" spans="1:31" ht="28.2" thickBot="1" x14ac:dyDescent="0.3">
      <c r="A17" s="22" t="s">
        <v>2944</v>
      </c>
      <c r="B17" s="22" t="s">
        <v>2892</v>
      </c>
      <c r="C17" s="22">
        <v>126</v>
      </c>
      <c r="D17" s="22">
        <v>34.96</v>
      </c>
      <c r="E17" s="22">
        <v>61.23</v>
      </c>
      <c r="F17" s="22">
        <v>54.89</v>
      </c>
      <c r="G17" s="22">
        <v>52.44</v>
      </c>
      <c r="H17" s="22">
        <v>59.23</v>
      </c>
      <c r="I17" s="22">
        <v>31.19</v>
      </c>
      <c r="J17" s="22">
        <v>38.03</v>
      </c>
      <c r="K17" s="22">
        <v>42.71</v>
      </c>
      <c r="M17" s="22" t="s">
        <v>2908</v>
      </c>
      <c r="N17" s="22" t="s">
        <v>2029</v>
      </c>
      <c r="O17" s="22" t="s">
        <v>2908</v>
      </c>
      <c r="P17" s="22" t="s">
        <v>2908</v>
      </c>
      <c r="Q17" s="22" t="s">
        <v>2908</v>
      </c>
      <c r="R17" s="22" t="s">
        <v>2908</v>
      </c>
      <c r="S17" s="22" t="s">
        <v>2908</v>
      </c>
      <c r="T17" s="22" t="s">
        <v>2908</v>
      </c>
      <c r="U17" s="22" t="s">
        <v>2908</v>
      </c>
      <c r="V17" s="22" t="s">
        <v>2908</v>
      </c>
      <c r="W17" s="22" t="s">
        <v>2908</v>
      </c>
      <c r="X17" t="e">
        <f t="shared" si="0"/>
        <v>#VALUE!</v>
      </c>
      <c r="Y17" t="e">
        <f t="shared" si="1"/>
        <v>#VALUE!</v>
      </c>
      <c r="Z17" t="e">
        <f t="shared" si="2"/>
        <v>#VALUE!</v>
      </c>
      <c r="AA17" t="e">
        <f t="shared" si="3"/>
        <v>#VALUE!</v>
      </c>
      <c r="AB17" t="e">
        <f t="shared" si="4"/>
        <v>#VALUE!</v>
      </c>
      <c r="AC17" t="e">
        <f t="shared" si="5"/>
        <v>#VALUE!</v>
      </c>
      <c r="AD17" t="e">
        <f t="shared" si="6"/>
        <v>#VALUE!</v>
      </c>
      <c r="AE17" t="e">
        <f t="shared" si="7"/>
        <v>#VALUE!</v>
      </c>
    </row>
    <row r="18" spans="1:31" ht="28.2" thickBot="1" x14ac:dyDescent="0.3">
      <c r="A18" s="22" t="s">
        <v>2944</v>
      </c>
      <c r="B18" s="22" t="s">
        <v>2020</v>
      </c>
      <c r="C18" s="22">
        <v>964.64</v>
      </c>
      <c r="D18" s="22">
        <v>31.23</v>
      </c>
      <c r="E18" s="22">
        <v>56.16</v>
      </c>
      <c r="F18" s="22">
        <v>36.86</v>
      </c>
      <c r="G18" s="22">
        <v>39.39</v>
      </c>
      <c r="H18" s="22">
        <v>39.840000000000003</v>
      </c>
      <c r="I18" s="22">
        <v>43.79</v>
      </c>
      <c r="J18" s="22">
        <v>52.89</v>
      </c>
      <c r="K18" s="22">
        <v>42.84</v>
      </c>
      <c r="M18" s="22" t="s">
        <v>2940</v>
      </c>
      <c r="N18" s="22" t="s">
        <v>2028</v>
      </c>
      <c r="O18" s="22">
        <v>406.83</v>
      </c>
      <c r="P18" s="22">
        <v>3.16</v>
      </c>
      <c r="Q18" s="22">
        <v>5.63</v>
      </c>
      <c r="R18" s="22">
        <v>2.83</v>
      </c>
      <c r="S18" s="22">
        <v>1.92</v>
      </c>
      <c r="T18" s="22">
        <v>0</v>
      </c>
      <c r="U18" s="22">
        <v>3.39</v>
      </c>
      <c r="V18" s="22">
        <v>3.66</v>
      </c>
      <c r="W18" s="22">
        <v>3.06</v>
      </c>
      <c r="X18">
        <f t="shared" si="0"/>
        <v>1285.5827999999999</v>
      </c>
      <c r="Y18">
        <f t="shared" si="1"/>
        <v>2290.4528999999998</v>
      </c>
      <c r="Z18">
        <f t="shared" si="2"/>
        <v>1151.3289</v>
      </c>
      <c r="AA18">
        <f t="shared" si="3"/>
        <v>781.11359999999991</v>
      </c>
      <c r="AB18">
        <f t="shared" si="4"/>
        <v>0</v>
      </c>
      <c r="AC18">
        <f t="shared" si="5"/>
        <v>1379.1537000000001</v>
      </c>
      <c r="AD18">
        <f t="shared" si="6"/>
        <v>1488.9978000000001</v>
      </c>
      <c r="AE18">
        <f t="shared" si="7"/>
        <v>1244.8997999999999</v>
      </c>
    </row>
    <row r="19" spans="1:31" ht="28.2" thickBot="1" x14ac:dyDescent="0.3">
      <c r="A19" s="22" t="s">
        <v>2944</v>
      </c>
      <c r="B19" s="22" t="s">
        <v>2024</v>
      </c>
      <c r="C19" s="22">
        <v>2517.16</v>
      </c>
      <c r="D19" s="22">
        <v>20.079999999999998</v>
      </c>
      <c r="E19" s="22">
        <v>35.58</v>
      </c>
      <c r="F19" s="22">
        <v>20.48</v>
      </c>
      <c r="G19" s="22">
        <v>22.17</v>
      </c>
      <c r="H19" s="22">
        <v>17.02</v>
      </c>
      <c r="I19" s="22">
        <v>26.28</v>
      </c>
      <c r="J19" s="22">
        <v>39.24</v>
      </c>
      <c r="K19" s="22">
        <v>27.31</v>
      </c>
      <c r="M19" s="22" t="s">
        <v>2940</v>
      </c>
      <c r="N19" s="22" t="s">
        <v>2915</v>
      </c>
      <c r="O19" s="22">
        <v>93.93</v>
      </c>
      <c r="P19" s="22">
        <v>53.36</v>
      </c>
      <c r="Q19" s="22">
        <v>96.82</v>
      </c>
      <c r="R19" s="22">
        <v>55.42</v>
      </c>
      <c r="S19" s="22">
        <v>58.63</v>
      </c>
      <c r="T19" s="22">
        <v>42.22</v>
      </c>
      <c r="U19" s="22">
        <v>20.89</v>
      </c>
      <c r="V19" s="22">
        <v>61.12</v>
      </c>
      <c r="W19" s="22">
        <v>66</v>
      </c>
      <c r="X19">
        <f t="shared" si="0"/>
        <v>5012.1048000000001</v>
      </c>
      <c r="Y19">
        <f t="shared" si="1"/>
        <v>9094.3026000000009</v>
      </c>
      <c r="Z19">
        <f t="shared" si="2"/>
        <v>5205.6006000000007</v>
      </c>
      <c r="AA19">
        <f t="shared" si="3"/>
        <v>5507.1159000000007</v>
      </c>
      <c r="AB19">
        <f t="shared" si="4"/>
        <v>3965.7246</v>
      </c>
      <c r="AC19">
        <f t="shared" si="5"/>
        <v>1962.1977000000002</v>
      </c>
      <c r="AD19">
        <f t="shared" si="6"/>
        <v>5741.0016000000005</v>
      </c>
      <c r="AE19">
        <f t="shared" si="7"/>
        <v>6199.38</v>
      </c>
    </row>
    <row r="20" spans="1:31" ht="28.2" thickBot="1" x14ac:dyDescent="0.3">
      <c r="A20" s="22" t="s">
        <v>2944</v>
      </c>
      <c r="B20" s="22" t="s">
        <v>2021</v>
      </c>
      <c r="C20" s="22">
        <v>389.11</v>
      </c>
      <c r="D20" s="22">
        <v>9.67</v>
      </c>
      <c r="E20" s="22">
        <v>17.71</v>
      </c>
      <c r="F20" s="22">
        <v>7.85</v>
      </c>
      <c r="G20" s="22">
        <v>9.26</v>
      </c>
      <c r="H20" s="22">
        <v>7.42</v>
      </c>
      <c r="I20" s="22">
        <v>9.1199999999999992</v>
      </c>
      <c r="J20" s="22">
        <v>12.56</v>
      </c>
      <c r="K20" s="22">
        <v>9.4499999999999993</v>
      </c>
      <c r="M20" s="22" t="s">
        <v>2908</v>
      </c>
      <c r="N20" s="22" t="s">
        <v>2318</v>
      </c>
      <c r="O20" s="22" t="s">
        <v>2908</v>
      </c>
      <c r="P20" s="22" t="s">
        <v>2908</v>
      </c>
      <c r="Q20" s="22" t="s">
        <v>2908</v>
      </c>
      <c r="R20" s="22" t="s">
        <v>2908</v>
      </c>
      <c r="S20" s="22" t="s">
        <v>2908</v>
      </c>
      <c r="T20" s="22" t="s">
        <v>2908</v>
      </c>
      <c r="U20" s="22" t="s">
        <v>2908</v>
      </c>
      <c r="V20" s="22" t="s">
        <v>2908</v>
      </c>
      <c r="W20" s="22" t="s">
        <v>2908</v>
      </c>
      <c r="X20" t="e">
        <f t="shared" si="0"/>
        <v>#VALUE!</v>
      </c>
      <c r="Y20" t="e">
        <f t="shared" si="1"/>
        <v>#VALUE!</v>
      </c>
      <c r="Z20" t="e">
        <f t="shared" si="2"/>
        <v>#VALUE!</v>
      </c>
      <c r="AA20" t="e">
        <f t="shared" si="3"/>
        <v>#VALUE!</v>
      </c>
      <c r="AB20" t="e">
        <f t="shared" si="4"/>
        <v>#VALUE!</v>
      </c>
      <c r="AC20" t="e">
        <f t="shared" si="5"/>
        <v>#VALUE!</v>
      </c>
      <c r="AD20" t="e">
        <f t="shared" si="6"/>
        <v>#VALUE!</v>
      </c>
      <c r="AE20" t="e">
        <f t="shared" si="7"/>
        <v>#VALUE!</v>
      </c>
    </row>
    <row r="21" spans="1:31" ht="28.2" thickBot="1" x14ac:dyDescent="0.3">
      <c r="A21" s="22" t="s">
        <v>2944</v>
      </c>
      <c r="B21" s="22" t="s">
        <v>2026</v>
      </c>
      <c r="C21" s="22">
        <v>1045.47</v>
      </c>
      <c r="D21" s="22">
        <v>4.1399999999999997</v>
      </c>
      <c r="E21" s="22">
        <v>6.4</v>
      </c>
      <c r="F21" s="22">
        <v>3.82</v>
      </c>
      <c r="G21" s="22">
        <v>4.2</v>
      </c>
      <c r="H21" s="22">
        <v>3.53</v>
      </c>
      <c r="I21" s="22">
        <v>7.19</v>
      </c>
      <c r="J21" s="22">
        <v>6.43</v>
      </c>
      <c r="K21" s="22">
        <v>6.14</v>
      </c>
      <c r="M21" s="22" t="s">
        <v>2908</v>
      </c>
      <c r="N21" s="22" t="s">
        <v>2362</v>
      </c>
      <c r="O21" s="22" t="s">
        <v>2908</v>
      </c>
      <c r="P21" s="22" t="s">
        <v>2908</v>
      </c>
      <c r="Q21" s="22" t="s">
        <v>2908</v>
      </c>
      <c r="R21" s="22" t="s">
        <v>2908</v>
      </c>
      <c r="S21" s="22" t="s">
        <v>2908</v>
      </c>
      <c r="T21" s="22" t="s">
        <v>2908</v>
      </c>
      <c r="U21" s="22" t="s">
        <v>2908</v>
      </c>
      <c r="V21" s="22" t="s">
        <v>2908</v>
      </c>
      <c r="W21" s="22" t="s">
        <v>2908</v>
      </c>
      <c r="X21" t="e">
        <f t="shared" si="0"/>
        <v>#VALUE!</v>
      </c>
      <c r="Y21" t="e">
        <f t="shared" si="1"/>
        <v>#VALUE!</v>
      </c>
      <c r="Z21" t="e">
        <f t="shared" si="2"/>
        <v>#VALUE!</v>
      </c>
      <c r="AA21" t="e">
        <f t="shared" si="3"/>
        <v>#VALUE!</v>
      </c>
      <c r="AB21" t="e">
        <f t="shared" si="4"/>
        <v>#VALUE!</v>
      </c>
      <c r="AC21" t="e">
        <f t="shared" si="5"/>
        <v>#VALUE!</v>
      </c>
      <c r="AD21" t="e">
        <f t="shared" si="6"/>
        <v>#VALUE!</v>
      </c>
      <c r="AE21" t="e">
        <f t="shared" si="7"/>
        <v>#VALUE!</v>
      </c>
    </row>
    <row r="22" spans="1:31" ht="28.2" thickBot="1" x14ac:dyDescent="0.3">
      <c r="A22" s="22" t="s">
        <v>2944</v>
      </c>
      <c r="B22" s="22" t="s">
        <v>2177</v>
      </c>
      <c r="C22" s="22">
        <v>160000</v>
      </c>
      <c r="D22" s="22">
        <v>2.5299999999999998</v>
      </c>
      <c r="E22" s="22">
        <v>4.7</v>
      </c>
      <c r="F22" s="22">
        <v>2.54</v>
      </c>
      <c r="G22" s="22">
        <v>2.25</v>
      </c>
      <c r="H22" s="22">
        <v>1.43</v>
      </c>
      <c r="I22" s="22">
        <v>1.61</v>
      </c>
      <c r="J22" s="22">
        <v>2.13</v>
      </c>
      <c r="K22" s="22">
        <v>1.91</v>
      </c>
      <c r="M22" s="22" t="s">
        <v>2941</v>
      </c>
      <c r="N22" s="22" t="s">
        <v>2942</v>
      </c>
      <c r="O22" s="22">
        <v>2733.35</v>
      </c>
      <c r="P22" s="22">
        <v>4.59</v>
      </c>
      <c r="Q22" s="22">
        <v>9.23</v>
      </c>
      <c r="R22" s="22">
        <v>4.2300000000000004</v>
      </c>
      <c r="S22" s="22">
        <v>3.86</v>
      </c>
      <c r="T22" s="22">
        <v>3.36</v>
      </c>
      <c r="U22" s="22">
        <v>5.25</v>
      </c>
      <c r="V22" s="22">
        <v>5.4</v>
      </c>
      <c r="W22" s="22">
        <v>5.85</v>
      </c>
      <c r="X22">
        <f t="shared" si="0"/>
        <v>12546.076499999999</v>
      </c>
      <c r="Y22">
        <f t="shared" si="1"/>
        <v>25228.820500000002</v>
      </c>
      <c r="Z22">
        <f t="shared" si="2"/>
        <v>11562.070500000002</v>
      </c>
      <c r="AA22">
        <f t="shared" si="3"/>
        <v>10550.731</v>
      </c>
      <c r="AB22">
        <f t="shared" si="4"/>
        <v>9184.0559999999987</v>
      </c>
      <c r="AC22">
        <f t="shared" si="5"/>
        <v>14350.0875</v>
      </c>
      <c r="AD22">
        <f t="shared" si="6"/>
        <v>14760.09</v>
      </c>
      <c r="AE22">
        <f t="shared" si="7"/>
        <v>15990.097499999998</v>
      </c>
    </row>
    <row r="23" spans="1:31" ht="14.4" thickBot="1" x14ac:dyDescent="0.3">
      <c r="A23" s="22" t="s">
        <v>2944</v>
      </c>
      <c r="B23" s="22" t="s">
        <v>2946</v>
      </c>
      <c r="C23" s="22">
        <v>13736.77</v>
      </c>
      <c r="D23" s="22">
        <v>2.5</v>
      </c>
      <c r="E23" s="22">
        <v>3.53</v>
      </c>
      <c r="F23" s="22">
        <v>2.58</v>
      </c>
      <c r="G23" s="22">
        <v>1.1000000000000001</v>
      </c>
      <c r="H23" s="22">
        <v>2.11</v>
      </c>
      <c r="I23" s="22">
        <v>2.36</v>
      </c>
      <c r="J23" s="22">
        <v>0.83</v>
      </c>
      <c r="K23" s="22">
        <v>2.0099999999999998</v>
      </c>
      <c r="M23" s="22" t="s">
        <v>2908</v>
      </c>
      <c r="N23" s="22" t="s">
        <v>2916</v>
      </c>
      <c r="O23" s="22" t="s">
        <v>2908</v>
      </c>
      <c r="P23" s="22" t="s">
        <v>2908</v>
      </c>
      <c r="Q23" s="22" t="s">
        <v>2908</v>
      </c>
      <c r="R23" s="22" t="s">
        <v>2908</v>
      </c>
      <c r="S23" s="22" t="s">
        <v>2908</v>
      </c>
      <c r="T23" s="22" t="s">
        <v>2908</v>
      </c>
      <c r="U23" s="22" t="s">
        <v>2908</v>
      </c>
      <c r="V23" s="22" t="s">
        <v>2908</v>
      </c>
      <c r="W23" s="22" t="s">
        <v>2908</v>
      </c>
      <c r="X23" t="e">
        <f t="shared" si="0"/>
        <v>#VALUE!</v>
      </c>
      <c r="Y23" t="e">
        <f t="shared" si="1"/>
        <v>#VALUE!</v>
      </c>
      <c r="Z23" t="e">
        <f t="shared" si="2"/>
        <v>#VALUE!</v>
      </c>
      <c r="AA23" t="e">
        <f t="shared" si="3"/>
        <v>#VALUE!</v>
      </c>
      <c r="AB23" t="e">
        <f t="shared" si="4"/>
        <v>#VALUE!</v>
      </c>
      <c r="AC23" t="e">
        <f t="shared" si="5"/>
        <v>#VALUE!</v>
      </c>
      <c r="AD23" t="e">
        <f t="shared" si="6"/>
        <v>#VALUE!</v>
      </c>
      <c r="AE23" t="e">
        <f t="shared" si="7"/>
        <v>#VALUE!</v>
      </c>
    </row>
    <row r="24" spans="1:31" ht="42" thickBot="1" x14ac:dyDescent="0.3">
      <c r="A24" s="22" t="s">
        <v>2944</v>
      </c>
      <c r="B24" s="22" t="s">
        <v>2174</v>
      </c>
      <c r="C24" s="22">
        <v>2701.23</v>
      </c>
      <c r="D24" s="22">
        <v>1.34</v>
      </c>
      <c r="E24" s="22">
        <v>1.7</v>
      </c>
      <c r="F24" s="22">
        <v>1.41</v>
      </c>
      <c r="G24" s="22">
        <v>1.23</v>
      </c>
      <c r="H24" s="22">
        <v>1.21</v>
      </c>
      <c r="I24" s="22">
        <v>1.25</v>
      </c>
      <c r="J24" s="22">
        <v>1.18</v>
      </c>
      <c r="K24" s="22">
        <v>1.05</v>
      </c>
      <c r="M24" s="22" t="s">
        <v>2941</v>
      </c>
      <c r="N24" s="22" t="s">
        <v>2917</v>
      </c>
      <c r="O24" s="22">
        <v>179190</v>
      </c>
      <c r="P24" s="22">
        <v>2.4500000000000002</v>
      </c>
      <c r="Q24" s="22">
        <v>3.19</v>
      </c>
      <c r="R24" s="22">
        <v>2.27</v>
      </c>
      <c r="S24" s="22">
        <v>2.31</v>
      </c>
      <c r="T24" s="22">
        <v>2.15</v>
      </c>
      <c r="U24" s="22">
        <v>1.72</v>
      </c>
      <c r="V24" s="22">
        <v>2.2999999999999998</v>
      </c>
      <c r="W24" s="22">
        <v>2.16</v>
      </c>
      <c r="X24">
        <f t="shared" si="0"/>
        <v>439015.50000000006</v>
      </c>
      <c r="Y24">
        <f t="shared" si="1"/>
        <v>571616.1</v>
      </c>
      <c r="Z24">
        <f t="shared" si="2"/>
        <v>406761.3</v>
      </c>
      <c r="AA24">
        <f t="shared" si="3"/>
        <v>413928.9</v>
      </c>
      <c r="AB24">
        <f t="shared" si="4"/>
        <v>385258.5</v>
      </c>
      <c r="AC24">
        <f t="shared" si="5"/>
        <v>308206.8</v>
      </c>
      <c r="AD24">
        <f t="shared" si="6"/>
        <v>412136.99999999994</v>
      </c>
      <c r="AE24">
        <f t="shared" si="7"/>
        <v>387050.4</v>
      </c>
    </row>
    <row r="25" spans="1:31" ht="28.2" thickBot="1" x14ac:dyDescent="0.3">
      <c r="A25" s="22" t="s">
        <v>2944</v>
      </c>
      <c r="B25" s="22" t="s">
        <v>2185</v>
      </c>
      <c r="C25" s="22">
        <v>18100</v>
      </c>
      <c r="D25" s="22">
        <v>0.42</v>
      </c>
      <c r="E25" s="22">
        <v>1.25</v>
      </c>
      <c r="F25" s="22">
        <v>0.9</v>
      </c>
      <c r="G25" s="22">
        <v>0.51</v>
      </c>
      <c r="H25" s="22">
        <v>0.22</v>
      </c>
      <c r="I25" s="22">
        <v>7.0000000000000007E-2</v>
      </c>
      <c r="J25" s="22">
        <v>0.62</v>
      </c>
      <c r="K25" s="22">
        <v>0.17</v>
      </c>
      <c r="M25" s="22" t="s">
        <v>2908</v>
      </c>
      <c r="N25" s="22" t="s">
        <v>2918</v>
      </c>
      <c r="O25" s="22" t="s">
        <v>2908</v>
      </c>
      <c r="P25" s="22" t="s">
        <v>2908</v>
      </c>
      <c r="Q25" s="22" t="s">
        <v>2908</v>
      </c>
      <c r="R25" s="22" t="s">
        <v>2908</v>
      </c>
      <c r="S25" s="22" t="s">
        <v>2908</v>
      </c>
      <c r="T25" s="22" t="s">
        <v>2908</v>
      </c>
      <c r="U25" s="22" t="s">
        <v>2908</v>
      </c>
      <c r="V25" s="22" t="s">
        <v>2908</v>
      </c>
      <c r="W25" s="22" t="s">
        <v>2908</v>
      </c>
      <c r="X25" t="e">
        <f t="shared" si="0"/>
        <v>#VALUE!</v>
      </c>
      <c r="Y25" t="e">
        <f t="shared" si="1"/>
        <v>#VALUE!</v>
      </c>
      <c r="Z25" t="e">
        <f t="shared" si="2"/>
        <v>#VALUE!</v>
      </c>
      <c r="AA25" t="e">
        <f t="shared" si="3"/>
        <v>#VALUE!</v>
      </c>
      <c r="AB25" t="e">
        <f t="shared" si="4"/>
        <v>#VALUE!</v>
      </c>
      <c r="AC25" t="e">
        <f t="shared" si="5"/>
        <v>#VALUE!</v>
      </c>
      <c r="AD25" t="e">
        <f t="shared" si="6"/>
        <v>#VALUE!</v>
      </c>
      <c r="AE25" t="e">
        <f t="shared" si="7"/>
        <v>#VALUE!</v>
      </c>
    </row>
    <row r="26" spans="1:31" ht="14.4" thickBot="1" x14ac:dyDescent="0.3">
      <c r="A26" s="22" t="s">
        <v>2945</v>
      </c>
      <c r="B26" s="22" t="s">
        <v>2947</v>
      </c>
      <c r="C26" s="22">
        <v>69</v>
      </c>
      <c r="D26" s="22">
        <v>4317.5</v>
      </c>
      <c r="E26" s="22">
        <v>2234.41</v>
      </c>
      <c r="F26" s="22">
        <v>4086.88</v>
      </c>
      <c r="G26" s="22">
        <v>3685.81</v>
      </c>
      <c r="H26" s="22">
        <v>5370.18</v>
      </c>
      <c r="I26" s="22">
        <v>2589.71</v>
      </c>
      <c r="J26" s="22">
        <v>776.89</v>
      </c>
      <c r="K26" s="22">
        <v>2807.43</v>
      </c>
      <c r="M26" s="22" t="s">
        <v>2908</v>
      </c>
      <c r="N26" s="22" t="s">
        <v>2179</v>
      </c>
      <c r="O26" s="22" t="s">
        <v>2908</v>
      </c>
      <c r="P26" s="22" t="s">
        <v>2908</v>
      </c>
      <c r="Q26" s="22" t="s">
        <v>2908</v>
      </c>
      <c r="R26" s="22" t="s">
        <v>2908</v>
      </c>
      <c r="S26" s="22" t="s">
        <v>2908</v>
      </c>
      <c r="T26" s="22" t="s">
        <v>2908</v>
      </c>
      <c r="U26" s="22" t="s">
        <v>2908</v>
      </c>
      <c r="V26" s="22" t="s">
        <v>2908</v>
      </c>
      <c r="W26" s="22" t="s">
        <v>2908</v>
      </c>
      <c r="X26" t="e">
        <f t="shared" si="0"/>
        <v>#VALUE!</v>
      </c>
      <c r="Y26" t="e">
        <f t="shared" si="1"/>
        <v>#VALUE!</v>
      </c>
      <c r="Z26" t="e">
        <f t="shared" si="2"/>
        <v>#VALUE!</v>
      </c>
      <c r="AA26" t="e">
        <f t="shared" si="3"/>
        <v>#VALUE!</v>
      </c>
      <c r="AB26" t="e">
        <f t="shared" si="4"/>
        <v>#VALUE!</v>
      </c>
      <c r="AC26" t="e">
        <f t="shared" si="5"/>
        <v>#VALUE!</v>
      </c>
      <c r="AD26" t="e">
        <f t="shared" si="6"/>
        <v>#VALUE!</v>
      </c>
      <c r="AE26" t="e">
        <f t="shared" si="7"/>
        <v>#VALUE!</v>
      </c>
    </row>
    <row r="27" spans="1:31" ht="28.2" thickBot="1" x14ac:dyDescent="0.3">
      <c r="A27" s="22" t="s">
        <v>2945</v>
      </c>
      <c r="B27" s="22" t="s">
        <v>2320</v>
      </c>
      <c r="C27" s="22">
        <v>500</v>
      </c>
      <c r="D27" s="22">
        <v>434.65</v>
      </c>
      <c r="E27" s="22">
        <v>177.78</v>
      </c>
      <c r="F27" s="22">
        <v>440.61</v>
      </c>
      <c r="G27" s="22">
        <v>466.61</v>
      </c>
      <c r="H27" s="22">
        <v>407.01</v>
      </c>
      <c r="I27" s="22">
        <v>801.05</v>
      </c>
      <c r="J27" s="22">
        <v>375.04</v>
      </c>
      <c r="K27" s="22">
        <v>436.01</v>
      </c>
      <c r="M27" s="22" t="s">
        <v>2941</v>
      </c>
      <c r="N27" s="22" t="s">
        <v>2943</v>
      </c>
      <c r="O27" s="22">
        <v>53952.63</v>
      </c>
      <c r="P27" s="22">
        <v>2.74</v>
      </c>
      <c r="Q27" s="22">
        <v>3.28</v>
      </c>
      <c r="R27" s="22">
        <v>2.5099999999999998</v>
      </c>
      <c r="S27" s="22">
        <v>2.67</v>
      </c>
      <c r="T27" s="22">
        <v>2.37</v>
      </c>
      <c r="U27" s="22">
        <v>2.0499999999999998</v>
      </c>
      <c r="V27" s="22">
        <v>3.04</v>
      </c>
      <c r="W27" s="22">
        <v>2.61</v>
      </c>
      <c r="X27">
        <f t="shared" si="0"/>
        <v>147830.20620000002</v>
      </c>
      <c r="Y27">
        <f t="shared" si="1"/>
        <v>176964.62639999998</v>
      </c>
      <c r="Z27">
        <f t="shared" si="2"/>
        <v>135421.10129999998</v>
      </c>
      <c r="AA27">
        <f t="shared" si="3"/>
        <v>144053.5221</v>
      </c>
      <c r="AB27">
        <f t="shared" si="4"/>
        <v>127867.7331</v>
      </c>
      <c r="AC27">
        <f t="shared" si="5"/>
        <v>110602.89149999998</v>
      </c>
      <c r="AD27">
        <f t="shared" si="6"/>
        <v>164015.9952</v>
      </c>
      <c r="AE27">
        <f t="shared" si="7"/>
        <v>140816.36429999999</v>
      </c>
    </row>
    <row r="28" spans="1:31" ht="14.4" thickBot="1" x14ac:dyDescent="0.3">
      <c r="A28" s="22" t="s">
        <v>2945</v>
      </c>
      <c r="B28" s="22" t="s">
        <v>2948</v>
      </c>
      <c r="C28" s="22">
        <v>4203.1000000000004</v>
      </c>
      <c r="D28" s="22">
        <v>1.4</v>
      </c>
      <c r="E28" s="22">
        <v>1.62</v>
      </c>
      <c r="F28" s="22">
        <v>0.79</v>
      </c>
      <c r="G28" s="22">
        <v>1.63</v>
      </c>
      <c r="H28" s="22">
        <v>1.5</v>
      </c>
      <c r="I28" s="22">
        <v>2.96</v>
      </c>
      <c r="J28" s="22">
        <v>2.14</v>
      </c>
      <c r="K28" s="22">
        <v>2.4300000000000002</v>
      </c>
      <c r="M28" s="22" t="s">
        <v>2941</v>
      </c>
      <c r="N28" s="22" t="s">
        <v>2359</v>
      </c>
      <c r="O28" s="22">
        <v>28300</v>
      </c>
      <c r="P28" s="22">
        <v>5.99</v>
      </c>
      <c r="Q28" s="22">
        <v>9.56</v>
      </c>
      <c r="R28" s="22">
        <v>5.72</v>
      </c>
      <c r="S28" s="22">
        <v>5.49</v>
      </c>
      <c r="T28" s="22">
        <v>5.26</v>
      </c>
      <c r="U28" s="22">
        <v>4.96</v>
      </c>
      <c r="V28" s="22">
        <v>6.65</v>
      </c>
      <c r="W28" s="22">
        <v>6.44</v>
      </c>
      <c r="X28">
        <f t="shared" si="0"/>
        <v>169517</v>
      </c>
      <c r="Y28">
        <f t="shared" si="1"/>
        <v>270548</v>
      </c>
      <c r="Z28">
        <f t="shared" si="2"/>
        <v>161876</v>
      </c>
      <c r="AA28">
        <f t="shared" si="3"/>
        <v>155367</v>
      </c>
      <c r="AB28">
        <f t="shared" si="4"/>
        <v>148858</v>
      </c>
      <c r="AC28">
        <f t="shared" si="5"/>
        <v>140368</v>
      </c>
      <c r="AD28">
        <f t="shared" si="6"/>
        <v>188195</v>
      </c>
      <c r="AE28">
        <f t="shared" si="7"/>
        <v>182252</v>
      </c>
    </row>
    <row r="29" spans="1:31" ht="14.4" thickBot="1" x14ac:dyDescent="0.3">
      <c r="A29" s="22" t="s">
        <v>2945</v>
      </c>
      <c r="B29" s="22" t="s">
        <v>2857</v>
      </c>
      <c r="C29" s="22">
        <v>2000</v>
      </c>
      <c r="D29" s="22">
        <v>0.33</v>
      </c>
      <c r="E29" s="22">
        <v>0.43</v>
      </c>
      <c r="F29" s="22">
        <v>0.16</v>
      </c>
      <c r="G29" s="22">
        <v>0</v>
      </c>
      <c r="H29" s="22">
        <v>0</v>
      </c>
      <c r="I29" s="22">
        <v>1.39</v>
      </c>
      <c r="J29" s="22">
        <v>1.01</v>
      </c>
      <c r="K29" s="22">
        <v>0.8</v>
      </c>
      <c r="M29" s="22" t="s">
        <v>2944</v>
      </c>
      <c r="N29" s="22" t="s">
        <v>2024</v>
      </c>
      <c r="O29" s="22">
        <v>2517.16</v>
      </c>
      <c r="P29" s="22">
        <v>20.079999999999998</v>
      </c>
      <c r="Q29" s="22">
        <v>35.58</v>
      </c>
      <c r="R29" s="22">
        <v>20.48</v>
      </c>
      <c r="S29" s="22">
        <v>22.17</v>
      </c>
      <c r="T29" s="22">
        <v>17.02</v>
      </c>
      <c r="U29" s="22">
        <v>26.28</v>
      </c>
      <c r="V29" s="22">
        <v>39.24</v>
      </c>
      <c r="W29" s="22">
        <v>27.31</v>
      </c>
      <c r="X29">
        <f t="shared" si="0"/>
        <v>50544.572799999994</v>
      </c>
      <c r="Y29">
        <f t="shared" si="1"/>
        <v>89560.55279999999</v>
      </c>
      <c r="Z29">
        <f t="shared" si="2"/>
        <v>51551.436799999996</v>
      </c>
      <c r="AA29">
        <f t="shared" si="3"/>
        <v>55805.4372</v>
      </c>
      <c r="AB29">
        <f t="shared" si="4"/>
        <v>42842.063199999997</v>
      </c>
      <c r="AC29">
        <f t="shared" si="5"/>
        <v>66150.964800000002</v>
      </c>
      <c r="AD29">
        <f t="shared" si="6"/>
        <v>98773.358399999997</v>
      </c>
      <c r="AE29">
        <f t="shared" si="7"/>
        <v>68743.639599999995</v>
      </c>
    </row>
    <row r="30" spans="1:31" ht="14.4" thickBot="1" x14ac:dyDescent="0.3">
      <c r="M30" s="22" t="s">
        <v>2944</v>
      </c>
      <c r="N30" s="22" t="s">
        <v>2892</v>
      </c>
      <c r="O30" s="22">
        <v>126</v>
      </c>
      <c r="P30" s="22">
        <v>34.96</v>
      </c>
      <c r="Q30" s="22">
        <v>61.23</v>
      </c>
      <c r="R30" s="22">
        <v>54.89</v>
      </c>
      <c r="S30" s="22">
        <v>52.44</v>
      </c>
      <c r="T30" s="22">
        <v>59.23</v>
      </c>
      <c r="U30" s="22">
        <v>31.19</v>
      </c>
      <c r="V30" s="22">
        <v>38.03</v>
      </c>
      <c r="W30" s="22">
        <v>42.71</v>
      </c>
      <c r="X30">
        <f t="shared" si="0"/>
        <v>4404.96</v>
      </c>
      <c r="Y30">
        <f t="shared" si="1"/>
        <v>7714.98</v>
      </c>
      <c r="Z30">
        <f t="shared" si="2"/>
        <v>6916.14</v>
      </c>
      <c r="AA30">
        <f t="shared" si="3"/>
        <v>6607.44</v>
      </c>
      <c r="AB30">
        <f t="shared" si="4"/>
        <v>7462.98</v>
      </c>
      <c r="AC30">
        <f t="shared" si="5"/>
        <v>3929.94</v>
      </c>
      <c r="AD30">
        <f t="shared" si="6"/>
        <v>4791.78</v>
      </c>
      <c r="AE30">
        <f t="shared" si="7"/>
        <v>5381.46</v>
      </c>
    </row>
    <row r="31" spans="1:31" ht="14.4" thickBot="1" x14ac:dyDescent="0.3">
      <c r="M31" s="22" t="s">
        <v>2944</v>
      </c>
      <c r="N31" s="22" t="s">
        <v>2021</v>
      </c>
      <c r="O31" s="22">
        <v>389.11</v>
      </c>
      <c r="P31" s="22">
        <v>9.67</v>
      </c>
      <c r="Q31" s="22">
        <v>17.71</v>
      </c>
      <c r="R31" s="22">
        <v>7.85</v>
      </c>
      <c r="S31" s="22">
        <v>9.26</v>
      </c>
      <c r="T31" s="22">
        <v>7.42</v>
      </c>
      <c r="U31" s="22">
        <v>9.1199999999999992</v>
      </c>
      <c r="V31" s="22">
        <v>12.56</v>
      </c>
      <c r="W31" s="22">
        <v>9.4499999999999993</v>
      </c>
      <c r="X31">
        <f t="shared" si="0"/>
        <v>3762.6937000000003</v>
      </c>
      <c r="Y31">
        <f t="shared" si="1"/>
        <v>6891.1381000000001</v>
      </c>
      <c r="Z31">
        <f t="shared" si="2"/>
        <v>3054.5135</v>
      </c>
      <c r="AA31">
        <f t="shared" si="3"/>
        <v>3603.1586000000002</v>
      </c>
      <c r="AB31">
        <f t="shared" si="4"/>
        <v>2887.1961999999999</v>
      </c>
      <c r="AC31">
        <f t="shared" si="5"/>
        <v>3548.6831999999999</v>
      </c>
      <c r="AD31">
        <f t="shared" si="6"/>
        <v>4887.2216000000008</v>
      </c>
      <c r="AE31">
        <f t="shared" si="7"/>
        <v>3677.0895</v>
      </c>
    </row>
    <row r="32" spans="1:31" ht="14.4" thickBot="1" x14ac:dyDescent="0.3">
      <c r="M32" s="22" t="s">
        <v>2944</v>
      </c>
      <c r="N32" s="22" t="s">
        <v>2174</v>
      </c>
      <c r="O32" s="22">
        <v>2701.23</v>
      </c>
      <c r="P32" s="22">
        <v>1.34</v>
      </c>
      <c r="Q32" s="22">
        <v>1.7</v>
      </c>
      <c r="R32" s="22">
        <v>1.41</v>
      </c>
      <c r="S32" s="22">
        <v>1.23</v>
      </c>
      <c r="T32" s="22">
        <v>1.21</v>
      </c>
      <c r="U32" s="22">
        <v>1.25</v>
      </c>
      <c r="V32" s="22">
        <v>1.18</v>
      </c>
      <c r="W32" s="22">
        <v>1.05</v>
      </c>
      <c r="X32">
        <f t="shared" si="0"/>
        <v>3619.6482000000001</v>
      </c>
      <c r="Y32">
        <f t="shared" si="1"/>
        <v>4592.0910000000003</v>
      </c>
      <c r="Z32">
        <f t="shared" si="2"/>
        <v>3808.7342999999996</v>
      </c>
      <c r="AA32">
        <f t="shared" si="3"/>
        <v>3322.5129000000002</v>
      </c>
      <c r="AB32">
        <f t="shared" si="4"/>
        <v>3268.4883</v>
      </c>
      <c r="AC32">
        <f t="shared" si="5"/>
        <v>3376.5374999999999</v>
      </c>
      <c r="AD32">
        <f t="shared" si="6"/>
        <v>3187.4513999999999</v>
      </c>
      <c r="AE32">
        <f t="shared" si="7"/>
        <v>2836.2915000000003</v>
      </c>
    </row>
    <row r="33" spans="13:31" ht="14.4" thickBot="1" x14ac:dyDescent="0.3">
      <c r="M33" s="22" t="s">
        <v>2944</v>
      </c>
      <c r="N33" s="22" t="s">
        <v>2180</v>
      </c>
      <c r="O33" s="22">
        <v>13736.77</v>
      </c>
      <c r="P33" s="22">
        <v>2.5</v>
      </c>
      <c r="Q33" s="22">
        <v>3.53</v>
      </c>
      <c r="R33" s="22">
        <v>2.58</v>
      </c>
      <c r="S33" s="22">
        <v>1.1000000000000001</v>
      </c>
      <c r="T33" s="22">
        <v>2.11</v>
      </c>
      <c r="U33" s="22">
        <v>2.36</v>
      </c>
      <c r="V33" s="22">
        <v>0.83</v>
      </c>
      <c r="W33" s="22">
        <v>2.0099999999999998</v>
      </c>
      <c r="X33">
        <f t="shared" si="0"/>
        <v>34341.925000000003</v>
      </c>
      <c r="Y33">
        <f t="shared" si="1"/>
        <v>48490.7981</v>
      </c>
      <c r="Z33">
        <f t="shared" si="2"/>
        <v>35440.866600000001</v>
      </c>
      <c r="AA33">
        <f t="shared" si="3"/>
        <v>15110.447000000002</v>
      </c>
      <c r="AB33">
        <f t="shared" si="4"/>
        <v>28984.584699999999</v>
      </c>
      <c r="AC33">
        <f t="shared" si="5"/>
        <v>32418.7772</v>
      </c>
      <c r="AD33">
        <f t="shared" si="6"/>
        <v>11401.5191</v>
      </c>
      <c r="AE33">
        <f t="shared" si="7"/>
        <v>27610.9077</v>
      </c>
    </row>
    <row r="34" spans="13:31" ht="14.4" thickBot="1" x14ac:dyDescent="0.3">
      <c r="M34" s="22" t="s">
        <v>2944</v>
      </c>
      <c r="N34" s="22" t="s">
        <v>2020</v>
      </c>
      <c r="O34" s="22">
        <v>964.64</v>
      </c>
      <c r="P34" s="22">
        <v>31.23</v>
      </c>
      <c r="Q34" s="22">
        <v>56.16</v>
      </c>
      <c r="R34" s="22">
        <v>36.86</v>
      </c>
      <c r="S34" s="22">
        <v>39.39</v>
      </c>
      <c r="T34" s="22">
        <v>39.840000000000003</v>
      </c>
      <c r="U34" s="22">
        <v>43.79</v>
      </c>
      <c r="V34" s="22">
        <v>52.89</v>
      </c>
      <c r="W34" s="22">
        <v>42.84</v>
      </c>
      <c r="X34">
        <f t="shared" si="0"/>
        <v>30125.707200000001</v>
      </c>
      <c r="Y34">
        <f t="shared" si="1"/>
        <v>54174.182399999998</v>
      </c>
      <c r="Z34">
        <f t="shared" si="2"/>
        <v>35556.630400000002</v>
      </c>
      <c r="AA34">
        <f t="shared" si="3"/>
        <v>37997.169600000001</v>
      </c>
      <c r="AB34">
        <f t="shared" si="4"/>
        <v>38431.257600000004</v>
      </c>
      <c r="AC34">
        <f t="shared" si="5"/>
        <v>42241.585599999999</v>
      </c>
      <c r="AD34">
        <f t="shared" si="6"/>
        <v>51019.809600000001</v>
      </c>
      <c r="AE34">
        <f t="shared" si="7"/>
        <v>41325.177600000003</v>
      </c>
    </row>
    <row r="35" spans="13:31" ht="14.4" thickBot="1" x14ac:dyDescent="0.3">
      <c r="M35" s="22" t="s">
        <v>2944</v>
      </c>
      <c r="N35" s="22" t="s">
        <v>2177</v>
      </c>
      <c r="O35" s="22">
        <v>160000</v>
      </c>
      <c r="P35" s="22">
        <v>2.5299999999999998</v>
      </c>
      <c r="Q35" s="22">
        <v>4.7</v>
      </c>
      <c r="R35" s="22">
        <v>2.54</v>
      </c>
      <c r="S35" s="22">
        <v>2.25</v>
      </c>
      <c r="T35" s="22">
        <v>1.43</v>
      </c>
      <c r="U35" s="22">
        <v>1.61</v>
      </c>
      <c r="V35" s="22">
        <v>2.13</v>
      </c>
      <c r="W35" s="22">
        <v>1.91</v>
      </c>
      <c r="X35">
        <f t="shared" si="0"/>
        <v>404799.99999999994</v>
      </c>
      <c r="Y35">
        <f t="shared" si="1"/>
        <v>752000</v>
      </c>
      <c r="Z35">
        <f t="shared" si="2"/>
        <v>406400</v>
      </c>
      <c r="AA35">
        <f t="shared" si="3"/>
        <v>360000</v>
      </c>
      <c r="AB35">
        <f t="shared" si="4"/>
        <v>228800</v>
      </c>
      <c r="AC35">
        <f t="shared" si="5"/>
        <v>257600.00000000003</v>
      </c>
      <c r="AD35">
        <f t="shared" si="6"/>
        <v>340800</v>
      </c>
      <c r="AE35">
        <f t="shared" si="7"/>
        <v>305600</v>
      </c>
    </row>
    <row r="36" spans="13:31" ht="28.2" thickBot="1" x14ac:dyDescent="0.3">
      <c r="M36" s="22" t="s">
        <v>2908</v>
      </c>
      <c r="N36" s="22" t="s">
        <v>2175</v>
      </c>
      <c r="O36" s="22" t="s">
        <v>2908</v>
      </c>
      <c r="P36" s="22" t="s">
        <v>2908</v>
      </c>
      <c r="Q36" s="22" t="s">
        <v>2908</v>
      </c>
      <c r="R36" s="22" t="s">
        <v>2908</v>
      </c>
      <c r="S36" s="22" t="s">
        <v>2908</v>
      </c>
      <c r="T36" s="22" t="s">
        <v>2908</v>
      </c>
      <c r="U36" s="22" t="s">
        <v>2908</v>
      </c>
      <c r="V36" s="22" t="s">
        <v>2908</v>
      </c>
      <c r="W36" s="22" t="s">
        <v>2908</v>
      </c>
      <c r="X36" t="e">
        <f t="shared" si="0"/>
        <v>#VALUE!</v>
      </c>
      <c r="Y36" t="e">
        <f t="shared" si="1"/>
        <v>#VALUE!</v>
      </c>
      <c r="Z36" t="e">
        <f t="shared" si="2"/>
        <v>#VALUE!</v>
      </c>
      <c r="AA36" t="e">
        <f t="shared" si="3"/>
        <v>#VALUE!</v>
      </c>
      <c r="AB36" t="e">
        <f t="shared" si="4"/>
        <v>#VALUE!</v>
      </c>
      <c r="AC36" t="e">
        <f t="shared" si="5"/>
        <v>#VALUE!</v>
      </c>
      <c r="AD36" t="e">
        <f t="shared" si="6"/>
        <v>#VALUE!</v>
      </c>
      <c r="AE36" t="e">
        <f t="shared" si="7"/>
        <v>#VALUE!</v>
      </c>
    </row>
    <row r="37" spans="13:31" ht="42" thickBot="1" x14ac:dyDescent="0.3">
      <c r="M37" s="22" t="s">
        <v>2944</v>
      </c>
      <c r="N37" s="22" t="s">
        <v>2919</v>
      </c>
      <c r="O37" s="22">
        <v>1045.47</v>
      </c>
      <c r="P37" s="22">
        <v>4.1399999999999997</v>
      </c>
      <c r="Q37" s="22">
        <v>6.4</v>
      </c>
      <c r="R37" s="22">
        <v>3.82</v>
      </c>
      <c r="S37" s="22">
        <v>4.2</v>
      </c>
      <c r="T37" s="22">
        <v>3.53</v>
      </c>
      <c r="U37" s="22">
        <v>7.19</v>
      </c>
      <c r="V37" s="22">
        <v>6.43</v>
      </c>
      <c r="W37" s="22">
        <v>6.14</v>
      </c>
      <c r="X37">
        <f t="shared" si="0"/>
        <v>4328.2457999999997</v>
      </c>
      <c r="Y37">
        <f t="shared" si="1"/>
        <v>6691.0080000000007</v>
      </c>
      <c r="Z37">
        <f t="shared" si="2"/>
        <v>3993.6954000000001</v>
      </c>
      <c r="AA37">
        <f t="shared" si="3"/>
        <v>4390.9740000000002</v>
      </c>
      <c r="AB37">
        <f t="shared" si="4"/>
        <v>3690.5090999999998</v>
      </c>
      <c r="AC37">
        <f t="shared" si="5"/>
        <v>7516.9293000000007</v>
      </c>
      <c r="AD37">
        <f t="shared" si="6"/>
        <v>6722.3720999999996</v>
      </c>
      <c r="AE37">
        <f t="shared" si="7"/>
        <v>6419.1858000000002</v>
      </c>
    </row>
    <row r="38" spans="13:31" ht="14.4" thickBot="1" x14ac:dyDescent="0.3">
      <c r="M38" s="22" t="s">
        <v>2908</v>
      </c>
      <c r="N38" s="22" t="s">
        <v>2920</v>
      </c>
      <c r="O38" s="22" t="s">
        <v>2908</v>
      </c>
      <c r="P38" s="22" t="s">
        <v>2908</v>
      </c>
      <c r="Q38" s="22" t="s">
        <v>2908</v>
      </c>
      <c r="R38" s="22" t="s">
        <v>2908</v>
      </c>
      <c r="S38" s="22" t="s">
        <v>2908</v>
      </c>
      <c r="T38" s="22" t="s">
        <v>2908</v>
      </c>
      <c r="U38" s="22" t="s">
        <v>2908</v>
      </c>
      <c r="V38" s="22" t="s">
        <v>2908</v>
      </c>
      <c r="W38" s="22" t="s">
        <v>2908</v>
      </c>
      <c r="X38" t="e">
        <f t="shared" si="0"/>
        <v>#VALUE!</v>
      </c>
      <c r="Y38" t="e">
        <f t="shared" si="1"/>
        <v>#VALUE!</v>
      </c>
      <c r="Z38" t="e">
        <f t="shared" si="2"/>
        <v>#VALUE!</v>
      </c>
      <c r="AA38" t="e">
        <f t="shared" si="3"/>
        <v>#VALUE!</v>
      </c>
      <c r="AB38" t="e">
        <f t="shared" si="4"/>
        <v>#VALUE!</v>
      </c>
      <c r="AC38" t="e">
        <f t="shared" si="5"/>
        <v>#VALUE!</v>
      </c>
      <c r="AD38" t="e">
        <f t="shared" si="6"/>
        <v>#VALUE!</v>
      </c>
      <c r="AE38" t="e">
        <f t="shared" si="7"/>
        <v>#VALUE!</v>
      </c>
    </row>
    <row r="39" spans="13:31" ht="14.4" thickBot="1" x14ac:dyDescent="0.3">
      <c r="M39" s="22" t="s">
        <v>2945</v>
      </c>
      <c r="N39" s="22" t="s">
        <v>2320</v>
      </c>
      <c r="O39" s="22">
        <v>500</v>
      </c>
      <c r="P39" s="22">
        <v>434.65</v>
      </c>
      <c r="Q39" s="22">
        <v>177.78</v>
      </c>
      <c r="R39" s="22">
        <v>440.61</v>
      </c>
      <c r="S39" s="22">
        <v>466.61</v>
      </c>
      <c r="T39" s="22">
        <v>407.01</v>
      </c>
      <c r="U39" s="22">
        <v>801.05</v>
      </c>
      <c r="V39" s="22">
        <v>375.04</v>
      </c>
      <c r="W39" s="22">
        <v>436.01</v>
      </c>
      <c r="X39">
        <f t="shared" si="0"/>
        <v>217325</v>
      </c>
      <c r="Y39">
        <f t="shared" si="1"/>
        <v>88890</v>
      </c>
      <c r="Z39">
        <f t="shared" si="2"/>
        <v>220305</v>
      </c>
      <c r="AA39">
        <f t="shared" si="3"/>
        <v>233305</v>
      </c>
      <c r="AB39">
        <f t="shared" si="4"/>
        <v>203505</v>
      </c>
      <c r="AC39">
        <f t="shared" si="5"/>
        <v>400525</v>
      </c>
      <c r="AD39">
        <f t="shared" si="6"/>
        <v>187520</v>
      </c>
      <c r="AE39">
        <f t="shared" si="7"/>
        <v>218005</v>
      </c>
    </row>
    <row r="40" spans="13:31" ht="14.4" thickBot="1" x14ac:dyDescent="0.3">
      <c r="M40" s="22" t="s">
        <v>2945</v>
      </c>
      <c r="N40" s="22" t="s">
        <v>2857</v>
      </c>
      <c r="O40" s="22">
        <v>2000</v>
      </c>
      <c r="P40" s="22">
        <v>0.33</v>
      </c>
      <c r="Q40" s="22">
        <v>0.43</v>
      </c>
      <c r="R40" s="22">
        <v>0.16</v>
      </c>
      <c r="S40" s="22">
        <v>0</v>
      </c>
      <c r="T40" s="22">
        <v>0</v>
      </c>
      <c r="U40" s="22">
        <v>1.39</v>
      </c>
      <c r="V40" s="22">
        <v>1.01</v>
      </c>
      <c r="W40" s="22">
        <v>0.8</v>
      </c>
      <c r="X40">
        <f t="shared" si="0"/>
        <v>660</v>
      </c>
      <c r="Y40">
        <f t="shared" si="1"/>
        <v>860</v>
      </c>
      <c r="Z40">
        <f t="shared" si="2"/>
        <v>320</v>
      </c>
      <c r="AA40">
        <f t="shared" si="3"/>
        <v>0</v>
      </c>
      <c r="AB40">
        <f t="shared" si="4"/>
        <v>0</v>
      </c>
      <c r="AC40">
        <f t="shared" si="5"/>
        <v>2780</v>
      </c>
      <c r="AD40">
        <f t="shared" si="6"/>
        <v>2020</v>
      </c>
      <c r="AE40">
        <f t="shared" si="7"/>
        <v>1600</v>
      </c>
    </row>
    <row r="41" spans="13:31" ht="28.2" thickBot="1" x14ac:dyDescent="0.3">
      <c r="M41" s="22" t="s">
        <v>2908</v>
      </c>
      <c r="N41" s="22" t="s">
        <v>2921</v>
      </c>
      <c r="O41" s="22" t="s">
        <v>2908</v>
      </c>
      <c r="P41" s="22" t="s">
        <v>2908</v>
      </c>
      <c r="Q41" s="22" t="s">
        <v>2908</v>
      </c>
      <c r="R41" s="22" t="s">
        <v>2908</v>
      </c>
      <c r="S41" s="22" t="s">
        <v>2908</v>
      </c>
      <c r="T41" s="22" t="s">
        <v>2908</v>
      </c>
      <c r="U41" s="22" t="s">
        <v>2908</v>
      </c>
      <c r="V41" s="22" t="s">
        <v>2908</v>
      </c>
      <c r="W41" s="22" t="s">
        <v>2908</v>
      </c>
      <c r="X41" t="e">
        <f t="shared" si="0"/>
        <v>#VALUE!</v>
      </c>
      <c r="Y41" t="e">
        <f t="shared" si="1"/>
        <v>#VALUE!</v>
      </c>
      <c r="Z41" t="e">
        <f t="shared" si="2"/>
        <v>#VALUE!</v>
      </c>
      <c r="AA41" t="e">
        <f t="shared" si="3"/>
        <v>#VALUE!</v>
      </c>
      <c r="AB41" t="e">
        <f t="shared" si="4"/>
        <v>#VALUE!</v>
      </c>
      <c r="AC41" t="e">
        <f t="shared" si="5"/>
        <v>#VALUE!</v>
      </c>
      <c r="AD41" t="e">
        <f t="shared" si="6"/>
        <v>#VALUE!</v>
      </c>
      <c r="AE41" t="e">
        <f t="shared" si="7"/>
        <v>#VALUE!</v>
      </c>
    </row>
    <row r="42" spans="13:31" ht="28.2" thickBot="1" x14ac:dyDescent="0.3">
      <c r="M42" s="22" t="s">
        <v>2908</v>
      </c>
      <c r="N42" s="22" t="s">
        <v>2922</v>
      </c>
      <c r="O42" s="22" t="s">
        <v>2908</v>
      </c>
      <c r="P42" s="22" t="s">
        <v>2908</v>
      </c>
      <c r="Q42" s="22" t="s">
        <v>2908</v>
      </c>
      <c r="R42" s="22" t="s">
        <v>2908</v>
      </c>
      <c r="S42" s="22" t="s">
        <v>2908</v>
      </c>
      <c r="T42" s="22" t="s">
        <v>2908</v>
      </c>
      <c r="U42" s="22" t="s">
        <v>2908</v>
      </c>
      <c r="V42" s="22" t="s">
        <v>2908</v>
      </c>
      <c r="W42" s="22" t="s">
        <v>2908</v>
      </c>
      <c r="X42" t="e">
        <f t="shared" si="0"/>
        <v>#VALUE!</v>
      </c>
      <c r="Y42" t="e">
        <f t="shared" si="1"/>
        <v>#VALUE!</v>
      </c>
      <c r="Z42" t="e">
        <f t="shared" si="2"/>
        <v>#VALUE!</v>
      </c>
      <c r="AA42" t="e">
        <f t="shared" si="3"/>
        <v>#VALUE!</v>
      </c>
      <c r="AB42" t="e">
        <f t="shared" si="4"/>
        <v>#VALUE!</v>
      </c>
      <c r="AC42" t="e">
        <f t="shared" si="5"/>
        <v>#VALUE!</v>
      </c>
      <c r="AD42" t="e">
        <f t="shared" si="6"/>
        <v>#VALUE!</v>
      </c>
      <c r="AE42" t="e">
        <f t="shared" si="7"/>
        <v>#VALUE!</v>
      </c>
    </row>
    <row r="43" spans="13:31" ht="14.4" thickBot="1" x14ac:dyDescent="0.3">
      <c r="M43" s="22" t="s">
        <v>2908</v>
      </c>
      <c r="N43" s="22" t="s">
        <v>2341</v>
      </c>
      <c r="O43" s="22" t="s">
        <v>2908</v>
      </c>
      <c r="P43" s="22" t="s">
        <v>2908</v>
      </c>
      <c r="Q43" s="22" t="s">
        <v>2908</v>
      </c>
      <c r="R43" s="22" t="s">
        <v>2908</v>
      </c>
      <c r="S43" s="22" t="s">
        <v>2908</v>
      </c>
      <c r="T43" s="22" t="s">
        <v>2908</v>
      </c>
      <c r="U43" s="22" t="s">
        <v>2908</v>
      </c>
      <c r="V43" s="22" t="s">
        <v>2908</v>
      </c>
      <c r="W43" s="22" t="s">
        <v>2908</v>
      </c>
      <c r="X43" t="e">
        <f t="shared" si="0"/>
        <v>#VALUE!</v>
      </c>
      <c r="Y43" t="e">
        <f t="shared" si="1"/>
        <v>#VALUE!</v>
      </c>
      <c r="Z43" t="e">
        <f t="shared" si="2"/>
        <v>#VALUE!</v>
      </c>
      <c r="AA43" t="e">
        <f t="shared" si="3"/>
        <v>#VALUE!</v>
      </c>
      <c r="AB43" t="e">
        <f t="shared" si="4"/>
        <v>#VALUE!</v>
      </c>
      <c r="AC43" t="e">
        <f t="shared" si="5"/>
        <v>#VALUE!</v>
      </c>
      <c r="AD43" t="e">
        <f t="shared" si="6"/>
        <v>#VALUE!</v>
      </c>
      <c r="AE43" t="e">
        <f t="shared" si="7"/>
        <v>#VALUE!</v>
      </c>
    </row>
    <row r="44" spans="13:31" ht="28.2" thickBot="1" x14ac:dyDescent="0.3">
      <c r="M44" s="22" t="s">
        <v>2908</v>
      </c>
      <c r="N44" s="22" t="s">
        <v>2161</v>
      </c>
      <c r="O44" s="22" t="s">
        <v>2908</v>
      </c>
      <c r="P44" s="22" t="s">
        <v>2908</v>
      </c>
      <c r="Q44" s="22" t="s">
        <v>2908</v>
      </c>
      <c r="R44" s="22" t="s">
        <v>2908</v>
      </c>
      <c r="S44" s="22" t="s">
        <v>2908</v>
      </c>
      <c r="T44" s="22" t="s">
        <v>2908</v>
      </c>
      <c r="U44" s="22" t="s">
        <v>2908</v>
      </c>
      <c r="V44" s="22" t="s">
        <v>2908</v>
      </c>
      <c r="W44" s="22" t="s">
        <v>2908</v>
      </c>
      <c r="X44" t="e">
        <f t="shared" si="0"/>
        <v>#VALUE!</v>
      </c>
      <c r="Y44" t="e">
        <f t="shared" si="1"/>
        <v>#VALUE!</v>
      </c>
      <c r="Z44" t="e">
        <f t="shared" si="2"/>
        <v>#VALUE!</v>
      </c>
      <c r="AA44" t="e">
        <f t="shared" si="3"/>
        <v>#VALUE!</v>
      </c>
      <c r="AB44" t="e">
        <f t="shared" si="4"/>
        <v>#VALUE!</v>
      </c>
      <c r="AC44" t="e">
        <f t="shared" si="5"/>
        <v>#VALUE!</v>
      </c>
      <c r="AD44" t="e">
        <f t="shared" si="6"/>
        <v>#VALUE!</v>
      </c>
      <c r="AE44" t="e">
        <f t="shared" si="7"/>
        <v>#VALUE!</v>
      </c>
    </row>
    <row r="45" spans="13:31" ht="42" thickBot="1" x14ac:dyDescent="0.3">
      <c r="M45" s="22" t="s">
        <v>2908</v>
      </c>
      <c r="N45" s="22" t="s">
        <v>2923</v>
      </c>
      <c r="O45" s="22" t="s">
        <v>2908</v>
      </c>
      <c r="P45" s="22" t="s">
        <v>2908</v>
      </c>
      <c r="Q45" s="22" t="s">
        <v>2908</v>
      </c>
      <c r="R45" s="22" t="s">
        <v>2908</v>
      </c>
      <c r="S45" s="22" t="s">
        <v>2908</v>
      </c>
      <c r="T45" s="22" t="s">
        <v>2908</v>
      </c>
      <c r="U45" s="22" t="s">
        <v>2908</v>
      </c>
      <c r="V45" s="22" t="s">
        <v>2908</v>
      </c>
      <c r="W45" s="22" t="s">
        <v>2908</v>
      </c>
      <c r="X45" t="e">
        <f t="shared" si="0"/>
        <v>#VALUE!</v>
      </c>
      <c r="Y45" t="e">
        <f t="shared" si="1"/>
        <v>#VALUE!</v>
      </c>
      <c r="Z45" t="e">
        <f t="shared" si="2"/>
        <v>#VALUE!</v>
      </c>
      <c r="AA45" t="e">
        <f t="shared" si="3"/>
        <v>#VALUE!</v>
      </c>
      <c r="AB45" t="e">
        <f t="shared" si="4"/>
        <v>#VALUE!</v>
      </c>
      <c r="AC45" t="e">
        <f t="shared" si="5"/>
        <v>#VALUE!</v>
      </c>
      <c r="AD45" t="e">
        <f t="shared" si="6"/>
        <v>#VALUE!</v>
      </c>
      <c r="AE45" t="e">
        <f t="shared" si="7"/>
        <v>#VALUE!</v>
      </c>
    </row>
    <row r="46" spans="13:31" ht="42" thickBot="1" x14ac:dyDescent="0.3">
      <c r="M46" s="22" t="s">
        <v>2908</v>
      </c>
      <c r="N46" s="22" t="s">
        <v>2924</v>
      </c>
      <c r="O46" s="22" t="s">
        <v>2908</v>
      </c>
      <c r="P46" s="22" t="s">
        <v>2908</v>
      </c>
      <c r="Q46" s="22" t="s">
        <v>2908</v>
      </c>
      <c r="R46" s="22" t="s">
        <v>2908</v>
      </c>
      <c r="S46" s="22" t="s">
        <v>2908</v>
      </c>
      <c r="T46" s="22" t="s">
        <v>2908</v>
      </c>
      <c r="U46" s="22" t="s">
        <v>2908</v>
      </c>
      <c r="V46" s="22" t="s">
        <v>2908</v>
      </c>
      <c r="W46" s="22" t="s">
        <v>2908</v>
      </c>
      <c r="X46" t="e">
        <f t="shared" si="0"/>
        <v>#VALUE!</v>
      </c>
      <c r="Y46" t="e">
        <f t="shared" si="1"/>
        <v>#VALUE!</v>
      </c>
      <c r="Z46" t="e">
        <f t="shared" si="2"/>
        <v>#VALUE!</v>
      </c>
      <c r="AA46" t="e">
        <f t="shared" si="3"/>
        <v>#VALUE!</v>
      </c>
      <c r="AB46" t="e">
        <f t="shared" si="4"/>
        <v>#VALUE!</v>
      </c>
      <c r="AC46" t="e">
        <f t="shared" si="5"/>
        <v>#VALUE!</v>
      </c>
      <c r="AD46" t="e">
        <f t="shared" si="6"/>
        <v>#VALUE!</v>
      </c>
      <c r="AE46" t="e">
        <f t="shared" si="7"/>
        <v>#VALUE!</v>
      </c>
    </row>
    <row r="47" spans="13:31" ht="42" thickBot="1" x14ac:dyDescent="0.3">
      <c r="M47" s="22" t="s">
        <v>2908</v>
      </c>
      <c r="N47" s="22" t="s">
        <v>2925</v>
      </c>
      <c r="O47" s="22" t="s">
        <v>2908</v>
      </c>
      <c r="P47" s="22" t="s">
        <v>2908</v>
      </c>
      <c r="Q47" s="22" t="s">
        <v>2908</v>
      </c>
      <c r="R47" s="22" t="s">
        <v>2908</v>
      </c>
      <c r="S47" s="22" t="s">
        <v>2908</v>
      </c>
      <c r="T47" s="22" t="s">
        <v>2908</v>
      </c>
      <c r="U47" s="22" t="s">
        <v>2908</v>
      </c>
      <c r="V47" s="22" t="s">
        <v>2908</v>
      </c>
      <c r="W47" s="22" t="s">
        <v>2908</v>
      </c>
      <c r="X47" t="e">
        <f t="shared" si="0"/>
        <v>#VALUE!</v>
      </c>
      <c r="Y47" t="e">
        <f t="shared" si="1"/>
        <v>#VALUE!</v>
      </c>
      <c r="Z47" t="e">
        <f t="shared" si="2"/>
        <v>#VALUE!</v>
      </c>
      <c r="AA47" t="e">
        <f t="shared" si="3"/>
        <v>#VALUE!</v>
      </c>
      <c r="AB47" t="e">
        <f t="shared" si="4"/>
        <v>#VALUE!</v>
      </c>
      <c r="AC47" t="e">
        <f t="shared" si="5"/>
        <v>#VALUE!</v>
      </c>
      <c r="AD47" t="e">
        <f t="shared" si="6"/>
        <v>#VALUE!</v>
      </c>
      <c r="AE47" t="e">
        <f t="shared" si="7"/>
        <v>#VALUE!</v>
      </c>
    </row>
    <row r="48" spans="13:31" ht="28.2" thickBot="1" x14ac:dyDescent="0.3">
      <c r="M48" s="22" t="s">
        <v>2908</v>
      </c>
      <c r="N48" s="22" t="s">
        <v>2926</v>
      </c>
      <c r="O48" s="22" t="s">
        <v>2908</v>
      </c>
      <c r="P48" s="22" t="s">
        <v>2908</v>
      </c>
      <c r="Q48" s="22" t="s">
        <v>2908</v>
      </c>
      <c r="R48" s="22" t="s">
        <v>2908</v>
      </c>
      <c r="S48" s="22" t="s">
        <v>2908</v>
      </c>
      <c r="T48" s="22" t="s">
        <v>2908</v>
      </c>
      <c r="U48" s="22" t="s">
        <v>2908</v>
      </c>
      <c r="V48" s="22" t="s">
        <v>2908</v>
      </c>
      <c r="W48" s="22" t="s">
        <v>2908</v>
      </c>
      <c r="X48" t="e">
        <f t="shared" si="0"/>
        <v>#VALUE!</v>
      </c>
      <c r="Y48" t="e">
        <f t="shared" si="1"/>
        <v>#VALUE!</v>
      </c>
      <c r="Z48" t="e">
        <f t="shared" si="2"/>
        <v>#VALUE!</v>
      </c>
      <c r="AA48" t="e">
        <f t="shared" si="3"/>
        <v>#VALUE!</v>
      </c>
      <c r="AB48" t="e">
        <f t="shared" si="4"/>
        <v>#VALUE!</v>
      </c>
      <c r="AC48" t="e">
        <f t="shared" si="5"/>
        <v>#VALUE!</v>
      </c>
      <c r="AD48" t="e">
        <f t="shared" si="6"/>
        <v>#VALUE!</v>
      </c>
      <c r="AE48" t="e">
        <f t="shared" si="7"/>
        <v>#VALUE!</v>
      </c>
    </row>
    <row r="49" spans="13:31" ht="14.4" thickBot="1" x14ac:dyDescent="0.3">
      <c r="M49" s="22" t="s">
        <v>2941</v>
      </c>
      <c r="N49" s="22" t="s">
        <v>2878</v>
      </c>
      <c r="O49" s="22">
        <v>2000</v>
      </c>
      <c r="P49" s="22">
        <v>4.5199999999999996</v>
      </c>
      <c r="Q49" s="22">
        <v>1.6</v>
      </c>
      <c r="R49" s="22">
        <v>0.87</v>
      </c>
      <c r="S49" s="22">
        <v>0.96</v>
      </c>
      <c r="T49" s="22">
        <v>0.77</v>
      </c>
      <c r="U49" s="22">
        <v>0.86</v>
      </c>
      <c r="V49" s="22">
        <v>1.23</v>
      </c>
      <c r="W49" s="22">
        <v>0.69</v>
      </c>
      <c r="X49">
        <f t="shared" si="0"/>
        <v>9040</v>
      </c>
      <c r="Y49">
        <f t="shared" si="1"/>
        <v>3200</v>
      </c>
      <c r="Z49">
        <f t="shared" si="2"/>
        <v>1740</v>
      </c>
      <c r="AA49">
        <f t="shared" si="3"/>
        <v>1920</v>
      </c>
      <c r="AB49">
        <f t="shared" si="4"/>
        <v>1540</v>
      </c>
      <c r="AC49">
        <f t="shared" si="5"/>
        <v>1720</v>
      </c>
      <c r="AD49">
        <f t="shared" si="6"/>
        <v>2460</v>
      </c>
      <c r="AE49">
        <f t="shared" si="7"/>
        <v>1380</v>
      </c>
    </row>
    <row r="50" spans="13:31" ht="14.4" thickBot="1" x14ac:dyDescent="0.3">
      <c r="M50" s="22" t="s">
        <v>2908</v>
      </c>
      <c r="N50" s="22" t="s">
        <v>2927</v>
      </c>
      <c r="O50" s="22" t="s">
        <v>2908</v>
      </c>
      <c r="P50" s="22" t="s">
        <v>2908</v>
      </c>
      <c r="Q50" s="22" t="s">
        <v>2908</v>
      </c>
      <c r="R50" s="22" t="s">
        <v>2908</v>
      </c>
      <c r="S50" s="22" t="s">
        <v>2908</v>
      </c>
      <c r="T50" s="22" t="s">
        <v>2908</v>
      </c>
      <c r="U50" s="22" t="s">
        <v>2908</v>
      </c>
      <c r="V50" s="22" t="s">
        <v>2908</v>
      </c>
      <c r="W50" s="22" t="s">
        <v>2908</v>
      </c>
      <c r="X50" t="e">
        <f t="shared" si="0"/>
        <v>#VALUE!</v>
      </c>
      <c r="Y50" t="e">
        <f t="shared" si="1"/>
        <v>#VALUE!</v>
      </c>
      <c r="Z50" t="e">
        <f t="shared" si="2"/>
        <v>#VALUE!</v>
      </c>
      <c r="AA50" t="e">
        <f t="shared" si="3"/>
        <v>#VALUE!</v>
      </c>
      <c r="AB50" t="e">
        <f t="shared" si="4"/>
        <v>#VALUE!</v>
      </c>
      <c r="AC50" t="e">
        <f t="shared" si="5"/>
        <v>#VALUE!</v>
      </c>
      <c r="AD50" t="e">
        <f t="shared" si="6"/>
        <v>#VALUE!</v>
      </c>
      <c r="AE50" t="e">
        <f t="shared" si="7"/>
        <v>#VALUE!</v>
      </c>
    </row>
    <row r="51" spans="13:31" ht="28.2" thickBot="1" x14ac:dyDescent="0.3">
      <c r="M51" s="22" t="s">
        <v>2908</v>
      </c>
      <c r="N51" s="22" t="s">
        <v>2164</v>
      </c>
      <c r="O51" s="22" t="s">
        <v>2908</v>
      </c>
      <c r="P51" s="22" t="s">
        <v>2908</v>
      </c>
      <c r="Q51" s="22" t="s">
        <v>2908</v>
      </c>
      <c r="R51" s="22" t="s">
        <v>2908</v>
      </c>
      <c r="S51" s="22" t="s">
        <v>2908</v>
      </c>
      <c r="T51" s="22" t="s">
        <v>2908</v>
      </c>
      <c r="U51" s="22" t="s">
        <v>2908</v>
      </c>
      <c r="V51" s="22" t="s">
        <v>2908</v>
      </c>
      <c r="W51" s="22" t="s">
        <v>2908</v>
      </c>
      <c r="X51" t="e">
        <f t="shared" si="0"/>
        <v>#VALUE!</v>
      </c>
      <c r="Y51" t="e">
        <f t="shared" si="1"/>
        <v>#VALUE!</v>
      </c>
      <c r="Z51" t="e">
        <f t="shared" si="2"/>
        <v>#VALUE!</v>
      </c>
      <c r="AA51" t="e">
        <f t="shared" si="3"/>
        <v>#VALUE!</v>
      </c>
      <c r="AB51" t="e">
        <f t="shared" si="4"/>
        <v>#VALUE!</v>
      </c>
      <c r="AC51" t="e">
        <f t="shared" si="5"/>
        <v>#VALUE!</v>
      </c>
      <c r="AD51" t="e">
        <f t="shared" si="6"/>
        <v>#VALUE!</v>
      </c>
      <c r="AE51" t="e">
        <f t="shared" si="7"/>
        <v>#VALUE!</v>
      </c>
    </row>
    <row r="52" spans="13:31" ht="28.2" thickBot="1" x14ac:dyDescent="0.3">
      <c r="M52" s="22" t="s">
        <v>2908</v>
      </c>
      <c r="N52" s="22" t="s">
        <v>2170</v>
      </c>
      <c r="O52" s="22" t="s">
        <v>2908</v>
      </c>
      <c r="P52" s="22" t="s">
        <v>2908</v>
      </c>
      <c r="Q52" s="22" t="s">
        <v>2908</v>
      </c>
      <c r="R52" s="22" t="s">
        <v>2908</v>
      </c>
      <c r="S52" s="22" t="s">
        <v>2908</v>
      </c>
      <c r="T52" s="22" t="s">
        <v>2908</v>
      </c>
      <c r="U52" s="22" t="s">
        <v>2908</v>
      </c>
      <c r="V52" s="22" t="s">
        <v>2908</v>
      </c>
      <c r="W52" s="22" t="s">
        <v>2908</v>
      </c>
      <c r="X52" t="e">
        <f t="shared" si="0"/>
        <v>#VALUE!</v>
      </c>
      <c r="Y52" t="e">
        <f t="shared" si="1"/>
        <v>#VALUE!</v>
      </c>
      <c r="Z52" t="e">
        <f t="shared" si="2"/>
        <v>#VALUE!</v>
      </c>
      <c r="AA52" t="e">
        <f t="shared" si="3"/>
        <v>#VALUE!</v>
      </c>
      <c r="AB52" t="e">
        <f t="shared" si="4"/>
        <v>#VALUE!</v>
      </c>
      <c r="AC52" t="e">
        <f t="shared" si="5"/>
        <v>#VALUE!</v>
      </c>
      <c r="AD52" t="e">
        <f t="shared" si="6"/>
        <v>#VALUE!</v>
      </c>
      <c r="AE52" t="e">
        <f t="shared" si="7"/>
        <v>#VALUE!</v>
      </c>
    </row>
    <row r="53" spans="13:31" ht="14.4" thickBot="1" x14ac:dyDescent="0.3">
      <c r="M53" s="22" t="s">
        <v>2908</v>
      </c>
      <c r="N53" s="22" t="s">
        <v>2172</v>
      </c>
      <c r="O53" s="22" t="s">
        <v>2908</v>
      </c>
      <c r="P53" s="22" t="s">
        <v>2908</v>
      </c>
      <c r="Q53" s="22" t="s">
        <v>2908</v>
      </c>
      <c r="R53" s="22" t="s">
        <v>2908</v>
      </c>
      <c r="S53" s="22" t="s">
        <v>2908</v>
      </c>
      <c r="T53" s="22" t="s">
        <v>2908</v>
      </c>
      <c r="U53" s="22" t="s">
        <v>2908</v>
      </c>
      <c r="V53" s="22" t="s">
        <v>2908</v>
      </c>
      <c r="W53" s="22" t="s">
        <v>2908</v>
      </c>
      <c r="X53" t="e">
        <f t="shared" si="0"/>
        <v>#VALUE!</v>
      </c>
      <c r="Y53" t="e">
        <f t="shared" si="1"/>
        <v>#VALUE!</v>
      </c>
      <c r="Z53" t="e">
        <f t="shared" si="2"/>
        <v>#VALUE!</v>
      </c>
      <c r="AA53" t="e">
        <f t="shared" si="3"/>
        <v>#VALUE!</v>
      </c>
      <c r="AB53" t="e">
        <f t="shared" si="4"/>
        <v>#VALUE!</v>
      </c>
      <c r="AC53" t="e">
        <f t="shared" si="5"/>
        <v>#VALUE!</v>
      </c>
      <c r="AD53" t="e">
        <f t="shared" si="6"/>
        <v>#VALUE!</v>
      </c>
      <c r="AE53" t="e">
        <f t="shared" si="7"/>
        <v>#VALUE!</v>
      </c>
    </row>
    <row r="54" spans="13:31" ht="42" thickBot="1" x14ac:dyDescent="0.3">
      <c r="M54" s="22" t="s">
        <v>2908</v>
      </c>
      <c r="N54" s="22" t="s">
        <v>2928</v>
      </c>
      <c r="O54" s="22" t="s">
        <v>2908</v>
      </c>
      <c r="P54" s="22" t="s">
        <v>2908</v>
      </c>
      <c r="Q54" s="22" t="s">
        <v>2908</v>
      </c>
      <c r="R54" s="22" t="s">
        <v>2908</v>
      </c>
      <c r="S54" s="22" t="s">
        <v>2908</v>
      </c>
      <c r="T54" s="22" t="s">
        <v>2908</v>
      </c>
      <c r="U54" s="22" t="s">
        <v>2908</v>
      </c>
      <c r="V54" s="22" t="s">
        <v>2908</v>
      </c>
      <c r="W54" s="22" t="s">
        <v>2908</v>
      </c>
      <c r="X54" t="e">
        <f t="shared" si="0"/>
        <v>#VALUE!</v>
      </c>
      <c r="Y54" t="e">
        <f t="shared" si="1"/>
        <v>#VALUE!</v>
      </c>
      <c r="Z54" t="e">
        <f t="shared" si="2"/>
        <v>#VALUE!</v>
      </c>
      <c r="AA54" t="e">
        <f t="shared" si="3"/>
        <v>#VALUE!</v>
      </c>
      <c r="AB54" t="e">
        <f t="shared" si="4"/>
        <v>#VALUE!</v>
      </c>
      <c r="AC54" t="e">
        <f t="shared" si="5"/>
        <v>#VALUE!</v>
      </c>
      <c r="AD54" t="e">
        <f t="shared" si="6"/>
        <v>#VALUE!</v>
      </c>
      <c r="AE54" t="e">
        <f t="shared" si="7"/>
        <v>#VALUE!</v>
      </c>
    </row>
    <row r="55" spans="13:31" ht="28.2" thickBot="1" x14ac:dyDescent="0.3">
      <c r="M55" s="22" t="s">
        <v>2908</v>
      </c>
      <c r="N55" s="22" t="s">
        <v>2929</v>
      </c>
      <c r="O55" s="22" t="s">
        <v>2908</v>
      </c>
      <c r="P55" s="22" t="s">
        <v>2908</v>
      </c>
      <c r="Q55" s="22" t="s">
        <v>2908</v>
      </c>
      <c r="R55" s="22" t="s">
        <v>2908</v>
      </c>
      <c r="S55" s="22" t="s">
        <v>2908</v>
      </c>
      <c r="T55" s="22" t="s">
        <v>2908</v>
      </c>
      <c r="U55" s="22" t="s">
        <v>2908</v>
      </c>
      <c r="V55" s="22" t="s">
        <v>2908</v>
      </c>
      <c r="W55" s="22" t="s">
        <v>2908</v>
      </c>
      <c r="X55" t="e">
        <f t="shared" si="0"/>
        <v>#VALUE!</v>
      </c>
      <c r="Y55" t="e">
        <f t="shared" si="1"/>
        <v>#VALUE!</v>
      </c>
      <c r="Z55" t="e">
        <f t="shared" si="2"/>
        <v>#VALUE!</v>
      </c>
      <c r="AA55" t="e">
        <f t="shared" si="3"/>
        <v>#VALUE!</v>
      </c>
      <c r="AB55" t="e">
        <f t="shared" si="4"/>
        <v>#VALUE!</v>
      </c>
      <c r="AC55" t="e">
        <f t="shared" si="5"/>
        <v>#VALUE!</v>
      </c>
      <c r="AD55" t="e">
        <f t="shared" si="6"/>
        <v>#VALUE!</v>
      </c>
      <c r="AE55" t="e">
        <f t="shared" si="7"/>
        <v>#VALUE!</v>
      </c>
    </row>
    <row r="56" spans="13:31" ht="28.2" thickBot="1" x14ac:dyDescent="0.3">
      <c r="M56" s="22" t="s">
        <v>2908</v>
      </c>
      <c r="N56" s="22" t="s">
        <v>2183</v>
      </c>
      <c r="O56" s="22" t="s">
        <v>2908</v>
      </c>
      <c r="P56" s="22" t="s">
        <v>2908</v>
      </c>
      <c r="Q56" s="22" t="s">
        <v>2908</v>
      </c>
      <c r="R56" s="22" t="s">
        <v>2908</v>
      </c>
      <c r="S56" s="22" t="s">
        <v>2908</v>
      </c>
      <c r="T56" s="22" t="s">
        <v>2908</v>
      </c>
      <c r="U56" s="22" t="s">
        <v>2908</v>
      </c>
      <c r="V56" s="22" t="s">
        <v>2908</v>
      </c>
      <c r="W56" s="22" t="s">
        <v>2908</v>
      </c>
      <c r="X56" t="e">
        <f t="shared" si="0"/>
        <v>#VALUE!</v>
      </c>
      <c r="Y56" t="e">
        <f t="shared" si="1"/>
        <v>#VALUE!</v>
      </c>
      <c r="Z56" t="e">
        <f t="shared" si="2"/>
        <v>#VALUE!</v>
      </c>
      <c r="AA56" t="e">
        <f t="shared" si="3"/>
        <v>#VALUE!</v>
      </c>
      <c r="AB56" t="e">
        <f t="shared" si="4"/>
        <v>#VALUE!</v>
      </c>
      <c r="AC56" t="e">
        <f t="shared" si="5"/>
        <v>#VALUE!</v>
      </c>
      <c r="AD56" t="e">
        <f t="shared" si="6"/>
        <v>#VALUE!</v>
      </c>
      <c r="AE56" t="e">
        <f t="shared" si="7"/>
        <v>#VALUE!</v>
      </c>
    </row>
    <row r="57" spans="13:31" ht="14.4" thickBot="1" x14ac:dyDescent="0.3">
      <c r="M57" s="22" t="s">
        <v>2944</v>
      </c>
      <c r="N57" s="22" t="s">
        <v>2185</v>
      </c>
      <c r="O57" s="22">
        <v>18100</v>
      </c>
      <c r="P57" s="22">
        <v>0.42</v>
      </c>
      <c r="Q57" s="22">
        <v>1.25</v>
      </c>
      <c r="R57" s="22">
        <v>0.9</v>
      </c>
      <c r="S57" s="22">
        <v>0.51</v>
      </c>
      <c r="T57" s="22">
        <v>0.22</v>
      </c>
      <c r="U57" s="22">
        <v>7.0000000000000007E-2</v>
      </c>
      <c r="V57" s="22">
        <v>0.62</v>
      </c>
      <c r="W57" s="22">
        <v>0.17</v>
      </c>
      <c r="X57">
        <f t="shared" si="0"/>
        <v>7602</v>
      </c>
      <c r="Y57">
        <f t="shared" si="1"/>
        <v>22625</v>
      </c>
      <c r="Z57">
        <f t="shared" si="2"/>
        <v>16290</v>
      </c>
      <c r="AA57">
        <f t="shared" si="3"/>
        <v>9231</v>
      </c>
      <c r="AB57">
        <f t="shared" si="4"/>
        <v>3982</v>
      </c>
      <c r="AC57">
        <f t="shared" si="5"/>
        <v>1267.0000000000002</v>
      </c>
      <c r="AD57">
        <f t="shared" si="6"/>
        <v>11222</v>
      </c>
      <c r="AE57">
        <f t="shared" si="7"/>
        <v>3077</v>
      </c>
    </row>
    <row r="58" spans="13:31" ht="14.4" thickBot="1" x14ac:dyDescent="0.3">
      <c r="M58" s="22" t="s">
        <v>2908</v>
      </c>
      <c r="N58" s="22" t="s">
        <v>2930</v>
      </c>
      <c r="O58" s="22" t="s">
        <v>2908</v>
      </c>
      <c r="P58" s="22" t="s">
        <v>2908</v>
      </c>
      <c r="Q58" s="22" t="s">
        <v>2908</v>
      </c>
      <c r="R58" s="22" t="s">
        <v>2908</v>
      </c>
      <c r="S58" s="22" t="s">
        <v>2908</v>
      </c>
      <c r="T58" s="22" t="s">
        <v>2908</v>
      </c>
      <c r="U58" s="22" t="s">
        <v>2908</v>
      </c>
      <c r="V58" s="22" t="s">
        <v>2908</v>
      </c>
      <c r="W58" s="22" t="s">
        <v>2908</v>
      </c>
      <c r="X58" t="e">
        <f t="shared" si="0"/>
        <v>#VALUE!</v>
      </c>
      <c r="Y58" t="e">
        <f t="shared" si="1"/>
        <v>#VALUE!</v>
      </c>
      <c r="Z58" t="e">
        <f t="shared" si="2"/>
        <v>#VALUE!</v>
      </c>
      <c r="AA58" t="e">
        <f t="shared" si="3"/>
        <v>#VALUE!</v>
      </c>
      <c r="AB58" t="e">
        <f t="shared" si="4"/>
        <v>#VALUE!</v>
      </c>
      <c r="AC58" t="e">
        <f t="shared" si="5"/>
        <v>#VALUE!</v>
      </c>
      <c r="AD58" t="e">
        <f t="shared" si="6"/>
        <v>#VALUE!</v>
      </c>
      <c r="AE58" t="e">
        <f t="shared" si="7"/>
        <v>#VALUE!</v>
      </c>
    </row>
    <row r="59" spans="13:31" ht="14.4" thickBot="1" x14ac:dyDescent="0.3">
      <c r="M59" s="22" t="s">
        <v>2908</v>
      </c>
      <c r="N59" s="22" t="s">
        <v>2331</v>
      </c>
      <c r="O59" s="22" t="s">
        <v>2908</v>
      </c>
      <c r="P59" s="22" t="s">
        <v>2908</v>
      </c>
      <c r="Q59" s="22" t="s">
        <v>2908</v>
      </c>
      <c r="R59" s="22" t="s">
        <v>2908</v>
      </c>
      <c r="S59" s="22" t="s">
        <v>2908</v>
      </c>
      <c r="T59" s="22" t="s">
        <v>2908</v>
      </c>
      <c r="U59" s="22" t="s">
        <v>2908</v>
      </c>
      <c r="V59" s="22" t="s">
        <v>2908</v>
      </c>
      <c r="W59" s="22" t="s">
        <v>2908</v>
      </c>
      <c r="X59" t="e">
        <f t="shared" si="0"/>
        <v>#VALUE!</v>
      </c>
      <c r="Y59" t="e">
        <f t="shared" si="1"/>
        <v>#VALUE!</v>
      </c>
      <c r="Z59" t="e">
        <f t="shared" si="2"/>
        <v>#VALUE!</v>
      </c>
      <c r="AA59" t="e">
        <f t="shared" si="3"/>
        <v>#VALUE!</v>
      </c>
      <c r="AB59" t="e">
        <f t="shared" si="4"/>
        <v>#VALUE!</v>
      </c>
      <c r="AC59" t="e">
        <f t="shared" si="5"/>
        <v>#VALUE!</v>
      </c>
      <c r="AD59" t="e">
        <f t="shared" si="6"/>
        <v>#VALUE!</v>
      </c>
      <c r="AE59" t="e">
        <f t="shared" si="7"/>
        <v>#VALUE!</v>
      </c>
    </row>
    <row r="60" spans="13:31" ht="28.2" thickBot="1" x14ac:dyDescent="0.3">
      <c r="M60" s="22" t="s">
        <v>2908</v>
      </c>
      <c r="N60" s="22" t="s">
        <v>2337</v>
      </c>
      <c r="O60" s="22" t="s">
        <v>2908</v>
      </c>
      <c r="P60" s="22" t="s">
        <v>2908</v>
      </c>
      <c r="Q60" s="22" t="s">
        <v>2908</v>
      </c>
      <c r="R60" s="22" t="s">
        <v>2908</v>
      </c>
      <c r="S60" s="22" t="s">
        <v>2908</v>
      </c>
      <c r="T60" s="22" t="s">
        <v>2908</v>
      </c>
      <c r="U60" s="22" t="s">
        <v>2908</v>
      </c>
      <c r="V60" s="22" t="s">
        <v>2908</v>
      </c>
      <c r="W60" s="22" t="s">
        <v>2908</v>
      </c>
      <c r="X60" t="e">
        <f t="shared" si="0"/>
        <v>#VALUE!</v>
      </c>
      <c r="Y60" t="e">
        <f t="shared" si="1"/>
        <v>#VALUE!</v>
      </c>
      <c r="Z60" t="e">
        <f t="shared" si="2"/>
        <v>#VALUE!</v>
      </c>
      <c r="AA60" t="e">
        <f t="shared" si="3"/>
        <v>#VALUE!</v>
      </c>
      <c r="AB60" t="e">
        <f t="shared" si="4"/>
        <v>#VALUE!</v>
      </c>
      <c r="AC60" t="e">
        <f t="shared" si="5"/>
        <v>#VALUE!</v>
      </c>
      <c r="AD60" t="e">
        <f t="shared" si="6"/>
        <v>#VALUE!</v>
      </c>
      <c r="AE60" t="e">
        <f t="shared" si="7"/>
        <v>#VALUE!</v>
      </c>
    </row>
    <row r="61" spans="13:31" ht="14.4" thickBot="1" x14ac:dyDescent="0.3">
      <c r="M61" s="22" t="s">
        <v>2908</v>
      </c>
      <c r="N61" s="22" t="s">
        <v>2365</v>
      </c>
      <c r="O61" s="22" t="s">
        <v>2908</v>
      </c>
      <c r="P61" s="22" t="s">
        <v>2908</v>
      </c>
      <c r="Q61" s="22" t="s">
        <v>2908</v>
      </c>
      <c r="R61" s="22" t="s">
        <v>2908</v>
      </c>
      <c r="S61" s="22" t="s">
        <v>2908</v>
      </c>
      <c r="T61" s="22" t="s">
        <v>2908</v>
      </c>
      <c r="U61" s="22" t="s">
        <v>2908</v>
      </c>
      <c r="V61" s="22" t="s">
        <v>2908</v>
      </c>
      <c r="W61" s="22" t="s">
        <v>2908</v>
      </c>
      <c r="X61" t="e">
        <f t="shared" si="0"/>
        <v>#VALUE!</v>
      </c>
      <c r="Y61" t="e">
        <f t="shared" si="1"/>
        <v>#VALUE!</v>
      </c>
      <c r="Z61" t="e">
        <f t="shared" si="2"/>
        <v>#VALUE!</v>
      </c>
      <c r="AA61" t="e">
        <f t="shared" si="3"/>
        <v>#VALUE!</v>
      </c>
      <c r="AB61" t="e">
        <f t="shared" si="4"/>
        <v>#VALUE!</v>
      </c>
      <c r="AC61" t="e">
        <f t="shared" si="5"/>
        <v>#VALUE!</v>
      </c>
      <c r="AD61" t="e">
        <f t="shared" si="6"/>
        <v>#VALUE!</v>
      </c>
      <c r="AE61" t="e">
        <f t="shared" si="7"/>
        <v>#VALUE!</v>
      </c>
    </row>
    <row r="62" spans="13:31" ht="14.4" thickBot="1" x14ac:dyDescent="0.3">
      <c r="M62" s="22" t="s">
        <v>2908</v>
      </c>
      <c r="N62" s="22" t="s">
        <v>2186</v>
      </c>
      <c r="O62" s="22" t="s">
        <v>2908</v>
      </c>
      <c r="P62" s="22" t="s">
        <v>2908</v>
      </c>
      <c r="Q62" s="22" t="s">
        <v>2908</v>
      </c>
      <c r="R62" s="22" t="s">
        <v>2908</v>
      </c>
      <c r="S62" s="22" t="s">
        <v>2908</v>
      </c>
      <c r="T62" s="22" t="s">
        <v>2908</v>
      </c>
      <c r="U62" s="22" t="s">
        <v>2908</v>
      </c>
      <c r="V62" s="22" t="s">
        <v>2908</v>
      </c>
      <c r="W62" s="22" t="s">
        <v>2908</v>
      </c>
      <c r="X62" t="e">
        <f t="shared" si="0"/>
        <v>#VALUE!</v>
      </c>
      <c r="Y62" t="e">
        <f t="shared" si="1"/>
        <v>#VALUE!</v>
      </c>
      <c r="Z62" t="e">
        <f t="shared" si="2"/>
        <v>#VALUE!</v>
      </c>
      <c r="AA62" t="e">
        <f t="shared" si="3"/>
        <v>#VALUE!</v>
      </c>
      <c r="AB62" t="e">
        <f t="shared" si="4"/>
        <v>#VALUE!</v>
      </c>
      <c r="AC62" t="e">
        <f t="shared" si="5"/>
        <v>#VALUE!</v>
      </c>
      <c r="AD62" t="e">
        <f t="shared" si="6"/>
        <v>#VALUE!</v>
      </c>
      <c r="AE62" t="e">
        <f t="shared" si="7"/>
        <v>#VALUE!</v>
      </c>
    </row>
    <row r="63" spans="13:31" ht="14.4" thickBot="1" x14ac:dyDescent="0.3">
      <c r="M63" s="22" t="s">
        <v>2908</v>
      </c>
      <c r="N63" s="22" t="s">
        <v>2382</v>
      </c>
      <c r="O63" s="22" t="s">
        <v>2908</v>
      </c>
      <c r="P63" s="22" t="s">
        <v>2908</v>
      </c>
      <c r="Q63" s="22" t="s">
        <v>2908</v>
      </c>
      <c r="R63" s="22" t="s">
        <v>2908</v>
      </c>
      <c r="S63" s="22" t="s">
        <v>2908</v>
      </c>
      <c r="T63" s="22" t="s">
        <v>2908</v>
      </c>
      <c r="U63" s="22" t="s">
        <v>2908</v>
      </c>
      <c r="V63" s="22" t="s">
        <v>2908</v>
      </c>
      <c r="W63" s="22" t="s">
        <v>2908</v>
      </c>
      <c r="X63" t="e">
        <f t="shared" si="0"/>
        <v>#VALUE!</v>
      </c>
      <c r="Y63" t="e">
        <f t="shared" si="1"/>
        <v>#VALUE!</v>
      </c>
      <c r="Z63" t="e">
        <f t="shared" si="2"/>
        <v>#VALUE!</v>
      </c>
      <c r="AA63" t="e">
        <f t="shared" si="3"/>
        <v>#VALUE!</v>
      </c>
      <c r="AB63" t="e">
        <f t="shared" si="4"/>
        <v>#VALUE!</v>
      </c>
      <c r="AC63" t="e">
        <f t="shared" si="5"/>
        <v>#VALUE!</v>
      </c>
      <c r="AD63" t="e">
        <f t="shared" si="6"/>
        <v>#VALUE!</v>
      </c>
      <c r="AE63" t="e">
        <f t="shared" si="7"/>
        <v>#VALUE!</v>
      </c>
    </row>
    <row r="64" spans="13:31" ht="14.4" thickBot="1" x14ac:dyDescent="0.3">
      <c r="M64" s="22" t="s">
        <v>2908</v>
      </c>
      <c r="N64" s="22" t="s">
        <v>2393</v>
      </c>
      <c r="O64" s="22" t="s">
        <v>2908</v>
      </c>
      <c r="P64" s="22" t="s">
        <v>2908</v>
      </c>
      <c r="Q64" s="22" t="s">
        <v>2908</v>
      </c>
      <c r="R64" s="22" t="s">
        <v>2908</v>
      </c>
      <c r="S64" s="22" t="s">
        <v>2908</v>
      </c>
      <c r="T64" s="22" t="s">
        <v>2908</v>
      </c>
      <c r="U64" s="22" t="s">
        <v>2908</v>
      </c>
      <c r="V64" s="22" t="s">
        <v>2908</v>
      </c>
      <c r="W64" s="22" t="s">
        <v>2908</v>
      </c>
      <c r="X64" t="e">
        <f t="shared" si="0"/>
        <v>#VALUE!</v>
      </c>
      <c r="Y64" t="e">
        <f t="shared" si="1"/>
        <v>#VALUE!</v>
      </c>
      <c r="Z64" t="e">
        <f t="shared" si="2"/>
        <v>#VALUE!</v>
      </c>
      <c r="AA64" t="e">
        <f t="shared" si="3"/>
        <v>#VALUE!</v>
      </c>
      <c r="AB64" t="e">
        <f t="shared" si="4"/>
        <v>#VALUE!</v>
      </c>
      <c r="AC64" t="e">
        <f t="shared" si="5"/>
        <v>#VALUE!</v>
      </c>
      <c r="AD64" t="e">
        <f t="shared" si="6"/>
        <v>#VALUE!</v>
      </c>
      <c r="AE64" t="e">
        <f t="shared" si="7"/>
        <v>#VALUE!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5169-5877-4CE1-AA2D-90460D2DBE6F}">
  <dimension ref="A1:V64"/>
  <sheetViews>
    <sheetView workbookViewId="0">
      <selection activeCell="J1" sqref="J1:M1"/>
    </sheetView>
  </sheetViews>
  <sheetFormatPr defaultRowHeight="13.8" x14ac:dyDescent="0.25"/>
  <cols>
    <col min="19" max="19" width="10.44140625" bestFit="1" customWidth="1"/>
    <col min="20" max="20" width="13.33203125" customWidth="1"/>
    <col min="21" max="21" width="14" customWidth="1"/>
    <col min="22" max="22" width="14.44140625" customWidth="1"/>
  </cols>
  <sheetData>
    <row r="1" spans="1:22" ht="42" thickBot="1" x14ac:dyDescent="0.3">
      <c r="A1" s="21" t="s">
        <v>2845</v>
      </c>
      <c r="B1" s="21" t="s">
        <v>2846</v>
      </c>
      <c r="C1" s="21" t="s">
        <v>2949</v>
      </c>
      <c r="D1" s="21" t="s">
        <v>2950</v>
      </c>
      <c r="E1" s="21" t="s">
        <v>2951</v>
      </c>
      <c r="F1" s="21" t="s">
        <v>2952</v>
      </c>
      <c r="H1" s="21" t="s">
        <v>2845</v>
      </c>
      <c r="I1" s="21" t="s">
        <v>2906</v>
      </c>
      <c r="J1" s="21" t="s">
        <v>7783</v>
      </c>
      <c r="K1" s="21" t="s">
        <v>7784</v>
      </c>
      <c r="L1" s="21" t="s">
        <v>7785</v>
      </c>
      <c r="M1" s="21" t="s">
        <v>7786</v>
      </c>
    </row>
    <row r="2" spans="1:22" ht="28.2" thickBot="1" x14ac:dyDescent="0.3">
      <c r="A2" s="22">
        <v>1</v>
      </c>
      <c r="B2" s="22" t="s">
        <v>2320</v>
      </c>
      <c r="C2" s="22" t="s">
        <v>2967</v>
      </c>
      <c r="D2" s="22" t="s">
        <v>2968</v>
      </c>
      <c r="E2" s="22" t="s">
        <v>2969</v>
      </c>
      <c r="F2" s="22" t="s">
        <v>2970</v>
      </c>
      <c r="H2" s="22">
        <v>1</v>
      </c>
      <c r="I2" s="22" t="s">
        <v>2897</v>
      </c>
      <c r="J2" s="22">
        <v>175.85</v>
      </c>
      <c r="K2" s="22">
        <v>139.91999999999999</v>
      </c>
      <c r="L2" s="22">
        <v>145.13</v>
      </c>
      <c r="M2" s="22">
        <v>159.55000000000001</v>
      </c>
      <c r="N2" s="36">
        <v>1000</v>
      </c>
      <c r="O2" s="36">
        <v>1000</v>
      </c>
      <c r="P2" s="36">
        <v>1000</v>
      </c>
      <c r="Q2" s="36">
        <v>1000</v>
      </c>
      <c r="S2">
        <f>J2*N2</f>
        <v>175850</v>
      </c>
      <c r="T2">
        <f t="shared" ref="T2:V2" si="0">K2*O2</f>
        <v>139920</v>
      </c>
      <c r="U2">
        <f t="shared" si="0"/>
        <v>145130</v>
      </c>
      <c r="V2">
        <f t="shared" si="0"/>
        <v>159550</v>
      </c>
    </row>
    <row r="3" spans="1:22" ht="28.2" thickBot="1" x14ac:dyDescent="0.3">
      <c r="A3" s="22">
        <v>2</v>
      </c>
      <c r="B3" s="22" t="s">
        <v>2953</v>
      </c>
      <c r="C3" s="22" t="s">
        <v>2971</v>
      </c>
      <c r="D3" s="22" t="s">
        <v>2972</v>
      </c>
      <c r="E3" s="22" t="s">
        <v>2973</v>
      </c>
      <c r="F3" s="22" t="s">
        <v>2974</v>
      </c>
      <c r="H3" s="22">
        <v>2</v>
      </c>
      <c r="I3" s="22" t="s">
        <v>2162</v>
      </c>
      <c r="J3" s="22">
        <v>2.9</v>
      </c>
      <c r="K3" s="22">
        <v>1.02</v>
      </c>
      <c r="L3" s="22">
        <v>0.78</v>
      </c>
      <c r="M3" s="22">
        <v>1.65</v>
      </c>
      <c r="N3" s="36">
        <v>1000</v>
      </c>
      <c r="O3" s="36">
        <v>1000</v>
      </c>
      <c r="P3" s="36">
        <v>1000</v>
      </c>
      <c r="Q3" s="36">
        <v>1000</v>
      </c>
      <c r="S3">
        <f t="shared" ref="S3:S64" si="1">J3*N3</f>
        <v>2900</v>
      </c>
      <c r="T3">
        <f t="shared" ref="T3:T64" si="2">K3*O3</f>
        <v>1020</v>
      </c>
      <c r="U3">
        <f t="shared" ref="U3:U64" si="3">L3*P3</f>
        <v>780</v>
      </c>
      <c r="V3">
        <f t="shared" ref="V3:V64" si="4">M3*Q3</f>
        <v>1650</v>
      </c>
    </row>
    <row r="4" spans="1:22" ht="28.2" thickBot="1" x14ac:dyDescent="0.3">
      <c r="A4" s="22">
        <v>3</v>
      </c>
      <c r="B4" s="22" t="s">
        <v>2168</v>
      </c>
      <c r="C4" s="22" t="s">
        <v>2975</v>
      </c>
      <c r="D4" s="22" t="s">
        <v>2976</v>
      </c>
      <c r="E4" s="22" t="s">
        <v>2977</v>
      </c>
      <c r="F4" s="22" t="s">
        <v>2978</v>
      </c>
      <c r="H4" s="22">
        <v>3</v>
      </c>
      <c r="I4" s="22" t="s">
        <v>2018</v>
      </c>
      <c r="J4" s="22">
        <v>14.1</v>
      </c>
      <c r="K4" s="22">
        <v>9.26</v>
      </c>
      <c r="L4" s="22">
        <v>21.43</v>
      </c>
      <c r="M4" s="22">
        <v>21.05</v>
      </c>
      <c r="N4" s="36">
        <v>1000</v>
      </c>
      <c r="O4" s="36">
        <v>1000</v>
      </c>
      <c r="P4" s="36">
        <v>1000</v>
      </c>
      <c r="Q4" s="36">
        <v>1000</v>
      </c>
      <c r="S4">
        <f t="shared" si="1"/>
        <v>14100</v>
      </c>
      <c r="T4">
        <f t="shared" si="2"/>
        <v>9260</v>
      </c>
      <c r="U4">
        <f t="shared" si="3"/>
        <v>21430</v>
      </c>
      <c r="V4">
        <f t="shared" si="4"/>
        <v>21050</v>
      </c>
    </row>
    <row r="5" spans="1:22" ht="28.2" thickBot="1" x14ac:dyDescent="0.3">
      <c r="A5" s="22">
        <v>4</v>
      </c>
      <c r="B5" s="22" t="s">
        <v>2947</v>
      </c>
      <c r="C5" s="22" t="s">
        <v>2979</v>
      </c>
      <c r="D5" s="22" t="s">
        <v>2980</v>
      </c>
      <c r="E5" s="22" t="s">
        <v>2981</v>
      </c>
      <c r="F5" s="22" t="s">
        <v>2982</v>
      </c>
      <c r="H5" s="22">
        <v>4</v>
      </c>
      <c r="I5" s="22" t="s">
        <v>2022</v>
      </c>
      <c r="J5" s="22">
        <v>57.55</v>
      </c>
      <c r="K5" s="22">
        <v>35.72</v>
      </c>
      <c r="L5" s="22">
        <v>64.45</v>
      </c>
      <c r="M5" s="22">
        <v>60.9</v>
      </c>
      <c r="N5" s="36">
        <v>1000</v>
      </c>
      <c r="O5" s="36">
        <v>1000</v>
      </c>
      <c r="P5" s="36">
        <v>1000</v>
      </c>
      <c r="Q5" s="36">
        <v>1000</v>
      </c>
      <c r="S5">
        <f t="shared" si="1"/>
        <v>57550</v>
      </c>
      <c r="T5">
        <f t="shared" si="2"/>
        <v>35720</v>
      </c>
      <c r="U5">
        <f t="shared" si="3"/>
        <v>64450</v>
      </c>
      <c r="V5">
        <f t="shared" si="4"/>
        <v>60900</v>
      </c>
    </row>
    <row r="6" spans="1:22" ht="28.2" thickBot="1" x14ac:dyDescent="0.3">
      <c r="A6" s="22">
        <v>5</v>
      </c>
      <c r="B6" s="22" t="s">
        <v>2930</v>
      </c>
      <c r="C6" s="22" t="s">
        <v>2954</v>
      </c>
      <c r="D6" s="22" t="s">
        <v>2983</v>
      </c>
      <c r="E6" s="22" t="s">
        <v>2984</v>
      </c>
      <c r="F6" s="22" t="s">
        <v>2954</v>
      </c>
      <c r="H6" s="22">
        <v>5</v>
      </c>
      <c r="I6" s="22" t="s">
        <v>2023</v>
      </c>
      <c r="J6" s="22">
        <v>0.09</v>
      </c>
      <c r="K6" s="22">
        <v>4.5999999999999999E-2</v>
      </c>
      <c r="L6" s="22">
        <v>6.2E-2</v>
      </c>
      <c r="M6" s="22">
        <v>0.06</v>
      </c>
      <c r="N6" s="36">
        <v>1000</v>
      </c>
      <c r="O6" s="36">
        <v>1000</v>
      </c>
      <c r="P6" s="36">
        <v>1000</v>
      </c>
      <c r="Q6" s="36">
        <v>1000</v>
      </c>
      <c r="S6">
        <f t="shared" si="1"/>
        <v>90</v>
      </c>
      <c r="T6">
        <f t="shared" si="2"/>
        <v>46</v>
      </c>
      <c r="U6">
        <f t="shared" si="3"/>
        <v>62</v>
      </c>
      <c r="V6">
        <f t="shared" si="4"/>
        <v>60</v>
      </c>
    </row>
    <row r="7" spans="1:22" ht="28.2" thickBot="1" x14ac:dyDescent="0.3">
      <c r="A7" s="22">
        <v>6</v>
      </c>
      <c r="B7" s="22" t="s">
        <v>2857</v>
      </c>
      <c r="C7" s="22" t="s">
        <v>2954</v>
      </c>
      <c r="D7" s="22" t="s">
        <v>2954</v>
      </c>
      <c r="E7" s="22" t="s">
        <v>2985</v>
      </c>
      <c r="F7" s="22" t="s">
        <v>2954</v>
      </c>
      <c r="H7" s="22">
        <v>6</v>
      </c>
      <c r="I7" s="22" t="s">
        <v>2019</v>
      </c>
      <c r="J7" s="22">
        <v>3.55</v>
      </c>
      <c r="K7" s="22">
        <v>9.0399999999999991</v>
      </c>
      <c r="L7" s="22">
        <v>1.1299999999999999</v>
      </c>
      <c r="M7" s="22">
        <v>3.8</v>
      </c>
      <c r="N7" s="36">
        <v>1000</v>
      </c>
      <c r="O7" s="36">
        <v>1000</v>
      </c>
      <c r="P7" s="36">
        <v>1000</v>
      </c>
      <c r="Q7" s="36">
        <v>1000</v>
      </c>
      <c r="S7">
        <f t="shared" si="1"/>
        <v>3550</v>
      </c>
      <c r="T7">
        <f t="shared" si="2"/>
        <v>9040</v>
      </c>
      <c r="U7">
        <f t="shared" si="3"/>
        <v>1130</v>
      </c>
      <c r="V7">
        <f t="shared" si="4"/>
        <v>3800</v>
      </c>
    </row>
    <row r="8" spans="1:22" ht="28.2" thickBot="1" x14ac:dyDescent="0.3">
      <c r="A8" s="22">
        <v>7</v>
      </c>
      <c r="B8" s="22" t="s">
        <v>2948</v>
      </c>
      <c r="C8" s="22" t="s">
        <v>2986</v>
      </c>
      <c r="D8" s="22" t="s">
        <v>2954</v>
      </c>
      <c r="E8" s="22" t="s">
        <v>2987</v>
      </c>
      <c r="F8" s="22" t="s">
        <v>2988</v>
      </c>
      <c r="H8" s="22">
        <v>7</v>
      </c>
      <c r="I8" s="22" t="s">
        <v>2178</v>
      </c>
      <c r="J8" s="22">
        <v>3.5</v>
      </c>
      <c r="K8" s="22">
        <v>1.5</v>
      </c>
      <c r="L8" s="22">
        <v>1.21</v>
      </c>
      <c r="M8" s="22">
        <v>2.2000000000000002</v>
      </c>
      <c r="N8" s="36">
        <v>1000</v>
      </c>
      <c r="O8" s="36">
        <v>1000</v>
      </c>
      <c r="P8" s="36">
        <v>1000</v>
      </c>
      <c r="Q8" s="36">
        <v>1000</v>
      </c>
      <c r="S8">
        <f t="shared" si="1"/>
        <v>3500</v>
      </c>
      <c r="T8">
        <f t="shared" si="2"/>
        <v>1500</v>
      </c>
      <c r="U8">
        <f t="shared" si="3"/>
        <v>1210</v>
      </c>
      <c r="V8">
        <f t="shared" si="4"/>
        <v>2200</v>
      </c>
    </row>
    <row r="9" spans="1:22" ht="28.2" thickBot="1" x14ac:dyDescent="0.3">
      <c r="A9" s="22">
        <v>1</v>
      </c>
      <c r="B9" s="22" t="s">
        <v>2955</v>
      </c>
      <c r="C9" s="22" t="s">
        <v>2989</v>
      </c>
      <c r="D9" s="22" t="s">
        <v>2990</v>
      </c>
      <c r="E9" s="22" t="s">
        <v>2991</v>
      </c>
      <c r="F9" s="22" t="s">
        <v>2992</v>
      </c>
      <c r="H9" s="22">
        <v>8</v>
      </c>
      <c r="I9" s="22" t="s">
        <v>2898</v>
      </c>
      <c r="J9" s="22">
        <v>56.65</v>
      </c>
      <c r="K9" s="22">
        <v>63.36</v>
      </c>
      <c r="L9" s="22">
        <v>61.13</v>
      </c>
      <c r="M9" s="22">
        <v>94.5</v>
      </c>
      <c r="N9" s="36">
        <v>1000</v>
      </c>
      <c r="O9" s="36">
        <v>1000</v>
      </c>
      <c r="P9" s="36">
        <v>1000</v>
      </c>
      <c r="Q9" s="36">
        <v>1000</v>
      </c>
      <c r="S9">
        <f t="shared" si="1"/>
        <v>56650</v>
      </c>
      <c r="T9">
        <f t="shared" si="2"/>
        <v>63360</v>
      </c>
      <c r="U9">
        <f t="shared" si="3"/>
        <v>61130</v>
      </c>
      <c r="V9">
        <f t="shared" si="4"/>
        <v>94500</v>
      </c>
    </row>
    <row r="10" spans="1:22" ht="42" thickBot="1" x14ac:dyDescent="0.3">
      <c r="A10" s="22">
        <v>2</v>
      </c>
      <c r="B10" s="22" t="s">
        <v>2956</v>
      </c>
      <c r="C10" s="22" t="s">
        <v>2993</v>
      </c>
      <c r="D10" s="22" t="s">
        <v>2994</v>
      </c>
      <c r="E10" s="22" t="s">
        <v>2995</v>
      </c>
      <c r="F10" s="22" t="s">
        <v>2996</v>
      </c>
      <c r="H10" s="22">
        <v>9</v>
      </c>
      <c r="I10" s="22" t="s">
        <v>2909</v>
      </c>
      <c r="J10" s="22" t="s">
        <v>2908</v>
      </c>
      <c r="K10" s="22" t="s">
        <v>2908</v>
      </c>
      <c r="L10" s="22" t="s">
        <v>2908</v>
      </c>
      <c r="M10" s="22" t="s">
        <v>2908</v>
      </c>
      <c r="N10" s="36">
        <v>1000</v>
      </c>
      <c r="O10" s="36">
        <v>1000</v>
      </c>
      <c r="P10" s="36">
        <v>1000</v>
      </c>
      <c r="Q10" s="36">
        <v>1000</v>
      </c>
      <c r="S10" t="e">
        <f t="shared" si="1"/>
        <v>#VALUE!</v>
      </c>
      <c r="T10" t="e">
        <f t="shared" si="2"/>
        <v>#VALUE!</v>
      </c>
      <c r="U10" t="e">
        <f t="shared" si="3"/>
        <v>#VALUE!</v>
      </c>
      <c r="V10" t="e">
        <f t="shared" si="4"/>
        <v>#VALUE!</v>
      </c>
    </row>
    <row r="11" spans="1:22" ht="55.8" thickBot="1" x14ac:dyDescent="0.3">
      <c r="A11" s="22">
        <v>3</v>
      </c>
      <c r="B11" s="22" t="s">
        <v>2922</v>
      </c>
      <c r="C11" s="22" t="s">
        <v>2997</v>
      </c>
      <c r="D11" s="22" t="s">
        <v>2998</v>
      </c>
      <c r="E11" s="22" t="s">
        <v>2999</v>
      </c>
      <c r="F11" s="22" t="s">
        <v>3000</v>
      </c>
      <c r="H11" s="22">
        <v>10</v>
      </c>
      <c r="I11" s="22" t="s">
        <v>2910</v>
      </c>
      <c r="J11" s="22" t="s">
        <v>2908</v>
      </c>
      <c r="K11" s="22" t="s">
        <v>2908</v>
      </c>
      <c r="L11" s="22" t="s">
        <v>2908</v>
      </c>
      <c r="M11" s="22" t="s">
        <v>2908</v>
      </c>
      <c r="N11" s="36">
        <v>1000</v>
      </c>
      <c r="O11" s="36">
        <v>1000</v>
      </c>
      <c r="P11" s="36">
        <v>1000</v>
      </c>
      <c r="Q11" s="36">
        <v>1000</v>
      </c>
      <c r="S11" t="e">
        <f t="shared" si="1"/>
        <v>#VALUE!</v>
      </c>
      <c r="T11" t="e">
        <f t="shared" si="2"/>
        <v>#VALUE!</v>
      </c>
      <c r="U11" t="e">
        <f t="shared" si="3"/>
        <v>#VALUE!</v>
      </c>
      <c r="V11" t="e">
        <f t="shared" si="4"/>
        <v>#VALUE!</v>
      </c>
    </row>
    <row r="12" spans="1:22" ht="28.2" thickBot="1" x14ac:dyDescent="0.3">
      <c r="A12" s="22">
        <v>1</v>
      </c>
      <c r="B12" s="22" t="s">
        <v>2022</v>
      </c>
      <c r="C12" s="22" t="s">
        <v>3001</v>
      </c>
      <c r="D12" s="22" t="s">
        <v>3002</v>
      </c>
      <c r="E12" s="22" t="s">
        <v>3003</v>
      </c>
      <c r="F12" s="22" t="s">
        <v>3004</v>
      </c>
      <c r="H12" s="22">
        <v>11</v>
      </c>
      <c r="I12" s="22" t="s">
        <v>2911</v>
      </c>
      <c r="J12" s="22" t="s">
        <v>2908</v>
      </c>
      <c r="K12" s="22" t="s">
        <v>2908</v>
      </c>
      <c r="L12" s="22" t="s">
        <v>2908</v>
      </c>
      <c r="M12" s="22" t="s">
        <v>2908</v>
      </c>
      <c r="N12" s="36">
        <v>1000</v>
      </c>
      <c r="O12" s="36">
        <v>1000</v>
      </c>
      <c r="P12" s="36">
        <v>1000</v>
      </c>
      <c r="Q12" s="36">
        <v>1000</v>
      </c>
      <c r="S12" t="e">
        <f t="shared" si="1"/>
        <v>#VALUE!</v>
      </c>
      <c r="T12" t="e">
        <f t="shared" si="2"/>
        <v>#VALUE!</v>
      </c>
      <c r="U12" t="e">
        <f t="shared" si="3"/>
        <v>#VALUE!</v>
      </c>
      <c r="V12" t="e">
        <f t="shared" si="4"/>
        <v>#VALUE!</v>
      </c>
    </row>
    <row r="13" spans="1:22" ht="28.2" thickBot="1" x14ac:dyDescent="0.3">
      <c r="A13" s="22">
        <v>2</v>
      </c>
      <c r="B13" s="22" t="s">
        <v>2018</v>
      </c>
      <c r="C13" s="22" t="s">
        <v>3005</v>
      </c>
      <c r="D13" s="22" t="s">
        <v>3006</v>
      </c>
      <c r="E13" s="22" t="s">
        <v>3007</v>
      </c>
      <c r="F13" s="22" t="s">
        <v>3008</v>
      </c>
      <c r="H13" s="22">
        <v>12</v>
      </c>
      <c r="I13" s="22" t="s">
        <v>2957</v>
      </c>
      <c r="J13" s="22">
        <v>7.0000000000000007E-2</v>
      </c>
      <c r="K13" s="22">
        <v>1</v>
      </c>
      <c r="L13" s="22">
        <v>1</v>
      </c>
      <c r="M13" s="22">
        <v>1.1000000000000001</v>
      </c>
      <c r="N13" s="36">
        <v>1000</v>
      </c>
      <c r="O13" s="36">
        <v>1000</v>
      </c>
      <c r="P13" s="36">
        <v>1000</v>
      </c>
      <c r="Q13" s="36">
        <v>1000</v>
      </c>
      <c r="S13">
        <f t="shared" si="1"/>
        <v>70</v>
      </c>
      <c r="T13">
        <f t="shared" si="2"/>
        <v>1000</v>
      </c>
      <c r="U13">
        <f t="shared" si="3"/>
        <v>1000</v>
      </c>
      <c r="V13">
        <f t="shared" si="4"/>
        <v>1100</v>
      </c>
    </row>
    <row r="14" spans="1:22" ht="28.2" thickBot="1" x14ac:dyDescent="0.3">
      <c r="A14" s="22">
        <v>3</v>
      </c>
      <c r="B14" s="22" t="s">
        <v>2162</v>
      </c>
      <c r="C14" s="22" t="s">
        <v>3009</v>
      </c>
      <c r="D14" s="22" t="s">
        <v>3010</v>
      </c>
      <c r="E14" s="22" t="s">
        <v>3011</v>
      </c>
      <c r="F14" s="22" t="s">
        <v>3012</v>
      </c>
      <c r="H14" s="22">
        <v>13</v>
      </c>
      <c r="I14" s="22" t="s">
        <v>2913</v>
      </c>
      <c r="J14" s="22" t="s">
        <v>2908</v>
      </c>
      <c r="K14" s="22" t="s">
        <v>2908</v>
      </c>
      <c r="L14" s="22" t="s">
        <v>2908</v>
      </c>
      <c r="M14" s="22" t="s">
        <v>2908</v>
      </c>
      <c r="N14" s="36">
        <v>1000</v>
      </c>
      <c r="O14" s="36">
        <v>1000</v>
      </c>
      <c r="P14" s="36">
        <v>1000</v>
      </c>
      <c r="Q14" s="36">
        <v>1000</v>
      </c>
      <c r="S14" t="e">
        <f t="shared" si="1"/>
        <v>#VALUE!</v>
      </c>
      <c r="T14" t="e">
        <f t="shared" si="2"/>
        <v>#VALUE!</v>
      </c>
      <c r="U14" t="e">
        <f t="shared" si="3"/>
        <v>#VALUE!</v>
      </c>
      <c r="V14" t="e">
        <f t="shared" si="4"/>
        <v>#VALUE!</v>
      </c>
    </row>
    <row r="15" spans="1:22" ht="28.2" thickBot="1" x14ac:dyDescent="0.3">
      <c r="A15" s="22">
        <v>4</v>
      </c>
      <c r="B15" s="22" t="s">
        <v>2915</v>
      </c>
      <c r="C15" s="22" t="s">
        <v>3013</v>
      </c>
      <c r="D15" s="22" t="s">
        <v>3014</v>
      </c>
      <c r="E15" s="22" t="s">
        <v>3015</v>
      </c>
      <c r="F15" s="22" t="s">
        <v>3016</v>
      </c>
      <c r="H15" s="22">
        <v>14</v>
      </c>
      <c r="I15" s="22" t="s">
        <v>2173</v>
      </c>
      <c r="J15" s="22" t="s">
        <v>2908</v>
      </c>
      <c r="K15" s="22" t="s">
        <v>2908</v>
      </c>
      <c r="L15" s="22" t="s">
        <v>2908</v>
      </c>
      <c r="M15" s="22" t="s">
        <v>2908</v>
      </c>
      <c r="N15" s="36">
        <v>1000</v>
      </c>
      <c r="O15" s="36">
        <v>1000</v>
      </c>
      <c r="P15" s="36">
        <v>1000</v>
      </c>
      <c r="Q15" s="36">
        <v>1000</v>
      </c>
      <c r="S15" t="e">
        <f t="shared" si="1"/>
        <v>#VALUE!</v>
      </c>
      <c r="T15" t="e">
        <f t="shared" si="2"/>
        <v>#VALUE!</v>
      </c>
      <c r="U15" t="e">
        <f t="shared" si="3"/>
        <v>#VALUE!</v>
      </c>
      <c r="V15" t="e">
        <f t="shared" si="4"/>
        <v>#VALUE!</v>
      </c>
    </row>
    <row r="16" spans="1:22" ht="28.2" thickBot="1" x14ac:dyDescent="0.3">
      <c r="A16" s="22">
        <v>5</v>
      </c>
      <c r="B16" s="22" t="s">
        <v>2019</v>
      </c>
      <c r="C16" s="22" t="s">
        <v>3017</v>
      </c>
      <c r="D16" s="22" t="s">
        <v>3018</v>
      </c>
      <c r="E16" s="22" t="s">
        <v>3019</v>
      </c>
      <c r="F16" s="22" t="s">
        <v>3020</v>
      </c>
      <c r="H16" s="22">
        <v>15</v>
      </c>
      <c r="I16" s="22" t="s">
        <v>2914</v>
      </c>
      <c r="J16" s="22">
        <v>1.25</v>
      </c>
      <c r="K16" s="22">
        <v>0.56000000000000005</v>
      </c>
      <c r="L16" s="22">
        <v>0.55000000000000004</v>
      </c>
      <c r="M16" s="22">
        <v>1.4999999999999999E-2</v>
      </c>
      <c r="N16" s="36">
        <v>1000</v>
      </c>
      <c r="O16" s="36">
        <v>1000</v>
      </c>
      <c r="P16" s="36">
        <v>1000</v>
      </c>
      <c r="Q16" s="36">
        <v>1000</v>
      </c>
      <c r="S16">
        <f t="shared" si="1"/>
        <v>1250</v>
      </c>
      <c r="T16">
        <f t="shared" si="2"/>
        <v>560</v>
      </c>
      <c r="U16">
        <f t="shared" si="3"/>
        <v>550</v>
      </c>
      <c r="V16">
        <f t="shared" si="4"/>
        <v>15</v>
      </c>
    </row>
    <row r="17" spans="1:22" ht="28.2" thickBot="1" x14ac:dyDescent="0.3">
      <c r="A17" s="22">
        <v>6</v>
      </c>
      <c r="B17" s="22" t="s">
        <v>2897</v>
      </c>
      <c r="C17" s="22" t="s">
        <v>3021</v>
      </c>
      <c r="D17" s="22" t="s">
        <v>3022</v>
      </c>
      <c r="E17" s="22" t="s">
        <v>3023</v>
      </c>
      <c r="F17" s="22" t="s">
        <v>3024</v>
      </c>
      <c r="H17" s="22">
        <v>16</v>
      </c>
      <c r="I17" s="22" t="s">
        <v>2029</v>
      </c>
      <c r="J17" s="22" t="s">
        <v>2908</v>
      </c>
      <c r="K17" s="22" t="s">
        <v>2908</v>
      </c>
      <c r="L17" s="22" t="s">
        <v>2908</v>
      </c>
      <c r="M17" s="22" t="s">
        <v>2908</v>
      </c>
      <c r="N17" s="36">
        <v>1000</v>
      </c>
      <c r="O17" s="36">
        <v>1000</v>
      </c>
      <c r="P17" s="36">
        <v>1000</v>
      </c>
      <c r="Q17" s="36">
        <v>1000</v>
      </c>
      <c r="S17" t="e">
        <f t="shared" si="1"/>
        <v>#VALUE!</v>
      </c>
      <c r="T17" t="e">
        <f t="shared" si="2"/>
        <v>#VALUE!</v>
      </c>
      <c r="U17" t="e">
        <f t="shared" si="3"/>
        <v>#VALUE!</v>
      </c>
      <c r="V17" t="e">
        <f t="shared" si="4"/>
        <v>#VALUE!</v>
      </c>
    </row>
    <row r="18" spans="1:22" ht="28.2" thickBot="1" x14ac:dyDescent="0.3">
      <c r="A18" s="22">
        <v>7</v>
      </c>
      <c r="B18" s="22" t="s">
        <v>2178</v>
      </c>
      <c r="C18" s="22" t="s">
        <v>3025</v>
      </c>
      <c r="D18" s="22" t="s">
        <v>3026</v>
      </c>
      <c r="E18" s="22" t="s">
        <v>3027</v>
      </c>
      <c r="F18" s="22" t="s">
        <v>3028</v>
      </c>
      <c r="H18" s="22">
        <v>17</v>
      </c>
      <c r="I18" s="22" t="s">
        <v>2028</v>
      </c>
      <c r="J18" s="22">
        <v>0.01</v>
      </c>
      <c r="K18" s="22">
        <v>0.01</v>
      </c>
      <c r="L18" s="22">
        <v>0.01</v>
      </c>
      <c r="M18" s="22">
        <v>0.02</v>
      </c>
      <c r="N18" s="36">
        <v>1000</v>
      </c>
      <c r="O18" s="36">
        <v>1000</v>
      </c>
      <c r="P18" s="36">
        <v>1000</v>
      </c>
      <c r="Q18" s="36">
        <v>1000</v>
      </c>
      <c r="S18">
        <f t="shared" si="1"/>
        <v>10</v>
      </c>
      <c r="T18">
        <f t="shared" si="2"/>
        <v>10</v>
      </c>
      <c r="U18">
        <f t="shared" si="3"/>
        <v>10</v>
      </c>
      <c r="V18">
        <f t="shared" si="4"/>
        <v>20</v>
      </c>
    </row>
    <row r="19" spans="1:22" ht="28.2" thickBot="1" x14ac:dyDescent="0.3">
      <c r="A19" s="22">
        <v>8</v>
      </c>
      <c r="B19" s="22" t="s">
        <v>2898</v>
      </c>
      <c r="C19" s="22" t="s">
        <v>3029</v>
      </c>
      <c r="D19" s="22" t="s">
        <v>3030</v>
      </c>
      <c r="E19" s="22" t="s">
        <v>3031</v>
      </c>
      <c r="F19" s="22" t="s">
        <v>3032</v>
      </c>
      <c r="H19" s="22">
        <v>18</v>
      </c>
      <c r="I19" s="22" t="s">
        <v>2915</v>
      </c>
      <c r="J19" s="22">
        <v>6.9</v>
      </c>
      <c r="K19" s="22">
        <v>4.0599999999999996</v>
      </c>
      <c r="L19" s="22">
        <v>4.28</v>
      </c>
      <c r="M19" s="22">
        <v>4.2</v>
      </c>
      <c r="N19" s="36">
        <v>1000</v>
      </c>
      <c r="O19" s="36">
        <v>1000</v>
      </c>
      <c r="P19" s="36">
        <v>1000</v>
      </c>
      <c r="Q19" s="36">
        <v>1000</v>
      </c>
      <c r="S19">
        <f t="shared" si="1"/>
        <v>6900</v>
      </c>
      <c r="T19">
        <f t="shared" si="2"/>
        <v>4059.9999999999995</v>
      </c>
      <c r="U19">
        <f t="shared" si="3"/>
        <v>4280</v>
      </c>
      <c r="V19">
        <f t="shared" si="4"/>
        <v>4200</v>
      </c>
    </row>
    <row r="20" spans="1:22" ht="28.2" thickBot="1" x14ac:dyDescent="0.3">
      <c r="A20" s="22">
        <v>9</v>
      </c>
      <c r="B20" s="22" t="s">
        <v>2914</v>
      </c>
      <c r="C20" s="22" t="s">
        <v>3033</v>
      </c>
      <c r="D20" s="22" t="s">
        <v>3034</v>
      </c>
      <c r="E20" s="22" t="s">
        <v>3035</v>
      </c>
      <c r="F20" s="22" t="s">
        <v>3036</v>
      </c>
      <c r="H20" s="22">
        <v>19</v>
      </c>
      <c r="I20" s="22" t="s">
        <v>2318</v>
      </c>
      <c r="J20" s="22" t="s">
        <v>2954</v>
      </c>
      <c r="K20" s="22">
        <v>4.0000000000000002E-4</v>
      </c>
      <c r="L20" s="22" t="s">
        <v>2954</v>
      </c>
      <c r="M20" s="22" t="s">
        <v>2954</v>
      </c>
      <c r="N20" s="36">
        <v>1000</v>
      </c>
      <c r="O20" s="36">
        <v>1000</v>
      </c>
      <c r="P20" s="36">
        <v>1000</v>
      </c>
      <c r="Q20" s="36">
        <v>1000</v>
      </c>
      <c r="S20" t="e">
        <f t="shared" si="1"/>
        <v>#VALUE!</v>
      </c>
      <c r="T20">
        <f t="shared" si="2"/>
        <v>0.4</v>
      </c>
      <c r="U20" t="e">
        <f t="shared" si="3"/>
        <v>#VALUE!</v>
      </c>
      <c r="V20" t="e">
        <f t="shared" si="4"/>
        <v>#VALUE!</v>
      </c>
    </row>
    <row r="21" spans="1:22" ht="28.2" thickBot="1" x14ac:dyDescent="0.3">
      <c r="A21" s="22">
        <v>10</v>
      </c>
      <c r="B21" s="22" t="s">
        <v>2023</v>
      </c>
      <c r="C21" s="22" t="s">
        <v>3037</v>
      </c>
      <c r="D21" s="22" t="s">
        <v>3038</v>
      </c>
      <c r="E21" s="22" t="s">
        <v>3039</v>
      </c>
      <c r="F21" s="22" t="s">
        <v>3040</v>
      </c>
      <c r="H21" s="22">
        <v>20</v>
      </c>
      <c r="I21" s="22" t="s">
        <v>2362</v>
      </c>
      <c r="J21" s="22" t="s">
        <v>2908</v>
      </c>
      <c r="K21" s="22" t="s">
        <v>2908</v>
      </c>
      <c r="L21" s="22" t="s">
        <v>2908</v>
      </c>
      <c r="M21" s="22" t="s">
        <v>2908</v>
      </c>
      <c r="N21" s="36">
        <v>1000</v>
      </c>
      <c r="O21" s="36">
        <v>1000</v>
      </c>
      <c r="P21" s="36">
        <v>1000</v>
      </c>
      <c r="Q21" s="36">
        <v>1000</v>
      </c>
      <c r="S21" t="e">
        <f t="shared" si="1"/>
        <v>#VALUE!</v>
      </c>
      <c r="T21" t="e">
        <f t="shared" si="2"/>
        <v>#VALUE!</v>
      </c>
      <c r="U21" t="e">
        <f t="shared" si="3"/>
        <v>#VALUE!</v>
      </c>
      <c r="V21" t="e">
        <f t="shared" si="4"/>
        <v>#VALUE!</v>
      </c>
    </row>
    <row r="22" spans="1:22" ht="28.2" thickBot="1" x14ac:dyDescent="0.3">
      <c r="A22" s="22">
        <v>11</v>
      </c>
      <c r="B22" s="22" t="s">
        <v>2957</v>
      </c>
      <c r="C22" s="22" t="s">
        <v>3041</v>
      </c>
      <c r="D22" s="22" t="s">
        <v>3042</v>
      </c>
      <c r="E22" s="22" t="s">
        <v>3043</v>
      </c>
      <c r="F22" s="22" t="s">
        <v>3044</v>
      </c>
      <c r="H22" s="22">
        <v>21</v>
      </c>
      <c r="I22" s="22" t="s">
        <v>2942</v>
      </c>
      <c r="J22" s="22">
        <v>5.45</v>
      </c>
      <c r="K22" s="22">
        <v>3.86</v>
      </c>
      <c r="L22" s="22">
        <v>3.75</v>
      </c>
      <c r="M22" s="22">
        <v>9.1</v>
      </c>
      <c r="N22" s="36">
        <v>1000</v>
      </c>
      <c r="O22" s="36">
        <v>1000</v>
      </c>
      <c r="P22" s="36">
        <v>1000</v>
      </c>
      <c r="Q22" s="36">
        <v>1000</v>
      </c>
      <c r="S22">
        <f t="shared" si="1"/>
        <v>5450</v>
      </c>
      <c r="T22">
        <f t="shared" si="2"/>
        <v>3860</v>
      </c>
      <c r="U22">
        <f t="shared" si="3"/>
        <v>3750</v>
      </c>
      <c r="V22">
        <f t="shared" si="4"/>
        <v>9100</v>
      </c>
    </row>
    <row r="23" spans="1:22" ht="28.2" thickBot="1" x14ac:dyDescent="0.3">
      <c r="A23" s="22">
        <v>12</v>
      </c>
      <c r="B23" s="22" t="s">
        <v>2186</v>
      </c>
      <c r="C23" s="22" t="s">
        <v>3037</v>
      </c>
      <c r="D23" s="22" t="s">
        <v>3045</v>
      </c>
      <c r="E23" s="22" t="s">
        <v>3046</v>
      </c>
      <c r="F23" s="22" t="s">
        <v>2997</v>
      </c>
      <c r="H23" s="22">
        <v>22</v>
      </c>
      <c r="I23" s="22" t="s">
        <v>3157</v>
      </c>
      <c r="J23" s="22">
        <v>4.3</v>
      </c>
      <c r="K23" s="22">
        <v>3.9</v>
      </c>
      <c r="L23" s="22">
        <v>3.95</v>
      </c>
      <c r="M23" s="22">
        <v>4.95</v>
      </c>
      <c r="N23" s="36">
        <v>1000</v>
      </c>
      <c r="O23" s="36">
        <v>1000</v>
      </c>
      <c r="P23" s="36">
        <v>1000</v>
      </c>
      <c r="Q23" s="36">
        <v>1000</v>
      </c>
      <c r="S23">
        <f t="shared" si="1"/>
        <v>4300</v>
      </c>
      <c r="T23">
        <f t="shared" si="2"/>
        <v>3900</v>
      </c>
      <c r="U23">
        <f t="shared" si="3"/>
        <v>3950</v>
      </c>
      <c r="V23">
        <f t="shared" si="4"/>
        <v>4950</v>
      </c>
    </row>
    <row r="24" spans="1:22" ht="42" thickBot="1" x14ac:dyDescent="0.3">
      <c r="A24" s="22">
        <v>13</v>
      </c>
      <c r="B24" s="22" t="s">
        <v>2958</v>
      </c>
      <c r="C24" s="22" t="s">
        <v>3037</v>
      </c>
      <c r="D24" s="22" t="s">
        <v>3047</v>
      </c>
      <c r="E24" s="22" t="s">
        <v>3048</v>
      </c>
      <c r="F24" s="22" t="s">
        <v>3049</v>
      </c>
      <c r="H24" s="22">
        <v>23</v>
      </c>
      <c r="I24" s="22" t="s">
        <v>2917</v>
      </c>
      <c r="J24" s="22">
        <v>24.7</v>
      </c>
      <c r="K24" s="22">
        <v>29.84</v>
      </c>
      <c r="L24" s="22">
        <v>7.93</v>
      </c>
      <c r="M24" s="22">
        <v>18.3</v>
      </c>
      <c r="N24" s="36">
        <v>1000</v>
      </c>
      <c r="O24" s="36">
        <v>1000</v>
      </c>
      <c r="P24" s="36">
        <v>1000</v>
      </c>
      <c r="Q24" s="36">
        <v>1000</v>
      </c>
      <c r="S24">
        <f t="shared" si="1"/>
        <v>24700</v>
      </c>
      <c r="T24">
        <f t="shared" si="2"/>
        <v>29840</v>
      </c>
      <c r="U24">
        <f t="shared" si="3"/>
        <v>7930</v>
      </c>
      <c r="V24">
        <f t="shared" si="4"/>
        <v>18300</v>
      </c>
    </row>
    <row r="25" spans="1:22" ht="28.2" thickBot="1" x14ac:dyDescent="0.3">
      <c r="A25" s="22">
        <v>14</v>
      </c>
      <c r="B25" s="22" t="s">
        <v>2028</v>
      </c>
      <c r="C25" s="22" t="s">
        <v>3050</v>
      </c>
      <c r="D25" s="22" t="s">
        <v>3051</v>
      </c>
      <c r="E25" s="22" t="s">
        <v>3052</v>
      </c>
      <c r="F25" s="22" t="s">
        <v>3053</v>
      </c>
      <c r="H25" s="22">
        <v>24</v>
      </c>
      <c r="I25" s="22" t="s">
        <v>2918</v>
      </c>
      <c r="J25" s="22" t="s">
        <v>2908</v>
      </c>
      <c r="K25" s="22" t="s">
        <v>2908</v>
      </c>
      <c r="L25" s="22" t="s">
        <v>2908</v>
      </c>
      <c r="M25" s="22" t="s">
        <v>2908</v>
      </c>
      <c r="N25" s="36">
        <v>1000</v>
      </c>
      <c r="O25" s="36">
        <v>1000</v>
      </c>
      <c r="P25" s="36">
        <v>1000</v>
      </c>
      <c r="Q25" s="36">
        <v>1000</v>
      </c>
      <c r="S25" t="e">
        <f t="shared" si="1"/>
        <v>#VALUE!</v>
      </c>
      <c r="T25" t="e">
        <f t="shared" si="2"/>
        <v>#VALUE!</v>
      </c>
      <c r="U25" t="e">
        <f t="shared" si="3"/>
        <v>#VALUE!</v>
      </c>
      <c r="V25" t="e">
        <f t="shared" si="4"/>
        <v>#VALUE!</v>
      </c>
    </row>
    <row r="26" spans="1:22" ht="28.2" thickBot="1" x14ac:dyDescent="0.3">
      <c r="A26" s="22">
        <v>15</v>
      </c>
      <c r="B26" s="22" t="s">
        <v>2929</v>
      </c>
      <c r="C26" s="22" t="s">
        <v>3054</v>
      </c>
      <c r="D26" s="22" t="s">
        <v>3055</v>
      </c>
      <c r="E26" s="22" t="s">
        <v>3056</v>
      </c>
      <c r="F26" s="22" t="s">
        <v>3057</v>
      </c>
      <c r="H26" s="22">
        <v>25</v>
      </c>
      <c r="I26" s="22" t="s">
        <v>2179</v>
      </c>
      <c r="J26" s="22" t="s">
        <v>2908</v>
      </c>
      <c r="K26" s="22" t="s">
        <v>2908</v>
      </c>
      <c r="L26" s="22" t="s">
        <v>2908</v>
      </c>
      <c r="M26" s="22" t="s">
        <v>2908</v>
      </c>
      <c r="N26" s="36">
        <v>1000</v>
      </c>
      <c r="O26" s="36">
        <v>1000</v>
      </c>
      <c r="P26" s="36">
        <v>1000</v>
      </c>
      <c r="Q26" s="36">
        <v>1000</v>
      </c>
      <c r="S26" t="e">
        <f t="shared" si="1"/>
        <v>#VALUE!</v>
      </c>
      <c r="T26" t="e">
        <f t="shared" si="2"/>
        <v>#VALUE!</v>
      </c>
      <c r="U26" t="e">
        <f t="shared" si="3"/>
        <v>#VALUE!</v>
      </c>
      <c r="V26" t="e">
        <f t="shared" si="4"/>
        <v>#VALUE!</v>
      </c>
    </row>
    <row r="27" spans="1:22" ht="28.2" thickBot="1" x14ac:dyDescent="0.3">
      <c r="A27" s="22">
        <v>16</v>
      </c>
      <c r="B27" s="22" t="s">
        <v>2959</v>
      </c>
      <c r="C27" s="22" t="s">
        <v>3058</v>
      </c>
      <c r="D27" s="22" t="s">
        <v>3059</v>
      </c>
      <c r="E27" s="22" t="s">
        <v>3060</v>
      </c>
      <c r="F27" s="22" t="s">
        <v>3061</v>
      </c>
      <c r="H27" s="22">
        <v>26</v>
      </c>
      <c r="I27" s="22" t="s">
        <v>2943</v>
      </c>
      <c r="J27" s="22">
        <v>14.55</v>
      </c>
      <c r="K27" s="22">
        <v>22.72</v>
      </c>
      <c r="L27" s="22">
        <v>8.08</v>
      </c>
      <c r="M27" s="22">
        <v>14.05</v>
      </c>
      <c r="N27" s="36">
        <v>1000</v>
      </c>
      <c r="O27" s="36">
        <v>1000</v>
      </c>
      <c r="P27" s="36">
        <v>1000</v>
      </c>
      <c r="Q27" s="36">
        <v>1000</v>
      </c>
      <c r="S27">
        <f t="shared" si="1"/>
        <v>14550</v>
      </c>
      <c r="T27">
        <f t="shared" si="2"/>
        <v>22720</v>
      </c>
      <c r="U27">
        <f t="shared" si="3"/>
        <v>8080</v>
      </c>
      <c r="V27">
        <f t="shared" si="4"/>
        <v>14050</v>
      </c>
    </row>
    <row r="28" spans="1:22" ht="28.2" thickBot="1" x14ac:dyDescent="0.3">
      <c r="A28" s="22">
        <v>17</v>
      </c>
      <c r="B28" s="22" t="s">
        <v>2901</v>
      </c>
      <c r="C28" s="22" t="s">
        <v>3062</v>
      </c>
      <c r="D28" s="22" t="s">
        <v>3063</v>
      </c>
      <c r="E28" s="22" t="s">
        <v>3064</v>
      </c>
      <c r="F28" s="22" t="s">
        <v>2954</v>
      </c>
      <c r="H28" s="22">
        <v>27</v>
      </c>
      <c r="I28" s="22" t="s">
        <v>2359</v>
      </c>
      <c r="J28" s="22">
        <v>10.75</v>
      </c>
      <c r="K28" s="22">
        <v>17.079999999999998</v>
      </c>
      <c r="L28" s="22">
        <v>4.0999999999999996</v>
      </c>
      <c r="M28" s="22">
        <v>7.45</v>
      </c>
      <c r="N28" s="36">
        <v>1000</v>
      </c>
      <c r="O28" s="36">
        <v>1000</v>
      </c>
      <c r="P28" s="36">
        <v>1000</v>
      </c>
      <c r="Q28" s="36">
        <v>1000</v>
      </c>
      <c r="S28">
        <f t="shared" si="1"/>
        <v>10750</v>
      </c>
      <c r="T28">
        <f t="shared" si="2"/>
        <v>17080</v>
      </c>
      <c r="U28">
        <f t="shared" si="3"/>
        <v>4100</v>
      </c>
      <c r="V28">
        <f t="shared" si="4"/>
        <v>7450</v>
      </c>
    </row>
    <row r="29" spans="1:22" ht="28.2" thickBot="1" x14ac:dyDescent="0.3">
      <c r="A29" s="22">
        <v>18</v>
      </c>
      <c r="B29" s="22" t="s">
        <v>2318</v>
      </c>
      <c r="C29" s="22" t="s">
        <v>2954</v>
      </c>
      <c r="D29" s="22" t="s">
        <v>3065</v>
      </c>
      <c r="E29" s="22" t="s">
        <v>2954</v>
      </c>
      <c r="F29" s="22" t="s">
        <v>2954</v>
      </c>
      <c r="H29" s="22">
        <v>28</v>
      </c>
      <c r="I29" s="22" t="s">
        <v>2965</v>
      </c>
      <c r="J29" s="22">
        <v>77.75</v>
      </c>
      <c r="K29" s="22">
        <v>67.540000000000006</v>
      </c>
      <c r="L29" s="22">
        <v>71.25</v>
      </c>
      <c r="M29" s="22">
        <v>69.3</v>
      </c>
      <c r="N29" s="36">
        <v>1000</v>
      </c>
      <c r="O29" s="36">
        <v>1000</v>
      </c>
      <c r="P29" s="36">
        <v>1000</v>
      </c>
      <c r="Q29" s="36">
        <v>1000</v>
      </c>
      <c r="S29">
        <f t="shared" si="1"/>
        <v>77750</v>
      </c>
      <c r="T29">
        <f t="shared" si="2"/>
        <v>67540</v>
      </c>
      <c r="U29">
        <f t="shared" si="3"/>
        <v>71250</v>
      </c>
      <c r="V29">
        <f t="shared" si="4"/>
        <v>69300</v>
      </c>
    </row>
    <row r="30" spans="1:22" ht="28.2" thickBot="1" x14ac:dyDescent="0.3">
      <c r="A30" s="22">
        <v>19</v>
      </c>
      <c r="B30" s="22" t="s">
        <v>2960</v>
      </c>
      <c r="C30" s="22" t="s">
        <v>3066</v>
      </c>
      <c r="D30" s="22" t="s">
        <v>3065</v>
      </c>
      <c r="E30" s="22" t="s">
        <v>2954</v>
      </c>
      <c r="F30" s="22" t="s">
        <v>3067</v>
      </c>
      <c r="H30" s="22">
        <v>29</v>
      </c>
      <c r="I30" s="22" t="s">
        <v>2892</v>
      </c>
      <c r="J30" s="22">
        <v>0.5</v>
      </c>
      <c r="K30" s="22">
        <v>0.28000000000000003</v>
      </c>
      <c r="L30" s="22">
        <v>0.5</v>
      </c>
      <c r="M30" s="22">
        <v>0.35</v>
      </c>
      <c r="N30" s="36">
        <v>1000</v>
      </c>
      <c r="O30" s="36">
        <v>1000</v>
      </c>
      <c r="P30" s="36">
        <v>1000</v>
      </c>
      <c r="Q30" s="36">
        <v>1000</v>
      </c>
      <c r="S30">
        <f t="shared" si="1"/>
        <v>500</v>
      </c>
      <c r="T30">
        <f t="shared" si="2"/>
        <v>280</v>
      </c>
      <c r="U30">
        <f t="shared" si="3"/>
        <v>500</v>
      </c>
      <c r="V30">
        <f t="shared" si="4"/>
        <v>350</v>
      </c>
    </row>
    <row r="31" spans="1:22" ht="28.2" thickBot="1" x14ac:dyDescent="0.3">
      <c r="A31" s="22">
        <v>1</v>
      </c>
      <c r="B31" s="22" t="s">
        <v>2961</v>
      </c>
      <c r="C31" s="22" t="s">
        <v>3068</v>
      </c>
      <c r="D31" s="22" t="s">
        <v>3069</v>
      </c>
      <c r="E31" s="22" t="s">
        <v>3070</v>
      </c>
      <c r="F31" s="22" t="s">
        <v>3071</v>
      </c>
      <c r="H31" s="22">
        <v>30</v>
      </c>
      <c r="I31" s="22" t="s">
        <v>2021</v>
      </c>
      <c r="J31" s="22">
        <v>1.6</v>
      </c>
      <c r="K31" s="22">
        <v>1.08</v>
      </c>
      <c r="L31" s="22">
        <v>1.175</v>
      </c>
      <c r="M31" s="22">
        <v>1</v>
      </c>
      <c r="N31" s="36">
        <v>1000</v>
      </c>
      <c r="O31" s="36">
        <v>1000</v>
      </c>
      <c r="P31" s="36">
        <v>1000</v>
      </c>
      <c r="Q31" s="36">
        <v>1000</v>
      </c>
      <c r="S31">
        <f t="shared" si="1"/>
        <v>1600</v>
      </c>
      <c r="T31">
        <f t="shared" si="2"/>
        <v>1080</v>
      </c>
      <c r="U31">
        <f t="shared" si="3"/>
        <v>1175</v>
      </c>
      <c r="V31">
        <f t="shared" si="4"/>
        <v>1000</v>
      </c>
    </row>
    <row r="32" spans="1:22" ht="28.2" thickBot="1" x14ac:dyDescent="0.3">
      <c r="A32" s="22">
        <v>2</v>
      </c>
      <c r="B32" s="22" t="s">
        <v>2868</v>
      </c>
      <c r="C32" s="22" t="s">
        <v>3072</v>
      </c>
      <c r="D32" s="22" t="s">
        <v>3073</v>
      </c>
      <c r="E32" s="22" t="s">
        <v>3074</v>
      </c>
      <c r="F32" s="22" t="s">
        <v>3075</v>
      </c>
      <c r="H32" s="22">
        <v>31</v>
      </c>
      <c r="I32" s="22" t="s">
        <v>2174</v>
      </c>
      <c r="J32" s="22" t="s">
        <v>2954</v>
      </c>
      <c r="K32" s="22" t="s">
        <v>2954</v>
      </c>
      <c r="L32" s="22">
        <v>7.4999999999999997E-3</v>
      </c>
      <c r="M32" s="22" t="s">
        <v>2954</v>
      </c>
      <c r="N32" s="36">
        <v>1000</v>
      </c>
      <c r="O32" s="36">
        <v>1000</v>
      </c>
      <c r="P32" s="36">
        <v>1000</v>
      </c>
      <c r="Q32" s="36">
        <v>1000</v>
      </c>
      <c r="S32" t="e">
        <f t="shared" si="1"/>
        <v>#VALUE!</v>
      </c>
      <c r="T32" t="e">
        <f t="shared" si="2"/>
        <v>#VALUE!</v>
      </c>
      <c r="U32">
        <f t="shared" si="3"/>
        <v>7.5</v>
      </c>
      <c r="V32" t="e">
        <f t="shared" si="4"/>
        <v>#VALUE!</v>
      </c>
    </row>
    <row r="33" spans="1:22" ht="28.2" thickBot="1" x14ac:dyDescent="0.3">
      <c r="A33" s="22">
        <v>3</v>
      </c>
      <c r="B33" s="22" t="s">
        <v>2863</v>
      </c>
      <c r="C33" s="22" t="s">
        <v>3076</v>
      </c>
      <c r="D33" s="22" t="s">
        <v>3077</v>
      </c>
      <c r="E33" s="22" t="s">
        <v>3078</v>
      </c>
      <c r="F33" s="22" t="s">
        <v>3079</v>
      </c>
      <c r="H33" s="22">
        <v>32</v>
      </c>
      <c r="I33" s="22" t="s">
        <v>2180</v>
      </c>
      <c r="J33" s="22">
        <v>0.15</v>
      </c>
      <c r="K33" s="22">
        <v>0.1</v>
      </c>
      <c r="L33" s="22">
        <v>0.06</v>
      </c>
      <c r="M33" s="22">
        <v>0.15</v>
      </c>
      <c r="N33" s="36">
        <v>1000</v>
      </c>
      <c r="O33" s="36">
        <v>1000</v>
      </c>
      <c r="P33" s="36">
        <v>1000</v>
      </c>
      <c r="Q33" s="36">
        <v>1000</v>
      </c>
      <c r="S33">
        <f t="shared" si="1"/>
        <v>150</v>
      </c>
      <c r="T33">
        <f t="shared" si="2"/>
        <v>100</v>
      </c>
      <c r="U33">
        <f t="shared" si="3"/>
        <v>60</v>
      </c>
      <c r="V33">
        <f t="shared" si="4"/>
        <v>150</v>
      </c>
    </row>
    <row r="34" spans="1:22" ht="28.2" thickBot="1" x14ac:dyDescent="0.3">
      <c r="A34" s="22">
        <v>4</v>
      </c>
      <c r="B34" s="22" t="s">
        <v>2359</v>
      </c>
      <c r="C34" s="22" t="s">
        <v>3080</v>
      </c>
      <c r="D34" s="22" t="s">
        <v>3081</v>
      </c>
      <c r="E34" s="22" t="s">
        <v>3082</v>
      </c>
      <c r="F34" s="22" t="s">
        <v>3083</v>
      </c>
      <c r="H34" s="22">
        <v>33</v>
      </c>
      <c r="I34" s="22" t="s">
        <v>2020</v>
      </c>
      <c r="J34" s="22">
        <v>0.05</v>
      </c>
      <c r="K34" s="22">
        <v>0.03</v>
      </c>
      <c r="L34" s="22">
        <v>0.03</v>
      </c>
      <c r="M34" s="22">
        <v>0.04</v>
      </c>
      <c r="N34" s="36">
        <v>1000</v>
      </c>
      <c r="O34" s="36">
        <v>1000</v>
      </c>
      <c r="P34" s="36">
        <v>1000</v>
      </c>
      <c r="Q34" s="36">
        <v>1000</v>
      </c>
      <c r="S34">
        <f t="shared" si="1"/>
        <v>50</v>
      </c>
      <c r="T34">
        <f t="shared" si="2"/>
        <v>30</v>
      </c>
      <c r="U34">
        <f t="shared" si="3"/>
        <v>30</v>
      </c>
      <c r="V34">
        <f t="shared" si="4"/>
        <v>40</v>
      </c>
    </row>
    <row r="35" spans="1:22" ht="28.2" thickBot="1" x14ac:dyDescent="0.3">
      <c r="A35" s="22">
        <v>5</v>
      </c>
      <c r="B35" s="22" t="s">
        <v>2866</v>
      </c>
      <c r="C35" s="22" t="s">
        <v>3084</v>
      </c>
      <c r="D35" s="22" t="s">
        <v>3085</v>
      </c>
      <c r="E35" s="22" t="s">
        <v>3086</v>
      </c>
      <c r="F35" s="22" t="s">
        <v>3087</v>
      </c>
      <c r="H35" s="22">
        <v>34</v>
      </c>
      <c r="I35" s="22" t="s">
        <v>2177</v>
      </c>
      <c r="J35" s="22">
        <v>39.950000000000003</v>
      </c>
      <c r="K35" s="22">
        <v>25.34</v>
      </c>
      <c r="L35" s="22">
        <v>49.18</v>
      </c>
      <c r="M35" s="22">
        <v>42.35</v>
      </c>
      <c r="N35" s="36">
        <v>1000</v>
      </c>
      <c r="O35" s="36">
        <v>1000</v>
      </c>
      <c r="P35" s="36">
        <v>1000</v>
      </c>
      <c r="Q35" s="36">
        <v>1000</v>
      </c>
      <c r="S35">
        <f t="shared" si="1"/>
        <v>39950</v>
      </c>
      <c r="T35">
        <f t="shared" si="2"/>
        <v>25340</v>
      </c>
      <c r="U35">
        <f t="shared" si="3"/>
        <v>49180</v>
      </c>
      <c r="V35">
        <f t="shared" si="4"/>
        <v>42350</v>
      </c>
    </row>
    <row r="36" spans="1:22" ht="28.2" thickBot="1" x14ac:dyDescent="0.3">
      <c r="A36" s="22">
        <v>6</v>
      </c>
      <c r="B36" s="22" t="s">
        <v>2962</v>
      </c>
      <c r="C36" s="22" t="s">
        <v>3088</v>
      </c>
      <c r="D36" s="22" t="s">
        <v>3089</v>
      </c>
      <c r="E36" s="22" t="s">
        <v>3090</v>
      </c>
      <c r="F36" s="22" t="s">
        <v>3091</v>
      </c>
      <c r="H36" s="22">
        <v>35</v>
      </c>
      <c r="I36" s="22" t="s">
        <v>2175</v>
      </c>
      <c r="J36" s="22" t="s">
        <v>2908</v>
      </c>
      <c r="K36" s="22" t="s">
        <v>2908</v>
      </c>
      <c r="L36" s="22" t="s">
        <v>2908</v>
      </c>
      <c r="M36" s="22" t="s">
        <v>2908</v>
      </c>
      <c r="N36" s="36">
        <v>1000</v>
      </c>
      <c r="O36" s="36">
        <v>1000</v>
      </c>
      <c r="P36" s="36">
        <v>1000</v>
      </c>
      <c r="Q36" s="36">
        <v>1000</v>
      </c>
      <c r="S36" t="e">
        <f t="shared" si="1"/>
        <v>#VALUE!</v>
      </c>
      <c r="T36" t="e">
        <f t="shared" si="2"/>
        <v>#VALUE!</v>
      </c>
      <c r="U36" t="e">
        <f t="shared" si="3"/>
        <v>#VALUE!</v>
      </c>
      <c r="V36" t="e">
        <f t="shared" si="4"/>
        <v>#VALUE!</v>
      </c>
    </row>
    <row r="37" spans="1:22" ht="42" thickBot="1" x14ac:dyDescent="0.3">
      <c r="A37" s="22">
        <v>7</v>
      </c>
      <c r="B37" s="22" t="s">
        <v>2872</v>
      </c>
      <c r="C37" s="22" t="s">
        <v>3092</v>
      </c>
      <c r="D37" s="22" t="s">
        <v>3093</v>
      </c>
      <c r="E37" s="22" t="s">
        <v>3094</v>
      </c>
      <c r="F37" s="22" t="s">
        <v>3095</v>
      </c>
      <c r="H37" s="22">
        <v>36</v>
      </c>
      <c r="I37" s="22" t="s">
        <v>2919</v>
      </c>
      <c r="J37" s="22">
        <v>3.95</v>
      </c>
      <c r="K37" s="22">
        <v>3.86</v>
      </c>
      <c r="L37" s="22">
        <v>6.65</v>
      </c>
      <c r="M37" s="22">
        <v>5.75</v>
      </c>
      <c r="N37" s="36">
        <v>1000</v>
      </c>
      <c r="O37" s="36">
        <v>1000</v>
      </c>
      <c r="P37" s="36">
        <v>1000</v>
      </c>
      <c r="Q37" s="36">
        <v>1000</v>
      </c>
      <c r="S37">
        <f t="shared" si="1"/>
        <v>3950</v>
      </c>
      <c r="T37">
        <f t="shared" si="2"/>
        <v>3860</v>
      </c>
      <c r="U37">
        <f t="shared" si="3"/>
        <v>6650</v>
      </c>
      <c r="V37">
        <f t="shared" si="4"/>
        <v>5750</v>
      </c>
    </row>
    <row r="38" spans="1:22" ht="28.2" thickBot="1" x14ac:dyDescent="0.3">
      <c r="A38" s="22">
        <v>8</v>
      </c>
      <c r="B38" s="22" t="s">
        <v>2871</v>
      </c>
      <c r="C38" s="22" t="s">
        <v>3096</v>
      </c>
      <c r="D38" s="22" t="s">
        <v>3097</v>
      </c>
      <c r="E38" s="22" t="s">
        <v>3098</v>
      </c>
      <c r="F38" s="22" t="s">
        <v>3099</v>
      </c>
      <c r="H38" s="22">
        <v>37</v>
      </c>
      <c r="I38" s="22" t="s">
        <v>2920</v>
      </c>
      <c r="J38" s="22" t="s">
        <v>2908</v>
      </c>
      <c r="K38" s="22" t="s">
        <v>2908</v>
      </c>
      <c r="L38" s="22" t="s">
        <v>2908</v>
      </c>
      <c r="M38" s="22" t="s">
        <v>2908</v>
      </c>
      <c r="N38" s="36">
        <v>1000</v>
      </c>
      <c r="O38" s="36">
        <v>1000</v>
      </c>
      <c r="P38" s="36">
        <v>1000</v>
      </c>
      <c r="Q38" s="36">
        <v>1000</v>
      </c>
      <c r="S38" t="e">
        <f t="shared" si="1"/>
        <v>#VALUE!</v>
      </c>
      <c r="T38" t="e">
        <f t="shared" si="2"/>
        <v>#VALUE!</v>
      </c>
      <c r="U38" t="e">
        <f t="shared" si="3"/>
        <v>#VALUE!</v>
      </c>
      <c r="V38" t="e">
        <f t="shared" si="4"/>
        <v>#VALUE!</v>
      </c>
    </row>
    <row r="39" spans="1:22" ht="28.2" thickBot="1" x14ac:dyDescent="0.3">
      <c r="A39" s="22">
        <v>9</v>
      </c>
      <c r="B39" s="22" t="s">
        <v>2875</v>
      </c>
      <c r="C39" s="22" t="s">
        <v>3100</v>
      </c>
      <c r="D39" s="22" t="s">
        <v>3101</v>
      </c>
      <c r="E39" s="22" t="s">
        <v>3102</v>
      </c>
      <c r="F39" s="22" t="s">
        <v>3103</v>
      </c>
      <c r="H39" s="22">
        <v>38</v>
      </c>
      <c r="I39" s="22" t="s">
        <v>2320</v>
      </c>
      <c r="J39" s="22">
        <v>49.5</v>
      </c>
      <c r="K39" s="22">
        <v>39.64</v>
      </c>
      <c r="L39" s="22">
        <v>33.68</v>
      </c>
      <c r="M39" s="22">
        <v>30.15</v>
      </c>
      <c r="N39" s="36">
        <v>1000</v>
      </c>
      <c r="O39" s="36">
        <v>1000</v>
      </c>
      <c r="P39" s="36">
        <v>1000</v>
      </c>
      <c r="Q39" s="36">
        <v>1000</v>
      </c>
      <c r="S39">
        <f t="shared" si="1"/>
        <v>49500</v>
      </c>
      <c r="T39">
        <f t="shared" si="2"/>
        <v>39640</v>
      </c>
      <c r="U39">
        <f t="shared" si="3"/>
        <v>33680</v>
      </c>
      <c r="V39">
        <f t="shared" si="4"/>
        <v>30150</v>
      </c>
    </row>
    <row r="40" spans="1:22" ht="28.2" thickBot="1" x14ac:dyDescent="0.3">
      <c r="A40" s="22">
        <v>10</v>
      </c>
      <c r="B40" s="22" t="s">
        <v>2869</v>
      </c>
      <c r="C40" s="22" t="s">
        <v>3104</v>
      </c>
      <c r="D40" s="22" t="s">
        <v>3105</v>
      </c>
      <c r="E40" s="22" t="s">
        <v>3106</v>
      </c>
      <c r="F40" s="22" t="s">
        <v>3107</v>
      </c>
      <c r="H40" s="22">
        <v>39</v>
      </c>
      <c r="I40" s="22" t="s">
        <v>2857</v>
      </c>
      <c r="J40" s="22" t="s">
        <v>2954</v>
      </c>
      <c r="K40" s="22" t="s">
        <v>2954</v>
      </c>
      <c r="L40" s="22">
        <v>0.02</v>
      </c>
      <c r="M40" s="22" t="s">
        <v>2954</v>
      </c>
      <c r="N40" s="36">
        <v>1000</v>
      </c>
      <c r="O40" s="36">
        <v>1000</v>
      </c>
      <c r="P40" s="36">
        <v>1000</v>
      </c>
      <c r="Q40" s="36">
        <v>1000</v>
      </c>
      <c r="S40" t="e">
        <f t="shared" si="1"/>
        <v>#VALUE!</v>
      </c>
      <c r="T40" t="e">
        <f t="shared" si="2"/>
        <v>#VALUE!</v>
      </c>
      <c r="U40">
        <f t="shared" si="3"/>
        <v>20</v>
      </c>
      <c r="V40" t="e">
        <f t="shared" si="4"/>
        <v>#VALUE!</v>
      </c>
    </row>
    <row r="41" spans="1:22" ht="42" thickBot="1" x14ac:dyDescent="0.3">
      <c r="A41" s="22">
        <v>11</v>
      </c>
      <c r="B41" s="22" t="s">
        <v>2963</v>
      </c>
      <c r="C41" s="22" t="s">
        <v>3108</v>
      </c>
      <c r="D41" s="22" t="s">
        <v>3109</v>
      </c>
      <c r="E41" s="22" t="s">
        <v>3110</v>
      </c>
      <c r="F41" s="22" t="s">
        <v>3111</v>
      </c>
      <c r="H41" s="22">
        <v>40</v>
      </c>
      <c r="I41" s="22" t="s">
        <v>3158</v>
      </c>
      <c r="J41" s="22">
        <v>50.75</v>
      </c>
      <c r="K41" s="22">
        <v>23.42</v>
      </c>
      <c r="L41" s="22">
        <v>30.28</v>
      </c>
      <c r="M41" s="22">
        <v>29.3</v>
      </c>
      <c r="N41" s="36">
        <v>1000</v>
      </c>
      <c r="O41" s="36">
        <v>1000</v>
      </c>
      <c r="P41" s="36">
        <v>1000</v>
      </c>
      <c r="Q41" s="36">
        <v>1000</v>
      </c>
      <c r="S41">
        <f t="shared" si="1"/>
        <v>50750</v>
      </c>
      <c r="T41">
        <f t="shared" si="2"/>
        <v>23420</v>
      </c>
      <c r="U41">
        <f t="shared" si="3"/>
        <v>30280</v>
      </c>
      <c r="V41">
        <f t="shared" si="4"/>
        <v>29300</v>
      </c>
    </row>
    <row r="42" spans="1:22" ht="28.2" thickBot="1" x14ac:dyDescent="0.3">
      <c r="A42" s="22">
        <v>12</v>
      </c>
      <c r="B42" s="22" t="s">
        <v>2878</v>
      </c>
      <c r="C42" s="22" t="s">
        <v>3112</v>
      </c>
      <c r="D42" s="22" t="s">
        <v>3113</v>
      </c>
      <c r="E42" s="22" t="s">
        <v>3114</v>
      </c>
      <c r="F42" s="22" t="s">
        <v>3115</v>
      </c>
      <c r="H42" s="22">
        <v>41</v>
      </c>
      <c r="I42" s="22" t="s">
        <v>2922</v>
      </c>
      <c r="J42" s="22">
        <v>0.2</v>
      </c>
      <c r="K42" s="22">
        <v>0.26</v>
      </c>
      <c r="L42" s="22">
        <v>0.42</v>
      </c>
      <c r="M42" s="22">
        <v>0.18</v>
      </c>
      <c r="N42" s="36">
        <v>1000</v>
      </c>
      <c r="O42" s="36">
        <v>1000</v>
      </c>
      <c r="P42" s="36">
        <v>1000</v>
      </c>
      <c r="Q42" s="36">
        <v>1000</v>
      </c>
      <c r="S42">
        <f t="shared" si="1"/>
        <v>200</v>
      </c>
      <c r="T42">
        <f t="shared" si="2"/>
        <v>260</v>
      </c>
      <c r="U42">
        <f t="shared" si="3"/>
        <v>420</v>
      </c>
      <c r="V42">
        <f t="shared" si="4"/>
        <v>180</v>
      </c>
    </row>
    <row r="43" spans="1:22" ht="28.2" thickBot="1" x14ac:dyDescent="0.3">
      <c r="A43" s="22">
        <v>13</v>
      </c>
      <c r="B43" s="22" t="s">
        <v>2964</v>
      </c>
      <c r="C43" s="22" t="s">
        <v>2954</v>
      </c>
      <c r="D43" s="22" t="s">
        <v>3116</v>
      </c>
      <c r="E43" s="22" t="s">
        <v>3117</v>
      </c>
      <c r="F43" s="22" t="s">
        <v>3118</v>
      </c>
      <c r="H43" s="22">
        <v>42</v>
      </c>
      <c r="I43" s="22" t="s">
        <v>2341</v>
      </c>
      <c r="J43" s="22" t="s">
        <v>2908</v>
      </c>
      <c r="K43" s="22" t="s">
        <v>2908</v>
      </c>
      <c r="L43" s="22" t="s">
        <v>2908</v>
      </c>
      <c r="M43" s="22" t="s">
        <v>2908</v>
      </c>
      <c r="N43" s="36">
        <v>1000</v>
      </c>
      <c r="O43" s="36">
        <v>1000</v>
      </c>
      <c r="P43" s="36">
        <v>1000</v>
      </c>
      <c r="Q43" s="36">
        <v>1000</v>
      </c>
      <c r="S43" t="e">
        <f t="shared" si="1"/>
        <v>#VALUE!</v>
      </c>
      <c r="T43" t="e">
        <f t="shared" si="2"/>
        <v>#VALUE!</v>
      </c>
      <c r="U43" t="e">
        <f t="shared" si="3"/>
        <v>#VALUE!</v>
      </c>
      <c r="V43" t="e">
        <f t="shared" si="4"/>
        <v>#VALUE!</v>
      </c>
    </row>
    <row r="44" spans="1:22" ht="28.2" thickBot="1" x14ac:dyDescent="0.3">
      <c r="A44" s="22">
        <v>1</v>
      </c>
      <c r="B44" s="22" t="s">
        <v>2177</v>
      </c>
      <c r="C44" s="22" t="s">
        <v>3119</v>
      </c>
      <c r="D44" s="22" t="s">
        <v>3120</v>
      </c>
      <c r="E44" s="22" t="s">
        <v>3121</v>
      </c>
      <c r="F44" s="22" t="s">
        <v>3122</v>
      </c>
      <c r="H44" s="22">
        <v>43</v>
      </c>
      <c r="I44" s="22" t="s">
        <v>2161</v>
      </c>
      <c r="J44" s="22" t="s">
        <v>2908</v>
      </c>
      <c r="K44" s="22" t="s">
        <v>2908</v>
      </c>
      <c r="L44" s="22" t="s">
        <v>2908</v>
      </c>
      <c r="M44" s="22" t="s">
        <v>2908</v>
      </c>
      <c r="N44" s="36">
        <v>1000</v>
      </c>
      <c r="O44" s="36">
        <v>1000</v>
      </c>
      <c r="P44" s="36">
        <v>1000</v>
      </c>
      <c r="Q44" s="36">
        <v>1000</v>
      </c>
      <c r="S44" t="e">
        <f t="shared" si="1"/>
        <v>#VALUE!</v>
      </c>
      <c r="T44" t="e">
        <f t="shared" si="2"/>
        <v>#VALUE!</v>
      </c>
      <c r="U44" t="e">
        <f t="shared" si="3"/>
        <v>#VALUE!</v>
      </c>
      <c r="V44" t="e">
        <f t="shared" si="4"/>
        <v>#VALUE!</v>
      </c>
    </row>
    <row r="45" spans="1:22" ht="42" thickBot="1" x14ac:dyDescent="0.3">
      <c r="A45" s="22">
        <v>2</v>
      </c>
      <c r="B45" s="22" t="s">
        <v>2185</v>
      </c>
      <c r="C45" s="22" t="s">
        <v>3123</v>
      </c>
      <c r="D45" s="22" t="s">
        <v>3124</v>
      </c>
      <c r="E45" s="22" t="s">
        <v>3125</v>
      </c>
      <c r="F45" s="22" t="s">
        <v>3126</v>
      </c>
      <c r="H45" s="22">
        <v>44</v>
      </c>
      <c r="I45" s="22" t="s">
        <v>2923</v>
      </c>
      <c r="J45" s="22" t="s">
        <v>2908</v>
      </c>
      <c r="K45" s="22" t="s">
        <v>2908</v>
      </c>
      <c r="L45" s="22" t="s">
        <v>2908</v>
      </c>
      <c r="M45" s="22" t="s">
        <v>2908</v>
      </c>
      <c r="N45" s="36">
        <v>1000</v>
      </c>
      <c r="O45" s="36">
        <v>1000</v>
      </c>
      <c r="P45" s="36">
        <v>1000</v>
      </c>
      <c r="Q45" s="36">
        <v>1000</v>
      </c>
      <c r="S45" t="e">
        <f t="shared" si="1"/>
        <v>#VALUE!</v>
      </c>
      <c r="T45" t="e">
        <f t="shared" si="2"/>
        <v>#VALUE!</v>
      </c>
      <c r="U45" t="e">
        <f t="shared" si="3"/>
        <v>#VALUE!</v>
      </c>
      <c r="V45" t="e">
        <f t="shared" si="4"/>
        <v>#VALUE!</v>
      </c>
    </row>
    <row r="46" spans="1:22" ht="42" thickBot="1" x14ac:dyDescent="0.3">
      <c r="A46" s="22">
        <v>3</v>
      </c>
      <c r="B46" s="22" t="s">
        <v>2892</v>
      </c>
      <c r="C46" s="22" t="s">
        <v>3127</v>
      </c>
      <c r="D46" s="22" t="s">
        <v>3128</v>
      </c>
      <c r="E46" s="22" t="s">
        <v>3129</v>
      </c>
      <c r="F46" s="22" t="s">
        <v>3130</v>
      </c>
      <c r="H46" s="22">
        <v>45</v>
      </c>
      <c r="I46" s="22" t="s">
        <v>2924</v>
      </c>
      <c r="J46" s="22" t="s">
        <v>2908</v>
      </c>
      <c r="K46" s="22" t="s">
        <v>2908</v>
      </c>
      <c r="L46" s="22" t="s">
        <v>2908</v>
      </c>
      <c r="M46" s="22" t="s">
        <v>2908</v>
      </c>
      <c r="N46" s="36">
        <v>1000</v>
      </c>
      <c r="O46" s="36">
        <v>1000</v>
      </c>
      <c r="P46" s="36">
        <v>1000</v>
      </c>
      <c r="Q46" s="36">
        <v>1000</v>
      </c>
      <c r="S46" t="e">
        <f t="shared" si="1"/>
        <v>#VALUE!</v>
      </c>
      <c r="T46" t="e">
        <f t="shared" si="2"/>
        <v>#VALUE!</v>
      </c>
      <c r="U46" t="e">
        <f t="shared" si="3"/>
        <v>#VALUE!</v>
      </c>
      <c r="V46" t="e">
        <f t="shared" si="4"/>
        <v>#VALUE!</v>
      </c>
    </row>
    <row r="47" spans="1:22" ht="42" thickBot="1" x14ac:dyDescent="0.3">
      <c r="A47" s="22">
        <v>4</v>
      </c>
      <c r="B47" s="22" t="s">
        <v>2020</v>
      </c>
      <c r="C47" s="22" t="s">
        <v>3131</v>
      </c>
      <c r="D47" s="22" t="s">
        <v>3132</v>
      </c>
      <c r="E47" s="22" t="s">
        <v>3133</v>
      </c>
      <c r="F47" s="22" t="s">
        <v>355</v>
      </c>
      <c r="H47" s="22">
        <v>46</v>
      </c>
      <c r="I47" s="22" t="s">
        <v>2925</v>
      </c>
      <c r="J47" s="22" t="s">
        <v>2908</v>
      </c>
      <c r="K47" s="22" t="s">
        <v>2908</v>
      </c>
      <c r="L47" s="22" t="s">
        <v>2908</v>
      </c>
      <c r="M47" s="22" t="s">
        <v>2908</v>
      </c>
      <c r="N47" s="36">
        <v>1000</v>
      </c>
      <c r="O47" s="36">
        <v>1000</v>
      </c>
      <c r="P47" s="36">
        <v>1000</v>
      </c>
      <c r="Q47" s="36">
        <v>1000</v>
      </c>
      <c r="S47" t="e">
        <f t="shared" si="1"/>
        <v>#VALUE!</v>
      </c>
      <c r="T47" t="e">
        <f t="shared" si="2"/>
        <v>#VALUE!</v>
      </c>
      <c r="U47" t="e">
        <f t="shared" si="3"/>
        <v>#VALUE!</v>
      </c>
      <c r="V47" t="e">
        <f t="shared" si="4"/>
        <v>#VALUE!</v>
      </c>
    </row>
    <row r="48" spans="1:22" ht="28.2" thickBot="1" x14ac:dyDescent="0.3">
      <c r="A48" s="22">
        <v>5</v>
      </c>
      <c r="B48" s="22" t="s">
        <v>2026</v>
      </c>
      <c r="C48" s="22" t="s">
        <v>3134</v>
      </c>
      <c r="D48" s="22" t="s">
        <v>3135</v>
      </c>
      <c r="E48" s="22" t="s">
        <v>3136</v>
      </c>
      <c r="F48" s="22" t="s">
        <v>3137</v>
      </c>
      <c r="H48" s="22">
        <v>47</v>
      </c>
      <c r="I48" s="22" t="s">
        <v>3159</v>
      </c>
      <c r="J48" s="22" t="s">
        <v>2908</v>
      </c>
      <c r="K48" s="22" t="s">
        <v>2908</v>
      </c>
      <c r="L48" s="22" t="s">
        <v>2908</v>
      </c>
      <c r="M48" s="22" t="s">
        <v>2908</v>
      </c>
      <c r="N48" s="36">
        <v>1000</v>
      </c>
      <c r="O48" s="36">
        <v>1000</v>
      </c>
      <c r="P48" s="36">
        <v>1000</v>
      </c>
      <c r="Q48" s="36">
        <v>1000</v>
      </c>
      <c r="S48" t="e">
        <f t="shared" si="1"/>
        <v>#VALUE!</v>
      </c>
      <c r="T48" t="e">
        <f t="shared" si="2"/>
        <v>#VALUE!</v>
      </c>
      <c r="U48" t="e">
        <f t="shared" si="3"/>
        <v>#VALUE!</v>
      </c>
      <c r="V48" t="e">
        <f t="shared" si="4"/>
        <v>#VALUE!</v>
      </c>
    </row>
    <row r="49" spans="1:22" ht="28.2" thickBot="1" x14ac:dyDescent="0.3">
      <c r="A49" s="22">
        <v>6</v>
      </c>
      <c r="B49" s="22" t="s">
        <v>2021</v>
      </c>
      <c r="C49" s="22" t="s">
        <v>3138</v>
      </c>
      <c r="D49" s="22" t="s">
        <v>3139</v>
      </c>
      <c r="E49" s="22" t="s">
        <v>3140</v>
      </c>
      <c r="F49" s="22" t="s">
        <v>3141</v>
      </c>
      <c r="H49" s="22">
        <v>48</v>
      </c>
      <c r="I49" s="22" t="s">
        <v>2878</v>
      </c>
      <c r="J49" s="22">
        <v>0.02</v>
      </c>
      <c r="K49" s="22">
        <v>0.03</v>
      </c>
      <c r="L49" s="22">
        <v>0.01</v>
      </c>
      <c r="M49" s="22">
        <v>0.03</v>
      </c>
      <c r="N49" s="36">
        <v>1000</v>
      </c>
      <c r="O49" s="36">
        <v>1000</v>
      </c>
      <c r="P49" s="36">
        <v>1000</v>
      </c>
      <c r="Q49" s="36">
        <v>1000</v>
      </c>
      <c r="S49">
        <f t="shared" si="1"/>
        <v>20</v>
      </c>
      <c r="T49">
        <f t="shared" si="2"/>
        <v>30</v>
      </c>
      <c r="U49">
        <f t="shared" si="3"/>
        <v>10</v>
      </c>
      <c r="V49">
        <f t="shared" si="4"/>
        <v>30</v>
      </c>
    </row>
    <row r="50" spans="1:22" ht="28.2" thickBot="1" x14ac:dyDescent="0.3">
      <c r="A50" s="22">
        <v>7</v>
      </c>
      <c r="B50" s="22" t="s">
        <v>2024</v>
      </c>
      <c r="C50" s="22" t="s">
        <v>3142</v>
      </c>
      <c r="D50" s="22" t="s">
        <v>3143</v>
      </c>
      <c r="E50" s="22" t="s">
        <v>3144</v>
      </c>
      <c r="F50" s="22" t="s">
        <v>3145</v>
      </c>
      <c r="H50" s="22">
        <v>49</v>
      </c>
      <c r="I50" s="22" t="s">
        <v>2927</v>
      </c>
      <c r="J50" s="22" t="s">
        <v>2908</v>
      </c>
      <c r="K50" s="22" t="s">
        <v>2908</v>
      </c>
      <c r="L50" s="22" t="s">
        <v>2908</v>
      </c>
      <c r="M50" s="22" t="s">
        <v>2908</v>
      </c>
      <c r="N50" s="36">
        <v>1000</v>
      </c>
      <c r="O50" s="36">
        <v>1000</v>
      </c>
      <c r="P50" s="36">
        <v>1000</v>
      </c>
      <c r="Q50" s="36">
        <v>1000</v>
      </c>
      <c r="S50" t="e">
        <f t="shared" si="1"/>
        <v>#VALUE!</v>
      </c>
      <c r="T50" t="e">
        <f t="shared" si="2"/>
        <v>#VALUE!</v>
      </c>
      <c r="U50" t="e">
        <f t="shared" si="3"/>
        <v>#VALUE!</v>
      </c>
      <c r="V50" t="e">
        <f t="shared" si="4"/>
        <v>#VALUE!</v>
      </c>
    </row>
    <row r="51" spans="1:22" ht="28.2" thickBot="1" x14ac:dyDescent="0.3">
      <c r="A51" s="22">
        <v>8</v>
      </c>
      <c r="B51" s="22" t="s">
        <v>2180</v>
      </c>
      <c r="C51" s="22" t="s">
        <v>3146</v>
      </c>
      <c r="D51" s="22" t="s">
        <v>3147</v>
      </c>
      <c r="E51" s="22" t="s">
        <v>3148</v>
      </c>
      <c r="F51" s="22" t="s">
        <v>3149</v>
      </c>
      <c r="H51" s="22">
        <v>50</v>
      </c>
      <c r="I51" s="22" t="s">
        <v>2164</v>
      </c>
      <c r="J51" s="22" t="s">
        <v>2908</v>
      </c>
      <c r="K51" s="22" t="s">
        <v>2908</v>
      </c>
      <c r="L51" s="22" t="s">
        <v>2908</v>
      </c>
      <c r="M51" s="22" t="s">
        <v>2908</v>
      </c>
      <c r="N51" s="36">
        <v>1000</v>
      </c>
      <c r="O51" s="36">
        <v>1000</v>
      </c>
      <c r="P51" s="36">
        <v>1000</v>
      </c>
      <c r="Q51" s="36">
        <v>1000</v>
      </c>
      <c r="S51" t="e">
        <f t="shared" si="1"/>
        <v>#VALUE!</v>
      </c>
      <c r="T51" t="e">
        <f t="shared" si="2"/>
        <v>#VALUE!</v>
      </c>
      <c r="U51" t="e">
        <f t="shared" si="3"/>
        <v>#VALUE!</v>
      </c>
      <c r="V51" t="e">
        <f t="shared" si="4"/>
        <v>#VALUE!</v>
      </c>
    </row>
    <row r="52" spans="1:22" ht="28.2" thickBot="1" x14ac:dyDescent="0.3">
      <c r="A52" s="22">
        <v>9</v>
      </c>
      <c r="B52" s="22" t="s">
        <v>2174</v>
      </c>
      <c r="C52" s="22" t="s">
        <v>2954</v>
      </c>
      <c r="D52" s="22" t="s">
        <v>2954</v>
      </c>
      <c r="E52" s="22" t="s">
        <v>3150</v>
      </c>
      <c r="F52" s="22" t="s">
        <v>2954</v>
      </c>
      <c r="H52" s="22">
        <v>51</v>
      </c>
      <c r="I52" s="22" t="s">
        <v>2170</v>
      </c>
      <c r="J52" s="22" t="s">
        <v>2908</v>
      </c>
      <c r="K52" s="22" t="s">
        <v>2908</v>
      </c>
      <c r="L52" s="22" t="s">
        <v>2908</v>
      </c>
      <c r="M52" s="22" t="s">
        <v>2908</v>
      </c>
      <c r="N52" s="36">
        <v>1000</v>
      </c>
      <c r="O52" s="36">
        <v>1000</v>
      </c>
      <c r="P52" s="36">
        <v>1000</v>
      </c>
      <c r="Q52" s="36">
        <v>1000</v>
      </c>
      <c r="S52" t="e">
        <f t="shared" si="1"/>
        <v>#VALUE!</v>
      </c>
      <c r="T52" t="e">
        <f t="shared" si="2"/>
        <v>#VALUE!</v>
      </c>
      <c r="U52" t="e">
        <f t="shared" si="3"/>
        <v>#VALUE!</v>
      </c>
      <c r="V52" t="e">
        <f t="shared" si="4"/>
        <v>#VALUE!</v>
      </c>
    </row>
    <row r="53" spans="1:22" ht="28.2" thickBot="1" x14ac:dyDescent="0.3">
      <c r="A53" s="22">
        <v>1</v>
      </c>
      <c r="B53" s="22" t="s">
        <v>2337</v>
      </c>
      <c r="C53" s="22" t="s">
        <v>2954</v>
      </c>
      <c r="D53" s="22" t="s">
        <v>3151</v>
      </c>
      <c r="E53" s="22" t="s">
        <v>2954</v>
      </c>
      <c r="F53" s="22" t="s">
        <v>3152</v>
      </c>
      <c r="H53" s="22">
        <v>52</v>
      </c>
      <c r="I53" s="22" t="s">
        <v>2172</v>
      </c>
      <c r="J53" s="22" t="s">
        <v>2908</v>
      </c>
      <c r="K53" s="22" t="s">
        <v>2908</v>
      </c>
      <c r="L53" s="22" t="s">
        <v>2908</v>
      </c>
      <c r="M53" s="22" t="s">
        <v>2908</v>
      </c>
      <c r="N53" s="36">
        <v>1000</v>
      </c>
      <c r="O53" s="36">
        <v>1000</v>
      </c>
      <c r="P53" s="36">
        <v>1000</v>
      </c>
      <c r="Q53" s="36">
        <v>1000</v>
      </c>
      <c r="S53" t="e">
        <f t="shared" si="1"/>
        <v>#VALUE!</v>
      </c>
      <c r="T53" t="e">
        <f t="shared" si="2"/>
        <v>#VALUE!</v>
      </c>
      <c r="U53" t="e">
        <f t="shared" si="3"/>
        <v>#VALUE!</v>
      </c>
      <c r="V53" t="e">
        <f t="shared" si="4"/>
        <v>#VALUE!</v>
      </c>
    </row>
    <row r="54" spans="1:22" ht="42" thickBot="1" x14ac:dyDescent="0.3">
      <c r="A54" s="22">
        <v>2</v>
      </c>
      <c r="B54" s="22" t="s">
        <v>2966</v>
      </c>
      <c r="C54" s="22" t="s">
        <v>3153</v>
      </c>
      <c r="D54" s="22" t="s">
        <v>3154</v>
      </c>
      <c r="E54" s="22" t="s">
        <v>3155</v>
      </c>
      <c r="F54" s="22" t="s">
        <v>3156</v>
      </c>
      <c r="H54" s="22">
        <v>53</v>
      </c>
      <c r="I54" s="22" t="s">
        <v>2928</v>
      </c>
      <c r="J54" s="22" t="s">
        <v>2908</v>
      </c>
      <c r="K54" s="22" t="s">
        <v>2908</v>
      </c>
      <c r="L54" s="22" t="s">
        <v>2908</v>
      </c>
      <c r="M54" s="22" t="s">
        <v>2908</v>
      </c>
      <c r="N54" s="36">
        <v>1000</v>
      </c>
      <c r="O54" s="36">
        <v>1000</v>
      </c>
      <c r="P54" s="36">
        <v>1000</v>
      </c>
      <c r="Q54" s="36">
        <v>1000</v>
      </c>
      <c r="S54" t="e">
        <f t="shared" si="1"/>
        <v>#VALUE!</v>
      </c>
      <c r="T54" t="e">
        <f t="shared" si="2"/>
        <v>#VALUE!</v>
      </c>
      <c r="U54" t="e">
        <f t="shared" si="3"/>
        <v>#VALUE!</v>
      </c>
      <c r="V54" t="e">
        <f t="shared" si="4"/>
        <v>#VALUE!</v>
      </c>
    </row>
    <row r="55" spans="1:22" ht="28.2" thickBot="1" x14ac:dyDescent="0.3">
      <c r="H55" s="22">
        <v>54</v>
      </c>
      <c r="I55" s="22" t="s">
        <v>2929</v>
      </c>
      <c r="J55" s="22">
        <v>0.02</v>
      </c>
      <c r="K55" s="22">
        <v>0.02</v>
      </c>
      <c r="L55" s="22">
        <v>0.02</v>
      </c>
      <c r="M55" s="22">
        <v>0.03</v>
      </c>
      <c r="N55" s="36">
        <v>1000</v>
      </c>
      <c r="O55" s="36">
        <v>1000</v>
      </c>
      <c r="P55" s="36">
        <v>1000</v>
      </c>
      <c r="Q55" s="36">
        <v>1000</v>
      </c>
      <c r="S55">
        <f t="shared" si="1"/>
        <v>20</v>
      </c>
      <c r="T55">
        <f t="shared" si="2"/>
        <v>20</v>
      </c>
      <c r="U55">
        <f t="shared" si="3"/>
        <v>20</v>
      </c>
      <c r="V55">
        <f t="shared" si="4"/>
        <v>30</v>
      </c>
    </row>
    <row r="56" spans="1:22" ht="28.2" thickBot="1" x14ac:dyDescent="0.3">
      <c r="H56" s="22">
        <v>55</v>
      </c>
      <c r="I56" s="22" t="s">
        <v>2183</v>
      </c>
      <c r="J56" s="22" t="s">
        <v>2908</v>
      </c>
      <c r="K56" s="22" t="s">
        <v>2908</v>
      </c>
      <c r="L56" s="22" t="s">
        <v>2908</v>
      </c>
      <c r="M56" s="22" t="s">
        <v>2908</v>
      </c>
      <c r="N56" s="36">
        <v>1000</v>
      </c>
      <c r="O56" s="36">
        <v>1000</v>
      </c>
      <c r="P56" s="36">
        <v>1000</v>
      </c>
      <c r="Q56" s="36">
        <v>1000</v>
      </c>
      <c r="S56" t="e">
        <f t="shared" si="1"/>
        <v>#VALUE!</v>
      </c>
      <c r="T56" t="e">
        <f t="shared" si="2"/>
        <v>#VALUE!</v>
      </c>
      <c r="U56" t="e">
        <f t="shared" si="3"/>
        <v>#VALUE!</v>
      </c>
      <c r="V56" t="e">
        <f t="shared" si="4"/>
        <v>#VALUE!</v>
      </c>
    </row>
    <row r="57" spans="1:22" ht="14.4" thickBot="1" x14ac:dyDescent="0.3">
      <c r="H57" s="22">
        <v>56</v>
      </c>
      <c r="I57" s="22" t="s">
        <v>2185</v>
      </c>
      <c r="J57" s="22">
        <v>1.7</v>
      </c>
      <c r="K57" s="22">
        <v>0.76</v>
      </c>
      <c r="L57" s="22">
        <v>1.325</v>
      </c>
      <c r="M57" s="22">
        <v>0.7</v>
      </c>
      <c r="N57" s="36">
        <v>1000</v>
      </c>
      <c r="O57" s="36">
        <v>1000</v>
      </c>
      <c r="P57" s="36">
        <v>1000</v>
      </c>
      <c r="Q57" s="36">
        <v>1000</v>
      </c>
      <c r="S57">
        <f t="shared" si="1"/>
        <v>1700</v>
      </c>
      <c r="T57">
        <f t="shared" si="2"/>
        <v>760</v>
      </c>
      <c r="U57">
        <f t="shared" si="3"/>
        <v>1325</v>
      </c>
      <c r="V57">
        <f t="shared" si="4"/>
        <v>700</v>
      </c>
    </row>
    <row r="58" spans="1:22" ht="14.4" thickBot="1" x14ac:dyDescent="0.3">
      <c r="H58" s="22">
        <v>57</v>
      </c>
      <c r="I58" s="22" t="s">
        <v>2930</v>
      </c>
      <c r="J58" s="22" t="s">
        <v>2954</v>
      </c>
      <c r="K58" s="22">
        <v>0.13</v>
      </c>
      <c r="L58" s="22">
        <v>0.33</v>
      </c>
      <c r="M58" s="22" t="s">
        <v>2954</v>
      </c>
      <c r="N58" s="36">
        <v>1000</v>
      </c>
      <c r="O58" s="36">
        <v>1000</v>
      </c>
      <c r="P58" s="36">
        <v>1000</v>
      </c>
      <c r="Q58" s="36">
        <v>1000</v>
      </c>
      <c r="S58" t="e">
        <f t="shared" si="1"/>
        <v>#VALUE!</v>
      </c>
      <c r="T58">
        <f t="shared" si="2"/>
        <v>130</v>
      </c>
      <c r="U58">
        <f t="shared" si="3"/>
        <v>330</v>
      </c>
      <c r="V58" t="e">
        <f t="shared" si="4"/>
        <v>#VALUE!</v>
      </c>
    </row>
    <row r="59" spans="1:22" ht="14.4" thickBot="1" x14ac:dyDescent="0.3">
      <c r="H59" s="22">
        <v>58</v>
      </c>
      <c r="I59" s="22" t="s">
        <v>2331</v>
      </c>
      <c r="J59" s="22" t="s">
        <v>2908</v>
      </c>
      <c r="K59" s="22" t="s">
        <v>2908</v>
      </c>
      <c r="L59" s="22" t="s">
        <v>2908</v>
      </c>
      <c r="M59" s="22" t="s">
        <v>2908</v>
      </c>
      <c r="N59" s="36">
        <v>1000</v>
      </c>
      <c r="O59" s="36">
        <v>1000</v>
      </c>
      <c r="P59" s="36">
        <v>1000</v>
      </c>
      <c r="Q59" s="36">
        <v>1000</v>
      </c>
      <c r="S59" t="e">
        <f t="shared" si="1"/>
        <v>#VALUE!</v>
      </c>
      <c r="T59" t="e">
        <f t="shared" si="2"/>
        <v>#VALUE!</v>
      </c>
      <c r="U59" t="e">
        <f t="shared" si="3"/>
        <v>#VALUE!</v>
      </c>
      <c r="V59" t="e">
        <f t="shared" si="4"/>
        <v>#VALUE!</v>
      </c>
    </row>
    <row r="60" spans="1:22" ht="28.2" thickBot="1" x14ac:dyDescent="0.3">
      <c r="H60" s="22">
        <v>59</v>
      </c>
      <c r="I60" s="22" t="s">
        <v>2337</v>
      </c>
      <c r="J60" s="22" t="s">
        <v>2954</v>
      </c>
      <c r="K60" s="22">
        <v>0.14000000000000001</v>
      </c>
      <c r="L60" s="22" t="s">
        <v>2954</v>
      </c>
      <c r="M60" s="22">
        <v>1.5</v>
      </c>
      <c r="N60" s="36">
        <v>1000</v>
      </c>
      <c r="O60" s="36">
        <v>1000</v>
      </c>
      <c r="P60" s="36">
        <v>1000</v>
      </c>
      <c r="Q60" s="36">
        <v>1000</v>
      </c>
      <c r="S60" t="e">
        <f t="shared" si="1"/>
        <v>#VALUE!</v>
      </c>
      <c r="T60">
        <f t="shared" si="2"/>
        <v>140</v>
      </c>
      <c r="U60" t="e">
        <f t="shared" si="3"/>
        <v>#VALUE!</v>
      </c>
      <c r="V60">
        <f t="shared" si="4"/>
        <v>1500</v>
      </c>
    </row>
    <row r="61" spans="1:22" ht="14.4" thickBot="1" x14ac:dyDescent="0.3">
      <c r="H61" s="22">
        <v>60</v>
      </c>
      <c r="I61" s="22" t="s">
        <v>2365</v>
      </c>
      <c r="J61" s="22" t="s">
        <v>2908</v>
      </c>
      <c r="K61" s="22" t="s">
        <v>2908</v>
      </c>
      <c r="L61" s="22" t="s">
        <v>2908</v>
      </c>
      <c r="M61" s="22" t="s">
        <v>2908</v>
      </c>
      <c r="N61" s="36">
        <v>1000</v>
      </c>
      <c r="O61" s="36">
        <v>1000</v>
      </c>
      <c r="P61" s="36">
        <v>1000</v>
      </c>
      <c r="Q61" s="36">
        <v>1000</v>
      </c>
      <c r="S61" t="e">
        <f t="shared" si="1"/>
        <v>#VALUE!</v>
      </c>
      <c r="T61" t="e">
        <f t="shared" si="2"/>
        <v>#VALUE!</v>
      </c>
      <c r="U61" t="e">
        <f t="shared" si="3"/>
        <v>#VALUE!</v>
      </c>
      <c r="V61" t="e">
        <f t="shared" si="4"/>
        <v>#VALUE!</v>
      </c>
    </row>
    <row r="62" spans="1:22" ht="14.4" thickBot="1" x14ac:dyDescent="0.3">
      <c r="H62" s="22">
        <v>61</v>
      </c>
      <c r="I62" s="22" t="s">
        <v>2186</v>
      </c>
      <c r="J62" s="22">
        <v>0.09</v>
      </c>
      <c r="K62" s="22">
        <v>0.12</v>
      </c>
      <c r="L62" s="22">
        <v>0.17</v>
      </c>
      <c r="M62" s="22">
        <v>0.2</v>
      </c>
      <c r="N62" s="36">
        <v>1000</v>
      </c>
      <c r="O62" s="36">
        <v>1000</v>
      </c>
      <c r="P62" s="36">
        <v>1000</v>
      </c>
      <c r="Q62" s="36">
        <v>1000</v>
      </c>
      <c r="S62">
        <f t="shared" si="1"/>
        <v>90</v>
      </c>
      <c r="T62">
        <f t="shared" si="2"/>
        <v>120</v>
      </c>
      <c r="U62">
        <f t="shared" si="3"/>
        <v>170</v>
      </c>
      <c r="V62">
        <f t="shared" si="4"/>
        <v>200</v>
      </c>
    </row>
    <row r="63" spans="1:22" ht="14.4" thickBot="1" x14ac:dyDescent="0.3">
      <c r="H63" s="22">
        <v>62</v>
      </c>
      <c r="I63" s="22" t="s">
        <v>2382</v>
      </c>
      <c r="J63" s="22" t="s">
        <v>2908</v>
      </c>
      <c r="K63" s="22" t="s">
        <v>2908</v>
      </c>
      <c r="L63" s="22" t="s">
        <v>2908</v>
      </c>
      <c r="M63" s="22" t="s">
        <v>2908</v>
      </c>
      <c r="N63" s="36">
        <v>1000</v>
      </c>
      <c r="O63" s="36">
        <v>1000</v>
      </c>
      <c r="P63" s="36">
        <v>1000</v>
      </c>
      <c r="Q63" s="36">
        <v>1000</v>
      </c>
      <c r="S63" t="e">
        <f t="shared" si="1"/>
        <v>#VALUE!</v>
      </c>
      <c r="T63" t="e">
        <f t="shared" si="2"/>
        <v>#VALUE!</v>
      </c>
      <c r="U63" t="e">
        <f t="shared" si="3"/>
        <v>#VALUE!</v>
      </c>
      <c r="V63" t="e">
        <f t="shared" si="4"/>
        <v>#VALUE!</v>
      </c>
    </row>
    <row r="64" spans="1:22" ht="14.4" thickBot="1" x14ac:dyDescent="0.3">
      <c r="H64" s="22">
        <v>63</v>
      </c>
      <c r="I64" s="22" t="s">
        <v>2393</v>
      </c>
      <c r="J64" s="22" t="s">
        <v>2908</v>
      </c>
      <c r="K64" s="22" t="s">
        <v>2908</v>
      </c>
      <c r="L64" s="22" t="s">
        <v>2908</v>
      </c>
      <c r="M64" s="22" t="s">
        <v>2908</v>
      </c>
      <c r="N64" s="36">
        <v>1000</v>
      </c>
      <c r="O64" s="36">
        <v>1000</v>
      </c>
      <c r="P64" s="36">
        <v>1000</v>
      </c>
      <c r="Q64" s="36">
        <v>1000</v>
      </c>
      <c r="S64" t="e">
        <f t="shared" si="1"/>
        <v>#VALUE!</v>
      </c>
      <c r="T64" t="e">
        <f t="shared" si="2"/>
        <v>#VALUE!</v>
      </c>
      <c r="U64" t="e">
        <f t="shared" si="3"/>
        <v>#VALUE!</v>
      </c>
      <c r="V64" t="e">
        <f t="shared" si="4"/>
        <v>#VALUE!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C78D-5D23-4B01-836E-BA9E3BFFEFDE}">
  <dimension ref="A1:AJ64"/>
  <sheetViews>
    <sheetView topLeftCell="D1" workbookViewId="0">
      <selection activeCell="AH2" sqref="AH2:AJ64"/>
    </sheetView>
  </sheetViews>
  <sheetFormatPr defaultRowHeight="13.8" x14ac:dyDescent="0.25"/>
  <sheetData>
    <row r="1" spans="1:36" ht="42" thickBot="1" x14ac:dyDescent="0.3">
      <c r="A1" s="21" t="s">
        <v>2845</v>
      </c>
      <c r="B1" s="21" t="s">
        <v>2846</v>
      </c>
      <c r="C1" s="21" t="s">
        <v>3160</v>
      </c>
      <c r="D1" s="21" t="s">
        <v>3161</v>
      </c>
      <c r="E1" s="21" t="s">
        <v>3162</v>
      </c>
      <c r="F1" s="21" t="s">
        <v>3163</v>
      </c>
      <c r="G1" s="21" t="s">
        <v>3164</v>
      </c>
      <c r="H1" s="21" t="s">
        <v>3165</v>
      </c>
      <c r="I1" s="21" t="s">
        <v>3166</v>
      </c>
      <c r="J1" s="21" t="s">
        <v>3167</v>
      </c>
      <c r="K1" s="21" t="s">
        <v>3168</v>
      </c>
      <c r="M1" s="21" t="s">
        <v>2845</v>
      </c>
      <c r="N1" s="21" t="s">
        <v>2906</v>
      </c>
      <c r="O1" s="25" t="s">
        <v>3631</v>
      </c>
      <c r="P1" s="25" t="s">
        <v>3632</v>
      </c>
      <c r="Q1" s="25" t="s">
        <v>3633</v>
      </c>
      <c r="R1" s="21" t="s">
        <v>3166</v>
      </c>
      <c r="S1" s="21" t="s">
        <v>3167</v>
      </c>
      <c r="T1" s="21" t="s">
        <v>3168</v>
      </c>
    </row>
    <row r="2" spans="1:36" ht="28.2" thickBot="1" x14ac:dyDescent="0.3">
      <c r="A2" s="22">
        <v>1</v>
      </c>
      <c r="B2" s="22" t="s">
        <v>2022</v>
      </c>
      <c r="C2" s="22" t="s">
        <v>3169</v>
      </c>
      <c r="D2" s="22" t="s">
        <v>3170</v>
      </c>
      <c r="E2" s="22" t="s">
        <v>3171</v>
      </c>
      <c r="F2" s="22" t="s">
        <v>3172</v>
      </c>
      <c r="G2" s="22" t="s">
        <v>3173</v>
      </c>
      <c r="H2" s="22">
        <v>32.549999999999997</v>
      </c>
      <c r="I2" s="22">
        <v>34</v>
      </c>
      <c r="J2" s="22">
        <v>11</v>
      </c>
      <c r="K2" s="22">
        <v>18</v>
      </c>
      <c r="M2" s="22">
        <v>1</v>
      </c>
      <c r="N2" s="26" t="s">
        <v>2057</v>
      </c>
      <c r="O2" s="22" t="s">
        <v>3186</v>
      </c>
      <c r="P2" s="22" t="s">
        <v>3187</v>
      </c>
      <c r="Q2" s="22" t="s">
        <v>3188</v>
      </c>
      <c r="R2" s="22">
        <v>56663</v>
      </c>
      <c r="S2" s="22">
        <v>19468</v>
      </c>
      <c r="T2" s="22">
        <v>22243</v>
      </c>
      <c r="V2" t="str">
        <f>_xlfn.TEXTBEFORE(O2,"±")</f>
        <v>3116.48</v>
      </c>
      <c r="W2" t="str">
        <f t="shared" ref="W2:X2" si="0">_xlfn.TEXTBEFORE(P2,"±")</f>
        <v>1070.73</v>
      </c>
      <c r="X2" t="str">
        <f t="shared" si="0"/>
        <v>1223.34</v>
      </c>
      <c r="Z2">
        <v>3116.48</v>
      </c>
      <c r="AA2">
        <v>1070.73</v>
      </c>
      <c r="AB2">
        <v>1223.3399999999999</v>
      </c>
      <c r="AD2">
        <v>1000</v>
      </c>
      <c r="AE2">
        <v>1000</v>
      </c>
      <c r="AF2">
        <v>1000</v>
      </c>
      <c r="AH2">
        <f>Z2*AD2</f>
        <v>3116480</v>
      </c>
      <c r="AI2">
        <f t="shared" ref="AI2:AJ2" si="1">AA2*AE2</f>
        <v>1070730</v>
      </c>
      <c r="AJ2">
        <f t="shared" si="1"/>
        <v>1223340</v>
      </c>
    </row>
    <row r="3" spans="1:36" ht="28.2" thickBot="1" x14ac:dyDescent="0.3">
      <c r="A3" s="22">
        <v>2</v>
      </c>
      <c r="B3" s="22" t="s">
        <v>3174</v>
      </c>
      <c r="C3" s="22" t="s">
        <v>3169</v>
      </c>
      <c r="D3" s="22" t="s">
        <v>3175</v>
      </c>
      <c r="E3" s="22" t="s">
        <v>3176</v>
      </c>
      <c r="F3" s="22" t="s">
        <v>3177</v>
      </c>
      <c r="G3" s="22" t="s">
        <v>3178</v>
      </c>
      <c r="H3" s="22">
        <v>3.4</v>
      </c>
      <c r="I3" s="22">
        <v>141</v>
      </c>
      <c r="J3" s="22">
        <v>16</v>
      </c>
      <c r="K3" s="22">
        <v>23</v>
      </c>
      <c r="M3" s="22">
        <v>2</v>
      </c>
      <c r="N3" s="22" t="s">
        <v>2162</v>
      </c>
      <c r="O3" s="22" t="s">
        <v>2908</v>
      </c>
      <c r="P3" s="22" t="s">
        <v>2908</v>
      </c>
      <c r="Q3" s="22" t="s">
        <v>2908</v>
      </c>
      <c r="R3" s="22" t="s">
        <v>2908</v>
      </c>
      <c r="S3" s="22" t="s">
        <v>2908</v>
      </c>
      <c r="T3" s="22" t="s">
        <v>2908</v>
      </c>
      <c r="V3" t="e">
        <f t="shared" ref="V3:V64" si="2">_xlfn.TEXTBEFORE(O3,"±")</f>
        <v>#N/A</v>
      </c>
      <c r="W3" t="e">
        <f t="shared" ref="W3:W64" si="3">_xlfn.TEXTBEFORE(P3,"±")</f>
        <v>#N/A</v>
      </c>
      <c r="X3" t="e">
        <f t="shared" ref="X3:X64" si="4">_xlfn.TEXTBEFORE(Q3,"±")</f>
        <v>#N/A</v>
      </c>
      <c r="Z3" t="e">
        <v>#N/A</v>
      </c>
      <c r="AA3" t="e">
        <v>#N/A</v>
      </c>
      <c r="AB3" t="e">
        <v>#N/A</v>
      </c>
      <c r="AD3">
        <v>1000</v>
      </c>
      <c r="AE3">
        <v>1000</v>
      </c>
      <c r="AF3">
        <v>1000</v>
      </c>
      <c r="AH3" t="e">
        <f t="shared" ref="AH3:AH64" si="5">Z3*AD3</f>
        <v>#N/A</v>
      </c>
      <c r="AI3" t="e">
        <f t="shared" ref="AI3:AI64" si="6">AA3*AE3</f>
        <v>#N/A</v>
      </c>
      <c r="AJ3" t="e">
        <f t="shared" ref="AJ3:AJ64" si="7">AB3*AF3</f>
        <v>#N/A</v>
      </c>
    </row>
    <row r="4" spans="1:36" ht="28.2" thickBot="1" x14ac:dyDescent="0.3">
      <c r="A4" s="22">
        <v>3</v>
      </c>
      <c r="B4" s="22" t="s">
        <v>2018</v>
      </c>
      <c r="C4" s="22" t="s">
        <v>3169</v>
      </c>
      <c r="D4" s="22" t="s">
        <v>3179</v>
      </c>
      <c r="E4" s="22" t="s">
        <v>3180</v>
      </c>
      <c r="F4" s="22" t="s">
        <v>3181</v>
      </c>
      <c r="G4" s="22" t="s">
        <v>2864</v>
      </c>
      <c r="H4" s="22">
        <v>0.08</v>
      </c>
      <c r="I4" s="22">
        <v>5213</v>
      </c>
      <c r="J4" s="22">
        <v>1809</v>
      </c>
      <c r="K4" s="22">
        <v>1307</v>
      </c>
      <c r="M4" s="22">
        <v>3</v>
      </c>
      <c r="N4" s="22" t="s">
        <v>2018</v>
      </c>
      <c r="O4" s="22" t="s">
        <v>3179</v>
      </c>
      <c r="P4" s="22" t="s">
        <v>3180</v>
      </c>
      <c r="Q4" s="22" t="s">
        <v>3181</v>
      </c>
      <c r="R4" s="22">
        <v>5213</v>
      </c>
      <c r="S4" s="22">
        <v>1809</v>
      </c>
      <c r="T4" s="22">
        <v>1307</v>
      </c>
      <c r="V4" t="str">
        <f t="shared" si="2"/>
        <v>422.26</v>
      </c>
      <c r="W4" t="str">
        <f t="shared" si="3"/>
        <v>146.55</v>
      </c>
      <c r="X4" t="str">
        <f t="shared" si="4"/>
        <v>105.84</v>
      </c>
      <c r="Z4">
        <v>422.26</v>
      </c>
      <c r="AA4">
        <v>146.55000000000001</v>
      </c>
      <c r="AB4">
        <v>105.84</v>
      </c>
      <c r="AD4">
        <v>1000</v>
      </c>
      <c r="AE4">
        <v>1000</v>
      </c>
      <c r="AF4">
        <v>1000</v>
      </c>
      <c r="AH4">
        <f t="shared" si="5"/>
        <v>422260</v>
      </c>
      <c r="AI4">
        <f t="shared" si="6"/>
        <v>146550</v>
      </c>
      <c r="AJ4">
        <f t="shared" si="7"/>
        <v>105840</v>
      </c>
    </row>
    <row r="5" spans="1:36" ht="28.2" thickBot="1" x14ac:dyDescent="0.3">
      <c r="A5" s="22">
        <v>4</v>
      </c>
      <c r="B5" s="22" t="s">
        <v>2019</v>
      </c>
      <c r="C5" s="22" t="s">
        <v>3169</v>
      </c>
      <c r="D5" s="22" t="s">
        <v>3182</v>
      </c>
      <c r="E5" s="22" t="s">
        <v>3183</v>
      </c>
      <c r="F5" s="22" t="s">
        <v>3184</v>
      </c>
      <c r="G5" s="22" t="s">
        <v>3185</v>
      </c>
      <c r="H5" s="22">
        <v>0.03</v>
      </c>
      <c r="I5" s="22">
        <v>11777</v>
      </c>
      <c r="J5" s="22">
        <v>598</v>
      </c>
      <c r="K5" s="22">
        <v>1791</v>
      </c>
      <c r="M5" s="22">
        <v>4</v>
      </c>
      <c r="N5" s="22" t="s">
        <v>2022</v>
      </c>
      <c r="O5" s="22" t="s">
        <v>3170</v>
      </c>
      <c r="P5" s="22" t="s">
        <v>3171</v>
      </c>
      <c r="Q5" s="22" t="s">
        <v>3172</v>
      </c>
      <c r="R5" s="22">
        <v>34</v>
      </c>
      <c r="S5" s="22">
        <v>11</v>
      </c>
      <c r="T5" s="22">
        <v>18</v>
      </c>
      <c r="V5" t="str">
        <f t="shared" si="2"/>
        <v>1111.86</v>
      </c>
      <c r="W5" t="str">
        <f t="shared" si="3"/>
        <v>362.63</v>
      </c>
      <c r="X5" t="str">
        <f t="shared" si="4"/>
        <v>572.5</v>
      </c>
      <c r="Z5">
        <v>1111.8599999999999</v>
      </c>
      <c r="AA5">
        <v>362.63</v>
      </c>
      <c r="AB5">
        <v>572.5</v>
      </c>
      <c r="AD5">
        <v>1000</v>
      </c>
      <c r="AE5">
        <v>1000</v>
      </c>
      <c r="AF5">
        <v>1000</v>
      </c>
      <c r="AH5">
        <f t="shared" si="5"/>
        <v>1111860</v>
      </c>
      <c r="AI5">
        <f t="shared" si="6"/>
        <v>362630</v>
      </c>
      <c r="AJ5">
        <f t="shared" si="7"/>
        <v>572500</v>
      </c>
    </row>
    <row r="6" spans="1:36" ht="28.2" thickBot="1" x14ac:dyDescent="0.3">
      <c r="A6" s="22">
        <v>5</v>
      </c>
      <c r="B6" s="22" t="s">
        <v>2017</v>
      </c>
      <c r="C6" s="22" t="s">
        <v>3169</v>
      </c>
      <c r="D6" s="22" t="s">
        <v>3186</v>
      </c>
      <c r="E6" s="22" t="s">
        <v>3187</v>
      </c>
      <c r="F6" s="22" t="s">
        <v>3188</v>
      </c>
      <c r="G6" s="22" t="s">
        <v>2867</v>
      </c>
      <c r="H6" s="22">
        <v>0.06</v>
      </c>
      <c r="I6" s="22">
        <v>56663</v>
      </c>
      <c r="J6" s="22">
        <v>19468</v>
      </c>
      <c r="K6" s="22">
        <v>22243</v>
      </c>
      <c r="M6" s="22">
        <v>5</v>
      </c>
      <c r="N6" s="22" t="s">
        <v>2023</v>
      </c>
      <c r="O6" s="22" t="s">
        <v>3203</v>
      </c>
      <c r="P6" s="22" t="s">
        <v>3204</v>
      </c>
      <c r="Q6" s="22" t="s">
        <v>3205</v>
      </c>
      <c r="R6" s="22">
        <v>1597</v>
      </c>
      <c r="S6" s="22">
        <v>414</v>
      </c>
      <c r="T6" s="22">
        <v>180</v>
      </c>
      <c r="V6" t="str">
        <f t="shared" si="2"/>
        <v>19.16</v>
      </c>
      <c r="W6" t="str">
        <f t="shared" si="3"/>
        <v>4.97</v>
      </c>
      <c r="X6" t="str">
        <f t="shared" si="4"/>
        <v>2.16</v>
      </c>
      <c r="Z6">
        <v>19.16</v>
      </c>
      <c r="AA6">
        <v>4.97</v>
      </c>
      <c r="AB6">
        <v>2.16</v>
      </c>
      <c r="AD6">
        <v>1000</v>
      </c>
      <c r="AE6">
        <v>1000</v>
      </c>
      <c r="AF6">
        <v>1000</v>
      </c>
      <c r="AH6">
        <f t="shared" si="5"/>
        <v>19160</v>
      </c>
      <c r="AI6">
        <f t="shared" si="6"/>
        <v>4970</v>
      </c>
      <c r="AJ6">
        <f t="shared" si="7"/>
        <v>2160</v>
      </c>
    </row>
    <row r="7" spans="1:36" ht="28.2" thickBot="1" x14ac:dyDescent="0.3">
      <c r="A7" s="22">
        <v>6</v>
      </c>
      <c r="B7" s="22" t="s">
        <v>2365</v>
      </c>
      <c r="C7" s="22" t="s">
        <v>3169</v>
      </c>
      <c r="D7" s="22" t="s">
        <v>3189</v>
      </c>
      <c r="E7" s="22" t="s">
        <v>3190</v>
      </c>
      <c r="F7" s="22" t="s">
        <v>3191</v>
      </c>
      <c r="G7" s="22" t="s">
        <v>3192</v>
      </c>
      <c r="H7" s="22">
        <v>1</v>
      </c>
      <c r="I7" s="22">
        <v>197</v>
      </c>
      <c r="J7" s="22">
        <v>122</v>
      </c>
      <c r="K7" s="22">
        <v>90</v>
      </c>
      <c r="M7" s="22">
        <v>6</v>
      </c>
      <c r="N7" s="22" t="s">
        <v>2019</v>
      </c>
      <c r="O7" s="22" t="s">
        <v>3182</v>
      </c>
      <c r="P7" s="22" t="s">
        <v>3183</v>
      </c>
      <c r="Q7" s="22" t="s">
        <v>3184</v>
      </c>
      <c r="R7" s="22">
        <v>11777</v>
      </c>
      <c r="S7" s="22">
        <v>598</v>
      </c>
      <c r="T7" s="22">
        <v>1791</v>
      </c>
      <c r="V7" t="str">
        <f t="shared" si="2"/>
        <v>306.21</v>
      </c>
      <c r="W7" t="str">
        <f t="shared" si="3"/>
        <v>15.55</v>
      </c>
      <c r="X7" t="str">
        <f t="shared" si="4"/>
        <v>46.56</v>
      </c>
      <c r="Z7">
        <v>306.20999999999998</v>
      </c>
      <c r="AA7">
        <v>15.55</v>
      </c>
      <c r="AB7">
        <v>46.56</v>
      </c>
      <c r="AD7">
        <v>1000</v>
      </c>
      <c r="AE7">
        <v>1000</v>
      </c>
      <c r="AF7">
        <v>1000</v>
      </c>
      <c r="AH7">
        <f t="shared" si="5"/>
        <v>306210</v>
      </c>
      <c r="AI7">
        <f t="shared" si="6"/>
        <v>15550</v>
      </c>
      <c r="AJ7">
        <f t="shared" si="7"/>
        <v>46560</v>
      </c>
    </row>
    <row r="8" spans="1:36" ht="28.2" thickBot="1" x14ac:dyDescent="0.3">
      <c r="A8" s="22">
        <v>7</v>
      </c>
      <c r="B8" s="22" t="s">
        <v>2362</v>
      </c>
      <c r="C8" s="22" t="s">
        <v>3169</v>
      </c>
      <c r="D8" s="22" t="s">
        <v>3193</v>
      </c>
      <c r="E8" s="22" t="s">
        <v>3194</v>
      </c>
      <c r="F8" s="22" t="s">
        <v>3195</v>
      </c>
      <c r="G8" s="22" t="s">
        <v>3196</v>
      </c>
      <c r="H8" s="22">
        <v>0.02</v>
      </c>
      <c r="I8" s="22">
        <v>92</v>
      </c>
      <c r="J8" s="22">
        <v>59</v>
      </c>
      <c r="K8" s="22">
        <v>83</v>
      </c>
      <c r="M8" s="22">
        <v>7</v>
      </c>
      <c r="N8" s="22" t="s">
        <v>2178</v>
      </c>
      <c r="O8" s="22" t="s">
        <v>3200</v>
      </c>
      <c r="P8" s="22" t="s">
        <v>3201</v>
      </c>
      <c r="Q8" s="22" t="s">
        <v>3202</v>
      </c>
      <c r="R8" s="22">
        <v>1</v>
      </c>
      <c r="S8" s="22">
        <v>1</v>
      </c>
      <c r="T8" s="22">
        <v>1</v>
      </c>
      <c r="V8" t="str">
        <f t="shared" si="2"/>
        <v>9.30</v>
      </c>
      <c r="W8" t="str">
        <f t="shared" si="3"/>
        <v>7.58</v>
      </c>
      <c r="X8" t="str">
        <f t="shared" si="4"/>
        <v>18.86</v>
      </c>
      <c r="Z8">
        <v>9.3000000000000007</v>
      </c>
      <c r="AA8">
        <v>7.58</v>
      </c>
      <c r="AB8">
        <v>18.86</v>
      </c>
      <c r="AD8">
        <v>1000</v>
      </c>
      <c r="AE8">
        <v>1000</v>
      </c>
      <c r="AF8">
        <v>1000</v>
      </c>
      <c r="AH8">
        <f t="shared" si="5"/>
        <v>9300</v>
      </c>
      <c r="AI8">
        <f t="shared" si="6"/>
        <v>7580</v>
      </c>
      <c r="AJ8">
        <f t="shared" si="7"/>
        <v>18860</v>
      </c>
    </row>
    <row r="9" spans="1:36" ht="28.2" thickBot="1" x14ac:dyDescent="0.3">
      <c r="A9" s="22">
        <v>8</v>
      </c>
      <c r="B9" s="22" t="s">
        <v>2187</v>
      </c>
      <c r="C9" s="22" t="s">
        <v>3169</v>
      </c>
      <c r="D9" s="22" t="s">
        <v>3197</v>
      </c>
      <c r="E9" s="22" t="s">
        <v>3198</v>
      </c>
      <c r="F9" s="22" t="s">
        <v>3199</v>
      </c>
      <c r="G9" s="22" t="s">
        <v>3173</v>
      </c>
      <c r="H9" s="22">
        <v>12.78</v>
      </c>
      <c r="I9" s="22">
        <v>1</v>
      </c>
      <c r="J9" s="22" t="s">
        <v>1069</v>
      </c>
      <c r="K9" s="22">
        <v>1</v>
      </c>
      <c r="M9" s="22">
        <v>8</v>
      </c>
      <c r="N9" s="22" t="s">
        <v>2898</v>
      </c>
      <c r="O9" s="22" t="s">
        <v>2908</v>
      </c>
      <c r="P9" s="22" t="s">
        <v>2908</v>
      </c>
      <c r="Q9" s="22" t="s">
        <v>2908</v>
      </c>
      <c r="R9" s="22" t="s">
        <v>2908</v>
      </c>
      <c r="S9" s="22" t="s">
        <v>2908</v>
      </c>
      <c r="T9" s="22" t="s">
        <v>2908</v>
      </c>
      <c r="V9" t="e">
        <f t="shared" si="2"/>
        <v>#N/A</v>
      </c>
      <c r="W9" t="e">
        <f t="shared" si="3"/>
        <v>#N/A</v>
      </c>
      <c r="X9" t="e">
        <f t="shared" si="4"/>
        <v>#N/A</v>
      </c>
      <c r="Z9" t="e">
        <v>#N/A</v>
      </c>
      <c r="AA9" t="e">
        <v>#N/A</v>
      </c>
      <c r="AB9" t="e">
        <v>#N/A</v>
      </c>
      <c r="AD9">
        <v>1000</v>
      </c>
      <c r="AE9">
        <v>1000</v>
      </c>
      <c r="AF9">
        <v>1000</v>
      </c>
      <c r="AH9" t="e">
        <f t="shared" si="5"/>
        <v>#N/A</v>
      </c>
      <c r="AI9" t="e">
        <f t="shared" si="6"/>
        <v>#N/A</v>
      </c>
      <c r="AJ9" t="e">
        <f t="shared" si="7"/>
        <v>#N/A</v>
      </c>
    </row>
    <row r="10" spans="1:36" ht="42" thickBot="1" x14ac:dyDescent="0.3">
      <c r="A10" s="22">
        <v>9</v>
      </c>
      <c r="B10" s="22" t="s">
        <v>2178</v>
      </c>
      <c r="C10" s="22" t="s">
        <v>3169</v>
      </c>
      <c r="D10" s="22" t="s">
        <v>3200</v>
      </c>
      <c r="E10" s="22" t="s">
        <v>3201</v>
      </c>
      <c r="F10" s="22" t="s">
        <v>3202</v>
      </c>
      <c r="G10" s="22" t="s">
        <v>2867</v>
      </c>
      <c r="H10" s="22">
        <v>13.15</v>
      </c>
      <c r="I10" s="22">
        <v>1</v>
      </c>
      <c r="J10" s="22">
        <v>1</v>
      </c>
      <c r="K10" s="22">
        <v>1</v>
      </c>
      <c r="M10" s="22">
        <v>9</v>
      </c>
      <c r="N10" s="22" t="s">
        <v>2909</v>
      </c>
      <c r="O10" s="22" t="s">
        <v>2908</v>
      </c>
      <c r="P10" s="22" t="s">
        <v>2908</v>
      </c>
      <c r="Q10" s="22" t="s">
        <v>2908</v>
      </c>
      <c r="R10" s="22" t="s">
        <v>2908</v>
      </c>
      <c r="S10" s="22" t="s">
        <v>2908</v>
      </c>
      <c r="T10" s="22" t="s">
        <v>2908</v>
      </c>
      <c r="V10" t="e">
        <f t="shared" si="2"/>
        <v>#N/A</v>
      </c>
      <c r="W10" t="e">
        <f t="shared" si="3"/>
        <v>#N/A</v>
      </c>
      <c r="X10" t="e">
        <f t="shared" si="4"/>
        <v>#N/A</v>
      </c>
      <c r="Z10" t="e">
        <v>#N/A</v>
      </c>
      <c r="AA10" t="e">
        <v>#N/A</v>
      </c>
      <c r="AB10" t="e">
        <v>#N/A</v>
      </c>
      <c r="AD10">
        <v>1000</v>
      </c>
      <c r="AE10">
        <v>1000</v>
      </c>
      <c r="AF10">
        <v>1000</v>
      </c>
      <c r="AH10" t="e">
        <f t="shared" si="5"/>
        <v>#N/A</v>
      </c>
      <c r="AI10" t="e">
        <f t="shared" si="6"/>
        <v>#N/A</v>
      </c>
      <c r="AJ10" t="e">
        <f t="shared" si="7"/>
        <v>#N/A</v>
      </c>
    </row>
    <row r="11" spans="1:36" ht="55.8" thickBot="1" x14ac:dyDescent="0.3">
      <c r="A11" s="22">
        <v>10</v>
      </c>
      <c r="B11" s="22" t="s">
        <v>2023</v>
      </c>
      <c r="C11" s="22" t="s">
        <v>3169</v>
      </c>
      <c r="D11" s="22" t="s">
        <v>3203</v>
      </c>
      <c r="E11" s="22" t="s">
        <v>3204</v>
      </c>
      <c r="F11" s="22" t="s">
        <v>3205</v>
      </c>
      <c r="G11" s="22" t="s">
        <v>3206</v>
      </c>
      <c r="H11" s="22">
        <v>1.2E-2</v>
      </c>
      <c r="I11" s="22">
        <v>1597</v>
      </c>
      <c r="J11" s="22">
        <v>414</v>
      </c>
      <c r="K11" s="22">
        <v>180</v>
      </c>
      <c r="M11" s="22">
        <v>10</v>
      </c>
      <c r="N11" s="22" t="s">
        <v>2910</v>
      </c>
      <c r="O11" s="22" t="s">
        <v>2908</v>
      </c>
      <c r="P11" s="22" t="s">
        <v>2908</v>
      </c>
      <c r="Q11" s="22" t="s">
        <v>2908</v>
      </c>
      <c r="R11" s="22" t="s">
        <v>2908</v>
      </c>
      <c r="S11" s="22" t="s">
        <v>2908</v>
      </c>
      <c r="T11" s="22" t="s">
        <v>2908</v>
      </c>
      <c r="V11" t="e">
        <f t="shared" si="2"/>
        <v>#N/A</v>
      </c>
      <c r="W11" t="e">
        <f t="shared" si="3"/>
        <v>#N/A</v>
      </c>
      <c r="X11" t="e">
        <f t="shared" si="4"/>
        <v>#N/A</v>
      </c>
      <c r="Z11" t="e">
        <v>#N/A</v>
      </c>
      <c r="AA11" t="e">
        <v>#N/A</v>
      </c>
      <c r="AB11" t="e">
        <v>#N/A</v>
      </c>
      <c r="AD11">
        <v>1000</v>
      </c>
      <c r="AE11">
        <v>1000</v>
      </c>
      <c r="AF11">
        <v>1000</v>
      </c>
      <c r="AH11" t="e">
        <f t="shared" si="5"/>
        <v>#N/A</v>
      </c>
      <c r="AI11" t="e">
        <f t="shared" si="6"/>
        <v>#N/A</v>
      </c>
      <c r="AJ11" t="e">
        <f t="shared" si="7"/>
        <v>#N/A</v>
      </c>
    </row>
    <row r="12" spans="1:36" ht="28.2" thickBot="1" x14ac:dyDescent="0.3">
      <c r="A12" s="22">
        <v>11</v>
      </c>
      <c r="B12" s="22" t="s">
        <v>2914</v>
      </c>
      <c r="C12" s="22" t="s">
        <v>3169</v>
      </c>
      <c r="D12" s="22" t="s">
        <v>3207</v>
      </c>
      <c r="E12" s="22" t="s">
        <v>3208</v>
      </c>
      <c r="F12" s="22" t="s">
        <v>3209</v>
      </c>
      <c r="G12" s="22" t="s">
        <v>3196</v>
      </c>
      <c r="H12" s="22">
        <v>0.7</v>
      </c>
      <c r="I12" s="22">
        <v>46</v>
      </c>
      <c r="J12" s="22">
        <v>7</v>
      </c>
      <c r="K12" s="22">
        <v>8</v>
      </c>
      <c r="M12" s="22">
        <v>11</v>
      </c>
      <c r="N12" s="22" t="s">
        <v>2911</v>
      </c>
      <c r="O12" s="22" t="s">
        <v>2908</v>
      </c>
      <c r="P12" s="22" t="s">
        <v>2908</v>
      </c>
      <c r="Q12" s="22" t="s">
        <v>2908</v>
      </c>
      <c r="R12" s="22" t="s">
        <v>2908</v>
      </c>
      <c r="S12" s="22" t="s">
        <v>2908</v>
      </c>
      <c r="T12" s="22" t="s">
        <v>2908</v>
      </c>
      <c r="V12" t="e">
        <f t="shared" si="2"/>
        <v>#N/A</v>
      </c>
      <c r="W12" t="e">
        <f t="shared" si="3"/>
        <v>#N/A</v>
      </c>
      <c r="X12" t="e">
        <f t="shared" si="4"/>
        <v>#N/A</v>
      </c>
      <c r="Z12" t="e">
        <v>#N/A</v>
      </c>
      <c r="AA12" t="e">
        <v>#N/A</v>
      </c>
      <c r="AB12" t="e">
        <v>#N/A</v>
      </c>
      <c r="AD12">
        <v>1000</v>
      </c>
      <c r="AE12">
        <v>1000</v>
      </c>
      <c r="AF12">
        <v>1000</v>
      </c>
      <c r="AH12" t="e">
        <f t="shared" si="5"/>
        <v>#N/A</v>
      </c>
      <c r="AI12" t="e">
        <f t="shared" si="6"/>
        <v>#N/A</v>
      </c>
      <c r="AJ12" t="e">
        <f t="shared" si="7"/>
        <v>#N/A</v>
      </c>
    </row>
    <row r="13" spans="1:36" ht="28.2" thickBot="1" x14ac:dyDescent="0.3">
      <c r="A13" s="22">
        <v>12</v>
      </c>
      <c r="B13" s="22" t="s">
        <v>3210</v>
      </c>
      <c r="C13" s="22" t="s">
        <v>3169</v>
      </c>
      <c r="D13" s="22" t="s">
        <v>3211</v>
      </c>
      <c r="E13" s="22" t="s">
        <v>3212</v>
      </c>
      <c r="F13" s="22" t="s">
        <v>3213</v>
      </c>
      <c r="G13" s="22" t="s">
        <v>3214</v>
      </c>
      <c r="H13" s="22" t="s">
        <v>29</v>
      </c>
      <c r="I13" s="22" t="s">
        <v>29</v>
      </c>
      <c r="J13" s="22" t="s">
        <v>29</v>
      </c>
      <c r="K13" s="22" t="s">
        <v>29</v>
      </c>
      <c r="M13" s="22">
        <v>12</v>
      </c>
      <c r="N13" s="22" t="s">
        <v>2957</v>
      </c>
      <c r="O13" s="22" t="s">
        <v>2908</v>
      </c>
      <c r="P13" s="22" t="s">
        <v>2908</v>
      </c>
      <c r="Q13" s="22" t="s">
        <v>2908</v>
      </c>
      <c r="R13" s="22" t="s">
        <v>2908</v>
      </c>
      <c r="S13" s="22" t="s">
        <v>2908</v>
      </c>
      <c r="T13" s="22" t="s">
        <v>2908</v>
      </c>
      <c r="V13" t="e">
        <f t="shared" si="2"/>
        <v>#N/A</v>
      </c>
      <c r="W13" t="e">
        <f t="shared" si="3"/>
        <v>#N/A</v>
      </c>
      <c r="X13" t="e">
        <f t="shared" si="4"/>
        <v>#N/A</v>
      </c>
      <c r="Z13" t="e">
        <v>#N/A</v>
      </c>
      <c r="AA13" t="e">
        <v>#N/A</v>
      </c>
      <c r="AB13" t="e">
        <v>#N/A</v>
      </c>
      <c r="AD13">
        <v>1000</v>
      </c>
      <c r="AE13">
        <v>1000</v>
      </c>
      <c r="AF13">
        <v>1000</v>
      </c>
      <c r="AH13" t="e">
        <f t="shared" si="5"/>
        <v>#N/A</v>
      </c>
      <c r="AI13" t="e">
        <f t="shared" si="6"/>
        <v>#N/A</v>
      </c>
      <c r="AJ13" t="e">
        <f t="shared" si="7"/>
        <v>#N/A</v>
      </c>
    </row>
    <row r="14" spans="1:36" ht="28.2" thickBot="1" x14ac:dyDescent="0.3">
      <c r="A14" s="22">
        <v>13</v>
      </c>
      <c r="B14" s="22" t="s">
        <v>3215</v>
      </c>
      <c r="C14" s="22" t="s">
        <v>3169</v>
      </c>
      <c r="D14" s="22" t="s">
        <v>3216</v>
      </c>
      <c r="E14" s="22" t="s">
        <v>3217</v>
      </c>
      <c r="F14" s="22" t="s">
        <v>3218</v>
      </c>
      <c r="G14" s="22" t="s">
        <v>3196</v>
      </c>
      <c r="H14" s="22" t="s">
        <v>29</v>
      </c>
      <c r="I14" s="22" t="s">
        <v>29</v>
      </c>
      <c r="J14" s="22" t="s">
        <v>29</v>
      </c>
      <c r="K14" s="22" t="s">
        <v>29</v>
      </c>
      <c r="M14" s="22">
        <v>13</v>
      </c>
      <c r="N14" s="22" t="s">
        <v>2913</v>
      </c>
      <c r="O14" s="22" t="s">
        <v>2908</v>
      </c>
      <c r="P14" s="22" t="s">
        <v>2908</v>
      </c>
      <c r="Q14" s="22" t="s">
        <v>2908</v>
      </c>
      <c r="R14" s="22" t="s">
        <v>2908</v>
      </c>
      <c r="S14" s="22" t="s">
        <v>2908</v>
      </c>
      <c r="T14" s="22" t="s">
        <v>2908</v>
      </c>
      <c r="V14" t="e">
        <f t="shared" si="2"/>
        <v>#N/A</v>
      </c>
      <c r="W14" t="e">
        <f t="shared" si="3"/>
        <v>#N/A</v>
      </c>
      <c r="X14" t="e">
        <f t="shared" si="4"/>
        <v>#N/A</v>
      </c>
      <c r="Z14" t="e">
        <v>#N/A</v>
      </c>
      <c r="AA14" t="e">
        <v>#N/A</v>
      </c>
      <c r="AB14" t="e">
        <v>#N/A</v>
      </c>
      <c r="AD14">
        <v>1000</v>
      </c>
      <c r="AE14">
        <v>1000</v>
      </c>
      <c r="AF14">
        <v>1000</v>
      </c>
      <c r="AH14" t="e">
        <f t="shared" si="5"/>
        <v>#N/A</v>
      </c>
      <c r="AI14" t="e">
        <f t="shared" si="6"/>
        <v>#N/A</v>
      </c>
      <c r="AJ14" t="e">
        <f t="shared" si="7"/>
        <v>#N/A</v>
      </c>
    </row>
    <row r="15" spans="1:36" ht="28.2" thickBot="1" x14ac:dyDescent="0.3">
      <c r="A15" s="22">
        <v>14</v>
      </c>
      <c r="B15" s="22" t="s">
        <v>2382</v>
      </c>
      <c r="C15" s="22" t="s">
        <v>3169</v>
      </c>
      <c r="D15" s="22" t="s">
        <v>3219</v>
      </c>
      <c r="E15" s="22" t="s">
        <v>3220</v>
      </c>
      <c r="F15" s="22" t="s">
        <v>3221</v>
      </c>
      <c r="G15" s="22" t="s">
        <v>3196</v>
      </c>
      <c r="H15" s="22">
        <v>3.15</v>
      </c>
      <c r="I15" s="22">
        <v>1</v>
      </c>
      <c r="J15" s="22" t="s">
        <v>1069</v>
      </c>
      <c r="K15" s="22">
        <v>1</v>
      </c>
      <c r="M15" s="22">
        <v>14</v>
      </c>
      <c r="N15" s="22" t="s">
        <v>2173</v>
      </c>
      <c r="O15" s="22" t="s">
        <v>3222</v>
      </c>
      <c r="P15" s="22" t="s">
        <v>3223</v>
      </c>
      <c r="Q15" s="22" t="s">
        <v>3224</v>
      </c>
      <c r="R15" s="22">
        <v>4</v>
      </c>
      <c r="S15" s="22">
        <v>2</v>
      </c>
      <c r="T15" s="22">
        <v>1</v>
      </c>
      <c r="V15" t="str">
        <f t="shared" si="2"/>
        <v>8.15</v>
      </c>
      <c r="W15" t="str">
        <f t="shared" si="3"/>
        <v>2.89</v>
      </c>
      <c r="X15" t="str">
        <f t="shared" si="4"/>
        <v>2.71</v>
      </c>
      <c r="Z15">
        <v>8.15</v>
      </c>
      <c r="AA15">
        <v>2.89</v>
      </c>
      <c r="AB15">
        <v>2.71</v>
      </c>
      <c r="AD15">
        <v>1000</v>
      </c>
      <c r="AE15">
        <v>1000</v>
      </c>
      <c r="AF15">
        <v>1000</v>
      </c>
      <c r="AH15">
        <f t="shared" si="5"/>
        <v>8150</v>
      </c>
      <c r="AI15">
        <f t="shared" si="6"/>
        <v>2890</v>
      </c>
      <c r="AJ15">
        <f t="shared" si="7"/>
        <v>2710</v>
      </c>
    </row>
    <row r="16" spans="1:36" ht="28.2" thickBot="1" x14ac:dyDescent="0.3">
      <c r="A16" s="22">
        <v>15</v>
      </c>
      <c r="B16" s="22" t="s">
        <v>2173</v>
      </c>
      <c r="C16" s="22" t="s">
        <v>3169</v>
      </c>
      <c r="D16" s="22" t="s">
        <v>3222</v>
      </c>
      <c r="E16" s="22" t="s">
        <v>3223</v>
      </c>
      <c r="F16" s="22" t="s">
        <v>3224</v>
      </c>
      <c r="G16" s="22" t="s">
        <v>2864</v>
      </c>
      <c r="H16" s="22">
        <v>1.89</v>
      </c>
      <c r="I16" s="22">
        <v>4</v>
      </c>
      <c r="J16" s="22">
        <v>2</v>
      </c>
      <c r="K16" s="22">
        <v>1</v>
      </c>
      <c r="M16" s="22">
        <v>15</v>
      </c>
      <c r="N16" s="22" t="s">
        <v>2914</v>
      </c>
      <c r="O16" s="22" t="s">
        <v>3207</v>
      </c>
      <c r="P16" s="22" t="s">
        <v>3208</v>
      </c>
      <c r="Q16" s="22" t="s">
        <v>3209</v>
      </c>
      <c r="R16" s="22">
        <v>46</v>
      </c>
      <c r="S16" s="22">
        <v>7</v>
      </c>
      <c r="T16" s="22">
        <v>8</v>
      </c>
      <c r="V16" t="str">
        <f t="shared" si="2"/>
        <v>32.13</v>
      </c>
      <c r="W16" t="str">
        <f t="shared" si="3"/>
        <v>5.09</v>
      </c>
      <c r="X16" t="str">
        <f t="shared" si="4"/>
        <v>5.61</v>
      </c>
      <c r="Z16">
        <v>32.130000000000003</v>
      </c>
      <c r="AA16">
        <v>5.09</v>
      </c>
      <c r="AB16">
        <v>5.61</v>
      </c>
      <c r="AD16">
        <v>1000</v>
      </c>
      <c r="AE16">
        <v>1000</v>
      </c>
      <c r="AF16">
        <v>1000</v>
      </c>
      <c r="AH16">
        <f t="shared" si="5"/>
        <v>32130.000000000004</v>
      </c>
      <c r="AI16">
        <f t="shared" si="6"/>
        <v>5090</v>
      </c>
      <c r="AJ16">
        <f t="shared" si="7"/>
        <v>5610</v>
      </c>
    </row>
    <row r="17" spans="1:36" ht="55.8" thickBot="1" x14ac:dyDescent="0.3">
      <c r="A17" s="22">
        <v>16</v>
      </c>
      <c r="B17" s="22" t="s">
        <v>2186</v>
      </c>
      <c r="C17" s="22" t="s">
        <v>3169</v>
      </c>
      <c r="D17" s="22" t="s">
        <v>3225</v>
      </c>
      <c r="E17" s="22" t="s">
        <v>3226</v>
      </c>
      <c r="F17" s="22" t="s">
        <v>3227</v>
      </c>
      <c r="G17" s="22" t="s">
        <v>2854</v>
      </c>
      <c r="H17" s="22">
        <v>1.1200000000000001</v>
      </c>
      <c r="I17" s="22">
        <v>2</v>
      </c>
      <c r="J17" s="22">
        <v>3</v>
      </c>
      <c r="K17" s="22">
        <v>2</v>
      </c>
      <c r="M17" s="22">
        <v>16</v>
      </c>
      <c r="N17" s="22" t="s">
        <v>3381</v>
      </c>
      <c r="O17" s="22" t="s">
        <v>3292</v>
      </c>
      <c r="P17" s="22" t="s">
        <v>3293</v>
      </c>
      <c r="Q17" s="22" t="s">
        <v>3294</v>
      </c>
      <c r="R17" s="22">
        <v>45</v>
      </c>
      <c r="S17" s="22">
        <v>11</v>
      </c>
      <c r="T17" s="22">
        <v>30</v>
      </c>
      <c r="V17" t="str">
        <f t="shared" si="2"/>
        <v>5.58</v>
      </c>
      <c r="W17" t="str">
        <f t="shared" si="3"/>
        <v>1.32</v>
      </c>
      <c r="X17" t="str">
        <f t="shared" si="4"/>
        <v>3.73</v>
      </c>
      <c r="Z17">
        <v>5.58</v>
      </c>
      <c r="AA17">
        <v>1.32</v>
      </c>
      <c r="AB17">
        <v>3.73</v>
      </c>
      <c r="AD17">
        <v>1000</v>
      </c>
      <c r="AE17">
        <v>1000</v>
      </c>
      <c r="AF17">
        <v>1000</v>
      </c>
      <c r="AH17">
        <f t="shared" si="5"/>
        <v>5580</v>
      </c>
      <c r="AI17">
        <f t="shared" si="6"/>
        <v>1320</v>
      </c>
      <c r="AJ17">
        <f t="shared" si="7"/>
        <v>3730</v>
      </c>
    </row>
    <row r="18" spans="1:36" ht="28.2" thickBot="1" x14ac:dyDescent="0.3">
      <c r="A18" s="22">
        <v>17</v>
      </c>
      <c r="B18" s="22" t="s">
        <v>2958</v>
      </c>
      <c r="C18" s="22" t="s">
        <v>3169</v>
      </c>
      <c r="D18" s="22" t="s">
        <v>3228</v>
      </c>
      <c r="E18" s="22" t="s">
        <v>3229</v>
      </c>
      <c r="F18" s="22" t="s">
        <v>3230</v>
      </c>
      <c r="G18" s="22" t="s">
        <v>3192</v>
      </c>
      <c r="H18" s="22">
        <v>353.19</v>
      </c>
      <c r="I18" s="22" t="s">
        <v>1069</v>
      </c>
      <c r="J18" s="22" t="s">
        <v>1069</v>
      </c>
      <c r="K18" s="22" t="s">
        <v>1069</v>
      </c>
      <c r="M18" s="22">
        <v>17</v>
      </c>
      <c r="N18" s="22" t="s">
        <v>2028</v>
      </c>
      <c r="O18" s="22" t="s">
        <v>3280</v>
      </c>
      <c r="P18" s="22" t="s">
        <v>3281</v>
      </c>
      <c r="Q18" s="22" t="s">
        <v>3282</v>
      </c>
      <c r="R18" s="22">
        <v>11</v>
      </c>
      <c r="S18" s="22">
        <v>7</v>
      </c>
      <c r="T18" s="22">
        <v>11</v>
      </c>
      <c r="V18" t="str">
        <f t="shared" si="2"/>
        <v>4.64</v>
      </c>
      <c r="W18" t="str">
        <f t="shared" si="3"/>
        <v>2.68</v>
      </c>
      <c r="X18" t="str">
        <f t="shared" si="4"/>
        <v>4.48</v>
      </c>
      <c r="Z18">
        <v>4.6399999999999997</v>
      </c>
      <c r="AA18">
        <v>2.68</v>
      </c>
      <c r="AB18">
        <v>4.4800000000000004</v>
      </c>
      <c r="AD18">
        <v>1000</v>
      </c>
      <c r="AE18">
        <v>1000</v>
      </c>
      <c r="AF18">
        <v>1000</v>
      </c>
      <c r="AH18">
        <f t="shared" si="5"/>
        <v>4640</v>
      </c>
      <c r="AI18">
        <f t="shared" si="6"/>
        <v>2680</v>
      </c>
      <c r="AJ18">
        <f t="shared" si="7"/>
        <v>4480</v>
      </c>
    </row>
    <row r="19" spans="1:36" ht="42" thickBot="1" x14ac:dyDescent="0.3">
      <c r="A19" s="22">
        <v>18</v>
      </c>
      <c r="B19" s="22" t="s">
        <v>3231</v>
      </c>
      <c r="C19" s="22" t="s">
        <v>3169</v>
      </c>
      <c r="D19" s="22" t="s">
        <v>3232</v>
      </c>
      <c r="E19" s="22" t="s">
        <v>3233</v>
      </c>
      <c r="F19" s="22" t="s">
        <v>3234</v>
      </c>
      <c r="G19" s="22" t="s">
        <v>3235</v>
      </c>
      <c r="H19" s="22" t="s">
        <v>29</v>
      </c>
      <c r="I19" s="22" t="s">
        <v>29</v>
      </c>
      <c r="J19" s="22" t="s">
        <v>29</v>
      </c>
      <c r="K19" s="22" t="s">
        <v>29</v>
      </c>
      <c r="M19" s="22">
        <v>18</v>
      </c>
      <c r="N19" s="22" t="s">
        <v>3382</v>
      </c>
      <c r="O19" s="22" t="s">
        <v>3175</v>
      </c>
      <c r="P19" s="22" t="s">
        <v>3176</v>
      </c>
      <c r="Q19" s="22" t="s">
        <v>3177</v>
      </c>
      <c r="R19" s="22">
        <v>141</v>
      </c>
      <c r="S19" s="22">
        <v>16</v>
      </c>
      <c r="T19" s="22">
        <v>23</v>
      </c>
      <c r="V19" t="str">
        <f t="shared" si="2"/>
        <v>480.98</v>
      </c>
      <c r="W19" t="str">
        <f t="shared" si="3"/>
        <v>55.19</v>
      </c>
      <c r="X19" t="str">
        <f t="shared" si="4"/>
        <v>78.36</v>
      </c>
      <c r="Z19">
        <v>480.98</v>
      </c>
      <c r="AA19">
        <v>55.19</v>
      </c>
      <c r="AB19">
        <v>78.36</v>
      </c>
      <c r="AD19">
        <v>1000</v>
      </c>
      <c r="AE19">
        <v>1000</v>
      </c>
      <c r="AF19">
        <v>1000</v>
      </c>
      <c r="AH19">
        <f t="shared" si="5"/>
        <v>480980</v>
      </c>
      <c r="AI19">
        <f t="shared" si="6"/>
        <v>55190</v>
      </c>
      <c r="AJ19">
        <f t="shared" si="7"/>
        <v>78360</v>
      </c>
    </row>
    <row r="20" spans="1:36" ht="42" thickBot="1" x14ac:dyDescent="0.3">
      <c r="A20" s="22">
        <v>19</v>
      </c>
      <c r="B20" s="22" t="s">
        <v>2901</v>
      </c>
      <c r="C20" s="22" t="s">
        <v>3169</v>
      </c>
      <c r="D20" s="22" t="s">
        <v>3236</v>
      </c>
      <c r="E20" s="22" t="s">
        <v>3237</v>
      </c>
      <c r="F20" s="22" t="s">
        <v>3238</v>
      </c>
      <c r="G20" s="22" t="s">
        <v>2902</v>
      </c>
      <c r="H20" s="22">
        <v>46.61</v>
      </c>
      <c r="I20" s="22">
        <v>1</v>
      </c>
      <c r="J20" s="22">
        <v>1</v>
      </c>
      <c r="K20" s="22" t="s">
        <v>1069</v>
      </c>
      <c r="M20" s="22">
        <v>19</v>
      </c>
      <c r="N20" s="22" t="s">
        <v>3383</v>
      </c>
      <c r="O20" s="22" t="s">
        <v>3236</v>
      </c>
      <c r="P20" s="22" t="s">
        <v>3237</v>
      </c>
      <c r="Q20" s="22" t="s">
        <v>3238</v>
      </c>
      <c r="R20" s="22">
        <v>1</v>
      </c>
      <c r="S20" s="22">
        <v>1</v>
      </c>
      <c r="T20" s="22" t="s">
        <v>1069</v>
      </c>
      <c r="V20" t="str">
        <f t="shared" si="2"/>
        <v>50.64</v>
      </c>
      <c r="W20" t="str">
        <f t="shared" si="3"/>
        <v>27.39</v>
      </c>
      <c r="X20" t="str">
        <f t="shared" si="4"/>
        <v>5.98</v>
      </c>
      <c r="Z20">
        <v>50.64</v>
      </c>
      <c r="AA20">
        <v>27.39</v>
      </c>
      <c r="AB20">
        <v>5.98</v>
      </c>
      <c r="AD20">
        <v>1000</v>
      </c>
      <c r="AE20">
        <v>1000</v>
      </c>
      <c r="AF20">
        <v>1000</v>
      </c>
      <c r="AH20">
        <f t="shared" si="5"/>
        <v>50640</v>
      </c>
      <c r="AI20">
        <f t="shared" si="6"/>
        <v>27390</v>
      </c>
      <c r="AJ20">
        <f t="shared" si="7"/>
        <v>5980</v>
      </c>
    </row>
    <row r="21" spans="1:36" ht="28.2" thickBot="1" x14ac:dyDescent="0.3">
      <c r="A21" s="22">
        <v>20</v>
      </c>
      <c r="B21" s="22" t="s">
        <v>3239</v>
      </c>
      <c r="C21" s="22" t="s">
        <v>3169</v>
      </c>
      <c r="D21" s="22" t="s">
        <v>3240</v>
      </c>
      <c r="E21" s="22" t="s">
        <v>3241</v>
      </c>
      <c r="F21" s="22" t="s">
        <v>3242</v>
      </c>
      <c r="G21" s="22" t="s">
        <v>2864</v>
      </c>
      <c r="H21" s="22">
        <v>15</v>
      </c>
      <c r="I21" s="22">
        <v>7</v>
      </c>
      <c r="J21" s="22" t="s">
        <v>1069</v>
      </c>
      <c r="K21" s="22" t="s">
        <v>1069</v>
      </c>
      <c r="M21" s="22">
        <v>20</v>
      </c>
      <c r="N21" s="22" t="s">
        <v>2362</v>
      </c>
      <c r="O21" s="22" t="s">
        <v>3193</v>
      </c>
      <c r="P21" s="22" t="s">
        <v>3194</v>
      </c>
      <c r="Q21" s="22" t="s">
        <v>3195</v>
      </c>
      <c r="R21" s="22">
        <v>92</v>
      </c>
      <c r="S21" s="22">
        <v>59</v>
      </c>
      <c r="T21" s="22">
        <v>83</v>
      </c>
      <c r="V21" t="str">
        <f t="shared" si="2"/>
        <v>1.85</v>
      </c>
      <c r="W21" t="str">
        <f t="shared" si="3"/>
        <v>1.19</v>
      </c>
      <c r="X21" t="str">
        <f t="shared" si="4"/>
        <v>1.67</v>
      </c>
      <c r="Z21">
        <v>1.85</v>
      </c>
      <c r="AA21">
        <v>1.19</v>
      </c>
      <c r="AB21">
        <v>1.67</v>
      </c>
      <c r="AD21">
        <v>1000</v>
      </c>
      <c r="AE21">
        <v>1000</v>
      </c>
      <c r="AF21">
        <v>1000</v>
      </c>
      <c r="AH21">
        <f t="shared" si="5"/>
        <v>1850</v>
      </c>
      <c r="AI21">
        <f t="shared" si="6"/>
        <v>1190</v>
      </c>
      <c r="AJ21">
        <f t="shared" si="7"/>
        <v>1670</v>
      </c>
    </row>
    <row r="22" spans="1:36" ht="28.2" thickBot="1" x14ac:dyDescent="0.3">
      <c r="A22" s="22">
        <v>21</v>
      </c>
      <c r="B22" s="22" t="s">
        <v>3243</v>
      </c>
      <c r="C22" s="22" t="s">
        <v>3169</v>
      </c>
      <c r="D22" s="22" t="s">
        <v>3244</v>
      </c>
      <c r="E22" s="22" t="s">
        <v>3245</v>
      </c>
      <c r="F22" s="22" t="s">
        <v>3246</v>
      </c>
      <c r="G22" s="22" t="s">
        <v>3192</v>
      </c>
      <c r="H22" s="22" t="s">
        <v>29</v>
      </c>
      <c r="I22" s="22" t="s">
        <v>29</v>
      </c>
      <c r="J22" s="22" t="s">
        <v>29</v>
      </c>
      <c r="K22" s="22" t="s">
        <v>29</v>
      </c>
      <c r="M22" s="22">
        <v>21</v>
      </c>
      <c r="N22" s="22" t="s">
        <v>2942</v>
      </c>
      <c r="O22" s="22" t="s">
        <v>3322</v>
      </c>
      <c r="P22" s="22" t="s">
        <v>3323</v>
      </c>
      <c r="Q22" s="22" t="s">
        <v>3324</v>
      </c>
      <c r="R22" s="22">
        <v>76</v>
      </c>
      <c r="S22" s="22">
        <v>84</v>
      </c>
      <c r="T22" s="22">
        <v>41</v>
      </c>
      <c r="V22" t="str">
        <f t="shared" si="2"/>
        <v>208.73</v>
      </c>
      <c r="W22" t="str">
        <f t="shared" si="3"/>
        <v>229.66</v>
      </c>
      <c r="X22" t="str">
        <f t="shared" si="4"/>
        <v>110.95</v>
      </c>
      <c r="Z22">
        <v>208.73</v>
      </c>
      <c r="AA22">
        <v>229.66</v>
      </c>
      <c r="AB22">
        <v>110.95</v>
      </c>
      <c r="AD22">
        <v>1000</v>
      </c>
      <c r="AE22">
        <v>1000</v>
      </c>
      <c r="AF22">
        <v>1000</v>
      </c>
      <c r="AH22">
        <f t="shared" si="5"/>
        <v>208730</v>
      </c>
      <c r="AI22">
        <f t="shared" si="6"/>
        <v>229660</v>
      </c>
      <c r="AJ22">
        <f t="shared" si="7"/>
        <v>110950</v>
      </c>
    </row>
    <row r="23" spans="1:36" ht="28.2" thickBot="1" x14ac:dyDescent="0.3">
      <c r="A23" s="22">
        <v>22</v>
      </c>
      <c r="B23" s="22" t="s">
        <v>3247</v>
      </c>
      <c r="C23" s="22" t="s">
        <v>3169</v>
      </c>
      <c r="D23" s="22" t="s">
        <v>3248</v>
      </c>
      <c r="E23" s="22" t="s">
        <v>3249</v>
      </c>
      <c r="F23" s="22" t="s">
        <v>3250</v>
      </c>
      <c r="G23" s="22" t="s">
        <v>2876</v>
      </c>
      <c r="H23" s="22">
        <v>0.45</v>
      </c>
      <c r="I23" s="22">
        <v>203</v>
      </c>
      <c r="J23" s="22">
        <v>186</v>
      </c>
      <c r="K23" s="22">
        <v>168</v>
      </c>
      <c r="M23" s="22">
        <v>22</v>
      </c>
      <c r="N23" s="22" t="s">
        <v>3384</v>
      </c>
      <c r="O23" s="22" t="s">
        <v>3339</v>
      </c>
      <c r="P23" s="22" t="s">
        <v>3340</v>
      </c>
      <c r="Q23" s="22" t="s">
        <v>3341</v>
      </c>
      <c r="R23" s="22">
        <v>23</v>
      </c>
      <c r="S23" s="22">
        <v>22</v>
      </c>
      <c r="T23" s="22">
        <v>35</v>
      </c>
      <c r="V23" t="str">
        <f t="shared" si="2"/>
        <v>125.98</v>
      </c>
      <c r="W23" t="str">
        <f t="shared" si="3"/>
        <v>120.10</v>
      </c>
      <c r="X23" t="str">
        <f t="shared" si="4"/>
        <v>185.67</v>
      </c>
      <c r="Z23">
        <v>125.98</v>
      </c>
      <c r="AA23">
        <v>120.1</v>
      </c>
      <c r="AB23">
        <v>185.67</v>
      </c>
      <c r="AD23">
        <v>1000</v>
      </c>
      <c r="AE23">
        <v>1000</v>
      </c>
      <c r="AF23">
        <v>1000</v>
      </c>
      <c r="AH23">
        <f t="shared" si="5"/>
        <v>125980</v>
      </c>
      <c r="AI23">
        <f t="shared" si="6"/>
        <v>120100</v>
      </c>
      <c r="AJ23">
        <f t="shared" si="7"/>
        <v>185670</v>
      </c>
    </row>
    <row r="24" spans="1:36" ht="42" thickBot="1" x14ac:dyDescent="0.3">
      <c r="A24" s="22">
        <v>23</v>
      </c>
      <c r="B24" s="22" t="s">
        <v>3251</v>
      </c>
      <c r="C24" s="22" t="s">
        <v>3169</v>
      </c>
      <c r="D24" s="22" t="s">
        <v>3252</v>
      </c>
      <c r="E24" s="22" t="s">
        <v>3253</v>
      </c>
      <c r="F24" s="22" t="s">
        <v>3254</v>
      </c>
      <c r="G24" s="22" t="s">
        <v>29</v>
      </c>
      <c r="H24" s="22" t="s">
        <v>29</v>
      </c>
      <c r="I24" s="22" t="s">
        <v>29</v>
      </c>
      <c r="J24" s="22" t="s">
        <v>29</v>
      </c>
      <c r="K24" s="22" t="s">
        <v>29</v>
      </c>
      <c r="M24" s="22">
        <v>23</v>
      </c>
      <c r="N24" s="22" t="s">
        <v>2917</v>
      </c>
      <c r="O24" s="22" t="s">
        <v>3330</v>
      </c>
      <c r="P24" s="22" t="s">
        <v>3331</v>
      </c>
      <c r="Q24" s="22" t="s">
        <v>3332</v>
      </c>
      <c r="R24" s="22">
        <v>4</v>
      </c>
      <c r="S24" s="22">
        <v>3</v>
      </c>
      <c r="T24" s="22">
        <v>6</v>
      </c>
      <c r="V24" t="str">
        <f t="shared" si="2"/>
        <v>699.72</v>
      </c>
      <c r="W24" t="str">
        <f t="shared" si="3"/>
        <v>543.31</v>
      </c>
      <c r="X24" t="str">
        <f t="shared" si="4"/>
        <v>1132.45</v>
      </c>
      <c r="Z24">
        <v>699.72</v>
      </c>
      <c r="AA24">
        <v>543.30999999999995</v>
      </c>
      <c r="AB24">
        <v>1132.45</v>
      </c>
      <c r="AD24">
        <v>1000</v>
      </c>
      <c r="AE24">
        <v>1000</v>
      </c>
      <c r="AF24">
        <v>1000</v>
      </c>
      <c r="AH24">
        <f t="shared" si="5"/>
        <v>699720</v>
      </c>
      <c r="AI24">
        <f t="shared" si="6"/>
        <v>543310</v>
      </c>
      <c r="AJ24">
        <f t="shared" si="7"/>
        <v>1132450</v>
      </c>
    </row>
    <row r="25" spans="1:36" ht="28.2" thickBot="1" x14ac:dyDescent="0.3">
      <c r="A25" s="22">
        <v>24</v>
      </c>
      <c r="B25" s="22" t="s">
        <v>2857</v>
      </c>
      <c r="C25" s="22" t="s">
        <v>3169</v>
      </c>
      <c r="D25" s="22" t="s">
        <v>3255</v>
      </c>
      <c r="E25" s="22" t="s">
        <v>3256</v>
      </c>
      <c r="F25" s="22" t="s">
        <v>3257</v>
      </c>
      <c r="G25" s="22" t="s">
        <v>3258</v>
      </c>
      <c r="H25" s="22">
        <v>44.03</v>
      </c>
      <c r="I25" s="22" t="s">
        <v>1069</v>
      </c>
      <c r="J25" s="22" t="s">
        <v>1069</v>
      </c>
      <c r="K25" s="22" t="s">
        <v>1069</v>
      </c>
      <c r="M25" s="22">
        <v>24</v>
      </c>
      <c r="N25" s="22" t="s">
        <v>2918</v>
      </c>
      <c r="O25" s="22" t="s">
        <v>2908</v>
      </c>
      <c r="P25" s="22" t="s">
        <v>2908</v>
      </c>
      <c r="Q25" s="22" t="s">
        <v>2908</v>
      </c>
      <c r="R25" s="22" t="s">
        <v>2908</v>
      </c>
      <c r="S25" s="22" t="s">
        <v>2908</v>
      </c>
      <c r="T25" s="22" t="s">
        <v>2908</v>
      </c>
      <c r="V25" t="e">
        <f t="shared" si="2"/>
        <v>#N/A</v>
      </c>
      <c r="W25" t="e">
        <f t="shared" si="3"/>
        <v>#N/A</v>
      </c>
      <c r="X25" t="e">
        <f t="shared" si="4"/>
        <v>#N/A</v>
      </c>
      <c r="Z25" t="e">
        <v>#N/A</v>
      </c>
      <c r="AA25" t="e">
        <v>#N/A</v>
      </c>
      <c r="AB25" t="e">
        <v>#N/A</v>
      </c>
      <c r="AD25">
        <v>1000</v>
      </c>
      <c r="AE25">
        <v>1000</v>
      </c>
      <c r="AF25">
        <v>1000</v>
      </c>
      <c r="AH25" t="e">
        <f t="shared" si="5"/>
        <v>#N/A</v>
      </c>
      <c r="AI25" t="e">
        <f t="shared" si="6"/>
        <v>#N/A</v>
      </c>
      <c r="AJ25" t="e">
        <f t="shared" si="7"/>
        <v>#N/A</v>
      </c>
    </row>
    <row r="26" spans="1:36" ht="28.2" thickBot="1" x14ac:dyDescent="0.3">
      <c r="A26" s="22">
        <v>25</v>
      </c>
      <c r="B26" s="22" t="s">
        <v>3259</v>
      </c>
      <c r="C26" s="22" t="s">
        <v>3169</v>
      </c>
      <c r="D26" s="22" t="s">
        <v>3260</v>
      </c>
      <c r="E26" s="22" t="s">
        <v>3261</v>
      </c>
      <c r="F26" s="22" t="s">
        <v>3262</v>
      </c>
      <c r="G26" s="22" t="s">
        <v>3263</v>
      </c>
      <c r="H26" s="22">
        <v>359</v>
      </c>
      <c r="I26" s="22" t="s">
        <v>1069</v>
      </c>
      <c r="J26" s="22" t="s">
        <v>1069</v>
      </c>
      <c r="K26" s="22" t="s">
        <v>1069</v>
      </c>
      <c r="M26" s="22">
        <v>25</v>
      </c>
      <c r="N26" s="22" t="s">
        <v>2179</v>
      </c>
      <c r="O26" s="22" t="s">
        <v>2908</v>
      </c>
      <c r="P26" s="22" t="s">
        <v>2908</v>
      </c>
      <c r="Q26" s="22" t="s">
        <v>2908</v>
      </c>
      <c r="R26" s="22" t="s">
        <v>2908</v>
      </c>
      <c r="S26" s="22" t="s">
        <v>2908</v>
      </c>
      <c r="T26" s="22" t="s">
        <v>2908</v>
      </c>
      <c r="V26" t="e">
        <f t="shared" si="2"/>
        <v>#N/A</v>
      </c>
      <c r="W26" t="e">
        <f t="shared" si="3"/>
        <v>#N/A</v>
      </c>
      <c r="X26" t="e">
        <f t="shared" si="4"/>
        <v>#N/A</v>
      </c>
      <c r="Z26" t="e">
        <v>#N/A</v>
      </c>
      <c r="AA26" t="e">
        <v>#N/A</v>
      </c>
      <c r="AB26" t="e">
        <v>#N/A</v>
      </c>
      <c r="AD26">
        <v>1000</v>
      </c>
      <c r="AE26">
        <v>1000</v>
      </c>
      <c r="AF26">
        <v>1000</v>
      </c>
      <c r="AH26" t="e">
        <f t="shared" si="5"/>
        <v>#N/A</v>
      </c>
      <c r="AI26" t="e">
        <f t="shared" si="6"/>
        <v>#N/A</v>
      </c>
      <c r="AJ26" t="e">
        <f t="shared" si="7"/>
        <v>#N/A</v>
      </c>
    </row>
    <row r="27" spans="1:36" ht="42" thickBot="1" x14ac:dyDescent="0.3">
      <c r="A27" s="22">
        <v>26</v>
      </c>
      <c r="B27" s="22" t="s">
        <v>3264</v>
      </c>
      <c r="C27" s="22" t="s">
        <v>3169</v>
      </c>
      <c r="D27" s="22" t="s">
        <v>3265</v>
      </c>
      <c r="E27" s="22" t="s">
        <v>3266</v>
      </c>
      <c r="F27" s="22" t="s">
        <v>3267</v>
      </c>
      <c r="G27" s="22" t="s">
        <v>29</v>
      </c>
      <c r="H27" s="22" t="s">
        <v>29</v>
      </c>
      <c r="I27" s="22" t="s">
        <v>29</v>
      </c>
      <c r="J27" s="22" t="s">
        <v>29</v>
      </c>
      <c r="K27" s="22" t="s">
        <v>29</v>
      </c>
      <c r="M27" s="22">
        <v>26</v>
      </c>
      <c r="N27" s="22" t="s">
        <v>2358</v>
      </c>
      <c r="O27" s="22" t="s">
        <v>3314</v>
      </c>
      <c r="P27" s="22" t="s">
        <v>3315</v>
      </c>
      <c r="Q27" s="22" t="s">
        <v>3316</v>
      </c>
      <c r="R27" s="22">
        <v>6</v>
      </c>
      <c r="S27" s="22">
        <v>5</v>
      </c>
      <c r="T27" s="22">
        <v>3</v>
      </c>
      <c r="V27" t="str">
        <f t="shared" si="2"/>
        <v>344.37</v>
      </c>
      <c r="W27" t="str">
        <f t="shared" si="3"/>
        <v>253.23</v>
      </c>
      <c r="X27" t="str">
        <f t="shared" si="4"/>
        <v>174.32</v>
      </c>
      <c r="Z27">
        <v>344.37</v>
      </c>
      <c r="AA27">
        <v>253.23</v>
      </c>
      <c r="AB27">
        <v>174.32</v>
      </c>
      <c r="AD27">
        <v>1000</v>
      </c>
      <c r="AE27">
        <v>1000</v>
      </c>
      <c r="AF27">
        <v>1000</v>
      </c>
      <c r="AH27">
        <f t="shared" si="5"/>
        <v>344370</v>
      </c>
      <c r="AI27">
        <f t="shared" si="6"/>
        <v>253230</v>
      </c>
      <c r="AJ27">
        <f t="shared" si="7"/>
        <v>174320</v>
      </c>
    </row>
    <row r="28" spans="1:36" ht="42" thickBot="1" x14ac:dyDescent="0.3">
      <c r="A28" s="22">
        <v>27</v>
      </c>
      <c r="B28" s="22" t="s">
        <v>2947</v>
      </c>
      <c r="C28" s="22" t="s">
        <v>3169</v>
      </c>
      <c r="D28" s="22" t="s">
        <v>3268</v>
      </c>
      <c r="E28" s="22" t="s">
        <v>3269</v>
      </c>
      <c r="F28" s="22" t="s">
        <v>3270</v>
      </c>
      <c r="G28" s="22" t="s">
        <v>3271</v>
      </c>
      <c r="H28" s="22">
        <v>0.71</v>
      </c>
      <c r="I28" s="22">
        <v>210</v>
      </c>
      <c r="J28" s="22">
        <v>217</v>
      </c>
      <c r="K28" s="22">
        <v>269</v>
      </c>
      <c r="M28" s="22">
        <v>27</v>
      </c>
      <c r="N28" s="22" t="s">
        <v>3385</v>
      </c>
      <c r="O28" s="22" t="s">
        <v>3318</v>
      </c>
      <c r="P28" s="22" t="s">
        <v>3319</v>
      </c>
      <c r="Q28" s="22" t="s">
        <v>3320</v>
      </c>
      <c r="R28" s="22">
        <v>1</v>
      </c>
      <c r="S28" s="22" t="s">
        <v>1069</v>
      </c>
      <c r="T28" s="22" t="s">
        <v>1069</v>
      </c>
      <c r="V28" t="str">
        <f t="shared" si="2"/>
        <v>58.15</v>
      </c>
      <c r="W28" t="str">
        <f t="shared" si="3"/>
        <v>3.65</v>
      </c>
      <c r="X28" t="str">
        <f t="shared" si="4"/>
        <v>4.46</v>
      </c>
      <c r="Z28">
        <v>58.15</v>
      </c>
      <c r="AA28">
        <v>3.65</v>
      </c>
      <c r="AB28">
        <v>4.46</v>
      </c>
      <c r="AD28">
        <v>1000</v>
      </c>
      <c r="AE28">
        <v>1000</v>
      </c>
      <c r="AF28">
        <v>1000</v>
      </c>
      <c r="AH28">
        <f t="shared" si="5"/>
        <v>58150</v>
      </c>
      <c r="AI28">
        <f t="shared" si="6"/>
        <v>3650</v>
      </c>
      <c r="AJ28">
        <f t="shared" si="7"/>
        <v>4460</v>
      </c>
    </row>
    <row r="29" spans="1:36" ht="28.2" thickBot="1" x14ac:dyDescent="0.3">
      <c r="A29" s="22">
        <v>28</v>
      </c>
      <c r="B29" s="22" t="s">
        <v>2948</v>
      </c>
      <c r="C29" s="22" t="s">
        <v>3169</v>
      </c>
      <c r="D29" s="22" t="s">
        <v>3272</v>
      </c>
      <c r="E29" s="22" t="s">
        <v>3273</v>
      </c>
      <c r="F29" s="22" t="s">
        <v>3274</v>
      </c>
      <c r="G29" s="22" t="s">
        <v>3275</v>
      </c>
      <c r="H29" s="22">
        <v>4.2</v>
      </c>
      <c r="I29" s="22" t="s">
        <v>1069</v>
      </c>
      <c r="J29" s="22" t="s">
        <v>1069</v>
      </c>
      <c r="K29" s="22" t="s">
        <v>1069</v>
      </c>
      <c r="M29" s="22">
        <v>28</v>
      </c>
      <c r="N29" s="22" t="s">
        <v>2024</v>
      </c>
      <c r="O29" s="22" t="s">
        <v>3370</v>
      </c>
      <c r="P29" s="22" t="s">
        <v>3371</v>
      </c>
      <c r="Q29" s="22" t="s">
        <v>3372</v>
      </c>
      <c r="R29" s="22">
        <v>129</v>
      </c>
      <c r="S29" s="22">
        <v>24</v>
      </c>
      <c r="T29" s="22">
        <v>28</v>
      </c>
      <c r="V29" t="str">
        <f t="shared" si="2"/>
        <v>325.17</v>
      </c>
      <c r="W29" t="str">
        <f t="shared" si="3"/>
        <v>59.23</v>
      </c>
      <c r="X29" t="str">
        <f t="shared" si="4"/>
        <v>70.24</v>
      </c>
      <c r="Z29">
        <v>325.17</v>
      </c>
      <c r="AA29">
        <v>59.23</v>
      </c>
      <c r="AB29">
        <v>70.239999999999995</v>
      </c>
      <c r="AD29">
        <v>1000</v>
      </c>
      <c r="AE29">
        <v>1000</v>
      </c>
      <c r="AF29">
        <v>1000</v>
      </c>
      <c r="AH29">
        <f t="shared" si="5"/>
        <v>325170</v>
      </c>
      <c r="AI29">
        <f t="shared" si="6"/>
        <v>59230</v>
      </c>
      <c r="AJ29">
        <f t="shared" si="7"/>
        <v>70240</v>
      </c>
    </row>
    <row r="30" spans="1:36" ht="28.2" thickBot="1" x14ac:dyDescent="0.3">
      <c r="A30" s="22">
        <v>29</v>
      </c>
      <c r="B30" s="22" t="s">
        <v>3276</v>
      </c>
      <c r="C30" s="22" t="s">
        <v>3169</v>
      </c>
      <c r="D30" s="22" t="s">
        <v>3277</v>
      </c>
      <c r="E30" s="22" t="s">
        <v>3278</v>
      </c>
      <c r="F30" s="22" t="s">
        <v>3279</v>
      </c>
      <c r="G30" s="22" t="s">
        <v>3196</v>
      </c>
      <c r="H30" s="22">
        <v>1.43</v>
      </c>
      <c r="I30" s="22">
        <v>1</v>
      </c>
      <c r="J30" s="22" t="s">
        <v>1069</v>
      </c>
      <c r="K30" s="22">
        <v>3</v>
      </c>
      <c r="M30" s="22">
        <v>29</v>
      </c>
      <c r="N30" s="22" t="s">
        <v>2892</v>
      </c>
      <c r="O30" s="22" t="s">
        <v>2908</v>
      </c>
      <c r="P30" s="22" t="s">
        <v>2908</v>
      </c>
      <c r="Q30" s="22" t="s">
        <v>2908</v>
      </c>
      <c r="R30" s="22" t="s">
        <v>2908</v>
      </c>
      <c r="S30" s="22" t="s">
        <v>2908</v>
      </c>
      <c r="T30" s="22" t="s">
        <v>2908</v>
      </c>
      <c r="V30" t="e">
        <f t="shared" si="2"/>
        <v>#N/A</v>
      </c>
      <c r="W30" t="e">
        <f t="shared" si="3"/>
        <v>#N/A</v>
      </c>
      <c r="X30" t="e">
        <f t="shared" si="4"/>
        <v>#N/A</v>
      </c>
      <c r="Z30" t="e">
        <v>#N/A</v>
      </c>
      <c r="AA30" t="e">
        <v>#N/A</v>
      </c>
      <c r="AB30" t="e">
        <v>#N/A</v>
      </c>
      <c r="AD30">
        <v>1000</v>
      </c>
      <c r="AE30">
        <v>1000</v>
      </c>
      <c r="AF30">
        <v>1000</v>
      </c>
      <c r="AH30" t="e">
        <f t="shared" si="5"/>
        <v>#N/A</v>
      </c>
      <c r="AI30" t="e">
        <f t="shared" si="6"/>
        <v>#N/A</v>
      </c>
      <c r="AJ30" t="e">
        <f t="shared" si="7"/>
        <v>#N/A</v>
      </c>
    </row>
    <row r="31" spans="1:36" ht="28.2" thickBot="1" x14ac:dyDescent="0.3">
      <c r="A31" s="22">
        <v>30</v>
      </c>
      <c r="B31" s="22" t="s">
        <v>2028</v>
      </c>
      <c r="C31" s="22" t="s">
        <v>3169</v>
      </c>
      <c r="D31" s="22" t="s">
        <v>3280</v>
      </c>
      <c r="E31" s="22" t="s">
        <v>3281</v>
      </c>
      <c r="F31" s="22" t="s">
        <v>3282</v>
      </c>
      <c r="G31" s="22" t="s">
        <v>3283</v>
      </c>
      <c r="H31" s="22">
        <v>0.41</v>
      </c>
      <c r="I31" s="22">
        <v>11</v>
      </c>
      <c r="J31" s="22">
        <v>7</v>
      </c>
      <c r="K31" s="22">
        <v>11</v>
      </c>
      <c r="M31" s="22">
        <v>30</v>
      </c>
      <c r="N31" s="22" t="s">
        <v>2021</v>
      </c>
      <c r="O31" s="22" t="s">
        <v>3367</v>
      </c>
      <c r="P31" s="22" t="s">
        <v>3368</v>
      </c>
      <c r="Q31" s="22" t="s">
        <v>3369</v>
      </c>
      <c r="R31" s="22">
        <v>38</v>
      </c>
      <c r="S31" s="22">
        <v>23</v>
      </c>
      <c r="T31" s="22">
        <v>33</v>
      </c>
      <c r="V31" t="str">
        <f t="shared" si="2"/>
        <v>14.88</v>
      </c>
      <c r="W31" t="str">
        <f t="shared" si="3"/>
        <v>9.16</v>
      </c>
      <c r="X31" t="str">
        <f t="shared" si="4"/>
        <v>12.81</v>
      </c>
      <c r="Z31">
        <v>14.88</v>
      </c>
      <c r="AA31">
        <v>9.16</v>
      </c>
      <c r="AB31">
        <v>12.81</v>
      </c>
      <c r="AD31">
        <v>1000</v>
      </c>
      <c r="AE31">
        <v>1000</v>
      </c>
      <c r="AF31">
        <v>1000</v>
      </c>
      <c r="AH31">
        <f t="shared" si="5"/>
        <v>14880</v>
      </c>
      <c r="AI31">
        <f t="shared" si="6"/>
        <v>9160</v>
      </c>
      <c r="AJ31">
        <f t="shared" si="7"/>
        <v>12810</v>
      </c>
    </row>
    <row r="32" spans="1:36" ht="28.2" thickBot="1" x14ac:dyDescent="0.3">
      <c r="A32" s="22">
        <v>31</v>
      </c>
      <c r="B32" s="22" t="s">
        <v>2920</v>
      </c>
      <c r="C32" s="22" t="s">
        <v>3169</v>
      </c>
      <c r="D32" s="22" t="s">
        <v>3284</v>
      </c>
      <c r="E32" s="22" t="s">
        <v>3285</v>
      </c>
      <c r="F32" s="22" t="s">
        <v>3286</v>
      </c>
      <c r="G32" s="22" t="s">
        <v>3283</v>
      </c>
      <c r="H32" s="22">
        <v>0.26</v>
      </c>
      <c r="I32" s="22">
        <v>20</v>
      </c>
      <c r="J32" s="22">
        <v>21</v>
      </c>
      <c r="K32" s="22">
        <v>38</v>
      </c>
      <c r="M32" s="22">
        <v>31</v>
      </c>
      <c r="N32" s="22" t="s">
        <v>2174</v>
      </c>
      <c r="O32" s="22" t="s">
        <v>3378</v>
      </c>
      <c r="P32" s="22" t="s">
        <v>3379</v>
      </c>
      <c r="Q32" s="22" t="s">
        <v>3380</v>
      </c>
      <c r="R32" s="22">
        <v>3</v>
      </c>
      <c r="S32" s="22">
        <v>8</v>
      </c>
      <c r="T32" s="22">
        <v>8</v>
      </c>
      <c r="V32" t="str">
        <f t="shared" si="2"/>
        <v>7.91</v>
      </c>
      <c r="W32" t="str">
        <f t="shared" si="3"/>
        <v>21.12</v>
      </c>
      <c r="X32" t="str">
        <f t="shared" si="4"/>
        <v>20.60</v>
      </c>
      <c r="Z32">
        <v>7.91</v>
      </c>
      <c r="AA32">
        <v>21.12</v>
      </c>
      <c r="AB32">
        <v>20.6</v>
      </c>
      <c r="AD32">
        <v>1000</v>
      </c>
      <c r="AE32">
        <v>1000</v>
      </c>
      <c r="AF32">
        <v>1000</v>
      </c>
      <c r="AH32">
        <f t="shared" si="5"/>
        <v>7910</v>
      </c>
      <c r="AI32">
        <f t="shared" si="6"/>
        <v>21120</v>
      </c>
      <c r="AJ32">
        <f t="shared" si="7"/>
        <v>20600</v>
      </c>
    </row>
    <row r="33" spans="1:36" ht="28.2" thickBot="1" x14ac:dyDescent="0.3">
      <c r="A33" s="22">
        <v>32</v>
      </c>
      <c r="B33" s="22" t="s">
        <v>2929</v>
      </c>
      <c r="C33" s="22" t="s">
        <v>3169</v>
      </c>
      <c r="D33" s="22" t="s">
        <v>3287</v>
      </c>
      <c r="E33" s="22" t="s">
        <v>3288</v>
      </c>
      <c r="F33" s="22" t="s">
        <v>3289</v>
      </c>
      <c r="G33" s="22" t="s">
        <v>3290</v>
      </c>
      <c r="H33" s="22">
        <v>0.02</v>
      </c>
      <c r="I33" s="22">
        <v>71</v>
      </c>
      <c r="J33" s="22">
        <v>16</v>
      </c>
      <c r="K33" s="22">
        <v>67</v>
      </c>
      <c r="M33" s="22">
        <v>32</v>
      </c>
      <c r="N33" s="22" t="s">
        <v>2180</v>
      </c>
      <c r="O33" s="22" t="s">
        <v>3374</v>
      </c>
      <c r="P33" s="22" t="s">
        <v>3375</v>
      </c>
      <c r="Q33" s="22" t="s">
        <v>3376</v>
      </c>
      <c r="R33" s="22">
        <v>1</v>
      </c>
      <c r="S33" s="22" t="s">
        <v>1069</v>
      </c>
      <c r="T33" s="22" t="s">
        <v>1069</v>
      </c>
      <c r="V33" t="str">
        <f t="shared" si="2"/>
        <v>11.22</v>
      </c>
      <c r="W33" t="str">
        <f t="shared" si="3"/>
        <v>1.34</v>
      </c>
      <c r="X33" t="str">
        <f t="shared" si="4"/>
        <v>1.10</v>
      </c>
      <c r="Z33">
        <v>11.22</v>
      </c>
      <c r="AA33">
        <v>1.34</v>
      </c>
      <c r="AB33">
        <v>1.1000000000000001</v>
      </c>
      <c r="AD33">
        <v>1000</v>
      </c>
      <c r="AE33">
        <v>1000</v>
      </c>
      <c r="AF33">
        <v>1000</v>
      </c>
      <c r="AH33">
        <f t="shared" si="5"/>
        <v>11220</v>
      </c>
      <c r="AI33">
        <f t="shared" si="6"/>
        <v>1340</v>
      </c>
      <c r="AJ33">
        <f t="shared" si="7"/>
        <v>1100</v>
      </c>
    </row>
    <row r="34" spans="1:36" ht="28.2" thickBot="1" x14ac:dyDescent="0.3">
      <c r="A34" s="22">
        <v>33</v>
      </c>
      <c r="B34" s="22" t="s">
        <v>3291</v>
      </c>
      <c r="C34" s="22" t="s">
        <v>3169</v>
      </c>
      <c r="D34" s="22" t="s">
        <v>3292</v>
      </c>
      <c r="E34" s="22" t="s">
        <v>3293</v>
      </c>
      <c r="F34" s="22" t="s">
        <v>3294</v>
      </c>
      <c r="G34" s="22" t="s">
        <v>3295</v>
      </c>
      <c r="H34" s="22">
        <v>0.13</v>
      </c>
      <c r="I34" s="22">
        <v>45</v>
      </c>
      <c r="J34" s="22">
        <v>11</v>
      </c>
      <c r="K34" s="22">
        <v>30</v>
      </c>
      <c r="M34" s="22">
        <v>33</v>
      </c>
      <c r="N34" s="22" t="s">
        <v>2020</v>
      </c>
      <c r="O34" s="22" t="s">
        <v>3364</v>
      </c>
      <c r="P34" s="22" t="s">
        <v>3365</v>
      </c>
      <c r="Q34" s="22" t="s">
        <v>3366</v>
      </c>
      <c r="R34" s="22">
        <v>43</v>
      </c>
      <c r="S34" s="22">
        <v>14</v>
      </c>
      <c r="T34" s="22">
        <v>15</v>
      </c>
      <c r="V34" t="str">
        <f t="shared" si="2"/>
        <v>41.05</v>
      </c>
      <c r="W34" t="str">
        <f t="shared" si="3"/>
        <v>13.46</v>
      </c>
      <c r="X34" t="str">
        <f t="shared" si="4"/>
        <v>14.62</v>
      </c>
      <c r="Z34">
        <v>41.05</v>
      </c>
      <c r="AA34">
        <v>13.46</v>
      </c>
      <c r="AB34">
        <v>14.62</v>
      </c>
      <c r="AD34">
        <v>1000</v>
      </c>
      <c r="AE34">
        <v>1000</v>
      </c>
      <c r="AF34">
        <v>1000</v>
      </c>
      <c r="AH34">
        <f t="shared" si="5"/>
        <v>41050</v>
      </c>
      <c r="AI34">
        <f t="shared" si="6"/>
        <v>13460</v>
      </c>
      <c r="AJ34">
        <f t="shared" si="7"/>
        <v>14620</v>
      </c>
    </row>
    <row r="35" spans="1:36" ht="28.2" thickBot="1" x14ac:dyDescent="0.3">
      <c r="A35" s="22">
        <v>34</v>
      </c>
      <c r="B35" s="22" t="s">
        <v>3296</v>
      </c>
      <c r="C35" s="22" t="s">
        <v>3169</v>
      </c>
      <c r="D35" s="22" t="s">
        <v>3297</v>
      </c>
      <c r="E35" s="22" t="s">
        <v>3298</v>
      </c>
      <c r="F35" s="22" t="s">
        <v>3299</v>
      </c>
      <c r="G35" s="22" t="s">
        <v>2854</v>
      </c>
      <c r="H35" s="22">
        <v>2.6</v>
      </c>
      <c r="I35" s="22">
        <v>1</v>
      </c>
      <c r="J35" s="22">
        <v>1</v>
      </c>
      <c r="K35" s="22">
        <v>1</v>
      </c>
      <c r="M35" s="22">
        <v>34</v>
      </c>
      <c r="N35" s="22" t="s">
        <v>2177</v>
      </c>
      <c r="O35" s="22" t="s">
        <v>3357</v>
      </c>
      <c r="P35" s="22" t="s">
        <v>3358</v>
      </c>
      <c r="Q35" s="22" t="s">
        <v>3359</v>
      </c>
      <c r="R35" s="22">
        <v>5</v>
      </c>
      <c r="S35" s="22">
        <v>11</v>
      </c>
      <c r="T35" s="22">
        <v>7</v>
      </c>
      <c r="V35" t="str">
        <f t="shared" si="2"/>
        <v>782.76</v>
      </c>
      <c r="W35" t="str">
        <f t="shared" si="3"/>
        <v>1800.50</v>
      </c>
      <c r="X35" t="str">
        <f t="shared" si="4"/>
        <v>1043.22</v>
      </c>
      <c r="Z35">
        <v>782.76</v>
      </c>
      <c r="AA35">
        <v>1800.5</v>
      </c>
      <c r="AB35">
        <v>1043.22</v>
      </c>
      <c r="AD35">
        <v>1000</v>
      </c>
      <c r="AE35">
        <v>1000</v>
      </c>
      <c r="AF35">
        <v>1000</v>
      </c>
      <c r="AH35">
        <f t="shared" si="5"/>
        <v>782760</v>
      </c>
      <c r="AI35">
        <f t="shared" si="6"/>
        <v>1800500</v>
      </c>
      <c r="AJ35">
        <f t="shared" si="7"/>
        <v>1043220</v>
      </c>
    </row>
    <row r="36" spans="1:36" ht="28.2" thickBot="1" x14ac:dyDescent="0.3">
      <c r="A36" s="22">
        <v>35</v>
      </c>
      <c r="B36" s="22" t="s">
        <v>2181</v>
      </c>
      <c r="C36" s="22" t="s">
        <v>3169</v>
      </c>
      <c r="D36" s="22" t="s">
        <v>3300</v>
      </c>
      <c r="E36" s="22" t="s">
        <v>3301</v>
      </c>
      <c r="F36" s="22" t="s">
        <v>3302</v>
      </c>
      <c r="G36" s="22" t="s">
        <v>3303</v>
      </c>
      <c r="H36" s="22">
        <v>0.12</v>
      </c>
      <c r="I36" s="22">
        <v>29</v>
      </c>
      <c r="J36" s="22">
        <v>11</v>
      </c>
      <c r="K36" s="22">
        <v>10</v>
      </c>
      <c r="M36" s="22">
        <v>35</v>
      </c>
      <c r="N36" s="22" t="s">
        <v>2175</v>
      </c>
      <c r="O36" s="22" t="s">
        <v>2908</v>
      </c>
      <c r="P36" s="22" t="s">
        <v>2908</v>
      </c>
      <c r="Q36" s="22" t="s">
        <v>2908</v>
      </c>
      <c r="R36" s="22" t="s">
        <v>2908</v>
      </c>
      <c r="S36" s="22" t="s">
        <v>2908</v>
      </c>
      <c r="T36" s="22" t="s">
        <v>2908</v>
      </c>
      <c r="V36" t="e">
        <f t="shared" si="2"/>
        <v>#N/A</v>
      </c>
      <c r="W36" t="e">
        <f t="shared" si="3"/>
        <v>#N/A</v>
      </c>
      <c r="X36" t="e">
        <f t="shared" si="4"/>
        <v>#N/A</v>
      </c>
      <c r="Z36" t="e">
        <v>#N/A</v>
      </c>
      <c r="AA36" t="e">
        <v>#N/A</v>
      </c>
      <c r="AB36" t="e">
        <v>#N/A</v>
      </c>
      <c r="AD36">
        <v>1000</v>
      </c>
      <c r="AE36">
        <v>1000</v>
      </c>
      <c r="AF36">
        <v>1000</v>
      </c>
      <c r="AH36" t="e">
        <f t="shared" si="5"/>
        <v>#N/A</v>
      </c>
      <c r="AI36" t="e">
        <f t="shared" si="6"/>
        <v>#N/A</v>
      </c>
      <c r="AJ36" t="e">
        <f t="shared" si="7"/>
        <v>#N/A</v>
      </c>
    </row>
    <row r="37" spans="1:36" ht="42" thickBot="1" x14ac:dyDescent="0.3">
      <c r="A37" s="22">
        <v>36</v>
      </c>
      <c r="B37" s="22" t="s">
        <v>3304</v>
      </c>
      <c r="C37" s="22" t="s">
        <v>3169</v>
      </c>
      <c r="D37" s="22" t="s">
        <v>3305</v>
      </c>
      <c r="E37" s="22" t="s">
        <v>3306</v>
      </c>
      <c r="F37" s="22" t="s">
        <v>3307</v>
      </c>
      <c r="G37" s="22" t="s">
        <v>3308</v>
      </c>
      <c r="H37" s="22">
        <v>0.16</v>
      </c>
      <c r="I37" s="22">
        <v>5</v>
      </c>
      <c r="J37" s="22">
        <v>3</v>
      </c>
      <c r="K37" s="22">
        <v>2</v>
      </c>
      <c r="M37" s="22">
        <v>36</v>
      </c>
      <c r="N37" s="22" t="s">
        <v>2919</v>
      </c>
      <c r="O37" s="22" t="s">
        <v>2908</v>
      </c>
      <c r="P37" s="22" t="s">
        <v>2908</v>
      </c>
      <c r="Q37" s="22" t="s">
        <v>2908</v>
      </c>
      <c r="R37" s="22" t="s">
        <v>2908</v>
      </c>
      <c r="S37" s="22" t="s">
        <v>2908</v>
      </c>
      <c r="T37" s="22" t="s">
        <v>2908</v>
      </c>
      <c r="V37" t="e">
        <f t="shared" si="2"/>
        <v>#N/A</v>
      </c>
      <c r="W37" t="e">
        <f t="shared" si="3"/>
        <v>#N/A</v>
      </c>
      <c r="X37" t="e">
        <f t="shared" si="4"/>
        <v>#N/A</v>
      </c>
      <c r="Z37" t="e">
        <v>#N/A</v>
      </c>
      <c r="AA37" t="e">
        <v>#N/A</v>
      </c>
      <c r="AB37" t="e">
        <v>#N/A</v>
      </c>
      <c r="AD37">
        <v>1000</v>
      </c>
      <c r="AE37">
        <v>1000</v>
      </c>
      <c r="AF37">
        <v>1000</v>
      </c>
      <c r="AH37" t="e">
        <f t="shared" si="5"/>
        <v>#N/A</v>
      </c>
      <c r="AI37" t="e">
        <f t="shared" si="6"/>
        <v>#N/A</v>
      </c>
      <c r="AJ37" t="e">
        <f t="shared" si="7"/>
        <v>#N/A</v>
      </c>
    </row>
    <row r="38" spans="1:36" ht="28.2" thickBot="1" x14ac:dyDescent="0.3">
      <c r="A38" s="22">
        <v>37</v>
      </c>
      <c r="B38" s="22" t="s">
        <v>3309</v>
      </c>
      <c r="C38" s="22" t="s">
        <v>3169</v>
      </c>
      <c r="D38" s="22" t="s">
        <v>3310</v>
      </c>
      <c r="E38" s="22" t="s">
        <v>3311</v>
      </c>
      <c r="F38" s="22" t="s">
        <v>3312</v>
      </c>
      <c r="G38" s="22" t="s">
        <v>3290</v>
      </c>
      <c r="H38" s="22">
        <v>0.61</v>
      </c>
      <c r="I38" s="22">
        <v>2</v>
      </c>
      <c r="J38" s="22">
        <v>1</v>
      </c>
      <c r="K38" s="22">
        <v>1</v>
      </c>
      <c r="M38" s="22">
        <v>37</v>
      </c>
      <c r="N38" s="22" t="s">
        <v>2920</v>
      </c>
      <c r="O38" s="22" t="s">
        <v>3284</v>
      </c>
      <c r="P38" s="22" t="s">
        <v>3285</v>
      </c>
      <c r="Q38" s="22" t="s">
        <v>3286</v>
      </c>
      <c r="R38" s="22">
        <v>20</v>
      </c>
      <c r="S38" s="22">
        <v>21</v>
      </c>
      <c r="T38" s="22">
        <v>38</v>
      </c>
      <c r="V38" t="str">
        <f t="shared" si="2"/>
        <v>5.31</v>
      </c>
      <c r="W38" t="str">
        <f t="shared" si="3"/>
        <v>5.57</v>
      </c>
      <c r="X38" t="str">
        <f t="shared" si="4"/>
        <v>9.76</v>
      </c>
      <c r="Z38">
        <v>5.31</v>
      </c>
      <c r="AA38">
        <v>5.57</v>
      </c>
      <c r="AB38">
        <v>9.76</v>
      </c>
      <c r="AD38">
        <v>1000</v>
      </c>
      <c r="AE38">
        <v>1000</v>
      </c>
      <c r="AF38">
        <v>1000</v>
      </c>
      <c r="AH38">
        <f t="shared" si="5"/>
        <v>5310</v>
      </c>
      <c r="AI38">
        <f t="shared" si="6"/>
        <v>5570</v>
      </c>
      <c r="AJ38">
        <f t="shared" si="7"/>
        <v>9760</v>
      </c>
    </row>
    <row r="39" spans="1:36" ht="28.2" thickBot="1" x14ac:dyDescent="0.3">
      <c r="A39" s="22">
        <v>38</v>
      </c>
      <c r="B39" s="22" t="s">
        <v>2358</v>
      </c>
      <c r="C39" s="22" t="s">
        <v>3313</v>
      </c>
      <c r="D39" s="22" t="s">
        <v>3314</v>
      </c>
      <c r="E39" s="22" t="s">
        <v>3315</v>
      </c>
      <c r="F39" s="22" t="s">
        <v>3316</v>
      </c>
      <c r="G39" s="22" t="s">
        <v>2864</v>
      </c>
      <c r="H39" s="22">
        <v>53.95</v>
      </c>
      <c r="I39" s="22">
        <v>6</v>
      </c>
      <c r="J39" s="22">
        <v>5</v>
      </c>
      <c r="K39" s="22">
        <v>3</v>
      </c>
      <c r="M39" s="22">
        <v>38</v>
      </c>
      <c r="N39" s="22" t="s">
        <v>2320</v>
      </c>
      <c r="O39" s="22" t="s">
        <v>2908</v>
      </c>
      <c r="P39" s="22" t="s">
        <v>2908</v>
      </c>
      <c r="Q39" s="22" t="s">
        <v>2908</v>
      </c>
      <c r="R39" s="22" t="s">
        <v>2908</v>
      </c>
      <c r="S39" s="22" t="s">
        <v>2908</v>
      </c>
      <c r="T39" s="22" t="s">
        <v>2908</v>
      </c>
      <c r="V39" t="e">
        <f t="shared" si="2"/>
        <v>#N/A</v>
      </c>
      <c r="W39" t="e">
        <f t="shared" si="3"/>
        <v>#N/A</v>
      </c>
      <c r="X39" t="e">
        <f t="shared" si="4"/>
        <v>#N/A</v>
      </c>
      <c r="Z39" t="e">
        <v>#N/A</v>
      </c>
      <c r="AA39" t="e">
        <v>#N/A</v>
      </c>
      <c r="AB39" t="e">
        <v>#N/A</v>
      </c>
      <c r="AD39">
        <v>1000</v>
      </c>
      <c r="AE39">
        <v>1000</v>
      </c>
      <c r="AF39">
        <v>1000</v>
      </c>
      <c r="AH39" t="e">
        <f t="shared" si="5"/>
        <v>#N/A</v>
      </c>
      <c r="AI39" t="e">
        <f t="shared" si="6"/>
        <v>#N/A</v>
      </c>
      <c r="AJ39" t="e">
        <f t="shared" si="7"/>
        <v>#N/A</v>
      </c>
    </row>
    <row r="40" spans="1:36" ht="28.2" thickBot="1" x14ac:dyDescent="0.3">
      <c r="A40" s="22">
        <v>39</v>
      </c>
      <c r="B40" s="22" t="s">
        <v>3317</v>
      </c>
      <c r="C40" s="22" t="s">
        <v>3313</v>
      </c>
      <c r="D40" s="22" t="s">
        <v>3318</v>
      </c>
      <c r="E40" s="22" t="s">
        <v>3319</v>
      </c>
      <c r="F40" s="22" t="s">
        <v>3320</v>
      </c>
      <c r="G40" s="22" t="s">
        <v>3321</v>
      </c>
      <c r="H40" s="22">
        <v>40</v>
      </c>
      <c r="I40" s="22">
        <v>1</v>
      </c>
      <c r="J40" s="22" t="s">
        <v>1069</v>
      </c>
      <c r="K40" s="22" t="s">
        <v>1069</v>
      </c>
      <c r="M40" s="22">
        <v>39</v>
      </c>
      <c r="N40" s="22" t="s">
        <v>2857</v>
      </c>
      <c r="O40" s="22" t="s">
        <v>3255</v>
      </c>
      <c r="P40" s="22" t="s">
        <v>3256</v>
      </c>
      <c r="Q40" s="22" t="s">
        <v>3257</v>
      </c>
      <c r="R40" s="22" t="s">
        <v>1069</v>
      </c>
      <c r="S40" s="22" t="s">
        <v>1069</v>
      </c>
      <c r="T40" s="22" t="s">
        <v>1069</v>
      </c>
      <c r="V40" t="str">
        <f t="shared" si="2"/>
        <v>10.55</v>
      </c>
      <c r="W40" t="str">
        <f t="shared" si="3"/>
        <v>15.50</v>
      </c>
      <c r="X40" t="str">
        <f t="shared" si="4"/>
        <v>9.57</v>
      </c>
      <c r="Z40">
        <v>10.55</v>
      </c>
      <c r="AA40">
        <v>15.5</v>
      </c>
      <c r="AB40">
        <v>9.57</v>
      </c>
      <c r="AD40">
        <v>1000</v>
      </c>
      <c r="AE40">
        <v>1000</v>
      </c>
      <c r="AF40">
        <v>1000</v>
      </c>
      <c r="AH40">
        <f t="shared" si="5"/>
        <v>10550</v>
      </c>
      <c r="AI40">
        <f t="shared" si="6"/>
        <v>15500</v>
      </c>
      <c r="AJ40">
        <f t="shared" si="7"/>
        <v>9570</v>
      </c>
    </row>
    <row r="41" spans="1:36" ht="42" thickBot="1" x14ac:dyDescent="0.3">
      <c r="A41" s="22">
        <v>40</v>
      </c>
      <c r="B41" s="22" t="s">
        <v>2025</v>
      </c>
      <c r="C41" s="22" t="s">
        <v>3313</v>
      </c>
      <c r="D41" s="22" t="s">
        <v>3322</v>
      </c>
      <c r="E41" s="22" t="s">
        <v>3323</v>
      </c>
      <c r="F41" s="22" t="s">
        <v>3324</v>
      </c>
      <c r="G41" s="22" t="s">
        <v>2854</v>
      </c>
      <c r="H41" s="22">
        <v>2.73</v>
      </c>
      <c r="I41" s="22">
        <v>76</v>
      </c>
      <c r="J41" s="22">
        <v>84</v>
      </c>
      <c r="K41" s="22">
        <v>41</v>
      </c>
      <c r="M41" s="22">
        <v>40</v>
      </c>
      <c r="N41" s="22" t="s">
        <v>3158</v>
      </c>
      <c r="O41" s="22" t="s">
        <v>3268</v>
      </c>
      <c r="P41" s="22" t="s">
        <v>3269</v>
      </c>
      <c r="Q41" s="22" t="s">
        <v>3270</v>
      </c>
      <c r="R41" s="22">
        <v>210</v>
      </c>
      <c r="S41" s="22">
        <v>217</v>
      </c>
      <c r="T41" s="22">
        <v>269</v>
      </c>
      <c r="V41" t="str">
        <f t="shared" si="2"/>
        <v>149.24</v>
      </c>
      <c r="W41" t="str">
        <f t="shared" si="3"/>
        <v>154.06</v>
      </c>
      <c r="X41" t="str">
        <f t="shared" si="4"/>
        <v>191.19</v>
      </c>
      <c r="Z41">
        <v>149.24</v>
      </c>
      <c r="AA41">
        <v>154.06</v>
      </c>
      <c r="AB41">
        <v>191.19</v>
      </c>
      <c r="AD41">
        <v>1000</v>
      </c>
      <c r="AE41">
        <v>1000</v>
      </c>
      <c r="AF41">
        <v>1000</v>
      </c>
      <c r="AH41">
        <f t="shared" si="5"/>
        <v>149240</v>
      </c>
      <c r="AI41">
        <f t="shared" si="6"/>
        <v>154060</v>
      </c>
      <c r="AJ41">
        <f t="shared" si="7"/>
        <v>191190</v>
      </c>
    </row>
    <row r="42" spans="1:36" ht="28.2" thickBot="1" x14ac:dyDescent="0.3">
      <c r="A42" s="22">
        <v>41</v>
      </c>
      <c r="B42" s="22" t="s">
        <v>3325</v>
      </c>
      <c r="C42" s="22" t="s">
        <v>3313</v>
      </c>
      <c r="D42" s="22" t="s">
        <v>3326</v>
      </c>
      <c r="E42" s="22" t="s">
        <v>3327</v>
      </c>
      <c r="F42" s="22" t="s">
        <v>3328</v>
      </c>
      <c r="G42" s="22" t="s">
        <v>3196</v>
      </c>
      <c r="H42" s="22">
        <v>5.93</v>
      </c>
      <c r="I42" s="22">
        <v>44</v>
      </c>
      <c r="J42" s="22">
        <v>31</v>
      </c>
      <c r="K42" s="22">
        <v>58</v>
      </c>
      <c r="M42" s="22">
        <v>41</v>
      </c>
      <c r="N42" s="22" t="s">
        <v>2922</v>
      </c>
      <c r="O42" s="22" t="s">
        <v>2908</v>
      </c>
      <c r="P42" s="22" t="s">
        <v>2908</v>
      </c>
      <c r="Q42" s="22" t="s">
        <v>2908</v>
      </c>
      <c r="R42" s="22" t="s">
        <v>2908</v>
      </c>
      <c r="S42" s="22" t="s">
        <v>2908</v>
      </c>
      <c r="T42" s="22" t="s">
        <v>2908</v>
      </c>
      <c r="V42" t="e">
        <f t="shared" si="2"/>
        <v>#N/A</v>
      </c>
      <c r="W42" t="e">
        <f t="shared" si="3"/>
        <v>#N/A</v>
      </c>
      <c r="X42" t="e">
        <f t="shared" si="4"/>
        <v>#N/A</v>
      </c>
      <c r="Z42" t="e">
        <v>#N/A</v>
      </c>
      <c r="AA42" t="e">
        <v>#N/A</v>
      </c>
      <c r="AB42" t="e">
        <v>#N/A</v>
      </c>
      <c r="AD42">
        <v>1000</v>
      </c>
      <c r="AE42">
        <v>1000</v>
      </c>
      <c r="AF42">
        <v>1000</v>
      </c>
      <c r="AH42" t="e">
        <f t="shared" si="5"/>
        <v>#N/A</v>
      </c>
      <c r="AI42" t="e">
        <f t="shared" si="6"/>
        <v>#N/A</v>
      </c>
      <c r="AJ42" t="e">
        <f t="shared" si="7"/>
        <v>#N/A</v>
      </c>
    </row>
    <row r="43" spans="1:36" ht="28.2" thickBot="1" x14ac:dyDescent="0.3">
      <c r="A43" s="22">
        <v>42</v>
      </c>
      <c r="B43" s="22" t="s">
        <v>3329</v>
      </c>
      <c r="C43" s="22" t="s">
        <v>3313</v>
      </c>
      <c r="D43" s="22" t="s">
        <v>3330</v>
      </c>
      <c r="E43" s="22" t="s">
        <v>3331</v>
      </c>
      <c r="F43" s="22" t="s">
        <v>3332</v>
      </c>
      <c r="G43" s="22" t="s">
        <v>3333</v>
      </c>
      <c r="H43" s="22">
        <v>179.19</v>
      </c>
      <c r="I43" s="22">
        <v>4</v>
      </c>
      <c r="J43" s="22">
        <v>3</v>
      </c>
      <c r="K43" s="22">
        <v>6</v>
      </c>
      <c r="M43" s="22">
        <v>42</v>
      </c>
      <c r="N43" s="22" t="s">
        <v>2341</v>
      </c>
      <c r="O43" s="22" t="s">
        <v>2908</v>
      </c>
      <c r="P43" s="22" t="s">
        <v>2908</v>
      </c>
      <c r="Q43" s="22" t="s">
        <v>2908</v>
      </c>
      <c r="R43" s="22" t="s">
        <v>2908</v>
      </c>
      <c r="S43" s="22" t="s">
        <v>2908</v>
      </c>
      <c r="T43" s="22" t="s">
        <v>2908</v>
      </c>
      <c r="V43" t="e">
        <f t="shared" si="2"/>
        <v>#N/A</v>
      </c>
      <c r="W43" t="e">
        <f t="shared" si="3"/>
        <v>#N/A</v>
      </c>
      <c r="X43" t="e">
        <f t="shared" si="4"/>
        <v>#N/A</v>
      </c>
      <c r="Z43" t="e">
        <v>#N/A</v>
      </c>
      <c r="AA43" t="e">
        <v>#N/A</v>
      </c>
      <c r="AB43" t="e">
        <v>#N/A</v>
      </c>
      <c r="AD43">
        <v>1000</v>
      </c>
      <c r="AE43">
        <v>1000</v>
      </c>
      <c r="AF43">
        <v>1000</v>
      </c>
      <c r="AH43" t="e">
        <f t="shared" si="5"/>
        <v>#N/A</v>
      </c>
      <c r="AI43" t="e">
        <f t="shared" si="6"/>
        <v>#N/A</v>
      </c>
      <c r="AJ43" t="e">
        <f t="shared" si="7"/>
        <v>#N/A</v>
      </c>
    </row>
    <row r="44" spans="1:36" ht="28.2" thickBot="1" x14ac:dyDescent="0.3">
      <c r="A44" s="22">
        <v>43</v>
      </c>
      <c r="B44" s="22" t="s">
        <v>3334</v>
      </c>
      <c r="C44" s="22" t="s">
        <v>3313</v>
      </c>
      <c r="D44" s="22" t="s">
        <v>3335</v>
      </c>
      <c r="E44" s="22" t="s">
        <v>3336</v>
      </c>
      <c r="F44" s="22" t="s">
        <v>3337</v>
      </c>
      <c r="G44" s="22" t="s">
        <v>2854</v>
      </c>
      <c r="H44" s="22">
        <v>4</v>
      </c>
      <c r="I44" s="22">
        <v>5</v>
      </c>
      <c r="J44" s="22">
        <v>5</v>
      </c>
      <c r="K44" s="22">
        <v>7</v>
      </c>
      <c r="M44" s="22">
        <v>43</v>
      </c>
      <c r="N44" s="22" t="s">
        <v>2161</v>
      </c>
      <c r="O44" s="22" t="s">
        <v>2908</v>
      </c>
      <c r="P44" s="22" t="s">
        <v>2908</v>
      </c>
      <c r="Q44" s="22" t="s">
        <v>2908</v>
      </c>
      <c r="R44" s="22" t="s">
        <v>2908</v>
      </c>
      <c r="S44" s="22" t="s">
        <v>2908</v>
      </c>
      <c r="T44" s="22" t="s">
        <v>2908</v>
      </c>
      <c r="V44" t="e">
        <f t="shared" si="2"/>
        <v>#N/A</v>
      </c>
      <c r="W44" t="e">
        <f t="shared" si="3"/>
        <v>#N/A</v>
      </c>
      <c r="X44" t="e">
        <f t="shared" si="4"/>
        <v>#N/A</v>
      </c>
      <c r="Z44" t="e">
        <v>#N/A</v>
      </c>
      <c r="AA44" t="e">
        <v>#N/A</v>
      </c>
      <c r="AB44" t="e">
        <v>#N/A</v>
      </c>
      <c r="AD44">
        <v>1000</v>
      </c>
      <c r="AE44">
        <v>1000</v>
      </c>
      <c r="AF44">
        <v>1000</v>
      </c>
      <c r="AH44" t="e">
        <f t="shared" si="5"/>
        <v>#N/A</v>
      </c>
      <c r="AI44" t="e">
        <f t="shared" si="6"/>
        <v>#N/A</v>
      </c>
      <c r="AJ44" t="e">
        <f t="shared" si="7"/>
        <v>#N/A</v>
      </c>
    </row>
    <row r="45" spans="1:36" ht="42" thickBot="1" x14ac:dyDescent="0.3">
      <c r="A45" s="22">
        <v>44</v>
      </c>
      <c r="B45" s="22" t="s">
        <v>3338</v>
      </c>
      <c r="C45" s="22" t="s">
        <v>3313</v>
      </c>
      <c r="D45" s="22" t="s">
        <v>3339</v>
      </c>
      <c r="E45" s="22" t="s">
        <v>3340</v>
      </c>
      <c r="F45" s="22" t="s">
        <v>3341</v>
      </c>
      <c r="G45" s="22" t="s">
        <v>3342</v>
      </c>
      <c r="H45" s="22">
        <v>5.37</v>
      </c>
      <c r="I45" s="22">
        <v>23</v>
      </c>
      <c r="J45" s="22">
        <v>22</v>
      </c>
      <c r="K45" s="22">
        <v>35</v>
      </c>
      <c r="M45" s="22">
        <v>44</v>
      </c>
      <c r="N45" s="22" t="s">
        <v>2923</v>
      </c>
      <c r="O45" s="22" t="s">
        <v>2908</v>
      </c>
      <c r="P45" s="22" t="s">
        <v>2908</v>
      </c>
      <c r="Q45" s="22" t="s">
        <v>2908</v>
      </c>
      <c r="R45" s="22" t="s">
        <v>2908</v>
      </c>
      <c r="S45" s="22" t="s">
        <v>2908</v>
      </c>
      <c r="T45" s="22" t="s">
        <v>2908</v>
      </c>
      <c r="V45" t="e">
        <f t="shared" si="2"/>
        <v>#N/A</v>
      </c>
      <c r="W45" t="e">
        <f t="shared" si="3"/>
        <v>#N/A</v>
      </c>
      <c r="X45" t="e">
        <f t="shared" si="4"/>
        <v>#N/A</v>
      </c>
      <c r="Z45" t="e">
        <v>#N/A</v>
      </c>
      <c r="AA45" t="e">
        <v>#N/A</v>
      </c>
      <c r="AB45" t="e">
        <v>#N/A</v>
      </c>
      <c r="AD45">
        <v>1000</v>
      </c>
      <c r="AE45">
        <v>1000</v>
      </c>
      <c r="AF45">
        <v>1000</v>
      </c>
      <c r="AH45" t="e">
        <f t="shared" si="5"/>
        <v>#N/A</v>
      </c>
      <c r="AI45" t="e">
        <f t="shared" si="6"/>
        <v>#N/A</v>
      </c>
      <c r="AJ45" t="e">
        <f t="shared" si="7"/>
        <v>#N/A</v>
      </c>
    </row>
    <row r="46" spans="1:36" ht="69.599999999999994" thickBot="1" x14ac:dyDescent="0.3">
      <c r="A46" s="22">
        <v>45</v>
      </c>
      <c r="B46" s="22" t="s">
        <v>3343</v>
      </c>
      <c r="C46" s="22" t="s">
        <v>3313</v>
      </c>
      <c r="D46" s="22" t="s">
        <v>3344</v>
      </c>
      <c r="E46" s="22" t="s">
        <v>3345</v>
      </c>
      <c r="F46" s="22" t="s">
        <v>3346</v>
      </c>
      <c r="G46" s="22" t="s">
        <v>2864</v>
      </c>
      <c r="H46" s="22">
        <v>50</v>
      </c>
      <c r="I46" s="22" t="s">
        <v>1069</v>
      </c>
      <c r="J46" s="22" t="s">
        <v>1069</v>
      </c>
      <c r="K46" s="22" t="s">
        <v>1069</v>
      </c>
      <c r="M46" s="22">
        <v>45</v>
      </c>
      <c r="N46" s="22" t="s">
        <v>3386</v>
      </c>
      <c r="O46" s="22" t="s">
        <v>3300</v>
      </c>
      <c r="P46" s="22" t="s">
        <v>3301</v>
      </c>
      <c r="Q46" s="22" t="s">
        <v>3302</v>
      </c>
      <c r="R46" s="22">
        <v>29</v>
      </c>
      <c r="S46" s="22">
        <v>11</v>
      </c>
      <c r="T46" s="22">
        <v>10</v>
      </c>
      <c r="V46" t="str">
        <f t="shared" si="2"/>
        <v>3.47</v>
      </c>
      <c r="W46" t="str">
        <f t="shared" si="3"/>
        <v>1.37</v>
      </c>
      <c r="X46" t="str">
        <f t="shared" si="4"/>
        <v>1.24</v>
      </c>
      <c r="Z46">
        <v>3.47</v>
      </c>
      <c r="AA46">
        <v>1.37</v>
      </c>
      <c r="AB46">
        <v>1.24</v>
      </c>
      <c r="AD46">
        <v>1000</v>
      </c>
      <c r="AE46">
        <v>1000</v>
      </c>
      <c r="AF46">
        <v>1000</v>
      </c>
      <c r="AH46">
        <f t="shared" si="5"/>
        <v>3470</v>
      </c>
      <c r="AI46">
        <f t="shared" si="6"/>
        <v>1370</v>
      </c>
      <c r="AJ46">
        <f t="shared" si="7"/>
        <v>1240</v>
      </c>
    </row>
    <row r="47" spans="1:36" ht="69.599999999999994" thickBot="1" x14ac:dyDescent="0.3">
      <c r="A47" s="22">
        <v>46</v>
      </c>
      <c r="B47" s="22" t="s">
        <v>3347</v>
      </c>
      <c r="C47" s="22" t="s">
        <v>3313</v>
      </c>
      <c r="D47" s="22" t="s">
        <v>3348</v>
      </c>
      <c r="E47" s="22" t="s">
        <v>3349</v>
      </c>
      <c r="F47" s="22" t="s">
        <v>3350</v>
      </c>
      <c r="G47" s="22" t="s">
        <v>3351</v>
      </c>
      <c r="H47" s="22">
        <v>16</v>
      </c>
      <c r="I47" s="22">
        <v>22</v>
      </c>
      <c r="J47" s="22">
        <v>8</v>
      </c>
      <c r="K47" s="22">
        <v>13</v>
      </c>
      <c r="M47" s="22">
        <v>46</v>
      </c>
      <c r="N47" s="22" t="s">
        <v>3387</v>
      </c>
      <c r="O47" s="22" t="s">
        <v>3305</v>
      </c>
      <c r="P47" s="22" t="s">
        <v>3306</v>
      </c>
      <c r="Q47" s="22" t="s">
        <v>3307</v>
      </c>
      <c r="R47" s="22">
        <v>5</v>
      </c>
      <c r="S47" s="22">
        <v>3</v>
      </c>
      <c r="T47" s="22">
        <v>2</v>
      </c>
      <c r="V47" t="str">
        <f t="shared" si="2"/>
        <v>0.81</v>
      </c>
      <c r="W47" t="str">
        <f t="shared" si="3"/>
        <v>0.46</v>
      </c>
      <c r="X47" t="str">
        <f t="shared" si="4"/>
        <v>0.35</v>
      </c>
      <c r="Z47">
        <v>0.81</v>
      </c>
      <c r="AA47">
        <v>0.46</v>
      </c>
      <c r="AB47">
        <v>0.35</v>
      </c>
      <c r="AD47">
        <v>1000</v>
      </c>
      <c r="AE47">
        <v>1000</v>
      </c>
      <c r="AF47">
        <v>1000</v>
      </c>
      <c r="AH47">
        <f t="shared" si="5"/>
        <v>810</v>
      </c>
      <c r="AI47">
        <f t="shared" si="6"/>
        <v>460</v>
      </c>
      <c r="AJ47">
        <f t="shared" si="7"/>
        <v>350</v>
      </c>
    </row>
    <row r="48" spans="1:36" ht="28.2" thickBot="1" x14ac:dyDescent="0.3">
      <c r="A48" s="22">
        <v>47</v>
      </c>
      <c r="B48" s="22" t="s">
        <v>3352</v>
      </c>
      <c r="C48" s="22" t="s">
        <v>3313</v>
      </c>
      <c r="D48" s="22" t="s">
        <v>3353</v>
      </c>
      <c r="E48" s="22" t="s">
        <v>3354</v>
      </c>
      <c r="F48" s="22" t="s">
        <v>3355</v>
      </c>
      <c r="G48" s="22" t="s">
        <v>2855</v>
      </c>
      <c r="H48" s="22">
        <v>2.5</v>
      </c>
      <c r="I48" s="22">
        <v>12</v>
      </c>
      <c r="J48" s="22">
        <v>9</v>
      </c>
      <c r="K48" s="22">
        <v>8</v>
      </c>
      <c r="M48" s="22">
        <v>47</v>
      </c>
      <c r="N48" s="22" t="s">
        <v>3159</v>
      </c>
      <c r="O48" s="22" t="s">
        <v>2908</v>
      </c>
      <c r="P48" s="22" t="s">
        <v>2908</v>
      </c>
      <c r="Q48" s="22" t="s">
        <v>2908</v>
      </c>
      <c r="R48" s="22" t="s">
        <v>2908</v>
      </c>
      <c r="S48" s="22" t="s">
        <v>2908</v>
      </c>
      <c r="T48" s="22" t="s">
        <v>2908</v>
      </c>
      <c r="V48" t="e">
        <f t="shared" si="2"/>
        <v>#N/A</v>
      </c>
      <c r="W48" t="e">
        <f t="shared" si="3"/>
        <v>#N/A</v>
      </c>
      <c r="X48" t="e">
        <f t="shared" si="4"/>
        <v>#N/A</v>
      </c>
      <c r="Z48" t="e">
        <v>#N/A</v>
      </c>
      <c r="AA48" t="e">
        <v>#N/A</v>
      </c>
      <c r="AB48" t="e">
        <v>#N/A</v>
      </c>
      <c r="AD48">
        <v>1000</v>
      </c>
      <c r="AE48">
        <v>1000</v>
      </c>
      <c r="AF48">
        <v>1000</v>
      </c>
      <c r="AH48" t="e">
        <f t="shared" si="5"/>
        <v>#N/A</v>
      </c>
      <c r="AI48" t="e">
        <f t="shared" si="6"/>
        <v>#N/A</v>
      </c>
      <c r="AJ48" t="e">
        <f t="shared" si="7"/>
        <v>#N/A</v>
      </c>
    </row>
    <row r="49" spans="1:36" ht="28.2" thickBot="1" x14ac:dyDescent="0.3">
      <c r="A49" s="22">
        <v>48</v>
      </c>
      <c r="B49" s="22" t="s">
        <v>2177</v>
      </c>
      <c r="C49" s="22" t="s">
        <v>3356</v>
      </c>
      <c r="D49" s="22" t="s">
        <v>3357</v>
      </c>
      <c r="E49" s="22" t="s">
        <v>3358</v>
      </c>
      <c r="F49" s="22" t="s">
        <v>3359</v>
      </c>
      <c r="G49" s="22" t="s">
        <v>3360</v>
      </c>
      <c r="H49" s="22">
        <v>160</v>
      </c>
      <c r="I49" s="22">
        <v>5</v>
      </c>
      <c r="J49" s="22">
        <v>11</v>
      </c>
      <c r="K49" s="22">
        <v>7</v>
      </c>
      <c r="M49" s="22">
        <v>48</v>
      </c>
      <c r="N49" s="22" t="s">
        <v>2878</v>
      </c>
      <c r="O49" s="22" t="s">
        <v>2908</v>
      </c>
      <c r="P49" s="22" t="s">
        <v>2908</v>
      </c>
      <c r="Q49" s="22" t="s">
        <v>2908</v>
      </c>
      <c r="R49" s="22" t="s">
        <v>2908</v>
      </c>
      <c r="S49" s="22" t="s">
        <v>2908</v>
      </c>
      <c r="T49" s="22" t="s">
        <v>2908</v>
      </c>
      <c r="V49" t="e">
        <f t="shared" si="2"/>
        <v>#N/A</v>
      </c>
      <c r="W49" t="e">
        <f t="shared" si="3"/>
        <v>#N/A</v>
      </c>
      <c r="X49" t="e">
        <f t="shared" si="4"/>
        <v>#N/A</v>
      </c>
      <c r="Z49" t="e">
        <v>#N/A</v>
      </c>
      <c r="AA49" t="e">
        <v>#N/A</v>
      </c>
      <c r="AB49" t="e">
        <v>#N/A</v>
      </c>
      <c r="AD49">
        <v>1000</v>
      </c>
      <c r="AE49">
        <v>1000</v>
      </c>
      <c r="AF49">
        <v>1000</v>
      </c>
      <c r="AH49" t="e">
        <f t="shared" si="5"/>
        <v>#N/A</v>
      </c>
      <c r="AI49" t="e">
        <f t="shared" si="6"/>
        <v>#N/A</v>
      </c>
      <c r="AJ49" t="e">
        <f t="shared" si="7"/>
        <v>#N/A</v>
      </c>
    </row>
    <row r="50" spans="1:36" ht="28.2" thickBot="1" x14ac:dyDescent="0.3">
      <c r="A50" s="22">
        <v>49</v>
      </c>
      <c r="B50" s="22" t="s">
        <v>2185</v>
      </c>
      <c r="C50" s="22" t="s">
        <v>3356</v>
      </c>
      <c r="D50" s="22" t="s">
        <v>3361</v>
      </c>
      <c r="E50" s="22" t="s">
        <v>3362</v>
      </c>
      <c r="F50" s="22" t="s">
        <v>3363</v>
      </c>
      <c r="G50" s="22" t="s">
        <v>3308</v>
      </c>
      <c r="H50" s="22">
        <v>8.1</v>
      </c>
      <c r="I50" s="22">
        <v>4</v>
      </c>
      <c r="J50" s="22">
        <v>3</v>
      </c>
      <c r="K50" s="22">
        <v>3</v>
      </c>
      <c r="M50" s="22">
        <v>49</v>
      </c>
      <c r="N50" s="22" t="s">
        <v>2927</v>
      </c>
      <c r="O50" s="22" t="s">
        <v>2908</v>
      </c>
      <c r="P50" s="22" t="s">
        <v>2908</v>
      </c>
      <c r="Q50" s="22" t="s">
        <v>2908</v>
      </c>
      <c r="R50" s="22" t="s">
        <v>2908</v>
      </c>
      <c r="S50" s="22" t="s">
        <v>2908</v>
      </c>
      <c r="T50" s="22" t="s">
        <v>2908</v>
      </c>
      <c r="V50" t="e">
        <f t="shared" si="2"/>
        <v>#N/A</v>
      </c>
      <c r="W50" t="e">
        <f t="shared" si="3"/>
        <v>#N/A</v>
      </c>
      <c r="X50" t="e">
        <f t="shared" si="4"/>
        <v>#N/A</v>
      </c>
      <c r="Z50" t="e">
        <v>#N/A</v>
      </c>
      <c r="AA50" t="e">
        <v>#N/A</v>
      </c>
      <c r="AB50" t="e">
        <v>#N/A</v>
      </c>
      <c r="AD50">
        <v>1000</v>
      </c>
      <c r="AE50">
        <v>1000</v>
      </c>
      <c r="AF50">
        <v>1000</v>
      </c>
      <c r="AH50" t="e">
        <f t="shared" si="5"/>
        <v>#N/A</v>
      </c>
      <c r="AI50" t="e">
        <f t="shared" si="6"/>
        <v>#N/A</v>
      </c>
      <c r="AJ50" t="e">
        <f t="shared" si="7"/>
        <v>#N/A</v>
      </c>
    </row>
    <row r="51" spans="1:36" ht="28.2" thickBot="1" x14ac:dyDescent="0.3">
      <c r="A51" s="22">
        <v>50</v>
      </c>
      <c r="B51" s="22" t="s">
        <v>2020</v>
      </c>
      <c r="C51" s="22" t="s">
        <v>3356</v>
      </c>
      <c r="D51" s="22" t="s">
        <v>3364</v>
      </c>
      <c r="E51" s="22" t="s">
        <v>3365</v>
      </c>
      <c r="F51" s="22" t="s">
        <v>3366</v>
      </c>
      <c r="G51" s="22" t="s">
        <v>3308</v>
      </c>
      <c r="H51" s="22">
        <v>0.96</v>
      </c>
      <c r="I51" s="22">
        <v>43</v>
      </c>
      <c r="J51" s="22">
        <v>14</v>
      </c>
      <c r="K51" s="22">
        <v>15</v>
      </c>
      <c r="M51" s="22">
        <v>50</v>
      </c>
      <c r="N51" s="22" t="s">
        <v>2164</v>
      </c>
      <c r="O51" s="22" t="s">
        <v>2908</v>
      </c>
      <c r="P51" s="22" t="s">
        <v>2908</v>
      </c>
      <c r="Q51" s="22" t="s">
        <v>2908</v>
      </c>
      <c r="R51" s="22" t="s">
        <v>2908</v>
      </c>
      <c r="S51" s="22" t="s">
        <v>2908</v>
      </c>
      <c r="T51" s="22" t="s">
        <v>2908</v>
      </c>
      <c r="V51" t="e">
        <f t="shared" si="2"/>
        <v>#N/A</v>
      </c>
      <c r="W51" t="e">
        <f t="shared" si="3"/>
        <v>#N/A</v>
      </c>
      <c r="X51" t="e">
        <f t="shared" si="4"/>
        <v>#N/A</v>
      </c>
      <c r="Z51" t="e">
        <v>#N/A</v>
      </c>
      <c r="AA51" t="e">
        <v>#N/A</v>
      </c>
      <c r="AB51" t="e">
        <v>#N/A</v>
      </c>
      <c r="AD51">
        <v>1000</v>
      </c>
      <c r="AE51">
        <v>1000</v>
      </c>
      <c r="AF51">
        <v>1000</v>
      </c>
      <c r="AH51" t="e">
        <f t="shared" si="5"/>
        <v>#N/A</v>
      </c>
      <c r="AI51" t="e">
        <f t="shared" si="6"/>
        <v>#N/A</v>
      </c>
      <c r="AJ51" t="e">
        <f t="shared" si="7"/>
        <v>#N/A</v>
      </c>
    </row>
    <row r="52" spans="1:36" ht="28.2" thickBot="1" x14ac:dyDescent="0.3">
      <c r="A52" s="22">
        <v>51</v>
      </c>
      <c r="B52" s="22" t="s">
        <v>2021</v>
      </c>
      <c r="C52" s="22" t="s">
        <v>3356</v>
      </c>
      <c r="D52" s="22" t="s">
        <v>3367</v>
      </c>
      <c r="E52" s="22" t="s">
        <v>3368</v>
      </c>
      <c r="F52" s="22" t="s">
        <v>3369</v>
      </c>
      <c r="G52" s="22" t="s">
        <v>3308</v>
      </c>
      <c r="H52" s="22">
        <v>0.39</v>
      </c>
      <c r="I52" s="22">
        <v>38</v>
      </c>
      <c r="J52" s="22">
        <v>23</v>
      </c>
      <c r="K52" s="22">
        <v>33</v>
      </c>
      <c r="M52" s="22">
        <v>51</v>
      </c>
      <c r="N52" s="22" t="s">
        <v>2170</v>
      </c>
      <c r="O52" s="22" t="s">
        <v>2908</v>
      </c>
      <c r="P52" s="22" t="s">
        <v>2908</v>
      </c>
      <c r="Q52" s="22" t="s">
        <v>2908</v>
      </c>
      <c r="R52" s="22" t="s">
        <v>2908</v>
      </c>
      <c r="S52" s="22" t="s">
        <v>2908</v>
      </c>
      <c r="T52" s="22" t="s">
        <v>2908</v>
      </c>
      <c r="V52" t="e">
        <f t="shared" si="2"/>
        <v>#N/A</v>
      </c>
      <c r="W52" t="e">
        <f t="shared" si="3"/>
        <v>#N/A</v>
      </c>
      <c r="X52" t="e">
        <f t="shared" si="4"/>
        <v>#N/A</v>
      </c>
      <c r="Z52" t="e">
        <v>#N/A</v>
      </c>
      <c r="AA52" t="e">
        <v>#N/A</v>
      </c>
      <c r="AB52" t="e">
        <v>#N/A</v>
      </c>
      <c r="AD52">
        <v>1000</v>
      </c>
      <c r="AE52">
        <v>1000</v>
      </c>
      <c r="AF52">
        <v>1000</v>
      </c>
      <c r="AH52" t="e">
        <f t="shared" si="5"/>
        <v>#N/A</v>
      </c>
      <c r="AI52" t="e">
        <f t="shared" si="6"/>
        <v>#N/A</v>
      </c>
      <c r="AJ52" t="e">
        <f t="shared" si="7"/>
        <v>#N/A</v>
      </c>
    </row>
    <row r="53" spans="1:36" ht="28.2" thickBot="1" x14ac:dyDescent="0.3">
      <c r="A53" s="22">
        <v>52</v>
      </c>
      <c r="B53" s="22" t="s">
        <v>2024</v>
      </c>
      <c r="C53" s="22" t="s">
        <v>3356</v>
      </c>
      <c r="D53" s="22" t="s">
        <v>3370</v>
      </c>
      <c r="E53" s="22" t="s">
        <v>3371</v>
      </c>
      <c r="F53" s="22" t="s">
        <v>3372</v>
      </c>
      <c r="G53" s="22" t="s">
        <v>3373</v>
      </c>
      <c r="H53" s="22">
        <v>2.52</v>
      </c>
      <c r="I53" s="22">
        <v>129</v>
      </c>
      <c r="J53" s="22">
        <v>24</v>
      </c>
      <c r="K53" s="22">
        <v>28</v>
      </c>
      <c r="M53" s="22">
        <v>52</v>
      </c>
      <c r="N53" s="22" t="s">
        <v>2172</v>
      </c>
      <c r="O53" s="22" t="s">
        <v>2908</v>
      </c>
      <c r="P53" s="22" t="s">
        <v>2908</v>
      </c>
      <c r="Q53" s="22" t="s">
        <v>2908</v>
      </c>
      <c r="R53" s="22" t="s">
        <v>2908</v>
      </c>
      <c r="S53" s="22" t="s">
        <v>2908</v>
      </c>
      <c r="T53" s="22" t="s">
        <v>2908</v>
      </c>
      <c r="V53" t="e">
        <f t="shared" si="2"/>
        <v>#N/A</v>
      </c>
      <c r="W53" t="e">
        <f t="shared" si="3"/>
        <v>#N/A</v>
      </c>
      <c r="X53" t="e">
        <f t="shared" si="4"/>
        <v>#N/A</v>
      </c>
      <c r="Z53" t="e">
        <v>#N/A</v>
      </c>
      <c r="AA53" t="e">
        <v>#N/A</v>
      </c>
      <c r="AB53" t="e">
        <v>#N/A</v>
      </c>
      <c r="AD53">
        <v>1000</v>
      </c>
      <c r="AE53">
        <v>1000</v>
      </c>
      <c r="AF53">
        <v>1000</v>
      </c>
      <c r="AH53" t="e">
        <f t="shared" si="5"/>
        <v>#N/A</v>
      </c>
      <c r="AI53" t="e">
        <f t="shared" si="6"/>
        <v>#N/A</v>
      </c>
      <c r="AJ53" t="e">
        <f t="shared" si="7"/>
        <v>#N/A</v>
      </c>
    </row>
    <row r="54" spans="1:36" ht="42" thickBot="1" x14ac:dyDescent="0.3">
      <c r="A54" s="22">
        <v>53</v>
      </c>
      <c r="B54" s="22" t="s">
        <v>2180</v>
      </c>
      <c r="C54" s="22" t="s">
        <v>3356</v>
      </c>
      <c r="D54" s="22" t="s">
        <v>3374</v>
      </c>
      <c r="E54" s="22" t="s">
        <v>3375</v>
      </c>
      <c r="F54" s="22" t="s">
        <v>3376</v>
      </c>
      <c r="G54" s="22" t="s">
        <v>3377</v>
      </c>
      <c r="H54" s="22">
        <v>13.82</v>
      </c>
      <c r="I54" s="22">
        <v>1</v>
      </c>
      <c r="J54" s="22" t="s">
        <v>1069</v>
      </c>
      <c r="K54" s="22" t="s">
        <v>1069</v>
      </c>
      <c r="M54" s="22">
        <v>53</v>
      </c>
      <c r="N54" s="22" t="s">
        <v>2928</v>
      </c>
      <c r="O54" s="22" t="s">
        <v>2908</v>
      </c>
      <c r="P54" s="22" t="s">
        <v>2908</v>
      </c>
      <c r="Q54" s="22" t="s">
        <v>2908</v>
      </c>
      <c r="R54" s="22" t="s">
        <v>2908</v>
      </c>
      <c r="S54" s="22" t="s">
        <v>2908</v>
      </c>
      <c r="T54" s="22" t="s">
        <v>2908</v>
      </c>
      <c r="V54" t="e">
        <f t="shared" si="2"/>
        <v>#N/A</v>
      </c>
      <c r="W54" t="e">
        <f t="shared" si="3"/>
        <v>#N/A</v>
      </c>
      <c r="X54" t="e">
        <f t="shared" si="4"/>
        <v>#N/A</v>
      </c>
      <c r="Z54" t="e">
        <v>#N/A</v>
      </c>
      <c r="AA54" t="e">
        <v>#N/A</v>
      </c>
      <c r="AB54" t="e">
        <v>#N/A</v>
      </c>
      <c r="AD54">
        <v>1000</v>
      </c>
      <c r="AE54">
        <v>1000</v>
      </c>
      <c r="AF54">
        <v>1000</v>
      </c>
      <c r="AH54" t="e">
        <f t="shared" si="5"/>
        <v>#N/A</v>
      </c>
      <c r="AI54" t="e">
        <f t="shared" si="6"/>
        <v>#N/A</v>
      </c>
      <c r="AJ54" t="e">
        <f t="shared" si="7"/>
        <v>#N/A</v>
      </c>
    </row>
    <row r="55" spans="1:36" ht="28.2" thickBot="1" x14ac:dyDescent="0.3">
      <c r="A55" s="22">
        <v>54</v>
      </c>
      <c r="B55" s="22" t="s">
        <v>2174</v>
      </c>
      <c r="C55" s="22" t="s">
        <v>3356</v>
      </c>
      <c r="D55" s="22" t="s">
        <v>3378</v>
      </c>
      <c r="E55" s="22" t="s">
        <v>3379</v>
      </c>
      <c r="F55" s="22" t="s">
        <v>3380</v>
      </c>
      <c r="G55" s="22" t="s">
        <v>3308</v>
      </c>
      <c r="H55" s="22">
        <v>2.7</v>
      </c>
      <c r="I55" s="22">
        <v>3</v>
      </c>
      <c r="J55" s="22">
        <v>8</v>
      </c>
      <c r="K55" s="22">
        <v>8</v>
      </c>
      <c r="M55" s="22">
        <v>54</v>
      </c>
      <c r="N55" s="22" t="s">
        <v>2929</v>
      </c>
      <c r="O55" s="22" t="s">
        <v>3287</v>
      </c>
      <c r="P55" s="22" t="s">
        <v>3288</v>
      </c>
      <c r="Q55" s="22" t="s">
        <v>3289</v>
      </c>
      <c r="R55" s="22">
        <v>71</v>
      </c>
      <c r="S55" s="22">
        <v>16</v>
      </c>
      <c r="T55" s="22">
        <v>67</v>
      </c>
      <c r="V55" t="str">
        <f t="shared" si="2"/>
        <v>1.29</v>
      </c>
      <c r="W55" t="str">
        <f t="shared" si="3"/>
        <v>0.29</v>
      </c>
      <c r="X55" t="str">
        <f t="shared" si="4"/>
        <v>1.20</v>
      </c>
      <c r="Z55">
        <v>1.29</v>
      </c>
      <c r="AA55">
        <v>0.28999999999999998</v>
      </c>
      <c r="AB55">
        <v>1.2</v>
      </c>
      <c r="AD55">
        <v>1000</v>
      </c>
      <c r="AE55">
        <v>1000</v>
      </c>
      <c r="AF55">
        <v>1000</v>
      </c>
      <c r="AH55">
        <f t="shared" si="5"/>
        <v>1290</v>
      </c>
      <c r="AI55">
        <f t="shared" si="6"/>
        <v>290</v>
      </c>
      <c r="AJ55">
        <f t="shared" si="7"/>
        <v>1200</v>
      </c>
    </row>
    <row r="56" spans="1:36" ht="28.2" thickBot="1" x14ac:dyDescent="0.3">
      <c r="M56" s="22">
        <v>55</v>
      </c>
      <c r="N56" s="22" t="s">
        <v>2183</v>
      </c>
      <c r="O56" s="22" t="s">
        <v>2908</v>
      </c>
      <c r="P56" s="22" t="s">
        <v>2908</v>
      </c>
      <c r="Q56" s="22" t="s">
        <v>2908</v>
      </c>
      <c r="R56" s="22" t="s">
        <v>2908</v>
      </c>
      <c r="S56" s="22" t="s">
        <v>2908</v>
      </c>
      <c r="T56" s="22" t="s">
        <v>2908</v>
      </c>
      <c r="V56" t="e">
        <f t="shared" si="2"/>
        <v>#N/A</v>
      </c>
      <c r="W56" t="e">
        <f t="shared" si="3"/>
        <v>#N/A</v>
      </c>
      <c r="X56" t="e">
        <f t="shared" si="4"/>
        <v>#N/A</v>
      </c>
      <c r="Z56" t="e">
        <v>#N/A</v>
      </c>
      <c r="AA56" t="e">
        <v>#N/A</v>
      </c>
      <c r="AB56" t="e">
        <v>#N/A</v>
      </c>
      <c r="AD56">
        <v>1000</v>
      </c>
      <c r="AE56">
        <v>1000</v>
      </c>
      <c r="AF56">
        <v>1000</v>
      </c>
      <c r="AH56" t="e">
        <f t="shared" si="5"/>
        <v>#N/A</v>
      </c>
      <c r="AI56" t="e">
        <f t="shared" si="6"/>
        <v>#N/A</v>
      </c>
      <c r="AJ56" t="e">
        <f t="shared" si="7"/>
        <v>#N/A</v>
      </c>
    </row>
    <row r="57" spans="1:36" ht="28.2" thickBot="1" x14ac:dyDescent="0.3">
      <c r="M57" s="22">
        <v>56</v>
      </c>
      <c r="N57" s="22" t="s">
        <v>2185</v>
      </c>
      <c r="O57" s="22" t="s">
        <v>3361</v>
      </c>
      <c r="P57" s="22" t="s">
        <v>3362</v>
      </c>
      <c r="Q57" s="22" t="s">
        <v>3363</v>
      </c>
      <c r="R57" s="22">
        <v>4</v>
      </c>
      <c r="S57" s="22">
        <v>3</v>
      </c>
      <c r="T57" s="22">
        <v>3</v>
      </c>
      <c r="V57" t="str">
        <f t="shared" si="2"/>
        <v>35.80</v>
      </c>
      <c r="W57" t="str">
        <f t="shared" si="3"/>
        <v>24.90</v>
      </c>
      <c r="X57" t="str">
        <f t="shared" si="4"/>
        <v>24.05</v>
      </c>
      <c r="Z57">
        <v>35.799999999999997</v>
      </c>
      <c r="AA57">
        <v>24.9</v>
      </c>
      <c r="AB57">
        <v>24.05</v>
      </c>
      <c r="AD57">
        <v>1000</v>
      </c>
      <c r="AE57">
        <v>1000</v>
      </c>
      <c r="AF57">
        <v>1000</v>
      </c>
      <c r="AH57">
        <f t="shared" si="5"/>
        <v>35800</v>
      </c>
      <c r="AI57">
        <f t="shared" si="6"/>
        <v>24900</v>
      </c>
      <c r="AJ57">
        <f t="shared" si="7"/>
        <v>24050</v>
      </c>
    </row>
    <row r="58" spans="1:36" ht="55.8" thickBot="1" x14ac:dyDescent="0.3">
      <c r="M58" s="22">
        <v>57</v>
      </c>
      <c r="N58" s="22" t="s">
        <v>3388</v>
      </c>
      <c r="O58" s="22" t="s">
        <v>3265</v>
      </c>
      <c r="P58" s="22" t="s">
        <v>3266</v>
      </c>
      <c r="Q58" s="22" t="s">
        <v>3267</v>
      </c>
      <c r="R58" s="22" t="s">
        <v>29</v>
      </c>
      <c r="S58" s="22" t="s">
        <v>29</v>
      </c>
      <c r="T58" s="22" t="s">
        <v>29</v>
      </c>
      <c r="V58" t="str">
        <f t="shared" si="2"/>
        <v>16.95</v>
      </c>
      <c r="W58" t="str">
        <f t="shared" si="3"/>
        <v>15.69</v>
      </c>
      <c r="X58" t="str">
        <f t="shared" si="4"/>
        <v>7.38</v>
      </c>
      <c r="Z58">
        <v>16.95</v>
      </c>
      <c r="AA58">
        <v>15.69</v>
      </c>
      <c r="AB58">
        <v>7.38</v>
      </c>
      <c r="AD58">
        <v>1000</v>
      </c>
      <c r="AE58">
        <v>1000</v>
      </c>
      <c r="AF58">
        <v>1000</v>
      </c>
      <c r="AH58">
        <f t="shared" si="5"/>
        <v>16950</v>
      </c>
      <c r="AI58">
        <f t="shared" si="6"/>
        <v>15690</v>
      </c>
      <c r="AJ58">
        <f t="shared" si="7"/>
        <v>7380</v>
      </c>
    </row>
    <row r="59" spans="1:36" ht="14.4" thickBot="1" x14ac:dyDescent="0.3">
      <c r="M59" s="22">
        <v>58</v>
      </c>
      <c r="N59" s="22" t="s">
        <v>2331</v>
      </c>
      <c r="O59" s="22" t="s">
        <v>2908</v>
      </c>
      <c r="P59" s="22" t="s">
        <v>2908</v>
      </c>
      <c r="Q59" s="22" t="s">
        <v>2908</v>
      </c>
      <c r="R59" s="22" t="s">
        <v>2908</v>
      </c>
      <c r="S59" s="22" t="s">
        <v>2908</v>
      </c>
      <c r="T59" s="22" t="s">
        <v>2908</v>
      </c>
      <c r="V59" t="e">
        <f t="shared" si="2"/>
        <v>#N/A</v>
      </c>
      <c r="W59" t="e">
        <f t="shared" si="3"/>
        <v>#N/A</v>
      </c>
      <c r="X59" t="e">
        <f t="shared" si="4"/>
        <v>#N/A</v>
      </c>
      <c r="Z59" t="e">
        <v>#N/A</v>
      </c>
      <c r="AA59" t="e">
        <v>#N/A</v>
      </c>
      <c r="AB59" t="e">
        <v>#N/A</v>
      </c>
      <c r="AD59">
        <v>1000</v>
      </c>
      <c r="AE59">
        <v>1000</v>
      </c>
      <c r="AF59">
        <v>1000</v>
      </c>
      <c r="AH59" t="e">
        <f t="shared" si="5"/>
        <v>#N/A</v>
      </c>
      <c r="AI59" t="e">
        <f t="shared" si="6"/>
        <v>#N/A</v>
      </c>
      <c r="AJ59" t="e">
        <f t="shared" si="7"/>
        <v>#N/A</v>
      </c>
    </row>
    <row r="60" spans="1:36" ht="28.2" thickBot="1" x14ac:dyDescent="0.3">
      <c r="M60" s="22">
        <v>59</v>
      </c>
      <c r="N60" s="22" t="s">
        <v>2337</v>
      </c>
      <c r="O60" s="22" t="s">
        <v>2908</v>
      </c>
      <c r="P60" s="22" t="s">
        <v>2908</v>
      </c>
      <c r="Q60" s="22" t="s">
        <v>2908</v>
      </c>
      <c r="R60" s="22" t="s">
        <v>2908</v>
      </c>
      <c r="S60" s="22" t="s">
        <v>2908</v>
      </c>
      <c r="T60" s="22" t="s">
        <v>2908</v>
      </c>
      <c r="V60" t="e">
        <f t="shared" si="2"/>
        <v>#N/A</v>
      </c>
      <c r="W60" t="e">
        <f t="shared" si="3"/>
        <v>#N/A</v>
      </c>
      <c r="X60" t="e">
        <f t="shared" si="4"/>
        <v>#N/A</v>
      </c>
      <c r="Z60" t="e">
        <v>#N/A</v>
      </c>
      <c r="AA60" t="e">
        <v>#N/A</v>
      </c>
      <c r="AB60" t="e">
        <v>#N/A</v>
      </c>
      <c r="AD60">
        <v>1000</v>
      </c>
      <c r="AE60">
        <v>1000</v>
      </c>
      <c r="AF60">
        <v>1000</v>
      </c>
      <c r="AH60" t="e">
        <f t="shared" si="5"/>
        <v>#N/A</v>
      </c>
      <c r="AI60" t="e">
        <f t="shared" si="6"/>
        <v>#N/A</v>
      </c>
      <c r="AJ60" t="e">
        <f t="shared" si="7"/>
        <v>#N/A</v>
      </c>
    </row>
    <row r="61" spans="1:36" ht="28.2" thickBot="1" x14ac:dyDescent="0.3">
      <c r="M61" s="22">
        <v>60</v>
      </c>
      <c r="N61" s="22" t="s">
        <v>2365</v>
      </c>
      <c r="O61" s="22" t="s">
        <v>3189</v>
      </c>
      <c r="P61" s="22" t="s">
        <v>3190</v>
      </c>
      <c r="Q61" s="22" t="s">
        <v>3191</v>
      </c>
      <c r="R61" s="22">
        <v>197</v>
      </c>
      <c r="S61" s="22">
        <v>122</v>
      </c>
      <c r="T61" s="22">
        <v>90</v>
      </c>
      <c r="V61" t="str">
        <f t="shared" si="2"/>
        <v>197.35</v>
      </c>
      <c r="W61" t="str">
        <f t="shared" si="3"/>
        <v>121.72</v>
      </c>
      <c r="X61" t="str">
        <f t="shared" si="4"/>
        <v>90.20</v>
      </c>
      <c r="Z61">
        <v>197.35</v>
      </c>
      <c r="AA61">
        <v>121.72</v>
      </c>
      <c r="AB61">
        <v>90.2</v>
      </c>
      <c r="AD61">
        <v>1000</v>
      </c>
      <c r="AE61">
        <v>1000</v>
      </c>
      <c r="AF61">
        <v>1000</v>
      </c>
      <c r="AH61">
        <f t="shared" si="5"/>
        <v>197350</v>
      </c>
      <c r="AI61">
        <f t="shared" si="6"/>
        <v>121720</v>
      </c>
      <c r="AJ61">
        <f t="shared" si="7"/>
        <v>90200</v>
      </c>
    </row>
    <row r="62" spans="1:36" ht="28.2" thickBot="1" x14ac:dyDescent="0.3">
      <c r="M62" s="22">
        <v>61</v>
      </c>
      <c r="N62" s="22" t="s">
        <v>2186</v>
      </c>
      <c r="O62" s="22" t="s">
        <v>3225</v>
      </c>
      <c r="P62" s="22" t="s">
        <v>3226</v>
      </c>
      <c r="Q62" s="22" t="s">
        <v>3227</v>
      </c>
      <c r="R62" s="22">
        <v>2</v>
      </c>
      <c r="S62" s="22">
        <v>3</v>
      </c>
      <c r="T62" s="22">
        <v>2</v>
      </c>
      <c r="V62" t="str">
        <f t="shared" si="2"/>
        <v>2.44</v>
      </c>
      <c r="W62" t="str">
        <f t="shared" si="3"/>
        <v>3.55</v>
      </c>
      <c r="X62" t="str">
        <f t="shared" si="4"/>
        <v>1.83</v>
      </c>
      <c r="Z62">
        <v>2.44</v>
      </c>
      <c r="AA62">
        <v>3.55</v>
      </c>
      <c r="AB62">
        <v>1.83</v>
      </c>
      <c r="AD62">
        <v>1000</v>
      </c>
      <c r="AE62">
        <v>1000</v>
      </c>
      <c r="AF62">
        <v>1000</v>
      </c>
      <c r="AH62">
        <f t="shared" si="5"/>
        <v>2440</v>
      </c>
      <c r="AI62">
        <f t="shared" si="6"/>
        <v>3550</v>
      </c>
      <c r="AJ62">
        <f t="shared" si="7"/>
        <v>1830</v>
      </c>
    </row>
    <row r="63" spans="1:36" ht="28.2" thickBot="1" x14ac:dyDescent="0.3">
      <c r="M63" s="22">
        <v>62</v>
      </c>
      <c r="N63" s="22" t="s">
        <v>2382</v>
      </c>
      <c r="O63" s="22" t="s">
        <v>3219</v>
      </c>
      <c r="P63" s="22" t="s">
        <v>3220</v>
      </c>
      <c r="Q63" s="22" t="s">
        <v>3221</v>
      </c>
      <c r="R63" s="22">
        <v>1</v>
      </c>
      <c r="S63" s="22" t="s">
        <v>1069</v>
      </c>
      <c r="T63" s="22">
        <v>1</v>
      </c>
      <c r="V63" t="str">
        <f t="shared" si="2"/>
        <v>1.95</v>
      </c>
      <c r="W63" t="str">
        <f t="shared" si="3"/>
        <v>1.54</v>
      </c>
      <c r="X63" t="str">
        <f t="shared" si="4"/>
        <v>1.61</v>
      </c>
      <c r="Z63">
        <v>1.95</v>
      </c>
      <c r="AA63">
        <v>1.54</v>
      </c>
      <c r="AB63">
        <v>1.61</v>
      </c>
      <c r="AD63">
        <v>1000</v>
      </c>
      <c r="AE63">
        <v>1000</v>
      </c>
      <c r="AF63">
        <v>1000</v>
      </c>
      <c r="AH63">
        <f t="shared" si="5"/>
        <v>1950</v>
      </c>
      <c r="AI63">
        <f t="shared" si="6"/>
        <v>1540</v>
      </c>
      <c r="AJ63">
        <f t="shared" si="7"/>
        <v>1610</v>
      </c>
    </row>
    <row r="64" spans="1:36" ht="14.4" thickBot="1" x14ac:dyDescent="0.3">
      <c r="M64" s="22">
        <v>63</v>
      </c>
      <c r="N64" s="22" t="s">
        <v>2393</v>
      </c>
      <c r="O64" s="22" t="s">
        <v>2908</v>
      </c>
      <c r="P64" s="22" t="s">
        <v>2908</v>
      </c>
      <c r="Q64" s="22" t="s">
        <v>2908</v>
      </c>
      <c r="R64" s="22" t="s">
        <v>2908</v>
      </c>
      <c r="S64" s="22" t="s">
        <v>2908</v>
      </c>
      <c r="T64" s="22" t="s">
        <v>2908</v>
      </c>
      <c r="V64" t="e">
        <f t="shared" si="2"/>
        <v>#N/A</v>
      </c>
      <c r="W64" t="e">
        <f t="shared" si="3"/>
        <v>#N/A</v>
      </c>
      <c r="X64" t="e">
        <f t="shared" si="4"/>
        <v>#N/A</v>
      </c>
      <c r="Z64" t="e">
        <v>#N/A</v>
      </c>
      <c r="AA64" t="e">
        <v>#N/A</v>
      </c>
      <c r="AB64" t="e">
        <v>#N/A</v>
      </c>
      <c r="AD64">
        <v>1000</v>
      </c>
      <c r="AE64">
        <v>1000</v>
      </c>
      <c r="AF64">
        <v>1000</v>
      </c>
      <c r="AH64" t="e">
        <f t="shared" si="5"/>
        <v>#N/A</v>
      </c>
      <c r="AI64" t="e">
        <f t="shared" si="6"/>
        <v>#N/A</v>
      </c>
      <c r="AJ64" t="e">
        <f t="shared" si="7"/>
        <v>#N/A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27E2F-E300-442B-A901-8E7FEA221EAD}">
  <dimension ref="A1:O101"/>
  <sheetViews>
    <sheetView workbookViewId="0">
      <selection activeCell="N2" sqref="N2:O64"/>
    </sheetView>
  </sheetViews>
  <sheetFormatPr defaultRowHeight="13.8" x14ac:dyDescent="0.25"/>
  <sheetData>
    <row r="1" spans="1:15" ht="42" thickBot="1" x14ac:dyDescent="0.3">
      <c r="A1" s="21" t="s">
        <v>2845</v>
      </c>
      <c r="B1" s="21" t="s">
        <v>3389</v>
      </c>
      <c r="C1" s="21" t="s">
        <v>3390</v>
      </c>
      <c r="D1" s="21" t="s">
        <v>3391</v>
      </c>
      <c r="F1" s="21" t="s">
        <v>2845</v>
      </c>
      <c r="G1" s="21" t="s">
        <v>2906</v>
      </c>
      <c r="H1" s="21" t="s">
        <v>3390</v>
      </c>
      <c r="I1" s="21" t="s">
        <v>3391</v>
      </c>
    </row>
    <row r="2" spans="1:15" ht="47.4" thickBot="1" x14ac:dyDescent="0.3">
      <c r="A2" s="22">
        <v>1</v>
      </c>
      <c r="B2" s="22" t="s">
        <v>2022</v>
      </c>
      <c r="C2" s="22">
        <v>1290.81</v>
      </c>
      <c r="D2" s="22">
        <v>1160.3</v>
      </c>
      <c r="F2" s="22">
        <v>1</v>
      </c>
      <c r="G2" s="24" t="s">
        <v>3448</v>
      </c>
      <c r="H2" s="22">
        <v>1141.8699999999999</v>
      </c>
      <c r="I2" s="22">
        <v>881.65</v>
      </c>
      <c r="K2" s="37">
        <v>1000</v>
      </c>
      <c r="L2" s="37">
        <v>1000</v>
      </c>
      <c r="N2">
        <f>H2*K2</f>
        <v>1141870</v>
      </c>
      <c r="O2">
        <f>I2*L2</f>
        <v>881650</v>
      </c>
    </row>
    <row r="3" spans="1:15" ht="28.2" thickBot="1" x14ac:dyDescent="0.3">
      <c r="A3" s="22">
        <v>2</v>
      </c>
      <c r="B3" s="22" t="s">
        <v>2947</v>
      </c>
      <c r="C3" s="22">
        <v>301.26</v>
      </c>
      <c r="D3" s="22">
        <v>221.23</v>
      </c>
      <c r="F3" s="22">
        <v>2</v>
      </c>
      <c r="G3" s="22" t="s">
        <v>2162</v>
      </c>
      <c r="H3" s="22">
        <v>148.53</v>
      </c>
      <c r="I3" s="22">
        <v>176.05</v>
      </c>
      <c r="K3" s="37">
        <v>1000</v>
      </c>
      <c r="L3" s="37">
        <v>1000</v>
      </c>
      <c r="N3">
        <f t="shared" ref="N3:N64" si="0">H3*K3</f>
        <v>148530</v>
      </c>
      <c r="O3">
        <f t="shared" ref="O3:O64" si="1">I3*L3</f>
        <v>176050</v>
      </c>
    </row>
    <row r="4" spans="1:15" ht="14.4" thickBot="1" x14ac:dyDescent="0.3">
      <c r="A4" s="22">
        <v>3</v>
      </c>
      <c r="B4" s="22" t="s">
        <v>2956</v>
      </c>
      <c r="C4" s="22">
        <v>4.8099999999999996</v>
      </c>
      <c r="D4" s="22">
        <v>2.79</v>
      </c>
      <c r="F4" s="22">
        <v>3</v>
      </c>
      <c r="G4" s="22" t="s">
        <v>2018</v>
      </c>
      <c r="H4" s="22">
        <v>254.89</v>
      </c>
      <c r="I4" s="22">
        <v>258.48</v>
      </c>
      <c r="K4" s="37">
        <v>1000</v>
      </c>
      <c r="L4" s="37">
        <v>1000</v>
      </c>
      <c r="N4">
        <f t="shared" si="0"/>
        <v>254890</v>
      </c>
      <c r="O4">
        <f t="shared" si="1"/>
        <v>258480.00000000003</v>
      </c>
    </row>
    <row r="5" spans="1:15" ht="14.4" thickBot="1" x14ac:dyDescent="0.3">
      <c r="A5" s="22">
        <v>4</v>
      </c>
      <c r="B5" s="22" t="s">
        <v>3392</v>
      </c>
      <c r="C5" s="22">
        <v>24.07</v>
      </c>
      <c r="D5" s="22">
        <v>19.559999999999999</v>
      </c>
      <c r="F5" s="22">
        <v>4</v>
      </c>
      <c r="G5" s="22" t="s">
        <v>2022</v>
      </c>
      <c r="H5" s="22">
        <v>1290.81</v>
      </c>
      <c r="I5" s="22">
        <v>1160.3</v>
      </c>
      <c r="K5" s="37">
        <v>1000</v>
      </c>
      <c r="L5" s="37">
        <v>1000</v>
      </c>
      <c r="N5">
        <f t="shared" si="0"/>
        <v>1290810</v>
      </c>
      <c r="O5">
        <f t="shared" si="1"/>
        <v>1160300</v>
      </c>
    </row>
    <row r="6" spans="1:15" ht="28.2" thickBot="1" x14ac:dyDescent="0.3">
      <c r="A6" s="22">
        <v>5</v>
      </c>
      <c r="B6" s="22" t="s">
        <v>2164</v>
      </c>
      <c r="C6" s="22">
        <v>193.56</v>
      </c>
      <c r="D6" s="22">
        <v>176.96</v>
      </c>
      <c r="F6" s="22">
        <v>5</v>
      </c>
      <c r="G6" s="22" t="s">
        <v>2023</v>
      </c>
      <c r="H6" s="22">
        <v>218.5</v>
      </c>
      <c r="I6" s="22">
        <v>247.04</v>
      </c>
      <c r="K6" s="37">
        <v>1000</v>
      </c>
      <c r="L6" s="37">
        <v>1000</v>
      </c>
      <c r="N6">
        <f t="shared" si="0"/>
        <v>218500</v>
      </c>
      <c r="O6">
        <f t="shared" si="1"/>
        <v>247040</v>
      </c>
    </row>
    <row r="7" spans="1:15" ht="14.4" thickBot="1" x14ac:dyDescent="0.3">
      <c r="A7" s="22">
        <v>6</v>
      </c>
      <c r="B7" s="22" t="s">
        <v>2868</v>
      </c>
      <c r="C7" s="22">
        <v>55.39</v>
      </c>
      <c r="D7" s="22">
        <v>75.31</v>
      </c>
      <c r="F7" s="22">
        <v>6</v>
      </c>
      <c r="G7" s="22" t="s">
        <v>2019</v>
      </c>
      <c r="H7" s="22">
        <v>55.21</v>
      </c>
      <c r="I7" s="22">
        <v>33.9</v>
      </c>
      <c r="K7" s="37">
        <v>1000</v>
      </c>
      <c r="L7" s="37">
        <v>1000</v>
      </c>
      <c r="N7">
        <f t="shared" si="0"/>
        <v>55210</v>
      </c>
      <c r="O7">
        <f t="shared" si="1"/>
        <v>33900</v>
      </c>
    </row>
    <row r="8" spans="1:15" ht="14.4" thickBot="1" x14ac:dyDescent="0.3">
      <c r="A8" s="22">
        <v>7</v>
      </c>
      <c r="B8" s="22" t="s">
        <v>3393</v>
      </c>
      <c r="C8" s="22">
        <v>89.7</v>
      </c>
      <c r="D8" s="22">
        <v>126.1</v>
      </c>
      <c r="F8" s="22">
        <v>7</v>
      </c>
      <c r="G8" s="22" t="s">
        <v>2178</v>
      </c>
      <c r="H8" s="22">
        <v>15.23</v>
      </c>
      <c r="I8" s="22">
        <v>13.87</v>
      </c>
      <c r="K8" s="37">
        <v>1000</v>
      </c>
      <c r="L8" s="37">
        <v>1000</v>
      </c>
      <c r="N8">
        <f t="shared" si="0"/>
        <v>15230</v>
      </c>
      <c r="O8">
        <f t="shared" si="1"/>
        <v>13870</v>
      </c>
    </row>
    <row r="9" spans="1:15" ht="14.4" thickBot="1" x14ac:dyDescent="0.3">
      <c r="A9" s="22">
        <v>8</v>
      </c>
      <c r="B9" s="22" t="s">
        <v>2018</v>
      </c>
      <c r="C9" s="22">
        <v>254.89</v>
      </c>
      <c r="D9" s="22">
        <v>258.48</v>
      </c>
      <c r="F9" s="22">
        <v>8</v>
      </c>
      <c r="G9" s="22" t="s">
        <v>2898</v>
      </c>
      <c r="H9" s="22">
        <v>1166.4100000000001</v>
      </c>
      <c r="I9" s="22">
        <v>1217.29</v>
      </c>
      <c r="K9" s="37">
        <v>1000</v>
      </c>
      <c r="L9" s="37">
        <v>1000</v>
      </c>
      <c r="N9">
        <f t="shared" si="0"/>
        <v>1166410</v>
      </c>
      <c r="O9">
        <f t="shared" si="1"/>
        <v>1217290</v>
      </c>
    </row>
    <row r="10" spans="1:15" ht="55.8" thickBot="1" x14ac:dyDescent="0.3">
      <c r="A10" s="22">
        <v>9</v>
      </c>
      <c r="B10" s="22" t="s">
        <v>2170</v>
      </c>
      <c r="C10" s="22">
        <v>177.94</v>
      </c>
      <c r="D10" s="22">
        <v>209.94</v>
      </c>
      <c r="F10" s="22">
        <v>9</v>
      </c>
      <c r="G10" s="22" t="s">
        <v>3441</v>
      </c>
      <c r="H10" s="22">
        <v>31.51</v>
      </c>
      <c r="I10" s="22">
        <v>14.72</v>
      </c>
      <c r="K10" s="37">
        <v>1000</v>
      </c>
      <c r="L10" s="37">
        <v>1000</v>
      </c>
      <c r="N10">
        <f t="shared" si="0"/>
        <v>31510</v>
      </c>
      <c r="O10">
        <f t="shared" si="1"/>
        <v>14720</v>
      </c>
    </row>
    <row r="11" spans="1:15" ht="69.599999999999994" thickBot="1" x14ac:dyDescent="0.3">
      <c r="A11" s="22">
        <v>10</v>
      </c>
      <c r="B11" s="22" t="s">
        <v>2863</v>
      </c>
      <c r="C11" s="22">
        <v>379.35</v>
      </c>
      <c r="D11" s="22">
        <v>439.78</v>
      </c>
      <c r="F11" s="22">
        <v>10</v>
      </c>
      <c r="G11" s="22" t="s">
        <v>3442</v>
      </c>
      <c r="H11" s="22">
        <v>89.69</v>
      </c>
      <c r="I11" s="22">
        <v>81.86</v>
      </c>
      <c r="K11" s="37">
        <v>1000</v>
      </c>
      <c r="L11" s="37">
        <v>1000</v>
      </c>
      <c r="N11">
        <f t="shared" si="0"/>
        <v>89690</v>
      </c>
      <c r="O11">
        <f t="shared" si="1"/>
        <v>81860</v>
      </c>
    </row>
    <row r="12" spans="1:15" ht="28.2" thickBot="1" x14ac:dyDescent="0.3">
      <c r="A12" s="22">
        <v>11</v>
      </c>
      <c r="B12" s="22" t="s">
        <v>2927</v>
      </c>
      <c r="C12" s="22">
        <v>107.8</v>
      </c>
      <c r="D12" s="22">
        <v>90.35</v>
      </c>
      <c r="F12" s="22">
        <v>11</v>
      </c>
      <c r="G12" s="22" t="s">
        <v>2911</v>
      </c>
      <c r="H12" s="22" t="s">
        <v>2908</v>
      </c>
      <c r="I12" s="22" t="s">
        <v>2908</v>
      </c>
      <c r="K12" s="37">
        <v>1000</v>
      </c>
      <c r="L12" s="37">
        <v>1000</v>
      </c>
      <c r="N12" t="e">
        <f t="shared" si="0"/>
        <v>#VALUE!</v>
      </c>
      <c r="O12" t="e">
        <f t="shared" si="1"/>
        <v>#VALUE!</v>
      </c>
    </row>
    <row r="13" spans="1:15" ht="28.2" thickBot="1" x14ac:dyDescent="0.3">
      <c r="A13" s="22">
        <v>12</v>
      </c>
      <c r="B13" s="22" t="s">
        <v>2162</v>
      </c>
      <c r="C13" s="22">
        <v>148.53</v>
      </c>
      <c r="D13" s="22">
        <v>176.05</v>
      </c>
      <c r="F13" s="22">
        <v>12</v>
      </c>
      <c r="G13" s="22" t="s">
        <v>2957</v>
      </c>
      <c r="H13" s="22">
        <v>31.95</v>
      </c>
      <c r="I13" s="22">
        <v>57.28</v>
      </c>
      <c r="K13" s="37">
        <v>1000</v>
      </c>
      <c r="L13" s="37">
        <v>1000</v>
      </c>
      <c r="N13">
        <f t="shared" si="0"/>
        <v>31950</v>
      </c>
      <c r="O13">
        <f t="shared" si="1"/>
        <v>57280</v>
      </c>
    </row>
    <row r="14" spans="1:15" ht="14.4" thickBot="1" x14ac:dyDescent="0.3">
      <c r="A14" s="22">
        <v>13</v>
      </c>
      <c r="B14" s="22" t="s">
        <v>2359</v>
      </c>
      <c r="C14" s="22">
        <v>214.34</v>
      </c>
      <c r="D14" s="22">
        <v>220.06</v>
      </c>
      <c r="F14" s="22">
        <v>13</v>
      </c>
      <c r="G14" s="22" t="s">
        <v>2913</v>
      </c>
      <c r="H14" s="22">
        <v>41.33</v>
      </c>
      <c r="I14" s="22">
        <v>27.07</v>
      </c>
      <c r="K14" s="37">
        <v>1000</v>
      </c>
      <c r="L14" s="37">
        <v>1000</v>
      </c>
      <c r="N14">
        <f t="shared" si="0"/>
        <v>41330</v>
      </c>
      <c r="O14">
        <f t="shared" si="1"/>
        <v>27070</v>
      </c>
    </row>
    <row r="15" spans="1:15" ht="28.2" thickBot="1" x14ac:dyDescent="0.3">
      <c r="A15" s="22">
        <v>14</v>
      </c>
      <c r="B15" s="22" t="s">
        <v>3394</v>
      </c>
      <c r="C15" s="22">
        <v>6.14</v>
      </c>
      <c r="D15" s="22">
        <v>11.11</v>
      </c>
      <c r="F15" s="22">
        <v>14</v>
      </c>
      <c r="G15" s="22" t="s">
        <v>2173</v>
      </c>
      <c r="H15" s="22">
        <v>195.03</v>
      </c>
      <c r="I15" s="22">
        <v>178.9</v>
      </c>
      <c r="K15" s="37">
        <v>1000</v>
      </c>
      <c r="L15" s="37">
        <v>1000</v>
      </c>
      <c r="N15">
        <f t="shared" si="0"/>
        <v>195030</v>
      </c>
      <c r="O15">
        <f t="shared" si="1"/>
        <v>178900</v>
      </c>
    </row>
    <row r="16" spans="1:15" ht="28.2" thickBot="1" x14ac:dyDescent="0.3">
      <c r="A16" s="22">
        <v>15</v>
      </c>
      <c r="B16" s="22" t="s">
        <v>2915</v>
      </c>
      <c r="C16" s="22">
        <v>67.010000000000005</v>
      </c>
      <c r="D16" s="22">
        <v>63.65</v>
      </c>
      <c r="F16" s="22">
        <v>15</v>
      </c>
      <c r="G16" s="22" t="s">
        <v>2914</v>
      </c>
      <c r="H16" s="22">
        <v>7.76</v>
      </c>
      <c r="I16" s="22">
        <v>19.399999999999999</v>
      </c>
      <c r="K16" s="37">
        <v>1000</v>
      </c>
      <c r="L16" s="37">
        <v>1000</v>
      </c>
      <c r="N16">
        <f t="shared" si="0"/>
        <v>7760</v>
      </c>
      <c r="O16">
        <f t="shared" si="1"/>
        <v>19400</v>
      </c>
    </row>
    <row r="17" spans="1:15" ht="55.8" thickBot="1" x14ac:dyDescent="0.3">
      <c r="A17" s="22">
        <v>16</v>
      </c>
      <c r="B17" s="22" t="s">
        <v>2019</v>
      </c>
      <c r="C17" s="22">
        <v>55.21</v>
      </c>
      <c r="D17" s="22">
        <v>33.9</v>
      </c>
      <c r="F17" s="22">
        <v>16</v>
      </c>
      <c r="G17" s="22" t="s">
        <v>3381</v>
      </c>
      <c r="H17" s="22">
        <v>37.26</v>
      </c>
      <c r="I17" s="22">
        <v>15.08</v>
      </c>
      <c r="K17" s="37">
        <v>1000</v>
      </c>
      <c r="L17" s="37">
        <v>1000</v>
      </c>
      <c r="N17">
        <f t="shared" si="0"/>
        <v>37260</v>
      </c>
      <c r="O17">
        <f t="shared" si="1"/>
        <v>15080</v>
      </c>
    </row>
    <row r="18" spans="1:15" ht="28.2" thickBot="1" x14ac:dyDescent="0.3">
      <c r="A18" s="22">
        <v>17</v>
      </c>
      <c r="B18" s="22" t="s">
        <v>2866</v>
      </c>
      <c r="C18" s="22">
        <v>108.94</v>
      </c>
      <c r="D18" s="22">
        <v>118.26</v>
      </c>
      <c r="F18" s="22">
        <v>17</v>
      </c>
      <c r="G18" s="22" t="s">
        <v>2028</v>
      </c>
      <c r="H18" s="22">
        <v>36.49</v>
      </c>
      <c r="I18" s="22">
        <v>13.84</v>
      </c>
      <c r="K18" s="37">
        <v>1000</v>
      </c>
      <c r="L18" s="37">
        <v>1000</v>
      </c>
      <c r="N18">
        <f t="shared" si="0"/>
        <v>36490</v>
      </c>
      <c r="O18">
        <f t="shared" si="1"/>
        <v>13840</v>
      </c>
    </row>
    <row r="19" spans="1:15" ht="28.2" thickBot="1" x14ac:dyDescent="0.3">
      <c r="A19" s="22">
        <v>18</v>
      </c>
      <c r="B19" s="22" t="s">
        <v>3395</v>
      </c>
      <c r="C19" s="22">
        <v>9.0299999999999994</v>
      </c>
      <c r="D19" s="22">
        <v>20.73</v>
      </c>
      <c r="F19" s="22">
        <v>18</v>
      </c>
      <c r="G19" s="22" t="s">
        <v>2915</v>
      </c>
      <c r="H19" s="22">
        <v>67.010000000000005</v>
      </c>
      <c r="I19" s="22">
        <v>63.65</v>
      </c>
      <c r="K19" s="37">
        <v>1000</v>
      </c>
      <c r="L19" s="37">
        <v>1000</v>
      </c>
      <c r="N19">
        <f t="shared" si="0"/>
        <v>67010</v>
      </c>
      <c r="O19">
        <f t="shared" si="1"/>
        <v>63650</v>
      </c>
    </row>
    <row r="20" spans="1:15" ht="42" thickBot="1" x14ac:dyDescent="0.3">
      <c r="A20" s="22">
        <v>19</v>
      </c>
      <c r="B20" s="22" t="s">
        <v>3396</v>
      </c>
      <c r="C20" s="22">
        <v>15.16</v>
      </c>
      <c r="D20" s="22">
        <v>11.76</v>
      </c>
      <c r="F20" s="22">
        <v>19</v>
      </c>
      <c r="G20" s="22" t="s">
        <v>2318</v>
      </c>
      <c r="H20" s="22">
        <v>10.25</v>
      </c>
      <c r="I20" s="22">
        <v>13.95</v>
      </c>
      <c r="K20" s="37">
        <v>1000</v>
      </c>
      <c r="L20" s="37">
        <v>1000</v>
      </c>
      <c r="N20">
        <f t="shared" si="0"/>
        <v>10250</v>
      </c>
      <c r="O20">
        <f t="shared" si="1"/>
        <v>13950</v>
      </c>
    </row>
    <row r="21" spans="1:15" ht="28.2" thickBot="1" x14ac:dyDescent="0.3">
      <c r="A21" s="22">
        <v>20</v>
      </c>
      <c r="B21" s="22" t="s">
        <v>2341</v>
      </c>
      <c r="C21" s="22">
        <v>48.05</v>
      </c>
      <c r="D21" s="22">
        <v>88.15</v>
      </c>
      <c r="F21" s="22">
        <v>20</v>
      </c>
      <c r="G21" s="22" t="s">
        <v>2362</v>
      </c>
      <c r="H21" s="22">
        <v>33.6</v>
      </c>
      <c r="I21" s="22">
        <v>17.77</v>
      </c>
      <c r="K21" s="37">
        <v>1000</v>
      </c>
      <c r="L21" s="37">
        <v>1000</v>
      </c>
      <c r="N21">
        <f t="shared" si="0"/>
        <v>33600</v>
      </c>
      <c r="O21">
        <f t="shared" si="1"/>
        <v>17770</v>
      </c>
    </row>
    <row r="22" spans="1:15" ht="28.2" thickBot="1" x14ac:dyDescent="0.3">
      <c r="A22" s="22">
        <v>21</v>
      </c>
      <c r="B22" s="22" t="s">
        <v>3397</v>
      </c>
      <c r="C22" s="22">
        <v>4.2699999999999996</v>
      </c>
      <c r="D22" s="22">
        <v>14.7</v>
      </c>
      <c r="F22" s="22">
        <v>21</v>
      </c>
      <c r="G22" s="22" t="s">
        <v>2025</v>
      </c>
      <c r="H22" s="22">
        <v>108.94</v>
      </c>
      <c r="I22" s="22">
        <v>118.26</v>
      </c>
      <c r="K22" s="37">
        <v>1000</v>
      </c>
      <c r="L22" s="37">
        <v>1000</v>
      </c>
      <c r="N22">
        <f t="shared" si="0"/>
        <v>108940</v>
      </c>
      <c r="O22">
        <f t="shared" si="1"/>
        <v>118260</v>
      </c>
    </row>
    <row r="23" spans="1:15" ht="28.2" thickBot="1" x14ac:dyDescent="0.3">
      <c r="A23" s="22">
        <v>22</v>
      </c>
      <c r="B23" s="22" t="s">
        <v>3398</v>
      </c>
      <c r="C23" s="22">
        <v>56.09</v>
      </c>
      <c r="D23" s="22">
        <v>61.18</v>
      </c>
      <c r="F23" s="22">
        <v>22</v>
      </c>
      <c r="G23" s="22" t="s">
        <v>3157</v>
      </c>
      <c r="H23" s="22">
        <v>125.98</v>
      </c>
      <c r="I23" s="22">
        <v>185.67</v>
      </c>
      <c r="K23" s="37">
        <v>1000</v>
      </c>
      <c r="L23" s="37">
        <v>1000</v>
      </c>
      <c r="N23">
        <f t="shared" si="0"/>
        <v>125980</v>
      </c>
      <c r="O23">
        <f t="shared" si="1"/>
        <v>185670</v>
      </c>
    </row>
    <row r="24" spans="1:15" ht="42" thickBot="1" x14ac:dyDescent="0.3">
      <c r="A24" s="22">
        <v>23</v>
      </c>
      <c r="B24" s="22" t="s">
        <v>2872</v>
      </c>
      <c r="C24" s="22">
        <v>214.34</v>
      </c>
      <c r="D24" s="22">
        <v>220.06</v>
      </c>
      <c r="F24" s="22">
        <v>23</v>
      </c>
      <c r="G24" s="22" t="s">
        <v>2917</v>
      </c>
      <c r="H24" s="22">
        <v>214.34</v>
      </c>
      <c r="I24" s="22">
        <v>220.06</v>
      </c>
      <c r="K24" s="37">
        <v>1000</v>
      </c>
      <c r="L24" s="37">
        <v>1000</v>
      </c>
      <c r="N24">
        <f t="shared" si="0"/>
        <v>214340</v>
      </c>
      <c r="O24">
        <f t="shared" si="1"/>
        <v>220060</v>
      </c>
    </row>
    <row r="25" spans="1:15" ht="28.2" thickBot="1" x14ac:dyDescent="0.3">
      <c r="A25" s="22">
        <v>24</v>
      </c>
      <c r="B25" s="22" t="s">
        <v>3399</v>
      </c>
      <c r="C25" s="22">
        <v>26.17</v>
      </c>
      <c r="D25" s="22">
        <v>65.709999999999994</v>
      </c>
      <c r="F25" s="22">
        <v>24</v>
      </c>
      <c r="G25" s="22" t="s">
        <v>2918</v>
      </c>
      <c r="H25" s="22" t="s">
        <v>2908</v>
      </c>
      <c r="I25" s="22" t="s">
        <v>2908</v>
      </c>
      <c r="K25" s="37">
        <v>1000</v>
      </c>
      <c r="L25" s="37">
        <v>1000</v>
      </c>
      <c r="N25" t="e">
        <f t="shared" si="0"/>
        <v>#VALUE!</v>
      </c>
      <c r="O25" t="e">
        <f t="shared" si="1"/>
        <v>#VALUE!</v>
      </c>
    </row>
    <row r="26" spans="1:15" ht="28.2" thickBot="1" x14ac:dyDescent="0.3">
      <c r="A26" s="22">
        <v>25</v>
      </c>
      <c r="B26" s="22" t="s">
        <v>2913</v>
      </c>
      <c r="C26" s="22">
        <v>41.33</v>
      </c>
      <c r="D26" s="22">
        <v>27.07</v>
      </c>
      <c r="F26" s="22">
        <v>25</v>
      </c>
      <c r="G26" s="22" t="s">
        <v>3443</v>
      </c>
      <c r="H26" s="22">
        <v>27.86</v>
      </c>
      <c r="I26" s="22">
        <v>12.44</v>
      </c>
      <c r="K26" s="37">
        <v>1000</v>
      </c>
      <c r="L26" s="37">
        <v>1000</v>
      </c>
      <c r="N26">
        <f t="shared" si="0"/>
        <v>27860</v>
      </c>
      <c r="O26">
        <f t="shared" si="1"/>
        <v>12440</v>
      </c>
    </row>
    <row r="27" spans="1:15" ht="28.2" thickBot="1" x14ac:dyDescent="0.3">
      <c r="A27" s="22">
        <v>26</v>
      </c>
      <c r="B27" s="22" t="s">
        <v>3400</v>
      </c>
      <c r="C27" s="22">
        <v>89.69</v>
      </c>
      <c r="D27" s="22">
        <v>81.86</v>
      </c>
      <c r="F27" s="22">
        <v>26</v>
      </c>
      <c r="G27" s="22" t="s">
        <v>2943</v>
      </c>
      <c r="H27" s="22">
        <v>379.35</v>
      </c>
      <c r="I27" s="22">
        <v>439.78</v>
      </c>
      <c r="K27" s="37">
        <v>1000</v>
      </c>
      <c r="L27" s="37">
        <v>1000</v>
      </c>
      <c r="N27">
        <f t="shared" si="0"/>
        <v>379350</v>
      </c>
      <c r="O27">
        <f t="shared" si="1"/>
        <v>439780</v>
      </c>
    </row>
    <row r="28" spans="1:15" ht="14.4" thickBot="1" x14ac:dyDescent="0.3">
      <c r="A28" s="22">
        <v>27</v>
      </c>
      <c r="B28" s="22" t="s">
        <v>2871</v>
      </c>
      <c r="C28" s="22">
        <v>82.26</v>
      </c>
      <c r="D28" s="22">
        <v>76.260000000000005</v>
      </c>
      <c r="F28" s="22">
        <v>27</v>
      </c>
      <c r="G28" s="22" t="s">
        <v>2359</v>
      </c>
      <c r="H28" s="22">
        <v>214.34</v>
      </c>
      <c r="I28" s="22">
        <v>220.06</v>
      </c>
      <c r="K28" s="37">
        <v>1000</v>
      </c>
      <c r="L28" s="37">
        <v>1000</v>
      </c>
      <c r="N28">
        <f t="shared" si="0"/>
        <v>214340</v>
      </c>
      <c r="O28">
        <f t="shared" si="1"/>
        <v>220060</v>
      </c>
    </row>
    <row r="29" spans="1:15" ht="14.4" thickBot="1" x14ac:dyDescent="0.3">
      <c r="A29" s="22">
        <v>28</v>
      </c>
      <c r="B29" s="22" t="s">
        <v>2897</v>
      </c>
      <c r="C29" s="22">
        <v>1141.8699999999999</v>
      </c>
      <c r="D29" s="22">
        <v>881.65</v>
      </c>
      <c r="F29" s="22">
        <v>28</v>
      </c>
      <c r="G29" s="22" t="s">
        <v>2024</v>
      </c>
      <c r="H29" s="22">
        <v>259.2</v>
      </c>
      <c r="I29" s="22">
        <v>277.29000000000002</v>
      </c>
      <c r="K29" s="37">
        <v>1000</v>
      </c>
      <c r="L29" s="37">
        <v>1000</v>
      </c>
      <c r="N29">
        <f t="shared" si="0"/>
        <v>259200</v>
      </c>
      <c r="O29">
        <f t="shared" si="1"/>
        <v>277290</v>
      </c>
    </row>
    <row r="30" spans="1:15" ht="14.4" thickBot="1" x14ac:dyDescent="0.3">
      <c r="A30" s="22">
        <v>29</v>
      </c>
      <c r="B30" s="22" t="s">
        <v>3401</v>
      </c>
      <c r="C30" s="22">
        <v>15.55</v>
      </c>
      <c r="D30" s="22">
        <v>14.73</v>
      </c>
      <c r="F30" s="22">
        <v>29</v>
      </c>
      <c r="G30" s="22" t="s">
        <v>2892</v>
      </c>
      <c r="H30" s="22" t="s">
        <v>2908</v>
      </c>
      <c r="I30" s="22" t="s">
        <v>2908</v>
      </c>
      <c r="K30" s="37">
        <v>1000</v>
      </c>
      <c r="L30" s="37">
        <v>1000</v>
      </c>
      <c r="N30" t="e">
        <f t="shared" si="0"/>
        <v>#VALUE!</v>
      </c>
      <c r="O30" t="e">
        <f t="shared" si="1"/>
        <v>#VALUE!</v>
      </c>
    </row>
    <row r="31" spans="1:15" ht="14.4" thickBot="1" x14ac:dyDescent="0.3">
      <c r="A31" s="22">
        <v>30</v>
      </c>
      <c r="B31" s="22" t="s">
        <v>2930</v>
      </c>
      <c r="C31" s="22">
        <v>38.04</v>
      </c>
      <c r="D31" s="22">
        <v>35.44</v>
      </c>
      <c r="F31" s="22">
        <v>30</v>
      </c>
      <c r="G31" s="22" t="s">
        <v>2021</v>
      </c>
      <c r="H31" s="22" t="s">
        <v>2908</v>
      </c>
      <c r="I31" s="22" t="s">
        <v>2908</v>
      </c>
      <c r="K31" s="37">
        <v>1000</v>
      </c>
      <c r="L31" s="37">
        <v>1000</v>
      </c>
      <c r="N31" t="e">
        <f t="shared" si="0"/>
        <v>#VALUE!</v>
      </c>
      <c r="O31" t="e">
        <f t="shared" si="1"/>
        <v>#VALUE!</v>
      </c>
    </row>
    <row r="32" spans="1:15" ht="28.2" thickBot="1" x14ac:dyDescent="0.3">
      <c r="A32" s="22">
        <v>31</v>
      </c>
      <c r="B32" s="22" t="s">
        <v>2362</v>
      </c>
      <c r="C32" s="22">
        <v>33.6</v>
      </c>
      <c r="D32" s="22">
        <v>17.77</v>
      </c>
      <c r="F32" s="22">
        <v>31</v>
      </c>
      <c r="G32" s="22" t="s">
        <v>2174</v>
      </c>
      <c r="H32" s="22">
        <v>149.82</v>
      </c>
      <c r="I32" s="22">
        <v>154.13</v>
      </c>
      <c r="K32" s="37">
        <v>1000</v>
      </c>
      <c r="L32" s="37">
        <v>1000</v>
      </c>
      <c r="N32">
        <f t="shared" si="0"/>
        <v>149820</v>
      </c>
      <c r="O32">
        <f t="shared" si="1"/>
        <v>154130</v>
      </c>
    </row>
    <row r="33" spans="1:15" ht="28.2" thickBot="1" x14ac:dyDescent="0.3">
      <c r="A33" s="22">
        <v>32</v>
      </c>
      <c r="B33" s="22" t="s">
        <v>3402</v>
      </c>
      <c r="C33" s="22">
        <v>64.8</v>
      </c>
      <c r="D33" s="22">
        <v>18.68</v>
      </c>
      <c r="F33" s="22">
        <v>32</v>
      </c>
      <c r="G33" s="22" t="s">
        <v>2180</v>
      </c>
      <c r="H33" s="22">
        <v>94.14</v>
      </c>
      <c r="I33" s="22">
        <v>122.71</v>
      </c>
      <c r="K33" s="37">
        <v>1000</v>
      </c>
      <c r="L33" s="37">
        <v>1000</v>
      </c>
      <c r="N33">
        <f t="shared" si="0"/>
        <v>94140</v>
      </c>
      <c r="O33">
        <f t="shared" si="1"/>
        <v>122710</v>
      </c>
    </row>
    <row r="34" spans="1:15" ht="28.2" thickBot="1" x14ac:dyDescent="0.3">
      <c r="A34" s="22">
        <v>33</v>
      </c>
      <c r="B34" s="22" t="s">
        <v>3403</v>
      </c>
      <c r="C34" s="22">
        <v>9.33</v>
      </c>
      <c r="D34" s="22">
        <v>18.68</v>
      </c>
      <c r="F34" s="22">
        <v>33</v>
      </c>
      <c r="G34" s="22" t="s">
        <v>2020</v>
      </c>
      <c r="H34" s="22">
        <v>139.71</v>
      </c>
      <c r="I34" s="22">
        <v>157.87</v>
      </c>
      <c r="K34" s="37">
        <v>1000</v>
      </c>
      <c r="L34" s="37">
        <v>1000</v>
      </c>
      <c r="N34">
        <f t="shared" si="0"/>
        <v>139710</v>
      </c>
      <c r="O34">
        <f t="shared" si="1"/>
        <v>157870</v>
      </c>
    </row>
    <row r="35" spans="1:15" ht="28.2" thickBot="1" x14ac:dyDescent="0.3">
      <c r="A35" s="22">
        <v>34</v>
      </c>
      <c r="B35" s="22" t="s">
        <v>3404</v>
      </c>
      <c r="C35" s="22">
        <v>5.98</v>
      </c>
      <c r="D35" s="22">
        <v>9.42</v>
      </c>
      <c r="F35" s="22">
        <v>34</v>
      </c>
      <c r="G35" s="22" t="s">
        <v>3444</v>
      </c>
      <c r="H35" s="22">
        <v>15.55</v>
      </c>
      <c r="I35" s="22">
        <v>14.73</v>
      </c>
      <c r="K35" s="37">
        <v>1000</v>
      </c>
      <c r="L35" s="37">
        <v>1000</v>
      </c>
      <c r="N35">
        <f t="shared" si="0"/>
        <v>15550</v>
      </c>
      <c r="O35">
        <f t="shared" si="1"/>
        <v>14730</v>
      </c>
    </row>
    <row r="36" spans="1:15" ht="28.2" thickBot="1" x14ac:dyDescent="0.3">
      <c r="A36" s="22">
        <v>35</v>
      </c>
      <c r="B36" s="22" t="s">
        <v>3405</v>
      </c>
      <c r="C36" s="22">
        <v>30.19</v>
      </c>
      <c r="D36" s="22">
        <v>43.95</v>
      </c>
      <c r="F36" s="22">
        <v>35</v>
      </c>
      <c r="G36" s="22" t="s">
        <v>2175</v>
      </c>
      <c r="H36" s="22" t="s">
        <v>2908</v>
      </c>
      <c r="I36" s="22" t="s">
        <v>2908</v>
      </c>
      <c r="K36" s="37">
        <v>1000</v>
      </c>
      <c r="L36" s="37">
        <v>1000</v>
      </c>
      <c r="N36" t="e">
        <f t="shared" si="0"/>
        <v>#VALUE!</v>
      </c>
      <c r="O36" t="e">
        <f t="shared" si="1"/>
        <v>#VALUE!</v>
      </c>
    </row>
    <row r="37" spans="1:15" ht="42" thickBot="1" x14ac:dyDescent="0.3">
      <c r="A37" s="22">
        <v>36</v>
      </c>
      <c r="B37" s="22" t="s">
        <v>2187</v>
      </c>
      <c r="C37" s="22">
        <v>31.43</v>
      </c>
      <c r="D37" s="22">
        <v>75.27</v>
      </c>
      <c r="F37" s="22">
        <v>36</v>
      </c>
      <c r="G37" s="22" t="s">
        <v>2919</v>
      </c>
      <c r="H37" s="22" t="s">
        <v>2908</v>
      </c>
      <c r="I37" s="22" t="s">
        <v>2908</v>
      </c>
      <c r="K37" s="37">
        <v>1000</v>
      </c>
      <c r="L37" s="37">
        <v>1000</v>
      </c>
      <c r="N37" t="e">
        <f t="shared" si="0"/>
        <v>#VALUE!</v>
      </c>
      <c r="O37" t="e">
        <f t="shared" si="1"/>
        <v>#VALUE!</v>
      </c>
    </row>
    <row r="38" spans="1:15" ht="14.4" thickBot="1" x14ac:dyDescent="0.3">
      <c r="A38" s="22">
        <v>37</v>
      </c>
      <c r="B38" s="22" t="s">
        <v>2898</v>
      </c>
      <c r="C38" s="22">
        <v>1166.4100000000001</v>
      </c>
      <c r="D38" s="22">
        <v>1217.29</v>
      </c>
      <c r="F38" s="22">
        <v>37</v>
      </c>
      <c r="G38" s="22" t="s">
        <v>2920</v>
      </c>
      <c r="H38" s="22" t="s">
        <v>2908</v>
      </c>
      <c r="I38" s="22" t="s">
        <v>2908</v>
      </c>
      <c r="K38" s="37">
        <v>1000</v>
      </c>
      <c r="L38" s="37">
        <v>1000</v>
      </c>
      <c r="N38" t="e">
        <f t="shared" si="0"/>
        <v>#VALUE!</v>
      </c>
      <c r="O38" t="e">
        <f t="shared" si="1"/>
        <v>#VALUE!</v>
      </c>
    </row>
    <row r="39" spans="1:15" ht="14.4" thickBot="1" x14ac:dyDescent="0.3">
      <c r="A39" s="22">
        <v>38</v>
      </c>
      <c r="B39" s="22" t="s">
        <v>2178</v>
      </c>
      <c r="C39" s="22">
        <v>15.23</v>
      </c>
      <c r="D39" s="22">
        <v>13.87</v>
      </c>
      <c r="F39" s="22">
        <v>38</v>
      </c>
      <c r="G39" s="22" t="s">
        <v>2320</v>
      </c>
      <c r="H39" s="22" t="s">
        <v>2908</v>
      </c>
      <c r="I39" s="22" t="s">
        <v>2908</v>
      </c>
      <c r="K39" s="37">
        <v>1000</v>
      </c>
      <c r="L39" s="37">
        <v>1000</v>
      </c>
      <c r="N39" t="e">
        <f t="shared" si="0"/>
        <v>#VALUE!</v>
      </c>
      <c r="O39" t="e">
        <f t="shared" si="1"/>
        <v>#VALUE!</v>
      </c>
    </row>
    <row r="40" spans="1:15" ht="14.4" thickBot="1" x14ac:dyDescent="0.3">
      <c r="A40" s="22">
        <v>39</v>
      </c>
      <c r="B40" s="22" t="s">
        <v>2875</v>
      </c>
      <c r="C40" s="22">
        <v>35.340000000000003</v>
      </c>
      <c r="D40" s="22">
        <v>43.9</v>
      </c>
      <c r="F40" s="22">
        <v>39</v>
      </c>
      <c r="G40" s="22" t="s">
        <v>2857</v>
      </c>
      <c r="H40" s="22">
        <v>50.64</v>
      </c>
      <c r="I40" s="22">
        <v>45.86</v>
      </c>
      <c r="K40" s="37">
        <v>1000</v>
      </c>
      <c r="L40" s="37">
        <v>1000</v>
      </c>
      <c r="N40">
        <f t="shared" si="0"/>
        <v>50640</v>
      </c>
      <c r="O40">
        <f t="shared" si="1"/>
        <v>45860</v>
      </c>
    </row>
    <row r="41" spans="1:15" ht="42" thickBot="1" x14ac:dyDescent="0.3">
      <c r="A41" s="22">
        <v>40</v>
      </c>
      <c r="B41" s="22" t="s">
        <v>3406</v>
      </c>
      <c r="C41" s="22">
        <v>39.61</v>
      </c>
      <c r="D41" s="22">
        <v>18.71</v>
      </c>
      <c r="F41" s="22">
        <v>40</v>
      </c>
      <c r="G41" s="22" t="s">
        <v>3158</v>
      </c>
      <c r="H41" s="22">
        <v>301.26</v>
      </c>
      <c r="I41" s="22">
        <v>221.23</v>
      </c>
      <c r="K41" s="37">
        <v>1000</v>
      </c>
      <c r="L41" s="37">
        <v>1000</v>
      </c>
      <c r="N41">
        <f t="shared" si="0"/>
        <v>301260</v>
      </c>
      <c r="O41">
        <f t="shared" si="1"/>
        <v>221230</v>
      </c>
    </row>
    <row r="42" spans="1:15" ht="28.2" thickBot="1" x14ac:dyDescent="0.3">
      <c r="A42" s="22">
        <v>41</v>
      </c>
      <c r="B42" s="22" t="s">
        <v>3407</v>
      </c>
      <c r="C42" s="22">
        <v>16.07</v>
      </c>
      <c r="D42" s="22">
        <v>13.81</v>
      </c>
      <c r="F42" s="22">
        <v>41</v>
      </c>
      <c r="G42" s="22" t="s">
        <v>2922</v>
      </c>
      <c r="H42" s="22" t="s">
        <v>2908</v>
      </c>
      <c r="I42" s="22" t="s">
        <v>2908</v>
      </c>
      <c r="K42" s="37">
        <v>1000</v>
      </c>
      <c r="L42" s="37">
        <v>1000</v>
      </c>
      <c r="N42" t="e">
        <f t="shared" si="0"/>
        <v>#VALUE!</v>
      </c>
      <c r="O42" t="e">
        <f t="shared" si="1"/>
        <v>#VALUE!</v>
      </c>
    </row>
    <row r="43" spans="1:15" ht="14.4" thickBot="1" x14ac:dyDescent="0.3">
      <c r="A43" s="22">
        <v>42</v>
      </c>
      <c r="B43" s="22" t="s">
        <v>3408</v>
      </c>
      <c r="C43" s="22">
        <v>29.09</v>
      </c>
      <c r="D43" s="22">
        <v>27.43</v>
      </c>
      <c r="F43" s="22">
        <v>42</v>
      </c>
      <c r="G43" s="22" t="s">
        <v>2341</v>
      </c>
      <c r="H43" s="22">
        <v>48.05</v>
      </c>
      <c r="I43" s="22">
        <v>88.15</v>
      </c>
      <c r="K43" s="37">
        <v>1000</v>
      </c>
      <c r="L43" s="37">
        <v>1000</v>
      </c>
      <c r="N43">
        <f t="shared" si="0"/>
        <v>48050</v>
      </c>
      <c r="O43">
        <f t="shared" si="1"/>
        <v>88150</v>
      </c>
    </row>
    <row r="44" spans="1:15" ht="28.2" thickBot="1" x14ac:dyDescent="0.3">
      <c r="A44" s="22">
        <v>43</v>
      </c>
      <c r="B44" s="22" t="s">
        <v>3409</v>
      </c>
      <c r="C44" s="22">
        <v>24.14</v>
      </c>
      <c r="D44" s="22">
        <v>49.66</v>
      </c>
      <c r="F44" s="22">
        <v>43</v>
      </c>
      <c r="G44" s="22" t="s">
        <v>2161</v>
      </c>
      <c r="H44" s="22" t="s">
        <v>2908</v>
      </c>
      <c r="I44" s="22" t="s">
        <v>2908</v>
      </c>
      <c r="K44" s="37">
        <v>1000</v>
      </c>
      <c r="L44" s="37">
        <v>1000</v>
      </c>
      <c r="N44" t="e">
        <f t="shared" si="0"/>
        <v>#VALUE!</v>
      </c>
      <c r="O44" t="e">
        <f t="shared" si="1"/>
        <v>#VALUE!</v>
      </c>
    </row>
    <row r="45" spans="1:15" ht="42" thickBot="1" x14ac:dyDescent="0.3">
      <c r="A45" s="22">
        <v>44</v>
      </c>
      <c r="B45" s="22" t="s">
        <v>2857</v>
      </c>
      <c r="C45" s="22">
        <v>50.64</v>
      </c>
      <c r="D45" s="22">
        <v>45.86</v>
      </c>
      <c r="F45" s="22">
        <v>44</v>
      </c>
      <c r="G45" s="22" t="s">
        <v>2923</v>
      </c>
      <c r="H45" s="22" t="s">
        <v>2908</v>
      </c>
      <c r="I45" s="22" t="s">
        <v>2908</v>
      </c>
      <c r="K45" s="37">
        <v>1000</v>
      </c>
      <c r="L45" s="37">
        <v>1000</v>
      </c>
      <c r="N45" t="e">
        <f t="shared" si="0"/>
        <v>#VALUE!</v>
      </c>
      <c r="O45" t="e">
        <f t="shared" si="1"/>
        <v>#VALUE!</v>
      </c>
    </row>
    <row r="46" spans="1:15" ht="42" thickBot="1" x14ac:dyDescent="0.3">
      <c r="A46" s="22">
        <v>45</v>
      </c>
      <c r="B46" s="22" t="s">
        <v>3410</v>
      </c>
      <c r="C46" s="22">
        <v>2.84</v>
      </c>
      <c r="D46" s="22">
        <v>1.22</v>
      </c>
      <c r="F46" s="22">
        <v>45</v>
      </c>
      <c r="G46" s="22" t="s">
        <v>2924</v>
      </c>
      <c r="H46" s="22" t="s">
        <v>2908</v>
      </c>
      <c r="I46" s="22" t="s">
        <v>2908</v>
      </c>
      <c r="K46" s="37">
        <v>1000</v>
      </c>
      <c r="L46" s="37">
        <v>1000</v>
      </c>
      <c r="N46" t="e">
        <f t="shared" si="0"/>
        <v>#VALUE!</v>
      </c>
      <c r="O46" t="e">
        <f t="shared" si="1"/>
        <v>#VALUE!</v>
      </c>
    </row>
    <row r="47" spans="1:15" ht="42" thickBot="1" x14ac:dyDescent="0.3">
      <c r="A47" s="22">
        <v>46</v>
      </c>
      <c r="B47" s="22" t="s">
        <v>3411</v>
      </c>
      <c r="C47" s="22">
        <v>9.27</v>
      </c>
      <c r="D47" s="22">
        <v>7.4</v>
      </c>
      <c r="F47" s="22">
        <v>46</v>
      </c>
      <c r="G47" s="22" t="s">
        <v>2925</v>
      </c>
      <c r="H47" s="22" t="s">
        <v>2908</v>
      </c>
      <c r="I47" s="22" t="s">
        <v>2908</v>
      </c>
      <c r="K47" s="37">
        <v>1000</v>
      </c>
      <c r="L47" s="37">
        <v>1000</v>
      </c>
      <c r="N47" t="e">
        <f t="shared" si="0"/>
        <v>#VALUE!</v>
      </c>
      <c r="O47" t="e">
        <f t="shared" si="1"/>
        <v>#VALUE!</v>
      </c>
    </row>
    <row r="48" spans="1:15" ht="28.2" thickBot="1" x14ac:dyDescent="0.3">
      <c r="A48" s="22">
        <v>47</v>
      </c>
      <c r="B48" s="22" t="s">
        <v>2337</v>
      </c>
      <c r="C48" s="22">
        <v>14.18</v>
      </c>
      <c r="D48" s="22">
        <v>9.61</v>
      </c>
      <c r="F48" s="22">
        <v>47</v>
      </c>
      <c r="G48" s="22" t="s">
        <v>3159</v>
      </c>
      <c r="H48" s="22" t="s">
        <v>2908</v>
      </c>
      <c r="I48" s="22" t="s">
        <v>2908</v>
      </c>
      <c r="K48" s="37">
        <v>1000</v>
      </c>
      <c r="L48" s="37">
        <v>1000</v>
      </c>
      <c r="N48" t="e">
        <f t="shared" si="0"/>
        <v>#VALUE!</v>
      </c>
      <c r="O48" t="e">
        <f t="shared" si="1"/>
        <v>#VALUE!</v>
      </c>
    </row>
    <row r="49" spans="1:15" ht="28.2" thickBot="1" x14ac:dyDescent="0.3">
      <c r="A49" s="22">
        <v>48</v>
      </c>
      <c r="B49" s="22" t="s">
        <v>3412</v>
      </c>
      <c r="C49" s="22">
        <v>28.19</v>
      </c>
      <c r="D49" s="22">
        <v>13.09</v>
      </c>
      <c r="F49" s="22">
        <v>48</v>
      </c>
      <c r="G49" s="22" t="s">
        <v>3445</v>
      </c>
      <c r="H49" s="22">
        <v>62.8</v>
      </c>
      <c r="I49" s="22">
        <v>49.4</v>
      </c>
      <c r="K49" s="37">
        <v>1000</v>
      </c>
      <c r="L49" s="37">
        <v>1000</v>
      </c>
      <c r="N49">
        <f t="shared" si="0"/>
        <v>62800</v>
      </c>
      <c r="O49">
        <f t="shared" si="1"/>
        <v>49400</v>
      </c>
    </row>
    <row r="50" spans="1:15" ht="14.4" thickBot="1" x14ac:dyDescent="0.3">
      <c r="A50" s="22">
        <v>49</v>
      </c>
      <c r="B50" s="22" t="s">
        <v>2914</v>
      </c>
      <c r="C50" s="22">
        <v>7.76</v>
      </c>
      <c r="D50" s="22">
        <v>19.399999999999999</v>
      </c>
      <c r="F50" s="22">
        <v>49</v>
      </c>
      <c r="G50" s="22" t="s">
        <v>2927</v>
      </c>
      <c r="H50" s="22">
        <v>107.8</v>
      </c>
      <c r="I50" s="22">
        <v>90.35</v>
      </c>
      <c r="K50" s="37">
        <v>1000</v>
      </c>
      <c r="L50" s="37">
        <v>1000</v>
      </c>
      <c r="N50">
        <f t="shared" si="0"/>
        <v>107800</v>
      </c>
      <c r="O50">
        <f t="shared" si="1"/>
        <v>90350</v>
      </c>
    </row>
    <row r="51" spans="1:15" ht="28.2" thickBot="1" x14ac:dyDescent="0.3">
      <c r="A51" s="22">
        <v>50</v>
      </c>
      <c r="B51" s="22" t="s">
        <v>2857</v>
      </c>
      <c r="C51" s="22">
        <v>299.77</v>
      </c>
      <c r="D51" s="22">
        <v>225.02</v>
      </c>
      <c r="F51" s="22">
        <v>50</v>
      </c>
      <c r="G51" s="22" t="s">
        <v>2164</v>
      </c>
      <c r="H51" s="22">
        <v>193.56</v>
      </c>
      <c r="I51" s="22">
        <v>176.96</v>
      </c>
      <c r="K51" s="37">
        <v>1000</v>
      </c>
      <c r="L51" s="37">
        <v>1000</v>
      </c>
      <c r="N51">
        <f t="shared" si="0"/>
        <v>193560</v>
      </c>
      <c r="O51">
        <f t="shared" si="1"/>
        <v>176960</v>
      </c>
    </row>
    <row r="52" spans="1:15" ht="28.2" thickBot="1" x14ac:dyDescent="0.3">
      <c r="A52" s="22">
        <v>51</v>
      </c>
      <c r="B52" s="22" t="s">
        <v>2023</v>
      </c>
      <c r="C52" s="22">
        <v>218.5</v>
      </c>
      <c r="D52" s="22">
        <v>247.04</v>
      </c>
      <c r="F52" s="22">
        <v>51</v>
      </c>
      <c r="G52" s="22" t="s">
        <v>2170</v>
      </c>
      <c r="H52" s="22">
        <v>177.94</v>
      </c>
      <c r="I52" s="22">
        <v>209.94</v>
      </c>
      <c r="K52" s="37">
        <v>1000</v>
      </c>
      <c r="L52" s="37">
        <v>1000</v>
      </c>
      <c r="N52">
        <f t="shared" si="0"/>
        <v>177940</v>
      </c>
      <c r="O52">
        <f t="shared" si="1"/>
        <v>209940</v>
      </c>
    </row>
    <row r="53" spans="1:15" ht="14.4" thickBot="1" x14ac:dyDescent="0.3">
      <c r="A53" s="22">
        <v>52</v>
      </c>
      <c r="B53" s="22" t="s">
        <v>3413</v>
      </c>
      <c r="C53" s="22">
        <v>16.3</v>
      </c>
      <c r="D53" s="22">
        <v>7.27</v>
      </c>
      <c r="F53" s="22">
        <v>52</v>
      </c>
      <c r="G53" s="22" t="s">
        <v>2172</v>
      </c>
      <c r="H53" s="22" t="s">
        <v>2908</v>
      </c>
      <c r="I53" s="22" t="s">
        <v>2908</v>
      </c>
      <c r="K53" s="37">
        <v>1000</v>
      </c>
      <c r="L53" s="37">
        <v>1000</v>
      </c>
      <c r="N53" t="e">
        <f t="shared" si="0"/>
        <v>#VALUE!</v>
      </c>
      <c r="O53" t="e">
        <f t="shared" si="1"/>
        <v>#VALUE!</v>
      </c>
    </row>
    <row r="54" spans="1:15" ht="42" thickBot="1" x14ac:dyDescent="0.3">
      <c r="A54" s="22">
        <v>53</v>
      </c>
      <c r="B54" s="22" t="s">
        <v>3414</v>
      </c>
      <c r="C54" s="22">
        <v>94.7</v>
      </c>
      <c r="D54" s="22">
        <v>84.92</v>
      </c>
      <c r="F54" s="22">
        <v>53</v>
      </c>
      <c r="G54" s="22" t="s">
        <v>2928</v>
      </c>
      <c r="H54" s="22" t="s">
        <v>2908</v>
      </c>
      <c r="I54" s="22" t="s">
        <v>2908</v>
      </c>
      <c r="K54" s="37">
        <v>1000</v>
      </c>
      <c r="L54" s="37">
        <v>1000</v>
      </c>
      <c r="N54" t="e">
        <f t="shared" si="0"/>
        <v>#VALUE!</v>
      </c>
      <c r="O54" t="e">
        <f t="shared" si="1"/>
        <v>#VALUE!</v>
      </c>
    </row>
    <row r="55" spans="1:15" ht="28.2" thickBot="1" x14ac:dyDescent="0.3">
      <c r="A55" s="22">
        <v>54</v>
      </c>
      <c r="B55" s="22" t="s">
        <v>3215</v>
      </c>
      <c r="C55" s="22">
        <v>56.06</v>
      </c>
      <c r="D55" s="22">
        <v>40.450000000000003</v>
      </c>
      <c r="F55" s="22">
        <v>54</v>
      </c>
      <c r="G55" s="22" t="s">
        <v>2929</v>
      </c>
      <c r="H55" s="22">
        <v>11.16</v>
      </c>
      <c r="I55" s="22">
        <v>5.25</v>
      </c>
      <c r="K55" s="37">
        <v>1000</v>
      </c>
      <c r="L55" s="37">
        <v>1000</v>
      </c>
      <c r="N55">
        <f t="shared" si="0"/>
        <v>11160</v>
      </c>
      <c r="O55">
        <f t="shared" si="1"/>
        <v>5250</v>
      </c>
    </row>
    <row r="56" spans="1:15" ht="28.2" thickBot="1" x14ac:dyDescent="0.3">
      <c r="A56" s="22">
        <v>55</v>
      </c>
      <c r="B56" s="22" t="s">
        <v>3415</v>
      </c>
      <c r="C56" s="22">
        <v>62.8</v>
      </c>
      <c r="D56" s="22">
        <v>49.4</v>
      </c>
      <c r="F56" s="22">
        <v>55</v>
      </c>
      <c r="G56" s="22" t="s">
        <v>2183</v>
      </c>
      <c r="H56" s="22" t="s">
        <v>2908</v>
      </c>
      <c r="I56" s="22" t="s">
        <v>2908</v>
      </c>
      <c r="K56" s="37">
        <v>1000</v>
      </c>
      <c r="L56" s="37">
        <v>1000</v>
      </c>
      <c r="N56" t="e">
        <f t="shared" si="0"/>
        <v>#VALUE!</v>
      </c>
      <c r="O56" t="e">
        <f t="shared" si="1"/>
        <v>#VALUE!</v>
      </c>
    </row>
    <row r="57" spans="1:15" ht="28.2" thickBot="1" x14ac:dyDescent="0.3">
      <c r="A57" s="22">
        <v>56</v>
      </c>
      <c r="B57" s="22" t="s">
        <v>2957</v>
      </c>
      <c r="C57" s="22">
        <v>31.95</v>
      </c>
      <c r="D57" s="22">
        <v>57.28</v>
      </c>
      <c r="F57" s="22">
        <v>56</v>
      </c>
      <c r="G57" s="22" t="s">
        <v>3446</v>
      </c>
      <c r="H57" s="22">
        <v>24.07</v>
      </c>
      <c r="I57" s="22">
        <v>19.559999999999999</v>
      </c>
      <c r="K57" s="37">
        <v>1000</v>
      </c>
      <c r="L57" s="37">
        <v>1000</v>
      </c>
      <c r="N57">
        <f t="shared" si="0"/>
        <v>24070</v>
      </c>
      <c r="O57">
        <f t="shared" si="1"/>
        <v>19560</v>
      </c>
    </row>
    <row r="58" spans="1:15" ht="28.2" thickBot="1" x14ac:dyDescent="0.3">
      <c r="A58" s="22">
        <v>57</v>
      </c>
      <c r="B58" s="22" t="s">
        <v>2966</v>
      </c>
      <c r="C58" s="22">
        <v>10.83</v>
      </c>
      <c r="D58" s="22">
        <v>3.18</v>
      </c>
      <c r="F58" s="22">
        <v>57</v>
      </c>
      <c r="G58" s="22" t="s">
        <v>2930</v>
      </c>
      <c r="H58" s="22">
        <v>38.04</v>
      </c>
      <c r="I58" s="22">
        <v>35.44</v>
      </c>
      <c r="K58" s="37">
        <v>1000</v>
      </c>
      <c r="L58" s="37">
        <v>1000</v>
      </c>
      <c r="N58">
        <f t="shared" si="0"/>
        <v>38040</v>
      </c>
      <c r="O58">
        <f t="shared" si="1"/>
        <v>35440</v>
      </c>
    </row>
    <row r="59" spans="1:15" ht="14.4" thickBot="1" x14ac:dyDescent="0.3">
      <c r="A59" s="22">
        <v>58</v>
      </c>
      <c r="B59" s="22" t="s">
        <v>3416</v>
      </c>
      <c r="C59" s="22">
        <v>5.43</v>
      </c>
      <c r="D59" s="22">
        <v>3.23</v>
      </c>
      <c r="F59" s="22">
        <v>58</v>
      </c>
      <c r="G59" s="22" t="s">
        <v>2331</v>
      </c>
      <c r="H59" s="22" t="s">
        <v>2908</v>
      </c>
      <c r="I59" s="22" t="s">
        <v>2908</v>
      </c>
      <c r="K59" s="37">
        <v>1000</v>
      </c>
      <c r="L59" s="37">
        <v>1000</v>
      </c>
      <c r="N59" t="e">
        <f t="shared" si="0"/>
        <v>#VALUE!</v>
      </c>
      <c r="O59" t="e">
        <f t="shared" si="1"/>
        <v>#VALUE!</v>
      </c>
    </row>
    <row r="60" spans="1:15" ht="28.2" thickBot="1" x14ac:dyDescent="0.3">
      <c r="A60" s="22">
        <v>59</v>
      </c>
      <c r="B60" s="22" t="s">
        <v>3417</v>
      </c>
      <c r="C60" s="22">
        <v>47.63</v>
      </c>
      <c r="D60" s="22">
        <v>42.2</v>
      </c>
      <c r="F60" s="22">
        <v>59</v>
      </c>
      <c r="G60" s="22" t="s">
        <v>2337</v>
      </c>
      <c r="H60" s="22">
        <v>14.18</v>
      </c>
      <c r="I60" s="22">
        <v>9.61</v>
      </c>
      <c r="K60" s="37">
        <v>1000</v>
      </c>
      <c r="L60" s="37">
        <v>1000</v>
      </c>
      <c r="N60">
        <f t="shared" si="0"/>
        <v>14180</v>
      </c>
      <c r="O60">
        <f t="shared" si="1"/>
        <v>9610</v>
      </c>
    </row>
    <row r="61" spans="1:15" ht="14.4" thickBot="1" x14ac:dyDescent="0.3">
      <c r="A61" s="22">
        <v>60</v>
      </c>
      <c r="B61" s="22" t="s">
        <v>2948</v>
      </c>
      <c r="C61" s="22">
        <v>31.96</v>
      </c>
      <c r="D61" s="22">
        <v>15.6</v>
      </c>
      <c r="F61" s="22">
        <v>60</v>
      </c>
      <c r="G61" s="22" t="s">
        <v>2365</v>
      </c>
      <c r="H61" s="22" t="s">
        <v>2908</v>
      </c>
      <c r="I61" s="22" t="s">
        <v>2908</v>
      </c>
      <c r="K61" s="37">
        <v>1000</v>
      </c>
      <c r="L61" s="37">
        <v>1000</v>
      </c>
      <c r="N61" t="e">
        <f t="shared" si="0"/>
        <v>#VALUE!</v>
      </c>
      <c r="O61" t="e">
        <f t="shared" si="1"/>
        <v>#VALUE!</v>
      </c>
    </row>
    <row r="62" spans="1:15" ht="14.4" thickBot="1" x14ac:dyDescent="0.3">
      <c r="A62" s="22">
        <v>61</v>
      </c>
      <c r="B62" s="22" t="s">
        <v>3418</v>
      </c>
      <c r="C62" s="22">
        <v>6.61</v>
      </c>
      <c r="D62" s="22">
        <v>17.05</v>
      </c>
      <c r="F62" s="22">
        <v>61</v>
      </c>
      <c r="G62" s="22" t="s">
        <v>2186</v>
      </c>
      <c r="H62" s="22">
        <v>4.38</v>
      </c>
      <c r="I62" s="22">
        <v>5.4</v>
      </c>
      <c r="K62" s="37">
        <v>1000</v>
      </c>
      <c r="L62" s="37">
        <v>1000</v>
      </c>
      <c r="N62">
        <f t="shared" si="0"/>
        <v>4380</v>
      </c>
      <c r="O62">
        <f t="shared" si="1"/>
        <v>5400</v>
      </c>
    </row>
    <row r="63" spans="1:15" ht="14.4" thickBot="1" x14ac:dyDescent="0.3">
      <c r="A63" s="22">
        <v>62</v>
      </c>
      <c r="B63" s="22" t="s">
        <v>3419</v>
      </c>
      <c r="C63" s="22">
        <v>16.09</v>
      </c>
      <c r="D63" s="22">
        <v>17.59</v>
      </c>
      <c r="F63" s="22">
        <v>62</v>
      </c>
      <c r="G63" s="22" t="s">
        <v>2382</v>
      </c>
      <c r="H63" s="22">
        <v>112.63</v>
      </c>
      <c r="I63" s="22">
        <v>118.7</v>
      </c>
      <c r="K63" s="37">
        <v>1000</v>
      </c>
      <c r="L63" s="37">
        <v>1000</v>
      </c>
      <c r="N63">
        <f t="shared" si="0"/>
        <v>112630</v>
      </c>
      <c r="O63">
        <f t="shared" si="1"/>
        <v>118700</v>
      </c>
    </row>
    <row r="64" spans="1:15" ht="28.2" thickBot="1" x14ac:dyDescent="0.3">
      <c r="A64" s="22">
        <v>63</v>
      </c>
      <c r="B64" s="22" t="s">
        <v>3420</v>
      </c>
      <c r="C64" s="22">
        <v>28.5</v>
      </c>
      <c r="D64" s="22">
        <v>20.69</v>
      </c>
      <c r="F64" s="22">
        <v>63</v>
      </c>
      <c r="G64" s="22" t="s">
        <v>3447</v>
      </c>
      <c r="H64" s="22">
        <v>26.17</v>
      </c>
      <c r="I64" s="22">
        <v>65.709999999999994</v>
      </c>
      <c r="K64" s="37">
        <v>1000</v>
      </c>
      <c r="L64" s="37">
        <v>1000</v>
      </c>
      <c r="N64">
        <f t="shared" si="0"/>
        <v>26170</v>
      </c>
      <c r="O64">
        <f t="shared" si="1"/>
        <v>65710</v>
      </c>
    </row>
    <row r="65" spans="1:4" ht="28.2" thickBot="1" x14ac:dyDescent="0.3">
      <c r="A65" s="22">
        <v>64</v>
      </c>
      <c r="B65" s="22" t="s">
        <v>3421</v>
      </c>
      <c r="C65" s="22">
        <v>8.58</v>
      </c>
      <c r="D65" s="22">
        <v>4.24</v>
      </c>
    </row>
    <row r="66" spans="1:4" ht="14.4" thickBot="1" x14ac:dyDescent="0.3">
      <c r="A66" s="22">
        <v>65</v>
      </c>
      <c r="B66" s="22" t="s">
        <v>2382</v>
      </c>
      <c r="C66" s="22">
        <v>112.63</v>
      </c>
      <c r="D66" s="22">
        <v>118.7</v>
      </c>
    </row>
    <row r="67" spans="1:4" ht="55.8" thickBot="1" x14ac:dyDescent="0.3">
      <c r="A67" s="22">
        <v>66</v>
      </c>
      <c r="B67" s="22" t="s">
        <v>3422</v>
      </c>
      <c r="C67" s="22">
        <v>31.51</v>
      </c>
      <c r="D67" s="22">
        <v>14.72</v>
      </c>
    </row>
    <row r="68" spans="1:4" ht="14.4" thickBot="1" x14ac:dyDescent="0.3">
      <c r="A68" s="22">
        <v>67</v>
      </c>
      <c r="B68" s="22" t="s">
        <v>2179</v>
      </c>
      <c r="C68" s="22">
        <v>27.86</v>
      </c>
      <c r="D68" s="22">
        <v>12.44</v>
      </c>
    </row>
    <row r="69" spans="1:4" ht="28.2" thickBot="1" x14ac:dyDescent="0.3">
      <c r="A69" s="22">
        <v>68</v>
      </c>
      <c r="B69" s="22" t="s">
        <v>3423</v>
      </c>
      <c r="C69" s="22">
        <v>16.46</v>
      </c>
      <c r="D69" s="22">
        <v>12.34</v>
      </c>
    </row>
    <row r="70" spans="1:4" ht="28.2" thickBot="1" x14ac:dyDescent="0.3">
      <c r="A70" s="22">
        <v>69</v>
      </c>
      <c r="B70" s="22" t="s">
        <v>3424</v>
      </c>
      <c r="C70" s="22">
        <v>81.77</v>
      </c>
      <c r="D70" s="22">
        <v>50.49</v>
      </c>
    </row>
    <row r="71" spans="1:4" ht="28.2" thickBot="1" x14ac:dyDescent="0.3">
      <c r="A71" s="22">
        <v>70</v>
      </c>
      <c r="B71" s="22" t="s">
        <v>3425</v>
      </c>
      <c r="C71" s="22">
        <v>5.82</v>
      </c>
      <c r="D71" s="22">
        <v>3.35</v>
      </c>
    </row>
    <row r="72" spans="1:4" ht="28.2" thickBot="1" x14ac:dyDescent="0.3">
      <c r="A72" s="22">
        <v>71</v>
      </c>
      <c r="B72" s="22" t="s">
        <v>2963</v>
      </c>
      <c r="C72" s="22">
        <v>2.63</v>
      </c>
      <c r="D72" s="22">
        <v>1.73</v>
      </c>
    </row>
    <row r="73" spans="1:4" ht="14.4" thickBot="1" x14ac:dyDescent="0.3">
      <c r="A73" s="22">
        <v>72</v>
      </c>
      <c r="B73" s="22" t="s">
        <v>3426</v>
      </c>
      <c r="C73" s="22">
        <v>22</v>
      </c>
      <c r="D73" s="22">
        <v>12.03</v>
      </c>
    </row>
    <row r="74" spans="1:4" ht="28.2" thickBot="1" x14ac:dyDescent="0.3">
      <c r="A74" s="22">
        <v>73</v>
      </c>
      <c r="B74" s="22" t="s">
        <v>3427</v>
      </c>
      <c r="C74" s="22">
        <v>14.87</v>
      </c>
      <c r="D74" s="22">
        <v>6.59</v>
      </c>
    </row>
    <row r="75" spans="1:4" ht="14.4" thickBot="1" x14ac:dyDescent="0.3">
      <c r="A75" s="22">
        <v>74</v>
      </c>
      <c r="B75" s="22" t="s">
        <v>2020</v>
      </c>
      <c r="C75" s="22">
        <v>139.71</v>
      </c>
      <c r="D75" s="22">
        <v>157.87</v>
      </c>
    </row>
    <row r="76" spans="1:4" ht="14.4" thickBot="1" x14ac:dyDescent="0.3">
      <c r="A76" s="22">
        <v>75</v>
      </c>
      <c r="B76" s="22" t="s">
        <v>2173</v>
      </c>
      <c r="C76" s="22">
        <v>195.03</v>
      </c>
      <c r="D76" s="22">
        <v>178.9</v>
      </c>
    </row>
    <row r="77" spans="1:4" ht="14.4" thickBot="1" x14ac:dyDescent="0.3">
      <c r="A77" s="22">
        <v>76</v>
      </c>
      <c r="B77" s="22" t="s">
        <v>3428</v>
      </c>
      <c r="C77" s="22">
        <v>13.68</v>
      </c>
      <c r="D77" s="22">
        <v>34.86</v>
      </c>
    </row>
    <row r="78" spans="1:4" ht="14.4" thickBot="1" x14ac:dyDescent="0.3">
      <c r="A78" s="22">
        <v>77</v>
      </c>
      <c r="B78" s="22" t="s">
        <v>2186</v>
      </c>
      <c r="C78" s="22">
        <v>4.38</v>
      </c>
      <c r="D78" s="22">
        <v>5.4</v>
      </c>
    </row>
    <row r="79" spans="1:4" ht="14.4" thickBot="1" x14ac:dyDescent="0.3">
      <c r="A79" s="22">
        <v>78</v>
      </c>
      <c r="B79" s="22" t="s">
        <v>3429</v>
      </c>
      <c r="C79" s="22">
        <v>34.94</v>
      </c>
      <c r="D79" s="22">
        <v>50</v>
      </c>
    </row>
    <row r="80" spans="1:4" ht="28.2" thickBot="1" x14ac:dyDescent="0.3">
      <c r="A80" s="22">
        <v>79</v>
      </c>
      <c r="B80" s="22" t="s">
        <v>3430</v>
      </c>
      <c r="C80" s="22">
        <v>30.73</v>
      </c>
      <c r="D80" s="22">
        <v>26.45</v>
      </c>
    </row>
    <row r="81" spans="1:4" ht="28.2" thickBot="1" x14ac:dyDescent="0.3">
      <c r="A81" s="22">
        <v>80</v>
      </c>
      <c r="B81" s="22" t="s">
        <v>3276</v>
      </c>
      <c r="C81" s="22">
        <v>28.01</v>
      </c>
      <c r="D81" s="22">
        <v>10.82</v>
      </c>
    </row>
    <row r="82" spans="1:4" ht="14.4" thickBot="1" x14ac:dyDescent="0.3">
      <c r="A82" s="22">
        <v>81</v>
      </c>
      <c r="B82" s="22" t="s">
        <v>3431</v>
      </c>
      <c r="C82" s="22">
        <v>3.87</v>
      </c>
      <c r="D82" s="22">
        <v>3.51</v>
      </c>
    </row>
    <row r="83" spans="1:4" ht="28.2" thickBot="1" x14ac:dyDescent="0.3">
      <c r="A83" s="22">
        <v>82</v>
      </c>
      <c r="B83" s="22" t="s">
        <v>2958</v>
      </c>
      <c r="C83" s="22">
        <v>21.99</v>
      </c>
      <c r="D83" s="22">
        <v>15.81</v>
      </c>
    </row>
    <row r="84" spans="1:4" ht="14.4" thickBot="1" x14ac:dyDescent="0.3">
      <c r="A84" s="22">
        <v>83</v>
      </c>
      <c r="B84" s="22" t="s">
        <v>3432</v>
      </c>
      <c r="C84" s="22">
        <v>98.73</v>
      </c>
      <c r="D84" s="22">
        <v>101.17</v>
      </c>
    </row>
    <row r="85" spans="1:4" ht="14.4" thickBot="1" x14ac:dyDescent="0.3">
      <c r="A85" s="22">
        <v>84</v>
      </c>
      <c r="B85" s="22" t="s">
        <v>3433</v>
      </c>
      <c r="C85" s="22">
        <v>4.03</v>
      </c>
      <c r="D85" s="22">
        <v>3.28</v>
      </c>
    </row>
    <row r="86" spans="1:4" ht="28.2" thickBot="1" x14ac:dyDescent="0.3">
      <c r="A86" s="22">
        <v>85</v>
      </c>
      <c r="B86" s="22" t="s">
        <v>3434</v>
      </c>
      <c r="C86" s="22">
        <v>5.94</v>
      </c>
      <c r="D86" s="22">
        <v>10.7</v>
      </c>
    </row>
    <row r="87" spans="1:4" ht="28.2" thickBot="1" x14ac:dyDescent="0.3">
      <c r="A87" s="22">
        <v>86</v>
      </c>
      <c r="B87" s="22" t="s">
        <v>2028</v>
      </c>
      <c r="C87" s="22">
        <v>36.49</v>
      </c>
      <c r="D87" s="22">
        <v>13.84</v>
      </c>
    </row>
    <row r="88" spans="1:4" ht="28.2" thickBot="1" x14ac:dyDescent="0.3">
      <c r="A88" s="22">
        <v>87</v>
      </c>
      <c r="B88" s="22" t="s">
        <v>2929</v>
      </c>
      <c r="C88" s="22">
        <v>11.16</v>
      </c>
      <c r="D88" s="22">
        <v>5.25</v>
      </c>
    </row>
    <row r="89" spans="1:4" ht="14.4" thickBot="1" x14ac:dyDescent="0.3">
      <c r="A89" s="22">
        <v>88</v>
      </c>
      <c r="B89" s="22" t="s">
        <v>3435</v>
      </c>
      <c r="C89" s="22">
        <v>92.84</v>
      </c>
      <c r="D89" s="22">
        <v>9.33</v>
      </c>
    </row>
    <row r="90" spans="1:4" ht="14.4" thickBot="1" x14ac:dyDescent="0.3">
      <c r="A90" s="22">
        <v>89</v>
      </c>
      <c r="B90" s="22" t="s">
        <v>2024</v>
      </c>
      <c r="C90" s="22">
        <v>259.2</v>
      </c>
      <c r="D90" s="22">
        <v>277.29000000000002</v>
      </c>
    </row>
    <row r="91" spans="1:4" ht="28.2" thickBot="1" x14ac:dyDescent="0.3">
      <c r="A91" s="22">
        <v>90</v>
      </c>
      <c r="B91" s="22" t="s">
        <v>2959</v>
      </c>
      <c r="C91" s="22">
        <v>102.25</v>
      </c>
      <c r="D91" s="22">
        <v>94.05</v>
      </c>
    </row>
    <row r="92" spans="1:4" ht="14.4" thickBot="1" x14ac:dyDescent="0.3">
      <c r="A92" s="22">
        <v>91</v>
      </c>
      <c r="B92" s="22" t="s">
        <v>3436</v>
      </c>
      <c r="C92" s="22">
        <v>2.87</v>
      </c>
      <c r="D92" s="22">
        <v>2.5</v>
      </c>
    </row>
    <row r="93" spans="1:4" ht="28.2" thickBot="1" x14ac:dyDescent="0.3">
      <c r="A93" s="22">
        <v>92</v>
      </c>
      <c r="B93" s="22" t="s">
        <v>3437</v>
      </c>
      <c r="C93" s="22">
        <v>8.39</v>
      </c>
      <c r="D93" s="22">
        <v>17.27</v>
      </c>
    </row>
    <row r="94" spans="1:4" ht="28.2" thickBot="1" x14ac:dyDescent="0.3">
      <c r="A94" s="22">
        <v>93</v>
      </c>
      <c r="B94" s="22" t="s">
        <v>3291</v>
      </c>
      <c r="C94" s="22">
        <v>37.26</v>
      </c>
      <c r="D94" s="22">
        <v>15.08</v>
      </c>
    </row>
    <row r="95" spans="1:4" ht="14.4" thickBot="1" x14ac:dyDescent="0.3">
      <c r="A95" s="22">
        <v>94</v>
      </c>
      <c r="B95" s="22" t="s">
        <v>3438</v>
      </c>
      <c r="C95" s="22">
        <v>82.73</v>
      </c>
      <c r="D95" s="22">
        <v>29.01</v>
      </c>
    </row>
    <row r="96" spans="1:4" ht="14.4" thickBot="1" x14ac:dyDescent="0.3">
      <c r="A96" s="22">
        <v>95</v>
      </c>
      <c r="B96" s="22" t="s">
        <v>2180</v>
      </c>
      <c r="C96" s="22">
        <v>94.14</v>
      </c>
      <c r="D96" s="22">
        <v>122.71</v>
      </c>
    </row>
    <row r="97" spans="1:4" ht="14.4" thickBot="1" x14ac:dyDescent="0.3">
      <c r="A97" s="22">
        <v>96</v>
      </c>
      <c r="B97" s="22" t="s">
        <v>2174</v>
      </c>
      <c r="C97" s="22">
        <v>149.82</v>
      </c>
      <c r="D97" s="22">
        <v>154.13</v>
      </c>
    </row>
    <row r="98" spans="1:4" ht="28.2" thickBot="1" x14ac:dyDescent="0.3">
      <c r="A98" s="22">
        <v>97</v>
      </c>
      <c r="B98" s="22" t="s">
        <v>2901</v>
      </c>
      <c r="C98" s="22">
        <v>35.74</v>
      </c>
      <c r="D98" s="22">
        <v>22.83</v>
      </c>
    </row>
    <row r="99" spans="1:4" ht="28.2" thickBot="1" x14ac:dyDescent="0.3">
      <c r="A99" s="22">
        <v>98</v>
      </c>
      <c r="B99" s="22" t="s">
        <v>3439</v>
      </c>
      <c r="C99" s="22">
        <v>23.38</v>
      </c>
      <c r="D99" s="22">
        <v>8.58</v>
      </c>
    </row>
    <row r="100" spans="1:4" ht="28.2" thickBot="1" x14ac:dyDescent="0.3">
      <c r="A100" s="22">
        <v>99</v>
      </c>
      <c r="B100" s="22" t="s">
        <v>2318</v>
      </c>
      <c r="C100" s="22">
        <v>10.25</v>
      </c>
      <c r="D100" s="22">
        <v>13.95</v>
      </c>
    </row>
    <row r="101" spans="1:4" ht="14.4" thickBot="1" x14ac:dyDescent="0.3">
      <c r="A101" s="22">
        <v>100</v>
      </c>
      <c r="B101" s="22" t="s">
        <v>3440</v>
      </c>
      <c r="C101" s="22">
        <v>18.18</v>
      </c>
      <c r="D101" s="22">
        <v>12.77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DD2E-CD63-4846-8588-69A5320C353C}">
  <dimension ref="A1:AG64"/>
  <sheetViews>
    <sheetView workbookViewId="0">
      <selection activeCell="P11" sqref="P11"/>
    </sheetView>
  </sheetViews>
  <sheetFormatPr defaultRowHeight="13.8" x14ac:dyDescent="0.25"/>
  <sheetData>
    <row r="1" spans="1:33" ht="42" thickBot="1" x14ac:dyDescent="0.3">
      <c r="A1" s="21" t="s">
        <v>2845</v>
      </c>
      <c r="B1" s="21" t="s">
        <v>3449</v>
      </c>
      <c r="C1" s="25" t="s">
        <v>3622</v>
      </c>
      <c r="D1" s="25" t="s">
        <v>3623</v>
      </c>
      <c r="E1" s="25" t="s">
        <v>3624</v>
      </c>
      <c r="F1" s="25" t="s">
        <v>3625</v>
      </c>
      <c r="G1" s="25" t="s">
        <v>3626</v>
      </c>
      <c r="I1" s="21" t="s">
        <v>2845</v>
      </c>
      <c r="J1" s="21" t="s">
        <v>2906</v>
      </c>
      <c r="K1" s="25" t="s">
        <v>3622</v>
      </c>
      <c r="L1" s="25" t="s">
        <v>3623</v>
      </c>
      <c r="M1" s="25" t="s">
        <v>3624</v>
      </c>
      <c r="N1" s="25" t="s">
        <v>3625</v>
      </c>
      <c r="O1" s="25" t="s">
        <v>3626</v>
      </c>
    </row>
    <row r="2" spans="1:33" ht="28.2" thickBot="1" x14ac:dyDescent="0.3">
      <c r="A2" s="22">
        <v>1</v>
      </c>
      <c r="B2" s="22" t="s">
        <v>2022</v>
      </c>
      <c r="C2" s="22" t="s">
        <v>3450</v>
      </c>
      <c r="D2" s="22" t="s">
        <v>3451</v>
      </c>
      <c r="E2" s="22" t="s">
        <v>3452</v>
      </c>
      <c r="F2" s="22" t="s">
        <v>3453</v>
      </c>
      <c r="G2" s="22" t="s">
        <v>3454</v>
      </c>
      <c r="I2" s="22">
        <v>1</v>
      </c>
      <c r="J2" s="22" t="s">
        <v>2017</v>
      </c>
      <c r="K2" s="22" t="s">
        <v>7787</v>
      </c>
      <c r="L2" s="22" t="s">
        <v>3468</v>
      </c>
      <c r="M2" s="22" t="s">
        <v>3469</v>
      </c>
      <c r="N2" s="22" t="s">
        <v>3470</v>
      </c>
      <c r="O2" s="22" t="s">
        <v>3471</v>
      </c>
      <c r="Q2" t="str">
        <f>_xlfn.TEXTBEFORE(K2,"±")</f>
        <v xml:space="preserve">210 </v>
      </c>
      <c r="R2" t="str">
        <f t="shared" ref="R2:U2" si="0">_xlfn.TEXTBEFORE(L2,"±")</f>
        <v xml:space="preserve">217.81 </v>
      </c>
      <c r="S2" t="str">
        <f t="shared" si="0"/>
        <v xml:space="preserve">248.87 </v>
      </c>
      <c r="T2" t="str">
        <f t="shared" si="0"/>
        <v xml:space="preserve">215.34 </v>
      </c>
      <c r="U2" t="str">
        <f t="shared" si="0"/>
        <v xml:space="preserve">237.41 </v>
      </c>
      <c r="W2">
        <v>1000</v>
      </c>
      <c r="X2">
        <v>1000</v>
      </c>
      <c r="Y2">
        <v>1000</v>
      </c>
      <c r="Z2">
        <v>1000</v>
      </c>
      <c r="AA2">
        <v>1000</v>
      </c>
      <c r="AC2">
        <f>Q2*W2</f>
        <v>210000</v>
      </c>
      <c r="AD2">
        <f t="shared" ref="AD2:AG2" si="1">R2*X2</f>
        <v>217810</v>
      </c>
      <c r="AE2">
        <f t="shared" si="1"/>
        <v>248870</v>
      </c>
      <c r="AF2">
        <f t="shared" si="1"/>
        <v>215340</v>
      </c>
      <c r="AG2">
        <f t="shared" si="1"/>
        <v>237410</v>
      </c>
    </row>
    <row r="3" spans="1:33" ht="28.2" thickBot="1" x14ac:dyDescent="0.3">
      <c r="A3" s="22">
        <v>2</v>
      </c>
      <c r="B3" s="22" t="s">
        <v>2018</v>
      </c>
      <c r="C3" s="22" t="s">
        <v>3455</v>
      </c>
      <c r="D3" s="22" t="s">
        <v>3456</v>
      </c>
      <c r="E3" s="22" t="s">
        <v>3457</v>
      </c>
      <c r="F3" s="22" t="s">
        <v>3458</v>
      </c>
      <c r="G3" s="22" t="s">
        <v>3459</v>
      </c>
      <c r="I3" s="22">
        <v>2</v>
      </c>
      <c r="J3" s="22" t="s">
        <v>2162</v>
      </c>
      <c r="K3" s="22" t="s">
        <v>2908</v>
      </c>
      <c r="L3" s="22" t="s">
        <v>2908</v>
      </c>
      <c r="M3" s="22" t="s">
        <v>2908</v>
      </c>
      <c r="N3" s="22" t="s">
        <v>2908</v>
      </c>
      <c r="O3" s="22" t="s">
        <v>2908</v>
      </c>
      <c r="Q3" t="e">
        <f t="shared" ref="Q3:Q64" si="2">_xlfn.TEXTBEFORE(K3,"±")</f>
        <v>#N/A</v>
      </c>
      <c r="R3" t="e">
        <f t="shared" ref="R3:R64" si="3">_xlfn.TEXTBEFORE(L3,"±")</f>
        <v>#N/A</v>
      </c>
      <c r="S3" t="e">
        <f t="shared" ref="S3:S64" si="4">_xlfn.TEXTBEFORE(M3,"±")</f>
        <v>#N/A</v>
      </c>
      <c r="T3" t="e">
        <f t="shared" ref="T3:T64" si="5">_xlfn.TEXTBEFORE(N3,"±")</f>
        <v>#N/A</v>
      </c>
      <c r="U3" t="e">
        <f t="shared" ref="U3:U64" si="6">_xlfn.TEXTBEFORE(O3,"±")</f>
        <v>#N/A</v>
      </c>
      <c r="W3">
        <v>1000</v>
      </c>
      <c r="X3">
        <v>1000</v>
      </c>
      <c r="Y3">
        <v>1000</v>
      </c>
      <c r="Z3">
        <v>1000</v>
      </c>
      <c r="AA3">
        <v>1000</v>
      </c>
      <c r="AC3" t="e">
        <f t="shared" ref="AC3:AC64" si="7">Q3*W3</f>
        <v>#N/A</v>
      </c>
      <c r="AD3" t="e">
        <f t="shared" ref="AD3:AD64" si="8">R3*X3</f>
        <v>#N/A</v>
      </c>
      <c r="AE3" t="e">
        <f t="shared" ref="AE3:AE64" si="9">S3*Y3</f>
        <v>#N/A</v>
      </c>
      <c r="AF3" t="e">
        <f t="shared" ref="AF3:AF64" si="10">T3*Z3</f>
        <v>#N/A</v>
      </c>
      <c r="AG3" t="e">
        <f t="shared" ref="AG3:AG64" si="11">U3*AA3</f>
        <v>#N/A</v>
      </c>
    </row>
    <row r="4" spans="1:33" ht="28.2" thickBot="1" x14ac:dyDescent="0.3">
      <c r="A4" s="22">
        <v>3</v>
      </c>
      <c r="B4" s="22" t="s">
        <v>2019</v>
      </c>
      <c r="C4" s="22" t="s">
        <v>3460</v>
      </c>
      <c r="D4" s="22" t="s">
        <v>3461</v>
      </c>
      <c r="E4" s="22" t="s">
        <v>3462</v>
      </c>
      <c r="F4" s="22" t="s">
        <v>3463</v>
      </c>
      <c r="G4" s="22" t="s">
        <v>3464</v>
      </c>
      <c r="I4" s="22">
        <v>3</v>
      </c>
      <c r="J4" s="22" t="s">
        <v>2018</v>
      </c>
      <c r="K4" s="22" t="s">
        <v>3455</v>
      </c>
      <c r="L4" s="22" t="s">
        <v>3456</v>
      </c>
      <c r="M4" s="22" t="s">
        <v>3457</v>
      </c>
      <c r="N4" s="22" t="s">
        <v>3458</v>
      </c>
      <c r="O4" s="22" t="s">
        <v>3459</v>
      </c>
      <c r="Q4" t="str">
        <f t="shared" si="2"/>
        <v xml:space="preserve">6.38 </v>
      </c>
      <c r="R4" t="str">
        <f t="shared" si="3"/>
        <v xml:space="preserve">8.05 </v>
      </c>
      <c r="S4" t="str">
        <f t="shared" si="4"/>
        <v xml:space="preserve">2.02 </v>
      </c>
      <c r="T4" t="str">
        <f t="shared" si="5"/>
        <v xml:space="preserve">6.14 </v>
      </c>
      <c r="U4" t="str">
        <f t="shared" si="6"/>
        <v xml:space="preserve">10.27 </v>
      </c>
      <c r="W4">
        <v>1000</v>
      </c>
      <c r="X4">
        <v>1000</v>
      </c>
      <c r="Y4">
        <v>1000</v>
      </c>
      <c r="Z4">
        <v>1000</v>
      </c>
      <c r="AA4">
        <v>1000</v>
      </c>
      <c r="AC4">
        <f t="shared" si="7"/>
        <v>6380</v>
      </c>
      <c r="AD4">
        <f t="shared" si="8"/>
        <v>8050.0000000000009</v>
      </c>
      <c r="AE4">
        <f t="shared" si="9"/>
        <v>2020</v>
      </c>
      <c r="AF4">
        <f t="shared" si="10"/>
        <v>6140</v>
      </c>
      <c r="AG4">
        <f t="shared" si="11"/>
        <v>10270</v>
      </c>
    </row>
    <row r="5" spans="1:33" ht="28.2" thickBot="1" x14ac:dyDescent="0.3">
      <c r="A5" s="22">
        <v>4</v>
      </c>
      <c r="B5" s="22" t="s">
        <v>3399</v>
      </c>
      <c r="C5" s="22" t="s">
        <v>3465</v>
      </c>
      <c r="D5" s="22" t="s">
        <v>1165</v>
      </c>
      <c r="E5" s="22" t="s">
        <v>1165</v>
      </c>
      <c r="F5" s="22" t="s">
        <v>3466</v>
      </c>
      <c r="G5" s="22" t="s">
        <v>1165</v>
      </c>
      <c r="I5" s="22">
        <v>4</v>
      </c>
      <c r="J5" s="22" t="s">
        <v>2022</v>
      </c>
      <c r="K5" s="22" t="s">
        <v>3450</v>
      </c>
      <c r="L5" s="22" t="s">
        <v>3451</v>
      </c>
      <c r="M5" s="22" t="s">
        <v>3452</v>
      </c>
      <c r="N5" s="22" t="s">
        <v>3453</v>
      </c>
      <c r="O5" s="22" t="s">
        <v>3454</v>
      </c>
      <c r="Q5" t="str">
        <f t="shared" si="2"/>
        <v xml:space="preserve">3.09 </v>
      </c>
      <c r="R5" t="str">
        <f t="shared" si="3"/>
        <v xml:space="preserve">15.16 </v>
      </c>
      <c r="S5" t="str">
        <f t="shared" si="4"/>
        <v xml:space="preserve">10.57 </v>
      </c>
      <c r="T5" t="str">
        <f t="shared" si="5"/>
        <v xml:space="preserve">9.55 </v>
      </c>
      <c r="U5" t="str">
        <f t="shared" si="6"/>
        <v xml:space="preserve">11.96 </v>
      </c>
      <c r="W5">
        <v>1000</v>
      </c>
      <c r="X5">
        <v>1000</v>
      </c>
      <c r="Y5">
        <v>1000</v>
      </c>
      <c r="Z5">
        <v>1000</v>
      </c>
      <c r="AA5">
        <v>1000</v>
      </c>
      <c r="AC5">
        <f t="shared" si="7"/>
        <v>3090</v>
      </c>
      <c r="AD5">
        <f t="shared" si="8"/>
        <v>15160</v>
      </c>
      <c r="AE5">
        <f t="shared" si="9"/>
        <v>10570</v>
      </c>
      <c r="AF5">
        <f t="shared" si="10"/>
        <v>9550</v>
      </c>
      <c r="AG5">
        <f t="shared" si="11"/>
        <v>11960</v>
      </c>
    </row>
    <row r="6" spans="1:33" ht="28.2" thickBot="1" x14ac:dyDescent="0.3">
      <c r="A6" s="22">
        <v>5</v>
      </c>
      <c r="B6" s="22" t="s">
        <v>2017</v>
      </c>
      <c r="C6" s="22" t="s">
        <v>3467</v>
      </c>
      <c r="D6" s="22" t="s">
        <v>3468</v>
      </c>
      <c r="E6" s="22" t="s">
        <v>3469</v>
      </c>
      <c r="F6" s="22" t="s">
        <v>3470</v>
      </c>
      <c r="G6" s="22" t="s">
        <v>3471</v>
      </c>
      <c r="I6" s="22">
        <v>5</v>
      </c>
      <c r="J6" s="22" t="s">
        <v>2023</v>
      </c>
      <c r="K6" s="22" t="s">
        <v>3503</v>
      </c>
      <c r="L6" s="22" t="s">
        <v>3504</v>
      </c>
      <c r="M6" s="22" t="s">
        <v>1165</v>
      </c>
      <c r="N6" s="22" t="s">
        <v>3505</v>
      </c>
      <c r="O6" s="22" t="s">
        <v>3506</v>
      </c>
      <c r="Q6" t="str">
        <f t="shared" si="2"/>
        <v xml:space="preserve">26.32 </v>
      </c>
      <c r="R6" t="str">
        <f t="shared" si="3"/>
        <v xml:space="preserve">6.25 </v>
      </c>
      <c r="S6" t="e">
        <f t="shared" si="4"/>
        <v>#N/A</v>
      </c>
      <c r="T6" t="str">
        <f t="shared" si="5"/>
        <v xml:space="preserve">26.59 </v>
      </c>
      <c r="U6" t="str">
        <f t="shared" si="6"/>
        <v xml:space="preserve">64.11 </v>
      </c>
      <c r="W6">
        <v>1000</v>
      </c>
      <c r="X6">
        <v>1000</v>
      </c>
      <c r="Y6">
        <v>1000</v>
      </c>
      <c r="Z6">
        <v>1000</v>
      </c>
      <c r="AA6">
        <v>1000</v>
      </c>
      <c r="AC6">
        <f t="shared" si="7"/>
        <v>26320</v>
      </c>
      <c r="AD6">
        <f t="shared" si="8"/>
        <v>6250</v>
      </c>
      <c r="AE6" t="e">
        <f t="shared" si="9"/>
        <v>#N/A</v>
      </c>
      <c r="AF6">
        <f t="shared" si="10"/>
        <v>26590</v>
      </c>
      <c r="AG6">
        <f t="shared" si="11"/>
        <v>64110</v>
      </c>
    </row>
    <row r="7" spans="1:33" ht="28.2" thickBot="1" x14ac:dyDescent="0.3">
      <c r="A7" s="22">
        <v>6</v>
      </c>
      <c r="B7" s="22" t="s">
        <v>2365</v>
      </c>
      <c r="C7" s="22" t="s">
        <v>3472</v>
      </c>
      <c r="D7" s="22" t="s">
        <v>1165</v>
      </c>
      <c r="E7" s="22" t="s">
        <v>1165</v>
      </c>
      <c r="F7" s="22" t="s">
        <v>3473</v>
      </c>
      <c r="G7" s="22" t="s">
        <v>3474</v>
      </c>
      <c r="I7" s="22">
        <v>6</v>
      </c>
      <c r="J7" s="22" t="s">
        <v>2019</v>
      </c>
      <c r="K7" s="22" t="s">
        <v>3460</v>
      </c>
      <c r="L7" s="22" t="s">
        <v>3461</v>
      </c>
      <c r="M7" s="22" t="s">
        <v>3462</v>
      </c>
      <c r="N7" s="22" t="s">
        <v>3463</v>
      </c>
      <c r="O7" s="22" t="s">
        <v>3464</v>
      </c>
      <c r="Q7" t="str">
        <f t="shared" si="2"/>
        <v xml:space="preserve">1.58 </v>
      </c>
      <c r="R7" t="str">
        <f t="shared" si="3"/>
        <v xml:space="preserve">2.89 </v>
      </c>
      <c r="S7" t="str">
        <f t="shared" si="4"/>
        <v xml:space="preserve">1.37 </v>
      </c>
      <c r="T7" t="str">
        <f t="shared" si="5"/>
        <v xml:space="preserve">2.67 </v>
      </c>
      <c r="U7" t="str">
        <f t="shared" si="6"/>
        <v xml:space="preserve">1.70 </v>
      </c>
      <c r="W7">
        <v>1000</v>
      </c>
      <c r="X7">
        <v>1000</v>
      </c>
      <c r="Y7">
        <v>1000</v>
      </c>
      <c r="Z7">
        <v>1000</v>
      </c>
      <c r="AA7">
        <v>1000</v>
      </c>
      <c r="AC7">
        <f t="shared" si="7"/>
        <v>1580</v>
      </c>
      <c r="AD7">
        <f t="shared" si="8"/>
        <v>2890</v>
      </c>
      <c r="AE7">
        <f t="shared" si="9"/>
        <v>1370</v>
      </c>
      <c r="AF7">
        <f t="shared" si="10"/>
        <v>2670</v>
      </c>
      <c r="AG7">
        <f t="shared" si="11"/>
        <v>1700</v>
      </c>
    </row>
    <row r="8" spans="1:33" ht="28.2" thickBot="1" x14ac:dyDescent="0.3">
      <c r="A8" s="22">
        <v>7</v>
      </c>
      <c r="B8" s="22" t="s">
        <v>3475</v>
      </c>
      <c r="C8" s="22" t="s">
        <v>1165</v>
      </c>
      <c r="D8" s="22" t="s">
        <v>3476</v>
      </c>
      <c r="E8" s="22" t="s">
        <v>1165</v>
      </c>
      <c r="F8" s="22" t="s">
        <v>1165</v>
      </c>
      <c r="G8" s="22" t="s">
        <v>1165</v>
      </c>
      <c r="I8" s="22">
        <v>7</v>
      </c>
      <c r="J8" s="22" t="s">
        <v>2178</v>
      </c>
      <c r="K8" s="22" t="s">
        <v>3484</v>
      </c>
      <c r="L8" s="22" t="s">
        <v>3485</v>
      </c>
      <c r="M8" s="22" t="s">
        <v>3486</v>
      </c>
      <c r="N8" s="22" t="s">
        <v>3487</v>
      </c>
      <c r="O8" s="22" t="s">
        <v>3488</v>
      </c>
      <c r="Q8" t="str">
        <f t="shared" si="2"/>
        <v xml:space="preserve">10.13 </v>
      </c>
      <c r="R8" t="str">
        <f t="shared" si="3"/>
        <v xml:space="preserve">8.6 </v>
      </c>
      <c r="S8" t="str">
        <f t="shared" si="4"/>
        <v xml:space="preserve">8.71 </v>
      </c>
      <c r="T8" t="str">
        <f t="shared" si="5"/>
        <v xml:space="preserve">21.82 </v>
      </c>
      <c r="U8" t="str">
        <f t="shared" si="6"/>
        <v xml:space="preserve">15.36 </v>
      </c>
      <c r="W8">
        <v>1000</v>
      </c>
      <c r="X8">
        <v>1000</v>
      </c>
      <c r="Y8">
        <v>1000</v>
      </c>
      <c r="Z8">
        <v>1000</v>
      </c>
      <c r="AA8">
        <v>1000</v>
      </c>
      <c r="AC8">
        <f t="shared" si="7"/>
        <v>10130</v>
      </c>
      <c r="AD8">
        <f t="shared" si="8"/>
        <v>8600</v>
      </c>
      <c r="AE8">
        <f t="shared" si="9"/>
        <v>8710</v>
      </c>
      <c r="AF8">
        <f t="shared" si="10"/>
        <v>21820</v>
      </c>
      <c r="AG8">
        <f t="shared" si="11"/>
        <v>15360</v>
      </c>
    </row>
    <row r="9" spans="1:33" ht="28.2" thickBot="1" x14ac:dyDescent="0.3">
      <c r="A9" s="22">
        <v>8</v>
      </c>
      <c r="B9" s="22" t="s">
        <v>3477</v>
      </c>
      <c r="C9" s="22" t="s">
        <v>1165</v>
      </c>
      <c r="D9" s="22" t="s">
        <v>1165</v>
      </c>
      <c r="E9" s="22" t="s">
        <v>1165</v>
      </c>
      <c r="F9" s="22" t="s">
        <v>3478</v>
      </c>
      <c r="G9" s="22" t="s">
        <v>1165</v>
      </c>
      <c r="I9" s="22">
        <v>8</v>
      </c>
      <c r="J9" s="22" t="s">
        <v>2898</v>
      </c>
      <c r="K9" s="22" t="s">
        <v>3493</v>
      </c>
      <c r="L9" s="22" t="s">
        <v>3494</v>
      </c>
      <c r="M9" s="22" t="s">
        <v>3495</v>
      </c>
      <c r="N9" s="22" t="s">
        <v>3496</v>
      </c>
      <c r="O9" s="22" t="s">
        <v>3497</v>
      </c>
      <c r="Q9" t="str">
        <f t="shared" si="2"/>
        <v xml:space="preserve">2.3 </v>
      </c>
      <c r="R9" t="str">
        <f t="shared" si="3"/>
        <v xml:space="preserve">4.14 </v>
      </c>
      <c r="S9" t="str">
        <f t="shared" si="4"/>
        <v xml:space="preserve">3.95 </v>
      </c>
      <c r="T9" t="str">
        <f t="shared" si="5"/>
        <v xml:space="preserve">1.25 </v>
      </c>
      <c r="U9" t="str">
        <f t="shared" si="6"/>
        <v xml:space="preserve">1.61 </v>
      </c>
      <c r="W9">
        <v>1000</v>
      </c>
      <c r="X9">
        <v>1000</v>
      </c>
      <c r="Y9">
        <v>1000</v>
      </c>
      <c r="Z9">
        <v>1000</v>
      </c>
      <c r="AA9">
        <v>1000</v>
      </c>
      <c r="AC9">
        <f t="shared" si="7"/>
        <v>2300</v>
      </c>
      <c r="AD9">
        <f t="shared" si="8"/>
        <v>4140</v>
      </c>
      <c r="AE9">
        <f t="shared" si="9"/>
        <v>3950</v>
      </c>
      <c r="AF9">
        <f t="shared" si="10"/>
        <v>1250</v>
      </c>
      <c r="AG9">
        <f t="shared" si="11"/>
        <v>1610</v>
      </c>
    </row>
    <row r="10" spans="1:33" ht="42" thickBot="1" x14ac:dyDescent="0.3">
      <c r="A10" s="22">
        <v>9</v>
      </c>
      <c r="B10" s="22" t="s">
        <v>2187</v>
      </c>
      <c r="C10" s="22" t="s">
        <v>3479</v>
      </c>
      <c r="D10" s="22" t="s">
        <v>3480</v>
      </c>
      <c r="E10" s="22" t="s">
        <v>3481</v>
      </c>
      <c r="F10" s="22" t="s">
        <v>3482</v>
      </c>
      <c r="G10" s="22" t="s">
        <v>3483</v>
      </c>
      <c r="I10" s="22">
        <v>9</v>
      </c>
      <c r="J10" s="22" t="s">
        <v>2909</v>
      </c>
      <c r="K10" s="22" t="s">
        <v>2908</v>
      </c>
      <c r="L10" s="22" t="s">
        <v>2908</v>
      </c>
      <c r="M10" s="22" t="s">
        <v>2908</v>
      </c>
      <c r="N10" s="22" t="s">
        <v>2908</v>
      </c>
      <c r="O10" s="22" t="s">
        <v>2908</v>
      </c>
      <c r="Q10" t="e">
        <f t="shared" si="2"/>
        <v>#N/A</v>
      </c>
      <c r="R10" t="e">
        <f t="shared" si="3"/>
        <v>#N/A</v>
      </c>
      <c r="S10" t="e">
        <f t="shared" si="4"/>
        <v>#N/A</v>
      </c>
      <c r="T10" t="e">
        <f t="shared" si="5"/>
        <v>#N/A</v>
      </c>
      <c r="U10" t="e">
        <f t="shared" si="6"/>
        <v>#N/A</v>
      </c>
      <c r="W10">
        <v>1000</v>
      </c>
      <c r="X10">
        <v>1000</v>
      </c>
      <c r="Y10">
        <v>1000</v>
      </c>
      <c r="Z10">
        <v>1000</v>
      </c>
      <c r="AA10">
        <v>1000</v>
      </c>
      <c r="AC10" t="e">
        <f t="shared" si="7"/>
        <v>#N/A</v>
      </c>
      <c r="AD10" t="e">
        <f t="shared" si="8"/>
        <v>#N/A</v>
      </c>
      <c r="AE10" t="e">
        <f t="shared" si="9"/>
        <v>#N/A</v>
      </c>
      <c r="AF10" t="e">
        <f t="shared" si="10"/>
        <v>#N/A</v>
      </c>
      <c r="AG10" t="e">
        <f t="shared" si="11"/>
        <v>#N/A</v>
      </c>
    </row>
    <row r="11" spans="1:33" ht="55.8" thickBot="1" x14ac:dyDescent="0.3">
      <c r="A11" s="22">
        <v>10</v>
      </c>
      <c r="B11" s="22" t="s">
        <v>2178</v>
      </c>
      <c r="C11" s="22" t="s">
        <v>3484</v>
      </c>
      <c r="D11" s="22" t="s">
        <v>3485</v>
      </c>
      <c r="E11" s="22" t="s">
        <v>3486</v>
      </c>
      <c r="F11" s="22" t="s">
        <v>3487</v>
      </c>
      <c r="G11" s="22" t="s">
        <v>3488</v>
      </c>
      <c r="I11" s="22">
        <v>10</v>
      </c>
      <c r="J11" s="22" t="s">
        <v>2910</v>
      </c>
      <c r="K11" s="22" t="s">
        <v>2908</v>
      </c>
      <c r="L11" s="22" t="s">
        <v>2908</v>
      </c>
      <c r="M11" s="22" t="s">
        <v>2908</v>
      </c>
      <c r="N11" s="22" t="s">
        <v>2908</v>
      </c>
      <c r="O11" s="22" t="s">
        <v>2908</v>
      </c>
      <c r="Q11" t="e">
        <f t="shared" si="2"/>
        <v>#N/A</v>
      </c>
      <c r="R11" t="e">
        <f t="shared" si="3"/>
        <v>#N/A</v>
      </c>
      <c r="S11" t="e">
        <f t="shared" si="4"/>
        <v>#N/A</v>
      </c>
      <c r="T11" t="e">
        <f t="shared" si="5"/>
        <v>#N/A</v>
      </c>
      <c r="U11" t="e">
        <f t="shared" si="6"/>
        <v>#N/A</v>
      </c>
      <c r="W11">
        <v>1000</v>
      </c>
      <c r="X11">
        <v>1000</v>
      </c>
      <c r="Y11">
        <v>1000</v>
      </c>
      <c r="Z11">
        <v>1000</v>
      </c>
      <c r="AA11">
        <v>1000</v>
      </c>
      <c r="AC11" t="e">
        <f t="shared" si="7"/>
        <v>#N/A</v>
      </c>
      <c r="AD11" t="e">
        <f t="shared" si="8"/>
        <v>#N/A</v>
      </c>
      <c r="AE11" t="e">
        <f t="shared" si="9"/>
        <v>#N/A</v>
      </c>
      <c r="AF11" t="e">
        <f t="shared" si="10"/>
        <v>#N/A</v>
      </c>
      <c r="AG11" t="e">
        <f t="shared" si="11"/>
        <v>#N/A</v>
      </c>
    </row>
    <row r="12" spans="1:33" ht="28.2" thickBot="1" x14ac:dyDescent="0.3">
      <c r="A12" s="22">
        <v>11</v>
      </c>
      <c r="B12" s="22" t="s">
        <v>3406</v>
      </c>
      <c r="C12" s="22" t="s">
        <v>3489</v>
      </c>
      <c r="D12" s="22" t="s">
        <v>1165</v>
      </c>
      <c r="E12" s="22" t="s">
        <v>1165</v>
      </c>
      <c r="F12" s="22" t="s">
        <v>1165</v>
      </c>
      <c r="G12" s="22" t="s">
        <v>1165</v>
      </c>
      <c r="I12" s="22">
        <v>11</v>
      </c>
      <c r="J12" s="22" t="s">
        <v>2911</v>
      </c>
      <c r="K12" s="22" t="s">
        <v>2908</v>
      </c>
      <c r="L12" s="22" t="s">
        <v>2908</v>
      </c>
      <c r="M12" s="22" t="s">
        <v>2908</v>
      </c>
      <c r="N12" s="22" t="s">
        <v>2908</v>
      </c>
      <c r="O12" s="22" t="s">
        <v>2908</v>
      </c>
      <c r="Q12" t="e">
        <f t="shared" si="2"/>
        <v>#N/A</v>
      </c>
      <c r="R12" t="e">
        <f t="shared" si="3"/>
        <v>#N/A</v>
      </c>
      <c r="S12" t="e">
        <f t="shared" si="4"/>
        <v>#N/A</v>
      </c>
      <c r="T12" t="e">
        <f t="shared" si="5"/>
        <v>#N/A</v>
      </c>
      <c r="U12" t="e">
        <f t="shared" si="6"/>
        <v>#N/A</v>
      </c>
      <c r="W12">
        <v>1000</v>
      </c>
      <c r="X12">
        <v>1000</v>
      </c>
      <c r="Y12">
        <v>1000</v>
      </c>
      <c r="Z12">
        <v>1000</v>
      </c>
      <c r="AA12">
        <v>1000</v>
      </c>
      <c r="AC12" t="e">
        <f t="shared" si="7"/>
        <v>#N/A</v>
      </c>
      <c r="AD12" t="e">
        <f t="shared" si="8"/>
        <v>#N/A</v>
      </c>
      <c r="AE12" t="e">
        <f t="shared" si="9"/>
        <v>#N/A</v>
      </c>
      <c r="AF12" t="e">
        <f t="shared" si="10"/>
        <v>#N/A</v>
      </c>
      <c r="AG12" t="e">
        <f t="shared" si="11"/>
        <v>#N/A</v>
      </c>
    </row>
    <row r="13" spans="1:33" ht="42" thickBot="1" x14ac:dyDescent="0.3">
      <c r="A13" s="22">
        <v>12</v>
      </c>
      <c r="B13" s="22" t="s">
        <v>3490</v>
      </c>
      <c r="C13" s="22" t="s">
        <v>1165</v>
      </c>
      <c r="D13" s="22" t="s">
        <v>3491</v>
      </c>
      <c r="E13" s="22" t="s">
        <v>3481</v>
      </c>
      <c r="F13" s="22" t="s">
        <v>3492</v>
      </c>
      <c r="G13" s="22" t="s">
        <v>1165</v>
      </c>
      <c r="I13" s="22">
        <v>12</v>
      </c>
      <c r="J13" s="22" t="s">
        <v>2957</v>
      </c>
      <c r="K13" s="22" t="s">
        <v>1165</v>
      </c>
      <c r="L13" s="22" t="s">
        <v>3507</v>
      </c>
      <c r="M13" s="22" t="s">
        <v>3508</v>
      </c>
      <c r="N13" s="22" t="s">
        <v>1165</v>
      </c>
      <c r="O13" s="22" t="s">
        <v>3509</v>
      </c>
      <c r="Q13" t="e">
        <f t="shared" si="2"/>
        <v>#N/A</v>
      </c>
      <c r="R13" t="str">
        <f t="shared" si="3"/>
        <v xml:space="preserve">0.78 </v>
      </c>
      <c r="S13" t="str">
        <f t="shared" si="4"/>
        <v xml:space="preserve">0.65 </v>
      </c>
      <c r="T13" t="e">
        <f t="shared" si="5"/>
        <v>#N/A</v>
      </c>
      <c r="U13" t="str">
        <f t="shared" si="6"/>
        <v xml:space="preserve">11.43 </v>
      </c>
      <c r="W13">
        <v>1000</v>
      </c>
      <c r="X13">
        <v>1000</v>
      </c>
      <c r="Y13">
        <v>1000</v>
      </c>
      <c r="Z13">
        <v>1000</v>
      </c>
      <c r="AA13">
        <v>1000</v>
      </c>
      <c r="AC13" t="e">
        <f t="shared" si="7"/>
        <v>#N/A</v>
      </c>
      <c r="AD13">
        <f t="shared" si="8"/>
        <v>780</v>
      </c>
      <c r="AE13">
        <f t="shared" si="9"/>
        <v>650</v>
      </c>
      <c r="AF13" t="e">
        <f t="shared" si="10"/>
        <v>#N/A</v>
      </c>
      <c r="AG13">
        <f t="shared" si="11"/>
        <v>11430</v>
      </c>
    </row>
    <row r="14" spans="1:33" ht="28.2" thickBot="1" x14ac:dyDescent="0.3">
      <c r="A14" s="22">
        <v>13</v>
      </c>
      <c r="B14" s="22" t="s">
        <v>2898</v>
      </c>
      <c r="C14" s="22" t="s">
        <v>3493</v>
      </c>
      <c r="D14" s="22" t="s">
        <v>3494</v>
      </c>
      <c r="E14" s="22" t="s">
        <v>3495</v>
      </c>
      <c r="F14" s="22" t="s">
        <v>3496</v>
      </c>
      <c r="G14" s="22" t="s">
        <v>3497</v>
      </c>
      <c r="I14" s="22">
        <v>13</v>
      </c>
      <c r="J14" s="22" t="s">
        <v>2913</v>
      </c>
      <c r="K14" s="22" t="s">
        <v>2908</v>
      </c>
      <c r="L14" s="22" t="s">
        <v>2908</v>
      </c>
      <c r="M14" s="22" t="s">
        <v>2908</v>
      </c>
      <c r="N14" s="22" t="s">
        <v>2908</v>
      </c>
      <c r="O14" s="22" t="s">
        <v>2908</v>
      </c>
      <c r="Q14" t="e">
        <f t="shared" si="2"/>
        <v>#N/A</v>
      </c>
      <c r="R14" t="e">
        <f t="shared" si="3"/>
        <v>#N/A</v>
      </c>
      <c r="S14" t="e">
        <f t="shared" si="4"/>
        <v>#N/A</v>
      </c>
      <c r="T14" t="e">
        <f t="shared" si="5"/>
        <v>#N/A</v>
      </c>
      <c r="U14" t="e">
        <f t="shared" si="6"/>
        <v>#N/A</v>
      </c>
      <c r="W14">
        <v>1000</v>
      </c>
      <c r="X14">
        <v>1000</v>
      </c>
      <c r="Y14">
        <v>1000</v>
      </c>
      <c r="Z14">
        <v>1000</v>
      </c>
      <c r="AA14">
        <v>1000</v>
      </c>
      <c r="AC14" t="e">
        <f t="shared" si="7"/>
        <v>#N/A</v>
      </c>
      <c r="AD14" t="e">
        <f t="shared" si="8"/>
        <v>#N/A</v>
      </c>
      <c r="AE14" t="e">
        <f t="shared" si="9"/>
        <v>#N/A</v>
      </c>
      <c r="AF14" t="e">
        <f t="shared" si="10"/>
        <v>#N/A</v>
      </c>
      <c r="AG14" t="e">
        <f t="shared" si="11"/>
        <v>#N/A</v>
      </c>
    </row>
    <row r="15" spans="1:33" ht="28.2" thickBot="1" x14ac:dyDescent="0.3">
      <c r="A15" s="22">
        <v>14</v>
      </c>
      <c r="B15" s="22" t="s">
        <v>2914</v>
      </c>
      <c r="C15" s="22" t="s">
        <v>3498</v>
      </c>
      <c r="D15" s="22" t="s">
        <v>3499</v>
      </c>
      <c r="E15" s="22" t="s">
        <v>3500</v>
      </c>
      <c r="F15" s="22" t="s">
        <v>3501</v>
      </c>
      <c r="G15" s="22" t="s">
        <v>3502</v>
      </c>
      <c r="I15" s="22">
        <v>14</v>
      </c>
      <c r="J15" s="22" t="s">
        <v>2173</v>
      </c>
      <c r="K15" s="22" t="s">
        <v>3524</v>
      </c>
      <c r="L15" s="22" t="s">
        <v>3525</v>
      </c>
      <c r="M15" s="22" t="s">
        <v>3526</v>
      </c>
      <c r="N15" s="22" t="s">
        <v>3527</v>
      </c>
      <c r="O15" s="22" t="s">
        <v>3528</v>
      </c>
      <c r="Q15" t="str">
        <f t="shared" si="2"/>
        <v xml:space="preserve">15.59 </v>
      </c>
      <c r="R15" t="str">
        <f t="shared" si="3"/>
        <v xml:space="preserve">3.52 </v>
      </c>
      <c r="S15" t="str">
        <f t="shared" si="4"/>
        <v xml:space="preserve">2.74 </v>
      </c>
      <c r="T15" t="str">
        <f t="shared" si="5"/>
        <v xml:space="preserve">23.07 </v>
      </c>
      <c r="U15" t="str">
        <f t="shared" si="6"/>
        <v xml:space="preserve">37.95 </v>
      </c>
      <c r="W15">
        <v>1000</v>
      </c>
      <c r="X15">
        <v>1000</v>
      </c>
      <c r="Y15">
        <v>1000</v>
      </c>
      <c r="Z15">
        <v>1000</v>
      </c>
      <c r="AA15">
        <v>1000</v>
      </c>
      <c r="AC15">
        <f t="shared" si="7"/>
        <v>15590</v>
      </c>
      <c r="AD15">
        <f t="shared" si="8"/>
        <v>3520</v>
      </c>
      <c r="AE15">
        <f t="shared" si="9"/>
        <v>2740</v>
      </c>
      <c r="AF15">
        <f t="shared" si="10"/>
        <v>23070</v>
      </c>
      <c r="AG15">
        <f t="shared" si="11"/>
        <v>37950</v>
      </c>
    </row>
    <row r="16" spans="1:33" ht="28.2" thickBot="1" x14ac:dyDescent="0.3">
      <c r="A16" s="22">
        <v>15</v>
      </c>
      <c r="B16" s="22" t="s">
        <v>2023</v>
      </c>
      <c r="C16" s="22" t="s">
        <v>3503</v>
      </c>
      <c r="D16" s="22" t="s">
        <v>3504</v>
      </c>
      <c r="E16" s="22" t="s">
        <v>1165</v>
      </c>
      <c r="F16" s="22" t="s">
        <v>3505</v>
      </c>
      <c r="G16" s="22" t="s">
        <v>3506</v>
      </c>
      <c r="I16" s="22">
        <v>15</v>
      </c>
      <c r="J16" s="22" t="s">
        <v>2914</v>
      </c>
      <c r="K16" s="22" t="s">
        <v>3498</v>
      </c>
      <c r="L16" s="22" t="s">
        <v>3499</v>
      </c>
      <c r="M16" s="22" t="s">
        <v>3500</v>
      </c>
      <c r="N16" s="22" t="s">
        <v>3501</v>
      </c>
      <c r="O16" s="22" t="s">
        <v>3502</v>
      </c>
      <c r="Q16" t="str">
        <f t="shared" si="2"/>
        <v xml:space="preserve">4.61 </v>
      </c>
      <c r="R16" t="str">
        <f t="shared" si="3"/>
        <v xml:space="preserve">0.70 </v>
      </c>
      <c r="S16" t="str">
        <f t="shared" si="4"/>
        <v xml:space="preserve">0.48 </v>
      </c>
      <c r="T16" t="str">
        <f t="shared" si="5"/>
        <v xml:space="preserve">6.99 </v>
      </c>
      <c r="U16" t="str">
        <f t="shared" si="6"/>
        <v xml:space="preserve">5.00 </v>
      </c>
      <c r="W16">
        <v>1000</v>
      </c>
      <c r="X16">
        <v>1000</v>
      </c>
      <c r="Y16">
        <v>1000</v>
      </c>
      <c r="Z16">
        <v>1000</v>
      </c>
      <c r="AA16">
        <v>1000</v>
      </c>
      <c r="AC16">
        <f t="shared" si="7"/>
        <v>4610</v>
      </c>
      <c r="AD16">
        <f t="shared" si="8"/>
        <v>700</v>
      </c>
      <c r="AE16">
        <f t="shared" si="9"/>
        <v>480</v>
      </c>
      <c r="AF16">
        <f t="shared" si="10"/>
        <v>6990</v>
      </c>
      <c r="AG16">
        <f t="shared" si="11"/>
        <v>5000</v>
      </c>
    </row>
    <row r="17" spans="1:33" ht="28.2" thickBot="1" x14ac:dyDescent="0.3">
      <c r="A17" s="22">
        <v>16</v>
      </c>
      <c r="B17" s="22" t="s">
        <v>2957</v>
      </c>
      <c r="C17" s="22" t="s">
        <v>1165</v>
      </c>
      <c r="D17" s="22" t="s">
        <v>3507</v>
      </c>
      <c r="E17" s="22" t="s">
        <v>3508</v>
      </c>
      <c r="F17" s="22" t="s">
        <v>1165</v>
      </c>
      <c r="G17" s="22" t="s">
        <v>3509</v>
      </c>
      <c r="I17" s="22">
        <v>16</v>
      </c>
      <c r="J17" s="22" t="s">
        <v>2029</v>
      </c>
      <c r="K17" s="22" t="s">
        <v>3552</v>
      </c>
      <c r="L17" s="22" t="s">
        <v>3553</v>
      </c>
      <c r="M17" s="22" t="s">
        <v>3554</v>
      </c>
      <c r="N17" s="22" t="s">
        <v>3555</v>
      </c>
      <c r="O17" s="22" t="s">
        <v>3556</v>
      </c>
      <c r="Q17" t="str">
        <f t="shared" si="2"/>
        <v xml:space="preserve">1.45 </v>
      </c>
      <c r="R17" t="str">
        <f t="shared" si="3"/>
        <v xml:space="preserve">0.31 </v>
      </c>
      <c r="S17" t="str">
        <f t="shared" si="4"/>
        <v xml:space="preserve">0.16 </v>
      </c>
      <c r="T17" t="str">
        <f t="shared" si="5"/>
        <v xml:space="preserve">1.19 </v>
      </c>
      <c r="U17" t="str">
        <f t="shared" si="6"/>
        <v xml:space="preserve">3.93 </v>
      </c>
      <c r="W17">
        <v>1000</v>
      </c>
      <c r="X17">
        <v>1000</v>
      </c>
      <c r="Y17">
        <v>1000</v>
      </c>
      <c r="Z17">
        <v>1000</v>
      </c>
      <c r="AA17">
        <v>1000</v>
      </c>
      <c r="AC17">
        <f t="shared" si="7"/>
        <v>1450</v>
      </c>
      <c r="AD17">
        <f t="shared" si="8"/>
        <v>310</v>
      </c>
      <c r="AE17">
        <f t="shared" si="9"/>
        <v>160</v>
      </c>
      <c r="AF17">
        <f t="shared" si="10"/>
        <v>1190</v>
      </c>
      <c r="AG17">
        <f t="shared" si="11"/>
        <v>3930</v>
      </c>
    </row>
    <row r="18" spans="1:33" ht="28.2" thickBot="1" x14ac:dyDescent="0.3">
      <c r="A18" s="22">
        <v>17</v>
      </c>
      <c r="B18" s="22" t="s">
        <v>3215</v>
      </c>
      <c r="C18" s="22" t="s">
        <v>3510</v>
      </c>
      <c r="D18" s="22" t="s">
        <v>3511</v>
      </c>
      <c r="E18" s="22" t="s">
        <v>1165</v>
      </c>
      <c r="F18" s="22" t="s">
        <v>3512</v>
      </c>
      <c r="G18" s="22" t="s">
        <v>3513</v>
      </c>
      <c r="I18" s="22">
        <v>17</v>
      </c>
      <c r="J18" s="22" t="s">
        <v>2028</v>
      </c>
      <c r="K18" s="22" t="s">
        <v>1165</v>
      </c>
      <c r="L18" s="22" t="s">
        <v>1165</v>
      </c>
      <c r="M18" s="22" t="s">
        <v>1165</v>
      </c>
      <c r="N18" s="22" t="s">
        <v>1165</v>
      </c>
      <c r="O18" s="22" t="s">
        <v>3545</v>
      </c>
      <c r="Q18" t="e">
        <f t="shared" si="2"/>
        <v>#N/A</v>
      </c>
      <c r="R18" t="e">
        <f t="shared" si="3"/>
        <v>#N/A</v>
      </c>
      <c r="S18" t="e">
        <f t="shared" si="4"/>
        <v>#N/A</v>
      </c>
      <c r="T18" t="e">
        <f t="shared" si="5"/>
        <v>#N/A</v>
      </c>
      <c r="U18" t="str">
        <f t="shared" si="6"/>
        <v xml:space="preserve">3.57 </v>
      </c>
      <c r="W18">
        <v>1000</v>
      </c>
      <c r="X18">
        <v>1000</v>
      </c>
      <c r="Y18">
        <v>1000</v>
      </c>
      <c r="Z18">
        <v>1000</v>
      </c>
      <c r="AA18">
        <v>1000</v>
      </c>
      <c r="AC18" t="e">
        <f t="shared" si="7"/>
        <v>#N/A</v>
      </c>
      <c r="AD18" t="e">
        <f t="shared" si="8"/>
        <v>#N/A</v>
      </c>
      <c r="AE18" t="e">
        <f t="shared" si="9"/>
        <v>#N/A</v>
      </c>
      <c r="AF18" t="e">
        <f t="shared" si="10"/>
        <v>#N/A</v>
      </c>
      <c r="AG18">
        <f t="shared" si="11"/>
        <v>3570</v>
      </c>
    </row>
    <row r="19" spans="1:33" ht="55.8" thickBot="1" x14ac:dyDescent="0.3">
      <c r="A19" s="22">
        <v>18</v>
      </c>
      <c r="B19" s="22" t="s">
        <v>2382</v>
      </c>
      <c r="C19" s="22" t="s">
        <v>3514</v>
      </c>
      <c r="D19" s="22" t="s">
        <v>3515</v>
      </c>
      <c r="E19" s="22" t="s">
        <v>3516</v>
      </c>
      <c r="F19" s="22" t="s">
        <v>3517</v>
      </c>
      <c r="G19" s="22" t="s">
        <v>3518</v>
      </c>
      <c r="I19" s="22">
        <v>18</v>
      </c>
      <c r="J19" s="22" t="s">
        <v>3627</v>
      </c>
      <c r="K19" s="22" t="s">
        <v>3489</v>
      </c>
      <c r="L19" s="22" t="s">
        <v>1165</v>
      </c>
      <c r="M19" s="22" t="s">
        <v>1165</v>
      </c>
      <c r="N19" s="22" t="s">
        <v>1165</v>
      </c>
      <c r="O19" s="22" t="s">
        <v>1165</v>
      </c>
      <c r="Q19" t="str">
        <f t="shared" si="2"/>
        <v xml:space="preserve">0.99 </v>
      </c>
      <c r="R19" t="e">
        <f t="shared" si="3"/>
        <v>#N/A</v>
      </c>
      <c r="S19" t="e">
        <f t="shared" si="4"/>
        <v>#N/A</v>
      </c>
      <c r="T19" t="e">
        <f t="shared" si="5"/>
        <v>#N/A</v>
      </c>
      <c r="U19" t="e">
        <f t="shared" si="6"/>
        <v>#N/A</v>
      </c>
      <c r="W19">
        <v>1000</v>
      </c>
      <c r="X19">
        <v>1000</v>
      </c>
      <c r="Y19">
        <v>1000</v>
      </c>
      <c r="Z19">
        <v>1000</v>
      </c>
      <c r="AA19">
        <v>1000</v>
      </c>
      <c r="AC19">
        <f t="shared" si="7"/>
        <v>990</v>
      </c>
      <c r="AD19" t="e">
        <f t="shared" si="8"/>
        <v>#N/A</v>
      </c>
      <c r="AE19" t="e">
        <f t="shared" si="9"/>
        <v>#N/A</v>
      </c>
      <c r="AF19" t="e">
        <f t="shared" si="10"/>
        <v>#N/A</v>
      </c>
      <c r="AG19" t="e">
        <f t="shared" si="11"/>
        <v>#N/A</v>
      </c>
    </row>
    <row r="20" spans="1:33" ht="55.8" thickBot="1" x14ac:dyDescent="0.3">
      <c r="A20" s="22">
        <v>19</v>
      </c>
      <c r="B20" s="22" t="s">
        <v>3519</v>
      </c>
      <c r="C20" s="22" t="s">
        <v>3520</v>
      </c>
      <c r="D20" s="22" t="s">
        <v>1165</v>
      </c>
      <c r="E20" s="22" t="s">
        <v>3521</v>
      </c>
      <c r="F20" s="22" t="s">
        <v>3522</v>
      </c>
      <c r="G20" s="22" t="s">
        <v>3523</v>
      </c>
      <c r="I20" s="22">
        <v>19</v>
      </c>
      <c r="J20" s="22" t="s">
        <v>3628</v>
      </c>
      <c r="K20" s="22" t="s">
        <v>3547</v>
      </c>
      <c r="L20" s="22" t="s">
        <v>3548</v>
      </c>
      <c r="M20" s="22" t="s">
        <v>3549</v>
      </c>
      <c r="N20" s="22" t="s">
        <v>3550</v>
      </c>
      <c r="O20" s="22" t="s">
        <v>3551</v>
      </c>
      <c r="Q20" t="str">
        <f t="shared" si="2"/>
        <v xml:space="preserve">0.72 </v>
      </c>
      <c r="R20" t="str">
        <f t="shared" si="3"/>
        <v xml:space="preserve">0.78 </v>
      </c>
      <c r="S20" t="str">
        <f t="shared" si="4"/>
        <v xml:space="preserve">0.48 </v>
      </c>
      <c r="T20" t="str">
        <f t="shared" si="5"/>
        <v xml:space="preserve">2.05 </v>
      </c>
      <c r="U20" t="str">
        <f t="shared" si="6"/>
        <v xml:space="preserve">4.02 </v>
      </c>
      <c r="W20">
        <v>1000</v>
      </c>
      <c r="X20">
        <v>1000</v>
      </c>
      <c r="Y20">
        <v>1000</v>
      </c>
      <c r="Z20">
        <v>1000</v>
      </c>
      <c r="AA20">
        <v>1000</v>
      </c>
      <c r="AC20">
        <f t="shared" si="7"/>
        <v>720</v>
      </c>
      <c r="AD20">
        <f t="shared" si="8"/>
        <v>780</v>
      </c>
      <c r="AE20">
        <f t="shared" si="9"/>
        <v>480</v>
      </c>
      <c r="AF20">
        <f t="shared" si="10"/>
        <v>2050</v>
      </c>
      <c r="AG20">
        <f t="shared" si="11"/>
        <v>4019.9999999999995</v>
      </c>
    </row>
    <row r="21" spans="1:33" ht="28.2" thickBot="1" x14ac:dyDescent="0.3">
      <c r="A21" s="22">
        <v>20</v>
      </c>
      <c r="B21" s="22" t="s">
        <v>2173</v>
      </c>
      <c r="C21" s="22" t="s">
        <v>3524</v>
      </c>
      <c r="D21" s="22" t="s">
        <v>3525</v>
      </c>
      <c r="E21" s="22" t="s">
        <v>3526</v>
      </c>
      <c r="F21" s="22" t="s">
        <v>3527</v>
      </c>
      <c r="G21" s="22" t="s">
        <v>3528</v>
      </c>
      <c r="I21" s="22">
        <v>20</v>
      </c>
      <c r="J21" s="22" t="s">
        <v>2362</v>
      </c>
      <c r="K21" s="22" t="s">
        <v>2908</v>
      </c>
      <c r="L21" s="22" t="s">
        <v>2908</v>
      </c>
      <c r="M21" s="22" t="s">
        <v>2908</v>
      </c>
      <c r="N21" s="22" t="s">
        <v>2908</v>
      </c>
      <c r="O21" s="22" t="s">
        <v>2908</v>
      </c>
      <c r="Q21" t="e">
        <f t="shared" si="2"/>
        <v>#N/A</v>
      </c>
      <c r="R21" t="e">
        <f t="shared" si="3"/>
        <v>#N/A</v>
      </c>
      <c r="S21" t="e">
        <f t="shared" si="4"/>
        <v>#N/A</v>
      </c>
      <c r="T21" t="e">
        <f t="shared" si="5"/>
        <v>#N/A</v>
      </c>
      <c r="U21" t="e">
        <f t="shared" si="6"/>
        <v>#N/A</v>
      </c>
      <c r="W21">
        <v>1000</v>
      </c>
      <c r="X21">
        <v>1000</v>
      </c>
      <c r="Y21">
        <v>1000</v>
      </c>
      <c r="Z21">
        <v>1000</v>
      </c>
      <c r="AA21">
        <v>1000</v>
      </c>
      <c r="AC21" t="e">
        <f t="shared" si="7"/>
        <v>#N/A</v>
      </c>
      <c r="AD21" t="e">
        <f t="shared" si="8"/>
        <v>#N/A</v>
      </c>
      <c r="AE21" t="e">
        <f t="shared" si="9"/>
        <v>#N/A</v>
      </c>
      <c r="AF21" t="e">
        <f t="shared" si="10"/>
        <v>#N/A</v>
      </c>
      <c r="AG21" t="e">
        <f t="shared" si="11"/>
        <v>#N/A</v>
      </c>
    </row>
    <row r="22" spans="1:33" ht="28.2" thickBot="1" x14ac:dyDescent="0.3">
      <c r="A22" s="22">
        <v>21</v>
      </c>
      <c r="B22" s="22" t="s">
        <v>2186</v>
      </c>
      <c r="C22" s="22" t="s">
        <v>3529</v>
      </c>
      <c r="D22" s="22" t="s">
        <v>3530</v>
      </c>
      <c r="E22" s="22" t="s">
        <v>3531</v>
      </c>
      <c r="F22" s="22" t="s">
        <v>3532</v>
      </c>
      <c r="G22" s="22" t="s">
        <v>3533</v>
      </c>
      <c r="I22" s="22">
        <v>21</v>
      </c>
      <c r="J22" s="22" t="s">
        <v>2942</v>
      </c>
      <c r="K22" s="22" t="s">
        <v>1165</v>
      </c>
      <c r="L22" s="22" t="s">
        <v>1165</v>
      </c>
      <c r="M22" s="22" t="s">
        <v>1165</v>
      </c>
      <c r="N22" s="22" t="s">
        <v>3557</v>
      </c>
      <c r="O22" s="22" t="s">
        <v>1165</v>
      </c>
      <c r="Q22" t="e">
        <f t="shared" si="2"/>
        <v>#N/A</v>
      </c>
      <c r="R22" t="e">
        <f t="shared" si="3"/>
        <v>#N/A</v>
      </c>
      <c r="S22" t="e">
        <f t="shared" si="4"/>
        <v>#N/A</v>
      </c>
      <c r="T22" t="str">
        <f t="shared" si="5"/>
        <v xml:space="preserve">0.06 </v>
      </c>
      <c r="U22" t="e">
        <f t="shared" si="6"/>
        <v>#N/A</v>
      </c>
      <c r="W22">
        <v>1000</v>
      </c>
      <c r="X22">
        <v>1000</v>
      </c>
      <c r="Y22">
        <v>1000</v>
      </c>
      <c r="Z22">
        <v>1000</v>
      </c>
      <c r="AA22">
        <v>1000</v>
      </c>
      <c r="AC22" t="e">
        <f t="shared" si="7"/>
        <v>#N/A</v>
      </c>
      <c r="AD22" t="e">
        <f t="shared" si="8"/>
        <v>#N/A</v>
      </c>
      <c r="AE22" t="e">
        <f t="shared" si="9"/>
        <v>#N/A</v>
      </c>
      <c r="AF22">
        <f t="shared" si="10"/>
        <v>60</v>
      </c>
      <c r="AG22" t="e">
        <f t="shared" si="11"/>
        <v>#N/A</v>
      </c>
    </row>
    <row r="23" spans="1:33" ht="42" thickBot="1" x14ac:dyDescent="0.3">
      <c r="A23" s="22">
        <v>22</v>
      </c>
      <c r="B23" s="22" t="s">
        <v>3534</v>
      </c>
      <c r="C23" s="22" t="s">
        <v>1165</v>
      </c>
      <c r="D23" s="22" t="s">
        <v>1165</v>
      </c>
      <c r="E23" s="22" t="s">
        <v>1165</v>
      </c>
      <c r="F23" s="22" t="s">
        <v>3535</v>
      </c>
      <c r="G23" s="22" t="s">
        <v>3536</v>
      </c>
      <c r="I23" s="22">
        <v>22</v>
      </c>
      <c r="J23" s="22" t="s">
        <v>3157</v>
      </c>
      <c r="K23" s="22" t="s">
        <v>1165</v>
      </c>
      <c r="L23" s="22" t="s">
        <v>1165</v>
      </c>
      <c r="M23" s="22" t="s">
        <v>1165</v>
      </c>
      <c r="N23" s="22" t="s">
        <v>3561</v>
      </c>
      <c r="O23" s="22" t="s">
        <v>3562</v>
      </c>
      <c r="Q23" t="e">
        <f t="shared" si="2"/>
        <v>#N/A</v>
      </c>
      <c r="R23" t="e">
        <f t="shared" si="3"/>
        <v>#N/A</v>
      </c>
      <c r="S23" t="e">
        <f t="shared" si="4"/>
        <v>#N/A</v>
      </c>
      <c r="T23" t="str">
        <f t="shared" si="5"/>
        <v xml:space="preserve">0.34 </v>
      </c>
      <c r="U23" t="str">
        <f t="shared" si="6"/>
        <v xml:space="preserve">1.16 </v>
      </c>
      <c r="W23">
        <v>1000</v>
      </c>
      <c r="X23">
        <v>1000</v>
      </c>
      <c r="Y23">
        <v>1000</v>
      </c>
      <c r="Z23">
        <v>1000</v>
      </c>
      <c r="AA23">
        <v>1000</v>
      </c>
      <c r="AC23" t="e">
        <f t="shared" si="7"/>
        <v>#N/A</v>
      </c>
      <c r="AD23" t="e">
        <f t="shared" si="8"/>
        <v>#N/A</v>
      </c>
      <c r="AE23" t="e">
        <f t="shared" si="9"/>
        <v>#N/A</v>
      </c>
      <c r="AF23">
        <f t="shared" si="10"/>
        <v>340</v>
      </c>
      <c r="AG23">
        <f t="shared" si="11"/>
        <v>1160</v>
      </c>
    </row>
    <row r="24" spans="1:33" ht="55.8" thickBot="1" x14ac:dyDescent="0.3">
      <c r="A24" s="22">
        <v>23</v>
      </c>
      <c r="B24" s="22" t="s">
        <v>3276</v>
      </c>
      <c r="C24" s="22" t="s">
        <v>3537</v>
      </c>
      <c r="D24" s="22" t="s">
        <v>3538</v>
      </c>
      <c r="E24" s="22" t="s">
        <v>3539</v>
      </c>
      <c r="F24" s="22" t="s">
        <v>3540</v>
      </c>
      <c r="G24" s="22" t="s">
        <v>3541</v>
      </c>
      <c r="I24" s="22">
        <v>23</v>
      </c>
      <c r="J24" s="22" t="s">
        <v>3629</v>
      </c>
      <c r="K24" s="22" t="s">
        <v>1165</v>
      </c>
      <c r="L24" s="22" t="s">
        <v>1165</v>
      </c>
      <c r="M24" s="22" t="s">
        <v>1165</v>
      </c>
      <c r="N24" s="22" t="s">
        <v>3559</v>
      </c>
      <c r="O24" s="22" t="s">
        <v>3560</v>
      </c>
      <c r="Q24" t="e">
        <f t="shared" si="2"/>
        <v>#N/A</v>
      </c>
      <c r="R24" t="e">
        <f t="shared" si="3"/>
        <v>#N/A</v>
      </c>
      <c r="S24" t="e">
        <f t="shared" si="4"/>
        <v>#N/A</v>
      </c>
      <c r="T24" t="str">
        <f t="shared" si="5"/>
        <v xml:space="preserve">0.51 </v>
      </c>
      <c r="U24" t="str">
        <f t="shared" si="6"/>
        <v xml:space="preserve">1.52 </v>
      </c>
      <c r="W24">
        <v>1000</v>
      </c>
      <c r="X24">
        <v>1000</v>
      </c>
      <c r="Y24">
        <v>1000</v>
      </c>
      <c r="Z24">
        <v>1000</v>
      </c>
      <c r="AA24">
        <v>1000</v>
      </c>
      <c r="AC24" t="e">
        <f t="shared" si="7"/>
        <v>#N/A</v>
      </c>
      <c r="AD24" t="e">
        <f t="shared" si="8"/>
        <v>#N/A</v>
      </c>
      <c r="AE24" t="e">
        <f t="shared" si="9"/>
        <v>#N/A</v>
      </c>
      <c r="AF24">
        <f t="shared" si="10"/>
        <v>510</v>
      </c>
      <c r="AG24">
        <f t="shared" si="11"/>
        <v>1520</v>
      </c>
    </row>
    <row r="25" spans="1:33" ht="28.2" thickBot="1" x14ac:dyDescent="0.3">
      <c r="A25" s="22">
        <v>24</v>
      </c>
      <c r="B25" s="22" t="s">
        <v>3434</v>
      </c>
      <c r="C25" s="22" t="s">
        <v>3542</v>
      </c>
      <c r="D25" s="22" t="s">
        <v>1165</v>
      </c>
      <c r="E25" s="22" t="s">
        <v>1165</v>
      </c>
      <c r="F25" s="22" t="s">
        <v>3543</v>
      </c>
      <c r="G25" s="22" t="s">
        <v>3544</v>
      </c>
      <c r="I25" s="22">
        <v>24</v>
      </c>
      <c r="J25" s="22" t="s">
        <v>2918</v>
      </c>
      <c r="K25" s="22" t="s">
        <v>2908</v>
      </c>
      <c r="L25" s="22" t="s">
        <v>2908</v>
      </c>
      <c r="M25" s="22" t="s">
        <v>2908</v>
      </c>
      <c r="N25" s="22" t="s">
        <v>2908</v>
      </c>
      <c r="O25" s="22" t="s">
        <v>2908</v>
      </c>
      <c r="Q25" t="e">
        <f t="shared" si="2"/>
        <v>#N/A</v>
      </c>
      <c r="R25" t="e">
        <f t="shared" si="3"/>
        <v>#N/A</v>
      </c>
      <c r="S25" t="e">
        <f t="shared" si="4"/>
        <v>#N/A</v>
      </c>
      <c r="T25" t="e">
        <f t="shared" si="5"/>
        <v>#N/A</v>
      </c>
      <c r="U25" t="e">
        <f t="shared" si="6"/>
        <v>#N/A</v>
      </c>
      <c r="W25">
        <v>1000</v>
      </c>
      <c r="X25">
        <v>1000</v>
      </c>
      <c r="Y25">
        <v>1000</v>
      </c>
      <c r="Z25">
        <v>1000</v>
      </c>
      <c r="AA25">
        <v>1000</v>
      </c>
      <c r="AC25" t="e">
        <f t="shared" si="7"/>
        <v>#N/A</v>
      </c>
      <c r="AD25" t="e">
        <f t="shared" si="8"/>
        <v>#N/A</v>
      </c>
      <c r="AE25" t="e">
        <f t="shared" si="9"/>
        <v>#N/A</v>
      </c>
      <c r="AF25" t="e">
        <f t="shared" si="10"/>
        <v>#N/A</v>
      </c>
      <c r="AG25" t="e">
        <f t="shared" si="11"/>
        <v>#N/A</v>
      </c>
    </row>
    <row r="26" spans="1:33" ht="28.2" thickBot="1" x14ac:dyDescent="0.3">
      <c r="A26" s="22">
        <v>25</v>
      </c>
      <c r="B26" s="22" t="s">
        <v>2028</v>
      </c>
      <c r="C26" s="22" t="s">
        <v>1165</v>
      </c>
      <c r="D26" s="22" t="s">
        <v>1165</v>
      </c>
      <c r="E26" s="22" t="s">
        <v>1165</v>
      </c>
      <c r="F26" s="22" t="s">
        <v>1165</v>
      </c>
      <c r="G26" s="22" t="s">
        <v>3545</v>
      </c>
      <c r="I26" s="22">
        <v>25</v>
      </c>
      <c r="J26" s="22" t="s">
        <v>2179</v>
      </c>
      <c r="K26" s="22" t="s">
        <v>3563</v>
      </c>
      <c r="L26" s="22" t="s">
        <v>1165</v>
      </c>
      <c r="M26" s="22" t="s">
        <v>1165</v>
      </c>
      <c r="N26" s="22" t="s">
        <v>1165</v>
      </c>
      <c r="O26" s="22" t="s">
        <v>1165</v>
      </c>
      <c r="Q26" t="str">
        <f t="shared" si="2"/>
        <v xml:space="preserve">0.13 </v>
      </c>
      <c r="R26" t="e">
        <f t="shared" si="3"/>
        <v>#N/A</v>
      </c>
      <c r="S26" t="e">
        <f t="shared" si="4"/>
        <v>#N/A</v>
      </c>
      <c r="T26" t="e">
        <f t="shared" si="5"/>
        <v>#N/A</v>
      </c>
      <c r="U26" t="e">
        <f t="shared" si="6"/>
        <v>#N/A</v>
      </c>
      <c r="W26">
        <v>1000</v>
      </c>
      <c r="X26">
        <v>1000</v>
      </c>
      <c r="Y26">
        <v>1000</v>
      </c>
      <c r="Z26">
        <v>1000</v>
      </c>
      <c r="AA26">
        <v>1000</v>
      </c>
      <c r="AC26">
        <f t="shared" si="7"/>
        <v>130</v>
      </c>
      <c r="AD26" t="e">
        <f t="shared" si="8"/>
        <v>#N/A</v>
      </c>
      <c r="AE26" t="e">
        <f t="shared" si="9"/>
        <v>#N/A</v>
      </c>
      <c r="AF26" t="e">
        <f t="shared" si="10"/>
        <v>#N/A</v>
      </c>
      <c r="AG26" t="e">
        <f t="shared" si="11"/>
        <v>#N/A</v>
      </c>
    </row>
    <row r="27" spans="1:33" ht="28.2" thickBot="1" x14ac:dyDescent="0.3">
      <c r="A27" s="22">
        <v>26</v>
      </c>
      <c r="B27" s="22" t="s">
        <v>2929</v>
      </c>
      <c r="C27" s="22" t="s">
        <v>3546</v>
      </c>
      <c r="D27" s="22" t="s">
        <v>1165</v>
      </c>
      <c r="E27" s="22" t="s">
        <v>1165</v>
      </c>
      <c r="F27" s="22" t="s">
        <v>1165</v>
      </c>
      <c r="G27" s="22" t="s">
        <v>1165</v>
      </c>
      <c r="I27" s="22">
        <v>26</v>
      </c>
      <c r="J27" s="22" t="s">
        <v>2358</v>
      </c>
      <c r="K27" s="22" t="s">
        <v>2908</v>
      </c>
      <c r="L27" s="22" t="s">
        <v>2908</v>
      </c>
      <c r="M27" s="22" t="s">
        <v>2908</v>
      </c>
      <c r="N27" s="22" t="s">
        <v>2908</v>
      </c>
      <c r="O27" s="22" t="s">
        <v>2908</v>
      </c>
      <c r="Q27" t="e">
        <f t="shared" si="2"/>
        <v>#N/A</v>
      </c>
      <c r="R27" t="e">
        <f t="shared" si="3"/>
        <v>#N/A</v>
      </c>
      <c r="S27" t="e">
        <f t="shared" si="4"/>
        <v>#N/A</v>
      </c>
      <c r="T27" t="e">
        <f t="shared" si="5"/>
        <v>#N/A</v>
      </c>
      <c r="U27" t="e">
        <f t="shared" si="6"/>
        <v>#N/A</v>
      </c>
      <c r="W27">
        <v>1000</v>
      </c>
      <c r="X27">
        <v>1000</v>
      </c>
      <c r="Y27">
        <v>1000</v>
      </c>
      <c r="Z27">
        <v>1000</v>
      </c>
      <c r="AA27">
        <v>1000</v>
      </c>
      <c r="AC27" t="e">
        <f t="shared" si="7"/>
        <v>#N/A</v>
      </c>
      <c r="AD27" t="e">
        <f t="shared" si="8"/>
        <v>#N/A</v>
      </c>
      <c r="AE27" t="e">
        <f t="shared" si="9"/>
        <v>#N/A</v>
      </c>
      <c r="AF27" t="e">
        <f t="shared" si="10"/>
        <v>#N/A</v>
      </c>
      <c r="AG27" t="e">
        <f t="shared" si="11"/>
        <v>#N/A</v>
      </c>
    </row>
    <row r="28" spans="1:33" ht="28.2" thickBot="1" x14ac:dyDescent="0.3">
      <c r="A28" s="22">
        <v>27</v>
      </c>
      <c r="B28" s="22" t="s">
        <v>2959</v>
      </c>
      <c r="C28" s="22" t="s">
        <v>3547</v>
      </c>
      <c r="D28" s="22" t="s">
        <v>3548</v>
      </c>
      <c r="E28" s="22" t="s">
        <v>3549</v>
      </c>
      <c r="F28" s="22" t="s">
        <v>3550</v>
      </c>
      <c r="G28" s="22" t="s">
        <v>3551</v>
      </c>
      <c r="I28" s="22">
        <v>27</v>
      </c>
      <c r="J28" s="22" t="s">
        <v>2359</v>
      </c>
      <c r="K28" s="22" t="s">
        <v>2908</v>
      </c>
      <c r="L28" s="22" t="s">
        <v>2908</v>
      </c>
      <c r="M28" s="22" t="s">
        <v>2908</v>
      </c>
      <c r="N28" s="22" t="s">
        <v>2908</v>
      </c>
      <c r="O28" s="22" t="s">
        <v>2908</v>
      </c>
      <c r="Q28" t="e">
        <f t="shared" si="2"/>
        <v>#N/A</v>
      </c>
      <c r="R28" t="e">
        <f t="shared" si="3"/>
        <v>#N/A</v>
      </c>
      <c r="S28" t="e">
        <f t="shared" si="4"/>
        <v>#N/A</v>
      </c>
      <c r="T28" t="e">
        <f t="shared" si="5"/>
        <v>#N/A</v>
      </c>
      <c r="U28" t="e">
        <f t="shared" si="6"/>
        <v>#N/A</v>
      </c>
      <c r="W28">
        <v>1000</v>
      </c>
      <c r="X28">
        <v>1000</v>
      </c>
      <c r="Y28">
        <v>1000</v>
      </c>
      <c r="Z28">
        <v>1000</v>
      </c>
      <c r="AA28">
        <v>1000</v>
      </c>
      <c r="AC28" t="e">
        <f t="shared" si="7"/>
        <v>#N/A</v>
      </c>
      <c r="AD28" t="e">
        <f t="shared" si="8"/>
        <v>#N/A</v>
      </c>
      <c r="AE28" t="e">
        <f t="shared" si="9"/>
        <v>#N/A</v>
      </c>
      <c r="AF28" t="e">
        <f t="shared" si="10"/>
        <v>#N/A</v>
      </c>
      <c r="AG28" t="e">
        <f t="shared" si="11"/>
        <v>#N/A</v>
      </c>
    </row>
    <row r="29" spans="1:33" ht="28.2" thickBot="1" x14ac:dyDescent="0.3">
      <c r="A29" s="22">
        <v>28</v>
      </c>
      <c r="B29" s="22" t="s">
        <v>2029</v>
      </c>
      <c r="C29" s="22" t="s">
        <v>3552</v>
      </c>
      <c r="D29" s="22" t="s">
        <v>3553</v>
      </c>
      <c r="E29" s="22" t="s">
        <v>3554</v>
      </c>
      <c r="F29" s="22" t="s">
        <v>3555</v>
      </c>
      <c r="G29" s="22" t="s">
        <v>3556</v>
      </c>
      <c r="I29" s="22">
        <v>28</v>
      </c>
      <c r="J29" s="22" t="s">
        <v>2024</v>
      </c>
      <c r="K29" s="22" t="s">
        <v>3571</v>
      </c>
      <c r="L29" s="22" t="s">
        <v>3572</v>
      </c>
      <c r="M29" s="22" t="s">
        <v>3573</v>
      </c>
      <c r="N29" s="22" t="s">
        <v>3574</v>
      </c>
      <c r="O29" s="22" t="s">
        <v>3575</v>
      </c>
      <c r="Q29" t="str">
        <f t="shared" si="2"/>
        <v xml:space="preserve">7.9 </v>
      </c>
      <c r="R29" t="str">
        <f t="shared" si="3"/>
        <v xml:space="preserve">8.36 </v>
      </c>
      <c r="S29" t="str">
        <f t="shared" si="4"/>
        <v xml:space="preserve">5.40 </v>
      </c>
      <c r="T29" t="str">
        <f t="shared" si="5"/>
        <v xml:space="preserve">5.57 </v>
      </c>
      <c r="U29" t="str">
        <f t="shared" si="6"/>
        <v xml:space="preserve">10.18 </v>
      </c>
      <c r="W29">
        <v>1000</v>
      </c>
      <c r="X29">
        <v>1000</v>
      </c>
      <c r="Y29">
        <v>1000</v>
      </c>
      <c r="Z29">
        <v>1000</v>
      </c>
      <c r="AA29">
        <v>1000</v>
      </c>
      <c r="AC29">
        <f t="shared" si="7"/>
        <v>7900</v>
      </c>
      <c r="AD29">
        <f t="shared" si="8"/>
        <v>8360</v>
      </c>
      <c r="AE29">
        <f t="shared" si="9"/>
        <v>5400</v>
      </c>
      <c r="AF29">
        <f t="shared" si="10"/>
        <v>5570</v>
      </c>
      <c r="AG29">
        <f t="shared" si="11"/>
        <v>10180</v>
      </c>
    </row>
    <row r="30" spans="1:33" ht="28.2" thickBot="1" x14ac:dyDescent="0.3">
      <c r="A30" s="22">
        <v>29</v>
      </c>
      <c r="B30" s="22" t="s">
        <v>2866</v>
      </c>
      <c r="C30" s="22" t="s">
        <v>1165</v>
      </c>
      <c r="D30" s="22" t="s">
        <v>1165</v>
      </c>
      <c r="E30" s="22" t="s">
        <v>1165</v>
      </c>
      <c r="F30" s="22" t="s">
        <v>3557</v>
      </c>
      <c r="G30" s="22" t="s">
        <v>1165</v>
      </c>
      <c r="I30" s="22">
        <v>29</v>
      </c>
      <c r="J30" s="22" t="s">
        <v>2892</v>
      </c>
      <c r="K30" s="22" t="s">
        <v>2908</v>
      </c>
      <c r="L30" s="22" t="s">
        <v>2908</v>
      </c>
      <c r="M30" s="22" t="s">
        <v>2908</v>
      </c>
      <c r="N30" s="22" t="s">
        <v>2908</v>
      </c>
      <c r="O30" s="22" t="s">
        <v>2908</v>
      </c>
      <c r="Q30" t="e">
        <f t="shared" si="2"/>
        <v>#N/A</v>
      </c>
      <c r="R30" t="e">
        <f t="shared" si="3"/>
        <v>#N/A</v>
      </c>
      <c r="S30" t="e">
        <f t="shared" si="4"/>
        <v>#N/A</v>
      </c>
      <c r="T30" t="e">
        <f t="shared" si="5"/>
        <v>#N/A</v>
      </c>
      <c r="U30" t="e">
        <f t="shared" si="6"/>
        <v>#N/A</v>
      </c>
      <c r="W30">
        <v>1000</v>
      </c>
      <c r="X30">
        <v>1000</v>
      </c>
      <c r="Y30">
        <v>1000</v>
      </c>
      <c r="Z30">
        <v>1000</v>
      </c>
      <c r="AA30">
        <v>1000</v>
      </c>
      <c r="AC30" t="e">
        <f t="shared" si="7"/>
        <v>#N/A</v>
      </c>
      <c r="AD30" t="e">
        <f t="shared" si="8"/>
        <v>#N/A</v>
      </c>
      <c r="AE30" t="e">
        <f t="shared" si="9"/>
        <v>#N/A</v>
      </c>
      <c r="AF30" t="e">
        <f t="shared" si="10"/>
        <v>#N/A</v>
      </c>
      <c r="AG30" t="e">
        <f t="shared" si="11"/>
        <v>#N/A</v>
      </c>
    </row>
    <row r="31" spans="1:33" ht="28.2" thickBot="1" x14ac:dyDescent="0.3">
      <c r="A31" s="22">
        <v>30</v>
      </c>
      <c r="B31" s="22" t="s">
        <v>3558</v>
      </c>
      <c r="C31" s="22" t="s">
        <v>1165</v>
      </c>
      <c r="D31" s="22" t="s">
        <v>1165</v>
      </c>
      <c r="E31" s="22" t="s">
        <v>1165</v>
      </c>
      <c r="F31" s="22" t="s">
        <v>3559</v>
      </c>
      <c r="G31" s="22" t="s">
        <v>3560</v>
      </c>
      <c r="I31" s="22">
        <v>30</v>
      </c>
      <c r="J31" s="22" t="s">
        <v>2021</v>
      </c>
      <c r="K31" s="22" t="s">
        <v>2908</v>
      </c>
      <c r="L31" s="22" t="s">
        <v>2908</v>
      </c>
      <c r="M31" s="22" t="s">
        <v>2908</v>
      </c>
      <c r="N31" s="22" t="s">
        <v>2908</v>
      </c>
      <c r="O31" s="22" t="s">
        <v>2908</v>
      </c>
      <c r="Q31" t="e">
        <f t="shared" si="2"/>
        <v>#N/A</v>
      </c>
      <c r="R31" t="e">
        <f t="shared" si="3"/>
        <v>#N/A</v>
      </c>
      <c r="S31" t="e">
        <f t="shared" si="4"/>
        <v>#N/A</v>
      </c>
      <c r="T31" t="e">
        <f t="shared" si="5"/>
        <v>#N/A</v>
      </c>
      <c r="U31" t="e">
        <f t="shared" si="6"/>
        <v>#N/A</v>
      </c>
      <c r="W31">
        <v>1000</v>
      </c>
      <c r="X31">
        <v>1000</v>
      </c>
      <c r="Y31">
        <v>1000</v>
      </c>
      <c r="Z31">
        <v>1000</v>
      </c>
      <c r="AA31">
        <v>1000</v>
      </c>
      <c r="AC31" t="e">
        <f t="shared" si="7"/>
        <v>#N/A</v>
      </c>
      <c r="AD31" t="e">
        <f t="shared" si="8"/>
        <v>#N/A</v>
      </c>
      <c r="AE31" t="e">
        <f t="shared" si="9"/>
        <v>#N/A</v>
      </c>
      <c r="AF31" t="e">
        <f t="shared" si="10"/>
        <v>#N/A</v>
      </c>
      <c r="AG31" t="e">
        <f t="shared" si="11"/>
        <v>#N/A</v>
      </c>
    </row>
    <row r="32" spans="1:33" ht="28.2" thickBot="1" x14ac:dyDescent="0.3">
      <c r="A32" s="22">
        <v>31</v>
      </c>
      <c r="B32" s="22" t="s">
        <v>2875</v>
      </c>
      <c r="C32" s="22" t="s">
        <v>1165</v>
      </c>
      <c r="D32" s="22" t="s">
        <v>1165</v>
      </c>
      <c r="E32" s="22" t="s">
        <v>1165</v>
      </c>
      <c r="F32" s="22" t="s">
        <v>3561</v>
      </c>
      <c r="G32" s="22" t="s">
        <v>3562</v>
      </c>
      <c r="I32" s="22">
        <v>31</v>
      </c>
      <c r="J32" s="22" t="s">
        <v>2174</v>
      </c>
      <c r="K32" s="22" t="s">
        <v>3581</v>
      </c>
      <c r="L32" s="22" t="s">
        <v>3582</v>
      </c>
      <c r="M32" s="22" t="s">
        <v>3583</v>
      </c>
      <c r="N32" s="22" t="s">
        <v>3584</v>
      </c>
      <c r="O32" s="22" t="s">
        <v>3585</v>
      </c>
      <c r="Q32" t="str">
        <f t="shared" si="2"/>
        <v xml:space="preserve">0.46 </v>
      </c>
      <c r="R32" t="str">
        <f t="shared" si="3"/>
        <v xml:space="preserve">0.47 </v>
      </c>
      <c r="S32" t="str">
        <f t="shared" si="4"/>
        <v xml:space="preserve">0.24 </v>
      </c>
      <c r="T32" t="str">
        <f t="shared" si="5"/>
        <v xml:space="preserve">1.08 </v>
      </c>
      <c r="U32" t="str">
        <f t="shared" si="6"/>
        <v xml:space="preserve">1.96 </v>
      </c>
      <c r="W32">
        <v>1000</v>
      </c>
      <c r="X32">
        <v>1000</v>
      </c>
      <c r="Y32">
        <v>1000</v>
      </c>
      <c r="Z32">
        <v>1000</v>
      </c>
      <c r="AA32">
        <v>1000</v>
      </c>
      <c r="AC32">
        <f t="shared" si="7"/>
        <v>460</v>
      </c>
      <c r="AD32">
        <f t="shared" si="8"/>
        <v>470</v>
      </c>
      <c r="AE32">
        <f t="shared" si="9"/>
        <v>240</v>
      </c>
      <c r="AF32">
        <f t="shared" si="10"/>
        <v>1080</v>
      </c>
      <c r="AG32">
        <f t="shared" si="11"/>
        <v>1960</v>
      </c>
    </row>
    <row r="33" spans="1:33" ht="28.2" thickBot="1" x14ac:dyDescent="0.3">
      <c r="A33" s="22">
        <v>32</v>
      </c>
      <c r="B33" s="22" t="s">
        <v>2179</v>
      </c>
      <c r="C33" s="22" t="s">
        <v>3563</v>
      </c>
      <c r="D33" s="22" t="s">
        <v>1165</v>
      </c>
      <c r="E33" s="22" t="s">
        <v>1165</v>
      </c>
      <c r="F33" s="22" t="s">
        <v>1165</v>
      </c>
      <c r="G33" s="22" t="s">
        <v>1165</v>
      </c>
      <c r="I33" s="22">
        <v>32</v>
      </c>
      <c r="J33" s="22" t="s">
        <v>2180</v>
      </c>
      <c r="K33" s="22" t="s">
        <v>3576</v>
      </c>
      <c r="L33" s="22" t="s">
        <v>3577</v>
      </c>
      <c r="M33" s="22" t="s">
        <v>3578</v>
      </c>
      <c r="N33" s="22" t="s">
        <v>3579</v>
      </c>
      <c r="O33" s="22" t="s">
        <v>3580</v>
      </c>
      <c r="Q33" t="str">
        <f t="shared" si="2"/>
        <v xml:space="preserve">0.2 </v>
      </c>
      <c r="R33" t="str">
        <f t="shared" si="3"/>
        <v xml:space="preserve">0.31 </v>
      </c>
      <c r="S33" t="str">
        <f t="shared" si="4"/>
        <v xml:space="preserve">0.24 </v>
      </c>
      <c r="T33" t="str">
        <f t="shared" si="5"/>
        <v xml:space="preserve">0.34 </v>
      </c>
      <c r="U33" t="str">
        <f t="shared" si="6"/>
        <v xml:space="preserve">0.45 </v>
      </c>
      <c r="W33">
        <v>1000</v>
      </c>
      <c r="X33">
        <v>1000</v>
      </c>
      <c r="Y33">
        <v>1000</v>
      </c>
      <c r="Z33">
        <v>1000</v>
      </c>
      <c r="AA33">
        <v>1000</v>
      </c>
      <c r="AC33">
        <f t="shared" si="7"/>
        <v>200</v>
      </c>
      <c r="AD33">
        <f t="shared" si="8"/>
        <v>310</v>
      </c>
      <c r="AE33">
        <f t="shared" si="9"/>
        <v>240</v>
      </c>
      <c r="AF33">
        <f t="shared" si="10"/>
        <v>340</v>
      </c>
      <c r="AG33">
        <f t="shared" si="11"/>
        <v>450</v>
      </c>
    </row>
    <row r="34" spans="1:33" ht="28.2" thickBot="1" x14ac:dyDescent="0.3">
      <c r="A34" s="22">
        <v>33</v>
      </c>
      <c r="B34" s="22" t="s">
        <v>3296</v>
      </c>
      <c r="C34" s="22" t="s">
        <v>1165</v>
      </c>
      <c r="D34" s="22" t="s">
        <v>1165</v>
      </c>
      <c r="E34" s="22" t="s">
        <v>3564</v>
      </c>
      <c r="F34" s="22" t="s">
        <v>1165</v>
      </c>
      <c r="G34" s="22" t="s">
        <v>1165</v>
      </c>
      <c r="I34" s="22">
        <v>33</v>
      </c>
      <c r="J34" s="22" t="s">
        <v>2020</v>
      </c>
      <c r="K34" s="22" t="s">
        <v>1165</v>
      </c>
      <c r="L34" s="22" t="s">
        <v>3554</v>
      </c>
      <c r="M34" s="22" t="s">
        <v>1165</v>
      </c>
      <c r="N34" s="22" t="s">
        <v>3570</v>
      </c>
      <c r="O34" s="22" t="s">
        <v>1165</v>
      </c>
      <c r="Q34" t="e">
        <f t="shared" si="2"/>
        <v>#N/A</v>
      </c>
      <c r="R34" t="str">
        <f t="shared" si="3"/>
        <v xml:space="preserve">0.16 </v>
      </c>
      <c r="S34" t="e">
        <f t="shared" si="4"/>
        <v>#N/A</v>
      </c>
      <c r="T34" t="str">
        <f t="shared" si="5"/>
        <v xml:space="preserve">0.46 </v>
      </c>
      <c r="U34" t="e">
        <f t="shared" si="6"/>
        <v>#N/A</v>
      </c>
      <c r="W34">
        <v>1000</v>
      </c>
      <c r="X34">
        <v>1000</v>
      </c>
      <c r="Y34">
        <v>1000</v>
      </c>
      <c r="Z34">
        <v>1000</v>
      </c>
      <c r="AA34">
        <v>1000</v>
      </c>
      <c r="AC34" t="e">
        <f t="shared" si="7"/>
        <v>#N/A</v>
      </c>
      <c r="AD34">
        <f t="shared" si="8"/>
        <v>160</v>
      </c>
      <c r="AE34" t="e">
        <f t="shared" si="9"/>
        <v>#N/A</v>
      </c>
      <c r="AF34">
        <f t="shared" si="10"/>
        <v>460</v>
      </c>
      <c r="AG34" t="e">
        <f t="shared" si="11"/>
        <v>#N/A</v>
      </c>
    </row>
    <row r="35" spans="1:33" ht="28.2" thickBot="1" x14ac:dyDescent="0.3">
      <c r="A35" s="22">
        <v>34</v>
      </c>
      <c r="B35" s="22" t="s">
        <v>2177</v>
      </c>
      <c r="C35" s="22" t="s">
        <v>3565</v>
      </c>
      <c r="D35" s="22" t="s">
        <v>3566</v>
      </c>
      <c r="E35" s="22" t="s">
        <v>3567</v>
      </c>
      <c r="F35" s="22" t="s">
        <v>3568</v>
      </c>
      <c r="G35" s="22" t="s">
        <v>3569</v>
      </c>
      <c r="I35" s="22">
        <v>34</v>
      </c>
      <c r="J35" s="22" t="s">
        <v>2177</v>
      </c>
      <c r="K35" s="22" t="s">
        <v>3565</v>
      </c>
      <c r="L35" s="22" t="s">
        <v>3566</v>
      </c>
      <c r="M35" s="22" t="s">
        <v>3567</v>
      </c>
      <c r="N35" s="22" t="s">
        <v>3568</v>
      </c>
      <c r="O35" s="22" t="s">
        <v>3569</v>
      </c>
      <c r="Q35" t="str">
        <f t="shared" si="2"/>
        <v xml:space="preserve">0.46 </v>
      </c>
      <c r="R35" t="str">
        <f t="shared" si="3"/>
        <v xml:space="preserve">0.70 </v>
      </c>
      <c r="S35" t="str">
        <f t="shared" si="4"/>
        <v xml:space="preserve">0.97 </v>
      </c>
      <c r="T35" t="str">
        <f t="shared" si="5"/>
        <v xml:space="preserve">0.74 </v>
      </c>
      <c r="U35" t="str">
        <f t="shared" si="6"/>
        <v xml:space="preserve">0.54 </v>
      </c>
      <c r="W35">
        <v>1000</v>
      </c>
      <c r="X35">
        <v>1000</v>
      </c>
      <c r="Y35">
        <v>1000</v>
      </c>
      <c r="Z35">
        <v>1000</v>
      </c>
      <c r="AA35">
        <v>1000</v>
      </c>
      <c r="AC35">
        <f t="shared" si="7"/>
        <v>460</v>
      </c>
      <c r="AD35">
        <f t="shared" si="8"/>
        <v>700</v>
      </c>
      <c r="AE35">
        <f t="shared" si="9"/>
        <v>970</v>
      </c>
      <c r="AF35">
        <f t="shared" si="10"/>
        <v>740</v>
      </c>
      <c r="AG35">
        <f t="shared" si="11"/>
        <v>540</v>
      </c>
    </row>
    <row r="36" spans="1:33" ht="28.2" thickBot="1" x14ac:dyDescent="0.3">
      <c r="A36" s="22">
        <v>35</v>
      </c>
      <c r="B36" s="22" t="s">
        <v>2020</v>
      </c>
      <c r="C36" s="22" t="s">
        <v>1165</v>
      </c>
      <c r="D36" s="22" t="s">
        <v>3554</v>
      </c>
      <c r="E36" s="22" t="s">
        <v>1165</v>
      </c>
      <c r="F36" s="22" t="s">
        <v>3570</v>
      </c>
      <c r="G36" s="22" t="s">
        <v>1165</v>
      </c>
      <c r="I36" s="22">
        <v>35</v>
      </c>
      <c r="J36" s="22" t="s">
        <v>2175</v>
      </c>
      <c r="K36" s="22" t="s">
        <v>2908</v>
      </c>
      <c r="L36" s="22" t="s">
        <v>2908</v>
      </c>
      <c r="M36" s="22" t="s">
        <v>2908</v>
      </c>
      <c r="N36" s="22" t="s">
        <v>2908</v>
      </c>
      <c r="O36" s="22" t="s">
        <v>2908</v>
      </c>
      <c r="Q36" t="e">
        <f t="shared" si="2"/>
        <v>#N/A</v>
      </c>
      <c r="R36" t="e">
        <f t="shared" si="3"/>
        <v>#N/A</v>
      </c>
      <c r="S36" t="e">
        <f t="shared" si="4"/>
        <v>#N/A</v>
      </c>
      <c r="T36" t="e">
        <f t="shared" si="5"/>
        <v>#N/A</v>
      </c>
      <c r="U36" t="e">
        <f t="shared" si="6"/>
        <v>#N/A</v>
      </c>
      <c r="W36">
        <v>1000</v>
      </c>
      <c r="X36">
        <v>1000</v>
      </c>
      <c r="Y36">
        <v>1000</v>
      </c>
      <c r="Z36">
        <v>1000</v>
      </c>
      <c r="AA36">
        <v>1000</v>
      </c>
      <c r="AC36" t="e">
        <f t="shared" si="7"/>
        <v>#N/A</v>
      </c>
      <c r="AD36" t="e">
        <f t="shared" si="8"/>
        <v>#N/A</v>
      </c>
      <c r="AE36" t="e">
        <f t="shared" si="9"/>
        <v>#N/A</v>
      </c>
      <c r="AF36" t="e">
        <f t="shared" si="10"/>
        <v>#N/A</v>
      </c>
      <c r="AG36" t="e">
        <f t="shared" si="11"/>
        <v>#N/A</v>
      </c>
    </row>
    <row r="37" spans="1:33" ht="42" thickBot="1" x14ac:dyDescent="0.3">
      <c r="A37" s="22">
        <v>36</v>
      </c>
      <c r="B37" s="22" t="s">
        <v>2024</v>
      </c>
      <c r="C37" s="22" t="s">
        <v>3571</v>
      </c>
      <c r="D37" s="22" t="s">
        <v>3572</v>
      </c>
      <c r="E37" s="22" t="s">
        <v>3573</v>
      </c>
      <c r="F37" s="22" t="s">
        <v>3574</v>
      </c>
      <c r="G37" s="22" t="s">
        <v>3575</v>
      </c>
      <c r="I37" s="22">
        <v>36</v>
      </c>
      <c r="J37" s="22" t="s">
        <v>2919</v>
      </c>
      <c r="K37" s="22" t="s">
        <v>2908</v>
      </c>
      <c r="L37" s="22" t="s">
        <v>2908</v>
      </c>
      <c r="M37" s="22" t="s">
        <v>2908</v>
      </c>
      <c r="N37" s="22" t="s">
        <v>2908</v>
      </c>
      <c r="O37" s="22" t="s">
        <v>2908</v>
      </c>
      <c r="Q37" t="e">
        <f t="shared" si="2"/>
        <v>#N/A</v>
      </c>
      <c r="R37" t="e">
        <f t="shared" si="3"/>
        <v>#N/A</v>
      </c>
      <c r="S37" t="e">
        <f t="shared" si="4"/>
        <v>#N/A</v>
      </c>
      <c r="T37" t="e">
        <f t="shared" si="5"/>
        <v>#N/A</v>
      </c>
      <c r="U37" t="e">
        <f t="shared" si="6"/>
        <v>#N/A</v>
      </c>
      <c r="W37">
        <v>1000</v>
      </c>
      <c r="X37">
        <v>1000</v>
      </c>
      <c r="Y37">
        <v>1000</v>
      </c>
      <c r="Z37">
        <v>1000</v>
      </c>
      <c r="AA37">
        <v>1000</v>
      </c>
      <c r="AC37" t="e">
        <f t="shared" si="7"/>
        <v>#N/A</v>
      </c>
      <c r="AD37" t="e">
        <f t="shared" si="8"/>
        <v>#N/A</v>
      </c>
      <c r="AE37" t="e">
        <f t="shared" si="9"/>
        <v>#N/A</v>
      </c>
      <c r="AF37" t="e">
        <f t="shared" si="10"/>
        <v>#N/A</v>
      </c>
      <c r="AG37" t="e">
        <f t="shared" si="11"/>
        <v>#N/A</v>
      </c>
    </row>
    <row r="38" spans="1:33" ht="42" thickBot="1" x14ac:dyDescent="0.3">
      <c r="A38" s="22">
        <v>37</v>
      </c>
      <c r="B38" s="22" t="s">
        <v>2180</v>
      </c>
      <c r="C38" s="22" t="s">
        <v>3576</v>
      </c>
      <c r="D38" s="22" t="s">
        <v>3577</v>
      </c>
      <c r="E38" s="22" t="s">
        <v>3578</v>
      </c>
      <c r="F38" s="22" t="s">
        <v>3579</v>
      </c>
      <c r="G38" s="22" t="s">
        <v>3580</v>
      </c>
      <c r="I38" s="22">
        <v>37</v>
      </c>
      <c r="J38" s="22" t="s">
        <v>3630</v>
      </c>
      <c r="K38" s="22" t="s">
        <v>3603</v>
      </c>
      <c r="L38" s="22" t="s">
        <v>3604</v>
      </c>
      <c r="M38" s="22" t="s">
        <v>3605</v>
      </c>
      <c r="N38" s="22" t="s">
        <v>1165</v>
      </c>
      <c r="O38" s="22" t="s">
        <v>3606</v>
      </c>
      <c r="Q38" t="str">
        <f t="shared" si="2"/>
        <v xml:space="preserve">0.59 </v>
      </c>
      <c r="R38" t="str">
        <f t="shared" si="3"/>
        <v xml:space="preserve">0.31 </v>
      </c>
      <c r="S38" t="str">
        <f t="shared" si="4"/>
        <v xml:space="preserve">0.40 </v>
      </c>
      <c r="T38" t="e">
        <f t="shared" si="5"/>
        <v>#N/A</v>
      </c>
      <c r="U38" t="str">
        <f t="shared" si="6"/>
        <v xml:space="preserve">2.23 </v>
      </c>
      <c r="W38">
        <v>1000</v>
      </c>
      <c r="X38">
        <v>1000</v>
      </c>
      <c r="Y38">
        <v>1000</v>
      </c>
      <c r="Z38">
        <v>1000</v>
      </c>
      <c r="AA38">
        <v>1000</v>
      </c>
      <c r="AC38">
        <f t="shared" si="7"/>
        <v>590</v>
      </c>
      <c r="AD38">
        <f t="shared" si="8"/>
        <v>310</v>
      </c>
      <c r="AE38">
        <f t="shared" si="9"/>
        <v>400</v>
      </c>
      <c r="AF38" t="e">
        <f t="shared" si="10"/>
        <v>#N/A</v>
      </c>
      <c r="AG38">
        <f t="shared" si="11"/>
        <v>2230</v>
      </c>
    </row>
    <row r="39" spans="1:33" ht="28.2" thickBot="1" x14ac:dyDescent="0.3">
      <c r="A39" s="22">
        <v>38</v>
      </c>
      <c r="B39" s="22" t="s">
        <v>2174</v>
      </c>
      <c r="C39" s="22" t="s">
        <v>3581</v>
      </c>
      <c r="D39" s="22" t="s">
        <v>3582</v>
      </c>
      <c r="E39" s="22" t="s">
        <v>3583</v>
      </c>
      <c r="F39" s="22" t="s">
        <v>3584</v>
      </c>
      <c r="G39" s="22" t="s">
        <v>3585</v>
      </c>
      <c r="I39" s="22">
        <v>38</v>
      </c>
      <c r="J39" s="22" t="s">
        <v>2320</v>
      </c>
      <c r="K39" s="22" t="s">
        <v>3593</v>
      </c>
      <c r="L39" s="22" t="s">
        <v>3594</v>
      </c>
      <c r="M39" s="22" t="s">
        <v>1165</v>
      </c>
      <c r="N39" s="22" t="s">
        <v>1165</v>
      </c>
      <c r="O39" s="22" t="s">
        <v>1165</v>
      </c>
      <c r="Q39" t="str">
        <f t="shared" si="2"/>
        <v xml:space="preserve">0.40 </v>
      </c>
      <c r="R39" t="str">
        <f t="shared" si="3"/>
        <v xml:space="preserve">1.8 </v>
      </c>
      <c r="S39" t="e">
        <f t="shared" si="4"/>
        <v>#N/A</v>
      </c>
      <c r="T39" t="e">
        <f t="shared" si="5"/>
        <v>#N/A</v>
      </c>
      <c r="U39" t="e">
        <f t="shared" si="6"/>
        <v>#N/A</v>
      </c>
      <c r="W39">
        <v>1000</v>
      </c>
      <c r="X39">
        <v>1000</v>
      </c>
      <c r="Y39">
        <v>1000</v>
      </c>
      <c r="Z39">
        <v>1000</v>
      </c>
      <c r="AA39">
        <v>1000</v>
      </c>
      <c r="AC39">
        <f t="shared" si="7"/>
        <v>400</v>
      </c>
      <c r="AD39">
        <f t="shared" si="8"/>
        <v>1800</v>
      </c>
      <c r="AE39" t="e">
        <f t="shared" si="9"/>
        <v>#N/A</v>
      </c>
      <c r="AF39" t="e">
        <f t="shared" si="10"/>
        <v>#N/A</v>
      </c>
      <c r="AG39" t="e">
        <f t="shared" si="11"/>
        <v>#N/A</v>
      </c>
    </row>
    <row r="40" spans="1:33" ht="28.2" thickBot="1" x14ac:dyDescent="0.3">
      <c r="A40" s="22">
        <v>39</v>
      </c>
      <c r="B40" s="22" t="s">
        <v>3586</v>
      </c>
      <c r="C40" s="22" t="s">
        <v>3587</v>
      </c>
      <c r="D40" s="22" t="s">
        <v>3588</v>
      </c>
      <c r="E40" s="22" t="s">
        <v>1165</v>
      </c>
      <c r="F40" s="22" t="s">
        <v>3589</v>
      </c>
      <c r="G40" s="22" t="s">
        <v>1165</v>
      </c>
      <c r="I40" s="22">
        <v>39</v>
      </c>
      <c r="J40" s="22" t="s">
        <v>2857</v>
      </c>
      <c r="K40" s="22" t="s">
        <v>3598</v>
      </c>
      <c r="L40" s="22" t="s">
        <v>3599</v>
      </c>
      <c r="M40" s="22" t="s">
        <v>3600</v>
      </c>
      <c r="N40" s="22" t="s">
        <v>3601</v>
      </c>
      <c r="O40" s="22" t="s">
        <v>3602</v>
      </c>
      <c r="Q40" t="str">
        <f t="shared" si="2"/>
        <v xml:space="preserve">1.84 </v>
      </c>
      <c r="R40" t="str">
        <f t="shared" si="3"/>
        <v xml:space="preserve">1.64 </v>
      </c>
      <c r="S40" t="str">
        <f t="shared" si="4"/>
        <v xml:space="preserve">1.86 </v>
      </c>
      <c r="T40" t="str">
        <f t="shared" si="5"/>
        <v xml:space="preserve">2.10 </v>
      </c>
      <c r="U40" t="str">
        <f t="shared" si="6"/>
        <v xml:space="preserve">7.95 </v>
      </c>
      <c r="W40">
        <v>1000</v>
      </c>
      <c r="X40">
        <v>1000</v>
      </c>
      <c r="Y40">
        <v>1000</v>
      </c>
      <c r="Z40">
        <v>1000</v>
      </c>
      <c r="AA40">
        <v>1000</v>
      </c>
      <c r="AC40">
        <f t="shared" si="7"/>
        <v>1840</v>
      </c>
      <c r="AD40">
        <f t="shared" si="8"/>
        <v>1640</v>
      </c>
      <c r="AE40">
        <f t="shared" si="9"/>
        <v>1860</v>
      </c>
      <c r="AF40">
        <f t="shared" si="10"/>
        <v>2100</v>
      </c>
      <c r="AG40">
        <f t="shared" si="11"/>
        <v>7950</v>
      </c>
    </row>
    <row r="41" spans="1:33" ht="28.2" thickBot="1" x14ac:dyDescent="0.3">
      <c r="A41" s="22">
        <v>40</v>
      </c>
      <c r="B41" s="22" t="s">
        <v>2946</v>
      </c>
      <c r="C41" s="22" t="s">
        <v>3590</v>
      </c>
      <c r="D41" s="22" t="s">
        <v>3591</v>
      </c>
      <c r="E41" s="22" t="s">
        <v>1165</v>
      </c>
      <c r="F41" s="22" t="s">
        <v>3592</v>
      </c>
      <c r="G41" s="22" t="s">
        <v>1165</v>
      </c>
      <c r="I41" s="22">
        <v>40</v>
      </c>
      <c r="J41" s="22" t="s">
        <v>2921</v>
      </c>
      <c r="K41" s="22" t="s">
        <v>2908</v>
      </c>
      <c r="L41" s="22" t="s">
        <v>2908</v>
      </c>
      <c r="M41" s="22" t="s">
        <v>2908</v>
      </c>
      <c r="N41" s="22" t="s">
        <v>2908</v>
      </c>
      <c r="O41" s="22" t="s">
        <v>2908</v>
      </c>
      <c r="Q41" t="e">
        <f t="shared" si="2"/>
        <v>#N/A</v>
      </c>
      <c r="R41" t="e">
        <f t="shared" si="3"/>
        <v>#N/A</v>
      </c>
      <c r="S41" t="e">
        <f t="shared" si="4"/>
        <v>#N/A</v>
      </c>
      <c r="T41" t="e">
        <f t="shared" si="5"/>
        <v>#N/A</v>
      </c>
      <c r="U41" t="e">
        <f t="shared" si="6"/>
        <v>#N/A</v>
      </c>
      <c r="W41">
        <v>1000</v>
      </c>
      <c r="X41">
        <v>1000</v>
      </c>
      <c r="Y41">
        <v>1000</v>
      </c>
      <c r="Z41">
        <v>1000</v>
      </c>
      <c r="AA41">
        <v>1000</v>
      </c>
      <c r="AC41" t="e">
        <f t="shared" si="7"/>
        <v>#N/A</v>
      </c>
      <c r="AD41" t="e">
        <f t="shared" si="8"/>
        <v>#N/A</v>
      </c>
      <c r="AE41" t="e">
        <f t="shared" si="9"/>
        <v>#N/A</v>
      </c>
      <c r="AF41" t="e">
        <f t="shared" si="10"/>
        <v>#N/A</v>
      </c>
      <c r="AG41" t="e">
        <f t="shared" si="11"/>
        <v>#N/A</v>
      </c>
    </row>
    <row r="42" spans="1:33" ht="28.2" thickBot="1" x14ac:dyDescent="0.3">
      <c r="A42" s="22">
        <v>41</v>
      </c>
      <c r="B42" s="22" t="s">
        <v>2320</v>
      </c>
      <c r="C42" s="22" t="s">
        <v>3593</v>
      </c>
      <c r="D42" s="22" t="s">
        <v>3594</v>
      </c>
      <c r="E42" s="22" t="s">
        <v>1165</v>
      </c>
      <c r="F42" s="22" t="s">
        <v>1165</v>
      </c>
      <c r="G42" s="22" t="s">
        <v>1165</v>
      </c>
      <c r="I42" s="22">
        <v>41</v>
      </c>
      <c r="J42" s="22" t="s">
        <v>2922</v>
      </c>
      <c r="K42" s="22" t="s">
        <v>2908</v>
      </c>
      <c r="L42" s="22" t="s">
        <v>2908</v>
      </c>
      <c r="M42" s="22" t="s">
        <v>2908</v>
      </c>
      <c r="N42" s="22" t="s">
        <v>2908</v>
      </c>
      <c r="O42" s="22" t="s">
        <v>2908</v>
      </c>
      <c r="Q42" t="e">
        <f t="shared" si="2"/>
        <v>#N/A</v>
      </c>
      <c r="R42" t="e">
        <f t="shared" si="3"/>
        <v>#N/A</v>
      </c>
      <c r="S42" t="e">
        <f t="shared" si="4"/>
        <v>#N/A</v>
      </c>
      <c r="T42" t="e">
        <f t="shared" si="5"/>
        <v>#N/A</v>
      </c>
      <c r="U42" t="e">
        <f t="shared" si="6"/>
        <v>#N/A</v>
      </c>
      <c r="W42">
        <v>1000</v>
      </c>
      <c r="X42">
        <v>1000</v>
      </c>
      <c r="Y42">
        <v>1000</v>
      </c>
      <c r="Z42">
        <v>1000</v>
      </c>
      <c r="AA42">
        <v>1000</v>
      </c>
      <c r="AC42" t="e">
        <f t="shared" si="7"/>
        <v>#N/A</v>
      </c>
      <c r="AD42" t="e">
        <f t="shared" si="8"/>
        <v>#N/A</v>
      </c>
      <c r="AE42" t="e">
        <f t="shared" si="9"/>
        <v>#N/A</v>
      </c>
      <c r="AF42" t="e">
        <f t="shared" si="10"/>
        <v>#N/A</v>
      </c>
      <c r="AG42" t="e">
        <f t="shared" si="11"/>
        <v>#N/A</v>
      </c>
    </row>
    <row r="43" spans="1:33" ht="28.2" thickBot="1" x14ac:dyDescent="0.3">
      <c r="A43" s="22">
        <v>42</v>
      </c>
      <c r="B43" s="22" t="s">
        <v>3595</v>
      </c>
      <c r="C43" s="22" t="s">
        <v>1165</v>
      </c>
      <c r="D43" s="22" t="s">
        <v>1165</v>
      </c>
      <c r="E43" s="22" t="s">
        <v>1165</v>
      </c>
      <c r="F43" s="22" t="s">
        <v>3596</v>
      </c>
      <c r="G43" s="22" t="s">
        <v>3597</v>
      </c>
      <c r="I43" s="22">
        <v>42</v>
      </c>
      <c r="J43" s="22" t="s">
        <v>2341</v>
      </c>
      <c r="K43" s="22" t="s">
        <v>2908</v>
      </c>
      <c r="L43" s="22" t="s">
        <v>2908</v>
      </c>
      <c r="M43" s="22" t="s">
        <v>2908</v>
      </c>
      <c r="N43" s="22" t="s">
        <v>2908</v>
      </c>
      <c r="O43" s="22" t="s">
        <v>2908</v>
      </c>
      <c r="Q43" t="e">
        <f t="shared" si="2"/>
        <v>#N/A</v>
      </c>
      <c r="R43" t="e">
        <f t="shared" si="3"/>
        <v>#N/A</v>
      </c>
      <c r="S43" t="e">
        <f t="shared" si="4"/>
        <v>#N/A</v>
      </c>
      <c r="T43" t="e">
        <f t="shared" si="5"/>
        <v>#N/A</v>
      </c>
      <c r="U43" t="e">
        <f t="shared" si="6"/>
        <v>#N/A</v>
      </c>
      <c r="W43">
        <v>1000</v>
      </c>
      <c r="X43">
        <v>1000</v>
      </c>
      <c r="Y43">
        <v>1000</v>
      </c>
      <c r="Z43">
        <v>1000</v>
      </c>
      <c r="AA43">
        <v>1000</v>
      </c>
      <c r="AC43" t="e">
        <f t="shared" si="7"/>
        <v>#N/A</v>
      </c>
      <c r="AD43" t="e">
        <f t="shared" si="8"/>
        <v>#N/A</v>
      </c>
      <c r="AE43" t="e">
        <f t="shared" si="9"/>
        <v>#N/A</v>
      </c>
      <c r="AF43" t="e">
        <f t="shared" si="10"/>
        <v>#N/A</v>
      </c>
      <c r="AG43" t="e">
        <f t="shared" si="11"/>
        <v>#N/A</v>
      </c>
    </row>
    <row r="44" spans="1:33" ht="28.2" thickBot="1" x14ac:dyDescent="0.3">
      <c r="A44" s="22">
        <v>43</v>
      </c>
      <c r="B44" s="22" t="s">
        <v>2857</v>
      </c>
      <c r="C44" s="22" t="s">
        <v>3598</v>
      </c>
      <c r="D44" s="22" t="s">
        <v>3599</v>
      </c>
      <c r="E44" s="22" t="s">
        <v>3600</v>
      </c>
      <c r="F44" s="22" t="s">
        <v>3601</v>
      </c>
      <c r="G44" s="22" t="s">
        <v>3602</v>
      </c>
      <c r="I44" s="22">
        <v>43</v>
      </c>
      <c r="J44" s="22" t="s">
        <v>2161</v>
      </c>
      <c r="K44" s="22" t="s">
        <v>2908</v>
      </c>
      <c r="L44" s="22" t="s">
        <v>2908</v>
      </c>
      <c r="M44" s="22" t="s">
        <v>2908</v>
      </c>
      <c r="N44" s="22" t="s">
        <v>2908</v>
      </c>
      <c r="O44" s="22" t="s">
        <v>2908</v>
      </c>
      <c r="Q44" t="e">
        <f t="shared" si="2"/>
        <v>#N/A</v>
      </c>
      <c r="R44" t="e">
        <f t="shared" si="3"/>
        <v>#N/A</v>
      </c>
      <c r="S44" t="e">
        <f t="shared" si="4"/>
        <v>#N/A</v>
      </c>
      <c r="T44" t="e">
        <f t="shared" si="5"/>
        <v>#N/A</v>
      </c>
      <c r="U44" t="e">
        <f t="shared" si="6"/>
        <v>#N/A</v>
      </c>
      <c r="W44">
        <v>1000</v>
      </c>
      <c r="X44">
        <v>1000</v>
      </c>
      <c r="Y44">
        <v>1000</v>
      </c>
      <c r="Z44">
        <v>1000</v>
      </c>
      <c r="AA44">
        <v>1000</v>
      </c>
      <c r="AC44" t="e">
        <f t="shared" si="7"/>
        <v>#N/A</v>
      </c>
      <c r="AD44" t="e">
        <f t="shared" si="8"/>
        <v>#N/A</v>
      </c>
      <c r="AE44" t="e">
        <f t="shared" si="9"/>
        <v>#N/A</v>
      </c>
      <c r="AF44" t="e">
        <f t="shared" si="10"/>
        <v>#N/A</v>
      </c>
      <c r="AG44" t="e">
        <f t="shared" si="11"/>
        <v>#N/A</v>
      </c>
    </row>
    <row r="45" spans="1:33" ht="42" thickBot="1" x14ac:dyDescent="0.3">
      <c r="A45" s="22">
        <v>44</v>
      </c>
      <c r="B45" s="22" t="s">
        <v>2948</v>
      </c>
      <c r="C45" s="22" t="s">
        <v>3603</v>
      </c>
      <c r="D45" s="22" t="s">
        <v>3604</v>
      </c>
      <c r="E45" s="22" t="s">
        <v>3605</v>
      </c>
      <c r="F45" s="22" t="s">
        <v>1165</v>
      </c>
      <c r="G45" s="22" t="s">
        <v>3606</v>
      </c>
      <c r="I45" s="22">
        <v>44</v>
      </c>
      <c r="J45" s="22" t="s">
        <v>2923</v>
      </c>
      <c r="K45" s="22" t="s">
        <v>2908</v>
      </c>
      <c r="L45" s="22" t="s">
        <v>2908</v>
      </c>
      <c r="M45" s="22" t="s">
        <v>2908</v>
      </c>
      <c r="N45" s="22" t="s">
        <v>2908</v>
      </c>
      <c r="O45" s="22" t="s">
        <v>2908</v>
      </c>
      <c r="Q45" t="e">
        <f t="shared" si="2"/>
        <v>#N/A</v>
      </c>
      <c r="R45" t="e">
        <f t="shared" si="3"/>
        <v>#N/A</v>
      </c>
      <c r="S45" t="e">
        <f t="shared" si="4"/>
        <v>#N/A</v>
      </c>
      <c r="T45" t="e">
        <f t="shared" si="5"/>
        <v>#N/A</v>
      </c>
      <c r="U45" t="e">
        <f t="shared" si="6"/>
        <v>#N/A</v>
      </c>
      <c r="W45">
        <v>1000</v>
      </c>
      <c r="X45">
        <v>1000</v>
      </c>
      <c r="Y45">
        <v>1000</v>
      </c>
      <c r="Z45">
        <v>1000</v>
      </c>
      <c r="AA45">
        <v>1000</v>
      </c>
      <c r="AC45" t="e">
        <f t="shared" si="7"/>
        <v>#N/A</v>
      </c>
      <c r="AD45" t="e">
        <f t="shared" si="8"/>
        <v>#N/A</v>
      </c>
      <c r="AE45" t="e">
        <f t="shared" si="9"/>
        <v>#N/A</v>
      </c>
      <c r="AF45" t="e">
        <f t="shared" si="10"/>
        <v>#N/A</v>
      </c>
      <c r="AG45" t="e">
        <f t="shared" si="11"/>
        <v>#N/A</v>
      </c>
    </row>
    <row r="46" spans="1:33" ht="69.599999999999994" thickBot="1" x14ac:dyDescent="0.3">
      <c r="A46" s="22">
        <v>45</v>
      </c>
      <c r="B46" s="22" t="s">
        <v>3405</v>
      </c>
      <c r="C46" s="22" t="s">
        <v>1165</v>
      </c>
      <c r="D46" s="22" t="s">
        <v>1165</v>
      </c>
      <c r="E46" s="22" t="s">
        <v>1165</v>
      </c>
      <c r="F46" s="22" t="s">
        <v>3607</v>
      </c>
      <c r="G46" s="22" t="s">
        <v>3608</v>
      </c>
      <c r="I46" s="22">
        <v>45</v>
      </c>
      <c r="J46" s="22" t="s">
        <v>3386</v>
      </c>
      <c r="K46" s="22" t="s">
        <v>3590</v>
      </c>
      <c r="L46" s="22" t="s">
        <v>1165</v>
      </c>
      <c r="M46" s="22" t="s">
        <v>1165</v>
      </c>
      <c r="N46" s="22" t="s">
        <v>3557</v>
      </c>
      <c r="O46" s="22" t="s">
        <v>1165</v>
      </c>
      <c r="Q46" t="str">
        <f t="shared" si="2"/>
        <v xml:space="preserve">0.13 </v>
      </c>
      <c r="R46" t="e">
        <f t="shared" si="3"/>
        <v>#N/A</v>
      </c>
      <c r="S46" t="e">
        <f t="shared" si="4"/>
        <v>#N/A</v>
      </c>
      <c r="T46" t="str">
        <f t="shared" si="5"/>
        <v xml:space="preserve">0.06 </v>
      </c>
      <c r="U46" t="e">
        <f t="shared" si="6"/>
        <v>#N/A</v>
      </c>
      <c r="W46">
        <v>1000</v>
      </c>
      <c r="X46">
        <v>1000</v>
      </c>
      <c r="Y46">
        <v>1000</v>
      </c>
      <c r="Z46">
        <v>1000</v>
      </c>
      <c r="AA46">
        <v>1000</v>
      </c>
      <c r="AC46">
        <f t="shared" si="7"/>
        <v>130</v>
      </c>
      <c r="AD46" t="e">
        <f t="shared" si="8"/>
        <v>#N/A</v>
      </c>
      <c r="AE46" t="e">
        <f t="shared" si="9"/>
        <v>#N/A</v>
      </c>
      <c r="AF46">
        <f t="shared" si="10"/>
        <v>60</v>
      </c>
      <c r="AG46" t="e">
        <f t="shared" si="11"/>
        <v>#N/A</v>
      </c>
    </row>
    <row r="47" spans="1:33" ht="42" thickBot="1" x14ac:dyDescent="0.3">
      <c r="A47" s="22">
        <v>46</v>
      </c>
      <c r="B47" s="22" t="s">
        <v>3408</v>
      </c>
      <c r="C47" s="22" t="s">
        <v>3609</v>
      </c>
      <c r="D47" s="22" t="s">
        <v>3610</v>
      </c>
      <c r="E47" s="22" t="s">
        <v>3611</v>
      </c>
      <c r="F47" s="22" t="s">
        <v>1165</v>
      </c>
      <c r="G47" s="22" t="s">
        <v>3612</v>
      </c>
      <c r="I47" s="22">
        <v>46</v>
      </c>
      <c r="J47" s="22" t="s">
        <v>2925</v>
      </c>
      <c r="K47" s="22" t="s">
        <v>2908</v>
      </c>
      <c r="L47" s="22" t="s">
        <v>2908</v>
      </c>
      <c r="M47" s="22" t="s">
        <v>2908</v>
      </c>
      <c r="N47" s="22" t="s">
        <v>2908</v>
      </c>
      <c r="O47" s="22" t="s">
        <v>2908</v>
      </c>
      <c r="Q47" t="e">
        <f t="shared" si="2"/>
        <v>#N/A</v>
      </c>
      <c r="R47" t="e">
        <f t="shared" si="3"/>
        <v>#N/A</v>
      </c>
      <c r="S47" t="e">
        <f t="shared" si="4"/>
        <v>#N/A</v>
      </c>
      <c r="T47" t="e">
        <f t="shared" si="5"/>
        <v>#N/A</v>
      </c>
      <c r="U47" t="e">
        <f t="shared" si="6"/>
        <v>#N/A</v>
      </c>
      <c r="W47">
        <v>1000</v>
      </c>
      <c r="X47">
        <v>1000</v>
      </c>
      <c r="Y47">
        <v>1000</v>
      </c>
      <c r="Z47">
        <v>1000</v>
      </c>
      <c r="AA47">
        <v>1000</v>
      </c>
      <c r="AC47" t="e">
        <f t="shared" si="7"/>
        <v>#N/A</v>
      </c>
      <c r="AD47" t="e">
        <f t="shared" si="8"/>
        <v>#N/A</v>
      </c>
      <c r="AE47" t="e">
        <f t="shared" si="9"/>
        <v>#N/A</v>
      </c>
      <c r="AF47" t="e">
        <f t="shared" si="10"/>
        <v>#N/A</v>
      </c>
      <c r="AG47" t="e">
        <f t="shared" si="11"/>
        <v>#N/A</v>
      </c>
    </row>
    <row r="48" spans="1:33" ht="28.2" thickBot="1" x14ac:dyDescent="0.3">
      <c r="A48" s="22">
        <v>47</v>
      </c>
      <c r="B48" s="22" t="s">
        <v>3426</v>
      </c>
      <c r="C48" s="22" t="s">
        <v>3613</v>
      </c>
      <c r="D48" s="22" t="s">
        <v>3614</v>
      </c>
      <c r="E48" s="22" t="s">
        <v>3615</v>
      </c>
      <c r="F48" s="22" t="s">
        <v>1165</v>
      </c>
      <c r="G48" s="22" t="s">
        <v>1165</v>
      </c>
      <c r="I48" s="22">
        <v>47</v>
      </c>
      <c r="J48" s="22" t="s">
        <v>3159</v>
      </c>
      <c r="K48" s="22" t="s">
        <v>2908</v>
      </c>
      <c r="L48" s="22" t="s">
        <v>2908</v>
      </c>
      <c r="M48" s="22" t="s">
        <v>2908</v>
      </c>
      <c r="N48" s="22" t="s">
        <v>2908</v>
      </c>
      <c r="O48" s="22" t="s">
        <v>2908</v>
      </c>
      <c r="Q48" t="e">
        <f t="shared" si="2"/>
        <v>#N/A</v>
      </c>
      <c r="R48" t="e">
        <f t="shared" si="3"/>
        <v>#N/A</v>
      </c>
      <c r="S48" t="e">
        <f t="shared" si="4"/>
        <v>#N/A</v>
      </c>
      <c r="T48" t="e">
        <f t="shared" si="5"/>
        <v>#N/A</v>
      </c>
      <c r="U48" t="e">
        <f t="shared" si="6"/>
        <v>#N/A</v>
      </c>
      <c r="W48">
        <v>1000</v>
      </c>
      <c r="X48">
        <v>1000</v>
      </c>
      <c r="Y48">
        <v>1000</v>
      </c>
      <c r="Z48">
        <v>1000</v>
      </c>
      <c r="AA48">
        <v>1000</v>
      </c>
      <c r="AC48" t="e">
        <f t="shared" si="7"/>
        <v>#N/A</v>
      </c>
      <c r="AD48" t="e">
        <f t="shared" si="8"/>
        <v>#N/A</v>
      </c>
      <c r="AE48" t="e">
        <f t="shared" si="9"/>
        <v>#N/A</v>
      </c>
      <c r="AF48" t="e">
        <f t="shared" si="10"/>
        <v>#N/A</v>
      </c>
      <c r="AG48" t="e">
        <f t="shared" si="11"/>
        <v>#N/A</v>
      </c>
    </row>
    <row r="49" spans="1:33" ht="28.2" thickBot="1" x14ac:dyDescent="0.3">
      <c r="A49" s="22">
        <v>48</v>
      </c>
      <c r="B49" s="22" t="s">
        <v>2181</v>
      </c>
      <c r="C49" s="22" t="s">
        <v>3590</v>
      </c>
      <c r="D49" s="22" t="s">
        <v>1165</v>
      </c>
      <c r="E49" s="22" t="s">
        <v>1165</v>
      </c>
      <c r="F49" s="22" t="s">
        <v>3557</v>
      </c>
      <c r="G49" s="22" t="s">
        <v>1165</v>
      </c>
      <c r="I49" s="22">
        <v>48</v>
      </c>
      <c r="J49" s="22" t="s">
        <v>2878</v>
      </c>
      <c r="K49" s="22" t="s">
        <v>2908</v>
      </c>
      <c r="L49" s="22" t="s">
        <v>2908</v>
      </c>
      <c r="M49" s="22" t="s">
        <v>2908</v>
      </c>
      <c r="N49" s="22" t="s">
        <v>2908</v>
      </c>
      <c r="O49" s="22" t="s">
        <v>2908</v>
      </c>
      <c r="Q49" t="e">
        <f t="shared" si="2"/>
        <v>#N/A</v>
      </c>
      <c r="R49" t="e">
        <f t="shared" si="3"/>
        <v>#N/A</v>
      </c>
      <c r="S49" t="e">
        <f t="shared" si="4"/>
        <v>#N/A</v>
      </c>
      <c r="T49" t="e">
        <f t="shared" si="5"/>
        <v>#N/A</v>
      </c>
      <c r="U49" t="e">
        <f t="shared" si="6"/>
        <v>#N/A</v>
      </c>
      <c r="W49">
        <v>1000</v>
      </c>
      <c r="X49">
        <v>1000</v>
      </c>
      <c r="Y49">
        <v>1000</v>
      </c>
      <c r="Z49">
        <v>1000</v>
      </c>
      <c r="AA49">
        <v>1000</v>
      </c>
      <c r="AC49" t="e">
        <f t="shared" si="7"/>
        <v>#N/A</v>
      </c>
      <c r="AD49" t="e">
        <f t="shared" si="8"/>
        <v>#N/A</v>
      </c>
      <c r="AE49" t="e">
        <f t="shared" si="9"/>
        <v>#N/A</v>
      </c>
      <c r="AF49" t="e">
        <f t="shared" si="10"/>
        <v>#N/A</v>
      </c>
      <c r="AG49" t="e">
        <f t="shared" si="11"/>
        <v>#N/A</v>
      </c>
    </row>
    <row r="50" spans="1:33" ht="28.2" thickBot="1" x14ac:dyDescent="0.3">
      <c r="A50" s="22">
        <v>49</v>
      </c>
      <c r="B50" s="22" t="s">
        <v>3616</v>
      </c>
      <c r="C50" s="22" t="s">
        <v>3617</v>
      </c>
      <c r="D50" s="22" t="s">
        <v>3618</v>
      </c>
      <c r="E50" s="22" t="s">
        <v>3619</v>
      </c>
      <c r="F50" s="22" t="s">
        <v>3620</v>
      </c>
      <c r="G50" s="22" t="s">
        <v>3621</v>
      </c>
      <c r="I50" s="22">
        <v>49</v>
      </c>
      <c r="J50" s="22" t="s">
        <v>2927</v>
      </c>
      <c r="K50" s="22" t="s">
        <v>2908</v>
      </c>
      <c r="L50" s="22" t="s">
        <v>2908</v>
      </c>
      <c r="M50" s="22" t="s">
        <v>2908</v>
      </c>
      <c r="N50" s="22" t="s">
        <v>2908</v>
      </c>
      <c r="O50" s="22" t="s">
        <v>2908</v>
      </c>
      <c r="Q50" t="e">
        <f t="shared" si="2"/>
        <v>#N/A</v>
      </c>
      <c r="R50" t="e">
        <f t="shared" si="3"/>
        <v>#N/A</v>
      </c>
      <c r="S50" t="e">
        <f t="shared" si="4"/>
        <v>#N/A</v>
      </c>
      <c r="T50" t="e">
        <f t="shared" si="5"/>
        <v>#N/A</v>
      </c>
      <c r="U50" t="e">
        <f t="shared" si="6"/>
        <v>#N/A</v>
      </c>
      <c r="W50">
        <v>1000</v>
      </c>
      <c r="X50">
        <v>1000</v>
      </c>
      <c r="Y50">
        <v>1000</v>
      </c>
      <c r="Z50">
        <v>1000</v>
      </c>
      <c r="AA50">
        <v>1000</v>
      </c>
      <c r="AC50" t="e">
        <f t="shared" si="7"/>
        <v>#N/A</v>
      </c>
      <c r="AD50" t="e">
        <f t="shared" si="8"/>
        <v>#N/A</v>
      </c>
      <c r="AE50" t="e">
        <f t="shared" si="9"/>
        <v>#N/A</v>
      </c>
      <c r="AF50" t="e">
        <f t="shared" si="10"/>
        <v>#N/A</v>
      </c>
      <c r="AG50" t="e">
        <f t="shared" si="11"/>
        <v>#N/A</v>
      </c>
    </row>
    <row r="51" spans="1:33" ht="28.2" thickBot="1" x14ac:dyDescent="0.3">
      <c r="I51" s="22">
        <v>50</v>
      </c>
      <c r="J51" s="22" t="s">
        <v>2164</v>
      </c>
      <c r="K51" s="22" t="s">
        <v>2908</v>
      </c>
      <c r="L51" s="22" t="s">
        <v>2908</v>
      </c>
      <c r="M51" s="22" t="s">
        <v>2908</v>
      </c>
      <c r="N51" s="22" t="s">
        <v>2908</v>
      </c>
      <c r="O51" s="22" t="s">
        <v>2908</v>
      </c>
      <c r="Q51" t="e">
        <f t="shared" si="2"/>
        <v>#N/A</v>
      </c>
      <c r="R51" t="e">
        <f t="shared" si="3"/>
        <v>#N/A</v>
      </c>
      <c r="S51" t="e">
        <f t="shared" si="4"/>
        <v>#N/A</v>
      </c>
      <c r="T51" t="e">
        <f t="shared" si="5"/>
        <v>#N/A</v>
      </c>
      <c r="U51" t="e">
        <f t="shared" si="6"/>
        <v>#N/A</v>
      </c>
      <c r="W51">
        <v>1000</v>
      </c>
      <c r="X51">
        <v>1000</v>
      </c>
      <c r="Y51">
        <v>1000</v>
      </c>
      <c r="Z51">
        <v>1000</v>
      </c>
      <c r="AA51">
        <v>1000</v>
      </c>
      <c r="AC51" t="e">
        <f t="shared" si="7"/>
        <v>#N/A</v>
      </c>
      <c r="AD51" t="e">
        <f t="shared" si="8"/>
        <v>#N/A</v>
      </c>
      <c r="AE51" t="e">
        <f t="shared" si="9"/>
        <v>#N/A</v>
      </c>
      <c r="AF51" t="e">
        <f t="shared" si="10"/>
        <v>#N/A</v>
      </c>
      <c r="AG51" t="e">
        <f t="shared" si="11"/>
        <v>#N/A</v>
      </c>
    </row>
    <row r="52" spans="1:33" ht="28.2" thickBot="1" x14ac:dyDescent="0.3">
      <c r="I52" s="22">
        <v>51</v>
      </c>
      <c r="J52" s="22" t="s">
        <v>2170</v>
      </c>
      <c r="K52" s="22" t="s">
        <v>2908</v>
      </c>
      <c r="L52" s="22" t="s">
        <v>2908</v>
      </c>
      <c r="M52" s="22" t="s">
        <v>2908</v>
      </c>
      <c r="N52" s="22" t="s">
        <v>2908</v>
      </c>
      <c r="O52" s="22" t="s">
        <v>2908</v>
      </c>
      <c r="Q52" t="e">
        <f t="shared" si="2"/>
        <v>#N/A</v>
      </c>
      <c r="R52" t="e">
        <f t="shared" si="3"/>
        <v>#N/A</v>
      </c>
      <c r="S52" t="e">
        <f t="shared" si="4"/>
        <v>#N/A</v>
      </c>
      <c r="T52" t="e">
        <f t="shared" si="5"/>
        <v>#N/A</v>
      </c>
      <c r="U52" t="e">
        <f t="shared" si="6"/>
        <v>#N/A</v>
      </c>
      <c r="W52">
        <v>1000</v>
      </c>
      <c r="X52">
        <v>1000</v>
      </c>
      <c r="Y52">
        <v>1000</v>
      </c>
      <c r="Z52">
        <v>1000</v>
      </c>
      <c r="AA52">
        <v>1000</v>
      </c>
      <c r="AC52" t="e">
        <f t="shared" si="7"/>
        <v>#N/A</v>
      </c>
      <c r="AD52" t="e">
        <f t="shared" si="8"/>
        <v>#N/A</v>
      </c>
      <c r="AE52" t="e">
        <f t="shared" si="9"/>
        <v>#N/A</v>
      </c>
      <c r="AF52" t="e">
        <f t="shared" si="10"/>
        <v>#N/A</v>
      </c>
      <c r="AG52" t="e">
        <f t="shared" si="11"/>
        <v>#N/A</v>
      </c>
    </row>
    <row r="53" spans="1:33" ht="14.4" thickBot="1" x14ac:dyDescent="0.3">
      <c r="I53" s="22">
        <v>52</v>
      </c>
      <c r="J53" s="22" t="s">
        <v>2172</v>
      </c>
      <c r="K53" s="22" t="s">
        <v>2908</v>
      </c>
      <c r="L53" s="22" t="s">
        <v>2908</v>
      </c>
      <c r="M53" s="22" t="s">
        <v>2908</v>
      </c>
      <c r="N53" s="22" t="s">
        <v>2908</v>
      </c>
      <c r="O53" s="22" t="s">
        <v>2908</v>
      </c>
      <c r="Q53" t="e">
        <f t="shared" si="2"/>
        <v>#N/A</v>
      </c>
      <c r="R53" t="e">
        <f t="shared" si="3"/>
        <v>#N/A</v>
      </c>
      <c r="S53" t="e">
        <f t="shared" si="4"/>
        <v>#N/A</v>
      </c>
      <c r="T53" t="e">
        <f t="shared" si="5"/>
        <v>#N/A</v>
      </c>
      <c r="U53" t="e">
        <f t="shared" si="6"/>
        <v>#N/A</v>
      </c>
      <c r="W53">
        <v>1000</v>
      </c>
      <c r="X53">
        <v>1000</v>
      </c>
      <c r="Y53">
        <v>1000</v>
      </c>
      <c r="Z53">
        <v>1000</v>
      </c>
      <c r="AA53">
        <v>1000</v>
      </c>
      <c r="AC53" t="e">
        <f t="shared" si="7"/>
        <v>#N/A</v>
      </c>
      <c r="AD53" t="e">
        <f t="shared" si="8"/>
        <v>#N/A</v>
      </c>
      <c r="AE53" t="e">
        <f t="shared" si="9"/>
        <v>#N/A</v>
      </c>
      <c r="AF53" t="e">
        <f t="shared" si="10"/>
        <v>#N/A</v>
      </c>
      <c r="AG53" t="e">
        <f t="shared" si="11"/>
        <v>#N/A</v>
      </c>
    </row>
    <row r="54" spans="1:33" ht="42" thickBot="1" x14ac:dyDescent="0.3">
      <c r="I54" s="22">
        <v>53</v>
      </c>
      <c r="J54" s="22" t="s">
        <v>2928</v>
      </c>
      <c r="K54" s="22" t="s">
        <v>2908</v>
      </c>
      <c r="L54" s="22" t="s">
        <v>2908</v>
      </c>
      <c r="M54" s="22" t="s">
        <v>2908</v>
      </c>
      <c r="N54" s="22" t="s">
        <v>2908</v>
      </c>
      <c r="O54" s="22" t="s">
        <v>2908</v>
      </c>
      <c r="Q54" t="e">
        <f t="shared" si="2"/>
        <v>#N/A</v>
      </c>
      <c r="R54" t="e">
        <f t="shared" si="3"/>
        <v>#N/A</v>
      </c>
      <c r="S54" t="e">
        <f t="shared" si="4"/>
        <v>#N/A</v>
      </c>
      <c r="T54" t="e">
        <f t="shared" si="5"/>
        <v>#N/A</v>
      </c>
      <c r="U54" t="e">
        <f t="shared" si="6"/>
        <v>#N/A</v>
      </c>
      <c r="W54">
        <v>1000</v>
      </c>
      <c r="X54">
        <v>1000</v>
      </c>
      <c r="Y54">
        <v>1000</v>
      </c>
      <c r="Z54">
        <v>1000</v>
      </c>
      <c r="AA54">
        <v>1000</v>
      </c>
      <c r="AC54" t="e">
        <f t="shared" si="7"/>
        <v>#N/A</v>
      </c>
      <c r="AD54" t="e">
        <f t="shared" si="8"/>
        <v>#N/A</v>
      </c>
      <c r="AE54" t="e">
        <f t="shared" si="9"/>
        <v>#N/A</v>
      </c>
      <c r="AF54" t="e">
        <f t="shared" si="10"/>
        <v>#N/A</v>
      </c>
      <c r="AG54" t="e">
        <f t="shared" si="11"/>
        <v>#N/A</v>
      </c>
    </row>
    <row r="55" spans="1:33" ht="28.2" thickBot="1" x14ac:dyDescent="0.3">
      <c r="I55" s="22">
        <v>54</v>
      </c>
      <c r="J55" s="22" t="s">
        <v>2929</v>
      </c>
      <c r="K55" s="22" t="s">
        <v>3546</v>
      </c>
      <c r="L55" s="22" t="s">
        <v>1165</v>
      </c>
      <c r="M55" s="22" t="s">
        <v>1165</v>
      </c>
      <c r="N55" s="22" t="s">
        <v>1165</v>
      </c>
      <c r="O55" s="22" t="s">
        <v>1165</v>
      </c>
      <c r="Q55" t="str">
        <f t="shared" si="2"/>
        <v xml:space="preserve">0.13 </v>
      </c>
      <c r="R55" t="e">
        <f t="shared" si="3"/>
        <v>#N/A</v>
      </c>
      <c r="S55" t="e">
        <f t="shared" si="4"/>
        <v>#N/A</v>
      </c>
      <c r="T55" t="e">
        <f t="shared" si="5"/>
        <v>#N/A</v>
      </c>
      <c r="U55" t="e">
        <f t="shared" si="6"/>
        <v>#N/A</v>
      </c>
      <c r="W55">
        <v>1000</v>
      </c>
      <c r="X55">
        <v>1000</v>
      </c>
      <c r="Y55">
        <v>1000</v>
      </c>
      <c r="Z55">
        <v>1000</v>
      </c>
      <c r="AA55">
        <v>1000</v>
      </c>
      <c r="AC55">
        <f t="shared" si="7"/>
        <v>130</v>
      </c>
      <c r="AD55" t="e">
        <f t="shared" si="8"/>
        <v>#N/A</v>
      </c>
      <c r="AE55" t="e">
        <f t="shared" si="9"/>
        <v>#N/A</v>
      </c>
      <c r="AF55" t="e">
        <f t="shared" si="10"/>
        <v>#N/A</v>
      </c>
      <c r="AG55" t="e">
        <f t="shared" si="11"/>
        <v>#N/A</v>
      </c>
    </row>
    <row r="56" spans="1:33" ht="28.2" thickBot="1" x14ac:dyDescent="0.3">
      <c r="I56" s="22">
        <v>55</v>
      </c>
      <c r="J56" s="22" t="s">
        <v>2183</v>
      </c>
      <c r="K56" s="22" t="s">
        <v>2908</v>
      </c>
      <c r="L56" s="22" t="s">
        <v>2908</v>
      </c>
      <c r="M56" s="22" t="s">
        <v>2908</v>
      </c>
      <c r="N56" s="22" t="s">
        <v>2908</v>
      </c>
      <c r="O56" s="22" t="s">
        <v>2908</v>
      </c>
      <c r="Q56" t="e">
        <f t="shared" si="2"/>
        <v>#N/A</v>
      </c>
      <c r="R56" t="e">
        <f t="shared" si="3"/>
        <v>#N/A</v>
      </c>
      <c r="S56" t="e">
        <f t="shared" si="4"/>
        <v>#N/A</v>
      </c>
      <c r="T56" t="e">
        <f t="shared" si="5"/>
        <v>#N/A</v>
      </c>
      <c r="U56" t="e">
        <f t="shared" si="6"/>
        <v>#N/A</v>
      </c>
      <c r="W56">
        <v>1000</v>
      </c>
      <c r="X56">
        <v>1000</v>
      </c>
      <c r="Y56">
        <v>1000</v>
      </c>
      <c r="Z56">
        <v>1000</v>
      </c>
      <c r="AA56">
        <v>1000</v>
      </c>
      <c r="AC56" t="e">
        <f t="shared" si="7"/>
        <v>#N/A</v>
      </c>
      <c r="AD56" t="e">
        <f t="shared" si="8"/>
        <v>#N/A</v>
      </c>
      <c r="AE56" t="e">
        <f t="shared" si="9"/>
        <v>#N/A</v>
      </c>
      <c r="AF56" t="e">
        <f t="shared" si="10"/>
        <v>#N/A</v>
      </c>
      <c r="AG56" t="e">
        <f t="shared" si="11"/>
        <v>#N/A</v>
      </c>
    </row>
    <row r="57" spans="1:33" ht="14.4" thickBot="1" x14ac:dyDescent="0.3">
      <c r="I57" s="22">
        <v>56</v>
      </c>
      <c r="J57" s="22" t="s">
        <v>2185</v>
      </c>
      <c r="K57" s="22" t="s">
        <v>2908</v>
      </c>
      <c r="L57" s="22" t="s">
        <v>2908</v>
      </c>
      <c r="M57" s="22" t="s">
        <v>2908</v>
      </c>
      <c r="N57" s="22" t="s">
        <v>2908</v>
      </c>
      <c r="O57" s="22" t="s">
        <v>2908</v>
      </c>
      <c r="Q57" t="e">
        <f t="shared" si="2"/>
        <v>#N/A</v>
      </c>
      <c r="R57" t="e">
        <f t="shared" si="3"/>
        <v>#N/A</v>
      </c>
      <c r="S57" t="e">
        <f t="shared" si="4"/>
        <v>#N/A</v>
      </c>
      <c r="T57" t="e">
        <f t="shared" si="5"/>
        <v>#N/A</v>
      </c>
      <c r="U57" t="e">
        <f t="shared" si="6"/>
        <v>#N/A</v>
      </c>
      <c r="W57">
        <v>1000</v>
      </c>
      <c r="X57">
        <v>1000</v>
      </c>
      <c r="Y57">
        <v>1000</v>
      </c>
      <c r="Z57">
        <v>1000</v>
      </c>
      <c r="AA57">
        <v>1000</v>
      </c>
      <c r="AC57" t="e">
        <f t="shared" si="7"/>
        <v>#N/A</v>
      </c>
      <c r="AD57" t="e">
        <f t="shared" si="8"/>
        <v>#N/A</v>
      </c>
      <c r="AE57" t="e">
        <f t="shared" si="9"/>
        <v>#N/A</v>
      </c>
      <c r="AF57" t="e">
        <f t="shared" si="10"/>
        <v>#N/A</v>
      </c>
      <c r="AG57" t="e">
        <f t="shared" si="11"/>
        <v>#N/A</v>
      </c>
    </row>
    <row r="58" spans="1:33" ht="14.4" thickBot="1" x14ac:dyDescent="0.3">
      <c r="I58" s="22">
        <v>57</v>
      </c>
      <c r="J58" s="22" t="s">
        <v>2930</v>
      </c>
      <c r="K58" s="22" t="s">
        <v>2908</v>
      </c>
      <c r="L58" s="22" t="s">
        <v>2908</v>
      </c>
      <c r="M58" s="22" t="s">
        <v>2908</v>
      </c>
      <c r="N58" s="22" t="s">
        <v>2908</v>
      </c>
      <c r="O58" s="22" t="s">
        <v>2908</v>
      </c>
      <c r="Q58" t="e">
        <f t="shared" si="2"/>
        <v>#N/A</v>
      </c>
      <c r="R58" t="e">
        <f t="shared" si="3"/>
        <v>#N/A</v>
      </c>
      <c r="S58" t="e">
        <f t="shared" si="4"/>
        <v>#N/A</v>
      </c>
      <c r="T58" t="e">
        <f t="shared" si="5"/>
        <v>#N/A</v>
      </c>
      <c r="U58" t="e">
        <f t="shared" si="6"/>
        <v>#N/A</v>
      </c>
      <c r="W58">
        <v>1000</v>
      </c>
      <c r="X58">
        <v>1000</v>
      </c>
      <c r="Y58">
        <v>1000</v>
      </c>
      <c r="Z58">
        <v>1000</v>
      </c>
      <c r="AA58">
        <v>1000</v>
      </c>
      <c r="AC58" t="e">
        <f t="shared" si="7"/>
        <v>#N/A</v>
      </c>
      <c r="AD58" t="e">
        <f t="shared" si="8"/>
        <v>#N/A</v>
      </c>
      <c r="AE58" t="e">
        <f t="shared" si="9"/>
        <v>#N/A</v>
      </c>
      <c r="AF58" t="e">
        <f t="shared" si="10"/>
        <v>#N/A</v>
      </c>
      <c r="AG58" t="e">
        <f t="shared" si="11"/>
        <v>#N/A</v>
      </c>
    </row>
    <row r="59" spans="1:33" ht="14.4" thickBot="1" x14ac:dyDescent="0.3">
      <c r="I59" s="22">
        <v>58</v>
      </c>
      <c r="J59" s="22" t="s">
        <v>2331</v>
      </c>
      <c r="K59" s="22" t="s">
        <v>2908</v>
      </c>
      <c r="L59" s="22" t="s">
        <v>2908</v>
      </c>
      <c r="M59" s="22" t="s">
        <v>2908</v>
      </c>
      <c r="N59" s="22" t="s">
        <v>2908</v>
      </c>
      <c r="O59" s="22" t="s">
        <v>2908</v>
      </c>
      <c r="Q59" t="e">
        <f t="shared" si="2"/>
        <v>#N/A</v>
      </c>
      <c r="R59" t="e">
        <f t="shared" si="3"/>
        <v>#N/A</v>
      </c>
      <c r="S59" t="e">
        <f t="shared" si="4"/>
        <v>#N/A</v>
      </c>
      <c r="T59" t="e">
        <f t="shared" si="5"/>
        <v>#N/A</v>
      </c>
      <c r="U59" t="e">
        <f t="shared" si="6"/>
        <v>#N/A</v>
      </c>
      <c r="W59">
        <v>1000</v>
      </c>
      <c r="X59">
        <v>1000</v>
      </c>
      <c r="Y59">
        <v>1000</v>
      </c>
      <c r="Z59">
        <v>1000</v>
      </c>
      <c r="AA59">
        <v>1000</v>
      </c>
      <c r="AC59" t="e">
        <f t="shared" si="7"/>
        <v>#N/A</v>
      </c>
      <c r="AD59" t="e">
        <f t="shared" si="8"/>
        <v>#N/A</v>
      </c>
      <c r="AE59" t="e">
        <f t="shared" si="9"/>
        <v>#N/A</v>
      </c>
      <c r="AF59" t="e">
        <f t="shared" si="10"/>
        <v>#N/A</v>
      </c>
      <c r="AG59" t="e">
        <f t="shared" si="11"/>
        <v>#N/A</v>
      </c>
    </row>
    <row r="60" spans="1:33" ht="28.2" thickBot="1" x14ac:dyDescent="0.3">
      <c r="I60" s="22">
        <v>59</v>
      </c>
      <c r="J60" s="22" t="s">
        <v>2337</v>
      </c>
      <c r="K60" s="22" t="s">
        <v>2908</v>
      </c>
      <c r="L60" s="22" t="s">
        <v>2908</v>
      </c>
      <c r="M60" s="22" t="s">
        <v>2908</v>
      </c>
      <c r="N60" s="22" t="s">
        <v>2908</v>
      </c>
      <c r="O60" s="22" t="s">
        <v>2908</v>
      </c>
      <c r="Q60" t="e">
        <f t="shared" si="2"/>
        <v>#N/A</v>
      </c>
      <c r="R60" t="e">
        <f t="shared" si="3"/>
        <v>#N/A</v>
      </c>
      <c r="S60" t="e">
        <f t="shared" si="4"/>
        <v>#N/A</v>
      </c>
      <c r="T60" t="e">
        <f t="shared" si="5"/>
        <v>#N/A</v>
      </c>
      <c r="U60" t="e">
        <f t="shared" si="6"/>
        <v>#N/A</v>
      </c>
      <c r="W60">
        <v>1000</v>
      </c>
      <c r="X60">
        <v>1000</v>
      </c>
      <c r="Y60">
        <v>1000</v>
      </c>
      <c r="Z60">
        <v>1000</v>
      </c>
      <c r="AA60">
        <v>1000</v>
      </c>
      <c r="AC60" t="e">
        <f t="shared" si="7"/>
        <v>#N/A</v>
      </c>
      <c r="AD60" t="e">
        <f t="shared" si="8"/>
        <v>#N/A</v>
      </c>
      <c r="AE60" t="e">
        <f t="shared" si="9"/>
        <v>#N/A</v>
      </c>
      <c r="AF60" t="e">
        <f t="shared" si="10"/>
        <v>#N/A</v>
      </c>
      <c r="AG60" t="e">
        <f t="shared" si="11"/>
        <v>#N/A</v>
      </c>
    </row>
    <row r="61" spans="1:33" ht="28.2" thickBot="1" x14ac:dyDescent="0.3">
      <c r="I61" s="22">
        <v>60</v>
      </c>
      <c r="J61" s="22" t="s">
        <v>2365</v>
      </c>
      <c r="K61" s="22" t="s">
        <v>3472</v>
      </c>
      <c r="L61" s="22" t="s">
        <v>1165</v>
      </c>
      <c r="M61" s="22" t="s">
        <v>1165</v>
      </c>
      <c r="N61" s="22" t="s">
        <v>3473</v>
      </c>
      <c r="O61" s="22" t="s">
        <v>3474</v>
      </c>
      <c r="Q61" t="str">
        <f t="shared" si="2"/>
        <v xml:space="preserve">0.26 </v>
      </c>
      <c r="R61" t="e">
        <f t="shared" si="3"/>
        <v>#N/A</v>
      </c>
      <c r="S61" t="e">
        <f t="shared" si="4"/>
        <v>#N/A</v>
      </c>
      <c r="T61" t="str">
        <f t="shared" si="5"/>
        <v xml:space="preserve">0.11 </v>
      </c>
      <c r="U61" t="str">
        <f t="shared" si="6"/>
        <v xml:space="preserve">0.09 </v>
      </c>
      <c r="W61">
        <v>1000</v>
      </c>
      <c r="X61">
        <v>1000</v>
      </c>
      <c r="Y61">
        <v>1000</v>
      </c>
      <c r="Z61">
        <v>1000</v>
      </c>
      <c r="AA61">
        <v>1000</v>
      </c>
      <c r="AC61">
        <f t="shared" si="7"/>
        <v>260</v>
      </c>
      <c r="AD61" t="e">
        <f t="shared" si="8"/>
        <v>#N/A</v>
      </c>
      <c r="AE61" t="e">
        <f t="shared" si="9"/>
        <v>#N/A</v>
      </c>
      <c r="AF61">
        <f t="shared" si="10"/>
        <v>110</v>
      </c>
      <c r="AG61">
        <f t="shared" si="11"/>
        <v>90</v>
      </c>
    </row>
    <row r="62" spans="1:33" ht="28.2" thickBot="1" x14ac:dyDescent="0.3">
      <c r="I62" s="22">
        <v>61</v>
      </c>
      <c r="J62" s="22" t="s">
        <v>2186</v>
      </c>
      <c r="K62" s="22" t="s">
        <v>3529</v>
      </c>
      <c r="L62" s="22" t="s">
        <v>3530</v>
      </c>
      <c r="M62" s="22" t="s">
        <v>3531</v>
      </c>
      <c r="N62" s="22" t="s">
        <v>3532</v>
      </c>
      <c r="O62" s="22" t="s">
        <v>3533</v>
      </c>
      <c r="Q62" t="str">
        <f t="shared" si="2"/>
        <v xml:space="preserve">4.67 </v>
      </c>
      <c r="R62" t="str">
        <f t="shared" si="3"/>
        <v xml:space="preserve">2.27 </v>
      </c>
      <c r="S62" t="str">
        <f t="shared" si="4"/>
        <v xml:space="preserve">1.77 </v>
      </c>
      <c r="T62" t="str">
        <f t="shared" si="5"/>
        <v xml:space="preserve">8.41 </v>
      </c>
      <c r="U62" t="str">
        <f t="shared" si="6"/>
        <v xml:space="preserve">10.27 </v>
      </c>
      <c r="W62">
        <v>1000</v>
      </c>
      <c r="X62">
        <v>1000</v>
      </c>
      <c r="Y62">
        <v>1000</v>
      </c>
      <c r="Z62">
        <v>1000</v>
      </c>
      <c r="AA62">
        <v>1000</v>
      </c>
      <c r="AC62">
        <f t="shared" si="7"/>
        <v>4670</v>
      </c>
      <c r="AD62">
        <f t="shared" si="8"/>
        <v>2270</v>
      </c>
      <c r="AE62">
        <f t="shared" si="9"/>
        <v>1770</v>
      </c>
      <c r="AF62">
        <f t="shared" si="10"/>
        <v>8410</v>
      </c>
      <c r="AG62">
        <f t="shared" si="11"/>
        <v>10270</v>
      </c>
    </row>
    <row r="63" spans="1:33" ht="28.2" thickBot="1" x14ac:dyDescent="0.3">
      <c r="I63" s="22">
        <v>62</v>
      </c>
      <c r="J63" s="22" t="s">
        <v>2382</v>
      </c>
      <c r="K63" s="22" t="s">
        <v>3514</v>
      </c>
      <c r="L63" s="22" t="s">
        <v>3515</v>
      </c>
      <c r="M63" s="22" t="s">
        <v>3516</v>
      </c>
      <c r="N63" s="22" t="s">
        <v>3517</v>
      </c>
      <c r="O63" s="22" t="s">
        <v>3518</v>
      </c>
      <c r="Q63" t="str">
        <f t="shared" si="2"/>
        <v xml:space="preserve">0.92 </v>
      </c>
      <c r="R63" t="str">
        <f t="shared" si="3"/>
        <v xml:space="preserve">0.39 </v>
      </c>
      <c r="S63" t="str">
        <f t="shared" si="4"/>
        <v xml:space="preserve">0.32 </v>
      </c>
      <c r="T63" t="str">
        <f t="shared" si="5"/>
        <v xml:space="preserve">1.59 </v>
      </c>
      <c r="U63" t="str">
        <f t="shared" si="6"/>
        <v xml:space="preserve">2.41 </v>
      </c>
      <c r="W63">
        <v>1000</v>
      </c>
      <c r="X63">
        <v>1000</v>
      </c>
      <c r="Y63">
        <v>1000</v>
      </c>
      <c r="Z63">
        <v>1000</v>
      </c>
      <c r="AA63">
        <v>1000</v>
      </c>
      <c r="AC63">
        <f t="shared" si="7"/>
        <v>920</v>
      </c>
      <c r="AD63">
        <f t="shared" si="8"/>
        <v>390</v>
      </c>
      <c r="AE63">
        <f t="shared" si="9"/>
        <v>320</v>
      </c>
      <c r="AF63">
        <f t="shared" si="10"/>
        <v>1590</v>
      </c>
      <c r="AG63">
        <f t="shared" si="11"/>
        <v>2410</v>
      </c>
    </row>
    <row r="64" spans="1:33" ht="14.4" thickBot="1" x14ac:dyDescent="0.3">
      <c r="I64" s="22">
        <v>63</v>
      </c>
      <c r="J64" s="22" t="s">
        <v>2393</v>
      </c>
      <c r="K64" s="22" t="s">
        <v>2908</v>
      </c>
      <c r="L64" s="22" t="s">
        <v>2908</v>
      </c>
      <c r="M64" s="22" t="s">
        <v>2908</v>
      </c>
      <c r="N64" s="22" t="s">
        <v>2908</v>
      </c>
      <c r="O64" s="22" t="s">
        <v>2908</v>
      </c>
      <c r="Q64" t="e">
        <f t="shared" si="2"/>
        <v>#N/A</v>
      </c>
      <c r="R64" t="e">
        <f t="shared" si="3"/>
        <v>#N/A</v>
      </c>
      <c r="S64" t="e">
        <f t="shared" si="4"/>
        <v>#N/A</v>
      </c>
      <c r="T64" t="e">
        <f t="shared" si="5"/>
        <v>#N/A</v>
      </c>
      <c r="U64" t="e">
        <f t="shared" si="6"/>
        <v>#N/A</v>
      </c>
      <c r="W64">
        <v>1000</v>
      </c>
      <c r="X64">
        <v>1000</v>
      </c>
      <c r="Y64">
        <v>1000</v>
      </c>
      <c r="Z64">
        <v>1000</v>
      </c>
      <c r="AA64">
        <v>1000</v>
      </c>
      <c r="AC64" t="e">
        <f t="shared" si="7"/>
        <v>#N/A</v>
      </c>
      <c r="AD64" t="e">
        <f t="shared" si="8"/>
        <v>#N/A</v>
      </c>
      <c r="AE64" t="e">
        <f t="shared" si="9"/>
        <v>#N/A</v>
      </c>
      <c r="AF64" t="e">
        <f t="shared" si="10"/>
        <v>#N/A</v>
      </c>
      <c r="AG64" t="e">
        <f t="shared" si="11"/>
        <v>#N/A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81AA-EE56-4691-B7E5-B1D28D4B90C3}">
  <dimension ref="A1:O64"/>
  <sheetViews>
    <sheetView workbookViewId="0">
      <selection activeCell="Q4" sqref="Q4"/>
    </sheetView>
  </sheetViews>
  <sheetFormatPr defaultRowHeight="13.8" x14ac:dyDescent="0.25"/>
  <sheetData>
    <row r="1" spans="1:15" ht="44.4" thickBot="1" x14ac:dyDescent="0.3">
      <c r="A1" s="21" t="s">
        <v>2845</v>
      </c>
      <c r="B1" s="21" t="s">
        <v>3634</v>
      </c>
      <c r="C1" s="21" t="s">
        <v>3635</v>
      </c>
      <c r="D1" s="25" t="s">
        <v>4288</v>
      </c>
      <c r="E1" s="21" t="s">
        <v>3636</v>
      </c>
      <c r="G1" s="21" t="s">
        <v>2845</v>
      </c>
      <c r="H1" s="21" t="s">
        <v>2906</v>
      </c>
      <c r="I1" s="25" t="s">
        <v>4289</v>
      </c>
      <c r="J1" s="25" t="s">
        <v>4290</v>
      </c>
      <c r="K1" s="25" t="s">
        <v>4291</v>
      </c>
    </row>
    <row r="2" spans="1:15" ht="42" thickBot="1" x14ac:dyDescent="0.3">
      <c r="A2" s="22">
        <v>1</v>
      </c>
      <c r="B2" s="22" t="s">
        <v>2177</v>
      </c>
      <c r="C2" s="22" t="s">
        <v>3637</v>
      </c>
      <c r="D2" s="22" t="s">
        <v>3638</v>
      </c>
      <c r="E2" s="22" t="s">
        <v>1165</v>
      </c>
      <c r="G2" s="22">
        <v>1</v>
      </c>
      <c r="H2" s="22" t="s">
        <v>3764</v>
      </c>
      <c r="I2" s="22" t="s">
        <v>3702</v>
      </c>
      <c r="J2" s="22" t="s">
        <v>3703</v>
      </c>
      <c r="K2" s="22" t="s">
        <v>3704</v>
      </c>
      <c r="M2" t="str">
        <f>_xlfn.TEXTBEFORE(I2,"±")</f>
        <v xml:space="preserve">342984.44 </v>
      </c>
      <c r="N2" t="str">
        <f t="shared" ref="N2:O2" si="0">_xlfn.TEXTBEFORE(J2,"±")</f>
        <v xml:space="preserve">533102.51 </v>
      </c>
      <c r="O2" t="str">
        <f t="shared" si="0"/>
        <v xml:space="preserve">504390.55 </v>
      </c>
    </row>
    <row r="3" spans="1:15" ht="42" thickBot="1" x14ac:dyDescent="0.3">
      <c r="A3" s="22">
        <v>2</v>
      </c>
      <c r="B3" s="22" t="s">
        <v>2020</v>
      </c>
      <c r="C3" s="22" t="s">
        <v>3639</v>
      </c>
      <c r="D3" s="22" t="s">
        <v>3640</v>
      </c>
      <c r="E3" s="22" t="s">
        <v>1165</v>
      </c>
      <c r="G3" s="22">
        <v>2</v>
      </c>
      <c r="H3" s="22" t="s">
        <v>3765</v>
      </c>
      <c r="I3" s="22" t="s">
        <v>3766</v>
      </c>
      <c r="J3" s="22" t="s">
        <v>2908</v>
      </c>
      <c r="K3" s="22" t="s">
        <v>2908</v>
      </c>
      <c r="M3" t="e">
        <f t="shared" ref="M3:M64" si="1">_xlfn.TEXTBEFORE(I3,"±")</f>
        <v>#N/A</v>
      </c>
      <c r="N3" t="e">
        <f t="shared" ref="N3:N64" si="2">_xlfn.TEXTBEFORE(J3,"±")</f>
        <v>#N/A</v>
      </c>
      <c r="O3" t="e">
        <f t="shared" ref="O3:O64" si="3">_xlfn.TEXTBEFORE(K3,"±")</f>
        <v>#N/A</v>
      </c>
    </row>
    <row r="4" spans="1:15" ht="42" thickBot="1" x14ac:dyDescent="0.3">
      <c r="A4" s="22">
        <v>3</v>
      </c>
      <c r="B4" s="22" t="s">
        <v>3641</v>
      </c>
      <c r="C4" s="22" t="s">
        <v>3642</v>
      </c>
      <c r="D4" s="22" t="s">
        <v>3642</v>
      </c>
      <c r="E4" s="22" t="s">
        <v>1165</v>
      </c>
      <c r="G4" s="22">
        <v>3</v>
      </c>
      <c r="H4" s="22" t="s">
        <v>3767</v>
      </c>
      <c r="I4" s="22" t="s">
        <v>3684</v>
      </c>
      <c r="J4" s="22" t="s">
        <v>3685</v>
      </c>
      <c r="K4" s="22" t="s">
        <v>1165</v>
      </c>
      <c r="M4" t="str">
        <f t="shared" si="1"/>
        <v xml:space="preserve">105126.62 </v>
      </c>
      <c r="N4" t="str">
        <f t="shared" si="2"/>
        <v xml:space="preserve">116634.97 </v>
      </c>
      <c r="O4" t="e">
        <f t="shared" si="3"/>
        <v>#N/A</v>
      </c>
    </row>
    <row r="5" spans="1:15" ht="42" thickBot="1" x14ac:dyDescent="0.3">
      <c r="A5" s="22">
        <v>4</v>
      </c>
      <c r="B5" s="22" t="s">
        <v>2021</v>
      </c>
      <c r="C5" s="22" t="s">
        <v>3643</v>
      </c>
      <c r="D5" s="22" t="s">
        <v>3644</v>
      </c>
      <c r="E5" s="22" t="s">
        <v>1165</v>
      </c>
      <c r="G5" s="22">
        <v>4</v>
      </c>
      <c r="H5" s="22" t="s">
        <v>3768</v>
      </c>
      <c r="I5" s="22" t="s">
        <v>3675</v>
      </c>
      <c r="J5" s="22" t="s">
        <v>3676</v>
      </c>
      <c r="K5" s="22" t="s">
        <v>1165</v>
      </c>
      <c r="M5" t="str">
        <f t="shared" si="1"/>
        <v xml:space="preserve">79466.37 </v>
      </c>
      <c r="N5" t="str">
        <f t="shared" si="2"/>
        <v xml:space="preserve">72175.46 </v>
      </c>
      <c r="O5" t="e">
        <f t="shared" si="3"/>
        <v>#N/A</v>
      </c>
    </row>
    <row r="6" spans="1:15" ht="42" thickBot="1" x14ac:dyDescent="0.3">
      <c r="A6" s="22">
        <v>5</v>
      </c>
      <c r="B6" s="22" t="s">
        <v>2175</v>
      </c>
      <c r="C6" s="22" t="s">
        <v>3645</v>
      </c>
      <c r="D6" s="22" t="s">
        <v>3646</v>
      </c>
      <c r="E6" s="22" t="s">
        <v>1165</v>
      </c>
      <c r="G6" s="22">
        <v>5</v>
      </c>
      <c r="H6" s="22" t="s">
        <v>3769</v>
      </c>
      <c r="I6" s="22" t="s">
        <v>3717</v>
      </c>
      <c r="J6" s="22" t="s">
        <v>3718</v>
      </c>
      <c r="K6" s="22" t="s">
        <v>3719</v>
      </c>
      <c r="M6" t="str">
        <f t="shared" si="1"/>
        <v xml:space="preserve">9426.49 </v>
      </c>
      <c r="N6" t="str">
        <f t="shared" si="2"/>
        <v xml:space="preserve">44087.13 </v>
      </c>
      <c r="O6" t="str">
        <f t="shared" si="3"/>
        <v xml:space="preserve">14458.47 </v>
      </c>
    </row>
    <row r="7" spans="1:15" ht="42" thickBot="1" x14ac:dyDescent="0.3">
      <c r="A7" s="22">
        <v>6</v>
      </c>
      <c r="B7" s="22" t="s">
        <v>2024</v>
      </c>
      <c r="C7" s="22" t="s">
        <v>3647</v>
      </c>
      <c r="D7" s="22" t="s">
        <v>3648</v>
      </c>
      <c r="E7" s="22" t="s">
        <v>1165</v>
      </c>
      <c r="G7" s="22">
        <v>6</v>
      </c>
      <c r="H7" s="22" t="s">
        <v>3770</v>
      </c>
      <c r="I7" s="22" t="s">
        <v>3693</v>
      </c>
      <c r="J7" s="22" t="s">
        <v>3694</v>
      </c>
      <c r="K7" s="22" t="s">
        <v>1165</v>
      </c>
      <c r="M7" t="str">
        <f t="shared" si="1"/>
        <v xml:space="preserve">46295.73 </v>
      </c>
      <c r="N7" t="str">
        <f t="shared" si="2"/>
        <v xml:space="preserve">74360.69 </v>
      </c>
      <c r="O7" t="e">
        <f t="shared" si="3"/>
        <v>#N/A</v>
      </c>
    </row>
    <row r="8" spans="1:15" ht="42" thickBot="1" x14ac:dyDescent="0.3">
      <c r="A8" s="22">
        <v>7</v>
      </c>
      <c r="B8" s="22" t="s">
        <v>2180</v>
      </c>
      <c r="C8" s="22" t="s">
        <v>3649</v>
      </c>
      <c r="D8" s="22" t="s">
        <v>3650</v>
      </c>
      <c r="E8" s="22" t="s">
        <v>1165</v>
      </c>
      <c r="G8" s="22">
        <v>7</v>
      </c>
      <c r="H8" s="22" t="s">
        <v>3771</v>
      </c>
      <c r="I8" s="22" t="s">
        <v>3711</v>
      </c>
      <c r="J8" s="22" t="s">
        <v>3712</v>
      </c>
      <c r="K8" s="22" t="s">
        <v>3713</v>
      </c>
      <c r="M8" t="str">
        <f t="shared" si="1"/>
        <v xml:space="preserve">9891.43 </v>
      </c>
      <c r="N8" t="str">
        <f t="shared" si="2"/>
        <v xml:space="preserve">35048.17 </v>
      </c>
      <c r="O8" t="str">
        <f t="shared" si="3"/>
        <v xml:space="preserve">18625.05 </v>
      </c>
    </row>
    <row r="9" spans="1:15" ht="42" thickBot="1" x14ac:dyDescent="0.3">
      <c r="A9" s="22">
        <v>8</v>
      </c>
      <c r="B9" s="22" t="s">
        <v>2174</v>
      </c>
      <c r="C9" s="22" t="s">
        <v>3651</v>
      </c>
      <c r="D9" s="22" t="s">
        <v>3652</v>
      </c>
      <c r="E9" s="22" t="s">
        <v>1165</v>
      </c>
      <c r="G9" s="22">
        <v>8</v>
      </c>
      <c r="H9" s="22" t="s">
        <v>3772</v>
      </c>
      <c r="I9" s="22" t="s">
        <v>3714</v>
      </c>
      <c r="J9" s="22" t="s">
        <v>3715</v>
      </c>
      <c r="K9" s="22" t="s">
        <v>3716</v>
      </c>
      <c r="M9" t="str">
        <f t="shared" si="1"/>
        <v xml:space="preserve">27850.02 </v>
      </c>
      <c r="N9" t="str">
        <f t="shared" si="2"/>
        <v xml:space="preserve">7867.01 </v>
      </c>
      <c r="O9" t="str">
        <f t="shared" si="3"/>
        <v xml:space="preserve">36132.93 </v>
      </c>
    </row>
    <row r="10" spans="1:15" ht="42" thickBot="1" x14ac:dyDescent="0.3">
      <c r="A10" s="22">
        <v>9</v>
      </c>
      <c r="B10" s="22" t="s">
        <v>3586</v>
      </c>
      <c r="C10" s="22" t="s">
        <v>3642</v>
      </c>
      <c r="D10" s="22" t="s">
        <v>3642</v>
      </c>
      <c r="E10" s="22" t="s">
        <v>1165</v>
      </c>
      <c r="G10" s="22">
        <v>9</v>
      </c>
      <c r="H10" s="22" t="s">
        <v>2909</v>
      </c>
      <c r="I10" s="22" t="s">
        <v>2908</v>
      </c>
      <c r="J10" s="22" t="s">
        <v>2908</v>
      </c>
      <c r="K10" s="22" t="s">
        <v>2908</v>
      </c>
      <c r="M10" t="e">
        <f t="shared" si="1"/>
        <v>#N/A</v>
      </c>
      <c r="N10" t="e">
        <f t="shared" si="2"/>
        <v>#N/A</v>
      </c>
      <c r="O10" t="e">
        <f t="shared" si="3"/>
        <v>#N/A</v>
      </c>
    </row>
    <row r="11" spans="1:15" ht="42" thickBot="1" x14ac:dyDescent="0.3">
      <c r="A11" s="22">
        <v>10</v>
      </c>
      <c r="B11" s="22" t="s">
        <v>3343</v>
      </c>
      <c r="C11" s="22" t="s">
        <v>3653</v>
      </c>
      <c r="D11" s="22" t="s">
        <v>3654</v>
      </c>
      <c r="E11" s="22" t="s">
        <v>1165</v>
      </c>
      <c r="G11" s="22">
        <v>10</v>
      </c>
      <c r="H11" s="22" t="s">
        <v>3773</v>
      </c>
      <c r="I11" s="22" t="s">
        <v>3642</v>
      </c>
      <c r="J11" s="22" t="s">
        <v>3699</v>
      </c>
      <c r="K11" s="22" t="s">
        <v>3700</v>
      </c>
      <c r="M11" t="e">
        <f t="shared" si="1"/>
        <v>#N/A</v>
      </c>
      <c r="N11" t="str">
        <f t="shared" si="2"/>
        <v xml:space="preserve">5132.67 </v>
      </c>
      <c r="O11" t="str">
        <f t="shared" si="3"/>
        <v xml:space="preserve">2886.38 </v>
      </c>
    </row>
    <row r="12" spans="1:15" ht="28.2" thickBot="1" x14ac:dyDescent="0.3">
      <c r="A12" s="22">
        <v>11</v>
      </c>
      <c r="B12" s="22" t="s">
        <v>3655</v>
      </c>
      <c r="C12" s="22" t="s">
        <v>3656</v>
      </c>
      <c r="D12" s="22" t="s">
        <v>3657</v>
      </c>
      <c r="E12" s="22" t="s">
        <v>1165</v>
      </c>
      <c r="G12" s="22">
        <v>11</v>
      </c>
      <c r="H12" s="22" t="s">
        <v>2911</v>
      </c>
      <c r="I12" s="22" t="s">
        <v>2908</v>
      </c>
      <c r="J12" s="22" t="s">
        <v>2908</v>
      </c>
      <c r="K12" s="22" t="s">
        <v>2908</v>
      </c>
      <c r="M12" t="e">
        <f t="shared" si="1"/>
        <v>#N/A</v>
      </c>
      <c r="N12" t="e">
        <f t="shared" si="2"/>
        <v>#N/A</v>
      </c>
      <c r="O12" t="e">
        <f t="shared" si="3"/>
        <v>#N/A</v>
      </c>
    </row>
    <row r="13" spans="1:15" ht="28.2" thickBot="1" x14ac:dyDescent="0.3">
      <c r="A13" s="22">
        <v>12</v>
      </c>
      <c r="B13" s="22" t="s">
        <v>3347</v>
      </c>
      <c r="C13" s="22" t="s">
        <v>3658</v>
      </c>
      <c r="D13" s="22" t="s">
        <v>3659</v>
      </c>
      <c r="E13" s="22" t="s">
        <v>1165</v>
      </c>
      <c r="G13" s="22">
        <v>12</v>
      </c>
      <c r="H13" s="22" t="s">
        <v>2957</v>
      </c>
      <c r="I13" s="22" t="s">
        <v>2908</v>
      </c>
      <c r="J13" s="22" t="s">
        <v>2908</v>
      </c>
      <c r="K13" s="22" t="s">
        <v>2908</v>
      </c>
      <c r="M13" t="e">
        <f t="shared" si="1"/>
        <v>#N/A</v>
      </c>
      <c r="N13" t="e">
        <f t="shared" si="2"/>
        <v>#N/A</v>
      </c>
      <c r="O13" t="e">
        <f t="shared" si="3"/>
        <v>#N/A</v>
      </c>
    </row>
    <row r="14" spans="1:15" ht="28.2" thickBot="1" x14ac:dyDescent="0.3">
      <c r="A14" s="22">
        <v>13</v>
      </c>
      <c r="B14" s="22" t="s">
        <v>3660</v>
      </c>
      <c r="C14" s="22" t="s">
        <v>3661</v>
      </c>
      <c r="D14" s="22" t="s">
        <v>3642</v>
      </c>
      <c r="E14" s="22" t="s">
        <v>1165</v>
      </c>
      <c r="G14" s="22">
        <v>13</v>
      </c>
      <c r="H14" s="22" t="s">
        <v>3774</v>
      </c>
      <c r="I14" s="22" t="s">
        <v>3697</v>
      </c>
      <c r="J14" s="22" t="s">
        <v>3642</v>
      </c>
      <c r="K14" s="22" t="s">
        <v>3698</v>
      </c>
      <c r="M14" t="str">
        <f t="shared" si="1"/>
        <v xml:space="preserve">1781.10 </v>
      </c>
      <c r="N14" t="e">
        <f t="shared" si="2"/>
        <v>#N/A</v>
      </c>
      <c r="O14" t="str">
        <f t="shared" si="3"/>
        <v xml:space="preserve">3234.25 </v>
      </c>
    </row>
    <row r="15" spans="1:15" ht="42" thickBot="1" x14ac:dyDescent="0.3">
      <c r="A15" s="22">
        <v>14</v>
      </c>
      <c r="B15" s="22" t="s">
        <v>3558</v>
      </c>
      <c r="C15" s="22" t="s">
        <v>3662</v>
      </c>
      <c r="D15" s="22" t="s">
        <v>3663</v>
      </c>
      <c r="E15" s="22" t="s">
        <v>1165</v>
      </c>
      <c r="G15" s="22">
        <v>14</v>
      </c>
      <c r="H15" s="22" t="s">
        <v>3775</v>
      </c>
      <c r="I15" s="22" t="s">
        <v>3722</v>
      </c>
      <c r="J15" s="22" t="s">
        <v>3723</v>
      </c>
      <c r="K15" s="22" t="s">
        <v>3724</v>
      </c>
      <c r="M15" t="str">
        <f t="shared" si="1"/>
        <v xml:space="preserve">470.76 </v>
      </c>
      <c r="N15" t="str">
        <f t="shared" si="2"/>
        <v xml:space="preserve">5829.38 </v>
      </c>
      <c r="O15" t="str">
        <f t="shared" si="3"/>
        <v xml:space="preserve">496.51 </v>
      </c>
    </row>
    <row r="16" spans="1:15" ht="42" thickBot="1" x14ac:dyDescent="0.3">
      <c r="A16" s="22">
        <v>15</v>
      </c>
      <c r="B16" s="22" t="s">
        <v>3334</v>
      </c>
      <c r="C16" s="22" t="s">
        <v>3664</v>
      </c>
      <c r="D16" s="22" t="s">
        <v>3642</v>
      </c>
      <c r="E16" s="22" t="s">
        <v>1165</v>
      </c>
      <c r="G16" s="22">
        <v>15</v>
      </c>
      <c r="H16" s="22" t="s">
        <v>3776</v>
      </c>
      <c r="I16" s="22" t="s">
        <v>3777</v>
      </c>
      <c r="J16" s="22">
        <v>41048.11</v>
      </c>
      <c r="K16" s="22" t="s">
        <v>1165</v>
      </c>
      <c r="M16" t="e">
        <f t="shared" si="1"/>
        <v>#N/A</v>
      </c>
      <c r="N16" t="e">
        <f t="shared" si="2"/>
        <v>#N/A</v>
      </c>
      <c r="O16" t="e">
        <f t="shared" si="3"/>
        <v>#N/A</v>
      </c>
    </row>
    <row r="17" spans="1:15" ht="42" thickBot="1" x14ac:dyDescent="0.3">
      <c r="A17" s="22">
        <v>16</v>
      </c>
      <c r="B17" s="22" t="s">
        <v>3665</v>
      </c>
      <c r="C17" s="22" t="s">
        <v>3642</v>
      </c>
      <c r="D17" s="22" t="s">
        <v>3642</v>
      </c>
      <c r="E17" s="22" t="s">
        <v>1165</v>
      </c>
      <c r="G17" s="22">
        <v>16</v>
      </c>
      <c r="H17" s="22" t="s">
        <v>3778</v>
      </c>
      <c r="I17" s="22" t="s">
        <v>3748</v>
      </c>
      <c r="J17" s="22" t="s">
        <v>3749</v>
      </c>
      <c r="K17" s="22" t="s">
        <v>3750</v>
      </c>
      <c r="M17" t="str">
        <f t="shared" si="1"/>
        <v xml:space="preserve">5573.65 </v>
      </c>
      <c r="N17" t="str">
        <f t="shared" si="2"/>
        <v xml:space="preserve">3827.99 </v>
      </c>
      <c r="O17" t="str">
        <f t="shared" si="3"/>
        <v xml:space="preserve">8631.73 </v>
      </c>
    </row>
    <row r="18" spans="1:15" ht="42" thickBot="1" x14ac:dyDescent="0.3">
      <c r="A18" s="22">
        <v>17</v>
      </c>
      <c r="B18" s="22" t="s">
        <v>3338</v>
      </c>
      <c r="C18" s="22" t="s">
        <v>3666</v>
      </c>
      <c r="D18" s="22" t="s">
        <v>3667</v>
      </c>
      <c r="E18" s="22" t="s">
        <v>1165</v>
      </c>
      <c r="G18" s="22">
        <v>17</v>
      </c>
      <c r="H18" s="22" t="s">
        <v>3779</v>
      </c>
      <c r="I18" s="22" t="s">
        <v>3741</v>
      </c>
      <c r="J18" s="22" t="s">
        <v>3742</v>
      </c>
      <c r="K18" s="22" t="s">
        <v>3743</v>
      </c>
      <c r="M18" t="str">
        <f t="shared" si="1"/>
        <v xml:space="preserve">1930.28 </v>
      </c>
      <c r="N18" t="str">
        <f t="shared" si="2"/>
        <v xml:space="preserve">1069.83 </v>
      </c>
      <c r="O18" t="str">
        <f t="shared" si="3"/>
        <v xml:space="preserve">3447.45 </v>
      </c>
    </row>
    <row r="19" spans="1:15" ht="42" thickBot="1" x14ac:dyDescent="0.3">
      <c r="A19" s="22">
        <v>18</v>
      </c>
      <c r="B19" s="22" t="s">
        <v>3411</v>
      </c>
      <c r="C19" s="22" t="s">
        <v>3668</v>
      </c>
      <c r="D19" s="22" t="s">
        <v>3669</v>
      </c>
      <c r="E19" s="22" t="s">
        <v>1165</v>
      </c>
      <c r="G19" s="22">
        <v>18</v>
      </c>
      <c r="H19" s="22" t="s">
        <v>3780</v>
      </c>
      <c r="I19" s="22" t="s">
        <v>3691</v>
      </c>
      <c r="J19" s="22" t="s">
        <v>3692</v>
      </c>
      <c r="K19" s="22" t="s">
        <v>1165</v>
      </c>
      <c r="M19" t="str">
        <f t="shared" si="1"/>
        <v xml:space="preserve">7452.88 </v>
      </c>
      <c r="N19" t="str">
        <f t="shared" si="2"/>
        <v xml:space="preserve">7464.67 </v>
      </c>
      <c r="O19" t="e">
        <f t="shared" si="3"/>
        <v>#N/A</v>
      </c>
    </row>
    <row r="20" spans="1:15" ht="42" thickBot="1" x14ac:dyDescent="0.3">
      <c r="A20" s="22">
        <v>19</v>
      </c>
      <c r="B20" s="22" t="s">
        <v>3670</v>
      </c>
      <c r="C20" s="22" t="s">
        <v>3642</v>
      </c>
      <c r="D20" s="22" t="s">
        <v>3642</v>
      </c>
      <c r="E20" s="22" t="s">
        <v>1165</v>
      </c>
      <c r="G20" s="22">
        <v>19</v>
      </c>
      <c r="H20" s="22" t="s">
        <v>3781</v>
      </c>
      <c r="I20" s="22" t="s">
        <v>3735</v>
      </c>
      <c r="J20" s="22" t="s">
        <v>3736</v>
      </c>
      <c r="K20" s="22" t="s">
        <v>3737</v>
      </c>
      <c r="M20" t="str">
        <f t="shared" si="1"/>
        <v xml:space="preserve">6205.59 </v>
      </c>
      <c r="N20" t="str">
        <f t="shared" si="2"/>
        <v xml:space="preserve">21204.57 </v>
      </c>
      <c r="O20" t="str">
        <f t="shared" si="3"/>
        <v xml:space="preserve">19391.71 </v>
      </c>
    </row>
    <row r="21" spans="1:15" ht="42" thickBot="1" x14ac:dyDescent="0.3">
      <c r="A21" s="22">
        <v>20</v>
      </c>
      <c r="B21" s="22" t="s">
        <v>3419</v>
      </c>
      <c r="C21" s="22" t="s">
        <v>3671</v>
      </c>
      <c r="D21" s="22" t="s">
        <v>3642</v>
      </c>
      <c r="E21" s="22" t="s">
        <v>1165</v>
      </c>
      <c r="G21" s="22">
        <v>20</v>
      </c>
      <c r="H21" s="22" t="s">
        <v>3782</v>
      </c>
      <c r="I21" s="22" t="s">
        <v>3705</v>
      </c>
      <c r="J21" s="22" t="s">
        <v>3706</v>
      </c>
      <c r="K21" s="22" t="s">
        <v>3707</v>
      </c>
      <c r="M21" t="str">
        <f t="shared" si="1"/>
        <v xml:space="preserve">1313.93 </v>
      </c>
      <c r="N21" t="str">
        <f t="shared" si="2"/>
        <v xml:space="preserve">2940.24 </v>
      </c>
      <c r="O21" t="str">
        <f t="shared" si="3"/>
        <v xml:space="preserve">2279.45 </v>
      </c>
    </row>
    <row r="22" spans="1:15" ht="28.2" thickBot="1" x14ac:dyDescent="0.3">
      <c r="A22" s="22">
        <v>21</v>
      </c>
      <c r="B22" s="22" t="s">
        <v>3672</v>
      </c>
      <c r="C22" s="22" t="s">
        <v>3673</v>
      </c>
      <c r="D22" s="22" t="s">
        <v>3674</v>
      </c>
      <c r="E22" s="22" t="s">
        <v>1165</v>
      </c>
      <c r="G22" s="22">
        <v>21</v>
      </c>
      <c r="H22" s="22" t="s">
        <v>3783</v>
      </c>
      <c r="I22" s="22" t="s">
        <v>3661</v>
      </c>
      <c r="J22" s="22" t="s">
        <v>3642</v>
      </c>
      <c r="K22" s="22" t="s">
        <v>1165</v>
      </c>
      <c r="M22" t="str">
        <f t="shared" si="1"/>
        <v xml:space="preserve">8161.91 </v>
      </c>
      <c r="N22" t="e">
        <f t="shared" si="2"/>
        <v>#N/A</v>
      </c>
      <c r="O22" t="e">
        <f t="shared" si="3"/>
        <v>#N/A</v>
      </c>
    </row>
    <row r="23" spans="1:15" ht="42" thickBot="1" x14ac:dyDescent="0.3">
      <c r="A23" s="22">
        <v>22</v>
      </c>
      <c r="B23" s="22" t="s">
        <v>2022</v>
      </c>
      <c r="C23" s="22" t="s">
        <v>3675</v>
      </c>
      <c r="D23" s="22" t="s">
        <v>3676</v>
      </c>
      <c r="E23" s="22" t="s">
        <v>1165</v>
      </c>
      <c r="G23" s="22">
        <v>22</v>
      </c>
      <c r="H23" s="22" t="s">
        <v>3784</v>
      </c>
      <c r="I23" s="22" t="s">
        <v>3666</v>
      </c>
      <c r="J23" s="22" t="s">
        <v>3667</v>
      </c>
      <c r="K23" s="22" t="s">
        <v>1165</v>
      </c>
      <c r="M23" t="str">
        <f t="shared" si="1"/>
        <v xml:space="preserve">27985.59 </v>
      </c>
      <c r="N23" t="str">
        <f t="shared" si="2"/>
        <v xml:space="preserve">21231.22 </v>
      </c>
      <c r="O23" t="e">
        <f t="shared" si="3"/>
        <v>#N/A</v>
      </c>
    </row>
    <row r="24" spans="1:15" ht="42" thickBot="1" x14ac:dyDescent="0.3">
      <c r="A24" s="22">
        <v>23</v>
      </c>
      <c r="B24" s="22" t="s">
        <v>3392</v>
      </c>
      <c r="C24" s="22" t="s">
        <v>3677</v>
      </c>
      <c r="D24" s="22" t="s">
        <v>3678</v>
      </c>
      <c r="E24" s="22" t="s">
        <v>1165</v>
      </c>
      <c r="G24" s="22">
        <v>23</v>
      </c>
      <c r="H24" s="22" t="s">
        <v>3785</v>
      </c>
      <c r="I24" s="22" t="s">
        <v>3662</v>
      </c>
      <c r="J24" s="22" t="s">
        <v>3663</v>
      </c>
      <c r="K24" s="22" t="s">
        <v>1165</v>
      </c>
      <c r="M24" t="str">
        <f t="shared" si="1"/>
        <v xml:space="preserve">45204.25 </v>
      </c>
      <c r="N24" t="str">
        <f t="shared" si="2"/>
        <v xml:space="preserve">41048.11 </v>
      </c>
      <c r="O24" t="e">
        <f t="shared" si="3"/>
        <v>#N/A</v>
      </c>
    </row>
    <row r="25" spans="1:15" ht="42" thickBot="1" x14ac:dyDescent="0.3">
      <c r="A25" s="22">
        <v>24</v>
      </c>
      <c r="B25" s="22" t="s">
        <v>3679</v>
      </c>
      <c r="C25" s="22" t="s">
        <v>3680</v>
      </c>
      <c r="D25" s="22" t="s">
        <v>3681</v>
      </c>
      <c r="E25" s="22" t="s">
        <v>1165</v>
      </c>
      <c r="G25" s="22">
        <v>24</v>
      </c>
      <c r="H25" s="22" t="s">
        <v>2918</v>
      </c>
      <c r="I25" s="22" t="s">
        <v>2908</v>
      </c>
      <c r="J25" s="22" t="s">
        <v>2908</v>
      </c>
      <c r="K25" s="22" t="s">
        <v>2908</v>
      </c>
      <c r="M25" t="e">
        <f t="shared" si="1"/>
        <v>#N/A</v>
      </c>
      <c r="N25" t="e">
        <f t="shared" si="2"/>
        <v>#N/A</v>
      </c>
      <c r="O25" t="e">
        <f t="shared" si="3"/>
        <v>#N/A</v>
      </c>
    </row>
    <row r="26" spans="1:15" ht="28.2" thickBot="1" x14ac:dyDescent="0.3">
      <c r="A26" s="22">
        <v>25</v>
      </c>
      <c r="B26" s="22" t="s">
        <v>3174</v>
      </c>
      <c r="C26" s="22" t="s">
        <v>3682</v>
      </c>
      <c r="D26" s="22" t="s">
        <v>3683</v>
      </c>
      <c r="E26" s="22" t="s">
        <v>1165</v>
      </c>
      <c r="G26" s="22">
        <v>25</v>
      </c>
      <c r="H26" s="22" t="s">
        <v>3786</v>
      </c>
      <c r="I26" s="22" t="s">
        <v>3673</v>
      </c>
      <c r="J26" s="22" t="s">
        <v>3674</v>
      </c>
      <c r="K26" s="22" t="s">
        <v>1165</v>
      </c>
      <c r="M26" t="str">
        <f t="shared" si="1"/>
        <v xml:space="preserve">1639.61 </v>
      </c>
      <c r="N26" t="str">
        <f t="shared" si="2"/>
        <v xml:space="preserve">1644.91 </v>
      </c>
      <c r="O26" t="e">
        <f t="shared" si="3"/>
        <v>#N/A</v>
      </c>
    </row>
    <row r="27" spans="1:15" ht="42" thickBot="1" x14ac:dyDescent="0.3">
      <c r="A27" s="22">
        <v>26</v>
      </c>
      <c r="B27" s="22" t="s">
        <v>2018</v>
      </c>
      <c r="C27" s="22" t="s">
        <v>3684</v>
      </c>
      <c r="D27" s="22" t="s">
        <v>3685</v>
      </c>
      <c r="E27" s="22" t="s">
        <v>1165</v>
      </c>
      <c r="G27" s="22">
        <v>26</v>
      </c>
      <c r="H27" s="22" t="s">
        <v>3787</v>
      </c>
      <c r="I27" s="22" t="s">
        <v>3788</v>
      </c>
      <c r="J27" s="22">
        <v>9703.7000000000007</v>
      </c>
      <c r="K27" s="22" t="s">
        <v>1165</v>
      </c>
      <c r="M27" t="e">
        <f t="shared" si="1"/>
        <v>#N/A</v>
      </c>
      <c r="N27" t="e">
        <f t="shared" si="2"/>
        <v>#N/A</v>
      </c>
      <c r="O27" t="e">
        <f t="shared" si="3"/>
        <v>#N/A</v>
      </c>
    </row>
    <row r="28" spans="1:15" ht="42" thickBot="1" x14ac:dyDescent="0.3">
      <c r="A28" s="22">
        <v>27</v>
      </c>
      <c r="B28" s="22" t="s">
        <v>2170</v>
      </c>
      <c r="C28" s="22" t="s">
        <v>3686</v>
      </c>
      <c r="D28" s="22" t="s">
        <v>3687</v>
      </c>
      <c r="E28" s="22" t="s">
        <v>1165</v>
      </c>
      <c r="G28" s="22">
        <v>27</v>
      </c>
      <c r="H28" s="22" t="s">
        <v>3789</v>
      </c>
      <c r="I28" s="22" t="s">
        <v>3656</v>
      </c>
      <c r="J28" s="22" t="s">
        <v>3657</v>
      </c>
      <c r="K28" s="22" t="s">
        <v>1165</v>
      </c>
      <c r="M28" t="str">
        <f t="shared" si="1"/>
        <v xml:space="preserve">5793.99 </v>
      </c>
      <c r="N28" t="str">
        <f t="shared" si="2"/>
        <v xml:space="preserve">9703.70 </v>
      </c>
      <c r="O28" t="e">
        <f t="shared" si="3"/>
        <v>#N/A</v>
      </c>
    </row>
    <row r="29" spans="1:15" ht="42" thickBot="1" x14ac:dyDescent="0.3">
      <c r="A29" s="22">
        <v>28</v>
      </c>
      <c r="B29" s="22" t="s">
        <v>3688</v>
      </c>
      <c r="C29" s="22" t="s">
        <v>3689</v>
      </c>
      <c r="D29" s="22" t="s">
        <v>3690</v>
      </c>
      <c r="E29" s="22" t="s">
        <v>1165</v>
      </c>
      <c r="G29" s="22">
        <v>28</v>
      </c>
      <c r="H29" s="22" t="s">
        <v>3790</v>
      </c>
      <c r="I29" s="22" t="s">
        <v>3647</v>
      </c>
      <c r="J29" s="22" t="s">
        <v>3648</v>
      </c>
      <c r="K29" s="22" t="s">
        <v>1165</v>
      </c>
      <c r="M29" t="str">
        <f t="shared" si="1"/>
        <v xml:space="preserve">226308.26 </v>
      </c>
      <c r="N29" t="str">
        <f t="shared" si="2"/>
        <v xml:space="preserve">427017.24 </v>
      </c>
      <c r="O29" t="e">
        <f t="shared" si="3"/>
        <v>#N/A</v>
      </c>
    </row>
    <row r="30" spans="1:15" ht="42" thickBot="1" x14ac:dyDescent="0.3">
      <c r="A30" s="22">
        <v>29</v>
      </c>
      <c r="B30" s="22" t="s">
        <v>2915</v>
      </c>
      <c r="C30" s="22" t="s">
        <v>3691</v>
      </c>
      <c r="D30" s="22" t="s">
        <v>3692</v>
      </c>
      <c r="E30" s="22" t="s">
        <v>1165</v>
      </c>
      <c r="G30" s="22">
        <v>29</v>
      </c>
      <c r="H30" s="22" t="s">
        <v>3791</v>
      </c>
      <c r="I30" s="22" t="s">
        <v>2908</v>
      </c>
      <c r="J30" s="22" t="s">
        <v>2908</v>
      </c>
      <c r="K30" s="22" t="s">
        <v>2908</v>
      </c>
      <c r="M30" t="e">
        <f t="shared" si="1"/>
        <v>#N/A</v>
      </c>
      <c r="N30" t="e">
        <f t="shared" si="2"/>
        <v>#N/A</v>
      </c>
      <c r="O30" t="e">
        <f t="shared" si="3"/>
        <v>#N/A</v>
      </c>
    </row>
    <row r="31" spans="1:15" ht="42" thickBot="1" x14ac:dyDescent="0.3">
      <c r="A31" s="22">
        <v>30</v>
      </c>
      <c r="B31" s="22" t="s">
        <v>2019</v>
      </c>
      <c r="C31" s="22" t="s">
        <v>3693</v>
      </c>
      <c r="D31" s="22" t="s">
        <v>3694</v>
      </c>
      <c r="E31" s="22" t="s">
        <v>1165</v>
      </c>
      <c r="G31" s="22">
        <v>30</v>
      </c>
      <c r="H31" s="22" t="s">
        <v>3792</v>
      </c>
      <c r="I31" s="22" t="s">
        <v>3643</v>
      </c>
      <c r="J31" s="22" t="s">
        <v>3644</v>
      </c>
      <c r="K31" s="22" t="s">
        <v>1165</v>
      </c>
      <c r="M31" t="str">
        <f t="shared" si="1"/>
        <v xml:space="preserve">8964.69 </v>
      </c>
      <c r="N31" t="str">
        <f t="shared" si="2"/>
        <v xml:space="preserve">12703.48 </v>
      </c>
      <c r="O31" t="e">
        <f t="shared" si="3"/>
        <v>#N/A</v>
      </c>
    </row>
    <row r="32" spans="1:15" ht="42" thickBot="1" x14ac:dyDescent="0.3">
      <c r="A32" s="22">
        <v>31</v>
      </c>
      <c r="B32" s="22" t="s">
        <v>3695</v>
      </c>
      <c r="C32" s="22" t="s">
        <v>3642</v>
      </c>
      <c r="D32" s="22" t="s">
        <v>3696</v>
      </c>
      <c r="E32" s="22" t="s">
        <v>1165</v>
      </c>
      <c r="G32" s="22">
        <v>31</v>
      </c>
      <c r="H32" s="22" t="s">
        <v>3793</v>
      </c>
      <c r="I32" s="22" t="s">
        <v>3651</v>
      </c>
      <c r="J32" s="22" t="s">
        <v>3652</v>
      </c>
      <c r="K32" s="22" t="s">
        <v>1165</v>
      </c>
      <c r="M32" t="str">
        <f t="shared" si="1"/>
        <v xml:space="preserve">59538.62 </v>
      </c>
      <c r="N32" t="str">
        <f t="shared" si="2"/>
        <v xml:space="preserve">132495.72 </v>
      </c>
      <c r="O32" t="e">
        <f t="shared" si="3"/>
        <v>#N/A</v>
      </c>
    </row>
    <row r="33" spans="1:15" ht="42" thickBot="1" x14ac:dyDescent="0.3">
      <c r="A33" s="22">
        <v>32</v>
      </c>
      <c r="B33" s="22" t="s">
        <v>2913</v>
      </c>
      <c r="C33" s="22" t="s">
        <v>3697</v>
      </c>
      <c r="D33" s="22" t="s">
        <v>3642</v>
      </c>
      <c r="E33" s="22" t="s">
        <v>3698</v>
      </c>
      <c r="G33" s="22">
        <v>32</v>
      </c>
      <c r="H33" s="22" t="s">
        <v>3794</v>
      </c>
      <c r="I33" s="22" t="s">
        <v>3649</v>
      </c>
      <c r="J33" s="22" t="s">
        <v>3650</v>
      </c>
      <c r="K33" s="22" t="s">
        <v>1165</v>
      </c>
      <c r="M33" t="str">
        <f t="shared" si="1"/>
        <v xml:space="preserve">12408.06 </v>
      </c>
      <c r="N33" t="str">
        <f t="shared" si="2"/>
        <v xml:space="preserve">21471.00 </v>
      </c>
      <c r="O33" t="e">
        <f t="shared" si="3"/>
        <v>#N/A</v>
      </c>
    </row>
    <row r="34" spans="1:15" ht="42" thickBot="1" x14ac:dyDescent="0.3">
      <c r="A34" s="22">
        <v>33</v>
      </c>
      <c r="B34" s="22" t="s">
        <v>2166</v>
      </c>
      <c r="C34" s="22" t="s">
        <v>3642</v>
      </c>
      <c r="D34" s="22" t="s">
        <v>3699</v>
      </c>
      <c r="E34" s="22" t="s">
        <v>3700</v>
      </c>
      <c r="G34" s="22">
        <v>33</v>
      </c>
      <c r="H34" s="22" t="s">
        <v>3795</v>
      </c>
      <c r="I34" s="22" t="s">
        <v>3639</v>
      </c>
      <c r="J34" s="22" t="s">
        <v>3640</v>
      </c>
      <c r="K34" s="22" t="s">
        <v>1165</v>
      </c>
      <c r="M34" t="str">
        <f t="shared" si="1"/>
        <v xml:space="preserve">36729.23 </v>
      </c>
      <c r="N34" t="str">
        <f t="shared" si="2"/>
        <v xml:space="preserve">40968.91 </v>
      </c>
      <c r="O34" t="e">
        <f t="shared" si="3"/>
        <v>#N/A</v>
      </c>
    </row>
    <row r="35" spans="1:15" ht="42" thickBot="1" x14ac:dyDescent="0.3">
      <c r="A35" s="22">
        <v>34</v>
      </c>
      <c r="B35" s="22" t="s">
        <v>3399</v>
      </c>
      <c r="C35" s="22" t="s">
        <v>3642</v>
      </c>
      <c r="D35" s="22" t="s">
        <v>3701</v>
      </c>
      <c r="E35" s="22" t="s">
        <v>1165</v>
      </c>
      <c r="G35" s="22">
        <v>34</v>
      </c>
      <c r="H35" s="22" t="s">
        <v>3796</v>
      </c>
      <c r="I35" s="22" t="s">
        <v>3637</v>
      </c>
      <c r="J35" s="22" t="s">
        <v>3638</v>
      </c>
      <c r="K35" s="22" t="s">
        <v>1165</v>
      </c>
      <c r="M35" t="str">
        <f t="shared" si="1"/>
        <v xml:space="preserve">64412.40 </v>
      </c>
      <c r="N35" t="str">
        <f t="shared" si="2"/>
        <v xml:space="preserve">103564.41 </v>
      </c>
      <c r="O35" t="e">
        <f t="shared" si="3"/>
        <v>#N/A</v>
      </c>
    </row>
    <row r="36" spans="1:15" ht="42" thickBot="1" x14ac:dyDescent="0.3">
      <c r="A36" s="22">
        <v>35</v>
      </c>
      <c r="B36" s="22" t="s">
        <v>2017</v>
      </c>
      <c r="C36" s="22" t="s">
        <v>3702</v>
      </c>
      <c r="D36" s="22" t="s">
        <v>3703</v>
      </c>
      <c r="E36" s="22" t="s">
        <v>3704</v>
      </c>
      <c r="G36" s="22">
        <v>35</v>
      </c>
      <c r="H36" s="22" t="s">
        <v>3797</v>
      </c>
      <c r="I36" s="22" t="s">
        <v>3645</v>
      </c>
      <c r="J36" s="22" t="s">
        <v>3646</v>
      </c>
      <c r="K36" s="22" t="s">
        <v>1165</v>
      </c>
      <c r="M36" t="str">
        <f t="shared" si="1"/>
        <v xml:space="preserve">1382.73 </v>
      </c>
      <c r="N36" t="str">
        <f t="shared" si="2"/>
        <v xml:space="preserve">1858.68 </v>
      </c>
      <c r="O36" t="e">
        <f t="shared" si="3"/>
        <v>#N/A</v>
      </c>
    </row>
    <row r="37" spans="1:15" ht="55.8" thickBot="1" x14ac:dyDescent="0.3">
      <c r="A37" s="22">
        <v>36</v>
      </c>
      <c r="B37" s="22" t="s">
        <v>2362</v>
      </c>
      <c r="C37" s="22" t="s">
        <v>3705</v>
      </c>
      <c r="D37" s="22" t="s">
        <v>3706</v>
      </c>
      <c r="E37" s="22" t="s">
        <v>3707</v>
      </c>
      <c r="G37" s="22">
        <v>36</v>
      </c>
      <c r="H37" s="22" t="s">
        <v>3798</v>
      </c>
      <c r="I37" s="22" t="s">
        <v>3642</v>
      </c>
      <c r="J37" s="22" t="s">
        <v>3642</v>
      </c>
      <c r="K37" s="22" t="s">
        <v>1165</v>
      </c>
      <c r="M37" t="e">
        <f t="shared" si="1"/>
        <v>#N/A</v>
      </c>
      <c r="N37" t="e">
        <f t="shared" si="2"/>
        <v>#N/A</v>
      </c>
      <c r="O37" t="e">
        <f t="shared" si="3"/>
        <v>#N/A</v>
      </c>
    </row>
    <row r="38" spans="1:15" ht="28.2" thickBot="1" x14ac:dyDescent="0.3">
      <c r="A38" s="22">
        <v>37</v>
      </c>
      <c r="B38" s="22" t="s">
        <v>2365</v>
      </c>
      <c r="C38" s="22" t="s">
        <v>3708</v>
      </c>
      <c r="D38" s="22" t="s">
        <v>3709</v>
      </c>
      <c r="E38" s="22" t="s">
        <v>3710</v>
      </c>
      <c r="G38" s="22">
        <v>37</v>
      </c>
      <c r="H38" s="22" t="s">
        <v>3799</v>
      </c>
      <c r="I38" s="22" t="s">
        <v>3738</v>
      </c>
      <c r="J38" s="22" t="s">
        <v>3739</v>
      </c>
      <c r="K38" s="22" t="s">
        <v>3740</v>
      </c>
      <c r="M38" t="str">
        <f t="shared" si="1"/>
        <v xml:space="preserve">481.37 </v>
      </c>
      <c r="N38" t="str">
        <f t="shared" si="2"/>
        <v xml:space="preserve">182.51 </v>
      </c>
      <c r="O38" t="str">
        <f t="shared" si="3"/>
        <v xml:space="preserve">370.92 </v>
      </c>
    </row>
    <row r="39" spans="1:15" ht="42" thickBot="1" x14ac:dyDescent="0.3">
      <c r="A39" s="22">
        <v>41</v>
      </c>
      <c r="B39" s="22" t="s">
        <v>2178</v>
      </c>
      <c r="C39" s="22" t="s">
        <v>3711</v>
      </c>
      <c r="D39" s="22" t="s">
        <v>3712</v>
      </c>
      <c r="E39" s="22" t="s">
        <v>3713</v>
      </c>
      <c r="G39" s="22">
        <v>38</v>
      </c>
      <c r="H39" s="22" t="s">
        <v>3800</v>
      </c>
      <c r="I39" s="22" t="s">
        <v>3801</v>
      </c>
      <c r="J39" s="22" t="s">
        <v>2908</v>
      </c>
      <c r="K39" s="22" t="s">
        <v>2908</v>
      </c>
      <c r="M39" t="e">
        <f t="shared" si="1"/>
        <v>#N/A</v>
      </c>
      <c r="N39" t="e">
        <f t="shared" si="2"/>
        <v>#N/A</v>
      </c>
      <c r="O39" t="e">
        <f t="shared" si="3"/>
        <v>#N/A</v>
      </c>
    </row>
    <row r="40" spans="1:15" ht="42" thickBot="1" x14ac:dyDescent="0.3">
      <c r="A40" s="22">
        <v>42</v>
      </c>
      <c r="B40" s="22" t="s">
        <v>2898</v>
      </c>
      <c r="C40" s="22" t="s">
        <v>3714</v>
      </c>
      <c r="D40" s="22" t="s">
        <v>3715</v>
      </c>
      <c r="E40" s="22" t="s">
        <v>3716</v>
      </c>
      <c r="G40" s="22">
        <v>39</v>
      </c>
      <c r="H40" s="22" t="s">
        <v>3802</v>
      </c>
      <c r="I40" s="22" t="s">
        <v>3761</v>
      </c>
      <c r="J40" s="22" t="s">
        <v>3762</v>
      </c>
      <c r="K40" s="22" t="s">
        <v>3763</v>
      </c>
      <c r="M40" t="str">
        <f t="shared" si="1"/>
        <v xml:space="preserve">3158.46 </v>
      </c>
      <c r="N40" t="str">
        <f t="shared" si="2"/>
        <v xml:space="preserve">657.46 </v>
      </c>
      <c r="O40" t="str">
        <f t="shared" si="3"/>
        <v xml:space="preserve">5809.69 </v>
      </c>
    </row>
    <row r="41" spans="1:15" ht="55.8" thickBot="1" x14ac:dyDescent="0.3">
      <c r="A41" s="22">
        <v>48</v>
      </c>
      <c r="B41" s="22" t="s">
        <v>2023</v>
      </c>
      <c r="C41" s="22" t="s">
        <v>3717</v>
      </c>
      <c r="D41" s="22" t="s">
        <v>3718</v>
      </c>
      <c r="E41" s="22" t="s">
        <v>3719</v>
      </c>
      <c r="G41" s="22">
        <v>40</v>
      </c>
      <c r="H41" s="22" t="s">
        <v>3803</v>
      </c>
      <c r="I41" s="22" t="s">
        <v>2908</v>
      </c>
      <c r="J41" s="22" t="s">
        <v>2908</v>
      </c>
      <c r="K41" s="22">
        <v>84105.279999999999</v>
      </c>
      <c r="M41" t="e">
        <f t="shared" si="1"/>
        <v>#N/A</v>
      </c>
      <c r="N41" t="e">
        <f t="shared" si="2"/>
        <v>#N/A</v>
      </c>
      <c r="O41" t="e">
        <f t="shared" si="3"/>
        <v>#N/A</v>
      </c>
    </row>
    <row r="42" spans="1:15" ht="28.2" thickBot="1" x14ac:dyDescent="0.3">
      <c r="A42" s="22">
        <v>53</v>
      </c>
      <c r="B42" s="22" t="s">
        <v>2382</v>
      </c>
      <c r="C42" s="22" t="s">
        <v>3720</v>
      </c>
      <c r="D42" s="22" t="s">
        <v>3721</v>
      </c>
      <c r="E42" s="22" t="s">
        <v>1165</v>
      </c>
      <c r="G42" s="22">
        <v>41</v>
      </c>
      <c r="H42" s="22" t="s">
        <v>2922</v>
      </c>
      <c r="I42" s="22" t="s">
        <v>2908</v>
      </c>
      <c r="J42" s="22" t="s">
        <v>2908</v>
      </c>
      <c r="K42" s="22" t="s">
        <v>2908</v>
      </c>
      <c r="M42" t="e">
        <f t="shared" si="1"/>
        <v>#N/A</v>
      </c>
      <c r="N42" t="e">
        <f t="shared" si="2"/>
        <v>#N/A</v>
      </c>
      <c r="O42" t="e">
        <f t="shared" si="3"/>
        <v>#N/A</v>
      </c>
    </row>
    <row r="43" spans="1:15" ht="28.2" thickBot="1" x14ac:dyDescent="0.3">
      <c r="A43" s="22">
        <v>55</v>
      </c>
      <c r="B43" s="22" t="s">
        <v>2173</v>
      </c>
      <c r="C43" s="22" t="s">
        <v>3722</v>
      </c>
      <c r="D43" s="22" t="s">
        <v>3723</v>
      </c>
      <c r="E43" s="22" t="s">
        <v>3724</v>
      </c>
      <c r="G43" s="22">
        <v>42</v>
      </c>
      <c r="H43" s="22" t="s">
        <v>3804</v>
      </c>
      <c r="I43" s="22" t="s">
        <v>3805</v>
      </c>
      <c r="J43" s="22" t="s">
        <v>3642</v>
      </c>
      <c r="K43" s="22" t="s">
        <v>3806</v>
      </c>
      <c r="M43" t="str">
        <f t="shared" si="1"/>
        <v xml:space="preserve">1677.37 </v>
      </c>
      <c r="N43" t="e">
        <f t="shared" si="2"/>
        <v>#N/A</v>
      </c>
      <c r="O43" t="str">
        <f t="shared" si="3"/>
        <v xml:space="preserve">2312.46 </v>
      </c>
    </row>
    <row r="44" spans="1:15" ht="55.8" thickBot="1" x14ac:dyDescent="0.3">
      <c r="A44" s="22">
        <v>56</v>
      </c>
      <c r="B44" s="22" t="s">
        <v>2186</v>
      </c>
      <c r="C44" s="22" t="s">
        <v>3725</v>
      </c>
      <c r="D44" s="22" t="s">
        <v>3726</v>
      </c>
      <c r="E44" s="22" t="s">
        <v>3727</v>
      </c>
      <c r="G44" s="22">
        <v>43</v>
      </c>
      <c r="H44" s="22" t="s">
        <v>3807</v>
      </c>
      <c r="I44" s="22" t="s">
        <v>3808</v>
      </c>
      <c r="J44" s="22" t="s">
        <v>3809</v>
      </c>
      <c r="K44" s="22" t="s">
        <v>3810</v>
      </c>
      <c r="M44" t="str">
        <f t="shared" si="1"/>
        <v xml:space="preserve">67.87 </v>
      </c>
      <c r="N44" t="str">
        <f t="shared" si="2"/>
        <v xml:space="preserve">112.26 </v>
      </c>
      <c r="O44" t="str">
        <f t="shared" si="3"/>
        <v xml:space="preserve">97.87 </v>
      </c>
    </row>
    <row r="45" spans="1:15" ht="42" thickBot="1" x14ac:dyDescent="0.3">
      <c r="A45" s="22">
        <v>59</v>
      </c>
      <c r="B45" s="22" t="s">
        <v>3435</v>
      </c>
      <c r="C45" s="22" t="s">
        <v>3642</v>
      </c>
      <c r="D45" s="22" t="s">
        <v>3728</v>
      </c>
      <c r="E45" s="22" t="s">
        <v>3729</v>
      </c>
      <c r="G45" s="22">
        <v>44</v>
      </c>
      <c r="H45" s="22" t="s">
        <v>2923</v>
      </c>
      <c r="I45" s="22" t="s">
        <v>2908</v>
      </c>
      <c r="J45" s="22" t="s">
        <v>2908</v>
      </c>
      <c r="K45" s="22" t="s">
        <v>2908</v>
      </c>
      <c r="M45" t="e">
        <f t="shared" si="1"/>
        <v>#N/A</v>
      </c>
      <c r="N45" t="e">
        <f t="shared" si="2"/>
        <v>#N/A</v>
      </c>
      <c r="O45" t="e">
        <f t="shared" si="3"/>
        <v>#N/A</v>
      </c>
    </row>
    <row r="46" spans="1:15" ht="42" thickBot="1" x14ac:dyDescent="0.3">
      <c r="A46" s="22">
        <v>61</v>
      </c>
      <c r="B46" s="22" t="s">
        <v>2901</v>
      </c>
      <c r="C46" s="22" t="s">
        <v>3730</v>
      </c>
      <c r="D46" s="22" t="s">
        <v>3642</v>
      </c>
      <c r="E46" s="22" t="s">
        <v>3731</v>
      </c>
      <c r="G46" s="22">
        <v>45</v>
      </c>
      <c r="H46" s="22" t="s">
        <v>2924</v>
      </c>
      <c r="I46" s="22" t="s">
        <v>2908</v>
      </c>
      <c r="J46" s="22" t="s">
        <v>2908</v>
      </c>
      <c r="K46" s="22" t="s">
        <v>2908</v>
      </c>
      <c r="M46" t="e">
        <f t="shared" si="1"/>
        <v>#N/A</v>
      </c>
      <c r="N46" t="e">
        <f t="shared" si="2"/>
        <v>#N/A</v>
      </c>
      <c r="O46" t="e">
        <f t="shared" si="3"/>
        <v>#N/A</v>
      </c>
    </row>
    <row r="47" spans="1:15" ht="42" thickBot="1" x14ac:dyDescent="0.3">
      <c r="A47" s="22">
        <v>62</v>
      </c>
      <c r="B47" s="22" t="s">
        <v>2903</v>
      </c>
      <c r="C47" s="22" t="s">
        <v>3732</v>
      </c>
      <c r="D47" s="22" t="s">
        <v>3733</v>
      </c>
      <c r="E47" s="22" t="s">
        <v>3734</v>
      </c>
      <c r="G47" s="22">
        <v>46</v>
      </c>
      <c r="H47" s="22" t="s">
        <v>2925</v>
      </c>
      <c r="I47" s="22" t="s">
        <v>2908</v>
      </c>
      <c r="J47" s="22" t="s">
        <v>2908</v>
      </c>
      <c r="K47" s="22" t="s">
        <v>2908</v>
      </c>
      <c r="M47" t="e">
        <f t="shared" si="1"/>
        <v>#N/A</v>
      </c>
      <c r="N47" t="e">
        <f t="shared" si="2"/>
        <v>#N/A</v>
      </c>
      <c r="O47" t="e">
        <f t="shared" si="3"/>
        <v>#N/A</v>
      </c>
    </row>
    <row r="48" spans="1:15" ht="42" thickBot="1" x14ac:dyDescent="0.3">
      <c r="A48" s="22">
        <v>64</v>
      </c>
      <c r="B48" s="22" t="s">
        <v>3239</v>
      </c>
      <c r="C48" s="22" t="s">
        <v>3735</v>
      </c>
      <c r="D48" s="22" t="s">
        <v>3736</v>
      </c>
      <c r="E48" s="22" t="s">
        <v>3737</v>
      </c>
      <c r="G48" s="22">
        <v>47</v>
      </c>
      <c r="H48" s="22" t="s">
        <v>3159</v>
      </c>
      <c r="I48" s="22" t="s">
        <v>2908</v>
      </c>
      <c r="J48" s="22" t="s">
        <v>2908</v>
      </c>
      <c r="K48" s="22" t="s">
        <v>2908</v>
      </c>
      <c r="M48" t="e">
        <f t="shared" si="1"/>
        <v>#N/A</v>
      </c>
      <c r="N48" t="e">
        <f t="shared" si="2"/>
        <v>#N/A</v>
      </c>
      <c r="O48" t="e">
        <f t="shared" si="3"/>
        <v>#N/A</v>
      </c>
    </row>
    <row r="49" spans="1:15" ht="28.2" thickBot="1" x14ac:dyDescent="0.3">
      <c r="A49" s="22">
        <v>66</v>
      </c>
      <c r="B49" s="22" t="s">
        <v>2920</v>
      </c>
      <c r="C49" s="22" t="s">
        <v>3738</v>
      </c>
      <c r="D49" s="22" t="s">
        <v>3739</v>
      </c>
      <c r="E49" s="22" t="s">
        <v>3740</v>
      </c>
      <c r="G49" s="22">
        <v>48</v>
      </c>
      <c r="H49" s="22" t="s">
        <v>3811</v>
      </c>
      <c r="I49" s="22" t="s">
        <v>3761</v>
      </c>
      <c r="J49" s="22" t="s">
        <v>3762</v>
      </c>
      <c r="K49" s="22" t="s">
        <v>3763</v>
      </c>
      <c r="M49" t="str">
        <f t="shared" si="1"/>
        <v xml:space="preserve">3158.46 </v>
      </c>
      <c r="N49" t="str">
        <f t="shared" si="2"/>
        <v xml:space="preserve">657.46 </v>
      </c>
      <c r="O49" t="str">
        <f t="shared" si="3"/>
        <v xml:space="preserve">5809.69 </v>
      </c>
    </row>
    <row r="50" spans="1:15" ht="28.2" thickBot="1" x14ac:dyDescent="0.3">
      <c r="A50" s="22">
        <v>69</v>
      </c>
      <c r="B50" s="22" t="s">
        <v>2028</v>
      </c>
      <c r="C50" s="22" t="s">
        <v>3741</v>
      </c>
      <c r="D50" s="22" t="s">
        <v>3742</v>
      </c>
      <c r="E50" s="22" t="s">
        <v>3743</v>
      </c>
      <c r="G50" s="22">
        <v>49</v>
      </c>
      <c r="H50" s="22" t="s">
        <v>3812</v>
      </c>
      <c r="I50" s="22" t="s">
        <v>2908</v>
      </c>
      <c r="J50" s="22" t="s">
        <v>2908</v>
      </c>
      <c r="K50" s="22" t="s">
        <v>2908</v>
      </c>
      <c r="M50" t="e">
        <f t="shared" si="1"/>
        <v>#N/A</v>
      </c>
      <c r="N50" t="e">
        <f t="shared" si="2"/>
        <v>#N/A</v>
      </c>
      <c r="O50" t="e">
        <f t="shared" si="3"/>
        <v>#N/A</v>
      </c>
    </row>
    <row r="51" spans="1:15" ht="42" thickBot="1" x14ac:dyDescent="0.3">
      <c r="A51" s="22">
        <v>70</v>
      </c>
      <c r="B51" s="22" t="s">
        <v>2929</v>
      </c>
      <c r="C51" s="22" t="s">
        <v>3744</v>
      </c>
      <c r="D51" s="22" t="s">
        <v>3745</v>
      </c>
      <c r="E51" s="22" t="s">
        <v>3746</v>
      </c>
      <c r="G51" s="22">
        <v>50</v>
      </c>
      <c r="H51" s="22" t="s">
        <v>3813</v>
      </c>
      <c r="I51" s="22">
        <v>17584.79</v>
      </c>
      <c r="J51" s="22">
        <v>25026.57</v>
      </c>
      <c r="K51" s="22" t="s">
        <v>1165</v>
      </c>
      <c r="M51" t="e">
        <f t="shared" si="1"/>
        <v>#N/A</v>
      </c>
      <c r="N51" t="e">
        <f t="shared" si="2"/>
        <v>#N/A</v>
      </c>
      <c r="O51" t="e">
        <f t="shared" si="3"/>
        <v>#N/A</v>
      </c>
    </row>
    <row r="52" spans="1:15" ht="42" thickBot="1" x14ac:dyDescent="0.3">
      <c r="A52" s="22">
        <v>71</v>
      </c>
      <c r="B52" s="22" t="s">
        <v>3747</v>
      </c>
      <c r="C52" s="22" t="s">
        <v>3748</v>
      </c>
      <c r="D52" s="22" t="s">
        <v>3749</v>
      </c>
      <c r="E52" s="22" t="s">
        <v>3750</v>
      </c>
      <c r="G52" s="22">
        <v>51</v>
      </c>
      <c r="H52" s="22" t="s">
        <v>3814</v>
      </c>
      <c r="I52" s="22" t="s">
        <v>3686</v>
      </c>
      <c r="J52" s="22" t="s">
        <v>3687</v>
      </c>
      <c r="K52" s="22" t="s">
        <v>1165</v>
      </c>
      <c r="M52" t="str">
        <f t="shared" si="1"/>
        <v xml:space="preserve">7203.41 </v>
      </c>
      <c r="N52" t="str">
        <f t="shared" si="2"/>
        <v xml:space="preserve">10447.85 </v>
      </c>
      <c r="O52" t="e">
        <f t="shared" si="3"/>
        <v>#N/A</v>
      </c>
    </row>
    <row r="53" spans="1:15" ht="28.2" thickBot="1" x14ac:dyDescent="0.3">
      <c r="A53" s="22">
        <v>72</v>
      </c>
      <c r="B53" s="22" t="s">
        <v>3296</v>
      </c>
      <c r="C53" s="22" t="s">
        <v>3751</v>
      </c>
      <c r="D53" s="22" t="s">
        <v>3752</v>
      </c>
      <c r="E53" s="22" t="s">
        <v>3753</v>
      </c>
      <c r="G53" s="22">
        <v>52</v>
      </c>
      <c r="H53" s="22" t="s">
        <v>3815</v>
      </c>
      <c r="I53" s="22" t="s">
        <v>3816</v>
      </c>
      <c r="J53" s="22" t="s">
        <v>3817</v>
      </c>
      <c r="K53" s="22" t="s">
        <v>3818</v>
      </c>
      <c r="M53" t="str">
        <f t="shared" si="1"/>
        <v xml:space="preserve">446.96 </v>
      </c>
      <c r="N53" t="str">
        <f t="shared" si="2"/>
        <v xml:space="preserve">357.83 </v>
      </c>
      <c r="O53" t="str">
        <f t="shared" si="3"/>
        <v xml:space="preserve">540.11 </v>
      </c>
    </row>
    <row r="54" spans="1:15" ht="28.2" thickBot="1" x14ac:dyDescent="0.3">
      <c r="A54" s="22">
        <v>76</v>
      </c>
      <c r="B54" s="22" t="s">
        <v>3754</v>
      </c>
      <c r="C54" s="22" t="s">
        <v>3755</v>
      </c>
      <c r="D54" s="22" t="s">
        <v>3756</v>
      </c>
      <c r="E54" s="22" t="s">
        <v>3757</v>
      </c>
      <c r="G54" s="22">
        <v>53</v>
      </c>
      <c r="H54" s="22" t="s">
        <v>3819</v>
      </c>
      <c r="I54" s="22" t="s">
        <v>2908</v>
      </c>
      <c r="J54" s="22" t="s">
        <v>2908</v>
      </c>
      <c r="K54" s="22" t="s">
        <v>2908</v>
      </c>
      <c r="M54" t="e">
        <f t="shared" si="1"/>
        <v>#N/A</v>
      </c>
      <c r="N54" t="e">
        <f t="shared" si="2"/>
        <v>#N/A</v>
      </c>
      <c r="O54" t="e">
        <f t="shared" si="3"/>
        <v>#N/A</v>
      </c>
    </row>
    <row r="55" spans="1:15" ht="42" thickBot="1" x14ac:dyDescent="0.3">
      <c r="A55" s="22">
        <v>84</v>
      </c>
      <c r="B55" s="22" t="s">
        <v>2956</v>
      </c>
      <c r="C55" s="22" t="s">
        <v>3758</v>
      </c>
      <c r="D55" s="22" t="s">
        <v>3759</v>
      </c>
      <c r="E55" s="22" t="s">
        <v>3760</v>
      </c>
      <c r="G55" s="22">
        <v>54</v>
      </c>
      <c r="H55" s="22" t="s">
        <v>3820</v>
      </c>
      <c r="I55" s="22" t="s">
        <v>3744</v>
      </c>
      <c r="J55" s="22" t="s">
        <v>3745</v>
      </c>
      <c r="K55" s="22" t="s">
        <v>3746</v>
      </c>
      <c r="M55" t="str">
        <f t="shared" si="1"/>
        <v xml:space="preserve">268.73 </v>
      </c>
      <c r="N55" t="str">
        <f t="shared" si="2"/>
        <v xml:space="preserve">92.11 </v>
      </c>
      <c r="O55" t="str">
        <f t="shared" si="3"/>
        <v xml:space="preserve">200.87 </v>
      </c>
    </row>
    <row r="56" spans="1:15" ht="28.2" thickBot="1" x14ac:dyDescent="0.3">
      <c r="A56" s="22">
        <v>94</v>
      </c>
      <c r="B56" s="22" t="s">
        <v>2857</v>
      </c>
      <c r="C56" s="22" t="s">
        <v>3761</v>
      </c>
      <c r="D56" s="22" t="s">
        <v>3762</v>
      </c>
      <c r="E56" s="22" t="s">
        <v>3763</v>
      </c>
      <c r="G56" s="22">
        <v>55</v>
      </c>
      <c r="H56" s="22" t="s">
        <v>2183</v>
      </c>
      <c r="I56" s="22" t="s">
        <v>2908</v>
      </c>
      <c r="J56" s="22" t="s">
        <v>2908</v>
      </c>
      <c r="K56" s="22" t="s">
        <v>2908</v>
      </c>
      <c r="M56" t="e">
        <f t="shared" si="1"/>
        <v>#N/A</v>
      </c>
      <c r="N56" t="e">
        <f t="shared" si="2"/>
        <v>#N/A</v>
      </c>
      <c r="O56" t="e">
        <f t="shared" si="3"/>
        <v>#N/A</v>
      </c>
    </row>
    <row r="57" spans="1:15" ht="42" thickBot="1" x14ac:dyDescent="0.3">
      <c r="G57" s="22">
        <v>56</v>
      </c>
      <c r="H57" s="22" t="s">
        <v>3821</v>
      </c>
      <c r="I57" s="22" t="s">
        <v>3822</v>
      </c>
      <c r="J57" s="22">
        <v>6190.69</v>
      </c>
      <c r="K57" s="22" t="s">
        <v>1165</v>
      </c>
      <c r="M57" t="e">
        <f t="shared" si="1"/>
        <v>#N/A</v>
      </c>
      <c r="N57" t="e">
        <f t="shared" si="2"/>
        <v>#N/A</v>
      </c>
      <c r="O57" t="e">
        <f t="shared" si="3"/>
        <v>#N/A</v>
      </c>
    </row>
    <row r="58" spans="1:15" ht="42" thickBot="1" x14ac:dyDescent="0.3">
      <c r="G58" s="22">
        <v>57</v>
      </c>
      <c r="H58" s="22" t="s">
        <v>3823</v>
      </c>
      <c r="I58" s="22" t="s">
        <v>3824</v>
      </c>
      <c r="J58" s="22">
        <v>3183.18</v>
      </c>
      <c r="K58" s="22">
        <v>2529.67</v>
      </c>
      <c r="M58" t="e">
        <f t="shared" si="1"/>
        <v>#N/A</v>
      </c>
      <c r="N58" t="e">
        <f t="shared" si="2"/>
        <v>#N/A</v>
      </c>
      <c r="O58" t="e">
        <f t="shared" si="3"/>
        <v>#N/A</v>
      </c>
    </row>
    <row r="59" spans="1:15" ht="42" thickBot="1" x14ac:dyDescent="0.3">
      <c r="G59" s="22">
        <v>58</v>
      </c>
      <c r="H59" s="22" t="s">
        <v>3825</v>
      </c>
      <c r="I59" s="22" t="s">
        <v>3826</v>
      </c>
      <c r="J59" s="22" t="s">
        <v>3642</v>
      </c>
      <c r="K59" s="22">
        <v>1304.26</v>
      </c>
      <c r="M59" t="e">
        <f t="shared" si="1"/>
        <v>#N/A</v>
      </c>
      <c r="N59" t="e">
        <f t="shared" si="2"/>
        <v>#N/A</v>
      </c>
      <c r="O59" t="e">
        <f t="shared" si="3"/>
        <v>#N/A</v>
      </c>
    </row>
    <row r="60" spans="1:15" ht="28.2" thickBot="1" x14ac:dyDescent="0.3">
      <c r="G60" s="22">
        <v>59</v>
      </c>
      <c r="H60" s="22" t="s">
        <v>2337</v>
      </c>
      <c r="I60" s="22" t="s">
        <v>2908</v>
      </c>
      <c r="J60" s="22" t="s">
        <v>2908</v>
      </c>
      <c r="K60" s="22" t="s">
        <v>2908</v>
      </c>
      <c r="M60" t="e">
        <f t="shared" si="1"/>
        <v>#N/A</v>
      </c>
      <c r="N60" t="e">
        <f t="shared" si="2"/>
        <v>#N/A</v>
      </c>
      <c r="O60" t="e">
        <f t="shared" si="3"/>
        <v>#N/A</v>
      </c>
    </row>
    <row r="61" spans="1:15" ht="28.2" thickBot="1" x14ac:dyDescent="0.3">
      <c r="G61" s="22">
        <v>60</v>
      </c>
      <c r="H61" s="22" t="s">
        <v>3827</v>
      </c>
      <c r="I61" s="22" t="s">
        <v>3708</v>
      </c>
      <c r="J61" s="22" t="s">
        <v>3709</v>
      </c>
      <c r="K61" s="22" t="s">
        <v>3710</v>
      </c>
      <c r="M61" t="str">
        <f t="shared" si="1"/>
        <v xml:space="preserve">1659.84 </v>
      </c>
      <c r="N61" t="str">
        <f t="shared" si="2"/>
        <v xml:space="preserve">1533.95 </v>
      </c>
      <c r="O61" t="str">
        <f t="shared" si="3"/>
        <v xml:space="preserve">2288.24 </v>
      </c>
    </row>
    <row r="62" spans="1:15" ht="28.2" thickBot="1" x14ac:dyDescent="0.3">
      <c r="G62" s="22">
        <v>61</v>
      </c>
      <c r="H62" s="22" t="s">
        <v>3828</v>
      </c>
      <c r="I62" s="22" t="s">
        <v>3725</v>
      </c>
      <c r="J62" s="22" t="s">
        <v>3726</v>
      </c>
      <c r="K62" s="22" t="s">
        <v>3727</v>
      </c>
      <c r="M62" t="str">
        <f t="shared" si="1"/>
        <v xml:space="preserve">177.70 </v>
      </c>
      <c r="N62" t="str">
        <f t="shared" si="2"/>
        <v xml:space="preserve">2137.61 </v>
      </c>
      <c r="O62" t="str">
        <f t="shared" si="3"/>
        <v xml:space="preserve">168.50 </v>
      </c>
    </row>
    <row r="63" spans="1:15" ht="28.2" thickBot="1" x14ac:dyDescent="0.3">
      <c r="G63" s="22">
        <v>62</v>
      </c>
      <c r="H63" s="22" t="s">
        <v>3829</v>
      </c>
      <c r="I63" s="22" t="s">
        <v>3720</v>
      </c>
      <c r="J63" s="22" t="s">
        <v>3721</v>
      </c>
      <c r="K63" s="22" t="s">
        <v>1165</v>
      </c>
      <c r="M63" t="str">
        <f t="shared" si="1"/>
        <v xml:space="preserve">279.21 </v>
      </c>
      <c r="N63" t="str">
        <f t="shared" si="2"/>
        <v xml:space="preserve">512.73 </v>
      </c>
      <c r="O63" t="e">
        <f t="shared" si="3"/>
        <v>#N/A</v>
      </c>
    </row>
    <row r="64" spans="1:15" ht="14.4" thickBot="1" x14ac:dyDescent="0.3">
      <c r="G64" s="22">
        <v>63</v>
      </c>
      <c r="H64" s="22" t="s">
        <v>2393</v>
      </c>
      <c r="I64" s="22" t="s">
        <v>2908</v>
      </c>
      <c r="J64" s="22" t="s">
        <v>2908</v>
      </c>
      <c r="K64" s="22" t="s">
        <v>2908</v>
      </c>
      <c r="M64" t="e">
        <f t="shared" si="1"/>
        <v>#N/A</v>
      </c>
      <c r="N64" t="e">
        <f t="shared" si="2"/>
        <v>#N/A</v>
      </c>
      <c r="O64" t="e">
        <f t="shared" si="3"/>
        <v>#N/A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164D-3EA1-45A4-8752-9E6DC251C934}">
  <dimension ref="A1:Z87"/>
  <sheetViews>
    <sheetView workbookViewId="0">
      <selection activeCell="V2" sqref="V2:Z64"/>
    </sheetView>
  </sheetViews>
  <sheetFormatPr defaultRowHeight="13.8" x14ac:dyDescent="0.25"/>
  <sheetData>
    <row r="1" spans="1:26" ht="42" thickBot="1" x14ac:dyDescent="0.3">
      <c r="A1" s="21" t="s">
        <v>3389</v>
      </c>
      <c r="B1" s="21" t="s">
        <v>3830</v>
      </c>
      <c r="C1" s="21" t="s">
        <v>3831</v>
      </c>
      <c r="D1" s="21" t="s">
        <v>3832</v>
      </c>
      <c r="E1" s="21" t="s">
        <v>3833</v>
      </c>
      <c r="F1" s="21" t="s">
        <v>3834</v>
      </c>
      <c r="H1" s="21" t="s">
        <v>2845</v>
      </c>
      <c r="I1" s="21" t="s">
        <v>2906</v>
      </c>
      <c r="J1" s="21" t="s">
        <v>3830</v>
      </c>
      <c r="K1" s="21" t="s">
        <v>3831</v>
      </c>
      <c r="L1" s="21" t="s">
        <v>3832</v>
      </c>
      <c r="M1" s="21" t="s">
        <v>3833</v>
      </c>
      <c r="N1" s="21" t="s">
        <v>3834</v>
      </c>
    </row>
    <row r="2" spans="1:26" ht="28.2" thickBot="1" x14ac:dyDescent="0.3">
      <c r="A2" s="21" t="s">
        <v>4048</v>
      </c>
      <c r="B2" s="21" t="s">
        <v>4049</v>
      </c>
      <c r="C2" s="21" t="s">
        <v>4050</v>
      </c>
      <c r="D2" s="21" t="s">
        <v>4051</v>
      </c>
      <c r="E2" s="21" t="s">
        <v>4052</v>
      </c>
      <c r="F2" s="21" t="s">
        <v>4053</v>
      </c>
      <c r="H2" s="22">
        <v>1</v>
      </c>
      <c r="I2" s="22" t="s">
        <v>2017</v>
      </c>
      <c r="J2" s="22">
        <v>4782.47</v>
      </c>
      <c r="K2" s="22">
        <v>4429.18</v>
      </c>
      <c r="L2" s="22">
        <v>2674.13</v>
      </c>
      <c r="M2" s="22">
        <v>2841.03</v>
      </c>
      <c r="N2" s="22">
        <v>3044.75</v>
      </c>
      <c r="P2" s="37">
        <v>1000</v>
      </c>
      <c r="Q2" s="37">
        <v>1000</v>
      </c>
      <c r="R2" s="37">
        <v>1000</v>
      </c>
      <c r="S2" s="37">
        <v>1000</v>
      </c>
      <c r="T2" s="37">
        <v>1000</v>
      </c>
      <c r="V2">
        <f>J2*P2</f>
        <v>4782470</v>
      </c>
      <c r="W2">
        <f t="shared" ref="W2:Z2" si="0">K2*Q2</f>
        <v>4429180</v>
      </c>
      <c r="X2">
        <f t="shared" si="0"/>
        <v>2674130</v>
      </c>
      <c r="Y2">
        <f t="shared" si="0"/>
        <v>2841030</v>
      </c>
      <c r="Z2">
        <f t="shared" si="0"/>
        <v>3044750</v>
      </c>
    </row>
    <row r="3" spans="1:26" ht="28.2" thickBot="1" x14ac:dyDescent="0.3">
      <c r="A3" s="22" t="s">
        <v>2017</v>
      </c>
      <c r="B3" s="22" t="s">
        <v>3836</v>
      </c>
      <c r="C3" s="22" t="s">
        <v>3837</v>
      </c>
      <c r="D3" s="22" t="s">
        <v>3838</v>
      </c>
      <c r="E3" s="22" t="s">
        <v>3839</v>
      </c>
      <c r="F3" s="22" t="s">
        <v>3840</v>
      </c>
      <c r="H3" s="22">
        <v>2</v>
      </c>
      <c r="I3" s="22" t="s">
        <v>2162</v>
      </c>
      <c r="J3" s="22">
        <v>7.9</v>
      </c>
      <c r="K3" s="22">
        <v>8.7200000000000006</v>
      </c>
      <c r="L3" s="22">
        <v>3.13</v>
      </c>
      <c r="M3" s="22">
        <v>4.0999999999999996</v>
      </c>
      <c r="N3" s="22">
        <v>5.73</v>
      </c>
      <c r="P3" s="37">
        <v>1000</v>
      </c>
      <c r="Q3" s="37">
        <v>1000</v>
      </c>
      <c r="R3" s="37">
        <v>1000</v>
      </c>
      <c r="S3" s="37">
        <v>1000</v>
      </c>
      <c r="T3" s="37">
        <v>1000</v>
      </c>
      <c r="V3">
        <f t="shared" ref="V3:V64" si="1">J3*P3</f>
        <v>7900</v>
      </c>
      <c r="W3">
        <f t="shared" ref="W3:W64" si="2">K3*Q3</f>
        <v>8720</v>
      </c>
      <c r="X3">
        <f t="shared" ref="X3:X64" si="3">L3*R3</f>
        <v>3130</v>
      </c>
      <c r="Y3">
        <f t="shared" ref="Y3:Y64" si="4">M3*S3</f>
        <v>4100</v>
      </c>
      <c r="Z3">
        <f t="shared" ref="Z3:Z64" si="5">N3*T3</f>
        <v>5730</v>
      </c>
    </row>
    <row r="4" spans="1:26" ht="28.2" thickBot="1" x14ac:dyDescent="0.3">
      <c r="A4" s="22" t="s">
        <v>2022</v>
      </c>
      <c r="B4" s="22" t="s">
        <v>3841</v>
      </c>
      <c r="C4" s="22" t="s">
        <v>3842</v>
      </c>
      <c r="D4" s="22" t="s">
        <v>3843</v>
      </c>
      <c r="E4" s="22" t="s">
        <v>3844</v>
      </c>
      <c r="F4" s="22" t="s">
        <v>3845</v>
      </c>
      <c r="H4" s="22">
        <v>3</v>
      </c>
      <c r="I4" s="22" t="s">
        <v>2018</v>
      </c>
      <c r="J4" s="22">
        <v>308.73</v>
      </c>
      <c r="K4" s="22">
        <v>384.98</v>
      </c>
      <c r="L4" s="22">
        <v>84.16</v>
      </c>
      <c r="M4" s="22">
        <v>253.24</v>
      </c>
      <c r="N4" s="22">
        <v>247.28</v>
      </c>
      <c r="P4" s="37">
        <v>1000</v>
      </c>
      <c r="Q4" s="37">
        <v>1000</v>
      </c>
      <c r="R4" s="37">
        <v>1000</v>
      </c>
      <c r="S4" s="37">
        <v>1000</v>
      </c>
      <c r="T4" s="37">
        <v>1000</v>
      </c>
      <c r="V4">
        <f t="shared" si="1"/>
        <v>308730</v>
      </c>
      <c r="W4">
        <f t="shared" si="2"/>
        <v>384980</v>
      </c>
      <c r="X4">
        <f t="shared" si="3"/>
        <v>84160</v>
      </c>
      <c r="Y4">
        <f t="shared" si="4"/>
        <v>253240</v>
      </c>
      <c r="Z4">
        <f t="shared" si="5"/>
        <v>247280</v>
      </c>
    </row>
    <row r="5" spans="1:26" ht="28.2" thickBot="1" x14ac:dyDescent="0.3">
      <c r="A5" s="22" t="s">
        <v>2018</v>
      </c>
      <c r="B5" s="22" t="s">
        <v>3846</v>
      </c>
      <c r="C5" s="22" t="s">
        <v>3847</v>
      </c>
      <c r="D5" s="22" t="s">
        <v>3848</v>
      </c>
      <c r="E5" s="22" t="s">
        <v>3849</v>
      </c>
      <c r="F5" s="22" t="s">
        <v>3850</v>
      </c>
      <c r="H5" s="22">
        <v>4</v>
      </c>
      <c r="I5" s="22" t="s">
        <v>2022</v>
      </c>
      <c r="J5" s="22">
        <v>1643.79</v>
      </c>
      <c r="K5" s="22">
        <v>1976.41</v>
      </c>
      <c r="L5" s="22">
        <v>721.98</v>
      </c>
      <c r="M5" s="22">
        <v>790.06</v>
      </c>
      <c r="N5" s="22">
        <v>837.21</v>
      </c>
      <c r="P5" s="37">
        <v>1000</v>
      </c>
      <c r="Q5" s="37">
        <v>1000</v>
      </c>
      <c r="R5" s="37">
        <v>1000</v>
      </c>
      <c r="S5" s="37">
        <v>1000</v>
      </c>
      <c r="T5" s="37">
        <v>1000</v>
      </c>
      <c r="V5">
        <f t="shared" si="1"/>
        <v>1643790</v>
      </c>
      <c r="W5">
        <f t="shared" si="2"/>
        <v>1976410</v>
      </c>
      <c r="X5">
        <f t="shared" si="3"/>
        <v>721980</v>
      </c>
      <c r="Y5">
        <f t="shared" si="4"/>
        <v>790060</v>
      </c>
      <c r="Z5">
        <f t="shared" si="5"/>
        <v>837210</v>
      </c>
    </row>
    <row r="6" spans="1:26" ht="28.2" thickBot="1" x14ac:dyDescent="0.3">
      <c r="A6" s="22" t="s">
        <v>2898</v>
      </c>
      <c r="B6" s="22" t="s">
        <v>3851</v>
      </c>
      <c r="C6" s="22" t="s">
        <v>3852</v>
      </c>
      <c r="D6" s="22" t="s">
        <v>3853</v>
      </c>
      <c r="E6" s="22" t="s">
        <v>3854</v>
      </c>
      <c r="F6" s="22" t="s">
        <v>3855</v>
      </c>
      <c r="H6" s="22">
        <v>5</v>
      </c>
      <c r="I6" s="22" t="s">
        <v>2023</v>
      </c>
      <c r="J6" s="22">
        <v>199.29</v>
      </c>
      <c r="K6" s="22">
        <v>171.9</v>
      </c>
      <c r="L6" s="22">
        <v>65.040000000000006</v>
      </c>
      <c r="M6" s="22">
        <v>29.65</v>
      </c>
      <c r="N6" s="22">
        <v>34.06</v>
      </c>
      <c r="P6" s="37">
        <v>1000</v>
      </c>
      <c r="Q6" s="37">
        <v>1000</v>
      </c>
      <c r="R6" s="37">
        <v>1000</v>
      </c>
      <c r="S6" s="37">
        <v>1000</v>
      </c>
      <c r="T6" s="37">
        <v>1000</v>
      </c>
      <c r="V6">
        <f t="shared" si="1"/>
        <v>199290</v>
      </c>
      <c r="W6">
        <f t="shared" si="2"/>
        <v>171900</v>
      </c>
      <c r="X6">
        <f t="shared" si="3"/>
        <v>65040.000000000007</v>
      </c>
      <c r="Y6">
        <f t="shared" si="4"/>
        <v>29650</v>
      </c>
      <c r="Z6">
        <f t="shared" si="5"/>
        <v>34060</v>
      </c>
    </row>
    <row r="7" spans="1:26" ht="28.2" thickBot="1" x14ac:dyDescent="0.3">
      <c r="A7" s="22" t="s">
        <v>3856</v>
      </c>
      <c r="B7" s="22" t="s">
        <v>3857</v>
      </c>
      <c r="C7" s="22" t="s">
        <v>3858</v>
      </c>
      <c r="D7" s="22" t="s">
        <v>3859</v>
      </c>
      <c r="E7" s="22" t="s">
        <v>3860</v>
      </c>
      <c r="F7" s="22" t="s">
        <v>3861</v>
      </c>
      <c r="H7" s="22">
        <v>6</v>
      </c>
      <c r="I7" s="22" t="s">
        <v>2019</v>
      </c>
      <c r="J7" s="22">
        <v>376.55</v>
      </c>
      <c r="K7" s="22">
        <v>343.15</v>
      </c>
      <c r="L7" s="22">
        <v>94.67</v>
      </c>
      <c r="M7" s="22">
        <v>83.73</v>
      </c>
      <c r="N7" s="22">
        <v>127.85</v>
      </c>
      <c r="P7" s="37">
        <v>1000</v>
      </c>
      <c r="Q7" s="37">
        <v>1000</v>
      </c>
      <c r="R7" s="37">
        <v>1000</v>
      </c>
      <c r="S7" s="37">
        <v>1000</v>
      </c>
      <c r="T7" s="37">
        <v>1000</v>
      </c>
      <c r="V7">
        <f t="shared" si="1"/>
        <v>376550</v>
      </c>
      <c r="W7">
        <f t="shared" si="2"/>
        <v>343150</v>
      </c>
      <c r="X7">
        <f t="shared" si="3"/>
        <v>94670</v>
      </c>
      <c r="Y7">
        <f t="shared" si="4"/>
        <v>83730</v>
      </c>
      <c r="Z7">
        <f t="shared" si="5"/>
        <v>127850</v>
      </c>
    </row>
    <row r="8" spans="1:26" ht="28.2" thickBot="1" x14ac:dyDescent="0.3">
      <c r="A8" s="22" t="s">
        <v>3174</v>
      </c>
      <c r="B8" s="22" t="s">
        <v>3862</v>
      </c>
      <c r="C8" s="22" t="s">
        <v>3863</v>
      </c>
      <c r="D8" s="22" t="s">
        <v>152</v>
      </c>
      <c r="E8" s="22" t="s">
        <v>152</v>
      </c>
      <c r="F8" s="22" t="s">
        <v>152</v>
      </c>
      <c r="H8" s="22">
        <v>7</v>
      </c>
      <c r="I8" s="22" t="s">
        <v>2178</v>
      </c>
      <c r="J8" s="22">
        <v>290.06</v>
      </c>
      <c r="K8" s="22">
        <v>245.62</v>
      </c>
      <c r="L8" s="22">
        <v>97.51</v>
      </c>
      <c r="M8" s="22">
        <v>54.15</v>
      </c>
      <c r="N8" s="22">
        <v>62.18</v>
      </c>
      <c r="P8" s="37">
        <v>1000</v>
      </c>
      <c r="Q8" s="37">
        <v>1000</v>
      </c>
      <c r="R8" s="37">
        <v>1000</v>
      </c>
      <c r="S8" s="37">
        <v>1000</v>
      </c>
      <c r="T8" s="37">
        <v>1000</v>
      </c>
      <c r="V8">
        <f t="shared" si="1"/>
        <v>290060</v>
      </c>
      <c r="W8">
        <f t="shared" si="2"/>
        <v>245620</v>
      </c>
      <c r="X8">
        <f t="shared" si="3"/>
        <v>97510</v>
      </c>
      <c r="Y8">
        <f t="shared" si="4"/>
        <v>54150</v>
      </c>
      <c r="Z8">
        <f t="shared" si="5"/>
        <v>62180</v>
      </c>
    </row>
    <row r="9" spans="1:26" ht="28.2" thickBot="1" x14ac:dyDescent="0.3">
      <c r="A9" s="22" t="s">
        <v>2170</v>
      </c>
      <c r="B9" s="22" t="s">
        <v>3864</v>
      </c>
      <c r="C9" s="22" t="s">
        <v>3865</v>
      </c>
      <c r="D9" s="22" t="s">
        <v>3866</v>
      </c>
      <c r="E9" s="22" t="s">
        <v>3867</v>
      </c>
      <c r="F9" s="22" t="s">
        <v>3868</v>
      </c>
      <c r="H9" s="22">
        <v>8</v>
      </c>
      <c r="I9" s="22" t="s">
        <v>2898</v>
      </c>
      <c r="J9" s="22">
        <v>474.73</v>
      </c>
      <c r="K9" s="22">
        <v>385.91</v>
      </c>
      <c r="L9" s="22">
        <v>758.7</v>
      </c>
      <c r="M9" s="22">
        <v>599.95000000000005</v>
      </c>
      <c r="N9" s="22">
        <v>605.5</v>
      </c>
      <c r="P9" s="37">
        <v>1000</v>
      </c>
      <c r="Q9" s="37">
        <v>1000</v>
      </c>
      <c r="R9" s="37">
        <v>1000</v>
      </c>
      <c r="S9" s="37">
        <v>1000</v>
      </c>
      <c r="T9" s="37">
        <v>1000</v>
      </c>
      <c r="V9">
        <f t="shared" si="1"/>
        <v>474730</v>
      </c>
      <c r="W9">
        <f t="shared" si="2"/>
        <v>385910</v>
      </c>
      <c r="X9">
        <f t="shared" si="3"/>
        <v>758700</v>
      </c>
      <c r="Y9">
        <f t="shared" si="4"/>
        <v>599950</v>
      </c>
      <c r="Z9">
        <f t="shared" si="5"/>
        <v>605500</v>
      </c>
    </row>
    <row r="10" spans="1:26" ht="42" thickBot="1" x14ac:dyDescent="0.3">
      <c r="A10" s="22" t="s">
        <v>2162</v>
      </c>
      <c r="B10" s="22" t="s">
        <v>3869</v>
      </c>
      <c r="C10" s="22" t="s">
        <v>3870</v>
      </c>
      <c r="D10" s="22" t="s">
        <v>3871</v>
      </c>
      <c r="E10" s="22" t="s">
        <v>3872</v>
      </c>
      <c r="F10" s="22" t="s">
        <v>3873</v>
      </c>
      <c r="H10" s="22">
        <v>9</v>
      </c>
      <c r="I10" s="22" t="s">
        <v>2909</v>
      </c>
      <c r="J10" s="22" t="s">
        <v>2908</v>
      </c>
      <c r="K10" s="22" t="s">
        <v>2908</v>
      </c>
      <c r="L10" s="22" t="s">
        <v>2908</v>
      </c>
      <c r="M10" s="22" t="s">
        <v>2908</v>
      </c>
      <c r="N10" s="22" t="s">
        <v>2908</v>
      </c>
      <c r="P10" s="37">
        <v>1000</v>
      </c>
      <c r="Q10" s="37">
        <v>1000</v>
      </c>
      <c r="R10" s="37">
        <v>1000</v>
      </c>
      <c r="S10" s="37">
        <v>1000</v>
      </c>
      <c r="T10" s="37">
        <v>1000</v>
      </c>
      <c r="V10" t="e">
        <f t="shared" si="1"/>
        <v>#VALUE!</v>
      </c>
      <c r="W10" t="e">
        <f t="shared" si="2"/>
        <v>#VALUE!</v>
      </c>
      <c r="X10" t="e">
        <f t="shared" si="3"/>
        <v>#VALUE!</v>
      </c>
      <c r="Y10" t="e">
        <f t="shared" si="4"/>
        <v>#VALUE!</v>
      </c>
      <c r="Z10" t="e">
        <f t="shared" si="5"/>
        <v>#VALUE!</v>
      </c>
    </row>
    <row r="11" spans="1:26" ht="69.599999999999994" thickBot="1" x14ac:dyDescent="0.3">
      <c r="A11" s="22" t="s">
        <v>2915</v>
      </c>
      <c r="B11" s="22" t="s">
        <v>3874</v>
      </c>
      <c r="C11" s="22" t="s">
        <v>3875</v>
      </c>
      <c r="D11" s="22" t="s">
        <v>3876</v>
      </c>
      <c r="E11" s="22" t="s">
        <v>3877</v>
      </c>
      <c r="F11" s="22" t="s">
        <v>3878</v>
      </c>
      <c r="H11" s="22">
        <v>10</v>
      </c>
      <c r="I11" s="22" t="s">
        <v>4240</v>
      </c>
      <c r="J11" s="22">
        <v>7.29</v>
      </c>
      <c r="K11" s="22">
        <v>8.11</v>
      </c>
      <c r="L11" s="22">
        <v>4.3499999999999996</v>
      </c>
      <c r="M11" s="22">
        <v>4.5599999999999996</v>
      </c>
      <c r="N11" s="22">
        <v>5.26</v>
      </c>
      <c r="P11" s="37">
        <v>1000</v>
      </c>
      <c r="Q11" s="37">
        <v>1000</v>
      </c>
      <c r="R11" s="37">
        <v>1000</v>
      </c>
      <c r="S11" s="37">
        <v>1000</v>
      </c>
      <c r="T11" s="37">
        <v>1000</v>
      </c>
      <c r="V11">
        <f t="shared" si="1"/>
        <v>7290</v>
      </c>
      <c r="W11">
        <f t="shared" si="2"/>
        <v>8109.9999999999991</v>
      </c>
      <c r="X11">
        <f t="shared" si="3"/>
        <v>4350</v>
      </c>
      <c r="Y11">
        <f t="shared" si="4"/>
        <v>4560</v>
      </c>
      <c r="Z11">
        <f t="shared" si="5"/>
        <v>5260</v>
      </c>
    </row>
    <row r="12" spans="1:26" ht="28.2" thickBot="1" x14ac:dyDescent="0.3">
      <c r="A12" s="22" t="s">
        <v>2019</v>
      </c>
      <c r="B12" s="22" t="s">
        <v>3879</v>
      </c>
      <c r="C12" s="22" t="s">
        <v>3880</v>
      </c>
      <c r="D12" s="22" t="s">
        <v>3881</v>
      </c>
      <c r="E12" s="22" t="s">
        <v>3882</v>
      </c>
      <c r="F12" s="22" t="s">
        <v>3883</v>
      </c>
      <c r="H12" s="22">
        <v>11</v>
      </c>
      <c r="I12" s="22" t="s">
        <v>2911</v>
      </c>
      <c r="J12" s="22" t="s">
        <v>2908</v>
      </c>
      <c r="K12" s="22" t="s">
        <v>2908</v>
      </c>
      <c r="L12" s="22" t="s">
        <v>2908</v>
      </c>
      <c r="M12" s="22" t="s">
        <v>2908</v>
      </c>
      <c r="N12" s="22" t="s">
        <v>2908</v>
      </c>
      <c r="P12" s="37">
        <v>1000</v>
      </c>
      <c r="Q12" s="37">
        <v>1000</v>
      </c>
      <c r="R12" s="37">
        <v>1000</v>
      </c>
      <c r="S12" s="37">
        <v>1000</v>
      </c>
      <c r="T12" s="37">
        <v>1000</v>
      </c>
      <c r="V12" t="e">
        <f t="shared" si="1"/>
        <v>#VALUE!</v>
      </c>
      <c r="W12" t="e">
        <f t="shared" si="2"/>
        <v>#VALUE!</v>
      </c>
      <c r="X12" t="e">
        <f t="shared" si="3"/>
        <v>#VALUE!</v>
      </c>
      <c r="Y12" t="e">
        <f t="shared" si="4"/>
        <v>#VALUE!</v>
      </c>
      <c r="Z12" t="e">
        <f t="shared" si="5"/>
        <v>#VALUE!</v>
      </c>
    </row>
    <row r="13" spans="1:26" ht="28.2" thickBot="1" x14ac:dyDescent="0.3">
      <c r="A13" s="22" t="s">
        <v>2913</v>
      </c>
      <c r="B13" s="22" t="s">
        <v>3884</v>
      </c>
      <c r="C13" s="22" t="s">
        <v>3885</v>
      </c>
      <c r="D13" s="22" t="s">
        <v>3886</v>
      </c>
      <c r="E13" s="22" t="s">
        <v>3887</v>
      </c>
      <c r="F13" s="22" t="s">
        <v>3888</v>
      </c>
      <c r="H13" s="22">
        <v>12</v>
      </c>
      <c r="I13" s="22" t="s">
        <v>2957</v>
      </c>
      <c r="J13" s="22">
        <v>36.54</v>
      </c>
      <c r="K13" s="22">
        <v>29.45</v>
      </c>
      <c r="L13" s="22">
        <v>13.1</v>
      </c>
      <c r="M13" s="22">
        <v>6.48</v>
      </c>
      <c r="N13" s="22">
        <v>7.37</v>
      </c>
      <c r="P13" s="37">
        <v>1000</v>
      </c>
      <c r="Q13" s="37">
        <v>1000</v>
      </c>
      <c r="R13" s="37">
        <v>1000</v>
      </c>
      <c r="S13" s="37">
        <v>1000</v>
      </c>
      <c r="T13" s="37">
        <v>1000</v>
      </c>
      <c r="V13">
        <f t="shared" si="1"/>
        <v>36540</v>
      </c>
      <c r="W13">
        <f t="shared" si="2"/>
        <v>29450</v>
      </c>
      <c r="X13">
        <f t="shared" si="3"/>
        <v>13100</v>
      </c>
      <c r="Y13">
        <f t="shared" si="4"/>
        <v>6480</v>
      </c>
      <c r="Z13">
        <f t="shared" si="5"/>
        <v>7370</v>
      </c>
    </row>
    <row r="14" spans="1:26" ht="28.2" thickBot="1" x14ac:dyDescent="0.3">
      <c r="A14" s="22" t="s">
        <v>3889</v>
      </c>
      <c r="B14" s="22" t="s">
        <v>3890</v>
      </c>
      <c r="C14" s="22" t="s">
        <v>3891</v>
      </c>
      <c r="D14" s="22" t="s">
        <v>3892</v>
      </c>
      <c r="E14" s="22" t="s">
        <v>3893</v>
      </c>
      <c r="F14" s="22" t="s">
        <v>3894</v>
      </c>
      <c r="H14" s="22">
        <v>13</v>
      </c>
      <c r="I14" s="22" t="s">
        <v>2913</v>
      </c>
      <c r="J14" s="22">
        <v>7.08</v>
      </c>
      <c r="K14" s="22">
        <v>8.09</v>
      </c>
      <c r="L14" s="22">
        <v>1.88</v>
      </c>
      <c r="M14" s="22">
        <v>2.19</v>
      </c>
      <c r="N14" s="22">
        <v>2.63</v>
      </c>
      <c r="P14" s="37">
        <v>1000</v>
      </c>
      <c r="Q14" s="37">
        <v>1000</v>
      </c>
      <c r="R14" s="37">
        <v>1000</v>
      </c>
      <c r="S14" s="37">
        <v>1000</v>
      </c>
      <c r="T14" s="37">
        <v>1000</v>
      </c>
      <c r="V14">
        <f t="shared" si="1"/>
        <v>7080</v>
      </c>
      <c r="W14">
        <f t="shared" si="2"/>
        <v>8090</v>
      </c>
      <c r="X14">
        <f t="shared" si="3"/>
        <v>1880</v>
      </c>
      <c r="Y14">
        <f t="shared" si="4"/>
        <v>2190</v>
      </c>
      <c r="Z14">
        <f t="shared" si="5"/>
        <v>2630</v>
      </c>
    </row>
    <row r="15" spans="1:26" ht="28.2" thickBot="1" x14ac:dyDescent="0.3">
      <c r="A15" s="22" t="s">
        <v>2362</v>
      </c>
      <c r="B15" s="22" t="s">
        <v>3895</v>
      </c>
      <c r="C15" s="22" t="s">
        <v>3896</v>
      </c>
      <c r="D15" s="22" t="s">
        <v>3897</v>
      </c>
      <c r="E15" s="22" t="s">
        <v>152</v>
      </c>
      <c r="F15" s="22" t="s">
        <v>152</v>
      </c>
      <c r="H15" s="22">
        <v>14</v>
      </c>
      <c r="I15" s="22" t="s">
        <v>2173</v>
      </c>
      <c r="J15" s="22">
        <v>93</v>
      </c>
      <c r="K15" s="22">
        <v>87.72</v>
      </c>
      <c r="L15" s="22">
        <v>52.3</v>
      </c>
      <c r="M15" s="22">
        <v>13.12</v>
      </c>
      <c r="N15" s="22">
        <v>15.44</v>
      </c>
      <c r="P15" s="37">
        <v>1000</v>
      </c>
      <c r="Q15" s="37">
        <v>1000</v>
      </c>
      <c r="R15" s="37">
        <v>1000</v>
      </c>
      <c r="S15" s="37">
        <v>1000</v>
      </c>
      <c r="T15" s="37">
        <v>1000</v>
      </c>
      <c r="V15">
        <f t="shared" si="1"/>
        <v>93000</v>
      </c>
      <c r="W15">
        <f t="shared" si="2"/>
        <v>87720</v>
      </c>
      <c r="X15">
        <f t="shared" si="3"/>
        <v>52300</v>
      </c>
      <c r="Y15">
        <f t="shared" si="4"/>
        <v>13120</v>
      </c>
      <c r="Z15">
        <f t="shared" si="5"/>
        <v>15440</v>
      </c>
    </row>
    <row r="16" spans="1:26" ht="28.2" thickBot="1" x14ac:dyDescent="0.3">
      <c r="A16" s="22" t="s">
        <v>2365</v>
      </c>
      <c r="B16" s="22" t="s">
        <v>3898</v>
      </c>
      <c r="C16" s="22" t="s">
        <v>3899</v>
      </c>
      <c r="D16" s="22" t="s">
        <v>3900</v>
      </c>
      <c r="E16" s="22" t="s">
        <v>3901</v>
      </c>
      <c r="F16" s="22" t="s">
        <v>3902</v>
      </c>
      <c r="H16" s="22">
        <v>15</v>
      </c>
      <c r="I16" s="22" t="s">
        <v>2914</v>
      </c>
      <c r="J16" s="22">
        <v>87.05</v>
      </c>
      <c r="K16" s="22">
        <v>77</v>
      </c>
      <c r="L16" s="22">
        <v>32.479999999999997</v>
      </c>
      <c r="M16" s="22">
        <v>11.31</v>
      </c>
      <c r="N16" s="22">
        <v>13.83</v>
      </c>
      <c r="P16" s="37">
        <v>1000</v>
      </c>
      <c r="Q16" s="37">
        <v>1000</v>
      </c>
      <c r="R16" s="37">
        <v>1000</v>
      </c>
      <c r="S16" s="37">
        <v>1000</v>
      </c>
      <c r="T16" s="37">
        <v>1000</v>
      </c>
      <c r="V16">
        <f t="shared" si="1"/>
        <v>87050</v>
      </c>
      <c r="W16">
        <f t="shared" si="2"/>
        <v>77000</v>
      </c>
      <c r="X16">
        <f t="shared" si="3"/>
        <v>32479.999999999996</v>
      </c>
      <c r="Y16">
        <f t="shared" si="4"/>
        <v>11310</v>
      </c>
      <c r="Z16">
        <f t="shared" si="5"/>
        <v>13830</v>
      </c>
    </row>
    <row r="17" spans="1:26" ht="55.8" thickBot="1" x14ac:dyDescent="0.3">
      <c r="A17" s="22" t="s">
        <v>3477</v>
      </c>
      <c r="B17" s="22" t="s">
        <v>152</v>
      </c>
      <c r="C17" s="22" t="s">
        <v>3903</v>
      </c>
      <c r="D17" s="22" t="s">
        <v>152</v>
      </c>
      <c r="E17" s="22" t="s">
        <v>3904</v>
      </c>
      <c r="F17" s="22" t="s">
        <v>3905</v>
      </c>
      <c r="H17" s="22">
        <v>16</v>
      </c>
      <c r="I17" s="22" t="s">
        <v>3381</v>
      </c>
      <c r="J17" s="22">
        <v>2.11</v>
      </c>
      <c r="K17" s="22">
        <v>1.56</v>
      </c>
      <c r="L17" s="22">
        <v>8.77</v>
      </c>
      <c r="M17" s="22">
        <v>7.16</v>
      </c>
      <c r="N17" s="22">
        <v>6.48</v>
      </c>
      <c r="P17" s="37">
        <v>1000</v>
      </c>
      <c r="Q17" s="37">
        <v>1000</v>
      </c>
      <c r="R17" s="37">
        <v>1000</v>
      </c>
      <c r="S17" s="37">
        <v>1000</v>
      </c>
      <c r="T17" s="37">
        <v>1000</v>
      </c>
      <c r="V17">
        <f t="shared" si="1"/>
        <v>2110</v>
      </c>
      <c r="W17">
        <f t="shared" si="2"/>
        <v>1560</v>
      </c>
      <c r="X17">
        <f t="shared" si="3"/>
        <v>8770</v>
      </c>
      <c r="Y17">
        <f t="shared" si="4"/>
        <v>7160</v>
      </c>
      <c r="Z17">
        <f t="shared" si="5"/>
        <v>6480</v>
      </c>
    </row>
    <row r="18" spans="1:26" ht="28.2" thickBot="1" x14ac:dyDescent="0.3">
      <c r="A18" s="22" t="s">
        <v>2187</v>
      </c>
      <c r="B18" s="22" t="s">
        <v>3906</v>
      </c>
      <c r="C18" s="22" t="s">
        <v>3907</v>
      </c>
      <c r="D18" s="22" t="s">
        <v>3908</v>
      </c>
      <c r="E18" s="22" t="s">
        <v>3909</v>
      </c>
      <c r="F18" s="22" t="s">
        <v>3910</v>
      </c>
      <c r="H18" s="22">
        <v>17</v>
      </c>
      <c r="I18" s="22" t="s">
        <v>2028</v>
      </c>
      <c r="J18" s="22">
        <v>3.59</v>
      </c>
      <c r="K18" s="22">
        <v>3.22</v>
      </c>
      <c r="L18" s="22">
        <v>9.36</v>
      </c>
      <c r="M18" s="22">
        <v>5.39</v>
      </c>
      <c r="N18" s="22">
        <v>5.56</v>
      </c>
      <c r="P18" s="37">
        <v>1000</v>
      </c>
      <c r="Q18" s="37">
        <v>1000</v>
      </c>
      <c r="R18" s="37">
        <v>1000</v>
      </c>
      <c r="S18" s="37">
        <v>1000</v>
      </c>
      <c r="T18" s="37">
        <v>1000</v>
      </c>
      <c r="V18">
        <f t="shared" si="1"/>
        <v>3590</v>
      </c>
      <c r="W18">
        <f t="shared" si="2"/>
        <v>3220</v>
      </c>
      <c r="X18">
        <f t="shared" si="3"/>
        <v>9360</v>
      </c>
      <c r="Y18">
        <f t="shared" si="4"/>
        <v>5390</v>
      </c>
      <c r="Z18">
        <f t="shared" si="5"/>
        <v>5560</v>
      </c>
    </row>
    <row r="19" spans="1:26" ht="28.2" thickBot="1" x14ac:dyDescent="0.3">
      <c r="A19" s="22" t="s">
        <v>2178</v>
      </c>
      <c r="B19" s="22" t="s">
        <v>3911</v>
      </c>
      <c r="C19" s="22" t="s">
        <v>3912</v>
      </c>
      <c r="D19" s="22" t="s">
        <v>3913</v>
      </c>
      <c r="E19" s="22" t="s">
        <v>3914</v>
      </c>
      <c r="F19" s="22" t="s">
        <v>3915</v>
      </c>
      <c r="H19" s="22">
        <v>18</v>
      </c>
      <c r="I19" s="22" t="s">
        <v>2915</v>
      </c>
      <c r="J19" s="22">
        <v>17.510000000000002</v>
      </c>
      <c r="K19" s="22">
        <v>17.399999999999999</v>
      </c>
      <c r="L19" s="22">
        <v>7.78</v>
      </c>
      <c r="M19" s="22">
        <v>3.6</v>
      </c>
      <c r="N19" s="22">
        <v>5.42</v>
      </c>
      <c r="P19" s="37">
        <v>1000</v>
      </c>
      <c r="Q19" s="37">
        <v>1000</v>
      </c>
      <c r="R19" s="37">
        <v>1000</v>
      </c>
      <c r="S19" s="37">
        <v>1000</v>
      </c>
      <c r="T19" s="37">
        <v>1000</v>
      </c>
      <c r="V19">
        <f t="shared" si="1"/>
        <v>17510</v>
      </c>
      <c r="W19">
        <f t="shared" si="2"/>
        <v>17400</v>
      </c>
      <c r="X19">
        <f t="shared" si="3"/>
        <v>7780</v>
      </c>
      <c r="Y19">
        <f t="shared" si="4"/>
        <v>3600</v>
      </c>
      <c r="Z19">
        <f t="shared" si="5"/>
        <v>5420</v>
      </c>
    </row>
    <row r="20" spans="1:26" ht="28.2" thickBot="1" x14ac:dyDescent="0.3">
      <c r="A20" s="22" t="s">
        <v>3916</v>
      </c>
      <c r="B20" s="22" t="s">
        <v>3917</v>
      </c>
      <c r="C20" s="22" t="s">
        <v>3918</v>
      </c>
      <c r="D20" s="22" t="s">
        <v>152</v>
      </c>
      <c r="E20" s="22" t="s">
        <v>152</v>
      </c>
      <c r="F20" s="22" t="s">
        <v>152</v>
      </c>
      <c r="H20" s="22">
        <v>19</v>
      </c>
      <c r="I20" s="22" t="s">
        <v>2318</v>
      </c>
      <c r="J20" s="22">
        <v>33.950000000000003</v>
      </c>
      <c r="K20" s="22">
        <v>94.55</v>
      </c>
      <c r="L20" s="22">
        <v>38.119999999999997</v>
      </c>
      <c r="M20" s="22">
        <v>48.09</v>
      </c>
      <c r="N20" s="22">
        <v>50.57</v>
      </c>
      <c r="P20" s="37">
        <v>1000</v>
      </c>
      <c r="Q20" s="37">
        <v>1000</v>
      </c>
      <c r="R20" s="37">
        <v>1000</v>
      </c>
      <c r="S20" s="37">
        <v>1000</v>
      </c>
      <c r="T20" s="37">
        <v>1000</v>
      </c>
      <c r="V20">
        <f t="shared" si="1"/>
        <v>33950</v>
      </c>
      <c r="W20">
        <f t="shared" si="2"/>
        <v>94550</v>
      </c>
      <c r="X20">
        <f t="shared" si="3"/>
        <v>38120</v>
      </c>
      <c r="Y20">
        <f t="shared" si="4"/>
        <v>48090</v>
      </c>
      <c r="Z20">
        <f t="shared" si="5"/>
        <v>50570</v>
      </c>
    </row>
    <row r="21" spans="1:26" ht="28.2" thickBot="1" x14ac:dyDescent="0.3">
      <c r="A21" s="22" t="s">
        <v>2914</v>
      </c>
      <c r="B21" s="22" t="s">
        <v>3919</v>
      </c>
      <c r="C21" s="22" t="s">
        <v>3920</v>
      </c>
      <c r="D21" s="22" t="s">
        <v>3921</v>
      </c>
      <c r="E21" s="22" t="s">
        <v>3922</v>
      </c>
      <c r="F21" s="22" t="s">
        <v>3923</v>
      </c>
      <c r="H21" s="22">
        <v>20</v>
      </c>
      <c r="I21" s="22" t="s">
        <v>2362</v>
      </c>
      <c r="J21" s="22">
        <v>4.76</v>
      </c>
      <c r="K21" s="22">
        <v>5.48</v>
      </c>
      <c r="L21" s="22">
        <v>0.94</v>
      </c>
      <c r="M21" s="22" t="s">
        <v>152</v>
      </c>
      <c r="N21" s="22" t="s">
        <v>152</v>
      </c>
      <c r="P21" s="37">
        <v>1000</v>
      </c>
      <c r="Q21" s="37">
        <v>1000</v>
      </c>
      <c r="R21" s="37">
        <v>1000</v>
      </c>
      <c r="S21" s="37">
        <v>1000</v>
      </c>
      <c r="T21" s="37">
        <v>1000</v>
      </c>
      <c r="V21">
        <f t="shared" si="1"/>
        <v>4760</v>
      </c>
      <c r="W21">
        <f t="shared" si="2"/>
        <v>5480</v>
      </c>
      <c r="X21">
        <f t="shared" si="3"/>
        <v>940</v>
      </c>
      <c r="Y21" t="e">
        <f t="shared" si="4"/>
        <v>#VALUE!</v>
      </c>
      <c r="Z21" t="e">
        <f t="shared" si="5"/>
        <v>#VALUE!</v>
      </c>
    </row>
    <row r="22" spans="1:26" ht="28.2" thickBot="1" x14ac:dyDescent="0.3">
      <c r="A22" s="22" t="s">
        <v>2023</v>
      </c>
      <c r="B22" s="22" t="s">
        <v>3924</v>
      </c>
      <c r="C22" s="22" t="s">
        <v>3925</v>
      </c>
      <c r="D22" s="22" t="s">
        <v>3926</v>
      </c>
      <c r="E22" s="22" t="s">
        <v>3927</v>
      </c>
      <c r="F22" s="22" t="s">
        <v>3928</v>
      </c>
      <c r="H22" s="22">
        <v>21</v>
      </c>
      <c r="I22" s="22" t="s">
        <v>2942</v>
      </c>
      <c r="J22" s="22">
        <v>287.95999999999998</v>
      </c>
      <c r="K22" s="22">
        <v>278.54000000000002</v>
      </c>
      <c r="L22" s="22">
        <v>180.45</v>
      </c>
      <c r="M22" s="22">
        <v>197.1</v>
      </c>
      <c r="N22" s="22">
        <v>156.24</v>
      </c>
      <c r="P22" s="37">
        <v>1000</v>
      </c>
      <c r="Q22" s="37">
        <v>1000</v>
      </c>
      <c r="R22" s="37">
        <v>1000</v>
      </c>
      <c r="S22" s="37">
        <v>1000</v>
      </c>
      <c r="T22" s="37">
        <v>1000</v>
      </c>
      <c r="V22">
        <f t="shared" si="1"/>
        <v>287960</v>
      </c>
      <c r="W22">
        <f t="shared" si="2"/>
        <v>278540</v>
      </c>
      <c r="X22">
        <f t="shared" si="3"/>
        <v>180450</v>
      </c>
      <c r="Y22">
        <f t="shared" si="4"/>
        <v>197100</v>
      </c>
      <c r="Z22">
        <f t="shared" si="5"/>
        <v>156240</v>
      </c>
    </row>
    <row r="23" spans="1:26" ht="28.2" thickBot="1" x14ac:dyDescent="0.3">
      <c r="A23" s="22" t="s">
        <v>2957</v>
      </c>
      <c r="B23" s="22" t="s">
        <v>3929</v>
      </c>
      <c r="C23" s="22" t="s">
        <v>3930</v>
      </c>
      <c r="D23" s="22" t="s">
        <v>3931</v>
      </c>
      <c r="E23" s="22" t="s">
        <v>3932</v>
      </c>
      <c r="F23" s="22" t="s">
        <v>3933</v>
      </c>
      <c r="H23" s="22">
        <v>22</v>
      </c>
      <c r="I23" s="22" t="s">
        <v>3157</v>
      </c>
      <c r="J23" s="22">
        <v>225.26</v>
      </c>
      <c r="K23" s="22">
        <v>213.39</v>
      </c>
      <c r="L23" s="22">
        <v>191.87</v>
      </c>
      <c r="M23" s="22">
        <v>154.5</v>
      </c>
      <c r="N23" s="22">
        <v>129.69</v>
      </c>
      <c r="P23" s="37">
        <v>1000</v>
      </c>
      <c r="Q23" s="37">
        <v>1000</v>
      </c>
      <c r="R23" s="37">
        <v>1000</v>
      </c>
      <c r="S23" s="37">
        <v>1000</v>
      </c>
      <c r="T23" s="37">
        <v>1000</v>
      </c>
      <c r="V23">
        <f t="shared" si="1"/>
        <v>225260</v>
      </c>
      <c r="W23">
        <f t="shared" si="2"/>
        <v>213390</v>
      </c>
      <c r="X23">
        <f t="shared" si="3"/>
        <v>191870</v>
      </c>
      <c r="Y23">
        <f t="shared" si="4"/>
        <v>154500</v>
      </c>
      <c r="Z23">
        <f t="shared" si="5"/>
        <v>129690</v>
      </c>
    </row>
    <row r="24" spans="1:26" ht="42" thickBot="1" x14ac:dyDescent="0.3">
      <c r="A24" s="22" t="s">
        <v>3215</v>
      </c>
      <c r="B24" s="22" t="s">
        <v>3934</v>
      </c>
      <c r="C24" s="22" t="s">
        <v>3935</v>
      </c>
      <c r="D24" s="22" t="s">
        <v>3936</v>
      </c>
      <c r="E24" s="22" t="s">
        <v>3937</v>
      </c>
      <c r="F24" s="22" t="s">
        <v>3938</v>
      </c>
      <c r="H24" s="22">
        <v>23</v>
      </c>
      <c r="I24" s="22" t="s">
        <v>2917</v>
      </c>
      <c r="J24" s="22">
        <v>226.8</v>
      </c>
      <c r="K24" s="22">
        <v>180.29</v>
      </c>
      <c r="L24" s="22">
        <v>130.5</v>
      </c>
      <c r="M24" s="22">
        <v>96.75</v>
      </c>
      <c r="N24" s="22">
        <v>77.13</v>
      </c>
      <c r="P24" s="37">
        <v>1000</v>
      </c>
      <c r="Q24" s="37">
        <v>1000</v>
      </c>
      <c r="R24" s="37">
        <v>1000</v>
      </c>
      <c r="S24" s="37">
        <v>1000</v>
      </c>
      <c r="T24" s="37">
        <v>1000</v>
      </c>
      <c r="V24">
        <f t="shared" si="1"/>
        <v>226800</v>
      </c>
      <c r="W24">
        <f t="shared" si="2"/>
        <v>180290</v>
      </c>
      <c r="X24">
        <f t="shared" si="3"/>
        <v>130500</v>
      </c>
      <c r="Y24">
        <f t="shared" si="4"/>
        <v>96750</v>
      </c>
      <c r="Z24">
        <f t="shared" si="5"/>
        <v>77130</v>
      </c>
    </row>
    <row r="25" spans="1:26" ht="28.2" thickBot="1" x14ac:dyDescent="0.3">
      <c r="A25" s="22" t="s">
        <v>2382</v>
      </c>
      <c r="B25" s="22" t="s">
        <v>3939</v>
      </c>
      <c r="C25" s="22" t="s">
        <v>3940</v>
      </c>
      <c r="D25" s="22" t="s">
        <v>3941</v>
      </c>
      <c r="E25" s="22" t="s">
        <v>3942</v>
      </c>
      <c r="F25" s="22" t="s">
        <v>3943</v>
      </c>
      <c r="H25" s="22">
        <v>24</v>
      </c>
      <c r="I25" s="22" t="s">
        <v>2918</v>
      </c>
      <c r="J25" s="22" t="s">
        <v>2908</v>
      </c>
      <c r="K25" s="22" t="s">
        <v>2908</v>
      </c>
      <c r="L25" s="22" t="s">
        <v>2908</v>
      </c>
      <c r="M25" s="22" t="s">
        <v>2908</v>
      </c>
      <c r="N25" s="22" t="s">
        <v>2908</v>
      </c>
      <c r="P25" s="37">
        <v>1000</v>
      </c>
      <c r="Q25" s="37">
        <v>1000</v>
      </c>
      <c r="R25" s="37">
        <v>1000</v>
      </c>
      <c r="S25" s="37">
        <v>1000</v>
      </c>
      <c r="T25" s="37">
        <v>1000</v>
      </c>
      <c r="V25" t="e">
        <f t="shared" si="1"/>
        <v>#VALUE!</v>
      </c>
      <c r="W25" t="e">
        <f t="shared" si="2"/>
        <v>#VALUE!</v>
      </c>
      <c r="X25" t="e">
        <f t="shared" si="3"/>
        <v>#VALUE!</v>
      </c>
      <c r="Y25" t="e">
        <f t="shared" si="4"/>
        <v>#VALUE!</v>
      </c>
      <c r="Z25" t="e">
        <f t="shared" si="5"/>
        <v>#VALUE!</v>
      </c>
    </row>
    <row r="26" spans="1:26" ht="28.2" thickBot="1" x14ac:dyDescent="0.3">
      <c r="A26" s="22" t="s">
        <v>3425</v>
      </c>
      <c r="B26" s="22" t="s">
        <v>4054</v>
      </c>
      <c r="C26" s="22" t="s">
        <v>4055</v>
      </c>
      <c r="D26" s="22" t="s">
        <v>4056</v>
      </c>
      <c r="E26" s="22" t="s">
        <v>152</v>
      </c>
      <c r="F26" s="22" t="s">
        <v>4057</v>
      </c>
      <c r="H26" s="22">
        <v>25</v>
      </c>
      <c r="I26" s="22" t="s">
        <v>2179</v>
      </c>
      <c r="J26" s="22" t="s">
        <v>152</v>
      </c>
      <c r="K26" s="22">
        <v>1.54</v>
      </c>
      <c r="L26" s="22">
        <v>2.0099999999999998</v>
      </c>
      <c r="M26" s="22">
        <v>1.1399999999999999</v>
      </c>
      <c r="N26" s="22">
        <v>1.18</v>
      </c>
      <c r="P26" s="37">
        <v>1000</v>
      </c>
      <c r="Q26" s="37">
        <v>1000</v>
      </c>
      <c r="R26" s="37">
        <v>1000</v>
      </c>
      <c r="S26" s="37">
        <v>1000</v>
      </c>
      <c r="T26" s="37">
        <v>1000</v>
      </c>
      <c r="V26" t="e">
        <f t="shared" si="1"/>
        <v>#VALUE!</v>
      </c>
      <c r="W26">
        <f t="shared" si="2"/>
        <v>1540</v>
      </c>
      <c r="X26">
        <f t="shared" si="3"/>
        <v>2009.9999999999998</v>
      </c>
      <c r="Y26">
        <f t="shared" si="4"/>
        <v>1140</v>
      </c>
      <c r="Z26">
        <f t="shared" si="5"/>
        <v>1180</v>
      </c>
    </row>
    <row r="27" spans="1:26" ht="28.2" thickBot="1" x14ac:dyDescent="0.3">
      <c r="A27" s="22" t="s">
        <v>2173</v>
      </c>
      <c r="B27" s="22" t="s">
        <v>3944</v>
      </c>
      <c r="C27" s="22" t="s">
        <v>3945</v>
      </c>
      <c r="D27" s="22" t="s">
        <v>3946</v>
      </c>
      <c r="E27" s="22" t="s">
        <v>3947</v>
      </c>
      <c r="F27" s="22" t="s">
        <v>3948</v>
      </c>
      <c r="H27" s="22">
        <v>26</v>
      </c>
      <c r="I27" s="22" t="s">
        <v>4241</v>
      </c>
      <c r="J27" s="22">
        <v>190.01</v>
      </c>
      <c r="K27" s="22">
        <v>238.96</v>
      </c>
      <c r="L27" s="22">
        <v>140.05000000000001</v>
      </c>
      <c r="M27" s="22">
        <v>148.1</v>
      </c>
      <c r="N27" s="22">
        <v>100.63</v>
      </c>
      <c r="P27" s="37">
        <v>1000</v>
      </c>
      <c r="Q27" s="37">
        <v>1000</v>
      </c>
      <c r="R27" s="37">
        <v>1000</v>
      </c>
      <c r="S27" s="37">
        <v>1000</v>
      </c>
      <c r="T27" s="37">
        <v>1000</v>
      </c>
      <c r="V27">
        <f t="shared" si="1"/>
        <v>190010</v>
      </c>
      <c r="W27">
        <f t="shared" si="2"/>
        <v>238960</v>
      </c>
      <c r="X27">
        <f t="shared" si="3"/>
        <v>140050</v>
      </c>
      <c r="Y27">
        <f t="shared" si="4"/>
        <v>148100</v>
      </c>
      <c r="Z27">
        <f t="shared" si="5"/>
        <v>100630</v>
      </c>
    </row>
    <row r="28" spans="1:26" ht="28.2" thickBot="1" x14ac:dyDescent="0.3">
      <c r="A28" s="22" t="s">
        <v>2186</v>
      </c>
      <c r="B28" s="22" t="s">
        <v>3949</v>
      </c>
      <c r="C28" s="22" t="s">
        <v>3950</v>
      </c>
      <c r="D28" s="22" t="s">
        <v>3951</v>
      </c>
      <c r="E28" s="22" t="s">
        <v>3952</v>
      </c>
      <c r="F28" s="22" t="s">
        <v>3953</v>
      </c>
      <c r="H28" s="22">
        <v>27</v>
      </c>
      <c r="I28" s="22" t="s">
        <v>2359</v>
      </c>
      <c r="J28" s="22">
        <v>49.06</v>
      </c>
      <c r="K28" s="22">
        <v>42.72</v>
      </c>
      <c r="L28" s="22">
        <v>15.22</v>
      </c>
      <c r="M28" s="22">
        <v>18.45</v>
      </c>
      <c r="N28" s="22">
        <v>12.29</v>
      </c>
      <c r="P28" s="37">
        <v>1000</v>
      </c>
      <c r="Q28" s="37">
        <v>1000</v>
      </c>
      <c r="R28" s="37">
        <v>1000</v>
      </c>
      <c r="S28" s="37">
        <v>1000</v>
      </c>
      <c r="T28" s="37">
        <v>1000</v>
      </c>
      <c r="V28">
        <f t="shared" si="1"/>
        <v>49060</v>
      </c>
      <c r="W28">
        <f t="shared" si="2"/>
        <v>42720</v>
      </c>
      <c r="X28">
        <f t="shared" si="3"/>
        <v>15220</v>
      </c>
      <c r="Y28">
        <f t="shared" si="4"/>
        <v>18450</v>
      </c>
      <c r="Z28">
        <f t="shared" si="5"/>
        <v>12290</v>
      </c>
    </row>
    <row r="29" spans="1:26" ht="28.2" thickBot="1" x14ac:dyDescent="0.3">
      <c r="A29" s="22" t="s">
        <v>4058</v>
      </c>
      <c r="B29" s="22" t="s">
        <v>4059</v>
      </c>
      <c r="C29" s="22" t="s">
        <v>4060</v>
      </c>
      <c r="D29" s="22" t="s">
        <v>4061</v>
      </c>
      <c r="E29" s="22" t="s">
        <v>152</v>
      </c>
      <c r="F29" s="22" t="s">
        <v>152</v>
      </c>
      <c r="H29" s="22">
        <v>28</v>
      </c>
      <c r="I29" s="22" t="s">
        <v>2024</v>
      </c>
      <c r="J29" s="22">
        <v>196.27</v>
      </c>
      <c r="K29" s="22">
        <v>410.92</v>
      </c>
      <c r="L29" s="22">
        <v>520.62</v>
      </c>
      <c r="M29" s="22">
        <v>859.8</v>
      </c>
      <c r="N29" s="22">
        <v>857.12</v>
      </c>
      <c r="P29" s="37">
        <v>1000</v>
      </c>
      <c r="Q29" s="37">
        <v>1000</v>
      </c>
      <c r="R29" s="37">
        <v>1000</v>
      </c>
      <c r="S29" s="37">
        <v>1000</v>
      </c>
      <c r="T29" s="37">
        <v>1000</v>
      </c>
      <c r="V29">
        <f t="shared" si="1"/>
        <v>196270</v>
      </c>
      <c r="W29">
        <f t="shared" si="2"/>
        <v>410920</v>
      </c>
      <c r="X29">
        <f t="shared" si="3"/>
        <v>520620</v>
      </c>
      <c r="Y29">
        <f t="shared" si="4"/>
        <v>859800</v>
      </c>
      <c r="Z29">
        <f t="shared" si="5"/>
        <v>857120</v>
      </c>
    </row>
    <row r="30" spans="1:26" ht="28.2" thickBot="1" x14ac:dyDescent="0.3">
      <c r="A30" s="22" t="s">
        <v>3435</v>
      </c>
      <c r="B30" s="22" t="s">
        <v>4062</v>
      </c>
      <c r="C30" s="22" t="s">
        <v>4063</v>
      </c>
      <c r="D30" s="22" t="s">
        <v>4064</v>
      </c>
      <c r="E30" s="22" t="s">
        <v>152</v>
      </c>
      <c r="F30" s="22" t="s">
        <v>152</v>
      </c>
      <c r="H30" s="22">
        <v>29</v>
      </c>
      <c r="I30" s="22" t="s">
        <v>2892</v>
      </c>
      <c r="J30" s="22">
        <v>5.79</v>
      </c>
      <c r="K30" s="22">
        <v>4.25</v>
      </c>
      <c r="L30" s="22">
        <v>3.58</v>
      </c>
      <c r="M30" s="22">
        <v>4.6399999999999997</v>
      </c>
      <c r="N30" s="22">
        <v>5.39</v>
      </c>
      <c r="P30" s="37">
        <v>1000</v>
      </c>
      <c r="Q30" s="37">
        <v>1000</v>
      </c>
      <c r="R30" s="37">
        <v>1000</v>
      </c>
      <c r="S30" s="37">
        <v>1000</v>
      </c>
      <c r="T30" s="37">
        <v>1000</v>
      </c>
      <c r="V30">
        <f t="shared" si="1"/>
        <v>5790</v>
      </c>
      <c r="W30">
        <f t="shared" si="2"/>
        <v>4250</v>
      </c>
      <c r="X30">
        <f t="shared" si="3"/>
        <v>3580</v>
      </c>
      <c r="Y30">
        <f t="shared" si="4"/>
        <v>4640</v>
      </c>
      <c r="Z30">
        <f t="shared" si="5"/>
        <v>5390</v>
      </c>
    </row>
    <row r="31" spans="1:26" ht="28.2" thickBot="1" x14ac:dyDescent="0.3">
      <c r="A31" s="22" t="s">
        <v>3291</v>
      </c>
      <c r="B31" s="22" t="s">
        <v>3954</v>
      </c>
      <c r="C31" s="22" t="s">
        <v>3955</v>
      </c>
      <c r="D31" s="22" t="s">
        <v>3956</v>
      </c>
      <c r="E31" s="22" t="s">
        <v>3957</v>
      </c>
      <c r="F31" s="22" t="s">
        <v>3958</v>
      </c>
      <c r="H31" s="22">
        <v>30</v>
      </c>
      <c r="I31" s="22" t="s">
        <v>2021</v>
      </c>
      <c r="J31" s="22">
        <v>14.37</v>
      </c>
      <c r="K31" s="22">
        <v>22.91</v>
      </c>
      <c r="L31" s="22">
        <v>22.01</v>
      </c>
      <c r="M31" s="22">
        <v>28.25</v>
      </c>
      <c r="N31" s="22">
        <v>30.54</v>
      </c>
      <c r="P31" s="37">
        <v>1000</v>
      </c>
      <c r="Q31" s="37">
        <v>1000</v>
      </c>
      <c r="R31" s="37">
        <v>1000</v>
      </c>
      <c r="S31" s="37">
        <v>1000</v>
      </c>
      <c r="T31" s="37">
        <v>1000</v>
      </c>
      <c r="V31">
        <f t="shared" si="1"/>
        <v>14370</v>
      </c>
      <c r="W31">
        <f t="shared" si="2"/>
        <v>22910</v>
      </c>
      <c r="X31">
        <f t="shared" si="3"/>
        <v>22010</v>
      </c>
      <c r="Y31">
        <f t="shared" si="4"/>
        <v>28250</v>
      </c>
      <c r="Z31">
        <f t="shared" si="5"/>
        <v>30540</v>
      </c>
    </row>
    <row r="32" spans="1:26" ht="28.2" thickBot="1" x14ac:dyDescent="0.3">
      <c r="A32" s="22" t="s">
        <v>2318</v>
      </c>
      <c r="B32" s="22" t="s">
        <v>3959</v>
      </c>
      <c r="C32" s="22" t="s">
        <v>3960</v>
      </c>
      <c r="D32" s="22" t="s">
        <v>3961</v>
      </c>
      <c r="E32" s="22" t="s">
        <v>3962</v>
      </c>
      <c r="F32" s="22" t="s">
        <v>3963</v>
      </c>
      <c r="H32" s="22">
        <v>31</v>
      </c>
      <c r="I32" s="22" t="s">
        <v>2174</v>
      </c>
      <c r="J32" s="22">
        <v>3.44</v>
      </c>
      <c r="K32" s="22">
        <v>6.96</v>
      </c>
      <c r="L32" s="22">
        <v>8.61</v>
      </c>
      <c r="M32" s="22">
        <v>8.43</v>
      </c>
      <c r="N32" s="22">
        <v>7.97</v>
      </c>
      <c r="P32" s="37">
        <v>1000</v>
      </c>
      <c r="Q32" s="37">
        <v>1000</v>
      </c>
      <c r="R32" s="37">
        <v>1000</v>
      </c>
      <c r="S32" s="37">
        <v>1000</v>
      </c>
      <c r="T32" s="37">
        <v>1000</v>
      </c>
      <c r="V32">
        <f t="shared" si="1"/>
        <v>3440</v>
      </c>
      <c r="W32">
        <f t="shared" si="2"/>
        <v>6960</v>
      </c>
      <c r="X32">
        <f t="shared" si="3"/>
        <v>8610</v>
      </c>
      <c r="Y32">
        <f t="shared" si="4"/>
        <v>8430</v>
      </c>
      <c r="Z32">
        <f t="shared" si="5"/>
        <v>7970</v>
      </c>
    </row>
    <row r="33" spans="1:26" ht="28.2" thickBot="1" x14ac:dyDescent="0.3">
      <c r="A33" s="22" t="s">
        <v>3247</v>
      </c>
      <c r="B33" s="22" t="s">
        <v>4065</v>
      </c>
      <c r="C33" s="22" t="s">
        <v>4066</v>
      </c>
      <c r="D33" s="22" t="s">
        <v>152</v>
      </c>
      <c r="E33" s="22" t="s">
        <v>152</v>
      </c>
      <c r="F33" s="22" t="s">
        <v>152</v>
      </c>
      <c r="H33" s="22">
        <v>32</v>
      </c>
      <c r="I33" s="22" t="s">
        <v>2180</v>
      </c>
      <c r="J33" s="22">
        <v>4.05</v>
      </c>
      <c r="K33" s="22">
        <v>10.63</v>
      </c>
      <c r="L33" s="22">
        <v>12.82</v>
      </c>
      <c r="M33" s="22">
        <v>16.09</v>
      </c>
      <c r="N33" s="22">
        <v>14.09</v>
      </c>
      <c r="P33" s="37">
        <v>1000</v>
      </c>
      <c r="Q33" s="37">
        <v>1000</v>
      </c>
      <c r="R33" s="37">
        <v>1000</v>
      </c>
      <c r="S33" s="37">
        <v>1000</v>
      </c>
      <c r="T33" s="37">
        <v>1000</v>
      </c>
      <c r="V33">
        <f t="shared" si="1"/>
        <v>4050</v>
      </c>
      <c r="W33">
        <f t="shared" si="2"/>
        <v>10630</v>
      </c>
      <c r="X33">
        <f t="shared" si="3"/>
        <v>12820</v>
      </c>
      <c r="Y33">
        <f t="shared" si="4"/>
        <v>16090</v>
      </c>
      <c r="Z33">
        <f t="shared" si="5"/>
        <v>14090</v>
      </c>
    </row>
    <row r="34" spans="1:26" ht="28.2" thickBot="1" x14ac:dyDescent="0.3">
      <c r="A34" s="22" t="s">
        <v>4067</v>
      </c>
      <c r="B34" s="22" t="s">
        <v>152</v>
      </c>
      <c r="C34" s="22" t="s">
        <v>152</v>
      </c>
      <c r="D34" s="22" t="s">
        <v>4068</v>
      </c>
      <c r="E34" s="22" t="s">
        <v>4069</v>
      </c>
      <c r="F34" s="22" t="s">
        <v>4070</v>
      </c>
      <c r="H34" s="22">
        <v>33</v>
      </c>
      <c r="I34" s="22" t="s">
        <v>2020</v>
      </c>
      <c r="J34" s="22">
        <v>55.19</v>
      </c>
      <c r="K34" s="22">
        <v>75.69</v>
      </c>
      <c r="L34" s="22">
        <v>47.64</v>
      </c>
      <c r="M34" s="22">
        <v>86.29</v>
      </c>
      <c r="N34" s="22">
        <v>86.78</v>
      </c>
      <c r="P34" s="37">
        <v>1000</v>
      </c>
      <c r="Q34" s="37">
        <v>1000</v>
      </c>
      <c r="R34" s="37">
        <v>1000</v>
      </c>
      <c r="S34" s="37">
        <v>1000</v>
      </c>
      <c r="T34" s="37">
        <v>1000</v>
      </c>
      <c r="V34">
        <f t="shared" si="1"/>
        <v>55190</v>
      </c>
      <c r="W34">
        <f t="shared" si="2"/>
        <v>75690</v>
      </c>
      <c r="X34">
        <f t="shared" si="3"/>
        <v>47640</v>
      </c>
      <c r="Y34">
        <f t="shared" si="4"/>
        <v>86290</v>
      </c>
      <c r="Z34">
        <f t="shared" si="5"/>
        <v>86780</v>
      </c>
    </row>
    <row r="35" spans="1:26" ht="28.2" thickBot="1" x14ac:dyDescent="0.3">
      <c r="A35" s="22" t="s">
        <v>2028</v>
      </c>
      <c r="B35" s="22" t="s">
        <v>3964</v>
      </c>
      <c r="C35" s="22" t="s">
        <v>3965</v>
      </c>
      <c r="D35" s="22" t="s">
        <v>3966</v>
      </c>
      <c r="E35" s="22" t="s">
        <v>3967</v>
      </c>
      <c r="F35" s="22" t="s">
        <v>3968</v>
      </c>
      <c r="H35" s="22">
        <v>34</v>
      </c>
      <c r="I35" s="22" t="s">
        <v>2177</v>
      </c>
      <c r="J35" s="22">
        <v>309.76</v>
      </c>
      <c r="K35" s="22">
        <v>464.76</v>
      </c>
      <c r="L35" s="22">
        <v>336.33</v>
      </c>
      <c r="M35" s="22">
        <v>449.18</v>
      </c>
      <c r="N35" s="22">
        <v>472.89</v>
      </c>
      <c r="P35" s="37">
        <v>1000</v>
      </c>
      <c r="Q35" s="37">
        <v>1000</v>
      </c>
      <c r="R35" s="37">
        <v>1000</v>
      </c>
      <c r="S35" s="37">
        <v>1000</v>
      </c>
      <c r="T35" s="37">
        <v>1000</v>
      </c>
      <c r="V35">
        <f t="shared" si="1"/>
        <v>309760</v>
      </c>
      <c r="W35">
        <f t="shared" si="2"/>
        <v>464760</v>
      </c>
      <c r="X35">
        <f t="shared" si="3"/>
        <v>336330</v>
      </c>
      <c r="Y35">
        <f t="shared" si="4"/>
        <v>449180</v>
      </c>
      <c r="Z35">
        <f t="shared" si="5"/>
        <v>472890</v>
      </c>
    </row>
    <row r="36" spans="1:26" ht="28.2" thickBot="1" x14ac:dyDescent="0.3">
      <c r="A36" s="21" t="s">
        <v>4071</v>
      </c>
      <c r="B36" s="21" t="s">
        <v>4072</v>
      </c>
      <c r="C36" s="21" t="s">
        <v>4073</v>
      </c>
      <c r="D36" s="21" t="s">
        <v>4074</v>
      </c>
      <c r="E36" s="21" t="s">
        <v>4075</v>
      </c>
      <c r="F36" s="21" t="s">
        <v>4076</v>
      </c>
      <c r="H36" s="22">
        <v>35</v>
      </c>
      <c r="I36" s="22" t="s">
        <v>2175</v>
      </c>
      <c r="J36" s="22" t="s">
        <v>2908</v>
      </c>
      <c r="K36" s="22" t="s">
        <v>2908</v>
      </c>
      <c r="L36" s="22" t="s">
        <v>2908</v>
      </c>
      <c r="M36" s="22" t="s">
        <v>2908</v>
      </c>
      <c r="N36" s="22" t="s">
        <v>2908</v>
      </c>
      <c r="P36" s="37">
        <v>1000</v>
      </c>
      <c r="Q36" s="37">
        <v>1000</v>
      </c>
      <c r="R36" s="37">
        <v>1000</v>
      </c>
      <c r="S36" s="37">
        <v>1000</v>
      </c>
      <c r="T36" s="37">
        <v>1000</v>
      </c>
      <c r="V36" t="e">
        <f t="shared" si="1"/>
        <v>#VALUE!</v>
      </c>
      <c r="W36" t="e">
        <f t="shared" si="2"/>
        <v>#VALUE!</v>
      </c>
      <c r="X36" t="e">
        <f t="shared" si="3"/>
        <v>#VALUE!</v>
      </c>
      <c r="Y36" t="e">
        <f t="shared" si="4"/>
        <v>#VALUE!</v>
      </c>
      <c r="Z36" t="e">
        <f t="shared" si="5"/>
        <v>#VALUE!</v>
      </c>
    </row>
    <row r="37" spans="1:26" ht="28.2" thickBot="1" x14ac:dyDescent="0.3">
      <c r="A37" s="22" t="s">
        <v>2177</v>
      </c>
      <c r="B37" s="22" t="s">
        <v>3970</v>
      </c>
      <c r="C37" s="22" t="s">
        <v>3971</v>
      </c>
      <c r="D37" s="22" t="s">
        <v>3972</v>
      </c>
      <c r="E37" s="22" t="s">
        <v>3973</v>
      </c>
      <c r="F37" s="22" t="s">
        <v>3974</v>
      </c>
      <c r="H37" s="22">
        <v>36</v>
      </c>
      <c r="I37" s="22" t="s">
        <v>2026</v>
      </c>
      <c r="J37" s="22">
        <v>8.11</v>
      </c>
      <c r="K37" s="22">
        <v>9.57</v>
      </c>
      <c r="L37" s="22">
        <v>9.64</v>
      </c>
      <c r="M37" s="22">
        <v>15.8</v>
      </c>
      <c r="N37" s="22">
        <v>15.89</v>
      </c>
      <c r="P37" s="37">
        <v>1000</v>
      </c>
      <c r="Q37" s="37">
        <v>1000</v>
      </c>
      <c r="R37" s="37">
        <v>1000</v>
      </c>
      <c r="S37" s="37">
        <v>1000</v>
      </c>
      <c r="T37" s="37">
        <v>1000</v>
      </c>
      <c r="V37">
        <f t="shared" si="1"/>
        <v>8109.9999999999991</v>
      </c>
      <c r="W37">
        <f t="shared" si="2"/>
        <v>9570</v>
      </c>
      <c r="X37">
        <f t="shared" si="3"/>
        <v>9640</v>
      </c>
      <c r="Y37">
        <f t="shared" si="4"/>
        <v>15800</v>
      </c>
      <c r="Z37">
        <f t="shared" si="5"/>
        <v>15890</v>
      </c>
    </row>
    <row r="38" spans="1:26" ht="28.2" thickBot="1" x14ac:dyDescent="0.3">
      <c r="A38" s="22" t="s">
        <v>2892</v>
      </c>
      <c r="B38" s="22" t="s">
        <v>4077</v>
      </c>
      <c r="C38" s="22" t="s">
        <v>4078</v>
      </c>
      <c r="D38" s="22" t="s">
        <v>4079</v>
      </c>
      <c r="E38" s="22" t="s">
        <v>4080</v>
      </c>
      <c r="F38" s="22" t="s">
        <v>4081</v>
      </c>
      <c r="H38" s="22">
        <v>37</v>
      </c>
      <c r="I38" s="22" t="s">
        <v>2920</v>
      </c>
      <c r="J38" s="22" t="s">
        <v>152</v>
      </c>
      <c r="K38" s="22" t="s">
        <v>152</v>
      </c>
      <c r="L38" s="22" t="s">
        <v>152</v>
      </c>
      <c r="M38" s="22">
        <v>2.23</v>
      </c>
      <c r="N38" s="22">
        <v>2.02</v>
      </c>
      <c r="P38" s="37">
        <v>1000</v>
      </c>
      <c r="Q38" s="37">
        <v>1000</v>
      </c>
      <c r="R38" s="37">
        <v>1000</v>
      </c>
      <c r="S38" s="37">
        <v>1000</v>
      </c>
      <c r="T38" s="37">
        <v>1000</v>
      </c>
      <c r="V38" t="e">
        <f t="shared" si="1"/>
        <v>#VALUE!</v>
      </c>
      <c r="W38" t="e">
        <f t="shared" si="2"/>
        <v>#VALUE!</v>
      </c>
      <c r="X38" t="e">
        <f t="shared" si="3"/>
        <v>#VALUE!</v>
      </c>
      <c r="Y38">
        <f t="shared" si="4"/>
        <v>2230</v>
      </c>
      <c r="Z38">
        <f t="shared" si="5"/>
        <v>2020</v>
      </c>
    </row>
    <row r="39" spans="1:26" ht="28.2" thickBot="1" x14ac:dyDescent="0.3">
      <c r="A39" s="22" t="s">
        <v>2020</v>
      </c>
      <c r="B39" s="22" t="s">
        <v>3975</v>
      </c>
      <c r="C39" s="22" t="s">
        <v>3976</v>
      </c>
      <c r="D39" s="22" t="s">
        <v>3977</v>
      </c>
      <c r="E39" s="22" t="s">
        <v>3978</v>
      </c>
      <c r="F39" s="22" t="s">
        <v>3979</v>
      </c>
      <c r="H39" s="22">
        <v>38</v>
      </c>
      <c r="I39" s="22" t="s">
        <v>2320</v>
      </c>
      <c r="J39" s="22">
        <v>12.58</v>
      </c>
      <c r="K39" s="22">
        <v>12.54</v>
      </c>
      <c r="L39" s="22">
        <v>11.61</v>
      </c>
      <c r="M39" s="22">
        <v>40.82</v>
      </c>
      <c r="N39" s="22">
        <v>38.25</v>
      </c>
      <c r="P39" s="37">
        <v>1000</v>
      </c>
      <c r="Q39" s="37">
        <v>1000</v>
      </c>
      <c r="R39" s="37">
        <v>1000</v>
      </c>
      <c r="S39" s="37">
        <v>1000</v>
      </c>
      <c r="T39" s="37">
        <v>1000</v>
      </c>
      <c r="V39">
        <f t="shared" si="1"/>
        <v>12580</v>
      </c>
      <c r="W39">
        <f t="shared" si="2"/>
        <v>12540</v>
      </c>
      <c r="X39">
        <f t="shared" si="3"/>
        <v>11610</v>
      </c>
      <c r="Y39">
        <f t="shared" si="4"/>
        <v>40820</v>
      </c>
      <c r="Z39">
        <f t="shared" si="5"/>
        <v>38250</v>
      </c>
    </row>
    <row r="40" spans="1:26" ht="28.2" thickBot="1" x14ac:dyDescent="0.3">
      <c r="A40" s="22" t="s">
        <v>2026</v>
      </c>
      <c r="B40" s="22" t="s">
        <v>3980</v>
      </c>
      <c r="C40" s="22" t="s">
        <v>3981</v>
      </c>
      <c r="D40" s="22" t="s">
        <v>3982</v>
      </c>
      <c r="E40" s="22" t="s">
        <v>3983</v>
      </c>
      <c r="F40" s="22" t="s">
        <v>3984</v>
      </c>
      <c r="H40" s="22">
        <v>39</v>
      </c>
      <c r="I40" s="22" t="s">
        <v>2857</v>
      </c>
      <c r="J40" s="22" t="s">
        <v>152</v>
      </c>
      <c r="K40" s="22" t="s">
        <v>152</v>
      </c>
      <c r="L40" s="22">
        <v>12.36</v>
      </c>
      <c r="M40" s="22">
        <v>23.41</v>
      </c>
      <c r="N40" s="22">
        <v>25.93</v>
      </c>
      <c r="P40" s="37">
        <v>1000</v>
      </c>
      <c r="Q40" s="37">
        <v>1000</v>
      </c>
      <c r="R40" s="37">
        <v>1000</v>
      </c>
      <c r="S40" s="37">
        <v>1000</v>
      </c>
      <c r="T40" s="37">
        <v>1000</v>
      </c>
      <c r="V40" t="e">
        <f t="shared" si="1"/>
        <v>#VALUE!</v>
      </c>
      <c r="W40" t="e">
        <f t="shared" si="2"/>
        <v>#VALUE!</v>
      </c>
      <c r="X40">
        <f t="shared" si="3"/>
        <v>12360</v>
      </c>
      <c r="Y40">
        <f t="shared" si="4"/>
        <v>23410</v>
      </c>
      <c r="Z40">
        <f t="shared" si="5"/>
        <v>25930</v>
      </c>
    </row>
    <row r="41" spans="1:26" ht="69.599999999999994" thickBot="1" x14ac:dyDescent="0.3">
      <c r="A41" s="22" t="s">
        <v>2021</v>
      </c>
      <c r="B41" s="22" t="s">
        <v>4082</v>
      </c>
      <c r="C41" s="22" t="s">
        <v>4083</v>
      </c>
      <c r="D41" s="22" t="s">
        <v>4084</v>
      </c>
      <c r="E41" s="22" t="s">
        <v>4085</v>
      </c>
      <c r="F41" s="22" t="s">
        <v>4086</v>
      </c>
      <c r="H41" s="22">
        <v>40</v>
      </c>
      <c r="I41" s="22" t="s">
        <v>4242</v>
      </c>
      <c r="J41" s="22">
        <v>140.85</v>
      </c>
      <c r="K41" s="22">
        <v>162.08000000000001</v>
      </c>
      <c r="L41" s="22">
        <v>180.56</v>
      </c>
      <c r="M41" s="22">
        <v>364.16</v>
      </c>
      <c r="N41" s="22">
        <v>362.76</v>
      </c>
      <c r="P41" s="37">
        <v>1000</v>
      </c>
      <c r="Q41" s="37">
        <v>1000</v>
      </c>
      <c r="R41" s="37">
        <v>1000</v>
      </c>
      <c r="S41" s="37">
        <v>1000</v>
      </c>
      <c r="T41" s="37">
        <v>1000</v>
      </c>
      <c r="V41">
        <f t="shared" si="1"/>
        <v>140850</v>
      </c>
      <c r="W41">
        <f t="shared" si="2"/>
        <v>162080</v>
      </c>
      <c r="X41">
        <f t="shared" si="3"/>
        <v>180560</v>
      </c>
      <c r="Y41">
        <f t="shared" si="4"/>
        <v>364160</v>
      </c>
      <c r="Z41">
        <f t="shared" si="5"/>
        <v>362760</v>
      </c>
    </row>
    <row r="42" spans="1:26" ht="28.2" thickBot="1" x14ac:dyDescent="0.3">
      <c r="A42" s="22" t="s">
        <v>2024</v>
      </c>
      <c r="B42" s="22" t="s">
        <v>3985</v>
      </c>
      <c r="C42" s="22" t="s">
        <v>3986</v>
      </c>
      <c r="D42" s="22" t="s">
        <v>3987</v>
      </c>
      <c r="E42" s="22" t="s">
        <v>3988</v>
      </c>
      <c r="F42" s="22" t="s">
        <v>3989</v>
      </c>
      <c r="H42" s="22">
        <v>41</v>
      </c>
      <c r="I42" s="22" t="s">
        <v>2922</v>
      </c>
      <c r="J42" s="22">
        <v>2.13</v>
      </c>
      <c r="K42" s="22" t="s">
        <v>152</v>
      </c>
      <c r="L42" s="22">
        <v>1.21</v>
      </c>
      <c r="M42" s="22">
        <v>4.3499999999999996</v>
      </c>
      <c r="N42" s="22">
        <v>4.5199999999999996</v>
      </c>
      <c r="P42" s="37">
        <v>1000</v>
      </c>
      <c r="Q42" s="37">
        <v>1000</v>
      </c>
      <c r="R42" s="37">
        <v>1000</v>
      </c>
      <c r="S42" s="37">
        <v>1000</v>
      </c>
      <c r="T42" s="37">
        <v>1000</v>
      </c>
      <c r="V42">
        <f t="shared" si="1"/>
        <v>2130</v>
      </c>
      <c r="W42" t="e">
        <f t="shared" si="2"/>
        <v>#VALUE!</v>
      </c>
      <c r="X42">
        <f t="shared" si="3"/>
        <v>1210</v>
      </c>
      <c r="Y42">
        <f t="shared" si="4"/>
        <v>4350</v>
      </c>
      <c r="Z42">
        <f t="shared" si="5"/>
        <v>4520</v>
      </c>
    </row>
    <row r="43" spans="1:26" ht="42" thickBot="1" x14ac:dyDescent="0.3">
      <c r="A43" s="22" t="s">
        <v>2180</v>
      </c>
      <c r="B43" s="22" t="s">
        <v>4087</v>
      </c>
      <c r="C43" s="22" t="s">
        <v>4088</v>
      </c>
      <c r="D43" s="22" t="s">
        <v>4089</v>
      </c>
      <c r="E43" s="22" t="s">
        <v>4090</v>
      </c>
      <c r="F43" s="22" t="s">
        <v>4091</v>
      </c>
      <c r="H43" s="22">
        <v>42</v>
      </c>
      <c r="I43" s="22" t="s">
        <v>4243</v>
      </c>
      <c r="J43" s="22">
        <v>1.02</v>
      </c>
      <c r="K43" s="22">
        <v>0.61</v>
      </c>
      <c r="L43" s="22">
        <v>1.07</v>
      </c>
      <c r="M43" s="22">
        <v>1.25</v>
      </c>
      <c r="N43" s="22">
        <v>1.1200000000000001</v>
      </c>
      <c r="P43" s="37">
        <v>1000</v>
      </c>
      <c r="Q43" s="37">
        <v>1000</v>
      </c>
      <c r="R43" s="37">
        <v>1000</v>
      </c>
      <c r="S43" s="37">
        <v>1000</v>
      </c>
      <c r="T43" s="37">
        <v>1000</v>
      </c>
      <c r="V43">
        <f t="shared" si="1"/>
        <v>1020</v>
      </c>
      <c r="W43">
        <f t="shared" si="2"/>
        <v>610</v>
      </c>
      <c r="X43">
        <f t="shared" si="3"/>
        <v>1070</v>
      </c>
      <c r="Y43">
        <f t="shared" si="4"/>
        <v>1250</v>
      </c>
      <c r="Z43">
        <f t="shared" si="5"/>
        <v>1120</v>
      </c>
    </row>
    <row r="44" spans="1:26" ht="28.2" thickBot="1" x14ac:dyDescent="0.3">
      <c r="A44" s="22" t="s">
        <v>2174</v>
      </c>
      <c r="B44" s="22" t="s">
        <v>3990</v>
      </c>
      <c r="C44" s="22" t="s">
        <v>3991</v>
      </c>
      <c r="D44" s="22" t="s">
        <v>3992</v>
      </c>
      <c r="E44" s="22" t="s">
        <v>3993</v>
      </c>
      <c r="F44" s="22" t="s">
        <v>3994</v>
      </c>
      <c r="H44" s="22">
        <v>43</v>
      </c>
      <c r="I44" s="22" t="s">
        <v>2161</v>
      </c>
      <c r="J44" s="22" t="s">
        <v>2908</v>
      </c>
      <c r="K44" s="22" t="s">
        <v>2908</v>
      </c>
      <c r="L44" s="22" t="s">
        <v>2908</v>
      </c>
      <c r="M44" s="22" t="s">
        <v>2908</v>
      </c>
      <c r="N44" s="22" t="s">
        <v>2908</v>
      </c>
      <c r="P44" s="37">
        <v>1000</v>
      </c>
      <c r="Q44" s="37">
        <v>1000</v>
      </c>
      <c r="R44" s="37">
        <v>1000</v>
      </c>
      <c r="S44" s="37">
        <v>1000</v>
      </c>
      <c r="T44" s="37">
        <v>1000</v>
      </c>
      <c r="V44" t="e">
        <f t="shared" si="1"/>
        <v>#VALUE!</v>
      </c>
      <c r="W44" t="e">
        <f t="shared" si="2"/>
        <v>#VALUE!</v>
      </c>
      <c r="X44" t="e">
        <f t="shared" si="3"/>
        <v>#VALUE!</v>
      </c>
      <c r="Y44" t="e">
        <f t="shared" si="4"/>
        <v>#VALUE!</v>
      </c>
      <c r="Z44" t="e">
        <f t="shared" si="5"/>
        <v>#VALUE!</v>
      </c>
    </row>
    <row r="45" spans="1:26" ht="69.599999999999994" thickBot="1" x14ac:dyDescent="0.3">
      <c r="A45" s="21" t="s">
        <v>4092</v>
      </c>
      <c r="B45" s="21" t="s">
        <v>4093</v>
      </c>
      <c r="C45" s="21" t="s">
        <v>4094</v>
      </c>
      <c r="D45" s="21" t="s">
        <v>4095</v>
      </c>
      <c r="E45" s="21" t="s">
        <v>4096</v>
      </c>
      <c r="F45" s="21" t="s">
        <v>4097</v>
      </c>
      <c r="H45" s="22">
        <v>44</v>
      </c>
      <c r="I45" s="22" t="s">
        <v>4244</v>
      </c>
      <c r="J45" s="22" t="s">
        <v>152</v>
      </c>
      <c r="K45" s="22">
        <v>26.3</v>
      </c>
      <c r="L45" s="22">
        <v>39.78</v>
      </c>
      <c r="M45" s="22">
        <v>40.32</v>
      </c>
      <c r="N45" s="22">
        <v>46.76</v>
      </c>
      <c r="P45" s="37">
        <v>1000</v>
      </c>
      <c r="Q45" s="37">
        <v>1000</v>
      </c>
      <c r="R45" s="37">
        <v>1000</v>
      </c>
      <c r="S45" s="37">
        <v>1000</v>
      </c>
      <c r="T45" s="37">
        <v>1000</v>
      </c>
      <c r="V45" t="e">
        <f t="shared" si="1"/>
        <v>#VALUE!</v>
      </c>
      <c r="W45">
        <f t="shared" si="2"/>
        <v>26300</v>
      </c>
      <c r="X45">
        <f t="shared" si="3"/>
        <v>39780</v>
      </c>
      <c r="Y45">
        <f t="shared" si="4"/>
        <v>40320</v>
      </c>
      <c r="Z45">
        <f t="shared" si="5"/>
        <v>46760</v>
      </c>
    </row>
    <row r="46" spans="1:26" ht="69.599999999999994" thickBot="1" x14ac:dyDescent="0.3">
      <c r="A46" s="22" t="s">
        <v>2868</v>
      </c>
      <c r="B46" s="22" t="s">
        <v>4098</v>
      </c>
      <c r="C46" s="22" t="s">
        <v>4099</v>
      </c>
      <c r="D46" s="22" t="s">
        <v>4100</v>
      </c>
      <c r="E46" s="22" t="s">
        <v>4101</v>
      </c>
      <c r="F46" s="22" t="s">
        <v>4102</v>
      </c>
      <c r="H46" s="22">
        <v>45</v>
      </c>
      <c r="I46" s="22" t="s">
        <v>4245</v>
      </c>
      <c r="J46" s="22">
        <v>12.92</v>
      </c>
      <c r="K46" s="22">
        <v>10.98</v>
      </c>
      <c r="L46" s="22">
        <v>14.4</v>
      </c>
      <c r="M46" s="22">
        <v>15.39</v>
      </c>
      <c r="N46" s="22">
        <v>14.84</v>
      </c>
      <c r="P46" s="37">
        <v>1000</v>
      </c>
      <c r="Q46" s="37">
        <v>1000</v>
      </c>
      <c r="R46" s="37">
        <v>1000</v>
      </c>
      <c r="S46" s="37">
        <v>1000</v>
      </c>
      <c r="T46" s="37">
        <v>1000</v>
      </c>
      <c r="V46">
        <f t="shared" si="1"/>
        <v>12920</v>
      </c>
      <c r="W46">
        <f t="shared" si="2"/>
        <v>10980</v>
      </c>
      <c r="X46">
        <f t="shared" si="3"/>
        <v>14400</v>
      </c>
      <c r="Y46">
        <f t="shared" si="4"/>
        <v>15390</v>
      </c>
      <c r="Z46">
        <f t="shared" si="5"/>
        <v>14840</v>
      </c>
    </row>
    <row r="47" spans="1:26" ht="42" thickBot="1" x14ac:dyDescent="0.3">
      <c r="A47" s="22" t="s">
        <v>3996</v>
      </c>
      <c r="B47" s="22" t="s">
        <v>3997</v>
      </c>
      <c r="C47" s="22" t="s">
        <v>3998</v>
      </c>
      <c r="D47" s="22" t="s">
        <v>3999</v>
      </c>
      <c r="E47" s="22" t="s">
        <v>4000</v>
      </c>
      <c r="F47" s="22" t="s">
        <v>4001</v>
      </c>
      <c r="H47" s="22">
        <v>46</v>
      </c>
      <c r="I47" s="22" t="s">
        <v>2925</v>
      </c>
      <c r="J47" s="22" t="s">
        <v>2908</v>
      </c>
      <c r="K47" s="22" t="s">
        <v>2908</v>
      </c>
      <c r="L47" s="22" t="s">
        <v>2908</v>
      </c>
      <c r="M47" s="22" t="s">
        <v>2908</v>
      </c>
      <c r="N47" s="22" t="s">
        <v>2908</v>
      </c>
      <c r="P47" s="37">
        <v>1000</v>
      </c>
      <c r="Q47" s="37">
        <v>1000</v>
      </c>
      <c r="R47" s="37">
        <v>1000</v>
      </c>
      <c r="S47" s="37">
        <v>1000</v>
      </c>
      <c r="T47" s="37">
        <v>1000</v>
      </c>
      <c r="V47" t="e">
        <f t="shared" si="1"/>
        <v>#VALUE!</v>
      </c>
      <c r="W47" t="e">
        <f t="shared" si="2"/>
        <v>#VALUE!</v>
      </c>
      <c r="X47" t="e">
        <f t="shared" si="3"/>
        <v>#VALUE!</v>
      </c>
      <c r="Y47" t="e">
        <f t="shared" si="4"/>
        <v>#VALUE!</v>
      </c>
      <c r="Z47" t="e">
        <f t="shared" si="5"/>
        <v>#VALUE!</v>
      </c>
    </row>
    <row r="48" spans="1:26" ht="28.2" thickBot="1" x14ac:dyDescent="0.3">
      <c r="A48" s="22" t="s">
        <v>2359</v>
      </c>
      <c r="B48" s="22" t="s">
        <v>4002</v>
      </c>
      <c r="C48" s="22" t="s">
        <v>4003</v>
      </c>
      <c r="D48" s="22" t="s">
        <v>4004</v>
      </c>
      <c r="E48" s="22" t="s">
        <v>4005</v>
      </c>
      <c r="F48" s="22" t="s">
        <v>4006</v>
      </c>
      <c r="H48" s="22">
        <v>47</v>
      </c>
      <c r="I48" s="22" t="s">
        <v>3159</v>
      </c>
      <c r="J48" s="22" t="s">
        <v>2908</v>
      </c>
      <c r="K48" s="22" t="s">
        <v>2908</v>
      </c>
      <c r="L48" s="22" t="s">
        <v>2908</v>
      </c>
      <c r="M48" s="22" t="s">
        <v>2908</v>
      </c>
      <c r="N48" s="22" t="s">
        <v>2908</v>
      </c>
      <c r="P48" s="37">
        <v>1000</v>
      </c>
      <c r="Q48" s="37">
        <v>1000</v>
      </c>
      <c r="R48" s="37">
        <v>1000</v>
      </c>
      <c r="S48" s="37">
        <v>1000</v>
      </c>
      <c r="T48" s="37">
        <v>1000</v>
      </c>
      <c r="V48" t="e">
        <f t="shared" si="1"/>
        <v>#VALUE!</v>
      </c>
      <c r="W48" t="e">
        <f t="shared" si="2"/>
        <v>#VALUE!</v>
      </c>
      <c r="X48" t="e">
        <f t="shared" si="3"/>
        <v>#VALUE!</v>
      </c>
      <c r="Y48" t="e">
        <f t="shared" si="4"/>
        <v>#VALUE!</v>
      </c>
      <c r="Z48" t="e">
        <f t="shared" si="5"/>
        <v>#VALUE!</v>
      </c>
    </row>
    <row r="49" spans="1:26" ht="28.2" thickBot="1" x14ac:dyDescent="0.3">
      <c r="A49" s="22" t="s">
        <v>2875</v>
      </c>
      <c r="B49" s="22" t="s">
        <v>4103</v>
      </c>
      <c r="C49" s="22" t="s">
        <v>4104</v>
      </c>
      <c r="D49" s="22" t="s">
        <v>4105</v>
      </c>
      <c r="E49" s="22" t="s">
        <v>4106</v>
      </c>
      <c r="F49" s="22" t="s">
        <v>4107</v>
      </c>
      <c r="H49" s="22">
        <v>48</v>
      </c>
      <c r="I49" s="22" t="s">
        <v>2878</v>
      </c>
      <c r="J49" s="22">
        <v>2.21</v>
      </c>
      <c r="K49" s="22">
        <v>1.71</v>
      </c>
      <c r="L49" s="22">
        <v>2.3199999999999998</v>
      </c>
      <c r="M49" s="22">
        <v>4.21</v>
      </c>
      <c r="N49" s="22">
        <v>4.24</v>
      </c>
      <c r="P49" s="37">
        <v>1000</v>
      </c>
      <c r="Q49" s="37">
        <v>1000</v>
      </c>
      <c r="R49" s="37">
        <v>1000</v>
      </c>
      <c r="S49" s="37">
        <v>1000</v>
      </c>
      <c r="T49" s="37">
        <v>1000</v>
      </c>
      <c r="V49">
        <f t="shared" si="1"/>
        <v>2210</v>
      </c>
      <c r="W49">
        <f t="shared" si="2"/>
        <v>1710</v>
      </c>
      <c r="X49">
        <f t="shared" si="3"/>
        <v>2320</v>
      </c>
      <c r="Y49">
        <f t="shared" si="4"/>
        <v>4210</v>
      </c>
      <c r="Z49">
        <f t="shared" si="5"/>
        <v>4240</v>
      </c>
    </row>
    <row r="50" spans="1:26" ht="28.2" thickBot="1" x14ac:dyDescent="0.3">
      <c r="A50" s="22" t="s">
        <v>2866</v>
      </c>
      <c r="B50" s="22" t="s">
        <v>4007</v>
      </c>
      <c r="C50" s="22" t="s">
        <v>4008</v>
      </c>
      <c r="D50" s="22" t="s">
        <v>4009</v>
      </c>
      <c r="E50" s="22" t="s">
        <v>4010</v>
      </c>
      <c r="F50" s="22" t="s">
        <v>4011</v>
      </c>
      <c r="H50" s="22">
        <v>49</v>
      </c>
      <c r="I50" s="22" t="s">
        <v>2927</v>
      </c>
      <c r="J50" s="22" t="s">
        <v>2908</v>
      </c>
      <c r="K50" s="22" t="s">
        <v>2908</v>
      </c>
      <c r="L50" s="22" t="s">
        <v>2908</v>
      </c>
      <c r="M50" s="22" t="s">
        <v>2908</v>
      </c>
      <c r="N50" s="22" t="s">
        <v>2908</v>
      </c>
      <c r="P50" s="37">
        <v>1000</v>
      </c>
      <c r="Q50" s="37">
        <v>1000</v>
      </c>
      <c r="R50" s="37">
        <v>1000</v>
      </c>
      <c r="S50" s="37">
        <v>1000</v>
      </c>
      <c r="T50" s="37">
        <v>1000</v>
      </c>
      <c r="V50" t="e">
        <f t="shared" si="1"/>
        <v>#VALUE!</v>
      </c>
      <c r="W50" t="e">
        <f t="shared" si="2"/>
        <v>#VALUE!</v>
      </c>
      <c r="X50" t="e">
        <f t="shared" si="3"/>
        <v>#VALUE!</v>
      </c>
      <c r="Y50" t="e">
        <f t="shared" si="4"/>
        <v>#VALUE!</v>
      </c>
      <c r="Z50" t="e">
        <f t="shared" si="5"/>
        <v>#VALUE!</v>
      </c>
    </row>
    <row r="51" spans="1:26" ht="42" thickBot="1" x14ac:dyDescent="0.3">
      <c r="A51" s="22" t="s">
        <v>2872</v>
      </c>
      <c r="B51" s="22" t="s">
        <v>4012</v>
      </c>
      <c r="C51" s="22" t="s">
        <v>4013</v>
      </c>
      <c r="D51" s="22" t="s">
        <v>4014</v>
      </c>
      <c r="E51" s="22" t="s">
        <v>4015</v>
      </c>
      <c r="F51" s="22" t="s">
        <v>4016</v>
      </c>
      <c r="H51" s="22">
        <v>50</v>
      </c>
      <c r="I51" s="22" t="s">
        <v>2164</v>
      </c>
      <c r="J51" s="22" t="s">
        <v>4246</v>
      </c>
      <c r="K51" s="22">
        <v>6.29</v>
      </c>
      <c r="L51" s="22" t="s">
        <v>152</v>
      </c>
      <c r="M51" s="22" t="s">
        <v>152</v>
      </c>
      <c r="N51" s="22" t="s">
        <v>152</v>
      </c>
      <c r="P51" s="37">
        <v>1000</v>
      </c>
      <c r="Q51" s="37">
        <v>1000</v>
      </c>
      <c r="R51" s="37">
        <v>1000</v>
      </c>
      <c r="S51" s="37">
        <v>1000</v>
      </c>
      <c r="T51" s="37">
        <v>1000</v>
      </c>
      <c r="V51" t="e">
        <f t="shared" si="1"/>
        <v>#VALUE!</v>
      </c>
      <c r="W51">
        <f t="shared" si="2"/>
        <v>6290</v>
      </c>
      <c r="X51" t="e">
        <f t="shared" si="3"/>
        <v>#VALUE!</v>
      </c>
      <c r="Y51" t="e">
        <f t="shared" si="4"/>
        <v>#VALUE!</v>
      </c>
      <c r="Z51" t="e">
        <f t="shared" si="5"/>
        <v>#VALUE!</v>
      </c>
    </row>
    <row r="52" spans="1:26" ht="28.2" thickBot="1" x14ac:dyDescent="0.3">
      <c r="A52" s="22" t="s">
        <v>4108</v>
      </c>
      <c r="B52" s="22" t="s">
        <v>4109</v>
      </c>
      <c r="C52" s="22" t="s">
        <v>4110</v>
      </c>
      <c r="D52" s="22" t="s">
        <v>4111</v>
      </c>
      <c r="E52" s="22" t="s">
        <v>4112</v>
      </c>
      <c r="F52" s="22" t="s">
        <v>4113</v>
      </c>
      <c r="H52" s="22">
        <v>51</v>
      </c>
      <c r="I52" s="22" t="s">
        <v>2170</v>
      </c>
      <c r="J52" s="22">
        <v>10.78</v>
      </c>
      <c r="K52" s="22">
        <v>12.62</v>
      </c>
      <c r="L52" s="22">
        <v>2.99</v>
      </c>
      <c r="M52" s="22">
        <v>3.94</v>
      </c>
      <c r="N52" s="22">
        <v>7.98</v>
      </c>
      <c r="P52" s="37">
        <v>1000</v>
      </c>
      <c r="Q52" s="37">
        <v>1000</v>
      </c>
      <c r="R52" s="37">
        <v>1000</v>
      </c>
      <c r="S52" s="37">
        <v>1000</v>
      </c>
      <c r="T52" s="37">
        <v>1000</v>
      </c>
      <c r="V52">
        <f t="shared" si="1"/>
        <v>10780</v>
      </c>
      <c r="W52">
        <f t="shared" si="2"/>
        <v>12620</v>
      </c>
      <c r="X52">
        <f t="shared" si="3"/>
        <v>2990</v>
      </c>
      <c r="Y52">
        <f t="shared" si="4"/>
        <v>3940</v>
      </c>
      <c r="Z52">
        <f t="shared" si="5"/>
        <v>7980</v>
      </c>
    </row>
    <row r="53" spans="1:26" ht="42" thickBot="1" x14ac:dyDescent="0.3">
      <c r="A53" s="22" t="s">
        <v>3334</v>
      </c>
      <c r="B53" s="22" t="s">
        <v>4017</v>
      </c>
      <c r="C53" s="22" t="s">
        <v>4018</v>
      </c>
      <c r="D53" s="22" t="s">
        <v>4019</v>
      </c>
      <c r="E53" s="22" t="s">
        <v>4020</v>
      </c>
      <c r="F53" s="22" t="s">
        <v>4021</v>
      </c>
      <c r="H53" s="22">
        <v>52</v>
      </c>
      <c r="I53" s="22" t="s">
        <v>4247</v>
      </c>
      <c r="J53" s="22" t="s">
        <v>152</v>
      </c>
      <c r="K53" s="22" t="s">
        <v>152</v>
      </c>
      <c r="L53" s="22">
        <v>11.64</v>
      </c>
      <c r="M53" s="22">
        <v>8.34</v>
      </c>
      <c r="N53" s="22">
        <v>9.3000000000000007</v>
      </c>
      <c r="P53" s="37">
        <v>1000</v>
      </c>
      <c r="Q53" s="37">
        <v>1000</v>
      </c>
      <c r="R53" s="37">
        <v>1000</v>
      </c>
      <c r="S53" s="37">
        <v>1000</v>
      </c>
      <c r="T53" s="37">
        <v>1000</v>
      </c>
      <c r="V53" t="e">
        <f t="shared" si="1"/>
        <v>#VALUE!</v>
      </c>
      <c r="W53" t="e">
        <f t="shared" si="2"/>
        <v>#VALUE!</v>
      </c>
      <c r="X53">
        <f t="shared" si="3"/>
        <v>11640</v>
      </c>
      <c r="Y53">
        <f t="shared" si="4"/>
        <v>8340</v>
      </c>
      <c r="Z53">
        <f t="shared" si="5"/>
        <v>9300</v>
      </c>
    </row>
    <row r="54" spans="1:26" ht="42" thickBot="1" x14ac:dyDescent="0.3">
      <c r="A54" s="22" t="s">
        <v>4114</v>
      </c>
      <c r="B54" s="22" t="s">
        <v>152</v>
      </c>
      <c r="C54" s="22" t="s">
        <v>4115</v>
      </c>
      <c r="D54" s="22" t="s">
        <v>4116</v>
      </c>
      <c r="E54" s="22" t="s">
        <v>4117</v>
      </c>
      <c r="F54" s="22" t="s">
        <v>4118</v>
      </c>
      <c r="H54" s="22">
        <v>53</v>
      </c>
      <c r="I54" s="22" t="s">
        <v>3819</v>
      </c>
      <c r="J54" s="22" t="s">
        <v>2908</v>
      </c>
      <c r="K54" s="22" t="s">
        <v>2908</v>
      </c>
      <c r="L54" s="22" t="s">
        <v>2908</v>
      </c>
      <c r="M54" s="22" t="s">
        <v>2908</v>
      </c>
      <c r="N54" s="22" t="s">
        <v>2908</v>
      </c>
      <c r="P54" s="37">
        <v>1000</v>
      </c>
      <c r="Q54" s="37">
        <v>1000</v>
      </c>
      <c r="R54" s="37">
        <v>1000</v>
      </c>
      <c r="S54" s="37">
        <v>1000</v>
      </c>
      <c r="T54" s="37">
        <v>1000</v>
      </c>
      <c r="V54" t="e">
        <f t="shared" si="1"/>
        <v>#VALUE!</v>
      </c>
      <c r="W54" t="e">
        <f t="shared" si="2"/>
        <v>#VALUE!</v>
      </c>
      <c r="X54" t="e">
        <f t="shared" si="3"/>
        <v>#VALUE!</v>
      </c>
      <c r="Y54" t="e">
        <f t="shared" si="4"/>
        <v>#VALUE!</v>
      </c>
      <c r="Z54" t="e">
        <f t="shared" si="5"/>
        <v>#VALUE!</v>
      </c>
    </row>
    <row r="55" spans="1:26" ht="28.2" thickBot="1" x14ac:dyDescent="0.3">
      <c r="A55" s="22" t="s">
        <v>2873</v>
      </c>
      <c r="B55" s="22" t="s">
        <v>152</v>
      </c>
      <c r="C55" s="22" t="s">
        <v>152</v>
      </c>
      <c r="D55" s="22" t="s">
        <v>4119</v>
      </c>
      <c r="E55" s="22" t="s">
        <v>4120</v>
      </c>
      <c r="F55" s="22" t="s">
        <v>4121</v>
      </c>
      <c r="H55" s="22">
        <v>54</v>
      </c>
      <c r="I55" s="22" t="s">
        <v>2929</v>
      </c>
      <c r="J55" s="22" t="s">
        <v>2908</v>
      </c>
      <c r="K55" s="22" t="s">
        <v>2908</v>
      </c>
      <c r="L55" s="22" t="s">
        <v>2908</v>
      </c>
      <c r="M55" s="22" t="s">
        <v>2908</v>
      </c>
      <c r="N55" s="22" t="s">
        <v>2908</v>
      </c>
      <c r="P55" s="37">
        <v>1000</v>
      </c>
      <c r="Q55" s="37">
        <v>1000</v>
      </c>
      <c r="R55" s="37">
        <v>1000</v>
      </c>
      <c r="S55" s="37">
        <v>1000</v>
      </c>
      <c r="T55" s="37">
        <v>1000</v>
      </c>
      <c r="V55" t="e">
        <f t="shared" si="1"/>
        <v>#VALUE!</v>
      </c>
      <c r="W55" t="e">
        <f t="shared" si="2"/>
        <v>#VALUE!</v>
      </c>
      <c r="X55" t="e">
        <f t="shared" si="3"/>
        <v>#VALUE!</v>
      </c>
      <c r="Y55" t="e">
        <f t="shared" si="4"/>
        <v>#VALUE!</v>
      </c>
      <c r="Z55" t="e">
        <f t="shared" si="5"/>
        <v>#VALUE!</v>
      </c>
    </row>
    <row r="56" spans="1:26" ht="28.2" thickBot="1" x14ac:dyDescent="0.3">
      <c r="A56" s="22" t="s">
        <v>3670</v>
      </c>
      <c r="B56" s="22" t="s">
        <v>152</v>
      </c>
      <c r="C56" s="22" t="s">
        <v>4122</v>
      </c>
      <c r="D56" s="22" t="s">
        <v>4123</v>
      </c>
      <c r="E56" s="22" t="s">
        <v>4124</v>
      </c>
      <c r="F56" s="22" t="s">
        <v>4125</v>
      </c>
      <c r="H56" s="22">
        <v>55</v>
      </c>
      <c r="I56" s="22" t="s">
        <v>2183</v>
      </c>
      <c r="J56" s="22" t="s">
        <v>2908</v>
      </c>
      <c r="K56" s="22" t="s">
        <v>2908</v>
      </c>
      <c r="L56" s="22" t="s">
        <v>2908</v>
      </c>
      <c r="M56" s="22" t="s">
        <v>2908</v>
      </c>
      <c r="N56" s="22" t="s">
        <v>2908</v>
      </c>
      <c r="P56" s="37">
        <v>1000</v>
      </c>
      <c r="Q56" s="37">
        <v>1000</v>
      </c>
      <c r="R56" s="37">
        <v>1000</v>
      </c>
      <c r="S56" s="37">
        <v>1000</v>
      </c>
      <c r="T56" s="37">
        <v>1000</v>
      </c>
      <c r="V56" t="e">
        <f t="shared" si="1"/>
        <v>#VALUE!</v>
      </c>
      <c r="W56" t="e">
        <f t="shared" si="2"/>
        <v>#VALUE!</v>
      </c>
      <c r="X56" t="e">
        <f t="shared" si="3"/>
        <v>#VALUE!</v>
      </c>
      <c r="Y56" t="e">
        <f t="shared" si="4"/>
        <v>#VALUE!</v>
      </c>
      <c r="Z56" t="e">
        <f t="shared" si="5"/>
        <v>#VALUE!</v>
      </c>
    </row>
    <row r="57" spans="1:26" ht="28.2" thickBot="1" x14ac:dyDescent="0.3">
      <c r="A57" s="22" t="s">
        <v>4126</v>
      </c>
      <c r="B57" s="22" t="s">
        <v>152</v>
      </c>
      <c r="C57" s="22" t="s">
        <v>4127</v>
      </c>
      <c r="D57" s="22" t="s">
        <v>4128</v>
      </c>
      <c r="E57" s="22" t="s">
        <v>4129</v>
      </c>
      <c r="F57" s="22" t="s">
        <v>4130</v>
      </c>
      <c r="H57" s="22">
        <v>56</v>
      </c>
      <c r="I57" s="22" t="s">
        <v>4248</v>
      </c>
      <c r="J57" s="22">
        <v>8.8000000000000007</v>
      </c>
      <c r="K57" s="22">
        <v>10.19</v>
      </c>
      <c r="L57" s="22">
        <v>11.78</v>
      </c>
      <c r="M57" s="22">
        <v>18.63</v>
      </c>
      <c r="N57" s="22">
        <v>26.72</v>
      </c>
      <c r="P57" s="37">
        <v>1000</v>
      </c>
      <c r="Q57" s="37">
        <v>1000</v>
      </c>
      <c r="R57" s="37">
        <v>1000</v>
      </c>
      <c r="S57" s="37">
        <v>1000</v>
      </c>
      <c r="T57" s="37">
        <v>1000</v>
      </c>
      <c r="V57">
        <f t="shared" si="1"/>
        <v>8800</v>
      </c>
      <c r="W57">
        <f t="shared" si="2"/>
        <v>10190</v>
      </c>
      <c r="X57">
        <f t="shared" si="3"/>
        <v>11780</v>
      </c>
      <c r="Y57">
        <f t="shared" si="4"/>
        <v>18630</v>
      </c>
      <c r="Z57">
        <f t="shared" si="5"/>
        <v>26720</v>
      </c>
    </row>
    <row r="58" spans="1:26" ht="42" thickBot="1" x14ac:dyDescent="0.3">
      <c r="A58" s="22" t="s">
        <v>4131</v>
      </c>
      <c r="B58" s="22" t="s">
        <v>4132</v>
      </c>
      <c r="C58" s="22" t="s">
        <v>4133</v>
      </c>
      <c r="D58" s="22" t="s">
        <v>4134</v>
      </c>
      <c r="E58" s="22" t="s">
        <v>4135</v>
      </c>
      <c r="F58" s="22" t="s">
        <v>4136</v>
      </c>
      <c r="H58" s="22">
        <v>57</v>
      </c>
      <c r="I58" s="22" t="s">
        <v>2930</v>
      </c>
      <c r="J58" s="22">
        <v>28.25</v>
      </c>
      <c r="K58" s="22">
        <v>20.190000000000001</v>
      </c>
      <c r="L58" s="22">
        <v>43.58</v>
      </c>
      <c r="M58" s="22">
        <v>17.21</v>
      </c>
      <c r="N58" s="22">
        <v>17.43</v>
      </c>
      <c r="P58" s="37">
        <v>1000</v>
      </c>
      <c r="Q58" s="37">
        <v>1000</v>
      </c>
      <c r="R58" s="37">
        <v>1000</v>
      </c>
      <c r="S58" s="37">
        <v>1000</v>
      </c>
      <c r="T58" s="37">
        <v>1000</v>
      </c>
      <c r="V58">
        <f t="shared" si="1"/>
        <v>28250</v>
      </c>
      <c r="W58">
        <f t="shared" si="2"/>
        <v>20190</v>
      </c>
      <c r="X58">
        <f t="shared" si="3"/>
        <v>43580</v>
      </c>
      <c r="Y58">
        <f t="shared" si="4"/>
        <v>17210</v>
      </c>
      <c r="Z58">
        <f t="shared" si="5"/>
        <v>17430</v>
      </c>
    </row>
    <row r="59" spans="1:26" ht="42" thickBot="1" x14ac:dyDescent="0.3">
      <c r="A59" s="22" t="s">
        <v>3672</v>
      </c>
      <c r="B59" s="22" t="s">
        <v>152</v>
      </c>
      <c r="C59" s="22" t="s">
        <v>4137</v>
      </c>
      <c r="D59" s="22" t="s">
        <v>4138</v>
      </c>
      <c r="E59" s="22" t="s">
        <v>4055</v>
      </c>
      <c r="F59" s="22" t="s">
        <v>4139</v>
      </c>
      <c r="H59" s="22">
        <v>58</v>
      </c>
      <c r="I59" s="22" t="s">
        <v>4249</v>
      </c>
      <c r="J59" s="22">
        <v>7.72</v>
      </c>
      <c r="K59" s="22">
        <v>6.26</v>
      </c>
      <c r="L59" s="22">
        <v>10.78</v>
      </c>
      <c r="M59" s="22">
        <v>6.53</v>
      </c>
      <c r="N59" s="22">
        <v>6.05</v>
      </c>
      <c r="P59" s="37">
        <v>1000</v>
      </c>
      <c r="Q59" s="37">
        <v>1000</v>
      </c>
      <c r="R59" s="37">
        <v>1000</v>
      </c>
      <c r="S59" s="37">
        <v>1000</v>
      </c>
      <c r="T59" s="37">
        <v>1000</v>
      </c>
      <c r="V59">
        <f t="shared" si="1"/>
        <v>7720</v>
      </c>
      <c r="W59">
        <f t="shared" si="2"/>
        <v>6260</v>
      </c>
      <c r="X59">
        <f t="shared" si="3"/>
        <v>10780</v>
      </c>
      <c r="Y59">
        <f t="shared" si="4"/>
        <v>6530</v>
      </c>
      <c r="Z59">
        <f t="shared" si="5"/>
        <v>6050</v>
      </c>
    </row>
    <row r="60" spans="1:26" ht="28.2" thickBot="1" x14ac:dyDescent="0.3">
      <c r="A60" s="22" t="s">
        <v>2869</v>
      </c>
      <c r="B60" s="22" t="s">
        <v>152</v>
      </c>
      <c r="C60" s="22" t="s">
        <v>4140</v>
      </c>
      <c r="D60" s="22" t="s">
        <v>4141</v>
      </c>
      <c r="E60" s="22" t="s">
        <v>4142</v>
      </c>
      <c r="F60" s="22" t="s">
        <v>4143</v>
      </c>
      <c r="H60" s="22">
        <v>59</v>
      </c>
      <c r="I60" s="22" t="s">
        <v>2337</v>
      </c>
      <c r="J60" s="22" t="s">
        <v>2908</v>
      </c>
      <c r="K60" s="22" t="s">
        <v>2908</v>
      </c>
      <c r="L60" s="22" t="s">
        <v>2908</v>
      </c>
      <c r="M60" s="22" t="s">
        <v>2908</v>
      </c>
      <c r="N60" s="22" t="s">
        <v>2908</v>
      </c>
      <c r="P60" s="37">
        <v>1000</v>
      </c>
      <c r="Q60" s="37">
        <v>1000</v>
      </c>
      <c r="R60" s="37">
        <v>1000</v>
      </c>
      <c r="S60" s="37">
        <v>1000</v>
      </c>
      <c r="T60" s="37">
        <v>1000</v>
      </c>
      <c r="V60" t="e">
        <f t="shared" si="1"/>
        <v>#VALUE!</v>
      </c>
      <c r="W60" t="e">
        <f t="shared" si="2"/>
        <v>#VALUE!</v>
      </c>
      <c r="X60" t="e">
        <f t="shared" si="3"/>
        <v>#VALUE!</v>
      </c>
      <c r="Y60" t="e">
        <f t="shared" si="4"/>
        <v>#VALUE!</v>
      </c>
      <c r="Z60" t="e">
        <f t="shared" si="5"/>
        <v>#VALUE!</v>
      </c>
    </row>
    <row r="61" spans="1:26" ht="28.2" thickBot="1" x14ac:dyDescent="0.3">
      <c r="A61" s="22" t="s">
        <v>2865</v>
      </c>
      <c r="B61" s="22" t="s">
        <v>3942</v>
      </c>
      <c r="C61" s="22" t="s">
        <v>4144</v>
      </c>
      <c r="D61" s="22" t="s">
        <v>4145</v>
      </c>
      <c r="E61" s="22" t="s">
        <v>4146</v>
      </c>
      <c r="F61" s="22" t="s">
        <v>4147</v>
      </c>
      <c r="H61" s="22">
        <v>60</v>
      </c>
      <c r="I61" s="22" t="s">
        <v>2365</v>
      </c>
      <c r="J61" s="22">
        <v>36.83</v>
      </c>
      <c r="K61" s="22">
        <v>32.81</v>
      </c>
      <c r="L61" s="22">
        <v>11.2</v>
      </c>
      <c r="M61" s="22">
        <v>6.31</v>
      </c>
      <c r="N61" s="22">
        <v>9.0299999999999994</v>
      </c>
      <c r="P61" s="37">
        <v>1000</v>
      </c>
      <c r="Q61" s="37">
        <v>1000</v>
      </c>
      <c r="R61" s="37">
        <v>1000</v>
      </c>
      <c r="S61" s="37">
        <v>1000</v>
      </c>
      <c r="T61" s="37">
        <v>1000</v>
      </c>
      <c r="V61">
        <f t="shared" si="1"/>
        <v>36830</v>
      </c>
      <c r="W61">
        <f t="shared" si="2"/>
        <v>32810</v>
      </c>
      <c r="X61">
        <f t="shared" si="3"/>
        <v>11200</v>
      </c>
      <c r="Y61">
        <f t="shared" si="4"/>
        <v>6310</v>
      </c>
      <c r="Z61">
        <f t="shared" si="5"/>
        <v>9030</v>
      </c>
    </row>
    <row r="62" spans="1:26" ht="28.2" thickBot="1" x14ac:dyDescent="0.3">
      <c r="A62" s="22" t="s">
        <v>3296</v>
      </c>
      <c r="B62" s="22" t="s">
        <v>4022</v>
      </c>
      <c r="C62" s="22" t="s">
        <v>4023</v>
      </c>
      <c r="D62" s="22" t="s">
        <v>4024</v>
      </c>
      <c r="E62" s="22" t="s">
        <v>4025</v>
      </c>
      <c r="F62" s="22" t="s">
        <v>4026</v>
      </c>
      <c r="H62" s="22">
        <v>61</v>
      </c>
      <c r="I62" s="22" t="s">
        <v>2186</v>
      </c>
      <c r="J62" s="22">
        <v>3.97</v>
      </c>
      <c r="K62" s="22">
        <v>3.58</v>
      </c>
      <c r="L62" s="22">
        <v>2.54</v>
      </c>
      <c r="M62" s="22">
        <v>1.83</v>
      </c>
      <c r="N62" s="22">
        <v>1.75</v>
      </c>
      <c r="P62" s="37">
        <v>1000</v>
      </c>
      <c r="Q62" s="37">
        <v>1000</v>
      </c>
      <c r="R62" s="37">
        <v>1000</v>
      </c>
      <c r="S62" s="37">
        <v>1000</v>
      </c>
      <c r="T62" s="37">
        <v>1000</v>
      </c>
      <c r="V62">
        <f t="shared" si="1"/>
        <v>3970</v>
      </c>
      <c r="W62">
        <f t="shared" si="2"/>
        <v>3580</v>
      </c>
      <c r="X62">
        <f t="shared" si="3"/>
        <v>2540</v>
      </c>
      <c r="Y62">
        <f t="shared" si="4"/>
        <v>1830</v>
      </c>
      <c r="Z62">
        <f t="shared" si="5"/>
        <v>1750</v>
      </c>
    </row>
    <row r="63" spans="1:26" ht="28.2" thickBot="1" x14ac:dyDescent="0.3">
      <c r="A63" s="22" t="s">
        <v>2878</v>
      </c>
      <c r="B63" s="22" t="s">
        <v>4027</v>
      </c>
      <c r="C63" s="22" t="s">
        <v>4028</v>
      </c>
      <c r="D63" s="22" t="s">
        <v>4029</v>
      </c>
      <c r="E63" s="22" t="s">
        <v>4030</v>
      </c>
      <c r="F63" s="22" t="s">
        <v>4031</v>
      </c>
      <c r="H63" s="22">
        <v>62</v>
      </c>
      <c r="I63" s="22" t="s">
        <v>2382</v>
      </c>
      <c r="J63" s="22">
        <v>5.85</v>
      </c>
      <c r="K63" s="22">
        <v>5.67</v>
      </c>
      <c r="L63" s="22">
        <v>3.62</v>
      </c>
      <c r="M63" s="22">
        <v>2.2599999999999998</v>
      </c>
      <c r="N63" s="22">
        <v>2.78</v>
      </c>
      <c r="P63" s="37">
        <v>1000</v>
      </c>
      <c r="Q63" s="37">
        <v>1000</v>
      </c>
      <c r="R63" s="37">
        <v>1000</v>
      </c>
      <c r="S63" s="37">
        <v>1000</v>
      </c>
      <c r="T63" s="37">
        <v>1000</v>
      </c>
      <c r="V63">
        <f t="shared" si="1"/>
        <v>5850</v>
      </c>
      <c r="W63">
        <f t="shared" si="2"/>
        <v>5670</v>
      </c>
      <c r="X63">
        <f t="shared" si="3"/>
        <v>3620</v>
      </c>
      <c r="Y63">
        <f t="shared" si="4"/>
        <v>2260</v>
      </c>
      <c r="Z63">
        <f t="shared" si="5"/>
        <v>2780</v>
      </c>
    </row>
    <row r="64" spans="1:26" ht="28.2" thickBot="1" x14ac:dyDescent="0.3">
      <c r="A64" s="21" t="s">
        <v>4032</v>
      </c>
      <c r="B64" s="22"/>
      <c r="C64" s="22"/>
      <c r="D64" s="22"/>
      <c r="E64" s="22"/>
      <c r="F64" s="22"/>
      <c r="H64" s="22">
        <v>63</v>
      </c>
      <c r="I64" s="22" t="s">
        <v>2393</v>
      </c>
      <c r="J64" s="22" t="s">
        <v>2908</v>
      </c>
      <c r="K64" s="22" t="s">
        <v>2908</v>
      </c>
      <c r="L64" s="22" t="s">
        <v>2908</v>
      </c>
      <c r="M64" s="22" t="s">
        <v>2908</v>
      </c>
      <c r="N64" s="22" t="s">
        <v>2908</v>
      </c>
      <c r="P64" s="37">
        <v>1000</v>
      </c>
      <c r="Q64" s="37">
        <v>1000</v>
      </c>
      <c r="R64" s="37">
        <v>1000</v>
      </c>
      <c r="S64" s="37">
        <v>1000</v>
      </c>
      <c r="T64" s="37">
        <v>1000</v>
      </c>
      <c r="V64" t="e">
        <f t="shared" si="1"/>
        <v>#VALUE!</v>
      </c>
      <c r="W64" t="e">
        <f t="shared" si="2"/>
        <v>#VALUE!</v>
      </c>
      <c r="X64" t="e">
        <f t="shared" si="3"/>
        <v>#VALUE!</v>
      </c>
      <c r="Y64" t="e">
        <f t="shared" si="4"/>
        <v>#VALUE!</v>
      </c>
      <c r="Z64" t="e">
        <f t="shared" si="5"/>
        <v>#VALUE!</v>
      </c>
    </row>
    <row r="65" spans="1:6" ht="28.2" thickBot="1" x14ac:dyDescent="0.3">
      <c r="A65" s="22" t="s">
        <v>2320</v>
      </c>
      <c r="B65" s="22" t="s">
        <v>4033</v>
      </c>
      <c r="C65" s="22" t="s">
        <v>4034</v>
      </c>
      <c r="D65" s="22" t="s">
        <v>4035</v>
      </c>
      <c r="E65" s="22" t="s">
        <v>4036</v>
      </c>
      <c r="F65" s="22" t="s">
        <v>4037</v>
      </c>
    </row>
    <row r="66" spans="1:6" ht="28.2" thickBot="1" x14ac:dyDescent="0.3">
      <c r="A66" s="22" t="s">
        <v>2955</v>
      </c>
      <c r="B66" s="22" t="s">
        <v>4148</v>
      </c>
      <c r="C66" s="22" t="s">
        <v>4149</v>
      </c>
      <c r="D66" s="22" t="s">
        <v>4150</v>
      </c>
      <c r="E66" s="22" t="s">
        <v>4151</v>
      </c>
      <c r="F66" s="22" t="s">
        <v>4152</v>
      </c>
    </row>
    <row r="67" spans="1:6" ht="28.2" thickBot="1" x14ac:dyDescent="0.3">
      <c r="A67" s="22" t="s">
        <v>4153</v>
      </c>
      <c r="B67" s="22" t="s">
        <v>4154</v>
      </c>
      <c r="C67" s="22" t="s">
        <v>4155</v>
      </c>
      <c r="D67" s="22" t="s">
        <v>4156</v>
      </c>
      <c r="E67" s="22" t="s">
        <v>4157</v>
      </c>
      <c r="F67" s="22" t="s">
        <v>4158</v>
      </c>
    </row>
    <row r="68" spans="1:6" ht="28.2" thickBot="1" x14ac:dyDescent="0.3">
      <c r="A68" s="22" t="s">
        <v>2930</v>
      </c>
      <c r="B68" s="22" t="s">
        <v>4159</v>
      </c>
      <c r="C68" s="22" t="s">
        <v>4160</v>
      </c>
      <c r="D68" s="22" t="s">
        <v>4161</v>
      </c>
      <c r="E68" s="22" t="s">
        <v>4162</v>
      </c>
      <c r="F68" s="22" t="s">
        <v>4163</v>
      </c>
    </row>
    <row r="69" spans="1:6" ht="28.2" thickBot="1" x14ac:dyDescent="0.3">
      <c r="A69" s="22" t="s">
        <v>2956</v>
      </c>
      <c r="B69" s="22" t="s">
        <v>152</v>
      </c>
      <c r="C69" s="22" t="s">
        <v>152</v>
      </c>
      <c r="D69" s="22" t="s">
        <v>152</v>
      </c>
      <c r="E69" s="22" t="s">
        <v>4164</v>
      </c>
      <c r="F69" s="22" t="s">
        <v>4165</v>
      </c>
    </row>
    <row r="70" spans="1:6" ht="28.2" thickBot="1" x14ac:dyDescent="0.3">
      <c r="A70" s="22" t="s">
        <v>2922</v>
      </c>
      <c r="B70" s="22" t="s">
        <v>4166</v>
      </c>
      <c r="C70" s="22" t="s">
        <v>152</v>
      </c>
      <c r="D70" s="22" t="s">
        <v>4167</v>
      </c>
      <c r="E70" s="22" t="s">
        <v>4168</v>
      </c>
      <c r="F70" s="22" t="s">
        <v>4169</v>
      </c>
    </row>
    <row r="71" spans="1:6" ht="28.2" thickBot="1" x14ac:dyDescent="0.3">
      <c r="A71" s="22" t="s">
        <v>3408</v>
      </c>
      <c r="B71" s="22" t="s">
        <v>4170</v>
      </c>
      <c r="C71" s="22" t="s">
        <v>4171</v>
      </c>
      <c r="D71" s="22" t="s">
        <v>4172</v>
      </c>
      <c r="E71" s="22" t="s">
        <v>4173</v>
      </c>
      <c r="F71" s="22" t="s">
        <v>4174</v>
      </c>
    </row>
    <row r="72" spans="1:6" ht="28.2" thickBot="1" x14ac:dyDescent="0.3">
      <c r="A72" s="22" t="s">
        <v>2920</v>
      </c>
      <c r="B72" s="22" t="s">
        <v>152</v>
      </c>
      <c r="C72" s="22" t="s">
        <v>152</v>
      </c>
      <c r="D72" s="22" t="s">
        <v>152</v>
      </c>
      <c r="E72" s="22" t="s">
        <v>4175</v>
      </c>
      <c r="F72" s="22" t="s">
        <v>4176</v>
      </c>
    </row>
    <row r="73" spans="1:6" ht="28.2" thickBot="1" x14ac:dyDescent="0.3">
      <c r="A73" s="22" t="s">
        <v>2857</v>
      </c>
      <c r="B73" s="22" t="s">
        <v>152</v>
      </c>
      <c r="C73" s="22" t="s">
        <v>152</v>
      </c>
      <c r="D73" s="22" t="s">
        <v>4038</v>
      </c>
      <c r="E73" s="22" t="s">
        <v>4039</v>
      </c>
      <c r="F73" s="22" t="s">
        <v>4040</v>
      </c>
    </row>
    <row r="74" spans="1:6" ht="28.2" thickBot="1" x14ac:dyDescent="0.3">
      <c r="A74" s="21" t="s">
        <v>4177</v>
      </c>
      <c r="B74" s="21" t="s">
        <v>4178</v>
      </c>
      <c r="C74" s="21" t="s">
        <v>4179</v>
      </c>
      <c r="D74" s="21" t="s">
        <v>4180</v>
      </c>
      <c r="E74" s="21" t="s">
        <v>4181</v>
      </c>
      <c r="F74" s="21" t="s">
        <v>4182</v>
      </c>
    </row>
    <row r="75" spans="1:6" ht="28.2" thickBot="1" x14ac:dyDescent="0.3">
      <c r="A75" s="21" t="s">
        <v>4041</v>
      </c>
      <c r="B75" s="22"/>
      <c r="C75" s="22"/>
      <c r="D75" s="22"/>
      <c r="E75" s="22"/>
      <c r="F75" s="22"/>
    </row>
    <row r="76" spans="1:6" ht="42" thickBot="1" x14ac:dyDescent="0.3">
      <c r="A76" s="22" t="s">
        <v>4183</v>
      </c>
      <c r="B76" s="22" t="s">
        <v>4184</v>
      </c>
      <c r="C76" s="22" t="s">
        <v>4185</v>
      </c>
      <c r="D76" s="22" t="s">
        <v>4186</v>
      </c>
      <c r="E76" s="22" t="s">
        <v>4187</v>
      </c>
      <c r="F76" s="22" t="s">
        <v>4188</v>
      </c>
    </row>
    <row r="77" spans="1:6" ht="42" thickBot="1" x14ac:dyDescent="0.3">
      <c r="A77" s="22" t="s">
        <v>4189</v>
      </c>
      <c r="B77" s="22" t="s">
        <v>4190</v>
      </c>
      <c r="C77" s="22" t="s">
        <v>4191</v>
      </c>
      <c r="D77" s="22" t="s">
        <v>4192</v>
      </c>
      <c r="E77" s="22" t="s">
        <v>4193</v>
      </c>
      <c r="F77" s="22" t="s">
        <v>4194</v>
      </c>
    </row>
    <row r="78" spans="1:6" ht="42" thickBot="1" x14ac:dyDescent="0.3">
      <c r="A78" s="22" t="s">
        <v>4195</v>
      </c>
      <c r="B78" s="22" t="s">
        <v>152</v>
      </c>
      <c r="C78" s="22" t="s">
        <v>4196</v>
      </c>
      <c r="D78" s="22" t="s">
        <v>4197</v>
      </c>
      <c r="E78" s="22" t="s">
        <v>4198</v>
      </c>
      <c r="F78" s="22" t="s">
        <v>4199</v>
      </c>
    </row>
    <row r="79" spans="1:6" ht="28.2" thickBot="1" x14ac:dyDescent="0.3">
      <c r="A79" s="22" t="s">
        <v>4200</v>
      </c>
      <c r="B79" s="22" t="s">
        <v>4201</v>
      </c>
      <c r="C79" s="22" t="s">
        <v>4202</v>
      </c>
      <c r="D79" s="22" t="s">
        <v>4203</v>
      </c>
      <c r="E79" s="22" t="s">
        <v>4204</v>
      </c>
      <c r="F79" s="22" t="s">
        <v>4205</v>
      </c>
    </row>
    <row r="80" spans="1:6" ht="28.2" thickBot="1" x14ac:dyDescent="0.3">
      <c r="A80" s="22" t="s">
        <v>4042</v>
      </c>
      <c r="B80" s="22" t="s">
        <v>4043</v>
      </c>
      <c r="C80" s="22" t="s">
        <v>4044</v>
      </c>
      <c r="D80" s="22" t="s">
        <v>4045</v>
      </c>
      <c r="E80" s="22" t="s">
        <v>4046</v>
      </c>
      <c r="F80" s="22" t="s">
        <v>4047</v>
      </c>
    </row>
    <row r="81" spans="1:6" ht="42" thickBot="1" x14ac:dyDescent="0.3">
      <c r="A81" s="22" t="s">
        <v>4206</v>
      </c>
      <c r="B81" s="22" t="s">
        <v>152</v>
      </c>
      <c r="C81" s="22" t="s">
        <v>4207</v>
      </c>
      <c r="D81" s="22" t="s">
        <v>4208</v>
      </c>
      <c r="E81" s="22" t="s">
        <v>4209</v>
      </c>
      <c r="F81" s="22" t="s">
        <v>4210</v>
      </c>
    </row>
    <row r="82" spans="1:6" ht="42" thickBot="1" x14ac:dyDescent="0.3">
      <c r="A82" s="22" t="s">
        <v>4211</v>
      </c>
      <c r="B82" s="22" t="s">
        <v>152</v>
      </c>
      <c r="C82" s="22" t="s">
        <v>4212</v>
      </c>
      <c r="D82" s="22" t="s">
        <v>4213</v>
      </c>
      <c r="E82" s="22" t="s">
        <v>4214</v>
      </c>
      <c r="F82" s="22" t="s">
        <v>4215</v>
      </c>
    </row>
    <row r="83" spans="1:6" ht="28.2" thickBot="1" x14ac:dyDescent="0.3">
      <c r="A83" s="21" t="s">
        <v>4216</v>
      </c>
      <c r="B83" s="21" t="s">
        <v>4217</v>
      </c>
      <c r="C83" s="21" t="s">
        <v>4218</v>
      </c>
      <c r="D83" s="21" t="s">
        <v>4219</v>
      </c>
      <c r="E83" s="21" t="s">
        <v>4220</v>
      </c>
      <c r="F83" s="21" t="s">
        <v>4221</v>
      </c>
    </row>
    <row r="84" spans="1:6" ht="28.2" thickBot="1" x14ac:dyDescent="0.3">
      <c r="A84" s="22" t="s">
        <v>4222</v>
      </c>
      <c r="B84" s="22" t="s">
        <v>152</v>
      </c>
      <c r="C84" s="22" t="s">
        <v>4223</v>
      </c>
      <c r="D84" s="22" t="s">
        <v>4224</v>
      </c>
      <c r="E84" s="22" t="s">
        <v>4225</v>
      </c>
      <c r="F84" s="22" t="s">
        <v>4226</v>
      </c>
    </row>
    <row r="85" spans="1:6" ht="28.2" thickBot="1" x14ac:dyDescent="0.3">
      <c r="A85" s="22" t="s">
        <v>3304</v>
      </c>
      <c r="B85" s="22" t="s">
        <v>4227</v>
      </c>
      <c r="C85" s="22" t="s">
        <v>4228</v>
      </c>
      <c r="D85" s="22" t="s">
        <v>4229</v>
      </c>
      <c r="E85" s="22" t="s">
        <v>4230</v>
      </c>
      <c r="F85" s="22" t="s">
        <v>4231</v>
      </c>
    </row>
    <row r="86" spans="1:6" ht="28.2" thickBot="1" x14ac:dyDescent="0.3">
      <c r="A86" s="22" t="s">
        <v>2904</v>
      </c>
      <c r="B86" s="22" t="s">
        <v>152</v>
      </c>
      <c r="C86" s="22" t="s">
        <v>152</v>
      </c>
      <c r="D86" s="22" t="s">
        <v>4232</v>
      </c>
      <c r="E86" s="22" t="s">
        <v>4233</v>
      </c>
      <c r="F86" s="22" t="s">
        <v>4234</v>
      </c>
    </row>
    <row r="87" spans="1:6" ht="28.2" thickBot="1" x14ac:dyDescent="0.3">
      <c r="A87" s="21" t="s">
        <v>4235</v>
      </c>
      <c r="B87" s="21" t="s">
        <v>4227</v>
      </c>
      <c r="C87" s="21" t="s">
        <v>4236</v>
      </c>
      <c r="D87" s="21" t="s">
        <v>4237</v>
      </c>
      <c r="E87" s="21" t="s">
        <v>4238</v>
      </c>
      <c r="F87" s="21" t="s">
        <v>4239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D45D-AA34-4414-87A9-BA02043FB716}">
  <dimension ref="A1:K64"/>
  <sheetViews>
    <sheetView workbookViewId="0">
      <selection activeCell="K2" sqref="K2:K64"/>
    </sheetView>
  </sheetViews>
  <sheetFormatPr defaultRowHeight="13.8" x14ac:dyDescent="0.25"/>
  <sheetData>
    <row r="1" spans="1:11" ht="42" thickBot="1" x14ac:dyDescent="0.3">
      <c r="A1" s="21" t="s">
        <v>2845</v>
      </c>
      <c r="B1" s="21" t="s">
        <v>4250</v>
      </c>
      <c r="C1" s="21" t="s">
        <v>4251</v>
      </c>
      <c r="E1" s="21" t="s">
        <v>2845</v>
      </c>
      <c r="F1" s="21" t="s">
        <v>2906</v>
      </c>
      <c r="G1" s="21" t="s">
        <v>4251</v>
      </c>
    </row>
    <row r="2" spans="1:11" ht="28.2" thickBot="1" x14ac:dyDescent="0.3">
      <c r="A2" s="22">
        <v>1</v>
      </c>
      <c r="B2" s="22" t="s">
        <v>2320</v>
      </c>
      <c r="C2" s="22" t="s">
        <v>4252</v>
      </c>
      <c r="E2" s="22">
        <v>1</v>
      </c>
      <c r="F2" s="22" t="s">
        <v>2017</v>
      </c>
      <c r="G2" s="22">
        <v>1716.59</v>
      </c>
      <c r="I2">
        <v>1000</v>
      </c>
      <c r="K2">
        <f>G2*I2</f>
        <v>1716590</v>
      </c>
    </row>
    <row r="3" spans="1:11" ht="28.2" thickBot="1" x14ac:dyDescent="0.3">
      <c r="A3" s="22">
        <v>2</v>
      </c>
      <c r="B3" s="22" t="s">
        <v>3856</v>
      </c>
      <c r="C3" s="22" t="s">
        <v>4253</v>
      </c>
      <c r="E3" s="22">
        <v>2</v>
      </c>
      <c r="F3" s="22" t="s">
        <v>2162</v>
      </c>
      <c r="G3" s="22" t="s">
        <v>2908</v>
      </c>
      <c r="I3">
        <v>1000</v>
      </c>
      <c r="K3" t="e">
        <f t="shared" ref="K3:K64" si="0">G3*I3</f>
        <v>#VALUE!</v>
      </c>
    </row>
    <row r="4" spans="1:11" ht="14.4" thickBot="1" x14ac:dyDescent="0.3">
      <c r="A4" s="22">
        <v>3</v>
      </c>
      <c r="B4" s="22" t="s">
        <v>2961</v>
      </c>
      <c r="C4" s="22" t="s">
        <v>152</v>
      </c>
      <c r="E4" s="22">
        <v>3</v>
      </c>
      <c r="F4" s="22" t="s">
        <v>2018</v>
      </c>
      <c r="G4" s="22">
        <v>4.24</v>
      </c>
      <c r="I4">
        <v>1000</v>
      </c>
      <c r="K4">
        <f t="shared" si="0"/>
        <v>4240</v>
      </c>
    </row>
    <row r="5" spans="1:11" ht="28.2" thickBot="1" x14ac:dyDescent="0.3">
      <c r="A5" s="22">
        <v>4</v>
      </c>
      <c r="B5" s="22" t="s">
        <v>2863</v>
      </c>
      <c r="C5" s="22" t="s">
        <v>4254</v>
      </c>
      <c r="E5" s="22">
        <v>4</v>
      </c>
      <c r="F5" s="22" t="s">
        <v>2022</v>
      </c>
      <c r="G5" s="22">
        <v>1126.3699999999999</v>
      </c>
      <c r="I5">
        <v>1000</v>
      </c>
      <c r="K5">
        <f t="shared" si="0"/>
        <v>1126370</v>
      </c>
    </row>
    <row r="6" spans="1:11" ht="28.2" thickBot="1" x14ac:dyDescent="0.3">
      <c r="A6" s="22">
        <v>5</v>
      </c>
      <c r="B6" s="22" t="s">
        <v>2170</v>
      </c>
      <c r="C6" s="22" t="s">
        <v>4255</v>
      </c>
      <c r="E6" s="22">
        <v>5</v>
      </c>
      <c r="F6" s="22" t="s">
        <v>2023</v>
      </c>
      <c r="G6" s="22">
        <v>5.0599999999999996</v>
      </c>
      <c r="I6">
        <v>1000</v>
      </c>
      <c r="K6">
        <f t="shared" si="0"/>
        <v>5060</v>
      </c>
    </row>
    <row r="7" spans="1:11" ht="28.2" thickBot="1" x14ac:dyDescent="0.3">
      <c r="A7" s="22">
        <v>6</v>
      </c>
      <c r="B7" s="22" t="s">
        <v>2359</v>
      </c>
      <c r="C7" s="22" t="s">
        <v>4256</v>
      </c>
      <c r="E7" s="22">
        <v>6</v>
      </c>
      <c r="F7" s="22" t="s">
        <v>2019</v>
      </c>
      <c r="G7" s="22">
        <v>17.71</v>
      </c>
      <c r="I7">
        <v>1000</v>
      </c>
      <c r="K7">
        <f t="shared" si="0"/>
        <v>17710</v>
      </c>
    </row>
    <row r="8" spans="1:11" ht="28.2" thickBot="1" x14ac:dyDescent="0.3">
      <c r="A8" s="22">
        <v>7</v>
      </c>
      <c r="B8" s="22" t="s">
        <v>2915</v>
      </c>
      <c r="C8" s="22" t="s">
        <v>152</v>
      </c>
      <c r="E8" s="22">
        <v>7</v>
      </c>
      <c r="F8" s="22" t="s">
        <v>2178</v>
      </c>
      <c r="G8" s="22">
        <v>7.08</v>
      </c>
      <c r="I8">
        <v>1000</v>
      </c>
      <c r="K8">
        <f t="shared" si="0"/>
        <v>7080</v>
      </c>
    </row>
    <row r="9" spans="1:11" ht="28.2" thickBot="1" x14ac:dyDescent="0.3">
      <c r="A9" s="22">
        <v>8</v>
      </c>
      <c r="B9" s="22" t="s">
        <v>2019</v>
      </c>
      <c r="C9" s="22" t="s">
        <v>4257</v>
      </c>
      <c r="E9" s="22">
        <v>8</v>
      </c>
      <c r="F9" s="22" t="s">
        <v>2898</v>
      </c>
      <c r="G9" s="22">
        <v>496.83</v>
      </c>
      <c r="I9">
        <v>1000</v>
      </c>
      <c r="K9">
        <f t="shared" si="0"/>
        <v>496830</v>
      </c>
    </row>
    <row r="10" spans="1:11" ht="42" thickBot="1" x14ac:dyDescent="0.3">
      <c r="A10" s="22">
        <v>9</v>
      </c>
      <c r="B10" s="22" t="s">
        <v>2017</v>
      </c>
      <c r="C10" s="22" t="s">
        <v>4258</v>
      </c>
      <c r="E10" s="22">
        <v>9</v>
      </c>
      <c r="F10" s="22" t="s">
        <v>2909</v>
      </c>
      <c r="G10" s="22" t="s">
        <v>2908</v>
      </c>
      <c r="I10">
        <v>1000</v>
      </c>
      <c r="K10" t="e">
        <f t="shared" si="0"/>
        <v>#VALUE!</v>
      </c>
    </row>
    <row r="11" spans="1:11" ht="28.2" thickBot="1" x14ac:dyDescent="0.3">
      <c r="A11" s="22">
        <v>10</v>
      </c>
      <c r="B11" s="22" t="s">
        <v>2871</v>
      </c>
      <c r="C11" s="22" t="s">
        <v>4259</v>
      </c>
      <c r="E11" s="22">
        <v>10</v>
      </c>
      <c r="F11" s="22" t="s">
        <v>2166</v>
      </c>
      <c r="G11" s="22" t="s">
        <v>2908</v>
      </c>
      <c r="I11">
        <v>1000</v>
      </c>
      <c r="K11" t="e">
        <f t="shared" si="0"/>
        <v>#VALUE!</v>
      </c>
    </row>
    <row r="12" spans="1:11" ht="28.2" thickBot="1" x14ac:dyDescent="0.3">
      <c r="A12" s="22">
        <v>11</v>
      </c>
      <c r="B12" s="22" t="s">
        <v>2861</v>
      </c>
      <c r="C12" s="22" t="s">
        <v>4260</v>
      </c>
      <c r="E12" s="22">
        <v>11</v>
      </c>
      <c r="F12" s="22" t="s">
        <v>2911</v>
      </c>
      <c r="G12" s="22" t="s">
        <v>2908</v>
      </c>
      <c r="I12">
        <v>1000</v>
      </c>
      <c r="K12" t="e">
        <f t="shared" si="0"/>
        <v>#VALUE!</v>
      </c>
    </row>
    <row r="13" spans="1:11" ht="28.2" thickBot="1" x14ac:dyDescent="0.3">
      <c r="A13" s="22">
        <v>12</v>
      </c>
      <c r="B13" s="22" t="s">
        <v>2178</v>
      </c>
      <c r="C13" s="22" t="s">
        <v>4261</v>
      </c>
      <c r="E13" s="22">
        <v>12</v>
      </c>
      <c r="F13" s="22" t="s">
        <v>2957</v>
      </c>
      <c r="G13" s="22" t="s">
        <v>2908</v>
      </c>
      <c r="I13">
        <v>1000</v>
      </c>
      <c r="K13" t="e">
        <f t="shared" si="0"/>
        <v>#VALUE!</v>
      </c>
    </row>
    <row r="14" spans="1:11" ht="28.2" thickBot="1" x14ac:dyDescent="0.3">
      <c r="A14" s="22">
        <v>13</v>
      </c>
      <c r="B14" s="22" t="s">
        <v>2023</v>
      </c>
      <c r="C14" s="22" t="s">
        <v>4262</v>
      </c>
      <c r="E14" s="22">
        <v>13</v>
      </c>
      <c r="F14" s="22" t="s">
        <v>2913</v>
      </c>
      <c r="G14" s="22" t="s">
        <v>2908</v>
      </c>
      <c r="I14">
        <v>1000</v>
      </c>
      <c r="K14" t="e">
        <f t="shared" si="0"/>
        <v>#VALUE!</v>
      </c>
    </row>
    <row r="15" spans="1:11" ht="28.2" thickBot="1" x14ac:dyDescent="0.3">
      <c r="A15" s="22">
        <v>14</v>
      </c>
      <c r="B15" s="22" t="s">
        <v>2177</v>
      </c>
      <c r="C15" s="22" t="s">
        <v>4263</v>
      </c>
      <c r="E15" s="22">
        <v>14</v>
      </c>
      <c r="F15" s="22" t="s">
        <v>2173</v>
      </c>
      <c r="G15" s="22" t="s">
        <v>2908</v>
      </c>
      <c r="I15">
        <v>1000</v>
      </c>
      <c r="K15" t="e">
        <f t="shared" si="0"/>
        <v>#VALUE!</v>
      </c>
    </row>
    <row r="16" spans="1:11" ht="28.2" thickBot="1" x14ac:dyDescent="0.3">
      <c r="A16" s="22">
        <v>15</v>
      </c>
      <c r="B16" s="22" t="s">
        <v>2382</v>
      </c>
      <c r="C16" s="22" t="s">
        <v>4264</v>
      </c>
      <c r="E16" s="22">
        <v>15</v>
      </c>
      <c r="F16" s="22" t="s">
        <v>2914</v>
      </c>
      <c r="G16" s="22" t="s">
        <v>2908</v>
      </c>
      <c r="I16">
        <v>1000</v>
      </c>
      <c r="K16" t="e">
        <f t="shared" si="0"/>
        <v>#VALUE!</v>
      </c>
    </row>
    <row r="17" spans="1:11" ht="28.2" thickBot="1" x14ac:dyDescent="0.3">
      <c r="A17" s="22">
        <v>16</v>
      </c>
      <c r="B17" s="22" t="s">
        <v>2869</v>
      </c>
      <c r="C17" s="22" t="s">
        <v>152</v>
      </c>
      <c r="E17" s="22">
        <v>16</v>
      </c>
      <c r="F17" s="22" t="s">
        <v>2029</v>
      </c>
      <c r="G17" s="22" t="s">
        <v>152</v>
      </c>
      <c r="I17">
        <v>1000</v>
      </c>
      <c r="K17" t="e">
        <f t="shared" si="0"/>
        <v>#VALUE!</v>
      </c>
    </row>
    <row r="18" spans="1:11" ht="28.2" thickBot="1" x14ac:dyDescent="0.3">
      <c r="A18" s="22">
        <v>17</v>
      </c>
      <c r="B18" s="22" t="s">
        <v>2185</v>
      </c>
      <c r="C18" s="22" t="s">
        <v>4265</v>
      </c>
      <c r="E18" s="22">
        <v>17</v>
      </c>
      <c r="F18" s="22" t="s">
        <v>2028</v>
      </c>
      <c r="G18" s="22" t="s">
        <v>152</v>
      </c>
      <c r="I18">
        <v>1000</v>
      </c>
      <c r="K18" t="e">
        <f t="shared" si="0"/>
        <v>#VALUE!</v>
      </c>
    </row>
    <row r="19" spans="1:11" ht="28.2" thickBot="1" x14ac:dyDescent="0.3">
      <c r="A19" s="22">
        <v>18</v>
      </c>
      <c r="B19" s="22" t="s">
        <v>2892</v>
      </c>
      <c r="C19" s="22" t="s">
        <v>4266</v>
      </c>
      <c r="E19" s="22">
        <v>18</v>
      </c>
      <c r="F19" s="22" t="s">
        <v>2915</v>
      </c>
      <c r="G19" s="22" t="s">
        <v>152</v>
      </c>
      <c r="I19">
        <v>1000</v>
      </c>
      <c r="K19" t="e">
        <f t="shared" si="0"/>
        <v>#VALUE!</v>
      </c>
    </row>
    <row r="20" spans="1:11" ht="28.2" thickBot="1" x14ac:dyDescent="0.3">
      <c r="A20" s="22">
        <v>19</v>
      </c>
      <c r="B20" s="22" t="s">
        <v>2020</v>
      </c>
      <c r="C20" s="22" t="s">
        <v>4267</v>
      </c>
      <c r="E20" s="22">
        <v>19</v>
      </c>
      <c r="F20" s="22" t="s">
        <v>2318</v>
      </c>
      <c r="G20" s="22" t="s">
        <v>2908</v>
      </c>
      <c r="I20">
        <v>1000</v>
      </c>
      <c r="K20" t="e">
        <f t="shared" si="0"/>
        <v>#VALUE!</v>
      </c>
    </row>
    <row r="21" spans="1:11" ht="28.2" thickBot="1" x14ac:dyDescent="0.3">
      <c r="A21" s="22">
        <v>20</v>
      </c>
      <c r="B21" s="22" t="s">
        <v>3276</v>
      </c>
      <c r="C21" s="22" t="s">
        <v>4268</v>
      </c>
      <c r="E21" s="22">
        <v>20</v>
      </c>
      <c r="F21" s="22" t="s">
        <v>2362</v>
      </c>
      <c r="G21" s="22" t="s">
        <v>2908</v>
      </c>
      <c r="I21">
        <v>1000</v>
      </c>
      <c r="K21" t="e">
        <f t="shared" si="0"/>
        <v>#VALUE!</v>
      </c>
    </row>
    <row r="22" spans="1:11" ht="28.2" thickBot="1" x14ac:dyDescent="0.3">
      <c r="A22" s="22">
        <v>21</v>
      </c>
      <c r="B22" s="22" t="s">
        <v>2026</v>
      </c>
      <c r="C22" s="22" t="s">
        <v>4269</v>
      </c>
      <c r="E22" s="22">
        <v>21</v>
      </c>
      <c r="F22" s="22" t="s">
        <v>2942</v>
      </c>
      <c r="G22" s="22" t="s">
        <v>2908</v>
      </c>
      <c r="I22">
        <v>1000</v>
      </c>
      <c r="K22" t="e">
        <f t="shared" si="0"/>
        <v>#VALUE!</v>
      </c>
    </row>
    <row r="23" spans="1:11" ht="28.2" thickBot="1" x14ac:dyDescent="0.3">
      <c r="A23" s="22">
        <v>22</v>
      </c>
      <c r="B23" s="22" t="s">
        <v>2021</v>
      </c>
      <c r="C23" s="22" t="s">
        <v>4270</v>
      </c>
      <c r="E23" s="22">
        <v>22</v>
      </c>
      <c r="F23" s="22" t="s">
        <v>3157</v>
      </c>
      <c r="G23" s="22">
        <v>8.91</v>
      </c>
      <c r="I23">
        <v>1000</v>
      </c>
      <c r="K23">
        <f t="shared" si="0"/>
        <v>8910</v>
      </c>
    </row>
    <row r="24" spans="1:11" ht="42" thickBot="1" x14ac:dyDescent="0.3">
      <c r="A24" s="22">
        <v>23</v>
      </c>
      <c r="B24" s="22" t="s">
        <v>2028</v>
      </c>
      <c r="C24" s="22" t="s">
        <v>152</v>
      </c>
      <c r="E24" s="22">
        <v>23</v>
      </c>
      <c r="F24" s="22" t="s">
        <v>2917</v>
      </c>
      <c r="G24" s="22">
        <v>1710.45</v>
      </c>
      <c r="I24">
        <v>1000</v>
      </c>
      <c r="K24">
        <f t="shared" si="0"/>
        <v>1710450</v>
      </c>
    </row>
    <row r="25" spans="1:11" ht="28.2" thickBot="1" x14ac:dyDescent="0.3">
      <c r="A25" s="22">
        <v>24</v>
      </c>
      <c r="B25" s="22" t="s">
        <v>2929</v>
      </c>
      <c r="C25" s="22" t="s">
        <v>152</v>
      </c>
      <c r="E25" s="22">
        <v>24</v>
      </c>
      <c r="F25" s="22" t="s">
        <v>2918</v>
      </c>
      <c r="G25" s="22" t="s">
        <v>2908</v>
      </c>
      <c r="I25">
        <v>1000</v>
      </c>
      <c r="K25" t="e">
        <f t="shared" si="0"/>
        <v>#VALUE!</v>
      </c>
    </row>
    <row r="26" spans="1:11" ht="28.2" thickBot="1" x14ac:dyDescent="0.3">
      <c r="A26" s="22">
        <v>25</v>
      </c>
      <c r="B26" s="22" t="s">
        <v>2024</v>
      </c>
      <c r="C26" s="22" t="s">
        <v>4271</v>
      </c>
      <c r="E26" s="22">
        <v>25</v>
      </c>
      <c r="F26" s="22" t="s">
        <v>2179</v>
      </c>
      <c r="G26" s="22" t="s">
        <v>2908</v>
      </c>
      <c r="I26">
        <v>1000</v>
      </c>
      <c r="K26" t="e">
        <f t="shared" si="0"/>
        <v>#VALUE!</v>
      </c>
    </row>
    <row r="27" spans="1:11" ht="28.2" thickBot="1" x14ac:dyDescent="0.3">
      <c r="A27" s="22">
        <v>26</v>
      </c>
      <c r="B27" s="22" t="s">
        <v>3291</v>
      </c>
      <c r="C27" s="22" t="s">
        <v>152</v>
      </c>
      <c r="E27" s="22">
        <v>26</v>
      </c>
      <c r="F27" s="22" t="s">
        <v>2943</v>
      </c>
      <c r="G27" s="22">
        <v>29.58</v>
      </c>
      <c r="I27">
        <v>1000</v>
      </c>
      <c r="K27">
        <f t="shared" si="0"/>
        <v>29580</v>
      </c>
    </row>
    <row r="28" spans="1:11" ht="28.2" thickBot="1" x14ac:dyDescent="0.3">
      <c r="A28" s="22">
        <v>27</v>
      </c>
      <c r="B28" s="22" t="s">
        <v>3296</v>
      </c>
      <c r="C28" s="22" t="s">
        <v>4272</v>
      </c>
      <c r="E28" s="22">
        <v>27</v>
      </c>
      <c r="F28" s="22" t="s">
        <v>2359</v>
      </c>
      <c r="G28" s="22">
        <v>3.87</v>
      </c>
      <c r="I28">
        <v>1000</v>
      </c>
      <c r="K28">
        <f t="shared" si="0"/>
        <v>3870</v>
      </c>
    </row>
    <row r="29" spans="1:11" ht="28.2" thickBot="1" x14ac:dyDescent="0.3">
      <c r="A29" s="22">
        <v>28</v>
      </c>
      <c r="B29" s="22" t="s">
        <v>2180</v>
      </c>
      <c r="C29" s="22" t="s">
        <v>4273</v>
      </c>
      <c r="E29" s="22">
        <v>28</v>
      </c>
      <c r="F29" s="22" t="s">
        <v>2024</v>
      </c>
      <c r="G29" s="22">
        <v>677.87</v>
      </c>
      <c r="I29">
        <v>1000</v>
      </c>
      <c r="K29">
        <f t="shared" si="0"/>
        <v>677870</v>
      </c>
    </row>
    <row r="30" spans="1:11" ht="28.2" thickBot="1" x14ac:dyDescent="0.3">
      <c r="A30" s="22">
        <v>29</v>
      </c>
      <c r="B30" s="22" t="s">
        <v>2901</v>
      </c>
      <c r="C30" s="22" t="s">
        <v>152</v>
      </c>
      <c r="E30" s="22">
        <v>29</v>
      </c>
      <c r="F30" s="22" t="s">
        <v>2892</v>
      </c>
      <c r="G30" s="22">
        <v>13.62</v>
      </c>
      <c r="I30">
        <v>1000</v>
      </c>
      <c r="K30">
        <f t="shared" si="0"/>
        <v>13620</v>
      </c>
    </row>
    <row r="31" spans="1:11" ht="28.2" thickBot="1" x14ac:dyDescent="0.3">
      <c r="A31" s="22">
        <v>30</v>
      </c>
      <c r="B31" s="22" t="s">
        <v>2174</v>
      </c>
      <c r="C31" s="22" t="s">
        <v>4274</v>
      </c>
      <c r="E31" s="22">
        <v>30</v>
      </c>
      <c r="F31" s="22" t="s">
        <v>2021</v>
      </c>
      <c r="G31" s="22">
        <v>16.86</v>
      </c>
      <c r="I31">
        <v>1000</v>
      </c>
      <c r="K31">
        <f t="shared" si="0"/>
        <v>16860</v>
      </c>
    </row>
    <row r="32" spans="1:11" ht="14.4" thickBot="1" x14ac:dyDescent="0.3">
      <c r="A32" s="22">
        <v>31</v>
      </c>
      <c r="B32" s="22" t="s">
        <v>2946</v>
      </c>
      <c r="C32" s="22" t="s">
        <v>152</v>
      </c>
      <c r="E32" s="22">
        <v>31</v>
      </c>
      <c r="F32" s="22" t="s">
        <v>2174</v>
      </c>
      <c r="G32" s="22">
        <v>8.9600000000000009</v>
      </c>
      <c r="I32">
        <v>1000</v>
      </c>
      <c r="K32">
        <f t="shared" si="0"/>
        <v>8960</v>
      </c>
    </row>
    <row r="33" spans="1:11" ht="28.2" thickBot="1" x14ac:dyDescent="0.3">
      <c r="A33" s="22">
        <v>32</v>
      </c>
      <c r="B33" s="22" t="s">
        <v>2022</v>
      </c>
      <c r="C33" s="22" t="s">
        <v>4275</v>
      </c>
      <c r="E33" s="22">
        <v>32</v>
      </c>
      <c r="F33" s="22" t="s">
        <v>2180</v>
      </c>
      <c r="G33" s="22">
        <v>11.23</v>
      </c>
      <c r="I33">
        <v>1000</v>
      </c>
      <c r="K33">
        <f t="shared" si="0"/>
        <v>11230</v>
      </c>
    </row>
    <row r="34" spans="1:11" ht="28.2" thickBot="1" x14ac:dyDescent="0.3">
      <c r="A34" s="22">
        <v>33</v>
      </c>
      <c r="B34" s="22" t="s">
        <v>2018</v>
      </c>
      <c r="C34" s="22" t="s">
        <v>4276</v>
      </c>
      <c r="E34" s="22">
        <v>33</v>
      </c>
      <c r="F34" s="22" t="s">
        <v>2020</v>
      </c>
      <c r="G34" s="22">
        <v>118.15</v>
      </c>
      <c r="I34">
        <v>1000</v>
      </c>
      <c r="K34">
        <f t="shared" si="0"/>
        <v>118150</v>
      </c>
    </row>
    <row r="35" spans="1:11" ht="28.2" thickBot="1" x14ac:dyDescent="0.3">
      <c r="A35" s="22">
        <v>34</v>
      </c>
      <c r="B35" s="22" t="s">
        <v>3398</v>
      </c>
      <c r="C35" s="22" t="s">
        <v>4277</v>
      </c>
      <c r="E35" s="22">
        <v>34</v>
      </c>
      <c r="F35" s="22" t="s">
        <v>2177</v>
      </c>
      <c r="G35" s="22">
        <v>586.66</v>
      </c>
      <c r="I35">
        <v>1000</v>
      </c>
      <c r="K35">
        <f t="shared" si="0"/>
        <v>586660</v>
      </c>
    </row>
    <row r="36" spans="1:11" ht="28.2" thickBot="1" x14ac:dyDescent="0.3">
      <c r="A36" s="22">
        <v>35</v>
      </c>
      <c r="B36" s="22" t="s">
        <v>2872</v>
      </c>
      <c r="C36" s="22" t="s">
        <v>4278</v>
      </c>
      <c r="E36" s="22">
        <v>35</v>
      </c>
      <c r="F36" s="22" t="s">
        <v>2175</v>
      </c>
      <c r="G36" s="22" t="s">
        <v>2908</v>
      </c>
      <c r="I36">
        <v>1000</v>
      </c>
      <c r="K36" t="e">
        <f t="shared" si="0"/>
        <v>#VALUE!</v>
      </c>
    </row>
    <row r="37" spans="1:11" ht="28.2" thickBot="1" x14ac:dyDescent="0.3">
      <c r="A37" s="22">
        <v>36</v>
      </c>
      <c r="B37" s="22" t="s">
        <v>2898</v>
      </c>
      <c r="C37" s="22" t="s">
        <v>4279</v>
      </c>
      <c r="E37" s="22">
        <v>36</v>
      </c>
      <c r="F37" s="22" t="s">
        <v>2026</v>
      </c>
      <c r="G37" s="22">
        <v>13.84</v>
      </c>
      <c r="I37">
        <v>1000</v>
      </c>
      <c r="K37">
        <f t="shared" si="0"/>
        <v>13840</v>
      </c>
    </row>
    <row r="38" spans="1:11" ht="28.2" thickBot="1" x14ac:dyDescent="0.3">
      <c r="A38" s="22">
        <v>37</v>
      </c>
      <c r="B38" s="22" t="s">
        <v>2875</v>
      </c>
      <c r="C38" s="22" t="s">
        <v>4280</v>
      </c>
      <c r="E38" s="22">
        <v>37</v>
      </c>
      <c r="F38" s="22" t="s">
        <v>2920</v>
      </c>
      <c r="G38" s="22" t="s">
        <v>2908</v>
      </c>
      <c r="I38">
        <v>1000</v>
      </c>
      <c r="K38" t="e">
        <f t="shared" si="0"/>
        <v>#VALUE!</v>
      </c>
    </row>
    <row r="39" spans="1:11" ht="28.2" thickBot="1" x14ac:dyDescent="0.3">
      <c r="A39" s="22">
        <v>38</v>
      </c>
      <c r="B39" s="22" t="s">
        <v>2857</v>
      </c>
      <c r="C39" s="22" t="s">
        <v>4281</v>
      </c>
      <c r="E39" s="22">
        <v>38</v>
      </c>
      <c r="F39" s="22" t="s">
        <v>2320</v>
      </c>
      <c r="G39" s="22">
        <v>362.06</v>
      </c>
      <c r="I39">
        <v>1000</v>
      </c>
      <c r="K39">
        <f t="shared" si="0"/>
        <v>362060</v>
      </c>
    </row>
    <row r="40" spans="1:11" ht="28.2" thickBot="1" x14ac:dyDescent="0.3">
      <c r="A40" s="22">
        <v>39</v>
      </c>
      <c r="B40" s="22" t="s">
        <v>2186</v>
      </c>
      <c r="C40" s="22" t="s">
        <v>4282</v>
      </c>
      <c r="E40" s="22">
        <v>39</v>
      </c>
      <c r="F40" s="22" t="s">
        <v>2857</v>
      </c>
      <c r="G40" s="22">
        <v>28.43</v>
      </c>
      <c r="I40">
        <v>1000</v>
      </c>
      <c r="K40">
        <f t="shared" si="0"/>
        <v>28430</v>
      </c>
    </row>
    <row r="41" spans="1:11" ht="28.2" thickBot="1" x14ac:dyDescent="0.3">
      <c r="E41" s="22">
        <v>40</v>
      </c>
      <c r="F41" s="22" t="s">
        <v>2921</v>
      </c>
      <c r="G41" s="22" t="s">
        <v>2908</v>
      </c>
      <c r="I41">
        <v>1000</v>
      </c>
      <c r="K41" t="e">
        <f t="shared" si="0"/>
        <v>#VALUE!</v>
      </c>
    </row>
    <row r="42" spans="1:11" ht="42" thickBot="1" x14ac:dyDescent="0.3">
      <c r="E42" s="22">
        <v>41</v>
      </c>
      <c r="F42" s="22" t="s">
        <v>4283</v>
      </c>
      <c r="G42" s="22">
        <v>15.18</v>
      </c>
      <c r="I42">
        <v>1000</v>
      </c>
      <c r="K42">
        <f t="shared" si="0"/>
        <v>15180</v>
      </c>
    </row>
    <row r="43" spans="1:11" ht="14.4" thickBot="1" x14ac:dyDescent="0.3">
      <c r="E43" s="22">
        <v>42</v>
      </c>
      <c r="F43" s="22" t="s">
        <v>2341</v>
      </c>
      <c r="G43" s="22" t="s">
        <v>2908</v>
      </c>
      <c r="I43">
        <v>1000</v>
      </c>
      <c r="K43" t="e">
        <f t="shared" si="0"/>
        <v>#VALUE!</v>
      </c>
    </row>
    <row r="44" spans="1:11" ht="28.2" thickBot="1" x14ac:dyDescent="0.3">
      <c r="E44" s="22">
        <v>43</v>
      </c>
      <c r="F44" s="22" t="s">
        <v>2161</v>
      </c>
      <c r="G44" s="22" t="s">
        <v>2908</v>
      </c>
      <c r="I44">
        <v>1000</v>
      </c>
      <c r="K44" t="e">
        <f t="shared" si="0"/>
        <v>#VALUE!</v>
      </c>
    </row>
    <row r="45" spans="1:11" ht="42" thickBot="1" x14ac:dyDescent="0.3">
      <c r="E45" s="22">
        <v>44</v>
      </c>
      <c r="F45" s="22" t="s">
        <v>2923</v>
      </c>
      <c r="G45" s="22" t="s">
        <v>2908</v>
      </c>
      <c r="I45">
        <v>1000</v>
      </c>
      <c r="K45" t="e">
        <f t="shared" si="0"/>
        <v>#VALUE!</v>
      </c>
    </row>
    <row r="46" spans="1:11" ht="42" thickBot="1" x14ac:dyDescent="0.3">
      <c r="E46" s="22">
        <v>45</v>
      </c>
      <c r="F46" s="22" t="s">
        <v>2924</v>
      </c>
      <c r="G46" s="22" t="s">
        <v>2908</v>
      </c>
      <c r="I46">
        <v>1000</v>
      </c>
      <c r="K46" t="e">
        <f t="shared" si="0"/>
        <v>#VALUE!</v>
      </c>
    </row>
    <row r="47" spans="1:11" ht="42" thickBot="1" x14ac:dyDescent="0.3">
      <c r="E47" s="22">
        <v>46</v>
      </c>
      <c r="F47" s="22" t="s">
        <v>2925</v>
      </c>
      <c r="G47" s="22" t="s">
        <v>2908</v>
      </c>
      <c r="I47">
        <v>1000</v>
      </c>
      <c r="K47" t="e">
        <f t="shared" si="0"/>
        <v>#VALUE!</v>
      </c>
    </row>
    <row r="48" spans="1:11" ht="28.2" thickBot="1" x14ac:dyDescent="0.3">
      <c r="E48" s="22">
        <v>47</v>
      </c>
      <c r="F48" s="22" t="s">
        <v>3159</v>
      </c>
      <c r="G48" s="22" t="s">
        <v>2908</v>
      </c>
      <c r="I48">
        <v>1000</v>
      </c>
      <c r="K48" t="e">
        <f t="shared" si="0"/>
        <v>#VALUE!</v>
      </c>
    </row>
    <row r="49" spans="5:11" ht="14.4" thickBot="1" x14ac:dyDescent="0.3">
      <c r="E49" s="22">
        <v>48</v>
      </c>
      <c r="F49" s="22" t="s">
        <v>2878</v>
      </c>
      <c r="G49" s="22" t="s">
        <v>2908</v>
      </c>
      <c r="I49">
        <v>1000</v>
      </c>
      <c r="K49" t="e">
        <f t="shared" si="0"/>
        <v>#VALUE!</v>
      </c>
    </row>
    <row r="50" spans="5:11" ht="14.4" thickBot="1" x14ac:dyDescent="0.3">
      <c r="E50" s="22">
        <v>49</v>
      </c>
      <c r="F50" s="22" t="s">
        <v>2927</v>
      </c>
      <c r="G50" s="22" t="s">
        <v>2908</v>
      </c>
      <c r="I50">
        <v>1000</v>
      </c>
      <c r="K50" t="e">
        <f t="shared" si="0"/>
        <v>#VALUE!</v>
      </c>
    </row>
    <row r="51" spans="5:11" ht="28.2" thickBot="1" x14ac:dyDescent="0.3">
      <c r="E51" s="22">
        <v>50</v>
      </c>
      <c r="F51" s="22" t="s">
        <v>2164</v>
      </c>
      <c r="G51" s="22" t="s">
        <v>2908</v>
      </c>
      <c r="I51">
        <v>1000</v>
      </c>
      <c r="K51" t="e">
        <f t="shared" si="0"/>
        <v>#VALUE!</v>
      </c>
    </row>
    <row r="52" spans="5:11" ht="28.2" thickBot="1" x14ac:dyDescent="0.3">
      <c r="E52" s="22">
        <v>51</v>
      </c>
      <c r="F52" s="22" t="s">
        <v>2170</v>
      </c>
      <c r="G52" s="22">
        <v>0.97</v>
      </c>
      <c r="I52">
        <v>1000</v>
      </c>
      <c r="K52">
        <f t="shared" si="0"/>
        <v>970</v>
      </c>
    </row>
    <row r="53" spans="5:11" ht="14.4" thickBot="1" x14ac:dyDescent="0.3">
      <c r="E53" s="22">
        <v>52</v>
      </c>
      <c r="F53" s="22" t="s">
        <v>2172</v>
      </c>
      <c r="G53" s="22" t="s">
        <v>2908</v>
      </c>
      <c r="I53">
        <v>1000</v>
      </c>
      <c r="K53" t="e">
        <f t="shared" si="0"/>
        <v>#VALUE!</v>
      </c>
    </row>
    <row r="54" spans="5:11" ht="14.4" thickBot="1" x14ac:dyDescent="0.3">
      <c r="E54" s="22">
        <v>53</v>
      </c>
      <c r="F54" s="22" t="s">
        <v>3819</v>
      </c>
      <c r="G54" s="22" t="s">
        <v>2908</v>
      </c>
      <c r="I54">
        <v>1000</v>
      </c>
      <c r="K54" t="e">
        <f t="shared" si="0"/>
        <v>#VALUE!</v>
      </c>
    </row>
    <row r="55" spans="5:11" ht="28.2" thickBot="1" x14ac:dyDescent="0.3">
      <c r="E55" s="22">
        <v>54</v>
      </c>
      <c r="F55" s="22" t="s">
        <v>2929</v>
      </c>
      <c r="G55" s="22" t="s">
        <v>152</v>
      </c>
      <c r="I55">
        <v>1000</v>
      </c>
      <c r="K55" t="e">
        <f t="shared" si="0"/>
        <v>#VALUE!</v>
      </c>
    </row>
    <row r="56" spans="5:11" ht="28.2" thickBot="1" x14ac:dyDescent="0.3">
      <c r="E56" s="22">
        <v>55</v>
      </c>
      <c r="F56" s="22" t="s">
        <v>2183</v>
      </c>
      <c r="G56" s="22" t="s">
        <v>2908</v>
      </c>
      <c r="I56">
        <v>1000</v>
      </c>
      <c r="K56" t="e">
        <f t="shared" si="0"/>
        <v>#VALUE!</v>
      </c>
    </row>
    <row r="57" spans="5:11" ht="14.4" thickBot="1" x14ac:dyDescent="0.3">
      <c r="E57" s="22">
        <v>56</v>
      </c>
      <c r="F57" s="22" t="s">
        <v>2185</v>
      </c>
      <c r="G57" s="22">
        <v>15.61</v>
      </c>
      <c r="I57">
        <v>1000</v>
      </c>
      <c r="K57">
        <f t="shared" si="0"/>
        <v>15610</v>
      </c>
    </row>
    <row r="58" spans="5:11" ht="14.4" thickBot="1" x14ac:dyDescent="0.3">
      <c r="E58" s="22">
        <v>57</v>
      </c>
      <c r="F58" s="22" t="s">
        <v>2930</v>
      </c>
      <c r="G58" s="22" t="s">
        <v>2908</v>
      </c>
      <c r="I58">
        <v>1000</v>
      </c>
      <c r="K58" t="e">
        <f t="shared" si="0"/>
        <v>#VALUE!</v>
      </c>
    </row>
    <row r="59" spans="5:11" ht="14.4" thickBot="1" x14ac:dyDescent="0.3">
      <c r="E59" s="22">
        <v>58</v>
      </c>
      <c r="F59" s="22" t="s">
        <v>2331</v>
      </c>
      <c r="G59" s="22" t="s">
        <v>2908</v>
      </c>
      <c r="I59">
        <v>1000</v>
      </c>
      <c r="K59" t="e">
        <f t="shared" si="0"/>
        <v>#VALUE!</v>
      </c>
    </row>
    <row r="60" spans="5:11" ht="28.2" thickBot="1" x14ac:dyDescent="0.3">
      <c r="E60" s="22">
        <v>59</v>
      </c>
      <c r="F60" s="22" t="s">
        <v>2337</v>
      </c>
      <c r="G60" s="22" t="s">
        <v>2908</v>
      </c>
      <c r="I60">
        <v>1000</v>
      </c>
      <c r="K60" t="e">
        <f t="shared" si="0"/>
        <v>#VALUE!</v>
      </c>
    </row>
    <row r="61" spans="5:11" ht="14.4" thickBot="1" x14ac:dyDescent="0.3">
      <c r="E61" s="22">
        <v>60</v>
      </c>
      <c r="F61" s="22" t="s">
        <v>2365</v>
      </c>
      <c r="G61" s="22" t="s">
        <v>2908</v>
      </c>
      <c r="I61">
        <v>1000</v>
      </c>
      <c r="K61" t="e">
        <f t="shared" si="0"/>
        <v>#VALUE!</v>
      </c>
    </row>
    <row r="62" spans="5:11" ht="14.4" thickBot="1" x14ac:dyDescent="0.3">
      <c r="E62" s="22">
        <v>61</v>
      </c>
      <c r="F62" s="22" t="s">
        <v>2186</v>
      </c>
      <c r="G62" s="22">
        <v>6.7</v>
      </c>
      <c r="I62">
        <v>1000</v>
      </c>
      <c r="K62">
        <f t="shared" si="0"/>
        <v>6700</v>
      </c>
    </row>
    <row r="63" spans="5:11" ht="14.4" thickBot="1" x14ac:dyDescent="0.3">
      <c r="E63" s="22">
        <v>62</v>
      </c>
      <c r="F63" s="22" t="s">
        <v>2382</v>
      </c>
      <c r="G63" s="22">
        <v>1.1399999999999999</v>
      </c>
      <c r="I63">
        <v>1000</v>
      </c>
      <c r="K63">
        <f t="shared" si="0"/>
        <v>1140</v>
      </c>
    </row>
    <row r="64" spans="5:11" ht="14.4" thickBot="1" x14ac:dyDescent="0.3">
      <c r="E64" s="22">
        <v>63</v>
      </c>
      <c r="F64" s="22" t="s">
        <v>2393</v>
      </c>
      <c r="G64" s="22" t="s">
        <v>2908</v>
      </c>
      <c r="I64">
        <v>1000</v>
      </c>
      <c r="K64" t="e">
        <f t="shared" si="0"/>
        <v>#VALUE!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7BAB-7034-49B9-BC6F-37BC1959B5E7}">
  <dimension ref="A1:J64"/>
  <sheetViews>
    <sheetView workbookViewId="0">
      <selection activeCell="J2" sqref="J2:J64"/>
    </sheetView>
  </sheetViews>
  <sheetFormatPr defaultRowHeight="13.8" x14ac:dyDescent="0.25"/>
  <sheetData>
    <row r="1" spans="1:10" ht="42" thickBot="1" x14ac:dyDescent="0.3">
      <c r="A1" s="21" t="s">
        <v>4284</v>
      </c>
      <c r="B1" s="21" t="s">
        <v>4285</v>
      </c>
      <c r="D1" s="21" t="s">
        <v>2845</v>
      </c>
      <c r="E1" s="21" t="s">
        <v>2906</v>
      </c>
      <c r="F1" s="21" t="s">
        <v>4285</v>
      </c>
    </row>
    <row r="2" spans="1:10" ht="14.4" thickBot="1" x14ac:dyDescent="0.3">
      <c r="A2" s="22" t="s">
        <v>3856</v>
      </c>
      <c r="B2" s="22">
        <v>37.909999999999997</v>
      </c>
      <c r="D2" s="22">
        <v>1</v>
      </c>
      <c r="E2" s="22" t="s">
        <v>2017</v>
      </c>
      <c r="F2" s="22">
        <v>2795.5</v>
      </c>
      <c r="H2">
        <v>1000</v>
      </c>
      <c r="J2">
        <f>F2*H2</f>
        <v>2795500</v>
      </c>
    </row>
    <row r="3" spans="1:10" ht="28.2" thickBot="1" x14ac:dyDescent="0.3">
      <c r="A3" s="22" t="s">
        <v>2022</v>
      </c>
      <c r="B3" s="22">
        <v>979.59</v>
      </c>
      <c r="D3" s="22">
        <v>2</v>
      </c>
      <c r="E3" s="22" t="s">
        <v>2162</v>
      </c>
      <c r="F3" s="22" t="s">
        <v>2908</v>
      </c>
      <c r="H3">
        <v>1000</v>
      </c>
      <c r="J3" t="e">
        <f t="shared" ref="J3:J64" si="0">F3*H3</f>
        <v>#VALUE!</v>
      </c>
    </row>
    <row r="4" spans="1:10" ht="14.4" thickBot="1" x14ac:dyDescent="0.3">
      <c r="A4" s="22" t="s">
        <v>2018</v>
      </c>
      <c r="B4" s="22">
        <v>247.34</v>
      </c>
      <c r="D4" s="22">
        <v>3</v>
      </c>
      <c r="E4" s="22" t="s">
        <v>2018</v>
      </c>
      <c r="F4" s="22">
        <v>247.34</v>
      </c>
      <c r="H4">
        <v>1000</v>
      </c>
      <c r="J4">
        <f t="shared" si="0"/>
        <v>247340</v>
      </c>
    </row>
    <row r="5" spans="1:10" ht="14.4" thickBot="1" x14ac:dyDescent="0.3">
      <c r="A5" s="22" t="s">
        <v>3392</v>
      </c>
      <c r="B5" s="22">
        <v>26.13</v>
      </c>
      <c r="D5" s="22">
        <v>4</v>
      </c>
      <c r="E5" s="22" t="s">
        <v>2022</v>
      </c>
      <c r="F5" s="22">
        <v>979.59</v>
      </c>
      <c r="H5">
        <v>1000</v>
      </c>
      <c r="J5">
        <f t="shared" si="0"/>
        <v>979590</v>
      </c>
    </row>
    <row r="6" spans="1:10" ht="14.4" thickBot="1" x14ac:dyDescent="0.3">
      <c r="A6" s="22" t="s">
        <v>2927</v>
      </c>
      <c r="B6" s="22">
        <v>1.69</v>
      </c>
      <c r="D6" s="22">
        <v>5</v>
      </c>
      <c r="E6" s="22" t="s">
        <v>2023</v>
      </c>
      <c r="F6" s="22">
        <v>26.47</v>
      </c>
      <c r="H6">
        <v>1000</v>
      </c>
      <c r="J6">
        <f t="shared" si="0"/>
        <v>26470</v>
      </c>
    </row>
    <row r="7" spans="1:10" ht="28.2" thickBot="1" x14ac:dyDescent="0.3">
      <c r="A7" s="22" t="s">
        <v>2915</v>
      </c>
      <c r="B7" s="22">
        <v>2.04</v>
      </c>
      <c r="D7" s="22">
        <v>6</v>
      </c>
      <c r="E7" s="22" t="s">
        <v>2019</v>
      </c>
      <c r="F7" s="22">
        <v>46.73</v>
      </c>
      <c r="H7">
        <v>1000</v>
      </c>
      <c r="J7">
        <f t="shared" si="0"/>
        <v>46730</v>
      </c>
    </row>
    <row r="8" spans="1:10" ht="14.4" thickBot="1" x14ac:dyDescent="0.3">
      <c r="A8" s="22" t="s">
        <v>2019</v>
      </c>
      <c r="B8" s="22">
        <v>46.73</v>
      </c>
      <c r="D8" s="22">
        <v>7</v>
      </c>
      <c r="E8" s="22" t="s">
        <v>2178</v>
      </c>
      <c r="F8" s="22">
        <v>24.59</v>
      </c>
      <c r="H8">
        <v>1000</v>
      </c>
      <c r="J8">
        <f t="shared" si="0"/>
        <v>24590</v>
      </c>
    </row>
    <row r="9" spans="1:10" ht="14.4" thickBot="1" x14ac:dyDescent="0.3">
      <c r="A9" s="22" t="s">
        <v>2017</v>
      </c>
      <c r="B9" s="22">
        <v>2795.5</v>
      </c>
      <c r="D9" s="22">
        <v>8</v>
      </c>
      <c r="E9" s="22" t="s">
        <v>2898</v>
      </c>
      <c r="F9" s="22">
        <v>1199.6300000000001</v>
      </c>
      <c r="H9">
        <v>1000</v>
      </c>
      <c r="J9">
        <f t="shared" si="0"/>
        <v>1199630</v>
      </c>
    </row>
    <row r="10" spans="1:10" ht="42" thickBot="1" x14ac:dyDescent="0.3">
      <c r="A10" s="22" t="s">
        <v>2178</v>
      </c>
      <c r="B10" s="22">
        <v>24.59</v>
      </c>
      <c r="D10" s="22">
        <v>9</v>
      </c>
      <c r="E10" s="22" t="s">
        <v>2909</v>
      </c>
      <c r="F10" s="22" t="s">
        <v>2908</v>
      </c>
      <c r="H10">
        <v>1000</v>
      </c>
      <c r="J10" t="e">
        <f t="shared" si="0"/>
        <v>#VALUE!</v>
      </c>
    </row>
    <row r="11" spans="1:10" ht="28.2" thickBot="1" x14ac:dyDescent="0.3">
      <c r="A11" s="22" t="s">
        <v>2898</v>
      </c>
      <c r="B11" s="22">
        <v>1199.6300000000001</v>
      </c>
      <c r="D11" s="22">
        <v>10</v>
      </c>
      <c r="E11" s="22" t="s">
        <v>2166</v>
      </c>
      <c r="F11" s="22" t="s">
        <v>2908</v>
      </c>
      <c r="H11">
        <v>1000</v>
      </c>
      <c r="J11" t="e">
        <f t="shared" si="0"/>
        <v>#VALUE!</v>
      </c>
    </row>
    <row r="12" spans="1:10" ht="28.2" thickBot="1" x14ac:dyDescent="0.3">
      <c r="A12" s="22" t="s">
        <v>2023</v>
      </c>
      <c r="B12" s="22">
        <v>26.47</v>
      </c>
      <c r="D12" s="22">
        <v>11</v>
      </c>
      <c r="E12" s="22" t="s">
        <v>2911</v>
      </c>
      <c r="F12" s="22" t="s">
        <v>2908</v>
      </c>
      <c r="H12">
        <v>1000</v>
      </c>
      <c r="J12" t="e">
        <f t="shared" si="0"/>
        <v>#VALUE!</v>
      </c>
    </row>
    <row r="13" spans="1:10" ht="28.2" thickBot="1" x14ac:dyDescent="0.3">
      <c r="A13" s="22" t="s">
        <v>2382</v>
      </c>
      <c r="B13" s="22">
        <v>8.68</v>
      </c>
      <c r="D13" s="22">
        <v>12</v>
      </c>
      <c r="E13" s="22" t="s">
        <v>2957</v>
      </c>
      <c r="F13" s="22" t="s">
        <v>2908</v>
      </c>
      <c r="H13">
        <v>1000</v>
      </c>
      <c r="J13" t="e">
        <f t="shared" si="0"/>
        <v>#VALUE!</v>
      </c>
    </row>
    <row r="14" spans="1:10" ht="28.2" thickBot="1" x14ac:dyDescent="0.3">
      <c r="A14" s="22" t="s">
        <v>3247</v>
      </c>
      <c r="B14" s="22">
        <v>8.4</v>
      </c>
      <c r="D14" s="22">
        <v>13</v>
      </c>
      <c r="E14" s="22" t="s">
        <v>2913</v>
      </c>
      <c r="F14" s="22" t="s">
        <v>2908</v>
      </c>
      <c r="H14">
        <v>1000</v>
      </c>
      <c r="J14" t="e">
        <f t="shared" si="0"/>
        <v>#VALUE!</v>
      </c>
    </row>
    <row r="15" spans="1:10" ht="28.2" thickBot="1" x14ac:dyDescent="0.3">
      <c r="A15" s="22" t="s">
        <v>2318</v>
      </c>
      <c r="B15" s="22">
        <v>31.2</v>
      </c>
      <c r="D15" s="22">
        <v>14</v>
      </c>
      <c r="E15" s="22" t="s">
        <v>2173</v>
      </c>
      <c r="F15" s="22" t="s">
        <v>2908</v>
      </c>
      <c r="H15">
        <v>1000</v>
      </c>
      <c r="J15" t="e">
        <f t="shared" si="0"/>
        <v>#VALUE!</v>
      </c>
    </row>
    <row r="16" spans="1:10" ht="14.4" thickBot="1" x14ac:dyDescent="0.3">
      <c r="A16" s="22" t="s">
        <v>3440</v>
      </c>
      <c r="B16" s="22">
        <v>58.92</v>
      </c>
      <c r="D16" s="22">
        <v>15</v>
      </c>
      <c r="E16" s="22" t="s">
        <v>2914</v>
      </c>
      <c r="F16" s="22" t="s">
        <v>2908</v>
      </c>
      <c r="H16">
        <v>1000</v>
      </c>
      <c r="J16" t="e">
        <f t="shared" si="0"/>
        <v>#VALUE!</v>
      </c>
    </row>
    <row r="17" spans="1:10" ht="28.2" thickBot="1" x14ac:dyDescent="0.3">
      <c r="A17" s="22" t="s">
        <v>2177</v>
      </c>
      <c r="B17" s="22">
        <v>524.92999999999995</v>
      </c>
      <c r="D17" s="22">
        <v>16</v>
      </c>
      <c r="E17" s="22" t="s">
        <v>2029</v>
      </c>
      <c r="F17" s="22" t="s">
        <v>2908</v>
      </c>
      <c r="H17">
        <v>1000</v>
      </c>
      <c r="J17" t="e">
        <f t="shared" si="0"/>
        <v>#VALUE!</v>
      </c>
    </row>
    <row r="18" spans="1:10" ht="28.2" thickBot="1" x14ac:dyDescent="0.3">
      <c r="A18" s="22" t="s">
        <v>2185</v>
      </c>
      <c r="B18" s="22">
        <v>12.08</v>
      </c>
      <c r="D18" s="22">
        <v>17</v>
      </c>
      <c r="E18" s="22" t="s">
        <v>2028</v>
      </c>
      <c r="F18" s="22" t="s">
        <v>2908</v>
      </c>
      <c r="H18">
        <v>1000</v>
      </c>
      <c r="J18" t="e">
        <f t="shared" si="0"/>
        <v>#VALUE!</v>
      </c>
    </row>
    <row r="19" spans="1:10" ht="28.2" thickBot="1" x14ac:dyDescent="0.3">
      <c r="A19" s="22" t="s">
        <v>2020</v>
      </c>
      <c r="B19" s="22">
        <v>272.08</v>
      </c>
      <c r="D19" s="22">
        <v>18</v>
      </c>
      <c r="E19" s="22" t="s">
        <v>2915</v>
      </c>
      <c r="F19" s="22">
        <v>2.04</v>
      </c>
      <c r="H19">
        <v>1000</v>
      </c>
      <c r="J19">
        <f t="shared" si="0"/>
        <v>2040</v>
      </c>
    </row>
    <row r="20" spans="1:10" ht="28.2" thickBot="1" x14ac:dyDescent="0.3">
      <c r="A20" s="22" t="s">
        <v>2021</v>
      </c>
      <c r="B20" s="22">
        <v>2.46</v>
      </c>
      <c r="D20" s="22">
        <v>19</v>
      </c>
      <c r="E20" s="22" t="s">
        <v>2318</v>
      </c>
      <c r="F20" s="22">
        <v>31.2</v>
      </c>
      <c r="H20">
        <v>1000</v>
      </c>
      <c r="J20">
        <f t="shared" si="0"/>
        <v>31200</v>
      </c>
    </row>
    <row r="21" spans="1:10" ht="28.2" thickBot="1" x14ac:dyDescent="0.3">
      <c r="A21" s="22" t="s">
        <v>2024</v>
      </c>
      <c r="B21" s="22">
        <v>413.04</v>
      </c>
      <c r="D21" s="22">
        <v>20</v>
      </c>
      <c r="E21" s="22" t="s">
        <v>2362</v>
      </c>
      <c r="F21" s="22" t="s">
        <v>2908</v>
      </c>
      <c r="H21">
        <v>1000</v>
      </c>
      <c r="J21" t="e">
        <f t="shared" si="0"/>
        <v>#VALUE!</v>
      </c>
    </row>
    <row r="22" spans="1:10" ht="28.2" thickBot="1" x14ac:dyDescent="0.3">
      <c r="A22" s="22" t="s">
        <v>2180</v>
      </c>
      <c r="B22" s="22">
        <v>27.54</v>
      </c>
      <c r="D22" s="22">
        <v>21</v>
      </c>
      <c r="E22" s="22" t="s">
        <v>2942</v>
      </c>
      <c r="F22" s="22">
        <v>53.51</v>
      </c>
      <c r="H22">
        <v>1000</v>
      </c>
      <c r="J22">
        <f t="shared" si="0"/>
        <v>53510</v>
      </c>
    </row>
    <row r="23" spans="1:10" ht="28.2" thickBot="1" x14ac:dyDescent="0.3">
      <c r="A23" s="22" t="s">
        <v>2174</v>
      </c>
      <c r="B23" s="22">
        <v>13.32</v>
      </c>
      <c r="D23" s="22">
        <v>22</v>
      </c>
      <c r="E23" s="22" t="s">
        <v>4287</v>
      </c>
      <c r="F23" s="22">
        <v>52.78</v>
      </c>
      <c r="H23">
        <v>1000</v>
      </c>
      <c r="J23">
        <f t="shared" si="0"/>
        <v>52780</v>
      </c>
    </row>
    <row r="24" spans="1:10" ht="42" thickBot="1" x14ac:dyDescent="0.3">
      <c r="A24" s="22" t="s">
        <v>2320</v>
      </c>
      <c r="B24" s="22">
        <v>231.44</v>
      </c>
      <c r="D24" s="22">
        <v>23</v>
      </c>
      <c r="E24" s="22" t="s">
        <v>2917</v>
      </c>
      <c r="F24" s="22">
        <v>63.18</v>
      </c>
      <c r="H24">
        <v>1000</v>
      </c>
      <c r="J24">
        <f t="shared" si="0"/>
        <v>63180</v>
      </c>
    </row>
    <row r="25" spans="1:10" ht="28.2" thickBot="1" x14ac:dyDescent="0.3">
      <c r="A25" s="22" t="s">
        <v>2947</v>
      </c>
      <c r="B25" s="22">
        <v>239.63</v>
      </c>
      <c r="D25" s="22">
        <v>24</v>
      </c>
      <c r="E25" s="22" t="s">
        <v>2918</v>
      </c>
      <c r="F25" s="22" t="s">
        <v>2908</v>
      </c>
      <c r="H25">
        <v>1000</v>
      </c>
      <c r="J25" t="e">
        <f t="shared" si="0"/>
        <v>#VALUE!</v>
      </c>
    </row>
    <row r="26" spans="1:10" ht="14.4" thickBot="1" x14ac:dyDescent="0.3">
      <c r="A26" s="22" t="s">
        <v>2930</v>
      </c>
      <c r="B26" s="22">
        <v>53.45</v>
      </c>
      <c r="D26" s="22">
        <v>25</v>
      </c>
      <c r="E26" s="22" t="s">
        <v>2179</v>
      </c>
      <c r="F26" s="22" t="s">
        <v>2908</v>
      </c>
      <c r="H26">
        <v>1000</v>
      </c>
      <c r="J26" t="e">
        <f t="shared" si="0"/>
        <v>#VALUE!</v>
      </c>
    </row>
    <row r="27" spans="1:10" ht="28.2" thickBot="1" x14ac:dyDescent="0.3">
      <c r="A27" s="22" t="s">
        <v>2857</v>
      </c>
      <c r="B27" s="22">
        <v>34.090000000000003</v>
      </c>
      <c r="D27" s="22">
        <v>26</v>
      </c>
      <c r="E27" s="22" t="s">
        <v>2943</v>
      </c>
      <c r="F27" s="22">
        <v>64.33</v>
      </c>
      <c r="H27">
        <v>1000</v>
      </c>
      <c r="J27">
        <f t="shared" si="0"/>
        <v>64330</v>
      </c>
    </row>
    <row r="28" spans="1:10" ht="28.2" thickBot="1" x14ac:dyDescent="0.3">
      <c r="A28" s="22" t="s">
        <v>2922</v>
      </c>
      <c r="B28" s="22">
        <v>51.16</v>
      </c>
      <c r="D28" s="22">
        <v>27</v>
      </c>
      <c r="E28" s="22" t="s">
        <v>2359</v>
      </c>
      <c r="F28" s="22">
        <v>15.27</v>
      </c>
      <c r="H28">
        <v>1000</v>
      </c>
      <c r="J28">
        <f t="shared" si="0"/>
        <v>15270</v>
      </c>
    </row>
    <row r="29" spans="1:10" ht="14.4" thickBot="1" x14ac:dyDescent="0.3">
      <c r="A29" s="22" t="s">
        <v>2961</v>
      </c>
      <c r="B29" s="22">
        <v>96.5</v>
      </c>
      <c r="D29" s="22">
        <v>28</v>
      </c>
      <c r="E29" s="22" t="s">
        <v>2024</v>
      </c>
      <c r="F29" s="22">
        <v>413.04</v>
      </c>
      <c r="H29">
        <v>1000</v>
      </c>
      <c r="J29">
        <f t="shared" si="0"/>
        <v>413040</v>
      </c>
    </row>
    <row r="30" spans="1:10" ht="14.4" thickBot="1" x14ac:dyDescent="0.3">
      <c r="A30" s="22" t="s">
        <v>3343</v>
      </c>
      <c r="B30" s="22">
        <v>26.1</v>
      </c>
      <c r="D30" s="22">
        <v>29</v>
      </c>
      <c r="E30" s="22" t="s">
        <v>2892</v>
      </c>
      <c r="F30" s="22" t="s">
        <v>2908</v>
      </c>
      <c r="H30">
        <v>1000</v>
      </c>
      <c r="J30" t="e">
        <f t="shared" si="0"/>
        <v>#VALUE!</v>
      </c>
    </row>
    <row r="31" spans="1:10" ht="14.4" thickBot="1" x14ac:dyDescent="0.3">
      <c r="A31" s="22" t="s">
        <v>2863</v>
      </c>
      <c r="B31" s="22">
        <v>64.33</v>
      </c>
      <c r="D31" s="22">
        <v>30</v>
      </c>
      <c r="E31" s="22" t="s">
        <v>2021</v>
      </c>
      <c r="F31" s="22">
        <v>2.46</v>
      </c>
      <c r="H31">
        <v>1000</v>
      </c>
      <c r="J31">
        <f t="shared" si="0"/>
        <v>2460</v>
      </c>
    </row>
    <row r="32" spans="1:10" ht="14.4" thickBot="1" x14ac:dyDescent="0.3">
      <c r="A32" s="22" t="s">
        <v>2359</v>
      </c>
      <c r="B32" s="22">
        <v>15.27</v>
      </c>
      <c r="D32" s="22">
        <v>31</v>
      </c>
      <c r="E32" s="22" t="s">
        <v>2174</v>
      </c>
      <c r="F32" s="22">
        <v>13.32</v>
      </c>
      <c r="H32">
        <v>1000</v>
      </c>
      <c r="J32">
        <f t="shared" si="0"/>
        <v>13320</v>
      </c>
    </row>
    <row r="33" spans="1:10" ht="14.4" thickBot="1" x14ac:dyDescent="0.3">
      <c r="A33" s="22" t="s">
        <v>2866</v>
      </c>
      <c r="B33" s="22">
        <v>53.51</v>
      </c>
      <c r="D33" s="22">
        <v>32</v>
      </c>
      <c r="E33" s="22" t="s">
        <v>2180</v>
      </c>
      <c r="F33" s="22">
        <v>27.54</v>
      </c>
      <c r="H33">
        <v>1000</v>
      </c>
      <c r="J33">
        <f t="shared" si="0"/>
        <v>27540</v>
      </c>
    </row>
    <row r="34" spans="1:10" ht="28.2" thickBot="1" x14ac:dyDescent="0.3">
      <c r="A34" s="22" t="s">
        <v>2962</v>
      </c>
      <c r="B34" s="22">
        <v>5.44</v>
      </c>
      <c r="D34" s="22">
        <v>33</v>
      </c>
      <c r="E34" s="22" t="s">
        <v>2020</v>
      </c>
      <c r="F34" s="22">
        <v>272.08</v>
      </c>
      <c r="H34">
        <v>1000</v>
      </c>
      <c r="J34">
        <f t="shared" si="0"/>
        <v>272080</v>
      </c>
    </row>
    <row r="35" spans="1:10" ht="14.4" thickBot="1" x14ac:dyDescent="0.3">
      <c r="A35" s="22" t="s">
        <v>2872</v>
      </c>
      <c r="B35" s="22">
        <v>63.18</v>
      </c>
      <c r="D35" s="22">
        <v>34</v>
      </c>
      <c r="E35" s="22" t="s">
        <v>2177</v>
      </c>
      <c r="F35" s="22">
        <v>524.92999999999995</v>
      </c>
      <c r="H35">
        <v>1000</v>
      </c>
      <c r="J35">
        <f t="shared" si="0"/>
        <v>524930</v>
      </c>
    </row>
    <row r="36" spans="1:10" ht="28.2" thickBot="1" x14ac:dyDescent="0.3">
      <c r="A36" s="22" t="s">
        <v>2871</v>
      </c>
      <c r="B36" s="22">
        <v>13.98</v>
      </c>
      <c r="D36" s="22">
        <v>35</v>
      </c>
      <c r="E36" s="22" t="s">
        <v>2175</v>
      </c>
      <c r="F36" s="22" t="s">
        <v>2908</v>
      </c>
      <c r="H36">
        <v>1000</v>
      </c>
      <c r="J36" t="e">
        <f t="shared" si="0"/>
        <v>#VALUE!</v>
      </c>
    </row>
    <row r="37" spans="1:10" ht="14.4" thickBot="1" x14ac:dyDescent="0.3">
      <c r="A37" s="22" t="s">
        <v>4286</v>
      </c>
      <c r="B37" s="22">
        <v>52.78</v>
      </c>
      <c r="D37" s="22">
        <v>36</v>
      </c>
      <c r="E37" s="22" t="s">
        <v>2026</v>
      </c>
      <c r="F37" s="22" t="s">
        <v>2908</v>
      </c>
      <c r="H37">
        <v>1000</v>
      </c>
      <c r="J37" t="e">
        <f t="shared" si="0"/>
        <v>#VALUE!</v>
      </c>
    </row>
    <row r="38" spans="1:10" ht="14.4" thickBot="1" x14ac:dyDescent="0.3">
      <c r="D38" s="22">
        <v>37</v>
      </c>
      <c r="E38" s="22" t="s">
        <v>2920</v>
      </c>
      <c r="F38" s="22" t="s">
        <v>2908</v>
      </c>
      <c r="H38">
        <v>1000</v>
      </c>
      <c r="J38" t="e">
        <f t="shared" si="0"/>
        <v>#VALUE!</v>
      </c>
    </row>
    <row r="39" spans="1:10" ht="14.4" thickBot="1" x14ac:dyDescent="0.3">
      <c r="D39" s="22">
        <v>38</v>
      </c>
      <c r="E39" s="22" t="s">
        <v>2320</v>
      </c>
      <c r="F39" s="22">
        <v>231.44</v>
      </c>
      <c r="H39">
        <v>1000</v>
      </c>
      <c r="J39">
        <f t="shared" si="0"/>
        <v>231440</v>
      </c>
    </row>
    <row r="40" spans="1:10" ht="14.4" thickBot="1" x14ac:dyDescent="0.3">
      <c r="D40" s="22">
        <v>39</v>
      </c>
      <c r="E40" s="22" t="s">
        <v>2857</v>
      </c>
      <c r="F40" s="22">
        <v>34.090000000000003</v>
      </c>
      <c r="H40">
        <v>1000</v>
      </c>
      <c r="J40">
        <f t="shared" si="0"/>
        <v>34090</v>
      </c>
    </row>
    <row r="41" spans="1:10" ht="42" thickBot="1" x14ac:dyDescent="0.3">
      <c r="D41" s="22">
        <v>40</v>
      </c>
      <c r="E41" s="22" t="s">
        <v>3158</v>
      </c>
      <c r="F41" s="22">
        <v>239.63</v>
      </c>
      <c r="H41">
        <v>1000</v>
      </c>
      <c r="J41">
        <f t="shared" si="0"/>
        <v>239630</v>
      </c>
    </row>
    <row r="42" spans="1:10" ht="28.2" thickBot="1" x14ac:dyDescent="0.3">
      <c r="D42" s="22">
        <v>41</v>
      </c>
      <c r="E42" s="22" t="s">
        <v>2922</v>
      </c>
      <c r="F42" s="22">
        <v>51.16</v>
      </c>
      <c r="H42">
        <v>1000</v>
      </c>
      <c r="J42">
        <f t="shared" si="0"/>
        <v>51160</v>
      </c>
    </row>
    <row r="43" spans="1:10" ht="14.4" thickBot="1" x14ac:dyDescent="0.3">
      <c r="D43" s="22">
        <v>42</v>
      </c>
      <c r="E43" s="22" t="s">
        <v>2341</v>
      </c>
      <c r="F43" s="22" t="s">
        <v>2908</v>
      </c>
      <c r="H43">
        <v>1000</v>
      </c>
      <c r="J43" t="e">
        <f t="shared" si="0"/>
        <v>#VALUE!</v>
      </c>
    </row>
    <row r="44" spans="1:10" ht="28.2" thickBot="1" x14ac:dyDescent="0.3">
      <c r="D44" s="22">
        <v>43</v>
      </c>
      <c r="E44" s="22" t="s">
        <v>2161</v>
      </c>
      <c r="F44" s="22" t="s">
        <v>2908</v>
      </c>
      <c r="H44">
        <v>1000</v>
      </c>
      <c r="J44" t="e">
        <f t="shared" si="0"/>
        <v>#VALUE!</v>
      </c>
    </row>
    <row r="45" spans="1:10" ht="42" thickBot="1" x14ac:dyDescent="0.3">
      <c r="D45" s="22">
        <v>44</v>
      </c>
      <c r="E45" s="22" t="s">
        <v>2923</v>
      </c>
      <c r="F45" s="22" t="s">
        <v>2908</v>
      </c>
      <c r="H45">
        <v>1000</v>
      </c>
      <c r="J45" t="e">
        <f t="shared" si="0"/>
        <v>#VALUE!</v>
      </c>
    </row>
    <row r="46" spans="1:10" ht="42" thickBot="1" x14ac:dyDescent="0.3">
      <c r="D46" s="22">
        <v>45</v>
      </c>
      <c r="E46" s="22" t="s">
        <v>2924</v>
      </c>
      <c r="F46" s="22" t="s">
        <v>2908</v>
      </c>
      <c r="H46">
        <v>1000</v>
      </c>
      <c r="J46" t="e">
        <f t="shared" si="0"/>
        <v>#VALUE!</v>
      </c>
    </row>
    <row r="47" spans="1:10" ht="42" thickBot="1" x14ac:dyDescent="0.3">
      <c r="D47" s="22">
        <v>46</v>
      </c>
      <c r="E47" s="22" t="s">
        <v>2925</v>
      </c>
      <c r="F47" s="22" t="s">
        <v>2908</v>
      </c>
      <c r="H47">
        <v>1000</v>
      </c>
      <c r="J47" t="e">
        <f t="shared" si="0"/>
        <v>#VALUE!</v>
      </c>
    </row>
    <row r="48" spans="1:10" ht="28.2" thickBot="1" x14ac:dyDescent="0.3">
      <c r="D48" s="22">
        <v>47</v>
      </c>
      <c r="E48" s="22" t="s">
        <v>3159</v>
      </c>
      <c r="F48" s="22" t="s">
        <v>2908</v>
      </c>
      <c r="H48">
        <v>1000</v>
      </c>
      <c r="J48" t="e">
        <f t="shared" si="0"/>
        <v>#VALUE!</v>
      </c>
    </row>
    <row r="49" spans="4:10" ht="14.4" thickBot="1" x14ac:dyDescent="0.3">
      <c r="D49" s="22">
        <v>48</v>
      </c>
      <c r="E49" s="22" t="s">
        <v>2878</v>
      </c>
      <c r="F49" s="22" t="s">
        <v>2908</v>
      </c>
      <c r="H49">
        <v>1000</v>
      </c>
      <c r="J49" t="e">
        <f t="shared" si="0"/>
        <v>#VALUE!</v>
      </c>
    </row>
    <row r="50" spans="4:10" ht="14.4" thickBot="1" x14ac:dyDescent="0.3">
      <c r="D50" s="22">
        <v>49</v>
      </c>
      <c r="E50" s="22" t="s">
        <v>2927</v>
      </c>
      <c r="F50" s="22">
        <v>1.69</v>
      </c>
      <c r="H50">
        <v>1000</v>
      </c>
      <c r="J50">
        <f t="shared" si="0"/>
        <v>1690</v>
      </c>
    </row>
    <row r="51" spans="4:10" ht="28.2" thickBot="1" x14ac:dyDescent="0.3">
      <c r="D51" s="22">
        <v>50</v>
      </c>
      <c r="E51" s="22" t="s">
        <v>2164</v>
      </c>
      <c r="F51" s="22" t="s">
        <v>2908</v>
      </c>
      <c r="H51">
        <v>1000</v>
      </c>
      <c r="J51" t="e">
        <f t="shared" si="0"/>
        <v>#VALUE!</v>
      </c>
    </row>
    <row r="52" spans="4:10" ht="28.2" thickBot="1" x14ac:dyDescent="0.3">
      <c r="D52" s="22">
        <v>51</v>
      </c>
      <c r="E52" s="22" t="s">
        <v>2170</v>
      </c>
      <c r="F52" s="22" t="s">
        <v>2908</v>
      </c>
      <c r="H52">
        <v>1000</v>
      </c>
      <c r="J52" t="e">
        <f t="shared" si="0"/>
        <v>#VALUE!</v>
      </c>
    </row>
    <row r="53" spans="4:10" ht="14.4" thickBot="1" x14ac:dyDescent="0.3">
      <c r="D53" s="22">
        <v>52</v>
      </c>
      <c r="E53" s="22" t="s">
        <v>2172</v>
      </c>
      <c r="F53" s="22" t="s">
        <v>2908</v>
      </c>
      <c r="H53">
        <v>1000</v>
      </c>
      <c r="J53" t="e">
        <f t="shared" si="0"/>
        <v>#VALUE!</v>
      </c>
    </row>
    <row r="54" spans="4:10" ht="14.4" thickBot="1" x14ac:dyDescent="0.3">
      <c r="D54" s="22">
        <v>53</v>
      </c>
      <c r="E54" s="22" t="s">
        <v>3819</v>
      </c>
      <c r="F54" s="22" t="s">
        <v>2908</v>
      </c>
      <c r="H54">
        <v>1000</v>
      </c>
      <c r="J54" t="e">
        <f t="shared" si="0"/>
        <v>#VALUE!</v>
      </c>
    </row>
    <row r="55" spans="4:10" ht="28.2" thickBot="1" x14ac:dyDescent="0.3">
      <c r="D55" s="22">
        <v>54</v>
      </c>
      <c r="E55" s="22" t="s">
        <v>2929</v>
      </c>
      <c r="F55" s="22" t="s">
        <v>2908</v>
      </c>
      <c r="H55">
        <v>1000</v>
      </c>
      <c r="J55" t="e">
        <f t="shared" si="0"/>
        <v>#VALUE!</v>
      </c>
    </row>
    <row r="56" spans="4:10" ht="28.2" thickBot="1" x14ac:dyDescent="0.3">
      <c r="D56" s="22">
        <v>55</v>
      </c>
      <c r="E56" s="22" t="s">
        <v>2183</v>
      </c>
      <c r="F56" s="22" t="s">
        <v>2908</v>
      </c>
      <c r="H56">
        <v>1000</v>
      </c>
      <c r="J56" t="e">
        <f t="shared" si="0"/>
        <v>#VALUE!</v>
      </c>
    </row>
    <row r="57" spans="4:10" ht="14.4" thickBot="1" x14ac:dyDescent="0.3">
      <c r="D57" s="22">
        <v>56</v>
      </c>
      <c r="E57" s="22" t="s">
        <v>2185</v>
      </c>
      <c r="F57" s="22">
        <v>12.08</v>
      </c>
      <c r="H57">
        <v>1000</v>
      </c>
      <c r="J57">
        <f t="shared" si="0"/>
        <v>12080</v>
      </c>
    </row>
    <row r="58" spans="4:10" ht="14.4" thickBot="1" x14ac:dyDescent="0.3">
      <c r="D58" s="22">
        <v>57</v>
      </c>
      <c r="E58" s="22" t="s">
        <v>2930</v>
      </c>
      <c r="F58" s="22">
        <v>53.45</v>
      </c>
      <c r="H58">
        <v>1000</v>
      </c>
      <c r="J58">
        <f t="shared" si="0"/>
        <v>53450</v>
      </c>
    </row>
    <row r="59" spans="4:10" ht="14.4" thickBot="1" x14ac:dyDescent="0.3">
      <c r="D59" s="22">
        <v>58</v>
      </c>
      <c r="E59" s="22" t="s">
        <v>2331</v>
      </c>
      <c r="F59" s="22" t="s">
        <v>2908</v>
      </c>
      <c r="H59">
        <v>1000</v>
      </c>
      <c r="J59" t="e">
        <f t="shared" si="0"/>
        <v>#VALUE!</v>
      </c>
    </row>
    <row r="60" spans="4:10" ht="28.2" thickBot="1" x14ac:dyDescent="0.3">
      <c r="D60" s="22">
        <v>59</v>
      </c>
      <c r="E60" s="22" t="s">
        <v>2337</v>
      </c>
      <c r="F60" s="22" t="s">
        <v>2908</v>
      </c>
      <c r="H60">
        <v>1000</v>
      </c>
      <c r="J60" t="e">
        <f t="shared" si="0"/>
        <v>#VALUE!</v>
      </c>
    </row>
    <row r="61" spans="4:10" ht="14.4" thickBot="1" x14ac:dyDescent="0.3">
      <c r="D61" s="22">
        <v>60</v>
      </c>
      <c r="E61" s="22" t="s">
        <v>2365</v>
      </c>
      <c r="F61" s="22" t="s">
        <v>2908</v>
      </c>
      <c r="H61">
        <v>1000</v>
      </c>
      <c r="J61" t="e">
        <f t="shared" si="0"/>
        <v>#VALUE!</v>
      </c>
    </row>
    <row r="62" spans="4:10" ht="14.4" thickBot="1" x14ac:dyDescent="0.3">
      <c r="D62" s="22">
        <v>61</v>
      </c>
      <c r="E62" s="22" t="s">
        <v>2186</v>
      </c>
      <c r="F62" s="22" t="s">
        <v>2908</v>
      </c>
      <c r="H62">
        <v>1000</v>
      </c>
      <c r="J62" t="e">
        <f t="shared" si="0"/>
        <v>#VALUE!</v>
      </c>
    </row>
    <row r="63" spans="4:10" ht="14.4" thickBot="1" x14ac:dyDescent="0.3">
      <c r="D63" s="22">
        <v>62</v>
      </c>
      <c r="E63" s="22" t="s">
        <v>2382</v>
      </c>
      <c r="F63" s="22">
        <v>8.68</v>
      </c>
      <c r="H63">
        <v>1000</v>
      </c>
      <c r="J63">
        <f t="shared" si="0"/>
        <v>8680</v>
      </c>
    </row>
    <row r="64" spans="4:10" ht="14.4" thickBot="1" x14ac:dyDescent="0.3">
      <c r="D64" s="22">
        <v>63</v>
      </c>
      <c r="E64" s="22" t="s">
        <v>2393</v>
      </c>
      <c r="F64" s="22" t="s">
        <v>2908</v>
      </c>
      <c r="H64">
        <v>1000</v>
      </c>
      <c r="J64" t="e">
        <f t="shared" si="0"/>
        <v>#VALUE!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6F14-C60D-4124-9100-FFC6CF61DC9C}">
  <dimension ref="A1:J64"/>
  <sheetViews>
    <sheetView workbookViewId="0">
      <selection activeCell="J2" sqref="J2:J64"/>
    </sheetView>
  </sheetViews>
  <sheetFormatPr defaultRowHeight="13.8" x14ac:dyDescent="0.25"/>
  <sheetData>
    <row r="1" spans="1:10" ht="42" thickBot="1" x14ac:dyDescent="0.3">
      <c r="A1" s="21" t="s">
        <v>4292</v>
      </c>
      <c r="B1" s="21" t="s">
        <v>4285</v>
      </c>
      <c r="D1" s="21" t="s">
        <v>2845</v>
      </c>
      <c r="E1" s="21" t="s">
        <v>2906</v>
      </c>
      <c r="F1" s="21" t="s">
        <v>4285</v>
      </c>
    </row>
    <row r="2" spans="1:10" ht="14.4" thickBot="1" x14ac:dyDescent="0.3">
      <c r="A2" s="21" t="s">
        <v>3835</v>
      </c>
      <c r="B2" s="22"/>
      <c r="D2" s="22">
        <v>1</v>
      </c>
      <c r="E2" s="22" t="s">
        <v>2017</v>
      </c>
      <c r="F2" s="22">
        <v>2154.61</v>
      </c>
      <c r="H2">
        <v>1000</v>
      </c>
      <c r="J2">
        <f>F2*H2</f>
        <v>2154610</v>
      </c>
    </row>
    <row r="3" spans="1:10" ht="28.2" thickBot="1" x14ac:dyDescent="0.3">
      <c r="A3" s="22" t="s">
        <v>2017</v>
      </c>
      <c r="B3" s="22">
        <v>2154.61</v>
      </c>
      <c r="D3" s="22">
        <v>2</v>
      </c>
      <c r="E3" s="22" t="s">
        <v>2162</v>
      </c>
      <c r="F3" s="22" t="s">
        <v>2908</v>
      </c>
      <c r="H3">
        <v>1000</v>
      </c>
      <c r="J3" t="e">
        <f t="shared" ref="J3:J64" si="0">F3*H3</f>
        <v>#VALUE!</v>
      </c>
    </row>
    <row r="4" spans="1:10" ht="14.4" thickBot="1" x14ac:dyDescent="0.3">
      <c r="A4" s="22" t="s">
        <v>2022</v>
      </c>
      <c r="B4" s="22">
        <v>1026.04</v>
      </c>
      <c r="D4" s="22">
        <v>3</v>
      </c>
      <c r="E4" s="22" t="s">
        <v>2018</v>
      </c>
      <c r="F4" s="22">
        <v>225.46</v>
      </c>
      <c r="H4">
        <v>1000</v>
      </c>
      <c r="J4">
        <f t="shared" si="0"/>
        <v>225460</v>
      </c>
    </row>
    <row r="5" spans="1:10" ht="14.4" thickBot="1" x14ac:dyDescent="0.3">
      <c r="A5" s="22" t="s">
        <v>2018</v>
      </c>
      <c r="B5" s="22">
        <v>225.46</v>
      </c>
      <c r="D5" s="22">
        <v>4</v>
      </c>
      <c r="E5" s="22" t="s">
        <v>2022</v>
      </c>
      <c r="F5" s="22">
        <v>1026.04</v>
      </c>
      <c r="H5">
        <v>1000</v>
      </c>
      <c r="J5">
        <f t="shared" si="0"/>
        <v>1026040</v>
      </c>
    </row>
    <row r="6" spans="1:10" ht="14.4" thickBot="1" x14ac:dyDescent="0.3">
      <c r="A6" s="22" t="s">
        <v>2898</v>
      </c>
      <c r="B6" s="22">
        <v>1016.94</v>
      </c>
      <c r="D6" s="22">
        <v>5</v>
      </c>
      <c r="E6" s="22" t="s">
        <v>2023</v>
      </c>
      <c r="F6" s="22">
        <v>36.42</v>
      </c>
      <c r="H6">
        <v>1000</v>
      </c>
      <c r="J6">
        <f t="shared" si="0"/>
        <v>36420</v>
      </c>
    </row>
    <row r="7" spans="1:10" ht="14.4" thickBot="1" x14ac:dyDescent="0.3">
      <c r="A7" s="22" t="s">
        <v>2019</v>
      </c>
      <c r="B7" s="22">
        <v>32.549999999999997</v>
      </c>
      <c r="D7" s="22">
        <v>6</v>
      </c>
      <c r="E7" s="22" t="s">
        <v>2019</v>
      </c>
      <c r="F7" s="22">
        <v>32.549999999999997</v>
      </c>
      <c r="H7">
        <v>1000</v>
      </c>
      <c r="J7">
        <f t="shared" si="0"/>
        <v>32549.999999999996</v>
      </c>
    </row>
    <row r="8" spans="1:10" ht="14.4" thickBot="1" x14ac:dyDescent="0.3">
      <c r="A8" s="22" t="s">
        <v>2023</v>
      </c>
      <c r="B8" s="22">
        <v>36.42</v>
      </c>
      <c r="D8" s="22">
        <v>7</v>
      </c>
      <c r="E8" s="22" t="s">
        <v>2178</v>
      </c>
      <c r="F8" s="22">
        <v>18.23</v>
      </c>
      <c r="H8">
        <v>1000</v>
      </c>
      <c r="J8">
        <f t="shared" si="0"/>
        <v>18230</v>
      </c>
    </row>
    <row r="9" spans="1:10" ht="14.4" thickBot="1" x14ac:dyDescent="0.3">
      <c r="A9" s="22" t="s">
        <v>2178</v>
      </c>
      <c r="B9" s="22">
        <v>18.23</v>
      </c>
      <c r="D9" s="22">
        <v>8</v>
      </c>
      <c r="E9" s="22" t="s">
        <v>2898</v>
      </c>
      <c r="F9" s="22">
        <v>1016.94</v>
      </c>
      <c r="H9">
        <v>1000</v>
      </c>
      <c r="J9">
        <f t="shared" si="0"/>
        <v>1016940</v>
      </c>
    </row>
    <row r="10" spans="1:10" ht="42" thickBot="1" x14ac:dyDescent="0.3">
      <c r="A10" s="22" t="s">
        <v>2915</v>
      </c>
      <c r="B10" s="22">
        <v>2.16</v>
      </c>
      <c r="D10" s="22">
        <v>9</v>
      </c>
      <c r="E10" s="22" t="s">
        <v>2909</v>
      </c>
      <c r="F10" s="22" t="s">
        <v>2908</v>
      </c>
      <c r="H10">
        <v>1000</v>
      </c>
      <c r="J10" t="e">
        <f t="shared" si="0"/>
        <v>#VALUE!</v>
      </c>
    </row>
    <row r="11" spans="1:10" ht="28.2" thickBot="1" x14ac:dyDescent="0.3">
      <c r="A11" s="22" t="s">
        <v>2382</v>
      </c>
      <c r="B11" s="22">
        <v>4.1900000000000004</v>
      </c>
      <c r="D11" s="22">
        <v>10</v>
      </c>
      <c r="E11" s="22" t="s">
        <v>2166</v>
      </c>
      <c r="F11" s="22" t="s">
        <v>2908</v>
      </c>
      <c r="H11">
        <v>1000</v>
      </c>
      <c r="J11" t="e">
        <f t="shared" si="0"/>
        <v>#VALUE!</v>
      </c>
    </row>
    <row r="12" spans="1:10" ht="28.2" thickBot="1" x14ac:dyDescent="0.3">
      <c r="A12" s="22" t="s">
        <v>2318</v>
      </c>
      <c r="B12" s="22">
        <v>12.56</v>
      </c>
      <c r="D12" s="22">
        <v>11</v>
      </c>
      <c r="E12" s="22" t="s">
        <v>2911</v>
      </c>
      <c r="F12" s="22" t="s">
        <v>2908</v>
      </c>
      <c r="H12">
        <v>1000</v>
      </c>
      <c r="J12" t="e">
        <f t="shared" si="0"/>
        <v>#VALUE!</v>
      </c>
    </row>
    <row r="13" spans="1:10" ht="28.2" thickBot="1" x14ac:dyDescent="0.3">
      <c r="A13" s="22" t="s">
        <v>3440</v>
      </c>
      <c r="B13" s="22">
        <v>30.14</v>
      </c>
      <c r="D13" s="22">
        <v>12</v>
      </c>
      <c r="E13" s="22" t="s">
        <v>2957</v>
      </c>
      <c r="F13" s="22" t="s">
        <v>2908</v>
      </c>
      <c r="H13">
        <v>1000</v>
      </c>
      <c r="J13" t="e">
        <f t="shared" si="0"/>
        <v>#VALUE!</v>
      </c>
    </row>
    <row r="14" spans="1:10" ht="28.2" thickBot="1" x14ac:dyDescent="0.3">
      <c r="A14" s="22" t="s">
        <v>3247</v>
      </c>
      <c r="B14" s="22">
        <v>5.21</v>
      </c>
      <c r="D14" s="22">
        <v>13</v>
      </c>
      <c r="E14" s="22" t="s">
        <v>2913</v>
      </c>
      <c r="F14" s="22" t="s">
        <v>2908</v>
      </c>
      <c r="H14">
        <v>1000</v>
      </c>
      <c r="J14" t="e">
        <f t="shared" si="0"/>
        <v>#VALUE!</v>
      </c>
    </row>
    <row r="15" spans="1:10" ht="14.4" thickBot="1" x14ac:dyDescent="0.3">
      <c r="A15" s="21" t="s">
        <v>3969</v>
      </c>
      <c r="B15" s="22"/>
      <c r="D15" s="22">
        <v>14</v>
      </c>
      <c r="E15" s="22" t="s">
        <v>2173</v>
      </c>
      <c r="F15" s="22" t="s">
        <v>2908</v>
      </c>
      <c r="H15">
        <v>1000</v>
      </c>
      <c r="J15" t="e">
        <f t="shared" si="0"/>
        <v>#VALUE!</v>
      </c>
    </row>
    <row r="16" spans="1:10" ht="14.4" thickBot="1" x14ac:dyDescent="0.3">
      <c r="A16" s="22" t="s">
        <v>2024</v>
      </c>
      <c r="B16" s="22">
        <v>450.41</v>
      </c>
      <c r="D16" s="22">
        <v>15</v>
      </c>
      <c r="E16" s="22" t="s">
        <v>2914</v>
      </c>
      <c r="F16" s="22" t="s">
        <v>2908</v>
      </c>
      <c r="H16">
        <v>1000</v>
      </c>
      <c r="J16" t="e">
        <f t="shared" si="0"/>
        <v>#VALUE!</v>
      </c>
    </row>
    <row r="17" spans="1:10" ht="28.2" thickBot="1" x14ac:dyDescent="0.3">
      <c r="A17" s="22" t="s">
        <v>2177</v>
      </c>
      <c r="B17" s="22">
        <v>550.62</v>
      </c>
      <c r="D17" s="22">
        <v>16</v>
      </c>
      <c r="E17" s="22" t="s">
        <v>2029</v>
      </c>
      <c r="F17" s="22" t="s">
        <v>2908</v>
      </c>
      <c r="H17">
        <v>1000</v>
      </c>
      <c r="J17" t="e">
        <f t="shared" si="0"/>
        <v>#VALUE!</v>
      </c>
    </row>
    <row r="18" spans="1:10" ht="28.2" thickBot="1" x14ac:dyDescent="0.3">
      <c r="A18" s="22" t="s">
        <v>2020</v>
      </c>
      <c r="B18" s="22">
        <v>125.43</v>
      </c>
      <c r="D18" s="22">
        <v>17</v>
      </c>
      <c r="E18" s="22" t="s">
        <v>2028</v>
      </c>
      <c r="F18" s="22" t="s">
        <v>2908</v>
      </c>
      <c r="H18">
        <v>1000</v>
      </c>
      <c r="J18" t="e">
        <f t="shared" si="0"/>
        <v>#VALUE!</v>
      </c>
    </row>
    <row r="19" spans="1:10" ht="28.2" thickBot="1" x14ac:dyDescent="0.3">
      <c r="A19" s="22" t="s">
        <v>2021</v>
      </c>
      <c r="B19" s="22">
        <v>14.16</v>
      </c>
      <c r="D19" s="22">
        <v>18</v>
      </c>
      <c r="E19" s="22" t="s">
        <v>2915</v>
      </c>
      <c r="F19" s="22">
        <v>2.16</v>
      </c>
      <c r="H19">
        <v>1000</v>
      </c>
      <c r="J19">
        <f t="shared" si="0"/>
        <v>2160</v>
      </c>
    </row>
    <row r="20" spans="1:10" ht="28.2" thickBot="1" x14ac:dyDescent="0.3">
      <c r="A20" s="22" t="s">
        <v>2174</v>
      </c>
      <c r="B20" s="22">
        <v>8.24</v>
      </c>
      <c r="D20" s="22">
        <v>19</v>
      </c>
      <c r="E20" s="22" t="s">
        <v>2318</v>
      </c>
      <c r="F20" s="22">
        <v>12.56</v>
      </c>
      <c r="H20">
        <v>1000</v>
      </c>
      <c r="J20">
        <f t="shared" si="0"/>
        <v>12560</v>
      </c>
    </row>
    <row r="21" spans="1:10" ht="28.2" thickBot="1" x14ac:dyDescent="0.3">
      <c r="A21" s="22" t="s">
        <v>2180</v>
      </c>
      <c r="B21" s="22">
        <v>9.35</v>
      </c>
      <c r="D21" s="22">
        <v>20</v>
      </c>
      <c r="E21" s="22" t="s">
        <v>2362</v>
      </c>
      <c r="F21" s="22" t="s">
        <v>2908</v>
      </c>
      <c r="H21">
        <v>1000</v>
      </c>
      <c r="J21" t="e">
        <f t="shared" si="0"/>
        <v>#VALUE!</v>
      </c>
    </row>
    <row r="22" spans="1:10" ht="28.2" thickBot="1" x14ac:dyDescent="0.3">
      <c r="A22" s="22" t="s">
        <v>2185</v>
      </c>
      <c r="B22" s="22">
        <v>10.63</v>
      </c>
      <c r="D22" s="22">
        <v>21</v>
      </c>
      <c r="E22" s="22" t="s">
        <v>2942</v>
      </c>
      <c r="F22" s="22">
        <v>68.23</v>
      </c>
      <c r="H22">
        <v>1000</v>
      </c>
      <c r="J22">
        <f t="shared" si="0"/>
        <v>68230</v>
      </c>
    </row>
    <row r="23" spans="1:10" ht="28.2" thickBot="1" x14ac:dyDescent="0.3">
      <c r="A23" s="22" t="s">
        <v>2026</v>
      </c>
      <c r="B23" s="22">
        <v>11.24</v>
      </c>
      <c r="D23" s="22">
        <v>22</v>
      </c>
      <c r="E23" s="22" t="s">
        <v>3157</v>
      </c>
      <c r="F23" s="22">
        <v>25.46</v>
      </c>
      <c r="H23">
        <v>1000</v>
      </c>
      <c r="J23">
        <f t="shared" si="0"/>
        <v>25460</v>
      </c>
    </row>
    <row r="24" spans="1:10" ht="42" thickBot="1" x14ac:dyDescent="0.3">
      <c r="A24" s="22" t="s">
        <v>2892</v>
      </c>
      <c r="B24" s="22">
        <v>5.16</v>
      </c>
      <c r="D24" s="22">
        <v>23</v>
      </c>
      <c r="E24" s="22" t="s">
        <v>2917</v>
      </c>
      <c r="F24" s="22">
        <v>1150.46</v>
      </c>
      <c r="H24">
        <v>1000</v>
      </c>
      <c r="J24">
        <f t="shared" si="0"/>
        <v>1150460</v>
      </c>
    </row>
    <row r="25" spans="1:10" ht="28.2" thickBot="1" x14ac:dyDescent="0.3">
      <c r="A25" s="21" t="s">
        <v>3995</v>
      </c>
      <c r="B25" s="22"/>
      <c r="D25" s="22">
        <v>24</v>
      </c>
      <c r="E25" s="22" t="s">
        <v>2918</v>
      </c>
      <c r="F25" s="22" t="s">
        <v>2908</v>
      </c>
      <c r="H25">
        <v>1000</v>
      </c>
      <c r="J25" t="e">
        <f t="shared" si="0"/>
        <v>#VALUE!</v>
      </c>
    </row>
    <row r="26" spans="1:10" ht="14.4" thickBot="1" x14ac:dyDescent="0.3">
      <c r="A26" s="22" t="s">
        <v>2872</v>
      </c>
      <c r="B26" s="22">
        <v>1150.46</v>
      </c>
      <c r="D26" s="22">
        <v>25</v>
      </c>
      <c r="E26" s="22" t="s">
        <v>2179</v>
      </c>
      <c r="F26" s="22" t="s">
        <v>2908</v>
      </c>
      <c r="H26">
        <v>1000</v>
      </c>
      <c r="J26" t="e">
        <f t="shared" si="0"/>
        <v>#VALUE!</v>
      </c>
    </row>
    <row r="27" spans="1:10" ht="28.2" thickBot="1" x14ac:dyDescent="0.3">
      <c r="A27" s="22" t="s">
        <v>2863</v>
      </c>
      <c r="B27" s="22">
        <v>126.13</v>
      </c>
      <c r="D27" s="22">
        <v>26</v>
      </c>
      <c r="E27" s="22" t="s">
        <v>2943</v>
      </c>
      <c r="F27" s="22">
        <v>126.13</v>
      </c>
      <c r="H27">
        <v>1000</v>
      </c>
      <c r="J27">
        <f t="shared" si="0"/>
        <v>126130</v>
      </c>
    </row>
    <row r="28" spans="1:10" ht="14.4" thickBot="1" x14ac:dyDescent="0.3">
      <c r="A28" s="22" t="s">
        <v>2359</v>
      </c>
      <c r="B28" s="22">
        <v>15.16</v>
      </c>
      <c r="D28" s="22">
        <v>27</v>
      </c>
      <c r="E28" s="22" t="s">
        <v>2359</v>
      </c>
      <c r="F28" s="22">
        <v>15.16</v>
      </c>
      <c r="H28">
        <v>1000</v>
      </c>
      <c r="J28">
        <f t="shared" si="0"/>
        <v>15160</v>
      </c>
    </row>
    <row r="29" spans="1:10" ht="14.4" thickBot="1" x14ac:dyDescent="0.3">
      <c r="A29" s="22" t="s">
        <v>2866</v>
      </c>
      <c r="B29" s="22">
        <v>68.23</v>
      </c>
      <c r="D29" s="22">
        <v>28</v>
      </c>
      <c r="E29" s="22" t="s">
        <v>2024</v>
      </c>
      <c r="F29" s="22">
        <v>450.41</v>
      </c>
      <c r="H29">
        <v>1000</v>
      </c>
      <c r="J29">
        <f t="shared" si="0"/>
        <v>450410</v>
      </c>
    </row>
    <row r="30" spans="1:10" ht="14.4" thickBot="1" x14ac:dyDescent="0.3">
      <c r="A30" s="22" t="s">
        <v>2875</v>
      </c>
      <c r="B30" s="22">
        <v>25.46</v>
      </c>
      <c r="D30" s="22">
        <v>29</v>
      </c>
      <c r="E30" s="22" t="s">
        <v>2892</v>
      </c>
      <c r="F30" s="22">
        <v>5.16</v>
      </c>
      <c r="H30">
        <v>1000</v>
      </c>
      <c r="J30">
        <f t="shared" si="0"/>
        <v>5160</v>
      </c>
    </row>
    <row r="31" spans="1:10" ht="14.4" thickBot="1" x14ac:dyDescent="0.3">
      <c r="A31" s="22" t="s">
        <v>3343</v>
      </c>
      <c r="B31" s="22">
        <v>24.13</v>
      </c>
      <c r="D31" s="22">
        <v>30</v>
      </c>
      <c r="E31" s="22" t="s">
        <v>2021</v>
      </c>
      <c r="F31" s="22">
        <v>14.16</v>
      </c>
      <c r="H31">
        <v>1000</v>
      </c>
      <c r="J31">
        <f t="shared" si="0"/>
        <v>14160</v>
      </c>
    </row>
    <row r="32" spans="1:10" ht="28.2" thickBot="1" x14ac:dyDescent="0.3">
      <c r="A32" s="21" t="s">
        <v>4293</v>
      </c>
      <c r="B32" s="22"/>
      <c r="D32" s="22">
        <v>31</v>
      </c>
      <c r="E32" s="22" t="s">
        <v>2174</v>
      </c>
      <c r="F32" s="22">
        <v>8.24</v>
      </c>
      <c r="H32">
        <v>1000</v>
      </c>
      <c r="J32">
        <f t="shared" si="0"/>
        <v>8240</v>
      </c>
    </row>
    <row r="33" spans="1:10" ht="14.4" thickBot="1" x14ac:dyDescent="0.3">
      <c r="A33" s="22" t="s">
        <v>2947</v>
      </c>
      <c r="B33" s="22">
        <v>250.64</v>
      </c>
      <c r="D33" s="22">
        <v>32</v>
      </c>
      <c r="E33" s="22" t="s">
        <v>2180</v>
      </c>
      <c r="F33" s="22">
        <v>9.35</v>
      </c>
      <c r="H33">
        <v>1000</v>
      </c>
      <c r="J33">
        <f t="shared" si="0"/>
        <v>9350</v>
      </c>
    </row>
    <row r="34" spans="1:10" ht="14.4" thickBot="1" x14ac:dyDescent="0.3">
      <c r="A34" s="22" t="s">
        <v>2320</v>
      </c>
      <c r="B34" s="22">
        <v>115.13</v>
      </c>
      <c r="D34" s="22">
        <v>33</v>
      </c>
      <c r="E34" s="22" t="s">
        <v>2020</v>
      </c>
      <c r="F34" s="22">
        <v>125.43</v>
      </c>
      <c r="H34">
        <v>1000</v>
      </c>
      <c r="J34">
        <f t="shared" si="0"/>
        <v>125430</v>
      </c>
    </row>
    <row r="35" spans="1:10" ht="14.4" thickBot="1" x14ac:dyDescent="0.3">
      <c r="A35" s="22" t="s">
        <v>2857</v>
      </c>
      <c r="B35" s="22">
        <v>12.16</v>
      </c>
      <c r="D35" s="22">
        <v>34</v>
      </c>
      <c r="E35" s="22" t="s">
        <v>2177</v>
      </c>
      <c r="F35" s="22">
        <v>550.62</v>
      </c>
      <c r="H35">
        <v>1000</v>
      </c>
      <c r="J35">
        <f t="shared" si="0"/>
        <v>550620</v>
      </c>
    </row>
    <row r="36" spans="1:10" ht="28.2" thickBot="1" x14ac:dyDescent="0.3">
      <c r="A36" s="22" t="s">
        <v>2930</v>
      </c>
      <c r="B36" s="22">
        <v>42.16</v>
      </c>
      <c r="D36" s="22">
        <v>35</v>
      </c>
      <c r="E36" s="22" t="s">
        <v>2175</v>
      </c>
      <c r="F36" s="22" t="s">
        <v>2908</v>
      </c>
      <c r="H36">
        <v>1000</v>
      </c>
      <c r="J36" t="e">
        <f t="shared" si="0"/>
        <v>#VALUE!</v>
      </c>
    </row>
    <row r="37" spans="1:10" ht="28.2" thickBot="1" x14ac:dyDescent="0.3">
      <c r="A37" s="22" t="s">
        <v>2922</v>
      </c>
      <c r="B37" s="22">
        <v>46.12</v>
      </c>
      <c r="D37" s="22">
        <v>36</v>
      </c>
      <c r="E37" s="22" t="s">
        <v>2026</v>
      </c>
      <c r="F37" s="22">
        <v>11.24</v>
      </c>
      <c r="H37">
        <v>1000</v>
      </c>
      <c r="J37">
        <f t="shared" si="0"/>
        <v>11240</v>
      </c>
    </row>
    <row r="38" spans="1:10" ht="14.4" thickBot="1" x14ac:dyDescent="0.3">
      <c r="D38" s="22">
        <v>37</v>
      </c>
      <c r="E38" s="22" t="s">
        <v>2920</v>
      </c>
      <c r="F38" s="22" t="s">
        <v>2908</v>
      </c>
      <c r="H38">
        <v>1000</v>
      </c>
      <c r="J38" t="e">
        <f t="shared" si="0"/>
        <v>#VALUE!</v>
      </c>
    </row>
    <row r="39" spans="1:10" ht="14.4" thickBot="1" x14ac:dyDescent="0.3">
      <c r="D39" s="22">
        <v>38</v>
      </c>
      <c r="E39" s="22" t="s">
        <v>2320</v>
      </c>
      <c r="F39" s="22">
        <v>115.13</v>
      </c>
      <c r="H39">
        <v>1000</v>
      </c>
      <c r="J39">
        <f t="shared" si="0"/>
        <v>115130</v>
      </c>
    </row>
    <row r="40" spans="1:10" ht="14.4" thickBot="1" x14ac:dyDescent="0.3">
      <c r="D40" s="22">
        <v>39</v>
      </c>
      <c r="E40" s="22" t="s">
        <v>2857</v>
      </c>
      <c r="F40" s="22">
        <v>12.16</v>
      </c>
      <c r="H40">
        <v>1000</v>
      </c>
      <c r="J40">
        <f t="shared" si="0"/>
        <v>12160</v>
      </c>
    </row>
    <row r="41" spans="1:10" ht="42" thickBot="1" x14ac:dyDescent="0.3">
      <c r="D41" s="22">
        <v>40</v>
      </c>
      <c r="E41" s="22" t="s">
        <v>3158</v>
      </c>
      <c r="F41" s="22">
        <v>250.64</v>
      </c>
      <c r="H41">
        <v>1000</v>
      </c>
      <c r="J41">
        <f t="shared" si="0"/>
        <v>250640</v>
      </c>
    </row>
    <row r="42" spans="1:10" ht="28.2" thickBot="1" x14ac:dyDescent="0.3">
      <c r="D42" s="22">
        <v>41</v>
      </c>
      <c r="E42" s="22" t="s">
        <v>2922</v>
      </c>
      <c r="F42" s="22">
        <v>46.12</v>
      </c>
      <c r="H42">
        <v>1000</v>
      </c>
      <c r="J42">
        <f t="shared" si="0"/>
        <v>46120</v>
      </c>
    </row>
    <row r="43" spans="1:10" ht="14.4" thickBot="1" x14ac:dyDescent="0.3">
      <c r="D43" s="22">
        <v>42</v>
      </c>
      <c r="E43" s="22" t="s">
        <v>2341</v>
      </c>
      <c r="F43" s="22" t="s">
        <v>2908</v>
      </c>
      <c r="H43">
        <v>1000</v>
      </c>
      <c r="J43" t="e">
        <f t="shared" si="0"/>
        <v>#VALUE!</v>
      </c>
    </row>
    <row r="44" spans="1:10" ht="28.2" thickBot="1" x14ac:dyDescent="0.3">
      <c r="D44" s="22">
        <v>43</v>
      </c>
      <c r="E44" s="22" t="s">
        <v>2161</v>
      </c>
      <c r="F44" s="22" t="s">
        <v>2908</v>
      </c>
      <c r="H44">
        <v>1000</v>
      </c>
      <c r="J44" t="e">
        <f t="shared" si="0"/>
        <v>#VALUE!</v>
      </c>
    </row>
    <row r="45" spans="1:10" ht="42" thickBot="1" x14ac:dyDescent="0.3">
      <c r="D45" s="22">
        <v>44</v>
      </c>
      <c r="E45" s="22" t="s">
        <v>2923</v>
      </c>
      <c r="F45" s="22" t="s">
        <v>2908</v>
      </c>
      <c r="H45">
        <v>1000</v>
      </c>
      <c r="J45" t="e">
        <f t="shared" si="0"/>
        <v>#VALUE!</v>
      </c>
    </row>
    <row r="46" spans="1:10" ht="42" thickBot="1" x14ac:dyDescent="0.3">
      <c r="D46" s="22">
        <v>45</v>
      </c>
      <c r="E46" s="22" t="s">
        <v>2924</v>
      </c>
      <c r="F46" s="22" t="s">
        <v>2908</v>
      </c>
      <c r="H46">
        <v>1000</v>
      </c>
      <c r="J46" t="e">
        <f t="shared" si="0"/>
        <v>#VALUE!</v>
      </c>
    </row>
    <row r="47" spans="1:10" ht="42" thickBot="1" x14ac:dyDescent="0.3">
      <c r="D47" s="22">
        <v>46</v>
      </c>
      <c r="E47" s="22" t="s">
        <v>2925</v>
      </c>
      <c r="F47" s="22" t="s">
        <v>2908</v>
      </c>
      <c r="H47">
        <v>1000</v>
      </c>
      <c r="J47" t="e">
        <f t="shared" si="0"/>
        <v>#VALUE!</v>
      </c>
    </row>
    <row r="48" spans="1:10" ht="28.2" thickBot="1" x14ac:dyDescent="0.3">
      <c r="D48" s="22">
        <v>47</v>
      </c>
      <c r="E48" s="22" t="s">
        <v>3159</v>
      </c>
      <c r="F48" s="22" t="s">
        <v>2908</v>
      </c>
      <c r="H48">
        <v>1000</v>
      </c>
      <c r="J48" t="e">
        <f t="shared" si="0"/>
        <v>#VALUE!</v>
      </c>
    </row>
    <row r="49" spans="4:10" ht="14.4" thickBot="1" x14ac:dyDescent="0.3">
      <c r="D49" s="22">
        <v>48</v>
      </c>
      <c r="E49" s="22" t="s">
        <v>2878</v>
      </c>
      <c r="F49" s="22" t="s">
        <v>2908</v>
      </c>
      <c r="H49">
        <v>1000</v>
      </c>
      <c r="J49" t="e">
        <f t="shared" si="0"/>
        <v>#VALUE!</v>
      </c>
    </row>
    <row r="50" spans="4:10" ht="14.4" thickBot="1" x14ac:dyDescent="0.3">
      <c r="D50" s="22">
        <v>49</v>
      </c>
      <c r="E50" s="22" t="s">
        <v>2927</v>
      </c>
      <c r="F50" s="22" t="s">
        <v>2908</v>
      </c>
      <c r="H50">
        <v>1000</v>
      </c>
      <c r="J50" t="e">
        <f t="shared" si="0"/>
        <v>#VALUE!</v>
      </c>
    </row>
    <row r="51" spans="4:10" ht="28.2" thickBot="1" x14ac:dyDescent="0.3">
      <c r="D51" s="22">
        <v>50</v>
      </c>
      <c r="E51" s="22" t="s">
        <v>2164</v>
      </c>
      <c r="F51" s="22" t="s">
        <v>2908</v>
      </c>
      <c r="H51">
        <v>1000</v>
      </c>
      <c r="J51" t="e">
        <f t="shared" si="0"/>
        <v>#VALUE!</v>
      </c>
    </row>
    <row r="52" spans="4:10" ht="28.2" thickBot="1" x14ac:dyDescent="0.3">
      <c r="D52" s="22">
        <v>51</v>
      </c>
      <c r="E52" s="22" t="s">
        <v>2170</v>
      </c>
      <c r="F52" s="22" t="s">
        <v>2908</v>
      </c>
      <c r="H52">
        <v>1000</v>
      </c>
      <c r="J52" t="e">
        <f t="shared" si="0"/>
        <v>#VALUE!</v>
      </c>
    </row>
    <row r="53" spans="4:10" ht="14.4" thickBot="1" x14ac:dyDescent="0.3">
      <c r="D53" s="22">
        <v>52</v>
      </c>
      <c r="E53" s="22" t="s">
        <v>2172</v>
      </c>
      <c r="F53" s="22" t="s">
        <v>2908</v>
      </c>
      <c r="H53">
        <v>1000</v>
      </c>
      <c r="J53" t="e">
        <f t="shared" si="0"/>
        <v>#VALUE!</v>
      </c>
    </row>
    <row r="54" spans="4:10" ht="14.4" thickBot="1" x14ac:dyDescent="0.3">
      <c r="D54" s="22">
        <v>53</v>
      </c>
      <c r="E54" s="22" t="s">
        <v>3819</v>
      </c>
      <c r="F54" s="22" t="s">
        <v>2908</v>
      </c>
      <c r="H54">
        <v>1000</v>
      </c>
      <c r="J54" t="e">
        <f t="shared" si="0"/>
        <v>#VALUE!</v>
      </c>
    </row>
    <row r="55" spans="4:10" ht="28.2" thickBot="1" x14ac:dyDescent="0.3">
      <c r="D55" s="22">
        <v>54</v>
      </c>
      <c r="E55" s="22" t="s">
        <v>2929</v>
      </c>
      <c r="F55" s="22" t="s">
        <v>2908</v>
      </c>
      <c r="H55">
        <v>1000</v>
      </c>
      <c r="J55" t="e">
        <f t="shared" si="0"/>
        <v>#VALUE!</v>
      </c>
    </row>
    <row r="56" spans="4:10" ht="28.2" thickBot="1" x14ac:dyDescent="0.3">
      <c r="D56" s="22">
        <v>55</v>
      </c>
      <c r="E56" s="22" t="s">
        <v>2183</v>
      </c>
      <c r="F56" s="22" t="s">
        <v>2908</v>
      </c>
      <c r="H56">
        <v>1000</v>
      </c>
      <c r="J56" t="e">
        <f t="shared" si="0"/>
        <v>#VALUE!</v>
      </c>
    </row>
    <row r="57" spans="4:10" ht="14.4" thickBot="1" x14ac:dyDescent="0.3">
      <c r="D57" s="22">
        <v>56</v>
      </c>
      <c r="E57" s="22" t="s">
        <v>2185</v>
      </c>
      <c r="F57" s="22">
        <v>10.63</v>
      </c>
      <c r="H57">
        <v>1000</v>
      </c>
      <c r="J57">
        <f t="shared" si="0"/>
        <v>10630</v>
      </c>
    </row>
    <row r="58" spans="4:10" ht="14.4" thickBot="1" x14ac:dyDescent="0.3">
      <c r="D58" s="22">
        <v>57</v>
      </c>
      <c r="E58" s="22" t="s">
        <v>2930</v>
      </c>
      <c r="F58" s="22">
        <v>42.16</v>
      </c>
      <c r="H58">
        <v>1000</v>
      </c>
      <c r="J58">
        <f t="shared" si="0"/>
        <v>42160</v>
      </c>
    </row>
    <row r="59" spans="4:10" ht="14.4" thickBot="1" x14ac:dyDescent="0.3">
      <c r="D59" s="22">
        <v>58</v>
      </c>
      <c r="E59" s="22" t="s">
        <v>2331</v>
      </c>
      <c r="F59" s="22" t="s">
        <v>2908</v>
      </c>
      <c r="H59">
        <v>1000</v>
      </c>
      <c r="J59" t="e">
        <f t="shared" si="0"/>
        <v>#VALUE!</v>
      </c>
    </row>
    <row r="60" spans="4:10" ht="28.2" thickBot="1" x14ac:dyDescent="0.3">
      <c r="D60" s="22">
        <v>59</v>
      </c>
      <c r="E60" s="22" t="s">
        <v>2337</v>
      </c>
      <c r="F60" s="22" t="s">
        <v>2908</v>
      </c>
      <c r="H60">
        <v>1000</v>
      </c>
      <c r="J60" t="e">
        <f t="shared" si="0"/>
        <v>#VALUE!</v>
      </c>
    </row>
    <row r="61" spans="4:10" ht="14.4" thickBot="1" x14ac:dyDescent="0.3">
      <c r="D61" s="22">
        <v>60</v>
      </c>
      <c r="E61" s="22" t="s">
        <v>2365</v>
      </c>
      <c r="F61" s="22" t="s">
        <v>2908</v>
      </c>
      <c r="H61">
        <v>1000</v>
      </c>
      <c r="J61" t="e">
        <f t="shared" si="0"/>
        <v>#VALUE!</v>
      </c>
    </row>
    <row r="62" spans="4:10" ht="14.4" thickBot="1" x14ac:dyDescent="0.3">
      <c r="D62" s="22">
        <v>61</v>
      </c>
      <c r="E62" s="22" t="s">
        <v>2186</v>
      </c>
      <c r="F62" s="22" t="s">
        <v>2908</v>
      </c>
      <c r="H62">
        <v>1000</v>
      </c>
      <c r="J62" t="e">
        <f t="shared" si="0"/>
        <v>#VALUE!</v>
      </c>
    </row>
    <row r="63" spans="4:10" ht="14.4" thickBot="1" x14ac:dyDescent="0.3">
      <c r="D63" s="22">
        <v>62</v>
      </c>
      <c r="E63" s="22" t="s">
        <v>2382</v>
      </c>
      <c r="F63" s="22">
        <v>4.1900000000000004</v>
      </c>
      <c r="H63">
        <v>1000</v>
      </c>
      <c r="J63">
        <f t="shared" si="0"/>
        <v>4190</v>
      </c>
    </row>
    <row r="64" spans="4:10" ht="14.4" thickBot="1" x14ac:dyDescent="0.3">
      <c r="D64" s="22">
        <v>63</v>
      </c>
      <c r="E64" s="22" t="s">
        <v>2393</v>
      </c>
      <c r="F64" s="22" t="s">
        <v>2908</v>
      </c>
      <c r="H64">
        <v>1000</v>
      </c>
      <c r="J64" t="e">
        <f t="shared" si="0"/>
        <v>#VALUE!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0EBB-06C6-4840-8C65-B3C4BDDE9123}">
  <dimension ref="A1:N64"/>
  <sheetViews>
    <sheetView workbookViewId="0">
      <selection activeCell="K2" sqref="K2:N64"/>
    </sheetView>
  </sheetViews>
  <sheetFormatPr defaultRowHeight="13.8" x14ac:dyDescent="0.25"/>
  <sheetData>
    <row r="1" spans="1:14" ht="42" thickBot="1" x14ac:dyDescent="0.3">
      <c r="A1" s="21" t="s">
        <v>2845</v>
      </c>
      <c r="B1" s="21" t="s">
        <v>4294</v>
      </c>
      <c r="C1" s="21" t="s">
        <v>4295</v>
      </c>
      <c r="D1" s="21" t="s">
        <v>4296</v>
      </c>
      <c r="E1" s="21" t="s">
        <v>4297</v>
      </c>
      <c r="F1" s="21" t="s">
        <v>4298</v>
      </c>
      <c r="G1" s="21" t="s">
        <v>6413</v>
      </c>
      <c r="I1" s="21" t="s">
        <v>2845</v>
      </c>
      <c r="J1" s="21" t="s">
        <v>2906</v>
      </c>
      <c r="K1" s="21" t="s">
        <v>1049</v>
      </c>
      <c r="L1" s="21" t="s">
        <v>1050</v>
      </c>
      <c r="M1" s="21" t="s">
        <v>1051</v>
      </c>
      <c r="N1" s="21" t="s">
        <v>4308</v>
      </c>
    </row>
    <row r="2" spans="1:14" ht="14.4" thickBot="1" x14ac:dyDescent="0.3">
      <c r="A2" s="21" t="s">
        <v>2941</v>
      </c>
      <c r="B2" s="22"/>
      <c r="C2" s="22"/>
      <c r="D2" s="22"/>
      <c r="E2" s="22"/>
      <c r="F2" s="22"/>
      <c r="G2" s="22"/>
      <c r="I2" s="22">
        <v>1</v>
      </c>
      <c r="J2" s="22" t="s">
        <v>2017</v>
      </c>
      <c r="K2" s="22">
        <v>1299600</v>
      </c>
      <c r="L2" s="22">
        <v>1304400</v>
      </c>
      <c r="M2" s="22">
        <v>402800</v>
      </c>
      <c r="N2" s="22">
        <v>609000</v>
      </c>
    </row>
    <row r="3" spans="1:14" ht="28.2" thickBot="1" x14ac:dyDescent="0.3">
      <c r="A3" s="22">
        <v>1</v>
      </c>
      <c r="B3" s="22" t="s">
        <v>2961</v>
      </c>
      <c r="C3" s="22">
        <v>136.62</v>
      </c>
      <c r="D3" s="22">
        <v>171300</v>
      </c>
      <c r="E3" s="22">
        <v>91400</v>
      </c>
      <c r="F3" s="22">
        <v>67000</v>
      </c>
      <c r="G3" s="22">
        <v>50900</v>
      </c>
      <c r="I3" s="22">
        <v>2</v>
      </c>
      <c r="J3" s="22" t="s">
        <v>2162</v>
      </c>
      <c r="K3" s="22" t="s">
        <v>2908</v>
      </c>
      <c r="L3" s="22" t="s">
        <v>2908</v>
      </c>
      <c r="M3" s="22" t="s">
        <v>2908</v>
      </c>
      <c r="N3" s="22" t="s">
        <v>2908</v>
      </c>
    </row>
    <row r="4" spans="1:14" ht="14.4" thickBot="1" x14ac:dyDescent="0.3">
      <c r="A4" s="22">
        <v>2</v>
      </c>
      <c r="B4" s="22" t="s">
        <v>2863</v>
      </c>
      <c r="C4" s="22">
        <v>123.24</v>
      </c>
      <c r="D4" s="22">
        <v>397800</v>
      </c>
      <c r="E4" s="22">
        <v>434900</v>
      </c>
      <c r="F4" s="22">
        <v>90400</v>
      </c>
      <c r="G4" s="22">
        <v>470100</v>
      </c>
      <c r="I4" s="22">
        <v>3</v>
      </c>
      <c r="J4" s="22" t="s">
        <v>2018</v>
      </c>
      <c r="K4" s="22">
        <v>95000</v>
      </c>
      <c r="L4" s="22">
        <v>124900</v>
      </c>
      <c r="M4" s="22">
        <v>68900</v>
      </c>
      <c r="N4" s="22">
        <v>74000</v>
      </c>
    </row>
    <row r="5" spans="1:14" ht="14.4" thickBot="1" x14ac:dyDescent="0.3">
      <c r="A5" s="22">
        <v>3</v>
      </c>
      <c r="B5" s="22" t="s">
        <v>2868</v>
      </c>
      <c r="C5" s="22">
        <v>81.47</v>
      </c>
      <c r="D5" s="22">
        <v>83600</v>
      </c>
      <c r="E5" s="22">
        <v>60900</v>
      </c>
      <c r="F5" s="22">
        <v>21800</v>
      </c>
      <c r="G5" s="22">
        <v>39200</v>
      </c>
      <c r="I5" s="22">
        <v>4</v>
      </c>
      <c r="J5" s="22" t="s">
        <v>2022</v>
      </c>
      <c r="K5" s="22">
        <v>770900</v>
      </c>
      <c r="L5" s="22">
        <v>805500</v>
      </c>
      <c r="M5" s="22">
        <v>228600</v>
      </c>
      <c r="N5" s="22">
        <v>632500</v>
      </c>
    </row>
    <row r="6" spans="1:14" ht="14.4" thickBot="1" x14ac:dyDescent="0.3">
      <c r="A6" s="22">
        <v>4</v>
      </c>
      <c r="B6" s="22" t="s">
        <v>2359</v>
      </c>
      <c r="C6" s="22">
        <v>44.54</v>
      </c>
      <c r="D6" s="22">
        <v>63400</v>
      </c>
      <c r="E6" s="22">
        <v>82800</v>
      </c>
      <c r="F6" s="22">
        <v>53800</v>
      </c>
      <c r="G6" s="22">
        <v>54600</v>
      </c>
      <c r="I6" s="22">
        <v>5</v>
      </c>
      <c r="J6" s="22" t="s">
        <v>2023</v>
      </c>
      <c r="K6" s="22">
        <v>9600</v>
      </c>
      <c r="L6" s="22">
        <v>20700</v>
      </c>
      <c r="M6" s="22">
        <v>0</v>
      </c>
      <c r="N6" s="22">
        <v>0</v>
      </c>
    </row>
    <row r="7" spans="1:14" ht="14.4" thickBot="1" x14ac:dyDescent="0.3">
      <c r="A7" s="22">
        <v>5</v>
      </c>
      <c r="B7" s="22" t="s">
        <v>2866</v>
      </c>
      <c r="C7" s="22">
        <v>108.94</v>
      </c>
      <c r="D7" s="22">
        <v>305700</v>
      </c>
      <c r="E7" s="22">
        <v>65400</v>
      </c>
      <c r="F7" s="22">
        <v>74400</v>
      </c>
      <c r="G7" s="22">
        <v>52300</v>
      </c>
      <c r="I7" s="22">
        <v>6</v>
      </c>
      <c r="J7" s="22" t="s">
        <v>2019</v>
      </c>
      <c r="K7" s="22">
        <v>64000</v>
      </c>
      <c r="L7" s="22">
        <v>34200</v>
      </c>
      <c r="M7" s="22">
        <v>54100</v>
      </c>
      <c r="N7" s="22">
        <v>35100</v>
      </c>
    </row>
    <row r="8" spans="1:14" ht="14.4" thickBot="1" x14ac:dyDescent="0.3">
      <c r="A8" s="22">
        <v>6</v>
      </c>
      <c r="B8" s="22" t="s">
        <v>2872</v>
      </c>
      <c r="C8" s="22">
        <v>117.97</v>
      </c>
      <c r="D8" s="22">
        <v>128100</v>
      </c>
      <c r="E8" s="22">
        <v>148700</v>
      </c>
      <c r="F8" s="22">
        <v>143600</v>
      </c>
      <c r="G8" s="22">
        <v>54600</v>
      </c>
      <c r="I8" s="22">
        <v>7</v>
      </c>
      <c r="J8" s="22" t="s">
        <v>2178</v>
      </c>
      <c r="K8" s="22">
        <v>41100</v>
      </c>
      <c r="L8" s="22">
        <v>22500</v>
      </c>
      <c r="M8" s="22">
        <v>0</v>
      </c>
      <c r="N8" s="22">
        <v>9100</v>
      </c>
    </row>
    <row r="9" spans="1:14" ht="28.2" thickBot="1" x14ac:dyDescent="0.3">
      <c r="A9" s="22">
        <v>7</v>
      </c>
      <c r="B9" s="22" t="s">
        <v>4299</v>
      </c>
      <c r="C9" s="22" t="s">
        <v>2908</v>
      </c>
      <c r="D9" s="22">
        <v>29100</v>
      </c>
      <c r="E9" s="22">
        <v>34600</v>
      </c>
      <c r="F9" s="22">
        <v>37300</v>
      </c>
      <c r="G9" s="22">
        <v>32500</v>
      </c>
      <c r="I9" s="22">
        <v>8</v>
      </c>
      <c r="J9" s="22" t="s">
        <v>2898</v>
      </c>
      <c r="K9" s="22">
        <v>1144000</v>
      </c>
      <c r="L9" s="22">
        <v>374900</v>
      </c>
      <c r="M9" s="22">
        <v>543300</v>
      </c>
      <c r="N9" s="22">
        <v>408200</v>
      </c>
    </row>
    <row r="10" spans="1:14" ht="42" thickBot="1" x14ac:dyDescent="0.3">
      <c r="A10" s="22">
        <v>8</v>
      </c>
      <c r="B10" s="22" t="s">
        <v>2871</v>
      </c>
      <c r="C10" s="22">
        <v>19.91</v>
      </c>
      <c r="D10" s="22">
        <v>20600</v>
      </c>
      <c r="E10" s="22">
        <v>4100</v>
      </c>
      <c r="F10" s="22">
        <v>0</v>
      </c>
      <c r="G10" s="22">
        <v>4200</v>
      </c>
      <c r="I10" s="22">
        <v>9</v>
      </c>
      <c r="J10" s="22" t="s">
        <v>2909</v>
      </c>
      <c r="K10" s="22" t="s">
        <v>2908</v>
      </c>
      <c r="L10" s="22" t="s">
        <v>2908</v>
      </c>
      <c r="M10" s="22" t="s">
        <v>2908</v>
      </c>
      <c r="N10" s="22" t="s">
        <v>2908</v>
      </c>
    </row>
    <row r="11" spans="1:14" ht="28.2" thickBot="1" x14ac:dyDescent="0.3">
      <c r="A11" s="22">
        <v>9</v>
      </c>
      <c r="B11" s="22" t="s">
        <v>2875</v>
      </c>
      <c r="C11" s="22">
        <v>63.8</v>
      </c>
      <c r="D11" s="22">
        <v>92100</v>
      </c>
      <c r="E11" s="22">
        <v>37600</v>
      </c>
      <c r="F11" s="22">
        <v>0</v>
      </c>
      <c r="G11" s="22">
        <v>0</v>
      </c>
      <c r="I11" s="22">
        <v>10</v>
      </c>
      <c r="J11" s="22" t="s">
        <v>2166</v>
      </c>
      <c r="K11" s="22" t="s">
        <v>2908</v>
      </c>
      <c r="L11" s="22" t="s">
        <v>2908</v>
      </c>
      <c r="M11" s="22" t="s">
        <v>2908</v>
      </c>
      <c r="N11" s="22" t="s">
        <v>2908</v>
      </c>
    </row>
    <row r="12" spans="1:14" ht="28.2" thickBot="1" x14ac:dyDescent="0.3">
      <c r="A12" s="21" t="s">
        <v>2940</v>
      </c>
      <c r="B12" s="22"/>
      <c r="C12" s="22"/>
      <c r="D12" s="22"/>
      <c r="E12" s="22"/>
      <c r="F12" s="22"/>
      <c r="G12" s="22"/>
      <c r="I12" s="22">
        <v>11</v>
      </c>
      <c r="J12" s="22" t="s">
        <v>2911</v>
      </c>
      <c r="K12" s="22" t="s">
        <v>2908</v>
      </c>
      <c r="L12" s="22" t="s">
        <v>2908</v>
      </c>
      <c r="M12" s="22" t="s">
        <v>2908</v>
      </c>
      <c r="N12" s="22" t="s">
        <v>2908</v>
      </c>
    </row>
    <row r="13" spans="1:14" ht="28.2" thickBot="1" x14ac:dyDescent="0.3">
      <c r="A13" s="22">
        <v>10</v>
      </c>
      <c r="B13" s="22" t="s">
        <v>2022</v>
      </c>
      <c r="C13" s="22">
        <v>652.19000000000005</v>
      </c>
      <c r="D13" s="22">
        <v>770900</v>
      </c>
      <c r="E13" s="22">
        <v>805500</v>
      </c>
      <c r="F13" s="22">
        <v>228600</v>
      </c>
      <c r="G13" s="22">
        <v>632500</v>
      </c>
      <c r="I13" s="22">
        <v>12</v>
      </c>
      <c r="J13" s="22" t="s">
        <v>2957</v>
      </c>
      <c r="K13" s="22" t="s">
        <v>2908</v>
      </c>
      <c r="L13" s="22" t="s">
        <v>2908</v>
      </c>
      <c r="M13" s="22" t="s">
        <v>2908</v>
      </c>
      <c r="N13" s="22" t="s">
        <v>2908</v>
      </c>
    </row>
    <row r="14" spans="1:14" ht="14.4" thickBot="1" x14ac:dyDescent="0.3">
      <c r="A14" s="22">
        <v>11</v>
      </c>
      <c r="B14" s="22" t="s">
        <v>3392</v>
      </c>
      <c r="C14" s="22">
        <v>18.350000000000001</v>
      </c>
      <c r="D14" s="22">
        <v>0</v>
      </c>
      <c r="E14" s="22">
        <v>17000</v>
      </c>
      <c r="F14" s="22">
        <v>0</v>
      </c>
      <c r="G14" s="22">
        <v>10900</v>
      </c>
      <c r="I14" s="22">
        <v>13</v>
      </c>
      <c r="J14" s="22" t="s">
        <v>2913</v>
      </c>
      <c r="K14" s="22" t="s">
        <v>2908</v>
      </c>
      <c r="L14" s="22" t="s">
        <v>2908</v>
      </c>
      <c r="M14" s="22" t="s">
        <v>2908</v>
      </c>
      <c r="N14" s="22" t="s">
        <v>2908</v>
      </c>
    </row>
    <row r="15" spans="1:14" ht="14.4" thickBot="1" x14ac:dyDescent="0.3">
      <c r="A15" s="22">
        <v>12</v>
      </c>
      <c r="B15" s="22" t="s">
        <v>2018</v>
      </c>
      <c r="C15" s="22">
        <v>237.08</v>
      </c>
      <c r="D15" s="22">
        <v>95000</v>
      </c>
      <c r="E15" s="22">
        <v>124900</v>
      </c>
      <c r="F15" s="22">
        <v>68900</v>
      </c>
      <c r="G15" s="22">
        <v>74000</v>
      </c>
      <c r="I15" s="22">
        <v>14</v>
      </c>
      <c r="J15" s="22" t="s">
        <v>2173</v>
      </c>
      <c r="K15" s="22" t="s">
        <v>2908</v>
      </c>
      <c r="L15" s="22" t="s">
        <v>2908</v>
      </c>
      <c r="M15" s="22" t="s">
        <v>2908</v>
      </c>
      <c r="N15" s="22" t="s">
        <v>2908</v>
      </c>
    </row>
    <row r="16" spans="1:14" ht="14.4" thickBot="1" x14ac:dyDescent="0.3">
      <c r="A16" s="22">
        <v>13</v>
      </c>
      <c r="B16" s="22" t="s">
        <v>2898</v>
      </c>
      <c r="C16" s="22">
        <v>534.19000000000005</v>
      </c>
      <c r="D16" s="22">
        <v>1144000</v>
      </c>
      <c r="E16" s="22">
        <v>374900</v>
      </c>
      <c r="F16" s="22">
        <v>543300</v>
      </c>
      <c r="G16" s="22">
        <v>408200</v>
      </c>
      <c r="I16" s="22">
        <v>15</v>
      </c>
      <c r="J16" s="22" t="s">
        <v>2914</v>
      </c>
      <c r="K16" s="22" t="s">
        <v>2908</v>
      </c>
      <c r="L16" s="22" t="s">
        <v>2908</v>
      </c>
      <c r="M16" s="22" t="s">
        <v>2908</v>
      </c>
      <c r="N16" s="22" t="s">
        <v>2908</v>
      </c>
    </row>
    <row r="17" spans="1:14" ht="28.2" thickBot="1" x14ac:dyDescent="0.3">
      <c r="A17" s="22">
        <v>14</v>
      </c>
      <c r="B17" s="22" t="s">
        <v>2019</v>
      </c>
      <c r="C17" s="22">
        <v>34.64</v>
      </c>
      <c r="D17" s="22">
        <v>64000</v>
      </c>
      <c r="E17" s="22">
        <v>34200</v>
      </c>
      <c r="F17" s="22">
        <v>54100</v>
      </c>
      <c r="G17" s="22">
        <v>35100</v>
      </c>
      <c r="I17" s="22">
        <v>16</v>
      </c>
      <c r="J17" s="22" t="s">
        <v>2029</v>
      </c>
      <c r="K17" s="22" t="s">
        <v>2908</v>
      </c>
      <c r="L17" s="22" t="s">
        <v>2908</v>
      </c>
      <c r="M17" s="22" t="s">
        <v>2908</v>
      </c>
      <c r="N17" s="22" t="s">
        <v>2908</v>
      </c>
    </row>
    <row r="18" spans="1:14" ht="28.2" thickBot="1" x14ac:dyDescent="0.3">
      <c r="A18" s="22">
        <v>15</v>
      </c>
      <c r="B18" s="22" t="s">
        <v>2897</v>
      </c>
      <c r="C18" s="22">
        <v>430.47</v>
      </c>
      <c r="D18" s="22">
        <v>1299600</v>
      </c>
      <c r="E18" s="22">
        <v>1304400</v>
      </c>
      <c r="F18" s="22">
        <v>402800</v>
      </c>
      <c r="G18" s="22">
        <v>609000</v>
      </c>
      <c r="I18" s="22">
        <v>17</v>
      </c>
      <c r="J18" s="22" t="s">
        <v>2028</v>
      </c>
      <c r="K18" s="22" t="s">
        <v>2908</v>
      </c>
      <c r="L18" s="22" t="s">
        <v>2908</v>
      </c>
      <c r="M18" s="22" t="s">
        <v>2908</v>
      </c>
      <c r="N18" s="22" t="s">
        <v>2908</v>
      </c>
    </row>
    <row r="19" spans="1:14" ht="28.2" thickBot="1" x14ac:dyDescent="0.3">
      <c r="A19" s="22">
        <v>16</v>
      </c>
      <c r="B19" s="22" t="s">
        <v>2178</v>
      </c>
      <c r="C19" s="22">
        <v>173.62</v>
      </c>
      <c r="D19" s="22">
        <v>41100</v>
      </c>
      <c r="E19" s="22">
        <v>22500</v>
      </c>
      <c r="F19" s="22">
        <v>0</v>
      </c>
      <c r="G19" s="22">
        <v>9100</v>
      </c>
      <c r="I19" s="22">
        <v>18</v>
      </c>
      <c r="J19" s="22" t="s">
        <v>2915</v>
      </c>
      <c r="K19" s="22" t="s">
        <v>2908</v>
      </c>
      <c r="L19" s="22" t="s">
        <v>2908</v>
      </c>
      <c r="M19" s="22" t="s">
        <v>2908</v>
      </c>
      <c r="N19" s="22" t="s">
        <v>2908</v>
      </c>
    </row>
    <row r="20" spans="1:14" ht="28.2" thickBot="1" x14ac:dyDescent="0.3">
      <c r="A20" s="22">
        <v>17</v>
      </c>
      <c r="B20" s="22" t="s">
        <v>2023</v>
      </c>
      <c r="C20" s="22">
        <v>167.83</v>
      </c>
      <c r="D20" s="22">
        <v>9600</v>
      </c>
      <c r="E20" s="22">
        <v>20700</v>
      </c>
      <c r="F20" s="22">
        <v>0</v>
      </c>
      <c r="G20" s="22">
        <v>0</v>
      </c>
      <c r="I20" s="22">
        <v>19</v>
      </c>
      <c r="J20" s="22" t="s">
        <v>2318</v>
      </c>
      <c r="K20" s="22" t="s">
        <v>2908</v>
      </c>
      <c r="L20" s="22" t="s">
        <v>2908</v>
      </c>
      <c r="M20" s="22" t="s">
        <v>2908</v>
      </c>
      <c r="N20" s="22" t="s">
        <v>2908</v>
      </c>
    </row>
    <row r="21" spans="1:14" ht="28.2" thickBot="1" x14ac:dyDescent="0.3">
      <c r="A21" s="22">
        <v>18</v>
      </c>
      <c r="B21" s="22" t="s">
        <v>4300</v>
      </c>
      <c r="C21" s="22" t="s">
        <v>2908</v>
      </c>
      <c r="D21" s="22">
        <v>66700</v>
      </c>
      <c r="E21" s="22">
        <v>0</v>
      </c>
      <c r="F21" s="22">
        <v>0</v>
      </c>
      <c r="G21" s="22">
        <v>15800</v>
      </c>
      <c r="I21" s="22">
        <v>20</v>
      </c>
      <c r="J21" s="22" t="s">
        <v>2362</v>
      </c>
      <c r="K21" s="22" t="s">
        <v>2908</v>
      </c>
      <c r="L21" s="22" t="s">
        <v>2908</v>
      </c>
      <c r="M21" s="22" t="s">
        <v>2908</v>
      </c>
      <c r="N21" s="22" t="s">
        <v>2908</v>
      </c>
    </row>
    <row r="22" spans="1:14" ht="28.2" thickBot="1" x14ac:dyDescent="0.3">
      <c r="A22" s="22">
        <v>19</v>
      </c>
      <c r="B22" s="22" t="s">
        <v>2915</v>
      </c>
      <c r="C22" s="22">
        <v>17.510000000000002</v>
      </c>
      <c r="D22" s="22" t="s">
        <v>2908</v>
      </c>
      <c r="E22" s="22" t="s">
        <v>2908</v>
      </c>
      <c r="F22" s="22" t="s">
        <v>2908</v>
      </c>
      <c r="G22" s="22" t="s">
        <v>2908</v>
      </c>
      <c r="I22" s="22">
        <v>21</v>
      </c>
      <c r="J22" s="22" t="s">
        <v>2942</v>
      </c>
      <c r="K22" s="22">
        <v>305700</v>
      </c>
      <c r="L22" s="22">
        <v>65400</v>
      </c>
      <c r="M22" s="22">
        <v>74400</v>
      </c>
      <c r="N22" s="22">
        <v>52300</v>
      </c>
    </row>
    <row r="23" spans="1:14" ht="28.2" thickBot="1" x14ac:dyDescent="0.3">
      <c r="A23" s="22">
        <v>20</v>
      </c>
      <c r="B23" s="22" t="s">
        <v>4301</v>
      </c>
      <c r="C23" s="22">
        <v>229.31</v>
      </c>
      <c r="D23" s="22" t="s">
        <v>2908</v>
      </c>
      <c r="E23" s="22" t="s">
        <v>2908</v>
      </c>
      <c r="F23" s="22" t="s">
        <v>2908</v>
      </c>
      <c r="G23" s="22" t="s">
        <v>2908</v>
      </c>
      <c r="I23" s="22">
        <v>22</v>
      </c>
      <c r="J23" s="22" t="s">
        <v>3157</v>
      </c>
      <c r="K23" s="22">
        <v>92100</v>
      </c>
      <c r="L23" s="22">
        <v>37600</v>
      </c>
      <c r="M23" s="22">
        <v>0</v>
      </c>
      <c r="N23" s="22">
        <v>0</v>
      </c>
    </row>
    <row r="24" spans="1:14" ht="42" thickBot="1" x14ac:dyDescent="0.3">
      <c r="A24" s="22">
        <v>21</v>
      </c>
      <c r="B24" s="22" t="s">
        <v>2382</v>
      </c>
      <c r="C24" s="22">
        <v>1.95</v>
      </c>
      <c r="D24" s="22" t="s">
        <v>2908</v>
      </c>
      <c r="E24" s="22" t="s">
        <v>2908</v>
      </c>
      <c r="F24" s="22" t="s">
        <v>2908</v>
      </c>
      <c r="G24" s="22" t="s">
        <v>2908</v>
      </c>
      <c r="I24" s="22">
        <v>23</v>
      </c>
      <c r="J24" s="22" t="s">
        <v>2917</v>
      </c>
      <c r="K24" s="22">
        <v>128100</v>
      </c>
      <c r="L24" s="22">
        <v>148700</v>
      </c>
      <c r="M24" s="22">
        <v>143600</v>
      </c>
      <c r="N24" s="22">
        <v>54600</v>
      </c>
    </row>
    <row r="25" spans="1:14" ht="28.2" thickBot="1" x14ac:dyDescent="0.3">
      <c r="A25" s="22">
        <v>22</v>
      </c>
      <c r="B25" s="22" t="s">
        <v>2901</v>
      </c>
      <c r="C25" s="22">
        <v>86.28</v>
      </c>
      <c r="D25" s="22" t="s">
        <v>2908</v>
      </c>
      <c r="E25" s="22" t="s">
        <v>2908</v>
      </c>
      <c r="F25" s="22" t="s">
        <v>2908</v>
      </c>
      <c r="G25" s="22" t="s">
        <v>2908</v>
      </c>
      <c r="I25" s="22">
        <v>24</v>
      </c>
      <c r="J25" s="22" t="s">
        <v>2918</v>
      </c>
      <c r="K25" s="22" t="s">
        <v>2908</v>
      </c>
      <c r="L25" s="22" t="s">
        <v>2908</v>
      </c>
      <c r="M25" s="22" t="s">
        <v>2908</v>
      </c>
      <c r="N25" s="22" t="s">
        <v>2908</v>
      </c>
    </row>
    <row r="26" spans="1:14" ht="28.2" thickBot="1" x14ac:dyDescent="0.3">
      <c r="A26" s="21" t="s">
        <v>2944</v>
      </c>
      <c r="B26" s="22"/>
      <c r="C26" s="22"/>
      <c r="D26" s="22"/>
      <c r="E26" s="22"/>
      <c r="F26" s="22"/>
      <c r="G26" s="22"/>
      <c r="I26" s="22">
        <v>25</v>
      </c>
      <c r="J26" s="22" t="s">
        <v>2179</v>
      </c>
      <c r="K26" s="22" t="s">
        <v>4309</v>
      </c>
      <c r="L26" s="22" t="s">
        <v>4310</v>
      </c>
      <c r="M26" s="22">
        <v>0</v>
      </c>
      <c r="N26" s="22" t="s">
        <v>4311</v>
      </c>
    </row>
    <row r="27" spans="1:14" ht="28.2" thickBot="1" x14ac:dyDescent="0.3">
      <c r="A27" s="22">
        <v>23</v>
      </c>
      <c r="B27" s="22" t="s">
        <v>2177</v>
      </c>
      <c r="C27" s="22">
        <v>0</v>
      </c>
      <c r="D27" s="22">
        <v>264500</v>
      </c>
      <c r="E27" s="22">
        <v>531300</v>
      </c>
      <c r="F27" s="22">
        <v>331000</v>
      </c>
      <c r="G27" s="22">
        <v>602800</v>
      </c>
      <c r="I27" s="22">
        <v>26</v>
      </c>
      <c r="J27" s="22" t="s">
        <v>2943</v>
      </c>
      <c r="K27" s="22">
        <v>397800</v>
      </c>
      <c r="L27" s="22">
        <v>434900</v>
      </c>
      <c r="M27" s="22">
        <v>90400</v>
      </c>
      <c r="N27" s="22">
        <v>470100</v>
      </c>
    </row>
    <row r="28" spans="1:14" ht="14.4" thickBot="1" x14ac:dyDescent="0.3">
      <c r="A28" s="22">
        <v>24</v>
      </c>
      <c r="B28" s="22" t="s">
        <v>2020</v>
      </c>
      <c r="C28" s="22">
        <v>112.59</v>
      </c>
      <c r="D28" s="22">
        <v>23100</v>
      </c>
      <c r="E28" s="22">
        <v>70200</v>
      </c>
      <c r="F28" s="22">
        <v>86800</v>
      </c>
      <c r="G28" s="22">
        <v>73600</v>
      </c>
      <c r="I28" s="22">
        <v>27</v>
      </c>
      <c r="J28" s="22" t="s">
        <v>2359</v>
      </c>
      <c r="K28" s="22">
        <v>63400</v>
      </c>
      <c r="L28" s="22">
        <v>82800</v>
      </c>
      <c r="M28" s="22">
        <v>53800</v>
      </c>
      <c r="N28" s="22">
        <v>54600</v>
      </c>
    </row>
    <row r="29" spans="1:14" ht="14.4" thickBot="1" x14ac:dyDescent="0.3">
      <c r="A29" s="22">
        <v>25</v>
      </c>
      <c r="B29" s="22" t="s">
        <v>2026</v>
      </c>
      <c r="C29" s="22">
        <v>6.18</v>
      </c>
      <c r="D29" s="22">
        <v>22500</v>
      </c>
      <c r="E29" s="22">
        <v>29100</v>
      </c>
      <c r="F29" s="22">
        <v>0</v>
      </c>
      <c r="G29" s="22">
        <v>0</v>
      </c>
      <c r="I29" s="22">
        <v>28</v>
      </c>
      <c r="J29" s="22" t="s">
        <v>2024</v>
      </c>
      <c r="K29" s="22">
        <v>370100</v>
      </c>
      <c r="L29" s="22">
        <v>1021800</v>
      </c>
      <c r="M29" s="22">
        <v>688000</v>
      </c>
      <c r="N29" s="22">
        <v>748400</v>
      </c>
    </row>
    <row r="30" spans="1:14" ht="28.2" thickBot="1" x14ac:dyDescent="0.3">
      <c r="A30" s="22">
        <v>26</v>
      </c>
      <c r="B30" s="22" t="s">
        <v>2021</v>
      </c>
      <c r="C30" s="22">
        <v>13.8</v>
      </c>
      <c r="D30" s="22">
        <v>9400</v>
      </c>
      <c r="E30" s="22">
        <v>18100</v>
      </c>
      <c r="F30" s="22">
        <v>0</v>
      </c>
      <c r="G30" s="22">
        <v>9300</v>
      </c>
      <c r="I30" s="22">
        <v>29</v>
      </c>
      <c r="J30" s="22" t="s">
        <v>2892</v>
      </c>
      <c r="K30" s="22" t="s">
        <v>4312</v>
      </c>
      <c r="L30" s="22" t="s">
        <v>4313</v>
      </c>
      <c r="M30" s="22">
        <v>0</v>
      </c>
      <c r="N30" s="22" t="s">
        <v>4314</v>
      </c>
    </row>
    <row r="31" spans="1:14" ht="14.4" thickBot="1" x14ac:dyDescent="0.3">
      <c r="A31" s="22">
        <v>27</v>
      </c>
      <c r="B31" s="22" t="s">
        <v>2965</v>
      </c>
      <c r="C31" s="22">
        <v>623.91999999999996</v>
      </c>
      <c r="D31" s="22">
        <v>370100</v>
      </c>
      <c r="E31" s="22">
        <v>1021800</v>
      </c>
      <c r="F31" s="22">
        <v>688000</v>
      </c>
      <c r="G31" s="22">
        <v>748400</v>
      </c>
      <c r="I31" s="22">
        <v>30</v>
      </c>
      <c r="J31" s="22" t="s">
        <v>2021</v>
      </c>
      <c r="K31" s="22">
        <v>9400</v>
      </c>
      <c r="L31" s="22">
        <v>18100</v>
      </c>
      <c r="M31" s="22">
        <v>0</v>
      </c>
      <c r="N31" s="22">
        <v>9300</v>
      </c>
    </row>
    <row r="32" spans="1:14" ht="14.4" thickBot="1" x14ac:dyDescent="0.3">
      <c r="A32" s="22">
        <v>28</v>
      </c>
      <c r="B32" s="22" t="s">
        <v>2180</v>
      </c>
      <c r="C32" s="22">
        <v>5.0199999999999996</v>
      </c>
      <c r="D32" s="22">
        <v>9300</v>
      </c>
      <c r="E32" s="22">
        <v>16300</v>
      </c>
      <c r="F32" s="22">
        <v>0</v>
      </c>
      <c r="G32" s="22">
        <v>8400</v>
      </c>
      <c r="I32" s="22">
        <v>31</v>
      </c>
      <c r="J32" s="22" t="s">
        <v>2174</v>
      </c>
      <c r="K32" s="22">
        <v>0</v>
      </c>
      <c r="L32" s="22">
        <v>17100</v>
      </c>
      <c r="M32" s="22">
        <v>0</v>
      </c>
      <c r="N32" s="22">
        <v>0</v>
      </c>
    </row>
    <row r="33" spans="1:14" ht="14.4" thickBot="1" x14ac:dyDescent="0.3">
      <c r="A33" s="22">
        <v>29</v>
      </c>
      <c r="B33" s="22" t="s">
        <v>2174</v>
      </c>
      <c r="C33" s="22">
        <v>6.33</v>
      </c>
      <c r="D33" s="22">
        <v>0</v>
      </c>
      <c r="E33" s="22">
        <v>17100</v>
      </c>
      <c r="F33" s="22">
        <v>0</v>
      </c>
      <c r="G33" s="22">
        <v>0</v>
      </c>
      <c r="I33" s="22">
        <v>32</v>
      </c>
      <c r="J33" s="22" t="s">
        <v>2180</v>
      </c>
      <c r="K33" s="22">
        <v>9300</v>
      </c>
      <c r="L33" s="22">
        <v>16300</v>
      </c>
      <c r="M33" s="22">
        <v>0</v>
      </c>
      <c r="N33" s="22">
        <v>8400</v>
      </c>
    </row>
    <row r="34" spans="1:14" ht="28.2" thickBot="1" x14ac:dyDescent="0.3">
      <c r="A34" s="21" t="s">
        <v>4302</v>
      </c>
      <c r="B34" s="22"/>
      <c r="C34" s="22"/>
      <c r="D34" s="22"/>
      <c r="E34" s="22"/>
      <c r="F34" s="22"/>
      <c r="G34" s="22"/>
      <c r="I34" s="22">
        <v>33</v>
      </c>
      <c r="J34" s="22" t="s">
        <v>2020</v>
      </c>
      <c r="K34" s="22">
        <v>23100</v>
      </c>
      <c r="L34" s="22">
        <v>70200</v>
      </c>
      <c r="M34" s="22">
        <v>86800</v>
      </c>
      <c r="N34" s="22">
        <v>73600</v>
      </c>
    </row>
    <row r="35" spans="1:14" ht="14.4" thickBot="1" x14ac:dyDescent="0.3">
      <c r="A35" s="22">
        <v>30</v>
      </c>
      <c r="B35" s="22" t="s">
        <v>2320</v>
      </c>
      <c r="C35" s="22">
        <v>165.04</v>
      </c>
      <c r="D35" s="22">
        <v>147600</v>
      </c>
      <c r="E35" s="22">
        <v>311600</v>
      </c>
      <c r="F35" s="22">
        <v>173200</v>
      </c>
      <c r="G35" s="22">
        <v>208700</v>
      </c>
      <c r="I35" s="22">
        <v>34</v>
      </c>
      <c r="J35" s="22" t="s">
        <v>2177</v>
      </c>
      <c r="K35" s="22">
        <v>264500</v>
      </c>
      <c r="L35" s="22">
        <v>531300</v>
      </c>
      <c r="M35" s="22">
        <v>331000</v>
      </c>
      <c r="N35" s="22">
        <v>602800</v>
      </c>
    </row>
    <row r="36" spans="1:14" ht="28.2" thickBot="1" x14ac:dyDescent="0.3">
      <c r="A36" s="22">
        <v>31</v>
      </c>
      <c r="B36" s="22" t="s">
        <v>2947</v>
      </c>
      <c r="C36" s="22">
        <v>107.43</v>
      </c>
      <c r="D36" s="22">
        <v>85600</v>
      </c>
      <c r="E36" s="22">
        <v>250900</v>
      </c>
      <c r="F36" s="22">
        <v>77200</v>
      </c>
      <c r="G36" s="22">
        <v>113300</v>
      </c>
      <c r="I36" s="22">
        <v>35</v>
      </c>
      <c r="J36" s="22" t="s">
        <v>2175</v>
      </c>
      <c r="K36" s="22" t="s">
        <v>2908</v>
      </c>
      <c r="L36" s="22" t="s">
        <v>2908</v>
      </c>
      <c r="M36" s="22" t="s">
        <v>2908</v>
      </c>
      <c r="N36" s="22" t="s">
        <v>2908</v>
      </c>
    </row>
    <row r="37" spans="1:14" ht="14.4" thickBot="1" x14ac:dyDescent="0.3">
      <c r="A37" s="22">
        <v>32</v>
      </c>
      <c r="B37" s="22" t="s">
        <v>2955</v>
      </c>
      <c r="C37" s="22" t="s">
        <v>2908</v>
      </c>
      <c r="D37" s="22">
        <v>116200</v>
      </c>
      <c r="E37" s="22">
        <v>83600</v>
      </c>
      <c r="F37" s="22">
        <v>0</v>
      </c>
      <c r="G37" s="22">
        <v>12200</v>
      </c>
      <c r="I37" s="22">
        <v>36</v>
      </c>
      <c r="J37" s="22" t="s">
        <v>2026</v>
      </c>
      <c r="K37" s="22">
        <v>22500</v>
      </c>
      <c r="L37" s="22">
        <v>29100</v>
      </c>
      <c r="M37" s="22">
        <v>0</v>
      </c>
      <c r="N37" s="22">
        <v>0</v>
      </c>
    </row>
    <row r="38" spans="1:14" ht="14.4" thickBot="1" x14ac:dyDescent="0.3">
      <c r="A38" s="22">
        <v>33</v>
      </c>
      <c r="B38" s="22" t="s">
        <v>4303</v>
      </c>
      <c r="C38" s="22">
        <v>107.84</v>
      </c>
      <c r="D38" s="22">
        <v>99000</v>
      </c>
      <c r="E38" s="22">
        <v>112300</v>
      </c>
      <c r="F38" s="22">
        <v>0</v>
      </c>
      <c r="G38" s="22">
        <v>11100</v>
      </c>
      <c r="I38" s="22">
        <v>37</v>
      </c>
      <c r="J38" s="22" t="s">
        <v>2920</v>
      </c>
      <c r="K38" s="22" t="s">
        <v>2908</v>
      </c>
      <c r="L38" s="22" t="s">
        <v>2908</v>
      </c>
      <c r="M38" s="22" t="s">
        <v>2908</v>
      </c>
      <c r="N38" s="22" t="s">
        <v>2908</v>
      </c>
    </row>
    <row r="39" spans="1:14" ht="28.2" thickBot="1" x14ac:dyDescent="0.3">
      <c r="A39" s="22">
        <v>34</v>
      </c>
      <c r="B39" s="22" t="s">
        <v>2966</v>
      </c>
      <c r="C39" s="22" t="s">
        <v>2908</v>
      </c>
      <c r="D39" s="22">
        <v>0</v>
      </c>
      <c r="E39" s="22">
        <v>0</v>
      </c>
      <c r="F39" s="22">
        <v>0</v>
      </c>
      <c r="G39" s="22">
        <v>3100</v>
      </c>
      <c r="I39" s="22">
        <v>38</v>
      </c>
      <c r="J39" s="22" t="s">
        <v>2320</v>
      </c>
      <c r="K39" s="22">
        <v>147600</v>
      </c>
      <c r="L39" s="22">
        <v>311600</v>
      </c>
      <c r="M39" s="22">
        <v>173200</v>
      </c>
      <c r="N39" s="22">
        <v>208700</v>
      </c>
    </row>
    <row r="40" spans="1:14" ht="14.4" thickBot="1" x14ac:dyDescent="0.3">
      <c r="I40" s="22">
        <v>39</v>
      </c>
      <c r="J40" s="22" t="s">
        <v>2857</v>
      </c>
      <c r="K40" s="22" t="s">
        <v>2908</v>
      </c>
      <c r="L40" s="22" t="s">
        <v>2908</v>
      </c>
      <c r="M40" s="22" t="s">
        <v>2908</v>
      </c>
      <c r="N40" s="22" t="s">
        <v>2908</v>
      </c>
    </row>
    <row r="41" spans="1:14" ht="42" thickBot="1" x14ac:dyDescent="0.3">
      <c r="I41" s="22">
        <v>40</v>
      </c>
      <c r="J41" s="22" t="s">
        <v>3158</v>
      </c>
      <c r="K41" s="22">
        <v>85600</v>
      </c>
      <c r="L41" s="22">
        <v>250900</v>
      </c>
      <c r="M41" s="22">
        <v>77200</v>
      </c>
      <c r="N41" s="22">
        <v>113300</v>
      </c>
    </row>
    <row r="42" spans="1:14" ht="28.2" thickBot="1" x14ac:dyDescent="0.3">
      <c r="I42" s="22">
        <v>41</v>
      </c>
      <c r="J42" s="22" t="s">
        <v>2922</v>
      </c>
      <c r="K42" s="22" t="s">
        <v>2908</v>
      </c>
      <c r="L42" s="22" t="s">
        <v>2908</v>
      </c>
      <c r="M42" s="22" t="s">
        <v>2908</v>
      </c>
      <c r="N42" s="22" t="s">
        <v>2908</v>
      </c>
    </row>
    <row r="43" spans="1:14" ht="42" thickBot="1" x14ac:dyDescent="0.3">
      <c r="I43" s="22">
        <v>42</v>
      </c>
      <c r="J43" s="22" t="s">
        <v>4315</v>
      </c>
      <c r="K43" s="22">
        <v>99000</v>
      </c>
      <c r="L43" s="22">
        <v>112300</v>
      </c>
      <c r="M43" s="22">
        <v>0</v>
      </c>
      <c r="N43" s="22">
        <v>11100</v>
      </c>
    </row>
    <row r="44" spans="1:14" ht="28.2" thickBot="1" x14ac:dyDescent="0.3">
      <c r="I44" s="22">
        <v>43</v>
      </c>
      <c r="J44" s="22" t="s">
        <v>2161</v>
      </c>
      <c r="K44" s="22" t="s">
        <v>2908</v>
      </c>
      <c r="L44" s="22" t="s">
        <v>2908</v>
      </c>
      <c r="M44" s="22" t="s">
        <v>2908</v>
      </c>
      <c r="N44" s="22" t="s">
        <v>2908</v>
      </c>
    </row>
    <row r="45" spans="1:14" ht="42" thickBot="1" x14ac:dyDescent="0.3">
      <c r="I45" s="22">
        <v>44</v>
      </c>
      <c r="J45" s="22" t="s">
        <v>2923</v>
      </c>
      <c r="K45" s="22" t="s">
        <v>2908</v>
      </c>
      <c r="L45" s="22" t="s">
        <v>2908</v>
      </c>
      <c r="M45" s="22" t="s">
        <v>2908</v>
      </c>
      <c r="N45" s="22" t="s">
        <v>2908</v>
      </c>
    </row>
    <row r="46" spans="1:14" ht="42" thickBot="1" x14ac:dyDescent="0.3">
      <c r="I46" s="22">
        <v>45</v>
      </c>
      <c r="J46" s="22" t="s">
        <v>2924</v>
      </c>
      <c r="K46" s="22" t="s">
        <v>2908</v>
      </c>
      <c r="L46" s="22" t="s">
        <v>2908</v>
      </c>
      <c r="M46" s="22" t="s">
        <v>2908</v>
      </c>
      <c r="N46" s="22" t="s">
        <v>2908</v>
      </c>
    </row>
    <row r="47" spans="1:14" ht="42" thickBot="1" x14ac:dyDescent="0.3">
      <c r="I47" s="22">
        <v>46</v>
      </c>
      <c r="J47" s="22" t="s">
        <v>2925</v>
      </c>
      <c r="K47" s="22" t="s">
        <v>2908</v>
      </c>
      <c r="L47" s="22" t="s">
        <v>2908</v>
      </c>
      <c r="M47" s="22" t="s">
        <v>2908</v>
      </c>
      <c r="N47" s="22" t="s">
        <v>2908</v>
      </c>
    </row>
    <row r="48" spans="1:14" ht="28.2" thickBot="1" x14ac:dyDescent="0.3">
      <c r="I48" s="22">
        <v>47</v>
      </c>
      <c r="J48" s="22" t="s">
        <v>3159</v>
      </c>
      <c r="K48" s="22" t="s">
        <v>2908</v>
      </c>
      <c r="L48" s="22" t="s">
        <v>2908</v>
      </c>
      <c r="M48" s="22" t="s">
        <v>2908</v>
      </c>
      <c r="N48" s="22" t="s">
        <v>2908</v>
      </c>
    </row>
    <row r="49" spans="9:14" ht="14.4" thickBot="1" x14ac:dyDescent="0.3">
      <c r="I49" s="22">
        <v>48</v>
      </c>
      <c r="J49" s="22" t="s">
        <v>2878</v>
      </c>
      <c r="K49" s="22" t="s">
        <v>2908</v>
      </c>
      <c r="L49" s="22" t="s">
        <v>2908</v>
      </c>
      <c r="M49" s="22" t="s">
        <v>2908</v>
      </c>
      <c r="N49" s="22" t="s">
        <v>2908</v>
      </c>
    </row>
    <row r="50" spans="9:14" ht="14.4" thickBot="1" x14ac:dyDescent="0.3">
      <c r="I50" s="22">
        <v>49</v>
      </c>
      <c r="J50" s="22" t="s">
        <v>2927</v>
      </c>
      <c r="K50" s="22" t="s">
        <v>2908</v>
      </c>
      <c r="L50" s="22" t="s">
        <v>2908</v>
      </c>
      <c r="M50" s="22" t="s">
        <v>2908</v>
      </c>
      <c r="N50" s="22" t="s">
        <v>2908</v>
      </c>
    </row>
    <row r="51" spans="9:14" ht="28.2" thickBot="1" x14ac:dyDescent="0.3">
      <c r="I51" s="22">
        <v>50</v>
      </c>
      <c r="J51" s="22" t="s">
        <v>2164</v>
      </c>
      <c r="K51" s="22" t="s">
        <v>2908</v>
      </c>
      <c r="L51" s="22" t="s">
        <v>2908</v>
      </c>
      <c r="M51" s="22" t="s">
        <v>2908</v>
      </c>
      <c r="N51" s="22" t="s">
        <v>2908</v>
      </c>
    </row>
    <row r="52" spans="9:14" ht="28.2" thickBot="1" x14ac:dyDescent="0.3">
      <c r="I52" s="22">
        <v>51</v>
      </c>
      <c r="J52" s="22" t="s">
        <v>2170</v>
      </c>
      <c r="K52" s="22" t="s">
        <v>2908</v>
      </c>
      <c r="L52" s="22" t="s">
        <v>2908</v>
      </c>
      <c r="M52" s="22" t="s">
        <v>2908</v>
      </c>
      <c r="N52" s="22" t="s">
        <v>2908</v>
      </c>
    </row>
    <row r="53" spans="9:14" ht="14.4" thickBot="1" x14ac:dyDescent="0.3">
      <c r="I53" s="22">
        <v>52</v>
      </c>
      <c r="J53" s="22" t="s">
        <v>2172</v>
      </c>
      <c r="K53" s="22" t="s">
        <v>2908</v>
      </c>
      <c r="L53" s="22" t="s">
        <v>2908</v>
      </c>
      <c r="M53" s="22" t="s">
        <v>2908</v>
      </c>
      <c r="N53" s="22" t="s">
        <v>2908</v>
      </c>
    </row>
    <row r="54" spans="9:14" ht="14.4" thickBot="1" x14ac:dyDescent="0.3">
      <c r="I54" s="22">
        <v>53</v>
      </c>
      <c r="J54" s="22" t="s">
        <v>3819</v>
      </c>
      <c r="K54" s="22" t="s">
        <v>2908</v>
      </c>
      <c r="L54" s="22" t="s">
        <v>2908</v>
      </c>
      <c r="M54" s="22" t="s">
        <v>2908</v>
      </c>
      <c r="N54" s="22" t="s">
        <v>2908</v>
      </c>
    </row>
    <row r="55" spans="9:14" ht="28.2" thickBot="1" x14ac:dyDescent="0.3">
      <c r="I55" s="22">
        <v>54</v>
      </c>
      <c r="J55" s="22" t="s">
        <v>2929</v>
      </c>
      <c r="K55" s="22" t="s">
        <v>2908</v>
      </c>
      <c r="L55" s="22" t="s">
        <v>2908</v>
      </c>
      <c r="M55" s="22" t="s">
        <v>2908</v>
      </c>
      <c r="N55" s="22" t="s">
        <v>2908</v>
      </c>
    </row>
    <row r="56" spans="9:14" ht="28.2" thickBot="1" x14ac:dyDescent="0.3">
      <c r="I56" s="22">
        <v>55</v>
      </c>
      <c r="J56" s="22" t="s">
        <v>2183</v>
      </c>
      <c r="K56" s="22" t="s">
        <v>2908</v>
      </c>
      <c r="L56" s="22" t="s">
        <v>2908</v>
      </c>
      <c r="M56" s="22" t="s">
        <v>2908</v>
      </c>
      <c r="N56" s="22" t="s">
        <v>2908</v>
      </c>
    </row>
    <row r="57" spans="9:14" ht="28.2" thickBot="1" x14ac:dyDescent="0.3">
      <c r="I57" s="22">
        <v>56</v>
      </c>
      <c r="J57" s="22" t="s">
        <v>2185</v>
      </c>
      <c r="K57" s="22">
        <v>0</v>
      </c>
      <c r="L57" s="22" t="s">
        <v>4316</v>
      </c>
      <c r="M57" s="22">
        <v>0</v>
      </c>
      <c r="N57" s="22" t="s">
        <v>4317</v>
      </c>
    </row>
    <row r="58" spans="9:14" ht="14.4" thickBot="1" x14ac:dyDescent="0.3">
      <c r="I58" s="22">
        <v>57</v>
      </c>
      <c r="J58" s="22" t="s">
        <v>2930</v>
      </c>
      <c r="K58" s="22" t="s">
        <v>2908</v>
      </c>
      <c r="L58" s="22" t="s">
        <v>2908</v>
      </c>
      <c r="M58" s="22" t="s">
        <v>2908</v>
      </c>
      <c r="N58" s="22" t="s">
        <v>2908</v>
      </c>
    </row>
    <row r="59" spans="9:14" ht="14.4" thickBot="1" x14ac:dyDescent="0.3">
      <c r="I59" s="22">
        <v>58</v>
      </c>
      <c r="J59" s="22" t="s">
        <v>2331</v>
      </c>
      <c r="K59" s="22" t="s">
        <v>2908</v>
      </c>
      <c r="L59" s="22" t="s">
        <v>2908</v>
      </c>
      <c r="M59" s="22" t="s">
        <v>2908</v>
      </c>
      <c r="N59" s="22" t="s">
        <v>2908</v>
      </c>
    </row>
    <row r="60" spans="9:14" ht="28.2" thickBot="1" x14ac:dyDescent="0.3">
      <c r="I60" s="22">
        <v>59</v>
      </c>
      <c r="J60" s="22" t="s">
        <v>4318</v>
      </c>
      <c r="K60" s="22">
        <v>0</v>
      </c>
      <c r="L60" s="22">
        <v>0</v>
      </c>
      <c r="M60" s="22">
        <v>0</v>
      </c>
      <c r="N60" s="22">
        <v>3100</v>
      </c>
    </row>
    <row r="61" spans="9:14" ht="14.4" thickBot="1" x14ac:dyDescent="0.3">
      <c r="I61" s="22">
        <v>60</v>
      </c>
      <c r="J61" s="22" t="s">
        <v>2365</v>
      </c>
      <c r="K61" s="22" t="s">
        <v>2908</v>
      </c>
      <c r="L61" s="22" t="s">
        <v>2908</v>
      </c>
      <c r="M61" s="22" t="s">
        <v>2908</v>
      </c>
      <c r="N61" s="22" t="s">
        <v>2908</v>
      </c>
    </row>
    <row r="62" spans="9:14" ht="14.4" thickBot="1" x14ac:dyDescent="0.3">
      <c r="I62" s="22">
        <v>61</v>
      </c>
      <c r="J62" s="22" t="s">
        <v>2186</v>
      </c>
      <c r="K62" s="22" t="s">
        <v>2908</v>
      </c>
      <c r="L62" s="22" t="s">
        <v>2908</v>
      </c>
      <c r="M62" s="22" t="s">
        <v>2908</v>
      </c>
      <c r="N62" s="22" t="s">
        <v>2908</v>
      </c>
    </row>
    <row r="63" spans="9:14" ht="14.4" thickBot="1" x14ac:dyDescent="0.3">
      <c r="I63" s="22">
        <v>62</v>
      </c>
      <c r="J63" s="22" t="s">
        <v>2382</v>
      </c>
      <c r="K63" s="22" t="s">
        <v>2908</v>
      </c>
      <c r="L63" s="22" t="s">
        <v>2908</v>
      </c>
      <c r="M63" s="22" t="s">
        <v>2908</v>
      </c>
      <c r="N63" s="22" t="s">
        <v>2908</v>
      </c>
    </row>
    <row r="64" spans="9:14" ht="14.4" thickBot="1" x14ac:dyDescent="0.3">
      <c r="I64" s="22">
        <v>63</v>
      </c>
      <c r="J64" s="22" t="s">
        <v>2393</v>
      </c>
      <c r="K64" s="22" t="s">
        <v>2908</v>
      </c>
      <c r="L64" s="22" t="s">
        <v>2908</v>
      </c>
      <c r="M64" s="22" t="s">
        <v>2908</v>
      </c>
      <c r="N64" s="22" t="s">
        <v>2908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769A-0FCB-45C0-A572-0DE4414BEFCB}">
  <dimension ref="A1:P130"/>
  <sheetViews>
    <sheetView workbookViewId="0">
      <selection activeCell="U55" sqref="U55"/>
    </sheetView>
  </sheetViews>
  <sheetFormatPr defaultRowHeight="13.8" x14ac:dyDescent="0.25"/>
  <sheetData>
    <row r="1" spans="1:16" ht="42" thickBot="1" x14ac:dyDescent="0.3">
      <c r="A1" s="21" t="s">
        <v>2845</v>
      </c>
      <c r="B1" s="21" t="s">
        <v>4294</v>
      </c>
      <c r="C1" s="21" t="s">
        <v>4319</v>
      </c>
      <c r="D1" s="21" t="s">
        <v>4320</v>
      </c>
      <c r="E1" s="21" t="s">
        <v>4321</v>
      </c>
      <c r="F1" s="21" t="s">
        <v>4322</v>
      </c>
      <c r="H1" s="21" t="s">
        <v>2845</v>
      </c>
      <c r="I1" s="21" t="s">
        <v>2906</v>
      </c>
      <c r="J1" s="21" t="s">
        <v>4320</v>
      </c>
      <c r="K1" s="21" t="s">
        <v>4321</v>
      </c>
      <c r="L1" s="21" t="s">
        <v>4322</v>
      </c>
    </row>
    <row r="2" spans="1:16" ht="14.4" thickBot="1" x14ac:dyDescent="0.3">
      <c r="A2" s="21" t="s">
        <v>2940</v>
      </c>
      <c r="B2" s="22"/>
      <c r="C2" s="22"/>
      <c r="D2" s="22"/>
      <c r="E2" s="22"/>
      <c r="F2" s="22"/>
      <c r="H2" s="22">
        <v>1</v>
      </c>
      <c r="I2" s="22" t="s">
        <v>2017</v>
      </c>
      <c r="J2" s="22">
        <v>0.72899999999999998</v>
      </c>
      <c r="K2" s="22">
        <v>22.57</v>
      </c>
      <c r="L2" s="22">
        <v>24.35</v>
      </c>
      <c r="N2" s="37">
        <v>1000</v>
      </c>
      <c r="O2" s="37">
        <v>1000</v>
      </c>
      <c r="P2" s="37">
        <v>1000</v>
      </c>
    </row>
    <row r="3" spans="1:16" ht="28.2" thickBot="1" x14ac:dyDescent="0.3">
      <c r="A3" s="22">
        <v>1</v>
      </c>
      <c r="B3" s="22" t="s">
        <v>3856</v>
      </c>
      <c r="C3" s="22" t="s">
        <v>4323</v>
      </c>
      <c r="D3" s="22" t="s">
        <v>4324</v>
      </c>
      <c r="E3" s="22" t="s">
        <v>4325</v>
      </c>
      <c r="F3" s="22" t="s">
        <v>4326</v>
      </c>
      <c r="H3" s="22">
        <v>2</v>
      </c>
      <c r="I3" s="22" t="s">
        <v>2162</v>
      </c>
      <c r="J3" s="22">
        <v>0.28799999999999998</v>
      </c>
      <c r="K3" s="22">
        <v>0.54</v>
      </c>
      <c r="L3" s="22">
        <v>0.55300000000000005</v>
      </c>
      <c r="N3" s="37">
        <v>1000</v>
      </c>
      <c r="O3" s="37">
        <v>1000</v>
      </c>
      <c r="P3" s="37">
        <v>1000</v>
      </c>
    </row>
    <row r="4" spans="1:16" ht="28.2" thickBot="1" x14ac:dyDescent="0.3">
      <c r="A4" s="22">
        <v>2</v>
      </c>
      <c r="B4" s="22" t="s">
        <v>2022</v>
      </c>
      <c r="C4" s="22" t="s">
        <v>4323</v>
      </c>
      <c r="D4" s="22" t="s">
        <v>4327</v>
      </c>
      <c r="E4" s="22" t="s">
        <v>4328</v>
      </c>
      <c r="F4" s="22" t="s">
        <v>4329</v>
      </c>
      <c r="H4" s="22">
        <v>3</v>
      </c>
      <c r="I4" s="22" t="s">
        <v>2018</v>
      </c>
      <c r="J4" s="22">
        <v>3.6469999999999998</v>
      </c>
      <c r="K4" s="22">
        <v>10.87</v>
      </c>
      <c r="L4" s="22">
        <v>11.516</v>
      </c>
      <c r="N4" s="37">
        <v>1000</v>
      </c>
      <c r="O4" s="37">
        <v>1000</v>
      </c>
      <c r="P4" s="37">
        <v>1000</v>
      </c>
    </row>
    <row r="5" spans="1:16" ht="28.2" thickBot="1" x14ac:dyDescent="0.3">
      <c r="A5" s="22">
        <v>3</v>
      </c>
      <c r="B5" s="22" t="s">
        <v>3392</v>
      </c>
      <c r="C5" s="22" t="s">
        <v>4323</v>
      </c>
      <c r="D5" s="22" t="s">
        <v>4330</v>
      </c>
      <c r="E5" s="22" t="s">
        <v>4331</v>
      </c>
      <c r="F5" s="22" t="s">
        <v>4332</v>
      </c>
      <c r="H5" s="22">
        <v>4</v>
      </c>
      <c r="I5" s="22" t="s">
        <v>2022</v>
      </c>
      <c r="J5" s="22">
        <v>13.417</v>
      </c>
      <c r="K5" s="22">
        <v>11.422000000000001</v>
      </c>
      <c r="L5" s="22">
        <v>10.885999999999999</v>
      </c>
      <c r="N5" s="37">
        <v>1000</v>
      </c>
      <c r="O5" s="37">
        <v>1000</v>
      </c>
      <c r="P5" s="37">
        <v>1000</v>
      </c>
    </row>
    <row r="6" spans="1:16" ht="28.2" thickBot="1" x14ac:dyDescent="0.3">
      <c r="A6" s="22">
        <v>4</v>
      </c>
      <c r="B6" s="22" t="s">
        <v>2164</v>
      </c>
      <c r="C6" s="22" t="s">
        <v>4323</v>
      </c>
      <c r="D6" s="22" t="s">
        <v>4333</v>
      </c>
      <c r="E6" s="22" t="s">
        <v>4334</v>
      </c>
      <c r="F6" s="22" t="s">
        <v>4335</v>
      </c>
      <c r="H6" s="22">
        <v>5</v>
      </c>
      <c r="I6" s="22" t="s">
        <v>2023</v>
      </c>
      <c r="J6" s="22">
        <v>27.806999999999999</v>
      </c>
      <c r="K6" s="22">
        <v>32.509</v>
      </c>
      <c r="L6" s="22">
        <v>39.578000000000003</v>
      </c>
      <c r="N6" s="37">
        <v>1000</v>
      </c>
      <c r="O6" s="37">
        <v>1000</v>
      </c>
      <c r="P6" s="37">
        <v>1000</v>
      </c>
    </row>
    <row r="7" spans="1:16" ht="28.2" thickBot="1" x14ac:dyDescent="0.3">
      <c r="A7" s="22">
        <v>5</v>
      </c>
      <c r="B7" s="22" t="s">
        <v>4336</v>
      </c>
      <c r="C7" s="22" t="s">
        <v>4323</v>
      </c>
      <c r="D7" s="22" t="s">
        <v>4337</v>
      </c>
      <c r="E7" s="22" t="s">
        <v>4338</v>
      </c>
      <c r="F7" s="22" t="s">
        <v>4339</v>
      </c>
      <c r="H7" s="22">
        <v>6</v>
      </c>
      <c r="I7" s="22" t="s">
        <v>2019</v>
      </c>
      <c r="J7" s="22">
        <v>11.805</v>
      </c>
      <c r="K7" s="22">
        <v>10.567</v>
      </c>
      <c r="L7" s="22">
        <v>8.7739999999999991</v>
      </c>
      <c r="N7" s="37">
        <v>1000</v>
      </c>
      <c r="O7" s="37">
        <v>1000</v>
      </c>
      <c r="P7" s="37">
        <v>1000</v>
      </c>
    </row>
    <row r="8" spans="1:16" ht="28.2" thickBot="1" x14ac:dyDescent="0.3">
      <c r="A8" s="22">
        <v>6</v>
      </c>
      <c r="B8" s="22" t="s">
        <v>4340</v>
      </c>
      <c r="C8" s="22" t="s">
        <v>4323</v>
      </c>
      <c r="D8" s="22" t="s">
        <v>4341</v>
      </c>
      <c r="E8" s="22" t="s">
        <v>4342</v>
      </c>
      <c r="F8" s="22" t="s">
        <v>4343</v>
      </c>
      <c r="H8" s="22">
        <v>7</v>
      </c>
      <c r="I8" s="22" t="s">
        <v>2178</v>
      </c>
      <c r="J8" s="22">
        <v>5.8680000000000003</v>
      </c>
      <c r="K8" s="22" t="s">
        <v>152</v>
      </c>
      <c r="L8" s="22">
        <v>24.974</v>
      </c>
      <c r="N8" s="37">
        <v>1000</v>
      </c>
      <c r="O8" s="37">
        <v>1000</v>
      </c>
      <c r="P8" s="37">
        <v>1000</v>
      </c>
    </row>
    <row r="9" spans="1:16" ht="28.2" thickBot="1" x14ac:dyDescent="0.3">
      <c r="A9" s="22">
        <v>7</v>
      </c>
      <c r="B9" s="22" t="s">
        <v>3174</v>
      </c>
      <c r="C9" s="22" t="s">
        <v>4323</v>
      </c>
      <c r="D9" s="22" t="s">
        <v>4344</v>
      </c>
      <c r="E9" s="22" t="s">
        <v>4345</v>
      </c>
      <c r="F9" s="22" t="s">
        <v>4346</v>
      </c>
      <c r="H9" s="22">
        <v>8</v>
      </c>
      <c r="I9" s="22" t="s">
        <v>2898</v>
      </c>
      <c r="J9" s="22">
        <v>3.1150000000000002</v>
      </c>
      <c r="K9" s="22" t="s">
        <v>152</v>
      </c>
      <c r="L9" s="22" t="s">
        <v>152</v>
      </c>
      <c r="N9" s="37">
        <v>1000</v>
      </c>
      <c r="O9" s="37">
        <v>1000</v>
      </c>
      <c r="P9" s="37">
        <v>1000</v>
      </c>
    </row>
    <row r="10" spans="1:16" ht="42" thickBot="1" x14ac:dyDescent="0.3">
      <c r="A10" s="22">
        <v>8</v>
      </c>
      <c r="B10" s="22" t="s">
        <v>2018</v>
      </c>
      <c r="C10" s="22" t="s">
        <v>4323</v>
      </c>
      <c r="D10" s="22" t="s">
        <v>4347</v>
      </c>
      <c r="E10" s="22" t="s">
        <v>4348</v>
      </c>
      <c r="F10" s="22" t="s">
        <v>4349</v>
      </c>
      <c r="H10" s="22">
        <v>9</v>
      </c>
      <c r="I10" s="22" t="s">
        <v>2909</v>
      </c>
      <c r="J10" s="22">
        <v>1.528</v>
      </c>
      <c r="K10" s="22" t="s">
        <v>152</v>
      </c>
      <c r="L10" s="22">
        <v>1.4179999999999999</v>
      </c>
      <c r="N10" s="37">
        <v>1000</v>
      </c>
      <c r="O10" s="37">
        <v>1000</v>
      </c>
      <c r="P10" s="37">
        <v>1000</v>
      </c>
    </row>
    <row r="11" spans="1:16" ht="28.2" thickBot="1" x14ac:dyDescent="0.3">
      <c r="A11" s="22">
        <v>9</v>
      </c>
      <c r="B11" s="22" t="s">
        <v>4350</v>
      </c>
      <c r="C11" s="22" t="s">
        <v>4323</v>
      </c>
      <c r="D11" s="22" t="s">
        <v>152</v>
      </c>
      <c r="E11" s="22" t="s">
        <v>152</v>
      </c>
      <c r="F11" s="22" t="s">
        <v>4351</v>
      </c>
      <c r="H11" s="22">
        <v>10</v>
      </c>
      <c r="I11" s="22" t="s">
        <v>2166</v>
      </c>
      <c r="J11" s="22" t="s">
        <v>2908</v>
      </c>
      <c r="K11" s="22" t="s">
        <v>2908</v>
      </c>
      <c r="L11" s="22" t="s">
        <v>2908</v>
      </c>
      <c r="N11" s="37">
        <v>1000</v>
      </c>
      <c r="O11" s="37">
        <v>1000</v>
      </c>
      <c r="P11" s="37">
        <v>1000</v>
      </c>
    </row>
    <row r="12" spans="1:16" ht="28.2" thickBot="1" x14ac:dyDescent="0.3">
      <c r="A12" s="22">
        <v>10</v>
      </c>
      <c r="B12" s="22" t="s">
        <v>2170</v>
      </c>
      <c r="C12" s="22" t="s">
        <v>4323</v>
      </c>
      <c r="D12" s="22" t="s">
        <v>4352</v>
      </c>
      <c r="E12" s="22" t="s">
        <v>4353</v>
      </c>
      <c r="F12" s="22" t="s">
        <v>4354</v>
      </c>
      <c r="H12" s="22">
        <v>11</v>
      </c>
      <c r="I12" s="22" t="s">
        <v>2911</v>
      </c>
      <c r="J12" s="22" t="s">
        <v>2908</v>
      </c>
      <c r="K12" s="22" t="s">
        <v>2908</v>
      </c>
      <c r="L12" s="22" t="s">
        <v>2908</v>
      </c>
      <c r="N12" s="37">
        <v>1000</v>
      </c>
      <c r="O12" s="37">
        <v>1000</v>
      </c>
      <c r="P12" s="37">
        <v>1000</v>
      </c>
    </row>
    <row r="13" spans="1:16" ht="28.2" thickBot="1" x14ac:dyDescent="0.3">
      <c r="A13" s="22">
        <v>11</v>
      </c>
      <c r="B13" s="22" t="s">
        <v>2162</v>
      </c>
      <c r="C13" s="22" t="s">
        <v>4323</v>
      </c>
      <c r="D13" s="22" t="s">
        <v>4355</v>
      </c>
      <c r="E13" s="22" t="s">
        <v>4356</v>
      </c>
      <c r="F13" s="22" t="s">
        <v>4357</v>
      </c>
      <c r="H13" s="22">
        <v>12</v>
      </c>
      <c r="I13" s="22" t="s">
        <v>2957</v>
      </c>
      <c r="J13" s="22" t="s">
        <v>152</v>
      </c>
      <c r="K13" s="22" t="s">
        <v>152</v>
      </c>
      <c r="L13" s="22">
        <v>9.3529999999999998</v>
      </c>
      <c r="N13" s="37">
        <v>1000</v>
      </c>
      <c r="O13" s="37">
        <v>1000</v>
      </c>
      <c r="P13" s="37">
        <v>1000</v>
      </c>
    </row>
    <row r="14" spans="1:16" ht="28.2" thickBot="1" x14ac:dyDescent="0.3">
      <c r="A14" s="22">
        <v>12</v>
      </c>
      <c r="B14" s="22" t="s">
        <v>2927</v>
      </c>
      <c r="C14" s="22" t="s">
        <v>4323</v>
      </c>
      <c r="D14" s="22" t="s">
        <v>4358</v>
      </c>
      <c r="E14" s="22" t="s">
        <v>4359</v>
      </c>
      <c r="F14" s="22" t="s">
        <v>4360</v>
      </c>
      <c r="H14" s="22">
        <v>13</v>
      </c>
      <c r="I14" s="22" t="s">
        <v>2913</v>
      </c>
      <c r="J14" s="22">
        <v>1.0660000000000001</v>
      </c>
      <c r="K14" s="22">
        <v>0.73899999999999999</v>
      </c>
      <c r="L14" s="22">
        <v>1.401</v>
      </c>
      <c r="N14" s="37">
        <v>1000</v>
      </c>
      <c r="O14" s="37">
        <v>1000</v>
      </c>
      <c r="P14" s="37">
        <v>1000</v>
      </c>
    </row>
    <row r="15" spans="1:16" ht="28.2" thickBot="1" x14ac:dyDescent="0.3">
      <c r="A15" s="22">
        <v>13</v>
      </c>
      <c r="B15" s="22" t="s">
        <v>2915</v>
      </c>
      <c r="C15" s="22" t="s">
        <v>4323</v>
      </c>
      <c r="D15" s="22" t="s">
        <v>152</v>
      </c>
      <c r="E15" s="22" t="s">
        <v>152</v>
      </c>
      <c r="F15" s="22" t="s">
        <v>4361</v>
      </c>
      <c r="H15" s="22">
        <v>14</v>
      </c>
      <c r="I15" s="22" t="s">
        <v>2173</v>
      </c>
      <c r="J15" s="22">
        <v>8.0429999999999993</v>
      </c>
      <c r="K15" s="22">
        <v>12.356</v>
      </c>
      <c r="L15" s="22">
        <v>9.2040000000000006</v>
      </c>
      <c r="N15" s="37">
        <v>1000</v>
      </c>
      <c r="O15" s="37">
        <v>1000</v>
      </c>
      <c r="P15" s="37">
        <v>1000</v>
      </c>
    </row>
    <row r="16" spans="1:16" ht="28.2" thickBot="1" x14ac:dyDescent="0.3">
      <c r="A16" s="22">
        <v>14</v>
      </c>
      <c r="B16" s="22" t="s">
        <v>2019</v>
      </c>
      <c r="C16" s="22" t="s">
        <v>4323</v>
      </c>
      <c r="D16" s="22" t="s">
        <v>4362</v>
      </c>
      <c r="E16" s="22" t="s">
        <v>4363</v>
      </c>
      <c r="F16" s="22" t="s">
        <v>4364</v>
      </c>
      <c r="H16" s="22">
        <v>15</v>
      </c>
      <c r="I16" s="22" t="s">
        <v>2914</v>
      </c>
      <c r="J16" s="22" t="s">
        <v>152</v>
      </c>
      <c r="K16" s="22">
        <v>11.398999999999999</v>
      </c>
      <c r="L16" s="22" t="s">
        <v>152</v>
      </c>
      <c r="N16" s="37">
        <v>1000</v>
      </c>
      <c r="O16" s="37">
        <v>1000</v>
      </c>
      <c r="P16" s="37">
        <v>1000</v>
      </c>
    </row>
    <row r="17" spans="1:16" ht="28.2" thickBot="1" x14ac:dyDescent="0.3">
      <c r="A17" s="22">
        <v>15</v>
      </c>
      <c r="B17" s="22" t="s">
        <v>3695</v>
      </c>
      <c r="C17" s="22" t="s">
        <v>4323</v>
      </c>
      <c r="D17" s="22" t="s">
        <v>152</v>
      </c>
      <c r="E17" s="22" t="s">
        <v>4365</v>
      </c>
      <c r="F17" s="22" t="s">
        <v>4366</v>
      </c>
      <c r="H17" s="22">
        <v>16</v>
      </c>
      <c r="I17" s="22" t="s">
        <v>2029</v>
      </c>
      <c r="J17" s="22">
        <v>3.0089999999999999</v>
      </c>
      <c r="K17" s="22">
        <v>4.2359999999999998</v>
      </c>
      <c r="L17" s="22">
        <v>5.5069999999999997</v>
      </c>
      <c r="N17" s="37">
        <v>1000</v>
      </c>
      <c r="O17" s="37">
        <v>1000</v>
      </c>
      <c r="P17" s="37">
        <v>1000</v>
      </c>
    </row>
    <row r="18" spans="1:16" ht="28.2" thickBot="1" x14ac:dyDescent="0.3">
      <c r="A18" s="22">
        <v>16</v>
      </c>
      <c r="B18" s="22" t="s">
        <v>4367</v>
      </c>
      <c r="C18" s="22" t="s">
        <v>4323</v>
      </c>
      <c r="D18" s="22" t="s">
        <v>4368</v>
      </c>
      <c r="E18" s="22" t="s">
        <v>4369</v>
      </c>
      <c r="F18" s="22" t="s">
        <v>4370</v>
      </c>
      <c r="H18" s="22">
        <v>17</v>
      </c>
      <c r="I18" s="22" t="s">
        <v>2028</v>
      </c>
      <c r="J18" s="22">
        <v>6.399</v>
      </c>
      <c r="K18" s="22">
        <v>5.2510000000000003</v>
      </c>
      <c r="L18" s="22">
        <v>5.8780000000000001</v>
      </c>
      <c r="N18" s="37">
        <v>1000</v>
      </c>
      <c r="O18" s="37">
        <v>1000</v>
      </c>
      <c r="P18" s="37">
        <v>1000</v>
      </c>
    </row>
    <row r="19" spans="1:16" ht="28.2" thickBot="1" x14ac:dyDescent="0.3">
      <c r="A19" s="22">
        <v>17</v>
      </c>
      <c r="B19" s="22" t="s">
        <v>4305</v>
      </c>
      <c r="C19" s="22" t="s">
        <v>4323</v>
      </c>
      <c r="D19" s="22" t="s">
        <v>4371</v>
      </c>
      <c r="E19" s="22" t="s">
        <v>4372</v>
      </c>
      <c r="F19" s="22" t="s">
        <v>4373</v>
      </c>
      <c r="H19" s="22">
        <v>18</v>
      </c>
      <c r="I19" s="22" t="s">
        <v>2915</v>
      </c>
      <c r="J19" s="22" t="s">
        <v>152</v>
      </c>
      <c r="K19" s="22" t="s">
        <v>152</v>
      </c>
      <c r="L19" s="22">
        <v>5.4630000000000001</v>
      </c>
      <c r="N19" s="37">
        <v>1000</v>
      </c>
      <c r="O19" s="37">
        <v>1000</v>
      </c>
      <c r="P19" s="37">
        <v>1000</v>
      </c>
    </row>
    <row r="20" spans="1:16" ht="28.2" thickBot="1" x14ac:dyDescent="0.3">
      <c r="A20" s="22">
        <v>18</v>
      </c>
      <c r="B20" s="22" t="s">
        <v>2897</v>
      </c>
      <c r="C20" s="22" t="s">
        <v>4323</v>
      </c>
      <c r="D20" s="22" t="s">
        <v>4374</v>
      </c>
      <c r="E20" s="22" t="s">
        <v>4375</v>
      </c>
      <c r="F20" s="22" t="s">
        <v>4376</v>
      </c>
      <c r="H20" s="22">
        <v>19</v>
      </c>
      <c r="I20" s="22" t="s">
        <v>2318</v>
      </c>
      <c r="J20" s="22">
        <v>4.9000000000000002E-2</v>
      </c>
      <c r="K20" s="22">
        <v>0.16800000000000001</v>
      </c>
      <c r="L20" s="22">
        <v>0.26900000000000002</v>
      </c>
      <c r="N20" s="37">
        <v>1000</v>
      </c>
      <c r="O20" s="37">
        <v>1000</v>
      </c>
      <c r="P20" s="37">
        <v>1000</v>
      </c>
    </row>
    <row r="21" spans="1:16" ht="28.2" thickBot="1" x14ac:dyDescent="0.3">
      <c r="A21" s="22">
        <v>19</v>
      </c>
      <c r="B21" s="22" t="s">
        <v>2362</v>
      </c>
      <c r="C21" s="22" t="s">
        <v>4323</v>
      </c>
      <c r="D21" s="22" t="s">
        <v>152</v>
      </c>
      <c r="E21" s="22" t="s">
        <v>4377</v>
      </c>
      <c r="F21" s="22" t="s">
        <v>152</v>
      </c>
      <c r="H21" s="22">
        <v>20</v>
      </c>
      <c r="I21" s="22" t="s">
        <v>2362</v>
      </c>
      <c r="J21" s="22" t="s">
        <v>152</v>
      </c>
      <c r="K21" s="22">
        <v>0.127</v>
      </c>
      <c r="L21" s="22" t="s">
        <v>152</v>
      </c>
      <c r="N21" s="37">
        <v>1000</v>
      </c>
      <c r="O21" s="37">
        <v>1000</v>
      </c>
      <c r="P21" s="37">
        <v>1000</v>
      </c>
    </row>
    <row r="22" spans="1:16" ht="28.2" thickBot="1" x14ac:dyDescent="0.3">
      <c r="A22" s="22">
        <v>20</v>
      </c>
      <c r="B22" s="22" t="s">
        <v>2365</v>
      </c>
      <c r="C22" s="22" t="s">
        <v>4323</v>
      </c>
      <c r="D22" s="22" t="s">
        <v>4378</v>
      </c>
      <c r="E22" s="22" t="s">
        <v>4379</v>
      </c>
      <c r="F22" s="22" t="s">
        <v>4380</v>
      </c>
      <c r="H22" s="22">
        <v>21</v>
      </c>
      <c r="I22" s="22" t="s">
        <v>2942</v>
      </c>
      <c r="J22" s="22">
        <v>3.718</v>
      </c>
      <c r="K22" s="22">
        <v>0.26800000000000002</v>
      </c>
      <c r="L22" s="22">
        <v>3.88</v>
      </c>
      <c r="N22" s="37">
        <v>1000</v>
      </c>
      <c r="O22" s="37">
        <v>1000</v>
      </c>
      <c r="P22" s="37">
        <v>1000</v>
      </c>
    </row>
    <row r="23" spans="1:16" ht="28.2" thickBot="1" x14ac:dyDescent="0.3">
      <c r="A23" s="22">
        <v>21</v>
      </c>
      <c r="B23" s="22" t="s">
        <v>4381</v>
      </c>
      <c r="C23" s="22" t="s">
        <v>4382</v>
      </c>
      <c r="D23" s="22" t="s">
        <v>4383</v>
      </c>
      <c r="E23" s="22" t="s">
        <v>4384</v>
      </c>
      <c r="F23" s="22" t="s">
        <v>4385</v>
      </c>
      <c r="H23" s="22">
        <v>22</v>
      </c>
      <c r="I23" s="22" t="s">
        <v>3157</v>
      </c>
      <c r="J23" s="22">
        <v>3.8</v>
      </c>
      <c r="K23" s="22">
        <v>10.525</v>
      </c>
      <c r="L23" s="22">
        <v>10.856</v>
      </c>
      <c r="N23" s="37">
        <v>1000</v>
      </c>
      <c r="O23" s="37">
        <v>1000</v>
      </c>
      <c r="P23" s="37">
        <v>1000</v>
      </c>
    </row>
    <row r="24" spans="1:16" ht="42" thickBot="1" x14ac:dyDescent="0.3">
      <c r="A24" s="22">
        <v>22</v>
      </c>
      <c r="B24" s="22" t="s">
        <v>3475</v>
      </c>
      <c r="C24" s="22" t="s">
        <v>4323</v>
      </c>
      <c r="D24" s="22" t="s">
        <v>152</v>
      </c>
      <c r="E24" s="22" t="s">
        <v>152</v>
      </c>
      <c r="F24" s="22" t="s">
        <v>4386</v>
      </c>
      <c r="H24" s="22">
        <v>23</v>
      </c>
      <c r="I24" s="22" t="s">
        <v>2917</v>
      </c>
      <c r="J24" s="22">
        <v>5.1580000000000004</v>
      </c>
      <c r="K24" s="22">
        <v>4.9950000000000001</v>
      </c>
      <c r="L24" s="22">
        <v>7.7649999999999997</v>
      </c>
      <c r="N24" s="37">
        <v>1000</v>
      </c>
      <c r="O24" s="37">
        <v>1000</v>
      </c>
      <c r="P24" s="37">
        <v>1000</v>
      </c>
    </row>
    <row r="25" spans="1:16" ht="28.2" thickBot="1" x14ac:dyDescent="0.3">
      <c r="A25" s="22">
        <v>23</v>
      </c>
      <c r="B25" s="22" t="s">
        <v>3477</v>
      </c>
      <c r="C25" s="22" t="s">
        <v>4323</v>
      </c>
      <c r="D25" s="22" t="s">
        <v>4387</v>
      </c>
      <c r="E25" s="22" t="s">
        <v>4388</v>
      </c>
      <c r="F25" s="22" t="s">
        <v>4389</v>
      </c>
      <c r="H25" s="22">
        <v>24</v>
      </c>
      <c r="I25" s="22" t="s">
        <v>2918</v>
      </c>
      <c r="J25" s="22" t="s">
        <v>2908</v>
      </c>
      <c r="K25" s="22" t="s">
        <v>2908</v>
      </c>
      <c r="L25" s="22" t="s">
        <v>2908</v>
      </c>
      <c r="N25" s="37">
        <v>1000</v>
      </c>
      <c r="O25" s="37">
        <v>1000</v>
      </c>
      <c r="P25" s="37">
        <v>1000</v>
      </c>
    </row>
    <row r="26" spans="1:16" ht="28.2" thickBot="1" x14ac:dyDescent="0.3">
      <c r="A26" s="22">
        <v>24</v>
      </c>
      <c r="B26" s="22" t="s">
        <v>4301</v>
      </c>
      <c r="C26" s="22" t="s">
        <v>4323</v>
      </c>
      <c r="D26" s="22" t="s">
        <v>4390</v>
      </c>
      <c r="E26" s="22" t="s">
        <v>4391</v>
      </c>
      <c r="F26" s="22" t="s">
        <v>4392</v>
      </c>
      <c r="H26" s="22">
        <v>25</v>
      </c>
      <c r="I26" s="22" t="s">
        <v>4307</v>
      </c>
      <c r="J26" s="22">
        <v>0.85199999999999998</v>
      </c>
      <c r="K26" s="22">
        <v>1.0089999999999999</v>
      </c>
      <c r="L26" s="22">
        <v>0.82099999999999995</v>
      </c>
      <c r="N26" s="37">
        <v>1000</v>
      </c>
      <c r="O26" s="37">
        <v>1000</v>
      </c>
      <c r="P26" s="37">
        <v>1000</v>
      </c>
    </row>
    <row r="27" spans="1:16" ht="28.2" thickBot="1" x14ac:dyDescent="0.3">
      <c r="A27" s="22">
        <v>25</v>
      </c>
      <c r="B27" s="22" t="s">
        <v>2178</v>
      </c>
      <c r="C27" s="22" t="s">
        <v>4323</v>
      </c>
      <c r="D27" s="22" t="s">
        <v>4393</v>
      </c>
      <c r="E27" s="22" t="s">
        <v>152</v>
      </c>
      <c r="F27" s="22" t="s">
        <v>4394</v>
      </c>
      <c r="H27" s="22">
        <v>26</v>
      </c>
      <c r="I27" s="22" t="s">
        <v>2358</v>
      </c>
      <c r="J27" s="22" t="s">
        <v>2908</v>
      </c>
      <c r="K27" s="22" t="s">
        <v>2908</v>
      </c>
      <c r="L27" s="22" t="s">
        <v>2908</v>
      </c>
      <c r="N27" s="37">
        <v>1000</v>
      </c>
      <c r="O27" s="37">
        <v>1000</v>
      </c>
      <c r="P27" s="37">
        <v>1000</v>
      </c>
    </row>
    <row r="28" spans="1:16" ht="28.2" thickBot="1" x14ac:dyDescent="0.3">
      <c r="A28" s="22">
        <v>26</v>
      </c>
      <c r="B28" s="22" t="s">
        <v>2898</v>
      </c>
      <c r="C28" s="22" t="s">
        <v>4323</v>
      </c>
      <c r="D28" s="22" t="s">
        <v>4395</v>
      </c>
      <c r="E28" s="22" t="s">
        <v>152</v>
      </c>
      <c r="F28" s="22" t="s">
        <v>152</v>
      </c>
      <c r="H28" s="22">
        <v>27</v>
      </c>
      <c r="I28" s="22" t="s">
        <v>2359</v>
      </c>
      <c r="J28" s="22">
        <v>0.80500000000000005</v>
      </c>
      <c r="K28" s="22">
        <v>1.0620000000000001</v>
      </c>
      <c r="L28" s="22">
        <v>1.776</v>
      </c>
      <c r="N28" s="37">
        <v>1000</v>
      </c>
      <c r="O28" s="37">
        <v>1000</v>
      </c>
      <c r="P28" s="37">
        <v>1000</v>
      </c>
    </row>
    <row r="29" spans="1:16" ht="28.2" thickBot="1" x14ac:dyDescent="0.3">
      <c r="A29" s="22">
        <v>27</v>
      </c>
      <c r="B29" s="22" t="s">
        <v>4396</v>
      </c>
      <c r="C29" s="22" t="s">
        <v>4323</v>
      </c>
      <c r="D29" s="22" t="s">
        <v>4397</v>
      </c>
      <c r="E29" s="22" t="s">
        <v>152</v>
      </c>
      <c r="F29" s="22" t="s">
        <v>152</v>
      </c>
      <c r="H29" s="22">
        <v>28</v>
      </c>
      <c r="I29" s="22" t="s">
        <v>2024</v>
      </c>
      <c r="J29" s="22">
        <v>32.058999999999997</v>
      </c>
      <c r="K29" s="22">
        <v>25.204999999999998</v>
      </c>
      <c r="L29" s="22">
        <v>24.457000000000001</v>
      </c>
      <c r="N29" s="37">
        <v>1000</v>
      </c>
      <c r="O29" s="37">
        <v>1000</v>
      </c>
      <c r="P29" s="37">
        <v>1000</v>
      </c>
    </row>
    <row r="30" spans="1:16" ht="28.2" thickBot="1" x14ac:dyDescent="0.3">
      <c r="A30" s="22">
        <v>28</v>
      </c>
      <c r="B30" s="22" t="s">
        <v>4398</v>
      </c>
      <c r="C30" s="22" t="s">
        <v>4323</v>
      </c>
      <c r="D30" s="22" t="s">
        <v>4399</v>
      </c>
      <c r="E30" s="22" t="s">
        <v>4400</v>
      </c>
      <c r="F30" s="22" t="s">
        <v>4401</v>
      </c>
      <c r="H30" s="22">
        <v>29</v>
      </c>
      <c r="I30" s="22" t="s">
        <v>2892</v>
      </c>
      <c r="J30" s="22" t="s">
        <v>2908</v>
      </c>
      <c r="K30" s="22" t="s">
        <v>2908</v>
      </c>
      <c r="L30" s="22" t="s">
        <v>2908</v>
      </c>
      <c r="N30" s="37">
        <v>1000</v>
      </c>
      <c r="O30" s="37">
        <v>1000</v>
      </c>
      <c r="P30" s="37">
        <v>1000</v>
      </c>
    </row>
    <row r="31" spans="1:16" ht="28.2" thickBot="1" x14ac:dyDescent="0.3">
      <c r="A31" s="22">
        <v>29</v>
      </c>
      <c r="B31" s="22" t="s">
        <v>4402</v>
      </c>
      <c r="C31" s="22" t="s">
        <v>4323</v>
      </c>
      <c r="D31" s="22" t="s">
        <v>4403</v>
      </c>
      <c r="E31" s="22" t="s">
        <v>4404</v>
      </c>
      <c r="F31" s="22" t="s">
        <v>152</v>
      </c>
      <c r="H31" s="22">
        <v>30</v>
      </c>
      <c r="I31" s="22" t="s">
        <v>4637</v>
      </c>
      <c r="J31" s="22">
        <v>0.36599999999999999</v>
      </c>
      <c r="K31" s="22">
        <v>0.30499999999999999</v>
      </c>
      <c r="L31" s="22">
        <v>0.40799999999999997</v>
      </c>
      <c r="N31" s="37">
        <v>1000</v>
      </c>
      <c r="O31" s="37">
        <v>1000</v>
      </c>
      <c r="P31" s="37">
        <v>1000</v>
      </c>
    </row>
    <row r="32" spans="1:16" ht="28.2" thickBot="1" x14ac:dyDescent="0.3">
      <c r="A32" s="22">
        <v>30</v>
      </c>
      <c r="B32" s="22" t="s">
        <v>3916</v>
      </c>
      <c r="C32" s="22" t="s">
        <v>4323</v>
      </c>
      <c r="D32" s="22" t="s">
        <v>152</v>
      </c>
      <c r="E32" s="22" t="s">
        <v>4405</v>
      </c>
      <c r="F32" s="22" t="s">
        <v>4406</v>
      </c>
      <c r="H32" s="22">
        <v>31</v>
      </c>
      <c r="I32" s="22" t="s">
        <v>2174</v>
      </c>
      <c r="J32" s="22">
        <v>10.961</v>
      </c>
      <c r="K32" s="22">
        <v>5.0309999999999997</v>
      </c>
      <c r="L32" s="22">
        <v>17.651</v>
      </c>
      <c r="N32" s="37">
        <v>1000</v>
      </c>
      <c r="O32" s="37">
        <v>1000</v>
      </c>
      <c r="P32" s="37">
        <v>1000</v>
      </c>
    </row>
    <row r="33" spans="1:16" ht="28.2" thickBot="1" x14ac:dyDescent="0.3">
      <c r="A33" s="22">
        <v>31</v>
      </c>
      <c r="B33" s="22" t="s">
        <v>2899</v>
      </c>
      <c r="C33" s="22" t="s">
        <v>4323</v>
      </c>
      <c r="D33" s="22" t="s">
        <v>152</v>
      </c>
      <c r="E33" s="22" t="s">
        <v>4407</v>
      </c>
      <c r="F33" s="22" t="s">
        <v>152</v>
      </c>
      <c r="H33" s="22">
        <v>32</v>
      </c>
      <c r="I33" s="22" t="s">
        <v>2180</v>
      </c>
      <c r="J33" s="22">
        <v>0.26500000000000001</v>
      </c>
      <c r="K33" s="22" t="s">
        <v>152</v>
      </c>
      <c r="L33" s="22">
        <v>0.496</v>
      </c>
      <c r="N33" s="37">
        <v>1000</v>
      </c>
      <c r="O33" s="37">
        <v>1000</v>
      </c>
      <c r="P33" s="37">
        <v>1000</v>
      </c>
    </row>
    <row r="34" spans="1:16" ht="28.2" thickBot="1" x14ac:dyDescent="0.3">
      <c r="A34" s="22">
        <v>32</v>
      </c>
      <c r="B34" s="22" t="s">
        <v>2393</v>
      </c>
      <c r="C34" s="22" t="s">
        <v>4323</v>
      </c>
      <c r="D34" s="22" t="s">
        <v>4408</v>
      </c>
      <c r="E34" s="22" t="s">
        <v>4409</v>
      </c>
      <c r="F34" s="22" t="s">
        <v>4410</v>
      </c>
      <c r="H34" s="22">
        <v>33</v>
      </c>
      <c r="I34" s="22" t="s">
        <v>2020</v>
      </c>
      <c r="J34" s="22" t="s">
        <v>2908</v>
      </c>
      <c r="K34" s="22" t="s">
        <v>2908</v>
      </c>
      <c r="L34" s="22" t="s">
        <v>2908</v>
      </c>
      <c r="N34" s="37">
        <v>1000</v>
      </c>
      <c r="O34" s="37">
        <v>1000</v>
      </c>
      <c r="P34" s="37">
        <v>1000</v>
      </c>
    </row>
    <row r="35" spans="1:16" ht="28.2" thickBot="1" x14ac:dyDescent="0.3">
      <c r="A35" s="22">
        <v>33</v>
      </c>
      <c r="B35" s="22" t="s">
        <v>4411</v>
      </c>
      <c r="C35" s="22" t="s">
        <v>4323</v>
      </c>
      <c r="D35" s="22" t="s">
        <v>152</v>
      </c>
      <c r="E35" s="22" t="s">
        <v>152</v>
      </c>
      <c r="F35" s="22" t="s">
        <v>4412</v>
      </c>
      <c r="H35" s="22">
        <v>34</v>
      </c>
      <c r="I35" s="22" t="s">
        <v>2177</v>
      </c>
      <c r="J35" s="22" t="s">
        <v>2908</v>
      </c>
      <c r="K35" s="22" t="s">
        <v>2908</v>
      </c>
      <c r="L35" s="22" t="s">
        <v>2908</v>
      </c>
      <c r="N35" s="37">
        <v>1000</v>
      </c>
      <c r="O35" s="37">
        <v>1000</v>
      </c>
      <c r="P35" s="37">
        <v>1000</v>
      </c>
    </row>
    <row r="36" spans="1:16" ht="28.2" thickBot="1" x14ac:dyDescent="0.3">
      <c r="A36" s="22">
        <v>34</v>
      </c>
      <c r="B36" s="22" t="s">
        <v>2023</v>
      </c>
      <c r="C36" s="22" t="s">
        <v>4323</v>
      </c>
      <c r="D36" s="22" t="s">
        <v>4413</v>
      </c>
      <c r="E36" s="22" t="s">
        <v>4414</v>
      </c>
      <c r="F36" s="22" t="s">
        <v>4415</v>
      </c>
      <c r="H36" s="22">
        <v>35</v>
      </c>
      <c r="I36" s="22" t="s">
        <v>2175</v>
      </c>
      <c r="J36" s="22" t="s">
        <v>2908</v>
      </c>
      <c r="K36" s="22" t="s">
        <v>2908</v>
      </c>
      <c r="L36" s="22" t="s">
        <v>2908</v>
      </c>
      <c r="N36" s="37">
        <v>1000</v>
      </c>
      <c r="O36" s="37">
        <v>1000</v>
      </c>
      <c r="P36" s="37">
        <v>1000</v>
      </c>
    </row>
    <row r="37" spans="1:16" ht="28.2" thickBot="1" x14ac:dyDescent="0.3">
      <c r="A37" s="22">
        <v>35</v>
      </c>
      <c r="B37" s="22" t="s">
        <v>4304</v>
      </c>
      <c r="C37" s="22" t="s">
        <v>4323</v>
      </c>
      <c r="D37" s="22" t="s">
        <v>152</v>
      </c>
      <c r="E37" s="22" t="s">
        <v>152</v>
      </c>
      <c r="F37" s="22" t="s">
        <v>4416</v>
      </c>
      <c r="H37" s="22">
        <v>36</v>
      </c>
      <c r="I37" s="22" t="s">
        <v>2026</v>
      </c>
      <c r="J37" s="22" t="s">
        <v>2908</v>
      </c>
      <c r="K37" s="22" t="s">
        <v>2908</v>
      </c>
      <c r="L37" s="22" t="s">
        <v>2908</v>
      </c>
      <c r="N37" s="37">
        <v>1000</v>
      </c>
      <c r="O37" s="37">
        <v>1000</v>
      </c>
      <c r="P37" s="37">
        <v>1000</v>
      </c>
    </row>
    <row r="38" spans="1:16" ht="28.2" thickBot="1" x14ac:dyDescent="0.3">
      <c r="A38" s="22">
        <v>36</v>
      </c>
      <c r="B38" s="22" t="s">
        <v>3420</v>
      </c>
      <c r="C38" s="22" t="s">
        <v>4323</v>
      </c>
      <c r="D38" s="22" t="s">
        <v>4417</v>
      </c>
      <c r="E38" s="22" t="s">
        <v>4418</v>
      </c>
      <c r="F38" s="22" t="s">
        <v>4419</v>
      </c>
      <c r="H38" s="22">
        <v>37</v>
      </c>
      <c r="I38" s="22" t="s">
        <v>2920</v>
      </c>
      <c r="J38" s="22">
        <v>0.66200000000000003</v>
      </c>
      <c r="K38" s="22" t="s">
        <v>152</v>
      </c>
      <c r="L38" s="22">
        <v>1.4470000000000001</v>
      </c>
      <c r="N38" s="37">
        <v>1000</v>
      </c>
      <c r="O38" s="37">
        <v>1000</v>
      </c>
      <c r="P38" s="37">
        <v>1000</v>
      </c>
    </row>
    <row r="39" spans="1:16" ht="28.2" thickBot="1" x14ac:dyDescent="0.3">
      <c r="A39" s="22">
        <v>37</v>
      </c>
      <c r="B39" s="22" t="s">
        <v>2382</v>
      </c>
      <c r="C39" s="22" t="s">
        <v>4323</v>
      </c>
      <c r="D39" s="22" t="s">
        <v>4420</v>
      </c>
      <c r="E39" s="22" t="s">
        <v>152</v>
      </c>
      <c r="F39" s="22" t="s">
        <v>4421</v>
      </c>
      <c r="H39" s="22">
        <v>38</v>
      </c>
      <c r="I39" s="22" t="s">
        <v>2320</v>
      </c>
      <c r="J39" s="22">
        <v>0.05</v>
      </c>
      <c r="K39" s="22">
        <v>7.3999999999999996E-2</v>
      </c>
      <c r="L39" s="22">
        <v>0.17899999999999999</v>
      </c>
      <c r="N39" s="37">
        <v>1000</v>
      </c>
      <c r="O39" s="37">
        <v>1000</v>
      </c>
      <c r="P39" s="37">
        <v>1000</v>
      </c>
    </row>
    <row r="40" spans="1:16" ht="55.8" thickBot="1" x14ac:dyDescent="0.3">
      <c r="A40" s="22">
        <v>38</v>
      </c>
      <c r="B40" s="22" t="s">
        <v>3422</v>
      </c>
      <c r="C40" s="22" t="s">
        <v>4323</v>
      </c>
      <c r="D40" s="22" t="s">
        <v>4422</v>
      </c>
      <c r="E40" s="22" t="s">
        <v>152</v>
      </c>
      <c r="F40" s="22" t="s">
        <v>4423</v>
      </c>
      <c r="H40" s="22">
        <v>39</v>
      </c>
      <c r="I40" s="22" t="s">
        <v>2857</v>
      </c>
      <c r="J40" s="22">
        <v>0.38200000000000001</v>
      </c>
      <c r="K40" s="22">
        <v>0.35099999999999998</v>
      </c>
      <c r="L40" s="22" t="s">
        <v>152</v>
      </c>
      <c r="N40" s="37">
        <v>1000</v>
      </c>
      <c r="O40" s="37">
        <v>1000</v>
      </c>
      <c r="P40" s="37">
        <v>1000</v>
      </c>
    </row>
    <row r="41" spans="1:16" ht="28.2" thickBot="1" x14ac:dyDescent="0.3">
      <c r="A41" s="22">
        <v>39</v>
      </c>
      <c r="B41" s="22" t="s">
        <v>4424</v>
      </c>
      <c r="C41" s="22" t="s">
        <v>4323</v>
      </c>
      <c r="D41" s="22" t="s">
        <v>152</v>
      </c>
      <c r="E41" s="22" t="s">
        <v>4425</v>
      </c>
      <c r="F41" s="22" t="s">
        <v>152</v>
      </c>
      <c r="H41" s="22">
        <v>40</v>
      </c>
      <c r="I41" s="22" t="s">
        <v>2921</v>
      </c>
      <c r="J41" s="22" t="s">
        <v>2908</v>
      </c>
      <c r="K41" s="22" t="s">
        <v>2908</v>
      </c>
      <c r="L41" s="22" t="s">
        <v>2908</v>
      </c>
      <c r="N41" s="37">
        <v>1000</v>
      </c>
      <c r="O41" s="37">
        <v>1000</v>
      </c>
      <c r="P41" s="37">
        <v>1000</v>
      </c>
    </row>
    <row r="42" spans="1:16" ht="28.2" thickBot="1" x14ac:dyDescent="0.3">
      <c r="A42" s="22">
        <v>40</v>
      </c>
      <c r="B42" s="22" t="s">
        <v>4426</v>
      </c>
      <c r="C42" s="22" t="s">
        <v>4323</v>
      </c>
      <c r="D42" s="22" t="s">
        <v>4427</v>
      </c>
      <c r="E42" s="22" t="s">
        <v>4428</v>
      </c>
      <c r="F42" s="22" t="s">
        <v>4429</v>
      </c>
      <c r="H42" s="22">
        <v>41</v>
      </c>
      <c r="I42" s="22" t="s">
        <v>2922</v>
      </c>
      <c r="J42" s="22" t="s">
        <v>152</v>
      </c>
      <c r="K42" s="22" t="s">
        <v>152</v>
      </c>
      <c r="L42" s="22" t="s">
        <v>152</v>
      </c>
      <c r="N42" s="37">
        <v>1000</v>
      </c>
      <c r="O42" s="37">
        <v>1000</v>
      </c>
      <c r="P42" s="37">
        <v>1000</v>
      </c>
    </row>
    <row r="43" spans="1:16" ht="28.2" thickBot="1" x14ac:dyDescent="0.3">
      <c r="A43" s="22">
        <v>41</v>
      </c>
      <c r="B43" s="22" t="s">
        <v>3423</v>
      </c>
      <c r="C43" s="22" t="s">
        <v>4323</v>
      </c>
      <c r="D43" s="22" t="s">
        <v>152</v>
      </c>
      <c r="E43" s="22" t="s">
        <v>4430</v>
      </c>
      <c r="F43" s="22" t="s">
        <v>4431</v>
      </c>
      <c r="H43" s="22">
        <v>42</v>
      </c>
      <c r="I43" s="22" t="s">
        <v>2341</v>
      </c>
      <c r="J43" s="22">
        <v>0.442</v>
      </c>
      <c r="K43" s="22">
        <v>0.38600000000000001</v>
      </c>
      <c r="L43" s="22">
        <v>0.57699999999999996</v>
      </c>
      <c r="N43" s="37">
        <v>1000</v>
      </c>
      <c r="O43" s="37">
        <v>1000</v>
      </c>
      <c r="P43" s="37">
        <v>1000</v>
      </c>
    </row>
    <row r="44" spans="1:16" ht="42" thickBot="1" x14ac:dyDescent="0.3">
      <c r="A44" s="22">
        <v>42</v>
      </c>
      <c r="B44" s="22" t="s">
        <v>3425</v>
      </c>
      <c r="C44" s="22" t="s">
        <v>4323</v>
      </c>
      <c r="D44" s="22" t="s">
        <v>4432</v>
      </c>
      <c r="E44" s="22" t="s">
        <v>4433</v>
      </c>
      <c r="F44" s="22" t="s">
        <v>4434</v>
      </c>
      <c r="H44" s="22">
        <v>43</v>
      </c>
      <c r="I44" s="22" t="s">
        <v>4638</v>
      </c>
      <c r="J44" s="22">
        <v>4.2999999999999997E-2</v>
      </c>
      <c r="K44" s="22" t="s">
        <v>152</v>
      </c>
      <c r="L44" s="22" t="s">
        <v>152</v>
      </c>
      <c r="N44" s="37">
        <v>1000</v>
      </c>
      <c r="O44" s="37">
        <v>1000</v>
      </c>
      <c r="P44" s="37">
        <v>1000</v>
      </c>
    </row>
    <row r="45" spans="1:16" ht="42" thickBot="1" x14ac:dyDescent="0.3">
      <c r="A45" s="22">
        <v>43</v>
      </c>
      <c r="B45" s="22" t="s">
        <v>4435</v>
      </c>
      <c r="C45" s="22" t="s">
        <v>4323</v>
      </c>
      <c r="D45" s="22" t="s">
        <v>152</v>
      </c>
      <c r="E45" s="22" t="s">
        <v>152</v>
      </c>
      <c r="F45" s="22" t="s">
        <v>4436</v>
      </c>
      <c r="H45" s="22">
        <v>44</v>
      </c>
      <c r="I45" s="22" t="s">
        <v>2923</v>
      </c>
      <c r="J45" s="22" t="s">
        <v>2908</v>
      </c>
      <c r="K45" s="22" t="s">
        <v>2908</v>
      </c>
      <c r="L45" s="22" t="s">
        <v>2908</v>
      </c>
      <c r="N45" s="37">
        <v>1000</v>
      </c>
      <c r="O45" s="37">
        <v>1000</v>
      </c>
      <c r="P45" s="37">
        <v>1000</v>
      </c>
    </row>
    <row r="46" spans="1:16" ht="42" thickBot="1" x14ac:dyDescent="0.3">
      <c r="A46" s="22">
        <v>44</v>
      </c>
      <c r="B46" s="22" t="s">
        <v>4437</v>
      </c>
      <c r="C46" s="22" t="s">
        <v>4382</v>
      </c>
      <c r="D46" s="22" t="s">
        <v>4438</v>
      </c>
      <c r="E46" s="22" t="s">
        <v>4439</v>
      </c>
      <c r="F46" s="22" t="s">
        <v>4440</v>
      </c>
      <c r="H46" s="22">
        <v>45</v>
      </c>
      <c r="I46" s="22" t="s">
        <v>2924</v>
      </c>
      <c r="J46" s="22">
        <v>7.0999999999999994E-2</v>
      </c>
      <c r="K46" s="22">
        <v>6.8000000000000005E-2</v>
      </c>
      <c r="L46" s="22">
        <v>3.7999999999999999E-2</v>
      </c>
      <c r="N46" s="37">
        <v>1000</v>
      </c>
      <c r="O46" s="37">
        <v>1000</v>
      </c>
      <c r="P46" s="37">
        <v>1000</v>
      </c>
    </row>
    <row r="47" spans="1:16" ht="42" thickBot="1" x14ac:dyDescent="0.3">
      <c r="A47" s="22">
        <v>45</v>
      </c>
      <c r="B47" s="22" t="s">
        <v>4306</v>
      </c>
      <c r="C47" s="22" t="s">
        <v>4323</v>
      </c>
      <c r="D47" s="22" t="s">
        <v>4441</v>
      </c>
      <c r="E47" s="22" t="s">
        <v>4442</v>
      </c>
      <c r="F47" s="22" t="s">
        <v>4443</v>
      </c>
      <c r="H47" s="22">
        <v>46</v>
      </c>
      <c r="I47" s="22" t="s">
        <v>2925</v>
      </c>
      <c r="J47" s="22">
        <v>2.7E-2</v>
      </c>
      <c r="K47" s="22">
        <v>2.9000000000000001E-2</v>
      </c>
      <c r="L47" s="22">
        <v>1.6E-2</v>
      </c>
      <c r="N47" s="37">
        <v>1000</v>
      </c>
      <c r="O47" s="37">
        <v>1000</v>
      </c>
      <c r="P47" s="37">
        <v>1000</v>
      </c>
    </row>
    <row r="48" spans="1:16" ht="28.2" thickBot="1" x14ac:dyDescent="0.3">
      <c r="A48" s="22">
        <v>46</v>
      </c>
      <c r="B48" s="22" t="s">
        <v>4444</v>
      </c>
      <c r="C48" s="22" t="s">
        <v>4323</v>
      </c>
      <c r="D48" s="22" t="s">
        <v>4445</v>
      </c>
      <c r="E48" s="22" t="s">
        <v>152</v>
      </c>
      <c r="F48" s="22" t="s">
        <v>152</v>
      </c>
      <c r="H48" s="22">
        <v>47</v>
      </c>
      <c r="I48" s="22" t="s">
        <v>4642</v>
      </c>
      <c r="J48" s="22" t="s">
        <v>2908</v>
      </c>
      <c r="K48" s="22" t="s">
        <v>2908</v>
      </c>
      <c r="L48" s="22" t="s">
        <v>2908</v>
      </c>
      <c r="N48" s="37">
        <v>1000</v>
      </c>
      <c r="O48" s="37">
        <v>1000</v>
      </c>
      <c r="P48" s="37">
        <v>1000</v>
      </c>
    </row>
    <row r="49" spans="1:16" ht="28.2" thickBot="1" x14ac:dyDescent="0.3">
      <c r="A49" s="22">
        <v>47</v>
      </c>
      <c r="B49" s="22" t="s">
        <v>2186</v>
      </c>
      <c r="C49" s="22" t="s">
        <v>4323</v>
      </c>
      <c r="D49" s="22" t="s">
        <v>4446</v>
      </c>
      <c r="E49" s="22" t="s">
        <v>4447</v>
      </c>
      <c r="F49" s="22" t="s">
        <v>4448</v>
      </c>
      <c r="H49" s="22">
        <v>48</v>
      </c>
      <c r="I49" s="22" t="s">
        <v>2878</v>
      </c>
      <c r="J49" s="22" t="s">
        <v>2908</v>
      </c>
      <c r="K49" s="22" t="s">
        <v>2908</v>
      </c>
      <c r="L49" s="22" t="s">
        <v>2908</v>
      </c>
      <c r="N49" s="37">
        <v>1000</v>
      </c>
      <c r="O49" s="37">
        <v>1000</v>
      </c>
      <c r="P49" s="37">
        <v>1000</v>
      </c>
    </row>
    <row r="50" spans="1:16" ht="28.2" thickBot="1" x14ac:dyDescent="0.3">
      <c r="A50" s="22">
        <v>48</v>
      </c>
      <c r="B50" s="22" t="s">
        <v>3430</v>
      </c>
      <c r="C50" s="22" t="s">
        <v>4323</v>
      </c>
      <c r="D50" s="22" t="s">
        <v>152</v>
      </c>
      <c r="E50" s="22" t="s">
        <v>4449</v>
      </c>
      <c r="F50" s="22" t="s">
        <v>152</v>
      </c>
      <c r="H50" s="22">
        <v>49</v>
      </c>
      <c r="I50" s="22" t="s">
        <v>2927</v>
      </c>
      <c r="J50" s="22">
        <v>2.4900000000000002</v>
      </c>
      <c r="K50" s="22">
        <v>1.865</v>
      </c>
      <c r="L50" s="22">
        <v>2.6230000000000002</v>
      </c>
      <c r="N50" s="37">
        <v>1000</v>
      </c>
      <c r="O50" s="37">
        <v>1000</v>
      </c>
      <c r="P50" s="37">
        <v>1000</v>
      </c>
    </row>
    <row r="51" spans="1:16" ht="42" thickBot="1" x14ac:dyDescent="0.3">
      <c r="A51" s="22">
        <v>49</v>
      </c>
      <c r="B51" s="22" t="s">
        <v>2958</v>
      </c>
      <c r="C51" s="22" t="s">
        <v>4323</v>
      </c>
      <c r="D51" s="22" t="s">
        <v>4450</v>
      </c>
      <c r="E51" s="22" t="s">
        <v>4451</v>
      </c>
      <c r="F51" s="22" t="s">
        <v>4452</v>
      </c>
      <c r="H51" s="22">
        <v>50</v>
      </c>
      <c r="I51" s="22" t="s">
        <v>4639</v>
      </c>
      <c r="J51" s="22">
        <v>0.83099999999999996</v>
      </c>
      <c r="K51" s="22">
        <v>0.27800000000000002</v>
      </c>
      <c r="L51" s="22">
        <v>1.5289999999999999</v>
      </c>
      <c r="N51" s="37">
        <v>1000</v>
      </c>
      <c r="O51" s="37">
        <v>1000</v>
      </c>
      <c r="P51" s="37">
        <v>1000</v>
      </c>
    </row>
    <row r="52" spans="1:16" ht="28.2" thickBot="1" x14ac:dyDescent="0.3">
      <c r="A52" s="22">
        <v>50</v>
      </c>
      <c r="B52" s="22" t="s">
        <v>3434</v>
      </c>
      <c r="C52" s="22" t="s">
        <v>4323</v>
      </c>
      <c r="D52" s="22" t="s">
        <v>152</v>
      </c>
      <c r="E52" s="22" t="s">
        <v>4453</v>
      </c>
      <c r="F52" s="22" t="s">
        <v>4454</v>
      </c>
      <c r="H52" s="22">
        <v>51</v>
      </c>
      <c r="I52" s="22" t="s">
        <v>2170</v>
      </c>
      <c r="J52" s="22">
        <v>0.32100000000000001</v>
      </c>
      <c r="K52" s="22">
        <v>0.46400000000000002</v>
      </c>
      <c r="L52" s="22">
        <v>0.53</v>
      </c>
      <c r="N52" s="37">
        <v>1000</v>
      </c>
      <c r="O52" s="37">
        <v>1000</v>
      </c>
      <c r="P52" s="37">
        <v>1000</v>
      </c>
    </row>
    <row r="53" spans="1:16" ht="42" thickBot="1" x14ac:dyDescent="0.3">
      <c r="A53" s="22">
        <v>51</v>
      </c>
      <c r="B53" s="22" t="s">
        <v>3435</v>
      </c>
      <c r="C53" s="22" t="s">
        <v>4323</v>
      </c>
      <c r="D53" s="22" t="s">
        <v>4455</v>
      </c>
      <c r="E53" s="22" t="s">
        <v>152</v>
      </c>
      <c r="F53" s="22" t="s">
        <v>4456</v>
      </c>
      <c r="H53" s="22">
        <v>52</v>
      </c>
      <c r="I53" s="22" t="s">
        <v>4640</v>
      </c>
      <c r="J53" s="22">
        <v>6.9000000000000006E-2</v>
      </c>
      <c r="K53" s="22">
        <v>2.5999999999999999E-2</v>
      </c>
      <c r="L53" s="22" t="s">
        <v>152</v>
      </c>
      <c r="N53" s="37">
        <v>1000</v>
      </c>
      <c r="O53" s="37">
        <v>1000</v>
      </c>
      <c r="P53" s="37">
        <v>1000</v>
      </c>
    </row>
    <row r="54" spans="1:16" ht="28.2" thickBot="1" x14ac:dyDescent="0.3">
      <c r="A54" s="22">
        <v>52</v>
      </c>
      <c r="B54" s="22" t="s">
        <v>2901</v>
      </c>
      <c r="C54" s="22" t="s">
        <v>4323</v>
      </c>
      <c r="D54" s="22" t="s">
        <v>152</v>
      </c>
      <c r="E54" s="22" t="s">
        <v>4457</v>
      </c>
      <c r="F54" s="22" t="s">
        <v>4458</v>
      </c>
      <c r="H54" s="22">
        <v>53</v>
      </c>
      <c r="I54" s="22" t="s">
        <v>3819</v>
      </c>
      <c r="J54" s="22" t="s">
        <v>2908</v>
      </c>
      <c r="K54" s="22" t="s">
        <v>2908</v>
      </c>
      <c r="L54" s="22" t="s">
        <v>2908</v>
      </c>
      <c r="N54" s="37">
        <v>1000</v>
      </c>
      <c r="O54" s="37">
        <v>1000</v>
      </c>
      <c r="P54" s="37">
        <v>1000</v>
      </c>
    </row>
    <row r="55" spans="1:16" ht="28.2" thickBot="1" x14ac:dyDescent="0.3">
      <c r="A55" s="22">
        <v>53</v>
      </c>
      <c r="B55" s="22" t="s">
        <v>2318</v>
      </c>
      <c r="C55" s="22" t="s">
        <v>4323</v>
      </c>
      <c r="D55" s="22" t="s">
        <v>4459</v>
      </c>
      <c r="E55" s="22" t="s">
        <v>4460</v>
      </c>
      <c r="F55" s="22" t="s">
        <v>4461</v>
      </c>
      <c r="H55" s="22">
        <v>54</v>
      </c>
      <c r="I55" s="22" t="s">
        <v>2929</v>
      </c>
      <c r="J55" s="22">
        <v>0.86</v>
      </c>
      <c r="K55" s="22">
        <v>0.51600000000000001</v>
      </c>
      <c r="L55" s="22">
        <v>1.4510000000000001</v>
      </c>
      <c r="N55" s="37">
        <v>1000</v>
      </c>
      <c r="O55" s="37">
        <v>1000</v>
      </c>
      <c r="P55" s="37">
        <v>1000</v>
      </c>
    </row>
    <row r="56" spans="1:16" ht="28.2" thickBot="1" x14ac:dyDescent="0.3">
      <c r="A56" s="22">
        <v>54</v>
      </c>
      <c r="B56" s="22" t="s">
        <v>3247</v>
      </c>
      <c r="C56" s="22" t="s">
        <v>4323</v>
      </c>
      <c r="D56" s="22" t="s">
        <v>152</v>
      </c>
      <c r="E56" s="22" t="s">
        <v>152</v>
      </c>
      <c r="F56" s="22" t="s">
        <v>4462</v>
      </c>
      <c r="H56" s="22">
        <v>55</v>
      </c>
      <c r="I56" s="22" t="s">
        <v>2183</v>
      </c>
      <c r="J56" s="22" t="s">
        <v>2908</v>
      </c>
      <c r="K56" s="22" t="s">
        <v>2908</v>
      </c>
      <c r="L56" s="22" t="s">
        <v>2908</v>
      </c>
      <c r="N56" s="37">
        <v>1000</v>
      </c>
      <c r="O56" s="37">
        <v>1000</v>
      </c>
      <c r="P56" s="37">
        <v>1000</v>
      </c>
    </row>
    <row r="57" spans="1:16" ht="14.4" thickBot="1" x14ac:dyDescent="0.3">
      <c r="A57" s="21" t="s">
        <v>2941</v>
      </c>
      <c r="B57" s="22"/>
      <c r="C57" s="22"/>
      <c r="D57" s="22"/>
      <c r="E57" s="22"/>
      <c r="F57" s="22"/>
      <c r="H57" s="22">
        <v>56</v>
      </c>
      <c r="I57" s="22" t="s">
        <v>2185</v>
      </c>
      <c r="J57" s="22" t="s">
        <v>2908</v>
      </c>
      <c r="K57" s="22" t="s">
        <v>2908</v>
      </c>
      <c r="L57" s="22" t="s">
        <v>2908</v>
      </c>
      <c r="N57" s="37">
        <v>1000</v>
      </c>
      <c r="O57" s="37">
        <v>1000</v>
      </c>
      <c r="P57" s="37">
        <v>1000</v>
      </c>
    </row>
    <row r="58" spans="1:16" ht="28.2" thickBot="1" x14ac:dyDescent="0.3">
      <c r="A58" s="22">
        <v>55</v>
      </c>
      <c r="B58" s="22" t="s">
        <v>2868</v>
      </c>
      <c r="C58" s="22" t="s">
        <v>4323</v>
      </c>
      <c r="D58" s="22" t="s">
        <v>152</v>
      </c>
      <c r="E58" s="22" t="s">
        <v>4463</v>
      </c>
      <c r="F58" s="22" t="s">
        <v>4464</v>
      </c>
      <c r="H58" s="22">
        <v>57</v>
      </c>
      <c r="I58" s="22" t="s">
        <v>2930</v>
      </c>
      <c r="J58" s="22">
        <v>0.78500000000000003</v>
      </c>
      <c r="K58" s="22">
        <v>0.90500000000000003</v>
      </c>
      <c r="L58" s="22">
        <v>2.4889999999999999</v>
      </c>
      <c r="N58" s="37">
        <v>1000</v>
      </c>
      <c r="O58" s="37">
        <v>1000</v>
      </c>
      <c r="P58" s="37">
        <v>1000</v>
      </c>
    </row>
    <row r="59" spans="1:16" ht="28.2" thickBot="1" x14ac:dyDescent="0.3">
      <c r="A59" s="22">
        <v>56</v>
      </c>
      <c r="B59" s="22" t="s">
        <v>2359</v>
      </c>
      <c r="C59" s="22" t="s">
        <v>4323</v>
      </c>
      <c r="D59" s="22" t="s">
        <v>4465</v>
      </c>
      <c r="E59" s="22" t="s">
        <v>4466</v>
      </c>
      <c r="F59" s="22" t="s">
        <v>4467</v>
      </c>
      <c r="H59" s="22">
        <v>58</v>
      </c>
      <c r="I59" s="22" t="s">
        <v>2331</v>
      </c>
      <c r="J59" s="22" t="s">
        <v>2908</v>
      </c>
      <c r="K59" s="22" t="s">
        <v>2908</v>
      </c>
      <c r="L59" s="22" t="s">
        <v>2908</v>
      </c>
      <c r="N59" s="37">
        <v>1000</v>
      </c>
      <c r="O59" s="37">
        <v>1000</v>
      </c>
      <c r="P59" s="37">
        <v>1000</v>
      </c>
    </row>
    <row r="60" spans="1:16" ht="42" thickBot="1" x14ac:dyDescent="0.3">
      <c r="A60" s="22">
        <v>57</v>
      </c>
      <c r="B60" s="22" t="s">
        <v>2866</v>
      </c>
      <c r="C60" s="22" t="s">
        <v>4323</v>
      </c>
      <c r="D60" s="22" t="s">
        <v>4468</v>
      </c>
      <c r="E60" s="22" t="s">
        <v>4469</v>
      </c>
      <c r="F60" s="22" t="s">
        <v>4470</v>
      </c>
      <c r="H60" s="22">
        <v>59</v>
      </c>
      <c r="I60" s="22" t="s">
        <v>4641</v>
      </c>
      <c r="J60" s="22">
        <v>0.01</v>
      </c>
      <c r="K60" s="22" t="s">
        <v>152</v>
      </c>
      <c r="L60" s="22" t="s">
        <v>152</v>
      </c>
      <c r="N60" s="37">
        <v>1000</v>
      </c>
      <c r="O60" s="37">
        <v>1000</v>
      </c>
      <c r="P60" s="37">
        <v>1000</v>
      </c>
    </row>
    <row r="61" spans="1:16" ht="28.2" thickBot="1" x14ac:dyDescent="0.3">
      <c r="A61" s="22">
        <v>58</v>
      </c>
      <c r="B61" s="22" t="s">
        <v>2872</v>
      </c>
      <c r="C61" s="22" t="s">
        <v>4323</v>
      </c>
      <c r="D61" s="22" t="s">
        <v>4471</v>
      </c>
      <c r="E61" s="22" t="s">
        <v>4472</v>
      </c>
      <c r="F61" s="22" t="s">
        <v>4473</v>
      </c>
      <c r="H61" s="22">
        <v>60</v>
      </c>
      <c r="I61" s="22" t="s">
        <v>2365</v>
      </c>
      <c r="J61" s="22">
        <v>0.64200000000000002</v>
      </c>
      <c r="K61" s="22">
        <v>0.442</v>
      </c>
      <c r="L61" s="22">
        <v>0.76100000000000001</v>
      </c>
      <c r="N61" s="37">
        <v>1000</v>
      </c>
      <c r="O61" s="37">
        <v>1000</v>
      </c>
      <c r="P61" s="37">
        <v>1000</v>
      </c>
    </row>
    <row r="62" spans="1:16" ht="28.2" thickBot="1" x14ac:dyDescent="0.3">
      <c r="A62" s="22">
        <v>59</v>
      </c>
      <c r="B62" s="22" t="s">
        <v>4108</v>
      </c>
      <c r="C62" s="22" t="s">
        <v>4323</v>
      </c>
      <c r="D62" s="22" t="s">
        <v>152</v>
      </c>
      <c r="E62" s="22" t="s">
        <v>4474</v>
      </c>
      <c r="F62" s="22" t="s">
        <v>4475</v>
      </c>
      <c r="H62" s="22">
        <v>61</v>
      </c>
      <c r="I62" s="22" t="s">
        <v>2186</v>
      </c>
      <c r="J62" s="22">
        <v>1.768</v>
      </c>
      <c r="K62" s="22">
        <v>3.0409999999999999</v>
      </c>
      <c r="L62" s="22">
        <v>3.0870000000000002</v>
      </c>
      <c r="N62" s="37">
        <v>1000</v>
      </c>
      <c r="O62" s="37">
        <v>1000</v>
      </c>
      <c r="P62" s="37">
        <v>1000</v>
      </c>
    </row>
    <row r="63" spans="1:16" ht="28.2" thickBot="1" x14ac:dyDescent="0.3">
      <c r="A63" s="22">
        <v>60</v>
      </c>
      <c r="B63" s="22" t="s">
        <v>3665</v>
      </c>
      <c r="C63" s="22" t="s">
        <v>4323</v>
      </c>
      <c r="D63" s="22" t="s">
        <v>4476</v>
      </c>
      <c r="E63" s="22" t="s">
        <v>4477</v>
      </c>
      <c r="F63" s="22" t="s">
        <v>4478</v>
      </c>
      <c r="H63" s="22">
        <v>62</v>
      </c>
      <c r="I63" s="22" t="s">
        <v>2382</v>
      </c>
      <c r="J63" s="22">
        <v>1.0840000000000001</v>
      </c>
      <c r="K63" s="22" t="s">
        <v>152</v>
      </c>
      <c r="L63" s="22">
        <v>2.278</v>
      </c>
      <c r="N63" s="37">
        <v>1000</v>
      </c>
      <c r="O63" s="37">
        <v>1000</v>
      </c>
      <c r="P63" s="37">
        <v>1000</v>
      </c>
    </row>
    <row r="64" spans="1:16" ht="28.2" thickBot="1" x14ac:dyDescent="0.3">
      <c r="A64" s="22">
        <v>61</v>
      </c>
      <c r="B64" s="22" t="s">
        <v>2875</v>
      </c>
      <c r="C64" s="22" t="s">
        <v>4323</v>
      </c>
      <c r="D64" s="22" t="s">
        <v>4479</v>
      </c>
      <c r="E64" s="22" t="s">
        <v>4480</v>
      </c>
      <c r="F64" s="22" t="s">
        <v>4481</v>
      </c>
      <c r="H64" s="22">
        <v>63</v>
      </c>
      <c r="I64" s="22" t="s">
        <v>2393</v>
      </c>
      <c r="J64" s="22">
        <v>2.181</v>
      </c>
      <c r="K64" s="22">
        <v>3.4159999999999999</v>
      </c>
      <c r="L64" s="22">
        <v>2.645</v>
      </c>
      <c r="N64" s="37">
        <v>1000</v>
      </c>
      <c r="O64" s="37">
        <v>1000</v>
      </c>
      <c r="P64" s="37">
        <v>1000</v>
      </c>
    </row>
    <row r="65" spans="1:6" ht="28.2" thickBot="1" x14ac:dyDescent="0.3">
      <c r="A65" s="22">
        <v>62</v>
      </c>
      <c r="B65" s="22" t="s">
        <v>3411</v>
      </c>
      <c r="C65" s="22" t="s">
        <v>4323</v>
      </c>
      <c r="D65" s="22" t="s">
        <v>152</v>
      </c>
      <c r="E65" s="22" t="s">
        <v>4482</v>
      </c>
      <c r="F65" s="22" t="s">
        <v>4483</v>
      </c>
    </row>
    <row r="66" spans="1:6" ht="28.2" thickBot="1" x14ac:dyDescent="0.3">
      <c r="A66" s="22">
        <v>63</v>
      </c>
      <c r="B66" s="22" t="s">
        <v>4484</v>
      </c>
      <c r="C66" s="22" t="s">
        <v>4323</v>
      </c>
      <c r="D66" s="22" t="s">
        <v>152</v>
      </c>
      <c r="E66" s="22" t="s">
        <v>4485</v>
      </c>
      <c r="F66" s="22" t="s">
        <v>4486</v>
      </c>
    </row>
    <row r="67" spans="1:6" ht="28.2" thickBot="1" x14ac:dyDescent="0.3">
      <c r="A67" s="22">
        <v>64</v>
      </c>
      <c r="B67" s="22" t="s">
        <v>4487</v>
      </c>
      <c r="C67" s="22" t="s">
        <v>4323</v>
      </c>
      <c r="D67" s="22" t="s">
        <v>4488</v>
      </c>
      <c r="E67" s="22" t="s">
        <v>4489</v>
      </c>
      <c r="F67" s="22" t="s">
        <v>4490</v>
      </c>
    </row>
    <row r="68" spans="1:6" ht="28.2" thickBot="1" x14ac:dyDescent="0.3">
      <c r="A68" s="22">
        <v>65</v>
      </c>
      <c r="B68" s="22" t="s">
        <v>3429</v>
      </c>
      <c r="C68" s="22" t="s">
        <v>4323</v>
      </c>
      <c r="D68" s="22" t="s">
        <v>152</v>
      </c>
      <c r="E68" s="22" t="s">
        <v>152</v>
      </c>
      <c r="F68" s="22" t="s">
        <v>4491</v>
      </c>
    </row>
    <row r="69" spans="1:6" ht="28.2" thickBot="1" x14ac:dyDescent="0.3">
      <c r="A69" s="22">
        <v>66</v>
      </c>
      <c r="B69" s="22" t="s">
        <v>4492</v>
      </c>
      <c r="C69" s="22" t="s">
        <v>4323</v>
      </c>
      <c r="D69" s="22" t="s">
        <v>152</v>
      </c>
      <c r="E69" s="22" t="s">
        <v>4493</v>
      </c>
      <c r="F69" s="22" t="s">
        <v>152</v>
      </c>
    </row>
    <row r="70" spans="1:6" ht="28.2" thickBot="1" x14ac:dyDescent="0.3">
      <c r="A70" s="22">
        <v>67</v>
      </c>
      <c r="B70" s="22" t="s">
        <v>4494</v>
      </c>
      <c r="C70" s="22" t="s">
        <v>4323</v>
      </c>
      <c r="D70" s="22" t="s">
        <v>152</v>
      </c>
      <c r="E70" s="22" t="s">
        <v>4495</v>
      </c>
      <c r="F70" s="22" t="s">
        <v>152</v>
      </c>
    </row>
    <row r="71" spans="1:6" ht="14.4" thickBot="1" x14ac:dyDescent="0.3">
      <c r="A71" s="21" t="s">
        <v>4496</v>
      </c>
      <c r="B71" s="22"/>
      <c r="C71" s="22"/>
      <c r="D71" s="22"/>
      <c r="E71" s="22"/>
      <c r="F71" s="22"/>
    </row>
    <row r="72" spans="1:6" ht="28.2" thickBot="1" x14ac:dyDescent="0.3">
      <c r="A72" s="22">
        <v>68</v>
      </c>
      <c r="B72" s="22" t="s">
        <v>2320</v>
      </c>
      <c r="C72" s="22" t="s">
        <v>4382</v>
      </c>
      <c r="D72" s="22" t="s">
        <v>4497</v>
      </c>
      <c r="E72" s="22" t="s">
        <v>4498</v>
      </c>
      <c r="F72" s="22" t="s">
        <v>4499</v>
      </c>
    </row>
    <row r="73" spans="1:6" ht="28.2" thickBot="1" x14ac:dyDescent="0.3">
      <c r="A73" s="22">
        <v>69</v>
      </c>
      <c r="B73" s="22" t="s">
        <v>2168</v>
      </c>
      <c r="C73" s="22" t="s">
        <v>4323</v>
      </c>
      <c r="D73" s="22" t="s">
        <v>4500</v>
      </c>
      <c r="E73" s="22" t="s">
        <v>4501</v>
      </c>
      <c r="F73" s="22" t="s">
        <v>4502</v>
      </c>
    </row>
    <row r="74" spans="1:6" ht="28.2" thickBot="1" x14ac:dyDescent="0.3">
      <c r="A74" s="22">
        <v>70</v>
      </c>
      <c r="B74" s="22" t="s">
        <v>4503</v>
      </c>
      <c r="C74" s="22" t="s">
        <v>4323</v>
      </c>
      <c r="D74" s="22" t="s">
        <v>4504</v>
      </c>
      <c r="E74" s="22" t="s">
        <v>4505</v>
      </c>
      <c r="F74" s="22" t="s">
        <v>152</v>
      </c>
    </row>
    <row r="75" spans="1:6" ht="28.2" thickBot="1" x14ac:dyDescent="0.3">
      <c r="A75" s="22">
        <v>71</v>
      </c>
      <c r="B75" s="22" t="s">
        <v>4153</v>
      </c>
      <c r="C75" s="22" t="s">
        <v>4323</v>
      </c>
      <c r="D75" s="22" t="s">
        <v>4506</v>
      </c>
      <c r="E75" s="22" t="s">
        <v>152</v>
      </c>
      <c r="F75" s="22" t="s">
        <v>4507</v>
      </c>
    </row>
    <row r="76" spans="1:6" ht="28.2" thickBot="1" x14ac:dyDescent="0.3">
      <c r="A76" s="22">
        <v>72</v>
      </c>
      <c r="B76" s="22" t="s">
        <v>2930</v>
      </c>
      <c r="C76" s="22" t="s">
        <v>4323</v>
      </c>
      <c r="D76" s="22" t="s">
        <v>4508</v>
      </c>
      <c r="E76" s="22" t="s">
        <v>4509</v>
      </c>
      <c r="F76" s="22" t="s">
        <v>4510</v>
      </c>
    </row>
    <row r="77" spans="1:6" ht="28.2" thickBot="1" x14ac:dyDescent="0.3">
      <c r="A77" s="22">
        <v>73</v>
      </c>
      <c r="B77" s="22" t="s">
        <v>2956</v>
      </c>
      <c r="C77" s="22" t="s">
        <v>4323</v>
      </c>
      <c r="D77" s="22" t="s">
        <v>4511</v>
      </c>
      <c r="E77" s="22" t="s">
        <v>4512</v>
      </c>
      <c r="F77" s="22" t="s">
        <v>4513</v>
      </c>
    </row>
    <row r="78" spans="1:6" ht="28.2" thickBot="1" x14ac:dyDescent="0.3">
      <c r="A78" s="22">
        <v>74</v>
      </c>
      <c r="B78" s="22" t="s">
        <v>2341</v>
      </c>
      <c r="C78" s="22" t="s">
        <v>4323</v>
      </c>
      <c r="D78" s="22" t="s">
        <v>4514</v>
      </c>
      <c r="E78" s="22" t="s">
        <v>4515</v>
      </c>
      <c r="F78" s="22" t="s">
        <v>4516</v>
      </c>
    </row>
    <row r="79" spans="1:6" ht="28.2" thickBot="1" x14ac:dyDescent="0.3">
      <c r="A79" s="22">
        <v>75</v>
      </c>
      <c r="B79" s="22" t="s">
        <v>4517</v>
      </c>
      <c r="C79" s="22" t="s">
        <v>4323</v>
      </c>
      <c r="D79" s="22" t="s">
        <v>4518</v>
      </c>
      <c r="E79" s="22" t="s">
        <v>4519</v>
      </c>
      <c r="F79" s="22" t="s">
        <v>4520</v>
      </c>
    </row>
    <row r="80" spans="1:6" ht="28.2" thickBot="1" x14ac:dyDescent="0.3">
      <c r="A80" s="22">
        <v>76</v>
      </c>
      <c r="B80" s="22" t="s">
        <v>3595</v>
      </c>
      <c r="C80" s="22" t="s">
        <v>4323</v>
      </c>
      <c r="D80" s="22" t="s">
        <v>4521</v>
      </c>
      <c r="E80" s="22" t="s">
        <v>4522</v>
      </c>
      <c r="F80" s="22" t="s">
        <v>4523</v>
      </c>
    </row>
    <row r="81" spans="1:6" ht="28.2" thickBot="1" x14ac:dyDescent="0.3">
      <c r="A81" s="22">
        <v>77</v>
      </c>
      <c r="B81" s="22" t="s">
        <v>4524</v>
      </c>
      <c r="C81" s="22" t="s">
        <v>4323</v>
      </c>
      <c r="D81" s="22" t="s">
        <v>152</v>
      </c>
      <c r="E81" s="22" t="s">
        <v>152</v>
      </c>
      <c r="F81" s="22" t="s">
        <v>4525</v>
      </c>
    </row>
    <row r="82" spans="1:6" ht="28.2" thickBot="1" x14ac:dyDescent="0.3">
      <c r="A82" s="22">
        <v>78</v>
      </c>
      <c r="B82" s="22" t="s">
        <v>4526</v>
      </c>
      <c r="C82" s="22" t="s">
        <v>4323</v>
      </c>
      <c r="D82" s="22" t="s">
        <v>4527</v>
      </c>
      <c r="E82" s="22" t="s">
        <v>4528</v>
      </c>
      <c r="F82" s="22" t="s">
        <v>4529</v>
      </c>
    </row>
    <row r="83" spans="1:6" ht="28.2" thickBot="1" x14ac:dyDescent="0.3">
      <c r="A83" s="22">
        <v>79</v>
      </c>
      <c r="B83" s="22" t="s">
        <v>4530</v>
      </c>
      <c r="C83" s="22" t="s">
        <v>4382</v>
      </c>
      <c r="D83" s="22" t="s">
        <v>152</v>
      </c>
      <c r="E83" s="22" t="s">
        <v>4531</v>
      </c>
      <c r="F83" s="22" t="s">
        <v>152</v>
      </c>
    </row>
    <row r="84" spans="1:6" ht="28.2" thickBot="1" x14ac:dyDescent="0.3">
      <c r="A84" s="22">
        <v>80</v>
      </c>
      <c r="B84" s="22" t="s">
        <v>4532</v>
      </c>
      <c r="C84" s="22" t="s">
        <v>4323</v>
      </c>
      <c r="D84" s="22" t="s">
        <v>152</v>
      </c>
      <c r="E84" s="22" t="s">
        <v>4533</v>
      </c>
      <c r="F84" s="22" t="s">
        <v>4534</v>
      </c>
    </row>
    <row r="85" spans="1:6" ht="28.2" thickBot="1" x14ac:dyDescent="0.3">
      <c r="A85" s="22">
        <v>81</v>
      </c>
      <c r="B85" s="22" t="s">
        <v>4535</v>
      </c>
      <c r="C85" s="22" t="s">
        <v>4323</v>
      </c>
      <c r="D85" s="22" t="s">
        <v>152</v>
      </c>
      <c r="E85" s="22" t="s">
        <v>4536</v>
      </c>
      <c r="F85" s="22" t="s">
        <v>4537</v>
      </c>
    </row>
    <row r="86" spans="1:6" ht="28.2" thickBot="1" x14ac:dyDescent="0.3">
      <c r="A86" s="22">
        <v>82</v>
      </c>
      <c r="B86" s="22" t="s">
        <v>4538</v>
      </c>
      <c r="C86" s="22" t="s">
        <v>4323</v>
      </c>
      <c r="D86" s="22" t="s">
        <v>4539</v>
      </c>
      <c r="E86" s="22" t="s">
        <v>152</v>
      </c>
      <c r="F86" s="22" t="s">
        <v>4540</v>
      </c>
    </row>
    <row r="87" spans="1:6" ht="14.4" thickBot="1" x14ac:dyDescent="0.3">
      <c r="A87" s="21" t="s">
        <v>2944</v>
      </c>
      <c r="B87" s="22"/>
      <c r="C87" s="22"/>
      <c r="D87" s="22"/>
      <c r="E87" s="22"/>
      <c r="F87" s="22"/>
    </row>
    <row r="88" spans="1:6" ht="28.2" thickBot="1" x14ac:dyDescent="0.3">
      <c r="A88" s="22">
        <v>83</v>
      </c>
      <c r="B88" s="22" t="s">
        <v>2894</v>
      </c>
      <c r="C88" s="22" t="s">
        <v>4323</v>
      </c>
      <c r="D88" s="22" t="s">
        <v>4541</v>
      </c>
      <c r="E88" s="22" t="s">
        <v>4542</v>
      </c>
      <c r="F88" s="22" t="s">
        <v>4543</v>
      </c>
    </row>
    <row r="89" spans="1:6" ht="28.2" thickBot="1" x14ac:dyDescent="0.3">
      <c r="A89" s="22">
        <v>84</v>
      </c>
      <c r="B89" s="22" t="s">
        <v>2180</v>
      </c>
      <c r="C89" s="22" t="s">
        <v>4323</v>
      </c>
      <c r="D89" s="22" t="s">
        <v>4544</v>
      </c>
      <c r="E89" s="22" t="s">
        <v>152</v>
      </c>
      <c r="F89" s="22" t="s">
        <v>4545</v>
      </c>
    </row>
    <row r="90" spans="1:6" ht="28.2" thickBot="1" x14ac:dyDescent="0.3">
      <c r="A90" s="22">
        <v>85</v>
      </c>
      <c r="B90" s="22" t="s">
        <v>2965</v>
      </c>
      <c r="C90" s="22" t="s">
        <v>4323</v>
      </c>
      <c r="D90" s="22" t="s">
        <v>4546</v>
      </c>
      <c r="E90" s="22" t="s">
        <v>4547</v>
      </c>
      <c r="F90" s="22" t="s">
        <v>4548</v>
      </c>
    </row>
    <row r="91" spans="1:6" ht="28.2" thickBot="1" x14ac:dyDescent="0.3">
      <c r="A91" s="22">
        <v>86</v>
      </c>
      <c r="B91" s="22" t="s">
        <v>2174</v>
      </c>
      <c r="C91" s="22" t="s">
        <v>4323</v>
      </c>
      <c r="D91" s="22" t="s">
        <v>4549</v>
      </c>
      <c r="E91" s="22" t="s">
        <v>4550</v>
      </c>
      <c r="F91" s="22" t="s">
        <v>4551</v>
      </c>
    </row>
    <row r="92" spans="1:6" ht="14.4" thickBot="1" x14ac:dyDescent="0.3">
      <c r="A92" s="21" t="s">
        <v>4552</v>
      </c>
      <c r="B92" s="22"/>
      <c r="C92" s="22"/>
      <c r="D92" s="22"/>
      <c r="E92" s="22"/>
      <c r="F92" s="22"/>
    </row>
    <row r="93" spans="1:6" ht="28.2" thickBot="1" x14ac:dyDescent="0.3">
      <c r="A93" s="22">
        <v>87</v>
      </c>
      <c r="B93" s="22" t="s">
        <v>4553</v>
      </c>
      <c r="C93" s="22" t="s">
        <v>4323</v>
      </c>
      <c r="D93" s="22" t="s">
        <v>152</v>
      </c>
      <c r="E93" s="22" t="s">
        <v>152</v>
      </c>
      <c r="F93" s="22" t="s">
        <v>4554</v>
      </c>
    </row>
    <row r="94" spans="1:6" ht="28.2" thickBot="1" x14ac:dyDescent="0.3">
      <c r="A94" s="22">
        <v>88</v>
      </c>
      <c r="B94" s="22" t="s">
        <v>4555</v>
      </c>
      <c r="C94" s="22" t="s">
        <v>4323</v>
      </c>
      <c r="D94" s="22" t="s">
        <v>4556</v>
      </c>
      <c r="E94" s="22" t="s">
        <v>152</v>
      </c>
      <c r="F94" s="22" t="s">
        <v>4557</v>
      </c>
    </row>
    <row r="95" spans="1:6" ht="28.2" thickBot="1" x14ac:dyDescent="0.3">
      <c r="A95" s="22">
        <v>89</v>
      </c>
      <c r="B95" s="22" t="s">
        <v>2857</v>
      </c>
      <c r="C95" s="22" t="s">
        <v>4323</v>
      </c>
      <c r="D95" s="22" t="s">
        <v>4558</v>
      </c>
      <c r="E95" s="22" t="s">
        <v>4559</v>
      </c>
      <c r="F95" s="22" t="s">
        <v>152</v>
      </c>
    </row>
    <row r="96" spans="1:6" ht="28.2" thickBot="1" x14ac:dyDescent="0.3">
      <c r="A96" s="22">
        <v>90</v>
      </c>
      <c r="B96" s="22" t="s">
        <v>4560</v>
      </c>
      <c r="C96" s="22" t="s">
        <v>4323</v>
      </c>
      <c r="D96" s="22" t="s">
        <v>4561</v>
      </c>
      <c r="E96" s="22" t="s">
        <v>152</v>
      </c>
      <c r="F96" s="22" t="s">
        <v>152</v>
      </c>
    </row>
    <row r="97" spans="1:6" ht="28.2" thickBot="1" x14ac:dyDescent="0.3">
      <c r="A97" s="22">
        <v>91</v>
      </c>
      <c r="B97" s="22" t="s">
        <v>4562</v>
      </c>
      <c r="C97" s="22" t="s">
        <v>4323</v>
      </c>
      <c r="D97" s="22" t="s">
        <v>4563</v>
      </c>
      <c r="E97" s="22" t="s">
        <v>4564</v>
      </c>
      <c r="F97" s="22" t="s">
        <v>4565</v>
      </c>
    </row>
    <row r="98" spans="1:6" ht="14.4" thickBot="1" x14ac:dyDescent="0.3">
      <c r="A98" s="21" t="s">
        <v>4566</v>
      </c>
      <c r="B98" s="22"/>
      <c r="C98" s="22"/>
      <c r="D98" s="22"/>
      <c r="E98" s="22"/>
      <c r="F98" s="22"/>
    </row>
    <row r="99" spans="1:6" ht="28.2" thickBot="1" x14ac:dyDescent="0.3">
      <c r="A99" s="22">
        <v>92</v>
      </c>
      <c r="B99" s="22" t="s">
        <v>2948</v>
      </c>
      <c r="C99" s="22" t="s">
        <v>4323</v>
      </c>
      <c r="D99" s="22" t="s">
        <v>152</v>
      </c>
      <c r="E99" s="22" t="s">
        <v>4567</v>
      </c>
      <c r="F99" s="22" t="s">
        <v>152</v>
      </c>
    </row>
    <row r="100" spans="1:6" ht="28.2" thickBot="1" x14ac:dyDescent="0.3">
      <c r="A100" s="22">
        <v>93</v>
      </c>
      <c r="B100" s="22" t="s">
        <v>2920</v>
      </c>
      <c r="C100" s="22" t="s">
        <v>4323</v>
      </c>
      <c r="D100" s="22" t="s">
        <v>4568</v>
      </c>
      <c r="E100" s="22" t="s">
        <v>152</v>
      </c>
      <c r="F100" s="22" t="s">
        <v>4569</v>
      </c>
    </row>
    <row r="101" spans="1:6" ht="28.2" thickBot="1" x14ac:dyDescent="0.3">
      <c r="A101" s="22">
        <v>94</v>
      </c>
      <c r="B101" s="22" t="s">
        <v>4570</v>
      </c>
      <c r="C101" s="22" t="s">
        <v>4323</v>
      </c>
      <c r="D101" s="22" t="s">
        <v>4571</v>
      </c>
      <c r="E101" s="22" t="s">
        <v>152</v>
      </c>
      <c r="F101" s="22" t="s">
        <v>4572</v>
      </c>
    </row>
    <row r="102" spans="1:6" ht="28.2" thickBot="1" x14ac:dyDescent="0.3">
      <c r="A102" s="22">
        <v>95</v>
      </c>
      <c r="B102" s="22" t="s">
        <v>3276</v>
      </c>
      <c r="C102" s="22" t="s">
        <v>4382</v>
      </c>
      <c r="D102" s="22" t="s">
        <v>152</v>
      </c>
      <c r="E102" s="22" t="s">
        <v>4573</v>
      </c>
      <c r="F102" s="22" t="s">
        <v>152</v>
      </c>
    </row>
    <row r="103" spans="1:6" ht="28.2" thickBot="1" x14ac:dyDescent="0.3">
      <c r="A103" s="22">
        <v>96</v>
      </c>
      <c r="B103" s="22" t="s">
        <v>2028</v>
      </c>
      <c r="C103" s="22" t="s">
        <v>4323</v>
      </c>
      <c r="D103" s="22" t="s">
        <v>4574</v>
      </c>
      <c r="E103" s="22" t="s">
        <v>4575</v>
      </c>
      <c r="F103" s="22" t="s">
        <v>4576</v>
      </c>
    </row>
    <row r="104" spans="1:6" ht="28.2" thickBot="1" x14ac:dyDescent="0.3">
      <c r="A104" s="22">
        <v>97</v>
      </c>
      <c r="B104" s="22" t="s">
        <v>4577</v>
      </c>
      <c r="C104" s="22" t="s">
        <v>4323</v>
      </c>
      <c r="D104" s="22" t="s">
        <v>152</v>
      </c>
      <c r="E104" s="22" t="s">
        <v>4571</v>
      </c>
      <c r="F104" s="22" t="s">
        <v>4578</v>
      </c>
    </row>
    <row r="105" spans="1:6" ht="28.2" thickBot="1" x14ac:dyDescent="0.3">
      <c r="A105" s="22">
        <v>98</v>
      </c>
      <c r="B105" s="22" t="s">
        <v>2929</v>
      </c>
      <c r="C105" s="22" t="s">
        <v>4323</v>
      </c>
      <c r="D105" s="22" t="s">
        <v>4579</v>
      </c>
      <c r="E105" s="22" t="s">
        <v>4580</v>
      </c>
      <c r="F105" s="22" t="s">
        <v>4581</v>
      </c>
    </row>
    <row r="106" spans="1:6" ht="28.2" thickBot="1" x14ac:dyDescent="0.3">
      <c r="A106" s="22">
        <v>99</v>
      </c>
      <c r="B106" s="22" t="s">
        <v>3747</v>
      </c>
      <c r="C106" s="22" t="s">
        <v>4323</v>
      </c>
      <c r="D106" s="22" t="s">
        <v>4582</v>
      </c>
      <c r="E106" s="22" t="s">
        <v>4583</v>
      </c>
      <c r="F106" s="22" t="s">
        <v>4584</v>
      </c>
    </row>
    <row r="107" spans="1:6" ht="28.2" thickBot="1" x14ac:dyDescent="0.3">
      <c r="A107" s="22">
        <v>100</v>
      </c>
      <c r="B107" s="22" t="s">
        <v>3296</v>
      </c>
      <c r="C107" s="22" t="s">
        <v>4323</v>
      </c>
      <c r="D107" s="22" t="s">
        <v>4585</v>
      </c>
      <c r="E107" s="22" t="s">
        <v>4586</v>
      </c>
      <c r="F107" s="22" t="s">
        <v>4587</v>
      </c>
    </row>
    <row r="108" spans="1:6" ht="42" thickBot="1" x14ac:dyDescent="0.3">
      <c r="A108" s="22">
        <v>101</v>
      </c>
      <c r="B108" s="22" t="s">
        <v>2925</v>
      </c>
      <c r="C108" s="22" t="s">
        <v>4323</v>
      </c>
      <c r="D108" s="22" t="s">
        <v>4588</v>
      </c>
      <c r="E108" s="22" t="s">
        <v>4589</v>
      </c>
      <c r="F108" s="22" t="s">
        <v>4590</v>
      </c>
    </row>
    <row r="109" spans="1:6" ht="28.2" thickBot="1" x14ac:dyDescent="0.3">
      <c r="A109" s="22">
        <v>102</v>
      </c>
      <c r="B109" s="22" t="s">
        <v>3437</v>
      </c>
      <c r="C109" s="22" t="s">
        <v>4323</v>
      </c>
      <c r="D109" s="22" t="s">
        <v>152</v>
      </c>
      <c r="E109" s="22" t="s">
        <v>4591</v>
      </c>
      <c r="F109" s="22" t="s">
        <v>152</v>
      </c>
    </row>
    <row r="110" spans="1:6" ht="28.2" thickBot="1" x14ac:dyDescent="0.3">
      <c r="A110" s="22">
        <v>103</v>
      </c>
      <c r="B110" s="22" t="s">
        <v>4592</v>
      </c>
      <c r="C110" s="22" t="s">
        <v>4382</v>
      </c>
      <c r="D110" s="22" t="s">
        <v>152</v>
      </c>
      <c r="E110" s="22" t="s">
        <v>4593</v>
      </c>
      <c r="F110" s="22" t="s">
        <v>152</v>
      </c>
    </row>
    <row r="111" spans="1:6" ht="28.2" thickBot="1" x14ac:dyDescent="0.3">
      <c r="A111" s="22">
        <v>104</v>
      </c>
      <c r="B111" s="22" t="s">
        <v>4594</v>
      </c>
      <c r="C111" s="22" t="s">
        <v>4323</v>
      </c>
      <c r="D111" s="22" t="s">
        <v>152</v>
      </c>
      <c r="E111" s="22" t="s">
        <v>152</v>
      </c>
      <c r="F111" s="22" t="s">
        <v>4595</v>
      </c>
    </row>
    <row r="112" spans="1:6" ht="42" thickBot="1" x14ac:dyDescent="0.3">
      <c r="A112" s="22">
        <v>105</v>
      </c>
      <c r="B112" s="22" t="s">
        <v>4596</v>
      </c>
      <c r="C112" s="22" t="s">
        <v>4382</v>
      </c>
      <c r="D112" s="22" t="s">
        <v>152</v>
      </c>
      <c r="E112" s="22" t="s">
        <v>152</v>
      </c>
      <c r="F112" s="22" t="s">
        <v>4597</v>
      </c>
    </row>
    <row r="113" spans="1:6" ht="28.2" thickBot="1" x14ac:dyDescent="0.3">
      <c r="A113" s="22">
        <v>106</v>
      </c>
      <c r="B113" s="22" t="s">
        <v>2904</v>
      </c>
      <c r="C113" s="22" t="s">
        <v>4323</v>
      </c>
      <c r="D113" s="22" t="s">
        <v>4598</v>
      </c>
      <c r="E113" s="22" t="s">
        <v>152</v>
      </c>
      <c r="F113" s="22" t="s">
        <v>4599</v>
      </c>
    </row>
    <row r="114" spans="1:6" ht="42" thickBot="1" x14ac:dyDescent="0.3">
      <c r="A114" s="22">
        <v>107</v>
      </c>
      <c r="B114" s="22" t="s">
        <v>2924</v>
      </c>
      <c r="C114" s="22" t="s">
        <v>4323</v>
      </c>
      <c r="D114" s="22" t="s">
        <v>4600</v>
      </c>
      <c r="E114" s="22" t="s">
        <v>4601</v>
      </c>
      <c r="F114" s="22" t="s">
        <v>4602</v>
      </c>
    </row>
    <row r="115" spans="1:6" ht="42" thickBot="1" x14ac:dyDescent="0.3">
      <c r="A115" s="22">
        <v>108</v>
      </c>
      <c r="B115" s="22" t="s">
        <v>4603</v>
      </c>
      <c r="C115" s="22" t="s">
        <v>4323</v>
      </c>
      <c r="D115" s="22" t="s">
        <v>152</v>
      </c>
      <c r="E115" s="22" t="s">
        <v>4604</v>
      </c>
      <c r="F115" s="22" t="s">
        <v>152</v>
      </c>
    </row>
    <row r="116" spans="1:6" ht="28.2" thickBot="1" x14ac:dyDescent="0.3">
      <c r="A116" s="22">
        <v>109</v>
      </c>
      <c r="B116" s="22" t="s">
        <v>4605</v>
      </c>
      <c r="C116" s="22" t="s">
        <v>4323</v>
      </c>
      <c r="D116" s="22" t="s">
        <v>4606</v>
      </c>
      <c r="E116" s="22" t="s">
        <v>4607</v>
      </c>
      <c r="F116" s="22" t="s">
        <v>152</v>
      </c>
    </row>
    <row r="117" spans="1:6" ht="28.2" thickBot="1" x14ac:dyDescent="0.3">
      <c r="A117" s="22">
        <v>110</v>
      </c>
      <c r="B117" s="22" t="s">
        <v>3309</v>
      </c>
      <c r="C117" s="22" t="s">
        <v>4323</v>
      </c>
      <c r="D117" s="22" t="s">
        <v>4608</v>
      </c>
      <c r="E117" s="22" t="s">
        <v>4609</v>
      </c>
      <c r="F117" s="22" t="s">
        <v>152</v>
      </c>
    </row>
    <row r="118" spans="1:6" ht="28.2" thickBot="1" x14ac:dyDescent="0.3">
      <c r="A118" s="22">
        <v>111</v>
      </c>
      <c r="B118" s="22" t="s">
        <v>4610</v>
      </c>
      <c r="C118" s="22" t="s">
        <v>4323</v>
      </c>
      <c r="D118" s="22" t="s">
        <v>152</v>
      </c>
      <c r="E118" s="22" t="s">
        <v>4611</v>
      </c>
      <c r="F118" s="22" t="s">
        <v>152</v>
      </c>
    </row>
    <row r="119" spans="1:6" ht="28.2" thickBot="1" x14ac:dyDescent="0.3">
      <c r="A119" s="22">
        <v>112</v>
      </c>
      <c r="B119" s="22" t="s">
        <v>4612</v>
      </c>
      <c r="C119" s="22" t="s">
        <v>4382</v>
      </c>
      <c r="D119" s="22" t="s">
        <v>152</v>
      </c>
      <c r="E119" s="22" t="s">
        <v>152</v>
      </c>
      <c r="F119" s="22" t="s">
        <v>4613</v>
      </c>
    </row>
    <row r="120" spans="1:6" ht="28.2" thickBot="1" x14ac:dyDescent="0.3">
      <c r="A120" s="22">
        <v>113</v>
      </c>
      <c r="B120" s="22" t="s">
        <v>3616</v>
      </c>
      <c r="C120" s="22" t="s">
        <v>4323</v>
      </c>
      <c r="D120" s="22" t="s">
        <v>152</v>
      </c>
      <c r="E120" s="22" t="s">
        <v>4614</v>
      </c>
      <c r="F120" s="22" t="s">
        <v>4615</v>
      </c>
    </row>
    <row r="121" spans="1:6" ht="28.2" thickBot="1" x14ac:dyDescent="0.3">
      <c r="A121" s="21" t="s">
        <v>4616</v>
      </c>
      <c r="B121" s="22"/>
      <c r="C121" s="22"/>
      <c r="D121" s="22"/>
      <c r="E121" s="22"/>
      <c r="F121" s="22"/>
    </row>
    <row r="122" spans="1:6" ht="28.2" thickBot="1" x14ac:dyDescent="0.3">
      <c r="A122" s="22">
        <v>114</v>
      </c>
      <c r="B122" s="22" t="s">
        <v>4617</v>
      </c>
      <c r="C122" s="22" t="s">
        <v>4382</v>
      </c>
      <c r="D122" s="22" t="s">
        <v>4618</v>
      </c>
      <c r="E122" s="22" t="s">
        <v>4618</v>
      </c>
      <c r="F122" s="22" t="s">
        <v>4619</v>
      </c>
    </row>
    <row r="123" spans="1:6" ht="28.2" thickBot="1" x14ac:dyDescent="0.3">
      <c r="A123" s="22">
        <v>115</v>
      </c>
      <c r="B123" s="22" t="s">
        <v>4620</v>
      </c>
      <c r="C123" s="22" t="s">
        <v>4323</v>
      </c>
      <c r="D123" s="22" t="s">
        <v>4621</v>
      </c>
      <c r="E123" s="22" t="s">
        <v>152</v>
      </c>
      <c r="F123" s="22" t="s">
        <v>152</v>
      </c>
    </row>
    <row r="124" spans="1:6" ht="28.2" thickBot="1" x14ac:dyDescent="0.3">
      <c r="A124" s="22">
        <v>116</v>
      </c>
      <c r="B124" s="22" t="s">
        <v>4622</v>
      </c>
      <c r="C124" s="22" t="s">
        <v>4323</v>
      </c>
      <c r="D124" s="22" t="s">
        <v>4623</v>
      </c>
      <c r="E124" s="22" t="s">
        <v>152</v>
      </c>
      <c r="F124" s="22" t="s">
        <v>4624</v>
      </c>
    </row>
    <row r="125" spans="1:6" ht="28.2" thickBot="1" x14ac:dyDescent="0.3">
      <c r="A125" s="22">
        <v>117</v>
      </c>
      <c r="B125" s="22" t="s">
        <v>4625</v>
      </c>
      <c r="C125" s="22" t="s">
        <v>4323</v>
      </c>
      <c r="D125" s="22" t="s">
        <v>4626</v>
      </c>
      <c r="E125" s="22" t="s">
        <v>4627</v>
      </c>
      <c r="F125" s="22" t="s">
        <v>4628</v>
      </c>
    </row>
    <row r="126" spans="1:6" ht="14.4" thickBot="1" x14ac:dyDescent="0.3">
      <c r="A126" s="21" t="s">
        <v>4629</v>
      </c>
      <c r="B126" s="22"/>
      <c r="C126" s="22"/>
      <c r="D126" s="22"/>
      <c r="E126" s="22"/>
      <c r="F126" s="22"/>
    </row>
    <row r="127" spans="1:6" ht="28.2" thickBot="1" x14ac:dyDescent="0.3">
      <c r="A127" s="22">
        <v>118</v>
      </c>
      <c r="B127" s="22" t="s">
        <v>4630</v>
      </c>
      <c r="C127" s="22" t="s">
        <v>4382</v>
      </c>
      <c r="D127" s="22" t="s">
        <v>152</v>
      </c>
      <c r="E127" s="22" t="s">
        <v>152</v>
      </c>
      <c r="F127" s="22" t="s">
        <v>4631</v>
      </c>
    </row>
    <row r="128" spans="1:6" ht="42" thickBot="1" x14ac:dyDescent="0.3">
      <c r="A128" s="22">
        <v>119</v>
      </c>
      <c r="B128" s="22" t="s">
        <v>4189</v>
      </c>
      <c r="C128" s="22" t="s">
        <v>4323</v>
      </c>
      <c r="D128" s="22" t="s">
        <v>152</v>
      </c>
      <c r="E128" s="22" t="s">
        <v>152</v>
      </c>
      <c r="F128" s="22" t="s">
        <v>4632</v>
      </c>
    </row>
    <row r="129" spans="1:6" ht="28.2" thickBot="1" x14ac:dyDescent="0.3">
      <c r="A129" s="22">
        <v>120</v>
      </c>
      <c r="B129" s="22" t="s">
        <v>4633</v>
      </c>
      <c r="C129" s="22" t="s">
        <v>4323</v>
      </c>
      <c r="D129" s="22" t="s">
        <v>4634</v>
      </c>
      <c r="E129" s="22" t="s">
        <v>152</v>
      </c>
      <c r="F129" s="22" t="s">
        <v>152</v>
      </c>
    </row>
    <row r="130" spans="1:6" ht="42" thickBot="1" x14ac:dyDescent="0.3">
      <c r="A130" s="22">
        <v>121</v>
      </c>
      <c r="B130" s="22" t="s">
        <v>4635</v>
      </c>
      <c r="C130" s="22" t="s">
        <v>4323</v>
      </c>
      <c r="D130" s="22" t="s">
        <v>4588</v>
      </c>
      <c r="E130" s="22" t="s">
        <v>4636</v>
      </c>
      <c r="F130" s="22" t="s">
        <v>152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318D-C674-4F34-AA54-1F0DDC0F82DD}">
  <dimension ref="A1:O34"/>
  <sheetViews>
    <sheetView workbookViewId="0">
      <selection activeCell="H1" sqref="H1"/>
    </sheetView>
  </sheetViews>
  <sheetFormatPr defaultRowHeight="13.8" x14ac:dyDescent="0.25"/>
  <sheetData>
    <row r="1" spans="1:15" ht="42" thickBot="1" x14ac:dyDescent="0.3">
      <c r="A1" s="21" t="s">
        <v>4643</v>
      </c>
      <c r="B1" s="21" t="s">
        <v>4284</v>
      </c>
      <c r="C1" s="21" t="s">
        <v>4644</v>
      </c>
      <c r="D1" s="21" t="s">
        <v>4645</v>
      </c>
      <c r="E1" s="21" t="s">
        <v>4646</v>
      </c>
      <c r="F1" s="21" t="s">
        <v>4647</v>
      </c>
      <c r="G1" s="21" t="s">
        <v>4648</v>
      </c>
      <c r="H1" s="21" t="s">
        <v>4649</v>
      </c>
      <c r="J1" s="21" t="s">
        <v>2845</v>
      </c>
      <c r="K1" s="21" t="s">
        <v>2906</v>
      </c>
      <c r="L1" s="21" t="s">
        <v>4823</v>
      </c>
      <c r="M1" s="21" t="s">
        <v>2845</v>
      </c>
      <c r="N1" s="21" t="s">
        <v>2906</v>
      </c>
      <c r="O1" s="21" t="s">
        <v>4823</v>
      </c>
    </row>
    <row r="2" spans="1:15" ht="28.2" thickBot="1" x14ac:dyDescent="0.3">
      <c r="A2" s="22" t="s">
        <v>4650</v>
      </c>
      <c r="B2" s="22" t="s">
        <v>2863</v>
      </c>
      <c r="C2" s="22" t="s">
        <v>4651</v>
      </c>
      <c r="D2" s="22" t="s">
        <v>4652</v>
      </c>
      <c r="E2" s="22" t="s">
        <v>4653</v>
      </c>
      <c r="F2" s="22" t="s">
        <v>4654</v>
      </c>
      <c r="G2" s="22" t="s">
        <v>4655</v>
      </c>
      <c r="H2" s="22" t="s">
        <v>4656</v>
      </c>
      <c r="J2" s="22">
        <v>1</v>
      </c>
      <c r="K2" s="22" t="s">
        <v>2017</v>
      </c>
      <c r="L2" s="22" t="s">
        <v>4774</v>
      </c>
      <c r="M2" s="22">
        <v>33</v>
      </c>
      <c r="N2" s="22" t="s">
        <v>2020</v>
      </c>
      <c r="O2" s="22" t="s">
        <v>4731</v>
      </c>
    </row>
    <row r="3" spans="1:15" ht="28.2" thickBot="1" x14ac:dyDescent="0.3">
      <c r="A3" s="22" t="s">
        <v>4650</v>
      </c>
      <c r="B3" s="22" t="s">
        <v>2868</v>
      </c>
      <c r="C3" s="22" t="s">
        <v>4657</v>
      </c>
      <c r="D3" s="22" t="s">
        <v>4658</v>
      </c>
      <c r="E3" s="22" t="s">
        <v>4659</v>
      </c>
      <c r="F3" s="22" t="s">
        <v>4660</v>
      </c>
      <c r="G3" s="22" t="s">
        <v>4661</v>
      </c>
      <c r="H3" s="22" t="s">
        <v>4662</v>
      </c>
      <c r="J3" s="22">
        <v>2</v>
      </c>
      <c r="K3" s="22" t="s">
        <v>2162</v>
      </c>
      <c r="L3" s="22" t="s">
        <v>2908</v>
      </c>
      <c r="M3" s="22">
        <v>34</v>
      </c>
      <c r="N3" s="22" t="s">
        <v>2177</v>
      </c>
      <c r="O3" s="22" t="s">
        <v>2908</v>
      </c>
    </row>
    <row r="4" spans="1:15" ht="28.2" thickBot="1" x14ac:dyDescent="0.3">
      <c r="A4" s="22" t="s">
        <v>4650</v>
      </c>
      <c r="B4" s="22" t="s">
        <v>2022</v>
      </c>
      <c r="C4" s="22" t="s">
        <v>4663</v>
      </c>
      <c r="D4" s="22" t="s">
        <v>4664</v>
      </c>
      <c r="E4" s="22" t="s">
        <v>4665</v>
      </c>
      <c r="F4" s="22" t="s">
        <v>4666</v>
      </c>
      <c r="G4" s="22" t="s">
        <v>4667</v>
      </c>
      <c r="H4" s="22" t="s">
        <v>4668</v>
      </c>
      <c r="J4" s="22">
        <v>3</v>
      </c>
      <c r="K4" s="22" t="s">
        <v>2018</v>
      </c>
      <c r="L4" s="22" t="s">
        <v>4725</v>
      </c>
      <c r="M4" s="22">
        <v>35</v>
      </c>
      <c r="N4" s="22" t="s">
        <v>2175</v>
      </c>
      <c r="O4" s="22" t="s">
        <v>2908</v>
      </c>
    </row>
    <row r="5" spans="1:15" ht="28.2" thickBot="1" x14ac:dyDescent="0.3">
      <c r="A5" s="22" t="s">
        <v>4650</v>
      </c>
      <c r="B5" s="22" t="s">
        <v>3655</v>
      </c>
      <c r="C5" s="22" t="s">
        <v>4669</v>
      </c>
      <c r="D5" s="22" t="s">
        <v>4670</v>
      </c>
      <c r="E5" s="22" t="s">
        <v>4671</v>
      </c>
      <c r="F5" s="22" t="s">
        <v>4672</v>
      </c>
      <c r="G5" s="22" t="s">
        <v>4673</v>
      </c>
      <c r="H5" s="22" t="s">
        <v>4674</v>
      </c>
      <c r="J5" s="22">
        <v>4</v>
      </c>
      <c r="K5" s="22" t="s">
        <v>2022</v>
      </c>
      <c r="L5" s="22" t="s">
        <v>4663</v>
      </c>
      <c r="M5" s="22">
        <v>36</v>
      </c>
      <c r="N5" s="22" t="s">
        <v>2026</v>
      </c>
      <c r="O5" s="22" t="s">
        <v>2908</v>
      </c>
    </row>
    <row r="6" spans="1:15" ht="28.2" thickBot="1" x14ac:dyDescent="0.3">
      <c r="A6" s="22" t="s">
        <v>4650</v>
      </c>
      <c r="B6" s="22" t="s">
        <v>2320</v>
      </c>
      <c r="C6" s="22" t="s">
        <v>4675</v>
      </c>
      <c r="D6" s="22" t="s">
        <v>4676</v>
      </c>
      <c r="E6" s="22" t="s">
        <v>4677</v>
      </c>
      <c r="F6" s="22" t="s">
        <v>4678</v>
      </c>
      <c r="G6" s="22" t="s">
        <v>4679</v>
      </c>
      <c r="H6" s="22" t="s">
        <v>4680</v>
      </c>
      <c r="J6" s="22">
        <v>5</v>
      </c>
      <c r="K6" s="22" t="s">
        <v>2023</v>
      </c>
      <c r="L6" s="22" t="s">
        <v>2908</v>
      </c>
      <c r="M6" s="22">
        <v>37</v>
      </c>
      <c r="N6" s="22" t="s">
        <v>2920</v>
      </c>
      <c r="O6" s="22" t="s">
        <v>2908</v>
      </c>
    </row>
    <row r="7" spans="1:15" ht="28.2" thickBot="1" x14ac:dyDescent="0.3">
      <c r="A7" s="22" t="s">
        <v>4650</v>
      </c>
      <c r="B7" s="22" t="s">
        <v>2930</v>
      </c>
      <c r="C7" s="22" t="s">
        <v>4681</v>
      </c>
      <c r="D7" s="22" t="s">
        <v>4682</v>
      </c>
      <c r="E7" s="22" t="s">
        <v>4683</v>
      </c>
      <c r="F7" s="22" t="s">
        <v>4684</v>
      </c>
      <c r="G7" s="22" t="s">
        <v>29</v>
      </c>
      <c r="H7" s="22" t="s">
        <v>29</v>
      </c>
      <c r="J7" s="22">
        <v>6</v>
      </c>
      <c r="K7" s="22" t="s">
        <v>2019</v>
      </c>
      <c r="L7" s="22" t="s">
        <v>4762</v>
      </c>
      <c r="M7" s="22">
        <v>38</v>
      </c>
      <c r="N7" s="22" t="s">
        <v>2320</v>
      </c>
      <c r="O7" s="22" t="s">
        <v>4675</v>
      </c>
    </row>
    <row r="8" spans="1:15" ht="28.2" thickBot="1" x14ac:dyDescent="0.3">
      <c r="A8" s="22" t="s">
        <v>4650</v>
      </c>
      <c r="B8" s="22" t="s">
        <v>2866</v>
      </c>
      <c r="C8" s="22" t="s">
        <v>4685</v>
      </c>
      <c r="D8" s="22" t="s">
        <v>4686</v>
      </c>
      <c r="E8" s="22" t="s">
        <v>4687</v>
      </c>
      <c r="F8" s="22" t="s">
        <v>4688</v>
      </c>
      <c r="G8" s="22" t="s">
        <v>4689</v>
      </c>
      <c r="H8" s="22" t="s">
        <v>4690</v>
      </c>
      <c r="J8" s="22">
        <v>7</v>
      </c>
      <c r="K8" s="22" t="s">
        <v>2178</v>
      </c>
      <c r="L8" s="22" t="s">
        <v>4799</v>
      </c>
      <c r="M8" s="22">
        <v>39</v>
      </c>
      <c r="N8" s="22" t="s">
        <v>2857</v>
      </c>
      <c r="O8" s="22" t="s">
        <v>2908</v>
      </c>
    </row>
    <row r="9" spans="1:15" ht="42" thickBot="1" x14ac:dyDescent="0.3">
      <c r="A9" s="22" t="s">
        <v>4650</v>
      </c>
      <c r="B9" s="22" t="s">
        <v>2956</v>
      </c>
      <c r="C9" s="22" t="s">
        <v>4691</v>
      </c>
      <c r="D9" s="22" t="s">
        <v>4692</v>
      </c>
      <c r="E9" s="22" t="s">
        <v>4693</v>
      </c>
      <c r="F9" s="22" t="s">
        <v>4694</v>
      </c>
      <c r="G9" s="22" t="s">
        <v>29</v>
      </c>
      <c r="H9" s="22" t="s">
        <v>4695</v>
      </c>
      <c r="J9" s="22">
        <v>8</v>
      </c>
      <c r="K9" s="22" t="s">
        <v>2898</v>
      </c>
      <c r="L9" s="22" t="s">
        <v>4737</v>
      </c>
      <c r="M9" s="22">
        <v>40</v>
      </c>
      <c r="N9" s="22" t="s">
        <v>3158</v>
      </c>
      <c r="O9" s="22" t="s">
        <v>4708</v>
      </c>
    </row>
    <row r="10" spans="1:15" ht="42" thickBot="1" x14ac:dyDescent="0.3">
      <c r="A10" s="22">
        <v>711</v>
      </c>
      <c r="B10" s="22" t="s">
        <v>3392</v>
      </c>
      <c r="C10" s="22" t="s">
        <v>4696</v>
      </c>
      <c r="D10" s="22" t="s">
        <v>4697</v>
      </c>
      <c r="E10" s="22" t="s">
        <v>4698</v>
      </c>
      <c r="F10" s="22" t="s">
        <v>4699</v>
      </c>
      <c r="G10" s="22" t="s">
        <v>4700</v>
      </c>
      <c r="H10" s="22" t="s">
        <v>4701</v>
      </c>
      <c r="J10" s="22">
        <v>9</v>
      </c>
      <c r="K10" s="22" t="s">
        <v>2909</v>
      </c>
      <c r="L10" s="22" t="s">
        <v>2908</v>
      </c>
      <c r="M10" s="22">
        <v>41</v>
      </c>
      <c r="N10" s="22" t="s">
        <v>2922</v>
      </c>
      <c r="O10" s="22" t="s">
        <v>2908</v>
      </c>
    </row>
    <row r="11" spans="1:15" ht="69.599999999999994" thickBot="1" x14ac:dyDescent="0.3">
      <c r="A11" s="22">
        <v>725</v>
      </c>
      <c r="B11" s="22" t="s">
        <v>2185</v>
      </c>
      <c r="C11" s="22" t="s">
        <v>4702</v>
      </c>
      <c r="D11" s="22" t="s">
        <v>4703</v>
      </c>
      <c r="E11" s="22" t="s">
        <v>4704</v>
      </c>
      <c r="F11" s="22" t="s">
        <v>4705</v>
      </c>
      <c r="G11" s="22" t="s">
        <v>4706</v>
      </c>
      <c r="H11" s="22" t="s">
        <v>4707</v>
      </c>
      <c r="J11" s="22">
        <v>10</v>
      </c>
      <c r="K11" s="22" t="s">
        <v>4824</v>
      </c>
      <c r="L11" s="22" t="s">
        <v>4825</v>
      </c>
      <c r="M11" s="22">
        <v>42</v>
      </c>
      <c r="N11" s="22" t="s">
        <v>4315</v>
      </c>
      <c r="O11" s="22" t="s">
        <v>4691</v>
      </c>
    </row>
    <row r="12" spans="1:15" ht="28.2" thickBot="1" x14ac:dyDescent="0.3">
      <c r="A12" s="22">
        <v>728</v>
      </c>
      <c r="B12" s="22" t="s">
        <v>2947</v>
      </c>
      <c r="C12" s="22" t="s">
        <v>4708</v>
      </c>
      <c r="D12" s="22" t="s">
        <v>4709</v>
      </c>
      <c r="E12" s="22" t="s">
        <v>4710</v>
      </c>
      <c r="F12" s="22" t="s">
        <v>4711</v>
      </c>
      <c r="G12" s="22" t="s">
        <v>4712</v>
      </c>
      <c r="H12" s="22" t="s">
        <v>4713</v>
      </c>
      <c r="J12" s="22">
        <v>11</v>
      </c>
      <c r="K12" s="22" t="s">
        <v>2911</v>
      </c>
      <c r="L12" s="22" t="s">
        <v>2908</v>
      </c>
      <c r="M12" s="22">
        <v>43</v>
      </c>
      <c r="N12" s="22" t="s">
        <v>2161</v>
      </c>
      <c r="O12" s="22" t="s">
        <v>2908</v>
      </c>
    </row>
    <row r="13" spans="1:15" ht="42" thickBot="1" x14ac:dyDescent="0.3">
      <c r="A13" s="22">
        <v>735</v>
      </c>
      <c r="B13" s="22" t="s">
        <v>2872</v>
      </c>
      <c r="C13" s="22" t="s">
        <v>4714</v>
      </c>
      <c r="D13" s="22" t="s">
        <v>4715</v>
      </c>
      <c r="E13" s="22" t="s">
        <v>4716</v>
      </c>
      <c r="F13" s="22" t="s">
        <v>4717</v>
      </c>
      <c r="G13" s="22" t="s">
        <v>4718</v>
      </c>
      <c r="H13" s="22" t="s">
        <v>4719</v>
      </c>
      <c r="J13" s="22">
        <v>12</v>
      </c>
      <c r="K13" s="22" t="s">
        <v>2957</v>
      </c>
      <c r="L13" s="22" t="s">
        <v>4816</v>
      </c>
      <c r="M13" s="22">
        <v>44</v>
      </c>
      <c r="N13" s="22" t="s">
        <v>2923</v>
      </c>
      <c r="O13" s="22" t="s">
        <v>2908</v>
      </c>
    </row>
    <row r="14" spans="1:15" ht="42" thickBot="1" x14ac:dyDescent="0.3">
      <c r="A14" s="22">
        <v>776</v>
      </c>
      <c r="B14" s="22" t="s">
        <v>2871</v>
      </c>
      <c r="C14" s="22" t="s">
        <v>4720</v>
      </c>
      <c r="D14" s="22" t="s">
        <v>4721</v>
      </c>
      <c r="E14" s="22" t="s">
        <v>4722</v>
      </c>
      <c r="F14" s="22" t="s">
        <v>4723</v>
      </c>
      <c r="G14" s="22" t="s">
        <v>29</v>
      </c>
      <c r="H14" s="22" t="s">
        <v>4724</v>
      </c>
      <c r="J14" s="22">
        <v>13</v>
      </c>
      <c r="K14" s="22" t="s">
        <v>2913</v>
      </c>
      <c r="L14" s="22" t="s">
        <v>4826</v>
      </c>
      <c r="M14" s="22">
        <v>45</v>
      </c>
      <c r="N14" s="22" t="s">
        <v>2924</v>
      </c>
      <c r="O14" s="22" t="s">
        <v>2908</v>
      </c>
    </row>
    <row r="15" spans="1:15" ht="42" thickBot="1" x14ac:dyDescent="0.3">
      <c r="A15" s="22">
        <v>800</v>
      </c>
      <c r="B15" s="22" t="s">
        <v>2018</v>
      </c>
      <c r="C15" s="22" t="s">
        <v>4725</v>
      </c>
      <c r="D15" s="22" t="s">
        <v>4726</v>
      </c>
      <c r="E15" s="22" t="s">
        <v>4727</v>
      </c>
      <c r="F15" s="22" t="s">
        <v>4728</v>
      </c>
      <c r="G15" s="22" t="s">
        <v>4729</v>
      </c>
      <c r="H15" s="22" t="s">
        <v>4730</v>
      </c>
      <c r="J15" s="22">
        <v>14</v>
      </c>
      <c r="K15" s="22" t="s">
        <v>2173</v>
      </c>
      <c r="L15" s="22" t="s">
        <v>2908</v>
      </c>
      <c r="M15" s="22">
        <v>46</v>
      </c>
      <c r="N15" s="22" t="s">
        <v>2925</v>
      </c>
      <c r="O15" s="22" t="s">
        <v>2908</v>
      </c>
    </row>
    <row r="16" spans="1:15" ht="28.2" thickBot="1" x14ac:dyDescent="0.3">
      <c r="A16" s="22">
        <v>811</v>
      </c>
      <c r="B16" s="22" t="s">
        <v>2020</v>
      </c>
      <c r="C16" s="22" t="s">
        <v>4731</v>
      </c>
      <c r="D16" s="22" t="s">
        <v>4732</v>
      </c>
      <c r="E16" s="22" t="s">
        <v>4733</v>
      </c>
      <c r="F16" s="22" t="s">
        <v>4734</v>
      </c>
      <c r="G16" s="22" t="s">
        <v>4735</v>
      </c>
      <c r="H16" s="22" t="s">
        <v>4736</v>
      </c>
      <c r="J16" s="22">
        <v>15</v>
      </c>
      <c r="K16" s="22" t="s">
        <v>2914</v>
      </c>
      <c r="L16" s="22" t="s">
        <v>4812</v>
      </c>
      <c r="M16" s="22">
        <v>47</v>
      </c>
      <c r="N16" s="22" t="s">
        <v>3159</v>
      </c>
      <c r="O16" s="22" t="s">
        <v>2908</v>
      </c>
    </row>
    <row r="17" spans="1:15" ht="28.2" thickBot="1" x14ac:dyDescent="0.3">
      <c r="A17" s="22">
        <v>818</v>
      </c>
      <c r="B17" s="22" t="s">
        <v>2898</v>
      </c>
      <c r="C17" s="22" t="s">
        <v>4737</v>
      </c>
      <c r="D17" s="22" t="s">
        <v>4738</v>
      </c>
      <c r="E17" s="22" t="s">
        <v>4739</v>
      </c>
      <c r="F17" s="22" t="s">
        <v>4740</v>
      </c>
      <c r="G17" s="22" t="s">
        <v>4741</v>
      </c>
      <c r="H17" s="22" t="s">
        <v>4742</v>
      </c>
      <c r="J17" s="22">
        <v>16</v>
      </c>
      <c r="K17" s="22" t="s">
        <v>2029</v>
      </c>
      <c r="L17" s="22" t="s">
        <v>2908</v>
      </c>
      <c r="M17" s="22">
        <v>48</v>
      </c>
      <c r="N17" s="22" t="s">
        <v>2878</v>
      </c>
      <c r="O17" s="22" t="s">
        <v>2908</v>
      </c>
    </row>
    <row r="18" spans="1:15" ht="28.2" thickBot="1" x14ac:dyDescent="0.3">
      <c r="A18" s="22">
        <v>851</v>
      </c>
      <c r="B18" s="22" t="s">
        <v>2170</v>
      </c>
      <c r="C18" s="22" t="s">
        <v>4743</v>
      </c>
      <c r="D18" s="22" t="s">
        <v>4744</v>
      </c>
      <c r="E18" s="22" t="s">
        <v>4745</v>
      </c>
      <c r="F18" s="22" t="s">
        <v>4746</v>
      </c>
      <c r="G18" s="22" t="s">
        <v>4747</v>
      </c>
      <c r="H18" s="22" t="s">
        <v>4748</v>
      </c>
      <c r="J18" s="22">
        <v>17</v>
      </c>
      <c r="K18" s="22" t="s">
        <v>2028</v>
      </c>
      <c r="L18" s="22" t="s">
        <v>2908</v>
      </c>
      <c r="M18" s="22">
        <v>49</v>
      </c>
      <c r="N18" s="22" t="s">
        <v>2927</v>
      </c>
      <c r="O18" s="22" t="s">
        <v>2908</v>
      </c>
    </row>
    <row r="19" spans="1:15" ht="28.2" thickBot="1" x14ac:dyDescent="0.3">
      <c r="A19" s="22">
        <v>860</v>
      </c>
      <c r="B19" s="22" t="s">
        <v>4749</v>
      </c>
      <c r="C19" s="22" t="s">
        <v>4750</v>
      </c>
      <c r="D19" s="22" t="s">
        <v>4751</v>
      </c>
      <c r="E19" s="22" t="s">
        <v>4752</v>
      </c>
      <c r="F19" s="22" t="s">
        <v>4753</v>
      </c>
      <c r="G19" s="22" t="s">
        <v>4754</v>
      </c>
      <c r="H19" s="22" t="s">
        <v>4755</v>
      </c>
      <c r="J19" s="22">
        <v>18</v>
      </c>
      <c r="K19" s="22" t="s">
        <v>2915</v>
      </c>
      <c r="L19" s="22" t="s">
        <v>4827</v>
      </c>
      <c r="M19" s="22">
        <v>50</v>
      </c>
      <c r="N19" s="22" t="s">
        <v>2164</v>
      </c>
      <c r="O19" s="22" t="s">
        <v>2908</v>
      </c>
    </row>
    <row r="20" spans="1:15" ht="55.8" thickBot="1" x14ac:dyDescent="0.3">
      <c r="A20" s="22">
        <v>871</v>
      </c>
      <c r="B20" s="22" t="s">
        <v>2875</v>
      </c>
      <c r="C20" s="22" t="s">
        <v>4756</v>
      </c>
      <c r="D20" s="22" t="s">
        <v>4757</v>
      </c>
      <c r="E20" s="22" t="s">
        <v>4758</v>
      </c>
      <c r="F20" s="22" t="s">
        <v>4759</v>
      </c>
      <c r="G20" s="22" t="s">
        <v>4760</v>
      </c>
      <c r="H20" s="22" t="s">
        <v>4761</v>
      </c>
      <c r="J20" s="22">
        <v>19</v>
      </c>
      <c r="K20" s="22" t="s">
        <v>4828</v>
      </c>
      <c r="L20" s="22" t="s">
        <v>4819</v>
      </c>
      <c r="M20" s="22">
        <v>51</v>
      </c>
      <c r="N20" s="22" t="s">
        <v>2170</v>
      </c>
      <c r="O20" s="22" t="s">
        <v>4743</v>
      </c>
    </row>
    <row r="21" spans="1:15" ht="28.2" thickBot="1" x14ac:dyDescent="0.3">
      <c r="A21" s="22">
        <v>899</v>
      </c>
      <c r="B21" s="22" t="s">
        <v>2019</v>
      </c>
      <c r="C21" s="22" t="s">
        <v>4762</v>
      </c>
      <c r="D21" s="22" t="s">
        <v>4763</v>
      </c>
      <c r="E21" s="22" t="s">
        <v>4764</v>
      </c>
      <c r="F21" s="22" t="s">
        <v>4765</v>
      </c>
      <c r="G21" s="22" t="s">
        <v>4766</v>
      </c>
      <c r="H21" s="22" t="s">
        <v>4767</v>
      </c>
      <c r="J21" s="22">
        <v>20</v>
      </c>
      <c r="K21" s="22" t="s">
        <v>2362</v>
      </c>
      <c r="L21" s="22" t="s">
        <v>4829</v>
      </c>
      <c r="M21" s="22">
        <v>52</v>
      </c>
      <c r="N21" s="22" t="s">
        <v>2172</v>
      </c>
      <c r="O21" s="22" t="s">
        <v>2908</v>
      </c>
    </row>
    <row r="22" spans="1:15" ht="28.2" thickBot="1" x14ac:dyDescent="0.3">
      <c r="A22" s="22">
        <v>992</v>
      </c>
      <c r="B22" s="22" t="s">
        <v>2965</v>
      </c>
      <c r="C22" s="22" t="s">
        <v>4768</v>
      </c>
      <c r="D22" s="22" t="s">
        <v>4769</v>
      </c>
      <c r="E22" s="22" t="s">
        <v>4770</v>
      </c>
      <c r="F22" s="22" t="s">
        <v>4771</v>
      </c>
      <c r="G22" s="22" t="s">
        <v>4772</v>
      </c>
      <c r="H22" s="22" t="s">
        <v>4773</v>
      </c>
      <c r="J22" s="22">
        <v>21</v>
      </c>
      <c r="K22" s="22" t="s">
        <v>2942</v>
      </c>
      <c r="L22" s="22" t="s">
        <v>4685</v>
      </c>
      <c r="M22" s="22">
        <v>53</v>
      </c>
      <c r="N22" s="22" t="s">
        <v>3819</v>
      </c>
      <c r="O22" s="22" t="s">
        <v>2908</v>
      </c>
    </row>
    <row r="23" spans="1:15" ht="42" thickBot="1" x14ac:dyDescent="0.3">
      <c r="A23" s="22">
        <v>997</v>
      </c>
      <c r="B23" s="22" t="s">
        <v>2897</v>
      </c>
      <c r="C23" s="22" t="s">
        <v>4774</v>
      </c>
      <c r="D23" s="22" t="s">
        <v>4775</v>
      </c>
      <c r="E23" s="22" t="s">
        <v>4776</v>
      </c>
      <c r="F23" s="22" t="s">
        <v>4777</v>
      </c>
      <c r="G23" s="22" t="s">
        <v>4778</v>
      </c>
      <c r="H23" s="22" t="s">
        <v>4779</v>
      </c>
      <c r="J23" s="22">
        <v>22</v>
      </c>
      <c r="K23" s="22" t="s">
        <v>3157</v>
      </c>
      <c r="L23" s="22" t="s">
        <v>4756</v>
      </c>
      <c r="M23" s="22">
        <v>54</v>
      </c>
      <c r="N23" s="22" t="s">
        <v>2929</v>
      </c>
      <c r="O23" s="22" t="s">
        <v>2908</v>
      </c>
    </row>
    <row r="24" spans="1:15" ht="42" thickBot="1" x14ac:dyDescent="0.3">
      <c r="A24" s="22">
        <v>1014</v>
      </c>
      <c r="B24" s="22" t="s">
        <v>2365</v>
      </c>
      <c r="C24" s="22" t="s">
        <v>4780</v>
      </c>
      <c r="D24" s="22" t="s">
        <v>4781</v>
      </c>
      <c r="E24" s="22" t="s">
        <v>4782</v>
      </c>
      <c r="F24" s="22" t="s">
        <v>4783</v>
      </c>
      <c r="G24" s="22" t="s">
        <v>4784</v>
      </c>
      <c r="H24" s="22" t="s">
        <v>4785</v>
      </c>
      <c r="J24" s="22">
        <v>23</v>
      </c>
      <c r="K24" s="22" t="s">
        <v>2917</v>
      </c>
      <c r="L24" s="22" t="s">
        <v>4714</v>
      </c>
      <c r="M24" s="22">
        <v>55</v>
      </c>
      <c r="N24" s="22" t="s">
        <v>2183</v>
      </c>
      <c r="O24" s="22" t="s">
        <v>2908</v>
      </c>
    </row>
    <row r="25" spans="1:15" ht="28.2" thickBot="1" x14ac:dyDescent="0.3">
      <c r="A25" s="22">
        <v>1091</v>
      </c>
      <c r="B25" s="22" t="s">
        <v>4786</v>
      </c>
      <c r="C25" s="22" t="s">
        <v>4787</v>
      </c>
      <c r="D25" s="22" t="s">
        <v>4788</v>
      </c>
      <c r="E25" s="22" t="s">
        <v>4789</v>
      </c>
      <c r="F25" s="22" t="s">
        <v>29</v>
      </c>
      <c r="G25" s="22" t="s">
        <v>29</v>
      </c>
      <c r="H25" s="22" t="s">
        <v>29</v>
      </c>
      <c r="J25" s="22">
        <v>24</v>
      </c>
      <c r="K25" s="22" t="s">
        <v>2918</v>
      </c>
      <c r="L25" s="22" t="s">
        <v>2908</v>
      </c>
      <c r="M25" s="22">
        <v>56</v>
      </c>
      <c r="N25" s="22" t="s">
        <v>2185</v>
      </c>
      <c r="O25" s="22" t="s">
        <v>4702</v>
      </c>
    </row>
    <row r="26" spans="1:15" ht="28.2" thickBot="1" x14ac:dyDescent="0.3">
      <c r="A26" s="22">
        <v>1092</v>
      </c>
      <c r="B26" s="22" t="s">
        <v>4301</v>
      </c>
      <c r="C26" s="22" t="s">
        <v>4790</v>
      </c>
      <c r="D26" s="22" t="s">
        <v>4791</v>
      </c>
      <c r="E26" s="22" t="s">
        <v>4792</v>
      </c>
      <c r="F26" s="22" t="s">
        <v>29</v>
      </c>
      <c r="G26" s="22" t="s">
        <v>29</v>
      </c>
      <c r="H26" s="22" t="s">
        <v>29</v>
      </c>
      <c r="J26" s="22">
        <v>25</v>
      </c>
      <c r="K26" s="22" t="s">
        <v>2179</v>
      </c>
      <c r="L26" s="22" t="s">
        <v>2908</v>
      </c>
      <c r="M26" s="22">
        <v>57</v>
      </c>
      <c r="N26" s="22" t="s">
        <v>2930</v>
      </c>
      <c r="O26" s="22" t="s">
        <v>4681</v>
      </c>
    </row>
    <row r="27" spans="1:15" ht="28.2" thickBot="1" x14ac:dyDescent="0.3">
      <c r="A27" s="22">
        <v>1093</v>
      </c>
      <c r="B27" s="22" t="s">
        <v>2180</v>
      </c>
      <c r="C27" s="22" t="s">
        <v>4793</v>
      </c>
      <c r="D27" s="22" t="s">
        <v>4794</v>
      </c>
      <c r="E27" s="22" t="s">
        <v>4795</v>
      </c>
      <c r="F27" s="22" t="s">
        <v>4796</v>
      </c>
      <c r="G27" s="22" t="s">
        <v>4797</v>
      </c>
      <c r="H27" s="22" t="s">
        <v>4798</v>
      </c>
      <c r="J27" s="22">
        <v>26</v>
      </c>
      <c r="K27" s="22" t="s">
        <v>2943</v>
      </c>
      <c r="L27" s="22" t="s">
        <v>4651</v>
      </c>
      <c r="M27" s="22">
        <v>58</v>
      </c>
      <c r="N27" s="22" t="s">
        <v>2331</v>
      </c>
      <c r="O27" s="22" t="s">
        <v>2908</v>
      </c>
    </row>
    <row r="28" spans="1:15" ht="42" thickBot="1" x14ac:dyDescent="0.3">
      <c r="A28" s="22">
        <v>1096</v>
      </c>
      <c r="B28" s="22" t="s">
        <v>2178</v>
      </c>
      <c r="C28" s="22" t="s">
        <v>4799</v>
      </c>
      <c r="D28" s="22" t="s">
        <v>4800</v>
      </c>
      <c r="E28" s="22" t="s">
        <v>4801</v>
      </c>
      <c r="F28" s="22" t="s">
        <v>29</v>
      </c>
      <c r="G28" s="22" t="s">
        <v>4802</v>
      </c>
      <c r="H28" s="22" t="s">
        <v>4803</v>
      </c>
      <c r="J28" s="22">
        <v>27</v>
      </c>
      <c r="K28" s="22" t="s">
        <v>4830</v>
      </c>
      <c r="L28" s="22" t="s">
        <v>4669</v>
      </c>
      <c r="M28" s="22">
        <v>59</v>
      </c>
      <c r="N28" s="22" t="s">
        <v>2337</v>
      </c>
      <c r="O28" s="22" t="s">
        <v>2908</v>
      </c>
    </row>
    <row r="29" spans="1:15" ht="28.2" thickBot="1" x14ac:dyDescent="0.3">
      <c r="A29" s="22">
        <v>1154</v>
      </c>
      <c r="B29" s="22" t="s">
        <v>4398</v>
      </c>
      <c r="C29" s="22" t="s">
        <v>4804</v>
      </c>
      <c r="D29" s="22" t="s">
        <v>4805</v>
      </c>
      <c r="E29" s="22" t="s">
        <v>4806</v>
      </c>
      <c r="F29" s="22" t="s">
        <v>29</v>
      </c>
      <c r="G29" s="22" t="s">
        <v>29</v>
      </c>
      <c r="H29" s="22" t="s">
        <v>29</v>
      </c>
      <c r="J29" s="22">
        <v>28</v>
      </c>
      <c r="K29" s="22" t="s">
        <v>2965</v>
      </c>
      <c r="L29" s="22" t="s">
        <v>4768</v>
      </c>
      <c r="M29" s="22">
        <v>60</v>
      </c>
      <c r="N29" s="22" t="s">
        <v>2365</v>
      </c>
      <c r="O29" s="22" t="s">
        <v>4780</v>
      </c>
    </row>
    <row r="30" spans="1:15" ht="42" thickBot="1" x14ac:dyDescent="0.3">
      <c r="A30" s="22">
        <v>1192</v>
      </c>
      <c r="B30" s="22" t="s">
        <v>2174</v>
      </c>
      <c r="C30" s="22" t="s">
        <v>4807</v>
      </c>
      <c r="D30" s="22" t="s">
        <v>4808</v>
      </c>
      <c r="E30" s="22" t="s">
        <v>4809</v>
      </c>
      <c r="F30" s="22" t="s">
        <v>4810</v>
      </c>
      <c r="G30" s="22" t="s">
        <v>4811</v>
      </c>
      <c r="H30" s="22" t="s">
        <v>29</v>
      </c>
      <c r="J30" s="22">
        <v>29</v>
      </c>
      <c r="K30" s="22" t="s">
        <v>4831</v>
      </c>
      <c r="L30" s="22" t="s">
        <v>4657</v>
      </c>
      <c r="M30" s="22">
        <v>61</v>
      </c>
      <c r="N30" s="22" t="s">
        <v>2186</v>
      </c>
      <c r="O30" s="22" t="s">
        <v>2908</v>
      </c>
    </row>
    <row r="31" spans="1:15" ht="28.2" thickBot="1" x14ac:dyDescent="0.3">
      <c r="A31" s="22">
        <v>1202</v>
      </c>
      <c r="B31" s="22" t="s">
        <v>2899</v>
      </c>
      <c r="C31" s="22" t="s">
        <v>4812</v>
      </c>
      <c r="D31" s="22" t="s">
        <v>4813</v>
      </c>
      <c r="E31" s="22" t="s">
        <v>4814</v>
      </c>
      <c r="F31" s="22" t="s">
        <v>29</v>
      </c>
      <c r="G31" s="22" t="s">
        <v>29</v>
      </c>
      <c r="H31" s="22" t="s">
        <v>4815</v>
      </c>
      <c r="J31" s="22">
        <v>30</v>
      </c>
      <c r="K31" s="22" t="s">
        <v>2021</v>
      </c>
      <c r="L31" s="22" t="s">
        <v>2908</v>
      </c>
      <c r="M31" s="22">
        <v>62</v>
      </c>
      <c r="N31" s="22" t="s">
        <v>2382</v>
      </c>
      <c r="O31" s="22" t="s">
        <v>4832</v>
      </c>
    </row>
    <row r="32" spans="1:15" ht="28.2" thickBot="1" x14ac:dyDescent="0.3">
      <c r="A32" s="22">
        <v>1389</v>
      </c>
      <c r="B32" s="22" t="s">
        <v>2957</v>
      </c>
      <c r="C32" s="22" t="s">
        <v>4816</v>
      </c>
      <c r="D32" s="22" t="s">
        <v>4817</v>
      </c>
      <c r="E32" s="22" t="s">
        <v>4818</v>
      </c>
      <c r="F32" s="22" t="s">
        <v>29</v>
      </c>
      <c r="G32" s="22" t="s">
        <v>29</v>
      </c>
      <c r="H32" s="22" t="s">
        <v>29</v>
      </c>
      <c r="J32" s="22">
        <v>31</v>
      </c>
      <c r="K32" s="22" t="s">
        <v>2174</v>
      </c>
      <c r="L32" s="22" t="s">
        <v>4807</v>
      </c>
      <c r="M32" s="22">
        <v>63</v>
      </c>
      <c r="N32" s="22" t="s">
        <v>2393</v>
      </c>
      <c r="O32" s="22" t="s">
        <v>2908</v>
      </c>
    </row>
    <row r="33" spans="1:15" ht="28.2" thickBot="1" x14ac:dyDescent="0.3">
      <c r="A33" s="22">
        <v>1993</v>
      </c>
      <c r="B33" s="22" t="s">
        <v>3239</v>
      </c>
      <c r="C33" s="22" t="s">
        <v>4819</v>
      </c>
      <c r="D33" s="22" t="s">
        <v>4820</v>
      </c>
      <c r="E33" s="22" t="s">
        <v>29</v>
      </c>
      <c r="F33" s="22" t="s">
        <v>29</v>
      </c>
      <c r="G33" s="22" t="s">
        <v>29</v>
      </c>
      <c r="H33" s="22" t="s">
        <v>29</v>
      </c>
      <c r="J33" s="22">
        <v>32</v>
      </c>
      <c r="K33" s="22" t="s">
        <v>2180</v>
      </c>
      <c r="L33" s="22" t="s">
        <v>4793</v>
      </c>
      <c r="M33" s="22"/>
      <c r="N33" s="22"/>
      <c r="O33" s="22"/>
    </row>
    <row r="34" spans="1:15" ht="28.2" thickBot="1" x14ac:dyDescent="0.3">
      <c r="A34" s="22">
        <v>2082</v>
      </c>
      <c r="B34" s="22" t="s">
        <v>3247</v>
      </c>
      <c r="C34" s="22" t="s">
        <v>4821</v>
      </c>
      <c r="D34" s="22" t="s">
        <v>4822</v>
      </c>
      <c r="E34" s="22" t="s">
        <v>29</v>
      </c>
      <c r="F34" s="22" t="s">
        <v>29</v>
      </c>
      <c r="G34" s="22" t="s">
        <v>29</v>
      </c>
      <c r="H34" s="22" t="s">
        <v>29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911B-8D98-4F85-A5D1-9C556F94924E}">
  <dimension ref="A1:AO64"/>
  <sheetViews>
    <sheetView topLeftCell="N1" workbookViewId="0">
      <selection activeCell="AJ6" sqref="AJ6"/>
    </sheetView>
  </sheetViews>
  <sheetFormatPr defaultRowHeight="13.8" x14ac:dyDescent="0.25"/>
  <sheetData>
    <row r="1" spans="1:41" ht="49.2" thickBot="1" x14ac:dyDescent="0.3">
      <c r="A1" s="27" t="s">
        <v>5589</v>
      </c>
      <c r="B1" s="21" t="s">
        <v>4833</v>
      </c>
      <c r="C1" s="21" t="s">
        <v>4834</v>
      </c>
      <c r="D1" s="21" t="s">
        <v>4835</v>
      </c>
      <c r="E1" s="21" t="s">
        <v>4836</v>
      </c>
      <c r="F1" s="21" t="s">
        <v>4837</v>
      </c>
      <c r="G1" s="21" t="s">
        <v>4838</v>
      </c>
      <c r="I1" s="27" t="s">
        <v>5589</v>
      </c>
      <c r="J1" s="21" t="s">
        <v>2906</v>
      </c>
      <c r="K1" s="21" t="s">
        <v>4833</v>
      </c>
      <c r="L1" s="21" t="s">
        <v>4834</v>
      </c>
      <c r="M1" s="21" t="s">
        <v>4835</v>
      </c>
      <c r="N1" s="21" t="s">
        <v>4836</v>
      </c>
      <c r="O1" s="21" t="s">
        <v>4837</v>
      </c>
      <c r="P1" s="21" t="s">
        <v>4838</v>
      </c>
      <c r="R1" s="28" t="s">
        <v>5590</v>
      </c>
      <c r="S1" s="21" t="s">
        <v>5180</v>
      </c>
      <c r="T1" s="21" t="s">
        <v>5181</v>
      </c>
      <c r="U1" s="21" t="s">
        <v>4644</v>
      </c>
      <c r="V1" s="21" t="s">
        <v>1169</v>
      </c>
      <c r="W1" s="21" t="s">
        <v>4646</v>
      </c>
      <c r="Y1" s="28" t="s">
        <v>5590</v>
      </c>
      <c r="Z1" s="21" t="s">
        <v>2906</v>
      </c>
      <c r="AA1" s="21" t="s">
        <v>5180</v>
      </c>
      <c r="AB1" s="21" t="s">
        <v>5181</v>
      </c>
      <c r="AC1" s="21" t="s">
        <v>4644</v>
      </c>
      <c r="AD1" s="21" t="s">
        <v>1169</v>
      </c>
      <c r="AE1" s="21" t="s">
        <v>4646</v>
      </c>
      <c r="AG1" s="27" t="s">
        <v>5588</v>
      </c>
      <c r="AH1" s="21" t="s">
        <v>5469</v>
      </c>
      <c r="AI1" s="21" t="s">
        <v>5470</v>
      </c>
      <c r="AJ1" s="21" t="s">
        <v>5471</v>
      </c>
      <c r="AL1" s="27" t="s">
        <v>5588</v>
      </c>
      <c r="AM1" s="21" t="s">
        <v>2906</v>
      </c>
      <c r="AN1" s="21" t="s">
        <v>5470</v>
      </c>
      <c r="AO1" s="21" t="s">
        <v>5471</v>
      </c>
    </row>
    <row r="2" spans="1:41" ht="14.4" thickBot="1" x14ac:dyDescent="0.3">
      <c r="A2" s="21" t="s">
        <v>2940</v>
      </c>
      <c r="B2" s="22"/>
      <c r="C2" s="22"/>
      <c r="D2" s="22"/>
      <c r="E2" s="22"/>
      <c r="F2" s="22"/>
      <c r="G2" s="22"/>
      <c r="I2" s="22">
        <v>1</v>
      </c>
      <c r="J2" s="22" t="s">
        <v>2017</v>
      </c>
      <c r="K2" s="22">
        <v>1802.78</v>
      </c>
      <c r="L2" s="22">
        <v>2880.87</v>
      </c>
      <c r="M2" s="22">
        <v>1888.12</v>
      </c>
      <c r="N2" s="22">
        <v>1227</v>
      </c>
      <c r="O2" s="22">
        <v>833.64</v>
      </c>
      <c r="P2" s="22">
        <v>932.76</v>
      </c>
      <c r="R2" s="21" t="s">
        <v>2940</v>
      </c>
      <c r="S2" s="22"/>
      <c r="T2" s="22"/>
      <c r="U2" s="22"/>
      <c r="V2" s="22"/>
      <c r="W2" s="22"/>
      <c r="Y2" s="22">
        <v>1</v>
      </c>
      <c r="Z2" s="22" t="s">
        <v>2017</v>
      </c>
      <c r="AA2" s="22">
        <v>1248</v>
      </c>
      <c r="AB2" s="22">
        <v>1387.89</v>
      </c>
      <c r="AC2" s="22">
        <v>1591</v>
      </c>
      <c r="AD2" s="22">
        <v>882.91</v>
      </c>
      <c r="AE2" s="22">
        <v>1242</v>
      </c>
      <c r="AG2" s="21" t="s">
        <v>2940</v>
      </c>
      <c r="AH2" s="22"/>
      <c r="AI2" s="22"/>
      <c r="AJ2" s="22"/>
      <c r="AL2" s="22">
        <v>1</v>
      </c>
      <c r="AM2" s="22" t="s">
        <v>2017</v>
      </c>
      <c r="AN2" s="22">
        <v>3152.22</v>
      </c>
      <c r="AO2" s="22">
        <v>4460.03</v>
      </c>
    </row>
    <row r="3" spans="1:41" ht="28.2" thickBot="1" x14ac:dyDescent="0.3">
      <c r="A3" s="22" t="s">
        <v>2022</v>
      </c>
      <c r="B3" s="22" t="s">
        <v>4839</v>
      </c>
      <c r="C3" s="22" t="s">
        <v>4840</v>
      </c>
      <c r="D3" s="22" t="s">
        <v>4841</v>
      </c>
      <c r="E3" s="22" t="s">
        <v>4842</v>
      </c>
      <c r="F3" s="22" t="s">
        <v>4843</v>
      </c>
      <c r="G3" s="22" t="s">
        <v>4844</v>
      </c>
      <c r="I3" s="22">
        <v>2</v>
      </c>
      <c r="J3" s="22" t="s">
        <v>2162</v>
      </c>
      <c r="K3" s="22" t="s">
        <v>2908</v>
      </c>
      <c r="L3" s="22" t="s">
        <v>2908</v>
      </c>
      <c r="M3" s="22" t="s">
        <v>2908</v>
      </c>
      <c r="N3" s="22" t="s">
        <v>2908</v>
      </c>
      <c r="O3" s="22" t="s">
        <v>2908</v>
      </c>
      <c r="P3" s="22" t="s">
        <v>2908</v>
      </c>
      <c r="R3" s="22" t="s">
        <v>2022</v>
      </c>
      <c r="S3" s="22" t="s">
        <v>5182</v>
      </c>
      <c r="T3" s="22" t="s">
        <v>5183</v>
      </c>
      <c r="U3" s="22" t="s">
        <v>5184</v>
      </c>
      <c r="V3" s="22" t="s">
        <v>5185</v>
      </c>
      <c r="W3" s="22" t="s">
        <v>5186</v>
      </c>
      <c r="Y3" s="22">
        <v>2</v>
      </c>
      <c r="Z3" s="22" t="s">
        <v>2162</v>
      </c>
      <c r="AA3" s="22" t="s">
        <v>2908</v>
      </c>
      <c r="AB3" s="22" t="s">
        <v>2908</v>
      </c>
      <c r="AC3" s="22" t="s">
        <v>2908</v>
      </c>
      <c r="AD3" s="22" t="s">
        <v>2908</v>
      </c>
      <c r="AE3" s="22" t="s">
        <v>2908</v>
      </c>
      <c r="AG3" s="22" t="s">
        <v>2022</v>
      </c>
      <c r="AH3" s="22">
        <v>32551.599999999999</v>
      </c>
      <c r="AI3" s="22" t="s">
        <v>5472</v>
      </c>
      <c r="AJ3" s="22" t="s">
        <v>5473</v>
      </c>
      <c r="AL3" s="22">
        <v>2</v>
      </c>
      <c r="AM3" s="22" t="s">
        <v>2162</v>
      </c>
      <c r="AN3" s="22" t="s">
        <v>2908</v>
      </c>
      <c r="AO3" s="22" t="s">
        <v>2908</v>
      </c>
    </row>
    <row r="4" spans="1:41" ht="28.2" thickBot="1" x14ac:dyDescent="0.3">
      <c r="A4" s="22" t="s">
        <v>2018</v>
      </c>
      <c r="B4" s="22" t="s">
        <v>4845</v>
      </c>
      <c r="C4" s="22" t="s">
        <v>4846</v>
      </c>
      <c r="D4" s="22" t="s">
        <v>4847</v>
      </c>
      <c r="E4" s="22" t="s">
        <v>4848</v>
      </c>
      <c r="F4" s="22" t="s">
        <v>4849</v>
      </c>
      <c r="G4" s="22" t="s">
        <v>4850</v>
      </c>
      <c r="I4" s="22">
        <v>3</v>
      </c>
      <c r="J4" s="22" t="s">
        <v>2018</v>
      </c>
      <c r="K4" s="22">
        <v>505.89</v>
      </c>
      <c r="L4" s="22">
        <v>387.72</v>
      </c>
      <c r="M4" s="22">
        <v>503.32</v>
      </c>
      <c r="N4" s="22">
        <v>553</v>
      </c>
      <c r="O4" s="22">
        <v>360.62</v>
      </c>
      <c r="P4" s="22">
        <v>290.41000000000003</v>
      </c>
      <c r="R4" s="22" t="s">
        <v>2018</v>
      </c>
      <c r="S4" s="22" t="s">
        <v>5187</v>
      </c>
      <c r="T4" s="22" t="s">
        <v>5188</v>
      </c>
      <c r="U4" s="22" t="s">
        <v>5189</v>
      </c>
      <c r="V4" s="22" t="s">
        <v>5190</v>
      </c>
      <c r="W4" s="22" t="s">
        <v>5191</v>
      </c>
      <c r="Y4" s="22">
        <v>3</v>
      </c>
      <c r="Z4" s="22" t="s">
        <v>2018</v>
      </c>
      <c r="AA4" s="22">
        <v>323.12</v>
      </c>
      <c r="AB4" s="22">
        <v>177.44</v>
      </c>
      <c r="AC4" s="22">
        <v>267.42</v>
      </c>
      <c r="AD4" s="22">
        <v>99.1</v>
      </c>
      <c r="AE4" s="22">
        <v>235.91</v>
      </c>
      <c r="AG4" s="22" t="s">
        <v>2018</v>
      </c>
      <c r="AH4" s="22">
        <v>81.5</v>
      </c>
      <c r="AI4" s="22" t="s">
        <v>5474</v>
      </c>
      <c r="AJ4" s="22" t="s">
        <v>5475</v>
      </c>
      <c r="AL4" s="22">
        <v>3</v>
      </c>
      <c r="AM4" s="22" t="s">
        <v>2018</v>
      </c>
      <c r="AN4" s="22">
        <v>488.11</v>
      </c>
      <c r="AO4" s="22">
        <v>498.73</v>
      </c>
    </row>
    <row r="5" spans="1:41" ht="28.2" thickBot="1" x14ac:dyDescent="0.3">
      <c r="A5" s="22" t="s">
        <v>2019</v>
      </c>
      <c r="B5" s="22" t="s">
        <v>4851</v>
      </c>
      <c r="C5" s="22" t="s">
        <v>4852</v>
      </c>
      <c r="D5" s="22" t="s">
        <v>4853</v>
      </c>
      <c r="E5" s="22" t="s">
        <v>4854</v>
      </c>
      <c r="F5" s="22" t="s">
        <v>4855</v>
      </c>
      <c r="G5" s="22" t="s">
        <v>4856</v>
      </c>
      <c r="I5" s="22">
        <v>4</v>
      </c>
      <c r="J5" s="22" t="s">
        <v>2022</v>
      </c>
      <c r="K5" s="22">
        <v>1368.22</v>
      </c>
      <c r="L5" s="22">
        <v>1509.12</v>
      </c>
      <c r="M5" s="22">
        <v>1188.31</v>
      </c>
      <c r="N5" s="22">
        <v>1083.43</v>
      </c>
      <c r="O5" s="22">
        <v>701.02</v>
      </c>
      <c r="P5" s="22">
        <v>605.62</v>
      </c>
      <c r="R5" s="22" t="s">
        <v>2019</v>
      </c>
      <c r="S5" s="22" t="s">
        <v>5192</v>
      </c>
      <c r="T5" s="22" t="s">
        <v>5193</v>
      </c>
      <c r="U5" s="22" t="s">
        <v>5194</v>
      </c>
      <c r="V5" s="22" t="s">
        <v>5195</v>
      </c>
      <c r="W5" s="22" t="s">
        <v>5196</v>
      </c>
      <c r="Y5" s="22">
        <v>4</v>
      </c>
      <c r="Z5" s="22" t="s">
        <v>2022</v>
      </c>
      <c r="AA5" s="22">
        <v>934.32</v>
      </c>
      <c r="AB5" s="22">
        <v>1177</v>
      </c>
      <c r="AC5" s="22">
        <v>980.81</v>
      </c>
      <c r="AD5" s="22">
        <v>630.52</v>
      </c>
      <c r="AE5" s="22">
        <v>262.22000000000003</v>
      </c>
      <c r="AG5" s="22" t="s">
        <v>2019</v>
      </c>
      <c r="AH5" s="22">
        <v>26.78</v>
      </c>
      <c r="AI5" s="22" t="s">
        <v>5476</v>
      </c>
      <c r="AJ5" s="22" t="s">
        <v>5477</v>
      </c>
      <c r="AL5" s="22">
        <v>4</v>
      </c>
      <c r="AM5" s="22" t="s">
        <v>2022</v>
      </c>
      <c r="AN5" s="22">
        <v>4403.3100000000004</v>
      </c>
      <c r="AO5" s="22">
        <v>3405.12</v>
      </c>
    </row>
    <row r="6" spans="1:41" ht="28.2" thickBot="1" x14ac:dyDescent="0.3">
      <c r="A6" s="22" t="s">
        <v>2017</v>
      </c>
      <c r="B6" s="22" t="s">
        <v>4857</v>
      </c>
      <c r="C6" s="22" t="s">
        <v>4858</v>
      </c>
      <c r="D6" s="22" t="s">
        <v>4859</v>
      </c>
      <c r="E6" s="22" t="s">
        <v>4860</v>
      </c>
      <c r="F6" s="22" t="s">
        <v>4861</v>
      </c>
      <c r="G6" s="22" t="s">
        <v>4862</v>
      </c>
      <c r="I6" s="22">
        <v>5</v>
      </c>
      <c r="J6" s="22" t="s">
        <v>2023</v>
      </c>
      <c r="K6" s="22">
        <v>35.92</v>
      </c>
      <c r="L6" s="22">
        <v>35.619999999999997</v>
      </c>
      <c r="M6" s="22">
        <v>30.35</v>
      </c>
      <c r="N6" s="22">
        <v>23.92</v>
      </c>
      <c r="O6" s="22">
        <v>15.48</v>
      </c>
      <c r="P6" s="22">
        <v>14.57</v>
      </c>
      <c r="R6" s="22" t="s">
        <v>2017</v>
      </c>
      <c r="S6" s="22" t="s">
        <v>5197</v>
      </c>
      <c r="T6" s="22" t="s">
        <v>5198</v>
      </c>
      <c r="U6" s="22" t="s">
        <v>5199</v>
      </c>
      <c r="V6" s="22" t="s">
        <v>5200</v>
      </c>
      <c r="W6" s="22" t="s">
        <v>5201</v>
      </c>
      <c r="Y6" s="22">
        <v>5</v>
      </c>
      <c r="Z6" s="22" t="s">
        <v>2023</v>
      </c>
      <c r="AA6" s="22">
        <v>15.63</v>
      </c>
      <c r="AB6" s="22">
        <v>15.19</v>
      </c>
      <c r="AC6" s="22">
        <v>31.82</v>
      </c>
      <c r="AD6" s="22">
        <v>22.47</v>
      </c>
      <c r="AE6" s="22">
        <v>67.72</v>
      </c>
      <c r="AG6" s="22" t="s">
        <v>2017</v>
      </c>
      <c r="AH6" s="22">
        <v>55.33</v>
      </c>
      <c r="AI6" s="22" t="s">
        <v>5478</v>
      </c>
      <c r="AJ6" s="22" t="s">
        <v>5479</v>
      </c>
      <c r="AL6" s="22">
        <v>5</v>
      </c>
      <c r="AM6" s="22" t="s">
        <v>2023</v>
      </c>
      <c r="AN6" s="22">
        <v>168.1</v>
      </c>
      <c r="AO6" s="22">
        <v>131</v>
      </c>
    </row>
    <row r="7" spans="1:41" ht="28.2" thickBot="1" x14ac:dyDescent="0.3">
      <c r="A7" s="22" t="s">
        <v>2365</v>
      </c>
      <c r="B7" s="22" t="s">
        <v>4863</v>
      </c>
      <c r="C7" s="22" t="s">
        <v>4864</v>
      </c>
      <c r="D7" s="22" t="s">
        <v>4865</v>
      </c>
      <c r="E7" s="22" t="s">
        <v>4866</v>
      </c>
      <c r="F7" s="22" t="s">
        <v>4867</v>
      </c>
      <c r="G7" s="22" t="s">
        <v>4868</v>
      </c>
      <c r="I7" s="22">
        <v>6</v>
      </c>
      <c r="J7" s="22" t="s">
        <v>2019</v>
      </c>
      <c r="K7" s="22">
        <v>28.38</v>
      </c>
      <c r="L7" s="22">
        <v>42.66</v>
      </c>
      <c r="M7" s="22">
        <v>27.82</v>
      </c>
      <c r="N7" s="22">
        <v>22.79</v>
      </c>
      <c r="O7" s="22">
        <v>10.46</v>
      </c>
      <c r="P7" s="22">
        <v>5.81</v>
      </c>
      <c r="R7" s="22" t="s">
        <v>2365</v>
      </c>
      <c r="S7" s="22" t="s">
        <v>5202</v>
      </c>
      <c r="T7" s="22" t="s">
        <v>5203</v>
      </c>
      <c r="U7" s="22" t="s">
        <v>5204</v>
      </c>
      <c r="V7" s="22" t="s">
        <v>5205</v>
      </c>
      <c r="W7" s="22" t="s">
        <v>5206</v>
      </c>
      <c r="Y7" s="22">
        <v>6</v>
      </c>
      <c r="Z7" s="22" t="s">
        <v>2019</v>
      </c>
      <c r="AA7" s="22">
        <v>147.82</v>
      </c>
      <c r="AB7" s="22">
        <v>19.8</v>
      </c>
      <c r="AC7" s="22">
        <v>35.549999999999997</v>
      </c>
      <c r="AD7" s="22">
        <v>2.2000000000000002</v>
      </c>
      <c r="AE7" s="22">
        <v>37.659999999999997</v>
      </c>
      <c r="AG7" s="22" t="s">
        <v>2365</v>
      </c>
      <c r="AH7" s="22">
        <v>5560</v>
      </c>
      <c r="AI7" s="22" t="s">
        <v>5480</v>
      </c>
      <c r="AJ7" s="22" t="s">
        <v>5481</v>
      </c>
      <c r="AL7" s="22">
        <v>6</v>
      </c>
      <c r="AM7" s="22" t="s">
        <v>2019</v>
      </c>
      <c r="AN7" s="22">
        <v>81.34</v>
      </c>
      <c r="AO7" s="22">
        <v>53.45</v>
      </c>
    </row>
    <row r="8" spans="1:41" ht="28.2" thickBot="1" x14ac:dyDescent="0.3">
      <c r="A8" s="22" t="s">
        <v>4869</v>
      </c>
      <c r="B8" s="22" t="s">
        <v>4870</v>
      </c>
      <c r="C8" s="22" t="s">
        <v>4871</v>
      </c>
      <c r="D8" s="22" t="s">
        <v>4872</v>
      </c>
      <c r="E8" s="22" t="s">
        <v>4873</v>
      </c>
      <c r="F8" s="22" t="s">
        <v>4874</v>
      </c>
      <c r="G8" s="22" t="s">
        <v>4875</v>
      </c>
      <c r="I8" s="22">
        <v>7</v>
      </c>
      <c r="J8" s="22" t="s">
        <v>2178</v>
      </c>
      <c r="K8" s="22">
        <v>2.25</v>
      </c>
      <c r="L8" s="22">
        <v>28.75</v>
      </c>
      <c r="M8" s="22">
        <v>19.54</v>
      </c>
      <c r="N8" s="22">
        <v>14.66</v>
      </c>
      <c r="O8" s="22">
        <v>8.81</v>
      </c>
      <c r="P8" s="22">
        <v>8.19</v>
      </c>
      <c r="R8" s="22" t="s">
        <v>4869</v>
      </c>
      <c r="S8" s="22" t="s">
        <v>5207</v>
      </c>
      <c r="T8" s="22" t="s">
        <v>5208</v>
      </c>
      <c r="U8" s="22" t="s">
        <v>5209</v>
      </c>
      <c r="V8" s="22" t="s">
        <v>5210</v>
      </c>
      <c r="W8" s="22" t="s">
        <v>5211</v>
      </c>
      <c r="Y8" s="22">
        <v>7</v>
      </c>
      <c r="Z8" s="22" t="s">
        <v>2178</v>
      </c>
      <c r="AA8" s="22">
        <v>16.63</v>
      </c>
      <c r="AB8" s="22">
        <v>13.82</v>
      </c>
      <c r="AC8" s="22">
        <v>34.32</v>
      </c>
      <c r="AD8" s="22">
        <v>12.14</v>
      </c>
      <c r="AE8" s="22">
        <v>24.92</v>
      </c>
      <c r="AG8" s="22" t="s">
        <v>4869</v>
      </c>
      <c r="AH8" s="22">
        <v>915</v>
      </c>
      <c r="AI8" s="22" t="s">
        <v>5482</v>
      </c>
      <c r="AJ8" s="22" t="s">
        <v>5483</v>
      </c>
      <c r="AL8" s="22">
        <v>7</v>
      </c>
      <c r="AM8" s="22" t="s">
        <v>2178</v>
      </c>
      <c r="AN8" s="22">
        <v>60.37</v>
      </c>
      <c r="AO8" s="22">
        <v>54.68</v>
      </c>
    </row>
    <row r="9" spans="1:41" ht="28.2" thickBot="1" x14ac:dyDescent="0.3">
      <c r="A9" s="22" t="s">
        <v>2187</v>
      </c>
      <c r="B9" s="22" t="s">
        <v>4876</v>
      </c>
      <c r="C9" s="22" t="s">
        <v>4877</v>
      </c>
      <c r="D9" s="22" t="s">
        <v>4878</v>
      </c>
      <c r="E9" s="22" t="s">
        <v>4879</v>
      </c>
      <c r="F9" s="22" t="s">
        <v>4880</v>
      </c>
      <c r="G9" s="22" t="s">
        <v>4881</v>
      </c>
      <c r="I9" s="22">
        <v>8</v>
      </c>
      <c r="J9" s="22" t="s">
        <v>2898</v>
      </c>
      <c r="K9" s="22">
        <v>944.54</v>
      </c>
      <c r="L9" s="22">
        <v>1176</v>
      </c>
      <c r="M9" s="22">
        <v>863.61</v>
      </c>
      <c r="N9" s="22">
        <v>714.42</v>
      </c>
      <c r="O9" s="22">
        <v>980.56</v>
      </c>
      <c r="P9" s="22">
        <v>1122.95</v>
      </c>
      <c r="R9" s="22" t="s">
        <v>2187</v>
      </c>
      <c r="S9" s="22" t="s">
        <v>5212</v>
      </c>
      <c r="T9" s="22" t="s">
        <v>5213</v>
      </c>
      <c r="U9" s="22" t="s">
        <v>5214</v>
      </c>
      <c r="V9" s="22" t="s">
        <v>5215</v>
      </c>
      <c r="W9" s="22" t="s">
        <v>5216</v>
      </c>
      <c r="Y9" s="22">
        <v>8</v>
      </c>
      <c r="Z9" s="22" t="s">
        <v>2898</v>
      </c>
      <c r="AA9" s="22">
        <v>595.52</v>
      </c>
      <c r="AB9" s="22">
        <v>451.02</v>
      </c>
      <c r="AC9" s="22">
        <v>635.52</v>
      </c>
      <c r="AD9" s="22">
        <v>730.22</v>
      </c>
      <c r="AE9" s="22">
        <v>1006.12</v>
      </c>
      <c r="AG9" s="22" t="s">
        <v>2187</v>
      </c>
      <c r="AH9" s="22">
        <v>12782.77</v>
      </c>
      <c r="AI9" s="22" t="s">
        <v>5484</v>
      </c>
      <c r="AJ9" s="22" t="s">
        <v>5485</v>
      </c>
      <c r="AL9" s="22">
        <v>8</v>
      </c>
      <c r="AM9" s="22" t="s">
        <v>2898</v>
      </c>
      <c r="AN9" s="22">
        <v>2674.22</v>
      </c>
      <c r="AO9" s="22">
        <v>823.11</v>
      </c>
    </row>
    <row r="10" spans="1:41" ht="42" thickBot="1" x14ac:dyDescent="0.3">
      <c r="A10" s="22" t="s">
        <v>2178</v>
      </c>
      <c r="B10" s="22" t="s">
        <v>4882</v>
      </c>
      <c r="C10" s="22" t="s">
        <v>4883</v>
      </c>
      <c r="D10" s="22" t="s">
        <v>4884</v>
      </c>
      <c r="E10" s="22" t="s">
        <v>4885</v>
      </c>
      <c r="F10" s="22" t="s">
        <v>4886</v>
      </c>
      <c r="G10" s="22" t="s">
        <v>4887</v>
      </c>
      <c r="I10" s="22">
        <v>9</v>
      </c>
      <c r="J10" s="22" t="s">
        <v>2909</v>
      </c>
      <c r="K10" s="22" t="s">
        <v>2908</v>
      </c>
      <c r="L10" s="22" t="s">
        <v>2908</v>
      </c>
      <c r="M10" s="22" t="s">
        <v>2908</v>
      </c>
      <c r="N10" s="22" t="s">
        <v>2908</v>
      </c>
      <c r="O10" s="22" t="s">
        <v>2908</v>
      </c>
      <c r="P10" s="22" t="s">
        <v>2908</v>
      </c>
      <c r="R10" s="22" t="s">
        <v>2178</v>
      </c>
      <c r="S10" s="22" t="s">
        <v>5217</v>
      </c>
      <c r="T10" s="22" t="s">
        <v>5218</v>
      </c>
      <c r="U10" s="22" t="s">
        <v>5219</v>
      </c>
      <c r="V10" s="22" t="s">
        <v>5220</v>
      </c>
      <c r="W10" s="22" t="s">
        <v>5221</v>
      </c>
      <c r="Y10" s="22">
        <v>9</v>
      </c>
      <c r="Z10" s="22" t="s">
        <v>2909</v>
      </c>
      <c r="AA10" s="22" t="s">
        <v>2908</v>
      </c>
      <c r="AB10" s="22" t="s">
        <v>2908</v>
      </c>
      <c r="AC10" s="22" t="s">
        <v>2908</v>
      </c>
      <c r="AD10" s="22" t="s">
        <v>2908</v>
      </c>
      <c r="AE10" s="22" t="s">
        <v>2908</v>
      </c>
      <c r="AG10" s="22" t="s">
        <v>2178</v>
      </c>
      <c r="AH10" s="22">
        <v>13153.17</v>
      </c>
      <c r="AI10" s="22" t="s">
        <v>5486</v>
      </c>
      <c r="AJ10" s="22" t="s">
        <v>5487</v>
      </c>
      <c r="AL10" s="22">
        <v>9</v>
      </c>
      <c r="AM10" s="22" t="s">
        <v>2909</v>
      </c>
      <c r="AN10" s="22">
        <v>1528</v>
      </c>
      <c r="AO10" s="22" t="s">
        <v>2908</v>
      </c>
    </row>
    <row r="11" spans="1:41" ht="28.2" thickBot="1" x14ac:dyDescent="0.3">
      <c r="A11" s="22" t="s">
        <v>4888</v>
      </c>
      <c r="B11" s="22" t="s">
        <v>4889</v>
      </c>
      <c r="C11" s="22" t="s">
        <v>4890</v>
      </c>
      <c r="D11" s="22" t="s">
        <v>4891</v>
      </c>
      <c r="E11" s="22" t="s">
        <v>4892</v>
      </c>
      <c r="F11" s="22" t="s">
        <v>4893</v>
      </c>
      <c r="G11" s="22" t="s">
        <v>4894</v>
      </c>
      <c r="I11" s="22">
        <v>10</v>
      </c>
      <c r="J11" s="22" t="s">
        <v>2166</v>
      </c>
      <c r="K11" s="22" t="s">
        <v>2908</v>
      </c>
      <c r="L11" s="22" t="s">
        <v>2908</v>
      </c>
      <c r="M11" s="22" t="s">
        <v>2908</v>
      </c>
      <c r="N11" s="22" t="s">
        <v>2908</v>
      </c>
      <c r="O11" s="22" t="s">
        <v>2908</v>
      </c>
      <c r="P11" s="22" t="s">
        <v>2908</v>
      </c>
      <c r="R11" s="22" t="s">
        <v>4888</v>
      </c>
      <c r="S11" s="22" t="s">
        <v>5222</v>
      </c>
      <c r="T11" s="22" t="s">
        <v>5223</v>
      </c>
      <c r="U11" s="22" t="s">
        <v>5224</v>
      </c>
      <c r="V11" s="22" t="s">
        <v>5225</v>
      </c>
      <c r="W11" s="22" t="s">
        <v>5226</v>
      </c>
      <c r="Y11" s="22">
        <v>10</v>
      </c>
      <c r="Z11" s="22" t="s">
        <v>2166</v>
      </c>
      <c r="AA11" s="22" t="s">
        <v>2908</v>
      </c>
      <c r="AB11" s="22" t="s">
        <v>2908</v>
      </c>
      <c r="AC11" s="22" t="s">
        <v>2908</v>
      </c>
      <c r="AD11" s="22" t="s">
        <v>2908</v>
      </c>
      <c r="AE11" s="22" t="s">
        <v>2908</v>
      </c>
      <c r="AG11" s="22" t="s">
        <v>4888</v>
      </c>
      <c r="AH11" s="22">
        <v>5250.31</v>
      </c>
      <c r="AI11" s="22" t="s">
        <v>5488</v>
      </c>
      <c r="AJ11" s="22" t="s">
        <v>5489</v>
      </c>
      <c r="AL11" s="22">
        <v>10</v>
      </c>
      <c r="AM11" s="22" t="s">
        <v>2166</v>
      </c>
      <c r="AN11" s="22" t="s">
        <v>2908</v>
      </c>
      <c r="AO11" s="22" t="s">
        <v>2908</v>
      </c>
    </row>
    <row r="12" spans="1:41" ht="28.2" thickBot="1" x14ac:dyDescent="0.3">
      <c r="A12" s="22" t="s">
        <v>2898</v>
      </c>
      <c r="B12" s="22" t="s">
        <v>4895</v>
      </c>
      <c r="C12" s="22" t="s">
        <v>4896</v>
      </c>
      <c r="D12" s="22" t="s">
        <v>4897</v>
      </c>
      <c r="E12" s="22" t="s">
        <v>4898</v>
      </c>
      <c r="F12" s="22" t="s">
        <v>4899</v>
      </c>
      <c r="G12" s="22" t="s">
        <v>4900</v>
      </c>
      <c r="I12" s="22">
        <v>11</v>
      </c>
      <c r="J12" s="22" t="s">
        <v>2911</v>
      </c>
      <c r="K12" s="22" t="s">
        <v>2908</v>
      </c>
      <c r="L12" s="22" t="s">
        <v>2908</v>
      </c>
      <c r="M12" s="22" t="s">
        <v>2908</v>
      </c>
      <c r="N12" s="22" t="s">
        <v>2908</v>
      </c>
      <c r="O12" s="22" t="s">
        <v>2908</v>
      </c>
      <c r="P12" s="22" t="s">
        <v>2908</v>
      </c>
      <c r="R12" s="22" t="s">
        <v>2898</v>
      </c>
      <c r="S12" s="22" t="s">
        <v>5227</v>
      </c>
      <c r="T12" s="22" t="s">
        <v>5228</v>
      </c>
      <c r="U12" s="22" t="s">
        <v>5229</v>
      </c>
      <c r="V12" s="22" t="s">
        <v>5230</v>
      </c>
      <c r="W12" s="22" t="s">
        <v>5231</v>
      </c>
      <c r="Y12" s="22">
        <v>11</v>
      </c>
      <c r="Z12" s="22" t="s">
        <v>709</v>
      </c>
      <c r="AA12" s="22" t="s">
        <v>2908</v>
      </c>
      <c r="AB12" s="22" t="s">
        <v>2908</v>
      </c>
      <c r="AC12" s="22" t="s">
        <v>2908</v>
      </c>
      <c r="AD12" s="22" t="s">
        <v>2908</v>
      </c>
      <c r="AE12" s="22" t="s">
        <v>2908</v>
      </c>
      <c r="AG12" s="22" t="s">
        <v>2898</v>
      </c>
      <c r="AH12" s="22">
        <v>128083.8</v>
      </c>
      <c r="AI12" s="22" t="s">
        <v>5490</v>
      </c>
      <c r="AJ12" s="22" t="s">
        <v>5491</v>
      </c>
      <c r="AL12" s="22">
        <v>11</v>
      </c>
      <c r="AM12" s="22" t="s">
        <v>2911</v>
      </c>
      <c r="AN12" s="22" t="s">
        <v>2908</v>
      </c>
      <c r="AO12" s="22" t="s">
        <v>2908</v>
      </c>
    </row>
    <row r="13" spans="1:41" ht="28.2" thickBot="1" x14ac:dyDescent="0.3">
      <c r="A13" s="22" t="s">
        <v>4901</v>
      </c>
      <c r="B13" s="22" t="s">
        <v>4902</v>
      </c>
      <c r="C13" s="22" t="s">
        <v>4903</v>
      </c>
      <c r="D13" s="22" t="s">
        <v>4904</v>
      </c>
      <c r="E13" s="22" t="s">
        <v>4905</v>
      </c>
      <c r="F13" s="22" t="s">
        <v>4906</v>
      </c>
      <c r="G13" s="22" t="s">
        <v>4907</v>
      </c>
      <c r="I13" s="22">
        <v>12</v>
      </c>
      <c r="J13" s="22" t="s">
        <v>2957</v>
      </c>
      <c r="K13" s="22" t="s">
        <v>2908</v>
      </c>
      <c r="L13" s="22" t="s">
        <v>2908</v>
      </c>
      <c r="M13" s="22" t="s">
        <v>2908</v>
      </c>
      <c r="N13" s="22" t="s">
        <v>2908</v>
      </c>
      <c r="O13" s="22" t="s">
        <v>2908</v>
      </c>
      <c r="P13" s="22" t="s">
        <v>2908</v>
      </c>
      <c r="R13" s="22" t="s">
        <v>4901</v>
      </c>
      <c r="S13" s="22" t="s">
        <v>5232</v>
      </c>
      <c r="T13" s="22" t="s">
        <v>5233</v>
      </c>
      <c r="U13" s="22" t="s">
        <v>5234</v>
      </c>
      <c r="V13" s="22" t="s">
        <v>5235</v>
      </c>
      <c r="W13" s="22" t="s">
        <v>5236</v>
      </c>
      <c r="Y13" s="22">
        <v>12</v>
      </c>
      <c r="Z13" s="22" t="s">
        <v>2957</v>
      </c>
      <c r="AA13" s="22" t="s">
        <v>2908</v>
      </c>
      <c r="AB13" s="22" t="s">
        <v>2908</v>
      </c>
      <c r="AC13" s="22" t="s">
        <v>2908</v>
      </c>
      <c r="AD13" s="22" t="s">
        <v>2908</v>
      </c>
      <c r="AE13" s="22" t="s">
        <v>2908</v>
      </c>
      <c r="AG13" s="22" t="s">
        <v>4901</v>
      </c>
      <c r="AH13" s="22">
        <v>3213.7370000000001</v>
      </c>
      <c r="AI13" s="22" t="s">
        <v>5492</v>
      </c>
      <c r="AJ13" s="22" t="s">
        <v>5493</v>
      </c>
      <c r="AL13" s="22">
        <v>12</v>
      </c>
      <c r="AM13" s="22" t="s">
        <v>2957</v>
      </c>
      <c r="AN13" s="22" t="s">
        <v>2908</v>
      </c>
      <c r="AO13" s="22" t="s">
        <v>2908</v>
      </c>
    </row>
    <row r="14" spans="1:41" ht="28.2" thickBot="1" x14ac:dyDescent="0.3">
      <c r="A14" s="22" t="s">
        <v>2914</v>
      </c>
      <c r="B14" s="22" t="s">
        <v>4908</v>
      </c>
      <c r="C14" s="22" t="s">
        <v>4909</v>
      </c>
      <c r="D14" s="22" t="s">
        <v>4910</v>
      </c>
      <c r="E14" s="22" t="s">
        <v>4911</v>
      </c>
      <c r="F14" s="22" t="s">
        <v>4912</v>
      </c>
      <c r="G14" s="22" t="s">
        <v>4913</v>
      </c>
      <c r="I14" s="22">
        <v>13</v>
      </c>
      <c r="J14" s="22" t="s">
        <v>2913</v>
      </c>
      <c r="K14" s="22">
        <v>1.0660000000000001</v>
      </c>
      <c r="L14" s="22" t="s">
        <v>2908</v>
      </c>
      <c r="M14" s="22" t="s">
        <v>2908</v>
      </c>
      <c r="N14" s="22" t="s">
        <v>2908</v>
      </c>
      <c r="O14" s="22" t="s">
        <v>2908</v>
      </c>
      <c r="P14" s="22" t="s">
        <v>2908</v>
      </c>
      <c r="R14" s="22" t="s">
        <v>2914</v>
      </c>
      <c r="S14" s="22" t="s">
        <v>5237</v>
      </c>
      <c r="T14" s="22" t="s">
        <v>5238</v>
      </c>
      <c r="U14" s="22" t="s">
        <v>5239</v>
      </c>
      <c r="V14" s="22" t="s">
        <v>5240</v>
      </c>
      <c r="W14" s="22" t="s">
        <v>5241</v>
      </c>
      <c r="Y14" s="22">
        <v>13</v>
      </c>
      <c r="Z14" s="22" t="s">
        <v>2913</v>
      </c>
      <c r="AA14" s="22" t="s">
        <v>2908</v>
      </c>
      <c r="AB14" s="22" t="s">
        <v>2908</v>
      </c>
      <c r="AC14" s="22" t="s">
        <v>2908</v>
      </c>
      <c r="AD14" s="22" t="s">
        <v>2908</v>
      </c>
      <c r="AE14" s="22" t="s">
        <v>2908</v>
      </c>
      <c r="AG14" s="22" t="s">
        <v>2914</v>
      </c>
      <c r="AH14" s="22">
        <v>678</v>
      </c>
      <c r="AI14" s="22" t="s">
        <v>5494</v>
      </c>
      <c r="AJ14" s="22" t="s">
        <v>5495</v>
      </c>
      <c r="AL14" s="22">
        <v>13</v>
      </c>
      <c r="AM14" s="22" t="s">
        <v>2913</v>
      </c>
      <c r="AN14" s="22" t="s">
        <v>2908</v>
      </c>
      <c r="AO14" s="22" t="s">
        <v>2908</v>
      </c>
    </row>
    <row r="15" spans="1:41" ht="28.2" thickBot="1" x14ac:dyDescent="0.3">
      <c r="A15" s="22" t="s">
        <v>2023</v>
      </c>
      <c r="B15" s="22" t="s">
        <v>4914</v>
      </c>
      <c r="C15" s="22" t="s">
        <v>4915</v>
      </c>
      <c r="D15" s="22" t="s">
        <v>4916</v>
      </c>
      <c r="E15" s="22" t="s">
        <v>4917</v>
      </c>
      <c r="F15" s="22" t="s">
        <v>4918</v>
      </c>
      <c r="G15" s="22" t="s">
        <v>4919</v>
      </c>
      <c r="I15" s="22">
        <v>14</v>
      </c>
      <c r="J15" s="22" t="s">
        <v>2173</v>
      </c>
      <c r="K15" s="22">
        <v>5811.97</v>
      </c>
      <c r="L15" s="22">
        <v>4636</v>
      </c>
      <c r="M15" s="22">
        <v>6059.34</v>
      </c>
      <c r="N15" s="22">
        <v>1596.9</v>
      </c>
      <c r="O15" s="22">
        <v>1053</v>
      </c>
      <c r="P15" s="22">
        <v>997.01</v>
      </c>
      <c r="R15" s="22" t="s">
        <v>2023</v>
      </c>
      <c r="S15" s="22" t="s">
        <v>5242</v>
      </c>
      <c r="T15" s="22" t="s">
        <v>5243</v>
      </c>
      <c r="U15" s="22" t="s">
        <v>5244</v>
      </c>
      <c r="V15" s="22" t="s">
        <v>5245</v>
      </c>
      <c r="W15" s="22" t="s">
        <v>5246</v>
      </c>
      <c r="Y15" s="22">
        <v>14</v>
      </c>
      <c r="Z15" s="22" t="s">
        <v>2173</v>
      </c>
      <c r="AA15" s="22">
        <v>2.91</v>
      </c>
      <c r="AB15" s="22">
        <v>3.49</v>
      </c>
      <c r="AC15" s="22">
        <v>4.47</v>
      </c>
      <c r="AD15" s="22">
        <v>3.83</v>
      </c>
      <c r="AE15" s="22">
        <v>26.98</v>
      </c>
      <c r="AG15" s="22" t="s">
        <v>2023</v>
      </c>
      <c r="AH15" s="22">
        <v>12.87</v>
      </c>
      <c r="AI15" s="22" t="s">
        <v>5496</v>
      </c>
      <c r="AJ15" s="22" t="s">
        <v>5497</v>
      </c>
      <c r="AL15" s="22">
        <v>14</v>
      </c>
      <c r="AM15" s="22" t="s">
        <v>2173</v>
      </c>
      <c r="AN15" s="22">
        <v>11.84</v>
      </c>
      <c r="AO15" s="22">
        <v>12.66</v>
      </c>
    </row>
    <row r="16" spans="1:41" ht="28.2" thickBot="1" x14ac:dyDescent="0.3">
      <c r="A16" s="22" t="s">
        <v>4920</v>
      </c>
      <c r="B16" s="22" t="s">
        <v>4921</v>
      </c>
      <c r="C16" s="22" t="s">
        <v>4922</v>
      </c>
      <c r="D16" s="22" t="s">
        <v>4923</v>
      </c>
      <c r="E16" s="22" t="s">
        <v>4924</v>
      </c>
      <c r="F16" s="22" t="s">
        <v>4925</v>
      </c>
      <c r="G16" s="22" t="s">
        <v>4926</v>
      </c>
      <c r="I16" s="22">
        <v>15</v>
      </c>
      <c r="J16" s="22" t="s">
        <v>2914</v>
      </c>
      <c r="K16" s="22">
        <v>12.95</v>
      </c>
      <c r="L16" s="22">
        <v>17.72</v>
      </c>
      <c r="M16" s="22">
        <v>15.02</v>
      </c>
      <c r="N16" s="22">
        <v>7.3</v>
      </c>
      <c r="O16" s="22">
        <v>2.79</v>
      </c>
      <c r="P16" s="22">
        <v>2.86</v>
      </c>
      <c r="R16" s="22" t="s">
        <v>4920</v>
      </c>
      <c r="S16" s="22" t="s">
        <v>5247</v>
      </c>
      <c r="T16" s="22" t="s">
        <v>5248</v>
      </c>
      <c r="U16" s="22" t="s">
        <v>5249</v>
      </c>
      <c r="V16" s="22" t="s">
        <v>5250</v>
      </c>
      <c r="W16" s="22" t="s">
        <v>5251</v>
      </c>
      <c r="Y16" s="22">
        <v>15</v>
      </c>
      <c r="Z16" s="22" t="s">
        <v>2914</v>
      </c>
      <c r="AA16" s="22">
        <v>2.2799999999999998</v>
      </c>
      <c r="AB16" s="22">
        <v>3.78</v>
      </c>
      <c r="AC16" s="22">
        <v>4.6900000000000004</v>
      </c>
      <c r="AD16" s="22">
        <v>3.24</v>
      </c>
      <c r="AE16" s="22">
        <v>37.409999999999997</v>
      </c>
      <c r="AG16" s="22" t="s">
        <v>4920</v>
      </c>
      <c r="AH16" s="22">
        <v>1400</v>
      </c>
      <c r="AI16" s="22" t="s">
        <v>5498</v>
      </c>
      <c r="AJ16" s="22" t="s">
        <v>5499</v>
      </c>
      <c r="AL16" s="22">
        <v>15</v>
      </c>
      <c r="AM16" s="22" t="s">
        <v>2914</v>
      </c>
      <c r="AN16" s="22">
        <v>34.47</v>
      </c>
      <c r="AO16" s="22">
        <v>23.05</v>
      </c>
    </row>
    <row r="17" spans="1:41" ht="28.2" thickBot="1" x14ac:dyDescent="0.3">
      <c r="A17" s="22" t="s">
        <v>3215</v>
      </c>
      <c r="B17" s="22" t="s">
        <v>4927</v>
      </c>
      <c r="C17" s="22" t="s">
        <v>4928</v>
      </c>
      <c r="D17" s="22" t="s">
        <v>4929</v>
      </c>
      <c r="E17" s="22" t="s">
        <v>4930</v>
      </c>
      <c r="F17" s="22" t="s">
        <v>4931</v>
      </c>
      <c r="G17" s="22" t="s">
        <v>4932</v>
      </c>
      <c r="I17" s="22">
        <v>16</v>
      </c>
      <c r="J17" s="22" t="s">
        <v>2029</v>
      </c>
      <c r="K17" s="22">
        <v>3779.98</v>
      </c>
      <c r="L17" s="22">
        <v>3454.23</v>
      </c>
      <c r="M17" s="22">
        <v>3191</v>
      </c>
      <c r="N17" s="22">
        <v>1772.89</v>
      </c>
      <c r="O17" s="22">
        <v>1737</v>
      </c>
      <c r="P17" s="22">
        <v>1866.38</v>
      </c>
      <c r="R17" s="22" t="s">
        <v>3215</v>
      </c>
      <c r="S17" s="22" t="s">
        <v>5252</v>
      </c>
      <c r="T17" s="22" t="s">
        <v>5253</v>
      </c>
      <c r="U17" s="22" t="s">
        <v>5254</v>
      </c>
      <c r="V17" s="22" t="s">
        <v>5255</v>
      </c>
      <c r="W17" s="22" t="s">
        <v>5256</v>
      </c>
      <c r="Y17" s="22">
        <v>16</v>
      </c>
      <c r="Z17" s="22" t="s">
        <v>2029</v>
      </c>
      <c r="AA17" s="22">
        <v>4061</v>
      </c>
      <c r="AB17" s="22">
        <v>1662.33</v>
      </c>
      <c r="AC17" s="22">
        <v>3626.12</v>
      </c>
      <c r="AD17" s="22">
        <v>1556.23</v>
      </c>
      <c r="AE17" s="22">
        <v>6649.11</v>
      </c>
      <c r="AG17" s="22" t="s">
        <v>3215</v>
      </c>
      <c r="AH17" s="22">
        <v>13802.33</v>
      </c>
      <c r="AI17" s="22" t="s">
        <v>5500</v>
      </c>
      <c r="AJ17" s="22" t="s">
        <v>5501</v>
      </c>
      <c r="AL17" s="22">
        <v>16</v>
      </c>
      <c r="AM17" s="22" t="s">
        <v>2029</v>
      </c>
      <c r="AN17" s="22">
        <v>17.95</v>
      </c>
      <c r="AO17" s="22">
        <v>6.93</v>
      </c>
    </row>
    <row r="18" spans="1:41" ht="28.2" thickBot="1" x14ac:dyDescent="0.3">
      <c r="A18" s="22" t="s">
        <v>4933</v>
      </c>
      <c r="B18" s="22" t="s">
        <v>4934</v>
      </c>
      <c r="C18" s="22" t="s">
        <v>4935</v>
      </c>
      <c r="D18" s="22" t="s">
        <v>4936</v>
      </c>
      <c r="E18" s="22" t="s">
        <v>4937</v>
      </c>
      <c r="F18" s="22" t="s">
        <v>4938</v>
      </c>
      <c r="G18" s="22" t="s">
        <v>4939</v>
      </c>
      <c r="I18" s="22">
        <v>17</v>
      </c>
      <c r="J18" s="22" t="s">
        <v>2028</v>
      </c>
      <c r="K18" s="22">
        <v>4013</v>
      </c>
      <c r="L18" s="22">
        <v>5923.89</v>
      </c>
      <c r="M18" s="22">
        <v>3615.12</v>
      </c>
      <c r="N18" s="22">
        <v>1619</v>
      </c>
      <c r="O18" s="22">
        <v>895.33</v>
      </c>
      <c r="P18" s="22">
        <v>883.62</v>
      </c>
      <c r="R18" s="22" t="s">
        <v>4933</v>
      </c>
      <c r="S18" s="22" t="s">
        <v>5257</v>
      </c>
      <c r="T18" s="22" t="s">
        <v>5258</v>
      </c>
      <c r="U18" s="22" t="s">
        <v>5259</v>
      </c>
      <c r="V18" s="22" t="s">
        <v>5260</v>
      </c>
      <c r="W18" s="22" t="s">
        <v>5261</v>
      </c>
      <c r="Y18" s="22">
        <v>17</v>
      </c>
      <c r="Z18" s="22" t="s">
        <v>2028</v>
      </c>
      <c r="AA18" s="22">
        <v>4034</v>
      </c>
      <c r="AB18" s="22">
        <v>1801</v>
      </c>
      <c r="AC18" s="22">
        <v>7235.23</v>
      </c>
      <c r="AD18" s="22">
        <v>644.12</v>
      </c>
      <c r="AE18" s="22">
        <v>5483.96</v>
      </c>
      <c r="AG18" s="22" t="s">
        <v>4933</v>
      </c>
      <c r="AH18" s="22">
        <v>51366.879999999997</v>
      </c>
      <c r="AI18" s="22" t="s">
        <v>5502</v>
      </c>
      <c r="AJ18" s="22" t="s">
        <v>5503</v>
      </c>
      <c r="AL18" s="22">
        <v>17</v>
      </c>
      <c r="AM18" s="22" t="s">
        <v>2028</v>
      </c>
      <c r="AN18" s="22">
        <v>5957.42</v>
      </c>
      <c r="AO18" s="22">
        <v>2014</v>
      </c>
    </row>
    <row r="19" spans="1:41" ht="28.2" thickBot="1" x14ac:dyDescent="0.3">
      <c r="A19" s="22" t="s">
        <v>2382</v>
      </c>
      <c r="B19" s="22" t="s">
        <v>4940</v>
      </c>
      <c r="C19" s="22" t="s">
        <v>4941</v>
      </c>
      <c r="D19" s="22" t="s">
        <v>4942</v>
      </c>
      <c r="E19" s="22" t="s">
        <v>4943</v>
      </c>
      <c r="F19" s="22" t="s">
        <v>4944</v>
      </c>
      <c r="G19" s="22" t="s">
        <v>4945</v>
      </c>
      <c r="I19" s="22">
        <v>18</v>
      </c>
      <c r="J19" s="22" t="s">
        <v>2915</v>
      </c>
      <c r="K19" s="22" t="s">
        <v>2908</v>
      </c>
      <c r="L19" s="22" t="s">
        <v>2908</v>
      </c>
      <c r="M19" s="22" t="s">
        <v>2908</v>
      </c>
      <c r="N19" s="22" t="s">
        <v>2908</v>
      </c>
      <c r="O19" s="22" t="s">
        <v>2908</v>
      </c>
      <c r="P19" s="22" t="s">
        <v>2908</v>
      </c>
      <c r="R19" s="22" t="s">
        <v>2382</v>
      </c>
      <c r="S19" s="22" t="s">
        <v>5262</v>
      </c>
      <c r="T19" s="22" t="s">
        <v>5263</v>
      </c>
      <c r="U19" s="22" t="s">
        <v>5264</v>
      </c>
      <c r="V19" s="22" t="s">
        <v>5265</v>
      </c>
      <c r="W19" s="22" t="s">
        <v>5266</v>
      </c>
      <c r="Y19" s="22">
        <v>18</v>
      </c>
      <c r="Z19" s="22" t="s">
        <v>2915</v>
      </c>
      <c r="AA19" s="22" t="s">
        <v>2908</v>
      </c>
      <c r="AB19" s="22" t="s">
        <v>2908</v>
      </c>
      <c r="AC19" s="22" t="s">
        <v>2908</v>
      </c>
      <c r="AD19" s="22" t="s">
        <v>2908</v>
      </c>
      <c r="AE19" s="22" t="s">
        <v>2908</v>
      </c>
      <c r="AG19" s="22" t="s">
        <v>2382</v>
      </c>
      <c r="AH19" s="22">
        <v>3150.61</v>
      </c>
      <c r="AI19" s="22" t="s">
        <v>5504</v>
      </c>
      <c r="AJ19" s="22" t="s">
        <v>5505</v>
      </c>
      <c r="AL19" s="22">
        <v>18</v>
      </c>
      <c r="AM19" s="22" t="s">
        <v>2915</v>
      </c>
      <c r="AN19" s="22" t="s">
        <v>2908</v>
      </c>
      <c r="AO19" s="22" t="s">
        <v>2908</v>
      </c>
    </row>
    <row r="20" spans="1:41" ht="42" thickBot="1" x14ac:dyDescent="0.3">
      <c r="A20" s="22" t="s">
        <v>4306</v>
      </c>
      <c r="B20" s="22" t="s">
        <v>4946</v>
      </c>
      <c r="C20" s="22" t="s">
        <v>4947</v>
      </c>
      <c r="D20" s="22" t="s">
        <v>4948</v>
      </c>
      <c r="E20" s="22" t="s">
        <v>4949</v>
      </c>
      <c r="F20" s="22" t="s">
        <v>4950</v>
      </c>
      <c r="G20" s="22" t="s">
        <v>4951</v>
      </c>
      <c r="I20" s="22">
        <v>19</v>
      </c>
      <c r="J20" s="22" t="s">
        <v>2318</v>
      </c>
      <c r="K20" s="22" t="s">
        <v>2908</v>
      </c>
      <c r="L20" s="22" t="s">
        <v>2908</v>
      </c>
      <c r="M20" s="22" t="s">
        <v>2908</v>
      </c>
      <c r="N20" s="22" t="s">
        <v>2908</v>
      </c>
      <c r="O20" s="22" t="s">
        <v>2908</v>
      </c>
      <c r="P20" s="22" t="s">
        <v>2908</v>
      </c>
      <c r="R20" s="22" t="s">
        <v>2173</v>
      </c>
      <c r="S20" s="22" t="s">
        <v>5267</v>
      </c>
      <c r="T20" s="22" t="s">
        <v>5268</v>
      </c>
      <c r="U20" s="22" t="s">
        <v>5269</v>
      </c>
      <c r="V20" s="22" t="s">
        <v>5270</v>
      </c>
      <c r="W20" s="22" t="s">
        <v>5271</v>
      </c>
      <c r="Y20" s="22">
        <v>19</v>
      </c>
      <c r="Z20" s="22" t="s">
        <v>5464</v>
      </c>
      <c r="AA20" s="22">
        <v>842.12</v>
      </c>
      <c r="AB20" s="22">
        <v>37.46</v>
      </c>
      <c r="AC20" s="22">
        <v>122.22</v>
      </c>
      <c r="AD20" s="22">
        <v>101.31</v>
      </c>
      <c r="AE20" s="22">
        <v>286.92</v>
      </c>
      <c r="AG20" s="22" t="s">
        <v>4306</v>
      </c>
      <c r="AH20" s="22">
        <v>1891.45</v>
      </c>
      <c r="AI20" s="22" t="s">
        <v>5506</v>
      </c>
      <c r="AJ20" s="22" t="s">
        <v>5507</v>
      </c>
      <c r="AL20" s="22">
        <v>19</v>
      </c>
      <c r="AM20" s="22" t="s">
        <v>5464</v>
      </c>
      <c r="AN20" s="22">
        <v>102.82</v>
      </c>
      <c r="AO20" s="22">
        <v>141.81</v>
      </c>
    </row>
    <row r="21" spans="1:41" ht="55.8" thickBot="1" x14ac:dyDescent="0.3">
      <c r="A21" s="22" t="s">
        <v>2186</v>
      </c>
      <c r="B21" s="22" t="s">
        <v>4952</v>
      </c>
      <c r="C21" s="22" t="s">
        <v>4953</v>
      </c>
      <c r="D21" s="22" t="s">
        <v>4954</v>
      </c>
      <c r="E21" s="22" t="s">
        <v>4955</v>
      </c>
      <c r="F21" s="22" t="s">
        <v>4956</v>
      </c>
      <c r="G21" s="22" t="s">
        <v>4957</v>
      </c>
      <c r="I21" s="22">
        <v>20</v>
      </c>
      <c r="J21" s="22" t="s">
        <v>2362</v>
      </c>
      <c r="K21" s="22">
        <v>653.82000000000005</v>
      </c>
      <c r="L21" s="22">
        <v>768.94</v>
      </c>
      <c r="M21" s="22">
        <v>866.21</v>
      </c>
      <c r="N21" s="22">
        <v>504.32</v>
      </c>
      <c r="O21" s="22">
        <v>246.41</v>
      </c>
      <c r="P21" s="22">
        <v>222.92</v>
      </c>
      <c r="R21" s="22" t="s">
        <v>2186</v>
      </c>
      <c r="S21" s="22" t="s">
        <v>5272</v>
      </c>
      <c r="T21" s="22" t="s">
        <v>5273</v>
      </c>
      <c r="U21" s="22" t="s">
        <v>5274</v>
      </c>
      <c r="V21" s="22" t="s">
        <v>5275</v>
      </c>
      <c r="W21" s="22" t="s">
        <v>5276</v>
      </c>
      <c r="Y21" s="22">
        <v>20</v>
      </c>
      <c r="Z21" s="22" t="s">
        <v>5465</v>
      </c>
      <c r="AA21" s="22">
        <v>395.81</v>
      </c>
      <c r="AB21" s="22">
        <v>267.42</v>
      </c>
      <c r="AC21" s="22">
        <v>600.61</v>
      </c>
      <c r="AD21" s="22">
        <v>314.61</v>
      </c>
      <c r="AE21" s="22">
        <v>990.32</v>
      </c>
      <c r="AG21" s="22" t="s">
        <v>2186</v>
      </c>
      <c r="AH21" s="22">
        <v>1122.3</v>
      </c>
      <c r="AI21" s="22" t="s">
        <v>5508</v>
      </c>
      <c r="AJ21" s="22" t="s">
        <v>5509</v>
      </c>
      <c r="AL21" s="22">
        <v>20</v>
      </c>
      <c r="AM21" s="22" t="s">
        <v>5465</v>
      </c>
      <c r="AN21" s="22">
        <v>1115</v>
      </c>
      <c r="AO21" s="22">
        <v>1170.21</v>
      </c>
    </row>
    <row r="22" spans="1:41" ht="28.2" thickBot="1" x14ac:dyDescent="0.3">
      <c r="A22" s="22" t="s">
        <v>3519</v>
      </c>
      <c r="B22" s="22" t="s">
        <v>4958</v>
      </c>
      <c r="C22" s="22" t="s">
        <v>4959</v>
      </c>
      <c r="D22" s="22" t="s">
        <v>4960</v>
      </c>
      <c r="E22" s="22" t="s">
        <v>4961</v>
      </c>
      <c r="F22" s="22" t="s">
        <v>4962</v>
      </c>
      <c r="G22" s="22" t="s">
        <v>4962</v>
      </c>
      <c r="I22" s="22">
        <v>21</v>
      </c>
      <c r="J22" s="22" t="s">
        <v>2942</v>
      </c>
      <c r="K22" s="22">
        <v>147.52000000000001</v>
      </c>
      <c r="L22" s="22">
        <v>156.21</v>
      </c>
      <c r="M22" s="22">
        <v>176.53</v>
      </c>
      <c r="N22" s="22">
        <v>180.72</v>
      </c>
      <c r="O22" s="22">
        <v>168.51</v>
      </c>
      <c r="P22" s="22">
        <v>162.11000000000001</v>
      </c>
      <c r="R22" s="22" t="s">
        <v>3519</v>
      </c>
      <c r="S22" s="22" t="s">
        <v>5277</v>
      </c>
      <c r="T22" s="22" t="s">
        <v>4962</v>
      </c>
      <c r="U22" s="22" t="s">
        <v>4962</v>
      </c>
      <c r="V22" s="22" t="s">
        <v>5278</v>
      </c>
      <c r="W22" s="22" t="s">
        <v>5279</v>
      </c>
      <c r="Y22" s="22">
        <v>21</v>
      </c>
      <c r="Z22" s="22" t="s">
        <v>2942</v>
      </c>
      <c r="AA22" s="22">
        <v>22.42</v>
      </c>
      <c r="AB22" s="22">
        <v>24.34</v>
      </c>
      <c r="AC22" s="22">
        <v>161</v>
      </c>
      <c r="AD22" s="22">
        <v>37.44</v>
      </c>
      <c r="AE22" s="22">
        <v>145.82</v>
      </c>
      <c r="AG22" s="22" t="s">
        <v>3519</v>
      </c>
      <c r="AH22" s="22">
        <v>600</v>
      </c>
      <c r="AI22" s="22" t="s">
        <v>5510</v>
      </c>
      <c r="AJ22" s="22" t="s">
        <v>5511</v>
      </c>
      <c r="AL22" s="22">
        <v>21</v>
      </c>
      <c r="AM22" s="22" t="s">
        <v>2942</v>
      </c>
      <c r="AN22" s="22">
        <v>184.13</v>
      </c>
      <c r="AO22" s="22">
        <v>113.93</v>
      </c>
    </row>
    <row r="23" spans="1:41" ht="28.2" thickBot="1" x14ac:dyDescent="0.3">
      <c r="A23" s="22" t="s">
        <v>2958</v>
      </c>
      <c r="B23" s="22" t="s">
        <v>4963</v>
      </c>
      <c r="C23" s="22" t="s">
        <v>4964</v>
      </c>
      <c r="D23" s="22" t="s">
        <v>4965</v>
      </c>
      <c r="E23" s="22" t="s">
        <v>4966</v>
      </c>
      <c r="F23" s="22" t="s">
        <v>4967</v>
      </c>
      <c r="G23" s="22" t="s">
        <v>4968</v>
      </c>
      <c r="I23" s="22">
        <v>22</v>
      </c>
      <c r="J23" s="22" t="s">
        <v>3157</v>
      </c>
      <c r="K23" s="22">
        <v>31.28</v>
      </c>
      <c r="L23" s="22">
        <v>26.18</v>
      </c>
      <c r="M23" s="22">
        <v>30.79</v>
      </c>
      <c r="N23" s="22">
        <v>19.059999999999999</v>
      </c>
      <c r="O23" s="22">
        <v>17.41</v>
      </c>
      <c r="P23" s="22">
        <v>19.3</v>
      </c>
      <c r="R23" s="22" t="s">
        <v>2958</v>
      </c>
      <c r="S23" s="22" t="s">
        <v>5280</v>
      </c>
      <c r="T23" s="22" t="s">
        <v>5281</v>
      </c>
      <c r="U23" s="22" t="s">
        <v>5282</v>
      </c>
      <c r="V23" s="22" t="s">
        <v>5283</v>
      </c>
      <c r="W23" s="22" t="s">
        <v>5284</v>
      </c>
      <c r="Y23" s="22">
        <v>22</v>
      </c>
      <c r="Z23" s="22" t="s">
        <v>3157</v>
      </c>
      <c r="AA23" s="22">
        <v>26.26</v>
      </c>
      <c r="AB23" s="22">
        <v>23.55</v>
      </c>
      <c r="AC23" s="22">
        <v>39.94</v>
      </c>
      <c r="AD23" s="22">
        <v>22.78</v>
      </c>
      <c r="AE23" s="22">
        <v>42.71</v>
      </c>
      <c r="AG23" s="22" t="s">
        <v>2958</v>
      </c>
      <c r="AH23" s="22">
        <v>353193.3</v>
      </c>
      <c r="AI23" s="22" t="s">
        <v>5512</v>
      </c>
      <c r="AJ23" s="22" t="s">
        <v>5513</v>
      </c>
      <c r="AL23" s="22">
        <v>22</v>
      </c>
      <c r="AM23" s="22" t="s">
        <v>3157</v>
      </c>
      <c r="AN23" s="22">
        <v>48.91</v>
      </c>
      <c r="AO23" s="22">
        <v>78.709999999999994</v>
      </c>
    </row>
    <row r="24" spans="1:41" ht="42" thickBot="1" x14ac:dyDescent="0.3">
      <c r="A24" s="22" t="s">
        <v>4969</v>
      </c>
      <c r="B24" s="22" t="s">
        <v>4970</v>
      </c>
      <c r="C24" s="22" t="s">
        <v>4971</v>
      </c>
      <c r="D24" s="22" t="s">
        <v>4972</v>
      </c>
      <c r="E24" s="22" t="s">
        <v>4973</v>
      </c>
      <c r="F24" s="22" t="s">
        <v>4974</v>
      </c>
      <c r="G24" s="22" t="s">
        <v>4975</v>
      </c>
      <c r="I24" s="22">
        <v>23</v>
      </c>
      <c r="J24" s="22" t="s">
        <v>2917</v>
      </c>
      <c r="K24" s="22">
        <v>281.83</v>
      </c>
      <c r="L24" s="22">
        <v>278.12</v>
      </c>
      <c r="M24" s="22">
        <v>242.89</v>
      </c>
      <c r="N24" s="22">
        <v>245.12</v>
      </c>
      <c r="O24" s="22">
        <v>181.43</v>
      </c>
      <c r="P24" s="22">
        <v>169.23</v>
      </c>
      <c r="R24" s="22" t="s">
        <v>4969</v>
      </c>
      <c r="S24" s="22" t="s">
        <v>5285</v>
      </c>
      <c r="T24" s="22" t="s">
        <v>5286</v>
      </c>
      <c r="U24" s="22" t="s">
        <v>5287</v>
      </c>
      <c r="V24" s="22" t="s">
        <v>5288</v>
      </c>
      <c r="W24" s="22" t="s">
        <v>5289</v>
      </c>
      <c r="Y24" s="22">
        <v>23</v>
      </c>
      <c r="Z24" s="22" t="s">
        <v>2917</v>
      </c>
      <c r="AA24" s="22">
        <v>372.03</v>
      </c>
      <c r="AB24" s="22">
        <v>73.010000000000005</v>
      </c>
      <c r="AC24" s="22">
        <v>374.73</v>
      </c>
      <c r="AD24" s="22">
        <v>193.12</v>
      </c>
      <c r="AE24" s="22">
        <v>230.51</v>
      </c>
      <c r="AG24" s="22" t="s">
        <v>4969</v>
      </c>
      <c r="AH24" s="22">
        <v>640</v>
      </c>
      <c r="AI24" s="22" t="s">
        <v>5514</v>
      </c>
      <c r="AJ24" s="22" t="s">
        <v>5515</v>
      </c>
      <c r="AL24" s="22">
        <v>23</v>
      </c>
      <c r="AM24" s="22" t="s">
        <v>2917</v>
      </c>
      <c r="AN24" s="22">
        <v>522.41</v>
      </c>
      <c r="AO24" s="22">
        <v>651.92999999999995</v>
      </c>
    </row>
    <row r="25" spans="1:41" ht="28.2" thickBot="1" x14ac:dyDescent="0.3">
      <c r="A25" s="21" t="s">
        <v>2941</v>
      </c>
      <c r="B25" s="22"/>
      <c r="C25" s="22"/>
      <c r="D25" s="22"/>
      <c r="E25" s="22"/>
      <c r="F25" s="22"/>
      <c r="G25" s="22"/>
      <c r="I25" s="22">
        <v>24</v>
      </c>
      <c r="J25" s="22" t="s">
        <v>2918</v>
      </c>
      <c r="K25" s="22" t="s">
        <v>2908</v>
      </c>
      <c r="L25" s="22" t="s">
        <v>2908</v>
      </c>
      <c r="M25" s="22" t="s">
        <v>2908</v>
      </c>
      <c r="N25" s="22" t="s">
        <v>2908</v>
      </c>
      <c r="O25" s="22" t="s">
        <v>2908</v>
      </c>
      <c r="P25" s="22" t="s">
        <v>2908</v>
      </c>
      <c r="R25" s="21" t="s">
        <v>2941</v>
      </c>
      <c r="S25" s="22"/>
      <c r="T25" s="22"/>
      <c r="U25" s="22"/>
      <c r="V25" s="22"/>
      <c r="W25" s="22"/>
      <c r="Y25" s="22">
        <v>24</v>
      </c>
      <c r="Z25" s="22" t="s">
        <v>2918</v>
      </c>
      <c r="AA25" s="22" t="s">
        <v>2908</v>
      </c>
      <c r="AB25" s="22" t="s">
        <v>2908</v>
      </c>
      <c r="AC25" s="22" t="s">
        <v>2908</v>
      </c>
      <c r="AD25" s="22" t="s">
        <v>2908</v>
      </c>
      <c r="AE25" s="22" t="s">
        <v>2908</v>
      </c>
      <c r="AG25" s="21" t="s">
        <v>2941</v>
      </c>
      <c r="AH25" s="22"/>
      <c r="AI25" s="22"/>
      <c r="AJ25" s="22"/>
      <c r="AL25" s="22">
        <v>24</v>
      </c>
      <c r="AM25" s="22" t="s">
        <v>2918</v>
      </c>
      <c r="AN25" s="22" t="s">
        <v>2908</v>
      </c>
      <c r="AO25" s="22" t="s">
        <v>2908</v>
      </c>
    </row>
    <row r="26" spans="1:41" ht="28.2" thickBot="1" x14ac:dyDescent="0.3">
      <c r="A26" s="22" t="s">
        <v>3343</v>
      </c>
      <c r="B26" s="22" t="s">
        <v>4976</v>
      </c>
      <c r="C26" s="22" t="s">
        <v>4977</v>
      </c>
      <c r="D26" s="22" t="s">
        <v>4978</v>
      </c>
      <c r="E26" s="22" t="s">
        <v>4979</v>
      </c>
      <c r="F26" s="22" t="s">
        <v>4980</v>
      </c>
      <c r="G26" s="22" t="s">
        <v>4981</v>
      </c>
      <c r="I26" s="22">
        <v>25</v>
      </c>
      <c r="J26" s="22" t="s">
        <v>2179</v>
      </c>
      <c r="K26" s="22">
        <v>5343</v>
      </c>
      <c r="L26" s="22">
        <v>4474.12</v>
      </c>
      <c r="M26" s="22">
        <v>5401.21</v>
      </c>
      <c r="N26" s="22">
        <v>3850</v>
      </c>
      <c r="O26" s="22">
        <v>3505.32</v>
      </c>
      <c r="P26" s="22">
        <v>3643.21</v>
      </c>
      <c r="R26" s="22" t="s">
        <v>3343</v>
      </c>
      <c r="S26" s="22" t="s">
        <v>5290</v>
      </c>
      <c r="T26" s="22" t="s">
        <v>5291</v>
      </c>
      <c r="U26" s="22" t="s">
        <v>5292</v>
      </c>
      <c r="V26" s="22" t="s">
        <v>5293</v>
      </c>
      <c r="W26" s="22" t="s">
        <v>5294</v>
      </c>
      <c r="Y26" s="22">
        <v>25</v>
      </c>
      <c r="Z26" s="22" t="s">
        <v>2179</v>
      </c>
      <c r="AA26" s="22">
        <v>1687</v>
      </c>
      <c r="AB26" s="22">
        <v>1990.18</v>
      </c>
      <c r="AC26" s="22">
        <v>2363.29</v>
      </c>
      <c r="AD26" s="22">
        <v>2089</v>
      </c>
      <c r="AE26" s="22">
        <v>3952.17</v>
      </c>
      <c r="AG26" s="22" t="s">
        <v>3343</v>
      </c>
      <c r="AH26" s="22">
        <v>50000</v>
      </c>
      <c r="AI26" s="22" t="s">
        <v>5516</v>
      </c>
      <c r="AJ26" s="22" t="s">
        <v>5517</v>
      </c>
      <c r="AL26" s="22">
        <v>25</v>
      </c>
      <c r="AM26" s="22" t="s">
        <v>4307</v>
      </c>
      <c r="AN26" s="22">
        <v>13.24</v>
      </c>
      <c r="AO26" s="22">
        <v>11.28</v>
      </c>
    </row>
    <row r="27" spans="1:41" ht="28.2" thickBot="1" x14ac:dyDescent="0.3">
      <c r="A27" s="22" t="s">
        <v>2358</v>
      </c>
      <c r="B27" s="22" t="s">
        <v>4982</v>
      </c>
      <c r="C27" s="22" t="s">
        <v>4983</v>
      </c>
      <c r="D27" s="22" t="s">
        <v>4984</v>
      </c>
      <c r="E27" s="22" t="s">
        <v>4985</v>
      </c>
      <c r="F27" s="22" t="s">
        <v>4986</v>
      </c>
      <c r="G27" s="22" t="s">
        <v>4987</v>
      </c>
      <c r="I27" s="22">
        <v>26</v>
      </c>
      <c r="J27" s="22" t="s">
        <v>2943</v>
      </c>
      <c r="K27" s="22">
        <v>162.11000000000001</v>
      </c>
      <c r="L27" s="22">
        <v>97.31</v>
      </c>
      <c r="M27" s="22">
        <v>150.63999999999999</v>
      </c>
      <c r="N27" s="22">
        <v>125.91</v>
      </c>
      <c r="O27" s="22">
        <v>111.52</v>
      </c>
      <c r="P27" s="22">
        <v>113.21</v>
      </c>
      <c r="R27" s="22" t="s">
        <v>2358</v>
      </c>
      <c r="S27" s="22" t="s">
        <v>5295</v>
      </c>
      <c r="T27" s="22" t="s">
        <v>5296</v>
      </c>
      <c r="U27" s="22" t="s">
        <v>5297</v>
      </c>
      <c r="V27" s="22" t="s">
        <v>5298</v>
      </c>
      <c r="W27" s="22" t="s">
        <v>5299</v>
      </c>
      <c r="Y27" s="22">
        <v>26</v>
      </c>
      <c r="Z27" s="22" t="s">
        <v>2943</v>
      </c>
      <c r="AA27" s="22">
        <v>135.12</v>
      </c>
      <c r="AB27" s="22">
        <v>34.04</v>
      </c>
      <c r="AC27" s="22">
        <v>149.22</v>
      </c>
      <c r="AD27" s="22">
        <v>52.72</v>
      </c>
      <c r="AE27" s="22">
        <v>83.18</v>
      </c>
      <c r="AG27" s="22" t="s">
        <v>2358</v>
      </c>
      <c r="AH27" s="22">
        <v>54000</v>
      </c>
      <c r="AI27" s="22" t="s">
        <v>5518</v>
      </c>
      <c r="AJ27" s="22" t="s">
        <v>5519</v>
      </c>
      <c r="AL27" s="22">
        <v>26</v>
      </c>
      <c r="AM27" s="22" t="s">
        <v>2943</v>
      </c>
      <c r="AN27" s="22">
        <v>112.11</v>
      </c>
      <c r="AO27" s="22">
        <v>102.82</v>
      </c>
    </row>
    <row r="28" spans="1:41" ht="42" thickBot="1" x14ac:dyDescent="0.3">
      <c r="A28" s="22" t="s">
        <v>3655</v>
      </c>
      <c r="B28" s="22" t="s">
        <v>4988</v>
      </c>
      <c r="C28" s="22" t="s">
        <v>4989</v>
      </c>
      <c r="D28" s="22" t="s">
        <v>4990</v>
      </c>
      <c r="E28" s="22" t="s">
        <v>4991</v>
      </c>
      <c r="F28" s="22" t="s">
        <v>4992</v>
      </c>
      <c r="G28" s="22" t="s">
        <v>4993</v>
      </c>
      <c r="I28" s="22">
        <v>27</v>
      </c>
      <c r="J28" s="22" t="s">
        <v>2359</v>
      </c>
      <c r="K28" s="22">
        <v>106.32</v>
      </c>
      <c r="L28" s="22">
        <v>87.2</v>
      </c>
      <c r="M28" s="22">
        <v>84.52</v>
      </c>
      <c r="N28" s="22">
        <v>91.41</v>
      </c>
      <c r="O28" s="22">
        <v>75.62</v>
      </c>
      <c r="P28" s="22">
        <v>73.7</v>
      </c>
      <c r="R28" s="22" t="s">
        <v>3655</v>
      </c>
      <c r="S28" s="22" t="s">
        <v>5300</v>
      </c>
      <c r="T28" s="22" t="s">
        <v>5301</v>
      </c>
      <c r="U28" s="22" t="s">
        <v>5302</v>
      </c>
      <c r="V28" s="22" t="s">
        <v>5303</v>
      </c>
      <c r="W28" s="22" t="s">
        <v>5304</v>
      </c>
      <c r="Y28" s="22">
        <v>27</v>
      </c>
      <c r="Z28" s="22" t="s">
        <v>4830</v>
      </c>
      <c r="AA28" s="22">
        <v>200.61</v>
      </c>
      <c r="AB28" s="22">
        <v>23.72</v>
      </c>
      <c r="AC28" s="22">
        <v>162.82</v>
      </c>
      <c r="AD28" s="22">
        <v>82.23</v>
      </c>
      <c r="AE28" s="22">
        <v>78.14</v>
      </c>
      <c r="AG28" s="22" t="s">
        <v>3655</v>
      </c>
      <c r="AH28" s="22">
        <v>28300</v>
      </c>
      <c r="AI28" s="22" t="s">
        <v>5520</v>
      </c>
      <c r="AJ28" s="22" t="s">
        <v>5521</v>
      </c>
      <c r="AL28" s="22">
        <v>27</v>
      </c>
      <c r="AM28" s="22" t="s">
        <v>4830</v>
      </c>
      <c r="AN28" s="22">
        <v>232.72</v>
      </c>
      <c r="AO28" s="22">
        <v>346.1</v>
      </c>
    </row>
    <row r="29" spans="1:41" ht="28.2" thickBot="1" x14ac:dyDescent="0.3">
      <c r="A29" s="22" t="s">
        <v>3347</v>
      </c>
      <c r="B29" s="22" t="s">
        <v>4994</v>
      </c>
      <c r="C29" s="22" t="s">
        <v>4995</v>
      </c>
      <c r="D29" s="22" t="s">
        <v>4996</v>
      </c>
      <c r="E29" s="22" t="s">
        <v>4997</v>
      </c>
      <c r="F29" s="22" t="s">
        <v>4998</v>
      </c>
      <c r="G29" s="22" t="s">
        <v>4999</v>
      </c>
      <c r="I29" s="22">
        <v>28</v>
      </c>
      <c r="J29" s="22" t="s">
        <v>2024</v>
      </c>
      <c r="K29" s="22">
        <v>701.34</v>
      </c>
      <c r="L29" s="22">
        <v>953.43</v>
      </c>
      <c r="M29" s="22">
        <v>602.91999999999996</v>
      </c>
      <c r="N29" s="22">
        <v>502.42</v>
      </c>
      <c r="O29" s="22">
        <v>510.73</v>
      </c>
      <c r="P29" s="22">
        <v>536.52</v>
      </c>
      <c r="R29" s="22" t="s">
        <v>3347</v>
      </c>
      <c r="S29" s="22" t="s">
        <v>5305</v>
      </c>
      <c r="T29" s="22" t="s">
        <v>5306</v>
      </c>
      <c r="U29" s="22" t="s">
        <v>5307</v>
      </c>
      <c r="V29" s="22" t="s">
        <v>5308</v>
      </c>
      <c r="W29" s="22" t="s">
        <v>5309</v>
      </c>
      <c r="Y29" s="22">
        <v>28</v>
      </c>
      <c r="Z29" s="22" t="s">
        <v>2024</v>
      </c>
      <c r="AA29" s="22">
        <v>1988.97</v>
      </c>
      <c r="AB29" s="22">
        <v>732.52</v>
      </c>
      <c r="AC29" s="22">
        <v>2856</v>
      </c>
      <c r="AD29" s="22">
        <v>576.22</v>
      </c>
      <c r="AE29" s="22">
        <v>1678</v>
      </c>
      <c r="AG29" s="22" t="s">
        <v>3347</v>
      </c>
      <c r="AH29" s="22">
        <v>194313</v>
      </c>
      <c r="AI29" s="22" t="s">
        <v>5522</v>
      </c>
      <c r="AJ29" s="22" t="s">
        <v>5523</v>
      </c>
      <c r="AL29" s="22">
        <v>28</v>
      </c>
      <c r="AM29" s="22" t="s">
        <v>2024</v>
      </c>
      <c r="AN29" s="22">
        <v>427.92</v>
      </c>
      <c r="AO29" s="22">
        <v>809.53</v>
      </c>
    </row>
    <row r="30" spans="1:41" ht="42" thickBot="1" x14ac:dyDescent="0.3">
      <c r="A30" s="22" t="s">
        <v>2025</v>
      </c>
      <c r="B30" s="22" t="s">
        <v>5000</v>
      </c>
      <c r="C30" s="22" t="s">
        <v>5001</v>
      </c>
      <c r="D30" s="22" t="s">
        <v>5002</v>
      </c>
      <c r="E30" s="22" t="s">
        <v>5003</v>
      </c>
      <c r="F30" s="22" t="s">
        <v>5004</v>
      </c>
      <c r="G30" s="22" t="s">
        <v>5005</v>
      </c>
      <c r="I30" s="22">
        <v>29</v>
      </c>
      <c r="J30" s="22" t="s">
        <v>5178</v>
      </c>
      <c r="K30" s="22">
        <v>10.86</v>
      </c>
      <c r="L30" s="22">
        <v>12.19</v>
      </c>
      <c r="M30" s="22">
        <v>11.6</v>
      </c>
      <c r="N30" s="22">
        <v>8.74</v>
      </c>
      <c r="O30" s="22">
        <v>8.6</v>
      </c>
      <c r="P30" s="22">
        <v>9.57</v>
      </c>
      <c r="R30" s="22" t="s">
        <v>2025</v>
      </c>
      <c r="S30" s="22" t="s">
        <v>5310</v>
      </c>
      <c r="T30" s="22" t="s">
        <v>5311</v>
      </c>
      <c r="U30" s="22" t="s">
        <v>5312</v>
      </c>
      <c r="V30" s="22" t="s">
        <v>5313</v>
      </c>
      <c r="W30" s="22" t="s">
        <v>5314</v>
      </c>
      <c r="Y30" s="22">
        <v>29</v>
      </c>
      <c r="Z30" s="22" t="s">
        <v>5178</v>
      </c>
      <c r="AA30" s="22">
        <v>6.43</v>
      </c>
      <c r="AB30" s="22">
        <v>11.96</v>
      </c>
      <c r="AC30" s="22">
        <v>5.37</v>
      </c>
      <c r="AD30" s="22">
        <v>4.76</v>
      </c>
      <c r="AE30" s="22">
        <v>9.33</v>
      </c>
      <c r="AG30" s="22" t="s">
        <v>2025</v>
      </c>
      <c r="AH30" s="22">
        <v>2730</v>
      </c>
      <c r="AI30" s="22" t="s">
        <v>5524</v>
      </c>
      <c r="AJ30" s="22" t="s">
        <v>5525</v>
      </c>
      <c r="AL30" s="22">
        <v>29</v>
      </c>
      <c r="AM30" s="22" t="s">
        <v>5178</v>
      </c>
      <c r="AN30" s="22">
        <v>23.09</v>
      </c>
      <c r="AO30" s="22">
        <v>12.95</v>
      </c>
    </row>
    <row r="31" spans="1:41" ht="28.2" thickBot="1" x14ac:dyDescent="0.3">
      <c r="A31" s="22" t="s">
        <v>3558</v>
      </c>
      <c r="B31" s="22" t="s">
        <v>5006</v>
      </c>
      <c r="C31" s="22" t="s">
        <v>5007</v>
      </c>
      <c r="D31" s="22" t="s">
        <v>5008</v>
      </c>
      <c r="E31" s="22" t="s">
        <v>5009</v>
      </c>
      <c r="F31" s="22" t="s">
        <v>5010</v>
      </c>
      <c r="G31" s="22" t="s">
        <v>5011</v>
      </c>
      <c r="I31" s="22">
        <v>30</v>
      </c>
      <c r="J31" s="22" t="s">
        <v>2021</v>
      </c>
      <c r="K31" s="22">
        <v>28.35</v>
      </c>
      <c r="L31" s="22">
        <v>31.29</v>
      </c>
      <c r="M31" s="22">
        <v>26.75</v>
      </c>
      <c r="N31" s="22">
        <v>20.52</v>
      </c>
      <c r="O31" s="22">
        <v>18.649999999999999</v>
      </c>
      <c r="P31" s="22">
        <v>19.670000000000002</v>
      </c>
      <c r="R31" s="22" t="s">
        <v>3558</v>
      </c>
      <c r="S31" s="22" t="s">
        <v>5315</v>
      </c>
      <c r="T31" s="22" t="s">
        <v>5316</v>
      </c>
      <c r="U31" s="22" t="s">
        <v>5317</v>
      </c>
      <c r="V31" s="22" t="s">
        <v>5318</v>
      </c>
      <c r="W31" s="22" t="s">
        <v>5319</v>
      </c>
      <c r="Y31" s="22">
        <v>30</v>
      </c>
      <c r="Z31" s="22" t="s">
        <v>2021</v>
      </c>
      <c r="AA31" s="22">
        <v>32.78</v>
      </c>
      <c r="AB31" s="22">
        <v>32.76</v>
      </c>
      <c r="AC31" s="22">
        <v>54.79</v>
      </c>
      <c r="AD31" s="22">
        <v>20.11</v>
      </c>
      <c r="AE31" s="22">
        <v>31.11</v>
      </c>
      <c r="AG31" s="22" t="s">
        <v>3558</v>
      </c>
      <c r="AH31" s="22">
        <v>179000</v>
      </c>
      <c r="AI31" s="22" t="s">
        <v>5526</v>
      </c>
      <c r="AJ31" s="22" t="s">
        <v>5527</v>
      </c>
      <c r="AL31" s="22">
        <v>30</v>
      </c>
      <c r="AM31" s="22" t="s">
        <v>2021</v>
      </c>
      <c r="AN31" s="22">
        <v>33.18</v>
      </c>
      <c r="AO31" s="22">
        <v>40.81</v>
      </c>
    </row>
    <row r="32" spans="1:41" ht="28.2" thickBot="1" x14ac:dyDescent="0.3">
      <c r="A32" s="22" t="s">
        <v>5012</v>
      </c>
      <c r="B32" s="22" t="s">
        <v>5013</v>
      </c>
      <c r="C32" s="22" t="s">
        <v>5014</v>
      </c>
      <c r="D32" s="22" t="s">
        <v>5015</v>
      </c>
      <c r="E32" s="22" t="s">
        <v>5016</v>
      </c>
      <c r="F32" s="22" t="s">
        <v>5017</v>
      </c>
      <c r="G32" s="22" t="s">
        <v>5018</v>
      </c>
      <c r="I32" s="22">
        <v>31</v>
      </c>
      <c r="J32" s="22" t="s">
        <v>2174</v>
      </c>
      <c r="K32" s="22">
        <v>34.130000000000003</v>
      </c>
      <c r="L32" s="22">
        <v>34.14</v>
      </c>
      <c r="M32" s="22">
        <v>31.34</v>
      </c>
      <c r="N32" s="22">
        <v>23.92</v>
      </c>
      <c r="O32" s="22">
        <v>22.83</v>
      </c>
      <c r="P32" s="22">
        <v>22.4</v>
      </c>
      <c r="R32" s="22" t="s">
        <v>5012</v>
      </c>
      <c r="S32" s="22" t="s">
        <v>5320</v>
      </c>
      <c r="T32" s="22" t="s">
        <v>5321</v>
      </c>
      <c r="U32" s="22" t="s">
        <v>5322</v>
      </c>
      <c r="V32" s="22" t="s">
        <v>5323</v>
      </c>
      <c r="W32" s="22" t="s">
        <v>5324</v>
      </c>
      <c r="Y32" s="22">
        <v>31</v>
      </c>
      <c r="Z32" s="22" t="s">
        <v>2174</v>
      </c>
      <c r="AA32" s="22">
        <v>14.23</v>
      </c>
      <c r="AB32" s="22">
        <v>25.64</v>
      </c>
      <c r="AC32" s="22">
        <v>29.84</v>
      </c>
      <c r="AD32" s="22">
        <v>34.770000000000003</v>
      </c>
      <c r="AE32" s="22">
        <v>49.48</v>
      </c>
      <c r="AG32" s="22" t="s">
        <v>5012</v>
      </c>
      <c r="AH32" s="22">
        <v>37370</v>
      </c>
      <c r="AI32" s="22" t="s">
        <v>5528</v>
      </c>
      <c r="AJ32" s="22" t="s">
        <v>5529</v>
      </c>
      <c r="AL32" s="22">
        <v>31</v>
      </c>
      <c r="AM32" s="22" t="s">
        <v>2174</v>
      </c>
      <c r="AN32" s="22">
        <v>73.41</v>
      </c>
      <c r="AO32" s="22">
        <v>98.06</v>
      </c>
    </row>
    <row r="33" spans="1:41" ht="28.2" thickBot="1" x14ac:dyDescent="0.3">
      <c r="A33" s="22" t="s">
        <v>2916</v>
      </c>
      <c r="B33" s="22" t="s">
        <v>5019</v>
      </c>
      <c r="C33" s="22" t="s">
        <v>5020</v>
      </c>
      <c r="D33" s="22" t="s">
        <v>5021</v>
      </c>
      <c r="E33" s="22" t="s">
        <v>5022</v>
      </c>
      <c r="F33" s="22" t="s">
        <v>5023</v>
      </c>
      <c r="G33" s="22" t="s">
        <v>5024</v>
      </c>
      <c r="I33" s="22">
        <v>32</v>
      </c>
      <c r="J33" s="22" t="s">
        <v>2180</v>
      </c>
      <c r="K33" s="22">
        <v>10.95</v>
      </c>
      <c r="L33" s="22">
        <v>12.96</v>
      </c>
      <c r="M33" s="22">
        <v>9.1300000000000008</v>
      </c>
      <c r="N33" s="22">
        <v>7.17</v>
      </c>
      <c r="O33" s="22">
        <v>6.61</v>
      </c>
      <c r="P33" s="22">
        <v>6.64</v>
      </c>
      <c r="R33" s="22" t="s">
        <v>2916</v>
      </c>
      <c r="S33" s="22" t="s">
        <v>5325</v>
      </c>
      <c r="T33" s="22" t="s">
        <v>5326</v>
      </c>
      <c r="U33" s="22" t="s">
        <v>5327</v>
      </c>
      <c r="V33" s="22" t="s">
        <v>5328</v>
      </c>
      <c r="W33" s="22" t="s">
        <v>5329</v>
      </c>
      <c r="Y33" s="22">
        <v>32</v>
      </c>
      <c r="Z33" s="22" t="s">
        <v>2180</v>
      </c>
      <c r="AA33" s="22">
        <v>9.81</v>
      </c>
      <c r="AB33" s="22">
        <v>12.98</v>
      </c>
      <c r="AC33" s="22">
        <v>24.32</v>
      </c>
      <c r="AD33" s="22">
        <v>11.86</v>
      </c>
      <c r="AE33" s="22">
        <v>13.53</v>
      </c>
      <c r="AG33" s="22" t="s">
        <v>2916</v>
      </c>
      <c r="AH33" s="22">
        <v>5370</v>
      </c>
      <c r="AI33" s="22" t="s">
        <v>5530</v>
      </c>
      <c r="AJ33" s="22" t="s">
        <v>5531</v>
      </c>
      <c r="AL33" s="22">
        <v>32</v>
      </c>
      <c r="AM33" s="22" t="s">
        <v>2180</v>
      </c>
      <c r="AN33" s="22">
        <v>16.32</v>
      </c>
      <c r="AO33" s="22">
        <v>23.92</v>
      </c>
    </row>
    <row r="34" spans="1:41" ht="28.2" thickBot="1" x14ac:dyDescent="0.3">
      <c r="A34" s="22" t="s">
        <v>2179</v>
      </c>
      <c r="B34" s="22" t="s">
        <v>5025</v>
      </c>
      <c r="C34" s="22" t="s">
        <v>5026</v>
      </c>
      <c r="D34" s="22" t="s">
        <v>5027</v>
      </c>
      <c r="E34" s="22" t="s">
        <v>5028</v>
      </c>
      <c r="F34" s="22" t="s">
        <v>5029</v>
      </c>
      <c r="G34" s="22" t="s">
        <v>5030</v>
      </c>
      <c r="I34" s="22">
        <v>33</v>
      </c>
      <c r="J34" s="22" t="s">
        <v>2020</v>
      </c>
      <c r="K34" s="22">
        <v>115.83</v>
      </c>
      <c r="L34" s="22">
        <v>117.31</v>
      </c>
      <c r="M34" s="22">
        <v>107.42</v>
      </c>
      <c r="N34" s="22">
        <v>87.34</v>
      </c>
      <c r="O34" s="22">
        <v>90.64</v>
      </c>
      <c r="P34" s="22">
        <v>87.96</v>
      </c>
      <c r="R34" s="22" t="s">
        <v>2179</v>
      </c>
      <c r="S34" s="22" t="s">
        <v>5330</v>
      </c>
      <c r="T34" s="22" t="s">
        <v>5331</v>
      </c>
      <c r="U34" s="22" t="s">
        <v>5332</v>
      </c>
      <c r="V34" s="22" t="s">
        <v>5333</v>
      </c>
      <c r="W34" s="22" t="s">
        <v>5334</v>
      </c>
      <c r="Y34" s="22">
        <v>33</v>
      </c>
      <c r="Z34" s="22" t="s">
        <v>2020</v>
      </c>
      <c r="AA34" s="22">
        <v>118.83</v>
      </c>
      <c r="AB34" s="22">
        <v>105.31</v>
      </c>
      <c r="AC34" s="22">
        <v>123.42</v>
      </c>
      <c r="AD34" s="22">
        <v>75.37</v>
      </c>
      <c r="AE34" s="22">
        <v>150.32</v>
      </c>
      <c r="AG34" s="22" t="s">
        <v>2179</v>
      </c>
      <c r="AH34" s="22">
        <v>1100</v>
      </c>
      <c r="AI34" s="22" t="s">
        <v>5532</v>
      </c>
      <c r="AJ34" s="22" t="s">
        <v>5533</v>
      </c>
      <c r="AL34" s="22">
        <v>33</v>
      </c>
      <c r="AM34" s="22" t="s">
        <v>2020</v>
      </c>
      <c r="AN34" s="22">
        <v>122.82</v>
      </c>
      <c r="AO34" s="22">
        <v>148.11000000000001</v>
      </c>
    </row>
    <row r="35" spans="1:41" ht="14.4" thickBot="1" x14ac:dyDescent="0.3">
      <c r="A35" s="21" t="s">
        <v>2944</v>
      </c>
      <c r="B35" s="22"/>
      <c r="C35" s="22"/>
      <c r="D35" s="22"/>
      <c r="E35" s="22"/>
      <c r="F35" s="22"/>
      <c r="G35" s="22"/>
      <c r="I35" s="22">
        <v>34</v>
      </c>
      <c r="J35" s="22" t="s">
        <v>2177</v>
      </c>
      <c r="K35" s="22">
        <v>865.73</v>
      </c>
      <c r="L35" s="22">
        <v>936.42</v>
      </c>
      <c r="M35" s="22">
        <v>869.21</v>
      </c>
      <c r="N35" s="22">
        <v>685.45</v>
      </c>
      <c r="O35" s="22">
        <v>844.82</v>
      </c>
      <c r="P35" s="22">
        <v>879.21</v>
      </c>
      <c r="R35" s="21" t="s">
        <v>2944</v>
      </c>
      <c r="S35" s="22"/>
      <c r="T35" s="22"/>
      <c r="U35" s="22"/>
      <c r="V35" s="22"/>
      <c r="W35" s="22"/>
      <c r="Y35" s="22">
        <v>34</v>
      </c>
      <c r="Z35" s="22" t="s">
        <v>2177</v>
      </c>
      <c r="AA35" s="22">
        <v>359.92</v>
      </c>
      <c r="AB35" s="22">
        <v>888.62</v>
      </c>
      <c r="AC35" s="22">
        <v>370.91</v>
      </c>
      <c r="AD35" s="22">
        <v>666.52</v>
      </c>
      <c r="AE35" s="22">
        <v>486.89</v>
      </c>
      <c r="AG35" s="21" t="s">
        <v>2944</v>
      </c>
      <c r="AH35" s="22"/>
      <c r="AI35" s="22"/>
      <c r="AJ35" s="22"/>
      <c r="AL35" s="22">
        <v>34</v>
      </c>
      <c r="AM35" s="22" t="s">
        <v>2177</v>
      </c>
      <c r="AN35" s="22">
        <v>778.72</v>
      </c>
      <c r="AO35" s="22">
        <v>1016</v>
      </c>
    </row>
    <row r="36" spans="1:41" ht="28.2" thickBot="1" x14ac:dyDescent="0.3">
      <c r="A36" s="22" t="s">
        <v>5031</v>
      </c>
      <c r="B36" s="22" t="s">
        <v>5032</v>
      </c>
      <c r="C36" s="22" t="s">
        <v>5033</v>
      </c>
      <c r="D36" s="22" t="s">
        <v>5034</v>
      </c>
      <c r="E36" s="22" t="s">
        <v>5035</v>
      </c>
      <c r="F36" s="22" t="s">
        <v>5036</v>
      </c>
      <c r="G36" s="22" t="s">
        <v>5037</v>
      </c>
      <c r="I36" s="22">
        <v>35</v>
      </c>
      <c r="J36" s="22" t="s">
        <v>2175</v>
      </c>
      <c r="K36" s="22">
        <v>491.22</v>
      </c>
      <c r="L36" s="22">
        <v>631.80999999999995</v>
      </c>
      <c r="M36" s="22">
        <v>395.33</v>
      </c>
      <c r="N36" s="22">
        <v>254.11</v>
      </c>
      <c r="O36" s="22">
        <v>281.12</v>
      </c>
      <c r="P36" s="22">
        <v>364.22</v>
      </c>
      <c r="R36" s="22" t="s">
        <v>5031</v>
      </c>
      <c r="S36" s="22" t="s">
        <v>5335</v>
      </c>
      <c r="T36" s="22" t="s">
        <v>5336</v>
      </c>
      <c r="U36" s="22" t="s">
        <v>5337</v>
      </c>
      <c r="V36" s="22" t="s">
        <v>5338</v>
      </c>
      <c r="W36" s="22" t="s">
        <v>5339</v>
      </c>
      <c r="Y36" s="22">
        <v>35</v>
      </c>
      <c r="Z36" s="22" t="s">
        <v>2175</v>
      </c>
      <c r="AA36" s="22">
        <v>455.63</v>
      </c>
      <c r="AB36" s="22">
        <v>685.61</v>
      </c>
      <c r="AC36" s="22">
        <v>626.72</v>
      </c>
      <c r="AD36" s="22">
        <v>322.22000000000003</v>
      </c>
      <c r="AE36" s="22">
        <v>530.80999999999995</v>
      </c>
      <c r="AG36" s="22" t="s">
        <v>5031</v>
      </c>
      <c r="AH36" s="22" t="s">
        <v>1165</v>
      </c>
      <c r="AI36" s="22" t="s">
        <v>5534</v>
      </c>
      <c r="AJ36" s="22" t="s">
        <v>5535</v>
      </c>
      <c r="AL36" s="22">
        <v>35</v>
      </c>
      <c r="AM36" s="22" t="s">
        <v>2175</v>
      </c>
      <c r="AN36" s="22">
        <v>1473.03</v>
      </c>
      <c r="AO36" s="22">
        <v>621.12</v>
      </c>
    </row>
    <row r="37" spans="1:41" ht="42" thickBot="1" x14ac:dyDescent="0.3">
      <c r="A37" s="22" t="s">
        <v>2177</v>
      </c>
      <c r="B37" s="22" t="s">
        <v>5038</v>
      </c>
      <c r="C37" s="22" t="s">
        <v>5039</v>
      </c>
      <c r="D37" s="22" t="s">
        <v>5040</v>
      </c>
      <c r="E37" s="22" t="s">
        <v>5041</v>
      </c>
      <c r="F37" s="22" t="s">
        <v>5042</v>
      </c>
      <c r="G37" s="22" t="s">
        <v>5043</v>
      </c>
      <c r="I37" s="22">
        <v>36</v>
      </c>
      <c r="J37" s="22" t="s">
        <v>5176</v>
      </c>
      <c r="K37" s="22">
        <v>8.09</v>
      </c>
      <c r="L37" s="22">
        <v>12.49</v>
      </c>
      <c r="M37" s="22">
        <v>9.2100000000000009</v>
      </c>
      <c r="N37" s="22">
        <v>6.61</v>
      </c>
      <c r="O37" s="22">
        <v>5.49</v>
      </c>
      <c r="P37" s="22">
        <v>6.07</v>
      </c>
      <c r="R37" s="22" t="s">
        <v>2177</v>
      </c>
      <c r="S37" s="22" t="s">
        <v>5340</v>
      </c>
      <c r="T37" s="22" t="s">
        <v>5341</v>
      </c>
      <c r="U37" s="22" t="s">
        <v>5342</v>
      </c>
      <c r="V37" s="22" t="s">
        <v>5343</v>
      </c>
      <c r="W37" s="22" t="s">
        <v>5344</v>
      </c>
      <c r="Y37" s="22">
        <v>36</v>
      </c>
      <c r="Z37" s="22" t="s">
        <v>5176</v>
      </c>
      <c r="AA37" s="22">
        <v>5.45</v>
      </c>
      <c r="AB37" s="22">
        <v>16.57</v>
      </c>
      <c r="AC37" s="22">
        <v>10.57</v>
      </c>
      <c r="AD37" s="22">
        <v>1.75</v>
      </c>
      <c r="AE37" s="22">
        <v>5.48</v>
      </c>
      <c r="AG37" s="22" t="s">
        <v>2177</v>
      </c>
      <c r="AH37" s="22">
        <v>160000</v>
      </c>
      <c r="AI37" s="22" t="s">
        <v>5536</v>
      </c>
      <c r="AJ37" s="22" t="s">
        <v>5537</v>
      </c>
      <c r="AL37" s="22">
        <v>36</v>
      </c>
      <c r="AM37" s="22" t="s">
        <v>5176</v>
      </c>
      <c r="AN37" s="22">
        <v>8.9499999999999993</v>
      </c>
      <c r="AO37" s="22">
        <v>3.66</v>
      </c>
    </row>
    <row r="38" spans="1:41" ht="28.2" thickBot="1" x14ac:dyDescent="0.3">
      <c r="A38" s="22" t="s">
        <v>2185</v>
      </c>
      <c r="B38" s="22" t="s">
        <v>5044</v>
      </c>
      <c r="C38" s="22" t="s">
        <v>5045</v>
      </c>
      <c r="D38" s="22" t="s">
        <v>5046</v>
      </c>
      <c r="E38" s="22" t="s">
        <v>5047</v>
      </c>
      <c r="F38" s="22" t="s">
        <v>5048</v>
      </c>
      <c r="G38" s="22" t="s">
        <v>5049</v>
      </c>
      <c r="I38" s="22">
        <v>37</v>
      </c>
      <c r="J38" s="22" t="s">
        <v>2920</v>
      </c>
      <c r="K38" s="22" t="s">
        <v>2908</v>
      </c>
      <c r="L38" s="22" t="s">
        <v>2908</v>
      </c>
      <c r="M38" s="22" t="s">
        <v>2908</v>
      </c>
      <c r="N38" s="22" t="s">
        <v>2908</v>
      </c>
      <c r="O38" s="22" t="s">
        <v>2908</v>
      </c>
      <c r="P38" s="22" t="s">
        <v>2908</v>
      </c>
      <c r="R38" s="22" t="s">
        <v>2185</v>
      </c>
      <c r="S38" s="22" t="s">
        <v>5345</v>
      </c>
      <c r="T38" s="22" t="s">
        <v>5346</v>
      </c>
      <c r="U38" s="22" t="s">
        <v>5347</v>
      </c>
      <c r="V38" s="22" t="s">
        <v>5348</v>
      </c>
      <c r="W38" s="22" t="s">
        <v>5349</v>
      </c>
      <c r="Y38" s="22">
        <v>37</v>
      </c>
      <c r="Z38" s="22" t="s">
        <v>2920</v>
      </c>
      <c r="AA38" s="22" t="s">
        <v>2908</v>
      </c>
      <c r="AB38" s="22" t="s">
        <v>2908</v>
      </c>
      <c r="AC38" s="22" t="s">
        <v>2908</v>
      </c>
      <c r="AD38" s="22" t="s">
        <v>2908</v>
      </c>
      <c r="AE38" s="22" t="s">
        <v>2908</v>
      </c>
      <c r="AG38" s="22" t="s">
        <v>2185</v>
      </c>
      <c r="AH38" s="22">
        <v>18200</v>
      </c>
      <c r="AI38" s="22" t="s">
        <v>5538</v>
      </c>
      <c r="AJ38" s="22" t="s">
        <v>5539</v>
      </c>
      <c r="AL38" s="22">
        <v>37</v>
      </c>
      <c r="AM38" s="22" t="s">
        <v>2920</v>
      </c>
      <c r="AN38" s="22" t="s">
        <v>2908</v>
      </c>
      <c r="AO38" s="22" t="s">
        <v>2908</v>
      </c>
    </row>
    <row r="39" spans="1:41" ht="28.2" thickBot="1" x14ac:dyDescent="0.3">
      <c r="A39" s="22" t="s">
        <v>5050</v>
      </c>
      <c r="B39" s="22" t="s">
        <v>5051</v>
      </c>
      <c r="C39" s="22" t="s">
        <v>5052</v>
      </c>
      <c r="D39" s="22" t="s">
        <v>5053</v>
      </c>
      <c r="E39" s="22" t="s">
        <v>5054</v>
      </c>
      <c r="F39" s="22" t="s">
        <v>5055</v>
      </c>
      <c r="G39" s="22" t="s">
        <v>5056</v>
      </c>
      <c r="I39" s="22">
        <v>38</v>
      </c>
      <c r="J39" s="22" t="s">
        <v>2320</v>
      </c>
      <c r="K39" s="22" t="s">
        <v>2908</v>
      </c>
      <c r="L39" s="22" t="s">
        <v>2908</v>
      </c>
      <c r="M39" s="22" t="s">
        <v>2908</v>
      </c>
      <c r="N39" s="22" t="s">
        <v>2908</v>
      </c>
      <c r="O39" s="22" t="s">
        <v>2908</v>
      </c>
      <c r="P39" s="22" t="s">
        <v>2908</v>
      </c>
      <c r="R39" s="22" t="s">
        <v>5050</v>
      </c>
      <c r="S39" s="22" t="s">
        <v>5350</v>
      </c>
      <c r="T39" s="22" t="s">
        <v>5351</v>
      </c>
      <c r="U39" s="22" t="s">
        <v>5352</v>
      </c>
      <c r="V39" s="22" t="s">
        <v>5353</v>
      </c>
      <c r="W39" s="22" t="s">
        <v>5354</v>
      </c>
      <c r="Y39" s="22">
        <v>38</v>
      </c>
      <c r="Z39" s="22" t="s">
        <v>2320</v>
      </c>
      <c r="AA39" s="22" t="s">
        <v>2908</v>
      </c>
      <c r="AB39" s="22" t="s">
        <v>2908</v>
      </c>
      <c r="AC39" s="22" t="s">
        <v>2908</v>
      </c>
      <c r="AD39" s="22" t="s">
        <v>2908</v>
      </c>
      <c r="AE39" s="22" t="s">
        <v>2908</v>
      </c>
      <c r="AG39" s="22" t="s">
        <v>5050</v>
      </c>
      <c r="AH39" s="22">
        <v>1580</v>
      </c>
      <c r="AI39" s="22" t="s">
        <v>5540</v>
      </c>
      <c r="AJ39" s="22" t="s">
        <v>5541</v>
      </c>
      <c r="AL39" s="22">
        <v>38</v>
      </c>
      <c r="AM39" s="22" t="s">
        <v>2320</v>
      </c>
      <c r="AN39" s="22" t="s">
        <v>2908</v>
      </c>
      <c r="AO39" s="22" t="s">
        <v>2908</v>
      </c>
    </row>
    <row r="40" spans="1:41" ht="28.2" thickBot="1" x14ac:dyDescent="0.3">
      <c r="A40" s="22" t="s">
        <v>2020</v>
      </c>
      <c r="B40" s="22" t="s">
        <v>5057</v>
      </c>
      <c r="C40" s="22" t="s">
        <v>5058</v>
      </c>
      <c r="D40" s="22" t="s">
        <v>5059</v>
      </c>
      <c r="E40" s="22" t="s">
        <v>5060</v>
      </c>
      <c r="F40" s="22" t="s">
        <v>5061</v>
      </c>
      <c r="G40" s="22" t="s">
        <v>5062</v>
      </c>
      <c r="I40" s="22">
        <v>39</v>
      </c>
      <c r="J40" s="22" t="s">
        <v>2857</v>
      </c>
      <c r="K40" s="22">
        <v>18.809999999999999</v>
      </c>
      <c r="L40" s="22">
        <v>28.78</v>
      </c>
      <c r="M40" s="22">
        <v>17.5</v>
      </c>
      <c r="N40" s="22">
        <v>13.08</v>
      </c>
      <c r="O40" s="22">
        <v>10.81</v>
      </c>
      <c r="P40" s="22">
        <v>11.09</v>
      </c>
      <c r="R40" s="22" t="s">
        <v>2020</v>
      </c>
      <c r="S40" s="22" t="s">
        <v>5355</v>
      </c>
      <c r="T40" s="22" t="s">
        <v>5356</v>
      </c>
      <c r="U40" s="22" t="s">
        <v>5357</v>
      </c>
      <c r="V40" s="22" t="s">
        <v>5358</v>
      </c>
      <c r="W40" s="22" t="s">
        <v>5359</v>
      </c>
      <c r="Y40" s="22">
        <v>39</v>
      </c>
      <c r="Z40" s="22" t="s">
        <v>2857</v>
      </c>
      <c r="AA40" s="22">
        <v>29.42</v>
      </c>
      <c r="AB40" s="22">
        <v>36.630000000000003</v>
      </c>
      <c r="AC40" s="22">
        <v>29.9</v>
      </c>
      <c r="AD40" s="22">
        <v>4.72</v>
      </c>
      <c r="AE40" s="22">
        <v>14.89</v>
      </c>
      <c r="AG40" s="22" t="s">
        <v>2020</v>
      </c>
      <c r="AH40" s="22">
        <v>964</v>
      </c>
      <c r="AI40" s="22" t="s">
        <v>5542</v>
      </c>
      <c r="AJ40" s="22" t="s">
        <v>5543</v>
      </c>
      <c r="AL40" s="22">
        <v>39</v>
      </c>
      <c r="AM40" s="22" t="s">
        <v>2857</v>
      </c>
      <c r="AN40" s="22">
        <v>10.15</v>
      </c>
      <c r="AO40" s="22" t="s">
        <v>5586</v>
      </c>
    </row>
    <row r="41" spans="1:41" ht="42" thickBot="1" x14ac:dyDescent="0.3">
      <c r="A41" s="22" t="s">
        <v>3641</v>
      </c>
      <c r="B41" s="22" t="s">
        <v>5063</v>
      </c>
      <c r="C41" s="22" t="s">
        <v>5064</v>
      </c>
      <c r="D41" s="22" t="s">
        <v>5065</v>
      </c>
      <c r="E41" s="22" t="s">
        <v>5066</v>
      </c>
      <c r="F41" s="22" t="s">
        <v>5067</v>
      </c>
      <c r="G41" s="22" t="s">
        <v>5068</v>
      </c>
      <c r="I41" s="22">
        <v>40</v>
      </c>
      <c r="J41" s="22" t="s">
        <v>3158</v>
      </c>
      <c r="K41" s="22">
        <v>28.47</v>
      </c>
      <c r="L41" s="22">
        <v>90.36</v>
      </c>
      <c r="M41" s="22">
        <v>53.52</v>
      </c>
      <c r="N41" s="22">
        <v>19.170000000000002</v>
      </c>
      <c r="O41" s="22">
        <v>12.09</v>
      </c>
      <c r="P41" s="22">
        <v>9.61</v>
      </c>
      <c r="R41" s="22" t="s">
        <v>3641</v>
      </c>
      <c r="S41" s="22" t="s">
        <v>5360</v>
      </c>
      <c r="T41" s="22" t="s">
        <v>5361</v>
      </c>
      <c r="U41" s="22" t="s">
        <v>5362</v>
      </c>
      <c r="V41" s="22" t="s">
        <v>5363</v>
      </c>
      <c r="W41" s="22" t="s">
        <v>5364</v>
      </c>
      <c r="Y41" s="22">
        <v>40</v>
      </c>
      <c r="Z41" s="22" t="s">
        <v>3158</v>
      </c>
      <c r="AA41" s="22">
        <v>34.67</v>
      </c>
      <c r="AB41" s="22">
        <v>39.61</v>
      </c>
      <c r="AC41" s="22">
        <v>64.31</v>
      </c>
      <c r="AD41" s="22">
        <v>11.28</v>
      </c>
      <c r="AE41" s="22">
        <v>15.98</v>
      </c>
      <c r="AG41" s="22" t="s">
        <v>3641</v>
      </c>
      <c r="AH41" s="22">
        <v>1050</v>
      </c>
      <c r="AI41" s="22" t="s">
        <v>5544</v>
      </c>
      <c r="AJ41" s="22" t="s">
        <v>5545</v>
      </c>
      <c r="AL41" s="22">
        <v>40</v>
      </c>
      <c r="AM41" s="22" t="s">
        <v>3158</v>
      </c>
      <c r="AN41" s="22">
        <v>34.65</v>
      </c>
      <c r="AO41" s="22">
        <v>103.33</v>
      </c>
    </row>
    <row r="42" spans="1:41" ht="28.2" thickBot="1" x14ac:dyDescent="0.3">
      <c r="A42" s="22" t="s">
        <v>2021</v>
      </c>
      <c r="B42" s="22" t="s">
        <v>5069</v>
      </c>
      <c r="C42" s="22" t="s">
        <v>5070</v>
      </c>
      <c r="D42" s="22" t="s">
        <v>5071</v>
      </c>
      <c r="E42" s="22" t="s">
        <v>5072</v>
      </c>
      <c r="F42" s="22" t="s">
        <v>5073</v>
      </c>
      <c r="G42" s="22" t="s">
        <v>5074</v>
      </c>
      <c r="I42" s="22">
        <v>41</v>
      </c>
      <c r="J42" s="22" t="s">
        <v>2922</v>
      </c>
      <c r="K42" s="22" t="s">
        <v>2908</v>
      </c>
      <c r="L42" s="22" t="s">
        <v>2908</v>
      </c>
      <c r="M42" s="22" t="s">
        <v>2908</v>
      </c>
      <c r="N42" s="22" t="s">
        <v>2908</v>
      </c>
      <c r="O42" s="22" t="s">
        <v>2908</v>
      </c>
      <c r="P42" s="22" t="s">
        <v>2908</v>
      </c>
      <c r="R42" s="22" t="s">
        <v>2021</v>
      </c>
      <c r="S42" s="22" t="s">
        <v>5365</v>
      </c>
      <c r="T42" s="22" t="s">
        <v>5366</v>
      </c>
      <c r="U42" s="22" t="s">
        <v>5367</v>
      </c>
      <c r="V42" s="22" t="s">
        <v>5368</v>
      </c>
      <c r="W42" s="22" t="s">
        <v>5369</v>
      </c>
      <c r="Y42" s="22">
        <v>41</v>
      </c>
      <c r="Z42" s="22" t="s">
        <v>2922</v>
      </c>
      <c r="AA42" s="22" t="s">
        <v>2908</v>
      </c>
      <c r="AB42" s="22" t="s">
        <v>2908</v>
      </c>
      <c r="AC42" s="22" t="s">
        <v>2908</v>
      </c>
      <c r="AD42" s="22" t="s">
        <v>2908</v>
      </c>
      <c r="AE42" s="22" t="s">
        <v>2908</v>
      </c>
      <c r="AG42" s="22" t="s">
        <v>2021</v>
      </c>
      <c r="AH42" s="22">
        <v>389</v>
      </c>
      <c r="AI42" s="22" t="s">
        <v>5546</v>
      </c>
      <c r="AJ42" s="22" t="s">
        <v>5547</v>
      </c>
      <c r="AL42" s="22">
        <v>41</v>
      </c>
      <c r="AM42" s="22" t="s">
        <v>2922</v>
      </c>
      <c r="AN42" s="22" t="s">
        <v>2908</v>
      </c>
      <c r="AO42" s="22" t="s">
        <v>2908</v>
      </c>
    </row>
    <row r="43" spans="1:41" ht="28.2" thickBot="1" x14ac:dyDescent="0.3">
      <c r="A43" s="22" t="s">
        <v>2175</v>
      </c>
      <c r="B43" s="22" t="s">
        <v>5075</v>
      </c>
      <c r="C43" s="22" t="s">
        <v>5076</v>
      </c>
      <c r="D43" s="22" t="s">
        <v>5077</v>
      </c>
      <c r="E43" s="22" t="s">
        <v>5078</v>
      </c>
      <c r="F43" s="22" t="s">
        <v>5079</v>
      </c>
      <c r="G43" s="22" t="s">
        <v>5080</v>
      </c>
      <c r="I43" s="22">
        <v>42</v>
      </c>
      <c r="J43" s="22" t="s">
        <v>2341</v>
      </c>
      <c r="K43" s="22" t="s">
        <v>2908</v>
      </c>
      <c r="L43" s="22" t="s">
        <v>2908</v>
      </c>
      <c r="M43" s="22" t="s">
        <v>2908</v>
      </c>
      <c r="N43" s="22" t="s">
        <v>2908</v>
      </c>
      <c r="O43" s="22" t="s">
        <v>2908</v>
      </c>
      <c r="P43" s="22" t="s">
        <v>2908</v>
      </c>
      <c r="R43" s="22" t="s">
        <v>2175</v>
      </c>
      <c r="S43" s="22" t="s">
        <v>5370</v>
      </c>
      <c r="T43" s="22" t="s">
        <v>5371</v>
      </c>
      <c r="U43" s="22" t="s">
        <v>5372</v>
      </c>
      <c r="V43" s="22" t="s">
        <v>5373</v>
      </c>
      <c r="W43" s="22" t="s">
        <v>5374</v>
      </c>
      <c r="Y43" s="22">
        <v>42</v>
      </c>
      <c r="Z43" s="22" t="s">
        <v>2341</v>
      </c>
      <c r="AA43" s="22" t="s">
        <v>2908</v>
      </c>
      <c r="AB43" s="22" t="s">
        <v>2908</v>
      </c>
      <c r="AC43" s="22" t="s">
        <v>2908</v>
      </c>
      <c r="AD43" s="22" t="s">
        <v>2908</v>
      </c>
      <c r="AE43" s="22" t="s">
        <v>2908</v>
      </c>
      <c r="AG43" s="22" t="s">
        <v>2175</v>
      </c>
      <c r="AH43" s="22">
        <v>143.84</v>
      </c>
      <c r="AI43" s="22" t="s">
        <v>5548</v>
      </c>
      <c r="AJ43" s="22" t="s">
        <v>5549</v>
      </c>
      <c r="AL43" s="22">
        <v>42</v>
      </c>
      <c r="AM43" s="22" t="s">
        <v>2341</v>
      </c>
      <c r="AN43" s="22">
        <v>0.442</v>
      </c>
      <c r="AO43" s="22">
        <v>0.38600000000000001</v>
      </c>
    </row>
    <row r="44" spans="1:41" ht="28.2" thickBot="1" x14ac:dyDescent="0.3">
      <c r="A44" s="22" t="s">
        <v>2024</v>
      </c>
      <c r="B44" s="22" t="s">
        <v>5081</v>
      </c>
      <c r="C44" s="22" t="s">
        <v>5082</v>
      </c>
      <c r="D44" s="22" t="s">
        <v>5083</v>
      </c>
      <c r="E44" s="22" t="s">
        <v>5084</v>
      </c>
      <c r="F44" s="22" t="s">
        <v>5085</v>
      </c>
      <c r="G44" s="22" t="s">
        <v>5086</v>
      </c>
      <c r="I44" s="22">
        <v>43</v>
      </c>
      <c r="J44" s="22" t="s">
        <v>2161</v>
      </c>
      <c r="K44" s="22" t="s">
        <v>2908</v>
      </c>
      <c r="L44" s="22" t="s">
        <v>2908</v>
      </c>
      <c r="M44" s="22" t="s">
        <v>2908</v>
      </c>
      <c r="N44" s="22" t="s">
        <v>2908</v>
      </c>
      <c r="O44" s="22" t="s">
        <v>2908</v>
      </c>
      <c r="P44" s="22" t="s">
        <v>2908</v>
      </c>
      <c r="R44" s="22" t="s">
        <v>2024</v>
      </c>
      <c r="S44" s="22" t="s">
        <v>5375</v>
      </c>
      <c r="T44" s="22" t="s">
        <v>5376</v>
      </c>
      <c r="U44" s="22" t="s">
        <v>5377</v>
      </c>
      <c r="V44" s="22" t="s">
        <v>5378</v>
      </c>
      <c r="W44" s="22" t="s">
        <v>5379</v>
      </c>
      <c r="Y44" s="22">
        <v>43</v>
      </c>
      <c r="Z44" s="22" t="s">
        <v>2161</v>
      </c>
      <c r="AA44" s="22" t="s">
        <v>2908</v>
      </c>
      <c r="AB44" s="22" t="s">
        <v>2908</v>
      </c>
      <c r="AC44" s="22" t="s">
        <v>2908</v>
      </c>
      <c r="AD44" s="22" t="s">
        <v>2908</v>
      </c>
      <c r="AE44" s="22" t="s">
        <v>2908</v>
      </c>
      <c r="AG44" s="22" t="s">
        <v>2024</v>
      </c>
      <c r="AH44" s="22">
        <v>2520</v>
      </c>
      <c r="AI44" s="22" t="s">
        <v>5550</v>
      </c>
      <c r="AJ44" s="22" t="s">
        <v>5551</v>
      </c>
      <c r="AL44" s="22">
        <v>43</v>
      </c>
      <c r="AM44" s="22" t="s">
        <v>2161</v>
      </c>
      <c r="AN44" s="22" t="s">
        <v>2908</v>
      </c>
      <c r="AO44" s="22" t="s">
        <v>2908</v>
      </c>
    </row>
    <row r="45" spans="1:41" ht="42" thickBot="1" x14ac:dyDescent="0.3">
      <c r="A45" s="22" t="s">
        <v>2180</v>
      </c>
      <c r="B45" s="22" t="s">
        <v>5087</v>
      </c>
      <c r="C45" s="22" t="s">
        <v>5088</v>
      </c>
      <c r="D45" s="22" t="s">
        <v>5089</v>
      </c>
      <c r="E45" s="22" t="s">
        <v>5090</v>
      </c>
      <c r="F45" s="22" t="s">
        <v>5091</v>
      </c>
      <c r="G45" s="22" t="s">
        <v>5092</v>
      </c>
      <c r="I45" s="22">
        <v>44</v>
      </c>
      <c r="J45" s="22" t="s">
        <v>2923</v>
      </c>
      <c r="K45" s="22" t="s">
        <v>2908</v>
      </c>
      <c r="L45" s="22" t="s">
        <v>2908</v>
      </c>
      <c r="M45" s="22" t="s">
        <v>2908</v>
      </c>
      <c r="N45" s="22" t="s">
        <v>2908</v>
      </c>
      <c r="O45" s="22" t="s">
        <v>2908</v>
      </c>
      <c r="P45" s="22" t="s">
        <v>2908</v>
      </c>
      <c r="R45" s="22" t="s">
        <v>2180</v>
      </c>
      <c r="S45" s="22" t="s">
        <v>5380</v>
      </c>
      <c r="T45" s="22" t="s">
        <v>5381</v>
      </c>
      <c r="U45" s="22" t="s">
        <v>5382</v>
      </c>
      <c r="V45" s="22" t="s">
        <v>5383</v>
      </c>
      <c r="W45" s="22" t="s">
        <v>5384</v>
      </c>
      <c r="Y45" s="22">
        <v>44</v>
      </c>
      <c r="Z45" s="22" t="s">
        <v>2923</v>
      </c>
      <c r="AA45" s="22" t="s">
        <v>2908</v>
      </c>
      <c r="AB45" s="22" t="s">
        <v>2908</v>
      </c>
      <c r="AC45" s="22" t="s">
        <v>2908</v>
      </c>
      <c r="AD45" s="22" t="s">
        <v>2908</v>
      </c>
      <c r="AE45" s="22" t="s">
        <v>2908</v>
      </c>
      <c r="AG45" s="22" t="s">
        <v>2180</v>
      </c>
      <c r="AH45" s="22">
        <v>13300</v>
      </c>
      <c r="AI45" s="22" t="s">
        <v>5552</v>
      </c>
      <c r="AJ45" s="22" t="s">
        <v>5553</v>
      </c>
      <c r="AL45" s="22">
        <v>44</v>
      </c>
      <c r="AM45" s="22" t="s">
        <v>2923</v>
      </c>
      <c r="AN45" s="22" t="s">
        <v>2908</v>
      </c>
      <c r="AO45" s="22" t="s">
        <v>2908</v>
      </c>
    </row>
    <row r="46" spans="1:41" ht="69.599999999999994" thickBot="1" x14ac:dyDescent="0.3">
      <c r="A46" s="22" t="s">
        <v>2174</v>
      </c>
      <c r="B46" s="22" t="s">
        <v>5093</v>
      </c>
      <c r="C46" s="22" t="s">
        <v>5094</v>
      </c>
      <c r="D46" s="22" t="s">
        <v>5095</v>
      </c>
      <c r="E46" s="22" t="s">
        <v>5096</v>
      </c>
      <c r="F46" s="22" t="s">
        <v>5097</v>
      </c>
      <c r="G46" s="22" t="s">
        <v>5098</v>
      </c>
      <c r="I46" s="22">
        <v>45</v>
      </c>
      <c r="J46" s="22" t="s">
        <v>2924</v>
      </c>
      <c r="K46" s="22" t="s">
        <v>2908</v>
      </c>
      <c r="L46" s="22" t="s">
        <v>2908</v>
      </c>
      <c r="M46" s="22" t="s">
        <v>2908</v>
      </c>
      <c r="N46" s="22" t="s">
        <v>2908</v>
      </c>
      <c r="O46" s="22" t="s">
        <v>2908</v>
      </c>
      <c r="P46" s="22" t="s">
        <v>2908</v>
      </c>
      <c r="R46" s="22" t="s">
        <v>2174</v>
      </c>
      <c r="S46" s="22" t="s">
        <v>5385</v>
      </c>
      <c r="T46" s="22" t="s">
        <v>5386</v>
      </c>
      <c r="U46" s="22" t="s">
        <v>5387</v>
      </c>
      <c r="V46" s="22" t="s">
        <v>5388</v>
      </c>
      <c r="W46" s="22" t="s">
        <v>5389</v>
      </c>
      <c r="Y46" s="22">
        <v>45</v>
      </c>
      <c r="Z46" s="22" t="s">
        <v>5466</v>
      </c>
      <c r="AA46" s="22">
        <v>18.22</v>
      </c>
      <c r="AB46" s="22" t="s">
        <v>4962</v>
      </c>
      <c r="AC46" s="22">
        <v>22.96</v>
      </c>
      <c r="AD46" s="22">
        <v>143.72</v>
      </c>
      <c r="AE46" s="22">
        <v>501.32</v>
      </c>
      <c r="AG46" s="22" t="s">
        <v>2174</v>
      </c>
      <c r="AH46" s="22">
        <v>2700</v>
      </c>
      <c r="AI46" s="22" t="s">
        <v>5554</v>
      </c>
      <c r="AJ46" s="22" t="s">
        <v>5555</v>
      </c>
      <c r="AL46" s="22">
        <v>45</v>
      </c>
      <c r="AM46" s="22" t="s">
        <v>5466</v>
      </c>
      <c r="AN46" s="22">
        <v>1158.1199999999999</v>
      </c>
      <c r="AO46" s="22">
        <v>96.91</v>
      </c>
    </row>
    <row r="47" spans="1:41" ht="69.599999999999994" thickBot="1" x14ac:dyDescent="0.3">
      <c r="A47" s="21" t="s">
        <v>4566</v>
      </c>
      <c r="B47" s="22"/>
      <c r="C47" s="22"/>
      <c r="D47" s="22"/>
      <c r="E47" s="22"/>
      <c r="F47" s="22"/>
      <c r="G47" s="22"/>
      <c r="I47" s="22">
        <v>46</v>
      </c>
      <c r="J47" s="22" t="s">
        <v>2925</v>
      </c>
      <c r="K47" s="22" t="s">
        <v>2908</v>
      </c>
      <c r="L47" s="22" t="s">
        <v>2908</v>
      </c>
      <c r="M47" s="22" t="s">
        <v>2908</v>
      </c>
      <c r="N47" s="22" t="s">
        <v>2908</v>
      </c>
      <c r="O47" s="22" t="s">
        <v>2908</v>
      </c>
      <c r="P47" s="22" t="s">
        <v>2908</v>
      </c>
      <c r="R47" s="21" t="s">
        <v>4566</v>
      </c>
      <c r="S47" s="22"/>
      <c r="T47" s="22"/>
      <c r="U47" s="22"/>
      <c r="V47" s="22"/>
      <c r="W47" s="22"/>
      <c r="Y47" s="22">
        <v>46</v>
      </c>
      <c r="Z47" s="22" t="s">
        <v>2925</v>
      </c>
      <c r="AA47" s="22" t="s">
        <v>2908</v>
      </c>
      <c r="AB47" s="22" t="s">
        <v>2908</v>
      </c>
      <c r="AC47" s="22" t="s">
        <v>2908</v>
      </c>
      <c r="AD47" s="22" t="s">
        <v>2908</v>
      </c>
      <c r="AE47" s="22" t="s">
        <v>2908</v>
      </c>
      <c r="AG47" s="21" t="s">
        <v>4566</v>
      </c>
      <c r="AH47" s="22"/>
      <c r="AI47" s="22"/>
      <c r="AJ47" s="22"/>
      <c r="AL47" s="22">
        <v>46</v>
      </c>
      <c r="AM47" s="22" t="s">
        <v>5587</v>
      </c>
      <c r="AN47" s="22">
        <v>1523</v>
      </c>
      <c r="AO47" s="22">
        <v>219.72</v>
      </c>
    </row>
    <row r="48" spans="1:41" ht="28.2" thickBot="1" x14ac:dyDescent="0.3">
      <c r="A48" s="22" t="s">
        <v>3276</v>
      </c>
      <c r="B48" s="22" t="s">
        <v>5099</v>
      </c>
      <c r="C48" s="22" t="s">
        <v>5100</v>
      </c>
      <c r="D48" s="22" t="s">
        <v>5101</v>
      </c>
      <c r="E48" s="22" t="s">
        <v>5102</v>
      </c>
      <c r="F48" s="22" t="s">
        <v>5103</v>
      </c>
      <c r="G48" s="22" t="s">
        <v>5104</v>
      </c>
      <c r="I48" s="22">
        <v>47</v>
      </c>
      <c r="J48" s="22" t="s">
        <v>3159</v>
      </c>
      <c r="K48" s="22" t="s">
        <v>2908</v>
      </c>
      <c r="L48" s="22" t="s">
        <v>2908</v>
      </c>
      <c r="M48" s="22" t="s">
        <v>2908</v>
      </c>
      <c r="N48" s="22" t="s">
        <v>2908</v>
      </c>
      <c r="O48" s="22" t="s">
        <v>2908</v>
      </c>
      <c r="P48" s="22" t="s">
        <v>2908</v>
      </c>
      <c r="R48" s="22" t="s">
        <v>3276</v>
      </c>
      <c r="S48" s="22" t="s">
        <v>5390</v>
      </c>
      <c r="T48" s="22" t="s">
        <v>5391</v>
      </c>
      <c r="U48" s="22" t="s">
        <v>5392</v>
      </c>
      <c r="V48" s="22" t="s">
        <v>5393</v>
      </c>
      <c r="W48" s="22" t="s">
        <v>5394</v>
      </c>
      <c r="Y48" s="22">
        <v>47</v>
      </c>
      <c r="Z48" s="22" t="s">
        <v>3159</v>
      </c>
      <c r="AA48" s="22" t="s">
        <v>2908</v>
      </c>
      <c r="AB48" s="22" t="s">
        <v>2908</v>
      </c>
      <c r="AC48" s="22" t="s">
        <v>2908</v>
      </c>
      <c r="AD48" s="22" t="s">
        <v>2908</v>
      </c>
      <c r="AE48" s="22" t="s">
        <v>2908</v>
      </c>
      <c r="AG48" s="22" t="s">
        <v>3276</v>
      </c>
      <c r="AH48" s="22">
        <v>1430</v>
      </c>
      <c r="AI48" s="22" t="s">
        <v>5556</v>
      </c>
      <c r="AJ48" s="22" t="s">
        <v>5557</v>
      </c>
      <c r="AL48" s="22">
        <v>47</v>
      </c>
      <c r="AM48" s="22" t="s">
        <v>3159</v>
      </c>
      <c r="AN48" s="22" t="s">
        <v>2908</v>
      </c>
      <c r="AO48" s="22" t="s">
        <v>2908</v>
      </c>
    </row>
    <row r="49" spans="1:41" ht="28.2" thickBot="1" x14ac:dyDescent="0.3">
      <c r="A49" s="22" t="s">
        <v>5105</v>
      </c>
      <c r="B49" s="22" t="s">
        <v>5106</v>
      </c>
      <c r="C49" s="22" t="s">
        <v>5107</v>
      </c>
      <c r="D49" s="22" t="s">
        <v>5108</v>
      </c>
      <c r="E49" s="22" t="s">
        <v>5109</v>
      </c>
      <c r="F49" s="22" t="s">
        <v>5110</v>
      </c>
      <c r="G49" s="22" t="s">
        <v>5111</v>
      </c>
      <c r="I49" s="22">
        <v>48</v>
      </c>
      <c r="J49" s="22" t="s">
        <v>2878</v>
      </c>
      <c r="K49" s="22" t="s">
        <v>2908</v>
      </c>
      <c r="L49" s="22" t="s">
        <v>2908</v>
      </c>
      <c r="M49" s="22" t="s">
        <v>2908</v>
      </c>
      <c r="N49" s="22" t="s">
        <v>2908</v>
      </c>
      <c r="O49" s="22" t="s">
        <v>2908</v>
      </c>
      <c r="P49" s="22" t="s">
        <v>2908</v>
      </c>
      <c r="R49" s="22" t="s">
        <v>5105</v>
      </c>
      <c r="S49" s="22" t="s">
        <v>5395</v>
      </c>
      <c r="T49" s="22" t="s">
        <v>5396</v>
      </c>
      <c r="U49" s="22" t="s">
        <v>5397</v>
      </c>
      <c r="V49" s="22" t="s">
        <v>5398</v>
      </c>
      <c r="W49" s="22" t="s">
        <v>5399</v>
      </c>
      <c r="Y49" s="22">
        <v>48</v>
      </c>
      <c r="Z49" s="22" t="s">
        <v>2878</v>
      </c>
      <c r="AA49" s="22" t="s">
        <v>2908</v>
      </c>
      <c r="AB49" s="22" t="s">
        <v>2908</v>
      </c>
      <c r="AC49" s="22" t="s">
        <v>2908</v>
      </c>
      <c r="AD49" s="22" t="s">
        <v>2908</v>
      </c>
      <c r="AE49" s="22" t="s">
        <v>2908</v>
      </c>
      <c r="AG49" s="22" t="s">
        <v>5105</v>
      </c>
      <c r="AH49" s="22">
        <v>407</v>
      </c>
      <c r="AI49" s="22" t="s">
        <v>5558</v>
      </c>
      <c r="AJ49" s="22" t="s">
        <v>5559</v>
      </c>
      <c r="AL49" s="22">
        <v>48</v>
      </c>
      <c r="AM49" s="22" t="s">
        <v>2878</v>
      </c>
      <c r="AN49" s="22" t="s">
        <v>2908</v>
      </c>
      <c r="AO49" s="22" t="s">
        <v>2908</v>
      </c>
    </row>
    <row r="50" spans="1:41" ht="28.2" thickBot="1" x14ac:dyDescent="0.3">
      <c r="A50" s="22" t="s">
        <v>5112</v>
      </c>
      <c r="B50" s="22" t="s">
        <v>5113</v>
      </c>
      <c r="C50" s="22" t="s">
        <v>5114</v>
      </c>
      <c r="D50" s="22" t="s">
        <v>5115</v>
      </c>
      <c r="E50" s="22" t="s">
        <v>5116</v>
      </c>
      <c r="F50" s="22" t="s">
        <v>5117</v>
      </c>
      <c r="G50" s="22" t="s">
        <v>5118</v>
      </c>
      <c r="I50" s="22">
        <v>49</v>
      </c>
      <c r="J50" s="22" t="s">
        <v>2927</v>
      </c>
      <c r="K50" s="22">
        <v>2.4900000000000002</v>
      </c>
      <c r="L50" s="22">
        <v>1.865</v>
      </c>
      <c r="M50" s="22" t="s">
        <v>2908</v>
      </c>
      <c r="N50" s="22" t="s">
        <v>2908</v>
      </c>
      <c r="O50" s="22" t="s">
        <v>2908</v>
      </c>
      <c r="P50" s="22" t="s">
        <v>2908</v>
      </c>
      <c r="R50" s="22" t="s">
        <v>5112</v>
      </c>
      <c r="S50" s="22" t="s">
        <v>5400</v>
      </c>
      <c r="T50" s="22" t="s">
        <v>5401</v>
      </c>
      <c r="U50" s="22" t="s">
        <v>5402</v>
      </c>
      <c r="V50" s="22" t="s">
        <v>5403</v>
      </c>
      <c r="W50" s="22" t="s">
        <v>5404</v>
      </c>
      <c r="Y50" s="22">
        <v>49</v>
      </c>
      <c r="Z50" s="22" t="s">
        <v>2927</v>
      </c>
      <c r="AA50" s="22" t="s">
        <v>2908</v>
      </c>
      <c r="AB50" s="22" t="s">
        <v>2908</v>
      </c>
      <c r="AC50" s="22" t="s">
        <v>2908</v>
      </c>
      <c r="AD50" s="22" t="s">
        <v>2908</v>
      </c>
      <c r="AE50" s="22" t="s">
        <v>2908</v>
      </c>
      <c r="AG50" s="22" t="s">
        <v>5112</v>
      </c>
      <c r="AH50" s="22">
        <v>909</v>
      </c>
      <c r="AI50" s="22" t="s">
        <v>5560</v>
      </c>
      <c r="AJ50" s="22" t="s">
        <v>5561</v>
      </c>
      <c r="AL50" s="22">
        <v>49</v>
      </c>
      <c r="AM50" s="22" t="s">
        <v>2927</v>
      </c>
      <c r="AN50" s="22" t="s">
        <v>2908</v>
      </c>
      <c r="AO50" s="22" t="s">
        <v>2908</v>
      </c>
    </row>
    <row r="51" spans="1:41" ht="28.2" thickBot="1" x14ac:dyDescent="0.3">
      <c r="A51" s="22" t="s">
        <v>3747</v>
      </c>
      <c r="B51" s="22" t="s">
        <v>5119</v>
      </c>
      <c r="C51" s="22" t="s">
        <v>5120</v>
      </c>
      <c r="D51" s="22" t="s">
        <v>5121</v>
      </c>
      <c r="E51" s="22" t="s">
        <v>5122</v>
      </c>
      <c r="F51" s="22" t="s">
        <v>5123</v>
      </c>
      <c r="G51" s="22" t="s">
        <v>5124</v>
      </c>
      <c r="I51" s="22">
        <v>50</v>
      </c>
      <c r="J51" s="22" t="s">
        <v>2164</v>
      </c>
      <c r="K51" s="22" t="s">
        <v>2908</v>
      </c>
      <c r="L51" s="22" t="s">
        <v>2908</v>
      </c>
      <c r="M51" s="22" t="s">
        <v>2908</v>
      </c>
      <c r="N51" s="22" t="s">
        <v>2908</v>
      </c>
      <c r="O51" s="22" t="s">
        <v>2908</v>
      </c>
      <c r="P51" s="22" t="s">
        <v>2908</v>
      </c>
      <c r="R51" s="22" t="s">
        <v>3747</v>
      </c>
      <c r="S51" s="22" t="s">
        <v>5405</v>
      </c>
      <c r="T51" s="22" t="s">
        <v>5406</v>
      </c>
      <c r="U51" s="22" t="s">
        <v>5407</v>
      </c>
      <c r="V51" s="22" t="s">
        <v>5408</v>
      </c>
      <c r="W51" s="22" t="s">
        <v>5409</v>
      </c>
      <c r="Y51" s="22">
        <v>50</v>
      </c>
      <c r="Z51" s="22" t="s">
        <v>2164</v>
      </c>
      <c r="AA51" s="22" t="s">
        <v>2908</v>
      </c>
      <c r="AB51" s="22" t="s">
        <v>2908</v>
      </c>
      <c r="AC51" s="22" t="s">
        <v>2908</v>
      </c>
      <c r="AD51" s="22" t="s">
        <v>2908</v>
      </c>
      <c r="AE51" s="22" t="s">
        <v>2908</v>
      </c>
      <c r="AG51" s="22" t="s">
        <v>3747</v>
      </c>
      <c r="AH51" s="22">
        <v>125.21</v>
      </c>
      <c r="AI51" s="22" t="s">
        <v>5562</v>
      </c>
      <c r="AJ51" s="22" t="s">
        <v>5563</v>
      </c>
      <c r="AL51" s="22">
        <v>50</v>
      </c>
      <c r="AM51" s="22" t="s">
        <v>2164</v>
      </c>
      <c r="AN51" s="22" t="s">
        <v>2908</v>
      </c>
      <c r="AO51" s="22" t="s">
        <v>2908</v>
      </c>
    </row>
    <row r="52" spans="1:41" ht="28.2" thickBot="1" x14ac:dyDescent="0.3">
      <c r="A52" s="22" t="s">
        <v>2964</v>
      </c>
      <c r="B52" s="22" t="s">
        <v>5125</v>
      </c>
      <c r="C52" s="22" t="s">
        <v>5126</v>
      </c>
      <c r="D52" s="22" t="s">
        <v>5127</v>
      </c>
      <c r="E52" s="22" t="s">
        <v>5128</v>
      </c>
      <c r="F52" s="22" t="s">
        <v>5129</v>
      </c>
      <c r="G52" s="22" t="s">
        <v>5130</v>
      </c>
      <c r="I52" s="22">
        <v>51</v>
      </c>
      <c r="J52" s="22" t="s">
        <v>2170</v>
      </c>
      <c r="K52" s="22" t="s">
        <v>2908</v>
      </c>
      <c r="L52" s="22" t="s">
        <v>2908</v>
      </c>
      <c r="M52" s="22" t="s">
        <v>2908</v>
      </c>
      <c r="N52" s="22" t="s">
        <v>2908</v>
      </c>
      <c r="O52" s="22" t="s">
        <v>2908</v>
      </c>
      <c r="P52" s="22" t="s">
        <v>2908</v>
      </c>
      <c r="R52" s="22" t="s">
        <v>2964</v>
      </c>
      <c r="S52" s="22" t="s">
        <v>5410</v>
      </c>
      <c r="T52" s="22" t="s">
        <v>5411</v>
      </c>
      <c r="U52" s="22" t="s">
        <v>5412</v>
      </c>
      <c r="V52" s="22" t="s">
        <v>5413</v>
      </c>
      <c r="W52" s="22" t="s">
        <v>5414</v>
      </c>
      <c r="Y52" s="22">
        <v>51</v>
      </c>
      <c r="Z52" s="22" t="s">
        <v>2170</v>
      </c>
      <c r="AA52" s="22" t="s">
        <v>2908</v>
      </c>
      <c r="AB52" s="22" t="s">
        <v>2908</v>
      </c>
      <c r="AC52" s="22" t="s">
        <v>2908</v>
      </c>
      <c r="AD52" s="22" t="s">
        <v>2908</v>
      </c>
      <c r="AE52" s="22" t="s">
        <v>2908</v>
      </c>
      <c r="AG52" s="22" t="s">
        <v>2964</v>
      </c>
      <c r="AH52" s="22">
        <v>28900</v>
      </c>
      <c r="AI52" s="22" t="s">
        <v>5564</v>
      </c>
      <c r="AJ52" s="22" t="s">
        <v>5565</v>
      </c>
      <c r="AL52" s="22">
        <v>51</v>
      </c>
      <c r="AM52" s="22" t="s">
        <v>2170</v>
      </c>
      <c r="AN52" s="22" t="s">
        <v>2908</v>
      </c>
      <c r="AO52" s="22" t="s">
        <v>2908</v>
      </c>
    </row>
    <row r="53" spans="1:41" ht="55.8" thickBot="1" x14ac:dyDescent="0.3">
      <c r="A53" s="22" t="s">
        <v>5131</v>
      </c>
      <c r="B53" s="22" t="s">
        <v>5132</v>
      </c>
      <c r="C53" s="22" t="s">
        <v>5133</v>
      </c>
      <c r="D53" s="22" t="s">
        <v>5134</v>
      </c>
      <c r="E53" s="22" t="s">
        <v>5135</v>
      </c>
      <c r="F53" s="22" t="s">
        <v>5136</v>
      </c>
      <c r="G53" s="22" t="s">
        <v>5137</v>
      </c>
      <c r="I53" s="22">
        <v>52</v>
      </c>
      <c r="J53" s="22" t="s">
        <v>5177</v>
      </c>
      <c r="K53" s="22">
        <v>1053.33</v>
      </c>
      <c r="L53" s="22">
        <v>638.61</v>
      </c>
      <c r="M53" s="22">
        <v>855.62</v>
      </c>
      <c r="N53" s="22">
        <v>373</v>
      </c>
      <c r="O53" s="22">
        <v>341.62</v>
      </c>
      <c r="P53" s="22">
        <v>437.61</v>
      </c>
      <c r="R53" s="22" t="s">
        <v>5131</v>
      </c>
      <c r="S53" s="22" t="s">
        <v>5415</v>
      </c>
      <c r="T53" s="22" t="s">
        <v>5416</v>
      </c>
      <c r="U53" s="22" t="s">
        <v>5417</v>
      </c>
      <c r="V53" s="22" t="s">
        <v>5418</v>
      </c>
      <c r="W53" s="22" t="s">
        <v>5419</v>
      </c>
      <c r="Y53" s="22">
        <v>52</v>
      </c>
      <c r="Z53" s="22" t="s">
        <v>5467</v>
      </c>
      <c r="AA53" s="22">
        <v>2030.97</v>
      </c>
      <c r="AB53" s="22">
        <v>1133</v>
      </c>
      <c r="AC53" s="22">
        <v>4109.12</v>
      </c>
      <c r="AD53" s="22">
        <v>342.52</v>
      </c>
      <c r="AE53" s="22">
        <v>2331.23</v>
      </c>
      <c r="AG53" s="22" t="s">
        <v>5131</v>
      </c>
      <c r="AH53" s="22">
        <v>961</v>
      </c>
      <c r="AI53" s="22" t="s">
        <v>5566</v>
      </c>
      <c r="AJ53" s="22" t="s">
        <v>5567</v>
      </c>
      <c r="AL53" s="22">
        <v>52</v>
      </c>
      <c r="AM53" s="22" t="s">
        <v>5467</v>
      </c>
      <c r="AN53" s="22">
        <v>7394.1</v>
      </c>
      <c r="AO53" s="22">
        <v>6272.04</v>
      </c>
    </row>
    <row r="54" spans="1:41" ht="28.2" thickBot="1" x14ac:dyDescent="0.3">
      <c r="A54" s="22" t="s">
        <v>3439</v>
      </c>
      <c r="B54" s="22" t="s">
        <v>5138</v>
      </c>
      <c r="C54" s="22" t="s">
        <v>5139</v>
      </c>
      <c r="D54" s="22" t="s">
        <v>5140</v>
      </c>
      <c r="E54" s="22" t="s">
        <v>5141</v>
      </c>
      <c r="F54" s="22" t="s">
        <v>5142</v>
      </c>
      <c r="G54" s="22" t="s">
        <v>5143</v>
      </c>
      <c r="I54" s="22">
        <v>53</v>
      </c>
      <c r="J54" s="22" t="s">
        <v>3819</v>
      </c>
      <c r="K54" s="22" t="s">
        <v>2908</v>
      </c>
      <c r="L54" s="22" t="s">
        <v>2908</v>
      </c>
      <c r="M54" s="22" t="s">
        <v>2908</v>
      </c>
      <c r="N54" s="22" t="s">
        <v>2908</v>
      </c>
      <c r="O54" s="22" t="s">
        <v>2908</v>
      </c>
      <c r="P54" s="22" t="s">
        <v>2908</v>
      </c>
      <c r="R54" s="22" t="s">
        <v>3439</v>
      </c>
      <c r="S54" s="22" t="s">
        <v>5420</v>
      </c>
      <c r="T54" s="22" t="s">
        <v>5421</v>
      </c>
      <c r="U54" s="22" t="s">
        <v>5422</v>
      </c>
      <c r="V54" s="22" t="s">
        <v>5423</v>
      </c>
      <c r="W54" s="22" t="s">
        <v>5424</v>
      </c>
      <c r="Y54" s="22">
        <v>53</v>
      </c>
      <c r="Z54" s="22" t="s">
        <v>3819</v>
      </c>
      <c r="AA54" s="22" t="s">
        <v>2908</v>
      </c>
      <c r="AB54" s="22" t="s">
        <v>2908</v>
      </c>
      <c r="AC54" s="22" t="s">
        <v>2908</v>
      </c>
      <c r="AD54" s="22" t="s">
        <v>2908</v>
      </c>
      <c r="AE54" s="22" t="s">
        <v>2908</v>
      </c>
      <c r="AG54" s="22" t="s">
        <v>3439</v>
      </c>
      <c r="AH54" s="22">
        <v>94</v>
      </c>
      <c r="AI54" s="22" t="s">
        <v>5568</v>
      </c>
      <c r="AJ54" s="22" t="s">
        <v>5569</v>
      </c>
      <c r="AL54" s="22">
        <v>53</v>
      </c>
      <c r="AM54" s="22" t="s">
        <v>3819</v>
      </c>
      <c r="AN54" s="22" t="s">
        <v>2908</v>
      </c>
      <c r="AO54" s="22" t="s">
        <v>2908</v>
      </c>
    </row>
    <row r="55" spans="1:41" ht="55.8" thickBot="1" x14ac:dyDescent="0.3">
      <c r="A55" s="21" t="s">
        <v>5144</v>
      </c>
      <c r="B55" s="22"/>
      <c r="C55" s="22"/>
      <c r="D55" s="22"/>
      <c r="E55" s="22"/>
      <c r="F55" s="22"/>
      <c r="G55" s="22"/>
      <c r="I55" s="22">
        <v>54</v>
      </c>
      <c r="J55" s="22" t="s">
        <v>2929</v>
      </c>
      <c r="K55" s="22">
        <v>334.32</v>
      </c>
      <c r="L55" s="22">
        <v>234.12</v>
      </c>
      <c r="M55" s="22">
        <v>289.72000000000003</v>
      </c>
      <c r="N55" s="22">
        <v>119.22</v>
      </c>
      <c r="O55" s="22">
        <v>67.23</v>
      </c>
      <c r="P55" s="22">
        <v>88.11</v>
      </c>
      <c r="R55" s="21" t="s">
        <v>5144</v>
      </c>
      <c r="S55" s="22"/>
      <c r="T55" s="22"/>
      <c r="U55" s="22"/>
      <c r="V55" s="22"/>
      <c r="W55" s="22"/>
      <c r="Y55" s="22">
        <v>54</v>
      </c>
      <c r="Z55" s="22" t="s">
        <v>5468</v>
      </c>
      <c r="AA55" s="22">
        <v>68.66</v>
      </c>
      <c r="AB55" s="22">
        <v>12.41</v>
      </c>
      <c r="AC55" s="22">
        <v>40.74</v>
      </c>
      <c r="AD55" s="22">
        <v>26.63</v>
      </c>
      <c r="AE55" s="22">
        <v>320.42</v>
      </c>
      <c r="AG55" s="21" t="s">
        <v>5144</v>
      </c>
      <c r="AH55" s="22"/>
      <c r="AI55" s="22"/>
      <c r="AJ55" s="22"/>
      <c r="AL55" s="22">
        <v>54</v>
      </c>
      <c r="AM55" s="22" t="s">
        <v>5468</v>
      </c>
      <c r="AN55" s="22">
        <v>1249.23</v>
      </c>
      <c r="AO55" s="22">
        <v>649.41</v>
      </c>
    </row>
    <row r="56" spans="1:41" ht="28.2" thickBot="1" x14ac:dyDescent="0.3">
      <c r="A56" s="22" t="s">
        <v>2904</v>
      </c>
      <c r="B56" s="22" t="s">
        <v>5145</v>
      </c>
      <c r="C56" s="22" t="s">
        <v>5146</v>
      </c>
      <c r="D56" s="22" t="s">
        <v>5147</v>
      </c>
      <c r="E56" s="22" t="s">
        <v>5148</v>
      </c>
      <c r="F56" s="22" t="s">
        <v>5149</v>
      </c>
      <c r="G56" s="22" t="s">
        <v>5150</v>
      </c>
      <c r="I56" s="22">
        <v>55</v>
      </c>
      <c r="J56" s="22" t="s">
        <v>2183</v>
      </c>
      <c r="K56" s="22" t="s">
        <v>2908</v>
      </c>
      <c r="L56" s="22" t="s">
        <v>2908</v>
      </c>
      <c r="M56" s="22" t="s">
        <v>2908</v>
      </c>
      <c r="N56" s="22" t="s">
        <v>2908</v>
      </c>
      <c r="O56" s="22" t="s">
        <v>2908</v>
      </c>
      <c r="P56" s="22" t="s">
        <v>2908</v>
      </c>
      <c r="R56" s="22" t="s">
        <v>2182</v>
      </c>
      <c r="S56" s="22" t="s">
        <v>5425</v>
      </c>
      <c r="T56" s="22" t="s">
        <v>4962</v>
      </c>
      <c r="U56" s="22" t="s">
        <v>5426</v>
      </c>
      <c r="V56" s="22" t="s">
        <v>5427</v>
      </c>
      <c r="W56" s="22" t="s">
        <v>5428</v>
      </c>
      <c r="Y56" s="22">
        <v>55</v>
      </c>
      <c r="Z56" s="22" t="s">
        <v>2183</v>
      </c>
      <c r="AA56" s="22" t="s">
        <v>2908</v>
      </c>
      <c r="AB56" s="22" t="s">
        <v>2908</v>
      </c>
      <c r="AC56" s="22" t="s">
        <v>2908</v>
      </c>
      <c r="AD56" s="22" t="s">
        <v>2908</v>
      </c>
      <c r="AE56" s="22" t="s">
        <v>2908</v>
      </c>
      <c r="AG56" s="22" t="s">
        <v>2182</v>
      </c>
      <c r="AH56" s="22">
        <v>315</v>
      </c>
      <c r="AI56" s="22" t="s">
        <v>5570</v>
      </c>
      <c r="AJ56" s="22" t="s">
        <v>5571</v>
      </c>
      <c r="AL56" s="22">
        <v>55</v>
      </c>
      <c r="AM56" s="22" t="s">
        <v>2183</v>
      </c>
      <c r="AN56" s="22" t="s">
        <v>2908</v>
      </c>
      <c r="AO56" s="22" t="s">
        <v>2908</v>
      </c>
    </row>
    <row r="57" spans="1:41" ht="28.2" thickBot="1" x14ac:dyDescent="0.3">
      <c r="A57" s="22" t="s">
        <v>3304</v>
      </c>
      <c r="B57" s="22" t="s">
        <v>5151</v>
      </c>
      <c r="C57" s="22" t="s">
        <v>5152</v>
      </c>
      <c r="D57" s="22" t="s">
        <v>5153</v>
      </c>
      <c r="E57" s="22" t="s">
        <v>5154</v>
      </c>
      <c r="F57" s="22" t="s">
        <v>5155</v>
      </c>
      <c r="G57" s="22" t="s">
        <v>5156</v>
      </c>
      <c r="I57" s="22">
        <v>56</v>
      </c>
      <c r="J57" s="22" t="s">
        <v>2185</v>
      </c>
      <c r="K57" s="22">
        <v>13.77</v>
      </c>
      <c r="L57" s="22">
        <v>15.99</v>
      </c>
      <c r="M57" s="22">
        <v>14.4</v>
      </c>
      <c r="N57" s="22">
        <v>10.98</v>
      </c>
      <c r="O57" s="22">
        <v>10.23</v>
      </c>
      <c r="P57" s="22">
        <v>10.25</v>
      </c>
      <c r="R57" s="22" t="s">
        <v>2904</v>
      </c>
      <c r="S57" s="22" t="s">
        <v>5429</v>
      </c>
      <c r="T57" s="22" t="s">
        <v>5430</v>
      </c>
      <c r="U57" s="22" t="s">
        <v>5431</v>
      </c>
      <c r="V57" s="22" t="s">
        <v>5432</v>
      </c>
      <c r="W57" s="22" t="s">
        <v>5433</v>
      </c>
      <c r="Y57" s="22">
        <v>56</v>
      </c>
      <c r="Z57" s="22" t="s">
        <v>2185</v>
      </c>
      <c r="AA57" s="22">
        <v>8.15</v>
      </c>
      <c r="AB57" s="22">
        <v>12.67</v>
      </c>
      <c r="AC57" s="22">
        <v>9.5500000000000007</v>
      </c>
      <c r="AD57" s="22">
        <v>6.39</v>
      </c>
      <c r="AE57" s="22">
        <v>10.89</v>
      </c>
      <c r="AG57" s="22" t="s">
        <v>2904</v>
      </c>
      <c r="AH57" s="22">
        <v>18900</v>
      </c>
      <c r="AI57" s="22" t="s">
        <v>5572</v>
      </c>
      <c r="AJ57" s="22" t="s">
        <v>5573</v>
      </c>
      <c r="AL57" s="22">
        <v>56</v>
      </c>
      <c r="AM57" s="22" t="s">
        <v>2185</v>
      </c>
      <c r="AN57" s="22">
        <v>14.31</v>
      </c>
      <c r="AO57" s="22">
        <v>12.21</v>
      </c>
    </row>
    <row r="58" spans="1:41" ht="28.2" thickBot="1" x14ac:dyDescent="0.3">
      <c r="A58" s="22" t="s">
        <v>3309</v>
      </c>
      <c r="B58" s="22" t="s">
        <v>5157</v>
      </c>
      <c r="C58" s="22" t="s">
        <v>5158</v>
      </c>
      <c r="D58" s="22" t="s">
        <v>5159</v>
      </c>
      <c r="E58" s="22" t="s">
        <v>5160</v>
      </c>
      <c r="F58" s="22" t="s">
        <v>5161</v>
      </c>
      <c r="G58" s="22" t="s">
        <v>5162</v>
      </c>
      <c r="I58" s="22">
        <v>57</v>
      </c>
      <c r="J58" s="22" t="s">
        <v>2930</v>
      </c>
      <c r="K58" s="22" t="s">
        <v>2908</v>
      </c>
      <c r="L58" s="22" t="s">
        <v>2908</v>
      </c>
      <c r="M58" s="22" t="s">
        <v>2908</v>
      </c>
      <c r="N58" s="22" t="s">
        <v>2908</v>
      </c>
      <c r="O58" s="22" t="s">
        <v>2908</v>
      </c>
      <c r="P58" s="22" t="s">
        <v>2908</v>
      </c>
      <c r="R58" s="22" t="s">
        <v>2181</v>
      </c>
      <c r="S58" s="22" t="s">
        <v>5434</v>
      </c>
      <c r="T58" s="22" t="s">
        <v>4962</v>
      </c>
      <c r="U58" s="22" t="s">
        <v>5435</v>
      </c>
      <c r="V58" s="22" t="s">
        <v>5436</v>
      </c>
      <c r="W58" s="22" t="s">
        <v>5437</v>
      </c>
      <c r="Y58" s="22">
        <v>57</v>
      </c>
      <c r="Z58" s="22" t="s">
        <v>2930</v>
      </c>
      <c r="AA58" s="22" t="s">
        <v>2908</v>
      </c>
      <c r="AB58" s="22" t="s">
        <v>2908</v>
      </c>
      <c r="AC58" s="22" t="s">
        <v>2908</v>
      </c>
      <c r="AD58" s="22" t="s">
        <v>2908</v>
      </c>
      <c r="AE58" s="22" t="s">
        <v>2908</v>
      </c>
      <c r="AG58" s="22" t="s">
        <v>2181</v>
      </c>
      <c r="AH58" s="22">
        <v>123</v>
      </c>
      <c r="AI58" s="22" t="s">
        <v>5574</v>
      </c>
      <c r="AJ58" s="22" t="s">
        <v>5575</v>
      </c>
      <c r="AL58" s="22">
        <v>57</v>
      </c>
      <c r="AM58" s="22" t="s">
        <v>2930</v>
      </c>
      <c r="AN58" s="22" t="s">
        <v>2908</v>
      </c>
      <c r="AO58" s="22" t="s">
        <v>2908</v>
      </c>
    </row>
    <row r="59" spans="1:41" ht="28.2" thickBot="1" x14ac:dyDescent="0.3">
      <c r="A59" s="21" t="s">
        <v>5163</v>
      </c>
      <c r="B59" s="22"/>
      <c r="C59" s="22"/>
      <c r="D59" s="22"/>
      <c r="E59" s="22"/>
      <c r="F59" s="22"/>
      <c r="G59" s="22"/>
      <c r="I59" s="22">
        <v>58</v>
      </c>
      <c r="J59" s="22" t="s">
        <v>2331</v>
      </c>
      <c r="K59" s="22" t="s">
        <v>2908</v>
      </c>
      <c r="L59" s="22" t="s">
        <v>2908</v>
      </c>
      <c r="M59" s="22" t="s">
        <v>2908</v>
      </c>
      <c r="N59" s="22" t="s">
        <v>2908</v>
      </c>
      <c r="O59" s="22" t="s">
        <v>2908</v>
      </c>
      <c r="P59" s="22" t="s">
        <v>2908</v>
      </c>
      <c r="R59" s="22" t="s">
        <v>3304</v>
      </c>
      <c r="S59" s="22" t="s">
        <v>5438</v>
      </c>
      <c r="T59" s="22" t="s">
        <v>5439</v>
      </c>
      <c r="U59" s="22" t="s">
        <v>5440</v>
      </c>
      <c r="V59" s="22" t="s">
        <v>5441</v>
      </c>
      <c r="W59" s="22" t="s">
        <v>5442</v>
      </c>
      <c r="Y59" s="22">
        <v>58</v>
      </c>
      <c r="Z59" s="22" t="s">
        <v>2331</v>
      </c>
      <c r="AA59" s="22" t="s">
        <v>2908</v>
      </c>
      <c r="AB59" s="22" t="s">
        <v>2908</v>
      </c>
      <c r="AC59" s="22" t="s">
        <v>2908</v>
      </c>
      <c r="AD59" s="22" t="s">
        <v>2908</v>
      </c>
      <c r="AE59" s="22" t="s">
        <v>2908</v>
      </c>
      <c r="AG59" s="22" t="s">
        <v>3304</v>
      </c>
      <c r="AH59" s="22">
        <v>167</v>
      </c>
      <c r="AI59" s="22" t="s">
        <v>5576</v>
      </c>
      <c r="AJ59" s="22" t="s">
        <v>5577</v>
      </c>
      <c r="AL59" s="22">
        <v>58</v>
      </c>
      <c r="AM59" s="22" t="s">
        <v>2331</v>
      </c>
      <c r="AN59" s="22" t="s">
        <v>2908</v>
      </c>
      <c r="AO59" s="22" t="s">
        <v>2908</v>
      </c>
    </row>
    <row r="60" spans="1:41" ht="28.2" thickBot="1" x14ac:dyDescent="0.3">
      <c r="A60" s="22" t="s">
        <v>2947</v>
      </c>
      <c r="B60" s="22" t="s">
        <v>5164</v>
      </c>
      <c r="C60" s="22" t="s">
        <v>5165</v>
      </c>
      <c r="D60" s="22" t="s">
        <v>5166</v>
      </c>
      <c r="E60" s="22" t="s">
        <v>5167</v>
      </c>
      <c r="F60" s="22" t="s">
        <v>5168</v>
      </c>
      <c r="G60" s="22" t="s">
        <v>5169</v>
      </c>
      <c r="I60" s="22">
        <v>59</v>
      </c>
      <c r="J60" s="22" t="s">
        <v>2337</v>
      </c>
      <c r="K60" s="22" t="s">
        <v>2908</v>
      </c>
      <c r="L60" s="22" t="s">
        <v>2908</v>
      </c>
      <c r="M60" s="22" t="s">
        <v>2908</v>
      </c>
      <c r="N60" s="22" t="s">
        <v>2908</v>
      </c>
      <c r="O60" s="22" t="s">
        <v>2908</v>
      </c>
      <c r="P60" s="22" t="s">
        <v>2908</v>
      </c>
      <c r="R60" s="22" t="s">
        <v>3309</v>
      </c>
      <c r="S60" s="22" t="s">
        <v>5443</v>
      </c>
      <c r="T60" s="22" t="s">
        <v>5444</v>
      </c>
      <c r="U60" s="22" t="s">
        <v>5445</v>
      </c>
      <c r="V60" s="22" t="s">
        <v>5446</v>
      </c>
      <c r="W60" s="22" t="s">
        <v>5447</v>
      </c>
      <c r="Y60" s="22">
        <v>59</v>
      </c>
      <c r="Z60" s="22" t="s">
        <v>2337</v>
      </c>
      <c r="AA60" s="22" t="s">
        <v>2908</v>
      </c>
      <c r="AB60" s="22" t="s">
        <v>2908</v>
      </c>
      <c r="AC60" s="22" t="s">
        <v>2908</v>
      </c>
      <c r="AD60" s="22" t="s">
        <v>2908</v>
      </c>
      <c r="AE60" s="22" t="s">
        <v>2908</v>
      </c>
      <c r="AG60" s="22" t="s">
        <v>3309</v>
      </c>
      <c r="AH60" s="22">
        <v>617.89</v>
      </c>
      <c r="AI60" s="22" t="s">
        <v>5578</v>
      </c>
      <c r="AJ60" s="22" t="s">
        <v>5579</v>
      </c>
      <c r="AL60" s="22">
        <v>59</v>
      </c>
      <c r="AM60" s="22" t="s">
        <v>2337</v>
      </c>
      <c r="AN60" s="22" t="s">
        <v>2908</v>
      </c>
      <c r="AO60" s="22" t="s">
        <v>2908</v>
      </c>
    </row>
    <row r="61" spans="1:41" ht="28.2" thickBot="1" x14ac:dyDescent="0.3">
      <c r="A61" s="22" t="s">
        <v>2857</v>
      </c>
      <c r="B61" s="22" t="s">
        <v>5170</v>
      </c>
      <c r="C61" s="22" t="s">
        <v>5171</v>
      </c>
      <c r="D61" s="22" t="s">
        <v>5172</v>
      </c>
      <c r="E61" s="22" t="s">
        <v>5173</v>
      </c>
      <c r="F61" s="22" t="s">
        <v>5174</v>
      </c>
      <c r="G61" s="22" t="s">
        <v>5175</v>
      </c>
      <c r="I61" s="22">
        <v>60</v>
      </c>
      <c r="J61" s="22" t="s">
        <v>2365</v>
      </c>
      <c r="K61" s="22">
        <v>1485.11</v>
      </c>
      <c r="L61" s="22">
        <v>1401.98</v>
      </c>
      <c r="M61" s="22">
        <v>3019.16</v>
      </c>
      <c r="N61" s="22">
        <v>1260.0899999999999</v>
      </c>
      <c r="O61" s="22">
        <v>898.42</v>
      </c>
      <c r="P61" s="22">
        <v>808.23</v>
      </c>
      <c r="R61" s="21" t="s">
        <v>5163</v>
      </c>
      <c r="S61" s="22"/>
      <c r="T61" s="22"/>
      <c r="U61" s="22"/>
      <c r="V61" s="22"/>
      <c r="W61" s="22"/>
      <c r="Y61" s="22">
        <v>60</v>
      </c>
      <c r="Z61" s="22" t="s">
        <v>2365</v>
      </c>
      <c r="AA61" s="22">
        <v>133.41999999999999</v>
      </c>
      <c r="AB61" s="22">
        <v>112.72</v>
      </c>
      <c r="AC61" s="22">
        <v>254.51</v>
      </c>
      <c r="AD61" s="22">
        <v>57.79</v>
      </c>
      <c r="AE61" s="22">
        <v>1649.11</v>
      </c>
      <c r="AG61" s="21" t="s">
        <v>5580</v>
      </c>
      <c r="AH61" s="22"/>
      <c r="AI61" s="22"/>
      <c r="AJ61" s="22"/>
      <c r="AL61" s="22">
        <v>60</v>
      </c>
      <c r="AM61" s="22" t="s">
        <v>2365</v>
      </c>
      <c r="AN61" s="22">
        <v>7523.13</v>
      </c>
      <c r="AO61" s="22">
        <v>5036.2299999999996</v>
      </c>
    </row>
    <row r="62" spans="1:41" ht="28.2" thickBot="1" x14ac:dyDescent="0.3">
      <c r="I62" s="22">
        <v>61</v>
      </c>
      <c r="J62" s="22" t="s">
        <v>2186</v>
      </c>
      <c r="K62" s="22">
        <v>1857.12</v>
      </c>
      <c r="L62" s="22">
        <v>1691.92</v>
      </c>
      <c r="M62" s="22">
        <v>1474.13</v>
      </c>
      <c r="N62" s="22">
        <v>528.34</v>
      </c>
      <c r="O62" s="22">
        <v>329.62</v>
      </c>
      <c r="P62" s="22">
        <v>288.20999999999998</v>
      </c>
      <c r="R62" s="22" t="s">
        <v>2947</v>
      </c>
      <c r="S62" s="22" t="s">
        <v>5448</v>
      </c>
      <c r="T62" s="22" t="s">
        <v>5449</v>
      </c>
      <c r="U62" s="22" t="s">
        <v>5450</v>
      </c>
      <c r="V62" s="22" t="s">
        <v>5451</v>
      </c>
      <c r="W62" s="22" t="s">
        <v>5452</v>
      </c>
      <c r="Y62" s="22">
        <v>61</v>
      </c>
      <c r="Z62" s="22" t="s">
        <v>2186</v>
      </c>
      <c r="AA62" s="22">
        <v>1806.01</v>
      </c>
      <c r="AB62" s="22">
        <v>950.81</v>
      </c>
      <c r="AC62" s="22">
        <v>1258</v>
      </c>
      <c r="AD62" s="22">
        <v>1213.98</v>
      </c>
      <c r="AE62" s="22">
        <v>3587</v>
      </c>
      <c r="AG62" s="22" t="s">
        <v>2947</v>
      </c>
      <c r="AH62" s="22">
        <v>2090</v>
      </c>
      <c r="AI62" s="22" t="s">
        <v>5581</v>
      </c>
      <c r="AJ62" s="22" t="s">
        <v>5582</v>
      </c>
      <c r="AL62" s="22">
        <v>61</v>
      </c>
      <c r="AM62" s="22" t="s">
        <v>2186</v>
      </c>
      <c r="AN62" s="22">
        <v>4468.1099999999997</v>
      </c>
      <c r="AO62" s="22">
        <v>5016.34</v>
      </c>
    </row>
    <row r="63" spans="1:41" ht="42" thickBot="1" x14ac:dyDescent="0.3">
      <c r="I63" s="22">
        <v>62</v>
      </c>
      <c r="J63" s="22" t="s">
        <v>2382</v>
      </c>
      <c r="K63" s="22">
        <v>971.72</v>
      </c>
      <c r="L63" s="22">
        <v>1236</v>
      </c>
      <c r="M63" s="22">
        <v>959.3</v>
      </c>
      <c r="N63" s="22">
        <v>491.62</v>
      </c>
      <c r="O63" s="22">
        <v>262.61</v>
      </c>
      <c r="P63" s="22">
        <v>244.33</v>
      </c>
      <c r="R63" s="22" t="s">
        <v>5453</v>
      </c>
      <c r="S63" s="22" t="s">
        <v>5454</v>
      </c>
      <c r="T63" s="22" t="s">
        <v>5455</v>
      </c>
      <c r="U63" s="22" t="s">
        <v>5456</v>
      </c>
      <c r="V63" s="22" t="s">
        <v>5457</v>
      </c>
      <c r="W63" s="22" t="s">
        <v>5458</v>
      </c>
      <c r="Y63" s="22">
        <v>62</v>
      </c>
      <c r="Z63" s="22" t="s">
        <v>2382</v>
      </c>
      <c r="AA63" s="22">
        <v>749.71</v>
      </c>
      <c r="AB63" s="22">
        <v>684.02</v>
      </c>
      <c r="AC63" s="22">
        <v>1223.8900000000001</v>
      </c>
      <c r="AD63" s="22">
        <v>547.12</v>
      </c>
      <c r="AE63" s="22">
        <v>2827</v>
      </c>
      <c r="AG63" s="22" t="s">
        <v>5453</v>
      </c>
      <c r="AH63" s="22">
        <v>13186.43</v>
      </c>
      <c r="AI63" s="22" t="s">
        <v>5583</v>
      </c>
      <c r="AJ63" s="22" t="s">
        <v>5584</v>
      </c>
      <c r="AL63" s="22">
        <v>62</v>
      </c>
      <c r="AM63" s="22" t="s">
        <v>2382</v>
      </c>
      <c r="AN63" s="22">
        <v>3006</v>
      </c>
      <c r="AO63" s="22">
        <v>2785.23</v>
      </c>
    </row>
    <row r="64" spans="1:41" ht="55.8" thickBot="1" x14ac:dyDescent="0.3">
      <c r="I64" s="22">
        <v>63</v>
      </c>
      <c r="J64" s="22" t="s">
        <v>5179</v>
      </c>
      <c r="K64" s="22">
        <v>446.34</v>
      </c>
      <c r="L64" s="22">
        <v>338.32</v>
      </c>
      <c r="M64" s="22">
        <v>620.21</v>
      </c>
      <c r="N64" s="22">
        <v>266</v>
      </c>
      <c r="O64" s="22">
        <v>239.72</v>
      </c>
      <c r="P64" s="22">
        <v>256</v>
      </c>
      <c r="R64" s="22" t="s">
        <v>2857</v>
      </c>
      <c r="S64" s="22" t="s">
        <v>5459</v>
      </c>
      <c r="T64" s="22" t="s">
        <v>5460</v>
      </c>
      <c r="U64" s="22" t="s">
        <v>5461</v>
      </c>
      <c r="V64" s="22" t="s">
        <v>5462</v>
      </c>
      <c r="W64" s="22" t="s">
        <v>5463</v>
      </c>
      <c r="Y64" s="22">
        <v>63</v>
      </c>
      <c r="Z64" s="22" t="s">
        <v>5179</v>
      </c>
      <c r="AA64" s="22">
        <v>1159</v>
      </c>
      <c r="AB64" s="22">
        <v>397.43</v>
      </c>
      <c r="AC64" s="22">
        <v>575.21</v>
      </c>
      <c r="AD64" s="22">
        <v>283.42</v>
      </c>
      <c r="AE64" s="22">
        <v>1105</v>
      </c>
      <c r="AG64" s="22" t="s">
        <v>2857</v>
      </c>
      <c r="AH64" s="22">
        <v>44000</v>
      </c>
      <c r="AI64" s="22" t="s">
        <v>5585</v>
      </c>
      <c r="AJ64" s="22" t="s">
        <v>5586</v>
      </c>
      <c r="AL64" s="22">
        <v>63</v>
      </c>
      <c r="AM64" s="22" t="s">
        <v>5179</v>
      </c>
      <c r="AN64" s="22">
        <v>996.51</v>
      </c>
      <c r="AO64" s="22">
        <v>935.93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F36E-AE00-443A-BBA5-2C749306E340}">
  <dimension ref="A1:Z138"/>
  <sheetViews>
    <sheetView workbookViewId="0">
      <selection activeCell="V2" sqref="V2:Z64"/>
    </sheetView>
  </sheetViews>
  <sheetFormatPr defaultRowHeight="13.8" x14ac:dyDescent="0.25"/>
  <sheetData>
    <row r="1" spans="1:26" ht="49.2" thickBot="1" x14ac:dyDescent="0.3">
      <c r="A1" s="25" t="s">
        <v>6114</v>
      </c>
      <c r="B1" s="21" t="s">
        <v>5591</v>
      </c>
      <c r="C1" s="21" t="s">
        <v>5592</v>
      </c>
      <c r="D1" s="21" t="s">
        <v>5593</v>
      </c>
      <c r="E1" s="21" t="s">
        <v>5594</v>
      </c>
      <c r="F1" s="21" t="s">
        <v>5595</v>
      </c>
      <c r="H1" s="21" t="s">
        <v>2845</v>
      </c>
      <c r="I1" s="21" t="s">
        <v>2906</v>
      </c>
      <c r="J1" s="27" t="s">
        <v>7788</v>
      </c>
      <c r="K1" s="21" t="s">
        <v>5592</v>
      </c>
      <c r="L1" s="21" t="s">
        <v>5593</v>
      </c>
      <c r="M1" s="21" t="s">
        <v>5594</v>
      </c>
      <c r="N1" s="21" t="s">
        <v>5595</v>
      </c>
    </row>
    <row r="2" spans="1:26" ht="14.4" thickBot="1" x14ac:dyDescent="0.3">
      <c r="A2" s="21" t="s">
        <v>2940</v>
      </c>
      <c r="B2" s="22"/>
      <c r="C2" s="22"/>
      <c r="D2" s="22"/>
      <c r="E2" s="22"/>
      <c r="F2" s="22"/>
      <c r="H2" s="22">
        <v>1</v>
      </c>
      <c r="I2" s="22" t="s">
        <v>2017</v>
      </c>
      <c r="J2" s="22">
        <v>234.3</v>
      </c>
      <c r="K2" s="22">
        <v>218.77</v>
      </c>
      <c r="L2" s="22">
        <v>203.93</v>
      </c>
      <c r="M2" s="22">
        <v>220.99</v>
      </c>
      <c r="N2" s="22">
        <v>163.87</v>
      </c>
      <c r="P2" s="37">
        <v>100</v>
      </c>
      <c r="Q2" s="37">
        <v>100</v>
      </c>
      <c r="R2" s="37">
        <v>100</v>
      </c>
      <c r="S2" s="37">
        <v>100</v>
      </c>
      <c r="T2" s="37">
        <v>100</v>
      </c>
      <c r="V2">
        <f>J2*P2</f>
        <v>23430</v>
      </c>
      <c r="W2">
        <f t="shared" ref="W2:Z2" si="0">K2*Q2</f>
        <v>21877</v>
      </c>
      <c r="X2">
        <f t="shared" si="0"/>
        <v>20393</v>
      </c>
      <c r="Y2">
        <f t="shared" si="0"/>
        <v>22099</v>
      </c>
      <c r="Z2">
        <f t="shared" si="0"/>
        <v>16387</v>
      </c>
    </row>
    <row r="3" spans="1:26" ht="28.2" thickBot="1" x14ac:dyDescent="0.3">
      <c r="A3" s="22" t="s">
        <v>2017</v>
      </c>
      <c r="B3" s="22" t="s">
        <v>5596</v>
      </c>
      <c r="C3" s="22" t="s">
        <v>5597</v>
      </c>
      <c r="D3" s="22" t="s">
        <v>5598</v>
      </c>
      <c r="E3" s="22" t="s">
        <v>5599</v>
      </c>
      <c r="F3" s="22" t="s">
        <v>5600</v>
      </c>
      <c r="H3" s="22">
        <v>2</v>
      </c>
      <c r="I3" s="22" t="s">
        <v>2162</v>
      </c>
      <c r="J3" s="22">
        <v>0.14000000000000001</v>
      </c>
      <c r="K3" s="22">
        <v>0.14000000000000001</v>
      </c>
      <c r="L3" s="22">
        <v>0.11</v>
      </c>
      <c r="M3" s="22">
        <v>0.14000000000000001</v>
      </c>
      <c r="N3" s="22">
        <v>0.36</v>
      </c>
      <c r="P3" s="37">
        <v>100</v>
      </c>
      <c r="Q3" s="37">
        <v>100</v>
      </c>
      <c r="R3" s="37">
        <v>100</v>
      </c>
      <c r="S3" s="37">
        <v>100</v>
      </c>
      <c r="T3" s="37">
        <v>100</v>
      </c>
      <c r="V3">
        <f t="shared" ref="V3:V64" si="1">J3*P3</f>
        <v>14.000000000000002</v>
      </c>
      <c r="W3">
        <f t="shared" ref="W3:W64" si="2">K3*Q3</f>
        <v>14.000000000000002</v>
      </c>
      <c r="X3">
        <f t="shared" ref="X3:X64" si="3">L3*R3</f>
        <v>11</v>
      </c>
      <c r="Y3">
        <f t="shared" ref="Y3:Y64" si="4">M3*S3</f>
        <v>14.000000000000002</v>
      </c>
      <c r="Z3">
        <f t="shared" ref="Z3:Z64" si="5">N3*T3</f>
        <v>36</v>
      </c>
    </row>
    <row r="4" spans="1:26" ht="28.2" thickBot="1" x14ac:dyDescent="0.3">
      <c r="A4" s="22" t="s">
        <v>2898</v>
      </c>
      <c r="B4" s="22" t="s">
        <v>5601</v>
      </c>
      <c r="C4" s="22" t="s">
        <v>5602</v>
      </c>
      <c r="D4" s="22" t="s">
        <v>5603</v>
      </c>
      <c r="E4" s="22" t="s">
        <v>5604</v>
      </c>
      <c r="F4" s="22" t="s">
        <v>5605</v>
      </c>
      <c r="H4" s="22">
        <v>3</v>
      </c>
      <c r="I4" s="22" t="s">
        <v>2018</v>
      </c>
      <c r="J4" s="22">
        <v>16.010000000000002</v>
      </c>
      <c r="K4" s="22">
        <v>14.41</v>
      </c>
      <c r="L4" s="22">
        <v>12.82</v>
      </c>
      <c r="M4" s="22">
        <v>14.46</v>
      </c>
      <c r="N4" s="22">
        <v>7.2</v>
      </c>
      <c r="P4" s="37">
        <v>100</v>
      </c>
      <c r="Q4" s="37">
        <v>100</v>
      </c>
      <c r="R4" s="37">
        <v>100</v>
      </c>
      <c r="S4" s="37">
        <v>100</v>
      </c>
      <c r="T4" s="37">
        <v>100</v>
      </c>
      <c r="V4">
        <f t="shared" si="1"/>
        <v>1601.0000000000002</v>
      </c>
      <c r="W4">
        <f t="shared" si="2"/>
        <v>1441</v>
      </c>
      <c r="X4">
        <f t="shared" si="3"/>
        <v>1282</v>
      </c>
      <c r="Y4">
        <f t="shared" si="4"/>
        <v>1446</v>
      </c>
      <c r="Z4">
        <f t="shared" si="5"/>
        <v>720</v>
      </c>
    </row>
    <row r="5" spans="1:26" ht="28.2" thickBot="1" x14ac:dyDescent="0.3">
      <c r="A5" s="22" t="s">
        <v>2022</v>
      </c>
      <c r="B5" s="22" t="s">
        <v>5606</v>
      </c>
      <c r="C5" s="22" t="s">
        <v>5607</v>
      </c>
      <c r="D5" s="22" t="s">
        <v>5608</v>
      </c>
      <c r="E5" s="22" t="s">
        <v>5609</v>
      </c>
      <c r="F5" s="22" t="s">
        <v>5610</v>
      </c>
      <c r="H5" s="22">
        <v>4</v>
      </c>
      <c r="I5" s="22" t="s">
        <v>2022</v>
      </c>
      <c r="J5" s="22">
        <v>83.57</v>
      </c>
      <c r="K5" s="22">
        <v>98.08</v>
      </c>
      <c r="L5" s="22">
        <v>94.38</v>
      </c>
      <c r="M5" s="22">
        <v>83.75</v>
      </c>
      <c r="N5" s="22">
        <v>65.510000000000005</v>
      </c>
      <c r="P5" s="37">
        <v>100</v>
      </c>
      <c r="Q5" s="37">
        <v>100</v>
      </c>
      <c r="R5" s="37">
        <v>100</v>
      </c>
      <c r="S5" s="37">
        <v>100</v>
      </c>
      <c r="T5" s="37">
        <v>100</v>
      </c>
      <c r="V5">
        <f t="shared" si="1"/>
        <v>8357</v>
      </c>
      <c r="W5">
        <f t="shared" si="2"/>
        <v>9808</v>
      </c>
      <c r="X5">
        <f t="shared" si="3"/>
        <v>9438</v>
      </c>
      <c r="Y5">
        <f t="shared" si="4"/>
        <v>8375</v>
      </c>
      <c r="Z5">
        <f t="shared" si="5"/>
        <v>6551.0000000000009</v>
      </c>
    </row>
    <row r="6" spans="1:26" ht="28.2" thickBot="1" x14ac:dyDescent="0.3">
      <c r="A6" s="22" t="s">
        <v>2173</v>
      </c>
      <c r="B6" s="22" t="s">
        <v>5611</v>
      </c>
      <c r="C6" s="22" t="s">
        <v>5612</v>
      </c>
      <c r="D6" s="22" t="s">
        <v>5613</v>
      </c>
      <c r="E6" s="22" t="s">
        <v>5614</v>
      </c>
      <c r="F6" s="22" t="s">
        <v>5615</v>
      </c>
      <c r="H6" s="22">
        <v>5</v>
      </c>
      <c r="I6" s="22" t="s">
        <v>2023</v>
      </c>
      <c r="J6" s="22">
        <v>26.57</v>
      </c>
      <c r="K6" s="22">
        <v>23.83</v>
      </c>
      <c r="L6" s="22">
        <v>18.91</v>
      </c>
      <c r="M6" s="22">
        <v>31.43</v>
      </c>
      <c r="N6" s="22">
        <v>15.71</v>
      </c>
      <c r="P6" s="37">
        <v>100</v>
      </c>
      <c r="Q6" s="37">
        <v>100</v>
      </c>
      <c r="R6" s="37">
        <v>100</v>
      </c>
      <c r="S6" s="37">
        <v>100</v>
      </c>
      <c r="T6" s="37">
        <v>100</v>
      </c>
      <c r="V6">
        <f t="shared" si="1"/>
        <v>2657</v>
      </c>
      <c r="W6">
        <f t="shared" si="2"/>
        <v>2383</v>
      </c>
      <c r="X6">
        <f t="shared" si="3"/>
        <v>1891</v>
      </c>
      <c r="Y6">
        <f t="shared" si="4"/>
        <v>3143</v>
      </c>
      <c r="Z6">
        <f t="shared" si="5"/>
        <v>1571</v>
      </c>
    </row>
    <row r="7" spans="1:26" ht="28.2" thickBot="1" x14ac:dyDescent="0.3">
      <c r="A7" s="22" t="s">
        <v>2318</v>
      </c>
      <c r="B7" s="22" t="s">
        <v>5616</v>
      </c>
      <c r="C7" s="22" t="s">
        <v>5617</v>
      </c>
      <c r="D7" s="22" t="s">
        <v>5618</v>
      </c>
      <c r="E7" s="22" t="s">
        <v>5619</v>
      </c>
      <c r="F7" s="22" t="s">
        <v>5620</v>
      </c>
      <c r="H7" s="22">
        <v>6</v>
      </c>
      <c r="I7" s="22" t="s">
        <v>2019</v>
      </c>
      <c r="J7" s="22">
        <v>8.15</v>
      </c>
      <c r="K7" s="22">
        <v>6.76</v>
      </c>
      <c r="L7" s="22">
        <v>11.47</v>
      </c>
      <c r="M7" s="22">
        <v>5.07</v>
      </c>
      <c r="N7" s="22">
        <v>2.5499999999999998</v>
      </c>
      <c r="P7" s="37">
        <v>100</v>
      </c>
      <c r="Q7" s="37">
        <v>100</v>
      </c>
      <c r="R7" s="37">
        <v>100</v>
      </c>
      <c r="S7" s="37">
        <v>100</v>
      </c>
      <c r="T7" s="37">
        <v>100</v>
      </c>
      <c r="V7">
        <f t="shared" si="1"/>
        <v>815</v>
      </c>
      <c r="W7">
        <f t="shared" si="2"/>
        <v>676</v>
      </c>
      <c r="X7">
        <f t="shared" si="3"/>
        <v>1147</v>
      </c>
      <c r="Y7">
        <f t="shared" si="4"/>
        <v>507</v>
      </c>
      <c r="Z7">
        <f t="shared" si="5"/>
        <v>254.99999999999997</v>
      </c>
    </row>
    <row r="8" spans="1:26" ht="28.2" thickBot="1" x14ac:dyDescent="0.3">
      <c r="A8" s="22" t="s">
        <v>2023</v>
      </c>
      <c r="B8" s="22" t="s">
        <v>5621</v>
      </c>
      <c r="C8" s="22" t="s">
        <v>5622</v>
      </c>
      <c r="D8" s="22" t="s">
        <v>5623</v>
      </c>
      <c r="E8" s="22" t="s">
        <v>5624</v>
      </c>
      <c r="F8" s="22" t="s">
        <v>5625</v>
      </c>
      <c r="H8" s="22">
        <v>7</v>
      </c>
      <c r="I8" s="22" t="s">
        <v>2178</v>
      </c>
      <c r="J8" s="22">
        <v>11.13</v>
      </c>
      <c r="K8" s="22">
        <v>9.7899999999999991</v>
      </c>
      <c r="L8" s="22">
        <v>7.59</v>
      </c>
      <c r="M8" s="22">
        <v>10.29</v>
      </c>
      <c r="N8" s="22">
        <v>5.47</v>
      </c>
      <c r="P8" s="37">
        <v>100</v>
      </c>
      <c r="Q8" s="37">
        <v>100</v>
      </c>
      <c r="R8" s="37">
        <v>100</v>
      </c>
      <c r="S8" s="37">
        <v>100</v>
      </c>
      <c r="T8" s="37">
        <v>100</v>
      </c>
      <c r="V8">
        <f t="shared" si="1"/>
        <v>1113</v>
      </c>
      <c r="W8">
        <f t="shared" si="2"/>
        <v>978.99999999999989</v>
      </c>
      <c r="X8">
        <f t="shared" si="3"/>
        <v>759</v>
      </c>
      <c r="Y8">
        <f t="shared" si="4"/>
        <v>1029</v>
      </c>
      <c r="Z8">
        <f t="shared" si="5"/>
        <v>547</v>
      </c>
    </row>
    <row r="9" spans="1:26" ht="28.2" thickBot="1" x14ac:dyDescent="0.3">
      <c r="A9" s="22" t="s">
        <v>2957</v>
      </c>
      <c r="B9" s="22" t="s">
        <v>5626</v>
      </c>
      <c r="C9" s="22" t="s">
        <v>5627</v>
      </c>
      <c r="D9" s="22" t="s">
        <v>5628</v>
      </c>
      <c r="E9" s="22" t="s">
        <v>5629</v>
      </c>
      <c r="F9" s="22" t="s">
        <v>5630</v>
      </c>
      <c r="H9" s="22">
        <v>8</v>
      </c>
      <c r="I9" s="22" t="s">
        <v>2898</v>
      </c>
      <c r="J9" s="22">
        <v>91.49</v>
      </c>
      <c r="K9" s="22">
        <v>107.57</v>
      </c>
      <c r="L9" s="22">
        <v>124.76</v>
      </c>
      <c r="M9" s="22">
        <v>114.53</v>
      </c>
      <c r="N9" s="22">
        <v>117.6</v>
      </c>
      <c r="P9" s="37">
        <v>100</v>
      </c>
      <c r="Q9" s="37">
        <v>100</v>
      </c>
      <c r="R9" s="37">
        <v>100</v>
      </c>
      <c r="S9" s="37">
        <v>100</v>
      </c>
      <c r="T9" s="37">
        <v>100</v>
      </c>
      <c r="V9">
        <f t="shared" si="1"/>
        <v>9149</v>
      </c>
      <c r="W9">
        <f t="shared" si="2"/>
        <v>10757</v>
      </c>
      <c r="X9">
        <f t="shared" si="3"/>
        <v>12476</v>
      </c>
      <c r="Y9">
        <f t="shared" si="4"/>
        <v>11453</v>
      </c>
      <c r="Z9">
        <f t="shared" si="5"/>
        <v>11760</v>
      </c>
    </row>
    <row r="10" spans="1:26" ht="42" thickBot="1" x14ac:dyDescent="0.3">
      <c r="A10" s="22" t="s">
        <v>5631</v>
      </c>
      <c r="B10" s="22" t="s">
        <v>5632</v>
      </c>
      <c r="C10" s="22" t="s">
        <v>5633</v>
      </c>
      <c r="D10" s="22" t="s">
        <v>5634</v>
      </c>
      <c r="E10" s="22" t="s">
        <v>5635</v>
      </c>
      <c r="F10" s="22" t="s">
        <v>5636</v>
      </c>
      <c r="H10" s="22">
        <v>9</v>
      </c>
      <c r="I10" s="22" t="s">
        <v>2909</v>
      </c>
      <c r="J10" s="22" t="s">
        <v>2908</v>
      </c>
      <c r="K10" s="22" t="s">
        <v>2908</v>
      </c>
      <c r="L10" s="22" t="s">
        <v>2908</v>
      </c>
      <c r="M10" s="22" t="s">
        <v>2908</v>
      </c>
      <c r="N10" s="22" t="s">
        <v>2908</v>
      </c>
      <c r="P10" s="37">
        <v>100</v>
      </c>
      <c r="Q10" s="37">
        <v>100</v>
      </c>
      <c r="R10" s="37">
        <v>100</v>
      </c>
      <c r="S10" s="37">
        <v>100</v>
      </c>
      <c r="T10" s="37">
        <v>100</v>
      </c>
      <c r="V10" t="e">
        <f t="shared" si="1"/>
        <v>#VALUE!</v>
      </c>
      <c r="W10" t="e">
        <f t="shared" si="2"/>
        <v>#VALUE!</v>
      </c>
      <c r="X10" t="e">
        <f t="shared" si="3"/>
        <v>#VALUE!</v>
      </c>
      <c r="Y10" t="e">
        <f t="shared" si="4"/>
        <v>#VALUE!</v>
      </c>
      <c r="Z10" t="e">
        <f t="shared" si="5"/>
        <v>#VALUE!</v>
      </c>
    </row>
    <row r="11" spans="1:26" ht="28.2" thickBot="1" x14ac:dyDescent="0.3">
      <c r="A11" s="22" t="s">
        <v>2018</v>
      </c>
      <c r="B11" s="22" t="s">
        <v>5637</v>
      </c>
      <c r="C11" s="22" t="s">
        <v>5638</v>
      </c>
      <c r="D11" s="22" t="s">
        <v>5639</v>
      </c>
      <c r="E11" s="22" t="s">
        <v>5640</v>
      </c>
      <c r="F11" s="22" t="s">
        <v>5641</v>
      </c>
      <c r="H11" s="22">
        <v>10</v>
      </c>
      <c r="I11" s="22" t="s">
        <v>2166</v>
      </c>
      <c r="J11" s="22" t="s">
        <v>2908</v>
      </c>
      <c r="K11" s="22" t="s">
        <v>2908</v>
      </c>
      <c r="L11" s="22" t="s">
        <v>2908</v>
      </c>
      <c r="M11" s="22" t="s">
        <v>2908</v>
      </c>
      <c r="N11" s="22" t="s">
        <v>2908</v>
      </c>
      <c r="P11" s="37">
        <v>100</v>
      </c>
      <c r="Q11" s="37">
        <v>100</v>
      </c>
      <c r="R11" s="37">
        <v>100</v>
      </c>
      <c r="S11" s="37">
        <v>100</v>
      </c>
      <c r="T11" s="37">
        <v>100</v>
      </c>
      <c r="V11" t="e">
        <f t="shared" si="1"/>
        <v>#VALUE!</v>
      </c>
      <c r="W11" t="e">
        <f t="shared" si="2"/>
        <v>#VALUE!</v>
      </c>
      <c r="X11" t="e">
        <f t="shared" si="3"/>
        <v>#VALUE!</v>
      </c>
      <c r="Y11" t="e">
        <f t="shared" si="4"/>
        <v>#VALUE!</v>
      </c>
      <c r="Z11" t="e">
        <f t="shared" si="5"/>
        <v>#VALUE!</v>
      </c>
    </row>
    <row r="12" spans="1:26" ht="28.2" thickBot="1" x14ac:dyDescent="0.3">
      <c r="A12" s="22" t="s">
        <v>5642</v>
      </c>
      <c r="B12" s="22" t="s">
        <v>5643</v>
      </c>
      <c r="C12" s="22" t="s">
        <v>5644</v>
      </c>
      <c r="D12" s="22" t="s">
        <v>5645</v>
      </c>
      <c r="E12" s="22" t="s">
        <v>5646</v>
      </c>
      <c r="F12" s="22" t="s">
        <v>5647</v>
      </c>
      <c r="H12" s="22">
        <v>11</v>
      </c>
      <c r="I12" s="22" t="s">
        <v>2911</v>
      </c>
      <c r="J12" s="22" t="s">
        <v>2908</v>
      </c>
      <c r="K12" s="22" t="s">
        <v>2908</v>
      </c>
      <c r="L12" s="22" t="s">
        <v>2908</v>
      </c>
      <c r="M12" s="22" t="s">
        <v>2908</v>
      </c>
      <c r="N12" s="22" t="s">
        <v>2908</v>
      </c>
      <c r="P12" s="37">
        <v>100</v>
      </c>
      <c r="Q12" s="37">
        <v>100</v>
      </c>
      <c r="R12" s="37">
        <v>100</v>
      </c>
      <c r="S12" s="37">
        <v>100</v>
      </c>
      <c r="T12" s="37">
        <v>100</v>
      </c>
      <c r="V12" t="e">
        <f t="shared" si="1"/>
        <v>#VALUE!</v>
      </c>
      <c r="W12" t="e">
        <f t="shared" si="2"/>
        <v>#VALUE!</v>
      </c>
      <c r="X12" t="e">
        <f t="shared" si="3"/>
        <v>#VALUE!</v>
      </c>
      <c r="Y12" t="e">
        <f t="shared" si="4"/>
        <v>#VALUE!</v>
      </c>
      <c r="Z12" t="e">
        <f t="shared" si="5"/>
        <v>#VALUE!</v>
      </c>
    </row>
    <row r="13" spans="1:26" ht="28.2" thickBot="1" x14ac:dyDescent="0.3">
      <c r="A13" s="22" t="s">
        <v>2186</v>
      </c>
      <c r="B13" s="22" t="s">
        <v>5648</v>
      </c>
      <c r="C13" s="22" t="s">
        <v>5649</v>
      </c>
      <c r="D13" s="22" t="s">
        <v>5650</v>
      </c>
      <c r="E13" s="22" t="s">
        <v>5651</v>
      </c>
      <c r="F13" s="22" t="s">
        <v>5652</v>
      </c>
      <c r="H13" s="22">
        <v>12</v>
      </c>
      <c r="I13" s="22" t="s">
        <v>2957</v>
      </c>
      <c r="J13" s="22">
        <v>31.08</v>
      </c>
      <c r="K13" s="22">
        <v>31.08</v>
      </c>
      <c r="L13" s="22">
        <v>18.55</v>
      </c>
      <c r="M13" s="22">
        <v>37.01</v>
      </c>
      <c r="N13" s="22">
        <v>13.89</v>
      </c>
      <c r="P13" s="37">
        <v>100</v>
      </c>
      <c r="Q13" s="37">
        <v>100</v>
      </c>
      <c r="R13" s="37">
        <v>100</v>
      </c>
      <c r="S13" s="37">
        <v>100</v>
      </c>
      <c r="T13" s="37">
        <v>100</v>
      </c>
      <c r="V13">
        <f t="shared" si="1"/>
        <v>3108</v>
      </c>
      <c r="W13">
        <f t="shared" si="2"/>
        <v>3108</v>
      </c>
      <c r="X13">
        <f t="shared" si="3"/>
        <v>1855</v>
      </c>
      <c r="Y13">
        <f t="shared" si="4"/>
        <v>3701</v>
      </c>
      <c r="Z13">
        <f t="shared" si="5"/>
        <v>1389</v>
      </c>
    </row>
    <row r="14" spans="1:26" ht="28.2" thickBot="1" x14ac:dyDescent="0.3">
      <c r="A14" s="22" t="s">
        <v>2178</v>
      </c>
      <c r="B14" s="22" t="s">
        <v>5653</v>
      </c>
      <c r="C14" s="22" t="s">
        <v>5654</v>
      </c>
      <c r="D14" s="22" t="s">
        <v>5655</v>
      </c>
      <c r="E14" s="22" t="s">
        <v>5656</v>
      </c>
      <c r="F14" s="22" t="s">
        <v>5657</v>
      </c>
      <c r="H14" s="22">
        <v>13</v>
      </c>
      <c r="I14" s="22" t="s">
        <v>2913</v>
      </c>
      <c r="J14" s="22">
        <v>0.47</v>
      </c>
      <c r="K14" s="22">
        <v>0.28000000000000003</v>
      </c>
      <c r="L14" s="22" t="s">
        <v>2908</v>
      </c>
      <c r="M14" s="22" t="s">
        <v>2908</v>
      </c>
      <c r="N14" s="22">
        <v>0.09</v>
      </c>
      <c r="P14" s="37">
        <v>100</v>
      </c>
      <c r="Q14" s="37">
        <v>100</v>
      </c>
      <c r="R14" s="37">
        <v>100</v>
      </c>
      <c r="S14" s="37">
        <v>100</v>
      </c>
      <c r="T14" s="37">
        <v>100</v>
      </c>
      <c r="V14">
        <f t="shared" si="1"/>
        <v>47</v>
      </c>
      <c r="W14">
        <f t="shared" si="2"/>
        <v>28.000000000000004</v>
      </c>
      <c r="X14" t="e">
        <f t="shared" si="3"/>
        <v>#VALUE!</v>
      </c>
      <c r="Y14" t="e">
        <f t="shared" si="4"/>
        <v>#VALUE!</v>
      </c>
      <c r="Z14">
        <f t="shared" si="5"/>
        <v>9</v>
      </c>
    </row>
    <row r="15" spans="1:26" ht="28.2" thickBot="1" x14ac:dyDescent="0.3">
      <c r="A15" s="22" t="s">
        <v>5658</v>
      </c>
      <c r="B15" s="22" t="s">
        <v>5659</v>
      </c>
      <c r="C15" s="22" t="s">
        <v>5660</v>
      </c>
      <c r="D15" s="22" t="s">
        <v>5661</v>
      </c>
      <c r="E15" s="22" t="s">
        <v>5662</v>
      </c>
      <c r="F15" s="22" t="s">
        <v>5663</v>
      </c>
      <c r="H15" s="22">
        <v>14</v>
      </c>
      <c r="I15" s="22" t="s">
        <v>2173</v>
      </c>
      <c r="J15" s="22">
        <v>28.38</v>
      </c>
      <c r="K15" s="22">
        <v>28.3</v>
      </c>
      <c r="L15" s="22">
        <v>25.94</v>
      </c>
      <c r="M15" s="22">
        <v>20.92</v>
      </c>
      <c r="N15" s="22">
        <v>19.809999999999999</v>
      </c>
      <c r="P15" s="37">
        <v>100</v>
      </c>
      <c r="Q15" s="37">
        <v>100</v>
      </c>
      <c r="R15" s="37">
        <v>100</v>
      </c>
      <c r="S15" s="37">
        <v>100</v>
      </c>
      <c r="T15" s="37">
        <v>100</v>
      </c>
      <c r="V15">
        <f t="shared" si="1"/>
        <v>2838</v>
      </c>
      <c r="W15">
        <f t="shared" si="2"/>
        <v>2830</v>
      </c>
      <c r="X15">
        <f t="shared" si="3"/>
        <v>2594</v>
      </c>
      <c r="Y15">
        <f t="shared" si="4"/>
        <v>2092</v>
      </c>
      <c r="Z15">
        <f t="shared" si="5"/>
        <v>1980.9999999999998</v>
      </c>
    </row>
    <row r="16" spans="1:26" ht="28.2" thickBot="1" x14ac:dyDescent="0.3">
      <c r="A16" s="22" t="s">
        <v>2019</v>
      </c>
      <c r="B16" s="22" t="s">
        <v>5664</v>
      </c>
      <c r="C16" s="22" t="s">
        <v>5665</v>
      </c>
      <c r="D16" s="22" t="s">
        <v>5666</v>
      </c>
      <c r="E16" s="22" t="s">
        <v>5667</v>
      </c>
      <c r="F16" s="22" t="s">
        <v>5668</v>
      </c>
      <c r="H16" s="22">
        <v>15</v>
      </c>
      <c r="I16" s="22" t="s">
        <v>2914</v>
      </c>
      <c r="J16" s="22">
        <v>11.53</v>
      </c>
      <c r="K16" s="22">
        <v>9.5399999999999991</v>
      </c>
      <c r="L16" s="22">
        <v>10.82</v>
      </c>
      <c r="M16" s="22">
        <v>6.88</v>
      </c>
      <c r="N16" s="22">
        <v>2.0499999999999998</v>
      </c>
      <c r="P16" s="37">
        <v>100</v>
      </c>
      <c r="Q16" s="37">
        <v>100</v>
      </c>
      <c r="R16" s="37">
        <v>100</v>
      </c>
      <c r="S16" s="37">
        <v>100</v>
      </c>
      <c r="T16" s="37">
        <v>100</v>
      </c>
      <c r="V16">
        <f t="shared" si="1"/>
        <v>1153</v>
      </c>
      <c r="W16">
        <f t="shared" si="2"/>
        <v>953.99999999999989</v>
      </c>
      <c r="X16">
        <f t="shared" si="3"/>
        <v>1082</v>
      </c>
      <c r="Y16">
        <f t="shared" si="4"/>
        <v>688</v>
      </c>
      <c r="Z16">
        <f t="shared" si="5"/>
        <v>204.99999999999997</v>
      </c>
    </row>
    <row r="17" spans="1:26" ht="42" thickBot="1" x14ac:dyDescent="0.3">
      <c r="A17" s="22" t="s">
        <v>5669</v>
      </c>
      <c r="B17" s="22" t="s">
        <v>5670</v>
      </c>
      <c r="C17" s="22" t="s">
        <v>5671</v>
      </c>
      <c r="D17" s="22" t="s">
        <v>5672</v>
      </c>
      <c r="E17" s="22" t="s">
        <v>5673</v>
      </c>
      <c r="F17" s="22" t="s">
        <v>5674</v>
      </c>
      <c r="H17" s="22">
        <v>16</v>
      </c>
      <c r="I17" s="22" t="s">
        <v>2029</v>
      </c>
      <c r="J17" s="22">
        <v>5.88</v>
      </c>
      <c r="K17" s="22">
        <v>8.9600000000000009</v>
      </c>
      <c r="L17" s="22">
        <v>8.49</v>
      </c>
      <c r="M17" s="22">
        <v>21.84</v>
      </c>
      <c r="N17" s="22">
        <v>36.46</v>
      </c>
      <c r="P17" s="37">
        <v>100</v>
      </c>
      <c r="Q17" s="37">
        <v>100</v>
      </c>
      <c r="R17" s="37">
        <v>100</v>
      </c>
      <c r="S17" s="37">
        <v>100</v>
      </c>
      <c r="T17" s="37">
        <v>100</v>
      </c>
      <c r="V17">
        <f t="shared" si="1"/>
        <v>588</v>
      </c>
      <c r="W17">
        <f t="shared" si="2"/>
        <v>896.00000000000011</v>
      </c>
      <c r="X17">
        <f t="shared" si="3"/>
        <v>849</v>
      </c>
      <c r="Y17">
        <f t="shared" si="4"/>
        <v>2184</v>
      </c>
      <c r="Z17">
        <f t="shared" si="5"/>
        <v>3646</v>
      </c>
    </row>
    <row r="18" spans="1:26" ht="28.2" thickBot="1" x14ac:dyDescent="0.3">
      <c r="A18" s="22" t="s">
        <v>3215</v>
      </c>
      <c r="B18" s="22" t="s">
        <v>5675</v>
      </c>
      <c r="C18" s="22" t="s">
        <v>5676</v>
      </c>
      <c r="D18" s="22" t="s">
        <v>5677</v>
      </c>
      <c r="E18" s="22" t="s">
        <v>5678</v>
      </c>
      <c r="F18" s="22" t="s">
        <v>5679</v>
      </c>
      <c r="H18" s="22">
        <v>17</v>
      </c>
      <c r="I18" s="22" t="s">
        <v>2028</v>
      </c>
      <c r="J18" s="22">
        <v>2.8</v>
      </c>
      <c r="K18" s="22">
        <v>4</v>
      </c>
      <c r="L18" s="22">
        <v>4</v>
      </c>
      <c r="M18" s="22">
        <v>7.63</v>
      </c>
      <c r="N18" s="22">
        <v>10.130000000000001</v>
      </c>
      <c r="P18" s="37">
        <v>100</v>
      </c>
      <c r="Q18" s="37">
        <v>100</v>
      </c>
      <c r="R18" s="37">
        <v>100</v>
      </c>
      <c r="S18" s="37">
        <v>100</v>
      </c>
      <c r="T18" s="37">
        <v>100</v>
      </c>
      <c r="V18">
        <f t="shared" si="1"/>
        <v>280</v>
      </c>
      <c r="W18">
        <f t="shared" si="2"/>
        <v>400</v>
      </c>
      <c r="X18">
        <f t="shared" si="3"/>
        <v>400</v>
      </c>
      <c r="Y18">
        <f t="shared" si="4"/>
        <v>763</v>
      </c>
      <c r="Z18">
        <f t="shared" si="5"/>
        <v>1013.0000000000001</v>
      </c>
    </row>
    <row r="19" spans="1:26" ht="28.2" thickBot="1" x14ac:dyDescent="0.3">
      <c r="A19" s="22" t="s">
        <v>2914</v>
      </c>
      <c r="B19" s="22" t="s">
        <v>5680</v>
      </c>
      <c r="C19" s="22" t="s">
        <v>5681</v>
      </c>
      <c r="D19" s="22" t="s">
        <v>5682</v>
      </c>
      <c r="E19" s="22" t="s">
        <v>5683</v>
      </c>
      <c r="F19" s="22" t="s">
        <v>5684</v>
      </c>
      <c r="H19" s="22">
        <v>18</v>
      </c>
      <c r="I19" s="22" t="s">
        <v>2915</v>
      </c>
      <c r="J19" s="22">
        <v>1.3</v>
      </c>
      <c r="K19" s="22">
        <v>0.75</v>
      </c>
      <c r="L19" s="22">
        <v>0.87</v>
      </c>
      <c r="M19" s="22">
        <v>0.56000000000000005</v>
      </c>
      <c r="N19" s="22">
        <v>0.4</v>
      </c>
      <c r="P19" s="37">
        <v>100</v>
      </c>
      <c r="Q19" s="37">
        <v>100</v>
      </c>
      <c r="R19" s="37">
        <v>100</v>
      </c>
      <c r="S19" s="37">
        <v>100</v>
      </c>
      <c r="T19" s="37">
        <v>100</v>
      </c>
      <c r="V19">
        <f t="shared" si="1"/>
        <v>130</v>
      </c>
      <c r="W19">
        <f t="shared" si="2"/>
        <v>75</v>
      </c>
      <c r="X19">
        <f t="shared" si="3"/>
        <v>87</v>
      </c>
      <c r="Y19">
        <f t="shared" si="4"/>
        <v>56.000000000000007</v>
      </c>
      <c r="Z19">
        <f t="shared" si="5"/>
        <v>40</v>
      </c>
    </row>
    <row r="20" spans="1:26" ht="28.2" thickBot="1" x14ac:dyDescent="0.3">
      <c r="A20" s="22" t="s">
        <v>2382</v>
      </c>
      <c r="B20" s="22" t="s">
        <v>5685</v>
      </c>
      <c r="C20" s="22" t="s">
        <v>5686</v>
      </c>
      <c r="D20" s="22" t="s">
        <v>5687</v>
      </c>
      <c r="E20" s="22" t="s">
        <v>5688</v>
      </c>
      <c r="F20" s="22" t="s">
        <v>5689</v>
      </c>
      <c r="H20" s="22">
        <v>19</v>
      </c>
      <c r="I20" s="22" t="s">
        <v>2318</v>
      </c>
      <c r="J20" s="22">
        <v>8.32</v>
      </c>
      <c r="K20" s="22">
        <v>12.55</v>
      </c>
      <c r="L20" s="22">
        <v>12.32</v>
      </c>
      <c r="M20" s="22">
        <v>10.65</v>
      </c>
      <c r="N20" s="22">
        <v>17.399999999999999</v>
      </c>
      <c r="P20" s="37">
        <v>100</v>
      </c>
      <c r="Q20" s="37">
        <v>100</v>
      </c>
      <c r="R20" s="37">
        <v>100</v>
      </c>
      <c r="S20" s="37">
        <v>100</v>
      </c>
      <c r="T20" s="37">
        <v>100</v>
      </c>
      <c r="V20">
        <f t="shared" si="1"/>
        <v>832</v>
      </c>
      <c r="W20">
        <f t="shared" si="2"/>
        <v>1255</v>
      </c>
      <c r="X20">
        <f t="shared" si="3"/>
        <v>1232</v>
      </c>
      <c r="Y20">
        <f t="shared" si="4"/>
        <v>1065</v>
      </c>
      <c r="Z20">
        <f t="shared" si="5"/>
        <v>1739.9999999999998</v>
      </c>
    </row>
    <row r="21" spans="1:26" ht="28.2" thickBot="1" x14ac:dyDescent="0.3">
      <c r="A21" s="22" t="s">
        <v>3435</v>
      </c>
      <c r="B21" s="22" t="s">
        <v>5690</v>
      </c>
      <c r="C21" s="22" t="s">
        <v>5691</v>
      </c>
      <c r="D21" s="22" t="s">
        <v>5692</v>
      </c>
      <c r="E21" s="22" t="s">
        <v>5693</v>
      </c>
      <c r="F21" s="22" t="s">
        <v>5694</v>
      </c>
      <c r="H21" s="22">
        <v>20</v>
      </c>
      <c r="I21" s="22" t="s">
        <v>2362</v>
      </c>
      <c r="J21" s="22">
        <v>0.78</v>
      </c>
      <c r="K21" s="22">
        <v>0.85</v>
      </c>
      <c r="L21" s="22" t="s">
        <v>2908</v>
      </c>
      <c r="M21" s="22">
        <v>0.82</v>
      </c>
      <c r="N21" s="22">
        <v>0.27</v>
      </c>
      <c r="P21" s="37">
        <v>100</v>
      </c>
      <c r="Q21" s="37">
        <v>100</v>
      </c>
      <c r="R21" s="37">
        <v>100</v>
      </c>
      <c r="S21" s="37">
        <v>100</v>
      </c>
      <c r="T21" s="37">
        <v>100</v>
      </c>
      <c r="V21">
        <f t="shared" si="1"/>
        <v>78</v>
      </c>
      <c r="W21">
        <f t="shared" si="2"/>
        <v>85</v>
      </c>
      <c r="X21" t="e">
        <f t="shared" si="3"/>
        <v>#VALUE!</v>
      </c>
      <c r="Y21">
        <f t="shared" si="4"/>
        <v>82</v>
      </c>
      <c r="Z21">
        <f t="shared" si="5"/>
        <v>27</v>
      </c>
    </row>
    <row r="22" spans="1:26" ht="28.2" thickBot="1" x14ac:dyDescent="0.3">
      <c r="A22" s="22" t="s">
        <v>3519</v>
      </c>
      <c r="B22" s="22" t="s">
        <v>5695</v>
      </c>
      <c r="C22" s="22" t="s">
        <v>5696</v>
      </c>
      <c r="D22" s="22" t="s">
        <v>5697</v>
      </c>
      <c r="E22" s="22" t="s">
        <v>5698</v>
      </c>
      <c r="F22" s="22" t="s">
        <v>5699</v>
      </c>
      <c r="H22" s="22">
        <v>21</v>
      </c>
      <c r="I22" s="22" t="s">
        <v>2025</v>
      </c>
      <c r="J22" s="22">
        <v>18.25</v>
      </c>
      <c r="K22" s="22">
        <v>18.48</v>
      </c>
      <c r="L22" s="22">
        <v>14.85</v>
      </c>
      <c r="M22" s="22">
        <v>14.22</v>
      </c>
      <c r="N22" s="22">
        <v>7.71</v>
      </c>
      <c r="P22" s="37">
        <v>100</v>
      </c>
      <c r="Q22" s="37">
        <v>100</v>
      </c>
      <c r="R22" s="37">
        <v>100</v>
      </c>
      <c r="S22" s="37">
        <v>100</v>
      </c>
      <c r="T22" s="37">
        <v>100</v>
      </c>
      <c r="V22">
        <f t="shared" si="1"/>
        <v>1825</v>
      </c>
      <c r="W22">
        <f t="shared" si="2"/>
        <v>1848</v>
      </c>
      <c r="X22">
        <f t="shared" si="3"/>
        <v>1485</v>
      </c>
      <c r="Y22">
        <f t="shared" si="4"/>
        <v>1422</v>
      </c>
      <c r="Z22">
        <f t="shared" si="5"/>
        <v>771</v>
      </c>
    </row>
    <row r="23" spans="1:26" ht="28.2" thickBot="1" x14ac:dyDescent="0.3">
      <c r="A23" s="22" t="s">
        <v>5700</v>
      </c>
      <c r="B23" s="22" t="s">
        <v>5701</v>
      </c>
      <c r="C23" s="22" t="s">
        <v>5702</v>
      </c>
      <c r="D23" s="22" t="s">
        <v>5703</v>
      </c>
      <c r="E23" s="22" t="s">
        <v>5704</v>
      </c>
      <c r="F23" s="22" t="s">
        <v>5705</v>
      </c>
      <c r="H23" s="22">
        <v>22</v>
      </c>
      <c r="I23" s="22" t="s">
        <v>2916</v>
      </c>
      <c r="J23" s="22">
        <v>27.7</v>
      </c>
      <c r="K23" s="22">
        <v>29.45</v>
      </c>
      <c r="L23" s="22">
        <v>27.06</v>
      </c>
      <c r="M23" s="22">
        <v>30.55</v>
      </c>
      <c r="N23" s="22">
        <v>27.21</v>
      </c>
      <c r="P23" s="37">
        <v>100</v>
      </c>
      <c r="Q23" s="37">
        <v>100</v>
      </c>
      <c r="R23" s="37">
        <v>100</v>
      </c>
      <c r="S23" s="37">
        <v>100</v>
      </c>
      <c r="T23" s="37">
        <v>100</v>
      </c>
      <c r="V23">
        <f t="shared" si="1"/>
        <v>2770</v>
      </c>
      <c r="W23">
        <f t="shared" si="2"/>
        <v>2945</v>
      </c>
      <c r="X23">
        <f t="shared" si="3"/>
        <v>2706</v>
      </c>
      <c r="Y23">
        <f t="shared" si="4"/>
        <v>3055</v>
      </c>
      <c r="Z23">
        <f t="shared" si="5"/>
        <v>2721</v>
      </c>
    </row>
    <row r="24" spans="1:26" ht="42" thickBot="1" x14ac:dyDescent="0.3">
      <c r="A24" s="22" t="s">
        <v>2958</v>
      </c>
      <c r="B24" s="22" t="s">
        <v>5671</v>
      </c>
      <c r="C24" s="22" t="s">
        <v>5706</v>
      </c>
      <c r="D24" s="22" t="s">
        <v>5707</v>
      </c>
      <c r="E24" s="22" t="s">
        <v>5671</v>
      </c>
      <c r="F24" s="22" t="s">
        <v>5708</v>
      </c>
      <c r="H24" s="22">
        <v>23</v>
      </c>
      <c r="I24" s="22" t="s">
        <v>2917</v>
      </c>
      <c r="J24" s="22">
        <v>42.93</v>
      </c>
      <c r="K24" s="22">
        <v>27.86</v>
      </c>
      <c r="L24" s="22">
        <v>27.46</v>
      </c>
      <c r="M24" s="22">
        <v>21.11</v>
      </c>
      <c r="N24" s="22">
        <v>35.72</v>
      </c>
      <c r="P24" s="37">
        <v>100</v>
      </c>
      <c r="Q24" s="37">
        <v>100</v>
      </c>
      <c r="R24" s="37">
        <v>100</v>
      </c>
      <c r="S24" s="37">
        <v>100</v>
      </c>
      <c r="T24" s="37">
        <v>100</v>
      </c>
      <c r="V24">
        <f t="shared" si="1"/>
        <v>4293</v>
      </c>
      <c r="W24">
        <f t="shared" si="2"/>
        <v>2786</v>
      </c>
      <c r="X24">
        <f t="shared" si="3"/>
        <v>2746</v>
      </c>
      <c r="Y24">
        <f t="shared" si="4"/>
        <v>2111</v>
      </c>
      <c r="Z24">
        <f t="shared" si="5"/>
        <v>3572</v>
      </c>
    </row>
    <row r="25" spans="1:26" ht="28.2" thickBot="1" x14ac:dyDescent="0.3">
      <c r="A25" s="22" t="s">
        <v>2187</v>
      </c>
      <c r="B25" s="22" t="s">
        <v>5709</v>
      </c>
      <c r="C25" s="22" t="s">
        <v>5710</v>
      </c>
      <c r="D25" s="22" t="s">
        <v>5711</v>
      </c>
      <c r="E25" s="22" t="s">
        <v>5712</v>
      </c>
      <c r="F25" s="22" t="s">
        <v>5713</v>
      </c>
      <c r="H25" s="22">
        <v>24</v>
      </c>
      <c r="I25" s="22" t="s">
        <v>2918</v>
      </c>
      <c r="J25" s="22" t="s">
        <v>2908</v>
      </c>
      <c r="K25" s="22" t="s">
        <v>2908</v>
      </c>
      <c r="L25" s="22" t="s">
        <v>2908</v>
      </c>
      <c r="M25" s="22" t="s">
        <v>2908</v>
      </c>
      <c r="N25" s="22" t="s">
        <v>2908</v>
      </c>
      <c r="P25" s="37">
        <v>100</v>
      </c>
      <c r="Q25" s="37">
        <v>100</v>
      </c>
      <c r="R25" s="37">
        <v>100</v>
      </c>
      <c r="S25" s="37">
        <v>100</v>
      </c>
      <c r="T25" s="37">
        <v>100</v>
      </c>
      <c r="V25" t="e">
        <f t="shared" si="1"/>
        <v>#VALUE!</v>
      </c>
      <c r="W25" t="e">
        <f t="shared" si="2"/>
        <v>#VALUE!</v>
      </c>
      <c r="X25" t="e">
        <f t="shared" si="3"/>
        <v>#VALUE!</v>
      </c>
      <c r="Y25" t="e">
        <f t="shared" si="4"/>
        <v>#VALUE!</v>
      </c>
      <c r="Z25" t="e">
        <f t="shared" si="5"/>
        <v>#VALUE!</v>
      </c>
    </row>
    <row r="26" spans="1:26" ht="28.2" thickBot="1" x14ac:dyDescent="0.3">
      <c r="A26" s="22" t="s">
        <v>3420</v>
      </c>
      <c r="B26" s="22" t="s">
        <v>5671</v>
      </c>
      <c r="C26" s="22" t="s">
        <v>5714</v>
      </c>
      <c r="D26" s="22" t="s">
        <v>5671</v>
      </c>
      <c r="E26" s="22" t="s">
        <v>5715</v>
      </c>
      <c r="F26" s="22" t="s">
        <v>5716</v>
      </c>
      <c r="H26" s="22">
        <v>25</v>
      </c>
      <c r="I26" s="22" t="s">
        <v>2179</v>
      </c>
      <c r="J26" s="22">
        <v>2.11</v>
      </c>
      <c r="K26" s="22">
        <v>2.17</v>
      </c>
      <c r="L26" s="22">
        <v>2.23</v>
      </c>
      <c r="M26" s="22">
        <v>2.58</v>
      </c>
      <c r="N26" s="22">
        <v>2.72</v>
      </c>
      <c r="P26" s="37">
        <v>100</v>
      </c>
      <c r="Q26" s="37">
        <v>100</v>
      </c>
      <c r="R26" s="37">
        <v>100</v>
      </c>
      <c r="S26" s="37">
        <v>100</v>
      </c>
      <c r="T26" s="37">
        <v>100</v>
      </c>
      <c r="V26">
        <f t="shared" si="1"/>
        <v>211</v>
      </c>
      <c r="W26">
        <f t="shared" si="2"/>
        <v>217</v>
      </c>
      <c r="X26">
        <f t="shared" si="3"/>
        <v>223</v>
      </c>
      <c r="Y26">
        <f t="shared" si="4"/>
        <v>258</v>
      </c>
      <c r="Z26">
        <f t="shared" si="5"/>
        <v>272</v>
      </c>
    </row>
    <row r="27" spans="1:26" ht="28.2" thickBot="1" x14ac:dyDescent="0.3">
      <c r="A27" s="22" t="s">
        <v>5717</v>
      </c>
      <c r="B27" s="22" t="s">
        <v>5718</v>
      </c>
      <c r="C27" s="22" t="s">
        <v>5719</v>
      </c>
      <c r="D27" s="22" t="s">
        <v>5720</v>
      </c>
      <c r="E27" s="22" t="s">
        <v>5721</v>
      </c>
      <c r="F27" s="22" t="s">
        <v>5722</v>
      </c>
      <c r="H27" s="22">
        <v>26</v>
      </c>
      <c r="I27" s="22" t="s">
        <v>2358</v>
      </c>
      <c r="J27" s="22">
        <v>3.06</v>
      </c>
      <c r="K27" s="22">
        <v>3.05</v>
      </c>
      <c r="L27" s="22">
        <v>2.69</v>
      </c>
      <c r="M27" s="22">
        <v>3.87</v>
      </c>
      <c r="N27" s="22">
        <v>1.76</v>
      </c>
      <c r="P27" s="37">
        <v>100</v>
      </c>
      <c r="Q27" s="37">
        <v>100</v>
      </c>
      <c r="R27" s="37">
        <v>100</v>
      </c>
      <c r="S27" s="37">
        <v>100</v>
      </c>
      <c r="T27" s="37">
        <v>100</v>
      </c>
      <c r="V27">
        <f t="shared" si="1"/>
        <v>306</v>
      </c>
      <c r="W27">
        <f t="shared" si="2"/>
        <v>305</v>
      </c>
      <c r="X27">
        <f t="shared" si="3"/>
        <v>269</v>
      </c>
      <c r="Y27">
        <f t="shared" si="4"/>
        <v>387</v>
      </c>
      <c r="Z27">
        <f t="shared" si="5"/>
        <v>176</v>
      </c>
    </row>
    <row r="28" spans="1:26" ht="42" thickBot="1" x14ac:dyDescent="0.3">
      <c r="A28" s="22" t="s">
        <v>5723</v>
      </c>
      <c r="B28" s="22" t="s">
        <v>5671</v>
      </c>
      <c r="C28" s="22" t="s">
        <v>5671</v>
      </c>
      <c r="D28" s="22" t="s">
        <v>5671</v>
      </c>
      <c r="E28" s="22" t="s">
        <v>5671</v>
      </c>
      <c r="F28" s="22" t="s">
        <v>5724</v>
      </c>
      <c r="H28" s="22">
        <v>27</v>
      </c>
      <c r="I28" s="22" t="s">
        <v>2359</v>
      </c>
      <c r="J28" s="22">
        <v>5.69</v>
      </c>
      <c r="K28" s="22">
        <v>5.8</v>
      </c>
      <c r="L28" s="22">
        <v>3.11</v>
      </c>
      <c r="M28" s="22">
        <v>6.7</v>
      </c>
      <c r="N28" s="22">
        <v>5.4</v>
      </c>
      <c r="P28" s="37">
        <v>100</v>
      </c>
      <c r="Q28" s="37">
        <v>100</v>
      </c>
      <c r="R28" s="37">
        <v>100</v>
      </c>
      <c r="S28" s="37">
        <v>100</v>
      </c>
      <c r="T28" s="37">
        <v>100</v>
      </c>
      <c r="V28">
        <f t="shared" si="1"/>
        <v>569</v>
      </c>
      <c r="W28">
        <f t="shared" si="2"/>
        <v>580</v>
      </c>
      <c r="X28">
        <f t="shared" si="3"/>
        <v>311</v>
      </c>
      <c r="Y28">
        <f t="shared" si="4"/>
        <v>670</v>
      </c>
      <c r="Z28">
        <f t="shared" si="5"/>
        <v>540</v>
      </c>
    </row>
    <row r="29" spans="1:26" ht="28.2" thickBot="1" x14ac:dyDescent="0.3">
      <c r="A29" s="22" t="s">
        <v>5725</v>
      </c>
      <c r="B29" s="22" t="s">
        <v>5726</v>
      </c>
      <c r="C29" s="22" t="s">
        <v>5727</v>
      </c>
      <c r="D29" s="22" t="s">
        <v>5728</v>
      </c>
      <c r="E29" s="22" t="s">
        <v>5729</v>
      </c>
      <c r="F29" s="22" t="s">
        <v>5730</v>
      </c>
      <c r="H29" s="22">
        <v>28</v>
      </c>
      <c r="I29" s="22" t="s">
        <v>2024</v>
      </c>
      <c r="J29" s="22">
        <v>31.78</v>
      </c>
      <c r="K29" s="22">
        <v>31.61</v>
      </c>
      <c r="L29" s="22">
        <v>36.799999999999997</v>
      </c>
      <c r="M29" s="22">
        <v>31.57</v>
      </c>
      <c r="N29" s="22">
        <v>38.380000000000003</v>
      </c>
      <c r="P29" s="37">
        <v>100</v>
      </c>
      <c r="Q29" s="37">
        <v>100</v>
      </c>
      <c r="R29" s="37">
        <v>100</v>
      </c>
      <c r="S29" s="37">
        <v>100</v>
      </c>
      <c r="T29" s="37">
        <v>100</v>
      </c>
      <c r="V29">
        <f t="shared" si="1"/>
        <v>3178</v>
      </c>
      <c r="W29">
        <f t="shared" si="2"/>
        <v>3161</v>
      </c>
      <c r="X29">
        <f t="shared" si="3"/>
        <v>3679.9999999999995</v>
      </c>
      <c r="Y29">
        <f t="shared" si="4"/>
        <v>3157</v>
      </c>
      <c r="Z29">
        <f t="shared" si="5"/>
        <v>3838.0000000000005</v>
      </c>
    </row>
    <row r="30" spans="1:26" ht="42" thickBot="1" x14ac:dyDescent="0.3">
      <c r="A30" s="22" t="s">
        <v>2365</v>
      </c>
      <c r="B30" s="22" t="s">
        <v>5731</v>
      </c>
      <c r="C30" s="22" t="s">
        <v>5732</v>
      </c>
      <c r="D30" s="22" t="s">
        <v>5733</v>
      </c>
      <c r="E30" s="22" t="s">
        <v>5734</v>
      </c>
      <c r="F30" s="22" t="s">
        <v>5735</v>
      </c>
      <c r="H30" s="22">
        <v>29</v>
      </c>
      <c r="I30" s="22" t="s">
        <v>6109</v>
      </c>
      <c r="J30" s="22">
        <v>0.23</v>
      </c>
      <c r="K30" s="22">
        <v>0.16</v>
      </c>
      <c r="L30" s="22">
        <v>0.2</v>
      </c>
      <c r="M30" s="22">
        <v>0.12</v>
      </c>
      <c r="N30" s="22">
        <v>0.05</v>
      </c>
      <c r="P30" s="37">
        <v>100</v>
      </c>
      <c r="Q30" s="37">
        <v>100</v>
      </c>
      <c r="R30" s="37">
        <v>100</v>
      </c>
      <c r="S30" s="37">
        <v>100</v>
      </c>
      <c r="T30" s="37">
        <v>100</v>
      </c>
      <c r="V30">
        <f t="shared" si="1"/>
        <v>23</v>
      </c>
      <c r="W30">
        <f t="shared" si="2"/>
        <v>16</v>
      </c>
      <c r="X30">
        <f t="shared" si="3"/>
        <v>20</v>
      </c>
      <c r="Y30">
        <f t="shared" si="4"/>
        <v>12</v>
      </c>
      <c r="Z30">
        <f t="shared" si="5"/>
        <v>5</v>
      </c>
    </row>
    <row r="31" spans="1:26" ht="28.2" thickBot="1" x14ac:dyDescent="0.3">
      <c r="A31" s="22" t="s">
        <v>4869</v>
      </c>
      <c r="B31" s="22" t="s">
        <v>5671</v>
      </c>
      <c r="C31" s="22" t="s">
        <v>5736</v>
      </c>
      <c r="D31" s="22" t="s">
        <v>5737</v>
      </c>
      <c r="E31" s="22" t="s">
        <v>5671</v>
      </c>
      <c r="F31" s="22" t="s">
        <v>5738</v>
      </c>
      <c r="H31" s="22">
        <v>30</v>
      </c>
      <c r="I31" s="22" t="s">
        <v>2021</v>
      </c>
      <c r="J31" s="22">
        <v>0.75</v>
      </c>
      <c r="K31" s="22">
        <v>1.04</v>
      </c>
      <c r="L31" s="22">
        <v>1.06</v>
      </c>
      <c r="M31" s="22">
        <v>0.65</v>
      </c>
      <c r="N31" s="22">
        <v>0.9</v>
      </c>
      <c r="P31" s="37">
        <v>100</v>
      </c>
      <c r="Q31" s="37">
        <v>100</v>
      </c>
      <c r="R31" s="37">
        <v>100</v>
      </c>
      <c r="S31" s="37">
        <v>100</v>
      </c>
      <c r="T31" s="37">
        <v>100</v>
      </c>
      <c r="V31">
        <f t="shared" si="1"/>
        <v>75</v>
      </c>
      <c r="W31">
        <f t="shared" si="2"/>
        <v>104</v>
      </c>
      <c r="X31">
        <f t="shared" si="3"/>
        <v>106</v>
      </c>
      <c r="Y31">
        <f t="shared" si="4"/>
        <v>65</v>
      </c>
      <c r="Z31">
        <f t="shared" si="5"/>
        <v>90</v>
      </c>
    </row>
    <row r="32" spans="1:26" ht="28.2" thickBot="1" x14ac:dyDescent="0.3">
      <c r="A32" s="22" t="s">
        <v>5739</v>
      </c>
      <c r="B32" s="22" t="s">
        <v>5740</v>
      </c>
      <c r="C32" s="22" t="s">
        <v>5741</v>
      </c>
      <c r="D32" s="22" t="s">
        <v>5742</v>
      </c>
      <c r="E32" s="22" t="s">
        <v>5743</v>
      </c>
      <c r="F32" s="22" t="s">
        <v>5744</v>
      </c>
      <c r="H32" s="22">
        <v>31</v>
      </c>
      <c r="I32" s="22" t="s">
        <v>2174</v>
      </c>
      <c r="J32" s="22">
        <v>3.73</v>
      </c>
      <c r="K32" s="22">
        <v>3.91</v>
      </c>
      <c r="L32" s="22">
        <v>6.07</v>
      </c>
      <c r="M32" s="22">
        <v>6.79</v>
      </c>
      <c r="N32" s="22">
        <v>12.8</v>
      </c>
      <c r="P32" s="37">
        <v>100</v>
      </c>
      <c r="Q32" s="37">
        <v>100</v>
      </c>
      <c r="R32" s="37">
        <v>100</v>
      </c>
      <c r="S32" s="37">
        <v>100</v>
      </c>
      <c r="T32" s="37">
        <v>100</v>
      </c>
      <c r="V32">
        <f t="shared" si="1"/>
        <v>373</v>
      </c>
      <c r="W32">
        <f t="shared" si="2"/>
        <v>391</v>
      </c>
      <c r="X32">
        <f t="shared" si="3"/>
        <v>607</v>
      </c>
      <c r="Y32">
        <f t="shared" si="4"/>
        <v>679</v>
      </c>
      <c r="Z32">
        <f t="shared" si="5"/>
        <v>1280</v>
      </c>
    </row>
    <row r="33" spans="1:26" ht="28.2" thickBot="1" x14ac:dyDescent="0.3">
      <c r="A33" s="22" t="s">
        <v>3400</v>
      </c>
      <c r="B33" s="22" t="s">
        <v>5745</v>
      </c>
      <c r="C33" s="22" t="s">
        <v>5746</v>
      </c>
      <c r="D33" s="22" t="s">
        <v>5747</v>
      </c>
      <c r="E33" s="22" t="s">
        <v>5748</v>
      </c>
      <c r="F33" s="22" t="s">
        <v>5749</v>
      </c>
      <c r="H33" s="22">
        <v>32</v>
      </c>
      <c r="I33" s="22" t="s">
        <v>2180</v>
      </c>
      <c r="J33" s="22">
        <v>1.25</v>
      </c>
      <c r="K33" s="22">
        <v>1.08</v>
      </c>
      <c r="L33" s="22">
        <v>2.0099999999999998</v>
      </c>
      <c r="M33" s="22">
        <v>1.37</v>
      </c>
      <c r="N33" s="22">
        <v>2.35</v>
      </c>
      <c r="P33" s="37">
        <v>100</v>
      </c>
      <c r="Q33" s="37">
        <v>100</v>
      </c>
      <c r="R33" s="37">
        <v>100</v>
      </c>
      <c r="S33" s="37">
        <v>100</v>
      </c>
      <c r="T33" s="37">
        <v>100</v>
      </c>
      <c r="V33">
        <f t="shared" si="1"/>
        <v>125</v>
      </c>
      <c r="W33">
        <f t="shared" si="2"/>
        <v>108</v>
      </c>
      <c r="X33">
        <f t="shared" si="3"/>
        <v>200.99999999999997</v>
      </c>
      <c r="Y33">
        <f t="shared" si="4"/>
        <v>137</v>
      </c>
      <c r="Z33">
        <f t="shared" si="5"/>
        <v>235</v>
      </c>
    </row>
    <row r="34" spans="1:26" ht="28.2" thickBot="1" x14ac:dyDescent="0.3">
      <c r="A34" s="22" t="s">
        <v>5750</v>
      </c>
      <c r="B34" s="22" t="s">
        <v>5751</v>
      </c>
      <c r="C34" s="22" t="s">
        <v>5752</v>
      </c>
      <c r="D34" s="22" t="s">
        <v>5753</v>
      </c>
      <c r="E34" s="22" t="s">
        <v>5754</v>
      </c>
      <c r="F34" s="22" t="s">
        <v>5755</v>
      </c>
      <c r="H34" s="22">
        <v>33</v>
      </c>
      <c r="I34" s="22" t="s">
        <v>2020</v>
      </c>
      <c r="J34" s="22">
        <v>4.43</v>
      </c>
      <c r="K34" s="22">
        <v>3.04</v>
      </c>
      <c r="L34" s="22">
        <v>2.56</v>
      </c>
      <c r="M34" s="22">
        <v>2.82</v>
      </c>
      <c r="N34" s="22">
        <v>2.4500000000000002</v>
      </c>
      <c r="P34" s="37">
        <v>100</v>
      </c>
      <c r="Q34" s="37">
        <v>100</v>
      </c>
      <c r="R34" s="37">
        <v>100</v>
      </c>
      <c r="S34" s="37">
        <v>100</v>
      </c>
      <c r="T34" s="37">
        <v>100</v>
      </c>
      <c r="V34">
        <f t="shared" si="1"/>
        <v>443</v>
      </c>
      <c r="W34">
        <f t="shared" si="2"/>
        <v>304</v>
      </c>
      <c r="X34">
        <f t="shared" si="3"/>
        <v>256</v>
      </c>
      <c r="Y34">
        <f t="shared" si="4"/>
        <v>282</v>
      </c>
      <c r="Z34">
        <f t="shared" si="5"/>
        <v>245.00000000000003</v>
      </c>
    </row>
    <row r="35" spans="1:26" ht="28.2" thickBot="1" x14ac:dyDescent="0.3">
      <c r="A35" s="22" t="s">
        <v>2915</v>
      </c>
      <c r="B35" s="22" t="s">
        <v>5756</v>
      </c>
      <c r="C35" s="22" t="s">
        <v>5757</v>
      </c>
      <c r="D35" s="22" t="s">
        <v>5758</v>
      </c>
      <c r="E35" s="22" t="s">
        <v>5759</v>
      </c>
      <c r="F35" s="22" t="s">
        <v>5760</v>
      </c>
      <c r="H35" s="22">
        <v>34</v>
      </c>
      <c r="I35" s="22" t="s">
        <v>3444</v>
      </c>
      <c r="J35" s="22">
        <v>1.61</v>
      </c>
      <c r="K35" s="22">
        <v>2.62</v>
      </c>
      <c r="L35" s="22">
        <v>1.54</v>
      </c>
      <c r="M35" s="22">
        <v>1.53</v>
      </c>
      <c r="N35" s="22">
        <v>0.79</v>
      </c>
      <c r="P35" s="37">
        <v>100</v>
      </c>
      <c r="Q35" s="37">
        <v>100</v>
      </c>
      <c r="R35" s="37">
        <v>100</v>
      </c>
      <c r="S35" s="37">
        <v>100</v>
      </c>
      <c r="T35" s="37">
        <v>100</v>
      </c>
      <c r="V35">
        <f t="shared" si="1"/>
        <v>161</v>
      </c>
      <c r="W35">
        <f t="shared" si="2"/>
        <v>262</v>
      </c>
      <c r="X35">
        <f t="shared" si="3"/>
        <v>154</v>
      </c>
      <c r="Y35">
        <f t="shared" si="4"/>
        <v>153</v>
      </c>
      <c r="Z35">
        <f t="shared" si="5"/>
        <v>79</v>
      </c>
    </row>
    <row r="36" spans="1:26" ht="28.2" thickBot="1" x14ac:dyDescent="0.3">
      <c r="A36" s="22" t="s">
        <v>2393</v>
      </c>
      <c r="B36" s="22" t="s">
        <v>5671</v>
      </c>
      <c r="C36" s="22" t="s">
        <v>5671</v>
      </c>
      <c r="D36" s="22" t="s">
        <v>5671</v>
      </c>
      <c r="E36" s="22" t="s">
        <v>5671</v>
      </c>
      <c r="F36" s="22" t="s">
        <v>5761</v>
      </c>
      <c r="H36" s="22">
        <v>35</v>
      </c>
      <c r="I36" s="22" t="s">
        <v>2175</v>
      </c>
      <c r="J36" s="22" t="s">
        <v>2908</v>
      </c>
      <c r="K36" s="22" t="s">
        <v>2908</v>
      </c>
      <c r="L36" s="22" t="s">
        <v>2908</v>
      </c>
      <c r="M36" s="22" t="s">
        <v>2908</v>
      </c>
      <c r="N36" s="22" t="s">
        <v>2908</v>
      </c>
      <c r="P36" s="37">
        <v>100</v>
      </c>
      <c r="Q36" s="37">
        <v>100</v>
      </c>
      <c r="R36" s="37">
        <v>100</v>
      </c>
      <c r="S36" s="37">
        <v>100</v>
      </c>
      <c r="T36" s="37">
        <v>100</v>
      </c>
      <c r="V36" t="e">
        <f t="shared" si="1"/>
        <v>#VALUE!</v>
      </c>
      <c r="W36" t="e">
        <f t="shared" si="2"/>
        <v>#VALUE!</v>
      </c>
      <c r="X36" t="e">
        <f t="shared" si="3"/>
        <v>#VALUE!</v>
      </c>
      <c r="Y36" t="e">
        <f t="shared" si="4"/>
        <v>#VALUE!</v>
      </c>
      <c r="Z36" t="e">
        <f t="shared" si="5"/>
        <v>#VALUE!</v>
      </c>
    </row>
    <row r="37" spans="1:26" ht="28.2" thickBot="1" x14ac:dyDescent="0.3">
      <c r="A37" s="22" t="s">
        <v>5762</v>
      </c>
      <c r="B37" s="22" t="s">
        <v>5671</v>
      </c>
      <c r="C37" s="22" t="s">
        <v>5671</v>
      </c>
      <c r="D37" s="22" t="s">
        <v>5671</v>
      </c>
      <c r="E37" s="22" t="s">
        <v>5763</v>
      </c>
      <c r="F37" s="22" t="s">
        <v>5764</v>
      </c>
      <c r="H37" s="22">
        <v>36</v>
      </c>
      <c r="I37" s="22" t="s">
        <v>2026</v>
      </c>
      <c r="J37" s="22" t="s">
        <v>2908</v>
      </c>
      <c r="K37" s="22" t="s">
        <v>2908</v>
      </c>
      <c r="L37" s="22">
        <v>0.63</v>
      </c>
      <c r="M37" s="22">
        <v>0.88</v>
      </c>
      <c r="N37" s="22">
        <v>0.85</v>
      </c>
      <c r="P37" s="37">
        <v>100</v>
      </c>
      <c r="Q37" s="37">
        <v>100</v>
      </c>
      <c r="R37" s="37">
        <v>100</v>
      </c>
      <c r="S37" s="37">
        <v>100</v>
      </c>
      <c r="T37" s="37">
        <v>100</v>
      </c>
      <c r="V37" t="e">
        <f t="shared" si="1"/>
        <v>#VALUE!</v>
      </c>
      <c r="W37" t="e">
        <f t="shared" si="2"/>
        <v>#VALUE!</v>
      </c>
      <c r="X37">
        <f t="shared" si="3"/>
        <v>63</v>
      </c>
      <c r="Y37">
        <f t="shared" si="4"/>
        <v>88</v>
      </c>
      <c r="Z37">
        <f t="shared" si="5"/>
        <v>85</v>
      </c>
    </row>
    <row r="38" spans="1:26" ht="28.2" thickBot="1" x14ac:dyDescent="0.3">
      <c r="A38" s="22" t="s">
        <v>2162</v>
      </c>
      <c r="B38" s="22" t="s">
        <v>5765</v>
      </c>
      <c r="C38" s="22" t="s">
        <v>5766</v>
      </c>
      <c r="D38" s="22" t="s">
        <v>5767</v>
      </c>
      <c r="E38" s="22" t="s">
        <v>5765</v>
      </c>
      <c r="F38" s="22" t="s">
        <v>5768</v>
      </c>
      <c r="H38" s="22">
        <v>37</v>
      </c>
      <c r="I38" s="22" t="s">
        <v>2920</v>
      </c>
      <c r="J38" s="22" t="s">
        <v>2908</v>
      </c>
      <c r="K38" s="22" t="s">
        <v>2908</v>
      </c>
      <c r="L38" s="22" t="s">
        <v>2908</v>
      </c>
      <c r="M38" s="22" t="s">
        <v>2908</v>
      </c>
      <c r="N38" s="22">
        <v>1.1499999999999999</v>
      </c>
      <c r="P38" s="37">
        <v>100</v>
      </c>
      <c r="Q38" s="37">
        <v>100</v>
      </c>
      <c r="R38" s="37">
        <v>100</v>
      </c>
      <c r="S38" s="37">
        <v>100</v>
      </c>
      <c r="T38" s="37">
        <v>100</v>
      </c>
      <c r="V38" t="e">
        <f t="shared" si="1"/>
        <v>#VALUE!</v>
      </c>
      <c r="W38" t="e">
        <f t="shared" si="2"/>
        <v>#VALUE!</v>
      </c>
      <c r="X38" t="e">
        <f t="shared" si="3"/>
        <v>#VALUE!</v>
      </c>
      <c r="Y38" t="e">
        <f t="shared" si="4"/>
        <v>#VALUE!</v>
      </c>
      <c r="Z38">
        <f t="shared" si="5"/>
        <v>114.99999999999999</v>
      </c>
    </row>
    <row r="39" spans="1:26" ht="28.2" thickBot="1" x14ac:dyDescent="0.3">
      <c r="A39" s="22" t="s">
        <v>5769</v>
      </c>
      <c r="B39" s="22" t="s">
        <v>5770</v>
      </c>
      <c r="C39" s="22" t="s">
        <v>5671</v>
      </c>
      <c r="D39" s="22" t="s">
        <v>5671</v>
      </c>
      <c r="E39" s="22" t="s">
        <v>5671</v>
      </c>
      <c r="F39" s="22" t="s">
        <v>5771</v>
      </c>
      <c r="H39" s="22">
        <v>38</v>
      </c>
      <c r="I39" s="22" t="s">
        <v>2320</v>
      </c>
      <c r="J39" s="22">
        <v>0.35</v>
      </c>
      <c r="K39" s="22">
        <v>0.3</v>
      </c>
      <c r="L39" s="22">
        <v>0.33</v>
      </c>
      <c r="M39" s="22">
        <v>0.3</v>
      </c>
      <c r="N39" s="22">
        <v>0.11</v>
      </c>
      <c r="P39" s="37">
        <v>100</v>
      </c>
      <c r="Q39" s="37">
        <v>100</v>
      </c>
      <c r="R39" s="37">
        <v>100</v>
      </c>
      <c r="S39" s="37">
        <v>100</v>
      </c>
      <c r="T39" s="37">
        <v>100</v>
      </c>
      <c r="V39">
        <f t="shared" si="1"/>
        <v>35</v>
      </c>
      <c r="W39">
        <f t="shared" si="2"/>
        <v>30</v>
      </c>
      <c r="X39">
        <f t="shared" si="3"/>
        <v>33</v>
      </c>
      <c r="Y39">
        <f t="shared" si="4"/>
        <v>30</v>
      </c>
      <c r="Z39">
        <f t="shared" si="5"/>
        <v>11</v>
      </c>
    </row>
    <row r="40" spans="1:26" ht="28.2" thickBot="1" x14ac:dyDescent="0.3">
      <c r="A40" s="22" t="s">
        <v>3406</v>
      </c>
      <c r="B40" s="22" t="s">
        <v>5772</v>
      </c>
      <c r="C40" s="22" t="s">
        <v>5773</v>
      </c>
      <c r="D40" s="22" t="s">
        <v>5774</v>
      </c>
      <c r="E40" s="22" t="s">
        <v>5775</v>
      </c>
      <c r="F40" s="22" t="s">
        <v>5776</v>
      </c>
      <c r="H40" s="22">
        <v>39</v>
      </c>
      <c r="I40" s="22" t="s">
        <v>2857</v>
      </c>
      <c r="J40" s="22">
        <v>2.64</v>
      </c>
      <c r="K40" s="22">
        <v>2.85</v>
      </c>
      <c r="L40" s="22">
        <v>2.25</v>
      </c>
      <c r="M40" s="22">
        <v>1.77</v>
      </c>
      <c r="N40" s="22">
        <v>2.68</v>
      </c>
      <c r="P40" s="37">
        <v>100</v>
      </c>
      <c r="Q40" s="37">
        <v>100</v>
      </c>
      <c r="R40" s="37">
        <v>100</v>
      </c>
      <c r="S40" s="37">
        <v>100</v>
      </c>
      <c r="T40" s="37">
        <v>100</v>
      </c>
      <c r="V40">
        <f t="shared" si="1"/>
        <v>264</v>
      </c>
      <c r="W40">
        <f t="shared" si="2"/>
        <v>285</v>
      </c>
      <c r="X40">
        <f t="shared" si="3"/>
        <v>225</v>
      </c>
      <c r="Y40">
        <f t="shared" si="4"/>
        <v>177</v>
      </c>
      <c r="Z40">
        <f t="shared" si="5"/>
        <v>268</v>
      </c>
    </row>
    <row r="41" spans="1:26" ht="42" thickBot="1" x14ac:dyDescent="0.3">
      <c r="A41" s="22" t="s">
        <v>4067</v>
      </c>
      <c r="B41" s="22" t="s">
        <v>5671</v>
      </c>
      <c r="C41" s="22" t="s">
        <v>5671</v>
      </c>
      <c r="D41" s="22" t="s">
        <v>5671</v>
      </c>
      <c r="E41" s="22" t="s">
        <v>5671</v>
      </c>
      <c r="F41" s="22" t="s">
        <v>5777</v>
      </c>
      <c r="H41" s="22">
        <v>40</v>
      </c>
      <c r="I41" s="22" t="s">
        <v>6110</v>
      </c>
      <c r="J41" s="22">
        <v>2.44</v>
      </c>
      <c r="K41" s="22">
        <v>3.41</v>
      </c>
      <c r="L41" s="22">
        <v>2.17</v>
      </c>
      <c r="M41" s="22">
        <v>1.43</v>
      </c>
      <c r="N41" s="22" t="s">
        <v>2908</v>
      </c>
      <c r="P41" s="37">
        <v>100</v>
      </c>
      <c r="Q41" s="37">
        <v>100</v>
      </c>
      <c r="R41" s="37">
        <v>100</v>
      </c>
      <c r="S41" s="37">
        <v>100</v>
      </c>
      <c r="T41" s="37">
        <v>100</v>
      </c>
      <c r="V41">
        <f t="shared" si="1"/>
        <v>244</v>
      </c>
      <c r="W41">
        <f t="shared" si="2"/>
        <v>341</v>
      </c>
      <c r="X41">
        <f t="shared" si="3"/>
        <v>217</v>
      </c>
      <c r="Y41">
        <f t="shared" si="4"/>
        <v>143</v>
      </c>
      <c r="Z41" t="e">
        <f t="shared" si="5"/>
        <v>#VALUE!</v>
      </c>
    </row>
    <row r="42" spans="1:26" ht="28.2" thickBot="1" x14ac:dyDescent="0.3">
      <c r="A42" s="22" t="s">
        <v>5778</v>
      </c>
      <c r="B42" s="22" t="s">
        <v>5779</v>
      </c>
      <c r="C42" s="22" t="s">
        <v>5780</v>
      </c>
      <c r="D42" s="22" t="s">
        <v>5671</v>
      </c>
      <c r="E42" s="22" t="s">
        <v>5781</v>
      </c>
      <c r="F42" s="22" t="s">
        <v>5782</v>
      </c>
      <c r="H42" s="22">
        <v>41</v>
      </c>
      <c r="I42" s="22" t="s">
        <v>2922</v>
      </c>
      <c r="J42" s="22" t="s">
        <v>2908</v>
      </c>
      <c r="K42" s="22" t="s">
        <v>2908</v>
      </c>
      <c r="L42" s="22" t="s">
        <v>2908</v>
      </c>
      <c r="M42" s="22" t="s">
        <v>2908</v>
      </c>
      <c r="N42" s="22" t="s">
        <v>2908</v>
      </c>
      <c r="P42" s="37">
        <v>100</v>
      </c>
      <c r="Q42" s="37">
        <v>100</v>
      </c>
      <c r="R42" s="37">
        <v>100</v>
      </c>
      <c r="S42" s="37">
        <v>100</v>
      </c>
      <c r="T42" s="37">
        <v>100</v>
      </c>
      <c r="V42" t="e">
        <f t="shared" si="1"/>
        <v>#VALUE!</v>
      </c>
      <c r="W42" t="e">
        <f t="shared" si="2"/>
        <v>#VALUE!</v>
      </c>
      <c r="X42" t="e">
        <f t="shared" si="3"/>
        <v>#VALUE!</v>
      </c>
      <c r="Y42" t="e">
        <f t="shared" si="4"/>
        <v>#VALUE!</v>
      </c>
      <c r="Z42" t="e">
        <f t="shared" si="5"/>
        <v>#VALUE!</v>
      </c>
    </row>
    <row r="43" spans="1:26" ht="28.2" thickBot="1" x14ac:dyDescent="0.3">
      <c r="A43" s="22" t="s">
        <v>3399</v>
      </c>
      <c r="B43" s="22" t="s">
        <v>5783</v>
      </c>
      <c r="C43" s="22" t="s">
        <v>5784</v>
      </c>
      <c r="D43" s="22" t="s">
        <v>5785</v>
      </c>
      <c r="E43" s="22" t="s">
        <v>5786</v>
      </c>
      <c r="F43" s="22" t="s">
        <v>5787</v>
      </c>
      <c r="H43" s="22">
        <v>42</v>
      </c>
      <c r="I43" s="22" t="s">
        <v>2341</v>
      </c>
      <c r="J43" s="22" t="s">
        <v>2908</v>
      </c>
      <c r="K43" s="22" t="s">
        <v>2908</v>
      </c>
      <c r="L43" s="22">
        <v>7.0000000000000007E-2</v>
      </c>
      <c r="M43" s="22" t="s">
        <v>2908</v>
      </c>
      <c r="N43" s="22" t="s">
        <v>2908</v>
      </c>
      <c r="P43" s="37">
        <v>100</v>
      </c>
      <c r="Q43" s="37">
        <v>100</v>
      </c>
      <c r="R43" s="37">
        <v>100</v>
      </c>
      <c r="S43" s="37">
        <v>100</v>
      </c>
      <c r="T43" s="37">
        <v>100</v>
      </c>
      <c r="V43" t="e">
        <f t="shared" si="1"/>
        <v>#VALUE!</v>
      </c>
      <c r="W43" t="e">
        <f t="shared" si="2"/>
        <v>#VALUE!</v>
      </c>
      <c r="X43">
        <f t="shared" si="3"/>
        <v>7.0000000000000009</v>
      </c>
      <c r="Y43" t="e">
        <f t="shared" si="4"/>
        <v>#VALUE!</v>
      </c>
      <c r="Z43" t="e">
        <f t="shared" si="5"/>
        <v>#VALUE!</v>
      </c>
    </row>
    <row r="44" spans="1:26" ht="28.2" thickBot="1" x14ac:dyDescent="0.3">
      <c r="A44" s="22" t="s">
        <v>2896</v>
      </c>
      <c r="B44" s="22" t="s">
        <v>5671</v>
      </c>
      <c r="C44" s="22" t="s">
        <v>5671</v>
      </c>
      <c r="D44" s="22" t="s">
        <v>5788</v>
      </c>
      <c r="E44" s="22" t="s">
        <v>5671</v>
      </c>
      <c r="F44" s="22" t="s">
        <v>5789</v>
      </c>
      <c r="H44" s="22">
        <v>43</v>
      </c>
      <c r="I44" s="22" t="s">
        <v>2161</v>
      </c>
      <c r="J44" s="22">
        <v>0.28999999999999998</v>
      </c>
      <c r="K44" s="22">
        <v>0.25</v>
      </c>
      <c r="L44" s="22">
        <v>0.24</v>
      </c>
      <c r="M44" s="22">
        <v>0.25</v>
      </c>
      <c r="N44" s="22">
        <v>0.18</v>
      </c>
      <c r="P44" s="37">
        <v>100</v>
      </c>
      <c r="Q44" s="37">
        <v>100</v>
      </c>
      <c r="R44" s="37">
        <v>100</v>
      </c>
      <c r="S44" s="37">
        <v>100</v>
      </c>
      <c r="T44" s="37">
        <v>100</v>
      </c>
      <c r="V44">
        <f t="shared" si="1"/>
        <v>28.999999999999996</v>
      </c>
      <c r="W44">
        <f t="shared" si="2"/>
        <v>25</v>
      </c>
      <c r="X44">
        <f t="shared" si="3"/>
        <v>24</v>
      </c>
      <c r="Y44">
        <f t="shared" si="4"/>
        <v>25</v>
      </c>
      <c r="Z44">
        <f t="shared" si="5"/>
        <v>18</v>
      </c>
    </row>
    <row r="45" spans="1:26" ht="55.8" thickBot="1" x14ac:dyDescent="0.3">
      <c r="A45" s="22" t="s">
        <v>5790</v>
      </c>
      <c r="B45" s="22" t="s">
        <v>5671</v>
      </c>
      <c r="C45" s="22" t="s">
        <v>5671</v>
      </c>
      <c r="D45" s="22" t="s">
        <v>5671</v>
      </c>
      <c r="E45" s="22" t="s">
        <v>5671</v>
      </c>
      <c r="F45" s="22" t="s">
        <v>5791</v>
      </c>
      <c r="H45" s="22">
        <v>44</v>
      </c>
      <c r="I45" s="22" t="s">
        <v>2923</v>
      </c>
      <c r="J45" s="22" t="s">
        <v>2908</v>
      </c>
      <c r="K45" s="22" t="s">
        <v>2908</v>
      </c>
      <c r="L45" s="22" t="s">
        <v>2908</v>
      </c>
      <c r="M45" s="22" t="s">
        <v>2908</v>
      </c>
      <c r="N45" s="22" t="s">
        <v>2908</v>
      </c>
      <c r="P45" s="37">
        <v>100</v>
      </c>
      <c r="Q45" s="37">
        <v>100</v>
      </c>
      <c r="R45" s="37">
        <v>100</v>
      </c>
      <c r="S45" s="37">
        <v>100</v>
      </c>
      <c r="T45" s="37">
        <v>100</v>
      </c>
      <c r="V45" t="e">
        <f t="shared" si="1"/>
        <v>#VALUE!</v>
      </c>
      <c r="W45" t="e">
        <f t="shared" si="2"/>
        <v>#VALUE!</v>
      </c>
      <c r="X45" t="e">
        <f t="shared" si="3"/>
        <v>#VALUE!</v>
      </c>
      <c r="Y45" t="e">
        <f t="shared" si="4"/>
        <v>#VALUE!</v>
      </c>
      <c r="Z45" t="e">
        <f t="shared" si="5"/>
        <v>#VALUE!</v>
      </c>
    </row>
    <row r="46" spans="1:26" ht="42" thickBot="1" x14ac:dyDescent="0.3">
      <c r="A46" s="22" t="s">
        <v>2170</v>
      </c>
      <c r="B46" s="22" t="s">
        <v>5792</v>
      </c>
      <c r="C46" s="22" t="s">
        <v>5793</v>
      </c>
      <c r="D46" s="22" t="s">
        <v>5671</v>
      </c>
      <c r="E46" s="22" t="s">
        <v>5671</v>
      </c>
      <c r="F46" s="22" t="s">
        <v>5794</v>
      </c>
      <c r="H46" s="22">
        <v>45</v>
      </c>
      <c r="I46" s="22" t="s">
        <v>2924</v>
      </c>
      <c r="J46" s="22" t="s">
        <v>2908</v>
      </c>
      <c r="K46" s="22" t="s">
        <v>2908</v>
      </c>
      <c r="L46" s="22" t="s">
        <v>2908</v>
      </c>
      <c r="M46" s="22" t="s">
        <v>2908</v>
      </c>
      <c r="N46" s="22">
        <v>0.2</v>
      </c>
      <c r="P46" s="37">
        <v>100</v>
      </c>
      <c r="Q46" s="37">
        <v>100</v>
      </c>
      <c r="R46" s="37">
        <v>100</v>
      </c>
      <c r="S46" s="37">
        <v>100</v>
      </c>
      <c r="T46" s="37">
        <v>100</v>
      </c>
      <c r="V46" t="e">
        <f t="shared" si="1"/>
        <v>#VALUE!</v>
      </c>
      <c r="W46" t="e">
        <f t="shared" si="2"/>
        <v>#VALUE!</v>
      </c>
      <c r="X46" t="e">
        <f t="shared" si="3"/>
        <v>#VALUE!</v>
      </c>
      <c r="Y46" t="e">
        <f t="shared" si="4"/>
        <v>#VALUE!</v>
      </c>
      <c r="Z46">
        <f t="shared" si="5"/>
        <v>20</v>
      </c>
    </row>
    <row r="47" spans="1:26" ht="42" thickBot="1" x14ac:dyDescent="0.3">
      <c r="A47" s="22" t="s">
        <v>4381</v>
      </c>
      <c r="B47" s="22" t="s">
        <v>5795</v>
      </c>
      <c r="C47" s="22" t="s">
        <v>5796</v>
      </c>
      <c r="D47" s="22" t="s">
        <v>5766</v>
      </c>
      <c r="E47" s="22" t="s">
        <v>5797</v>
      </c>
      <c r="F47" s="22" t="s">
        <v>5798</v>
      </c>
      <c r="H47" s="22">
        <v>46</v>
      </c>
      <c r="I47" s="22" t="s">
        <v>2925</v>
      </c>
      <c r="J47" s="22" t="s">
        <v>2908</v>
      </c>
      <c r="K47" s="22" t="s">
        <v>2908</v>
      </c>
      <c r="L47" s="22">
        <v>0.1</v>
      </c>
      <c r="M47" s="22" t="s">
        <v>2908</v>
      </c>
      <c r="N47" s="22">
        <v>0.3</v>
      </c>
      <c r="P47" s="37">
        <v>100</v>
      </c>
      <c r="Q47" s="37">
        <v>100</v>
      </c>
      <c r="R47" s="37">
        <v>100</v>
      </c>
      <c r="S47" s="37">
        <v>100</v>
      </c>
      <c r="T47" s="37">
        <v>100</v>
      </c>
      <c r="V47" t="e">
        <f t="shared" si="1"/>
        <v>#VALUE!</v>
      </c>
      <c r="W47" t="e">
        <f t="shared" si="2"/>
        <v>#VALUE!</v>
      </c>
      <c r="X47">
        <f t="shared" si="3"/>
        <v>10</v>
      </c>
      <c r="Y47" t="e">
        <f t="shared" si="4"/>
        <v>#VALUE!</v>
      </c>
      <c r="Z47">
        <f t="shared" si="5"/>
        <v>30</v>
      </c>
    </row>
    <row r="48" spans="1:26" ht="28.2" thickBot="1" x14ac:dyDescent="0.3">
      <c r="A48" s="22" t="s">
        <v>5799</v>
      </c>
      <c r="B48" s="22" t="s">
        <v>5671</v>
      </c>
      <c r="C48" s="22" t="s">
        <v>5671</v>
      </c>
      <c r="D48" s="22" t="s">
        <v>5800</v>
      </c>
      <c r="E48" s="22" t="s">
        <v>5801</v>
      </c>
      <c r="F48" s="22" t="s">
        <v>5802</v>
      </c>
      <c r="H48" s="22">
        <v>47</v>
      </c>
      <c r="I48" s="22" t="s">
        <v>3159</v>
      </c>
      <c r="J48" s="22" t="s">
        <v>2908</v>
      </c>
      <c r="K48" s="22" t="s">
        <v>2908</v>
      </c>
      <c r="L48" s="22" t="s">
        <v>2908</v>
      </c>
      <c r="M48" s="22" t="s">
        <v>2908</v>
      </c>
      <c r="N48" s="22" t="s">
        <v>2908</v>
      </c>
      <c r="P48" s="37">
        <v>100</v>
      </c>
      <c r="Q48" s="37">
        <v>100</v>
      </c>
      <c r="R48" s="37">
        <v>100</v>
      </c>
      <c r="S48" s="37">
        <v>100</v>
      </c>
      <c r="T48" s="37">
        <v>100</v>
      </c>
      <c r="V48" t="e">
        <f t="shared" si="1"/>
        <v>#VALUE!</v>
      </c>
      <c r="W48" t="e">
        <f t="shared" si="2"/>
        <v>#VALUE!</v>
      </c>
      <c r="X48" t="e">
        <f t="shared" si="3"/>
        <v>#VALUE!</v>
      </c>
      <c r="Y48" t="e">
        <f t="shared" si="4"/>
        <v>#VALUE!</v>
      </c>
      <c r="Z48" t="e">
        <f t="shared" si="5"/>
        <v>#VALUE!</v>
      </c>
    </row>
    <row r="49" spans="1:26" ht="28.2" thickBot="1" x14ac:dyDescent="0.3">
      <c r="A49" s="22" t="s">
        <v>4305</v>
      </c>
      <c r="B49" s="22" t="s">
        <v>5803</v>
      </c>
      <c r="C49" s="22" t="s">
        <v>5804</v>
      </c>
      <c r="D49" s="22" t="s">
        <v>5671</v>
      </c>
      <c r="E49" s="22" t="s">
        <v>5671</v>
      </c>
      <c r="F49" s="22" t="s">
        <v>5805</v>
      </c>
      <c r="H49" s="22">
        <v>48</v>
      </c>
      <c r="I49" s="22" t="s">
        <v>2878</v>
      </c>
      <c r="J49" s="22" t="s">
        <v>2908</v>
      </c>
      <c r="K49" s="22" t="s">
        <v>2908</v>
      </c>
      <c r="L49" s="22" t="s">
        <v>2908</v>
      </c>
      <c r="M49" s="22" t="s">
        <v>2908</v>
      </c>
      <c r="N49" s="22" t="s">
        <v>2908</v>
      </c>
      <c r="P49" s="37">
        <v>100</v>
      </c>
      <c r="Q49" s="37">
        <v>100</v>
      </c>
      <c r="R49" s="37">
        <v>100</v>
      </c>
      <c r="S49" s="37">
        <v>100</v>
      </c>
      <c r="T49" s="37">
        <v>100</v>
      </c>
      <c r="V49" t="e">
        <f t="shared" si="1"/>
        <v>#VALUE!</v>
      </c>
      <c r="W49" t="e">
        <f t="shared" si="2"/>
        <v>#VALUE!</v>
      </c>
      <c r="X49" t="e">
        <f t="shared" si="3"/>
        <v>#VALUE!</v>
      </c>
      <c r="Y49" t="e">
        <f t="shared" si="4"/>
        <v>#VALUE!</v>
      </c>
      <c r="Z49" t="e">
        <f t="shared" si="5"/>
        <v>#VALUE!</v>
      </c>
    </row>
    <row r="50" spans="1:26" ht="28.2" thickBot="1" x14ac:dyDescent="0.3">
      <c r="A50" s="22" t="s">
        <v>3477</v>
      </c>
      <c r="B50" s="22" t="s">
        <v>5806</v>
      </c>
      <c r="C50" s="22" t="s">
        <v>5807</v>
      </c>
      <c r="D50" s="22" t="s">
        <v>5808</v>
      </c>
      <c r="E50" s="22" t="s">
        <v>5809</v>
      </c>
      <c r="F50" s="22" t="s">
        <v>5810</v>
      </c>
      <c r="H50" s="22">
        <v>49</v>
      </c>
      <c r="I50" s="22" t="s">
        <v>2927</v>
      </c>
      <c r="J50" s="22">
        <v>0.67</v>
      </c>
      <c r="K50" s="22">
        <v>0.57999999999999996</v>
      </c>
      <c r="L50" s="22">
        <v>0.81</v>
      </c>
      <c r="M50" s="22" t="s">
        <v>2908</v>
      </c>
      <c r="N50" s="22" t="s">
        <v>2908</v>
      </c>
      <c r="P50" s="37">
        <v>100</v>
      </c>
      <c r="Q50" s="37">
        <v>100</v>
      </c>
      <c r="R50" s="37">
        <v>100</v>
      </c>
      <c r="S50" s="37">
        <v>100</v>
      </c>
      <c r="T50" s="37">
        <v>100</v>
      </c>
      <c r="V50">
        <f t="shared" si="1"/>
        <v>67</v>
      </c>
      <c r="W50">
        <f t="shared" si="2"/>
        <v>57.999999999999993</v>
      </c>
      <c r="X50">
        <f t="shared" si="3"/>
        <v>81</v>
      </c>
      <c r="Y50" t="e">
        <f t="shared" si="4"/>
        <v>#VALUE!</v>
      </c>
      <c r="Z50" t="e">
        <f t="shared" si="5"/>
        <v>#VALUE!</v>
      </c>
    </row>
    <row r="51" spans="1:26" ht="28.2" thickBot="1" x14ac:dyDescent="0.3">
      <c r="A51" s="22" t="s">
        <v>5811</v>
      </c>
      <c r="B51" s="22" t="s">
        <v>5812</v>
      </c>
      <c r="C51" s="22" t="s">
        <v>5813</v>
      </c>
      <c r="D51" s="22" t="s">
        <v>5814</v>
      </c>
      <c r="E51" s="22" t="s">
        <v>5815</v>
      </c>
      <c r="F51" s="22" t="s">
        <v>5816</v>
      </c>
      <c r="H51" s="22">
        <v>50</v>
      </c>
      <c r="I51" s="22" t="s">
        <v>2164</v>
      </c>
      <c r="J51" s="22" t="s">
        <v>2908</v>
      </c>
      <c r="K51" s="22" t="s">
        <v>2908</v>
      </c>
      <c r="L51" s="22" t="s">
        <v>2908</v>
      </c>
      <c r="M51" s="22" t="s">
        <v>2908</v>
      </c>
      <c r="N51" s="22" t="s">
        <v>2908</v>
      </c>
      <c r="P51" s="37">
        <v>100</v>
      </c>
      <c r="Q51" s="37">
        <v>100</v>
      </c>
      <c r="R51" s="37">
        <v>100</v>
      </c>
      <c r="S51" s="37">
        <v>100</v>
      </c>
      <c r="T51" s="37">
        <v>100</v>
      </c>
      <c r="V51" t="e">
        <f t="shared" si="1"/>
        <v>#VALUE!</v>
      </c>
      <c r="W51" t="e">
        <f t="shared" si="2"/>
        <v>#VALUE!</v>
      </c>
      <c r="X51" t="e">
        <f t="shared" si="3"/>
        <v>#VALUE!</v>
      </c>
      <c r="Y51" t="e">
        <f t="shared" si="4"/>
        <v>#VALUE!</v>
      </c>
      <c r="Z51" t="e">
        <f t="shared" si="5"/>
        <v>#VALUE!</v>
      </c>
    </row>
    <row r="52" spans="1:26" ht="28.2" thickBot="1" x14ac:dyDescent="0.3">
      <c r="A52" s="22" t="s">
        <v>3856</v>
      </c>
      <c r="B52" s="22" t="s">
        <v>5817</v>
      </c>
      <c r="C52" s="22" t="s">
        <v>5818</v>
      </c>
      <c r="D52" s="22" t="s">
        <v>5819</v>
      </c>
      <c r="E52" s="22" t="s">
        <v>5820</v>
      </c>
      <c r="F52" s="22" t="s">
        <v>5821</v>
      </c>
      <c r="H52" s="22">
        <v>51</v>
      </c>
      <c r="I52" s="22" t="s">
        <v>2170</v>
      </c>
      <c r="J52" s="22">
        <v>0.14000000000000001</v>
      </c>
      <c r="K52" s="22">
        <v>0.12</v>
      </c>
      <c r="L52" s="22" t="s">
        <v>2908</v>
      </c>
      <c r="M52" s="22" t="s">
        <v>2908</v>
      </c>
      <c r="N52" s="22">
        <v>0.21</v>
      </c>
      <c r="P52" s="37">
        <v>100</v>
      </c>
      <c r="Q52" s="37">
        <v>100</v>
      </c>
      <c r="R52" s="37">
        <v>100</v>
      </c>
      <c r="S52" s="37">
        <v>100</v>
      </c>
      <c r="T52" s="37">
        <v>100</v>
      </c>
      <c r="V52">
        <f t="shared" si="1"/>
        <v>14.000000000000002</v>
      </c>
      <c r="W52">
        <f t="shared" si="2"/>
        <v>12</v>
      </c>
      <c r="X52" t="e">
        <f t="shared" si="3"/>
        <v>#VALUE!</v>
      </c>
      <c r="Y52" t="e">
        <f t="shared" si="4"/>
        <v>#VALUE!</v>
      </c>
      <c r="Z52">
        <f t="shared" si="5"/>
        <v>21</v>
      </c>
    </row>
    <row r="53" spans="1:26" ht="42" thickBot="1" x14ac:dyDescent="0.3">
      <c r="A53" s="22" t="s">
        <v>5822</v>
      </c>
      <c r="B53" s="22" t="s">
        <v>5823</v>
      </c>
      <c r="C53" s="22" t="s">
        <v>5671</v>
      </c>
      <c r="D53" s="22" t="s">
        <v>5824</v>
      </c>
      <c r="E53" s="22" t="s">
        <v>5825</v>
      </c>
      <c r="F53" s="22" t="s">
        <v>5671</v>
      </c>
      <c r="H53" s="22">
        <v>52</v>
      </c>
      <c r="I53" s="22" t="s">
        <v>5177</v>
      </c>
      <c r="J53" s="22">
        <v>0.26</v>
      </c>
      <c r="K53" s="22" t="s">
        <v>2908</v>
      </c>
      <c r="L53" s="22">
        <v>0.41</v>
      </c>
      <c r="M53" s="22">
        <v>0.61</v>
      </c>
      <c r="N53" s="22">
        <v>0.89</v>
      </c>
      <c r="P53" s="37">
        <v>100</v>
      </c>
      <c r="Q53" s="37">
        <v>100</v>
      </c>
      <c r="R53" s="37">
        <v>100</v>
      </c>
      <c r="S53" s="37">
        <v>100</v>
      </c>
      <c r="T53" s="37">
        <v>100</v>
      </c>
      <c r="V53">
        <f t="shared" si="1"/>
        <v>26</v>
      </c>
      <c r="W53" t="e">
        <f t="shared" si="2"/>
        <v>#VALUE!</v>
      </c>
      <c r="X53">
        <f t="shared" si="3"/>
        <v>41</v>
      </c>
      <c r="Y53">
        <f t="shared" si="4"/>
        <v>61</v>
      </c>
      <c r="Z53">
        <f t="shared" si="5"/>
        <v>89</v>
      </c>
    </row>
    <row r="54" spans="1:26" ht="28.2" thickBot="1" x14ac:dyDescent="0.3">
      <c r="A54" s="22" t="s">
        <v>3425</v>
      </c>
      <c r="B54" s="22" t="s">
        <v>5671</v>
      </c>
      <c r="C54" s="22" t="s">
        <v>5671</v>
      </c>
      <c r="D54" s="22" t="s">
        <v>5671</v>
      </c>
      <c r="E54" s="22" t="s">
        <v>5826</v>
      </c>
      <c r="F54" s="22" t="s">
        <v>5671</v>
      </c>
      <c r="H54" s="22">
        <v>53</v>
      </c>
      <c r="I54" s="22" t="s">
        <v>3819</v>
      </c>
      <c r="J54" s="22" t="s">
        <v>2908</v>
      </c>
      <c r="K54" s="22" t="s">
        <v>2908</v>
      </c>
      <c r="L54" s="22" t="s">
        <v>2908</v>
      </c>
      <c r="M54" s="22" t="s">
        <v>2908</v>
      </c>
      <c r="N54" s="22" t="s">
        <v>2908</v>
      </c>
      <c r="P54" s="37">
        <v>100</v>
      </c>
      <c r="Q54" s="37">
        <v>100</v>
      </c>
      <c r="R54" s="37">
        <v>100</v>
      </c>
      <c r="S54" s="37">
        <v>100</v>
      </c>
      <c r="T54" s="37">
        <v>100</v>
      </c>
      <c r="V54" t="e">
        <f t="shared" si="1"/>
        <v>#VALUE!</v>
      </c>
      <c r="W54" t="e">
        <f t="shared" si="2"/>
        <v>#VALUE!</v>
      </c>
      <c r="X54" t="e">
        <f t="shared" si="3"/>
        <v>#VALUE!</v>
      </c>
      <c r="Y54" t="e">
        <f t="shared" si="4"/>
        <v>#VALUE!</v>
      </c>
      <c r="Z54" t="e">
        <f t="shared" si="5"/>
        <v>#VALUE!</v>
      </c>
    </row>
    <row r="55" spans="1:26" ht="42" thickBot="1" x14ac:dyDescent="0.3">
      <c r="A55" s="22" t="s">
        <v>3440</v>
      </c>
      <c r="B55" s="22" t="s">
        <v>5671</v>
      </c>
      <c r="C55" s="22" t="s">
        <v>5827</v>
      </c>
      <c r="D55" s="22" t="s">
        <v>5828</v>
      </c>
      <c r="E55" s="22" t="s">
        <v>5759</v>
      </c>
      <c r="F55" s="22" t="s">
        <v>5671</v>
      </c>
      <c r="H55" s="22">
        <v>54</v>
      </c>
      <c r="I55" s="22" t="s">
        <v>6111</v>
      </c>
      <c r="J55" s="22" t="s">
        <v>2908</v>
      </c>
      <c r="K55" s="22" t="s">
        <v>2908</v>
      </c>
      <c r="L55" s="22">
        <v>0.69</v>
      </c>
      <c r="M55" s="22" t="s">
        <v>2908</v>
      </c>
      <c r="N55" s="22">
        <v>1.94</v>
      </c>
      <c r="P55" s="37">
        <v>100</v>
      </c>
      <c r="Q55" s="37">
        <v>100</v>
      </c>
      <c r="R55" s="37">
        <v>100</v>
      </c>
      <c r="S55" s="37">
        <v>100</v>
      </c>
      <c r="T55" s="37">
        <v>100</v>
      </c>
      <c r="V55" t="e">
        <f t="shared" si="1"/>
        <v>#VALUE!</v>
      </c>
      <c r="W55" t="e">
        <f t="shared" si="2"/>
        <v>#VALUE!</v>
      </c>
      <c r="X55">
        <f t="shared" si="3"/>
        <v>69</v>
      </c>
      <c r="Y55" t="e">
        <f t="shared" si="4"/>
        <v>#VALUE!</v>
      </c>
      <c r="Z55">
        <f t="shared" si="5"/>
        <v>194</v>
      </c>
    </row>
    <row r="56" spans="1:26" ht="28.2" thickBot="1" x14ac:dyDescent="0.3">
      <c r="A56" s="22" t="s">
        <v>3392</v>
      </c>
      <c r="B56" s="22" t="s">
        <v>5829</v>
      </c>
      <c r="C56" s="22" t="s">
        <v>5770</v>
      </c>
      <c r="D56" s="22" t="s">
        <v>5830</v>
      </c>
      <c r="E56" s="22" t="s">
        <v>5831</v>
      </c>
      <c r="F56" s="22" t="s">
        <v>5671</v>
      </c>
      <c r="H56" s="22">
        <v>55</v>
      </c>
      <c r="I56" s="22" t="s">
        <v>2183</v>
      </c>
      <c r="J56" s="22" t="s">
        <v>2908</v>
      </c>
      <c r="K56" s="22" t="s">
        <v>2908</v>
      </c>
      <c r="L56" s="22" t="s">
        <v>2908</v>
      </c>
      <c r="M56" s="22" t="s">
        <v>2908</v>
      </c>
      <c r="N56" s="22" t="s">
        <v>2908</v>
      </c>
      <c r="P56" s="37">
        <v>100</v>
      </c>
      <c r="Q56" s="37">
        <v>100</v>
      </c>
      <c r="R56" s="37">
        <v>100</v>
      </c>
      <c r="S56" s="37">
        <v>100</v>
      </c>
      <c r="T56" s="37">
        <v>100</v>
      </c>
      <c r="V56" t="e">
        <f t="shared" si="1"/>
        <v>#VALUE!</v>
      </c>
      <c r="W56" t="e">
        <f t="shared" si="2"/>
        <v>#VALUE!</v>
      </c>
      <c r="X56" t="e">
        <f t="shared" si="3"/>
        <v>#VALUE!</v>
      </c>
      <c r="Y56" t="e">
        <f t="shared" si="4"/>
        <v>#VALUE!</v>
      </c>
      <c r="Z56" t="e">
        <f t="shared" si="5"/>
        <v>#VALUE!</v>
      </c>
    </row>
    <row r="57" spans="1:26" ht="42" thickBot="1" x14ac:dyDescent="0.3">
      <c r="A57" s="22" t="s">
        <v>5832</v>
      </c>
      <c r="B57" s="22" t="s">
        <v>5671</v>
      </c>
      <c r="C57" s="22" t="s">
        <v>5671</v>
      </c>
      <c r="D57" s="22" t="s">
        <v>5833</v>
      </c>
      <c r="E57" s="22" t="s">
        <v>5834</v>
      </c>
      <c r="F57" s="22" t="s">
        <v>5671</v>
      </c>
      <c r="H57" s="22">
        <v>56</v>
      </c>
      <c r="I57" s="22" t="s">
        <v>6112</v>
      </c>
      <c r="J57" s="22">
        <v>0.45</v>
      </c>
      <c r="K57" s="22">
        <v>0.33</v>
      </c>
      <c r="L57" s="22">
        <v>0.41</v>
      </c>
      <c r="M57" s="22">
        <v>0.37</v>
      </c>
      <c r="N57" s="22" t="s">
        <v>2908</v>
      </c>
      <c r="P57" s="37">
        <v>100</v>
      </c>
      <c r="Q57" s="37">
        <v>100</v>
      </c>
      <c r="R57" s="37">
        <v>100</v>
      </c>
      <c r="S57" s="37">
        <v>100</v>
      </c>
      <c r="T57" s="37">
        <v>100</v>
      </c>
      <c r="V57">
        <f t="shared" si="1"/>
        <v>45</v>
      </c>
      <c r="W57">
        <f t="shared" si="2"/>
        <v>33</v>
      </c>
      <c r="X57">
        <f t="shared" si="3"/>
        <v>41</v>
      </c>
      <c r="Y57">
        <f t="shared" si="4"/>
        <v>37</v>
      </c>
      <c r="Z57" t="e">
        <f t="shared" si="5"/>
        <v>#VALUE!</v>
      </c>
    </row>
    <row r="58" spans="1:26" ht="42" thickBot="1" x14ac:dyDescent="0.3">
      <c r="A58" s="22" t="s">
        <v>5835</v>
      </c>
      <c r="B58" s="22" t="s">
        <v>5836</v>
      </c>
      <c r="C58" s="22" t="s">
        <v>5671</v>
      </c>
      <c r="D58" s="22" t="s">
        <v>5837</v>
      </c>
      <c r="E58" s="22" t="s">
        <v>5671</v>
      </c>
      <c r="F58" s="22" t="s">
        <v>5671</v>
      </c>
      <c r="H58" s="22">
        <v>57</v>
      </c>
      <c r="I58" s="22" t="s">
        <v>6113</v>
      </c>
      <c r="J58" s="22">
        <v>1.75</v>
      </c>
      <c r="K58" s="22">
        <v>1.36</v>
      </c>
      <c r="L58" s="22">
        <v>1.83</v>
      </c>
      <c r="M58" s="22">
        <v>1.46</v>
      </c>
      <c r="N58" s="22">
        <v>0.62</v>
      </c>
      <c r="P58" s="37">
        <v>100</v>
      </c>
      <c r="Q58" s="37">
        <v>100</v>
      </c>
      <c r="R58" s="37">
        <v>100</v>
      </c>
      <c r="S58" s="37">
        <v>100</v>
      </c>
      <c r="T58" s="37">
        <v>100</v>
      </c>
      <c r="V58">
        <f t="shared" si="1"/>
        <v>175</v>
      </c>
      <c r="W58">
        <f t="shared" si="2"/>
        <v>136</v>
      </c>
      <c r="X58">
        <f t="shared" si="3"/>
        <v>183</v>
      </c>
      <c r="Y58">
        <f t="shared" si="4"/>
        <v>146</v>
      </c>
      <c r="Z58">
        <f t="shared" si="5"/>
        <v>62</v>
      </c>
    </row>
    <row r="59" spans="1:26" ht="42" thickBot="1" x14ac:dyDescent="0.3">
      <c r="A59" s="22" t="s">
        <v>3534</v>
      </c>
      <c r="B59" s="22" t="s">
        <v>5671</v>
      </c>
      <c r="C59" s="22" t="s">
        <v>5671</v>
      </c>
      <c r="D59" s="22" t="s">
        <v>5838</v>
      </c>
      <c r="E59" s="22" t="s">
        <v>5671</v>
      </c>
      <c r="F59" s="22" t="s">
        <v>5671</v>
      </c>
      <c r="H59" s="22">
        <v>58</v>
      </c>
      <c r="I59" s="22" t="s">
        <v>2331</v>
      </c>
      <c r="J59" s="22">
        <v>0.16</v>
      </c>
      <c r="K59" s="22">
        <v>0.16</v>
      </c>
      <c r="L59" s="22">
        <v>0.08</v>
      </c>
      <c r="M59" s="22">
        <v>0.08</v>
      </c>
      <c r="N59" s="22">
        <v>0.08</v>
      </c>
      <c r="P59" s="37">
        <v>100</v>
      </c>
      <c r="Q59" s="37">
        <v>100</v>
      </c>
      <c r="R59" s="37">
        <v>100</v>
      </c>
      <c r="S59" s="37">
        <v>100</v>
      </c>
      <c r="T59" s="37">
        <v>100</v>
      </c>
      <c r="V59">
        <f t="shared" si="1"/>
        <v>16</v>
      </c>
      <c r="W59">
        <f t="shared" si="2"/>
        <v>16</v>
      </c>
      <c r="X59">
        <f t="shared" si="3"/>
        <v>8</v>
      </c>
      <c r="Y59">
        <f t="shared" si="4"/>
        <v>8</v>
      </c>
      <c r="Z59">
        <f t="shared" si="5"/>
        <v>8</v>
      </c>
    </row>
    <row r="60" spans="1:26" ht="28.2" thickBot="1" x14ac:dyDescent="0.3">
      <c r="A60" s="22" t="s">
        <v>2927</v>
      </c>
      <c r="B60" s="22" t="s">
        <v>5839</v>
      </c>
      <c r="C60" s="22" t="s">
        <v>5840</v>
      </c>
      <c r="D60" s="22" t="s">
        <v>5841</v>
      </c>
      <c r="E60" s="22" t="s">
        <v>5671</v>
      </c>
      <c r="F60" s="22" t="s">
        <v>5671</v>
      </c>
      <c r="H60" s="22">
        <v>59</v>
      </c>
      <c r="I60" s="22" t="s">
        <v>2337</v>
      </c>
      <c r="J60" s="22" t="s">
        <v>2908</v>
      </c>
      <c r="K60" s="22" t="s">
        <v>2908</v>
      </c>
      <c r="L60" s="22" t="s">
        <v>2908</v>
      </c>
      <c r="M60" s="22" t="s">
        <v>2908</v>
      </c>
      <c r="N60" s="22" t="s">
        <v>2908</v>
      </c>
      <c r="P60" s="37">
        <v>100</v>
      </c>
      <c r="Q60" s="37">
        <v>100</v>
      </c>
      <c r="R60" s="37">
        <v>100</v>
      </c>
      <c r="S60" s="37">
        <v>100</v>
      </c>
      <c r="T60" s="37">
        <v>100</v>
      </c>
      <c r="V60" t="e">
        <f t="shared" si="1"/>
        <v>#VALUE!</v>
      </c>
      <c r="W60" t="e">
        <f t="shared" si="2"/>
        <v>#VALUE!</v>
      </c>
      <c r="X60" t="e">
        <f t="shared" si="3"/>
        <v>#VALUE!</v>
      </c>
      <c r="Y60" t="e">
        <f t="shared" si="4"/>
        <v>#VALUE!</v>
      </c>
      <c r="Z60" t="e">
        <f t="shared" si="5"/>
        <v>#VALUE!</v>
      </c>
    </row>
    <row r="61" spans="1:26" ht="28.2" thickBot="1" x14ac:dyDescent="0.3">
      <c r="A61" s="22" t="s">
        <v>5842</v>
      </c>
      <c r="B61" s="22" t="s">
        <v>5843</v>
      </c>
      <c r="C61" s="22" t="s">
        <v>5844</v>
      </c>
      <c r="D61" s="22" t="s">
        <v>5845</v>
      </c>
      <c r="E61" s="22" t="s">
        <v>5671</v>
      </c>
      <c r="F61" s="22" t="s">
        <v>5671</v>
      </c>
      <c r="H61" s="22">
        <v>60</v>
      </c>
      <c r="I61" s="22" t="s">
        <v>2365</v>
      </c>
      <c r="J61" s="22">
        <v>2</v>
      </c>
      <c r="K61" s="22">
        <v>1.65</v>
      </c>
      <c r="L61" s="22">
        <v>1.2</v>
      </c>
      <c r="M61" s="22">
        <v>1.47</v>
      </c>
      <c r="N61" s="22">
        <v>0.65</v>
      </c>
      <c r="P61" s="37">
        <v>100</v>
      </c>
      <c r="Q61" s="37">
        <v>100</v>
      </c>
      <c r="R61" s="37">
        <v>100</v>
      </c>
      <c r="S61" s="37">
        <v>100</v>
      </c>
      <c r="T61" s="37">
        <v>100</v>
      </c>
      <c r="V61">
        <f t="shared" si="1"/>
        <v>200</v>
      </c>
      <c r="W61">
        <f t="shared" si="2"/>
        <v>165</v>
      </c>
      <c r="X61">
        <f t="shared" si="3"/>
        <v>120</v>
      </c>
      <c r="Y61">
        <f t="shared" si="4"/>
        <v>147</v>
      </c>
      <c r="Z61">
        <f t="shared" si="5"/>
        <v>65</v>
      </c>
    </row>
    <row r="62" spans="1:26" ht="28.2" thickBot="1" x14ac:dyDescent="0.3">
      <c r="A62" s="22" t="s">
        <v>3247</v>
      </c>
      <c r="B62" s="22" t="s">
        <v>5670</v>
      </c>
      <c r="C62" s="22" t="s">
        <v>5671</v>
      </c>
      <c r="D62" s="22" t="s">
        <v>5846</v>
      </c>
      <c r="E62" s="22" t="s">
        <v>5671</v>
      </c>
      <c r="F62" s="22" t="s">
        <v>5671</v>
      </c>
      <c r="H62" s="22">
        <v>61</v>
      </c>
      <c r="I62" s="22" t="s">
        <v>2186</v>
      </c>
      <c r="J62" s="22">
        <v>12.76</v>
      </c>
      <c r="K62" s="22">
        <v>7.15</v>
      </c>
      <c r="L62" s="22">
        <v>8.77</v>
      </c>
      <c r="M62" s="22">
        <v>10.57</v>
      </c>
      <c r="N62" s="22">
        <v>5.58</v>
      </c>
      <c r="P62" s="37">
        <v>100</v>
      </c>
      <c r="Q62" s="37">
        <v>100</v>
      </c>
      <c r="R62" s="37">
        <v>100</v>
      </c>
      <c r="S62" s="37">
        <v>100</v>
      </c>
      <c r="T62" s="37">
        <v>100</v>
      </c>
      <c r="V62">
        <f t="shared" si="1"/>
        <v>1276</v>
      </c>
      <c r="W62">
        <f t="shared" si="2"/>
        <v>715</v>
      </c>
      <c r="X62">
        <f t="shared" si="3"/>
        <v>877</v>
      </c>
      <c r="Y62">
        <f t="shared" si="4"/>
        <v>1057</v>
      </c>
      <c r="Z62">
        <f t="shared" si="5"/>
        <v>558</v>
      </c>
    </row>
    <row r="63" spans="1:26" ht="28.2" thickBot="1" x14ac:dyDescent="0.3">
      <c r="A63" s="22" t="s">
        <v>5847</v>
      </c>
      <c r="B63" s="22" t="s">
        <v>5671</v>
      </c>
      <c r="C63" s="22" t="s">
        <v>5848</v>
      </c>
      <c r="D63" s="22" t="s">
        <v>5671</v>
      </c>
      <c r="E63" s="22" t="s">
        <v>5671</v>
      </c>
      <c r="F63" s="22" t="s">
        <v>5671</v>
      </c>
      <c r="H63" s="22">
        <v>62</v>
      </c>
      <c r="I63" s="22" t="s">
        <v>2382</v>
      </c>
      <c r="J63" s="22">
        <v>7.84</v>
      </c>
      <c r="K63" s="22">
        <v>6.17</v>
      </c>
      <c r="L63" s="22">
        <v>5.65</v>
      </c>
      <c r="M63" s="22">
        <v>4</v>
      </c>
      <c r="N63" s="22">
        <v>2.04</v>
      </c>
      <c r="P63" s="37">
        <v>100</v>
      </c>
      <c r="Q63" s="37">
        <v>100</v>
      </c>
      <c r="R63" s="37">
        <v>100</v>
      </c>
      <c r="S63" s="37">
        <v>100</v>
      </c>
      <c r="T63" s="37">
        <v>100</v>
      </c>
      <c r="V63">
        <f t="shared" si="1"/>
        <v>784</v>
      </c>
      <c r="W63">
        <f t="shared" si="2"/>
        <v>617</v>
      </c>
      <c r="X63">
        <f t="shared" si="3"/>
        <v>565</v>
      </c>
      <c r="Y63">
        <f t="shared" si="4"/>
        <v>400</v>
      </c>
      <c r="Z63">
        <f t="shared" si="5"/>
        <v>204</v>
      </c>
    </row>
    <row r="64" spans="1:26" ht="28.2" thickBot="1" x14ac:dyDescent="0.3">
      <c r="A64" s="22" t="s">
        <v>4901</v>
      </c>
      <c r="B64" s="22" t="s">
        <v>5671</v>
      </c>
      <c r="C64" s="22" t="s">
        <v>5849</v>
      </c>
      <c r="D64" s="22" t="s">
        <v>5671</v>
      </c>
      <c r="E64" s="22" t="s">
        <v>5671</v>
      </c>
      <c r="F64" s="22" t="s">
        <v>5671</v>
      </c>
      <c r="H64" s="22">
        <v>63</v>
      </c>
      <c r="I64" s="22" t="s">
        <v>2393</v>
      </c>
      <c r="J64" s="22" t="s">
        <v>2908</v>
      </c>
      <c r="K64" s="22" t="s">
        <v>2908</v>
      </c>
      <c r="L64" s="22" t="s">
        <v>2908</v>
      </c>
      <c r="M64" s="22" t="s">
        <v>2908</v>
      </c>
      <c r="N64" s="22">
        <v>0.39</v>
      </c>
      <c r="P64" s="37">
        <v>100</v>
      </c>
      <c r="Q64" s="37">
        <v>100</v>
      </c>
      <c r="R64" s="37">
        <v>100</v>
      </c>
      <c r="S64" s="37">
        <v>100</v>
      </c>
      <c r="T64" s="37">
        <v>100</v>
      </c>
      <c r="V64" t="e">
        <f t="shared" si="1"/>
        <v>#VALUE!</v>
      </c>
      <c r="W64" t="e">
        <f t="shared" si="2"/>
        <v>#VALUE!</v>
      </c>
      <c r="X64" t="e">
        <f t="shared" si="3"/>
        <v>#VALUE!</v>
      </c>
      <c r="Y64" t="e">
        <f t="shared" si="4"/>
        <v>#VALUE!</v>
      </c>
      <c r="Z64">
        <f t="shared" si="5"/>
        <v>39</v>
      </c>
    </row>
    <row r="65" spans="1:6" ht="14.4" thickBot="1" x14ac:dyDescent="0.3">
      <c r="A65" s="21" t="s">
        <v>2941</v>
      </c>
      <c r="B65" s="22"/>
      <c r="C65" s="22"/>
      <c r="D65" s="22"/>
      <c r="E65" s="22"/>
      <c r="F65" s="22"/>
    </row>
    <row r="66" spans="1:6" ht="42" thickBot="1" x14ac:dyDescent="0.3">
      <c r="A66" s="22" t="s">
        <v>5850</v>
      </c>
      <c r="B66" s="22" t="s">
        <v>5851</v>
      </c>
      <c r="C66" s="22" t="s">
        <v>5671</v>
      </c>
      <c r="D66" s="22" t="s">
        <v>5671</v>
      </c>
      <c r="E66" s="22" t="s">
        <v>5671</v>
      </c>
      <c r="F66" s="22" t="s">
        <v>5671</v>
      </c>
    </row>
    <row r="67" spans="1:6" ht="28.2" thickBot="1" x14ac:dyDescent="0.3">
      <c r="A67" s="22" t="s">
        <v>2872</v>
      </c>
      <c r="B67" s="22" t="s">
        <v>5852</v>
      </c>
      <c r="C67" s="22" t="s">
        <v>5853</v>
      </c>
      <c r="D67" s="22" t="s">
        <v>5854</v>
      </c>
      <c r="E67" s="22" t="s">
        <v>5855</v>
      </c>
      <c r="F67" s="22" t="s">
        <v>5856</v>
      </c>
    </row>
    <row r="68" spans="1:6" ht="28.2" thickBot="1" x14ac:dyDescent="0.3">
      <c r="A68" s="22" t="s">
        <v>2916</v>
      </c>
      <c r="B68" s="22" t="s">
        <v>5857</v>
      </c>
      <c r="C68" s="22" t="s">
        <v>5858</v>
      </c>
      <c r="D68" s="22" t="s">
        <v>5859</v>
      </c>
      <c r="E68" s="22" t="s">
        <v>5860</v>
      </c>
      <c r="F68" s="22" t="s">
        <v>5861</v>
      </c>
    </row>
    <row r="69" spans="1:6" ht="28.2" thickBot="1" x14ac:dyDescent="0.3">
      <c r="A69" s="22" t="s">
        <v>2025</v>
      </c>
      <c r="B69" s="22" t="s">
        <v>5862</v>
      </c>
      <c r="C69" s="22" t="s">
        <v>5863</v>
      </c>
      <c r="D69" s="22" t="s">
        <v>5864</v>
      </c>
      <c r="E69" s="22" t="s">
        <v>5865</v>
      </c>
      <c r="F69" s="22" t="s">
        <v>5866</v>
      </c>
    </row>
    <row r="70" spans="1:6" ht="28.2" thickBot="1" x14ac:dyDescent="0.3">
      <c r="A70" s="22" t="s">
        <v>2359</v>
      </c>
      <c r="B70" s="22" t="s">
        <v>5867</v>
      </c>
      <c r="C70" s="22" t="s">
        <v>5868</v>
      </c>
      <c r="D70" s="22" t="s">
        <v>5869</v>
      </c>
      <c r="E70" s="22" t="s">
        <v>5870</v>
      </c>
      <c r="F70" s="22" t="s">
        <v>5871</v>
      </c>
    </row>
    <row r="71" spans="1:6" ht="28.2" thickBot="1" x14ac:dyDescent="0.3">
      <c r="A71" s="22" t="s">
        <v>2179</v>
      </c>
      <c r="B71" s="22" t="s">
        <v>5872</v>
      </c>
      <c r="C71" s="22" t="s">
        <v>5873</v>
      </c>
      <c r="D71" s="22" t="s">
        <v>5874</v>
      </c>
      <c r="E71" s="22" t="s">
        <v>5875</v>
      </c>
      <c r="F71" s="22" t="s">
        <v>5876</v>
      </c>
    </row>
    <row r="72" spans="1:6" ht="28.2" thickBot="1" x14ac:dyDescent="0.3">
      <c r="A72" s="22" t="s">
        <v>5012</v>
      </c>
      <c r="B72" s="22" t="s">
        <v>5877</v>
      </c>
      <c r="C72" s="22" t="s">
        <v>5878</v>
      </c>
      <c r="D72" s="22" t="s">
        <v>5879</v>
      </c>
      <c r="E72" s="22" t="s">
        <v>5880</v>
      </c>
      <c r="F72" s="22" t="s">
        <v>5881</v>
      </c>
    </row>
    <row r="73" spans="1:6" ht="28.2" thickBot="1" x14ac:dyDescent="0.3">
      <c r="A73" s="22" t="s">
        <v>2358</v>
      </c>
      <c r="B73" s="22" t="s">
        <v>5882</v>
      </c>
      <c r="C73" s="22" t="s">
        <v>5883</v>
      </c>
      <c r="D73" s="22" t="s">
        <v>5884</v>
      </c>
      <c r="E73" s="22" t="s">
        <v>5885</v>
      </c>
      <c r="F73" s="22" t="s">
        <v>5886</v>
      </c>
    </row>
    <row r="74" spans="1:6" ht="28.2" thickBot="1" x14ac:dyDescent="0.3">
      <c r="A74" s="22" t="s">
        <v>3665</v>
      </c>
      <c r="B74" s="22" t="s">
        <v>5887</v>
      </c>
      <c r="C74" s="22" t="s">
        <v>5888</v>
      </c>
      <c r="D74" s="22" t="s">
        <v>5889</v>
      </c>
      <c r="E74" s="22" t="s">
        <v>5890</v>
      </c>
      <c r="F74" s="22" t="s">
        <v>5891</v>
      </c>
    </row>
    <row r="75" spans="1:6" ht="28.2" thickBot="1" x14ac:dyDescent="0.3">
      <c r="A75" s="22" t="s">
        <v>3343</v>
      </c>
      <c r="B75" s="22" t="s">
        <v>5892</v>
      </c>
      <c r="C75" s="22" t="s">
        <v>5893</v>
      </c>
      <c r="D75" s="22" t="s">
        <v>5894</v>
      </c>
      <c r="E75" s="22" t="s">
        <v>5895</v>
      </c>
      <c r="F75" s="22" t="s">
        <v>5896</v>
      </c>
    </row>
    <row r="76" spans="1:6" ht="28.2" thickBot="1" x14ac:dyDescent="0.3">
      <c r="A76" s="22" t="s">
        <v>3413</v>
      </c>
      <c r="B76" s="22" t="s">
        <v>5897</v>
      </c>
      <c r="C76" s="22" t="s">
        <v>5898</v>
      </c>
      <c r="D76" s="22" t="s">
        <v>5899</v>
      </c>
      <c r="E76" s="22" t="s">
        <v>5900</v>
      </c>
      <c r="F76" s="22" t="s">
        <v>5901</v>
      </c>
    </row>
    <row r="77" spans="1:6" ht="28.2" thickBot="1" x14ac:dyDescent="0.3">
      <c r="A77" s="22" t="s">
        <v>5902</v>
      </c>
      <c r="B77" s="22" t="s">
        <v>5671</v>
      </c>
      <c r="C77" s="22" t="s">
        <v>5903</v>
      </c>
      <c r="D77" s="22" t="s">
        <v>5904</v>
      </c>
      <c r="E77" s="22" t="s">
        <v>5905</v>
      </c>
      <c r="F77" s="22" t="s">
        <v>5906</v>
      </c>
    </row>
    <row r="78" spans="1:6" ht="28.2" thickBot="1" x14ac:dyDescent="0.3">
      <c r="A78" s="22" t="s">
        <v>3347</v>
      </c>
      <c r="B78" s="22" t="s">
        <v>5907</v>
      </c>
      <c r="C78" s="22" t="s">
        <v>5908</v>
      </c>
      <c r="D78" s="22" t="s">
        <v>5909</v>
      </c>
      <c r="E78" s="22" t="s">
        <v>5910</v>
      </c>
      <c r="F78" s="22" t="s">
        <v>5911</v>
      </c>
    </row>
    <row r="79" spans="1:6" ht="28.2" thickBot="1" x14ac:dyDescent="0.3">
      <c r="A79" s="22" t="s">
        <v>5912</v>
      </c>
      <c r="B79" s="22" t="s">
        <v>5913</v>
      </c>
      <c r="C79" s="22" t="s">
        <v>5914</v>
      </c>
      <c r="D79" s="22" t="s">
        <v>5915</v>
      </c>
      <c r="E79" s="22" t="s">
        <v>5671</v>
      </c>
      <c r="F79" s="22" t="s">
        <v>5671</v>
      </c>
    </row>
    <row r="80" spans="1:6" ht="28.2" thickBot="1" x14ac:dyDescent="0.3">
      <c r="A80" s="22" t="s">
        <v>2868</v>
      </c>
      <c r="B80" s="22" t="s">
        <v>5916</v>
      </c>
      <c r="C80" s="22" t="s">
        <v>5671</v>
      </c>
      <c r="D80" s="22" t="s">
        <v>5671</v>
      </c>
      <c r="E80" s="22" t="s">
        <v>5671</v>
      </c>
      <c r="F80" s="22" t="s">
        <v>5671</v>
      </c>
    </row>
    <row r="81" spans="1:6" ht="14.4" thickBot="1" x14ac:dyDescent="0.3">
      <c r="A81" s="21" t="s">
        <v>2944</v>
      </c>
      <c r="B81" s="22"/>
      <c r="C81" s="22"/>
      <c r="D81" s="22"/>
      <c r="E81" s="22"/>
      <c r="F81" s="22"/>
    </row>
    <row r="82" spans="1:6" ht="28.2" thickBot="1" x14ac:dyDescent="0.3">
      <c r="A82" s="22" t="s">
        <v>2024</v>
      </c>
      <c r="B82" s="22" t="s">
        <v>5917</v>
      </c>
      <c r="C82" s="22" t="s">
        <v>5918</v>
      </c>
      <c r="D82" s="22" t="s">
        <v>5919</v>
      </c>
      <c r="E82" s="22" t="s">
        <v>5920</v>
      </c>
      <c r="F82" s="22" t="s">
        <v>5921</v>
      </c>
    </row>
    <row r="83" spans="1:6" ht="28.2" thickBot="1" x14ac:dyDescent="0.3">
      <c r="A83" s="22" t="s">
        <v>2174</v>
      </c>
      <c r="B83" s="22" t="s">
        <v>5922</v>
      </c>
      <c r="C83" s="22" t="s">
        <v>5923</v>
      </c>
      <c r="D83" s="22" t="s">
        <v>5924</v>
      </c>
      <c r="E83" s="22" t="s">
        <v>5925</v>
      </c>
      <c r="F83" s="22" t="s">
        <v>5926</v>
      </c>
    </row>
    <row r="84" spans="1:6" ht="28.2" thickBot="1" x14ac:dyDescent="0.3">
      <c r="A84" s="22" t="s">
        <v>2020</v>
      </c>
      <c r="B84" s="22" t="s">
        <v>5927</v>
      </c>
      <c r="C84" s="22" t="s">
        <v>5928</v>
      </c>
      <c r="D84" s="22" t="s">
        <v>5929</v>
      </c>
      <c r="E84" s="22" t="s">
        <v>5930</v>
      </c>
      <c r="F84" s="22" t="s">
        <v>5931</v>
      </c>
    </row>
    <row r="85" spans="1:6" ht="28.2" thickBot="1" x14ac:dyDescent="0.3">
      <c r="A85" s="22" t="s">
        <v>2180</v>
      </c>
      <c r="B85" s="22" t="s">
        <v>5932</v>
      </c>
      <c r="C85" s="22" t="s">
        <v>5933</v>
      </c>
      <c r="D85" s="22" t="s">
        <v>5934</v>
      </c>
      <c r="E85" s="22" t="s">
        <v>5935</v>
      </c>
      <c r="F85" s="22" t="s">
        <v>5936</v>
      </c>
    </row>
    <row r="86" spans="1:6" ht="28.2" thickBot="1" x14ac:dyDescent="0.3">
      <c r="A86" s="22" t="s">
        <v>2021</v>
      </c>
      <c r="B86" s="22" t="s">
        <v>5937</v>
      </c>
      <c r="C86" s="22" t="s">
        <v>5938</v>
      </c>
      <c r="D86" s="22" t="s">
        <v>5939</v>
      </c>
      <c r="E86" s="22" t="s">
        <v>5940</v>
      </c>
      <c r="F86" s="22" t="s">
        <v>5941</v>
      </c>
    </row>
    <row r="87" spans="1:6" ht="28.2" thickBot="1" x14ac:dyDescent="0.3">
      <c r="A87" s="22" t="s">
        <v>2026</v>
      </c>
      <c r="B87" s="22" t="s">
        <v>5671</v>
      </c>
      <c r="C87" s="22" t="s">
        <v>5671</v>
      </c>
      <c r="D87" s="22" t="s">
        <v>5942</v>
      </c>
      <c r="E87" s="22" t="s">
        <v>5943</v>
      </c>
      <c r="F87" s="22" t="s">
        <v>5944</v>
      </c>
    </row>
    <row r="88" spans="1:6" ht="28.2" thickBot="1" x14ac:dyDescent="0.3">
      <c r="A88" s="22" t="s">
        <v>3401</v>
      </c>
      <c r="B88" s="22" t="s">
        <v>5945</v>
      </c>
      <c r="C88" s="22" t="s">
        <v>5946</v>
      </c>
      <c r="D88" s="22" t="s">
        <v>5947</v>
      </c>
      <c r="E88" s="22" t="s">
        <v>5948</v>
      </c>
      <c r="F88" s="22" t="s">
        <v>5949</v>
      </c>
    </row>
    <row r="89" spans="1:6" ht="28.2" thickBot="1" x14ac:dyDescent="0.3">
      <c r="A89" s="22" t="s">
        <v>3586</v>
      </c>
      <c r="B89" s="22" t="s">
        <v>5671</v>
      </c>
      <c r="C89" s="22" t="s">
        <v>5671</v>
      </c>
      <c r="D89" s="22" t="s">
        <v>5671</v>
      </c>
      <c r="E89" s="22" t="s">
        <v>5671</v>
      </c>
      <c r="F89" s="22" t="s">
        <v>5751</v>
      </c>
    </row>
    <row r="90" spans="1:6" ht="28.2" thickBot="1" x14ac:dyDescent="0.3">
      <c r="A90" s="21" t="s">
        <v>5950</v>
      </c>
      <c r="B90" s="22"/>
      <c r="C90" s="22"/>
      <c r="D90" s="22"/>
      <c r="E90" s="22"/>
      <c r="F90" s="22"/>
    </row>
    <row r="91" spans="1:6" ht="28.2" thickBot="1" x14ac:dyDescent="0.3">
      <c r="A91" s="22" t="s">
        <v>3291</v>
      </c>
      <c r="B91" s="22" t="s">
        <v>5951</v>
      </c>
      <c r="C91" s="22" t="s">
        <v>5952</v>
      </c>
      <c r="D91" s="22" t="s">
        <v>5953</v>
      </c>
      <c r="E91" s="22" t="s">
        <v>5954</v>
      </c>
      <c r="F91" s="22" t="s">
        <v>5955</v>
      </c>
    </row>
    <row r="92" spans="1:6" ht="28.2" thickBot="1" x14ac:dyDescent="0.3">
      <c r="A92" s="22" t="s">
        <v>2028</v>
      </c>
      <c r="B92" s="22" t="s">
        <v>5956</v>
      </c>
      <c r="C92" s="22" t="s">
        <v>5957</v>
      </c>
      <c r="D92" s="22" t="s">
        <v>5958</v>
      </c>
      <c r="E92" s="22" t="s">
        <v>5959</v>
      </c>
      <c r="F92" s="22" t="s">
        <v>5960</v>
      </c>
    </row>
    <row r="93" spans="1:6" ht="28.2" thickBot="1" x14ac:dyDescent="0.3">
      <c r="A93" s="22" t="s">
        <v>5961</v>
      </c>
      <c r="B93" s="22" t="s">
        <v>5962</v>
      </c>
      <c r="C93" s="22" t="s">
        <v>5963</v>
      </c>
      <c r="D93" s="22" t="s">
        <v>5964</v>
      </c>
      <c r="E93" s="22" t="s">
        <v>5965</v>
      </c>
      <c r="F93" s="22" t="s">
        <v>5966</v>
      </c>
    </row>
    <row r="94" spans="1:6" ht="42" thickBot="1" x14ac:dyDescent="0.3">
      <c r="A94" s="22" t="s">
        <v>4211</v>
      </c>
      <c r="B94" s="22" t="s">
        <v>5967</v>
      </c>
      <c r="C94" s="22" t="s">
        <v>5968</v>
      </c>
      <c r="D94" s="22" t="s">
        <v>5969</v>
      </c>
      <c r="E94" s="22" t="s">
        <v>5970</v>
      </c>
      <c r="F94" s="22" t="s">
        <v>5971</v>
      </c>
    </row>
    <row r="95" spans="1:6" ht="28.2" thickBot="1" x14ac:dyDescent="0.3">
      <c r="A95" s="22" t="s">
        <v>5972</v>
      </c>
      <c r="B95" s="22" t="s">
        <v>5671</v>
      </c>
      <c r="C95" s="22" t="s">
        <v>5671</v>
      </c>
      <c r="D95" s="22" t="s">
        <v>5973</v>
      </c>
      <c r="E95" s="22" t="s">
        <v>5671</v>
      </c>
      <c r="F95" s="22" t="s">
        <v>5974</v>
      </c>
    </row>
    <row r="96" spans="1:6" ht="28.2" thickBot="1" x14ac:dyDescent="0.3">
      <c r="A96" s="22" t="s">
        <v>3276</v>
      </c>
      <c r="B96" s="22" t="s">
        <v>5975</v>
      </c>
      <c r="C96" s="22" t="s">
        <v>5976</v>
      </c>
      <c r="D96" s="22" t="s">
        <v>5977</v>
      </c>
      <c r="E96" s="22" t="s">
        <v>5978</v>
      </c>
      <c r="F96" s="22" t="s">
        <v>5979</v>
      </c>
    </row>
    <row r="97" spans="1:6" ht="28.2" thickBot="1" x14ac:dyDescent="0.3">
      <c r="A97" s="22" t="s">
        <v>2920</v>
      </c>
      <c r="B97" s="22" t="s">
        <v>5671</v>
      </c>
      <c r="C97" s="22" t="s">
        <v>5671</v>
      </c>
      <c r="D97" s="22" t="s">
        <v>5671</v>
      </c>
      <c r="E97" s="22" t="s">
        <v>5671</v>
      </c>
      <c r="F97" s="22" t="s">
        <v>5980</v>
      </c>
    </row>
    <row r="98" spans="1:6" ht="28.2" thickBot="1" x14ac:dyDescent="0.3">
      <c r="A98" s="22" t="s">
        <v>2948</v>
      </c>
      <c r="B98" s="22" t="s">
        <v>5671</v>
      </c>
      <c r="C98" s="22" t="s">
        <v>5671</v>
      </c>
      <c r="D98" s="22" t="s">
        <v>5981</v>
      </c>
      <c r="E98" s="22" t="s">
        <v>5982</v>
      </c>
      <c r="F98" s="22" t="s">
        <v>5983</v>
      </c>
    </row>
    <row r="99" spans="1:6" ht="28.2" thickBot="1" x14ac:dyDescent="0.3">
      <c r="A99" s="22" t="s">
        <v>3304</v>
      </c>
      <c r="B99" s="22" t="s">
        <v>5984</v>
      </c>
      <c r="C99" s="22" t="s">
        <v>5671</v>
      </c>
      <c r="D99" s="22" t="s">
        <v>5985</v>
      </c>
      <c r="E99" s="22" t="s">
        <v>5986</v>
      </c>
      <c r="F99" s="22" t="s">
        <v>5987</v>
      </c>
    </row>
    <row r="100" spans="1:6" ht="28.2" thickBot="1" x14ac:dyDescent="0.3">
      <c r="A100" s="22" t="s">
        <v>3439</v>
      </c>
      <c r="B100" s="22" t="s">
        <v>5988</v>
      </c>
      <c r="C100" s="22" t="s">
        <v>5989</v>
      </c>
      <c r="D100" s="22" t="s">
        <v>5990</v>
      </c>
      <c r="E100" s="22" t="s">
        <v>5991</v>
      </c>
      <c r="F100" s="22" t="s">
        <v>5992</v>
      </c>
    </row>
    <row r="101" spans="1:6" ht="28.2" thickBot="1" x14ac:dyDescent="0.3">
      <c r="A101" s="22" t="s">
        <v>3296</v>
      </c>
      <c r="B101" s="22" t="s">
        <v>5993</v>
      </c>
      <c r="C101" s="22" t="s">
        <v>5994</v>
      </c>
      <c r="D101" s="22" t="s">
        <v>5995</v>
      </c>
      <c r="E101" s="22" t="s">
        <v>5996</v>
      </c>
      <c r="F101" s="22" t="s">
        <v>5997</v>
      </c>
    </row>
    <row r="102" spans="1:6" ht="42" thickBot="1" x14ac:dyDescent="0.3">
      <c r="A102" s="22" t="s">
        <v>5998</v>
      </c>
      <c r="B102" s="22" t="s">
        <v>5671</v>
      </c>
      <c r="C102" s="22" t="s">
        <v>5671</v>
      </c>
      <c r="D102" s="22" t="s">
        <v>5671</v>
      </c>
      <c r="E102" s="22" t="s">
        <v>5671</v>
      </c>
      <c r="F102" s="22" t="s">
        <v>5999</v>
      </c>
    </row>
    <row r="103" spans="1:6" ht="28.2" thickBot="1" x14ac:dyDescent="0.3">
      <c r="A103" s="22" t="s">
        <v>4594</v>
      </c>
      <c r="B103" s="22" t="s">
        <v>6000</v>
      </c>
      <c r="C103" s="22" t="s">
        <v>6001</v>
      </c>
      <c r="D103" s="22" t="s">
        <v>6002</v>
      </c>
      <c r="E103" s="22" t="s">
        <v>6003</v>
      </c>
      <c r="F103" s="22" t="s">
        <v>6004</v>
      </c>
    </row>
    <row r="104" spans="1:6" ht="42" thickBot="1" x14ac:dyDescent="0.3">
      <c r="A104" s="22" t="s">
        <v>2925</v>
      </c>
      <c r="B104" s="22" t="s">
        <v>5671</v>
      </c>
      <c r="C104" s="22" t="s">
        <v>5671</v>
      </c>
      <c r="D104" s="22" t="s">
        <v>6005</v>
      </c>
      <c r="E104" s="22" t="s">
        <v>5671</v>
      </c>
      <c r="F104" s="22" t="s">
        <v>6006</v>
      </c>
    </row>
    <row r="105" spans="1:6" ht="28.2" thickBot="1" x14ac:dyDescent="0.3">
      <c r="A105" s="22" t="s">
        <v>6007</v>
      </c>
      <c r="B105" s="22" t="s">
        <v>5671</v>
      </c>
      <c r="C105" s="22" t="s">
        <v>5671</v>
      </c>
      <c r="D105" s="22" t="s">
        <v>5671</v>
      </c>
      <c r="E105" s="22" t="s">
        <v>5671</v>
      </c>
      <c r="F105" s="22" t="s">
        <v>6008</v>
      </c>
    </row>
    <row r="106" spans="1:6" ht="28.2" thickBot="1" x14ac:dyDescent="0.3">
      <c r="A106" s="22" t="s">
        <v>6009</v>
      </c>
      <c r="B106" s="22" t="s">
        <v>6010</v>
      </c>
      <c r="C106" s="22" t="s">
        <v>6011</v>
      </c>
      <c r="D106" s="22" t="s">
        <v>6012</v>
      </c>
      <c r="E106" s="22" t="s">
        <v>5984</v>
      </c>
      <c r="F106" s="22" t="s">
        <v>6013</v>
      </c>
    </row>
    <row r="107" spans="1:6" ht="28.2" thickBot="1" x14ac:dyDescent="0.3">
      <c r="A107" s="22" t="s">
        <v>2181</v>
      </c>
      <c r="B107" s="22" t="s">
        <v>5671</v>
      </c>
      <c r="C107" s="22" t="s">
        <v>5671</v>
      </c>
      <c r="D107" s="22" t="s">
        <v>5671</v>
      </c>
      <c r="E107" s="22" t="s">
        <v>5671</v>
      </c>
      <c r="F107" s="22" t="s">
        <v>6014</v>
      </c>
    </row>
    <row r="108" spans="1:6" ht="42" thickBot="1" x14ac:dyDescent="0.3">
      <c r="A108" s="22" t="s">
        <v>6015</v>
      </c>
      <c r="B108" s="22" t="s">
        <v>5671</v>
      </c>
      <c r="C108" s="22" t="s">
        <v>5671</v>
      </c>
      <c r="D108" s="22" t="s">
        <v>5671</v>
      </c>
      <c r="E108" s="22" t="s">
        <v>5671</v>
      </c>
      <c r="F108" s="22" t="s">
        <v>6016</v>
      </c>
    </row>
    <row r="109" spans="1:6" ht="28.2" thickBot="1" x14ac:dyDescent="0.3">
      <c r="A109" s="22" t="s">
        <v>6017</v>
      </c>
      <c r="B109" s="22" t="s">
        <v>5671</v>
      </c>
      <c r="C109" s="22" t="s">
        <v>5671</v>
      </c>
      <c r="D109" s="22" t="s">
        <v>5671</v>
      </c>
      <c r="E109" s="22" t="s">
        <v>5671</v>
      </c>
      <c r="F109" s="22" t="s">
        <v>6018</v>
      </c>
    </row>
    <row r="110" spans="1:6" ht="14.4" thickBot="1" x14ac:dyDescent="0.3">
      <c r="A110" s="21" t="s">
        <v>6019</v>
      </c>
      <c r="B110" s="22"/>
      <c r="C110" s="22"/>
      <c r="D110" s="22"/>
      <c r="E110" s="22"/>
      <c r="F110" s="22"/>
    </row>
    <row r="111" spans="1:6" ht="42" thickBot="1" x14ac:dyDescent="0.3">
      <c r="A111" s="22" t="s">
        <v>6020</v>
      </c>
      <c r="B111" s="22" t="s">
        <v>5671</v>
      </c>
      <c r="C111" s="22" t="s">
        <v>6021</v>
      </c>
      <c r="D111" s="22" t="s">
        <v>5671</v>
      </c>
      <c r="E111" s="22" t="s">
        <v>6022</v>
      </c>
      <c r="F111" s="22" t="s">
        <v>6023</v>
      </c>
    </row>
    <row r="112" spans="1:6" ht="28.2" thickBot="1" x14ac:dyDescent="0.3">
      <c r="A112" s="22" t="s">
        <v>6024</v>
      </c>
      <c r="B112" s="22" t="s">
        <v>6025</v>
      </c>
      <c r="C112" s="22" t="s">
        <v>6026</v>
      </c>
      <c r="D112" s="22" t="s">
        <v>6027</v>
      </c>
      <c r="E112" s="22" t="s">
        <v>6028</v>
      </c>
      <c r="F112" s="22" t="s">
        <v>6029</v>
      </c>
    </row>
    <row r="113" spans="1:6" ht="28.2" thickBot="1" x14ac:dyDescent="0.3">
      <c r="A113" s="22" t="s">
        <v>6030</v>
      </c>
      <c r="B113" s="22" t="s">
        <v>5671</v>
      </c>
      <c r="C113" s="22" t="s">
        <v>5671</v>
      </c>
      <c r="D113" s="22" t="s">
        <v>5671</v>
      </c>
      <c r="E113" s="22" t="s">
        <v>5671</v>
      </c>
      <c r="F113" s="22" t="s">
        <v>6031</v>
      </c>
    </row>
    <row r="114" spans="1:6" ht="55.8" thickBot="1" x14ac:dyDescent="0.3">
      <c r="A114" s="22" t="s">
        <v>6032</v>
      </c>
      <c r="B114" s="22" t="s">
        <v>6033</v>
      </c>
      <c r="C114" s="22" t="s">
        <v>6034</v>
      </c>
      <c r="D114" s="22" t="s">
        <v>6035</v>
      </c>
      <c r="E114" s="22" t="s">
        <v>6036</v>
      </c>
      <c r="F114" s="22" t="s">
        <v>6037</v>
      </c>
    </row>
    <row r="115" spans="1:6" ht="28.2" thickBot="1" x14ac:dyDescent="0.3">
      <c r="A115" s="22" t="s">
        <v>2320</v>
      </c>
      <c r="B115" s="22" t="s">
        <v>6038</v>
      </c>
      <c r="C115" s="22" t="s">
        <v>6039</v>
      </c>
      <c r="D115" s="22" t="s">
        <v>6040</v>
      </c>
      <c r="E115" s="22" t="s">
        <v>6041</v>
      </c>
      <c r="F115" s="22" t="s">
        <v>5818</v>
      </c>
    </row>
    <row r="116" spans="1:6" ht="28.2" thickBot="1" x14ac:dyDescent="0.3">
      <c r="A116" s="22" t="s">
        <v>6042</v>
      </c>
      <c r="B116" s="22" t="s">
        <v>6043</v>
      </c>
      <c r="C116" s="22" t="s">
        <v>6044</v>
      </c>
      <c r="D116" s="22" t="s">
        <v>6045</v>
      </c>
      <c r="E116" s="22" t="s">
        <v>5671</v>
      </c>
      <c r="F116" s="22" t="s">
        <v>6046</v>
      </c>
    </row>
    <row r="117" spans="1:6" ht="28.2" thickBot="1" x14ac:dyDescent="0.3">
      <c r="A117" s="22" t="s">
        <v>2331</v>
      </c>
      <c r="B117" s="22" t="s">
        <v>6047</v>
      </c>
      <c r="C117" s="22" t="s">
        <v>6048</v>
      </c>
      <c r="D117" s="22" t="s">
        <v>6049</v>
      </c>
      <c r="E117" s="22" t="s">
        <v>5817</v>
      </c>
      <c r="F117" s="22" t="s">
        <v>5817</v>
      </c>
    </row>
    <row r="118" spans="1:6" ht="42" thickBot="1" x14ac:dyDescent="0.3">
      <c r="A118" s="22" t="s">
        <v>6050</v>
      </c>
      <c r="B118" s="22" t="s">
        <v>6051</v>
      </c>
      <c r="C118" s="22" t="s">
        <v>6052</v>
      </c>
      <c r="D118" s="22" t="s">
        <v>6053</v>
      </c>
      <c r="E118" s="22" t="s">
        <v>6054</v>
      </c>
      <c r="F118" s="22" t="s">
        <v>5816</v>
      </c>
    </row>
    <row r="119" spans="1:6" ht="28.2" thickBot="1" x14ac:dyDescent="0.3">
      <c r="A119" s="22" t="s">
        <v>6055</v>
      </c>
      <c r="B119" s="22" t="s">
        <v>6056</v>
      </c>
      <c r="C119" s="22" t="s">
        <v>6057</v>
      </c>
      <c r="D119" s="22" t="s">
        <v>6058</v>
      </c>
      <c r="E119" s="22" t="s">
        <v>6059</v>
      </c>
      <c r="F119" s="22" t="s">
        <v>5671</v>
      </c>
    </row>
    <row r="120" spans="1:6" ht="28.2" thickBot="1" x14ac:dyDescent="0.3">
      <c r="A120" s="22" t="s">
        <v>6060</v>
      </c>
      <c r="B120" s="22" t="s">
        <v>5829</v>
      </c>
      <c r="C120" s="22" t="s">
        <v>6061</v>
      </c>
      <c r="D120" s="22" t="s">
        <v>6062</v>
      </c>
      <c r="E120" s="22" t="s">
        <v>5671</v>
      </c>
      <c r="F120" s="22" t="s">
        <v>5671</v>
      </c>
    </row>
    <row r="121" spans="1:6" ht="28.2" thickBot="1" x14ac:dyDescent="0.3">
      <c r="A121" s="22" t="s">
        <v>6063</v>
      </c>
      <c r="B121" s="22" t="s">
        <v>5671</v>
      </c>
      <c r="C121" s="22" t="s">
        <v>5671</v>
      </c>
      <c r="D121" s="22" t="s">
        <v>6064</v>
      </c>
      <c r="E121" s="22" t="s">
        <v>5671</v>
      </c>
      <c r="F121" s="22" t="s">
        <v>5671</v>
      </c>
    </row>
    <row r="122" spans="1:6" ht="28.2" thickBot="1" x14ac:dyDescent="0.3">
      <c r="A122" s="22" t="s">
        <v>6065</v>
      </c>
      <c r="B122" s="22" t="s">
        <v>5671</v>
      </c>
      <c r="C122" s="22" t="s">
        <v>6066</v>
      </c>
      <c r="D122" s="22" t="s">
        <v>6067</v>
      </c>
      <c r="E122" s="22" t="s">
        <v>5671</v>
      </c>
      <c r="F122" s="22" t="s">
        <v>5671</v>
      </c>
    </row>
    <row r="123" spans="1:6" ht="28.2" thickBot="1" x14ac:dyDescent="0.3">
      <c r="A123" s="22" t="s">
        <v>2341</v>
      </c>
      <c r="B123" s="22" t="s">
        <v>5671</v>
      </c>
      <c r="C123" s="22" t="s">
        <v>5671</v>
      </c>
      <c r="D123" s="22" t="s">
        <v>6068</v>
      </c>
      <c r="E123" s="22" t="s">
        <v>5671</v>
      </c>
      <c r="F123" s="22" t="s">
        <v>5671</v>
      </c>
    </row>
    <row r="124" spans="1:6" ht="28.2" thickBot="1" x14ac:dyDescent="0.3">
      <c r="A124" s="22" t="s">
        <v>3408</v>
      </c>
      <c r="B124" s="22" t="s">
        <v>5671</v>
      </c>
      <c r="C124" s="22" t="s">
        <v>6069</v>
      </c>
      <c r="D124" s="22" t="s">
        <v>5671</v>
      </c>
      <c r="E124" s="22" t="s">
        <v>5671</v>
      </c>
      <c r="F124" s="22" t="s">
        <v>5671</v>
      </c>
    </row>
    <row r="125" spans="1:6" ht="28.2" thickBot="1" x14ac:dyDescent="0.3">
      <c r="A125" s="22" t="s">
        <v>2956</v>
      </c>
      <c r="B125" s="22" t="s">
        <v>6070</v>
      </c>
      <c r="C125" s="22" t="s">
        <v>5671</v>
      </c>
      <c r="D125" s="22" t="s">
        <v>5671</v>
      </c>
      <c r="E125" s="22" t="s">
        <v>5671</v>
      </c>
      <c r="F125" s="22" t="s">
        <v>5671</v>
      </c>
    </row>
    <row r="126" spans="1:6" ht="14.4" thickBot="1" x14ac:dyDescent="0.3">
      <c r="A126" s="21" t="s">
        <v>4552</v>
      </c>
      <c r="B126" s="22"/>
      <c r="C126" s="22"/>
      <c r="D126" s="22"/>
      <c r="E126" s="22"/>
      <c r="F126" s="22"/>
    </row>
    <row r="127" spans="1:6" ht="28.2" thickBot="1" x14ac:dyDescent="0.3">
      <c r="A127" s="22" t="s">
        <v>2857</v>
      </c>
      <c r="B127" s="22" t="s">
        <v>6071</v>
      </c>
      <c r="C127" s="22" t="s">
        <v>6072</v>
      </c>
      <c r="D127" s="22" t="s">
        <v>6073</v>
      </c>
      <c r="E127" s="22" t="s">
        <v>6074</v>
      </c>
      <c r="F127" s="22" t="s">
        <v>6075</v>
      </c>
    </row>
    <row r="128" spans="1:6" ht="28.2" thickBot="1" x14ac:dyDescent="0.3">
      <c r="A128" s="22" t="s">
        <v>6076</v>
      </c>
      <c r="B128" s="22" t="s">
        <v>6077</v>
      </c>
      <c r="C128" s="22" t="s">
        <v>6078</v>
      </c>
      <c r="D128" s="22" t="s">
        <v>6079</v>
      </c>
      <c r="E128" s="22" t="s">
        <v>6080</v>
      </c>
      <c r="F128" s="22" t="s">
        <v>6081</v>
      </c>
    </row>
    <row r="129" spans="1:6" ht="28.2" thickBot="1" x14ac:dyDescent="0.3">
      <c r="A129" s="22" t="s">
        <v>6082</v>
      </c>
      <c r="B129" s="22" t="s">
        <v>6013</v>
      </c>
      <c r="C129" s="22" t="s">
        <v>6083</v>
      </c>
      <c r="D129" s="22" t="s">
        <v>6084</v>
      </c>
      <c r="E129" s="22" t="s">
        <v>5802</v>
      </c>
      <c r="F129" s="22" t="s">
        <v>6085</v>
      </c>
    </row>
    <row r="130" spans="1:6" ht="28.2" thickBot="1" x14ac:dyDescent="0.3">
      <c r="A130" s="22" t="s">
        <v>4555</v>
      </c>
      <c r="B130" s="22" t="s">
        <v>6086</v>
      </c>
      <c r="C130" s="22" t="s">
        <v>5671</v>
      </c>
      <c r="D130" s="22" t="s">
        <v>5671</v>
      </c>
      <c r="E130" s="22" t="s">
        <v>5671</v>
      </c>
      <c r="F130" s="22" t="s">
        <v>5671</v>
      </c>
    </row>
    <row r="131" spans="1:6" ht="14.4" thickBot="1" x14ac:dyDescent="0.3">
      <c r="A131" s="21" t="s">
        <v>4629</v>
      </c>
      <c r="B131" s="22"/>
      <c r="C131" s="22"/>
      <c r="D131" s="22"/>
      <c r="E131" s="22"/>
      <c r="F131" s="22"/>
    </row>
    <row r="132" spans="1:6" ht="28.2" thickBot="1" x14ac:dyDescent="0.3">
      <c r="A132" s="22" t="s">
        <v>6087</v>
      </c>
      <c r="B132" s="22" t="s">
        <v>6088</v>
      </c>
      <c r="C132" s="22" t="s">
        <v>6089</v>
      </c>
      <c r="D132" s="22" t="s">
        <v>6090</v>
      </c>
      <c r="E132" s="22" t="s">
        <v>6091</v>
      </c>
      <c r="F132" s="22" t="s">
        <v>6092</v>
      </c>
    </row>
    <row r="133" spans="1:6" ht="28.2" thickBot="1" x14ac:dyDescent="0.3">
      <c r="A133" s="22" t="s">
        <v>4620</v>
      </c>
      <c r="B133" s="22" t="s">
        <v>6093</v>
      </c>
      <c r="C133" s="22" t="s">
        <v>6094</v>
      </c>
      <c r="D133" s="22" t="s">
        <v>6095</v>
      </c>
      <c r="E133" s="22" t="s">
        <v>6096</v>
      </c>
      <c r="F133" s="22" t="s">
        <v>6097</v>
      </c>
    </row>
    <row r="134" spans="1:6" ht="28.2" thickBot="1" x14ac:dyDescent="0.3">
      <c r="A134" s="22" t="s">
        <v>4625</v>
      </c>
      <c r="B134" s="22" t="s">
        <v>5671</v>
      </c>
      <c r="C134" s="22" t="s">
        <v>5671</v>
      </c>
      <c r="D134" s="22" t="s">
        <v>5671</v>
      </c>
      <c r="E134" s="22" t="s">
        <v>5671</v>
      </c>
      <c r="F134" s="22" t="s">
        <v>6069</v>
      </c>
    </row>
    <row r="135" spans="1:6" ht="28.2" thickBot="1" x14ac:dyDescent="0.3">
      <c r="A135" s="22" t="s">
        <v>6098</v>
      </c>
      <c r="B135" s="22" t="s">
        <v>6099</v>
      </c>
      <c r="C135" s="22" t="s">
        <v>6100</v>
      </c>
      <c r="D135" s="22" t="s">
        <v>5817</v>
      </c>
      <c r="E135" s="22" t="s">
        <v>6101</v>
      </c>
      <c r="F135" s="22" t="s">
        <v>5816</v>
      </c>
    </row>
    <row r="136" spans="1:6" ht="28.2" thickBot="1" x14ac:dyDescent="0.3">
      <c r="A136" s="22" t="s">
        <v>6102</v>
      </c>
      <c r="B136" s="22" t="s">
        <v>5671</v>
      </c>
      <c r="C136" s="22" t="s">
        <v>6103</v>
      </c>
      <c r="D136" s="22" t="s">
        <v>5671</v>
      </c>
      <c r="E136" s="22" t="s">
        <v>6104</v>
      </c>
      <c r="F136" s="22" t="s">
        <v>5671</v>
      </c>
    </row>
    <row r="137" spans="1:6" ht="28.2" thickBot="1" x14ac:dyDescent="0.3">
      <c r="A137" s="22" t="s">
        <v>6105</v>
      </c>
      <c r="B137" s="22" t="s">
        <v>6106</v>
      </c>
      <c r="C137" s="22" t="s">
        <v>5671</v>
      </c>
      <c r="D137" s="22" t="s">
        <v>5671</v>
      </c>
      <c r="E137" s="22" t="s">
        <v>5671</v>
      </c>
      <c r="F137" s="22" t="s">
        <v>5671</v>
      </c>
    </row>
    <row r="138" spans="1:6" ht="28.2" thickBot="1" x14ac:dyDescent="0.3">
      <c r="A138" s="22" t="s">
        <v>6107</v>
      </c>
      <c r="B138" s="22" t="s">
        <v>6108</v>
      </c>
      <c r="C138" s="22" t="s">
        <v>5671</v>
      </c>
      <c r="D138" s="22" t="s">
        <v>5671</v>
      </c>
      <c r="E138" s="22" t="s">
        <v>5671</v>
      </c>
      <c r="F138" s="22" t="s">
        <v>5671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BE97-FA86-40F6-8DDB-B7C9EABE934E}">
  <dimension ref="A1:AT64"/>
  <sheetViews>
    <sheetView topLeftCell="P1" workbookViewId="0">
      <selection activeCell="AK2" sqref="AK2:AT64"/>
    </sheetView>
  </sheetViews>
  <sheetFormatPr defaultRowHeight="13.8" x14ac:dyDescent="0.25"/>
  <sheetData>
    <row r="1" spans="1:46" ht="49.2" thickBot="1" x14ac:dyDescent="0.3">
      <c r="A1" s="25" t="s">
        <v>6128</v>
      </c>
      <c r="B1" s="21" t="s">
        <v>6115</v>
      </c>
      <c r="C1" s="21" t="s">
        <v>6116</v>
      </c>
      <c r="D1" s="21" t="s">
        <v>6117</v>
      </c>
      <c r="E1" s="21" t="s">
        <v>6118</v>
      </c>
      <c r="F1" s="21" t="s">
        <v>6119</v>
      </c>
      <c r="G1" s="21" t="s">
        <v>6120</v>
      </c>
      <c r="H1" s="21" t="s">
        <v>6121</v>
      </c>
      <c r="I1" s="21" t="s">
        <v>6122</v>
      </c>
      <c r="J1" s="21" t="s">
        <v>6123</v>
      </c>
      <c r="K1" s="21" t="s">
        <v>6124</v>
      </c>
      <c r="M1" s="21" t="s">
        <v>2845</v>
      </c>
      <c r="N1" s="25" t="s">
        <v>6129</v>
      </c>
      <c r="O1" s="21" t="s">
        <v>6115</v>
      </c>
      <c r="P1" s="21" t="s">
        <v>6116</v>
      </c>
      <c r="Q1" s="21" t="s">
        <v>6117</v>
      </c>
      <c r="R1" s="21" t="s">
        <v>6118</v>
      </c>
      <c r="S1" s="21" t="s">
        <v>6119</v>
      </c>
      <c r="T1" s="21" t="s">
        <v>6120</v>
      </c>
      <c r="U1" s="21" t="s">
        <v>6121</v>
      </c>
      <c r="V1" s="21" t="s">
        <v>6122</v>
      </c>
      <c r="W1" s="21" t="s">
        <v>6123</v>
      </c>
      <c r="X1" s="21" t="s">
        <v>6124</v>
      </c>
    </row>
    <row r="2" spans="1:46" ht="14.4" thickBot="1" x14ac:dyDescent="0.3">
      <c r="A2" s="21" t="s">
        <v>2940</v>
      </c>
      <c r="B2" s="22"/>
      <c r="C2" s="22"/>
      <c r="D2" s="22"/>
      <c r="E2" s="22"/>
      <c r="F2" s="22"/>
      <c r="G2" s="22"/>
      <c r="H2" s="22"/>
      <c r="I2" s="22"/>
      <c r="J2" s="22"/>
      <c r="K2" s="22"/>
      <c r="M2" s="22">
        <v>1</v>
      </c>
      <c r="N2" s="22" t="s">
        <v>2017</v>
      </c>
      <c r="O2" s="22">
        <v>3304.5</v>
      </c>
      <c r="P2" s="22">
        <v>3302.6</v>
      </c>
      <c r="Q2" s="22">
        <v>3283.1</v>
      </c>
      <c r="R2" s="22">
        <v>2421.5</v>
      </c>
      <c r="S2" s="22">
        <v>2408.1</v>
      </c>
      <c r="T2" s="22">
        <v>2484.1</v>
      </c>
      <c r="U2" s="22">
        <v>2432.1999999999998</v>
      </c>
      <c r="V2" s="22">
        <v>2639.3</v>
      </c>
      <c r="W2" s="22">
        <v>2770.1</v>
      </c>
      <c r="X2" s="22">
        <v>2658.7</v>
      </c>
      <c r="Z2" s="37">
        <v>1000</v>
      </c>
      <c r="AA2" s="37">
        <v>1000</v>
      </c>
      <c r="AB2" s="37">
        <v>1000</v>
      </c>
      <c r="AC2" s="37">
        <v>1000</v>
      </c>
      <c r="AD2" s="37">
        <v>1000</v>
      </c>
      <c r="AE2" s="37">
        <v>1000</v>
      </c>
      <c r="AF2" s="37">
        <v>1000</v>
      </c>
      <c r="AG2" s="37">
        <v>1000</v>
      </c>
      <c r="AH2" s="37">
        <v>1000</v>
      </c>
      <c r="AI2" s="37">
        <v>1000</v>
      </c>
      <c r="AK2">
        <f>O2*Z2</f>
        <v>3304500</v>
      </c>
      <c r="AL2">
        <f t="shared" ref="AL2:AT2" si="0">P2*AA2</f>
        <v>3302600</v>
      </c>
      <c r="AM2">
        <f t="shared" si="0"/>
        <v>3283100</v>
      </c>
      <c r="AN2">
        <f t="shared" si="0"/>
        <v>2421500</v>
      </c>
      <c r="AO2">
        <f t="shared" si="0"/>
        <v>2408100</v>
      </c>
      <c r="AP2">
        <f t="shared" si="0"/>
        <v>2484100</v>
      </c>
      <c r="AQ2">
        <f t="shared" si="0"/>
        <v>2432200</v>
      </c>
      <c r="AR2">
        <f t="shared" si="0"/>
        <v>2639300</v>
      </c>
      <c r="AS2">
        <f t="shared" si="0"/>
        <v>2770100</v>
      </c>
      <c r="AT2">
        <f t="shared" si="0"/>
        <v>2658700</v>
      </c>
    </row>
    <row r="3" spans="1:46" ht="28.2" thickBot="1" x14ac:dyDescent="0.3">
      <c r="A3" s="22" t="s">
        <v>3856</v>
      </c>
      <c r="B3" s="22">
        <v>20.100000000000001</v>
      </c>
      <c r="C3" s="22">
        <v>10.7</v>
      </c>
      <c r="D3" s="22">
        <v>23.1</v>
      </c>
      <c r="E3" s="22">
        <v>9.5</v>
      </c>
      <c r="F3" s="22">
        <v>17.5</v>
      </c>
      <c r="G3" s="22">
        <v>18.5</v>
      </c>
      <c r="H3" s="22">
        <v>8.1</v>
      </c>
      <c r="I3" s="22">
        <v>1.9</v>
      </c>
      <c r="J3" s="22">
        <v>11.8</v>
      </c>
      <c r="K3" s="22">
        <v>2.1</v>
      </c>
      <c r="M3" s="22">
        <v>2</v>
      </c>
      <c r="N3" s="22" t="s">
        <v>2162</v>
      </c>
      <c r="O3" s="22" t="s">
        <v>2908</v>
      </c>
      <c r="P3" s="22" t="s">
        <v>2908</v>
      </c>
      <c r="Q3" s="22" t="s">
        <v>2908</v>
      </c>
      <c r="R3" s="22" t="s">
        <v>2908</v>
      </c>
      <c r="S3" s="22" t="s">
        <v>2908</v>
      </c>
      <c r="T3" s="22" t="s">
        <v>2908</v>
      </c>
      <c r="U3" s="22" t="s">
        <v>2908</v>
      </c>
      <c r="V3" s="22" t="s">
        <v>2908</v>
      </c>
      <c r="W3" s="22" t="s">
        <v>2908</v>
      </c>
      <c r="X3" s="22" t="s">
        <v>2908</v>
      </c>
      <c r="Z3" s="37">
        <v>1000</v>
      </c>
      <c r="AA3" s="37">
        <v>1000</v>
      </c>
      <c r="AB3" s="37">
        <v>1000</v>
      </c>
      <c r="AC3" s="37">
        <v>1000</v>
      </c>
      <c r="AD3" s="37">
        <v>1000</v>
      </c>
      <c r="AE3" s="37">
        <v>1000</v>
      </c>
      <c r="AF3" s="37">
        <v>1000</v>
      </c>
      <c r="AG3" s="37">
        <v>1000</v>
      </c>
      <c r="AH3" s="37">
        <v>1000</v>
      </c>
      <c r="AI3" s="37">
        <v>1000</v>
      </c>
      <c r="AK3" t="e">
        <f t="shared" ref="AK3:AK64" si="1">O3*Z3</f>
        <v>#VALUE!</v>
      </c>
      <c r="AL3" t="e">
        <f t="shared" ref="AL3:AL64" si="2">P3*AA3</f>
        <v>#VALUE!</v>
      </c>
      <c r="AM3" t="e">
        <f t="shared" ref="AM3:AM64" si="3">Q3*AB3</f>
        <v>#VALUE!</v>
      </c>
      <c r="AN3" t="e">
        <f t="shared" ref="AN3:AN64" si="4">R3*AC3</f>
        <v>#VALUE!</v>
      </c>
      <c r="AO3" t="e">
        <f t="shared" ref="AO3:AO64" si="5">S3*AD3</f>
        <v>#VALUE!</v>
      </c>
      <c r="AP3" t="e">
        <f t="shared" ref="AP3:AP64" si="6">T3*AE3</f>
        <v>#VALUE!</v>
      </c>
      <c r="AQ3" t="e">
        <f t="shared" ref="AQ3:AQ64" si="7">U3*AF3</f>
        <v>#VALUE!</v>
      </c>
      <c r="AR3" t="e">
        <f t="shared" ref="AR3:AR64" si="8">V3*AG3</f>
        <v>#VALUE!</v>
      </c>
      <c r="AS3" t="e">
        <f t="shared" ref="AS3:AS64" si="9">W3*AH3</f>
        <v>#VALUE!</v>
      </c>
      <c r="AT3" t="e">
        <f t="shared" ref="AT3:AT64" si="10">X3*AI3</f>
        <v>#VALUE!</v>
      </c>
    </row>
    <row r="4" spans="1:46" ht="14.4" thickBot="1" x14ac:dyDescent="0.3">
      <c r="A4" s="22" t="s">
        <v>2022</v>
      </c>
      <c r="B4" s="22">
        <v>1887.1</v>
      </c>
      <c r="C4" s="22">
        <v>1843</v>
      </c>
      <c r="D4" s="22">
        <v>2014.7</v>
      </c>
      <c r="E4" s="22">
        <v>2066.9</v>
      </c>
      <c r="F4" s="22">
        <v>2811.9</v>
      </c>
      <c r="G4" s="22">
        <v>2947.6</v>
      </c>
      <c r="H4" s="22">
        <v>874.9</v>
      </c>
      <c r="I4" s="22">
        <v>604.6</v>
      </c>
      <c r="J4" s="22">
        <v>1589.7</v>
      </c>
      <c r="K4" s="22">
        <v>620.5</v>
      </c>
      <c r="M4" s="22">
        <v>3</v>
      </c>
      <c r="N4" s="22" t="s">
        <v>2018</v>
      </c>
      <c r="O4" s="22">
        <v>356.4</v>
      </c>
      <c r="P4" s="22">
        <v>447.4</v>
      </c>
      <c r="Q4" s="22">
        <v>370.7</v>
      </c>
      <c r="R4" s="22">
        <v>264.89999999999998</v>
      </c>
      <c r="S4" s="22">
        <v>136.4</v>
      </c>
      <c r="T4" s="22">
        <v>181.7</v>
      </c>
      <c r="U4" s="22">
        <v>149.4</v>
      </c>
      <c r="V4" s="22">
        <v>185.9</v>
      </c>
      <c r="W4" s="22">
        <v>206.3</v>
      </c>
      <c r="X4" s="22">
        <v>191.3</v>
      </c>
      <c r="Z4" s="37">
        <v>1000</v>
      </c>
      <c r="AA4" s="37">
        <v>1000</v>
      </c>
      <c r="AB4" s="37">
        <v>1000</v>
      </c>
      <c r="AC4" s="37">
        <v>1000</v>
      </c>
      <c r="AD4" s="37">
        <v>1000</v>
      </c>
      <c r="AE4" s="37">
        <v>1000</v>
      </c>
      <c r="AF4" s="37">
        <v>1000</v>
      </c>
      <c r="AG4" s="37">
        <v>1000</v>
      </c>
      <c r="AH4" s="37">
        <v>1000</v>
      </c>
      <c r="AI4" s="37">
        <v>1000</v>
      </c>
      <c r="AK4">
        <f t="shared" si="1"/>
        <v>356400</v>
      </c>
      <c r="AL4">
        <f t="shared" si="2"/>
        <v>447400</v>
      </c>
      <c r="AM4">
        <f t="shared" si="3"/>
        <v>370700</v>
      </c>
      <c r="AN4">
        <f t="shared" si="4"/>
        <v>264900</v>
      </c>
      <c r="AO4">
        <f t="shared" si="5"/>
        <v>136400</v>
      </c>
      <c r="AP4">
        <f t="shared" si="6"/>
        <v>181700</v>
      </c>
      <c r="AQ4">
        <f t="shared" si="7"/>
        <v>149400</v>
      </c>
      <c r="AR4">
        <f t="shared" si="8"/>
        <v>185900</v>
      </c>
      <c r="AS4">
        <f t="shared" si="9"/>
        <v>206300</v>
      </c>
      <c r="AT4">
        <f t="shared" si="10"/>
        <v>191300</v>
      </c>
    </row>
    <row r="5" spans="1:46" ht="14.4" thickBot="1" x14ac:dyDescent="0.3">
      <c r="A5" s="22" t="s">
        <v>3392</v>
      </c>
      <c r="B5" s="22">
        <v>15.2</v>
      </c>
      <c r="C5" s="22">
        <v>16.8</v>
      </c>
      <c r="D5" s="22">
        <v>14.7</v>
      </c>
      <c r="E5" s="22">
        <v>6.8</v>
      </c>
      <c r="F5" s="22">
        <v>4.8</v>
      </c>
      <c r="G5" s="22">
        <v>12.5</v>
      </c>
      <c r="H5" s="22">
        <v>8.1999999999999993</v>
      </c>
      <c r="I5" s="22">
        <v>11.1</v>
      </c>
      <c r="J5" s="22">
        <v>7.6</v>
      </c>
      <c r="K5" s="22">
        <v>7.6</v>
      </c>
      <c r="M5" s="22">
        <v>4</v>
      </c>
      <c r="N5" s="22" t="s">
        <v>2022</v>
      </c>
      <c r="O5" s="22">
        <v>1887.1</v>
      </c>
      <c r="P5" s="22">
        <v>1843</v>
      </c>
      <c r="Q5" s="22">
        <v>2014.7</v>
      </c>
      <c r="R5" s="22">
        <v>2066.9</v>
      </c>
      <c r="S5" s="22">
        <v>2811.9</v>
      </c>
      <c r="T5" s="22">
        <v>2947.6</v>
      </c>
      <c r="U5" s="22">
        <v>874.9</v>
      </c>
      <c r="V5" s="22">
        <v>604.6</v>
      </c>
      <c r="W5" s="22">
        <v>1589.7</v>
      </c>
      <c r="X5" s="22">
        <v>620.5</v>
      </c>
      <c r="Z5" s="37">
        <v>1000</v>
      </c>
      <c r="AA5" s="37">
        <v>1000</v>
      </c>
      <c r="AB5" s="37">
        <v>1000</v>
      </c>
      <c r="AC5" s="37">
        <v>1000</v>
      </c>
      <c r="AD5" s="37">
        <v>1000</v>
      </c>
      <c r="AE5" s="37">
        <v>1000</v>
      </c>
      <c r="AF5" s="37">
        <v>1000</v>
      </c>
      <c r="AG5" s="37">
        <v>1000</v>
      </c>
      <c r="AH5" s="37">
        <v>1000</v>
      </c>
      <c r="AI5" s="37">
        <v>1000</v>
      </c>
      <c r="AK5">
        <f t="shared" si="1"/>
        <v>1887100</v>
      </c>
      <c r="AL5">
        <f t="shared" si="2"/>
        <v>1843000</v>
      </c>
      <c r="AM5">
        <f t="shared" si="3"/>
        <v>2014700</v>
      </c>
      <c r="AN5">
        <f t="shared" si="4"/>
        <v>2066900</v>
      </c>
      <c r="AO5">
        <f t="shared" si="5"/>
        <v>2811900</v>
      </c>
      <c r="AP5">
        <f t="shared" si="6"/>
        <v>2947600</v>
      </c>
      <c r="AQ5">
        <f t="shared" si="7"/>
        <v>874900</v>
      </c>
      <c r="AR5">
        <f t="shared" si="8"/>
        <v>604600</v>
      </c>
      <c r="AS5">
        <f t="shared" si="9"/>
        <v>1589700</v>
      </c>
      <c r="AT5">
        <f t="shared" si="10"/>
        <v>620500</v>
      </c>
    </row>
    <row r="6" spans="1:46" ht="28.2" thickBot="1" x14ac:dyDescent="0.3">
      <c r="A6" s="22" t="s">
        <v>2164</v>
      </c>
      <c r="B6" s="22">
        <v>5.7</v>
      </c>
      <c r="C6" s="22">
        <v>4.4000000000000004</v>
      </c>
      <c r="D6" s="22">
        <v>5.6</v>
      </c>
      <c r="E6" s="22">
        <v>3.1</v>
      </c>
      <c r="F6" s="22">
        <v>2.5</v>
      </c>
      <c r="G6" s="22">
        <v>3.8</v>
      </c>
      <c r="H6" s="22">
        <v>1.1000000000000001</v>
      </c>
      <c r="I6" s="22">
        <v>2</v>
      </c>
      <c r="J6" s="22">
        <v>1.9</v>
      </c>
      <c r="K6" s="22">
        <v>3.1</v>
      </c>
      <c r="M6" s="22">
        <v>5</v>
      </c>
      <c r="N6" s="22" t="s">
        <v>2023</v>
      </c>
      <c r="O6" s="22">
        <v>30</v>
      </c>
      <c r="P6" s="22">
        <v>7.2</v>
      </c>
      <c r="Q6" s="22">
        <v>28.8</v>
      </c>
      <c r="R6" s="22">
        <v>37.1</v>
      </c>
      <c r="S6" s="22">
        <v>22.6</v>
      </c>
      <c r="T6" s="22">
        <v>26.3</v>
      </c>
      <c r="U6" s="22">
        <v>2.7</v>
      </c>
      <c r="V6" s="22">
        <v>13.3</v>
      </c>
      <c r="W6" s="22">
        <v>8.6</v>
      </c>
      <c r="X6" s="22">
        <v>13.6</v>
      </c>
      <c r="Z6" s="37">
        <v>1000</v>
      </c>
      <c r="AA6" s="37">
        <v>1000</v>
      </c>
      <c r="AB6" s="37">
        <v>1000</v>
      </c>
      <c r="AC6" s="37">
        <v>1000</v>
      </c>
      <c r="AD6" s="37">
        <v>1000</v>
      </c>
      <c r="AE6" s="37">
        <v>1000</v>
      </c>
      <c r="AF6" s="37">
        <v>1000</v>
      </c>
      <c r="AG6" s="37">
        <v>1000</v>
      </c>
      <c r="AH6" s="37">
        <v>1000</v>
      </c>
      <c r="AI6" s="37">
        <v>1000</v>
      </c>
      <c r="AK6">
        <f t="shared" si="1"/>
        <v>30000</v>
      </c>
      <c r="AL6">
        <f t="shared" si="2"/>
        <v>7200</v>
      </c>
      <c r="AM6">
        <f t="shared" si="3"/>
        <v>28800</v>
      </c>
      <c r="AN6">
        <f t="shared" si="4"/>
        <v>37100</v>
      </c>
      <c r="AO6">
        <f t="shared" si="5"/>
        <v>22600</v>
      </c>
      <c r="AP6">
        <f t="shared" si="6"/>
        <v>26300</v>
      </c>
      <c r="AQ6">
        <f t="shared" si="7"/>
        <v>2700</v>
      </c>
      <c r="AR6">
        <f t="shared" si="8"/>
        <v>13300</v>
      </c>
      <c r="AS6">
        <f t="shared" si="9"/>
        <v>8600</v>
      </c>
      <c r="AT6">
        <f t="shared" si="10"/>
        <v>13600</v>
      </c>
    </row>
    <row r="7" spans="1:46" ht="14.4" thickBot="1" x14ac:dyDescent="0.3">
      <c r="A7" s="22" t="s">
        <v>2018</v>
      </c>
      <c r="B7" s="22">
        <v>356.4</v>
      </c>
      <c r="C7" s="22">
        <v>447.4</v>
      </c>
      <c r="D7" s="22">
        <v>370.7</v>
      </c>
      <c r="E7" s="22">
        <v>264.89999999999998</v>
      </c>
      <c r="F7" s="22">
        <v>136.4</v>
      </c>
      <c r="G7" s="22">
        <v>181.7</v>
      </c>
      <c r="H7" s="22">
        <v>149.4</v>
      </c>
      <c r="I7" s="22">
        <v>185.9</v>
      </c>
      <c r="J7" s="22">
        <v>206.3</v>
      </c>
      <c r="K7" s="22">
        <v>191.3</v>
      </c>
      <c r="M7" s="22">
        <v>6</v>
      </c>
      <c r="N7" s="22" t="s">
        <v>2019</v>
      </c>
      <c r="O7" s="22">
        <v>72.3</v>
      </c>
      <c r="P7" s="22">
        <v>29</v>
      </c>
      <c r="Q7" s="22">
        <v>73.900000000000006</v>
      </c>
      <c r="R7" s="22">
        <v>49.5</v>
      </c>
      <c r="S7" s="22">
        <v>72.900000000000006</v>
      </c>
      <c r="T7" s="22">
        <v>69.599999999999994</v>
      </c>
      <c r="U7" s="22">
        <v>36.700000000000003</v>
      </c>
      <c r="V7" s="22">
        <v>30.5</v>
      </c>
      <c r="W7" s="22">
        <v>35.9</v>
      </c>
      <c r="X7" s="22">
        <v>29.1</v>
      </c>
      <c r="Z7" s="37">
        <v>1000</v>
      </c>
      <c r="AA7" s="37">
        <v>1000</v>
      </c>
      <c r="AB7" s="37">
        <v>1000</v>
      </c>
      <c r="AC7" s="37">
        <v>1000</v>
      </c>
      <c r="AD7" s="37">
        <v>1000</v>
      </c>
      <c r="AE7" s="37">
        <v>1000</v>
      </c>
      <c r="AF7" s="37">
        <v>1000</v>
      </c>
      <c r="AG7" s="37">
        <v>1000</v>
      </c>
      <c r="AH7" s="37">
        <v>1000</v>
      </c>
      <c r="AI7" s="37">
        <v>1000</v>
      </c>
      <c r="AK7">
        <f t="shared" si="1"/>
        <v>72300</v>
      </c>
      <c r="AL7">
        <f t="shared" si="2"/>
        <v>29000</v>
      </c>
      <c r="AM7">
        <f t="shared" si="3"/>
        <v>73900</v>
      </c>
      <c r="AN7">
        <f t="shared" si="4"/>
        <v>49500</v>
      </c>
      <c r="AO7">
        <f t="shared" si="5"/>
        <v>72900</v>
      </c>
      <c r="AP7">
        <f t="shared" si="6"/>
        <v>69600</v>
      </c>
      <c r="AQ7">
        <f t="shared" si="7"/>
        <v>36700</v>
      </c>
      <c r="AR7">
        <f t="shared" si="8"/>
        <v>30500</v>
      </c>
      <c r="AS7">
        <f t="shared" si="9"/>
        <v>35900</v>
      </c>
      <c r="AT7">
        <f t="shared" si="10"/>
        <v>29100</v>
      </c>
    </row>
    <row r="8" spans="1:46" ht="28.2" thickBot="1" x14ac:dyDescent="0.3">
      <c r="A8" s="22" t="s">
        <v>2915</v>
      </c>
      <c r="B8" s="22">
        <v>4.0999999999999996</v>
      </c>
      <c r="C8" s="22">
        <v>6.2</v>
      </c>
      <c r="D8" s="22">
        <v>2.1</v>
      </c>
      <c r="E8" s="22">
        <v>0.3</v>
      </c>
      <c r="F8" s="22">
        <v>0.3</v>
      </c>
      <c r="G8" s="22">
        <v>0.5</v>
      </c>
      <c r="H8" s="22">
        <v>1.5</v>
      </c>
      <c r="I8" s="22">
        <v>5.3</v>
      </c>
      <c r="J8" s="22">
        <v>6.6</v>
      </c>
      <c r="K8" s="22">
        <v>0.3</v>
      </c>
      <c r="M8" s="22">
        <v>7</v>
      </c>
      <c r="N8" s="22" t="s">
        <v>2178</v>
      </c>
      <c r="O8" s="22">
        <v>26.3</v>
      </c>
      <c r="P8" s="22">
        <v>12.7</v>
      </c>
      <c r="Q8" s="22">
        <v>25.9</v>
      </c>
      <c r="R8" s="22">
        <v>25.8</v>
      </c>
      <c r="S8" s="22">
        <v>26.8</v>
      </c>
      <c r="T8" s="22">
        <v>26.5</v>
      </c>
      <c r="U8" s="22">
        <v>21.6</v>
      </c>
      <c r="V8" s="22">
        <v>13.5</v>
      </c>
      <c r="W8" s="22">
        <v>13.2</v>
      </c>
      <c r="X8" s="22">
        <v>13.5</v>
      </c>
      <c r="Z8" s="37">
        <v>1000</v>
      </c>
      <c r="AA8" s="37">
        <v>1000</v>
      </c>
      <c r="AB8" s="37">
        <v>1000</v>
      </c>
      <c r="AC8" s="37">
        <v>1000</v>
      </c>
      <c r="AD8" s="37">
        <v>1000</v>
      </c>
      <c r="AE8" s="37">
        <v>1000</v>
      </c>
      <c r="AF8" s="37">
        <v>1000</v>
      </c>
      <c r="AG8" s="37">
        <v>1000</v>
      </c>
      <c r="AH8" s="37">
        <v>1000</v>
      </c>
      <c r="AI8" s="37">
        <v>1000</v>
      </c>
      <c r="AK8">
        <f t="shared" si="1"/>
        <v>26300</v>
      </c>
      <c r="AL8">
        <f t="shared" si="2"/>
        <v>12700</v>
      </c>
      <c r="AM8">
        <f t="shared" si="3"/>
        <v>25900</v>
      </c>
      <c r="AN8">
        <f t="shared" si="4"/>
        <v>25800</v>
      </c>
      <c r="AO8">
        <f t="shared" si="5"/>
        <v>26800</v>
      </c>
      <c r="AP8">
        <f t="shared" si="6"/>
        <v>26500</v>
      </c>
      <c r="AQ8">
        <f t="shared" si="7"/>
        <v>21600</v>
      </c>
      <c r="AR8">
        <f t="shared" si="8"/>
        <v>13500</v>
      </c>
      <c r="AS8">
        <f t="shared" si="9"/>
        <v>13200</v>
      </c>
      <c r="AT8">
        <f t="shared" si="10"/>
        <v>13500</v>
      </c>
    </row>
    <row r="9" spans="1:46" ht="14.4" thickBot="1" x14ac:dyDescent="0.3">
      <c r="A9" s="22" t="s">
        <v>2019</v>
      </c>
      <c r="B9" s="22">
        <v>72.3</v>
      </c>
      <c r="C9" s="22">
        <v>29</v>
      </c>
      <c r="D9" s="22">
        <v>73.900000000000006</v>
      </c>
      <c r="E9" s="22">
        <v>49.5</v>
      </c>
      <c r="F9" s="22">
        <v>72.900000000000006</v>
      </c>
      <c r="G9" s="22">
        <v>69.599999999999994</v>
      </c>
      <c r="H9" s="22">
        <v>36.700000000000003</v>
      </c>
      <c r="I9" s="22">
        <v>30.5</v>
      </c>
      <c r="J9" s="22">
        <v>35.9</v>
      </c>
      <c r="K9" s="22">
        <v>29.1</v>
      </c>
      <c r="M9" s="22">
        <v>8</v>
      </c>
      <c r="N9" s="22" t="s">
        <v>2898</v>
      </c>
      <c r="O9" s="22">
        <v>1629.1</v>
      </c>
      <c r="P9" s="22">
        <v>1191.7</v>
      </c>
      <c r="Q9" s="22">
        <v>1595.2</v>
      </c>
      <c r="R9" s="22">
        <v>2118.6999999999998</v>
      </c>
      <c r="S9" s="22">
        <v>2011.4</v>
      </c>
      <c r="T9" s="22">
        <v>2311.3000000000002</v>
      </c>
      <c r="U9" s="22">
        <v>1170.3</v>
      </c>
      <c r="V9" s="22">
        <v>1931.9</v>
      </c>
      <c r="W9" s="22">
        <v>1920.6</v>
      </c>
      <c r="X9" s="22">
        <v>2030.4</v>
      </c>
      <c r="Z9" s="37">
        <v>1000</v>
      </c>
      <c r="AA9" s="37">
        <v>1000</v>
      </c>
      <c r="AB9" s="37">
        <v>1000</v>
      </c>
      <c r="AC9" s="37">
        <v>1000</v>
      </c>
      <c r="AD9" s="37">
        <v>1000</v>
      </c>
      <c r="AE9" s="37">
        <v>1000</v>
      </c>
      <c r="AF9" s="37">
        <v>1000</v>
      </c>
      <c r="AG9" s="37">
        <v>1000</v>
      </c>
      <c r="AH9" s="37">
        <v>1000</v>
      </c>
      <c r="AI9" s="37">
        <v>1000</v>
      </c>
      <c r="AK9">
        <f t="shared" si="1"/>
        <v>1629100</v>
      </c>
      <c r="AL9">
        <f t="shared" si="2"/>
        <v>1191700</v>
      </c>
      <c r="AM9">
        <f t="shared" si="3"/>
        <v>1595200</v>
      </c>
      <c r="AN9">
        <f t="shared" si="4"/>
        <v>2118700</v>
      </c>
      <c r="AO9">
        <f t="shared" si="5"/>
        <v>2011400</v>
      </c>
      <c r="AP9">
        <f t="shared" si="6"/>
        <v>2311300</v>
      </c>
      <c r="AQ9">
        <f t="shared" si="7"/>
        <v>1170300</v>
      </c>
      <c r="AR9">
        <f t="shared" si="8"/>
        <v>1931900</v>
      </c>
      <c r="AS9">
        <f t="shared" si="9"/>
        <v>1920600</v>
      </c>
      <c r="AT9">
        <f t="shared" si="10"/>
        <v>2030400</v>
      </c>
    </row>
    <row r="10" spans="1:46" ht="42" thickBot="1" x14ac:dyDescent="0.3">
      <c r="A10" s="22" t="s">
        <v>2017</v>
      </c>
      <c r="B10" s="22">
        <v>3304.5</v>
      </c>
      <c r="C10" s="22">
        <v>3302.6</v>
      </c>
      <c r="D10" s="22">
        <v>3283.1</v>
      </c>
      <c r="E10" s="22">
        <v>2421.5</v>
      </c>
      <c r="F10" s="22">
        <v>2408.1</v>
      </c>
      <c r="G10" s="22">
        <v>2484.1</v>
      </c>
      <c r="H10" s="22">
        <v>2432.1999999999998</v>
      </c>
      <c r="I10" s="22">
        <v>2639.3</v>
      </c>
      <c r="J10" s="22">
        <v>2770.1</v>
      </c>
      <c r="K10" s="22">
        <v>2658.7</v>
      </c>
      <c r="M10" s="22">
        <v>9</v>
      </c>
      <c r="N10" s="22" t="s">
        <v>2909</v>
      </c>
      <c r="O10" s="22" t="s">
        <v>2908</v>
      </c>
      <c r="P10" s="22" t="s">
        <v>2908</v>
      </c>
      <c r="Q10" s="22" t="s">
        <v>2908</v>
      </c>
      <c r="R10" s="22" t="s">
        <v>2908</v>
      </c>
      <c r="S10" s="22" t="s">
        <v>2908</v>
      </c>
      <c r="T10" s="22" t="s">
        <v>2908</v>
      </c>
      <c r="U10" s="22" t="s">
        <v>2908</v>
      </c>
      <c r="V10" s="22" t="s">
        <v>2908</v>
      </c>
      <c r="W10" s="22" t="s">
        <v>2908</v>
      </c>
      <c r="X10" s="22" t="s">
        <v>2908</v>
      </c>
      <c r="Z10" s="37">
        <v>1000</v>
      </c>
      <c r="AA10" s="37">
        <v>1000</v>
      </c>
      <c r="AB10" s="37">
        <v>1000</v>
      </c>
      <c r="AC10" s="37">
        <v>1000</v>
      </c>
      <c r="AD10" s="37">
        <v>1000</v>
      </c>
      <c r="AE10" s="37">
        <v>1000</v>
      </c>
      <c r="AF10" s="37">
        <v>1000</v>
      </c>
      <c r="AG10" s="37">
        <v>1000</v>
      </c>
      <c r="AH10" s="37">
        <v>1000</v>
      </c>
      <c r="AI10" s="37">
        <v>1000</v>
      </c>
      <c r="AK10" t="e">
        <f t="shared" si="1"/>
        <v>#VALUE!</v>
      </c>
      <c r="AL10" t="e">
        <f t="shared" si="2"/>
        <v>#VALUE!</v>
      </c>
      <c r="AM10" t="e">
        <f t="shared" si="3"/>
        <v>#VALUE!</v>
      </c>
      <c r="AN10" t="e">
        <f t="shared" si="4"/>
        <v>#VALUE!</v>
      </c>
      <c r="AO10" t="e">
        <f t="shared" si="5"/>
        <v>#VALUE!</v>
      </c>
      <c r="AP10" t="e">
        <f t="shared" si="6"/>
        <v>#VALUE!</v>
      </c>
      <c r="AQ10" t="e">
        <f t="shared" si="7"/>
        <v>#VALUE!</v>
      </c>
      <c r="AR10" t="e">
        <f t="shared" si="8"/>
        <v>#VALUE!</v>
      </c>
      <c r="AS10" t="e">
        <f t="shared" si="9"/>
        <v>#VALUE!</v>
      </c>
      <c r="AT10" t="e">
        <f t="shared" si="10"/>
        <v>#VALUE!</v>
      </c>
    </row>
    <row r="11" spans="1:46" ht="28.2" thickBot="1" x14ac:dyDescent="0.3">
      <c r="A11" s="22" t="s">
        <v>2178</v>
      </c>
      <c r="B11" s="22">
        <v>26.3</v>
      </c>
      <c r="C11" s="22">
        <v>12.7</v>
      </c>
      <c r="D11" s="22">
        <v>25.9</v>
      </c>
      <c r="E11" s="22">
        <v>25.8</v>
      </c>
      <c r="F11" s="22">
        <v>26.8</v>
      </c>
      <c r="G11" s="22">
        <v>26.5</v>
      </c>
      <c r="H11" s="22">
        <v>21.6</v>
      </c>
      <c r="I11" s="22">
        <v>13.5</v>
      </c>
      <c r="J11" s="22">
        <v>13.2</v>
      </c>
      <c r="K11" s="22">
        <v>13.5</v>
      </c>
      <c r="M11" s="22">
        <v>10</v>
      </c>
      <c r="N11" s="22" t="s">
        <v>2166</v>
      </c>
      <c r="O11" s="22" t="s">
        <v>2908</v>
      </c>
      <c r="P11" s="22" t="s">
        <v>2908</v>
      </c>
      <c r="Q11" s="22" t="s">
        <v>2908</v>
      </c>
      <c r="R11" s="22" t="s">
        <v>2908</v>
      </c>
      <c r="S11" s="22" t="s">
        <v>2908</v>
      </c>
      <c r="T11" s="22" t="s">
        <v>2908</v>
      </c>
      <c r="U11" s="22" t="s">
        <v>2908</v>
      </c>
      <c r="V11" s="22" t="s">
        <v>2908</v>
      </c>
      <c r="W11" s="22" t="s">
        <v>2908</v>
      </c>
      <c r="X11" s="22" t="s">
        <v>2908</v>
      </c>
      <c r="Z11" s="37">
        <v>1000</v>
      </c>
      <c r="AA11" s="37">
        <v>1000</v>
      </c>
      <c r="AB11" s="37">
        <v>1000</v>
      </c>
      <c r="AC11" s="37">
        <v>1000</v>
      </c>
      <c r="AD11" s="37">
        <v>1000</v>
      </c>
      <c r="AE11" s="37">
        <v>1000</v>
      </c>
      <c r="AF11" s="37">
        <v>1000</v>
      </c>
      <c r="AG11" s="37">
        <v>1000</v>
      </c>
      <c r="AH11" s="37">
        <v>1000</v>
      </c>
      <c r="AI11" s="37">
        <v>1000</v>
      </c>
      <c r="AK11" t="e">
        <f t="shared" si="1"/>
        <v>#VALUE!</v>
      </c>
      <c r="AL11" t="e">
        <f t="shared" si="2"/>
        <v>#VALUE!</v>
      </c>
      <c r="AM11" t="e">
        <f t="shared" si="3"/>
        <v>#VALUE!</v>
      </c>
      <c r="AN11" t="e">
        <f t="shared" si="4"/>
        <v>#VALUE!</v>
      </c>
      <c r="AO11" t="e">
        <f t="shared" si="5"/>
        <v>#VALUE!</v>
      </c>
      <c r="AP11" t="e">
        <f t="shared" si="6"/>
        <v>#VALUE!</v>
      </c>
      <c r="AQ11" t="e">
        <f t="shared" si="7"/>
        <v>#VALUE!</v>
      </c>
      <c r="AR11" t="e">
        <f t="shared" si="8"/>
        <v>#VALUE!</v>
      </c>
      <c r="AS11" t="e">
        <f t="shared" si="9"/>
        <v>#VALUE!</v>
      </c>
      <c r="AT11" t="e">
        <f t="shared" si="10"/>
        <v>#VALUE!</v>
      </c>
    </row>
    <row r="12" spans="1:46" ht="28.2" thickBot="1" x14ac:dyDescent="0.3">
      <c r="A12" s="22" t="s">
        <v>2898</v>
      </c>
      <c r="B12" s="22">
        <v>1629.1</v>
      </c>
      <c r="C12" s="22">
        <v>1191.7</v>
      </c>
      <c r="D12" s="22">
        <v>1595.2</v>
      </c>
      <c r="E12" s="22">
        <v>2118.6999999999998</v>
      </c>
      <c r="F12" s="22">
        <v>2011.4</v>
      </c>
      <c r="G12" s="22">
        <v>2311.3000000000002</v>
      </c>
      <c r="H12" s="22">
        <v>1170.3</v>
      </c>
      <c r="I12" s="22">
        <v>1931.9</v>
      </c>
      <c r="J12" s="22">
        <v>1920.6</v>
      </c>
      <c r="K12" s="22">
        <v>2030.4</v>
      </c>
      <c r="M12" s="22">
        <v>11</v>
      </c>
      <c r="N12" s="22" t="s">
        <v>2911</v>
      </c>
      <c r="O12" s="22" t="s">
        <v>2908</v>
      </c>
      <c r="P12" s="22" t="s">
        <v>2908</v>
      </c>
      <c r="Q12" s="22" t="s">
        <v>2908</v>
      </c>
      <c r="R12" s="22" t="s">
        <v>2908</v>
      </c>
      <c r="S12" s="22" t="s">
        <v>2908</v>
      </c>
      <c r="T12" s="22" t="s">
        <v>2908</v>
      </c>
      <c r="U12" s="22" t="s">
        <v>2908</v>
      </c>
      <c r="V12" s="22" t="s">
        <v>2908</v>
      </c>
      <c r="W12" s="22" t="s">
        <v>2908</v>
      </c>
      <c r="X12" s="22" t="s">
        <v>2908</v>
      </c>
      <c r="Z12" s="37">
        <v>1000</v>
      </c>
      <c r="AA12" s="37">
        <v>1000</v>
      </c>
      <c r="AB12" s="37">
        <v>1000</v>
      </c>
      <c r="AC12" s="37">
        <v>1000</v>
      </c>
      <c r="AD12" s="37">
        <v>1000</v>
      </c>
      <c r="AE12" s="37">
        <v>1000</v>
      </c>
      <c r="AF12" s="37">
        <v>1000</v>
      </c>
      <c r="AG12" s="37">
        <v>1000</v>
      </c>
      <c r="AH12" s="37">
        <v>1000</v>
      </c>
      <c r="AI12" s="37">
        <v>1000</v>
      </c>
      <c r="AK12" t="e">
        <f t="shared" si="1"/>
        <v>#VALUE!</v>
      </c>
      <c r="AL12" t="e">
        <f t="shared" si="2"/>
        <v>#VALUE!</v>
      </c>
      <c r="AM12" t="e">
        <f t="shared" si="3"/>
        <v>#VALUE!</v>
      </c>
      <c r="AN12" t="e">
        <f t="shared" si="4"/>
        <v>#VALUE!</v>
      </c>
      <c r="AO12" t="e">
        <f t="shared" si="5"/>
        <v>#VALUE!</v>
      </c>
      <c r="AP12" t="e">
        <f t="shared" si="6"/>
        <v>#VALUE!</v>
      </c>
      <c r="AQ12" t="e">
        <f t="shared" si="7"/>
        <v>#VALUE!</v>
      </c>
      <c r="AR12" t="e">
        <f t="shared" si="8"/>
        <v>#VALUE!</v>
      </c>
      <c r="AS12" t="e">
        <f t="shared" si="9"/>
        <v>#VALUE!</v>
      </c>
      <c r="AT12" t="e">
        <f t="shared" si="10"/>
        <v>#VALUE!</v>
      </c>
    </row>
    <row r="13" spans="1:46" ht="28.2" thickBot="1" x14ac:dyDescent="0.3">
      <c r="A13" s="22" t="s">
        <v>2023</v>
      </c>
      <c r="B13" s="22">
        <v>30</v>
      </c>
      <c r="C13" s="22">
        <v>7.2</v>
      </c>
      <c r="D13" s="22">
        <v>28.8</v>
      </c>
      <c r="E13" s="22">
        <v>37.1</v>
      </c>
      <c r="F13" s="22">
        <v>22.6</v>
      </c>
      <c r="G13" s="22">
        <v>26.3</v>
      </c>
      <c r="H13" s="22">
        <v>2.7</v>
      </c>
      <c r="I13" s="22">
        <v>13.3</v>
      </c>
      <c r="J13" s="22">
        <v>8.6</v>
      </c>
      <c r="K13" s="22">
        <v>13.6</v>
      </c>
      <c r="M13" s="22">
        <v>12</v>
      </c>
      <c r="N13" s="22" t="s">
        <v>2957</v>
      </c>
      <c r="O13" s="22" t="s">
        <v>2908</v>
      </c>
      <c r="P13" s="22" t="s">
        <v>2908</v>
      </c>
      <c r="Q13" s="22" t="s">
        <v>2908</v>
      </c>
      <c r="R13" s="22" t="s">
        <v>2908</v>
      </c>
      <c r="S13" s="22" t="s">
        <v>2908</v>
      </c>
      <c r="T13" s="22" t="s">
        <v>2908</v>
      </c>
      <c r="U13" s="22" t="s">
        <v>2908</v>
      </c>
      <c r="V13" s="22" t="s">
        <v>2908</v>
      </c>
      <c r="W13" s="22" t="s">
        <v>2908</v>
      </c>
      <c r="X13" s="22" t="s">
        <v>2908</v>
      </c>
      <c r="Z13" s="37">
        <v>1000</v>
      </c>
      <c r="AA13" s="37">
        <v>1000</v>
      </c>
      <c r="AB13" s="37">
        <v>1000</v>
      </c>
      <c r="AC13" s="37">
        <v>1000</v>
      </c>
      <c r="AD13" s="37">
        <v>1000</v>
      </c>
      <c r="AE13" s="37">
        <v>1000</v>
      </c>
      <c r="AF13" s="37">
        <v>1000</v>
      </c>
      <c r="AG13" s="37">
        <v>1000</v>
      </c>
      <c r="AH13" s="37">
        <v>1000</v>
      </c>
      <c r="AI13" s="37">
        <v>1000</v>
      </c>
      <c r="AK13" t="e">
        <f t="shared" si="1"/>
        <v>#VALUE!</v>
      </c>
      <c r="AL13" t="e">
        <f t="shared" si="2"/>
        <v>#VALUE!</v>
      </c>
      <c r="AM13" t="e">
        <f t="shared" si="3"/>
        <v>#VALUE!</v>
      </c>
      <c r="AN13" t="e">
        <f t="shared" si="4"/>
        <v>#VALUE!</v>
      </c>
      <c r="AO13" t="e">
        <f t="shared" si="5"/>
        <v>#VALUE!</v>
      </c>
      <c r="AP13" t="e">
        <f t="shared" si="6"/>
        <v>#VALUE!</v>
      </c>
      <c r="AQ13" t="e">
        <f t="shared" si="7"/>
        <v>#VALUE!</v>
      </c>
      <c r="AR13" t="e">
        <f t="shared" si="8"/>
        <v>#VALUE!</v>
      </c>
      <c r="AS13" t="e">
        <f t="shared" si="9"/>
        <v>#VALUE!</v>
      </c>
      <c r="AT13" t="e">
        <f t="shared" si="10"/>
        <v>#VALUE!</v>
      </c>
    </row>
    <row r="14" spans="1:46" ht="28.2" thickBot="1" x14ac:dyDescent="0.3">
      <c r="A14" s="22" t="s">
        <v>2318</v>
      </c>
      <c r="B14" s="22">
        <v>7.8</v>
      </c>
      <c r="C14" s="22">
        <v>0.8</v>
      </c>
      <c r="D14" s="22">
        <v>6.8</v>
      </c>
      <c r="E14" s="22">
        <v>11.1</v>
      </c>
      <c r="F14" s="22">
        <v>21.6</v>
      </c>
      <c r="G14" s="22">
        <v>23.6</v>
      </c>
      <c r="H14" s="22">
        <v>7.7</v>
      </c>
      <c r="I14" s="22">
        <v>4.8</v>
      </c>
      <c r="J14" s="22">
        <v>4.7</v>
      </c>
      <c r="K14" s="22">
        <v>4.7</v>
      </c>
      <c r="M14" s="22">
        <v>13</v>
      </c>
      <c r="N14" s="22" t="s">
        <v>2913</v>
      </c>
      <c r="O14" s="22" t="s">
        <v>2908</v>
      </c>
      <c r="P14" s="22" t="s">
        <v>2908</v>
      </c>
      <c r="Q14" s="22" t="s">
        <v>2908</v>
      </c>
      <c r="R14" s="22" t="s">
        <v>2908</v>
      </c>
      <c r="S14" s="22" t="s">
        <v>2908</v>
      </c>
      <c r="T14" s="22" t="s">
        <v>2908</v>
      </c>
      <c r="U14" s="22" t="s">
        <v>2908</v>
      </c>
      <c r="V14" s="22" t="s">
        <v>2908</v>
      </c>
      <c r="W14" s="22" t="s">
        <v>2908</v>
      </c>
      <c r="X14" s="22" t="s">
        <v>2908</v>
      </c>
      <c r="Z14" s="37">
        <v>1000</v>
      </c>
      <c r="AA14" s="37">
        <v>1000</v>
      </c>
      <c r="AB14" s="37">
        <v>1000</v>
      </c>
      <c r="AC14" s="37">
        <v>1000</v>
      </c>
      <c r="AD14" s="37">
        <v>1000</v>
      </c>
      <c r="AE14" s="37">
        <v>1000</v>
      </c>
      <c r="AF14" s="37">
        <v>1000</v>
      </c>
      <c r="AG14" s="37">
        <v>1000</v>
      </c>
      <c r="AH14" s="37">
        <v>1000</v>
      </c>
      <c r="AI14" s="37">
        <v>1000</v>
      </c>
      <c r="AK14" t="e">
        <f t="shared" si="1"/>
        <v>#VALUE!</v>
      </c>
      <c r="AL14" t="e">
        <f t="shared" si="2"/>
        <v>#VALUE!</v>
      </c>
      <c r="AM14" t="e">
        <f t="shared" si="3"/>
        <v>#VALUE!</v>
      </c>
      <c r="AN14" t="e">
        <f t="shared" si="4"/>
        <v>#VALUE!</v>
      </c>
      <c r="AO14" t="e">
        <f t="shared" si="5"/>
        <v>#VALUE!</v>
      </c>
      <c r="AP14" t="e">
        <f t="shared" si="6"/>
        <v>#VALUE!</v>
      </c>
      <c r="AQ14" t="e">
        <f t="shared" si="7"/>
        <v>#VALUE!</v>
      </c>
      <c r="AR14" t="e">
        <f t="shared" si="8"/>
        <v>#VALUE!</v>
      </c>
      <c r="AS14" t="e">
        <f t="shared" si="9"/>
        <v>#VALUE!</v>
      </c>
      <c r="AT14" t="e">
        <f t="shared" si="10"/>
        <v>#VALUE!</v>
      </c>
    </row>
    <row r="15" spans="1:46" ht="14.4" thickBot="1" x14ac:dyDescent="0.3">
      <c r="A15" s="22" t="s">
        <v>3440</v>
      </c>
      <c r="B15" s="22">
        <v>26</v>
      </c>
      <c r="C15" s="22">
        <v>4.0999999999999996</v>
      </c>
      <c r="D15" s="22">
        <v>23.2</v>
      </c>
      <c r="E15" s="22">
        <v>38.700000000000003</v>
      </c>
      <c r="F15" s="22">
        <v>57.4</v>
      </c>
      <c r="G15" s="22">
        <v>57.3</v>
      </c>
      <c r="H15" s="22">
        <v>20.7</v>
      </c>
      <c r="I15" s="22">
        <v>20.3</v>
      </c>
      <c r="J15" s="22">
        <v>15.5</v>
      </c>
      <c r="K15" s="22">
        <v>16.5</v>
      </c>
      <c r="M15" s="22">
        <v>14</v>
      </c>
      <c r="N15" s="22" t="s">
        <v>2173</v>
      </c>
      <c r="O15" s="22" t="s">
        <v>2908</v>
      </c>
      <c r="P15" s="22" t="s">
        <v>2908</v>
      </c>
      <c r="Q15" s="22" t="s">
        <v>2908</v>
      </c>
      <c r="R15" s="22" t="s">
        <v>2908</v>
      </c>
      <c r="S15" s="22" t="s">
        <v>2908</v>
      </c>
      <c r="T15" s="22" t="s">
        <v>2908</v>
      </c>
      <c r="U15" s="22" t="s">
        <v>2908</v>
      </c>
      <c r="V15" s="22" t="s">
        <v>2908</v>
      </c>
      <c r="W15" s="22" t="s">
        <v>2908</v>
      </c>
      <c r="X15" s="22" t="s">
        <v>2908</v>
      </c>
      <c r="Z15" s="37">
        <v>1000</v>
      </c>
      <c r="AA15" s="37">
        <v>1000</v>
      </c>
      <c r="AB15" s="37">
        <v>1000</v>
      </c>
      <c r="AC15" s="37">
        <v>1000</v>
      </c>
      <c r="AD15" s="37">
        <v>1000</v>
      </c>
      <c r="AE15" s="37">
        <v>1000</v>
      </c>
      <c r="AF15" s="37">
        <v>1000</v>
      </c>
      <c r="AG15" s="37">
        <v>1000</v>
      </c>
      <c r="AH15" s="37">
        <v>1000</v>
      </c>
      <c r="AI15" s="37">
        <v>1000</v>
      </c>
      <c r="AK15" t="e">
        <f t="shared" si="1"/>
        <v>#VALUE!</v>
      </c>
      <c r="AL15" t="e">
        <f t="shared" si="2"/>
        <v>#VALUE!</v>
      </c>
      <c r="AM15" t="e">
        <f t="shared" si="3"/>
        <v>#VALUE!</v>
      </c>
      <c r="AN15" t="e">
        <f t="shared" si="4"/>
        <v>#VALUE!</v>
      </c>
      <c r="AO15" t="e">
        <f t="shared" si="5"/>
        <v>#VALUE!</v>
      </c>
      <c r="AP15" t="e">
        <f t="shared" si="6"/>
        <v>#VALUE!</v>
      </c>
      <c r="AQ15" t="e">
        <f t="shared" si="7"/>
        <v>#VALUE!</v>
      </c>
      <c r="AR15" t="e">
        <f t="shared" si="8"/>
        <v>#VALUE!</v>
      </c>
      <c r="AS15" t="e">
        <f t="shared" si="9"/>
        <v>#VALUE!</v>
      </c>
      <c r="AT15" t="e">
        <f t="shared" si="10"/>
        <v>#VALUE!</v>
      </c>
    </row>
    <row r="16" spans="1:46" ht="28.2" thickBot="1" x14ac:dyDescent="0.3">
      <c r="A16" s="22" t="s">
        <v>3247</v>
      </c>
      <c r="B16" s="22">
        <v>4.9000000000000004</v>
      </c>
      <c r="C16" s="22">
        <v>4.9000000000000004</v>
      </c>
      <c r="D16" s="22">
        <v>5.0999999999999996</v>
      </c>
      <c r="E16" s="22">
        <v>9.1999999999999993</v>
      </c>
      <c r="F16" s="22">
        <v>17.100000000000001</v>
      </c>
      <c r="G16" s="22">
        <v>16</v>
      </c>
      <c r="H16" s="22">
        <v>3.7</v>
      </c>
      <c r="I16" s="22">
        <v>1.8</v>
      </c>
      <c r="J16" s="22">
        <v>3.4</v>
      </c>
      <c r="K16" s="22">
        <v>2.5</v>
      </c>
      <c r="M16" s="22">
        <v>15</v>
      </c>
      <c r="N16" s="22" t="s">
        <v>2914</v>
      </c>
      <c r="O16" s="22" t="s">
        <v>2908</v>
      </c>
      <c r="P16" s="22" t="s">
        <v>2908</v>
      </c>
      <c r="Q16" s="22" t="s">
        <v>2908</v>
      </c>
      <c r="R16" s="22" t="s">
        <v>2908</v>
      </c>
      <c r="S16" s="22" t="s">
        <v>2908</v>
      </c>
      <c r="T16" s="22" t="s">
        <v>2908</v>
      </c>
      <c r="U16" s="22" t="s">
        <v>2908</v>
      </c>
      <c r="V16" s="22" t="s">
        <v>2908</v>
      </c>
      <c r="W16" s="22" t="s">
        <v>2908</v>
      </c>
      <c r="X16" s="22" t="s">
        <v>2908</v>
      </c>
      <c r="Z16" s="37">
        <v>1000</v>
      </c>
      <c r="AA16" s="37">
        <v>1000</v>
      </c>
      <c r="AB16" s="37">
        <v>1000</v>
      </c>
      <c r="AC16" s="37">
        <v>1000</v>
      </c>
      <c r="AD16" s="37">
        <v>1000</v>
      </c>
      <c r="AE16" s="37">
        <v>1000</v>
      </c>
      <c r="AF16" s="37">
        <v>1000</v>
      </c>
      <c r="AG16" s="37">
        <v>1000</v>
      </c>
      <c r="AH16" s="37">
        <v>1000</v>
      </c>
      <c r="AI16" s="37">
        <v>1000</v>
      </c>
      <c r="AK16" t="e">
        <f t="shared" si="1"/>
        <v>#VALUE!</v>
      </c>
      <c r="AL16" t="e">
        <f t="shared" si="2"/>
        <v>#VALUE!</v>
      </c>
      <c r="AM16" t="e">
        <f t="shared" si="3"/>
        <v>#VALUE!</v>
      </c>
      <c r="AN16" t="e">
        <f t="shared" si="4"/>
        <v>#VALUE!</v>
      </c>
      <c r="AO16" t="e">
        <f t="shared" si="5"/>
        <v>#VALUE!</v>
      </c>
      <c r="AP16" t="e">
        <f t="shared" si="6"/>
        <v>#VALUE!</v>
      </c>
      <c r="AQ16" t="e">
        <f t="shared" si="7"/>
        <v>#VALUE!</v>
      </c>
      <c r="AR16" t="e">
        <f t="shared" si="8"/>
        <v>#VALUE!</v>
      </c>
      <c r="AS16" t="e">
        <f t="shared" si="9"/>
        <v>#VALUE!</v>
      </c>
      <c r="AT16" t="e">
        <f t="shared" si="10"/>
        <v>#VALUE!</v>
      </c>
    </row>
    <row r="17" spans="1:46" ht="28.2" thickBot="1" x14ac:dyDescent="0.3">
      <c r="A17" s="21" t="s">
        <v>2941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M17" s="22">
        <v>16</v>
      </c>
      <c r="N17" s="22" t="s">
        <v>2029</v>
      </c>
      <c r="O17" s="22" t="s">
        <v>2908</v>
      </c>
      <c r="P17" s="22" t="s">
        <v>2908</v>
      </c>
      <c r="Q17" s="22" t="s">
        <v>2908</v>
      </c>
      <c r="R17" s="22" t="s">
        <v>2908</v>
      </c>
      <c r="S17" s="22" t="s">
        <v>2908</v>
      </c>
      <c r="T17" s="22" t="s">
        <v>2908</v>
      </c>
      <c r="U17" s="22" t="s">
        <v>2908</v>
      </c>
      <c r="V17" s="22" t="s">
        <v>2908</v>
      </c>
      <c r="W17" s="22" t="s">
        <v>2908</v>
      </c>
      <c r="X17" s="22" t="s">
        <v>2908</v>
      </c>
      <c r="Z17" s="37">
        <v>1000</v>
      </c>
      <c r="AA17" s="37">
        <v>1000</v>
      </c>
      <c r="AB17" s="37">
        <v>1000</v>
      </c>
      <c r="AC17" s="37">
        <v>1000</v>
      </c>
      <c r="AD17" s="37">
        <v>1000</v>
      </c>
      <c r="AE17" s="37">
        <v>1000</v>
      </c>
      <c r="AF17" s="37">
        <v>1000</v>
      </c>
      <c r="AG17" s="37">
        <v>1000</v>
      </c>
      <c r="AH17" s="37">
        <v>1000</v>
      </c>
      <c r="AI17" s="37">
        <v>1000</v>
      </c>
      <c r="AK17" t="e">
        <f t="shared" si="1"/>
        <v>#VALUE!</v>
      </c>
      <c r="AL17" t="e">
        <f t="shared" si="2"/>
        <v>#VALUE!</v>
      </c>
      <c r="AM17" t="e">
        <f t="shared" si="3"/>
        <v>#VALUE!</v>
      </c>
      <c r="AN17" t="e">
        <f t="shared" si="4"/>
        <v>#VALUE!</v>
      </c>
      <c r="AO17" t="e">
        <f t="shared" si="5"/>
        <v>#VALUE!</v>
      </c>
      <c r="AP17" t="e">
        <f t="shared" si="6"/>
        <v>#VALUE!</v>
      </c>
      <c r="AQ17" t="e">
        <f t="shared" si="7"/>
        <v>#VALUE!</v>
      </c>
      <c r="AR17" t="e">
        <f t="shared" si="8"/>
        <v>#VALUE!</v>
      </c>
      <c r="AS17" t="e">
        <f t="shared" si="9"/>
        <v>#VALUE!</v>
      </c>
      <c r="AT17" t="e">
        <f t="shared" si="10"/>
        <v>#VALUE!</v>
      </c>
    </row>
    <row r="18" spans="1:46" ht="28.2" thickBot="1" x14ac:dyDescent="0.3">
      <c r="A18" s="22" t="s">
        <v>2961</v>
      </c>
      <c r="B18" s="22">
        <v>355.9</v>
      </c>
      <c r="C18" s="22">
        <v>106.9</v>
      </c>
      <c r="D18" s="22">
        <v>350.9</v>
      </c>
      <c r="E18" s="22">
        <v>310.8</v>
      </c>
      <c r="F18" s="22">
        <v>295.60000000000002</v>
      </c>
      <c r="G18" s="22">
        <v>222.6</v>
      </c>
      <c r="H18" s="22">
        <v>82.7</v>
      </c>
      <c r="I18" s="22">
        <v>83.7</v>
      </c>
      <c r="J18" s="22">
        <v>119.1</v>
      </c>
      <c r="K18" s="22">
        <v>81.099999999999994</v>
      </c>
      <c r="M18" s="22">
        <v>17</v>
      </c>
      <c r="N18" s="22" t="s">
        <v>2028</v>
      </c>
      <c r="O18" s="22" t="s">
        <v>2908</v>
      </c>
      <c r="P18" s="22" t="s">
        <v>2908</v>
      </c>
      <c r="Q18" s="22" t="s">
        <v>2908</v>
      </c>
      <c r="R18" s="22" t="s">
        <v>2908</v>
      </c>
      <c r="S18" s="22" t="s">
        <v>2908</v>
      </c>
      <c r="T18" s="22" t="s">
        <v>2908</v>
      </c>
      <c r="U18" s="22" t="s">
        <v>2908</v>
      </c>
      <c r="V18" s="22" t="s">
        <v>2908</v>
      </c>
      <c r="W18" s="22" t="s">
        <v>2908</v>
      </c>
      <c r="X18" s="22" t="s">
        <v>2908</v>
      </c>
      <c r="Z18" s="37">
        <v>1000</v>
      </c>
      <c r="AA18" s="37">
        <v>1000</v>
      </c>
      <c r="AB18" s="37">
        <v>1000</v>
      </c>
      <c r="AC18" s="37">
        <v>1000</v>
      </c>
      <c r="AD18" s="37">
        <v>1000</v>
      </c>
      <c r="AE18" s="37">
        <v>1000</v>
      </c>
      <c r="AF18" s="37">
        <v>1000</v>
      </c>
      <c r="AG18" s="37">
        <v>1000</v>
      </c>
      <c r="AH18" s="37">
        <v>1000</v>
      </c>
      <c r="AI18" s="37">
        <v>1000</v>
      </c>
      <c r="AK18" t="e">
        <f t="shared" si="1"/>
        <v>#VALUE!</v>
      </c>
      <c r="AL18" t="e">
        <f t="shared" si="2"/>
        <v>#VALUE!</v>
      </c>
      <c r="AM18" t="e">
        <f t="shared" si="3"/>
        <v>#VALUE!</v>
      </c>
      <c r="AN18" t="e">
        <f t="shared" si="4"/>
        <v>#VALUE!</v>
      </c>
      <c r="AO18" t="e">
        <f t="shared" si="5"/>
        <v>#VALUE!</v>
      </c>
      <c r="AP18" t="e">
        <f t="shared" si="6"/>
        <v>#VALUE!</v>
      </c>
      <c r="AQ18" t="e">
        <f t="shared" si="7"/>
        <v>#VALUE!</v>
      </c>
      <c r="AR18" t="e">
        <f t="shared" si="8"/>
        <v>#VALUE!</v>
      </c>
      <c r="AS18" t="e">
        <f t="shared" si="9"/>
        <v>#VALUE!</v>
      </c>
      <c r="AT18" t="e">
        <f t="shared" si="10"/>
        <v>#VALUE!</v>
      </c>
    </row>
    <row r="19" spans="1:46" ht="28.2" thickBot="1" x14ac:dyDescent="0.3">
      <c r="A19" s="22" t="s">
        <v>3343</v>
      </c>
      <c r="B19" s="22">
        <v>57.5</v>
      </c>
      <c r="C19" s="22">
        <v>60.3</v>
      </c>
      <c r="D19" s="22">
        <v>55.7</v>
      </c>
      <c r="E19" s="22">
        <v>33.700000000000003</v>
      </c>
      <c r="F19" s="22">
        <v>71.599999999999994</v>
      </c>
      <c r="G19" s="22">
        <v>32.4</v>
      </c>
      <c r="H19" s="22">
        <v>21.7</v>
      </c>
      <c r="I19" s="22">
        <v>22.5</v>
      </c>
      <c r="J19" s="22">
        <v>38.4</v>
      </c>
      <c r="K19" s="22">
        <v>23.8</v>
      </c>
      <c r="M19" s="22">
        <v>18</v>
      </c>
      <c r="N19" s="22" t="s">
        <v>2915</v>
      </c>
      <c r="O19" s="22">
        <v>4.0999999999999996</v>
      </c>
      <c r="P19" s="22">
        <v>6.2</v>
      </c>
      <c r="Q19" s="22">
        <v>2.1</v>
      </c>
      <c r="R19" s="22">
        <v>0.3</v>
      </c>
      <c r="S19" s="22">
        <v>0.3</v>
      </c>
      <c r="T19" s="22">
        <v>0.5</v>
      </c>
      <c r="U19" s="22">
        <v>1.5</v>
      </c>
      <c r="V19" s="22">
        <v>5.3</v>
      </c>
      <c r="W19" s="22">
        <v>6.6</v>
      </c>
      <c r="X19" s="22">
        <v>0.3</v>
      </c>
      <c r="Z19" s="37">
        <v>1000</v>
      </c>
      <c r="AA19" s="37">
        <v>1000</v>
      </c>
      <c r="AB19" s="37">
        <v>1000</v>
      </c>
      <c r="AC19" s="37">
        <v>1000</v>
      </c>
      <c r="AD19" s="37">
        <v>1000</v>
      </c>
      <c r="AE19" s="37">
        <v>1000</v>
      </c>
      <c r="AF19" s="37">
        <v>1000</v>
      </c>
      <c r="AG19" s="37">
        <v>1000</v>
      </c>
      <c r="AH19" s="37">
        <v>1000</v>
      </c>
      <c r="AI19" s="37">
        <v>1000</v>
      </c>
      <c r="AK19">
        <f t="shared" si="1"/>
        <v>4100</v>
      </c>
      <c r="AL19">
        <f t="shared" si="2"/>
        <v>6200</v>
      </c>
      <c r="AM19">
        <f t="shared" si="3"/>
        <v>2100</v>
      </c>
      <c r="AN19">
        <f t="shared" si="4"/>
        <v>300</v>
      </c>
      <c r="AO19">
        <f t="shared" si="5"/>
        <v>300</v>
      </c>
      <c r="AP19">
        <f t="shared" si="6"/>
        <v>500</v>
      </c>
      <c r="AQ19">
        <f t="shared" si="7"/>
        <v>1500</v>
      </c>
      <c r="AR19">
        <f t="shared" si="8"/>
        <v>5300</v>
      </c>
      <c r="AS19">
        <f t="shared" si="9"/>
        <v>6600</v>
      </c>
      <c r="AT19">
        <f t="shared" si="10"/>
        <v>300</v>
      </c>
    </row>
    <row r="20" spans="1:46" ht="28.2" thickBot="1" x14ac:dyDescent="0.3">
      <c r="A20" s="22" t="s">
        <v>2863</v>
      </c>
      <c r="B20" s="22">
        <v>294</v>
      </c>
      <c r="C20" s="22">
        <v>428.9</v>
      </c>
      <c r="D20" s="22">
        <v>290.7</v>
      </c>
      <c r="E20" s="22">
        <v>428.2</v>
      </c>
      <c r="F20" s="22">
        <v>471.1</v>
      </c>
      <c r="G20" s="22">
        <v>410.2</v>
      </c>
      <c r="H20" s="22">
        <v>206.3</v>
      </c>
      <c r="I20" s="22">
        <v>159.69999999999999</v>
      </c>
      <c r="J20" s="22">
        <v>222.2</v>
      </c>
      <c r="K20" s="22">
        <v>154.4</v>
      </c>
      <c r="M20" s="22">
        <v>19</v>
      </c>
      <c r="N20" s="22" t="s">
        <v>2318</v>
      </c>
      <c r="O20" s="22">
        <v>7.8</v>
      </c>
      <c r="P20" s="22">
        <v>0.8</v>
      </c>
      <c r="Q20" s="22">
        <v>6.8</v>
      </c>
      <c r="R20" s="22">
        <v>11.1</v>
      </c>
      <c r="S20" s="22">
        <v>21.6</v>
      </c>
      <c r="T20" s="22">
        <v>23.6</v>
      </c>
      <c r="U20" s="22">
        <v>7.7</v>
      </c>
      <c r="V20" s="22">
        <v>4.8</v>
      </c>
      <c r="W20" s="22">
        <v>4.7</v>
      </c>
      <c r="X20" s="22">
        <v>4.7</v>
      </c>
      <c r="Z20" s="37">
        <v>1000</v>
      </c>
      <c r="AA20" s="37">
        <v>1000</v>
      </c>
      <c r="AB20" s="37">
        <v>1000</v>
      </c>
      <c r="AC20" s="37">
        <v>1000</v>
      </c>
      <c r="AD20" s="37">
        <v>1000</v>
      </c>
      <c r="AE20" s="37">
        <v>1000</v>
      </c>
      <c r="AF20" s="37">
        <v>1000</v>
      </c>
      <c r="AG20" s="37">
        <v>1000</v>
      </c>
      <c r="AH20" s="37">
        <v>1000</v>
      </c>
      <c r="AI20" s="37">
        <v>1000</v>
      </c>
      <c r="AK20">
        <f t="shared" si="1"/>
        <v>7800</v>
      </c>
      <c r="AL20">
        <f t="shared" si="2"/>
        <v>800</v>
      </c>
      <c r="AM20">
        <f t="shared" si="3"/>
        <v>6800</v>
      </c>
      <c r="AN20">
        <f t="shared" si="4"/>
        <v>11100</v>
      </c>
      <c r="AO20">
        <f t="shared" si="5"/>
        <v>21600</v>
      </c>
      <c r="AP20">
        <f t="shared" si="6"/>
        <v>23600</v>
      </c>
      <c r="AQ20">
        <f t="shared" si="7"/>
        <v>7700</v>
      </c>
      <c r="AR20">
        <f t="shared" si="8"/>
        <v>4800</v>
      </c>
      <c r="AS20">
        <f t="shared" si="9"/>
        <v>4700</v>
      </c>
      <c r="AT20">
        <f t="shared" si="10"/>
        <v>4700</v>
      </c>
    </row>
    <row r="21" spans="1:46" ht="28.2" thickBot="1" x14ac:dyDescent="0.3">
      <c r="A21" s="22" t="s">
        <v>2359</v>
      </c>
      <c r="B21" s="22">
        <v>109.9</v>
      </c>
      <c r="C21" s="22">
        <v>228.5</v>
      </c>
      <c r="D21" s="22">
        <v>106</v>
      </c>
      <c r="E21" s="22">
        <v>106.8</v>
      </c>
      <c r="F21" s="22">
        <v>120.5</v>
      </c>
      <c r="G21" s="22">
        <v>70.900000000000006</v>
      </c>
      <c r="H21" s="22">
        <v>109.7</v>
      </c>
      <c r="I21" s="22">
        <v>43.6</v>
      </c>
      <c r="J21" s="22">
        <v>50.4</v>
      </c>
      <c r="K21" s="22">
        <v>42.1</v>
      </c>
      <c r="M21" s="22">
        <v>20</v>
      </c>
      <c r="N21" s="22" t="s">
        <v>2362</v>
      </c>
      <c r="O21" s="22" t="s">
        <v>2908</v>
      </c>
      <c r="P21" s="22" t="s">
        <v>2908</v>
      </c>
      <c r="Q21" s="22" t="s">
        <v>2908</v>
      </c>
      <c r="R21" s="22" t="s">
        <v>2908</v>
      </c>
      <c r="S21" s="22" t="s">
        <v>2908</v>
      </c>
      <c r="T21" s="22" t="s">
        <v>2908</v>
      </c>
      <c r="U21" s="22" t="s">
        <v>2908</v>
      </c>
      <c r="V21" s="22" t="s">
        <v>2908</v>
      </c>
      <c r="W21" s="22" t="s">
        <v>2908</v>
      </c>
      <c r="X21" s="22" t="s">
        <v>2908</v>
      </c>
      <c r="Z21" s="37">
        <v>1000</v>
      </c>
      <c r="AA21" s="37">
        <v>1000</v>
      </c>
      <c r="AB21" s="37">
        <v>1000</v>
      </c>
      <c r="AC21" s="37">
        <v>1000</v>
      </c>
      <c r="AD21" s="37">
        <v>1000</v>
      </c>
      <c r="AE21" s="37">
        <v>1000</v>
      </c>
      <c r="AF21" s="37">
        <v>1000</v>
      </c>
      <c r="AG21" s="37">
        <v>1000</v>
      </c>
      <c r="AH21" s="37">
        <v>1000</v>
      </c>
      <c r="AI21" s="37">
        <v>1000</v>
      </c>
      <c r="AK21" t="e">
        <f t="shared" si="1"/>
        <v>#VALUE!</v>
      </c>
      <c r="AL21" t="e">
        <f t="shared" si="2"/>
        <v>#VALUE!</v>
      </c>
      <c r="AM21" t="e">
        <f t="shared" si="3"/>
        <v>#VALUE!</v>
      </c>
      <c r="AN21" t="e">
        <f t="shared" si="4"/>
        <v>#VALUE!</v>
      </c>
      <c r="AO21" t="e">
        <f t="shared" si="5"/>
        <v>#VALUE!</v>
      </c>
      <c r="AP21" t="e">
        <f t="shared" si="6"/>
        <v>#VALUE!</v>
      </c>
      <c r="AQ21" t="e">
        <f t="shared" si="7"/>
        <v>#VALUE!</v>
      </c>
      <c r="AR21" t="e">
        <f t="shared" si="8"/>
        <v>#VALUE!</v>
      </c>
      <c r="AS21" t="e">
        <f t="shared" si="9"/>
        <v>#VALUE!</v>
      </c>
      <c r="AT21" t="e">
        <f t="shared" si="10"/>
        <v>#VALUE!</v>
      </c>
    </row>
    <row r="22" spans="1:46" ht="28.2" thickBot="1" x14ac:dyDescent="0.3">
      <c r="A22" s="22" t="s">
        <v>2866</v>
      </c>
      <c r="B22" s="22">
        <v>599.5</v>
      </c>
      <c r="C22" s="22">
        <v>346.4</v>
      </c>
      <c r="D22" s="22">
        <v>567.29999999999995</v>
      </c>
      <c r="E22" s="22">
        <v>1038.9000000000001</v>
      </c>
      <c r="F22" s="22">
        <v>700.4</v>
      </c>
      <c r="G22" s="22">
        <v>800.2</v>
      </c>
      <c r="H22" s="22">
        <v>107</v>
      </c>
      <c r="I22" s="22">
        <v>130.4</v>
      </c>
      <c r="J22" s="22">
        <v>147.5</v>
      </c>
      <c r="K22" s="22">
        <v>126.2</v>
      </c>
      <c r="M22" s="22">
        <v>21</v>
      </c>
      <c r="N22" s="22" t="s">
        <v>2942</v>
      </c>
      <c r="O22" s="22">
        <v>599.5</v>
      </c>
      <c r="P22" s="22">
        <v>346.4</v>
      </c>
      <c r="Q22" s="22">
        <v>567.29999999999995</v>
      </c>
      <c r="R22" s="22">
        <v>1038.9000000000001</v>
      </c>
      <c r="S22" s="22">
        <v>700.4</v>
      </c>
      <c r="T22" s="22">
        <v>800.2</v>
      </c>
      <c r="U22" s="22">
        <v>107</v>
      </c>
      <c r="V22" s="22">
        <v>130.4</v>
      </c>
      <c r="W22" s="22">
        <v>147.5</v>
      </c>
      <c r="X22" s="22">
        <v>126.2</v>
      </c>
      <c r="Z22" s="37">
        <v>1000</v>
      </c>
      <c r="AA22" s="37">
        <v>1000</v>
      </c>
      <c r="AB22" s="37">
        <v>1000</v>
      </c>
      <c r="AC22" s="37">
        <v>1000</v>
      </c>
      <c r="AD22" s="37">
        <v>1000</v>
      </c>
      <c r="AE22" s="37">
        <v>1000</v>
      </c>
      <c r="AF22" s="37">
        <v>1000</v>
      </c>
      <c r="AG22" s="37">
        <v>1000</v>
      </c>
      <c r="AH22" s="37">
        <v>1000</v>
      </c>
      <c r="AI22" s="37">
        <v>1000</v>
      </c>
      <c r="AK22">
        <f t="shared" si="1"/>
        <v>599500</v>
      </c>
      <c r="AL22">
        <f t="shared" si="2"/>
        <v>346400</v>
      </c>
      <c r="AM22">
        <f t="shared" si="3"/>
        <v>567300</v>
      </c>
      <c r="AN22">
        <f t="shared" si="4"/>
        <v>1038900.0000000001</v>
      </c>
      <c r="AO22">
        <f t="shared" si="5"/>
        <v>700400</v>
      </c>
      <c r="AP22">
        <f t="shared" si="6"/>
        <v>800200</v>
      </c>
      <c r="AQ22">
        <f t="shared" si="7"/>
        <v>107000</v>
      </c>
      <c r="AR22">
        <f t="shared" si="8"/>
        <v>130400</v>
      </c>
      <c r="AS22">
        <f t="shared" si="9"/>
        <v>147500</v>
      </c>
      <c r="AT22">
        <f t="shared" si="10"/>
        <v>126200</v>
      </c>
    </row>
    <row r="23" spans="1:46" ht="28.2" thickBot="1" x14ac:dyDescent="0.3">
      <c r="A23" s="22" t="s">
        <v>2872</v>
      </c>
      <c r="B23" s="22">
        <v>489.9</v>
      </c>
      <c r="C23" s="22">
        <v>705.5</v>
      </c>
      <c r="D23" s="22">
        <v>462</v>
      </c>
      <c r="E23" s="22">
        <v>378.3</v>
      </c>
      <c r="F23" s="22">
        <v>411.6</v>
      </c>
      <c r="G23" s="22">
        <v>217.2</v>
      </c>
      <c r="H23" s="22">
        <v>316.89999999999998</v>
      </c>
      <c r="I23" s="22">
        <v>169.6</v>
      </c>
      <c r="J23" s="22">
        <v>357.5</v>
      </c>
      <c r="K23" s="22">
        <v>165.8</v>
      </c>
      <c r="M23" s="22">
        <v>22</v>
      </c>
      <c r="N23" s="22" t="s">
        <v>3157</v>
      </c>
      <c r="O23" s="22">
        <v>217.2</v>
      </c>
      <c r="P23" s="22">
        <v>29.2</v>
      </c>
      <c r="Q23" s="22">
        <v>198.8</v>
      </c>
      <c r="R23" s="22">
        <v>311.2</v>
      </c>
      <c r="S23" s="22">
        <v>221.1</v>
      </c>
      <c r="T23" s="22">
        <v>220</v>
      </c>
      <c r="U23" s="22">
        <v>46</v>
      </c>
      <c r="V23" s="22">
        <v>40.4</v>
      </c>
      <c r="W23" s="22">
        <v>57.3</v>
      </c>
      <c r="X23" s="22">
        <v>39.299999999999997</v>
      </c>
      <c r="Z23" s="37">
        <v>1000</v>
      </c>
      <c r="AA23" s="37">
        <v>1000</v>
      </c>
      <c r="AB23" s="37">
        <v>1000</v>
      </c>
      <c r="AC23" s="37">
        <v>1000</v>
      </c>
      <c r="AD23" s="37">
        <v>1000</v>
      </c>
      <c r="AE23" s="37">
        <v>1000</v>
      </c>
      <c r="AF23" s="37">
        <v>1000</v>
      </c>
      <c r="AG23" s="37">
        <v>1000</v>
      </c>
      <c r="AH23" s="37">
        <v>1000</v>
      </c>
      <c r="AI23" s="37">
        <v>1000</v>
      </c>
      <c r="AK23">
        <f t="shared" si="1"/>
        <v>217200</v>
      </c>
      <c r="AL23">
        <f t="shared" si="2"/>
        <v>29200</v>
      </c>
      <c r="AM23">
        <f t="shared" si="3"/>
        <v>198800</v>
      </c>
      <c r="AN23">
        <f t="shared" si="4"/>
        <v>311200</v>
      </c>
      <c r="AO23">
        <f t="shared" si="5"/>
        <v>221100</v>
      </c>
      <c r="AP23">
        <f t="shared" si="6"/>
        <v>220000</v>
      </c>
      <c r="AQ23">
        <f t="shared" si="7"/>
        <v>46000</v>
      </c>
      <c r="AR23">
        <f t="shared" si="8"/>
        <v>40400</v>
      </c>
      <c r="AS23">
        <f t="shared" si="9"/>
        <v>57300</v>
      </c>
      <c r="AT23">
        <f t="shared" si="10"/>
        <v>39300</v>
      </c>
    </row>
    <row r="24" spans="1:46" ht="42" thickBot="1" x14ac:dyDescent="0.3">
      <c r="A24" s="22" t="s">
        <v>2871</v>
      </c>
      <c r="B24" s="22">
        <v>18.5</v>
      </c>
      <c r="C24" s="22">
        <v>6.2</v>
      </c>
      <c r="D24" s="22">
        <v>18.399999999999999</v>
      </c>
      <c r="E24" s="22">
        <v>29.9</v>
      </c>
      <c r="F24" s="22">
        <v>37.6</v>
      </c>
      <c r="G24" s="22">
        <v>31.9</v>
      </c>
      <c r="H24" s="22">
        <v>3.8</v>
      </c>
      <c r="I24" s="22">
        <v>8.9</v>
      </c>
      <c r="J24" s="22">
        <v>12.1</v>
      </c>
      <c r="K24" s="22">
        <v>9.4</v>
      </c>
      <c r="M24" s="22">
        <v>23</v>
      </c>
      <c r="N24" s="22" t="s">
        <v>2917</v>
      </c>
      <c r="O24" s="22">
        <v>489.9</v>
      </c>
      <c r="P24" s="22">
        <v>705.5</v>
      </c>
      <c r="Q24" s="22">
        <v>462</v>
      </c>
      <c r="R24" s="22">
        <v>378.3</v>
      </c>
      <c r="S24" s="22">
        <v>411.6</v>
      </c>
      <c r="T24" s="22">
        <v>217.2</v>
      </c>
      <c r="U24" s="22">
        <v>316.89999999999998</v>
      </c>
      <c r="V24" s="22">
        <v>169.6</v>
      </c>
      <c r="W24" s="22">
        <v>357.5</v>
      </c>
      <c r="X24" s="22">
        <v>165.8</v>
      </c>
      <c r="Z24" s="37">
        <v>1000</v>
      </c>
      <c r="AA24" s="37">
        <v>1000</v>
      </c>
      <c r="AB24" s="37">
        <v>1000</v>
      </c>
      <c r="AC24" s="37">
        <v>1000</v>
      </c>
      <c r="AD24" s="37">
        <v>1000</v>
      </c>
      <c r="AE24" s="37">
        <v>1000</v>
      </c>
      <c r="AF24" s="37">
        <v>1000</v>
      </c>
      <c r="AG24" s="37">
        <v>1000</v>
      </c>
      <c r="AH24" s="37">
        <v>1000</v>
      </c>
      <c r="AI24" s="37">
        <v>1000</v>
      </c>
      <c r="AK24">
        <f t="shared" si="1"/>
        <v>489900</v>
      </c>
      <c r="AL24">
        <f t="shared" si="2"/>
        <v>705500</v>
      </c>
      <c r="AM24">
        <f t="shared" si="3"/>
        <v>462000</v>
      </c>
      <c r="AN24">
        <f t="shared" si="4"/>
        <v>378300</v>
      </c>
      <c r="AO24">
        <f t="shared" si="5"/>
        <v>411600</v>
      </c>
      <c r="AP24">
        <f t="shared" si="6"/>
        <v>217200</v>
      </c>
      <c r="AQ24">
        <f t="shared" si="7"/>
        <v>316900</v>
      </c>
      <c r="AR24">
        <f t="shared" si="8"/>
        <v>169600</v>
      </c>
      <c r="AS24">
        <f t="shared" si="9"/>
        <v>357500</v>
      </c>
      <c r="AT24">
        <f t="shared" si="10"/>
        <v>165800</v>
      </c>
    </row>
    <row r="25" spans="1:46" ht="28.2" thickBot="1" x14ac:dyDescent="0.3">
      <c r="A25" s="22" t="s">
        <v>2875</v>
      </c>
      <c r="B25" s="22">
        <v>217.2</v>
      </c>
      <c r="C25" s="22">
        <v>29.2</v>
      </c>
      <c r="D25" s="22">
        <v>198.8</v>
      </c>
      <c r="E25" s="22">
        <v>311.2</v>
      </c>
      <c r="F25" s="22">
        <v>221.1</v>
      </c>
      <c r="G25" s="22">
        <v>220</v>
      </c>
      <c r="H25" s="22">
        <v>46</v>
      </c>
      <c r="I25" s="22">
        <v>40.4</v>
      </c>
      <c r="J25" s="22">
        <v>57.3</v>
      </c>
      <c r="K25" s="22">
        <v>39.299999999999997</v>
      </c>
      <c r="M25" s="22">
        <v>24</v>
      </c>
      <c r="N25" s="22" t="s">
        <v>2918</v>
      </c>
      <c r="O25" s="22" t="s">
        <v>2908</v>
      </c>
      <c r="P25" s="22" t="s">
        <v>2908</v>
      </c>
      <c r="Q25" s="22" t="s">
        <v>2908</v>
      </c>
      <c r="R25" s="22" t="s">
        <v>2908</v>
      </c>
      <c r="S25" s="22" t="s">
        <v>2908</v>
      </c>
      <c r="T25" s="22" t="s">
        <v>2908</v>
      </c>
      <c r="U25" s="22" t="s">
        <v>2908</v>
      </c>
      <c r="V25" s="22" t="s">
        <v>2908</v>
      </c>
      <c r="W25" s="22" t="s">
        <v>2908</v>
      </c>
      <c r="X25" s="22" t="s">
        <v>2908</v>
      </c>
      <c r="Z25" s="37">
        <v>1000</v>
      </c>
      <c r="AA25" s="37">
        <v>1000</v>
      </c>
      <c r="AB25" s="37">
        <v>1000</v>
      </c>
      <c r="AC25" s="37">
        <v>1000</v>
      </c>
      <c r="AD25" s="37">
        <v>1000</v>
      </c>
      <c r="AE25" s="37">
        <v>1000</v>
      </c>
      <c r="AF25" s="37">
        <v>1000</v>
      </c>
      <c r="AG25" s="37">
        <v>1000</v>
      </c>
      <c r="AH25" s="37">
        <v>1000</v>
      </c>
      <c r="AI25" s="37">
        <v>1000</v>
      </c>
      <c r="AK25" t="e">
        <f t="shared" si="1"/>
        <v>#VALUE!</v>
      </c>
      <c r="AL25" t="e">
        <f t="shared" si="2"/>
        <v>#VALUE!</v>
      </c>
      <c r="AM25" t="e">
        <f t="shared" si="3"/>
        <v>#VALUE!</v>
      </c>
      <c r="AN25" t="e">
        <f t="shared" si="4"/>
        <v>#VALUE!</v>
      </c>
      <c r="AO25" t="e">
        <f t="shared" si="5"/>
        <v>#VALUE!</v>
      </c>
      <c r="AP25" t="e">
        <f t="shared" si="6"/>
        <v>#VALUE!</v>
      </c>
      <c r="AQ25" t="e">
        <f t="shared" si="7"/>
        <v>#VALUE!</v>
      </c>
      <c r="AR25" t="e">
        <f t="shared" si="8"/>
        <v>#VALUE!</v>
      </c>
      <c r="AS25" t="e">
        <f t="shared" si="9"/>
        <v>#VALUE!</v>
      </c>
      <c r="AT25" t="e">
        <f t="shared" si="10"/>
        <v>#VALUE!</v>
      </c>
    </row>
    <row r="26" spans="1:46" ht="28.2" thickBot="1" x14ac:dyDescent="0.3">
      <c r="A26" s="22" t="s">
        <v>2869</v>
      </c>
      <c r="B26" s="22">
        <v>5.8</v>
      </c>
      <c r="C26" s="22">
        <v>6.2</v>
      </c>
      <c r="D26" s="22">
        <v>5.4</v>
      </c>
      <c r="E26" s="22">
        <v>3.6</v>
      </c>
      <c r="F26" s="22">
        <v>4.3</v>
      </c>
      <c r="G26" s="22">
        <v>6.5</v>
      </c>
      <c r="H26" s="22">
        <v>10.9</v>
      </c>
      <c r="I26" s="22">
        <v>3.8</v>
      </c>
      <c r="J26" s="22">
        <v>6.9</v>
      </c>
      <c r="K26" s="22">
        <v>3.9</v>
      </c>
      <c r="M26" s="22">
        <v>25</v>
      </c>
      <c r="N26" s="22" t="s">
        <v>4307</v>
      </c>
      <c r="O26" s="22">
        <v>18.5</v>
      </c>
      <c r="P26" s="22">
        <v>6.2</v>
      </c>
      <c r="Q26" s="22">
        <v>18.399999999999999</v>
      </c>
      <c r="R26" s="22">
        <v>29.9</v>
      </c>
      <c r="S26" s="22">
        <v>37.6</v>
      </c>
      <c r="T26" s="22">
        <v>31.9</v>
      </c>
      <c r="U26" s="22">
        <v>3.8</v>
      </c>
      <c r="V26" s="22">
        <v>8.9</v>
      </c>
      <c r="W26" s="22">
        <v>12.1</v>
      </c>
      <c r="X26" s="22">
        <v>9.4</v>
      </c>
      <c r="Z26" s="37">
        <v>1000</v>
      </c>
      <c r="AA26" s="37">
        <v>1000</v>
      </c>
      <c r="AB26" s="37">
        <v>1000</v>
      </c>
      <c r="AC26" s="37">
        <v>1000</v>
      </c>
      <c r="AD26" s="37">
        <v>1000</v>
      </c>
      <c r="AE26" s="37">
        <v>1000</v>
      </c>
      <c r="AF26" s="37">
        <v>1000</v>
      </c>
      <c r="AG26" s="37">
        <v>1000</v>
      </c>
      <c r="AH26" s="37">
        <v>1000</v>
      </c>
      <c r="AI26" s="37">
        <v>1000</v>
      </c>
      <c r="AK26">
        <f t="shared" si="1"/>
        <v>18500</v>
      </c>
      <c r="AL26">
        <f t="shared" si="2"/>
        <v>6200</v>
      </c>
      <c r="AM26">
        <f t="shared" si="3"/>
        <v>18400</v>
      </c>
      <c r="AN26">
        <f t="shared" si="4"/>
        <v>29900</v>
      </c>
      <c r="AO26">
        <f t="shared" si="5"/>
        <v>37600</v>
      </c>
      <c r="AP26">
        <f t="shared" si="6"/>
        <v>31900</v>
      </c>
      <c r="AQ26">
        <f t="shared" si="7"/>
        <v>3800</v>
      </c>
      <c r="AR26">
        <f t="shared" si="8"/>
        <v>8900</v>
      </c>
      <c r="AS26">
        <f t="shared" si="9"/>
        <v>12100</v>
      </c>
      <c r="AT26">
        <f t="shared" si="10"/>
        <v>9400</v>
      </c>
    </row>
    <row r="27" spans="1:46" ht="28.2" thickBot="1" x14ac:dyDescent="0.3">
      <c r="A27" s="22" t="s">
        <v>2963</v>
      </c>
      <c r="B27" s="22">
        <v>18.399999999999999</v>
      </c>
      <c r="C27" s="22">
        <v>8.1</v>
      </c>
      <c r="D27" s="22">
        <v>15.7</v>
      </c>
      <c r="E27" s="22">
        <v>22.3</v>
      </c>
      <c r="F27" s="22">
        <v>8.4</v>
      </c>
      <c r="G27" s="22">
        <v>31</v>
      </c>
      <c r="H27" s="22">
        <v>9.6999999999999993</v>
      </c>
      <c r="I27" s="22">
        <v>24.2</v>
      </c>
      <c r="J27" s="22">
        <v>6.1</v>
      </c>
      <c r="K27" s="22">
        <v>24.2</v>
      </c>
      <c r="M27" s="22">
        <v>26</v>
      </c>
      <c r="N27" s="22" t="s">
        <v>2943</v>
      </c>
      <c r="O27" s="22">
        <v>294</v>
      </c>
      <c r="P27" s="22">
        <v>428.9</v>
      </c>
      <c r="Q27" s="22">
        <v>290.7</v>
      </c>
      <c r="R27" s="22">
        <v>428.2</v>
      </c>
      <c r="S27" s="22">
        <v>471.1</v>
      </c>
      <c r="T27" s="22">
        <v>410.2</v>
      </c>
      <c r="U27" s="22">
        <v>206.3</v>
      </c>
      <c r="V27" s="22">
        <v>159.69999999999999</v>
      </c>
      <c r="W27" s="22">
        <v>222.2</v>
      </c>
      <c r="X27" s="22">
        <v>154.4</v>
      </c>
      <c r="Z27" s="37">
        <v>1000</v>
      </c>
      <c r="AA27" s="37">
        <v>1000</v>
      </c>
      <c r="AB27" s="37">
        <v>1000</v>
      </c>
      <c r="AC27" s="37">
        <v>1000</v>
      </c>
      <c r="AD27" s="37">
        <v>1000</v>
      </c>
      <c r="AE27" s="37">
        <v>1000</v>
      </c>
      <c r="AF27" s="37">
        <v>1000</v>
      </c>
      <c r="AG27" s="37">
        <v>1000</v>
      </c>
      <c r="AH27" s="37">
        <v>1000</v>
      </c>
      <c r="AI27" s="37">
        <v>1000</v>
      </c>
      <c r="AK27">
        <f t="shared" si="1"/>
        <v>294000</v>
      </c>
      <c r="AL27">
        <f t="shared" si="2"/>
        <v>428900</v>
      </c>
      <c r="AM27">
        <f t="shared" si="3"/>
        <v>290700</v>
      </c>
      <c r="AN27">
        <f t="shared" si="4"/>
        <v>428200</v>
      </c>
      <c r="AO27">
        <f t="shared" si="5"/>
        <v>471100</v>
      </c>
      <c r="AP27">
        <f t="shared" si="6"/>
        <v>410200</v>
      </c>
      <c r="AQ27">
        <f t="shared" si="7"/>
        <v>206300</v>
      </c>
      <c r="AR27">
        <f t="shared" si="8"/>
        <v>159700</v>
      </c>
      <c r="AS27">
        <f t="shared" si="9"/>
        <v>222200</v>
      </c>
      <c r="AT27">
        <f t="shared" si="10"/>
        <v>154400</v>
      </c>
    </row>
    <row r="28" spans="1:46" ht="14.4" thickBot="1" x14ac:dyDescent="0.3">
      <c r="A28" s="22" t="s">
        <v>2878</v>
      </c>
      <c r="B28" s="22">
        <v>2</v>
      </c>
      <c r="C28" s="22">
        <v>1.9</v>
      </c>
      <c r="D28" s="22">
        <v>1.9</v>
      </c>
      <c r="E28" s="22">
        <v>2.1</v>
      </c>
      <c r="F28" s="22">
        <v>4.3</v>
      </c>
      <c r="G28" s="22">
        <v>6.2</v>
      </c>
      <c r="H28" s="22">
        <v>5</v>
      </c>
      <c r="I28" s="22">
        <v>1.6</v>
      </c>
      <c r="J28" s="22">
        <v>6.9</v>
      </c>
      <c r="K28" s="22">
        <v>1.5</v>
      </c>
      <c r="M28" s="22">
        <v>27</v>
      </c>
      <c r="N28" s="22" t="s">
        <v>2359</v>
      </c>
      <c r="O28" s="22">
        <v>109.9</v>
      </c>
      <c r="P28" s="22">
        <v>228.5</v>
      </c>
      <c r="Q28" s="22">
        <v>106</v>
      </c>
      <c r="R28" s="22">
        <v>106.8</v>
      </c>
      <c r="S28" s="22">
        <v>120.5</v>
      </c>
      <c r="T28" s="22">
        <v>70.900000000000006</v>
      </c>
      <c r="U28" s="22">
        <v>109.7</v>
      </c>
      <c r="V28" s="22">
        <v>43.6</v>
      </c>
      <c r="W28" s="22">
        <v>50.4</v>
      </c>
      <c r="X28" s="22">
        <v>42.1</v>
      </c>
      <c r="Z28" s="37">
        <v>1000</v>
      </c>
      <c r="AA28" s="37">
        <v>1000</v>
      </c>
      <c r="AB28" s="37">
        <v>1000</v>
      </c>
      <c r="AC28" s="37">
        <v>1000</v>
      </c>
      <c r="AD28" s="37">
        <v>1000</v>
      </c>
      <c r="AE28" s="37">
        <v>1000</v>
      </c>
      <c r="AF28" s="37">
        <v>1000</v>
      </c>
      <c r="AG28" s="37">
        <v>1000</v>
      </c>
      <c r="AH28" s="37">
        <v>1000</v>
      </c>
      <c r="AI28" s="37">
        <v>1000</v>
      </c>
      <c r="AK28">
        <f t="shared" si="1"/>
        <v>109900</v>
      </c>
      <c r="AL28">
        <f t="shared" si="2"/>
        <v>228500</v>
      </c>
      <c r="AM28">
        <f t="shared" si="3"/>
        <v>106000</v>
      </c>
      <c r="AN28">
        <f t="shared" si="4"/>
        <v>106800</v>
      </c>
      <c r="AO28">
        <f t="shared" si="5"/>
        <v>120500</v>
      </c>
      <c r="AP28">
        <f t="shared" si="6"/>
        <v>70900</v>
      </c>
      <c r="AQ28">
        <f t="shared" si="7"/>
        <v>109700</v>
      </c>
      <c r="AR28">
        <f t="shared" si="8"/>
        <v>43600</v>
      </c>
      <c r="AS28">
        <f t="shared" si="9"/>
        <v>50400</v>
      </c>
      <c r="AT28">
        <f t="shared" si="10"/>
        <v>42100</v>
      </c>
    </row>
    <row r="29" spans="1:46" ht="14.4" thickBot="1" x14ac:dyDescent="0.3">
      <c r="A29" s="22" t="s">
        <v>3438</v>
      </c>
      <c r="B29" s="22">
        <v>1.4</v>
      </c>
      <c r="C29" s="22">
        <v>5.6</v>
      </c>
      <c r="D29" s="22">
        <v>1.3</v>
      </c>
      <c r="E29" s="22">
        <v>0.5</v>
      </c>
      <c r="F29" s="22">
        <v>1.1000000000000001</v>
      </c>
      <c r="G29" s="22">
        <v>2</v>
      </c>
      <c r="H29" s="22">
        <v>4.3</v>
      </c>
      <c r="I29" s="22">
        <v>1.1000000000000001</v>
      </c>
      <c r="J29" s="22">
        <v>2.1</v>
      </c>
      <c r="K29" s="22">
        <v>1.2</v>
      </c>
      <c r="M29" s="22">
        <v>28</v>
      </c>
      <c r="N29" s="22" t="s">
        <v>2024</v>
      </c>
      <c r="O29" s="22">
        <v>746.7</v>
      </c>
      <c r="P29" s="22">
        <v>911</v>
      </c>
      <c r="Q29" s="22">
        <v>825.9</v>
      </c>
      <c r="R29" s="22">
        <v>268.2</v>
      </c>
      <c r="S29" s="22">
        <v>187.6</v>
      </c>
      <c r="T29" s="22">
        <v>322.89999999999998</v>
      </c>
      <c r="U29" s="22">
        <v>377.8</v>
      </c>
      <c r="V29" s="22">
        <v>778.3</v>
      </c>
      <c r="W29" s="22">
        <v>427.6</v>
      </c>
      <c r="X29" s="22">
        <v>803.5</v>
      </c>
      <c r="Z29" s="37">
        <v>1000</v>
      </c>
      <c r="AA29" s="37">
        <v>1000</v>
      </c>
      <c r="AB29" s="37">
        <v>1000</v>
      </c>
      <c r="AC29" s="37">
        <v>1000</v>
      </c>
      <c r="AD29" s="37">
        <v>1000</v>
      </c>
      <c r="AE29" s="37">
        <v>1000</v>
      </c>
      <c r="AF29" s="37">
        <v>1000</v>
      </c>
      <c r="AG29" s="37">
        <v>1000</v>
      </c>
      <c r="AH29" s="37">
        <v>1000</v>
      </c>
      <c r="AI29" s="37">
        <v>1000</v>
      </c>
      <c r="AK29">
        <f t="shared" si="1"/>
        <v>746700</v>
      </c>
      <c r="AL29">
        <f t="shared" si="2"/>
        <v>911000</v>
      </c>
      <c r="AM29">
        <f t="shared" si="3"/>
        <v>825900</v>
      </c>
      <c r="AN29">
        <f t="shared" si="4"/>
        <v>268200</v>
      </c>
      <c r="AO29">
        <f t="shared" si="5"/>
        <v>187600</v>
      </c>
      <c r="AP29">
        <f t="shared" si="6"/>
        <v>322900</v>
      </c>
      <c r="AQ29">
        <f t="shared" si="7"/>
        <v>377800</v>
      </c>
      <c r="AR29">
        <f t="shared" si="8"/>
        <v>778300</v>
      </c>
      <c r="AS29">
        <f t="shared" si="9"/>
        <v>427600</v>
      </c>
      <c r="AT29">
        <f t="shared" si="10"/>
        <v>803500</v>
      </c>
    </row>
    <row r="30" spans="1:46" ht="14.4" thickBot="1" x14ac:dyDescent="0.3">
      <c r="A30" s="21" t="s">
        <v>2944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M30" s="22">
        <v>29</v>
      </c>
      <c r="N30" s="22" t="s">
        <v>2892</v>
      </c>
      <c r="O30" s="22" t="s">
        <v>2908</v>
      </c>
      <c r="P30" s="22" t="s">
        <v>2908</v>
      </c>
      <c r="Q30" s="22" t="s">
        <v>2908</v>
      </c>
      <c r="R30" s="22" t="s">
        <v>2908</v>
      </c>
      <c r="S30" s="22" t="s">
        <v>2908</v>
      </c>
      <c r="T30" s="22" t="s">
        <v>2908</v>
      </c>
      <c r="U30" s="22" t="s">
        <v>2908</v>
      </c>
      <c r="V30" s="22" t="s">
        <v>2908</v>
      </c>
      <c r="W30" s="22" t="s">
        <v>2908</v>
      </c>
      <c r="X30" s="22" t="s">
        <v>2908</v>
      </c>
      <c r="Z30" s="37">
        <v>1000</v>
      </c>
      <c r="AA30" s="37">
        <v>1000</v>
      </c>
      <c r="AB30" s="37">
        <v>1000</v>
      </c>
      <c r="AC30" s="37">
        <v>1000</v>
      </c>
      <c r="AD30" s="37">
        <v>1000</v>
      </c>
      <c r="AE30" s="37">
        <v>1000</v>
      </c>
      <c r="AF30" s="37">
        <v>1000</v>
      </c>
      <c r="AG30" s="37">
        <v>1000</v>
      </c>
      <c r="AH30" s="37">
        <v>1000</v>
      </c>
      <c r="AI30" s="37">
        <v>1000</v>
      </c>
      <c r="AK30" t="e">
        <f t="shared" si="1"/>
        <v>#VALUE!</v>
      </c>
      <c r="AL30" t="e">
        <f t="shared" si="2"/>
        <v>#VALUE!</v>
      </c>
      <c r="AM30" t="e">
        <f t="shared" si="3"/>
        <v>#VALUE!</v>
      </c>
      <c r="AN30" t="e">
        <f t="shared" si="4"/>
        <v>#VALUE!</v>
      </c>
      <c r="AO30" t="e">
        <f t="shared" si="5"/>
        <v>#VALUE!</v>
      </c>
      <c r="AP30" t="e">
        <f t="shared" si="6"/>
        <v>#VALUE!</v>
      </c>
      <c r="AQ30" t="e">
        <f t="shared" si="7"/>
        <v>#VALUE!</v>
      </c>
      <c r="AR30" t="e">
        <f t="shared" si="8"/>
        <v>#VALUE!</v>
      </c>
      <c r="AS30" t="e">
        <f t="shared" si="9"/>
        <v>#VALUE!</v>
      </c>
      <c r="AT30" t="e">
        <f t="shared" si="10"/>
        <v>#VALUE!</v>
      </c>
    </row>
    <row r="31" spans="1:46" ht="14.4" thickBot="1" x14ac:dyDescent="0.3">
      <c r="A31" s="22" t="s">
        <v>2177</v>
      </c>
      <c r="B31" s="22">
        <v>713.8</v>
      </c>
      <c r="C31" s="22">
        <v>776.1</v>
      </c>
      <c r="D31" s="22">
        <v>775.8</v>
      </c>
      <c r="E31" s="22">
        <v>452.6</v>
      </c>
      <c r="F31" s="22">
        <v>616.1</v>
      </c>
      <c r="G31" s="22">
        <v>874.5</v>
      </c>
      <c r="H31" s="22">
        <v>301.10000000000002</v>
      </c>
      <c r="I31" s="22">
        <v>371.9</v>
      </c>
      <c r="J31" s="22">
        <v>795.3</v>
      </c>
      <c r="K31" s="22">
        <v>371.9</v>
      </c>
      <c r="M31" s="22">
        <v>30</v>
      </c>
      <c r="N31" s="22" t="s">
        <v>2021</v>
      </c>
      <c r="O31" s="22">
        <v>59.3</v>
      </c>
      <c r="P31" s="22">
        <v>20.9</v>
      </c>
      <c r="Q31" s="22">
        <v>62.7</v>
      </c>
      <c r="R31" s="22">
        <v>18.600000000000001</v>
      </c>
      <c r="S31" s="22">
        <v>18.7</v>
      </c>
      <c r="T31" s="22">
        <v>43.4</v>
      </c>
      <c r="U31" s="22">
        <v>8.6</v>
      </c>
      <c r="V31" s="22">
        <v>52.8</v>
      </c>
      <c r="W31" s="22">
        <v>28.5</v>
      </c>
      <c r="X31" s="22">
        <v>52.7</v>
      </c>
      <c r="Z31" s="37">
        <v>1000</v>
      </c>
      <c r="AA31" s="37">
        <v>1000</v>
      </c>
      <c r="AB31" s="37">
        <v>1000</v>
      </c>
      <c r="AC31" s="37">
        <v>1000</v>
      </c>
      <c r="AD31" s="37">
        <v>1000</v>
      </c>
      <c r="AE31" s="37">
        <v>1000</v>
      </c>
      <c r="AF31" s="37">
        <v>1000</v>
      </c>
      <c r="AG31" s="37">
        <v>1000</v>
      </c>
      <c r="AH31" s="37">
        <v>1000</v>
      </c>
      <c r="AI31" s="37">
        <v>1000</v>
      </c>
      <c r="AK31">
        <f t="shared" si="1"/>
        <v>59300</v>
      </c>
      <c r="AL31">
        <f t="shared" si="2"/>
        <v>20900</v>
      </c>
      <c r="AM31">
        <f t="shared" si="3"/>
        <v>62700</v>
      </c>
      <c r="AN31">
        <f t="shared" si="4"/>
        <v>18600</v>
      </c>
      <c r="AO31">
        <f t="shared" si="5"/>
        <v>18700</v>
      </c>
      <c r="AP31">
        <f t="shared" si="6"/>
        <v>43400</v>
      </c>
      <c r="AQ31">
        <f t="shared" si="7"/>
        <v>8600</v>
      </c>
      <c r="AR31">
        <f t="shared" si="8"/>
        <v>52800</v>
      </c>
      <c r="AS31">
        <f t="shared" si="9"/>
        <v>28500</v>
      </c>
      <c r="AT31">
        <f t="shared" si="10"/>
        <v>52700</v>
      </c>
    </row>
    <row r="32" spans="1:46" ht="14.4" thickBot="1" x14ac:dyDescent="0.3">
      <c r="A32" s="22" t="s">
        <v>2185</v>
      </c>
      <c r="B32" s="22">
        <v>7</v>
      </c>
      <c r="C32" s="22">
        <v>8.6</v>
      </c>
      <c r="D32" s="22">
        <v>7.8</v>
      </c>
      <c r="E32" s="22">
        <v>10</v>
      </c>
      <c r="F32" s="22">
        <v>7.2</v>
      </c>
      <c r="G32" s="22">
        <v>9.8000000000000007</v>
      </c>
      <c r="H32" s="22">
        <v>4</v>
      </c>
      <c r="I32" s="22">
        <v>9.8000000000000007</v>
      </c>
      <c r="J32" s="22">
        <v>6.9</v>
      </c>
      <c r="K32" s="22">
        <v>7.6</v>
      </c>
      <c r="M32" s="22">
        <v>31</v>
      </c>
      <c r="N32" s="22" t="s">
        <v>2174</v>
      </c>
      <c r="O32" s="22">
        <v>20.5</v>
      </c>
      <c r="P32" s="22">
        <v>6.4</v>
      </c>
      <c r="Q32" s="22">
        <v>19.899999999999999</v>
      </c>
      <c r="R32" s="22">
        <v>8.4</v>
      </c>
      <c r="S32" s="22">
        <v>5.0999999999999996</v>
      </c>
      <c r="T32" s="22">
        <v>11.3</v>
      </c>
      <c r="U32" s="22">
        <v>2.5</v>
      </c>
      <c r="V32" s="22">
        <v>20.399999999999999</v>
      </c>
      <c r="W32" s="22">
        <v>7.2</v>
      </c>
      <c r="X32" s="22">
        <v>20.7</v>
      </c>
      <c r="Z32" s="37">
        <v>1000</v>
      </c>
      <c r="AA32" s="37">
        <v>1000</v>
      </c>
      <c r="AB32" s="37">
        <v>1000</v>
      </c>
      <c r="AC32" s="37">
        <v>1000</v>
      </c>
      <c r="AD32" s="37">
        <v>1000</v>
      </c>
      <c r="AE32" s="37">
        <v>1000</v>
      </c>
      <c r="AF32" s="37">
        <v>1000</v>
      </c>
      <c r="AG32" s="37">
        <v>1000</v>
      </c>
      <c r="AH32" s="37">
        <v>1000</v>
      </c>
      <c r="AI32" s="37">
        <v>1000</v>
      </c>
      <c r="AK32">
        <f t="shared" si="1"/>
        <v>20500</v>
      </c>
      <c r="AL32">
        <f t="shared" si="2"/>
        <v>6400</v>
      </c>
      <c r="AM32">
        <f t="shared" si="3"/>
        <v>19900</v>
      </c>
      <c r="AN32">
        <f t="shared" si="4"/>
        <v>8400</v>
      </c>
      <c r="AO32">
        <f t="shared" si="5"/>
        <v>5100</v>
      </c>
      <c r="AP32">
        <f t="shared" si="6"/>
        <v>11300</v>
      </c>
      <c r="AQ32">
        <f t="shared" si="7"/>
        <v>2500</v>
      </c>
      <c r="AR32">
        <f t="shared" si="8"/>
        <v>20400</v>
      </c>
      <c r="AS32">
        <f t="shared" si="9"/>
        <v>7200</v>
      </c>
      <c r="AT32">
        <f t="shared" si="10"/>
        <v>20700</v>
      </c>
    </row>
    <row r="33" spans="1:46" ht="14.4" thickBot="1" x14ac:dyDescent="0.3">
      <c r="A33" s="22" t="s">
        <v>2020</v>
      </c>
      <c r="B33" s="22">
        <v>143.4</v>
      </c>
      <c r="C33" s="22">
        <v>133.9</v>
      </c>
      <c r="D33" s="22">
        <v>154.5</v>
      </c>
      <c r="E33" s="22">
        <v>156.1</v>
      </c>
      <c r="F33" s="22">
        <v>45.5</v>
      </c>
      <c r="G33" s="22">
        <v>75.099999999999994</v>
      </c>
      <c r="H33" s="22">
        <v>59.9</v>
      </c>
      <c r="I33" s="22">
        <v>178.4</v>
      </c>
      <c r="J33" s="22">
        <v>74.8</v>
      </c>
      <c r="K33" s="22">
        <v>203.7</v>
      </c>
      <c r="M33" s="22">
        <v>32</v>
      </c>
      <c r="N33" s="22" t="s">
        <v>2180</v>
      </c>
      <c r="O33" s="22">
        <v>17.2</v>
      </c>
      <c r="P33" s="22">
        <v>8.5</v>
      </c>
      <c r="Q33" s="22">
        <v>17.399999999999999</v>
      </c>
      <c r="R33" s="22">
        <v>6.1</v>
      </c>
      <c r="S33" s="22">
        <v>6.2</v>
      </c>
      <c r="T33" s="22">
        <v>11.6</v>
      </c>
      <c r="U33" s="22">
        <v>9.3000000000000007</v>
      </c>
      <c r="V33" s="22">
        <v>15.4</v>
      </c>
      <c r="W33" s="22">
        <v>8</v>
      </c>
      <c r="X33" s="22">
        <v>16</v>
      </c>
      <c r="Z33" s="37">
        <v>1000</v>
      </c>
      <c r="AA33" s="37">
        <v>1000</v>
      </c>
      <c r="AB33" s="37">
        <v>1000</v>
      </c>
      <c r="AC33" s="37">
        <v>1000</v>
      </c>
      <c r="AD33" s="37">
        <v>1000</v>
      </c>
      <c r="AE33" s="37">
        <v>1000</v>
      </c>
      <c r="AF33" s="37">
        <v>1000</v>
      </c>
      <c r="AG33" s="37">
        <v>1000</v>
      </c>
      <c r="AH33" s="37">
        <v>1000</v>
      </c>
      <c r="AI33" s="37">
        <v>1000</v>
      </c>
      <c r="AK33">
        <f t="shared" si="1"/>
        <v>17200</v>
      </c>
      <c r="AL33">
        <f t="shared" si="2"/>
        <v>8500</v>
      </c>
      <c r="AM33">
        <f t="shared" si="3"/>
        <v>17400</v>
      </c>
      <c r="AN33">
        <f t="shared" si="4"/>
        <v>6100</v>
      </c>
      <c r="AO33">
        <f t="shared" si="5"/>
        <v>6200</v>
      </c>
      <c r="AP33">
        <f t="shared" si="6"/>
        <v>11600</v>
      </c>
      <c r="AQ33">
        <f t="shared" si="7"/>
        <v>9300</v>
      </c>
      <c r="AR33">
        <f t="shared" si="8"/>
        <v>15400</v>
      </c>
      <c r="AS33">
        <f t="shared" si="9"/>
        <v>8000</v>
      </c>
      <c r="AT33">
        <f t="shared" si="10"/>
        <v>16000</v>
      </c>
    </row>
    <row r="34" spans="1:46" ht="14.4" thickBot="1" x14ac:dyDescent="0.3">
      <c r="A34" s="22" t="s">
        <v>2180</v>
      </c>
      <c r="B34" s="22">
        <v>17.2</v>
      </c>
      <c r="C34" s="22">
        <v>8.5</v>
      </c>
      <c r="D34" s="22">
        <v>17.399999999999999</v>
      </c>
      <c r="E34" s="22">
        <v>6.1</v>
      </c>
      <c r="F34" s="22">
        <v>6.2</v>
      </c>
      <c r="G34" s="22">
        <v>11.6</v>
      </c>
      <c r="H34" s="22">
        <v>9.3000000000000007</v>
      </c>
      <c r="I34" s="22">
        <v>15.4</v>
      </c>
      <c r="J34" s="22">
        <v>8</v>
      </c>
      <c r="K34" s="22">
        <v>16</v>
      </c>
      <c r="M34" s="22">
        <v>33</v>
      </c>
      <c r="N34" s="22" t="s">
        <v>2020</v>
      </c>
      <c r="O34" s="22">
        <v>143.4</v>
      </c>
      <c r="P34" s="22">
        <v>133.9</v>
      </c>
      <c r="Q34" s="22">
        <v>154.5</v>
      </c>
      <c r="R34" s="22">
        <v>156.1</v>
      </c>
      <c r="S34" s="22">
        <v>45.5</v>
      </c>
      <c r="T34" s="22">
        <v>75.099999999999994</v>
      </c>
      <c r="U34" s="22">
        <v>59.9</v>
      </c>
      <c r="V34" s="22">
        <v>178.4</v>
      </c>
      <c r="W34" s="22">
        <v>74.8</v>
      </c>
      <c r="X34" s="22">
        <v>203.7</v>
      </c>
      <c r="Z34" s="37">
        <v>1000</v>
      </c>
      <c r="AA34" s="37">
        <v>1000</v>
      </c>
      <c r="AB34" s="37">
        <v>1000</v>
      </c>
      <c r="AC34" s="37">
        <v>1000</v>
      </c>
      <c r="AD34" s="37">
        <v>1000</v>
      </c>
      <c r="AE34" s="37">
        <v>1000</v>
      </c>
      <c r="AF34" s="37">
        <v>1000</v>
      </c>
      <c r="AG34" s="37">
        <v>1000</v>
      </c>
      <c r="AH34" s="37">
        <v>1000</v>
      </c>
      <c r="AI34" s="37">
        <v>1000</v>
      </c>
      <c r="AK34">
        <f t="shared" si="1"/>
        <v>143400</v>
      </c>
      <c r="AL34">
        <f t="shared" si="2"/>
        <v>133900</v>
      </c>
      <c r="AM34">
        <f t="shared" si="3"/>
        <v>154500</v>
      </c>
      <c r="AN34">
        <f t="shared" si="4"/>
        <v>156100</v>
      </c>
      <c r="AO34">
        <f t="shared" si="5"/>
        <v>45500</v>
      </c>
      <c r="AP34">
        <f t="shared" si="6"/>
        <v>75100</v>
      </c>
      <c r="AQ34">
        <f t="shared" si="7"/>
        <v>59900</v>
      </c>
      <c r="AR34">
        <f t="shared" si="8"/>
        <v>178400</v>
      </c>
      <c r="AS34">
        <f t="shared" si="9"/>
        <v>74800</v>
      </c>
      <c r="AT34">
        <f t="shared" si="10"/>
        <v>203700</v>
      </c>
    </row>
    <row r="35" spans="1:46" ht="14.4" thickBot="1" x14ac:dyDescent="0.3">
      <c r="A35" s="22" t="s">
        <v>2174</v>
      </c>
      <c r="B35" s="22">
        <v>20.5</v>
      </c>
      <c r="C35" s="22">
        <v>6.4</v>
      </c>
      <c r="D35" s="22">
        <v>19.899999999999999</v>
      </c>
      <c r="E35" s="22">
        <v>8.4</v>
      </c>
      <c r="F35" s="22">
        <v>5.0999999999999996</v>
      </c>
      <c r="G35" s="22">
        <v>11.3</v>
      </c>
      <c r="H35" s="22">
        <v>2.5</v>
      </c>
      <c r="I35" s="22">
        <v>20.399999999999999</v>
      </c>
      <c r="J35" s="22">
        <v>7.2</v>
      </c>
      <c r="K35" s="22">
        <v>20.7</v>
      </c>
      <c r="M35" s="22">
        <v>34</v>
      </c>
      <c r="N35" s="22" t="s">
        <v>2177</v>
      </c>
      <c r="O35" s="22">
        <v>713.8</v>
      </c>
      <c r="P35" s="22">
        <v>776.1</v>
      </c>
      <c r="Q35" s="22">
        <v>775.8</v>
      </c>
      <c r="R35" s="22">
        <v>452.6</v>
      </c>
      <c r="S35" s="22">
        <v>616.1</v>
      </c>
      <c r="T35" s="22">
        <v>874.5</v>
      </c>
      <c r="U35" s="22">
        <v>301.10000000000002</v>
      </c>
      <c r="V35" s="22">
        <v>371.9</v>
      </c>
      <c r="W35" s="22">
        <v>795.3</v>
      </c>
      <c r="X35" s="22">
        <v>371.9</v>
      </c>
      <c r="Z35" s="37">
        <v>1000</v>
      </c>
      <c r="AA35" s="37">
        <v>1000</v>
      </c>
      <c r="AB35" s="37">
        <v>1000</v>
      </c>
      <c r="AC35" s="37">
        <v>1000</v>
      </c>
      <c r="AD35" s="37">
        <v>1000</v>
      </c>
      <c r="AE35" s="37">
        <v>1000</v>
      </c>
      <c r="AF35" s="37">
        <v>1000</v>
      </c>
      <c r="AG35" s="37">
        <v>1000</v>
      </c>
      <c r="AH35" s="37">
        <v>1000</v>
      </c>
      <c r="AI35" s="37">
        <v>1000</v>
      </c>
      <c r="AK35">
        <f t="shared" si="1"/>
        <v>713800</v>
      </c>
      <c r="AL35">
        <f t="shared" si="2"/>
        <v>776100</v>
      </c>
      <c r="AM35">
        <f t="shared" si="3"/>
        <v>775800</v>
      </c>
      <c r="AN35">
        <f t="shared" si="4"/>
        <v>452600</v>
      </c>
      <c r="AO35">
        <f t="shared" si="5"/>
        <v>616100</v>
      </c>
      <c r="AP35">
        <f t="shared" si="6"/>
        <v>874500</v>
      </c>
      <c r="AQ35">
        <f t="shared" si="7"/>
        <v>301100</v>
      </c>
      <c r="AR35">
        <f t="shared" si="8"/>
        <v>371900</v>
      </c>
      <c r="AS35">
        <f t="shared" si="9"/>
        <v>795300</v>
      </c>
      <c r="AT35">
        <f t="shared" si="10"/>
        <v>371900</v>
      </c>
    </row>
    <row r="36" spans="1:46" ht="28.2" thickBot="1" x14ac:dyDescent="0.3">
      <c r="A36" s="22" t="s">
        <v>2026</v>
      </c>
      <c r="B36" s="22">
        <v>18.399999999999999</v>
      </c>
      <c r="C36" s="22">
        <v>7.1</v>
      </c>
      <c r="D36" s="22">
        <v>18.100000000000001</v>
      </c>
      <c r="E36" s="22">
        <v>12.6</v>
      </c>
      <c r="F36" s="22">
        <v>15.8</v>
      </c>
      <c r="G36" s="22">
        <v>32.299999999999997</v>
      </c>
      <c r="H36" s="22">
        <v>7</v>
      </c>
      <c r="I36" s="22">
        <v>25.6</v>
      </c>
      <c r="J36" s="22">
        <v>16.899999999999999</v>
      </c>
      <c r="K36" s="22">
        <v>26</v>
      </c>
      <c r="M36" s="22">
        <v>35</v>
      </c>
      <c r="N36" s="22" t="s">
        <v>2175</v>
      </c>
      <c r="O36" s="22" t="s">
        <v>2908</v>
      </c>
      <c r="P36" s="22" t="s">
        <v>2908</v>
      </c>
      <c r="Q36" s="22" t="s">
        <v>2908</v>
      </c>
      <c r="R36" s="22" t="s">
        <v>2908</v>
      </c>
      <c r="S36" s="22" t="s">
        <v>2908</v>
      </c>
      <c r="T36" s="22" t="s">
        <v>2908</v>
      </c>
      <c r="U36" s="22" t="s">
        <v>2908</v>
      </c>
      <c r="V36" s="22" t="s">
        <v>2908</v>
      </c>
      <c r="W36" s="22" t="s">
        <v>2908</v>
      </c>
      <c r="X36" s="22" t="s">
        <v>2908</v>
      </c>
      <c r="Z36" s="37">
        <v>1000</v>
      </c>
      <c r="AA36" s="37">
        <v>1000</v>
      </c>
      <c r="AB36" s="37">
        <v>1000</v>
      </c>
      <c r="AC36" s="37">
        <v>1000</v>
      </c>
      <c r="AD36" s="37">
        <v>1000</v>
      </c>
      <c r="AE36" s="37">
        <v>1000</v>
      </c>
      <c r="AF36" s="37">
        <v>1000</v>
      </c>
      <c r="AG36" s="37">
        <v>1000</v>
      </c>
      <c r="AH36" s="37">
        <v>1000</v>
      </c>
      <c r="AI36" s="37">
        <v>1000</v>
      </c>
      <c r="AK36" t="e">
        <f t="shared" si="1"/>
        <v>#VALUE!</v>
      </c>
      <c r="AL36" t="e">
        <f t="shared" si="2"/>
        <v>#VALUE!</v>
      </c>
      <c r="AM36" t="e">
        <f t="shared" si="3"/>
        <v>#VALUE!</v>
      </c>
      <c r="AN36" t="e">
        <f t="shared" si="4"/>
        <v>#VALUE!</v>
      </c>
      <c r="AO36" t="e">
        <f t="shared" si="5"/>
        <v>#VALUE!</v>
      </c>
      <c r="AP36" t="e">
        <f t="shared" si="6"/>
        <v>#VALUE!</v>
      </c>
      <c r="AQ36" t="e">
        <f t="shared" si="7"/>
        <v>#VALUE!</v>
      </c>
      <c r="AR36" t="e">
        <f t="shared" si="8"/>
        <v>#VALUE!</v>
      </c>
      <c r="AS36" t="e">
        <f t="shared" si="9"/>
        <v>#VALUE!</v>
      </c>
      <c r="AT36" t="e">
        <f t="shared" si="10"/>
        <v>#VALUE!</v>
      </c>
    </row>
    <row r="37" spans="1:46" ht="14.4" thickBot="1" x14ac:dyDescent="0.3">
      <c r="A37" s="22" t="s">
        <v>2021</v>
      </c>
      <c r="B37" s="22">
        <v>59.3</v>
      </c>
      <c r="C37" s="22">
        <v>20.9</v>
      </c>
      <c r="D37" s="22">
        <v>62.7</v>
      </c>
      <c r="E37" s="22">
        <v>18.600000000000001</v>
      </c>
      <c r="F37" s="22">
        <v>18.7</v>
      </c>
      <c r="G37" s="22">
        <v>43.4</v>
      </c>
      <c r="H37" s="22">
        <v>8.6</v>
      </c>
      <c r="I37" s="22">
        <v>52.8</v>
      </c>
      <c r="J37" s="22">
        <v>28.5</v>
      </c>
      <c r="K37" s="22">
        <v>52.7</v>
      </c>
      <c r="M37" s="22">
        <v>36</v>
      </c>
      <c r="N37" s="22" t="s">
        <v>2026</v>
      </c>
      <c r="O37" s="22">
        <v>18.399999999999999</v>
      </c>
      <c r="P37" s="22">
        <v>7.1</v>
      </c>
      <c r="Q37" s="22">
        <v>18.100000000000001</v>
      </c>
      <c r="R37" s="22">
        <v>12.6</v>
      </c>
      <c r="S37" s="22">
        <v>15.8</v>
      </c>
      <c r="T37" s="22">
        <v>32.299999999999997</v>
      </c>
      <c r="U37" s="22">
        <v>7</v>
      </c>
      <c r="V37" s="22">
        <v>25.6</v>
      </c>
      <c r="W37" s="22">
        <v>16.899999999999999</v>
      </c>
      <c r="X37" s="22">
        <v>26</v>
      </c>
      <c r="Z37" s="37">
        <v>1000</v>
      </c>
      <c r="AA37" s="37">
        <v>1000</v>
      </c>
      <c r="AB37" s="37">
        <v>1000</v>
      </c>
      <c r="AC37" s="37">
        <v>1000</v>
      </c>
      <c r="AD37" s="37">
        <v>1000</v>
      </c>
      <c r="AE37" s="37">
        <v>1000</v>
      </c>
      <c r="AF37" s="37">
        <v>1000</v>
      </c>
      <c r="AG37" s="37">
        <v>1000</v>
      </c>
      <c r="AH37" s="37">
        <v>1000</v>
      </c>
      <c r="AI37" s="37">
        <v>1000</v>
      </c>
      <c r="AK37">
        <f t="shared" si="1"/>
        <v>18400</v>
      </c>
      <c r="AL37">
        <f t="shared" si="2"/>
        <v>7100</v>
      </c>
      <c r="AM37">
        <f t="shared" si="3"/>
        <v>18100</v>
      </c>
      <c r="AN37">
        <f t="shared" si="4"/>
        <v>12600</v>
      </c>
      <c r="AO37">
        <f t="shared" si="5"/>
        <v>15800</v>
      </c>
      <c r="AP37">
        <f t="shared" si="6"/>
        <v>32299.999999999996</v>
      </c>
      <c r="AQ37">
        <f t="shared" si="7"/>
        <v>7000</v>
      </c>
      <c r="AR37">
        <f t="shared" si="8"/>
        <v>25600</v>
      </c>
      <c r="AS37">
        <f t="shared" si="9"/>
        <v>16900</v>
      </c>
      <c r="AT37">
        <f t="shared" si="10"/>
        <v>26000</v>
      </c>
    </row>
    <row r="38" spans="1:46" ht="14.4" thickBot="1" x14ac:dyDescent="0.3">
      <c r="A38" s="22" t="s">
        <v>2024</v>
      </c>
      <c r="B38" s="22">
        <v>746.7</v>
      </c>
      <c r="C38" s="22">
        <v>911</v>
      </c>
      <c r="D38" s="22">
        <v>825.9</v>
      </c>
      <c r="E38" s="22">
        <v>268.2</v>
      </c>
      <c r="F38" s="22">
        <v>187.6</v>
      </c>
      <c r="G38" s="22">
        <v>322.89999999999998</v>
      </c>
      <c r="H38" s="22">
        <v>377.8</v>
      </c>
      <c r="I38" s="22">
        <v>778.3</v>
      </c>
      <c r="J38" s="22">
        <v>427.6</v>
      </c>
      <c r="K38" s="22">
        <v>803.5</v>
      </c>
      <c r="M38" s="22">
        <v>37</v>
      </c>
      <c r="N38" s="22" t="s">
        <v>2920</v>
      </c>
      <c r="O38" s="22" t="s">
        <v>2908</v>
      </c>
      <c r="P38" s="22" t="s">
        <v>2908</v>
      </c>
      <c r="Q38" s="22" t="s">
        <v>2908</v>
      </c>
      <c r="R38" s="22" t="s">
        <v>2908</v>
      </c>
      <c r="S38" s="22" t="s">
        <v>2908</v>
      </c>
      <c r="T38" s="22" t="s">
        <v>2908</v>
      </c>
      <c r="U38" s="22" t="s">
        <v>2908</v>
      </c>
      <c r="V38" s="22" t="s">
        <v>2908</v>
      </c>
      <c r="W38" s="22" t="s">
        <v>2908</v>
      </c>
      <c r="X38" s="22" t="s">
        <v>2908</v>
      </c>
      <c r="Z38" s="37">
        <v>1000</v>
      </c>
      <c r="AA38" s="37">
        <v>1000</v>
      </c>
      <c r="AB38" s="37">
        <v>1000</v>
      </c>
      <c r="AC38" s="37">
        <v>1000</v>
      </c>
      <c r="AD38" s="37">
        <v>1000</v>
      </c>
      <c r="AE38" s="37">
        <v>1000</v>
      </c>
      <c r="AF38" s="37">
        <v>1000</v>
      </c>
      <c r="AG38" s="37">
        <v>1000</v>
      </c>
      <c r="AH38" s="37">
        <v>1000</v>
      </c>
      <c r="AI38" s="37">
        <v>1000</v>
      </c>
      <c r="AK38" t="e">
        <f t="shared" si="1"/>
        <v>#VALUE!</v>
      </c>
      <c r="AL38" t="e">
        <f t="shared" si="2"/>
        <v>#VALUE!</v>
      </c>
      <c r="AM38" t="e">
        <f t="shared" si="3"/>
        <v>#VALUE!</v>
      </c>
      <c r="AN38" t="e">
        <f t="shared" si="4"/>
        <v>#VALUE!</v>
      </c>
      <c r="AO38" t="e">
        <f t="shared" si="5"/>
        <v>#VALUE!</v>
      </c>
      <c r="AP38" t="e">
        <f t="shared" si="6"/>
        <v>#VALUE!</v>
      </c>
      <c r="AQ38" t="e">
        <f t="shared" si="7"/>
        <v>#VALUE!</v>
      </c>
      <c r="AR38" t="e">
        <f t="shared" si="8"/>
        <v>#VALUE!</v>
      </c>
      <c r="AS38" t="e">
        <f t="shared" si="9"/>
        <v>#VALUE!</v>
      </c>
      <c r="AT38" t="e">
        <f t="shared" si="10"/>
        <v>#VALUE!</v>
      </c>
    </row>
    <row r="39" spans="1:46" ht="14.4" thickBot="1" x14ac:dyDescent="0.3">
      <c r="A39" s="21" t="s">
        <v>6125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M39" s="22">
        <v>38</v>
      </c>
      <c r="N39" s="22" t="s">
        <v>2320</v>
      </c>
      <c r="O39" s="22">
        <v>367.3</v>
      </c>
      <c r="P39" s="22">
        <v>661.1</v>
      </c>
      <c r="Q39" s="22">
        <v>395.9</v>
      </c>
      <c r="R39" s="22">
        <v>72.099999999999994</v>
      </c>
      <c r="S39" s="22">
        <v>103</v>
      </c>
      <c r="T39" s="22">
        <v>84.5</v>
      </c>
      <c r="U39" s="22">
        <v>134.19999999999999</v>
      </c>
      <c r="V39" s="22">
        <v>113.1</v>
      </c>
      <c r="W39" s="22">
        <v>179</v>
      </c>
      <c r="X39" s="22">
        <v>111.4</v>
      </c>
      <c r="Z39" s="37">
        <v>1000</v>
      </c>
      <c r="AA39" s="37">
        <v>1000</v>
      </c>
      <c r="AB39" s="37">
        <v>1000</v>
      </c>
      <c r="AC39" s="37">
        <v>1000</v>
      </c>
      <c r="AD39" s="37">
        <v>1000</v>
      </c>
      <c r="AE39" s="37">
        <v>1000</v>
      </c>
      <c r="AF39" s="37">
        <v>1000</v>
      </c>
      <c r="AG39" s="37">
        <v>1000</v>
      </c>
      <c r="AH39" s="37">
        <v>1000</v>
      </c>
      <c r="AI39" s="37">
        <v>1000</v>
      </c>
      <c r="AK39">
        <f t="shared" si="1"/>
        <v>367300</v>
      </c>
      <c r="AL39">
        <f t="shared" si="2"/>
        <v>661100</v>
      </c>
      <c r="AM39">
        <f t="shared" si="3"/>
        <v>395900</v>
      </c>
      <c r="AN39">
        <f t="shared" si="4"/>
        <v>72100</v>
      </c>
      <c r="AO39">
        <f t="shared" si="5"/>
        <v>103000</v>
      </c>
      <c r="AP39">
        <f t="shared" si="6"/>
        <v>84500</v>
      </c>
      <c r="AQ39">
        <f t="shared" si="7"/>
        <v>134200</v>
      </c>
      <c r="AR39">
        <f t="shared" si="8"/>
        <v>113100</v>
      </c>
      <c r="AS39">
        <f t="shared" si="9"/>
        <v>179000</v>
      </c>
      <c r="AT39">
        <f t="shared" si="10"/>
        <v>111400</v>
      </c>
    </row>
    <row r="40" spans="1:46" ht="14.4" thickBot="1" x14ac:dyDescent="0.3">
      <c r="A40" s="22" t="s">
        <v>2320</v>
      </c>
      <c r="B40" s="22">
        <v>367.3</v>
      </c>
      <c r="C40" s="22">
        <v>661.1</v>
      </c>
      <c r="D40" s="22">
        <v>395.9</v>
      </c>
      <c r="E40" s="22">
        <v>72.099999999999994</v>
      </c>
      <c r="F40" s="22">
        <v>103</v>
      </c>
      <c r="G40" s="22">
        <v>84.5</v>
      </c>
      <c r="H40" s="22">
        <v>134.19999999999999</v>
      </c>
      <c r="I40" s="22">
        <v>113.1</v>
      </c>
      <c r="J40" s="22">
        <v>179</v>
      </c>
      <c r="K40" s="22">
        <v>111.4</v>
      </c>
      <c r="M40" s="22">
        <v>39</v>
      </c>
      <c r="N40" s="22" t="s">
        <v>2857</v>
      </c>
      <c r="O40" s="22">
        <v>62.3</v>
      </c>
      <c r="P40" s="22">
        <v>96</v>
      </c>
      <c r="Q40" s="22">
        <v>57.3</v>
      </c>
      <c r="R40" s="22">
        <v>24.3</v>
      </c>
      <c r="S40" s="22">
        <v>70.599999999999994</v>
      </c>
      <c r="T40" s="22">
        <v>55</v>
      </c>
      <c r="U40" s="22">
        <v>122.4</v>
      </c>
      <c r="V40" s="22">
        <v>68.400000000000006</v>
      </c>
      <c r="W40" s="22">
        <v>202.5</v>
      </c>
      <c r="X40" s="22">
        <v>69</v>
      </c>
      <c r="Z40" s="37">
        <v>1000</v>
      </c>
      <c r="AA40" s="37">
        <v>1000</v>
      </c>
      <c r="AB40" s="37">
        <v>1000</v>
      </c>
      <c r="AC40" s="37">
        <v>1000</v>
      </c>
      <c r="AD40" s="37">
        <v>1000</v>
      </c>
      <c r="AE40" s="37">
        <v>1000</v>
      </c>
      <c r="AF40" s="37">
        <v>1000</v>
      </c>
      <c r="AG40" s="37">
        <v>1000</v>
      </c>
      <c r="AH40" s="37">
        <v>1000</v>
      </c>
      <c r="AI40" s="37">
        <v>1000</v>
      </c>
      <c r="AK40">
        <f t="shared" si="1"/>
        <v>62300</v>
      </c>
      <c r="AL40">
        <f t="shared" si="2"/>
        <v>96000</v>
      </c>
      <c r="AM40">
        <f t="shared" si="3"/>
        <v>57300</v>
      </c>
      <c r="AN40">
        <f t="shared" si="4"/>
        <v>24300</v>
      </c>
      <c r="AO40">
        <f t="shared" si="5"/>
        <v>70600</v>
      </c>
      <c r="AP40">
        <f t="shared" si="6"/>
        <v>55000</v>
      </c>
      <c r="AQ40">
        <f t="shared" si="7"/>
        <v>122400</v>
      </c>
      <c r="AR40">
        <f t="shared" si="8"/>
        <v>68400</v>
      </c>
      <c r="AS40">
        <f t="shared" si="9"/>
        <v>202500</v>
      </c>
      <c r="AT40">
        <f t="shared" si="10"/>
        <v>69000</v>
      </c>
    </row>
    <row r="41" spans="1:46" ht="42" thickBot="1" x14ac:dyDescent="0.3">
      <c r="A41" s="22" t="s">
        <v>2168</v>
      </c>
      <c r="B41" s="22">
        <v>32.9</v>
      </c>
      <c r="C41" s="22">
        <v>4</v>
      </c>
      <c r="D41" s="22">
        <v>35.9</v>
      </c>
      <c r="E41" s="22">
        <v>11.8</v>
      </c>
      <c r="F41" s="22">
        <v>23.4</v>
      </c>
      <c r="G41" s="22">
        <v>21</v>
      </c>
      <c r="H41" s="22">
        <v>1.9</v>
      </c>
      <c r="I41" s="22">
        <v>1.3</v>
      </c>
      <c r="J41" s="22">
        <v>9.6</v>
      </c>
      <c r="K41" s="22">
        <v>3.8</v>
      </c>
      <c r="M41" s="22">
        <v>40</v>
      </c>
      <c r="N41" s="22" t="s">
        <v>3158</v>
      </c>
      <c r="O41" s="22">
        <v>423</v>
      </c>
      <c r="P41" s="22">
        <v>784.3</v>
      </c>
      <c r="Q41" s="22">
        <v>447.8</v>
      </c>
      <c r="R41" s="22">
        <v>91.7</v>
      </c>
      <c r="S41" s="22">
        <v>118.5</v>
      </c>
      <c r="T41" s="22">
        <v>89</v>
      </c>
      <c r="U41" s="22">
        <v>153.69999999999999</v>
      </c>
      <c r="V41" s="22">
        <v>127.5</v>
      </c>
      <c r="W41" s="22">
        <v>205.2</v>
      </c>
      <c r="X41" s="22">
        <v>138.5</v>
      </c>
      <c r="Z41" s="37">
        <v>1000</v>
      </c>
      <c r="AA41" s="37">
        <v>1000</v>
      </c>
      <c r="AB41" s="37">
        <v>1000</v>
      </c>
      <c r="AC41" s="37">
        <v>1000</v>
      </c>
      <c r="AD41" s="37">
        <v>1000</v>
      </c>
      <c r="AE41" s="37">
        <v>1000</v>
      </c>
      <c r="AF41" s="37">
        <v>1000</v>
      </c>
      <c r="AG41" s="37">
        <v>1000</v>
      </c>
      <c r="AH41" s="37">
        <v>1000</v>
      </c>
      <c r="AI41" s="37">
        <v>1000</v>
      </c>
      <c r="AK41">
        <f t="shared" si="1"/>
        <v>423000</v>
      </c>
      <c r="AL41">
        <f t="shared" si="2"/>
        <v>784300</v>
      </c>
      <c r="AM41">
        <f t="shared" si="3"/>
        <v>447800</v>
      </c>
      <c r="AN41">
        <f t="shared" si="4"/>
        <v>91700</v>
      </c>
      <c r="AO41">
        <f t="shared" si="5"/>
        <v>118500</v>
      </c>
      <c r="AP41">
        <f t="shared" si="6"/>
        <v>89000</v>
      </c>
      <c r="AQ41">
        <f t="shared" si="7"/>
        <v>153700</v>
      </c>
      <c r="AR41">
        <f t="shared" si="8"/>
        <v>127500</v>
      </c>
      <c r="AS41">
        <f t="shared" si="9"/>
        <v>205200</v>
      </c>
      <c r="AT41">
        <f t="shared" si="10"/>
        <v>138500</v>
      </c>
    </row>
    <row r="42" spans="1:46" ht="28.2" thickBot="1" x14ac:dyDescent="0.3">
      <c r="A42" s="22" t="s">
        <v>2947</v>
      </c>
      <c r="B42" s="22">
        <v>423</v>
      </c>
      <c r="C42" s="22">
        <v>784.3</v>
      </c>
      <c r="D42" s="22">
        <v>447.8</v>
      </c>
      <c r="E42" s="22">
        <v>91.7</v>
      </c>
      <c r="F42" s="22">
        <v>118.5</v>
      </c>
      <c r="G42" s="22">
        <v>89</v>
      </c>
      <c r="H42" s="22">
        <v>153.69999999999999</v>
      </c>
      <c r="I42" s="22">
        <v>127.5</v>
      </c>
      <c r="J42" s="22">
        <v>205.2</v>
      </c>
      <c r="K42" s="22">
        <v>138.5</v>
      </c>
      <c r="M42" s="22">
        <v>41</v>
      </c>
      <c r="N42" s="22" t="s">
        <v>2922</v>
      </c>
      <c r="O42" s="22">
        <v>41.5</v>
      </c>
      <c r="P42" s="22">
        <v>29.9</v>
      </c>
      <c r="Q42" s="22">
        <v>38.6</v>
      </c>
      <c r="R42" s="22">
        <v>17.899999999999999</v>
      </c>
      <c r="S42" s="22">
        <v>13.5</v>
      </c>
      <c r="T42" s="22">
        <v>29.5</v>
      </c>
      <c r="U42" s="22">
        <v>257.2</v>
      </c>
      <c r="V42" s="22">
        <v>142.30000000000001</v>
      </c>
      <c r="W42" s="22">
        <v>39.6</v>
      </c>
      <c r="X42" s="22">
        <v>142.30000000000001</v>
      </c>
      <c r="Z42" s="37">
        <v>1000</v>
      </c>
      <c r="AA42" s="37">
        <v>1000</v>
      </c>
      <c r="AB42" s="37">
        <v>1000</v>
      </c>
      <c r="AC42" s="37">
        <v>1000</v>
      </c>
      <c r="AD42" s="37">
        <v>1000</v>
      </c>
      <c r="AE42" s="37">
        <v>1000</v>
      </c>
      <c r="AF42" s="37">
        <v>1000</v>
      </c>
      <c r="AG42" s="37">
        <v>1000</v>
      </c>
      <c r="AH42" s="37">
        <v>1000</v>
      </c>
      <c r="AI42" s="37">
        <v>1000</v>
      </c>
      <c r="AK42">
        <f t="shared" si="1"/>
        <v>41500</v>
      </c>
      <c r="AL42">
        <f t="shared" si="2"/>
        <v>29900</v>
      </c>
      <c r="AM42">
        <f t="shared" si="3"/>
        <v>38600</v>
      </c>
      <c r="AN42">
        <f t="shared" si="4"/>
        <v>17900</v>
      </c>
      <c r="AO42">
        <f t="shared" si="5"/>
        <v>13500</v>
      </c>
      <c r="AP42">
        <f t="shared" si="6"/>
        <v>29500</v>
      </c>
      <c r="AQ42">
        <f t="shared" si="7"/>
        <v>257200</v>
      </c>
      <c r="AR42">
        <f t="shared" si="8"/>
        <v>142300</v>
      </c>
      <c r="AS42">
        <f t="shared" si="9"/>
        <v>39600</v>
      </c>
      <c r="AT42">
        <f t="shared" si="10"/>
        <v>142300</v>
      </c>
    </row>
    <row r="43" spans="1:46" ht="14.4" thickBot="1" x14ac:dyDescent="0.3">
      <c r="A43" s="22" t="s">
        <v>2930</v>
      </c>
      <c r="B43" s="22">
        <v>214.1</v>
      </c>
      <c r="C43" s="22">
        <v>55.2</v>
      </c>
      <c r="D43" s="22">
        <v>227.2</v>
      </c>
      <c r="E43" s="22">
        <v>81</v>
      </c>
      <c r="F43" s="22">
        <v>152.9</v>
      </c>
      <c r="G43" s="22">
        <v>127.6</v>
      </c>
      <c r="H43" s="22">
        <v>13.9</v>
      </c>
      <c r="I43" s="22">
        <v>21.7</v>
      </c>
      <c r="J43" s="22">
        <v>64.3</v>
      </c>
      <c r="K43" s="22">
        <v>21.6</v>
      </c>
      <c r="M43" s="22">
        <v>42</v>
      </c>
      <c r="N43" s="22" t="s">
        <v>2341</v>
      </c>
      <c r="O43" s="22" t="s">
        <v>2908</v>
      </c>
      <c r="P43" s="22" t="s">
        <v>2908</v>
      </c>
      <c r="Q43" s="22" t="s">
        <v>2908</v>
      </c>
      <c r="R43" s="22" t="s">
        <v>2908</v>
      </c>
      <c r="S43" s="22" t="s">
        <v>2908</v>
      </c>
      <c r="T43" s="22" t="s">
        <v>2908</v>
      </c>
      <c r="U43" s="22" t="s">
        <v>2908</v>
      </c>
      <c r="V43" s="22" t="s">
        <v>2908</v>
      </c>
      <c r="W43" s="22" t="s">
        <v>2908</v>
      </c>
      <c r="X43" s="22" t="s">
        <v>2908</v>
      </c>
      <c r="Z43" s="37">
        <v>1000</v>
      </c>
      <c r="AA43" s="37">
        <v>1000</v>
      </c>
      <c r="AB43" s="37">
        <v>1000</v>
      </c>
      <c r="AC43" s="37">
        <v>1000</v>
      </c>
      <c r="AD43" s="37">
        <v>1000</v>
      </c>
      <c r="AE43" s="37">
        <v>1000</v>
      </c>
      <c r="AF43" s="37">
        <v>1000</v>
      </c>
      <c r="AG43" s="37">
        <v>1000</v>
      </c>
      <c r="AH43" s="37">
        <v>1000</v>
      </c>
      <c r="AI43" s="37">
        <v>1000</v>
      </c>
      <c r="AK43" t="e">
        <f t="shared" si="1"/>
        <v>#VALUE!</v>
      </c>
      <c r="AL43" t="e">
        <f t="shared" si="2"/>
        <v>#VALUE!</v>
      </c>
      <c r="AM43" t="e">
        <f t="shared" si="3"/>
        <v>#VALUE!</v>
      </c>
      <c r="AN43" t="e">
        <f t="shared" si="4"/>
        <v>#VALUE!</v>
      </c>
      <c r="AO43" t="e">
        <f t="shared" si="5"/>
        <v>#VALUE!</v>
      </c>
      <c r="AP43" t="e">
        <f t="shared" si="6"/>
        <v>#VALUE!</v>
      </c>
      <c r="AQ43" t="e">
        <f t="shared" si="7"/>
        <v>#VALUE!</v>
      </c>
      <c r="AR43" t="e">
        <f t="shared" si="8"/>
        <v>#VALUE!</v>
      </c>
      <c r="AS43" t="e">
        <f t="shared" si="9"/>
        <v>#VALUE!</v>
      </c>
      <c r="AT43" t="e">
        <f t="shared" si="10"/>
        <v>#VALUE!</v>
      </c>
    </row>
    <row r="44" spans="1:46" ht="28.2" thickBot="1" x14ac:dyDescent="0.3">
      <c r="A44" s="22" t="s">
        <v>2857</v>
      </c>
      <c r="B44" s="22">
        <v>62.3</v>
      </c>
      <c r="C44" s="22">
        <v>96</v>
      </c>
      <c r="D44" s="22">
        <v>57.3</v>
      </c>
      <c r="E44" s="22">
        <v>24.3</v>
      </c>
      <c r="F44" s="22">
        <v>70.599999999999994</v>
      </c>
      <c r="G44" s="22">
        <v>55</v>
      </c>
      <c r="H44" s="22">
        <v>122.4</v>
      </c>
      <c r="I44" s="22">
        <v>68.400000000000006</v>
      </c>
      <c r="J44" s="22">
        <v>202.5</v>
      </c>
      <c r="K44" s="22">
        <v>69</v>
      </c>
      <c r="M44" s="22">
        <v>43</v>
      </c>
      <c r="N44" s="22" t="s">
        <v>2161</v>
      </c>
      <c r="O44" s="22" t="s">
        <v>2908</v>
      </c>
      <c r="P44" s="22" t="s">
        <v>2908</v>
      </c>
      <c r="Q44" s="22" t="s">
        <v>2908</v>
      </c>
      <c r="R44" s="22" t="s">
        <v>2908</v>
      </c>
      <c r="S44" s="22" t="s">
        <v>2908</v>
      </c>
      <c r="T44" s="22" t="s">
        <v>2908</v>
      </c>
      <c r="U44" s="22" t="s">
        <v>2908</v>
      </c>
      <c r="V44" s="22" t="s">
        <v>2908</v>
      </c>
      <c r="W44" s="22" t="s">
        <v>2908</v>
      </c>
      <c r="X44" s="22" t="s">
        <v>2908</v>
      </c>
      <c r="Z44" s="37">
        <v>1000</v>
      </c>
      <c r="AA44" s="37">
        <v>1000</v>
      </c>
      <c r="AB44" s="37">
        <v>1000</v>
      </c>
      <c r="AC44" s="37">
        <v>1000</v>
      </c>
      <c r="AD44" s="37">
        <v>1000</v>
      </c>
      <c r="AE44" s="37">
        <v>1000</v>
      </c>
      <c r="AF44" s="37">
        <v>1000</v>
      </c>
      <c r="AG44" s="37">
        <v>1000</v>
      </c>
      <c r="AH44" s="37">
        <v>1000</v>
      </c>
      <c r="AI44" s="37">
        <v>1000</v>
      </c>
      <c r="AK44" t="e">
        <f t="shared" si="1"/>
        <v>#VALUE!</v>
      </c>
      <c r="AL44" t="e">
        <f t="shared" si="2"/>
        <v>#VALUE!</v>
      </c>
      <c r="AM44" t="e">
        <f t="shared" si="3"/>
        <v>#VALUE!</v>
      </c>
      <c r="AN44" t="e">
        <f t="shared" si="4"/>
        <v>#VALUE!</v>
      </c>
      <c r="AO44" t="e">
        <f t="shared" si="5"/>
        <v>#VALUE!</v>
      </c>
      <c r="AP44" t="e">
        <f t="shared" si="6"/>
        <v>#VALUE!</v>
      </c>
      <c r="AQ44" t="e">
        <f t="shared" si="7"/>
        <v>#VALUE!</v>
      </c>
      <c r="AR44" t="e">
        <f t="shared" si="8"/>
        <v>#VALUE!</v>
      </c>
      <c r="AS44" t="e">
        <f t="shared" si="9"/>
        <v>#VALUE!</v>
      </c>
      <c r="AT44" t="e">
        <f t="shared" si="10"/>
        <v>#VALUE!</v>
      </c>
    </row>
    <row r="45" spans="1:46" ht="42" thickBot="1" x14ac:dyDescent="0.3">
      <c r="A45" s="22" t="s">
        <v>2948</v>
      </c>
      <c r="B45" s="22">
        <v>2.6</v>
      </c>
      <c r="C45" s="22">
        <v>6.4</v>
      </c>
      <c r="D45" s="22">
        <v>6.8</v>
      </c>
      <c r="E45" s="22">
        <v>4.3</v>
      </c>
      <c r="F45" s="22">
        <v>4.3</v>
      </c>
      <c r="G45" s="22">
        <v>5.5</v>
      </c>
      <c r="H45" s="22">
        <v>1.1000000000000001</v>
      </c>
      <c r="I45" s="22">
        <v>2.2999999999999998</v>
      </c>
      <c r="J45" s="22">
        <v>6</v>
      </c>
      <c r="K45" s="22">
        <v>3.1</v>
      </c>
      <c r="M45" s="22">
        <v>44</v>
      </c>
      <c r="N45" s="22" t="s">
        <v>2923</v>
      </c>
      <c r="O45" s="22" t="s">
        <v>2908</v>
      </c>
      <c r="P45" s="22" t="s">
        <v>2908</v>
      </c>
      <c r="Q45" s="22" t="s">
        <v>2908</v>
      </c>
      <c r="R45" s="22" t="s">
        <v>2908</v>
      </c>
      <c r="S45" s="22" t="s">
        <v>2908</v>
      </c>
      <c r="T45" s="22" t="s">
        <v>2908</v>
      </c>
      <c r="U45" s="22" t="s">
        <v>2908</v>
      </c>
      <c r="V45" s="22" t="s">
        <v>2908</v>
      </c>
      <c r="W45" s="22" t="s">
        <v>2908</v>
      </c>
      <c r="X45" s="22" t="s">
        <v>2908</v>
      </c>
      <c r="Z45" s="37">
        <v>1000</v>
      </c>
      <c r="AA45" s="37">
        <v>1000</v>
      </c>
      <c r="AB45" s="37">
        <v>1000</v>
      </c>
      <c r="AC45" s="37">
        <v>1000</v>
      </c>
      <c r="AD45" s="37">
        <v>1000</v>
      </c>
      <c r="AE45" s="37">
        <v>1000</v>
      </c>
      <c r="AF45" s="37">
        <v>1000</v>
      </c>
      <c r="AG45" s="37">
        <v>1000</v>
      </c>
      <c r="AH45" s="37">
        <v>1000</v>
      </c>
      <c r="AI45" s="37">
        <v>1000</v>
      </c>
      <c r="AK45" t="e">
        <f t="shared" si="1"/>
        <v>#VALUE!</v>
      </c>
      <c r="AL45" t="e">
        <f t="shared" si="2"/>
        <v>#VALUE!</v>
      </c>
      <c r="AM45" t="e">
        <f t="shared" si="3"/>
        <v>#VALUE!</v>
      </c>
      <c r="AN45" t="e">
        <f t="shared" si="4"/>
        <v>#VALUE!</v>
      </c>
      <c r="AO45" t="e">
        <f t="shared" si="5"/>
        <v>#VALUE!</v>
      </c>
      <c r="AP45" t="e">
        <f t="shared" si="6"/>
        <v>#VALUE!</v>
      </c>
      <c r="AQ45" t="e">
        <f t="shared" si="7"/>
        <v>#VALUE!</v>
      </c>
      <c r="AR45" t="e">
        <f t="shared" si="8"/>
        <v>#VALUE!</v>
      </c>
      <c r="AS45" t="e">
        <f t="shared" si="9"/>
        <v>#VALUE!</v>
      </c>
      <c r="AT45" t="e">
        <f t="shared" si="10"/>
        <v>#VALUE!</v>
      </c>
    </row>
    <row r="46" spans="1:46" ht="69.599999999999994" thickBot="1" x14ac:dyDescent="0.3">
      <c r="A46" s="22" t="s">
        <v>2922</v>
      </c>
      <c r="B46" s="22">
        <v>41.5</v>
      </c>
      <c r="C46" s="22">
        <v>29.9</v>
      </c>
      <c r="D46" s="22">
        <v>38.6</v>
      </c>
      <c r="E46" s="22">
        <v>17.899999999999999</v>
      </c>
      <c r="F46" s="22">
        <v>13.5</v>
      </c>
      <c r="G46" s="22">
        <v>29.5</v>
      </c>
      <c r="H46" s="22">
        <v>257.2</v>
      </c>
      <c r="I46" s="22">
        <v>142.30000000000001</v>
      </c>
      <c r="J46" s="22">
        <v>39.6</v>
      </c>
      <c r="K46" s="22">
        <v>142.30000000000001</v>
      </c>
      <c r="M46" s="22">
        <v>45</v>
      </c>
      <c r="N46" s="22" t="s">
        <v>6127</v>
      </c>
      <c r="O46" s="22">
        <v>27.8</v>
      </c>
      <c r="P46" s="22">
        <v>40.1</v>
      </c>
      <c r="Q46" s="22">
        <v>32.799999999999997</v>
      </c>
      <c r="R46" s="22">
        <v>15.3</v>
      </c>
      <c r="S46" s="22">
        <v>8.6999999999999993</v>
      </c>
      <c r="T46" s="22">
        <v>25.5</v>
      </c>
      <c r="U46" s="22">
        <v>2</v>
      </c>
      <c r="V46" s="22">
        <v>35.4</v>
      </c>
      <c r="W46" s="22">
        <v>18.2</v>
      </c>
      <c r="X46" s="22">
        <v>35.4</v>
      </c>
      <c r="Z46" s="37">
        <v>1000</v>
      </c>
      <c r="AA46" s="37">
        <v>1000</v>
      </c>
      <c r="AB46" s="37">
        <v>1000</v>
      </c>
      <c r="AC46" s="37">
        <v>1000</v>
      </c>
      <c r="AD46" s="37">
        <v>1000</v>
      </c>
      <c r="AE46" s="37">
        <v>1000</v>
      </c>
      <c r="AF46" s="37">
        <v>1000</v>
      </c>
      <c r="AG46" s="37">
        <v>1000</v>
      </c>
      <c r="AH46" s="37">
        <v>1000</v>
      </c>
      <c r="AI46" s="37">
        <v>1000</v>
      </c>
      <c r="AK46">
        <f t="shared" si="1"/>
        <v>27800</v>
      </c>
      <c r="AL46">
        <f t="shared" si="2"/>
        <v>40100</v>
      </c>
      <c r="AM46">
        <f t="shared" si="3"/>
        <v>32800</v>
      </c>
      <c r="AN46">
        <f t="shared" si="4"/>
        <v>15300</v>
      </c>
      <c r="AO46">
        <f t="shared" si="5"/>
        <v>8700</v>
      </c>
      <c r="AP46">
        <f t="shared" si="6"/>
        <v>25500</v>
      </c>
      <c r="AQ46">
        <f t="shared" si="7"/>
        <v>2000</v>
      </c>
      <c r="AR46">
        <f t="shared" si="8"/>
        <v>35400</v>
      </c>
      <c r="AS46">
        <f t="shared" si="9"/>
        <v>18200</v>
      </c>
      <c r="AT46">
        <f t="shared" si="10"/>
        <v>35400</v>
      </c>
    </row>
    <row r="47" spans="1:46" ht="42" thickBot="1" x14ac:dyDescent="0.3">
      <c r="A47" s="22" t="s">
        <v>2956</v>
      </c>
      <c r="B47" s="22">
        <v>2.4</v>
      </c>
      <c r="C47" s="22">
        <v>0.9</v>
      </c>
      <c r="D47" s="22">
        <v>2.4</v>
      </c>
      <c r="E47" s="22">
        <v>1.9</v>
      </c>
      <c r="F47" s="22">
        <v>4.9000000000000004</v>
      </c>
      <c r="G47" s="22">
        <v>1.6</v>
      </c>
      <c r="H47" s="22">
        <v>0.2</v>
      </c>
      <c r="I47" s="22">
        <v>1.3</v>
      </c>
      <c r="J47" s="22">
        <v>1.4</v>
      </c>
      <c r="K47" s="22">
        <v>1.1000000000000001</v>
      </c>
      <c r="M47" s="22">
        <v>46</v>
      </c>
      <c r="N47" s="22" t="s">
        <v>2925</v>
      </c>
      <c r="O47" s="22" t="s">
        <v>2908</v>
      </c>
      <c r="P47" s="22" t="s">
        <v>2908</v>
      </c>
      <c r="Q47" s="22" t="s">
        <v>2908</v>
      </c>
      <c r="R47" s="22" t="s">
        <v>2908</v>
      </c>
      <c r="S47" s="22" t="s">
        <v>2908</v>
      </c>
      <c r="T47" s="22" t="s">
        <v>2908</v>
      </c>
      <c r="U47" s="22" t="s">
        <v>2908</v>
      </c>
      <c r="V47" s="22" t="s">
        <v>2908</v>
      </c>
      <c r="W47" s="22" t="s">
        <v>2908</v>
      </c>
      <c r="X47" s="22" t="s">
        <v>2908</v>
      </c>
      <c r="Z47" s="37">
        <v>1000</v>
      </c>
      <c r="AA47" s="37">
        <v>1000</v>
      </c>
      <c r="AB47" s="37">
        <v>1000</v>
      </c>
      <c r="AC47" s="37">
        <v>1000</v>
      </c>
      <c r="AD47" s="37">
        <v>1000</v>
      </c>
      <c r="AE47" s="37">
        <v>1000</v>
      </c>
      <c r="AF47" s="37">
        <v>1000</v>
      </c>
      <c r="AG47" s="37">
        <v>1000</v>
      </c>
      <c r="AH47" s="37">
        <v>1000</v>
      </c>
      <c r="AI47" s="37">
        <v>1000</v>
      </c>
      <c r="AK47" t="e">
        <f t="shared" si="1"/>
        <v>#VALUE!</v>
      </c>
      <c r="AL47" t="e">
        <f t="shared" si="2"/>
        <v>#VALUE!</v>
      </c>
      <c r="AM47" t="e">
        <f t="shared" si="3"/>
        <v>#VALUE!</v>
      </c>
      <c r="AN47" t="e">
        <f t="shared" si="4"/>
        <v>#VALUE!</v>
      </c>
      <c r="AO47" t="e">
        <f t="shared" si="5"/>
        <v>#VALUE!</v>
      </c>
      <c r="AP47" t="e">
        <f t="shared" si="6"/>
        <v>#VALUE!</v>
      </c>
      <c r="AQ47" t="e">
        <f t="shared" si="7"/>
        <v>#VALUE!</v>
      </c>
      <c r="AR47" t="e">
        <f t="shared" si="8"/>
        <v>#VALUE!</v>
      </c>
      <c r="AS47" t="e">
        <f t="shared" si="9"/>
        <v>#VALUE!</v>
      </c>
      <c r="AT47" t="e">
        <f t="shared" si="10"/>
        <v>#VALUE!</v>
      </c>
    </row>
    <row r="48" spans="1:46" ht="28.2" thickBot="1" x14ac:dyDescent="0.3">
      <c r="A48" s="22" t="s">
        <v>6126</v>
      </c>
      <c r="B48" s="22">
        <v>27.8</v>
      </c>
      <c r="C48" s="22">
        <v>40.1</v>
      </c>
      <c r="D48" s="22">
        <v>32.799999999999997</v>
      </c>
      <c r="E48" s="22">
        <v>15.3</v>
      </c>
      <c r="F48" s="22">
        <v>8.6999999999999993</v>
      </c>
      <c r="G48" s="22">
        <v>25.5</v>
      </c>
      <c r="H48" s="22">
        <v>2</v>
      </c>
      <c r="I48" s="22">
        <v>35.4</v>
      </c>
      <c r="J48" s="22">
        <v>18.2</v>
      </c>
      <c r="K48" s="22">
        <v>35.4</v>
      </c>
      <c r="M48" s="22">
        <v>47</v>
      </c>
      <c r="N48" s="22" t="s">
        <v>3159</v>
      </c>
      <c r="O48" s="22" t="s">
        <v>2908</v>
      </c>
      <c r="P48" s="22" t="s">
        <v>2908</v>
      </c>
      <c r="Q48" s="22" t="s">
        <v>2908</v>
      </c>
      <c r="R48" s="22" t="s">
        <v>2908</v>
      </c>
      <c r="S48" s="22" t="s">
        <v>2908</v>
      </c>
      <c r="T48" s="22" t="s">
        <v>2908</v>
      </c>
      <c r="U48" s="22" t="s">
        <v>2908</v>
      </c>
      <c r="V48" s="22" t="s">
        <v>2908</v>
      </c>
      <c r="W48" s="22" t="s">
        <v>2908</v>
      </c>
      <c r="X48" s="22" t="s">
        <v>2908</v>
      </c>
      <c r="Z48" s="37">
        <v>1000</v>
      </c>
      <c r="AA48" s="37">
        <v>1000</v>
      </c>
      <c r="AB48" s="37">
        <v>1000</v>
      </c>
      <c r="AC48" s="37">
        <v>1000</v>
      </c>
      <c r="AD48" s="37">
        <v>1000</v>
      </c>
      <c r="AE48" s="37">
        <v>1000</v>
      </c>
      <c r="AF48" s="37">
        <v>1000</v>
      </c>
      <c r="AG48" s="37">
        <v>1000</v>
      </c>
      <c r="AH48" s="37">
        <v>1000</v>
      </c>
      <c r="AI48" s="37">
        <v>1000</v>
      </c>
      <c r="AK48" t="e">
        <f t="shared" si="1"/>
        <v>#VALUE!</v>
      </c>
      <c r="AL48" t="e">
        <f t="shared" si="2"/>
        <v>#VALUE!</v>
      </c>
      <c r="AM48" t="e">
        <f t="shared" si="3"/>
        <v>#VALUE!</v>
      </c>
      <c r="AN48" t="e">
        <f t="shared" si="4"/>
        <v>#VALUE!</v>
      </c>
      <c r="AO48" t="e">
        <f t="shared" si="5"/>
        <v>#VALUE!</v>
      </c>
      <c r="AP48" t="e">
        <f t="shared" si="6"/>
        <v>#VALUE!</v>
      </c>
      <c r="AQ48" t="e">
        <f t="shared" si="7"/>
        <v>#VALUE!</v>
      </c>
      <c r="AR48" t="e">
        <f t="shared" si="8"/>
        <v>#VALUE!</v>
      </c>
      <c r="AS48" t="e">
        <f t="shared" si="9"/>
        <v>#VALUE!</v>
      </c>
      <c r="AT48" t="e">
        <f t="shared" si="10"/>
        <v>#VALUE!</v>
      </c>
    </row>
    <row r="49" spans="13:46" ht="14.4" thickBot="1" x14ac:dyDescent="0.3">
      <c r="M49" s="22">
        <v>48</v>
      </c>
      <c r="N49" s="22" t="s">
        <v>2878</v>
      </c>
      <c r="O49" s="22">
        <v>2</v>
      </c>
      <c r="P49" s="22">
        <v>1.9</v>
      </c>
      <c r="Q49" s="22">
        <v>1.9</v>
      </c>
      <c r="R49" s="22">
        <v>2.1</v>
      </c>
      <c r="S49" s="22">
        <v>4.3</v>
      </c>
      <c r="T49" s="22">
        <v>6.2</v>
      </c>
      <c r="U49" s="22">
        <v>5</v>
      </c>
      <c r="V49" s="22">
        <v>1.6</v>
      </c>
      <c r="W49" s="22">
        <v>6.9</v>
      </c>
      <c r="X49" s="22">
        <v>1.5</v>
      </c>
      <c r="Z49" s="37">
        <v>1000</v>
      </c>
      <c r="AA49" s="37">
        <v>1000</v>
      </c>
      <c r="AB49" s="37">
        <v>1000</v>
      </c>
      <c r="AC49" s="37">
        <v>1000</v>
      </c>
      <c r="AD49" s="37">
        <v>1000</v>
      </c>
      <c r="AE49" s="37">
        <v>1000</v>
      </c>
      <c r="AF49" s="37">
        <v>1000</v>
      </c>
      <c r="AG49" s="37">
        <v>1000</v>
      </c>
      <c r="AH49" s="37">
        <v>1000</v>
      </c>
      <c r="AI49" s="37">
        <v>1000</v>
      </c>
      <c r="AK49">
        <f t="shared" si="1"/>
        <v>2000</v>
      </c>
      <c r="AL49">
        <f t="shared" si="2"/>
        <v>1900</v>
      </c>
      <c r="AM49">
        <f t="shared" si="3"/>
        <v>1900</v>
      </c>
      <c r="AN49">
        <f t="shared" si="4"/>
        <v>2100</v>
      </c>
      <c r="AO49">
        <f t="shared" si="5"/>
        <v>4300</v>
      </c>
      <c r="AP49">
        <f t="shared" si="6"/>
        <v>6200</v>
      </c>
      <c r="AQ49">
        <f t="shared" si="7"/>
        <v>5000</v>
      </c>
      <c r="AR49">
        <f t="shared" si="8"/>
        <v>1600</v>
      </c>
      <c r="AS49">
        <f t="shared" si="9"/>
        <v>6900</v>
      </c>
      <c r="AT49">
        <f t="shared" si="10"/>
        <v>1500</v>
      </c>
    </row>
    <row r="50" spans="13:46" ht="14.4" thickBot="1" x14ac:dyDescent="0.3">
      <c r="M50" s="22">
        <v>49</v>
      </c>
      <c r="N50" s="22" t="s">
        <v>2927</v>
      </c>
      <c r="O50" s="22" t="s">
        <v>2908</v>
      </c>
      <c r="P50" s="22" t="s">
        <v>2908</v>
      </c>
      <c r="Q50" s="22" t="s">
        <v>2908</v>
      </c>
      <c r="R50" s="22" t="s">
        <v>2908</v>
      </c>
      <c r="S50" s="22" t="s">
        <v>2908</v>
      </c>
      <c r="T50" s="22" t="s">
        <v>2908</v>
      </c>
      <c r="U50" s="22" t="s">
        <v>2908</v>
      </c>
      <c r="V50" s="22" t="s">
        <v>2908</v>
      </c>
      <c r="W50" s="22" t="s">
        <v>2908</v>
      </c>
      <c r="X50" s="22" t="s">
        <v>2908</v>
      </c>
      <c r="Z50" s="37">
        <v>1000</v>
      </c>
      <c r="AA50" s="37">
        <v>1000</v>
      </c>
      <c r="AB50" s="37">
        <v>1000</v>
      </c>
      <c r="AC50" s="37">
        <v>1000</v>
      </c>
      <c r="AD50" s="37">
        <v>1000</v>
      </c>
      <c r="AE50" s="37">
        <v>1000</v>
      </c>
      <c r="AF50" s="37">
        <v>1000</v>
      </c>
      <c r="AG50" s="37">
        <v>1000</v>
      </c>
      <c r="AH50" s="37">
        <v>1000</v>
      </c>
      <c r="AI50" s="37">
        <v>1000</v>
      </c>
      <c r="AK50" t="e">
        <f t="shared" si="1"/>
        <v>#VALUE!</v>
      </c>
      <c r="AL50" t="e">
        <f t="shared" si="2"/>
        <v>#VALUE!</v>
      </c>
      <c r="AM50" t="e">
        <f t="shared" si="3"/>
        <v>#VALUE!</v>
      </c>
      <c r="AN50" t="e">
        <f t="shared" si="4"/>
        <v>#VALUE!</v>
      </c>
      <c r="AO50" t="e">
        <f t="shared" si="5"/>
        <v>#VALUE!</v>
      </c>
      <c r="AP50" t="e">
        <f t="shared" si="6"/>
        <v>#VALUE!</v>
      </c>
      <c r="AQ50" t="e">
        <f t="shared" si="7"/>
        <v>#VALUE!</v>
      </c>
      <c r="AR50" t="e">
        <f t="shared" si="8"/>
        <v>#VALUE!</v>
      </c>
      <c r="AS50" t="e">
        <f t="shared" si="9"/>
        <v>#VALUE!</v>
      </c>
      <c r="AT50" t="e">
        <f t="shared" si="10"/>
        <v>#VALUE!</v>
      </c>
    </row>
    <row r="51" spans="13:46" ht="28.2" thickBot="1" x14ac:dyDescent="0.3">
      <c r="M51" s="22">
        <v>50</v>
      </c>
      <c r="N51" s="22" t="s">
        <v>2164</v>
      </c>
      <c r="O51" s="22">
        <v>5.7</v>
      </c>
      <c r="P51" s="22">
        <v>4.4000000000000004</v>
      </c>
      <c r="Q51" s="22">
        <v>5.6</v>
      </c>
      <c r="R51" s="22">
        <v>3.1</v>
      </c>
      <c r="S51" s="22">
        <v>2.5</v>
      </c>
      <c r="T51" s="22">
        <v>3.8</v>
      </c>
      <c r="U51" s="22">
        <v>1.1000000000000001</v>
      </c>
      <c r="V51" s="22">
        <v>2</v>
      </c>
      <c r="W51" s="22">
        <v>1.9</v>
      </c>
      <c r="X51" s="22">
        <v>3.1</v>
      </c>
      <c r="Z51" s="37">
        <v>1000</v>
      </c>
      <c r="AA51" s="37">
        <v>1000</v>
      </c>
      <c r="AB51" s="37">
        <v>1000</v>
      </c>
      <c r="AC51" s="37">
        <v>1000</v>
      </c>
      <c r="AD51" s="37">
        <v>1000</v>
      </c>
      <c r="AE51" s="37">
        <v>1000</v>
      </c>
      <c r="AF51" s="37">
        <v>1000</v>
      </c>
      <c r="AG51" s="37">
        <v>1000</v>
      </c>
      <c r="AH51" s="37">
        <v>1000</v>
      </c>
      <c r="AI51" s="37">
        <v>1000</v>
      </c>
      <c r="AK51">
        <f t="shared" si="1"/>
        <v>5700</v>
      </c>
      <c r="AL51">
        <f t="shared" si="2"/>
        <v>4400</v>
      </c>
      <c r="AM51">
        <f t="shared" si="3"/>
        <v>5600</v>
      </c>
      <c r="AN51">
        <f t="shared" si="4"/>
        <v>3100</v>
      </c>
      <c r="AO51">
        <f t="shared" si="5"/>
        <v>2500</v>
      </c>
      <c r="AP51">
        <f t="shared" si="6"/>
        <v>3800</v>
      </c>
      <c r="AQ51">
        <f t="shared" si="7"/>
        <v>1100</v>
      </c>
      <c r="AR51">
        <f t="shared" si="8"/>
        <v>2000</v>
      </c>
      <c r="AS51">
        <f t="shared" si="9"/>
        <v>1900</v>
      </c>
      <c r="AT51">
        <f t="shared" si="10"/>
        <v>3100</v>
      </c>
    </row>
    <row r="52" spans="13:46" ht="28.2" thickBot="1" x14ac:dyDescent="0.3">
      <c r="M52" s="22">
        <v>51</v>
      </c>
      <c r="N52" s="22" t="s">
        <v>2170</v>
      </c>
      <c r="O52" s="22" t="s">
        <v>2908</v>
      </c>
      <c r="P52" s="22" t="s">
        <v>2908</v>
      </c>
      <c r="Q52" s="22" t="s">
        <v>2908</v>
      </c>
      <c r="R52" s="22" t="s">
        <v>2908</v>
      </c>
      <c r="S52" s="22" t="s">
        <v>2908</v>
      </c>
      <c r="T52" s="22" t="s">
        <v>2908</v>
      </c>
      <c r="U52" s="22" t="s">
        <v>2908</v>
      </c>
      <c r="V52" s="22" t="s">
        <v>2908</v>
      </c>
      <c r="W52" s="22" t="s">
        <v>2908</v>
      </c>
      <c r="X52" s="22" t="s">
        <v>2908</v>
      </c>
      <c r="Z52" s="37">
        <v>1000</v>
      </c>
      <c r="AA52" s="37">
        <v>1000</v>
      </c>
      <c r="AB52" s="37">
        <v>1000</v>
      </c>
      <c r="AC52" s="37">
        <v>1000</v>
      </c>
      <c r="AD52" s="37">
        <v>1000</v>
      </c>
      <c r="AE52" s="37">
        <v>1000</v>
      </c>
      <c r="AF52" s="37">
        <v>1000</v>
      </c>
      <c r="AG52" s="37">
        <v>1000</v>
      </c>
      <c r="AH52" s="37">
        <v>1000</v>
      </c>
      <c r="AI52" s="37">
        <v>1000</v>
      </c>
      <c r="AK52" t="e">
        <f t="shared" si="1"/>
        <v>#VALUE!</v>
      </c>
      <c r="AL52" t="e">
        <f t="shared" si="2"/>
        <v>#VALUE!</v>
      </c>
      <c r="AM52" t="e">
        <f t="shared" si="3"/>
        <v>#VALUE!</v>
      </c>
      <c r="AN52" t="e">
        <f t="shared" si="4"/>
        <v>#VALUE!</v>
      </c>
      <c r="AO52" t="e">
        <f t="shared" si="5"/>
        <v>#VALUE!</v>
      </c>
      <c r="AP52" t="e">
        <f t="shared" si="6"/>
        <v>#VALUE!</v>
      </c>
      <c r="AQ52" t="e">
        <f t="shared" si="7"/>
        <v>#VALUE!</v>
      </c>
      <c r="AR52" t="e">
        <f t="shared" si="8"/>
        <v>#VALUE!</v>
      </c>
      <c r="AS52" t="e">
        <f t="shared" si="9"/>
        <v>#VALUE!</v>
      </c>
      <c r="AT52" t="e">
        <f t="shared" si="10"/>
        <v>#VALUE!</v>
      </c>
    </row>
    <row r="53" spans="13:46" ht="14.4" thickBot="1" x14ac:dyDescent="0.3">
      <c r="M53" s="22">
        <v>52</v>
      </c>
      <c r="N53" s="22" t="s">
        <v>2172</v>
      </c>
      <c r="O53" s="22" t="s">
        <v>2908</v>
      </c>
      <c r="P53" s="22" t="s">
        <v>2908</v>
      </c>
      <c r="Q53" s="22" t="s">
        <v>2908</v>
      </c>
      <c r="R53" s="22" t="s">
        <v>2908</v>
      </c>
      <c r="S53" s="22" t="s">
        <v>2908</v>
      </c>
      <c r="T53" s="22" t="s">
        <v>2908</v>
      </c>
      <c r="U53" s="22" t="s">
        <v>2908</v>
      </c>
      <c r="V53" s="22" t="s">
        <v>2908</v>
      </c>
      <c r="W53" s="22" t="s">
        <v>2908</v>
      </c>
      <c r="X53" s="22" t="s">
        <v>2908</v>
      </c>
      <c r="Z53" s="37">
        <v>1000</v>
      </c>
      <c r="AA53" s="37">
        <v>1000</v>
      </c>
      <c r="AB53" s="37">
        <v>1000</v>
      </c>
      <c r="AC53" s="37">
        <v>1000</v>
      </c>
      <c r="AD53" s="37">
        <v>1000</v>
      </c>
      <c r="AE53" s="37">
        <v>1000</v>
      </c>
      <c r="AF53" s="37">
        <v>1000</v>
      </c>
      <c r="AG53" s="37">
        <v>1000</v>
      </c>
      <c r="AH53" s="37">
        <v>1000</v>
      </c>
      <c r="AI53" s="37">
        <v>1000</v>
      </c>
      <c r="AK53" t="e">
        <f t="shared" si="1"/>
        <v>#VALUE!</v>
      </c>
      <c r="AL53" t="e">
        <f t="shared" si="2"/>
        <v>#VALUE!</v>
      </c>
      <c r="AM53" t="e">
        <f t="shared" si="3"/>
        <v>#VALUE!</v>
      </c>
      <c r="AN53" t="e">
        <f t="shared" si="4"/>
        <v>#VALUE!</v>
      </c>
      <c r="AO53" t="e">
        <f t="shared" si="5"/>
        <v>#VALUE!</v>
      </c>
      <c r="AP53" t="e">
        <f t="shared" si="6"/>
        <v>#VALUE!</v>
      </c>
      <c r="AQ53" t="e">
        <f t="shared" si="7"/>
        <v>#VALUE!</v>
      </c>
      <c r="AR53" t="e">
        <f t="shared" si="8"/>
        <v>#VALUE!</v>
      </c>
      <c r="AS53" t="e">
        <f t="shared" si="9"/>
        <v>#VALUE!</v>
      </c>
      <c r="AT53" t="e">
        <f t="shared" si="10"/>
        <v>#VALUE!</v>
      </c>
    </row>
    <row r="54" spans="13:46" ht="14.4" thickBot="1" x14ac:dyDescent="0.3">
      <c r="M54" s="22">
        <v>53</v>
      </c>
      <c r="N54" s="22" t="s">
        <v>3819</v>
      </c>
      <c r="O54" s="22" t="s">
        <v>2908</v>
      </c>
      <c r="P54" s="22" t="s">
        <v>2908</v>
      </c>
      <c r="Q54" s="22" t="s">
        <v>2908</v>
      </c>
      <c r="R54" s="22" t="s">
        <v>2908</v>
      </c>
      <c r="S54" s="22" t="s">
        <v>2908</v>
      </c>
      <c r="T54" s="22" t="s">
        <v>2908</v>
      </c>
      <c r="U54" s="22" t="s">
        <v>2908</v>
      </c>
      <c r="V54" s="22" t="s">
        <v>2908</v>
      </c>
      <c r="W54" s="22" t="s">
        <v>2908</v>
      </c>
      <c r="X54" s="22" t="s">
        <v>2908</v>
      </c>
      <c r="Z54" s="37">
        <v>1000</v>
      </c>
      <c r="AA54" s="37">
        <v>1000</v>
      </c>
      <c r="AB54" s="37">
        <v>1000</v>
      </c>
      <c r="AC54" s="37">
        <v>1000</v>
      </c>
      <c r="AD54" s="37">
        <v>1000</v>
      </c>
      <c r="AE54" s="37">
        <v>1000</v>
      </c>
      <c r="AF54" s="37">
        <v>1000</v>
      </c>
      <c r="AG54" s="37">
        <v>1000</v>
      </c>
      <c r="AH54" s="37">
        <v>1000</v>
      </c>
      <c r="AI54" s="37">
        <v>1000</v>
      </c>
      <c r="AK54" t="e">
        <f t="shared" si="1"/>
        <v>#VALUE!</v>
      </c>
      <c r="AL54" t="e">
        <f t="shared" si="2"/>
        <v>#VALUE!</v>
      </c>
      <c r="AM54" t="e">
        <f t="shared" si="3"/>
        <v>#VALUE!</v>
      </c>
      <c r="AN54" t="e">
        <f t="shared" si="4"/>
        <v>#VALUE!</v>
      </c>
      <c r="AO54" t="e">
        <f t="shared" si="5"/>
        <v>#VALUE!</v>
      </c>
      <c r="AP54" t="e">
        <f t="shared" si="6"/>
        <v>#VALUE!</v>
      </c>
      <c r="AQ54" t="e">
        <f t="shared" si="7"/>
        <v>#VALUE!</v>
      </c>
      <c r="AR54" t="e">
        <f t="shared" si="8"/>
        <v>#VALUE!</v>
      </c>
      <c r="AS54" t="e">
        <f t="shared" si="9"/>
        <v>#VALUE!</v>
      </c>
      <c r="AT54" t="e">
        <f t="shared" si="10"/>
        <v>#VALUE!</v>
      </c>
    </row>
    <row r="55" spans="13:46" ht="28.2" thickBot="1" x14ac:dyDescent="0.3">
      <c r="M55" s="22">
        <v>54</v>
      </c>
      <c r="N55" s="22" t="s">
        <v>2929</v>
      </c>
      <c r="O55" s="22" t="s">
        <v>2908</v>
      </c>
      <c r="P55" s="22" t="s">
        <v>2908</v>
      </c>
      <c r="Q55" s="22" t="s">
        <v>2908</v>
      </c>
      <c r="R55" s="22" t="s">
        <v>2908</v>
      </c>
      <c r="S55" s="22" t="s">
        <v>2908</v>
      </c>
      <c r="T55" s="22" t="s">
        <v>2908</v>
      </c>
      <c r="U55" s="22" t="s">
        <v>2908</v>
      </c>
      <c r="V55" s="22" t="s">
        <v>2908</v>
      </c>
      <c r="W55" s="22" t="s">
        <v>2908</v>
      </c>
      <c r="X55" s="22" t="s">
        <v>2908</v>
      </c>
      <c r="Z55" s="37">
        <v>1000</v>
      </c>
      <c r="AA55" s="37">
        <v>1000</v>
      </c>
      <c r="AB55" s="37">
        <v>1000</v>
      </c>
      <c r="AC55" s="37">
        <v>1000</v>
      </c>
      <c r="AD55" s="37">
        <v>1000</v>
      </c>
      <c r="AE55" s="37">
        <v>1000</v>
      </c>
      <c r="AF55" s="37">
        <v>1000</v>
      </c>
      <c r="AG55" s="37">
        <v>1000</v>
      </c>
      <c r="AH55" s="37">
        <v>1000</v>
      </c>
      <c r="AI55" s="37">
        <v>1000</v>
      </c>
      <c r="AK55" t="e">
        <f t="shared" si="1"/>
        <v>#VALUE!</v>
      </c>
      <c r="AL55" t="e">
        <f t="shared" si="2"/>
        <v>#VALUE!</v>
      </c>
      <c r="AM55" t="e">
        <f t="shared" si="3"/>
        <v>#VALUE!</v>
      </c>
      <c r="AN55" t="e">
        <f t="shared" si="4"/>
        <v>#VALUE!</v>
      </c>
      <c r="AO55" t="e">
        <f t="shared" si="5"/>
        <v>#VALUE!</v>
      </c>
      <c r="AP55" t="e">
        <f t="shared" si="6"/>
        <v>#VALUE!</v>
      </c>
      <c r="AQ55" t="e">
        <f t="shared" si="7"/>
        <v>#VALUE!</v>
      </c>
      <c r="AR55" t="e">
        <f t="shared" si="8"/>
        <v>#VALUE!</v>
      </c>
      <c r="AS55" t="e">
        <f t="shared" si="9"/>
        <v>#VALUE!</v>
      </c>
      <c r="AT55" t="e">
        <f t="shared" si="10"/>
        <v>#VALUE!</v>
      </c>
    </row>
    <row r="56" spans="13:46" ht="28.2" thickBot="1" x14ac:dyDescent="0.3">
      <c r="M56" s="22">
        <v>55</v>
      </c>
      <c r="N56" s="22" t="s">
        <v>2183</v>
      </c>
      <c r="O56" s="22" t="s">
        <v>2908</v>
      </c>
      <c r="P56" s="22" t="s">
        <v>2908</v>
      </c>
      <c r="Q56" s="22" t="s">
        <v>2908</v>
      </c>
      <c r="R56" s="22" t="s">
        <v>2908</v>
      </c>
      <c r="S56" s="22" t="s">
        <v>2908</v>
      </c>
      <c r="T56" s="22" t="s">
        <v>2908</v>
      </c>
      <c r="U56" s="22" t="s">
        <v>2908</v>
      </c>
      <c r="V56" s="22" t="s">
        <v>2908</v>
      </c>
      <c r="W56" s="22" t="s">
        <v>2908</v>
      </c>
      <c r="X56" s="22" t="s">
        <v>2908</v>
      </c>
      <c r="Z56" s="37">
        <v>1000</v>
      </c>
      <c r="AA56" s="37">
        <v>1000</v>
      </c>
      <c r="AB56" s="37">
        <v>1000</v>
      </c>
      <c r="AC56" s="37">
        <v>1000</v>
      </c>
      <c r="AD56" s="37">
        <v>1000</v>
      </c>
      <c r="AE56" s="37">
        <v>1000</v>
      </c>
      <c r="AF56" s="37">
        <v>1000</v>
      </c>
      <c r="AG56" s="37">
        <v>1000</v>
      </c>
      <c r="AH56" s="37">
        <v>1000</v>
      </c>
      <c r="AI56" s="37">
        <v>1000</v>
      </c>
      <c r="AK56" t="e">
        <f t="shared" si="1"/>
        <v>#VALUE!</v>
      </c>
      <c r="AL56" t="e">
        <f t="shared" si="2"/>
        <v>#VALUE!</v>
      </c>
      <c r="AM56" t="e">
        <f t="shared" si="3"/>
        <v>#VALUE!</v>
      </c>
      <c r="AN56" t="e">
        <f t="shared" si="4"/>
        <v>#VALUE!</v>
      </c>
      <c r="AO56" t="e">
        <f t="shared" si="5"/>
        <v>#VALUE!</v>
      </c>
      <c r="AP56" t="e">
        <f t="shared" si="6"/>
        <v>#VALUE!</v>
      </c>
      <c r="AQ56" t="e">
        <f t="shared" si="7"/>
        <v>#VALUE!</v>
      </c>
      <c r="AR56" t="e">
        <f t="shared" si="8"/>
        <v>#VALUE!</v>
      </c>
      <c r="AS56" t="e">
        <f t="shared" si="9"/>
        <v>#VALUE!</v>
      </c>
      <c r="AT56" t="e">
        <f t="shared" si="10"/>
        <v>#VALUE!</v>
      </c>
    </row>
    <row r="57" spans="13:46" ht="14.4" thickBot="1" x14ac:dyDescent="0.3">
      <c r="M57" s="22">
        <v>56</v>
      </c>
      <c r="N57" s="22" t="s">
        <v>2185</v>
      </c>
      <c r="O57" s="22">
        <v>7</v>
      </c>
      <c r="P57" s="22">
        <v>8.6</v>
      </c>
      <c r="Q57" s="22">
        <v>7.8</v>
      </c>
      <c r="R57" s="22">
        <v>10</v>
      </c>
      <c r="S57" s="22">
        <v>7.2</v>
      </c>
      <c r="T57" s="22">
        <v>9.8000000000000007</v>
      </c>
      <c r="U57" s="22">
        <v>4</v>
      </c>
      <c r="V57" s="22">
        <v>9.8000000000000007</v>
      </c>
      <c r="W57" s="22">
        <v>6.9</v>
      </c>
      <c r="X57" s="22">
        <v>7.6</v>
      </c>
      <c r="Z57" s="37">
        <v>1000</v>
      </c>
      <c r="AA57" s="37">
        <v>1000</v>
      </c>
      <c r="AB57" s="37">
        <v>1000</v>
      </c>
      <c r="AC57" s="37">
        <v>1000</v>
      </c>
      <c r="AD57" s="37">
        <v>1000</v>
      </c>
      <c r="AE57" s="37">
        <v>1000</v>
      </c>
      <c r="AF57" s="37">
        <v>1000</v>
      </c>
      <c r="AG57" s="37">
        <v>1000</v>
      </c>
      <c r="AH57" s="37">
        <v>1000</v>
      </c>
      <c r="AI57" s="37">
        <v>1000</v>
      </c>
      <c r="AK57">
        <f t="shared" si="1"/>
        <v>7000</v>
      </c>
      <c r="AL57">
        <f t="shared" si="2"/>
        <v>8600</v>
      </c>
      <c r="AM57">
        <f t="shared" si="3"/>
        <v>7800</v>
      </c>
      <c r="AN57">
        <f t="shared" si="4"/>
        <v>10000</v>
      </c>
      <c r="AO57">
        <f t="shared" si="5"/>
        <v>7200</v>
      </c>
      <c r="AP57">
        <f t="shared" si="6"/>
        <v>9800</v>
      </c>
      <c r="AQ57">
        <f t="shared" si="7"/>
        <v>4000</v>
      </c>
      <c r="AR57">
        <f t="shared" si="8"/>
        <v>9800</v>
      </c>
      <c r="AS57">
        <f t="shared" si="9"/>
        <v>6900</v>
      </c>
      <c r="AT57">
        <f t="shared" si="10"/>
        <v>7600</v>
      </c>
    </row>
    <row r="58" spans="13:46" ht="14.4" thickBot="1" x14ac:dyDescent="0.3">
      <c r="M58" s="22">
        <v>57</v>
      </c>
      <c r="N58" s="22" t="s">
        <v>2930</v>
      </c>
      <c r="O58" s="22">
        <v>214.1</v>
      </c>
      <c r="P58" s="22">
        <v>55.2</v>
      </c>
      <c r="Q58" s="22">
        <v>227.2</v>
      </c>
      <c r="R58" s="22">
        <v>81</v>
      </c>
      <c r="S58" s="22">
        <v>152.9</v>
      </c>
      <c r="T58" s="22">
        <v>127.6</v>
      </c>
      <c r="U58" s="22">
        <v>13.9</v>
      </c>
      <c r="V58" s="22">
        <v>21.7</v>
      </c>
      <c r="W58" s="22">
        <v>64.3</v>
      </c>
      <c r="X58" s="22">
        <v>21.6</v>
      </c>
      <c r="Z58" s="37">
        <v>1000</v>
      </c>
      <c r="AA58" s="37">
        <v>1000</v>
      </c>
      <c r="AB58" s="37">
        <v>1000</v>
      </c>
      <c r="AC58" s="37">
        <v>1000</v>
      </c>
      <c r="AD58" s="37">
        <v>1000</v>
      </c>
      <c r="AE58" s="37">
        <v>1000</v>
      </c>
      <c r="AF58" s="37">
        <v>1000</v>
      </c>
      <c r="AG58" s="37">
        <v>1000</v>
      </c>
      <c r="AH58" s="37">
        <v>1000</v>
      </c>
      <c r="AI58" s="37">
        <v>1000</v>
      </c>
      <c r="AK58">
        <f t="shared" si="1"/>
        <v>214100</v>
      </c>
      <c r="AL58">
        <f t="shared" si="2"/>
        <v>55200</v>
      </c>
      <c r="AM58">
        <f t="shared" si="3"/>
        <v>227200</v>
      </c>
      <c r="AN58">
        <f t="shared" si="4"/>
        <v>81000</v>
      </c>
      <c r="AO58">
        <f t="shared" si="5"/>
        <v>152900</v>
      </c>
      <c r="AP58">
        <f t="shared" si="6"/>
        <v>127600</v>
      </c>
      <c r="AQ58">
        <f t="shared" si="7"/>
        <v>13900</v>
      </c>
      <c r="AR58">
        <f t="shared" si="8"/>
        <v>21700</v>
      </c>
      <c r="AS58">
        <f t="shared" si="9"/>
        <v>64300</v>
      </c>
      <c r="AT58">
        <f t="shared" si="10"/>
        <v>21600</v>
      </c>
    </row>
    <row r="59" spans="13:46" ht="14.4" thickBot="1" x14ac:dyDescent="0.3">
      <c r="M59" s="22">
        <v>58</v>
      </c>
      <c r="N59" s="22" t="s">
        <v>2331</v>
      </c>
      <c r="O59" s="22" t="s">
        <v>2908</v>
      </c>
      <c r="P59" s="22" t="s">
        <v>2908</v>
      </c>
      <c r="Q59" s="22" t="s">
        <v>2908</v>
      </c>
      <c r="R59" s="22" t="s">
        <v>2908</v>
      </c>
      <c r="S59" s="22" t="s">
        <v>2908</v>
      </c>
      <c r="T59" s="22" t="s">
        <v>2908</v>
      </c>
      <c r="U59" s="22" t="s">
        <v>2908</v>
      </c>
      <c r="V59" s="22" t="s">
        <v>2908</v>
      </c>
      <c r="W59" s="22" t="s">
        <v>2908</v>
      </c>
      <c r="X59" s="22" t="s">
        <v>2908</v>
      </c>
      <c r="Z59" s="37">
        <v>1000</v>
      </c>
      <c r="AA59" s="37">
        <v>1000</v>
      </c>
      <c r="AB59" s="37">
        <v>1000</v>
      </c>
      <c r="AC59" s="37">
        <v>1000</v>
      </c>
      <c r="AD59" s="37">
        <v>1000</v>
      </c>
      <c r="AE59" s="37">
        <v>1000</v>
      </c>
      <c r="AF59" s="37">
        <v>1000</v>
      </c>
      <c r="AG59" s="37">
        <v>1000</v>
      </c>
      <c r="AH59" s="37">
        <v>1000</v>
      </c>
      <c r="AI59" s="37">
        <v>1000</v>
      </c>
      <c r="AK59" t="e">
        <f t="shared" si="1"/>
        <v>#VALUE!</v>
      </c>
      <c r="AL59" t="e">
        <f t="shared" si="2"/>
        <v>#VALUE!</v>
      </c>
      <c r="AM59" t="e">
        <f t="shared" si="3"/>
        <v>#VALUE!</v>
      </c>
      <c r="AN59" t="e">
        <f t="shared" si="4"/>
        <v>#VALUE!</v>
      </c>
      <c r="AO59" t="e">
        <f t="shared" si="5"/>
        <v>#VALUE!</v>
      </c>
      <c r="AP59" t="e">
        <f t="shared" si="6"/>
        <v>#VALUE!</v>
      </c>
      <c r="AQ59" t="e">
        <f t="shared" si="7"/>
        <v>#VALUE!</v>
      </c>
      <c r="AR59" t="e">
        <f t="shared" si="8"/>
        <v>#VALUE!</v>
      </c>
      <c r="AS59" t="e">
        <f t="shared" si="9"/>
        <v>#VALUE!</v>
      </c>
      <c r="AT59" t="e">
        <f t="shared" si="10"/>
        <v>#VALUE!</v>
      </c>
    </row>
    <row r="60" spans="13:46" ht="28.2" thickBot="1" x14ac:dyDescent="0.3">
      <c r="M60" s="22">
        <v>59</v>
      </c>
      <c r="N60" s="22" t="s">
        <v>2337</v>
      </c>
      <c r="O60" s="22" t="s">
        <v>2908</v>
      </c>
      <c r="P60" s="22" t="s">
        <v>2908</v>
      </c>
      <c r="Q60" s="22" t="s">
        <v>2908</v>
      </c>
      <c r="R60" s="22" t="s">
        <v>2908</v>
      </c>
      <c r="S60" s="22" t="s">
        <v>2908</v>
      </c>
      <c r="T60" s="22" t="s">
        <v>2908</v>
      </c>
      <c r="U60" s="22" t="s">
        <v>2908</v>
      </c>
      <c r="V60" s="22" t="s">
        <v>2908</v>
      </c>
      <c r="W60" s="22" t="s">
        <v>2908</v>
      </c>
      <c r="X60" s="22" t="s">
        <v>2908</v>
      </c>
      <c r="Z60" s="37">
        <v>1000</v>
      </c>
      <c r="AA60" s="37">
        <v>1000</v>
      </c>
      <c r="AB60" s="37">
        <v>1000</v>
      </c>
      <c r="AC60" s="37">
        <v>1000</v>
      </c>
      <c r="AD60" s="37">
        <v>1000</v>
      </c>
      <c r="AE60" s="37">
        <v>1000</v>
      </c>
      <c r="AF60" s="37">
        <v>1000</v>
      </c>
      <c r="AG60" s="37">
        <v>1000</v>
      </c>
      <c r="AH60" s="37">
        <v>1000</v>
      </c>
      <c r="AI60" s="37">
        <v>1000</v>
      </c>
      <c r="AK60" t="e">
        <f t="shared" si="1"/>
        <v>#VALUE!</v>
      </c>
      <c r="AL60" t="e">
        <f t="shared" si="2"/>
        <v>#VALUE!</v>
      </c>
      <c r="AM60" t="e">
        <f t="shared" si="3"/>
        <v>#VALUE!</v>
      </c>
      <c r="AN60" t="e">
        <f t="shared" si="4"/>
        <v>#VALUE!</v>
      </c>
      <c r="AO60" t="e">
        <f t="shared" si="5"/>
        <v>#VALUE!</v>
      </c>
      <c r="AP60" t="e">
        <f t="shared" si="6"/>
        <v>#VALUE!</v>
      </c>
      <c r="AQ60" t="e">
        <f t="shared" si="7"/>
        <v>#VALUE!</v>
      </c>
      <c r="AR60" t="e">
        <f t="shared" si="8"/>
        <v>#VALUE!</v>
      </c>
      <c r="AS60" t="e">
        <f t="shared" si="9"/>
        <v>#VALUE!</v>
      </c>
      <c r="AT60" t="e">
        <f t="shared" si="10"/>
        <v>#VALUE!</v>
      </c>
    </row>
    <row r="61" spans="13:46" ht="14.4" thickBot="1" x14ac:dyDescent="0.3">
      <c r="M61" s="22">
        <v>60</v>
      </c>
      <c r="N61" s="22" t="s">
        <v>2365</v>
      </c>
      <c r="O61" s="22" t="s">
        <v>2908</v>
      </c>
      <c r="P61" s="22" t="s">
        <v>2908</v>
      </c>
      <c r="Q61" s="22" t="s">
        <v>2908</v>
      </c>
      <c r="R61" s="22" t="s">
        <v>2908</v>
      </c>
      <c r="S61" s="22" t="s">
        <v>2908</v>
      </c>
      <c r="T61" s="22" t="s">
        <v>2908</v>
      </c>
      <c r="U61" s="22" t="s">
        <v>2908</v>
      </c>
      <c r="V61" s="22" t="s">
        <v>2908</v>
      </c>
      <c r="W61" s="22" t="s">
        <v>2908</v>
      </c>
      <c r="X61" s="22" t="s">
        <v>2908</v>
      </c>
      <c r="Z61" s="37">
        <v>1000</v>
      </c>
      <c r="AA61" s="37">
        <v>1000</v>
      </c>
      <c r="AB61" s="37">
        <v>1000</v>
      </c>
      <c r="AC61" s="37">
        <v>1000</v>
      </c>
      <c r="AD61" s="37">
        <v>1000</v>
      </c>
      <c r="AE61" s="37">
        <v>1000</v>
      </c>
      <c r="AF61" s="37">
        <v>1000</v>
      </c>
      <c r="AG61" s="37">
        <v>1000</v>
      </c>
      <c r="AH61" s="37">
        <v>1000</v>
      </c>
      <c r="AI61" s="37">
        <v>1000</v>
      </c>
      <c r="AK61" t="e">
        <f t="shared" si="1"/>
        <v>#VALUE!</v>
      </c>
      <c r="AL61" t="e">
        <f t="shared" si="2"/>
        <v>#VALUE!</v>
      </c>
      <c r="AM61" t="e">
        <f t="shared" si="3"/>
        <v>#VALUE!</v>
      </c>
      <c r="AN61" t="e">
        <f t="shared" si="4"/>
        <v>#VALUE!</v>
      </c>
      <c r="AO61" t="e">
        <f t="shared" si="5"/>
        <v>#VALUE!</v>
      </c>
      <c r="AP61" t="e">
        <f t="shared" si="6"/>
        <v>#VALUE!</v>
      </c>
      <c r="AQ61" t="e">
        <f t="shared" si="7"/>
        <v>#VALUE!</v>
      </c>
      <c r="AR61" t="e">
        <f t="shared" si="8"/>
        <v>#VALUE!</v>
      </c>
      <c r="AS61" t="e">
        <f t="shared" si="9"/>
        <v>#VALUE!</v>
      </c>
      <c r="AT61" t="e">
        <f t="shared" si="10"/>
        <v>#VALUE!</v>
      </c>
    </row>
    <row r="62" spans="13:46" ht="14.4" thickBot="1" x14ac:dyDescent="0.3">
      <c r="M62" s="22">
        <v>61</v>
      </c>
      <c r="N62" s="22" t="s">
        <v>2186</v>
      </c>
      <c r="O62" s="22" t="s">
        <v>2908</v>
      </c>
      <c r="P62" s="22" t="s">
        <v>2908</v>
      </c>
      <c r="Q62" s="22" t="s">
        <v>2908</v>
      </c>
      <c r="R62" s="22" t="s">
        <v>2908</v>
      </c>
      <c r="S62" s="22" t="s">
        <v>2908</v>
      </c>
      <c r="T62" s="22" t="s">
        <v>2908</v>
      </c>
      <c r="U62" s="22" t="s">
        <v>2908</v>
      </c>
      <c r="V62" s="22" t="s">
        <v>2908</v>
      </c>
      <c r="W62" s="22" t="s">
        <v>2908</v>
      </c>
      <c r="X62" s="22" t="s">
        <v>2908</v>
      </c>
      <c r="Z62" s="37">
        <v>1000</v>
      </c>
      <c r="AA62" s="37">
        <v>1000</v>
      </c>
      <c r="AB62" s="37">
        <v>1000</v>
      </c>
      <c r="AC62" s="37">
        <v>1000</v>
      </c>
      <c r="AD62" s="37">
        <v>1000</v>
      </c>
      <c r="AE62" s="37">
        <v>1000</v>
      </c>
      <c r="AF62" s="37">
        <v>1000</v>
      </c>
      <c r="AG62" s="37">
        <v>1000</v>
      </c>
      <c r="AH62" s="37">
        <v>1000</v>
      </c>
      <c r="AI62" s="37">
        <v>1000</v>
      </c>
      <c r="AK62" t="e">
        <f t="shared" si="1"/>
        <v>#VALUE!</v>
      </c>
      <c r="AL62" t="e">
        <f t="shared" si="2"/>
        <v>#VALUE!</v>
      </c>
      <c r="AM62" t="e">
        <f t="shared" si="3"/>
        <v>#VALUE!</v>
      </c>
      <c r="AN62" t="e">
        <f t="shared" si="4"/>
        <v>#VALUE!</v>
      </c>
      <c r="AO62" t="e">
        <f t="shared" si="5"/>
        <v>#VALUE!</v>
      </c>
      <c r="AP62" t="e">
        <f t="shared" si="6"/>
        <v>#VALUE!</v>
      </c>
      <c r="AQ62" t="e">
        <f t="shared" si="7"/>
        <v>#VALUE!</v>
      </c>
      <c r="AR62" t="e">
        <f t="shared" si="8"/>
        <v>#VALUE!</v>
      </c>
      <c r="AS62" t="e">
        <f t="shared" si="9"/>
        <v>#VALUE!</v>
      </c>
      <c r="AT62" t="e">
        <f t="shared" si="10"/>
        <v>#VALUE!</v>
      </c>
    </row>
    <row r="63" spans="13:46" ht="14.4" thickBot="1" x14ac:dyDescent="0.3">
      <c r="M63" s="22">
        <v>62</v>
      </c>
      <c r="N63" s="22" t="s">
        <v>2382</v>
      </c>
      <c r="O63" s="22" t="s">
        <v>2908</v>
      </c>
      <c r="P63" s="22" t="s">
        <v>2908</v>
      </c>
      <c r="Q63" s="22" t="s">
        <v>2908</v>
      </c>
      <c r="R63" s="22" t="s">
        <v>2908</v>
      </c>
      <c r="S63" s="22" t="s">
        <v>2908</v>
      </c>
      <c r="T63" s="22" t="s">
        <v>2908</v>
      </c>
      <c r="U63" s="22" t="s">
        <v>2908</v>
      </c>
      <c r="V63" s="22" t="s">
        <v>2908</v>
      </c>
      <c r="W63" s="22" t="s">
        <v>2908</v>
      </c>
      <c r="X63" s="22" t="s">
        <v>2908</v>
      </c>
      <c r="Z63" s="37">
        <v>1000</v>
      </c>
      <c r="AA63" s="37">
        <v>1000</v>
      </c>
      <c r="AB63" s="37">
        <v>1000</v>
      </c>
      <c r="AC63" s="37">
        <v>1000</v>
      </c>
      <c r="AD63" s="37">
        <v>1000</v>
      </c>
      <c r="AE63" s="37">
        <v>1000</v>
      </c>
      <c r="AF63" s="37">
        <v>1000</v>
      </c>
      <c r="AG63" s="37">
        <v>1000</v>
      </c>
      <c r="AH63" s="37">
        <v>1000</v>
      </c>
      <c r="AI63" s="37">
        <v>1000</v>
      </c>
      <c r="AK63" t="e">
        <f t="shared" si="1"/>
        <v>#VALUE!</v>
      </c>
      <c r="AL63" t="e">
        <f t="shared" si="2"/>
        <v>#VALUE!</v>
      </c>
      <c r="AM63" t="e">
        <f t="shared" si="3"/>
        <v>#VALUE!</v>
      </c>
      <c r="AN63" t="e">
        <f t="shared" si="4"/>
        <v>#VALUE!</v>
      </c>
      <c r="AO63" t="e">
        <f t="shared" si="5"/>
        <v>#VALUE!</v>
      </c>
      <c r="AP63" t="e">
        <f t="shared" si="6"/>
        <v>#VALUE!</v>
      </c>
      <c r="AQ63" t="e">
        <f t="shared" si="7"/>
        <v>#VALUE!</v>
      </c>
      <c r="AR63" t="e">
        <f t="shared" si="8"/>
        <v>#VALUE!</v>
      </c>
      <c r="AS63" t="e">
        <f t="shared" si="9"/>
        <v>#VALUE!</v>
      </c>
      <c r="AT63" t="e">
        <f t="shared" si="10"/>
        <v>#VALUE!</v>
      </c>
    </row>
    <row r="64" spans="13:46" ht="14.4" thickBot="1" x14ac:dyDescent="0.3">
      <c r="M64" s="22">
        <v>63</v>
      </c>
      <c r="N64" s="22" t="s">
        <v>2393</v>
      </c>
      <c r="O64" s="22" t="s">
        <v>2908</v>
      </c>
      <c r="P64" s="22" t="s">
        <v>2908</v>
      </c>
      <c r="Q64" s="22" t="s">
        <v>2908</v>
      </c>
      <c r="R64" s="22" t="s">
        <v>2908</v>
      </c>
      <c r="S64" s="22" t="s">
        <v>2908</v>
      </c>
      <c r="T64" s="22" t="s">
        <v>2908</v>
      </c>
      <c r="U64" s="22" t="s">
        <v>2908</v>
      </c>
      <c r="V64" s="22" t="s">
        <v>2908</v>
      </c>
      <c r="W64" s="22" t="s">
        <v>2908</v>
      </c>
      <c r="X64" s="22" t="s">
        <v>2908</v>
      </c>
      <c r="Z64" s="37">
        <v>1000</v>
      </c>
      <c r="AA64" s="37">
        <v>1000</v>
      </c>
      <c r="AB64" s="37">
        <v>1000</v>
      </c>
      <c r="AC64" s="37">
        <v>1000</v>
      </c>
      <c r="AD64" s="37">
        <v>1000</v>
      </c>
      <c r="AE64" s="37">
        <v>1000</v>
      </c>
      <c r="AF64" s="37">
        <v>1000</v>
      </c>
      <c r="AG64" s="37">
        <v>1000</v>
      </c>
      <c r="AH64" s="37">
        <v>1000</v>
      </c>
      <c r="AI64" s="37">
        <v>1000</v>
      </c>
      <c r="AK64" t="e">
        <f t="shared" si="1"/>
        <v>#VALUE!</v>
      </c>
      <c r="AL64" t="e">
        <f t="shared" si="2"/>
        <v>#VALUE!</v>
      </c>
      <c r="AM64" t="e">
        <f t="shared" si="3"/>
        <v>#VALUE!</v>
      </c>
      <c r="AN64" t="e">
        <f t="shared" si="4"/>
        <v>#VALUE!</v>
      </c>
      <c r="AO64" t="e">
        <f t="shared" si="5"/>
        <v>#VALUE!</v>
      </c>
      <c r="AP64" t="e">
        <f t="shared" si="6"/>
        <v>#VALUE!</v>
      </c>
      <c r="AQ64" t="e">
        <f t="shared" si="7"/>
        <v>#VALUE!</v>
      </c>
      <c r="AR64" t="e">
        <f t="shared" si="8"/>
        <v>#VALUE!</v>
      </c>
      <c r="AS64" t="e">
        <f t="shared" si="9"/>
        <v>#VALUE!</v>
      </c>
      <c r="AT64" t="e">
        <f t="shared" si="10"/>
        <v>#VALUE!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153F-DD32-4054-81D5-5223B319062C}">
  <dimension ref="A1:BJ113"/>
  <sheetViews>
    <sheetView workbookViewId="0">
      <selection activeCell="V2" sqref="V2:Y64"/>
    </sheetView>
  </sheetViews>
  <sheetFormatPr defaultRowHeight="13.8" x14ac:dyDescent="0.25"/>
  <sheetData>
    <row r="1" spans="1:62" ht="42" thickBot="1" x14ac:dyDescent="0.3">
      <c r="A1" s="21" t="s">
        <v>2846</v>
      </c>
      <c r="B1" s="21" t="s">
        <v>6130</v>
      </c>
      <c r="C1" s="21" t="s">
        <v>8323</v>
      </c>
      <c r="D1" s="21" t="s">
        <v>6132</v>
      </c>
      <c r="E1" s="21" t="s">
        <v>6133</v>
      </c>
      <c r="F1" s="21" t="s">
        <v>6134</v>
      </c>
      <c r="H1" s="21" t="s">
        <v>2845</v>
      </c>
      <c r="I1" s="21" t="s">
        <v>2906</v>
      </c>
      <c r="J1" s="21" t="s">
        <v>6131</v>
      </c>
      <c r="K1" s="21" t="s">
        <v>6132</v>
      </c>
      <c r="L1" s="21" t="s">
        <v>6133</v>
      </c>
      <c r="M1" s="21" t="s">
        <v>6134</v>
      </c>
      <c r="O1" s="38" t="s">
        <v>8117</v>
      </c>
      <c r="P1" s="38" t="s">
        <v>7790</v>
      </c>
      <c r="Q1" s="38" t="s">
        <v>6131</v>
      </c>
      <c r="R1" s="38" t="s">
        <v>6132</v>
      </c>
      <c r="S1" s="38" t="s">
        <v>6133</v>
      </c>
      <c r="T1" s="38" t="s">
        <v>6134</v>
      </c>
      <c r="U1" s="43"/>
      <c r="V1" s="43"/>
      <c r="W1" s="43"/>
      <c r="X1" s="43"/>
      <c r="Y1" s="43"/>
      <c r="Z1" s="43"/>
      <c r="AB1" s="29" t="s">
        <v>2845</v>
      </c>
      <c r="AC1" s="29" t="s">
        <v>2906</v>
      </c>
      <c r="AD1" s="29" t="s">
        <v>6669</v>
      </c>
      <c r="AE1" s="29" t="s">
        <v>6670</v>
      </c>
      <c r="AF1" s="29" t="s">
        <v>6671</v>
      </c>
      <c r="AG1" s="29" t="s">
        <v>6672</v>
      </c>
      <c r="AH1" s="29" t="s">
        <v>6673</v>
      </c>
      <c r="AI1" s="29" t="s">
        <v>6674</v>
      </c>
      <c r="AJ1" s="21" t="s">
        <v>6675</v>
      </c>
      <c r="AL1" s="29" t="s">
        <v>2845</v>
      </c>
      <c r="AM1" s="29" t="s">
        <v>6679</v>
      </c>
      <c r="AN1" s="29" t="s">
        <v>6669</v>
      </c>
      <c r="AO1" s="29" t="s">
        <v>6670</v>
      </c>
      <c r="AP1" s="29" t="s">
        <v>6671</v>
      </c>
      <c r="AQ1" s="29" t="s">
        <v>6672</v>
      </c>
      <c r="AR1" s="29" t="s">
        <v>6673</v>
      </c>
      <c r="AS1" s="29" t="s">
        <v>6674</v>
      </c>
      <c r="AT1" s="21" t="s">
        <v>6675</v>
      </c>
      <c r="AX1" s="29" t="s">
        <v>2845</v>
      </c>
      <c r="AY1" s="29" t="s">
        <v>6679</v>
      </c>
      <c r="AZ1" s="29" t="s">
        <v>7381</v>
      </c>
      <c r="BA1" s="29" t="s">
        <v>7382</v>
      </c>
      <c r="BB1" s="29" t="s">
        <v>7383</v>
      </c>
      <c r="BC1" s="21" t="s">
        <v>7384</v>
      </c>
      <c r="BE1" s="29" t="s">
        <v>2845</v>
      </c>
      <c r="BF1" s="29" t="s">
        <v>2906</v>
      </c>
      <c r="BG1" s="29" t="s">
        <v>7381</v>
      </c>
      <c r="BH1" s="29" t="s">
        <v>7382</v>
      </c>
      <c r="BI1" s="29" t="s">
        <v>7383</v>
      </c>
      <c r="BJ1" s="21" t="s">
        <v>7384</v>
      </c>
    </row>
    <row r="2" spans="1:62" ht="42" thickBot="1" x14ac:dyDescent="0.3">
      <c r="A2" s="21" t="s">
        <v>2017</v>
      </c>
      <c r="B2" s="22">
        <v>55</v>
      </c>
      <c r="C2" s="22">
        <v>63433</v>
      </c>
      <c r="D2" s="22">
        <v>55690</v>
      </c>
      <c r="E2" s="22">
        <v>49802</v>
      </c>
      <c r="F2" s="22">
        <v>40930</v>
      </c>
      <c r="H2" s="22">
        <v>1</v>
      </c>
      <c r="I2" s="22" t="s">
        <v>2017</v>
      </c>
      <c r="J2" s="22">
        <v>63433</v>
      </c>
      <c r="K2" s="22">
        <v>55690</v>
      </c>
      <c r="L2" s="22">
        <v>49802</v>
      </c>
      <c r="M2" s="22">
        <v>40930</v>
      </c>
      <c r="O2" s="39" t="s">
        <v>689</v>
      </c>
      <c r="P2" s="39" t="s">
        <v>2017</v>
      </c>
      <c r="Q2" s="39" t="s">
        <v>8137</v>
      </c>
      <c r="R2" s="39" t="s">
        <v>8138</v>
      </c>
      <c r="S2" s="39" t="s">
        <v>8139</v>
      </c>
      <c r="T2" s="39" t="s">
        <v>8140</v>
      </c>
      <c r="U2" s="44"/>
      <c r="V2" s="44" t="str">
        <f>_xlfn.TEXTBEFORE(Q2,"±")</f>
        <v>3509.74</v>
      </c>
      <c r="W2" s="44" t="str">
        <f t="shared" ref="W2:Y2" si="0">_xlfn.TEXTBEFORE(R2,"±")</f>
        <v>3081.35</v>
      </c>
      <c r="X2" s="44" t="str">
        <f t="shared" si="0"/>
        <v>2755.54</v>
      </c>
      <c r="Y2" s="44" t="str">
        <f t="shared" si="0"/>
        <v>2264.64</v>
      </c>
      <c r="Z2" s="44"/>
      <c r="AB2" s="30">
        <v>1</v>
      </c>
      <c r="AC2" s="30" t="s">
        <v>2017</v>
      </c>
      <c r="AD2" s="30">
        <v>4693.08</v>
      </c>
      <c r="AE2" s="30">
        <v>3504.34</v>
      </c>
      <c r="AF2" s="30">
        <v>2893.43</v>
      </c>
      <c r="AG2" s="30">
        <v>7100.35</v>
      </c>
      <c r="AH2" s="30">
        <v>9768.31</v>
      </c>
      <c r="AI2" s="30">
        <v>3933.88</v>
      </c>
      <c r="AJ2" s="22">
        <v>6252.87</v>
      </c>
      <c r="AL2" s="29" t="s">
        <v>2940</v>
      </c>
      <c r="AM2" s="30"/>
      <c r="AN2" s="30"/>
      <c r="AO2" s="30"/>
      <c r="AP2" s="30"/>
      <c r="AQ2" s="30"/>
      <c r="AR2" s="30"/>
      <c r="AS2" s="30"/>
      <c r="AT2" s="22"/>
      <c r="AX2" s="29" t="s">
        <v>2940</v>
      </c>
      <c r="AY2" s="30"/>
      <c r="AZ2" s="30"/>
      <c r="BA2" s="30"/>
      <c r="BB2" s="30"/>
      <c r="BC2" s="22"/>
      <c r="BE2" s="30">
        <v>1</v>
      </c>
      <c r="BF2" s="30" t="s">
        <v>2017</v>
      </c>
      <c r="BG2" s="30">
        <v>4045.39</v>
      </c>
      <c r="BH2" s="30">
        <v>4487.7700000000004</v>
      </c>
      <c r="BI2" s="30">
        <v>2167.2199999999998</v>
      </c>
      <c r="BJ2" s="22">
        <v>3062.4</v>
      </c>
    </row>
    <row r="3" spans="1:62" ht="69.599999999999994" thickBot="1" x14ac:dyDescent="0.3">
      <c r="A3" s="21" t="s">
        <v>2018</v>
      </c>
      <c r="B3" s="22">
        <v>81</v>
      </c>
      <c r="C3" s="22">
        <v>7627</v>
      </c>
      <c r="D3" s="22">
        <v>7285</v>
      </c>
      <c r="E3" s="22">
        <v>2659</v>
      </c>
      <c r="F3" s="22">
        <v>2379</v>
      </c>
      <c r="H3" s="22">
        <v>2</v>
      </c>
      <c r="I3" s="22" t="s">
        <v>2162</v>
      </c>
      <c r="J3" s="22" t="s">
        <v>2908</v>
      </c>
      <c r="K3" s="22" t="s">
        <v>2908</v>
      </c>
      <c r="L3" s="22" t="s">
        <v>2908</v>
      </c>
      <c r="M3" s="22" t="s">
        <v>2908</v>
      </c>
      <c r="O3" s="39" t="s">
        <v>7855</v>
      </c>
      <c r="P3" s="39" t="s">
        <v>7856</v>
      </c>
      <c r="Q3" s="39" t="s">
        <v>8141</v>
      </c>
      <c r="R3" s="39" t="s">
        <v>8142</v>
      </c>
      <c r="S3" s="39" t="s">
        <v>8143</v>
      </c>
      <c r="T3" s="39" t="s">
        <v>8144</v>
      </c>
      <c r="U3" s="44"/>
      <c r="V3" s="44" t="str">
        <f t="shared" ref="V3:V64" si="1">_xlfn.TEXTBEFORE(Q3,"±")</f>
        <v>1.56</v>
      </c>
      <c r="W3" s="44" t="str">
        <f t="shared" ref="W3:W64" si="2">_xlfn.TEXTBEFORE(R3,"±")</f>
        <v>0.96</v>
      </c>
      <c r="X3" s="44" t="str">
        <f t="shared" ref="X3:X64" si="3">_xlfn.TEXTBEFORE(S3,"±")</f>
        <v>2.20</v>
      </c>
      <c r="Y3" s="44" t="str">
        <f t="shared" ref="Y3:Y64" si="4">_xlfn.TEXTBEFORE(T3,"±")</f>
        <v>1.19</v>
      </c>
      <c r="Z3" s="44"/>
      <c r="AB3" s="30">
        <v>2</v>
      </c>
      <c r="AC3" s="30" t="s">
        <v>2162</v>
      </c>
      <c r="AD3" s="30">
        <v>4.05</v>
      </c>
      <c r="AE3" s="30">
        <v>0.83</v>
      </c>
      <c r="AF3" s="30">
        <v>1.48</v>
      </c>
      <c r="AG3" s="30">
        <v>1.72</v>
      </c>
      <c r="AH3" s="30">
        <v>1.66</v>
      </c>
      <c r="AI3" s="30">
        <v>3.37</v>
      </c>
      <c r="AJ3" s="22">
        <v>3.06</v>
      </c>
      <c r="AL3" s="30">
        <v>1</v>
      </c>
      <c r="AM3" s="30" t="s">
        <v>2022</v>
      </c>
      <c r="AN3" s="30" t="s">
        <v>6680</v>
      </c>
      <c r="AO3" s="30" t="s">
        <v>6681</v>
      </c>
      <c r="AP3" s="30" t="s">
        <v>6682</v>
      </c>
      <c r="AQ3" s="30" t="s">
        <v>6683</v>
      </c>
      <c r="AR3" s="30" t="s">
        <v>6684</v>
      </c>
      <c r="AS3" s="30" t="s">
        <v>6685</v>
      </c>
      <c r="AT3" s="22" t="s">
        <v>6686</v>
      </c>
      <c r="AX3" s="30">
        <v>1</v>
      </c>
      <c r="AY3" s="30" t="s">
        <v>2022</v>
      </c>
      <c r="AZ3" s="30" t="s">
        <v>7385</v>
      </c>
      <c r="BA3" s="30" t="s">
        <v>7386</v>
      </c>
      <c r="BB3" s="30" t="s">
        <v>7387</v>
      </c>
      <c r="BC3" s="22" t="s">
        <v>7388</v>
      </c>
      <c r="BE3" s="30">
        <v>2</v>
      </c>
      <c r="BF3" s="30" t="s">
        <v>2162</v>
      </c>
      <c r="BG3" s="30">
        <v>3.41</v>
      </c>
      <c r="BH3" s="30">
        <v>7.94</v>
      </c>
      <c r="BI3" s="30">
        <v>6.13</v>
      </c>
      <c r="BJ3" s="22">
        <v>9.99</v>
      </c>
    </row>
    <row r="4" spans="1:62" ht="42" thickBot="1" x14ac:dyDescent="0.3">
      <c r="A4" s="21" t="s">
        <v>6135</v>
      </c>
      <c r="B4" s="22">
        <v>100</v>
      </c>
      <c r="C4" s="22">
        <v>5724</v>
      </c>
      <c r="D4" s="22">
        <v>5517</v>
      </c>
      <c r="E4" s="22">
        <v>11215</v>
      </c>
      <c r="F4" s="22">
        <v>6507</v>
      </c>
      <c r="H4" s="22">
        <v>3</v>
      </c>
      <c r="I4" s="22" t="s">
        <v>2018</v>
      </c>
      <c r="J4" s="22">
        <v>7627</v>
      </c>
      <c r="K4" s="22">
        <v>7285</v>
      </c>
      <c r="L4" s="22">
        <v>2659</v>
      </c>
      <c r="M4" s="22">
        <v>2379</v>
      </c>
      <c r="O4" s="39" t="s">
        <v>693</v>
      </c>
      <c r="P4" s="39" t="s">
        <v>2018</v>
      </c>
      <c r="Q4" s="39" t="s">
        <v>8145</v>
      </c>
      <c r="R4" s="39" t="s">
        <v>8146</v>
      </c>
      <c r="S4" s="39" t="s">
        <v>8147</v>
      </c>
      <c r="T4" s="39" t="s">
        <v>8148</v>
      </c>
      <c r="U4" s="44"/>
      <c r="V4" s="44" t="str">
        <f t="shared" si="1"/>
        <v>621.60</v>
      </c>
      <c r="W4" s="44" t="str">
        <f t="shared" si="2"/>
        <v>593.74</v>
      </c>
      <c r="X4" s="44" t="str">
        <f t="shared" si="3"/>
        <v>216.70</v>
      </c>
      <c r="Y4" s="44" t="str">
        <f t="shared" si="4"/>
        <v>193.92</v>
      </c>
      <c r="Z4" s="44"/>
      <c r="AB4" s="30">
        <v>3</v>
      </c>
      <c r="AC4" s="30" t="s">
        <v>2018</v>
      </c>
      <c r="AD4" s="30">
        <v>996.37</v>
      </c>
      <c r="AE4" s="30">
        <v>738.71</v>
      </c>
      <c r="AF4" s="30">
        <v>728.38</v>
      </c>
      <c r="AG4" s="30">
        <v>780.38</v>
      </c>
      <c r="AH4" s="30">
        <v>1275.0899999999999</v>
      </c>
      <c r="AI4" s="30">
        <v>609.5</v>
      </c>
      <c r="AJ4" s="22">
        <v>770.57</v>
      </c>
      <c r="AL4" s="30">
        <v>2</v>
      </c>
      <c r="AM4" s="30" t="s">
        <v>3392</v>
      </c>
      <c r="AN4" s="30" t="s">
        <v>6687</v>
      </c>
      <c r="AO4" s="30" t="s">
        <v>6688</v>
      </c>
      <c r="AP4" s="30" t="s">
        <v>6689</v>
      </c>
      <c r="AQ4" s="30" t="s">
        <v>6690</v>
      </c>
      <c r="AR4" s="30" t="s">
        <v>6691</v>
      </c>
      <c r="AS4" s="30" t="s">
        <v>6692</v>
      </c>
      <c r="AT4" s="22" t="s">
        <v>6693</v>
      </c>
      <c r="AX4" s="30">
        <v>2</v>
      </c>
      <c r="AY4" s="30" t="s">
        <v>3392</v>
      </c>
      <c r="AZ4" s="30" t="s">
        <v>7389</v>
      </c>
      <c r="BA4" s="30" t="s">
        <v>7390</v>
      </c>
      <c r="BB4" s="30" t="s">
        <v>7391</v>
      </c>
      <c r="BC4" s="22" t="s">
        <v>7392</v>
      </c>
      <c r="BE4" s="30">
        <v>3</v>
      </c>
      <c r="BF4" s="30" t="s">
        <v>2018</v>
      </c>
      <c r="BG4" s="30">
        <v>644</v>
      </c>
      <c r="BH4" s="30">
        <v>765.15</v>
      </c>
      <c r="BI4" s="30">
        <v>435.23</v>
      </c>
      <c r="BJ4" s="22">
        <v>631.22</v>
      </c>
    </row>
    <row r="5" spans="1:62" ht="42" thickBot="1" x14ac:dyDescent="0.3">
      <c r="A5" s="21" t="s">
        <v>2023</v>
      </c>
      <c r="B5" s="22">
        <v>12</v>
      </c>
      <c r="C5" s="22">
        <v>5565</v>
      </c>
      <c r="D5" s="22">
        <v>4396</v>
      </c>
      <c r="E5" s="22">
        <v>1334</v>
      </c>
      <c r="F5" s="22">
        <v>907</v>
      </c>
      <c r="H5" s="22">
        <v>4</v>
      </c>
      <c r="I5" s="22" t="s">
        <v>2022</v>
      </c>
      <c r="J5" s="22">
        <v>52</v>
      </c>
      <c r="K5" s="22">
        <v>51</v>
      </c>
      <c r="L5" s="22">
        <v>40</v>
      </c>
      <c r="M5" s="22">
        <v>28</v>
      </c>
      <c r="O5" s="39" t="s">
        <v>721</v>
      </c>
      <c r="P5" s="39" t="s">
        <v>2022</v>
      </c>
      <c r="Q5" s="39" t="s">
        <v>8149</v>
      </c>
      <c r="R5" s="39" t="s">
        <v>8150</v>
      </c>
      <c r="S5" s="39" t="s">
        <v>8151</v>
      </c>
      <c r="T5" s="39" t="s">
        <v>8152</v>
      </c>
      <c r="U5" s="44"/>
      <c r="V5" s="44" t="str">
        <f t="shared" si="1"/>
        <v>1688.01</v>
      </c>
      <c r="W5" s="44" t="str">
        <f t="shared" si="2"/>
        <v>1650.72</v>
      </c>
      <c r="X5" s="44" t="str">
        <f t="shared" si="3"/>
        <v>1286.66</v>
      </c>
      <c r="Y5" s="44" t="str">
        <f t="shared" si="4"/>
        <v>903.05</v>
      </c>
      <c r="Z5" s="44"/>
      <c r="AB5" s="30">
        <v>4</v>
      </c>
      <c r="AC5" s="30" t="s">
        <v>2022</v>
      </c>
      <c r="AD5" s="30">
        <v>2497.66</v>
      </c>
      <c r="AE5" s="30">
        <v>1929.23</v>
      </c>
      <c r="AF5" s="30">
        <v>1860.25</v>
      </c>
      <c r="AG5" s="30">
        <v>1917.46</v>
      </c>
      <c r="AH5" s="30">
        <v>2432.8200000000002</v>
      </c>
      <c r="AI5" s="30">
        <v>1830.33</v>
      </c>
      <c r="AJ5" s="22">
        <v>2369.21</v>
      </c>
      <c r="AL5" s="30">
        <v>3</v>
      </c>
      <c r="AM5" s="30" t="s">
        <v>3679</v>
      </c>
      <c r="AN5" s="30" t="s">
        <v>6694</v>
      </c>
      <c r="AO5" s="30" t="s">
        <v>6695</v>
      </c>
      <c r="AP5" s="30" t="s">
        <v>6696</v>
      </c>
      <c r="AQ5" s="30" t="s">
        <v>6697</v>
      </c>
      <c r="AR5" s="30" t="s">
        <v>6698</v>
      </c>
      <c r="AS5" s="30" t="s">
        <v>6699</v>
      </c>
      <c r="AT5" s="22" t="s">
        <v>6700</v>
      </c>
      <c r="AX5" s="30">
        <v>3</v>
      </c>
      <c r="AY5" s="30" t="s">
        <v>3679</v>
      </c>
      <c r="AZ5" s="30" t="s">
        <v>7393</v>
      </c>
      <c r="BA5" s="30" t="s">
        <v>7394</v>
      </c>
      <c r="BB5" s="30" t="s">
        <v>7395</v>
      </c>
      <c r="BC5" s="22" t="s">
        <v>7396</v>
      </c>
      <c r="BE5" s="30">
        <v>4</v>
      </c>
      <c r="BF5" s="30" t="s">
        <v>2022</v>
      </c>
      <c r="BG5" s="30">
        <v>1468.91</v>
      </c>
      <c r="BH5" s="30">
        <v>1903.05</v>
      </c>
      <c r="BI5" s="30">
        <v>1477.29</v>
      </c>
      <c r="BJ5" s="22">
        <v>1717.7</v>
      </c>
    </row>
    <row r="6" spans="1:62" ht="42" thickBot="1" x14ac:dyDescent="0.3">
      <c r="A6" s="21" t="s">
        <v>4620</v>
      </c>
      <c r="B6" s="22">
        <v>0.1</v>
      </c>
      <c r="C6" s="22">
        <v>3954</v>
      </c>
      <c r="D6" s="22">
        <v>3722</v>
      </c>
      <c r="E6" s="22">
        <v>2946</v>
      </c>
      <c r="F6" s="22">
        <v>2875</v>
      </c>
      <c r="H6" s="22">
        <v>5</v>
      </c>
      <c r="I6" s="22" t="s">
        <v>2023</v>
      </c>
      <c r="J6" s="22">
        <v>5565</v>
      </c>
      <c r="K6" s="22">
        <v>4396</v>
      </c>
      <c r="L6" s="22">
        <v>1334</v>
      </c>
      <c r="M6" s="22">
        <v>907</v>
      </c>
      <c r="O6" s="39" t="s">
        <v>733</v>
      </c>
      <c r="P6" s="39" t="s">
        <v>2023</v>
      </c>
      <c r="Q6" s="39" t="s">
        <v>8153</v>
      </c>
      <c r="R6" s="39" t="s">
        <v>8154</v>
      </c>
      <c r="S6" s="39" t="s">
        <v>8155</v>
      </c>
      <c r="T6" s="39" t="s">
        <v>8156</v>
      </c>
      <c r="U6" s="44"/>
      <c r="V6" s="44" t="str">
        <f t="shared" si="1"/>
        <v>71.62</v>
      </c>
      <c r="W6" s="44" t="str">
        <f t="shared" si="2"/>
        <v>56.58</v>
      </c>
      <c r="X6" s="44" t="str">
        <f t="shared" si="3"/>
        <v>17.16</v>
      </c>
      <c r="Y6" s="44" t="str">
        <f t="shared" si="4"/>
        <v>11.67</v>
      </c>
      <c r="Z6" s="44"/>
      <c r="AB6" s="30">
        <v>5</v>
      </c>
      <c r="AC6" s="30" t="s">
        <v>2023</v>
      </c>
      <c r="AD6" s="30">
        <v>174.56</v>
      </c>
      <c r="AE6" s="30">
        <v>95.1</v>
      </c>
      <c r="AF6" s="30">
        <v>76.55</v>
      </c>
      <c r="AG6" s="30">
        <v>188.97</v>
      </c>
      <c r="AH6" s="30">
        <v>168.76</v>
      </c>
      <c r="AI6" s="30">
        <v>79.67</v>
      </c>
      <c r="AJ6" s="22">
        <v>163.33000000000001</v>
      </c>
      <c r="AL6" s="30">
        <v>4</v>
      </c>
      <c r="AM6" s="30" t="s">
        <v>2018</v>
      </c>
      <c r="AN6" s="30" t="s">
        <v>6701</v>
      </c>
      <c r="AO6" s="30" t="s">
        <v>6702</v>
      </c>
      <c r="AP6" s="30" t="s">
        <v>6703</v>
      </c>
      <c r="AQ6" s="30" t="s">
        <v>6704</v>
      </c>
      <c r="AR6" s="30" t="s">
        <v>6705</v>
      </c>
      <c r="AS6" s="30" t="s">
        <v>6706</v>
      </c>
      <c r="AT6" s="22" t="s">
        <v>6707</v>
      </c>
      <c r="AX6" s="30">
        <v>4</v>
      </c>
      <c r="AY6" s="30" t="s">
        <v>2018</v>
      </c>
      <c r="AZ6" s="30" t="s">
        <v>7397</v>
      </c>
      <c r="BA6" s="30" t="s">
        <v>7398</v>
      </c>
      <c r="BB6" s="30" t="s">
        <v>7399</v>
      </c>
      <c r="BC6" s="22" t="s">
        <v>7400</v>
      </c>
      <c r="BE6" s="30">
        <v>5</v>
      </c>
      <c r="BF6" s="30" t="s">
        <v>2023</v>
      </c>
      <c r="BG6" s="30">
        <v>189.61</v>
      </c>
      <c r="BH6" s="30">
        <v>204.22</v>
      </c>
      <c r="BI6" s="30">
        <v>39.43</v>
      </c>
      <c r="BJ6" s="22">
        <v>75.260000000000005</v>
      </c>
    </row>
    <row r="7" spans="1:62" ht="42" thickBot="1" x14ac:dyDescent="0.3">
      <c r="A7" s="21" t="s">
        <v>2019</v>
      </c>
      <c r="B7" s="22">
        <v>26</v>
      </c>
      <c r="C7" s="22">
        <v>2438</v>
      </c>
      <c r="D7" s="22">
        <v>2537</v>
      </c>
      <c r="E7" s="22">
        <v>2856</v>
      </c>
      <c r="F7" s="22">
        <v>2087</v>
      </c>
      <c r="H7" s="22">
        <v>6</v>
      </c>
      <c r="I7" s="22" t="s">
        <v>2019</v>
      </c>
      <c r="J7" s="22">
        <v>2438</v>
      </c>
      <c r="K7" s="22">
        <v>2537</v>
      </c>
      <c r="L7" s="22">
        <v>2856</v>
      </c>
      <c r="M7" s="22">
        <v>2087</v>
      </c>
      <c r="O7" s="39" t="s">
        <v>697</v>
      </c>
      <c r="P7" s="39" t="s">
        <v>2019</v>
      </c>
      <c r="Q7" s="39" t="s">
        <v>8157</v>
      </c>
      <c r="R7" s="39" t="s">
        <v>8158</v>
      </c>
      <c r="S7" s="39" t="s">
        <v>8159</v>
      </c>
      <c r="T7" s="39" t="s">
        <v>8160</v>
      </c>
      <c r="U7" s="44"/>
      <c r="V7" s="44" t="str">
        <f t="shared" si="1"/>
        <v>65.28</v>
      </c>
      <c r="W7" s="44" t="str">
        <f t="shared" si="2"/>
        <v>67.95</v>
      </c>
      <c r="X7" s="44" t="str">
        <f t="shared" si="3"/>
        <v>76.49</v>
      </c>
      <c r="Y7" s="44" t="str">
        <f t="shared" si="4"/>
        <v>55.90</v>
      </c>
      <c r="Z7" s="44"/>
      <c r="AB7" s="30">
        <v>6</v>
      </c>
      <c r="AC7" s="30" t="s">
        <v>2019</v>
      </c>
      <c r="AD7" s="30">
        <v>284.38</v>
      </c>
      <c r="AE7" s="30">
        <v>202.97</v>
      </c>
      <c r="AF7" s="30">
        <v>79.510000000000005</v>
      </c>
      <c r="AG7" s="30">
        <v>214.2</v>
      </c>
      <c r="AH7" s="30">
        <v>450.7</v>
      </c>
      <c r="AI7" s="30">
        <v>187.93</v>
      </c>
      <c r="AJ7" s="22">
        <v>365.85</v>
      </c>
      <c r="AL7" s="30">
        <v>5</v>
      </c>
      <c r="AM7" s="30" t="s">
        <v>2170</v>
      </c>
      <c r="AN7" s="30" t="s">
        <v>6708</v>
      </c>
      <c r="AO7" s="30" t="s">
        <v>6709</v>
      </c>
      <c r="AP7" s="30" t="s">
        <v>6710</v>
      </c>
      <c r="AQ7" s="30" t="s">
        <v>6711</v>
      </c>
      <c r="AR7" s="30" t="s">
        <v>6712</v>
      </c>
      <c r="AS7" s="30" t="s">
        <v>6713</v>
      </c>
      <c r="AT7" s="22" t="s">
        <v>6714</v>
      </c>
      <c r="AX7" s="30">
        <v>5</v>
      </c>
      <c r="AY7" s="30" t="s">
        <v>2170</v>
      </c>
      <c r="AZ7" s="30" t="s">
        <v>7401</v>
      </c>
      <c r="BA7" s="30" t="s">
        <v>7402</v>
      </c>
      <c r="BB7" s="30" t="s">
        <v>7403</v>
      </c>
      <c r="BC7" s="22" t="s">
        <v>7404</v>
      </c>
      <c r="BE7" s="30">
        <v>6</v>
      </c>
      <c r="BF7" s="30" t="s">
        <v>2019</v>
      </c>
      <c r="BG7" s="30">
        <v>214.93</v>
      </c>
      <c r="BH7" s="30">
        <v>172.95</v>
      </c>
      <c r="BI7" s="30">
        <v>74.3</v>
      </c>
      <c r="BJ7" s="22">
        <v>96.19</v>
      </c>
    </row>
    <row r="8" spans="1:62" ht="42" thickBot="1" x14ac:dyDescent="0.3">
      <c r="A8" s="21" t="s">
        <v>6136</v>
      </c>
      <c r="B8" s="22">
        <v>0.5</v>
      </c>
      <c r="C8" s="22">
        <v>1435</v>
      </c>
      <c r="D8" s="22">
        <v>1938</v>
      </c>
      <c r="E8" s="22">
        <v>627</v>
      </c>
      <c r="F8" s="22">
        <v>293</v>
      </c>
      <c r="H8" s="22">
        <v>7</v>
      </c>
      <c r="I8" s="22" t="s">
        <v>2178</v>
      </c>
      <c r="J8" s="22">
        <v>7</v>
      </c>
      <c r="K8" s="22">
        <v>6</v>
      </c>
      <c r="L8" s="22">
        <v>2</v>
      </c>
      <c r="M8" s="22">
        <v>2</v>
      </c>
      <c r="O8" s="39" t="s">
        <v>967</v>
      </c>
      <c r="P8" s="39" t="s">
        <v>2178</v>
      </c>
      <c r="Q8" s="39" t="s">
        <v>8161</v>
      </c>
      <c r="R8" s="39" t="s">
        <v>8162</v>
      </c>
      <c r="S8" s="39" t="s">
        <v>8163</v>
      </c>
      <c r="T8" s="39" t="s">
        <v>8164</v>
      </c>
      <c r="U8" s="44"/>
      <c r="V8" s="44" t="str">
        <f t="shared" si="1"/>
        <v>86.39</v>
      </c>
      <c r="W8" s="44" t="str">
        <f t="shared" si="2"/>
        <v>74.21</v>
      </c>
      <c r="X8" s="44" t="str">
        <f t="shared" si="3"/>
        <v>30.43</v>
      </c>
      <c r="Y8" s="44" t="str">
        <f t="shared" si="4"/>
        <v>20.66</v>
      </c>
      <c r="Z8" s="44"/>
      <c r="AB8" s="30">
        <v>7</v>
      </c>
      <c r="AC8" s="30" t="s">
        <v>2178</v>
      </c>
      <c r="AD8" s="30">
        <v>223.85</v>
      </c>
      <c r="AE8" s="30">
        <v>126.68</v>
      </c>
      <c r="AF8" s="30">
        <v>85.43</v>
      </c>
      <c r="AG8" s="30">
        <v>273.56</v>
      </c>
      <c r="AH8" s="30">
        <v>338.35</v>
      </c>
      <c r="AI8" s="30">
        <v>166.92</v>
      </c>
      <c r="AJ8" s="22">
        <v>271.98</v>
      </c>
      <c r="AL8" s="30">
        <v>6</v>
      </c>
      <c r="AM8" s="30" t="s">
        <v>3688</v>
      </c>
      <c r="AN8" s="30" t="s">
        <v>6715</v>
      </c>
      <c r="AO8" s="30" t="s">
        <v>6716</v>
      </c>
      <c r="AP8" s="30" t="s">
        <v>6717</v>
      </c>
      <c r="AQ8" s="30" t="s">
        <v>6718</v>
      </c>
      <c r="AR8" s="30" t="s">
        <v>6719</v>
      </c>
      <c r="AS8" s="30" t="s">
        <v>6720</v>
      </c>
      <c r="AT8" s="22" t="s">
        <v>6721</v>
      </c>
      <c r="AX8" s="30">
        <v>6</v>
      </c>
      <c r="AY8" s="30" t="s">
        <v>3688</v>
      </c>
      <c r="AZ8" s="30" t="s">
        <v>7405</v>
      </c>
      <c r="BA8" s="30" t="s">
        <v>7406</v>
      </c>
      <c r="BB8" s="30" t="s">
        <v>7407</v>
      </c>
      <c r="BC8" s="22" t="s">
        <v>7408</v>
      </c>
      <c r="BE8" s="30">
        <v>7</v>
      </c>
      <c r="BF8" s="30" t="s">
        <v>2178</v>
      </c>
      <c r="BG8" s="30">
        <v>308.94</v>
      </c>
      <c r="BH8" s="30">
        <v>275.13</v>
      </c>
      <c r="BI8" s="30">
        <v>145</v>
      </c>
      <c r="BJ8" s="22">
        <v>121.21</v>
      </c>
    </row>
    <row r="9" spans="1:62" ht="42" thickBot="1" x14ac:dyDescent="0.3">
      <c r="A9" s="21" t="s">
        <v>3679</v>
      </c>
      <c r="B9" s="22">
        <v>25</v>
      </c>
      <c r="C9" s="22">
        <v>461</v>
      </c>
      <c r="D9" s="22">
        <v>668</v>
      </c>
      <c r="E9" s="22">
        <v>482</v>
      </c>
      <c r="F9" s="22">
        <v>325</v>
      </c>
      <c r="H9" s="22">
        <v>8</v>
      </c>
      <c r="I9" s="22" t="s">
        <v>2898</v>
      </c>
      <c r="J9" s="22">
        <v>15</v>
      </c>
      <c r="K9" s="22">
        <v>19</v>
      </c>
      <c r="L9" s="22">
        <v>6</v>
      </c>
      <c r="M9" s="22">
        <v>8</v>
      </c>
      <c r="O9" s="39" t="s">
        <v>908</v>
      </c>
      <c r="P9" s="39" t="s">
        <v>2898</v>
      </c>
      <c r="Q9" s="39" t="s">
        <v>8165</v>
      </c>
      <c r="R9" s="39" t="s">
        <v>8166</v>
      </c>
      <c r="S9" s="39" t="s">
        <v>8167</v>
      </c>
      <c r="T9" s="39" t="s">
        <v>8168</v>
      </c>
      <c r="U9" s="44"/>
      <c r="V9" s="44" t="str">
        <f t="shared" si="1"/>
        <v>1928.87</v>
      </c>
      <c r="W9" s="44" t="str">
        <f t="shared" si="2"/>
        <v>2435.83</v>
      </c>
      <c r="X9" s="44" t="str">
        <f t="shared" si="3"/>
        <v>810.97</v>
      </c>
      <c r="Y9" s="44" t="str">
        <f t="shared" si="4"/>
        <v>996.29</v>
      </c>
      <c r="Z9" s="44"/>
      <c r="AB9" s="30">
        <v>8</v>
      </c>
      <c r="AC9" s="30" t="s">
        <v>2898</v>
      </c>
      <c r="AD9" s="30">
        <v>3803.94</v>
      </c>
      <c r="AE9" s="30">
        <v>2904.77</v>
      </c>
      <c r="AF9" s="30">
        <v>1701.58</v>
      </c>
      <c r="AG9" s="30">
        <v>1169.25</v>
      </c>
      <c r="AH9" s="30">
        <v>1892.45</v>
      </c>
      <c r="AI9" s="30">
        <v>1566.77</v>
      </c>
      <c r="AJ9" s="22">
        <v>1616.91</v>
      </c>
      <c r="AL9" s="30">
        <v>7</v>
      </c>
      <c r="AM9" s="30" t="s">
        <v>2915</v>
      </c>
      <c r="AN9" s="30" t="s">
        <v>6722</v>
      </c>
      <c r="AO9" s="30" t="s">
        <v>6723</v>
      </c>
      <c r="AP9" s="30" t="s">
        <v>6724</v>
      </c>
      <c r="AQ9" s="30" t="s">
        <v>6725</v>
      </c>
      <c r="AR9" s="30" t="s">
        <v>6726</v>
      </c>
      <c r="AS9" s="30" t="s">
        <v>6727</v>
      </c>
      <c r="AT9" s="22" t="s">
        <v>6728</v>
      </c>
      <c r="AX9" s="30">
        <v>7</v>
      </c>
      <c r="AY9" s="30" t="s">
        <v>2915</v>
      </c>
      <c r="AZ9" s="30" t="s">
        <v>7409</v>
      </c>
      <c r="BA9" s="30" t="s">
        <v>7410</v>
      </c>
      <c r="BB9" s="30" t="s">
        <v>7411</v>
      </c>
      <c r="BC9" s="22" t="s">
        <v>7412</v>
      </c>
      <c r="BE9" s="30">
        <v>8</v>
      </c>
      <c r="BF9" s="30" t="s">
        <v>2898</v>
      </c>
      <c r="BG9" s="30">
        <v>1602.74</v>
      </c>
      <c r="BH9" s="30">
        <v>2429.4</v>
      </c>
      <c r="BI9" s="30">
        <v>2420</v>
      </c>
      <c r="BJ9" s="22">
        <v>2260.79</v>
      </c>
    </row>
    <row r="10" spans="1:62" ht="99.6" thickBot="1" x14ac:dyDescent="0.3">
      <c r="A10" s="21" t="s">
        <v>2320</v>
      </c>
      <c r="B10" s="22">
        <v>16000</v>
      </c>
      <c r="C10" s="22">
        <v>283</v>
      </c>
      <c r="D10" s="22">
        <v>211</v>
      </c>
      <c r="E10" s="22">
        <v>315</v>
      </c>
      <c r="F10" s="22">
        <v>176</v>
      </c>
      <c r="H10" s="22">
        <v>9</v>
      </c>
      <c r="I10" s="22" t="s">
        <v>2909</v>
      </c>
      <c r="J10" s="22" t="s">
        <v>2908</v>
      </c>
      <c r="K10" s="22" t="s">
        <v>2908</v>
      </c>
      <c r="L10" s="22" t="s">
        <v>2908</v>
      </c>
      <c r="M10" s="22" t="s">
        <v>2908</v>
      </c>
      <c r="O10" s="39" t="s">
        <v>1155</v>
      </c>
      <c r="P10" s="39" t="s">
        <v>2909</v>
      </c>
      <c r="Q10" s="39" t="s">
        <v>2908</v>
      </c>
      <c r="R10" s="39" t="s">
        <v>2908</v>
      </c>
      <c r="S10" s="39" t="s">
        <v>2908</v>
      </c>
      <c r="T10" s="39" t="s">
        <v>2908</v>
      </c>
      <c r="U10" s="44"/>
      <c r="V10" s="44" t="e">
        <f t="shared" si="1"/>
        <v>#N/A</v>
      </c>
      <c r="W10" s="44" t="e">
        <f t="shared" si="2"/>
        <v>#N/A</v>
      </c>
      <c r="X10" s="44" t="e">
        <f t="shared" si="3"/>
        <v>#N/A</v>
      </c>
      <c r="Y10" s="44" t="e">
        <f t="shared" si="4"/>
        <v>#N/A</v>
      </c>
      <c r="Z10" s="44"/>
      <c r="AB10" s="30">
        <v>9</v>
      </c>
      <c r="AC10" s="30" t="s">
        <v>2909</v>
      </c>
      <c r="AD10" s="30" t="s">
        <v>5586</v>
      </c>
      <c r="AE10" s="30" t="s">
        <v>5586</v>
      </c>
      <c r="AF10" s="30" t="s">
        <v>5586</v>
      </c>
      <c r="AG10" s="30" t="s">
        <v>5586</v>
      </c>
      <c r="AH10" s="30" t="s">
        <v>5586</v>
      </c>
      <c r="AI10" s="30">
        <v>23.77</v>
      </c>
      <c r="AJ10" s="22" t="s">
        <v>5586</v>
      </c>
      <c r="AL10" s="30">
        <v>8</v>
      </c>
      <c r="AM10" s="30" t="s">
        <v>2019</v>
      </c>
      <c r="AN10" s="30" t="s">
        <v>6729</v>
      </c>
      <c r="AO10" s="30" t="s">
        <v>6730</v>
      </c>
      <c r="AP10" s="30" t="s">
        <v>6731</v>
      </c>
      <c r="AQ10" s="30" t="s">
        <v>6732</v>
      </c>
      <c r="AR10" s="30" t="s">
        <v>6733</v>
      </c>
      <c r="AS10" s="30" t="s">
        <v>6734</v>
      </c>
      <c r="AT10" s="22" t="s">
        <v>6735</v>
      </c>
      <c r="AX10" s="30">
        <v>8</v>
      </c>
      <c r="AY10" s="30" t="s">
        <v>2019</v>
      </c>
      <c r="AZ10" s="30" t="s">
        <v>7413</v>
      </c>
      <c r="BA10" s="30" t="s">
        <v>7414</v>
      </c>
      <c r="BB10" s="30" t="s">
        <v>7415</v>
      </c>
      <c r="BC10" s="22" t="s">
        <v>7416</v>
      </c>
      <c r="BE10" s="30">
        <v>9</v>
      </c>
      <c r="BF10" s="30" t="s">
        <v>7766</v>
      </c>
      <c r="BG10" s="30">
        <v>41.85</v>
      </c>
      <c r="BH10" s="30">
        <v>14.07</v>
      </c>
      <c r="BI10" s="30">
        <v>41.88</v>
      </c>
      <c r="BJ10" s="22">
        <v>52.93</v>
      </c>
    </row>
    <row r="11" spans="1:62" ht="69.599999999999994" thickBot="1" x14ac:dyDescent="0.3">
      <c r="A11" s="21" t="s">
        <v>3688</v>
      </c>
      <c r="B11" s="22">
        <v>5</v>
      </c>
      <c r="C11" s="22">
        <v>226</v>
      </c>
      <c r="D11" s="22">
        <v>139</v>
      </c>
      <c r="E11" s="22">
        <v>319</v>
      </c>
      <c r="F11" s="22">
        <v>173</v>
      </c>
      <c r="H11" s="22">
        <v>10</v>
      </c>
      <c r="I11" s="22" t="s">
        <v>2166</v>
      </c>
      <c r="J11" s="22" t="s">
        <v>2908</v>
      </c>
      <c r="K11" s="22" t="s">
        <v>2908</v>
      </c>
      <c r="L11" s="22" t="s">
        <v>2908</v>
      </c>
      <c r="M11" s="22" t="s">
        <v>2908</v>
      </c>
      <c r="O11" s="39" t="s">
        <v>7859</v>
      </c>
      <c r="P11" s="39" t="s">
        <v>2910</v>
      </c>
      <c r="Q11" s="39" t="s">
        <v>2908</v>
      </c>
      <c r="R11" s="39" t="s">
        <v>2908</v>
      </c>
      <c r="S11" s="39" t="s">
        <v>2908</v>
      </c>
      <c r="T11" s="39" t="s">
        <v>2908</v>
      </c>
      <c r="U11" s="44"/>
      <c r="V11" s="44" t="e">
        <f t="shared" si="1"/>
        <v>#N/A</v>
      </c>
      <c r="W11" s="44" t="e">
        <f t="shared" si="2"/>
        <v>#N/A</v>
      </c>
      <c r="X11" s="44" t="e">
        <f t="shared" si="3"/>
        <v>#N/A</v>
      </c>
      <c r="Y11" s="44" t="e">
        <f t="shared" si="4"/>
        <v>#N/A</v>
      </c>
      <c r="Z11" s="44"/>
      <c r="AB11" s="30">
        <v>10</v>
      </c>
      <c r="AC11" s="30" t="s">
        <v>2166</v>
      </c>
      <c r="AD11" s="30" t="s">
        <v>2908</v>
      </c>
      <c r="AE11" s="30" t="s">
        <v>2908</v>
      </c>
      <c r="AF11" s="30" t="s">
        <v>2908</v>
      </c>
      <c r="AG11" s="30" t="s">
        <v>2908</v>
      </c>
      <c r="AH11" s="30" t="s">
        <v>2908</v>
      </c>
      <c r="AI11" s="30" t="s">
        <v>2908</v>
      </c>
      <c r="AJ11" s="22" t="s">
        <v>2908</v>
      </c>
      <c r="AL11" s="30">
        <v>9</v>
      </c>
      <c r="AM11" s="30" t="s">
        <v>2017</v>
      </c>
      <c r="AN11" s="30" t="s">
        <v>6736</v>
      </c>
      <c r="AO11" s="30" t="s">
        <v>6737</v>
      </c>
      <c r="AP11" s="30" t="s">
        <v>6738</v>
      </c>
      <c r="AQ11" s="30" t="s">
        <v>6739</v>
      </c>
      <c r="AR11" s="30" t="s">
        <v>6740</v>
      </c>
      <c r="AS11" s="30" t="s">
        <v>6741</v>
      </c>
      <c r="AT11" s="22" t="s">
        <v>6742</v>
      </c>
      <c r="AX11" s="30">
        <v>9</v>
      </c>
      <c r="AY11" s="30" t="s">
        <v>2017</v>
      </c>
      <c r="AZ11" s="30" t="s">
        <v>7417</v>
      </c>
      <c r="BA11" s="30" t="s">
        <v>7418</v>
      </c>
      <c r="BB11" s="30" t="s">
        <v>7419</v>
      </c>
      <c r="BC11" s="22" t="s">
        <v>7420</v>
      </c>
      <c r="BE11" s="30">
        <v>10</v>
      </c>
      <c r="BF11" s="30" t="s">
        <v>2166</v>
      </c>
      <c r="BG11" s="34" t="s">
        <v>2908</v>
      </c>
      <c r="BH11" s="34" t="s">
        <v>2908</v>
      </c>
      <c r="BI11" s="34" t="s">
        <v>2908</v>
      </c>
      <c r="BJ11" s="35" t="s">
        <v>2908</v>
      </c>
    </row>
    <row r="12" spans="1:62" ht="42" thickBot="1" x14ac:dyDescent="0.3">
      <c r="A12" s="21" t="s">
        <v>2024</v>
      </c>
      <c r="B12" s="22">
        <v>2500</v>
      </c>
      <c r="C12" s="22">
        <v>141</v>
      </c>
      <c r="D12" s="22">
        <v>157</v>
      </c>
      <c r="E12" s="22">
        <v>57</v>
      </c>
      <c r="F12" s="22">
        <v>101</v>
      </c>
      <c r="H12" s="22">
        <v>11</v>
      </c>
      <c r="I12" s="22" t="s">
        <v>2911</v>
      </c>
      <c r="J12" s="22" t="s">
        <v>2908</v>
      </c>
      <c r="K12" s="22" t="s">
        <v>2908</v>
      </c>
      <c r="L12" s="22" t="s">
        <v>2908</v>
      </c>
      <c r="M12" s="22" t="s">
        <v>2908</v>
      </c>
      <c r="O12" s="39" t="s">
        <v>709</v>
      </c>
      <c r="P12" s="39" t="s">
        <v>2911</v>
      </c>
      <c r="Q12" s="39" t="s">
        <v>2908</v>
      </c>
      <c r="R12" s="39" t="s">
        <v>2908</v>
      </c>
      <c r="S12" s="39" t="s">
        <v>2908</v>
      </c>
      <c r="T12" s="39" t="s">
        <v>2908</v>
      </c>
      <c r="U12" s="44"/>
      <c r="V12" s="44" t="e">
        <f t="shared" si="1"/>
        <v>#N/A</v>
      </c>
      <c r="W12" s="44" t="e">
        <f t="shared" si="2"/>
        <v>#N/A</v>
      </c>
      <c r="X12" s="44" t="e">
        <f t="shared" si="3"/>
        <v>#N/A</v>
      </c>
      <c r="Y12" s="44" t="e">
        <f t="shared" si="4"/>
        <v>#N/A</v>
      </c>
      <c r="Z12" s="44"/>
      <c r="AB12" s="30">
        <v>11</v>
      </c>
      <c r="AC12" s="30" t="s">
        <v>2911</v>
      </c>
      <c r="AD12" s="30" t="s">
        <v>2908</v>
      </c>
      <c r="AE12" s="30" t="s">
        <v>2908</v>
      </c>
      <c r="AF12" s="30" t="s">
        <v>2908</v>
      </c>
      <c r="AG12" s="30" t="s">
        <v>2908</v>
      </c>
      <c r="AH12" s="30" t="s">
        <v>2908</v>
      </c>
      <c r="AI12" s="30" t="s">
        <v>2908</v>
      </c>
      <c r="AJ12" s="22" t="s">
        <v>2908</v>
      </c>
      <c r="AL12" s="30">
        <v>10</v>
      </c>
      <c r="AM12" s="30" t="s">
        <v>2362</v>
      </c>
      <c r="AN12" s="30" t="s">
        <v>6743</v>
      </c>
      <c r="AO12" s="30" t="s">
        <v>6744</v>
      </c>
      <c r="AP12" s="30" t="s">
        <v>6745</v>
      </c>
      <c r="AQ12" s="30" t="s">
        <v>6746</v>
      </c>
      <c r="AR12" s="30" t="s">
        <v>6747</v>
      </c>
      <c r="AS12" s="30" t="s">
        <v>6748</v>
      </c>
      <c r="AT12" s="22" t="s">
        <v>6749</v>
      </c>
      <c r="AX12" s="30">
        <v>10</v>
      </c>
      <c r="AY12" s="30" t="s">
        <v>2362</v>
      </c>
      <c r="AZ12" s="30" t="s">
        <v>7421</v>
      </c>
      <c r="BA12" s="30" t="s">
        <v>7422</v>
      </c>
      <c r="BB12" s="30" t="s">
        <v>7423</v>
      </c>
      <c r="BC12" s="22" t="s">
        <v>7424</v>
      </c>
      <c r="BE12" s="30">
        <v>11</v>
      </c>
      <c r="BF12" s="30" t="s">
        <v>2911</v>
      </c>
      <c r="BG12" s="34" t="s">
        <v>2908</v>
      </c>
      <c r="BH12" s="34" t="s">
        <v>2908</v>
      </c>
      <c r="BI12" s="34" t="s">
        <v>2908</v>
      </c>
      <c r="BJ12" s="35" t="s">
        <v>2908</v>
      </c>
    </row>
    <row r="13" spans="1:62" ht="111" thickBot="1" x14ac:dyDescent="0.3">
      <c r="A13" s="21" t="s">
        <v>2021</v>
      </c>
      <c r="B13" s="22">
        <v>380</v>
      </c>
      <c r="C13" s="22">
        <v>109</v>
      </c>
      <c r="D13" s="22">
        <v>114</v>
      </c>
      <c r="E13" s="22">
        <v>94</v>
      </c>
      <c r="F13" s="22">
        <v>99</v>
      </c>
      <c r="H13" s="22">
        <v>12</v>
      </c>
      <c r="I13" s="22" t="s">
        <v>2957</v>
      </c>
      <c r="J13" s="22">
        <v>1</v>
      </c>
      <c r="K13" s="22">
        <v>1</v>
      </c>
      <c r="L13" s="22" t="s">
        <v>1069</v>
      </c>
      <c r="M13" s="22" t="s">
        <v>1069</v>
      </c>
      <c r="O13" s="39" t="s">
        <v>8118</v>
      </c>
      <c r="P13" s="39" t="s">
        <v>7861</v>
      </c>
      <c r="Q13" s="39" t="s">
        <v>8169</v>
      </c>
      <c r="R13" s="39" t="s">
        <v>8170</v>
      </c>
      <c r="S13" s="39" t="s">
        <v>8171</v>
      </c>
      <c r="T13" s="39" t="s">
        <v>8172</v>
      </c>
      <c r="U13" s="44"/>
      <c r="V13" s="44" t="str">
        <f t="shared" si="1"/>
        <v>1129.54</v>
      </c>
      <c r="W13" s="44" t="str">
        <f t="shared" si="2"/>
        <v>1774.79</v>
      </c>
      <c r="X13" s="44" t="str">
        <f t="shared" si="3"/>
        <v>713.59</v>
      </c>
      <c r="Y13" s="44" t="str">
        <f t="shared" si="4"/>
        <v>457.91</v>
      </c>
      <c r="Z13" s="44"/>
      <c r="AB13" s="30">
        <v>12</v>
      </c>
      <c r="AC13" s="30" t="s">
        <v>2957</v>
      </c>
      <c r="AD13" s="30">
        <v>4567.51</v>
      </c>
      <c r="AE13" s="30">
        <v>1752.15</v>
      </c>
      <c r="AF13" s="30">
        <v>1044.23</v>
      </c>
      <c r="AG13" s="30">
        <v>7354.49</v>
      </c>
      <c r="AH13" s="30">
        <v>5383.22</v>
      </c>
      <c r="AI13" s="30">
        <v>1420.99</v>
      </c>
      <c r="AJ13" s="22">
        <v>3707.65</v>
      </c>
      <c r="AL13" s="30">
        <v>11</v>
      </c>
      <c r="AM13" s="30" t="s">
        <v>2365</v>
      </c>
      <c r="AN13" s="30" t="s">
        <v>6750</v>
      </c>
      <c r="AO13" s="30" t="s">
        <v>6751</v>
      </c>
      <c r="AP13" s="30" t="s">
        <v>6752</v>
      </c>
      <c r="AQ13" s="30" t="s">
        <v>6753</v>
      </c>
      <c r="AR13" s="30" t="s">
        <v>6754</v>
      </c>
      <c r="AS13" s="30" t="s">
        <v>6755</v>
      </c>
      <c r="AT13" s="22" t="s">
        <v>6756</v>
      </c>
      <c r="AX13" s="30">
        <v>11</v>
      </c>
      <c r="AY13" s="30" t="s">
        <v>2365</v>
      </c>
      <c r="AZ13" s="30" t="s">
        <v>7425</v>
      </c>
      <c r="BA13" s="30" t="s">
        <v>7426</v>
      </c>
      <c r="BB13" s="30" t="s">
        <v>7427</v>
      </c>
      <c r="BC13" s="22" t="s">
        <v>7428</v>
      </c>
      <c r="BE13" s="30">
        <v>12</v>
      </c>
      <c r="BF13" s="30" t="s">
        <v>2957</v>
      </c>
      <c r="BG13" s="30">
        <v>2310.9</v>
      </c>
      <c r="BH13" s="30">
        <v>2145.17</v>
      </c>
      <c r="BI13" s="30">
        <v>1223.3399999999999</v>
      </c>
      <c r="BJ13" s="22">
        <v>1407.42</v>
      </c>
    </row>
    <row r="14" spans="1:62" ht="42" thickBot="1" x14ac:dyDescent="0.3">
      <c r="A14" s="21" t="s">
        <v>2020</v>
      </c>
      <c r="B14" s="22">
        <v>960</v>
      </c>
      <c r="C14" s="22">
        <v>84</v>
      </c>
      <c r="D14" s="22">
        <v>100</v>
      </c>
      <c r="E14" s="22">
        <v>27</v>
      </c>
      <c r="F14" s="22">
        <v>33</v>
      </c>
      <c r="H14" s="22">
        <v>13</v>
      </c>
      <c r="I14" s="22" t="s">
        <v>2913</v>
      </c>
      <c r="J14" s="22" t="s">
        <v>2908</v>
      </c>
      <c r="K14" s="22" t="s">
        <v>2908</v>
      </c>
      <c r="L14" s="22" t="s">
        <v>2908</v>
      </c>
      <c r="M14" s="22" t="s">
        <v>2908</v>
      </c>
      <c r="O14" s="39" t="s">
        <v>8119</v>
      </c>
      <c r="P14" s="39" t="s">
        <v>2913</v>
      </c>
      <c r="Q14" s="39" t="s">
        <v>2908</v>
      </c>
      <c r="R14" s="39" t="s">
        <v>2908</v>
      </c>
      <c r="S14" s="39" t="s">
        <v>2908</v>
      </c>
      <c r="T14" s="39" t="s">
        <v>2908</v>
      </c>
      <c r="U14" s="44"/>
      <c r="V14" s="44" t="e">
        <f t="shared" si="1"/>
        <v>#N/A</v>
      </c>
      <c r="W14" s="44" t="e">
        <f t="shared" si="2"/>
        <v>#N/A</v>
      </c>
      <c r="X14" s="44" t="e">
        <f t="shared" si="3"/>
        <v>#N/A</v>
      </c>
      <c r="Y14" s="44" t="e">
        <f t="shared" si="4"/>
        <v>#N/A</v>
      </c>
      <c r="Z14" s="44"/>
      <c r="AB14" s="30">
        <v>13</v>
      </c>
      <c r="AC14" s="30" t="s">
        <v>2913</v>
      </c>
      <c r="AD14" s="30" t="s">
        <v>2908</v>
      </c>
      <c r="AE14" s="30" t="s">
        <v>2908</v>
      </c>
      <c r="AF14" s="30" t="s">
        <v>2908</v>
      </c>
      <c r="AG14" s="30" t="s">
        <v>2908</v>
      </c>
      <c r="AH14" s="30" t="s">
        <v>2908</v>
      </c>
      <c r="AI14" s="30" t="s">
        <v>2908</v>
      </c>
      <c r="AJ14" s="22" t="s">
        <v>2908</v>
      </c>
      <c r="AL14" s="30">
        <v>12</v>
      </c>
      <c r="AM14" s="30" t="s">
        <v>2187</v>
      </c>
      <c r="AN14" s="30" t="s">
        <v>6757</v>
      </c>
      <c r="AO14" s="30" t="s">
        <v>6758</v>
      </c>
      <c r="AP14" s="30" t="s">
        <v>6759</v>
      </c>
      <c r="AQ14" s="30" t="s">
        <v>6760</v>
      </c>
      <c r="AR14" s="30" t="s">
        <v>6761</v>
      </c>
      <c r="AS14" s="30" t="s">
        <v>6762</v>
      </c>
      <c r="AT14" s="22" t="s">
        <v>6763</v>
      </c>
      <c r="AX14" s="30">
        <v>12</v>
      </c>
      <c r="AY14" s="30" t="s">
        <v>2187</v>
      </c>
      <c r="AZ14" s="30" t="s">
        <v>7429</v>
      </c>
      <c r="BA14" s="30" t="s">
        <v>7430</v>
      </c>
      <c r="BB14" s="30" t="s">
        <v>7431</v>
      </c>
      <c r="BC14" s="22" t="s">
        <v>7432</v>
      </c>
      <c r="BE14" s="30">
        <v>13</v>
      </c>
      <c r="BF14" s="30" t="s">
        <v>2913</v>
      </c>
      <c r="BG14" s="34" t="s">
        <v>2908</v>
      </c>
      <c r="BH14" s="34" t="s">
        <v>2908</v>
      </c>
      <c r="BI14" s="34" t="s">
        <v>2908</v>
      </c>
      <c r="BJ14" s="35" t="s">
        <v>2908</v>
      </c>
    </row>
    <row r="15" spans="1:62" ht="42" thickBot="1" x14ac:dyDescent="0.3">
      <c r="A15" s="21" t="s">
        <v>4625</v>
      </c>
      <c r="B15" s="22">
        <v>2</v>
      </c>
      <c r="C15" s="22">
        <v>81</v>
      </c>
      <c r="D15" s="22">
        <v>94</v>
      </c>
      <c r="E15" s="22">
        <v>91</v>
      </c>
      <c r="F15" s="22">
        <v>31</v>
      </c>
      <c r="H15" s="22">
        <v>14</v>
      </c>
      <c r="I15" s="22" t="s">
        <v>2173</v>
      </c>
      <c r="J15" s="22">
        <v>30</v>
      </c>
      <c r="K15" s="22">
        <v>28</v>
      </c>
      <c r="L15" s="22">
        <v>4</v>
      </c>
      <c r="M15" s="22">
        <v>3</v>
      </c>
      <c r="O15" s="39" t="s">
        <v>970</v>
      </c>
      <c r="P15" s="39" t="s">
        <v>2173</v>
      </c>
      <c r="Q15" s="39" t="s">
        <v>8173</v>
      </c>
      <c r="R15" s="39" t="s">
        <v>8174</v>
      </c>
      <c r="S15" s="39" t="s">
        <v>8175</v>
      </c>
      <c r="T15" s="39" t="s">
        <v>8176</v>
      </c>
      <c r="U15" s="44"/>
      <c r="V15" s="44" t="str">
        <f t="shared" si="1"/>
        <v>15176.18</v>
      </c>
      <c r="W15" s="44" t="str">
        <f t="shared" si="2"/>
        <v>14006.90</v>
      </c>
      <c r="X15" s="44" t="str">
        <f t="shared" si="3"/>
        <v>2111.38</v>
      </c>
      <c r="Y15" s="44" t="str">
        <f t="shared" si="4"/>
        <v>1467.24</v>
      </c>
      <c r="Z15" s="44"/>
      <c r="AB15" s="30">
        <v>14</v>
      </c>
      <c r="AC15" s="30" t="s">
        <v>2173</v>
      </c>
      <c r="AD15" s="30">
        <v>34168.94</v>
      </c>
      <c r="AE15" s="30">
        <v>18766.169999999998</v>
      </c>
      <c r="AF15" s="30">
        <v>14913.66</v>
      </c>
      <c r="AG15" s="30">
        <v>47099.9</v>
      </c>
      <c r="AH15" s="30">
        <v>49589.17</v>
      </c>
      <c r="AI15" s="30">
        <v>5944.8</v>
      </c>
      <c r="AJ15" s="22">
        <v>22385.5</v>
      </c>
      <c r="AL15" s="30">
        <v>13</v>
      </c>
      <c r="AM15" s="30" t="s">
        <v>2178</v>
      </c>
      <c r="AN15" s="30" t="s">
        <v>6764</v>
      </c>
      <c r="AO15" s="30" t="s">
        <v>6765</v>
      </c>
      <c r="AP15" s="30" t="s">
        <v>6766</v>
      </c>
      <c r="AQ15" s="30" t="s">
        <v>6767</v>
      </c>
      <c r="AR15" s="30" t="s">
        <v>6768</v>
      </c>
      <c r="AS15" s="30" t="s">
        <v>6769</v>
      </c>
      <c r="AT15" s="22" t="s">
        <v>6770</v>
      </c>
      <c r="AX15" s="30">
        <v>13</v>
      </c>
      <c r="AY15" s="30" t="s">
        <v>2178</v>
      </c>
      <c r="AZ15" s="30" t="s">
        <v>7433</v>
      </c>
      <c r="BA15" s="30" t="s">
        <v>7434</v>
      </c>
      <c r="BB15" s="30" t="s">
        <v>7435</v>
      </c>
      <c r="BC15" s="22" t="s">
        <v>7436</v>
      </c>
      <c r="BE15" s="30">
        <v>14</v>
      </c>
      <c r="BF15" s="30" t="s">
        <v>2173</v>
      </c>
      <c r="BG15" s="30">
        <v>12522.26</v>
      </c>
      <c r="BH15" s="30">
        <v>13587.34</v>
      </c>
      <c r="BI15" s="30">
        <v>3964.57</v>
      </c>
      <c r="BJ15" s="22">
        <v>6437.79</v>
      </c>
    </row>
    <row r="16" spans="1:62" ht="55.8" thickBot="1" x14ac:dyDescent="0.3">
      <c r="A16" s="21" t="s">
        <v>6137</v>
      </c>
      <c r="B16" s="22">
        <v>0.1</v>
      </c>
      <c r="C16" s="22">
        <v>79</v>
      </c>
      <c r="D16" s="22">
        <v>86</v>
      </c>
      <c r="E16" s="22">
        <v>20</v>
      </c>
      <c r="F16" s="22">
        <v>17</v>
      </c>
      <c r="H16" s="22">
        <v>15</v>
      </c>
      <c r="I16" s="22" t="s">
        <v>2914</v>
      </c>
      <c r="J16" s="22">
        <v>13</v>
      </c>
      <c r="K16" s="22">
        <v>15</v>
      </c>
      <c r="L16" s="22">
        <v>2</v>
      </c>
      <c r="M16" s="22">
        <v>1</v>
      </c>
      <c r="O16" s="39" t="s">
        <v>793</v>
      </c>
      <c r="P16" s="39" t="s">
        <v>2914</v>
      </c>
      <c r="Q16" s="39" t="s">
        <v>8177</v>
      </c>
      <c r="R16" s="39" t="s">
        <v>8178</v>
      </c>
      <c r="S16" s="39" t="s">
        <v>8179</v>
      </c>
      <c r="T16" s="39" t="s">
        <v>8180</v>
      </c>
      <c r="U16" s="44"/>
      <c r="V16" s="44" t="str">
        <f t="shared" si="1"/>
        <v>9388.24</v>
      </c>
      <c r="W16" s="44" t="str">
        <f t="shared" si="2"/>
        <v>10776.31</v>
      </c>
      <c r="X16" s="44" t="str">
        <f t="shared" si="3"/>
        <v>1491.19</v>
      </c>
      <c r="Y16" s="44" t="str">
        <f t="shared" si="4"/>
        <v>799.47</v>
      </c>
      <c r="Z16" s="44"/>
      <c r="AB16" s="30">
        <v>15</v>
      </c>
      <c r="AC16" s="30" t="s">
        <v>2914</v>
      </c>
      <c r="AD16" s="30">
        <v>31080.93</v>
      </c>
      <c r="AE16" s="30">
        <v>12475.5</v>
      </c>
      <c r="AF16" s="30">
        <v>7818.61</v>
      </c>
      <c r="AG16" s="30">
        <v>43495.18</v>
      </c>
      <c r="AH16" s="30">
        <v>36995.29</v>
      </c>
      <c r="AI16" s="30">
        <v>8707.7800000000007</v>
      </c>
      <c r="AJ16" s="22">
        <v>17820.66</v>
      </c>
      <c r="AL16" s="30">
        <v>14</v>
      </c>
      <c r="AM16" s="30" t="s">
        <v>3406</v>
      </c>
      <c r="AN16" s="30" t="s">
        <v>6771</v>
      </c>
      <c r="AO16" s="30" t="s">
        <v>6772</v>
      </c>
      <c r="AP16" s="30" t="s">
        <v>6773</v>
      </c>
      <c r="AQ16" s="30" t="s">
        <v>6774</v>
      </c>
      <c r="AR16" s="30" t="s">
        <v>6775</v>
      </c>
      <c r="AS16" s="30" t="s">
        <v>6776</v>
      </c>
      <c r="AT16" s="22" t="s">
        <v>6777</v>
      </c>
      <c r="AX16" s="30">
        <v>14</v>
      </c>
      <c r="AY16" s="30" t="s">
        <v>3406</v>
      </c>
      <c r="AZ16" s="30" t="s">
        <v>7437</v>
      </c>
      <c r="BA16" s="30" t="s">
        <v>7438</v>
      </c>
      <c r="BB16" s="30" t="s">
        <v>7439</v>
      </c>
      <c r="BC16" s="22" t="s">
        <v>7440</v>
      </c>
      <c r="BE16" s="30">
        <v>15</v>
      </c>
      <c r="BF16" s="30" t="s">
        <v>2914</v>
      </c>
      <c r="BG16" s="30">
        <v>18563.27</v>
      </c>
      <c r="BH16" s="30">
        <v>24918.47</v>
      </c>
      <c r="BI16" s="30">
        <v>2694.41</v>
      </c>
      <c r="BJ16" s="22">
        <v>8916.18</v>
      </c>
    </row>
    <row r="17" spans="1:62" ht="69.599999999999994" thickBot="1" x14ac:dyDescent="0.3">
      <c r="A17" s="21" t="s">
        <v>2365</v>
      </c>
      <c r="B17" s="22">
        <v>5500</v>
      </c>
      <c r="C17" s="22">
        <v>69</v>
      </c>
      <c r="D17" s="22">
        <v>76</v>
      </c>
      <c r="E17" s="22">
        <v>16</v>
      </c>
      <c r="F17" s="22">
        <v>12</v>
      </c>
      <c r="H17" s="22">
        <v>16</v>
      </c>
      <c r="I17" s="22" t="s">
        <v>6142</v>
      </c>
      <c r="J17" s="22">
        <v>10</v>
      </c>
      <c r="K17" s="22">
        <v>9</v>
      </c>
      <c r="L17" s="22">
        <v>5</v>
      </c>
      <c r="M17" s="22">
        <v>8</v>
      </c>
      <c r="O17" s="39" t="s">
        <v>1132</v>
      </c>
      <c r="P17" s="39" t="s">
        <v>2029</v>
      </c>
      <c r="Q17" s="39" t="s">
        <v>2908</v>
      </c>
      <c r="R17" s="39" t="s">
        <v>2908</v>
      </c>
      <c r="S17" s="39" t="s">
        <v>2908</v>
      </c>
      <c r="T17" s="39" t="s">
        <v>2908</v>
      </c>
      <c r="U17" s="44"/>
      <c r="V17" s="44" t="e">
        <f t="shared" si="1"/>
        <v>#N/A</v>
      </c>
      <c r="W17" s="44" t="e">
        <f t="shared" si="2"/>
        <v>#N/A</v>
      </c>
      <c r="X17" s="44" t="e">
        <f t="shared" si="3"/>
        <v>#N/A</v>
      </c>
      <c r="Y17" s="44" t="e">
        <f t="shared" si="4"/>
        <v>#N/A</v>
      </c>
      <c r="Z17" s="44"/>
      <c r="AB17" s="30">
        <v>16</v>
      </c>
      <c r="AC17" s="30" t="s">
        <v>6142</v>
      </c>
      <c r="AD17" s="30">
        <v>2669.23</v>
      </c>
      <c r="AE17" s="30">
        <v>2507.23</v>
      </c>
      <c r="AF17" s="30">
        <v>1479.05</v>
      </c>
      <c r="AG17" s="30">
        <v>4172.59</v>
      </c>
      <c r="AH17" s="30">
        <v>8152.41</v>
      </c>
      <c r="AI17" s="30">
        <v>2744.49</v>
      </c>
      <c r="AJ17" s="22">
        <v>5483.11</v>
      </c>
      <c r="AL17" s="30">
        <v>15</v>
      </c>
      <c r="AM17" s="30" t="s">
        <v>2898</v>
      </c>
      <c r="AN17" s="30" t="s">
        <v>6778</v>
      </c>
      <c r="AO17" s="30" t="s">
        <v>6779</v>
      </c>
      <c r="AP17" s="30" t="s">
        <v>6780</v>
      </c>
      <c r="AQ17" s="30" t="s">
        <v>6781</v>
      </c>
      <c r="AR17" s="30" t="s">
        <v>6782</v>
      </c>
      <c r="AS17" s="30" t="s">
        <v>6783</v>
      </c>
      <c r="AT17" s="22" t="s">
        <v>6784</v>
      </c>
      <c r="AX17" s="30">
        <v>15</v>
      </c>
      <c r="AY17" s="30" t="s">
        <v>2898</v>
      </c>
      <c r="AZ17" s="30" t="s">
        <v>7441</v>
      </c>
      <c r="BA17" s="30" t="s">
        <v>7442</v>
      </c>
      <c r="BB17" s="30" t="s">
        <v>7443</v>
      </c>
      <c r="BC17" s="22" t="s">
        <v>7444</v>
      </c>
      <c r="BE17" s="30">
        <v>16</v>
      </c>
      <c r="BF17" s="30" t="s">
        <v>2029</v>
      </c>
      <c r="BG17" s="30">
        <v>6643.06</v>
      </c>
      <c r="BH17" s="30">
        <v>3632.83</v>
      </c>
      <c r="BI17" s="30">
        <v>4890.38</v>
      </c>
      <c r="BJ17" s="22">
        <v>2860.12</v>
      </c>
    </row>
    <row r="18" spans="1:62" ht="71.400000000000006" thickBot="1" x14ac:dyDescent="0.3">
      <c r="A18" s="21" t="s">
        <v>2025</v>
      </c>
      <c r="B18" s="22">
        <v>2700</v>
      </c>
      <c r="C18" s="22">
        <v>61</v>
      </c>
      <c r="D18" s="22">
        <v>33</v>
      </c>
      <c r="E18" s="22">
        <v>21</v>
      </c>
      <c r="F18" s="22">
        <v>25</v>
      </c>
      <c r="H18" s="22">
        <v>17</v>
      </c>
      <c r="I18" s="22" t="s">
        <v>2028</v>
      </c>
      <c r="J18" s="22" t="s">
        <v>2908</v>
      </c>
      <c r="K18" s="22" t="s">
        <v>2908</v>
      </c>
      <c r="L18" s="22" t="s">
        <v>2908</v>
      </c>
      <c r="M18" s="22" t="s">
        <v>2908</v>
      </c>
      <c r="O18" s="39" t="s">
        <v>785</v>
      </c>
      <c r="P18" s="39" t="s">
        <v>2028</v>
      </c>
      <c r="Q18" s="39" t="s">
        <v>8181</v>
      </c>
      <c r="R18" s="39" t="s">
        <v>8182</v>
      </c>
      <c r="S18" s="39" t="s">
        <v>8183</v>
      </c>
      <c r="T18" s="39" t="s">
        <v>8184</v>
      </c>
      <c r="U18" s="44"/>
      <c r="V18" s="44" t="str">
        <f t="shared" si="1"/>
        <v>258.17</v>
      </c>
      <c r="W18" s="44" t="str">
        <f t="shared" si="2"/>
        <v>230.76</v>
      </c>
      <c r="X18" s="44" t="str">
        <f t="shared" si="3"/>
        <v>118.35</v>
      </c>
      <c r="Y18" s="44" t="str">
        <f t="shared" si="4"/>
        <v>76.28</v>
      </c>
      <c r="Z18" s="44"/>
      <c r="AB18" s="30">
        <v>17</v>
      </c>
      <c r="AC18" s="30" t="s">
        <v>6226</v>
      </c>
      <c r="AD18" s="30">
        <v>450.19</v>
      </c>
      <c r="AE18" s="30">
        <v>448.45</v>
      </c>
      <c r="AF18" s="30">
        <v>73.34</v>
      </c>
      <c r="AG18" s="30">
        <v>200.51</v>
      </c>
      <c r="AH18" s="30">
        <v>1527.85</v>
      </c>
      <c r="AI18" s="30">
        <v>536.16</v>
      </c>
      <c r="AJ18" s="22">
        <v>1169.83</v>
      </c>
      <c r="AL18" s="30">
        <v>16</v>
      </c>
      <c r="AM18" s="30" t="s">
        <v>2914</v>
      </c>
      <c r="AN18" s="30" t="s">
        <v>6785</v>
      </c>
      <c r="AO18" s="30" t="s">
        <v>6786</v>
      </c>
      <c r="AP18" s="30" t="s">
        <v>6787</v>
      </c>
      <c r="AQ18" s="30" t="s">
        <v>6788</v>
      </c>
      <c r="AR18" s="30" t="s">
        <v>6789</v>
      </c>
      <c r="AS18" s="30" t="s">
        <v>6790</v>
      </c>
      <c r="AT18" s="22" t="s">
        <v>6791</v>
      </c>
      <c r="AX18" s="30">
        <v>16</v>
      </c>
      <c r="AY18" s="30" t="s">
        <v>2914</v>
      </c>
      <c r="AZ18" s="30" t="s">
        <v>7445</v>
      </c>
      <c r="BA18" s="30" t="s">
        <v>7446</v>
      </c>
      <c r="BB18" s="30" t="s">
        <v>7447</v>
      </c>
      <c r="BC18" s="22" t="s">
        <v>7448</v>
      </c>
      <c r="BE18" s="30">
        <v>17</v>
      </c>
      <c r="BF18" s="30" t="s">
        <v>7767</v>
      </c>
      <c r="BG18" s="30">
        <v>450.19</v>
      </c>
      <c r="BH18" s="30">
        <v>433.09</v>
      </c>
      <c r="BI18" s="30">
        <v>501.29</v>
      </c>
      <c r="BJ18" s="22">
        <v>487.45</v>
      </c>
    </row>
    <row r="19" spans="1:62" ht="55.8" thickBot="1" x14ac:dyDescent="0.3">
      <c r="A19" s="21" t="s">
        <v>2947</v>
      </c>
      <c r="B19" s="22">
        <v>2000</v>
      </c>
      <c r="C19" s="22">
        <v>60</v>
      </c>
      <c r="D19" s="22">
        <v>63</v>
      </c>
      <c r="E19" s="22">
        <v>71</v>
      </c>
      <c r="F19" s="22">
        <v>65</v>
      </c>
      <c r="H19" s="22">
        <v>18</v>
      </c>
      <c r="I19" s="22" t="s">
        <v>2915</v>
      </c>
      <c r="J19" s="22">
        <v>37</v>
      </c>
      <c r="K19" s="22">
        <v>35</v>
      </c>
      <c r="L19" s="22">
        <v>23</v>
      </c>
      <c r="M19" s="22">
        <v>15</v>
      </c>
      <c r="O19" s="39" t="s">
        <v>741</v>
      </c>
      <c r="P19" s="39" t="s">
        <v>2915</v>
      </c>
      <c r="Q19" s="39" t="s">
        <v>8185</v>
      </c>
      <c r="R19" s="39" t="s">
        <v>8186</v>
      </c>
      <c r="S19" s="39" t="s">
        <v>8187</v>
      </c>
      <c r="T19" s="39" t="s">
        <v>8188</v>
      </c>
      <c r="U19" s="44"/>
      <c r="V19" s="44" t="str">
        <f t="shared" si="1"/>
        <v>3.43</v>
      </c>
      <c r="W19" s="44" t="str">
        <f t="shared" si="2"/>
        <v>3.28</v>
      </c>
      <c r="X19" s="44" t="str">
        <f t="shared" si="3"/>
        <v>2.12</v>
      </c>
      <c r="Y19" s="44" t="str">
        <f t="shared" si="4"/>
        <v>1.44</v>
      </c>
      <c r="Z19" s="44"/>
      <c r="AB19" s="30">
        <v>18</v>
      </c>
      <c r="AC19" s="30" t="s">
        <v>2915</v>
      </c>
      <c r="AD19" s="30">
        <v>9.7799999999999994</v>
      </c>
      <c r="AE19" s="30">
        <v>5.42</v>
      </c>
      <c r="AF19" s="30">
        <v>7.09</v>
      </c>
      <c r="AG19" s="30">
        <v>5.98</v>
      </c>
      <c r="AH19" s="30">
        <v>3.34</v>
      </c>
      <c r="AI19" s="30">
        <v>2.39</v>
      </c>
      <c r="AJ19" s="22">
        <v>3.88</v>
      </c>
      <c r="AL19" s="30">
        <v>17</v>
      </c>
      <c r="AM19" s="30" t="s">
        <v>2023</v>
      </c>
      <c r="AN19" s="30" t="s">
        <v>6792</v>
      </c>
      <c r="AO19" s="30" t="s">
        <v>6793</v>
      </c>
      <c r="AP19" s="30" t="s">
        <v>6794</v>
      </c>
      <c r="AQ19" s="30" t="s">
        <v>6795</v>
      </c>
      <c r="AR19" s="30" t="s">
        <v>6796</v>
      </c>
      <c r="AS19" s="30" t="s">
        <v>6797</v>
      </c>
      <c r="AT19" s="22" t="s">
        <v>6798</v>
      </c>
      <c r="AX19" s="30">
        <v>17</v>
      </c>
      <c r="AY19" s="30" t="s">
        <v>2023</v>
      </c>
      <c r="AZ19" s="30" t="s">
        <v>7449</v>
      </c>
      <c r="BA19" s="30" t="s">
        <v>7450</v>
      </c>
      <c r="BB19" s="30" t="s">
        <v>7451</v>
      </c>
      <c r="BC19" s="22" t="s">
        <v>7452</v>
      </c>
      <c r="BE19" s="30">
        <v>18</v>
      </c>
      <c r="BF19" s="30" t="s">
        <v>2915</v>
      </c>
      <c r="BG19" s="30">
        <v>3.16</v>
      </c>
      <c r="BH19" s="30">
        <v>3.38</v>
      </c>
      <c r="BI19" s="30">
        <v>1.68</v>
      </c>
      <c r="BJ19" s="22">
        <v>1.9</v>
      </c>
    </row>
    <row r="20" spans="1:62" ht="100.2" thickBot="1" x14ac:dyDescent="0.3">
      <c r="A20" s="21" t="s">
        <v>2022</v>
      </c>
      <c r="B20" s="22">
        <v>32000</v>
      </c>
      <c r="C20" s="22">
        <v>52</v>
      </c>
      <c r="D20" s="22">
        <v>51</v>
      </c>
      <c r="E20" s="22">
        <v>40</v>
      </c>
      <c r="F20" s="22">
        <v>28</v>
      </c>
      <c r="H20" s="22">
        <v>19</v>
      </c>
      <c r="I20" s="22" t="s">
        <v>2318</v>
      </c>
      <c r="J20" s="22" t="s">
        <v>2908</v>
      </c>
      <c r="K20" s="22" t="s">
        <v>2908</v>
      </c>
      <c r="L20" s="22" t="s">
        <v>2908</v>
      </c>
      <c r="M20" s="22" t="s">
        <v>2908</v>
      </c>
      <c r="O20" s="39" t="s">
        <v>913</v>
      </c>
      <c r="P20" s="39" t="s">
        <v>2318</v>
      </c>
      <c r="Q20" s="39" t="s">
        <v>2908</v>
      </c>
      <c r="R20" s="39" t="s">
        <v>2908</v>
      </c>
      <c r="S20" s="39" t="s">
        <v>2908</v>
      </c>
      <c r="T20" s="39" t="s">
        <v>2908</v>
      </c>
      <c r="U20" s="44"/>
      <c r="V20" s="44" t="e">
        <f t="shared" si="1"/>
        <v>#N/A</v>
      </c>
      <c r="W20" s="44" t="e">
        <f t="shared" si="2"/>
        <v>#N/A</v>
      </c>
      <c r="X20" s="44" t="e">
        <f t="shared" si="3"/>
        <v>#N/A</v>
      </c>
      <c r="Y20" s="44" t="e">
        <f t="shared" si="4"/>
        <v>#N/A</v>
      </c>
      <c r="Z20" s="44"/>
      <c r="AB20" s="30">
        <v>19</v>
      </c>
      <c r="AC20" s="30" t="s">
        <v>2318</v>
      </c>
      <c r="AD20" s="30">
        <v>4535.0200000000004</v>
      </c>
      <c r="AE20" s="30">
        <v>2044.91</v>
      </c>
      <c r="AF20" s="30">
        <v>7356.18</v>
      </c>
      <c r="AG20" s="30">
        <v>4489.7700000000004</v>
      </c>
      <c r="AH20" s="30">
        <v>4268.1099999999997</v>
      </c>
      <c r="AI20" s="30">
        <v>1597.4</v>
      </c>
      <c r="AJ20" s="22">
        <v>5634.68</v>
      </c>
      <c r="AL20" s="30">
        <v>18</v>
      </c>
      <c r="AM20" s="30" t="s">
        <v>2957</v>
      </c>
      <c r="AN20" s="30" t="s">
        <v>6799</v>
      </c>
      <c r="AO20" s="30" t="s">
        <v>6800</v>
      </c>
      <c r="AP20" s="30" t="s">
        <v>6801</v>
      </c>
      <c r="AQ20" s="30" t="s">
        <v>6802</v>
      </c>
      <c r="AR20" s="30" t="s">
        <v>6803</v>
      </c>
      <c r="AS20" s="30" t="s">
        <v>6804</v>
      </c>
      <c r="AT20" s="22" t="s">
        <v>6805</v>
      </c>
      <c r="AX20" s="30">
        <v>18</v>
      </c>
      <c r="AY20" s="30" t="s">
        <v>2957</v>
      </c>
      <c r="AZ20" s="30" t="s">
        <v>7453</v>
      </c>
      <c r="BA20" s="30" t="s">
        <v>7454</v>
      </c>
      <c r="BB20" s="30" t="s">
        <v>7455</v>
      </c>
      <c r="BC20" s="22" t="s">
        <v>7456</v>
      </c>
      <c r="BE20" s="30">
        <v>19</v>
      </c>
      <c r="BF20" s="30" t="s">
        <v>7768</v>
      </c>
      <c r="BG20" s="30">
        <v>1488.9</v>
      </c>
      <c r="BH20" s="30">
        <v>1534.46</v>
      </c>
      <c r="BI20" s="30">
        <v>626.07000000000005</v>
      </c>
      <c r="BJ20" s="22">
        <v>606.36</v>
      </c>
    </row>
    <row r="21" spans="1:62" ht="55.8" thickBot="1" x14ac:dyDescent="0.3">
      <c r="A21" s="21" t="s">
        <v>2915</v>
      </c>
      <c r="B21" s="22">
        <v>1400</v>
      </c>
      <c r="C21" s="22">
        <v>37</v>
      </c>
      <c r="D21" s="22">
        <v>35</v>
      </c>
      <c r="E21" s="22">
        <v>23</v>
      </c>
      <c r="F21" s="22">
        <v>15</v>
      </c>
      <c r="H21" s="22">
        <v>20</v>
      </c>
      <c r="I21" s="22" t="s">
        <v>2362</v>
      </c>
      <c r="J21" s="22" t="s">
        <v>2908</v>
      </c>
      <c r="K21" s="22" t="s">
        <v>2908</v>
      </c>
      <c r="L21" s="22" t="s">
        <v>2908</v>
      </c>
      <c r="M21" s="22" t="s">
        <v>2908</v>
      </c>
      <c r="O21" s="39" t="s">
        <v>977</v>
      </c>
      <c r="P21" s="39" t="s">
        <v>2362</v>
      </c>
      <c r="Q21" s="39" t="s">
        <v>8189</v>
      </c>
      <c r="R21" s="39" t="s">
        <v>8190</v>
      </c>
      <c r="S21" s="39" t="s">
        <v>8191</v>
      </c>
      <c r="T21" s="39" t="s">
        <v>8192</v>
      </c>
      <c r="U21" s="44"/>
      <c r="V21" s="44" t="str">
        <f t="shared" si="1"/>
        <v>787.86</v>
      </c>
      <c r="W21" s="44" t="str">
        <f t="shared" si="2"/>
        <v>675.76</v>
      </c>
      <c r="X21" s="44" t="str">
        <f t="shared" si="3"/>
        <v>541.17</v>
      </c>
      <c r="Y21" s="44" t="str">
        <f t="shared" si="4"/>
        <v>387.02</v>
      </c>
      <c r="Z21" s="44"/>
      <c r="AB21" s="30">
        <v>20</v>
      </c>
      <c r="AC21" s="30" t="s">
        <v>2362</v>
      </c>
      <c r="AD21" s="30">
        <v>2101.38</v>
      </c>
      <c r="AE21" s="30">
        <v>1263.22</v>
      </c>
      <c r="AF21" s="30">
        <v>1093.3800000000001</v>
      </c>
      <c r="AG21" s="30">
        <v>2883.61</v>
      </c>
      <c r="AH21" s="30">
        <v>2104.37</v>
      </c>
      <c r="AI21" s="30">
        <v>743.85</v>
      </c>
      <c r="AJ21" s="22">
        <v>2135.5300000000002</v>
      </c>
      <c r="AL21" s="30">
        <v>19</v>
      </c>
      <c r="AM21" s="30" t="s">
        <v>3215</v>
      </c>
      <c r="AN21" s="30" t="s">
        <v>6806</v>
      </c>
      <c r="AO21" s="30" t="s">
        <v>6807</v>
      </c>
      <c r="AP21" s="30" t="s">
        <v>6808</v>
      </c>
      <c r="AQ21" s="30" t="s">
        <v>6809</v>
      </c>
      <c r="AR21" s="30" t="s">
        <v>6810</v>
      </c>
      <c r="AS21" s="30" t="s">
        <v>6811</v>
      </c>
      <c r="AT21" s="22" t="s">
        <v>6812</v>
      </c>
      <c r="AX21" s="30">
        <v>19</v>
      </c>
      <c r="AY21" s="30" t="s">
        <v>3215</v>
      </c>
      <c r="AZ21" s="30" t="s">
        <v>7457</v>
      </c>
      <c r="BA21" s="30" t="s">
        <v>7458</v>
      </c>
      <c r="BB21" s="30" t="s">
        <v>7459</v>
      </c>
      <c r="BC21" s="22" t="s">
        <v>7460</v>
      </c>
      <c r="BE21" s="30">
        <v>20</v>
      </c>
      <c r="BF21" s="30" t="s">
        <v>2362</v>
      </c>
      <c r="BG21" s="30">
        <v>1488.9</v>
      </c>
      <c r="BH21" s="30">
        <v>1534.46</v>
      </c>
      <c r="BI21" s="30">
        <v>626.07000000000005</v>
      </c>
      <c r="BJ21" s="22">
        <v>606.36</v>
      </c>
    </row>
    <row r="22" spans="1:62" ht="42" thickBot="1" x14ac:dyDescent="0.3">
      <c r="A22" s="21" t="s">
        <v>2173</v>
      </c>
      <c r="B22" s="22">
        <v>1800</v>
      </c>
      <c r="C22" s="22">
        <v>30</v>
      </c>
      <c r="D22" s="22">
        <v>28</v>
      </c>
      <c r="E22" s="22">
        <v>4</v>
      </c>
      <c r="F22" s="22">
        <v>3</v>
      </c>
      <c r="H22" s="22">
        <v>21</v>
      </c>
      <c r="I22" s="22" t="s">
        <v>2025</v>
      </c>
      <c r="J22" s="22">
        <v>61</v>
      </c>
      <c r="K22" s="22">
        <v>33</v>
      </c>
      <c r="L22" s="22">
        <v>21</v>
      </c>
      <c r="M22" s="22">
        <v>25</v>
      </c>
      <c r="O22" s="39" t="s">
        <v>745</v>
      </c>
      <c r="P22" s="39" t="s">
        <v>2025</v>
      </c>
      <c r="Q22" s="39" t="s">
        <v>8193</v>
      </c>
      <c r="R22" s="39" t="s">
        <v>8194</v>
      </c>
      <c r="S22" s="39" t="s">
        <v>8195</v>
      </c>
      <c r="T22" s="39" t="s">
        <v>8196</v>
      </c>
      <c r="U22" s="44"/>
      <c r="V22" s="44" t="str">
        <f t="shared" si="1"/>
        <v>166.77</v>
      </c>
      <c r="W22" s="44" t="str">
        <f t="shared" si="2"/>
        <v>89.15</v>
      </c>
      <c r="X22" s="44" t="str">
        <f t="shared" si="3"/>
        <v>56.67</v>
      </c>
      <c r="Y22" s="44" t="str">
        <f t="shared" si="4"/>
        <v>69.61</v>
      </c>
      <c r="Z22" s="44"/>
      <c r="AB22" s="30">
        <v>21</v>
      </c>
      <c r="AC22" s="30" t="s">
        <v>2025</v>
      </c>
      <c r="AD22" s="30">
        <v>157.49</v>
      </c>
      <c r="AE22" s="30">
        <v>111.31</v>
      </c>
      <c r="AF22" s="30">
        <v>113.77</v>
      </c>
      <c r="AG22" s="30">
        <v>137.69999999999999</v>
      </c>
      <c r="AH22" s="30">
        <v>197.37</v>
      </c>
      <c r="AI22" s="30">
        <v>166.16</v>
      </c>
      <c r="AJ22" s="22">
        <v>151</v>
      </c>
      <c r="AL22" s="30">
        <v>20</v>
      </c>
      <c r="AM22" s="30" t="s">
        <v>4933</v>
      </c>
      <c r="AN22" s="30" t="s">
        <v>6813</v>
      </c>
      <c r="AO22" s="30" t="s">
        <v>6814</v>
      </c>
      <c r="AP22" s="30" t="s">
        <v>6815</v>
      </c>
      <c r="AQ22" s="30" t="s">
        <v>6816</v>
      </c>
      <c r="AR22" s="30" t="s">
        <v>6817</v>
      </c>
      <c r="AS22" s="30" t="s">
        <v>6818</v>
      </c>
      <c r="AT22" s="22" t="s">
        <v>6819</v>
      </c>
      <c r="AX22" s="30">
        <v>20</v>
      </c>
      <c r="AY22" s="30" t="s">
        <v>4933</v>
      </c>
      <c r="AZ22" s="30" t="s">
        <v>7461</v>
      </c>
      <c r="BA22" s="30" t="s">
        <v>7462</v>
      </c>
      <c r="BB22" s="30" t="s">
        <v>7463</v>
      </c>
      <c r="BC22" s="22" t="s">
        <v>7464</v>
      </c>
      <c r="BE22" s="30">
        <v>21</v>
      </c>
      <c r="BF22" s="30" t="s">
        <v>2025</v>
      </c>
      <c r="BG22" s="30">
        <v>158.33000000000001</v>
      </c>
      <c r="BH22" s="30">
        <v>425.28</v>
      </c>
      <c r="BI22" s="30">
        <v>214.7</v>
      </c>
      <c r="BJ22" s="22">
        <v>216.38</v>
      </c>
    </row>
    <row r="23" spans="1:62" ht="42" thickBot="1" x14ac:dyDescent="0.3">
      <c r="A23" s="21" t="s">
        <v>2331</v>
      </c>
      <c r="B23" s="22">
        <v>15</v>
      </c>
      <c r="C23" s="22">
        <v>23</v>
      </c>
      <c r="D23" s="22">
        <v>33</v>
      </c>
      <c r="E23" s="22">
        <v>40</v>
      </c>
      <c r="F23" s="22">
        <v>27</v>
      </c>
      <c r="H23" s="22">
        <v>22</v>
      </c>
      <c r="I23" s="22" t="s">
        <v>2916</v>
      </c>
      <c r="J23" s="22">
        <v>4</v>
      </c>
      <c r="K23" s="22">
        <v>4</v>
      </c>
      <c r="L23" s="22">
        <v>1</v>
      </c>
      <c r="M23" s="22">
        <v>1</v>
      </c>
      <c r="O23" s="39" t="s">
        <v>765</v>
      </c>
      <c r="P23" s="39" t="s">
        <v>2916</v>
      </c>
      <c r="Q23" s="39" t="s">
        <v>8197</v>
      </c>
      <c r="R23" s="39" t="s">
        <v>8198</v>
      </c>
      <c r="S23" s="39" t="s">
        <v>8199</v>
      </c>
      <c r="T23" s="39" t="s">
        <v>8200</v>
      </c>
      <c r="U23" s="44"/>
      <c r="V23" s="44" t="str">
        <f t="shared" si="1"/>
        <v>27.50</v>
      </c>
      <c r="W23" s="44" t="str">
        <f t="shared" si="2"/>
        <v>29.01</v>
      </c>
      <c r="X23" s="44" t="str">
        <f t="shared" si="3"/>
        <v>7.33</v>
      </c>
      <c r="Y23" s="44" t="str">
        <f t="shared" si="4"/>
        <v>5.43</v>
      </c>
      <c r="Z23" s="44"/>
      <c r="AB23" s="30">
        <v>22</v>
      </c>
      <c r="AC23" s="30" t="s">
        <v>2916</v>
      </c>
      <c r="AD23" s="30">
        <v>71.900000000000006</v>
      </c>
      <c r="AE23" s="30">
        <v>36.76</v>
      </c>
      <c r="AF23" s="30">
        <v>34.28</v>
      </c>
      <c r="AG23" s="30">
        <v>63.74</v>
      </c>
      <c r="AH23" s="30">
        <v>233.18</v>
      </c>
      <c r="AI23" s="30">
        <v>47.37</v>
      </c>
      <c r="AJ23" s="22">
        <v>40.89</v>
      </c>
      <c r="AL23" s="30">
        <v>21</v>
      </c>
      <c r="AM23" s="30" t="s">
        <v>2382</v>
      </c>
      <c r="AN23" s="30" t="s">
        <v>6820</v>
      </c>
      <c r="AO23" s="30" t="s">
        <v>6821</v>
      </c>
      <c r="AP23" s="30" t="s">
        <v>6822</v>
      </c>
      <c r="AQ23" s="30" t="s">
        <v>6823</v>
      </c>
      <c r="AR23" s="30" t="s">
        <v>6824</v>
      </c>
      <c r="AS23" s="30" t="s">
        <v>6825</v>
      </c>
      <c r="AT23" s="22" t="s">
        <v>6826</v>
      </c>
      <c r="AX23" s="30">
        <v>21</v>
      </c>
      <c r="AY23" s="30" t="s">
        <v>2382</v>
      </c>
      <c r="AZ23" s="30" t="s">
        <v>7465</v>
      </c>
      <c r="BA23" s="30" t="s">
        <v>7466</v>
      </c>
      <c r="BB23" s="30" t="s">
        <v>7467</v>
      </c>
      <c r="BC23" s="22" t="s">
        <v>7468</v>
      </c>
      <c r="BE23" s="30">
        <v>22</v>
      </c>
      <c r="BF23" s="30" t="s">
        <v>2916</v>
      </c>
      <c r="BG23" s="30">
        <v>52.59</v>
      </c>
      <c r="BH23" s="30">
        <v>182.99</v>
      </c>
      <c r="BI23" s="30">
        <v>32.08</v>
      </c>
      <c r="BJ23" s="22">
        <v>92.01</v>
      </c>
    </row>
    <row r="24" spans="1:62" ht="69.599999999999994" thickBot="1" x14ac:dyDescent="0.3">
      <c r="A24" s="21" t="s">
        <v>2898</v>
      </c>
      <c r="B24" s="22">
        <v>120000</v>
      </c>
      <c r="C24" s="22">
        <v>15</v>
      </c>
      <c r="D24" s="22">
        <v>19</v>
      </c>
      <c r="E24" s="22">
        <v>6</v>
      </c>
      <c r="F24" s="22">
        <v>8</v>
      </c>
      <c r="H24" s="22">
        <v>23</v>
      </c>
      <c r="I24" s="22" t="s">
        <v>3629</v>
      </c>
      <c r="J24" s="22">
        <v>2</v>
      </c>
      <c r="K24" s="22">
        <v>1</v>
      </c>
      <c r="L24" s="22">
        <v>1</v>
      </c>
      <c r="M24" s="22">
        <v>1</v>
      </c>
      <c r="O24" s="39" t="s">
        <v>769</v>
      </c>
      <c r="P24" s="39" t="s">
        <v>7862</v>
      </c>
      <c r="Q24" s="39" t="s">
        <v>8201</v>
      </c>
      <c r="R24" s="39" t="s">
        <v>8202</v>
      </c>
      <c r="S24" s="39" t="s">
        <v>8203</v>
      </c>
      <c r="T24" s="39" t="s">
        <v>8204</v>
      </c>
      <c r="U24" s="44"/>
      <c r="V24" s="44" t="str">
        <f t="shared" si="1"/>
        <v>282.46</v>
      </c>
      <c r="W24" s="44" t="str">
        <f t="shared" si="2"/>
        <v>264.06</v>
      </c>
      <c r="X24" s="44" t="str">
        <f t="shared" si="3"/>
        <v>104.05</v>
      </c>
      <c r="Y24" s="44" t="str">
        <f t="shared" si="4"/>
        <v>123.51</v>
      </c>
      <c r="Z24" s="44"/>
      <c r="AB24" s="30">
        <v>23</v>
      </c>
      <c r="AC24" s="30" t="s">
        <v>3329</v>
      </c>
      <c r="AD24" s="30">
        <v>349.69</v>
      </c>
      <c r="AE24" s="30">
        <v>268.83999999999997</v>
      </c>
      <c r="AF24" s="30">
        <v>292.02999999999997</v>
      </c>
      <c r="AG24" s="30">
        <v>264</v>
      </c>
      <c r="AH24" s="30">
        <v>308.33</v>
      </c>
      <c r="AI24" s="30">
        <v>256.64999999999998</v>
      </c>
      <c r="AJ24" s="22">
        <v>280.56</v>
      </c>
      <c r="AL24" s="30">
        <v>22</v>
      </c>
      <c r="AM24" s="30" t="s">
        <v>2173</v>
      </c>
      <c r="AN24" s="30" t="s">
        <v>6827</v>
      </c>
      <c r="AO24" s="30" t="s">
        <v>6828</v>
      </c>
      <c r="AP24" s="30" t="s">
        <v>6829</v>
      </c>
      <c r="AQ24" s="30" t="s">
        <v>6830</v>
      </c>
      <c r="AR24" s="30" t="s">
        <v>6831</v>
      </c>
      <c r="AS24" s="30" t="s">
        <v>6832</v>
      </c>
      <c r="AT24" s="22" t="s">
        <v>6833</v>
      </c>
      <c r="AX24" s="30">
        <v>22</v>
      </c>
      <c r="AY24" s="30" t="s">
        <v>2173</v>
      </c>
      <c r="AZ24" s="30" t="s">
        <v>7469</v>
      </c>
      <c r="BA24" s="30" t="s">
        <v>7470</v>
      </c>
      <c r="BB24" s="30" t="s">
        <v>7471</v>
      </c>
      <c r="BC24" s="22" t="s">
        <v>7472</v>
      </c>
      <c r="BE24" s="30">
        <v>23</v>
      </c>
      <c r="BF24" s="30" t="s">
        <v>3329</v>
      </c>
      <c r="BG24" s="30">
        <v>270.8</v>
      </c>
      <c r="BH24" s="30">
        <v>305.57</v>
      </c>
      <c r="BI24" s="30">
        <v>133.32</v>
      </c>
      <c r="BJ24" s="22">
        <v>265.37</v>
      </c>
    </row>
    <row r="25" spans="1:62" ht="85.8" thickBot="1" x14ac:dyDescent="0.3">
      <c r="A25" s="21" t="s">
        <v>6138</v>
      </c>
      <c r="B25" s="22">
        <v>0.01</v>
      </c>
      <c r="C25" s="22">
        <v>14</v>
      </c>
      <c r="D25" s="22">
        <v>13</v>
      </c>
      <c r="E25" s="22">
        <v>11</v>
      </c>
      <c r="F25" s="22">
        <v>10</v>
      </c>
      <c r="H25" s="22">
        <v>24</v>
      </c>
      <c r="I25" s="22" t="s">
        <v>2918</v>
      </c>
      <c r="J25" s="22" t="s">
        <v>2908</v>
      </c>
      <c r="K25" s="22" t="s">
        <v>2908</v>
      </c>
      <c r="L25" s="22" t="s">
        <v>2908</v>
      </c>
      <c r="M25" s="22" t="s">
        <v>2908</v>
      </c>
      <c r="O25" s="39" t="s">
        <v>705</v>
      </c>
      <c r="P25" s="39" t="s">
        <v>2918</v>
      </c>
      <c r="Q25" s="39" t="s">
        <v>2908</v>
      </c>
      <c r="R25" s="39" t="s">
        <v>2908</v>
      </c>
      <c r="S25" s="39" t="s">
        <v>2908</v>
      </c>
      <c r="T25" s="39" t="s">
        <v>2908</v>
      </c>
      <c r="U25" s="44"/>
      <c r="V25" s="44" t="e">
        <f t="shared" si="1"/>
        <v>#N/A</v>
      </c>
      <c r="W25" s="44" t="e">
        <f t="shared" si="2"/>
        <v>#N/A</v>
      </c>
      <c r="X25" s="44" t="e">
        <f t="shared" si="3"/>
        <v>#N/A</v>
      </c>
      <c r="Y25" s="44" t="e">
        <f t="shared" si="4"/>
        <v>#N/A</v>
      </c>
      <c r="Z25" s="44"/>
      <c r="AB25" s="30">
        <v>24</v>
      </c>
      <c r="AC25" s="30" t="s">
        <v>2918</v>
      </c>
      <c r="AD25" s="30">
        <v>259.45999999999998</v>
      </c>
      <c r="AE25" s="30">
        <v>151.27000000000001</v>
      </c>
      <c r="AF25" s="30">
        <v>156.86000000000001</v>
      </c>
      <c r="AG25" s="30">
        <v>243.49</v>
      </c>
      <c r="AH25" s="30">
        <v>142.34</v>
      </c>
      <c r="AI25" s="30">
        <v>135.09</v>
      </c>
      <c r="AJ25" s="22">
        <v>205.34</v>
      </c>
      <c r="AL25" s="30">
        <v>23</v>
      </c>
      <c r="AM25" s="30" t="s">
        <v>2186</v>
      </c>
      <c r="AN25" s="30" t="s">
        <v>6834</v>
      </c>
      <c r="AO25" s="30" t="s">
        <v>6835</v>
      </c>
      <c r="AP25" s="30" t="s">
        <v>6836</v>
      </c>
      <c r="AQ25" s="30" t="s">
        <v>6837</v>
      </c>
      <c r="AR25" s="30" t="s">
        <v>6838</v>
      </c>
      <c r="AS25" s="30" t="s">
        <v>6839</v>
      </c>
      <c r="AT25" s="22" t="s">
        <v>6840</v>
      </c>
      <c r="AX25" s="30">
        <v>23</v>
      </c>
      <c r="AY25" s="30" t="s">
        <v>2186</v>
      </c>
      <c r="AZ25" s="30" t="s">
        <v>7473</v>
      </c>
      <c r="BA25" s="30" t="s">
        <v>7474</v>
      </c>
      <c r="BB25" s="30" t="s">
        <v>7475</v>
      </c>
      <c r="BC25" s="22" t="s">
        <v>7476</v>
      </c>
      <c r="BE25" s="30">
        <v>24</v>
      </c>
      <c r="BF25" s="30" t="s">
        <v>7769</v>
      </c>
      <c r="BG25" s="30">
        <v>156.02000000000001</v>
      </c>
      <c r="BH25" s="30">
        <v>152.91999999999999</v>
      </c>
      <c r="BI25" s="30">
        <v>136.24</v>
      </c>
      <c r="BJ25" s="22">
        <v>134.86000000000001</v>
      </c>
    </row>
    <row r="26" spans="1:62" ht="42" thickBot="1" x14ac:dyDescent="0.3">
      <c r="A26" s="21" t="s">
        <v>2914</v>
      </c>
      <c r="B26" s="22">
        <v>670</v>
      </c>
      <c r="C26" s="22">
        <v>13</v>
      </c>
      <c r="D26" s="22">
        <v>15</v>
      </c>
      <c r="E26" s="22">
        <v>2</v>
      </c>
      <c r="F26" s="22">
        <v>1</v>
      </c>
      <c r="H26" s="22">
        <v>25</v>
      </c>
      <c r="I26" s="22" t="s">
        <v>2179</v>
      </c>
      <c r="J26" s="22">
        <v>1</v>
      </c>
      <c r="K26" s="22">
        <v>1</v>
      </c>
      <c r="L26" s="22" t="s">
        <v>1069</v>
      </c>
      <c r="M26" s="22" t="s">
        <v>1069</v>
      </c>
      <c r="O26" s="39" t="s">
        <v>44</v>
      </c>
      <c r="P26" s="39" t="s">
        <v>2179</v>
      </c>
      <c r="Q26" s="39" t="s">
        <v>8205</v>
      </c>
      <c r="R26" s="39" t="s">
        <v>8206</v>
      </c>
      <c r="S26" s="39" t="s">
        <v>8207</v>
      </c>
      <c r="T26" s="39" t="s">
        <v>8208</v>
      </c>
      <c r="U26" s="44"/>
      <c r="V26" s="44" t="str">
        <f t="shared" si="1"/>
        <v>1332.51</v>
      </c>
      <c r="W26" s="44" t="str">
        <f t="shared" si="2"/>
        <v>1399.32</v>
      </c>
      <c r="X26" s="44" t="str">
        <f t="shared" si="3"/>
        <v>338.15</v>
      </c>
      <c r="Y26" s="44" t="str">
        <f t="shared" si="4"/>
        <v>222.64</v>
      </c>
      <c r="Z26" s="44"/>
      <c r="AB26" s="30">
        <v>25</v>
      </c>
      <c r="AC26" s="30" t="s">
        <v>2179</v>
      </c>
      <c r="AD26" s="30">
        <v>2170.64</v>
      </c>
      <c r="AE26" s="30">
        <v>2944.46</v>
      </c>
      <c r="AF26" s="30">
        <v>2021.28</v>
      </c>
      <c r="AG26" s="30">
        <v>6962.59</v>
      </c>
      <c r="AH26" s="30">
        <v>6427.46</v>
      </c>
      <c r="AI26" s="30">
        <v>3596.26</v>
      </c>
      <c r="AJ26" s="22">
        <v>8783.43</v>
      </c>
      <c r="AL26" s="30">
        <v>24</v>
      </c>
      <c r="AM26" s="30" t="s">
        <v>3430</v>
      </c>
      <c r="AN26" s="30" t="s">
        <v>6841</v>
      </c>
      <c r="AO26" s="30" t="s">
        <v>6842</v>
      </c>
      <c r="AP26" s="30" t="s">
        <v>6843</v>
      </c>
      <c r="AQ26" s="30" t="s">
        <v>6844</v>
      </c>
      <c r="AR26" s="30" t="s">
        <v>6845</v>
      </c>
      <c r="AS26" s="30" t="s">
        <v>6846</v>
      </c>
      <c r="AT26" s="22" t="s">
        <v>6847</v>
      </c>
      <c r="AX26" s="30">
        <v>24</v>
      </c>
      <c r="AY26" s="30" t="s">
        <v>3430</v>
      </c>
      <c r="AZ26" s="30" t="s">
        <v>7477</v>
      </c>
      <c r="BA26" s="30" t="s">
        <v>7478</v>
      </c>
      <c r="BB26" s="30" t="s">
        <v>7479</v>
      </c>
      <c r="BC26" s="22" t="s">
        <v>7480</v>
      </c>
      <c r="BE26" s="30">
        <v>25</v>
      </c>
      <c r="BF26" s="30" t="s">
        <v>2179</v>
      </c>
      <c r="BG26" s="30">
        <v>13504.49</v>
      </c>
      <c r="BH26" s="30">
        <v>25642.45</v>
      </c>
      <c r="BI26" s="30">
        <v>2387.79</v>
      </c>
      <c r="BJ26" s="22">
        <v>4151.3599999999997</v>
      </c>
    </row>
    <row r="27" spans="1:62" ht="42" thickBot="1" x14ac:dyDescent="0.3">
      <c r="A27" s="21" t="s">
        <v>3747</v>
      </c>
      <c r="B27" s="22">
        <v>120</v>
      </c>
      <c r="C27" s="22">
        <v>10</v>
      </c>
      <c r="D27" s="22">
        <v>9</v>
      </c>
      <c r="E27" s="22">
        <v>5</v>
      </c>
      <c r="F27" s="22">
        <v>8</v>
      </c>
      <c r="H27" s="22">
        <v>26</v>
      </c>
      <c r="I27" s="22" t="s">
        <v>2358</v>
      </c>
      <c r="J27" s="22" t="s">
        <v>2908</v>
      </c>
      <c r="K27" s="22" t="s">
        <v>2908</v>
      </c>
      <c r="L27" s="22" t="s">
        <v>2908</v>
      </c>
      <c r="M27" s="22" t="s">
        <v>2908</v>
      </c>
      <c r="O27" s="39" t="s">
        <v>1056</v>
      </c>
      <c r="P27" s="39" t="s">
        <v>2358</v>
      </c>
      <c r="Q27" s="39" t="s">
        <v>8209</v>
      </c>
      <c r="R27" s="39" t="s">
        <v>8210</v>
      </c>
      <c r="S27" s="39" t="s">
        <v>8211</v>
      </c>
      <c r="T27" s="39" t="s">
        <v>8212</v>
      </c>
      <c r="U27" s="44"/>
      <c r="V27" s="44" t="str">
        <f t="shared" si="1"/>
        <v>39.84</v>
      </c>
      <c r="W27" s="44" t="str">
        <f t="shared" si="2"/>
        <v>32.31</v>
      </c>
      <c r="X27" s="44" t="str">
        <f t="shared" si="3"/>
        <v>268.45</v>
      </c>
      <c r="Y27" s="44" t="str">
        <f t="shared" si="4"/>
        <v>276.39</v>
      </c>
      <c r="Z27" s="44"/>
      <c r="AB27" s="30">
        <v>26</v>
      </c>
      <c r="AC27" s="30" t="s">
        <v>2358</v>
      </c>
      <c r="AD27" s="30">
        <v>58.54</v>
      </c>
      <c r="AE27" s="30">
        <v>42.68</v>
      </c>
      <c r="AF27" s="30">
        <v>31.73</v>
      </c>
      <c r="AG27" s="30">
        <v>40.58</v>
      </c>
      <c r="AH27" s="30">
        <v>102.2</v>
      </c>
      <c r="AI27" s="30">
        <v>77.05</v>
      </c>
      <c r="AJ27" s="22">
        <v>72.77</v>
      </c>
      <c r="AL27" s="30">
        <v>25</v>
      </c>
      <c r="AM27" s="30" t="s">
        <v>6848</v>
      </c>
      <c r="AN27" s="30" t="s">
        <v>6849</v>
      </c>
      <c r="AO27" s="30" t="s">
        <v>6850</v>
      </c>
      <c r="AP27" s="30" t="s">
        <v>6851</v>
      </c>
      <c r="AQ27" s="30" t="s">
        <v>6852</v>
      </c>
      <c r="AR27" s="30" t="s">
        <v>6853</v>
      </c>
      <c r="AS27" s="30" t="s">
        <v>6854</v>
      </c>
      <c r="AT27" s="22" t="s">
        <v>6855</v>
      </c>
      <c r="AX27" s="30">
        <v>25</v>
      </c>
      <c r="AY27" s="30" t="s">
        <v>6848</v>
      </c>
      <c r="AZ27" s="30" t="s">
        <v>7481</v>
      </c>
      <c r="BA27" s="30" t="s">
        <v>7482</v>
      </c>
      <c r="BB27" s="30" t="s">
        <v>7483</v>
      </c>
      <c r="BC27" s="22" t="s">
        <v>7484</v>
      </c>
      <c r="BE27" s="30">
        <v>26</v>
      </c>
      <c r="BF27" s="30" t="s">
        <v>2358</v>
      </c>
      <c r="BG27" s="30">
        <v>47.34</v>
      </c>
      <c r="BH27" s="30">
        <v>87.23</v>
      </c>
      <c r="BI27" s="30">
        <v>24.3</v>
      </c>
      <c r="BJ27" s="22">
        <v>67.02</v>
      </c>
    </row>
    <row r="28" spans="1:62" ht="57.6" thickBot="1" x14ac:dyDescent="0.3">
      <c r="A28" s="21" t="s">
        <v>2175</v>
      </c>
      <c r="B28" s="22">
        <v>140</v>
      </c>
      <c r="C28" s="22">
        <v>7</v>
      </c>
      <c r="D28" s="22">
        <v>7</v>
      </c>
      <c r="E28" s="22">
        <v>3</v>
      </c>
      <c r="F28" s="22">
        <v>3</v>
      </c>
      <c r="H28" s="22">
        <v>27</v>
      </c>
      <c r="I28" s="22" t="s">
        <v>4830</v>
      </c>
      <c r="J28" s="22">
        <v>4</v>
      </c>
      <c r="K28" s="22">
        <v>4</v>
      </c>
      <c r="L28" s="22">
        <v>1</v>
      </c>
      <c r="M28" s="22">
        <v>1</v>
      </c>
      <c r="O28" s="39" t="s">
        <v>7863</v>
      </c>
      <c r="P28" s="39" t="s">
        <v>2359</v>
      </c>
      <c r="Q28" s="39" t="s">
        <v>8213</v>
      </c>
      <c r="R28" s="39" t="s">
        <v>8214</v>
      </c>
      <c r="S28" s="39" t="s">
        <v>8215</v>
      </c>
      <c r="T28" s="39" t="s">
        <v>8216</v>
      </c>
      <c r="U28" s="44"/>
      <c r="V28" s="44" t="str">
        <f t="shared" si="1"/>
        <v>110.77</v>
      </c>
      <c r="W28" s="44" t="str">
        <f t="shared" si="2"/>
        <v>102.85</v>
      </c>
      <c r="X28" s="44" t="str">
        <f t="shared" si="3"/>
        <v>41.61</v>
      </c>
      <c r="Y28" s="44" t="str">
        <f t="shared" si="4"/>
        <v>41.45</v>
      </c>
      <c r="Z28" s="44"/>
      <c r="AB28" s="30">
        <v>27</v>
      </c>
      <c r="AC28" s="30" t="s">
        <v>4830</v>
      </c>
      <c r="AD28" s="30">
        <v>148.88</v>
      </c>
      <c r="AE28" s="30">
        <v>114.44</v>
      </c>
      <c r="AF28" s="30">
        <v>117.04</v>
      </c>
      <c r="AG28" s="30">
        <v>101.48</v>
      </c>
      <c r="AH28" s="30">
        <v>121.68</v>
      </c>
      <c r="AI28" s="30">
        <v>112.28</v>
      </c>
      <c r="AJ28" s="22">
        <v>132.49</v>
      </c>
      <c r="AL28" s="30">
        <v>26</v>
      </c>
      <c r="AM28" s="30" t="s">
        <v>2958</v>
      </c>
      <c r="AN28" s="30" t="s">
        <v>6856</v>
      </c>
      <c r="AO28" s="30" t="s">
        <v>6857</v>
      </c>
      <c r="AP28" s="30" t="s">
        <v>6858</v>
      </c>
      <c r="AQ28" s="30" t="s">
        <v>6859</v>
      </c>
      <c r="AR28" s="30" t="s">
        <v>6860</v>
      </c>
      <c r="AS28" s="30" t="s">
        <v>6861</v>
      </c>
      <c r="AT28" s="22" t="s">
        <v>6862</v>
      </c>
      <c r="AX28" s="30">
        <v>26</v>
      </c>
      <c r="AY28" s="30" t="s">
        <v>2958</v>
      </c>
      <c r="AZ28" s="30" t="s">
        <v>7485</v>
      </c>
      <c r="BA28" s="30" t="s">
        <v>7486</v>
      </c>
      <c r="BB28" s="30" t="s">
        <v>7487</v>
      </c>
      <c r="BC28" s="22" t="s">
        <v>7488</v>
      </c>
      <c r="BE28" s="30">
        <v>27</v>
      </c>
      <c r="BF28" s="30" t="s">
        <v>7770</v>
      </c>
      <c r="BG28" s="30">
        <v>108.8</v>
      </c>
      <c r="BH28" s="30">
        <v>121.4</v>
      </c>
      <c r="BI28" s="30">
        <v>70.7</v>
      </c>
      <c r="BJ28" s="22">
        <v>88.95</v>
      </c>
    </row>
    <row r="29" spans="1:62" ht="42" thickBot="1" x14ac:dyDescent="0.3">
      <c r="A29" s="21" t="s">
        <v>2178</v>
      </c>
      <c r="B29" s="22">
        <v>13000</v>
      </c>
      <c r="C29" s="22">
        <v>7</v>
      </c>
      <c r="D29" s="22">
        <v>6</v>
      </c>
      <c r="E29" s="22">
        <v>2</v>
      </c>
      <c r="F29" s="22">
        <v>2</v>
      </c>
      <c r="H29" s="22">
        <v>28</v>
      </c>
      <c r="I29" s="22" t="s">
        <v>2024</v>
      </c>
      <c r="J29" s="22">
        <v>141</v>
      </c>
      <c r="K29" s="22">
        <v>157</v>
      </c>
      <c r="L29" s="22">
        <v>57</v>
      </c>
      <c r="M29" s="22">
        <v>101</v>
      </c>
      <c r="O29" s="39" t="s">
        <v>737</v>
      </c>
      <c r="P29" s="39" t="s">
        <v>2024</v>
      </c>
      <c r="Q29" s="39" t="s">
        <v>8217</v>
      </c>
      <c r="R29" s="39" t="s">
        <v>8218</v>
      </c>
      <c r="S29" s="39" t="s">
        <v>8219</v>
      </c>
      <c r="T29" s="39" t="s">
        <v>8220</v>
      </c>
      <c r="U29" s="44"/>
      <c r="V29" s="44" t="str">
        <f t="shared" si="1"/>
        <v>355.46</v>
      </c>
      <c r="W29" s="44" t="str">
        <f t="shared" si="2"/>
        <v>394.68</v>
      </c>
      <c r="X29" s="44" t="str">
        <f t="shared" si="3"/>
        <v>143.90</v>
      </c>
      <c r="Y29" s="44" t="str">
        <f t="shared" si="4"/>
        <v>254.08</v>
      </c>
      <c r="Z29" s="44"/>
      <c r="AB29" s="30">
        <v>28</v>
      </c>
      <c r="AC29" s="30" t="s">
        <v>2024</v>
      </c>
      <c r="AD29" s="30">
        <v>751.69</v>
      </c>
      <c r="AE29" s="30">
        <v>1102.28</v>
      </c>
      <c r="AF29" s="30">
        <v>460.72</v>
      </c>
      <c r="AG29" s="30">
        <v>801.61</v>
      </c>
      <c r="AH29" s="30">
        <v>973.27</v>
      </c>
      <c r="AI29" s="30">
        <v>789.59</v>
      </c>
      <c r="AJ29" s="22">
        <v>888.99</v>
      </c>
      <c r="AL29" s="30">
        <v>27</v>
      </c>
      <c r="AM29" s="30" t="s">
        <v>3434</v>
      </c>
      <c r="AN29" s="30" t="s">
        <v>6863</v>
      </c>
      <c r="AO29" s="30" t="s">
        <v>6864</v>
      </c>
      <c r="AP29" s="30" t="s">
        <v>6865</v>
      </c>
      <c r="AQ29" s="30" t="s">
        <v>6866</v>
      </c>
      <c r="AR29" s="30" t="s">
        <v>6867</v>
      </c>
      <c r="AS29" s="30" t="s">
        <v>6868</v>
      </c>
      <c r="AT29" s="22" t="s">
        <v>6869</v>
      </c>
      <c r="AX29" s="30">
        <v>27</v>
      </c>
      <c r="AY29" s="30" t="s">
        <v>3434</v>
      </c>
      <c r="AZ29" s="30" t="s">
        <v>7489</v>
      </c>
      <c r="BA29" s="30" t="s">
        <v>7490</v>
      </c>
      <c r="BB29" s="30" t="s">
        <v>7491</v>
      </c>
      <c r="BC29" s="22" t="s">
        <v>7492</v>
      </c>
      <c r="BE29" s="30">
        <v>28</v>
      </c>
      <c r="BF29" s="30" t="s">
        <v>2024</v>
      </c>
      <c r="BG29" s="30">
        <v>922.73</v>
      </c>
      <c r="BH29" s="30">
        <v>850.5</v>
      </c>
      <c r="BI29" s="30">
        <v>693.56</v>
      </c>
      <c r="BJ29" s="22">
        <v>556.95000000000005</v>
      </c>
    </row>
    <row r="30" spans="1:62" ht="97.2" thickBot="1" x14ac:dyDescent="0.3">
      <c r="A30" s="21" t="s">
        <v>3439</v>
      </c>
      <c r="B30" s="22">
        <v>90</v>
      </c>
      <c r="C30" s="22">
        <v>6</v>
      </c>
      <c r="D30" s="22">
        <v>5</v>
      </c>
      <c r="E30" s="22">
        <v>3</v>
      </c>
      <c r="F30" s="22">
        <v>2</v>
      </c>
      <c r="H30" s="22">
        <v>29</v>
      </c>
      <c r="I30" s="22" t="s">
        <v>5178</v>
      </c>
      <c r="J30" s="22">
        <v>4</v>
      </c>
      <c r="K30" s="22">
        <v>5</v>
      </c>
      <c r="L30" s="22">
        <v>1</v>
      </c>
      <c r="M30" s="22">
        <v>1</v>
      </c>
      <c r="O30" s="39" t="s">
        <v>7864</v>
      </c>
      <c r="P30" s="39" t="s">
        <v>2892</v>
      </c>
      <c r="Q30" s="39" t="s">
        <v>8221</v>
      </c>
      <c r="R30" s="39" t="s">
        <v>8222</v>
      </c>
      <c r="S30" s="39" t="s">
        <v>8223</v>
      </c>
      <c r="T30" s="39" t="s">
        <v>8224</v>
      </c>
      <c r="U30" s="44"/>
      <c r="V30" s="44" t="str">
        <f t="shared" si="1"/>
        <v>6.47</v>
      </c>
      <c r="W30" s="44" t="str">
        <f t="shared" si="2"/>
        <v>8.17</v>
      </c>
      <c r="X30" s="44" t="str">
        <f t="shared" si="3"/>
        <v>1.86</v>
      </c>
      <c r="Y30" s="44" t="str">
        <f t="shared" si="4"/>
        <v>2.00</v>
      </c>
      <c r="Z30" s="44"/>
      <c r="AB30" s="30">
        <v>29</v>
      </c>
      <c r="AC30" s="30" t="s">
        <v>5178</v>
      </c>
      <c r="AD30" s="30">
        <v>15.89</v>
      </c>
      <c r="AE30" s="30">
        <v>17.260000000000002</v>
      </c>
      <c r="AF30" s="30">
        <v>7.6</v>
      </c>
      <c r="AG30" s="30">
        <v>15</v>
      </c>
      <c r="AH30" s="30">
        <v>15.67</v>
      </c>
      <c r="AI30" s="30">
        <v>38.42</v>
      </c>
      <c r="AJ30" s="22">
        <v>57.22</v>
      </c>
      <c r="AL30" s="30">
        <v>28</v>
      </c>
      <c r="AM30" s="30" t="s">
        <v>4969</v>
      </c>
      <c r="AN30" s="30" t="s">
        <v>6870</v>
      </c>
      <c r="AO30" s="30" t="s">
        <v>6871</v>
      </c>
      <c r="AP30" s="30" t="s">
        <v>6872</v>
      </c>
      <c r="AQ30" s="30" t="s">
        <v>6873</v>
      </c>
      <c r="AR30" s="30" t="s">
        <v>6874</v>
      </c>
      <c r="AS30" s="30" t="s">
        <v>6875</v>
      </c>
      <c r="AT30" s="22" t="s">
        <v>6876</v>
      </c>
      <c r="AX30" s="30">
        <v>28</v>
      </c>
      <c r="AY30" s="30" t="s">
        <v>4969</v>
      </c>
      <c r="AZ30" s="30" t="s">
        <v>7493</v>
      </c>
      <c r="BA30" s="30" t="s">
        <v>7494</v>
      </c>
      <c r="BB30" s="30" t="s">
        <v>7495</v>
      </c>
      <c r="BC30" s="22" t="s">
        <v>7496</v>
      </c>
      <c r="BE30" s="30">
        <v>29</v>
      </c>
      <c r="BF30" s="30" t="s">
        <v>7771</v>
      </c>
      <c r="BG30" s="30">
        <v>31.28</v>
      </c>
      <c r="BH30" s="30">
        <v>8.16</v>
      </c>
      <c r="BI30" s="30">
        <v>8.6199999999999992</v>
      </c>
      <c r="BJ30" s="22">
        <v>5.55</v>
      </c>
    </row>
    <row r="31" spans="1:62" ht="28.2" thickBot="1" x14ac:dyDescent="0.3">
      <c r="A31" s="21" t="s">
        <v>6139</v>
      </c>
      <c r="B31" s="22">
        <v>120</v>
      </c>
      <c r="C31" s="22">
        <v>6</v>
      </c>
      <c r="D31" s="22">
        <v>3</v>
      </c>
      <c r="E31" s="22">
        <v>3</v>
      </c>
      <c r="F31" s="22">
        <v>3</v>
      </c>
      <c r="H31" s="22">
        <v>30</v>
      </c>
      <c r="I31" s="22" t="s">
        <v>2021</v>
      </c>
      <c r="J31" s="22">
        <v>109</v>
      </c>
      <c r="K31" s="22">
        <v>114</v>
      </c>
      <c r="L31" s="22">
        <v>94</v>
      </c>
      <c r="M31" s="22">
        <v>99</v>
      </c>
      <c r="O31" s="39" t="s">
        <v>717</v>
      </c>
      <c r="P31" s="39" t="s">
        <v>2021</v>
      </c>
      <c r="Q31" s="39" t="s">
        <v>8225</v>
      </c>
      <c r="R31" s="39" t="s">
        <v>8226</v>
      </c>
      <c r="S31" s="39" t="s">
        <v>8227</v>
      </c>
      <c r="T31" s="39" t="s">
        <v>8228</v>
      </c>
      <c r="U31" s="44"/>
      <c r="V31" s="44" t="str">
        <f t="shared" si="1"/>
        <v>42.40</v>
      </c>
      <c r="W31" s="44" t="str">
        <f t="shared" si="2"/>
        <v>44.37</v>
      </c>
      <c r="X31" s="44" t="str">
        <f t="shared" si="3"/>
        <v>36.69</v>
      </c>
      <c r="Y31" s="44" t="str">
        <f t="shared" si="4"/>
        <v>38.63</v>
      </c>
      <c r="Z31" s="44"/>
      <c r="AB31" s="30">
        <v>30</v>
      </c>
      <c r="AC31" s="30" t="s">
        <v>2021</v>
      </c>
      <c r="AD31" s="30">
        <v>71.22</v>
      </c>
      <c r="AE31" s="30">
        <v>77.569999999999993</v>
      </c>
      <c r="AF31" s="30">
        <v>49.05</v>
      </c>
      <c r="AG31" s="30">
        <v>67.959999999999994</v>
      </c>
      <c r="AH31" s="30">
        <v>68.83</v>
      </c>
      <c r="AI31" s="30">
        <v>60.54</v>
      </c>
      <c r="AJ31" s="22">
        <v>65.52</v>
      </c>
      <c r="AL31" s="29" t="s">
        <v>4496</v>
      </c>
      <c r="AM31" s="30"/>
      <c r="AN31" s="30"/>
      <c r="AO31" s="30"/>
      <c r="AP31" s="30"/>
      <c r="AQ31" s="30"/>
      <c r="AR31" s="30"/>
      <c r="AS31" s="30"/>
      <c r="AT31" s="22"/>
      <c r="AX31" s="29" t="s">
        <v>4496</v>
      </c>
      <c r="AY31" s="30"/>
      <c r="AZ31" s="30"/>
      <c r="BA31" s="30"/>
      <c r="BB31" s="30"/>
      <c r="BC31" s="22"/>
      <c r="BE31" s="30">
        <v>30</v>
      </c>
      <c r="BF31" s="30" t="s">
        <v>2021</v>
      </c>
      <c r="BG31" s="30">
        <v>67.25</v>
      </c>
      <c r="BH31" s="30">
        <v>59.32</v>
      </c>
      <c r="BI31" s="30">
        <v>59.78</v>
      </c>
      <c r="BJ31" s="22">
        <v>52.85</v>
      </c>
    </row>
    <row r="32" spans="1:62" ht="42" thickBot="1" x14ac:dyDescent="0.3">
      <c r="A32" s="21" t="s">
        <v>3641</v>
      </c>
      <c r="B32" s="22">
        <v>1000</v>
      </c>
      <c r="C32" s="22">
        <v>5</v>
      </c>
      <c r="D32" s="22">
        <v>5</v>
      </c>
      <c r="E32" s="22">
        <v>1</v>
      </c>
      <c r="F32" s="22">
        <v>2</v>
      </c>
      <c r="H32" s="22">
        <v>31</v>
      </c>
      <c r="I32" s="22" t="s">
        <v>2174</v>
      </c>
      <c r="J32" s="22">
        <v>3</v>
      </c>
      <c r="K32" s="22">
        <v>3</v>
      </c>
      <c r="L32" s="22" t="s">
        <v>1069</v>
      </c>
      <c r="M32" s="22" t="s">
        <v>1069</v>
      </c>
      <c r="O32" s="39" t="s">
        <v>1034</v>
      </c>
      <c r="P32" s="39" t="s">
        <v>2174</v>
      </c>
      <c r="Q32" s="39" t="s">
        <v>8229</v>
      </c>
      <c r="R32" s="39" t="s">
        <v>8230</v>
      </c>
      <c r="S32" s="39" t="s">
        <v>8231</v>
      </c>
      <c r="T32" s="39" t="s">
        <v>8232</v>
      </c>
      <c r="U32" s="44"/>
      <c r="V32" s="44" t="str">
        <f t="shared" si="1"/>
        <v>8234.64</v>
      </c>
      <c r="W32" s="44" t="str">
        <f t="shared" si="2"/>
        <v>8722.58</v>
      </c>
      <c r="X32" s="44" t="str">
        <f t="shared" si="3"/>
        <v>2038.39</v>
      </c>
      <c r="Y32" s="44" t="str">
        <f t="shared" si="4"/>
        <v>2138.86</v>
      </c>
      <c r="Z32" s="44"/>
      <c r="AB32" s="30">
        <v>31</v>
      </c>
      <c r="AC32" s="30" t="s">
        <v>2174</v>
      </c>
      <c r="AD32" s="30">
        <v>9825.64</v>
      </c>
      <c r="AE32" s="30">
        <v>40201.1</v>
      </c>
      <c r="AF32" s="30">
        <v>14804.59</v>
      </c>
      <c r="AG32" s="30">
        <v>20191.71</v>
      </c>
      <c r="AH32" s="30">
        <v>15555.47</v>
      </c>
      <c r="AI32" s="30">
        <v>17052.25</v>
      </c>
      <c r="AJ32" s="22">
        <v>13331.4</v>
      </c>
      <c r="AL32" s="30">
        <v>29</v>
      </c>
      <c r="AM32" s="30" t="s">
        <v>2320</v>
      </c>
      <c r="AN32" s="30" t="s">
        <v>6877</v>
      </c>
      <c r="AO32" s="30" t="s">
        <v>6878</v>
      </c>
      <c r="AP32" s="30" t="s">
        <v>6879</v>
      </c>
      <c r="AQ32" s="30" t="s">
        <v>6880</v>
      </c>
      <c r="AR32" s="30" t="s">
        <v>6881</v>
      </c>
      <c r="AS32" s="30" t="s">
        <v>6882</v>
      </c>
      <c r="AT32" s="22" t="s">
        <v>6883</v>
      </c>
      <c r="AX32" s="30">
        <v>29</v>
      </c>
      <c r="AY32" s="30" t="s">
        <v>2320</v>
      </c>
      <c r="AZ32" s="30" t="s">
        <v>7497</v>
      </c>
      <c r="BA32" s="30" t="s">
        <v>7498</v>
      </c>
      <c r="BB32" s="30" t="s">
        <v>7499</v>
      </c>
      <c r="BC32" s="22" t="s">
        <v>7500</v>
      </c>
      <c r="BE32" s="30">
        <v>31</v>
      </c>
      <c r="BF32" s="30" t="s">
        <v>2174</v>
      </c>
      <c r="BG32" s="30">
        <v>25556.93</v>
      </c>
      <c r="BH32" s="30">
        <v>23109.01</v>
      </c>
      <c r="BI32" s="30">
        <v>19137.22</v>
      </c>
      <c r="BJ32" s="22">
        <v>10704.27</v>
      </c>
    </row>
    <row r="33" spans="1:62" ht="42" thickBot="1" x14ac:dyDescent="0.3">
      <c r="A33" s="21" t="s">
        <v>3595</v>
      </c>
      <c r="B33" s="22">
        <v>13</v>
      </c>
      <c r="C33" s="22">
        <v>5</v>
      </c>
      <c r="D33" s="22">
        <v>4</v>
      </c>
      <c r="E33" s="22" t="s">
        <v>834</v>
      </c>
      <c r="F33" s="22" t="s">
        <v>834</v>
      </c>
      <c r="H33" s="22">
        <v>32</v>
      </c>
      <c r="I33" s="22" t="s">
        <v>2180</v>
      </c>
      <c r="J33" s="22">
        <v>1</v>
      </c>
      <c r="K33" s="22">
        <v>1</v>
      </c>
      <c r="L33" s="22" t="s">
        <v>1069</v>
      </c>
      <c r="M33" s="22" t="s">
        <v>1069</v>
      </c>
      <c r="O33" s="39" t="s">
        <v>1265</v>
      </c>
      <c r="P33" s="39" t="s">
        <v>2180</v>
      </c>
      <c r="Q33" s="39" t="s">
        <v>8233</v>
      </c>
      <c r="R33" s="39" t="s">
        <v>8234</v>
      </c>
      <c r="S33" s="39" t="s">
        <v>8235</v>
      </c>
      <c r="T33" s="39" t="s">
        <v>8236</v>
      </c>
      <c r="U33" s="44"/>
      <c r="V33" s="44" t="str">
        <f t="shared" si="1"/>
        <v>13.98</v>
      </c>
      <c r="W33" s="44" t="str">
        <f t="shared" si="2"/>
        <v>14.14</v>
      </c>
      <c r="X33" s="44" t="str">
        <f t="shared" si="3"/>
        <v>11.03</v>
      </c>
      <c r="Y33" s="44" t="str">
        <f t="shared" si="4"/>
        <v>11.55</v>
      </c>
      <c r="Z33" s="44"/>
      <c r="AB33" s="30">
        <v>32</v>
      </c>
      <c r="AC33" s="30" t="s">
        <v>2180</v>
      </c>
      <c r="AD33" s="30">
        <v>19.7</v>
      </c>
      <c r="AE33" s="30">
        <v>31.08</v>
      </c>
      <c r="AF33" s="30">
        <v>19.96</v>
      </c>
      <c r="AG33" s="30">
        <v>28.2</v>
      </c>
      <c r="AH33" s="30">
        <v>24.94</v>
      </c>
      <c r="AI33" s="30">
        <v>24.71</v>
      </c>
      <c r="AJ33" s="22">
        <v>21.92</v>
      </c>
      <c r="AL33" s="30">
        <v>30</v>
      </c>
      <c r="AM33" s="30" t="s">
        <v>6884</v>
      </c>
      <c r="AN33" s="30" t="s">
        <v>6885</v>
      </c>
      <c r="AO33" s="30" t="s">
        <v>6886</v>
      </c>
      <c r="AP33" s="30" t="s">
        <v>6887</v>
      </c>
      <c r="AQ33" s="30" t="s">
        <v>6888</v>
      </c>
      <c r="AR33" s="30" t="s">
        <v>6889</v>
      </c>
      <c r="AS33" s="30" t="s">
        <v>6890</v>
      </c>
      <c r="AT33" s="22" t="s">
        <v>6891</v>
      </c>
      <c r="AX33" s="30">
        <v>30</v>
      </c>
      <c r="AY33" s="30" t="s">
        <v>6884</v>
      </c>
      <c r="AZ33" s="30" t="s">
        <v>7501</v>
      </c>
      <c r="BA33" s="30" t="s">
        <v>7502</v>
      </c>
      <c r="BB33" s="30" t="s">
        <v>7503</v>
      </c>
      <c r="BC33" s="22" t="s">
        <v>7504</v>
      </c>
      <c r="BE33" s="30">
        <v>32</v>
      </c>
      <c r="BF33" s="30" t="s">
        <v>2180</v>
      </c>
      <c r="BG33" s="30">
        <v>19.7</v>
      </c>
      <c r="BH33" s="30">
        <v>22.37</v>
      </c>
      <c r="BI33" s="30">
        <v>20.38</v>
      </c>
      <c r="BJ33" s="22">
        <v>17.73</v>
      </c>
    </row>
    <row r="34" spans="1:62" ht="28.2" thickBot="1" x14ac:dyDescent="0.3">
      <c r="A34" s="21" t="s">
        <v>5050</v>
      </c>
      <c r="B34" s="22">
        <v>1500</v>
      </c>
      <c r="C34" s="22">
        <v>4</v>
      </c>
      <c r="D34" s="22">
        <v>5</v>
      </c>
      <c r="E34" s="22">
        <v>1</v>
      </c>
      <c r="F34" s="22">
        <v>1</v>
      </c>
      <c r="H34" s="22">
        <v>33</v>
      </c>
      <c r="I34" s="22" t="s">
        <v>2020</v>
      </c>
      <c r="J34" s="22">
        <v>84</v>
      </c>
      <c r="K34" s="22">
        <v>100</v>
      </c>
      <c r="L34" s="22">
        <v>27</v>
      </c>
      <c r="M34" s="22">
        <v>33</v>
      </c>
      <c r="O34" s="39" t="s">
        <v>713</v>
      </c>
      <c r="P34" s="39" t="s">
        <v>2020</v>
      </c>
      <c r="Q34" s="39" t="s">
        <v>8237</v>
      </c>
      <c r="R34" s="39" t="s">
        <v>8238</v>
      </c>
      <c r="S34" s="39" t="s">
        <v>8239</v>
      </c>
      <c r="T34" s="39" t="s">
        <v>8240</v>
      </c>
      <c r="U34" s="44"/>
      <c r="V34" s="44" t="str">
        <f t="shared" si="1"/>
        <v>81.34</v>
      </c>
      <c r="W34" s="44" t="str">
        <f t="shared" si="2"/>
        <v>96.33</v>
      </c>
      <c r="X34" s="44" t="str">
        <f t="shared" si="3"/>
        <v>26.02</v>
      </c>
      <c r="Y34" s="44" t="str">
        <f t="shared" si="4"/>
        <v>31.97</v>
      </c>
      <c r="Z34" s="44"/>
      <c r="AB34" s="30">
        <v>33</v>
      </c>
      <c r="AC34" s="30" t="s">
        <v>2020</v>
      </c>
      <c r="AD34" s="30">
        <v>253.91</v>
      </c>
      <c r="AE34" s="30">
        <v>233.1</v>
      </c>
      <c r="AF34" s="30">
        <v>102.04</v>
      </c>
      <c r="AG34" s="30">
        <v>177.22</v>
      </c>
      <c r="AH34" s="30">
        <v>190.29</v>
      </c>
      <c r="AI34" s="30">
        <v>98.73</v>
      </c>
      <c r="AJ34" s="22">
        <v>173.37</v>
      </c>
      <c r="AL34" s="30">
        <v>31</v>
      </c>
      <c r="AM34" s="30" t="s">
        <v>6136</v>
      </c>
      <c r="AN34" s="30" t="s">
        <v>6892</v>
      </c>
      <c r="AO34" s="30" t="s">
        <v>6893</v>
      </c>
      <c r="AP34" s="30" t="s">
        <v>6894</v>
      </c>
      <c r="AQ34" s="30" t="s">
        <v>6895</v>
      </c>
      <c r="AR34" s="30" t="s">
        <v>6896</v>
      </c>
      <c r="AS34" s="30" t="s">
        <v>6897</v>
      </c>
      <c r="AT34" s="22" t="s">
        <v>6898</v>
      </c>
      <c r="AX34" s="30">
        <v>31</v>
      </c>
      <c r="AY34" s="30" t="s">
        <v>6136</v>
      </c>
      <c r="AZ34" s="30" t="s">
        <v>7505</v>
      </c>
      <c r="BA34" s="30" t="s">
        <v>7506</v>
      </c>
      <c r="BB34" s="30" t="s">
        <v>7507</v>
      </c>
      <c r="BC34" s="22" t="s">
        <v>7508</v>
      </c>
      <c r="BE34" s="30">
        <v>33</v>
      </c>
      <c r="BF34" s="30" t="s">
        <v>2020</v>
      </c>
      <c r="BG34" s="30">
        <v>176.06</v>
      </c>
      <c r="BH34" s="30">
        <v>136.43</v>
      </c>
      <c r="BI34" s="30">
        <v>139.38999999999999</v>
      </c>
      <c r="BJ34" s="22">
        <v>78.349999999999994</v>
      </c>
    </row>
    <row r="35" spans="1:62" ht="28.2" thickBot="1" x14ac:dyDescent="0.3">
      <c r="A35" s="21" t="s">
        <v>3655</v>
      </c>
      <c r="B35" s="22">
        <v>28000</v>
      </c>
      <c r="C35" s="22">
        <v>4</v>
      </c>
      <c r="D35" s="22">
        <v>4</v>
      </c>
      <c r="E35" s="22">
        <v>1</v>
      </c>
      <c r="F35" s="22">
        <v>1</v>
      </c>
      <c r="H35" s="22">
        <v>34</v>
      </c>
      <c r="I35" s="22" t="s">
        <v>2177</v>
      </c>
      <c r="J35" s="22">
        <v>1</v>
      </c>
      <c r="K35" s="22">
        <v>1</v>
      </c>
      <c r="L35" s="22">
        <v>1</v>
      </c>
      <c r="M35" s="22">
        <v>1</v>
      </c>
      <c r="O35" s="39" t="s">
        <v>1029</v>
      </c>
      <c r="P35" s="39" t="s">
        <v>2177</v>
      </c>
      <c r="Q35" s="39" t="s">
        <v>8241</v>
      </c>
      <c r="R35" s="39" t="s">
        <v>8242</v>
      </c>
      <c r="S35" s="39" t="s">
        <v>8243</v>
      </c>
      <c r="T35" s="39" t="s">
        <v>8244</v>
      </c>
      <c r="U35" s="44"/>
      <c r="V35" s="44" t="str">
        <f t="shared" si="1"/>
        <v>148.75</v>
      </c>
      <c r="W35" s="44" t="str">
        <f t="shared" si="2"/>
        <v>176.44</v>
      </c>
      <c r="X35" s="44" t="str">
        <f t="shared" si="3"/>
        <v>152.84</v>
      </c>
      <c r="Y35" s="44" t="str">
        <f t="shared" si="4"/>
        <v>164.64</v>
      </c>
      <c r="Z35" s="44"/>
      <c r="AB35" s="30">
        <v>34</v>
      </c>
      <c r="AC35" s="30" t="s">
        <v>2177</v>
      </c>
      <c r="AD35" s="30">
        <v>217.42</v>
      </c>
      <c r="AE35" s="30">
        <v>518.74</v>
      </c>
      <c r="AF35" s="30">
        <v>198.14</v>
      </c>
      <c r="AG35" s="30">
        <v>286.23</v>
      </c>
      <c r="AH35" s="30">
        <v>432.38</v>
      </c>
      <c r="AI35" s="30">
        <v>648.34</v>
      </c>
      <c r="AJ35" s="22">
        <v>431.9</v>
      </c>
      <c r="AL35" s="30">
        <v>32</v>
      </c>
      <c r="AM35" s="30" t="s">
        <v>2956</v>
      </c>
      <c r="AN35" s="30" t="s">
        <v>6899</v>
      </c>
      <c r="AO35" s="30" t="s">
        <v>6900</v>
      </c>
      <c r="AP35" s="30" t="s">
        <v>6901</v>
      </c>
      <c r="AQ35" s="30" t="s">
        <v>6902</v>
      </c>
      <c r="AR35" s="30" t="s">
        <v>6903</v>
      </c>
      <c r="AS35" s="30" t="s">
        <v>6904</v>
      </c>
      <c r="AT35" s="22" t="s">
        <v>6905</v>
      </c>
      <c r="AX35" s="30">
        <v>32</v>
      </c>
      <c r="AY35" s="30" t="s">
        <v>2956</v>
      </c>
      <c r="AZ35" s="30" t="s">
        <v>7509</v>
      </c>
      <c r="BA35" s="30" t="s">
        <v>7510</v>
      </c>
      <c r="BB35" s="30" t="s">
        <v>7511</v>
      </c>
      <c r="BC35" s="22" t="s">
        <v>7512</v>
      </c>
      <c r="BE35" s="30">
        <v>34</v>
      </c>
      <c r="BF35" s="30" t="s">
        <v>2177</v>
      </c>
      <c r="BG35" s="30">
        <v>827.58</v>
      </c>
      <c r="BH35" s="30">
        <v>498.85</v>
      </c>
      <c r="BI35" s="30">
        <v>616.34</v>
      </c>
      <c r="BJ35" s="22">
        <v>321.92</v>
      </c>
    </row>
    <row r="36" spans="1:62" ht="55.8" thickBot="1" x14ac:dyDescent="0.3">
      <c r="A36" s="21" t="s">
        <v>2916</v>
      </c>
      <c r="B36" s="22">
        <v>5000</v>
      </c>
      <c r="C36" s="22">
        <v>4</v>
      </c>
      <c r="D36" s="22">
        <v>4</v>
      </c>
      <c r="E36" s="22">
        <v>1</v>
      </c>
      <c r="F36" s="22">
        <v>1</v>
      </c>
      <c r="H36" s="22">
        <v>35</v>
      </c>
      <c r="I36" s="22" t="s">
        <v>2175</v>
      </c>
      <c r="J36" s="22">
        <v>7</v>
      </c>
      <c r="K36" s="22">
        <v>7</v>
      </c>
      <c r="L36" s="22">
        <v>3</v>
      </c>
      <c r="M36" s="22">
        <v>3</v>
      </c>
      <c r="O36" s="39" t="s">
        <v>843</v>
      </c>
      <c r="P36" s="39" t="s">
        <v>2175</v>
      </c>
      <c r="Q36" s="39" t="s">
        <v>8245</v>
      </c>
      <c r="R36" s="39" t="s">
        <v>8246</v>
      </c>
      <c r="S36" s="39" t="s">
        <v>8247</v>
      </c>
      <c r="T36" s="39" t="s">
        <v>8248</v>
      </c>
      <c r="U36" s="44"/>
      <c r="V36" s="44" t="str">
        <f t="shared" si="1"/>
        <v>942.05</v>
      </c>
      <c r="W36" s="44" t="str">
        <f t="shared" si="2"/>
        <v>996.42</v>
      </c>
      <c r="X36" s="44" t="str">
        <f t="shared" si="3"/>
        <v>458.77</v>
      </c>
      <c r="Y36" s="44" t="str">
        <f t="shared" si="4"/>
        <v>454.62</v>
      </c>
      <c r="Z36" s="44"/>
      <c r="AB36" s="30">
        <v>35</v>
      </c>
      <c r="AC36" s="30" t="s">
        <v>2175</v>
      </c>
      <c r="AD36" s="30">
        <v>1399.91</v>
      </c>
      <c r="AE36" s="30">
        <v>4104.59</v>
      </c>
      <c r="AF36" s="30">
        <v>785.43</v>
      </c>
      <c r="AG36" s="30">
        <v>2233.91</v>
      </c>
      <c r="AH36" s="30">
        <v>1489.7</v>
      </c>
      <c r="AI36" s="30">
        <v>1215.3499999999999</v>
      </c>
      <c r="AJ36" s="22">
        <v>1091.3599999999999</v>
      </c>
      <c r="AL36" s="30">
        <v>33</v>
      </c>
      <c r="AM36" s="30" t="s">
        <v>2331</v>
      </c>
      <c r="AN36" s="30" t="s">
        <v>6906</v>
      </c>
      <c r="AO36" s="30" t="s">
        <v>6907</v>
      </c>
      <c r="AP36" s="30" t="s">
        <v>6908</v>
      </c>
      <c r="AQ36" s="30" t="s">
        <v>6909</v>
      </c>
      <c r="AR36" s="30" t="s">
        <v>6910</v>
      </c>
      <c r="AS36" s="30" t="s">
        <v>6911</v>
      </c>
      <c r="AT36" s="22" t="s">
        <v>6912</v>
      </c>
      <c r="AX36" s="30">
        <v>33</v>
      </c>
      <c r="AY36" s="30" t="s">
        <v>2331</v>
      </c>
      <c r="AZ36" s="30" t="s">
        <v>7513</v>
      </c>
      <c r="BA36" s="30" t="s">
        <v>7514</v>
      </c>
      <c r="BB36" s="30" t="s">
        <v>7515</v>
      </c>
      <c r="BC36" s="22" t="s">
        <v>7516</v>
      </c>
      <c r="BE36" s="30">
        <v>35</v>
      </c>
      <c r="BF36" s="30" t="s">
        <v>2175</v>
      </c>
      <c r="BG36" s="30">
        <v>1683.48</v>
      </c>
      <c r="BH36" s="30">
        <v>1030.82</v>
      </c>
      <c r="BI36" s="30">
        <v>900.59</v>
      </c>
      <c r="BJ36" s="22">
        <v>826.75</v>
      </c>
    </row>
    <row r="37" spans="1:62" ht="57.6" thickBot="1" x14ac:dyDescent="0.3">
      <c r="A37" s="21" t="s">
        <v>3417</v>
      </c>
      <c r="B37" s="22">
        <v>5</v>
      </c>
      <c r="C37" s="22">
        <v>4</v>
      </c>
      <c r="D37" s="22">
        <v>3</v>
      </c>
      <c r="E37" s="22">
        <v>2</v>
      </c>
      <c r="F37" s="22">
        <v>1</v>
      </c>
      <c r="H37" s="22">
        <v>36</v>
      </c>
      <c r="I37" s="22" t="s">
        <v>5176</v>
      </c>
      <c r="J37" s="22">
        <v>5</v>
      </c>
      <c r="K37" s="22">
        <v>5</v>
      </c>
      <c r="L37" s="22">
        <v>1</v>
      </c>
      <c r="M37" s="22">
        <v>2</v>
      </c>
      <c r="O37" s="39" t="s">
        <v>761</v>
      </c>
      <c r="P37" s="39" t="s">
        <v>2919</v>
      </c>
      <c r="Q37" s="39" t="s">
        <v>8249</v>
      </c>
      <c r="R37" s="39" t="s">
        <v>8250</v>
      </c>
      <c r="S37" s="39" t="s">
        <v>8251</v>
      </c>
      <c r="T37" s="39" t="s">
        <v>8252</v>
      </c>
      <c r="U37" s="44"/>
      <c r="V37" s="44" t="str">
        <f t="shared" si="1"/>
        <v>5.08</v>
      </c>
      <c r="W37" s="44" t="str">
        <f t="shared" si="2"/>
        <v>5.51</v>
      </c>
      <c r="X37" s="44" t="str">
        <f t="shared" si="3"/>
        <v>1.37</v>
      </c>
      <c r="Y37" s="44" t="str">
        <f t="shared" si="4"/>
        <v>1.60</v>
      </c>
      <c r="Z37" s="44"/>
      <c r="AB37" s="30">
        <v>36</v>
      </c>
      <c r="AC37" s="30" t="s">
        <v>5176</v>
      </c>
      <c r="AD37" s="30">
        <v>9.52</v>
      </c>
      <c r="AE37" s="30">
        <v>13.17</v>
      </c>
      <c r="AF37" s="30">
        <v>4.93</v>
      </c>
      <c r="AG37" s="30">
        <v>12.71</v>
      </c>
      <c r="AH37" s="30">
        <v>12.74</v>
      </c>
      <c r="AI37" s="30">
        <v>11.83</v>
      </c>
      <c r="AJ37" s="22">
        <v>11.47</v>
      </c>
      <c r="AL37" s="30">
        <v>34</v>
      </c>
      <c r="AM37" s="30" t="s">
        <v>3405</v>
      </c>
      <c r="AN37" s="30" t="s">
        <v>6913</v>
      </c>
      <c r="AO37" s="30" t="s">
        <v>6914</v>
      </c>
      <c r="AP37" s="30" t="s">
        <v>6915</v>
      </c>
      <c r="AQ37" s="30" t="s">
        <v>6916</v>
      </c>
      <c r="AR37" s="30" t="s">
        <v>6917</v>
      </c>
      <c r="AS37" s="30" t="s">
        <v>6918</v>
      </c>
      <c r="AT37" s="22" t="s">
        <v>6919</v>
      </c>
      <c r="AX37" s="30">
        <v>34</v>
      </c>
      <c r="AY37" s="30" t="s">
        <v>3405</v>
      </c>
      <c r="AZ37" s="30" t="s">
        <v>7517</v>
      </c>
      <c r="BA37" s="30" t="s">
        <v>7518</v>
      </c>
      <c r="BB37" s="30" t="s">
        <v>7519</v>
      </c>
      <c r="BC37" s="22" t="s">
        <v>7520</v>
      </c>
      <c r="BE37" s="30">
        <v>36</v>
      </c>
      <c r="BF37" s="30" t="s">
        <v>7772</v>
      </c>
      <c r="BG37" s="30">
        <v>14.54</v>
      </c>
      <c r="BH37" s="30">
        <v>5.17</v>
      </c>
      <c r="BI37" s="30">
        <v>4.8</v>
      </c>
      <c r="BJ37" s="22">
        <v>4.8</v>
      </c>
    </row>
    <row r="38" spans="1:62" ht="42" thickBot="1" x14ac:dyDescent="0.3">
      <c r="A38" s="21" t="s">
        <v>2174</v>
      </c>
      <c r="B38" s="22">
        <v>2700</v>
      </c>
      <c r="C38" s="22">
        <v>3</v>
      </c>
      <c r="D38" s="22">
        <v>3</v>
      </c>
      <c r="E38" s="22" t="s">
        <v>834</v>
      </c>
      <c r="F38" s="22" t="s">
        <v>834</v>
      </c>
      <c r="H38" s="22">
        <v>37</v>
      </c>
      <c r="I38" s="22" t="s">
        <v>2920</v>
      </c>
      <c r="J38" s="22" t="s">
        <v>2908</v>
      </c>
      <c r="K38" s="22" t="s">
        <v>2908</v>
      </c>
      <c r="L38" s="22" t="s">
        <v>2908</v>
      </c>
      <c r="M38" s="22" t="s">
        <v>2908</v>
      </c>
      <c r="O38" s="39" t="s">
        <v>753</v>
      </c>
      <c r="P38" s="39" t="s">
        <v>2920</v>
      </c>
      <c r="Q38" s="39" t="s">
        <v>8253</v>
      </c>
      <c r="R38" s="39" t="s">
        <v>8254</v>
      </c>
      <c r="S38" s="39" t="s">
        <v>8255</v>
      </c>
      <c r="T38" s="39" t="s">
        <v>8256</v>
      </c>
      <c r="U38" s="44"/>
      <c r="V38" s="44" t="str">
        <f t="shared" si="1"/>
        <v>200.54</v>
      </c>
      <c r="W38" s="44" t="str">
        <f t="shared" si="2"/>
        <v>190.56</v>
      </c>
      <c r="X38" s="44" t="str">
        <f t="shared" si="3"/>
        <v>1694.71</v>
      </c>
      <c r="Y38" s="44" t="str">
        <f t="shared" si="4"/>
        <v>624.47</v>
      </c>
      <c r="Z38" s="44"/>
      <c r="AB38" s="30">
        <v>37</v>
      </c>
      <c r="AC38" s="30" t="s">
        <v>2920</v>
      </c>
      <c r="AD38" s="30" t="s">
        <v>4962</v>
      </c>
      <c r="AE38" s="30" t="s">
        <v>4962</v>
      </c>
      <c r="AF38" s="30" t="s">
        <v>4962</v>
      </c>
      <c r="AG38" s="30" t="s">
        <v>4962</v>
      </c>
      <c r="AH38" s="30" t="s">
        <v>4962</v>
      </c>
      <c r="AI38" s="30" t="s">
        <v>4962</v>
      </c>
      <c r="AJ38" s="22" t="s">
        <v>4962</v>
      </c>
      <c r="AL38" s="30">
        <v>35</v>
      </c>
      <c r="AM38" s="30" t="s">
        <v>3408</v>
      </c>
      <c r="AN38" s="30" t="s">
        <v>6920</v>
      </c>
      <c r="AO38" s="30" t="s">
        <v>6921</v>
      </c>
      <c r="AP38" s="30" t="s">
        <v>6922</v>
      </c>
      <c r="AQ38" s="30" t="s">
        <v>6923</v>
      </c>
      <c r="AR38" s="30" t="s">
        <v>6924</v>
      </c>
      <c r="AS38" s="30" t="s">
        <v>6925</v>
      </c>
      <c r="AT38" s="22" t="s">
        <v>6926</v>
      </c>
      <c r="AX38" s="30">
        <v>35</v>
      </c>
      <c r="AY38" s="30" t="s">
        <v>3408</v>
      </c>
      <c r="AZ38" s="30" t="s">
        <v>7521</v>
      </c>
      <c r="BA38" s="30" t="s">
        <v>7522</v>
      </c>
      <c r="BB38" s="30" t="s">
        <v>7523</v>
      </c>
      <c r="BC38" s="22" t="s">
        <v>7524</v>
      </c>
      <c r="BE38" s="30">
        <v>37</v>
      </c>
      <c r="BF38" s="30" t="s">
        <v>2920</v>
      </c>
      <c r="BG38" s="34" t="s">
        <v>4962</v>
      </c>
      <c r="BH38" s="34" t="s">
        <v>4962</v>
      </c>
      <c r="BI38" s="34" t="s">
        <v>4962</v>
      </c>
      <c r="BJ38" s="35" t="s">
        <v>4962</v>
      </c>
    </row>
    <row r="39" spans="1:62" ht="42" thickBot="1" x14ac:dyDescent="0.3">
      <c r="A39" s="21" t="s">
        <v>2186</v>
      </c>
      <c r="B39" s="22">
        <v>1100</v>
      </c>
      <c r="C39" s="22">
        <v>2</v>
      </c>
      <c r="D39" s="22">
        <v>2</v>
      </c>
      <c r="E39" s="22" t="s">
        <v>834</v>
      </c>
      <c r="F39" s="22" t="s">
        <v>834</v>
      </c>
      <c r="H39" s="22">
        <v>38</v>
      </c>
      <c r="I39" s="22" t="s">
        <v>2320</v>
      </c>
      <c r="J39" s="22">
        <v>283</v>
      </c>
      <c r="K39" s="22">
        <v>211</v>
      </c>
      <c r="L39" s="22">
        <v>315</v>
      </c>
      <c r="M39" s="22">
        <v>176</v>
      </c>
      <c r="O39" s="39" t="s">
        <v>920</v>
      </c>
      <c r="P39" s="39" t="s">
        <v>2320</v>
      </c>
      <c r="Q39" s="39" t="s">
        <v>8257</v>
      </c>
      <c r="R39" s="39" t="s">
        <v>8258</v>
      </c>
      <c r="S39" s="39" t="s">
        <v>8259</v>
      </c>
      <c r="T39" s="39" t="s">
        <v>8260</v>
      </c>
      <c r="U39" s="44"/>
      <c r="V39" s="44" t="str">
        <f t="shared" si="1"/>
        <v>339.37</v>
      </c>
      <c r="W39" s="44" t="str">
        <f t="shared" si="2"/>
        <v>253.49</v>
      </c>
      <c r="X39" s="44" t="str">
        <f t="shared" si="3"/>
        <v>377.92</v>
      </c>
      <c r="Y39" s="44" t="str">
        <f t="shared" si="4"/>
        <v>210.96</v>
      </c>
      <c r="Z39" s="44"/>
      <c r="AB39" s="30">
        <v>38</v>
      </c>
      <c r="AC39" s="30" t="s">
        <v>2320</v>
      </c>
      <c r="AD39" s="30">
        <v>347.5</v>
      </c>
      <c r="AE39" s="30">
        <v>268</v>
      </c>
      <c r="AF39" s="30">
        <v>282.72000000000003</v>
      </c>
      <c r="AG39" s="30">
        <v>230.43</v>
      </c>
      <c r="AH39" s="30">
        <v>352.8</v>
      </c>
      <c r="AI39" s="30">
        <v>184.58</v>
      </c>
      <c r="AJ39" s="22">
        <v>302.56</v>
      </c>
      <c r="AL39" s="30">
        <v>36</v>
      </c>
      <c r="AM39" s="30" t="s">
        <v>3595</v>
      </c>
      <c r="AN39" s="30" t="s">
        <v>6927</v>
      </c>
      <c r="AO39" s="30" t="s">
        <v>6928</v>
      </c>
      <c r="AP39" s="30" t="s">
        <v>6929</v>
      </c>
      <c r="AQ39" s="30" t="s">
        <v>6930</v>
      </c>
      <c r="AR39" s="30" t="s">
        <v>6931</v>
      </c>
      <c r="AS39" s="30" t="s">
        <v>6932</v>
      </c>
      <c r="AT39" s="22" t="s">
        <v>6933</v>
      </c>
      <c r="AX39" s="30">
        <v>36</v>
      </c>
      <c r="AY39" s="30" t="s">
        <v>3595</v>
      </c>
      <c r="AZ39" s="30" t="s">
        <v>7525</v>
      </c>
      <c r="BA39" s="30" t="s">
        <v>7526</v>
      </c>
      <c r="BB39" s="30" t="s">
        <v>7527</v>
      </c>
      <c r="BC39" s="22" t="s">
        <v>7528</v>
      </c>
      <c r="BE39" s="30">
        <v>38</v>
      </c>
      <c r="BF39" s="30" t="s">
        <v>2320</v>
      </c>
      <c r="BG39" s="30">
        <v>228.27</v>
      </c>
      <c r="BH39" s="30">
        <v>228.67</v>
      </c>
      <c r="BI39" s="30">
        <v>243.58</v>
      </c>
      <c r="BJ39" s="22">
        <v>184.24</v>
      </c>
    </row>
    <row r="40" spans="1:62" ht="28.2" thickBot="1" x14ac:dyDescent="0.3">
      <c r="A40" s="21" t="s">
        <v>3405</v>
      </c>
      <c r="B40" s="22">
        <v>50</v>
      </c>
      <c r="C40" s="22">
        <v>2</v>
      </c>
      <c r="D40" s="22">
        <v>2</v>
      </c>
      <c r="E40" s="22">
        <v>2</v>
      </c>
      <c r="F40" s="22">
        <v>2</v>
      </c>
      <c r="H40" s="22">
        <v>39</v>
      </c>
      <c r="I40" s="22" t="s">
        <v>2857</v>
      </c>
      <c r="J40" s="22" t="s">
        <v>2908</v>
      </c>
      <c r="K40" s="22" t="s">
        <v>2908</v>
      </c>
      <c r="L40" s="22" t="s">
        <v>2908</v>
      </c>
      <c r="M40" s="22" t="s">
        <v>2908</v>
      </c>
      <c r="O40" s="39" t="s">
        <v>1217</v>
      </c>
      <c r="P40" s="39" t="s">
        <v>2857</v>
      </c>
      <c r="Q40" s="39" t="s">
        <v>8261</v>
      </c>
      <c r="R40" s="39" t="s">
        <v>8262</v>
      </c>
      <c r="S40" s="39" t="s">
        <v>8263</v>
      </c>
      <c r="T40" s="39" t="s">
        <v>8264</v>
      </c>
      <c r="U40" s="44"/>
      <c r="V40" s="44" t="str">
        <f t="shared" si="1"/>
        <v>28.43</v>
      </c>
      <c r="W40" s="44" t="str">
        <f t="shared" si="2"/>
        <v>14.92</v>
      </c>
      <c r="X40" s="44" t="str">
        <f t="shared" si="3"/>
        <v>8.68</v>
      </c>
      <c r="Y40" s="44" t="str">
        <f t="shared" si="4"/>
        <v>2.36</v>
      </c>
      <c r="Z40" s="44"/>
      <c r="AB40" s="30">
        <v>39</v>
      </c>
      <c r="AC40" s="30" t="s">
        <v>2857</v>
      </c>
      <c r="AD40" s="30">
        <v>90.23</v>
      </c>
      <c r="AE40" s="30">
        <v>25.03</v>
      </c>
      <c r="AF40" s="30">
        <v>21.74</v>
      </c>
      <c r="AG40" s="30">
        <v>58.65</v>
      </c>
      <c r="AH40" s="30">
        <v>114.18</v>
      </c>
      <c r="AI40" s="30">
        <v>53.7</v>
      </c>
      <c r="AJ40" s="22">
        <v>145.88</v>
      </c>
      <c r="AL40" s="30">
        <v>37</v>
      </c>
      <c r="AM40" s="30" t="s">
        <v>3417</v>
      </c>
      <c r="AN40" s="30" t="s">
        <v>6934</v>
      </c>
      <c r="AO40" s="30" t="s">
        <v>6935</v>
      </c>
      <c r="AP40" s="30" t="s">
        <v>6936</v>
      </c>
      <c r="AQ40" s="30" t="s">
        <v>6937</v>
      </c>
      <c r="AR40" s="30" t="s">
        <v>6938</v>
      </c>
      <c r="AS40" s="30" t="s">
        <v>6939</v>
      </c>
      <c r="AT40" s="22" t="s">
        <v>6940</v>
      </c>
      <c r="AX40" s="30">
        <v>37</v>
      </c>
      <c r="AY40" s="30" t="s">
        <v>3417</v>
      </c>
      <c r="AZ40" s="30" t="s">
        <v>7529</v>
      </c>
      <c r="BA40" s="30" t="s">
        <v>5586</v>
      </c>
      <c r="BB40" s="30" t="s">
        <v>5586</v>
      </c>
      <c r="BC40" s="22" t="s">
        <v>7530</v>
      </c>
      <c r="BE40" s="30">
        <v>39</v>
      </c>
      <c r="BF40" s="30" t="s">
        <v>2857</v>
      </c>
      <c r="BG40" s="30">
        <v>86.59</v>
      </c>
      <c r="BH40" s="30">
        <v>27.3</v>
      </c>
      <c r="BI40" s="30">
        <v>68.09</v>
      </c>
      <c r="BJ40" s="22">
        <v>9.26</v>
      </c>
    </row>
    <row r="41" spans="1:62" ht="55.8" thickBot="1" x14ac:dyDescent="0.3">
      <c r="A41" s="21" t="s">
        <v>3558</v>
      </c>
      <c r="B41" s="22">
        <v>170000</v>
      </c>
      <c r="C41" s="22">
        <v>2</v>
      </c>
      <c r="D41" s="22">
        <v>1</v>
      </c>
      <c r="E41" s="22">
        <v>1</v>
      </c>
      <c r="F41" s="22">
        <v>1</v>
      </c>
      <c r="H41" s="22">
        <v>40</v>
      </c>
      <c r="I41" s="22" t="s">
        <v>3158</v>
      </c>
      <c r="J41" s="22">
        <v>60</v>
      </c>
      <c r="K41" s="22">
        <v>63</v>
      </c>
      <c r="L41" s="22">
        <v>71</v>
      </c>
      <c r="M41" s="22">
        <v>65</v>
      </c>
      <c r="O41" s="39" t="s">
        <v>1969</v>
      </c>
      <c r="P41" s="39" t="s">
        <v>2921</v>
      </c>
      <c r="Q41" s="39" t="s">
        <v>8265</v>
      </c>
      <c r="R41" s="39" t="s">
        <v>8266</v>
      </c>
      <c r="S41" s="39" t="s">
        <v>8267</v>
      </c>
      <c r="T41" s="39" t="s">
        <v>8268</v>
      </c>
      <c r="U41" s="44"/>
      <c r="V41" s="44" t="str">
        <f t="shared" si="1"/>
        <v>125.35</v>
      </c>
      <c r="W41" s="44" t="str">
        <f t="shared" si="2"/>
        <v>132.03</v>
      </c>
      <c r="X41" s="44" t="str">
        <f t="shared" si="3"/>
        <v>147.75</v>
      </c>
      <c r="Y41" s="44" t="str">
        <f t="shared" si="4"/>
        <v>135.29</v>
      </c>
      <c r="Z41" s="44"/>
      <c r="AB41" s="30">
        <v>40</v>
      </c>
      <c r="AC41" s="30" t="s">
        <v>3158</v>
      </c>
      <c r="AD41" s="30">
        <v>346.17</v>
      </c>
      <c r="AE41" s="30">
        <v>412.62</v>
      </c>
      <c r="AF41" s="30">
        <v>409.22</v>
      </c>
      <c r="AG41" s="30">
        <v>125.81</v>
      </c>
      <c r="AH41" s="30">
        <v>141.38</v>
      </c>
      <c r="AI41" s="30">
        <v>179.15</v>
      </c>
      <c r="AJ41" s="22">
        <v>147.99</v>
      </c>
      <c r="AL41" s="30">
        <v>38</v>
      </c>
      <c r="AM41" s="30" t="s">
        <v>3426</v>
      </c>
      <c r="AN41" s="30" t="s">
        <v>6941</v>
      </c>
      <c r="AO41" s="30" t="s">
        <v>6942</v>
      </c>
      <c r="AP41" s="30" t="s">
        <v>6943</v>
      </c>
      <c r="AQ41" s="30" t="s">
        <v>6944</v>
      </c>
      <c r="AR41" s="30" t="s">
        <v>6945</v>
      </c>
      <c r="AS41" s="30" t="s">
        <v>6946</v>
      </c>
      <c r="AT41" s="22" t="s">
        <v>6947</v>
      </c>
      <c r="AX41" s="30">
        <v>38</v>
      </c>
      <c r="AY41" s="30" t="s">
        <v>3426</v>
      </c>
      <c r="AZ41" s="30" t="s">
        <v>7531</v>
      </c>
      <c r="BA41" s="30" t="s">
        <v>7532</v>
      </c>
      <c r="BB41" s="30" t="s">
        <v>7533</v>
      </c>
      <c r="BC41" s="22" t="s">
        <v>7534</v>
      </c>
      <c r="BE41" s="30">
        <v>40</v>
      </c>
      <c r="BF41" s="30" t="s">
        <v>2921</v>
      </c>
      <c r="BG41" s="30">
        <v>146.68</v>
      </c>
      <c r="BH41" s="30">
        <v>285.95</v>
      </c>
      <c r="BI41" s="30">
        <v>227.21</v>
      </c>
      <c r="BJ41" s="22">
        <v>134.15</v>
      </c>
    </row>
    <row r="42" spans="1:62" ht="28.2" thickBot="1" x14ac:dyDescent="0.3">
      <c r="A42" s="21" t="s">
        <v>3304</v>
      </c>
      <c r="B42" s="22">
        <v>160</v>
      </c>
      <c r="C42" s="22">
        <v>2</v>
      </c>
      <c r="D42" s="22">
        <v>1</v>
      </c>
      <c r="E42" s="22">
        <v>1</v>
      </c>
      <c r="F42" s="22">
        <v>1</v>
      </c>
      <c r="H42" s="22">
        <v>41</v>
      </c>
      <c r="I42" s="22" t="s">
        <v>2922</v>
      </c>
      <c r="J42" s="22" t="s">
        <v>2908</v>
      </c>
      <c r="K42" s="22" t="s">
        <v>2908</v>
      </c>
      <c r="L42" s="22" t="s">
        <v>2908</v>
      </c>
      <c r="M42" s="22" t="s">
        <v>2908</v>
      </c>
      <c r="O42" s="39" t="s">
        <v>940</v>
      </c>
      <c r="P42" s="39" t="s">
        <v>2922</v>
      </c>
      <c r="Q42" s="39" t="s">
        <v>2908</v>
      </c>
      <c r="R42" s="39" t="s">
        <v>2908</v>
      </c>
      <c r="S42" s="39" t="s">
        <v>2908</v>
      </c>
      <c r="T42" s="39" t="s">
        <v>2908</v>
      </c>
      <c r="U42" s="44"/>
      <c r="V42" s="44" t="e">
        <f t="shared" si="1"/>
        <v>#N/A</v>
      </c>
      <c r="W42" s="44" t="e">
        <f t="shared" si="2"/>
        <v>#N/A</v>
      </c>
      <c r="X42" s="44" t="e">
        <f t="shared" si="3"/>
        <v>#N/A</v>
      </c>
      <c r="Y42" s="44" t="e">
        <f t="shared" si="4"/>
        <v>#N/A</v>
      </c>
      <c r="Z42" s="44"/>
      <c r="AB42" s="30">
        <v>41</v>
      </c>
      <c r="AC42" s="30" t="s">
        <v>2922</v>
      </c>
      <c r="AD42" s="30" t="s">
        <v>2908</v>
      </c>
      <c r="AE42" s="30" t="s">
        <v>2908</v>
      </c>
      <c r="AF42" s="30" t="s">
        <v>2908</v>
      </c>
      <c r="AG42" s="30" t="s">
        <v>2908</v>
      </c>
      <c r="AH42" s="30" t="s">
        <v>2908</v>
      </c>
      <c r="AI42" s="30" t="s">
        <v>2908</v>
      </c>
      <c r="AJ42" s="22" t="s">
        <v>2908</v>
      </c>
      <c r="AL42" s="29" t="s">
        <v>2941</v>
      </c>
      <c r="AM42" s="30"/>
      <c r="AN42" s="30"/>
      <c r="AO42" s="30"/>
      <c r="AP42" s="30"/>
      <c r="AQ42" s="30"/>
      <c r="AR42" s="30"/>
      <c r="AS42" s="30"/>
      <c r="AT42" s="22"/>
      <c r="AX42" s="29" t="s">
        <v>2941</v>
      </c>
      <c r="AY42" s="30"/>
      <c r="AZ42" s="30"/>
      <c r="BA42" s="30"/>
      <c r="BB42" s="30"/>
      <c r="BC42" s="22"/>
      <c r="BE42" s="30">
        <v>41</v>
      </c>
      <c r="BF42" s="30" t="s">
        <v>2922</v>
      </c>
      <c r="BG42" s="34" t="s">
        <v>2908</v>
      </c>
      <c r="BH42" s="34" t="s">
        <v>2908</v>
      </c>
      <c r="BI42" s="34" t="s">
        <v>2908</v>
      </c>
      <c r="BJ42" s="35" t="s">
        <v>2908</v>
      </c>
    </row>
    <row r="43" spans="1:62" ht="72" thickBot="1" x14ac:dyDescent="0.3">
      <c r="A43" s="21" t="s">
        <v>6140</v>
      </c>
      <c r="B43" s="22">
        <v>150</v>
      </c>
      <c r="C43" s="22">
        <v>1</v>
      </c>
      <c r="D43" s="22">
        <v>1</v>
      </c>
      <c r="E43" s="22">
        <v>1</v>
      </c>
      <c r="F43" s="22">
        <v>2</v>
      </c>
      <c r="H43" s="22">
        <v>42</v>
      </c>
      <c r="I43" s="22" t="s">
        <v>2341</v>
      </c>
      <c r="J43" s="22" t="s">
        <v>2908</v>
      </c>
      <c r="K43" s="22" t="s">
        <v>2908</v>
      </c>
      <c r="L43" s="22">
        <v>7.0000000000000007E-2</v>
      </c>
      <c r="M43" s="22" t="s">
        <v>2908</v>
      </c>
      <c r="O43" s="39" t="s">
        <v>943</v>
      </c>
      <c r="P43" s="39" t="s">
        <v>2341</v>
      </c>
      <c r="Q43" s="39" t="s">
        <v>2908</v>
      </c>
      <c r="R43" s="39" t="s">
        <v>2908</v>
      </c>
      <c r="S43" s="39" t="s">
        <v>2908</v>
      </c>
      <c r="T43" s="39" t="s">
        <v>2908</v>
      </c>
      <c r="U43" s="44"/>
      <c r="V43" s="44" t="e">
        <f t="shared" si="1"/>
        <v>#N/A</v>
      </c>
      <c r="W43" s="44" t="e">
        <f t="shared" si="2"/>
        <v>#N/A</v>
      </c>
      <c r="X43" s="44" t="e">
        <f t="shared" si="3"/>
        <v>#N/A</v>
      </c>
      <c r="Y43" s="44" t="e">
        <f t="shared" si="4"/>
        <v>#N/A</v>
      </c>
      <c r="Z43" s="44"/>
      <c r="AB43" s="30">
        <v>42</v>
      </c>
      <c r="AC43" s="30" t="s">
        <v>2341</v>
      </c>
      <c r="AD43" s="30">
        <v>690.68</v>
      </c>
      <c r="AE43" s="30">
        <v>678.33</v>
      </c>
      <c r="AF43" s="30">
        <v>708.29</v>
      </c>
      <c r="AG43" s="30">
        <v>656.44</v>
      </c>
      <c r="AH43" s="30">
        <v>696.25</v>
      </c>
      <c r="AI43" s="30">
        <v>725.89</v>
      </c>
      <c r="AJ43" s="22">
        <v>758.45</v>
      </c>
      <c r="AL43" s="30">
        <v>39</v>
      </c>
      <c r="AM43" s="30" t="s">
        <v>3343</v>
      </c>
      <c r="AN43" s="30" t="s">
        <v>6948</v>
      </c>
      <c r="AO43" s="30" t="s">
        <v>6949</v>
      </c>
      <c r="AP43" s="30" t="s">
        <v>6950</v>
      </c>
      <c r="AQ43" s="30" t="s">
        <v>6951</v>
      </c>
      <c r="AR43" s="30" t="s">
        <v>6952</v>
      </c>
      <c r="AS43" s="30" t="s">
        <v>6953</v>
      </c>
      <c r="AT43" s="22" t="s">
        <v>6954</v>
      </c>
      <c r="AX43" s="30">
        <v>39</v>
      </c>
      <c r="AY43" s="30" t="s">
        <v>3343</v>
      </c>
      <c r="AZ43" s="30" t="s">
        <v>7535</v>
      </c>
      <c r="BA43" s="30" t="s">
        <v>7536</v>
      </c>
      <c r="BB43" s="30" t="s">
        <v>7537</v>
      </c>
      <c r="BC43" s="22" t="s">
        <v>7538</v>
      </c>
      <c r="BE43" s="30">
        <v>42</v>
      </c>
      <c r="BF43" s="30" t="s">
        <v>7773</v>
      </c>
      <c r="BG43" s="30">
        <v>690.68</v>
      </c>
      <c r="BH43" s="30">
        <v>678.33</v>
      </c>
      <c r="BI43" s="30">
        <v>708.29</v>
      </c>
      <c r="BJ43" s="22">
        <v>649.61</v>
      </c>
    </row>
    <row r="44" spans="1:62" ht="69.599999999999994" thickBot="1" x14ac:dyDescent="0.3">
      <c r="A44" s="21" t="s">
        <v>6141</v>
      </c>
      <c r="B44" s="22">
        <v>50</v>
      </c>
      <c r="C44" s="22">
        <v>1</v>
      </c>
      <c r="D44" s="22">
        <v>1</v>
      </c>
      <c r="E44" s="22">
        <v>1</v>
      </c>
      <c r="F44" s="22">
        <v>1</v>
      </c>
      <c r="H44" s="22">
        <v>43</v>
      </c>
      <c r="I44" s="22" t="s">
        <v>6143</v>
      </c>
      <c r="J44" s="22">
        <v>3954</v>
      </c>
      <c r="K44" s="22">
        <v>3722</v>
      </c>
      <c r="L44" s="22">
        <v>2946</v>
      </c>
      <c r="M44" s="22">
        <v>2875</v>
      </c>
      <c r="O44" s="39" t="s">
        <v>7865</v>
      </c>
      <c r="P44" s="39" t="s">
        <v>2161</v>
      </c>
      <c r="Q44" s="39" t="s">
        <v>8269</v>
      </c>
      <c r="R44" s="39" t="s">
        <v>8270</v>
      </c>
      <c r="S44" s="39" t="s">
        <v>8271</v>
      </c>
      <c r="T44" s="39" t="s">
        <v>8272</v>
      </c>
      <c r="U44" s="44"/>
      <c r="V44" s="44" t="str">
        <f t="shared" si="1"/>
        <v>1423.56</v>
      </c>
      <c r="W44" s="44" t="str">
        <f t="shared" si="2"/>
        <v>1339.87</v>
      </c>
      <c r="X44" s="44" t="str">
        <f t="shared" si="3"/>
        <v>1060.51</v>
      </c>
      <c r="Y44" s="44" t="str">
        <f t="shared" si="4"/>
        <v>1035.13</v>
      </c>
      <c r="Z44" s="44"/>
      <c r="AB44" s="30">
        <v>43</v>
      </c>
      <c r="AC44" s="30" t="s">
        <v>6143</v>
      </c>
      <c r="AD44" s="30">
        <v>2055.29</v>
      </c>
      <c r="AE44" s="30">
        <v>1698.84</v>
      </c>
      <c r="AF44" s="30">
        <v>1635.57</v>
      </c>
      <c r="AG44" s="30">
        <v>1343</v>
      </c>
      <c r="AH44" s="30">
        <v>1525.2</v>
      </c>
      <c r="AI44" s="30">
        <v>2533.63</v>
      </c>
      <c r="AJ44" s="22">
        <v>3292.75</v>
      </c>
      <c r="AL44" s="30">
        <v>40</v>
      </c>
      <c r="AM44" s="30" t="s">
        <v>2358</v>
      </c>
      <c r="AN44" s="30" t="s">
        <v>6955</v>
      </c>
      <c r="AO44" s="30" t="s">
        <v>6956</v>
      </c>
      <c r="AP44" s="30" t="s">
        <v>6957</v>
      </c>
      <c r="AQ44" s="30" t="s">
        <v>6958</v>
      </c>
      <c r="AR44" s="30" t="s">
        <v>6959</v>
      </c>
      <c r="AS44" s="30" t="s">
        <v>6960</v>
      </c>
      <c r="AT44" s="22" t="s">
        <v>6961</v>
      </c>
      <c r="AX44" s="30">
        <v>40</v>
      </c>
      <c r="AY44" s="30" t="s">
        <v>2358</v>
      </c>
      <c r="AZ44" s="30" t="s">
        <v>7539</v>
      </c>
      <c r="BA44" s="30" t="s">
        <v>7540</v>
      </c>
      <c r="BB44" s="30" t="s">
        <v>7541</v>
      </c>
      <c r="BC44" s="22" t="s">
        <v>7542</v>
      </c>
      <c r="BE44" s="30">
        <v>43</v>
      </c>
      <c r="BF44" s="30" t="s">
        <v>2161</v>
      </c>
      <c r="BG44" s="30">
        <v>2372.7199999999998</v>
      </c>
      <c r="BH44" s="30">
        <v>4201.4399999999996</v>
      </c>
      <c r="BI44" s="30">
        <v>1777.63</v>
      </c>
      <c r="BJ44" s="22">
        <v>2623.03</v>
      </c>
    </row>
    <row r="45" spans="1:62" ht="55.8" thickBot="1" x14ac:dyDescent="0.3">
      <c r="A45" s="21" t="s">
        <v>2177</v>
      </c>
      <c r="B45" s="22">
        <v>160000</v>
      </c>
      <c r="C45" s="22">
        <v>1</v>
      </c>
      <c r="D45" s="22">
        <v>1</v>
      </c>
      <c r="E45" s="22">
        <v>1</v>
      </c>
      <c r="F45" s="22">
        <v>1</v>
      </c>
      <c r="H45" s="22">
        <v>44</v>
      </c>
      <c r="I45" s="22" t="s">
        <v>2923</v>
      </c>
      <c r="J45" s="22" t="s">
        <v>2908</v>
      </c>
      <c r="K45" s="22" t="s">
        <v>2908</v>
      </c>
      <c r="L45" s="22" t="s">
        <v>2908</v>
      </c>
      <c r="M45" s="22" t="s">
        <v>2908</v>
      </c>
      <c r="O45" s="39" t="s">
        <v>725</v>
      </c>
      <c r="P45" s="39" t="s">
        <v>2923</v>
      </c>
      <c r="Q45" s="39" t="s">
        <v>2908</v>
      </c>
      <c r="R45" s="39" t="s">
        <v>2908</v>
      </c>
      <c r="S45" s="39" t="s">
        <v>2908</v>
      </c>
      <c r="T45" s="39" t="s">
        <v>2908</v>
      </c>
      <c r="U45" s="44"/>
      <c r="V45" s="44" t="e">
        <f t="shared" si="1"/>
        <v>#N/A</v>
      </c>
      <c r="W45" s="44" t="e">
        <f t="shared" si="2"/>
        <v>#N/A</v>
      </c>
      <c r="X45" s="44" t="e">
        <f t="shared" si="3"/>
        <v>#N/A</v>
      </c>
      <c r="Y45" s="44" t="e">
        <f t="shared" si="4"/>
        <v>#N/A</v>
      </c>
      <c r="Z45" s="44"/>
      <c r="AB45" s="30">
        <v>44</v>
      </c>
      <c r="AC45" s="30" t="s">
        <v>2923</v>
      </c>
      <c r="AD45" s="30" t="s">
        <v>2908</v>
      </c>
      <c r="AE45" s="30" t="s">
        <v>2908</v>
      </c>
      <c r="AF45" s="30" t="s">
        <v>2908</v>
      </c>
      <c r="AG45" s="30" t="s">
        <v>2908</v>
      </c>
      <c r="AH45" s="30" t="s">
        <v>2908</v>
      </c>
      <c r="AI45" s="30" t="s">
        <v>2908</v>
      </c>
      <c r="AJ45" s="22" t="s">
        <v>2908</v>
      </c>
      <c r="AL45" s="30">
        <v>41</v>
      </c>
      <c r="AM45" s="30" t="s">
        <v>3655</v>
      </c>
      <c r="AN45" s="30" t="s">
        <v>6962</v>
      </c>
      <c r="AO45" s="30" t="s">
        <v>6963</v>
      </c>
      <c r="AP45" s="30" t="s">
        <v>6964</v>
      </c>
      <c r="AQ45" s="30" t="s">
        <v>6965</v>
      </c>
      <c r="AR45" s="30" t="s">
        <v>6966</v>
      </c>
      <c r="AS45" s="30" t="s">
        <v>6967</v>
      </c>
      <c r="AT45" s="22" t="s">
        <v>6968</v>
      </c>
      <c r="AX45" s="30">
        <v>41</v>
      </c>
      <c r="AY45" s="30" t="s">
        <v>3655</v>
      </c>
      <c r="AZ45" s="30" t="s">
        <v>7543</v>
      </c>
      <c r="BA45" s="30" t="s">
        <v>7544</v>
      </c>
      <c r="BB45" s="30" t="s">
        <v>7545</v>
      </c>
      <c r="BC45" s="22" t="s">
        <v>7546</v>
      </c>
      <c r="BE45" s="30">
        <v>44</v>
      </c>
      <c r="BF45" s="30" t="s">
        <v>2923</v>
      </c>
      <c r="BG45" s="34" t="s">
        <v>2908</v>
      </c>
      <c r="BH45" s="34" t="s">
        <v>2908</v>
      </c>
      <c r="BI45" s="34" t="s">
        <v>2908</v>
      </c>
      <c r="BJ45" s="35" t="s">
        <v>2908</v>
      </c>
    </row>
    <row r="46" spans="1:62" ht="85.2" thickBot="1" x14ac:dyDescent="0.3">
      <c r="A46" s="21" t="s">
        <v>2957</v>
      </c>
      <c r="B46" s="22">
        <v>13000</v>
      </c>
      <c r="C46" s="22">
        <v>1</v>
      </c>
      <c r="D46" s="22">
        <v>1</v>
      </c>
      <c r="E46" s="22" t="s">
        <v>834</v>
      </c>
      <c r="F46" s="22" t="s">
        <v>834</v>
      </c>
      <c r="H46" s="22">
        <v>45</v>
      </c>
      <c r="I46" s="22" t="s">
        <v>6146</v>
      </c>
      <c r="J46" s="22">
        <v>6</v>
      </c>
      <c r="K46" s="22">
        <v>3</v>
      </c>
      <c r="L46" s="22">
        <v>3</v>
      </c>
      <c r="M46" s="22">
        <v>3</v>
      </c>
      <c r="O46" s="39" t="s">
        <v>757</v>
      </c>
      <c r="P46" s="39" t="s">
        <v>2924</v>
      </c>
      <c r="Q46" s="39" t="s">
        <v>8273</v>
      </c>
      <c r="R46" s="39" t="s">
        <v>8274</v>
      </c>
      <c r="S46" s="39" t="s">
        <v>8275</v>
      </c>
      <c r="T46" s="39" t="s">
        <v>8276</v>
      </c>
      <c r="U46" s="44"/>
      <c r="V46" s="44" t="str">
        <f t="shared" si="1"/>
        <v>28.60</v>
      </c>
      <c r="W46" s="44" t="str">
        <f t="shared" si="2"/>
        <v>21.29</v>
      </c>
      <c r="X46" s="44" t="str">
        <f t="shared" si="3"/>
        <v>7.64</v>
      </c>
      <c r="Y46" s="44" t="str">
        <f t="shared" si="4"/>
        <v>7.64</v>
      </c>
      <c r="Z46" s="44"/>
      <c r="AB46" s="30">
        <v>45</v>
      </c>
      <c r="AC46" s="30" t="s">
        <v>5466</v>
      </c>
      <c r="AD46" s="30">
        <v>61.22</v>
      </c>
      <c r="AE46" s="30">
        <v>28.28</v>
      </c>
      <c r="AF46" s="30">
        <v>21.34</v>
      </c>
      <c r="AG46" s="30">
        <v>23.44</v>
      </c>
      <c r="AH46" s="30">
        <v>36.85</v>
      </c>
      <c r="AI46" s="30">
        <v>290.95999999999998</v>
      </c>
      <c r="AJ46" s="22">
        <v>37.99</v>
      </c>
      <c r="AL46" s="30">
        <v>42</v>
      </c>
      <c r="AM46" s="30" t="s">
        <v>2025</v>
      </c>
      <c r="AN46" s="30" t="s">
        <v>6969</v>
      </c>
      <c r="AO46" s="30" t="s">
        <v>6970</v>
      </c>
      <c r="AP46" s="30" t="s">
        <v>6971</v>
      </c>
      <c r="AQ46" s="30" t="s">
        <v>6972</v>
      </c>
      <c r="AR46" s="30" t="s">
        <v>6973</v>
      </c>
      <c r="AS46" s="30" t="s">
        <v>6974</v>
      </c>
      <c r="AT46" s="22" t="s">
        <v>6975</v>
      </c>
      <c r="AX46" s="30">
        <v>42</v>
      </c>
      <c r="AY46" s="30" t="s">
        <v>2025</v>
      </c>
      <c r="AZ46" s="30" t="s">
        <v>7547</v>
      </c>
      <c r="BA46" s="30" t="s">
        <v>7548</v>
      </c>
      <c r="BB46" s="30" t="s">
        <v>7549</v>
      </c>
      <c r="BC46" s="22" t="s">
        <v>7550</v>
      </c>
      <c r="BE46" s="30">
        <v>45</v>
      </c>
      <c r="BF46" s="30" t="s">
        <v>7774</v>
      </c>
      <c r="BG46" s="30">
        <v>61.22</v>
      </c>
      <c r="BH46" s="30">
        <v>28.28</v>
      </c>
      <c r="BI46" s="30">
        <v>21.34</v>
      </c>
      <c r="BJ46" s="22">
        <v>23.44</v>
      </c>
    </row>
    <row r="47" spans="1:62" ht="85.2" thickBot="1" x14ac:dyDescent="0.3">
      <c r="A47" s="21" t="s">
        <v>4933</v>
      </c>
      <c r="B47" s="22">
        <v>51000</v>
      </c>
      <c r="C47" s="22">
        <v>1</v>
      </c>
      <c r="D47" s="22">
        <v>1</v>
      </c>
      <c r="E47" s="22" t="s">
        <v>834</v>
      </c>
      <c r="F47" s="22" t="s">
        <v>834</v>
      </c>
      <c r="H47" s="22">
        <v>46</v>
      </c>
      <c r="I47" s="22" t="s">
        <v>2925</v>
      </c>
      <c r="J47" s="22" t="s">
        <v>2908</v>
      </c>
      <c r="K47" s="22" t="s">
        <v>2908</v>
      </c>
      <c r="L47" s="22" t="s">
        <v>2908</v>
      </c>
      <c r="M47" s="22" t="s">
        <v>2908</v>
      </c>
      <c r="O47" s="39" t="s">
        <v>773</v>
      </c>
      <c r="P47" s="39" t="s">
        <v>2925</v>
      </c>
      <c r="Q47" s="39" t="s">
        <v>8277</v>
      </c>
      <c r="R47" s="39" t="s">
        <v>8278</v>
      </c>
      <c r="S47" s="39" t="s">
        <v>8279</v>
      </c>
      <c r="T47" s="39" t="s">
        <v>8280</v>
      </c>
      <c r="U47" s="44"/>
      <c r="V47" s="44" t="str">
        <f t="shared" si="1"/>
        <v>31.12</v>
      </c>
      <c r="W47" s="44" t="str">
        <f t="shared" si="2"/>
        <v>51.20</v>
      </c>
      <c r="X47" s="44" t="str">
        <f t="shared" si="3"/>
        <v>20.54</v>
      </c>
      <c r="Y47" s="44" t="str">
        <f t="shared" si="4"/>
        <v>11.26</v>
      </c>
      <c r="Z47" s="44"/>
      <c r="AB47" s="30">
        <v>46</v>
      </c>
      <c r="AC47" s="30" t="s">
        <v>5587</v>
      </c>
      <c r="AD47" s="30">
        <v>259.52</v>
      </c>
      <c r="AE47" s="30">
        <v>126.81</v>
      </c>
      <c r="AF47" s="30">
        <v>94.92</v>
      </c>
      <c r="AG47" s="30">
        <v>57.77</v>
      </c>
      <c r="AH47" s="30">
        <v>115.21</v>
      </c>
      <c r="AI47" s="30">
        <v>994.41</v>
      </c>
      <c r="AJ47" s="22">
        <v>197.85</v>
      </c>
      <c r="AL47" s="30">
        <v>43</v>
      </c>
      <c r="AM47" s="30" t="s">
        <v>3347</v>
      </c>
      <c r="AN47" s="30" t="s">
        <v>6976</v>
      </c>
      <c r="AO47" s="30" t="s">
        <v>6977</v>
      </c>
      <c r="AP47" s="30" t="s">
        <v>6978</v>
      </c>
      <c r="AQ47" s="30" t="s">
        <v>6979</v>
      </c>
      <c r="AR47" s="30" t="s">
        <v>6980</v>
      </c>
      <c r="AS47" s="30" t="s">
        <v>6981</v>
      </c>
      <c r="AT47" s="22" t="s">
        <v>6982</v>
      </c>
      <c r="AX47" s="30">
        <v>43</v>
      </c>
      <c r="AY47" s="30" t="s">
        <v>3347</v>
      </c>
      <c r="AZ47" s="30" t="s">
        <v>7551</v>
      </c>
      <c r="BA47" s="30" t="s">
        <v>7552</v>
      </c>
      <c r="BB47" s="30" t="s">
        <v>7553</v>
      </c>
      <c r="BC47" s="22" t="s">
        <v>7554</v>
      </c>
      <c r="BE47" s="30">
        <v>46</v>
      </c>
      <c r="BF47" s="30" t="s">
        <v>7775</v>
      </c>
      <c r="BG47" s="30">
        <v>259.52</v>
      </c>
      <c r="BH47" s="30">
        <v>126.81</v>
      </c>
      <c r="BI47" s="30">
        <v>94.92</v>
      </c>
      <c r="BJ47" s="22">
        <v>57.77</v>
      </c>
    </row>
    <row r="48" spans="1:62" ht="69.599999999999994" thickBot="1" x14ac:dyDescent="0.3">
      <c r="A48" s="21" t="s">
        <v>2179</v>
      </c>
      <c r="B48" s="22">
        <v>1100</v>
      </c>
      <c r="C48" s="22">
        <v>1</v>
      </c>
      <c r="D48" s="22">
        <v>1</v>
      </c>
      <c r="E48" s="22" t="s">
        <v>834</v>
      </c>
      <c r="F48" s="22" t="s">
        <v>834</v>
      </c>
      <c r="H48" s="22">
        <v>47</v>
      </c>
      <c r="I48" s="22" t="s">
        <v>3159</v>
      </c>
      <c r="J48" s="22" t="s">
        <v>2908</v>
      </c>
      <c r="K48" s="22" t="s">
        <v>2908</v>
      </c>
      <c r="L48" s="22" t="s">
        <v>2908</v>
      </c>
      <c r="M48" s="22" t="s">
        <v>2908</v>
      </c>
      <c r="O48" s="39" t="s">
        <v>7867</v>
      </c>
      <c r="P48" s="39" t="s">
        <v>2027</v>
      </c>
      <c r="Q48" s="39" t="s">
        <v>5586</v>
      </c>
      <c r="R48" s="39" t="s">
        <v>5586</v>
      </c>
      <c r="S48" s="39" t="s">
        <v>4962</v>
      </c>
      <c r="T48" s="39" t="s">
        <v>4962</v>
      </c>
      <c r="U48" s="44"/>
      <c r="V48" s="44" t="e">
        <f t="shared" si="1"/>
        <v>#N/A</v>
      </c>
      <c r="W48" s="44" t="e">
        <f t="shared" si="2"/>
        <v>#N/A</v>
      </c>
      <c r="X48" s="44" t="e">
        <f t="shared" si="3"/>
        <v>#N/A</v>
      </c>
      <c r="Y48" s="44" t="e">
        <f t="shared" si="4"/>
        <v>#N/A</v>
      </c>
      <c r="Z48" s="44"/>
      <c r="AB48" s="30">
        <v>47</v>
      </c>
      <c r="AC48" s="30" t="s">
        <v>3159</v>
      </c>
      <c r="AD48" s="30">
        <v>17.41</v>
      </c>
      <c r="AE48" s="30" t="s">
        <v>5586</v>
      </c>
      <c r="AF48" s="30" t="s">
        <v>5586</v>
      </c>
      <c r="AG48" s="30" t="s">
        <v>5586</v>
      </c>
      <c r="AH48" s="30" t="s">
        <v>5586</v>
      </c>
      <c r="AI48" s="30">
        <v>124.62</v>
      </c>
      <c r="AJ48" s="22" t="s">
        <v>5586</v>
      </c>
      <c r="AL48" s="30">
        <v>44</v>
      </c>
      <c r="AM48" s="30" t="s">
        <v>3329</v>
      </c>
      <c r="AN48" s="30" t="s">
        <v>6983</v>
      </c>
      <c r="AO48" s="30" t="s">
        <v>6984</v>
      </c>
      <c r="AP48" s="30" t="s">
        <v>6985</v>
      </c>
      <c r="AQ48" s="30" t="s">
        <v>6986</v>
      </c>
      <c r="AR48" s="30" t="s">
        <v>6987</v>
      </c>
      <c r="AS48" s="30" t="s">
        <v>6988</v>
      </c>
      <c r="AT48" s="22" t="s">
        <v>6989</v>
      </c>
      <c r="AX48" s="30">
        <v>44</v>
      </c>
      <c r="AY48" s="30" t="s">
        <v>3329</v>
      </c>
      <c r="AZ48" s="30" t="s">
        <v>7555</v>
      </c>
      <c r="BA48" s="30" t="s">
        <v>7556</v>
      </c>
      <c r="BB48" s="30" t="s">
        <v>7557</v>
      </c>
      <c r="BC48" s="22" t="s">
        <v>7558</v>
      </c>
      <c r="BE48" s="30">
        <v>47</v>
      </c>
      <c r="BF48" s="30" t="s">
        <v>3159</v>
      </c>
      <c r="BG48" s="34" t="s">
        <v>5586</v>
      </c>
      <c r="BH48" s="30">
        <v>43.05</v>
      </c>
      <c r="BI48" s="30">
        <v>24.02</v>
      </c>
      <c r="BJ48" s="22">
        <v>52.01</v>
      </c>
    </row>
    <row r="49" spans="1:62" ht="43.2" thickBot="1" x14ac:dyDescent="0.3">
      <c r="A49" s="21" t="s">
        <v>3309</v>
      </c>
      <c r="B49" s="22">
        <v>600</v>
      </c>
      <c r="C49" s="22">
        <v>1</v>
      </c>
      <c r="D49" s="22">
        <v>1</v>
      </c>
      <c r="E49" s="22" t="s">
        <v>834</v>
      </c>
      <c r="F49" s="22" t="s">
        <v>834</v>
      </c>
      <c r="H49" s="22">
        <v>48</v>
      </c>
      <c r="I49" s="22" t="s">
        <v>2878</v>
      </c>
      <c r="J49" s="22" t="s">
        <v>2908</v>
      </c>
      <c r="K49" s="22" t="s">
        <v>2908</v>
      </c>
      <c r="L49" s="22" t="s">
        <v>2908</v>
      </c>
      <c r="M49" s="22" t="s">
        <v>2908</v>
      </c>
      <c r="O49" s="39" t="s">
        <v>781</v>
      </c>
      <c r="P49" s="39" t="s">
        <v>2878</v>
      </c>
      <c r="Q49" s="39" t="s">
        <v>8281</v>
      </c>
      <c r="R49" s="39" t="s">
        <v>8282</v>
      </c>
      <c r="S49" s="39" t="s">
        <v>8283</v>
      </c>
      <c r="T49" s="39" t="s">
        <v>8284</v>
      </c>
      <c r="U49" s="44"/>
      <c r="V49" s="44" t="str">
        <f t="shared" si="1"/>
        <v>7.13</v>
      </c>
      <c r="W49" s="44" t="str">
        <f t="shared" si="2"/>
        <v>7.29</v>
      </c>
      <c r="X49" s="44" t="str">
        <f t="shared" si="3"/>
        <v>7.00</v>
      </c>
      <c r="Y49" s="44" t="str">
        <f t="shared" si="4"/>
        <v>6.89</v>
      </c>
      <c r="Z49" s="44"/>
      <c r="AB49" s="30">
        <v>48</v>
      </c>
      <c r="AC49" s="30" t="s">
        <v>6676</v>
      </c>
      <c r="AD49" s="30">
        <v>8.1199999999999992</v>
      </c>
      <c r="AE49" s="30">
        <v>8.68</v>
      </c>
      <c r="AF49" s="30">
        <v>7.66</v>
      </c>
      <c r="AG49" s="30">
        <v>9.25</v>
      </c>
      <c r="AH49" s="30">
        <v>9.69</v>
      </c>
      <c r="AI49" s="30">
        <v>9.8800000000000008</v>
      </c>
      <c r="AJ49" s="22">
        <v>13.02</v>
      </c>
      <c r="AL49" s="30">
        <v>45</v>
      </c>
      <c r="AM49" s="30" t="s">
        <v>5012</v>
      </c>
      <c r="AN49" s="30" t="s">
        <v>6990</v>
      </c>
      <c r="AO49" s="30" t="s">
        <v>6991</v>
      </c>
      <c r="AP49" s="30" t="s">
        <v>6992</v>
      </c>
      <c r="AQ49" s="30" t="s">
        <v>6993</v>
      </c>
      <c r="AR49" s="30" t="s">
        <v>6994</v>
      </c>
      <c r="AS49" s="30" t="s">
        <v>6995</v>
      </c>
      <c r="AT49" s="22" t="s">
        <v>6996</v>
      </c>
      <c r="AX49" s="30">
        <v>45</v>
      </c>
      <c r="AY49" s="30" t="s">
        <v>5012</v>
      </c>
      <c r="AZ49" s="30" t="s">
        <v>7559</v>
      </c>
      <c r="BA49" s="30" t="s">
        <v>7560</v>
      </c>
      <c r="BB49" s="30" t="s">
        <v>7561</v>
      </c>
      <c r="BC49" s="22" t="s">
        <v>7562</v>
      </c>
      <c r="BE49" s="30">
        <v>48</v>
      </c>
      <c r="BF49" s="30" t="s">
        <v>7776</v>
      </c>
      <c r="BG49" s="30">
        <v>22.17</v>
      </c>
      <c r="BH49" s="30">
        <v>11.37</v>
      </c>
      <c r="BI49" s="30">
        <v>11.28</v>
      </c>
      <c r="BJ49" s="22">
        <v>6.49</v>
      </c>
    </row>
    <row r="50" spans="1:62" ht="72" thickBot="1" x14ac:dyDescent="0.3">
      <c r="A50" s="21" t="s">
        <v>2180</v>
      </c>
      <c r="B50" s="22">
        <v>13000</v>
      </c>
      <c r="C50" s="22">
        <v>1</v>
      </c>
      <c r="D50" s="22">
        <v>1</v>
      </c>
      <c r="E50" s="22" t="s">
        <v>834</v>
      </c>
      <c r="F50" s="22" t="s">
        <v>834</v>
      </c>
      <c r="H50" s="22">
        <v>49</v>
      </c>
      <c r="I50" s="22" t="s">
        <v>2927</v>
      </c>
      <c r="J50" s="22" t="s">
        <v>2908</v>
      </c>
      <c r="K50" s="22" t="s">
        <v>2908</v>
      </c>
      <c r="L50" s="22" t="s">
        <v>2908</v>
      </c>
      <c r="M50" s="22" t="s">
        <v>2908</v>
      </c>
      <c r="O50" s="39" t="s">
        <v>797</v>
      </c>
      <c r="P50" s="39" t="s">
        <v>2927</v>
      </c>
      <c r="Q50" s="39" t="s">
        <v>2908</v>
      </c>
      <c r="R50" s="39" t="s">
        <v>2908</v>
      </c>
      <c r="S50" s="39" t="s">
        <v>2908</v>
      </c>
      <c r="T50" s="39" t="s">
        <v>2908</v>
      </c>
      <c r="U50" s="44"/>
      <c r="V50" s="44" t="e">
        <f t="shared" si="1"/>
        <v>#N/A</v>
      </c>
      <c r="W50" s="44" t="e">
        <f t="shared" si="2"/>
        <v>#N/A</v>
      </c>
      <c r="X50" s="44" t="e">
        <f t="shared" si="3"/>
        <v>#N/A</v>
      </c>
      <c r="Y50" s="44" t="e">
        <f t="shared" si="4"/>
        <v>#N/A</v>
      </c>
      <c r="Z50" s="44"/>
      <c r="AB50" s="30">
        <v>49</v>
      </c>
      <c r="AC50" s="30" t="s">
        <v>2927</v>
      </c>
      <c r="AD50" s="30">
        <v>3930.99</v>
      </c>
      <c r="AE50" s="30">
        <v>5983.94</v>
      </c>
      <c r="AF50" s="30">
        <v>6287.21</v>
      </c>
      <c r="AG50" s="30">
        <v>3102.28</v>
      </c>
      <c r="AH50" s="30">
        <v>7222.92</v>
      </c>
      <c r="AI50" s="30">
        <v>3584.22</v>
      </c>
      <c r="AJ50" s="22">
        <v>3514.34</v>
      </c>
      <c r="AL50" s="30">
        <v>46</v>
      </c>
      <c r="AM50" s="30" t="s">
        <v>3665</v>
      </c>
      <c r="AN50" s="30" t="s">
        <v>6997</v>
      </c>
      <c r="AO50" s="30" t="s">
        <v>6998</v>
      </c>
      <c r="AP50" s="30" t="s">
        <v>6999</v>
      </c>
      <c r="AQ50" s="30" t="s">
        <v>7000</v>
      </c>
      <c r="AR50" s="30" t="s">
        <v>7001</v>
      </c>
      <c r="AS50" s="30" t="s">
        <v>7002</v>
      </c>
      <c r="AT50" s="22" t="s">
        <v>7003</v>
      </c>
      <c r="AX50" s="30">
        <v>46</v>
      </c>
      <c r="AY50" s="30" t="s">
        <v>3665</v>
      </c>
      <c r="AZ50" s="30" t="s">
        <v>7563</v>
      </c>
      <c r="BA50" s="30" t="s">
        <v>7564</v>
      </c>
      <c r="BB50" s="30" t="s">
        <v>7565</v>
      </c>
      <c r="BC50" s="22" t="s">
        <v>7566</v>
      </c>
      <c r="BE50" s="30">
        <v>49</v>
      </c>
      <c r="BF50" s="30" t="s">
        <v>7777</v>
      </c>
      <c r="BG50" s="30">
        <v>8474.1</v>
      </c>
      <c r="BH50" s="30">
        <v>6927.46</v>
      </c>
      <c r="BI50" s="30">
        <v>4399.84</v>
      </c>
      <c r="BJ50" s="22">
        <v>4046.94</v>
      </c>
    </row>
    <row r="51" spans="1:62" ht="71.400000000000006" thickBot="1" x14ac:dyDescent="0.3">
      <c r="H51" s="22">
        <v>50</v>
      </c>
      <c r="I51" s="22" t="s">
        <v>6147</v>
      </c>
      <c r="J51" s="22">
        <v>461</v>
      </c>
      <c r="K51" s="22">
        <v>668</v>
      </c>
      <c r="L51" s="22">
        <v>482</v>
      </c>
      <c r="M51" s="22">
        <v>325</v>
      </c>
      <c r="O51" s="39" t="s">
        <v>894</v>
      </c>
      <c r="P51" s="39" t="s">
        <v>2164</v>
      </c>
      <c r="Q51" s="39" t="s">
        <v>8285</v>
      </c>
      <c r="R51" s="39" t="s">
        <v>8286</v>
      </c>
      <c r="S51" s="39" t="s">
        <v>8287</v>
      </c>
      <c r="T51" s="39" t="s">
        <v>8288</v>
      </c>
      <c r="U51" s="44"/>
      <c r="V51" s="44" t="str">
        <f t="shared" si="1"/>
        <v>26.50</v>
      </c>
      <c r="W51" s="44" t="str">
        <f t="shared" si="2"/>
        <v>38.41</v>
      </c>
      <c r="X51" s="44" t="str">
        <f t="shared" si="3"/>
        <v>27.67</v>
      </c>
      <c r="Y51" s="44" t="str">
        <f t="shared" si="4"/>
        <v>18.68</v>
      </c>
      <c r="Z51" s="44"/>
      <c r="AB51" s="30">
        <v>50</v>
      </c>
      <c r="AC51" s="30" t="s">
        <v>6677</v>
      </c>
      <c r="AD51" s="30">
        <v>153.43</v>
      </c>
      <c r="AE51" s="30">
        <v>75.290000000000006</v>
      </c>
      <c r="AF51" s="30">
        <v>32.159999999999997</v>
      </c>
      <c r="AG51" s="30">
        <v>89.01</v>
      </c>
      <c r="AH51" s="30">
        <v>139.11000000000001</v>
      </c>
      <c r="AI51" s="30">
        <v>101.53</v>
      </c>
      <c r="AJ51" s="22">
        <v>163.09</v>
      </c>
      <c r="AL51" s="30">
        <v>47</v>
      </c>
      <c r="AM51" s="30" t="s">
        <v>2916</v>
      </c>
      <c r="AN51" s="30" t="s">
        <v>7004</v>
      </c>
      <c r="AO51" s="30" t="s">
        <v>7005</v>
      </c>
      <c r="AP51" s="30" t="s">
        <v>7006</v>
      </c>
      <c r="AQ51" s="30" t="s">
        <v>7007</v>
      </c>
      <c r="AR51" s="30" t="s">
        <v>7008</v>
      </c>
      <c r="AS51" s="30" t="s">
        <v>7009</v>
      </c>
      <c r="AT51" s="22" t="s">
        <v>7010</v>
      </c>
      <c r="AX51" s="30">
        <v>47</v>
      </c>
      <c r="AY51" s="30" t="s">
        <v>2916</v>
      </c>
      <c r="AZ51" s="30" t="s">
        <v>7567</v>
      </c>
      <c r="BA51" s="30" t="s">
        <v>7568</v>
      </c>
      <c r="BB51" s="30" t="s">
        <v>7569</v>
      </c>
      <c r="BC51" s="22" t="s">
        <v>7570</v>
      </c>
      <c r="BE51" s="30">
        <v>50</v>
      </c>
      <c r="BF51" s="30" t="s">
        <v>7778</v>
      </c>
      <c r="BG51" s="30">
        <v>261.16000000000003</v>
      </c>
      <c r="BH51" s="30">
        <v>168.68</v>
      </c>
      <c r="BI51" s="30">
        <v>112.74</v>
      </c>
      <c r="BJ51" s="22">
        <v>139.41</v>
      </c>
    </row>
    <row r="52" spans="1:62" ht="69.599999999999994" thickBot="1" x14ac:dyDescent="0.3">
      <c r="H52" s="22">
        <v>51</v>
      </c>
      <c r="I52" s="22" t="s">
        <v>2170</v>
      </c>
      <c r="J52" s="22" t="s">
        <v>2908</v>
      </c>
      <c r="K52" s="22" t="s">
        <v>2908</v>
      </c>
      <c r="L52" s="22" t="s">
        <v>2908</v>
      </c>
      <c r="M52" s="22" t="s">
        <v>2908</v>
      </c>
      <c r="O52" s="39" t="s">
        <v>1127</v>
      </c>
      <c r="P52" s="39" t="s">
        <v>2170</v>
      </c>
      <c r="Q52" s="39" t="s">
        <v>2908</v>
      </c>
      <c r="R52" s="39" t="s">
        <v>2908</v>
      </c>
      <c r="S52" s="39" t="s">
        <v>2908</v>
      </c>
      <c r="T52" s="39" t="s">
        <v>2908</v>
      </c>
      <c r="U52" s="44"/>
      <c r="V52" s="44" t="e">
        <f t="shared" si="1"/>
        <v>#N/A</v>
      </c>
      <c r="W52" s="44" t="e">
        <f t="shared" si="2"/>
        <v>#N/A</v>
      </c>
      <c r="X52" s="44" t="e">
        <f t="shared" si="3"/>
        <v>#N/A</v>
      </c>
      <c r="Y52" s="44" t="e">
        <f t="shared" si="4"/>
        <v>#N/A</v>
      </c>
      <c r="Z52" s="44"/>
      <c r="AB52" s="30">
        <v>51</v>
      </c>
      <c r="AC52" s="30" t="s">
        <v>2170</v>
      </c>
      <c r="AD52" s="30">
        <v>3565.2</v>
      </c>
      <c r="AE52" s="30">
        <v>2072.83</v>
      </c>
      <c r="AF52" s="30">
        <v>1458.56</v>
      </c>
      <c r="AG52" s="30">
        <v>3424</v>
      </c>
      <c r="AH52" s="30">
        <v>4073.31</v>
      </c>
      <c r="AI52" s="30">
        <v>5113.07</v>
      </c>
      <c r="AJ52" s="22">
        <v>4903.82</v>
      </c>
      <c r="AL52" s="30">
        <v>48</v>
      </c>
      <c r="AM52" s="30" t="s">
        <v>3411</v>
      </c>
      <c r="AN52" s="30" t="s">
        <v>7011</v>
      </c>
      <c r="AO52" s="30" t="s">
        <v>7012</v>
      </c>
      <c r="AP52" s="30" t="s">
        <v>7013</v>
      </c>
      <c r="AQ52" s="30" t="s">
        <v>7014</v>
      </c>
      <c r="AR52" s="30" t="s">
        <v>7015</v>
      </c>
      <c r="AS52" s="30" t="s">
        <v>7016</v>
      </c>
      <c r="AT52" s="22" t="s">
        <v>7017</v>
      </c>
      <c r="AX52" s="30">
        <v>48</v>
      </c>
      <c r="AY52" s="30" t="s">
        <v>3411</v>
      </c>
      <c r="AZ52" s="30" t="s">
        <v>7571</v>
      </c>
      <c r="BA52" s="30" t="s">
        <v>7572</v>
      </c>
      <c r="BB52" s="30" t="s">
        <v>7573</v>
      </c>
      <c r="BC52" s="22" t="s">
        <v>7574</v>
      </c>
      <c r="BE52" s="30">
        <v>51</v>
      </c>
      <c r="BF52" s="30" t="s">
        <v>2170</v>
      </c>
      <c r="BG52" s="30">
        <v>6039.31</v>
      </c>
      <c r="BH52" s="30">
        <v>14715.89</v>
      </c>
      <c r="BI52" s="30">
        <v>10598.19</v>
      </c>
      <c r="BJ52" s="22">
        <v>13889.37</v>
      </c>
    </row>
    <row r="53" spans="1:62" ht="57.6" thickBot="1" x14ac:dyDescent="0.3">
      <c r="H53" s="22">
        <v>52</v>
      </c>
      <c r="I53" s="22" t="s">
        <v>5467</v>
      </c>
      <c r="J53" s="22">
        <v>2</v>
      </c>
      <c r="K53" s="22">
        <v>1</v>
      </c>
      <c r="L53" s="22">
        <v>1</v>
      </c>
      <c r="M53" s="22">
        <v>1</v>
      </c>
      <c r="O53" s="39" t="s">
        <v>32</v>
      </c>
      <c r="P53" s="39" t="s">
        <v>2172</v>
      </c>
      <c r="Q53" s="39" t="s">
        <v>8289</v>
      </c>
      <c r="R53" s="39" t="s">
        <v>8290</v>
      </c>
      <c r="S53" s="39" t="s">
        <v>8291</v>
      </c>
      <c r="T53" s="39" t="s">
        <v>8292</v>
      </c>
      <c r="U53" s="44"/>
      <c r="V53" s="44" t="str">
        <f t="shared" si="1"/>
        <v>346.47</v>
      </c>
      <c r="W53" s="44" t="str">
        <f t="shared" si="2"/>
        <v>254.88</v>
      </c>
      <c r="X53" s="44" t="str">
        <f t="shared" si="3"/>
        <v>218.67</v>
      </c>
      <c r="Y53" s="44" t="str">
        <f t="shared" si="4"/>
        <v>177.42</v>
      </c>
      <c r="Z53" s="44"/>
      <c r="AB53" s="30">
        <v>52</v>
      </c>
      <c r="AC53" s="30" t="s">
        <v>6251</v>
      </c>
      <c r="AD53" s="30">
        <v>1023.99</v>
      </c>
      <c r="AE53" s="30">
        <v>629.89</v>
      </c>
      <c r="AF53" s="30">
        <v>449.56</v>
      </c>
      <c r="AG53" s="30">
        <v>1587.71</v>
      </c>
      <c r="AH53" s="30">
        <v>1492.1</v>
      </c>
      <c r="AI53" s="30">
        <v>613.61</v>
      </c>
      <c r="AJ53" s="22">
        <v>960.07</v>
      </c>
      <c r="AL53" s="30">
        <v>49</v>
      </c>
      <c r="AM53" s="30" t="s">
        <v>2179</v>
      </c>
      <c r="AN53" s="30" t="s">
        <v>7018</v>
      </c>
      <c r="AO53" s="30" t="s">
        <v>7019</v>
      </c>
      <c r="AP53" s="30" t="s">
        <v>7020</v>
      </c>
      <c r="AQ53" s="30" t="s">
        <v>7021</v>
      </c>
      <c r="AR53" s="30" t="s">
        <v>7022</v>
      </c>
      <c r="AS53" s="30" t="s">
        <v>7023</v>
      </c>
      <c r="AT53" s="22" t="s">
        <v>7024</v>
      </c>
      <c r="AX53" s="30">
        <v>49</v>
      </c>
      <c r="AY53" s="30" t="s">
        <v>2179</v>
      </c>
      <c r="AZ53" s="30" t="s">
        <v>7575</v>
      </c>
      <c r="BA53" s="30" t="s">
        <v>7576</v>
      </c>
      <c r="BB53" s="30" t="s">
        <v>7577</v>
      </c>
      <c r="BC53" s="22" t="s">
        <v>7578</v>
      </c>
      <c r="BE53" s="30">
        <v>52</v>
      </c>
      <c r="BF53" s="30" t="s">
        <v>7779</v>
      </c>
      <c r="BG53" s="30">
        <v>983.96</v>
      </c>
      <c r="BH53" s="30">
        <v>766.53</v>
      </c>
      <c r="BI53" s="30">
        <v>508.34</v>
      </c>
      <c r="BJ53" s="22">
        <v>585.6</v>
      </c>
    </row>
    <row r="54" spans="1:62" ht="55.8" thickBot="1" x14ac:dyDescent="0.3">
      <c r="H54" s="22">
        <v>53</v>
      </c>
      <c r="I54" s="22" t="s">
        <v>3819</v>
      </c>
      <c r="J54" s="22" t="s">
        <v>2908</v>
      </c>
      <c r="K54" s="22" t="s">
        <v>2908</v>
      </c>
      <c r="L54" s="22" t="s">
        <v>2908</v>
      </c>
      <c r="M54" s="22" t="s">
        <v>2908</v>
      </c>
      <c r="O54" s="39" t="s">
        <v>843</v>
      </c>
      <c r="P54" s="39" t="s">
        <v>2928</v>
      </c>
      <c r="Q54" s="39" t="s">
        <v>8245</v>
      </c>
      <c r="R54" s="39" t="s">
        <v>8246</v>
      </c>
      <c r="S54" s="39" t="s">
        <v>8247</v>
      </c>
      <c r="T54" s="39" t="s">
        <v>8248</v>
      </c>
      <c r="U54" s="44"/>
      <c r="V54" s="44" t="str">
        <f t="shared" si="1"/>
        <v>942.05</v>
      </c>
      <c r="W54" s="44" t="str">
        <f t="shared" si="2"/>
        <v>996.42</v>
      </c>
      <c r="X54" s="44" t="str">
        <f t="shared" si="3"/>
        <v>458.77</v>
      </c>
      <c r="Y54" s="44" t="str">
        <f t="shared" si="4"/>
        <v>454.62</v>
      </c>
      <c r="Z54" s="44"/>
      <c r="AB54" s="30">
        <v>53</v>
      </c>
      <c r="AC54" s="30" t="s">
        <v>3819</v>
      </c>
      <c r="AD54" s="30" t="s">
        <v>2908</v>
      </c>
      <c r="AE54" s="30" t="s">
        <v>2908</v>
      </c>
      <c r="AF54" s="30" t="s">
        <v>2908</v>
      </c>
      <c r="AG54" s="30" t="s">
        <v>2908</v>
      </c>
      <c r="AH54" s="30" t="s">
        <v>2908</v>
      </c>
      <c r="AI54" s="30" t="s">
        <v>2908</v>
      </c>
      <c r="AJ54" s="22" t="s">
        <v>2908</v>
      </c>
      <c r="AL54" s="30">
        <v>50</v>
      </c>
      <c r="AM54" s="30" t="s">
        <v>3429</v>
      </c>
      <c r="AN54" s="30" t="s">
        <v>7025</v>
      </c>
      <c r="AO54" s="30" t="s">
        <v>7026</v>
      </c>
      <c r="AP54" s="30" t="s">
        <v>7027</v>
      </c>
      <c r="AQ54" s="30" t="s">
        <v>7028</v>
      </c>
      <c r="AR54" s="30" t="s">
        <v>7029</v>
      </c>
      <c r="AS54" s="30" t="s">
        <v>7030</v>
      </c>
      <c r="AT54" s="22" t="s">
        <v>7031</v>
      </c>
      <c r="AX54" s="30">
        <v>50</v>
      </c>
      <c r="AY54" s="30" t="s">
        <v>3429</v>
      </c>
      <c r="AZ54" s="30" t="s">
        <v>7579</v>
      </c>
      <c r="BA54" s="30" t="s">
        <v>7580</v>
      </c>
      <c r="BB54" s="30" t="s">
        <v>7581</v>
      </c>
      <c r="BC54" s="22" t="s">
        <v>7582</v>
      </c>
      <c r="BE54" s="30">
        <v>53</v>
      </c>
      <c r="BF54" s="30" t="s">
        <v>3819</v>
      </c>
      <c r="BG54" s="34" t="s">
        <v>2908</v>
      </c>
      <c r="BH54" s="34" t="s">
        <v>2908</v>
      </c>
      <c r="BI54" s="34" t="s">
        <v>2908</v>
      </c>
      <c r="BJ54" s="35" t="s">
        <v>2908</v>
      </c>
    </row>
    <row r="55" spans="1:62" ht="71.400000000000006" thickBot="1" x14ac:dyDescent="0.3">
      <c r="H55" s="22">
        <v>54</v>
      </c>
      <c r="I55" s="22" t="s">
        <v>2929</v>
      </c>
      <c r="J55" s="22" t="s">
        <v>2908</v>
      </c>
      <c r="K55" s="22" t="s">
        <v>2908</v>
      </c>
      <c r="L55" s="22" t="s">
        <v>2908</v>
      </c>
      <c r="M55" s="22" t="s">
        <v>2908</v>
      </c>
      <c r="O55" s="39" t="s">
        <v>1515</v>
      </c>
      <c r="P55" s="39" t="s">
        <v>2929</v>
      </c>
      <c r="Q55" s="39" t="s">
        <v>8293</v>
      </c>
      <c r="R55" s="39" t="s">
        <v>8294</v>
      </c>
      <c r="S55" s="39" t="s">
        <v>8295</v>
      </c>
      <c r="T55" s="39" t="s">
        <v>8296</v>
      </c>
      <c r="U55" s="44"/>
      <c r="V55" s="44" t="str">
        <f t="shared" si="1"/>
        <v>49.73</v>
      </c>
      <c r="W55" s="44" t="str">
        <f t="shared" si="2"/>
        <v>48.22</v>
      </c>
      <c r="X55" s="44" t="str">
        <f t="shared" si="3"/>
        <v>28.19</v>
      </c>
      <c r="Y55" s="44" t="str">
        <f t="shared" si="4"/>
        <v>25.85</v>
      </c>
      <c r="Z55" s="44"/>
      <c r="AB55" s="30">
        <v>54</v>
      </c>
      <c r="AC55" s="30" t="s">
        <v>5468</v>
      </c>
      <c r="AD55" s="30">
        <v>124.81</v>
      </c>
      <c r="AE55" s="30">
        <v>89.06</v>
      </c>
      <c r="AF55" s="30">
        <v>295.10000000000002</v>
      </c>
      <c r="AG55" s="30">
        <v>1023.65</v>
      </c>
      <c r="AH55" s="30">
        <v>162.4</v>
      </c>
      <c r="AI55" s="30">
        <v>39.28</v>
      </c>
      <c r="AJ55" s="22">
        <v>102.5</v>
      </c>
      <c r="AL55" s="30">
        <v>51</v>
      </c>
      <c r="AM55" s="30" t="s">
        <v>3433</v>
      </c>
      <c r="AN55" s="30" t="s">
        <v>7032</v>
      </c>
      <c r="AO55" s="30" t="s">
        <v>7033</v>
      </c>
      <c r="AP55" s="30" t="s">
        <v>7034</v>
      </c>
      <c r="AQ55" s="30" t="s">
        <v>7035</v>
      </c>
      <c r="AR55" s="30" t="s">
        <v>7036</v>
      </c>
      <c r="AS55" s="30" t="s">
        <v>7037</v>
      </c>
      <c r="AT55" s="22" t="s">
        <v>7038</v>
      </c>
      <c r="AX55" s="30">
        <v>51</v>
      </c>
      <c r="AY55" s="30" t="s">
        <v>3433</v>
      </c>
      <c r="AZ55" s="30" t="s">
        <v>7583</v>
      </c>
      <c r="BA55" s="30" t="s">
        <v>7584</v>
      </c>
      <c r="BB55" s="30" t="s">
        <v>7585</v>
      </c>
      <c r="BC55" s="22" t="s">
        <v>7586</v>
      </c>
      <c r="BE55" s="30">
        <v>54</v>
      </c>
      <c r="BF55" s="30" t="s">
        <v>7780</v>
      </c>
      <c r="BG55" s="30">
        <v>63.66</v>
      </c>
      <c r="BH55" s="30">
        <v>60.04</v>
      </c>
      <c r="BI55" s="30">
        <v>25.08</v>
      </c>
      <c r="BJ55" s="22">
        <v>22.92</v>
      </c>
    </row>
    <row r="56" spans="1:62" ht="69.599999999999994" thickBot="1" x14ac:dyDescent="0.3">
      <c r="H56" s="22">
        <v>55</v>
      </c>
      <c r="I56" s="22" t="s">
        <v>2183</v>
      </c>
      <c r="J56" s="22" t="s">
        <v>2908</v>
      </c>
      <c r="K56" s="22" t="s">
        <v>2908</v>
      </c>
      <c r="L56" s="22" t="s">
        <v>2908</v>
      </c>
      <c r="M56" s="22" t="s">
        <v>2908</v>
      </c>
      <c r="O56" s="39" t="s">
        <v>862</v>
      </c>
      <c r="P56" s="39" t="s">
        <v>2183</v>
      </c>
      <c r="Q56" s="39" t="s">
        <v>2908</v>
      </c>
      <c r="R56" s="39" t="s">
        <v>2908</v>
      </c>
      <c r="S56" s="39" t="s">
        <v>2908</v>
      </c>
      <c r="T56" s="39" t="s">
        <v>2908</v>
      </c>
      <c r="U56" s="44"/>
      <c r="V56" s="44" t="e">
        <f t="shared" si="1"/>
        <v>#N/A</v>
      </c>
      <c r="W56" s="44" t="e">
        <f t="shared" si="2"/>
        <v>#N/A</v>
      </c>
      <c r="X56" s="44" t="e">
        <f t="shared" si="3"/>
        <v>#N/A</v>
      </c>
      <c r="Y56" s="44" t="e">
        <f t="shared" si="4"/>
        <v>#N/A</v>
      </c>
      <c r="Z56" s="44"/>
      <c r="AB56" s="30">
        <v>55</v>
      </c>
      <c r="AC56" s="30" t="s">
        <v>2183</v>
      </c>
      <c r="AD56" s="30" t="s">
        <v>2908</v>
      </c>
      <c r="AE56" s="30" t="s">
        <v>2908</v>
      </c>
      <c r="AF56" s="30" t="s">
        <v>2908</v>
      </c>
      <c r="AG56" s="30" t="s">
        <v>2908</v>
      </c>
      <c r="AH56" s="30" t="s">
        <v>2908</v>
      </c>
      <c r="AI56" s="30" t="s">
        <v>2908</v>
      </c>
      <c r="AJ56" s="22" t="s">
        <v>2908</v>
      </c>
      <c r="AL56" s="29" t="s">
        <v>7039</v>
      </c>
      <c r="AM56" s="30"/>
      <c r="AN56" s="30"/>
      <c r="AO56" s="30"/>
      <c r="AP56" s="30"/>
      <c r="AQ56" s="30"/>
      <c r="AR56" s="30"/>
      <c r="AS56" s="30"/>
      <c r="AT56" s="22"/>
      <c r="AX56" s="29" t="s">
        <v>7039</v>
      </c>
      <c r="AY56" s="30"/>
      <c r="AZ56" s="30"/>
      <c r="BA56" s="30"/>
      <c r="BB56" s="30"/>
      <c r="BC56" s="22"/>
      <c r="BE56" s="30">
        <v>55</v>
      </c>
      <c r="BF56" s="30" t="s">
        <v>2183</v>
      </c>
      <c r="BG56" s="34" t="s">
        <v>2908</v>
      </c>
      <c r="BH56" s="34" t="s">
        <v>2908</v>
      </c>
      <c r="BI56" s="34" t="s">
        <v>2908</v>
      </c>
      <c r="BJ56" s="35" t="s">
        <v>2908</v>
      </c>
    </row>
    <row r="57" spans="1:62" ht="55.8" thickBot="1" x14ac:dyDescent="0.3">
      <c r="H57" s="22">
        <v>56</v>
      </c>
      <c r="I57" s="22" t="s">
        <v>2185</v>
      </c>
      <c r="J57" s="22" t="s">
        <v>2908</v>
      </c>
      <c r="K57" s="22" t="s">
        <v>2908</v>
      </c>
      <c r="L57" s="22" t="s">
        <v>2908</v>
      </c>
      <c r="M57" s="22" t="s">
        <v>2908</v>
      </c>
      <c r="O57" s="39" t="s">
        <v>7869</v>
      </c>
      <c r="P57" s="39" t="s">
        <v>2185</v>
      </c>
      <c r="Q57" s="39" t="s">
        <v>8297</v>
      </c>
      <c r="R57" s="39" t="s">
        <v>8298</v>
      </c>
      <c r="S57" s="39" t="s">
        <v>8299</v>
      </c>
      <c r="T57" s="39" t="s">
        <v>8300</v>
      </c>
      <c r="U57" s="44"/>
      <c r="V57" s="44" t="str">
        <f t="shared" si="1"/>
        <v>10.98</v>
      </c>
      <c r="W57" s="44" t="str">
        <f t="shared" si="2"/>
        <v>11.09</v>
      </c>
      <c r="X57" s="44" t="str">
        <f t="shared" si="3"/>
        <v>10.03</v>
      </c>
      <c r="Y57" s="44" t="str">
        <f t="shared" si="4"/>
        <v>9.80</v>
      </c>
      <c r="Z57" s="44"/>
      <c r="AB57" s="30">
        <v>56</v>
      </c>
      <c r="AC57" s="30" t="s">
        <v>2185</v>
      </c>
      <c r="AD57" s="30">
        <v>15.29</v>
      </c>
      <c r="AE57" s="30">
        <v>18.13</v>
      </c>
      <c r="AF57" s="30">
        <v>14.5</v>
      </c>
      <c r="AG57" s="30">
        <v>25.21</v>
      </c>
      <c r="AH57" s="30">
        <v>19.11</v>
      </c>
      <c r="AI57" s="30">
        <v>19.059999999999999</v>
      </c>
      <c r="AJ57" s="22">
        <v>18.46</v>
      </c>
      <c r="AL57" s="30">
        <v>52</v>
      </c>
      <c r="AM57" s="30" t="s">
        <v>2948</v>
      </c>
      <c r="AN57" s="30" t="s">
        <v>7040</v>
      </c>
      <c r="AO57" s="30" t="s">
        <v>7041</v>
      </c>
      <c r="AP57" s="30" t="s">
        <v>7042</v>
      </c>
      <c r="AQ57" s="30" t="s">
        <v>7043</v>
      </c>
      <c r="AR57" s="30" t="s">
        <v>7044</v>
      </c>
      <c r="AS57" s="30" t="s">
        <v>7045</v>
      </c>
      <c r="AT57" s="22" t="s">
        <v>7046</v>
      </c>
      <c r="AX57" s="30">
        <v>52</v>
      </c>
      <c r="AY57" s="30" t="s">
        <v>2948</v>
      </c>
      <c r="AZ57" s="30" t="s">
        <v>7587</v>
      </c>
      <c r="BA57" s="30" t="s">
        <v>7588</v>
      </c>
      <c r="BB57" s="30" t="s">
        <v>7589</v>
      </c>
      <c r="BC57" s="22" t="s">
        <v>7590</v>
      </c>
      <c r="BE57" s="30">
        <v>56</v>
      </c>
      <c r="BF57" s="30" t="s">
        <v>2185</v>
      </c>
      <c r="BG57" s="30">
        <v>24.26</v>
      </c>
      <c r="BH57" s="30">
        <v>16.29</v>
      </c>
      <c r="BI57" s="30">
        <v>15.33</v>
      </c>
      <c r="BJ57" s="22">
        <v>14.53</v>
      </c>
    </row>
    <row r="58" spans="1:62" ht="57.6" thickBot="1" x14ac:dyDescent="0.3">
      <c r="H58" s="22">
        <v>57</v>
      </c>
      <c r="I58" s="22" t="s">
        <v>6144</v>
      </c>
      <c r="J58" s="22">
        <v>1435</v>
      </c>
      <c r="K58" s="22">
        <v>1938</v>
      </c>
      <c r="L58" s="22">
        <v>627</v>
      </c>
      <c r="M58" s="22">
        <v>293</v>
      </c>
      <c r="O58" s="39" t="s">
        <v>1016</v>
      </c>
      <c r="P58" s="39" t="s">
        <v>2930</v>
      </c>
      <c r="Q58" s="39" t="s">
        <v>8301</v>
      </c>
      <c r="R58" s="39" t="s">
        <v>8302</v>
      </c>
      <c r="S58" s="39" t="s">
        <v>8303</v>
      </c>
      <c r="T58" s="39" t="s">
        <v>8304</v>
      </c>
      <c r="U58" s="44"/>
      <c r="V58" s="44" t="str">
        <f t="shared" si="1"/>
        <v>23.69</v>
      </c>
      <c r="W58" s="44" t="str">
        <f t="shared" si="2"/>
        <v>32.00</v>
      </c>
      <c r="X58" s="44" t="str">
        <f t="shared" si="3"/>
        <v>10.35</v>
      </c>
      <c r="Y58" s="44" t="str">
        <f t="shared" si="4"/>
        <v>4.84</v>
      </c>
      <c r="Z58" s="44"/>
      <c r="AB58" s="30">
        <v>57</v>
      </c>
      <c r="AC58" s="30" t="s">
        <v>6157</v>
      </c>
      <c r="AD58" s="30">
        <v>108.37</v>
      </c>
      <c r="AE58" s="30">
        <v>51.95</v>
      </c>
      <c r="AF58" s="30">
        <v>29.11</v>
      </c>
      <c r="AG58" s="30">
        <v>63.71</v>
      </c>
      <c r="AH58" s="30">
        <v>225.04</v>
      </c>
      <c r="AI58" s="30">
        <v>84.44</v>
      </c>
      <c r="AJ58" s="22">
        <v>140.44</v>
      </c>
      <c r="AL58" s="30">
        <v>53</v>
      </c>
      <c r="AM58" s="30" t="s">
        <v>4570</v>
      </c>
      <c r="AN58" s="30" t="s">
        <v>7047</v>
      </c>
      <c r="AO58" s="30" t="s">
        <v>7048</v>
      </c>
      <c r="AP58" s="30" t="s">
        <v>7049</v>
      </c>
      <c r="AQ58" s="30" t="s">
        <v>7050</v>
      </c>
      <c r="AR58" s="30" t="s">
        <v>7051</v>
      </c>
      <c r="AS58" s="30" t="s">
        <v>7052</v>
      </c>
      <c r="AT58" s="22" t="s">
        <v>7053</v>
      </c>
      <c r="AX58" s="30">
        <v>53</v>
      </c>
      <c r="AY58" s="30" t="s">
        <v>4570</v>
      </c>
      <c r="AZ58" s="30" t="s">
        <v>7591</v>
      </c>
      <c r="BA58" s="30" t="s">
        <v>7592</v>
      </c>
      <c r="BB58" s="30" t="s">
        <v>7593</v>
      </c>
      <c r="BC58" s="22" t="s">
        <v>7594</v>
      </c>
      <c r="BE58" s="30">
        <v>57</v>
      </c>
      <c r="BF58" s="30" t="s">
        <v>7781</v>
      </c>
      <c r="BG58" s="30">
        <v>136.69999999999999</v>
      </c>
      <c r="BH58" s="30">
        <v>99.89</v>
      </c>
      <c r="BI58" s="30">
        <v>31.91</v>
      </c>
      <c r="BJ58" s="22">
        <v>58.31</v>
      </c>
    </row>
    <row r="59" spans="1:62" ht="42" thickBot="1" x14ac:dyDescent="0.3">
      <c r="H59" s="22">
        <v>58</v>
      </c>
      <c r="I59" s="22" t="s">
        <v>2331</v>
      </c>
      <c r="J59" s="22">
        <v>23</v>
      </c>
      <c r="K59" s="22">
        <v>33</v>
      </c>
      <c r="L59" s="22">
        <v>40</v>
      </c>
      <c r="M59" s="22">
        <v>27</v>
      </c>
      <c r="O59" s="39" t="s">
        <v>929</v>
      </c>
      <c r="P59" s="39" t="s">
        <v>2331</v>
      </c>
      <c r="Q59" s="39" t="s">
        <v>8305</v>
      </c>
      <c r="R59" s="39" t="s">
        <v>8306</v>
      </c>
      <c r="S59" s="39" t="s">
        <v>8307</v>
      </c>
      <c r="T59" s="39" t="s">
        <v>8308</v>
      </c>
      <c r="U59" s="44"/>
      <c r="V59" s="44" t="str">
        <f t="shared" si="1"/>
        <v>593.40</v>
      </c>
      <c r="W59" s="44" t="str">
        <f t="shared" si="2"/>
        <v>844.92</v>
      </c>
      <c r="X59" s="44" t="str">
        <f t="shared" si="3"/>
        <v>1024.86</v>
      </c>
      <c r="Y59" s="44" t="str">
        <f t="shared" si="4"/>
        <v>695.78</v>
      </c>
      <c r="Z59" s="44"/>
      <c r="AB59" s="30">
        <v>58</v>
      </c>
      <c r="AC59" s="30" t="s">
        <v>2331</v>
      </c>
      <c r="AD59" s="30">
        <v>1072.1600000000001</v>
      </c>
      <c r="AE59" s="30">
        <v>1030.51</v>
      </c>
      <c r="AF59" s="30">
        <v>722.99</v>
      </c>
      <c r="AG59" s="30">
        <v>1498.12</v>
      </c>
      <c r="AH59" s="30">
        <v>1136.03</v>
      </c>
      <c r="AI59" s="30">
        <v>722.58</v>
      </c>
      <c r="AJ59" s="22">
        <v>983.86</v>
      </c>
      <c r="AL59" s="30">
        <v>54</v>
      </c>
      <c r="AM59" s="30" t="s">
        <v>6526</v>
      </c>
      <c r="AN59" s="30" t="s">
        <v>7054</v>
      </c>
      <c r="AO59" s="30" t="s">
        <v>7055</v>
      </c>
      <c r="AP59" s="30" t="s">
        <v>7056</v>
      </c>
      <c r="AQ59" s="30" t="s">
        <v>7057</v>
      </c>
      <c r="AR59" s="30" t="s">
        <v>7058</v>
      </c>
      <c r="AS59" s="30" t="s">
        <v>7059</v>
      </c>
      <c r="AT59" s="22" t="s">
        <v>7060</v>
      </c>
      <c r="AX59" s="30">
        <v>54</v>
      </c>
      <c r="AY59" s="30" t="s">
        <v>6526</v>
      </c>
      <c r="AZ59" s="30" t="s">
        <v>7595</v>
      </c>
      <c r="BA59" s="30" t="s">
        <v>5586</v>
      </c>
      <c r="BB59" s="30" t="s">
        <v>5586</v>
      </c>
      <c r="BC59" s="22" t="s">
        <v>5816</v>
      </c>
      <c r="BE59" s="30">
        <v>58</v>
      </c>
      <c r="BF59" s="30" t="s">
        <v>2331</v>
      </c>
      <c r="BG59" s="30">
        <v>966.48</v>
      </c>
      <c r="BH59" s="30">
        <v>2091.54</v>
      </c>
      <c r="BI59" s="30">
        <v>553.57000000000005</v>
      </c>
      <c r="BJ59" s="22">
        <v>2323.2800000000002</v>
      </c>
    </row>
    <row r="60" spans="1:62" ht="71.400000000000006" thickBot="1" x14ac:dyDescent="0.3">
      <c r="H60" s="22">
        <v>59</v>
      </c>
      <c r="I60" s="22" t="s">
        <v>6145</v>
      </c>
      <c r="J60" s="22">
        <v>1</v>
      </c>
      <c r="K60" s="22">
        <v>1</v>
      </c>
      <c r="L60" s="22">
        <v>1</v>
      </c>
      <c r="M60" s="22">
        <v>2</v>
      </c>
      <c r="O60" s="39" t="s">
        <v>956</v>
      </c>
      <c r="P60" s="39" t="s">
        <v>2337</v>
      </c>
      <c r="Q60" s="39" t="s">
        <v>4962</v>
      </c>
      <c r="R60" s="39" t="s">
        <v>4962</v>
      </c>
      <c r="S60" s="39" t="s">
        <v>8309</v>
      </c>
      <c r="T60" s="39" t="s">
        <v>8310</v>
      </c>
      <c r="U60" s="44"/>
      <c r="V60" s="44" t="e">
        <f t="shared" si="1"/>
        <v>#N/A</v>
      </c>
      <c r="W60" s="44" t="e">
        <f t="shared" si="2"/>
        <v>#N/A</v>
      </c>
      <c r="X60" s="44" t="str">
        <f t="shared" si="3"/>
        <v>69.70</v>
      </c>
      <c r="Y60" s="44" t="str">
        <f t="shared" si="4"/>
        <v>22.23</v>
      </c>
      <c r="Z60" s="44"/>
      <c r="AB60" s="30">
        <v>59</v>
      </c>
      <c r="AC60" s="30" t="s">
        <v>6678</v>
      </c>
      <c r="AD60" s="30" t="s">
        <v>4962</v>
      </c>
      <c r="AE60" s="30" t="s">
        <v>4962</v>
      </c>
      <c r="AF60" s="30" t="s">
        <v>4962</v>
      </c>
      <c r="AG60" s="30" t="s">
        <v>4962</v>
      </c>
      <c r="AH60" s="30" t="s">
        <v>4962</v>
      </c>
      <c r="AI60" s="30" t="s">
        <v>4962</v>
      </c>
      <c r="AJ60" s="22" t="s">
        <v>5586</v>
      </c>
      <c r="AL60" s="30">
        <v>55</v>
      </c>
      <c r="AM60" s="30" t="s">
        <v>7061</v>
      </c>
      <c r="AN60" s="30" t="s">
        <v>7062</v>
      </c>
      <c r="AO60" s="30" t="s">
        <v>7063</v>
      </c>
      <c r="AP60" s="30" t="s">
        <v>7064</v>
      </c>
      <c r="AQ60" s="30" t="s">
        <v>7065</v>
      </c>
      <c r="AR60" s="30" t="s">
        <v>7066</v>
      </c>
      <c r="AS60" s="30" t="s">
        <v>7067</v>
      </c>
      <c r="AT60" s="22" t="s">
        <v>7068</v>
      </c>
      <c r="AX60" s="30">
        <v>55</v>
      </c>
      <c r="AY60" s="30" t="s">
        <v>7061</v>
      </c>
      <c r="AZ60" s="30" t="s">
        <v>7596</v>
      </c>
      <c r="BA60" s="30" t="s">
        <v>7597</v>
      </c>
      <c r="BB60" s="30" t="s">
        <v>7598</v>
      </c>
      <c r="BC60" s="22" t="s">
        <v>7599</v>
      </c>
      <c r="BE60" s="30">
        <v>59</v>
      </c>
      <c r="BF60" s="30" t="s">
        <v>7782</v>
      </c>
      <c r="BG60" s="34" t="s">
        <v>4962</v>
      </c>
      <c r="BH60" s="34" t="s">
        <v>4962</v>
      </c>
      <c r="BI60" s="34" t="s">
        <v>5586</v>
      </c>
      <c r="BJ60" s="35" t="s">
        <v>4962</v>
      </c>
    </row>
    <row r="61" spans="1:62" ht="42" thickBot="1" x14ac:dyDescent="0.3">
      <c r="H61" s="22">
        <v>60</v>
      </c>
      <c r="I61" s="22" t="s">
        <v>2365</v>
      </c>
      <c r="J61" s="22">
        <v>69</v>
      </c>
      <c r="K61" s="22">
        <v>76</v>
      </c>
      <c r="L61" s="22">
        <v>16</v>
      </c>
      <c r="M61" s="22">
        <v>12</v>
      </c>
      <c r="O61" s="39" t="s">
        <v>978</v>
      </c>
      <c r="P61" s="39" t="s">
        <v>2365</v>
      </c>
      <c r="Q61" s="39" t="s">
        <v>8311</v>
      </c>
      <c r="R61" s="39" t="s">
        <v>8312</v>
      </c>
      <c r="S61" s="39" t="s">
        <v>8313</v>
      </c>
      <c r="T61" s="39" t="s">
        <v>8314</v>
      </c>
      <c r="U61" s="44"/>
      <c r="V61" s="44" t="str">
        <f t="shared" si="1"/>
        <v>103.39</v>
      </c>
      <c r="W61" s="44" t="str">
        <f t="shared" si="2"/>
        <v>113.82</v>
      </c>
      <c r="X61" s="44" t="str">
        <f t="shared" si="3"/>
        <v>23.74</v>
      </c>
      <c r="Y61" s="44" t="str">
        <f t="shared" si="4"/>
        <v>17.62</v>
      </c>
      <c r="Z61" s="44"/>
      <c r="AB61" s="30">
        <v>60</v>
      </c>
      <c r="AC61" s="30" t="s">
        <v>2365</v>
      </c>
      <c r="AD61" s="30">
        <v>294.97000000000003</v>
      </c>
      <c r="AE61" s="30">
        <v>176.12</v>
      </c>
      <c r="AF61" s="30">
        <v>132.81</v>
      </c>
      <c r="AG61" s="30">
        <v>240.95</v>
      </c>
      <c r="AH61" s="30">
        <v>344.8</v>
      </c>
      <c r="AI61" s="30">
        <v>53.42</v>
      </c>
      <c r="AJ61" s="22">
        <v>82.39</v>
      </c>
      <c r="AL61" s="30">
        <v>56</v>
      </c>
      <c r="AM61" s="30" t="s">
        <v>3616</v>
      </c>
      <c r="AN61" s="30" t="s">
        <v>7069</v>
      </c>
      <c r="AO61" s="30" t="s">
        <v>7070</v>
      </c>
      <c r="AP61" s="30" t="s">
        <v>7071</v>
      </c>
      <c r="AQ61" s="30" t="s">
        <v>7072</v>
      </c>
      <c r="AR61" s="30" t="s">
        <v>7073</v>
      </c>
      <c r="AS61" s="30" t="s">
        <v>7074</v>
      </c>
      <c r="AT61" s="22" t="s">
        <v>7075</v>
      </c>
      <c r="AX61" s="30">
        <v>56</v>
      </c>
      <c r="AY61" s="30" t="s">
        <v>3616</v>
      </c>
      <c r="AZ61" s="30" t="s">
        <v>7600</v>
      </c>
      <c r="BA61" s="30" t="s">
        <v>7601</v>
      </c>
      <c r="BB61" s="30" t="s">
        <v>7602</v>
      </c>
      <c r="BC61" s="22" t="s">
        <v>7603</v>
      </c>
      <c r="BE61" s="30">
        <v>60</v>
      </c>
      <c r="BF61" s="30" t="s">
        <v>2365</v>
      </c>
      <c r="BG61" s="30">
        <v>114.36</v>
      </c>
      <c r="BH61" s="30">
        <v>179.81</v>
      </c>
      <c r="BI61" s="30">
        <v>38.54</v>
      </c>
      <c r="BJ61" s="22">
        <v>48.94</v>
      </c>
    </row>
    <row r="62" spans="1:62" ht="42" thickBot="1" x14ac:dyDescent="0.3">
      <c r="H62" s="22">
        <v>61</v>
      </c>
      <c r="I62" s="22" t="s">
        <v>2186</v>
      </c>
      <c r="J62" s="22">
        <v>2</v>
      </c>
      <c r="K62" s="22">
        <v>2</v>
      </c>
      <c r="L62" s="22" t="s">
        <v>1069</v>
      </c>
      <c r="M62" s="22" t="s">
        <v>1069</v>
      </c>
      <c r="O62" s="39" t="s">
        <v>996</v>
      </c>
      <c r="P62" s="39" t="s">
        <v>2186</v>
      </c>
      <c r="Q62" s="39" t="s">
        <v>8315</v>
      </c>
      <c r="R62" s="39" t="s">
        <v>8316</v>
      </c>
      <c r="S62" s="39" t="s">
        <v>8317</v>
      </c>
      <c r="T62" s="39" t="s">
        <v>8318</v>
      </c>
      <c r="U62" s="44"/>
      <c r="V62" s="44" t="str">
        <f t="shared" si="1"/>
        <v>2574.51</v>
      </c>
      <c r="W62" s="44" t="str">
        <f t="shared" si="2"/>
        <v>2416.30</v>
      </c>
      <c r="X62" s="44" t="str">
        <f t="shared" si="3"/>
        <v>1056.35</v>
      </c>
      <c r="Y62" s="44" t="str">
        <f t="shared" si="4"/>
        <v>826.02</v>
      </c>
      <c r="Z62" s="44"/>
      <c r="AB62" s="30">
        <v>61</v>
      </c>
      <c r="AC62" s="30" t="s">
        <v>2186</v>
      </c>
      <c r="AD62" s="30">
        <v>4709.91</v>
      </c>
      <c r="AE62" s="30">
        <v>2607.96</v>
      </c>
      <c r="AF62" s="30">
        <v>2451.9899999999998</v>
      </c>
      <c r="AG62" s="30">
        <v>4040.5</v>
      </c>
      <c r="AH62" s="30">
        <v>2800.07</v>
      </c>
      <c r="AI62" s="30">
        <v>1767.93</v>
      </c>
      <c r="AJ62" s="22">
        <v>4272.18</v>
      </c>
      <c r="AL62" s="30">
        <v>57</v>
      </c>
      <c r="AM62" s="30" t="s">
        <v>5105</v>
      </c>
      <c r="AN62" s="30" t="s">
        <v>7076</v>
      </c>
      <c r="AO62" s="30" t="s">
        <v>7077</v>
      </c>
      <c r="AP62" s="30" t="s">
        <v>7078</v>
      </c>
      <c r="AQ62" s="30" t="s">
        <v>7079</v>
      </c>
      <c r="AR62" s="30" t="s">
        <v>7080</v>
      </c>
      <c r="AS62" s="30" t="s">
        <v>7081</v>
      </c>
      <c r="AT62" s="22" t="s">
        <v>7082</v>
      </c>
      <c r="AX62" s="30">
        <v>57</v>
      </c>
      <c r="AY62" s="30" t="s">
        <v>5105</v>
      </c>
      <c r="AZ62" s="30" t="s">
        <v>7604</v>
      </c>
      <c r="BA62" s="30" t="s">
        <v>7605</v>
      </c>
      <c r="BB62" s="30" t="s">
        <v>7606</v>
      </c>
      <c r="BC62" s="22" t="s">
        <v>7607</v>
      </c>
      <c r="BE62" s="30">
        <v>61</v>
      </c>
      <c r="BF62" s="30" t="s">
        <v>2186</v>
      </c>
      <c r="BG62" s="30">
        <v>4210.53</v>
      </c>
      <c r="BH62" s="30">
        <v>3220.45</v>
      </c>
      <c r="BI62" s="30">
        <v>2045.9</v>
      </c>
      <c r="BJ62" s="22">
        <v>1742.03</v>
      </c>
    </row>
    <row r="63" spans="1:62" ht="42" thickBot="1" x14ac:dyDescent="0.3">
      <c r="H63" s="22">
        <v>62</v>
      </c>
      <c r="I63" s="22" t="s">
        <v>2382</v>
      </c>
      <c r="J63" s="22" t="s">
        <v>2908</v>
      </c>
      <c r="K63" s="22" t="s">
        <v>2908</v>
      </c>
      <c r="L63" s="22" t="s">
        <v>2908</v>
      </c>
      <c r="M63" s="22" t="s">
        <v>2908</v>
      </c>
      <c r="O63" s="39" t="s">
        <v>990</v>
      </c>
      <c r="P63" s="39" t="s">
        <v>2382</v>
      </c>
      <c r="Q63" s="39" t="s">
        <v>8319</v>
      </c>
      <c r="R63" s="39" t="s">
        <v>8320</v>
      </c>
      <c r="S63" s="39" t="s">
        <v>8321</v>
      </c>
      <c r="T63" s="39" t="s">
        <v>8322</v>
      </c>
      <c r="U63" s="44"/>
      <c r="V63" s="44" t="str">
        <f t="shared" si="1"/>
        <v>1149.69</v>
      </c>
      <c r="W63" s="44" t="str">
        <f t="shared" si="2"/>
        <v>1023.78</v>
      </c>
      <c r="X63" s="44" t="str">
        <f t="shared" si="3"/>
        <v>411.99</v>
      </c>
      <c r="Y63" s="44" t="str">
        <f t="shared" si="4"/>
        <v>339.86</v>
      </c>
      <c r="Z63" s="44"/>
      <c r="AB63" s="30">
        <v>62</v>
      </c>
      <c r="AC63" s="30" t="s">
        <v>2382</v>
      </c>
      <c r="AD63" s="30">
        <v>1676.56</v>
      </c>
      <c r="AE63" s="30">
        <v>1493.18</v>
      </c>
      <c r="AF63" s="30">
        <v>1440.31</v>
      </c>
      <c r="AG63" s="30">
        <v>2433.4299999999998</v>
      </c>
      <c r="AH63" s="30">
        <v>1654.87</v>
      </c>
      <c r="AI63" s="30">
        <v>1496.32</v>
      </c>
      <c r="AJ63" s="22">
        <v>2156.1</v>
      </c>
      <c r="AL63" s="30">
        <v>58</v>
      </c>
      <c r="AM63" s="30" t="s">
        <v>5112</v>
      </c>
      <c r="AN63" s="30" t="s">
        <v>7083</v>
      </c>
      <c r="AO63" s="30" t="s">
        <v>7084</v>
      </c>
      <c r="AP63" s="30" t="s">
        <v>7085</v>
      </c>
      <c r="AQ63" s="30" t="s">
        <v>7086</v>
      </c>
      <c r="AR63" s="30" t="s">
        <v>7087</v>
      </c>
      <c r="AS63" s="30" t="s">
        <v>7088</v>
      </c>
      <c r="AT63" s="22" t="s">
        <v>7089</v>
      </c>
      <c r="AX63" s="30">
        <v>58</v>
      </c>
      <c r="AY63" s="30" t="s">
        <v>5112</v>
      </c>
      <c r="AZ63" s="30" t="s">
        <v>7608</v>
      </c>
      <c r="BA63" s="30" t="s">
        <v>7609</v>
      </c>
      <c r="BB63" s="30" t="s">
        <v>7610</v>
      </c>
      <c r="BC63" s="22" t="s">
        <v>7611</v>
      </c>
      <c r="BE63" s="30">
        <v>62</v>
      </c>
      <c r="BF63" s="30" t="s">
        <v>2382</v>
      </c>
      <c r="BG63" s="30">
        <v>2828.38</v>
      </c>
      <c r="BH63" s="30">
        <v>2574.71</v>
      </c>
      <c r="BI63" s="30">
        <v>1568.36</v>
      </c>
      <c r="BJ63" s="22">
        <v>1385.42</v>
      </c>
    </row>
    <row r="64" spans="1:62" ht="42" thickBot="1" x14ac:dyDescent="0.3">
      <c r="H64" s="22">
        <v>63</v>
      </c>
      <c r="I64" s="22" t="s">
        <v>2393</v>
      </c>
      <c r="J64" s="22" t="s">
        <v>2908</v>
      </c>
      <c r="K64" s="22" t="s">
        <v>2908</v>
      </c>
      <c r="L64" s="22" t="s">
        <v>2908</v>
      </c>
      <c r="M64" s="22" t="s">
        <v>2908</v>
      </c>
      <c r="O64" s="39" t="s">
        <v>1311</v>
      </c>
      <c r="P64" s="39" t="s">
        <v>2393</v>
      </c>
      <c r="Q64" s="39" t="s">
        <v>2908</v>
      </c>
      <c r="R64" s="39" t="s">
        <v>2908</v>
      </c>
      <c r="S64" s="39" t="s">
        <v>2908</v>
      </c>
      <c r="T64" s="39" t="s">
        <v>2908</v>
      </c>
      <c r="U64" s="44"/>
      <c r="V64" s="44" t="e">
        <f t="shared" si="1"/>
        <v>#N/A</v>
      </c>
      <c r="W64" s="44" t="e">
        <f t="shared" si="2"/>
        <v>#N/A</v>
      </c>
      <c r="X64" s="44" t="e">
        <f t="shared" si="3"/>
        <v>#N/A</v>
      </c>
      <c r="Y64" s="44" t="e">
        <f t="shared" si="4"/>
        <v>#N/A</v>
      </c>
      <c r="Z64" s="44"/>
      <c r="AB64" s="30">
        <v>63</v>
      </c>
      <c r="AC64" s="30" t="s">
        <v>2393</v>
      </c>
      <c r="AD64" s="30" t="s">
        <v>2908</v>
      </c>
      <c r="AE64" s="30" t="s">
        <v>2908</v>
      </c>
      <c r="AF64" s="30" t="s">
        <v>2908</v>
      </c>
      <c r="AG64" s="30" t="s">
        <v>2908</v>
      </c>
      <c r="AH64" s="30" t="s">
        <v>2908</v>
      </c>
      <c r="AI64" s="30" t="s">
        <v>2908</v>
      </c>
      <c r="AJ64" s="22" t="s">
        <v>2908</v>
      </c>
      <c r="AL64" s="30">
        <v>59</v>
      </c>
      <c r="AM64" s="30" t="s">
        <v>3747</v>
      </c>
      <c r="AN64" s="30" t="s">
        <v>7090</v>
      </c>
      <c r="AO64" s="30" t="s">
        <v>7091</v>
      </c>
      <c r="AP64" s="30" t="s">
        <v>7092</v>
      </c>
      <c r="AQ64" s="30" t="s">
        <v>7093</v>
      </c>
      <c r="AR64" s="30" t="s">
        <v>7094</v>
      </c>
      <c r="AS64" s="30" t="s">
        <v>7095</v>
      </c>
      <c r="AT64" s="22" t="s">
        <v>7096</v>
      </c>
      <c r="AX64" s="30">
        <v>59</v>
      </c>
      <c r="AY64" s="30" t="s">
        <v>3747</v>
      </c>
      <c r="AZ64" s="30" t="s">
        <v>7612</v>
      </c>
      <c r="BA64" s="30" t="s">
        <v>7613</v>
      </c>
      <c r="BB64" s="30" t="s">
        <v>7614</v>
      </c>
      <c r="BC64" s="22" t="s">
        <v>7615</v>
      </c>
      <c r="BE64" s="30">
        <v>63</v>
      </c>
      <c r="BF64" s="30" t="s">
        <v>2393</v>
      </c>
      <c r="BG64" s="34" t="s">
        <v>2908</v>
      </c>
      <c r="BH64" s="34" t="s">
        <v>2908</v>
      </c>
      <c r="BI64" s="34" t="s">
        <v>2908</v>
      </c>
      <c r="BJ64" s="35" t="s">
        <v>2908</v>
      </c>
    </row>
    <row r="65" spans="38:55" ht="42" thickBot="1" x14ac:dyDescent="0.3">
      <c r="AL65" s="30">
        <v>60</v>
      </c>
      <c r="AM65" s="30" t="s">
        <v>2964</v>
      </c>
      <c r="AN65" s="30" t="s">
        <v>7097</v>
      </c>
      <c r="AO65" s="30" t="s">
        <v>7098</v>
      </c>
      <c r="AP65" s="30" t="s">
        <v>7099</v>
      </c>
      <c r="AQ65" s="30" t="s">
        <v>7100</v>
      </c>
      <c r="AR65" s="30" t="s">
        <v>7101</v>
      </c>
      <c r="AS65" s="30" t="s">
        <v>7102</v>
      </c>
      <c r="AT65" s="22" t="s">
        <v>7103</v>
      </c>
      <c r="AX65" s="30">
        <v>60</v>
      </c>
      <c r="AY65" s="30" t="s">
        <v>2964</v>
      </c>
      <c r="AZ65" s="30" t="s">
        <v>7616</v>
      </c>
      <c r="BA65" s="30" t="s">
        <v>7617</v>
      </c>
      <c r="BB65" s="30" t="s">
        <v>7618</v>
      </c>
      <c r="BC65" s="22" t="s">
        <v>7619</v>
      </c>
    </row>
    <row r="66" spans="38:55" ht="28.2" thickBot="1" x14ac:dyDescent="0.3">
      <c r="AL66" s="30">
        <v>61</v>
      </c>
      <c r="AM66" s="30" t="s">
        <v>5131</v>
      </c>
      <c r="AN66" s="30" t="s">
        <v>7104</v>
      </c>
      <c r="AO66" s="30" t="s">
        <v>7105</v>
      </c>
      <c r="AP66" s="30" t="s">
        <v>7106</v>
      </c>
      <c r="AQ66" s="30" t="s">
        <v>7107</v>
      </c>
      <c r="AR66" s="30" t="s">
        <v>7108</v>
      </c>
      <c r="AS66" s="30" t="s">
        <v>7109</v>
      </c>
      <c r="AT66" s="22" t="s">
        <v>7110</v>
      </c>
      <c r="AX66" s="30">
        <v>61</v>
      </c>
      <c r="AY66" s="30" t="s">
        <v>5131</v>
      </c>
      <c r="AZ66" s="30" t="s">
        <v>7620</v>
      </c>
      <c r="BA66" s="30" t="s">
        <v>7621</v>
      </c>
      <c r="BB66" s="30" t="s">
        <v>7622</v>
      </c>
      <c r="BC66" s="22" t="s">
        <v>7623</v>
      </c>
    </row>
    <row r="67" spans="38:55" ht="42" thickBot="1" x14ac:dyDescent="0.3">
      <c r="AL67" s="30">
        <v>62</v>
      </c>
      <c r="AM67" s="30" t="s">
        <v>7111</v>
      </c>
      <c r="AN67" s="30" t="s">
        <v>7112</v>
      </c>
      <c r="AO67" s="30" t="s">
        <v>7113</v>
      </c>
      <c r="AP67" s="30" t="s">
        <v>7114</v>
      </c>
      <c r="AQ67" s="30" t="s">
        <v>7115</v>
      </c>
      <c r="AR67" s="30" t="s">
        <v>7116</v>
      </c>
      <c r="AS67" s="30" t="s">
        <v>7117</v>
      </c>
      <c r="AT67" s="22" t="s">
        <v>7118</v>
      </c>
      <c r="AX67" s="30">
        <v>62</v>
      </c>
      <c r="AY67" s="30" t="s">
        <v>7111</v>
      </c>
      <c r="AZ67" s="30" t="s">
        <v>7624</v>
      </c>
      <c r="BA67" s="30" t="s">
        <v>7625</v>
      </c>
      <c r="BB67" s="30" t="s">
        <v>7626</v>
      </c>
      <c r="BC67" s="22" t="s">
        <v>7627</v>
      </c>
    </row>
    <row r="68" spans="38:55" ht="42" thickBot="1" x14ac:dyDescent="0.3">
      <c r="AL68" s="30">
        <v>63</v>
      </c>
      <c r="AM68" s="30" t="s">
        <v>3439</v>
      </c>
      <c r="AN68" s="30" t="s">
        <v>7119</v>
      </c>
      <c r="AO68" s="30" t="s">
        <v>7120</v>
      </c>
      <c r="AP68" s="30" t="s">
        <v>7121</v>
      </c>
      <c r="AQ68" s="30" t="s">
        <v>7122</v>
      </c>
      <c r="AR68" s="30" t="s">
        <v>7123</v>
      </c>
      <c r="AS68" s="30" t="s">
        <v>7124</v>
      </c>
      <c r="AT68" s="22" t="s">
        <v>7125</v>
      </c>
      <c r="AX68" s="30">
        <v>63</v>
      </c>
      <c r="AY68" s="30" t="s">
        <v>3439</v>
      </c>
      <c r="AZ68" s="30" t="s">
        <v>7628</v>
      </c>
      <c r="BA68" s="30" t="s">
        <v>7629</v>
      </c>
      <c r="BB68" s="30" t="s">
        <v>7630</v>
      </c>
      <c r="BC68" s="22" t="s">
        <v>7631</v>
      </c>
    </row>
    <row r="69" spans="38:55" ht="14.4" thickBot="1" x14ac:dyDescent="0.3">
      <c r="AL69" s="29" t="s">
        <v>5144</v>
      </c>
      <c r="AM69" s="30"/>
      <c r="AN69" s="30"/>
      <c r="AO69" s="30"/>
      <c r="AP69" s="30"/>
      <c r="AQ69" s="30"/>
      <c r="AR69" s="30"/>
      <c r="AS69" s="30"/>
      <c r="AT69" s="22"/>
      <c r="AX69" s="29" t="s">
        <v>5144</v>
      </c>
      <c r="AY69" s="30"/>
      <c r="AZ69" s="30"/>
      <c r="BA69" s="30"/>
      <c r="BB69" s="30"/>
      <c r="BC69" s="22"/>
    </row>
    <row r="70" spans="38:55" ht="42" thickBot="1" x14ac:dyDescent="0.3">
      <c r="AL70" s="30">
        <v>64</v>
      </c>
      <c r="AM70" s="30" t="s">
        <v>2182</v>
      </c>
      <c r="AN70" s="30" t="s">
        <v>7126</v>
      </c>
      <c r="AO70" s="30" t="s">
        <v>7127</v>
      </c>
      <c r="AP70" s="30" t="s">
        <v>7128</v>
      </c>
      <c r="AQ70" s="30" t="s">
        <v>7129</v>
      </c>
      <c r="AR70" s="30" t="s">
        <v>7130</v>
      </c>
      <c r="AS70" s="30" t="s">
        <v>7131</v>
      </c>
      <c r="AT70" s="22" t="s">
        <v>7132</v>
      </c>
      <c r="AX70" s="30">
        <v>64</v>
      </c>
      <c r="AY70" s="30" t="s">
        <v>2182</v>
      </c>
      <c r="AZ70" s="30" t="s">
        <v>7632</v>
      </c>
      <c r="BA70" s="30" t="s">
        <v>7633</v>
      </c>
      <c r="BB70" s="30" t="s">
        <v>7634</v>
      </c>
      <c r="BC70" s="22" t="s">
        <v>7635</v>
      </c>
    </row>
    <row r="71" spans="38:55" ht="42" thickBot="1" x14ac:dyDescent="0.3">
      <c r="AL71" s="30">
        <v>65</v>
      </c>
      <c r="AM71" s="30" t="s">
        <v>2904</v>
      </c>
      <c r="AN71" s="30" t="s">
        <v>7133</v>
      </c>
      <c r="AO71" s="30" t="s">
        <v>7134</v>
      </c>
      <c r="AP71" s="30" t="s">
        <v>7135</v>
      </c>
      <c r="AQ71" s="30" t="s">
        <v>7136</v>
      </c>
      <c r="AR71" s="30" t="s">
        <v>7137</v>
      </c>
      <c r="AS71" s="30" t="s">
        <v>7138</v>
      </c>
      <c r="AT71" s="22" t="s">
        <v>7139</v>
      </c>
      <c r="AX71" s="30">
        <v>65</v>
      </c>
      <c r="AY71" s="30" t="s">
        <v>2904</v>
      </c>
      <c r="AZ71" s="30" t="s">
        <v>7636</v>
      </c>
      <c r="BA71" s="30" t="s">
        <v>7637</v>
      </c>
      <c r="BB71" s="30" t="s">
        <v>7638</v>
      </c>
      <c r="BC71" s="22" t="s">
        <v>7639</v>
      </c>
    </row>
    <row r="72" spans="38:55" ht="42" thickBot="1" x14ac:dyDescent="0.3">
      <c r="AL72" s="30">
        <v>66</v>
      </c>
      <c r="AM72" s="30" t="s">
        <v>2181</v>
      </c>
      <c r="AN72" s="30" t="s">
        <v>7140</v>
      </c>
      <c r="AO72" s="30" t="s">
        <v>7141</v>
      </c>
      <c r="AP72" s="30" t="s">
        <v>7142</v>
      </c>
      <c r="AQ72" s="30" t="s">
        <v>7143</v>
      </c>
      <c r="AR72" s="30" t="s">
        <v>7144</v>
      </c>
      <c r="AS72" s="30" t="s">
        <v>7145</v>
      </c>
      <c r="AT72" s="22" t="s">
        <v>7146</v>
      </c>
      <c r="AX72" s="30">
        <v>66</v>
      </c>
      <c r="AY72" s="30" t="s">
        <v>2181</v>
      </c>
      <c r="AZ72" s="30" t="s">
        <v>7640</v>
      </c>
      <c r="BA72" s="30" t="s">
        <v>7641</v>
      </c>
      <c r="BB72" s="30" t="s">
        <v>7642</v>
      </c>
      <c r="BC72" s="22" t="s">
        <v>7643</v>
      </c>
    </row>
    <row r="73" spans="38:55" ht="42" thickBot="1" x14ac:dyDescent="0.3">
      <c r="AL73" s="30">
        <v>67</v>
      </c>
      <c r="AM73" s="30" t="s">
        <v>3304</v>
      </c>
      <c r="AN73" s="30" t="s">
        <v>7147</v>
      </c>
      <c r="AO73" s="30" t="s">
        <v>7148</v>
      </c>
      <c r="AP73" s="30" t="s">
        <v>7149</v>
      </c>
      <c r="AQ73" s="30" t="s">
        <v>7150</v>
      </c>
      <c r="AR73" s="30" t="s">
        <v>7151</v>
      </c>
      <c r="AS73" s="30" t="s">
        <v>7152</v>
      </c>
      <c r="AT73" s="22" t="s">
        <v>7153</v>
      </c>
      <c r="AX73" s="30">
        <v>67</v>
      </c>
      <c r="AY73" s="30" t="s">
        <v>3304</v>
      </c>
      <c r="AZ73" s="30" t="s">
        <v>7644</v>
      </c>
      <c r="BA73" s="30" t="s">
        <v>7645</v>
      </c>
      <c r="BB73" s="30" t="s">
        <v>7646</v>
      </c>
      <c r="BC73" s="22" t="s">
        <v>7647</v>
      </c>
    </row>
    <row r="74" spans="38:55" ht="42" thickBot="1" x14ac:dyDescent="0.3">
      <c r="AL74" s="30">
        <v>68</v>
      </c>
      <c r="AM74" s="30" t="s">
        <v>3309</v>
      </c>
      <c r="AN74" s="30" t="s">
        <v>7154</v>
      </c>
      <c r="AO74" s="30" t="s">
        <v>7155</v>
      </c>
      <c r="AP74" s="30" t="s">
        <v>7156</v>
      </c>
      <c r="AQ74" s="30" t="s">
        <v>7157</v>
      </c>
      <c r="AR74" s="30" t="s">
        <v>7158</v>
      </c>
      <c r="AS74" s="30" t="s">
        <v>7159</v>
      </c>
      <c r="AT74" s="22" t="s">
        <v>7160</v>
      </c>
      <c r="AX74" s="30">
        <v>68</v>
      </c>
      <c r="AY74" s="30" t="s">
        <v>3309</v>
      </c>
      <c r="AZ74" s="30" t="s">
        <v>7648</v>
      </c>
      <c r="BA74" s="30" t="s">
        <v>7649</v>
      </c>
      <c r="BB74" s="30" t="s">
        <v>7650</v>
      </c>
      <c r="BC74" s="22" t="s">
        <v>7651</v>
      </c>
    </row>
    <row r="75" spans="38:55" ht="42" thickBot="1" x14ac:dyDescent="0.3">
      <c r="AL75" s="30">
        <v>69</v>
      </c>
      <c r="AM75" s="30" t="s">
        <v>6139</v>
      </c>
      <c r="AN75" s="30" t="s">
        <v>7161</v>
      </c>
      <c r="AO75" s="30" t="s">
        <v>7162</v>
      </c>
      <c r="AP75" s="30" t="s">
        <v>7163</v>
      </c>
      <c r="AQ75" s="30" t="s">
        <v>7164</v>
      </c>
      <c r="AR75" s="30" t="s">
        <v>7165</v>
      </c>
      <c r="AS75" s="30" t="s">
        <v>7166</v>
      </c>
      <c r="AT75" s="22" t="s">
        <v>7167</v>
      </c>
      <c r="AX75" s="30">
        <v>69</v>
      </c>
      <c r="AY75" s="30" t="s">
        <v>6139</v>
      </c>
      <c r="AZ75" s="30" t="s">
        <v>7652</v>
      </c>
      <c r="BA75" s="30" t="s">
        <v>7653</v>
      </c>
      <c r="BB75" s="30" t="s">
        <v>7654</v>
      </c>
      <c r="BC75" s="22" t="s">
        <v>7655</v>
      </c>
    </row>
    <row r="76" spans="38:55" ht="14.4" thickBot="1" x14ac:dyDescent="0.3">
      <c r="AL76" s="29" t="s">
        <v>7168</v>
      </c>
      <c r="AM76" s="30"/>
      <c r="AN76" s="30"/>
      <c r="AO76" s="30"/>
      <c r="AP76" s="30"/>
      <c r="AQ76" s="30"/>
      <c r="AR76" s="30"/>
      <c r="AS76" s="30"/>
      <c r="AT76" s="22"/>
      <c r="AX76" s="29" t="s">
        <v>7168</v>
      </c>
      <c r="AY76" s="30"/>
      <c r="AZ76" s="30"/>
      <c r="BA76" s="30"/>
      <c r="BB76" s="30"/>
      <c r="BC76" s="22"/>
    </row>
    <row r="77" spans="38:55" ht="28.2" thickBot="1" x14ac:dyDescent="0.3">
      <c r="AL77" s="30">
        <v>70</v>
      </c>
      <c r="AM77" s="30" t="s">
        <v>6138</v>
      </c>
      <c r="AN77" s="30" t="s">
        <v>7169</v>
      </c>
      <c r="AO77" s="30" t="s">
        <v>7170</v>
      </c>
      <c r="AP77" s="30" t="s">
        <v>7171</v>
      </c>
      <c r="AQ77" s="30" t="s">
        <v>7172</v>
      </c>
      <c r="AR77" s="30" t="s">
        <v>7173</v>
      </c>
      <c r="AS77" s="30" t="s">
        <v>7174</v>
      </c>
      <c r="AT77" s="22" t="s">
        <v>7175</v>
      </c>
      <c r="AX77" s="30">
        <v>70</v>
      </c>
      <c r="AY77" s="30" t="s">
        <v>6138</v>
      </c>
      <c r="AZ77" s="30" t="s">
        <v>7656</v>
      </c>
      <c r="BA77" s="30" t="s">
        <v>7657</v>
      </c>
      <c r="BB77" s="30" t="s">
        <v>7658</v>
      </c>
      <c r="BC77" s="22" t="s">
        <v>7659</v>
      </c>
    </row>
    <row r="78" spans="38:55" ht="42" thickBot="1" x14ac:dyDescent="0.3">
      <c r="AL78" s="30">
        <v>71</v>
      </c>
      <c r="AM78" s="30" t="s">
        <v>6137</v>
      </c>
      <c r="AN78" s="30" t="s">
        <v>7176</v>
      </c>
      <c r="AO78" s="30" t="s">
        <v>7177</v>
      </c>
      <c r="AP78" s="30" t="s">
        <v>7178</v>
      </c>
      <c r="AQ78" s="30" t="s">
        <v>7179</v>
      </c>
      <c r="AR78" s="30" t="s">
        <v>7180</v>
      </c>
      <c r="AS78" s="30" t="s">
        <v>7181</v>
      </c>
      <c r="AT78" s="22" t="s">
        <v>7182</v>
      </c>
      <c r="AX78" s="30">
        <v>71</v>
      </c>
      <c r="AY78" s="30" t="s">
        <v>6137</v>
      </c>
      <c r="AZ78" s="30" t="s">
        <v>7660</v>
      </c>
      <c r="BA78" s="30" t="s">
        <v>7661</v>
      </c>
      <c r="BB78" s="30" t="s">
        <v>7662</v>
      </c>
      <c r="BC78" s="22" t="s">
        <v>7663</v>
      </c>
    </row>
    <row r="79" spans="38:55" ht="28.2" thickBot="1" x14ac:dyDescent="0.3">
      <c r="AL79" s="30">
        <v>72</v>
      </c>
      <c r="AM79" s="30" t="s">
        <v>7183</v>
      </c>
      <c r="AN79" s="30" t="s">
        <v>7184</v>
      </c>
      <c r="AO79" s="30" t="s">
        <v>7185</v>
      </c>
      <c r="AP79" s="30" t="s">
        <v>7186</v>
      </c>
      <c r="AQ79" s="30" t="s">
        <v>7187</v>
      </c>
      <c r="AR79" s="30" t="s">
        <v>7188</v>
      </c>
      <c r="AS79" s="30" t="s">
        <v>7189</v>
      </c>
      <c r="AT79" s="22" t="s">
        <v>7190</v>
      </c>
      <c r="AX79" s="30">
        <v>72</v>
      </c>
      <c r="AY79" s="30" t="s">
        <v>7183</v>
      </c>
      <c r="AZ79" s="30" t="s">
        <v>7664</v>
      </c>
      <c r="BA79" s="30" t="s">
        <v>7665</v>
      </c>
      <c r="BB79" s="30" t="s">
        <v>5586</v>
      </c>
      <c r="BC79" s="22" t="s">
        <v>7666</v>
      </c>
    </row>
    <row r="80" spans="38:55" ht="28.2" thickBot="1" x14ac:dyDescent="0.3">
      <c r="AL80" s="30">
        <v>73</v>
      </c>
      <c r="AM80" s="30" t="s">
        <v>6141</v>
      </c>
      <c r="AN80" s="30" t="s">
        <v>7191</v>
      </c>
      <c r="AO80" s="30" t="s">
        <v>7192</v>
      </c>
      <c r="AP80" s="30" t="s">
        <v>7193</v>
      </c>
      <c r="AQ80" s="30" t="s">
        <v>7194</v>
      </c>
      <c r="AR80" s="30" t="s">
        <v>7195</v>
      </c>
      <c r="AS80" s="30" t="s">
        <v>7196</v>
      </c>
      <c r="AT80" s="22" t="s">
        <v>7197</v>
      </c>
      <c r="AX80" s="30">
        <v>73</v>
      </c>
      <c r="AY80" s="30" t="s">
        <v>6141</v>
      </c>
      <c r="AZ80" s="30" t="s">
        <v>7667</v>
      </c>
      <c r="BA80" s="30" t="s">
        <v>7668</v>
      </c>
      <c r="BB80" s="30" t="s">
        <v>7669</v>
      </c>
      <c r="BC80" s="22" t="s">
        <v>7670</v>
      </c>
    </row>
    <row r="81" spans="38:55" ht="14.4" thickBot="1" x14ac:dyDescent="0.3">
      <c r="AL81" s="29" t="s">
        <v>4552</v>
      </c>
      <c r="AM81" s="30"/>
      <c r="AN81" s="30"/>
      <c r="AO81" s="30"/>
      <c r="AP81" s="30"/>
      <c r="AQ81" s="30"/>
      <c r="AR81" s="30"/>
      <c r="AS81" s="30"/>
      <c r="AT81" s="22"/>
      <c r="AX81" s="29" t="s">
        <v>4552</v>
      </c>
      <c r="AY81" s="30"/>
      <c r="AZ81" s="30"/>
      <c r="BA81" s="30"/>
      <c r="BB81" s="30"/>
      <c r="BC81" s="22"/>
    </row>
    <row r="82" spans="38:55" ht="28.2" thickBot="1" x14ac:dyDescent="0.3">
      <c r="AL82" s="30">
        <v>74</v>
      </c>
      <c r="AM82" s="30" t="s">
        <v>2857</v>
      </c>
      <c r="AN82" s="30" t="s">
        <v>7198</v>
      </c>
      <c r="AO82" s="30" t="s">
        <v>7199</v>
      </c>
      <c r="AP82" s="30" t="s">
        <v>7200</v>
      </c>
      <c r="AQ82" s="30" t="s">
        <v>7201</v>
      </c>
      <c r="AR82" s="30" t="s">
        <v>7202</v>
      </c>
      <c r="AS82" s="30" t="s">
        <v>7203</v>
      </c>
      <c r="AT82" s="22" t="s">
        <v>7204</v>
      </c>
      <c r="AX82" s="30">
        <v>74</v>
      </c>
      <c r="AY82" s="30" t="s">
        <v>2857</v>
      </c>
      <c r="AZ82" s="30" t="s">
        <v>7671</v>
      </c>
      <c r="BA82" s="30" t="s">
        <v>7672</v>
      </c>
      <c r="BB82" s="30" t="s">
        <v>7673</v>
      </c>
      <c r="BC82" s="22" t="s">
        <v>7674</v>
      </c>
    </row>
    <row r="83" spans="38:55" ht="42" thickBot="1" x14ac:dyDescent="0.3">
      <c r="AL83" s="30">
        <v>75</v>
      </c>
      <c r="AM83" s="30" t="s">
        <v>7205</v>
      </c>
      <c r="AN83" s="30" t="s">
        <v>7206</v>
      </c>
      <c r="AO83" s="30" t="s">
        <v>7207</v>
      </c>
      <c r="AP83" s="30" t="s">
        <v>7208</v>
      </c>
      <c r="AQ83" s="30" t="s">
        <v>7209</v>
      </c>
      <c r="AR83" s="30" t="s">
        <v>7210</v>
      </c>
      <c r="AS83" s="30" t="s">
        <v>7211</v>
      </c>
      <c r="AT83" s="22" t="s">
        <v>7212</v>
      </c>
      <c r="AX83" s="30">
        <v>75</v>
      </c>
      <c r="AY83" s="30" t="s">
        <v>7205</v>
      </c>
      <c r="AZ83" s="30" t="s">
        <v>7675</v>
      </c>
      <c r="BA83" s="30" t="s">
        <v>7676</v>
      </c>
      <c r="BB83" s="30" t="s">
        <v>7677</v>
      </c>
      <c r="BC83" s="22" t="s">
        <v>7678</v>
      </c>
    </row>
    <row r="84" spans="38:55" ht="42" thickBot="1" x14ac:dyDescent="0.3">
      <c r="AL84" s="30">
        <v>76</v>
      </c>
      <c r="AM84" s="30" t="s">
        <v>7213</v>
      </c>
      <c r="AN84" s="30" t="s">
        <v>7214</v>
      </c>
      <c r="AO84" s="30" t="s">
        <v>7215</v>
      </c>
      <c r="AP84" s="30" t="s">
        <v>7216</v>
      </c>
      <c r="AQ84" s="30" t="s">
        <v>7217</v>
      </c>
      <c r="AR84" s="30" t="s">
        <v>7218</v>
      </c>
      <c r="AS84" s="30" t="s">
        <v>7219</v>
      </c>
      <c r="AT84" s="22" t="s">
        <v>7220</v>
      </c>
      <c r="AX84" s="30">
        <v>76</v>
      </c>
      <c r="AY84" s="30" t="s">
        <v>7213</v>
      </c>
      <c r="AZ84" s="30" t="s">
        <v>7679</v>
      </c>
      <c r="BA84" s="30" t="s">
        <v>7680</v>
      </c>
      <c r="BB84" s="30" t="s">
        <v>7681</v>
      </c>
      <c r="BC84" s="22" t="s">
        <v>7682</v>
      </c>
    </row>
    <row r="85" spans="38:55" ht="42" thickBot="1" x14ac:dyDescent="0.3">
      <c r="AL85" s="30">
        <v>77</v>
      </c>
      <c r="AM85" s="30" t="s">
        <v>7221</v>
      </c>
      <c r="AN85" s="30" t="s">
        <v>7222</v>
      </c>
      <c r="AO85" s="30" t="s">
        <v>7223</v>
      </c>
      <c r="AP85" s="30" t="s">
        <v>7224</v>
      </c>
      <c r="AQ85" s="30" t="s">
        <v>7225</v>
      </c>
      <c r="AR85" s="30" t="s">
        <v>7226</v>
      </c>
      <c r="AS85" s="30" t="s">
        <v>7227</v>
      </c>
      <c r="AT85" s="22" t="s">
        <v>7228</v>
      </c>
      <c r="AX85" s="30">
        <v>77</v>
      </c>
      <c r="AY85" s="30" t="s">
        <v>7221</v>
      </c>
      <c r="AZ85" s="30" t="s">
        <v>7683</v>
      </c>
      <c r="BA85" s="30" t="s">
        <v>7684</v>
      </c>
      <c r="BB85" s="30" t="s">
        <v>7685</v>
      </c>
      <c r="BC85" s="22" t="s">
        <v>7686</v>
      </c>
    </row>
    <row r="86" spans="38:55" ht="42" thickBot="1" x14ac:dyDescent="0.3">
      <c r="AL86" s="30">
        <v>78</v>
      </c>
      <c r="AM86" s="30" t="s">
        <v>7229</v>
      </c>
      <c r="AN86" s="30" t="s">
        <v>7230</v>
      </c>
      <c r="AO86" s="30" t="s">
        <v>7231</v>
      </c>
      <c r="AP86" s="30" t="s">
        <v>7232</v>
      </c>
      <c r="AQ86" s="30" t="s">
        <v>7233</v>
      </c>
      <c r="AR86" s="30" t="s">
        <v>7234</v>
      </c>
      <c r="AS86" s="30" t="s">
        <v>7235</v>
      </c>
      <c r="AT86" s="22" t="s">
        <v>7236</v>
      </c>
      <c r="AX86" s="30">
        <v>78</v>
      </c>
      <c r="AY86" s="30" t="s">
        <v>7229</v>
      </c>
      <c r="AZ86" s="30" t="s">
        <v>7687</v>
      </c>
      <c r="BA86" s="30" t="s">
        <v>7688</v>
      </c>
      <c r="BB86" s="30" t="s">
        <v>7689</v>
      </c>
      <c r="BC86" s="22" t="s">
        <v>7690</v>
      </c>
    </row>
    <row r="87" spans="38:55" ht="28.2" thickBot="1" x14ac:dyDescent="0.3">
      <c r="AL87" s="30">
        <v>79</v>
      </c>
      <c r="AM87" s="30" t="s">
        <v>7237</v>
      </c>
      <c r="AN87" s="30" t="s">
        <v>7238</v>
      </c>
      <c r="AO87" s="30" t="s">
        <v>7239</v>
      </c>
      <c r="AP87" s="30" t="s">
        <v>7240</v>
      </c>
      <c r="AQ87" s="30" t="s">
        <v>7241</v>
      </c>
      <c r="AR87" s="30" t="s">
        <v>7242</v>
      </c>
      <c r="AS87" s="30" t="s">
        <v>7243</v>
      </c>
      <c r="AT87" s="22" t="s">
        <v>7244</v>
      </c>
      <c r="AX87" s="30">
        <v>79</v>
      </c>
      <c r="AY87" s="30" t="s">
        <v>7237</v>
      </c>
      <c r="AZ87" s="30" t="s">
        <v>7691</v>
      </c>
      <c r="BA87" s="30" t="s">
        <v>7692</v>
      </c>
      <c r="BB87" s="30" t="s">
        <v>7693</v>
      </c>
      <c r="BC87" s="22" t="s">
        <v>7694</v>
      </c>
    </row>
    <row r="88" spans="38:55" ht="28.2" thickBot="1" x14ac:dyDescent="0.3">
      <c r="AL88" s="30">
        <v>80</v>
      </c>
      <c r="AM88" s="30" t="s">
        <v>7245</v>
      </c>
      <c r="AN88" s="30" t="s">
        <v>7246</v>
      </c>
      <c r="AO88" s="30" t="s">
        <v>7247</v>
      </c>
      <c r="AP88" s="30" t="s">
        <v>7248</v>
      </c>
      <c r="AQ88" s="30" t="s">
        <v>7249</v>
      </c>
      <c r="AR88" s="30" t="s">
        <v>7250</v>
      </c>
      <c r="AS88" s="30" t="s">
        <v>7251</v>
      </c>
      <c r="AT88" s="22" t="s">
        <v>7252</v>
      </c>
      <c r="AX88" s="30">
        <v>80</v>
      </c>
      <c r="AY88" s="30" t="s">
        <v>7245</v>
      </c>
      <c r="AZ88" s="30" t="s">
        <v>5586</v>
      </c>
      <c r="BA88" s="30" t="s">
        <v>7695</v>
      </c>
      <c r="BB88" s="30" t="s">
        <v>5586</v>
      </c>
      <c r="BC88" s="22" t="s">
        <v>5586</v>
      </c>
    </row>
    <row r="89" spans="38:55" ht="14.4" thickBot="1" x14ac:dyDescent="0.3">
      <c r="AL89" s="29" t="s">
        <v>7253</v>
      </c>
      <c r="AM89" s="30"/>
      <c r="AN89" s="30"/>
      <c r="AO89" s="30"/>
      <c r="AP89" s="30"/>
      <c r="AQ89" s="30"/>
      <c r="AR89" s="30"/>
      <c r="AS89" s="30"/>
      <c r="AT89" s="22"/>
      <c r="AX89" s="29" t="s">
        <v>7253</v>
      </c>
      <c r="AY89" s="30"/>
      <c r="AZ89" s="30"/>
      <c r="BA89" s="30"/>
      <c r="BB89" s="30"/>
      <c r="BC89" s="22"/>
    </row>
    <row r="90" spans="38:55" ht="42" thickBot="1" x14ac:dyDescent="0.3">
      <c r="AL90" s="30">
        <v>81</v>
      </c>
      <c r="AM90" s="30" t="s">
        <v>4625</v>
      </c>
      <c r="AN90" s="30" t="s">
        <v>7254</v>
      </c>
      <c r="AO90" s="30" t="s">
        <v>7255</v>
      </c>
      <c r="AP90" s="30" t="s">
        <v>7256</v>
      </c>
      <c r="AQ90" s="30" t="s">
        <v>7257</v>
      </c>
      <c r="AR90" s="30" t="s">
        <v>7258</v>
      </c>
      <c r="AS90" s="30" t="s">
        <v>7259</v>
      </c>
      <c r="AT90" s="22" t="s">
        <v>7260</v>
      </c>
      <c r="AX90" s="30">
        <v>81</v>
      </c>
      <c r="AY90" s="30" t="s">
        <v>4625</v>
      </c>
      <c r="AZ90" s="30" t="s">
        <v>7696</v>
      </c>
      <c r="BA90" s="30" t="s">
        <v>7697</v>
      </c>
      <c r="BB90" s="30" t="s">
        <v>7698</v>
      </c>
      <c r="BC90" s="22" t="s">
        <v>7699</v>
      </c>
    </row>
    <row r="91" spans="38:55" ht="42" thickBot="1" x14ac:dyDescent="0.3">
      <c r="AL91" s="30">
        <v>82</v>
      </c>
      <c r="AM91" s="30" t="s">
        <v>4620</v>
      </c>
      <c r="AN91" s="30" t="s">
        <v>7261</v>
      </c>
      <c r="AO91" s="30" t="s">
        <v>7262</v>
      </c>
      <c r="AP91" s="30" t="s">
        <v>7263</v>
      </c>
      <c r="AQ91" s="30" t="s">
        <v>7264</v>
      </c>
      <c r="AR91" s="30" t="s">
        <v>7265</v>
      </c>
      <c r="AS91" s="30" t="s">
        <v>7266</v>
      </c>
      <c r="AT91" s="22" t="s">
        <v>7267</v>
      </c>
      <c r="AX91" s="30">
        <v>82</v>
      </c>
      <c r="AY91" s="30" t="s">
        <v>4620</v>
      </c>
      <c r="AZ91" s="30" t="s">
        <v>7700</v>
      </c>
      <c r="BA91" s="30" t="s">
        <v>7701</v>
      </c>
      <c r="BB91" s="30" t="s">
        <v>7702</v>
      </c>
      <c r="BC91" s="22" t="s">
        <v>7703</v>
      </c>
    </row>
    <row r="92" spans="38:55" ht="14.4" thickBot="1" x14ac:dyDescent="0.3">
      <c r="AL92" s="29" t="s">
        <v>7268</v>
      </c>
      <c r="AM92" s="30"/>
      <c r="AN92" s="30"/>
      <c r="AO92" s="30"/>
      <c r="AP92" s="30"/>
      <c r="AQ92" s="30"/>
      <c r="AR92" s="30"/>
      <c r="AS92" s="30"/>
      <c r="AT92" s="22"/>
      <c r="AX92" s="29" t="s">
        <v>7268</v>
      </c>
      <c r="AY92" s="30"/>
      <c r="AZ92" s="30"/>
      <c r="BA92" s="30"/>
      <c r="BB92" s="30"/>
      <c r="BC92" s="22"/>
    </row>
    <row r="93" spans="38:55" ht="28.2" thickBot="1" x14ac:dyDescent="0.3">
      <c r="AL93" s="30">
        <v>83</v>
      </c>
      <c r="AM93" s="30" t="s">
        <v>2177</v>
      </c>
      <c r="AN93" s="30" t="s">
        <v>7269</v>
      </c>
      <c r="AO93" s="30" t="s">
        <v>7270</v>
      </c>
      <c r="AP93" s="30" t="s">
        <v>7271</v>
      </c>
      <c r="AQ93" s="30" t="s">
        <v>7272</v>
      </c>
      <c r="AR93" s="30" t="s">
        <v>7273</v>
      </c>
      <c r="AS93" s="30" t="s">
        <v>7274</v>
      </c>
      <c r="AT93" s="22" t="s">
        <v>7275</v>
      </c>
      <c r="AX93" s="30">
        <v>83</v>
      </c>
      <c r="AY93" s="30" t="s">
        <v>2177</v>
      </c>
      <c r="AZ93" s="30" t="s">
        <v>7704</v>
      </c>
      <c r="BA93" s="30" t="s">
        <v>7705</v>
      </c>
      <c r="BB93" s="30" t="s">
        <v>7706</v>
      </c>
      <c r="BC93" s="22" t="s">
        <v>7707</v>
      </c>
    </row>
    <row r="94" spans="38:55" ht="28.2" thickBot="1" x14ac:dyDescent="0.3">
      <c r="AL94" s="30">
        <v>84</v>
      </c>
      <c r="AM94" s="30" t="s">
        <v>2185</v>
      </c>
      <c r="AN94" s="30" t="s">
        <v>7276</v>
      </c>
      <c r="AO94" s="30" t="s">
        <v>7277</v>
      </c>
      <c r="AP94" s="30" t="s">
        <v>7278</v>
      </c>
      <c r="AQ94" s="30" t="s">
        <v>7279</v>
      </c>
      <c r="AR94" s="30" t="s">
        <v>7280</v>
      </c>
      <c r="AS94" s="30" t="s">
        <v>7281</v>
      </c>
      <c r="AT94" s="22" t="s">
        <v>7282</v>
      </c>
      <c r="AX94" s="30">
        <v>84</v>
      </c>
      <c r="AY94" s="30" t="s">
        <v>2185</v>
      </c>
      <c r="AZ94" s="30" t="s">
        <v>7708</v>
      </c>
      <c r="BA94" s="30" t="s">
        <v>7709</v>
      </c>
      <c r="BB94" s="30" t="s">
        <v>7710</v>
      </c>
      <c r="BC94" s="22" t="s">
        <v>7711</v>
      </c>
    </row>
    <row r="95" spans="38:55" ht="28.2" thickBot="1" x14ac:dyDescent="0.3">
      <c r="AL95" s="30">
        <v>85</v>
      </c>
      <c r="AM95" s="30" t="s">
        <v>5050</v>
      </c>
      <c r="AN95" s="30" t="s">
        <v>7283</v>
      </c>
      <c r="AO95" s="30" t="s">
        <v>7284</v>
      </c>
      <c r="AP95" s="30" t="s">
        <v>7285</v>
      </c>
      <c r="AQ95" s="30" t="s">
        <v>7286</v>
      </c>
      <c r="AR95" s="30" t="s">
        <v>7287</v>
      </c>
      <c r="AS95" s="30" t="s">
        <v>7288</v>
      </c>
      <c r="AT95" s="22" t="s">
        <v>7289</v>
      </c>
      <c r="AX95" s="30">
        <v>85</v>
      </c>
      <c r="AY95" s="30" t="s">
        <v>5050</v>
      </c>
      <c r="AZ95" s="30" t="s">
        <v>7712</v>
      </c>
      <c r="BA95" s="30" t="s">
        <v>7713</v>
      </c>
      <c r="BB95" s="30" t="s">
        <v>7714</v>
      </c>
      <c r="BC95" s="22" t="s">
        <v>7715</v>
      </c>
    </row>
    <row r="96" spans="38:55" ht="28.2" thickBot="1" x14ac:dyDescent="0.3">
      <c r="AL96" s="30">
        <v>86</v>
      </c>
      <c r="AM96" s="30" t="s">
        <v>2020</v>
      </c>
      <c r="AN96" s="30" t="s">
        <v>7290</v>
      </c>
      <c r="AO96" s="30" t="s">
        <v>7291</v>
      </c>
      <c r="AP96" s="30" t="s">
        <v>7292</v>
      </c>
      <c r="AQ96" s="30" t="s">
        <v>7293</v>
      </c>
      <c r="AR96" s="30" t="s">
        <v>7294</v>
      </c>
      <c r="AS96" s="30" t="s">
        <v>7295</v>
      </c>
      <c r="AT96" s="22" t="s">
        <v>7296</v>
      </c>
      <c r="AX96" s="30">
        <v>86</v>
      </c>
      <c r="AY96" s="30" t="s">
        <v>2020</v>
      </c>
      <c r="AZ96" s="30" t="s">
        <v>7716</v>
      </c>
      <c r="BA96" s="30" t="s">
        <v>7717</v>
      </c>
      <c r="BB96" s="30" t="s">
        <v>7718</v>
      </c>
      <c r="BC96" s="22" t="s">
        <v>7719</v>
      </c>
    </row>
    <row r="97" spans="38:55" ht="28.2" thickBot="1" x14ac:dyDescent="0.3">
      <c r="AL97" s="30">
        <v>87</v>
      </c>
      <c r="AM97" s="30" t="s">
        <v>3641</v>
      </c>
      <c r="AN97" s="30" t="s">
        <v>7297</v>
      </c>
      <c r="AO97" s="30" t="s">
        <v>7298</v>
      </c>
      <c r="AP97" s="30" t="s">
        <v>7299</v>
      </c>
      <c r="AQ97" s="30" t="s">
        <v>7300</v>
      </c>
      <c r="AR97" s="30" t="s">
        <v>7301</v>
      </c>
      <c r="AS97" s="30" t="s">
        <v>7302</v>
      </c>
      <c r="AT97" s="22" t="s">
        <v>7303</v>
      </c>
      <c r="AX97" s="30">
        <v>87</v>
      </c>
      <c r="AY97" s="30" t="s">
        <v>3641</v>
      </c>
      <c r="AZ97" s="30" t="s">
        <v>7720</v>
      </c>
      <c r="BA97" s="30" t="s">
        <v>7721</v>
      </c>
      <c r="BB97" s="30" t="s">
        <v>7722</v>
      </c>
      <c r="BC97" s="22" t="s">
        <v>7723</v>
      </c>
    </row>
    <row r="98" spans="38:55" ht="28.2" thickBot="1" x14ac:dyDescent="0.3">
      <c r="AL98" s="30">
        <v>88</v>
      </c>
      <c r="AM98" s="30" t="s">
        <v>2021</v>
      </c>
      <c r="AN98" s="30" t="s">
        <v>7304</v>
      </c>
      <c r="AO98" s="30" t="s">
        <v>7305</v>
      </c>
      <c r="AP98" s="30" t="s">
        <v>7306</v>
      </c>
      <c r="AQ98" s="30" t="s">
        <v>7307</v>
      </c>
      <c r="AR98" s="30" t="s">
        <v>7308</v>
      </c>
      <c r="AS98" s="30" t="s">
        <v>7309</v>
      </c>
      <c r="AT98" s="22" t="s">
        <v>7310</v>
      </c>
      <c r="AX98" s="30">
        <v>88</v>
      </c>
      <c r="AY98" s="30" t="s">
        <v>2021</v>
      </c>
      <c r="AZ98" s="30" t="s">
        <v>7724</v>
      </c>
      <c r="BA98" s="30" t="s">
        <v>7725</v>
      </c>
      <c r="BB98" s="30" t="s">
        <v>7726</v>
      </c>
      <c r="BC98" s="22" t="s">
        <v>7727</v>
      </c>
    </row>
    <row r="99" spans="38:55" ht="42" thickBot="1" x14ac:dyDescent="0.3">
      <c r="AL99" s="30">
        <v>89</v>
      </c>
      <c r="AM99" s="30" t="s">
        <v>2175</v>
      </c>
      <c r="AN99" s="30" t="s">
        <v>7311</v>
      </c>
      <c r="AO99" s="30" t="s">
        <v>7312</v>
      </c>
      <c r="AP99" s="30" t="s">
        <v>7313</v>
      </c>
      <c r="AQ99" s="30" t="s">
        <v>7314</v>
      </c>
      <c r="AR99" s="30" t="s">
        <v>7315</v>
      </c>
      <c r="AS99" s="30" t="s">
        <v>7316</v>
      </c>
      <c r="AT99" s="22" t="s">
        <v>7317</v>
      </c>
      <c r="AX99" s="30">
        <v>89</v>
      </c>
      <c r="AY99" s="30" t="s">
        <v>2175</v>
      </c>
      <c r="AZ99" s="30" t="s">
        <v>7728</v>
      </c>
      <c r="BA99" s="30" t="s">
        <v>7729</v>
      </c>
      <c r="BB99" s="30" t="s">
        <v>7730</v>
      </c>
      <c r="BC99" s="22" t="s">
        <v>7731</v>
      </c>
    </row>
    <row r="100" spans="38:55" ht="42" thickBot="1" x14ac:dyDescent="0.3">
      <c r="AL100" s="30">
        <v>90</v>
      </c>
      <c r="AM100" s="30" t="s">
        <v>2024</v>
      </c>
      <c r="AN100" s="30" t="s">
        <v>7318</v>
      </c>
      <c r="AO100" s="30" t="s">
        <v>7319</v>
      </c>
      <c r="AP100" s="30" t="s">
        <v>7320</v>
      </c>
      <c r="AQ100" s="30" t="s">
        <v>7321</v>
      </c>
      <c r="AR100" s="30" t="s">
        <v>7322</v>
      </c>
      <c r="AS100" s="30" t="s">
        <v>7323</v>
      </c>
      <c r="AT100" s="22" t="s">
        <v>7324</v>
      </c>
      <c r="AX100" s="30">
        <v>90</v>
      </c>
      <c r="AY100" s="30" t="s">
        <v>2024</v>
      </c>
      <c r="AZ100" s="30" t="s">
        <v>7732</v>
      </c>
      <c r="BA100" s="30" t="s">
        <v>7733</v>
      </c>
      <c r="BB100" s="30" t="s">
        <v>7734</v>
      </c>
      <c r="BC100" s="22" t="s">
        <v>7735</v>
      </c>
    </row>
    <row r="101" spans="38:55" ht="28.2" thickBot="1" x14ac:dyDescent="0.3">
      <c r="AL101" s="30">
        <v>91</v>
      </c>
      <c r="AM101" s="30" t="s">
        <v>2180</v>
      </c>
      <c r="AN101" s="30" t="s">
        <v>7325</v>
      </c>
      <c r="AO101" s="30" t="s">
        <v>7326</v>
      </c>
      <c r="AP101" s="30" t="s">
        <v>7327</v>
      </c>
      <c r="AQ101" s="30" t="s">
        <v>7328</v>
      </c>
      <c r="AR101" s="30" t="s">
        <v>7329</v>
      </c>
      <c r="AS101" s="30" t="s">
        <v>7330</v>
      </c>
      <c r="AT101" s="22" t="s">
        <v>7331</v>
      </c>
      <c r="AX101" s="30">
        <v>91</v>
      </c>
      <c r="AY101" s="30" t="s">
        <v>2180</v>
      </c>
      <c r="AZ101" s="30" t="s">
        <v>7736</v>
      </c>
      <c r="BA101" s="30" t="s">
        <v>7737</v>
      </c>
      <c r="BB101" s="30" t="s">
        <v>7738</v>
      </c>
      <c r="BC101" s="22" t="s">
        <v>7739</v>
      </c>
    </row>
    <row r="102" spans="38:55" ht="55.8" thickBot="1" x14ac:dyDescent="0.3">
      <c r="AL102" s="30">
        <v>92</v>
      </c>
      <c r="AM102" s="30" t="s">
        <v>2174</v>
      </c>
      <c r="AN102" s="30" t="s">
        <v>7332</v>
      </c>
      <c r="AO102" s="30" t="s">
        <v>7333</v>
      </c>
      <c r="AP102" s="30" t="s">
        <v>7334</v>
      </c>
      <c r="AQ102" s="30" t="s">
        <v>7335</v>
      </c>
      <c r="AR102" s="30" t="s">
        <v>7336</v>
      </c>
      <c r="AS102" s="30" t="s">
        <v>7337</v>
      </c>
      <c r="AT102" s="22" t="s">
        <v>7338</v>
      </c>
      <c r="AX102" s="30">
        <v>92</v>
      </c>
      <c r="AY102" s="30" t="s">
        <v>2174</v>
      </c>
      <c r="AZ102" s="30" t="s">
        <v>7740</v>
      </c>
      <c r="BA102" s="30" t="s">
        <v>7741</v>
      </c>
      <c r="BB102" s="30" t="s">
        <v>7742</v>
      </c>
      <c r="BC102" s="22" t="s">
        <v>7743</v>
      </c>
    </row>
    <row r="103" spans="38:55" ht="55.8" thickBot="1" x14ac:dyDescent="0.3">
      <c r="AL103" s="30">
        <v>93</v>
      </c>
      <c r="AM103" s="30" t="s">
        <v>3586</v>
      </c>
      <c r="AN103" s="30" t="s">
        <v>7339</v>
      </c>
      <c r="AO103" s="30" t="s">
        <v>7340</v>
      </c>
      <c r="AP103" s="30" t="s">
        <v>7341</v>
      </c>
      <c r="AQ103" s="30" t="s">
        <v>7342</v>
      </c>
      <c r="AR103" s="30" t="s">
        <v>7343</v>
      </c>
      <c r="AS103" s="30" t="s">
        <v>7344</v>
      </c>
      <c r="AT103" s="22" t="s">
        <v>7345</v>
      </c>
      <c r="AX103" s="30">
        <v>93</v>
      </c>
      <c r="AY103" s="30" t="s">
        <v>3586</v>
      </c>
      <c r="AZ103" s="30" t="s">
        <v>7744</v>
      </c>
      <c r="BA103" s="30" t="s">
        <v>7745</v>
      </c>
      <c r="BB103" s="30" t="s">
        <v>7746</v>
      </c>
      <c r="BC103" s="22" t="s">
        <v>7747</v>
      </c>
    </row>
    <row r="104" spans="38:55" ht="55.8" thickBot="1" x14ac:dyDescent="0.3">
      <c r="AL104" s="30">
        <v>94</v>
      </c>
      <c r="AM104" s="30" t="s">
        <v>2946</v>
      </c>
      <c r="AN104" s="30" t="s">
        <v>7346</v>
      </c>
      <c r="AO104" s="30" t="s">
        <v>7347</v>
      </c>
      <c r="AP104" s="30" t="s">
        <v>7348</v>
      </c>
      <c r="AQ104" s="30" t="s">
        <v>7349</v>
      </c>
      <c r="AR104" s="30" t="s">
        <v>7350</v>
      </c>
      <c r="AS104" s="30" t="s">
        <v>7351</v>
      </c>
      <c r="AT104" s="22" t="s">
        <v>7352</v>
      </c>
      <c r="AX104" s="30">
        <v>94</v>
      </c>
      <c r="AY104" s="30" t="s">
        <v>2946</v>
      </c>
      <c r="AZ104" s="30" t="s">
        <v>7748</v>
      </c>
      <c r="BA104" s="30" t="s">
        <v>7749</v>
      </c>
      <c r="BB104" s="30" t="s">
        <v>7750</v>
      </c>
      <c r="BC104" s="22" t="s">
        <v>7751</v>
      </c>
    </row>
    <row r="105" spans="38:55" ht="14.4" thickBot="1" x14ac:dyDescent="0.3">
      <c r="AL105" s="29" t="s">
        <v>7353</v>
      </c>
      <c r="AM105" s="30"/>
      <c r="AN105" s="30"/>
      <c r="AO105" s="30"/>
      <c r="AP105" s="30"/>
      <c r="AQ105" s="30"/>
      <c r="AR105" s="30"/>
      <c r="AS105" s="30"/>
      <c r="AT105" s="22"/>
      <c r="AX105" s="29" t="s">
        <v>7353</v>
      </c>
      <c r="AY105" s="30"/>
      <c r="AZ105" s="30"/>
      <c r="BA105" s="30"/>
      <c r="BB105" s="30"/>
      <c r="BC105" s="22"/>
    </row>
    <row r="106" spans="38:55" ht="55.8" thickBot="1" x14ac:dyDescent="0.3">
      <c r="AL106" s="30">
        <v>95</v>
      </c>
      <c r="AM106" s="30" t="s">
        <v>6140</v>
      </c>
      <c r="AN106" s="30" t="s">
        <v>7354</v>
      </c>
      <c r="AO106" s="30" t="s">
        <v>7355</v>
      </c>
      <c r="AP106" s="30" t="s">
        <v>7356</v>
      </c>
      <c r="AQ106" s="30" t="s">
        <v>7357</v>
      </c>
      <c r="AR106" s="30" t="s">
        <v>7358</v>
      </c>
      <c r="AS106" s="30" t="s">
        <v>7359</v>
      </c>
      <c r="AT106" s="22" t="s">
        <v>7360</v>
      </c>
      <c r="AX106" s="30">
        <v>95</v>
      </c>
      <c r="AY106" s="30" t="s">
        <v>6140</v>
      </c>
      <c r="AZ106" s="30" t="s">
        <v>7752</v>
      </c>
      <c r="BA106" s="30" t="s">
        <v>7753</v>
      </c>
      <c r="BB106" s="30" t="s">
        <v>5586</v>
      </c>
      <c r="BC106" s="22" t="s">
        <v>5586</v>
      </c>
    </row>
    <row r="107" spans="38:55" ht="42" thickBot="1" x14ac:dyDescent="0.3">
      <c r="AL107" s="30">
        <v>96</v>
      </c>
      <c r="AM107" s="30" t="s">
        <v>4633</v>
      </c>
      <c r="AN107" s="30" t="s">
        <v>4962</v>
      </c>
      <c r="AO107" s="30" t="s">
        <v>4962</v>
      </c>
      <c r="AP107" s="30" t="s">
        <v>4962</v>
      </c>
      <c r="AQ107" s="30" t="s">
        <v>4962</v>
      </c>
      <c r="AR107" s="30" t="s">
        <v>4962</v>
      </c>
      <c r="AS107" s="30" t="s">
        <v>4962</v>
      </c>
      <c r="AT107" s="22" t="s">
        <v>5586</v>
      </c>
      <c r="AX107" s="30">
        <v>96</v>
      </c>
      <c r="AY107" s="30" t="s">
        <v>4633</v>
      </c>
      <c r="AZ107" s="30" t="s">
        <v>4962</v>
      </c>
      <c r="BA107" s="30" t="s">
        <v>4962</v>
      </c>
      <c r="BB107" s="30" t="s">
        <v>5586</v>
      </c>
      <c r="BC107" s="22" t="s">
        <v>4962</v>
      </c>
    </row>
    <row r="108" spans="38:55" ht="42" thickBot="1" x14ac:dyDescent="0.3">
      <c r="AL108" s="30">
        <v>97</v>
      </c>
      <c r="AM108" s="30" t="s">
        <v>7361</v>
      </c>
      <c r="AN108" s="30" t="s">
        <v>7362</v>
      </c>
      <c r="AO108" s="30" t="s">
        <v>7363</v>
      </c>
      <c r="AP108" s="30" t="s">
        <v>7364</v>
      </c>
      <c r="AQ108" s="30" t="s">
        <v>7365</v>
      </c>
      <c r="AR108" s="30" t="s">
        <v>7366</v>
      </c>
      <c r="AS108" s="30" t="s">
        <v>7367</v>
      </c>
      <c r="AT108" s="22" t="s">
        <v>7368</v>
      </c>
      <c r="AX108" s="30">
        <v>97</v>
      </c>
      <c r="AY108" s="30" t="s">
        <v>7361</v>
      </c>
      <c r="AZ108" s="30" t="s">
        <v>7754</v>
      </c>
      <c r="BA108" s="30" t="s">
        <v>7755</v>
      </c>
      <c r="BB108" s="30" t="s">
        <v>7756</v>
      </c>
      <c r="BC108" s="22" t="s">
        <v>7757</v>
      </c>
    </row>
    <row r="109" spans="38:55" ht="42" thickBot="1" x14ac:dyDescent="0.3">
      <c r="AL109" s="30">
        <v>98</v>
      </c>
      <c r="AM109" s="30" t="s">
        <v>4635</v>
      </c>
      <c r="AN109" s="30" t="s">
        <v>5586</v>
      </c>
      <c r="AO109" s="30" t="s">
        <v>5586</v>
      </c>
      <c r="AP109" s="30" t="s">
        <v>5586</v>
      </c>
      <c r="AQ109" s="30" t="s">
        <v>5586</v>
      </c>
      <c r="AR109" s="30" t="s">
        <v>5586</v>
      </c>
      <c r="AS109" s="30" t="s">
        <v>7369</v>
      </c>
      <c r="AT109" s="22" t="s">
        <v>5586</v>
      </c>
      <c r="AX109" s="30">
        <v>98</v>
      </c>
      <c r="AY109" s="30" t="s">
        <v>4635</v>
      </c>
      <c r="AZ109" s="30" t="s">
        <v>5586</v>
      </c>
      <c r="BA109" s="30" t="s">
        <v>5586</v>
      </c>
      <c r="BB109" s="30" t="s">
        <v>7758</v>
      </c>
      <c r="BC109" s="22" t="s">
        <v>5586</v>
      </c>
    </row>
    <row r="110" spans="38:55" ht="14.4" thickBot="1" x14ac:dyDescent="0.3">
      <c r="AL110" s="29" t="s">
        <v>7370</v>
      </c>
      <c r="AM110" s="30"/>
      <c r="AN110" s="30"/>
      <c r="AO110" s="30"/>
      <c r="AP110" s="30"/>
      <c r="AQ110" s="30"/>
      <c r="AR110" s="30"/>
      <c r="AS110" s="30"/>
      <c r="AT110" s="22"/>
      <c r="AX110" s="29" t="s">
        <v>7370</v>
      </c>
      <c r="AY110" s="30"/>
      <c r="AZ110" s="30"/>
      <c r="BA110" s="30"/>
      <c r="BB110" s="30"/>
      <c r="BC110" s="22"/>
    </row>
    <row r="111" spans="38:55" ht="28.2" thickBot="1" x14ac:dyDescent="0.3">
      <c r="AL111" s="30">
        <v>99</v>
      </c>
      <c r="AM111" s="30" t="s">
        <v>2947</v>
      </c>
      <c r="AN111" s="30" t="s">
        <v>7371</v>
      </c>
      <c r="AO111" s="30" t="s">
        <v>7372</v>
      </c>
      <c r="AP111" s="30" t="s">
        <v>7373</v>
      </c>
      <c r="AQ111" s="30" t="s">
        <v>7374</v>
      </c>
      <c r="AR111" s="30" t="s">
        <v>7375</v>
      </c>
      <c r="AS111" s="30" t="s">
        <v>7376</v>
      </c>
      <c r="AT111" s="22" t="s">
        <v>7377</v>
      </c>
      <c r="AX111" s="30">
        <v>99</v>
      </c>
      <c r="AY111" s="30" t="s">
        <v>2947</v>
      </c>
      <c r="AZ111" s="30" t="s">
        <v>7759</v>
      </c>
      <c r="BA111" s="30" t="s">
        <v>7760</v>
      </c>
      <c r="BB111" s="30" t="s">
        <v>7761</v>
      </c>
      <c r="BC111" s="22" t="s">
        <v>7762</v>
      </c>
    </row>
    <row r="112" spans="38:55" ht="14.4" thickBot="1" x14ac:dyDescent="0.3">
      <c r="AL112" s="29" t="s">
        <v>7378</v>
      </c>
      <c r="AM112" s="30"/>
      <c r="AN112" s="30"/>
      <c r="AO112" s="30"/>
      <c r="AP112" s="30"/>
      <c r="AQ112" s="30"/>
      <c r="AR112" s="30"/>
      <c r="AS112" s="30"/>
      <c r="AT112" s="22"/>
      <c r="AX112" s="29" t="s">
        <v>7378</v>
      </c>
      <c r="AY112" s="30"/>
      <c r="AZ112" s="30"/>
      <c r="BA112" s="30"/>
      <c r="BB112" s="30"/>
      <c r="BC112" s="22"/>
    </row>
    <row r="113" spans="38:55" ht="42" thickBot="1" x14ac:dyDescent="0.3">
      <c r="AL113" s="30">
        <v>100</v>
      </c>
      <c r="AM113" s="30" t="s">
        <v>2926</v>
      </c>
      <c r="AN113" s="30" t="s">
        <v>7379</v>
      </c>
      <c r="AO113" s="30" t="s">
        <v>5586</v>
      </c>
      <c r="AP113" s="30" t="s">
        <v>5586</v>
      </c>
      <c r="AQ113" s="30" t="s">
        <v>5586</v>
      </c>
      <c r="AR113" s="30" t="s">
        <v>5586</v>
      </c>
      <c r="AS113" s="30" t="s">
        <v>7380</v>
      </c>
      <c r="AT113" s="22" t="s">
        <v>5586</v>
      </c>
      <c r="AX113" s="30">
        <v>100</v>
      </c>
      <c r="AY113" s="30" t="s">
        <v>2926</v>
      </c>
      <c r="AZ113" s="30" t="s">
        <v>5586</v>
      </c>
      <c r="BA113" s="30" t="s">
        <v>7763</v>
      </c>
      <c r="BB113" s="30" t="s">
        <v>7764</v>
      </c>
      <c r="BC113" s="22" t="s">
        <v>7765</v>
      </c>
    </row>
  </sheetData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238C-A645-4A48-A963-8BA1F248149A}">
  <dimension ref="A1:O64"/>
  <sheetViews>
    <sheetView workbookViewId="0">
      <selection activeCell="N2" sqref="N2:O64"/>
    </sheetView>
  </sheetViews>
  <sheetFormatPr defaultRowHeight="13.8" x14ac:dyDescent="0.25"/>
  <sheetData>
    <row r="1" spans="1:15" ht="42" thickBot="1" x14ac:dyDescent="0.3">
      <c r="A1" s="21" t="s">
        <v>6148</v>
      </c>
      <c r="B1" s="21" t="s">
        <v>3389</v>
      </c>
      <c r="C1" s="21" t="s">
        <v>6149</v>
      </c>
      <c r="D1" s="21" t="s">
        <v>6150</v>
      </c>
      <c r="F1" s="21" t="s">
        <v>2845</v>
      </c>
      <c r="G1" s="21" t="s">
        <v>2906</v>
      </c>
      <c r="H1" s="21" t="s">
        <v>6149</v>
      </c>
      <c r="I1" s="21" t="s">
        <v>6150</v>
      </c>
    </row>
    <row r="2" spans="1:15" ht="14.4" thickBot="1" x14ac:dyDescent="0.3">
      <c r="A2" s="21" t="s">
        <v>2940</v>
      </c>
      <c r="B2" s="22" t="s">
        <v>3856</v>
      </c>
      <c r="C2" s="22">
        <v>0.24260000000000001</v>
      </c>
      <c r="D2" s="22">
        <v>0.1893</v>
      </c>
      <c r="F2" s="22">
        <v>1</v>
      </c>
      <c r="G2" s="22" t="s">
        <v>2017</v>
      </c>
      <c r="H2" s="22">
        <v>5.8517999999999999</v>
      </c>
      <c r="I2" s="22">
        <v>4.1726000000000001</v>
      </c>
      <c r="K2" s="37">
        <v>1000000</v>
      </c>
      <c r="L2" s="37">
        <v>1000000</v>
      </c>
      <c r="N2">
        <f>H2*K2</f>
        <v>5851800</v>
      </c>
      <c r="O2">
        <f>I2*L2</f>
        <v>4172600</v>
      </c>
    </row>
    <row r="3" spans="1:15" ht="28.2" thickBot="1" x14ac:dyDescent="0.3">
      <c r="A3" s="22"/>
      <c r="B3" s="22" t="s">
        <v>2022</v>
      </c>
      <c r="C3" s="22">
        <v>0.98760000000000003</v>
      </c>
      <c r="D3" s="22">
        <v>0.98770000000000002</v>
      </c>
      <c r="F3" s="22">
        <v>2</v>
      </c>
      <c r="G3" s="22" t="s">
        <v>2162</v>
      </c>
      <c r="H3" s="22" t="s">
        <v>2908</v>
      </c>
      <c r="I3" s="22" t="s">
        <v>2908</v>
      </c>
      <c r="K3" s="37">
        <v>1000000</v>
      </c>
      <c r="L3" s="37">
        <v>1000000</v>
      </c>
      <c r="N3" t="e">
        <f t="shared" ref="N3:N64" si="0">H3*K3</f>
        <v>#VALUE!</v>
      </c>
      <c r="O3" t="e">
        <f t="shared" ref="O3:O64" si="1">I3*L3</f>
        <v>#VALUE!</v>
      </c>
    </row>
    <row r="4" spans="1:15" ht="14.4" thickBot="1" x14ac:dyDescent="0.3">
      <c r="A4" s="22"/>
      <c r="B4" s="22" t="s">
        <v>3392</v>
      </c>
      <c r="C4" s="22">
        <v>1.3100000000000001E-2</v>
      </c>
      <c r="D4" s="22">
        <v>1.18E-2</v>
      </c>
      <c r="F4" s="22">
        <v>3</v>
      </c>
      <c r="G4" s="22" t="s">
        <v>2018</v>
      </c>
      <c r="H4" s="22">
        <v>0.55220000000000002</v>
      </c>
      <c r="I4" s="22">
        <v>0.34460000000000002</v>
      </c>
      <c r="K4" s="37">
        <v>1000000</v>
      </c>
      <c r="L4" s="37">
        <v>1000000</v>
      </c>
      <c r="N4">
        <f t="shared" si="0"/>
        <v>552200</v>
      </c>
      <c r="O4">
        <f t="shared" si="1"/>
        <v>344600</v>
      </c>
    </row>
    <row r="5" spans="1:15" ht="28.2" thickBot="1" x14ac:dyDescent="0.3">
      <c r="A5" s="22"/>
      <c r="B5" s="22" t="s">
        <v>2164</v>
      </c>
      <c r="C5" s="22">
        <v>6.3E-3</v>
      </c>
      <c r="D5" s="22">
        <v>2.8E-3</v>
      </c>
      <c r="F5" s="22">
        <v>4</v>
      </c>
      <c r="G5" s="22" t="s">
        <v>2022</v>
      </c>
      <c r="H5" s="22">
        <v>0.98760000000000003</v>
      </c>
      <c r="I5" s="22">
        <v>0.98770000000000002</v>
      </c>
      <c r="K5" s="37">
        <v>1000000</v>
      </c>
      <c r="L5" s="37">
        <v>1000000</v>
      </c>
      <c r="N5">
        <f t="shared" si="0"/>
        <v>987600</v>
      </c>
      <c r="O5">
        <f t="shared" si="1"/>
        <v>987700</v>
      </c>
    </row>
    <row r="6" spans="1:15" ht="14.4" thickBot="1" x14ac:dyDescent="0.3">
      <c r="A6" s="22"/>
      <c r="B6" s="22" t="s">
        <v>4336</v>
      </c>
      <c r="C6" s="22">
        <v>1.34E-2</v>
      </c>
      <c r="D6" s="22">
        <v>4.4000000000000003E-3</v>
      </c>
      <c r="F6" s="22">
        <v>5</v>
      </c>
      <c r="G6" s="22" t="s">
        <v>2023</v>
      </c>
      <c r="H6" s="22">
        <v>2.3699999999999999E-2</v>
      </c>
      <c r="I6" s="22">
        <v>1.3299999999999999E-2</v>
      </c>
      <c r="K6" s="37">
        <v>1000000</v>
      </c>
      <c r="L6" s="37">
        <v>1000000</v>
      </c>
      <c r="N6">
        <f t="shared" si="0"/>
        <v>23700</v>
      </c>
      <c r="O6">
        <f t="shared" si="1"/>
        <v>13300</v>
      </c>
    </row>
    <row r="7" spans="1:15" ht="14.4" thickBot="1" x14ac:dyDescent="0.3">
      <c r="A7" s="22"/>
      <c r="B7" s="22" t="s">
        <v>2018</v>
      </c>
      <c r="C7" s="22">
        <v>0.55220000000000002</v>
      </c>
      <c r="D7" s="22">
        <v>0.34460000000000002</v>
      </c>
      <c r="F7" s="22">
        <v>6</v>
      </c>
      <c r="G7" s="22" t="s">
        <v>2019</v>
      </c>
      <c r="H7" s="22">
        <v>9.1700000000000004E-2</v>
      </c>
      <c r="I7" s="22">
        <v>7.0400000000000004E-2</v>
      </c>
      <c r="K7" s="37">
        <v>1000000</v>
      </c>
      <c r="L7" s="37">
        <v>1000000</v>
      </c>
      <c r="N7">
        <f t="shared" si="0"/>
        <v>91700</v>
      </c>
      <c r="O7">
        <f t="shared" si="1"/>
        <v>70400</v>
      </c>
    </row>
    <row r="8" spans="1:15" ht="28.2" thickBot="1" x14ac:dyDescent="0.3">
      <c r="A8" s="22"/>
      <c r="B8" s="22" t="s">
        <v>6151</v>
      </c>
      <c r="C8" s="22">
        <v>2.3599999999999999E-2</v>
      </c>
      <c r="D8" s="22">
        <v>3.2500000000000001E-2</v>
      </c>
      <c r="F8" s="22">
        <v>7</v>
      </c>
      <c r="G8" s="22" t="s">
        <v>2178</v>
      </c>
      <c r="H8" s="22">
        <v>3.3300000000000003E-2</v>
      </c>
      <c r="I8" s="22">
        <v>2.2599999999999999E-2</v>
      </c>
      <c r="K8" s="37">
        <v>1000000</v>
      </c>
      <c r="L8" s="37">
        <v>1000000</v>
      </c>
      <c r="N8">
        <f t="shared" si="0"/>
        <v>33300</v>
      </c>
      <c r="O8">
        <f t="shared" si="1"/>
        <v>22600</v>
      </c>
    </row>
    <row r="9" spans="1:15" ht="14.4" thickBot="1" x14ac:dyDescent="0.3">
      <c r="A9" s="22"/>
      <c r="B9" s="22" t="s">
        <v>2019</v>
      </c>
      <c r="C9" s="22">
        <v>9.1700000000000004E-2</v>
      </c>
      <c r="D9" s="22">
        <v>7.0400000000000004E-2</v>
      </c>
      <c r="F9" s="22">
        <v>8</v>
      </c>
      <c r="G9" s="22" t="s">
        <v>2898</v>
      </c>
      <c r="H9" s="22">
        <v>1.2605</v>
      </c>
      <c r="I9" s="22">
        <v>1.3936999999999999</v>
      </c>
      <c r="K9" s="37">
        <v>1000000</v>
      </c>
      <c r="L9" s="37">
        <v>1000000</v>
      </c>
      <c r="N9">
        <f t="shared" si="0"/>
        <v>1260500</v>
      </c>
      <c r="O9">
        <f t="shared" si="1"/>
        <v>1393700</v>
      </c>
    </row>
    <row r="10" spans="1:15" ht="42" thickBot="1" x14ac:dyDescent="0.3">
      <c r="A10" s="22"/>
      <c r="B10" s="22" t="s">
        <v>2017</v>
      </c>
      <c r="C10" s="22">
        <v>5.8517999999999999</v>
      </c>
      <c r="D10" s="22">
        <v>4.1726000000000001</v>
      </c>
      <c r="F10" s="22">
        <v>9</v>
      </c>
      <c r="G10" s="22" t="s">
        <v>2909</v>
      </c>
      <c r="H10" s="22" t="s">
        <v>2908</v>
      </c>
      <c r="I10" s="22" t="s">
        <v>2908</v>
      </c>
      <c r="K10" s="37">
        <v>1000000</v>
      </c>
      <c r="L10" s="37">
        <v>1000000</v>
      </c>
      <c r="N10" t="e">
        <f t="shared" si="0"/>
        <v>#VALUE!</v>
      </c>
      <c r="O10" t="e">
        <f t="shared" si="1"/>
        <v>#VALUE!</v>
      </c>
    </row>
    <row r="11" spans="1:15" ht="28.2" thickBot="1" x14ac:dyDescent="0.3">
      <c r="A11" s="22"/>
      <c r="B11" s="22" t="s">
        <v>2178</v>
      </c>
      <c r="C11" s="22">
        <v>3.3300000000000003E-2</v>
      </c>
      <c r="D11" s="22">
        <v>2.2599999999999999E-2</v>
      </c>
      <c r="F11" s="22">
        <v>10</v>
      </c>
      <c r="G11" s="22" t="s">
        <v>2166</v>
      </c>
      <c r="H11" s="22" t="s">
        <v>2908</v>
      </c>
      <c r="I11" s="22" t="s">
        <v>2908</v>
      </c>
      <c r="K11" s="37">
        <v>1000000</v>
      </c>
      <c r="L11" s="37">
        <v>1000000</v>
      </c>
      <c r="N11" t="e">
        <f t="shared" si="0"/>
        <v>#VALUE!</v>
      </c>
      <c r="O11" t="e">
        <f t="shared" si="1"/>
        <v>#VALUE!</v>
      </c>
    </row>
    <row r="12" spans="1:15" ht="28.2" thickBot="1" x14ac:dyDescent="0.3">
      <c r="A12" s="22"/>
      <c r="B12" s="22" t="s">
        <v>2898</v>
      </c>
      <c r="C12" s="22">
        <v>1.2605</v>
      </c>
      <c r="D12" s="22">
        <v>1.3936999999999999</v>
      </c>
      <c r="F12" s="22">
        <v>11</v>
      </c>
      <c r="G12" s="22" t="s">
        <v>2911</v>
      </c>
      <c r="H12" s="22" t="s">
        <v>2908</v>
      </c>
      <c r="I12" s="22" t="s">
        <v>2908</v>
      </c>
      <c r="K12" s="37">
        <v>1000000</v>
      </c>
      <c r="L12" s="37">
        <v>1000000</v>
      </c>
      <c r="N12" t="e">
        <f t="shared" si="0"/>
        <v>#VALUE!</v>
      </c>
      <c r="O12" t="e">
        <f t="shared" si="1"/>
        <v>#VALUE!</v>
      </c>
    </row>
    <row r="13" spans="1:15" ht="28.2" thickBot="1" x14ac:dyDescent="0.3">
      <c r="A13" s="22"/>
      <c r="B13" s="22" t="s">
        <v>2023</v>
      </c>
      <c r="C13" s="22">
        <v>2.3699999999999999E-2</v>
      </c>
      <c r="D13" s="22">
        <v>1.3299999999999999E-2</v>
      </c>
      <c r="F13" s="22">
        <v>12</v>
      </c>
      <c r="G13" s="22" t="s">
        <v>2957</v>
      </c>
      <c r="H13" s="22" t="s">
        <v>2908</v>
      </c>
      <c r="I13" s="22" t="s">
        <v>2908</v>
      </c>
      <c r="K13" s="37">
        <v>1000000</v>
      </c>
      <c r="L13" s="37">
        <v>1000000</v>
      </c>
      <c r="N13" t="e">
        <f t="shared" si="0"/>
        <v>#VALUE!</v>
      </c>
      <c r="O13" t="e">
        <f t="shared" si="1"/>
        <v>#VALUE!</v>
      </c>
    </row>
    <row r="14" spans="1:15" ht="14.4" thickBot="1" x14ac:dyDescent="0.3">
      <c r="A14" s="22"/>
      <c r="B14" s="22" t="s">
        <v>2186</v>
      </c>
      <c r="C14" s="22">
        <v>4.4999999999999997E-3</v>
      </c>
      <c r="D14" s="22">
        <v>3.3999999999999998E-3</v>
      </c>
      <c r="F14" s="22">
        <v>13</v>
      </c>
      <c r="G14" s="22" t="s">
        <v>2913</v>
      </c>
      <c r="H14" s="22" t="s">
        <v>2908</v>
      </c>
      <c r="I14" s="22" t="s">
        <v>2908</v>
      </c>
      <c r="K14" s="37">
        <v>1000000</v>
      </c>
      <c r="L14" s="37">
        <v>1000000</v>
      </c>
      <c r="N14" t="e">
        <f t="shared" si="0"/>
        <v>#VALUE!</v>
      </c>
      <c r="O14" t="e">
        <f t="shared" si="1"/>
        <v>#VALUE!</v>
      </c>
    </row>
    <row r="15" spans="1:15" ht="28.2" thickBot="1" x14ac:dyDescent="0.3">
      <c r="A15" s="22"/>
      <c r="B15" s="22" t="s">
        <v>2028</v>
      </c>
      <c r="C15" s="22">
        <v>1.8E-3</v>
      </c>
      <c r="D15" s="22">
        <v>1.5E-3</v>
      </c>
      <c r="F15" s="22">
        <v>14</v>
      </c>
      <c r="G15" s="22" t="s">
        <v>2173</v>
      </c>
      <c r="H15" s="22" t="s">
        <v>2908</v>
      </c>
      <c r="I15" s="22" t="s">
        <v>2908</v>
      </c>
      <c r="K15" s="37">
        <v>1000000</v>
      </c>
      <c r="L15" s="37">
        <v>1000000</v>
      </c>
      <c r="N15" t="e">
        <f t="shared" si="0"/>
        <v>#VALUE!</v>
      </c>
      <c r="O15" t="e">
        <f t="shared" si="1"/>
        <v>#VALUE!</v>
      </c>
    </row>
    <row r="16" spans="1:15" ht="28.2" thickBot="1" x14ac:dyDescent="0.3">
      <c r="A16" s="22"/>
      <c r="B16" s="22" t="s">
        <v>3291</v>
      </c>
      <c r="C16" s="22">
        <v>6.9999999999999999E-4</v>
      </c>
      <c r="D16" s="22">
        <v>8.0000000000000004E-4</v>
      </c>
      <c r="F16" s="22">
        <v>15</v>
      </c>
      <c r="G16" s="22" t="s">
        <v>2914</v>
      </c>
      <c r="H16" s="22" t="s">
        <v>2908</v>
      </c>
      <c r="I16" s="22" t="s">
        <v>2908</v>
      </c>
      <c r="K16" s="37">
        <v>1000000</v>
      </c>
      <c r="L16" s="37">
        <v>1000000</v>
      </c>
      <c r="N16" t="e">
        <f t="shared" si="0"/>
        <v>#VALUE!</v>
      </c>
      <c r="O16" t="e">
        <f t="shared" si="1"/>
        <v>#VALUE!</v>
      </c>
    </row>
    <row r="17" spans="1:15" ht="55.8" thickBot="1" x14ac:dyDescent="0.3">
      <c r="A17" s="22"/>
      <c r="B17" s="22" t="s">
        <v>6152</v>
      </c>
      <c r="C17" s="22">
        <v>1.5E-3</v>
      </c>
      <c r="D17" s="22">
        <v>1.1999999999999999E-3</v>
      </c>
      <c r="F17" s="22">
        <v>16</v>
      </c>
      <c r="G17" s="22" t="s">
        <v>3381</v>
      </c>
      <c r="H17" s="22">
        <v>6.9999999999999999E-4</v>
      </c>
      <c r="I17" s="22">
        <v>8.0000000000000004E-4</v>
      </c>
      <c r="K17" s="37">
        <v>1000000</v>
      </c>
      <c r="L17" s="37">
        <v>1000000</v>
      </c>
      <c r="N17">
        <f t="shared" si="0"/>
        <v>700</v>
      </c>
      <c r="O17">
        <f t="shared" si="1"/>
        <v>800</v>
      </c>
    </row>
    <row r="18" spans="1:15" ht="28.2" thickBot="1" x14ac:dyDescent="0.3">
      <c r="A18" s="22"/>
      <c r="B18" s="22" t="s">
        <v>2318</v>
      </c>
      <c r="C18" s="22">
        <v>8.3400000000000002E-2</v>
      </c>
      <c r="D18" s="22">
        <v>7.6100000000000001E-2</v>
      </c>
      <c r="F18" s="22">
        <v>17</v>
      </c>
      <c r="G18" s="22" t="s">
        <v>2028</v>
      </c>
      <c r="H18" s="22">
        <v>1.8E-3</v>
      </c>
      <c r="I18" s="22">
        <v>1.5E-3</v>
      </c>
      <c r="K18" s="37">
        <v>1000000</v>
      </c>
      <c r="L18" s="37">
        <v>1000000</v>
      </c>
      <c r="N18">
        <f t="shared" si="0"/>
        <v>1800</v>
      </c>
      <c r="O18">
        <f t="shared" si="1"/>
        <v>1500</v>
      </c>
    </row>
    <row r="19" spans="1:15" ht="55.8" thickBot="1" x14ac:dyDescent="0.3">
      <c r="A19" s="22"/>
      <c r="B19" s="22" t="s">
        <v>3440</v>
      </c>
      <c r="C19" s="22">
        <v>1.3100000000000001E-2</v>
      </c>
      <c r="D19" s="22">
        <v>8.6999999999999994E-3</v>
      </c>
      <c r="F19" s="22">
        <v>18</v>
      </c>
      <c r="G19" s="22" t="s">
        <v>6156</v>
      </c>
      <c r="H19" s="22">
        <v>2.3599999999999999E-2</v>
      </c>
      <c r="I19" s="22">
        <v>3.2500000000000001E-2</v>
      </c>
      <c r="K19" s="37">
        <v>1000000</v>
      </c>
      <c r="L19" s="37">
        <v>1000000</v>
      </c>
      <c r="N19">
        <f t="shared" si="0"/>
        <v>23600</v>
      </c>
      <c r="O19">
        <f t="shared" si="1"/>
        <v>32500</v>
      </c>
    </row>
    <row r="20" spans="1:15" ht="28.2" thickBot="1" x14ac:dyDescent="0.3">
      <c r="A20" s="22"/>
      <c r="B20" s="22" t="s">
        <v>3247</v>
      </c>
      <c r="C20" s="22">
        <v>1.7399999999999999E-2</v>
      </c>
      <c r="D20" s="22">
        <v>1.77E-2</v>
      </c>
      <c r="F20" s="22">
        <v>19</v>
      </c>
      <c r="G20" s="22" t="s">
        <v>2318</v>
      </c>
      <c r="H20" s="22">
        <v>8.3400000000000002E-2</v>
      </c>
      <c r="I20" s="22">
        <v>7.6100000000000001E-2</v>
      </c>
      <c r="K20" s="37">
        <v>1000000</v>
      </c>
      <c r="L20" s="37">
        <v>1000000</v>
      </c>
      <c r="N20">
        <f t="shared" si="0"/>
        <v>83400</v>
      </c>
      <c r="O20">
        <f t="shared" si="1"/>
        <v>76100</v>
      </c>
    </row>
    <row r="21" spans="1:15" ht="28.2" thickBot="1" x14ac:dyDescent="0.3">
      <c r="A21" s="21" t="s">
        <v>2941</v>
      </c>
      <c r="B21" s="22" t="s">
        <v>2961</v>
      </c>
      <c r="C21" s="22">
        <v>5.6300000000000003E-2</v>
      </c>
      <c r="D21" s="22">
        <v>5.0299999999999997E-2</v>
      </c>
      <c r="F21" s="22">
        <v>20</v>
      </c>
      <c r="G21" s="22" t="s">
        <v>2362</v>
      </c>
      <c r="H21" s="22" t="s">
        <v>2908</v>
      </c>
      <c r="I21" s="22" t="s">
        <v>2908</v>
      </c>
      <c r="K21" s="37">
        <v>1000000</v>
      </c>
      <c r="L21" s="37">
        <v>1000000</v>
      </c>
      <c r="N21" t="e">
        <f t="shared" si="0"/>
        <v>#VALUE!</v>
      </c>
      <c r="O21" t="e">
        <f t="shared" si="1"/>
        <v>#VALUE!</v>
      </c>
    </row>
    <row r="22" spans="1:15" ht="28.2" thickBot="1" x14ac:dyDescent="0.3">
      <c r="A22" s="22"/>
      <c r="B22" s="22" t="s">
        <v>3343</v>
      </c>
      <c r="C22" s="22">
        <v>1.7299999999999999E-2</v>
      </c>
      <c r="D22" s="22">
        <v>1.35E-2</v>
      </c>
      <c r="F22" s="22">
        <v>21</v>
      </c>
      <c r="G22" s="22" t="s">
        <v>2942</v>
      </c>
      <c r="H22" s="22">
        <v>5.5300000000000002E-2</v>
      </c>
      <c r="I22" s="22">
        <v>5.1499999999999997E-2</v>
      </c>
      <c r="K22" s="37">
        <v>1000000</v>
      </c>
      <c r="L22" s="37">
        <v>1000000</v>
      </c>
      <c r="N22">
        <f t="shared" si="0"/>
        <v>55300</v>
      </c>
      <c r="O22">
        <f t="shared" si="1"/>
        <v>51500</v>
      </c>
    </row>
    <row r="23" spans="1:15" ht="28.2" thickBot="1" x14ac:dyDescent="0.3">
      <c r="A23" s="22"/>
      <c r="B23" s="22" t="s">
        <v>2863</v>
      </c>
      <c r="C23" s="22">
        <v>3.32E-2</v>
      </c>
      <c r="D23" s="22">
        <v>3.6999999999999998E-2</v>
      </c>
      <c r="F23" s="22">
        <v>22</v>
      </c>
      <c r="G23" s="22" t="s">
        <v>3157</v>
      </c>
      <c r="H23" s="22">
        <v>3.0200000000000001E-2</v>
      </c>
      <c r="I23" s="22">
        <v>2.9700000000000001E-2</v>
      </c>
      <c r="K23" s="37">
        <v>1000000</v>
      </c>
      <c r="L23" s="37">
        <v>1000000</v>
      </c>
      <c r="N23">
        <f t="shared" si="0"/>
        <v>30200</v>
      </c>
      <c r="O23">
        <f t="shared" si="1"/>
        <v>29700</v>
      </c>
    </row>
    <row r="24" spans="1:15" ht="55.8" thickBot="1" x14ac:dyDescent="0.3">
      <c r="A24" s="22"/>
      <c r="B24" s="22" t="s">
        <v>2359</v>
      </c>
      <c r="C24" s="22">
        <v>8.0999999999999996E-3</v>
      </c>
      <c r="D24" s="22">
        <v>1.4200000000000001E-2</v>
      </c>
      <c r="F24" s="22">
        <v>23</v>
      </c>
      <c r="G24" s="22" t="s">
        <v>3629</v>
      </c>
      <c r="H24" s="22">
        <v>3.15E-2</v>
      </c>
      <c r="I24" s="22">
        <v>6.3500000000000001E-2</v>
      </c>
      <c r="K24" s="37">
        <v>1000000</v>
      </c>
      <c r="L24" s="37">
        <v>1000000</v>
      </c>
      <c r="N24">
        <f t="shared" si="0"/>
        <v>31500</v>
      </c>
      <c r="O24">
        <f t="shared" si="1"/>
        <v>63500</v>
      </c>
    </row>
    <row r="25" spans="1:15" ht="28.2" thickBot="1" x14ac:dyDescent="0.3">
      <c r="A25" s="22"/>
      <c r="B25" s="22" t="s">
        <v>3347</v>
      </c>
      <c r="C25" s="22">
        <v>1.6500000000000001E-2</v>
      </c>
      <c r="D25" s="22">
        <v>1.8200000000000001E-2</v>
      </c>
      <c r="F25" s="22">
        <v>24</v>
      </c>
      <c r="G25" s="22" t="s">
        <v>2918</v>
      </c>
      <c r="H25" s="22" t="s">
        <v>2908</v>
      </c>
      <c r="I25" s="22" t="s">
        <v>2908</v>
      </c>
      <c r="K25" s="37">
        <v>1000000</v>
      </c>
      <c r="L25" s="37">
        <v>1000000</v>
      </c>
      <c r="N25" t="e">
        <f t="shared" si="0"/>
        <v>#VALUE!</v>
      </c>
      <c r="O25" t="e">
        <f t="shared" si="1"/>
        <v>#VALUE!</v>
      </c>
    </row>
    <row r="26" spans="1:15" ht="14.4" thickBot="1" x14ac:dyDescent="0.3">
      <c r="A26" s="22"/>
      <c r="B26" s="22" t="s">
        <v>2866</v>
      </c>
      <c r="C26" s="22">
        <v>5.5300000000000002E-2</v>
      </c>
      <c r="D26" s="22">
        <v>5.1499999999999997E-2</v>
      </c>
      <c r="F26" s="22">
        <v>25</v>
      </c>
      <c r="G26" s="22" t="s">
        <v>2179</v>
      </c>
      <c r="H26" s="22" t="s">
        <v>2908</v>
      </c>
      <c r="I26" s="22" t="s">
        <v>2908</v>
      </c>
      <c r="K26" s="37">
        <v>1000000</v>
      </c>
      <c r="L26" s="37">
        <v>1000000</v>
      </c>
      <c r="N26" t="e">
        <f t="shared" si="0"/>
        <v>#VALUE!</v>
      </c>
      <c r="O26" t="e">
        <f t="shared" si="1"/>
        <v>#VALUE!</v>
      </c>
    </row>
    <row r="27" spans="1:15" ht="28.2" thickBot="1" x14ac:dyDescent="0.3">
      <c r="A27" s="22"/>
      <c r="B27" s="22" t="s">
        <v>3558</v>
      </c>
      <c r="C27" s="22">
        <v>3.15E-2</v>
      </c>
      <c r="D27" s="22">
        <v>6.3500000000000001E-2</v>
      </c>
      <c r="F27" s="22">
        <v>26</v>
      </c>
      <c r="G27" s="22" t="s">
        <v>2943</v>
      </c>
      <c r="H27" s="22">
        <v>3.32E-2</v>
      </c>
      <c r="I27" s="22">
        <v>3.6999999999999998E-2</v>
      </c>
      <c r="K27" s="37">
        <v>1000000</v>
      </c>
      <c r="L27" s="37">
        <v>1000000</v>
      </c>
      <c r="N27">
        <f t="shared" si="0"/>
        <v>33200</v>
      </c>
      <c r="O27">
        <f t="shared" si="1"/>
        <v>37000</v>
      </c>
    </row>
    <row r="28" spans="1:15" ht="14.4" thickBot="1" x14ac:dyDescent="0.3">
      <c r="A28" s="22"/>
      <c r="B28" s="22" t="s">
        <v>2875</v>
      </c>
      <c r="C28" s="22">
        <v>3.0200000000000001E-2</v>
      </c>
      <c r="D28" s="22">
        <v>2.9700000000000001E-2</v>
      </c>
      <c r="F28" s="22">
        <v>27</v>
      </c>
      <c r="G28" s="22" t="s">
        <v>2359</v>
      </c>
      <c r="H28" s="22">
        <v>8.0999999999999996E-3</v>
      </c>
      <c r="I28" s="22">
        <v>1.4200000000000001E-2</v>
      </c>
      <c r="K28" s="37">
        <v>1000000</v>
      </c>
      <c r="L28" s="37">
        <v>1000000</v>
      </c>
      <c r="N28">
        <f t="shared" si="0"/>
        <v>8100</v>
      </c>
      <c r="O28">
        <f t="shared" si="1"/>
        <v>14200</v>
      </c>
    </row>
    <row r="29" spans="1:15" ht="14.4" thickBot="1" x14ac:dyDescent="0.3">
      <c r="A29" s="22"/>
      <c r="B29" s="22" t="s">
        <v>3352</v>
      </c>
      <c r="C29" s="22">
        <v>4.4999999999999997E-3</v>
      </c>
      <c r="D29" s="22">
        <v>2.3999999999999998E-3</v>
      </c>
      <c r="F29" s="22">
        <v>28</v>
      </c>
      <c r="G29" s="22" t="s">
        <v>2024</v>
      </c>
      <c r="H29" s="22">
        <v>0.68049999999999999</v>
      </c>
      <c r="I29" s="22">
        <v>0.317</v>
      </c>
      <c r="K29" s="37">
        <v>1000000</v>
      </c>
      <c r="L29" s="37">
        <v>1000000</v>
      </c>
      <c r="N29">
        <f t="shared" si="0"/>
        <v>680500</v>
      </c>
      <c r="O29">
        <f t="shared" si="1"/>
        <v>317000</v>
      </c>
    </row>
    <row r="30" spans="1:15" ht="28.2" thickBot="1" x14ac:dyDescent="0.3">
      <c r="A30" s="22"/>
      <c r="B30" s="22" t="s">
        <v>6153</v>
      </c>
      <c r="C30" s="22">
        <v>4.6199999999999998E-2</v>
      </c>
      <c r="D30" s="22">
        <v>1.3599999999999999E-2</v>
      </c>
      <c r="F30" s="22">
        <v>29</v>
      </c>
      <c r="G30" s="22" t="s">
        <v>2892</v>
      </c>
      <c r="H30" s="22">
        <v>3.0099999999999998E-2</v>
      </c>
      <c r="I30" s="22">
        <v>3.6900000000000002E-2</v>
      </c>
      <c r="K30" s="37">
        <v>1000000</v>
      </c>
      <c r="L30" s="37">
        <v>1000000</v>
      </c>
      <c r="N30">
        <f t="shared" si="0"/>
        <v>30100</v>
      </c>
      <c r="O30">
        <f t="shared" si="1"/>
        <v>36900</v>
      </c>
    </row>
    <row r="31" spans="1:15" ht="42" thickBot="1" x14ac:dyDescent="0.3">
      <c r="A31" s="22"/>
      <c r="B31" s="22" t="s">
        <v>6154</v>
      </c>
      <c r="C31" s="22">
        <v>4.8999999999999998E-3</v>
      </c>
      <c r="D31" s="22">
        <v>1.52E-2</v>
      </c>
      <c r="F31" s="22">
        <v>30</v>
      </c>
      <c r="G31" s="22" t="s">
        <v>2021</v>
      </c>
      <c r="H31" s="22">
        <v>3.2199999999999999E-2</v>
      </c>
      <c r="I31" s="22">
        <v>2.4400000000000002E-2</v>
      </c>
      <c r="K31" s="37">
        <v>1000000</v>
      </c>
      <c r="L31" s="37">
        <v>1000000</v>
      </c>
      <c r="N31">
        <f t="shared" si="0"/>
        <v>32200</v>
      </c>
      <c r="O31">
        <f t="shared" si="1"/>
        <v>24400</v>
      </c>
    </row>
    <row r="32" spans="1:15" ht="14.4" thickBot="1" x14ac:dyDescent="0.3">
      <c r="A32" s="22"/>
      <c r="B32" s="22" t="s">
        <v>2878</v>
      </c>
      <c r="C32" s="22">
        <v>8.0999999999999996E-3</v>
      </c>
      <c r="D32" s="22">
        <v>8.6999999999999994E-3</v>
      </c>
      <c r="F32" s="22">
        <v>31</v>
      </c>
      <c r="G32" s="22" t="s">
        <v>2174</v>
      </c>
      <c r="H32" s="22">
        <v>8.0999999999999996E-3</v>
      </c>
      <c r="I32" s="22">
        <v>6.7999999999999996E-3</v>
      </c>
      <c r="K32" s="37">
        <v>1000000</v>
      </c>
      <c r="L32" s="37">
        <v>1000000</v>
      </c>
      <c r="N32">
        <f t="shared" si="0"/>
        <v>8100</v>
      </c>
      <c r="O32">
        <f t="shared" si="1"/>
        <v>6800</v>
      </c>
    </row>
    <row r="33" spans="1:15" ht="14.4" thickBot="1" x14ac:dyDescent="0.3">
      <c r="A33" s="22"/>
      <c r="B33" s="22" t="s">
        <v>3436</v>
      </c>
      <c r="C33" s="22" t="s">
        <v>152</v>
      </c>
      <c r="D33" s="22" t="s">
        <v>152</v>
      </c>
      <c r="F33" s="22">
        <v>32</v>
      </c>
      <c r="G33" s="22" t="s">
        <v>2180</v>
      </c>
      <c r="H33" s="22">
        <v>6.25E-2</v>
      </c>
      <c r="I33" s="22">
        <v>9.4600000000000004E-2</v>
      </c>
      <c r="K33" s="37">
        <v>1000000</v>
      </c>
      <c r="L33" s="37">
        <v>1000000</v>
      </c>
      <c r="N33">
        <f t="shared" si="0"/>
        <v>62500</v>
      </c>
      <c r="O33">
        <f t="shared" si="1"/>
        <v>94600</v>
      </c>
    </row>
    <row r="34" spans="1:15" ht="14.4" thickBot="1" x14ac:dyDescent="0.3">
      <c r="A34" s="22"/>
      <c r="B34" s="22" t="s">
        <v>3438</v>
      </c>
      <c r="C34" s="22">
        <v>4.4000000000000003E-3</v>
      </c>
      <c r="D34" s="22">
        <v>8.8999999999999999E-3</v>
      </c>
      <c r="F34" s="22">
        <v>33</v>
      </c>
      <c r="G34" s="22" t="s">
        <v>2020</v>
      </c>
      <c r="H34" s="22">
        <v>0.55020000000000002</v>
      </c>
      <c r="I34" s="22">
        <v>0.25309999999999999</v>
      </c>
      <c r="K34" s="37">
        <v>1000000</v>
      </c>
      <c r="L34" s="37">
        <v>1000000</v>
      </c>
      <c r="N34">
        <f t="shared" si="0"/>
        <v>550200</v>
      </c>
      <c r="O34">
        <f t="shared" si="1"/>
        <v>253100</v>
      </c>
    </row>
    <row r="35" spans="1:15" ht="14.4" thickBot="1" x14ac:dyDescent="0.3">
      <c r="A35" s="21" t="s">
        <v>2944</v>
      </c>
      <c r="B35" s="22" t="s">
        <v>2177</v>
      </c>
      <c r="C35" s="22">
        <v>0.61809999999999998</v>
      </c>
      <c r="D35" s="22">
        <v>0.498</v>
      </c>
      <c r="F35" s="22">
        <v>34</v>
      </c>
      <c r="G35" s="22" t="s">
        <v>2177</v>
      </c>
      <c r="H35" s="22">
        <v>0.61809999999999998</v>
      </c>
      <c r="I35" s="22">
        <v>0.498</v>
      </c>
      <c r="K35" s="37">
        <v>1000000</v>
      </c>
      <c r="L35" s="37">
        <v>1000000</v>
      </c>
      <c r="N35">
        <f t="shared" si="0"/>
        <v>618100</v>
      </c>
      <c r="O35">
        <f t="shared" si="1"/>
        <v>498000</v>
      </c>
    </row>
    <row r="36" spans="1:15" ht="28.2" thickBot="1" x14ac:dyDescent="0.3">
      <c r="A36" s="22"/>
      <c r="B36" s="22" t="s">
        <v>2185</v>
      </c>
      <c r="C36" s="22">
        <v>3.9E-2</v>
      </c>
      <c r="D36" s="22">
        <v>3.73E-2</v>
      </c>
      <c r="F36" s="22">
        <v>35</v>
      </c>
      <c r="G36" s="22" t="s">
        <v>2175</v>
      </c>
      <c r="H36" s="22" t="s">
        <v>2908</v>
      </c>
      <c r="I36" s="22" t="s">
        <v>2908</v>
      </c>
      <c r="K36" s="37">
        <v>1000000</v>
      </c>
      <c r="L36" s="37">
        <v>1000000</v>
      </c>
      <c r="N36" t="e">
        <f t="shared" si="0"/>
        <v>#VALUE!</v>
      </c>
      <c r="O36" t="e">
        <f t="shared" si="1"/>
        <v>#VALUE!</v>
      </c>
    </row>
    <row r="37" spans="1:15" ht="14.4" thickBot="1" x14ac:dyDescent="0.3">
      <c r="A37" s="22"/>
      <c r="B37" s="22" t="s">
        <v>2892</v>
      </c>
      <c r="C37" s="22">
        <v>3.0099999999999998E-2</v>
      </c>
      <c r="D37" s="22">
        <v>3.6900000000000002E-2</v>
      </c>
      <c r="F37" s="22">
        <v>36</v>
      </c>
      <c r="G37" s="22" t="s">
        <v>2026</v>
      </c>
      <c r="H37" s="22">
        <v>2.7099999999999999E-2</v>
      </c>
      <c r="I37" s="22">
        <v>2.6100000000000002E-2</v>
      </c>
      <c r="K37" s="37">
        <v>1000000</v>
      </c>
      <c r="L37" s="37">
        <v>1000000</v>
      </c>
      <c r="N37">
        <f t="shared" si="0"/>
        <v>27100</v>
      </c>
      <c r="O37">
        <f t="shared" si="1"/>
        <v>26100</v>
      </c>
    </row>
    <row r="38" spans="1:15" ht="14.4" thickBot="1" x14ac:dyDescent="0.3">
      <c r="A38" s="22"/>
      <c r="B38" s="22" t="s">
        <v>2020</v>
      </c>
      <c r="C38" s="22">
        <v>0.55020000000000002</v>
      </c>
      <c r="D38" s="22">
        <v>0.25309999999999999</v>
      </c>
      <c r="F38" s="22">
        <v>37</v>
      </c>
      <c r="G38" s="22" t="s">
        <v>2920</v>
      </c>
      <c r="H38" s="22" t="s">
        <v>2908</v>
      </c>
      <c r="I38" s="22" t="s">
        <v>2908</v>
      </c>
      <c r="K38" s="37">
        <v>1000000</v>
      </c>
      <c r="L38" s="37">
        <v>1000000</v>
      </c>
      <c r="N38" t="e">
        <f t="shared" si="0"/>
        <v>#VALUE!</v>
      </c>
      <c r="O38" t="e">
        <f t="shared" si="1"/>
        <v>#VALUE!</v>
      </c>
    </row>
    <row r="39" spans="1:15" ht="14.4" thickBot="1" x14ac:dyDescent="0.3">
      <c r="A39" s="22"/>
      <c r="B39" s="22" t="s">
        <v>2026</v>
      </c>
      <c r="C39" s="22">
        <v>2.7099999999999999E-2</v>
      </c>
      <c r="D39" s="22">
        <v>2.6100000000000002E-2</v>
      </c>
      <c r="F39" s="22">
        <v>38</v>
      </c>
      <c r="G39" s="22" t="s">
        <v>2320</v>
      </c>
      <c r="H39" s="22">
        <v>4.3299999999999998E-2</v>
      </c>
      <c r="I39" s="22">
        <v>4.4499999999999998E-2</v>
      </c>
      <c r="K39" s="37">
        <v>1000000</v>
      </c>
      <c r="L39" s="37">
        <v>1000000</v>
      </c>
      <c r="N39">
        <f t="shared" si="0"/>
        <v>43300</v>
      </c>
      <c r="O39">
        <f t="shared" si="1"/>
        <v>44500</v>
      </c>
    </row>
    <row r="40" spans="1:15" ht="14.4" thickBot="1" x14ac:dyDescent="0.3">
      <c r="A40" s="22"/>
      <c r="B40" s="22" t="s">
        <v>2021</v>
      </c>
      <c r="C40" s="22">
        <v>3.2199999999999999E-2</v>
      </c>
      <c r="D40" s="22">
        <v>2.4400000000000002E-2</v>
      </c>
      <c r="F40" s="22">
        <v>39</v>
      </c>
      <c r="G40" s="22" t="s">
        <v>2857</v>
      </c>
      <c r="H40" s="22">
        <v>3.15E-2</v>
      </c>
      <c r="I40" s="22">
        <v>1.7600000000000001E-2</v>
      </c>
      <c r="K40" s="37">
        <v>1000000</v>
      </c>
      <c r="L40" s="37">
        <v>1000000</v>
      </c>
      <c r="N40">
        <f t="shared" si="0"/>
        <v>31500</v>
      </c>
      <c r="O40">
        <f t="shared" si="1"/>
        <v>17600</v>
      </c>
    </row>
    <row r="41" spans="1:15" ht="42" thickBot="1" x14ac:dyDescent="0.3">
      <c r="A41" s="22"/>
      <c r="B41" s="22" t="s">
        <v>2024</v>
      </c>
      <c r="C41" s="22">
        <v>0.68049999999999999</v>
      </c>
      <c r="D41" s="22">
        <v>0.317</v>
      </c>
      <c r="F41" s="22">
        <v>40</v>
      </c>
      <c r="G41" s="22" t="s">
        <v>3158</v>
      </c>
      <c r="H41" s="22">
        <v>0.14810000000000001</v>
      </c>
      <c r="I41" s="22">
        <v>0.15770000000000001</v>
      </c>
      <c r="K41" s="37">
        <v>1000000</v>
      </c>
      <c r="L41" s="37">
        <v>1000000</v>
      </c>
      <c r="N41">
        <f t="shared" si="0"/>
        <v>148100</v>
      </c>
      <c r="O41">
        <f t="shared" si="1"/>
        <v>157700</v>
      </c>
    </row>
    <row r="42" spans="1:15" ht="28.2" thickBot="1" x14ac:dyDescent="0.3">
      <c r="A42" s="22"/>
      <c r="B42" s="22" t="s">
        <v>2180</v>
      </c>
      <c r="C42" s="22">
        <v>6.25E-2</v>
      </c>
      <c r="D42" s="22">
        <v>9.4600000000000004E-2</v>
      </c>
      <c r="F42" s="22">
        <v>41</v>
      </c>
      <c r="G42" s="22" t="s">
        <v>2922</v>
      </c>
      <c r="H42" s="22">
        <v>3.6299999999999999E-2</v>
      </c>
      <c r="I42" s="22">
        <v>1.34E-2</v>
      </c>
      <c r="K42" s="37">
        <v>1000000</v>
      </c>
      <c r="L42" s="37">
        <v>1000000</v>
      </c>
      <c r="N42">
        <f t="shared" si="0"/>
        <v>36300</v>
      </c>
      <c r="O42">
        <f t="shared" si="1"/>
        <v>13400</v>
      </c>
    </row>
    <row r="43" spans="1:15" ht="14.4" thickBot="1" x14ac:dyDescent="0.3">
      <c r="A43" s="22"/>
      <c r="B43" s="22" t="s">
        <v>2174</v>
      </c>
      <c r="C43" s="22">
        <v>8.0999999999999996E-3</v>
      </c>
      <c r="D43" s="22">
        <v>6.7999999999999996E-3</v>
      </c>
      <c r="F43" s="22">
        <v>42</v>
      </c>
      <c r="G43" s="22" t="s">
        <v>2341</v>
      </c>
      <c r="H43" s="22" t="s">
        <v>2908</v>
      </c>
      <c r="I43" s="22" t="s">
        <v>2908</v>
      </c>
      <c r="K43" s="37">
        <v>1000000</v>
      </c>
      <c r="L43" s="37">
        <v>1000000</v>
      </c>
      <c r="N43" t="e">
        <f t="shared" si="0"/>
        <v>#VALUE!</v>
      </c>
      <c r="O43" t="e">
        <f t="shared" si="1"/>
        <v>#VALUE!</v>
      </c>
    </row>
    <row r="44" spans="1:15" ht="28.2" thickBot="1" x14ac:dyDescent="0.3">
      <c r="A44" s="22"/>
      <c r="B44" s="22" t="s">
        <v>3586</v>
      </c>
      <c r="C44" s="22">
        <v>1.4E-3</v>
      </c>
      <c r="D44" s="22">
        <v>1.6000000000000001E-3</v>
      </c>
      <c r="F44" s="22">
        <v>43</v>
      </c>
      <c r="G44" s="22" t="s">
        <v>2161</v>
      </c>
      <c r="H44" s="22" t="s">
        <v>2908</v>
      </c>
      <c r="I44" s="22" t="s">
        <v>2908</v>
      </c>
      <c r="K44" s="37">
        <v>1000000</v>
      </c>
      <c r="L44" s="37">
        <v>1000000</v>
      </c>
      <c r="N44" t="e">
        <f t="shared" si="0"/>
        <v>#VALUE!</v>
      </c>
      <c r="O44" t="e">
        <f t="shared" si="1"/>
        <v>#VALUE!</v>
      </c>
    </row>
    <row r="45" spans="1:15" ht="42" thickBot="1" x14ac:dyDescent="0.3">
      <c r="A45" s="22"/>
      <c r="B45" s="22" t="s">
        <v>2946</v>
      </c>
      <c r="C45" s="22">
        <v>1.61E-2</v>
      </c>
      <c r="D45" s="22">
        <v>1.2999999999999999E-2</v>
      </c>
      <c r="F45" s="22">
        <v>44</v>
      </c>
      <c r="G45" s="22" t="s">
        <v>2923</v>
      </c>
      <c r="H45" s="22" t="s">
        <v>2908</v>
      </c>
      <c r="I45" s="22" t="s">
        <v>2908</v>
      </c>
      <c r="K45" s="37">
        <v>1000000</v>
      </c>
      <c r="L45" s="37">
        <v>1000000</v>
      </c>
      <c r="N45" t="e">
        <f t="shared" si="0"/>
        <v>#VALUE!</v>
      </c>
      <c r="O45" t="e">
        <f t="shared" si="1"/>
        <v>#VALUE!</v>
      </c>
    </row>
    <row r="46" spans="1:15" ht="42" thickBot="1" x14ac:dyDescent="0.3">
      <c r="A46" s="21" t="s">
        <v>2945</v>
      </c>
      <c r="B46" s="22" t="s">
        <v>2320</v>
      </c>
      <c r="C46" s="22">
        <v>4.3299999999999998E-2</v>
      </c>
      <c r="D46" s="22">
        <v>4.4499999999999998E-2</v>
      </c>
      <c r="F46" s="22">
        <v>45</v>
      </c>
      <c r="G46" s="22" t="s">
        <v>2924</v>
      </c>
      <c r="H46" s="22" t="s">
        <v>2908</v>
      </c>
      <c r="I46" s="22" t="s">
        <v>2908</v>
      </c>
      <c r="K46" s="37">
        <v>1000000</v>
      </c>
      <c r="L46" s="37">
        <v>1000000</v>
      </c>
      <c r="N46" t="e">
        <f t="shared" si="0"/>
        <v>#VALUE!</v>
      </c>
      <c r="O46" t="e">
        <f t="shared" si="1"/>
        <v>#VALUE!</v>
      </c>
    </row>
    <row r="47" spans="1:15" ht="42" thickBot="1" x14ac:dyDescent="0.3">
      <c r="A47" s="22"/>
      <c r="B47" s="22" t="s">
        <v>2947</v>
      </c>
      <c r="C47" s="22">
        <v>0.14810000000000001</v>
      </c>
      <c r="D47" s="22">
        <v>0.15770000000000001</v>
      </c>
      <c r="F47" s="22">
        <v>46</v>
      </c>
      <c r="G47" s="22" t="s">
        <v>2925</v>
      </c>
      <c r="H47" s="22" t="s">
        <v>2908</v>
      </c>
      <c r="I47" s="22" t="s">
        <v>2908</v>
      </c>
      <c r="K47" s="37">
        <v>1000000</v>
      </c>
      <c r="L47" s="37">
        <v>1000000</v>
      </c>
      <c r="N47" t="e">
        <f t="shared" si="0"/>
        <v>#VALUE!</v>
      </c>
      <c r="O47" t="e">
        <f t="shared" si="1"/>
        <v>#VALUE!</v>
      </c>
    </row>
    <row r="48" spans="1:15" ht="28.2" thickBot="1" x14ac:dyDescent="0.3">
      <c r="A48" s="22"/>
      <c r="B48" s="22" t="s">
        <v>4153</v>
      </c>
      <c r="C48" s="22">
        <v>6.9999999999999999E-4</v>
      </c>
      <c r="D48" s="22">
        <v>8.0000000000000004E-4</v>
      </c>
      <c r="F48" s="22">
        <v>47</v>
      </c>
      <c r="G48" s="22" t="s">
        <v>3159</v>
      </c>
      <c r="H48" s="22" t="s">
        <v>2908</v>
      </c>
      <c r="I48" s="22" t="s">
        <v>2908</v>
      </c>
      <c r="K48" s="37">
        <v>1000000</v>
      </c>
      <c r="L48" s="37">
        <v>1000000</v>
      </c>
      <c r="N48" t="e">
        <f t="shared" si="0"/>
        <v>#VALUE!</v>
      </c>
      <c r="O48" t="e">
        <f t="shared" si="1"/>
        <v>#VALUE!</v>
      </c>
    </row>
    <row r="49" spans="1:15" ht="28.2" thickBot="1" x14ac:dyDescent="0.3">
      <c r="A49" s="22"/>
      <c r="B49" s="22" t="s">
        <v>6136</v>
      </c>
      <c r="C49" s="22">
        <v>3.8E-3</v>
      </c>
      <c r="D49" s="22">
        <v>5.4000000000000003E-3</v>
      </c>
      <c r="F49" s="22">
        <v>48</v>
      </c>
      <c r="G49" s="22" t="s">
        <v>2878</v>
      </c>
      <c r="H49" s="22">
        <v>8.0999999999999996E-3</v>
      </c>
      <c r="I49" s="22">
        <v>8.6999999999999994E-3</v>
      </c>
      <c r="K49" s="37">
        <v>1000000</v>
      </c>
      <c r="L49" s="37">
        <v>1000000</v>
      </c>
      <c r="N49">
        <f t="shared" si="0"/>
        <v>8100</v>
      </c>
      <c r="O49">
        <f t="shared" si="1"/>
        <v>8700</v>
      </c>
    </row>
    <row r="50" spans="1:15" ht="14.4" thickBot="1" x14ac:dyDescent="0.3">
      <c r="A50" s="22"/>
      <c r="B50" s="22" t="s">
        <v>2857</v>
      </c>
      <c r="C50" s="22">
        <v>3.15E-2</v>
      </c>
      <c r="D50" s="22">
        <v>1.7600000000000001E-2</v>
      </c>
      <c r="F50" s="22">
        <v>49</v>
      </c>
      <c r="G50" s="22" t="s">
        <v>2927</v>
      </c>
      <c r="H50" s="22" t="s">
        <v>2908</v>
      </c>
      <c r="I50" s="22" t="s">
        <v>2908</v>
      </c>
      <c r="K50" s="37">
        <v>1000000</v>
      </c>
      <c r="L50" s="37">
        <v>1000000</v>
      </c>
      <c r="N50" t="e">
        <f t="shared" si="0"/>
        <v>#VALUE!</v>
      </c>
      <c r="O50" t="e">
        <f t="shared" si="1"/>
        <v>#VALUE!</v>
      </c>
    </row>
    <row r="51" spans="1:15" ht="28.2" thickBot="1" x14ac:dyDescent="0.3">
      <c r="A51" s="21" t="s">
        <v>6155</v>
      </c>
      <c r="B51" s="22" t="s">
        <v>2955</v>
      </c>
      <c r="C51" s="22">
        <v>1.6000000000000001E-3</v>
      </c>
      <c r="D51" s="22">
        <v>2E-3</v>
      </c>
      <c r="F51" s="22">
        <v>50</v>
      </c>
      <c r="G51" s="22" t="s">
        <v>2164</v>
      </c>
      <c r="H51" s="22">
        <v>6.3E-3</v>
      </c>
      <c r="I51" s="22">
        <v>2.8E-3</v>
      </c>
      <c r="K51" s="37">
        <v>1000000</v>
      </c>
      <c r="L51" s="37">
        <v>1000000</v>
      </c>
      <c r="N51">
        <f t="shared" si="0"/>
        <v>6300</v>
      </c>
      <c r="O51">
        <f t="shared" si="1"/>
        <v>2800</v>
      </c>
    </row>
    <row r="52" spans="1:15" ht="28.2" thickBot="1" x14ac:dyDescent="0.3">
      <c r="A52" s="22"/>
      <c r="B52" s="22" t="s">
        <v>2922</v>
      </c>
      <c r="C52" s="22">
        <v>3.6299999999999999E-2</v>
      </c>
      <c r="D52" s="22">
        <v>1.34E-2</v>
      </c>
      <c r="F52" s="22">
        <v>51</v>
      </c>
      <c r="G52" s="22" t="s">
        <v>2170</v>
      </c>
      <c r="H52" s="22" t="s">
        <v>2908</v>
      </c>
      <c r="I52" s="22" t="s">
        <v>2908</v>
      </c>
      <c r="K52" s="37">
        <v>1000000</v>
      </c>
      <c r="L52" s="37">
        <v>1000000</v>
      </c>
      <c r="N52" t="e">
        <f t="shared" si="0"/>
        <v>#VALUE!</v>
      </c>
      <c r="O52" t="e">
        <f t="shared" si="1"/>
        <v>#VALUE!</v>
      </c>
    </row>
    <row r="53" spans="1:15" ht="14.4" thickBot="1" x14ac:dyDescent="0.3">
      <c r="F53" s="22">
        <v>52</v>
      </c>
      <c r="G53" s="22" t="s">
        <v>2172</v>
      </c>
      <c r="H53" s="22" t="s">
        <v>2908</v>
      </c>
      <c r="I53" s="22" t="s">
        <v>2908</v>
      </c>
      <c r="K53" s="37">
        <v>1000000</v>
      </c>
      <c r="L53" s="37">
        <v>1000000</v>
      </c>
      <c r="N53" t="e">
        <f t="shared" si="0"/>
        <v>#VALUE!</v>
      </c>
      <c r="O53" t="e">
        <f t="shared" si="1"/>
        <v>#VALUE!</v>
      </c>
    </row>
    <row r="54" spans="1:15" ht="14.4" thickBot="1" x14ac:dyDescent="0.3">
      <c r="F54" s="22">
        <v>53</v>
      </c>
      <c r="G54" s="22" t="s">
        <v>3819</v>
      </c>
      <c r="H54" s="22" t="s">
        <v>2908</v>
      </c>
      <c r="I54" s="22" t="s">
        <v>2908</v>
      </c>
      <c r="K54" s="37">
        <v>1000000</v>
      </c>
      <c r="L54" s="37">
        <v>1000000</v>
      </c>
      <c r="N54" t="e">
        <f t="shared" si="0"/>
        <v>#VALUE!</v>
      </c>
      <c r="O54" t="e">
        <f t="shared" si="1"/>
        <v>#VALUE!</v>
      </c>
    </row>
    <row r="55" spans="1:15" ht="28.2" thickBot="1" x14ac:dyDescent="0.3">
      <c r="F55" s="22">
        <v>54</v>
      </c>
      <c r="G55" s="22" t="s">
        <v>2929</v>
      </c>
      <c r="H55" s="22" t="s">
        <v>2908</v>
      </c>
      <c r="I55" s="22" t="s">
        <v>2908</v>
      </c>
      <c r="K55" s="37">
        <v>1000000</v>
      </c>
      <c r="L55" s="37">
        <v>1000000</v>
      </c>
      <c r="N55" t="e">
        <f t="shared" si="0"/>
        <v>#VALUE!</v>
      </c>
      <c r="O55" t="e">
        <f t="shared" si="1"/>
        <v>#VALUE!</v>
      </c>
    </row>
    <row r="56" spans="1:15" ht="28.2" thickBot="1" x14ac:dyDescent="0.3">
      <c r="F56" s="22">
        <v>55</v>
      </c>
      <c r="G56" s="22" t="s">
        <v>2183</v>
      </c>
      <c r="H56" s="22" t="s">
        <v>2908</v>
      </c>
      <c r="I56" s="22" t="s">
        <v>2908</v>
      </c>
      <c r="K56" s="37">
        <v>1000000</v>
      </c>
      <c r="L56" s="37">
        <v>1000000</v>
      </c>
      <c r="N56" t="e">
        <f t="shared" si="0"/>
        <v>#VALUE!</v>
      </c>
      <c r="O56" t="e">
        <f t="shared" si="1"/>
        <v>#VALUE!</v>
      </c>
    </row>
    <row r="57" spans="1:15" ht="14.4" thickBot="1" x14ac:dyDescent="0.3">
      <c r="F57" s="22">
        <v>56</v>
      </c>
      <c r="G57" s="22" t="s">
        <v>2185</v>
      </c>
      <c r="H57" s="22">
        <v>3.9E-2</v>
      </c>
      <c r="I57" s="22">
        <v>3.73E-2</v>
      </c>
      <c r="K57" s="37">
        <v>1000000</v>
      </c>
      <c r="L57" s="37">
        <v>1000000</v>
      </c>
      <c r="N57">
        <f t="shared" si="0"/>
        <v>39000</v>
      </c>
      <c r="O57">
        <f t="shared" si="1"/>
        <v>37300</v>
      </c>
    </row>
    <row r="58" spans="1:15" ht="42" thickBot="1" x14ac:dyDescent="0.3">
      <c r="F58" s="22">
        <v>57</v>
      </c>
      <c r="G58" s="22" t="s">
        <v>6157</v>
      </c>
      <c r="H58" s="22">
        <v>3.8E-3</v>
      </c>
      <c r="I58" s="22">
        <v>5.4000000000000003E-3</v>
      </c>
      <c r="K58" s="37">
        <v>1000000</v>
      </c>
      <c r="L58" s="37">
        <v>1000000</v>
      </c>
      <c r="N58">
        <f t="shared" si="0"/>
        <v>3800</v>
      </c>
      <c r="O58">
        <f t="shared" si="1"/>
        <v>5400</v>
      </c>
    </row>
    <row r="59" spans="1:15" ht="14.4" thickBot="1" x14ac:dyDescent="0.3">
      <c r="F59" s="22">
        <v>58</v>
      </c>
      <c r="G59" s="22" t="s">
        <v>2331</v>
      </c>
      <c r="H59" s="22" t="s">
        <v>2908</v>
      </c>
      <c r="I59" s="22" t="s">
        <v>2908</v>
      </c>
      <c r="K59" s="37">
        <v>1000000</v>
      </c>
      <c r="L59" s="37">
        <v>1000000</v>
      </c>
      <c r="N59" t="e">
        <f t="shared" si="0"/>
        <v>#VALUE!</v>
      </c>
      <c r="O59" t="e">
        <f t="shared" si="1"/>
        <v>#VALUE!</v>
      </c>
    </row>
    <row r="60" spans="1:15" ht="28.2" thickBot="1" x14ac:dyDescent="0.3">
      <c r="F60" s="22">
        <v>59</v>
      </c>
      <c r="G60" s="22" t="s">
        <v>2337</v>
      </c>
      <c r="H60" s="22" t="s">
        <v>2908</v>
      </c>
      <c r="I60" s="22" t="s">
        <v>2908</v>
      </c>
      <c r="K60" s="37">
        <v>1000000</v>
      </c>
      <c r="L60" s="37">
        <v>1000000</v>
      </c>
      <c r="N60" t="e">
        <f t="shared" si="0"/>
        <v>#VALUE!</v>
      </c>
      <c r="O60" t="e">
        <f t="shared" si="1"/>
        <v>#VALUE!</v>
      </c>
    </row>
    <row r="61" spans="1:15" ht="14.4" thickBot="1" x14ac:dyDescent="0.3">
      <c r="F61" s="22">
        <v>60</v>
      </c>
      <c r="G61" s="22" t="s">
        <v>2365</v>
      </c>
      <c r="H61" s="22" t="s">
        <v>2908</v>
      </c>
      <c r="I61" s="22" t="s">
        <v>2908</v>
      </c>
      <c r="K61" s="37">
        <v>1000000</v>
      </c>
      <c r="L61" s="37">
        <v>1000000</v>
      </c>
      <c r="N61" t="e">
        <f t="shared" si="0"/>
        <v>#VALUE!</v>
      </c>
      <c r="O61" t="e">
        <f t="shared" si="1"/>
        <v>#VALUE!</v>
      </c>
    </row>
    <row r="62" spans="1:15" ht="14.4" thickBot="1" x14ac:dyDescent="0.3">
      <c r="F62" s="22">
        <v>61</v>
      </c>
      <c r="G62" s="22" t="s">
        <v>2186</v>
      </c>
      <c r="H62" s="22">
        <v>4.4999999999999997E-3</v>
      </c>
      <c r="I62" s="22">
        <v>3.3999999999999998E-3</v>
      </c>
      <c r="K62" s="37">
        <v>1000000</v>
      </c>
      <c r="L62" s="37">
        <v>1000000</v>
      </c>
      <c r="N62">
        <f t="shared" si="0"/>
        <v>4500</v>
      </c>
      <c r="O62">
        <f t="shared" si="1"/>
        <v>3400</v>
      </c>
    </row>
    <row r="63" spans="1:15" ht="14.4" thickBot="1" x14ac:dyDescent="0.3">
      <c r="F63" s="22">
        <v>62</v>
      </c>
      <c r="G63" s="22" t="s">
        <v>2382</v>
      </c>
      <c r="H63" s="22" t="s">
        <v>2908</v>
      </c>
      <c r="I63" s="22" t="s">
        <v>2908</v>
      </c>
      <c r="K63" s="37">
        <v>1000000</v>
      </c>
      <c r="L63" s="37">
        <v>1000000</v>
      </c>
      <c r="N63" t="e">
        <f t="shared" si="0"/>
        <v>#VALUE!</v>
      </c>
      <c r="O63" t="e">
        <f t="shared" si="1"/>
        <v>#VALUE!</v>
      </c>
    </row>
    <row r="64" spans="1:15" ht="14.4" thickBot="1" x14ac:dyDescent="0.3">
      <c r="F64" s="22">
        <v>63</v>
      </c>
      <c r="G64" s="22" t="s">
        <v>2393</v>
      </c>
      <c r="H64" s="22" t="s">
        <v>2908</v>
      </c>
      <c r="I64" s="22" t="s">
        <v>2908</v>
      </c>
      <c r="K64" s="37">
        <v>1000000</v>
      </c>
      <c r="L64" s="37">
        <v>1000000</v>
      </c>
      <c r="N64" t="e">
        <f t="shared" si="0"/>
        <v>#VALUE!</v>
      </c>
      <c r="O64" t="e">
        <f t="shared" si="1"/>
        <v>#VALUE!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6B98-3046-4EB0-8E35-E133301C7521}">
  <dimension ref="A1:Z70"/>
  <sheetViews>
    <sheetView workbookViewId="0">
      <selection activeCell="V2" sqref="V2:Z64"/>
    </sheetView>
  </sheetViews>
  <sheetFormatPr defaultRowHeight="13.8" x14ac:dyDescent="0.25"/>
  <sheetData>
    <row r="1" spans="1:26" ht="42" thickBot="1" x14ac:dyDescent="0.3">
      <c r="A1" s="21" t="s">
        <v>3389</v>
      </c>
      <c r="B1" s="21" t="s">
        <v>6158</v>
      </c>
      <c r="C1" s="21" t="s">
        <v>6159</v>
      </c>
      <c r="D1" s="21" t="s">
        <v>6160</v>
      </c>
      <c r="E1" s="21" t="s">
        <v>6161</v>
      </c>
      <c r="F1" s="21" t="s">
        <v>6162</v>
      </c>
      <c r="H1" s="21" t="s">
        <v>2845</v>
      </c>
      <c r="I1" s="21" t="s">
        <v>2906</v>
      </c>
      <c r="J1" s="21" t="s">
        <v>6158</v>
      </c>
      <c r="K1" s="21" t="s">
        <v>6159</v>
      </c>
      <c r="L1" s="21" t="s">
        <v>6160</v>
      </c>
      <c r="M1" s="21" t="s">
        <v>6161</v>
      </c>
      <c r="N1" s="21" t="s">
        <v>6162</v>
      </c>
    </row>
    <row r="2" spans="1:26" ht="14.4" thickBot="1" x14ac:dyDescent="0.3">
      <c r="A2" s="21" t="s">
        <v>2940</v>
      </c>
      <c r="B2" s="22"/>
      <c r="C2" s="22"/>
      <c r="D2" s="22"/>
      <c r="E2" s="22"/>
      <c r="F2" s="22"/>
      <c r="H2" s="22">
        <v>1</v>
      </c>
      <c r="I2" s="22" t="s">
        <v>2017</v>
      </c>
      <c r="J2" s="22">
        <v>2212.7330000000002</v>
      </c>
      <c r="K2" s="22">
        <v>1994.14</v>
      </c>
      <c r="L2" s="22">
        <v>1522.3489999999999</v>
      </c>
      <c r="M2" s="22">
        <v>1650.259</v>
      </c>
      <c r="N2" s="22">
        <v>2247.6320000000001</v>
      </c>
      <c r="P2" s="37">
        <v>1000</v>
      </c>
      <c r="Q2" s="37">
        <v>1000</v>
      </c>
      <c r="R2" s="37">
        <v>1000</v>
      </c>
      <c r="S2" s="37">
        <v>1000</v>
      </c>
      <c r="T2" s="37">
        <v>1000</v>
      </c>
      <c r="V2">
        <f>J2*P2</f>
        <v>2212733</v>
      </c>
      <c r="W2">
        <f t="shared" ref="W2:Z2" si="0">K2*Q2</f>
        <v>1994140</v>
      </c>
      <c r="X2">
        <f t="shared" si="0"/>
        <v>1522349</v>
      </c>
      <c r="Y2">
        <f t="shared" si="0"/>
        <v>1650259</v>
      </c>
      <c r="Z2">
        <f t="shared" si="0"/>
        <v>2247632</v>
      </c>
    </row>
    <row r="3" spans="1:26" ht="55.8" thickBot="1" x14ac:dyDescent="0.3">
      <c r="A3" s="22" t="s">
        <v>6163</v>
      </c>
      <c r="B3" s="22">
        <v>1139.7829999999999</v>
      </c>
      <c r="C3" s="22">
        <v>1217.1079999999999</v>
      </c>
      <c r="D3" s="22">
        <v>1108.6600000000001</v>
      </c>
      <c r="E3" s="22">
        <v>949.92399999999998</v>
      </c>
      <c r="F3" s="22">
        <v>1261.3520000000001</v>
      </c>
      <c r="H3" s="22">
        <v>2</v>
      </c>
      <c r="I3" s="22" t="s">
        <v>6225</v>
      </c>
      <c r="J3" s="22">
        <v>3.3620000000000001</v>
      </c>
      <c r="K3" s="22">
        <v>1.31</v>
      </c>
      <c r="L3" s="22">
        <v>1.5680000000000001</v>
      </c>
      <c r="M3" s="22">
        <v>1.762</v>
      </c>
      <c r="N3" s="22">
        <v>8.7910000000000004</v>
      </c>
      <c r="P3" s="37">
        <v>1000</v>
      </c>
      <c r="Q3" s="37">
        <v>1000</v>
      </c>
      <c r="R3" s="37">
        <v>1000</v>
      </c>
      <c r="S3" s="37">
        <v>1000</v>
      </c>
      <c r="T3" s="37">
        <v>1000</v>
      </c>
      <c r="V3">
        <f t="shared" ref="V3:V64" si="1">J3*P3</f>
        <v>3362</v>
      </c>
      <c r="W3">
        <f t="shared" ref="W3:W64" si="2">K3*Q3</f>
        <v>1310</v>
      </c>
      <c r="X3">
        <f t="shared" ref="X3:X64" si="3">L3*R3</f>
        <v>1568</v>
      </c>
      <c r="Y3">
        <f t="shared" ref="Y3:Y64" si="4">M3*S3</f>
        <v>1762</v>
      </c>
      <c r="Z3">
        <f t="shared" ref="Z3:Z64" si="5">N3*T3</f>
        <v>8791</v>
      </c>
    </row>
    <row r="4" spans="1:26" ht="55.8" thickBot="1" x14ac:dyDescent="0.3">
      <c r="A4" s="22" t="s">
        <v>6164</v>
      </c>
      <c r="B4" s="22">
        <v>5.2809999999999997</v>
      </c>
      <c r="C4" s="22">
        <v>4.6130000000000004</v>
      </c>
      <c r="D4" s="22">
        <v>4.5519999999999996</v>
      </c>
      <c r="E4" s="22">
        <v>5.33</v>
      </c>
      <c r="F4" s="22">
        <v>6.556</v>
      </c>
      <c r="H4" s="22">
        <v>3</v>
      </c>
      <c r="I4" s="22" t="s">
        <v>2018</v>
      </c>
      <c r="J4" s="22">
        <v>111.84399999999999</v>
      </c>
      <c r="K4" s="22">
        <v>122.8</v>
      </c>
      <c r="L4" s="22">
        <v>65.849999999999994</v>
      </c>
      <c r="M4" s="22">
        <v>73.977999999999994</v>
      </c>
      <c r="N4" s="22">
        <v>111.95399999999999</v>
      </c>
      <c r="P4" s="37">
        <v>1000</v>
      </c>
      <c r="Q4" s="37">
        <v>1000</v>
      </c>
      <c r="R4" s="37">
        <v>1000</v>
      </c>
      <c r="S4" s="37">
        <v>1000</v>
      </c>
      <c r="T4" s="37">
        <v>1000</v>
      </c>
      <c r="V4">
        <f t="shared" si="1"/>
        <v>111844</v>
      </c>
      <c r="W4">
        <f t="shared" si="2"/>
        <v>122800</v>
      </c>
      <c r="X4">
        <f t="shared" si="3"/>
        <v>65850</v>
      </c>
      <c r="Y4">
        <f t="shared" si="4"/>
        <v>73978</v>
      </c>
      <c r="Z4">
        <f t="shared" si="5"/>
        <v>111954</v>
      </c>
    </row>
    <row r="5" spans="1:26" ht="83.4" thickBot="1" x14ac:dyDescent="0.3">
      <c r="A5" s="22" t="s">
        <v>6165</v>
      </c>
      <c r="B5" s="22">
        <v>42.469000000000001</v>
      </c>
      <c r="C5" s="22">
        <v>21.326000000000001</v>
      </c>
      <c r="D5" s="22">
        <v>33.475000000000001</v>
      </c>
      <c r="E5" s="22">
        <v>37.25</v>
      </c>
      <c r="F5" s="22">
        <v>37.488999999999997</v>
      </c>
      <c r="H5" s="22">
        <v>4</v>
      </c>
      <c r="I5" s="22" t="s">
        <v>2022</v>
      </c>
      <c r="J5" s="22">
        <v>1139.7829999999999</v>
      </c>
      <c r="K5" s="22">
        <v>1217.1079999999999</v>
      </c>
      <c r="L5" s="22">
        <v>1108.6600000000001</v>
      </c>
      <c r="M5" s="22">
        <v>949.92399999999998</v>
      </c>
      <c r="N5" s="22">
        <v>1261.3520000000001</v>
      </c>
      <c r="P5" s="37">
        <v>1000</v>
      </c>
      <c r="Q5" s="37">
        <v>1000</v>
      </c>
      <c r="R5" s="37">
        <v>1000</v>
      </c>
      <c r="S5" s="37">
        <v>1000</v>
      </c>
      <c r="T5" s="37">
        <v>1000</v>
      </c>
      <c r="V5">
        <f t="shared" si="1"/>
        <v>1139783</v>
      </c>
      <c r="W5">
        <f t="shared" si="2"/>
        <v>1217108</v>
      </c>
      <c r="X5">
        <f t="shared" si="3"/>
        <v>1108660</v>
      </c>
      <c r="Y5">
        <f t="shared" si="4"/>
        <v>949924</v>
      </c>
      <c r="Z5">
        <f t="shared" si="5"/>
        <v>1261352</v>
      </c>
    </row>
    <row r="6" spans="1:26" ht="42" thickBot="1" x14ac:dyDescent="0.3">
      <c r="A6" s="22" t="s">
        <v>6166</v>
      </c>
      <c r="B6" s="22">
        <v>111.84399999999999</v>
      </c>
      <c r="C6" s="22">
        <v>122.8</v>
      </c>
      <c r="D6" s="22">
        <v>65.849999999999994</v>
      </c>
      <c r="E6" s="22">
        <v>73.977999999999994</v>
      </c>
      <c r="F6" s="22">
        <v>111.95399999999999</v>
      </c>
      <c r="H6" s="22">
        <v>5</v>
      </c>
      <c r="I6" s="22" t="s">
        <v>2023</v>
      </c>
      <c r="J6" s="22">
        <v>19.527000000000001</v>
      </c>
      <c r="K6" s="22">
        <v>5.819</v>
      </c>
      <c r="L6" s="22">
        <v>10.539</v>
      </c>
      <c r="M6" s="22">
        <v>12.084</v>
      </c>
      <c r="N6" s="22">
        <v>27.515999999999998</v>
      </c>
      <c r="P6" s="37">
        <v>1000</v>
      </c>
      <c r="Q6" s="37">
        <v>1000</v>
      </c>
      <c r="R6" s="37">
        <v>1000</v>
      </c>
      <c r="S6" s="37">
        <v>1000</v>
      </c>
      <c r="T6" s="37">
        <v>1000</v>
      </c>
      <c r="V6">
        <f t="shared" si="1"/>
        <v>19527</v>
      </c>
      <c r="W6">
        <f t="shared" si="2"/>
        <v>5819</v>
      </c>
      <c r="X6">
        <f t="shared" si="3"/>
        <v>10539</v>
      </c>
      <c r="Y6">
        <f t="shared" si="4"/>
        <v>12084</v>
      </c>
      <c r="Z6">
        <f t="shared" si="5"/>
        <v>27516</v>
      </c>
    </row>
    <row r="7" spans="1:26" ht="69.599999999999994" thickBot="1" x14ac:dyDescent="0.3">
      <c r="A7" s="22" t="s">
        <v>6167</v>
      </c>
      <c r="B7" s="22">
        <v>0.60499999999999998</v>
      </c>
      <c r="C7" s="22">
        <v>0.25800000000000001</v>
      </c>
      <c r="D7" s="22">
        <v>0.33600000000000002</v>
      </c>
      <c r="E7" s="22">
        <v>0.34</v>
      </c>
      <c r="F7" s="22">
        <v>0.93100000000000005</v>
      </c>
      <c r="H7" s="22">
        <v>6</v>
      </c>
      <c r="I7" s="22" t="s">
        <v>2019</v>
      </c>
      <c r="J7" s="22">
        <v>32.124000000000002</v>
      </c>
      <c r="K7" s="22">
        <v>34.353000000000002</v>
      </c>
      <c r="L7" s="22">
        <v>44.542999999999999</v>
      </c>
      <c r="M7" s="22">
        <v>47.947000000000003</v>
      </c>
      <c r="N7" s="22">
        <v>40.918999999999997</v>
      </c>
      <c r="P7" s="37">
        <v>1000</v>
      </c>
      <c r="Q7" s="37">
        <v>1000</v>
      </c>
      <c r="R7" s="37">
        <v>1000</v>
      </c>
      <c r="S7" s="37">
        <v>1000</v>
      </c>
      <c r="T7" s="37">
        <v>1000</v>
      </c>
      <c r="V7">
        <f t="shared" si="1"/>
        <v>32124.000000000004</v>
      </c>
      <c r="W7">
        <f t="shared" si="2"/>
        <v>34353</v>
      </c>
      <c r="X7">
        <f t="shared" si="3"/>
        <v>44543</v>
      </c>
      <c r="Y7">
        <f t="shared" si="4"/>
        <v>47947</v>
      </c>
      <c r="Z7">
        <f t="shared" si="5"/>
        <v>40919</v>
      </c>
    </row>
    <row r="8" spans="1:26" ht="69.599999999999994" thickBot="1" x14ac:dyDescent="0.3">
      <c r="A8" s="22" t="s">
        <v>6168</v>
      </c>
      <c r="B8" s="22">
        <v>3.3620000000000001</v>
      </c>
      <c r="C8" s="22">
        <v>1.31</v>
      </c>
      <c r="D8" s="22">
        <v>1.5680000000000001</v>
      </c>
      <c r="E8" s="22">
        <v>1.762</v>
      </c>
      <c r="F8" s="22">
        <v>8.7910000000000004</v>
      </c>
      <c r="H8" s="22">
        <v>7</v>
      </c>
      <c r="I8" s="22" t="s">
        <v>2178</v>
      </c>
      <c r="J8" s="22">
        <v>96.597999999999999</v>
      </c>
      <c r="K8" s="22">
        <v>29.811</v>
      </c>
      <c r="L8" s="22">
        <v>40.433999999999997</v>
      </c>
      <c r="M8" s="22">
        <v>41.085000000000001</v>
      </c>
      <c r="N8" s="22">
        <v>149.744</v>
      </c>
      <c r="P8" s="37">
        <v>1000</v>
      </c>
      <c r="Q8" s="37">
        <v>1000</v>
      </c>
      <c r="R8" s="37">
        <v>1000</v>
      </c>
      <c r="S8" s="37">
        <v>1000</v>
      </c>
      <c r="T8" s="37">
        <v>1000</v>
      </c>
      <c r="V8">
        <f t="shared" si="1"/>
        <v>96598</v>
      </c>
      <c r="W8">
        <f t="shared" si="2"/>
        <v>29811</v>
      </c>
      <c r="X8">
        <f t="shared" si="3"/>
        <v>40434</v>
      </c>
      <c r="Y8">
        <f t="shared" si="4"/>
        <v>41085</v>
      </c>
      <c r="Z8">
        <f t="shared" si="5"/>
        <v>149744</v>
      </c>
    </row>
    <row r="9" spans="1:26" ht="55.8" thickBot="1" x14ac:dyDescent="0.3">
      <c r="A9" s="22" t="s">
        <v>6169</v>
      </c>
      <c r="B9" s="22">
        <v>0.72099999999999997</v>
      </c>
      <c r="C9" s="22">
        <v>0.59299999999999997</v>
      </c>
      <c r="D9" s="22">
        <v>0.60499999999999998</v>
      </c>
      <c r="E9" s="22">
        <v>0.85299999999999998</v>
      </c>
      <c r="F9" s="22">
        <v>1.1499999999999999</v>
      </c>
      <c r="H9" s="22">
        <v>8</v>
      </c>
      <c r="I9" s="22" t="s">
        <v>2898</v>
      </c>
      <c r="J9" s="22">
        <v>846.65200000000004</v>
      </c>
      <c r="K9" s="22">
        <v>858.5</v>
      </c>
      <c r="L9" s="22">
        <v>1020.605</v>
      </c>
      <c r="M9" s="22">
        <v>1067.145</v>
      </c>
      <c r="N9" s="22">
        <v>887.45399999999995</v>
      </c>
      <c r="P9" s="37">
        <v>1000</v>
      </c>
      <c r="Q9" s="37">
        <v>1000</v>
      </c>
      <c r="R9" s="37">
        <v>1000</v>
      </c>
      <c r="S9" s="37">
        <v>1000</v>
      </c>
      <c r="T9" s="37">
        <v>1000</v>
      </c>
      <c r="V9">
        <f t="shared" si="1"/>
        <v>846652</v>
      </c>
      <c r="W9">
        <f t="shared" si="2"/>
        <v>858500</v>
      </c>
      <c r="X9">
        <f t="shared" si="3"/>
        <v>1020605</v>
      </c>
      <c r="Y9">
        <f t="shared" si="4"/>
        <v>1067145</v>
      </c>
      <c r="Z9">
        <f t="shared" si="5"/>
        <v>887454</v>
      </c>
    </row>
    <row r="10" spans="1:26" ht="55.8" thickBot="1" x14ac:dyDescent="0.3">
      <c r="A10" s="22" t="s">
        <v>6170</v>
      </c>
      <c r="B10" s="22">
        <v>32.124000000000002</v>
      </c>
      <c r="C10" s="22">
        <v>34.353000000000002</v>
      </c>
      <c r="D10" s="22">
        <v>44.542999999999999</v>
      </c>
      <c r="E10" s="22">
        <v>47.947000000000003</v>
      </c>
      <c r="F10" s="22">
        <v>40.918999999999997</v>
      </c>
      <c r="H10" s="22">
        <v>9</v>
      </c>
      <c r="I10" s="22" t="s">
        <v>2909</v>
      </c>
      <c r="J10" s="22" t="s">
        <v>2908</v>
      </c>
      <c r="K10" s="22" t="s">
        <v>2908</v>
      </c>
      <c r="L10" s="22" t="s">
        <v>2908</v>
      </c>
      <c r="M10" s="22" t="s">
        <v>2908</v>
      </c>
      <c r="N10" s="22" t="s">
        <v>2908</v>
      </c>
      <c r="P10" s="37">
        <v>1000</v>
      </c>
      <c r="Q10" s="37">
        <v>1000</v>
      </c>
      <c r="R10" s="37">
        <v>1000</v>
      </c>
      <c r="S10" s="37">
        <v>1000</v>
      </c>
      <c r="T10" s="37">
        <v>1000</v>
      </c>
      <c r="V10" t="e">
        <f t="shared" si="1"/>
        <v>#VALUE!</v>
      </c>
      <c r="W10" t="e">
        <f t="shared" si="2"/>
        <v>#VALUE!</v>
      </c>
      <c r="X10" t="e">
        <f t="shared" si="3"/>
        <v>#VALUE!</v>
      </c>
      <c r="Y10" t="e">
        <f t="shared" si="4"/>
        <v>#VALUE!</v>
      </c>
      <c r="Z10" t="e">
        <f t="shared" si="5"/>
        <v>#VALUE!</v>
      </c>
    </row>
    <row r="11" spans="1:26" ht="42" thickBot="1" x14ac:dyDescent="0.3">
      <c r="A11" s="22" t="s">
        <v>6171</v>
      </c>
      <c r="B11" s="22">
        <v>2212.7330000000002</v>
      </c>
      <c r="C11" s="22">
        <v>1994.14</v>
      </c>
      <c r="D11" s="22">
        <v>1522.3489999999999</v>
      </c>
      <c r="E11" s="22">
        <v>1650.259</v>
      </c>
      <c r="F11" s="22">
        <v>2247.6320000000001</v>
      </c>
      <c r="H11" s="22">
        <v>10</v>
      </c>
      <c r="I11" s="22" t="s">
        <v>2166</v>
      </c>
      <c r="J11" s="22" t="s">
        <v>2908</v>
      </c>
      <c r="K11" s="22" t="s">
        <v>2908</v>
      </c>
      <c r="L11" s="22" t="s">
        <v>2908</v>
      </c>
      <c r="M11" s="22" t="s">
        <v>2908</v>
      </c>
      <c r="N11" s="22" t="s">
        <v>2908</v>
      </c>
      <c r="P11" s="37">
        <v>1000</v>
      </c>
      <c r="Q11" s="37">
        <v>1000</v>
      </c>
      <c r="R11" s="37">
        <v>1000</v>
      </c>
      <c r="S11" s="37">
        <v>1000</v>
      </c>
      <c r="T11" s="37">
        <v>1000</v>
      </c>
      <c r="V11" t="e">
        <f t="shared" si="1"/>
        <v>#VALUE!</v>
      </c>
      <c r="W11" t="e">
        <f t="shared" si="2"/>
        <v>#VALUE!</v>
      </c>
      <c r="X11" t="e">
        <f t="shared" si="3"/>
        <v>#VALUE!</v>
      </c>
      <c r="Y11" t="e">
        <f t="shared" si="4"/>
        <v>#VALUE!</v>
      </c>
      <c r="Z11" t="e">
        <f t="shared" si="5"/>
        <v>#VALUE!</v>
      </c>
    </row>
    <row r="12" spans="1:26" ht="83.4" thickBot="1" x14ac:dyDescent="0.3">
      <c r="A12" s="22" t="s">
        <v>6172</v>
      </c>
      <c r="B12" s="22">
        <v>2.0539999999999998</v>
      </c>
      <c r="C12" s="22">
        <v>0.6</v>
      </c>
      <c r="D12" s="22">
        <v>0.71099999999999997</v>
      </c>
      <c r="E12" s="22">
        <v>0.878</v>
      </c>
      <c r="F12" s="22">
        <v>3.5550000000000002</v>
      </c>
      <c r="H12" s="22">
        <v>11</v>
      </c>
      <c r="I12" s="22" t="s">
        <v>2911</v>
      </c>
      <c r="J12" s="22" t="s">
        <v>2908</v>
      </c>
      <c r="K12" s="22" t="s">
        <v>2908</v>
      </c>
      <c r="L12" s="22" t="s">
        <v>2908</v>
      </c>
      <c r="M12" s="22" t="s">
        <v>2908</v>
      </c>
      <c r="N12" s="22" t="s">
        <v>2908</v>
      </c>
      <c r="P12" s="37">
        <v>1000</v>
      </c>
      <c r="Q12" s="37">
        <v>1000</v>
      </c>
      <c r="R12" s="37">
        <v>1000</v>
      </c>
      <c r="S12" s="37">
        <v>1000</v>
      </c>
      <c r="T12" s="37">
        <v>1000</v>
      </c>
      <c r="V12" t="e">
        <f t="shared" si="1"/>
        <v>#VALUE!</v>
      </c>
      <c r="W12" t="e">
        <f t="shared" si="2"/>
        <v>#VALUE!</v>
      </c>
      <c r="X12" t="e">
        <f t="shared" si="3"/>
        <v>#VALUE!</v>
      </c>
      <c r="Y12" t="e">
        <f t="shared" si="4"/>
        <v>#VALUE!</v>
      </c>
      <c r="Z12" t="e">
        <f t="shared" si="5"/>
        <v>#VALUE!</v>
      </c>
    </row>
    <row r="13" spans="1:26" ht="42" thickBot="1" x14ac:dyDescent="0.3">
      <c r="A13" s="22" t="s">
        <v>6173</v>
      </c>
      <c r="B13" s="22">
        <v>16.163</v>
      </c>
      <c r="C13" s="22">
        <v>5.0739999999999998</v>
      </c>
      <c r="D13" s="22">
        <v>7.8739999999999997</v>
      </c>
      <c r="E13" s="22">
        <v>10.06</v>
      </c>
      <c r="F13" s="22">
        <v>48.008000000000003</v>
      </c>
      <c r="H13" s="22">
        <v>12</v>
      </c>
      <c r="I13" s="22" t="s">
        <v>2957</v>
      </c>
      <c r="J13" s="22">
        <v>4.3879999999999999</v>
      </c>
      <c r="K13" s="22">
        <v>1.1579999999999999</v>
      </c>
      <c r="L13" s="22">
        <v>1.74</v>
      </c>
      <c r="M13" s="22">
        <v>2.0550000000000002</v>
      </c>
      <c r="N13" s="22">
        <v>5.0890000000000004</v>
      </c>
      <c r="P13" s="37">
        <v>1000</v>
      </c>
      <c r="Q13" s="37">
        <v>1000</v>
      </c>
      <c r="R13" s="37">
        <v>1000</v>
      </c>
      <c r="S13" s="37">
        <v>1000</v>
      </c>
      <c r="T13" s="37">
        <v>1000</v>
      </c>
      <c r="V13">
        <f t="shared" si="1"/>
        <v>4388</v>
      </c>
      <c r="W13">
        <f t="shared" si="2"/>
        <v>1158</v>
      </c>
      <c r="X13">
        <f t="shared" si="3"/>
        <v>1740</v>
      </c>
      <c r="Y13">
        <f t="shared" si="4"/>
        <v>2055</v>
      </c>
      <c r="Z13">
        <f t="shared" si="5"/>
        <v>5089</v>
      </c>
    </row>
    <row r="14" spans="1:26" ht="55.8" thickBot="1" x14ac:dyDescent="0.3">
      <c r="A14" s="22" t="s">
        <v>6174</v>
      </c>
      <c r="B14" s="22">
        <v>2.7810000000000001</v>
      </c>
      <c r="C14" s="22">
        <v>2.13</v>
      </c>
      <c r="D14" s="22">
        <v>2.5579999999999998</v>
      </c>
      <c r="E14" s="22">
        <v>2.8370000000000002</v>
      </c>
      <c r="F14" s="22">
        <v>3.4910000000000001</v>
      </c>
      <c r="H14" s="22">
        <v>13</v>
      </c>
      <c r="I14" s="22" t="s">
        <v>2913</v>
      </c>
      <c r="J14" s="22" t="s">
        <v>2908</v>
      </c>
      <c r="K14" s="22" t="s">
        <v>2908</v>
      </c>
      <c r="L14" s="22" t="s">
        <v>2908</v>
      </c>
      <c r="M14" s="22" t="s">
        <v>2908</v>
      </c>
      <c r="N14" s="22" t="s">
        <v>2908</v>
      </c>
      <c r="P14" s="37">
        <v>1000</v>
      </c>
      <c r="Q14" s="37">
        <v>1000</v>
      </c>
      <c r="R14" s="37">
        <v>1000</v>
      </c>
      <c r="S14" s="37">
        <v>1000</v>
      </c>
      <c r="T14" s="37">
        <v>1000</v>
      </c>
      <c r="V14" t="e">
        <f t="shared" si="1"/>
        <v>#VALUE!</v>
      </c>
      <c r="W14" t="e">
        <f t="shared" si="2"/>
        <v>#VALUE!</v>
      </c>
      <c r="X14" t="e">
        <f t="shared" si="3"/>
        <v>#VALUE!</v>
      </c>
      <c r="Y14" t="e">
        <f t="shared" si="4"/>
        <v>#VALUE!</v>
      </c>
      <c r="Z14" t="e">
        <f t="shared" si="5"/>
        <v>#VALUE!</v>
      </c>
    </row>
    <row r="15" spans="1:26" ht="55.8" thickBot="1" x14ac:dyDescent="0.3">
      <c r="A15" s="22" t="s">
        <v>6175</v>
      </c>
      <c r="B15" s="22">
        <v>96.597999999999999</v>
      </c>
      <c r="C15" s="22">
        <v>29.811</v>
      </c>
      <c r="D15" s="22">
        <v>40.433999999999997</v>
      </c>
      <c r="E15" s="22">
        <v>41.085000000000001</v>
      </c>
      <c r="F15" s="22">
        <v>149.744</v>
      </c>
      <c r="H15" s="22">
        <v>14</v>
      </c>
      <c r="I15" s="22" t="s">
        <v>2173</v>
      </c>
      <c r="J15" s="22">
        <v>4.1680000000000001</v>
      </c>
      <c r="K15" s="22">
        <v>4.3689999999999998</v>
      </c>
      <c r="L15" s="22">
        <v>6.5220000000000002</v>
      </c>
      <c r="M15" s="22">
        <v>9.375</v>
      </c>
      <c r="N15" s="22">
        <v>8.3559999999999999</v>
      </c>
      <c r="P15" s="37">
        <v>1000</v>
      </c>
      <c r="Q15" s="37">
        <v>1000</v>
      </c>
      <c r="R15" s="37">
        <v>1000</v>
      </c>
      <c r="S15" s="37">
        <v>1000</v>
      </c>
      <c r="T15" s="37">
        <v>1000</v>
      </c>
      <c r="V15">
        <f t="shared" si="1"/>
        <v>4168</v>
      </c>
      <c r="W15">
        <f t="shared" si="2"/>
        <v>4369</v>
      </c>
      <c r="X15">
        <f t="shared" si="3"/>
        <v>6522</v>
      </c>
      <c r="Y15">
        <f t="shared" si="4"/>
        <v>9375</v>
      </c>
      <c r="Z15">
        <f t="shared" si="5"/>
        <v>8356</v>
      </c>
    </row>
    <row r="16" spans="1:26" ht="42" thickBot="1" x14ac:dyDescent="0.3">
      <c r="A16" s="22" t="s">
        <v>6176</v>
      </c>
      <c r="B16" s="22">
        <v>846.65200000000004</v>
      </c>
      <c r="C16" s="22">
        <v>858.5</v>
      </c>
      <c r="D16" s="22">
        <v>1020.605</v>
      </c>
      <c r="E16" s="22">
        <v>1067.145</v>
      </c>
      <c r="F16" s="22">
        <v>887.45399999999995</v>
      </c>
      <c r="H16" s="22">
        <v>15</v>
      </c>
      <c r="I16" s="22" t="s">
        <v>2914</v>
      </c>
      <c r="J16" s="22">
        <v>4.7830000000000004</v>
      </c>
      <c r="K16" s="22">
        <v>1.8009999999999999</v>
      </c>
      <c r="L16" s="22">
        <v>2.2559999999999998</v>
      </c>
      <c r="M16" s="22">
        <v>2.7959999999999998</v>
      </c>
      <c r="N16" s="22">
        <v>8.3390000000000004</v>
      </c>
      <c r="P16" s="37">
        <v>1000</v>
      </c>
      <c r="Q16" s="37">
        <v>1000</v>
      </c>
      <c r="R16" s="37">
        <v>1000</v>
      </c>
      <c r="S16" s="37">
        <v>1000</v>
      </c>
      <c r="T16" s="37">
        <v>1000</v>
      </c>
      <c r="V16">
        <f t="shared" si="1"/>
        <v>4783</v>
      </c>
      <c r="W16">
        <f t="shared" si="2"/>
        <v>1801</v>
      </c>
      <c r="X16">
        <f t="shared" si="3"/>
        <v>2256</v>
      </c>
      <c r="Y16">
        <f t="shared" si="4"/>
        <v>2796</v>
      </c>
      <c r="Z16">
        <f t="shared" si="5"/>
        <v>8339</v>
      </c>
    </row>
    <row r="17" spans="1:26" ht="55.8" thickBot="1" x14ac:dyDescent="0.3">
      <c r="A17" s="22" t="s">
        <v>6177</v>
      </c>
      <c r="B17" s="22">
        <v>4.7830000000000004</v>
      </c>
      <c r="C17" s="22">
        <v>1.8009999999999999</v>
      </c>
      <c r="D17" s="22">
        <v>2.2559999999999998</v>
      </c>
      <c r="E17" s="22">
        <v>2.7959999999999998</v>
      </c>
      <c r="F17" s="22">
        <v>8.3390000000000004</v>
      </c>
      <c r="H17" s="22">
        <v>16</v>
      </c>
      <c r="I17" s="22" t="s">
        <v>2029</v>
      </c>
      <c r="J17" s="22">
        <v>514.37</v>
      </c>
      <c r="K17" s="22">
        <v>322.55</v>
      </c>
      <c r="L17" s="22">
        <v>155.54</v>
      </c>
      <c r="M17" s="22">
        <v>129.63</v>
      </c>
      <c r="N17" s="22">
        <v>187.67</v>
      </c>
      <c r="P17" s="37">
        <v>1000</v>
      </c>
      <c r="Q17" s="37">
        <v>1000</v>
      </c>
      <c r="R17" s="37">
        <v>1000</v>
      </c>
      <c r="S17" s="37">
        <v>1000</v>
      </c>
      <c r="T17" s="37">
        <v>1000</v>
      </c>
      <c r="V17">
        <f t="shared" si="1"/>
        <v>514370</v>
      </c>
      <c r="W17">
        <f t="shared" si="2"/>
        <v>322550</v>
      </c>
      <c r="X17">
        <f t="shared" si="3"/>
        <v>155540</v>
      </c>
      <c r="Y17">
        <f t="shared" si="4"/>
        <v>129630</v>
      </c>
      <c r="Z17">
        <f t="shared" si="5"/>
        <v>187670</v>
      </c>
    </row>
    <row r="18" spans="1:26" ht="55.8" thickBot="1" x14ac:dyDescent="0.3">
      <c r="A18" s="22" t="s">
        <v>6178</v>
      </c>
      <c r="B18" s="22">
        <v>19.527000000000001</v>
      </c>
      <c r="C18" s="22">
        <v>5.819</v>
      </c>
      <c r="D18" s="22">
        <v>10.539</v>
      </c>
      <c r="E18" s="22">
        <v>12.084</v>
      </c>
      <c r="F18" s="22">
        <v>27.515999999999998</v>
      </c>
      <c r="H18" s="22">
        <v>17</v>
      </c>
      <c r="I18" s="22" t="s">
        <v>6226</v>
      </c>
      <c r="J18" s="22">
        <v>218.31</v>
      </c>
      <c r="K18" s="22">
        <v>177.12</v>
      </c>
      <c r="L18" s="22">
        <v>86.69</v>
      </c>
      <c r="M18" s="22">
        <v>90.04</v>
      </c>
      <c r="N18" s="22">
        <v>357.11</v>
      </c>
      <c r="P18" s="37">
        <v>1000</v>
      </c>
      <c r="Q18" s="37">
        <v>1000</v>
      </c>
      <c r="R18" s="37">
        <v>1000</v>
      </c>
      <c r="S18" s="37">
        <v>1000</v>
      </c>
      <c r="T18" s="37">
        <v>1000</v>
      </c>
      <c r="V18">
        <f t="shared" si="1"/>
        <v>218310</v>
      </c>
      <c r="W18">
        <f t="shared" si="2"/>
        <v>177120</v>
      </c>
      <c r="X18">
        <f t="shared" si="3"/>
        <v>86690</v>
      </c>
      <c r="Y18">
        <f t="shared" si="4"/>
        <v>90040</v>
      </c>
      <c r="Z18">
        <f t="shared" si="5"/>
        <v>357110</v>
      </c>
    </row>
    <row r="19" spans="1:26" ht="69.599999999999994" thickBot="1" x14ac:dyDescent="0.3">
      <c r="A19" s="22" t="s">
        <v>6179</v>
      </c>
      <c r="B19" s="22">
        <v>4.3879999999999999</v>
      </c>
      <c r="C19" s="22">
        <v>1.1579999999999999</v>
      </c>
      <c r="D19" s="22">
        <v>1.74</v>
      </c>
      <c r="E19" s="22">
        <v>2.0550000000000002</v>
      </c>
      <c r="F19" s="22">
        <v>5.0890000000000004</v>
      </c>
      <c r="H19" s="22">
        <v>18</v>
      </c>
      <c r="I19" s="22" t="s">
        <v>2915</v>
      </c>
      <c r="J19" s="22" t="s">
        <v>2908</v>
      </c>
      <c r="K19" s="22" t="s">
        <v>2908</v>
      </c>
      <c r="L19" s="22" t="s">
        <v>2908</v>
      </c>
      <c r="M19" s="22" t="s">
        <v>2908</v>
      </c>
      <c r="N19" s="22" t="s">
        <v>2908</v>
      </c>
      <c r="P19" s="37">
        <v>1000</v>
      </c>
      <c r="Q19" s="37">
        <v>1000</v>
      </c>
      <c r="R19" s="37">
        <v>1000</v>
      </c>
      <c r="S19" s="37">
        <v>1000</v>
      </c>
      <c r="T19" s="37">
        <v>1000</v>
      </c>
      <c r="V19" t="e">
        <f t="shared" si="1"/>
        <v>#VALUE!</v>
      </c>
      <c r="W19" t="e">
        <f t="shared" si="2"/>
        <v>#VALUE!</v>
      </c>
      <c r="X19" t="e">
        <f t="shared" si="3"/>
        <v>#VALUE!</v>
      </c>
      <c r="Y19" t="e">
        <f t="shared" si="4"/>
        <v>#VALUE!</v>
      </c>
      <c r="Z19" t="e">
        <f t="shared" si="5"/>
        <v>#VALUE!</v>
      </c>
    </row>
    <row r="20" spans="1:26" ht="55.8" thickBot="1" x14ac:dyDescent="0.3">
      <c r="A20" s="22" t="s">
        <v>6180</v>
      </c>
      <c r="B20" s="22">
        <v>1.2849999999999999</v>
      </c>
      <c r="C20" s="22">
        <v>0.56899999999999995</v>
      </c>
      <c r="D20" s="22">
        <v>0.77100000000000002</v>
      </c>
      <c r="E20" s="22">
        <v>0.875</v>
      </c>
      <c r="F20" s="22">
        <v>1.476</v>
      </c>
      <c r="H20" s="22">
        <v>19</v>
      </c>
      <c r="I20" s="22" t="s">
        <v>2318</v>
      </c>
      <c r="J20" s="22" t="s">
        <v>2908</v>
      </c>
      <c r="K20" s="22" t="s">
        <v>2908</v>
      </c>
      <c r="L20" s="22" t="s">
        <v>2908</v>
      </c>
      <c r="M20" s="22" t="s">
        <v>2908</v>
      </c>
      <c r="N20" s="22" t="s">
        <v>2908</v>
      </c>
      <c r="P20" s="37">
        <v>1000</v>
      </c>
      <c r="Q20" s="37">
        <v>1000</v>
      </c>
      <c r="R20" s="37">
        <v>1000</v>
      </c>
      <c r="S20" s="37">
        <v>1000</v>
      </c>
      <c r="T20" s="37">
        <v>1000</v>
      </c>
      <c r="V20" t="e">
        <f t="shared" si="1"/>
        <v>#VALUE!</v>
      </c>
      <c r="W20" t="e">
        <f t="shared" si="2"/>
        <v>#VALUE!</v>
      </c>
      <c r="X20" t="e">
        <f t="shared" si="3"/>
        <v>#VALUE!</v>
      </c>
      <c r="Y20" t="e">
        <f t="shared" si="4"/>
        <v>#VALUE!</v>
      </c>
      <c r="Z20" t="e">
        <f t="shared" si="5"/>
        <v>#VALUE!</v>
      </c>
    </row>
    <row r="21" spans="1:26" ht="55.8" thickBot="1" x14ac:dyDescent="0.3">
      <c r="A21" s="22" t="s">
        <v>6181</v>
      </c>
      <c r="B21" s="22">
        <v>4.1680000000000001</v>
      </c>
      <c r="C21" s="22">
        <v>4.3689999999999998</v>
      </c>
      <c r="D21" s="22">
        <v>6.5220000000000002</v>
      </c>
      <c r="E21" s="22">
        <v>9.375</v>
      </c>
      <c r="F21" s="22">
        <v>8.3559999999999999</v>
      </c>
      <c r="H21" s="22">
        <v>20</v>
      </c>
      <c r="I21" s="22" t="s">
        <v>6227</v>
      </c>
      <c r="J21" s="22">
        <v>2.0539999999999998</v>
      </c>
      <c r="K21" s="22">
        <v>0.6</v>
      </c>
      <c r="L21" s="22">
        <v>0.71099999999999997</v>
      </c>
      <c r="M21" s="22">
        <v>0.878</v>
      </c>
      <c r="N21" s="22">
        <v>3.5550000000000002</v>
      </c>
      <c r="P21" s="37">
        <v>1000</v>
      </c>
      <c r="Q21" s="37">
        <v>1000</v>
      </c>
      <c r="R21" s="37">
        <v>1000</v>
      </c>
      <c r="S21" s="37">
        <v>1000</v>
      </c>
      <c r="T21" s="37">
        <v>1000</v>
      </c>
      <c r="V21">
        <f t="shared" si="1"/>
        <v>2054</v>
      </c>
      <c r="W21">
        <f t="shared" si="2"/>
        <v>600</v>
      </c>
      <c r="X21">
        <f t="shared" si="3"/>
        <v>711</v>
      </c>
      <c r="Y21">
        <f t="shared" si="4"/>
        <v>878</v>
      </c>
      <c r="Z21">
        <f t="shared" si="5"/>
        <v>3555</v>
      </c>
    </row>
    <row r="22" spans="1:26" ht="55.8" thickBot="1" x14ac:dyDescent="0.3">
      <c r="A22" s="22" t="s">
        <v>6182</v>
      </c>
      <c r="B22" s="22">
        <v>1.4930000000000001</v>
      </c>
      <c r="C22" s="22">
        <v>1.6850000000000001</v>
      </c>
      <c r="D22" s="22">
        <v>1.0429999999999999</v>
      </c>
      <c r="E22" s="22">
        <v>1.472</v>
      </c>
      <c r="F22" s="22">
        <v>1.64</v>
      </c>
      <c r="H22" s="22">
        <v>21</v>
      </c>
      <c r="I22" s="22" t="s">
        <v>2942</v>
      </c>
      <c r="J22" s="22">
        <v>38.860999999999997</v>
      </c>
      <c r="K22" s="22">
        <v>42.654000000000003</v>
      </c>
      <c r="L22" s="22">
        <v>77.418999999999997</v>
      </c>
      <c r="M22" s="22">
        <v>78.037999999999997</v>
      </c>
      <c r="N22" s="22">
        <v>58.718000000000004</v>
      </c>
      <c r="P22" s="37">
        <v>1000</v>
      </c>
      <c r="Q22" s="37">
        <v>1000</v>
      </c>
      <c r="R22" s="37">
        <v>1000</v>
      </c>
      <c r="S22" s="37">
        <v>1000</v>
      </c>
      <c r="T22" s="37">
        <v>1000</v>
      </c>
      <c r="V22">
        <f t="shared" si="1"/>
        <v>38861</v>
      </c>
      <c r="W22">
        <f t="shared" si="2"/>
        <v>42654</v>
      </c>
      <c r="X22">
        <f t="shared" si="3"/>
        <v>77419</v>
      </c>
      <c r="Y22">
        <f t="shared" si="4"/>
        <v>78038</v>
      </c>
      <c r="Z22">
        <f t="shared" si="5"/>
        <v>58718</v>
      </c>
    </row>
    <row r="23" spans="1:26" ht="69.599999999999994" thickBot="1" x14ac:dyDescent="0.3">
      <c r="A23" s="22" t="s">
        <v>6183</v>
      </c>
      <c r="B23" s="22">
        <v>0.17199999999999999</v>
      </c>
      <c r="C23" s="22">
        <v>9.9000000000000005E-2</v>
      </c>
      <c r="D23" s="22">
        <v>0.10299999999999999</v>
      </c>
      <c r="E23" s="22">
        <v>0.128</v>
      </c>
      <c r="F23" s="22">
        <v>0.20899999999999999</v>
      </c>
      <c r="H23" s="22">
        <v>22</v>
      </c>
      <c r="I23" s="22" t="s">
        <v>3157</v>
      </c>
      <c r="J23" s="22">
        <v>7.2750000000000004</v>
      </c>
      <c r="K23" s="22">
        <v>4.3410000000000002</v>
      </c>
      <c r="L23" s="22">
        <v>7.5</v>
      </c>
      <c r="M23" s="22">
        <v>10.106999999999999</v>
      </c>
      <c r="N23" s="22">
        <v>16.350000000000001</v>
      </c>
      <c r="P23" s="37">
        <v>1000</v>
      </c>
      <c r="Q23" s="37">
        <v>1000</v>
      </c>
      <c r="R23" s="37">
        <v>1000</v>
      </c>
      <c r="S23" s="37">
        <v>1000</v>
      </c>
      <c r="T23" s="37">
        <v>1000</v>
      </c>
      <c r="V23">
        <f t="shared" si="1"/>
        <v>7275</v>
      </c>
      <c r="W23">
        <f t="shared" si="2"/>
        <v>4341</v>
      </c>
      <c r="X23">
        <f t="shared" si="3"/>
        <v>7500</v>
      </c>
      <c r="Y23">
        <f t="shared" si="4"/>
        <v>10107</v>
      </c>
      <c r="Z23">
        <f t="shared" si="5"/>
        <v>16350.000000000002</v>
      </c>
    </row>
    <row r="24" spans="1:26" ht="69.599999999999994" thickBot="1" x14ac:dyDescent="0.3">
      <c r="A24" s="22" t="s">
        <v>6184</v>
      </c>
      <c r="B24" s="22">
        <v>1.9E-2</v>
      </c>
      <c r="C24" s="22">
        <v>0.02</v>
      </c>
      <c r="D24" s="22">
        <v>1.6E-2</v>
      </c>
      <c r="E24" s="22">
        <v>2.1000000000000001E-2</v>
      </c>
      <c r="F24" s="22">
        <v>2.3E-2</v>
      </c>
      <c r="H24" s="22">
        <v>23</v>
      </c>
      <c r="I24" s="22" t="s">
        <v>2917</v>
      </c>
      <c r="J24" s="22">
        <v>129.393</v>
      </c>
      <c r="K24" s="22">
        <v>128.44499999999999</v>
      </c>
      <c r="L24" s="22">
        <v>163.65199999999999</v>
      </c>
      <c r="M24" s="22">
        <v>167.751</v>
      </c>
      <c r="N24" s="22">
        <v>150.53800000000001</v>
      </c>
      <c r="P24" s="37">
        <v>1000</v>
      </c>
      <c r="Q24" s="37">
        <v>1000</v>
      </c>
      <c r="R24" s="37">
        <v>1000</v>
      </c>
      <c r="S24" s="37">
        <v>1000</v>
      </c>
      <c r="T24" s="37">
        <v>1000</v>
      </c>
      <c r="V24">
        <f t="shared" si="1"/>
        <v>129393</v>
      </c>
      <c r="W24">
        <f t="shared" si="2"/>
        <v>128445</v>
      </c>
      <c r="X24">
        <f t="shared" si="3"/>
        <v>163652</v>
      </c>
      <c r="Y24">
        <f t="shared" si="4"/>
        <v>167751</v>
      </c>
      <c r="Z24">
        <f t="shared" si="5"/>
        <v>150538</v>
      </c>
    </row>
    <row r="25" spans="1:26" ht="69.599999999999994" thickBot="1" x14ac:dyDescent="0.3">
      <c r="A25" s="22" t="s">
        <v>6185</v>
      </c>
      <c r="B25" s="22">
        <v>0.41499999999999998</v>
      </c>
      <c r="C25" s="22">
        <v>0.495</v>
      </c>
      <c r="D25" s="22">
        <v>0.26800000000000002</v>
      </c>
      <c r="E25" s="22">
        <v>0.378</v>
      </c>
      <c r="F25" s="22">
        <v>0.60699999999999998</v>
      </c>
      <c r="H25" s="22">
        <v>24</v>
      </c>
      <c r="I25" s="22" t="s">
        <v>2918</v>
      </c>
      <c r="J25" s="22" t="s">
        <v>2908</v>
      </c>
      <c r="K25" s="22" t="s">
        <v>2908</v>
      </c>
      <c r="L25" s="22" t="s">
        <v>2908</v>
      </c>
      <c r="M25" s="22" t="s">
        <v>2908</v>
      </c>
      <c r="N25" s="22" t="s">
        <v>2908</v>
      </c>
      <c r="P25" s="37">
        <v>1000</v>
      </c>
      <c r="Q25" s="37">
        <v>1000</v>
      </c>
      <c r="R25" s="37">
        <v>1000</v>
      </c>
      <c r="S25" s="37">
        <v>1000</v>
      </c>
      <c r="T25" s="37">
        <v>1000</v>
      </c>
      <c r="V25" t="e">
        <f t="shared" si="1"/>
        <v>#VALUE!</v>
      </c>
      <c r="W25" t="e">
        <f t="shared" si="2"/>
        <v>#VALUE!</v>
      </c>
      <c r="X25" t="e">
        <f t="shared" si="3"/>
        <v>#VALUE!</v>
      </c>
      <c r="Y25" t="e">
        <f t="shared" si="4"/>
        <v>#VALUE!</v>
      </c>
      <c r="Z25" t="e">
        <f t="shared" si="5"/>
        <v>#VALUE!</v>
      </c>
    </row>
    <row r="26" spans="1:26" ht="28.2" thickBot="1" x14ac:dyDescent="0.3">
      <c r="A26" s="21" t="s">
        <v>2941</v>
      </c>
      <c r="B26" s="22"/>
      <c r="C26" s="22"/>
      <c r="D26" s="22"/>
      <c r="E26" s="22"/>
      <c r="F26" s="22"/>
      <c r="H26" s="22">
        <v>25</v>
      </c>
      <c r="I26" s="22" t="s">
        <v>4307</v>
      </c>
      <c r="J26" s="22">
        <v>0.36099999999999999</v>
      </c>
      <c r="K26" s="22">
        <v>0.26</v>
      </c>
      <c r="L26" s="22">
        <v>1.2509999999999999</v>
      </c>
      <c r="M26" s="22">
        <v>1.875</v>
      </c>
      <c r="N26" s="22">
        <v>1.24</v>
      </c>
      <c r="P26" s="37">
        <v>1000</v>
      </c>
      <c r="Q26" s="37">
        <v>1000</v>
      </c>
      <c r="R26" s="37">
        <v>1000</v>
      </c>
      <c r="S26" s="37">
        <v>1000</v>
      </c>
      <c r="T26" s="37">
        <v>1000</v>
      </c>
      <c r="V26">
        <f t="shared" si="1"/>
        <v>361</v>
      </c>
      <c r="W26">
        <f t="shared" si="2"/>
        <v>260</v>
      </c>
      <c r="X26">
        <f t="shared" si="3"/>
        <v>1251</v>
      </c>
      <c r="Y26">
        <f t="shared" si="4"/>
        <v>1875</v>
      </c>
      <c r="Z26">
        <f t="shared" si="5"/>
        <v>1240</v>
      </c>
    </row>
    <row r="27" spans="1:26" ht="42" thickBot="1" x14ac:dyDescent="0.3">
      <c r="A27" s="22" t="s">
        <v>6186</v>
      </c>
      <c r="B27" s="22">
        <v>64.745999999999995</v>
      </c>
      <c r="C27" s="22">
        <v>70.531999999999996</v>
      </c>
      <c r="D27" s="22">
        <v>37.491999999999997</v>
      </c>
      <c r="E27" s="22">
        <v>37.511000000000003</v>
      </c>
      <c r="F27" s="22">
        <v>83.242999999999995</v>
      </c>
      <c r="H27" s="22">
        <v>26</v>
      </c>
      <c r="I27" s="22" t="s">
        <v>2943</v>
      </c>
      <c r="J27" s="22">
        <v>64.745999999999995</v>
      </c>
      <c r="K27" s="22">
        <v>70.531999999999996</v>
      </c>
      <c r="L27" s="22">
        <v>37.491999999999997</v>
      </c>
      <c r="M27" s="22">
        <v>37.511000000000003</v>
      </c>
      <c r="N27" s="22">
        <v>83.242999999999995</v>
      </c>
      <c r="P27" s="37">
        <v>1000</v>
      </c>
      <c r="Q27" s="37">
        <v>1000</v>
      </c>
      <c r="R27" s="37">
        <v>1000</v>
      </c>
      <c r="S27" s="37">
        <v>1000</v>
      </c>
      <c r="T27" s="37">
        <v>1000</v>
      </c>
      <c r="V27">
        <f t="shared" si="1"/>
        <v>64745.999999999993</v>
      </c>
      <c r="W27">
        <f t="shared" si="2"/>
        <v>70532</v>
      </c>
      <c r="X27">
        <f t="shared" si="3"/>
        <v>37492</v>
      </c>
      <c r="Y27">
        <f t="shared" si="4"/>
        <v>37511</v>
      </c>
      <c r="Z27">
        <f t="shared" si="5"/>
        <v>83243</v>
      </c>
    </row>
    <row r="28" spans="1:26" ht="28.2" thickBot="1" x14ac:dyDescent="0.3">
      <c r="A28" s="22" t="s">
        <v>6187</v>
      </c>
      <c r="B28" s="22">
        <v>48.872999999999998</v>
      </c>
      <c r="C28" s="22">
        <v>30.344999999999999</v>
      </c>
      <c r="D28" s="22">
        <v>29.318000000000001</v>
      </c>
      <c r="E28" s="22">
        <v>37.162999999999997</v>
      </c>
      <c r="F28" s="22">
        <v>51.585000000000001</v>
      </c>
      <c r="H28" s="22">
        <v>27</v>
      </c>
      <c r="I28" s="22" t="s">
        <v>2359</v>
      </c>
      <c r="J28" s="22">
        <v>53.326000000000001</v>
      </c>
      <c r="K28" s="22">
        <v>54.262999999999998</v>
      </c>
      <c r="L28" s="22">
        <v>75.742999999999995</v>
      </c>
      <c r="M28" s="22">
        <v>79.043000000000006</v>
      </c>
      <c r="N28" s="22">
        <v>72.728999999999999</v>
      </c>
      <c r="P28" s="37">
        <v>1000</v>
      </c>
      <c r="Q28" s="37">
        <v>1000</v>
      </c>
      <c r="R28" s="37">
        <v>1000</v>
      </c>
      <c r="S28" s="37">
        <v>1000</v>
      </c>
      <c r="T28" s="37">
        <v>1000</v>
      </c>
      <c r="V28">
        <f t="shared" si="1"/>
        <v>53326</v>
      </c>
      <c r="W28">
        <f t="shared" si="2"/>
        <v>54263</v>
      </c>
      <c r="X28">
        <f t="shared" si="3"/>
        <v>75743</v>
      </c>
      <c r="Y28">
        <f t="shared" si="4"/>
        <v>79043</v>
      </c>
      <c r="Z28">
        <f t="shared" si="5"/>
        <v>72729</v>
      </c>
    </row>
    <row r="29" spans="1:26" ht="69.599999999999994" thickBot="1" x14ac:dyDescent="0.3">
      <c r="A29" s="22" t="s">
        <v>6188</v>
      </c>
      <c r="B29" s="22">
        <v>53.326000000000001</v>
      </c>
      <c r="C29" s="22">
        <v>54.262999999999998</v>
      </c>
      <c r="D29" s="22">
        <v>75.742999999999995</v>
      </c>
      <c r="E29" s="22">
        <v>79.043000000000006</v>
      </c>
      <c r="F29" s="22">
        <v>72.728999999999999</v>
      </c>
      <c r="H29" s="22">
        <v>28</v>
      </c>
      <c r="I29" s="22" t="s">
        <v>2024</v>
      </c>
      <c r="J29" s="22">
        <v>684.03200000000004</v>
      </c>
      <c r="K29" s="22">
        <v>843.13400000000001</v>
      </c>
      <c r="L29" s="22">
        <v>1180.6279999999999</v>
      </c>
      <c r="M29" s="22">
        <v>1019.8440000000001</v>
      </c>
      <c r="N29" s="22">
        <v>806.70600000000002</v>
      </c>
      <c r="P29" s="37">
        <v>1000</v>
      </c>
      <c r="Q29" s="37">
        <v>1000</v>
      </c>
      <c r="R29" s="37">
        <v>1000</v>
      </c>
      <c r="S29" s="37">
        <v>1000</v>
      </c>
      <c r="T29" s="37">
        <v>1000</v>
      </c>
      <c r="V29">
        <f t="shared" si="1"/>
        <v>684032</v>
      </c>
      <c r="W29">
        <f t="shared" si="2"/>
        <v>843134</v>
      </c>
      <c r="X29">
        <f t="shared" si="3"/>
        <v>1180628</v>
      </c>
      <c r="Y29">
        <f t="shared" si="4"/>
        <v>1019844</v>
      </c>
      <c r="Z29">
        <f t="shared" si="5"/>
        <v>806706</v>
      </c>
    </row>
    <row r="30" spans="1:26" ht="42" thickBot="1" x14ac:dyDescent="0.3">
      <c r="A30" s="22" t="s">
        <v>6189</v>
      </c>
      <c r="B30" s="22">
        <v>38.860999999999997</v>
      </c>
      <c r="C30" s="22">
        <v>42.654000000000003</v>
      </c>
      <c r="D30" s="22">
        <v>77.418999999999997</v>
      </c>
      <c r="E30" s="22">
        <v>78.037999999999997</v>
      </c>
      <c r="F30" s="22">
        <v>58.718000000000004</v>
      </c>
      <c r="H30" s="22">
        <v>29</v>
      </c>
      <c r="I30" s="22" t="s">
        <v>2892</v>
      </c>
      <c r="J30" s="22">
        <v>5.3140000000000001</v>
      </c>
      <c r="K30" s="22">
        <v>6.4569999999999999</v>
      </c>
      <c r="L30" s="22">
        <v>5.7759999999999998</v>
      </c>
      <c r="M30" s="22">
        <v>6.1710000000000003</v>
      </c>
      <c r="N30" s="22">
        <v>8.48</v>
      </c>
      <c r="P30" s="37">
        <v>1000</v>
      </c>
      <c r="Q30" s="37">
        <v>1000</v>
      </c>
      <c r="R30" s="37">
        <v>1000</v>
      </c>
      <c r="S30" s="37">
        <v>1000</v>
      </c>
      <c r="T30" s="37">
        <v>1000</v>
      </c>
      <c r="V30">
        <f t="shared" si="1"/>
        <v>5314</v>
      </c>
      <c r="W30">
        <f t="shared" si="2"/>
        <v>6457</v>
      </c>
      <c r="X30">
        <f t="shared" si="3"/>
        <v>5776</v>
      </c>
      <c r="Y30">
        <f t="shared" si="4"/>
        <v>6171</v>
      </c>
      <c r="Z30">
        <f t="shared" si="5"/>
        <v>8480</v>
      </c>
    </row>
    <row r="31" spans="1:26" ht="69.599999999999994" thickBot="1" x14ac:dyDescent="0.3">
      <c r="A31" s="22" t="s">
        <v>6190</v>
      </c>
      <c r="B31" s="22">
        <v>129.393</v>
      </c>
      <c r="C31" s="22">
        <v>128.44499999999999</v>
      </c>
      <c r="D31" s="22">
        <v>163.65199999999999</v>
      </c>
      <c r="E31" s="22">
        <v>167.751</v>
      </c>
      <c r="F31" s="22">
        <v>150.53800000000001</v>
      </c>
      <c r="H31" s="22">
        <v>30</v>
      </c>
      <c r="I31" s="22" t="s">
        <v>2021</v>
      </c>
      <c r="J31" s="22">
        <v>243.12200000000001</v>
      </c>
      <c r="K31" s="22">
        <v>262.517</v>
      </c>
      <c r="L31" s="22">
        <v>333.536</v>
      </c>
      <c r="M31" s="22">
        <v>292.85199999999998</v>
      </c>
      <c r="N31" s="22">
        <v>277.5</v>
      </c>
      <c r="P31" s="37">
        <v>1000</v>
      </c>
      <c r="Q31" s="37">
        <v>1000</v>
      </c>
      <c r="R31" s="37">
        <v>1000</v>
      </c>
      <c r="S31" s="37">
        <v>1000</v>
      </c>
      <c r="T31" s="37">
        <v>1000</v>
      </c>
      <c r="V31">
        <f t="shared" si="1"/>
        <v>243122</v>
      </c>
      <c r="W31">
        <f t="shared" si="2"/>
        <v>262517</v>
      </c>
      <c r="X31">
        <f t="shared" si="3"/>
        <v>333536</v>
      </c>
      <c r="Y31">
        <f t="shared" si="4"/>
        <v>292852</v>
      </c>
      <c r="Z31">
        <f t="shared" si="5"/>
        <v>277500</v>
      </c>
    </row>
    <row r="32" spans="1:26" ht="28.2" thickBot="1" x14ac:dyDescent="0.3">
      <c r="A32" s="22" t="s">
        <v>6191</v>
      </c>
      <c r="B32" s="22">
        <v>5.274</v>
      </c>
      <c r="C32" s="22" t="s">
        <v>152</v>
      </c>
      <c r="D32" s="22">
        <v>0.186</v>
      </c>
      <c r="E32" s="22">
        <v>0.223</v>
      </c>
      <c r="F32" s="22">
        <v>0.69599999999999995</v>
      </c>
      <c r="H32" s="22">
        <v>31</v>
      </c>
      <c r="I32" s="22" t="s">
        <v>2174</v>
      </c>
      <c r="J32" s="22">
        <v>6.22</v>
      </c>
      <c r="K32" s="22">
        <v>5.649</v>
      </c>
      <c r="L32" s="22">
        <v>11.552</v>
      </c>
      <c r="M32" s="22">
        <v>11.05</v>
      </c>
      <c r="N32" s="22">
        <v>10.725</v>
      </c>
      <c r="P32" s="37">
        <v>1000</v>
      </c>
      <c r="Q32" s="37">
        <v>1000</v>
      </c>
      <c r="R32" s="37">
        <v>1000</v>
      </c>
      <c r="S32" s="37">
        <v>1000</v>
      </c>
      <c r="T32" s="37">
        <v>1000</v>
      </c>
      <c r="V32">
        <f t="shared" si="1"/>
        <v>6220</v>
      </c>
      <c r="W32">
        <f t="shared" si="2"/>
        <v>5649</v>
      </c>
      <c r="X32">
        <f t="shared" si="3"/>
        <v>11552</v>
      </c>
      <c r="Y32">
        <f t="shared" si="4"/>
        <v>11050</v>
      </c>
      <c r="Z32">
        <f t="shared" si="5"/>
        <v>10725</v>
      </c>
    </row>
    <row r="33" spans="1:26" ht="42" thickBot="1" x14ac:dyDescent="0.3">
      <c r="A33" s="22" t="s">
        <v>6192</v>
      </c>
      <c r="B33" s="22">
        <v>7.2750000000000004</v>
      </c>
      <c r="C33" s="22">
        <v>4.3410000000000002</v>
      </c>
      <c r="D33" s="22">
        <v>7.5</v>
      </c>
      <c r="E33" s="22">
        <v>10.106999999999999</v>
      </c>
      <c r="F33" s="22">
        <v>16.350000000000001</v>
      </c>
      <c r="H33" s="22">
        <v>32</v>
      </c>
      <c r="I33" s="22" t="s">
        <v>2180</v>
      </c>
      <c r="J33" s="22" t="s">
        <v>152</v>
      </c>
      <c r="K33" s="22" t="s">
        <v>6228</v>
      </c>
      <c r="L33" s="22" t="s">
        <v>152</v>
      </c>
      <c r="M33" s="22" t="s">
        <v>152</v>
      </c>
      <c r="N33" s="22" t="s">
        <v>152</v>
      </c>
      <c r="P33" s="37">
        <v>1000</v>
      </c>
      <c r="Q33" s="37">
        <v>1000</v>
      </c>
      <c r="R33" s="37">
        <v>1000</v>
      </c>
      <c r="S33" s="37">
        <v>1000</v>
      </c>
      <c r="T33" s="37">
        <v>1000</v>
      </c>
      <c r="V33" t="e">
        <f t="shared" si="1"/>
        <v>#VALUE!</v>
      </c>
      <c r="W33" t="e">
        <f t="shared" si="2"/>
        <v>#VALUE!</v>
      </c>
      <c r="X33" t="e">
        <f t="shared" si="3"/>
        <v>#VALUE!</v>
      </c>
      <c r="Y33" t="e">
        <f t="shared" si="4"/>
        <v>#VALUE!</v>
      </c>
      <c r="Z33" t="e">
        <f t="shared" si="5"/>
        <v>#VALUE!</v>
      </c>
    </row>
    <row r="34" spans="1:26" ht="28.2" thickBot="1" x14ac:dyDescent="0.3">
      <c r="A34" s="22" t="s">
        <v>6193</v>
      </c>
      <c r="B34" s="22" t="s">
        <v>152</v>
      </c>
      <c r="C34" s="22" t="s">
        <v>152</v>
      </c>
      <c r="D34" s="22" t="s">
        <v>152</v>
      </c>
      <c r="E34" s="22">
        <v>7.0999999999999994E-2</v>
      </c>
      <c r="F34" s="22" t="s">
        <v>152</v>
      </c>
      <c r="H34" s="22">
        <v>33</v>
      </c>
      <c r="I34" s="22" t="s">
        <v>2020</v>
      </c>
      <c r="J34" s="22">
        <v>30.312999999999999</v>
      </c>
      <c r="K34" s="22">
        <v>33.173999999999999</v>
      </c>
      <c r="L34" s="22">
        <v>46.551000000000002</v>
      </c>
      <c r="M34" s="22">
        <v>41.777999999999999</v>
      </c>
      <c r="N34" s="22">
        <v>48.713999999999999</v>
      </c>
      <c r="P34" s="37">
        <v>1000</v>
      </c>
      <c r="Q34" s="37">
        <v>1000</v>
      </c>
      <c r="R34" s="37">
        <v>1000</v>
      </c>
      <c r="S34" s="37">
        <v>1000</v>
      </c>
      <c r="T34" s="37">
        <v>1000</v>
      </c>
      <c r="V34">
        <f t="shared" si="1"/>
        <v>30313</v>
      </c>
      <c r="W34">
        <f t="shared" si="2"/>
        <v>33174</v>
      </c>
      <c r="X34">
        <f t="shared" si="3"/>
        <v>46551</v>
      </c>
      <c r="Y34">
        <f t="shared" si="4"/>
        <v>41778</v>
      </c>
      <c r="Z34">
        <f t="shared" si="5"/>
        <v>48714</v>
      </c>
    </row>
    <row r="35" spans="1:26" ht="42" thickBot="1" x14ac:dyDescent="0.3">
      <c r="A35" s="22" t="s">
        <v>6194</v>
      </c>
      <c r="B35" s="22">
        <v>0.36099999999999999</v>
      </c>
      <c r="C35" s="22">
        <v>0.26</v>
      </c>
      <c r="D35" s="22">
        <v>1.2509999999999999</v>
      </c>
      <c r="E35" s="22">
        <v>1.875</v>
      </c>
      <c r="F35" s="22">
        <v>1.24</v>
      </c>
      <c r="H35" s="22">
        <v>34</v>
      </c>
      <c r="I35" s="22" t="s">
        <v>2177</v>
      </c>
      <c r="J35" s="22">
        <v>658.87699999999995</v>
      </c>
      <c r="K35" s="22">
        <v>790.53800000000001</v>
      </c>
      <c r="L35" s="22">
        <v>767.90499999999997</v>
      </c>
      <c r="M35" s="22">
        <v>412.89600000000002</v>
      </c>
      <c r="N35" s="22">
        <v>676.31299999999999</v>
      </c>
      <c r="P35" s="37">
        <v>1000</v>
      </c>
      <c r="Q35" s="37">
        <v>1000</v>
      </c>
      <c r="R35" s="37">
        <v>1000</v>
      </c>
      <c r="S35" s="37">
        <v>1000</v>
      </c>
      <c r="T35" s="37">
        <v>1000</v>
      </c>
      <c r="V35">
        <f t="shared" si="1"/>
        <v>658877</v>
      </c>
      <c r="W35">
        <f t="shared" si="2"/>
        <v>790538</v>
      </c>
      <c r="X35">
        <f t="shared" si="3"/>
        <v>767905</v>
      </c>
      <c r="Y35">
        <f t="shared" si="4"/>
        <v>412896</v>
      </c>
      <c r="Z35">
        <f t="shared" si="5"/>
        <v>676313</v>
      </c>
    </row>
    <row r="36" spans="1:26" ht="42" thickBot="1" x14ac:dyDescent="0.3">
      <c r="A36" s="22" t="s">
        <v>6195</v>
      </c>
      <c r="B36" s="22">
        <v>6.3E-2</v>
      </c>
      <c r="C36" s="22" t="s">
        <v>152</v>
      </c>
      <c r="D36" s="22" t="s">
        <v>152</v>
      </c>
      <c r="E36" s="22" t="s">
        <v>152</v>
      </c>
      <c r="F36" s="22">
        <v>5.2999999999999999E-2</v>
      </c>
      <c r="H36" s="22">
        <v>35</v>
      </c>
      <c r="I36" s="22" t="s">
        <v>2175</v>
      </c>
      <c r="J36" s="22">
        <v>0.61499999999999999</v>
      </c>
      <c r="K36" s="22">
        <v>0.67900000000000005</v>
      </c>
      <c r="L36" s="22">
        <v>0.628</v>
      </c>
      <c r="M36" s="22">
        <v>0.67</v>
      </c>
      <c r="N36" s="22">
        <v>0.503</v>
      </c>
      <c r="P36" s="37">
        <v>1000</v>
      </c>
      <c r="Q36" s="37">
        <v>1000</v>
      </c>
      <c r="R36" s="37">
        <v>1000</v>
      </c>
      <c r="S36" s="37">
        <v>1000</v>
      </c>
      <c r="T36" s="37">
        <v>1000</v>
      </c>
      <c r="V36">
        <f t="shared" si="1"/>
        <v>615</v>
      </c>
      <c r="W36">
        <f t="shared" si="2"/>
        <v>679</v>
      </c>
      <c r="X36">
        <f t="shared" si="3"/>
        <v>628</v>
      </c>
      <c r="Y36">
        <f t="shared" si="4"/>
        <v>670</v>
      </c>
      <c r="Z36">
        <f t="shared" si="5"/>
        <v>503</v>
      </c>
    </row>
    <row r="37" spans="1:26" ht="42" thickBot="1" x14ac:dyDescent="0.3">
      <c r="A37" s="22" t="s">
        <v>6196</v>
      </c>
      <c r="B37" s="22">
        <v>8.8999999999999996E-2</v>
      </c>
      <c r="C37" s="22">
        <v>6.4000000000000001E-2</v>
      </c>
      <c r="D37" s="22" t="s">
        <v>152</v>
      </c>
      <c r="E37" s="22">
        <v>1.4E-2</v>
      </c>
      <c r="F37" s="22">
        <v>0.23100000000000001</v>
      </c>
      <c r="H37" s="22">
        <v>36</v>
      </c>
      <c r="I37" s="22" t="s">
        <v>2026</v>
      </c>
      <c r="J37" s="22">
        <v>4.4889999999999999</v>
      </c>
      <c r="K37" s="22">
        <v>5.0259999999999998</v>
      </c>
      <c r="L37" s="22">
        <v>3.17</v>
      </c>
      <c r="M37" s="22">
        <v>3.4910000000000001</v>
      </c>
      <c r="N37" s="22">
        <v>5.38</v>
      </c>
      <c r="P37" s="37">
        <v>1000</v>
      </c>
      <c r="Q37" s="37">
        <v>1000</v>
      </c>
      <c r="R37" s="37">
        <v>1000</v>
      </c>
      <c r="S37" s="37">
        <v>1000</v>
      </c>
      <c r="T37" s="37">
        <v>1000</v>
      </c>
      <c r="V37">
        <f t="shared" si="1"/>
        <v>4489</v>
      </c>
      <c r="W37">
        <f t="shared" si="2"/>
        <v>5026</v>
      </c>
      <c r="X37">
        <f t="shared" si="3"/>
        <v>3170</v>
      </c>
      <c r="Y37">
        <f t="shared" si="4"/>
        <v>3491</v>
      </c>
      <c r="Z37">
        <f t="shared" si="5"/>
        <v>5380</v>
      </c>
    </row>
    <row r="38" spans="1:26" ht="28.2" thickBot="1" x14ac:dyDescent="0.3">
      <c r="A38" s="21" t="s">
        <v>6197</v>
      </c>
      <c r="B38" s="22"/>
      <c r="C38" s="22"/>
      <c r="D38" s="22"/>
      <c r="E38" s="22"/>
      <c r="F38" s="22"/>
      <c r="H38" s="22">
        <v>37</v>
      </c>
      <c r="I38" s="22" t="s">
        <v>2920</v>
      </c>
      <c r="J38" s="22" t="s">
        <v>2908</v>
      </c>
      <c r="K38" s="22" t="s">
        <v>2908</v>
      </c>
      <c r="L38" s="22" t="s">
        <v>2908</v>
      </c>
      <c r="M38" s="22" t="s">
        <v>2908</v>
      </c>
      <c r="N38" s="22" t="s">
        <v>2908</v>
      </c>
      <c r="P38" s="37">
        <v>1000</v>
      </c>
      <c r="Q38" s="37">
        <v>1000</v>
      </c>
      <c r="R38" s="37">
        <v>1000</v>
      </c>
      <c r="S38" s="37">
        <v>1000</v>
      </c>
      <c r="T38" s="37">
        <v>1000</v>
      </c>
      <c r="V38" t="e">
        <f t="shared" si="1"/>
        <v>#VALUE!</v>
      </c>
      <c r="W38" t="e">
        <f t="shared" si="2"/>
        <v>#VALUE!</v>
      </c>
      <c r="X38" t="e">
        <f t="shared" si="3"/>
        <v>#VALUE!</v>
      </c>
      <c r="Y38" t="e">
        <f t="shared" si="4"/>
        <v>#VALUE!</v>
      </c>
      <c r="Z38" t="e">
        <f t="shared" si="5"/>
        <v>#VALUE!</v>
      </c>
    </row>
    <row r="39" spans="1:26" ht="42" thickBot="1" x14ac:dyDescent="0.3">
      <c r="A39" s="22" t="s">
        <v>6198</v>
      </c>
      <c r="B39" s="22">
        <v>338.09</v>
      </c>
      <c r="C39" s="22">
        <v>202.83</v>
      </c>
      <c r="D39" s="22">
        <v>166.75</v>
      </c>
      <c r="E39" s="22">
        <v>304.7</v>
      </c>
      <c r="F39" s="22">
        <v>484.42</v>
      </c>
      <c r="H39" s="22">
        <v>38</v>
      </c>
      <c r="I39" s="22" t="s">
        <v>2320</v>
      </c>
      <c r="J39" s="22" t="s">
        <v>2908</v>
      </c>
      <c r="K39" s="22" t="s">
        <v>2908</v>
      </c>
      <c r="L39" s="22" t="s">
        <v>2908</v>
      </c>
      <c r="M39" s="22" t="s">
        <v>2908</v>
      </c>
      <c r="N39" s="22" t="s">
        <v>2908</v>
      </c>
      <c r="P39" s="37">
        <v>1000</v>
      </c>
      <c r="Q39" s="37">
        <v>1000</v>
      </c>
      <c r="R39" s="37">
        <v>1000</v>
      </c>
      <c r="S39" s="37">
        <v>1000</v>
      </c>
      <c r="T39" s="37">
        <v>1000</v>
      </c>
      <c r="V39" t="e">
        <f t="shared" si="1"/>
        <v>#VALUE!</v>
      </c>
      <c r="W39" t="e">
        <f t="shared" si="2"/>
        <v>#VALUE!</v>
      </c>
      <c r="X39" t="e">
        <f t="shared" si="3"/>
        <v>#VALUE!</v>
      </c>
      <c r="Y39" t="e">
        <f t="shared" si="4"/>
        <v>#VALUE!</v>
      </c>
      <c r="Z39" t="e">
        <f t="shared" si="5"/>
        <v>#VALUE!</v>
      </c>
    </row>
    <row r="40" spans="1:26" ht="42" thickBot="1" x14ac:dyDescent="0.3">
      <c r="A40" s="22" t="s">
        <v>6199</v>
      </c>
      <c r="B40" s="22">
        <v>23.43</v>
      </c>
      <c r="C40" s="22">
        <v>23.26</v>
      </c>
      <c r="D40" s="22">
        <v>8.81</v>
      </c>
      <c r="E40" s="22">
        <v>14.4</v>
      </c>
      <c r="F40" s="22">
        <v>39.049999999999997</v>
      </c>
      <c r="H40" s="22">
        <v>39</v>
      </c>
      <c r="I40" s="22" t="s">
        <v>2857</v>
      </c>
      <c r="J40" s="22" t="s">
        <v>2908</v>
      </c>
      <c r="K40" s="22" t="s">
        <v>2908</v>
      </c>
      <c r="L40" s="22" t="s">
        <v>2908</v>
      </c>
      <c r="M40" s="22" t="s">
        <v>2908</v>
      </c>
      <c r="N40" s="22" t="s">
        <v>2908</v>
      </c>
      <c r="P40" s="37">
        <v>1000</v>
      </c>
      <c r="Q40" s="37">
        <v>1000</v>
      </c>
      <c r="R40" s="37">
        <v>1000</v>
      </c>
      <c r="S40" s="37">
        <v>1000</v>
      </c>
      <c r="T40" s="37">
        <v>1000</v>
      </c>
      <c r="V40" t="e">
        <f t="shared" si="1"/>
        <v>#VALUE!</v>
      </c>
      <c r="W40" t="e">
        <f t="shared" si="2"/>
        <v>#VALUE!</v>
      </c>
      <c r="X40" t="e">
        <f t="shared" si="3"/>
        <v>#VALUE!</v>
      </c>
      <c r="Y40" t="e">
        <f t="shared" si="4"/>
        <v>#VALUE!</v>
      </c>
      <c r="Z40" t="e">
        <f t="shared" si="5"/>
        <v>#VALUE!</v>
      </c>
    </row>
    <row r="41" spans="1:26" ht="42" thickBot="1" x14ac:dyDescent="0.3">
      <c r="A41" s="22" t="s">
        <v>6200</v>
      </c>
      <c r="B41" s="22">
        <v>17.260000000000002</v>
      </c>
      <c r="C41" s="22">
        <v>20.61</v>
      </c>
      <c r="D41" s="22">
        <v>15.39</v>
      </c>
      <c r="E41" s="22">
        <v>18.61</v>
      </c>
      <c r="F41" s="22">
        <v>30.35</v>
      </c>
      <c r="H41" s="22">
        <v>40</v>
      </c>
      <c r="I41" s="22" t="s">
        <v>2921</v>
      </c>
      <c r="J41" s="22" t="s">
        <v>2908</v>
      </c>
      <c r="K41" s="22" t="s">
        <v>2908</v>
      </c>
      <c r="L41" s="22" t="s">
        <v>2908</v>
      </c>
      <c r="M41" s="22" t="s">
        <v>2908</v>
      </c>
      <c r="N41" s="22" t="s">
        <v>2908</v>
      </c>
      <c r="P41" s="37">
        <v>1000</v>
      </c>
      <c r="Q41" s="37">
        <v>1000</v>
      </c>
      <c r="R41" s="37">
        <v>1000</v>
      </c>
      <c r="S41" s="37">
        <v>1000</v>
      </c>
      <c r="T41" s="37">
        <v>1000</v>
      </c>
      <c r="V41" t="e">
        <f t="shared" si="1"/>
        <v>#VALUE!</v>
      </c>
      <c r="W41" t="e">
        <f t="shared" si="2"/>
        <v>#VALUE!</v>
      </c>
      <c r="X41" t="e">
        <f t="shared" si="3"/>
        <v>#VALUE!</v>
      </c>
      <c r="Y41" t="e">
        <f t="shared" si="4"/>
        <v>#VALUE!</v>
      </c>
      <c r="Z41" t="e">
        <f t="shared" si="5"/>
        <v>#VALUE!</v>
      </c>
    </row>
    <row r="42" spans="1:26" ht="69.599999999999994" thickBot="1" x14ac:dyDescent="0.3">
      <c r="A42" s="22" t="s">
        <v>6201</v>
      </c>
      <c r="B42" s="22">
        <v>218.31</v>
      </c>
      <c r="C42" s="22">
        <v>177.12</v>
      </c>
      <c r="D42" s="22">
        <v>86.69</v>
      </c>
      <c r="E42" s="22">
        <v>90.04</v>
      </c>
      <c r="F42" s="22">
        <v>357.11</v>
      </c>
      <c r="H42" s="22">
        <v>41</v>
      </c>
      <c r="I42" s="22" t="s">
        <v>2922</v>
      </c>
      <c r="J42" s="22" t="s">
        <v>2908</v>
      </c>
      <c r="K42" s="22" t="s">
        <v>2908</v>
      </c>
      <c r="L42" s="22" t="s">
        <v>2908</v>
      </c>
      <c r="M42" s="22" t="s">
        <v>2908</v>
      </c>
      <c r="N42" s="22" t="s">
        <v>2908</v>
      </c>
      <c r="P42" s="37">
        <v>1000</v>
      </c>
      <c r="Q42" s="37">
        <v>1000</v>
      </c>
      <c r="R42" s="37">
        <v>1000</v>
      </c>
      <c r="S42" s="37">
        <v>1000</v>
      </c>
      <c r="T42" s="37">
        <v>1000</v>
      </c>
      <c r="V42" t="e">
        <f t="shared" si="1"/>
        <v>#VALUE!</v>
      </c>
      <c r="W42" t="e">
        <f t="shared" si="2"/>
        <v>#VALUE!</v>
      </c>
      <c r="X42" t="e">
        <f t="shared" si="3"/>
        <v>#VALUE!</v>
      </c>
      <c r="Y42" t="e">
        <f t="shared" si="4"/>
        <v>#VALUE!</v>
      </c>
      <c r="Z42" t="e">
        <f t="shared" si="5"/>
        <v>#VALUE!</v>
      </c>
    </row>
    <row r="43" spans="1:26" ht="83.4" thickBot="1" x14ac:dyDescent="0.3">
      <c r="A43" s="22" t="s">
        <v>6202</v>
      </c>
      <c r="B43" s="22">
        <v>514.37</v>
      </c>
      <c r="C43" s="22">
        <v>322.55</v>
      </c>
      <c r="D43" s="22">
        <v>155.54</v>
      </c>
      <c r="E43" s="22">
        <v>129.63</v>
      </c>
      <c r="F43" s="22">
        <v>187.67</v>
      </c>
      <c r="H43" s="22">
        <v>42</v>
      </c>
      <c r="I43" s="22" t="s">
        <v>2341</v>
      </c>
      <c r="J43" s="22" t="s">
        <v>2908</v>
      </c>
      <c r="K43" s="22" t="s">
        <v>2908</v>
      </c>
      <c r="L43" s="22" t="s">
        <v>2908</v>
      </c>
      <c r="M43" s="22" t="s">
        <v>2908</v>
      </c>
      <c r="N43" s="22" t="s">
        <v>2908</v>
      </c>
      <c r="P43" s="37">
        <v>1000</v>
      </c>
      <c r="Q43" s="37">
        <v>1000</v>
      </c>
      <c r="R43" s="37">
        <v>1000</v>
      </c>
      <c r="S43" s="37">
        <v>1000</v>
      </c>
      <c r="T43" s="37">
        <v>1000</v>
      </c>
      <c r="V43" t="e">
        <f t="shared" si="1"/>
        <v>#VALUE!</v>
      </c>
      <c r="W43" t="e">
        <f t="shared" si="2"/>
        <v>#VALUE!</v>
      </c>
      <c r="X43" t="e">
        <f t="shared" si="3"/>
        <v>#VALUE!</v>
      </c>
      <c r="Y43" t="e">
        <f t="shared" si="4"/>
        <v>#VALUE!</v>
      </c>
      <c r="Z43" t="e">
        <f t="shared" si="5"/>
        <v>#VALUE!</v>
      </c>
    </row>
    <row r="44" spans="1:26" ht="55.8" thickBot="1" x14ac:dyDescent="0.3">
      <c r="A44" s="22" t="s">
        <v>6203</v>
      </c>
      <c r="B44" s="22">
        <v>310.68</v>
      </c>
      <c r="C44" s="22">
        <v>319.74</v>
      </c>
      <c r="D44" s="22">
        <v>265.16000000000003</v>
      </c>
      <c r="E44" s="22">
        <v>418.89</v>
      </c>
      <c r="F44" s="22">
        <v>617.25</v>
      </c>
      <c r="H44" s="22">
        <v>43</v>
      </c>
      <c r="I44" s="22" t="s">
        <v>2161</v>
      </c>
      <c r="J44" s="22" t="s">
        <v>2908</v>
      </c>
      <c r="K44" s="22" t="s">
        <v>2908</v>
      </c>
      <c r="L44" s="22" t="s">
        <v>2908</v>
      </c>
      <c r="M44" s="22" t="s">
        <v>2908</v>
      </c>
      <c r="N44" s="22" t="s">
        <v>2908</v>
      </c>
      <c r="P44" s="37">
        <v>1000</v>
      </c>
      <c r="Q44" s="37">
        <v>1000</v>
      </c>
      <c r="R44" s="37">
        <v>1000</v>
      </c>
      <c r="S44" s="37">
        <v>1000</v>
      </c>
      <c r="T44" s="37">
        <v>1000</v>
      </c>
      <c r="V44" t="e">
        <f t="shared" si="1"/>
        <v>#VALUE!</v>
      </c>
      <c r="W44" t="e">
        <f t="shared" si="2"/>
        <v>#VALUE!</v>
      </c>
      <c r="X44" t="e">
        <f t="shared" si="3"/>
        <v>#VALUE!</v>
      </c>
      <c r="Y44" t="e">
        <f t="shared" si="4"/>
        <v>#VALUE!</v>
      </c>
      <c r="Z44" t="e">
        <f t="shared" si="5"/>
        <v>#VALUE!</v>
      </c>
    </row>
    <row r="45" spans="1:26" ht="97.2" thickBot="1" x14ac:dyDescent="0.3">
      <c r="A45" s="22" t="s">
        <v>6204</v>
      </c>
      <c r="B45" s="22">
        <v>197.07</v>
      </c>
      <c r="C45" s="22">
        <v>236.62</v>
      </c>
      <c r="D45" s="22">
        <v>104.39</v>
      </c>
      <c r="E45" s="22">
        <v>154.47</v>
      </c>
      <c r="F45" s="22">
        <v>455.73</v>
      </c>
      <c r="H45" s="22">
        <v>44</v>
      </c>
      <c r="I45" s="22" t="s">
        <v>2923</v>
      </c>
      <c r="J45" s="22" t="s">
        <v>2908</v>
      </c>
      <c r="K45" s="22" t="s">
        <v>2908</v>
      </c>
      <c r="L45" s="22" t="s">
        <v>2908</v>
      </c>
      <c r="M45" s="22" t="s">
        <v>2908</v>
      </c>
      <c r="N45" s="22" t="s">
        <v>2908</v>
      </c>
      <c r="P45" s="37">
        <v>1000</v>
      </c>
      <c r="Q45" s="37">
        <v>1000</v>
      </c>
      <c r="R45" s="37">
        <v>1000</v>
      </c>
      <c r="S45" s="37">
        <v>1000</v>
      </c>
      <c r="T45" s="37">
        <v>1000</v>
      </c>
      <c r="V45" t="e">
        <f t="shared" si="1"/>
        <v>#VALUE!</v>
      </c>
      <c r="W45" t="e">
        <f t="shared" si="2"/>
        <v>#VALUE!</v>
      </c>
      <c r="X45" t="e">
        <f t="shared" si="3"/>
        <v>#VALUE!</v>
      </c>
      <c r="Y45" t="e">
        <f t="shared" si="4"/>
        <v>#VALUE!</v>
      </c>
      <c r="Z45" t="e">
        <f t="shared" si="5"/>
        <v>#VALUE!</v>
      </c>
    </row>
    <row r="46" spans="1:26" ht="69.599999999999994" thickBot="1" x14ac:dyDescent="0.3">
      <c r="A46" s="22" t="s">
        <v>2182</v>
      </c>
      <c r="B46" s="22" t="s">
        <v>152</v>
      </c>
      <c r="C46" s="22" t="s">
        <v>152</v>
      </c>
      <c r="D46" s="22">
        <v>3.5</v>
      </c>
      <c r="E46" s="22">
        <v>23.9</v>
      </c>
      <c r="F46" s="22" t="s">
        <v>152</v>
      </c>
      <c r="H46" s="22">
        <v>45</v>
      </c>
      <c r="I46" s="22" t="s">
        <v>3386</v>
      </c>
      <c r="J46" s="22" t="s">
        <v>152</v>
      </c>
      <c r="K46" s="22">
        <v>9.31</v>
      </c>
      <c r="L46" s="22">
        <v>24.31</v>
      </c>
      <c r="M46" s="22">
        <v>32.479999999999997</v>
      </c>
      <c r="N46" s="22">
        <v>23.7</v>
      </c>
      <c r="P46" s="37">
        <v>1000</v>
      </c>
      <c r="Q46" s="37">
        <v>1000</v>
      </c>
      <c r="R46" s="37">
        <v>1000</v>
      </c>
      <c r="S46" s="37">
        <v>1000</v>
      </c>
      <c r="T46" s="37">
        <v>1000</v>
      </c>
      <c r="V46" t="e">
        <f t="shared" si="1"/>
        <v>#VALUE!</v>
      </c>
      <c r="W46">
        <f t="shared" si="2"/>
        <v>9310</v>
      </c>
      <c r="X46">
        <f t="shared" si="3"/>
        <v>24310</v>
      </c>
      <c r="Y46">
        <f t="shared" si="4"/>
        <v>32479.999999999996</v>
      </c>
      <c r="Z46">
        <f t="shared" si="5"/>
        <v>23700</v>
      </c>
    </row>
    <row r="47" spans="1:26" ht="69.599999999999994" thickBot="1" x14ac:dyDescent="0.3">
      <c r="A47" s="22" t="s">
        <v>2181</v>
      </c>
      <c r="B47" s="22" t="s">
        <v>152</v>
      </c>
      <c r="C47" s="22">
        <v>9.31</v>
      </c>
      <c r="D47" s="22">
        <v>24.31</v>
      </c>
      <c r="E47" s="22">
        <v>32.479999999999997</v>
      </c>
      <c r="F47" s="22">
        <v>23.7</v>
      </c>
      <c r="H47" s="22">
        <v>46</v>
      </c>
      <c r="I47" s="22" t="s">
        <v>6229</v>
      </c>
      <c r="J47" s="22" t="s">
        <v>152</v>
      </c>
      <c r="K47" s="22" t="s">
        <v>152</v>
      </c>
      <c r="L47" s="22">
        <v>3.5</v>
      </c>
      <c r="M47" s="22">
        <v>23.9</v>
      </c>
      <c r="N47" s="22" t="s">
        <v>152</v>
      </c>
      <c r="P47" s="37">
        <v>1000</v>
      </c>
      <c r="Q47" s="37">
        <v>1000</v>
      </c>
      <c r="R47" s="37">
        <v>1000</v>
      </c>
      <c r="S47" s="37">
        <v>1000</v>
      </c>
      <c r="T47" s="37">
        <v>1000</v>
      </c>
      <c r="V47" t="e">
        <f t="shared" si="1"/>
        <v>#VALUE!</v>
      </c>
      <c r="W47" t="e">
        <f t="shared" si="2"/>
        <v>#VALUE!</v>
      </c>
      <c r="X47">
        <f t="shared" si="3"/>
        <v>3500</v>
      </c>
      <c r="Y47">
        <f t="shared" si="4"/>
        <v>23900</v>
      </c>
      <c r="Z47" t="e">
        <f t="shared" si="5"/>
        <v>#VALUE!</v>
      </c>
    </row>
    <row r="48" spans="1:26" ht="28.2" thickBot="1" x14ac:dyDescent="0.3">
      <c r="A48" s="22" t="s">
        <v>3304</v>
      </c>
      <c r="B48" s="22">
        <v>229.26</v>
      </c>
      <c r="C48" s="22">
        <v>234.61</v>
      </c>
      <c r="D48" s="22">
        <v>172.27</v>
      </c>
      <c r="E48" s="22">
        <v>206.02</v>
      </c>
      <c r="F48" s="22">
        <v>417.05</v>
      </c>
      <c r="H48" s="22">
        <v>47</v>
      </c>
      <c r="I48" s="22" t="s">
        <v>3159</v>
      </c>
      <c r="J48" s="22" t="s">
        <v>2908</v>
      </c>
      <c r="K48" s="22" t="s">
        <v>2908</v>
      </c>
      <c r="L48" s="22" t="s">
        <v>2908</v>
      </c>
      <c r="M48" s="22" t="s">
        <v>2908</v>
      </c>
      <c r="N48" s="22" t="s">
        <v>2908</v>
      </c>
      <c r="P48" s="37">
        <v>1000</v>
      </c>
      <c r="Q48" s="37">
        <v>1000</v>
      </c>
      <c r="R48" s="37">
        <v>1000</v>
      </c>
      <c r="S48" s="37">
        <v>1000</v>
      </c>
      <c r="T48" s="37">
        <v>1000</v>
      </c>
      <c r="V48" t="e">
        <f t="shared" si="1"/>
        <v>#VALUE!</v>
      </c>
      <c r="W48" t="e">
        <f t="shared" si="2"/>
        <v>#VALUE!</v>
      </c>
      <c r="X48" t="e">
        <f t="shared" si="3"/>
        <v>#VALUE!</v>
      </c>
      <c r="Y48" t="e">
        <f t="shared" si="4"/>
        <v>#VALUE!</v>
      </c>
      <c r="Z48" t="e">
        <f t="shared" si="5"/>
        <v>#VALUE!</v>
      </c>
    </row>
    <row r="49" spans="1:26" ht="28.2" thickBot="1" x14ac:dyDescent="0.3">
      <c r="A49" s="22" t="s">
        <v>3309</v>
      </c>
      <c r="B49" s="22">
        <v>29.75</v>
      </c>
      <c r="C49" s="22">
        <v>19.850000000000001</v>
      </c>
      <c r="D49" s="22">
        <v>93.85</v>
      </c>
      <c r="E49" s="22">
        <v>143.08000000000001</v>
      </c>
      <c r="F49" s="22">
        <v>332.78</v>
      </c>
      <c r="H49" s="22">
        <v>48</v>
      </c>
      <c r="I49" s="22" t="s">
        <v>2878</v>
      </c>
      <c r="J49" s="22" t="s">
        <v>2908</v>
      </c>
      <c r="K49" s="22" t="s">
        <v>2908</v>
      </c>
      <c r="L49" s="22" t="s">
        <v>2908</v>
      </c>
      <c r="M49" s="22" t="s">
        <v>2908</v>
      </c>
      <c r="N49" s="22" t="s">
        <v>2908</v>
      </c>
      <c r="P49" s="37">
        <v>1000</v>
      </c>
      <c r="Q49" s="37">
        <v>1000</v>
      </c>
      <c r="R49" s="37">
        <v>1000</v>
      </c>
      <c r="S49" s="37">
        <v>1000</v>
      </c>
      <c r="T49" s="37">
        <v>1000</v>
      </c>
      <c r="V49" t="e">
        <f t="shared" si="1"/>
        <v>#VALUE!</v>
      </c>
      <c r="W49" t="e">
        <f t="shared" si="2"/>
        <v>#VALUE!</v>
      </c>
      <c r="X49" t="e">
        <f t="shared" si="3"/>
        <v>#VALUE!</v>
      </c>
      <c r="Y49" t="e">
        <f t="shared" si="4"/>
        <v>#VALUE!</v>
      </c>
      <c r="Z49" t="e">
        <f t="shared" si="5"/>
        <v>#VALUE!</v>
      </c>
    </row>
    <row r="50" spans="1:26" ht="14.4" thickBot="1" x14ac:dyDescent="0.3">
      <c r="A50" s="21" t="s">
        <v>6205</v>
      </c>
      <c r="B50" s="22"/>
      <c r="C50" s="22"/>
      <c r="D50" s="22"/>
      <c r="E50" s="22"/>
      <c r="F50" s="22"/>
      <c r="H50" s="22">
        <v>49</v>
      </c>
      <c r="I50" s="22" t="s">
        <v>2927</v>
      </c>
      <c r="J50" s="22" t="s">
        <v>2908</v>
      </c>
      <c r="K50" s="22" t="s">
        <v>2908</v>
      </c>
      <c r="L50" s="22" t="s">
        <v>2908</v>
      </c>
      <c r="M50" s="22" t="s">
        <v>2908</v>
      </c>
      <c r="N50" s="22" t="s">
        <v>2908</v>
      </c>
      <c r="P50" s="37">
        <v>1000</v>
      </c>
      <c r="Q50" s="37">
        <v>1000</v>
      </c>
      <c r="R50" s="37">
        <v>1000</v>
      </c>
      <c r="S50" s="37">
        <v>1000</v>
      </c>
      <c r="T50" s="37">
        <v>1000</v>
      </c>
      <c r="V50" t="e">
        <f t="shared" si="1"/>
        <v>#VALUE!</v>
      </c>
      <c r="W50" t="e">
        <f t="shared" si="2"/>
        <v>#VALUE!</v>
      </c>
      <c r="X50" t="e">
        <f t="shared" si="3"/>
        <v>#VALUE!</v>
      </c>
      <c r="Y50" t="e">
        <f t="shared" si="4"/>
        <v>#VALUE!</v>
      </c>
      <c r="Z50" t="e">
        <f t="shared" si="5"/>
        <v>#VALUE!</v>
      </c>
    </row>
    <row r="51" spans="1:26" ht="42" thickBot="1" x14ac:dyDescent="0.3">
      <c r="A51" s="22" t="s">
        <v>6206</v>
      </c>
      <c r="B51" s="22">
        <v>658.87699999999995</v>
      </c>
      <c r="C51" s="22">
        <v>790.53800000000001</v>
      </c>
      <c r="D51" s="22">
        <v>767.90499999999997</v>
      </c>
      <c r="E51" s="22">
        <v>412.89600000000002</v>
      </c>
      <c r="F51" s="22">
        <v>676.31299999999999</v>
      </c>
      <c r="H51" s="22">
        <v>50</v>
      </c>
      <c r="I51" s="22" t="s">
        <v>2164</v>
      </c>
      <c r="J51" s="22">
        <v>42.469000000000001</v>
      </c>
      <c r="K51" s="22">
        <v>21.326000000000001</v>
      </c>
      <c r="L51" s="22">
        <v>33.475000000000001</v>
      </c>
      <c r="M51" s="22">
        <v>37.25</v>
      </c>
      <c r="N51" s="22">
        <v>37.488999999999997</v>
      </c>
      <c r="P51" s="37">
        <v>1000</v>
      </c>
      <c r="Q51" s="37">
        <v>1000</v>
      </c>
      <c r="R51" s="37">
        <v>1000</v>
      </c>
      <c r="S51" s="37">
        <v>1000</v>
      </c>
      <c r="T51" s="37">
        <v>1000</v>
      </c>
      <c r="V51">
        <f t="shared" si="1"/>
        <v>42469</v>
      </c>
      <c r="W51">
        <f t="shared" si="2"/>
        <v>21326</v>
      </c>
      <c r="X51">
        <f t="shared" si="3"/>
        <v>33475</v>
      </c>
      <c r="Y51">
        <f t="shared" si="4"/>
        <v>37250</v>
      </c>
      <c r="Z51">
        <f t="shared" si="5"/>
        <v>37489</v>
      </c>
    </row>
    <row r="52" spans="1:26" ht="42" thickBot="1" x14ac:dyDescent="0.3">
      <c r="A52" s="22" t="s">
        <v>6207</v>
      </c>
      <c r="B52" s="22">
        <v>13.321</v>
      </c>
      <c r="C52" s="22">
        <v>18.526</v>
      </c>
      <c r="D52" s="22">
        <v>9.7669999999999995</v>
      </c>
      <c r="E52" s="22">
        <v>9.2420000000000009</v>
      </c>
      <c r="F52" s="22">
        <v>14.22</v>
      </c>
      <c r="H52" s="22">
        <v>51</v>
      </c>
      <c r="I52" s="22" t="s">
        <v>2170</v>
      </c>
      <c r="J52" s="22">
        <v>0.60499999999999998</v>
      </c>
      <c r="K52" s="22">
        <v>0.25800000000000001</v>
      </c>
      <c r="L52" s="22">
        <v>0.33600000000000002</v>
      </c>
      <c r="M52" s="22">
        <v>0.34</v>
      </c>
      <c r="N52" s="22">
        <v>0.93100000000000005</v>
      </c>
      <c r="P52" s="37">
        <v>1000</v>
      </c>
      <c r="Q52" s="37">
        <v>1000</v>
      </c>
      <c r="R52" s="37">
        <v>1000</v>
      </c>
      <c r="S52" s="37">
        <v>1000</v>
      </c>
      <c r="T52" s="37">
        <v>1000</v>
      </c>
      <c r="V52">
        <f t="shared" si="1"/>
        <v>605</v>
      </c>
      <c r="W52">
        <f t="shared" si="2"/>
        <v>258</v>
      </c>
      <c r="X52">
        <f t="shared" si="3"/>
        <v>336</v>
      </c>
      <c r="Y52">
        <f t="shared" si="4"/>
        <v>340</v>
      </c>
      <c r="Z52">
        <f t="shared" si="5"/>
        <v>931</v>
      </c>
    </row>
    <row r="53" spans="1:26" ht="69.599999999999994" thickBot="1" x14ac:dyDescent="0.3">
      <c r="A53" s="22" t="s">
        <v>6208</v>
      </c>
      <c r="B53" s="22">
        <v>5.3140000000000001</v>
      </c>
      <c r="C53" s="22">
        <v>6.4569999999999999</v>
      </c>
      <c r="D53" s="22">
        <v>5.7759999999999998</v>
      </c>
      <c r="E53" s="22">
        <v>6.1710000000000003</v>
      </c>
      <c r="F53" s="22">
        <v>8.48</v>
      </c>
      <c r="H53" s="22">
        <v>52</v>
      </c>
      <c r="I53" s="22" t="s">
        <v>5467</v>
      </c>
      <c r="J53" s="22">
        <v>229.26</v>
      </c>
      <c r="K53" s="22">
        <v>234.61</v>
      </c>
      <c r="L53" s="22">
        <v>172.27</v>
      </c>
      <c r="M53" s="22">
        <v>206.02</v>
      </c>
      <c r="N53" s="22">
        <v>417.05</v>
      </c>
      <c r="P53" s="37">
        <v>1000</v>
      </c>
      <c r="Q53" s="37">
        <v>1000</v>
      </c>
      <c r="R53" s="37">
        <v>1000</v>
      </c>
      <c r="S53" s="37">
        <v>1000</v>
      </c>
      <c r="T53" s="37">
        <v>1000</v>
      </c>
      <c r="V53">
        <f t="shared" si="1"/>
        <v>229260</v>
      </c>
      <c r="W53">
        <f t="shared" si="2"/>
        <v>234610</v>
      </c>
      <c r="X53">
        <f t="shared" si="3"/>
        <v>172270</v>
      </c>
      <c r="Y53">
        <f t="shared" si="4"/>
        <v>206020</v>
      </c>
      <c r="Z53">
        <f t="shared" si="5"/>
        <v>417050</v>
      </c>
    </row>
    <row r="54" spans="1:26" ht="42" thickBot="1" x14ac:dyDescent="0.3">
      <c r="A54" s="22" t="s">
        <v>6209</v>
      </c>
      <c r="B54" s="22">
        <v>30.312999999999999</v>
      </c>
      <c r="C54" s="22">
        <v>33.173999999999999</v>
      </c>
      <c r="D54" s="22">
        <v>46.551000000000002</v>
      </c>
      <c r="E54" s="22">
        <v>41.777999999999999</v>
      </c>
      <c r="F54" s="22">
        <v>48.713999999999999</v>
      </c>
      <c r="H54" s="22">
        <v>53</v>
      </c>
      <c r="I54" s="22" t="s">
        <v>3819</v>
      </c>
      <c r="J54" s="22" t="s">
        <v>2908</v>
      </c>
      <c r="K54" s="22" t="s">
        <v>2908</v>
      </c>
      <c r="L54" s="22" t="s">
        <v>2908</v>
      </c>
      <c r="M54" s="22" t="s">
        <v>2908</v>
      </c>
      <c r="N54" s="22" t="s">
        <v>2908</v>
      </c>
      <c r="P54" s="37">
        <v>1000</v>
      </c>
      <c r="Q54" s="37">
        <v>1000</v>
      </c>
      <c r="R54" s="37">
        <v>1000</v>
      </c>
      <c r="S54" s="37">
        <v>1000</v>
      </c>
      <c r="T54" s="37">
        <v>1000</v>
      </c>
      <c r="V54" t="e">
        <f t="shared" si="1"/>
        <v>#VALUE!</v>
      </c>
      <c r="W54" t="e">
        <f t="shared" si="2"/>
        <v>#VALUE!</v>
      </c>
      <c r="X54" t="e">
        <f t="shared" si="3"/>
        <v>#VALUE!</v>
      </c>
      <c r="Y54" t="e">
        <f t="shared" si="4"/>
        <v>#VALUE!</v>
      </c>
      <c r="Z54" t="e">
        <f t="shared" si="5"/>
        <v>#VALUE!</v>
      </c>
    </row>
    <row r="55" spans="1:26" ht="69.599999999999994" thickBot="1" x14ac:dyDescent="0.3">
      <c r="A55" s="22" t="s">
        <v>6210</v>
      </c>
      <c r="B55" s="22">
        <v>4.4889999999999999</v>
      </c>
      <c r="C55" s="22">
        <v>5.0259999999999998</v>
      </c>
      <c r="D55" s="22">
        <v>3.17</v>
      </c>
      <c r="E55" s="22">
        <v>3.4910000000000001</v>
      </c>
      <c r="F55" s="22">
        <v>5.38</v>
      </c>
      <c r="H55" s="22">
        <v>54</v>
      </c>
      <c r="I55" s="22" t="s">
        <v>5468</v>
      </c>
      <c r="J55" s="22">
        <v>334.32</v>
      </c>
      <c r="K55" s="22">
        <v>234.12</v>
      </c>
      <c r="L55" s="22">
        <v>289.72000000000003</v>
      </c>
      <c r="M55" s="22">
        <v>119.22</v>
      </c>
      <c r="N55" s="22">
        <v>88.11</v>
      </c>
      <c r="P55" s="37">
        <v>1000</v>
      </c>
      <c r="Q55" s="37">
        <v>1000</v>
      </c>
      <c r="R55" s="37">
        <v>1000</v>
      </c>
      <c r="S55" s="37">
        <v>1000</v>
      </c>
      <c r="T55" s="37">
        <v>1000</v>
      </c>
      <c r="V55">
        <f t="shared" si="1"/>
        <v>334320</v>
      </c>
      <c r="W55">
        <f t="shared" si="2"/>
        <v>234120</v>
      </c>
      <c r="X55">
        <f t="shared" si="3"/>
        <v>289720</v>
      </c>
      <c r="Y55">
        <f t="shared" si="4"/>
        <v>119220</v>
      </c>
      <c r="Z55">
        <f t="shared" si="5"/>
        <v>88110</v>
      </c>
    </row>
    <row r="56" spans="1:26" ht="42" thickBot="1" x14ac:dyDescent="0.3">
      <c r="A56" s="22" t="s">
        <v>6211</v>
      </c>
      <c r="B56" s="22">
        <v>243.12200000000001</v>
      </c>
      <c r="C56" s="22">
        <v>262.517</v>
      </c>
      <c r="D56" s="22">
        <v>333.536</v>
      </c>
      <c r="E56" s="22">
        <v>292.85199999999998</v>
      </c>
      <c r="F56" s="22">
        <v>277.5</v>
      </c>
      <c r="H56" s="22">
        <v>55</v>
      </c>
      <c r="I56" s="22" t="s">
        <v>2183</v>
      </c>
      <c r="J56" s="22" t="s">
        <v>2908</v>
      </c>
      <c r="K56" s="22" t="s">
        <v>2908</v>
      </c>
      <c r="L56" s="22" t="s">
        <v>2908</v>
      </c>
      <c r="M56" s="22" t="s">
        <v>2908</v>
      </c>
      <c r="N56" s="22" t="s">
        <v>2908</v>
      </c>
      <c r="P56" s="37">
        <v>1000</v>
      </c>
      <c r="Q56" s="37">
        <v>1000</v>
      </c>
      <c r="R56" s="37">
        <v>1000</v>
      </c>
      <c r="S56" s="37">
        <v>1000</v>
      </c>
      <c r="T56" s="37">
        <v>1000</v>
      </c>
      <c r="V56" t="e">
        <f t="shared" si="1"/>
        <v>#VALUE!</v>
      </c>
      <c r="W56" t="e">
        <f t="shared" si="2"/>
        <v>#VALUE!</v>
      </c>
      <c r="X56" t="e">
        <f t="shared" si="3"/>
        <v>#VALUE!</v>
      </c>
      <c r="Y56" t="e">
        <f t="shared" si="4"/>
        <v>#VALUE!</v>
      </c>
      <c r="Z56" t="e">
        <f t="shared" si="5"/>
        <v>#VALUE!</v>
      </c>
    </row>
    <row r="57" spans="1:26" ht="69.599999999999994" thickBot="1" x14ac:dyDescent="0.3">
      <c r="A57" s="22" t="s">
        <v>6212</v>
      </c>
      <c r="B57" s="22">
        <v>0.61499999999999999</v>
      </c>
      <c r="C57" s="22">
        <v>0.67900000000000005</v>
      </c>
      <c r="D57" s="22">
        <v>0.628</v>
      </c>
      <c r="E57" s="22">
        <v>0.67</v>
      </c>
      <c r="F57" s="22">
        <v>0.503</v>
      </c>
      <c r="H57" s="22">
        <v>56</v>
      </c>
      <c r="I57" s="22" t="s">
        <v>6230</v>
      </c>
      <c r="J57" s="22">
        <v>13.321</v>
      </c>
      <c r="K57" s="22">
        <v>18.526</v>
      </c>
      <c r="L57" s="22">
        <v>9.7669999999999995</v>
      </c>
      <c r="M57" s="22">
        <v>9.2420000000000009</v>
      </c>
      <c r="N57" s="22">
        <v>14.22</v>
      </c>
      <c r="P57" s="37">
        <v>1000</v>
      </c>
      <c r="Q57" s="37">
        <v>1000</v>
      </c>
      <c r="R57" s="37">
        <v>1000</v>
      </c>
      <c r="S57" s="37">
        <v>1000</v>
      </c>
      <c r="T57" s="37">
        <v>1000</v>
      </c>
      <c r="V57">
        <f t="shared" si="1"/>
        <v>13321</v>
      </c>
      <c r="W57">
        <f t="shared" si="2"/>
        <v>18526</v>
      </c>
      <c r="X57">
        <f t="shared" si="3"/>
        <v>9767</v>
      </c>
      <c r="Y57">
        <f t="shared" si="4"/>
        <v>9242</v>
      </c>
      <c r="Z57">
        <f t="shared" si="5"/>
        <v>14220</v>
      </c>
    </row>
    <row r="58" spans="1:26" ht="42" thickBot="1" x14ac:dyDescent="0.3">
      <c r="A58" s="22" t="s">
        <v>6213</v>
      </c>
      <c r="B58" s="22">
        <v>684.03200000000004</v>
      </c>
      <c r="C58" s="22">
        <v>843.13400000000001</v>
      </c>
      <c r="D58" s="22">
        <v>1180.6279999999999</v>
      </c>
      <c r="E58" s="22">
        <v>1019.8440000000001</v>
      </c>
      <c r="F58" s="22">
        <v>806.70600000000002</v>
      </c>
      <c r="H58" s="22">
        <v>57</v>
      </c>
      <c r="I58" s="22" t="s">
        <v>2930</v>
      </c>
      <c r="J58" s="22">
        <v>9.0399999999999991</v>
      </c>
      <c r="K58" s="22">
        <v>4.4020000000000001</v>
      </c>
      <c r="L58" s="22">
        <v>5.3659999999999997</v>
      </c>
      <c r="M58" s="22">
        <v>5.5030000000000001</v>
      </c>
      <c r="N58" s="22">
        <v>20.196999999999999</v>
      </c>
      <c r="P58" s="37">
        <v>1000</v>
      </c>
      <c r="Q58" s="37">
        <v>1000</v>
      </c>
      <c r="R58" s="37">
        <v>1000</v>
      </c>
      <c r="S58" s="37">
        <v>1000</v>
      </c>
      <c r="T58" s="37">
        <v>1000</v>
      </c>
      <c r="V58">
        <f t="shared" si="1"/>
        <v>9040</v>
      </c>
      <c r="W58">
        <f t="shared" si="2"/>
        <v>4402</v>
      </c>
      <c r="X58">
        <f t="shared" si="3"/>
        <v>5366</v>
      </c>
      <c r="Y58">
        <f t="shared" si="4"/>
        <v>5503</v>
      </c>
      <c r="Z58">
        <f t="shared" si="5"/>
        <v>20197</v>
      </c>
    </row>
    <row r="59" spans="1:26" ht="42" thickBot="1" x14ac:dyDescent="0.3">
      <c r="A59" s="22" t="s">
        <v>6214</v>
      </c>
      <c r="B59" s="22">
        <v>6.22</v>
      </c>
      <c r="C59" s="22">
        <v>5.649</v>
      </c>
      <c r="D59" s="22">
        <v>11.552</v>
      </c>
      <c r="E59" s="22">
        <v>11.05</v>
      </c>
      <c r="F59" s="22">
        <v>10.725</v>
      </c>
      <c r="H59" s="22">
        <v>58</v>
      </c>
      <c r="I59" s="22" t="s">
        <v>2331</v>
      </c>
      <c r="J59" s="22" t="s">
        <v>152</v>
      </c>
      <c r="K59" s="22">
        <v>0.29099999999999998</v>
      </c>
      <c r="L59" s="22" t="s">
        <v>152</v>
      </c>
      <c r="M59" s="22" t="s">
        <v>152</v>
      </c>
      <c r="N59" s="22" t="s">
        <v>152</v>
      </c>
      <c r="P59" s="37">
        <v>1000</v>
      </c>
      <c r="Q59" s="37">
        <v>1000</v>
      </c>
      <c r="R59" s="37">
        <v>1000</v>
      </c>
      <c r="S59" s="37">
        <v>1000</v>
      </c>
      <c r="T59" s="37">
        <v>1000</v>
      </c>
      <c r="V59" t="e">
        <f t="shared" si="1"/>
        <v>#VALUE!</v>
      </c>
      <c r="W59">
        <f t="shared" si="2"/>
        <v>291</v>
      </c>
      <c r="X59" t="e">
        <f t="shared" si="3"/>
        <v>#VALUE!</v>
      </c>
      <c r="Y59" t="e">
        <f t="shared" si="4"/>
        <v>#VALUE!</v>
      </c>
      <c r="Z59" t="e">
        <f t="shared" si="5"/>
        <v>#VALUE!</v>
      </c>
    </row>
    <row r="60" spans="1:26" ht="42" thickBot="1" x14ac:dyDescent="0.3">
      <c r="A60" s="22" t="s">
        <v>6215</v>
      </c>
      <c r="B60" s="22" t="s">
        <v>152</v>
      </c>
      <c r="C60" s="22">
        <v>1.345</v>
      </c>
      <c r="D60" s="22" t="s">
        <v>152</v>
      </c>
      <c r="E60" s="22" t="s">
        <v>152</v>
      </c>
      <c r="F60" s="22" t="s">
        <v>152</v>
      </c>
      <c r="H60" s="22">
        <v>59</v>
      </c>
      <c r="I60" s="22" t="s">
        <v>2337</v>
      </c>
      <c r="J60" s="22" t="s">
        <v>2908</v>
      </c>
      <c r="K60" s="22" t="s">
        <v>2908</v>
      </c>
      <c r="L60" s="22" t="s">
        <v>2908</v>
      </c>
      <c r="M60" s="22" t="s">
        <v>2908</v>
      </c>
      <c r="N60" s="22" t="s">
        <v>2908</v>
      </c>
      <c r="P60" s="37">
        <v>1000</v>
      </c>
      <c r="Q60" s="37">
        <v>1000</v>
      </c>
      <c r="R60" s="37">
        <v>1000</v>
      </c>
      <c r="S60" s="37">
        <v>1000</v>
      </c>
      <c r="T60" s="37">
        <v>1000</v>
      </c>
      <c r="V60" t="e">
        <f t="shared" si="1"/>
        <v>#VALUE!</v>
      </c>
      <c r="W60" t="e">
        <f t="shared" si="2"/>
        <v>#VALUE!</v>
      </c>
      <c r="X60" t="e">
        <f t="shared" si="3"/>
        <v>#VALUE!</v>
      </c>
      <c r="Y60" t="e">
        <f t="shared" si="4"/>
        <v>#VALUE!</v>
      </c>
      <c r="Z60" t="e">
        <f t="shared" si="5"/>
        <v>#VALUE!</v>
      </c>
    </row>
    <row r="61" spans="1:26" ht="42" thickBot="1" x14ac:dyDescent="0.3">
      <c r="A61" s="22" t="s">
        <v>6216</v>
      </c>
      <c r="B61" s="22">
        <v>0.67200000000000004</v>
      </c>
      <c r="C61" s="22">
        <v>0.85099999999999998</v>
      </c>
      <c r="D61" s="22">
        <v>0.79700000000000004</v>
      </c>
      <c r="E61" s="22" t="s">
        <v>152</v>
      </c>
      <c r="F61" s="22" t="s">
        <v>152</v>
      </c>
      <c r="H61" s="22">
        <v>60</v>
      </c>
      <c r="I61" s="22" t="s">
        <v>2365</v>
      </c>
      <c r="J61" s="22">
        <v>16.163</v>
      </c>
      <c r="K61" s="22">
        <v>5.0739999999999998</v>
      </c>
      <c r="L61" s="22">
        <v>7.8739999999999997</v>
      </c>
      <c r="M61" s="22">
        <v>10.06</v>
      </c>
      <c r="N61" s="22">
        <v>48.008000000000003</v>
      </c>
      <c r="P61" s="37">
        <v>1000</v>
      </c>
      <c r="Q61" s="37">
        <v>1000</v>
      </c>
      <c r="R61" s="37">
        <v>1000</v>
      </c>
      <c r="S61" s="37">
        <v>1000</v>
      </c>
      <c r="T61" s="37">
        <v>1000</v>
      </c>
      <c r="V61">
        <f t="shared" si="1"/>
        <v>16163</v>
      </c>
      <c r="W61">
        <f t="shared" si="2"/>
        <v>5074</v>
      </c>
      <c r="X61">
        <f t="shared" si="3"/>
        <v>7874</v>
      </c>
      <c r="Y61">
        <f t="shared" si="4"/>
        <v>10060</v>
      </c>
      <c r="Z61">
        <f t="shared" si="5"/>
        <v>48008</v>
      </c>
    </row>
    <row r="62" spans="1:26" ht="28.2" thickBot="1" x14ac:dyDescent="0.3">
      <c r="A62" s="21" t="s">
        <v>6217</v>
      </c>
      <c r="B62" s="22"/>
      <c r="C62" s="22"/>
      <c r="D62" s="22"/>
      <c r="E62" s="22"/>
      <c r="F62" s="22"/>
      <c r="H62" s="22">
        <v>61</v>
      </c>
      <c r="I62" s="22" t="s">
        <v>2186</v>
      </c>
      <c r="J62" s="22">
        <v>1.4930000000000001</v>
      </c>
      <c r="K62" s="22">
        <v>1.6850000000000001</v>
      </c>
      <c r="L62" s="22">
        <v>1.0429999999999999</v>
      </c>
      <c r="M62" s="22">
        <v>1.472</v>
      </c>
      <c r="N62" s="22">
        <v>1.64</v>
      </c>
      <c r="P62" s="37">
        <v>1000</v>
      </c>
      <c r="Q62" s="37">
        <v>1000</v>
      </c>
      <c r="R62" s="37">
        <v>1000</v>
      </c>
      <c r="S62" s="37">
        <v>1000</v>
      </c>
      <c r="T62" s="37">
        <v>1000</v>
      </c>
      <c r="V62">
        <f t="shared" si="1"/>
        <v>1493</v>
      </c>
      <c r="W62">
        <f t="shared" si="2"/>
        <v>1685</v>
      </c>
      <c r="X62">
        <f t="shared" si="3"/>
        <v>1043</v>
      </c>
      <c r="Y62">
        <f t="shared" si="4"/>
        <v>1472</v>
      </c>
      <c r="Z62">
        <f t="shared" si="5"/>
        <v>1640</v>
      </c>
    </row>
    <row r="63" spans="1:26" ht="55.8" thickBot="1" x14ac:dyDescent="0.3">
      <c r="A63" s="22" t="s">
        <v>6218</v>
      </c>
      <c r="B63" s="22">
        <v>9.0399999999999991</v>
      </c>
      <c r="C63" s="22">
        <v>4.4020000000000001</v>
      </c>
      <c r="D63" s="22">
        <v>5.3659999999999997</v>
      </c>
      <c r="E63" s="22">
        <v>5.5030000000000001</v>
      </c>
      <c r="F63" s="22">
        <v>20.196999999999999</v>
      </c>
      <c r="H63" s="22">
        <v>62</v>
      </c>
      <c r="I63" s="22" t="s">
        <v>2382</v>
      </c>
      <c r="J63" s="22">
        <v>1.2849999999999999</v>
      </c>
      <c r="K63" s="22">
        <v>0.56899999999999995</v>
      </c>
      <c r="L63" s="22">
        <v>0.77100000000000002</v>
      </c>
      <c r="M63" s="22">
        <v>0.875</v>
      </c>
      <c r="N63" s="22">
        <v>1.476</v>
      </c>
      <c r="P63" s="37">
        <v>1000</v>
      </c>
      <c r="Q63" s="37">
        <v>1000</v>
      </c>
      <c r="R63" s="37">
        <v>1000</v>
      </c>
      <c r="S63" s="37">
        <v>1000</v>
      </c>
      <c r="T63" s="37">
        <v>1000</v>
      </c>
      <c r="V63">
        <f t="shared" si="1"/>
        <v>1285</v>
      </c>
      <c r="W63">
        <f t="shared" si="2"/>
        <v>569</v>
      </c>
      <c r="X63">
        <f t="shared" si="3"/>
        <v>771</v>
      </c>
      <c r="Y63">
        <f t="shared" si="4"/>
        <v>875</v>
      </c>
      <c r="Z63">
        <f t="shared" si="5"/>
        <v>1476</v>
      </c>
    </row>
    <row r="64" spans="1:26" ht="55.8" thickBot="1" x14ac:dyDescent="0.3">
      <c r="A64" s="22" t="s">
        <v>6219</v>
      </c>
      <c r="B64" s="22" t="s">
        <v>152</v>
      </c>
      <c r="C64" s="22">
        <v>0.29099999999999998</v>
      </c>
      <c r="D64" s="22" t="s">
        <v>152</v>
      </c>
      <c r="E64" s="22" t="s">
        <v>152</v>
      </c>
      <c r="F64" s="22" t="s">
        <v>152</v>
      </c>
      <c r="H64" s="22">
        <v>63</v>
      </c>
      <c r="I64" s="22" t="s">
        <v>6231</v>
      </c>
      <c r="J64" s="22">
        <v>197.07</v>
      </c>
      <c r="K64" s="22">
        <v>236.62</v>
      </c>
      <c r="L64" s="22">
        <v>104.39</v>
      </c>
      <c r="M64" s="22">
        <v>154.47</v>
      </c>
      <c r="N64" s="22">
        <v>455.73</v>
      </c>
      <c r="P64" s="37">
        <v>1000</v>
      </c>
      <c r="Q64" s="37">
        <v>1000</v>
      </c>
      <c r="R64" s="37">
        <v>1000</v>
      </c>
      <c r="S64" s="37">
        <v>1000</v>
      </c>
      <c r="T64" s="37">
        <v>1000</v>
      </c>
      <c r="V64">
        <f t="shared" si="1"/>
        <v>197070</v>
      </c>
      <c r="W64">
        <f t="shared" si="2"/>
        <v>236620</v>
      </c>
      <c r="X64">
        <f t="shared" si="3"/>
        <v>104390</v>
      </c>
      <c r="Y64">
        <f t="shared" si="4"/>
        <v>154470</v>
      </c>
      <c r="Z64">
        <f t="shared" si="5"/>
        <v>455730</v>
      </c>
    </row>
    <row r="65" spans="1:6" ht="28.2" thickBot="1" x14ac:dyDescent="0.3">
      <c r="A65" s="22" t="s">
        <v>6220</v>
      </c>
      <c r="B65" s="22">
        <v>9.6349999999999998</v>
      </c>
      <c r="C65" s="22" t="s">
        <v>152</v>
      </c>
      <c r="D65" s="22">
        <v>0.13900000000000001</v>
      </c>
      <c r="E65" s="22">
        <v>0.33500000000000002</v>
      </c>
      <c r="F65" s="22">
        <v>0.75900000000000001</v>
      </c>
    </row>
    <row r="66" spans="1:6" ht="28.2" thickBot="1" x14ac:dyDescent="0.3">
      <c r="A66" s="22" t="s">
        <v>6221</v>
      </c>
      <c r="B66" s="22">
        <v>0.70299999999999996</v>
      </c>
      <c r="C66" s="22">
        <v>0.23</v>
      </c>
      <c r="D66" s="22">
        <v>2.7E-2</v>
      </c>
      <c r="E66" s="22">
        <v>0.191</v>
      </c>
      <c r="F66" s="22">
        <v>1.1539999999999999</v>
      </c>
    </row>
    <row r="67" spans="1:6" ht="42" thickBot="1" x14ac:dyDescent="0.3">
      <c r="A67" s="22" t="s">
        <v>6222</v>
      </c>
      <c r="B67" s="22">
        <v>0.379</v>
      </c>
      <c r="C67" s="22">
        <v>5.6000000000000001E-2</v>
      </c>
      <c r="D67" s="22">
        <v>0.747</v>
      </c>
      <c r="E67" s="22">
        <v>0.748</v>
      </c>
      <c r="F67" s="22">
        <v>0.51300000000000001</v>
      </c>
    </row>
    <row r="68" spans="1:6" ht="42" thickBot="1" x14ac:dyDescent="0.3">
      <c r="A68" s="22" t="s">
        <v>6223</v>
      </c>
      <c r="B68" s="22">
        <v>0.218</v>
      </c>
      <c r="C68" s="22">
        <v>4.7E-2</v>
      </c>
      <c r="D68" s="22">
        <v>4.3999999999999997E-2</v>
      </c>
      <c r="E68" s="22">
        <v>1.7000000000000001E-2</v>
      </c>
      <c r="F68" s="22">
        <v>0.36899999999999999</v>
      </c>
    </row>
    <row r="69" spans="1:6" ht="55.8" thickBot="1" x14ac:dyDescent="0.3">
      <c r="A69" s="22" t="s">
        <v>6224</v>
      </c>
      <c r="B69" s="22">
        <v>5.8999999999999997E-2</v>
      </c>
      <c r="C69" s="22">
        <v>6.7000000000000004E-2</v>
      </c>
      <c r="D69" s="22">
        <v>5.8999999999999997E-2</v>
      </c>
      <c r="E69" s="22">
        <v>3.0000000000000001E-3</v>
      </c>
      <c r="F69" s="22">
        <v>4.2999999999999997E-2</v>
      </c>
    </row>
    <row r="70" spans="1:6" ht="14.4" thickBot="1" x14ac:dyDescent="0.3">
      <c r="A70" s="22" t="s">
        <v>2947</v>
      </c>
      <c r="B70" s="22" t="s">
        <v>152</v>
      </c>
      <c r="C70" s="22" t="s">
        <v>152</v>
      </c>
      <c r="D70" s="22" t="s">
        <v>152</v>
      </c>
      <c r="E70" s="22" t="s">
        <v>152</v>
      </c>
      <c r="F70" s="22" t="s">
        <v>152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1347-848F-464F-8B43-605AB2056E9C}">
  <dimension ref="A1:O64"/>
  <sheetViews>
    <sheetView workbookViewId="0">
      <selection activeCell="N2" sqref="N2:N64"/>
    </sheetView>
  </sheetViews>
  <sheetFormatPr defaultRowHeight="13.8" x14ac:dyDescent="0.25"/>
  <sheetData>
    <row r="1" spans="1:15" ht="42" thickBot="1" x14ac:dyDescent="0.3">
      <c r="A1" s="25" t="s">
        <v>6243</v>
      </c>
      <c r="B1" s="21" t="s">
        <v>6232</v>
      </c>
      <c r="C1" s="21" t="s">
        <v>6233</v>
      </c>
      <c r="D1" s="21" t="s">
        <v>6234</v>
      </c>
      <c r="E1" s="21" t="s">
        <v>6235</v>
      </c>
      <c r="F1" s="21" t="s">
        <v>6236</v>
      </c>
      <c r="G1" s="21" t="s">
        <v>6237</v>
      </c>
      <c r="I1" s="21" t="s">
        <v>2845</v>
      </c>
      <c r="J1" s="21" t="s">
        <v>2906</v>
      </c>
      <c r="K1" s="21" t="s">
        <v>6233</v>
      </c>
      <c r="L1" s="21" t="s">
        <v>6234</v>
      </c>
      <c r="M1" s="21" t="s">
        <v>6235</v>
      </c>
      <c r="N1" s="21" t="s">
        <v>6236</v>
      </c>
      <c r="O1" s="21" t="s">
        <v>6237</v>
      </c>
    </row>
    <row r="2" spans="1:15" ht="14.4" thickBot="1" x14ac:dyDescent="0.3">
      <c r="A2" s="22" t="s">
        <v>2017</v>
      </c>
      <c r="B2" s="22">
        <v>5</v>
      </c>
      <c r="C2" s="22">
        <v>2015500</v>
      </c>
      <c r="D2" s="22">
        <v>403100</v>
      </c>
      <c r="E2" s="22">
        <v>1</v>
      </c>
      <c r="F2" s="22">
        <v>1983448</v>
      </c>
      <c r="G2" s="22">
        <v>396689.6</v>
      </c>
      <c r="I2" s="22">
        <v>1</v>
      </c>
      <c r="J2" s="22" t="s">
        <v>2017</v>
      </c>
      <c r="K2" s="22">
        <v>2015500</v>
      </c>
      <c r="L2" s="22">
        <v>403100</v>
      </c>
      <c r="M2" s="22">
        <v>1</v>
      </c>
      <c r="N2" s="22">
        <v>1983448</v>
      </c>
      <c r="O2" s="22">
        <v>396689.6</v>
      </c>
    </row>
    <row r="3" spans="1:15" ht="28.2" thickBot="1" x14ac:dyDescent="0.3">
      <c r="A3" s="22" t="s">
        <v>2023</v>
      </c>
      <c r="B3" s="22">
        <v>2</v>
      </c>
      <c r="C3" s="22">
        <v>55468.97</v>
      </c>
      <c r="D3" s="22">
        <v>27734.49</v>
      </c>
      <c r="E3" s="22">
        <v>2.75E-2</v>
      </c>
      <c r="F3" s="22">
        <v>157110.67000000001</v>
      </c>
      <c r="G3" s="22">
        <v>78555.33</v>
      </c>
      <c r="I3" s="22">
        <v>2</v>
      </c>
      <c r="J3" s="22" t="s">
        <v>2162</v>
      </c>
      <c r="K3" s="22" t="s">
        <v>2908</v>
      </c>
      <c r="L3" s="22" t="s">
        <v>2908</v>
      </c>
      <c r="M3" s="22" t="s">
        <v>2908</v>
      </c>
      <c r="N3" s="22" t="s">
        <v>2908</v>
      </c>
      <c r="O3" s="22" t="s">
        <v>2908</v>
      </c>
    </row>
    <row r="4" spans="1:15" ht="14.4" thickBot="1" x14ac:dyDescent="0.3">
      <c r="A4" s="22" t="s">
        <v>2018</v>
      </c>
      <c r="B4" s="22">
        <v>20</v>
      </c>
      <c r="C4" s="22">
        <v>114274.77</v>
      </c>
      <c r="D4" s="22">
        <v>5713.74</v>
      </c>
      <c r="E4" s="22">
        <v>5.67E-2</v>
      </c>
      <c r="F4" s="22">
        <v>153397.21</v>
      </c>
      <c r="G4" s="22">
        <v>7669.86</v>
      </c>
      <c r="I4" s="22">
        <v>3</v>
      </c>
      <c r="J4" s="22" t="s">
        <v>2018</v>
      </c>
      <c r="K4" s="22">
        <v>114274.77</v>
      </c>
      <c r="L4" s="22">
        <v>5713.74</v>
      </c>
      <c r="M4" s="22">
        <v>5.67E-2</v>
      </c>
      <c r="N4" s="22">
        <v>153397.21</v>
      </c>
      <c r="O4" s="22">
        <v>7669.86</v>
      </c>
    </row>
    <row r="5" spans="1:15" ht="14.4" thickBot="1" x14ac:dyDescent="0.3">
      <c r="A5" s="22" t="s">
        <v>2947</v>
      </c>
      <c r="B5" s="22">
        <v>50</v>
      </c>
      <c r="C5" s="22">
        <v>115006</v>
      </c>
      <c r="D5" s="22">
        <v>2300.12</v>
      </c>
      <c r="E5" s="22">
        <v>5.7099999999999998E-2</v>
      </c>
      <c r="F5" s="22">
        <v>170082</v>
      </c>
      <c r="G5" s="22">
        <v>3401.64</v>
      </c>
      <c r="I5" s="22">
        <v>4</v>
      </c>
      <c r="J5" s="22" t="s">
        <v>2022</v>
      </c>
      <c r="K5" s="22">
        <v>790963.95</v>
      </c>
      <c r="L5" s="22">
        <v>105.46</v>
      </c>
      <c r="M5" s="22">
        <v>0.39240000000000003</v>
      </c>
      <c r="N5" s="22">
        <v>729580.33</v>
      </c>
      <c r="O5" s="22">
        <v>97.28</v>
      </c>
    </row>
    <row r="6" spans="1:15" ht="28.2" thickBot="1" x14ac:dyDescent="0.3">
      <c r="A6" s="22" t="s">
        <v>3747</v>
      </c>
      <c r="B6" s="22">
        <v>2</v>
      </c>
      <c r="C6" s="22">
        <v>1151.27</v>
      </c>
      <c r="D6" s="22">
        <v>719.54</v>
      </c>
      <c r="E6" s="22">
        <v>5.9999999999999995E-4</v>
      </c>
      <c r="F6" s="22">
        <v>1409.77</v>
      </c>
      <c r="G6" s="22">
        <v>881.1</v>
      </c>
      <c r="I6" s="22">
        <v>5</v>
      </c>
      <c r="J6" s="22" t="s">
        <v>2023</v>
      </c>
      <c r="K6" s="22">
        <v>55468.97</v>
      </c>
      <c r="L6" s="22">
        <v>27734.49</v>
      </c>
      <c r="M6" s="22">
        <v>2.75E-2</v>
      </c>
      <c r="N6" s="22">
        <v>157110.67000000001</v>
      </c>
      <c r="O6" s="22">
        <v>78555.33</v>
      </c>
    </row>
    <row r="7" spans="1:15" ht="14.4" thickBot="1" x14ac:dyDescent="0.3">
      <c r="A7" s="22" t="s">
        <v>2320</v>
      </c>
      <c r="B7" s="22">
        <v>500</v>
      </c>
      <c r="C7" s="22">
        <v>185454</v>
      </c>
      <c r="D7" s="22">
        <v>370.91</v>
      </c>
      <c r="E7" s="22">
        <v>9.1999999999999998E-2</v>
      </c>
      <c r="F7" s="22">
        <v>187976</v>
      </c>
      <c r="G7" s="22">
        <v>375.95</v>
      </c>
      <c r="I7" s="22">
        <v>6</v>
      </c>
      <c r="J7" s="22" t="s">
        <v>2019</v>
      </c>
      <c r="K7" s="22">
        <v>27166.51</v>
      </c>
      <c r="L7" s="22">
        <v>30.19</v>
      </c>
      <c r="M7" s="22">
        <v>1.35E-2</v>
      </c>
      <c r="N7" s="22">
        <v>33933.56</v>
      </c>
      <c r="O7" s="22">
        <v>37.700000000000003</v>
      </c>
    </row>
    <row r="8" spans="1:15" ht="28.2" thickBot="1" x14ac:dyDescent="0.3">
      <c r="A8" s="22" t="s">
        <v>3688</v>
      </c>
      <c r="B8" s="22">
        <v>3</v>
      </c>
      <c r="C8" s="22">
        <v>498.33</v>
      </c>
      <c r="D8" s="22">
        <v>166.11</v>
      </c>
      <c r="E8" s="22">
        <v>2.0000000000000001E-4</v>
      </c>
      <c r="F8" s="22">
        <v>518.24</v>
      </c>
      <c r="G8" s="22">
        <v>172.75</v>
      </c>
      <c r="I8" s="22">
        <v>7</v>
      </c>
      <c r="J8" s="22" t="s">
        <v>2178</v>
      </c>
      <c r="K8" s="22">
        <v>24560.04</v>
      </c>
      <c r="L8" s="22">
        <v>61.4</v>
      </c>
      <c r="M8" s="22">
        <v>1.2200000000000001E-2</v>
      </c>
      <c r="N8" s="22">
        <v>50256.91</v>
      </c>
      <c r="O8" s="22">
        <v>125.64</v>
      </c>
    </row>
    <row r="9" spans="1:15" ht="14.4" thickBot="1" x14ac:dyDescent="0.3">
      <c r="A9" s="22" t="s">
        <v>3413</v>
      </c>
      <c r="B9" s="22">
        <v>3</v>
      </c>
      <c r="C9" s="22">
        <v>329.57</v>
      </c>
      <c r="D9" s="22">
        <v>109.86</v>
      </c>
      <c r="E9" s="22">
        <v>2.0000000000000001E-4</v>
      </c>
      <c r="F9" s="22">
        <v>376.23</v>
      </c>
      <c r="G9" s="22">
        <v>125.41</v>
      </c>
      <c r="I9" s="22">
        <v>8</v>
      </c>
      <c r="J9" s="22" t="s">
        <v>2898</v>
      </c>
      <c r="K9" s="22">
        <v>1056971</v>
      </c>
      <c r="L9" s="22">
        <v>7.05</v>
      </c>
      <c r="M9" s="22">
        <v>0.52439999999999998</v>
      </c>
      <c r="N9" s="22">
        <v>1025253</v>
      </c>
      <c r="O9" s="22">
        <v>6.84</v>
      </c>
    </row>
    <row r="10" spans="1:15" ht="42" thickBot="1" x14ac:dyDescent="0.3">
      <c r="A10" s="22" t="s">
        <v>2022</v>
      </c>
      <c r="B10" s="22">
        <v>7500</v>
      </c>
      <c r="C10" s="22">
        <v>790963.95</v>
      </c>
      <c r="D10" s="22">
        <v>105.46</v>
      </c>
      <c r="E10" s="22">
        <v>0.39240000000000003</v>
      </c>
      <c r="F10" s="22">
        <v>729580.33</v>
      </c>
      <c r="G10" s="22">
        <v>97.28</v>
      </c>
      <c r="I10" s="22">
        <v>9</v>
      </c>
      <c r="J10" s="22" t="s">
        <v>2909</v>
      </c>
      <c r="K10" s="22" t="s">
        <v>2908</v>
      </c>
      <c r="L10" s="22" t="s">
        <v>2908</v>
      </c>
      <c r="M10" s="22" t="s">
        <v>2908</v>
      </c>
      <c r="N10" s="22" t="s">
        <v>2908</v>
      </c>
      <c r="O10" s="22" t="s">
        <v>2908</v>
      </c>
    </row>
    <row r="11" spans="1:15" ht="28.2" thickBot="1" x14ac:dyDescent="0.3">
      <c r="A11" s="22" t="s">
        <v>2178</v>
      </c>
      <c r="B11" s="22">
        <v>400</v>
      </c>
      <c r="C11" s="22">
        <v>24560.04</v>
      </c>
      <c r="D11" s="22">
        <v>61.4</v>
      </c>
      <c r="E11" s="22">
        <v>1.2200000000000001E-2</v>
      </c>
      <c r="F11" s="22">
        <v>50256.91</v>
      </c>
      <c r="G11" s="22">
        <v>125.64</v>
      </c>
      <c r="I11" s="22">
        <v>10</v>
      </c>
      <c r="J11" s="22" t="s">
        <v>2166</v>
      </c>
      <c r="K11" s="22" t="s">
        <v>2908</v>
      </c>
      <c r="L11" s="22" t="s">
        <v>2908</v>
      </c>
      <c r="M11" s="22" t="s">
        <v>2908</v>
      </c>
      <c r="N11" s="22" t="s">
        <v>2908</v>
      </c>
      <c r="O11" s="22" t="s">
        <v>2908</v>
      </c>
    </row>
    <row r="12" spans="1:15" ht="28.2" thickBot="1" x14ac:dyDescent="0.3">
      <c r="A12" s="22" t="s">
        <v>6238</v>
      </c>
      <c r="B12" s="22">
        <v>30</v>
      </c>
      <c r="C12" s="22">
        <v>993.55</v>
      </c>
      <c r="D12" s="22">
        <v>33.119999999999997</v>
      </c>
      <c r="E12" s="22">
        <v>5.0000000000000001E-4</v>
      </c>
      <c r="F12" s="22">
        <v>1282.1099999999999</v>
      </c>
      <c r="G12" s="22">
        <v>42.74</v>
      </c>
      <c r="I12" s="22">
        <v>11</v>
      </c>
      <c r="J12" s="22" t="s">
        <v>2911</v>
      </c>
      <c r="K12" s="22" t="s">
        <v>2908</v>
      </c>
      <c r="L12" s="22" t="s">
        <v>2908</v>
      </c>
      <c r="M12" s="22" t="s">
        <v>2908</v>
      </c>
      <c r="N12" s="22" t="s">
        <v>2908</v>
      </c>
      <c r="O12" s="22" t="s">
        <v>2908</v>
      </c>
    </row>
    <row r="13" spans="1:15" ht="28.2" thickBot="1" x14ac:dyDescent="0.3">
      <c r="A13" s="22" t="s">
        <v>2019</v>
      </c>
      <c r="B13" s="22">
        <v>900</v>
      </c>
      <c r="C13" s="22">
        <v>27166.51</v>
      </c>
      <c r="D13" s="22">
        <v>30.19</v>
      </c>
      <c r="E13" s="22">
        <v>1.35E-2</v>
      </c>
      <c r="F13" s="22">
        <v>33933.56</v>
      </c>
      <c r="G13" s="22">
        <v>37.700000000000003</v>
      </c>
      <c r="I13" s="22">
        <v>12</v>
      </c>
      <c r="J13" s="22" t="s">
        <v>2957</v>
      </c>
      <c r="K13" s="22" t="s">
        <v>2908</v>
      </c>
      <c r="L13" s="22" t="s">
        <v>2908</v>
      </c>
      <c r="M13" s="22" t="s">
        <v>2908</v>
      </c>
      <c r="N13" s="22" t="s">
        <v>2908</v>
      </c>
      <c r="O13" s="22" t="s">
        <v>2908</v>
      </c>
    </row>
    <row r="14" spans="1:15" ht="14.4" thickBot="1" x14ac:dyDescent="0.3">
      <c r="A14" s="22" t="s">
        <v>3405</v>
      </c>
      <c r="B14" s="22">
        <v>50</v>
      </c>
      <c r="C14" s="22">
        <v>571.95000000000005</v>
      </c>
      <c r="D14" s="22">
        <v>11.44</v>
      </c>
      <c r="E14" s="22">
        <v>2.9999999999999997E-4</v>
      </c>
      <c r="F14" s="22">
        <v>1017.03</v>
      </c>
      <c r="G14" s="22">
        <v>20.34</v>
      </c>
      <c r="I14" s="22">
        <v>13</v>
      </c>
      <c r="J14" s="22" t="s">
        <v>2913</v>
      </c>
      <c r="K14" s="22" t="s">
        <v>2908</v>
      </c>
      <c r="L14" s="22" t="s">
        <v>2908</v>
      </c>
      <c r="M14" s="22" t="s">
        <v>2908</v>
      </c>
      <c r="N14" s="22" t="s">
        <v>2908</v>
      </c>
      <c r="O14" s="22" t="s">
        <v>2908</v>
      </c>
    </row>
    <row r="15" spans="1:15" ht="14.4" thickBot="1" x14ac:dyDescent="0.3">
      <c r="A15" s="22" t="s">
        <v>2898</v>
      </c>
      <c r="B15" s="22">
        <v>150000</v>
      </c>
      <c r="C15" s="22">
        <v>1056971</v>
      </c>
      <c r="D15" s="22">
        <v>7.05</v>
      </c>
      <c r="E15" s="22">
        <v>0.52439999999999998</v>
      </c>
      <c r="F15" s="22">
        <v>1025253</v>
      </c>
      <c r="G15" s="22">
        <v>6.84</v>
      </c>
      <c r="I15" s="22">
        <v>14</v>
      </c>
      <c r="J15" s="22" t="s">
        <v>2173</v>
      </c>
      <c r="K15" s="22" t="s">
        <v>2908</v>
      </c>
      <c r="L15" s="22" t="s">
        <v>2908</v>
      </c>
      <c r="M15" s="22" t="s">
        <v>2908</v>
      </c>
      <c r="N15" s="22" t="s">
        <v>2908</v>
      </c>
      <c r="O15" s="22" t="s">
        <v>2908</v>
      </c>
    </row>
    <row r="16" spans="1:15" ht="14.4" thickBot="1" x14ac:dyDescent="0.3">
      <c r="A16" s="22" t="s">
        <v>3392</v>
      </c>
      <c r="B16" s="22">
        <v>1800</v>
      </c>
      <c r="C16" s="22">
        <v>10149.08</v>
      </c>
      <c r="D16" s="22">
        <v>5.64</v>
      </c>
      <c r="E16" s="22">
        <v>5.0000000000000001E-3</v>
      </c>
      <c r="F16" s="22">
        <v>13828.86</v>
      </c>
      <c r="G16" s="22">
        <v>7.68</v>
      </c>
      <c r="I16" s="22">
        <v>15</v>
      </c>
      <c r="J16" s="22" t="s">
        <v>2914</v>
      </c>
      <c r="K16" s="22" t="s">
        <v>2908</v>
      </c>
      <c r="L16" s="22" t="s">
        <v>2908</v>
      </c>
      <c r="M16" s="22" t="s">
        <v>2908</v>
      </c>
      <c r="N16" s="22" t="s">
        <v>2908</v>
      </c>
      <c r="O16" s="22" t="s">
        <v>2908</v>
      </c>
    </row>
    <row r="17" spans="1:15" ht="55.8" thickBot="1" x14ac:dyDescent="0.3">
      <c r="A17" s="22" t="s">
        <v>2186</v>
      </c>
      <c r="B17" s="22">
        <v>200</v>
      </c>
      <c r="C17" s="22">
        <v>995.32</v>
      </c>
      <c r="D17" s="22">
        <v>4.9800000000000004</v>
      </c>
      <c r="E17" s="22">
        <v>5.0000000000000001E-4</v>
      </c>
      <c r="F17" s="22">
        <v>3556.22</v>
      </c>
      <c r="G17" s="22">
        <v>17.78</v>
      </c>
      <c r="I17" s="22">
        <v>16</v>
      </c>
      <c r="J17" s="22" t="s">
        <v>6142</v>
      </c>
      <c r="K17" s="22">
        <v>1151.27</v>
      </c>
      <c r="L17" s="22">
        <v>719.54</v>
      </c>
      <c r="M17" s="22">
        <v>5.9999999999999995E-4</v>
      </c>
      <c r="N17" s="22">
        <v>1409.77</v>
      </c>
      <c r="O17" s="22">
        <v>881.1</v>
      </c>
    </row>
    <row r="18" spans="1:15" ht="55.8" thickBot="1" x14ac:dyDescent="0.3">
      <c r="A18" s="22" t="s">
        <v>2916</v>
      </c>
      <c r="B18" s="22">
        <v>8000</v>
      </c>
      <c r="C18" s="22">
        <v>39250.11</v>
      </c>
      <c r="D18" s="22">
        <v>4.91</v>
      </c>
      <c r="E18" s="22">
        <v>1.95E-2</v>
      </c>
      <c r="F18" s="22">
        <v>35960.6</v>
      </c>
      <c r="G18" s="22">
        <v>4.5</v>
      </c>
      <c r="I18" s="22">
        <v>17</v>
      </c>
      <c r="J18" s="22" t="s">
        <v>6226</v>
      </c>
      <c r="K18" s="22">
        <v>532.83000000000004</v>
      </c>
      <c r="L18" s="22">
        <v>0.82</v>
      </c>
      <c r="M18" s="22">
        <v>2.9999999999999997E-4</v>
      </c>
      <c r="N18" s="22">
        <v>653.66</v>
      </c>
      <c r="O18" s="22">
        <v>1.01</v>
      </c>
    </row>
    <row r="19" spans="1:15" ht="55.8" thickBot="1" x14ac:dyDescent="0.3">
      <c r="A19" s="22" t="s">
        <v>2872</v>
      </c>
      <c r="B19" s="22">
        <v>30000</v>
      </c>
      <c r="C19" s="22">
        <v>144692</v>
      </c>
      <c r="D19" s="22">
        <v>4.82</v>
      </c>
      <c r="E19" s="22">
        <v>7.1800000000000003E-2</v>
      </c>
      <c r="F19" s="22">
        <v>158011</v>
      </c>
      <c r="G19" s="22">
        <v>5.27</v>
      </c>
      <c r="I19" s="22">
        <v>18</v>
      </c>
      <c r="J19" s="22" t="s">
        <v>6239</v>
      </c>
      <c r="K19" s="22">
        <v>993.55</v>
      </c>
      <c r="L19" s="22">
        <v>33.119999999999997</v>
      </c>
      <c r="M19" s="22">
        <v>5.0000000000000001E-4</v>
      </c>
      <c r="N19" s="22">
        <v>1282.1099999999999</v>
      </c>
      <c r="O19" s="22">
        <v>42.74</v>
      </c>
    </row>
    <row r="20" spans="1:15" ht="28.2" thickBot="1" x14ac:dyDescent="0.3">
      <c r="A20" s="22" t="s">
        <v>3519</v>
      </c>
      <c r="B20" s="22">
        <v>125</v>
      </c>
      <c r="C20" s="22">
        <v>461.49</v>
      </c>
      <c r="D20" s="22">
        <v>3.69</v>
      </c>
      <c r="E20" s="22">
        <v>2.0000000000000001E-4</v>
      </c>
      <c r="F20" s="22">
        <v>1142.68</v>
      </c>
      <c r="G20" s="22">
        <v>9.14</v>
      </c>
      <c r="I20" s="22">
        <v>19</v>
      </c>
      <c r="J20" s="22" t="s">
        <v>2318</v>
      </c>
      <c r="K20" s="22" t="s">
        <v>2908</v>
      </c>
      <c r="L20" s="22" t="s">
        <v>2908</v>
      </c>
      <c r="M20" s="22" t="s">
        <v>2908</v>
      </c>
      <c r="N20" s="22" t="s">
        <v>2908</v>
      </c>
      <c r="O20" s="22" t="s">
        <v>2908</v>
      </c>
    </row>
    <row r="21" spans="1:15" ht="28.2" thickBot="1" x14ac:dyDescent="0.3">
      <c r="A21" s="22" t="s">
        <v>2181</v>
      </c>
      <c r="B21" s="22">
        <v>33</v>
      </c>
      <c r="C21" s="22">
        <v>67.989999999999995</v>
      </c>
      <c r="D21" s="22">
        <v>2.06</v>
      </c>
      <c r="E21" s="22">
        <v>0</v>
      </c>
      <c r="F21" s="22">
        <v>48.32</v>
      </c>
      <c r="G21" s="22">
        <v>1.46</v>
      </c>
      <c r="I21" s="22">
        <v>20</v>
      </c>
      <c r="J21" s="22" t="s">
        <v>2362</v>
      </c>
      <c r="K21" s="22" t="s">
        <v>2908</v>
      </c>
      <c r="L21" s="22" t="s">
        <v>2908</v>
      </c>
      <c r="M21" s="22" t="s">
        <v>2908</v>
      </c>
      <c r="N21" s="22" t="s">
        <v>2908</v>
      </c>
      <c r="O21" s="22" t="s">
        <v>2908</v>
      </c>
    </row>
    <row r="22" spans="1:15" ht="14.4" thickBot="1" x14ac:dyDescent="0.3">
      <c r="A22" s="22" t="s">
        <v>2863</v>
      </c>
      <c r="B22" s="22">
        <v>306000</v>
      </c>
      <c r="C22" s="22">
        <v>347476</v>
      </c>
      <c r="D22" s="22">
        <v>1.1399999999999999</v>
      </c>
      <c r="E22" s="22">
        <v>0.1724</v>
      </c>
      <c r="F22" s="22">
        <v>397035</v>
      </c>
      <c r="G22" s="22">
        <v>1.3</v>
      </c>
      <c r="I22" s="22">
        <v>21</v>
      </c>
      <c r="J22" s="22" t="s">
        <v>2025</v>
      </c>
      <c r="K22" s="22">
        <v>34206.699999999997</v>
      </c>
      <c r="L22" s="22">
        <v>0.23</v>
      </c>
      <c r="M22" s="22">
        <v>1.7000000000000001E-2</v>
      </c>
      <c r="N22" s="22">
        <v>36155.360000000001</v>
      </c>
      <c r="O22" s="22">
        <v>0.24</v>
      </c>
    </row>
    <row r="23" spans="1:15" ht="28.2" thickBot="1" x14ac:dyDescent="0.3">
      <c r="A23" s="22" t="s">
        <v>3655</v>
      </c>
      <c r="B23" s="22">
        <v>40000</v>
      </c>
      <c r="C23" s="22">
        <v>43928.03</v>
      </c>
      <c r="D23" s="22">
        <v>1.1000000000000001</v>
      </c>
      <c r="E23" s="22">
        <v>2.18E-2</v>
      </c>
      <c r="F23" s="22">
        <v>5502.04</v>
      </c>
      <c r="G23" s="22">
        <v>0.14000000000000001</v>
      </c>
      <c r="I23" s="22">
        <v>22</v>
      </c>
      <c r="J23" s="22" t="s">
        <v>2916</v>
      </c>
      <c r="K23" s="22">
        <v>39250.11</v>
      </c>
      <c r="L23" s="22">
        <v>4.91</v>
      </c>
      <c r="M23" s="22">
        <v>1.95E-2</v>
      </c>
      <c r="N23" s="22">
        <v>35960.6</v>
      </c>
      <c r="O23" s="22">
        <v>4.5</v>
      </c>
    </row>
    <row r="24" spans="1:15" ht="42" thickBot="1" x14ac:dyDescent="0.3">
      <c r="A24" s="22" t="s">
        <v>2857</v>
      </c>
      <c r="B24" s="22">
        <v>14100</v>
      </c>
      <c r="C24" s="22">
        <v>14795.45</v>
      </c>
      <c r="D24" s="22">
        <v>1.05</v>
      </c>
      <c r="E24" s="22">
        <v>7.3000000000000001E-3</v>
      </c>
      <c r="F24" s="22">
        <v>25341.79</v>
      </c>
      <c r="G24" s="22">
        <v>1.8</v>
      </c>
      <c r="I24" s="22">
        <v>23</v>
      </c>
      <c r="J24" s="22" t="s">
        <v>2917</v>
      </c>
      <c r="K24" s="22">
        <v>144692</v>
      </c>
      <c r="L24" s="22">
        <v>4.82</v>
      </c>
      <c r="M24" s="22">
        <v>7.1800000000000003E-2</v>
      </c>
      <c r="N24" s="22">
        <v>158011</v>
      </c>
      <c r="O24" s="22">
        <v>5.27</v>
      </c>
    </row>
    <row r="25" spans="1:15" ht="28.2" thickBot="1" x14ac:dyDescent="0.3">
      <c r="A25" s="22" t="s">
        <v>3276</v>
      </c>
      <c r="B25" s="22">
        <v>575</v>
      </c>
      <c r="C25" s="22">
        <v>595.77</v>
      </c>
      <c r="D25" s="22">
        <v>1.04</v>
      </c>
      <c r="E25" s="22">
        <v>2.9999999999999997E-4</v>
      </c>
      <c r="F25" s="22">
        <v>683</v>
      </c>
      <c r="G25" s="22">
        <v>1.19</v>
      </c>
      <c r="I25" s="22">
        <v>24</v>
      </c>
      <c r="J25" s="22" t="s">
        <v>2918</v>
      </c>
      <c r="K25" s="22" t="s">
        <v>2908</v>
      </c>
      <c r="L25" s="22" t="s">
        <v>2908</v>
      </c>
      <c r="M25" s="22" t="s">
        <v>2908</v>
      </c>
      <c r="N25" s="22" t="s">
        <v>2908</v>
      </c>
      <c r="O25" s="22" t="s">
        <v>2908</v>
      </c>
    </row>
    <row r="26" spans="1:15" ht="28.2" thickBot="1" x14ac:dyDescent="0.3">
      <c r="A26" s="22" t="s">
        <v>5112</v>
      </c>
      <c r="B26" s="22">
        <v>250</v>
      </c>
      <c r="C26" s="22">
        <v>234.1</v>
      </c>
      <c r="D26" s="22">
        <v>0.94</v>
      </c>
      <c r="E26" s="22">
        <v>1E-4</v>
      </c>
      <c r="F26" s="22">
        <v>264.64999999999998</v>
      </c>
      <c r="G26" s="22">
        <v>1.06</v>
      </c>
      <c r="I26" s="22">
        <v>25</v>
      </c>
      <c r="J26" s="22" t="s">
        <v>2179</v>
      </c>
      <c r="K26" s="22">
        <v>359.5</v>
      </c>
      <c r="L26" s="22">
        <v>0.45</v>
      </c>
      <c r="M26" s="22">
        <v>2.0000000000000001E-4</v>
      </c>
      <c r="N26" s="22">
        <v>445.34</v>
      </c>
      <c r="O26" s="22">
        <v>0.56000000000000005</v>
      </c>
    </row>
    <row r="27" spans="1:15" ht="28.2" thickBot="1" x14ac:dyDescent="0.3">
      <c r="A27" s="22" t="s">
        <v>5105</v>
      </c>
      <c r="B27" s="22">
        <v>650</v>
      </c>
      <c r="C27" s="22">
        <v>532.83000000000004</v>
      </c>
      <c r="D27" s="22">
        <v>0.82</v>
      </c>
      <c r="E27" s="22">
        <v>2.9999999999999997E-4</v>
      </c>
      <c r="F27" s="22">
        <v>653.66</v>
      </c>
      <c r="G27" s="22">
        <v>1.01</v>
      </c>
      <c r="I27" s="22">
        <v>26</v>
      </c>
      <c r="J27" s="22" t="s">
        <v>2943</v>
      </c>
      <c r="K27" s="22">
        <v>347476</v>
      </c>
      <c r="L27" s="22">
        <v>1.1399999999999999</v>
      </c>
      <c r="M27" s="22">
        <v>0.1724</v>
      </c>
      <c r="N27" s="22">
        <v>397035</v>
      </c>
      <c r="O27" s="22">
        <v>1.3</v>
      </c>
    </row>
    <row r="28" spans="1:15" ht="42" thickBot="1" x14ac:dyDescent="0.3">
      <c r="A28" s="22" t="s">
        <v>2365</v>
      </c>
      <c r="B28" s="22">
        <v>1500</v>
      </c>
      <c r="C28" s="22">
        <v>970.53</v>
      </c>
      <c r="D28" s="22">
        <v>0.65</v>
      </c>
      <c r="E28" s="22">
        <v>5.0000000000000001E-4</v>
      </c>
      <c r="F28" s="22">
        <v>1194.25</v>
      </c>
      <c r="G28" s="22">
        <v>0.8</v>
      </c>
      <c r="I28" s="22">
        <v>27</v>
      </c>
      <c r="J28" s="22" t="s">
        <v>4830</v>
      </c>
      <c r="K28" s="22">
        <v>43928.03</v>
      </c>
      <c r="L28" s="22">
        <v>1.1000000000000001</v>
      </c>
      <c r="M28" s="22">
        <v>2.18E-2</v>
      </c>
      <c r="N28" s="22">
        <v>5502.04</v>
      </c>
      <c r="O28" s="22">
        <v>0.14000000000000001</v>
      </c>
    </row>
    <row r="29" spans="1:15" ht="14.4" thickBot="1" x14ac:dyDescent="0.3">
      <c r="A29" s="22" t="s">
        <v>2179</v>
      </c>
      <c r="B29" s="22">
        <v>800</v>
      </c>
      <c r="C29" s="22">
        <v>359.5</v>
      </c>
      <c r="D29" s="22">
        <v>0.45</v>
      </c>
      <c r="E29" s="22">
        <v>2.0000000000000001E-4</v>
      </c>
      <c r="F29" s="22">
        <v>445.34</v>
      </c>
      <c r="G29" s="22">
        <v>0.56000000000000005</v>
      </c>
      <c r="I29" s="22">
        <v>28</v>
      </c>
      <c r="J29" s="22" t="s">
        <v>2024</v>
      </c>
      <c r="K29" s="22" t="s">
        <v>2908</v>
      </c>
      <c r="L29" s="22" t="s">
        <v>2908</v>
      </c>
      <c r="M29" s="22" t="s">
        <v>2908</v>
      </c>
      <c r="N29" s="22" t="s">
        <v>2908</v>
      </c>
      <c r="O29" s="22" t="s">
        <v>2908</v>
      </c>
    </row>
    <row r="30" spans="1:15" ht="14.4" thickBot="1" x14ac:dyDescent="0.3">
      <c r="A30" s="22" t="s">
        <v>2025</v>
      </c>
      <c r="B30" s="22">
        <v>150000</v>
      </c>
      <c r="C30" s="22">
        <v>34206.699999999997</v>
      </c>
      <c r="D30" s="22">
        <v>0.23</v>
      </c>
      <c r="E30" s="22">
        <v>1.7000000000000001E-2</v>
      </c>
      <c r="F30" s="22">
        <v>36155.360000000001</v>
      </c>
      <c r="G30" s="22">
        <v>0.24</v>
      </c>
      <c r="I30" s="22">
        <v>29</v>
      </c>
      <c r="J30" s="22" t="s">
        <v>2892</v>
      </c>
      <c r="K30" s="22" t="s">
        <v>2908</v>
      </c>
      <c r="L30" s="22" t="s">
        <v>2908</v>
      </c>
      <c r="M30" s="22" t="s">
        <v>2908</v>
      </c>
      <c r="N30" s="22" t="s">
        <v>2908</v>
      </c>
      <c r="O30" s="22" t="s">
        <v>2908</v>
      </c>
    </row>
    <row r="31" spans="1:15" ht="28.2" thickBot="1" x14ac:dyDescent="0.3">
      <c r="A31" s="22" t="s">
        <v>3304</v>
      </c>
      <c r="B31" s="22">
        <v>440</v>
      </c>
      <c r="C31" s="22">
        <v>72.959999999999994</v>
      </c>
      <c r="D31" s="22">
        <v>0.17</v>
      </c>
      <c r="E31" s="22">
        <v>0</v>
      </c>
      <c r="F31" s="22">
        <v>72.06</v>
      </c>
      <c r="G31" s="22">
        <v>0.16</v>
      </c>
      <c r="I31" s="22">
        <v>30</v>
      </c>
      <c r="J31" s="22" t="s">
        <v>2021</v>
      </c>
      <c r="K31" s="22" t="s">
        <v>2908</v>
      </c>
      <c r="L31" s="22" t="s">
        <v>2908</v>
      </c>
      <c r="M31" s="22" t="s">
        <v>2908</v>
      </c>
      <c r="N31" s="22" t="s">
        <v>2908</v>
      </c>
      <c r="O31" s="22" t="s">
        <v>2908</v>
      </c>
    </row>
    <row r="32" spans="1:15" ht="14.4" thickBot="1" x14ac:dyDescent="0.3">
      <c r="A32" s="22" t="s">
        <v>2382</v>
      </c>
      <c r="B32" s="22">
        <v>1200</v>
      </c>
      <c r="C32" s="22">
        <v>168.05</v>
      </c>
      <c r="D32" s="22">
        <v>0.14000000000000001</v>
      </c>
      <c r="E32" s="22">
        <v>1E-4</v>
      </c>
      <c r="F32" s="22">
        <v>327.82</v>
      </c>
      <c r="G32" s="22">
        <v>0.27</v>
      </c>
      <c r="I32" s="22">
        <v>31</v>
      </c>
      <c r="J32" s="22" t="s">
        <v>2174</v>
      </c>
      <c r="K32" s="22" t="s">
        <v>2908</v>
      </c>
      <c r="L32" s="22" t="s">
        <v>2908</v>
      </c>
      <c r="M32" s="22" t="s">
        <v>2908</v>
      </c>
      <c r="N32" s="22" t="s">
        <v>2908</v>
      </c>
      <c r="O32" s="22" t="s">
        <v>2908</v>
      </c>
    </row>
    <row r="33" spans="1:15" ht="28.2" thickBot="1" x14ac:dyDescent="0.3">
      <c r="A33" s="22" t="s">
        <v>3309</v>
      </c>
      <c r="B33" s="22">
        <v>440</v>
      </c>
      <c r="C33" s="22">
        <v>55.02</v>
      </c>
      <c r="D33" s="22">
        <v>0.13</v>
      </c>
      <c r="E33" s="22">
        <v>0</v>
      </c>
      <c r="F33" s="22">
        <v>24.28</v>
      </c>
      <c r="G33" s="22">
        <v>0.06</v>
      </c>
      <c r="I33" s="22">
        <v>32</v>
      </c>
      <c r="J33" s="22" t="s">
        <v>2180</v>
      </c>
      <c r="K33" s="22" t="s">
        <v>2908</v>
      </c>
      <c r="L33" s="22" t="s">
        <v>2908</v>
      </c>
      <c r="M33" s="22" t="s">
        <v>2908</v>
      </c>
      <c r="N33" s="22" t="s">
        <v>2908</v>
      </c>
      <c r="O33" s="22" t="s">
        <v>2908</v>
      </c>
    </row>
    <row r="34" spans="1:15" ht="14.4" thickBot="1" x14ac:dyDescent="0.3">
      <c r="A34" s="22" t="s">
        <v>2964</v>
      </c>
      <c r="B34" s="22">
        <v>10000</v>
      </c>
      <c r="C34" s="22">
        <v>555.66</v>
      </c>
      <c r="D34" s="22">
        <v>0.06</v>
      </c>
      <c r="E34" s="22">
        <v>2.9999999999999997E-4</v>
      </c>
      <c r="F34" s="22">
        <v>664.39</v>
      </c>
      <c r="G34" s="22">
        <v>7.0000000000000007E-2</v>
      </c>
      <c r="I34" s="22">
        <v>33</v>
      </c>
      <c r="J34" s="22" t="s">
        <v>2020</v>
      </c>
      <c r="K34" s="22" t="s">
        <v>2908</v>
      </c>
      <c r="L34" s="22" t="s">
        <v>2908</v>
      </c>
      <c r="M34" s="22" t="s">
        <v>2908</v>
      </c>
      <c r="N34" s="22" t="s">
        <v>2908</v>
      </c>
      <c r="O34" s="22" t="s">
        <v>2908</v>
      </c>
    </row>
    <row r="35" spans="1:15" ht="14.4" thickBot="1" x14ac:dyDescent="0.3">
      <c r="A35" s="22" t="s">
        <v>2904</v>
      </c>
      <c r="B35" s="22">
        <v>5900</v>
      </c>
      <c r="C35" s="22">
        <v>244.43</v>
      </c>
      <c r="D35" s="22">
        <v>0.04</v>
      </c>
      <c r="E35" s="22">
        <v>1E-4</v>
      </c>
      <c r="F35" s="22">
        <v>155.94999999999999</v>
      </c>
      <c r="G35" s="22">
        <v>0.03</v>
      </c>
      <c r="I35" s="22">
        <v>34</v>
      </c>
      <c r="J35" s="22" t="s">
        <v>2177</v>
      </c>
      <c r="K35" s="22" t="s">
        <v>2908</v>
      </c>
      <c r="L35" s="22" t="s">
        <v>2908</v>
      </c>
      <c r="M35" s="22" t="s">
        <v>2908</v>
      </c>
      <c r="N35" s="22" t="s">
        <v>2908</v>
      </c>
      <c r="O35" s="22" t="s">
        <v>2908</v>
      </c>
    </row>
    <row r="36" spans="1:15" ht="28.2" thickBot="1" x14ac:dyDescent="0.3">
      <c r="A36" s="22" t="s">
        <v>2927</v>
      </c>
      <c r="B36" s="22">
        <v>1800</v>
      </c>
      <c r="C36" s="22">
        <v>9.4499999999999993</v>
      </c>
      <c r="D36" s="22">
        <v>0.01</v>
      </c>
      <c r="E36" s="22">
        <v>0</v>
      </c>
      <c r="F36" s="22">
        <v>486.19</v>
      </c>
      <c r="G36" s="22">
        <v>0.27</v>
      </c>
      <c r="I36" s="22">
        <v>35</v>
      </c>
      <c r="J36" s="22" t="s">
        <v>2175</v>
      </c>
      <c r="K36" s="22" t="s">
        <v>2908</v>
      </c>
      <c r="L36" s="22" t="s">
        <v>2908</v>
      </c>
      <c r="M36" s="22" t="s">
        <v>2908</v>
      </c>
      <c r="N36" s="22" t="s">
        <v>2908</v>
      </c>
      <c r="O36" s="22" t="s">
        <v>2908</v>
      </c>
    </row>
    <row r="37" spans="1:15" ht="28.2" thickBot="1" x14ac:dyDescent="0.3">
      <c r="A37" s="22" t="s">
        <v>2958</v>
      </c>
      <c r="B37" s="22">
        <v>200000</v>
      </c>
      <c r="C37" s="22">
        <v>990.09</v>
      </c>
      <c r="D37" s="22">
        <v>0</v>
      </c>
      <c r="E37" s="22">
        <v>5.0000000000000001E-4</v>
      </c>
      <c r="F37" s="22">
        <v>963.06</v>
      </c>
      <c r="G37" s="22">
        <v>0</v>
      </c>
      <c r="I37" s="22">
        <v>36</v>
      </c>
      <c r="J37" s="22" t="s">
        <v>2026</v>
      </c>
      <c r="K37" s="22" t="s">
        <v>2908</v>
      </c>
      <c r="L37" s="22" t="s">
        <v>2908</v>
      </c>
      <c r="M37" s="22" t="s">
        <v>2908</v>
      </c>
      <c r="N37" s="22" t="s">
        <v>2908</v>
      </c>
      <c r="O37" s="22" t="s">
        <v>2908</v>
      </c>
    </row>
    <row r="38" spans="1:15" ht="28.2" thickBot="1" x14ac:dyDescent="0.3">
      <c r="A38" s="22" t="s">
        <v>4969</v>
      </c>
      <c r="B38" s="22">
        <v>1200000</v>
      </c>
      <c r="C38" s="22">
        <v>3292.66</v>
      </c>
      <c r="D38" s="22">
        <v>0</v>
      </c>
      <c r="E38" s="22">
        <v>1.6000000000000001E-3</v>
      </c>
      <c r="F38" s="22">
        <v>7270.66</v>
      </c>
      <c r="G38" s="22">
        <v>0.01</v>
      </c>
      <c r="I38" s="22">
        <v>37</v>
      </c>
      <c r="J38" s="22" t="s">
        <v>2920</v>
      </c>
      <c r="K38" s="22" t="s">
        <v>2908</v>
      </c>
      <c r="L38" s="22" t="s">
        <v>2908</v>
      </c>
      <c r="M38" s="22" t="s">
        <v>2908</v>
      </c>
      <c r="N38" s="22" t="s">
        <v>2908</v>
      </c>
      <c r="O38" s="22" t="s">
        <v>2908</v>
      </c>
    </row>
    <row r="39" spans="1:15" ht="28.2" thickBot="1" x14ac:dyDescent="0.3">
      <c r="A39" s="22" t="s">
        <v>4933</v>
      </c>
      <c r="B39" s="22" t="s">
        <v>29</v>
      </c>
      <c r="C39" s="22">
        <v>3818.1</v>
      </c>
      <c r="D39" s="22" t="s">
        <v>29</v>
      </c>
      <c r="E39" s="22">
        <v>1.9E-3</v>
      </c>
      <c r="F39" s="22">
        <v>4110.58</v>
      </c>
      <c r="G39" s="22" t="s">
        <v>29</v>
      </c>
      <c r="I39" s="22">
        <v>38</v>
      </c>
      <c r="J39" s="22" t="s">
        <v>2320</v>
      </c>
      <c r="K39" s="22">
        <v>185454</v>
      </c>
      <c r="L39" s="22">
        <v>370.91</v>
      </c>
      <c r="M39" s="22">
        <v>9.1999999999999998E-2</v>
      </c>
      <c r="N39" s="22">
        <v>187976</v>
      </c>
      <c r="O39" s="22">
        <v>375.95</v>
      </c>
    </row>
    <row r="40" spans="1:15" ht="14.4" thickBot="1" x14ac:dyDescent="0.3">
      <c r="A40" s="22" t="s">
        <v>2948</v>
      </c>
      <c r="B40" s="22">
        <v>2000</v>
      </c>
      <c r="C40" s="22" t="s">
        <v>152</v>
      </c>
      <c r="D40" s="22" t="s">
        <v>29</v>
      </c>
      <c r="E40" s="22" t="s">
        <v>29</v>
      </c>
      <c r="F40" s="22">
        <v>74.72</v>
      </c>
      <c r="G40" s="22">
        <v>0.04</v>
      </c>
      <c r="I40" s="22">
        <v>39</v>
      </c>
      <c r="J40" s="22" t="s">
        <v>2857</v>
      </c>
      <c r="K40" s="22">
        <v>14795.45</v>
      </c>
      <c r="L40" s="22">
        <v>1.05</v>
      </c>
      <c r="M40" s="22">
        <v>7.3000000000000001E-3</v>
      </c>
      <c r="N40" s="22">
        <v>25341.79</v>
      </c>
      <c r="O40" s="22">
        <v>1.8</v>
      </c>
    </row>
    <row r="41" spans="1:15" ht="42" thickBot="1" x14ac:dyDescent="0.3">
      <c r="A41" s="22" t="s">
        <v>5131</v>
      </c>
      <c r="B41" s="22" t="s">
        <v>29</v>
      </c>
      <c r="C41" s="22">
        <v>519.46</v>
      </c>
      <c r="D41" s="22" t="s">
        <v>29</v>
      </c>
      <c r="E41" s="22">
        <v>2.9999999999999997E-4</v>
      </c>
      <c r="F41" s="22">
        <v>591.5</v>
      </c>
      <c r="G41" s="22" t="s">
        <v>29</v>
      </c>
      <c r="I41" s="22">
        <v>40</v>
      </c>
      <c r="J41" s="22" t="s">
        <v>3158</v>
      </c>
      <c r="K41" s="22">
        <v>115006</v>
      </c>
      <c r="L41" s="22">
        <v>2300.12</v>
      </c>
      <c r="M41" s="22">
        <v>5.7099999999999998E-2</v>
      </c>
      <c r="N41" s="22">
        <v>170082</v>
      </c>
      <c r="O41" s="22">
        <v>3401.64</v>
      </c>
    </row>
    <row r="42" spans="1:15" ht="28.2" thickBot="1" x14ac:dyDescent="0.3">
      <c r="I42" s="22">
        <v>41</v>
      </c>
      <c r="J42" s="22" t="s">
        <v>2922</v>
      </c>
      <c r="K42" s="22" t="s">
        <v>2908</v>
      </c>
      <c r="L42" s="22" t="s">
        <v>2908</v>
      </c>
      <c r="M42" s="22" t="s">
        <v>2908</v>
      </c>
      <c r="N42" s="22" t="s">
        <v>2908</v>
      </c>
      <c r="O42" s="22" t="s">
        <v>2908</v>
      </c>
    </row>
    <row r="43" spans="1:15" ht="14.4" thickBot="1" x14ac:dyDescent="0.3">
      <c r="I43" s="22">
        <v>42</v>
      </c>
      <c r="J43" s="22" t="s">
        <v>2341</v>
      </c>
      <c r="K43" s="22" t="s">
        <v>2908</v>
      </c>
      <c r="L43" s="22" t="s">
        <v>2908</v>
      </c>
      <c r="M43" s="22" t="s">
        <v>2908</v>
      </c>
      <c r="N43" s="22" t="s">
        <v>2908</v>
      </c>
      <c r="O43" s="22" t="s">
        <v>2908</v>
      </c>
    </row>
    <row r="44" spans="1:15" ht="28.2" thickBot="1" x14ac:dyDescent="0.3">
      <c r="I44" s="22">
        <v>43</v>
      </c>
      <c r="J44" s="22" t="s">
        <v>2161</v>
      </c>
      <c r="K44" s="22" t="s">
        <v>2908</v>
      </c>
      <c r="L44" s="22" t="s">
        <v>2908</v>
      </c>
      <c r="M44" s="22" t="s">
        <v>2908</v>
      </c>
      <c r="N44" s="22" t="s">
        <v>2908</v>
      </c>
      <c r="O44" s="22" t="s">
        <v>2908</v>
      </c>
    </row>
    <row r="45" spans="1:15" ht="42" thickBot="1" x14ac:dyDescent="0.3">
      <c r="I45" s="22">
        <v>44</v>
      </c>
      <c r="J45" s="22" t="s">
        <v>2923</v>
      </c>
      <c r="K45" s="22" t="s">
        <v>2908</v>
      </c>
      <c r="L45" s="22" t="s">
        <v>2908</v>
      </c>
      <c r="M45" s="22" t="s">
        <v>2908</v>
      </c>
      <c r="N45" s="22" t="s">
        <v>2908</v>
      </c>
      <c r="O45" s="22" t="s">
        <v>2908</v>
      </c>
    </row>
    <row r="46" spans="1:15" ht="42" thickBot="1" x14ac:dyDescent="0.3">
      <c r="I46" s="22">
        <v>45</v>
      </c>
      <c r="J46" s="22" t="s">
        <v>2924</v>
      </c>
      <c r="K46" s="22" t="s">
        <v>2908</v>
      </c>
      <c r="L46" s="22" t="s">
        <v>2908</v>
      </c>
      <c r="M46" s="22" t="s">
        <v>2908</v>
      </c>
      <c r="N46" s="22" t="s">
        <v>2908</v>
      </c>
      <c r="O46" s="22" t="s">
        <v>2908</v>
      </c>
    </row>
    <row r="47" spans="1:15" ht="42" thickBot="1" x14ac:dyDescent="0.3">
      <c r="I47" s="22">
        <v>46</v>
      </c>
      <c r="J47" s="22" t="s">
        <v>2925</v>
      </c>
      <c r="K47" s="22" t="s">
        <v>2908</v>
      </c>
      <c r="L47" s="22" t="s">
        <v>2908</v>
      </c>
      <c r="M47" s="22" t="s">
        <v>2908</v>
      </c>
      <c r="N47" s="22" t="s">
        <v>2908</v>
      </c>
      <c r="O47" s="22" t="s">
        <v>2908</v>
      </c>
    </row>
    <row r="48" spans="1:15" ht="28.2" thickBot="1" x14ac:dyDescent="0.3">
      <c r="I48" s="22">
        <v>47</v>
      </c>
      <c r="J48" s="22" t="s">
        <v>3159</v>
      </c>
      <c r="K48" s="22" t="s">
        <v>2908</v>
      </c>
      <c r="L48" s="22" t="s">
        <v>2908</v>
      </c>
      <c r="M48" s="22" t="s">
        <v>2908</v>
      </c>
      <c r="N48" s="22" t="s">
        <v>2908</v>
      </c>
      <c r="O48" s="22" t="s">
        <v>2908</v>
      </c>
    </row>
    <row r="49" spans="9:15" ht="14.4" thickBot="1" x14ac:dyDescent="0.3">
      <c r="I49" s="22">
        <v>48</v>
      </c>
      <c r="J49" s="22" t="s">
        <v>2878</v>
      </c>
      <c r="K49" s="22" t="s">
        <v>2908</v>
      </c>
      <c r="L49" s="22" t="s">
        <v>2908</v>
      </c>
      <c r="M49" s="22" t="s">
        <v>2908</v>
      </c>
      <c r="N49" s="22" t="s">
        <v>2908</v>
      </c>
      <c r="O49" s="22" t="s">
        <v>2908</v>
      </c>
    </row>
    <row r="50" spans="9:15" ht="14.4" thickBot="1" x14ac:dyDescent="0.3">
      <c r="I50" s="22">
        <v>49</v>
      </c>
      <c r="J50" s="22" t="s">
        <v>2927</v>
      </c>
      <c r="K50" s="22">
        <v>9.4499999999999993</v>
      </c>
      <c r="L50" s="22">
        <v>0.01</v>
      </c>
      <c r="M50" s="22">
        <v>0</v>
      </c>
      <c r="N50" s="22">
        <v>486.19</v>
      </c>
      <c r="O50" s="22">
        <v>0.27</v>
      </c>
    </row>
    <row r="51" spans="9:15" ht="28.2" thickBot="1" x14ac:dyDescent="0.3">
      <c r="I51" s="22">
        <v>50</v>
      </c>
      <c r="J51" s="22" t="s">
        <v>2164</v>
      </c>
      <c r="K51" s="22" t="s">
        <v>2908</v>
      </c>
      <c r="L51" s="22" t="s">
        <v>2908</v>
      </c>
      <c r="M51" s="22" t="s">
        <v>2908</v>
      </c>
      <c r="N51" s="22" t="s">
        <v>2908</v>
      </c>
      <c r="O51" s="22" t="s">
        <v>2908</v>
      </c>
    </row>
    <row r="52" spans="9:15" ht="69.599999999999994" thickBot="1" x14ac:dyDescent="0.3">
      <c r="I52" s="22">
        <v>51</v>
      </c>
      <c r="J52" s="22" t="s">
        <v>6240</v>
      </c>
      <c r="K52" s="22">
        <v>498.33</v>
      </c>
      <c r="L52" s="22">
        <v>166.11</v>
      </c>
      <c r="M52" s="22">
        <v>2.0000000000000001E-4</v>
      </c>
      <c r="N52" s="22">
        <v>518.24</v>
      </c>
      <c r="O52" s="22">
        <v>172.75</v>
      </c>
    </row>
    <row r="53" spans="9:15" ht="42" thickBot="1" x14ac:dyDescent="0.3">
      <c r="I53" s="22">
        <v>52</v>
      </c>
      <c r="J53" s="22" t="s">
        <v>5177</v>
      </c>
      <c r="K53" s="22">
        <v>72.959999999999994</v>
      </c>
      <c r="L53" s="22">
        <v>0.17</v>
      </c>
      <c r="M53" s="22">
        <v>0</v>
      </c>
      <c r="N53" s="22">
        <v>72.06</v>
      </c>
      <c r="O53" s="22">
        <v>0.16</v>
      </c>
    </row>
    <row r="54" spans="9:15" ht="14.4" thickBot="1" x14ac:dyDescent="0.3">
      <c r="I54" s="22">
        <v>53</v>
      </c>
      <c r="J54" s="22" t="s">
        <v>3819</v>
      </c>
      <c r="K54" s="22" t="s">
        <v>2908</v>
      </c>
      <c r="L54" s="22" t="s">
        <v>2908</v>
      </c>
      <c r="M54" s="22" t="s">
        <v>2908</v>
      </c>
      <c r="N54" s="22" t="s">
        <v>2908</v>
      </c>
      <c r="O54" s="22" t="s">
        <v>2908</v>
      </c>
    </row>
    <row r="55" spans="9:15" ht="55.8" thickBot="1" x14ac:dyDescent="0.3">
      <c r="I55" s="22">
        <v>54</v>
      </c>
      <c r="J55" s="22" t="s">
        <v>5468</v>
      </c>
      <c r="K55" s="22">
        <v>234.1</v>
      </c>
      <c r="L55" s="22">
        <v>0.94</v>
      </c>
      <c r="M55" s="22">
        <v>1E-4</v>
      </c>
      <c r="N55" s="22">
        <v>264.64999999999998</v>
      </c>
      <c r="O55" s="22">
        <v>1.06</v>
      </c>
    </row>
    <row r="56" spans="9:15" ht="28.2" thickBot="1" x14ac:dyDescent="0.3">
      <c r="I56" s="22">
        <v>55</v>
      </c>
      <c r="J56" s="22" t="s">
        <v>2183</v>
      </c>
      <c r="K56" s="22" t="s">
        <v>2908</v>
      </c>
      <c r="L56" s="22" t="s">
        <v>2908</v>
      </c>
      <c r="M56" s="22" t="s">
        <v>2908</v>
      </c>
      <c r="N56" s="22" t="s">
        <v>2908</v>
      </c>
      <c r="O56" s="22" t="s">
        <v>2908</v>
      </c>
    </row>
    <row r="57" spans="9:15" ht="42" thickBot="1" x14ac:dyDescent="0.3">
      <c r="I57" s="22">
        <v>56</v>
      </c>
      <c r="J57" s="22" t="s">
        <v>6241</v>
      </c>
      <c r="K57" s="22">
        <v>10149.08</v>
      </c>
      <c r="L57" s="22">
        <v>5.64</v>
      </c>
      <c r="M57" s="22">
        <v>5.0000000000000001E-3</v>
      </c>
      <c r="N57" s="22">
        <v>13828.86</v>
      </c>
      <c r="O57" s="22">
        <v>7.68</v>
      </c>
    </row>
    <row r="58" spans="9:15" ht="14.4" thickBot="1" x14ac:dyDescent="0.3">
      <c r="I58" s="22">
        <v>57</v>
      </c>
      <c r="J58" s="22" t="s">
        <v>2930</v>
      </c>
      <c r="K58" s="22" t="s">
        <v>2908</v>
      </c>
      <c r="L58" s="22" t="s">
        <v>2908</v>
      </c>
      <c r="M58" s="22" t="s">
        <v>2908</v>
      </c>
      <c r="N58" s="22" t="s">
        <v>2908</v>
      </c>
      <c r="O58" s="22" t="s">
        <v>2908</v>
      </c>
    </row>
    <row r="59" spans="9:15" ht="14.4" thickBot="1" x14ac:dyDescent="0.3">
      <c r="I59" s="22">
        <v>58</v>
      </c>
      <c r="J59" s="22" t="s">
        <v>2331</v>
      </c>
      <c r="K59" s="22" t="s">
        <v>2908</v>
      </c>
      <c r="L59" s="22" t="s">
        <v>2908</v>
      </c>
      <c r="M59" s="22" t="s">
        <v>2908</v>
      </c>
      <c r="N59" s="22" t="s">
        <v>2908</v>
      </c>
      <c r="O59" s="22" t="s">
        <v>2908</v>
      </c>
    </row>
    <row r="60" spans="9:15" ht="28.2" thickBot="1" x14ac:dyDescent="0.3">
      <c r="I60" s="22">
        <v>59</v>
      </c>
      <c r="J60" s="22" t="s">
        <v>2337</v>
      </c>
      <c r="K60" s="22" t="s">
        <v>2908</v>
      </c>
      <c r="L60" s="22" t="s">
        <v>2908</v>
      </c>
      <c r="M60" s="22" t="s">
        <v>2908</v>
      </c>
      <c r="N60" s="22" t="s">
        <v>2908</v>
      </c>
      <c r="O60" s="22" t="s">
        <v>2908</v>
      </c>
    </row>
    <row r="61" spans="9:15" ht="14.4" thickBot="1" x14ac:dyDescent="0.3">
      <c r="I61" s="22">
        <v>60</v>
      </c>
      <c r="J61" s="22" t="s">
        <v>2365</v>
      </c>
      <c r="K61" s="22">
        <v>970.53</v>
      </c>
      <c r="L61" s="22">
        <v>0.65</v>
      </c>
      <c r="M61" s="22">
        <v>5.0000000000000001E-4</v>
      </c>
      <c r="N61" s="22">
        <v>1194.25</v>
      </c>
      <c r="O61" s="22">
        <v>0.8</v>
      </c>
    </row>
    <row r="62" spans="9:15" ht="14.4" thickBot="1" x14ac:dyDescent="0.3">
      <c r="I62" s="22">
        <v>61</v>
      </c>
      <c r="J62" s="22" t="s">
        <v>2186</v>
      </c>
      <c r="K62" s="22">
        <v>995.32</v>
      </c>
      <c r="L62" s="22">
        <v>4.9800000000000004</v>
      </c>
      <c r="M62" s="22">
        <v>5.0000000000000001E-4</v>
      </c>
      <c r="N62" s="22">
        <v>3556.22</v>
      </c>
      <c r="O62" s="22">
        <v>17.78</v>
      </c>
    </row>
    <row r="63" spans="9:15" ht="14.4" thickBot="1" x14ac:dyDescent="0.3">
      <c r="I63" s="22">
        <v>62</v>
      </c>
      <c r="J63" s="22" t="s">
        <v>2382</v>
      </c>
      <c r="K63" s="22">
        <v>168.05</v>
      </c>
      <c r="L63" s="22">
        <v>0.14000000000000001</v>
      </c>
      <c r="M63" s="22">
        <v>1E-4</v>
      </c>
      <c r="N63" s="22">
        <v>327.82</v>
      </c>
      <c r="O63" s="22">
        <v>0.27</v>
      </c>
    </row>
    <row r="64" spans="9:15" ht="55.8" thickBot="1" x14ac:dyDescent="0.3">
      <c r="I64" s="22">
        <v>63</v>
      </c>
      <c r="J64" s="22" t="s">
        <v>6242</v>
      </c>
      <c r="K64" s="22">
        <v>519.46</v>
      </c>
      <c r="L64" s="22" t="s">
        <v>29</v>
      </c>
      <c r="M64" s="22">
        <v>2.9999999999999997E-4</v>
      </c>
      <c r="N64" s="22">
        <v>591.5</v>
      </c>
      <c r="O64" s="22" t="s">
        <v>29</v>
      </c>
    </row>
  </sheetData>
  <phoneticPr fontId="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59F6-3566-479D-A512-4D71B97DB036}">
  <dimension ref="A1:N64"/>
  <sheetViews>
    <sheetView workbookViewId="0">
      <selection activeCell="J2" sqref="J2:N64"/>
    </sheetView>
  </sheetViews>
  <sheetFormatPr defaultRowHeight="13.8" x14ac:dyDescent="0.25"/>
  <sheetData>
    <row r="1" spans="1:14" ht="42" thickBot="1" x14ac:dyDescent="0.3">
      <c r="A1" s="21" t="s">
        <v>2846</v>
      </c>
      <c r="B1" s="21" t="s">
        <v>6244</v>
      </c>
      <c r="C1" s="21" t="s">
        <v>6245</v>
      </c>
      <c r="D1" s="21" t="s">
        <v>6246</v>
      </c>
      <c r="E1" s="21" t="s">
        <v>6247</v>
      </c>
      <c r="F1" s="21" t="s">
        <v>6248</v>
      </c>
      <c r="H1" s="21" t="s">
        <v>2845</v>
      </c>
      <c r="I1" s="21" t="s">
        <v>2906</v>
      </c>
      <c r="J1" s="21" t="s">
        <v>6244</v>
      </c>
      <c r="K1" s="21" t="s">
        <v>6245</v>
      </c>
      <c r="L1" s="21" t="s">
        <v>6246</v>
      </c>
      <c r="M1" s="21" t="s">
        <v>6247</v>
      </c>
      <c r="N1" s="21" t="s">
        <v>6248</v>
      </c>
    </row>
    <row r="2" spans="1:14" ht="28.2" thickBot="1" x14ac:dyDescent="0.3">
      <c r="A2" s="22" t="s">
        <v>2018</v>
      </c>
      <c r="B2" s="22" t="s">
        <v>6252</v>
      </c>
      <c r="C2" s="22" t="s">
        <v>6253</v>
      </c>
      <c r="D2" s="22" t="s">
        <v>6254</v>
      </c>
      <c r="E2" s="22" t="s">
        <v>6255</v>
      </c>
      <c r="F2" s="22" t="s">
        <v>6256</v>
      </c>
      <c r="H2" s="22">
        <v>1</v>
      </c>
      <c r="I2" s="22" t="s">
        <v>2017</v>
      </c>
      <c r="J2" s="22">
        <v>97397.65</v>
      </c>
      <c r="K2" s="22">
        <v>38457.74</v>
      </c>
      <c r="L2" s="22">
        <v>35069.61</v>
      </c>
      <c r="M2" s="22">
        <v>24672.42</v>
      </c>
      <c r="N2" s="22">
        <v>38680.71</v>
      </c>
    </row>
    <row r="3" spans="1:14" ht="42" thickBot="1" x14ac:dyDescent="0.3">
      <c r="A3" s="22" t="s">
        <v>2019</v>
      </c>
      <c r="B3" s="22" t="s">
        <v>6257</v>
      </c>
      <c r="C3" s="22" t="s">
        <v>6258</v>
      </c>
      <c r="D3" s="22" t="s">
        <v>6259</v>
      </c>
      <c r="E3" s="22" t="s">
        <v>6260</v>
      </c>
      <c r="F3" s="22" t="s">
        <v>6261</v>
      </c>
      <c r="H3" s="22">
        <v>2</v>
      </c>
      <c r="I3" s="22" t="s">
        <v>2162</v>
      </c>
      <c r="J3" s="22" t="s">
        <v>2908</v>
      </c>
      <c r="K3" s="22" t="s">
        <v>2908</v>
      </c>
      <c r="L3" s="22" t="s">
        <v>2908</v>
      </c>
      <c r="M3" s="22" t="s">
        <v>2908</v>
      </c>
      <c r="N3" s="22" t="s">
        <v>2908</v>
      </c>
    </row>
    <row r="4" spans="1:14" ht="42" thickBot="1" x14ac:dyDescent="0.3">
      <c r="A4" s="22" t="s">
        <v>2017</v>
      </c>
      <c r="B4" s="22" t="s">
        <v>6262</v>
      </c>
      <c r="C4" s="22" t="s">
        <v>6263</v>
      </c>
      <c r="D4" s="22" t="s">
        <v>6264</v>
      </c>
      <c r="E4" s="22" t="s">
        <v>6265</v>
      </c>
      <c r="F4" s="22" t="s">
        <v>6266</v>
      </c>
      <c r="H4" s="22">
        <v>3</v>
      </c>
      <c r="I4" s="22" t="s">
        <v>2018</v>
      </c>
      <c r="J4" s="22">
        <v>6359.95</v>
      </c>
      <c r="K4" s="22">
        <v>1788.78</v>
      </c>
      <c r="L4" s="22">
        <v>2058.9699999999998</v>
      </c>
      <c r="M4" s="22">
        <v>1305.68</v>
      </c>
      <c r="N4" s="22">
        <v>1153.3900000000001</v>
      </c>
    </row>
    <row r="5" spans="1:14" ht="28.2" thickBot="1" x14ac:dyDescent="0.3">
      <c r="A5" s="22" t="s">
        <v>2365</v>
      </c>
      <c r="B5" s="22" t="s">
        <v>6267</v>
      </c>
      <c r="C5" s="22" t="s">
        <v>6268</v>
      </c>
      <c r="D5" s="22" t="s">
        <v>6269</v>
      </c>
      <c r="E5" s="22" t="s">
        <v>6270</v>
      </c>
      <c r="F5" s="22" t="s">
        <v>6271</v>
      </c>
      <c r="H5" s="22">
        <v>4</v>
      </c>
      <c r="I5" s="22" t="s">
        <v>2022</v>
      </c>
      <c r="J5" s="22" t="s">
        <v>2908</v>
      </c>
      <c r="K5" s="22" t="s">
        <v>2908</v>
      </c>
      <c r="L5" s="22" t="s">
        <v>2908</v>
      </c>
      <c r="M5" s="22" t="s">
        <v>2908</v>
      </c>
      <c r="N5" s="22" t="s">
        <v>2908</v>
      </c>
    </row>
    <row r="6" spans="1:14" ht="42" thickBot="1" x14ac:dyDescent="0.3">
      <c r="A6" s="22" t="s">
        <v>2187</v>
      </c>
      <c r="B6" s="22" t="s">
        <v>6272</v>
      </c>
      <c r="C6" s="22" t="s">
        <v>6273</v>
      </c>
      <c r="D6" s="22" t="s">
        <v>6274</v>
      </c>
      <c r="E6" s="22" t="s">
        <v>6275</v>
      </c>
      <c r="F6" s="22" t="s">
        <v>6276</v>
      </c>
      <c r="H6" s="22">
        <v>5</v>
      </c>
      <c r="I6" s="22" t="s">
        <v>2023</v>
      </c>
      <c r="J6" s="22">
        <v>20461.39</v>
      </c>
      <c r="K6" s="22">
        <v>3568.03</v>
      </c>
      <c r="L6" s="22">
        <v>2306.02</v>
      </c>
      <c r="M6" s="22">
        <v>1990.45</v>
      </c>
      <c r="N6" s="22">
        <v>3520.13</v>
      </c>
    </row>
    <row r="7" spans="1:14" ht="42" thickBot="1" x14ac:dyDescent="0.3">
      <c r="A7" s="22" t="s">
        <v>2178</v>
      </c>
      <c r="B7" s="22" t="s">
        <v>6277</v>
      </c>
      <c r="C7" s="22" t="s">
        <v>6278</v>
      </c>
      <c r="D7" s="22" t="s">
        <v>6279</v>
      </c>
      <c r="E7" s="22" t="s">
        <v>6280</v>
      </c>
      <c r="F7" s="22" t="s">
        <v>6281</v>
      </c>
      <c r="H7" s="22">
        <v>6</v>
      </c>
      <c r="I7" s="22" t="s">
        <v>2019</v>
      </c>
      <c r="J7" s="22">
        <v>14154.7</v>
      </c>
      <c r="K7" s="22">
        <v>2434.67</v>
      </c>
      <c r="L7" s="22">
        <v>2029.81</v>
      </c>
      <c r="M7" s="22">
        <v>1774.81</v>
      </c>
      <c r="N7" s="22">
        <v>1443.09</v>
      </c>
    </row>
    <row r="8" spans="1:14" ht="42" thickBot="1" x14ac:dyDescent="0.3">
      <c r="A8" s="22" t="s">
        <v>2914</v>
      </c>
      <c r="B8" s="22" t="s">
        <v>6282</v>
      </c>
      <c r="C8" s="22" t="s">
        <v>6283</v>
      </c>
      <c r="D8" s="22" t="s">
        <v>6284</v>
      </c>
      <c r="E8" s="22" t="s">
        <v>6285</v>
      </c>
      <c r="F8" s="22" t="s">
        <v>6286</v>
      </c>
      <c r="H8" s="22">
        <v>7</v>
      </c>
      <c r="I8" s="22" t="s">
        <v>2178</v>
      </c>
      <c r="J8" s="22">
        <v>28018.32</v>
      </c>
      <c r="K8" s="22">
        <v>3320.56</v>
      </c>
      <c r="L8" s="22">
        <v>2580.27</v>
      </c>
      <c r="M8" s="22">
        <v>1637.67</v>
      </c>
      <c r="N8" s="22">
        <v>3432.57</v>
      </c>
    </row>
    <row r="9" spans="1:14" ht="42" thickBot="1" x14ac:dyDescent="0.3">
      <c r="A9" s="22" t="s">
        <v>2023</v>
      </c>
      <c r="B9" s="22" t="s">
        <v>6287</v>
      </c>
      <c r="C9" s="22" t="s">
        <v>6288</v>
      </c>
      <c r="D9" s="22" t="s">
        <v>6289</v>
      </c>
      <c r="E9" s="22" t="s">
        <v>6290</v>
      </c>
      <c r="F9" s="22" t="s">
        <v>6291</v>
      </c>
      <c r="H9" s="22">
        <v>8</v>
      </c>
      <c r="I9" s="22" t="s">
        <v>2898</v>
      </c>
      <c r="J9" s="22" t="s">
        <v>2908</v>
      </c>
      <c r="K9" s="22" t="s">
        <v>2908</v>
      </c>
      <c r="L9" s="22" t="s">
        <v>2908</v>
      </c>
      <c r="M9" s="22" t="s">
        <v>2908</v>
      </c>
      <c r="N9" s="22" t="s">
        <v>2908</v>
      </c>
    </row>
    <row r="10" spans="1:14" ht="42" thickBot="1" x14ac:dyDescent="0.3">
      <c r="A10" s="22" t="s">
        <v>2957</v>
      </c>
      <c r="B10" s="22" t="s">
        <v>6292</v>
      </c>
      <c r="C10" s="22" t="s">
        <v>6293</v>
      </c>
      <c r="D10" s="22" t="s">
        <v>6294</v>
      </c>
      <c r="E10" s="22" t="s">
        <v>6295</v>
      </c>
      <c r="F10" s="22" t="s">
        <v>6296</v>
      </c>
      <c r="H10" s="22">
        <v>9</v>
      </c>
      <c r="I10" s="22" t="s">
        <v>2909</v>
      </c>
      <c r="J10" s="22" t="s">
        <v>2908</v>
      </c>
      <c r="K10" s="22" t="s">
        <v>2908</v>
      </c>
      <c r="L10" s="22" t="s">
        <v>2908</v>
      </c>
      <c r="M10" s="22" t="s">
        <v>2908</v>
      </c>
      <c r="N10" s="22" t="s">
        <v>2908</v>
      </c>
    </row>
    <row r="11" spans="1:14" ht="28.2" thickBot="1" x14ac:dyDescent="0.3">
      <c r="A11" s="22" t="s">
        <v>2382</v>
      </c>
      <c r="B11" s="22" t="s">
        <v>6297</v>
      </c>
      <c r="C11" s="22" t="s">
        <v>6298</v>
      </c>
      <c r="D11" s="22" t="s">
        <v>6299</v>
      </c>
      <c r="E11" s="22" t="s">
        <v>6300</v>
      </c>
      <c r="F11" s="22" t="s">
        <v>6301</v>
      </c>
      <c r="H11" s="22">
        <v>10</v>
      </c>
      <c r="I11" s="22" t="s">
        <v>2166</v>
      </c>
      <c r="J11" s="22" t="s">
        <v>2908</v>
      </c>
      <c r="K11" s="22" t="s">
        <v>2908</v>
      </c>
      <c r="L11" s="22" t="s">
        <v>2908</v>
      </c>
      <c r="M11" s="22" t="s">
        <v>2908</v>
      </c>
      <c r="N11" s="22" t="s">
        <v>2908</v>
      </c>
    </row>
    <row r="12" spans="1:14" ht="42" thickBot="1" x14ac:dyDescent="0.3">
      <c r="A12" s="22" t="s">
        <v>2173</v>
      </c>
      <c r="B12" s="22" t="s">
        <v>6302</v>
      </c>
      <c r="C12" s="22" t="s">
        <v>6303</v>
      </c>
      <c r="D12" s="22" t="s">
        <v>6304</v>
      </c>
      <c r="E12" s="22" t="s">
        <v>6305</v>
      </c>
      <c r="F12" s="22" t="s">
        <v>6306</v>
      </c>
      <c r="H12" s="22">
        <v>11</v>
      </c>
      <c r="I12" s="22" t="s">
        <v>2911</v>
      </c>
      <c r="J12" s="22" t="s">
        <v>2908</v>
      </c>
      <c r="K12" s="22" t="s">
        <v>2908</v>
      </c>
      <c r="L12" s="22" t="s">
        <v>2908</v>
      </c>
      <c r="M12" s="22" t="s">
        <v>2908</v>
      </c>
      <c r="N12" s="22" t="s">
        <v>2908</v>
      </c>
    </row>
    <row r="13" spans="1:14" ht="28.2" thickBot="1" x14ac:dyDescent="0.3">
      <c r="A13" s="22" t="s">
        <v>2186</v>
      </c>
      <c r="B13" s="22" t="s">
        <v>6307</v>
      </c>
      <c r="C13" s="22" t="s">
        <v>6308</v>
      </c>
      <c r="D13" s="22" t="s">
        <v>6309</v>
      </c>
      <c r="E13" s="22" t="s">
        <v>6310</v>
      </c>
      <c r="F13" s="22" t="s">
        <v>6311</v>
      </c>
      <c r="H13" s="22">
        <v>12</v>
      </c>
      <c r="I13" s="22" t="s">
        <v>2957</v>
      </c>
      <c r="J13" s="22">
        <v>2837.43</v>
      </c>
      <c r="K13" s="22">
        <v>420.31</v>
      </c>
      <c r="L13" s="22">
        <v>355.2</v>
      </c>
      <c r="M13" s="22">
        <v>207.51</v>
      </c>
      <c r="N13" s="22">
        <v>543.44000000000005</v>
      </c>
    </row>
    <row r="14" spans="1:14" ht="28.2" thickBot="1" x14ac:dyDescent="0.3">
      <c r="A14" s="22" t="s">
        <v>2028</v>
      </c>
      <c r="B14" s="22" t="s">
        <v>6312</v>
      </c>
      <c r="C14" s="22" t="s">
        <v>6313</v>
      </c>
      <c r="D14" s="22" t="s">
        <v>6314</v>
      </c>
      <c r="E14" s="22" t="s">
        <v>6315</v>
      </c>
      <c r="F14" s="22" t="s">
        <v>6316</v>
      </c>
      <c r="H14" s="22">
        <v>13</v>
      </c>
      <c r="I14" s="22" t="s">
        <v>2913</v>
      </c>
      <c r="J14" s="22" t="s">
        <v>2908</v>
      </c>
      <c r="K14" s="22" t="s">
        <v>2908</v>
      </c>
      <c r="L14" s="22" t="s">
        <v>2908</v>
      </c>
      <c r="M14" s="22" t="s">
        <v>2908</v>
      </c>
      <c r="N14" s="22" t="s">
        <v>2908</v>
      </c>
    </row>
    <row r="15" spans="1:14" ht="28.2" thickBot="1" x14ac:dyDescent="0.3">
      <c r="A15" s="22" t="s">
        <v>2959</v>
      </c>
      <c r="B15" s="22" t="s">
        <v>6317</v>
      </c>
      <c r="C15" s="22" t="s">
        <v>6318</v>
      </c>
      <c r="D15" s="22" t="s">
        <v>6319</v>
      </c>
      <c r="E15" s="22" t="s">
        <v>6320</v>
      </c>
      <c r="F15" s="22" t="s">
        <v>6321</v>
      </c>
      <c r="H15" s="22">
        <v>14</v>
      </c>
      <c r="I15" s="22" t="s">
        <v>2173</v>
      </c>
      <c r="J15" s="22">
        <v>29360.43</v>
      </c>
      <c r="K15" s="22">
        <v>1723.85</v>
      </c>
      <c r="L15" s="22">
        <v>798.25</v>
      </c>
      <c r="M15" s="22">
        <v>466.19</v>
      </c>
      <c r="N15" s="22">
        <v>1295.2</v>
      </c>
    </row>
    <row r="16" spans="1:14" ht="28.2" thickBot="1" x14ac:dyDescent="0.3">
      <c r="A16" s="22" t="s">
        <v>3747</v>
      </c>
      <c r="B16" s="22" t="s">
        <v>6322</v>
      </c>
      <c r="C16" s="22" t="s">
        <v>6323</v>
      </c>
      <c r="D16" s="22" t="s">
        <v>6324</v>
      </c>
      <c r="E16" s="22" t="s">
        <v>6325</v>
      </c>
      <c r="F16" s="22" t="s">
        <v>6326</v>
      </c>
      <c r="H16" s="22">
        <v>15</v>
      </c>
      <c r="I16" s="22" t="s">
        <v>2914</v>
      </c>
      <c r="J16" s="22">
        <v>19690.560000000001</v>
      </c>
      <c r="K16" s="22">
        <v>1911.38</v>
      </c>
      <c r="L16" s="22">
        <v>1433.29</v>
      </c>
      <c r="M16" s="22">
        <v>454.98</v>
      </c>
      <c r="N16" s="22">
        <v>1268.03</v>
      </c>
    </row>
    <row r="17" spans="1:14" ht="55.8" thickBot="1" x14ac:dyDescent="0.3">
      <c r="A17" s="22" t="s">
        <v>2901</v>
      </c>
      <c r="B17" s="22" t="s">
        <v>6327</v>
      </c>
      <c r="C17" s="22" t="s">
        <v>6328</v>
      </c>
      <c r="D17" s="22" t="s">
        <v>6329</v>
      </c>
      <c r="E17" s="22" t="s">
        <v>6330</v>
      </c>
      <c r="F17" s="22" t="s">
        <v>6331</v>
      </c>
      <c r="H17" s="22">
        <v>16</v>
      </c>
      <c r="I17" s="22" t="s">
        <v>6142</v>
      </c>
      <c r="J17" s="22">
        <v>1453.84</v>
      </c>
      <c r="K17" s="22">
        <v>1511.43</v>
      </c>
      <c r="L17" s="22">
        <v>584.02</v>
      </c>
      <c r="M17" s="22">
        <v>815.19</v>
      </c>
      <c r="N17" s="22">
        <v>483.06</v>
      </c>
    </row>
    <row r="18" spans="1:14" ht="28.2" thickBot="1" x14ac:dyDescent="0.3">
      <c r="A18" s="22" t="s">
        <v>2903</v>
      </c>
      <c r="B18" s="22" t="s">
        <v>6332</v>
      </c>
      <c r="C18" s="22" t="s">
        <v>6333</v>
      </c>
      <c r="D18" s="22" t="s">
        <v>6334</v>
      </c>
      <c r="E18" s="22" t="s">
        <v>6335</v>
      </c>
      <c r="F18" s="22" t="s">
        <v>6336</v>
      </c>
      <c r="H18" s="22">
        <v>17</v>
      </c>
      <c r="I18" s="22" t="s">
        <v>2028</v>
      </c>
      <c r="J18" s="22">
        <v>3392.85</v>
      </c>
      <c r="K18" s="22">
        <v>682.71</v>
      </c>
      <c r="L18" s="22">
        <v>321.33</v>
      </c>
      <c r="M18" s="22">
        <v>242.78</v>
      </c>
      <c r="N18" s="22">
        <v>447.77</v>
      </c>
    </row>
    <row r="19" spans="1:14" ht="28.2" thickBot="1" x14ac:dyDescent="0.3">
      <c r="A19" s="22" t="s">
        <v>2318</v>
      </c>
      <c r="B19" s="22" t="s">
        <v>6337</v>
      </c>
      <c r="C19" s="22" t="s">
        <v>6338</v>
      </c>
      <c r="D19" s="22" t="s">
        <v>6339</v>
      </c>
      <c r="E19" s="22" t="s">
        <v>6340</v>
      </c>
      <c r="F19" s="22" t="s">
        <v>6341</v>
      </c>
      <c r="H19" s="22">
        <v>18</v>
      </c>
      <c r="I19" s="22" t="s">
        <v>2915</v>
      </c>
      <c r="J19" s="22" t="s">
        <v>2908</v>
      </c>
      <c r="K19" s="22" t="s">
        <v>2908</v>
      </c>
      <c r="L19" s="22" t="s">
        <v>2908</v>
      </c>
      <c r="M19" s="22" t="s">
        <v>2908</v>
      </c>
      <c r="N19" s="22" t="s">
        <v>2908</v>
      </c>
    </row>
    <row r="20" spans="1:14" ht="28.2" thickBot="1" x14ac:dyDescent="0.3">
      <c r="A20" s="22" t="s">
        <v>6342</v>
      </c>
      <c r="B20" s="22" t="s">
        <v>6343</v>
      </c>
      <c r="C20" s="22" t="s">
        <v>6344</v>
      </c>
      <c r="D20" s="22" t="s">
        <v>6345</v>
      </c>
      <c r="E20" s="22" t="s">
        <v>6346</v>
      </c>
      <c r="F20" s="22" t="s">
        <v>6347</v>
      </c>
      <c r="H20" s="22">
        <v>19</v>
      </c>
      <c r="I20" s="22" t="s">
        <v>2318</v>
      </c>
      <c r="J20" s="22">
        <v>5130.47</v>
      </c>
      <c r="K20" s="22">
        <v>4446.3500000000004</v>
      </c>
      <c r="L20" s="22">
        <v>3071.14</v>
      </c>
      <c r="M20" s="22">
        <v>4608.76</v>
      </c>
      <c r="N20" s="22">
        <v>3111.51</v>
      </c>
    </row>
    <row r="21" spans="1:14" ht="28.2" thickBot="1" x14ac:dyDescent="0.3">
      <c r="A21" s="22" t="s">
        <v>6348</v>
      </c>
      <c r="B21" s="22" t="s">
        <v>6349</v>
      </c>
      <c r="C21" s="22" t="s">
        <v>6350</v>
      </c>
      <c r="D21" s="22" t="s">
        <v>6351</v>
      </c>
      <c r="E21" s="22" t="s">
        <v>6352</v>
      </c>
      <c r="F21" s="22" t="s">
        <v>6353</v>
      </c>
      <c r="H21" s="22">
        <v>20</v>
      </c>
      <c r="I21" s="22" t="s">
        <v>2362</v>
      </c>
      <c r="J21" s="22" t="s">
        <v>2908</v>
      </c>
      <c r="K21" s="22" t="s">
        <v>2908</v>
      </c>
      <c r="L21" s="22" t="s">
        <v>2908</v>
      </c>
      <c r="M21" s="22" t="s">
        <v>2908</v>
      </c>
      <c r="N21" s="22" t="s">
        <v>2908</v>
      </c>
    </row>
    <row r="22" spans="1:14" ht="28.2" thickBot="1" x14ac:dyDescent="0.3">
      <c r="A22" s="22" t="s">
        <v>3247</v>
      </c>
      <c r="B22" s="22" t="s">
        <v>6354</v>
      </c>
      <c r="C22" s="22" t="s">
        <v>6355</v>
      </c>
      <c r="D22" s="22" t="s">
        <v>6356</v>
      </c>
      <c r="E22" s="22" t="s">
        <v>6357</v>
      </c>
      <c r="F22" s="22" t="s">
        <v>6358</v>
      </c>
      <c r="H22" s="22">
        <v>21</v>
      </c>
      <c r="I22" s="22" t="s">
        <v>2942</v>
      </c>
      <c r="J22" s="22">
        <v>2675.36</v>
      </c>
      <c r="K22" s="22">
        <v>1741.95</v>
      </c>
      <c r="L22" s="22">
        <v>1334.86</v>
      </c>
      <c r="M22" s="22">
        <v>862.71</v>
      </c>
      <c r="N22" s="22">
        <v>1296.5</v>
      </c>
    </row>
    <row r="23" spans="1:14" ht="28.2" thickBot="1" x14ac:dyDescent="0.3">
      <c r="A23" s="22" t="s">
        <v>2359</v>
      </c>
      <c r="B23" s="22" t="s">
        <v>6359</v>
      </c>
      <c r="C23" s="22" t="s">
        <v>6360</v>
      </c>
      <c r="D23" s="22" t="s">
        <v>6361</v>
      </c>
      <c r="E23" s="22" t="s">
        <v>6362</v>
      </c>
      <c r="F23" s="22" t="s">
        <v>6363</v>
      </c>
      <c r="H23" s="22">
        <v>22</v>
      </c>
      <c r="I23" s="22" t="s">
        <v>3157</v>
      </c>
      <c r="J23" s="22">
        <v>11250.59</v>
      </c>
      <c r="K23" s="22">
        <v>1554.5</v>
      </c>
      <c r="L23" s="22">
        <v>1306.97</v>
      </c>
      <c r="M23" s="22">
        <v>881.09</v>
      </c>
      <c r="N23" s="22">
        <v>2010.19</v>
      </c>
    </row>
    <row r="24" spans="1:14" ht="42" thickBot="1" x14ac:dyDescent="0.3">
      <c r="A24" s="22" t="s">
        <v>2866</v>
      </c>
      <c r="B24" s="22" t="s">
        <v>6364</v>
      </c>
      <c r="C24" s="22" t="s">
        <v>6365</v>
      </c>
      <c r="D24" s="22" t="s">
        <v>6366</v>
      </c>
      <c r="E24" s="22" t="s">
        <v>6367</v>
      </c>
      <c r="F24" s="22" t="s">
        <v>6368</v>
      </c>
      <c r="H24" s="22">
        <v>23</v>
      </c>
      <c r="I24" s="22" t="s">
        <v>2917</v>
      </c>
      <c r="J24" s="22">
        <v>1287.93</v>
      </c>
      <c r="K24" s="22">
        <v>1466.41</v>
      </c>
      <c r="L24" s="22">
        <v>1693.07</v>
      </c>
      <c r="M24" s="22">
        <v>1075.24</v>
      </c>
      <c r="N24" s="22">
        <v>1545.9670000000001</v>
      </c>
    </row>
    <row r="25" spans="1:14" ht="42" thickBot="1" x14ac:dyDescent="0.3">
      <c r="A25" s="22" t="s">
        <v>2872</v>
      </c>
      <c r="B25" s="22" t="s">
        <v>6369</v>
      </c>
      <c r="C25" s="22" t="s">
        <v>6370</v>
      </c>
      <c r="D25" s="22" t="s">
        <v>6371</v>
      </c>
      <c r="E25" s="22" t="s">
        <v>6372</v>
      </c>
      <c r="F25" s="22" t="s">
        <v>6373</v>
      </c>
      <c r="H25" s="22">
        <v>24</v>
      </c>
      <c r="I25" s="22" t="s">
        <v>2918</v>
      </c>
      <c r="J25" s="22" t="s">
        <v>2908</v>
      </c>
      <c r="K25" s="22" t="s">
        <v>2908</v>
      </c>
      <c r="L25" s="22" t="s">
        <v>2908</v>
      </c>
      <c r="M25" s="22" t="s">
        <v>2908</v>
      </c>
      <c r="N25" s="22" t="s">
        <v>2908</v>
      </c>
    </row>
    <row r="26" spans="1:14" ht="28.2" thickBot="1" x14ac:dyDescent="0.3">
      <c r="A26" s="22" t="s">
        <v>2871</v>
      </c>
      <c r="B26" s="22" t="s">
        <v>6374</v>
      </c>
      <c r="C26" s="22" t="s">
        <v>6375</v>
      </c>
      <c r="D26" s="22" t="s">
        <v>6376</v>
      </c>
      <c r="E26" s="22" t="s">
        <v>6377</v>
      </c>
      <c r="F26" s="22" t="s">
        <v>6378</v>
      </c>
      <c r="H26" s="22">
        <v>25</v>
      </c>
      <c r="I26" s="22" t="s">
        <v>2179</v>
      </c>
      <c r="J26" s="22" t="s">
        <v>2908</v>
      </c>
      <c r="K26" s="22" t="s">
        <v>2908</v>
      </c>
      <c r="L26" s="22" t="s">
        <v>2908</v>
      </c>
      <c r="M26" s="22" t="s">
        <v>2908</v>
      </c>
      <c r="N26" s="22" t="s">
        <v>2908</v>
      </c>
    </row>
    <row r="27" spans="1:14" ht="42" thickBot="1" x14ac:dyDescent="0.3">
      <c r="A27" s="22" t="s">
        <v>2875</v>
      </c>
      <c r="B27" s="22" t="s">
        <v>6379</v>
      </c>
      <c r="C27" s="22" t="s">
        <v>6380</v>
      </c>
      <c r="D27" s="22" t="s">
        <v>6381</v>
      </c>
      <c r="E27" s="22" t="s">
        <v>6382</v>
      </c>
      <c r="F27" s="22" t="s">
        <v>6383</v>
      </c>
      <c r="H27" s="22">
        <v>26</v>
      </c>
      <c r="I27" s="22" t="s">
        <v>2943</v>
      </c>
      <c r="J27" s="22" t="s">
        <v>2908</v>
      </c>
      <c r="K27" s="22" t="s">
        <v>2908</v>
      </c>
      <c r="L27" s="22" t="s">
        <v>2908</v>
      </c>
      <c r="M27" s="22" t="s">
        <v>2908</v>
      </c>
      <c r="N27" s="22" t="s">
        <v>2908</v>
      </c>
    </row>
    <row r="28" spans="1:14" ht="28.2" thickBot="1" x14ac:dyDescent="0.3">
      <c r="A28" s="22" t="s">
        <v>3296</v>
      </c>
      <c r="B28" s="22" t="s">
        <v>6384</v>
      </c>
      <c r="C28" s="22" t="s">
        <v>6385</v>
      </c>
      <c r="D28" s="22" t="s">
        <v>6386</v>
      </c>
      <c r="E28" s="22" t="s">
        <v>6387</v>
      </c>
      <c r="F28" s="22" t="s">
        <v>6388</v>
      </c>
      <c r="H28" s="22">
        <v>27</v>
      </c>
      <c r="I28" s="22" t="s">
        <v>2359</v>
      </c>
      <c r="J28" s="22">
        <v>317.41000000000003</v>
      </c>
      <c r="K28" s="22">
        <v>136.91</v>
      </c>
      <c r="L28" s="22">
        <v>185.72</v>
      </c>
      <c r="M28" s="22">
        <v>156.30000000000001</v>
      </c>
      <c r="N28" s="22">
        <v>157.76</v>
      </c>
    </row>
    <row r="29" spans="1:14" ht="28.2" thickBot="1" x14ac:dyDescent="0.3">
      <c r="A29" s="22" t="s">
        <v>6389</v>
      </c>
      <c r="B29" s="22" t="s">
        <v>6390</v>
      </c>
      <c r="C29" s="22" t="s">
        <v>6391</v>
      </c>
      <c r="D29" s="22" t="s">
        <v>6392</v>
      </c>
      <c r="E29" s="22" t="s">
        <v>6393</v>
      </c>
      <c r="F29" s="22" t="s">
        <v>6394</v>
      </c>
      <c r="H29" s="22">
        <v>28</v>
      </c>
      <c r="I29" s="22" t="s">
        <v>2024</v>
      </c>
      <c r="J29" s="22" t="s">
        <v>2908</v>
      </c>
      <c r="K29" s="22" t="s">
        <v>2908</v>
      </c>
      <c r="L29" s="22" t="s">
        <v>2908</v>
      </c>
      <c r="M29" s="22" t="s">
        <v>2908</v>
      </c>
      <c r="N29" s="22" t="s">
        <v>2908</v>
      </c>
    </row>
    <row r="30" spans="1:14" ht="28.2" thickBot="1" x14ac:dyDescent="0.3">
      <c r="A30" s="22" t="s">
        <v>6395</v>
      </c>
      <c r="B30" s="22" t="s">
        <v>6396</v>
      </c>
      <c r="C30" s="22" t="s">
        <v>6397</v>
      </c>
      <c r="D30" s="22" t="s">
        <v>6398</v>
      </c>
      <c r="E30" s="22" t="s">
        <v>6399</v>
      </c>
      <c r="F30" s="22" t="s">
        <v>6400</v>
      </c>
      <c r="H30" s="22">
        <v>29</v>
      </c>
      <c r="I30" s="22" t="s">
        <v>2892</v>
      </c>
      <c r="J30" s="22" t="s">
        <v>2908</v>
      </c>
      <c r="K30" s="22" t="s">
        <v>2908</v>
      </c>
      <c r="L30" s="22" t="s">
        <v>2908</v>
      </c>
      <c r="M30" s="22" t="s">
        <v>2908</v>
      </c>
      <c r="N30" s="22" t="s">
        <v>2908</v>
      </c>
    </row>
    <row r="31" spans="1:14" ht="28.2" thickBot="1" x14ac:dyDescent="0.3">
      <c r="A31" s="22" t="s">
        <v>6401</v>
      </c>
      <c r="B31" s="22" t="s">
        <v>6402</v>
      </c>
      <c r="C31" s="22" t="s">
        <v>6403</v>
      </c>
      <c r="D31" s="22" t="s">
        <v>6404</v>
      </c>
      <c r="E31" s="22" t="s">
        <v>6405</v>
      </c>
      <c r="F31" s="22" t="s">
        <v>6406</v>
      </c>
      <c r="H31" s="22">
        <v>30</v>
      </c>
      <c r="I31" s="22" t="s">
        <v>2021</v>
      </c>
      <c r="J31" s="22" t="s">
        <v>2908</v>
      </c>
      <c r="K31" s="22" t="s">
        <v>2908</v>
      </c>
      <c r="L31" s="22" t="s">
        <v>2908</v>
      </c>
      <c r="M31" s="22" t="s">
        <v>2908</v>
      </c>
      <c r="N31" s="22" t="s">
        <v>2908</v>
      </c>
    </row>
    <row r="32" spans="1:14" ht="28.2" thickBot="1" x14ac:dyDescent="0.3">
      <c r="A32" s="22" t="s">
        <v>3304</v>
      </c>
      <c r="B32" s="22" t="s">
        <v>6407</v>
      </c>
      <c r="C32" s="22" t="s">
        <v>6408</v>
      </c>
      <c r="D32" s="22" t="s">
        <v>6409</v>
      </c>
      <c r="E32" s="22" t="s">
        <v>6410</v>
      </c>
      <c r="F32" s="22" t="s">
        <v>6411</v>
      </c>
      <c r="H32" s="22">
        <v>31</v>
      </c>
      <c r="I32" s="22" t="s">
        <v>2174</v>
      </c>
      <c r="J32" s="22" t="s">
        <v>2908</v>
      </c>
      <c r="K32" s="22" t="s">
        <v>2908</v>
      </c>
      <c r="L32" s="22" t="s">
        <v>2908</v>
      </c>
      <c r="M32" s="22" t="s">
        <v>2908</v>
      </c>
      <c r="N32" s="22" t="s">
        <v>2908</v>
      </c>
    </row>
    <row r="33" spans="8:14" ht="14.4" thickBot="1" x14ac:dyDescent="0.3">
      <c r="H33" s="22">
        <v>32</v>
      </c>
      <c r="I33" s="22" t="s">
        <v>2180</v>
      </c>
      <c r="J33" s="22" t="s">
        <v>2908</v>
      </c>
      <c r="K33" s="22" t="s">
        <v>2908</v>
      </c>
      <c r="L33" s="22" t="s">
        <v>2908</v>
      </c>
      <c r="M33" s="22" t="s">
        <v>2908</v>
      </c>
      <c r="N33" s="22" t="s">
        <v>2908</v>
      </c>
    </row>
    <row r="34" spans="8:14" ht="14.4" thickBot="1" x14ac:dyDescent="0.3">
      <c r="H34" s="22">
        <v>33</v>
      </c>
      <c r="I34" s="22" t="s">
        <v>2020</v>
      </c>
      <c r="J34" s="22" t="s">
        <v>2908</v>
      </c>
      <c r="K34" s="22" t="s">
        <v>2908</v>
      </c>
      <c r="L34" s="22" t="s">
        <v>2908</v>
      </c>
      <c r="M34" s="22" t="s">
        <v>2908</v>
      </c>
      <c r="N34" s="22" t="s">
        <v>2908</v>
      </c>
    </row>
    <row r="35" spans="8:14" ht="14.4" thickBot="1" x14ac:dyDescent="0.3">
      <c r="H35" s="22">
        <v>34</v>
      </c>
      <c r="I35" s="22" t="s">
        <v>2177</v>
      </c>
      <c r="J35" s="22" t="s">
        <v>2908</v>
      </c>
      <c r="K35" s="22" t="s">
        <v>2908</v>
      </c>
      <c r="L35" s="22" t="s">
        <v>2908</v>
      </c>
      <c r="M35" s="22" t="s">
        <v>2908</v>
      </c>
      <c r="N35" s="22" t="s">
        <v>2908</v>
      </c>
    </row>
    <row r="36" spans="8:14" ht="28.2" thickBot="1" x14ac:dyDescent="0.3">
      <c r="H36" s="22">
        <v>35</v>
      </c>
      <c r="I36" s="22" t="s">
        <v>2175</v>
      </c>
      <c r="J36" s="22" t="s">
        <v>2908</v>
      </c>
      <c r="K36" s="22" t="s">
        <v>2908</v>
      </c>
      <c r="L36" s="22" t="s">
        <v>2908</v>
      </c>
      <c r="M36" s="22" t="s">
        <v>2908</v>
      </c>
      <c r="N36" s="22" t="s">
        <v>2908</v>
      </c>
    </row>
    <row r="37" spans="8:14" ht="14.4" thickBot="1" x14ac:dyDescent="0.3">
      <c r="H37" s="22">
        <v>36</v>
      </c>
      <c r="I37" s="22" t="s">
        <v>2026</v>
      </c>
      <c r="J37" s="22" t="s">
        <v>2908</v>
      </c>
      <c r="K37" s="22" t="s">
        <v>2908</v>
      </c>
      <c r="L37" s="22" t="s">
        <v>2908</v>
      </c>
      <c r="M37" s="22" t="s">
        <v>2908</v>
      </c>
      <c r="N37" s="22" t="s">
        <v>2908</v>
      </c>
    </row>
    <row r="38" spans="8:14" ht="14.4" thickBot="1" x14ac:dyDescent="0.3">
      <c r="H38" s="22">
        <v>37</v>
      </c>
      <c r="I38" s="22" t="s">
        <v>2920</v>
      </c>
      <c r="J38" s="22" t="s">
        <v>2908</v>
      </c>
      <c r="K38" s="22" t="s">
        <v>2908</v>
      </c>
      <c r="L38" s="22" t="s">
        <v>2908</v>
      </c>
      <c r="M38" s="22" t="s">
        <v>2908</v>
      </c>
      <c r="N38" s="22" t="s">
        <v>2908</v>
      </c>
    </row>
    <row r="39" spans="8:14" ht="28.2" thickBot="1" x14ac:dyDescent="0.3">
      <c r="H39" s="22">
        <v>38</v>
      </c>
      <c r="I39" s="22" t="s">
        <v>6249</v>
      </c>
      <c r="J39" s="22">
        <v>2219.15</v>
      </c>
      <c r="K39" s="22">
        <v>1105.0999999999999</v>
      </c>
      <c r="L39" s="22">
        <v>2300.02</v>
      </c>
      <c r="M39" s="22">
        <v>831.95</v>
      </c>
      <c r="N39" s="22">
        <v>1270.5899999999999</v>
      </c>
    </row>
    <row r="40" spans="8:14" ht="14.4" thickBot="1" x14ac:dyDescent="0.3">
      <c r="H40" s="22">
        <v>39</v>
      </c>
      <c r="I40" s="22" t="s">
        <v>2857</v>
      </c>
      <c r="J40" s="22" t="s">
        <v>2908</v>
      </c>
      <c r="K40" s="22" t="s">
        <v>2908</v>
      </c>
      <c r="L40" s="22" t="s">
        <v>2908</v>
      </c>
      <c r="M40" s="22" t="s">
        <v>2908</v>
      </c>
      <c r="N40" s="22" t="s">
        <v>2908</v>
      </c>
    </row>
    <row r="41" spans="8:14" ht="69.599999999999994" thickBot="1" x14ac:dyDescent="0.3">
      <c r="H41" s="22">
        <v>40</v>
      </c>
      <c r="I41" s="22" t="s">
        <v>6250</v>
      </c>
      <c r="J41" s="22">
        <v>1162.94</v>
      </c>
      <c r="K41" s="22">
        <v>1974.01</v>
      </c>
      <c r="L41" s="22">
        <v>1636.61</v>
      </c>
      <c r="M41" s="22">
        <v>1271.3900000000001</v>
      </c>
      <c r="N41" s="22">
        <v>1286.47</v>
      </c>
    </row>
    <row r="42" spans="8:14" ht="28.2" thickBot="1" x14ac:dyDescent="0.3">
      <c r="H42" s="22">
        <v>41</v>
      </c>
      <c r="I42" s="22" t="s">
        <v>2922</v>
      </c>
      <c r="J42" s="22" t="s">
        <v>2908</v>
      </c>
      <c r="K42" s="22" t="s">
        <v>2908</v>
      </c>
      <c r="L42" s="22" t="s">
        <v>2908</v>
      </c>
      <c r="M42" s="22" t="s">
        <v>2908</v>
      </c>
      <c r="N42" s="22" t="s">
        <v>2908</v>
      </c>
    </row>
    <row r="43" spans="8:14" ht="14.4" thickBot="1" x14ac:dyDescent="0.3">
      <c r="H43" s="22">
        <v>42</v>
      </c>
      <c r="I43" s="22" t="s">
        <v>2341</v>
      </c>
      <c r="J43" s="22" t="s">
        <v>2908</v>
      </c>
      <c r="K43" s="22" t="s">
        <v>2908</v>
      </c>
      <c r="L43" s="22" t="s">
        <v>2908</v>
      </c>
      <c r="M43" s="22" t="s">
        <v>2908</v>
      </c>
      <c r="N43" s="22" t="s">
        <v>2908</v>
      </c>
    </row>
    <row r="44" spans="8:14" ht="28.2" thickBot="1" x14ac:dyDescent="0.3">
      <c r="H44" s="22">
        <v>43</v>
      </c>
      <c r="I44" s="22" t="s">
        <v>2161</v>
      </c>
      <c r="J44" s="22" t="s">
        <v>2908</v>
      </c>
      <c r="K44" s="22" t="s">
        <v>2908</v>
      </c>
      <c r="L44" s="22" t="s">
        <v>2908</v>
      </c>
      <c r="M44" s="22" t="s">
        <v>2908</v>
      </c>
      <c r="N44" s="22" t="s">
        <v>2908</v>
      </c>
    </row>
    <row r="45" spans="8:14" ht="42" thickBot="1" x14ac:dyDescent="0.3">
      <c r="H45" s="22">
        <v>44</v>
      </c>
      <c r="I45" s="22" t="s">
        <v>2923</v>
      </c>
      <c r="J45" s="22" t="s">
        <v>2908</v>
      </c>
      <c r="K45" s="22" t="s">
        <v>2908</v>
      </c>
      <c r="L45" s="22" t="s">
        <v>2908</v>
      </c>
      <c r="M45" s="22" t="s">
        <v>2908</v>
      </c>
      <c r="N45" s="22" t="s">
        <v>2908</v>
      </c>
    </row>
    <row r="46" spans="8:14" ht="42" thickBot="1" x14ac:dyDescent="0.3">
      <c r="H46" s="22">
        <v>45</v>
      </c>
      <c r="I46" s="22" t="s">
        <v>2924</v>
      </c>
      <c r="J46" s="22" t="s">
        <v>2908</v>
      </c>
      <c r="K46" s="22" t="s">
        <v>2908</v>
      </c>
      <c r="L46" s="22" t="s">
        <v>2908</v>
      </c>
      <c r="M46" s="22" t="s">
        <v>2908</v>
      </c>
      <c r="N46" s="22" t="s">
        <v>2908</v>
      </c>
    </row>
    <row r="47" spans="8:14" ht="42" thickBot="1" x14ac:dyDescent="0.3">
      <c r="H47" s="22">
        <v>46</v>
      </c>
      <c r="I47" s="22" t="s">
        <v>2925</v>
      </c>
      <c r="J47" s="22" t="s">
        <v>2908</v>
      </c>
      <c r="K47" s="22" t="s">
        <v>2908</v>
      </c>
      <c r="L47" s="22" t="s">
        <v>2908</v>
      </c>
      <c r="M47" s="22" t="s">
        <v>2908</v>
      </c>
      <c r="N47" s="22" t="s">
        <v>2908</v>
      </c>
    </row>
    <row r="48" spans="8:14" ht="28.2" thickBot="1" x14ac:dyDescent="0.3">
      <c r="H48" s="22">
        <v>47</v>
      </c>
      <c r="I48" s="22" t="s">
        <v>3159</v>
      </c>
      <c r="J48" s="22" t="s">
        <v>2908</v>
      </c>
      <c r="K48" s="22" t="s">
        <v>2908</v>
      </c>
      <c r="L48" s="22" t="s">
        <v>2908</v>
      </c>
      <c r="M48" s="22" t="s">
        <v>2908</v>
      </c>
      <c r="N48" s="22" t="s">
        <v>2908</v>
      </c>
    </row>
    <row r="49" spans="8:14" ht="14.4" thickBot="1" x14ac:dyDescent="0.3">
      <c r="H49" s="22">
        <v>48</v>
      </c>
      <c r="I49" s="22" t="s">
        <v>2878</v>
      </c>
      <c r="J49" s="22" t="s">
        <v>2908</v>
      </c>
      <c r="K49" s="22" t="s">
        <v>2908</v>
      </c>
      <c r="L49" s="22" t="s">
        <v>2908</v>
      </c>
      <c r="M49" s="22" t="s">
        <v>2908</v>
      </c>
      <c r="N49" s="22" t="s">
        <v>2908</v>
      </c>
    </row>
    <row r="50" spans="8:14" ht="14.4" thickBot="1" x14ac:dyDescent="0.3">
      <c r="H50" s="22">
        <v>49</v>
      </c>
      <c r="I50" s="22" t="s">
        <v>2927</v>
      </c>
      <c r="J50" s="22" t="s">
        <v>2908</v>
      </c>
      <c r="K50" s="22" t="s">
        <v>2908</v>
      </c>
      <c r="L50" s="22" t="s">
        <v>2908</v>
      </c>
      <c r="M50" s="22" t="s">
        <v>2908</v>
      </c>
      <c r="N50" s="22" t="s">
        <v>2908</v>
      </c>
    </row>
    <row r="51" spans="8:14" ht="28.2" thickBot="1" x14ac:dyDescent="0.3">
      <c r="H51" s="22">
        <v>50</v>
      </c>
      <c r="I51" s="22" t="s">
        <v>2164</v>
      </c>
      <c r="J51" s="22" t="s">
        <v>2908</v>
      </c>
      <c r="K51" s="22" t="s">
        <v>2908</v>
      </c>
      <c r="L51" s="22" t="s">
        <v>2908</v>
      </c>
      <c r="M51" s="22" t="s">
        <v>2908</v>
      </c>
      <c r="N51" s="22" t="s">
        <v>2908</v>
      </c>
    </row>
    <row r="52" spans="8:14" ht="28.2" thickBot="1" x14ac:dyDescent="0.3">
      <c r="H52" s="22">
        <v>51</v>
      </c>
      <c r="I52" s="22" t="s">
        <v>2170</v>
      </c>
      <c r="J52" s="22" t="s">
        <v>2908</v>
      </c>
      <c r="K52" s="22" t="s">
        <v>2908</v>
      </c>
      <c r="L52" s="22" t="s">
        <v>2908</v>
      </c>
      <c r="M52" s="22" t="s">
        <v>2908</v>
      </c>
      <c r="N52" s="22" t="s">
        <v>2908</v>
      </c>
    </row>
    <row r="53" spans="8:14" ht="42" thickBot="1" x14ac:dyDescent="0.3">
      <c r="H53" s="22">
        <v>52</v>
      </c>
      <c r="I53" s="22" t="s">
        <v>6251</v>
      </c>
      <c r="J53" s="22">
        <v>570.27</v>
      </c>
      <c r="K53" s="22">
        <v>30.86</v>
      </c>
      <c r="L53" s="22">
        <v>26.45</v>
      </c>
      <c r="M53" s="22">
        <v>28.25</v>
      </c>
      <c r="N53" s="22">
        <v>35.07</v>
      </c>
    </row>
    <row r="54" spans="8:14" ht="14.4" thickBot="1" x14ac:dyDescent="0.3">
      <c r="H54" s="22">
        <v>53</v>
      </c>
      <c r="I54" s="22" t="s">
        <v>3819</v>
      </c>
      <c r="J54" s="22" t="s">
        <v>2908</v>
      </c>
      <c r="K54" s="22" t="s">
        <v>2908</v>
      </c>
      <c r="L54" s="22" t="s">
        <v>2908</v>
      </c>
      <c r="M54" s="22" t="s">
        <v>2908</v>
      </c>
      <c r="N54" s="22" t="s">
        <v>2908</v>
      </c>
    </row>
    <row r="55" spans="8:14" ht="28.2" thickBot="1" x14ac:dyDescent="0.3">
      <c r="H55" s="22">
        <v>54</v>
      </c>
      <c r="I55" s="22" t="s">
        <v>2929</v>
      </c>
      <c r="J55" s="22" t="s">
        <v>2908</v>
      </c>
      <c r="K55" s="22" t="s">
        <v>2908</v>
      </c>
      <c r="L55" s="22" t="s">
        <v>2908</v>
      </c>
      <c r="M55" s="22" t="s">
        <v>2908</v>
      </c>
      <c r="N55" s="22" t="s">
        <v>2908</v>
      </c>
    </row>
    <row r="56" spans="8:14" ht="28.2" thickBot="1" x14ac:dyDescent="0.3">
      <c r="H56" s="22">
        <v>55</v>
      </c>
      <c r="I56" s="22" t="s">
        <v>2183</v>
      </c>
      <c r="J56" s="22" t="s">
        <v>2908</v>
      </c>
      <c r="K56" s="22" t="s">
        <v>2908</v>
      </c>
      <c r="L56" s="22" t="s">
        <v>2908</v>
      </c>
      <c r="M56" s="22" t="s">
        <v>2908</v>
      </c>
      <c r="N56" s="22" t="s">
        <v>2908</v>
      </c>
    </row>
    <row r="57" spans="8:14" ht="14.4" thickBot="1" x14ac:dyDescent="0.3">
      <c r="H57" s="22">
        <v>56</v>
      </c>
      <c r="I57" s="22" t="s">
        <v>2185</v>
      </c>
      <c r="J57" s="22" t="s">
        <v>2908</v>
      </c>
      <c r="K57" s="22" t="s">
        <v>2908</v>
      </c>
      <c r="L57" s="22" t="s">
        <v>2908</v>
      </c>
      <c r="M57" s="22" t="s">
        <v>2908</v>
      </c>
      <c r="N57" s="22" t="s">
        <v>2908</v>
      </c>
    </row>
    <row r="58" spans="8:14" ht="14.4" thickBot="1" x14ac:dyDescent="0.3">
      <c r="H58" s="22">
        <v>57</v>
      </c>
      <c r="I58" s="22" t="s">
        <v>2930</v>
      </c>
      <c r="J58" s="22" t="s">
        <v>2908</v>
      </c>
      <c r="K58" s="22" t="s">
        <v>2908</v>
      </c>
      <c r="L58" s="22" t="s">
        <v>2908</v>
      </c>
      <c r="M58" s="22" t="s">
        <v>2908</v>
      </c>
      <c r="N58" s="22" t="s">
        <v>2908</v>
      </c>
    </row>
    <row r="59" spans="8:14" ht="14.4" thickBot="1" x14ac:dyDescent="0.3">
      <c r="H59" s="22">
        <v>58</v>
      </c>
      <c r="I59" s="22" t="s">
        <v>2331</v>
      </c>
      <c r="J59" s="22" t="s">
        <v>2908</v>
      </c>
      <c r="K59" s="22" t="s">
        <v>2908</v>
      </c>
      <c r="L59" s="22" t="s">
        <v>2908</v>
      </c>
      <c r="M59" s="22" t="s">
        <v>2908</v>
      </c>
      <c r="N59" s="22" t="s">
        <v>2908</v>
      </c>
    </row>
    <row r="60" spans="8:14" ht="28.2" thickBot="1" x14ac:dyDescent="0.3">
      <c r="H60" s="22">
        <v>59</v>
      </c>
      <c r="I60" s="22" t="s">
        <v>2337</v>
      </c>
      <c r="J60" s="22" t="s">
        <v>2908</v>
      </c>
      <c r="K60" s="22" t="s">
        <v>2908</v>
      </c>
      <c r="L60" s="22" t="s">
        <v>2908</v>
      </c>
      <c r="M60" s="22" t="s">
        <v>2908</v>
      </c>
      <c r="N60" s="22" t="s">
        <v>2908</v>
      </c>
    </row>
    <row r="61" spans="8:14" ht="14.4" thickBot="1" x14ac:dyDescent="0.3">
      <c r="H61" s="22">
        <v>60</v>
      </c>
      <c r="I61" s="22" t="s">
        <v>2365</v>
      </c>
      <c r="J61" s="22">
        <v>2756.09</v>
      </c>
      <c r="K61" s="22">
        <v>181.04</v>
      </c>
      <c r="L61" s="22">
        <v>136.22999999999999</v>
      </c>
      <c r="M61" s="22">
        <v>51.94</v>
      </c>
      <c r="N61" s="22">
        <v>178.46</v>
      </c>
    </row>
    <row r="62" spans="8:14" ht="14.4" thickBot="1" x14ac:dyDescent="0.3">
      <c r="H62" s="22">
        <v>61</v>
      </c>
      <c r="I62" s="22" t="s">
        <v>2186</v>
      </c>
      <c r="J62" s="22">
        <v>489.03</v>
      </c>
      <c r="K62" s="22">
        <v>274.32</v>
      </c>
      <c r="L62" s="22">
        <v>238.29</v>
      </c>
      <c r="M62" s="22">
        <v>205.21</v>
      </c>
      <c r="N62" s="22">
        <v>310.45999999999998</v>
      </c>
    </row>
    <row r="63" spans="8:14" ht="14.4" thickBot="1" x14ac:dyDescent="0.3">
      <c r="H63" s="22">
        <v>62</v>
      </c>
      <c r="I63" s="22" t="s">
        <v>2382</v>
      </c>
      <c r="J63" s="22">
        <v>518.11</v>
      </c>
      <c r="K63" s="22">
        <v>98.37</v>
      </c>
      <c r="L63" s="22">
        <v>84.59</v>
      </c>
      <c r="M63" s="22">
        <v>73.77</v>
      </c>
      <c r="N63" s="22">
        <v>113.02</v>
      </c>
    </row>
    <row r="64" spans="8:14" ht="14.4" thickBot="1" x14ac:dyDescent="0.3">
      <c r="H64" s="22">
        <v>63</v>
      </c>
      <c r="I64" s="22" t="s">
        <v>2393</v>
      </c>
      <c r="J64" s="22" t="s">
        <v>2908</v>
      </c>
      <c r="K64" s="22" t="s">
        <v>2908</v>
      </c>
      <c r="L64" s="22" t="s">
        <v>2908</v>
      </c>
      <c r="M64" s="22" t="s">
        <v>2908</v>
      </c>
      <c r="N64" s="22" t="s">
        <v>2908</v>
      </c>
    </row>
  </sheetData>
  <phoneticPr fontId="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BF89-1667-4E13-81C3-F1F22A75A49F}">
  <dimension ref="A1:BG119"/>
  <sheetViews>
    <sheetView zoomScale="70" zoomScaleNormal="70" workbookViewId="0">
      <selection activeCell="AX2" sqref="AX2:BG64"/>
    </sheetView>
  </sheetViews>
  <sheetFormatPr defaultRowHeight="13.8" x14ac:dyDescent="0.25"/>
  <cols>
    <col min="22" max="22" width="12.77734375" bestFit="1" customWidth="1"/>
    <col min="23" max="23" width="12.77734375" customWidth="1"/>
    <col min="24" max="24" width="12.88671875" customWidth="1"/>
    <col min="25" max="25" width="13.88671875" customWidth="1"/>
    <col min="27" max="27" width="11.21875" customWidth="1"/>
    <col min="28" max="28" width="13.109375" customWidth="1"/>
    <col min="29" max="30" width="12.88671875" customWidth="1"/>
  </cols>
  <sheetData>
    <row r="1" spans="1:59" ht="42" thickBot="1" x14ac:dyDescent="0.3">
      <c r="A1" s="29" t="s">
        <v>2845</v>
      </c>
      <c r="B1" s="29" t="s">
        <v>3389</v>
      </c>
      <c r="C1" s="29" t="s">
        <v>72</v>
      </c>
      <c r="D1" s="29" t="s">
        <v>6414</v>
      </c>
      <c r="E1" s="29" t="s">
        <v>6415</v>
      </c>
      <c r="F1" s="29" t="s">
        <v>6416</v>
      </c>
      <c r="G1" s="29" t="s">
        <v>6417</v>
      </c>
      <c r="H1" s="29" t="s">
        <v>6418</v>
      </c>
      <c r="I1" s="29" t="s">
        <v>6490</v>
      </c>
      <c r="J1" s="29" t="s">
        <v>6491</v>
      </c>
      <c r="K1" s="29" t="s">
        <v>6492</v>
      </c>
      <c r="L1" s="29" t="s">
        <v>6493</v>
      </c>
      <c r="M1" s="21" t="s">
        <v>6494</v>
      </c>
      <c r="T1" s="29" t="s">
        <v>2845</v>
      </c>
      <c r="U1" s="29" t="s">
        <v>2906</v>
      </c>
      <c r="V1" s="29" t="s">
        <v>6507</v>
      </c>
      <c r="W1" s="29" t="s">
        <v>6508</v>
      </c>
      <c r="X1" s="29" t="s">
        <v>6509</v>
      </c>
      <c r="Y1" s="29" t="s">
        <v>6510</v>
      </c>
      <c r="Z1" s="29" t="s">
        <v>6511</v>
      </c>
      <c r="AA1" s="29" t="s">
        <v>6512</v>
      </c>
      <c r="AB1" s="29" t="s">
        <v>6513</v>
      </c>
      <c r="AC1" s="29" t="s">
        <v>6514</v>
      </c>
      <c r="AD1" s="29" t="s">
        <v>6515</v>
      </c>
      <c r="AE1" s="21" t="s">
        <v>6516</v>
      </c>
      <c r="AH1" s="29" t="s">
        <v>2845</v>
      </c>
      <c r="AI1" s="29" t="s">
        <v>3389</v>
      </c>
      <c r="AJ1" s="29" t="s">
        <v>72</v>
      </c>
      <c r="AK1" s="29" t="s">
        <v>6440</v>
      </c>
      <c r="AL1" s="29" t="s">
        <v>6441</v>
      </c>
      <c r="AM1" s="29" t="s">
        <v>6442</v>
      </c>
      <c r="AN1" s="29" t="s">
        <v>6443</v>
      </c>
      <c r="AO1" s="29" t="s">
        <v>6444</v>
      </c>
      <c r="AP1" s="29" t="s">
        <v>6435</v>
      </c>
      <c r="AQ1" s="29" t="s">
        <v>6436</v>
      </c>
      <c r="AR1" s="29" t="s">
        <v>6437</v>
      </c>
      <c r="AS1" s="29" t="s">
        <v>6438</v>
      </c>
      <c r="AT1" s="21" t="s">
        <v>6439</v>
      </c>
      <c r="AV1" s="29" t="s">
        <v>2845</v>
      </c>
      <c r="AW1" s="29" t="s">
        <v>2906</v>
      </c>
      <c r="AX1" s="29" t="s">
        <v>6498</v>
      </c>
      <c r="AY1" s="29" t="s">
        <v>6499</v>
      </c>
      <c r="AZ1" s="29" t="s">
        <v>6500</v>
      </c>
      <c r="BA1" s="29" t="s">
        <v>6501</v>
      </c>
      <c r="BB1" s="29" t="s">
        <v>6502</v>
      </c>
      <c r="BC1" s="29" t="s">
        <v>6503</v>
      </c>
      <c r="BD1" s="29" t="s">
        <v>6504</v>
      </c>
      <c r="BE1" s="29" t="s">
        <v>6517</v>
      </c>
      <c r="BF1" s="29" t="s">
        <v>6505</v>
      </c>
      <c r="BG1" s="21" t="s">
        <v>6506</v>
      </c>
    </row>
    <row r="2" spans="1:59" ht="28.2" thickBot="1" x14ac:dyDescent="0.3">
      <c r="A2" s="30">
        <v>1</v>
      </c>
      <c r="B2" s="30" t="s">
        <v>2947</v>
      </c>
      <c r="C2" s="30" t="s">
        <v>6419</v>
      </c>
      <c r="D2" s="30">
        <v>123173.27</v>
      </c>
      <c r="E2" s="30">
        <v>121700.65</v>
      </c>
      <c r="F2" s="30">
        <v>125917.39</v>
      </c>
      <c r="G2" s="30">
        <v>123094.98</v>
      </c>
      <c r="H2" s="30">
        <v>127871.03</v>
      </c>
      <c r="I2" s="30">
        <v>126128.38</v>
      </c>
      <c r="J2" s="30">
        <v>113392.36</v>
      </c>
      <c r="K2" s="30">
        <v>124775.57</v>
      </c>
      <c r="L2" s="30">
        <v>191053.08</v>
      </c>
      <c r="M2" s="22">
        <v>89743.22</v>
      </c>
      <c r="T2" s="30">
        <v>1</v>
      </c>
      <c r="U2" s="30" t="s">
        <v>2017</v>
      </c>
      <c r="V2" s="30">
        <v>1530600.6</v>
      </c>
      <c r="W2" s="30">
        <v>1554592.3</v>
      </c>
      <c r="X2" s="30">
        <v>1523605.6</v>
      </c>
      <c r="Y2" s="30">
        <v>1533231.7</v>
      </c>
      <c r="Z2" s="30">
        <v>1690431</v>
      </c>
      <c r="AA2" s="30">
        <v>1415239.9</v>
      </c>
      <c r="AB2" s="30">
        <v>1617237.3</v>
      </c>
      <c r="AC2" s="30">
        <v>1574451.4</v>
      </c>
      <c r="AD2" s="30">
        <v>1550172.1</v>
      </c>
      <c r="AE2" s="22">
        <v>1508633.2</v>
      </c>
      <c r="AH2" s="30">
        <v>1</v>
      </c>
      <c r="AI2" s="30" t="s">
        <v>2947</v>
      </c>
      <c r="AJ2" s="30" t="s">
        <v>6419</v>
      </c>
      <c r="AK2" s="30">
        <v>143919.29</v>
      </c>
      <c r="AL2" s="30">
        <v>142399.29999999999</v>
      </c>
      <c r="AM2" s="30">
        <v>124499.69</v>
      </c>
      <c r="AN2" s="30">
        <v>125154.05</v>
      </c>
      <c r="AO2" s="30">
        <v>159549.82</v>
      </c>
      <c r="AP2" s="30">
        <v>168362.84</v>
      </c>
      <c r="AQ2" s="30">
        <v>116649.41</v>
      </c>
      <c r="AR2" s="30">
        <v>122848.32000000001</v>
      </c>
      <c r="AS2" s="30">
        <v>149466.04</v>
      </c>
      <c r="AT2" s="22">
        <v>121995.46</v>
      </c>
      <c r="AV2" s="30">
        <v>1</v>
      </c>
      <c r="AW2" s="30" t="s">
        <v>2017</v>
      </c>
      <c r="AX2" s="30">
        <v>1324332.3999999999</v>
      </c>
      <c r="AY2" s="30">
        <v>1514600.3</v>
      </c>
      <c r="AZ2" s="30">
        <v>1345945.1</v>
      </c>
      <c r="BA2" s="30">
        <v>1316390.8999999999</v>
      </c>
      <c r="BB2" s="30">
        <v>1413435.6</v>
      </c>
      <c r="BC2" s="30">
        <v>1278175.6000000001</v>
      </c>
      <c r="BD2" s="30">
        <v>1275952.7</v>
      </c>
      <c r="BE2" s="30">
        <v>1267568</v>
      </c>
      <c r="BF2" s="30">
        <v>1262054.7</v>
      </c>
      <c r="BG2" s="22">
        <v>1245618.6000000001</v>
      </c>
    </row>
    <row r="3" spans="1:59" ht="28.2" thickBot="1" x14ac:dyDescent="0.3">
      <c r="A3" s="30">
        <v>2</v>
      </c>
      <c r="B3" s="30" t="s">
        <v>2022</v>
      </c>
      <c r="C3" s="30" t="s">
        <v>1274</v>
      </c>
      <c r="D3" s="30">
        <v>905606.93</v>
      </c>
      <c r="E3" s="30">
        <v>924452.11</v>
      </c>
      <c r="F3" s="30">
        <v>985281.54</v>
      </c>
      <c r="G3" s="30">
        <v>883209.7</v>
      </c>
      <c r="H3" s="30">
        <v>1034685.04</v>
      </c>
      <c r="I3" s="30">
        <v>915959.05</v>
      </c>
      <c r="J3" s="30">
        <v>955434.09</v>
      </c>
      <c r="K3" s="30">
        <v>863259.55</v>
      </c>
      <c r="L3" s="30">
        <v>910386.44</v>
      </c>
      <c r="M3" s="22">
        <v>912836</v>
      </c>
      <c r="T3" s="30">
        <v>2</v>
      </c>
      <c r="U3" s="30" t="s">
        <v>2162</v>
      </c>
      <c r="V3" s="30">
        <v>8954.9</v>
      </c>
      <c r="W3" s="30">
        <v>6147</v>
      </c>
      <c r="X3" s="30">
        <v>7749</v>
      </c>
      <c r="Y3" s="30">
        <v>12022.2</v>
      </c>
      <c r="Z3" s="30">
        <v>3404.7</v>
      </c>
      <c r="AA3" s="30">
        <v>9077.2999999999993</v>
      </c>
      <c r="AB3" s="30">
        <v>2592.1999999999998</v>
      </c>
      <c r="AC3" s="30">
        <v>3096.3</v>
      </c>
      <c r="AD3" s="30">
        <v>1795.3</v>
      </c>
      <c r="AE3" s="22">
        <v>913.4</v>
      </c>
      <c r="AH3" s="30">
        <v>2</v>
      </c>
      <c r="AI3" s="30" t="s">
        <v>2022</v>
      </c>
      <c r="AJ3" s="30" t="s">
        <v>1274</v>
      </c>
      <c r="AK3" s="30">
        <v>719192.43</v>
      </c>
      <c r="AL3" s="30">
        <v>700872.64</v>
      </c>
      <c r="AM3" s="30">
        <v>661165.61</v>
      </c>
      <c r="AN3" s="30">
        <v>663524.27</v>
      </c>
      <c r="AO3" s="30">
        <v>870240.21</v>
      </c>
      <c r="AP3" s="30">
        <v>671338.76</v>
      </c>
      <c r="AQ3" s="30">
        <v>525843.28</v>
      </c>
      <c r="AR3" s="30">
        <v>653790.06000000006</v>
      </c>
      <c r="AS3" s="30">
        <v>517753.51</v>
      </c>
      <c r="AT3" s="22">
        <v>777085.04</v>
      </c>
      <c r="AV3" s="30">
        <v>2</v>
      </c>
      <c r="AW3" s="30" t="s">
        <v>2162</v>
      </c>
      <c r="AX3" s="30">
        <v>4055.3</v>
      </c>
      <c r="AY3" s="30">
        <v>2287.6</v>
      </c>
      <c r="AZ3" s="30">
        <v>2573.6</v>
      </c>
      <c r="BA3" s="30">
        <v>2385.5</v>
      </c>
      <c r="BB3" s="30">
        <v>2156.6999999999998</v>
      </c>
      <c r="BC3" s="30">
        <v>4166</v>
      </c>
      <c r="BD3" s="30">
        <v>5839.3</v>
      </c>
      <c r="BE3" s="30">
        <v>5018.1000000000004</v>
      </c>
      <c r="BF3" s="30">
        <v>5998.6</v>
      </c>
      <c r="BG3" s="22">
        <v>1628</v>
      </c>
    </row>
    <row r="4" spans="1:59" ht="28.2" thickBot="1" x14ac:dyDescent="0.3">
      <c r="A4" s="30">
        <v>3</v>
      </c>
      <c r="B4" s="30" t="s">
        <v>2164</v>
      </c>
      <c r="C4" s="30" t="s">
        <v>2165</v>
      </c>
      <c r="D4" s="30">
        <v>12294.68</v>
      </c>
      <c r="E4" s="30">
        <v>24164.91</v>
      </c>
      <c r="F4" s="30">
        <v>12778.8</v>
      </c>
      <c r="G4" s="30">
        <v>11326.25</v>
      </c>
      <c r="H4" s="30">
        <v>15064.28</v>
      </c>
      <c r="I4" s="30">
        <v>13164.62</v>
      </c>
      <c r="J4" s="30">
        <v>7994.54</v>
      </c>
      <c r="K4" s="30">
        <v>7501.54</v>
      </c>
      <c r="L4" s="30">
        <v>9686.24</v>
      </c>
      <c r="M4" s="22">
        <v>9045.98</v>
      </c>
      <c r="T4" s="30">
        <v>3</v>
      </c>
      <c r="U4" s="30" t="s">
        <v>2018</v>
      </c>
      <c r="V4" s="30">
        <v>398251.5</v>
      </c>
      <c r="W4" s="30">
        <v>325676.90000000002</v>
      </c>
      <c r="X4" s="30">
        <v>315952.59999999998</v>
      </c>
      <c r="Y4" s="30">
        <v>390794</v>
      </c>
      <c r="Z4" s="30">
        <v>435825.2</v>
      </c>
      <c r="AA4" s="30">
        <v>303862</v>
      </c>
      <c r="AB4" s="30">
        <v>268895.2</v>
      </c>
      <c r="AC4" s="30">
        <v>243652.4</v>
      </c>
      <c r="AD4" s="30">
        <v>250159.5</v>
      </c>
      <c r="AE4" s="22">
        <v>227872.7</v>
      </c>
      <c r="AH4" s="30">
        <v>3</v>
      </c>
      <c r="AI4" s="30" t="s">
        <v>2164</v>
      </c>
      <c r="AJ4" s="30" t="s">
        <v>2165</v>
      </c>
      <c r="AK4" s="30">
        <v>3716.23</v>
      </c>
      <c r="AL4" s="30">
        <v>5759.47</v>
      </c>
      <c r="AM4" s="30">
        <v>3856.65</v>
      </c>
      <c r="AN4" s="30">
        <v>4007.07</v>
      </c>
      <c r="AO4" s="30">
        <v>8215.18</v>
      </c>
      <c r="AP4" s="30">
        <v>7012.98</v>
      </c>
      <c r="AQ4" s="30">
        <v>3738.95</v>
      </c>
      <c r="AR4" s="30">
        <v>4280.96</v>
      </c>
      <c r="AS4" s="30">
        <v>4648.18</v>
      </c>
      <c r="AT4" s="22">
        <v>3179.8</v>
      </c>
      <c r="AV4" s="30">
        <v>3</v>
      </c>
      <c r="AW4" s="30" t="s">
        <v>2018</v>
      </c>
      <c r="AX4" s="30">
        <v>230150.9</v>
      </c>
      <c r="AY4" s="30">
        <v>321680.7</v>
      </c>
      <c r="AZ4" s="30">
        <v>152314.6</v>
      </c>
      <c r="BA4" s="30">
        <v>223772.2</v>
      </c>
      <c r="BB4" s="30">
        <v>246918.2</v>
      </c>
      <c r="BC4" s="30">
        <v>166182.70000000001</v>
      </c>
      <c r="BD4" s="30">
        <v>218310.5</v>
      </c>
      <c r="BE4" s="30">
        <v>21528.7</v>
      </c>
      <c r="BF4" s="30">
        <v>25279.5</v>
      </c>
      <c r="BG4" s="22">
        <v>195870.6</v>
      </c>
    </row>
    <row r="5" spans="1:59" ht="28.2" thickBot="1" x14ac:dyDescent="0.3">
      <c r="A5" s="30">
        <v>4</v>
      </c>
      <c r="B5" s="30" t="s">
        <v>6420</v>
      </c>
      <c r="C5" s="30" t="s">
        <v>6421</v>
      </c>
      <c r="D5" s="30">
        <v>480.25</v>
      </c>
      <c r="E5" s="30">
        <v>439.61</v>
      </c>
      <c r="F5" s="30">
        <v>256.97000000000003</v>
      </c>
      <c r="G5" s="30">
        <v>504.91</v>
      </c>
      <c r="H5" s="30">
        <v>261.77999999999997</v>
      </c>
      <c r="I5" s="30">
        <v>139.51</v>
      </c>
      <c r="J5" s="30">
        <v>42.58</v>
      </c>
      <c r="K5" s="30">
        <v>44.24</v>
      </c>
      <c r="L5" s="30">
        <v>40.880000000000003</v>
      </c>
      <c r="M5" s="22">
        <v>81.62</v>
      </c>
      <c r="T5" s="30">
        <v>4</v>
      </c>
      <c r="U5" s="30" t="s">
        <v>2022</v>
      </c>
      <c r="V5" s="30">
        <v>905606.9</v>
      </c>
      <c r="W5" s="30">
        <v>924452.1</v>
      </c>
      <c r="X5" s="30">
        <v>985281.5</v>
      </c>
      <c r="Y5" s="30">
        <v>883209.7</v>
      </c>
      <c r="Z5" s="30">
        <v>1034685</v>
      </c>
      <c r="AA5" s="30">
        <v>915959.1</v>
      </c>
      <c r="AB5" s="30">
        <v>955434.1</v>
      </c>
      <c r="AC5" s="30">
        <v>863259.6</v>
      </c>
      <c r="AD5" s="30">
        <v>910386.4</v>
      </c>
      <c r="AE5" s="22">
        <v>912836</v>
      </c>
      <c r="AH5" s="30">
        <v>4</v>
      </c>
      <c r="AI5" s="30" t="s">
        <v>6420</v>
      </c>
      <c r="AJ5" s="30" t="s">
        <v>6421</v>
      </c>
      <c r="AK5" s="30">
        <v>12.76</v>
      </c>
      <c r="AL5" s="30">
        <v>7.96</v>
      </c>
      <c r="AM5" s="30">
        <v>13.06</v>
      </c>
      <c r="AN5" s="30">
        <v>7.58</v>
      </c>
      <c r="AO5" s="30">
        <v>12.01</v>
      </c>
      <c r="AP5" s="30">
        <v>9.41</v>
      </c>
      <c r="AQ5" s="30">
        <v>5.65</v>
      </c>
      <c r="AR5" s="30">
        <v>1.46</v>
      </c>
      <c r="AS5" s="30" t="s">
        <v>29</v>
      </c>
      <c r="AT5" s="22" t="s">
        <v>29</v>
      </c>
      <c r="AV5" s="30">
        <v>4</v>
      </c>
      <c r="AW5" s="30" t="s">
        <v>2022</v>
      </c>
      <c r="AX5" s="30">
        <v>719192.4</v>
      </c>
      <c r="AY5" s="30">
        <v>700872.6</v>
      </c>
      <c r="AZ5" s="30">
        <v>661165.6</v>
      </c>
      <c r="BA5" s="30">
        <v>663524.30000000005</v>
      </c>
      <c r="BB5" s="30">
        <v>870240.2</v>
      </c>
      <c r="BC5" s="30">
        <v>671338.8</v>
      </c>
      <c r="BD5" s="30">
        <v>525843.30000000005</v>
      </c>
      <c r="BE5" s="30">
        <v>653790.1</v>
      </c>
      <c r="BF5" s="30">
        <v>517753.5</v>
      </c>
      <c r="BG5" s="22">
        <v>777085</v>
      </c>
    </row>
    <row r="6" spans="1:59" ht="28.2" thickBot="1" x14ac:dyDescent="0.3">
      <c r="A6" s="30">
        <v>5</v>
      </c>
      <c r="B6" s="30" t="s">
        <v>3343</v>
      </c>
      <c r="C6" s="30" t="s">
        <v>422</v>
      </c>
      <c r="D6" s="30">
        <v>49686.12</v>
      </c>
      <c r="E6" s="30">
        <v>50380.79</v>
      </c>
      <c r="F6" s="30">
        <v>50438.45</v>
      </c>
      <c r="G6" s="30">
        <v>62301.279999999999</v>
      </c>
      <c r="H6" s="30">
        <v>79427.289999999994</v>
      </c>
      <c r="I6" s="30">
        <v>69245.72</v>
      </c>
      <c r="J6" s="30">
        <v>50596.51</v>
      </c>
      <c r="K6" s="30">
        <v>35971.24</v>
      </c>
      <c r="L6" s="30">
        <v>37999.949999999997</v>
      </c>
      <c r="M6" s="22">
        <v>50941.29</v>
      </c>
      <c r="T6" s="30">
        <v>5</v>
      </c>
      <c r="U6" s="30" t="s">
        <v>2023</v>
      </c>
      <c r="V6" s="30">
        <v>4608.7</v>
      </c>
      <c r="W6" s="30">
        <v>4359.3</v>
      </c>
      <c r="X6" s="30">
        <v>5025.8</v>
      </c>
      <c r="Y6" s="30">
        <v>4983.3999999999996</v>
      </c>
      <c r="Z6" s="30">
        <v>5308.4</v>
      </c>
      <c r="AA6" s="30">
        <v>3980.6</v>
      </c>
      <c r="AB6" s="30">
        <v>8910.9</v>
      </c>
      <c r="AC6" s="30">
        <v>4405.2</v>
      </c>
      <c r="AD6" s="30">
        <v>6398.7</v>
      </c>
      <c r="AE6" s="22">
        <v>2279</v>
      </c>
      <c r="AH6" s="30">
        <v>5</v>
      </c>
      <c r="AI6" s="30" t="s">
        <v>3343</v>
      </c>
      <c r="AJ6" s="30" t="s">
        <v>422</v>
      </c>
      <c r="AK6" s="30">
        <v>10220.34</v>
      </c>
      <c r="AL6" s="30">
        <v>9312.92</v>
      </c>
      <c r="AM6" s="30">
        <v>12304.69</v>
      </c>
      <c r="AN6" s="30">
        <v>14993.95</v>
      </c>
      <c r="AO6" s="30">
        <v>16452.72</v>
      </c>
      <c r="AP6" s="30">
        <v>12951.95</v>
      </c>
      <c r="AQ6" s="30">
        <v>11275.19</v>
      </c>
      <c r="AR6" s="30">
        <v>6042.99</v>
      </c>
      <c r="AS6" s="30">
        <v>8466.48</v>
      </c>
      <c r="AT6" s="22">
        <v>8127.34</v>
      </c>
      <c r="AV6" s="30">
        <v>5</v>
      </c>
      <c r="AW6" s="30" t="s">
        <v>2023</v>
      </c>
      <c r="AX6" s="30">
        <v>2172</v>
      </c>
      <c r="AY6" s="30">
        <v>1984.7</v>
      </c>
      <c r="AZ6" s="30">
        <v>1877.2</v>
      </c>
      <c r="BA6" s="30">
        <v>1519.8</v>
      </c>
      <c r="BB6" s="30">
        <v>3042.5</v>
      </c>
      <c r="BC6" s="30">
        <v>2762.4</v>
      </c>
      <c r="BD6" s="30">
        <v>2056.6999999999998</v>
      </c>
      <c r="BE6" s="30">
        <v>1496.6</v>
      </c>
      <c r="BF6" s="30">
        <v>2195.8000000000002</v>
      </c>
      <c r="BG6" s="22">
        <v>2786.7</v>
      </c>
    </row>
    <row r="7" spans="1:59" ht="28.2" thickBot="1" x14ac:dyDescent="0.3">
      <c r="A7" s="30">
        <v>6</v>
      </c>
      <c r="B7" s="30" t="s">
        <v>3174</v>
      </c>
      <c r="C7" s="30" t="s">
        <v>6422</v>
      </c>
      <c r="D7" s="30">
        <v>2105.46</v>
      </c>
      <c r="E7" s="30">
        <v>5019.1000000000004</v>
      </c>
      <c r="F7" s="30">
        <v>1919.28</v>
      </c>
      <c r="G7" s="30">
        <v>3067.62</v>
      </c>
      <c r="H7" s="30">
        <v>993.95</v>
      </c>
      <c r="I7" s="30">
        <v>1099.95</v>
      </c>
      <c r="J7" s="30">
        <v>1384.94</v>
      </c>
      <c r="K7" s="30">
        <v>2072.89</v>
      </c>
      <c r="L7" s="30">
        <v>1038.24</v>
      </c>
      <c r="M7" s="22">
        <v>1889.57</v>
      </c>
      <c r="T7" s="30">
        <v>6</v>
      </c>
      <c r="U7" s="30" t="s">
        <v>2019</v>
      </c>
      <c r="V7" s="30">
        <v>25585.4</v>
      </c>
      <c r="W7" s="30">
        <v>27536</v>
      </c>
      <c r="X7" s="30">
        <v>27625.9</v>
      </c>
      <c r="Y7" s="30">
        <v>52302.3</v>
      </c>
      <c r="Z7" s="30">
        <v>17249.900000000001</v>
      </c>
      <c r="AA7" s="30">
        <v>23332</v>
      </c>
      <c r="AB7" s="30">
        <v>10681.4</v>
      </c>
      <c r="AC7" s="30">
        <v>9013.6</v>
      </c>
      <c r="AD7" s="30">
        <v>17277.7</v>
      </c>
      <c r="AE7" s="22">
        <v>6483.8</v>
      </c>
      <c r="AH7" s="30">
        <v>6</v>
      </c>
      <c r="AI7" s="30" t="s">
        <v>3174</v>
      </c>
      <c r="AJ7" s="30" t="s">
        <v>6422</v>
      </c>
      <c r="AK7" s="30">
        <v>728.04</v>
      </c>
      <c r="AL7" s="30">
        <v>857.63</v>
      </c>
      <c r="AM7" s="30">
        <v>740.81</v>
      </c>
      <c r="AN7" s="30">
        <v>540.96</v>
      </c>
      <c r="AO7" s="30">
        <v>759.29</v>
      </c>
      <c r="AP7" s="30">
        <v>842.99</v>
      </c>
      <c r="AQ7" s="30">
        <v>392.77</v>
      </c>
      <c r="AR7" s="30">
        <v>284.39999999999998</v>
      </c>
      <c r="AS7" s="30">
        <v>187.15</v>
      </c>
      <c r="AT7" s="22">
        <v>250.5</v>
      </c>
      <c r="AV7" s="30">
        <v>6</v>
      </c>
      <c r="AW7" s="30" t="s">
        <v>2019</v>
      </c>
      <c r="AX7" s="30">
        <v>12138.1</v>
      </c>
      <c r="AY7" s="30">
        <v>19926.7</v>
      </c>
      <c r="AZ7" s="30">
        <v>12113.6</v>
      </c>
      <c r="BA7" s="30">
        <v>12189.9</v>
      </c>
      <c r="BB7" s="30">
        <v>14541.5</v>
      </c>
      <c r="BC7" s="30">
        <v>12797.2</v>
      </c>
      <c r="BD7" s="30">
        <v>8344</v>
      </c>
      <c r="BE7" s="30">
        <v>5905.5</v>
      </c>
      <c r="BF7" s="30">
        <v>12621.3</v>
      </c>
      <c r="BG7" s="22">
        <v>9898.9</v>
      </c>
    </row>
    <row r="8" spans="1:59" ht="28.2" thickBot="1" x14ac:dyDescent="0.3">
      <c r="A8" s="30">
        <v>7</v>
      </c>
      <c r="B8" s="30" t="s">
        <v>2018</v>
      </c>
      <c r="C8" s="30" t="s">
        <v>1321</v>
      </c>
      <c r="D8" s="30">
        <v>398251.46</v>
      </c>
      <c r="E8" s="30">
        <v>325676.93</v>
      </c>
      <c r="F8" s="30">
        <v>315952.62</v>
      </c>
      <c r="G8" s="30">
        <v>390794.04</v>
      </c>
      <c r="H8" s="30">
        <v>435825.21</v>
      </c>
      <c r="I8" s="30">
        <v>303861.98</v>
      </c>
      <c r="J8" s="30">
        <v>268895.2</v>
      </c>
      <c r="K8" s="30">
        <v>243652.36</v>
      </c>
      <c r="L8" s="30">
        <v>250159.53</v>
      </c>
      <c r="M8" s="22">
        <v>227872.71</v>
      </c>
      <c r="T8" s="30">
        <v>7</v>
      </c>
      <c r="U8" s="30" t="s">
        <v>2178</v>
      </c>
      <c r="V8" s="30">
        <v>18372</v>
      </c>
      <c r="W8" s="30">
        <v>15784.8</v>
      </c>
      <c r="X8" s="30">
        <v>18405.099999999999</v>
      </c>
      <c r="Y8" s="30">
        <v>25352.5</v>
      </c>
      <c r="Z8" s="30">
        <v>36894.9</v>
      </c>
      <c r="AA8" s="30">
        <v>24383.5</v>
      </c>
      <c r="AB8" s="30">
        <v>18160.3</v>
      </c>
      <c r="AC8" s="30">
        <v>10855.4</v>
      </c>
      <c r="AD8" s="30">
        <v>11763.8</v>
      </c>
      <c r="AE8" s="22">
        <v>9836</v>
      </c>
      <c r="AH8" s="30">
        <v>7</v>
      </c>
      <c r="AI8" s="30" t="s">
        <v>2018</v>
      </c>
      <c r="AJ8" s="30" t="s">
        <v>1321</v>
      </c>
      <c r="AK8" s="30">
        <v>230150.93</v>
      </c>
      <c r="AL8" s="30">
        <v>321680.74</v>
      </c>
      <c r="AM8" s="30">
        <v>152314.6</v>
      </c>
      <c r="AN8" s="30">
        <v>223772.19</v>
      </c>
      <c r="AO8" s="30">
        <v>246918.17</v>
      </c>
      <c r="AP8" s="30">
        <v>166182.65</v>
      </c>
      <c r="AQ8" s="30">
        <v>218310.51</v>
      </c>
      <c r="AR8" s="30">
        <v>21528.74</v>
      </c>
      <c r="AS8" s="30">
        <v>25279.5</v>
      </c>
      <c r="AT8" s="22">
        <v>195870.58</v>
      </c>
      <c r="AV8" s="30">
        <v>7</v>
      </c>
      <c r="AW8" s="30" t="s">
        <v>2178</v>
      </c>
      <c r="AX8" s="30">
        <v>20885.8</v>
      </c>
      <c r="AY8" s="30">
        <v>20092.3</v>
      </c>
      <c r="AZ8" s="30">
        <v>15295.8</v>
      </c>
      <c r="BA8" s="30">
        <v>23337.1</v>
      </c>
      <c r="BB8" s="30">
        <v>20465.5</v>
      </c>
      <c r="BC8" s="30">
        <v>36743.1</v>
      </c>
      <c r="BD8" s="30">
        <v>23726.799999999999</v>
      </c>
      <c r="BE8" s="30">
        <v>16771.2</v>
      </c>
      <c r="BF8" s="30">
        <v>18090.2</v>
      </c>
      <c r="BG8" s="22">
        <v>23533</v>
      </c>
    </row>
    <row r="9" spans="1:59" ht="42" thickBot="1" x14ac:dyDescent="0.3">
      <c r="A9" s="30">
        <v>8</v>
      </c>
      <c r="B9" s="30" t="s">
        <v>2170</v>
      </c>
      <c r="C9" s="30" t="s">
        <v>2171</v>
      </c>
      <c r="D9" s="30">
        <v>1101.08</v>
      </c>
      <c r="E9" s="30">
        <v>1254.92</v>
      </c>
      <c r="F9" s="30">
        <v>935.47</v>
      </c>
      <c r="G9" s="30">
        <v>999.7</v>
      </c>
      <c r="H9" s="30">
        <v>1161.27</v>
      </c>
      <c r="I9" s="30">
        <v>956.91</v>
      </c>
      <c r="J9" s="30">
        <v>1064.95</v>
      </c>
      <c r="K9" s="30">
        <v>914.27</v>
      </c>
      <c r="L9" s="30">
        <v>518.24</v>
      </c>
      <c r="M9" s="22">
        <v>711.61</v>
      </c>
      <c r="T9" s="30">
        <v>8</v>
      </c>
      <c r="U9" s="30" t="s">
        <v>2898</v>
      </c>
      <c r="V9" s="30" t="s">
        <v>2908</v>
      </c>
      <c r="W9" s="30" t="s">
        <v>2908</v>
      </c>
      <c r="X9" s="30" t="s">
        <v>2908</v>
      </c>
      <c r="Y9" s="30" t="s">
        <v>2908</v>
      </c>
      <c r="Z9" s="30" t="s">
        <v>2908</v>
      </c>
      <c r="AA9" s="30">
        <v>1426.9</v>
      </c>
      <c r="AB9" s="30">
        <v>2054</v>
      </c>
      <c r="AC9" s="30">
        <v>1949.3</v>
      </c>
      <c r="AD9" s="30">
        <v>963.2</v>
      </c>
      <c r="AE9" s="22">
        <v>809.3</v>
      </c>
      <c r="AH9" s="30">
        <v>8</v>
      </c>
      <c r="AI9" s="30" t="s">
        <v>2170</v>
      </c>
      <c r="AJ9" s="30" t="s">
        <v>2171</v>
      </c>
      <c r="AK9" s="30">
        <v>192.26</v>
      </c>
      <c r="AL9" s="30">
        <v>236.86</v>
      </c>
      <c r="AM9" s="30">
        <v>178.25</v>
      </c>
      <c r="AN9" s="30">
        <v>128.96</v>
      </c>
      <c r="AO9" s="30">
        <v>299.93</v>
      </c>
      <c r="AP9" s="30">
        <v>190.71</v>
      </c>
      <c r="AQ9" s="30">
        <v>181.5</v>
      </c>
      <c r="AR9" s="30">
        <v>224.66</v>
      </c>
      <c r="AS9" s="30">
        <v>282.06</v>
      </c>
      <c r="AT9" s="22">
        <v>110.44</v>
      </c>
      <c r="AV9" s="30">
        <v>8</v>
      </c>
      <c r="AW9" s="30" t="s">
        <v>2898</v>
      </c>
      <c r="AX9" s="30">
        <v>287.2</v>
      </c>
      <c r="AY9" s="30">
        <v>81.400000000000006</v>
      </c>
      <c r="AZ9" s="30">
        <v>177.6</v>
      </c>
      <c r="BA9" s="30">
        <v>145.9</v>
      </c>
      <c r="BB9" s="30">
        <v>168.3</v>
      </c>
      <c r="BC9" s="30">
        <v>1426.9</v>
      </c>
      <c r="BD9" s="30">
        <v>2053.9</v>
      </c>
      <c r="BE9" s="30">
        <v>1949.3</v>
      </c>
      <c r="BF9" s="30">
        <v>963.2</v>
      </c>
      <c r="BG9" s="22">
        <v>809.3</v>
      </c>
    </row>
    <row r="10" spans="1:59" ht="55.8" thickBot="1" x14ac:dyDescent="0.3">
      <c r="A10" s="30">
        <v>9</v>
      </c>
      <c r="B10" s="30" t="s">
        <v>2162</v>
      </c>
      <c r="C10" s="30" t="s">
        <v>2163</v>
      </c>
      <c r="D10" s="30">
        <v>8954.92</v>
      </c>
      <c r="E10" s="30">
        <v>6146.97</v>
      </c>
      <c r="F10" s="30">
        <v>7749.03</v>
      </c>
      <c r="G10" s="30">
        <v>12022.2</v>
      </c>
      <c r="H10" s="30">
        <v>3404.72</v>
      </c>
      <c r="I10" s="30">
        <v>9077.31</v>
      </c>
      <c r="J10" s="30">
        <v>2592.19</v>
      </c>
      <c r="K10" s="30">
        <v>3096.3</v>
      </c>
      <c r="L10" s="30">
        <v>1795.31</v>
      </c>
      <c r="M10" s="22">
        <v>913.35</v>
      </c>
      <c r="T10" s="30">
        <v>9</v>
      </c>
      <c r="U10" s="30" t="s">
        <v>2909</v>
      </c>
      <c r="V10" s="30" t="s">
        <v>2908</v>
      </c>
      <c r="W10" s="30" t="s">
        <v>2908</v>
      </c>
      <c r="X10" s="30" t="s">
        <v>2908</v>
      </c>
      <c r="Y10" s="30" t="s">
        <v>2908</v>
      </c>
      <c r="Z10" s="30" t="s">
        <v>2908</v>
      </c>
      <c r="AA10" s="30" t="s">
        <v>2908</v>
      </c>
      <c r="AB10" s="30" t="s">
        <v>2908</v>
      </c>
      <c r="AC10" s="30" t="s">
        <v>2908</v>
      </c>
      <c r="AD10" s="30" t="s">
        <v>2908</v>
      </c>
      <c r="AE10" s="22" t="s">
        <v>2908</v>
      </c>
      <c r="AH10" s="30">
        <v>9</v>
      </c>
      <c r="AI10" s="30" t="s">
        <v>2162</v>
      </c>
      <c r="AJ10" s="30" t="s">
        <v>2163</v>
      </c>
      <c r="AK10" s="30">
        <v>4055.26</v>
      </c>
      <c r="AL10" s="30">
        <v>2287.5700000000002</v>
      </c>
      <c r="AM10" s="30">
        <v>2573.61</v>
      </c>
      <c r="AN10" s="30">
        <v>2385.52</v>
      </c>
      <c r="AO10" s="30">
        <v>2156.71</v>
      </c>
      <c r="AP10" s="30">
        <v>4165.99</v>
      </c>
      <c r="AQ10" s="30">
        <v>5839.25</v>
      </c>
      <c r="AR10" s="30">
        <v>5018.1400000000003</v>
      </c>
      <c r="AS10" s="30">
        <v>5998.61</v>
      </c>
      <c r="AT10" s="22">
        <v>1628.04</v>
      </c>
      <c r="AV10" s="30">
        <v>9</v>
      </c>
      <c r="AW10" s="30" t="s">
        <v>2909</v>
      </c>
      <c r="AX10" s="30" t="s">
        <v>2908</v>
      </c>
      <c r="AY10" s="30" t="s">
        <v>2908</v>
      </c>
      <c r="AZ10" s="30" t="s">
        <v>2908</v>
      </c>
      <c r="BA10" s="30" t="s">
        <v>2908</v>
      </c>
      <c r="BB10" s="30" t="s">
        <v>2908</v>
      </c>
      <c r="BC10" s="30" t="s">
        <v>2908</v>
      </c>
      <c r="BD10" s="30" t="s">
        <v>2908</v>
      </c>
      <c r="BE10" s="30" t="s">
        <v>2908</v>
      </c>
      <c r="BF10" s="30" t="s">
        <v>2908</v>
      </c>
      <c r="BG10" s="22" t="s">
        <v>2908</v>
      </c>
    </row>
    <row r="11" spans="1:59" ht="42" thickBot="1" x14ac:dyDescent="0.3">
      <c r="A11" s="30">
        <v>10</v>
      </c>
      <c r="B11" s="30" t="s">
        <v>2930</v>
      </c>
      <c r="C11" s="30" t="s">
        <v>6423</v>
      </c>
      <c r="D11" s="30">
        <v>19613.57</v>
      </c>
      <c r="E11" s="30">
        <v>8319.89</v>
      </c>
      <c r="F11" s="30">
        <v>14218.54</v>
      </c>
      <c r="G11" s="30">
        <v>24592.53</v>
      </c>
      <c r="H11" s="30">
        <v>19134.36</v>
      </c>
      <c r="I11" s="30">
        <v>8124.65</v>
      </c>
      <c r="J11" s="30">
        <v>19993.900000000001</v>
      </c>
      <c r="K11" s="30">
        <v>19433.43</v>
      </c>
      <c r="L11" s="30">
        <v>17781.5</v>
      </c>
      <c r="M11" s="22">
        <v>11359.54</v>
      </c>
      <c r="T11" s="30">
        <v>10</v>
      </c>
      <c r="U11" s="30" t="s">
        <v>2166</v>
      </c>
      <c r="V11" s="30" t="s">
        <v>2908</v>
      </c>
      <c r="W11" s="30" t="s">
        <v>2908</v>
      </c>
      <c r="X11" s="30" t="s">
        <v>2908</v>
      </c>
      <c r="Y11" s="30" t="s">
        <v>2908</v>
      </c>
      <c r="Z11" s="30" t="s">
        <v>2908</v>
      </c>
      <c r="AA11" s="30" t="s">
        <v>2908</v>
      </c>
      <c r="AB11" s="30" t="s">
        <v>2908</v>
      </c>
      <c r="AC11" s="30" t="s">
        <v>2908</v>
      </c>
      <c r="AD11" s="30" t="s">
        <v>2908</v>
      </c>
      <c r="AE11" s="22" t="s">
        <v>2908</v>
      </c>
      <c r="AH11" s="30">
        <v>10</v>
      </c>
      <c r="AI11" s="30" t="s">
        <v>2930</v>
      </c>
      <c r="AJ11" s="30" t="s">
        <v>6423</v>
      </c>
      <c r="AK11" s="30">
        <v>5993.05</v>
      </c>
      <c r="AL11" s="30">
        <v>5838.39</v>
      </c>
      <c r="AM11" s="30">
        <v>6586.96</v>
      </c>
      <c r="AN11" s="30">
        <v>17769.13</v>
      </c>
      <c r="AO11" s="30">
        <v>9323.91</v>
      </c>
      <c r="AP11" s="30">
        <v>11852.66</v>
      </c>
      <c r="AQ11" s="30">
        <v>8664.2199999999993</v>
      </c>
      <c r="AR11" s="30">
        <v>6050.65</v>
      </c>
      <c r="AS11" s="30">
        <v>5473.49</v>
      </c>
      <c r="AT11" s="22">
        <v>2236.48</v>
      </c>
      <c r="AV11" s="30">
        <v>10</v>
      </c>
      <c r="AW11" s="30" t="s">
        <v>2166</v>
      </c>
      <c r="AX11" s="30" t="s">
        <v>2908</v>
      </c>
      <c r="AY11" s="30" t="s">
        <v>2908</v>
      </c>
      <c r="AZ11" s="30" t="s">
        <v>2908</v>
      </c>
      <c r="BA11" s="30" t="s">
        <v>2908</v>
      </c>
      <c r="BB11" s="30" t="s">
        <v>2908</v>
      </c>
      <c r="BC11" s="30" t="s">
        <v>2908</v>
      </c>
      <c r="BD11" s="30" t="s">
        <v>2908</v>
      </c>
      <c r="BE11" s="30" t="s">
        <v>2908</v>
      </c>
      <c r="BF11" s="30" t="s">
        <v>2908</v>
      </c>
      <c r="BG11" s="22" t="s">
        <v>2908</v>
      </c>
    </row>
    <row r="12" spans="1:59" ht="28.2" thickBot="1" x14ac:dyDescent="0.3">
      <c r="A12" s="30">
        <v>11</v>
      </c>
      <c r="B12" s="30" t="s">
        <v>2927</v>
      </c>
      <c r="C12" s="30" t="s">
        <v>6424</v>
      </c>
      <c r="D12" s="30">
        <v>4608.97</v>
      </c>
      <c r="E12" s="30">
        <v>3470.58</v>
      </c>
      <c r="F12" s="30">
        <v>4203.57</v>
      </c>
      <c r="G12" s="30">
        <v>5487.18</v>
      </c>
      <c r="H12" s="30">
        <v>7707.87</v>
      </c>
      <c r="I12" s="30">
        <v>3930.99</v>
      </c>
      <c r="J12" s="30">
        <v>5983.94</v>
      </c>
      <c r="K12" s="30">
        <v>6287.21</v>
      </c>
      <c r="L12" s="30">
        <v>3102.28</v>
      </c>
      <c r="M12" s="22">
        <v>7222.92</v>
      </c>
      <c r="T12" s="30">
        <v>11</v>
      </c>
      <c r="U12" s="30" t="s">
        <v>2911</v>
      </c>
      <c r="V12" s="30" t="s">
        <v>2908</v>
      </c>
      <c r="W12" s="30" t="s">
        <v>2908</v>
      </c>
      <c r="X12" s="30" t="s">
        <v>2908</v>
      </c>
      <c r="Y12" s="30" t="s">
        <v>2908</v>
      </c>
      <c r="Z12" s="30" t="s">
        <v>2908</v>
      </c>
      <c r="AA12" s="30" t="s">
        <v>2908</v>
      </c>
      <c r="AB12" s="30" t="s">
        <v>2908</v>
      </c>
      <c r="AC12" s="30" t="s">
        <v>2908</v>
      </c>
      <c r="AD12" s="30" t="s">
        <v>2908</v>
      </c>
      <c r="AE12" s="22" t="s">
        <v>2908</v>
      </c>
      <c r="AH12" s="30">
        <v>11</v>
      </c>
      <c r="AI12" s="30" t="s">
        <v>2927</v>
      </c>
      <c r="AJ12" s="30" t="s">
        <v>6424</v>
      </c>
      <c r="AK12" s="30">
        <v>2197.2199999999998</v>
      </c>
      <c r="AL12" s="30">
        <v>1893.52</v>
      </c>
      <c r="AM12" s="30">
        <v>2005.74</v>
      </c>
      <c r="AN12" s="30">
        <v>2017.62</v>
      </c>
      <c r="AO12" s="30">
        <v>3869.22</v>
      </c>
      <c r="AP12" s="30">
        <v>2106.04</v>
      </c>
      <c r="AQ12" s="30">
        <v>3756.86</v>
      </c>
      <c r="AR12" s="30">
        <v>3193.61</v>
      </c>
      <c r="AS12" s="30">
        <v>1855.77</v>
      </c>
      <c r="AT12" s="22">
        <v>2057.7600000000002</v>
      </c>
      <c r="AV12" s="30">
        <v>11</v>
      </c>
      <c r="AW12" s="30" t="s">
        <v>2911</v>
      </c>
      <c r="AX12" s="30" t="s">
        <v>2908</v>
      </c>
      <c r="AY12" s="30" t="s">
        <v>2908</v>
      </c>
      <c r="AZ12" s="30" t="s">
        <v>2908</v>
      </c>
      <c r="BA12" s="30" t="s">
        <v>2908</v>
      </c>
      <c r="BB12" s="30" t="s">
        <v>2908</v>
      </c>
      <c r="BC12" s="30" t="s">
        <v>2908</v>
      </c>
      <c r="BD12" s="30" t="s">
        <v>2908</v>
      </c>
      <c r="BE12" s="30" t="s">
        <v>2908</v>
      </c>
      <c r="BF12" s="30" t="s">
        <v>2908</v>
      </c>
      <c r="BG12" s="22" t="s">
        <v>2908</v>
      </c>
    </row>
    <row r="13" spans="1:59" ht="28.2" thickBot="1" x14ac:dyDescent="0.3">
      <c r="A13" s="30">
        <v>12</v>
      </c>
      <c r="B13" s="30" t="s">
        <v>2331</v>
      </c>
      <c r="C13" s="30" t="s">
        <v>6425</v>
      </c>
      <c r="D13" s="30">
        <v>1285.73</v>
      </c>
      <c r="E13" s="30">
        <v>1048.28</v>
      </c>
      <c r="F13" s="30">
        <v>1361</v>
      </c>
      <c r="G13" s="30">
        <v>1386.26</v>
      </c>
      <c r="H13" s="30">
        <v>3075.94</v>
      </c>
      <c r="I13" s="30">
        <v>1462.58</v>
      </c>
      <c r="J13" s="30">
        <v>806.29</v>
      </c>
      <c r="K13" s="30">
        <v>788.69</v>
      </c>
      <c r="L13" s="30">
        <v>696.4</v>
      </c>
      <c r="M13" s="22">
        <v>1352.61</v>
      </c>
      <c r="T13" s="30">
        <v>12</v>
      </c>
      <c r="U13" s="30" t="s">
        <v>2957</v>
      </c>
      <c r="V13" s="30">
        <v>1190.7</v>
      </c>
      <c r="W13" s="30">
        <v>1850.7</v>
      </c>
      <c r="X13" s="30">
        <v>1397.9</v>
      </c>
      <c r="Y13" s="30">
        <v>922.8</v>
      </c>
      <c r="Z13" s="30">
        <v>4880</v>
      </c>
      <c r="AA13" s="30">
        <v>683.3</v>
      </c>
      <c r="AB13" s="30">
        <v>6578</v>
      </c>
      <c r="AC13" s="30">
        <v>1656.8</v>
      </c>
      <c r="AD13" s="30">
        <v>2092.6</v>
      </c>
      <c r="AE13" s="22">
        <v>993.8</v>
      </c>
      <c r="AH13" s="30">
        <v>12</v>
      </c>
      <c r="AI13" s="30" t="s">
        <v>2331</v>
      </c>
      <c r="AJ13" s="30" t="s">
        <v>6425</v>
      </c>
      <c r="AK13" s="30">
        <v>647.58000000000004</v>
      </c>
      <c r="AL13" s="30">
        <v>564.13</v>
      </c>
      <c r="AM13" s="30">
        <v>453.91</v>
      </c>
      <c r="AN13" s="30">
        <v>417.42</v>
      </c>
      <c r="AO13" s="30">
        <v>828.91</v>
      </c>
      <c r="AP13" s="30">
        <v>667.01</v>
      </c>
      <c r="AQ13" s="30">
        <v>184.61</v>
      </c>
      <c r="AR13" s="30">
        <v>257.14999999999998</v>
      </c>
      <c r="AS13" s="30">
        <v>257.52</v>
      </c>
      <c r="AT13" s="22">
        <v>173</v>
      </c>
      <c r="AV13" s="30">
        <v>12</v>
      </c>
      <c r="AW13" s="30" t="s">
        <v>2957</v>
      </c>
      <c r="AX13" s="30">
        <v>3732.1</v>
      </c>
      <c r="AY13" s="30">
        <v>2483.5</v>
      </c>
      <c r="AZ13" s="30">
        <v>6502.1</v>
      </c>
      <c r="BA13" s="30">
        <v>3246.3</v>
      </c>
      <c r="BB13" s="30">
        <v>5002.1000000000004</v>
      </c>
      <c r="BC13" s="30">
        <v>3847</v>
      </c>
      <c r="BD13" s="30">
        <v>7328.3</v>
      </c>
      <c r="BE13" s="30">
        <v>705.7</v>
      </c>
      <c r="BF13" s="30">
        <v>547.79999999999995</v>
      </c>
      <c r="BG13" s="22">
        <v>3228.3</v>
      </c>
    </row>
    <row r="14" spans="1:59" ht="28.2" thickBot="1" x14ac:dyDescent="0.3">
      <c r="A14" s="30">
        <v>13</v>
      </c>
      <c r="B14" s="30" t="s">
        <v>2359</v>
      </c>
      <c r="C14" s="30" t="s">
        <v>396</v>
      </c>
      <c r="D14" s="30">
        <v>72933.539999999994</v>
      </c>
      <c r="E14" s="30">
        <v>43263.6</v>
      </c>
      <c r="F14" s="30">
        <v>67130.539999999994</v>
      </c>
      <c r="G14" s="30">
        <v>79029.09</v>
      </c>
      <c r="H14" s="30">
        <v>87437.48</v>
      </c>
      <c r="I14" s="30">
        <v>80970.73</v>
      </c>
      <c r="J14" s="30">
        <v>90485.48</v>
      </c>
      <c r="K14" s="30">
        <v>50394</v>
      </c>
      <c r="L14" s="30">
        <v>47695.21</v>
      </c>
      <c r="M14" s="22">
        <v>17504.150000000001</v>
      </c>
      <c r="T14" s="30">
        <v>13</v>
      </c>
      <c r="U14" s="30" t="s">
        <v>2913</v>
      </c>
      <c r="V14" s="30" t="s">
        <v>2908</v>
      </c>
      <c r="W14" s="30" t="s">
        <v>2908</v>
      </c>
      <c r="X14" s="30" t="s">
        <v>2908</v>
      </c>
      <c r="Y14" s="30" t="s">
        <v>2908</v>
      </c>
      <c r="Z14" s="30" t="s">
        <v>2908</v>
      </c>
      <c r="AA14" s="30" t="s">
        <v>2908</v>
      </c>
      <c r="AB14" s="30" t="s">
        <v>2908</v>
      </c>
      <c r="AC14" s="30" t="s">
        <v>2908</v>
      </c>
      <c r="AD14" s="30" t="s">
        <v>2908</v>
      </c>
      <c r="AE14" s="22" t="s">
        <v>2908</v>
      </c>
      <c r="AH14" s="30">
        <v>13</v>
      </c>
      <c r="AI14" s="30" t="s">
        <v>2359</v>
      </c>
      <c r="AJ14" s="30" t="s">
        <v>396</v>
      </c>
      <c r="AK14" s="30">
        <v>61276.93</v>
      </c>
      <c r="AL14" s="30">
        <v>47898.48</v>
      </c>
      <c r="AM14" s="30">
        <v>68577.399999999994</v>
      </c>
      <c r="AN14" s="30">
        <v>55529.52</v>
      </c>
      <c r="AO14" s="30">
        <v>46136.68</v>
      </c>
      <c r="AP14" s="30">
        <v>70559.42</v>
      </c>
      <c r="AQ14" s="30">
        <v>17526.14</v>
      </c>
      <c r="AR14" s="30">
        <v>19578.07</v>
      </c>
      <c r="AS14" s="30">
        <v>20081.8</v>
      </c>
      <c r="AT14" s="22">
        <v>6386.46</v>
      </c>
      <c r="AV14" s="30">
        <v>13</v>
      </c>
      <c r="AW14" s="30" t="s">
        <v>2913</v>
      </c>
      <c r="AX14" s="30" t="s">
        <v>2908</v>
      </c>
      <c r="AY14" s="30" t="s">
        <v>2908</v>
      </c>
      <c r="AZ14" s="30" t="s">
        <v>2908</v>
      </c>
      <c r="BA14" s="30" t="s">
        <v>2908</v>
      </c>
      <c r="BB14" s="30" t="s">
        <v>2908</v>
      </c>
      <c r="BC14" s="30" t="s">
        <v>2908</v>
      </c>
      <c r="BD14" s="30" t="s">
        <v>2908</v>
      </c>
      <c r="BE14" s="30" t="s">
        <v>2908</v>
      </c>
      <c r="BF14" s="30" t="s">
        <v>2908</v>
      </c>
      <c r="BG14" s="22" t="s">
        <v>2908</v>
      </c>
    </row>
    <row r="15" spans="1:59" ht="28.2" thickBot="1" x14ac:dyDescent="0.3">
      <c r="A15" s="30">
        <v>14</v>
      </c>
      <c r="B15" s="30" t="s">
        <v>2866</v>
      </c>
      <c r="C15" s="30" t="s">
        <v>378</v>
      </c>
      <c r="D15" s="30">
        <v>124290.22</v>
      </c>
      <c r="E15" s="30">
        <v>60836.9</v>
      </c>
      <c r="F15" s="30">
        <v>140599.35</v>
      </c>
      <c r="G15" s="30">
        <v>146807.16</v>
      </c>
      <c r="H15" s="30">
        <v>174637.2</v>
      </c>
      <c r="I15" s="30">
        <v>67087.759999999995</v>
      </c>
      <c r="J15" s="30">
        <v>110395.79</v>
      </c>
      <c r="K15" s="30">
        <v>137605.88</v>
      </c>
      <c r="L15" s="30">
        <v>96156.23</v>
      </c>
      <c r="M15" s="22">
        <v>78475.19</v>
      </c>
      <c r="T15" s="30">
        <v>14</v>
      </c>
      <c r="U15" s="30" t="s">
        <v>2173</v>
      </c>
      <c r="V15" s="30">
        <v>22459.8</v>
      </c>
      <c r="W15" s="30">
        <v>20134.099999999999</v>
      </c>
      <c r="X15" s="30">
        <v>24509.1</v>
      </c>
      <c r="Y15" s="30">
        <v>22125.9</v>
      </c>
      <c r="Z15" s="30">
        <v>29482.3</v>
      </c>
      <c r="AA15" s="30">
        <v>22186</v>
      </c>
      <c r="AB15" s="30">
        <v>32285</v>
      </c>
      <c r="AC15" s="30">
        <v>7646</v>
      </c>
      <c r="AD15" s="30">
        <v>12965.8</v>
      </c>
      <c r="AE15" s="22">
        <v>6445.5</v>
      </c>
      <c r="AH15" s="30">
        <v>14</v>
      </c>
      <c r="AI15" s="30" t="s">
        <v>2866</v>
      </c>
      <c r="AJ15" s="30" t="s">
        <v>378</v>
      </c>
      <c r="AK15" s="30">
        <v>17733.05</v>
      </c>
      <c r="AL15" s="30">
        <v>21487.43</v>
      </c>
      <c r="AM15" s="30">
        <v>31386.58</v>
      </c>
      <c r="AN15" s="30">
        <v>11886.35</v>
      </c>
      <c r="AO15" s="30">
        <v>29727.68</v>
      </c>
      <c r="AP15" s="30">
        <v>23963.56</v>
      </c>
      <c r="AQ15" s="30">
        <v>45719.26</v>
      </c>
      <c r="AR15" s="30">
        <v>13522</v>
      </c>
      <c r="AS15" s="30">
        <v>12945.05</v>
      </c>
      <c r="AT15" s="22">
        <v>10062.540000000001</v>
      </c>
      <c r="AV15" s="30">
        <v>14</v>
      </c>
      <c r="AW15" s="30" t="s">
        <v>2173</v>
      </c>
      <c r="AX15" s="30">
        <v>31020.2</v>
      </c>
      <c r="AY15" s="30">
        <v>24861.8</v>
      </c>
      <c r="AZ15" s="30">
        <v>28724.799999999999</v>
      </c>
      <c r="BA15" s="30">
        <v>21406.9</v>
      </c>
      <c r="BB15" s="30">
        <v>11764</v>
      </c>
      <c r="BC15" s="30">
        <v>40082.6</v>
      </c>
      <c r="BD15" s="30">
        <v>31296</v>
      </c>
      <c r="BE15" s="30">
        <v>49144.4</v>
      </c>
      <c r="BF15" s="30">
        <v>31239.599999999999</v>
      </c>
      <c r="BG15" s="22">
        <v>25845.599999999999</v>
      </c>
    </row>
    <row r="16" spans="1:59" ht="28.2" thickBot="1" x14ac:dyDescent="0.3">
      <c r="A16" s="30">
        <v>15</v>
      </c>
      <c r="B16" s="30" t="s">
        <v>3347</v>
      </c>
      <c r="C16" s="30" t="s">
        <v>1182</v>
      </c>
      <c r="D16" s="30">
        <v>18075.669999999998</v>
      </c>
      <c r="E16" s="30">
        <v>13582.66</v>
      </c>
      <c r="F16" s="30">
        <v>12574.64</v>
      </c>
      <c r="G16" s="30">
        <v>25381.23</v>
      </c>
      <c r="H16" s="30">
        <v>23440.22</v>
      </c>
      <c r="I16" s="30">
        <v>12361.82</v>
      </c>
      <c r="J16" s="30">
        <v>15171.63</v>
      </c>
      <c r="K16" s="30">
        <v>19238.05</v>
      </c>
      <c r="L16" s="30">
        <v>14944.56</v>
      </c>
      <c r="M16" s="22">
        <v>14892.51</v>
      </c>
      <c r="T16" s="30">
        <v>15</v>
      </c>
      <c r="U16" s="30" t="s">
        <v>2914</v>
      </c>
      <c r="V16" s="30">
        <v>510.4</v>
      </c>
      <c r="W16" s="30">
        <v>199.4</v>
      </c>
      <c r="X16" s="30">
        <v>476.4</v>
      </c>
      <c r="Y16" s="30">
        <v>208.3</v>
      </c>
      <c r="Z16" s="30">
        <v>2920</v>
      </c>
      <c r="AA16" s="30">
        <v>540.9</v>
      </c>
      <c r="AB16" s="30">
        <v>354.3</v>
      </c>
      <c r="AC16" s="30">
        <v>125.4</v>
      </c>
      <c r="AD16" s="30">
        <v>178.2</v>
      </c>
      <c r="AE16" s="22">
        <v>42.4</v>
      </c>
      <c r="AH16" s="30">
        <v>15</v>
      </c>
      <c r="AI16" s="30" t="s">
        <v>3347</v>
      </c>
      <c r="AJ16" s="30" t="s">
        <v>1182</v>
      </c>
      <c r="AK16" s="30">
        <v>8981.4</v>
      </c>
      <c r="AL16" s="30">
        <v>15260.89</v>
      </c>
      <c r="AM16" s="30">
        <v>9998.7199999999993</v>
      </c>
      <c r="AN16" s="30">
        <v>13139.77</v>
      </c>
      <c r="AO16" s="30">
        <v>13648.13</v>
      </c>
      <c r="AP16" s="30">
        <v>9439.23</v>
      </c>
      <c r="AQ16" s="30">
        <v>12194.49</v>
      </c>
      <c r="AR16" s="30">
        <v>12429.71</v>
      </c>
      <c r="AS16" s="30">
        <v>9684.41</v>
      </c>
      <c r="AT16" s="22">
        <v>5208.3999999999996</v>
      </c>
      <c r="AV16" s="30">
        <v>15</v>
      </c>
      <c r="AW16" s="30" t="s">
        <v>2914</v>
      </c>
      <c r="AX16" s="30" t="s">
        <v>2908</v>
      </c>
      <c r="AY16" s="30" t="s">
        <v>2908</v>
      </c>
      <c r="AZ16" s="30" t="s">
        <v>2908</v>
      </c>
      <c r="BA16" s="30" t="s">
        <v>2908</v>
      </c>
      <c r="BB16" s="30" t="s">
        <v>2908</v>
      </c>
      <c r="BC16" s="30">
        <v>540.9</v>
      </c>
      <c r="BD16" s="30">
        <v>354.3</v>
      </c>
      <c r="BE16" s="30">
        <v>125.4</v>
      </c>
      <c r="BF16" s="30">
        <v>178.2</v>
      </c>
      <c r="BG16" s="22">
        <v>42.4</v>
      </c>
    </row>
    <row r="17" spans="1:59" ht="42" thickBot="1" x14ac:dyDescent="0.3">
      <c r="A17" s="30">
        <v>16</v>
      </c>
      <c r="B17" s="30" t="s">
        <v>2915</v>
      </c>
      <c r="C17" s="30" t="s">
        <v>6426</v>
      </c>
      <c r="D17" s="30">
        <v>701.3</v>
      </c>
      <c r="E17" s="30">
        <v>373.25</v>
      </c>
      <c r="F17" s="30">
        <v>631.63</v>
      </c>
      <c r="G17" s="30">
        <v>420.8</v>
      </c>
      <c r="H17" s="30">
        <v>1375.17</v>
      </c>
      <c r="I17" s="30">
        <v>633.52</v>
      </c>
      <c r="J17" s="30">
        <v>3831.42</v>
      </c>
      <c r="K17" s="30">
        <v>1654.22</v>
      </c>
      <c r="L17" s="30">
        <v>1264.74</v>
      </c>
      <c r="M17" s="22">
        <v>465.53</v>
      </c>
      <c r="T17" s="30">
        <v>16</v>
      </c>
      <c r="U17" s="30" t="s">
        <v>2029</v>
      </c>
      <c r="V17" s="30">
        <v>3187.9</v>
      </c>
      <c r="W17" s="30">
        <v>2554.8000000000002</v>
      </c>
      <c r="X17" s="30">
        <v>870</v>
      </c>
      <c r="Y17" s="30">
        <v>2543.8000000000002</v>
      </c>
      <c r="Z17" s="30">
        <v>5846.8</v>
      </c>
      <c r="AA17" s="30">
        <v>2324</v>
      </c>
      <c r="AB17" s="30">
        <v>2668.2</v>
      </c>
      <c r="AC17" s="30">
        <v>3244.9</v>
      </c>
      <c r="AD17" s="30">
        <v>1988.9</v>
      </c>
      <c r="AE17" s="22">
        <v>1250.5999999999999</v>
      </c>
      <c r="AH17" s="30">
        <v>16</v>
      </c>
      <c r="AI17" s="30" t="s">
        <v>2915</v>
      </c>
      <c r="AJ17" s="30" t="s">
        <v>6426</v>
      </c>
      <c r="AK17" s="30">
        <v>581.6</v>
      </c>
      <c r="AL17" s="30">
        <v>3737.21</v>
      </c>
      <c r="AM17" s="30">
        <v>466.35</v>
      </c>
      <c r="AN17" s="30">
        <v>373.01</v>
      </c>
      <c r="AO17" s="30">
        <v>1089.8</v>
      </c>
      <c r="AP17" s="30">
        <v>3217.19</v>
      </c>
      <c r="AQ17" s="30">
        <v>1743.95</v>
      </c>
      <c r="AR17" s="30">
        <v>1498.64</v>
      </c>
      <c r="AS17" s="30">
        <v>937.81</v>
      </c>
      <c r="AT17" s="22">
        <v>258.77</v>
      </c>
      <c r="AV17" s="30">
        <v>16</v>
      </c>
      <c r="AW17" s="30" t="s">
        <v>2029</v>
      </c>
      <c r="AX17" s="30">
        <v>63.8</v>
      </c>
      <c r="AY17" s="30">
        <v>61</v>
      </c>
      <c r="AZ17" s="30">
        <v>68.8</v>
      </c>
      <c r="BA17" s="30">
        <v>96.9</v>
      </c>
      <c r="BB17" s="30">
        <v>46</v>
      </c>
      <c r="BC17" s="30">
        <v>2324</v>
      </c>
      <c r="BD17" s="30">
        <v>2668.2</v>
      </c>
      <c r="BE17" s="30">
        <v>3244.9</v>
      </c>
      <c r="BF17" s="30">
        <v>1988.9</v>
      </c>
      <c r="BG17" s="22">
        <v>1250.5999999999999</v>
      </c>
    </row>
    <row r="18" spans="1:59" ht="28.2" thickBot="1" x14ac:dyDescent="0.3">
      <c r="A18" s="30">
        <v>17</v>
      </c>
      <c r="B18" s="30" t="s">
        <v>2019</v>
      </c>
      <c r="C18" s="30" t="s">
        <v>1278</v>
      </c>
      <c r="D18" s="30">
        <v>25585.42</v>
      </c>
      <c r="E18" s="30">
        <v>27536.03</v>
      </c>
      <c r="F18" s="30">
        <v>27625.85</v>
      </c>
      <c r="G18" s="30">
        <v>52302.3</v>
      </c>
      <c r="H18" s="30">
        <v>17249.93</v>
      </c>
      <c r="I18" s="30">
        <v>23332.03</v>
      </c>
      <c r="J18" s="30">
        <v>10681.44</v>
      </c>
      <c r="K18" s="30">
        <v>9013.5499999999993</v>
      </c>
      <c r="L18" s="30">
        <v>17277.68</v>
      </c>
      <c r="M18" s="22">
        <v>6483.78</v>
      </c>
      <c r="T18" s="30">
        <v>17</v>
      </c>
      <c r="U18" s="30" t="s">
        <v>2028</v>
      </c>
      <c r="V18" s="30" t="s">
        <v>2908</v>
      </c>
      <c r="W18" s="30" t="s">
        <v>2908</v>
      </c>
      <c r="X18" s="30" t="s">
        <v>2908</v>
      </c>
      <c r="Y18" s="30" t="s">
        <v>2908</v>
      </c>
      <c r="Z18" s="30" t="s">
        <v>2908</v>
      </c>
      <c r="AA18" s="30">
        <v>5038.1000000000004</v>
      </c>
      <c r="AB18" s="30">
        <v>4959.6000000000004</v>
      </c>
      <c r="AC18" s="30">
        <v>6105.9</v>
      </c>
      <c r="AD18" s="30">
        <v>4272.3</v>
      </c>
      <c r="AE18" s="22">
        <v>2000</v>
      </c>
      <c r="AH18" s="30">
        <v>17</v>
      </c>
      <c r="AI18" s="30" t="s">
        <v>2019</v>
      </c>
      <c r="AJ18" s="30" t="s">
        <v>1278</v>
      </c>
      <c r="AK18" s="30">
        <v>12138.05</v>
      </c>
      <c r="AL18" s="30">
        <v>19926.68</v>
      </c>
      <c r="AM18" s="30">
        <v>12113.61</v>
      </c>
      <c r="AN18" s="30">
        <v>12189.85</v>
      </c>
      <c r="AO18" s="30">
        <v>14541.46</v>
      </c>
      <c r="AP18" s="30">
        <v>12797.19</v>
      </c>
      <c r="AQ18" s="30">
        <v>8344.0300000000007</v>
      </c>
      <c r="AR18" s="30">
        <v>5905.54</v>
      </c>
      <c r="AS18" s="30">
        <v>12621.33</v>
      </c>
      <c r="AT18" s="22">
        <v>9898.8799999999992</v>
      </c>
      <c r="AV18" s="30">
        <v>17</v>
      </c>
      <c r="AW18" s="30" t="s">
        <v>2028</v>
      </c>
      <c r="AX18" s="30">
        <v>3443.9</v>
      </c>
      <c r="AY18" s="30">
        <v>2249.5</v>
      </c>
      <c r="AZ18" s="30">
        <v>995.2</v>
      </c>
      <c r="BA18" s="30">
        <v>1249</v>
      </c>
      <c r="BB18" s="30">
        <v>2470.8000000000002</v>
      </c>
      <c r="BC18" s="30">
        <v>5038.1000000000004</v>
      </c>
      <c r="BD18" s="30">
        <v>4959.6000000000004</v>
      </c>
      <c r="BE18" s="30">
        <v>6105.9</v>
      </c>
      <c r="BF18" s="30">
        <v>4272.3</v>
      </c>
      <c r="BG18" s="22">
        <v>2000</v>
      </c>
    </row>
    <row r="19" spans="1:59" ht="28.2" thickBot="1" x14ac:dyDescent="0.3">
      <c r="A19" s="30">
        <v>18</v>
      </c>
      <c r="B19" s="30" t="s">
        <v>2872</v>
      </c>
      <c r="C19" s="30" t="s">
        <v>402</v>
      </c>
      <c r="D19" s="30">
        <v>110832.34</v>
      </c>
      <c r="E19" s="30">
        <v>127468.24</v>
      </c>
      <c r="F19" s="30">
        <v>106538.92</v>
      </c>
      <c r="G19" s="30">
        <v>96718.98</v>
      </c>
      <c r="H19" s="30">
        <v>156792.75</v>
      </c>
      <c r="I19" s="30">
        <v>132390.75</v>
      </c>
      <c r="J19" s="30">
        <v>86930.8</v>
      </c>
      <c r="K19" s="30">
        <v>72516.37</v>
      </c>
      <c r="L19" s="30">
        <v>70460.39</v>
      </c>
      <c r="M19" s="22">
        <v>75556.69</v>
      </c>
      <c r="T19" s="30">
        <v>18</v>
      </c>
      <c r="U19" s="30" t="s">
        <v>2915</v>
      </c>
      <c r="V19" s="30">
        <v>701.3</v>
      </c>
      <c r="W19" s="30">
        <v>373.3</v>
      </c>
      <c r="X19" s="30">
        <v>631.6</v>
      </c>
      <c r="Y19" s="30">
        <v>420.8</v>
      </c>
      <c r="Z19" s="30">
        <v>1375.2</v>
      </c>
      <c r="AA19" s="30">
        <v>633.5</v>
      </c>
      <c r="AB19" s="30">
        <v>3831.4</v>
      </c>
      <c r="AC19" s="30">
        <v>1654.2</v>
      </c>
      <c r="AD19" s="30">
        <v>1264.7</v>
      </c>
      <c r="AE19" s="22">
        <v>465.5</v>
      </c>
      <c r="AH19" s="30">
        <v>18</v>
      </c>
      <c r="AI19" s="30" t="s">
        <v>2872</v>
      </c>
      <c r="AJ19" s="30" t="s">
        <v>402</v>
      </c>
      <c r="AK19" s="30">
        <v>40098.83</v>
      </c>
      <c r="AL19" s="30">
        <v>51111.14</v>
      </c>
      <c r="AM19" s="30">
        <v>78724.91</v>
      </c>
      <c r="AN19" s="30">
        <v>43622.21</v>
      </c>
      <c r="AO19" s="30">
        <v>62236.9</v>
      </c>
      <c r="AP19" s="30">
        <v>52436.59</v>
      </c>
      <c r="AQ19" s="30">
        <v>70195.679999999993</v>
      </c>
      <c r="AR19" s="30">
        <v>77286.36</v>
      </c>
      <c r="AS19" s="30">
        <v>6334.31</v>
      </c>
      <c r="AT19" s="22">
        <v>54302.29</v>
      </c>
      <c r="AV19" s="30">
        <v>18</v>
      </c>
      <c r="AW19" s="30" t="s">
        <v>2915</v>
      </c>
      <c r="AX19" s="30">
        <v>581.6</v>
      </c>
      <c r="AY19" s="30">
        <v>3737.2</v>
      </c>
      <c r="AZ19" s="30">
        <v>466.4</v>
      </c>
      <c r="BA19" s="30">
        <v>373</v>
      </c>
      <c r="BB19" s="30">
        <v>1089.8</v>
      </c>
      <c r="BC19" s="30">
        <v>633.5</v>
      </c>
      <c r="BD19" s="30">
        <v>3831.4</v>
      </c>
      <c r="BE19" s="30">
        <v>1654.2</v>
      </c>
      <c r="BF19" s="30">
        <v>1264.7</v>
      </c>
      <c r="BG19" s="22">
        <v>465.5</v>
      </c>
    </row>
    <row r="20" spans="1:59" ht="28.2" thickBot="1" x14ac:dyDescent="0.3">
      <c r="A20" s="30">
        <v>19</v>
      </c>
      <c r="B20" s="30" t="s">
        <v>2017</v>
      </c>
      <c r="C20" s="30" t="s">
        <v>1292</v>
      </c>
      <c r="D20" s="30">
        <v>1530600.63</v>
      </c>
      <c r="E20" s="30">
        <v>1554592.27</v>
      </c>
      <c r="F20" s="30">
        <v>1523605.62</v>
      </c>
      <c r="G20" s="30">
        <v>1533231.71</v>
      </c>
      <c r="H20" s="30">
        <v>1690430.99</v>
      </c>
      <c r="I20" s="30">
        <v>1415239.89</v>
      </c>
      <c r="J20" s="30">
        <v>1617237.25</v>
      </c>
      <c r="K20" s="30">
        <v>1574451.42</v>
      </c>
      <c r="L20" s="30">
        <v>1550172.11</v>
      </c>
      <c r="M20" s="22">
        <v>1508633.18</v>
      </c>
      <c r="T20" s="30">
        <v>19</v>
      </c>
      <c r="U20" s="30" t="s">
        <v>2318</v>
      </c>
      <c r="V20" s="30">
        <v>4535</v>
      </c>
      <c r="W20" s="30">
        <v>2044.9</v>
      </c>
      <c r="X20" s="30">
        <v>7356.2</v>
      </c>
      <c r="Y20" s="30">
        <v>4489.8</v>
      </c>
      <c r="Z20" s="30">
        <v>4268.1000000000004</v>
      </c>
      <c r="AA20" s="30">
        <v>1597.4</v>
      </c>
      <c r="AB20" s="30">
        <v>5634.7</v>
      </c>
      <c r="AC20" s="30">
        <v>3180.4</v>
      </c>
      <c r="AD20" s="30">
        <v>2412</v>
      </c>
      <c r="AE20" s="22" t="s">
        <v>2908</v>
      </c>
      <c r="AH20" s="30">
        <v>19</v>
      </c>
      <c r="AI20" s="30" t="s">
        <v>2017</v>
      </c>
      <c r="AJ20" s="30" t="s">
        <v>1292</v>
      </c>
      <c r="AK20" s="30">
        <v>1324332.3600000001</v>
      </c>
      <c r="AL20" s="30">
        <v>1514600.27</v>
      </c>
      <c r="AM20" s="30">
        <v>1345945.06</v>
      </c>
      <c r="AN20" s="30">
        <v>1316390.8899999999</v>
      </c>
      <c r="AO20" s="30">
        <v>1413435.62</v>
      </c>
      <c r="AP20" s="30">
        <v>1278175.6000000001</v>
      </c>
      <c r="AQ20" s="30">
        <v>1275952.74</v>
      </c>
      <c r="AR20" s="30">
        <v>1267567.98</v>
      </c>
      <c r="AS20" s="30">
        <v>1262054.68</v>
      </c>
      <c r="AT20" s="22">
        <v>1245618.6200000001</v>
      </c>
      <c r="AV20" s="30">
        <v>19</v>
      </c>
      <c r="AW20" s="30" t="s">
        <v>2318</v>
      </c>
      <c r="AX20" s="30">
        <v>922.7</v>
      </c>
      <c r="AY20" s="30">
        <v>571.4</v>
      </c>
      <c r="AZ20" s="30">
        <v>1230</v>
      </c>
      <c r="BA20" s="30">
        <v>573.5</v>
      </c>
      <c r="BB20" s="30">
        <v>1577.9</v>
      </c>
      <c r="BC20" s="30">
        <v>861.4</v>
      </c>
      <c r="BD20" s="30">
        <v>1233.5999999999999</v>
      </c>
      <c r="BE20" s="30">
        <v>1141.5</v>
      </c>
      <c r="BF20" s="30">
        <v>1181.9000000000001</v>
      </c>
      <c r="BG20" s="22">
        <v>1035.3</v>
      </c>
    </row>
    <row r="21" spans="1:59" ht="28.2" thickBot="1" x14ac:dyDescent="0.3">
      <c r="A21" s="30">
        <v>20</v>
      </c>
      <c r="B21" s="30" t="s">
        <v>6427</v>
      </c>
      <c r="C21" s="30" t="s">
        <v>6428</v>
      </c>
      <c r="D21" s="30">
        <v>1102.8900000000001</v>
      </c>
      <c r="E21" s="30">
        <v>959.06</v>
      </c>
      <c r="F21" s="30">
        <v>1067.55</v>
      </c>
      <c r="G21" s="30">
        <v>1020.46</v>
      </c>
      <c r="H21" s="30">
        <v>1026.57</v>
      </c>
      <c r="I21" s="30">
        <v>1029.96</v>
      </c>
      <c r="J21" s="30">
        <v>829.41</v>
      </c>
      <c r="K21" s="30">
        <v>967.9</v>
      </c>
      <c r="L21" s="30">
        <v>829.89</v>
      </c>
      <c r="M21" s="22">
        <v>914.51</v>
      </c>
      <c r="T21" s="30">
        <v>20</v>
      </c>
      <c r="U21" s="30" t="s">
        <v>2362</v>
      </c>
      <c r="V21" s="30">
        <v>1181.4000000000001</v>
      </c>
      <c r="W21" s="30">
        <v>1463.8</v>
      </c>
      <c r="X21" s="30">
        <v>1581.3</v>
      </c>
      <c r="Y21" s="30">
        <v>1512.7</v>
      </c>
      <c r="Z21" s="30">
        <v>2907.6</v>
      </c>
      <c r="AA21" s="30">
        <v>2275.5</v>
      </c>
      <c r="AB21" s="30">
        <v>2059.9</v>
      </c>
      <c r="AC21" s="30">
        <v>1330.1</v>
      </c>
      <c r="AD21" s="30">
        <v>1716.5</v>
      </c>
      <c r="AE21" s="22">
        <v>2190</v>
      </c>
      <c r="AH21" s="30">
        <v>20</v>
      </c>
      <c r="AI21" s="30" t="s">
        <v>6427</v>
      </c>
      <c r="AJ21" s="30" t="s">
        <v>6428</v>
      </c>
      <c r="AK21" s="30">
        <v>588.13</v>
      </c>
      <c r="AL21" s="30">
        <v>327.68</v>
      </c>
      <c r="AM21" s="30">
        <v>518.55999999999995</v>
      </c>
      <c r="AN21" s="30">
        <v>470.34</v>
      </c>
      <c r="AO21" s="30">
        <v>584.20000000000005</v>
      </c>
      <c r="AP21" s="30">
        <v>547.34</v>
      </c>
      <c r="AQ21" s="30">
        <v>489.25</v>
      </c>
      <c r="AR21" s="30">
        <v>409.77</v>
      </c>
      <c r="AS21" s="30">
        <v>359.62</v>
      </c>
      <c r="AT21" s="22">
        <v>638.42999999999995</v>
      </c>
      <c r="AV21" s="30">
        <v>20</v>
      </c>
      <c r="AW21" s="30" t="s">
        <v>2362</v>
      </c>
      <c r="AX21" s="30">
        <v>509.8</v>
      </c>
      <c r="AY21" s="30">
        <v>233.8</v>
      </c>
      <c r="AZ21" s="30">
        <v>413.4</v>
      </c>
      <c r="BA21" s="30">
        <v>224.7</v>
      </c>
      <c r="BB21" s="30">
        <v>313.89999999999998</v>
      </c>
      <c r="BC21" s="30">
        <v>261.3</v>
      </c>
      <c r="BD21" s="30">
        <v>206.9</v>
      </c>
      <c r="BE21" s="30">
        <v>112.5</v>
      </c>
      <c r="BF21" s="30">
        <v>83.4</v>
      </c>
      <c r="BG21" s="22">
        <v>72.3</v>
      </c>
    </row>
    <row r="22" spans="1:59" ht="28.2" thickBot="1" x14ac:dyDescent="0.3">
      <c r="A22" s="30">
        <v>21</v>
      </c>
      <c r="B22" s="30" t="s">
        <v>2365</v>
      </c>
      <c r="C22" s="30" t="s">
        <v>6429</v>
      </c>
      <c r="D22" s="30">
        <v>381.27</v>
      </c>
      <c r="E22" s="30">
        <v>77.16</v>
      </c>
      <c r="F22" s="30">
        <v>325.31</v>
      </c>
      <c r="G22" s="30">
        <v>164.25</v>
      </c>
      <c r="H22" s="30">
        <v>885.33</v>
      </c>
      <c r="I22" s="30">
        <v>645.41</v>
      </c>
      <c r="J22" s="30">
        <v>3885</v>
      </c>
      <c r="K22" s="30">
        <v>1647.1</v>
      </c>
      <c r="L22" s="30">
        <v>2037.72</v>
      </c>
      <c r="M22" s="22">
        <v>4362.6499999999996</v>
      </c>
      <c r="T22" s="30">
        <v>21</v>
      </c>
      <c r="U22" s="30" t="s">
        <v>2025</v>
      </c>
      <c r="V22" s="30">
        <v>124290.2</v>
      </c>
      <c r="W22" s="30">
        <v>60836.9</v>
      </c>
      <c r="X22" s="30">
        <v>140599.4</v>
      </c>
      <c r="Y22" s="30">
        <v>146807.20000000001</v>
      </c>
      <c r="Z22" s="30">
        <v>174637.2</v>
      </c>
      <c r="AA22" s="30">
        <v>67087.8</v>
      </c>
      <c r="AB22" s="30">
        <v>110395.8</v>
      </c>
      <c r="AC22" s="30">
        <v>137605.9</v>
      </c>
      <c r="AD22" s="30">
        <v>96156.2</v>
      </c>
      <c r="AE22" s="22">
        <v>78475.199999999997</v>
      </c>
      <c r="AH22" s="30">
        <v>21</v>
      </c>
      <c r="AI22" s="30" t="s">
        <v>2365</v>
      </c>
      <c r="AJ22" s="30" t="s">
        <v>6429</v>
      </c>
      <c r="AK22" s="30">
        <v>394.33</v>
      </c>
      <c r="AL22" s="30">
        <v>645.95000000000005</v>
      </c>
      <c r="AM22" s="30">
        <v>110.79</v>
      </c>
      <c r="AN22" s="30">
        <v>702.82</v>
      </c>
      <c r="AO22" s="30">
        <v>467.25</v>
      </c>
      <c r="AP22" s="30">
        <v>771.64</v>
      </c>
      <c r="AQ22" s="30">
        <v>1994.63</v>
      </c>
      <c r="AR22" s="30">
        <v>482.26</v>
      </c>
      <c r="AS22" s="30">
        <v>1368.35</v>
      </c>
      <c r="AT22" s="22">
        <v>567.37</v>
      </c>
      <c r="AV22" s="30">
        <v>21</v>
      </c>
      <c r="AW22" s="30" t="s">
        <v>2025</v>
      </c>
      <c r="AX22" s="30">
        <v>17733.099999999999</v>
      </c>
      <c r="AY22" s="30">
        <v>21487.4</v>
      </c>
      <c r="AZ22" s="30">
        <v>31386.6</v>
      </c>
      <c r="BA22" s="30">
        <v>11886.4</v>
      </c>
      <c r="BB22" s="30">
        <v>29727.7</v>
      </c>
      <c r="BC22" s="30">
        <v>67087.8</v>
      </c>
      <c r="BD22" s="30">
        <v>110395.8</v>
      </c>
      <c r="BE22" s="30">
        <v>137605.9</v>
      </c>
      <c r="BF22" s="30">
        <v>96156.2</v>
      </c>
      <c r="BG22" s="22">
        <v>78475.199999999997</v>
      </c>
    </row>
    <row r="23" spans="1:59" ht="28.2" thickBot="1" x14ac:dyDescent="0.3">
      <c r="A23" s="30">
        <v>22</v>
      </c>
      <c r="B23" s="30" t="s">
        <v>2362</v>
      </c>
      <c r="C23" s="30" t="s">
        <v>6430</v>
      </c>
      <c r="D23" s="30">
        <v>1181.3699999999999</v>
      </c>
      <c r="E23" s="30">
        <v>1463.78</v>
      </c>
      <c r="F23" s="30">
        <v>1581.34</v>
      </c>
      <c r="G23" s="30">
        <v>1512.74</v>
      </c>
      <c r="H23" s="30">
        <v>2907.57</v>
      </c>
      <c r="I23" s="30">
        <v>2275.54</v>
      </c>
      <c r="J23" s="30">
        <v>2059.89</v>
      </c>
      <c r="K23" s="30">
        <v>1330.13</v>
      </c>
      <c r="L23" s="30">
        <v>1716.51</v>
      </c>
      <c r="M23" s="22">
        <v>2190.04</v>
      </c>
      <c r="T23" s="30">
        <v>22</v>
      </c>
      <c r="U23" s="30" t="s">
        <v>2916</v>
      </c>
      <c r="V23" s="30">
        <v>89842.4</v>
      </c>
      <c r="W23" s="30">
        <v>95044.800000000003</v>
      </c>
      <c r="X23" s="30">
        <v>92342.399999999994</v>
      </c>
      <c r="Y23" s="30">
        <v>97036.7</v>
      </c>
      <c r="Z23" s="30">
        <v>92085.3</v>
      </c>
      <c r="AA23" s="30">
        <v>99813.8</v>
      </c>
      <c r="AB23" s="30">
        <v>21437.4</v>
      </c>
      <c r="AC23" s="30">
        <v>53309.5</v>
      </c>
      <c r="AD23" s="30">
        <v>51424</v>
      </c>
      <c r="AE23" s="22">
        <v>53351.6</v>
      </c>
      <c r="AH23" s="30">
        <v>22</v>
      </c>
      <c r="AI23" s="30" t="s">
        <v>2362</v>
      </c>
      <c r="AJ23" s="30" t="s">
        <v>6430</v>
      </c>
      <c r="AK23" s="30">
        <v>509.8</v>
      </c>
      <c r="AL23" s="30">
        <v>233.8</v>
      </c>
      <c r="AM23" s="30">
        <v>413.35</v>
      </c>
      <c r="AN23" s="30">
        <v>224.65</v>
      </c>
      <c r="AO23" s="30">
        <v>313.92</v>
      </c>
      <c r="AP23" s="30">
        <v>261.33999999999997</v>
      </c>
      <c r="AQ23" s="30">
        <v>206.87</v>
      </c>
      <c r="AR23" s="30">
        <v>112.52</v>
      </c>
      <c r="AS23" s="30">
        <v>83.42</v>
      </c>
      <c r="AT23" s="22">
        <v>72.34</v>
      </c>
      <c r="AV23" s="30">
        <v>22</v>
      </c>
      <c r="AW23" s="30" t="s">
        <v>2916</v>
      </c>
      <c r="AX23" s="30">
        <v>57655.3</v>
      </c>
      <c r="AY23" s="30">
        <v>55703</v>
      </c>
      <c r="AZ23" s="30">
        <v>52462.6</v>
      </c>
      <c r="BA23" s="30">
        <v>52267.199999999997</v>
      </c>
      <c r="BB23" s="30">
        <v>56041.9</v>
      </c>
      <c r="BC23" s="30">
        <v>99813.8</v>
      </c>
      <c r="BD23" s="30">
        <v>21437.4</v>
      </c>
      <c r="BE23" s="30">
        <v>53309.5</v>
      </c>
      <c r="BF23" s="30">
        <v>51424</v>
      </c>
      <c r="BG23" s="22">
        <v>53351.6</v>
      </c>
    </row>
    <row r="24" spans="1:59" ht="42" thickBot="1" x14ac:dyDescent="0.3">
      <c r="A24" s="30">
        <v>23</v>
      </c>
      <c r="B24" s="30" t="s">
        <v>6140</v>
      </c>
      <c r="C24" s="30" t="s">
        <v>6431</v>
      </c>
      <c r="D24" s="30">
        <v>1088.22</v>
      </c>
      <c r="E24" s="30">
        <v>786.65</v>
      </c>
      <c r="F24" s="30">
        <v>693.79</v>
      </c>
      <c r="G24" s="30">
        <v>883.83</v>
      </c>
      <c r="H24" s="30">
        <v>233.78</v>
      </c>
      <c r="I24" s="30">
        <v>936.18</v>
      </c>
      <c r="J24" s="30">
        <v>183.01</v>
      </c>
      <c r="K24" s="30">
        <v>314.52999999999997</v>
      </c>
      <c r="L24" s="30">
        <v>233.46</v>
      </c>
      <c r="M24" s="22">
        <v>71.11</v>
      </c>
      <c r="T24" s="30">
        <v>23</v>
      </c>
      <c r="U24" s="30" t="s">
        <v>3329</v>
      </c>
      <c r="V24" s="30">
        <v>110832.3</v>
      </c>
      <c r="W24" s="30">
        <v>127468.2</v>
      </c>
      <c r="X24" s="30">
        <v>106538.9</v>
      </c>
      <c r="Y24" s="30">
        <v>96719</v>
      </c>
      <c r="Z24" s="30">
        <v>156792.79999999999</v>
      </c>
      <c r="AA24" s="30">
        <v>132390.79999999999</v>
      </c>
      <c r="AB24" s="30">
        <v>86930.8</v>
      </c>
      <c r="AC24" s="30">
        <v>72516.399999999994</v>
      </c>
      <c r="AD24" s="30">
        <v>70460.399999999994</v>
      </c>
      <c r="AE24" s="22">
        <v>75556.7</v>
      </c>
      <c r="AH24" s="30">
        <v>23</v>
      </c>
      <c r="AI24" s="30" t="s">
        <v>6140</v>
      </c>
      <c r="AJ24" s="30" t="s">
        <v>6431</v>
      </c>
      <c r="AK24" s="30">
        <v>62.05</v>
      </c>
      <c r="AL24" s="30">
        <v>57.98</v>
      </c>
      <c r="AM24" s="30">
        <v>38.04</v>
      </c>
      <c r="AN24" s="30">
        <v>52.49</v>
      </c>
      <c r="AO24" s="30">
        <v>68.930000000000007</v>
      </c>
      <c r="AP24" s="30">
        <v>47.02</v>
      </c>
      <c r="AQ24" s="30">
        <v>28.81</v>
      </c>
      <c r="AR24" s="30">
        <v>21.68</v>
      </c>
      <c r="AS24" s="30">
        <v>22.53</v>
      </c>
      <c r="AT24" s="22">
        <v>28.16</v>
      </c>
      <c r="AV24" s="30">
        <v>23</v>
      </c>
      <c r="AW24" s="30" t="s">
        <v>3329</v>
      </c>
      <c r="AX24" s="30">
        <v>40098.800000000003</v>
      </c>
      <c r="AY24" s="30">
        <v>51111.1</v>
      </c>
      <c r="AZ24" s="30">
        <v>78724.899999999994</v>
      </c>
      <c r="BA24" s="30">
        <v>43622.2</v>
      </c>
      <c r="BB24" s="30">
        <v>62236.9</v>
      </c>
      <c r="BC24" s="30">
        <v>52436.6</v>
      </c>
      <c r="BD24" s="30">
        <v>70195.7</v>
      </c>
      <c r="BE24" s="30">
        <v>77286.399999999994</v>
      </c>
      <c r="BF24" s="30">
        <v>6334.3</v>
      </c>
      <c r="BG24" s="22">
        <v>54302.3</v>
      </c>
    </row>
    <row r="25" spans="1:59" ht="28.2" thickBot="1" x14ac:dyDescent="0.3">
      <c r="A25" s="30">
        <v>24</v>
      </c>
      <c r="B25" s="30" t="s">
        <v>3405</v>
      </c>
      <c r="C25" s="30" t="s">
        <v>6432</v>
      </c>
      <c r="D25" s="30">
        <v>12.03</v>
      </c>
      <c r="E25" s="30">
        <v>12.39</v>
      </c>
      <c r="F25" s="30">
        <v>27.64</v>
      </c>
      <c r="G25" s="30">
        <v>13.79</v>
      </c>
      <c r="H25" s="30">
        <v>27.72</v>
      </c>
      <c r="I25" s="30">
        <v>24.81</v>
      </c>
      <c r="J25" s="30">
        <v>58.85</v>
      </c>
      <c r="K25" s="30">
        <v>26.85</v>
      </c>
      <c r="L25" s="30">
        <v>15.06</v>
      </c>
      <c r="M25" s="22" t="s">
        <v>29</v>
      </c>
      <c r="T25" s="30">
        <v>24</v>
      </c>
      <c r="U25" s="30" t="s">
        <v>2918</v>
      </c>
      <c r="V25" s="30">
        <v>328.7</v>
      </c>
      <c r="W25" s="30">
        <v>271.5</v>
      </c>
      <c r="X25" s="30">
        <v>120</v>
      </c>
      <c r="Y25" s="30">
        <v>151.5</v>
      </c>
      <c r="Z25" s="30">
        <v>101.5</v>
      </c>
      <c r="AA25" s="30">
        <v>168.1</v>
      </c>
      <c r="AB25" s="30">
        <v>194.7</v>
      </c>
      <c r="AC25" s="30">
        <v>256.39999999999998</v>
      </c>
      <c r="AD25" s="30">
        <v>15.3</v>
      </c>
      <c r="AE25" s="22">
        <v>124.2</v>
      </c>
      <c r="AH25" s="30">
        <v>24</v>
      </c>
      <c r="AI25" s="30" t="s">
        <v>3405</v>
      </c>
      <c r="AJ25" s="30" t="s">
        <v>6432</v>
      </c>
      <c r="AK25" s="30" t="s">
        <v>29</v>
      </c>
      <c r="AL25" s="30" t="s">
        <v>29</v>
      </c>
      <c r="AM25" s="30" t="s">
        <v>29</v>
      </c>
      <c r="AN25" s="30" t="s">
        <v>29</v>
      </c>
      <c r="AO25" s="30">
        <v>2.25</v>
      </c>
      <c r="AP25" s="30" t="s">
        <v>29</v>
      </c>
      <c r="AQ25" s="30">
        <v>5.35</v>
      </c>
      <c r="AR25" s="30">
        <v>3.76</v>
      </c>
      <c r="AS25" s="30">
        <v>4.5199999999999996</v>
      </c>
      <c r="AT25" s="22" t="s">
        <v>29</v>
      </c>
      <c r="AV25" s="30">
        <v>24</v>
      </c>
      <c r="AW25" s="30" t="s">
        <v>2918</v>
      </c>
      <c r="AX25" s="30">
        <v>121.6</v>
      </c>
      <c r="AY25" s="30">
        <v>99.2</v>
      </c>
      <c r="AZ25" s="30">
        <v>99.2</v>
      </c>
      <c r="BA25" s="30">
        <v>88.5</v>
      </c>
      <c r="BB25" s="30">
        <v>93.6</v>
      </c>
      <c r="BC25" s="30">
        <v>168.1</v>
      </c>
      <c r="BD25" s="30">
        <v>194.7</v>
      </c>
      <c r="BE25" s="30">
        <v>256.39999999999998</v>
      </c>
      <c r="BF25" s="30">
        <v>15.3</v>
      </c>
      <c r="BG25" s="22">
        <v>124.2</v>
      </c>
    </row>
    <row r="26" spans="1:59" ht="28.2" thickBot="1" x14ac:dyDescent="0.3">
      <c r="A26" s="30">
        <v>25</v>
      </c>
      <c r="B26" s="30" t="s">
        <v>3403</v>
      </c>
      <c r="C26" s="30" t="s">
        <v>6433</v>
      </c>
      <c r="D26" s="30">
        <v>20.260000000000002</v>
      </c>
      <c r="E26" s="30">
        <v>18.36</v>
      </c>
      <c r="F26" s="30">
        <v>24.35</v>
      </c>
      <c r="G26" s="30">
        <v>19.309999999999999</v>
      </c>
      <c r="H26" s="30">
        <v>42.64</v>
      </c>
      <c r="I26" s="30">
        <v>30.82</v>
      </c>
      <c r="J26" s="30">
        <v>31.76</v>
      </c>
      <c r="K26" s="30">
        <v>20.79</v>
      </c>
      <c r="L26" s="30">
        <v>24.34</v>
      </c>
      <c r="M26" s="22">
        <v>27.8</v>
      </c>
      <c r="T26" s="30">
        <v>25</v>
      </c>
      <c r="U26" s="30" t="s">
        <v>2179</v>
      </c>
      <c r="V26" s="30">
        <v>361.9</v>
      </c>
      <c r="W26" s="30">
        <v>462.7</v>
      </c>
      <c r="X26" s="30">
        <v>454.1</v>
      </c>
      <c r="Y26" s="30">
        <v>560.9</v>
      </c>
      <c r="Z26" s="30">
        <v>486</v>
      </c>
      <c r="AA26" s="30">
        <v>421.8</v>
      </c>
      <c r="AB26" s="30">
        <v>1395.4</v>
      </c>
      <c r="AC26" s="30">
        <v>744.7</v>
      </c>
      <c r="AD26" s="30">
        <v>365.4</v>
      </c>
      <c r="AE26" s="22">
        <v>401.1</v>
      </c>
      <c r="AH26" s="30">
        <v>25</v>
      </c>
      <c r="AI26" s="30" t="s">
        <v>3403</v>
      </c>
      <c r="AJ26" s="30" t="s">
        <v>6433</v>
      </c>
      <c r="AK26" s="30">
        <v>15.28</v>
      </c>
      <c r="AL26" s="30">
        <v>14.78</v>
      </c>
      <c r="AM26" s="30">
        <v>13.43</v>
      </c>
      <c r="AN26" s="30">
        <v>12.96</v>
      </c>
      <c r="AO26" s="30">
        <v>14.88</v>
      </c>
      <c r="AP26" s="30">
        <v>14.25</v>
      </c>
      <c r="AQ26" s="30">
        <v>14.5</v>
      </c>
      <c r="AR26" s="30">
        <v>15.85</v>
      </c>
      <c r="AS26" s="30">
        <v>17.2</v>
      </c>
      <c r="AT26" s="22">
        <v>12.61</v>
      </c>
      <c r="AV26" s="30">
        <v>25</v>
      </c>
      <c r="AW26" s="30" t="s">
        <v>2179</v>
      </c>
      <c r="AX26" s="30">
        <v>1586.3</v>
      </c>
      <c r="AY26" s="30">
        <v>1391.3</v>
      </c>
      <c r="AZ26" s="30">
        <v>1374.4</v>
      </c>
      <c r="BA26" s="30">
        <v>1387.8</v>
      </c>
      <c r="BB26" s="30">
        <v>390.4</v>
      </c>
      <c r="BC26" s="30">
        <v>421.8</v>
      </c>
      <c r="BD26" s="30">
        <v>1395.4</v>
      </c>
      <c r="BE26" s="30">
        <v>744.7</v>
      </c>
      <c r="BF26" s="30">
        <v>365.4</v>
      </c>
      <c r="BG26" s="22">
        <v>401.1</v>
      </c>
    </row>
    <row r="27" spans="1:59" ht="28.2" thickBot="1" x14ac:dyDescent="0.3">
      <c r="A27" s="30">
        <v>26</v>
      </c>
      <c r="B27" s="30" t="s">
        <v>2187</v>
      </c>
      <c r="C27" s="30" t="s">
        <v>1296</v>
      </c>
      <c r="D27" s="30">
        <v>32977.74</v>
      </c>
      <c r="E27" s="30">
        <v>45868.92</v>
      </c>
      <c r="F27" s="30">
        <v>29142.25</v>
      </c>
      <c r="G27" s="30">
        <v>32848.879999999997</v>
      </c>
      <c r="H27" s="30">
        <v>28993.91</v>
      </c>
      <c r="I27" s="30">
        <v>39475.879999999997</v>
      </c>
      <c r="J27" s="30">
        <v>19122.939999999999</v>
      </c>
      <c r="K27" s="30">
        <v>19114.669999999998</v>
      </c>
      <c r="L27" s="30">
        <v>18770.54</v>
      </c>
      <c r="M27" s="22">
        <v>24200.46</v>
      </c>
      <c r="T27" s="30">
        <v>26</v>
      </c>
      <c r="U27" s="30" t="s">
        <v>2358</v>
      </c>
      <c r="V27" s="30" t="s">
        <v>2908</v>
      </c>
      <c r="W27" s="30" t="s">
        <v>2908</v>
      </c>
      <c r="X27" s="30" t="s">
        <v>2908</v>
      </c>
      <c r="Y27" s="30" t="s">
        <v>2908</v>
      </c>
      <c r="Z27" s="30" t="s">
        <v>2908</v>
      </c>
      <c r="AA27" s="30" t="s">
        <v>2908</v>
      </c>
      <c r="AB27" s="30" t="s">
        <v>2908</v>
      </c>
      <c r="AC27" s="30" t="s">
        <v>2908</v>
      </c>
      <c r="AD27" s="30" t="s">
        <v>2908</v>
      </c>
      <c r="AE27" s="22" t="s">
        <v>2908</v>
      </c>
      <c r="AH27" s="30">
        <v>26</v>
      </c>
      <c r="AI27" s="30" t="s">
        <v>2187</v>
      </c>
      <c r="AJ27" s="30" t="s">
        <v>1296</v>
      </c>
      <c r="AK27" s="30">
        <v>11990.85</v>
      </c>
      <c r="AL27" s="30">
        <v>9875.2900000000009</v>
      </c>
      <c r="AM27" s="30">
        <v>9041.23</v>
      </c>
      <c r="AN27" s="30">
        <v>7306.11</v>
      </c>
      <c r="AO27" s="30">
        <v>12536.11</v>
      </c>
      <c r="AP27" s="30">
        <v>12064.95</v>
      </c>
      <c r="AQ27" s="30">
        <v>8484.44</v>
      </c>
      <c r="AR27" s="30">
        <v>5071.84</v>
      </c>
      <c r="AS27" s="30">
        <v>3655.91</v>
      </c>
      <c r="AT27" s="22">
        <v>2473.35</v>
      </c>
      <c r="AV27" s="30">
        <v>26</v>
      </c>
      <c r="AW27" s="30" t="s">
        <v>2358</v>
      </c>
      <c r="AX27" s="30" t="s">
        <v>2908</v>
      </c>
      <c r="AY27" s="30" t="s">
        <v>2908</v>
      </c>
      <c r="AZ27" s="30" t="s">
        <v>2908</v>
      </c>
      <c r="BA27" s="30" t="s">
        <v>2908</v>
      </c>
      <c r="BB27" s="30" t="s">
        <v>2908</v>
      </c>
      <c r="BC27" s="30" t="s">
        <v>2908</v>
      </c>
      <c r="BD27" s="30" t="s">
        <v>2908</v>
      </c>
      <c r="BE27" s="30" t="s">
        <v>2908</v>
      </c>
      <c r="BF27" s="30" t="s">
        <v>2908</v>
      </c>
      <c r="BG27" s="22" t="s">
        <v>2908</v>
      </c>
    </row>
    <row r="28" spans="1:59" ht="28.2" thickBot="1" x14ac:dyDescent="0.3">
      <c r="A28" s="30">
        <v>27</v>
      </c>
      <c r="B28" s="30" t="s">
        <v>6451</v>
      </c>
      <c r="C28" s="30" t="s">
        <v>6452</v>
      </c>
      <c r="D28" s="30">
        <v>79.930000000000007</v>
      </c>
      <c r="E28" s="30">
        <v>131.55000000000001</v>
      </c>
      <c r="F28" s="30">
        <v>76.459999999999994</v>
      </c>
      <c r="G28" s="30">
        <v>102.25</v>
      </c>
      <c r="H28" s="30">
        <v>146.29</v>
      </c>
      <c r="I28" s="30">
        <v>87.25</v>
      </c>
      <c r="J28" s="30">
        <v>54.43</v>
      </c>
      <c r="K28" s="30">
        <v>36.909999999999997</v>
      </c>
      <c r="L28" s="30">
        <v>47.27</v>
      </c>
      <c r="M28" s="22">
        <v>70.650000000000006</v>
      </c>
      <c r="T28" s="30">
        <v>27</v>
      </c>
      <c r="U28" s="30" t="s">
        <v>2359</v>
      </c>
      <c r="V28" s="30">
        <v>72933.5</v>
      </c>
      <c r="W28" s="30">
        <v>43263.6</v>
      </c>
      <c r="X28" s="30">
        <v>67130.5</v>
      </c>
      <c r="Y28" s="30">
        <v>79029.100000000006</v>
      </c>
      <c r="Z28" s="30">
        <v>87437.5</v>
      </c>
      <c r="AA28" s="30">
        <v>80970.7</v>
      </c>
      <c r="AB28" s="30">
        <v>90485.5</v>
      </c>
      <c r="AC28" s="30">
        <v>50394</v>
      </c>
      <c r="AD28" s="30">
        <v>47695.199999999997</v>
      </c>
      <c r="AE28" s="22">
        <v>17504.2</v>
      </c>
      <c r="AH28" s="30">
        <v>27</v>
      </c>
      <c r="AI28" s="30" t="s">
        <v>6451</v>
      </c>
      <c r="AJ28" s="30" t="s">
        <v>6452</v>
      </c>
      <c r="AK28" s="30">
        <v>40.99</v>
      </c>
      <c r="AL28" s="30">
        <v>29.07</v>
      </c>
      <c r="AM28" s="30">
        <v>31.2</v>
      </c>
      <c r="AN28" s="30">
        <v>24.36</v>
      </c>
      <c r="AO28" s="30" t="s">
        <v>29</v>
      </c>
      <c r="AP28" s="30">
        <v>36</v>
      </c>
      <c r="AQ28" s="30">
        <v>2.7</v>
      </c>
      <c r="AR28" s="30">
        <v>14.65</v>
      </c>
      <c r="AS28" s="30">
        <v>17.18</v>
      </c>
      <c r="AT28" s="22">
        <v>4.17</v>
      </c>
      <c r="AV28" s="30">
        <v>27</v>
      </c>
      <c r="AW28" s="30" t="s">
        <v>2359</v>
      </c>
      <c r="AX28" s="30">
        <v>61276.9</v>
      </c>
      <c r="AY28" s="30">
        <v>47898.5</v>
      </c>
      <c r="AZ28" s="30">
        <v>68577.399999999994</v>
      </c>
      <c r="BA28" s="30">
        <v>55529.5</v>
      </c>
      <c r="BB28" s="30">
        <v>46136.7</v>
      </c>
      <c r="BC28" s="30">
        <v>80970.7</v>
      </c>
      <c r="BD28" s="30">
        <v>90485.5</v>
      </c>
      <c r="BE28" s="30">
        <v>50394</v>
      </c>
      <c r="BF28" s="30">
        <v>47695.199999999997</v>
      </c>
      <c r="BG28" s="22">
        <v>17504.2</v>
      </c>
    </row>
    <row r="29" spans="1:59" ht="28.2" thickBot="1" x14ac:dyDescent="0.3">
      <c r="A29" s="30">
        <v>28</v>
      </c>
      <c r="B29" s="30" t="s">
        <v>3665</v>
      </c>
      <c r="C29" s="30" t="s">
        <v>1198</v>
      </c>
      <c r="D29" s="30">
        <v>949.82</v>
      </c>
      <c r="E29" s="30">
        <v>852.6</v>
      </c>
      <c r="F29" s="30">
        <v>943.76</v>
      </c>
      <c r="G29" s="30">
        <v>904.38</v>
      </c>
      <c r="H29" s="30">
        <v>1593.81</v>
      </c>
      <c r="I29" s="30">
        <v>1048.46</v>
      </c>
      <c r="J29" s="30">
        <v>1634.14</v>
      </c>
      <c r="K29" s="30">
        <v>644.44000000000005</v>
      </c>
      <c r="L29" s="30">
        <v>1354.91</v>
      </c>
      <c r="M29" s="22" t="s">
        <v>29</v>
      </c>
      <c r="T29" s="30">
        <v>28</v>
      </c>
      <c r="U29" s="30" t="s">
        <v>2024</v>
      </c>
      <c r="V29" s="30">
        <v>697350.5</v>
      </c>
      <c r="W29" s="30">
        <v>661786</v>
      </c>
      <c r="X29" s="30">
        <v>745653.9</v>
      </c>
      <c r="Y29" s="30">
        <v>763923.3</v>
      </c>
      <c r="Z29" s="30">
        <v>758996.3</v>
      </c>
      <c r="AA29" s="30">
        <v>696656.2</v>
      </c>
      <c r="AB29" s="30">
        <v>1139648.8</v>
      </c>
      <c r="AC29" s="30">
        <v>1198381.1000000001</v>
      </c>
      <c r="AD29" s="30">
        <v>1130288</v>
      </c>
      <c r="AE29" s="22">
        <v>921507.9</v>
      </c>
      <c r="AH29" s="30">
        <v>28</v>
      </c>
      <c r="AI29" s="30" t="s">
        <v>3665</v>
      </c>
      <c r="AJ29" s="30" t="s">
        <v>1198</v>
      </c>
      <c r="AK29" s="30">
        <v>448.02</v>
      </c>
      <c r="AL29" s="30">
        <v>402.41</v>
      </c>
      <c r="AM29" s="30">
        <v>483.93</v>
      </c>
      <c r="AN29" s="30">
        <v>383.54</v>
      </c>
      <c r="AO29" s="30">
        <v>862.09</v>
      </c>
      <c r="AP29" s="30">
        <v>458.12</v>
      </c>
      <c r="AQ29" s="30">
        <v>575.89</v>
      </c>
      <c r="AR29" s="30">
        <v>1104.03</v>
      </c>
      <c r="AS29" s="30">
        <v>660.21</v>
      </c>
      <c r="AT29" s="22">
        <v>625.33000000000004</v>
      </c>
      <c r="AV29" s="30">
        <v>28</v>
      </c>
      <c r="AW29" s="30" t="s">
        <v>2024</v>
      </c>
      <c r="AX29" s="30">
        <v>937323.4</v>
      </c>
      <c r="AY29" s="30">
        <v>873714.8</v>
      </c>
      <c r="AZ29" s="30">
        <v>794136.9</v>
      </c>
      <c r="BA29" s="30">
        <v>1079062.5</v>
      </c>
      <c r="BB29" s="30">
        <v>714132.9</v>
      </c>
      <c r="BC29" s="30">
        <v>696656.2</v>
      </c>
      <c r="BD29" s="30">
        <v>1139648.8</v>
      </c>
      <c r="BE29" s="30">
        <v>1198381.1000000001</v>
      </c>
      <c r="BF29" s="30">
        <v>1130288</v>
      </c>
      <c r="BG29" s="22">
        <v>921507.9</v>
      </c>
    </row>
    <row r="30" spans="1:59" ht="28.2" thickBot="1" x14ac:dyDescent="0.3">
      <c r="A30" s="30">
        <v>29</v>
      </c>
      <c r="B30" s="30" t="s">
        <v>2178</v>
      </c>
      <c r="C30" s="30" t="s">
        <v>1299</v>
      </c>
      <c r="D30" s="30">
        <v>18371.98</v>
      </c>
      <c r="E30" s="30">
        <v>15784.75</v>
      </c>
      <c r="F30" s="30">
        <v>18405.05</v>
      </c>
      <c r="G30" s="30">
        <v>25352.46</v>
      </c>
      <c r="H30" s="30">
        <v>36894.93</v>
      </c>
      <c r="I30" s="30">
        <v>24383.54</v>
      </c>
      <c r="J30" s="30">
        <v>18160.25</v>
      </c>
      <c r="K30" s="30">
        <v>10855.36</v>
      </c>
      <c r="L30" s="30">
        <v>11763.79</v>
      </c>
      <c r="M30" s="22">
        <v>9836.0400000000009</v>
      </c>
      <c r="T30" s="30">
        <v>29</v>
      </c>
      <c r="U30" s="30" t="s">
        <v>2892</v>
      </c>
      <c r="V30" s="30" t="s">
        <v>2908</v>
      </c>
      <c r="W30" s="30" t="s">
        <v>2908</v>
      </c>
      <c r="X30" s="30" t="s">
        <v>2908</v>
      </c>
      <c r="Y30" s="30" t="s">
        <v>2908</v>
      </c>
      <c r="Z30" s="30" t="s">
        <v>2908</v>
      </c>
      <c r="AA30" s="30">
        <v>6986.1</v>
      </c>
      <c r="AB30" s="30">
        <v>11637.3</v>
      </c>
      <c r="AC30" s="30">
        <v>6267</v>
      </c>
      <c r="AD30" s="30">
        <v>5102.3999999999996</v>
      </c>
      <c r="AE30" s="22">
        <v>2695.3</v>
      </c>
      <c r="AH30" s="30">
        <v>29</v>
      </c>
      <c r="AI30" s="30" t="s">
        <v>2178</v>
      </c>
      <c r="AJ30" s="30" t="s">
        <v>1299</v>
      </c>
      <c r="AK30" s="30">
        <v>20885.810000000001</v>
      </c>
      <c r="AL30" s="30">
        <v>20092.34</v>
      </c>
      <c r="AM30" s="30">
        <v>15295.82</v>
      </c>
      <c r="AN30" s="30">
        <v>23337.05</v>
      </c>
      <c r="AO30" s="30">
        <v>20465.48</v>
      </c>
      <c r="AP30" s="30">
        <v>36743.08</v>
      </c>
      <c r="AQ30" s="30">
        <v>23726.83</v>
      </c>
      <c r="AR30" s="30">
        <v>16771.169999999998</v>
      </c>
      <c r="AS30" s="30">
        <v>18090.2</v>
      </c>
      <c r="AT30" s="22">
        <v>23532.959999999999</v>
      </c>
      <c r="AV30" s="30">
        <v>29</v>
      </c>
      <c r="AW30" s="30" t="s">
        <v>2892</v>
      </c>
      <c r="AX30" s="30">
        <v>6940.8</v>
      </c>
      <c r="AY30" s="30">
        <v>5211</v>
      </c>
      <c r="AZ30" s="30">
        <v>2693.7</v>
      </c>
      <c r="BA30" s="30">
        <v>4325.8999999999996</v>
      </c>
      <c r="BB30" s="30">
        <v>3153</v>
      </c>
      <c r="BC30" s="30">
        <v>6986.1</v>
      </c>
      <c r="BD30" s="30">
        <v>11637.3</v>
      </c>
      <c r="BE30" s="30">
        <v>6267</v>
      </c>
      <c r="BF30" s="30">
        <v>5102.3999999999996</v>
      </c>
      <c r="BG30" s="22">
        <v>2695.3</v>
      </c>
    </row>
    <row r="31" spans="1:59" ht="28.2" thickBot="1" x14ac:dyDescent="0.3">
      <c r="A31" s="30">
        <v>30</v>
      </c>
      <c r="B31" s="30" t="s">
        <v>3406</v>
      </c>
      <c r="C31" s="30" t="s">
        <v>6453</v>
      </c>
      <c r="D31" s="30">
        <v>258.86</v>
      </c>
      <c r="E31" s="30">
        <v>341.22</v>
      </c>
      <c r="F31" s="30">
        <v>284.27</v>
      </c>
      <c r="G31" s="30">
        <v>166.62</v>
      </c>
      <c r="H31" s="30">
        <v>569.41</v>
      </c>
      <c r="I31" s="30">
        <v>540.91</v>
      </c>
      <c r="J31" s="30">
        <v>354.27</v>
      </c>
      <c r="K31" s="30">
        <v>125.4</v>
      </c>
      <c r="L31" s="30">
        <v>178.15</v>
      </c>
      <c r="M31" s="22">
        <v>42.37</v>
      </c>
      <c r="T31" s="30">
        <v>30</v>
      </c>
      <c r="U31" s="30" t="s">
        <v>2021</v>
      </c>
      <c r="V31" s="30">
        <v>29665.1</v>
      </c>
      <c r="W31" s="30">
        <v>26447.1</v>
      </c>
      <c r="X31" s="30">
        <v>29425.3</v>
      </c>
      <c r="Y31" s="30">
        <v>29405.3</v>
      </c>
      <c r="Z31" s="30">
        <v>32652.2</v>
      </c>
      <c r="AA31" s="30">
        <v>21509.599999999999</v>
      </c>
      <c r="AB31" s="30">
        <v>23648.400000000001</v>
      </c>
      <c r="AC31" s="30">
        <v>24823.5</v>
      </c>
      <c r="AD31" s="30">
        <v>23277.200000000001</v>
      </c>
      <c r="AE31" s="22">
        <v>18576.5</v>
      </c>
      <c r="AH31" s="30">
        <v>30</v>
      </c>
      <c r="AI31" s="30" t="s">
        <v>3406</v>
      </c>
      <c r="AJ31" s="30" t="s">
        <v>6453</v>
      </c>
      <c r="AK31" s="30">
        <v>682.3</v>
      </c>
      <c r="AL31" s="30">
        <v>192.89</v>
      </c>
      <c r="AM31" s="30">
        <v>460.76</v>
      </c>
      <c r="AN31" s="30">
        <v>338.68</v>
      </c>
      <c r="AO31" s="30">
        <v>224.52</v>
      </c>
      <c r="AP31" s="30">
        <v>979.78</v>
      </c>
      <c r="AQ31" s="30">
        <v>243.69</v>
      </c>
      <c r="AR31" s="30">
        <v>419.26</v>
      </c>
      <c r="AS31" s="30">
        <v>679.59</v>
      </c>
      <c r="AT31" s="22">
        <v>383.92</v>
      </c>
      <c r="AV31" s="30">
        <v>30</v>
      </c>
      <c r="AW31" s="30" t="s">
        <v>2021</v>
      </c>
      <c r="AX31" s="30">
        <v>33831.300000000003</v>
      </c>
      <c r="AY31" s="30">
        <v>32264.9</v>
      </c>
      <c r="AZ31" s="30">
        <v>33063.300000000003</v>
      </c>
      <c r="BA31" s="30">
        <v>28036.2</v>
      </c>
      <c r="BB31" s="30">
        <v>21290.400000000001</v>
      </c>
      <c r="BC31" s="30">
        <v>21509.599999999999</v>
      </c>
      <c r="BD31" s="30">
        <v>23648.400000000001</v>
      </c>
      <c r="BE31" s="30">
        <v>24823.5</v>
      </c>
      <c r="BF31" s="30">
        <v>23277.200000000001</v>
      </c>
      <c r="BG31" s="22">
        <v>18576.5</v>
      </c>
    </row>
    <row r="32" spans="1:59" ht="28.2" thickBot="1" x14ac:dyDescent="0.3">
      <c r="A32" s="30">
        <v>31</v>
      </c>
      <c r="B32" s="30" t="s">
        <v>2875</v>
      </c>
      <c r="C32" s="30" t="s">
        <v>384</v>
      </c>
      <c r="D32" s="30">
        <v>89842.44</v>
      </c>
      <c r="E32" s="30">
        <v>95044.82</v>
      </c>
      <c r="F32" s="30">
        <v>92342.42</v>
      </c>
      <c r="G32" s="30">
        <v>97036.68</v>
      </c>
      <c r="H32" s="30">
        <v>92085.29</v>
      </c>
      <c r="I32" s="30">
        <v>99813.78</v>
      </c>
      <c r="J32" s="30">
        <v>21437.41</v>
      </c>
      <c r="K32" s="30">
        <v>53309.48</v>
      </c>
      <c r="L32" s="30">
        <v>51424.04</v>
      </c>
      <c r="M32" s="22">
        <v>53351.55</v>
      </c>
      <c r="T32" s="30">
        <v>31</v>
      </c>
      <c r="U32" s="30" t="s">
        <v>2174</v>
      </c>
      <c r="V32" s="30">
        <v>6630.5</v>
      </c>
      <c r="W32" s="30">
        <v>9205.6</v>
      </c>
      <c r="X32" s="30">
        <v>9715.6</v>
      </c>
      <c r="Y32" s="30">
        <v>9256.7999999999993</v>
      </c>
      <c r="Z32" s="30">
        <v>2195.4</v>
      </c>
      <c r="AA32" s="30">
        <v>18362.5</v>
      </c>
      <c r="AB32" s="30">
        <v>22764.6</v>
      </c>
      <c r="AC32" s="30">
        <v>5694.4</v>
      </c>
      <c r="AD32" s="30">
        <v>11395.8</v>
      </c>
      <c r="AE32" s="22">
        <v>861.8</v>
      </c>
      <c r="AH32" s="30">
        <v>31</v>
      </c>
      <c r="AI32" s="30" t="s">
        <v>2875</v>
      </c>
      <c r="AJ32" s="30" t="s">
        <v>384</v>
      </c>
      <c r="AK32" s="30">
        <v>57655.31</v>
      </c>
      <c r="AL32" s="30">
        <v>55703.02</v>
      </c>
      <c r="AM32" s="30">
        <v>52462.559999999998</v>
      </c>
      <c r="AN32" s="30">
        <v>52267.16</v>
      </c>
      <c r="AO32" s="30">
        <v>56041.85</v>
      </c>
      <c r="AP32" s="30">
        <v>59455.03</v>
      </c>
      <c r="AQ32" s="30">
        <v>50815.67</v>
      </c>
      <c r="AR32" s="30">
        <v>50904.61</v>
      </c>
      <c r="AS32" s="30">
        <v>49033.45</v>
      </c>
      <c r="AT32" s="22">
        <v>44204.19</v>
      </c>
      <c r="AV32" s="30">
        <v>31</v>
      </c>
      <c r="AW32" s="30" t="s">
        <v>2174</v>
      </c>
      <c r="AX32" s="30">
        <v>12814.8</v>
      </c>
      <c r="AY32" s="30">
        <v>11470.5</v>
      </c>
      <c r="AZ32" s="30">
        <v>5347.2</v>
      </c>
      <c r="BA32" s="30">
        <v>7081.2</v>
      </c>
      <c r="BB32" s="30">
        <v>813.2</v>
      </c>
      <c r="BC32" s="30">
        <v>18362.5</v>
      </c>
      <c r="BD32" s="30">
        <v>22764.6</v>
      </c>
      <c r="BE32" s="30">
        <v>5694.4</v>
      </c>
      <c r="BF32" s="30">
        <v>11395.8</v>
      </c>
      <c r="BG32" s="22">
        <v>861.8</v>
      </c>
    </row>
    <row r="33" spans="1:59" ht="42" thickBot="1" x14ac:dyDescent="0.3">
      <c r="A33" s="30">
        <v>32</v>
      </c>
      <c r="B33" s="30" t="s">
        <v>6495</v>
      </c>
      <c r="C33" s="30" t="s">
        <v>6454</v>
      </c>
      <c r="D33" s="30">
        <v>430.48</v>
      </c>
      <c r="E33" s="30">
        <v>432.32</v>
      </c>
      <c r="F33" s="30">
        <v>394.91</v>
      </c>
      <c r="G33" s="30">
        <v>195.05</v>
      </c>
      <c r="H33" s="30">
        <v>480.35</v>
      </c>
      <c r="I33" s="30">
        <v>383.96</v>
      </c>
      <c r="J33" s="30">
        <v>270.02</v>
      </c>
      <c r="K33" s="30">
        <v>289.91000000000003</v>
      </c>
      <c r="L33" s="30">
        <v>318.88</v>
      </c>
      <c r="M33" s="22">
        <v>376.86</v>
      </c>
      <c r="T33" s="30">
        <v>32</v>
      </c>
      <c r="U33" s="30" t="s">
        <v>2180</v>
      </c>
      <c r="V33" s="30">
        <v>13711.2</v>
      </c>
      <c r="W33" s="30">
        <v>10627.9</v>
      </c>
      <c r="X33" s="30">
        <v>10973.5</v>
      </c>
      <c r="Y33" s="30">
        <v>13755.5</v>
      </c>
      <c r="Z33" s="30">
        <v>13800.4</v>
      </c>
      <c r="AA33" s="30">
        <v>10570.4</v>
      </c>
      <c r="AB33" s="30">
        <v>13439.1</v>
      </c>
      <c r="AC33" s="30">
        <v>9685</v>
      </c>
      <c r="AD33" s="30">
        <v>13095.3</v>
      </c>
      <c r="AE33" s="22">
        <v>5494.9</v>
      </c>
      <c r="AH33" s="30">
        <v>32</v>
      </c>
      <c r="AI33" s="30" t="s">
        <v>6495</v>
      </c>
      <c r="AJ33" s="30" t="s">
        <v>6454</v>
      </c>
      <c r="AK33" s="30">
        <v>245.86</v>
      </c>
      <c r="AL33" s="30">
        <v>149.76</v>
      </c>
      <c r="AM33" s="30">
        <v>237.24</v>
      </c>
      <c r="AN33" s="30" t="s">
        <v>29</v>
      </c>
      <c r="AO33" s="30" t="s">
        <v>29</v>
      </c>
      <c r="AP33" s="30">
        <v>74.239999999999995</v>
      </c>
      <c r="AQ33" s="30">
        <v>161.43</v>
      </c>
      <c r="AR33" s="30">
        <v>148.97</v>
      </c>
      <c r="AS33" s="30">
        <v>1.08</v>
      </c>
      <c r="AT33" s="22">
        <v>111.8</v>
      </c>
      <c r="AV33" s="30">
        <v>32</v>
      </c>
      <c r="AW33" s="30" t="s">
        <v>2180</v>
      </c>
      <c r="AX33" s="30">
        <v>22769.8</v>
      </c>
      <c r="AY33" s="30">
        <v>22961.200000000001</v>
      </c>
      <c r="AZ33" s="30">
        <v>19656.900000000001</v>
      </c>
      <c r="BA33" s="30">
        <v>23047.1</v>
      </c>
      <c r="BB33" s="30">
        <v>4591.3999999999996</v>
      </c>
      <c r="BC33" s="30">
        <v>10570.4</v>
      </c>
      <c r="BD33" s="30">
        <v>13439.1</v>
      </c>
      <c r="BE33" s="30">
        <v>9685</v>
      </c>
      <c r="BF33" s="30">
        <v>13095.3</v>
      </c>
      <c r="BG33" s="22">
        <v>5494.9</v>
      </c>
    </row>
    <row r="34" spans="1:59" ht="28.2" thickBot="1" x14ac:dyDescent="0.3">
      <c r="A34" s="30">
        <v>33</v>
      </c>
      <c r="B34" s="30" t="s">
        <v>3408</v>
      </c>
      <c r="C34" s="30" t="s">
        <v>628</v>
      </c>
      <c r="D34" s="30">
        <v>111.3</v>
      </c>
      <c r="E34" s="30">
        <v>103.87</v>
      </c>
      <c r="F34" s="30">
        <v>117.38</v>
      </c>
      <c r="G34" s="30">
        <v>115.48</v>
      </c>
      <c r="H34" s="30">
        <v>368.82</v>
      </c>
      <c r="I34" s="30">
        <v>94.97</v>
      </c>
      <c r="J34" s="30">
        <v>34.6</v>
      </c>
      <c r="K34" s="30">
        <v>466.51</v>
      </c>
      <c r="L34" s="30">
        <v>155.11000000000001</v>
      </c>
      <c r="M34" s="22">
        <v>44.51</v>
      </c>
      <c r="T34" s="30">
        <v>33</v>
      </c>
      <c r="U34" s="30" t="s">
        <v>2020</v>
      </c>
      <c r="V34" s="30">
        <v>91869.9</v>
      </c>
      <c r="W34" s="30">
        <v>98998.6</v>
      </c>
      <c r="X34" s="30">
        <v>92622.6</v>
      </c>
      <c r="Y34" s="30">
        <v>81732.600000000006</v>
      </c>
      <c r="Z34" s="30">
        <v>96215.4</v>
      </c>
      <c r="AA34" s="30">
        <v>92124</v>
      </c>
      <c r="AB34" s="30">
        <v>147859.29999999999</v>
      </c>
      <c r="AC34" s="30">
        <v>150425.5</v>
      </c>
      <c r="AD34" s="30">
        <v>87318.2</v>
      </c>
      <c r="AE34" s="22">
        <v>151195.9</v>
      </c>
      <c r="AH34" s="30">
        <v>33</v>
      </c>
      <c r="AI34" s="30" t="s">
        <v>3408</v>
      </c>
      <c r="AJ34" s="30" t="s">
        <v>628</v>
      </c>
      <c r="AK34" s="30">
        <v>1.52</v>
      </c>
      <c r="AL34" s="30">
        <v>1.4</v>
      </c>
      <c r="AM34" s="30">
        <v>2.0499999999999998</v>
      </c>
      <c r="AN34" s="30">
        <v>1.1299999999999999</v>
      </c>
      <c r="AO34" s="30">
        <v>31.31</v>
      </c>
      <c r="AP34" s="30">
        <v>1.28</v>
      </c>
      <c r="AQ34" s="30">
        <v>21.39</v>
      </c>
      <c r="AR34" s="30">
        <v>16.329999999999998</v>
      </c>
      <c r="AS34" s="30">
        <v>22.82</v>
      </c>
      <c r="AT34" s="22">
        <v>21.14</v>
      </c>
      <c r="AV34" s="30">
        <v>33</v>
      </c>
      <c r="AW34" s="30" t="s">
        <v>2020</v>
      </c>
      <c r="AX34" s="30">
        <v>94579.5</v>
      </c>
      <c r="AY34" s="30">
        <v>115066.8</v>
      </c>
      <c r="AZ34" s="30">
        <v>78188.800000000003</v>
      </c>
      <c r="BA34" s="30">
        <v>90176.7</v>
      </c>
      <c r="BB34" s="30">
        <v>88720.2</v>
      </c>
      <c r="BC34" s="30">
        <v>92124</v>
      </c>
      <c r="BD34" s="30">
        <v>147859.29999999999</v>
      </c>
      <c r="BE34" s="30">
        <v>150425.5</v>
      </c>
      <c r="BF34" s="30">
        <v>87318.2</v>
      </c>
      <c r="BG34" s="22">
        <v>151195.9</v>
      </c>
    </row>
    <row r="35" spans="1:59" ht="28.2" thickBot="1" x14ac:dyDescent="0.3">
      <c r="A35" s="30">
        <v>34</v>
      </c>
      <c r="B35" s="30" t="s">
        <v>3411</v>
      </c>
      <c r="C35" s="30" t="s">
        <v>6455</v>
      </c>
      <c r="D35" s="30">
        <v>181.03</v>
      </c>
      <c r="E35" s="30">
        <v>102.88</v>
      </c>
      <c r="F35" s="30">
        <v>119.14</v>
      </c>
      <c r="G35" s="30">
        <v>156.82</v>
      </c>
      <c r="H35" s="30">
        <v>144.26</v>
      </c>
      <c r="I35" s="30">
        <v>107.14</v>
      </c>
      <c r="J35" s="30">
        <v>135.32</v>
      </c>
      <c r="K35" s="30">
        <v>119.93</v>
      </c>
      <c r="L35" s="30">
        <v>120.69</v>
      </c>
      <c r="M35" s="22">
        <v>131.25</v>
      </c>
      <c r="T35" s="30">
        <v>34</v>
      </c>
      <c r="U35" s="30" t="s">
        <v>2177</v>
      </c>
      <c r="V35" s="30">
        <v>415018.3</v>
      </c>
      <c r="W35" s="30">
        <v>302788.40000000002</v>
      </c>
      <c r="X35" s="30">
        <v>411817</v>
      </c>
      <c r="Y35" s="30">
        <v>457468.5</v>
      </c>
      <c r="Z35" s="30">
        <v>1364925.3</v>
      </c>
      <c r="AA35" s="30">
        <v>396048.7</v>
      </c>
      <c r="AB35" s="30">
        <v>1368237</v>
      </c>
      <c r="AC35" s="30">
        <v>1357405.5</v>
      </c>
      <c r="AD35" s="30">
        <v>1447391.3</v>
      </c>
      <c r="AE35" s="22">
        <v>701348</v>
      </c>
      <c r="AH35" s="30">
        <v>34</v>
      </c>
      <c r="AI35" s="30" t="s">
        <v>3411</v>
      </c>
      <c r="AJ35" s="30" t="s">
        <v>6455</v>
      </c>
      <c r="AK35" s="30">
        <v>108.83</v>
      </c>
      <c r="AL35" s="30">
        <v>57.44</v>
      </c>
      <c r="AM35" s="30">
        <v>126.4</v>
      </c>
      <c r="AN35" s="30">
        <v>104.03</v>
      </c>
      <c r="AO35" s="30">
        <v>53.59</v>
      </c>
      <c r="AP35" s="30">
        <v>81.38</v>
      </c>
      <c r="AQ35" s="30">
        <v>107.8</v>
      </c>
      <c r="AR35" s="30">
        <v>104.53</v>
      </c>
      <c r="AS35" s="30">
        <v>8.1</v>
      </c>
      <c r="AT35" s="22">
        <v>77.59</v>
      </c>
      <c r="AV35" s="30">
        <v>34</v>
      </c>
      <c r="AW35" s="30" t="s">
        <v>2177</v>
      </c>
      <c r="AX35" s="30">
        <v>310962.90000000002</v>
      </c>
      <c r="AY35" s="30">
        <v>278156.90000000002</v>
      </c>
      <c r="AZ35" s="30">
        <v>264721.40000000002</v>
      </c>
      <c r="BA35" s="30">
        <v>270408</v>
      </c>
      <c r="BB35" s="30">
        <v>143377.29999999999</v>
      </c>
      <c r="BC35" s="30">
        <v>396048.7</v>
      </c>
      <c r="BD35" s="30">
        <v>1368237</v>
      </c>
      <c r="BE35" s="30">
        <v>1357405.5</v>
      </c>
      <c r="BF35" s="30">
        <v>1447391.3</v>
      </c>
      <c r="BG35" s="22">
        <v>701348</v>
      </c>
    </row>
    <row r="36" spans="1:59" ht="42" thickBot="1" x14ac:dyDescent="0.3">
      <c r="A36" s="30">
        <v>35</v>
      </c>
      <c r="B36" s="30" t="s">
        <v>6456</v>
      </c>
      <c r="C36" s="30" t="s">
        <v>6457</v>
      </c>
      <c r="D36" s="30">
        <v>169.98</v>
      </c>
      <c r="E36" s="30">
        <v>85.29</v>
      </c>
      <c r="F36" s="30">
        <v>140.41</v>
      </c>
      <c r="G36" s="30">
        <v>94.21</v>
      </c>
      <c r="H36" s="30">
        <v>39.57</v>
      </c>
      <c r="I36" s="30">
        <v>32.770000000000003</v>
      </c>
      <c r="J36" s="30">
        <v>72.89</v>
      </c>
      <c r="K36" s="30">
        <v>55.61</v>
      </c>
      <c r="L36" s="30">
        <v>58.5</v>
      </c>
      <c r="M36" s="22">
        <v>54.97</v>
      </c>
      <c r="T36" s="30">
        <v>35</v>
      </c>
      <c r="U36" s="30" t="s">
        <v>2175</v>
      </c>
      <c r="V36" s="30" t="s">
        <v>2908</v>
      </c>
      <c r="W36" s="30" t="s">
        <v>2908</v>
      </c>
      <c r="X36" s="30" t="s">
        <v>2908</v>
      </c>
      <c r="Y36" s="30" t="s">
        <v>2908</v>
      </c>
      <c r="Z36" s="30" t="s">
        <v>2908</v>
      </c>
      <c r="AA36" s="30" t="s">
        <v>2908</v>
      </c>
      <c r="AB36" s="30" t="s">
        <v>2908</v>
      </c>
      <c r="AC36" s="30" t="s">
        <v>2908</v>
      </c>
      <c r="AD36" s="30" t="s">
        <v>2908</v>
      </c>
      <c r="AE36" s="22" t="s">
        <v>2908</v>
      </c>
      <c r="AH36" s="30">
        <v>35</v>
      </c>
      <c r="AI36" s="30" t="s">
        <v>6456</v>
      </c>
      <c r="AJ36" s="30" t="s">
        <v>6457</v>
      </c>
      <c r="AK36" s="30">
        <v>169.98</v>
      </c>
      <c r="AL36" s="30">
        <v>85.29</v>
      </c>
      <c r="AM36" s="30">
        <v>140.41</v>
      </c>
      <c r="AN36" s="30">
        <v>94.21</v>
      </c>
      <c r="AO36" s="30">
        <v>39.57</v>
      </c>
      <c r="AP36" s="30">
        <v>32.770000000000003</v>
      </c>
      <c r="AQ36" s="30">
        <v>72.89</v>
      </c>
      <c r="AR36" s="30">
        <v>55.61</v>
      </c>
      <c r="AS36" s="30">
        <v>58.5</v>
      </c>
      <c r="AT36" s="22">
        <v>54.97</v>
      </c>
      <c r="AV36" s="30">
        <v>35</v>
      </c>
      <c r="AW36" s="30" t="s">
        <v>2175</v>
      </c>
      <c r="AX36" s="30" t="s">
        <v>2908</v>
      </c>
      <c r="AY36" s="30" t="s">
        <v>2908</v>
      </c>
      <c r="AZ36" s="30" t="s">
        <v>2908</v>
      </c>
      <c r="BA36" s="30" t="s">
        <v>2908</v>
      </c>
      <c r="BB36" s="30" t="s">
        <v>2908</v>
      </c>
      <c r="BC36" s="30" t="s">
        <v>2908</v>
      </c>
      <c r="BD36" s="30" t="s">
        <v>2908</v>
      </c>
      <c r="BE36" s="30" t="s">
        <v>2908</v>
      </c>
      <c r="BF36" s="30" t="s">
        <v>2908</v>
      </c>
      <c r="BG36" s="22" t="s">
        <v>2908</v>
      </c>
    </row>
    <row r="37" spans="1:59" ht="28.2" thickBot="1" x14ac:dyDescent="0.3">
      <c r="A37" s="30">
        <v>36</v>
      </c>
      <c r="B37" s="30" t="s">
        <v>4620</v>
      </c>
      <c r="C37" s="30" t="s">
        <v>2012</v>
      </c>
      <c r="D37" s="30">
        <v>216.27</v>
      </c>
      <c r="E37" s="30">
        <v>211.62</v>
      </c>
      <c r="F37" s="30">
        <v>203.57</v>
      </c>
      <c r="G37" s="30">
        <v>193.16</v>
      </c>
      <c r="H37" s="30">
        <v>73.680000000000007</v>
      </c>
      <c r="I37" s="30">
        <v>181.66</v>
      </c>
      <c r="J37" s="30">
        <v>67</v>
      </c>
      <c r="K37" s="30">
        <v>132.35</v>
      </c>
      <c r="L37" s="30">
        <v>124.89</v>
      </c>
      <c r="M37" s="22">
        <v>15.32</v>
      </c>
      <c r="T37" s="30">
        <v>36</v>
      </c>
      <c r="U37" s="30" t="s">
        <v>2026</v>
      </c>
      <c r="V37" s="30">
        <v>8835.7999999999993</v>
      </c>
      <c r="W37" s="30">
        <v>7017.6</v>
      </c>
      <c r="X37" s="30">
        <v>8091.7</v>
      </c>
      <c r="Y37" s="30">
        <v>7944</v>
      </c>
      <c r="Z37" s="30">
        <v>7716.4</v>
      </c>
      <c r="AA37" s="30">
        <v>7983.6</v>
      </c>
      <c r="AB37" s="30">
        <v>12847.7</v>
      </c>
      <c r="AC37" s="30">
        <v>10206.9</v>
      </c>
      <c r="AD37" s="30">
        <v>6864.6</v>
      </c>
      <c r="AE37" s="22">
        <v>4760.3999999999996</v>
      </c>
      <c r="AH37" s="30">
        <v>36</v>
      </c>
      <c r="AI37" s="30" t="s">
        <v>4620</v>
      </c>
      <c r="AJ37" s="30" t="s">
        <v>2012</v>
      </c>
      <c r="AK37" s="30" t="s">
        <v>29</v>
      </c>
      <c r="AL37" s="30">
        <v>35.18</v>
      </c>
      <c r="AM37" s="30" t="s">
        <v>29</v>
      </c>
      <c r="AN37" s="30" t="s">
        <v>29</v>
      </c>
      <c r="AO37" s="30">
        <v>73.319999999999993</v>
      </c>
      <c r="AP37" s="30">
        <v>65.88</v>
      </c>
      <c r="AQ37" s="30">
        <v>59.87</v>
      </c>
      <c r="AR37" s="30" t="s">
        <v>29</v>
      </c>
      <c r="AS37" s="30" t="s">
        <v>29</v>
      </c>
      <c r="AT37" s="22" t="s">
        <v>29</v>
      </c>
      <c r="AV37" s="30">
        <v>36</v>
      </c>
      <c r="AW37" s="30" t="s">
        <v>2026</v>
      </c>
      <c r="AX37" s="30">
        <v>5283.6</v>
      </c>
      <c r="AY37" s="30">
        <v>5762.5</v>
      </c>
      <c r="AZ37" s="30">
        <v>5175.7</v>
      </c>
      <c r="BA37" s="30">
        <v>6506.8</v>
      </c>
      <c r="BB37" s="30">
        <v>6655.6</v>
      </c>
      <c r="BC37" s="30">
        <v>7983.6</v>
      </c>
      <c r="BD37" s="30">
        <v>12847.7</v>
      </c>
      <c r="BE37" s="30">
        <v>10206.9</v>
      </c>
      <c r="BF37" s="30">
        <v>6864.6</v>
      </c>
      <c r="BG37" s="22">
        <v>4760.3999999999996</v>
      </c>
    </row>
    <row r="38" spans="1:59" ht="28.2" thickBot="1" x14ac:dyDescent="0.3">
      <c r="A38" s="30">
        <v>37</v>
      </c>
      <c r="B38" s="30" t="s">
        <v>6458</v>
      </c>
      <c r="C38" s="30" t="s">
        <v>6459</v>
      </c>
      <c r="D38" s="30" t="s">
        <v>29</v>
      </c>
      <c r="E38" s="30" t="s">
        <v>29</v>
      </c>
      <c r="F38" s="30" t="s">
        <v>29</v>
      </c>
      <c r="G38" s="30" t="s">
        <v>29</v>
      </c>
      <c r="H38" s="30">
        <v>5.13</v>
      </c>
      <c r="I38" s="30">
        <v>22.41</v>
      </c>
      <c r="J38" s="30">
        <v>179.12</v>
      </c>
      <c r="K38" s="30">
        <v>133.52000000000001</v>
      </c>
      <c r="L38" s="30">
        <v>93.18</v>
      </c>
      <c r="M38" s="22" t="s">
        <v>29</v>
      </c>
      <c r="T38" s="30">
        <v>37</v>
      </c>
      <c r="U38" s="30" t="s">
        <v>2920</v>
      </c>
      <c r="V38" s="30">
        <v>2072.6</v>
      </c>
      <c r="W38" s="30">
        <v>4041.6</v>
      </c>
      <c r="X38" s="30">
        <v>1174.4000000000001</v>
      </c>
      <c r="Y38" s="30">
        <v>2178.9</v>
      </c>
      <c r="Z38" s="30">
        <v>3096.5</v>
      </c>
      <c r="AA38" s="30">
        <v>634.1</v>
      </c>
      <c r="AB38" s="30">
        <v>192.5</v>
      </c>
      <c r="AC38" s="30">
        <v>125.8</v>
      </c>
      <c r="AD38" s="30">
        <v>181.2</v>
      </c>
      <c r="AE38" s="22">
        <v>86.2</v>
      </c>
      <c r="AH38" s="30">
        <v>37</v>
      </c>
      <c r="AI38" s="30" t="s">
        <v>6458</v>
      </c>
      <c r="AJ38" s="30" t="s">
        <v>6459</v>
      </c>
      <c r="AK38" s="30" t="s">
        <v>29</v>
      </c>
      <c r="AL38" s="30" t="s">
        <v>29</v>
      </c>
      <c r="AM38" s="30" t="s">
        <v>29</v>
      </c>
      <c r="AN38" s="30" t="s">
        <v>29</v>
      </c>
      <c r="AO38" s="30" t="s">
        <v>29</v>
      </c>
      <c r="AP38" s="30" t="s">
        <v>29</v>
      </c>
      <c r="AQ38" s="30" t="s">
        <v>29</v>
      </c>
      <c r="AR38" s="30" t="s">
        <v>29</v>
      </c>
      <c r="AS38" s="30" t="s">
        <v>29</v>
      </c>
      <c r="AT38" s="22" t="s">
        <v>29</v>
      </c>
      <c r="AV38" s="30">
        <v>37</v>
      </c>
      <c r="AW38" s="30" t="s">
        <v>2920</v>
      </c>
      <c r="AX38" s="30">
        <v>514.6</v>
      </c>
      <c r="AY38" s="30">
        <v>525.9</v>
      </c>
      <c r="AZ38" s="30">
        <v>395.9</v>
      </c>
      <c r="BA38" s="30">
        <v>298.2</v>
      </c>
      <c r="BB38" s="30">
        <v>564.70000000000005</v>
      </c>
      <c r="BC38" s="30">
        <v>634.1</v>
      </c>
      <c r="BD38" s="30">
        <v>192.5</v>
      </c>
      <c r="BE38" s="30">
        <v>125.8</v>
      </c>
      <c r="BF38" s="30">
        <v>181.2</v>
      </c>
      <c r="BG38" s="22">
        <v>86.2</v>
      </c>
    </row>
    <row r="39" spans="1:59" ht="42" thickBot="1" x14ac:dyDescent="0.3">
      <c r="A39" s="30">
        <v>38</v>
      </c>
      <c r="B39" s="30" t="s">
        <v>6460</v>
      </c>
      <c r="C39" s="30" t="s">
        <v>6461</v>
      </c>
      <c r="D39" s="30">
        <v>16.45</v>
      </c>
      <c r="E39" s="30">
        <v>11.49</v>
      </c>
      <c r="F39" s="30">
        <v>14.85</v>
      </c>
      <c r="G39" s="30">
        <v>14.27</v>
      </c>
      <c r="H39" s="30">
        <v>20.350000000000001</v>
      </c>
      <c r="I39" s="30">
        <v>13.35</v>
      </c>
      <c r="J39" s="30">
        <v>15.82</v>
      </c>
      <c r="K39" s="30">
        <v>12.01</v>
      </c>
      <c r="L39" s="30">
        <v>14.84</v>
      </c>
      <c r="M39" s="22">
        <v>13.61</v>
      </c>
      <c r="T39" s="30">
        <v>38</v>
      </c>
      <c r="U39" s="30" t="s">
        <v>2320</v>
      </c>
      <c r="V39" s="30" t="s">
        <v>2908</v>
      </c>
      <c r="W39" s="30" t="s">
        <v>2908</v>
      </c>
      <c r="X39" s="30" t="s">
        <v>2908</v>
      </c>
      <c r="Y39" s="30" t="s">
        <v>2908</v>
      </c>
      <c r="Z39" s="30" t="s">
        <v>2908</v>
      </c>
      <c r="AA39" s="30" t="s">
        <v>2908</v>
      </c>
      <c r="AB39" s="30" t="s">
        <v>2908</v>
      </c>
      <c r="AC39" s="30" t="s">
        <v>2908</v>
      </c>
      <c r="AD39" s="30" t="s">
        <v>2908</v>
      </c>
      <c r="AE39" s="22" t="s">
        <v>2908</v>
      </c>
      <c r="AH39" s="30">
        <v>38</v>
      </c>
      <c r="AI39" s="30" t="s">
        <v>6460</v>
      </c>
      <c r="AJ39" s="30" t="s">
        <v>6461</v>
      </c>
      <c r="AK39" s="30" t="s">
        <v>29</v>
      </c>
      <c r="AL39" s="30" t="s">
        <v>29</v>
      </c>
      <c r="AM39" s="30">
        <v>7.51</v>
      </c>
      <c r="AN39" s="30" t="s">
        <v>29</v>
      </c>
      <c r="AO39" s="30">
        <v>0.63</v>
      </c>
      <c r="AP39" s="30" t="s">
        <v>29</v>
      </c>
      <c r="AQ39" s="30" t="s">
        <v>29</v>
      </c>
      <c r="AR39" s="30" t="s">
        <v>29</v>
      </c>
      <c r="AS39" s="30" t="s">
        <v>29</v>
      </c>
      <c r="AT39" s="22" t="s">
        <v>29</v>
      </c>
      <c r="AV39" s="30">
        <v>38</v>
      </c>
      <c r="AW39" s="30" t="s">
        <v>2320</v>
      </c>
      <c r="AX39" s="30" t="s">
        <v>2908</v>
      </c>
      <c r="AY39" s="30" t="s">
        <v>2908</v>
      </c>
      <c r="AZ39" s="30" t="s">
        <v>2908</v>
      </c>
      <c r="BA39" s="30" t="s">
        <v>2908</v>
      </c>
      <c r="BB39" s="30" t="s">
        <v>2908</v>
      </c>
      <c r="BC39" s="30" t="s">
        <v>2908</v>
      </c>
      <c r="BD39" s="30" t="s">
        <v>2908</v>
      </c>
      <c r="BE39" s="30" t="s">
        <v>2908</v>
      </c>
      <c r="BF39" s="30" t="s">
        <v>2908</v>
      </c>
      <c r="BG39" s="22" t="s">
        <v>2908</v>
      </c>
    </row>
    <row r="40" spans="1:59" ht="42" thickBot="1" x14ac:dyDescent="0.3">
      <c r="A40" s="30">
        <v>39</v>
      </c>
      <c r="B40" s="30" t="s">
        <v>4633</v>
      </c>
      <c r="C40" s="30" t="s">
        <v>6447</v>
      </c>
      <c r="D40" s="30">
        <v>98.82</v>
      </c>
      <c r="E40" s="30">
        <v>91.8</v>
      </c>
      <c r="F40" s="30">
        <v>97.77</v>
      </c>
      <c r="G40" s="30">
        <v>86.53</v>
      </c>
      <c r="H40" s="30">
        <v>129</v>
      </c>
      <c r="I40" s="30">
        <v>97.81</v>
      </c>
      <c r="J40" s="30">
        <v>102.06</v>
      </c>
      <c r="K40" s="30">
        <v>85.9</v>
      </c>
      <c r="L40" s="30">
        <v>99.01</v>
      </c>
      <c r="M40" s="22">
        <v>112.21</v>
      </c>
      <c r="T40" s="30">
        <v>39</v>
      </c>
      <c r="U40" s="30" t="s">
        <v>2857</v>
      </c>
      <c r="V40" s="30">
        <v>103251.9</v>
      </c>
      <c r="W40" s="30">
        <v>99557.7</v>
      </c>
      <c r="X40" s="30">
        <v>102809.60000000001</v>
      </c>
      <c r="Y40" s="30">
        <v>80825.8</v>
      </c>
      <c r="Z40" s="30">
        <v>21057.7</v>
      </c>
      <c r="AA40" s="30">
        <v>106389.5</v>
      </c>
      <c r="AB40" s="30">
        <v>56557.1</v>
      </c>
      <c r="AC40" s="30">
        <v>27990.7</v>
      </c>
      <c r="AD40" s="30">
        <v>49042.6</v>
      </c>
      <c r="AE40" s="22">
        <v>49044.7</v>
      </c>
      <c r="AH40" s="30">
        <v>39</v>
      </c>
      <c r="AI40" s="30" t="s">
        <v>4633</v>
      </c>
      <c r="AJ40" s="30" t="s">
        <v>6447</v>
      </c>
      <c r="AK40" s="30">
        <v>61.8</v>
      </c>
      <c r="AL40" s="30">
        <v>51.3</v>
      </c>
      <c r="AM40" s="30">
        <v>40.76</v>
      </c>
      <c r="AN40" s="30">
        <v>65.94</v>
      </c>
      <c r="AO40" s="30">
        <v>52.48</v>
      </c>
      <c r="AP40" s="30">
        <v>49.32</v>
      </c>
      <c r="AQ40" s="30">
        <v>44.77</v>
      </c>
      <c r="AR40" s="30">
        <v>58.15</v>
      </c>
      <c r="AS40" s="30">
        <v>88.91</v>
      </c>
      <c r="AT40" s="22">
        <v>47.51</v>
      </c>
      <c r="AV40" s="30">
        <v>39</v>
      </c>
      <c r="AW40" s="30" t="s">
        <v>2857</v>
      </c>
      <c r="AX40" s="30">
        <v>8217.7000000000007</v>
      </c>
      <c r="AY40" s="30">
        <v>7729.4</v>
      </c>
      <c r="AZ40" s="30">
        <v>7132</v>
      </c>
      <c r="BA40" s="30">
        <v>4960.3999999999996</v>
      </c>
      <c r="BB40" s="30">
        <v>11654.9</v>
      </c>
      <c r="BC40" s="30">
        <v>106389.5</v>
      </c>
      <c r="BD40" s="30">
        <v>56557.1</v>
      </c>
      <c r="BE40" s="30">
        <v>27990.7</v>
      </c>
      <c r="BF40" s="30">
        <v>49042.6</v>
      </c>
      <c r="BG40" s="22">
        <v>49044.7</v>
      </c>
    </row>
    <row r="41" spans="1:59" ht="28.2" thickBot="1" x14ac:dyDescent="0.3">
      <c r="A41" s="30">
        <v>40</v>
      </c>
      <c r="B41" s="30" t="s">
        <v>3595</v>
      </c>
      <c r="C41" s="30" t="s">
        <v>6462</v>
      </c>
      <c r="D41" s="30">
        <v>154</v>
      </c>
      <c r="E41" s="30">
        <v>58.11</v>
      </c>
      <c r="F41" s="30">
        <v>105.61</v>
      </c>
      <c r="G41" s="30">
        <v>117.57</v>
      </c>
      <c r="H41" s="30">
        <v>21.51</v>
      </c>
      <c r="I41" s="30">
        <v>34.409999999999997</v>
      </c>
      <c r="J41" s="30">
        <v>3.09</v>
      </c>
      <c r="K41" s="30">
        <v>1.36</v>
      </c>
      <c r="L41" s="30">
        <v>3.13</v>
      </c>
      <c r="M41" s="22">
        <v>3.79</v>
      </c>
      <c r="T41" s="30">
        <v>40</v>
      </c>
      <c r="U41" s="30" t="s">
        <v>2921</v>
      </c>
      <c r="V41" s="30">
        <v>123173.3</v>
      </c>
      <c r="W41" s="30">
        <v>121700.7</v>
      </c>
      <c r="X41" s="30">
        <v>125917.4</v>
      </c>
      <c r="Y41" s="30">
        <v>123095</v>
      </c>
      <c r="Z41" s="30">
        <v>127871</v>
      </c>
      <c r="AA41" s="30">
        <v>126128.4</v>
      </c>
      <c r="AB41" s="30">
        <v>113392.4</v>
      </c>
      <c r="AC41" s="30">
        <v>124775.6</v>
      </c>
      <c r="AD41" s="30">
        <v>191053.1</v>
      </c>
      <c r="AE41" s="22">
        <v>89743.2</v>
      </c>
      <c r="AH41" s="30">
        <v>40</v>
      </c>
      <c r="AI41" s="30" t="s">
        <v>3595</v>
      </c>
      <c r="AJ41" s="30" t="s">
        <v>6462</v>
      </c>
      <c r="AK41" s="30">
        <v>132.77000000000001</v>
      </c>
      <c r="AL41" s="30">
        <v>31.61</v>
      </c>
      <c r="AM41" s="30">
        <v>56.78</v>
      </c>
      <c r="AN41" s="30">
        <v>60.96</v>
      </c>
      <c r="AO41" s="30">
        <v>44.53</v>
      </c>
      <c r="AP41" s="30">
        <v>54.87</v>
      </c>
      <c r="AQ41" s="30">
        <v>3.03</v>
      </c>
      <c r="AR41" s="30">
        <v>1.1299999999999999</v>
      </c>
      <c r="AS41" s="30">
        <v>1.43</v>
      </c>
      <c r="AT41" s="22">
        <v>1.07</v>
      </c>
      <c r="AV41" s="30">
        <v>40</v>
      </c>
      <c r="AW41" s="30" t="s">
        <v>2921</v>
      </c>
      <c r="AX41" s="30">
        <v>143919.29999999999</v>
      </c>
      <c r="AY41" s="30">
        <v>142399.29999999999</v>
      </c>
      <c r="AZ41" s="30">
        <v>124499.7</v>
      </c>
      <c r="BA41" s="30">
        <v>125154.1</v>
      </c>
      <c r="BB41" s="30">
        <v>159549.79999999999</v>
      </c>
      <c r="BC41" s="30">
        <v>126128.4</v>
      </c>
      <c r="BD41" s="30">
        <v>113392.4</v>
      </c>
      <c r="BE41" s="30">
        <v>124775.6</v>
      </c>
      <c r="BF41" s="30">
        <v>191053.1</v>
      </c>
      <c r="BG41" s="22">
        <v>89743.2</v>
      </c>
    </row>
    <row r="42" spans="1:59" ht="28.2" thickBot="1" x14ac:dyDescent="0.3">
      <c r="A42" s="30">
        <v>41</v>
      </c>
      <c r="B42" s="30" t="s">
        <v>2177</v>
      </c>
      <c r="C42" s="30" t="s">
        <v>534</v>
      </c>
      <c r="D42" s="30">
        <v>415018.3</v>
      </c>
      <c r="E42" s="30">
        <v>302788.42</v>
      </c>
      <c r="F42" s="30">
        <v>411817.02</v>
      </c>
      <c r="G42" s="30">
        <v>457468.53</v>
      </c>
      <c r="H42" s="30">
        <v>1364925.31</v>
      </c>
      <c r="I42" s="30">
        <v>396048.7</v>
      </c>
      <c r="J42" s="30">
        <v>1368236.97</v>
      </c>
      <c r="K42" s="30">
        <v>1357405.5</v>
      </c>
      <c r="L42" s="30">
        <v>1447391.25</v>
      </c>
      <c r="M42" s="22">
        <v>701347.95</v>
      </c>
      <c r="T42" s="30">
        <v>41</v>
      </c>
      <c r="U42" s="30" t="s">
        <v>2922</v>
      </c>
      <c r="V42" s="30" t="s">
        <v>2908</v>
      </c>
      <c r="W42" s="30" t="s">
        <v>2908</v>
      </c>
      <c r="X42" s="30" t="s">
        <v>2908</v>
      </c>
      <c r="Y42" s="30" t="s">
        <v>2908</v>
      </c>
      <c r="Z42" s="30" t="s">
        <v>2908</v>
      </c>
      <c r="AA42" s="30" t="s">
        <v>2908</v>
      </c>
      <c r="AB42" s="30" t="s">
        <v>2908</v>
      </c>
      <c r="AC42" s="30" t="s">
        <v>2908</v>
      </c>
      <c r="AD42" s="30" t="s">
        <v>2908</v>
      </c>
      <c r="AE42" s="22" t="s">
        <v>2908</v>
      </c>
      <c r="AH42" s="30">
        <v>41</v>
      </c>
      <c r="AI42" s="30" t="s">
        <v>2177</v>
      </c>
      <c r="AJ42" s="30" t="s">
        <v>534</v>
      </c>
      <c r="AK42" s="30">
        <v>310962.95</v>
      </c>
      <c r="AL42" s="30">
        <v>278156.86</v>
      </c>
      <c r="AM42" s="30">
        <v>264721.43</v>
      </c>
      <c r="AN42" s="30">
        <v>270408.03000000003</v>
      </c>
      <c r="AO42" s="30">
        <v>143377.31</v>
      </c>
      <c r="AP42" s="30">
        <v>215607.12</v>
      </c>
      <c r="AQ42" s="30">
        <v>299435.78000000003</v>
      </c>
      <c r="AR42" s="30">
        <v>312512.48</v>
      </c>
      <c r="AS42" s="30">
        <v>290313.62</v>
      </c>
      <c r="AT42" s="22">
        <v>293844.46000000002</v>
      </c>
      <c r="AV42" s="30">
        <v>41</v>
      </c>
      <c r="AW42" s="30" t="s">
        <v>2922</v>
      </c>
      <c r="AX42" s="30" t="s">
        <v>2908</v>
      </c>
      <c r="AY42" s="30" t="s">
        <v>2908</v>
      </c>
      <c r="AZ42" s="30" t="s">
        <v>2908</v>
      </c>
      <c r="BA42" s="30" t="s">
        <v>2908</v>
      </c>
      <c r="BB42" s="30" t="s">
        <v>2908</v>
      </c>
      <c r="BC42" s="30" t="s">
        <v>2908</v>
      </c>
      <c r="BD42" s="30" t="s">
        <v>2908</v>
      </c>
      <c r="BE42" s="30" t="s">
        <v>2908</v>
      </c>
      <c r="BF42" s="30" t="s">
        <v>2908</v>
      </c>
      <c r="BG42" s="22" t="s">
        <v>2908</v>
      </c>
    </row>
    <row r="43" spans="1:59" ht="28.2" thickBot="1" x14ac:dyDescent="0.3">
      <c r="A43" s="30">
        <v>42</v>
      </c>
      <c r="B43" s="30" t="s">
        <v>2023</v>
      </c>
      <c r="C43" s="30" t="s">
        <v>1314</v>
      </c>
      <c r="D43" s="30">
        <v>4608.72</v>
      </c>
      <c r="E43" s="30">
        <v>4359.25</v>
      </c>
      <c r="F43" s="30">
        <v>5025.79</v>
      </c>
      <c r="G43" s="30">
        <v>4983.38</v>
      </c>
      <c r="H43" s="30">
        <v>5308.37</v>
      </c>
      <c r="I43" s="30">
        <v>3980.55</v>
      </c>
      <c r="J43" s="30">
        <v>8910.89</v>
      </c>
      <c r="K43" s="30">
        <v>4405.1899999999996</v>
      </c>
      <c r="L43" s="30">
        <v>6398.71</v>
      </c>
      <c r="M43" s="22">
        <v>2279.0100000000002</v>
      </c>
      <c r="T43" s="30">
        <v>42</v>
      </c>
      <c r="U43" s="30" t="s">
        <v>2341</v>
      </c>
      <c r="V43" s="30">
        <v>0</v>
      </c>
      <c r="W43" s="30">
        <v>0</v>
      </c>
      <c r="X43" s="30">
        <v>0.1</v>
      </c>
      <c r="Y43" s="30">
        <v>0</v>
      </c>
      <c r="Z43" s="30">
        <v>0</v>
      </c>
      <c r="AA43" s="30">
        <v>0.5</v>
      </c>
      <c r="AB43" s="30">
        <v>0.4</v>
      </c>
      <c r="AC43" s="30">
        <v>0.4</v>
      </c>
      <c r="AD43" s="30">
        <v>0.4</v>
      </c>
      <c r="AE43" s="22">
        <v>0.4</v>
      </c>
      <c r="AH43" s="30">
        <v>42</v>
      </c>
      <c r="AI43" s="30" t="s">
        <v>2023</v>
      </c>
      <c r="AJ43" s="30" t="s">
        <v>1314</v>
      </c>
      <c r="AK43" s="30">
        <v>2172.02</v>
      </c>
      <c r="AL43" s="30">
        <v>1984.69</v>
      </c>
      <c r="AM43" s="30">
        <v>1877.21</v>
      </c>
      <c r="AN43" s="30">
        <v>1519.82</v>
      </c>
      <c r="AO43" s="30">
        <v>3042.49</v>
      </c>
      <c r="AP43" s="30">
        <v>2762.41</v>
      </c>
      <c r="AQ43" s="30">
        <v>2056.71</v>
      </c>
      <c r="AR43" s="30">
        <v>1496.6</v>
      </c>
      <c r="AS43" s="30">
        <v>2195.8200000000002</v>
      </c>
      <c r="AT43" s="22">
        <v>2786.7</v>
      </c>
      <c r="AV43" s="30">
        <v>42</v>
      </c>
      <c r="AW43" s="30" t="s">
        <v>2341</v>
      </c>
      <c r="AX43" s="30">
        <v>0.5</v>
      </c>
      <c r="AY43" s="30">
        <v>0.4</v>
      </c>
      <c r="AZ43" s="30">
        <v>0.4</v>
      </c>
      <c r="BA43" s="30">
        <v>0.4</v>
      </c>
      <c r="BB43" s="30">
        <v>0.4</v>
      </c>
      <c r="BC43" s="30">
        <v>0.5</v>
      </c>
      <c r="BD43" s="30">
        <v>0.4</v>
      </c>
      <c r="BE43" s="30">
        <v>0.4</v>
      </c>
      <c r="BF43" s="30">
        <v>0.4</v>
      </c>
      <c r="BG43" s="22">
        <v>0.4</v>
      </c>
    </row>
    <row r="44" spans="1:59" ht="28.2" thickBot="1" x14ac:dyDescent="0.3">
      <c r="A44" s="30">
        <v>43</v>
      </c>
      <c r="B44" s="30" t="s">
        <v>3670</v>
      </c>
      <c r="C44" s="30" t="s">
        <v>1203</v>
      </c>
      <c r="D44" s="30">
        <v>4342.95</v>
      </c>
      <c r="E44" s="30">
        <v>3422.95</v>
      </c>
      <c r="F44" s="30">
        <v>4116.04</v>
      </c>
      <c r="G44" s="30">
        <v>3293.16</v>
      </c>
      <c r="H44" s="30">
        <v>2911.25</v>
      </c>
      <c r="I44" s="30">
        <v>2355.7600000000002</v>
      </c>
      <c r="J44" s="30">
        <v>1896.55</v>
      </c>
      <c r="K44" s="30">
        <v>1214.25</v>
      </c>
      <c r="L44" s="30">
        <v>1109.24</v>
      </c>
      <c r="M44" s="22">
        <v>1339.59</v>
      </c>
      <c r="T44" s="30">
        <v>43</v>
      </c>
      <c r="U44" s="30" t="s">
        <v>2161</v>
      </c>
      <c r="V44" s="30">
        <v>216.3</v>
      </c>
      <c r="W44" s="30">
        <v>211.6</v>
      </c>
      <c r="X44" s="30">
        <v>203.6</v>
      </c>
      <c r="Y44" s="30">
        <v>193.2</v>
      </c>
      <c r="Z44" s="30">
        <v>73.7</v>
      </c>
      <c r="AA44" s="30">
        <v>181.7</v>
      </c>
      <c r="AB44" s="30">
        <v>67</v>
      </c>
      <c r="AC44" s="30">
        <v>132.4</v>
      </c>
      <c r="AD44" s="30">
        <v>124.9</v>
      </c>
      <c r="AE44" s="22">
        <v>15.3</v>
      </c>
      <c r="AH44" s="30">
        <v>43</v>
      </c>
      <c r="AI44" s="30" t="s">
        <v>3670</v>
      </c>
      <c r="AJ44" s="30" t="s">
        <v>1203</v>
      </c>
      <c r="AK44" s="30">
        <v>1700.19</v>
      </c>
      <c r="AL44" s="30">
        <v>702.5</v>
      </c>
      <c r="AM44" s="30">
        <v>2322.29</v>
      </c>
      <c r="AN44" s="30">
        <v>1188.7</v>
      </c>
      <c r="AO44" s="30">
        <v>1859.51</v>
      </c>
      <c r="AP44" s="30">
        <v>648.4</v>
      </c>
      <c r="AQ44" s="30">
        <v>1394.02</v>
      </c>
      <c r="AR44" s="30">
        <v>833.95</v>
      </c>
      <c r="AS44" s="30">
        <v>62.48</v>
      </c>
      <c r="AT44" s="22">
        <v>446.81</v>
      </c>
      <c r="AV44" s="30">
        <v>43</v>
      </c>
      <c r="AW44" s="30" t="s">
        <v>2161</v>
      </c>
      <c r="AX44" s="30">
        <v>181.7</v>
      </c>
      <c r="AY44" s="30">
        <v>67</v>
      </c>
      <c r="AZ44" s="30">
        <v>132.4</v>
      </c>
      <c r="BA44" s="30">
        <v>124.9</v>
      </c>
      <c r="BB44" s="30">
        <v>15.3</v>
      </c>
      <c r="BC44" s="30">
        <v>181.7</v>
      </c>
      <c r="BD44" s="30">
        <v>67</v>
      </c>
      <c r="BE44" s="30">
        <v>132.4</v>
      </c>
      <c r="BF44" s="30">
        <v>124.9</v>
      </c>
      <c r="BG44" s="22">
        <v>15.3</v>
      </c>
    </row>
    <row r="45" spans="1:59" ht="55.8" thickBot="1" x14ac:dyDescent="0.3">
      <c r="A45" s="30">
        <v>44</v>
      </c>
      <c r="B45" s="30" t="s">
        <v>3414</v>
      </c>
      <c r="C45" s="30" t="s">
        <v>6463</v>
      </c>
      <c r="D45" s="30">
        <v>3.49</v>
      </c>
      <c r="E45" s="30">
        <v>1.08</v>
      </c>
      <c r="F45" s="30">
        <v>3.36</v>
      </c>
      <c r="G45" s="30">
        <v>1.27</v>
      </c>
      <c r="H45" s="30">
        <v>3.67</v>
      </c>
      <c r="I45" s="30">
        <v>2.87</v>
      </c>
      <c r="J45" s="30">
        <v>3.09</v>
      </c>
      <c r="K45" s="30" t="s">
        <v>29</v>
      </c>
      <c r="L45" s="30" t="s">
        <v>29</v>
      </c>
      <c r="M45" s="22">
        <v>0.23</v>
      </c>
      <c r="T45" s="30">
        <v>44</v>
      </c>
      <c r="U45" s="30" t="s">
        <v>2923</v>
      </c>
      <c r="V45" s="30" t="s">
        <v>2908</v>
      </c>
      <c r="W45" s="30" t="s">
        <v>2908</v>
      </c>
      <c r="X45" s="30" t="s">
        <v>2908</v>
      </c>
      <c r="Y45" s="30" t="s">
        <v>2908</v>
      </c>
      <c r="Z45" s="30" t="s">
        <v>2908</v>
      </c>
      <c r="AA45" s="30" t="s">
        <v>2908</v>
      </c>
      <c r="AB45" s="30" t="s">
        <v>2908</v>
      </c>
      <c r="AC45" s="30" t="s">
        <v>2908</v>
      </c>
      <c r="AD45" s="30" t="s">
        <v>2908</v>
      </c>
      <c r="AE45" s="22" t="s">
        <v>2908</v>
      </c>
      <c r="AH45" s="30">
        <v>44</v>
      </c>
      <c r="AI45" s="30" t="s">
        <v>3414</v>
      </c>
      <c r="AJ45" s="30" t="s">
        <v>6463</v>
      </c>
      <c r="AK45" s="30">
        <v>0.6</v>
      </c>
      <c r="AL45" s="30">
        <v>0.33</v>
      </c>
      <c r="AM45" s="30">
        <v>0.23</v>
      </c>
      <c r="AN45" s="30">
        <v>0.28000000000000003</v>
      </c>
      <c r="AO45" s="30" t="s">
        <v>29</v>
      </c>
      <c r="AP45" s="30">
        <v>8.02</v>
      </c>
      <c r="AQ45" s="30">
        <v>27.41</v>
      </c>
      <c r="AR45" s="30">
        <v>22.76</v>
      </c>
      <c r="AS45" s="30">
        <v>43.12</v>
      </c>
      <c r="AT45" s="22">
        <v>45.94</v>
      </c>
      <c r="AV45" s="30">
        <v>44</v>
      </c>
      <c r="AW45" s="30" t="s">
        <v>2923</v>
      </c>
      <c r="AX45" s="30" t="s">
        <v>2908</v>
      </c>
      <c r="AY45" s="30" t="s">
        <v>2908</v>
      </c>
      <c r="AZ45" s="30" t="s">
        <v>2908</v>
      </c>
      <c r="BA45" s="30" t="s">
        <v>2908</v>
      </c>
      <c r="BB45" s="30" t="s">
        <v>2908</v>
      </c>
      <c r="BC45" s="30" t="s">
        <v>2908</v>
      </c>
      <c r="BD45" s="30" t="s">
        <v>2908</v>
      </c>
      <c r="BE45" s="30" t="s">
        <v>2908</v>
      </c>
      <c r="BF45" s="30" t="s">
        <v>2908</v>
      </c>
      <c r="BG45" s="22" t="s">
        <v>2908</v>
      </c>
    </row>
    <row r="46" spans="1:59" ht="42" thickBot="1" x14ac:dyDescent="0.3">
      <c r="A46" s="30">
        <v>45</v>
      </c>
      <c r="B46" s="30" t="s">
        <v>6464</v>
      </c>
      <c r="C46" s="30" t="s">
        <v>6465</v>
      </c>
      <c r="D46" s="30">
        <v>9972.58</v>
      </c>
      <c r="E46" s="30">
        <v>9878.9599999999991</v>
      </c>
      <c r="F46" s="30">
        <v>7836.64</v>
      </c>
      <c r="G46" s="30">
        <v>11358.62</v>
      </c>
      <c r="H46" s="30">
        <v>14688.17</v>
      </c>
      <c r="I46" s="30">
        <v>9111.91</v>
      </c>
      <c r="J46" s="30">
        <v>9983.4</v>
      </c>
      <c r="K46" s="30">
        <v>14952.69</v>
      </c>
      <c r="L46" s="30">
        <v>15894.13</v>
      </c>
      <c r="M46" s="22">
        <v>2196.85</v>
      </c>
      <c r="T46" s="30">
        <v>45</v>
      </c>
      <c r="U46" s="30" t="s">
        <v>2924</v>
      </c>
      <c r="V46" s="30">
        <v>36.200000000000003</v>
      </c>
      <c r="W46" s="30">
        <v>47.5</v>
      </c>
      <c r="X46" s="30">
        <v>85.2</v>
      </c>
      <c r="Y46" s="30">
        <v>117.2</v>
      </c>
      <c r="Z46" s="30">
        <v>18.7</v>
      </c>
      <c r="AA46" s="30">
        <v>68.2</v>
      </c>
      <c r="AB46" s="30">
        <v>132.69999999999999</v>
      </c>
      <c r="AC46" s="30">
        <v>62.9</v>
      </c>
      <c r="AD46" s="30">
        <v>121.8</v>
      </c>
      <c r="AE46" s="22" t="s">
        <v>2908</v>
      </c>
      <c r="AH46" s="30">
        <v>45</v>
      </c>
      <c r="AI46" s="30" t="s">
        <v>6464</v>
      </c>
      <c r="AJ46" s="30" t="s">
        <v>6465</v>
      </c>
      <c r="AK46" s="30">
        <v>1588.67</v>
      </c>
      <c r="AL46" s="30">
        <v>976.3</v>
      </c>
      <c r="AM46" s="30">
        <v>1112.6199999999999</v>
      </c>
      <c r="AN46" s="30">
        <v>959.03</v>
      </c>
      <c r="AO46" s="30">
        <v>857.27</v>
      </c>
      <c r="AP46" s="30">
        <v>496.08</v>
      </c>
      <c r="AQ46" s="30">
        <v>457.29</v>
      </c>
      <c r="AR46" s="30">
        <v>275.39</v>
      </c>
      <c r="AS46" s="30">
        <v>320.52999999999997</v>
      </c>
      <c r="AT46" s="22">
        <v>459.98</v>
      </c>
      <c r="AV46" s="30">
        <v>45</v>
      </c>
      <c r="AW46" s="30" t="s">
        <v>2924</v>
      </c>
      <c r="AX46" s="30" t="s">
        <v>2908</v>
      </c>
      <c r="AY46" s="30" t="s">
        <v>2908</v>
      </c>
      <c r="AZ46" s="30" t="s">
        <v>2908</v>
      </c>
      <c r="BA46" s="30" t="s">
        <v>2908</v>
      </c>
      <c r="BB46" s="30" t="s">
        <v>2908</v>
      </c>
      <c r="BC46" s="30">
        <v>12.8</v>
      </c>
      <c r="BD46" s="30">
        <v>20.7</v>
      </c>
      <c r="BE46" s="30">
        <v>3.3</v>
      </c>
      <c r="BF46" s="30">
        <v>5</v>
      </c>
      <c r="BG46" s="22">
        <v>2.8</v>
      </c>
    </row>
    <row r="47" spans="1:59" ht="42" thickBot="1" x14ac:dyDescent="0.3">
      <c r="A47" s="30">
        <v>46</v>
      </c>
      <c r="B47" s="30" t="s">
        <v>2957</v>
      </c>
      <c r="C47" s="30" t="s">
        <v>1318</v>
      </c>
      <c r="D47" s="30">
        <v>1190.6600000000001</v>
      </c>
      <c r="E47" s="30">
        <v>1850.65</v>
      </c>
      <c r="F47" s="30">
        <v>1397.94</v>
      </c>
      <c r="G47" s="30">
        <v>922.81</v>
      </c>
      <c r="H47" s="30">
        <v>4880</v>
      </c>
      <c r="I47" s="30">
        <v>683.3</v>
      </c>
      <c r="J47" s="30">
        <v>6578.03</v>
      </c>
      <c r="K47" s="30">
        <v>1656.79</v>
      </c>
      <c r="L47" s="30">
        <v>2092.5500000000002</v>
      </c>
      <c r="M47" s="22">
        <v>993.84</v>
      </c>
      <c r="T47" s="30">
        <v>46</v>
      </c>
      <c r="U47" s="30" t="s">
        <v>2925</v>
      </c>
      <c r="V47" s="30" t="s">
        <v>2908</v>
      </c>
      <c r="W47" s="30">
        <v>54.1</v>
      </c>
      <c r="X47" s="30" t="s">
        <v>2908</v>
      </c>
      <c r="Y47" s="30" t="s">
        <v>2908</v>
      </c>
      <c r="Z47" s="30" t="s">
        <v>2908</v>
      </c>
      <c r="AA47" s="30">
        <v>50.3</v>
      </c>
      <c r="AB47" s="30">
        <v>22</v>
      </c>
      <c r="AC47" s="30" t="s">
        <v>2908</v>
      </c>
      <c r="AD47" s="30">
        <v>14.9</v>
      </c>
      <c r="AE47" s="22" t="s">
        <v>2908</v>
      </c>
      <c r="AH47" s="30">
        <v>46</v>
      </c>
      <c r="AI47" s="30" t="s">
        <v>2957</v>
      </c>
      <c r="AJ47" s="30" t="s">
        <v>1318</v>
      </c>
      <c r="AK47" s="30">
        <v>3732.13</v>
      </c>
      <c r="AL47" s="30">
        <v>2483.48</v>
      </c>
      <c r="AM47" s="30">
        <v>6502.11</v>
      </c>
      <c r="AN47" s="30">
        <v>3246.33</v>
      </c>
      <c r="AO47" s="30">
        <v>5002.13</v>
      </c>
      <c r="AP47" s="30">
        <v>3847.02</v>
      </c>
      <c r="AQ47" s="30">
        <v>7328.35</v>
      </c>
      <c r="AR47" s="30">
        <v>705.7</v>
      </c>
      <c r="AS47" s="30">
        <v>547.80999999999995</v>
      </c>
      <c r="AT47" s="22">
        <v>3228.33</v>
      </c>
      <c r="AV47" s="30">
        <v>46</v>
      </c>
      <c r="AW47" s="30" t="s">
        <v>2925</v>
      </c>
      <c r="AX47" s="30" t="s">
        <v>2908</v>
      </c>
      <c r="AY47" s="30" t="s">
        <v>2908</v>
      </c>
      <c r="AZ47" s="30" t="s">
        <v>2908</v>
      </c>
      <c r="BA47" s="30" t="s">
        <v>2908</v>
      </c>
      <c r="BB47" s="30" t="s">
        <v>2908</v>
      </c>
      <c r="BC47" s="30" t="s">
        <v>2908</v>
      </c>
      <c r="BD47" s="30">
        <v>245.7</v>
      </c>
      <c r="BE47" s="30" t="s">
        <v>2908</v>
      </c>
      <c r="BF47" s="30" t="s">
        <v>2908</v>
      </c>
      <c r="BG47" s="22">
        <v>163.5</v>
      </c>
    </row>
    <row r="48" spans="1:59" ht="42" thickBot="1" x14ac:dyDescent="0.3">
      <c r="A48" s="30">
        <v>47</v>
      </c>
      <c r="B48" s="30" t="s">
        <v>6466</v>
      </c>
      <c r="C48" s="30" t="s">
        <v>6467</v>
      </c>
      <c r="D48" s="30">
        <v>1993.18</v>
      </c>
      <c r="E48" s="30">
        <v>2503.88</v>
      </c>
      <c r="F48" s="30">
        <v>1987.16</v>
      </c>
      <c r="G48" s="30">
        <v>1979.03</v>
      </c>
      <c r="H48" s="30">
        <v>2033.26</v>
      </c>
      <c r="I48" s="30">
        <v>1426.89</v>
      </c>
      <c r="J48" s="30">
        <v>2053.9499999999998</v>
      </c>
      <c r="K48" s="30">
        <v>1949.26</v>
      </c>
      <c r="L48" s="30">
        <v>963.24</v>
      </c>
      <c r="M48" s="22">
        <v>809.26</v>
      </c>
      <c r="T48" s="30">
        <v>47</v>
      </c>
      <c r="U48" s="30" t="s">
        <v>3159</v>
      </c>
      <c r="V48" s="30">
        <v>145.69999999999999</v>
      </c>
      <c r="W48" s="30">
        <v>181.3</v>
      </c>
      <c r="X48" s="30">
        <v>108.8</v>
      </c>
      <c r="Y48" s="30">
        <v>150.6</v>
      </c>
      <c r="Z48" s="30">
        <v>166.2</v>
      </c>
      <c r="AA48" s="30">
        <v>191.6</v>
      </c>
      <c r="AB48" s="30">
        <v>191.6</v>
      </c>
      <c r="AC48" s="30">
        <v>97.9</v>
      </c>
      <c r="AD48" s="30">
        <v>158.9</v>
      </c>
      <c r="AE48" s="22">
        <v>94.6</v>
      </c>
      <c r="AH48" s="30">
        <v>47</v>
      </c>
      <c r="AI48" s="30" t="s">
        <v>6466</v>
      </c>
      <c r="AJ48" s="30" t="s">
        <v>6467</v>
      </c>
      <c r="AK48" s="30">
        <v>287.19</v>
      </c>
      <c r="AL48" s="30">
        <v>81.36</v>
      </c>
      <c r="AM48" s="30">
        <v>177.62</v>
      </c>
      <c r="AN48" s="30">
        <v>145.91999999999999</v>
      </c>
      <c r="AO48" s="30">
        <v>168.26</v>
      </c>
      <c r="AP48" s="30">
        <v>91.28</v>
      </c>
      <c r="AQ48" s="30">
        <v>371.48</v>
      </c>
      <c r="AR48" s="30">
        <v>251.42</v>
      </c>
      <c r="AS48" s="30">
        <v>259.68</v>
      </c>
      <c r="AT48" s="22">
        <v>189.62</v>
      </c>
      <c r="AV48" s="30">
        <v>47</v>
      </c>
      <c r="AW48" s="30" t="s">
        <v>3159</v>
      </c>
      <c r="AX48" s="30">
        <v>39.299999999999997</v>
      </c>
      <c r="AY48" s="30">
        <v>28.4</v>
      </c>
      <c r="AZ48" s="30">
        <v>93.7</v>
      </c>
      <c r="BA48" s="30">
        <v>43.5</v>
      </c>
      <c r="BB48" s="30">
        <v>68.7</v>
      </c>
      <c r="BC48" s="30">
        <v>62.4</v>
      </c>
      <c r="BD48" s="30">
        <v>20</v>
      </c>
      <c r="BE48" s="30" t="s">
        <v>2908</v>
      </c>
      <c r="BF48" s="30" t="s">
        <v>2908</v>
      </c>
      <c r="BG48" s="22">
        <v>18.2</v>
      </c>
    </row>
    <row r="49" spans="1:59" ht="28.2" thickBot="1" x14ac:dyDescent="0.3">
      <c r="A49" s="30">
        <v>48</v>
      </c>
      <c r="B49" s="30" t="s">
        <v>2918</v>
      </c>
      <c r="C49" s="30" t="s">
        <v>408</v>
      </c>
      <c r="D49" s="30">
        <v>328.69</v>
      </c>
      <c r="E49" s="30">
        <v>271.45</v>
      </c>
      <c r="F49" s="30">
        <v>120</v>
      </c>
      <c r="G49" s="30">
        <v>151.44999999999999</v>
      </c>
      <c r="H49" s="30">
        <v>101.54</v>
      </c>
      <c r="I49" s="30">
        <v>168.11</v>
      </c>
      <c r="J49" s="30">
        <v>194.74</v>
      </c>
      <c r="K49" s="30">
        <v>256.41000000000003</v>
      </c>
      <c r="L49" s="30">
        <v>15.31</v>
      </c>
      <c r="M49" s="22">
        <v>124.17</v>
      </c>
      <c r="T49" s="30">
        <v>48</v>
      </c>
      <c r="U49" s="30" t="s">
        <v>2878</v>
      </c>
      <c r="V49" s="30" t="s">
        <v>2908</v>
      </c>
      <c r="W49" s="30" t="s">
        <v>2908</v>
      </c>
      <c r="X49" s="30" t="s">
        <v>2908</v>
      </c>
      <c r="Y49" s="30" t="s">
        <v>2908</v>
      </c>
      <c r="Z49" s="30" t="s">
        <v>2908</v>
      </c>
      <c r="AA49" s="30" t="s">
        <v>2908</v>
      </c>
      <c r="AB49" s="30" t="s">
        <v>2908</v>
      </c>
      <c r="AC49" s="30" t="s">
        <v>2908</v>
      </c>
      <c r="AD49" s="30" t="s">
        <v>2908</v>
      </c>
      <c r="AE49" s="22" t="s">
        <v>2908</v>
      </c>
      <c r="AH49" s="30">
        <v>48</v>
      </c>
      <c r="AI49" s="30" t="s">
        <v>2918</v>
      </c>
      <c r="AJ49" s="30" t="s">
        <v>408</v>
      </c>
      <c r="AK49" s="30">
        <v>121.62</v>
      </c>
      <c r="AL49" s="30">
        <v>99.18</v>
      </c>
      <c r="AM49" s="30">
        <v>99.15</v>
      </c>
      <c r="AN49" s="30">
        <v>88.51</v>
      </c>
      <c r="AO49" s="30">
        <v>93.56</v>
      </c>
      <c r="AP49" s="30">
        <v>112.63</v>
      </c>
      <c r="AQ49" s="30">
        <v>131.69999999999999</v>
      </c>
      <c r="AR49" s="30">
        <v>128.38</v>
      </c>
      <c r="AS49" s="30">
        <v>89.57</v>
      </c>
      <c r="AT49" s="22">
        <v>90.64</v>
      </c>
      <c r="AV49" s="30">
        <v>48</v>
      </c>
      <c r="AW49" s="30" t="s">
        <v>2878</v>
      </c>
      <c r="AX49" s="30" t="s">
        <v>2908</v>
      </c>
      <c r="AY49" s="30" t="s">
        <v>2908</v>
      </c>
      <c r="AZ49" s="30" t="s">
        <v>2908</v>
      </c>
      <c r="BA49" s="30" t="s">
        <v>2908</v>
      </c>
      <c r="BB49" s="30" t="s">
        <v>2908</v>
      </c>
      <c r="BC49" s="30" t="s">
        <v>2908</v>
      </c>
      <c r="BD49" s="30" t="s">
        <v>2908</v>
      </c>
      <c r="BE49" s="30" t="s">
        <v>2908</v>
      </c>
      <c r="BF49" s="30" t="s">
        <v>2908</v>
      </c>
      <c r="BG49" s="22" t="s">
        <v>2908</v>
      </c>
    </row>
    <row r="50" spans="1:59" ht="42" thickBot="1" x14ac:dyDescent="0.3">
      <c r="A50" s="30">
        <v>49</v>
      </c>
      <c r="B50" s="30" t="s">
        <v>4635</v>
      </c>
      <c r="C50" s="30" t="s">
        <v>6446</v>
      </c>
      <c r="D50" s="30">
        <v>16.98</v>
      </c>
      <c r="E50" s="30">
        <v>15.8</v>
      </c>
      <c r="F50" s="30">
        <v>17.739999999999998</v>
      </c>
      <c r="G50" s="30">
        <v>21.19</v>
      </c>
      <c r="H50" s="30">
        <v>16.34</v>
      </c>
      <c r="I50" s="30">
        <v>23.59</v>
      </c>
      <c r="J50" s="30">
        <v>23.8</v>
      </c>
      <c r="K50" s="30">
        <v>233.06</v>
      </c>
      <c r="L50" s="30">
        <v>176.77</v>
      </c>
      <c r="M50" s="22">
        <v>80.099999999999994</v>
      </c>
      <c r="T50" s="30">
        <v>49</v>
      </c>
      <c r="U50" s="30" t="s">
        <v>2927</v>
      </c>
      <c r="V50" s="30">
        <v>4609</v>
      </c>
      <c r="W50" s="30">
        <v>3470.6</v>
      </c>
      <c r="X50" s="30">
        <v>4203.6000000000004</v>
      </c>
      <c r="Y50" s="30">
        <v>5487.2</v>
      </c>
      <c r="Z50" s="30">
        <v>7707.9</v>
      </c>
      <c r="AA50" s="30">
        <v>3931</v>
      </c>
      <c r="AB50" s="30">
        <v>5983.9</v>
      </c>
      <c r="AC50" s="30">
        <v>6287.2</v>
      </c>
      <c r="AD50" s="30">
        <v>3102.3</v>
      </c>
      <c r="AE50" s="22">
        <v>7222.9</v>
      </c>
      <c r="AH50" s="30">
        <v>49</v>
      </c>
      <c r="AI50" s="30" t="s">
        <v>4635</v>
      </c>
      <c r="AJ50" s="30" t="s">
        <v>6446</v>
      </c>
      <c r="AK50" s="30">
        <v>285.22000000000003</v>
      </c>
      <c r="AL50" s="30">
        <v>154.9</v>
      </c>
      <c r="AM50" s="30">
        <v>136.9</v>
      </c>
      <c r="AN50" s="30">
        <v>134.63</v>
      </c>
      <c r="AO50" s="30">
        <v>38.31</v>
      </c>
      <c r="AP50" s="30">
        <v>59.41</v>
      </c>
      <c r="AQ50" s="30">
        <v>66.13</v>
      </c>
      <c r="AR50" s="30">
        <v>117.41</v>
      </c>
      <c r="AS50" s="30">
        <v>87.84</v>
      </c>
      <c r="AT50" s="22">
        <v>51.61</v>
      </c>
      <c r="AV50" s="30">
        <v>49</v>
      </c>
      <c r="AW50" s="30" t="s">
        <v>2927</v>
      </c>
      <c r="AX50" s="30">
        <v>2197.1999999999998</v>
      </c>
      <c r="AY50" s="30">
        <v>1893.5</v>
      </c>
      <c r="AZ50" s="30">
        <v>2005.7</v>
      </c>
      <c r="BA50" s="30">
        <v>2017.6</v>
      </c>
      <c r="BB50" s="30">
        <v>3869.2</v>
      </c>
      <c r="BC50" s="30">
        <v>3931</v>
      </c>
      <c r="BD50" s="30">
        <v>5983.9</v>
      </c>
      <c r="BE50" s="30">
        <v>6287.2</v>
      </c>
      <c r="BF50" s="30">
        <v>3102.3</v>
      </c>
      <c r="BG50" s="22">
        <v>7222.9</v>
      </c>
    </row>
    <row r="51" spans="1:59" ht="28.2" thickBot="1" x14ac:dyDescent="0.3">
      <c r="A51" s="30">
        <v>50</v>
      </c>
      <c r="B51" s="30" t="s">
        <v>2857</v>
      </c>
      <c r="C51" s="31">
        <v>35796</v>
      </c>
      <c r="D51" s="30">
        <v>103251.89</v>
      </c>
      <c r="E51" s="30">
        <v>99557.66</v>
      </c>
      <c r="F51" s="30">
        <v>102809.55</v>
      </c>
      <c r="G51" s="30">
        <v>80825.83</v>
      </c>
      <c r="H51" s="30">
        <v>21057.66</v>
      </c>
      <c r="I51" s="30">
        <v>106389.53</v>
      </c>
      <c r="J51" s="30">
        <v>56557.1</v>
      </c>
      <c r="K51" s="30">
        <v>27990.73</v>
      </c>
      <c r="L51" s="30">
        <v>49042.559999999998</v>
      </c>
      <c r="M51" s="22">
        <v>49044.67</v>
      </c>
      <c r="T51" s="30">
        <v>50</v>
      </c>
      <c r="U51" s="30" t="s">
        <v>2164</v>
      </c>
      <c r="V51" s="30">
        <v>12294.7</v>
      </c>
      <c r="W51" s="30">
        <v>24164.9</v>
      </c>
      <c r="X51" s="30">
        <v>12778.8</v>
      </c>
      <c r="Y51" s="30">
        <v>11326.3</v>
      </c>
      <c r="Z51" s="30">
        <v>15064.3</v>
      </c>
      <c r="AA51" s="30">
        <v>13164.6</v>
      </c>
      <c r="AB51" s="30">
        <v>7994.5</v>
      </c>
      <c r="AC51" s="30">
        <v>7501.5</v>
      </c>
      <c r="AD51" s="30">
        <v>9686.2000000000007</v>
      </c>
      <c r="AE51" s="22">
        <v>9046</v>
      </c>
      <c r="AH51" s="30">
        <v>50</v>
      </c>
      <c r="AI51" s="30" t="s">
        <v>2857</v>
      </c>
      <c r="AJ51" s="31">
        <v>35796</v>
      </c>
      <c r="AK51" s="30">
        <v>8217.73</v>
      </c>
      <c r="AL51" s="30">
        <v>7729.41</v>
      </c>
      <c r="AM51" s="30">
        <v>7132.02</v>
      </c>
      <c r="AN51" s="30">
        <v>4960.43</v>
      </c>
      <c r="AO51" s="30">
        <v>11654.91</v>
      </c>
      <c r="AP51" s="30">
        <v>9015.2099999999991</v>
      </c>
      <c r="AQ51" s="30">
        <v>6931.64</v>
      </c>
      <c r="AR51" s="30">
        <v>8577.67</v>
      </c>
      <c r="AS51" s="30">
        <v>12792.01</v>
      </c>
      <c r="AT51" s="22">
        <v>6102.98</v>
      </c>
      <c r="AV51" s="30">
        <v>50</v>
      </c>
      <c r="AW51" s="30" t="s">
        <v>2164</v>
      </c>
      <c r="AX51" s="30">
        <v>3716.2</v>
      </c>
      <c r="AY51" s="30">
        <v>5759.5</v>
      </c>
      <c r="AZ51" s="30">
        <v>3856.7</v>
      </c>
      <c r="BA51" s="30">
        <v>4007.1</v>
      </c>
      <c r="BB51" s="30">
        <v>8215.2000000000007</v>
      </c>
      <c r="BC51" s="30">
        <v>13164.6</v>
      </c>
      <c r="BD51" s="30">
        <v>7994.5</v>
      </c>
      <c r="BE51" s="30">
        <v>7501.5</v>
      </c>
      <c r="BF51" s="30">
        <v>9686.2000000000007</v>
      </c>
      <c r="BG51" s="22">
        <v>9046</v>
      </c>
    </row>
    <row r="52" spans="1:59" ht="42" thickBot="1" x14ac:dyDescent="0.3">
      <c r="A52" s="30">
        <v>51</v>
      </c>
      <c r="B52" s="30" t="s">
        <v>3215</v>
      </c>
      <c r="C52" s="30" t="s">
        <v>1337</v>
      </c>
      <c r="D52" s="30">
        <v>510.38</v>
      </c>
      <c r="E52" s="30">
        <v>199.44</v>
      </c>
      <c r="F52" s="30">
        <v>476.4</v>
      </c>
      <c r="G52" s="30">
        <v>208.29</v>
      </c>
      <c r="H52" s="30">
        <v>2920.01</v>
      </c>
      <c r="I52" s="30">
        <v>272.45</v>
      </c>
      <c r="J52" s="30">
        <v>699.18</v>
      </c>
      <c r="K52" s="30">
        <v>298.54000000000002</v>
      </c>
      <c r="L52" s="30">
        <v>224.93</v>
      </c>
      <c r="M52" s="22">
        <v>305.62</v>
      </c>
      <c r="T52" s="30">
        <v>51</v>
      </c>
      <c r="U52" s="30" t="s">
        <v>2170</v>
      </c>
      <c r="V52" s="30">
        <v>1101.0999999999999</v>
      </c>
      <c r="W52" s="30">
        <v>1254.9000000000001</v>
      </c>
      <c r="X52" s="30">
        <v>935.5</v>
      </c>
      <c r="Y52" s="30">
        <v>999.7</v>
      </c>
      <c r="Z52" s="30">
        <v>1161.3</v>
      </c>
      <c r="AA52" s="30">
        <v>956.9</v>
      </c>
      <c r="AB52" s="30">
        <v>1065</v>
      </c>
      <c r="AC52" s="30">
        <v>914.3</v>
      </c>
      <c r="AD52" s="30">
        <v>518.20000000000005</v>
      </c>
      <c r="AE52" s="22">
        <v>711.6</v>
      </c>
      <c r="AH52" s="30">
        <v>51</v>
      </c>
      <c r="AI52" s="30" t="s">
        <v>3215</v>
      </c>
      <c r="AJ52" s="30" t="s">
        <v>1337</v>
      </c>
      <c r="AK52" s="30">
        <v>148.54</v>
      </c>
      <c r="AL52" s="30">
        <v>67.08</v>
      </c>
      <c r="AM52" s="30">
        <v>322.76</v>
      </c>
      <c r="AN52" s="30">
        <v>73.459999999999994</v>
      </c>
      <c r="AO52" s="30">
        <v>76.44</v>
      </c>
      <c r="AP52" s="30">
        <v>71.22</v>
      </c>
      <c r="AQ52" s="30">
        <v>68.19</v>
      </c>
      <c r="AR52" s="30">
        <v>31.17</v>
      </c>
      <c r="AS52" s="30">
        <v>42.04</v>
      </c>
      <c r="AT52" s="22">
        <v>35.67</v>
      </c>
      <c r="AV52" s="30">
        <v>51</v>
      </c>
      <c r="AW52" s="30" t="s">
        <v>2170</v>
      </c>
      <c r="AX52" s="30">
        <v>192.3</v>
      </c>
      <c r="AY52" s="30">
        <v>236.9</v>
      </c>
      <c r="AZ52" s="30">
        <v>178.3</v>
      </c>
      <c r="BA52" s="30">
        <v>129</v>
      </c>
      <c r="BB52" s="30">
        <v>299.89999999999998</v>
      </c>
      <c r="BC52" s="30">
        <v>956.9</v>
      </c>
      <c r="BD52" s="30">
        <v>1065</v>
      </c>
      <c r="BE52" s="30">
        <v>914.3</v>
      </c>
      <c r="BF52" s="30">
        <v>518.20000000000005</v>
      </c>
      <c r="BG52" s="22">
        <v>711.6</v>
      </c>
    </row>
    <row r="53" spans="1:59" ht="28.2" thickBot="1" x14ac:dyDescent="0.3">
      <c r="A53" s="30">
        <v>52</v>
      </c>
      <c r="B53" s="30" t="s">
        <v>3417</v>
      </c>
      <c r="C53" s="30" t="s">
        <v>6468</v>
      </c>
      <c r="D53" s="30">
        <v>48.45</v>
      </c>
      <c r="E53" s="30">
        <v>263.13</v>
      </c>
      <c r="F53" s="30">
        <v>28.75</v>
      </c>
      <c r="G53" s="30">
        <v>44.68</v>
      </c>
      <c r="H53" s="30">
        <v>973.31</v>
      </c>
      <c r="I53" s="30">
        <v>429.59</v>
      </c>
      <c r="J53" s="30">
        <v>2044.08</v>
      </c>
      <c r="K53" s="30">
        <v>64.650000000000006</v>
      </c>
      <c r="L53" s="30">
        <v>130.35</v>
      </c>
      <c r="M53" s="22">
        <v>8.98</v>
      </c>
      <c r="T53" s="30">
        <v>52</v>
      </c>
      <c r="U53" s="30" t="s">
        <v>2172</v>
      </c>
      <c r="V53" s="30">
        <v>547.4</v>
      </c>
      <c r="W53" s="30">
        <v>359.9</v>
      </c>
      <c r="X53" s="30">
        <v>264.8</v>
      </c>
      <c r="Y53" s="30">
        <v>142.1</v>
      </c>
      <c r="Z53" s="30">
        <v>962</v>
      </c>
      <c r="AA53" s="30">
        <v>269</v>
      </c>
      <c r="AB53" s="30">
        <v>1368.9</v>
      </c>
      <c r="AC53" s="30">
        <v>706.7</v>
      </c>
      <c r="AD53" s="30">
        <v>702.4</v>
      </c>
      <c r="AE53" s="22">
        <v>402.4</v>
      </c>
      <c r="AH53" s="30">
        <v>52</v>
      </c>
      <c r="AI53" s="30" t="s">
        <v>3417</v>
      </c>
      <c r="AJ53" s="30" t="s">
        <v>6468</v>
      </c>
      <c r="AK53" s="30">
        <v>193.37</v>
      </c>
      <c r="AL53" s="30">
        <v>415.74</v>
      </c>
      <c r="AM53" s="30">
        <v>60.66</v>
      </c>
      <c r="AN53" s="30">
        <v>173.2</v>
      </c>
      <c r="AO53" s="30">
        <v>85.72</v>
      </c>
      <c r="AP53" s="30">
        <v>31.57</v>
      </c>
      <c r="AQ53" s="30">
        <v>27.94</v>
      </c>
      <c r="AR53" s="30">
        <v>35.049999999999997</v>
      </c>
      <c r="AS53" s="30">
        <v>26.51</v>
      </c>
      <c r="AT53" s="22">
        <v>34.299999999999997</v>
      </c>
      <c r="AV53" s="30">
        <v>52</v>
      </c>
      <c r="AW53" s="30" t="s">
        <v>2172</v>
      </c>
      <c r="AX53" s="30">
        <v>31.1</v>
      </c>
      <c r="AY53" s="30">
        <v>15.1</v>
      </c>
      <c r="AZ53" s="30">
        <v>14.9</v>
      </c>
      <c r="BA53" s="30">
        <v>14.2</v>
      </c>
      <c r="BB53" s="30">
        <v>49.9</v>
      </c>
      <c r="BC53" s="30">
        <v>15.9</v>
      </c>
      <c r="BD53" s="30">
        <v>177.9</v>
      </c>
      <c r="BE53" s="30">
        <v>206.7</v>
      </c>
      <c r="BF53" s="30">
        <v>191.7</v>
      </c>
      <c r="BG53" s="22">
        <v>10.5</v>
      </c>
    </row>
    <row r="54" spans="1:59" ht="28.2" thickBot="1" x14ac:dyDescent="0.3">
      <c r="A54" s="30">
        <v>53</v>
      </c>
      <c r="B54" s="30" t="s">
        <v>3420</v>
      </c>
      <c r="C54" s="30" t="s">
        <v>6469</v>
      </c>
      <c r="D54" s="30">
        <v>2999.73</v>
      </c>
      <c r="E54" s="30">
        <v>2885.79</v>
      </c>
      <c r="F54" s="30">
        <v>854.58</v>
      </c>
      <c r="G54" s="30">
        <v>4014.28</v>
      </c>
      <c r="H54" s="30">
        <v>1037.56</v>
      </c>
      <c r="I54" s="30">
        <v>985.54</v>
      </c>
      <c r="J54" s="30">
        <v>905.08</v>
      </c>
      <c r="K54" s="30">
        <v>786.24</v>
      </c>
      <c r="L54" s="30">
        <v>973.42</v>
      </c>
      <c r="M54" s="22">
        <v>947.61</v>
      </c>
      <c r="T54" s="30">
        <v>53</v>
      </c>
      <c r="U54" s="30" t="s">
        <v>3819</v>
      </c>
      <c r="V54" s="30" t="s">
        <v>2908</v>
      </c>
      <c r="W54" s="30" t="s">
        <v>2908</v>
      </c>
      <c r="X54" s="30" t="s">
        <v>2908</v>
      </c>
      <c r="Y54" s="30" t="s">
        <v>2908</v>
      </c>
      <c r="Z54" s="30" t="s">
        <v>2908</v>
      </c>
      <c r="AA54" s="30" t="s">
        <v>2908</v>
      </c>
      <c r="AB54" s="30" t="s">
        <v>2908</v>
      </c>
      <c r="AC54" s="30" t="s">
        <v>2908</v>
      </c>
      <c r="AD54" s="30" t="s">
        <v>2908</v>
      </c>
      <c r="AE54" s="22" t="s">
        <v>2908</v>
      </c>
      <c r="AH54" s="30">
        <v>53</v>
      </c>
      <c r="AI54" s="30" t="s">
        <v>3420</v>
      </c>
      <c r="AJ54" s="30" t="s">
        <v>6469</v>
      </c>
      <c r="AK54" s="30">
        <v>303.17</v>
      </c>
      <c r="AL54" s="30">
        <v>192.83</v>
      </c>
      <c r="AM54" s="30">
        <v>249.07</v>
      </c>
      <c r="AN54" s="30">
        <v>162.51</v>
      </c>
      <c r="AO54" s="30">
        <v>269.2</v>
      </c>
      <c r="AP54" s="30">
        <v>95.92</v>
      </c>
      <c r="AQ54" s="30">
        <v>187.75</v>
      </c>
      <c r="AR54" s="30">
        <v>285.29000000000002</v>
      </c>
      <c r="AS54" s="30">
        <v>424.22</v>
      </c>
      <c r="AT54" s="22">
        <v>84.63</v>
      </c>
      <c r="AV54" s="30">
        <v>53</v>
      </c>
      <c r="AW54" s="30" t="s">
        <v>3819</v>
      </c>
      <c r="AX54" s="30" t="s">
        <v>2908</v>
      </c>
      <c r="AY54" s="30" t="s">
        <v>2908</v>
      </c>
      <c r="AZ54" s="30" t="s">
        <v>2908</v>
      </c>
      <c r="BA54" s="30" t="s">
        <v>2908</v>
      </c>
      <c r="BB54" s="30" t="s">
        <v>2908</v>
      </c>
      <c r="BC54" s="30" t="s">
        <v>2908</v>
      </c>
      <c r="BD54" s="30" t="s">
        <v>2908</v>
      </c>
      <c r="BE54" s="30" t="s">
        <v>2908</v>
      </c>
      <c r="BF54" s="30" t="s">
        <v>2908</v>
      </c>
      <c r="BG54" s="22" t="s">
        <v>2908</v>
      </c>
    </row>
    <row r="55" spans="1:59" ht="28.2" thickBot="1" x14ac:dyDescent="0.3">
      <c r="A55" s="30">
        <v>54</v>
      </c>
      <c r="B55" s="30" t="s">
        <v>2948</v>
      </c>
      <c r="C55" s="30" t="s">
        <v>573</v>
      </c>
      <c r="D55" s="30">
        <v>794.11</v>
      </c>
      <c r="E55" s="30">
        <v>837.5</v>
      </c>
      <c r="F55" s="30">
        <v>876.67</v>
      </c>
      <c r="G55" s="30">
        <v>681.59</v>
      </c>
      <c r="H55" s="30">
        <v>866.03</v>
      </c>
      <c r="I55" s="30">
        <v>821.91</v>
      </c>
      <c r="J55" s="30">
        <v>591.82000000000005</v>
      </c>
      <c r="K55" s="30">
        <v>987.02</v>
      </c>
      <c r="L55" s="30">
        <v>875.39</v>
      </c>
      <c r="M55" s="22">
        <v>207.5</v>
      </c>
      <c r="T55" s="30">
        <v>54</v>
      </c>
      <c r="U55" s="30" t="s">
        <v>2929</v>
      </c>
      <c r="V55" s="30">
        <v>292.7</v>
      </c>
      <c r="W55" s="30">
        <v>370.3</v>
      </c>
      <c r="X55" s="30">
        <v>307.39999999999998</v>
      </c>
      <c r="Y55" s="30">
        <v>303.5</v>
      </c>
      <c r="Z55" s="30">
        <v>343.6</v>
      </c>
      <c r="AA55" s="30">
        <v>310.60000000000002</v>
      </c>
      <c r="AB55" s="30">
        <v>321.8</v>
      </c>
      <c r="AC55" s="30">
        <v>299.39999999999998</v>
      </c>
      <c r="AD55" s="30">
        <v>297.5</v>
      </c>
      <c r="AE55" s="22">
        <v>287.60000000000002</v>
      </c>
      <c r="AH55" s="30">
        <v>54</v>
      </c>
      <c r="AI55" s="30" t="s">
        <v>2948</v>
      </c>
      <c r="AJ55" s="30" t="s">
        <v>573</v>
      </c>
      <c r="AK55" s="30" t="s">
        <v>29</v>
      </c>
      <c r="AL55" s="30" t="s">
        <v>29</v>
      </c>
      <c r="AM55" s="30" t="s">
        <v>29</v>
      </c>
      <c r="AN55" s="30" t="s">
        <v>29</v>
      </c>
      <c r="AO55" s="30" t="s">
        <v>29</v>
      </c>
      <c r="AP55" s="30" t="s">
        <v>29</v>
      </c>
      <c r="AQ55" s="30" t="s">
        <v>29</v>
      </c>
      <c r="AR55" s="30" t="s">
        <v>29</v>
      </c>
      <c r="AS55" s="30" t="s">
        <v>29</v>
      </c>
      <c r="AT55" s="22" t="s">
        <v>29</v>
      </c>
      <c r="AV55" s="30">
        <v>54</v>
      </c>
      <c r="AW55" s="30" t="s">
        <v>2929</v>
      </c>
      <c r="AX55" s="30" t="s">
        <v>2908</v>
      </c>
      <c r="AY55" s="30" t="s">
        <v>2908</v>
      </c>
      <c r="AZ55" s="30" t="s">
        <v>2908</v>
      </c>
      <c r="BA55" s="30" t="s">
        <v>2908</v>
      </c>
      <c r="BB55" s="30" t="s">
        <v>2908</v>
      </c>
      <c r="BC55" s="30" t="s">
        <v>2908</v>
      </c>
      <c r="BD55" s="30">
        <v>180</v>
      </c>
      <c r="BE55" s="30">
        <v>181.9</v>
      </c>
      <c r="BF55" s="30">
        <v>176.7</v>
      </c>
      <c r="BG55" s="22">
        <v>168.2</v>
      </c>
    </row>
    <row r="56" spans="1:59" ht="28.2" thickBot="1" x14ac:dyDescent="0.3">
      <c r="A56" s="30">
        <v>55</v>
      </c>
      <c r="B56" s="30" t="s">
        <v>2382</v>
      </c>
      <c r="C56" s="30" t="s">
        <v>1340</v>
      </c>
      <c r="D56" s="30">
        <v>8001.66</v>
      </c>
      <c r="E56" s="30">
        <v>2805.47</v>
      </c>
      <c r="F56" s="30">
        <v>9928.89</v>
      </c>
      <c r="G56" s="30">
        <v>3969.06</v>
      </c>
      <c r="H56" s="30">
        <v>35211.96</v>
      </c>
      <c r="I56" s="30">
        <v>18843.63</v>
      </c>
      <c r="J56" s="30">
        <v>11579.37</v>
      </c>
      <c r="K56" s="30">
        <v>12982.1</v>
      </c>
      <c r="L56" s="30">
        <v>7855.67</v>
      </c>
      <c r="M56" s="22">
        <v>5794.88</v>
      </c>
      <c r="T56" s="30">
        <v>55</v>
      </c>
      <c r="U56" s="30" t="s">
        <v>2183</v>
      </c>
      <c r="V56" s="30" t="s">
        <v>2908</v>
      </c>
      <c r="W56" s="30" t="s">
        <v>2908</v>
      </c>
      <c r="X56" s="30" t="s">
        <v>2908</v>
      </c>
      <c r="Y56" s="30" t="s">
        <v>2908</v>
      </c>
      <c r="Z56" s="30" t="s">
        <v>2908</v>
      </c>
      <c r="AA56" s="30" t="s">
        <v>2908</v>
      </c>
      <c r="AB56" s="30" t="s">
        <v>2908</v>
      </c>
      <c r="AC56" s="30" t="s">
        <v>2908</v>
      </c>
      <c r="AD56" s="30" t="s">
        <v>2908</v>
      </c>
      <c r="AE56" s="22" t="s">
        <v>2908</v>
      </c>
      <c r="AH56" s="30">
        <v>55</v>
      </c>
      <c r="AI56" s="30" t="s">
        <v>2382</v>
      </c>
      <c r="AJ56" s="30" t="s">
        <v>1340</v>
      </c>
      <c r="AK56" s="30">
        <v>3469.77</v>
      </c>
      <c r="AL56" s="30">
        <v>7593.4</v>
      </c>
      <c r="AM56" s="30">
        <v>2237.3000000000002</v>
      </c>
      <c r="AN56" s="30">
        <v>3681.54</v>
      </c>
      <c r="AO56" s="30">
        <v>4426.63</v>
      </c>
      <c r="AP56" s="30">
        <v>1216.1300000000001</v>
      </c>
      <c r="AQ56" s="30">
        <v>1424.78</v>
      </c>
      <c r="AR56" s="30">
        <v>1115.8599999999999</v>
      </c>
      <c r="AS56" s="30">
        <v>5752.52</v>
      </c>
      <c r="AT56" s="22">
        <v>2898.25</v>
      </c>
      <c r="AV56" s="30">
        <v>55</v>
      </c>
      <c r="AW56" s="30" t="s">
        <v>2183</v>
      </c>
      <c r="AX56" s="30" t="s">
        <v>2908</v>
      </c>
      <c r="AY56" s="30" t="s">
        <v>2908</v>
      </c>
      <c r="AZ56" s="30" t="s">
        <v>2908</v>
      </c>
      <c r="BA56" s="30" t="s">
        <v>2908</v>
      </c>
      <c r="BB56" s="30" t="s">
        <v>2908</v>
      </c>
      <c r="BC56" s="30" t="s">
        <v>2908</v>
      </c>
      <c r="BD56" s="30" t="s">
        <v>2908</v>
      </c>
      <c r="BE56" s="30" t="s">
        <v>2908</v>
      </c>
      <c r="BF56" s="30" t="s">
        <v>2908</v>
      </c>
      <c r="BG56" s="22" t="s">
        <v>2908</v>
      </c>
    </row>
    <row r="57" spans="1:59" ht="14.4" thickBot="1" x14ac:dyDescent="0.3">
      <c r="A57" s="30">
        <v>56</v>
      </c>
      <c r="B57" s="30" t="s">
        <v>2185</v>
      </c>
      <c r="C57" s="31">
        <v>29102</v>
      </c>
      <c r="D57" s="30">
        <v>5675.35</v>
      </c>
      <c r="E57" s="30">
        <v>4721.9399999999996</v>
      </c>
      <c r="F57" s="30">
        <v>5760.81</v>
      </c>
      <c r="G57" s="30">
        <v>4721.3900000000003</v>
      </c>
      <c r="H57" s="30">
        <v>6468.84</v>
      </c>
      <c r="I57" s="30">
        <v>4520.4799999999996</v>
      </c>
      <c r="J57" s="30">
        <v>8002.66</v>
      </c>
      <c r="K57" s="30">
        <v>8699.07</v>
      </c>
      <c r="L57" s="30">
        <v>12095.95</v>
      </c>
      <c r="M57" s="22">
        <v>5474.98</v>
      </c>
      <c r="T57" s="30">
        <v>56</v>
      </c>
      <c r="U57" s="30" t="s">
        <v>2185</v>
      </c>
      <c r="V57" s="30">
        <v>5675.4</v>
      </c>
      <c r="W57" s="30">
        <v>4721.8999999999996</v>
      </c>
      <c r="X57" s="30">
        <v>5760.8</v>
      </c>
      <c r="Y57" s="30">
        <v>4721.3999999999996</v>
      </c>
      <c r="Z57" s="30">
        <v>6468.8</v>
      </c>
      <c r="AA57" s="30">
        <v>4520.5</v>
      </c>
      <c r="AB57" s="30">
        <v>8002.7</v>
      </c>
      <c r="AC57" s="30">
        <v>8699.1</v>
      </c>
      <c r="AD57" s="30">
        <v>12096</v>
      </c>
      <c r="AE57" s="22">
        <v>5475</v>
      </c>
      <c r="AH57" s="30">
        <v>56</v>
      </c>
      <c r="AI57" s="30" t="s">
        <v>2185</v>
      </c>
      <c r="AJ57" s="31">
        <v>29102</v>
      </c>
      <c r="AK57" s="30">
        <v>5820.12</v>
      </c>
      <c r="AL57" s="30">
        <v>5704.31</v>
      </c>
      <c r="AM57" s="30">
        <v>3618.5</v>
      </c>
      <c r="AN57" s="30">
        <v>4567.3500000000004</v>
      </c>
      <c r="AO57" s="30">
        <v>3422.11</v>
      </c>
      <c r="AP57" s="30">
        <v>3973.08</v>
      </c>
      <c r="AQ57" s="30">
        <v>6540.65</v>
      </c>
      <c r="AR57" s="30">
        <v>10370.07</v>
      </c>
      <c r="AS57" s="30">
        <v>5463.55</v>
      </c>
      <c r="AT57" s="22">
        <v>6226.93</v>
      </c>
      <c r="AV57" s="30">
        <v>56</v>
      </c>
      <c r="AW57" s="30" t="s">
        <v>2185</v>
      </c>
      <c r="AX57" s="30">
        <v>5820.1</v>
      </c>
      <c r="AY57" s="30">
        <v>5704.3</v>
      </c>
      <c r="AZ57" s="30">
        <v>3618.5</v>
      </c>
      <c r="BA57" s="30">
        <v>4567.3999999999996</v>
      </c>
      <c r="BB57" s="30">
        <v>3422.1</v>
      </c>
      <c r="BC57" s="30">
        <v>4520.5</v>
      </c>
      <c r="BD57" s="30">
        <v>8002.7</v>
      </c>
      <c r="BE57" s="30">
        <v>8699.1</v>
      </c>
      <c r="BF57" s="30">
        <v>12096</v>
      </c>
      <c r="BG57" s="22">
        <v>5475</v>
      </c>
    </row>
    <row r="58" spans="1:59" ht="28.2" thickBot="1" x14ac:dyDescent="0.3">
      <c r="A58" s="30">
        <v>57</v>
      </c>
      <c r="B58" s="30" t="s">
        <v>6470</v>
      </c>
      <c r="C58" s="30" t="s">
        <v>6471</v>
      </c>
      <c r="D58" s="30">
        <v>103.74</v>
      </c>
      <c r="E58" s="30">
        <v>103.45</v>
      </c>
      <c r="F58" s="30">
        <v>97.46</v>
      </c>
      <c r="G58" s="30">
        <v>99.76</v>
      </c>
      <c r="H58" s="30">
        <v>98.58</v>
      </c>
      <c r="I58" s="30">
        <v>94.83</v>
      </c>
      <c r="J58" s="30">
        <v>95.72</v>
      </c>
      <c r="K58" s="30">
        <v>97.85</v>
      </c>
      <c r="L58" s="30">
        <v>69.760000000000005</v>
      </c>
      <c r="M58" s="22">
        <v>71.239999999999995</v>
      </c>
      <c r="T58" s="30">
        <v>57</v>
      </c>
      <c r="U58" s="30" t="s">
        <v>2930</v>
      </c>
      <c r="V58" s="30">
        <v>19613.599999999999</v>
      </c>
      <c r="W58" s="30">
        <v>8319.9</v>
      </c>
      <c r="X58" s="30">
        <v>14218.5</v>
      </c>
      <c r="Y58" s="30">
        <v>24592.5</v>
      </c>
      <c r="Z58" s="30">
        <v>19134.400000000001</v>
      </c>
      <c r="AA58" s="30">
        <v>8124.7</v>
      </c>
      <c r="AB58" s="30">
        <v>19993.900000000001</v>
      </c>
      <c r="AC58" s="30">
        <v>19433.400000000001</v>
      </c>
      <c r="AD58" s="30">
        <v>17781.5</v>
      </c>
      <c r="AE58" s="22">
        <v>11359.5</v>
      </c>
      <c r="AH58" s="30">
        <v>57</v>
      </c>
      <c r="AI58" s="30" t="s">
        <v>6470</v>
      </c>
      <c r="AJ58" s="30" t="s">
        <v>6471</v>
      </c>
      <c r="AK58" s="30">
        <v>41.3</v>
      </c>
      <c r="AL58" s="30">
        <v>30.1</v>
      </c>
      <c r="AM58" s="30">
        <v>102.74</v>
      </c>
      <c r="AN58" s="30">
        <v>30.52</v>
      </c>
      <c r="AO58" s="30">
        <v>34.9</v>
      </c>
      <c r="AP58" s="30">
        <v>50.94</v>
      </c>
      <c r="AQ58" s="30">
        <v>56.58</v>
      </c>
      <c r="AR58" s="30">
        <v>34.4</v>
      </c>
      <c r="AS58" s="30">
        <v>41.22</v>
      </c>
      <c r="AT58" s="22">
        <v>52.53</v>
      </c>
      <c r="AV58" s="30">
        <v>57</v>
      </c>
      <c r="AW58" s="30" t="s">
        <v>2930</v>
      </c>
      <c r="AX58" s="30">
        <v>5993.1</v>
      </c>
      <c r="AY58" s="30">
        <v>5838.4</v>
      </c>
      <c r="AZ58" s="30">
        <v>6587</v>
      </c>
      <c r="BA58" s="30">
        <v>17769.099999999999</v>
      </c>
      <c r="BB58" s="30">
        <v>9323.9</v>
      </c>
      <c r="BC58" s="30">
        <v>8124.7</v>
      </c>
      <c r="BD58" s="30">
        <v>19993.900000000001</v>
      </c>
      <c r="BE58" s="30">
        <v>19433.400000000001</v>
      </c>
      <c r="BF58" s="30">
        <v>17781.5</v>
      </c>
      <c r="BG58" s="22">
        <v>11359.5</v>
      </c>
    </row>
    <row r="59" spans="1:59" ht="28.2" thickBot="1" x14ac:dyDescent="0.3">
      <c r="A59" s="30">
        <v>58</v>
      </c>
      <c r="B59" s="30" t="s">
        <v>6472</v>
      </c>
      <c r="C59" s="30" t="s">
        <v>6473</v>
      </c>
      <c r="D59" s="30">
        <v>5.26</v>
      </c>
      <c r="E59" s="30">
        <v>7.97</v>
      </c>
      <c r="F59" s="30">
        <v>8.06</v>
      </c>
      <c r="G59" s="30">
        <v>6.61</v>
      </c>
      <c r="H59" s="30">
        <v>6.94</v>
      </c>
      <c r="I59" s="30">
        <v>5.99</v>
      </c>
      <c r="J59" s="30">
        <v>12.27</v>
      </c>
      <c r="K59" s="30">
        <v>6.93</v>
      </c>
      <c r="L59" s="30">
        <v>12.69</v>
      </c>
      <c r="M59" s="22">
        <v>6.93</v>
      </c>
      <c r="T59" s="30">
        <v>58</v>
      </c>
      <c r="U59" s="30" t="s">
        <v>2331</v>
      </c>
      <c r="V59" s="30">
        <v>1285.7</v>
      </c>
      <c r="W59" s="30">
        <v>1048.3</v>
      </c>
      <c r="X59" s="30">
        <v>1361</v>
      </c>
      <c r="Y59" s="30">
        <v>1386.3</v>
      </c>
      <c r="Z59" s="30">
        <v>3075.9</v>
      </c>
      <c r="AA59" s="30">
        <v>1462.6</v>
      </c>
      <c r="AB59" s="30">
        <v>806.3</v>
      </c>
      <c r="AC59" s="30">
        <v>788.7</v>
      </c>
      <c r="AD59" s="30">
        <v>696.4</v>
      </c>
      <c r="AE59" s="22">
        <v>1352.6</v>
      </c>
      <c r="AH59" s="30">
        <v>58</v>
      </c>
      <c r="AI59" s="30" t="s">
        <v>6472</v>
      </c>
      <c r="AJ59" s="30" t="s">
        <v>6473</v>
      </c>
      <c r="AK59" s="30" t="s">
        <v>29</v>
      </c>
      <c r="AL59" s="30" t="s">
        <v>29</v>
      </c>
      <c r="AM59" s="30">
        <v>6.35</v>
      </c>
      <c r="AN59" s="30" t="s">
        <v>29</v>
      </c>
      <c r="AO59" s="30" t="s">
        <v>29</v>
      </c>
      <c r="AP59" s="30">
        <v>4.1500000000000004</v>
      </c>
      <c r="AQ59" s="30">
        <v>4.01</v>
      </c>
      <c r="AR59" s="30">
        <v>2.2400000000000002</v>
      </c>
      <c r="AS59" s="30" t="s">
        <v>29</v>
      </c>
      <c r="AT59" s="22">
        <v>6.43</v>
      </c>
      <c r="AV59" s="30">
        <v>58</v>
      </c>
      <c r="AW59" s="30" t="s">
        <v>2331</v>
      </c>
      <c r="AX59" s="30">
        <v>647.6</v>
      </c>
      <c r="AY59" s="30">
        <v>564.1</v>
      </c>
      <c r="AZ59" s="30">
        <v>453.9</v>
      </c>
      <c r="BA59" s="30">
        <v>417.4</v>
      </c>
      <c r="BB59" s="30">
        <v>828.9</v>
      </c>
      <c r="BC59" s="30">
        <v>1462.6</v>
      </c>
      <c r="BD59" s="30">
        <v>806.3</v>
      </c>
      <c r="BE59" s="30">
        <v>788.7</v>
      </c>
      <c r="BF59" s="30">
        <v>696.4</v>
      </c>
      <c r="BG59" s="22">
        <v>1352.6</v>
      </c>
    </row>
    <row r="60" spans="1:59" ht="28.2" thickBot="1" x14ac:dyDescent="0.3">
      <c r="A60" s="30">
        <v>59</v>
      </c>
      <c r="B60" s="30" t="s">
        <v>2179</v>
      </c>
      <c r="C60" s="30" t="s">
        <v>456</v>
      </c>
      <c r="D60" s="30">
        <v>361.86</v>
      </c>
      <c r="E60" s="30">
        <v>462.73</v>
      </c>
      <c r="F60" s="30">
        <v>454.05</v>
      </c>
      <c r="G60" s="30">
        <v>560.85</v>
      </c>
      <c r="H60" s="30">
        <v>485.97</v>
      </c>
      <c r="I60" s="30">
        <v>421.79</v>
      </c>
      <c r="J60" s="30">
        <v>1395.36</v>
      </c>
      <c r="K60" s="30">
        <v>744.65</v>
      </c>
      <c r="L60" s="30">
        <v>365.37</v>
      </c>
      <c r="M60" s="22">
        <v>401.06</v>
      </c>
      <c r="T60" s="30">
        <v>59</v>
      </c>
      <c r="U60" s="30" t="s">
        <v>2337</v>
      </c>
      <c r="V60" s="30">
        <v>98.8</v>
      </c>
      <c r="W60" s="30">
        <v>91.8</v>
      </c>
      <c r="X60" s="30">
        <v>97.8</v>
      </c>
      <c r="Y60" s="30">
        <v>86.5</v>
      </c>
      <c r="Z60" s="30">
        <v>129</v>
      </c>
      <c r="AA60" s="30">
        <v>97.8</v>
      </c>
      <c r="AB60" s="30">
        <v>102.1</v>
      </c>
      <c r="AC60" s="30">
        <v>85.9</v>
      </c>
      <c r="AD60" s="30">
        <v>99</v>
      </c>
      <c r="AE60" s="22">
        <v>112.2</v>
      </c>
      <c r="AH60" s="30">
        <v>59</v>
      </c>
      <c r="AI60" s="30" t="s">
        <v>2179</v>
      </c>
      <c r="AJ60" s="30" t="s">
        <v>456</v>
      </c>
      <c r="AK60" s="30">
        <v>1586.33</v>
      </c>
      <c r="AL60" s="30">
        <v>1391.3</v>
      </c>
      <c r="AM60" s="30">
        <v>1374.43</v>
      </c>
      <c r="AN60" s="30">
        <v>1387.77</v>
      </c>
      <c r="AO60" s="30">
        <v>390.42</v>
      </c>
      <c r="AP60" s="30">
        <v>751.81</v>
      </c>
      <c r="AQ60" s="30">
        <v>1736.29</v>
      </c>
      <c r="AR60" s="30">
        <v>1232.25</v>
      </c>
      <c r="AS60" s="30">
        <v>232.19</v>
      </c>
      <c r="AT60" s="22">
        <v>2568.54</v>
      </c>
      <c r="AV60" s="30">
        <v>59</v>
      </c>
      <c r="AW60" s="30" t="s">
        <v>2337</v>
      </c>
      <c r="AX60" s="30">
        <v>61.8</v>
      </c>
      <c r="AY60" s="30">
        <v>51.3</v>
      </c>
      <c r="AZ60" s="30">
        <v>40.799999999999997</v>
      </c>
      <c r="BA60" s="30">
        <v>65.900000000000006</v>
      </c>
      <c r="BB60" s="30">
        <v>52.5</v>
      </c>
      <c r="BC60" s="30">
        <v>97.8</v>
      </c>
      <c r="BD60" s="30">
        <v>102.1</v>
      </c>
      <c r="BE60" s="30">
        <v>85.9</v>
      </c>
      <c r="BF60" s="30">
        <v>99</v>
      </c>
      <c r="BG60" s="22">
        <v>112.2</v>
      </c>
    </row>
    <row r="61" spans="1:59" ht="28.2" thickBot="1" x14ac:dyDescent="0.3">
      <c r="A61" s="30">
        <v>60</v>
      </c>
      <c r="B61" s="30" t="s">
        <v>2892</v>
      </c>
      <c r="C61" s="30" t="s">
        <v>495</v>
      </c>
      <c r="D61" s="30">
        <v>4175.2299999999996</v>
      </c>
      <c r="E61" s="30">
        <v>7129.58</v>
      </c>
      <c r="F61" s="30">
        <v>3106.8</v>
      </c>
      <c r="G61" s="30">
        <v>6823.71</v>
      </c>
      <c r="H61" s="30">
        <v>4767.8100000000004</v>
      </c>
      <c r="I61" s="30">
        <v>6986.1</v>
      </c>
      <c r="J61" s="30">
        <v>11637.33</v>
      </c>
      <c r="K61" s="30">
        <v>6267.03</v>
      </c>
      <c r="L61" s="30">
        <v>5102.38</v>
      </c>
      <c r="M61" s="22">
        <v>2695.34</v>
      </c>
      <c r="T61" s="30">
        <v>60</v>
      </c>
      <c r="U61" s="30" t="s">
        <v>2365</v>
      </c>
      <c r="V61" s="30">
        <v>381.3</v>
      </c>
      <c r="W61" s="30">
        <v>77.2</v>
      </c>
      <c r="X61" s="30">
        <v>325.3</v>
      </c>
      <c r="Y61" s="30">
        <v>164.3</v>
      </c>
      <c r="Z61" s="30">
        <v>885.3</v>
      </c>
      <c r="AA61" s="30">
        <v>645.4</v>
      </c>
      <c r="AB61" s="30">
        <v>3885</v>
      </c>
      <c r="AC61" s="30">
        <v>1647.1</v>
      </c>
      <c r="AD61" s="30">
        <v>2037.7</v>
      </c>
      <c r="AE61" s="22">
        <v>4362.7</v>
      </c>
      <c r="AH61" s="30">
        <v>60</v>
      </c>
      <c r="AI61" s="30" t="s">
        <v>2892</v>
      </c>
      <c r="AJ61" s="30" t="s">
        <v>495</v>
      </c>
      <c r="AK61" s="30">
        <v>6940.79</v>
      </c>
      <c r="AL61" s="30">
        <v>5210.99</v>
      </c>
      <c r="AM61" s="30">
        <v>2693.7</v>
      </c>
      <c r="AN61" s="30">
        <v>4325.8999999999996</v>
      </c>
      <c r="AO61" s="30">
        <v>3153</v>
      </c>
      <c r="AP61" s="30">
        <v>2678.27</v>
      </c>
      <c r="AQ61" s="30">
        <v>5907.56</v>
      </c>
      <c r="AR61" s="30">
        <v>7073.44</v>
      </c>
      <c r="AS61" s="30">
        <v>5181.62</v>
      </c>
      <c r="AT61" s="22">
        <v>5502.99</v>
      </c>
      <c r="AV61" s="30">
        <v>60</v>
      </c>
      <c r="AW61" s="30" t="s">
        <v>2365</v>
      </c>
      <c r="AX61" s="30">
        <v>394.3</v>
      </c>
      <c r="AY61" s="30">
        <v>645.9</v>
      </c>
      <c r="AZ61" s="30">
        <v>110.8</v>
      </c>
      <c r="BA61" s="30">
        <v>702.8</v>
      </c>
      <c r="BB61" s="30">
        <v>467.3</v>
      </c>
      <c r="BC61" s="30">
        <v>645.4</v>
      </c>
      <c r="BD61" s="30">
        <v>3885</v>
      </c>
      <c r="BE61" s="30">
        <v>1647.1</v>
      </c>
      <c r="BF61" s="30">
        <v>2037.7</v>
      </c>
      <c r="BG61" s="22">
        <v>4362.7</v>
      </c>
    </row>
    <row r="62" spans="1:59" ht="42" thickBot="1" x14ac:dyDescent="0.3">
      <c r="A62" s="30">
        <v>61</v>
      </c>
      <c r="B62" s="30" t="s">
        <v>6474</v>
      </c>
      <c r="C62" s="30" t="s">
        <v>6475</v>
      </c>
      <c r="D62" s="30">
        <v>75.55</v>
      </c>
      <c r="E62" s="30">
        <v>68.180000000000007</v>
      </c>
      <c r="F62" s="30">
        <v>104.38</v>
      </c>
      <c r="G62" s="30">
        <v>47.1</v>
      </c>
      <c r="H62" s="30">
        <v>296.56</v>
      </c>
      <c r="I62" s="30">
        <v>68.209999999999994</v>
      </c>
      <c r="J62" s="30">
        <v>125.12</v>
      </c>
      <c r="K62" s="30">
        <v>378.79</v>
      </c>
      <c r="L62" s="30">
        <v>261.01</v>
      </c>
      <c r="M62" s="22">
        <v>138.47999999999999</v>
      </c>
      <c r="T62" s="30">
        <v>61</v>
      </c>
      <c r="U62" s="30" t="s">
        <v>2186</v>
      </c>
      <c r="V62" s="30">
        <v>2744.8</v>
      </c>
      <c r="W62" s="30">
        <v>3601.5</v>
      </c>
      <c r="X62" s="30">
        <v>2035.7</v>
      </c>
      <c r="Y62" s="30">
        <v>1852.4</v>
      </c>
      <c r="Z62" s="30">
        <v>2105.9</v>
      </c>
      <c r="AA62" s="30">
        <v>4819.5</v>
      </c>
      <c r="AB62" s="30">
        <v>6788.9</v>
      </c>
      <c r="AC62" s="30">
        <v>1083.7</v>
      </c>
      <c r="AD62" s="30">
        <v>6788.3</v>
      </c>
      <c r="AE62" s="22">
        <v>591.6</v>
      </c>
      <c r="AH62" s="30">
        <v>61</v>
      </c>
      <c r="AI62" s="30" t="s">
        <v>6474</v>
      </c>
      <c r="AJ62" s="30" t="s">
        <v>6475</v>
      </c>
      <c r="AK62" s="30">
        <v>806.94</v>
      </c>
      <c r="AL62" s="30">
        <v>190.6</v>
      </c>
      <c r="AM62" s="30">
        <v>477.36</v>
      </c>
      <c r="AN62" s="30">
        <v>317.91000000000003</v>
      </c>
      <c r="AO62" s="30">
        <v>127.09</v>
      </c>
      <c r="AP62" s="30">
        <v>71.010000000000005</v>
      </c>
      <c r="AQ62" s="30">
        <v>27.53</v>
      </c>
      <c r="AR62" s="30">
        <v>4.6900000000000004</v>
      </c>
      <c r="AS62" s="30">
        <v>5.05</v>
      </c>
      <c r="AT62" s="22">
        <v>54.85</v>
      </c>
      <c r="AV62" s="30">
        <v>61</v>
      </c>
      <c r="AW62" s="30" t="s">
        <v>2186</v>
      </c>
      <c r="AX62" s="30">
        <v>3177.9</v>
      </c>
      <c r="AY62" s="30">
        <v>6258</v>
      </c>
      <c r="AZ62" s="30">
        <v>1142.5</v>
      </c>
      <c r="BA62" s="30">
        <v>3326.9</v>
      </c>
      <c r="BB62" s="30">
        <v>906.8</v>
      </c>
      <c r="BC62" s="30">
        <v>7958.1</v>
      </c>
      <c r="BD62" s="30">
        <v>4219.8</v>
      </c>
      <c r="BE62" s="30">
        <v>1470.8</v>
      </c>
      <c r="BF62" s="30">
        <v>3069.6</v>
      </c>
      <c r="BG62" s="22">
        <v>5121.5</v>
      </c>
    </row>
    <row r="63" spans="1:59" ht="28.2" thickBot="1" x14ac:dyDescent="0.3">
      <c r="A63" s="30">
        <v>62</v>
      </c>
      <c r="B63" s="30" t="s">
        <v>2173</v>
      </c>
      <c r="C63" s="30" t="s">
        <v>1325</v>
      </c>
      <c r="D63" s="30">
        <v>22459.84</v>
      </c>
      <c r="E63" s="30">
        <v>20134.13</v>
      </c>
      <c r="F63" s="30">
        <v>24509.07</v>
      </c>
      <c r="G63" s="30">
        <v>22125.93</v>
      </c>
      <c r="H63" s="30">
        <v>29482.28</v>
      </c>
      <c r="I63" s="30">
        <v>22186.01</v>
      </c>
      <c r="J63" s="30">
        <v>32284.99</v>
      </c>
      <c r="K63" s="30">
        <v>7646.02</v>
      </c>
      <c r="L63" s="30">
        <v>12965.8</v>
      </c>
      <c r="M63" s="22">
        <v>6445.45</v>
      </c>
      <c r="T63" s="30">
        <v>62</v>
      </c>
      <c r="U63" s="30" t="s">
        <v>2382</v>
      </c>
      <c r="V63" s="30">
        <v>8001.7</v>
      </c>
      <c r="W63" s="30">
        <v>2805.5</v>
      </c>
      <c r="X63" s="30">
        <v>9928.9</v>
      </c>
      <c r="Y63" s="30">
        <v>3969.1</v>
      </c>
      <c r="Z63" s="30">
        <v>35212</v>
      </c>
      <c r="AA63" s="30">
        <v>18843.599999999999</v>
      </c>
      <c r="AB63" s="30">
        <v>11579.4</v>
      </c>
      <c r="AC63" s="30">
        <v>12982.1</v>
      </c>
      <c r="AD63" s="30">
        <v>7855.7</v>
      </c>
      <c r="AE63" s="22">
        <v>5794.9</v>
      </c>
      <c r="AH63" s="30">
        <v>62</v>
      </c>
      <c r="AI63" s="30" t="s">
        <v>2173</v>
      </c>
      <c r="AJ63" s="30" t="s">
        <v>1325</v>
      </c>
      <c r="AK63" s="30">
        <v>31020.19</v>
      </c>
      <c r="AL63" s="30">
        <v>24861.8</v>
      </c>
      <c r="AM63" s="30">
        <v>28724.84</v>
      </c>
      <c r="AN63" s="30">
        <v>21406.87</v>
      </c>
      <c r="AO63" s="30">
        <v>11763.95</v>
      </c>
      <c r="AP63" s="30">
        <v>40082.57</v>
      </c>
      <c r="AQ63" s="30">
        <v>31295.98</v>
      </c>
      <c r="AR63" s="30">
        <v>49144.44</v>
      </c>
      <c r="AS63" s="30">
        <v>31239.62</v>
      </c>
      <c r="AT63" s="22">
        <v>25845.63</v>
      </c>
      <c r="AV63" s="30">
        <v>62</v>
      </c>
      <c r="AW63" s="30" t="s">
        <v>2382</v>
      </c>
      <c r="AX63" s="30">
        <v>3469.8</v>
      </c>
      <c r="AY63" s="30">
        <v>7593.4</v>
      </c>
      <c r="AZ63" s="30">
        <v>2237.3000000000002</v>
      </c>
      <c r="BA63" s="30">
        <v>3681.5</v>
      </c>
      <c r="BB63" s="30">
        <v>4426.6000000000004</v>
      </c>
      <c r="BC63" s="30">
        <v>18843.599999999999</v>
      </c>
      <c r="BD63" s="30">
        <v>11579.4</v>
      </c>
      <c r="BE63" s="30">
        <v>12982.1</v>
      </c>
      <c r="BF63" s="30">
        <v>7855.7</v>
      </c>
      <c r="BG63" s="22">
        <v>5794.9</v>
      </c>
    </row>
    <row r="64" spans="1:59" ht="28.2" thickBot="1" x14ac:dyDescent="0.3">
      <c r="A64" s="30">
        <v>63</v>
      </c>
      <c r="B64" s="30" t="s">
        <v>2020</v>
      </c>
      <c r="C64" s="30" t="s">
        <v>523</v>
      </c>
      <c r="D64" s="30">
        <v>91869.92</v>
      </c>
      <c r="E64" s="30">
        <v>98998.62</v>
      </c>
      <c r="F64" s="30">
        <v>92622.6</v>
      </c>
      <c r="G64" s="30">
        <v>81732.600000000006</v>
      </c>
      <c r="H64" s="30">
        <v>96215.35</v>
      </c>
      <c r="I64" s="30">
        <v>92123.98</v>
      </c>
      <c r="J64" s="30">
        <v>147859.34</v>
      </c>
      <c r="K64" s="30">
        <v>150425.51</v>
      </c>
      <c r="L64" s="30">
        <v>87318.22</v>
      </c>
      <c r="M64" s="22">
        <v>151195.9</v>
      </c>
      <c r="T64" s="30">
        <v>63</v>
      </c>
      <c r="U64" s="30" t="s">
        <v>2393</v>
      </c>
      <c r="V64" s="30">
        <v>510.4</v>
      </c>
      <c r="W64" s="30">
        <v>199.4</v>
      </c>
      <c r="X64" s="30">
        <v>476.4</v>
      </c>
      <c r="Y64" s="30">
        <v>208.3</v>
      </c>
      <c r="Z64" s="30">
        <v>2920</v>
      </c>
      <c r="AA64" s="30">
        <v>540.9</v>
      </c>
      <c r="AB64" s="30">
        <v>354.3</v>
      </c>
      <c r="AC64" s="30">
        <v>125.4</v>
      </c>
      <c r="AD64" s="30">
        <v>178.2</v>
      </c>
      <c r="AE64" s="22">
        <v>42.4</v>
      </c>
      <c r="AH64" s="30">
        <v>63</v>
      </c>
      <c r="AI64" s="30" t="s">
        <v>2020</v>
      </c>
      <c r="AJ64" s="30" t="s">
        <v>523</v>
      </c>
      <c r="AK64" s="30">
        <v>94579.48</v>
      </c>
      <c r="AL64" s="30">
        <v>115066.84</v>
      </c>
      <c r="AM64" s="30">
        <v>78188.800000000003</v>
      </c>
      <c r="AN64" s="30">
        <v>90176.71</v>
      </c>
      <c r="AO64" s="30">
        <v>88720.19</v>
      </c>
      <c r="AP64" s="30">
        <v>88240.05</v>
      </c>
      <c r="AQ64" s="30">
        <v>130492.23</v>
      </c>
      <c r="AR64" s="30">
        <v>101120.53</v>
      </c>
      <c r="AS64" s="30">
        <v>123541.9</v>
      </c>
      <c r="AT64" s="22">
        <v>122681.55</v>
      </c>
      <c r="AV64" s="30">
        <v>63</v>
      </c>
      <c r="AW64" s="30" t="s">
        <v>2393</v>
      </c>
      <c r="AX64" s="30">
        <v>11.8</v>
      </c>
      <c r="AY64" s="30">
        <v>11.5</v>
      </c>
      <c r="AZ64" s="30">
        <v>66.099999999999994</v>
      </c>
      <c r="BA64" s="30">
        <v>14.6</v>
      </c>
      <c r="BB64" s="30">
        <v>17.399999999999999</v>
      </c>
      <c r="BC64" s="30">
        <v>78.599999999999994</v>
      </c>
      <c r="BD64" s="30" t="s">
        <v>2908</v>
      </c>
      <c r="BE64" s="30">
        <v>42.5</v>
      </c>
      <c r="BF64" s="30" t="s">
        <v>2908</v>
      </c>
      <c r="BG64" s="22">
        <v>33.200000000000003</v>
      </c>
    </row>
    <row r="65" spans="1:46" ht="28.2" thickBot="1" x14ac:dyDescent="0.3">
      <c r="A65" s="30">
        <v>64</v>
      </c>
      <c r="B65" s="30" t="s">
        <v>6476</v>
      </c>
      <c r="C65" s="30" t="s">
        <v>6477</v>
      </c>
      <c r="D65" s="30">
        <v>6.27</v>
      </c>
      <c r="E65" s="30">
        <v>8.2200000000000006</v>
      </c>
      <c r="F65" s="30">
        <v>5.16</v>
      </c>
      <c r="G65" s="30">
        <v>7.84</v>
      </c>
      <c r="H65" s="30">
        <v>8.94</v>
      </c>
      <c r="I65" s="30">
        <v>11.08</v>
      </c>
      <c r="J65" s="30">
        <v>14.88</v>
      </c>
      <c r="K65" s="30">
        <v>5.95</v>
      </c>
      <c r="L65" s="30">
        <v>13.48</v>
      </c>
      <c r="M65" s="22">
        <v>7</v>
      </c>
      <c r="AH65" s="30">
        <v>64</v>
      </c>
      <c r="AI65" s="30" t="s">
        <v>6476</v>
      </c>
      <c r="AJ65" s="30" t="s">
        <v>6477</v>
      </c>
      <c r="AK65" s="30">
        <v>3.37</v>
      </c>
      <c r="AL65" s="30">
        <v>3.82</v>
      </c>
      <c r="AM65" s="30">
        <v>7.85</v>
      </c>
      <c r="AN65" s="30">
        <v>2.36</v>
      </c>
      <c r="AO65" s="30">
        <v>4.79</v>
      </c>
      <c r="AP65" s="30">
        <v>6.13</v>
      </c>
      <c r="AQ65" s="30" t="s">
        <v>29</v>
      </c>
      <c r="AR65" s="30" t="s">
        <v>29</v>
      </c>
      <c r="AS65" s="30" t="s">
        <v>29</v>
      </c>
      <c r="AT65" s="22">
        <v>4.01</v>
      </c>
    </row>
    <row r="66" spans="1:46" ht="28.2" thickBot="1" x14ac:dyDescent="0.3">
      <c r="A66" s="30">
        <v>65</v>
      </c>
      <c r="B66" s="30" t="s">
        <v>2186</v>
      </c>
      <c r="C66" s="30" t="s">
        <v>1329</v>
      </c>
      <c r="D66" s="30">
        <v>2744.8</v>
      </c>
      <c r="E66" s="30">
        <v>3601.52</v>
      </c>
      <c r="F66" s="30">
        <v>2035.68</v>
      </c>
      <c r="G66" s="30">
        <v>1852.44</v>
      </c>
      <c r="H66" s="30">
        <v>2105.87</v>
      </c>
      <c r="I66" s="30">
        <v>4819.5</v>
      </c>
      <c r="J66" s="30">
        <v>6788.87</v>
      </c>
      <c r="K66" s="30">
        <v>1083.74</v>
      </c>
      <c r="L66" s="30">
        <v>6788.28</v>
      </c>
      <c r="M66" s="22">
        <v>591.57000000000005</v>
      </c>
      <c r="AH66" s="30">
        <v>65</v>
      </c>
      <c r="AI66" s="30" t="s">
        <v>2186</v>
      </c>
      <c r="AJ66" s="30" t="s">
        <v>1329</v>
      </c>
      <c r="AK66" s="30">
        <v>3177.92</v>
      </c>
      <c r="AL66" s="30">
        <v>6257.95</v>
      </c>
      <c r="AM66" s="30">
        <v>1142.51</v>
      </c>
      <c r="AN66" s="30">
        <v>3326.87</v>
      </c>
      <c r="AO66" s="30">
        <v>906.75</v>
      </c>
      <c r="AP66" s="30">
        <v>7958.13</v>
      </c>
      <c r="AQ66" s="30">
        <v>4219.75</v>
      </c>
      <c r="AR66" s="30">
        <v>1470.77</v>
      </c>
      <c r="AS66" s="30">
        <v>3069.57</v>
      </c>
      <c r="AT66" s="22">
        <v>5121.45</v>
      </c>
    </row>
    <row r="67" spans="1:46" ht="28.2" thickBot="1" x14ac:dyDescent="0.3">
      <c r="A67" s="30">
        <v>66</v>
      </c>
      <c r="B67" s="30" t="s">
        <v>4560</v>
      </c>
      <c r="C67" s="30" t="s">
        <v>6478</v>
      </c>
      <c r="D67" s="30">
        <v>98.64</v>
      </c>
      <c r="E67" s="30">
        <v>112.8</v>
      </c>
      <c r="F67" s="30">
        <v>66.27</v>
      </c>
      <c r="G67" s="30">
        <v>101.21</v>
      </c>
      <c r="H67" s="30">
        <v>152.91</v>
      </c>
      <c r="I67" s="30">
        <v>78.61</v>
      </c>
      <c r="J67" s="30" t="s">
        <v>29</v>
      </c>
      <c r="K67" s="30">
        <v>42.54</v>
      </c>
      <c r="L67" s="30" t="s">
        <v>29</v>
      </c>
      <c r="M67" s="22">
        <v>33.15</v>
      </c>
      <c r="AH67" s="30">
        <v>66</v>
      </c>
      <c r="AI67" s="30" t="s">
        <v>4560</v>
      </c>
      <c r="AJ67" s="30" t="s">
        <v>6478</v>
      </c>
      <c r="AK67" s="30">
        <v>11.79</v>
      </c>
      <c r="AL67" s="30">
        <v>11.54</v>
      </c>
      <c r="AM67" s="30">
        <v>66.08</v>
      </c>
      <c r="AN67" s="30">
        <v>14.56</v>
      </c>
      <c r="AO67" s="30">
        <v>17.399999999999999</v>
      </c>
      <c r="AP67" s="30">
        <v>14.52</v>
      </c>
      <c r="AQ67" s="30">
        <v>30.66</v>
      </c>
      <c r="AR67" s="30">
        <v>14.55</v>
      </c>
      <c r="AS67" s="30">
        <v>14.06</v>
      </c>
      <c r="AT67" s="22">
        <v>4.66</v>
      </c>
    </row>
    <row r="68" spans="1:46" ht="42" thickBot="1" x14ac:dyDescent="0.3">
      <c r="A68" s="30">
        <v>67</v>
      </c>
      <c r="B68" s="30" t="s">
        <v>6496</v>
      </c>
      <c r="C68" s="30" t="s">
        <v>569</v>
      </c>
      <c r="D68" s="30">
        <v>2072.64</v>
      </c>
      <c r="E68" s="30">
        <v>4041.58</v>
      </c>
      <c r="F68" s="30">
        <v>1174.4000000000001</v>
      </c>
      <c r="G68" s="30">
        <v>2178.92</v>
      </c>
      <c r="H68" s="30">
        <v>3096.54</v>
      </c>
      <c r="I68" s="30">
        <v>2258.69</v>
      </c>
      <c r="J68" s="30">
        <v>2076.2800000000002</v>
      </c>
      <c r="K68" s="30">
        <v>1861.2</v>
      </c>
      <c r="L68" s="30">
        <v>952.84</v>
      </c>
      <c r="M68" s="22">
        <v>807.07</v>
      </c>
      <c r="AH68" s="30">
        <v>67</v>
      </c>
      <c r="AI68" s="30" t="s">
        <v>3296</v>
      </c>
      <c r="AJ68" s="30" t="s">
        <v>569</v>
      </c>
      <c r="AK68" s="30">
        <v>514.59</v>
      </c>
      <c r="AL68" s="30">
        <v>525.91999999999996</v>
      </c>
      <c r="AM68" s="30">
        <v>395.87</v>
      </c>
      <c r="AN68" s="30">
        <v>298.18</v>
      </c>
      <c r="AO68" s="30">
        <v>564.65</v>
      </c>
      <c r="AP68" s="30">
        <v>634.09</v>
      </c>
      <c r="AQ68" s="30">
        <v>192.48</v>
      </c>
      <c r="AR68" s="30">
        <v>125.84</v>
      </c>
      <c r="AS68" s="30">
        <v>181.23</v>
      </c>
      <c r="AT68" s="22">
        <v>86.24</v>
      </c>
    </row>
    <row r="69" spans="1:46" ht="28.2" thickBot="1" x14ac:dyDescent="0.3">
      <c r="A69" s="30">
        <v>68</v>
      </c>
      <c r="B69" s="30" t="s">
        <v>3276</v>
      </c>
      <c r="C69" s="30" t="s">
        <v>1235</v>
      </c>
      <c r="D69" s="30">
        <v>14.41</v>
      </c>
      <c r="E69" s="30">
        <v>43.06</v>
      </c>
      <c r="F69" s="30">
        <v>26.59</v>
      </c>
      <c r="G69" s="30">
        <v>16.3</v>
      </c>
      <c r="H69" s="30">
        <v>47.94</v>
      </c>
      <c r="I69" s="30">
        <v>30</v>
      </c>
      <c r="J69" s="30">
        <v>14.88</v>
      </c>
      <c r="K69" s="30">
        <v>10.78</v>
      </c>
      <c r="L69" s="30">
        <v>12.15</v>
      </c>
      <c r="M69" s="22">
        <v>3.31</v>
      </c>
      <c r="AH69" s="30">
        <v>68</v>
      </c>
      <c r="AI69" s="30" t="s">
        <v>3276</v>
      </c>
      <c r="AJ69" s="30" t="s">
        <v>1235</v>
      </c>
      <c r="AK69" s="30">
        <v>9.69</v>
      </c>
      <c r="AL69" s="30">
        <v>5.19</v>
      </c>
      <c r="AM69" s="30">
        <v>15.52</v>
      </c>
      <c r="AN69" s="30">
        <v>3.75</v>
      </c>
      <c r="AO69" s="30">
        <v>2.16</v>
      </c>
      <c r="AP69" s="30">
        <v>3.85</v>
      </c>
      <c r="AQ69" s="30" t="s">
        <v>29</v>
      </c>
      <c r="AR69" s="30" t="s">
        <v>29</v>
      </c>
      <c r="AS69" s="30" t="s">
        <v>29</v>
      </c>
      <c r="AT69" s="22" t="s">
        <v>29</v>
      </c>
    </row>
    <row r="70" spans="1:46" ht="28.2" thickBot="1" x14ac:dyDescent="0.3">
      <c r="A70" s="30">
        <v>69</v>
      </c>
      <c r="B70" s="30" t="s">
        <v>4570</v>
      </c>
      <c r="C70" s="30" t="s">
        <v>6479</v>
      </c>
      <c r="D70" s="30">
        <v>453.11</v>
      </c>
      <c r="E70" s="30">
        <v>213.28</v>
      </c>
      <c r="F70" s="30">
        <v>311.24</v>
      </c>
      <c r="G70" s="30">
        <v>342.79</v>
      </c>
      <c r="H70" s="30">
        <v>48.93</v>
      </c>
      <c r="I70" s="30">
        <v>456.91</v>
      </c>
      <c r="J70" s="30">
        <v>68.239999999999995</v>
      </c>
      <c r="K70" s="30">
        <v>56.01</v>
      </c>
      <c r="L70" s="30">
        <v>24.62</v>
      </c>
      <c r="M70" s="22" t="s">
        <v>29</v>
      </c>
      <c r="AH70" s="30">
        <v>69</v>
      </c>
      <c r="AI70" s="30" t="s">
        <v>4570</v>
      </c>
      <c r="AJ70" s="30" t="s">
        <v>6479</v>
      </c>
      <c r="AK70" s="30">
        <v>204.21</v>
      </c>
      <c r="AL70" s="30">
        <v>79.010000000000005</v>
      </c>
      <c r="AM70" s="30">
        <v>93.69</v>
      </c>
      <c r="AN70" s="30">
        <v>79.739999999999995</v>
      </c>
      <c r="AO70" s="30">
        <v>38.03</v>
      </c>
      <c r="AP70" s="30">
        <v>106.07</v>
      </c>
      <c r="AQ70" s="30">
        <v>44.97</v>
      </c>
      <c r="AR70" s="30">
        <v>32.24</v>
      </c>
      <c r="AS70" s="30">
        <v>57.67</v>
      </c>
      <c r="AT70" s="22">
        <v>70.37</v>
      </c>
    </row>
    <row r="71" spans="1:46" ht="28.2" thickBot="1" x14ac:dyDescent="0.3">
      <c r="A71" s="30">
        <v>70</v>
      </c>
      <c r="B71" s="30" t="s">
        <v>3429</v>
      </c>
      <c r="C71" s="30" t="s">
        <v>462</v>
      </c>
      <c r="D71" s="30">
        <v>512.88</v>
      </c>
      <c r="E71" s="30">
        <v>766.71</v>
      </c>
      <c r="F71" s="30">
        <v>651.09</v>
      </c>
      <c r="G71" s="30">
        <v>435.92</v>
      </c>
      <c r="H71" s="30">
        <v>533.05999999999995</v>
      </c>
      <c r="I71" s="30">
        <v>480.33</v>
      </c>
      <c r="J71" s="30">
        <v>296.16000000000003</v>
      </c>
      <c r="K71" s="30">
        <v>218.47</v>
      </c>
      <c r="L71" s="30">
        <v>129.99</v>
      </c>
      <c r="M71" s="22">
        <v>119.62</v>
      </c>
      <c r="AH71" s="30">
        <v>70</v>
      </c>
      <c r="AI71" s="30" t="s">
        <v>3429</v>
      </c>
      <c r="AJ71" s="30" t="s">
        <v>462</v>
      </c>
      <c r="AK71" s="30" t="s">
        <v>29</v>
      </c>
      <c r="AL71" s="30" t="s">
        <v>29</v>
      </c>
      <c r="AM71" s="30" t="s">
        <v>29</v>
      </c>
      <c r="AN71" s="30" t="s">
        <v>29</v>
      </c>
      <c r="AO71" s="30" t="s">
        <v>29</v>
      </c>
      <c r="AP71" s="30" t="s">
        <v>29</v>
      </c>
      <c r="AQ71" s="30" t="s">
        <v>29</v>
      </c>
      <c r="AR71" s="30" t="s">
        <v>29</v>
      </c>
      <c r="AS71" s="30" t="s">
        <v>29</v>
      </c>
      <c r="AT71" s="22">
        <v>300.87</v>
      </c>
    </row>
    <row r="72" spans="1:46" ht="28.2" thickBot="1" x14ac:dyDescent="0.3">
      <c r="A72" s="30">
        <v>71</v>
      </c>
      <c r="B72" s="30" t="s">
        <v>2026</v>
      </c>
      <c r="C72" s="30" t="s">
        <v>1253</v>
      </c>
      <c r="D72" s="30">
        <v>8835.82</v>
      </c>
      <c r="E72" s="30">
        <v>7017.64</v>
      </c>
      <c r="F72" s="30">
        <v>8091.67</v>
      </c>
      <c r="G72" s="30">
        <v>7943.99</v>
      </c>
      <c r="H72" s="30">
        <v>7716.44</v>
      </c>
      <c r="I72" s="30">
        <v>7983.63</v>
      </c>
      <c r="J72" s="30">
        <v>12847.69</v>
      </c>
      <c r="K72" s="30">
        <v>10206.879999999999</v>
      </c>
      <c r="L72" s="30">
        <v>6864.55</v>
      </c>
      <c r="M72" s="22">
        <v>4760.4399999999996</v>
      </c>
      <c r="AH72" s="30">
        <v>71</v>
      </c>
      <c r="AI72" s="30" t="s">
        <v>2026</v>
      </c>
      <c r="AJ72" s="30" t="s">
        <v>1253</v>
      </c>
      <c r="AK72" s="30">
        <v>5283.58</v>
      </c>
      <c r="AL72" s="30">
        <v>5762.54</v>
      </c>
      <c r="AM72" s="30">
        <v>5175.7299999999996</v>
      </c>
      <c r="AN72" s="30">
        <v>6506.78</v>
      </c>
      <c r="AO72" s="30">
        <v>6655.6</v>
      </c>
      <c r="AP72" s="30">
        <v>6975.58</v>
      </c>
      <c r="AQ72" s="30">
        <v>15474.39</v>
      </c>
      <c r="AR72" s="30">
        <v>13694.63</v>
      </c>
      <c r="AS72" s="30">
        <v>12747.1</v>
      </c>
      <c r="AT72" s="22">
        <v>14470.96</v>
      </c>
    </row>
    <row r="73" spans="1:46" ht="28.2" thickBot="1" x14ac:dyDescent="0.3">
      <c r="A73" s="30">
        <v>72</v>
      </c>
      <c r="B73" s="30" t="s">
        <v>2958</v>
      </c>
      <c r="C73" s="30" t="s">
        <v>1346</v>
      </c>
      <c r="D73" s="30">
        <v>763.16</v>
      </c>
      <c r="E73" s="30">
        <v>787.62</v>
      </c>
      <c r="F73" s="30">
        <v>1171.3499999999999</v>
      </c>
      <c r="G73" s="30">
        <v>872.08</v>
      </c>
      <c r="H73" s="30">
        <v>2852.32</v>
      </c>
      <c r="I73" s="30">
        <v>1191.3800000000001</v>
      </c>
      <c r="J73" s="30">
        <v>9184.2099999999991</v>
      </c>
      <c r="K73" s="30">
        <v>3415.76</v>
      </c>
      <c r="L73" s="30">
        <v>2716.48</v>
      </c>
      <c r="M73" s="22">
        <v>2952.11</v>
      </c>
      <c r="AH73" s="30">
        <v>72</v>
      </c>
      <c r="AI73" s="30" t="s">
        <v>2958</v>
      </c>
      <c r="AJ73" s="30" t="s">
        <v>1346</v>
      </c>
      <c r="AK73" s="30">
        <v>7924.29</v>
      </c>
      <c r="AL73" s="30">
        <v>3666.49</v>
      </c>
      <c r="AM73" s="30">
        <v>2094.9499999999998</v>
      </c>
      <c r="AN73" s="30">
        <v>3256.28</v>
      </c>
      <c r="AO73" s="30">
        <v>9158.61</v>
      </c>
      <c r="AP73" s="30">
        <v>3877.47</v>
      </c>
      <c r="AQ73" s="30">
        <v>3518.79</v>
      </c>
      <c r="AR73" s="30">
        <v>5934.32</v>
      </c>
      <c r="AS73" s="30">
        <v>995.44</v>
      </c>
      <c r="AT73" s="22">
        <v>6015.32</v>
      </c>
    </row>
    <row r="74" spans="1:46" ht="28.2" thickBot="1" x14ac:dyDescent="0.3">
      <c r="A74" s="30">
        <v>73</v>
      </c>
      <c r="B74" s="30" t="s">
        <v>6480</v>
      </c>
      <c r="C74" s="30" t="s">
        <v>6481</v>
      </c>
      <c r="D74" s="30">
        <v>24.59</v>
      </c>
      <c r="E74" s="30">
        <v>40.869999999999997</v>
      </c>
      <c r="F74" s="30">
        <v>12.79</v>
      </c>
      <c r="G74" s="30">
        <v>26.72</v>
      </c>
      <c r="H74" s="30">
        <v>98.79</v>
      </c>
      <c r="I74" s="30">
        <v>18.100000000000001</v>
      </c>
      <c r="J74" s="30">
        <v>131.58000000000001</v>
      </c>
      <c r="K74" s="30">
        <v>185.5</v>
      </c>
      <c r="L74" s="30">
        <v>184.09</v>
      </c>
      <c r="M74" s="22">
        <v>144.01</v>
      </c>
      <c r="AH74" s="30">
        <v>73</v>
      </c>
      <c r="AI74" s="30" t="s">
        <v>6480</v>
      </c>
      <c r="AJ74" s="30" t="s">
        <v>6481</v>
      </c>
      <c r="AK74" s="30">
        <v>4.5</v>
      </c>
      <c r="AL74" s="30">
        <v>3.22</v>
      </c>
      <c r="AM74" s="30">
        <v>15.31</v>
      </c>
      <c r="AN74" s="30">
        <v>4.63</v>
      </c>
      <c r="AO74" s="30">
        <v>6.57</v>
      </c>
      <c r="AP74" s="30">
        <v>5.07</v>
      </c>
      <c r="AQ74" s="30">
        <v>8.77</v>
      </c>
      <c r="AR74" s="30" t="s">
        <v>29</v>
      </c>
      <c r="AS74" s="30">
        <v>4.2</v>
      </c>
      <c r="AT74" s="22">
        <v>5.35</v>
      </c>
    </row>
    <row r="75" spans="1:46" ht="28.2" thickBot="1" x14ac:dyDescent="0.3">
      <c r="A75" s="30">
        <v>74</v>
      </c>
      <c r="B75" s="30" t="s">
        <v>2021</v>
      </c>
      <c r="C75" s="30" t="s">
        <v>507</v>
      </c>
      <c r="D75" s="30">
        <v>29665.09</v>
      </c>
      <c r="E75" s="30">
        <v>26447.1</v>
      </c>
      <c r="F75" s="30">
        <v>29425.25</v>
      </c>
      <c r="G75" s="30">
        <v>29405.25</v>
      </c>
      <c r="H75" s="30">
        <v>32652.23</v>
      </c>
      <c r="I75" s="30">
        <v>21509.55</v>
      </c>
      <c r="J75" s="30">
        <v>23648.44</v>
      </c>
      <c r="K75" s="30">
        <v>24823.53</v>
      </c>
      <c r="L75" s="30">
        <v>23277.24</v>
      </c>
      <c r="M75" s="22">
        <v>18576.5</v>
      </c>
      <c r="AH75" s="30">
        <v>74</v>
      </c>
      <c r="AI75" s="30" t="s">
        <v>2021</v>
      </c>
      <c r="AJ75" s="30" t="s">
        <v>507</v>
      </c>
      <c r="AK75" s="30">
        <v>33831.25</v>
      </c>
      <c r="AL75" s="30">
        <v>32264.9</v>
      </c>
      <c r="AM75" s="30">
        <v>33063.25</v>
      </c>
      <c r="AN75" s="30">
        <v>28036.23</v>
      </c>
      <c r="AO75" s="30">
        <v>21290.44</v>
      </c>
      <c r="AP75" s="30">
        <v>25366.59</v>
      </c>
      <c r="AQ75" s="30">
        <v>34922.019999999997</v>
      </c>
      <c r="AR75" s="30">
        <v>33944.379999999997</v>
      </c>
      <c r="AS75" s="30">
        <v>36241.480000000003</v>
      </c>
      <c r="AT75" s="22">
        <v>39842.94</v>
      </c>
    </row>
    <row r="76" spans="1:46" ht="28.2" thickBot="1" x14ac:dyDescent="0.3">
      <c r="A76" s="30">
        <v>75</v>
      </c>
      <c r="B76" s="30" t="s">
        <v>3434</v>
      </c>
      <c r="C76" s="30" t="s">
        <v>6482</v>
      </c>
      <c r="D76" s="30">
        <v>5.97</v>
      </c>
      <c r="E76" s="30">
        <v>5.48</v>
      </c>
      <c r="F76" s="30">
        <v>6.84</v>
      </c>
      <c r="G76" s="30">
        <v>4.49</v>
      </c>
      <c r="H76" s="30">
        <v>10.33</v>
      </c>
      <c r="I76" s="30">
        <v>7.89</v>
      </c>
      <c r="J76" s="30">
        <v>13.37</v>
      </c>
      <c r="K76" s="30">
        <v>6.83</v>
      </c>
      <c r="L76" s="30">
        <v>3.16</v>
      </c>
      <c r="M76" s="22">
        <v>3.65</v>
      </c>
      <c r="AH76" s="30">
        <v>75</v>
      </c>
      <c r="AI76" s="30" t="s">
        <v>3434</v>
      </c>
      <c r="AJ76" s="30" t="s">
        <v>6482</v>
      </c>
      <c r="AK76" s="30">
        <v>4.12</v>
      </c>
      <c r="AL76" s="30">
        <v>4.7300000000000004</v>
      </c>
      <c r="AM76" s="30">
        <v>4.74</v>
      </c>
      <c r="AN76" s="30">
        <v>4.5999999999999996</v>
      </c>
      <c r="AO76" s="30">
        <v>70.2</v>
      </c>
      <c r="AP76" s="30">
        <v>37.880000000000003</v>
      </c>
      <c r="AQ76" s="30">
        <v>67.38</v>
      </c>
      <c r="AR76" s="30">
        <v>37.6</v>
      </c>
      <c r="AS76" s="30">
        <v>24.89</v>
      </c>
      <c r="AT76" s="22">
        <v>19.52</v>
      </c>
    </row>
    <row r="77" spans="1:46" ht="28.2" thickBot="1" x14ac:dyDescent="0.3">
      <c r="A77" s="30">
        <v>76</v>
      </c>
      <c r="B77" s="30" t="s">
        <v>2028</v>
      </c>
      <c r="C77" s="30" t="s">
        <v>2015</v>
      </c>
      <c r="D77" s="30">
        <v>7178.91</v>
      </c>
      <c r="E77" s="30">
        <v>11489.53</v>
      </c>
      <c r="F77" s="30">
        <v>2591.4</v>
      </c>
      <c r="G77" s="30">
        <v>6359.93</v>
      </c>
      <c r="H77" s="30">
        <v>14657.97</v>
      </c>
      <c r="I77" s="30">
        <v>5038.05</v>
      </c>
      <c r="J77" s="30">
        <v>4959.5600000000004</v>
      </c>
      <c r="K77" s="30">
        <v>6105.93</v>
      </c>
      <c r="L77" s="30">
        <v>4272.3</v>
      </c>
      <c r="M77" s="22">
        <v>1999.99</v>
      </c>
      <c r="AH77" s="30">
        <v>76</v>
      </c>
      <c r="AI77" s="30" t="s">
        <v>2028</v>
      </c>
      <c r="AJ77" s="30" t="s">
        <v>2015</v>
      </c>
      <c r="AK77" s="30">
        <v>3443.85</v>
      </c>
      <c r="AL77" s="30">
        <v>2249.5100000000002</v>
      </c>
      <c r="AM77" s="30">
        <v>995.19</v>
      </c>
      <c r="AN77" s="30">
        <v>1248.95</v>
      </c>
      <c r="AO77" s="30">
        <v>2470.75</v>
      </c>
      <c r="AP77" s="30">
        <v>1336.05</v>
      </c>
      <c r="AQ77" s="30">
        <v>1565.36</v>
      </c>
      <c r="AR77" s="30">
        <v>1715.58</v>
      </c>
      <c r="AS77" s="30">
        <v>1742.83</v>
      </c>
      <c r="AT77" s="22">
        <v>455.88</v>
      </c>
    </row>
    <row r="78" spans="1:46" ht="28.2" thickBot="1" x14ac:dyDescent="0.3">
      <c r="A78" s="30">
        <v>77</v>
      </c>
      <c r="B78" s="30" t="s">
        <v>6483</v>
      </c>
      <c r="C78" s="30" t="s">
        <v>6484</v>
      </c>
      <c r="D78" s="30">
        <v>8.14</v>
      </c>
      <c r="E78" s="30">
        <v>13.81</v>
      </c>
      <c r="F78" s="30">
        <v>6.54</v>
      </c>
      <c r="G78" s="30">
        <v>9.9</v>
      </c>
      <c r="H78" s="30">
        <v>6.97</v>
      </c>
      <c r="I78" s="30">
        <v>5.58</v>
      </c>
      <c r="J78" s="30">
        <v>15.99</v>
      </c>
      <c r="K78" s="30">
        <v>4.9800000000000004</v>
      </c>
      <c r="L78" s="30" t="s">
        <v>29</v>
      </c>
      <c r="M78" s="22" t="s">
        <v>29</v>
      </c>
      <c r="AH78" s="30">
        <v>77</v>
      </c>
      <c r="AI78" s="30" t="s">
        <v>6483</v>
      </c>
      <c r="AJ78" s="30" t="s">
        <v>6484</v>
      </c>
      <c r="AK78" s="30" t="s">
        <v>29</v>
      </c>
      <c r="AL78" s="30" t="s">
        <v>29</v>
      </c>
      <c r="AM78" s="30">
        <v>4.83</v>
      </c>
      <c r="AN78" s="30" t="s">
        <v>29</v>
      </c>
      <c r="AO78" s="30" t="s">
        <v>29</v>
      </c>
      <c r="AP78" s="30" t="s">
        <v>29</v>
      </c>
      <c r="AQ78" s="30" t="s">
        <v>29</v>
      </c>
      <c r="AR78" s="30" t="s">
        <v>29</v>
      </c>
      <c r="AS78" s="30">
        <v>5.05</v>
      </c>
      <c r="AT78" s="22">
        <v>4.84</v>
      </c>
    </row>
    <row r="79" spans="1:46" ht="28.2" thickBot="1" x14ac:dyDescent="0.3">
      <c r="A79" s="30">
        <v>78</v>
      </c>
      <c r="B79" s="30" t="s">
        <v>6485</v>
      </c>
      <c r="C79" s="30" t="s">
        <v>6486</v>
      </c>
      <c r="D79" s="30">
        <v>3.1</v>
      </c>
      <c r="E79" s="30">
        <v>4.6100000000000003</v>
      </c>
      <c r="F79" s="30">
        <v>6.38</v>
      </c>
      <c r="G79" s="30">
        <v>5.8</v>
      </c>
      <c r="H79" s="30">
        <v>5.04</v>
      </c>
      <c r="I79" s="30">
        <v>3.92</v>
      </c>
      <c r="J79" s="30" t="s">
        <v>29</v>
      </c>
      <c r="K79" s="30">
        <v>4.38</v>
      </c>
      <c r="L79" s="30" t="s">
        <v>29</v>
      </c>
      <c r="M79" s="22" t="s">
        <v>29</v>
      </c>
      <c r="AH79" s="30">
        <v>78</v>
      </c>
      <c r="AI79" s="30" t="s">
        <v>6485</v>
      </c>
      <c r="AJ79" s="30" t="s">
        <v>6486</v>
      </c>
      <c r="AK79" s="30">
        <v>1.68</v>
      </c>
      <c r="AL79" s="30">
        <v>4.01</v>
      </c>
      <c r="AM79" s="30">
        <v>1.67</v>
      </c>
      <c r="AN79" s="30">
        <v>1.55</v>
      </c>
      <c r="AO79" s="30">
        <v>4.08</v>
      </c>
      <c r="AP79" s="30">
        <v>3.51</v>
      </c>
      <c r="AQ79" s="30">
        <v>3.67</v>
      </c>
      <c r="AR79" s="30" t="s">
        <v>29</v>
      </c>
      <c r="AS79" s="30">
        <v>3.47</v>
      </c>
      <c r="AT79" s="22">
        <v>2.2599999999999998</v>
      </c>
    </row>
    <row r="80" spans="1:46" ht="28.2" thickBot="1" x14ac:dyDescent="0.3">
      <c r="A80" s="30">
        <v>79</v>
      </c>
      <c r="B80" s="30" t="s">
        <v>2929</v>
      </c>
      <c r="C80" s="30" t="s">
        <v>6487</v>
      </c>
      <c r="D80" s="30">
        <v>292.74</v>
      </c>
      <c r="E80" s="30">
        <v>370.26</v>
      </c>
      <c r="F80" s="30">
        <v>307.37</v>
      </c>
      <c r="G80" s="30">
        <v>303.5</v>
      </c>
      <c r="H80" s="30">
        <v>343.61</v>
      </c>
      <c r="I80" s="30">
        <v>310.58</v>
      </c>
      <c r="J80" s="30">
        <v>321.79000000000002</v>
      </c>
      <c r="K80" s="30">
        <v>299.41000000000003</v>
      </c>
      <c r="L80" s="30">
        <v>297.49</v>
      </c>
      <c r="M80" s="22">
        <v>287.58</v>
      </c>
      <c r="AH80" s="30">
        <v>79</v>
      </c>
      <c r="AI80" s="30" t="s">
        <v>2929</v>
      </c>
      <c r="AJ80" s="30" t="s">
        <v>6487</v>
      </c>
      <c r="AK80" s="30" t="s">
        <v>29</v>
      </c>
      <c r="AL80" s="30" t="s">
        <v>29</v>
      </c>
      <c r="AM80" s="30" t="s">
        <v>29</v>
      </c>
      <c r="AN80" s="30" t="s">
        <v>29</v>
      </c>
      <c r="AO80" s="30" t="s">
        <v>29</v>
      </c>
      <c r="AP80" s="30" t="s">
        <v>29</v>
      </c>
      <c r="AQ80" s="30">
        <v>180.04</v>
      </c>
      <c r="AR80" s="30">
        <v>181.85</v>
      </c>
      <c r="AS80" s="30">
        <v>176.66</v>
      </c>
      <c r="AT80" s="22">
        <v>168.2</v>
      </c>
    </row>
    <row r="81" spans="1:46" ht="28.2" thickBot="1" x14ac:dyDescent="0.3">
      <c r="A81" s="30">
        <v>80</v>
      </c>
      <c r="B81" s="30" t="s">
        <v>2024</v>
      </c>
      <c r="C81" s="30" t="s">
        <v>483</v>
      </c>
      <c r="D81" s="30">
        <v>697350.53</v>
      </c>
      <c r="E81" s="30">
        <v>661786</v>
      </c>
      <c r="F81" s="30">
        <v>745653.89</v>
      </c>
      <c r="G81" s="30">
        <v>763923.29</v>
      </c>
      <c r="H81" s="30">
        <v>758996.31</v>
      </c>
      <c r="I81" s="30">
        <v>696656.22</v>
      </c>
      <c r="J81" s="30">
        <v>1139648.77</v>
      </c>
      <c r="K81" s="30">
        <v>1198381.1200000001</v>
      </c>
      <c r="L81" s="30">
        <v>1130288.03</v>
      </c>
      <c r="M81" s="22">
        <v>921507.93</v>
      </c>
      <c r="AH81" s="30">
        <v>80</v>
      </c>
      <c r="AI81" s="30" t="s">
        <v>2024</v>
      </c>
      <c r="AJ81" s="30" t="s">
        <v>483</v>
      </c>
      <c r="AK81" s="30">
        <v>937323.4</v>
      </c>
      <c r="AL81" s="30">
        <v>873714.8</v>
      </c>
      <c r="AM81" s="30">
        <v>794136.88</v>
      </c>
      <c r="AN81" s="30">
        <v>1079062.53</v>
      </c>
      <c r="AO81" s="30">
        <v>714132.85</v>
      </c>
      <c r="AP81" s="30">
        <v>957417.08</v>
      </c>
      <c r="AQ81" s="30">
        <v>1177275.06</v>
      </c>
      <c r="AR81" s="30">
        <v>1408567.21</v>
      </c>
      <c r="AS81" s="30">
        <v>1551340.76</v>
      </c>
      <c r="AT81" s="22">
        <v>676196.16</v>
      </c>
    </row>
    <row r="82" spans="1:46" ht="28.2" thickBot="1" x14ac:dyDescent="0.3">
      <c r="A82" s="30">
        <v>81</v>
      </c>
      <c r="B82" s="30" t="s">
        <v>2959</v>
      </c>
      <c r="C82" s="30" t="s">
        <v>6445</v>
      </c>
      <c r="D82" s="30">
        <v>3801.48</v>
      </c>
      <c r="E82" s="30">
        <v>1665.5</v>
      </c>
      <c r="F82" s="30">
        <v>1792.37</v>
      </c>
      <c r="G82" s="30">
        <v>4525.17</v>
      </c>
      <c r="H82" s="30">
        <v>375.47</v>
      </c>
      <c r="I82" s="30">
        <v>4129.7299999999996</v>
      </c>
      <c r="J82" s="30">
        <v>1438.94</v>
      </c>
      <c r="K82" s="30">
        <v>185.61</v>
      </c>
      <c r="L82" s="30">
        <v>48.58</v>
      </c>
      <c r="M82" s="22">
        <v>102.94</v>
      </c>
      <c r="AH82" s="30">
        <v>81</v>
      </c>
      <c r="AI82" s="30" t="s">
        <v>2959</v>
      </c>
      <c r="AJ82" s="30" t="s">
        <v>6445</v>
      </c>
      <c r="AK82" s="30">
        <v>1112.56</v>
      </c>
      <c r="AL82" s="30">
        <v>1077.74</v>
      </c>
      <c r="AM82" s="30">
        <v>1007.6</v>
      </c>
      <c r="AN82" s="30">
        <v>694.13</v>
      </c>
      <c r="AO82" s="30">
        <v>153.19</v>
      </c>
      <c r="AP82" s="30">
        <v>620.4</v>
      </c>
      <c r="AQ82" s="30">
        <v>4036.88</v>
      </c>
      <c r="AR82" s="30">
        <v>5023.1499999999996</v>
      </c>
      <c r="AS82" s="30">
        <v>1882.89</v>
      </c>
      <c r="AT82" s="22">
        <v>5141.3</v>
      </c>
    </row>
    <row r="83" spans="1:46" ht="28.2" thickBot="1" x14ac:dyDescent="0.3">
      <c r="A83" s="30">
        <v>82</v>
      </c>
      <c r="B83" s="30" t="s">
        <v>3436</v>
      </c>
      <c r="C83" s="30" t="s">
        <v>6448</v>
      </c>
      <c r="D83" s="30">
        <v>9.83</v>
      </c>
      <c r="E83" s="30">
        <v>6.3</v>
      </c>
      <c r="F83" s="30">
        <v>11.46</v>
      </c>
      <c r="G83" s="30">
        <v>8.66</v>
      </c>
      <c r="H83" s="30">
        <v>65.17</v>
      </c>
      <c r="I83" s="30">
        <v>9.17</v>
      </c>
      <c r="J83" s="30">
        <v>20.96</v>
      </c>
      <c r="K83" s="30">
        <v>86.43</v>
      </c>
      <c r="L83" s="30">
        <v>112.82</v>
      </c>
      <c r="M83" s="22">
        <v>46.69</v>
      </c>
      <c r="AH83" s="30">
        <v>82</v>
      </c>
      <c r="AI83" s="30" t="s">
        <v>3436</v>
      </c>
      <c r="AJ83" s="30" t="s">
        <v>6448</v>
      </c>
      <c r="AK83" s="30">
        <v>4.6900000000000004</v>
      </c>
      <c r="AL83" s="30">
        <v>5.32</v>
      </c>
      <c r="AM83" s="30">
        <v>2.94</v>
      </c>
      <c r="AN83" s="30">
        <v>4.6399999999999997</v>
      </c>
      <c r="AO83" s="30">
        <v>40.950000000000003</v>
      </c>
      <c r="AP83" s="30">
        <v>60.3</v>
      </c>
      <c r="AQ83" s="30">
        <v>93.64</v>
      </c>
      <c r="AR83" s="30">
        <v>79.319999999999993</v>
      </c>
      <c r="AS83" s="30">
        <v>125.07</v>
      </c>
      <c r="AT83" s="22">
        <v>26.7</v>
      </c>
    </row>
    <row r="84" spans="1:46" ht="42" thickBot="1" x14ac:dyDescent="0.3">
      <c r="A84" s="30">
        <v>83</v>
      </c>
      <c r="B84" s="30" t="s">
        <v>2029</v>
      </c>
      <c r="C84" s="30" t="s">
        <v>1225</v>
      </c>
      <c r="D84" s="30">
        <v>3187.94</v>
      </c>
      <c r="E84" s="30">
        <v>2554.7600000000002</v>
      </c>
      <c r="F84" s="30">
        <v>870</v>
      </c>
      <c r="G84" s="30">
        <v>2543.7800000000002</v>
      </c>
      <c r="H84" s="30">
        <v>5846.81</v>
      </c>
      <c r="I84" s="30">
        <v>2324.04</v>
      </c>
      <c r="J84" s="30">
        <v>2668.17</v>
      </c>
      <c r="K84" s="30">
        <v>3244.87</v>
      </c>
      <c r="L84" s="30">
        <v>1988.9</v>
      </c>
      <c r="M84" s="22">
        <v>1250.55</v>
      </c>
      <c r="AH84" s="30">
        <v>83</v>
      </c>
      <c r="AI84" s="30" t="s">
        <v>2029</v>
      </c>
      <c r="AJ84" s="30" t="s">
        <v>1225</v>
      </c>
      <c r="AK84" s="30">
        <v>63.76</v>
      </c>
      <c r="AL84" s="30">
        <v>61.04</v>
      </c>
      <c r="AM84" s="30">
        <v>68.75</v>
      </c>
      <c r="AN84" s="30">
        <v>96.86</v>
      </c>
      <c r="AO84" s="30">
        <v>45.95</v>
      </c>
      <c r="AP84" s="30">
        <v>59.58</v>
      </c>
      <c r="AQ84" s="30">
        <v>141.56</v>
      </c>
      <c r="AR84" s="30">
        <v>51.99</v>
      </c>
      <c r="AS84" s="30">
        <v>77.73</v>
      </c>
      <c r="AT84" s="22">
        <v>607.57000000000005</v>
      </c>
    </row>
    <row r="85" spans="1:46" ht="28.2" thickBot="1" x14ac:dyDescent="0.3">
      <c r="A85" s="30">
        <v>84</v>
      </c>
      <c r="B85" s="30" t="s">
        <v>6488</v>
      </c>
      <c r="C85" s="30" t="s">
        <v>6489</v>
      </c>
      <c r="D85" s="30">
        <v>25.03</v>
      </c>
      <c r="E85" s="30">
        <v>50.79</v>
      </c>
      <c r="F85" s="30">
        <v>15.28</v>
      </c>
      <c r="G85" s="30">
        <v>31.09</v>
      </c>
      <c r="H85" s="30">
        <v>15.65</v>
      </c>
      <c r="I85" s="30">
        <v>20.98</v>
      </c>
      <c r="J85" s="30">
        <v>29.28</v>
      </c>
      <c r="K85" s="30">
        <v>14.24</v>
      </c>
      <c r="L85" s="30">
        <v>28.9</v>
      </c>
      <c r="M85" s="22" t="s">
        <v>29</v>
      </c>
      <c r="AH85" s="30">
        <v>84</v>
      </c>
      <c r="AI85" s="30" t="s">
        <v>6488</v>
      </c>
      <c r="AJ85" s="30" t="s">
        <v>6489</v>
      </c>
      <c r="AK85" s="30" t="s">
        <v>29</v>
      </c>
      <c r="AL85" s="30">
        <v>3.47</v>
      </c>
      <c r="AM85" s="30">
        <v>9.94</v>
      </c>
      <c r="AN85" s="30">
        <v>2.19</v>
      </c>
      <c r="AO85" s="30">
        <v>5.14</v>
      </c>
      <c r="AP85" s="30">
        <v>5.63</v>
      </c>
      <c r="AQ85" s="30" t="s">
        <v>29</v>
      </c>
      <c r="AR85" s="30" t="s">
        <v>29</v>
      </c>
      <c r="AS85" s="30" t="s">
        <v>29</v>
      </c>
      <c r="AT85" s="22" t="s">
        <v>29</v>
      </c>
    </row>
    <row r="86" spans="1:46" ht="14.4" thickBot="1" x14ac:dyDescent="0.3">
      <c r="A86" s="30">
        <v>85</v>
      </c>
      <c r="B86" s="30" t="s">
        <v>3296</v>
      </c>
      <c r="C86" s="31">
        <v>22258</v>
      </c>
      <c r="D86" s="30">
        <v>164</v>
      </c>
      <c r="E86" s="30">
        <v>318.57</v>
      </c>
      <c r="F86" s="30">
        <v>582.37</v>
      </c>
      <c r="G86" s="30">
        <v>294.83999999999997</v>
      </c>
      <c r="H86" s="30">
        <v>1013</v>
      </c>
      <c r="I86" s="30">
        <v>839.08</v>
      </c>
      <c r="J86" s="30">
        <v>1791.18</v>
      </c>
      <c r="K86" s="30">
        <v>1488.28</v>
      </c>
      <c r="L86" s="30">
        <v>1401.07</v>
      </c>
      <c r="M86" s="22">
        <v>878.77</v>
      </c>
      <c r="AH86" s="30">
        <v>85</v>
      </c>
      <c r="AI86" s="30" t="s">
        <v>3296</v>
      </c>
      <c r="AJ86" s="31">
        <v>22258</v>
      </c>
      <c r="AK86" s="30">
        <v>498.31</v>
      </c>
      <c r="AL86" s="30">
        <v>212.28</v>
      </c>
      <c r="AM86" s="30">
        <v>28.11</v>
      </c>
      <c r="AN86" s="30">
        <v>108.78</v>
      </c>
      <c r="AO86" s="30">
        <v>90.54</v>
      </c>
      <c r="AP86" s="30">
        <v>107.55</v>
      </c>
      <c r="AQ86" s="30">
        <v>233.42</v>
      </c>
      <c r="AR86" s="30">
        <v>129.72999999999999</v>
      </c>
      <c r="AS86" s="30" t="s">
        <v>29</v>
      </c>
      <c r="AT86" s="22" t="s">
        <v>29</v>
      </c>
    </row>
    <row r="87" spans="1:46" ht="42" thickBot="1" x14ac:dyDescent="0.3">
      <c r="A87" s="30">
        <v>86</v>
      </c>
      <c r="B87" s="30" t="s">
        <v>2182</v>
      </c>
      <c r="C87" s="30" t="s">
        <v>2013</v>
      </c>
      <c r="D87" s="30" t="s">
        <v>29</v>
      </c>
      <c r="E87" s="30">
        <v>54.1</v>
      </c>
      <c r="F87" s="30" t="s">
        <v>29</v>
      </c>
      <c r="G87" s="30" t="s">
        <v>29</v>
      </c>
      <c r="H87" s="30" t="s">
        <v>29</v>
      </c>
      <c r="I87" s="30">
        <v>50.33</v>
      </c>
      <c r="J87" s="30">
        <v>22</v>
      </c>
      <c r="K87" s="30" t="s">
        <v>29</v>
      </c>
      <c r="L87" s="30">
        <v>14.87</v>
      </c>
      <c r="M87" s="22" t="s">
        <v>29</v>
      </c>
      <c r="AH87" s="30">
        <v>86</v>
      </c>
      <c r="AI87" s="30" t="s">
        <v>2182</v>
      </c>
      <c r="AJ87" s="30" t="s">
        <v>2013</v>
      </c>
      <c r="AK87" s="30" t="s">
        <v>29</v>
      </c>
      <c r="AL87" s="30" t="s">
        <v>29</v>
      </c>
      <c r="AM87" s="30" t="s">
        <v>29</v>
      </c>
      <c r="AN87" s="30" t="s">
        <v>29</v>
      </c>
      <c r="AO87" s="30" t="s">
        <v>29</v>
      </c>
      <c r="AP87" s="30" t="s">
        <v>29</v>
      </c>
      <c r="AQ87" s="30">
        <v>245.74</v>
      </c>
      <c r="AR87" s="30" t="s">
        <v>29</v>
      </c>
      <c r="AS87" s="30" t="s">
        <v>29</v>
      </c>
      <c r="AT87" s="22">
        <v>163.52000000000001</v>
      </c>
    </row>
    <row r="88" spans="1:46" ht="28.2" thickBot="1" x14ac:dyDescent="0.3">
      <c r="A88" s="30">
        <v>87</v>
      </c>
      <c r="B88" s="30" t="s">
        <v>2180</v>
      </c>
      <c r="C88" s="30" t="s">
        <v>518</v>
      </c>
      <c r="D88" s="30">
        <v>13711.24</v>
      </c>
      <c r="E88" s="30">
        <v>10627.89</v>
      </c>
      <c r="F88" s="30">
        <v>10973.54</v>
      </c>
      <c r="G88" s="30">
        <v>13755.47</v>
      </c>
      <c r="H88" s="30">
        <v>13800.35</v>
      </c>
      <c r="I88" s="30">
        <v>10570.37</v>
      </c>
      <c r="J88" s="30">
        <v>13439.12</v>
      </c>
      <c r="K88" s="30">
        <v>9685.02</v>
      </c>
      <c r="L88" s="30">
        <v>13095.33</v>
      </c>
      <c r="M88" s="22">
        <v>5494.86</v>
      </c>
      <c r="AH88" s="30">
        <v>87</v>
      </c>
      <c r="AI88" s="30" t="s">
        <v>2180</v>
      </c>
      <c r="AJ88" s="30" t="s">
        <v>518</v>
      </c>
      <c r="AK88" s="30">
        <v>22769.83</v>
      </c>
      <c r="AL88" s="30">
        <v>22961.16</v>
      </c>
      <c r="AM88" s="30">
        <v>19656.919999999998</v>
      </c>
      <c r="AN88" s="30">
        <v>23047.09</v>
      </c>
      <c r="AO88" s="30">
        <v>4591.3599999999997</v>
      </c>
      <c r="AP88" s="30">
        <v>18080.64</v>
      </c>
      <c r="AQ88" s="30">
        <v>39284.800000000003</v>
      </c>
      <c r="AR88" s="30">
        <v>30151.43</v>
      </c>
      <c r="AS88" s="30">
        <v>27002.27</v>
      </c>
      <c r="AT88" s="22">
        <v>28082.37</v>
      </c>
    </row>
    <row r="89" spans="1:46" ht="28.2" thickBot="1" x14ac:dyDescent="0.3">
      <c r="A89" s="30">
        <v>88</v>
      </c>
      <c r="B89" s="30" t="s">
        <v>2027</v>
      </c>
      <c r="C89" s="30" t="s">
        <v>2014</v>
      </c>
      <c r="D89" s="30">
        <v>145.69999999999999</v>
      </c>
      <c r="E89" s="30">
        <v>181.34</v>
      </c>
      <c r="F89" s="30">
        <v>108.76</v>
      </c>
      <c r="G89" s="30">
        <v>150.63999999999999</v>
      </c>
      <c r="H89" s="30">
        <v>166.24</v>
      </c>
      <c r="I89" s="30">
        <v>191.6</v>
      </c>
      <c r="J89" s="30">
        <v>191.58</v>
      </c>
      <c r="K89" s="30">
        <v>97.94</v>
      </c>
      <c r="L89" s="30">
        <v>158.87</v>
      </c>
      <c r="M89" s="22">
        <v>94.61</v>
      </c>
      <c r="AH89" s="30">
        <v>88</v>
      </c>
      <c r="AI89" s="30" t="s">
        <v>2027</v>
      </c>
      <c r="AJ89" s="30" t="s">
        <v>2014</v>
      </c>
      <c r="AK89" s="30">
        <v>39.340000000000003</v>
      </c>
      <c r="AL89" s="30">
        <v>28.36</v>
      </c>
      <c r="AM89" s="30">
        <v>93.65</v>
      </c>
      <c r="AN89" s="30">
        <v>43.54</v>
      </c>
      <c r="AO89" s="30">
        <v>68.650000000000006</v>
      </c>
      <c r="AP89" s="30">
        <v>62.42</v>
      </c>
      <c r="AQ89" s="30">
        <v>20.010000000000002</v>
      </c>
      <c r="AR89" s="30" t="s">
        <v>29</v>
      </c>
      <c r="AS89" s="30" t="s">
        <v>29</v>
      </c>
      <c r="AT89" s="22">
        <v>18.22</v>
      </c>
    </row>
    <row r="90" spans="1:46" ht="42" thickBot="1" x14ac:dyDescent="0.3">
      <c r="A90" s="30">
        <v>89</v>
      </c>
      <c r="B90" s="30" t="s">
        <v>2181</v>
      </c>
      <c r="C90" s="30" t="s">
        <v>1233</v>
      </c>
      <c r="D90" s="30">
        <v>36.19</v>
      </c>
      <c r="E90" s="30">
        <v>47.51</v>
      </c>
      <c r="F90" s="30">
        <v>85.23</v>
      </c>
      <c r="G90" s="30">
        <v>117.18</v>
      </c>
      <c r="H90" s="30">
        <v>18.73</v>
      </c>
      <c r="I90" s="30">
        <v>68.150000000000006</v>
      </c>
      <c r="J90" s="30">
        <v>132.65</v>
      </c>
      <c r="K90" s="30">
        <v>62.95</v>
      </c>
      <c r="L90" s="30">
        <v>121.84</v>
      </c>
      <c r="M90" s="22" t="s">
        <v>29</v>
      </c>
      <c r="AH90" s="30">
        <v>89</v>
      </c>
      <c r="AI90" s="30" t="s">
        <v>2181</v>
      </c>
      <c r="AJ90" s="30" t="s">
        <v>1233</v>
      </c>
      <c r="AK90" s="30">
        <v>14.72</v>
      </c>
      <c r="AL90" s="30">
        <v>11.62</v>
      </c>
      <c r="AM90" s="30">
        <v>8.52</v>
      </c>
      <c r="AN90" s="30">
        <v>11.93</v>
      </c>
      <c r="AO90" s="30">
        <v>6.82</v>
      </c>
      <c r="AP90" s="30">
        <v>12.77</v>
      </c>
      <c r="AQ90" s="30">
        <v>20.72</v>
      </c>
      <c r="AR90" s="30">
        <v>3.32</v>
      </c>
      <c r="AS90" s="30">
        <v>4.9800000000000004</v>
      </c>
      <c r="AT90" s="22">
        <v>2.77</v>
      </c>
    </row>
    <row r="91" spans="1:46" ht="28.2" thickBot="1" x14ac:dyDescent="0.3">
      <c r="A91" s="30">
        <v>90</v>
      </c>
      <c r="B91" s="30" t="s">
        <v>2901</v>
      </c>
      <c r="C91" s="30" t="s">
        <v>1350</v>
      </c>
      <c r="D91" s="30">
        <v>676.27</v>
      </c>
      <c r="E91" s="30" t="s">
        <v>29</v>
      </c>
      <c r="F91" s="30">
        <v>634.01</v>
      </c>
      <c r="G91" s="30">
        <v>749.69</v>
      </c>
      <c r="H91" s="30">
        <v>1282.8699999999999</v>
      </c>
      <c r="I91" s="30">
        <v>203.6</v>
      </c>
      <c r="J91" s="30">
        <v>1401.64</v>
      </c>
      <c r="K91" s="30" t="s">
        <v>29</v>
      </c>
      <c r="L91" s="30">
        <v>1311.84</v>
      </c>
      <c r="M91" s="22">
        <v>1405.04</v>
      </c>
      <c r="AH91" s="30">
        <v>90</v>
      </c>
      <c r="AI91" s="30" t="s">
        <v>2901</v>
      </c>
      <c r="AJ91" s="30" t="s">
        <v>1350</v>
      </c>
      <c r="AK91" s="30">
        <v>911.59</v>
      </c>
      <c r="AL91" s="30">
        <v>811.93</v>
      </c>
      <c r="AM91" s="30">
        <v>1087.75</v>
      </c>
      <c r="AN91" s="30">
        <v>662.71</v>
      </c>
      <c r="AO91" s="30">
        <v>1674.01</v>
      </c>
      <c r="AP91" s="30">
        <v>1769.15</v>
      </c>
      <c r="AQ91" s="30">
        <v>1016.66</v>
      </c>
      <c r="AR91" s="30">
        <v>1376.9</v>
      </c>
      <c r="AS91" s="30">
        <v>1526.5</v>
      </c>
      <c r="AT91" s="22">
        <v>1052.27</v>
      </c>
    </row>
    <row r="92" spans="1:46" ht="28.2" thickBot="1" x14ac:dyDescent="0.3">
      <c r="A92" s="30">
        <v>91</v>
      </c>
      <c r="B92" s="30" t="s">
        <v>2174</v>
      </c>
      <c r="C92" s="30" t="s">
        <v>513</v>
      </c>
      <c r="D92" s="30">
        <v>6630.53</v>
      </c>
      <c r="E92" s="30">
        <v>9205.6</v>
      </c>
      <c r="F92" s="30">
        <v>9715.59</v>
      </c>
      <c r="G92" s="30">
        <v>9256.83</v>
      </c>
      <c r="H92" s="30">
        <v>2195.41</v>
      </c>
      <c r="I92" s="30">
        <v>18362.52</v>
      </c>
      <c r="J92" s="30">
        <v>22764.61</v>
      </c>
      <c r="K92" s="30">
        <v>5694.39</v>
      </c>
      <c r="L92" s="30">
        <v>11395.8</v>
      </c>
      <c r="M92" s="22">
        <v>861.79</v>
      </c>
      <c r="AH92" s="30">
        <v>91</v>
      </c>
      <c r="AI92" s="30" t="s">
        <v>2174</v>
      </c>
      <c r="AJ92" s="30" t="s">
        <v>513</v>
      </c>
      <c r="AK92" s="30">
        <v>12814.82</v>
      </c>
      <c r="AL92" s="30">
        <v>11470.47</v>
      </c>
      <c r="AM92" s="30">
        <v>5347.2</v>
      </c>
      <c r="AN92" s="30">
        <v>7081.23</v>
      </c>
      <c r="AO92" s="30">
        <v>813.16</v>
      </c>
      <c r="AP92" s="30">
        <v>8375.51</v>
      </c>
      <c r="AQ92" s="30">
        <v>15829.76</v>
      </c>
      <c r="AR92" s="30">
        <v>15833.92</v>
      </c>
      <c r="AS92" s="30">
        <v>12414.11</v>
      </c>
      <c r="AT92" s="22">
        <v>7465.18</v>
      </c>
    </row>
    <row r="93" spans="1:46" ht="28.2" thickBot="1" x14ac:dyDescent="0.3">
      <c r="A93" s="30">
        <v>92</v>
      </c>
      <c r="B93" s="30" t="s">
        <v>3304</v>
      </c>
      <c r="C93" s="30" t="s">
        <v>610</v>
      </c>
      <c r="D93" s="30">
        <v>547.44000000000005</v>
      </c>
      <c r="E93" s="30">
        <v>359.87</v>
      </c>
      <c r="F93" s="30">
        <v>264.83</v>
      </c>
      <c r="G93" s="30">
        <v>142.12</v>
      </c>
      <c r="H93" s="30">
        <v>962</v>
      </c>
      <c r="I93" s="30">
        <v>268.95999999999998</v>
      </c>
      <c r="J93" s="30">
        <v>1368.87</v>
      </c>
      <c r="K93" s="30">
        <v>706.7</v>
      </c>
      <c r="L93" s="30">
        <v>702.41</v>
      </c>
      <c r="M93" s="22">
        <v>402.4</v>
      </c>
      <c r="AH93" s="30">
        <v>92</v>
      </c>
      <c r="AI93" s="30" t="s">
        <v>3304</v>
      </c>
      <c r="AJ93" s="30" t="s">
        <v>610</v>
      </c>
      <c r="AK93" s="30">
        <v>31.1</v>
      </c>
      <c r="AL93" s="30">
        <v>15.14</v>
      </c>
      <c r="AM93" s="30">
        <v>14.89</v>
      </c>
      <c r="AN93" s="30">
        <v>14.21</v>
      </c>
      <c r="AO93" s="30">
        <v>49.86</v>
      </c>
      <c r="AP93" s="30">
        <v>15.92</v>
      </c>
      <c r="AQ93" s="30">
        <v>177.91</v>
      </c>
      <c r="AR93" s="30">
        <v>206.66</v>
      </c>
      <c r="AS93" s="30">
        <v>191.69</v>
      </c>
      <c r="AT93" s="22">
        <v>10.52</v>
      </c>
    </row>
    <row r="94" spans="1:46" ht="28.2" thickBot="1" x14ac:dyDescent="0.3">
      <c r="A94" s="30">
        <v>93</v>
      </c>
      <c r="B94" s="30" t="s">
        <v>3586</v>
      </c>
      <c r="C94" s="30" t="s">
        <v>1271</v>
      </c>
      <c r="D94" s="30">
        <v>855.3</v>
      </c>
      <c r="E94" s="30">
        <v>805.86</v>
      </c>
      <c r="F94" s="30">
        <v>1293.72</v>
      </c>
      <c r="G94" s="30">
        <v>1144.3</v>
      </c>
      <c r="H94" s="30">
        <v>1181.54</v>
      </c>
      <c r="I94" s="30">
        <v>1650.16</v>
      </c>
      <c r="J94" s="30">
        <v>814.37</v>
      </c>
      <c r="K94" s="30">
        <v>253.39</v>
      </c>
      <c r="L94" s="30">
        <v>247.08</v>
      </c>
      <c r="M94" s="22">
        <v>1151.8599999999999</v>
      </c>
      <c r="AH94" s="30">
        <v>93</v>
      </c>
      <c r="AI94" s="30" t="s">
        <v>3586</v>
      </c>
      <c r="AJ94" s="30" t="s">
        <v>1271</v>
      </c>
      <c r="AK94" s="30">
        <v>740.34</v>
      </c>
      <c r="AL94" s="30">
        <v>196.77</v>
      </c>
      <c r="AM94" s="30">
        <v>689.76</v>
      </c>
      <c r="AN94" s="30">
        <v>619.89</v>
      </c>
      <c r="AO94" s="30">
        <v>944.14</v>
      </c>
      <c r="AP94" s="30">
        <v>1115.27</v>
      </c>
      <c r="AQ94" s="30">
        <v>1422.55</v>
      </c>
      <c r="AR94" s="30">
        <v>2115.3000000000002</v>
      </c>
      <c r="AS94" s="30">
        <v>997.93</v>
      </c>
      <c r="AT94" s="22">
        <v>922.83</v>
      </c>
    </row>
    <row r="95" spans="1:46" ht="97.2" thickBot="1" x14ac:dyDescent="0.3">
      <c r="A95" s="30">
        <v>94</v>
      </c>
      <c r="B95" s="30" t="s">
        <v>6497</v>
      </c>
      <c r="C95" s="30" t="s">
        <v>600</v>
      </c>
      <c r="D95" s="30">
        <v>8.93</v>
      </c>
      <c r="E95" s="30">
        <v>13.98</v>
      </c>
      <c r="F95" s="30">
        <v>8.3699999999999992</v>
      </c>
      <c r="G95" s="30">
        <v>10.88</v>
      </c>
      <c r="H95" s="30">
        <v>9.91</v>
      </c>
      <c r="I95" s="30">
        <v>7.97</v>
      </c>
      <c r="J95" s="30">
        <v>20.76</v>
      </c>
      <c r="K95" s="30">
        <v>9.68</v>
      </c>
      <c r="L95" s="30">
        <v>5.74</v>
      </c>
      <c r="M95" s="22" t="s">
        <v>29</v>
      </c>
      <c r="AH95" s="30">
        <v>94</v>
      </c>
      <c r="AI95" s="30" t="s">
        <v>6139</v>
      </c>
      <c r="AJ95" s="30" t="s">
        <v>600</v>
      </c>
      <c r="AK95" s="30">
        <v>4.88</v>
      </c>
      <c r="AL95" s="30">
        <v>3.59</v>
      </c>
      <c r="AM95" s="30">
        <v>2.81</v>
      </c>
      <c r="AN95" s="30">
        <v>3.75</v>
      </c>
      <c r="AO95" s="30">
        <v>2.97</v>
      </c>
      <c r="AP95" s="30">
        <v>3.44</v>
      </c>
      <c r="AQ95" s="30">
        <v>5.49</v>
      </c>
      <c r="AR95" s="30">
        <v>3.16</v>
      </c>
      <c r="AS95" s="30">
        <v>3.01</v>
      </c>
      <c r="AT95" s="22">
        <v>3.54</v>
      </c>
    </row>
    <row r="96" spans="1:46" ht="28.2" thickBot="1" x14ac:dyDescent="0.3">
      <c r="A96" s="30">
        <v>95</v>
      </c>
      <c r="B96" s="30" t="s">
        <v>3309</v>
      </c>
      <c r="C96" s="30" t="s">
        <v>603</v>
      </c>
      <c r="D96" s="30">
        <v>3.74</v>
      </c>
      <c r="E96" s="30">
        <v>12.58</v>
      </c>
      <c r="F96" s="30">
        <v>2.57</v>
      </c>
      <c r="G96" s="30">
        <v>3.44</v>
      </c>
      <c r="H96" s="30">
        <v>12.51</v>
      </c>
      <c r="I96" s="30">
        <v>4.57</v>
      </c>
      <c r="J96" s="30">
        <v>28.49</v>
      </c>
      <c r="K96" s="30">
        <v>26.18</v>
      </c>
      <c r="L96" s="30">
        <v>33.479999999999997</v>
      </c>
      <c r="M96" s="22">
        <v>7.64</v>
      </c>
      <c r="AH96" s="30">
        <v>95</v>
      </c>
      <c r="AI96" s="30" t="s">
        <v>3309</v>
      </c>
      <c r="AJ96" s="30" t="s">
        <v>603</v>
      </c>
      <c r="AK96" s="30">
        <v>6.59</v>
      </c>
      <c r="AL96" s="30">
        <v>2.09</v>
      </c>
      <c r="AM96" s="30">
        <v>2.2999999999999998</v>
      </c>
      <c r="AN96" s="30">
        <v>0.66</v>
      </c>
      <c r="AO96" s="30">
        <v>2.85</v>
      </c>
      <c r="AP96" s="30">
        <v>7.34</v>
      </c>
      <c r="AQ96" s="30">
        <v>11.29</v>
      </c>
      <c r="AR96" s="30">
        <v>12.17</v>
      </c>
      <c r="AS96" s="30" t="s">
        <v>29</v>
      </c>
      <c r="AT96" s="22">
        <v>233.07</v>
      </c>
    </row>
    <row r="97" spans="1:46" ht="69.599999999999994" thickBot="1" x14ac:dyDescent="0.3">
      <c r="A97" s="30">
        <v>96</v>
      </c>
      <c r="B97" s="30" t="s">
        <v>6434</v>
      </c>
      <c r="C97" s="30" t="s">
        <v>1332</v>
      </c>
      <c r="D97" s="30">
        <v>4535.0200000000004</v>
      </c>
      <c r="E97" s="30">
        <v>2044.91</v>
      </c>
      <c r="F97" s="30">
        <v>7356.18</v>
      </c>
      <c r="G97" s="30">
        <v>4489.7700000000004</v>
      </c>
      <c r="H97" s="30">
        <v>4268.1099999999997</v>
      </c>
      <c r="I97" s="30">
        <v>1597.4</v>
      </c>
      <c r="J97" s="30">
        <v>5634.68</v>
      </c>
      <c r="K97" s="30">
        <v>3180.43</v>
      </c>
      <c r="L97" s="30">
        <v>2412.9899999999998</v>
      </c>
      <c r="M97" s="22" t="s">
        <v>29</v>
      </c>
      <c r="AH97" s="30">
        <v>96</v>
      </c>
      <c r="AI97" s="30" t="s">
        <v>2318</v>
      </c>
      <c r="AJ97" s="30" t="s">
        <v>1332</v>
      </c>
      <c r="AK97" s="30">
        <v>922.7</v>
      </c>
      <c r="AL97" s="30">
        <v>571.41</v>
      </c>
      <c r="AM97" s="30">
        <v>1229.99</v>
      </c>
      <c r="AN97" s="30">
        <v>573.52</v>
      </c>
      <c r="AO97" s="30">
        <v>1577.88</v>
      </c>
      <c r="AP97" s="30">
        <v>861.4</v>
      </c>
      <c r="AQ97" s="30">
        <v>1233.6099999999999</v>
      </c>
      <c r="AR97" s="30">
        <v>1141.54</v>
      </c>
      <c r="AS97" s="30">
        <v>1181.94</v>
      </c>
      <c r="AT97" s="22">
        <v>1035.33</v>
      </c>
    </row>
    <row r="98" spans="1:46" ht="28.2" thickBot="1" x14ac:dyDescent="0.3">
      <c r="A98" s="30">
        <v>97</v>
      </c>
      <c r="B98" s="30" t="s">
        <v>6449</v>
      </c>
      <c r="C98" s="30" t="s">
        <v>6450</v>
      </c>
      <c r="D98" s="30" t="s">
        <v>29</v>
      </c>
      <c r="E98" s="30">
        <v>30.95</v>
      </c>
      <c r="F98" s="30" t="s">
        <v>29</v>
      </c>
      <c r="G98" s="30">
        <v>32.22</v>
      </c>
      <c r="H98" s="30">
        <v>32.75</v>
      </c>
      <c r="I98" s="30" t="s">
        <v>29</v>
      </c>
      <c r="J98" s="30">
        <v>31.38</v>
      </c>
      <c r="K98" s="30">
        <v>31.99</v>
      </c>
      <c r="L98" s="30">
        <v>31.35</v>
      </c>
      <c r="M98" s="22" t="s">
        <v>29</v>
      </c>
      <c r="AH98" s="30">
        <v>97</v>
      </c>
      <c r="AI98" s="30" t="s">
        <v>6449</v>
      </c>
      <c r="AJ98" s="30" t="s">
        <v>6450</v>
      </c>
      <c r="AK98" s="30" t="s">
        <v>29</v>
      </c>
      <c r="AL98" s="30" t="s">
        <v>29</v>
      </c>
      <c r="AM98" s="30" t="s">
        <v>29</v>
      </c>
      <c r="AN98" s="30" t="s">
        <v>29</v>
      </c>
      <c r="AO98" s="30">
        <v>29.61</v>
      </c>
      <c r="AP98" s="30" t="s">
        <v>29</v>
      </c>
      <c r="AQ98" s="30">
        <v>33.049999999999997</v>
      </c>
      <c r="AR98" s="30" t="s">
        <v>29</v>
      </c>
      <c r="AS98" s="30" t="s">
        <v>29</v>
      </c>
      <c r="AT98" s="22" t="s">
        <v>29</v>
      </c>
    </row>
    <row r="99" spans="1:46" ht="14.4" thickBot="1" x14ac:dyDescent="0.3"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22"/>
    </row>
    <row r="100" spans="1:46" ht="14.4" thickBot="1" x14ac:dyDescent="0.3"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22"/>
    </row>
    <row r="101" spans="1:46" ht="14.4" thickBot="1" x14ac:dyDescent="0.3"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22"/>
    </row>
    <row r="102" spans="1:46" ht="14.4" thickBot="1" x14ac:dyDescent="0.3"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22"/>
    </row>
    <row r="103" spans="1:46" ht="14.4" thickBot="1" x14ac:dyDescent="0.3"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22"/>
    </row>
    <row r="104" spans="1:46" ht="14.4" thickBot="1" x14ac:dyDescent="0.3"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22"/>
    </row>
    <row r="105" spans="1:46" ht="14.4" thickBot="1" x14ac:dyDescent="0.3"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22"/>
    </row>
    <row r="106" spans="1:46" ht="14.4" thickBot="1" x14ac:dyDescent="0.3">
      <c r="AH106" s="30"/>
      <c r="AI106" s="30"/>
      <c r="AJ106" s="31"/>
      <c r="AK106" s="30"/>
      <c r="AL106" s="30"/>
      <c r="AM106" s="30"/>
      <c r="AN106" s="30"/>
      <c r="AO106" s="30"/>
      <c r="AP106" s="30"/>
      <c r="AQ106" s="30"/>
      <c r="AR106" s="30"/>
      <c r="AS106" s="30"/>
      <c r="AT106" s="22"/>
    </row>
    <row r="107" spans="1:46" ht="14.4" thickBot="1" x14ac:dyDescent="0.3"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22"/>
    </row>
    <row r="108" spans="1:46" ht="14.4" thickBot="1" x14ac:dyDescent="0.3"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22"/>
    </row>
    <row r="109" spans="1:46" ht="14.4" thickBot="1" x14ac:dyDescent="0.3"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22"/>
    </row>
    <row r="110" spans="1:46" ht="14.4" thickBot="1" x14ac:dyDescent="0.3"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22"/>
    </row>
    <row r="111" spans="1:46" ht="14.4" thickBot="1" x14ac:dyDescent="0.3"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22"/>
    </row>
    <row r="112" spans="1:46" ht="14.4" thickBot="1" x14ac:dyDescent="0.3"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22"/>
    </row>
    <row r="113" spans="34:46" ht="14.4" thickBot="1" x14ac:dyDescent="0.3"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22"/>
    </row>
    <row r="114" spans="34:46" ht="14.4" thickBot="1" x14ac:dyDescent="0.3"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22"/>
    </row>
    <row r="115" spans="34:46" ht="14.4" thickBot="1" x14ac:dyDescent="0.3"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22"/>
    </row>
    <row r="116" spans="34:46" ht="14.4" thickBot="1" x14ac:dyDescent="0.3"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22"/>
    </row>
    <row r="117" spans="34:46" ht="14.4" thickBot="1" x14ac:dyDescent="0.3"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22"/>
    </row>
    <row r="118" spans="34:46" ht="14.4" thickBot="1" x14ac:dyDescent="0.3"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22"/>
    </row>
    <row r="119" spans="34:46" ht="14.4" thickBot="1" x14ac:dyDescent="0.3"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2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all data</vt:lpstr>
      <vt:lpstr>2  Characterization of key odor</vt:lpstr>
      <vt:lpstr>5  Key Aroma Compounds and Arom</vt:lpstr>
      <vt:lpstr>2  Decoding the Molecular Mecha</vt:lpstr>
      <vt:lpstr>2  Volatilomics and Lipidomics </vt:lpstr>
      <vt:lpstr>5  Impact of Pulsed Electric Fi</vt:lpstr>
      <vt:lpstr>8 Flavoromic Exploration of Reg</vt:lpstr>
      <vt:lpstr>3  Characterization of the diff</vt:lpstr>
      <vt:lpstr>3  Unraveling variation on the </vt:lpstr>
      <vt:lpstr>10  Aroma characterization and </vt:lpstr>
      <vt:lpstr>8  Exploration of key aroma act</vt:lpstr>
      <vt:lpstr>3  Investigation on the key fac</vt:lpstr>
      <vt:lpstr>11不同等级浓香型白酒基酒挥发性风味物质差异分析</vt:lpstr>
      <vt:lpstr>12 高粱营养品质对浓香型白酒酿造品质的影响</vt:lpstr>
      <vt:lpstr>13 四川不同产区浓香型白酒风味物质差异化分析</vt:lpstr>
      <vt:lpstr>14基于GC×GC-MS分析不同等级浓香型白酒的关键风味化合物</vt:lpstr>
      <vt:lpstr>15 基于全二维气相色谱-飞行时间质谱结合多元统计</vt:lpstr>
      <vt:lpstr>16  5 种品牌浓香型白酒香气成分分析</vt:lpstr>
      <vt:lpstr>17 北派浓香型白酒年份标记物的非靶向鉴定序号</vt:lpstr>
      <vt:lpstr>18  不同贮存年份的五粮浓香型白酒挥发性</vt:lpstr>
      <vt:lpstr>19  浓香、酱香、清香型白酒挥发性风味的 </vt:lpstr>
      <vt:lpstr>20  三种香型白酒的ICP-OES和 </vt:lpstr>
      <vt:lpstr>21 基于GC-MS的浓香型白酒等级评判模型研究</vt:lpstr>
      <vt:lpstr>22 浓香型白酒及其风味成分对乙醇代谢关键 </vt:lpstr>
      <vt:lpstr>23  3 个年份浓香型白酒香气成分比较研究</vt:lpstr>
      <vt:lpstr>基于GC-MS结合化学计量学的浓香型白酒分类方法</vt:lpstr>
      <vt:lpstr>25  山东沂蒙老区浓香型白酒特征风味研究</vt:lpstr>
      <vt:lpstr>26  浓香型白酒基酒挥发性成分分析及等级识别研究</vt:lpstr>
      <vt:lpstr>27 基于GC-QTOF MS技术的</vt:lpstr>
      <vt:lpstr>28  酱香型和浓香型白酒中香气物质及其差异研究</vt:lpstr>
      <vt:lpstr>29  应用GC-MS对两种原粮酿造的浓香型</vt:lpstr>
      <vt:lpstr>30  洋河绵柔型白酒关键风味成分</vt:lpstr>
      <vt:lpstr>31  浓香型洋河天之蓝和清香型二锅头大</vt:lpstr>
      <vt:lpstr>32  浓香型白酒基酒味觉特征与挥发性风味成分相关性研究</vt:lpstr>
      <vt:lpstr>33  宜宾产区浓香型白酒风味特征及香气活性物质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</dc:creator>
  <cp:lastModifiedBy>童 夏</cp:lastModifiedBy>
  <dcterms:created xsi:type="dcterms:W3CDTF">2025-12-24T16:00:51Z</dcterms:created>
  <dcterms:modified xsi:type="dcterms:W3CDTF">2026-10-14T07:40:53Z</dcterms:modified>
</cp:coreProperties>
</file>