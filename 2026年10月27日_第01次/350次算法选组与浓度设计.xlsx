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4e3ec2a21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总览" sheetId="1" r:id="R13e1e46516be48a3"/>
    <x:sheet xmlns:r="http://schemas.openxmlformats.org/officeDocument/2006/relationships" name="350配方" sheetId="2" r:id="Rf90c01c8847241ca"/>
    <x:sheet xmlns:r="http://schemas.openxmlformats.org/officeDocument/2006/relationships" name="浓度矩阵" sheetId="3" r:id="R68853afae7cb4ff9"/>
    <x:sheet xmlns:r="http://schemas.openxmlformats.org/officeDocument/2006/relationships" name="浓度设置" sheetId="4" r:id="R8a5c11e232ab4e6a"/>
    <x:sheet xmlns:r="http://schemas.openxmlformats.org/officeDocument/2006/relationships" name="配对统计" sheetId="5" r:id="Ra219cdea49024794"/>
    <x:sheet xmlns:r="http://schemas.openxmlformats.org/officeDocument/2006/relationships" name="原始浓度" sheetId="6" r:id="Re0c063d447ed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6">
    <x:font>
      <x:sz val="11"/>
      <x:name val="Carlito"/>
    </x:font>
    <x:font>
      <x:b/>
      <x:sz val="15"/>
      <x:color rgb="FF17324D"/>
      <x:name val="Arial"/>
    </x:font>
    <x:font>
      <x:sz val="10"/>
      <x:color rgb="FF526274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5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0" fontId="3" fillId="3" borderId="0" xfId="0" applyNumberFormat="1" applyFont="1" applyFill="1" applyBorder="1"/>
    <x:xf numFmtId="201" fontId="3" fillId="0" borderId="0" xfId="0" applyNumberFormat="1" applyFont="1" applyFill="1" applyBorder="1"/>
    <x:xf numFmtId="0" fontId="0" fillId="3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8b7bc46134723" /><Relationship Type="http://schemas.openxmlformats.org/officeDocument/2006/relationships/theme" Target="/xl/theme/theme1.xml" Id="Reb7072224efb441d" /><Relationship Type="http://schemas.openxmlformats.org/officeDocument/2006/relationships/sharedStrings" Target="/xl/sharedStrings.xml" Id="R2c8e60cd6d6a4b52" /><Relationship Type="http://schemas.openxmlformats.org/officeDocument/2006/relationships/worksheet" Target="/xl/worksheets/sheet1.xml" Id="R13e1e46516be48a3" /><Relationship Type="http://schemas.openxmlformats.org/officeDocument/2006/relationships/worksheet" Target="/xl/worksheets/sheet2.xml" Id="Rf90c01c8847241ca" /><Relationship Type="http://schemas.openxmlformats.org/officeDocument/2006/relationships/worksheet" Target="/xl/worksheets/sheet3.xml" Id="R68853afae7cb4ff9" /><Relationship Type="http://schemas.openxmlformats.org/officeDocument/2006/relationships/worksheet" Target="/xl/worksheets/sheet4.xml" Id="R8a5c11e232ab4e6a" /><Relationship Type="http://schemas.openxmlformats.org/officeDocument/2006/relationships/worksheet" Target="/xl/worksheets/sheet5.xml" Id="Ra219cdea49024794" /><Relationship Type="http://schemas.openxmlformats.org/officeDocument/2006/relationships/worksheet" Target="/xl/worksheets/sheet6.xml" Id="Re0c063d447ed4954" /></Relationships>
</file>

<file path=xl/tables/table1.xml><?xml version="1.0" encoding="utf-8"?>
<x:table xmlns:x="http://schemas.openxmlformats.org/spreadsheetml/2006/main" id="3" name="Table_1" displayName="Table_1" ref="A5:AD355" headerRowCount="1" totalsRowCount="0" totalsRowShown="0">
  <x:tableColumns count="30">
    <x:tableColumn id="1" name="样本编号"/>
    <x:tableColumn id="2" name="用途 Purpose"/>
    <x:tableColumn id="3" name="组成组"/>
    <x:tableColumn id="4" name="重复来源"/>
    <x:tableColumn id="5" name="物质1"/>
    <x:tableColumn id="6" name="物质2"/>
    <x:tableColumn id="7" name="物质3"/>
    <x:tableColumn id="8" name="物质4"/>
    <x:tableColumn id="9" name="档1"/>
    <x:tableColumn id="10" name="档2"/>
    <x:tableColumn id="11" name="档3"/>
    <x:tableColumn id="12" name="档4"/>
    <x:tableColumn id="13" name="浓度1 ug/L"/>
    <x:tableColumn id="14" name="浓度2 ug/L"/>
    <x:tableColumn id="15" name="浓度3 ug/L"/>
    <x:tableColumn id="16" name="浓度4 ug/L"/>
    <x:tableColumn id="17" name="OAV1"/>
    <x:tableColumn id="18" name="OAV2"/>
    <x:tableColumn id="19" name="OAV3"/>
    <x:tableColumn id="20" name="OAV4"/>
    <x:tableColumn id="21" name="量1 ug/瓶"/>
    <x:tableColumn id="22" name="量2 ug/瓶"/>
    <x:tableColumn id="23" name="量3 ug/瓶"/>
    <x:tableColumn id="24" name="量4 ug/瓶"/>
    <x:tableColumn id="25" name="ID1"/>
    <x:tableColumn id="26" name="ID2"/>
    <x:tableColumn id="27" name="ID3"/>
    <x:tableColumn id="28" name="ID4"/>
    <x:tableColumn id="29" name="可变物质数"/>
    <x:tableColumn id="30" name="体积 m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Table_2" displayName="Table_2" ref="A5:AS355" headerRowCount="1" totalsRowCount="0" totalsRowShown="0">
  <x:tableColumns count="45">
    <x:tableColumn id="1" name="样本编号"/>
    <x:tableColumn id="2" name="用途 Purpose"/>
    <x:tableColumn id="3" name="拟合标记"/>
    <x:tableColumn id="4" name="可变数"/>
    <x:tableColumn id="5" name="7 己醛 (ug/L)"/>
    <x:tableColumn id="6" name="11 1-丁醇 (ug/L)"/>
    <x:tableColumn id="7" name="18 2-甲基丙醛 (ug/L)"/>
    <x:tableColumn id="8" name="32 异丁酸乙酯 (ug/L)"/>
    <x:tableColumn id="9" name="40 苯乙酸乙酯 (ug/L)"/>
    <x:tableColumn id="10" name="52 丁酸乙酯 (ug/L)"/>
    <x:tableColumn id="11" name="53 乙醛二乙缩醛 (ug/L)"/>
    <x:tableColumn id="12" name="56 丁酸异戊酯 (ug/L)"/>
    <x:tableColumn id="13" name="58 辛酸乙酯 (ug/L)"/>
    <x:tableColumn id="14" name="61 对甲酚 (ug/L)"/>
    <x:tableColumn id="15" name="69 异戊酸乙酯（3-甲基丁酸乙酯） (ug/L)"/>
    <x:tableColumn id="16" name="75 戊酸 (ug/L)"/>
    <x:tableColumn id="17" name="79 癸酸乙酯 (ug/L)"/>
    <x:tableColumn id="18" name="90 1-辛醇 (ug/L)"/>
    <x:tableColumn id="19" name="105 苯乙醛 (ug/L)"/>
    <x:tableColumn id="20" name="111 己酸乙酯 (ug/L)"/>
    <x:tableColumn id="21" name="114 乙酸丁酯 (ug/L)"/>
    <x:tableColumn id="22" name="115 乙酸异戊酯 (ug/L)"/>
    <x:tableColumn id="23" name="117 辛酸 (ug/L)"/>
    <x:tableColumn id="24" name="126 己酸 (ug/L)"/>
    <x:tableColumn id="25" name="136 异戊酸/3-甲基丁酸 (ug/L)"/>
    <x:tableColumn id="26" name="141 戊酸乙酯 (ug/L)"/>
    <x:tableColumn id="27" name="152 异戊醛 (ug/L)"/>
    <x:tableColumn id="28" name="165 己酸丁酯 (ug/L)"/>
    <x:tableColumn id="29" name="186 3-苯基丙酸乙酯 (ug/L)"/>
    <x:tableColumn id="30" name="207 1-辛烯-3-醇 (ug/L)"/>
    <x:tableColumn id="31" name="209 二甲基三硫醚 (ug/L)"/>
    <x:tableColumn id="32" name="227 己酸己酯 (ug/L)"/>
    <x:tableColumn id="33" name="232 2-甲基丁酸乙酯 (ug/L)"/>
    <x:tableColumn id="34" name="255 β-大马酮 (ug/L)"/>
    <x:tableColumn id="35" name="5 乙酸 (ug/L)"/>
    <x:tableColumn id="36" name="10 1-丙醇 (ug/L)"/>
    <x:tableColumn id="37" name="17 异丁醇 (ug/L)"/>
    <x:tableColumn id="38" name="21 异丁酸 (ug/L)"/>
    <x:tableColumn id="39" name="41 乙酸苯乙酯 (ug/L)"/>
    <x:tableColumn id="40" name="57 庚酸乙酯 (ug/L)"/>
    <x:tableColumn id="41" name="65 丁酸 (ug/L)"/>
    <x:tableColumn id="42" name="85 1-己醇 (ug/L)"/>
    <x:tableColumn id="43" name="106 4-乙基苯酚 (ug/L)"/>
    <x:tableColumn id="44" name="110 3-甲基-1-丁醇（异戊醇） (ug/L)"/>
    <x:tableColumn id="45" name="124 乙酸乙酯 (ug/L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_3" displayName="Table_3" ref="A5:U46" headerRowCount="1" totalsRowCount="0" totalsRowShown="0">
  <x:tableColumns count="21">
    <x:tableColumn id="1" name="ID"/>
    <x:tableColumn id="2" name="中文名称"/>
    <x:tableColumn id="3" name="English name"/>
    <x:tableColumn id="4" name="CAS"/>
    <x:tableColumn id="5" name="角色 Role"/>
    <x:tableColumn id="6" name="档数"/>
    <x:tableColumn id="7" name="有效 n"/>
    <x:tableColumn id="8" name="原始最小"/>
    <x:tableColumn id="9" name="最小正值"/>
    <x:tableColumn id="10" name="原中位值"/>
    <x:tableColumn id="11" name="最大值"/>
    <x:tableColumn id="12" name="算术均值"/>
    <x:tableColumn id="13" name="阈值 ug/L"/>
    <x:tableColumn id="14" name="中位 OAV"/>
    <x:tableColumn id="15" name="均值 OAV"/>
    <x:tableColumn id="16" name="L ug/L"/>
    <x:tableColumn id="17" name="M ug/L"/>
    <x:tableColumn id="18" name="H ug/L"/>
    <x:tableColumn id="19" name="基底 ug/L"/>
    <x:tableColumn id="20" name="基底量 ug/瓶"/>
    <x:tableColumn id="21" name="浓度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Table_4" displayName="Table_4" ref="A5:L440" headerRowCount="1" totalsRowCount="0" totalsRowShown="0">
  <x:tableColumns count="12">
    <x:tableColumn id="1" name="ID A"/>
    <x:tableColumn id="2" name="ID B"/>
    <x:tableColumn id="3" name="物质 A"/>
    <x:tableColumn id="4" name="物质 B"/>
    <x:tableColumn id="5" name="档位类型"/>
    <x:tableColumn id="6" name="拟合出现次数"/>
    <x:tableColumn id="7" name="重复出现次数"/>
    <x:tableColumn id="8" name="验证出现次数"/>
    <x:tableColumn id="9" name="不同背景数"/>
    <x:tableColumn id="10" name="已覆盖档位格"/>
    <x:tableColumn id="11" name="全部档位格"/>
    <x:tableColumn id="12" name="档位格比例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Table_5" displayName="Table_5" ref="A5:DN46" headerRowCount="1" totalsRowCount="0" totalsRowShown="0">
  <x:tableColumns count="118">
    <x:tableColumn id="1" name="ID"/>
    <x:tableColumn id="2" name="中文名称"/>
    <x:tableColumn id="3" name="English name"/>
    <x:tableColumn id="4" name="CAS"/>
    <x:tableColumn id="5" name="阈值 ug/L"/>
    <x:tableColumn id="6" name="1  GJ-1573 (μg/L)"/>
    <x:tableColumn id="7" name="1  LZ-2016 base SAB (μg/L)"/>
    <x:tableColumn id="8" name="2  Y1 (μg/L)"/>
    <x:tableColumn id="9" name="2  Y3 (μg/L)"/>
    <x:tableColumn id="10" name="2  Y5 (μg/L)"/>
    <x:tableColumn id="11" name="2  Y8 (μg/L)"/>
    <x:tableColumn id="12" name="2  Y11 (μg/L)"/>
    <x:tableColumn id="13" name="3  LZLJ-M7 (μg/L)"/>
    <x:tableColumn id="14" name="3  LZLJ-T7 (μg/L)"/>
    <x:tableColumn id="15" name="5  Blank (μg/L)"/>
    <x:tableColumn id="16" name="5  F1 (μg/L)"/>
    <x:tableColumn id="17" name="5  F3 (μg/L)"/>
    <x:tableColumn id="18" name="5  S1 (μg/L)"/>
    <x:tableColumn id="19" name="5  S2 (F3) (μg/L)"/>
    <x:tableColumn id="20" name="5  S3 (μg/L)"/>
    <x:tableColumn id="21" name="7  GJG (μg/L)"/>
    <x:tableColumn id="22" name="7  LZ (μg/L)"/>
    <x:tableColumn id="23" name="8  H (μg/L)"/>
    <x:tableColumn id="24" name="9  1 (μg/L)"/>
    <x:tableColumn id="25" name="9  2 (μg/L)"/>
    <x:tableColumn id="26" name="9  3 (μg/L)"/>
    <x:tableColumn id="27" name="9  4 (μg/L)"/>
    <x:tableColumn id="28" name="9  5 (μg/L)"/>
    <x:tableColumn id="29" name="9  6 (μg/L)"/>
    <x:tableColumn id="30" name="9  7 (μg/L)"/>
    <x:tableColumn id="31" name="9  8 (μg/L)"/>
    <x:tableColumn id="32" name="10  A (μg/L)"/>
    <x:tableColumn id="33" name="10  B (μg/L)"/>
    <x:tableColumn id="34" name="10  c (μg/L)"/>
    <x:tableColumn id="35" name="11  CJ (μg/L)"/>
    <x:tableColumn id="36" name="11  DJ (μg/L)"/>
    <x:tableColumn id="37" name="11  LJ (μg/L)"/>
    <x:tableColumn id="38" name="12  B (μg/L)"/>
    <x:tableColumn id="39" name="12  C (μg/L)"/>
    <x:tableColumn id="40" name="14  洋河大曲 (μg/L)"/>
    <x:tableColumn id="41" name="14  牛栏山 (μg/L)"/>
    <x:tableColumn id="42" name="14  红星二锅头 (μg/L)"/>
    <x:tableColumn id="43" name="14  银装青酒 (μg/L)"/>
    <x:tableColumn id="44" name="15  X1 (μg/L)"/>
    <x:tableColumn id="45" name="15  X3 (μg/L)"/>
    <x:tableColumn id="46" name="15  X5 (μg/L)"/>
    <x:tableColumn id="47" name="15  X8 (μg/L)"/>
    <x:tableColumn id="48" name="16  LZ/ (μg/L)"/>
    <x:tableColumn id="49" name="18  JS (μg/L)"/>
    <x:tableColumn id="50" name="18  SC1 (μg/L)"/>
    <x:tableColumn id="51" name="18  SC2 (μg/L)"/>
    <x:tableColumn id="52" name="18  SC3 (μg/L)"/>
    <x:tableColumn id="53" name="19  3 年陈 (μg/L)"/>
    <x:tableColumn id="54" name="19  5 年陈 (μg/L)"/>
    <x:tableColumn id="55" name="20  GJG (μg/L)"/>
    <x:tableColumn id="56" name="20  GRD-1 (μg/L)"/>
    <x:tableColumn id="57" name="20  GRD-2 (μg/L)"/>
    <x:tableColumn id="58" name="20  GRD-JC (μg/L)"/>
    <x:tableColumn id="59" name="20  GRD-PD (μg/L)"/>
    <x:tableColumn id="60" name="20  JPLG (μg/L)"/>
    <x:tableColumn id="61" name="20  JSY (μg/L)"/>
    <x:tableColumn id="62" name="20  LGTQ (μg/L)"/>
    <x:tableColumn id="63" name="20  LZLJ (μg/L)"/>
    <x:tableColumn id="64" name="20  TJ-1S (μg/L)"/>
    <x:tableColumn id="65" name="20  TJ-2S (μg/L)"/>
    <x:tableColumn id="66" name="20  TJ-4S (μg/L)"/>
    <x:tableColumn id="67" name="20  TT-2S (μg/L)"/>
    <x:tableColumn id="68" name="20  TT-4S (μg/L)"/>
    <x:tableColumn id="69" name="20  WLY (μg/L)"/>
    <x:tableColumn id="70" name="22  NX2 (μg/L)"/>
    <x:tableColumn id="71" name="22  NX3 (μg/L)"/>
    <x:tableColumn id="72" name="22  NX4 (μg/L)"/>
    <x:tableColumn id="73" name="22  NX5 (μg/L)"/>
    <x:tableColumn id="74" name="22  NX6 (μg/L)"/>
    <x:tableColumn id="75" name="22  NX7 (μg/L)"/>
    <x:tableColumn id="76" name="22  NX8 (μg/L)"/>
    <x:tableColumn id="77" name="22  NX9 (μg/L)"/>
    <x:tableColumn id="78" name="22  NX10 (μg/L)"/>
    <x:tableColumn id="79" name="23  n-c-1 (μg/L)"/>
    <x:tableColumn id="80" name="23  n-c-2 (μg/L)"/>
    <x:tableColumn id="81" name="23  n-d-1994 (μg/L)"/>
    <x:tableColumn id="82" name="23  n-d-1997 (μg/L)"/>
    <x:tableColumn id="83" name="23  n-d-2000 (μg/L)"/>
    <x:tableColumn id="84" name="23  n-d-2007 (μg/L)"/>
    <x:tableColumn id="85" name="23  n-d-2011 (μg/L)"/>
    <x:tableColumn id="86" name="23  n-g-1 (μg/L)"/>
    <x:tableColumn id="87" name="23  n-g-2 (μg/L)"/>
    <x:tableColumn id="88" name="23  n-s-2004 (μg/L)"/>
    <x:tableColumn id="89" name="23  n-s-2009 (μg/L)"/>
    <x:tableColumn id="90" name="23  n-s-2010 (μg/L)"/>
    <x:tableColumn id="91" name="23  n-s-2012 (μg/L)"/>
    <x:tableColumn id="92" name="23  浓香型酒 (μg/L)"/>
    <x:tableColumn id="93" name="24  41% TZL (μg/L)"/>
    <x:tableColumn id="94" name="24  42.6% MZL (μg/L)"/>
    <x:tableColumn id="95" name="24  46% TZL (μg/L)"/>
    <x:tableColumn id="96" name="24  52% TZL (μg/L)"/>
    <x:tableColumn id="97" name="25  天之蓝-1 (μg/L)"/>
    <x:tableColumn id="98" name="25  天之蓝-2 (μg/L)"/>
    <x:tableColumn id="99" name="26  微涩组 (μg/L)"/>
    <x:tableColumn id="100" name="26  涩味组 (μg/L)"/>
    <x:tableColumn id="101" name="26  苦味组 (μg/L)"/>
    <x:tableColumn id="102" name="26  较涩组 (μg/L)"/>
    <x:tableColumn id="103" name="27  A-G1-L (μg/L)"/>
    <x:tableColumn id="104" name="27  A-GJG-H (μg/L)"/>
    <x:tableColumn id="105" name="27  G-J1-H (μg/L)"/>
    <x:tableColumn id="106" name="27  G-J1-L (μg/L)"/>
    <x:tableColumn id="107" name="27  J-Y1-H (μg/L)"/>
    <x:tableColumn id="108" name="27  J-Y1-L (μg/L)"/>
    <x:tableColumn id="109" name="27  S-L1-H (μg/L)"/>
    <x:tableColumn id="110" name="27  S-L1-L (μg/L)"/>
    <x:tableColumn id="111" name="27  S-Y2-H (μg/L)"/>
    <x:tableColumn id="112" name="27  S-Y2-L (μg/L)"/>
    <x:tableColumn id="113" name="27  S-Y3-H (μg/L)"/>
    <x:tableColumn id="114" name="27  S-Y3-L (μg/L)"/>
    <x:tableColumn id="115" name="27  S-Y4-H (μg/L)"/>
    <x:tableColumn id="116" name="27  S-Y4-L (μg/L)"/>
    <x:tableColumn id="117" name="27  S-Y5-H (μg/L)"/>
    <x:tableColumn id="118" name="27  S-Y5-L (μg/L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70c8bc49f94b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5df150009848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02e7979ec146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815cfb5c7c4b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f460c883f74c9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4" hidden="0" customWidth="1"/>
    <x:col min="4" max="4" width="18" hidden="0" customWidth="1"/>
    <x:col min="5" max="5" width="80" hidden="0" customWidth="1"/>
  </x:cols>
  <x:sheetData>
    <x:row r="2">
      <x:c r="A2" s="1" t="str">
        <x:v>组合覆盖与浓度选点 / Algorithm design</x:v>
      </x:c>
    </x:row>
    <x:row r="3">
      <x:c r="A3" s="2" t="str">
        <x:v>Design draft dated 2026-10-27. No sensory responses have been measured or simulated.</x:v>
      </x:c>
    </x:row>
    <x:row r="5" ht="42" customHeight="1">
      <x:c r="A5" t="str">
        <x:v>每瓶体积 mL</x:v>
      </x:c>
      <x:c r="B5" s="12" t="n">
        <x:v>20</x:v>
      </x:c>
      <x:c r="D5" s="18" t="str">
        <x:v>范围</x:v>
      </x:c>
      <x:c r="E5" s="18" t="str">
        <x:v>41种候选不删减；11种基底沿用均值；30种物质参与变量选择。</x:v>
      </x:c>
    </x:row>
    <x:row r="6" ht="42" customHeight="1">
      <x:c r="A6" t="str">
        <x:v>乙醇 % v/v</x:v>
      </x:c>
      <x:c r="B6" s="12" t="n">
        <x:v>53</x:v>
      </x:c>
      <x:c r="D6" s="18" t="str">
        <x:v>组成选择</x:v>
      </x:c>
      <x:c r="E6" s="18" t="str">
        <x:v>从27405个四元子集中，按配对覆盖优先、出现次数平衡选224个拟合组成。</x:v>
      </x:c>
    </x:row>
    <x:row r="7" ht="42" customHeight="1">
      <x:c r="D7" s="18" t="str">
        <x:v>浓度选择</x:v>
      </x:c>
      <x:c r="E7" s="18" t="str">
        <x:v>在所选组成内按基础模型的I准则搜索浓度档位，4次初始化加单行交换。</x:v>
      </x:c>
    </x:row>
    <x:row r="8" ht="26" customHeight="1">
      <x:c r="A8" s="15" t="str">
        <x:v>总配制次数</x:v>
      </x:c>
      <x:c r="B8" s="15" t="n">
        <x:f>COUNTA('350配方'!A6:A355)</x:f>
        <x:v>350</x:v>
      </x:c>
      <x:c r="D8" s="18" t="str">
        <x:v>拟合构成</x:v>
      </x:c>
      <x:c r="E8" s="18" t="str">
        <x:v>85个单体浓度锚点、1个基底对照、224个四元配方，共310个。</x:v>
      </x:c>
    </x:row>
    <x:row r="9" ht="26" customHeight="1">
      <x:c r="A9" s="15" t="str">
        <x:v>拟合配方</x:v>
      </x:c>
      <x:c r="B9" s="15" t="n">
        <x:f>COUNTIFS('350配方'!B6:B355,"拟合")</x:f>
        <x:v>310</x:v>
      </x:c>
      <x:c r="D9" s="18" t="str">
        <x:v>重复与验证</x:v>
      </x:c>
      <x:c r="E9" s="18" t="str">
        <x:v>20次独立配制重复；20个未参与选点的留出验证组成。</x:v>
      </x:c>
    </x:row>
    <x:row r="10" ht="26" customHeight="1">
      <x:c r="A10" s="15" t="str">
        <x:v>独立配制重复</x:v>
      </x:c>
      <x:c r="B10" s="15" t="n">
        <x:f>COUNTIFS('350配方'!B6:B355,"独立配制重复")</x:f>
        <x:v>20</x:v>
      </x:c>
      <x:c r="D10" s="18" t="str">
        <x:v>研究方式</x:v>
      </x:c>
      <x:c r="E10" s="18" t="str">
        <x:v>跨组合的全局筛选设计；每个四元组成不单独拟合一套BBD曲面。</x:v>
      </x:c>
    </x:row>
    <x:row r="11" ht="26" customHeight="1">
      <x:c r="A11" s="15" t="str">
        <x:v>留出验证</x:v>
      </x:c>
      <x:c r="B11" s="15" t="n">
        <x:f>COUNTIFS('350配方'!B6:B355,"留出验证")</x:f>
        <x:v>20</x:v>
      </x:c>
      <x:c r="D11" s="18" t="str">
        <x:v>模型范围</x:v>
      </x:c>
      <x:c r="E11" s="18" t="str">
        <x:v>86列基础模型包含存在效应、条件对数浓度与单体曲率，不含全部配对交互。</x:v>
      </x:c>
    </x:row>
    <x:row r="12" ht="26" customHeight="1">
      <x:c r="A12" s="15" t="str">
        <x:v>可变化合物</x:v>
      </x:c>
      <x:c r="B12" s="15" t="n">
        <x:v>30</x:v>
      </x:c>
      <x:c r="D12" s="18" t="str">
        <x:v>交互限制</x:v>
      </x:c>
      <x:c r="E12" s="18" t="str">
        <x:v>加入435个存在交互后为521列、秩310；不能独立估计所有交互项。</x:v>
      </x:c>
    </x:row>
    <x:row r="13" ht="26" customHeight="1">
      <x:c r="A13" s="15" t="str">
        <x:v>共同基底</x:v>
      </x:c>
      <x:c r="B13" s="15" t="n">
        <x:v>11</x:v>
      </x:c>
      <x:c r="D13" s="18" t="str">
        <x:v>覆盖定义</x:v>
      </x:c>
      <x:c r="E13" s="18" t="str">
        <x:v>100%是435个配对都出现；1341/3490个正浓度档位格被实测安排。</x:v>
      </x:c>
    </x:row>
    <x:row r="14" ht="26" customHeight="1">
      <x:c r="A14" s="15" t="str">
        <x:v>配对总数</x:v>
      </x:c>
      <x:c r="B14" s="15" t="n">
        <x:v>435</x:v>
      </x:c>
      <x:c r="D14" s="18" t="str">
        <x:v>统计指标</x:v>
      </x:c>
      <x:c r="E14" s="18" t="str">
        <x:v>I为给定模型下的预测方差系数；不是实测感官预测误差。</x:v>
      </x:c>
    </x:row>
    <x:row r="15" ht="26" customHeight="1">
      <x:c r="A15" s="15" t="str">
        <x:v>拟合已覆盖配对</x:v>
      </x:c>
      <x:c r="B15" s="15" t="n">
        <x:f>COUNTIFS('配对统计'!F6:F440,"&gt;0")</x:f>
        <x:v>435</x:v>
      </x:c>
      <x:c r="D15" s="18" t="str">
        <x:v>重新运行</x:v>
      </x:c>
      <x:c r="E15" s="18" t="str">
        <x:v>浓度或候选范围变化后，应重跑算法；矩阵秩、I及档位格为本版快照。</x:v>
      </x:c>
    </x:row>
    <x:row r="16" ht="26" customHeight="1">
      <x:c r="A16" s="15" t="str">
        <x:v>配对出现覆盖率</x:v>
      </x:c>
      <x:c r="B16" s="16" t="n">
        <x:f>B15/B14</x:f>
        <x:v>1</x:v>
      </x:c>
    </x:row>
    <x:row r="17" ht="26" customHeight="1">
      <x:c r="A17" s="15" t="str">
        <x:v>每对最少出现</x:v>
      </x:c>
      <x:c r="B17" s="15" t="n">
        <x:f>MIN('配对统计'!F6:F440)</x:f>
        <x:v>2</x:v>
      </x:c>
    </x:row>
    <x:row r="18" ht="26" customHeight="1">
      <x:c r="A18" s="15" t="str">
        <x:v>每对最多出现</x:v>
      </x:c>
      <x:c r="B18" s="15" t="n">
        <x:f>MAX('配对统计'!F6:F440)</x:f>
        <x:v>4</x:v>
      </x:c>
    </x:row>
    <x:row r="19" ht="26" customHeight="1">
      <x:c r="A19" s="15" t="str">
        <x:v>已覆盖浓度档位格</x:v>
      </x:c>
      <x:c r="B19" s="15" t="n">
        <x:f>SUM('配对统计'!J6:J440)</x:f>
        <x:v>1341</x:v>
      </x:c>
    </x:row>
    <x:row r="20" ht="26" customHeight="1">
      <x:c r="A20" s="15" t="str">
        <x:v>全部浓度档位格</x:v>
      </x:c>
      <x:c r="B20" s="15" t="n">
        <x:f>SUM('配对统计'!K6:K440)</x:f>
        <x:v>3490</x:v>
      </x:c>
    </x:row>
    <x:row r="21" ht="26" customHeight="1">
      <x:c r="A21" s="15" t="str">
        <x:v>浓度档位格覆盖率</x:v>
      </x:c>
      <x:c r="B21" s="16" t="n">
        <x:f>B19/B20</x:f>
        <x:v>0.3842406876790831</x:v>
      </x:c>
    </x:row>
    <x:row r="22" ht="26" customHeight="1">
      <x:c r="A22" s="15" t="str">
        <x:v>基础模型列数</x:v>
      </x:c>
      <x:c r="B22" s="15" t="n">
        <x:v>86</x:v>
      </x:c>
    </x:row>
    <x:row r="23" ht="26" customHeight="1">
      <x:c r="A23" s="15" t="str">
        <x:v>基础模型矩阵秩</x:v>
      </x:c>
      <x:c r="B23" s="15" t="n">
        <x:v>86</x:v>
      </x:c>
    </x:row>
    <x:row r="24" ht="26" customHeight="1">
      <x:c r="A24" s="15" t="str">
        <x:v>基础矩阵条件数</x:v>
      </x:c>
      <x:c r="B24" s="17" t="n">
        <x:v>12.758861927550205</x:v>
      </x:c>
    </x:row>
    <x:row r="25" ht="26" customHeight="1">
      <x:c r="A25" s="15" t="str">
        <x:v>I指标（基础模型）</x:v>
      </x:c>
      <x:c r="B25" s="17" t="n">
        <x:v>0.3980931249931825</x:v>
      </x:c>
    </x:row>
    <x:row r="26" ht="26" customHeight="1">
      <x:c r="A26" s="15" t="str">
        <x:v>随机档位I均值</x:v>
      </x:c>
      <x:c r="B26" s="17" t="n">
        <x:v>0.4741978933493474</x:v>
      </x:c>
    </x:row>
    <x:row r="27" ht="26" customHeight="1">
      <x:c r="A27" s="15" t="str">
        <x:v>模型I指标降低</x:v>
      </x:c>
      <x:c r="B27" s="16" t="n">
        <x:f>1-B25/B26</x:f>
        <x:v>0.16049157835481487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</x:cols>
  <x:sheetData>
    <x:row r="2">
      <x:c r="A2" s="1" t="str">
        <x:v>350次配制 / Preparation list</x:v>
      </x:c>
    </x:row>
    <x:row r="3">
      <x:c r="A3" s="2" t="str">
        <x:v>All samples contain the same 11-component background. T=train; R=independent preparation repeat; V=held-out validation.</x:v>
      </x:c>
    </x:row>
    <x:row r="5" ht="44" customHeight="1">
      <x:c r="A5" s="8" t="str">
        <x:v>样本编号</x:v>
      </x:c>
      <x:c r="B5" s="8" t="str">
        <x:v>用途 Purpose</x:v>
      </x:c>
      <x:c r="C5" s="8" t="str">
        <x:v>组成组</x:v>
      </x:c>
      <x:c r="D5" s="8" t="str">
        <x:v>重复来源</x:v>
      </x:c>
      <x:c r="E5" s="8" t="str">
        <x:v>物质1</x:v>
      </x:c>
      <x:c r="F5" s="8" t="str">
        <x:v>物质2</x:v>
      </x:c>
      <x:c r="G5" s="8" t="str">
        <x:v>物质3</x:v>
      </x:c>
      <x:c r="H5" s="8" t="str">
        <x:v>物质4</x:v>
      </x:c>
      <x:c r="I5" s="8" t="str">
        <x:v>档1</x:v>
      </x:c>
      <x:c r="J5" s="8" t="str">
        <x:v>档2</x:v>
      </x:c>
      <x:c r="K5" s="8" t="str">
        <x:v>档3</x:v>
      </x:c>
      <x:c r="L5" s="8" t="str">
        <x:v>档4</x:v>
      </x:c>
      <x:c r="M5" s="8" t="str">
        <x:v>浓度1 ug/L</x:v>
      </x:c>
      <x:c r="N5" s="8" t="str">
        <x:v>浓度2 ug/L</x:v>
      </x:c>
      <x:c r="O5" s="8" t="str">
        <x:v>浓度3 ug/L</x:v>
      </x:c>
      <x:c r="P5" s="8" t="str">
        <x:v>浓度4 ug/L</x:v>
      </x:c>
      <x:c r="Q5" s="8" t="str">
        <x:v>OAV1</x:v>
      </x:c>
      <x:c r="R5" s="8" t="str">
        <x:v>OAV2</x:v>
      </x:c>
      <x:c r="S5" s="8" t="str">
        <x:v>OAV3</x:v>
      </x:c>
      <x:c r="T5" s="8" t="str">
        <x:v>OAV4</x:v>
      </x:c>
      <x:c r="U5" s="8" t="str">
        <x:v>量1 ug/瓶</x:v>
      </x:c>
      <x:c r="V5" s="8" t="str">
        <x:v>量2 ug/瓶</x:v>
      </x:c>
      <x:c r="W5" s="8" t="str">
        <x:v>量3 ug/瓶</x:v>
      </x:c>
      <x:c r="X5" s="8" t="str">
        <x:v>量4 ug/瓶</x:v>
      </x:c>
      <x:c r="Y5" s="8" t="str">
        <x:v>ID1</x:v>
      </x:c>
      <x:c r="Z5" s="8" t="str">
        <x:v>ID2</x:v>
      </x:c>
      <x:c r="AA5" s="8" t="str">
        <x:v>ID3</x:v>
      </x:c>
      <x:c r="AB5" s="8" t="str">
        <x:v>ID4</x:v>
      </x:c>
      <x:c r="AC5" s="8" t="str">
        <x:v>可变物质数</x:v>
      </x:c>
      <x:c r="AD5" s="8" t="str">
        <x:v>体积 mL</x:v>
      </x:c>
    </x:row>
    <x:row r="6" ht="24" customHeight="1">
      <x:c r="A6" s="3" t="str">
        <x:v>T001</x:v>
      </x:c>
      <x:c r="B6" s="3" t="str">
        <x:v>拟合</x:v>
      </x:c>
      <x:c r="C6" s="3" t="str">
        <x:v>BASE</x:v>
      </x:c>
      <x:c r="D6" s="3" t="str"/>
      <x:c r="E6" s="3" t="str"/>
      <x:c r="F6" s="3" t="str"/>
      <x:c r="G6" s="3" t="str"/>
      <x:c r="H6" s="3" t="str"/>
      <x:c r="I6" s="3" t="str"/>
      <x:c r="J6" s="3" t="str"/>
      <x:c r="K6" s="3" t="str"/>
      <x:c r="L6" s="3" t="str"/>
      <x:c r="M6" s="9" t="str">
        <x:f>IF(Y6="","",INDEX('浓度设置'!$P$6:$R$46,MATCH(Y6,'浓度设置'!$A$6:$A$46,0),IF(I6="L",1,IF(I6="M",2,3))))</x:f>
      </x:c>
      <x:c r="N6" s="9" t="str">
        <x:f>IF(Z6="","",INDEX('浓度设置'!$P$6:$R$46,MATCH(Z6,'浓度设置'!$A$6:$A$46,0),IF(J6="L",1,IF(J6="M",2,3))))</x:f>
      </x:c>
      <x:c r="O6" s="9" t="str">
        <x:f>IF(AA6="","",INDEX('浓度设置'!$P$6:$R$46,MATCH(AA6,'浓度设置'!$A$6:$A$46,0),IF(K6="L",1,IF(K6="M",2,3))))</x:f>
      </x:c>
      <x:c r="P6" s="9" t="str">
        <x:f>IF(AB6="","",INDEX('浓度设置'!$P$6:$R$46,MATCH(AB6,'浓度设置'!$A$6:$A$46,0),IF(L6="L",1,IF(L6="M",2,3))))</x:f>
      </x:c>
      <x:c r="Q6" s="9" t="str">
        <x:f>IF(Y6="","",M6/INDEX('浓度设置'!$M$6:$M$46,MATCH(Y6,'浓度设置'!$A$6:$A$46,0)))</x:f>
      </x:c>
      <x:c r="R6" s="9" t="str">
        <x:f>IF(Z6="","",N6/INDEX('浓度设置'!$M$6:$M$46,MATCH(Z6,'浓度设置'!$A$6:$A$46,0)))</x:f>
      </x:c>
      <x:c r="S6" s="9" t="str">
        <x:f>IF(AA6="","",O6/INDEX('浓度设置'!$M$6:$M$46,MATCH(AA6,'浓度设置'!$A$6:$A$46,0)))</x:f>
      </x:c>
      <x:c r="T6" s="9" t="str">
        <x:f>IF(AB6="","",P6/INDEX('浓度设置'!$M$6:$M$46,MATCH(AB6,'浓度设置'!$A$6:$A$46,0)))</x:f>
      </x:c>
      <x:c r="U6" s="9" t="str">
        <x:f>IF(Y6="","",M6*$AD6/1000)</x:f>
      </x:c>
      <x:c r="V6" s="9" t="str">
        <x:f>IF(Z6="","",N6*$AD6/1000)</x:f>
      </x:c>
      <x:c r="W6" s="9" t="str">
        <x:f>IF(AA6="","",O6*$AD6/1000)</x:f>
      </x:c>
      <x:c r="X6" s="9" t="str">
        <x:f>IF(AB6="","",P6*$AD6/1000)</x:f>
      </x:c>
      <x:c r="Y6" s="3" t="str"/>
      <x:c r="Z6" s="3" t="str"/>
      <x:c r="AA6" s="3" t="str"/>
      <x:c r="AB6" s="3" t="str"/>
      <x:c r="AC6" s="3" t="n">
        <x:v>0</x:v>
      </x:c>
      <x:c r="AD6" s="3" t="n">
        <x:f>'方案总览'!$B$5</x:f>
        <x:v>20</x:v>
      </x:c>
    </x:row>
    <x:row r="7" ht="24" customHeight="1">
      <x:c r="A7" s="3" t="str">
        <x:v>T002</x:v>
      </x:c>
      <x:c r="B7" s="3" t="str">
        <x:v>拟合</x:v>
      </x:c>
      <x:c r="C7" s="3" t="str">
        <x:v>S-7</x:v>
      </x:c>
      <x:c r="D7" s="3" t="str"/>
      <x:c r="E7" s="3" t="str">
        <x:v>己醛</x:v>
      </x:c>
      <x:c r="F7" s="3" t="str"/>
      <x:c r="G7" s="3" t="str"/>
      <x:c r="H7" s="3" t="str"/>
      <x:c r="I7" s="3" t="str">
        <x:v>L</x:v>
      </x:c>
      <x:c r="J7" s="3" t="str"/>
      <x:c r="K7" s="3" t="str"/>
      <x:c r="L7" s="3" t="str"/>
      <x:c r="M7" s="9" t="n">
        <x:f>IF(Y7="","",INDEX('浓度设置'!$P$6:$R$46,MATCH(Y7,'浓度设置'!$A$6:$A$46,0),IF(I7="L",1,IF(I7="M",2,3))))</x:f>
        <x:v>173</x:v>
      </x:c>
      <x:c r="N7" s="9" t="str">
        <x:f>IF(Z7="","",INDEX('浓度设置'!$P$6:$R$46,MATCH(Z7,'浓度设置'!$A$6:$A$46,0),IF(J7="L",1,IF(J7="M",2,3))))</x:f>
      </x:c>
      <x:c r="O7" s="9" t="str">
        <x:f>IF(AA7="","",INDEX('浓度设置'!$P$6:$R$46,MATCH(AA7,'浓度设置'!$A$6:$A$46,0),IF(K7="L",1,IF(K7="M",2,3))))</x:f>
      </x:c>
      <x:c r="P7" s="9" t="str">
        <x:f>IF(AB7="","",INDEX('浓度设置'!$P$6:$R$46,MATCH(AB7,'浓度设置'!$A$6:$A$46,0),IF(L7="L",1,IF(L7="M",2,3))))</x:f>
      </x:c>
      <x:c r="Q7" s="9" t="n">
        <x:f>IF(Y7="","",M7/INDEX('浓度设置'!$M$6:$M$46,MATCH(Y7,'浓度设置'!$A$6:$A$46,0)))</x:f>
        <x:v>6.784313725490196</x:v>
      </x:c>
      <x:c r="R7" s="9" t="str">
        <x:f>IF(Z7="","",N7/INDEX('浓度设置'!$M$6:$M$46,MATCH(Z7,'浓度设置'!$A$6:$A$46,0)))</x:f>
      </x:c>
      <x:c r="S7" s="9" t="str">
        <x:f>IF(AA7="","",O7/INDEX('浓度设置'!$M$6:$M$46,MATCH(AA7,'浓度设置'!$A$6:$A$46,0)))</x:f>
      </x:c>
      <x:c r="T7" s="9" t="str">
        <x:f>IF(AB7="","",P7/INDEX('浓度设置'!$M$6:$M$46,MATCH(AB7,'浓度设置'!$A$6:$A$46,0)))</x:f>
      </x:c>
      <x:c r="U7" s="9" t="n">
        <x:f>IF(Y7="","",M7*$AD7/1000)</x:f>
        <x:v>3.46</x:v>
      </x:c>
      <x:c r="V7" s="9" t="str">
        <x:f>IF(Z7="","",N7*$AD7/1000)</x:f>
      </x:c>
      <x:c r="W7" s="9" t="str">
        <x:f>IF(AA7="","",O7*$AD7/1000)</x:f>
      </x:c>
      <x:c r="X7" s="9" t="str">
        <x:f>IF(AB7="","",P7*$AD7/1000)</x:f>
      </x:c>
      <x:c r="Y7" s="3" t="n">
        <x:v>7</x:v>
      </x:c>
      <x:c r="Z7" s="3" t="str"/>
      <x:c r="AA7" s="3" t="str"/>
      <x:c r="AB7" s="3" t="str"/>
      <x:c r="AC7" s="3" t="n">
        <x:v>1</x:v>
      </x:c>
      <x:c r="AD7" s="3" t="n">
        <x:f>'方案总览'!$B$5</x:f>
        <x:v>20</x:v>
      </x:c>
    </x:row>
    <x:row r="8" ht="24" customHeight="1">
      <x:c r="A8" s="3" t="str">
        <x:v>T003</x:v>
      </x:c>
      <x:c r="B8" s="3" t="str">
        <x:v>拟合</x:v>
      </x:c>
      <x:c r="C8" s="3" t="str">
        <x:v>S-7</x:v>
      </x:c>
      <x:c r="D8" s="3" t="str"/>
      <x:c r="E8" s="3" t="str">
        <x:v>己醛</x:v>
      </x:c>
      <x:c r="F8" s="3" t="str"/>
      <x:c r="G8" s="3" t="str"/>
      <x:c r="H8" s="3" t="str"/>
      <x:c r="I8" s="3" t="str">
        <x:v>M</x:v>
      </x:c>
      <x:c r="J8" s="3" t="str"/>
      <x:c r="K8" s="3" t="str"/>
      <x:c r="L8" s="3" t="str"/>
      <x:c r="M8" s="9" t="n">
        <x:f>IF(Y8="","",INDEX('浓度设置'!$P$6:$R$46,MATCH(Y8,'浓度设置'!$A$6:$A$46,0),IF(I8="L",1,IF(I8="M",2,3))))</x:f>
        <x:v>729.4776350238574</x:v>
      </x:c>
      <x:c r="N8" s="9" t="str">
        <x:f>IF(Z8="","",INDEX('浓度设置'!$P$6:$R$46,MATCH(Z8,'浓度设置'!$A$6:$A$46,0),IF(J8="L",1,IF(J8="M",2,3))))</x:f>
      </x:c>
      <x:c r="O8" s="9" t="str">
        <x:f>IF(AA8="","",INDEX('浓度设置'!$P$6:$R$46,MATCH(AA8,'浓度设置'!$A$6:$A$46,0),IF(K8="L",1,IF(K8="M",2,3))))</x:f>
      </x:c>
      <x:c r="P8" s="9" t="str">
        <x:f>IF(AB8="","",INDEX('浓度设置'!$P$6:$R$46,MATCH(AB8,'浓度设置'!$A$6:$A$46,0),IF(L8="L",1,IF(L8="M",2,3))))</x:f>
      </x:c>
      <x:c r="Q8" s="9" t="n">
        <x:f>IF(Y8="","",M8/INDEX('浓度设置'!$M$6:$M$46,MATCH(Y8,'浓度设置'!$A$6:$A$46,0)))</x:f>
        <x:v>28.606966079366956</x:v>
      </x:c>
      <x:c r="R8" s="9" t="str">
        <x:f>IF(Z8="","",N8/INDEX('浓度设置'!$M$6:$M$46,MATCH(Z8,'浓度设置'!$A$6:$A$46,0)))</x:f>
      </x:c>
      <x:c r="S8" s="9" t="str">
        <x:f>IF(AA8="","",O8/INDEX('浓度设置'!$M$6:$M$46,MATCH(AA8,'浓度设置'!$A$6:$A$46,0)))</x:f>
      </x:c>
      <x:c r="T8" s="9" t="str">
        <x:f>IF(AB8="","",P8/INDEX('浓度设置'!$M$6:$M$46,MATCH(AB8,'浓度设置'!$A$6:$A$46,0)))</x:f>
      </x:c>
      <x:c r="U8" s="9" t="n">
        <x:f>IF(Y8="","",M8*$AD8/1000)</x:f>
        <x:v>14.589552700477146</x:v>
      </x:c>
      <x:c r="V8" s="9" t="str">
        <x:f>IF(Z8="","",N8*$AD8/1000)</x:f>
      </x:c>
      <x:c r="W8" s="9" t="str">
        <x:f>IF(AA8="","",O8*$AD8/1000)</x:f>
      </x:c>
      <x:c r="X8" s="9" t="str">
        <x:f>IF(AB8="","",P8*$AD8/1000)</x:f>
      </x:c>
      <x:c r="Y8" s="3" t="n">
        <x:v>7</x:v>
      </x:c>
      <x:c r="Z8" s="3" t="str"/>
      <x:c r="AA8" s="3" t="str"/>
      <x:c r="AB8" s="3" t="str"/>
      <x:c r="AC8" s="3" t="n">
        <x:v>1</x:v>
      </x:c>
      <x:c r="AD8" s="3" t="n">
        <x:f>'方案总览'!$B$5</x:f>
        <x:v>20</x:v>
      </x:c>
    </x:row>
    <x:row r="9" ht="24" customHeight="1">
      <x:c r="A9" s="3" t="str">
        <x:v>T004</x:v>
      </x:c>
      <x:c r="B9" s="3" t="str">
        <x:v>拟合</x:v>
      </x:c>
      <x:c r="C9" s="3" t="str">
        <x:v>S-7</x:v>
      </x:c>
      <x:c r="D9" s="3" t="str"/>
      <x:c r="E9" s="3" t="str">
        <x:v>己醛</x:v>
      </x:c>
      <x:c r="F9" s="3" t="str"/>
      <x:c r="G9" s="3" t="str"/>
      <x:c r="H9" s="3" t="str"/>
      <x:c r="I9" s="3" t="str">
        <x:v>H</x:v>
      </x:c>
      <x:c r="J9" s="3" t="str"/>
      <x:c r="K9" s="3" t="str"/>
      <x:c r="L9" s="3" t="str"/>
      <x:c r="M9" s="9" t="n">
        <x:f>IF(Y9="","",INDEX('浓度设置'!$P$6:$R$46,MATCH(Y9,'浓度设置'!$A$6:$A$46,0),IF(I9="L",1,IF(I9="M",2,3))))</x:f>
        <x:v>3075.94</x:v>
      </x:c>
      <x:c r="N9" s="9" t="str">
        <x:f>IF(Z9="","",INDEX('浓度设置'!$P$6:$R$46,MATCH(Z9,'浓度设置'!$A$6:$A$46,0),IF(J9="L",1,IF(J9="M",2,3))))</x:f>
      </x:c>
      <x:c r="O9" s="9" t="str">
        <x:f>IF(AA9="","",INDEX('浓度设置'!$P$6:$R$46,MATCH(AA9,'浓度设置'!$A$6:$A$46,0),IF(K9="L",1,IF(K9="M",2,3))))</x:f>
      </x:c>
      <x:c r="P9" s="9" t="str">
        <x:f>IF(AB9="","",INDEX('浓度设置'!$P$6:$R$46,MATCH(AB9,'浓度设置'!$A$6:$A$46,0),IF(L9="L",1,IF(L9="M",2,3))))</x:f>
      </x:c>
      <x:c r="Q9" s="9" t="n">
        <x:f>IF(Y9="","",M9/INDEX('浓度设置'!$M$6:$M$46,MATCH(Y9,'浓度设置'!$A$6:$A$46,0)))</x:f>
        <x:v>120.62509803921569</x:v>
      </x:c>
      <x:c r="R9" s="9" t="str">
        <x:f>IF(Z9="","",N9/INDEX('浓度设置'!$M$6:$M$46,MATCH(Z9,'浓度设置'!$A$6:$A$46,0)))</x:f>
      </x:c>
      <x:c r="S9" s="9" t="str">
        <x:f>IF(AA9="","",O9/INDEX('浓度设置'!$M$6:$M$46,MATCH(AA9,'浓度设置'!$A$6:$A$46,0)))</x:f>
      </x:c>
      <x:c r="T9" s="9" t="str">
        <x:f>IF(AB9="","",P9/INDEX('浓度设置'!$M$6:$M$46,MATCH(AB9,'浓度设置'!$A$6:$A$46,0)))</x:f>
      </x:c>
      <x:c r="U9" s="9" t="n">
        <x:f>IF(Y9="","",M9*$AD9/1000)</x:f>
        <x:v>61.518800000000006</x:v>
      </x:c>
      <x:c r="V9" s="9" t="str">
        <x:f>IF(Z9="","",N9*$AD9/1000)</x:f>
      </x:c>
      <x:c r="W9" s="9" t="str">
        <x:f>IF(AA9="","",O9*$AD9/1000)</x:f>
      </x:c>
      <x:c r="X9" s="9" t="str">
        <x:f>IF(AB9="","",P9*$AD9/1000)</x:f>
      </x:c>
      <x:c r="Y9" s="3" t="n">
        <x:v>7</x:v>
      </x:c>
      <x:c r="Z9" s="3" t="str"/>
      <x:c r="AA9" s="3" t="str"/>
      <x:c r="AB9" s="3" t="str"/>
      <x:c r="AC9" s="3" t="n">
        <x:v>1</x:v>
      </x:c>
      <x:c r="AD9" s="3" t="n">
        <x:f>'方案总览'!$B$5</x:f>
        <x:v>20</x:v>
      </x:c>
    </x:row>
    <x:row r="10" ht="24" customHeight="1">
      <x:c r="A10" s="3" t="str">
        <x:v>T005</x:v>
      </x:c>
      <x:c r="B10" s="3" t="str">
        <x:v>拟合</x:v>
      </x:c>
      <x:c r="C10" s="3" t="str">
        <x:v>S-11</x:v>
      </x:c>
      <x:c r="D10" s="3" t="str"/>
      <x:c r="E10" s="3" t="str">
        <x:v>1-丁醇</x:v>
      </x:c>
      <x:c r="F10" s="3" t="str"/>
      <x:c r="G10" s="3" t="str"/>
      <x:c r="H10" s="3" t="str"/>
      <x:c r="I10" s="3" t="str">
        <x:v>L</x:v>
      </x:c>
      <x:c r="J10" s="3" t="str"/>
      <x:c r="K10" s="3" t="str"/>
      <x:c r="L10" s="3" t="str"/>
      <x:c r="M10" s="9" t="n">
        <x:f>IF(Y10="","",INDEX('浓度设置'!$P$6:$R$46,MATCH(Y10,'浓度设置'!$A$6:$A$46,0),IF(I10="L",1,IF(I10="M",2,3))))</x:f>
        <x:v>16.97</x:v>
      </x:c>
      <x:c r="N10" s="9" t="str">
        <x:f>IF(Z10="","",INDEX('浓度设置'!$P$6:$R$46,MATCH(Z10,'浓度设置'!$A$6:$A$46,0),IF(J10="L",1,IF(J10="M",2,3))))</x:f>
      </x:c>
      <x:c r="O10" s="9" t="str">
        <x:f>IF(AA10="","",INDEX('浓度设置'!$P$6:$R$46,MATCH(AA10,'浓度设置'!$A$6:$A$46,0),IF(K10="L",1,IF(K10="M",2,3))))</x:f>
      </x:c>
      <x:c r="P10" s="9" t="str">
        <x:f>IF(AB10="","",INDEX('浓度设置'!$P$6:$R$46,MATCH(AB10,'浓度设置'!$A$6:$A$46,0),IF(L10="L",1,IF(L10="M",2,3))))</x:f>
      </x:c>
      <x:c r="Q10" s="9" t="n">
        <x:f>IF(Y10="","",M10/INDEX('浓度设置'!$M$6:$M$46,MATCH(Y10,'浓度设置'!$A$6:$A$46,0)))</x:f>
        <x:v>0.006209293816319063</x:v>
      </x:c>
      <x:c r="R10" s="9" t="str">
        <x:f>IF(Z10="","",N10/INDEX('浓度设置'!$M$6:$M$46,MATCH(Z10,'浓度设置'!$A$6:$A$46,0)))</x:f>
      </x:c>
      <x:c r="S10" s="9" t="str">
        <x:f>IF(AA10="","",O10/INDEX('浓度设置'!$M$6:$M$46,MATCH(AA10,'浓度设置'!$A$6:$A$46,0)))</x:f>
      </x:c>
      <x:c r="T10" s="9" t="str">
        <x:f>IF(AB10="","",P10/INDEX('浓度设置'!$M$6:$M$46,MATCH(AB10,'浓度设置'!$A$6:$A$46,0)))</x:f>
      </x:c>
      <x:c r="U10" s="9" t="n">
        <x:f>IF(Y10="","",M10*$AD10/1000)</x:f>
        <x:v>0.3394</x:v>
      </x:c>
      <x:c r="V10" s="9" t="str">
        <x:f>IF(Z10="","",N10*$AD10/1000)</x:f>
      </x:c>
      <x:c r="W10" s="9" t="str">
        <x:f>IF(AA10="","",O10*$AD10/1000)</x:f>
      </x:c>
      <x:c r="X10" s="9" t="str">
        <x:f>IF(AB10="","",P10*$AD10/1000)</x:f>
      </x:c>
      <x:c r="Y10" s="3" t="n">
        <x:v>11</x:v>
      </x:c>
      <x:c r="Z10" s="3" t="str"/>
      <x:c r="AA10" s="3" t="str"/>
      <x:c r="AB10" s="3" t="str"/>
      <x:c r="AC10" s="3" t="n">
        <x:v>1</x:v>
      </x:c>
      <x:c r="AD10" s="3" t="n">
        <x:f>'方案总览'!$B$5</x:f>
        <x:v>20</x:v>
      </x:c>
    </x:row>
    <x:row r="11" ht="24" customHeight="1">
      <x:c r="A11" s="3" t="str">
        <x:v>T006</x:v>
      </x:c>
      <x:c r="B11" s="3" t="str">
        <x:v>拟合</x:v>
      </x:c>
      <x:c r="C11" s="3" t="str">
        <x:v>S-11</x:v>
      </x:c>
      <x:c r="D11" s="3" t="str"/>
      <x:c r="E11" s="3" t="str">
        <x:v>1-丁醇</x:v>
      </x:c>
      <x:c r="F11" s="3" t="str"/>
      <x:c r="G11" s="3" t="str"/>
      <x:c r="H11" s="3" t="str"/>
      <x:c r="I11" s="3" t="str">
        <x:v>M</x:v>
      </x:c>
      <x:c r="J11" s="3" t="str"/>
      <x:c r="K11" s="3" t="str"/>
      <x:c r="L11" s="3" t="str"/>
      <x:c r="M11" s="9" t="n">
        <x:f>IF(Y11="","",INDEX('浓度设置'!$P$6:$R$46,MATCH(Y11,'浓度设置'!$A$6:$A$46,0),IF(I11="L",1,IF(I11="M",2,3))))</x:f>
        <x:v>4198.825192836682</x:v>
      </x:c>
      <x:c r="N11" s="9" t="str">
        <x:f>IF(Z11="","",INDEX('浓度设置'!$P$6:$R$46,MATCH(Z11,'浓度设置'!$A$6:$A$46,0),IF(J11="L",1,IF(J11="M",2,3))))</x:f>
      </x:c>
      <x:c r="O11" s="9" t="str">
        <x:f>IF(AA11="","",INDEX('浓度设置'!$P$6:$R$46,MATCH(AA11,'浓度设置'!$A$6:$A$46,0),IF(K11="L",1,IF(K11="M",2,3))))</x:f>
      </x:c>
      <x:c r="P11" s="9" t="str">
        <x:f>IF(AB11="","",INDEX('浓度设置'!$P$6:$R$46,MATCH(AB11,'浓度设置'!$A$6:$A$46,0),IF(L11="L",1,IF(L11="M",2,3))))</x:f>
      </x:c>
      <x:c r="Q11" s="9" t="n">
        <x:f>IF(Y11="","",M11/INDEX('浓度设置'!$M$6:$M$46,MATCH(Y11,'浓度设置'!$A$6:$A$46,0)))</x:f>
        <x:v>1.5363429172472307</x:v>
      </x:c>
      <x:c r="R11" s="9" t="str">
        <x:f>IF(Z11="","",N11/INDEX('浓度设置'!$M$6:$M$46,MATCH(Z11,'浓度设置'!$A$6:$A$46,0)))</x:f>
      </x:c>
      <x:c r="S11" s="9" t="str">
        <x:f>IF(AA11="","",O11/INDEX('浓度设置'!$M$6:$M$46,MATCH(AA11,'浓度设置'!$A$6:$A$46,0)))</x:f>
      </x:c>
      <x:c r="T11" s="9" t="str">
        <x:f>IF(AB11="","",P11/INDEX('浓度设置'!$M$6:$M$46,MATCH(AB11,'浓度设置'!$A$6:$A$46,0)))</x:f>
      </x:c>
      <x:c r="U11" s="9" t="n">
        <x:f>IF(Y11="","",M11*$AD11/1000)</x:f>
        <x:v>83.97650385673363</x:v>
      </x:c>
      <x:c r="V11" s="9" t="str">
        <x:f>IF(Z11="","",N11*$AD11/1000)</x:f>
      </x:c>
      <x:c r="W11" s="9" t="str">
        <x:f>IF(AA11="","",O11*$AD11/1000)</x:f>
      </x:c>
      <x:c r="X11" s="9" t="str">
        <x:f>IF(AB11="","",P11*$AD11/1000)</x:f>
      </x:c>
      <x:c r="Y11" s="3" t="n">
        <x:v>11</x:v>
      </x:c>
      <x:c r="Z11" s="3" t="str"/>
      <x:c r="AA11" s="3" t="str"/>
      <x:c r="AB11" s="3" t="str"/>
      <x:c r="AC11" s="3" t="n">
        <x:v>1</x:v>
      </x:c>
      <x:c r="AD11" s="3" t="n">
        <x:f>'方案总览'!$B$5</x:f>
        <x:v>20</x:v>
      </x:c>
    </x:row>
    <x:row r="12" ht="24" customHeight="1">
      <x:c r="A12" s="3" t="str">
        <x:v>T007</x:v>
      </x:c>
      <x:c r="B12" s="3" t="str">
        <x:v>拟合</x:v>
      </x:c>
      <x:c r="C12" s="3" t="str">
        <x:v>S-11</x:v>
      </x:c>
      <x:c r="D12" s="3" t="str"/>
      <x:c r="E12" s="3" t="str">
        <x:v>1-丁醇</x:v>
      </x:c>
      <x:c r="F12" s="3" t="str"/>
      <x:c r="G12" s="3" t="str"/>
      <x:c r="H12" s="3" t="str"/>
      <x:c r="I12" s="3" t="str">
        <x:v>H</x:v>
      </x:c>
      <x:c r="J12" s="3" t="str"/>
      <x:c r="K12" s="3" t="str"/>
      <x:c r="L12" s="3" t="str"/>
      <x:c r="M12" s="9" t="n">
        <x:f>IF(Y12="","",INDEX('浓度设置'!$P$6:$R$46,MATCH(Y12,'浓度设置'!$A$6:$A$46,0),IF(I12="L",1,IF(I12="M",2,3))))</x:f>
        <x:v>1038900</x:v>
      </x:c>
      <x:c r="N12" s="9" t="str">
        <x:f>IF(Z12="","",INDEX('浓度设置'!$P$6:$R$46,MATCH(Z12,'浓度设置'!$A$6:$A$46,0),IF(J12="L",1,IF(J12="M",2,3))))</x:f>
      </x:c>
      <x:c r="O12" s="9" t="str">
        <x:f>IF(AA12="","",INDEX('浓度设置'!$P$6:$R$46,MATCH(AA12,'浓度设置'!$A$6:$A$46,0),IF(K12="L",1,IF(K12="M",2,3))))</x:f>
      </x:c>
      <x:c r="P12" s="9" t="str">
        <x:f>IF(AB12="","",INDEX('浓度设置'!$P$6:$R$46,MATCH(AB12,'浓度设置'!$A$6:$A$46,0),IF(L12="L",1,IF(L12="M",2,3))))</x:f>
      </x:c>
      <x:c r="Q12" s="9" t="n">
        <x:f>IF(Y12="","",M12/INDEX('浓度设置'!$M$6:$M$46,MATCH(Y12,'浓度设置'!$A$6:$A$46,0)))</x:f>
        <x:v>380.1317233809001</x:v>
      </x:c>
      <x:c r="R12" s="9" t="str">
        <x:f>IF(Z12="","",N12/INDEX('浓度设置'!$M$6:$M$46,MATCH(Z12,'浓度设置'!$A$6:$A$46,0)))</x:f>
      </x:c>
      <x:c r="S12" s="9" t="str">
        <x:f>IF(AA12="","",O12/INDEX('浓度设置'!$M$6:$M$46,MATCH(AA12,'浓度设置'!$A$6:$A$46,0)))</x:f>
      </x:c>
      <x:c r="T12" s="9" t="str">
        <x:f>IF(AB12="","",P12/INDEX('浓度设置'!$M$6:$M$46,MATCH(AB12,'浓度设置'!$A$6:$A$46,0)))</x:f>
      </x:c>
      <x:c r="U12" s="9" t="n">
        <x:f>IF(Y12="","",M12*$AD12/1000)</x:f>
        <x:v>20778</x:v>
      </x:c>
      <x:c r="V12" s="9" t="str">
        <x:f>IF(Z12="","",N12*$AD12/1000)</x:f>
      </x:c>
      <x:c r="W12" s="9" t="str">
        <x:f>IF(AA12="","",O12*$AD12/1000)</x:f>
      </x:c>
      <x:c r="X12" s="9" t="str">
        <x:f>IF(AB12="","",P12*$AD12/1000)</x:f>
      </x:c>
      <x:c r="Y12" s="3" t="n">
        <x:v>11</x:v>
      </x:c>
      <x:c r="Z12" s="3" t="str"/>
      <x:c r="AA12" s="3" t="str"/>
      <x:c r="AB12" s="3" t="str"/>
      <x:c r="AC12" s="3" t="n">
        <x:v>1</x:v>
      </x:c>
      <x:c r="AD12" s="3" t="n">
        <x:f>'方案总览'!$B$5</x:f>
        <x:v>20</x:v>
      </x:c>
    </x:row>
    <x:row r="13" ht="24" customHeight="1">
      <x:c r="A13" s="3" t="str">
        <x:v>T008</x:v>
      </x:c>
      <x:c r="B13" s="3" t="str">
        <x:v>拟合</x:v>
      </x:c>
      <x:c r="C13" s="3" t="str">
        <x:v>S-18</x:v>
      </x:c>
      <x:c r="D13" s="3" t="str"/>
      <x:c r="E13" s="3" t="str">
        <x:v>2-甲基丙醛</x:v>
      </x:c>
      <x:c r="F13" s="3" t="str"/>
      <x:c r="G13" s="3" t="str"/>
      <x:c r="H13" s="3" t="str"/>
      <x:c r="I13" s="3" t="str">
        <x:v>L</x:v>
      </x:c>
      <x:c r="J13" s="3" t="str"/>
      <x:c r="K13" s="3" t="str"/>
      <x:c r="L13" s="3" t="str"/>
      <x:c r="M13" s="9" t="n">
        <x:f>IF(Y13="","",INDEX('浓度设置'!$P$6:$R$46,MATCH(Y13,'浓度设置'!$A$6:$A$46,0),IF(I13="L",1,IF(I13="M",2,3))))</x:f>
        <x:v>39</x:v>
      </x:c>
      <x:c r="N13" s="9" t="str">
        <x:f>IF(Z13="","",INDEX('浓度设置'!$P$6:$R$46,MATCH(Z13,'浓度设置'!$A$6:$A$46,0),IF(J13="L",1,IF(J13="M",2,3))))</x:f>
      </x:c>
      <x:c r="O13" s="9" t="str">
        <x:f>IF(AA13="","",INDEX('浓度设置'!$P$6:$R$46,MATCH(AA13,'浓度设置'!$A$6:$A$46,0),IF(K13="L",1,IF(K13="M",2,3))))</x:f>
      </x:c>
      <x:c r="P13" s="9" t="str">
        <x:f>IF(AB13="","",INDEX('浓度设置'!$P$6:$R$46,MATCH(AB13,'浓度设置'!$A$6:$A$46,0),IF(L13="L",1,IF(L13="M",2,3))))</x:f>
      </x:c>
      <x:c r="Q13" s="9" t="n">
        <x:f>IF(Y13="","",M13/INDEX('浓度设置'!$M$6:$M$46,MATCH(Y13,'浓度设置'!$A$6:$A$46,0)))</x:f>
        <x:v>6.610169491525423</x:v>
      </x:c>
      <x:c r="R13" s="9" t="str">
        <x:f>IF(Z13="","",N13/INDEX('浓度设置'!$M$6:$M$46,MATCH(Z13,'浓度设置'!$A$6:$A$46,0)))</x:f>
      </x:c>
      <x:c r="S13" s="9" t="str">
        <x:f>IF(AA13="","",O13/INDEX('浓度设置'!$M$6:$M$46,MATCH(AA13,'浓度设置'!$A$6:$A$46,0)))</x:f>
      </x:c>
      <x:c r="T13" s="9" t="str">
        <x:f>IF(AB13="","",P13/INDEX('浓度设置'!$M$6:$M$46,MATCH(AB13,'浓度设置'!$A$6:$A$46,0)))</x:f>
      </x:c>
      <x:c r="U13" s="9" t="n">
        <x:f>IF(Y13="","",M13*$AD13/1000)</x:f>
        <x:v>0.78</x:v>
      </x:c>
      <x:c r="V13" s="9" t="str">
        <x:f>IF(Z13="","",N13*$AD13/1000)</x:f>
      </x:c>
      <x:c r="W13" s="9" t="str">
        <x:f>IF(AA13="","",O13*$AD13/1000)</x:f>
      </x:c>
      <x:c r="X13" s="9" t="str">
        <x:f>IF(AB13="","",P13*$AD13/1000)</x:f>
      </x:c>
      <x:c r="Y13" s="3" t="n">
        <x:v>18</x:v>
      </x:c>
      <x:c r="Z13" s="3" t="str"/>
      <x:c r="AA13" s="3" t="str"/>
      <x:c r="AB13" s="3" t="str"/>
      <x:c r="AC13" s="3" t="n">
        <x:v>1</x:v>
      </x:c>
      <x:c r="AD13" s="3" t="n">
        <x:f>'方案总览'!$B$5</x:f>
        <x:v>20</x:v>
      </x:c>
    </x:row>
    <x:row r="14" ht="24" customHeight="1">
      <x:c r="A14" s="3" t="str">
        <x:v>T009</x:v>
      </x:c>
      <x:c r="B14" s="3" t="str">
        <x:v>拟合</x:v>
      </x:c>
      <x:c r="C14" s="3" t="str">
        <x:v>S-18</x:v>
      </x:c>
      <x:c r="D14" s="3" t="str"/>
      <x:c r="E14" s="3" t="str">
        <x:v>2-甲基丙醛</x:v>
      </x:c>
      <x:c r="F14" s="3" t="str"/>
      <x:c r="G14" s="3" t="str"/>
      <x:c r="H14" s="3" t="str"/>
      <x:c r="I14" s="3" t="str">
        <x:v>M</x:v>
      </x:c>
      <x:c r="J14" s="3" t="str"/>
      <x:c r="K14" s="3" t="str"/>
      <x:c r="L14" s="3" t="str"/>
      <x:c r="M14" s="9" t="n">
        <x:f>IF(Y14="","",INDEX('浓度设置'!$P$6:$R$46,MATCH(Y14,'浓度设置'!$A$6:$A$46,0),IF(I14="L",1,IF(I14="M",2,3))))</x:f>
        <x:v>1183.2582135780847</x:v>
      </x:c>
      <x:c r="N14" s="9" t="str">
        <x:f>IF(Z14="","",INDEX('浓度设置'!$P$6:$R$46,MATCH(Z14,'浓度设置'!$A$6:$A$46,0),IF(J14="L",1,IF(J14="M",2,3))))</x:f>
      </x:c>
      <x:c r="O14" s="9" t="str">
        <x:f>IF(AA14="","",INDEX('浓度设置'!$P$6:$R$46,MATCH(AA14,'浓度设置'!$A$6:$A$46,0),IF(K14="L",1,IF(K14="M",2,3))))</x:f>
      </x:c>
      <x:c r="P14" s="9" t="str">
        <x:f>IF(AB14="","",INDEX('浓度设置'!$P$6:$R$46,MATCH(AB14,'浓度设置'!$A$6:$A$46,0),IF(L14="L",1,IF(L14="M",2,3))))</x:f>
      </x:c>
      <x:c r="Q14" s="9" t="n">
        <x:f>IF(Y14="","",M14/INDEX('浓度设置'!$M$6:$M$46,MATCH(Y14,'浓度设置'!$A$6:$A$46,0)))</x:f>
        <x:v>200.55223958950586</x:v>
      </x:c>
      <x:c r="R14" s="9" t="str">
        <x:f>IF(Z14="","",N14/INDEX('浓度设置'!$M$6:$M$46,MATCH(Z14,'浓度设置'!$A$6:$A$46,0)))</x:f>
      </x:c>
      <x:c r="S14" s="9" t="str">
        <x:f>IF(AA14="","",O14/INDEX('浓度设置'!$M$6:$M$46,MATCH(AA14,'浓度设置'!$A$6:$A$46,0)))</x:f>
      </x:c>
      <x:c r="T14" s="9" t="str">
        <x:f>IF(AB14="","",P14/INDEX('浓度设置'!$M$6:$M$46,MATCH(AB14,'浓度设置'!$A$6:$A$46,0)))</x:f>
      </x:c>
      <x:c r="U14" s="9" t="n">
        <x:f>IF(Y14="","",M14*$AD14/1000)</x:f>
        <x:v>23.665164271561693</x:v>
      </x:c>
      <x:c r="V14" s="9" t="str">
        <x:f>IF(Z14="","",N14*$AD14/1000)</x:f>
      </x:c>
      <x:c r="W14" s="9" t="str">
        <x:f>IF(AA14="","",O14*$AD14/1000)</x:f>
      </x:c>
      <x:c r="X14" s="9" t="str">
        <x:f>IF(AB14="","",P14*$AD14/1000)</x:f>
      </x:c>
      <x:c r="Y14" s="3" t="n">
        <x:v>18</x:v>
      </x:c>
      <x:c r="Z14" s="3" t="str"/>
      <x:c r="AA14" s="3" t="str"/>
      <x:c r="AB14" s="3" t="str"/>
      <x:c r="AC14" s="3" t="n">
        <x:v>1</x:v>
      </x:c>
      <x:c r="AD14" s="3" t="n">
        <x:f>'方案总览'!$B$5</x:f>
        <x:v>20</x:v>
      </x:c>
    </x:row>
    <x:row r="15" ht="24" customHeight="1">
      <x:c r="A15" s="3" t="str">
        <x:v>T010</x:v>
      </x:c>
      <x:c r="B15" s="3" t="str">
        <x:v>拟合</x:v>
      </x:c>
      <x:c r="C15" s="3" t="str">
        <x:v>S-18</x:v>
      </x:c>
      <x:c r="D15" s="3" t="str"/>
      <x:c r="E15" s="3" t="str">
        <x:v>2-甲基丙醛</x:v>
      </x:c>
      <x:c r="F15" s="3" t="str"/>
      <x:c r="G15" s="3" t="str"/>
      <x:c r="H15" s="3" t="str"/>
      <x:c r="I15" s="3" t="str">
        <x:v>H</x:v>
      </x:c>
      <x:c r="J15" s="3" t="str"/>
      <x:c r="K15" s="3" t="str"/>
      <x:c r="L15" s="3" t="str"/>
      <x:c r="M15" s="9" t="n">
        <x:f>IF(Y15="","",INDEX('浓度设置'!$P$6:$R$46,MATCH(Y15,'浓度设置'!$A$6:$A$46,0),IF(I15="L",1,IF(I15="M",2,3))))</x:f>
        <x:v>35900</x:v>
      </x:c>
      <x:c r="N15" s="9" t="str">
        <x:f>IF(Z15="","",INDEX('浓度设置'!$P$6:$R$46,MATCH(Z15,'浓度设置'!$A$6:$A$46,0),IF(J15="L",1,IF(J15="M",2,3))))</x:f>
      </x:c>
      <x:c r="O15" s="9" t="str">
        <x:f>IF(AA15="","",INDEX('浓度设置'!$P$6:$R$46,MATCH(AA15,'浓度设置'!$A$6:$A$46,0),IF(K15="L",1,IF(K15="M",2,3))))</x:f>
      </x:c>
      <x:c r="P15" s="9" t="str">
        <x:f>IF(AB15="","",INDEX('浓度设置'!$P$6:$R$46,MATCH(AB15,'浓度设置'!$A$6:$A$46,0),IF(L15="L",1,IF(L15="M",2,3))))</x:f>
      </x:c>
      <x:c r="Q15" s="9" t="n">
        <x:f>IF(Y15="","",M15/INDEX('浓度设置'!$M$6:$M$46,MATCH(Y15,'浓度设置'!$A$6:$A$46,0)))</x:f>
        <x:v>6084.745762711864</x:v>
      </x:c>
      <x:c r="R15" s="9" t="str">
        <x:f>IF(Z15="","",N15/INDEX('浓度设置'!$M$6:$M$46,MATCH(Z15,'浓度设置'!$A$6:$A$46,0)))</x:f>
      </x:c>
      <x:c r="S15" s="9" t="str">
        <x:f>IF(AA15="","",O15/INDEX('浓度设置'!$M$6:$M$46,MATCH(AA15,'浓度设置'!$A$6:$A$46,0)))</x:f>
      </x:c>
      <x:c r="T15" s="9" t="str">
        <x:f>IF(AB15="","",P15/INDEX('浓度设置'!$M$6:$M$46,MATCH(AB15,'浓度设置'!$A$6:$A$46,0)))</x:f>
      </x:c>
      <x:c r="U15" s="9" t="n">
        <x:f>IF(Y15="","",M15*$AD15/1000)</x:f>
        <x:v>718</x:v>
      </x:c>
      <x:c r="V15" s="9" t="str">
        <x:f>IF(Z15="","",N15*$AD15/1000)</x:f>
      </x:c>
      <x:c r="W15" s="9" t="str">
        <x:f>IF(AA15="","",O15*$AD15/1000)</x:f>
      </x:c>
      <x:c r="X15" s="9" t="str">
        <x:f>IF(AB15="","",P15*$AD15/1000)</x:f>
      </x:c>
      <x:c r="Y15" s="3" t="n">
        <x:v>18</x:v>
      </x:c>
      <x:c r="Z15" s="3" t="str"/>
      <x:c r="AA15" s="3" t="str"/>
      <x:c r="AB15" s="3" t="str"/>
      <x:c r="AC15" s="3" t="n">
        <x:v>1</x:v>
      </x:c>
      <x:c r="AD15" s="3" t="n">
        <x:f>'方案总览'!$B$5</x:f>
        <x:v>20</x:v>
      </x:c>
    </x:row>
    <x:row r="16" ht="24" customHeight="1">
      <x:c r="A16" s="3" t="str">
        <x:v>T011</x:v>
      </x:c>
      <x:c r="B16" s="3" t="str">
        <x:v>拟合</x:v>
      </x:c>
      <x:c r="C16" s="3" t="str">
        <x:v>S-32</x:v>
      </x:c>
      <x:c r="D16" s="3" t="str"/>
      <x:c r="E16" s="3" t="str">
        <x:v>异丁酸乙酯</x:v>
      </x:c>
      <x:c r="F16" s="3" t="str"/>
      <x:c r="G16" s="3" t="str"/>
      <x:c r="H16" s="3" t="str"/>
      <x:c r="I16" s="3" t="str">
        <x:v>L</x:v>
      </x:c>
      <x:c r="J16" s="3" t="str"/>
      <x:c r="K16" s="3" t="str"/>
      <x:c r="L16" s="3" t="str"/>
      <x:c r="M16" s="9" t="n">
        <x:f>IF(Y16="","",INDEX('浓度设置'!$P$6:$R$46,MATCH(Y16,'浓度设置'!$A$6:$A$46,0),IF(I16="L",1,IF(I16="M",2,3))))</x:f>
        <x:v>18.68</x:v>
      </x:c>
      <x:c r="N16" s="9" t="str">
        <x:f>IF(Z16="","",INDEX('浓度设置'!$P$6:$R$46,MATCH(Z16,'浓度设置'!$A$6:$A$46,0),IF(J16="L",1,IF(J16="M",2,3))))</x:f>
      </x:c>
      <x:c r="O16" s="9" t="str">
        <x:f>IF(AA16="","",INDEX('浓度设置'!$P$6:$R$46,MATCH(AA16,'浓度设置'!$A$6:$A$46,0),IF(K16="L",1,IF(K16="M",2,3))))</x:f>
      </x:c>
      <x:c r="P16" s="9" t="str">
        <x:f>IF(AB16="","",INDEX('浓度设置'!$P$6:$R$46,MATCH(AB16,'浓度设置'!$A$6:$A$46,0),IF(L16="L",1,IF(L16="M",2,3))))</x:f>
      </x:c>
      <x:c r="Q16" s="9" t="n">
        <x:f>IF(Y16="","",M16/INDEX('浓度设置'!$M$6:$M$46,MATCH(Y16,'浓度设置'!$A$6:$A$46,0)))</x:f>
        <x:v>0.3248695652173913</x:v>
      </x:c>
      <x:c r="R16" s="9" t="str">
        <x:f>IF(Z16="","",N16/INDEX('浓度设置'!$M$6:$M$46,MATCH(Z16,'浓度设置'!$A$6:$A$46,0)))</x:f>
      </x:c>
      <x:c r="S16" s="9" t="str">
        <x:f>IF(AA16="","",O16/INDEX('浓度设置'!$M$6:$M$46,MATCH(AA16,'浓度设置'!$A$6:$A$46,0)))</x:f>
      </x:c>
      <x:c r="T16" s="9" t="str">
        <x:f>IF(AB16="","",P16/INDEX('浓度设置'!$M$6:$M$46,MATCH(AB16,'浓度设置'!$A$6:$A$46,0)))</x:f>
      </x:c>
      <x:c r="U16" s="9" t="n">
        <x:f>IF(Y16="","",M16*$AD16/1000)</x:f>
        <x:v>0.37360000000000004</x:v>
      </x:c>
      <x:c r="V16" s="9" t="str">
        <x:f>IF(Z16="","",N16*$AD16/1000)</x:f>
      </x:c>
      <x:c r="W16" s="9" t="str">
        <x:f>IF(AA16="","",O16*$AD16/1000)</x:f>
      </x:c>
      <x:c r="X16" s="9" t="str">
        <x:f>IF(AB16="","",P16*$AD16/1000)</x:f>
      </x:c>
      <x:c r="Y16" s="3" t="n">
        <x:v>32</x:v>
      </x:c>
      <x:c r="Z16" s="3" t="str"/>
      <x:c r="AA16" s="3" t="str"/>
      <x:c r="AB16" s="3" t="str"/>
      <x:c r="AC16" s="3" t="n">
        <x:v>1</x:v>
      </x:c>
      <x:c r="AD16" s="3" t="n">
        <x:f>'方案总览'!$B$5</x:f>
        <x:v>20</x:v>
      </x:c>
    </x:row>
    <x:row r="17" ht="24" customHeight="1">
      <x:c r="A17" s="3" t="str">
        <x:v>T012</x:v>
      </x:c>
      <x:c r="B17" s="3" t="str">
        <x:v>拟合</x:v>
      </x:c>
      <x:c r="C17" s="3" t="str">
        <x:v>S-32</x:v>
      </x:c>
      <x:c r="D17" s="3" t="str"/>
      <x:c r="E17" s="3" t="str">
        <x:v>异丁酸乙酯</x:v>
      </x:c>
      <x:c r="F17" s="3" t="str"/>
      <x:c r="G17" s="3" t="str"/>
      <x:c r="H17" s="3" t="str"/>
      <x:c r="I17" s="3" t="str">
        <x:v>M</x:v>
      </x:c>
      <x:c r="J17" s="3" t="str"/>
      <x:c r="K17" s="3" t="str"/>
      <x:c r="L17" s="3" t="str"/>
      <x:c r="M17" s="9" t="n">
        <x:f>IF(Y17="","",INDEX('浓度设置'!$P$6:$R$46,MATCH(Y17,'浓度设置'!$A$6:$A$46,0),IF(I17="L",1,IF(I17="M",2,3))))</x:f>
        <x:v>836.8360173893091</x:v>
      </x:c>
      <x:c r="N17" s="9" t="str">
        <x:f>IF(Z17="","",INDEX('浓度设置'!$P$6:$R$46,MATCH(Z17,'浓度设置'!$A$6:$A$46,0),IF(J17="L",1,IF(J17="M",2,3))))</x:f>
      </x:c>
      <x:c r="O17" s="9" t="str">
        <x:f>IF(AA17="","",INDEX('浓度设置'!$P$6:$R$46,MATCH(AA17,'浓度设置'!$A$6:$A$46,0),IF(K17="L",1,IF(K17="M",2,3))))</x:f>
      </x:c>
      <x:c r="P17" s="9" t="str">
        <x:f>IF(AB17="","",INDEX('浓度设置'!$P$6:$R$46,MATCH(AB17,'浓度设置'!$A$6:$A$46,0),IF(L17="L",1,IF(L17="M",2,3))))</x:f>
      </x:c>
      <x:c r="Q17" s="9" t="n">
        <x:f>IF(Y17="","",M17/INDEX('浓度设置'!$M$6:$M$46,MATCH(Y17,'浓度设置'!$A$6:$A$46,0)))</x:f>
        <x:v>14.553669867640158</x:v>
      </x:c>
      <x:c r="R17" s="9" t="str">
        <x:f>IF(Z17="","",N17/INDEX('浓度设置'!$M$6:$M$46,MATCH(Z17,'浓度设置'!$A$6:$A$46,0)))</x:f>
      </x:c>
      <x:c r="S17" s="9" t="str">
        <x:f>IF(AA17="","",O17/INDEX('浓度设置'!$M$6:$M$46,MATCH(AA17,'浓度设置'!$A$6:$A$46,0)))</x:f>
      </x:c>
      <x:c r="T17" s="9" t="str">
        <x:f>IF(AB17="","",P17/INDEX('浓度设置'!$M$6:$M$46,MATCH(AB17,'浓度设置'!$A$6:$A$46,0)))</x:f>
      </x:c>
      <x:c r="U17" s="9" t="n">
        <x:f>IF(Y17="","",M17*$AD17/1000)</x:f>
        <x:v>16.736720347786182</x:v>
      </x:c>
      <x:c r="V17" s="9" t="str">
        <x:f>IF(Z17="","",N17*$AD17/1000)</x:f>
      </x:c>
      <x:c r="W17" s="9" t="str">
        <x:f>IF(AA17="","",O17*$AD17/1000)</x:f>
      </x:c>
      <x:c r="X17" s="9" t="str">
        <x:f>IF(AB17="","",P17*$AD17/1000)</x:f>
      </x:c>
      <x:c r="Y17" s="3" t="n">
        <x:v>32</x:v>
      </x:c>
      <x:c r="Z17" s="3" t="str"/>
      <x:c r="AA17" s="3" t="str"/>
      <x:c r="AB17" s="3" t="str"/>
      <x:c r="AC17" s="3" t="n">
        <x:v>1</x:v>
      </x:c>
      <x:c r="AD17" s="3" t="n">
        <x:f>'方案总览'!$B$5</x:f>
        <x:v>20</x:v>
      </x:c>
    </x:row>
    <x:row r="18" ht="24" customHeight="1">
      <x:c r="A18" s="3" t="str">
        <x:v>T013</x:v>
      </x:c>
      <x:c r="B18" s="3" t="str">
        <x:v>拟合</x:v>
      </x:c>
      <x:c r="C18" s="3" t="str">
        <x:v>S-32</x:v>
      </x:c>
      <x:c r="D18" s="3" t="str"/>
      <x:c r="E18" s="3" t="str">
        <x:v>异丁酸乙酯</x:v>
      </x:c>
      <x:c r="F18" s="3" t="str"/>
      <x:c r="G18" s="3" t="str"/>
      <x:c r="H18" s="3" t="str"/>
      <x:c r="I18" s="3" t="str">
        <x:v>H</x:v>
      </x:c>
      <x:c r="J18" s="3" t="str"/>
      <x:c r="K18" s="3" t="str"/>
      <x:c r="L18" s="3" t="str"/>
      <x:c r="M18" s="9" t="n">
        <x:f>IF(Y18="","",INDEX('浓度设置'!$P$6:$R$46,MATCH(Y18,'浓度设置'!$A$6:$A$46,0),IF(I18="L",1,IF(I18="M",2,3))))</x:f>
        <x:v>37489</x:v>
      </x:c>
      <x:c r="N18" s="9" t="str">
        <x:f>IF(Z18="","",INDEX('浓度设置'!$P$6:$R$46,MATCH(Z18,'浓度设置'!$A$6:$A$46,0),IF(J18="L",1,IF(J18="M",2,3))))</x:f>
      </x:c>
      <x:c r="O18" s="9" t="str">
        <x:f>IF(AA18="","",INDEX('浓度设置'!$P$6:$R$46,MATCH(AA18,'浓度设置'!$A$6:$A$46,0),IF(K18="L",1,IF(K18="M",2,3))))</x:f>
      </x:c>
      <x:c r="P18" s="9" t="str">
        <x:f>IF(AB18="","",INDEX('浓度设置'!$P$6:$R$46,MATCH(AB18,'浓度设置'!$A$6:$A$46,0),IF(L18="L",1,IF(L18="M",2,3))))</x:f>
      </x:c>
      <x:c r="Q18" s="9" t="n">
        <x:f>IF(Y18="","",M18/INDEX('浓度设置'!$M$6:$M$46,MATCH(Y18,'浓度设置'!$A$6:$A$46,0)))</x:f>
        <x:v>651.9826086956522</x:v>
      </x:c>
      <x:c r="R18" s="9" t="str">
        <x:f>IF(Z18="","",N18/INDEX('浓度设置'!$M$6:$M$46,MATCH(Z18,'浓度设置'!$A$6:$A$46,0)))</x:f>
      </x:c>
      <x:c r="S18" s="9" t="str">
        <x:f>IF(AA18="","",O18/INDEX('浓度设置'!$M$6:$M$46,MATCH(AA18,'浓度设置'!$A$6:$A$46,0)))</x:f>
      </x:c>
      <x:c r="T18" s="9" t="str">
        <x:f>IF(AB18="","",P18/INDEX('浓度设置'!$M$6:$M$46,MATCH(AB18,'浓度设置'!$A$6:$A$46,0)))</x:f>
      </x:c>
      <x:c r="U18" s="9" t="n">
        <x:f>IF(Y18="","",M18*$AD18/1000)</x:f>
        <x:v>749.78</x:v>
      </x:c>
      <x:c r="V18" s="9" t="str">
        <x:f>IF(Z18="","",N18*$AD18/1000)</x:f>
      </x:c>
      <x:c r="W18" s="9" t="str">
        <x:f>IF(AA18="","",O18*$AD18/1000)</x:f>
      </x:c>
      <x:c r="X18" s="9" t="str">
        <x:f>IF(AB18="","",P18*$AD18/1000)</x:f>
      </x:c>
      <x:c r="Y18" s="3" t="n">
        <x:v>32</x:v>
      </x:c>
      <x:c r="Z18" s="3" t="str"/>
      <x:c r="AA18" s="3" t="str"/>
      <x:c r="AB18" s="3" t="str"/>
      <x:c r="AC18" s="3" t="n">
        <x:v>1</x:v>
      </x:c>
      <x:c r="AD18" s="3" t="n">
        <x:f>'方案总览'!$B$5</x:f>
        <x:v>20</x:v>
      </x:c>
    </x:row>
    <x:row r="19" ht="24" customHeight="1">
      <x:c r="A19" s="3" t="str">
        <x:v>T014</x:v>
      </x:c>
      <x:c r="B19" s="3" t="str">
        <x:v>拟合</x:v>
      </x:c>
      <x:c r="C19" s="3" t="str">
        <x:v>S-40</x:v>
      </x:c>
      <x:c r="D19" s="3" t="str"/>
      <x:c r="E19" s="3" t="str">
        <x:v>苯乙酸乙酯</x:v>
      </x:c>
      <x:c r="F19" s="3" t="str"/>
      <x:c r="G19" s="3" t="str"/>
      <x:c r="H19" s="3" t="str"/>
      <x:c r="I19" s="3" t="str">
        <x:v>L</x:v>
      </x:c>
      <x:c r="J19" s="3" t="str"/>
      <x:c r="K19" s="3" t="str"/>
      <x:c r="L19" s="3" t="str"/>
      <x:c r="M19" s="9" t="n">
        <x:f>IF(Y19="","",INDEX('浓度设置'!$P$6:$R$46,MATCH(Y19,'浓度设置'!$A$6:$A$46,0),IF(I19="L",1,IF(I19="M",2,3))))</x:f>
        <x:v>1.875</x:v>
      </x:c>
      <x:c r="N19" s="9" t="str">
        <x:f>IF(Z19="","",INDEX('浓度设置'!$P$6:$R$46,MATCH(Z19,'浓度设置'!$A$6:$A$46,0),IF(J19="L",1,IF(J19="M",2,3))))</x:f>
      </x:c>
      <x:c r="O19" s="9" t="str">
        <x:f>IF(AA19="","",INDEX('浓度设置'!$P$6:$R$46,MATCH(AA19,'浓度设置'!$A$6:$A$46,0),IF(K19="L",1,IF(K19="M",2,3))))</x:f>
      </x:c>
      <x:c r="P19" s="9" t="str">
        <x:f>IF(AB19="","",INDEX('浓度设置'!$P$6:$R$46,MATCH(AB19,'浓度设置'!$A$6:$A$46,0),IF(L19="L",1,IF(L19="M",2,3))))</x:f>
      </x:c>
      <x:c r="Q19" s="9" t="n">
        <x:f>IF(Y19="","",M19/INDEX('浓度设置'!$M$6:$M$46,MATCH(Y19,'浓度设置'!$A$6:$A$46,0)))</x:f>
        <x:v>0.004606879606879607</x:v>
      </x:c>
      <x:c r="R19" s="9" t="str">
        <x:f>IF(Z19="","",N19/INDEX('浓度设置'!$M$6:$M$46,MATCH(Z19,'浓度设置'!$A$6:$A$46,0)))</x:f>
      </x:c>
      <x:c r="S19" s="9" t="str">
        <x:f>IF(AA19="","",O19/INDEX('浓度设置'!$M$6:$M$46,MATCH(AA19,'浓度设置'!$A$6:$A$46,0)))</x:f>
      </x:c>
      <x:c r="T19" s="9" t="str">
        <x:f>IF(AB19="","",P19/INDEX('浓度设置'!$M$6:$M$46,MATCH(AB19,'浓度设置'!$A$6:$A$46,0)))</x:f>
      </x:c>
      <x:c r="U19" s="9" t="n">
        <x:f>IF(Y19="","",M19*$AD19/1000)</x:f>
        <x:v>0.0375</x:v>
      </x:c>
      <x:c r="V19" s="9" t="str">
        <x:f>IF(Z19="","",N19*$AD19/1000)</x:f>
      </x:c>
      <x:c r="W19" s="9" t="str">
        <x:f>IF(AA19="","",O19*$AD19/1000)</x:f>
      </x:c>
      <x:c r="X19" s="9" t="str">
        <x:f>IF(AB19="","",P19*$AD19/1000)</x:f>
      </x:c>
      <x:c r="Y19" s="3" t="n">
        <x:v>40</x:v>
      </x:c>
      <x:c r="Z19" s="3" t="str"/>
      <x:c r="AA19" s="3" t="str"/>
      <x:c r="AB19" s="3" t="str"/>
      <x:c r="AC19" s="3" t="n">
        <x:v>1</x:v>
      </x:c>
      <x:c r="AD19" s="3" t="n">
        <x:f>'方案总览'!$B$5</x:f>
        <x:v>20</x:v>
      </x:c>
    </x:row>
    <x:row r="20" ht="24" customHeight="1">
      <x:c r="A20" s="3" t="str">
        <x:v>T015</x:v>
      </x:c>
      <x:c r="B20" s="3" t="str">
        <x:v>拟合</x:v>
      </x:c>
      <x:c r="C20" s="3" t="str">
        <x:v>S-40</x:v>
      </x:c>
      <x:c r="D20" s="3" t="str"/>
      <x:c r="E20" s="3" t="str">
        <x:v>苯乙酸乙酯</x:v>
      </x:c>
      <x:c r="F20" s="3" t="str"/>
      <x:c r="G20" s="3" t="str"/>
      <x:c r="H20" s="3" t="str"/>
      <x:c r="I20" s="3" t="str">
        <x:v>M</x:v>
      </x:c>
      <x:c r="J20" s="3" t="str"/>
      <x:c r="K20" s="3" t="str"/>
      <x:c r="L20" s="3" t="str"/>
      <x:c r="M20" s="9" t="n">
        <x:f>IF(Y20="","",INDEX('浓度设置'!$P$6:$R$46,MATCH(Y20,'浓度设置'!$A$6:$A$46,0),IF(I20="L",1,IF(I20="M",2,3))))</x:f>
        <x:v>200.3122562401013</x:v>
      </x:c>
      <x:c r="N20" s="9" t="str">
        <x:f>IF(Z20="","",INDEX('浓度设置'!$P$6:$R$46,MATCH(Z20,'浓度设置'!$A$6:$A$46,0),IF(J20="L",1,IF(J20="M",2,3))))</x:f>
      </x:c>
      <x:c r="O20" s="9" t="str">
        <x:f>IF(AA20="","",INDEX('浓度设置'!$P$6:$R$46,MATCH(AA20,'浓度设置'!$A$6:$A$46,0),IF(K20="L",1,IF(K20="M",2,3))))</x:f>
      </x:c>
      <x:c r="P20" s="9" t="str">
        <x:f>IF(AB20="","",INDEX('浓度设置'!$P$6:$R$46,MATCH(AB20,'浓度设置'!$A$6:$A$46,0),IF(L20="L",1,IF(L20="M",2,3))))</x:f>
      </x:c>
      <x:c r="Q20" s="9" t="n">
        <x:f>IF(Y20="","",M20/INDEX('浓度设置'!$M$6:$M$46,MATCH(Y20,'浓度设置'!$A$6:$A$46,0)))</x:f>
        <x:v>0.49216770574963464</x:v>
      </x:c>
      <x:c r="R20" s="9" t="str">
        <x:f>IF(Z20="","",N20/INDEX('浓度设置'!$M$6:$M$46,MATCH(Z20,'浓度设置'!$A$6:$A$46,0)))</x:f>
      </x:c>
      <x:c r="S20" s="9" t="str">
        <x:f>IF(AA20="","",O20/INDEX('浓度设置'!$M$6:$M$46,MATCH(AA20,'浓度设置'!$A$6:$A$46,0)))</x:f>
      </x:c>
      <x:c r="T20" s="9" t="str">
        <x:f>IF(AB20="","",P20/INDEX('浓度设置'!$M$6:$M$46,MATCH(AB20,'浓度设置'!$A$6:$A$46,0)))</x:f>
      </x:c>
      <x:c r="U20" s="9" t="n">
        <x:f>IF(Y20="","",M20*$AD20/1000)</x:f>
        <x:v>4.006245124802026</x:v>
      </x:c>
      <x:c r="V20" s="9" t="str">
        <x:f>IF(Z20="","",N20*$AD20/1000)</x:f>
      </x:c>
      <x:c r="W20" s="9" t="str">
        <x:f>IF(AA20="","",O20*$AD20/1000)</x:f>
      </x:c>
      <x:c r="X20" s="9" t="str">
        <x:f>IF(AB20="","",P20*$AD20/1000)</x:f>
      </x:c>
      <x:c r="Y20" s="3" t="n">
        <x:v>40</x:v>
      </x:c>
      <x:c r="Z20" s="3" t="str"/>
      <x:c r="AA20" s="3" t="str"/>
      <x:c r="AB20" s="3" t="str"/>
      <x:c r="AC20" s="3" t="n">
        <x:v>1</x:v>
      </x:c>
      <x:c r="AD20" s="3" t="n">
        <x:f>'方案总览'!$B$5</x:f>
        <x:v>20</x:v>
      </x:c>
    </x:row>
    <x:row r="21" ht="24" customHeight="1">
      <x:c r="A21" s="3" t="str">
        <x:v>T016</x:v>
      </x:c>
      <x:c r="B21" s="3" t="str">
        <x:v>拟合</x:v>
      </x:c>
      <x:c r="C21" s="3" t="str">
        <x:v>S-40</x:v>
      </x:c>
      <x:c r="D21" s="3" t="str"/>
      <x:c r="E21" s="3" t="str">
        <x:v>苯乙酸乙酯</x:v>
      </x:c>
      <x:c r="F21" s="3" t="str"/>
      <x:c r="G21" s="3" t="str"/>
      <x:c r="H21" s="3" t="str"/>
      <x:c r="I21" s="3" t="str">
        <x:v>H</x:v>
      </x:c>
      <x:c r="J21" s="3" t="str"/>
      <x:c r="K21" s="3" t="str"/>
      <x:c r="L21" s="3" t="str"/>
      <x:c r="M21" s="9" t="n">
        <x:f>IF(Y21="","",INDEX('浓度设置'!$P$6:$R$46,MATCH(Y21,'浓度设置'!$A$6:$A$46,0),IF(I21="L",1,IF(I21="M",2,3))))</x:f>
        <x:v>21400</x:v>
      </x:c>
      <x:c r="N21" s="9" t="str">
        <x:f>IF(Z21="","",INDEX('浓度设置'!$P$6:$R$46,MATCH(Z21,'浓度设置'!$A$6:$A$46,0),IF(J21="L",1,IF(J21="M",2,3))))</x:f>
      </x:c>
      <x:c r="O21" s="9" t="str">
        <x:f>IF(AA21="","",INDEX('浓度设置'!$P$6:$R$46,MATCH(AA21,'浓度设置'!$A$6:$A$46,0),IF(K21="L",1,IF(K21="M",2,3))))</x:f>
      </x:c>
      <x:c r="P21" s="9" t="str">
        <x:f>IF(AB21="","",INDEX('浓度设置'!$P$6:$R$46,MATCH(AB21,'浓度设置'!$A$6:$A$46,0),IF(L21="L",1,IF(L21="M",2,3))))</x:f>
      </x:c>
      <x:c r="Q21" s="9" t="n">
        <x:f>IF(Y21="","",M21/INDEX('浓度设置'!$M$6:$M$46,MATCH(Y21,'浓度设置'!$A$6:$A$46,0)))</x:f>
        <x:v>52.57985257985258</x:v>
      </x:c>
      <x:c r="R21" s="9" t="str">
        <x:f>IF(Z21="","",N21/INDEX('浓度设置'!$M$6:$M$46,MATCH(Z21,'浓度设置'!$A$6:$A$46,0)))</x:f>
      </x:c>
      <x:c r="S21" s="9" t="str">
        <x:f>IF(AA21="","",O21/INDEX('浓度设置'!$M$6:$M$46,MATCH(AA21,'浓度设置'!$A$6:$A$46,0)))</x:f>
      </x:c>
      <x:c r="T21" s="9" t="str">
        <x:f>IF(AB21="","",P21/INDEX('浓度设置'!$M$6:$M$46,MATCH(AB21,'浓度设置'!$A$6:$A$46,0)))</x:f>
      </x:c>
      <x:c r="U21" s="9" t="n">
        <x:f>IF(Y21="","",M21*$AD21/1000)</x:f>
        <x:v>428</x:v>
      </x:c>
      <x:c r="V21" s="9" t="str">
        <x:f>IF(Z21="","",N21*$AD21/1000)</x:f>
      </x:c>
      <x:c r="W21" s="9" t="str">
        <x:f>IF(AA21="","",O21*$AD21/1000)</x:f>
      </x:c>
      <x:c r="X21" s="9" t="str">
        <x:f>IF(AB21="","",P21*$AD21/1000)</x:f>
      </x:c>
      <x:c r="Y21" s="3" t="n">
        <x:v>40</x:v>
      </x:c>
      <x:c r="Z21" s="3" t="str"/>
      <x:c r="AA21" s="3" t="str"/>
      <x:c r="AB21" s="3" t="str"/>
      <x:c r="AC21" s="3" t="n">
        <x:v>1</x:v>
      </x:c>
      <x:c r="AD21" s="3" t="n">
        <x:f>'方案总览'!$B$5</x:f>
        <x:v>20</x:v>
      </x:c>
    </x:row>
    <x:row r="22" ht="24" customHeight="1">
      <x:c r="A22" s="3" t="str">
        <x:v>T017</x:v>
      </x:c>
      <x:c r="B22" s="3" t="str">
        <x:v>拟合</x:v>
      </x:c>
      <x:c r="C22" s="3" t="str">
        <x:v>S-52</x:v>
      </x:c>
      <x:c r="D22" s="3" t="str"/>
      <x:c r="E22" s="3" t="str">
        <x:v>丁酸乙酯</x:v>
      </x:c>
      <x:c r="F22" s="3" t="str"/>
      <x:c r="G22" s="3" t="str"/>
      <x:c r="H22" s="3" t="str"/>
      <x:c r="I22" s="3" t="str">
        <x:v>L</x:v>
      </x:c>
      <x:c r="J22" s="3" t="str"/>
      <x:c r="K22" s="3" t="str"/>
      <x:c r="L22" s="3" t="str"/>
      <x:c r="M22" s="9" t="n">
        <x:f>IF(Y22="","",INDEX('浓度设置'!$P$6:$R$46,MATCH(Y22,'浓度设置'!$A$6:$A$46,0),IF(I22="L",1,IF(I22="M",2,3))))</x:f>
        <x:v>4.24</x:v>
      </x:c>
      <x:c r="N22" s="9" t="str">
        <x:f>IF(Z22="","",INDEX('浓度设置'!$P$6:$R$46,MATCH(Z22,'浓度设置'!$A$6:$A$46,0),IF(J22="L",1,IF(J22="M",2,3))))</x:f>
      </x:c>
      <x:c r="O22" s="9" t="str">
        <x:f>IF(AA22="","",INDEX('浓度设置'!$P$6:$R$46,MATCH(AA22,'浓度设置'!$A$6:$A$46,0),IF(K22="L",1,IF(K22="M",2,3))))</x:f>
      </x:c>
      <x:c r="P22" s="9" t="str">
        <x:f>IF(AB22="","",INDEX('浓度设置'!$P$6:$R$46,MATCH(AB22,'浓度设置'!$A$6:$A$46,0),IF(L22="L",1,IF(L22="M",2,3))))</x:f>
      </x:c>
      <x:c r="Q22" s="9" t="n">
        <x:f>IF(Y22="","",M22/INDEX('浓度设置'!$M$6:$M$46,MATCH(Y22,'浓度设置'!$A$6:$A$46,0)))</x:f>
        <x:v>0.052024539877300616</x:v>
      </x:c>
      <x:c r="R22" s="9" t="str">
        <x:f>IF(Z22="","",N22/INDEX('浓度设置'!$M$6:$M$46,MATCH(Z22,'浓度设置'!$A$6:$A$46,0)))</x:f>
      </x:c>
      <x:c r="S22" s="9" t="str">
        <x:f>IF(AA22="","",O22/INDEX('浓度设置'!$M$6:$M$46,MATCH(AA22,'浓度设置'!$A$6:$A$46,0)))</x:f>
      </x:c>
      <x:c r="T22" s="9" t="str">
        <x:f>IF(AB22="","",P22/INDEX('浓度设置'!$M$6:$M$46,MATCH(AB22,'浓度设置'!$A$6:$A$46,0)))</x:f>
      </x:c>
      <x:c r="U22" s="9" t="n">
        <x:f>IF(Y22="","",M22*$AD22/1000)</x:f>
        <x:v>0.08480000000000001</x:v>
      </x:c>
      <x:c r="V22" s="9" t="str">
        <x:f>IF(Z22="","",N22*$AD22/1000)</x:f>
      </x:c>
      <x:c r="W22" s="9" t="str">
        <x:f>IF(AA22="","",O22*$AD22/1000)</x:f>
      </x:c>
      <x:c r="X22" s="9" t="str">
        <x:f>IF(AB22="","",P22*$AD22/1000)</x:f>
      </x:c>
      <x:c r="Y22" s="3" t="n">
        <x:v>52</x:v>
      </x:c>
      <x:c r="Z22" s="3" t="str"/>
      <x:c r="AA22" s="3" t="str"/>
      <x:c r="AB22" s="3" t="str"/>
      <x:c r="AC22" s="3" t="n">
        <x:v>1</x:v>
      </x:c>
      <x:c r="AD22" s="3" t="n">
        <x:f>'方案总览'!$B$5</x:f>
        <x:v>20</x:v>
      </x:c>
    </x:row>
    <x:row r="23" ht="24" customHeight="1">
      <x:c r="A23" s="3" t="str">
        <x:v>T018</x:v>
      </x:c>
      <x:c r="B23" s="3" t="str">
        <x:v>拟合</x:v>
      </x:c>
      <x:c r="C23" s="3" t="str">
        <x:v>S-52</x:v>
      </x:c>
      <x:c r="D23" s="3" t="str"/>
      <x:c r="E23" s="3" t="str">
        <x:v>丁酸乙酯</x:v>
      </x:c>
      <x:c r="F23" s="3" t="str"/>
      <x:c r="G23" s="3" t="str"/>
      <x:c r="H23" s="3" t="str"/>
      <x:c r="I23" s="3" t="str">
        <x:v>M</x:v>
      </x:c>
      <x:c r="J23" s="3" t="str"/>
      <x:c r="K23" s="3" t="str"/>
      <x:c r="L23" s="3" t="str"/>
      <x:c r="M23" s="9" t="n">
        <x:f>IF(Y23="","",INDEX('浓度设置'!$P$6:$R$46,MATCH(Y23,'浓度设置'!$A$6:$A$46,0),IF(I23="L",1,IF(I23="M",2,3))))</x:f>
        <x:v>2338.9306103431118</x:v>
      </x:c>
      <x:c r="N23" s="9" t="str">
        <x:f>IF(Z23="","",INDEX('浓度设置'!$P$6:$R$46,MATCH(Z23,'浓度设置'!$A$6:$A$46,0),IF(J23="L",1,IF(J23="M",2,3))))</x:f>
      </x:c>
      <x:c r="O23" s="9" t="str">
        <x:f>IF(AA23="","",INDEX('浓度设置'!$P$6:$R$46,MATCH(AA23,'浓度设置'!$A$6:$A$46,0),IF(K23="L",1,IF(K23="M",2,3))))</x:f>
      </x:c>
      <x:c r="P23" s="9" t="str">
        <x:f>IF(AB23="","",INDEX('浓度设置'!$P$6:$R$46,MATCH(AB23,'浓度设置'!$A$6:$A$46,0),IF(L23="L",1,IF(L23="M",2,3))))</x:f>
      </x:c>
      <x:c r="Q23" s="9" t="n">
        <x:f>IF(Y23="","",M23/INDEX('浓度设置'!$M$6:$M$46,MATCH(Y23,'浓度设置'!$A$6:$A$46,0)))</x:f>
        <x:v>28.6985350962345</x:v>
      </x:c>
      <x:c r="R23" s="9" t="str">
        <x:f>IF(Z23="","",N23/INDEX('浓度设置'!$M$6:$M$46,MATCH(Z23,'浓度设置'!$A$6:$A$46,0)))</x:f>
      </x:c>
      <x:c r="S23" s="9" t="str">
        <x:f>IF(AA23="","",O23/INDEX('浓度设置'!$M$6:$M$46,MATCH(AA23,'浓度设置'!$A$6:$A$46,0)))</x:f>
      </x:c>
      <x:c r="T23" s="9" t="str">
        <x:f>IF(AB23="","",P23/INDEX('浓度设置'!$M$6:$M$46,MATCH(AB23,'浓度设置'!$A$6:$A$46,0)))</x:f>
      </x:c>
      <x:c r="U23" s="9" t="n">
        <x:f>IF(Y23="","",M23*$AD23/1000)</x:f>
        <x:v>46.778612206862235</x:v>
      </x:c>
      <x:c r="V23" s="9" t="str">
        <x:f>IF(Z23="","",N23*$AD23/1000)</x:f>
      </x:c>
      <x:c r="W23" s="9" t="str">
        <x:f>IF(AA23="","",O23*$AD23/1000)</x:f>
      </x:c>
      <x:c r="X23" s="9" t="str">
        <x:f>IF(AB23="","",P23*$AD23/1000)</x:f>
      </x:c>
      <x:c r="Y23" s="3" t="n">
        <x:v>52</x:v>
      </x:c>
      <x:c r="Z23" s="3" t="str"/>
      <x:c r="AA23" s="3" t="str"/>
      <x:c r="AB23" s="3" t="str"/>
      <x:c r="AC23" s="3" t="n">
        <x:v>1</x:v>
      </x:c>
      <x:c r="AD23" s="3" t="n">
        <x:f>'方案总览'!$B$5</x:f>
        <x:v>20</x:v>
      </x:c>
    </x:row>
    <x:row r="24" ht="24" customHeight="1">
      <x:c r="A24" s="3" t="str">
        <x:v>T019</x:v>
      </x:c>
      <x:c r="B24" s="3" t="str">
        <x:v>拟合</x:v>
      </x:c>
      <x:c r="C24" s="3" t="str">
        <x:v>S-52</x:v>
      </x:c>
      <x:c r="D24" s="3" t="str"/>
      <x:c r="E24" s="3" t="str">
        <x:v>丁酸乙酯</x:v>
      </x:c>
      <x:c r="F24" s="3" t="str"/>
      <x:c r="G24" s="3" t="str"/>
      <x:c r="H24" s="3" t="str"/>
      <x:c r="I24" s="3" t="str">
        <x:v>H</x:v>
      </x:c>
      <x:c r="J24" s="3" t="str"/>
      <x:c r="K24" s="3" t="str"/>
      <x:c r="L24" s="3" t="str"/>
      <x:c r="M24" s="9" t="n">
        <x:f>IF(Y24="","",INDEX('浓度设置'!$P$6:$R$46,MATCH(Y24,'浓度设置'!$A$6:$A$46,0),IF(I24="L",1,IF(I24="M",2,3))))</x:f>
        <x:v>1290235</x:v>
      </x:c>
      <x:c r="N24" s="9" t="str">
        <x:f>IF(Z24="","",INDEX('浓度设置'!$P$6:$R$46,MATCH(Z24,'浓度设置'!$A$6:$A$46,0),IF(J24="L",1,IF(J24="M",2,3))))</x:f>
      </x:c>
      <x:c r="O24" s="9" t="str">
        <x:f>IF(AA24="","",INDEX('浓度设置'!$P$6:$R$46,MATCH(AA24,'浓度设置'!$A$6:$A$46,0),IF(K24="L",1,IF(K24="M",2,3))))</x:f>
      </x:c>
      <x:c r="P24" s="9" t="str">
        <x:f>IF(AB24="","",INDEX('浓度设置'!$P$6:$R$46,MATCH(AB24,'浓度设置'!$A$6:$A$46,0),IF(L24="L",1,IF(L24="M",2,3))))</x:f>
      </x:c>
      <x:c r="Q24" s="9" t="n">
        <x:f>IF(Y24="","",M24/INDEX('浓度设置'!$M$6:$M$46,MATCH(Y24,'浓度设置'!$A$6:$A$46,0)))</x:f>
        <x:v>15831.104294478528</x:v>
      </x:c>
      <x:c r="R24" s="9" t="str">
        <x:f>IF(Z24="","",N24/INDEX('浓度设置'!$M$6:$M$46,MATCH(Z24,'浓度设置'!$A$6:$A$46,0)))</x:f>
      </x:c>
      <x:c r="S24" s="9" t="str">
        <x:f>IF(AA24="","",O24/INDEX('浓度设置'!$M$6:$M$46,MATCH(AA24,'浓度设置'!$A$6:$A$46,0)))</x:f>
      </x:c>
      <x:c r="T24" s="9" t="str">
        <x:f>IF(AB24="","",P24/INDEX('浓度设置'!$M$6:$M$46,MATCH(AB24,'浓度设置'!$A$6:$A$46,0)))</x:f>
      </x:c>
      <x:c r="U24" s="9" t="n">
        <x:f>IF(Y24="","",M24*$AD24/1000)</x:f>
        <x:v>25804.7</x:v>
      </x:c>
      <x:c r="V24" s="9" t="str">
        <x:f>IF(Z24="","",N24*$AD24/1000)</x:f>
      </x:c>
      <x:c r="W24" s="9" t="str">
        <x:f>IF(AA24="","",O24*$AD24/1000)</x:f>
      </x:c>
      <x:c r="X24" s="9" t="str">
        <x:f>IF(AB24="","",P24*$AD24/1000)</x:f>
      </x:c>
      <x:c r="Y24" s="3" t="n">
        <x:v>52</x:v>
      </x:c>
      <x:c r="Z24" s="3" t="str"/>
      <x:c r="AA24" s="3" t="str"/>
      <x:c r="AB24" s="3" t="str"/>
      <x:c r="AC24" s="3" t="n">
        <x:v>1</x:v>
      </x:c>
      <x:c r="AD24" s="3" t="n">
        <x:f>'方案总览'!$B$5</x:f>
        <x:v>20</x:v>
      </x:c>
    </x:row>
    <x:row r="25" ht="24" customHeight="1">
      <x:c r="A25" s="3" t="str">
        <x:v>T020</x:v>
      </x:c>
      <x:c r="B25" s="3" t="str">
        <x:v>拟合</x:v>
      </x:c>
      <x:c r="C25" s="3" t="str">
        <x:v>S-53</x:v>
      </x:c>
      <x:c r="D25" s="3" t="str"/>
      <x:c r="E25" s="3" t="str">
        <x:v>乙醛二乙缩醛</x:v>
      </x:c>
      <x:c r="F25" s="3" t="str"/>
      <x:c r="G25" s="3" t="str"/>
      <x:c r="H25" s="3" t="str"/>
      <x:c r="I25" s="3" t="str">
        <x:v>L</x:v>
      </x:c>
      <x:c r="J25" s="3" t="str"/>
      <x:c r="K25" s="3" t="str"/>
      <x:c r="L25" s="3" t="str"/>
      <x:c r="M25" s="9" t="n">
        <x:f>IF(Y25="","",INDEX('浓度设置'!$P$6:$R$46,MATCH(Y25,'浓度设置'!$A$6:$A$46,0),IF(I25="L",1,IF(I25="M",2,3))))</x:f>
        <x:v>9.61</x:v>
      </x:c>
      <x:c r="N25" s="9" t="str">
        <x:f>IF(Z25="","",INDEX('浓度设置'!$P$6:$R$46,MATCH(Z25,'浓度设置'!$A$6:$A$46,0),IF(J25="L",1,IF(J25="M",2,3))))</x:f>
      </x:c>
      <x:c r="O25" s="9" t="str">
        <x:f>IF(AA25="","",INDEX('浓度设置'!$P$6:$R$46,MATCH(AA25,'浓度设置'!$A$6:$A$46,0),IF(K25="L",1,IF(K25="M",2,3))))</x:f>
      </x:c>
      <x:c r="P25" s="9" t="str">
        <x:f>IF(AB25="","",INDEX('浓度设置'!$P$6:$R$46,MATCH(AB25,'浓度设置'!$A$6:$A$46,0),IF(L25="L",1,IF(L25="M",2,3))))</x:f>
      </x:c>
      <x:c r="Q25" s="9" t="n">
        <x:f>IF(Y25="","",M25/INDEX('浓度设置'!$M$6:$M$46,MATCH(Y25,'浓度设置'!$A$6:$A$46,0)))</x:f>
        <x:v>0.004598086124401914</x:v>
      </x:c>
      <x:c r="R25" s="9" t="str">
        <x:f>IF(Z25="","",N25/INDEX('浓度设置'!$M$6:$M$46,MATCH(Z25,'浓度设置'!$A$6:$A$46,0)))</x:f>
      </x:c>
      <x:c r="S25" s="9" t="str">
        <x:f>IF(AA25="","",O25/INDEX('浓度设置'!$M$6:$M$46,MATCH(AA25,'浓度设置'!$A$6:$A$46,0)))</x:f>
      </x:c>
      <x:c r="T25" s="9" t="str">
        <x:f>IF(AB25="","",P25/INDEX('浓度设置'!$M$6:$M$46,MATCH(AB25,'浓度设置'!$A$6:$A$46,0)))</x:f>
      </x:c>
      <x:c r="U25" s="9" t="n">
        <x:f>IF(Y25="","",M25*$AD25/1000)</x:f>
        <x:v>0.19219999999999998</x:v>
      </x:c>
      <x:c r="V25" s="9" t="str">
        <x:f>IF(Z25="","",N25*$AD25/1000)</x:f>
      </x:c>
      <x:c r="W25" s="9" t="str">
        <x:f>IF(AA25="","",O25*$AD25/1000)</x:f>
      </x:c>
      <x:c r="X25" s="9" t="str">
        <x:f>IF(AB25="","",P25*$AD25/1000)</x:f>
      </x:c>
      <x:c r="Y25" s="3" t="n">
        <x:v>53</x:v>
      </x:c>
      <x:c r="Z25" s="3" t="str"/>
      <x:c r="AA25" s="3" t="str"/>
      <x:c r="AB25" s="3" t="str"/>
      <x:c r="AC25" s="3" t="n">
        <x:v>1</x:v>
      </x:c>
      <x:c r="AD25" s="3" t="n">
        <x:f>'方案总览'!$B$5</x:f>
        <x:v>20</x:v>
      </x:c>
    </x:row>
    <x:row r="26" ht="24" customHeight="1">
      <x:c r="A26" s="3" t="str">
        <x:v>T021</x:v>
      </x:c>
      <x:c r="B26" s="3" t="str">
        <x:v>拟合</x:v>
      </x:c>
      <x:c r="C26" s="3" t="str">
        <x:v>S-53</x:v>
      </x:c>
      <x:c r="D26" s="3" t="str"/>
      <x:c r="E26" s="3" t="str">
        <x:v>乙醛二乙缩醛</x:v>
      </x:c>
      <x:c r="F26" s="3" t="str"/>
      <x:c r="G26" s="3" t="str"/>
      <x:c r="H26" s="3" t="str"/>
      <x:c r="I26" s="3" t="str">
        <x:v>M</x:v>
      </x:c>
      <x:c r="J26" s="3" t="str"/>
      <x:c r="K26" s="3" t="str"/>
      <x:c r="L26" s="3" t="str"/>
      <x:c r="M26" s="9" t="n">
        <x:f>IF(Y26="","",INDEX('浓度设置'!$P$6:$R$46,MATCH(Y26,'浓度设置'!$A$6:$A$46,0),IF(I26="L",1,IF(I26="M",2,3))))</x:f>
        <x:v>2745.3821227654266</x:v>
      </x:c>
      <x:c r="N26" s="9" t="str">
        <x:f>IF(Z26="","",INDEX('浓度设置'!$P$6:$R$46,MATCH(Z26,'浓度设置'!$A$6:$A$46,0),IF(J26="L",1,IF(J26="M",2,3))))</x:f>
      </x:c>
      <x:c r="O26" s="9" t="str">
        <x:f>IF(AA26="","",INDEX('浓度设置'!$P$6:$R$46,MATCH(AA26,'浓度设置'!$A$6:$A$46,0),IF(K26="L",1,IF(K26="M",2,3))))</x:f>
      </x:c>
      <x:c r="P26" s="9" t="str">
        <x:f>IF(AB26="","",INDEX('浓度设置'!$P$6:$R$46,MATCH(AB26,'浓度设置'!$A$6:$A$46,0),IF(L26="L",1,IF(L26="M",2,3))))</x:f>
      </x:c>
      <x:c r="Q26" s="9" t="n">
        <x:f>IF(Y26="","",M26/INDEX('浓度设置'!$M$6:$M$46,MATCH(Y26,'浓度设置'!$A$6:$A$46,0)))</x:f>
        <x:v>1.3135799630456586</x:v>
      </x:c>
      <x:c r="R26" s="9" t="str">
        <x:f>IF(Z26="","",N26/INDEX('浓度设置'!$M$6:$M$46,MATCH(Z26,'浓度设置'!$A$6:$A$46,0)))</x:f>
      </x:c>
      <x:c r="S26" s="9" t="str">
        <x:f>IF(AA26="","",O26/INDEX('浓度设置'!$M$6:$M$46,MATCH(AA26,'浓度设置'!$A$6:$A$46,0)))</x:f>
      </x:c>
      <x:c r="T26" s="9" t="str">
        <x:f>IF(AB26="","",P26/INDEX('浓度设置'!$M$6:$M$46,MATCH(AB26,'浓度设置'!$A$6:$A$46,0)))</x:f>
      </x:c>
      <x:c r="U26" s="9" t="n">
        <x:f>IF(Y26="","",M26*$AD26/1000)</x:f>
        <x:v>54.90764245530853</x:v>
      </x:c>
      <x:c r="V26" s="9" t="str">
        <x:f>IF(Z26="","",N26*$AD26/1000)</x:f>
      </x:c>
      <x:c r="W26" s="9" t="str">
        <x:f>IF(AA26="","",O26*$AD26/1000)</x:f>
      </x:c>
      <x:c r="X26" s="9" t="str">
        <x:f>IF(AB26="","",P26*$AD26/1000)</x:f>
      </x:c>
      <x:c r="Y26" s="3" t="n">
        <x:v>53</x:v>
      </x:c>
      <x:c r="Z26" s="3" t="str"/>
      <x:c r="AA26" s="3" t="str"/>
      <x:c r="AB26" s="3" t="str"/>
      <x:c r="AC26" s="3" t="n">
        <x:v>1</x:v>
      </x:c>
      <x:c r="AD26" s="3" t="n">
        <x:f>'方案总览'!$B$5</x:f>
        <x:v>20</x:v>
      </x:c>
    </x:row>
    <x:row r="27" ht="24" customHeight="1">
      <x:c r="A27" s="3" t="str">
        <x:v>T022</x:v>
      </x:c>
      <x:c r="B27" s="3" t="str">
        <x:v>拟合</x:v>
      </x:c>
      <x:c r="C27" s="3" t="str">
        <x:v>S-53</x:v>
      </x:c>
      <x:c r="D27" s="3" t="str"/>
      <x:c r="E27" s="3" t="str">
        <x:v>乙醛二乙缩醛</x:v>
      </x:c>
      <x:c r="F27" s="3" t="str"/>
      <x:c r="G27" s="3" t="str"/>
      <x:c r="H27" s="3" t="str"/>
      <x:c r="I27" s="3" t="str">
        <x:v>H</x:v>
      </x:c>
      <x:c r="J27" s="3" t="str"/>
      <x:c r="K27" s="3" t="str"/>
      <x:c r="L27" s="3" t="str"/>
      <x:c r="M27" s="9" t="n">
        <x:f>IF(Y27="","",INDEX('浓度设置'!$P$6:$R$46,MATCH(Y27,'浓度设置'!$A$6:$A$46,0),IF(I27="L",1,IF(I27="M",2,3))))</x:f>
        <x:v>784300</x:v>
      </x:c>
      <x:c r="N27" s="9" t="str">
        <x:f>IF(Z27="","",INDEX('浓度设置'!$P$6:$R$46,MATCH(Z27,'浓度设置'!$A$6:$A$46,0),IF(J27="L",1,IF(J27="M",2,3))))</x:f>
      </x:c>
      <x:c r="O27" s="9" t="str">
        <x:f>IF(AA27="","",INDEX('浓度设置'!$P$6:$R$46,MATCH(AA27,'浓度设置'!$A$6:$A$46,0),IF(K27="L",1,IF(K27="M",2,3))))</x:f>
      </x:c>
      <x:c r="P27" s="9" t="str">
        <x:f>IF(AB27="","",INDEX('浓度设置'!$P$6:$R$46,MATCH(AB27,'浓度设置'!$A$6:$A$46,0),IF(L27="L",1,IF(L27="M",2,3))))</x:f>
      </x:c>
      <x:c r="Q27" s="9" t="n">
        <x:f>IF(Y27="","",M27/INDEX('浓度设置'!$M$6:$M$46,MATCH(Y27,'浓度设置'!$A$6:$A$46,0)))</x:f>
        <x:v>375.2631578947368</x:v>
      </x:c>
      <x:c r="R27" s="9" t="str">
        <x:f>IF(Z27="","",N27/INDEX('浓度设置'!$M$6:$M$46,MATCH(Z27,'浓度设置'!$A$6:$A$46,0)))</x:f>
      </x:c>
      <x:c r="S27" s="9" t="str">
        <x:f>IF(AA27="","",O27/INDEX('浓度设置'!$M$6:$M$46,MATCH(AA27,'浓度设置'!$A$6:$A$46,0)))</x:f>
      </x:c>
      <x:c r="T27" s="9" t="str">
        <x:f>IF(AB27="","",P27/INDEX('浓度设置'!$M$6:$M$46,MATCH(AB27,'浓度设置'!$A$6:$A$46,0)))</x:f>
      </x:c>
      <x:c r="U27" s="9" t="n">
        <x:f>IF(Y27="","",M27*$AD27/1000)</x:f>
        <x:v>15686</x:v>
      </x:c>
      <x:c r="V27" s="9" t="str">
        <x:f>IF(Z27="","",N27*$AD27/1000)</x:f>
      </x:c>
      <x:c r="W27" s="9" t="str">
        <x:f>IF(AA27="","",O27*$AD27/1000)</x:f>
      </x:c>
      <x:c r="X27" s="9" t="str">
        <x:f>IF(AB27="","",P27*$AD27/1000)</x:f>
      </x:c>
      <x:c r="Y27" s="3" t="n">
        <x:v>53</x:v>
      </x:c>
      <x:c r="Z27" s="3" t="str"/>
      <x:c r="AA27" s="3" t="str"/>
      <x:c r="AB27" s="3" t="str"/>
      <x:c r="AC27" s="3" t="n">
        <x:v>1</x:v>
      </x:c>
      <x:c r="AD27" s="3" t="n">
        <x:f>'方案总览'!$B$5</x:f>
        <x:v>20</x:v>
      </x:c>
    </x:row>
    <x:row r="28" ht="24" customHeight="1">
      <x:c r="A28" s="3" t="str">
        <x:v>T023</x:v>
      </x:c>
      <x:c r="B28" s="3" t="str">
        <x:v>拟合</x:v>
      </x:c>
      <x:c r="C28" s="3" t="str">
        <x:v>S-56</x:v>
      </x:c>
      <x:c r="D28" s="3" t="str"/>
      <x:c r="E28" s="3" t="str">
        <x:v>丁酸异戊酯</x:v>
      </x:c>
      <x:c r="F28" s="3" t="str"/>
      <x:c r="G28" s="3" t="str"/>
      <x:c r="H28" s="3" t="str"/>
      <x:c r="I28" s="3" t="str">
        <x:v>M</x:v>
      </x:c>
      <x:c r="J28" s="3" t="str"/>
      <x:c r="K28" s="3" t="str"/>
      <x:c r="L28" s="3" t="str"/>
      <x:c r="M28" s="9" t="n">
        <x:f>IF(Y28="","",INDEX('浓度设置'!$P$6:$R$46,MATCH(Y28,'浓度设置'!$A$6:$A$46,0),IF(I28="L",1,IF(I28="M",2,3))))</x:f>
        <x:v>1041.8500000000001</x:v>
      </x:c>
      <x:c r="N28" s="9" t="str">
        <x:f>IF(Z28="","",INDEX('浓度设置'!$P$6:$R$46,MATCH(Z28,'浓度设置'!$A$6:$A$46,0),IF(J28="L",1,IF(J28="M",2,3))))</x:f>
      </x:c>
      <x:c r="O28" s="9" t="str">
        <x:f>IF(AA28="","",INDEX('浓度设置'!$P$6:$R$46,MATCH(AA28,'浓度设置'!$A$6:$A$46,0),IF(K28="L",1,IF(K28="M",2,3))))</x:f>
      </x:c>
      <x:c r="P28" s="9" t="str">
        <x:f>IF(AB28="","",INDEX('浓度设置'!$P$6:$R$46,MATCH(AB28,'浓度设置'!$A$6:$A$46,0),IF(L28="L",1,IF(L28="M",2,3))))</x:f>
      </x:c>
      <x:c r="Q28" s="9" t="n">
        <x:f>IF(Y28="","",M28/INDEX('浓度设置'!$M$6:$M$46,MATCH(Y28,'浓度设置'!$A$6:$A$46,0)))</x:f>
        <x:v>1.1386338797814208</x:v>
      </x:c>
      <x:c r="R28" s="9" t="str">
        <x:f>IF(Z28="","",N28/INDEX('浓度设置'!$M$6:$M$46,MATCH(Z28,'浓度设置'!$A$6:$A$46,0)))</x:f>
      </x:c>
      <x:c r="S28" s="9" t="str">
        <x:f>IF(AA28="","",O28/INDEX('浓度设置'!$M$6:$M$46,MATCH(AA28,'浓度设置'!$A$6:$A$46,0)))</x:f>
      </x:c>
      <x:c r="T28" s="9" t="str">
        <x:f>IF(AB28="","",P28/INDEX('浓度设置'!$M$6:$M$46,MATCH(AB28,'浓度设置'!$A$6:$A$46,0)))</x:f>
      </x:c>
      <x:c r="U28" s="9" t="n">
        <x:f>IF(Y28="","",M28*$AD28/1000)</x:f>
        <x:v>20.837000000000003</x:v>
      </x:c>
      <x:c r="V28" s="9" t="str">
        <x:f>IF(Z28="","",N28*$AD28/1000)</x:f>
      </x:c>
      <x:c r="W28" s="9" t="str">
        <x:f>IF(AA28="","",O28*$AD28/1000)</x:f>
      </x:c>
      <x:c r="X28" s="9" t="str">
        <x:f>IF(AB28="","",P28*$AD28/1000)</x:f>
      </x:c>
      <x:c r="Y28" s="3" t="n">
        <x:v>56</x:v>
      </x:c>
      <x:c r="Z28" s="3" t="str"/>
      <x:c r="AA28" s="3" t="str"/>
      <x:c r="AB28" s="3" t="str"/>
      <x:c r="AC28" s="3" t="n">
        <x:v>1</x:v>
      </x:c>
      <x:c r="AD28" s="3" t="n">
        <x:f>'方案总览'!$B$5</x:f>
        <x:v>20</x:v>
      </x:c>
    </x:row>
    <x:row r="29" ht="24" customHeight="1">
      <x:c r="A29" s="3" t="str">
        <x:v>T024</x:v>
      </x:c>
      <x:c r="B29" s="3" t="str">
        <x:v>拟合</x:v>
      </x:c>
      <x:c r="C29" s="3" t="str">
        <x:v>S-56</x:v>
      </x:c>
      <x:c r="D29" s="3" t="str"/>
      <x:c r="E29" s="3" t="str">
        <x:v>丁酸异戊酯</x:v>
      </x:c>
      <x:c r="F29" s="3" t="str"/>
      <x:c r="G29" s="3" t="str"/>
      <x:c r="H29" s="3" t="str"/>
      <x:c r="I29" s="3" t="str">
        <x:v>H</x:v>
      </x:c>
      <x:c r="J29" s="3" t="str"/>
      <x:c r="K29" s="3" t="str"/>
      <x:c r="L29" s="3" t="str"/>
      <x:c r="M29" s="9" t="n">
        <x:f>IF(Y29="","",INDEX('浓度设置'!$P$6:$R$46,MATCH(Y29,'浓度设置'!$A$6:$A$46,0),IF(I29="L",1,IF(I29="M",2,3))))</x:f>
        <x:v>4105</x:v>
      </x:c>
      <x:c r="N29" s="9" t="str">
        <x:f>IF(Z29="","",INDEX('浓度设置'!$P$6:$R$46,MATCH(Z29,'浓度设置'!$A$6:$A$46,0),IF(J29="L",1,IF(J29="M",2,3))))</x:f>
      </x:c>
      <x:c r="O29" s="9" t="str">
        <x:f>IF(AA29="","",INDEX('浓度设置'!$P$6:$R$46,MATCH(AA29,'浓度设置'!$A$6:$A$46,0),IF(K29="L",1,IF(K29="M",2,3))))</x:f>
      </x:c>
      <x:c r="P29" s="9" t="str">
        <x:f>IF(AB29="","",INDEX('浓度设置'!$P$6:$R$46,MATCH(AB29,'浓度设置'!$A$6:$A$46,0),IF(L29="L",1,IF(L29="M",2,3))))</x:f>
      </x:c>
      <x:c r="Q29" s="9" t="n">
        <x:f>IF(Y29="","",M29/INDEX('浓度设置'!$M$6:$M$46,MATCH(Y29,'浓度设置'!$A$6:$A$46,0)))</x:f>
        <x:v>4.4863387978142075</x:v>
      </x:c>
      <x:c r="R29" s="9" t="str">
        <x:f>IF(Z29="","",N29/INDEX('浓度设置'!$M$6:$M$46,MATCH(Z29,'浓度设置'!$A$6:$A$46,0)))</x:f>
      </x:c>
      <x:c r="S29" s="9" t="str">
        <x:f>IF(AA29="","",O29/INDEX('浓度设置'!$M$6:$M$46,MATCH(AA29,'浓度设置'!$A$6:$A$46,0)))</x:f>
      </x:c>
      <x:c r="T29" s="9" t="str">
        <x:f>IF(AB29="","",P29/INDEX('浓度设置'!$M$6:$M$46,MATCH(AB29,'浓度设置'!$A$6:$A$46,0)))</x:f>
      </x:c>
      <x:c r="U29" s="9" t="n">
        <x:f>IF(Y29="","",M29*$AD29/1000)</x:f>
        <x:v>82.1</x:v>
      </x:c>
      <x:c r="V29" s="9" t="str">
        <x:f>IF(Z29="","",N29*$AD29/1000)</x:f>
      </x:c>
      <x:c r="W29" s="9" t="str">
        <x:f>IF(AA29="","",O29*$AD29/1000)</x:f>
      </x:c>
      <x:c r="X29" s="9" t="str">
        <x:f>IF(AB29="","",P29*$AD29/1000)</x:f>
      </x:c>
      <x:c r="Y29" s="3" t="n">
        <x:v>56</x:v>
      </x:c>
      <x:c r="Z29" s="3" t="str"/>
      <x:c r="AA29" s="3" t="str"/>
      <x:c r="AB29" s="3" t="str"/>
      <x:c r="AC29" s="3" t="n">
        <x:v>1</x:v>
      </x:c>
      <x:c r="AD29" s="3" t="n">
        <x:f>'方案总览'!$B$5</x:f>
        <x:v>20</x:v>
      </x:c>
    </x:row>
    <x:row r="30" ht="24" customHeight="1">
      <x:c r="A30" s="3" t="str">
        <x:v>T025</x:v>
      </x:c>
      <x:c r="B30" s="3" t="str">
        <x:v>拟合</x:v>
      </x:c>
      <x:c r="C30" s="3" t="str">
        <x:v>S-58</x:v>
      </x:c>
      <x:c r="D30" s="3" t="str"/>
      <x:c r="E30" s="3" t="str">
        <x:v>辛酸乙酯</x:v>
      </x:c>
      <x:c r="F30" s="3" t="str"/>
      <x:c r="G30" s="3" t="str"/>
      <x:c r="H30" s="3" t="str"/>
      <x:c r="I30" s="3" t="str">
        <x:v>L</x:v>
      </x:c>
      <x:c r="J30" s="3" t="str"/>
      <x:c r="K30" s="3" t="str"/>
      <x:c r="L30" s="3" t="str"/>
      <x:c r="M30" s="9" t="n">
        <x:f>IF(Y30="","",INDEX('浓度设置'!$P$6:$R$46,MATCH(Y30,'浓度设置'!$A$6:$A$46,0),IF(I30="L",1,IF(I30="M",2,3))))</x:f>
        <x:v>5.06</x:v>
      </x:c>
      <x:c r="N30" s="9" t="str">
        <x:f>IF(Z30="","",INDEX('浓度设置'!$P$6:$R$46,MATCH(Z30,'浓度设置'!$A$6:$A$46,0),IF(J30="L",1,IF(J30="M",2,3))))</x:f>
      </x:c>
      <x:c r="O30" s="9" t="str">
        <x:f>IF(AA30="","",INDEX('浓度设置'!$P$6:$R$46,MATCH(AA30,'浓度设置'!$A$6:$A$46,0),IF(K30="L",1,IF(K30="M",2,3))))</x:f>
      </x:c>
      <x:c r="P30" s="9" t="str">
        <x:f>IF(AB30="","",INDEX('浓度设置'!$P$6:$R$46,MATCH(AB30,'浓度设置'!$A$6:$A$46,0),IF(L30="L",1,IF(L30="M",2,3))))</x:f>
      </x:c>
      <x:c r="Q30" s="9" t="n">
        <x:f>IF(Y30="","",M30/INDEX('浓度设置'!$M$6:$M$46,MATCH(Y30,'浓度设置'!$A$6:$A$46,0)))</x:f>
        <x:v>0.39224806201550383</x:v>
      </x:c>
      <x:c r="R30" s="9" t="str">
        <x:f>IF(Z30="","",N30/INDEX('浓度设置'!$M$6:$M$46,MATCH(Z30,'浓度设置'!$A$6:$A$46,0)))</x:f>
      </x:c>
      <x:c r="S30" s="9" t="str">
        <x:f>IF(AA30="","",O30/INDEX('浓度设置'!$M$6:$M$46,MATCH(AA30,'浓度设置'!$A$6:$A$46,0)))</x:f>
      </x:c>
      <x:c r="T30" s="9" t="str">
        <x:f>IF(AB30="","",P30/INDEX('浓度设置'!$M$6:$M$46,MATCH(AB30,'浓度设置'!$A$6:$A$46,0)))</x:f>
      </x:c>
      <x:c r="U30" s="9" t="n">
        <x:f>IF(Y30="","",M30*$AD30/1000)</x:f>
        <x:v>0.10119999999999998</x:v>
      </x:c>
      <x:c r="V30" s="9" t="str">
        <x:f>IF(Z30="","",N30*$AD30/1000)</x:f>
      </x:c>
      <x:c r="W30" s="9" t="str">
        <x:f>IF(AA30="","",O30*$AD30/1000)</x:f>
      </x:c>
      <x:c r="X30" s="9" t="str">
        <x:f>IF(AB30="","",P30*$AD30/1000)</x:f>
      </x:c>
      <x:c r="Y30" s="3" t="n">
        <x:v>58</x:v>
      </x:c>
      <x:c r="Z30" s="3" t="str"/>
      <x:c r="AA30" s="3" t="str"/>
      <x:c r="AB30" s="3" t="str"/>
      <x:c r="AC30" s="3" t="n">
        <x:v>1</x:v>
      </x:c>
      <x:c r="AD30" s="3" t="n">
        <x:f>'方案总览'!$B$5</x:f>
        <x:v>20</x:v>
      </x:c>
    </x:row>
    <x:row r="31" ht="24" customHeight="1">
      <x:c r="A31" s="3" t="str">
        <x:v>T026</x:v>
      </x:c>
      <x:c r="B31" s="3" t="str">
        <x:v>拟合</x:v>
      </x:c>
      <x:c r="C31" s="3" t="str">
        <x:v>S-58</x:v>
      </x:c>
      <x:c r="D31" s="3" t="str"/>
      <x:c r="E31" s="3" t="str">
        <x:v>辛酸乙酯</x:v>
      </x:c>
      <x:c r="F31" s="3" t="str"/>
      <x:c r="G31" s="3" t="str"/>
      <x:c r="H31" s="3" t="str"/>
      <x:c r="I31" s="3" t="str">
        <x:v>M</x:v>
      </x:c>
      <x:c r="J31" s="3" t="str"/>
      <x:c r="K31" s="3" t="str"/>
      <x:c r="L31" s="3" t="str"/>
      <x:c r="M31" s="9" t="n">
        <x:f>IF(Y31="","",INDEX('浓度设置'!$P$6:$R$46,MATCH(Y31,'浓度设置'!$A$6:$A$46,0),IF(I31="L",1,IF(I31="M",2,3))))</x:f>
        <x:v>3072.731960324558</x:v>
      </x:c>
      <x:c r="N31" s="9" t="str">
        <x:f>IF(Z31="","",INDEX('浓度设置'!$P$6:$R$46,MATCH(Z31,'浓度设置'!$A$6:$A$46,0),IF(J31="L",1,IF(J31="M",2,3))))</x:f>
      </x:c>
      <x:c r="O31" s="9" t="str">
        <x:f>IF(AA31="","",INDEX('浓度设置'!$P$6:$R$46,MATCH(AA31,'浓度设置'!$A$6:$A$46,0),IF(K31="L",1,IF(K31="M",2,3))))</x:f>
      </x:c>
      <x:c r="P31" s="9" t="str">
        <x:f>IF(AB31="","",INDEX('浓度设置'!$P$6:$R$46,MATCH(AB31,'浓度设置'!$A$6:$A$46,0),IF(L31="L",1,IF(L31="M",2,3))))</x:f>
      </x:c>
      <x:c r="Q31" s="9" t="n">
        <x:f>IF(Y31="","",M31/INDEX('浓度设置'!$M$6:$M$46,MATCH(Y31,'浓度设置'!$A$6:$A$46,0)))</x:f>
        <x:v>238.19627599415176</x:v>
      </x:c>
      <x:c r="R31" s="9" t="str">
        <x:f>IF(Z31="","",N31/INDEX('浓度设置'!$M$6:$M$46,MATCH(Z31,'浓度设置'!$A$6:$A$46,0)))</x:f>
      </x:c>
      <x:c r="S31" s="9" t="str">
        <x:f>IF(AA31="","",O31/INDEX('浓度设置'!$M$6:$M$46,MATCH(AA31,'浓度设置'!$A$6:$A$46,0)))</x:f>
      </x:c>
      <x:c r="T31" s="9" t="str">
        <x:f>IF(AB31="","",P31/INDEX('浓度设置'!$M$6:$M$46,MATCH(AB31,'浓度设置'!$A$6:$A$46,0)))</x:f>
      </x:c>
      <x:c r="U31" s="9" t="n">
        <x:f>IF(Y31="","",M31*$AD31/1000)</x:f>
        <x:v>61.45463920649116</x:v>
      </x:c>
      <x:c r="V31" s="9" t="str">
        <x:f>IF(Z31="","",N31*$AD31/1000)</x:f>
      </x:c>
      <x:c r="W31" s="9" t="str">
        <x:f>IF(AA31="","",O31*$AD31/1000)</x:f>
      </x:c>
      <x:c r="X31" s="9" t="str">
        <x:f>IF(AB31="","",P31*$AD31/1000)</x:f>
      </x:c>
      <x:c r="Y31" s="3" t="n">
        <x:v>58</x:v>
      </x:c>
      <x:c r="Z31" s="3" t="str"/>
      <x:c r="AA31" s="3" t="str"/>
      <x:c r="AB31" s="3" t="str"/>
      <x:c r="AC31" s="3" t="n">
        <x:v>1</x:v>
      </x:c>
      <x:c r="AD31" s="3" t="n">
        <x:f>'方案总览'!$B$5</x:f>
        <x:v>20</x:v>
      </x:c>
    </x:row>
    <x:row r="32" ht="24" customHeight="1">
      <x:c r="A32" s="3" t="str">
        <x:v>T027</x:v>
      </x:c>
      <x:c r="B32" s="3" t="str">
        <x:v>拟合</x:v>
      </x:c>
      <x:c r="C32" s="3" t="str">
        <x:v>S-58</x:v>
      </x:c>
      <x:c r="D32" s="3" t="str"/>
      <x:c r="E32" s="3" t="str">
        <x:v>辛酸乙酯</x:v>
      </x:c>
      <x:c r="F32" s="3" t="str"/>
      <x:c r="G32" s="3" t="str"/>
      <x:c r="H32" s="3" t="str"/>
      <x:c r="I32" s="3" t="str">
        <x:v>H</x:v>
      </x:c>
      <x:c r="J32" s="3" t="str"/>
      <x:c r="K32" s="3" t="str"/>
      <x:c r="L32" s="3" t="str"/>
      <x:c r="M32" s="9" t="n">
        <x:f>IF(Y32="","",INDEX('浓度设置'!$P$6:$R$46,MATCH(Y32,'浓度设置'!$A$6:$A$46,0),IF(I32="L",1,IF(I32="M",2,3))))</x:f>
        <x:v>1865945</x:v>
      </x:c>
      <x:c r="N32" s="9" t="str">
        <x:f>IF(Z32="","",INDEX('浓度设置'!$P$6:$R$46,MATCH(Z32,'浓度设置'!$A$6:$A$46,0),IF(J32="L",1,IF(J32="M",2,3))))</x:f>
      </x:c>
      <x:c r="O32" s="9" t="str">
        <x:f>IF(AA32="","",INDEX('浓度设置'!$P$6:$R$46,MATCH(AA32,'浓度设置'!$A$6:$A$46,0),IF(K32="L",1,IF(K32="M",2,3))))</x:f>
      </x:c>
      <x:c r="P32" s="9" t="str">
        <x:f>IF(AB32="","",INDEX('浓度设置'!$P$6:$R$46,MATCH(AB32,'浓度设置'!$A$6:$A$46,0),IF(L32="L",1,IF(L32="M",2,3))))</x:f>
      </x:c>
      <x:c r="Q32" s="9" t="n">
        <x:f>IF(Y32="","",M32/INDEX('浓度设置'!$M$6:$M$46,MATCH(Y32,'浓度设置'!$A$6:$A$46,0)))</x:f>
        <x:v>144646.8992248062</x:v>
      </x:c>
      <x:c r="R32" s="9" t="str">
        <x:f>IF(Z32="","",N32/INDEX('浓度设置'!$M$6:$M$46,MATCH(Z32,'浓度设置'!$A$6:$A$46,0)))</x:f>
      </x:c>
      <x:c r="S32" s="9" t="str">
        <x:f>IF(AA32="","",O32/INDEX('浓度设置'!$M$6:$M$46,MATCH(AA32,'浓度设置'!$A$6:$A$46,0)))</x:f>
      </x:c>
      <x:c r="T32" s="9" t="str">
        <x:f>IF(AB32="","",P32/INDEX('浓度设置'!$M$6:$M$46,MATCH(AB32,'浓度设置'!$A$6:$A$46,0)))</x:f>
      </x:c>
      <x:c r="U32" s="9" t="n">
        <x:f>IF(Y32="","",M32*$AD32/1000)</x:f>
        <x:v>37318.9</x:v>
      </x:c>
      <x:c r="V32" s="9" t="str">
        <x:f>IF(Z32="","",N32*$AD32/1000)</x:f>
      </x:c>
      <x:c r="W32" s="9" t="str">
        <x:f>IF(AA32="","",O32*$AD32/1000)</x:f>
      </x:c>
      <x:c r="X32" s="9" t="str">
        <x:f>IF(AB32="","",P32*$AD32/1000)</x:f>
      </x:c>
      <x:c r="Y32" s="3" t="n">
        <x:v>58</x:v>
      </x:c>
      <x:c r="Z32" s="3" t="str"/>
      <x:c r="AA32" s="3" t="str"/>
      <x:c r="AB32" s="3" t="str"/>
      <x:c r="AC32" s="3" t="n">
        <x:v>1</x:v>
      </x:c>
      <x:c r="AD32" s="3" t="n">
        <x:f>'方案总览'!$B$5</x:f>
        <x:v>20</x:v>
      </x:c>
    </x:row>
    <x:row r="33" ht="24" customHeight="1">
      <x:c r="A33" s="3" t="str">
        <x:v>T028</x:v>
      </x:c>
      <x:c r="B33" s="3" t="str">
        <x:v>拟合</x:v>
      </x:c>
      <x:c r="C33" s="3" t="str">
        <x:v>S-61</x:v>
      </x:c>
      <x:c r="D33" s="3" t="str"/>
      <x:c r="E33" s="3" t="str">
        <x:v>对甲酚</x:v>
      </x:c>
      <x:c r="F33" s="3" t="str"/>
      <x:c r="G33" s="3" t="str"/>
      <x:c r="H33" s="3" t="str"/>
      <x:c r="I33" s="3" t="str">
        <x:v>L</x:v>
      </x:c>
      <x:c r="J33" s="3" t="str"/>
      <x:c r="K33" s="3" t="str"/>
      <x:c r="L33" s="3" t="str"/>
      <x:c r="M33" s="9" t="n">
        <x:f>IF(Y33="","",INDEX('浓度设置'!$P$6:$R$46,MATCH(Y33,'浓度设置'!$A$6:$A$46,0),IF(I33="L",1,IF(I33="M",2,3))))</x:f>
        <x:v>0.51</x:v>
      </x:c>
      <x:c r="N33" s="9" t="str">
        <x:f>IF(Z33="","",INDEX('浓度设置'!$P$6:$R$46,MATCH(Z33,'浓度设置'!$A$6:$A$46,0),IF(J33="L",1,IF(J33="M",2,3))))</x:f>
      </x:c>
      <x:c r="O33" s="9" t="str">
        <x:f>IF(AA33="","",INDEX('浓度设置'!$P$6:$R$46,MATCH(AA33,'浓度设置'!$A$6:$A$46,0),IF(K33="L",1,IF(K33="M",2,3))))</x:f>
      </x:c>
      <x:c r="P33" s="9" t="str">
        <x:f>IF(AB33="","",INDEX('浓度设置'!$P$6:$R$46,MATCH(AB33,'浓度设置'!$A$6:$A$46,0),IF(L33="L",1,IF(L33="M",2,3))))</x:f>
      </x:c>
      <x:c r="Q33" s="9" t="n">
        <x:f>IF(Y33="","",M33/INDEX('浓度设置'!$M$6:$M$46,MATCH(Y33,'浓度设置'!$A$6:$A$46,0)))</x:f>
        <x:v>0.003053892215568862</x:v>
      </x:c>
      <x:c r="R33" s="9" t="str">
        <x:f>IF(Z33="","",N33/INDEX('浓度设置'!$M$6:$M$46,MATCH(Z33,'浓度设置'!$A$6:$A$46,0)))</x:f>
      </x:c>
      <x:c r="S33" s="9" t="str">
        <x:f>IF(AA33="","",O33/INDEX('浓度设置'!$M$6:$M$46,MATCH(AA33,'浓度设置'!$A$6:$A$46,0)))</x:f>
      </x:c>
      <x:c r="T33" s="9" t="str">
        <x:f>IF(AB33="","",P33/INDEX('浓度设置'!$M$6:$M$46,MATCH(AB33,'浓度设置'!$A$6:$A$46,0)))</x:f>
      </x:c>
      <x:c r="U33" s="9" t="n">
        <x:f>IF(Y33="","",M33*$AD33/1000)</x:f>
        <x:v>0.010199999999999999</x:v>
      </x:c>
      <x:c r="V33" s="9" t="str">
        <x:f>IF(Z33="","",N33*$AD33/1000)</x:f>
      </x:c>
      <x:c r="W33" s="9" t="str">
        <x:f>IF(AA33="","",O33*$AD33/1000)</x:f>
      </x:c>
      <x:c r="X33" s="9" t="str">
        <x:f>IF(AB33="","",P33*$AD33/1000)</x:f>
      </x:c>
      <x:c r="Y33" s="3" t="n">
        <x:v>61</x:v>
      </x:c>
      <x:c r="Z33" s="3" t="str"/>
      <x:c r="AA33" s="3" t="str"/>
      <x:c r="AB33" s="3" t="str"/>
      <x:c r="AC33" s="3" t="n">
        <x:v>1</x:v>
      </x:c>
      <x:c r="AD33" s="3" t="n">
        <x:f>'方案总览'!$B$5</x:f>
        <x:v>20</x:v>
      </x:c>
    </x:row>
    <x:row r="34" ht="24" customHeight="1">
      <x:c r="A34" s="3" t="str">
        <x:v>T029</x:v>
      </x:c>
      <x:c r="B34" s="3" t="str">
        <x:v>拟合</x:v>
      </x:c>
      <x:c r="C34" s="3" t="str">
        <x:v>S-61</x:v>
      </x:c>
      <x:c r="D34" s="3" t="str"/>
      <x:c r="E34" s="3" t="str">
        <x:v>对甲酚</x:v>
      </x:c>
      <x:c r="F34" s="3" t="str"/>
      <x:c r="G34" s="3" t="str"/>
      <x:c r="H34" s="3" t="str"/>
      <x:c r="I34" s="3" t="str">
        <x:v>M</x:v>
      </x:c>
      <x:c r="J34" s="3" t="str"/>
      <x:c r="K34" s="3" t="str"/>
      <x:c r="L34" s="3" t="str"/>
      <x:c r="M34" s="9" t="n">
        <x:f>IF(Y34="","",INDEX('浓度设置'!$P$6:$R$46,MATCH(Y34,'浓度设置'!$A$6:$A$46,0),IF(I34="L",1,IF(I34="M",2,3))))</x:f>
        <x:v>59.381310191002015</x:v>
      </x:c>
      <x:c r="N34" s="9" t="str">
        <x:f>IF(Z34="","",INDEX('浓度设置'!$P$6:$R$46,MATCH(Z34,'浓度设置'!$A$6:$A$46,0),IF(J34="L",1,IF(J34="M",2,3))))</x:f>
      </x:c>
      <x:c r="O34" s="9" t="str">
        <x:f>IF(AA34="","",INDEX('浓度设置'!$P$6:$R$46,MATCH(AA34,'浓度设置'!$A$6:$A$46,0),IF(K34="L",1,IF(K34="M",2,3))))</x:f>
      </x:c>
      <x:c r="P34" s="9" t="str">
        <x:f>IF(AB34="","",INDEX('浓度设置'!$P$6:$R$46,MATCH(AB34,'浓度设置'!$A$6:$A$46,0),IF(L34="L",1,IF(L34="M",2,3))))</x:f>
      </x:c>
      <x:c r="Q34" s="9" t="n">
        <x:f>IF(Y34="","",M34/INDEX('浓度设置'!$M$6:$M$46,MATCH(Y34,'浓度设置'!$A$6:$A$46,0)))</x:f>
        <x:v>0.355576707730551</x:v>
      </x:c>
      <x:c r="R34" s="9" t="str">
        <x:f>IF(Z34="","",N34/INDEX('浓度设置'!$M$6:$M$46,MATCH(Z34,'浓度设置'!$A$6:$A$46,0)))</x:f>
      </x:c>
      <x:c r="S34" s="9" t="str">
        <x:f>IF(AA34="","",O34/INDEX('浓度设置'!$M$6:$M$46,MATCH(AA34,'浓度设置'!$A$6:$A$46,0)))</x:f>
      </x:c>
      <x:c r="T34" s="9" t="str">
        <x:f>IF(AB34="","",P34/INDEX('浓度设置'!$M$6:$M$46,MATCH(AB34,'浓度设置'!$A$6:$A$46,0)))</x:f>
      </x:c>
      <x:c r="U34" s="9" t="n">
        <x:f>IF(Y34="","",M34*$AD34/1000)</x:f>
        <x:v>1.1876262038200402</x:v>
      </x:c>
      <x:c r="V34" s="9" t="str">
        <x:f>IF(Z34="","",N34*$AD34/1000)</x:f>
      </x:c>
      <x:c r="W34" s="9" t="str">
        <x:f>IF(AA34="","",O34*$AD34/1000)</x:f>
      </x:c>
      <x:c r="X34" s="9" t="str">
        <x:f>IF(AB34="","",P34*$AD34/1000)</x:f>
      </x:c>
      <x:c r="Y34" s="3" t="n">
        <x:v>61</x:v>
      </x:c>
      <x:c r="Z34" s="3" t="str"/>
      <x:c r="AA34" s="3" t="str"/>
      <x:c r="AB34" s="3" t="str"/>
      <x:c r="AC34" s="3" t="n">
        <x:v>1</x:v>
      </x:c>
      <x:c r="AD34" s="3" t="n">
        <x:f>'方案总览'!$B$5</x:f>
        <x:v>20</x:v>
      </x:c>
    </x:row>
    <x:row r="35" ht="24" customHeight="1">
      <x:c r="A35" s="3" t="str">
        <x:v>T030</x:v>
      </x:c>
      <x:c r="B35" s="3" t="str">
        <x:v>拟合</x:v>
      </x:c>
      <x:c r="C35" s="3" t="str">
        <x:v>S-61</x:v>
      </x:c>
      <x:c r="D35" s="3" t="str"/>
      <x:c r="E35" s="3" t="str">
        <x:v>对甲酚</x:v>
      </x:c>
      <x:c r="F35" s="3" t="str"/>
      <x:c r="G35" s="3" t="str"/>
      <x:c r="H35" s="3" t="str"/>
      <x:c r="I35" s="3" t="str">
        <x:v>H</x:v>
      </x:c>
      <x:c r="J35" s="3" t="str"/>
      <x:c r="K35" s="3" t="str"/>
      <x:c r="L35" s="3" t="str"/>
      <x:c r="M35" s="9" t="n">
        <x:f>IF(Y35="","",INDEX('浓度设置'!$P$6:$R$46,MATCH(Y35,'浓度设置'!$A$6:$A$46,0),IF(I35="L",1,IF(I35="M",2,3))))</x:f>
        <x:v>6914</x:v>
      </x:c>
      <x:c r="N35" s="9" t="str">
        <x:f>IF(Z35="","",INDEX('浓度设置'!$P$6:$R$46,MATCH(Z35,'浓度设置'!$A$6:$A$46,0),IF(J35="L",1,IF(J35="M",2,3))))</x:f>
      </x:c>
      <x:c r="O35" s="9" t="str">
        <x:f>IF(AA35="","",INDEX('浓度设置'!$P$6:$R$46,MATCH(AA35,'浓度设置'!$A$6:$A$46,0),IF(K35="L",1,IF(K35="M",2,3))))</x:f>
      </x:c>
      <x:c r="P35" s="9" t="str">
        <x:f>IF(AB35="","",INDEX('浓度设置'!$P$6:$R$46,MATCH(AB35,'浓度设置'!$A$6:$A$46,0),IF(L35="L",1,IF(L35="M",2,3))))</x:f>
      </x:c>
      <x:c r="Q35" s="9" t="n">
        <x:f>IF(Y35="","",M35/INDEX('浓度设置'!$M$6:$M$46,MATCH(Y35,'浓度设置'!$A$6:$A$46,0)))</x:f>
        <x:v>41.40119760479042</x:v>
      </x:c>
      <x:c r="R35" s="9" t="str">
        <x:f>IF(Z35="","",N35/INDEX('浓度设置'!$M$6:$M$46,MATCH(Z35,'浓度设置'!$A$6:$A$46,0)))</x:f>
      </x:c>
      <x:c r="S35" s="9" t="str">
        <x:f>IF(AA35="","",O35/INDEX('浓度设置'!$M$6:$M$46,MATCH(AA35,'浓度设置'!$A$6:$A$46,0)))</x:f>
      </x:c>
      <x:c r="T35" s="9" t="str">
        <x:f>IF(AB35="","",P35/INDEX('浓度设置'!$M$6:$M$46,MATCH(AB35,'浓度设置'!$A$6:$A$46,0)))</x:f>
      </x:c>
      <x:c r="U35" s="9" t="n">
        <x:f>IF(Y35="","",M35*$AD35/1000)</x:f>
        <x:v>138.28</x:v>
      </x:c>
      <x:c r="V35" s="9" t="str">
        <x:f>IF(Z35="","",N35*$AD35/1000)</x:f>
      </x:c>
      <x:c r="W35" s="9" t="str">
        <x:f>IF(AA35="","",O35*$AD35/1000)</x:f>
      </x:c>
      <x:c r="X35" s="9" t="str">
        <x:f>IF(AB35="","",P35*$AD35/1000)</x:f>
      </x:c>
      <x:c r="Y35" s="3" t="n">
        <x:v>61</x:v>
      </x:c>
      <x:c r="Z35" s="3" t="str"/>
      <x:c r="AA35" s="3" t="str"/>
      <x:c r="AB35" s="3" t="str"/>
      <x:c r="AC35" s="3" t="n">
        <x:v>1</x:v>
      </x:c>
      <x:c r="AD35" s="3" t="n">
        <x:f>'方案总览'!$B$5</x:f>
        <x:v>20</x:v>
      </x:c>
    </x:row>
    <x:row r="36" ht="24" customHeight="1">
      <x:c r="A36" s="3" t="str">
        <x:v>T031</x:v>
      </x:c>
      <x:c r="B36" s="3" t="str">
        <x:v>拟合</x:v>
      </x:c>
      <x:c r="C36" s="3" t="str">
        <x:v>S-69</x:v>
      </x:c>
      <x:c r="D36" s="3" t="str"/>
      <x:c r="E36" s="3" t="str">
        <x:v>异戊酸乙酯（3-甲基丁酸乙酯）</x:v>
      </x:c>
      <x:c r="F36" s="3" t="str"/>
      <x:c r="G36" s="3" t="str"/>
      <x:c r="H36" s="3" t="str"/>
      <x:c r="I36" s="3" t="str">
        <x:v>L</x:v>
      </x:c>
      <x:c r="J36" s="3" t="str"/>
      <x:c r="K36" s="3" t="str"/>
      <x:c r="L36" s="3" t="str"/>
      <x:c r="M36" s="9" t="n">
        <x:f>IF(Y36="","",INDEX('浓度设置'!$P$6:$R$46,MATCH(Y36,'浓度设置'!$A$6:$A$46,0),IF(I36="L",1,IF(I36="M",2,3))))</x:f>
        <x:v>0.83</x:v>
      </x:c>
      <x:c r="N36" s="9" t="str">
        <x:f>IF(Z36="","",INDEX('浓度设置'!$P$6:$R$46,MATCH(Z36,'浓度设置'!$A$6:$A$46,0),IF(J36="L",1,IF(J36="M",2,3))))</x:f>
      </x:c>
      <x:c r="O36" s="9" t="str">
        <x:f>IF(AA36="","",INDEX('浓度设置'!$P$6:$R$46,MATCH(AA36,'浓度设置'!$A$6:$A$46,0),IF(K36="L",1,IF(K36="M",2,3))))</x:f>
      </x:c>
      <x:c r="P36" s="9" t="str">
        <x:f>IF(AB36="","",INDEX('浓度设置'!$P$6:$R$46,MATCH(AB36,'浓度设置'!$A$6:$A$46,0),IF(L36="L",1,IF(L36="M",2,3))))</x:f>
      </x:c>
      <x:c r="Q36" s="9" t="n">
        <x:f>IF(Y36="","",M36/INDEX('浓度设置'!$M$6:$M$46,MATCH(Y36,'浓度设置'!$A$6:$A$46,0)))</x:f>
        <x:v>0.1204644412191582</x:v>
      </x:c>
      <x:c r="R36" s="9" t="str">
        <x:f>IF(Z36="","",N36/INDEX('浓度设置'!$M$6:$M$46,MATCH(Z36,'浓度设置'!$A$6:$A$46,0)))</x:f>
      </x:c>
      <x:c r="S36" s="9" t="str">
        <x:f>IF(AA36="","",O36/INDEX('浓度设置'!$M$6:$M$46,MATCH(AA36,'浓度设置'!$A$6:$A$46,0)))</x:f>
      </x:c>
      <x:c r="T36" s="9" t="str">
        <x:f>IF(AB36="","",P36/INDEX('浓度设置'!$M$6:$M$46,MATCH(AB36,'浓度设置'!$A$6:$A$46,0)))</x:f>
      </x:c>
      <x:c r="U36" s="9" t="n">
        <x:f>IF(Y36="","",M36*$AD36/1000)</x:f>
        <x:v>0.016599999999999997</x:v>
      </x:c>
      <x:c r="V36" s="9" t="str">
        <x:f>IF(Z36="","",N36*$AD36/1000)</x:f>
      </x:c>
      <x:c r="W36" s="9" t="str">
        <x:f>IF(AA36="","",O36*$AD36/1000)</x:f>
      </x:c>
      <x:c r="X36" s="9" t="str">
        <x:f>IF(AB36="","",P36*$AD36/1000)</x:f>
      </x:c>
      <x:c r="Y36" s="3" t="n">
        <x:v>69</x:v>
      </x:c>
      <x:c r="Z36" s="3" t="str"/>
      <x:c r="AA36" s="3" t="str"/>
      <x:c r="AB36" s="3" t="str"/>
      <x:c r="AC36" s="3" t="n">
        <x:v>1</x:v>
      </x:c>
      <x:c r="AD36" s="3" t="n">
        <x:f>'方案总览'!$B$5</x:f>
        <x:v>20</x:v>
      </x:c>
    </x:row>
    <x:row r="37" ht="24" customHeight="1">
      <x:c r="A37" s="3" t="str">
        <x:v>T032</x:v>
      </x:c>
      <x:c r="B37" s="3" t="str">
        <x:v>拟合</x:v>
      </x:c>
      <x:c r="C37" s="3" t="str">
        <x:v>S-69</x:v>
      </x:c>
      <x:c r="D37" s="3" t="str"/>
      <x:c r="E37" s="3" t="str">
        <x:v>异戊酸乙酯（3-甲基丁酸乙酯）</x:v>
      </x:c>
      <x:c r="F37" s="3" t="str"/>
      <x:c r="G37" s="3" t="str"/>
      <x:c r="H37" s="3" t="str"/>
      <x:c r="I37" s="3" t="str">
        <x:v>M</x:v>
      </x:c>
      <x:c r="J37" s="3" t="str"/>
      <x:c r="K37" s="3" t="str"/>
      <x:c r="L37" s="3" t="str"/>
      <x:c r="M37" s="9" t="n">
        <x:f>IF(Y37="","",INDEX('浓度设置'!$P$6:$R$46,MATCH(Y37,'浓度设置'!$A$6:$A$46,0),IF(I37="L",1,IF(I37="M",2,3))))</x:f>
        <x:v>99.89207175747232</x:v>
      </x:c>
      <x:c r="N37" s="9" t="str">
        <x:f>IF(Z37="","",INDEX('浓度设置'!$P$6:$R$46,MATCH(Z37,'浓度设置'!$A$6:$A$46,0),IF(J37="L",1,IF(J37="M",2,3))))</x:f>
      </x:c>
      <x:c r="O37" s="9" t="str">
        <x:f>IF(AA37="","",INDEX('浓度设置'!$P$6:$R$46,MATCH(AA37,'浓度设置'!$A$6:$A$46,0),IF(K37="L",1,IF(K37="M",2,3))))</x:f>
      </x:c>
      <x:c r="P37" s="9" t="str">
        <x:f>IF(AB37="","",INDEX('浓度设置'!$P$6:$R$46,MATCH(AB37,'浓度设置'!$A$6:$A$46,0),IF(L37="L",1,IF(L37="M",2,3))))</x:f>
      </x:c>
      <x:c r="Q37" s="9" t="n">
        <x:f>IF(Y37="","",M37/INDEX('浓度设置'!$M$6:$M$46,MATCH(Y37,'浓度设置'!$A$6:$A$46,0)))</x:f>
        <x:v>14.49812362227465</x:v>
      </x:c>
      <x:c r="R37" s="9" t="str">
        <x:f>IF(Z37="","",N37/INDEX('浓度设置'!$M$6:$M$46,MATCH(Z37,'浓度设置'!$A$6:$A$46,0)))</x:f>
      </x:c>
      <x:c r="S37" s="9" t="str">
        <x:f>IF(AA37="","",O37/INDEX('浓度设置'!$M$6:$M$46,MATCH(AA37,'浓度设置'!$A$6:$A$46,0)))</x:f>
      </x:c>
      <x:c r="T37" s="9" t="str">
        <x:f>IF(AB37="","",P37/INDEX('浓度设置'!$M$6:$M$46,MATCH(AB37,'浓度设置'!$A$6:$A$46,0)))</x:f>
      </x:c>
      <x:c r="U37" s="9" t="n">
        <x:f>IF(Y37="","",M37*$AD37/1000)</x:f>
        <x:v>1.9978414351494465</x:v>
      </x:c>
      <x:c r="V37" s="9" t="str">
        <x:f>IF(Z37="","",N37*$AD37/1000)</x:f>
      </x:c>
      <x:c r="W37" s="9" t="str">
        <x:f>IF(AA37="","",O37*$AD37/1000)</x:f>
      </x:c>
      <x:c r="X37" s="9" t="str">
        <x:f>IF(AB37="","",P37*$AD37/1000)</x:f>
      </x:c>
      <x:c r="Y37" s="3" t="n">
        <x:v>69</x:v>
      </x:c>
      <x:c r="Z37" s="3" t="str"/>
      <x:c r="AA37" s="3" t="str"/>
      <x:c r="AB37" s="3" t="str"/>
      <x:c r="AC37" s="3" t="n">
        <x:v>1</x:v>
      </x:c>
      <x:c r="AD37" s="3" t="n">
        <x:f>'方案总览'!$B$5</x:f>
        <x:v>20</x:v>
      </x:c>
    </x:row>
    <x:row r="38" ht="24" customHeight="1">
      <x:c r="A38" s="3" t="str">
        <x:v>T033</x:v>
      </x:c>
      <x:c r="B38" s="3" t="str">
        <x:v>拟合</x:v>
      </x:c>
      <x:c r="C38" s="3" t="str">
        <x:v>S-69</x:v>
      </x:c>
      <x:c r="D38" s="3" t="str"/>
      <x:c r="E38" s="3" t="str">
        <x:v>异戊酸乙酯（3-甲基丁酸乙酯）</x:v>
      </x:c>
      <x:c r="F38" s="3" t="str"/>
      <x:c r="G38" s="3" t="str"/>
      <x:c r="H38" s="3" t="str"/>
      <x:c r="I38" s="3" t="str">
        <x:v>H</x:v>
      </x:c>
      <x:c r="J38" s="3" t="str"/>
      <x:c r="K38" s="3" t="str"/>
      <x:c r="L38" s="3" t="str"/>
      <x:c r="M38" s="9" t="n">
        <x:f>IF(Y38="","",INDEX('浓度设置'!$P$6:$R$46,MATCH(Y38,'浓度设置'!$A$6:$A$46,0),IF(I38="L",1,IF(I38="M",2,3))))</x:f>
        <x:v>12022.2</x:v>
      </x:c>
      <x:c r="N38" s="9" t="str">
        <x:f>IF(Z38="","",INDEX('浓度设置'!$P$6:$R$46,MATCH(Z38,'浓度设置'!$A$6:$A$46,0),IF(J38="L",1,IF(J38="M",2,3))))</x:f>
      </x:c>
      <x:c r="O38" s="9" t="str">
        <x:f>IF(AA38="","",INDEX('浓度设置'!$P$6:$R$46,MATCH(AA38,'浓度设置'!$A$6:$A$46,0),IF(K38="L",1,IF(K38="M",2,3))))</x:f>
      </x:c>
      <x:c r="P38" s="9" t="str">
        <x:f>IF(AB38="","",INDEX('浓度设置'!$P$6:$R$46,MATCH(AB38,'浓度设置'!$A$6:$A$46,0),IF(L38="L",1,IF(L38="M",2,3))))</x:f>
      </x:c>
      <x:c r="Q38" s="9" t="n">
        <x:f>IF(Y38="","",M38/INDEX('浓度设置'!$M$6:$M$46,MATCH(Y38,'浓度设置'!$A$6:$A$46,0)))</x:f>
        <x:v>1744.8766328011613</x:v>
      </x:c>
      <x:c r="R38" s="9" t="str">
        <x:f>IF(Z38="","",N38/INDEX('浓度设置'!$M$6:$M$46,MATCH(Z38,'浓度设置'!$A$6:$A$46,0)))</x:f>
      </x:c>
      <x:c r="S38" s="9" t="str">
        <x:f>IF(AA38="","",O38/INDEX('浓度设置'!$M$6:$M$46,MATCH(AA38,'浓度设置'!$A$6:$A$46,0)))</x:f>
      </x:c>
      <x:c r="T38" s="9" t="str">
        <x:f>IF(AB38="","",P38/INDEX('浓度设置'!$M$6:$M$46,MATCH(AB38,'浓度设置'!$A$6:$A$46,0)))</x:f>
      </x:c>
      <x:c r="U38" s="9" t="n">
        <x:f>IF(Y38="","",M38*$AD38/1000)</x:f>
        <x:v>240.444</x:v>
      </x:c>
      <x:c r="V38" s="9" t="str">
        <x:f>IF(Z38="","",N38*$AD38/1000)</x:f>
      </x:c>
      <x:c r="W38" s="9" t="str">
        <x:f>IF(AA38="","",O38*$AD38/1000)</x:f>
      </x:c>
      <x:c r="X38" s="9" t="str">
        <x:f>IF(AB38="","",P38*$AD38/1000)</x:f>
      </x:c>
      <x:c r="Y38" s="3" t="n">
        <x:v>69</x:v>
      </x:c>
      <x:c r="Z38" s="3" t="str"/>
      <x:c r="AA38" s="3" t="str"/>
      <x:c r="AB38" s="3" t="str"/>
      <x:c r="AC38" s="3" t="n">
        <x:v>1</x:v>
      </x:c>
      <x:c r="AD38" s="3" t="n">
        <x:f>'方案总览'!$B$5</x:f>
        <x:v>20</x:v>
      </x:c>
    </x:row>
    <x:row r="39" ht="24" customHeight="1">
      <x:c r="A39" s="3" t="str">
        <x:v>T034</x:v>
      </x:c>
      <x:c r="B39" s="3" t="str">
        <x:v>拟合</x:v>
      </x:c>
      <x:c r="C39" s="3" t="str">
        <x:v>S-75</x:v>
      </x:c>
      <x:c r="D39" s="3" t="str"/>
      <x:c r="E39" s="3" t="str">
        <x:v>戊酸</x:v>
      </x:c>
      <x:c r="F39" s="3" t="str"/>
      <x:c r="G39" s="3" t="str"/>
      <x:c r="H39" s="3" t="str"/>
      <x:c r="I39" s="3" t="str">
        <x:v>L</x:v>
      </x:c>
      <x:c r="J39" s="3" t="str"/>
      <x:c r="K39" s="3" t="str"/>
      <x:c r="L39" s="3" t="str"/>
      <x:c r="M39" s="9" t="n">
        <x:f>IF(Y39="","",INDEX('浓度设置'!$P$6:$R$46,MATCH(Y39,'浓度设置'!$A$6:$A$46,0),IF(I39="L",1,IF(I39="M",2,3))))</x:f>
        <x:v>1.75</x:v>
      </x:c>
      <x:c r="N39" s="9" t="str">
        <x:f>IF(Z39="","",INDEX('浓度设置'!$P$6:$R$46,MATCH(Z39,'浓度设置'!$A$6:$A$46,0),IF(J39="L",1,IF(J39="M",2,3))))</x:f>
      </x:c>
      <x:c r="O39" s="9" t="str">
        <x:f>IF(AA39="","",INDEX('浓度设置'!$P$6:$R$46,MATCH(AA39,'浓度设置'!$A$6:$A$46,0),IF(K39="L",1,IF(K39="M",2,3))))</x:f>
      </x:c>
      <x:c r="P39" s="9" t="str">
        <x:f>IF(AB39="","",INDEX('浓度设置'!$P$6:$R$46,MATCH(AB39,'浓度设置'!$A$6:$A$46,0),IF(L39="L",1,IF(L39="M",2,3))))</x:f>
      </x:c>
      <x:c r="Q39" s="9" t="n">
        <x:f>IF(Y39="","",M39/INDEX('浓度设置'!$M$6:$M$46,MATCH(Y39,'浓度设置'!$A$6:$A$46,0)))</x:f>
        <x:v>0.004498714652956298</x:v>
      </x:c>
      <x:c r="R39" s="9" t="str">
        <x:f>IF(Z39="","",N39/INDEX('浓度设置'!$M$6:$M$46,MATCH(Z39,'浓度设置'!$A$6:$A$46,0)))</x:f>
      </x:c>
      <x:c r="S39" s="9" t="str">
        <x:f>IF(AA39="","",O39/INDEX('浓度设置'!$M$6:$M$46,MATCH(AA39,'浓度设置'!$A$6:$A$46,0)))</x:f>
      </x:c>
      <x:c r="T39" s="9" t="str">
        <x:f>IF(AB39="","",P39/INDEX('浓度设置'!$M$6:$M$46,MATCH(AB39,'浓度设置'!$A$6:$A$46,0)))</x:f>
      </x:c>
      <x:c r="U39" s="9" t="n">
        <x:f>IF(Y39="","",M39*$AD39/1000)</x:f>
        <x:v>0.035</x:v>
      </x:c>
      <x:c r="V39" s="9" t="str">
        <x:f>IF(Z39="","",N39*$AD39/1000)</x:f>
      </x:c>
      <x:c r="W39" s="9" t="str">
        <x:f>IF(AA39="","",O39*$AD39/1000)</x:f>
      </x:c>
      <x:c r="X39" s="9" t="str">
        <x:f>IF(AB39="","",P39*$AD39/1000)</x:f>
      </x:c>
      <x:c r="Y39" s="3" t="n">
        <x:v>75</x:v>
      </x:c>
      <x:c r="Z39" s="3" t="str"/>
      <x:c r="AA39" s="3" t="str"/>
      <x:c r="AB39" s="3" t="str"/>
      <x:c r="AC39" s="3" t="n">
        <x:v>1</x:v>
      </x:c>
      <x:c r="AD39" s="3" t="n">
        <x:f>'方案总览'!$B$5</x:f>
        <x:v>20</x:v>
      </x:c>
    </x:row>
    <x:row r="40" ht="24" customHeight="1">
      <x:c r="A40" s="3" t="str">
        <x:v>T035</x:v>
      </x:c>
      <x:c r="B40" s="3" t="str">
        <x:v>拟合</x:v>
      </x:c>
      <x:c r="C40" s="3" t="str">
        <x:v>S-75</x:v>
      </x:c>
      <x:c r="D40" s="3" t="str"/>
      <x:c r="E40" s="3" t="str">
        <x:v>戊酸</x:v>
      </x:c>
      <x:c r="F40" s="3" t="str"/>
      <x:c r="G40" s="3" t="str"/>
      <x:c r="H40" s="3" t="str"/>
      <x:c r="I40" s="3" t="str">
        <x:v>M</x:v>
      </x:c>
      <x:c r="J40" s="3" t="str"/>
      <x:c r="K40" s="3" t="str"/>
      <x:c r="L40" s="3" t="str"/>
      <x:c r="M40" s="9" t="n">
        <x:f>IF(Y40="","",INDEX('浓度设置'!$P$6:$R$46,MATCH(Y40,'浓度设置'!$A$6:$A$46,0),IF(I40="L",1,IF(I40="M",2,3))))</x:f>
        <x:v>331.2476415010377</x:v>
      </x:c>
      <x:c r="N40" s="9" t="str">
        <x:f>IF(Z40="","",INDEX('浓度设置'!$P$6:$R$46,MATCH(Z40,'浓度设置'!$A$6:$A$46,0),IF(J40="L",1,IF(J40="M",2,3))))</x:f>
      </x:c>
      <x:c r="O40" s="9" t="str">
        <x:f>IF(AA40="","",INDEX('浓度设置'!$P$6:$R$46,MATCH(AA40,'浓度设置'!$A$6:$A$46,0),IF(K40="L",1,IF(K40="M",2,3))))</x:f>
      </x:c>
      <x:c r="P40" s="9" t="str">
        <x:f>IF(AB40="","",INDEX('浓度设置'!$P$6:$R$46,MATCH(AB40,'浓度设置'!$A$6:$A$46,0),IF(L40="L",1,IF(L40="M",2,3))))</x:f>
      </x:c>
      <x:c r="Q40" s="9" t="n">
        <x:f>IF(Y40="","",M40/INDEX('浓度设置'!$M$6:$M$46,MATCH(Y40,'浓度设置'!$A$6:$A$46,0)))</x:f>
        <x:v>0.8515363534731046</x:v>
      </x:c>
      <x:c r="R40" s="9" t="str">
        <x:f>IF(Z40="","",N40/INDEX('浓度设置'!$M$6:$M$46,MATCH(Z40,'浓度设置'!$A$6:$A$46,0)))</x:f>
      </x:c>
      <x:c r="S40" s="9" t="str">
        <x:f>IF(AA40="","",O40/INDEX('浓度设置'!$M$6:$M$46,MATCH(AA40,'浓度设置'!$A$6:$A$46,0)))</x:f>
      </x:c>
      <x:c r="T40" s="9" t="str">
        <x:f>IF(AB40="","",P40/INDEX('浓度设置'!$M$6:$M$46,MATCH(AB40,'浓度设置'!$A$6:$A$46,0)))</x:f>
      </x:c>
      <x:c r="U40" s="9" t="n">
        <x:f>IF(Y40="","",M40*$AD40/1000)</x:f>
        <x:v>6.624952830020755</x:v>
      </x:c>
      <x:c r="V40" s="9" t="str">
        <x:f>IF(Z40="","",N40*$AD40/1000)</x:f>
      </x:c>
      <x:c r="W40" s="9" t="str">
        <x:f>IF(AA40="","",O40*$AD40/1000)</x:f>
      </x:c>
      <x:c r="X40" s="9" t="str">
        <x:f>IF(AB40="","",P40*$AD40/1000)</x:f>
      </x:c>
      <x:c r="Y40" s="3" t="n">
        <x:v>75</x:v>
      </x:c>
      <x:c r="Z40" s="3" t="str"/>
      <x:c r="AA40" s="3" t="str"/>
      <x:c r="AB40" s="3" t="str"/>
      <x:c r="AC40" s="3" t="n">
        <x:v>1</x:v>
      </x:c>
      <x:c r="AD40" s="3" t="n">
        <x:f>'方案总览'!$B$5</x:f>
        <x:v>20</x:v>
      </x:c>
    </x:row>
    <x:row r="41" ht="24" customHeight="1">
      <x:c r="A41" s="3" t="str">
        <x:v>T036</x:v>
      </x:c>
      <x:c r="B41" s="3" t="str">
        <x:v>拟合</x:v>
      </x:c>
      <x:c r="C41" s="3" t="str">
        <x:v>S-75</x:v>
      </x:c>
      <x:c r="D41" s="3" t="str"/>
      <x:c r="E41" s="3" t="str">
        <x:v>戊酸</x:v>
      </x:c>
      <x:c r="F41" s="3" t="str"/>
      <x:c r="G41" s="3" t="str"/>
      <x:c r="H41" s="3" t="str"/>
      <x:c r="I41" s="3" t="str">
        <x:v>H</x:v>
      </x:c>
      <x:c r="J41" s="3" t="str"/>
      <x:c r="K41" s="3" t="str"/>
      <x:c r="L41" s="3" t="str"/>
      <x:c r="M41" s="9" t="n">
        <x:f>IF(Y41="","",INDEX('浓度设置'!$P$6:$R$46,MATCH(Y41,'浓度设置'!$A$6:$A$46,0),IF(I41="L",1,IF(I41="M",2,3))))</x:f>
        <x:v>62700</x:v>
      </x:c>
      <x:c r="N41" s="9" t="str">
        <x:f>IF(Z41="","",INDEX('浓度设置'!$P$6:$R$46,MATCH(Z41,'浓度设置'!$A$6:$A$46,0),IF(J41="L",1,IF(J41="M",2,3))))</x:f>
      </x:c>
      <x:c r="O41" s="9" t="str">
        <x:f>IF(AA41="","",INDEX('浓度设置'!$P$6:$R$46,MATCH(AA41,'浓度设置'!$A$6:$A$46,0),IF(K41="L",1,IF(K41="M",2,3))))</x:f>
      </x:c>
      <x:c r="P41" s="9" t="str">
        <x:f>IF(AB41="","",INDEX('浓度设置'!$P$6:$R$46,MATCH(AB41,'浓度设置'!$A$6:$A$46,0),IF(L41="L",1,IF(L41="M",2,3))))</x:f>
      </x:c>
      <x:c r="Q41" s="9" t="n">
        <x:f>IF(Y41="","",M41/INDEX('浓度设置'!$M$6:$M$46,MATCH(Y41,'浓度设置'!$A$6:$A$46,0)))</x:f>
        <x:v>161.18251928020567</x:v>
      </x:c>
      <x:c r="R41" s="9" t="str">
        <x:f>IF(Z41="","",N41/INDEX('浓度设置'!$M$6:$M$46,MATCH(Z41,'浓度设置'!$A$6:$A$46,0)))</x:f>
      </x:c>
      <x:c r="S41" s="9" t="str">
        <x:f>IF(AA41="","",O41/INDEX('浓度设置'!$M$6:$M$46,MATCH(AA41,'浓度设置'!$A$6:$A$46,0)))</x:f>
      </x:c>
      <x:c r="T41" s="9" t="str">
        <x:f>IF(AB41="","",P41/INDEX('浓度设置'!$M$6:$M$46,MATCH(AB41,'浓度设置'!$A$6:$A$46,0)))</x:f>
      </x:c>
      <x:c r="U41" s="9" t="n">
        <x:f>IF(Y41="","",M41*$AD41/1000)</x:f>
        <x:v>1254</x:v>
      </x:c>
      <x:c r="V41" s="9" t="str">
        <x:f>IF(Z41="","",N41*$AD41/1000)</x:f>
      </x:c>
      <x:c r="W41" s="9" t="str">
        <x:f>IF(AA41="","",O41*$AD41/1000)</x:f>
      </x:c>
      <x:c r="X41" s="9" t="str">
        <x:f>IF(AB41="","",P41*$AD41/1000)</x:f>
      </x:c>
      <x:c r="Y41" s="3" t="n">
        <x:v>75</x:v>
      </x:c>
      <x:c r="Z41" s="3" t="str"/>
      <x:c r="AA41" s="3" t="str"/>
      <x:c r="AB41" s="3" t="str"/>
      <x:c r="AC41" s="3" t="n">
        <x:v>1</x:v>
      </x:c>
      <x:c r="AD41" s="3" t="n">
        <x:f>'方案总览'!$B$5</x:f>
        <x:v>20</x:v>
      </x:c>
    </x:row>
    <x:row r="42" ht="24" customHeight="1">
      <x:c r="A42" s="3" t="str">
        <x:v>T037</x:v>
      </x:c>
      <x:c r="B42" s="3" t="str">
        <x:v>拟合</x:v>
      </x:c>
      <x:c r="C42" s="3" t="str">
        <x:v>S-79</x:v>
      </x:c>
      <x:c r="D42" s="3" t="str"/>
      <x:c r="E42" s="3" t="str">
        <x:v>癸酸乙酯</x:v>
      </x:c>
      <x:c r="F42" s="3" t="str"/>
      <x:c r="G42" s="3" t="str"/>
      <x:c r="H42" s="3" t="str"/>
      <x:c r="I42" s="3" t="str">
        <x:v>M</x:v>
      </x:c>
      <x:c r="J42" s="3" t="str"/>
      <x:c r="K42" s="3" t="str"/>
      <x:c r="L42" s="3" t="str"/>
      <x:c r="M42" s="9" t="n">
        <x:f>IF(Y42="","",INDEX('浓度设置'!$P$6:$R$46,MATCH(Y42,'浓度设置'!$A$6:$A$46,0),IF(I42="L",1,IF(I42="M",2,3))))</x:f>
        <x:v>1288.255</x:v>
      </x:c>
      <x:c r="N42" s="9" t="str">
        <x:f>IF(Z42="","",INDEX('浓度设置'!$P$6:$R$46,MATCH(Z42,'浓度设置'!$A$6:$A$46,0),IF(J42="L",1,IF(J42="M",2,3))))</x:f>
      </x:c>
      <x:c r="O42" s="9" t="str">
        <x:f>IF(AA42="","",INDEX('浓度设置'!$P$6:$R$46,MATCH(AA42,'浓度设置'!$A$6:$A$46,0),IF(K42="L",1,IF(K42="M",2,3))))</x:f>
      </x:c>
      <x:c r="P42" s="9" t="str">
        <x:f>IF(AB42="","",INDEX('浓度设置'!$P$6:$R$46,MATCH(AB42,'浓度设置'!$A$6:$A$46,0),IF(L42="L",1,IF(L42="M",2,3))))</x:f>
      </x:c>
      <x:c r="Q42" s="9" t="n">
        <x:f>IF(Y42="","",M42/INDEX('浓度设置'!$M$6:$M$46,MATCH(Y42,'浓度设置'!$A$6:$A$46,0)))</x:f>
        <x:v>1.1502276785714287</x:v>
      </x:c>
      <x:c r="R42" s="9" t="str">
        <x:f>IF(Z42="","",N42/INDEX('浓度设置'!$M$6:$M$46,MATCH(Z42,'浓度设置'!$A$6:$A$46,0)))</x:f>
      </x:c>
      <x:c r="S42" s="9" t="str">
        <x:f>IF(AA42="","",O42/INDEX('浓度设置'!$M$6:$M$46,MATCH(AA42,'浓度设置'!$A$6:$A$46,0)))</x:f>
      </x:c>
      <x:c r="T42" s="9" t="str">
        <x:f>IF(AB42="","",P42/INDEX('浓度设置'!$M$6:$M$46,MATCH(AB42,'浓度设置'!$A$6:$A$46,0)))</x:f>
      </x:c>
      <x:c r="U42" s="9" t="n">
        <x:f>IF(Y42="","",M42*$AD42/1000)</x:f>
        <x:v>25.765100000000004</x:v>
      </x:c>
      <x:c r="V42" s="9" t="str">
        <x:f>IF(Z42="","",N42*$AD42/1000)</x:f>
      </x:c>
      <x:c r="W42" s="9" t="str">
        <x:f>IF(AA42="","",O42*$AD42/1000)</x:f>
      </x:c>
      <x:c r="X42" s="9" t="str">
        <x:f>IF(AB42="","",P42*$AD42/1000)</x:f>
      </x:c>
      <x:c r="Y42" s="3" t="n">
        <x:v>79</x:v>
      </x:c>
      <x:c r="Z42" s="3" t="str"/>
      <x:c r="AA42" s="3" t="str"/>
      <x:c r="AB42" s="3" t="str"/>
      <x:c r="AC42" s="3" t="n">
        <x:v>1</x:v>
      </x:c>
      <x:c r="AD42" s="3" t="n">
        <x:f>'方案总览'!$B$5</x:f>
        <x:v>20</x:v>
      </x:c>
    </x:row>
    <x:row r="43" ht="24" customHeight="1">
      <x:c r="A43" s="3" t="str">
        <x:v>T038</x:v>
      </x:c>
      <x:c r="B43" s="3" t="str">
        <x:v>拟合</x:v>
      </x:c>
      <x:c r="C43" s="3" t="str">
        <x:v>S-79</x:v>
      </x:c>
      <x:c r="D43" s="3" t="str"/>
      <x:c r="E43" s="3" t="str">
        <x:v>癸酸乙酯</x:v>
      </x:c>
      <x:c r="F43" s="3" t="str"/>
      <x:c r="G43" s="3" t="str"/>
      <x:c r="H43" s="3" t="str"/>
      <x:c r="I43" s="3" t="str">
        <x:v>H</x:v>
      </x:c>
      <x:c r="J43" s="3" t="str"/>
      <x:c r="K43" s="3" t="str"/>
      <x:c r="L43" s="3" t="str"/>
      <x:c r="M43" s="9" t="n">
        <x:f>IF(Y43="","",INDEX('浓度设置'!$P$6:$R$46,MATCH(Y43,'浓度设置'!$A$6:$A$46,0),IF(I43="L",1,IF(I43="M",2,3))))</x:f>
        <x:v>56115</x:v>
      </x:c>
      <x:c r="N43" s="9" t="str">
        <x:f>IF(Z43="","",INDEX('浓度设置'!$P$6:$R$46,MATCH(Z43,'浓度设置'!$A$6:$A$46,0),IF(J43="L",1,IF(J43="M",2,3))))</x:f>
      </x:c>
      <x:c r="O43" s="9" t="str">
        <x:f>IF(AA43="","",INDEX('浓度设置'!$P$6:$R$46,MATCH(AA43,'浓度设置'!$A$6:$A$46,0),IF(K43="L",1,IF(K43="M",2,3))))</x:f>
      </x:c>
      <x:c r="P43" s="9" t="str">
        <x:f>IF(AB43="","",INDEX('浓度设置'!$P$6:$R$46,MATCH(AB43,'浓度设置'!$A$6:$A$46,0),IF(L43="L",1,IF(L43="M",2,3))))</x:f>
      </x:c>
      <x:c r="Q43" s="9" t="n">
        <x:f>IF(Y43="","",M43/INDEX('浓度设置'!$M$6:$M$46,MATCH(Y43,'浓度设置'!$A$6:$A$46,0)))</x:f>
        <x:v>50.10267857142857</x:v>
      </x:c>
      <x:c r="R43" s="9" t="str">
        <x:f>IF(Z43="","",N43/INDEX('浓度设置'!$M$6:$M$46,MATCH(Z43,'浓度设置'!$A$6:$A$46,0)))</x:f>
      </x:c>
      <x:c r="S43" s="9" t="str">
        <x:f>IF(AA43="","",O43/INDEX('浓度设置'!$M$6:$M$46,MATCH(AA43,'浓度设置'!$A$6:$A$46,0)))</x:f>
      </x:c>
      <x:c r="T43" s="9" t="str">
        <x:f>IF(AB43="","",P43/INDEX('浓度设置'!$M$6:$M$46,MATCH(AB43,'浓度设置'!$A$6:$A$46,0)))</x:f>
      </x:c>
      <x:c r="U43" s="9" t="n">
        <x:f>IF(Y43="","",M43*$AD43/1000)</x:f>
        <x:v>1122.3</x:v>
      </x:c>
      <x:c r="V43" s="9" t="str">
        <x:f>IF(Z43="","",N43*$AD43/1000)</x:f>
      </x:c>
      <x:c r="W43" s="9" t="str">
        <x:f>IF(AA43="","",O43*$AD43/1000)</x:f>
      </x:c>
      <x:c r="X43" s="9" t="str">
        <x:f>IF(AB43="","",P43*$AD43/1000)</x:f>
      </x:c>
      <x:c r="Y43" s="3" t="n">
        <x:v>79</x:v>
      </x:c>
      <x:c r="Z43" s="3" t="str"/>
      <x:c r="AA43" s="3" t="str"/>
      <x:c r="AB43" s="3" t="str"/>
      <x:c r="AC43" s="3" t="n">
        <x:v>1</x:v>
      </x:c>
      <x:c r="AD43" s="3" t="n">
        <x:f>'方案总览'!$B$5</x:f>
        <x:v>20</x:v>
      </x:c>
    </x:row>
    <x:row r="44" ht="24" customHeight="1">
      <x:c r="A44" s="3" t="str">
        <x:v>T039</x:v>
      </x:c>
      <x:c r="B44" s="3" t="str">
        <x:v>拟合</x:v>
      </x:c>
      <x:c r="C44" s="3" t="str">
        <x:v>S-90</x:v>
      </x:c>
      <x:c r="D44" s="3" t="str"/>
      <x:c r="E44" s="3" t="str">
        <x:v>1-辛醇</x:v>
      </x:c>
      <x:c r="F44" s="3" t="str"/>
      <x:c r="G44" s="3" t="str"/>
      <x:c r="H44" s="3" t="str"/>
      <x:c r="I44" s="3" t="str">
        <x:v>M</x:v>
      </x:c>
      <x:c r="J44" s="3" t="str"/>
      <x:c r="K44" s="3" t="str"/>
      <x:c r="L44" s="3" t="str"/>
      <x:c r="M44" s="9" t="n">
        <x:f>IF(Y44="","",INDEX('浓度设置'!$P$6:$R$46,MATCH(Y44,'浓度设置'!$A$6:$A$46,0),IF(I44="L",1,IF(I44="M",2,3))))</x:f>
        <x:v>1232.25</x:v>
      </x:c>
      <x:c r="N44" s="9" t="str">
        <x:f>IF(Z44="","",INDEX('浓度设置'!$P$6:$R$46,MATCH(Z44,'浓度设置'!$A$6:$A$46,0),IF(J44="L",1,IF(J44="M",2,3))))</x:f>
      </x:c>
      <x:c r="O44" s="9" t="str">
        <x:f>IF(AA44="","",INDEX('浓度设置'!$P$6:$R$46,MATCH(AA44,'浓度设置'!$A$6:$A$46,0),IF(K44="L",1,IF(K44="M",2,3))))</x:f>
      </x:c>
      <x:c r="P44" s="9" t="str">
        <x:f>IF(AB44="","",INDEX('浓度设置'!$P$6:$R$46,MATCH(AB44,'浓度设置'!$A$6:$A$46,0),IF(L44="L",1,IF(L44="M",2,3))))</x:f>
      </x:c>
      <x:c r="Q44" s="9" t="n">
        <x:f>IF(Y44="","",M44/INDEX('浓度设置'!$M$6:$M$46,MATCH(Y44,'浓度设置'!$A$6:$A$46,0)))</x:f>
        <x:v>1.1202272727272726</x:v>
      </x:c>
      <x:c r="R44" s="9" t="str">
        <x:f>IF(Z44="","",N44/INDEX('浓度设置'!$M$6:$M$46,MATCH(Z44,'浓度设置'!$A$6:$A$46,0)))</x:f>
      </x:c>
      <x:c r="S44" s="9" t="str">
        <x:f>IF(AA44="","",O44/INDEX('浓度设置'!$M$6:$M$46,MATCH(AA44,'浓度设置'!$A$6:$A$46,0)))</x:f>
      </x:c>
      <x:c r="T44" s="9" t="str">
        <x:f>IF(AB44="","",P44/INDEX('浓度设置'!$M$6:$M$46,MATCH(AB44,'浓度设置'!$A$6:$A$46,0)))</x:f>
      </x:c>
      <x:c r="U44" s="9" t="n">
        <x:f>IF(Y44="","",M44*$AD44/1000)</x:f>
        <x:v>24.645</x:v>
      </x:c>
      <x:c r="V44" s="9" t="str">
        <x:f>IF(Z44="","",N44*$AD44/1000)</x:f>
      </x:c>
      <x:c r="W44" s="9" t="str">
        <x:f>IF(AA44="","",O44*$AD44/1000)</x:f>
      </x:c>
      <x:c r="X44" s="9" t="str">
        <x:f>IF(AB44="","",P44*$AD44/1000)</x:f>
      </x:c>
      <x:c r="Y44" s="3" t="n">
        <x:v>90</x:v>
      </x:c>
      <x:c r="Z44" s="3" t="str"/>
      <x:c r="AA44" s="3" t="str"/>
      <x:c r="AB44" s="3" t="str"/>
      <x:c r="AC44" s="3" t="n">
        <x:v>1</x:v>
      </x:c>
      <x:c r="AD44" s="3" t="n">
        <x:f>'方案总览'!$B$5</x:f>
        <x:v>20</x:v>
      </x:c>
    </x:row>
    <x:row r="45" ht="24" customHeight="1">
      <x:c r="A45" s="3" t="str">
        <x:v>T040</x:v>
      </x:c>
      <x:c r="B45" s="3" t="str">
        <x:v>拟合</x:v>
      </x:c>
      <x:c r="C45" s="3" t="str">
        <x:v>S-90</x:v>
      </x:c>
      <x:c r="D45" s="3" t="str"/>
      <x:c r="E45" s="3" t="str">
        <x:v>1-辛醇</x:v>
      </x:c>
      <x:c r="F45" s="3" t="str"/>
      <x:c r="G45" s="3" t="str"/>
      <x:c r="H45" s="3" t="str"/>
      <x:c r="I45" s="3" t="str">
        <x:v>H</x:v>
      </x:c>
      <x:c r="J45" s="3" t="str"/>
      <x:c r="K45" s="3" t="str"/>
      <x:c r="L45" s="3" t="str"/>
      <x:c r="M45" s="9" t="n">
        <x:f>IF(Y45="","",INDEX('浓度设置'!$P$6:$R$46,MATCH(Y45,'浓度设置'!$A$6:$A$46,0),IF(I45="L",1,IF(I45="M",2,3))))</x:f>
        <x:v>25642.45</x:v>
      </x:c>
      <x:c r="N45" s="9" t="str">
        <x:f>IF(Z45="","",INDEX('浓度设置'!$P$6:$R$46,MATCH(Z45,'浓度设置'!$A$6:$A$46,0),IF(J45="L",1,IF(J45="M",2,3))))</x:f>
      </x:c>
      <x:c r="O45" s="9" t="str">
        <x:f>IF(AA45="","",INDEX('浓度设置'!$P$6:$R$46,MATCH(AA45,'浓度设置'!$A$6:$A$46,0),IF(K45="L",1,IF(K45="M",2,3))))</x:f>
      </x:c>
      <x:c r="P45" s="9" t="str">
        <x:f>IF(AB45="","",INDEX('浓度设置'!$P$6:$R$46,MATCH(AB45,'浓度设置'!$A$6:$A$46,0),IF(L45="L",1,IF(L45="M",2,3))))</x:f>
      </x:c>
      <x:c r="Q45" s="9" t="n">
        <x:f>IF(Y45="","",M45/INDEX('浓度设置'!$M$6:$M$46,MATCH(Y45,'浓度设置'!$A$6:$A$46,0)))</x:f>
        <x:v>23.311318181818184</x:v>
      </x:c>
      <x:c r="R45" s="9" t="str">
        <x:f>IF(Z45="","",N45/INDEX('浓度设置'!$M$6:$M$46,MATCH(Z45,'浓度设置'!$A$6:$A$46,0)))</x:f>
      </x:c>
      <x:c r="S45" s="9" t="str">
        <x:f>IF(AA45="","",O45/INDEX('浓度设置'!$M$6:$M$46,MATCH(AA45,'浓度设置'!$A$6:$A$46,0)))</x:f>
      </x:c>
      <x:c r="T45" s="9" t="str">
        <x:f>IF(AB45="","",P45/INDEX('浓度设置'!$M$6:$M$46,MATCH(AB45,'浓度设置'!$A$6:$A$46,0)))</x:f>
      </x:c>
      <x:c r="U45" s="9" t="n">
        <x:f>IF(Y45="","",M45*$AD45/1000)</x:f>
        <x:v>512.849</x:v>
      </x:c>
      <x:c r="V45" s="9" t="str">
        <x:f>IF(Z45="","",N45*$AD45/1000)</x:f>
      </x:c>
      <x:c r="W45" s="9" t="str">
        <x:f>IF(AA45="","",O45*$AD45/1000)</x:f>
      </x:c>
      <x:c r="X45" s="9" t="str">
        <x:f>IF(AB45="","",P45*$AD45/1000)</x:f>
      </x:c>
      <x:c r="Y45" s="3" t="n">
        <x:v>90</x:v>
      </x:c>
      <x:c r="Z45" s="3" t="str"/>
      <x:c r="AA45" s="3" t="str"/>
      <x:c r="AB45" s="3" t="str"/>
      <x:c r="AC45" s="3" t="n">
        <x:v>1</x:v>
      </x:c>
      <x:c r="AD45" s="3" t="n">
        <x:f>'方案总览'!$B$5</x:f>
        <x:v>20</x:v>
      </x:c>
    </x:row>
    <x:row r="46" ht="24" customHeight="1">
      <x:c r="A46" s="3" t="str">
        <x:v>T041</x:v>
      </x:c>
      <x:c r="B46" s="3" t="str">
        <x:v>拟合</x:v>
      </x:c>
      <x:c r="C46" s="3" t="str">
        <x:v>S-105</x:v>
      </x:c>
      <x:c r="D46" s="3" t="str"/>
      <x:c r="E46" s="3" t="str">
        <x:v>苯乙醛</x:v>
      </x:c>
      <x:c r="F46" s="3" t="str"/>
      <x:c r="G46" s="3" t="str"/>
      <x:c r="H46" s="3" t="str"/>
      <x:c r="I46" s="3" t="str">
        <x:v>L</x:v>
      </x:c>
      <x:c r="J46" s="3" t="str"/>
      <x:c r="K46" s="3" t="str"/>
      <x:c r="L46" s="3" t="str"/>
      <x:c r="M46" s="9" t="n">
        <x:f>IF(Y46="","",INDEX('浓度设置'!$P$6:$R$46,MATCH(Y46,'浓度设置'!$A$6:$A$46,0),IF(I46="L",1,IF(I46="M",2,3))))</x:f>
        <x:v>0.05</x:v>
      </x:c>
      <x:c r="N46" s="9" t="str">
        <x:f>IF(Z46="","",INDEX('浓度设置'!$P$6:$R$46,MATCH(Z46,'浓度设置'!$A$6:$A$46,0),IF(J46="L",1,IF(J46="M",2,3))))</x:f>
      </x:c>
      <x:c r="O46" s="9" t="str">
        <x:f>IF(AA46="","",INDEX('浓度设置'!$P$6:$R$46,MATCH(AA46,'浓度设置'!$A$6:$A$46,0),IF(K46="L",1,IF(K46="M",2,3))))</x:f>
      </x:c>
      <x:c r="P46" s="9" t="str">
        <x:f>IF(AB46="","",INDEX('浓度设置'!$P$6:$R$46,MATCH(AB46,'浓度设置'!$A$6:$A$46,0),IF(L46="L",1,IF(L46="M",2,3))))</x:f>
      </x:c>
      <x:c r="Q46" s="9" t="n">
        <x:f>IF(Y46="","",M46/INDEX('浓度设置'!$M$6:$M$46,MATCH(Y46,'浓度设置'!$A$6:$A$46,0)))</x:f>
        <x:v>0.00019083969465648855</x:v>
      </x:c>
      <x:c r="R46" s="9" t="str">
        <x:f>IF(Z46="","",N46/INDEX('浓度设置'!$M$6:$M$46,MATCH(Z46,'浓度设置'!$A$6:$A$46,0)))</x:f>
      </x:c>
      <x:c r="S46" s="9" t="str">
        <x:f>IF(AA46="","",O46/INDEX('浓度设置'!$M$6:$M$46,MATCH(AA46,'浓度设置'!$A$6:$A$46,0)))</x:f>
      </x:c>
      <x:c r="T46" s="9" t="str">
        <x:f>IF(AB46="","",P46/INDEX('浓度设置'!$M$6:$M$46,MATCH(AB46,'浓度设置'!$A$6:$A$46,0)))</x:f>
      </x:c>
      <x:c r="U46" s="9" t="n">
        <x:f>IF(Y46="","",M46*$AD46/1000)</x:f>
        <x:v>0.001</x:v>
      </x:c>
      <x:c r="V46" s="9" t="str">
        <x:f>IF(Z46="","",N46*$AD46/1000)</x:f>
      </x:c>
      <x:c r="W46" s="9" t="str">
        <x:f>IF(AA46="","",O46*$AD46/1000)</x:f>
      </x:c>
      <x:c r="X46" s="9" t="str">
        <x:f>IF(AB46="","",P46*$AD46/1000)</x:f>
      </x:c>
      <x:c r="Y46" s="3" t="n">
        <x:v>105</x:v>
      </x:c>
      <x:c r="Z46" s="3" t="str"/>
      <x:c r="AA46" s="3" t="str"/>
      <x:c r="AB46" s="3" t="str"/>
      <x:c r="AC46" s="3" t="n">
        <x:v>1</x:v>
      </x:c>
      <x:c r="AD46" s="3" t="n">
        <x:f>'方案总览'!$B$5</x:f>
        <x:v>20</x:v>
      </x:c>
    </x:row>
    <x:row r="47" ht="24" customHeight="1">
      <x:c r="A47" s="3" t="str">
        <x:v>T042</x:v>
      </x:c>
      <x:c r="B47" s="3" t="str">
        <x:v>拟合</x:v>
      </x:c>
      <x:c r="C47" s="3" t="str">
        <x:v>S-105</x:v>
      </x:c>
      <x:c r="D47" s="3" t="str"/>
      <x:c r="E47" s="3" t="str">
        <x:v>苯乙醛</x:v>
      </x:c>
      <x:c r="F47" s="3" t="str"/>
      <x:c r="G47" s="3" t="str"/>
      <x:c r="H47" s="3" t="str"/>
      <x:c r="I47" s="3" t="str">
        <x:v>M</x:v>
      </x:c>
      <x:c r="J47" s="3" t="str"/>
      <x:c r="K47" s="3" t="str"/>
      <x:c r="L47" s="3" t="str"/>
      <x:c r="M47" s="9" t="n">
        <x:f>IF(Y47="","",INDEX('浓度设置'!$P$6:$R$46,MATCH(Y47,'浓度设置'!$A$6:$A$46,0),IF(I47="L",1,IF(I47="M",2,3))))</x:f>
        <x:v>28.044607324760317</x:v>
      </x:c>
      <x:c r="N47" s="9" t="str">
        <x:f>IF(Z47="","",INDEX('浓度设置'!$P$6:$R$46,MATCH(Z47,'浓度设置'!$A$6:$A$46,0),IF(J47="L",1,IF(J47="M",2,3))))</x:f>
      </x:c>
      <x:c r="O47" s="9" t="str">
        <x:f>IF(AA47="","",INDEX('浓度设置'!$P$6:$R$46,MATCH(AA47,'浓度设置'!$A$6:$A$46,0),IF(K47="L",1,IF(K47="M",2,3))))</x:f>
      </x:c>
      <x:c r="P47" s="9" t="str">
        <x:f>IF(AB47="","",INDEX('浓度设置'!$P$6:$R$46,MATCH(AB47,'浓度设置'!$A$6:$A$46,0),IF(L47="L",1,IF(L47="M",2,3))))</x:f>
      </x:c>
      <x:c r="Q47" s="9" t="n">
        <x:f>IF(Y47="","",M47/INDEX('浓度设置'!$M$6:$M$46,MATCH(Y47,'浓度设置'!$A$6:$A$46,0)))</x:f>
        <x:v>0.10704048597236762</x:v>
      </x:c>
      <x:c r="R47" s="9" t="str">
        <x:f>IF(Z47="","",N47/INDEX('浓度设置'!$M$6:$M$46,MATCH(Z47,'浓度设置'!$A$6:$A$46,0)))</x:f>
      </x:c>
      <x:c r="S47" s="9" t="str">
        <x:f>IF(AA47="","",O47/INDEX('浓度设置'!$M$6:$M$46,MATCH(AA47,'浓度设置'!$A$6:$A$46,0)))</x:f>
      </x:c>
      <x:c r="T47" s="9" t="str">
        <x:f>IF(AB47="","",P47/INDEX('浓度设置'!$M$6:$M$46,MATCH(AB47,'浓度设置'!$A$6:$A$46,0)))</x:f>
      </x:c>
      <x:c r="U47" s="9" t="n">
        <x:f>IF(Y47="","",M47*$AD47/1000)</x:f>
        <x:v>0.5608921464952064</x:v>
      </x:c>
      <x:c r="V47" s="9" t="str">
        <x:f>IF(Z47="","",N47*$AD47/1000)</x:f>
      </x:c>
      <x:c r="W47" s="9" t="str">
        <x:f>IF(AA47="","",O47*$AD47/1000)</x:f>
      </x:c>
      <x:c r="X47" s="9" t="str">
        <x:f>IF(AB47="","",P47*$AD47/1000)</x:f>
      </x:c>
      <x:c r="Y47" s="3" t="n">
        <x:v>105</x:v>
      </x:c>
      <x:c r="Z47" s="3" t="str"/>
      <x:c r="AA47" s="3" t="str"/>
      <x:c r="AB47" s="3" t="str"/>
      <x:c r="AC47" s="3" t="n">
        <x:v>1</x:v>
      </x:c>
      <x:c r="AD47" s="3" t="n">
        <x:f>'方案总览'!$B$5</x:f>
        <x:v>20</x:v>
      </x:c>
    </x:row>
    <x:row r="48" ht="24" customHeight="1">
      <x:c r="A48" s="3" t="str">
        <x:v>T043</x:v>
      </x:c>
      <x:c r="B48" s="3" t="str">
        <x:v>拟合</x:v>
      </x:c>
      <x:c r="C48" s="3" t="str">
        <x:v>S-105</x:v>
      </x:c>
      <x:c r="D48" s="3" t="str"/>
      <x:c r="E48" s="3" t="str">
        <x:v>苯乙醛</x:v>
      </x:c>
      <x:c r="F48" s="3" t="str"/>
      <x:c r="G48" s="3" t="str"/>
      <x:c r="H48" s="3" t="str"/>
      <x:c r="I48" s="3" t="str">
        <x:v>H</x:v>
      </x:c>
      <x:c r="J48" s="3" t="str"/>
      <x:c r="K48" s="3" t="str"/>
      <x:c r="L48" s="3" t="str"/>
      <x:c r="M48" s="9" t="n">
        <x:f>IF(Y48="","",INDEX('浓度设置'!$P$6:$R$46,MATCH(Y48,'浓度设置'!$A$6:$A$46,0),IF(I48="L",1,IF(I48="M",2,3))))</x:f>
        <x:v>15730</x:v>
      </x:c>
      <x:c r="N48" s="9" t="str">
        <x:f>IF(Z48="","",INDEX('浓度设置'!$P$6:$R$46,MATCH(Z48,'浓度设置'!$A$6:$A$46,0),IF(J48="L",1,IF(J48="M",2,3))))</x:f>
      </x:c>
      <x:c r="O48" s="9" t="str">
        <x:f>IF(AA48="","",INDEX('浓度设置'!$P$6:$R$46,MATCH(AA48,'浓度设置'!$A$6:$A$46,0),IF(K48="L",1,IF(K48="M",2,3))))</x:f>
      </x:c>
      <x:c r="P48" s="9" t="str">
        <x:f>IF(AB48="","",INDEX('浓度设置'!$P$6:$R$46,MATCH(AB48,'浓度设置'!$A$6:$A$46,0),IF(L48="L",1,IF(L48="M",2,3))))</x:f>
      </x:c>
      <x:c r="Q48" s="9" t="n">
        <x:f>IF(Y48="","",M48/INDEX('浓度设置'!$M$6:$M$46,MATCH(Y48,'浓度设置'!$A$6:$A$46,0)))</x:f>
        <x:v>60.038167938931295</x:v>
      </x:c>
      <x:c r="R48" s="9" t="str">
        <x:f>IF(Z48="","",N48/INDEX('浓度设置'!$M$6:$M$46,MATCH(Z48,'浓度设置'!$A$6:$A$46,0)))</x:f>
      </x:c>
      <x:c r="S48" s="9" t="str">
        <x:f>IF(AA48="","",O48/INDEX('浓度设置'!$M$6:$M$46,MATCH(AA48,'浓度设置'!$A$6:$A$46,0)))</x:f>
      </x:c>
      <x:c r="T48" s="9" t="str">
        <x:f>IF(AB48="","",P48/INDEX('浓度设置'!$M$6:$M$46,MATCH(AB48,'浓度设置'!$A$6:$A$46,0)))</x:f>
      </x:c>
      <x:c r="U48" s="9" t="n">
        <x:f>IF(Y48="","",M48*$AD48/1000)</x:f>
        <x:v>314.6</x:v>
      </x:c>
      <x:c r="V48" s="9" t="str">
        <x:f>IF(Z48="","",N48*$AD48/1000)</x:f>
      </x:c>
      <x:c r="W48" s="9" t="str">
        <x:f>IF(AA48="","",O48*$AD48/1000)</x:f>
      </x:c>
      <x:c r="X48" s="9" t="str">
        <x:f>IF(AB48="","",P48*$AD48/1000)</x:f>
      </x:c>
      <x:c r="Y48" s="3" t="n">
        <x:v>105</x:v>
      </x:c>
      <x:c r="Z48" s="3" t="str"/>
      <x:c r="AA48" s="3" t="str"/>
      <x:c r="AB48" s="3" t="str"/>
      <x:c r="AC48" s="3" t="n">
        <x:v>1</x:v>
      </x:c>
      <x:c r="AD48" s="3" t="n">
        <x:f>'方案总览'!$B$5</x:f>
        <x:v>20</x:v>
      </x:c>
    </x:row>
    <x:row r="49" ht="24" customHeight="1">
      <x:c r="A49" s="3" t="str">
        <x:v>T044</x:v>
      </x:c>
      <x:c r="B49" s="3" t="str">
        <x:v>拟合</x:v>
      </x:c>
      <x:c r="C49" s="3" t="str">
        <x:v>S-111</x:v>
      </x:c>
      <x:c r="D49" s="3" t="str"/>
      <x:c r="E49" s="3" t="str">
        <x:v>己酸乙酯</x:v>
      </x:c>
      <x:c r="F49" s="3" t="str"/>
      <x:c r="G49" s="3" t="str"/>
      <x:c r="H49" s="3" t="str"/>
      <x:c r="I49" s="3" t="str">
        <x:v>L</x:v>
      </x:c>
      <x:c r="J49" s="3" t="str"/>
      <x:c r="K49" s="3" t="str"/>
      <x:c r="L49" s="3" t="str"/>
      <x:c r="M49" s="9" t="n">
        <x:f>IF(Y49="","",INDEX('浓度设置'!$P$6:$R$46,MATCH(Y49,'浓度设置'!$A$6:$A$46,0),IF(I49="L",1,IF(I49="M",2,3))))</x:f>
        <x:v>833.64</x:v>
      </x:c>
      <x:c r="N49" s="9" t="str">
        <x:f>IF(Z49="","",INDEX('浓度设置'!$P$6:$R$46,MATCH(Z49,'浓度设置'!$A$6:$A$46,0),IF(J49="L",1,IF(J49="M",2,3))))</x:f>
      </x:c>
      <x:c r="O49" s="9" t="str">
        <x:f>IF(AA49="","",INDEX('浓度设置'!$P$6:$R$46,MATCH(AA49,'浓度设置'!$A$6:$A$46,0),IF(K49="L",1,IF(K49="M",2,3))))</x:f>
      </x:c>
      <x:c r="P49" s="9" t="str">
        <x:f>IF(AB49="","",INDEX('浓度设置'!$P$6:$R$46,MATCH(AB49,'浓度设置'!$A$6:$A$46,0),IF(L49="L",1,IF(L49="M",2,3))))</x:f>
      </x:c>
      <x:c r="Q49" s="9" t="n">
        <x:f>IF(Y49="","",M49/INDEX('浓度设置'!$M$6:$M$46,MATCH(Y49,'浓度设置'!$A$6:$A$46,0)))</x:f>
        <x:v>15.074864376130199</x:v>
      </x:c>
      <x:c r="R49" s="9" t="str">
        <x:f>IF(Z49="","",N49/INDEX('浓度设置'!$M$6:$M$46,MATCH(Z49,'浓度设置'!$A$6:$A$46,0)))</x:f>
      </x:c>
      <x:c r="S49" s="9" t="str">
        <x:f>IF(AA49="","",O49/INDEX('浓度设置'!$M$6:$M$46,MATCH(AA49,'浓度设置'!$A$6:$A$46,0)))</x:f>
      </x:c>
      <x:c r="T49" s="9" t="str">
        <x:f>IF(AB49="","",P49/INDEX('浓度设置'!$M$6:$M$46,MATCH(AB49,'浓度设置'!$A$6:$A$46,0)))</x:f>
      </x:c>
      <x:c r="U49" s="9" t="n">
        <x:f>IF(Y49="","",M49*$AD49/1000)</x:f>
        <x:v>16.6728</x:v>
      </x:c>
      <x:c r="V49" s="9" t="str">
        <x:f>IF(Z49="","",N49*$AD49/1000)</x:f>
      </x:c>
      <x:c r="W49" s="9" t="str">
        <x:f>IF(AA49="","",O49*$AD49/1000)</x:f>
      </x:c>
      <x:c r="X49" s="9" t="str">
        <x:f>IF(AB49="","",P49*$AD49/1000)</x:f>
      </x:c>
      <x:c r="Y49" s="3" t="n">
        <x:v>111</x:v>
      </x:c>
      <x:c r="Z49" s="3" t="str"/>
      <x:c r="AA49" s="3" t="str"/>
      <x:c r="AB49" s="3" t="str"/>
      <x:c r="AC49" s="3" t="n">
        <x:v>1</x:v>
      </x:c>
      <x:c r="AD49" s="3" t="n">
        <x:f>'方案总览'!$B$5</x:f>
        <x:v>20</x:v>
      </x:c>
    </x:row>
    <x:row r="50" ht="24" customHeight="1">
      <x:c r="A50" s="3" t="str">
        <x:v>T045</x:v>
      </x:c>
      <x:c r="B50" s="3" t="str">
        <x:v>拟合</x:v>
      </x:c>
      <x:c r="C50" s="3" t="str">
        <x:v>S-111</x:v>
      </x:c>
      <x:c r="D50" s="3" t="str"/>
      <x:c r="E50" s="3" t="str">
        <x:v>己酸乙酯</x:v>
      </x:c>
      <x:c r="F50" s="3" t="str"/>
      <x:c r="G50" s="3" t="str"/>
      <x:c r="H50" s="3" t="str"/>
      <x:c r="I50" s="3" t="str">
        <x:v>M</x:v>
      </x:c>
      <x:c r="J50" s="3" t="str"/>
      <x:c r="K50" s="3" t="str"/>
      <x:c r="L50" s="3" t="str"/>
      <x:c r="M50" s="9" t="n">
        <x:f>IF(Y50="","",INDEX('浓度设置'!$P$6:$R$46,MATCH(Y50,'浓度设置'!$A$6:$A$46,0),IF(I50="L",1,IF(I50="M",2,3))))</x:f>
        <x:v>89562.18016998023</x:v>
      </x:c>
      <x:c r="N50" s="9" t="str">
        <x:f>IF(Z50="","",INDEX('浓度设置'!$P$6:$R$46,MATCH(Z50,'浓度设置'!$A$6:$A$46,0),IF(J50="L",1,IF(J50="M",2,3))))</x:f>
      </x:c>
      <x:c r="O50" s="9" t="str">
        <x:f>IF(AA50="","",INDEX('浓度设置'!$P$6:$R$46,MATCH(AA50,'浓度设置'!$A$6:$A$46,0),IF(K50="L",1,IF(K50="M",2,3))))</x:f>
      </x:c>
      <x:c r="P50" s="9" t="str">
        <x:f>IF(AB50="","",INDEX('浓度设置'!$P$6:$R$46,MATCH(AB50,'浓度设置'!$A$6:$A$46,0),IF(L50="L",1,IF(L50="M",2,3))))</x:f>
      </x:c>
      <x:c r="Q50" s="9" t="n">
        <x:f>IF(Y50="","",M50/INDEX('浓度设置'!$M$6:$M$46,MATCH(Y50,'浓度设置'!$A$6:$A$46,0)))</x:f>
        <x:v>1619.5692616632955</x:v>
      </x:c>
      <x:c r="R50" s="9" t="str">
        <x:f>IF(Z50="","",N50/INDEX('浓度设置'!$M$6:$M$46,MATCH(Z50,'浓度设置'!$A$6:$A$46,0)))</x:f>
      </x:c>
      <x:c r="S50" s="9" t="str">
        <x:f>IF(AA50="","",O50/INDEX('浓度设置'!$M$6:$M$46,MATCH(AA50,'浓度设置'!$A$6:$A$46,0)))</x:f>
      </x:c>
      <x:c r="T50" s="9" t="str">
        <x:f>IF(AB50="","",P50/INDEX('浓度设置'!$M$6:$M$46,MATCH(AB50,'浓度设置'!$A$6:$A$46,0)))</x:f>
      </x:c>
      <x:c r="U50" s="9" t="n">
        <x:f>IF(Y50="","",M50*$AD50/1000)</x:f>
        <x:v>1791.2436033996046</x:v>
      </x:c>
      <x:c r="V50" s="9" t="str">
        <x:f>IF(Z50="","",N50*$AD50/1000)</x:f>
      </x:c>
      <x:c r="W50" s="9" t="str">
        <x:f>IF(AA50="","",O50*$AD50/1000)</x:f>
      </x:c>
      <x:c r="X50" s="9" t="str">
        <x:f>IF(AB50="","",P50*$AD50/1000)</x:f>
      </x:c>
      <x:c r="Y50" s="3" t="n">
        <x:v>111</x:v>
      </x:c>
      <x:c r="Z50" s="3" t="str"/>
      <x:c r="AA50" s="3" t="str"/>
      <x:c r="AB50" s="3" t="str"/>
      <x:c r="AC50" s="3" t="n">
        <x:v>1</x:v>
      </x:c>
      <x:c r="AD50" s="3" t="n">
        <x:f>'方案总览'!$B$5</x:f>
        <x:v>20</x:v>
      </x:c>
    </x:row>
    <x:row r="51" ht="24" customHeight="1">
      <x:c r="A51" s="3" t="str">
        <x:v>T046</x:v>
      </x:c>
      <x:c r="B51" s="3" t="str">
        <x:v>拟合</x:v>
      </x:c>
      <x:c r="C51" s="3" t="str">
        <x:v>S-111</x:v>
      </x:c>
      <x:c r="D51" s="3" t="str"/>
      <x:c r="E51" s="3" t="str">
        <x:v>己酸乙酯</x:v>
      </x:c>
      <x:c r="F51" s="3" t="str"/>
      <x:c r="G51" s="3" t="str"/>
      <x:c r="H51" s="3" t="str"/>
      <x:c r="I51" s="3" t="str">
        <x:v>H</x:v>
      </x:c>
      <x:c r="J51" s="3" t="str"/>
      <x:c r="K51" s="3" t="str"/>
      <x:c r="L51" s="3" t="str"/>
      <x:c r="M51" s="9" t="n">
        <x:f>IF(Y51="","",INDEX('浓度设置'!$P$6:$R$46,MATCH(Y51,'浓度设置'!$A$6:$A$46,0),IF(I51="L",1,IF(I51="M",2,3))))</x:f>
        <x:v>9622120</x:v>
      </x:c>
      <x:c r="N51" s="9" t="str">
        <x:f>IF(Z51="","",INDEX('浓度设置'!$P$6:$R$46,MATCH(Z51,'浓度设置'!$A$6:$A$46,0),IF(J51="L",1,IF(J51="M",2,3))))</x:f>
      </x:c>
      <x:c r="O51" s="9" t="str">
        <x:f>IF(AA51="","",INDEX('浓度设置'!$P$6:$R$46,MATCH(AA51,'浓度设置'!$A$6:$A$46,0),IF(K51="L",1,IF(K51="M",2,3))))</x:f>
      </x:c>
      <x:c r="P51" s="9" t="str">
        <x:f>IF(AB51="","",INDEX('浓度设置'!$P$6:$R$46,MATCH(AB51,'浓度设置'!$A$6:$A$46,0),IF(L51="L",1,IF(L51="M",2,3))))</x:f>
      </x:c>
      <x:c r="Q51" s="9" t="n">
        <x:f>IF(Y51="","",M51/INDEX('浓度设置'!$M$6:$M$46,MATCH(Y51,'浓度设置'!$A$6:$A$46,0)))</x:f>
        <x:v>173998.5533453888</x:v>
      </x:c>
      <x:c r="R51" s="9" t="str">
        <x:f>IF(Z51="","",N51/INDEX('浓度设置'!$M$6:$M$46,MATCH(Z51,'浓度设置'!$A$6:$A$46,0)))</x:f>
      </x:c>
      <x:c r="S51" s="9" t="str">
        <x:f>IF(AA51="","",O51/INDEX('浓度设置'!$M$6:$M$46,MATCH(AA51,'浓度设置'!$A$6:$A$46,0)))</x:f>
      </x:c>
      <x:c r="T51" s="9" t="str">
        <x:f>IF(AB51="","",P51/INDEX('浓度设置'!$M$6:$M$46,MATCH(AB51,'浓度设置'!$A$6:$A$46,0)))</x:f>
      </x:c>
      <x:c r="U51" s="9" t="n">
        <x:f>IF(Y51="","",M51*$AD51/1000)</x:f>
        <x:v>192442.4</x:v>
      </x:c>
      <x:c r="V51" s="9" t="str">
        <x:f>IF(Z51="","",N51*$AD51/1000)</x:f>
      </x:c>
      <x:c r="W51" s="9" t="str">
        <x:f>IF(AA51="","",O51*$AD51/1000)</x:f>
      </x:c>
      <x:c r="X51" s="9" t="str">
        <x:f>IF(AB51="","",P51*$AD51/1000)</x:f>
      </x:c>
      <x:c r="Y51" s="3" t="n">
        <x:v>111</x:v>
      </x:c>
      <x:c r="Z51" s="3" t="str"/>
      <x:c r="AA51" s="3" t="str"/>
      <x:c r="AB51" s="3" t="str"/>
      <x:c r="AC51" s="3" t="n">
        <x:v>1</x:v>
      </x:c>
      <x:c r="AD51" s="3" t="n">
        <x:f>'方案总览'!$B$5</x:f>
        <x:v>20</x:v>
      </x:c>
    </x:row>
    <x:row r="52" ht="24" customHeight="1">
      <x:c r="A52" s="3" t="str">
        <x:v>T047</x:v>
      </x:c>
      <x:c r="B52" s="3" t="str">
        <x:v>拟合</x:v>
      </x:c>
      <x:c r="C52" s="3" t="str">
        <x:v>S-114</x:v>
      </x:c>
      <x:c r="D52" s="3" t="str"/>
      <x:c r="E52" s="3" t="str">
        <x:v>乙酸丁酯</x:v>
      </x:c>
      <x:c r="F52" s="3" t="str"/>
      <x:c r="G52" s="3" t="str"/>
      <x:c r="H52" s="3" t="str"/>
      <x:c r="I52" s="3" t="str">
        <x:v>M</x:v>
      </x:c>
      <x:c r="J52" s="3" t="str"/>
      <x:c r="K52" s="3" t="str"/>
      <x:c r="L52" s="3" t="str"/>
      <x:c r="M52" s="9" t="n">
        <x:f>IF(Y52="","",INDEX('浓度设置'!$P$6:$R$46,MATCH(Y52,'浓度设置'!$A$6:$A$46,0),IF(I52="L",1,IF(I52="M",2,3))))</x:f>
        <x:v>3147.945</x:v>
      </x:c>
      <x:c r="N52" s="9" t="str">
        <x:f>IF(Z52="","",INDEX('浓度设置'!$P$6:$R$46,MATCH(Z52,'浓度设置'!$A$6:$A$46,0),IF(J52="L",1,IF(J52="M",2,3))))</x:f>
      </x:c>
      <x:c r="O52" s="9" t="str">
        <x:f>IF(AA52="","",INDEX('浓度设置'!$P$6:$R$46,MATCH(AA52,'浓度设置'!$A$6:$A$46,0),IF(K52="L",1,IF(K52="M",2,3))))</x:f>
      </x:c>
      <x:c r="P52" s="9" t="str">
        <x:f>IF(AB52="","",INDEX('浓度设置'!$P$6:$R$46,MATCH(AB52,'浓度设置'!$A$6:$A$46,0),IF(L52="L",1,IF(L52="M",2,3))))</x:f>
      </x:c>
      <x:c r="Q52" s="9" t="n">
        <x:f>IF(Y52="","",M52/INDEX('浓度设置'!$M$6:$M$46,MATCH(Y52,'浓度设置'!$A$6:$A$46,0)))</x:f>
        <x:v>1.7488583333333334</x:v>
      </x:c>
      <x:c r="R52" s="9" t="str">
        <x:f>IF(Z52="","",N52/INDEX('浓度设置'!$M$6:$M$46,MATCH(Z52,'浓度设置'!$A$6:$A$46,0)))</x:f>
      </x:c>
      <x:c r="S52" s="9" t="str">
        <x:f>IF(AA52="","",O52/INDEX('浓度设置'!$M$6:$M$46,MATCH(AA52,'浓度设置'!$A$6:$A$46,0)))</x:f>
      </x:c>
      <x:c r="T52" s="9" t="str">
        <x:f>IF(AB52="","",P52/INDEX('浓度设置'!$M$6:$M$46,MATCH(AB52,'浓度设置'!$A$6:$A$46,0)))</x:f>
      </x:c>
      <x:c r="U52" s="9" t="n">
        <x:f>IF(Y52="","",M52*$AD52/1000)</x:f>
        <x:v>62.9589</x:v>
      </x:c>
      <x:c r="V52" s="9" t="str">
        <x:f>IF(Z52="","",N52*$AD52/1000)</x:f>
      </x:c>
      <x:c r="W52" s="9" t="str">
        <x:f>IF(AA52="","",O52*$AD52/1000)</x:f>
      </x:c>
      <x:c r="X52" s="9" t="str">
        <x:f>IF(AB52="","",P52*$AD52/1000)</x:f>
      </x:c>
      <x:c r="Y52" s="3" t="n">
        <x:v>114</x:v>
      </x:c>
      <x:c r="Z52" s="3" t="str"/>
      <x:c r="AA52" s="3" t="str"/>
      <x:c r="AB52" s="3" t="str"/>
      <x:c r="AC52" s="3" t="n">
        <x:v>1</x:v>
      </x:c>
      <x:c r="AD52" s="3" t="n">
        <x:f>'方案总览'!$B$5</x:f>
        <x:v>20</x:v>
      </x:c>
    </x:row>
    <x:row r="53" ht="24" customHeight="1">
      <x:c r="A53" s="3" t="str">
        <x:v>T048</x:v>
      </x:c>
      <x:c r="B53" s="3" t="str">
        <x:v>拟合</x:v>
      </x:c>
      <x:c r="C53" s="3" t="str">
        <x:v>S-114</x:v>
      </x:c>
      <x:c r="D53" s="3" t="str"/>
      <x:c r="E53" s="3" t="str">
        <x:v>乙酸丁酯</x:v>
      </x:c>
      <x:c r="F53" s="3" t="str"/>
      <x:c r="G53" s="3" t="str"/>
      <x:c r="H53" s="3" t="str"/>
      <x:c r="I53" s="3" t="str">
        <x:v>H</x:v>
      </x:c>
      <x:c r="J53" s="3" t="str"/>
      <x:c r="K53" s="3" t="str"/>
      <x:c r="L53" s="3" t="str"/>
      <x:c r="M53" s="9" t="n">
        <x:f>IF(Y53="","",INDEX('浓度设置'!$P$6:$R$46,MATCH(Y53,'浓度设置'!$A$6:$A$46,0),IF(I53="L",1,IF(I53="M",2,3))))</x:f>
        <x:v>47100</x:v>
      </x:c>
      <x:c r="N53" s="9" t="str">
        <x:f>IF(Z53="","",INDEX('浓度设置'!$P$6:$R$46,MATCH(Z53,'浓度设置'!$A$6:$A$46,0),IF(J53="L",1,IF(J53="M",2,3))))</x:f>
      </x:c>
      <x:c r="O53" s="9" t="str">
        <x:f>IF(AA53="","",INDEX('浓度设置'!$P$6:$R$46,MATCH(AA53,'浓度设置'!$A$6:$A$46,0),IF(K53="L",1,IF(K53="M",2,3))))</x:f>
      </x:c>
      <x:c r="P53" s="9" t="str">
        <x:f>IF(AB53="","",INDEX('浓度设置'!$P$6:$R$46,MATCH(AB53,'浓度设置'!$A$6:$A$46,0),IF(L53="L",1,IF(L53="M",2,3))))</x:f>
      </x:c>
      <x:c r="Q53" s="9" t="n">
        <x:f>IF(Y53="","",M53/INDEX('浓度设置'!$M$6:$M$46,MATCH(Y53,'浓度设置'!$A$6:$A$46,0)))</x:f>
        <x:v>26.166666666666668</x:v>
      </x:c>
      <x:c r="R53" s="9" t="str">
        <x:f>IF(Z53="","",N53/INDEX('浓度设置'!$M$6:$M$46,MATCH(Z53,'浓度设置'!$A$6:$A$46,0)))</x:f>
      </x:c>
      <x:c r="S53" s="9" t="str">
        <x:f>IF(AA53="","",O53/INDEX('浓度设置'!$M$6:$M$46,MATCH(AA53,'浓度设置'!$A$6:$A$46,0)))</x:f>
      </x:c>
      <x:c r="T53" s="9" t="str">
        <x:f>IF(AB53="","",P53/INDEX('浓度设置'!$M$6:$M$46,MATCH(AB53,'浓度设置'!$A$6:$A$46,0)))</x:f>
      </x:c>
      <x:c r="U53" s="9" t="n">
        <x:f>IF(Y53="","",M53*$AD53/1000)</x:f>
        <x:v>942</x:v>
      </x:c>
      <x:c r="V53" s="9" t="str">
        <x:f>IF(Z53="","",N53*$AD53/1000)</x:f>
      </x:c>
      <x:c r="W53" s="9" t="str">
        <x:f>IF(AA53="","",O53*$AD53/1000)</x:f>
      </x:c>
      <x:c r="X53" s="9" t="str">
        <x:f>IF(AB53="","",P53*$AD53/1000)</x:f>
      </x:c>
      <x:c r="Y53" s="3" t="n">
        <x:v>114</x:v>
      </x:c>
      <x:c r="Z53" s="3" t="str"/>
      <x:c r="AA53" s="3" t="str"/>
      <x:c r="AB53" s="3" t="str"/>
      <x:c r="AC53" s="3" t="n">
        <x:v>1</x:v>
      </x:c>
      <x:c r="AD53" s="3" t="n">
        <x:f>'方案总览'!$B$5</x:f>
        <x:v>20</x:v>
      </x:c>
    </x:row>
    <x:row r="54" ht="24" customHeight="1">
      <x:c r="A54" s="3" t="str">
        <x:v>T049</x:v>
      </x:c>
      <x:c r="B54" s="3" t="str">
        <x:v>拟合</x:v>
      </x:c>
      <x:c r="C54" s="3" t="str">
        <x:v>S-115</x:v>
      </x:c>
      <x:c r="D54" s="3" t="str"/>
      <x:c r="E54" s="3" t="str">
        <x:v>乙酸异戊酯</x:v>
      </x:c>
      <x:c r="F54" s="3" t="str"/>
      <x:c r="G54" s="3" t="str"/>
      <x:c r="H54" s="3" t="str"/>
      <x:c r="I54" s="3" t="str">
        <x:v>L</x:v>
      </x:c>
      <x:c r="J54" s="3" t="str"/>
      <x:c r="K54" s="3" t="str"/>
      <x:c r="L54" s="3" t="str"/>
      <x:c r="M54" s="9" t="n">
        <x:f>IF(Y54="","",INDEX('浓度设置'!$P$6:$R$46,MATCH(Y54,'浓度设置'!$A$6:$A$46,0),IF(I54="L",1,IF(I54="M",2,3))))</x:f>
        <x:v>1.44</x:v>
      </x:c>
      <x:c r="N54" s="9" t="str">
        <x:f>IF(Z54="","",INDEX('浓度设置'!$P$6:$R$46,MATCH(Z54,'浓度设置'!$A$6:$A$46,0),IF(J54="L",1,IF(J54="M",2,3))))</x:f>
      </x:c>
      <x:c r="O54" s="9" t="str">
        <x:f>IF(AA54="","",INDEX('浓度设置'!$P$6:$R$46,MATCH(AA54,'浓度设置'!$A$6:$A$46,0),IF(K54="L",1,IF(K54="M",2,3))))</x:f>
      </x:c>
      <x:c r="P54" s="9" t="str">
        <x:f>IF(AB54="","",INDEX('浓度设置'!$P$6:$R$46,MATCH(AB54,'浓度设置'!$A$6:$A$46,0),IF(L54="L",1,IF(L54="M",2,3))))</x:f>
      </x:c>
      <x:c r="Q54" s="9" t="n">
        <x:f>IF(Y54="","",M54/INDEX('浓度设置'!$M$6:$M$46,MATCH(Y54,'浓度设置'!$A$6:$A$46,0)))</x:f>
        <x:v>0.015335463258785941</x:v>
      </x:c>
      <x:c r="R54" s="9" t="str">
        <x:f>IF(Z54="","",N54/INDEX('浓度设置'!$M$6:$M$46,MATCH(Z54,'浓度设置'!$A$6:$A$46,0)))</x:f>
      </x:c>
      <x:c r="S54" s="9" t="str">
        <x:f>IF(AA54="","",O54/INDEX('浓度设置'!$M$6:$M$46,MATCH(AA54,'浓度设置'!$A$6:$A$46,0)))</x:f>
      </x:c>
      <x:c r="T54" s="9" t="str">
        <x:f>IF(AB54="","",P54/INDEX('浓度设置'!$M$6:$M$46,MATCH(AB54,'浓度设置'!$A$6:$A$46,0)))</x:f>
      </x:c>
      <x:c r="U54" s="9" t="n">
        <x:f>IF(Y54="","",M54*$AD54/1000)</x:f>
        <x:v>0.028799999999999996</x:v>
      </x:c>
      <x:c r="V54" s="9" t="str">
        <x:f>IF(Z54="","",N54*$AD54/1000)</x:f>
      </x:c>
      <x:c r="W54" s="9" t="str">
        <x:f>IF(AA54="","",O54*$AD54/1000)</x:f>
      </x:c>
      <x:c r="X54" s="9" t="str">
        <x:f>IF(AB54="","",P54*$AD54/1000)</x:f>
      </x:c>
      <x:c r="Y54" s="3" t="n">
        <x:v>115</x:v>
      </x:c>
      <x:c r="Z54" s="3" t="str"/>
      <x:c r="AA54" s="3" t="str"/>
      <x:c r="AB54" s="3" t="str"/>
      <x:c r="AC54" s="3" t="n">
        <x:v>1</x:v>
      </x:c>
      <x:c r="AD54" s="3" t="n">
        <x:f>'方案总览'!$B$5</x:f>
        <x:v>20</x:v>
      </x:c>
    </x:row>
    <x:row r="55" ht="24" customHeight="1">
      <x:c r="A55" s="3" t="str">
        <x:v>T050</x:v>
      </x:c>
      <x:c r="B55" s="3" t="str">
        <x:v>拟合</x:v>
      </x:c>
      <x:c r="C55" s="3" t="str">
        <x:v>S-115</x:v>
      </x:c>
      <x:c r="D55" s="3" t="str"/>
      <x:c r="E55" s="3" t="str">
        <x:v>乙酸异戊酯</x:v>
      </x:c>
      <x:c r="F55" s="3" t="str"/>
      <x:c r="G55" s="3" t="str"/>
      <x:c r="H55" s="3" t="str"/>
      <x:c r="I55" s="3" t="str">
        <x:v>M</x:v>
      </x:c>
      <x:c r="J55" s="3" t="str"/>
      <x:c r="K55" s="3" t="str"/>
      <x:c r="L55" s="3" t="str"/>
      <x:c r="M55" s="9" t="n">
        <x:f>IF(Y55="","",INDEX('浓度设置'!$P$6:$R$46,MATCH(Y55,'浓度设置'!$A$6:$A$46,0),IF(I55="L",1,IF(I55="M",2,3))))</x:f>
        <x:v>96.86609313893071</x:v>
      </x:c>
      <x:c r="N55" s="9" t="str">
        <x:f>IF(Z55="","",INDEX('浓度设置'!$P$6:$R$46,MATCH(Z55,'浓度设置'!$A$6:$A$46,0),IF(J55="L",1,IF(J55="M",2,3))))</x:f>
      </x:c>
      <x:c r="O55" s="9" t="str">
        <x:f>IF(AA55="","",INDEX('浓度设置'!$P$6:$R$46,MATCH(AA55,'浓度设置'!$A$6:$A$46,0),IF(K55="L",1,IF(K55="M",2,3))))</x:f>
      </x:c>
      <x:c r="P55" s="9" t="str">
        <x:f>IF(AB55="","",INDEX('浓度设置'!$P$6:$R$46,MATCH(AB55,'浓度设置'!$A$6:$A$46,0),IF(L55="L",1,IF(L55="M",2,3))))</x:f>
      </x:c>
      <x:c r="Q55" s="9" t="n">
        <x:f>IF(Y55="","",M55/INDEX('浓度设置'!$M$6:$M$46,MATCH(Y55,'浓度设置'!$A$6:$A$46,0)))</x:f>
        <x:v>1.0315877863570895</x:v>
      </x:c>
      <x:c r="R55" s="9" t="str">
        <x:f>IF(Z55="","",N55/INDEX('浓度设置'!$M$6:$M$46,MATCH(Z55,'浓度设置'!$A$6:$A$46,0)))</x:f>
      </x:c>
      <x:c r="S55" s="9" t="str">
        <x:f>IF(AA55="","",O55/INDEX('浓度设置'!$M$6:$M$46,MATCH(AA55,'浓度设置'!$A$6:$A$46,0)))</x:f>
      </x:c>
      <x:c r="T55" s="9" t="str">
        <x:f>IF(AB55="","",P55/INDEX('浓度设置'!$M$6:$M$46,MATCH(AB55,'浓度设置'!$A$6:$A$46,0)))</x:f>
      </x:c>
      <x:c r="U55" s="9" t="n">
        <x:f>IF(Y55="","",M55*$AD55/1000)</x:f>
        <x:v>1.9373218627786142</x:v>
      </x:c>
      <x:c r="V55" s="9" t="str">
        <x:f>IF(Z55="","",N55*$AD55/1000)</x:f>
      </x:c>
      <x:c r="W55" s="9" t="str">
        <x:f>IF(AA55="","",O55*$AD55/1000)</x:f>
      </x:c>
      <x:c r="X55" s="9" t="str">
        <x:f>IF(AB55="","",P55*$AD55/1000)</x:f>
      </x:c>
      <x:c r="Y55" s="3" t="n">
        <x:v>115</x:v>
      </x:c>
      <x:c r="Z55" s="3" t="str"/>
      <x:c r="AA55" s="3" t="str"/>
      <x:c r="AB55" s="3" t="str"/>
      <x:c r="AC55" s="3" t="n">
        <x:v>1</x:v>
      </x:c>
      <x:c r="AD55" s="3" t="n">
        <x:f>'方案总览'!$B$5</x:f>
        <x:v>20</x:v>
      </x:c>
    </x:row>
    <x:row r="56" ht="24" customHeight="1">
      <x:c r="A56" s="3" t="str">
        <x:v>T051</x:v>
      </x:c>
      <x:c r="B56" s="3" t="str">
        <x:v>拟合</x:v>
      </x:c>
      <x:c r="C56" s="3" t="str">
        <x:v>S-115</x:v>
      </x:c>
      <x:c r="D56" s="3" t="str"/>
      <x:c r="E56" s="3" t="str">
        <x:v>乙酸异戊酯</x:v>
      </x:c>
      <x:c r="F56" s="3" t="str"/>
      <x:c r="G56" s="3" t="str"/>
      <x:c r="H56" s="3" t="str"/>
      <x:c r="I56" s="3" t="str">
        <x:v>H</x:v>
      </x:c>
      <x:c r="J56" s="3" t="str"/>
      <x:c r="K56" s="3" t="str"/>
      <x:c r="L56" s="3" t="str"/>
      <x:c r="M56" s="9" t="n">
        <x:f>IF(Y56="","",INDEX('浓度设置'!$P$6:$R$46,MATCH(Y56,'浓度设置'!$A$6:$A$46,0),IF(I56="L",1,IF(I56="M",2,3))))</x:f>
        <x:v>6516</x:v>
      </x:c>
      <x:c r="N56" s="9" t="str">
        <x:f>IF(Z56="","",INDEX('浓度设置'!$P$6:$R$46,MATCH(Z56,'浓度设置'!$A$6:$A$46,0),IF(J56="L",1,IF(J56="M",2,3))))</x:f>
      </x:c>
      <x:c r="O56" s="9" t="str">
        <x:f>IF(AA56="","",INDEX('浓度设置'!$P$6:$R$46,MATCH(AA56,'浓度设置'!$A$6:$A$46,0),IF(K56="L",1,IF(K56="M",2,3))))</x:f>
      </x:c>
      <x:c r="P56" s="9" t="str">
        <x:f>IF(AB56="","",INDEX('浓度设置'!$P$6:$R$46,MATCH(AB56,'浓度设置'!$A$6:$A$46,0),IF(L56="L",1,IF(L56="M",2,3))))</x:f>
      </x:c>
      <x:c r="Q56" s="9" t="n">
        <x:f>IF(Y56="","",M56/INDEX('浓度设置'!$M$6:$M$46,MATCH(Y56,'浓度设置'!$A$6:$A$46,0)))</x:f>
        <x:v>69.39297124600638</x:v>
      </x:c>
      <x:c r="R56" s="9" t="str">
        <x:f>IF(Z56="","",N56/INDEX('浓度设置'!$M$6:$M$46,MATCH(Z56,'浓度设置'!$A$6:$A$46,0)))</x:f>
      </x:c>
      <x:c r="S56" s="9" t="str">
        <x:f>IF(AA56="","",O56/INDEX('浓度设置'!$M$6:$M$46,MATCH(AA56,'浓度设置'!$A$6:$A$46,0)))</x:f>
      </x:c>
      <x:c r="T56" s="9" t="str">
        <x:f>IF(AB56="","",P56/INDEX('浓度设置'!$M$6:$M$46,MATCH(AB56,'浓度设置'!$A$6:$A$46,0)))</x:f>
      </x:c>
      <x:c r="U56" s="9" t="n">
        <x:f>IF(Y56="","",M56*$AD56/1000)</x:f>
        <x:v>130.32</x:v>
      </x:c>
      <x:c r="V56" s="9" t="str">
        <x:f>IF(Z56="","",N56*$AD56/1000)</x:f>
      </x:c>
      <x:c r="W56" s="9" t="str">
        <x:f>IF(AA56="","",O56*$AD56/1000)</x:f>
      </x:c>
      <x:c r="X56" s="9" t="str">
        <x:f>IF(AB56="","",P56*$AD56/1000)</x:f>
      </x:c>
      <x:c r="Y56" s="3" t="n">
        <x:v>115</x:v>
      </x:c>
      <x:c r="Z56" s="3" t="str"/>
      <x:c r="AA56" s="3" t="str"/>
      <x:c r="AB56" s="3" t="str"/>
      <x:c r="AC56" s="3" t="n">
        <x:v>1</x:v>
      </x:c>
      <x:c r="AD56" s="3" t="n">
        <x:f>'方案总览'!$B$5</x:f>
        <x:v>20</x:v>
      </x:c>
    </x:row>
    <x:row r="57" ht="24" customHeight="1">
      <x:c r="A57" s="3" t="str">
        <x:v>T052</x:v>
      </x:c>
      <x:c r="B57" s="3" t="str">
        <x:v>拟合</x:v>
      </x:c>
      <x:c r="C57" s="3" t="str">
        <x:v>S-117</x:v>
      </x:c>
      <x:c r="D57" s="3" t="str"/>
      <x:c r="E57" s="3" t="str">
        <x:v>辛酸</x:v>
      </x:c>
      <x:c r="F57" s="3" t="str"/>
      <x:c r="G57" s="3" t="str"/>
      <x:c r="H57" s="3" t="str"/>
      <x:c r="I57" s="3" t="str">
        <x:v>L</x:v>
      </x:c>
      <x:c r="J57" s="3" t="str"/>
      <x:c r="K57" s="3" t="str"/>
      <x:c r="L57" s="3" t="str"/>
      <x:c r="M57" s="9" t="n">
        <x:f>IF(Y57="","",INDEX('浓度设置'!$P$6:$R$46,MATCH(Y57,'浓度设置'!$A$6:$A$46,0),IF(I57="L",1,IF(I57="M",2,3))))</x:f>
        <x:v>1.875</x:v>
      </x:c>
      <x:c r="N57" s="9" t="str">
        <x:f>IF(Z57="","",INDEX('浓度设置'!$P$6:$R$46,MATCH(Z57,'浓度设置'!$A$6:$A$46,0),IF(J57="L",1,IF(J57="M",2,3))))</x:f>
      </x:c>
      <x:c r="O57" s="9" t="str">
        <x:f>IF(AA57="","",INDEX('浓度设置'!$P$6:$R$46,MATCH(AA57,'浓度设置'!$A$6:$A$46,0),IF(K57="L",1,IF(K57="M",2,3))))</x:f>
      </x:c>
      <x:c r="P57" s="9" t="str">
        <x:f>IF(AB57="","",INDEX('浓度设置'!$P$6:$R$46,MATCH(AB57,'浓度设置'!$A$6:$A$46,0),IF(L57="L",1,IF(L57="M",2,3))))</x:f>
      </x:c>
      <x:c r="Q57" s="9" t="n">
        <x:f>IF(Y57="","",M57/INDEX('浓度设置'!$M$6:$M$46,MATCH(Y57,'浓度设置'!$A$6:$A$46,0)))</x:f>
        <x:v>0.0006944444444444445</x:v>
      </x:c>
      <x:c r="R57" s="9" t="str">
        <x:f>IF(Z57="","",N57/INDEX('浓度设置'!$M$6:$M$46,MATCH(Z57,'浓度设置'!$A$6:$A$46,0)))</x:f>
      </x:c>
      <x:c r="S57" s="9" t="str">
        <x:f>IF(AA57="","",O57/INDEX('浓度设置'!$M$6:$M$46,MATCH(AA57,'浓度设置'!$A$6:$A$46,0)))</x:f>
      </x:c>
      <x:c r="T57" s="9" t="str">
        <x:f>IF(AB57="","",P57/INDEX('浓度设置'!$M$6:$M$46,MATCH(AB57,'浓度设置'!$A$6:$A$46,0)))</x:f>
      </x:c>
      <x:c r="U57" s="9" t="n">
        <x:f>IF(Y57="","",M57*$AD57/1000)</x:f>
        <x:v>0.0375</x:v>
      </x:c>
      <x:c r="V57" s="9" t="str">
        <x:f>IF(Z57="","",N57*$AD57/1000)</x:f>
      </x:c>
      <x:c r="W57" s="9" t="str">
        <x:f>IF(AA57="","",O57*$AD57/1000)</x:f>
      </x:c>
      <x:c r="X57" s="9" t="str">
        <x:f>IF(AB57="","",P57*$AD57/1000)</x:f>
      </x:c>
      <x:c r="Y57" s="3" t="n">
        <x:v>117</x:v>
      </x:c>
      <x:c r="Z57" s="3" t="str"/>
      <x:c r="AA57" s="3" t="str"/>
      <x:c r="AB57" s="3" t="str"/>
      <x:c r="AC57" s="3" t="n">
        <x:v>1</x:v>
      </x:c>
      <x:c r="AD57" s="3" t="n">
        <x:f>'方案总览'!$B$5</x:f>
        <x:v>20</x:v>
      </x:c>
    </x:row>
    <x:row r="58" ht="24" customHeight="1">
      <x:c r="A58" s="3" t="str">
        <x:v>T053</x:v>
      </x:c>
      <x:c r="B58" s="3" t="str">
        <x:v>拟合</x:v>
      </x:c>
      <x:c r="C58" s="3" t="str">
        <x:v>S-117</x:v>
      </x:c>
      <x:c r="D58" s="3" t="str"/>
      <x:c r="E58" s="3" t="str">
        <x:v>辛酸</x:v>
      </x:c>
      <x:c r="F58" s="3" t="str"/>
      <x:c r="G58" s="3" t="str"/>
      <x:c r="H58" s="3" t="str"/>
      <x:c r="I58" s="3" t="str">
        <x:v>M</x:v>
      </x:c>
      <x:c r="J58" s="3" t="str"/>
      <x:c r="K58" s="3" t="str"/>
      <x:c r="L58" s="3" t="str"/>
      <x:c r="M58" s="9" t="n">
        <x:f>IF(Y58="","",INDEX('浓度设置'!$P$6:$R$46,MATCH(Y58,'浓度设置'!$A$6:$A$46,0),IF(I58="L",1,IF(I58="M",2,3))))</x:f>
        <x:v>274.54883445390914</x:v>
      </x:c>
      <x:c r="N58" s="9" t="str">
        <x:f>IF(Z58="","",INDEX('浓度设置'!$P$6:$R$46,MATCH(Z58,'浓度设置'!$A$6:$A$46,0),IF(J58="L",1,IF(J58="M",2,3))))</x:f>
      </x:c>
      <x:c r="O58" s="9" t="str">
        <x:f>IF(AA58="","",INDEX('浓度设置'!$P$6:$R$46,MATCH(AA58,'浓度设置'!$A$6:$A$46,0),IF(K58="L",1,IF(K58="M",2,3))))</x:f>
      </x:c>
      <x:c r="P58" s="9" t="str">
        <x:f>IF(AB58="","",INDEX('浓度设置'!$P$6:$R$46,MATCH(AB58,'浓度设置'!$A$6:$A$46,0),IF(L58="L",1,IF(L58="M",2,3))))</x:f>
      </x:c>
      <x:c r="Q58" s="9" t="n">
        <x:f>IF(Y58="","",M58/INDEX('浓度设置'!$M$6:$M$46,MATCH(Y58,'浓度设置'!$A$6:$A$46,0)))</x:f>
        <x:v>0.10168475350144783</x:v>
      </x:c>
      <x:c r="R58" s="9" t="str">
        <x:f>IF(Z58="","",N58/INDEX('浓度设置'!$M$6:$M$46,MATCH(Z58,'浓度设置'!$A$6:$A$46,0)))</x:f>
      </x:c>
      <x:c r="S58" s="9" t="str">
        <x:f>IF(AA58="","",O58/INDEX('浓度设置'!$M$6:$M$46,MATCH(AA58,'浓度设置'!$A$6:$A$46,0)))</x:f>
      </x:c>
      <x:c r="T58" s="9" t="str">
        <x:f>IF(AB58="","",P58/INDEX('浓度设置'!$M$6:$M$46,MATCH(AB58,'浓度设置'!$A$6:$A$46,0)))</x:f>
      </x:c>
      <x:c r="U58" s="9" t="n">
        <x:f>IF(Y58="","",M58*$AD58/1000)</x:f>
        <x:v>5.490976689078183</x:v>
      </x:c>
      <x:c r="V58" s="9" t="str">
        <x:f>IF(Z58="","",N58*$AD58/1000)</x:f>
      </x:c>
      <x:c r="W58" s="9" t="str">
        <x:f>IF(AA58="","",O58*$AD58/1000)</x:f>
      </x:c>
      <x:c r="X58" s="9" t="str">
        <x:f>IF(AB58="","",P58*$AD58/1000)</x:f>
      </x:c>
      <x:c r="Y58" s="3" t="n">
        <x:v>117</x:v>
      </x:c>
      <x:c r="Z58" s="3" t="str"/>
      <x:c r="AA58" s="3" t="str"/>
      <x:c r="AB58" s="3" t="str"/>
      <x:c r="AC58" s="3" t="n">
        <x:v>1</x:v>
      </x:c>
      <x:c r="AD58" s="3" t="n">
        <x:f>'方案总览'!$B$5</x:f>
        <x:v>20</x:v>
      </x:c>
    </x:row>
    <x:row r="59" ht="24" customHeight="1">
      <x:c r="A59" s="3" t="str">
        <x:v>T054</x:v>
      </x:c>
      <x:c r="B59" s="3" t="str">
        <x:v>拟合</x:v>
      </x:c>
      <x:c r="C59" s="3" t="str">
        <x:v>S-117</x:v>
      </x:c>
      <x:c r="D59" s="3" t="str"/>
      <x:c r="E59" s="3" t="str">
        <x:v>辛酸</x:v>
      </x:c>
      <x:c r="F59" s="3" t="str"/>
      <x:c r="G59" s="3" t="str"/>
      <x:c r="H59" s="3" t="str"/>
      <x:c r="I59" s="3" t="str">
        <x:v>H</x:v>
      </x:c>
      <x:c r="J59" s="3" t="str"/>
      <x:c r="K59" s="3" t="str"/>
      <x:c r="L59" s="3" t="str"/>
      <x:c r="M59" s="9" t="n">
        <x:f>IF(Y59="","",INDEX('浓度设置'!$P$6:$R$46,MATCH(Y59,'浓度设置'!$A$6:$A$46,0),IF(I59="L",1,IF(I59="M",2,3))))</x:f>
        <x:v>40201.1</x:v>
      </x:c>
      <x:c r="N59" s="9" t="str">
        <x:f>IF(Z59="","",INDEX('浓度设置'!$P$6:$R$46,MATCH(Z59,'浓度设置'!$A$6:$A$46,0),IF(J59="L",1,IF(J59="M",2,3))))</x:f>
      </x:c>
      <x:c r="O59" s="9" t="str">
        <x:f>IF(AA59="","",INDEX('浓度设置'!$P$6:$R$46,MATCH(AA59,'浓度设置'!$A$6:$A$46,0),IF(K59="L",1,IF(K59="M",2,3))))</x:f>
      </x:c>
      <x:c r="P59" s="9" t="str">
        <x:f>IF(AB59="","",INDEX('浓度设置'!$P$6:$R$46,MATCH(AB59,'浓度设置'!$A$6:$A$46,0),IF(L59="L",1,IF(L59="M",2,3))))</x:f>
      </x:c>
      <x:c r="Q59" s="9" t="n">
        <x:f>IF(Y59="","",M59/INDEX('浓度设置'!$M$6:$M$46,MATCH(Y59,'浓度设置'!$A$6:$A$46,0)))</x:f>
        <x:v>14.889296296296296</x:v>
      </x:c>
      <x:c r="R59" s="9" t="str">
        <x:f>IF(Z59="","",N59/INDEX('浓度设置'!$M$6:$M$46,MATCH(Z59,'浓度设置'!$A$6:$A$46,0)))</x:f>
      </x:c>
      <x:c r="S59" s="9" t="str">
        <x:f>IF(AA59="","",O59/INDEX('浓度设置'!$M$6:$M$46,MATCH(AA59,'浓度设置'!$A$6:$A$46,0)))</x:f>
      </x:c>
      <x:c r="T59" s="9" t="str">
        <x:f>IF(AB59="","",P59/INDEX('浓度设置'!$M$6:$M$46,MATCH(AB59,'浓度设置'!$A$6:$A$46,0)))</x:f>
      </x:c>
      <x:c r="U59" s="9" t="n">
        <x:f>IF(Y59="","",M59*$AD59/1000)</x:f>
        <x:v>804.022</x:v>
      </x:c>
      <x:c r="V59" s="9" t="str">
        <x:f>IF(Z59="","",N59*$AD59/1000)</x:f>
      </x:c>
      <x:c r="W59" s="9" t="str">
        <x:f>IF(AA59="","",O59*$AD59/1000)</x:f>
      </x:c>
      <x:c r="X59" s="9" t="str">
        <x:f>IF(AB59="","",P59*$AD59/1000)</x:f>
      </x:c>
      <x:c r="Y59" s="3" t="n">
        <x:v>117</x:v>
      </x:c>
      <x:c r="Z59" s="3" t="str"/>
      <x:c r="AA59" s="3" t="str"/>
      <x:c r="AB59" s="3" t="str"/>
      <x:c r="AC59" s="3" t="n">
        <x:v>1</x:v>
      </x:c>
      <x:c r="AD59" s="3" t="n">
        <x:f>'方案总览'!$B$5</x:f>
        <x:v>20</x:v>
      </x:c>
    </x:row>
    <x:row r="60" ht="24" customHeight="1">
      <x:c r="A60" s="3" t="str">
        <x:v>T055</x:v>
      </x:c>
      <x:c r="B60" s="3" t="str">
        <x:v>拟合</x:v>
      </x:c>
      <x:c r="C60" s="3" t="str">
        <x:v>S-126</x:v>
      </x:c>
      <x:c r="D60" s="3" t="str"/>
      <x:c r="E60" s="3" t="str">
        <x:v>己酸</x:v>
      </x:c>
      <x:c r="F60" s="3" t="str"/>
      <x:c r="G60" s="3" t="str"/>
      <x:c r="H60" s="3" t="str"/>
      <x:c r="I60" s="3" t="str">
        <x:v>L</x:v>
      </x:c>
      <x:c r="J60" s="3" t="str"/>
      <x:c r="K60" s="3" t="str"/>
      <x:c r="L60" s="3" t="str"/>
      <x:c r="M60" s="9" t="n">
        <x:f>IF(Y60="","",INDEX('浓度设置'!$P$6:$R$46,MATCH(Y60,'浓度设置'!$A$6:$A$46,0),IF(I60="L",1,IF(I60="M",2,3))))</x:f>
        <x:v>2.125</x:v>
      </x:c>
      <x:c r="N60" s="9" t="str">
        <x:f>IF(Z60="","",INDEX('浓度设置'!$P$6:$R$46,MATCH(Z60,'浓度设置'!$A$6:$A$46,0),IF(J60="L",1,IF(J60="M",2,3))))</x:f>
      </x:c>
      <x:c r="O60" s="9" t="str">
        <x:f>IF(AA60="","",INDEX('浓度设置'!$P$6:$R$46,MATCH(AA60,'浓度设置'!$A$6:$A$46,0),IF(K60="L",1,IF(K60="M",2,3))))</x:f>
      </x:c>
      <x:c r="P60" s="9" t="str">
        <x:f>IF(AB60="","",INDEX('浓度设置'!$P$6:$R$46,MATCH(AB60,'浓度设置'!$A$6:$A$46,0),IF(L60="L",1,IF(L60="M",2,3))))</x:f>
      </x:c>
      <x:c r="Q60" s="9" t="n">
        <x:f>IF(Y60="","",M60/INDEX('浓度设置'!$M$6:$M$46,MATCH(Y60,'浓度设置'!$A$6:$A$46,0)))</x:f>
        <x:v>0.0008432539682539683</x:v>
      </x:c>
      <x:c r="R60" s="9" t="str">
        <x:f>IF(Z60="","",N60/INDEX('浓度设置'!$M$6:$M$46,MATCH(Z60,'浓度设置'!$A$6:$A$46,0)))</x:f>
      </x:c>
      <x:c r="S60" s="9" t="str">
        <x:f>IF(AA60="","",O60/INDEX('浓度设置'!$M$6:$M$46,MATCH(AA60,'浓度设置'!$A$6:$A$46,0)))</x:f>
      </x:c>
      <x:c r="T60" s="9" t="str">
        <x:f>IF(AB60="","",P60/INDEX('浓度设置'!$M$6:$M$46,MATCH(AB60,'浓度设置'!$A$6:$A$46,0)))</x:f>
      </x:c>
      <x:c r="U60" s="9" t="n">
        <x:f>IF(Y60="","",M60*$AD60/1000)</x:f>
        <x:v>0.0425</x:v>
      </x:c>
      <x:c r="V60" s="9" t="str">
        <x:f>IF(Z60="","",N60*$AD60/1000)</x:f>
      </x:c>
      <x:c r="W60" s="9" t="str">
        <x:f>IF(AA60="","",O60*$AD60/1000)</x:f>
      </x:c>
      <x:c r="X60" s="9" t="str">
        <x:f>IF(AB60="","",P60*$AD60/1000)</x:f>
      </x:c>
      <x:c r="Y60" s="3" t="n">
        <x:v>126</x:v>
      </x:c>
      <x:c r="Z60" s="3" t="str"/>
      <x:c r="AA60" s="3" t="str"/>
      <x:c r="AB60" s="3" t="str"/>
      <x:c r="AC60" s="3" t="n">
        <x:v>1</x:v>
      </x:c>
      <x:c r="AD60" s="3" t="n">
        <x:f>'方案总览'!$B$5</x:f>
        <x:v>20</x:v>
      </x:c>
    </x:row>
    <x:row r="61" ht="24" customHeight="1">
      <x:c r="A61" s="3" t="str">
        <x:v>T056</x:v>
      </x:c>
      <x:c r="B61" s="3" t="str">
        <x:v>拟合</x:v>
      </x:c>
      <x:c r="C61" s="3" t="str">
        <x:v>S-126</x:v>
      </x:c>
      <x:c r="D61" s="3" t="str"/>
      <x:c r="E61" s="3" t="str">
        <x:v>己酸</x:v>
      </x:c>
      <x:c r="F61" s="3" t="str"/>
      <x:c r="G61" s="3" t="str"/>
      <x:c r="H61" s="3" t="str"/>
      <x:c r="I61" s="3" t="str">
        <x:v>M</x:v>
      </x:c>
      <x:c r="J61" s="3" t="str"/>
      <x:c r="K61" s="3" t="str"/>
      <x:c r="L61" s="3" t="str"/>
      <x:c r="M61" s="9" t="n">
        <x:f>IF(Y61="","",INDEX('浓度设置'!$P$6:$R$46,MATCH(Y61,'浓度设置'!$A$6:$A$46,0),IF(I61="L",1,IF(I61="M",2,3))))</x:f>
        <x:v>1815.6539083757125</x:v>
      </x:c>
      <x:c r="N61" s="9" t="str">
        <x:f>IF(Z61="","",INDEX('浓度设置'!$P$6:$R$46,MATCH(Z61,'浓度设置'!$A$6:$A$46,0),IF(J61="L",1,IF(J61="M",2,3))))</x:f>
      </x:c>
      <x:c r="O61" s="9" t="str">
        <x:f>IF(AA61="","",INDEX('浓度设置'!$P$6:$R$46,MATCH(AA61,'浓度设置'!$A$6:$A$46,0),IF(K61="L",1,IF(K61="M",2,3))))</x:f>
      </x:c>
      <x:c r="P61" s="9" t="str">
        <x:f>IF(AB61="","",INDEX('浓度设置'!$P$6:$R$46,MATCH(AB61,'浓度设置'!$A$6:$A$46,0),IF(L61="L",1,IF(L61="M",2,3))))</x:f>
      </x:c>
      <x:c r="Q61" s="9" t="n">
        <x:f>IF(Y61="","",M61/INDEX('浓度设置'!$M$6:$M$46,MATCH(Y61,'浓度设置'!$A$6:$A$46,0)))</x:f>
        <x:v>0.7204975826887748</x:v>
      </x:c>
      <x:c r="R61" s="9" t="str">
        <x:f>IF(Z61="","",N61/INDEX('浓度设置'!$M$6:$M$46,MATCH(Z61,'浓度设置'!$A$6:$A$46,0)))</x:f>
      </x:c>
      <x:c r="S61" s="9" t="str">
        <x:f>IF(AA61="","",O61/INDEX('浓度设置'!$M$6:$M$46,MATCH(AA61,'浓度设置'!$A$6:$A$46,0)))</x:f>
      </x:c>
      <x:c r="T61" s="9" t="str">
        <x:f>IF(AB61="","",P61/INDEX('浓度设置'!$M$6:$M$46,MATCH(AB61,'浓度设置'!$A$6:$A$46,0)))</x:f>
      </x:c>
      <x:c r="U61" s="9" t="n">
        <x:f>IF(Y61="","",M61*$AD61/1000)</x:f>
        <x:v>36.31307816751425</x:v>
      </x:c>
      <x:c r="V61" s="9" t="str">
        <x:f>IF(Z61="","",N61*$AD61/1000)</x:f>
      </x:c>
      <x:c r="W61" s="9" t="str">
        <x:f>IF(AA61="","",O61*$AD61/1000)</x:f>
      </x:c>
      <x:c r="X61" s="9" t="str">
        <x:f>IF(AB61="","",P61*$AD61/1000)</x:f>
      </x:c>
      <x:c r="Y61" s="3" t="n">
        <x:v>126</x:v>
      </x:c>
      <x:c r="Z61" s="3" t="str"/>
      <x:c r="AA61" s="3" t="str"/>
      <x:c r="AB61" s="3" t="str"/>
      <x:c r="AC61" s="3" t="n">
        <x:v>1</x:v>
      </x:c>
      <x:c r="AD61" s="3" t="n">
        <x:f>'方案总览'!$B$5</x:f>
        <x:v>20</x:v>
      </x:c>
    </x:row>
    <x:row r="62" ht="24" customHeight="1">
      <x:c r="A62" s="3" t="str">
        <x:v>T057</x:v>
      </x:c>
      <x:c r="B62" s="3" t="str">
        <x:v>拟合</x:v>
      </x:c>
      <x:c r="C62" s="3" t="str">
        <x:v>S-126</x:v>
      </x:c>
      <x:c r="D62" s="3" t="str"/>
      <x:c r="E62" s="3" t="str">
        <x:v>己酸</x:v>
      </x:c>
      <x:c r="F62" s="3" t="str"/>
      <x:c r="G62" s="3" t="str"/>
      <x:c r="H62" s="3" t="str"/>
      <x:c r="I62" s="3" t="str">
        <x:v>H</x:v>
      </x:c>
      <x:c r="J62" s="3" t="str"/>
      <x:c r="K62" s="3" t="str"/>
      <x:c r="L62" s="3" t="str"/>
      <x:c r="M62" s="9" t="n">
        <x:f>IF(Y62="","",INDEX('浓度设置'!$P$6:$R$46,MATCH(Y62,'浓度设置'!$A$6:$A$46,0),IF(I62="L",1,IF(I62="M",2,3))))</x:f>
        <x:v>1551340.76</x:v>
      </x:c>
      <x:c r="N62" s="9" t="str">
        <x:f>IF(Z62="","",INDEX('浓度设置'!$P$6:$R$46,MATCH(Z62,'浓度设置'!$A$6:$A$46,0),IF(J62="L",1,IF(J62="M",2,3))))</x:f>
      </x:c>
      <x:c r="O62" s="9" t="str">
        <x:f>IF(AA62="","",INDEX('浓度设置'!$P$6:$R$46,MATCH(AA62,'浓度设置'!$A$6:$A$46,0),IF(K62="L",1,IF(K62="M",2,3))))</x:f>
      </x:c>
      <x:c r="P62" s="9" t="str">
        <x:f>IF(AB62="","",INDEX('浓度设置'!$P$6:$R$46,MATCH(AB62,'浓度设置'!$A$6:$A$46,0),IF(L62="L",1,IF(L62="M",2,3))))</x:f>
      </x:c>
      <x:c r="Q62" s="9" t="n">
        <x:f>IF(Y62="","",M62/INDEX('浓度设置'!$M$6:$M$46,MATCH(Y62,'浓度设置'!$A$6:$A$46,0)))</x:f>
        <x:v>615.6114126984127</x:v>
      </x:c>
      <x:c r="R62" s="9" t="str">
        <x:f>IF(Z62="","",N62/INDEX('浓度设置'!$M$6:$M$46,MATCH(Z62,'浓度设置'!$A$6:$A$46,0)))</x:f>
      </x:c>
      <x:c r="S62" s="9" t="str">
        <x:f>IF(AA62="","",O62/INDEX('浓度设置'!$M$6:$M$46,MATCH(AA62,'浓度设置'!$A$6:$A$46,0)))</x:f>
      </x:c>
      <x:c r="T62" s="9" t="str">
        <x:f>IF(AB62="","",P62/INDEX('浓度设置'!$M$6:$M$46,MATCH(AB62,'浓度设置'!$A$6:$A$46,0)))</x:f>
      </x:c>
      <x:c r="U62" s="9" t="n">
        <x:f>IF(Y62="","",M62*$AD62/1000)</x:f>
        <x:v>31026.8152</x:v>
      </x:c>
      <x:c r="V62" s="9" t="str">
        <x:f>IF(Z62="","",N62*$AD62/1000)</x:f>
      </x:c>
      <x:c r="W62" s="9" t="str">
        <x:f>IF(AA62="","",O62*$AD62/1000)</x:f>
      </x:c>
      <x:c r="X62" s="9" t="str">
        <x:f>IF(AB62="","",P62*$AD62/1000)</x:f>
      </x:c>
      <x:c r="Y62" s="3" t="n">
        <x:v>126</x:v>
      </x:c>
      <x:c r="Z62" s="3" t="str"/>
      <x:c r="AA62" s="3" t="str"/>
      <x:c r="AB62" s="3" t="str"/>
      <x:c r="AC62" s="3" t="n">
        <x:v>1</x:v>
      </x:c>
      <x:c r="AD62" s="3" t="n">
        <x:f>'方案总览'!$B$5</x:f>
        <x:v>20</x:v>
      </x:c>
    </x:row>
    <x:row r="63" ht="24" customHeight="1">
      <x:c r="A63" s="3" t="str">
        <x:v>T058</x:v>
      </x:c>
      <x:c r="B63" s="3" t="str">
        <x:v>拟合</x:v>
      </x:c>
      <x:c r="C63" s="3" t="str">
        <x:v>S-136</x:v>
      </x:c>
      <x:c r="D63" s="3" t="str"/>
      <x:c r="E63" s="3" t="str">
        <x:v>异戊酸/3-甲基丁酸</x:v>
      </x:c>
      <x:c r="F63" s="3" t="str"/>
      <x:c r="G63" s="3" t="str"/>
      <x:c r="H63" s="3" t="str"/>
      <x:c r="I63" s="3" t="str">
        <x:v>L</x:v>
      </x:c>
      <x:c r="J63" s="3" t="str"/>
      <x:c r="K63" s="3" t="str"/>
      <x:c r="L63" s="3" t="str"/>
      <x:c r="M63" s="9" t="n">
        <x:f>IF(Y63="","",INDEX('浓度设置'!$P$6:$R$46,MATCH(Y63,'浓度设置'!$A$6:$A$46,0),IF(I63="L",1,IF(I63="M",2,3))))</x:f>
        <x:v>1.1875</x:v>
      </x:c>
      <x:c r="N63" s="9" t="str">
        <x:f>IF(Z63="","",INDEX('浓度设置'!$P$6:$R$46,MATCH(Z63,'浓度设置'!$A$6:$A$46,0),IF(J63="L",1,IF(J63="M",2,3))))</x:f>
      </x:c>
      <x:c r="O63" s="9" t="str">
        <x:f>IF(AA63="","",INDEX('浓度设置'!$P$6:$R$46,MATCH(AA63,'浓度设置'!$A$6:$A$46,0),IF(K63="L",1,IF(K63="M",2,3))))</x:f>
      </x:c>
      <x:c r="P63" s="9" t="str">
        <x:f>IF(AB63="","",INDEX('浓度设置'!$P$6:$R$46,MATCH(AB63,'浓度设置'!$A$6:$A$46,0),IF(L63="L",1,IF(L63="M",2,3))))</x:f>
      </x:c>
      <x:c r="Q63" s="9" t="n">
        <x:f>IF(Y63="","",M63/INDEX('浓度设置'!$M$6:$M$46,MATCH(Y63,'浓度设置'!$A$6:$A$46,0)))</x:f>
        <x:v>0.001130952380952381</x:v>
      </x:c>
      <x:c r="R63" s="9" t="str">
        <x:f>IF(Z63="","",N63/INDEX('浓度设置'!$M$6:$M$46,MATCH(Z63,'浓度设置'!$A$6:$A$46,0)))</x:f>
      </x:c>
      <x:c r="S63" s="9" t="str">
        <x:f>IF(AA63="","",O63/INDEX('浓度设置'!$M$6:$M$46,MATCH(AA63,'浓度设置'!$A$6:$A$46,0)))</x:f>
      </x:c>
      <x:c r="T63" s="9" t="str">
        <x:f>IF(AB63="","",P63/INDEX('浓度设置'!$M$6:$M$46,MATCH(AB63,'浓度设置'!$A$6:$A$46,0)))</x:f>
      </x:c>
      <x:c r="U63" s="9" t="n">
        <x:f>IF(Y63="","",M63*$AD63/1000)</x:f>
        <x:v>0.02375</x:v>
      </x:c>
      <x:c r="V63" s="9" t="str">
        <x:f>IF(Z63="","",N63*$AD63/1000)</x:f>
      </x:c>
      <x:c r="W63" s="9" t="str">
        <x:f>IF(AA63="","",O63*$AD63/1000)</x:f>
      </x:c>
      <x:c r="X63" s="9" t="str">
        <x:f>IF(AB63="","",P63*$AD63/1000)</x:f>
      </x:c>
      <x:c r="Y63" s="3" t="n">
        <x:v>136</x:v>
      </x:c>
      <x:c r="Z63" s="3" t="str"/>
      <x:c r="AA63" s="3" t="str"/>
      <x:c r="AB63" s="3" t="str"/>
      <x:c r="AC63" s="3" t="n">
        <x:v>1</x:v>
      </x:c>
      <x:c r="AD63" s="3" t="n">
        <x:f>'方案总览'!$B$5</x:f>
        <x:v>20</x:v>
      </x:c>
    </x:row>
    <x:row r="64" ht="24" customHeight="1">
      <x:c r="A64" s="3" t="str">
        <x:v>T059</x:v>
      </x:c>
      <x:c r="B64" s="3" t="str">
        <x:v>拟合</x:v>
      </x:c>
      <x:c r="C64" s="3" t="str">
        <x:v>S-136</x:v>
      </x:c>
      <x:c r="D64" s="3" t="str"/>
      <x:c r="E64" s="3" t="str">
        <x:v>异戊酸/3-甲基丁酸</x:v>
      </x:c>
      <x:c r="F64" s="3" t="str"/>
      <x:c r="G64" s="3" t="str"/>
      <x:c r="H64" s="3" t="str"/>
      <x:c r="I64" s="3" t="str">
        <x:v>M</x:v>
      </x:c>
      <x:c r="J64" s="3" t="str"/>
      <x:c r="K64" s="3" t="str"/>
      <x:c r="L64" s="3" t="str"/>
      <x:c r="M64" s="9" t="n">
        <x:f>IF(Y64="","",INDEX('浓度设置'!$P$6:$R$46,MATCH(Y64,'浓度设置'!$A$6:$A$46,0),IF(I64="L",1,IF(I64="M",2,3))))</x:f>
        <x:v>228.58258901324922</x:v>
      </x:c>
      <x:c r="N64" s="9" t="str">
        <x:f>IF(Z64="","",INDEX('浓度设置'!$P$6:$R$46,MATCH(Z64,'浓度设置'!$A$6:$A$46,0),IF(J64="L",1,IF(J64="M",2,3))))</x:f>
      </x:c>
      <x:c r="O64" s="9" t="str">
        <x:f>IF(AA64="","",INDEX('浓度设置'!$P$6:$R$46,MATCH(AA64,'浓度设置'!$A$6:$A$46,0),IF(K64="L",1,IF(K64="M",2,3))))</x:f>
      </x:c>
      <x:c r="P64" s="9" t="str">
        <x:f>IF(AB64="","",INDEX('浓度设置'!$P$6:$R$46,MATCH(AB64,'浓度设置'!$A$6:$A$46,0),IF(L64="L",1,IF(L64="M",2,3))))</x:f>
      </x:c>
      <x:c r="Q64" s="9" t="n">
        <x:f>IF(Y64="","",M64/INDEX('浓度设置'!$M$6:$M$46,MATCH(Y64,'浓度设置'!$A$6:$A$46,0)))</x:f>
        <x:v>0.21769770382214212</x:v>
      </x:c>
      <x:c r="R64" s="9" t="str">
        <x:f>IF(Z64="","",N64/INDEX('浓度设置'!$M$6:$M$46,MATCH(Z64,'浓度设置'!$A$6:$A$46,0)))</x:f>
      </x:c>
      <x:c r="S64" s="9" t="str">
        <x:f>IF(AA64="","",O64/INDEX('浓度设置'!$M$6:$M$46,MATCH(AA64,'浓度设置'!$A$6:$A$46,0)))</x:f>
      </x:c>
      <x:c r="T64" s="9" t="str">
        <x:f>IF(AB64="","",P64/INDEX('浓度设置'!$M$6:$M$46,MATCH(AB64,'浓度设置'!$A$6:$A$46,0)))</x:f>
      </x:c>
      <x:c r="U64" s="9" t="n">
        <x:f>IF(Y64="","",M64*$AD64/1000)</x:f>
        <x:v>4.571651780264984</x:v>
      </x:c>
      <x:c r="V64" s="9" t="str">
        <x:f>IF(Z64="","",N64*$AD64/1000)</x:f>
      </x:c>
      <x:c r="W64" s="9" t="str">
        <x:f>IF(AA64="","",O64*$AD64/1000)</x:f>
      </x:c>
      <x:c r="X64" s="9" t="str">
        <x:f>IF(AB64="","",P64*$AD64/1000)</x:f>
      </x:c>
      <x:c r="Y64" s="3" t="n">
        <x:v>136</x:v>
      </x:c>
      <x:c r="Z64" s="3" t="str"/>
      <x:c r="AA64" s="3" t="str"/>
      <x:c r="AB64" s="3" t="str"/>
      <x:c r="AC64" s="3" t="n">
        <x:v>1</x:v>
      </x:c>
      <x:c r="AD64" s="3" t="n">
        <x:f>'方案总览'!$B$5</x:f>
        <x:v>20</x:v>
      </x:c>
    </x:row>
    <x:row r="65" ht="24" customHeight="1">
      <x:c r="A65" s="3" t="str">
        <x:v>T060</x:v>
      </x:c>
      <x:c r="B65" s="3" t="str">
        <x:v>拟合</x:v>
      </x:c>
      <x:c r="C65" s="3" t="str">
        <x:v>S-136</x:v>
      </x:c>
      <x:c r="D65" s="3" t="str"/>
      <x:c r="E65" s="3" t="str">
        <x:v>异戊酸/3-甲基丁酸</x:v>
      </x:c>
      <x:c r="F65" s="3" t="str"/>
      <x:c r="G65" s="3" t="str"/>
      <x:c r="H65" s="3" t="str"/>
      <x:c r="I65" s="3" t="str">
        <x:v>H</x:v>
      </x:c>
      <x:c r="J65" s="3" t="str"/>
      <x:c r="K65" s="3" t="str"/>
      <x:c r="L65" s="3" t="str"/>
      <x:c r="M65" s="9" t="n">
        <x:f>IF(Y65="","",INDEX('浓度设置'!$P$6:$R$46,MATCH(Y65,'浓度设置'!$A$6:$A$46,0),IF(I65="L",1,IF(I65="M",2,3))))</x:f>
        <x:v>44000</x:v>
      </x:c>
      <x:c r="N65" s="9" t="str">
        <x:f>IF(Z65="","",INDEX('浓度设置'!$P$6:$R$46,MATCH(Z65,'浓度设置'!$A$6:$A$46,0),IF(J65="L",1,IF(J65="M",2,3))))</x:f>
      </x:c>
      <x:c r="O65" s="9" t="str">
        <x:f>IF(AA65="","",INDEX('浓度设置'!$P$6:$R$46,MATCH(AA65,'浓度设置'!$A$6:$A$46,0),IF(K65="L",1,IF(K65="M",2,3))))</x:f>
      </x:c>
      <x:c r="P65" s="9" t="str">
        <x:f>IF(AB65="","",INDEX('浓度设置'!$P$6:$R$46,MATCH(AB65,'浓度设置'!$A$6:$A$46,0),IF(L65="L",1,IF(L65="M",2,3))))</x:f>
      </x:c>
      <x:c r="Q65" s="9" t="n">
        <x:f>IF(Y65="","",M65/INDEX('浓度设置'!$M$6:$M$46,MATCH(Y65,'浓度设置'!$A$6:$A$46,0)))</x:f>
        <x:v>41.904761904761905</x:v>
      </x:c>
      <x:c r="R65" s="9" t="str">
        <x:f>IF(Z65="","",N65/INDEX('浓度设置'!$M$6:$M$46,MATCH(Z65,'浓度设置'!$A$6:$A$46,0)))</x:f>
      </x:c>
      <x:c r="S65" s="9" t="str">
        <x:f>IF(AA65="","",O65/INDEX('浓度设置'!$M$6:$M$46,MATCH(AA65,'浓度设置'!$A$6:$A$46,0)))</x:f>
      </x:c>
      <x:c r="T65" s="9" t="str">
        <x:f>IF(AB65="","",P65/INDEX('浓度设置'!$M$6:$M$46,MATCH(AB65,'浓度设置'!$A$6:$A$46,0)))</x:f>
      </x:c>
      <x:c r="U65" s="9" t="n">
        <x:f>IF(Y65="","",M65*$AD65/1000)</x:f>
        <x:v>880</x:v>
      </x:c>
      <x:c r="V65" s="9" t="str">
        <x:f>IF(Z65="","",N65*$AD65/1000)</x:f>
      </x:c>
      <x:c r="W65" s="9" t="str">
        <x:f>IF(AA65="","",O65*$AD65/1000)</x:f>
      </x:c>
      <x:c r="X65" s="9" t="str">
        <x:f>IF(AB65="","",P65*$AD65/1000)</x:f>
      </x:c>
      <x:c r="Y65" s="3" t="n">
        <x:v>136</x:v>
      </x:c>
      <x:c r="Z65" s="3" t="str"/>
      <x:c r="AA65" s="3" t="str"/>
      <x:c r="AB65" s="3" t="str"/>
      <x:c r="AC65" s="3" t="n">
        <x:v>1</x:v>
      </x:c>
      <x:c r="AD65" s="3" t="n">
        <x:f>'方案总览'!$B$5</x:f>
        <x:v>20</x:v>
      </x:c>
    </x:row>
    <x:row r="66" ht="24" customHeight="1">
      <x:c r="A66" s="3" t="str">
        <x:v>T061</x:v>
      </x:c>
      <x:c r="B66" s="3" t="str">
        <x:v>拟合</x:v>
      </x:c>
      <x:c r="C66" s="3" t="str">
        <x:v>S-141</x:v>
      </x:c>
      <x:c r="D66" s="3" t="str"/>
      <x:c r="E66" s="3" t="str">
        <x:v>戊酸乙酯</x:v>
      </x:c>
      <x:c r="F66" s="3" t="str"/>
      <x:c r="G66" s="3" t="str"/>
      <x:c r="H66" s="3" t="str"/>
      <x:c r="I66" s="3" t="str">
        <x:v>L</x:v>
      </x:c>
      <x:c r="J66" s="3" t="str"/>
      <x:c r="K66" s="3" t="str"/>
      <x:c r="L66" s="3" t="str"/>
      <x:c r="M66" s="9" t="n">
        <x:f>IF(Y66="","",INDEX('浓度设置'!$P$6:$R$46,MATCH(Y66,'浓度设置'!$A$6:$A$46,0),IF(I66="L",1,IF(I66="M",2,3))))</x:f>
        <x:v>2.2</x:v>
      </x:c>
      <x:c r="N66" s="9" t="str">
        <x:f>IF(Z66="","",INDEX('浓度设置'!$P$6:$R$46,MATCH(Z66,'浓度设置'!$A$6:$A$46,0),IF(J66="L",1,IF(J66="M",2,3))))</x:f>
      </x:c>
      <x:c r="O66" s="9" t="str">
        <x:f>IF(AA66="","",INDEX('浓度设置'!$P$6:$R$46,MATCH(AA66,'浓度设置'!$A$6:$A$46,0),IF(K66="L",1,IF(K66="M",2,3))))</x:f>
      </x:c>
      <x:c r="P66" s="9" t="str">
        <x:f>IF(AB66="","",INDEX('浓度设置'!$P$6:$R$46,MATCH(AB66,'浓度设置'!$A$6:$A$46,0),IF(L66="L",1,IF(L66="M",2,3))))</x:f>
      </x:c>
      <x:c r="Q66" s="9" t="n">
        <x:f>IF(Y66="","",M66/INDEX('浓度设置'!$M$6:$M$46,MATCH(Y66,'浓度设置'!$A$6:$A$46,0)))</x:f>
        <x:v>0.08208955223880597</x:v>
      </x:c>
      <x:c r="R66" s="9" t="str">
        <x:f>IF(Z66="","",N66/INDEX('浓度设置'!$M$6:$M$46,MATCH(Z66,'浓度设置'!$A$6:$A$46,0)))</x:f>
      </x:c>
      <x:c r="S66" s="9" t="str">
        <x:f>IF(AA66="","",O66/INDEX('浓度设置'!$M$6:$M$46,MATCH(AA66,'浓度设置'!$A$6:$A$46,0)))</x:f>
      </x:c>
      <x:c r="T66" s="9" t="str">
        <x:f>IF(AB66="","",P66/INDEX('浓度设置'!$M$6:$M$46,MATCH(AB66,'浓度设置'!$A$6:$A$46,0)))</x:f>
      </x:c>
      <x:c r="U66" s="9" t="n">
        <x:f>IF(Y66="","",M66*$AD66/1000)</x:f>
        <x:v>0.044</x:v>
      </x:c>
      <x:c r="V66" s="9" t="str">
        <x:f>IF(Z66="","",N66*$AD66/1000)</x:f>
      </x:c>
      <x:c r="W66" s="9" t="str">
        <x:f>IF(AA66="","",O66*$AD66/1000)</x:f>
      </x:c>
      <x:c r="X66" s="9" t="str">
        <x:f>IF(AB66="","",P66*$AD66/1000)</x:f>
      </x:c>
      <x:c r="Y66" s="3" t="n">
        <x:v>141</x:v>
      </x:c>
      <x:c r="Z66" s="3" t="str"/>
      <x:c r="AA66" s="3" t="str"/>
      <x:c r="AB66" s="3" t="str"/>
      <x:c r="AC66" s="3" t="n">
        <x:v>1</x:v>
      </x:c>
      <x:c r="AD66" s="3" t="n">
        <x:f>'方案总览'!$B$5</x:f>
        <x:v>20</x:v>
      </x:c>
    </x:row>
    <x:row r="67" ht="24" customHeight="1">
      <x:c r="A67" s="3" t="str">
        <x:v>T062</x:v>
      </x:c>
      <x:c r="B67" s="3" t="str">
        <x:v>拟合</x:v>
      </x:c>
      <x:c r="C67" s="3" t="str">
        <x:v>S-141</x:v>
      </x:c>
      <x:c r="D67" s="3" t="str"/>
      <x:c r="E67" s="3" t="str">
        <x:v>戊酸乙酯</x:v>
      </x:c>
      <x:c r="F67" s="3" t="str"/>
      <x:c r="G67" s="3" t="str"/>
      <x:c r="H67" s="3" t="str"/>
      <x:c r="I67" s="3" t="str">
        <x:v>M</x:v>
      </x:c>
      <x:c r="J67" s="3" t="str"/>
      <x:c r="K67" s="3" t="str"/>
      <x:c r="L67" s="3" t="str"/>
      <x:c r="M67" s="9" t="n">
        <x:f>IF(Y67="","",INDEX('浓度设置'!$P$6:$R$46,MATCH(Y67,'浓度设置'!$A$6:$A$46,0),IF(I67="L",1,IF(I67="M",2,3))))</x:f>
        <x:v>1512.497272724814</x:v>
      </x:c>
      <x:c r="N67" s="9" t="str">
        <x:f>IF(Z67="","",INDEX('浓度设置'!$P$6:$R$46,MATCH(Z67,'浓度设置'!$A$6:$A$46,0),IF(J67="L",1,IF(J67="M",2,3))))</x:f>
      </x:c>
      <x:c r="O67" s="9" t="str">
        <x:f>IF(AA67="","",INDEX('浓度设置'!$P$6:$R$46,MATCH(AA67,'浓度设置'!$A$6:$A$46,0),IF(K67="L",1,IF(K67="M",2,3))))</x:f>
      </x:c>
      <x:c r="P67" s="9" t="str">
        <x:f>IF(AB67="","",INDEX('浓度设置'!$P$6:$R$46,MATCH(AB67,'浓度设置'!$A$6:$A$46,0),IF(L67="L",1,IF(L67="M",2,3))))</x:f>
      </x:c>
      <x:c r="Q67" s="9" t="n">
        <x:f>IF(Y67="","",M67/INDEX('浓度设置'!$M$6:$M$46,MATCH(Y67,'浓度设置'!$A$6:$A$46,0)))</x:f>
        <x:v>56.43646540017962</x:v>
      </x:c>
      <x:c r="R67" s="9" t="str">
        <x:f>IF(Z67="","",N67/INDEX('浓度设置'!$M$6:$M$46,MATCH(Z67,'浓度设置'!$A$6:$A$46,0)))</x:f>
      </x:c>
      <x:c r="S67" s="9" t="str">
        <x:f>IF(AA67="","",O67/INDEX('浓度设置'!$M$6:$M$46,MATCH(AA67,'浓度设置'!$A$6:$A$46,0)))</x:f>
      </x:c>
      <x:c r="T67" s="9" t="str">
        <x:f>IF(AB67="","",P67/INDEX('浓度设置'!$M$6:$M$46,MATCH(AB67,'浓度设置'!$A$6:$A$46,0)))</x:f>
      </x:c>
      <x:c r="U67" s="9" t="n">
        <x:f>IF(Y67="","",M67*$AD67/1000)</x:f>
        <x:v>30.249945454496277</x:v>
      </x:c>
      <x:c r="V67" s="9" t="str">
        <x:f>IF(Z67="","",N67*$AD67/1000)</x:f>
      </x:c>
      <x:c r="W67" s="9" t="str">
        <x:f>IF(AA67="","",O67*$AD67/1000)</x:f>
      </x:c>
      <x:c r="X67" s="9" t="str">
        <x:f>IF(AB67="","",P67*$AD67/1000)</x:f>
      </x:c>
      <x:c r="Y67" s="3" t="n">
        <x:v>141</x:v>
      </x:c>
      <x:c r="Z67" s="3" t="str"/>
      <x:c r="AA67" s="3" t="str"/>
      <x:c r="AB67" s="3" t="str"/>
      <x:c r="AC67" s="3" t="n">
        <x:v>1</x:v>
      </x:c>
      <x:c r="AD67" s="3" t="n">
        <x:f>'方案总览'!$B$5</x:f>
        <x:v>20</x:v>
      </x:c>
    </x:row>
    <x:row r="68" ht="24" customHeight="1">
      <x:c r="A68" s="3" t="str">
        <x:v>T063</x:v>
      </x:c>
      <x:c r="B68" s="3" t="str">
        <x:v>拟合</x:v>
      </x:c>
      <x:c r="C68" s="3" t="str">
        <x:v>S-141</x:v>
      </x:c>
      <x:c r="D68" s="3" t="str"/>
      <x:c r="E68" s="3" t="str">
        <x:v>戊酸乙酯</x:v>
      </x:c>
      <x:c r="F68" s="3" t="str"/>
      <x:c r="G68" s="3" t="str"/>
      <x:c r="H68" s="3" t="str"/>
      <x:c r="I68" s="3" t="str">
        <x:v>H</x:v>
      </x:c>
      <x:c r="J68" s="3" t="str"/>
      <x:c r="K68" s="3" t="str"/>
      <x:c r="L68" s="3" t="str"/>
      <x:c r="M68" s="9" t="n">
        <x:f>IF(Y68="","",INDEX('浓度设置'!$P$6:$R$46,MATCH(Y68,'浓度设置'!$A$6:$A$46,0),IF(I68="L",1,IF(I68="M",2,3))))</x:f>
        <x:v>1039840</x:v>
      </x:c>
      <x:c r="N68" s="9" t="str">
        <x:f>IF(Z68="","",INDEX('浓度设置'!$P$6:$R$46,MATCH(Z68,'浓度设置'!$A$6:$A$46,0),IF(J68="L",1,IF(J68="M",2,3))))</x:f>
      </x:c>
      <x:c r="O68" s="9" t="str">
        <x:f>IF(AA68="","",INDEX('浓度设置'!$P$6:$R$46,MATCH(AA68,'浓度设置'!$A$6:$A$46,0),IF(K68="L",1,IF(K68="M",2,3))))</x:f>
      </x:c>
      <x:c r="P68" s="9" t="str">
        <x:f>IF(AB68="","",INDEX('浓度设置'!$P$6:$R$46,MATCH(AB68,'浓度设置'!$A$6:$A$46,0),IF(L68="L",1,IF(L68="M",2,3))))</x:f>
      </x:c>
      <x:c r="Q68" s="9" t="n">
        <x:f>IF(Y68="","",M68/INDEX('浓度设置'!$M$6:$M$46,MATCH(Y68,'浓度设置'!$A$6:$A$46,0)))</x:f>
        <x:v>38800</x:v>
      </x:c>
      <x:c r="R68" s="9" t="str">
        <x:f>IF(Z68="","",N68/INDEX('浓度设置'!$M$6:$M$46,MATCH(Z68,'浓度设置'!$A$6:$A$46,0)))</x:f>
      </x:c>
      <x:c r="S68" s="9" t="str">
        <x:f>IF(AA68="","",O68/INDEX('浓度设置'!$M$6:$M$46,MATCH(AA68,'浓度设置'!$A$6:$A$46,0)))</x:f>
      </x:c>
      <x:c r="T68" s="9" t="str">
        <x:f>IF(AB68="","",P68/INDEX('浓度设置'!$M$6:$M$46,MATCH(AB68,'浓度设置'!$A$6:$A$46,0)))</x:f>
      </x:c>
      <x:c r="U68" s="9" t="n">
        <x:f>IF(Y68="","",M68*$AD68/1000)</x:f>
        <x:v>20796.8</x:v>
      </x:c>
      <x:c r="V68" s="9" t="str">
        <x:f>IF(Z68="","",N68*$AD68/1000)</x:f>
      </x:c>
      <x:c r="W68" s="9" t="str">
        <x:f>IF(AA68="","",O68*$AD68/1000)</x:f>
      </x:c>
      <x:c r="X68" s="9" t="str">
        <x:f>IF(AB68="","",P68*$AD68/1000)</x:f>
      </x:c>
      <x:c r="Y68" s="3" t="n">
        <x:v>141</x:v>
      </x:c>
      <x:c r="Z68" s="3" t="str"/>
      <x:c r="AA68" s="3" t="str"/>
      <x:c r="AB68" s="3" t="str"/>
      <x:c r="AC68" s="3" t="n">
        <x:v>1</x:v>
      </x:c>
      <x:c r="AD68" s="3" t="n">
        <x:f>'方案总览'!$B$5</x:f>
        <x:v>20</x:v>
      </x:c>
    </x:row>
    <x:row r="69" ht="24" customHeight="1">
      <x:c r="A69" s="3" t="str">
        <x:v>T064</x:v>
      </x:c>
      <x:c r="B69" s="3" t="str">
        <x:v>拟合</x:v>
      </x:c>
      <x:c r="C69" s="3" t="str">
        <x:v>S-152</x:v>
      </x:c>
      <x:c r="D69" s="3" t="str"/>
      <x:c r="E69" s="3" t="str">
        <x:v>异戊醛</x:v>
      </x:c>
      <x:c r="F69" s="3" t="str"/>
      <x:c r="G69" s="3" t="str"/>
      <x:c r="H69" s="3" t="str"/>
      <x:c r="I69" s="3" t="str">
        <x:v>L</x:v>
      </x:c>
      <x:c r="J69" s="3" t="str"/>
      <x:c r="K69" s="3" t="str"/>
      <x:c r="L69" s="3" t="str"/>
      <x:c r="M69" s="9" t="n">
        <x:f>IF(Y69="","",INDEX('浓度设置'!$P$6:$R$46,MATCH(Y69,'浓度设置'!$A$6:$A$46,0),IF(I69="L",1,IF(I69="M",2,3))))</x:f>
        <x:v>4.84</x:v>
      </x:c>
      <x:c r="N69" s="9" t="str">
        <x:f>IF(Z69="","",INDEX('浓度设置'!$P$6:$R$46,MATCH(Z69,'浓度设置'!$A$6:$A$46,0),IF(J69="L",1,IF(J69="M",2,3))))</x:f>
      </x:c>
      <x:c r="O69" s="9" t="str">
        <x:f>IF(AA69="","",INDEX('浓度设置'!$P$6:$R$46,MATCH(AA69,'浓度设置'!$A$6:$A$46,0),IF(K69="L",1,IF(K69="M",2,3))))</x:f>
      </x:c>
      <x:c r="P69" s="9" t="str">
        <x:f>IF(AB69="","",INDEX('浓度设置'!$P$6:$R$46,MATCH(AB69,'浓度设置'!$A$6:$A$46,0),IF(L69="L",1,IF(L69="M",2,3))))</x:f>
      </x:c>
      <x:c r="Q69" s="9" t="n">
        <x:f>IF(Y69="","",M69/INDEX('浓度设置'!$M$6:$M$46,MATCH(Y69,'浓度设置'!$A$6:$A$46,0)))</x:f>
        <x:v>0.29333333333333333</x:v>
      </x:c>
      <x:c r="R69" s="9" t="str">
        <x:f>IF(Z69="","",N69/INDEX('浓度设置'!$M$6:$M$46,MATCH(Z69,'浓度设置'!$A$6:$A$46,0)))</x:f>
      </x:c>
      <x:c r="S69" s="9" t="str">
        <x:f>IF(AA69="","",O69/INDEX('浓度设置'!$M$6:$M$46,MATCH(AA69,'浓度设置'!$A$6:$A$46,0)))</x:f>
      </x:c>
      <x:c r="T69" s="9" t="str">
        <x:f>IF(AB69="","",P69/INDEX('浓度设置'!$M$6:$M$46,MATCH(AB69,'浓度设置'!$A$6:$A$46,0)))</x:f>
      </x:c>
      <x:c r="U69" s="9" t="n">
        <x:f>IF(Y69="","",M69*$AD69/1000)</x:f>
        <x:v>0.0968</x:v>
      </x:c>
      <x:c r="V69" s="9" t="str">
        <x:f>IF(Z69="","",N69*$AD69/1000)</x:f>
      </x:c>
      <x:c r="W69" s="9" t="str">
        <x:f>IF(AA69="","",O69*$AD69/1000)</x:f>
      </x:c>
      <x:c r="X69" s="9" t="str">
        <x:f>IF(AB69="","",P69*$AD69/1000)</x:f>
      </x:c>
      <x:c r="Y69" s="3" t="n">
        <x:v>152</x:v>
      </x:c>
      <x:c r="Z69" s="3" t="str"/>
      <x:c r="AA69" s="3" t="str"/>
      <x:c r="AB69" s="3" t="str"/>
      <x:c r="AC69" s="3" t="n">
        <x:v>1</x:v>
      </x:c>
      <x:c r="AD69" s="3" t="n">
        <x:f>'方案总览'!$B$5</x:f>
        <x:v>20</x:v>
      </x:c>
    </x:row>
    <x:row r="70" ht="24" customHeight="1">
      <x:c r="A70" s="3" t="str">
        <x:v>T065</x:v>
      </x:c>
      <x:c r="B70" s="3" t="str">
        <x:v>拟合</x:v>
      </x:c>
      <x:c r="C70" s="3" t="str">
        <x:v>S-152</x:v>
      </x:c>
      <x:c r="D70" s="3" t="str"/>
      <x:c r="E70" s="3" t="str">
        <x:v>异戊醛</x:v>
      </x:c>
      <x:c r="F70" s="3" t="str"/>
      <x:c r="G70" s="3" t="str"/>
      <x:c r="H70" s="3" t="str"/>
      <x:c r="I70" s="3" t="str">
        <x:v>M</x:v>
      </x:c>
      <x:c r="J70" s="3" t="str"/>
      <x:c r="K70" s="3" t="str"/>
      <x:c r="L70" s="3" t="str"/>
      <x:c r="M70" s="9" t="n">
        <x:f>IF(Y70="","",INDEX('浓度设置'!$P$6:$R$46,MATCH(Y70,'浓度设置'!$A$6:$A$46,0),IF(I70="L",1,IF(I70="M",2,3))))</x:f>
        <x:v>1048.6410253275426</x:v>
      </x:c>
      <x:c r="N70" s="9" t="str">
        <x:f>IF(Z70="","",INDEX('浓度设置'!$P$6:$R$46,MATCH(Z70,'浓度设置'!$A$6:$A$46,0),IF(J70="L",1,IF(J70="M",2,3))))</x:f>
      </x:c>
      <x:c r="O70" s="9" t="str">
        <x:f>IF(AA70="","",INDEX('浓度设置'!$P$6:$R$46,MATCH(AA70,'浓度设置'!$A$6:$A$46,0),IF(K70="L",1,IF(K70="M",2,3))))</x:f>
      </x:c>
      <x:c r="P70" s="9" t="str">
        <x:f>IF(AB70="","",INDEX('浓度设置'!$P$6:$R$46,MATCH(AB70,'浓度设置'!$A$6:$A$46,0),IF(L70="L",1,IF(L70="M",2,3))))</x:f>
      </x:c>
      <x:c r="Q70" s="9" t="n">
        <x:f>IF(Y70="","",M70/INDEX('浓度设置'!$M$6:$M$46,MATCH(Y70,'浓度设置'!$A$6:$A$46,0)))</x:f>
        <x:v>63.554001535002584</x:v>
      </x:c>
      <x:c r="R70" s="9" t="str">
        <x:f>IF(Z70="","",N70/INDEX('浓度设置'!$M$6:$M$46,MATCH(Z70,'浓度设置'!$A$6:$A$46,0)))</x:f>
      </x:c>
      <x:c r="S70" s="9" t="str">
        <x:f>IF(AA70="","",O70/INDEX('浓度设置'!$M$6:$M$46,MATCH(AA70,'浓度设置'!$A$6:$A$46,0)))</x:f>
      </x:c>
      <x:c r="T70" s="9" t="str">
        <x:f>IF(AB70="","",P70/INDEX('浓度设置'!$M$6:$M$46,MATCH(AB70,'浓度设置'!$A$6:$A$46,0)))</x:f>
      </x:c>
      <x:c r="U70" s="9" t="n">
        <x:f>IF(Y70="","",M70*$AD70/1000)</x:f>
        <x:v>20.972820506550853</x:v>
      </x:c>
      <x:c r="V70" s="9" t="str">
        <x:f>IF(Z70="","",N70*$AD70/1000)</x:f>
      </x:c>
      <x:c r="W70" s="9" t="str">
        <x:f>IF(AA70="","",O70*$AD70/1000)</x:f>
      </x:c>
      <x:c r="X70" s="9" t="str">
        <x:f>IF(AB70="","",P70*$AD70/1000)</x:f>
      </x:c>
      <x:c r="Y70" s="3" t="n">
        <x:v>152</x:v>
      </x:c>
      <x:c r="Z70" s="3" t="str"/>
      <x:c r="AA70" s="3" t="str"/>
      <x:c r="AB70" s="3" t="str"/>
      <x:c r="AC70" s="3" t="n">
        <x:v>1</x:v>
      </x:c>
      <x:c r="AD70" s="3" t="n">
        <x:f>'方案总览'!$B$5</x:f>
        <x:v>20</x:v>
      </x:c>
    </x:row>
    <x:row r="71" ht="24" customHeight="1">
      <x:c r="A71" s="3" t="str">
        <x:v>T066</x:v>
      </x:c>
      <x:c r="B71" s="3" t="str">
        <x:v>拟合</x:v>
      </x:c>
      <x:c r="C71" s="3" t="str">
        <x:v>S-152</x:v>
      </x:c>
      <x:c r="D71" s="3" t="str"/>
      <x:c r="E71" s="3" t="str">
        <x:v>异戊醛</x:v>
      </x:c>
      <x:c r="F71" s="3" t="str"/>
      <x:c r="G71" s="3" t="str"/>
      <x:c r="H71" s="3" t="str"/>
      <x:c r="I71" s="3" t="str">
        <x:v>H</x:v>
      </x:c>
      <x:c r="J71" s="3" t="str"/>
      <x:c r="K71" s="3" t="str"/>
      <x:c r="L71" s="3" t="str"/>
      <x:c r="M71" s="9" t="n">
        <x:f>IF(Y71="","",INDEX('浓度设置'!$P$6:$R$46,MATCH(Y71,'浓度设置'!$A$6:$A$46,0),IF(I71="L",1,IF(I71="M",2,3))))</x:f>
        <x:v>227200</x:v>
      </x:c>
      <x:c r="N71" s="9" t="str">
        <x:f>IF(Z71="","",INDEX('浓度设置'!$P$6:$R$46,MATCH(Z71,'浓度设置'!$A$6:$A$46,0),IF(J71="L",1,IF(J71="M",2,3))))</x:f>
      </x:c>
      <x:c r="O71" s="9" t="str">
        <x:f>IF(AA71="","",INDEX('浓度设置'!$P$6:$R$46,MATCH(AA71,'浓度设置'!$A$6:$A$46,0),IF(K71="L",1,IF(K71="M",2,3))))</x:f>
      </x:c>
      <x:c r="P71" s="9" t="str">
        <x:f>IF(AB71="","",INDEX('浓度设置'!$P$6:$R$46,MATCH(AB71,'浓度设置'!$A$6:$A$46,0),IF(L71="L",1,IF(L71="M",2,3))))</x:f>
      </x:c>
      <x:c r="Q71" s="9" t="n">
        <x:f>IF(Y71="","",M71/INDEX('浓度设置'!$M$6:$M$46,MATCH(Y71,'浓度设置'!$A$6:$A$46,0)))</x:f>
        <x:v>13769.69696969697</x:v>
      </x:c>
      <x:c r="R71" s="9" t="str">
        <x:f>IF(Z71="","",N71/INDEX('浓度设置'!$M$6:$M$46,MATCH(Z71,'浓度设置'!$A$6:$A$46,0)))</x:f>
      </x:c>
      <x:c r="S71" s="9" t="str">
        <x:f>IF(AA71="","",O71/INDEX('浓度设置'!$M$6:$M$46,MATCH(AA71,'浓度设置'!$A$6:$A$46,0)))</x:f>
      </x:c>
      <x:c r="T71" s="9" t="str">
        <x:f>IF(AB71="","",P71/INDEX('浓度设置'!$M$6:$M$46,MATCH(AB71,'浓度设置'!$A$6:$A$46,0)))</x:f>
      </x:c>
      <x:c r="U71" s="9" t="n">
        <x:f>IF(Y71="","",M71*$AD71/1000)</x:f>
        <x:v>4544</x:v>
      </x:c>
      <x:c r="V71" s="9" t="str">
        <x:f>IF(Z71="","",N71*$AD71/1000)</x:f>
      </x:c>
      <x:c r="W71" s="9" t="str">
        <x:f>IF(AA71="","",O71*$AD71/1000)</x:f>
      </x:c>
      <x:c r="X71" s="9" t="str">
        <x:f>IF(AB71="","",P71*$AD71/1000)</x:f>
      </x:c>
      <x:c r="Y71" s="3" t="n">
        <x:v>152</x:v>
      </x:c>
      <x:c r="Z71" s="3" t="str"/>
      <x:c r="AA71" s="3" t="str"/>
      <x:c r="AB71" s="3" t="str"/>
      <x:c r="AC71" s="3" t="n">
        <x:v>1</x:v>
      </x:c>
      <x:c r="AD71" s="3" t="n">
        <x:f>'方案总览'!$B$5</x:f>
        <x:v>20</x:v>
      </x:c>
    </x:row>
    <x:row r="72" ht="24" customHeight="1">
      <x:c r="A72" s="3" t="str">
        <x:v>T067</x:v>
      </x:c>
      <x:c r="B72" s="3" t="str">
        <x:v>拟合</x:v>
      </x:c>
      <x:c r="C72" s="3" t="str">
        <x:v>S-165</x:v>
      </x:c>
      <x:c r="D72" s="3" t="str"/>
      <x:c r="E72" s="3" t="str">
        <x:v>己酸丁酯</x:v>
      </x:c>
      <x:c r="F72" s="3" t="str"/>
      <x:c r="G72" s="3" t="str"/>
      <x:c r="H72" s="3" t="str"/>
      <x:c r="I72" s="3" t="str">
        <x:v>M</x:v>
      </x:c>
      <x:c r="J72" s="3" t="str"/>
      <x:c r="K72" s="3" t="str"/>
      <x:c r="L72" s="3" t="str"/>
      <x:c r="M72" s="9" t="n">
        <x:f>IF(Y72="","",INDEX('浓度设置'!$P$6:$R$46,MATCH(Y72,'浓度设置'!$A$6:$A$46,0),IF(I72="L",1,IF(I72="M",2,3))))</x:f>
        <x:v>823.735</x:v>
      </x:c>
      <x:c r="N72" s="9" t="str">
        <x:f>IF(Z72="","",INDEX('浓度设置'!$P$6:$R$46,MATCH(Z72,'浓度设置'!$A$6:$A$46,0),IF(J72="L",1,IF(J72="M",2,3))))</x:f>
      </x:c>
      <x:c r="O72" s="9" t="str">
        <x:f>IF(AA72="","",INDEX('浓度设置'!$P$6:$R$46,MATCH(AA72,'浓度设置'!$A$6:$A$46,0),IF(K72="L",1,IF(K72="M",2,3))))</x:f>
      </x:c>
      <x:c r="P72" s="9" t="str">
        <x:f>IF(AB72="","",INDEX('浓度设置'!$P$6:$R$46,MATCH(AB72,'浓度设置'!$A$6:$A$46,0),IF(L72="L",1,IF(L72="M",2,3))))</x:f>
      </x:c>
      <x:c r="Q72" s="9" t="n">
        <x:f>IF(Y72="","",M72/INDEX('浓度设置'!$M$6:$M$46,MATCH(Y72,'浓度设置'!$A$6:$A$46,0)))</x:f>
        <x:v>1.2152351587395256</x:v>
      </x:c>
      <x:c r="R72" s="9" t="str">
        <x:f>IF(Z72="","",N72/INDEX('浓度设置'!$M$6:$M$46,MATCH(Z72,'浓度设置'!$A$6:$A$46,0)))</x:f>
      </x:c>
      <x:c r="S72" s="9" t="str">
        <x:f>IF(AA72="","",O72/INDEX('浓度设置'!$M$6:$M$46,MATCH(AA72,'浓度设置'!$A$6:$A$46,0)))</x:f>
      </x:c>
      <x:c r="T72" s="9" t="str">
        <x:f>IF(AB72="","",P72/INDEX('浓度设置'!$M$6:$M$46,MATCH(AB72,'浓度设置'!$A$6:$A$46,0)))</x:f>
      </x:c>
      <x:c r="U72" s="9" t="n">
        <x:f>IF(Y72="","",M72*$AD72/1000)</x:f>
        <x:v>16.474700000000002</x:v>
      </x:c>
      <x:c r="V72" s="9" t="str">
        <x:f>IF(Z72="","",N72*$AD72/1000)</x:f>
      </x:c>
      <x:c r="W72" s="9" t="str">
        <x:f>IF(AA72="","",O72*$AD72/1000)</x:f>
      </x:c>
      <x:c r="X72" s="9" t="str">
        <x:f>IF(AB72="","",P72*$AD72/1000)</x:f>
      </x:c>
      <x:c r="Y72" s="3" t="n">
        <x:v>165</x:v>
      </x:c>
      <x:c r="Z72" s="3" t="str"/>
      <x:c r="AA72" s="3" t="str"/>
      <x:c r="AB72" s="3" t="str"/>
      <x:c r="AC72" s="3" t="n">
        <x:v>1</x:v>
      </x:c>
      <x:c r="AD72" s="3" t="n">
        <x:f>'方案总览'!$B$5</x:f>
        <x:v>20</x:v>
      </x:c>
    </x:row>
    <x:row r="73" ht="24" customHeight="1">
      <x:c r="A73" s="3" t="str">
        <x:v>T068</x:v>
      </x:c>
      <x:c r="B73" s="3" t="str">
        <x:v>拟合</x:v>
      </x:c>
      <x:c r="C73" s="3" t="str">
        <x:v>S-165</x:v>
      </x:c>
      <x:c r="D73" s="3" t="str"/>
      <x:c r="E73" s="3" t="str">
        <x:v>己酸丁酯</x:v>
      </x:c>
      <x:c r="F73" s="3" t="str"/>
      <x:c r="G73" s="3" t="str"/>
      <x:c r="H73" s="3" t="str"/>
      <x:c r="I73" s="3" t="str">
        <x:v>H</x:v>
      </x:c>
      <x:c r="J73" s="3" t="str"/>
      <x:c r="K73" s="3" t="str"/>
      <x:c r="L73" s="3" t="str"/>
      <x:c r="M73" s="9" t="n">
        <x:f>IF(Y73="","",INDEX('浓度设置'!$P$6:$R$46,MATCH(Y73,'浓度设置'!$A$6:$A$46,0),IF(I73="L",1,IF(I73="M",2,3))))</x:f>
        <x:v>86300</x:v>
      </x:c>
      <x:c r="N73" s="9" t="str">
        <x:f>IF(Z73="","",INDEX('浓度设置'!$P$6:$R$46,MATCH(Z73,'浓度设置'!$A$6:$A$46,0),IF(J73="L",1,IF(J73="M",2,3))))</x:f>
      </x:c>
      <x:c r="O73" s="9" t="str">
        <x:f>IF(AA73="","",INDEX('浓度设置'!$P$6:$R$46,MATCH(AA73,'浓度设置'!$A$6:$A$46,0),IF(K73="L",1,IF(K73="M",2,3))))</x:f>
      </x:c>
      <x:c r="P73" s="9" t="str">
        <x:f>IF(AB73="","",INDEX('浓度设置'!$P$6:$R$46,MATCH(AB73,'浓度设置'!$A$6:$A$46,0),IF(L73="L",1,IF(L73="M",2,3))))</x:f>
      </x:c>
      <x:c r="Q73" s="9" t="n">
        <x:f>IF(Y73="","",M73/INDEX('浓度设置'!$M$6:$M$46,MATCH(Y73,'浓度设置'!$A$6:$A$46,0)))</x:f>
        <x:v>127.31618080963058</x:v>
      </x:c>
      <x:c r="R73" s="9" t="str">
        <x:f>IF(Z73="","",N73/INDEX('浓度设置'!$M$6:$M$46,MATCH(Z73,'浓度设置'!$A$6:$A$46,0)))</x:f>
      </x:c>
      <x:c r="S73" s="9" t="str">
        <x:f>IF(AA73="","",O73/INDEX('浓度设置'!$M$6:$M$46,MATCH(AA73,'浓度设置'!$A$6:$A$46,0)))</x:f>
      </x:c>
      <x:c r="T73" s="9" t="str">
        <x:f>IF(AB73="","",P73/INDEX('浓度设置'!$M$6:$M$46,MATCH(AB73,'浓度设置'!$A$6:$A$46,0)))</x:f>
      </x:c>
      <x:c r="U73" s="9" t="n">
        <x:f>IF(Y73="","",M73*$AD73/1000)</x:f>
        <x:v>1726</x:v>
      </x:c>
      <x:c r="V73" s="9" t="str">
        <x:f>IF(Z73="","",N73*$AD73/1000)</x:f>
      </x:c>
      <x:c r="W73" s="9" t="str">
        <x:f>IF(AA73="","",O73*$AD73/1000)</x:f>
      </x:c>
      <x:c r="X73" s="9" t="str">
        <x:f>IF(AB73="","",P73*$AD73/1000)</x:f>
      </x:c>
      <x:c r="Y73" s="3" t="n">
        <x:v>165</x:v>
      </x:c>
      <x:c r="Z73" s="3" t="str"/>
      <x:c r="AA73" s="3" t="str"/>
      <x:c r="AB73" s="3" t="str"/>
      <x:c r="AC73" s="3" t="n">
        <x:v>1</x:v>
      </x:c>
      <x:c r="AD73" s="3" t="n">
        <x:f>'方案总览'!$B$5</x:f>
        <x:v>20</x:v>
      </x:c>
    </x:row>
    <x:row r="74" ht="24" customHeight="1">
      <x:c r="A74" s="3" t="str">
        <x:v>T069</x:v>
      </x:c>
      <x:c r="B74" s="3" t="str">
        <x:v>拟合</x:v>
      </x:c>
      <x:c r="C74" s="3" t="str">
        <x:v>S-186</x:v>
      </x:c>
      <x:c r="D74" s="3" t="str"/>
      <x:c r="E74" s="3" t="str">
        <x:v>3-苯基丙酸乙酯</x:v>
      </x:c>
      <x:c r="F74" s="3" t="str"/>
      <x:c r="G74" s="3" t="str"/>
      <x:c r="H74" s="3" t="str"/>
      <x:c r="I74" s="3" t="str">
        <x:v>L</x:v>
      </x:c>
      <x:c r="J74" s="3" t="str"/>
      <x:c r="K74" s="3" t="str"/>
      <x:c r="L74" s="3" t="str"/>
      <x:c r="M74" s="9" t="n">
        <x:f>IF(Y74="","",INDEX('浓度设置'!$P$6:$R$46,MATCH(Y74,'浓度设置'!$A$6:$A$46,0),IF(I74="L",1,IF(I74="M",2,3))))</x:f>
        <x:v>1.56</x:v>
      </x:c>
      <x:c r="N74" s="9" t="str">
        <x:f>IF(Z74="","",INDEX('浓度设置'!$P$6:$R$46,MATCH(Z74,'浓度设置'!$A$6:$A$46,0),IF(J74="L",1,IF(J74="M",2,3))))</x:f>
      </x:c>
      <x:c r="O74" s="9" t="str">
        <x:f>IF(AA74="","",INDEX('浓度设置'!$P$6:$R$46,MATCH(AA74,'浓度设置'!$A$6:$A$46,0),IF(K74="L",1,IF(K74="M",2,3))))</x:f>
      </x:c>
      <x:c r="P74" s="9" t="str">
        <x:f>IF(AB74="","",INDEX('浓度设置'!$P$6:$R$46,MATCH(AB74,'浓度设置'!$A$6:$A$46,0),IF(L74="L",1,IF(L74="M",2,3))))</x:f>
      </x:c>
      <x:c r="Q74" s="9" t="n">
        <x:f>IF(Y74="","",M74/INDEX('浓度设置'!$M$6:$M$46,MATCH(Y74,'浓度设置'!$A$6:$A$46,0)))</x:f>
        <x:v>0.01248</x:v>
      </x:c>
      <x:c r="R74" s="9" t="str">
        <x:f>IF(Z74="","",N74/INDEX('浓度设置'!$M$6:$M$46,MATCH(Z74,'浓度设置'!$A$6:$A$46,0)))</x:f>
      </x:c>
      <x:c r="S74" s="9" t="str">
        <x:f>IF(AA74="","",O74/INDEX('浓度设置'!$M$6:$M$46,MATCH(AA74,'浓度设置'!$A$6:$A$46,0)))</x:f>
      </x:c>
      <x:c r="T74" s="9" t="str">
        <x:f>IF(AB74="","",P74/INDEX('浓度设置'!$M$6:$M$46,MATCH(AB74,'浓度设置'!$A$6:$A$46,0)))</x:f>
      </x:c>
      <x:c r="U74" s="9" t="n">
        <x:f>IF(Y74="","",M74*$AD74/1000)</x:f>
        <x:v>0.031200000000000002</x:v>
      </x:c>
      <x:c r="V74" s="9" t="str">
        <x:f>IF(Z74="","",N74*$AD74/1000)</x:f>
      </x:c>
      <x:c r="W74" s="9" t="str">
        <x:f>IF(AA74="","",O74*$AD74/1000)</x:f>
      </x:c>
      <x:c r="X74" s="9" t="str">
        <x:f>IF(AB74="","",P74*$AD74/1000)</x:f>
      </x:c>
      <x:c r="Y74" s="3" t="n">
        <x:v>186</x:v>
      </x:c>
      <x:c r="Z74" s="3" t="str"/>
      <x:c r="AA74" s="3" t="str"/>
      <x:c r="AB74" s="3" t="str"/>
      <x:c r="AC74" s="3" t="n">
        <x:v>1</x:v>
      </x:c>
      <x:c r="AD74" s="3" t="n">
        <x:f>'方案总览'!$B$5</x:f>
        <x:v>20</x:v>
      </x:c>
    </x:row>
    <x:row r="75" ht="24" customHeight="1">
      <x:c r="A75" s="3" t="str">
        <x:v>T070</x:v>
      </x:c>
      <x:c r="B75" s="3" t="str">
        <x:v>拟合</x:v>
      </x:c>
      <x:c r="C75" s="3" t="str">
        <x:v>S-186</x:v>
      </x:c>
      <x:c r="D75" s="3" t="str"/>
      <x:c r="E75" s="3" t="str">
        <x:v>3-苯基丙酸乙酯</x:v>
      </x:c>
      <x:c r="F75" s="3" t="str"/>
      <x:c r="G75" s="3" t="str"/>
      <x:c r="H75" s="3" t="str"/>
      <x:c r="I75" s="3" t="str">
        <x:v>M</x:v>
      </x:c>
      <x:c r="J75" s="3" t="str"/>
      <x:c r="K75" s="3" t="str"/>
      <x:c r="L75" s="3" t="str"/>
      <x:c r="M75" s="9" t="n">
        <x:f>IF(Y75="","",INDEX('浓度设置'!$P$6:$R$46,MATCH(Y75,'浓度设置'!$A$6:$A$46,0),IF(I75="L",1,IF(I75="M",2,3))))</x:f>
        <x:v>4262.731518639193</x:v>
      </x:c>
      <x:c r="N75" s="9" t="str">
        <x:f>IF(Z75="","",INDEX('浓度设置'!$P$6:$R$46,MATCH(Z75,'浓度设置'!$A$6:$A$46,0),IF(J75="L",1,IF(J75="M",2,3))))</x:f>
      </x:c>
      <x:c r="O75" s="9" t="str">
        <x:f>IF(AA75="","",INDEX('浓度设置'!$P$6:$R$46,MATCH(AA75,'浓度设置'!$A$6:$A$46,0),IF(K75="L",1,IF(K75="M",2,3))))</x:f>
      </x:c>
      <x:c r="P75" s="9" t="str">
        <x:f>IF(AB75="","",INDEX('浓度设置'!$P$6:$R$46,MATCH(AB75,'浓度设置'!$A$6:$A$46,0),IF(L75="L",1,IF(L75="M",2,3))))</x:f>
      </x:c>
      <x:c r="Q75" s="9" t="n">
        <x:f>IF(Y75="","",M75/INDEX('浓度设置'!$M$6:$M$46,MATCH(Y75,'浓度设置'!$A$6:$A$46,0)))</x:f>
        <x:v>34.10185214911355</x:v>
      </x:c>
      <x:c r="R75" s="9" t="str">
        <x:f>IF(Z75="","",N75/INDEX('浓度设置'!$M$6:$M$46,MATCH(Z75,'浓度设置'!$A$6:$A$46,0)))</x:f>
      </x:c>
      <x:c r="S75" s="9" t="str">
        <x:f>IF(AA75="","",O75/INDEX('浓度设置'!$M$6:$M$46,MATCH(AA75,'浓度设置'!$A$6:$A$46,0)))</x:f>
      </x:c>
      <x:c r="T75" s="9" t="str">
        <x:f>IF(AB75="","",P75/INDEX('浓度设置'!$M$6:$M$46,MATCH(AB75,'浓度设置'!$A$6:$A$46,0)))</x:f>
      </x:c>
      <x:c r="U75" s="9" t="n">
        <x:f>IF(Y75="","",M75*$AD75/1000)</x:f>
        <x:v>85.25463037278386</x:v>
      </x:c>
      <x:c r="V75" s="9" t="str">
        <x:f>IF(Z75="","",N75*$AD75/1000)</x:f>
      </x:c>
      <x:c r="W75" s="9" t="str">
        <x:f>IF(AA75="","",O75*$AD75/1000)</x:f>
      </x:c>
      <x:c r="X75" s="9" t="str">
        <x:f>IF(AB75="","",P75*$AD75/1000)</x:f>
      </x:c>
      <x:c r="Y75" s="3" t="n">
        <x:v>186</x:v>
      </x:c>
      <x:c r="Z75" s="3" t="str"/>
      <x:c r="AA75" s="3" t="str"/>
      <x:c r="AB75" s="3" t="str"/>
      <x:c r="AC75" s="3" t="n">
        <x:v>1</x:v>
      </x:c>
      <x:c r="AD75" s="3" t="n">
        <x:f>'方案总览'!$B$5</x:f>
        <x:v>20</x:v>
      </x:c>
    </x:row>
    <x:row r="76" ht="24" customHeight="1">
      <x:c r="A76" s="3" t="str">
        <x:v>T071</x:v>
      </x:c>
      <x:c r="B76" s="3" t="str">
        <x:v>拟合</x:v>
      </x:c>
      <x:c r="C76" s="3" t="str">
        <x:v>S-186</x:v>
      </x:c>
      <x:c r="D76" s="3" t="str"/>
      <x:c r="E76" s="3" t="str">
        <x:v>3-苯基丙酸乙酯</x:v>
      </x:c>
      <x:c r="F76" s="3" t="str"/>
      <x:c r="G76" s="3" t="str"/>
      <x:c r="H76" s="3" t="str"/>
      <x:c r="I76" s="3" t="str">
        <x:v>H</x:v>
      </x:c>
      <x:c r="J76" s="3" t="str"/>
      <x:c r="K76" s="3" t="str"/>
      <x:c r="L76" s="3" t="str"/>
      <x:c r="M76" s="9" t="n">
        <x:f>IF(Y76="","",INDEX('浓度设置'!$P$6:$R$46,MATCH(Y76,'浓度设置'!$A$6:$A$46,0),IF(I76="L",1,IF(I76="M",2,3))))</x:f>
        <x:v>11648000</x:v>
      </x:c>
      <x:c r="N76" s="9" t="str">
        <x:f>IF(Z76="","",INDEX('浓度设置'!$P$6:$R$46,MATCH(Z76,'浓度设置'!$A$6:$A$46,0),IF(J76="L",1,IF(J76="M",2,3))))</x:f>
      </x:c>
      <x:c r="O76" s="9" t="str">
        <x:f>IF(AA76="","",INDEX('浓度设置'!$P$6:$R$46,MATCH(AA76,'浓度设置'!$A$6:$A$46,0),IF(K76="L",1,IF(K76="M",2,3))))</x:f>
      </x:c>
      <x:c r="P76" s="9" t="str">
        <x:f>IF(AB76="","",INDEX('浓度设置'!$P$6:$R$46,MATCH(AB76,'浓度设置'!$A$6:$A$46,0),IF(L76="L",1,IF(L76="M",2,3))))</x:f>
      </x:c>
      <x:c r="Q76" s="9" t="n">
        <x:f>IF(Y76="","",M76/INDEX('浓度设置'!$M$6:$M$46,MATCH(Y76,'浓度设置'!$A$6:$A$46,0)))</x:f>
        <x:v>93184</x:v>
      </x:c>
      <x:c r="R76" s="9" t="str">
        <x:f>IF(Z76="","",N76/INDEX('浓度设置'!$M$6:$M$46,MATCH(Z76,'浓度设置'!$A$6:$A$46,0)))</x:f>
      </x:c>
      <x:c r="S76" s="9" t="str">
        <x:f>IF(AA76="","",O76/INDEX('浓度设置'!$M$6:$M$46,MATCH(AA76,'浓度设置'!$A$6:$A$46,0)))</x:f>
      </x:c>
      <x:c r="T76" s="9" t="str">
        <x:f>IF(AB76="","",P76/INDEX('浓度设置'!$M$6:$M$46,MATCH(AB76,'浓度设置'!$A$6:$A$46,0)))</x:f>
      </x:c>
      <x:c r="U76" s="9" t="n">
        <x:f>IF(Y76="","",M76*$AD76/1000)</x:f>
        <x:v>232960</x:v>
      </x:c>
      <x:c r="V76" s="9" t="str">
        <x:f>IF(Z76="","",N76*$AD76/1000)</x:f>
      </x:c>
      <x:c r="W76" s="9" t="str">
        <x:f>IF(AA76="","",O76*$AD76/1000)</x:f>
      </x:c>
      <x:c r="X76" s="9" t="str">
        <x:f>IF(AB76="","",P76*$AD76/1000)</x:f>
      </x:c>
      <x:c r="Y76" s="3" t="n">
        <x:v>186</x:v>
      </x:c>
      <x:c r="Z76" s="3" t="str"/>
      <x:c r="AA76" s="3" t="str"/>
      <x:c r="AB76" s="3" t="str"/>
      <x:c r="AC76" s="3" t="n">
        <x:v>1</x:v>
      </x:c>
      <x:c r="AD76" s="3" t="n">
        <x:f>'方案总览'!$B$5</x:f>
        <x:v>20</x:v>
      </x:c>
    </x:row>
    <x:row r="77" ht="24" customHeight="1">
      <x:c r="A77" s="3" t="str">
        <x:v>T072</x:v>
      </x:c>
      <x:c r="B77" s="3" t="str">
        <x:v>拟合</x:v>
      </x:c>
      <x:c r="C77" s="3" t="str">
        <x:v>S-207</x:v>
      </x:c>
      <x:c r="D77" s="3" t="str"/>
      <x:c r="E77" s="3" t="str">
        <x:v>1-辛烯-3-醇</x:v>
      </x:c>
      <x:c r="F77" s="3" t="str"/>
      <x:c r="G77" s="3" t="str"/>
      <x:c r="H77" s="3" t="str"/>
      <x:c r="I77" s="3" t="str">
        <x:v>L</x:v>
      </x:c>
      <x:c r="J77" s="3" t="str"/>
      <x:c r="K77" s="3" t="str"/>
      <x:c r="L77" s="3" t="str"/>
      <x:c r="M77" s="9" t="n">
        <x:f>IF(Y77="","",INDEX('浓度设置'!$P$6:$R$46,MATCH(Y77,'浓度设置'!$A$6:$A$46,0),IF(I77="L",1,IF(I77="M",2,3))))</x:f>
        <x:v>1</x:v>
      </x:c>
      <x:c r="N77" s="9" t="str">
        <x:f>IF(Z77="","",INDEX('浓度设置'!$P$6:$R$46,MATCH(Z77,'浓度设置'!$A$6:$A$46,0),IF(J77="L",1,IF(J77="M",2,3))))</x:f>
      </x:c>
      <x:c r="O77" s="9" t="str">
        <x:f>IF(AA77="","",INDEX('浓度设置'!$P$6:$R$46,MATCH(AA77,'浓度设置'!$A$6:$A$46,0),IF(K77="L",1,IF(K77="M",2,3))))</x:f>
      </x:c>
      <x:c r="P77" s="9" t="str">
        <x:f>IF(AB77="","",INDEX('浓度设置'!$P$6:$R$46,MATCH(AB77,'浓度设置'!$A$6:$A$46,0),IF(L77="L",1,IF(L77="M",2,3))))</x:f>
      </x:c>
      <x:c r="Q77" s="9" t="n">
        <x:f>IF(Y77="","",M77/INDEX('浓度设置'!$M$6:$M$46,MATCH(Y77,'浓度设置'!$A$6:$A$46,0)))</x:f>
        <x:v>0.16339869281045752</x:v>
      </x:c>
      <x:c r="R77" s="9" t="str">
        <x:f>IF(Z77="","",N77/INDEX('浓度设置'!$M$6:$M$46,MATCH(Z77,'浓度设置'!$A$6:$A$46,0)))</x:f>
      </x:c>
      <x:c r="S77" s="9" t="str">
        <x:f>IF(AA77="","",O77/INDEX('浓度设置'!$M$6:$M$46,MATCH(AA77,'浓度设置'!$A$6:$A$46,0)))</x:f>
      </x:c>
      <x:c r="T77" s="9" t="str">
        <x:f>IF(AB77="","",P77/INDEX('浓度设置'!$M$6:$M$46,MATCH(AB77,'浓度设置'!$A$6:$A$46,0)))</x:f>
      </x:c>
      <x:c r="U77" s="9" t="n">
        <x:f>IF(Y77="","",M77*$AD77/1000)</x:f>
        <x:v>0.02</x:v>
      </x:c>
      <x:c r="V77" s="9" t="str">
        <x:f>IF(Z77="","",N77*$AD77/1000)</x:f>
      </x:c>
      <x:c r="W77" s="9" t="str">
        <x:f>IF(AA77="","",O77*$AD77/1000)</x:f>
      </x:c>
      <x:c r="X77" s="9" t="str">
        <x:f>IF(AB77="","",P77*$AD77/1000)</x:f>
      </x:c>
      <x:c r="Y77" s="3" t="n">
        <x:v>207</x:v>
      </x:c>
      <x:c r="Z77" s="3" t="str"/>
      <x:c r="AA77" s="3" t="str"/>
      <x:c r="AB77" s="3" t="str"/>
      <x:c r="AC77" s="3" t="n">
        <x:v>1</x:v>
      </x:c>
      <x:c r="AD77" s="3" t="n">
        <x:f>'方案总览'!$B$5</x:f>
        <x:v>20</x:v>
      </x:c>
    </x:row>
    <x:row r="78" ht="24" customHeight="1">
      <x:c r="A78" s="3" t="str">
        <x:v>T073</x:v>
      </x:c>
      <x:c r="B78" s="3" t="str">
        <x:v>拟合</x:v>
      </x:c>
      <x:c r="C78" s="3" t="str">
        <x:v>S-207</x:v>
      </x:c>
      <x:c r="D78" s="3" t="str"/>
      <x:c r="E78" s="3" t="str">
        <x:v>1-辛烯-3-醇</x:v>
      </x:c>
      <x:c r="F78" s="3" t="str"/>
      <x:c r="G78" s="3" t="str"/>
      <x:c r="H78" s="3" t="str"/>
      <x:c r="I78" s="3" t="str">
        <x:v>M</x:v>
      </x:c>
      <x:c r="J78" s="3" t="str"/>
      <x:c r="K78" s="3" t="str"/>
      <x:c r="L78" s="3" t="str"/>
      <x:c r="M78" s="9" t="n">
        <x:f>IF(Y78="","",INDEX('浓度设置'!$P$6:$R$46,MATCH(Y78,'浓度设置'!$A$6:$A$46,0),IF(I78="L",1,IF(I78="M",2,3))))</x:f>
        <x:v>16.47573974060042</x:v>
      </x:c>
      <x:c r="N78" s="9" t="str">
        <x:f>IF(Z78="","",INDEX('浓度设置'!$P$6:$R$46,MATCH(Z78,'浓度设置'!$A$6:$A$46,0),IF(J78="L",1,IF(J78="M",2,3))))</x:f>
      </x:c>
      <x:c r="O78" s="9" t="str">
        <x:f>IF(AA78="","",INDEX('浓度设置'!$P$6:$R$46,MATCH(AA78,'浓度设置'!$A$6:$A$46,0),IF(K78="L",1,IF(K78="M",2,3))))</x:f>
      </x:c>
      <x:c r="P78" s="9" t="str">
        <x:f>IF(AB78="","",INDEX('浓度设置'!$P$6:$R$46,MATCH(AB78,'浓度设置'!$A$6:$A$46,0),IF(L78="L",1,IF(L78="M",2,3))))</x:f>
      </x:c>
      <x:c r="Q78" s="9" t="n">
        <x:f>IF(Y78="","",M78/INDEX('浓度设置'!$M$6:$M$46,MATCH(Y78,'浓度设置'!$A$6:$A$46,0)))</x:f>
        <x:v>2.692114336699415</x:v>
      </x:c>
      <x:c r="R78" s="9" t="str">
        <x:f>IF(Z78="","",N78/INDEX('浓度设置'!$M$6:$M$46,MATCH(Z78,'浓度设置'!$A$6:$A$46,0)))</x:f>
      </x:c>
      <x:c r="S78" s="9" t="str">
        <x:f>IF(AA78="","",O78/INDEX('浓度设置'!$M$6:$M$46,MATCH(AA78,'浓度设置'!$A$6:$A$46,0)))</x:f>
      </x:c>
      <x:c r="T78" s="9" t="str">
        <x:f>IF(AB78="","",P78/INDEX('浓度设置'!$M$6:$M$46,MATCH(AB78,'浓度设置'!$A$6:$A$46,0)))</x:f>
      </x:c>
      <x:c r="U78" s="9" t="n">
        <x:f>IF(Y78="","",M78*$AD78/1000)</x:f>
        <x:v>0.3295147948120084</x:v>
      </x:c>
      <x:c r="V78" s="9" t="str">
        <x:f>IF(Z78="","",N78*$AD78/1000)</x:f>
      </x:c>
      <x:c r="W78" s="9" t="str">
        <x:f>IF(AA78="","",O78*$AD78/1000)</x:f>
      </x:c>
      <x:c r="X78" s="9" t="str">
        <x:f>IF(AB78="","",P78*$AD78/1000)</x:f>
      </x:c>
      <x:c r="Y78" s="3" t="n">
        <x:v>207</x:v>
      </x:c>
      <x:c r="Z78" s="3" t="str"/>
      <x:c r="AA78" s="3" t="str"/>
      <x:c r="AB78" s="3" t="str"/>
      <x:c r="AC78" s="3" t="n">
        <x:v>1</x:v>
      </x:c>
      <x:c r="AD78" s="3" t="n">
        <x:f>'方案总览'!$B$5</x:f>
        <x:v>20</x:v>
      </x:c>
    </x:row>
    <x:row r="79" ht="24" customHeight="1">
      <x:c r="A79" s="3" t="str">
        <x:v>T074</x:v>
      </x:c>
      <x:c r="B79" s="3" t="str">
        <x:v>拟合</x:v>
      </x:c>
      <x:c r="C79" s="3" t="str">
        <x:v>S-207</x:v>
      </x:c>
      <x:c r="D79" s="3" t="str"/>
      <x:c r="E79" s="3" t="str">
        <x:v>1-辛烯-3-醇</x:v>
      </x:c>
      <x:c r="F79" s="3" t="str"/>
      <x:c r="G79" s="3" t="str"/>
      <x:c r="H79" s="3" t="str"/>
      <x:c r="I79" s="3" t="str">
        <x:v>H</x:v>
      </x:c>
      <x:c r="J79" s="3" t="str"/>
      <x:c r="K79" s="3" t="str"/>
      <x:c r="L79" s="3" t="str"/>
      <x:c r="M79" s="9" t="n">
        <x:f>IF(Y79="","",INDEX('浓度设置'!$P$6:$R$46,MATCH(Y79,'浓度设置'!$A$6:$A$46,0),IF(I79="L",1,IF(I79="M",2,3))))</x:f>
        <x:v>271.45</x:v>
      </x:c>
      <x:c r="N79" s="9" t="str">
        <x:f>IF(Z79="","",INDEX('浓度设置'!$P$6:$R$46,MATCH(Z79,'浓度设置'!$A$6:$A$46,0),IF(J79="L",1,IF(J79="M",2,3))))</x:f>
      </x:c>
      <x:c r="O79" s="9" t="str">
        <x:f>IF(AA79="","",INDEX('浓度设置'!$P$6:$R$46,MATCH(AA79,'浓度设置'!$A$6:$A$46,0),IF(K79="L",1,IF(K79="M",2,3))))</x:f>
      </x:c>
      <x:c r="P79" s="9" t="str">
        <x:f>IF(AB79="","",INDEX('浓度设置'!$P$6:$R$46,MATCH(AB79,'浓度设置'!$A$6:$A$46,0),IF(L79="L",1,IF(L79="M",2,3))))</x:f>
      </x:c>
      <x:c r="Q79" s="9" t="n">
        <x:f>IF(Y79="","",M79/INDEX('浓度设置'!$M$6:$M$46,MATCH(Y79,'浓度设置'!$A$6:$A$46,0)))</x:f>
        <x:v>44.35457516339869</x:v>
      </x:c>
      <x:c r="R79" s="9" t="str">
        <x:f>IF(Z79="","",N79/INDEX('浓度设置'!$M$6:$M$46,MATCH(Z79,'浓度设置'!$A$6:$A$46,0)))</x:f>
      </x:c>
      <x:c r="S79" s="9" t="str">
        <x:f>IF(AA79="","",O79/INDEX('浓度设置'!$M$6:$M$46,MATCH(AA79,'浓度设置'!$A$6:$A$46,0)))</x:f>
      </x:c>
      <x:c r="T79" s="9" t="str">
        <x:f>IF(AB79="","",P79/INDEX('浓度设置'!$M$6:$M$46,MATCH(AB79,'浓度设置'!$A$6:$A$46,0)))</x:f>
      </x:c>
      <x:c r="U79" s="9" t="n">
        <x:f>IF(Y79="","",M79*$AD79/1000)</x:f>
        <x:v>5.429</x:v>
      </x:c>
      <x:c r="V79" s="9" t="str">
        <x:f>IF(Z79="","",N79*$AD79/1000)</x:f>
      </x:c>
      <x:c r="W79" s="9" t="str">
        <x:f>IF(AA79="","",O79*$AD79/1000)</x:f>
      </x:c>
      <x:c r="X79" s="9" t="str">
        <x:f>IF(AB79="","",P79*$AD79/1000)</x:f>
      </x:c>
      <x:c r="Y79" s="3" t="n">
        <x:v>207</x:v>
      </x:c>
      <x:c r="Z79" s="3" t="str"/>
      <x:c r="AA79" s="3" t="str"/>
      <x:c r="AB79" s="3" t="str"/>
      <x:c r="AC79" s="3" t="n">
        <x:v>1</x:v>
      </x:c>
      <x:c r="AD79" s="3" t="n">
        <x:f>'方案总览'!$B$5</x:f>
        <x:v>20</x:v>
      </x:c>
    </x:row>
    <x:row r="80" ht="24" customHeight="1">
      <x:c r="A80" s="3" t="str">
        <x:v>T075</x:v>
      </x:c>
      <x:c r="B80" s="3" t="str">
        <x:v>拟合</x:v>
      </x:c>
      <x:c r="C80" s="3" t="str">
        <x:v>S-209</x:v>
      </x:c>
      <x:c r="D80" s="3" t="str"/>
      <x:c r="E80" s="3" t="str">
        <x:v>二甲基三硫醚</x:v>
      </x:c>
      <x:c r="F80" s="3" t="str"/>
      <x:c r="G80" s="3" t="str"/>
      <x:c r="H80" s="3" t="str"/>
      <x:c r="I80" s="3" t="str">
        <x:v>L</x:v>
      </x:c>
      <x:c r="J80" s="3" t="str"/>
      <x:c r="K80" s="3" t="str"/>
      <x:c r="L80" s="3" t="str"/>
      <x:c r="M80" s="9" t="n">
        <x:f>IF(Y80="","",INDEX('浓度设置'!$P$6:$R$46,MATCH(Y80,'浓度设置'!$A$6:$A$46,0),IF(I80="L",1,IF(I80="M",2,3))))</x:f>
        <x:v>0.28</x:v>
      </x:c>
      <x:c r="N80" s="9" t="str">
        <x:f>IF(Z80="","",INDEX('浓度设置'!$P$6:$R$46,MATCH(Z80,'浓度设置'!$A$6:$A$46,0),IF(J80="L",1,IF(J80="M",2,3))))</x:f>
      </x:c>
      <x:c r="O80" s="9" t="str">
        <x:f>IF(AA80="","",INDEX('浓度设置'!$P$6:$R$46,MATCH(AA80,'浓度设置'!$A$6:$A$46,0),IF(K80="L",1,IF(K80="M",2,3))))</x:f>
      </x:c>
      <x:c r="P80" s="9" t="str">
        <x:f>IF(AB80="","",INDEX('浓度设置'!$P$6:$R$46,MATCH(AB80,'浓度设置'!$A$6:$A$46,0),IF(L80="L",1,IF(L80="M",2,3))))</x:f>
      </x:c>
      <x:c r="Q80" s="9" t="n">
        <x:f>IF(Y80="","",M80/INDEX('浓度设置'!$M$6:$M$46,MATCH(Y80,'浓度设置'!$A$6:$A$46,0)))</x:f>
        <x:v>0.7777777777777779</x:v>
      </x:c>
      <x:c r="R80" s="9" t="str">
        <x:f>IF(Z80="","",N80/INDEX('浓度设置'!$M$6:$M$46,MATCH(Z80,'浓度设置'!$A$6:$A$46,0)))</x:f>
      </x:c>
      <x:c r="S80" s="9" t="str">
        <x:f>IF(AA80="","",O80/INDEX('浓度设置'!$M$6:$M$46,MATCH(AA80,'浓度设置'!$A$6:$A$46,0)))</x:f>
      </x:c>
      <x:c r="T80" s="9" t="str">
        <x:f>IF(AB80="","",P80/INDEX('浓度设置'!$M$6:$M$46,MATCH(AB80,'浓度设置'!$A$6:$A$46,0)))</x:f>
      </x:c>
      <x:c r="U80" s="9" t="n">
        <x:f>IF(Y80="","",M80*$AD80/1000)</x:f>
        <x:v>0.005600000000000001</x:v>
      </x:c>
      <x:c r="V80" s="9" t="str">
        <x:f>IF(Z80="","",N80*$AD80/1000)</x:f>
      </x:c>
      <x:c r="W80" s="9" t="str">
        <x:f>IF(AA80="","",O80*$AD80/1000)</x:f>
      </x:c>
      <x:c r="X80" s="9" t="str">
        <x:f>IF(AB80="","",P80*$AD80/1000)</x:f>
      </x:c>
      <x:c r="Y80" s="3" t="n">
        <x:v>209</x:v>
      </x:c>
      <x:c r="Z80" s="3" t="str"/>
      <x:c r="AA80" s="3" t="str"/>
      <x:c r="AB80" s="3" t="str"/>
      <x:c r="AC80" s="3" t="n">
        <x:v>1</x:v>
      </x:c>
      <x:c r="AD80" s="3" t="n">
        <x:f>'方案总览'!$B$5</x:f>
        <x:v>20</x:v>
      </x:c>
    </x:row>
    <x:row r="81" ht="24" customHeight="1">
      <x:c r="A81" s="3" t="str">
        <x:v>T076</x:v>
      </x:c>
      <x:c r="B81" s="3" t="str">
        <x:v>拟合</x:v>
      </x:c>
      <x:c r="C81" s="3" t="str">
        <x:v>S-209</x:v>
      </x:c>
      <x:c r="D81" s="3" t="str"/>
      <x:c r="E81" s="3" t="str">
        <x:v>二甲基三硫醚</x:v>
      </x:c>
      <x:c r="F81" s="3" t="str"/>
      <x:c r="G81" s="3" t="str"/>
      <x:c r="H81" s="3" t="str"/>
      <x:c r="I81" s="3" t="str">
        <x:v>M</x:v>
      </x:c>
      <x:c r="J81" s="3" t="str"/>
      <x:c r="K81" s="3" t="str"/>
      <x:c r="L81" s="3" t="str"/>
      <x:c r="M81" s="9" t="n">
        <x:f>IF(Y81="","",INDEX('浓度设置'!$P$6:$R$46,MATCH(Y81,'浓度设置'!$A$6:$A$46,0),IF(I81="L",1,IF(I81="M",2,3))))</x:f>
        <x:v>34.2987346705385</x:v>
      </x:c>
      <x:c r="N81" s="9" t="str">
        <x:f>IF(Z81="","",INDEX('浓度设置'!$P$6:$R$46,MATCH(Z81,'浓度设置'!$A$6:$A$46,0),IF(J81="L",1,IF(J81="M",2,3))))</x:f>
      </x:c>
      <x:c r="O81" s="9" t="str">
        <x:f>IF(AA81="","",INDEX('浓度设置'!$P$6:$R$46,MATCH(AA81,'浓度设置'!$A$6:$A$46,0),IF(K81="L",1,IF(K81="M",2,3))))</x:f>
      </x:c>
      <x:c r="P81" s="9" t="str">
        <x:f>IF(AB81="","",INDEX('浓度设置'!$P$6:$R$46,MATCH(AB81,'浓度设置'!$A$6:$A$46,0),IF(L81="L",1,IF(L81="M",2,3))))</x:f>
      </x:c>
      <x:c r="Q81" s="9" t="n">
        <x:f>IF(Y81="","",M81/INDEX('浓度设置'!$M$6:$M$46,MATCH(Y81,'浓度设置'!$A$6:$A$46,0)))</x:f>
        <x:v>95.27426297371807</x:v>
      </x:c>
      <x:c r="R81" s="9" t="str">
        <x:f>IF(Z81="","",N81/INDEX('浓度设置'!$M$6:$M$46,MATCH(Z81,'浓度设置'!$A$6:$A$46,0)))</x:f>
      </x:c>
      <x:c r="S81" s="9" t="str">
        <x:f>IF(AA81="","",O81/INDEX('浓度设置'!$M$6:$M$46,MATCH(AA81,'浓度设置'!$A$6:$A$46,0)))</x:f>
      </x:c>
      <x:c r="T81" s="9" t="str">
        <x:f>IF(AB81="","",P81/INDEX('浓度设置'!$M$6:$M$46,MATCH(AB81,'浓度设置'!$A$6:$A$46,0)))</x:f>
      </x:c>
      <x:c r="U81" s="9" t="n">
        <x:f>IF(Y81="","",M81*$AD81/1000)</x:f>
        <x:v>0.68597469341077</x:v>
      </x:c>
      <x:c r="V81" s="9" t="str">
        <x:f>IF(Z81="","",N81*$AD81/1000)</x:f>
      </x:c>
      <x:c r="W81" s="9" t="str">
        <x:f>IF(AA81="","",O81*$AD81/1000)</x:f>
      </x:c>
      <x:c r="X81" s="9" t="str">
        <x:f>IF(AB81="","",P81*$AD81/1000)</x:f>
      </x:c>
      <x:c r="Y81" s="3" t="n">
        <x:v>209</x:v>
      </x:c>
      <x:c r="Z81" s="3" t="str"/>
      <x:c r="AA81" s="3" t="str"/>
      <x:c r="AB81" s="3" t="str"/>
      <x:c r="AC81" s="3" t="n">
        <x:v>1</x:v>
      </x:c>
      <x:c r="AD81" s="3" t="n">
        <x:f>'方案总览'!$B$5</x:f>
        <x:v>20</x:v>
      </x:c>
    </x:row>
    <x:row r="82" ht="24" customHeight="1">
      <x:c r="A82" s="3" t="str">
        <x:v>T077</x:v>
      </x:c>
      <x:c r="B82" s="3" t="str">
        <x:v>拟合</x:v>
      </x:c>
      <x:c r="C82" s="3" t="str">
        <x:v>S-209</x:v>
      </x:c>
      <x:c r="D82" s="3" t="str"/>
      <x:c r="E82" s="3" t="str">
        <x:v>二甲基三硫醚</x:v>
      </x:c>
      <x:c r="F82" s="3" t="str"/>
      <x:c r="G82" s="3" t="str"/>
      <x:c r="H82" s="3" t="str"/>
      <x:c r="I82" s="3" t="str">
        <x:v>H</x:v>
      </x:c>
      <x:c r="J82" s="3" t="str"/>
      <x:c r="K82" s="3" t="str"/>
      <x:c r="L82" s="3" t="str"/>
      <x:c r="M82" s="9" t="n">
        <x:f>IF(Y82="","",INDEX('浓度设置'!$P$6:$R$46,MATCH(Y82,'浓度设置'!$A$6:$A$46,0),IF(I82="L",1,IF(I82="M",2,3))))</x:f>
        <x:v>4201.44</x:v>
      </x:c>
      <x:c r="N82" s="9" t="str">
        <x:f>IF(Z82="","",INDEX('浓度设置'!$P$6:$R$46,MATCH(Z82,'浓度设置'!$A$6:$A$46,0),IF(J82="L",1,IF(J82="M",2,3))))</x:f>
      </x:c>
      <x:c r="O82" s="9" t="str">
        <x:f>IF(AA82="","",INDEX('浓度设置'!$P$6:$R$46,MATCH(AA82,'浓度设置'!$A$6:$A$46,0),IF(K82="L",1,IF(K82="M",2,3))))</x:f>
      </x:c>
      <x:c r="P82" s="9" t="str">
        <x:f>IF(AB82="","",INDEX('浓度设置'!$P$6:$R$46,MATCH(AB82,'浓度设置'!$A$6:$A$46,0),IF(L82="L",1,IF(L82="M",2,3))))</x:f>
      </x:c>
      <x:c r="Q82" s="9" t="n">
        <x:f>IF(Y82="","",M82/INDEX('浓度设置'!$M$6:$M$46,MATCH(Y82,'浓度设置'!$A$6:$A$46,0)))</x:f>
        <x:v>11670.666666666666</x:v>
      </x:c>
      <x:c r="R82" s="9" t="str">
        <x:f>IF(Z82="","",N82/INDEX('浓度设置'!$M$6:$M$46,MATCH(Z82,'浓度设置'!$A$6:$A$46,0)))</x:f>
      </x:c>
      <x:c r="S82" s="9" t="str">
        <x:f>IF(AA82="","",O82/INDEX('浓度设置'!$M$6:$M$46,MATCH(AA82,'浓度设置'!$A$6:$A$46,0)))</x:f>
      </x:c>
      <x:c r="T82" s="9" t="str">
        <x:f>IF(AB82="","",P82/INDEX('浓度设置'!$M$6:$M$46,MATCH(AB82,'浓度设置'!$A$6:$A$46,0)))</x:f>
      </x:c>
      <x:c r="U82" s="9" t="n">
        <x:f>IF(Y82="","",M82*$AD82/1000)</x:f>
        <x:v>84.02879999999999</x:v>
      </x:c>
      <x:c r="V82" s="9" t="str">
        <x:f>IF(Z82="","",N82*$AD82/1000)</x:f>
      </x:c>
      <x:c r="W82" s="9" t="str">
        <x:f>IF(AA82="","",O82*$AD82/1000)</x:f>
      </x:c>
      <x:c r="X82" s="9" t="str">
        <x:f>IF(AB82="","",P82*$AD82/1000)</x:f>
      </x:c>
      <x:c r="Y82" s="3" t="n">
        <x:v>209</x:v>
      </x:c>
      <x:c r="Z82" s="3" t="str"/>
      <x:c r="AA82" s="3" t="str"/>
      <x:c r="AB82" s="3" t="str"/>
      <x:c r="AC82" s="3" t="n">
        <x:v>1</x:v>
      </x:c>
      <x:c r="AD82" s="3" t="n">
        <x:f>'方案总览'!$B$5</x:f>
        <x:v>20</x:v>
      </x:c>
    </x:row>
    <x:row r="83" ht="24" customHeight="1">
      <x:c r="A83" s="3" t="str">
        <x:v>T078</x:v>
      </x:c>
      <x:c r="B83" s="3" t="str">
        <x:v>拟合</x:v>
      </x:c>
      <x:c r="C83" s="3" t="str">
        <x:v>S-227</x:v>
      </x:c>
      <x:c r="D83" s="3" t="str"/>
      <x:c r="E83" s="3" t="str">
        <x:v>己酸己酯</x:v>
      </x:c>
      <x:c r="F83" s="3" t="str"/>
      <x:c r="G83" s="3" t="str"/>
      <x:c r="H83" s="3" t="str"/>
      <x:c r="I83" s="3" t="str">
        <x:v>L</x:v>
      </x:c>
      <x:c r="J83" s="3" t="str"/>
      <x:c r="K83" s="3" t="str"/>
      <x:c r="L83" s="3" t="str"/>
      <x:c r="M83" s="9" t="n">
        <x:f>IF(Y83="","",INDEX('浓度设置'!$P$6:$R$46,MATCH(Y83,'浓度设置'!$A$6:$A$46,0),IF(I83="L",1,IF(I83="M",2,3))))</x:f>
        <x:v>2.5</x:v>
      </x:c>
      <x:c r="N83" s="9" t="str">
        <x:f>IF(Z83="","",INDEX('浓度设置'!$P$6:$R$46,MATCH(Z83,'浓度设置'!$A$6:$A$46,0),IF(J83="L",1,IF(J83="M",2,3))))</x:f>
      </x:c>
      <x:c r="O83" s="9" t="str">
        <x:f>IF(AA83="","",INDEX('浓度设置'!$P$6:$R$46,MATCH(AA83,'浓度设置'!$A$6:$A$46,0),IF(K83="L",1,IF(K83="M",2,3))))</x:f>
      </x:c>
      <x:c r="P83" s="9" t="str">
        <x:f>IF(AB83="","",INDEX('浓度设置'!$P$6:$R$46,MATCH(AB83,'浓度设置'!$A$6:$A$46,0),IF(L83="L",1,IF(L83="M",2,3))))</x:f>
      </x:c>
      <x:c r="Q83" s="9" t="n">
        <x:f>IF(Y83="","",M83/INDEX('浓度设置'!$M$6:$M$46,MATCH(Y83,'浓度设置'!$A$6:$A$46,0)))</x:f>
        <x:v>0.0013220518244315177</x:v>
      </x:c>
      <x:c r="R83" s="9" t="str">
        <x:f>IF(Z83="","",N83/INDEX('浓度设置'!$M$6:$M$46,MATCH(Z83,'浓度设置'!$A$6:$A$46,0)))</x:f>
      </x:c>
      <x:c r="S83" s="9" t="str">
        <x:f>IF(AA83="","",O83/INDEX('浓度设置'!$M$6:$M$46,MATCH(AA83,'浓度设置'!$A$6:$A$46,0)))</x:f>
      </x:c>
      <x:c r="T83" s="9" t="str">
        <x:f>IF(AB83="","",P83/INDEX('浓度设置'!$M$6:$M$46,MATCH(AB83,'浓度设置'!$A$6:$A$46,0)))</x:f>
      </x:c>
      <x:c r="U83" s="9" t="n">
        <x:f>IF(Y83="","",M83*$AD83/1000)</x:f>
        <x:v>0.05</x:v>
      </x:c>
      <x:c r="V83" s="9" t="str">
        <x:f>IF(Z83="","",N83*$AD83/1000)</x:f>
      </x:c>
      <x:c r="W83" s="9" t="str">
        <x:f>IF(AA83="","",O83*$AD83/1000)</x:f>
      </x:c>
      <x:c r="X83" s="9" t="str">
        <x:f>IF(AB83="","",P83*$AD83/1000)</x:f>
      </x:c>
      <x:c r="Y83" s="3" t="n">
        <x:v>227</x:v>
      </x:c>
      <x:c r="Z83" s="3" t="str"/>
      <x:c r="AA83" s="3" t="str"/>
      <x:c r="AB83" s="3" t="str"/>
      <x:c r="AC83" s="3" t="n">
        <x:v>1</x:v>
      </x:c>
      <x:c r="AD83" s="3" t="n">
        <x:f>'方案总览'!$B$5</x:f>
        <x:v>20</x:v>
      </x:c>
    </x:row>
    <x:row r="84" ht="24" customHeight="1">
      <x:c r="A84" s="3" t="str">
        <x:v>T079</x:v>
      </x:c>
      <x:c r="B84" s="3" t="str">
        <x:v>拟合</x:v>
      </x:c>
      <x:c r="C84" s="3" t="str">
        <x:v>S-227</x:v>
      </x:c>
      <x:c r="D84" s="3" t="str"/>
      <x:c r="E84" s="3" t="str">
        <x:v>己酸己酯</x:v>
      </x:c>
      <x:c r="F84" s="3" t="str"/>
      <x:c r="G84" s="3" t="str"/>
      <x:c r="H84" s="3" t="str"/>
      <x:c r="I84" s="3" t="str">
        <x:v>M</x:v>
      </x:c>
      <x:c r="J84" s="3" t="str"/>
      <x:c r="K84" s="3" t="str"/>
      <x:c r="L84" s="3" t="str"/>
      <x:c r="M84" s="9" t="n">
        <x:f>IF(Y84="","",INDEX('浓度设置'!$P$6:$R$46,MATCH(Y84,'浓度设置'!$A$6:$A$46,0),IF(I84="L",1,IF(I84="M",2,3))))</x:f>
        <x:v>695.986709643223</x:v>
      </x:c>
      <x:c r="N84" s="9" t="str">
        <x:f>IF(Z84="","",INDEX('浓度设置'!$P$6:$R$46,MATCH(Z84,'浓度设置'!$A$6:$A$46,0),IF(J84="L",1,IF(J84="M",2,3))))</x:f>
      </x:c>
      <x:c r="O84" s="9" t="str">
        <x:f>IF(AA84="","",INDEX('浓度设置'!$P$6:$R$46,MATCH(AA84,'浓度设置'!$A$6:$A$46,0),IF(K84="L",1,IF(K84="M",2,3))))</x:f>
      </x:c>
      <x:c r="P84" s="9" t="str">
        <x:f>IF(AB84="","",INDEX('浓度设置'!$P$6:$R$46,MATCH(AB84,'浓度设置'!$A$6:$A$46,0),IF(L84="L",1,IF(L84="M",2,3))))</x:f>
      </x:c>
      <x:c r="Q84" s="9" t="n">
        <x:f>IF(Y84="","",M84/INDEX('浓度设置'!$M$6:$M$46,MATCH(Y84,'浓度设置'!$A$6:$A$46,0)))</x:f>
        <x:v>0.3680521997055648</x:v>
      </x:c>
      <x:c r="R84" s="9" t="str">
        <x:f>IF(Z84="","",N84/INDEX('浓度设置'!$M$6:$M$46,MATCH(Z84,'浓度设置'!$A$6:$A$46,0)))</x:f>
      </x:c>
      <x:c r="S84" s="9" t="str">
        <x:f>IF(AA84="","",O84/INDEX('浓度设置'!$M$6:$M$46,MATCH(AA84,'浓度设置'!$A$6:$A$46,0)))</x:f>
      </x:c>
      <x:c r="T84" s="9" t="str">
        <x:f>IF(AB84="","",P84/INDEX('浓度设置'!$M$6:$M$46,MATCH(AB84,'浓度设置'!$A$6:$A$46,0)))</x:f>
      </x:c>
      <x:c r="U84" s="9" t="n">
        <x:f>IF(Y84="","",M84*$AD84/1000)</x:f>
        <x:v>13.91973419286446</x:v>
      </x:c>
      <x:c r="V84" s="9" t="str">
        <x:f>IF(Z84="","",N84*$AD84/1000)</x:f>
      </x:c>
      <x:c r="W84" s="9" t="str">
        <x:f>IF(AA84="","",O84*$AD84/1000)</x:f>
      </x:c>
      <x:c r="X84" s="9" t="str">
        <x:f>IF(AB84="","",P84*$AD84/1000)</x:f>
      </x:c>
      <x:c r="Y84" s="3" t="n">
        <x:v>227</x:v>
      </x:c>
      <x:c r="Z84" s="3" t="str"/>
      <x:c r="AA84" s="3" t="str"/>
      <x:c r="AB84" s="3" t="str"/>
      <x:c r="AC84" s="3" t="n">
        <x:v>1</x:v>
      </x:c>
      <x:c r="AD84" s="3" t="n">
        <x:f>'方案总览'!$B$5</x:f>
        <x:v>20</x:v>
      </x:c>
    </x:row>
    <x:row r="85" ht="24" customHeight="1">
      <x:c r="A85" s="3" t="str">
        <x:v>T080</x:v>
      </x:c>
      <x:c r="B85" s="3" t="str">
        <x:v>拟合</x:v>
      </x:c>
      <x:c r="C85" s="3" t="str">
        <x:v>S-227</x:v>
      </x:c>
      <x:c r="D85" s="3" t="str"/>
      <x:c r="E85" s="3" t="str">
        <x:v>己酸己酯</x:v>
      </x:c>
      <x:c r="F85" s="3" t="str"/>
      <x:c r="G85" s="3" t="str"/>
      <x:c r="H85" s="3" t="str"/>
      <x:c r="I85" s="3" t="str">
        <x:v>H</x:v>
      </x:c>
      <x:c r="J85" s="3" t="str"/>
      <x:c r="K85" s="3" t="str"/>
      <x:c r="L85" s="3" t="str"/>
      <x:c r="M85" s="9" t="n">
        <x:f>IF(Y85="","",INDEX('浓度设置'!$P$6:$R$46,MATCH(Y85,'浓度设置'!$A$6:$A$46,0),IF(I85="L",1,IF(I85="M",2,3))))</x:f>
        <x:v>193759</x:v>
      </x:c>
      <x:c r="N85" s="9" t="str">
        <x:f>IF(Z85="","",INDEX('浓度设置'!$P$6:$R$46,MATCH(Z85,'浓度设置'!$A$6:$A$46,0),IF(J85="L",1,IF(J85="M",2,3))))</x:f>
      </x:c>
      <x:c r="O85" s="9" t="str">
        <x:f>IF(AA85="","",INDEX('浓度设置'!$P$6:$R$46,MATCH(AA85,'浓度设置'!$A$6:$A$46,0),IF(K85="L",1,IF(K85="M",2,3))))</x:f>
      </x:c>
      <x:c r="P85" s="9" t="str">
        <x:f>IF(AB85="","",INDEX('浓度设置'!$P$6:$R$46,MATCH(AB85,'浓度设置'!$A$6:$A$46,0),IF(L85="L",1,IF(L85="M",2,3))))</x:f>
      </x:c>
      <x:c r="Q85" s="9" t="n">
        <x:f>IF(Y85="","",M85/INDEX('浓度设置'!$M$6:$M$46,MATCH(Y85,'浓度设置'!$A$6:$A$46,0)))</x:f>
        <x:v>102.46377578001058</x:v>
      </x:c>
      <x:c r="R85" s="9" t="str">
        <x:f>IF(Z85="","",N85/INDEX('浓度设置'!$M$6:$M$46,MATCH(Z85,'浓度设置'!$A$6:$A$46,0)))</x:f>
      </x:c>
      <x:c r="S85" s="9" t="str">
        <x:f>IF(AA85="","",O85/INDEX('浓度设置'!$M$6:$M$46,MATCH(AA85,'浓度设置'!$A$6:$A$46,0)))</x:f>
      </x:c>
      <x:c r="T85" s="9" t="str">
        <x:f>IF(AB85="","",P85/INDEX('浓度设置'!$M$6:$M$46,MATCH(AB85,'浓度设置'!$A$6:$A$46,0)))</x:f>
      </x:c>
      <x:c r="U85" s="9" t="n">
        <x:f>IF(Y85="","",M85*$AD85/1000)</x:f>
        <x:v>3875.18</x:v>
      </x:c>
      <x:c r="V85" s="9" t="str">
        <x:f>IF(Z85="","",N85*$AD85/1000)</x:f>
      </x:c>
      <x:c r="W85" s="9" t="str">
        <x:f>IF(AA85="","",O85*$AD85/1000)</x:f>
      </x:c>
      <x:c r="X85" s="9" t="str">
        <x:f>IF(AB85="","",P85*$AD85/1000)</x:f>
      </x:c>
      <x:c r="Y85" s="3" t="n">
        <x:v>227</x:v>
      </x:c>
      <x:c r="Z85" s="3" t="str"/>
      <x:c r="AA85" s="3" t="str"/>
      <x:c r="AB85" s="3" t="str"/>
      <x:c r="AC85" s="3" t="n">
        <x:v>1</x:v>
      </x:c>
      <x:c r="AD85" s="3" t="n">
        <x:f>'方案总览'!$B$5</x:f>
        <x:v>20</x:v>
      </x:c>
    </x:row>
    <x:row r="86" ht="24" customHeight="1">
      <x:c r="A86" s="3" t="str">
        <x:v>T081</x:v>
      </x:c>
      <x:c r="B86" s="3" t="str">
        <x:v>拟合</x:v>
      </x:c>
      <x:c r="C86" s="3" t="str">
        <x:v>S-232</x:v>
      </x:c>
      <x:c r="D86" s="3" t="str"/>
      <x:c r="E86" s="3" t="str">
        <x:v>2-甲基丁酸乙酯</x:v>
      </x:c>
      <x:c r="F86" s="3" t="str"/>
      <x:c r="G86" s="3" t="str"/>
      <x:c r="H86" s="3" t="str"/>
      <x:c r="I86" s="3" t="str">
        <x:v>L</x:v>
      </x:c>
      <x:c r="J86" s="3" t="str"/>
      <x:c r="K86" s="3" t="str"/>
      <x:c r="L86" s="3" t="str"/>
      <x:c r="M86" s="9" t="n">
        <x:f>IF(Y86="","",INDEX('浓度设置'!$P$6:$R$46,MATCH(Y86,'浓度设置'!$A$6:$A$46,0),IF(I86="L",1,IF(I86="M",2,3))))</x:f>
        <x:v>0.97</x:v>
      </x:c>
      <x:c r="N86" s="9" t="str">
        <x:f>IF(Z86="","",INDEX('浓度设置'!$P$6:$R$46,MATCH(Z86,'浓度设置'!$A$6:$A$46,0),IF(J86="L",1,IF(J86="M",2,3))))</x:f>
      </x:c>
      <x:c r="O86" s="9" t="str">
        <x:f>IF(AA86="","",INDEX('浓度设置'!$P$6:$R$46,MATCH(AA86,'浓度设置'!$A$6:$A$46,0),IF(K86="L",1,IF(K86="M",2,3))))</x:f>
      </x:c>
      <x:c r="P86" s="9" t="str">
        <x:f>IF(AB86="","",INDEX('浓度设置'!$P$6:$R$46,MATCH(AB86,'浓度设置'!$A$6:$A$46,0),IF(L86="L",1,IF(L86="M",2,3))))</x:f>
      </x:c>
      <x:c r="Q86" s="9" t="n">
        <x:f>IF(Y86="","",M86/INDEX('浓度设置'!$M$6:$M$46,MATCH(Y86,'浓度设置'!$A$6:$A$46,0)))</x:f>
        <x:v>0.05388888888888889</x:v>
      </x:c>
      <x:c r="R86" s="9" t="str">
        <x:f>IF(Z86="","",N86/INDEX('浓度设置'!$M$6:$M$46,MATCH(Z86,'浓度设置'!$A$6:$A$46,0)))</x:f>
      </x:c>
      <x:c r="S86" s="9" t="str">
        <x:f>IF(AA86="","",O86/INDEX('浓度设置'!$M$6:$M$46,MATCH(AA86,'浓度设置'!$A$6:$A$46,0)))</x:f>
      </x:c>
      <x:c r="T86" s="9" t="str">
        <x:f>IF(AB86="","",P86/INDEX('浓度设置'!$M$6:$M$46,MATCH(AB86,'浓度设置'!$A$6:$A$46,0)))</x:f>
      </x:c>
      <x:c r="U86" s="9" t="n">
        <x:f>IF(Y86="","",M86*$AD86/1000)</x:f>
        <x:v>0.019399999999999997</x:v>
      </x:c>
      <x:c r="V86" s="9" t="str">
        <x:f>IF(Z86="","",N86*$AD86/1000)</x:f>
      </x:c>
      <x:c r="W86" s="9" t="str">
        <x:f>IF(AA86="","",O86*$AD86/1000)</x:f>
      </x:c>
      <x:c r="X86" s="9" t="str">
        <x:f>IF(AB86="","",P86*$AD86/1000)</x:f>
      </x:c>
      <x:c r="Y86" s="3" t="n">
        <x:v>232</x:v>
      </x:c>
      <x:c r="Z86" s="3" t="str"/>
      <x:c r="AA86" s="3" t="str"/>
      <x:c r="AB86" s="3" t="str"/>
      <x:c r="AC86" s="3" t="n">
        <x:v>1</x:v>
      </x:c>
      <x:c r="AD86" s="3" t="n">
        <x:f>'方案总览'!$B$5</x:f>
        <x:v>20</x:v>
      </x:c>
    </x:row>
    <x:row r="87" ht="24" customHeight="1">
      <x:c r="A87" s="3" t="str">
        <x:v>T082</x:v>
      </x:c>
      <x:c r="B87" s="3" t="str">
        <x:v>拟合</x:v>
      </x:c>
      <x:c r="C87" s="3" t="str">
        <x:v>S-232</x:v>
      </x:c>
      <x:c r="D87" s="3" t="str"/>
      <x:c r="E87" s="3" t="str">
        <x:v>2-甲基丁酸乙酯</x:v>
      </x:c>
      <x:c r="F87" s="3" t="str"/>
      <x:c r="G87" s="3" t="str"/>
      <x:c r="H87" s="3" t="str"/>
      <x:c r="I87" s="3" t="str">
        <x:v>M</x:v>
      </x:c>
      <x:c r="J87" s="3" t="str"/>
      <x:c r="K87" s="3" t="str"/>
      <x:c r="L87" s="3" t="str"/>
      <x:c r="M87" s="9" t="n">
        <x:f>IF(Y87="","",INDEX('浓度设置'!$P$6:$R$46,MATCH(Y87,'浓度设置'!$A$6:$A$46,0),IF(I87="L",1,IF(I87="M",2,3))))</x:f>
        <x:v>39.53062104242735</x:v>
      </x:c>
      <x:c r="N87" s="9" t="str">
        <x:f>IF(Z87="","",INDEX('浓度设置'!$P$6:$R$46,MATCH(Z87,'浓度设置'!$A$6:$A$46,0),IF(J87="L",1,IF(J87="M",2,3))))</x:f>
      </x:c>
      <x:c r="O87" s="9" t="str">
        <x:f>IF(AA87="","",INDEX('浓度设置'!$P$6:$R$46,MATCH(AA87,'浓度设置'!$A$6:$A$46,0),IF(K87="L",1,IF(K87="M",2,3))))</x:f>
      </x:c>
      <x:c r="P87" s="9" t="str">
        <x:f>IF(AB87="","",INDEX('浓度设置'!$P$6:$R$46,MATCH(AB87,'浓度设置'!$A$6:$A$46,0),IF(L87="L",1,IF(L87="M",2,3))))</x:f>
      </x:c>
      <x:c r="Q87" s="9" t="n">
        <x:f>IF(Y87="","",M87/INDEX('浓度设置'!$M$6:$M$46,MATCH(Y87,'浓度设置'!$A$6:$A$46,0)))</x:f>
        <x:v>2.196145613468186</x:v>
      </x:c>
      <x:c r="R87" s="9" t="str">
        <x:f>IF(Z87="","",N87/INDEX('浓度设置'!$M$6:$M$46,MATCH(Z87,'浓度设置'!$A$6:$A$46,0)))</x:f>
      </x:c>
      <x:c r="S87" s="9" t="str">
        <x:f>IF(AA87="","",O87/INDEX('浓度设置'!$M$6:$M$46,MATCH(AA87,'浓度设置'!$A$6:$A$46,0)))</x:f>
      </x:c>
      <x:c r="T87" s="9" t="str">
        <x:f>IF(AB87="","",P87/INDEX('浓度设置'!$M$6:$M$46,MATCH(AB87,'浓度设置'!$A$6:$A$46,0)))</x:f>
      </x:c>
      <x:c r="U87" s="9" t="n">
        <x:f>IF(Y87="","",M87*$AD87/1000)</x:f>
        <x:v>0.790612420848547</x:v>
      </x:c>
      <x:c r="V87" s="9" t="str">
        <x:f>IF(Z87="","",N87*$AD87/1000)</x:f>
      </x:c>
      <x:c r="W87" s="9" t="str">
        <x:f>IF(AA87="","",O87*$AD87/1000)</x:f>
      </x:c>
      <x:c r="X87" s="9" t="str">
        <x:f>IF(AB87="","",P87*$AD87/1000)</x:f>
      </x:c>
      <x:c r="Y87" s="3" t="n">
        <x:v>232</x:v>
      </x:c>
      <x:c r="Z87" s="3" t="str"/>
      <x:c r="AA87" s="3" t="str"/>
      <x:c r="AB87" s="3" t="str"/>
      <x:c r="AC87" s="3" t="n">
        <x:v>1</x:v>
      </x:c>
      <x:c r="AD87" s="3" t="n">
        <x:f>'方案总览'!$B$5</x:f>
        <x:v>20</x:v>
      </x:c>
    </x:row>
    <x:row r="88" ht="24" customHeight="1">
      <x:c r="A88" s="3" t="str">
        <x:v>T083</x:v>
      </x:c>
      <x:c r="B88" s="3" t="str">
        <x:v>拟合</x:v>
      </x:c>
      <x:c r="C88" s="3" t="str">
        <x:v>S-232</x:v>
      </x:c>
      <x:c r="D88" s="3" t="str"/>
      <x:c r="E88" s="3" t="str">
        <x:v>2-甲基丁酸乙酯</x:v>
      </x:c>
      <x:c r="F88" s="3" t="str"/>
      <x:c r="G88" s="3" t="str"/>
      <x:c r="H88" s="3" t="str"/>
      <x:c r="I88" s="3" t="str">
        <x:v>H</x:v>
      </x:c>
      <x:c r="J88" s="3" t="str"/>
      <x:c r="K88" s="3" t="str"/>
      <x:c r="L88" s="3" t="str"/>
      <x:c r="M88" s="9" t="n">
        <x:f>IF(Y88="","",INDEX('浓度设置'!$P$6:$R$46,MATCH(Y88,'浓度设置'!$A$6:$A$46,0),IF(I88="L",1,IF(I88="M",2,3))))</x:f>
        <x:v>1611</x:v>
      </x:c>
      <x:c r="N88" s="9" t="str">
        <x:f>IF(Z88="","",INDEX('浓度设置'!$P$6:$R$46,MATCH(Z88,'浓度设置'!$A$6:$A$46,0),IF(J88="L",1,IF(J88="M",2,3))))</x:f>
      </x:c>
      <x:c r="O88" s="9" t="str">
        <x:f>IF(AA88="","",INDEX('浓度设置'!$P$6:$R$46,MATCH(AA88,'浓度设置'!$A$6:$A$46,0),IF(K88="L",1,IF(K88="M",2,3))))</x:f>
      </x:c>
      <x:c r="P88" s="9" t="str">
        <x:f>IF(AB88="","",INDEX('浓度设置'!$P$6:$R$46,MATCH(AB88,'浓度设置'!$A$6:$A$46,0),IF(L88="L",1,IF(L88="M",2,3))))</x:f>
      </x:c>
      <x:c r="Q88" s="9" t="n">
        <x:f>IF(Y88="","",M88/INDEX('浓度设置'!$M$6:$M$46,MATCH(Y88,'浓度设置'!$A$6:$A$46,0)))</x:f>
        <x:v>89.5</x:v>
      </x:c>
      <x:c r="R88" s="9" t="str">
        <x:f>IF(Z88="","",N88/INDEX('浓度设置'!$M$6:$M$46,MATCH(Z88,'浓度设置'!$A$6:$A$46,0)))</x:f>
      </x:c>
      <x:c r="S88" s="9" t="str">
        <x:f>IF(AA88="","",O88/INDEX('浓度设置'!$M$6:$M$46,MATCH(AA88,'浓度设置'!$A$6:$A$46,0)))</x:f>
      </x:c>
      <x:c r="T88" s="9" t="str">
        <x:f>IF(AB88="","",P88/INDEX('浓度设置'!$M$6:$M$46,MATCH(AB88,'浓度设置'!$A$6:$A$46,0)))</x:f>
      </x:c>
      <x:c r="U88" s="9" t="n">
        <x:f>IF(Y88="","",M88*$AD88/1000)</x:f>
        <x:v>32.22</x:v>
      </x:c>
      <x:c r="V88" s="9" t="str">
        <x:f>IF(Z88="","",N88*$AD88/1000)</x:f>
      </x:c>
      <x:c r="W88" s="9" t="str">
        <x:f>IF(AA88="","",O88*$AD88/1000)</x:f>
      </x:c>
      <x:c r="X88" s="9" t="str">
        <x:f>IF(AB88="","",P88*$AD88/1000)</x:f>
      </x:c>
      <x:c r="Y88" s="3" t="n">
        <x:v>232</x:v>
      </x:c>
      <x:c r="Z88" s="3" t="str"/>
      <x:c r="AA88" s="3" t="str"/>
      <x:c r="AB88" s="3" t="str"/>
      <x:c r="AC88" s="3" t="n">
        <x:v>1</x:v>
      </x:c>
      <x:c r="AD88" s="3" t="n">
        <x:f>'方案总览'!$B$5</x:f>
        <x:v>20</x:v>
      </x:c>
    </x:row>
    <x:row r="89" ht="24" customHeight="1">
      <x:c r="A89" s="3" t="str">
        <x:v>T084</x:v>
      </x:c>
      <x:c r="B89" s="3" t="str">
        <x:v>拟合</x:v>
      </x:c>
      <x:c r="C89" s="3" t="str">
        <x:v>S-255</x:v>
      </x:c>
      <x:c r="D89" s="3" t="str"/>
      <x:c r="E89" s="3" t="str">
        <x:v>β-大马酮</x:v>
      </x:c>
      <x:c r="F89" s="3" t="str"/>
      <x:c r="G89" s="3" t="str"/>
      <x:c r="H89" s="3" t="str"/>
      <x:c r="I89" s="3" t="str">
        <x:v>L</x:v>
      </x:c>
      <x:c r="J89" s="3" t="str"/>
      <x:c r="K89" s="3" t="str"/>
      <x:c r="L89" s="3" t="str"/>
      <x:c r="M89" s="9" t="n">
        <x:f>IF(Y89="","",INDEX('浓度设置'!$P$6:$R$46,MATCH(Y89,'浓度设置'!$A$6:$A$46,0),IF(I89="L",1,IF(I89="M",2,3))))</x:f>
        <x:v>1.5</x:v>
      </x:c>
      <x:c r="N89" s="9" t="str">
        <x:f>IF(Z89="","",INDEX('浓度设置'!$P$6:$R$46,MATCH(Z89,'浓度设置'!$A$6:$A$46,0),IF(J89="L",1,IF(J89="M",2,3))))</x:f>
      </x:c>
      <x:c r="O89" s="9" t="str">
        <x:f>IF(AA89="","",INDEX('浓度设置'!$P$6:$R$46,MATCH(AA89,'浓度设置'!$A$6:$A$46,0),IF(K89="L",1,IF(K89="M",2,3))))</x:f>
      </x:c>
      <x:c r="P89" s="9" t="str">
        <x:f>IF(AB89="","",INDEX('浓度设置'!$P$6:$R$46,MATCH(AB89,'浓度设置'!$A$6:$A$46,0),IF(L89="L",1,IF(L89="M",2,3))))</x:f>
      </x:c>
      <x:c r="Q89" s="9" t="n">
        <x:f>IF(Y89="","",M89/INDEX('浓度设置'!$M$6:$M$46,MATCH(Y89,'浓度设置'!$A$6:$A$46,0)))</x:f>
        <x:v>12.5</x:v>
      </x:c>
      <x:c r="R89" s="9" t="str">
        <x:f>IF(Z89="","",N89/INDEX('浓度设置'!$M$6:$M$46,MATCH(Z89,'浓度设置'!$A$6:$A$46,0)))</x:f>
      </x:c>
      <x:c r="S89" s="9" t="str">
        <x:f>IF(AA89="","",O89/INDEX('浓度设置'!$M$6:$M$46,MATCH(AA89,'浓度设置'!$A$6:$A$46,0)))</x:f>
      </x:c>
      <x:c r="T89" s="9" t="str">
        <x:f>IF(AB89="","",P89/INDEX('浓度设置'!$M$6:$M$46,MATCH(AB89,'浓度设置'!$A$6:$A$46,0)))</x:f>
      </x:c>
      <x:c r="U89" s="9" t="n">
        <x:f>IF(Y89="","",M89*$AD89/1000)</x:f>
        <x:v>0.03</x:v>
      </x:c>
      <x:c r="V89" s="9" t="str">
        <x:f>IF(Z89="","",N89*$AD89/1000)</x:f>
      </x:c>
      <x:c r="W89" s="9" t="str">
        <x:f>IF(AA89="","",O89*$AD89/1000)</x:f>
      </x:c>
      <x:c r="X89" s="9" t="str">
        <x:f>IF(AB89="","",P89*$AD89/1000)</x:f>
      </x:c>
      <x:c r="Y89" s="3" t="n">
        <x:v>255</x:v>
      </x:c>
      <x:c r="Z89" s="3" t="str"/>
      <x:c r="AA89" s="3" t="str"/>
      <x:c r="AB89" s="3" t="str"/>
      <x:c r="AC89" s="3" t="n">
        <x:v>1</x:v>
      </x:c>
      <x:c r="AD89" s="3" t="n">
        <x:f>'方案总览'!$B$5</x:f>
        <x:v>20</x:v>
      </x:c>
    </x:row>
    <x:row r="90" ht="24" customHeight="1">
      <x:c r="A90" s="3" t="str">
        <x:v>T085</x:v>
      </x:c>
      <x:c r="B90" s="3" t="str">
        <x:v>拟合</x:v>
      </x:c>
      <x:c r="C90" s="3" t="str">
        <x:v>S-255</x:v>
      </x:c>
      <x:c r="D90" s="3" t="str"/>
      <x:c r="E90" s="3" t="str">
        <x:v>β-大马酮</x:v>
      </x:c>
      <x:c r="F90" s="3" t="str"/>
      <x:c r="G90" s="3" t="str"/>
      <x:c r="H90" s="3" t="str"/>
      <x:c r="I90" s="3" t="str">
        <x:v>M</x:v>
      </x:c>
      <x:c r="J90" s="3" t="str"/>
      <x:c r="K90" s="3" t="str"/>
      <x:c r="L90" s="3" t="str"/>
      <x:c r="M90" s="9" t="n">
        <x:f>IF(Y90="","",INDEX('浓度设置'!$P$6:$R$46,MATCH(Y90,'浓度设置'!$A$6:$A$46,0),IF(I90="L",1,IF(I90="M",2,3))))</x:f>
        <x:v>9.546727187890099</x:v>
      </x:c>
      <x:c r="N90" s="9" t="str">
        <x:f>IF(Z90="","",INDEX('浓度设置'!$P$6:$R$46,MATCH(Z90,'浓度设置'!$A$6:$A$46,0),IF(J90="L",1,IF(J90="M",2,3))))</x:f>
      </x:c>
      <x:c r="O90" s="9" t="str">
        <x:f>IF(AA90="","",INDEX('浓度设置'!$P$6:$R$46,MATCH(AA90,'浓度设置'!$A$6:$A$46,0),IF(K90="L",1,IF(K90="M",2,3))))</x:f>
      </x:c>
      <x:c r="P90" s="9" t="str">
        <x:f>IF(AB90="","",INDEX('浓度设置'!$P$6:$R$46,MATCH(AB90,'浓度设置'!$A$6:$A$46,0),IF(L90="L",1,IF(L90="M",2,3))))</x:f>
      </x:c>
      <x:c r="Q90" s="9" t="n">
        <x:f>IF(Y90="","",M90/INDEX('浓度设置'!$M$6:$M$46,MATCH(Y90,'浓度设置'!$A$6:$A$46,0)))</x:f>
        <x:v>79.55605989908416</x:v>
      </x:c>
      <x:c r="R90" s="9" t="str">
        <x:f>IF(Z90="","",N90/INDEX('浓度设置'!$M$6:$M$46,MATCH(Z90,'浓度设置'!$A$6:$A$46,0)))</x:f>
      </x:c>
      <x:c r="S90" s="9" t="str">
        <x:f>IF(AA90="","",O90/INDEX('浓度设置'!$M$6:$M$46,MATCH(AA90,'浓度设置'!$A$6:$A$46,0)))</x:f>
      </x:c>
      <x:c r="T90" s="9" t="str">
        <x:f>IF(AB90="","",P90/INDEX('浓度设置'!$M$6:$M$46,MATCH(AB90,'浓度设置'!$A$6:$A$46,0)))</x:f>
      </x:c>
      <x:c r="U90" s="9" t="n">
        <x:f>IF(Y90="","",M90*$AD90/1000)</x:f>
        <x:v>0.19093454375780197</x:v>
      </x:c>
      <x:c r="V90" s="9" t="str">
        <x:f>IF(Z90="","",N90*$AD90/1000)</x:f>
      </x:c>
      <x:c r="W90" s="9" t="str">
        <x:f>IF(AA90="","",O90*$AD90/1000)</x:f>
      </x:c>
      <x:c r="X90" s="9" t="str">
        <x:f>IF(AB90="","",P90*$AD90/1000)</x:f>
      </x:c>
      <x:c r="Y90" s="3" t="n">
        <x:v>255</x:v>
      </x:c>
      <x:c r="Z90" s="3" t="str"/>
      <x:c r="AA90" s="3" t="str"/>
      <x:c r="AB90" s="3" t="str"/>
      <x:c r="AC90" s="3" t="n">
        <x:v>1</x:v>
      </x:c>
      <x:c r="AD90" s="3" t="n">
        <x:f>'方案总览'!$B$5</x:f>
        <x:v>20</x:v>
      </x:c>
    </x:row>
    <x:row r="91" ht="24" customHeight="1">
      <x:c r="A91" s="3" t="str">
        <x:v>T086</x:v>
      </x:c>
      <x:c r="B91" s="3" t="str">
        <x:v>拟合</x:v>
      </x:c>
      <x:c r="C91" s="3" t="str">
        <x:v>S-255</x:v>
      </x:c>
      <x:c r="D91" s="3" t="str"/>
      <x:c r="E91" s="3" t="str">
        <x:v>β-大马酮</x:v>
      </x:c>
      <x:c r="F91" s="3" t="str"/>
      <x:c r="G91" s="3" t="str"/>
      <x:c r="H91" s="3" t="str"/>
      <x:c r="I91" s="3" t="str">
        <x:v>H</x:v>
      </x:c>
      <x:c r="J91" s="3" t="str"/>
      <x:c r="K91" s="3" t="str"/>
      <x:c r="L91" s="3" t="str"/>
      <x:c r="M91" s="9" t="n">
        <x:f>IF(Y91="","",INDEX('浓度设置'!$P$6:$R$46,MATCH(Y91,'浓度设置'!$A$6:$A$46,0),IF(I91="L",1,IF(I91="M",2,3))))</x:f>
        <x:v>60.76</x:v>
      </x:c>
      <x:c r="N91" s="9" t="str">
        <x:f>IF(Z91="","",INDEX('浓度设置'!$P$6:$R$46,MATCH(Z91,'浓度设置'!$A$6:$A$46,0),IF(J91="L",1,IF(J91="M",2,3))))</x:f>
      </x:c>
      <x:c r="O91" s="9" t="str">
        <x:f>IF(AA91="","",INDEX('浓度设置'!$P$6:$R$46,MATCH(AA91,'浓度设置'!$A$6:$A$46,0),IF(K91="L",1,IF(K91="M",2,3))))</x:f>
      </x:c>
      <x:c r="P91" s="9" t="str">
        <x:f>IF(AB91="","",INDEX('浓度设置'!$P$6:$R$46,MATCH(AB91,'浓度设置'!$A$6:$A$46,0),IF(L91="L",1,IF(L91="M",2,3))))</x:f>
      </x:c>
      <x:c r="Q91" s="9" t="n">
        <x:f>IF(Y91="","",M91/INDEX('浓度设置'!$M$6:$M$46,MATCH(Y91,'浓度设置'!$A$6:$A$46,0)))</x:f>
        <x:v>506.3333333333333</x:v>
      </x:c>
      <x:c r="R91" s="9" t="str">
        <x:f>IF(Z91="","",N91/INDEX('浓度设置'!$M$6:$M$46,MATCH(Z91,'浓度设置'!$A$6:$A$46,0)))</x:f>
      </x:c>
      <x:c r="S91" s="9" t="str">
        <x:f>IF(AA91="","",O91/INDEX('浓度设置'!$M$6:$M$46,MATCH(AA91,'浓度设置'!$A$6:$A$46,0)))</x:f>
      </x:c>
      <x:c r="T91" s="9" t="str">
        <x:f>IF(AB91="","",P91/INDEX('浓度设置'!$M$6:$M$46,MATCH(AB91,'浓度设置'!$A$6:$A$46,0)))</x:f>
      </x:c>
      <x:c r="U91" s="9" t="n">
        <x:f>IF(Y91="","",M91*$AD91/1000)</x:f>
        <x:v>1.2152</x:v>
      </x:c>
      <x:c r="V91" s="9" t="str">
        <x:f>IF(Z91="","",N91*$AD91/1000)</x:f>
      </x:c>
      <x:c r="W91" s="9" t="str">
        <x:f>IF(AA91="","",O91*$AD91/1000)</x:f>
      </x:c>
      <x:c r="X91" s="9" t="str">
        <x:f>IF(AB91="","",P91*$AD91/1000)</x:f>
      </x:c>
      <x:c r="Y91" s="3" t="n">
        <x:v>255</x:v>
      </x:c>
      <x:c r="Z91" s="3" t="str"/>
      <x:c r="AA91" s="3" t="str"/>
      <x:c r="AB91" s="3" t="str"/>
      <x:c r="AC91" s="3" t="n">
        <x:v>1</x:v>
      </x:c>
      <x:c r="AD91" s="3" t="n">
        <x:f>'方案总览'!$B$5</x:f>
        <x:v>20</x:v>
      </x:c>
    </x:row>
    <x:row r="92" ht="24" customHeight="1">
      <x:c r="A92" s="3" t="str">
        <x:v>T087</x:v>
      </x:c>
      <x:c r="B92" s="3" t="str">
        <x:v>拟合</x:v>
      </x:c>
      <x:c r="C92" s="3" t="str">
        <x:v>C001</x:v>
      </x:c>
      <x:c r="D92" s="3" t="str"/>
      <x:c r="E92" s="3" t="str">
        <x:v>2-甲基丙醛</x:v>
      </x:c>
      <x:c r="F92" s="3" t="str">
        <x:v>癸酸乙酯</x:v>
      </x:c>
      <x:c r="G92" s="3" t="str">
        <x:v>异戊醛</x:v>
      </x:c>
      <x:c r="H92" s="3" t="str">
        <x:v>3-苯基丙酸乙酯</x:v>
      </x:c>
      <x:c r="I92" s="3" t="str">
        <x:v>H</x:v>
      </x:c>
      <x:c r="J92" s="3" t="str">
        <x:v>M</x:v>
      </x:c>
      <x:c r="K92" s="3" t="str">
        <x:v>L</x:v>
      </x:c>
      <x:c r="L92" s="3" t="str">
        <x:v>L</x:v>
      </x:c>
      <x:c r="M92" s="9" t="n">
        <x:f>IF(Y92="","",INDEX('浓度设置'!$P$6:$R$46,MATCH(Y92,'浓度设置'!$A$6:$A$46,0),IF(I92="L",1,IF(I92="M",2,3))))</x:f>
        <x:v>35900</x:v>
      </x:c>
      <x:c r="N92" s="9" t="n">
        <x:f>IF(Z92="","",INDEX('浓度设置'!$P$6:$R$46,MATCH(Z92,'浓度设置'!$A$6:$A$46,0),IF(J92="L",1,IF(J92="M",2,3))))</x:f>
        <x:v>1288.255</x:v>
      </x:c>
      <x:c r="O92" s="9" t="n">
        <x:f>IF(AA92="","",INDEX('浓度设置'!$P$6:$R$46,MATCH(AA92,'浓度设置'!$A$6:$A$46,0),IF(K92="L",1,IF(K92="M",2,3))))</x:f>
        <x:v>4.84</x:v>
      </x:c>
      <x:c r="P92" s="9" t="n">
        <x:f>IF(AB92="","",INDEX('浓度设置'!$P$6:$R$46,MATCH(AB92,'浓度设置'!$A$6:$A$46,0),IF(L92="L",1,IF(L92="M",2,3))))</x:f>
        <x:v>1.56</x:v>
      </x:c>
      <x:c r="Q92" s="9" t="n">
        <x:f>IF(Y92="","",M92/INDEX('浓度设置'!$M$6:$M$46,MATCH(Y92,'浓度设置'!$A$6:$A$46,0)))</x:f>
        <x:v>6084.745762711864</x:v>
      </x:c>
      <x:c r="R92" s="9" t="n">
        <x:f>IF(Z92="","",N92/INDEX('浓度设置'!$M$6:$M$46,MATCH(Z92,'浓度设置'!$A$6:$A$46,0)))</x:f>
        <x:v>1.1502276785714287</x:v>
      </x:c>
      <x:c r="S92" s="9" t="n">
        <x:f>IF(AA92="","",O92/INDEX('浓度设置'!$M$6:$M$46,MATCH(AA92,'浓度设置'!$A$6:$A$46,0)))</x:f>
        <x:v>0.29333333333333333</x:v>
      </x:c>
      <x:c r="T92" s="9" t="n">
        <x:f>IF(AB92="","",P92/INDEX('浓度设置'!$M$6:$M$46,MATCH(AB92,'浓度设置'!$A$6:$A$46,0)))</x:f>
        <x:v>0.01248</x:v>
      </x:c>
      <x:c r="U92" s="9" t="n">
        <x:f>IF(Y92="","",M92*$AD92/1000)</x:f>
        <x:v>718</x:v>
      </x:c>
      <x:c r="V92" s="9" t="n">
        <x:f>IF(Z92="","",N92*$AD92/1000)</x:f>
        <x:v>25.765100000000004</x:v>
      </x:c>
      <x:c r="W92" s="9" t="n">
        <x:f>IF(AA92="","",O92*$AD92/1000)</x:f>
        <x:v>0.0968</x:v>
      </x:c>
      <x:c r="X92" s="9" t="n">
        <x:f>IF(AB92="","",P92*$AD92/1000)</x:f>
        <x:v>0.031200000000000002</x:v>
      </x:c>
      <x:c r="Y92" s="3" t="n">
        <x:v>18</x:v>
      </x:c>
      <x:c r="Z92" s="3" t="n">
        <x:v>79</x:v>
      </x:c>
      <x:c r="AA92" s="3" t="n">
        <x:v>152</x:v>
      </x:c>
      <x:c r="AB92" s="3" t="n">
        <x:v>186</x:v>
      </x:c>
      <x:c r="AC92" s="3" t="n">
        <x:v>4</x:v>
      </x:c>
      <x:c r="AD92" s="3" t="n">
        <x:f>'方案总览'!$B$5</x:f>
        <x:v>20</x:v>
      </x:c>
    </x:row>
    <x:row r="93" ht="24" customHeight="1">
      <x:c r="A93" s="3" t="str">
        <x:v>T088</x:v>
      </x:c>
      <x:c r="B93" s="3" t="str">
        <x:v>拟合</x:v>
      </x:c>
      <x:c r="C93" s="3" t="str">
        <x:v>C002</x:v>
      </x:c>
      <x:c r="D93" s="3" t="str"/>
      <x:c r="E93" s="3" t="str">
        <x:v>异戊酸乙酯（3-甲基丁酸乙酯）</x:v>
      </x:c>
      <x:c r="F93" s="3" t="str">
        <x:v>1-辛醇</x:v>
      </x:c>
      <x:c r="G93" s="3" t="str">
        <x:v>异戊酸/3-甲基丁酸</x:v>
      </x:c>
      <x:c r="H93" s="3" t="str">
        <x:v>己酸丁酯</x:v>
      </x:c>
      <x:c r="I93" s="3" t="str">
        <x:v>L</x:v>
      </x:c>
      <x:c r="J93" s="3" t="str">
        <x:v>H</x:v>
      </x:c>
      <x:c r="K93" s="3" t="str">
        <x:v>H</x:v>
      </x:c>
      <x:c r="L93" s="3" t="str">
        <x:v>M</x:v>
      </x:c>
      <x:c r="M93" s="9" t="n">
        <x:f>IF(Y93="","",INDEX('浓度设置'!$P$6:$R$46,MATCH(Y93,'浓度设置'!$A$6:$A$46,0),IF(I93="L",1,IF(I93="M",2,3))))</x:f>
        <x:v>0.83</x:v>
      </x:c>
      <x:c r="N93" s="9" t="n">
        <x:f>IF(Z93="","",INDEX('浓度设置'!$P$6:$R$46,MATCH(Z93,'浓度设置'!$A$6:$A$46,0),IF(J93="L",1,IF(J93="M",2,3))))</x:f>
        <x:v>25642.45</x:v>
      </x:c>
      <x:c r="O93" s="9" t="n">
        <x:f>IF(AA93="","",INDEX('浓度设置'!$P$6:$R$46,MATCH(AA93,'浓度设置'!$A$6:$A$46,0),IF(K93="L",1,IF(K93="M",2,3))))</x:f>
        <x:v>44000</x:v>
      </x:c>
      <x:c r="P93" s="9" t="n">
        <x:f>IF(AB93="","",INDEX('浓度设置'!$P$6:$R$46,MATCH(AB93,'浓度设置'!$A$6:$A$46,0),IF(L93="L",1,IF(L93="M",2,3))))</x:f>
        <x:v>823.735</x:v>
      </x:c>
      <x:c r="Q93" s="9" t="n">
        <x:f>IF(Y93="","",M93/INDEX('浓度设置'!$M$6:$M$46,MATCH(Y93,'浓度设置'!$A$6:$A$46,0)))</x:f>
        <x:v>0.1204644412191582</x:v>
      </x:c>
      <x:c r="R93" s="9" t="n">
        <x:f>IF(Z93="","",N93/INDEX('浓度设置'!$M$6:$M$46,MATCH(Z93,'浓度设置'!$A$6:$A$46,0)))</x:f>
        <x:v>23.311318181818184</x:v>
      </x:c>
      <x:c r="S93" s="9" t="n">
        <x:f>IF(AA93="","",O93/INDEX('浓度设置'!$M$6:$M$46,MATCH(AA93,'浓度设置'!$A$6:$A$46,0)))</x:f>
        <x:v>41.904761904761905</x:v>
      </x:c>
      <x:c r="T93" s="9" t="n">
        <x:f>IF(AB93="","",P93/INDEX('浓度设置'!$M$6:$M$46,MATCH(AB93,'浓度设置'!$A$6:$A$46,0)))</x:f>
        <x:v>1.2152351587395256</x:v>
      </x:c>
      <x:c r="U93" s="9" t="n">
        <x:f>IF(Y93="","",M93*$AD93/1000)</x:f>
        <x:v>0.016599999999999997</x:v>
      </x:c>
      <x:c r="V93" s="9" t="n">
        <x:f>IF(Z93="","",N93*$AD93/1000)</x:f>
        <x:v>512.849</x:v>
      </x:c>
      <x:c r="W93" s="9" t="n">
        <x:f>IF(AA93="","",O93*$AD93/1000)</x:f>
        <x:v>880</x:v>
      </x:c>
      <x:c r="X93" s="9" t="n">
        <x:f>IF(AB93="","",P93*$AD93/1000)</x:f>
        <x:v>16.474700000000002</x:v>
      </x:c>
      <x:c r="Y93" s="3" t="n">
        <x:v>69</x:v>
      </x:c>
      <x:c r="Z93" s="3" t="n">
        <x:v>90</x:v>
      </x:c>
      <x:c r="AA93" s="3" t="n">
        <x:v>136</x:v>
      </x:c>
      <x:c r="AB93" s="3" t="n">
        <x:v>165</x:v>
      </x:c>
      <x:c r="AC93" s="3" t="n">
        <x:v>4</x:v>
      </x:c>
      <x:c r="AD93" s="3" t="n">
        <x:f>'方案总览'!$B$5</x:f>
        <x:v>20</x:v>
      </x:c>
    </x:row>
    <x:row r="94" ht="24" customHeight="1">
      <x:c r="A94" s="3" t="str">
        <x:v>T089</x:v>
      </x:c>
      <x:c r="B94" s="3" t="str">
        <x:v>拟合</x:v>
      </x:c>
      <x:c r="C94" s="3" t="str">
        <x:v>C003</x:v>
      </x:c>
      <x:c r="D94" s="3" t="str"/>
      <x:c r="E94" s="3" t="str">
        <x:v>戊酸</x:v>
      </x:c>
      <x:c r="F94" s="3" t="str">
        <x:v>乙酸异戊酯</x:v>
      </x:c>
      <x:c r="G94" s="3" t="str">
        <x:v>戊酸乙酯</x:v>
      </x:c>
      <x:c r="H94" s="3" t="str">
        <x:v>1-辛烯-3-醇</x:v>
      </x:c>
      <x:c r="I94" s="3" t="str">
        <x:v>L</x:v>
      </x:c>
      <x:c r="J94" s="3" t="str">
        <x:v>L</x:v>
      </x:c>
      <x:c r="K94" s="3" t="str">
        <x:v>H</x:v>
      </x:c>
      <x:c r="L94" s="3" t="str">
        <x:v>M</x:v>
      </x:c>
      <x:c r="M94" s="9" t="n">
        <x:f>IF(Y94="","",INDEX('浓度设置'!$P$6:$R$46,MATCH(Y94,'浓度设置'!$A$6:$A$46,0),IF(I94="L",1,IF(I94="M",2,3))))</x:f>
        <x:v>1.75</x:v>
      </x:c>
      <x:c r="N94" s="9" t="n">
        <x:f>IF(Z94="","",INDEX('浓度设置'!$P$6:$R$46,MATCH(Z94,'浓度设置'!$A$6:$A$46,0),IF(J94="L",1,IF(J94="M",2,3))))</x:f>
        <x:v>1.44</x:v>
      </x:c>
      <x:c r="O94" s="9" t="n">
        <x:f>IF(AA94="","",INDEX('浓度设置'!$P$6:$R$46,MATCH(AA94,'浓度设置'!$A$6:$A$46,0),IF(K94="L",1,IF(K94="M",2,3))))</x:f>
        <x:v>1039840</x:v>
      </x:c>
      <x:c r="P94" s="9" t="n">
        <x:f>IF(AB94="","",INDEX('浓度设置'!$P$6:$R$46,MATCH(AB94,'浓度设置'!$A$6:$A$46,0),IF(L94="L",1,IF(L94="M",2,3))))</x:f>
        <x:v>16.47573974060042</x:v>
      </x:c>
      <x:c r="Q94" s="9" t="n">
        <x:f>IF(Y94="","",M94/INDEX('浓度设置'!$M$6:$M$46,MATCH(Y94,'浓度设置'!$A$6:$A$46,0)))</x:f>
        <x:v>0.004498714652956298</x:v>
      </x:c>
      <x:c r="R94" s="9" t="n">
        <x:f>IF(Z94="","",N94/INDEX('浓度设置'!$M$6:$M$46,MATCH(Z94,'浓度设置'!$A$6:$A$46,0)))</x:f>
        <x:v>0.015335463258785941</x:v>
      </x:c>
      <x:c r="S94" s="9" t="n">
        <x:f>IF(AA94="","",O94/INDEX('浓度设置'!$M$6:$M$46,MATCH(AA94,'浓度设置'!$A$6:$A$46,0)))</x:f>
        <x:v>38800</x:v>
      </x:c>
      <x:c r="T94" s="9" t="n">
        <x:f>IF(AB94="","",P94/INDEX('浓度设置'!$M$6:$M$46,MATCH(AB94,'浓度设置'!$A$6:$A$46,0)))</x:f>
        <x:v>2.692114336699415</x:v>
      </x:c>
      <x:c r="U94" s="9" t="n">
        <x:f>IF(Y94="","",M94*$AD94/1000)</x:f>
        <x:v>0.035</x:v>
      </x:c>
      <x:c r="V94" s="9" t="n">
        <x:f>IF(Z94="","",N94*$AD94/1000)</x:f>
        <x:v>0.028799999999999996</x:v>
      </x:c>
      <x:c r="W94" s="9" t="n">
        <x:f>IF(AA94="","",O94*$AD94/1000)</x:f>
        <x:v>20796.8</x:v>
      </x:c>
      <x:c r="X94" s="9" t="n">
        <x:f>IF(AB94="","",P94*$AD94/1000)</x:f>
        <x:v>0.3295147948120084</x:v>
      </x:c>
      <x:c r="Y94" s="3" t="n">
        <x:v>75</x:v>
      </x:c>
      <x:c r="Z94" s="3" t="n">
        <x:v>115</x:v>
      </x:c>
      <x:c r="AA94" s="3" t="n">
        <x:v>141</x:v>
      </x:c>
      <x:c r="AB94" s="3" t="n">
        <x:v>207</x:v>
      </x:c>
      <x:c r="AC94" s="3" t="n">
        <x:v>4</x:v>
      </x:c>
      <x:c r="AD94" s="3" t="n">
        <x:f>'方案总览'!$B$5</x:f>
        <x:v>20</x:v>
      </x:c>
    </x:row>
    <x:row r="95" ht="24" customHeight="1">
      <x:c r="A95" s="3" t="str">
        <x:v>T090</x:v>
      </x:c>
      <x:c r="B95" s="3" t="str">
        <x:v>拟合</x:v>
      </x:c>
      <x:c r="C95" s="3" t="str">
        <x:v>C004</x:v>
      </x:c>
      <x:c r="D95" s="3" t="str"/>
      <x:c r="E95" s="3" t="str">
        <x:v>1-丁醇</x:v>
      </x:c>
      <x:c r="F95" s="3" t="str">
        <x:v>异丁酸乙酯</x:v>
      </x:c>
      <x:c r="G95" s="3" t="str">
        <x:v>己酸乙酯</x:v>
      </x:c>
      <x:c r="H95" s="3" t="str">
        <x:v>2-甲基丁酸乙酯</x:v>
      </x:c>
      <x:c r="I95" s="3" t="str">
        <x:v>M</x:v>
      </x:c>
      <x:c r="J95" s="3" t="str">
        <x:v>M</x:v>
      </x:c>
      <x:c r="K95" s="3" t="str">
        <x:v>H</x:v>
      </x:c>
      <x:c r="L95" s="3" t="str">
        <x:v>L</x:v>
      </x:c>
      <x:c r="M95" s="9" t="n">
        <x:f>IF(Y95="","",INDEX('浓度设置'!$P$6:$R$46,MATCH(Y95,'浓度设置'!$A$6:$A$46,0),IF(I95="L",1,IF(I95="M",2,3))))</x:f>
        <x:v>4198.825192836682</x:v>
      </x:c>
      <x:c r="N95" s="9" t="n">
        <x:f>IF(Z95="","",INDEX('浓度设置'!$P$6:$R$46,MATCH(Z95,'浓度设置'!$A$6:$A$46,0),IF(J95="L",1,IF(J95="M",2,3))))</x:f>
        <x:v>836.8360173893091</x:v>
      </x:c>
      <x:c r="O95" s="9" t="n">
        <x:f>IF(AA95="","",INDEX('浓度设置'!$P$6:$R$46,MATCH(AA95,'浓度设置'!$A$6:$A$46,0),IF(K95="L",1,IF(K95="M",2,3))))</x:f>
        <x:v>9622120</x:v>
      </x:c>
      <x:c r="P95" s="9" t="n">
        <x:f>IF(AB95="","",INDEX('浓度设置'!$P$6:$R$46,MATCH(AB95,'浓度设置'!$A$6:$A$46,0),IF(L95="L",1,IF(L95="M",2,3))))</x:f>
        <x:v>0.97</x:v>
      </x:c>
      <x:c r="Q95" s="9" t="n">
        <x:f>IF(Y95="","",M95/INDEX('浓度设置'!$M$6:$M$46,MATCH(Y95,'浓度设置'!$A$6:$A$46,0)))</x:f>
        <x:v>1.5363429172472307</x:v>
      </x:c>
      <x:c r="R95" s="9" t="n">
        <x:f>IF(Z95="","",N95/INDEX('浓度设置'!$M$6:$M$46,MATCH(Z95,'浓度设置'!$A$6:$A$46,0)))</x:f>
        <x:v>14.553669867640158</x:v>
      </x:c>
      <x:c r="S95" s="9" t="n">
        <x:f>IF(AA95="","",O95/INDEX('浓度设置'!$M$6:$M$46,MATCH(AA95,'浓度设置'!$A$6:$A$46,0)))</x:f>
        <x:v>173998.5533453888</x:v>
      </x:c>
      <x:c r="T95" s="9" t="n">
        <x:f>IF(AB95="","",P95/INDEX('浓度设置'!$M$6:$M$46,MATCH(AB95,'浓度设置'!$A$6:$A$46,0)))</x:f>
        <x:v>0.05388888888888889</x:v>
      </x:c>
      <x:c r="U95" s="9" t="n">
        <x:f>IF(Y95="","",M95*$AD95/1000)</x:f>
        <x:v>83.97650385673363</x:v>
      </x:c>
      <x:c r="V95" s="9" t="n">
        <x:f>IF(Z95="","",N95*$AD95/1000)</x:f>
        <x:v>16.736720347786182</x:v>
      </x:c>
      <x:c r="W95" s="9" t="n">
        <x:f>IF(AA95="","",O95*$AD95/1000)</x:f>
        <x:v>192442.4</x:v>
      </x:c>
      <x:c r="X95" s="9" t="n">
        <x:f>IF(AB95="","",P95*$AD95/1000)</x:f>
        <x:v>0.019399999999999997</x:v>
      </x:c>
      <x:c r="Y95" s="3" t="n">
        <x:v>11</x:v>
      </x:c>
      <x:c r="Z95" s="3" t="n">
        <x:v>32</x:v>
      </x:c>
      <x:c r="AA95" s="3" t="n">
        <x:v>111</x:v>
      </x:c>
      <x:c r="AB95" s="3" t="n">
        <x:v>232</x:v>
      </x:c>
      <x:c r="AC95" s="3" t="n">
        <x:v>4</x:v>
      </x:c>
      <x:c r="AD95" s="3" t="n">
        <x:f>'方案总览'!$B$5</x:f>
        <x:v>20</x:v>
      </x:c>
    </x:row>
    <x:row r="96" ht="24" customHeight="1">
      <x:c r="A96" s="3" t="str">
        <x:v>T091</x:v>
      </x:c>
      <x:c r="B96" s="3" t="str">
        <x:v>拟合</x:v>
      </x:c>
      <x:c r="C96" s="3" t="str">
        <x:v>C005</x:v>
      </x:c>
      <x:c r="D96" s="3" t="str"/>
      <x:c r="E96" s="3" t="str">
        <x:v>苯乙酸乙酯</x:v>
      </x:c>
      <x:c r="F96" s="3" t="str">
        <x:v>对甲酚</x:v>
      </x:c>
      <x:c r="G96" s="3" t="str">
        <x:v>己酸</x:v>
      </x:c>
      <x:c r="H96" s="3" t="str">
        <x:v>己酸己酯</x:v>
      </x:c>
      <x:c r="I96" s="3" t="str">
        <x:v>H</x:v>
      </x:c>
      <x:c r="J96" s="3" t="str">
        <x:v>L</x:v>
      </x:c>
      <x:c r="K96" s="3" t="str">
        <x:v>H</x:v>
      </x:c>
      <x:c r="L96" s="3" t="str">
        <x:v>H</x:v>
      </x:c>
      <x:c r="M96" s="9" t="n">
        <x:f>IF(Y96="","",INDEX('浓度设置'!$P$6:$R$46,MATCH(Y96,'浓度设置'!$A$6:$A$46,0),IF(I96="L",1,IF(I96="M",2,3))))</x:f>
        <x:v>21400</x:v>
      </x:c>
      <x:c r="N96" s="9" t="n">
        <x:f>IF(Z96="","",INDEX('浓度设置'!$P$6:$R$46,MATCH(Z96,'浓度设置'!$A$6:$A$46,0),IF(J96="L",1,IF(J96="M",2,3))))</x:f>
        <x:v>0.51</x:v>
      </x:c>
      <x:c r="O96" s="9" t="n">
        <x:f>IF(AA96="","",INDEX('浓度设置'!$P$6:$R$46,MATCH(AA96,'浓度设置'!$A$6:$A$46,0),IF(K96="L",1,IF(K96="M",2,3))))</x:f>
        <x:v>1551340.76</x:v>
      </x:c>
      <x:c r="P96" s="9" t="n">
        <x:f>IF(AB96="","",INDEX('浓度设置'!$P$6:$R$46,MATCH(AB96,'浓度设置'!$A$6:$A$46,0),IF(L96="L",1,IF(L96="M",2,3))))</x:f>
        <x:v>193759</x:v>
      </x:c>
      <x:c r="Q96" s="9" t="n">
        <x:f>IF(Y96="","",M96/INDEX('浓度设置'!$M$6:$M$46,MATCH(Y96,'浓度设置'!$A$6:$A$46,0)))</x:f>
        <x:v>52.57985257985258</x:v>
      </x:c>
      <x:c r="R96" s="9" t="n">
        <x:f>IF(Z96="","",N96/INDEX('浓度设置'!$M$6:$M$46,MATCH(Z96,'浓度设置'!$A$6:$A$46,0)))</x:f>
        <x:v>0.003053892215568862</x:v>
      </x:c>
      <x:c r="S96" s="9" t="n">
        <x:f>IF(AA96="","",O96/INDEX('浓度设置'!$M$6:$M$46,MATCH(AA96,'浓度设置'!$A$6:$A$46,0)))</x:f>
        <x:v>615.6114126984127</x:v>
      </x:c>
      <x:c r="T96" s="9" t="n">
        <x:f>IF(AB96="","",P96/INDEX('浓度设置'!$M$6:$M$46,MATCH(AB96,'浓度设置'!$A$6:$A$46,0)))</x:f>
        <x:v>102.46377578001058</x:v>
      </x:c>
      <x:c r="U96" s="9" t="n">
        <x:f>IF(Y96="","",M96*$AD96/1000)</x:f>
        <x:v>428</x:v>
      </x:c>
      <x:c r="V96" s="9" t="n">
        <x:f>IF(Z96="","",N96*$AD96/1000)</x:f>
        <x:v>0.010199999999999999</x:v>
      </x:c>
      <x:c r="W96" s="9" t="n">
        <x:f>IF(AA96="","",O96*$AD96/1000)</x:f>
        <x:v>31026.8152</x:v>
      </x:c>
      <x:c r="X96" s="9" t="n">
        <x:f>IF(AB96="","",P96*$AD96/1000)</x:f>
        <x:v>3875.18</x:v>
      </x:c>
      <x:c r="Y96" s="3" t="n">
        <x:v>40</x:v>
      </x:c>
      <x:c r="Z96" s="3" t="n">
        <x:v>61</x:v>
      </x:c>
      <x:c r="AA96" s="3" t="n">
        <x:v>126</x:v>
      </x:c>
      <x:c r="AB96" s="3" t="n">
        <x:v>227</x:v>
      </x:c>
      <x:c r="AC96" s="3" t="n">
        <x:v>4</x:v>
      </x:c>
      <x:c r="AD96" s="3" t="n">
        <x:f>'方案总览'!$B$5</x:f>
        <x:v>20</x:v>
      </x:c>
    </x:row>
    <x:row r="97" ht="24" customHeight="1">
      <x:c r="A97" s="3" t="str">
        <x:v>T092</x:v>
      </x:c>
      <x:c r="B97" s="3" t="str">
        <x:v>拟合</x:v>
      </x:c>
      <x:c r="C97" s="3" t="str">
        <x:v>C006</x:v>
      </x:c>
      <x:c r="D97" s="3" t="str"/>
      <x:c r="E97" s="3" t="str">
        <x:v>己醛</x:v>
      </x:c>
      <x:c r="F97" s="3" t="str">
        <x:v>乙酸丁酯</x:v>
      </x:c>
      <x:c r="G97" s="3" t="str">
        <x:v>二甲基三硫醚</x:v>
      </x:c>
      <x:c r="H97" s="3" t="str">
        <x:v>β-大马酮</x:v>
      </x:c>
      <x:c r="I97" s="3" t="str">
        <x:v>H</x:v>
      </x:c>
      <x:c r="J97" s="3" t="str">
        <x:v>M</x:v>
      </x:c>
      <x:c r="K97" s="3" t="str">
        <x:v>H</x:v>
      </x:c>
      <x:c r="L97" s="3" t="str">
        <x:v>L</x:v>
      </x:c>
      <x:c r="M97" s="9" t="n">
        <x:f>IF(Y97="","",INDEX('浓度设置'!$P$6:$R$46,MATCH(Y97,'浓度设置'!$A$6:$A$46,0),IF(I97="L",1,IF(I97="M",2,3))))</x:f>
        <x:v>3075.94</x:v>
      </x:c>
      <x:c r="N97" s="9" t="n">
        <x:f>IF(Z97="","",INDEX('浓度设置'!$P$6:$R$46,MATCH(Z97,'浓度设置'!$A$6:$A$46,0),IF(J97="L",1,IF(J97="M",2,3))))</x:f>
        <x:v>3147.945</x:v>
      </x:c>
      <x:c r="O97" s="9" t="n">
        <x:f>IF(AA97="","",INDEX('浓度设置'!$P$6:$R$46,MATCH(AA97,'浓度设置'!$A$6:$A$46,0),IF(K97="L",1,IF(K97="M",2,3))))</x:f>
        <x:v>4201.44</x:v>
      </x:c>
      <x:c r="P97" s="9" t="n">
        <x:f>IF(AB97="","",INDEX('浓度设置'!$P$6:$R$46,MATCH(AB97,'浓度设置'!$A$6:$A$46,0),IF(L97="L",1,IF(L97="M",2,3))))</x:f>
        <x:v>1.5</x:v>
      </x:c>
      <x:c r="Q97" s="9" t="n">
        <x:f>IF(Y97="","",M97/INDEX('浓度设置'!$M$6:$M$46,MATCH(Y97,'浓度设置'!$A$6:$A$46,0)))</x:f>
        <x:v>120.62509803921569</x:v>
      </x:c>
      <x:c r="R97" s="9" t="n">
        <x:f>IF(Z97="","",N97/INDEX('浓度设置'!$M$6:$M$46,MATCH(Z97,'浓度设置'!$A$6:$A$46,0)))</x:f>
        <x:v>1.7488583333333334</x:v>
      </x:c>
      <x:c r="S97" s="9" t="n">
        <x:f>IF(AA97="","",O97/INDEX('浓度设置'!$M$6:$M$46,MATCH(AA97,'浓度设置'!$A$6:$A$46,0)))</x:f>
        <x:v>11670.666666666666</x:v>
      </x:c>
      <x:c r="T97" s="9" t="n">
        <x:f>IF(AB97="","",P97/INDEX('浓度设置'!$M$6:$M$46,MATCH(AB97,'浓度设置'!$A$6:$A$46,0)))</x:f>
        <x:v>12.5</x:v>
      </x:c>
      <x:c r="U97" s="9" t="n">
        <x:f>IF(Y97="","",M97*$AD97/1000)</x:f>
        <x:v>61.518800000000006</x:v>
      </x:c>
      <x:c r="V97" s="9" t="n">
        <x:f>IF(Z97="","",N97*$AD97/1000)</x:f>
        <x:v>62.9589</x:v>
      </x:c>
      <x:c r="W97" s="9" t="n">
        <x:f>IF(AA97="","",O97*$AD97/1000)</x:f>
        <x:v>84.02879999999999</x:v>
      </x:c>
      <x:c r="X97" s="9" t="n">
        <x:f>IF(AB97="","",P97*$AD97/1000)</x:f>
        <x:v>0.03</x:v>
      </x:c>
      <x:c r="Y97" s="3" t="n">
        <x:v>7</x:v>
      </x:c>
      <x:c r="Z97" s="3" t="n">
        <x:v>114</x:v>
      </x:c>
      <x:c r="AA97" s="3" t="n">
        <x:v>209</x:v>
      </x:c>
      <x:c r="AB97" s="3" t="n">
        <x:v>255</x:v>
      </x:c>
      <x:c r="AC97" s="3" t="n">
        <x:v>4</x:v>
      </x:c>
      <x:c r="AD97" s="3" t="n">
        <x:f>'方案总览'!$B$5</x:f>
        <x:v>20</x:v>
      </x:c>
    </x:row>
    <x:row r="98" ht="24" customHeight="1">
      <x:c r="A98" s="3" t="str">
        <x:v>T093</x:v>
      </x:c>
      <x:c r="B98" s="3" t="str">
        <x:v>拟合</x:v>
      </x:c>
      <x:c r="C98" s="3" t="str">
        <x:v>C007</x:v>
      </x:c>
      <x:c r="D98" s="3" t="str"/>
      <x:c r="E98" s="3" t="str">
        <x:v>丁酸乙酯</x:v>
      </x:c>
      <x:c r="F98" s="3" t="str">
        <x:v>辛酸乙酯</x:v>
      </x:c>
      <x:c r="G98" s="3" t="str">
        <x:v>苯乙醛</x:v>
      </x:c>
      <x:c r="H98" s="3" t="str">
        <x:v>辛酸</x:v>
      </x:c>
      <x:c r="I98" s="3" t="str">
        <x:v>L</x:v>
      </x:c>
      <x:c r="J98" s="3" t="str">
        <x:v>M</x:v>
      </x:c>
      <x:c r="K98" s="3" t="str">
        <x:v>L</x:v>
      </x:c>
      <x:c r="L98" s="3" t="str">
        <x:v>H</x:v>
      </x:c>
      <x:c r="M98" s="9" t="n">
        <x:f>IF(Y98="","",INDEX('浓度设置'!$P$6:$R$46,MATCH(Y98,'浓度设置'!$A$6:$A$46,0),IF(I98="L",1,IF(I98="M",2,3))))</x:f>
        <x:v>4.24</x:v>
      </x:c>
      <x:c r="N98" s="9" t="n">
        <x:f>IF(Z98="","",INDEX('浓度设置'!$P$6:$R$46,MATCH(Z98,'浓度设置'!$A$6:$A$46,0),IF(J98="L",1,IF(J98="M",2,3))))</x:f>
        <x:v>3072.731960324558</x:v>
      </x:c>
      <x:c r="O98" s="9" t="n">
        <x:f>IF(AA98="","",INDEX('浓度设置'!$P$6:$R$46,MATCH(AA98,'浓度设置'!$A$6:$A$46,0),IF(K98="L",1,IF(K98="M",2,3))))</x:f>
        <x:v>0.05</x:v>
      </x:c>
      <x:c r="P98" s="9" t="n">
        <x:f>IF(AB98="","",INDEX('浓度设置'!$P$6:$R$46,MATCH(AB98,'浓度设置'!$A$6:$A$46,0),IF(L98="L",1,IF(L98="M",2,3))))</x:f>
        <x:v>40201.1</x:v>
      </x:c>
      <x:c r="Q98" s="9" t="n">
        <x:f>IF(Y98="","",M98/INDEX('浓度设置'!$M$6:$M$46,MATCH(Y98,'浓度设置'!$A$6:$A$46,0)))</x:f>
        <x:v>0.052024539877300616</x:v>
      </x:c>
      <x:c r="R98" s="9" t="n">
        <x:f>IF(Z98="","",N98/INDEX('浓度设置'!$M$6:$M$46,MATCH(Z98,'浓度设置'!$A$6:$A$46,0)))</x:f>
        <x:v>238.19627599415176</x:v>
      </x:c>
      <x:c r="S98" s="9" t="n">
        <x:f>IF(AA98="","",O98/INDEX('浓度设置'!$M$6:$M$46,MATCH(AA98,'浓度设置'!$A$6:$A$46,0)))</x:f>
        <x:v>0.00019083969465648855</x:v>
      </x:c>
      <x:c r="T98" s="9" t="n">
        <x:f>IF(AB98="","",P98/INDEX('浓度设置'!$M$6:$M$46,MATCH(AB98,'浓度设置'!$A$6:$A$46,0)))</x:f>
        <x:v>14.889296296296296</x:v>
      </x:c>
      <x:c r="U98" s="9" t="n">
        <x:f>IF(Y98="","",M98*$AD98/1000)</x:f>
        <x:v>0.08480000000000001</x:v>
      </x:c>
      <x:c r="V98" s="9" t="n">
        <x:f>IF(Z98="","",N98*$AD98/1000)</x:f>
        <x:v>61.45463920649116</x:v>
      </x:c>
      <x:c r="W98" s="9" t="n">
        <x:f>IF(AA98="","",O98*$AD98/1000)</x:f>
        <x:v>0.001</x:v>
      </x:c>
      <x:c r="X98" s="9" t="n">
        <x:f>IF(AB98="","",P98*$AD98/1000)</x:f>
        <x:v>804.022</x:v>
      </x:c>
      <x:c r="Y98" s="3" t="n">
        <x:v>52</x:v>
      </x:c>
      <x:c r="Z98" s="3" t="n">
        <x:v>58</x:v>
      </x:c>
      <x:c r="AA98" s="3" t="n">
        <x:v>105</x:v>
      </x:c>
      <x:c r="AB98" s="3" t="n">
        <x:v>117</x:v>
      </x:c>
      <x:c r="AC98" s="3" t="n">
        <x:v>4</x:v>
      </x:c>
      <x:c r="AD98" s="3" t="n">
        <x:f>'方案总览'!$B$5</x:f>
        <x:v>20</x:v>
      </x:c>
    </x:row>
    <x:row r="99" ht="24" customHeight="1">
      <x:c r="A99" s="3" t="str">
        <x:v>T094</x:v>
      </x:c>
      <x:c r="B99" s="3" t="str">
        <x:v>拟合</x:v>
      </x:c>
      <x:c r="C99" s="3" t="str">
        <x:v>C008</x:v>
      </x:c>
      <x:c r="D99" s="3" t="str"/>
      <x:c r="E99" s="3" t="str">
        <x:v>乙醛二乙缩醛</x:v>
      </x:c>
      <x:c r="F99" s="3" t="str">
        <x:v>丁酸异戊酯</x:v>
      </x:c>
      <x:c r="G99" s="3" t="str">
        <x:v>异戊酸乙酯（3-甲基丁酸乙酯）</x:v>
      </x:c>
      <x:c r="H99" s="3" t="str">
        <x:v>1-辛烯-3-醇</x:v>
      </x:c>
      <x:c r="I99" s="3" t="str">
        <x:v>L</x:v>
      </x:c>
      <x:c r="J99" s="3" t="str">
        <x:v>M</x:v>
      </x:c>
      <x:c r="K99" s="3" t="str">
        <x:v>H</x:v>
      </x:c>
      <x:c r="L99" s="3" t="str">
        <x:v>M</x:v>
      </x:c>
      <x:c r="M99" s="9" t="n">
        <x:f>IF(Y99="","",INDEX('浓度设置'!$P$6:$R$46,MATCH(Y99,'浓度设置'!$A$6:$A$46,0),IF(I99="L",1,IF(I99="M",2,3))))</x:f>
        <x:v>9.61</x:v>
      </x:c>
      <x:c r="N99" s="9" t="n">
        <x:f>IF(Z99="","",INDEX('浓度设置'!$P$6:$R$46,MATCH(Z99,'浓度设置'!$A$6:$A$46,0),IF(J99="L",1,IF(J99="M",2,3))))</x:f>
        <x:v>1041.8500000000001</x:v>
      </x:c>
      <x:c r="O99" s="9" t="n">
        <x:f>IF(AA99="","",INDEX('浓度设置'!$P$6:$R$46,MATCH(AA99,'浓度设置'!$A$6:$A$46,0),IF(K99="L",1,IF(K99="M",2,3))))</x:f>
        <x:v>12022.2</x:v>
      </x:c>
      <x:c r="P99" s="9" t="n">
        <x:f>IF(AB99="","",INDEX('浓度设置'!$P$6:$R$46,MATCH(AB99,'浓度设置'!$A$6:$A$46,0),IF(L99="L",1,IF(L99="M",2,3))))</x:f>
        <x:v>16.47573974060042</x:v>
      </x:c>
      <x:c r="Q99" s="9" t="n">
        <x:f>IF(Y99="","",M99/INDEX('浓度设置'!$M$6:$M$46,MATCH(Y99,'浓度设置'!$A$6:$A$46,0)))</x:f>
        <x:v>0.004598086124401914</x:v>
      </x:c>
      <x:c r="R99" s="9" t="n">
        <x:f>IF(Z99="","",N99/INDEX('浓度设置'!$M$6:$M$46,MATCH(Z99,'浓度设置'!$A$6:$A$46,0)))</x:f>
        <x:v>1.1386338797814208</x:v>
      </x:c>
      <x:c r="S99" s="9" t="n">
        <x:f>IF(AA99="","",O99/INDEX('浓度设置'!$M$6:$M$46,MATCH(AA99,'浓度设置'!$A$6:$A$46,0)))</x:f>
        <x:v>1744.8766328011613</x:v>
      </x:c>
      <x:c r="T99" s="9" t="n">
        <x:f>IF(AB99="","",P99/INDEX('浓度设置'!$M$6:$M$46,MATCH(AB99,'浓度设置'!$A$6:$A$46,0)))</x:f>
        <x:v>2.692114336699415</x:v>
      </x:c>
      <x:c r="U99" s="9" t="n">
        <x:f>IF(Y99="","",M99*$AD99/1000)</x:f>
        <x:v>0.19219999999999998</x:v>
      </x:c>
      <x:c r="V99" s="9" t="n">
        <x:f>IF(Z99="","",N99*$AD99/1000)</x:f>
        <x:v>20.837000000000003</x:v>
      </x:c>
      <x:c r="W99" s="9" t="n">
        <x:f>IF(AA99="","",O99*$AD99/1000)</x:f>
        <x:v>240.444</x:v>
      </x:c>
      <x:c r="X99" s="9" t="n">
        <x:f>IF(AB99="","",P99*$AD99/1000)</x:f>
        <x:v>0.3295147948120084</x:v>
      </x:c>
      <x:c r="Y99" s="3" t="n">
        <x:v>53</x:v>
      </x:c>
      <x:c r="Z99" s="3" t="n">
        <x:v>56</x:v>
      </x:c>
      <x:c r="AA99" s="3" t="n">
        <x:v>69</x:v>
      </x:c>
      <x:c r="AB99" s="3" t="n">
        <x:v>207</x:v>
      </x:c>
      <x:c r="AC99" s="3" t="n">
        <x:v>4</x:v>
      </x:c>
      <x:c r="AD99" s="3" t="n">
        <x:f>'方案总览'!$B$5</x:f>
        <x:v>20</x:v>
      </x:c>
    </x:row>
    <x:row r="100" ht="24" customHeight="1">
      <x:c r="A100" s="3" t="str">
        <x:v>T095</x:v>
      </x:c>
      <x:c r="B100" s="3" t="str">
        <x:v>拟合</x:v>
      </x:c>
      <x:c r="C100" s="3" t="str">
        <x:v>C009</x:v>
      </x:c>
      <x:c r="D100" s="3" t="str"/>
      <x:c r="E100" s="3" t="str">
        <x:v>对甲酚</x:v>
      </x:c>
      <x:c r="F100" s="3" t="str">
        <x:v>乙酸异戊酯</x:v>
      </x:c>
      <x:c r="G100" s="3" t="str">
        <x:v>辛酸</x:v>
      </x:c>
      <x:c r="H100" s="3" t="str">
        <x:v>β-大马酮</x:v>
      </x:c>
      <x:c r="I100" s="3" t="str">
        <x:v>H</x:v>
      </x:c>
      <x:c r="J100" s="3" t="str">
        <x:v>H</x:v>
      </x:c>
      <x:c r="K100" s="3" t="str">
        <x:v>H</x:v>
      </x:c>
      <x:c r="L100" s="3" t="str">
        <x:v>L</x:v>
      </x:c>
      <x:c r="M100" s="9" t="n">
        <x:f>IF(Y100="","",INDEX('浓度设置'!$P$6:$R$46,MATCH(Y100,'浓度设置'!$A$6:$A$46,0),IF(I100="L",1,IF(I100="M",2,3))))</x:f>
        <x:v>6914</x:v>
      </x:c>
      <x:c r="N100" s="9" t="n">
        <x:f>IF(Z100="","",INDEX('浓度设置'!$P$6:$R$46,MATCH(Z100,'浓度设置'!$A$6:$A$46,0),IF(J100="L",1,IF(J100="M",2,3))))</x:f>
        <x:v>6516</x:v>
      </x:c>
      <x:c r="O100" s="9" t="n">
        <x:f>IF(AA100="","",INDEX('浓度设置'!$P$6:$R$46,MATCH(AA100,'浓度设置'!$A$6:$A$46,0),IF(K100="L",1,IF(K100="M",2,3))))</x:f>
        <x:v>40201.1</x:v>
      </x:c>
      <x:c r="P100" s="9" t="n">
        <x:f>IF(AB100="","",INDEX('浓度设置'!$P$6:$R$46,MATCH(AB100,'浓度设置'!$A$6:$A$46,0),IF(L100="L",1,IF(L100="M",2,3))))</x:f>
        <x:v>1.5</x:v>
      </x:c>
      <x:c r="Q100" s="9" t="n">
        <x:f>IF(Y100="","",M100/INDEX('浓度设置'!$M$6:$M$46,MATCH(Y100,'浓度设置'!$A$6:$A$46,0)))</x:f>
        <x:v>41.40119760479042</x:v>
      </x:c>
      <x:c r="R100" s="9" t="n">
        <x:f>IF(Z100="","",N100/INDEX('浓度设置'!$M$6:$M$46,MATCH(Z100,'浓度设置'!$A$6:$A$46,0)))</x:f>
        <x:v>69.39297124600638</x:v>
      </x:c>
      <x:c r="S100" s="9" t="n">
        <x:f>IF(AA100="","",O100/INDEX('浓度设置'!$M$6:$M$46,MATCH(AA100,'浓度设置'!$A$6:$A$46,0)))</x:f>
        <x:v>14.889296296296296</x:v>
      </x:c>
      <x:c r="T100" s="9" t="n">
        <x:f>IF(AB100="","",P100/INDEX('浓度设置'!$M$6:$M$46,MATCH(AB100,'浓度设置'!$A$6:$A$46,0)))</x:f>
        <x:v>12.5</x:v>
      </x:c>
      <x:c r="U100" s="9" t="n">
        <x:f>IF(Y100="","",M100*$AD100/1000)</x:f>
        <x:v>138.28</x:v>
      </x:c>
      <x:c r="V100" s="9" t="n">
        <x:f>IF(Z100="","",N100*$AD100/1000)</x:f>
        <x:v>130.32</x:v>
      </x:c>
      <x:c r="W100" s="9" t="n">
        <x:f>IF(AA100="","",O100*$AD100/1000)</x:f>
        <x:v>804.022</x:v>
      </x:c>
      <x:c r="X100" s="9" t="n">
        <x:f>IF(AB100="","",P100*$AD100/1000)</x:f>
        <x:v>0.03</x:v>
      </x:c>
      <x:c r="Y100" s="3" t="n">
        <x:v>61</x:v>
      </x:c>
      <x:c r="Z100" s="3" t="n">
        <x:v>115</x:v>
      </x:c>
      <x:c r="AA100" s="3" t="n">
        <x:v>117</x:v>
      </x:c>
      <x:c r="AB100" s="3" t="n">
        <x:v>255</x:v>
      </x:c>
      <x:c r="AC100" s="3" t="n">
        <x:v>4</x:v>
      </x:c>
      <x:c r="AD100" s="3" t="n">
        <x:f>'方案总览'!$B$5</x:f>
        <x:v>20</x:v>
      </x:c>
    </x:row>
    <x:row r="101" ht="24" customHeight="1">
      <x:c r="A101" s="3" t="str">
        <x:v>T096</x:v>
      </x:c>
      <x:c r="B101" s="3" t="str">
        <x:v>拟合</x:v>
      </x:c>
      <x:c r="C101" s="3" t="str">
        <x:v>C010</x:v>
      </x:c>
      <x:c r="D101" s="3" t="str"/>
      <x:c r="E101" s="3" t="str">
        <x:v>乙醛二乙缩醛</x:v>
      </x:c>
      <x:c r="F101" s="3" t="str">
        <x:v>辛酸乙酯</x:v>
      </x:c>
      <x:c r="G101" s="3" t="str">
        <x:v>戊酸乙酯</x:v>
      </x:c>
      <x:c r="H101" s="3" t="str">
        <x:v>己酸丁酯</x:v>
      </x:c>
      <x:c r="I101" s="3" t="str">
        <x:v>L</x:v>
      </x:c>
      <x:c r="J101" s="3" t="str">
        <x:v>H</x:v>
      </x:c>
      <x:c r="K101" s="3" t="str">
        <x:v>L</x:v>
      </x:c>
      <x:c r="L101" s="3" t="str">
        <x:v>M</x:v>
      </x:c>
      <x:c r="M101" s="9" t="n">
        <x:f>IF(Y101="","",INDEX('浓度设置'!$P$6:$R$46,MATCH(Y101,'浓度设置'!$A$6:$A$46,0),IF(I101="L",1,IF(I101="M",2,3))))</x:f>
        <x:v>9.61</x:v>
      </x:c>
      <x:c r="N101" s="9" t="n">
        <x:f>IF(Z101="","",INDEX('浓度设置'!$P$6:$R$46,MATCH(Z101,'浓度设置'!$A$6:$A$46,0),IF(J101="L",1,IF(J101="M",2,3))))</x:f>
        <x:v>1865945</x:v>
      </x:c>
      <x:c r="O101" s="9" t="n">
        <x:f>IF(AA101="","",INDEX('浓度设置'!$P$6:$R$46,MATCH(AA101,'浓度设置'!$A$6:$A$46,0),IF(K101="L",1,IF(K101="M",2,3))))</x:f>
        <x:v>2.2</x:v>
      </x:c>
      <x:c r="P101" s="9" t="n">
        <x:f>IF(AB101="","",INDEX('浓度设置'!$P$6:$R$46,MATCH(AB101,'浓度设置'!$A$6:$A$46,0),IF(L101="L",1,IF(L101="M",2,3))))</x:f>
        <x:v>823.735</x:v>
      </x:c>
      <x:c r="Q101" s="9" t="n">
        <x:f>IF(Y101="","",M101/INDEX('浓度设置'!$M$6:$M$46,MATCH(Y101,'浓度设置'!$A$6:$A$46,0)))</x:f>
        <x:v>0.004598086124401914</x:v>
      </x:c>
      <x:c r="R101" s="9" t="n">
        <x:f>IF(Z101="","",N101/INDEX('浓度设置'!$M$6:$M$46,MATCH(Z101,'浓度设置'!$A$6:$A$46,0)))</x:f>
        <x:v>144646.8992248062</x:v>
      </x:c>
      <x:c r="S101" s="9" t="n">
        <x:f>IF(AA101="","",O101/INDEX('浓度设置'!$M$6:$M$46,MATCH(AA101,'浓度设置'!$A$6:$A$46,0)))</x:f>
        <x:v>0.08208955223880597</x:v>
      </x:c>
      <x:c r="T101" s="9" t="n">
        <x:f>IF(AB101="","",P101/INDEX('浓度设置'!$M$6:$M$46,MATCH(AB101,'浓度设置'!$A$6:$A$46,0)))</x:f>
        <x:v>1.2152351587395256</x:v>
      </x:c>
      <x:c r="U101" s="9" t="n">
        <x:f>IF(Y101="","",M101*$AD101/1000)</x:f>
        <x:v>0.19219999999999998</x:v>
      </x:c>
      <x:c r="V101" s="9" t="n">
        <x:f>IF(Z101="","",N101*$AD101/1000)</x:f>
        <x:v>37318.9</x:v>
      </x:c>
      <x:c r="W101" s="9" t="n">
        <x:f>IF(AA101="","",O101*$AD101/1000)</x:f>
        <x:v>0.044</x:v>
      </x:c>
      <x:c r="X101" s="9" t="n">
        <x:f>IF(AB101="","",P101*$AD101/1000)</x:f>
        <x:v>16.474700000000002</x:v>
      </x:c>
      <x:c r="Y101" s="3" t="n">
        <x:v>53</x:v>
      </x:c>
      <x:c r="Z101" s="3" t="n">
        <x:v>58</x:v>
      </x:c>
      <x:c r="AA101" s="3" t="n">
        <x:v>141</x:v>
      </x:c>
      <x:c r="AB101" s="3" t="n">
        <x:v>165</x:v>
      </x:c>
      <x:c r="AC101" s="3" t="n">
        <x:v>4</x:v>
      </x:c>
      <x:c r="AD101" s="3" t="n">
        <x:f>'方案总览'!$B$5</x:f>
        <x:v>20</x:v>
      </x:c>
    </x:row>
    <x:row r="102" ht="24" customHeight="1">
      <x:c r="A102" s="3" t="str">
        <x:v>T097</x:v>
      </x:c>
      <x:c r="B102" s="3" t="str">
        <x:v>拟合</x:v>
      </x:c>
      <x:c r="C102" s="3" t="str">
        <x:v>C011</x:v>
      </x:c>
      <x:c r="D102" s="3" t="str"/>
      <x:c r="E102" s="3" t="str">
        <x:v>1-丁醇</x:v>
      </x:c>
      <x:c r="F102" s="3" t="str">
        <x:v>丁酸异戊酯</x:v>
      </x:c>
      <x:c r="G102" s="3" t="str">
        <x:v>1-辛醇</x:v>
      </x:c>
      <x:c r="H102" s="3" t="str">
        <x:v>己酸己酯</x:v>
      </x:c>
      <x:c r="I102" s="3" t="str">
        <x:v>H</x:v>
      </x:c>
      <x:c r="J102" s="3" t="str">
        <x:v>H</x:v>
      </x:c>
      <x:c r="K102" s="3" t="str">
        <x:v>H</x:v>
      </x:c>
      <x:c r="L102" s="3" t="str">
        <x:v>L</x:v>
      </x:c>
      <x:c r="M102" s="9" t="n">
        <x:f>IF(Y102="","",INDEX('浓度设置'!$P$6:$R$46,MATCH(Y102,'浓度设置'!$A$6:$A$46,0),IF(I102="L",1,IF(I102="M",2,3))))</x:f>
        <x:v>1038900</x:v>
      </x:c>
      <x:c r="N102" s="9" t="n">
        <x:f>IF(Z102="","",INDEX('浓度设置'!$P$6:$R$46,MATCH(Z102,'浓度设置'!$A$6:$A$46,0),IF(J102="L",1,IF(J102="M",2,3))))</x:f>
        <x:v>4105</x:v>
      </x:c>
      <x:c r="O102" s="9" t="n">
        <x:f>IF(AA102="","",INDEX('浓度设置'!$P$6:$R$46,MATCH(AA102,'浓度设置'!$A$6:$A$46,0),IF(K102="L",1,IF(K102="M",2,3))))</x:f>
        <x:v>25642.45</x:v>
      </x:c>
      <x:c r="P102" s="9" t="n">
        <x:f>IF(AB102="","",INDEX('浓度设置'!$P$6:$R$46,MATCH(AB102,'浓度设置'!$A$6:$A$46,0),IF(L102="L",1,IF(L102="M",2,3))))</x:f>
        <x:v>2.5</x:v>
      </x:c>
      <x:c r="Q102" s="9" t="n">
        <x:f>IF(Y102="","",M102/INDEX('浓度设置'!$M$6:$M$46,MATCH(Y102,'浓度设置'!$A$6:$A$46,0)))</x:f>
        <x:v>380.1317233809001</x:v>
      </x:c>
      <x:c r="R102" s="9" t="n">
        <x:f>IF(Z102="","",N102/INDEX('浓度设置'!$M$6:$M$46,MATCH(Z102,'浓度设置'!$A$6:$A$46,0)))</x:f>
        <x:v>4.4863387978142075</x:v>
      </x:c>
      <x:c r="S102" s="9" t="n">
        <x:f>IF(AA102="","",O102/INDEX('浓度设置'!$M$6:$M$46,MATCH(AA102,'浓度设置'!$A$6:$A$46,0)))</x:f>
        <x:v>23.311318181818184</x:v>
      </x:c>
      <x:c r="T102" s="9" t="n">
        <x:f>IF(AB102="","",P102/INDEX('浓度设置'!$M$6:$M$46,MATCH(AB102,'浓度设置'!$A$6:$A$46,0)))</x:f>
        <x:v>0.0013220518244315177</x:v>
      </x:c>
      <x:c r="U102" s="9" t="n">
        <x:f>IF(Y102="","",M102*$AD102/1000)</x:f>
        <x:v>20778</x:v>
      </x:c>
      <x:c r="V102" s="9" t="n">
        <x:f>IF(Z102="","",N102*$AD102/1000)</x:f>
        <x:v>82.1</x:v>
      </x:c>
      <x:c r="W102" s="9" t="n">
        <x:f>IF(AA102="","",O102*$AD102/1000)</x:f>
        <x:v>512.849</x:v>
      </x:c>
      <x:c r="X102" s="9" t="n">
        <x:f>IF(AB102="","",P102*$AD102/1000)</x:f>
        <x:v>0.05</x:v>
      </x:c>
      <x:c r="Y102" s="3" t="n">
        <x:v>11</x:v>
      </x:c>
      <x:c r="Z102" s="3" t="n">
        <x:v>56</x:v>
      </x:c>
      <x:c r="AA102" s="3" t="n">
        <x:v>90</x:v>
      </x:c>
      <x:c r="AB102" s="3" t="n">
        <x:v>227</x:v>
      </x:c>
      <x:c r="AC102" s="3" t="n">
        <x:v>4</x:v>
      </x:c>
      <x:c r="AD102" s="3" t="n">
        <x:f>'方案总览'!$B$5</x:f>
        <x:v>20</x:v>
      </x:c>
    </x:row>
    <x:row r="103" ht="24" customHeight="1">
      <x:c r="A103" s="3" t="str">
        <x:v>T098</x:v>
      </x:c>
      <x:c r="B103" s="3" t="str">
        <x:v>拟合</x:v>
      </x:c>
      <x:c r="C103" s="3" t="str">
        <x:v>C012</x:v>
      </x:c>
      <x:c r="D103" s="3" t="str"/>
      <x:c r="E103" s="3" t="str">
        <x:v>癸酸乙酯</x:v>
      </x:c>
      <x:c r="F103" s="3" t="str">
        <x:v>苯乙醛</x:v>
      </x:c>
      <x:c r="G103" s="3" t="str">
        <x:v>己酸</x:v>
      </x:c>
      <x:c r="H103" s="3" t="str">
        <x:v>2-甲基丁酸乙酯</x:v>
      </x:c>
      <x:c r="I103" s="3" t="str">
        <x:v>H</x:v>
      </x:c>
      <x:c r="J103" s="3" t="str">
        <x:v>L</x:v>
      </x:c>
      <x:c r="K103" s="3" t="str">
        <x:v>L</x:v>
      </x:c>
      <x:c r="L103" s="3" t="str">
        <x:v>H</x:v>
      </x:c>
      <x:c r="M103" s="9" t="n">
        <x:f>IF(Y103="","",INDEX('浓度设置'!$P$6:$R$46,MATCH(Y103,'浓度设置'!$A$6:$A$46,0),IF(I103="L",1,IF(I103="M",2,3))))</x:f>
        <x:v>56115</x:v>
      </x:c>
      <x:c r="N103" s="9" t="n">
        <x:f>IF(Z103="","",INDEX('浓度设置'!$P$6:$R$46,MATCH(Z103,'浓度设置'!$A$6:$A$46,0),IF(J103="L",1,IF(J103="M",2,3))))</x:f>
        <x:v>0.05</x:v>
      </x:c>
      <x:c r="O103" s="9" t="n">
        <x:f>IF(AA103="","",INDEX('浓度设置'!$P$6:$R$46,MATCH(AA103,'浓度设置'!$A$6:$A$46,0),IF(K103="L",1,IF(K103="M",2,3))))</x:f>
        <x:v>2.125</x:v>
      </x:c>
      <x:c r="P103" s="9" t="n">
        <x:f>IF(AB103="","",INDEX('浓度设置'!$P$6:$R$46,MATCH(AB103,'浓度设置'!$A$6:$A$46,0),IF(L103="L",1,IF(L103="M",2,3))))</x:f>
        <x:v>1611</x:v>
      </x:c>
      <x:c r="Q103" s="9" t="n">
        <x:f>IF(Y103="","",M103/INDEX('浓度设置'!$M$6:$M$46,MATCH(Y103,'浓度设置'!$A$6:$A$46,0)))</x:f>
        <x:v>50.10267857142857</x:v>
      </x:c>
      <x:c r="R103" s="9" t="n">
        <x:f>IF(Z103="","",N103/INDEX('浓度设置'!$M$6:$M$46,MATCH(Z103,'浓度设置'!$A$6:$A$46,0)))</x:f>
        <x:v>0.00019083969465648855</x:v>
      </x:c>
      <x:c r="S103" s="9" t="n">
        <x:f>IF(AA103="","",O103/INDEX('浓度设置'!$M$6:$M$46,MATCH(AA103,'浓度设置'!$A$6:$A$46,0)))</x:f>
        <x:v>0.0008432539682539683</x:v>
      </x:c>
      <x:c r="T103" s="9" t="n">
        <x:f>IF(AB103="","",P103/INDEX('浓度设置'!$M$6:$M$46,MATCH(AB103,'浓度设置'!$A$6:$A$46,0)))</x:f>
        <x:v>89.5</x:v>
      </x:c>
      <x:c r="U103" s="9" t="n">
        <x:f>IF(Y103="","",M103*$AD103/1000)</x:f>
        <x:v>1122.3</x:v>
      </x:c>
      <x:c r="V103" s="9" t="n">
        <x:f>IF(Z103="","",N103*$AD103/1000)</x:f>
        <x:v>0.001</x:v>
      </x:c>
      <x:c r="W103" s="9" t="n">
        <x:f>IF(AA103="","",O103*$AD103/1000)</x:f>
        <x:v>0.0425</x:v>
      </x:c>
      <x:c r="X103" s="9" t="n">
        <x:f>IF(AB103="","",P103*$AD103/1000)</x:f>
        <x:v>32.22</x:v>
      </x:c>
      <x:c r="Y103" s="3" t="n">
        <x:v>79</x:v>
      </x:c>
      <x:c r="Z103" s="3" t="n">
        <x:v>105</x:v>
      </x:c>
      <x:c r="AA103" s="3" t="n">
        <x:v>126</x:v>
      </x:c>
      <x:c r="AB103" s="3" t="n">
        <x:v>232</x:v>
      </x:c>
      <x:c r="AC103" s="3" t="n">
        <x:v>4</x:v>
      </x:c>
      <x:c r="AD103" s="3" t="n">
        <x:f>'方案总览'!$B$5</x:f>
        <x:v>20</x:v>
      </x:c>
    </x:row>
    <x:row r="104" ht="24" customHeight="1">
      <x:c r="A104" s="3" t="str">
        <x:v>T099</x:v>
      </x:c>
      <x:c r="B104" s="3" t="str">
        <x:v>拟合</x:v>
      </x:c>
      <x:c r="C104" s="3" t="str">
        <x:v>C013</x:v>
      </x:c>
      <x:c r="D104" s="3" t="str"/>
      <x:c r="E104" s="3" t="str">
        <x:v>己醛</x:v>
      </x:c>
      <x:c r="F104" s="3" t="str">
        <x:v>丁酸乙酯</x:v>
      </x:c>
      <x:c r="G104" s="3" t="str">
        <x:v>戊酸</x:v>
      </x:c>
      <x:c r="H104" s="3" t="str">
        <x:v>己酸乙酯</x:v>
      </x:c>
      <x:c r="I104" s="3" t="str">
        <x:v>M</x:v>
      </x:c>
      <x:c r="J104" s="3" t="str">
        <x:v>H</x:v>
      </x:c>
      <x:c r="K104" s="3" t="str">
        <x:v>H</x:v>
      </x:c>
      <x:c r="L104" s="3" t="str">
        <x:v>H</x:v>
      </x:c>
      <x:c r="M104" s="9" t="n">
        <x:f>IF(Y104="","",INDEX('浓度设置'!$P$6:$R$46,MATCH(Y104,'浓度设置'!$A$6:$A$46,0),IF(I104="L",1,IF(I104="M",2,3))))</x:f>
        <x:v>729.4776350238574</x:v>
      </x:c>
      <x:c r="N104" s="9" t="n">
        <x:f>IF(Z104="","",INDEX('浓度设置'!$P$6:$R$46,MATCH(Z104,'浓度设置'!$A$6:$A$46,0),IF(J104="L",1,IF(J104="M",2,3))))</x:f>
        <x:v>1290235</x:v>
      </x:c>
      <x:c r="O104" s="9" t="n">
        <x:f>IF(AA104="","",INDEX('浓度设置'!$P$6:$R$46,MATCH(AA104,'浓度设置'!$A$6:$A$46,0),IF(K104="L",1,IF(K104="M",2,3))))</x:f>
        <x:v>62700</x:v>
      </x:c>
      <x:c r="P104" s="9" t="n">
        <x:f>IF(AB104="","",INDEX('浓度设置'!$P$6:$R$46,MATCH(AB104,'浓度设置'!$A$6:$A$46,0),IF(L104="L",1,IF(L104="M",2,3))))</x:f>
        <x:v>9622120</x:v>
      </x:c>
      <x:c r="Q104" s="9" t="n">
        <x:f>IF(Y104="","",M104/INDEX('浓度设置'!$M$6:$M$46,MATCH(Y104,'浓度设置'!$A$6:$A$46,0)))</x:f>
        <x:v>28.606966079366956</x:v>
      </x:c>
      <x:c r="R104" s="9" t="n">
        <x:f>IF(Z104="","",N104/INDEX('浓度设置'!$M$6:$M$46,MATCH(Z104,'浓度设置'!$A$6:$A$46,0)))</x:f>
        <x:v>15831.104294478528</x:v>
      </x:c>
      <x:c r="S104" s="9" t="n">
        <x:f>IF(AA104="","",O104/INDEX('浓度设置'!$M$6:$M$46,MATCH(AA104,'浓度设置'!$A$6:$A$46,0)))</x:f>
        <x:v>161.18251928020567</x:v>
      </x:c>
      <x:c r="T104" s="9" t="n">
        <x:f>IF(AB104="","",P104/INDEX('浓度设置'!$M$6:$M$46,MATCH(AB104,'浓度设置'!$A$6:$A$46,0)))</x:f>
        <x:v>173998.5533453888</x:v>
      </x:c>
      <x:c r="U104" s="9" t="n">
        <x:f>IF(Y104="","",M104*$AD104/1000)</x:f>
        <x:v>14.589552700477146</x:v>
      </x:c>
      <x:c r="V104" s="9" t="n">
        <x:f>IF(Z104="","",N104*$AD104/1000)</x:f>
        <x:v>25804.7</x:v>
      </x:c>
      <x:c r="W104" s="9" t="n">
        <x:f>IF(AA104="","",O104*$AD104/1000)</x:f>
        <x:v>1254</x:v>
      </x:c>
      <x:c r="X104" s="9" t="n">
        <x:f>IF(AB104="","",P104*$AD104/1000)</x:f>
        <x:v>192442.4</x:v>
      </x:c>
      <x:c r="Y104" s="3" t="n">
        <x:v>7</x:v>
      </x:c>
      <x:c r="Z104" s="3" t="n">
        <x:v>52</x:v>
      </x:c>
      <x:c r="AA104" s="3" t="n">
        <x:v>75</x:v>
      </x:c>
      <x:c r="AB104" s="3" t="n">
        <x:v>111</x:v>
      </x:c>
      <x:c r="AC104" s="3" t="n">
        <x:v>4</x:v>
      </x:c>
      <x:c r="AD104" s="3" t="n">
        <x:f>'方案总览'!$B$5</x:f>
        <x:v>20</x:v>
      </x:c>
    </x:row>
    <x:row r="105" ht="24" customHeight="1">
      <x:c r="A105" s="3" t="str">
        <x:v>T100</x:v>
      </x:c>
      <x:c r="B105" s="3" t="str">
        <x:v>拟合</x:v>
      </x:c>
      <x:c r="C105" s="3" t="str">
        <x:v>C014</x:v>
      </x:c>
      <x:c r="D105" s="3" t="str"/>
      <x:c r="E105" s="3" t="str">
        <x:v>2-甲基丙醛</x:v>
      </x:c>
      <x:c r="F105" s="3" t="str">
        <x:v>苯乙酸乙酯</x:v>
      </x:c>
      <x:c r="G105" s="3" t="str">
        <x:v>异戊酸/3-甲基丁酸</x:v>
      </x:c>
      <x:c r="H105" s="3" t="str">
        <x:v>二甲基三硫醚</x:v>
      </x:c>
      <x:c r="I105" s="3" t="str">
        <x:v>L</x:v>
      </x:c>
      <x:c r="J105" s="3" t="str">
        <x:v>L</x:v>
      </x:c>
      <x:c r="K105" s="3" t="str">
        <x:v>H</x:v>
      </x:c>
      <x:c r="L105" s="3" t="str">
        <x:v>L</x:v>
      </x:c>
      <x:c r="M105" s="9" t="n">
        <x:f>IF(Y105="","",INDEX('浓度设置'!$P$6:$R$46,MATCH(Y105,'浓度设置'!$A$6:$A$46,0),IF(I105="L",1,IF(I105="M",2,3))))</x:f>
        <x:v>39</x:v>
      </x:c>
      <x:c r="N105" s="9" t="n">
        <x:f>IF(Z105="","",INDEX('浓度设置'!$P$6:$R$46,MATCH(Z105,'浓度设置'!$A$6:$A$46,0),IF(J105="L",1,IF(J105="M",2,3))))</x:f>
        <x:v>1.875</x:v>
      </x:c>
      <x:c r="O105" s="9" t="n">
        <x:f>IF(AA105="","",INDEX('浓度设置'!$P$6:$R$46,MATCH(AA105,'浓度设置'!$A$6:$A$46,0),IF(K105="L",1,IF(K105="M",2,3))))</x:f>
        <x:v>44000</x:v>
      </x:c>
      <x:c r="P105" s="9" t="n">
        <x:f>IF(AB105="","",INDEX('浓度设置'!$P$6:$R$46,MATCH(AB105,'浓度设置'!$A$6:$A$46,0),IF(L105="L",1,IF(L105="M",2,3))))</x:f>
        <x:v>0.28</x:v>
      </x:c>
      <x:c r="Q105" s="9" t="n">
        <x:f>IF(Y105="","",M105/INDEX('浓度设置'!$M$6:$M$46,MATCH(Y105,'浓度设置'!$A$6:$A$46,0)))</x:f>
        <x:v>6.610169491525423</x:v>
      </x:c>
      <x:c r="R105" s="9" t="n">
        <x:f>IF(Z105="","",N105/INDEX('浓度设置'!$M$6:$M$46,MATCH(Z105,'浓度设置'!$A$6:$A$46,0)))</x:f>
        <x:v>0.004606879606879607</x:v>
      </x:c>
      <x:c r="S105" s="9" t="n">
        <x:f>IF(AA105="","",O105/INDEX('浓度设置'!$M$6:$M$46,MATCH(AA105,'浓度设置'!$A$6:$A$46,0)))</x:f>
        <x:v>41.904761904761905</x:v>
      </x:c>
      <x:c r="T105" s="9" t="n">
        <x:f>IF(AB105="","",P105/INDEX('浓度设置'!$M$6:$M$46,MATCH(AB105,'浓度设置'!$A$6:$A$46,0)))</x:f>
        <x:v>0.7777777777777779</x:v>
      </x:c>
      <x:c r="U105" s="9" t="n">
        <x:f>IF(Y105="","",M105*$AD105/1000)</x:f>
        <x:v>0.78</x:v>
      </x:c>
      <x:c r="V105" s="9" t="n">
        <x:f>IF(Z105="","",N105*$AD105/1000)</x:f>
        <x:v>0.0375</x:v>
      </x:c>
      <x:c r="W105" s="9" t="n">
        <x:f>IF(AA105="","",O105*$AD105/1000)</x:f>
        <x:v>880</x:v>
      </x:c>
      <x:c r="X105" s="9" t="n">
        <x:f>IF(AB105="","",P105*$AD105/1000)</x:f>
        <x:v>0.005600000000000001</x:v>
      </x:c>
      <x:c r="Y105" s="3" t="n">
        <x:v>18</x:v>
      </x:c>
      <x:c r="Z105" s="3" t="n">
        <x:v>40</x:v>
      </x:c>
      <x:c r="AA105" s="3" t="n">
        <x:v>136</x:v>
      </x:c>
      <x:c r="AB105" s="3" t="n">
        <x:v>209</x:v>
      </x:c>
      <x:c r="AC105" s="3" t="n">
        <x:v>4</x:v>
      </x:c>
      <x:c r="AD105" s="3" t="n">
        <x:f>'方案总览'!$B$5</x:f>
        <x:v>20</x:v>
      </x:c>
    </x:row>
    <x:row r="106" ht="24" customHeight="1">
      <x:c r="A106" s="3" t="str">
        <x:v>T101</x:v>
      </x:c>
      <x:c r="B106" s="3" t="str">
        <x:v>拟合</x:v>
      </x:c>
      <x:c r="C106" s="3" t="str">
        <x:v>C015</x:v>
      </x:c>
      <x:c r="D106" s="3" t="str"/>
      <x:c r="E106" s="3" t="str">
        <x:v>异丁酸乙酯</x:v>
      </x:c>
      <x:c r="F106" s="3" t="str">
        <x:v>乙酸丁酯</x:v>
      </x:c>
      <x:c r="G106" s="3" t="str">
        <x:v>异戊酸/3-甲基丁酸</x:v>
      </x:c>
      <x:c r="H106" s="3" t="str">
        <x:v>3-苯基丙酸乙酯</x:v>
      </x:c>
      <x:c r="I106" s="3" t="str">
        <x:v>L</x:v>
      </x:c>
      <x:c r="J106" s="3" t="str">
        <x:v>H</x:v>
      </x:c>
      <x:c r="K106" s="3" t="str">
        <x:v>M</x:v>
      </x:c>
      <x:c r="L106" s="3" t="str">
        <x:v>M</x:v>
      </x:c>
      <x:c r="M106" s="9" t="n">
        <x:f>IF(Y106="","",INDEX('浓度设置'!$P$6:$R$46,MATCH(Y106,'浓度设置'!$A$6:$A$46,0),IF(I106="L",1,IF(I106="M",2,3))))</x:f>
        <x:v>18.68</x:v>
      </x:c>
      <x:c r="N106" s="9" t="n">
        <x:f>IF(Z106="","",INDEX('浓度设置'!$P$6:$R$46,MATCH(Z106,'浓度设置'!$A$6:$A$46,0),IF(J106="L",1,IF(J106="M",2,3))))</x:f>
        <x:v>47100</x:v>
      </x:c>
      <x:c r="O106" s="9" t="n">
        <x:f>IF(AA106="","",INDEX('浓度设置'!$P$6:$R$46,MATCH(AA106,'浓度设置'!$A$6:$A$46,0),IF(K106="L",1,IF(K106="M",2,3))))</x:f>
        <x:v>228.58258901324922</x:v>
      </x:c>
      <x:c r="P106" s="9" t="n">
        <x:f>IF(AB106="","",INDEX('浓度设置'!$P$6:$R$46,MATCH(AB106,'浓度设置'!$A$6:$A$46,0),IF(L106="L",1,IF(L106="M",2,3))))</x:f>
        <x:v>4262.731518639193</x:v>
      </x:c>
      <x:c r="Q106" s="9" t="n">
        <x:f>IF(Y106="","",M106/INDEX('浓度设置'!$M$6:$M$46,MATCH(Y106,'浓度设置'!$A$6:$A$46,0)))</x:f>
        <x:v>0.3248695652173913</x:v>
      </x:c>
      <x:c r="R106" s="9" t="n">
        <x:f>IF(Z106="","",N106/INDEX('浓度设置'!$M$6:$M$46,MATCH(Z106,'浓度设置'!$A$6:$A$46,0)))</x:f>
        <x:v>26.166666666666668</x:v>
      </x:c>
      <x:c r="S106" s="9" t="n">
        <x:f>IF(AA106="","",O106/INDEX('浓度设置'!$M$6:$M$46,MATCH(AA106,'浓度设置'!$A$6:$A$46,0)))</x:f>
        <x:v>0.21769770382214212</x:v>
      </x:c>
      <x:c r="T106" s="9" t="n">
        <x:f>IF(AB106="","",P106/INDEX('浓度设置'!$M$6:$M$46,MATCH(AB106,'浓度设置'!$A$6:$A$46,0)))</x:f>
        <x:v>34.10185214911355</x:v>
      </x:c>
      <x:c r="U106" s="9" t="n">
        <x:f>IF(Y106="","",M106*$AD106/1000)</x:f>
        <x:v>0.37360000000000004</x:v>
      </x:c>
      <x:c r="V106" s="9" t="n">
        <x:f>IF(Z106="","",N106*$AD106/1000)</x:f>
        <x:v>942</x:v>
      </x:c>
      <x:c r="W106" s="9" t="n">
        <x:f>IF(AA106="","",O106*$AD106/1000)</x:f>
        <x:v>4.571651780264984</x:v>
      </x:c>
      <x:c r="X106" s="9" t="n">
        <x:f>IF(AB106="","",P106*$AD106/1000)</x:f>
        <x:v>85.25463037278386</x:v>
      </x:c>
      <x:c r="Y106" s="3" t="n">
        <x:v>32</x:v>
      </x:c>
      <x:c r="Z106" s="3" t="n">
        <x:v>114</x:v>
      </x:c>
      <x:c r="AA106" s="3" t="n">
        <x:v>136</x:v>
      </x:c>
      <x:c r="AB106" s="3" t="n">
        <x:v>186</x:v>
      </x:c>
      <x:c r="AC106" s="3" t="n">
        <x:v>4</x:v>
      </x:c>
      <x:c r="AD106" s="3" t="n">
        <x:f>'方案总览'!$B$5</x:f>
        <x:v>20</x:v>
      </x:c>
    </x:row>
    <x:row r="107" ht="24" customHeight="1">
      <x:c r="A107" s="3" t="str">
        <x:v>T102</x:v>
      </x:c>
      <x:c r="B107" s="3" t="str">
        <x:v>拟合</x:v>
      </x:c>
      <x:c r="C107" s="3" t="str">
        <x:v>C016</x:v>
      </x:c>
      <x:c r="D107" s="3" t="str"/>
      <x:c r="E107" s="3" t="str">
        <x:v>己醛</x:v>
      </x:c>
      <x:c r="F107" s="3" t="str">
        <x:v>苯乙酸乙酯</x:v>
      </x:c>
      <x:c r="G107" s="3" t="str">
        <x:v>异戊醛</x:v>
      </x:c>
      <x:c r="H107" s="3" t="str">
        <x:v>1-辛烯-3-醇</x:v>
      </x:c>
      <x:c r="I107" s="3" t="str">
        <x:v>M</x:v>
      </x:c>
      <x:c r="J107" s="3" t="str">
        <x:v>L</x:v>
      </x:c>
      <x:c r="K107" s="3" t="str">
        <x:v>M</x:v>
      </x:c>
      <x:c r="L107" s="3" t="str">
        <x:v>H</x:v>
      </x:c>
      <x:c r="M107" s="9" t="n">
        <x:f>IF(Y107="","",INDEX('浓度设置'!$P$6:$R$46,MATCH(Y107,'浓度设置'!$A$6:$A$46,0),IF(I107="L",1,IF(I107="M",2,3))))</x:f>
        <x:v>729.4776350238574</x:v>
      </x:c>
      <x:c r="N107" s="9" t="n">
        <x:f>IF(Z107="","",INDEX('浓度设置'!$P$6:$R$46,MATCH(Z107,'浓度设置'!$A$6:$A$46,0),IF(J107="L",1,IF(J107="M",2,3))))</x:f>
        <x:v>1.875</x:v>
      </x:c>
      <x:c r="O107" s="9" t="n">
        <x:f>IF(AA107="","",INDEX('浓度设置'!$P$6:$R$46,MATCH(AA107,'浓度设置'!$A$6:$A$46,0),IF(K107="L",1,IF(K107="M",2,3))))</x:f>
        <x:v>1048.6410253275426</x:v>
      </x:c>
      <x:c r="P107" s="9" t="n">
        <x:f>IF(AB107="","",INDEX('浓度设置'!$P$6:$R$46,MATCH(AB107,'浓度设置'!$A$6:$A$46,0),IF(L107="L",1,IF(L107="M",2,3))))</x:f>
        <x:v>271.45</x:v>
      </x:c>
      <x:c r="Q107" s="9" t="n">
        <x:f>IF(Y107="","",M107/INDEX('浓度设置'!$M$6:$M$46,MATCH(Y107,'浓度设置'!$A$6:$A$46,0)))</x:f>
        <x:v>28.606966079366956</x:v>
      </x:c>
      <x:c r="R107" s="9" t="n">
        <x:f>IF(Z107="","",N107/INDEX('浓度设置'!$M$6:$M$46,MATCH(Z107,'浓度设置'!$A$6:$A$46,0)))</x:f>
        <x:v>0.004606879606879607</x:v>
      </x:c>
      <x:c r="S107" s="9" t="n">
        <x:f>IF(AA107="","",O107/INDEX('浓度设置'!$M$6:$M$46,MATCH(AA107,'浓度设置'!$A$6:$A$46,0)))</x:f>
        <x:v>63.554001535002584</x:v>
      </x:c>
      <x:c r="T107" s="9" t="n">
        <x:f>IF(AB107="","",P107/INDEX('浓度设置'!$M$6:$M$46,MATCH(AB107,'浓度设置'!$A$6:$A$46,0)))</x:f>
        <x:v>44.35457516339869</x:v>
      </x:c>
      <x:c r="U107" s="9" t="n">
        <x:f>IF(Y107="","",M107*$AD107/1000)</x:f>
        <x:v>14.589552700477146</x:v>
      </x:c>
      <x:c r="V107" s="9" t="n">
        <x:f>IF(Z107="","",N107*$AD107/1000)</x:f>
        <x:v>0.0375</x:v>
      </x:c>
      <x:c r="W107" s="9" t="n">
        <x:f>IF(AA107="","",O107*$AD107/1000)</x:f>
        <x:v>20.972820506550853</x:v>
      </x:c>
      <x:c r="X107" s="9" t="n">
        <x:f>IF(AB107="","",P107*$AD107/1000)</x:f>
        <x:v>5.429</x:v>
      </x:c>
      <x:c r="Y107" s="3" t="n">
        <x:v>7</x:v>
      </x:c>
      <x:c r="Z107" s="3" t="n">
        <x:v>40</x:v>
      </x:c>
      <x:c r="AA107" s="3" t="n">
        <x:v>152</x:v>
      </x:c>
      <x:c r="AB107" s="3" t="n">
        <x:v>207</x:v>
      </x:c>
      <x:c r="AC107" s="3" t="n">
        <x:v>4</x:v>
      </x:c>
      <x:c r="AD107" s="3" t="n">
        <x:f>'方案总览'!$B$5</x:f>
        <x:v>20</x:v>
      </x:c>
    </x:row>
    <x:row r="108" ht="24" customHeight="1">
      <x:c r="A108" s="3" t="str">
        <x:v>T103</x:v>
      </x:c>
      <x:c r="B108" s="3" t="str">
        <x:v>拟合</x:v>
      </x:c>
      <x:c r="C108" s="3" t="str">
        <x:v>C017</x:v>
      </x:c>
      <x:c r="D108" s="3" t="str"/>
      <x:c r="E108" s="3" t="str">
        <x:v>1-丁醇</x:v>
      </x:c>
      <x:c r="F108" s="3" t="str">
        <x:v>乙醛二乙缩醛</x:v>
      </x:c>
      <x:c r="G108" s="3" t="str">
        <x:v>苯乙醛</x:v>
      </x:c>
      <x:c r="H108" s="3" t="str">
        <x:v>乙酸异戊酯</x:v>
      </x:c>
      <x:c r="I108" s="3" t="str">
        <x:v>L</x:v>
      </x:c>
      <x:c r="J108" s="3" t="str">
        <x:v>L</x:v>
      </x:c>
      <x:c r="K108" s="3" t="str">
        <x:v>L</x:v>
      </x:c>
      <x:c r="L108" s="3" t="str">
        <x:v>H</x:v>
      </x:c>
      <x:c r="M108" s="9" t="n">
        <x:f>IF(Y108="","",INDEX('浓度设置'!$P$6:$R$46,MATCH(Y108,'浓度设置'!$A$6:$A$46,0),IF(I108="L",1,IF(I108="M",2,3))))</x:f>
        <x:v>16.97</x:v>
      </x:c>
      <x:c r="N108" s="9" t="n">
        <x:f>IF(Z108="","",INDEX('浓度设置'!$P$6:$R$46,MATCH(Z108,'浓度设置'!$A$6:$A$46,0),IF(J108="L",1,IF(J108="M",2,3))))</x:f>
        <x:v>9.61</x:v>
      </x:c>
      <x:c r="O108" s="9" t="n">
        <x:f>IF(AA108="","",INDEX('浓度设置'!$P$6:$R$46,MATCH(AA108,'浓度设置'!$A$6:$A$46,0),IF(K108="L",1,IF(K108="M",2,3))))</x:f>
        <x:v>0.05</x:v>
      </x:c>
      <x:c r="P108" s="9" t="n">
        <x:f>IF(AB108="","",INDEX('浓度设置'!$P$6:$R$46,MATCH(AB108,'浓度设置'!$A$6:$A$46,0),IF(L108="L",1,IF(L108="M",2,3))))</x:f>
        <x:v>6516</x:v>
      </x:c>
      <x:c r="Q108" s="9" t="n">
        <x:f>IF(Y108="","",M108/INDEX('浓度设置'!$M$6:$M$46,MATCH(Y108,'浓度设置'!$A$6:$A$46,0)))</x:f>
        <x:v>0.006209293816319063</x:v>
      </x:c>
      <x:c r="R108" s="9" t="n">
        <x:f>IF(Z108="","",N108/INDEX('浓度设置'!$M$6:$M$46,MATCH(Z108,'浓度设置'!$A$6:$A$46,0)))</x:f>
        <x:v>0.004598086124401914</x:v>
      </x:c>
      <x:c r="S108" s="9" t="n">
        <x:f>IF(AA108="","",O108/INDEX('浓度设置'!$M$6:$M$46,MATCH(AA108,'浓度设置'!$A$6:$A$46,0)))</x:f>
        <x:v>0.00019083969465648855</x:v>
      </x:c>
      <x:c r="T108" s="9" t="n">
        <x:f>IF(AB108="","",P108/INDEX('浓度设置'!$M$6:$M$46,MATCH(AB108,'浓度设置'!$A$6:$A$46,0)))</x:f>
        <x:v>69.39297124600638</x:v>
      </x:c>
      <x:c r="U108" s="9" t="n">
        <x:f>IF(Y108="","",M108*$AD108/1000)</x:f>
        <x:v>0.3394</x:v>
      </x:c>
      <x:c r="V108" s="9" t="n">
        <x:f>IF(Z108="","",N108*$AD108/1000)</x:f>
        <x:v>0.19219999999999998</x:v>
      </x:c>
      <x:c r="W108" s="9" t="n">
        <x:f>IF(AA108="","",O108*$AD108/1000)</x:f>
        <x:v>0.001</x:v>
      </x:c>
      <x:c r="X108" s="9" t="n">
        <x:f>IF(AB108="","",P108*$AD108/1000)</x:f>
        <x:v>130.32</x:v>
      </x:c>
      <x:c r="Y108" s="3" t="n">
        <x:v>11</x:v>
      </x:c>
      <x:c r="Z108" s="3" t="n">
        <x:v>53</x:v>
      </x:c>
      <x:c r="AA108" s="3" t="n">
        <x:v>105</x:v>
      </x:c>
      <x:c r="AB108" s="3" t="n">
        <x:v>115</x:v>
      </x:c>
      <x:c r="AC108" s="3" t="n">
        <x:v>4</x:v>
      </x:c>
      <x:c r="AD108" s="3" t="n">
        <x:f>'方案总览'!$B$5</x:f>
        <x:v>20</x:v>
      </x:c>
    </x:row>
    <x:row r="109" ht="24" customHeight="1">
      <x:c r="A109" s="3" t="str">
        <x:v>T104</x:v>
      </x:c>
      <x:c r="B109" s="3" t="str">
        <x:v>拟合</x:v>
      </x:c>
      <x:c r="C109" s="3" t="str">
        <x:v>C018</x:v>
      </x:c>
      <x:c r="D109" s="3" t="str"/>
      <x:c r="E109" s="3" t="str">
        <x:v>丁酸异戊酯</x:v>
      </x:c>
      <x:c r="F109" s="3" t="str">
        <x:v>己酸</x:v>
      </x:c>
      <x:c r="G109" s="3" t="str">
        <x:v>戊酸乙酯</x:v>
      </x:c>
      <x:c r="H109" s="3" t="str">
        <x:v>二甲基三硫醚</x:v>
      </x:c>
      <x:c r="I109" s="3" t="str">
        <x:v>H</x:v>
      </x:c>
      <x:c r="J109" s="3" t="str">
        <x:v>H</x:v>
      </x:c>
      <x:c r="K109" s="3" t="str">
        <x:v>M</x:v>
      </x:c>
      <x:c r="L109" s="3" t="str">
        <x:v>L</x:v>
      </x:c>
      <x:c r="M109" s="9" t="n">
        <x:f>IF(Y109="","",INDEX('浓度设置'!$P$6:$R$46,MATCH(Y109,'浓度设置'!$A$6:$A$46,0),IF(I109="L",1,IF(I109="M",2,3))))</x:f>
        <x:v>4105</x:v>
      </x:c>
      <x:c r="N109" s="9" t="n">
        <x:f>IF(Z109="","",INDEX('浓度设置'!$P$6:$R$46,MATCH(Z109,'浓度设置'!$A$6:$A$46,0),IF(J109="L",1,IF(J109="M",2,3))))</x:f>
        <x:v>1551340.76</x:v>
      </x:c>
      <x:c r="O109" s="9" t="n">
        <x:f>IF(AA109="","",INDEX('浓度设置'!$P$6:$R$46,MATCH(AA109,'浓度设置'!$A$6:$A$46,0),IF(K109="L",1,IF(K109="M",2,3))))</x:f>
        <x:v>1512.497272724814</x:v>
      </x:c>
      <x:c r="P109" s="9" t="n">
        <x:f>IF(AB109="","",INDEX('浓度设置'!$P$6:$R$46,MATCH(AB109,'浓度设置'!$A$6:$A$46,0),IF(L109="L",1,IF(L109="M",2,3))))</x:f>
        <x:v>0.28</x:v>
      </x:c>
      <x:c r="Q109" s="9" t="n">
        <x:f>IF(Y109="","",M109/INDEX('浓度设置'!$M$6:$M$46,MATCH(Y109,'浓度设置'!$A$6:$A$46,0)))</x:f>
        <x:v>4.4863387978142075</x:v>
      </x:c>
      <x:c r="R109" s="9" t="n">
        <x:f>IF(Z109="","",N109/INDEX('浓度设置'!$M$6:$M$46,MATCH(Z109,'浓度设置'!$A$6:$A$46,0)))</x:f>
        <x:v>615.6114126984127</x:v>
      </x:c>
      <x:c r="S109" s="9" t="n">
        <x:f>IF(AA109="","",O109/INDEX('浓度设置'!$M$6:$M$46,MATCH(AA109,'浓度设置'!$A$6:$A$46,0)))</x:f>
        <x:v>56.43646540017962</x:v>
      </x:c>
      <x:c r="T109" s="9" t="n">
        <x:f>IF(AB109="","",P109/INDEX('浓度设置'!$M$6:$M$46,MATCH(AB109,'浓度设置'!$A$6:$A$46,0)))</x:f>
        <x:v>0.7777777777777779</x:v>
      </x:c>
      <x:c r="U109" s="9" t="n">
        <x:f>IF(Y109="","",M109*$AD109/1000)</x:f>
        <x:v>82.1</x:v>
      </x:c>
      <x:c r="V109" s="9" t="n">
        <x:f>IF(Z109="","",N109*$AD109/1000)</x:f>
        <x:v>31026.8152</x:v>
      </x:c>
      <x:c r="W109" s="9" t="n">
        <x:f>IF(AA109="","",O109*$AD109/1000)</x:f>
        <x:v>30.249945454496277</x:v>
      </x:c>
      <x:c r="X109" s="9" t="n">
        <x:f>IF(AB109="","",P109*$AD109/1000)</x:f>
        <x:v>0.005600000000000001</x:v>
      </x:c>
      <x:c r="Y109" s="3" t="n">
        <x:v>56</x:v>
      </x:c>
      <x:c r="Z109" s="3" t="n">
        <x:v>126</x:v>
      </x:c>
      <x:c r="AA109" s="3" t="n">
        <x:v>141</x:v>
      </x:c>
      <x:c r="AB109" s="3" t="n">
        <x:v>209</x:v>
      </x:c>
      <x:c r="AC109" s="3" t="n">
        <x:v>4</x:v>
      </x:c>
      <x:c r="AD109" s="3" t="n">
        <x:f>'方案总览'!$B$5</x:f>
        <x:v>20</x:v>
      </x:c>
    </x:row>
    <x:row r="110" ht="24" customHeight="1">
      <x:c r="A110" s="3" t="str">
        <x:v>T105</x:v>
      </x:c>
      <x:c r="B110" s="3" t="str">
        <x:v>拟合</x:v>
      </x:c>
      <x:c r="C110" s="3" t="str">
        <x:v>C019</x:v>
      </x:c>
      <x:c r="D110" s="3" t="str"/>
      <x:c r="E110" s="3" t="str">
        <x:v>丁酸乙酯</x:v>
      </x:c>
      <x:c r="F110" s="3" t="str">
        <x:v>对甲酚</x:v>
      </x:c>
      <x:c r="G110" s="3" t="str">
        <x:v>异戊酸乙酯（3-甲基丁酸乙酯）</x:v>
      </x:c>
      <x:c r="H110" s="3" t="str">
        <x:v>3-苯基丙酸乙酯</x:v>
      </x:c>
      <x:c r="I110" s="3" t="str">
        <x:v>L</x:v>
      </x:c>
      <x:c r="J110" s="3" t="str">
        <x:v>L</x:v>
      </x:c>
      <x:c r="K110" s="3" t="str">
        <x:v>L</x:v>
      </x:c>
      <x:c r="L110" s="3" t="str">
        <x:v>L</x:v>
      </x:c>
      <x:c r="M110" s="9" t="n">
        <x:f>IF(Y110="","",INDEX('浓度设置'!$P$6:$R$46,MATCH(Y110,'浓度设置'!$A$6:$A$46,0),IF(I110="L",1,IF(I110="M",2,3))))</x:f>
        <x:v>4.24</x:v>
      </x:c>
      <x:c r="N110" s="9" t="n">
        <x:f>IF(Z110="","",INDEX('浓度设置'!$P$6:$R$46,MATCH(Z110,'浓度设置'!$A$6:$A$46,0),IF(J110="L",1,IF(J110="M",2,3))))</x:f>
        <x:v>0.51</x:v>
      </x:c>
      <x:c r="O110" s="9" t="n">
        <x:f>IF(AA110="","",INDEX('浓度设置'!$P$6:$R$46,MATCH(AA110,'浓度设置'!$A$6:$A$46,0),IF(K110="L",1,IF(K110="M",2,3))))</x:f>
        <x:v>0.83</x:v>
      </x:c>
      <x:c r="P110" s="9" t="n">
        <x:f>IF(AB110="","",INDEX('浓度设置'!$P$6:$R$46,MATCH(AB110,'浓度设置'!$A$6:$A$46,0),IF(L110="L",1,IF(L110="M",2,3))))</x:f>
        <x:v>1.56</x:v>
      </x:c>
      <x:c r="Q110" s="9" t="n">
        <x:f>IF(Y110="","",M110/INDEX('浓度设置'!$M$6:$M$46,MATCH(Y110,'浓度设置'!$A$6:$A$46,0)))</x:f>
        <x:v>0.052024539877300616</x:v>
      </x:c>
      <x:c r="R110" s="9" t="n">
        <x:f>IF(Z110="","",N110/INDEX('浓度设置'!$M$6:$M$46,MATCH(Z110,'浓度设置'!$A$6:$A$46,0)))</x:f>
        <x:v>0.003053892215568862</x:v>
      </x:c>
      <x:c r="S110" s="9" t="n">
        <x:f>IF(AA110="","",O110/INDEX('浓度设置'!$M$6:$M$46,MATCH(AA110,'浓度设置'!$A$6:$A$46,0)))</x:f>
        <x:v>0.1204644412191582</x:v>
      </x:c>
      <x:c r="T110" s="9" t="n">
        <x:f>IF(AB110="","",P110/INDEX('浓度设置'!$M$6:$M$46,MATCH(AB110,'浓度设置'!$A$6:$A$46,0)))</x:f>
        <x:v>0.01248</x:v>
      </x:c>
      <x:c r="U110" s="9" t="n">
        <x:f>IF(Y110="","",M110*$AD110/1000)</x:f>
        <x:v>0.08480000000000001</x:v>
      </x:c>
      <x:c r="V110" s="9" t="n">
        <x:f>IF(Z110="","",N110*$AD110/1000)</x:f>
        <x:v>0.010199999999999999</x:v>
      </x:c>
      <x:c r="W110" s="9" t="n">
        <x:f>IF(AA110="","",O110*$AD110/1000)</x:f>
        <x:v>0.016599999999999997</x:v>
      </x:c>
      <x:c r="X110" s="9" t="n">
        <x:f>IF(AB110="","",P110*$AD110/1000)</x:f>
        <x:v>0.031200000000000002</x:v>
      </x:c>
      <x:c r="Y110" s="3" t="n">
        <x:v>52</x:v>
      </x:c>
      <x:c r="Z110" s="3" t="n">
        <x:v>61</x:v>
      </x:c>
      <x:c r="AA110" s="3" t="n">
        <x:v>69</x:v>
      </x:c>
      <x:c r="AB110" s="3" t="n">
        <x:v>186</x:v>
      </x:c>
      <x:c r="AC110" s="3" t="n">
        <x:v>4</x:v>
      </x:c>
      <x:c r="AD110" s="3" t="n">
        <x:f>'方案总览'!$B$5</x:f>
        <x:v>20</x:v>
      </x:c>
    </x:row>
    <x:row r="111" ht="24" customHeight="1">
      <x:c r="A111" s="3" t="str">
        <x:v>T106</x:v>
      </x:c>
      <x:c r="B111" s="3" t="str">
        <x:v>拟合</x:v>
      </x:c>
      <x:c r="C111" s="3" t="str">
        <x:v>C020</x:v>
      </x:c>
      <x:c r="D111" s="3" t="str"/>
      <x:c r="E111" s="3" t="str">
        <x:v>2-甲基丙醛</x:v>
      </x:c>
      <x:c r="F111" s="3" t="str">
        <x:v>乙酸丁酯</x:v>
      </x:c>
      <x:c r="G111" s="3" t="str">
        <x:v>辛酸</x:v>
      </x:c>
      <x:c r="H111" s="3" t="str">
        <x:v>2-甲基丁酸乙酯</x:v>
      </x:c>
      <x:c r="I111" s="3" t="str">
        <x:v>M</x:v>
      </x:c>
      <x:c r="J111" s="3" t="str">
        <x:v>M</x:v>
      </x:c>
      <x:c r="K111" s="3" t="str">
        <x:v>H</x:v>
      </x:c>
      <x:c r="L111" s="3" t="str">
        <x:v>M</x:v>
      </x:c>
      <x:c r="M111" s="9" t="n">
        <x:f>IF(Y111="","",INDEX('浓度设置'!$P$6:$R$46,MATCH(Y111,'浓度设置'!$A$6:$A$46,0),IF(I111="L",1,IF(I111="M",2,3))))</x:f>
        <x:v>1183.2582135780847</x:v>
      </x:c>
      <x:c r="N111" s="9" t="n">
        <x:f>IF(Z111="","",INDEX('浓度设置'!$P$6:$R$46,MATCH(Z111,'浓度设置'!$A$6:$A$46,0),IF(J111="L",1,IF(J111="M",2,3))))</x:f>
        <x:v>3147.945</x:v>
      </x:c>
      <x:c r="O111" s="9" t="n">
        <x:f>IF(AA111="","",INDEX('浓度设置'!$P$6:$R$46,MATCH(AA111,'浓度设置'!$A$6:$A$46,0),IF(K111="L",1,IF(K111="M",2,3))))</x:f>
        <x:v>40201.1</x:v>
      </x:c>
      <x:c r="P111" s="9" t="n">
        <x:f>IF(AB111="","",INDEX('浓度设置'!$P$6:$R$46,MATCH(AB111,'浓度设置'!$A$6:$A$46,0),IF(L111="L",1,IF(L111="M",2,3))))</x:f>
        <x:v>39.53062104242735</x:v>
      </x:c>
      <x:c r="Q111" s="9" t="n">
        <x:f>IF(Y111="","",M111/INDEX('浓度设置'!$M$6:$M$46,MATCH(Y111,'浓度设置'!$A$6:$A$46,0)))</x:f>
        <x:v>200.55223958950586</x:v>
      </x:c>
      <x:c r="R111" s="9" t="n">
        <x:f>IF(Z111="","",N111/INDEX('浓度设置'!$M$6:$M$46,MATCH(Z111,'浓度设置'!$A$6:$A$46,0)))</x:f>
        <x:v>1.7488583333333334</x:v>
      </x:c>
      <x:c r="S111" s="9" t="n">
        <x:f>IF(AA111="","",O111/INDEX('浓度设置'!$M$6:$M$46,MATCH(AA111,'浓度设置'!$A$6:$A$46,0)))</x:f>
        <x:v>14.889296296296296</x:v>
      </x:c>
      <x:c r="T111" s="9" t="n">
        <x:f>IF(AB111="","",P111/INDEX('浓度设置'!$M$6:$M$46,MATCH(AB111,'浓度设置'!$A$6:$A$46,0)))</x:f>
        <x:v>2.196145613468186</x:v>
      </x:c>
      <x:c r="U111" s="9" t="n">
        <x:f>IF(Y111="","",M111*$AD111/1000)</x:f>
        <x:v>23.665164271561693</x:v>
      </x:c>
      <x:c r="V111" s="9" t="n">
        <x:f>IF(Z111="","",N111*$AD111/1000)</x:f>
        <x:v>62.9589</x:v>
      </x:c>
      <x:c r="W111" s="9" t="n">
        <x:f>IF(AA111="","",O111*$AD111/1000)</x:f>
        <x:v>804.022</x:v>
      </x:c>
      <x:c r="X111" s="9" t="n">
        <x:f>IF(AB111="","",P111*$AD111/1000)</x:f>
        <x:v>0.790612420848547</x:v>
      </x:c>
      <x:c r="Y111" s="3" t="n">
        <x:v>18</x:v>
      </x:c>
      <x:c r="Z111" s="3" t="n">
        <x:v>114</x:v>
      </x:c>
      <x:c r="AA111" s="3" t="n">
        <x:v>117</x:v>
      </x:c>
      <x:c r="AB111" s="3" t="n">
        <x:v>232</x:v>
      </x:c>
      <x:c r="AC111" s="3" t="n">
        <x:v>4</x:v>
      </x:c>
      <x:c r="AD111" s="3" t="n">
        <x:f>'方案总览'!$B$5</x:f>
        <x:v>20</x:v>
      </x:c>
    </x:row>
    <x:row r="112" ht="24" customHeight="1">
      <x:c r="A112" s="3" t="str">
        <x:v>T107</x:v>
      </x:c>
      <x:c r="B112" s="3" t="str">
        <x:v>拟合</x:v>
      </x:c>
      <x:c r="C112" s="3" t="str">
        <x:v>C021</x:v>
      </x:c>
      <x:c r="D112" s="3" t="str"/>
      <x:c r="E112" s="3" t="str">
        <x:v>戊酸</x:v>
      </x:c>
      <x:c r="F112" s="3" t="str">
        <x:v>己酸丁酯</x:v>
      </x:c>
      <x:c r="G112" s="3" t="str">
        <x:v>己酸己酯</x:v>
      </x:c>
      <x:c r="H112" s="3" t="str">
        <x:v>β-大马酮</x:v>
      </x:c>
      <x:c r="I112" s="3" t="str">
        <x:v>H</x:v>
      </x:c>
      <x:c r="J112" s="3" t="str">
        <x:v>H</x:v>
      </x:c>
      <x:c r="K112" s="3" t="str">
        <x:v>H</x:v>
      </x:c>
      <x:c r="L112" s="3" t="str">
        <x:v>H</x:v>
      </x:c>
      <x:c r="M112" s="9" t="n">
        <x:f>IF(Y112="","",INDEX('浓度设置'!$P$6:$R$46,MATCH(Y112,'浓度设置'!$A$6:$A$46,0),IF(I112="L",1,IF(I112="M",2,3))))</x:f>
        <x:v>62700</x:v>
      </x:c>
      <x:c r="N112" s="9" t="n">
        <x:f>IF(Z112="","",INDEX('浓度设置'!$P$6:$R$46,MATCH(Z112,'浓度设置'!$A$6:$A$46,0),IF(J112="L",1,IF(J112="M",2,3))))</x:f>
        <x:v>86300</x:v>
      </x:c>
      <x:c r="O112" s="9" t="n">
        <x:f>IF(AA112="","",INDEX('浓度设置'!$P$6:$R$46,MATCH(AA112,'浓度设置'!$A$6:$A$46,0),IF(K112="L",1,IF(K112="M",2,3))))</x:f>
        <x:v>193759</x:v>
      </x:c>
      <x:c r="P112" s="9" t="n">
        <x:f>IF(AB112="","",INDEX('浓度设置'!$P$6:$R$46,MATCH(AB112,'浓度设置'!$A$6:$A$46,0),IF(L112="L",1,IF(L112="M",2,3))))</x:f>
        <x:v>60.76</x:v>
      </x:c>
      <x:c r="Q112" s="9" t="n">
        <x:f>IF(Y112="","",M112/INDEX('浓度设置'!$M$6:$M$46,MATCH(Y112,'浓度设置'!$A$6:$A$46,0)))</x:f>
        <x:v>161.18251928020567</x:v>
      </x:c>
      <x:c r="R112" s="9" t="n">
        <x:f>IF(Z112="","",N112/INDEX('浓度设置'!$M$6:$M$46,MATCH(Z112,'浓度设置'!$A$6:$A$46,0)))</x:f>
        <x:v>127.31618080963058</x:v>
      </x:c>
      <x:c r="S112" s="9" t="n">
        <x:f>IF(AA112="","",O112/INDEX('浓度设置'!$M$6:$M$46,MATCH(AA112,'浓度设置'!$A$6:$A$46,0)))</x:f>
        <x:v>102.46377578001058</x:v>
      </x:c>
      <x:c r="T112" s="9" t="n">
        <x:f>IF(AB112="","",P112/INDEX('浓度设置'!$M$6:$M$46,MATCH(AB112,'浓度设置'!$A$6:$A$46,0)))</x:f>
        <x:v>506.3333333333333</x:v>
      </x:c>
      <x:c r="U112" s="9" t="n">
        <x:f>IF(Y112="","",M112*$AD112/1000)</x:f>
        <x:v>1254</x:v>
      </x:c>
      <x:c r="V112" s="9" t="n">
        <x:f>IF(Z112="","",N112*$AD112/1000)</x:f>
        <x:v>1726</x:v>
      </x:c>
      <x:c r="W112" s="9" t="n">
        <x:f>IF(AA112="","",O112*$AD112/1000)</x:f>
        <x:v>3875.18</x:v>
      </x:c>
      <x:c r="X112" s="9" t="n">
        <x:f>IF(AB112="","",P112*$AD112/1000)</x:f>
        <x:v>1.2152</x:v>
      </x:c>
      <x:c r="Y112" s="3" t="n">
        <x:v>75</x:v>
      </x:c>
      <x:c r="Z112" s="3" t="n">
        <x:v>165</x:v>
      </x:c>
      <x:c r="AA112" s="3" t="n">
        <x:v>227</x:v>
      </x:c>
      <x:c r="AB112" s="3" t="n">
        <x:v>255</x:v>
      </x:c>
      <x:c r="AC112" s="3" t="n">
        <x:v>4</x:v>
      </x:c>
      <x:c r="AD112" s="3" t="n">
        <x:f>'方案总览'!$B$5</x:f>
        <x:v>20</x:v>
      </x:c>
    </x:row>
    <x:row r="113" ht="24" customHeight="1">
      <x:c r="A113" s="3" t="str">
        <x:v>T108</x:v>
      </x:c>
      <x:c r="B113" s="3" t="str">
        <x:v>拟合</x:v>
      </x:c>
      <x:c r="C113" s="3" t="str">
        <x:v>C022</x:v>
      </x:c>
      <x:c r="D113" s="3" t="str"/>
      <x:c r="E113" s="3" t="str">
        <x:v>异丁酸乙酯</x:v>
      </x:c>
      <x:c r="F113" s="3" t="str">
        <x:v>辛酸乙酯</x:v>
      </x:c>
      <x:c r="G113" s="3" t="str">
        <x:v>1-辛醇</x:v>
      </x:c>
      <x:c r="H113" s="3" t="str">
        <x:v>异戊醛</x:v>
      </x:c>
      <x:c r="I113" s="3" t="str">
        <x:v>L</x:v>
      </x:c>
      <x:c r="J113" s="3" t="str">
        <x:v>L</x:v>
      </x:c>
      <x:c r="K113" s="3" t="str">
        <x:v>M</x:v>
      </x:c>
      <x:c r="L113" s="3" t="str">
        <x:v>M</x:v>
      </x:c>
      <x:c r="M113" s="9" t="n">
        <x:f>IF(Y113="","",INDEX('浓度设置'!$P$6:$R$46,MATCH(Y113,'浓度设置'!$A$6:$A$46,0),IF(I113="L",1,IF(I113="M",2,3))))</x:f>
        <x:v>18.68</x:v>
      </x:c>
      <x:c r="N113" s="9" t="n">
        <x:f>IF(Z113="","",INDEX('浓度设置'!$P$6:$R$46,MATCH(Z113,'浓度设置'!$A$6:$A$46,0),IF(J113="L",1,IF(J113="M",2,3))))</x:f>
        <x:v>5.06</x:v>
      </x:c>
      <x:c r="O113" s="9" t="n">
        <x:f>IF(AA113="","",INDEX('浓度设置'!$P$6:$R$46,MATCH(AA113,'浓度设置'!$A$6:$A$46,0),IF(K113="L",1,IF(K113="M",2,3))))</x:f>
        <x:v>1232.25</x:v>
      </x:c>
      <x:c r="P113" s="9" t="n">
        <x:f>IF(AB113="","",INDEX('浓度设置'!$P$6:$R$46,MATCH(AB113,'浓度设置'!$A$6:$A$46,0),IF(L113="L",1,IF(L113="M",2,3))))</x:f>
        <x:v>1048.6410253275426</x:v>
      </x:c>
      <x:c r="Q113" s="9" t="n">
        <x:f>IF(Y113="","",M113/INDEX('浓度设置'!$M$6:$M$46,MATCH(Y113,'浓度设置'!$A$6:$A$46,0)))</x:f>
        <x:v>0.3248695652173913</x:v>
      </x:c>
      <x:c r="R113" s="9" t="n">
        <x:f>IF(Z113="","",N113/INDEX('浓度设置'!$M$6:$M$46,MATCH(Z113,'浓度设置'!$A$6:$A$46,0)))</x:f>
        <x:v>0.39224806201550383</x:v>
      </x:c>
      <x:c r="S113" s="9" t="n">
        <x:f>IF(AA113="","",O113/INDEX('浓度设置'!$M$6:$M$46,MATCH(AA113,'浓度设置'!$A$6:$A$46,0)))</x:f>
        <x:v>1.1202272727272726</x:v>
      </x:c>
      <x:c r="T113" s="9" t="n">
        <x:f>IF(AB113="","",P113/INDEX('浓度设置'!$M$6:$M$46,MATCH(AB113,'浓度设置'!$A$6:$A$46,0)))</x:f>
        <x:v>63.554001535002584</x:v>
      </x:c>
      <x:c r="U113" s="9" t="n">
        <x:f>IF(Y113="","",M113*$AD113/1000)</x:f>
        <x:v>0.37360000000000004</x:v>
      </x:c>
      <x:c r="V113" s="9" t="n">
        <x:f>IF(Z113="","",N113*$AD113/1000)</x:f>
        <x:v>0.10119999999999998</x:v>
      </x:c>
      <x:c r="W113" s="9" t="n">
        <x:f>IF(AA113="","",O113*$AD113/1000)</x:f>
        <x:v>24.645</x:v>
      </x:c>
      <x:c r="X113" s="9" t="n">
        <x:f>IF(AB113="","",P113*$AD113/1000)</x:f>
        <x:v>20.972820506550853</x:v>
      </x:c>
      <x:c r="Y113" s="3" t="n">
        <x:v>32</x:v>
      </x:c>
      <x:c r="Z113" s="3" t="n">
        <x:v>58</x:v>
      </x:c>
      <x:c r="AA113" s="3" t="n">
        <x:v>90</x:v>
      </x:c>
      <x:c r="AB113" s="3" t="n">
        <x:v>152</x:v>
      </x:c>
      <x:c r="AC113" s="3" t="n">
        <x:v>4</x:v>
      </x:c>
      <x:c r="AD113" s="3" t="n">
        <x:f>'方案总览'!$B$5</x:f>
        <x:v>20</x:v>
      </x:c>
    </x:row>
    <x:row r="114" ht="24" customHeight="1">
      <x:c r="A114" s="3" t="str">
        <x:v>T109</x:v>
      </x:c>
      <x:c r="B114" s="3" t="str">
        <x:v>拟合</x:v>
      </x:c>
      <x:c r="C114" s="3" t="str">
        <x:v>C023</x:v>
      </x:c>
      <x:c r="D114" s="3" t="str"/>
      <x:c r="E114" s="3" t="str">
        <x:v>对甲酚</x:v>
      </x:c>
      <x:c r="F114" s="3" t="str">
        <x:v>癸酸乙酯</x:v>
      </x:c>
      <x:c r="G114" s="3" t="str">
        <x:v>己酸乙酯</x:v>
      </x:c>
      <x:c r="H114" s="3" t="str">
        <x:v>二甲基三硫醚</x:v>
      </x:c>
      <x:c r="I114" s="3" t="str">
        <x:v>M</x:v>
      </x:c>
      <x:c r="J114" s="3" t="str">
        <x:v>M</x:v>
      </x:c>
      <x:c r="K114" s="3" t="str">
        <x:v>M</x:v>
      </x:c>
      <x:c r="L114" s="3" t="str">
        <x:v>M</x:v>
      </x:c>
      <x:c r="M114" s="9" t="n">
        <x:f>IF(Y114="","",INDEX('浓度设置'!$P$6:$R$46,MATCH(Y114,'浓度设置'!$A$6:$A$46,0),IF(I114="L",1,IF(I114="M",2,3))))</x:f>
        <x:v>59.381310191002015</x:v>
      </x:c>
      <x:c r="N114" s="9" t="n">
        <x:f>IF(Z114="","",INDEX('浓度设置'!$P$6:$R$46,MATCH(Z114,'浓度设置'!$A$6:$A$46,0),IF(J114="L",1,IF(J114="M",2,3))))</x:f>
        <x:v>1288.255</x:v>
      </x:c>
      <x:c r="O114" s="9" t="n">
        <x:f>IF(AA114="","",INDEX('浓度设置'!$P$6:$R$46,MATCH(AA114,'浓度设置'!$A$6:$A$46,0),IF(K114="L",1,IF(K114="M",2,3))))</x:f>
        <x:v>89562.18016998023</x:v>
      </x:c>
      <x:c r="P114" s="9" t="n">
        <x:f>IF(AB114="","",INDEX('浓度设置'!$P$6:$R$46,MATCH(AB114,'浓度设置'!$A$6:$A$46,0),IF(L114="L",1,IF(L114="M",2,3))))</x:f>
        <x:v>34.2987346705385</x:v>
      </x:c>
      <x:c r="Q114" s="9" t="n">
        <x:f>IF(Y114="","",M114/INDEX('浓度设置'!$M$6:$M$46,MATCH(Y114,'浓度设置'!$A$6:$A$46,0)))</x:f>
        <x:v>0.355576707730551</x:v>
      </x:c>
      <x:c r="R114" s="9" t="n">
        <x:f>IF(Z114="","",N114/INDEX('浓度设置'!$M$6:$M$46,MATCH(Z114,'浓度设置'!$A$6:$A$46,0)))</x:f>
        <x:v>1.1502276785714287</x:v>
      </x:c>
      <x:c r="S114" s="9" t="n">
        <x:f>IF(AA114="","",O114/INDEX('浓度设置'!$M$6:$M$46,MATCH(AA114,'浓度设置'!$A$6:$A$46,0)))</x:f>
        <x:v>1619.5692616632955</x:v>
      </x:c>
      <x:c r="T114" s="9" t="n">
        <x:f>IF(AB114="","",P114/INDEX('浓度设置'!$M$6:$M$46,MATCH(AB114,'浓度设置'!$A$6:$A$46,0)))</x:f>
        <x:v>95.27426297371807</x:v>
      </x:c>
      <x:c r="U114" s="9" t="n">
        <x:f>IF(Y114="","",M114*$AD114/1000)</x:f>
        <x:v>1.1876262038200402</x:v>
      </x:c>
      <x:c r="V114" s="9" t="n">
        <x:f>IF(Z114="","",N114*$AD114/1000)</x:f>
        <x:v>25.765100000000004</x:v>
      </x:c>
      <x:c r="W114" s="9" t="n">
        <x:f>IF(AA114="","",O114*$AD114/1000)</x:f>
        <x:v>1791.2436033996046</x:v>
      </x:c>
      <x:c r="X114" s="9" t="n">
        <x:f>IF(AB114="","",P114*$AD114/1000)</x:f>
        <x:v>0.68597469341077</x:v>
      </x:c>
      <x:c r="Y114" s="3" t="n">
        <x:v>61</x:v>
      </x:c>
      <x:c r="Z114" s="3" t="n">
        <x:v>79</x:v>
      </x:c>
      <x:c r="AA114" s="3" t="n">
        <x:v>111</x:v>
      </x:c>
      <x:c r="AB114" s="3" t="n">
        <x:v>209</x:v>
      </x:c>
      <x:c r="AC114" s="3" t="n">
        <x:v>4</x:v>
      </x:c>
      <x:c r="AD114" s="3" t="n">
        <x:f>'方案总览'!$B$5</x:f>
        <x:v>20</x:v>
      </x:c>
    </x:row>
    <x:row r="115" ht="24" customHeight="1">
      <x:c r="A115" s="3" t="str">
        <x:v>T110</x:v>
      </x:c>
      <x:c r="B115" s="3" t="str">
        <x:v>拟合</x:v>
      </x:c>
      <x:c r="C115" s="3" t="str">
        <x:v>C024</x:v>
      </x:c>
      <x:c r="D115" s="3" t="str"/>
      <x:c r="E115" s="3" t="str">
        <x:v>辛酸</x:v>
      </x:c>
      <x:c r="F115" s="3" t="str">
        <x:v>己酸</x:v>
      </x:c>
      <x:c r="G115" s="3" t="str">
        <x:v>异戊酸/3-甲基丁酸</x:v>
      </x:c>
      <x:c r="H115" s="3" t="str">
        <x:v>1-辛烯-3-醇</x:v>
      </x:c>
      <x:c r="I115" s="3" t="str">
        <x:v>L</x:v>
      </x:c>
      <x:c r="J115" s="3" t="str">
        <x:v>L</x:v>
      </x:c>
      <x:c r="K115" s="3" t="str">
        <x:v>H</x:v>
      </x:c>
      <x:c r="L115" s="3" t="str">
        <x:v>L</x:v>
      </x:c>
      <x:c r="M115" s="9" t="n">
        <x:f>IF(Y115="","",INDEX('浓度设置'!$P$6:$R$46,MATCH(Y115,'浓度设置'!$A$6:$A$46,0),IF(I115="L",1,IF(I115="M",2,3))))</x:f>
        <x:v>1.875</x:v>
      </x:c>
      <x:c r="N115" s="9" t="n">
        <x:f>IF(Z115="","",INDEX('浓度设置'!$P$6:$R$46,MATCH(Z115,'浓度设置'!$A$6:$A$46,0),IF(J115="L",1,IF(J115="M",2,3))))</x:f>
        <x:v>2.125</x:v>
      </x:c>
      <x:c r="O115" s="9" t="n">
        <x:f>IF(AA115="","",INDEX('浓度设置'!$P$6:$R$46,MATCH(AA115,'浓度设置'!$A$6:$A$46,0),IF(K115="L",1,IF(K115="M",2,3))))</x:f>
        <x:v>44000</x:v>
      </x:c>
      <x:c r="P115" s="9" t="n">
        <x:f>IF(AB115="","",INDEX('浓度设置'!$P$6:$R$46,MATCH(AB115,'浓度设置'!$A$6:$A$46,0),IF(L115="L",1,IF(L115="M",2,3))))</x:f>
        <x:v>1</x:v>
      </x:c>
      <x:c r="Q115" s="9" t="n">
        <x:f>IF(Y115="","",M115/INDEX('浓度设置'!$M$6:$M$46,MATCH(Y115,'浓度设置'!$A$6:$A$46,0)))</x:f>
        <x:v>0.0006944444444444445</x:v>
      </x:c>
      <x:c r="R115" s="9" t="n">
        <x:f>IF(Z115="","",N115/INDEX('浓度设置'!$M$6:$M$46,MATCH(Z115,'浓度设置'!$A$6:$A$46,0)))</x:f>
        <x:v>0.0008432539682539683</x:v>
      </x:c>
      <x:c r="S115" s="9" t="n">
        <x:f>IF(AA115="","",O115/INDEX('浓度设置'!$M$6:$M$46,MATCH(AA115,'浓度设置'!$A$6:$A$46,0)))</x:f>
        <x:v>41.904761904761905</x:v>
      </x:c>
      <x:c r="T115" s="9" t="n">
        <x:f>IF(AB115="","",P115/INDEX('浓度设置'!$M$6:$M$46,MATCH(AB115,'浓度设置'!$A$6:$A$46,0)))</x:f>
        <x:v>0.16339869281045752</x:v>
      </x:c>
      <x:c r="U115" s="9" t="n">
        <x:f>IF(Y115="","",M115*$AD115/1000)</x:f>
        <x:v>0.0375</x:v>
      </x:c>
      <x:c r="V115" s="9" t="n">
        <x:f>IF(Z115="","",N115*$AD115/1000)</x:f>
        <x:v>0.0425</x:v>
      </x:c>
      <x:c r="W115" s="9" t="n">
        <x:f>IF(AA115="","",O115*$AD115/1000)</x:f>
        <x:v>880</x:v>
      </x:c>
      <x:c r="X115" s="9" t="n">
        <x:f>IF(AB115="","",P115*$AD115/1000)</x:f>
        <x:v>0.02</x:v>
      </x:c>
      <x:c r="Y115" s="3" t="n">
        <x:v>117</x:v>
      </x:c>
      <x:c r="Z115" s="3" t="n">
        <x:v>126</x:v>
      </x:c>
      <x:c r="AA115" s="3" t="n">
        <x:v>136</x:v>
      </x:c>
      <x:c r="AB115" s="3" t="n">
        <x:v>207</x:v>
      </x:c>
      <x:c r="AC115" s="3" t="n">
        <x:v>4</x:v>
      </x:c>
      <x:c r="AD115" s="3" t="n">
        <x:f>'方案总览'!$B$5</x:f>
        <x:v>20</x:v>
      </x:c>
    </x:row>
    <x:row r="116" ht="24" customHeight="1">
      <x:c r="A116" s="3" t="str">
        <x:v>T111</x:v>
      </x:c>
      <x:c r="B116" s="3" t="str">
        <x:v>拟合</x:v>
      </x:c>
      <x:c r="C116" s="3" t="str">
        <x:v>C025</x:v>
      </x:c>
      <x:c r="D116" s="3" t="str"/>
      <x:c r="E116" s="3" t="str">
        <x:v>异丁酸乙酯</x:v>
      </x:c>
      <x:c r="F116" s="3" t="str">
        <x:v>苯乙酸乙酯</x:v>
      </x:c>
      <x:c r="G116" s="3" t="str">
        <x:v>乙醛二乙缩醛</x:v>
      </x:c>
      <x:c r="H116" s="3" t="str">
        <x:v>癸酸乙酯</x:v>
      </x:c>
      <x:c r="I116" s="3" t="str">
        <x:v>M</x:v>
      </x:c>
      <x:c r="J116" s="3" t="str">
        <x:v>H</x:v>
      </x:c>
      <x:c r="K116" s="3" t="str">
        <x:v>M</x:v>
      </x:c>
      <x:c r="L116" s="3" t="str">
        <x:v>H</x:v>
      </x:c>
      <x:c r="M116" s="9" t="n">
        <x:f>IF(Y116="","",INDEX('浓度设置'!$P$6:$R$46,MATCH(Y116,'浓度设置'!$A$6:$A$46,0),IF(I116="L",1,IF(I116="M",2,3))))</x:f>
        <x:v>836.8360173893091</x:v>
      </x:c>
      <x:c r="N116" s="9" t="n">
        <x:f>IF(Z116="","",INDEX('浓度设置'!$P$6:$R$46,MATCH(Z116,'浓度设置'!$A$6:$A$46,0),IF(J116="L",1,IF(J116="M",2,3))))</x:f>
        <x:v>21400</x:v>
      </x:c>
      <x:c r="O116" s="9" t="n">
        <x:f>IF(AA116="","",INDEX('浓度设置'!$P$6:$R$46,MATCH(AA116,'浓度设置'!$A$6:$A$46,0),IF(K116="L",1,IF(K116="M",2,3))))</x:f>
        <x:v>2745.3821227654266</x:v>
      </x:c>
      <x:c r="P116" s="9" t="n">
        <x:f>IF(AB116="","",INDEX('浓度设置'!$P$6:$R$46,MATCH(AB116,'浓度设置'!$A$6:$A$46,0),IF(L116="L",1,IF(L116="M",2,3))))</x:f>
        <x:v>56115</x:v>
      </x:c>
      <x:c r="Q116" s="9" t="n">
        <x:f>IF(Y116="","",M116/INDEX('浓度设置'!$M$6:$M$46,MATCH(Y116,'浓度设置'!$A$6:$A$46,0)))</x:f>
        <x:v>14.553669867640158</x:v>
      </x:c>
      <x:c r="R116" s="9" t="n">
        <x:f>IF(Z116="","",N116/INDEX('浓度设置'!$M$6:$M$46,MATCH(Z116,'浓度设置'!$A$6:$A$46,0)))</x:f>
        <x:v>52.57985257985258</x:v>
      </x:c>
      <x:c r="S116" s="9" t="n">
        <x:f>IF(AA116="","",O116/INDEX('浓度设置'!$M$6:$M$46,MATCH(AA116,'浓度设置'!$A$6:$A$46,0)))</x:f>
        <x:v>1.3135799630456586</x:v>
      </x:c>
      <x:c r="T116" s="9" t="n">
        <x:f>IF(AB116="","",P116/INDEX('浓度设置'!$M$6:$M$46,MATCH(AB116,'浓度设置'!$A$6:$A$46,0)))</x:f>
        <x:v>50.10267857142857</x:v>
      </x:c>
      <x:c r="U116" s="9" t="n">
        <x:f>IF(Y116="","",M116*$AD116/1000)</x:f>
        <x:v>16.736720347786182</x:v>
      </x:c>
      <x:c r="V116" s="9" t="n">
        <x:f>IF(Z116="","",N116*$AD116/1000)</x:f>
        <x:v>428</x:v>
      </x:c>
      <x:c r="W116" s="9" t="n">
        <x:f>IF(AA116="","",O116*$AD116/1000)</x:f>
        <x:v>54.90764245530853</x:v>
      </x:c>
      <x:c r="X116" s="9" t="n">
        <x:f>IF(AB116="","",P116*$AD116/1000)</x:f>
        <x:v>1122.3</x:v>
      </x:c>
      <x:c r="Y116" s="3" t="n">
        <x:v>32</x:v>
      </x:c>
      <x:c r="Z116" s="3" t="n">
        <x:v>40</x:v>
      </x:c>
      <x:c r="AA116" s="3" t="n">
        <x:v>53</x:v>
      </x:c>
      <x:c r="AB116" s="3" t="n">
        <x:v>79</x:v>
      </x:c>
      <x:c r="AC116" s="3" t="n">
        <x:v>4</x:v>
      </x:c>
      <x:c r="AD116" s="3" t="n">
        <x:f>'方案总览'!$B$5</x:f>
        <x:v>20</x:v>
      </x:c>
    </x:row>
    <x:row r="117" ht="24" customHeight="1">
      <x:c r="A117" s="3" t="str">
        <x:v>T112</x:v>
      </x:c>
      <x:c r="B117" s="3" t="str">
        <x:v>拟合</x:v>
      </x:c>
      <x:c r="C117" s="3" t="str">
        <x:v>C026</x:v>
      </x:c>
      <x:c r="D117" s="3" t="str"/>
      <x:c r="E117" s="3" t="str">
        <x:v>丁酸乙酯</x:v>
      </x:c>
      <x:c r="F117" s="3" t="str">
        <x:v>乙酸丁酯</x:v>
      </x:c>
      <x:c r="G117" s="3" t="str">
        <x:v>戊酸乙酯</x:v>
      </x:c>
      <x:c r="H117" s="3" t="str">
        <x:v>异戊醛</x:v>
      </x:c>
      <x:c r="I117" s="3" t="str">
        <x:v>M</x:v>
      </x:c>
      <x:c r="J117" s="3" t="str">
        <x:v>M</x:v>
      </x:c>
      <x:c r="K117" s="3" t="str">
        <x:v>L</x:v>
      </x:c>
      <x:c r="L117" s="3" t="str">
        <x:v>H</x:v>
      </x:c>
      <x:c r="M117" s="9" t="n">
        <x:f>IF(Y117="","",INDEX('浓度设置'!$P$6:$R$46,MATCH(Y117,'浓度设置'!$A$6:$A$46,0),IF(I117="L",1,IF(I117="M",2,3))))</x:f>
        <x:v>2338.9306103431118</x:v>
      </x:c>
      <x:c r="N117" s="9" t="n">
        <x:f>IF(Z117="","",INDEX('浓度设置'!$P$6:$R$46,MATCH(Z117,'浓度设置'!$A$6:$A$46,0),IF(J117="L",1,IF(J117="M",2,3))))</x:f>
        <x:v>3147.945</x:v>
      </x:c>
      <x:c r="O117" s="9" t="n">
        <x:f>IF(AA117="","",INDEX('浓度设置'!$P$6:$R$46,MATCH(AA117,'浓度设置'!$A$6:$A$46,0),IF(K117="L",1,IF(K117="M",2,3))))</x:f>
        <x:v>2.2</x:v>
      </x:c>
      <x:c r="P117" s="9" t="n">
        <x:f>IF(AB117="","",INDEX('浓度设置'!$P$6:$R$46,MATCH(AB117,'浓度设置'!$A$6:$A$46,0),IF(L117="L",1,IF(L117="M",2,3))))</x:f>
        <x:v>227200</x:v>
      </x:c>
      <x:c r="Q117" s="9" t="n">
        <x:f>IF(Y117="","",M117/INDEX('浓度设置'!$M$6:$M$46,MATCH(Y117,'浓度设置'!$A$6:$A$46,0)))</x:f>
        <x:v>28.6985350962345</x:v>
      </x:c>
      <x:c r="R117" s="9" t="n">
        <x:f>IF(Z117="","",N117/INDEX('浓度设置'!$M$6:$M$46,MATCH(Z117,'浓度设置'!$A$6:$A$46,0)))</x:f>
        <x:v>1.7488583333333334</x:v>
      </x:c>
      <x:c r="S117" s="9" t="n">
        <x:f>IF(AA117="","",O117/INDEX('浓度设置'!$M$6:$M$46,MATCH(AA117,'浓度设置'!$A$6:$A$46,0)))</x:f>
        <x:v>0.08208955223880597</x:v>
      </x:c>
      <x:c r="T117" s="9" t="n">
        <x:f>IF(AB117="","",P117/INDEX('浓度设置'!$M$6:$M$46,MATCH(AB117,'浓度设置'!$A$6:$A$46,0)))</x:f>
        <x:v>13769.69696969697</x:v>
      </x:c>
      <x:c r="U117" s="9" t="n">
        <x:f>IF(Y117="","",M117*$AD117/1000)</x:f>
        <x:v>46.778612206862235</x:v>
      </x:c>
      <x:c r="V117" s="9" t="n">
        <x:f>IF(Z117="","",N117*$AD117/1000)</x:f>
        <x:v>62.9589</x:v>
      </x:c>
      <x:c r="W117" s="9" t="n">
        <x:f>IF(AA117="","",O117*$AD117/1000)</x:f>
        <x:v>0.044</x:v>
      </x:c>
      <x:c r="X117" s="9" t="n">
        <x:f>IF(AB117="","",P117*$AD117/1000)</x:f>
        <x:v>4544</x:v>
      </x:c>
      <x:c r="Y117" s="3" t="n">
        <x:v>52</x:v>
      </x:c>
      <x:c r="Z117" s="3" t="n">
        <x:v>114</x:v>
      </x:c>
      <x:c r="AA117" s="3" t="n">
        <x:v>141</x:v>
      </x:c>
      <x:c r="AB117" s="3" t="n">
        <x:v>152</x:v>
      </x:c>
      <x:c r="AC117" s="3" t="n">
        <x:v>4</x:v>
      </x:c>
      <x:c r="AD117" s="3" t="n">
        <x:f>'方案总览'!$B$5</x:f>
        <x:v>20</x:v>
      </x:c>
    </x:row>
    <x:row r="118" ht="24" customHeight="1">
      <x:c r="A118" s="3" t="str">
        <x:v>T113</x:v>
      </x:c>
      <x:c r="B118" s="3" t="str">
        <x:v>拟合</x:v>
      </x:c>
      <x:c r="C118" s="3" t="str">
        <x:v>C027</x:v>
      </x:c>
      <x:c r="D118" s="3" t="str"/>
      <x:c r="E118" s="3" t="str">
        <x:v>丁酸异戊酯</x:v>
      </x:c>
      <x:c r="F118" s="3" t="str">
        <x:v>戊酸</x:v>
      </x:c>
      <x:c r="G118" s="3" t="str">
        <x:v>苯乙醛</x:v>
      </x:c>
      <x:c r="H118" s="3" t="str">
        <x:v>3-苯基丙酸乙酯</x:v>
      </x:c>
      <x:c r="I118" s="3" t="str">
        <x:v>M</x:v>
      </x:c>
      <x:c r="J118" s="3" t="str">
        <x:v>M</x:v>
      </x:c>
      <x:c r="K118" s="3" t="str">
        <x:v>L</x:v>
      </x:c>
      <x:c r="L118" s="3" t="str">
        <x:v>H</x:v>
      </x:c>
      <x:c r="M118" s="9" t="n">
        <x:f>IF(Y118="","",INDEX('浓度设置'!$P$6:$R$46,MATCH(Y118,'浓度设置'!$A$6:$A$46,0),IF(I118="L",1,IF(I118="M",2,3))))</x:f>
        <x:v>1041.8500000000001</x:v>
      </x:c>
      <x:c r="N118" s="9" t="n">
        <x:f>IF(Z118="","",INDEX('浓度设置'!$P$6:$R$46,MATCH(Z118,'浓度设置'!$A$6:$A$46,0),IF(J118="L",1,IF(J118="M",2,3))))</x:f>
        <x:v>331.2476415010377</x:v>
      </x:c>
      <x:c r="O118" s="9" t="n">
        <x:f>IF(AA118="","",INDEX('浓度设置'!$P$6:$R$46,MATCH(AA118,'浓度设置'!$A$6:$A$46,0),IF(K118="L",1,IF(K118="M",2,3))))</x:f>
        <x:v>0.05</x:v>
      </x:c>
      <x:c r="P118" s="9" t="n">
        <x:f>IF(AB118="","",INDEX('浓度设置'!$P$6:$R$46,MATCH(AB118,'浓度设置'!$A$6:$A$46,0),IF(L118="L",1,IF(L118="M",2,3))))</x:f>
        <x:v>11648000</x:v>
      </x:c>
      <x:c r="Q118" s="9" t="n">
        <x:f>IF(Y118="","",M118/INDEX('浓度设置'!$M$6:$M$46,MATCH(Y118,'浓度设置'!$A$6:$A$46,0)))</x:f>
        <x:v>1.1386338797814208</x:v>
      </x:c>
      <x:c r="R118" s="9" t="n">
        <x:f>IF(Z118="","",N118/INDEX('浓度设置'!$M$6:$M$46,MATCH(Z118,'浓度设置'!$A$6:$A$46,0)))</x:f>
        <x:v>0.8515363534731046</x:v>
      </x:c>
      <x:c r="S118" s="9" t="n">
        <x:f>IF(AA118="","",O118/INDEX('浓度设置'!$M$6:$M$46,MATCH(AA118,'浓度设置'!$A$6:$A$46,0)))</x:f>
        <x:v>0.00019083969465648855</x:v>
      </x:c>
      <x:c r="T118" s="9" t="n">
        <x:f>IF(AB118="","",P118/INDEX('浓度设置'!$M$6:$M$46,MATCH(AB118,'浓度设置'!$A$6:$A$46,0)))</x:f>
        <x:v>93184</x:v>
      </x:c>
      <x:c r="U118" s="9" t="n">
        <x:f>IF(Y118="","",M118*$AD118/1000)</x:f>
        <x:v>20.837000000000003</x:v>
      </x:c>
      <x:c r="V118" s="9" t="n">
        <x:f>IF(Z118="","",N118*$AD118/1000)</x:f>
        <x:v>6.624952830020755</x:v>
      </x:c>
      <x:c r="W118" s="9" t="n">
        <x:f>IF(AA118="","",O118*$AD118/1000)</x:f>
        <x:v>0.001</x:v>
      </x:c>
      <x:c r="X118" s="9" t="n">
        <x:f>IF(AB118="","",P118*$AD118/1000)</x:f>
        <x:v>232960</x:v>
      </x:c>
      <x:c r="Y118" s="3" t="n">
        <x:v>56</x:v>
      </x:c>
      <x:c r="Z118" s="3" t="n">
        <x:v>75</x:v>
      </x:c>
      <x:c r="AA118" s="3" t="n">
        <x:v>105</x:v>
      </x:c>
      <x:c r="AB118" s="3" t="n">
        <x:v>186</x:v>
      </x:c>
      <x:c r="AC118" s="3" t="n">
        <x:v>4</x:v>
      </x:c>
      <x:c r="AD118" s="3" t="n">
        <x:f>'方案总览'!$B$5</x:f>
        <x:v>20</x:v>
      </x:c>
    </x:row>
    <x:row r="119" ht="24" customHeight="1">
      <x:c r="A119" s="3" t="str">
        <x:v>T114</x:v>
      </x:c>
      <x:c r="B119" s="3" t="str">
        <x:v>拟合</x:v>
      </x:c>
      <x:c r="C119" s="3" t="str">
        <x:v>C028</x:v>
      </x:c>
      <x:c r="D119" s="3" t="str"/>
      <x:c r="E119" s="3" t="str">
        <x:v>辛酸乙酯</x:v>
      </x:c>
      <x:c r="F119" s="3" t="str">
        <x:v>己酸乙酯</x:v>
      </x:c>
      <x:c r="G119" s="3" t="str">
        <x:v>乙酸异戊酯</x:v>
      </x:c>
      <x:c r="H119" s="3" t="str">
        <x:v>己酸己酯</x:v>
      </x:c>
      <x:c r="I119" s="3" t="str">
        <x:v>L</x:v>
      </x:c>
      <x:c r="J119" s="3" t="str">
        <x:v>H</x:v>
      </x:c>
      <x:c r="K119" s="3" t="str">
        <x:v>M</x:v>
      </x:c>
      <x:c r="L119" s="3" t="str">
        <x:v>M</x:v>
      </x:c>
      <x:c r="M119" s="9" t="n">
        <x:f>IF(Y119="","",INDEX('浓度设置'!$P$6:$R$46,MATCH(Y119,'浓度设置'!$A$6:$A$46,0),IF(I119="L",1,IF(I119="M",2,3))))</x:f>
        <x:v>5.06</x:v>
      </x:c>
      <x:c r="N119" s="9" t="n">
        <x:f>IF(Z119="","",INDEX('浓度设置'!$P$6:$R$46,MATCH(Z119,'浓度设置'!$A$6:$A$46,0),IF(J119="L",1,IF(J119="M",2,3))))</x:f>
        <x:v>9622120</x:v>
      </x:c>
      <x:c r="O119" s="9" t="n">
        <x:f>IF(AA119="","",INDEX('浓度设置'!$P$6:$R$46,MATCH(AA119,'浓度设置'!$A$6:$A$46,0),IF(K119="L",1,IF(K119="M",2,3))))</x:f>
        <x:v>96.86609313893071</x:v>
      </x:c>
      <x:c r="P119" s="9" t="n">
        <x:f>IF(AB119="","",INDEX('浓度设置'!$P$6:$R$46,MATCH(AB119,'浓度设置'!$A$6:$A$46,0),IF(L119="L",1,IF(L119="M",2,3))))</x:f>
        <x:v>695.986709643223</x:v>
      </x:c>
      <x:c r="Q119" s="9" t="n">
        <x:f>IF(Y119="","",M119/INDEX('浓度设置'!$M$6:$M$46,MATCH(Y119,'浓度设置'!$A$6:$A$46,0)))</x:f>
        <x:v>0.39224806201550383</x:v>
      </x:c>
      <x:c r="R119" s="9" t="n">
        <x:f>IF(Z119="","",N119/INDEX('浓度设置'!$M$6:$M$46,MATCH(Z119,'浓度设置'!$A$6:$A$46,0)))</x:f>
        <x:v>173998.5533453888</x:v>
      </x:c>
      <x:c r="S119" s="9" t="n">
        <x:f>IF(AA119="","",O119/INDEX('浓度设置'!$M$6:$M$46,MATCH(AA119,'浓度设置'!$A$6:$A$46,0)))</x:f>
        <x:v>1.0315877863570895</x:v>
      </x:c>
      <x:c r="T119" s="9" t="n">
        <x:f>IF(AB119="","",P119/INDEX('浓度设置'!$M$6:$M$46,MATCH(AB119,'浓度设置'!$A$6:$A$46,0)))</x:f>
        <x:v>0.3680521997055648</x:v>
      </x:c>
      <x:c r="U119" s="9" t="n">
        <x:f>IF(Y119="","",M119*$AD119/1000)</x:f>
        <x:v>0.10119999999999998</x:v>
      </x:c>
      <x:c r="V119" s="9" t="n">
        <x:f>IF(Z119="","",N119*$AD119/1000)</x:f>
        <x:v>192442.4</x:v>
      </x:c>
      <x:c r="W119" s="9" t="n">
        <x:f>IF(AA119="","",O119*$AD119/1000)</x:f>
        <x:v>1.9373218627786142</x:v>
      </x:c>
      <x:c r="X119" s="9" t="n">
        <x:f>IF(AB119="","",P119*$AD119/1000)</x:f>
        <x:v>13.91973419286446</x:v>
      </x:c>
      <x:c r="Y119" s="3" t="n">
        <x:v>58</x:v>
      </x:c>
      <x:c r="Z119" s="3" t="n">
        <x:v>111</x:v>
      </x:c>
      <x:c r="AA119" s="3" t="n">
        <x:v>115</x:v>
      </x:c>
      <x:c r="AB119" s="3" t="n">
        <x:v>227</x:v>
      </x:c>
      <x:c r="AC119" s="3" t="n">
        <x:v>4</x:v>
      </x:c>
      <x:c r="AD119" s="3" t="n">
        <x:f>'方案总览'!$B$5</x:f>
        <x:v>20</x:v>
      </x:c>
    </x:row>
    <x:row r="120" ht="24" customHeight="1">
      <x:c r="A120" s="3" t="str">
        <x:v>T115</x:v>
      </x:c>
      <x:c r="B120" s="3" t="str">
        <x:v>拟合</x:v>
      </x:c>
      <x:c r="C120" s="3" t="str">
        <x:v>C029</x:v>
      </x:c>
      <x:c r="D120" s="3" t="str"/>
      <x:c r="E120" s="3" t="str">
        <x:v>己醛</x:v>
      </x:c>
      <x:c r="F120" s="3" t="str">
        <x:v>1-丁醇</x:v>
      </x:c>
      <x:c r="G120" s="3" t="str">
        <x:v>2-甲基丙醛</x:v>
      </x:c>
      <x:c r="H120" s="3" t="str">
        <x:v>异戊酸乙酯（3-甲基丁酸乙酯）</x:v>
      </x:c>
      <x:c r="I120" s="3" t="str">
        <x:v>L</x:v>
      </x:c>
      <x:c r="J120" s="3" t="str">
        <x:v>H</x:v>
      </x:c>
      <x:c r="K120" s="3" t="str">
        <x:v>H</x:v>
      </x:c>
      <x:c r="L120" s="3" t="str">
        <x:v>M</x:v>
      </x:c>
      <x:c r="M120" s="9" t="n">
        <x:f>IF(Y120="","",INDEX('浓度设置'!$P$6:$R$46,MATCH(Y120,'浓度设置'!$A$6:$A$46,0),IF(I120="L",1,IF(I120="M",2,3))))</x:f>
        <x:v>173</x:v>
      </x:c>
      <x:c r="N120" s="9" t="n">
        <x:f>IF(Z120="","",INDEX('浓度设置'!$P$6:$R$46,MATCH(Z120,'浓度设置'!$A$6:$A$46,0),IF(J120="L",1,IF(J120="M",2,3))))</x:f>
        <x:v>1038900</x:v>
      </x:c>
      <x:c r="O120" s="9" t="n">
        <x:f>IF(AA120="","",INDEX('浓度设置'!$P$6:$R$46,MATCH(AA120,'浓度设置'!$A$6:$A$46,0),IF(K120="L",1,IF(K120="M",2,3))))</x:f>
        <x:v>35900</x:v>
      </x:c>
      <x:c r="P120" s="9" t="n">
        <x:f>IF(AB120="","",INDEX('浓度设置'!$P$6:$R$46,MATCH(AB120,'浓度设置'!$A$6:$A$46,0),IF(L120="L",1,IF(L120="M",2,3))))</x:f>
        <x:v>99.89207175747232</x:v>
      </x:c>
      <x:c r="Q120" s="9" t="n">
        <x:f>IF(Y120="","",M120/INDEX('浓度设置'!$M$6:$M$46,MATCH(Y120,'浓度设置'!$A$6:$A$46,0)))</x:f>
        <x:v>6.784313725490196</x:v>
      </x:c>
      <x:c r="R120" s="9" t="n">
        <x:f>IF(Z120="","",N120/INDEX('浓度设置'!$M$6:$M$46,MATCH(Z120,'浓度设置'!$A$6:$A$46,0)))</x:f>
        <x:v>380.1317233809001</x:v>
      </x:c>
      <x:c r="S120" s="9" t="n">
        <x:f>IF(AA120="","",O120/INDEX('浓度设置'!$M$6:$M$46,MATCH(AA120,'浓度设置'!$A$6:$A$46,0)))</x:f>
        <x:v>6084.745762711864</x:v>
      </x:c>
      <x:c r="T120" s="9" t="n">
        <x:f>IF(AB120="","",P120/INDEX('浓度设置'!$M$6:$M$46,MATCH(AB120,'浓度设置'!$A$6:$A$46,0)))</x:f>
        <x:v>14.49812362227465</x:v>
      </x:c>
      <x:c r="U120" s="9" t="n">
        <x:f>IF(Y120="","",M120*$AD120/1000)</x:f>
        <x:v>3.46</x:v>
      </x:c>
      <x:c r="V120" s="9" t="n">
        <x:f>IF(Z120="","",N120*$AD120/1000)</x:f>
        <x:v>20778</x:v>
      </x:c>
      <x:c r="W120" s="9" t="n">
        <x:f>IF(AA120="","",O120*$AD120/1000)</x:f>
        <x:v>718</x:v>
      </x:c>
      <x:c r="X120" s="9" t="n">
        <x:f>IF(AB120="","",P120*$AD120/1000)</x:f>
        <x:v>1.9978414351494465</x:v>
      </x:c>
      <x:c r="Y120" s="3" t="n">
        <x:v>7</x:v>
      </x:c>
      <x:c r="Z120" s="3" t="n">
        <x:v>11</x:v>
      </x:c>
      <x:c r="AA120" s="3" t="n">
        <x:v>18</x:v>
      </x:c>
      <x:c r="AB120" s="3" t="n">
        <x:v>69</x:v>
      </x:c>
      <x:c r="AC120" s="3" t="n">
        <x:v>4</x:v>
      </x:c>
      <x:c r="AD120" s="3" t="n">
        <x:f>'方案总览'!$B$5</x:f>
        <x:v>20</x:v>
      </x:c>
    </x:row>
    <x:row r="121" ht="24" customHeight="1">
      <x:c r="A121" s="3" t="str">
        <x:v>T116</x:v>
      </x:c>
      <x:c r="B121" s="3" t="str">
        <x:v>拟合</x:v>
      </x:c>
      <x:c r="C121" s="3" t="str">
        <x:v>C030</x:v>
      </x:c>
      <x:c r="D121" s="3" t="str"/>
      <x:c r="E121" s="3" t="str">
        <x:v>1-辛醇</x:v>
      </x:c>
      <x:c r="F121" s="3" t="str">
        <x:v>1-辛烯-3-醇</x:v>
      </x:c>
      <x:c r="G121" s="3" t="str">
        <x:v>2-甲基丁酸乙酯</x:v>
      </x:c>
      <x:c r="H121" s="3" t="str">
        <x:v>β-大马酮</x:v>
      </x:c>
      <x:c r="I121" s="3" t="str">
        <x:v>H</x:v>
      </x:c>
      <x:c r="J121" s="3" t="str">
        <x:v>H</x:v>
      </x:c>
      <x:c r="K121" s="3" t="str">
        <x:v>M</x:v>
      </x:c>
      <x:c r="L121" s="3" t="str">
        <x:v>M</x:v>
      </x:c>
      <x:c r="M121" s="9" t="n">
        <x:f>IF(Y121="","",INDEX('浓度设置'!$P$6:$R$46,MATCH(Y121,'浓度设置'!$A$6:$A$46,0),IF(I121="L",1,IF(I121="M",2,3))))</x:f>
        <x:v>25642.45</x:v>
      </x:c>
      <x:c r="N121" s="9" t="n">
        <x:f>IF(Z121="","",INDEX('浓度设置'!$P$6:$R$46,MATCH(Z121,'浓度设置'!$A$6:$A$46,0),IF(J121="L",1,IF(J121="M",2,3))))</x:f>
        <x:v>271.45</x:v>
      </x:c>
      <x:c r="O121" s="9" t="n">
        <x:f>IF(AA121="","",INDEX('浓度设置'!$P$6:$R$46,MATCH(AA121,'浓度设置'!$A$6:$A$46,0),IF(K121="L",1,IF(K121="M",2,3))))</x:f>
        <x:v>39.53062104242735</x:v>
      </x:c>
      <x:c r="P121" s="9" t="n">
        <x:f>IF(AB121="","",INDEX('浓度设置'!$P$6:$R$46,MATCH(AB121,'浓度设置'!$A$6:$A$46,0),IF(L121="L",1,IF(L121="M",2,3))))</x:f>
        <x:v>9.546727187890099</x:v>
      </x:c>
      <x:c r="Q121" s="9" t="n">
        <x:f>IF(Y121="","",M121/INDEX('浓度设置'!$M$6:$M$46,MATCH(Y121,'浓度设置'!$A$6:$A$46,0)))</x:f>
        <x:v>23.311318181818184</x:v>
      </x:c>
      <x:c r="R121" s="9" t="n">
        <x:f>IF(Z121="","",N121/INDEX('浓度设置'!$M$6:$M$46,MATCH(Z121,'浓度设置'!$A$6:$A$46,0)))</x:f>
        <x:v>44.35457516339869</x:v>
      </x:c>
      <x:c r="S121" s="9" t="n">
        <x:f>IF(AA121="","",O121/INDEX('浓度设置'!$M$6:$M$46,MATCH(AA121,'浓度设置'!$A$6:$A$46,0)))</x:f>
        <x:v>2.196145613468186</x:v>
      </x:c>
      <x:c r="T121" s="9" t="n">
        <x:f>IF(AB121="","",P121/INDEX('浓度设置'!$M$6:$M$46,MATCH(AB121,'浓度设置'!$A$6:$A$46,0)))</x:f>
        <x:v>79.55605989908416</x:v>
      </x:c>
      <x:c r="U121" s="9" t="n">
        <x:f>IF(Y121="","",M121*$AD121/1000)</x:f>
        <x:v>512.849</x:v>
      </x:c>
      <x:c r="V121" s="9" t="n">
        <x:f>IF(Z121="","",N121*$AD121/1000)</x:f>
        <x:v>5.429</x:v>
      </x:c>
      <x:c r="W121" s="9" t="n">
        <x:f>IF(AA121="","",O121*$AD121/1000)</x:f>
        <x:v>0.790612420848547</x:v>
      </x:c>
      <x:c r="X121" s="9" t="n">
        <x:f>IF(AB121="","",P121*$AD121/1000)</x:f>
        <x:v>0.19093454375780197</x:v>
      </x:c>
      <x:c r="Y121" s="3" t="n">
        <x:v>90</x:v>
      </x:c>
      <x:c r="Z121" s="3" t="n">
        <x:v>207</x:v>
      </x:c>
      <x:c r="AA121" s="3" t="n">
        <x:v>232</x:v>
      </x:c>
      <x:c r="AB121" s="3" t="n">
        <x:v>255</x:v>
      </x:c>
      <x:c r="AC121" s="3" t="n">
        <x:v>4</x:v>
      </x:c>
      <x:c r="AD121" s="3" t="n">
        <x:f>'方案总览'!$B$5</x:f>
        <x:v>20</x:v>
      </x:c>
    </x:row>
    <x:row r="122" ht="24" customHeight="1">
      <x:c r="A122" s="3" t="str">
        <x:v>T117</x:v>
      </x:c>
      <x:c r="B122" s="3" t="str">
        <x:v>拟合</x:v>
      </x:c>
      <x:c r="C122" s="3" t="str">
        <x:v>C031</x:v>
      </x:c>
      <x:c r="D122" s="3" t="str"/>
      <x:c r="E122" s="3" t="str">
        <x:v>丁酸乙酯</x:v>
      </x:c>
      <x:c r="F122" s="3" t="str">
        <x:v>己酸丁酯</x:v>
      </x:c>
      <x:c r="G122" s="3" t="str">
        <x:v>二甲基三硫醚</x:v>
      </x:c>
      <x:c r="H122" s="3" t="str">
        <x:v>2-甲基丁酸乙酯</x:v>
      </x:c>
      <x:c r="I122" s="3" t="str">
        <x:v>H</x:v>
      </x:c>
      <x:c r="J122" s="3" t="str">
        <x:v>H</x:v>
      </x:c>
      <x:c r="K122" s="3" t="str">
        <x:v>H</x:v>
      </x:c>
      <x:c r="L122" s="3" t="str">
        <x:v>M</x:v>
      </x:c>
      <x:c r="M122" s="9" t="n">
        <x:f>IF(Y122="","",INDEX('浓度设置'!$P$6:$R$46,MATCH(Y122,'浓度设置'!$A$6:$A$46,0),IF(I122="L",1,IF(I122="M",2,3))))</x:f>
        <x:v>1290235</x:v>
      </x:c>
      <x:c r="N122" s="9" t="n">
        <x:f>IF(Z122="","",INDEX('浓度设置'!$P$6:$R$46,MATCH(Z122,'浓度设置'!$A$6:$A$46,0),IF(J122="L",1,IF(J122="M",2,3))))</x:f>
        <x:v>86300</x:v>
      </x:c>
      <x:c r="O122" s="9" t="n">
        <x:f>IF(AA122="","",INDEX('浓度设置'!$P$6:$R$46,MATCH(AA122,'浓度设置'!$A$6:$A$46,0),IF(K122="L",1,IF(K122="M",2,3))))</x:f>
        <x:v>4201.44</x:v>
      </x:c>
      <x:c r="P122" s="9" t="n">
        <x:f>IF(AB122="","",INDEX('浓度设置'!$P$6:$R$46,MATCH(AB122,'浓度设置'!$A$6:$A$46,0),IF(L122="L",1,IF(L122="M",2,3))))</x:f>
        <x:v>39.53062104242735</x:v>
      </x:c>
      <x:c r="Q122" s="9" t="n">
        <x:f>IF(Y122="","",M122/INDEX('浓度设置'!$M$6:$M$46,MATCH(Y122,'浓度设置'!$A$6:$A$46,0)))</x:f>
        <x:v>15831.104294478528</x:v>
      </x:c>
      <x:c r="R122" s="9" t="n">
        <x:f>IF(Z122="","",N122/INDEX('浓度设置'!$M$6:$M$46,MATCH(Z122,'浓度设置'!$A$6:$A$46,0)))</x:f>
        <x:v>127.31618080963058</x:v>
      </x:c>
      <x:c r="S122" s="9" t="n">
        <x:f>IF(AA122="","",O122/INDEX('浓度设置'!$M$6:$M$46,MATCH(AA122,'浓度设置'!$A$6:$A$46,0)))</x:f>
        <x:v>11670.666666666666</x:v>
      </x:c>
      <x:c r="T122" s="9" t="n">
        <x:f>IF(AB122="","",P122/INDEX('浓度设置'!$M$6:$M$46,MATCH(AB122,'浓度设置'!$A$6:$A$46,0)))</x:f>
        <x:v>2.196145613468186</x:v>
      </x:c>
      <x:c r="U122" s="9" t="n">
        <x:f>IF(Y122="","",M122*$AD122/1000)</x:f>
        <x:v>25804.7</x:v>
      </x:c>
      <x:c r="V122" s="9" t="n">
        <x:f>IF(Z122="","",N122*$AD122/1000)</x:f>
        <x:v>1726</x:v>
      </x:c>
      <x:c r="W122" s="9" t="n">
        <x:f>IF(AA122="","",O122*$AD122/1000)</x:f>
        <x:v>84.02879999999999</x:v>
      </x:c>
      <x:c r="X122" s="9" t="n">
        <x:f>IF(AB122="","",P122*$AD122/1000)</x:f>
        <x:v>0.790612420848547</x:v>
      </x:c>
      <x:c r="Y122" s="3" t="n">
        <x:v>52</x:v>
      </x:c>
      <x:c r="Z122" s="3" t="n">
        <x:v>165</x:v>
      </x:c>
      <x:c r="AA122" s="3" t="n">
        <x:v>209</x:v>
      </x:c>
      <x:c r="AB122" s="3" t="n">
        <x:v>232</x:v>
      </x:c>
      <x:c r="AC122" s="3" t="n">
        <x:v>4</x:v>
      </x:c>
      <x:c r="AD122" s="3" t="n">
        <x:f>'方案总览'!$B$5</x:f>
        <x:v>20</x:v>
      </x:c>
    </x:row>
    <x:row r="123" ht="24" customHeight="1">
      <x:c r="A123" s="3" t="str">
        <x:v>T118</x:v>
      </x:c>
      <x:c r="B123" s="3" t="str">
        <x:v>拟合</x:v>
      </x:c>
      <x:c r="C123" s="3" t="str">
        <x:v>C032</x:v>
      </x:c>
      <x:c r="D123" s="3" t="str"/>
      <x:c r="E123" s="3" t="str">
        <x:v>异丁酸乙酯</x:v>
      </x:c>
      <x:c r="F123" s="3" t="str">
        <x:v>异戊酸乙酯（3-甲基丁酸乙酯）</x:v>
      </x:c>
      <x:c r="G123" s="3" t="str">
        <x:v>己酸</x:v>
      </x:c>
      <x:c r="H123" s="3" t="str">
        <x:v>β-大马酮</x:v>
      </x:c>
      <x:c r="I123" s="3" t="str">
        <x:v>M</x:v>
      </x:c>
      <x:c r="J123" s="3" t="str">
        <x:v>H</x:v>
      </x:c>
      <x:c r="K123" s="3" t="str">
        <x:v>M</x:v>
      </x:c>
      <x:c r="L123" s="3" t="str">
        <x:v>M</x:v>
      </x:c>
      <x:c r="M123" s="9" t="n">
        <x:f>IF(Y123="","",INDEX('浓度设置'!$P$6:$R$46,MATCH(Y123,'浓度设置'!$A$6:$A$46,0),IF(I123="L",1,IF(I123="M",2,3))))</x:f>
        <x:v>836.8360173893091</x:v>
      </x:c>
      <x:c r="N123" s="9" t="n">
        <x:f>IF(Z123="","",INDEX('浓度设置'!$P$6:$R$46,MATCH(Z123,'浓度设置'!$A$6:$A$46,0),IF(J123="L",1,IF(J123="M",2,3))))</x:f>
        <x:v>12022.2</x:v>
      </x:c>
      <x:c r="O123" s="9" t="n">
        <x:f>IF(AA123="","",INDEX('浓度设置'!$P$6:$R$46,MATCH(AA123,'浓度设置'!$A$6:$A$46,0),IF(K123="L",1,IF(K123="M",2,3))))</x:f>
        <x:v>1815.6539083757125</x:v>
      </x:c>
      <x:c r="P123" s="9" t="n">
        <x:f>IF(AB123="","",INDEX('浓度设置'!$P$6:$R$46,MATCH(AB123,'浓度设置'!$A$6:$A$46,0),IF(L123="L",1,IF(L123="M",2,3))))</x:f>
        <x:v>9.546727187890099</x:v>
      </x:c>
      <x:c r="Q123" s="9" t="n">
        <x:f>IF(Y123="","",M123/INDEX('浓度设置'!$M$6:$M$46,MATCH(Y123,'浓度设置'!$A$6:$A$46,0)))</x:f>
        <x:v>14.553669867640158</x:v>
      </x:c>
      <x:c r="R123" s="9" t="n">
        <x:f>IF(Z123="","",N123/INDEX('浓度设置'!$M$6:$M$46,MATCH(Z123,'浓度设置'!$A$6:$A$46,0)))</x:f>
        <x:v>1744.8766328011613</x:v>
      </x:c>
      <x:c r="S123" s="9" t="n">
        <x:f>IF(AA123="","",O123/INDEX('浓度设置'!$M$6:$M$46,MATCH(AA123,'浓度设置'!$A$6:$A$46,0)))</x:f>
        <x:v>0.7204975826887748</x:v>
      </x:c>
      <x:c r="T123" s="9" t="n">
        <x:f>IF(AB123="","",P123/INDEX('浓度设置'!$M$6:$M$46,MATCH(AB123,'浓度设置'!$A$6:$A$46,0)))</x:f>
        <x:v>79.55605989908416</x:v>
      </x:c>
      <x:c r="U123" s="9" t="n">
        <x:f>IF(Y123="","",M123*$AD123/1000)</x:f>
        <x:v>16.736720347786182</x:v>
      </x:c>
      <x:c r="V123" s="9" t="n">
        <x:f>IF(Z123="","",N123*$AD123/1000)</x:f>
        <x:v>240.444</x:v>
      </x:c>
      <x:c r="W123" s="9" t="n">
        <x:f>IF(AA123="","",O123*$AD123/1000)</x:f>
        <x:v>36.31307816751425</x:v>
      </x:c>
      <x:c r="X123" s="9" t="n">
        <x:f>IF(AB123="","",P123*$AD123/1000)</x:f>
        <x:v>0.19093454375780197</x:v>
      </x:c>
      <x:c r="Y123" s="3" t="n">
        <x:v>32</x:v>
      </x:c>
      <x:c r="Z123" s="3" t="n">
        <x:v>69</x:v>
      </x:c>
      <x:c r="AA123" s="3" t="n">
        <x:v>126</x:v>
      </x:c>
      <x:c r="AB123" s="3" t="n">
        <x:v>255</x:v>
      </x:c>
      <x:c r="AC123" s="3" t="n">
        <x:v>4</x:v>
      </x:c>
      <x:c r="AD123" s="3" t="n">
        <x:f>'方案总览'!$B$5</x:f>
        <x:v>20</x:v>
      </x:c>
    </x:row>
    <x:row r="124" ht="24" customHeight="1">
      <x:c r="A124" s="3" t="str">
        <x:v>T119</x:v>
      </x:c>
      <x:c r="B124" s="3" t="str">
        <x:v>拟合</x:v>
      </x:c>
      <x:c r="C124" s="3" t="str">
        <x:v>C033</x:v>
      </x:c>
      <x:c r="D124" s="3" t="str"/>
      <x:c r="E124" s="3" t="str">
        <x:v>乙醛二乙缩醛</x:v>
      </x:c>
      <x:c r="F124" s="3" t="str">
        <x:v>对甲酚</x:v>
      </x:c>
      <x:c r="G124" s="3" t="str">
        <x:v>戊酸</x:v>
      </x:c>
      <x:c r="H124" s="3" t="str">
        <x:v>乙酸丁酯</x:v>
      </x:c>
      <x:c r="I124" s="3" t="str">
        <x:v>H</x:v>
      </x:c>
      <x:c r="J124" s="3" t="str">
        <x:v>L</x:v>
      </x:c>
      <x:c r="K124" s="3" t="str">
        <x:v>L</x:v>
      </x:c>
      <x:c r="L124" s="3" t="str">
        <x:v>H</x:v>
      </x:c>
      <x:c r="M124" s="9" t="n">
        <x:f>IF(Y124="","",INDEX('浓度设置'!$P$6:$R$46,MATCH(Y124,'浓度设置'!$A$6:$A$46,0),IF(I124="L",1,IF(I124="M",2,3))))</x:f>
        <x:v>784300</x:v>
      </x:c>
      <x:c r="N124" s="9" t="n">
        <x:f>IF(Z124="","",INDEX('浓度设置'!$P$6:$R$46,MATCH(Z124,'浓度设置'!$A$6:$A$46,0),IF(J124="L",1,IF(J124="M",2,3))))</x:f>
        <x:v>0.51</x:v>
      </x:c>
      <x:c r="O124" s="9" t="n">
        <x:f>IF(AA124="","",INDEX('浓度设置'!$P$6:$R$46,MATCH(AA124,'浓度设置'!$A$6:$A$46,0),IF(K124="L",1,IF(K124="M",2,3))))</x:f>
        <x:v>1.75</x:v>
      </x:c>
      <x:c r="P124" s="9" t="n">
        <x:f>IF(AB124="","",INDEX('浓度设置'!$P$6:$R$46,MATCH(AB124,'浓度设置'!$A$6:$A$46,0),IF(L124="L",1,IF(L124="M",2,3))))</x:f>
        <x:v>47100</x:v>
      </x:c>
      <x:c r="Q124" s="9" t="n">
        <x:f>IF(Y124="","",M124/INDEX('浓度设置'!$M$6:$M$46,MATCH(Y124,'浓度设置'!$A$6:$A$46,0)))</x:f>
        <x:v>375.2631578947368</x:v>
      </x:c>
      <x:c r="R124" s="9" t="n">
        <x:f>IF(Z124="","",N124/INDEX('浓度设置'!$M$6:$M$46,MATCH(Z124,'浓度设置'!$A$6:$A$46,0)))</x:f>
        <x:v>0.003053892215568862</x:v>
      </x:c>
      <x:c r="S124" s="9" t="n">
        <x:f>IF(AA124="","",O124/INDEX('浓度设置'!$M$6:$M$46,MATCH(AA124,'浓度设置'!$A$6:$A$46,0)))</x:f>
        <x:v>0.004498714652956298</x:v>
      </x:c>
      <x:c r="T124" s="9" t="n">
        <x:f>IF(AB124="","",P124/INDEX('浓度设置'!$M$6:$M$46,MATCH(AB124,'浓度设置'!$A$6:$A$46,0)))</x:f>
        <x:v>26.166666666666668</x:v>
      </x:c>
      <x:c r="U124" s="9" t="n">
        <x:f>IF(Y124="","",M124*$AD124/1000)</x:f>
        <x:v>15686</x:v>
      </x:c>
      <x:c r="V124" s="9" t="n">
        <x:f>IF(Z124="","",N124*$AD124/1000)</x:f>
        <x:v>0.010199999999999999</x:v>
      </x:c>
      <x:c r="W124" s="9" t="n">
        <x:f>IF(AA124="","",O124*$AD124/1000)</x:f>
        <x:v>0.035</x:v>
      </x:c>
      <x:c r="X124" s="9" t="n">
        <x:f>IF(AB124="","",P124*$AD124/1000)</x:f>
        <x:v>942</x:v>
      </x:c>
      <x:c r="Y124" s="3" t="n">
        <x:v>53</x:v>
      </x:c>
      <x:c r="Z124" s="3" t="n">
        <x:v>61</x:v>
      </x:c>
      <x:c r="AA124" s="3" t="n">
        <x:v>75</x:v>
      </x:c>
      <x:c r="AB124" s="3" t="n">
        <x:v>114</x:v>
      </x:c>
      <x:c r="AC124" s="3" t="n">
        <x:v>4</x:v>
      </x:c>
      <x:c r="AD124" s="3" t="n">
        <x:f>'方案总览'!$B$5</x:f>
        <x:v>20</x:v>
      </x:c>
    </x:row>
    <x:row r="125" ht="24" customHeight="1">
      <x:c r="A125" s="3" t="str">
        <x:v>T120</x:v>
      </x:c>
      <x:c r="B125" s="3" t="str">
        <x:v>拟合</x:v>
      </x:c>
      <x:c r="C125" s="3" t="str">
        <x:v>C034</x:v>
      </x:c>
      <x:c r="D125" s="3" t="str"/>
      <x:c r="E125" s="3" t="str">
        <x:v>2-甲基丙醛</x:v>
      </x:c>
      <x:c r="F125" s="3" t="str">
        <x:v>1-辛醇</x:v>
      </x:c>
      <x:c r="G125" s="3" t="str">
        <x:v>苯乙醛</x:v>
      </x:c>
      <x:c r="H125" s="3" t="str">
        <x:v>己酸乙酯</x:v>
      </x:c>
      <x:c r="I125" s="3" t="str">
        <x:v>L</x:v>
      </x:c>
      <x:c r="J125" s="3" t="str">
        <x:v>H</x:v>
      </x:c>
      <x:c r="K125" s="3" t="str">
        <x:v>M</x:v>
      </x:c>
      <x:c r="L125" s="3" t="str">
        <x:v>M</x:v>
      </x:c>
      <x:c r="M125" s="9" t="n">
        <x:f>IF(Y125="","",INDEX('浓度设置'!$P$6:$R$46,MATCH(Y125,'浓度设置'!$A$6:$A$46,0),IF(I125="L",1,IF(I125="M",2,3))))</x:f>
        <x:v>39</x:v>
      </x:c>
      <x:c r="N125" s="9" t="n">
        <x:f>IF(Z125="","",INDEX('浓度设置'!$P$6:$R$46,MATCH(Z125,'浓度设置'!$A$6:$A$46,0),IF(J125="L",1,IF(J125="M",2,3))))</x:f>
        <x:v>25642.45</x:v>
      </x:c>
      <x:c r="O125" s="9" t="n">
        <x:f>IF(AA125="","",INDEX('浓度设置'!$P$6:$R$46,MATCH(AA125,'浓度设置'!$A$6:$A$46,0),IF(K125="L",1,IF(K125="M",2,3))))</x:f>
        <x:v>28.044607324760317</x:v>
      </x:c>
      <x:c r="P125" s="9" t="n">
        <x:f>IF(AB125="","",INDEX('浓度设置'!$P$6:$R$46,MATCH(AB125,'浓度设置'!$A$6:$A$46,0),IF(L125="L",1,IF(L125="M",2,3))))</x:f>
        <x:v>89562.18016998023</x:v>
      </x:c>
      <x:c r="Q125" s="9" t="n">
        <x:f>IF(Y125="","",M125/INDEX('浓度设置'!$M$6:$M$46,MATCH(Y125,'浓度设置'!$A$6:$A$46,0)))</x:f>
        <x:v>6.610169491525423</x:v>
      </x:c>
      <x:c r="R125" s="9" t="n">
        <x:f>IF(Z125="","",N125/INDEX('浓度设置'!$M$6:$M$46,MATCH(Z125,'浓度设置'!$A$6:$A$46,0)))</x:f>
        <x:v>23.311318181818184</x:v>
      </x:c>
      <x:c r="S125" s="9" t="n">
        <x:f>IF(AA125="","",O125/INDEX('浓度设置'!$M$6:$M$46,MATCH(AA125,'浓度设置'!$A$6:$A$46,0)))</x:f>
        <x:v>0.10704048597236762</x:v>
      </x:c>
      <x:c r="T125" s="9" t="n">
        <x:f>IF(AB125="","",P125/INDEX('浓度设置'!$M$6:$M$46,MATCH(AB125,'浓度设置'!$A$6:$A$46,0)))</x:f>
        <x:v>1619.5692616632955</x:v>
      </x:c>
      <x:c r="U125" s="9" t="n">
        <x:f>IF(Y125="","",M125*$AD125/1000)</x:f>
        <x:v>0.78</x:v>
      </x:c>
      <x:c r="V125" s="9" t="n">
        <x:f>IF(Z125="","",N125*$AD125/1000)</x:f>
        <x:v>512.849</x:v>
      </x:c>
      <x:c r="W125" s="9" t="n">
        <x:f>IF(AA125="","",O125*$AD125/1000)</x:f>
        <x:v>0.5608921464952064</x:v>
      </x:c>
      <x:c r="X125" s="9" t="n">
        <x:f>IF(AB125="","",P125*$AD125/1000)</x:f>
        <x:v>1791.2436033996046</x:v>
      </x:c>
      <x:c r="Y125" s="3" t="n">
        <x:v>18</x:v>
      </x:c>
      <x:c r="Z125" s="3" t="n">
        <x:v>90</x:v>
      </x:c>
      <x:c r="AA125" s="3" t="n">
        <x:v>105</x:v>
      </x:c>
      <x:c r="AB125" s="3" t="n">
        <x:v>111</x:v>
      </x:c>
      <x:c r="AC125" s="3" t="n">
        <x:v>4</x:v>
      </x:c>
      <x:c r="AD125" s="3" t="n">
        <x:f>'方案总览'!$B$5</x:f>
        <x:v>20</x:v>
      </x:c>
    </x:row>
    <x:row r="126" ht="24" customHeight="1">
      <x:c r="A126" s="3" t="str">
        <x:v>T121</x:v>
      </x:c>
      <x:c r="B126" s="3" t="str">
        <x:v>拟合</x:v>
      </x:c>
      <x:c r="C126" s="3" t="str">
        <x:v>C035</x:v>
      </x:c>
      <x:c r="D126" s="3" t="str"/>
      <x:c r="E126" s="3" t="str">
        <x:v>己醛</x:v>
      </x:c>
      <x:c r="F126" s="3" t="str">
        <x:v>丁酸异戊酯</x:v>
      </x:c>
      <x:c r="G126" s="3" t="str">
        <x:v>辛酸乙酯</x:v>
      </x:c>
      <x:c r="H126" s="3" t="str">
        <x:v>异戊酸/3-甲基丁酸</x:v>
      </x:c>
      <x:c r="I126" s="3" t="str">
        <x:v>L</x:v>
      </x:c>
      <x:c r="J126" s="3" t="str">
        <x:v>M</x:v>
      </x:c>
      <x:c r="K126" s="3" t="str">
        <x:v>L</x:v>
      </x:c>
      <x:c r="L126" s="3" t="str">
        <x:v>M</x:v>
      </x:c>
      <x:c r="M126" s="9" t="n">
        <x:f>IF(Y126="","",INDEX('浓度设置'!$P$6:$R$46,MATCH(Y126,'浓度设置'!$A$6:$A$46,0),IF(I126="L",1,IF(I126="M",2,3))))</x:f>
        <x:v>173</x:v>
      </x:c>
      <x:c r="N126" s="9" t="n">
        <x:f>IF(Z126="","",INDEX('浓度设置'!$P$6:$R$46,MATCH(Z126,'浓度设置'!$A$6:$A$46,0),IF(J126="L",1,IF(J126="M",2,3))))</x:f>
        <x:v>1041.8500000000001</x:v>
      </x:c>
      <x:c r="O126" s="9" t="n">
        <x:f>IF(AA126="","",INDEX('浓度设置'!$P$6:$R$46,MATCH(AA126,'浓度设置'!$A$6:$A$46,0),IF(K126="L",1,IF(K126="M",2,3))))</x:f>
        <x:v>5.06</x:v>
      </x:c>
      <x:c r="P126" s="9" t="n">
        <x:f>IF(AB126="","",INDEX('浓度设置'!$P$6:$R$46,MATCH(AB126,'浓度设置'!$A$6:$A$46,0),IF(L126="L",1,IF(L126="M",2,3))))</x:f>
        <x:v>228.58258901324922</x:v>
      </x:c>
      <x:c r="Q126" s="9" t="n">
        <x:f>IF(Y126="","",M126/INDEX('浓度设置'!$M$6:$M$46,MATCH(Y126,'浓度设置'!$A$6:$A$46,0)))</x:f>
        <x:v>6.784313725490196</x:v>
      </x:c>
      <x:c r="R126" s="9" t="n">
        <x:f>IF(Z126="","",N126/INDEX('浓度设置'!$M$6:$M$46,MATCH(Z126,'浓度设置'!$A$6:$A$46,0)))</x:f>
        <x:v>1.1386338797814208</x:v>
      </x:c>
      <x:c r="S126" s="9" t="n">
        <x:f>IF(AA126="","",O126/INDEX('浓度设置'!$M$6:$M$46,MATCH(AA126,'浓度设置'!$A$6:$A$46,0)))</x:f>
        <x:v>0.39224806201550383</x:v>
      </x:c>
      <x:c r="T126" s="9" t="n">
        <x:f>IF(AB126="","",P126/INDEX('浓度设置'!$M$6:$M$46,MATCH(AB126,'浓度设置'!$A$6:$A$46,0)))</x:f>
        <x:v>0.21769770382214212</x:v>
      </x:c>
      <x:c r="U126" s="9" t="n">
        <x:f>IF(Y126="","",M126*$AD126/1000)</x:f>
        <x:v>3.46</x:v>
      </x:c>
      <x:c r="V126" s="9" t="n">
        <x:f>IF(Z126="","",N126*$AD126/1000)</x:f>
        <x:v>20.837000000000003</x:v>
      </x:c>
      <x:c r="W126" s="9" t="n">
        <x:f>IF(AA126="","",O126*$AD126/1000)</x:f>
        <x:v>0.10119999999999998</x:v>
      </x:c>
      <x:c r="X126" s="9" t="n">
        <x:f>IF(AB126="","",P126*$AD126/1000)</x:f>
        <x:v>4.571651780264984</x:v>
      </x:c>
      <x:c r="Y126" s="3" t="n">
        <x:v>7</x:v>
      </x:c>
      <x:c r="Z126" s="3" t="n">
        <x:v>56</x:v>
      </x:c>
      <x:c r="AA126" s="3" t="n">
        <x:v>58</x:v>
      </x:c>
      <x:c r="AB126" s="3" t="n">
        <x:v>136</x:v>
      </x:c>
      <x:c r="AC126" s="3" t="n">
        <x:v>4</x:v>
      </x:c>
      <x:c r="AD126" s="3" t="n">
        <x:f>'方案总览'!$B$5</x:f>
        <x:v>20</x:v>
      </x:c>
    </x:row>
    <x:row r="127" ht="24" customHeight="1">
      <x:c r="A127" s="3" t="str">
        <x:v>T122</x:v>
      </x:c>
      <x:c r="B127" s="3" t="str">
        <x:v>拟合</x:v>
      </x:c>
      <x:c r="C127" s="3" t="str">
        <x:v>C036</x:v>
      </x:c>
      <x:c r="D127" s="3" t="str"/>
      <x:c r="E127" s="3" t="str">
        <x:v>1-丁醇</x:v>
      </x:c>
      <x:c r="F127" s="3" t="str">
        <x:v>苯乙酸乙酯</x:v>
      </x:c>
      <x:c r="G127" s="3" t="str">
        <x:v>辛酸</x:v>
      </x:c>
      <x:c r="H127" s="3" t="str">
        <x:v>3-苯基丙酸乙酯</x:v>
      </x:c>
      <x:c r="I127" s="3" t="str">
        <x:v>L</x:v>
      </x:c>
      <x:c r="J127" s="3" t="str">
        <x:v>L</x:v>
      </x:c>
      <x:c r="K127" s="3" t="str">
        <x:v>L</x:v>
      </x:c>
      <x:c r="L127" s="3" t="str">
        <x:v>L</x:v>
      </x:c>
      <x:c r="M127" s="9" t="n">
        <x:f>IF(Y127="","",INDEX('浓度设置'!$P$6:$R$46,MATCH(Y127,'浓度设置'!$A$6:$A$46,0),IF(I127="L",1,IF(I127="M",2,3))))</x:f>
        <x:v>16.97</x:v>
      </x:c>
      <x:c r="N127" s="9" t="n">
        <x:f>IF(Z127="","",INDEX('浓度设置'!$P$6:$R$46,MATCH(Z127,'浓度设置'!$A$6:$A$46,0),IF(J127="L",1,IF(J127="M",2,3))))</x:f>
        <x:v>1.875</x:v>
      </x:c>
      <x:c r="O127" s="9" t="n">
        <x:f>IF(AA127="","",INDEX('浓度设置'!$P$6:$R$46,MATCH(AA127,'浓度设置'!$A$6:$A$46,0),IF(K127="L",1,IF(K127="M",2,3))))</x:f>
        <x:v>1.875</x:v>
      </x:c>
      <x:c r="P127" s="9" t="n">
        <x:f>IF(AB127="","",INDEX('浓度设置'!$P$6:$R$46,MATCH(AB127,'浓度设置'!$A$6:$A$46,0),IF(L127="L",1,IF(L127="M",2,3))))</x:f>
        <x:v>1.56</x:v>
      </x:c>
      <x:c r="Q127" s="9" t="n">
        <x:f>IF(Y127="","",M127/INDEX('浓度设置'!$M$6:$M$46,MATCH(Y127,'浓度设置'!$A$6:$A$46,0)))</x:f>
        <x:v>0.006209293816319063</x:v>
      </x:c>
      <x:c r="R127" s="9" t="n">
        <x:f>IF(Z127="","",N127/INDEX('浓度设置'!$M$6:$M$46,MATCH(Z127,'浓度设置'!$A$6:$A$46,0)))</x:f>
        <x:v>0.004606879606879607</x:v>
      </x:c>
      <x:c r="S127" s="9" t="n">
        <x:f>IF(AA127="","",O127/INDEX('浓度设置'!$M$6:$M$46,MATCH(AA127,'浓度设置'!$A$6:$A$46,0)))</x:f>
        <x:v>0.0006944444444444445</x:v>
      </x:c>
      <x:c r="T127" s="9" t="n">
        <x:f>IF(AB127="","",P127/INDEX('浓度设置'!$M$6:$M$46,MATCH(AB127,'浓度设置'!$A$6:$A$46,0)))</x:f>
        <x:v>0.01248</x:v>
      </x:c>
      <x:c r="U127" s="9" t="n">
        <x:f>IF(Y127="","",M127*$AD127/1000)</x:f>
        <x:v>0.3394</x:v>
      </x:c>
      <x:c r="V127" s="9" t="n">
        <x:f>IF(Z127="","",N127*$AD127/1000)</x:f>
        <x:v>0.0375</x:v>
      </x:c>
      <x:c r="W127" s="9" t="n">
        <x:f>IF(AA127="","",O127*$AD127/1000)</x:f>
        <x:v>0.0375</x:v>
      </x:c>
      <x:c r="X127" s="9" t="n">
        <x:f>IF(AB127="","",P127*$AD127/1000)</x:f>
        <x:v>0.031200000000000002</x:v>
      </x:c>
      <x:c r="Y127" s="3" t="n">
        <x:v>11</x:v>
      </x:c>
      <x:c r="Z127" s="3" t="n">
        <x:v>40</x:v>
      </x:c>
      <x:c r="AA127" s="3" t="n">
        <x:v>117</x:v>
      </x:c>
      <x:c r="AB127" s="3" t="n">
        <x:v>186</x:v>
      </x:c>
      <x:c r="AC127" s="3" t="n">
        <x:v>4</x:v>
      </x:c>
      <x:c r="AD127" s="3" t="n">
        <x:f>'方案总览'!$B$5</x:f>
        <x:v>20</x:v>
      </x:c>
    </x:row>
    <x:row r="128" ht="24" customHeight="1">
      <x:c r="A128" s="3" t="str">
        <x:v>T123</x:v>
      </x:c>
      <x:c r="B128" s="3" t="str">
        <x:v>拟合</x:v>
      </x:c>
      <x:c r="C128" s="3" t="str">
        <x:v>C037</x:v>
      </x:c>
      <x:c r="D128" s="3" t="str"/>
      <x:c r="E128" s="3" t="str">
        <x:v>癸酸乙酯</x:v>
      </x:c>
      <x:c r="F128" s="3" t="str">
        <x:v>辛酸</x:v>
      </x:c>
      <x:c r="G128" s="3" t="str">
        <x:v>戊酸乙酯</x:v>
      </x:c>
      <x:c r="H128" s="3" t="str">
        <x:v>己酸己酯</x:v>
      </x:c>
      <x:c r="I128" s="3" t="str">
        <x:v>H</x:v>
      </x:c>
      <x:c r="J128" s="3" t="str">
        <x:v>L</x:v>
      </x:c>
      <x:c r="K128" s="3" t="str">
        <x:v>H</x:v>
      </x:c>
      <x:c r="L128" s="3" t="str">
        <x:v>M</x:v>
      </x:c>
      <x:c r="M128" s="9" t="n">
        <x:f>IF(Y128="","",INDEX('浓度设置'!$P$6:$R$46,MATCH(Y128,'浓度设置'!$A$6:$A$46,0),IF(I128="L",1,IF(I128="M",2,3))))</x:f>
        <x:v>56115</x:v>
      </x:c>
      <x:c r="N128" s="9" t="n">
        <x:f>IF(Z128="","",INDEX('浓度设置'!$P$6:$R$46,MATCH(Z128,'浓度设置'!$A$6:$A$46,0),IF(J128="L",1,IF(J128="M",2,3))))</x:f>
        <x:v>1.875</x:v>
      </x:c>
      <x:c r="O128" s="9" t="n">
        <x:f>IF(AA128="","",INDEX('浓度设置'!$P$6:$R$46,MATCH(AA128,'浓度设置'!$A$6:$A$46,0),IF(K128="L",1,IF(K128="M",2,3))))</x:f>
        <x:v>1039840</x:v>
      </x:c>
      <x:c r="P128" s="9" t="n">
        <x:f>IF(AB128="","",INDEX('浓度设置'!$P$6:$R$46,MATCH(AB128,'浓度设置'!$A$6:$A$46,0),IF(L128="L",1,IF(L128="M",2,3))))</x:f>
        <x:v>695.986709643223</x:v>
      </x:c>
      <x:c r="Q128" s="9" t="n">
        <x:f>IF(Y128="","",M128/INDEX('浓度设置'!$M$6:$M$46,MATCH(Y128,'浓度设置'!$A$6:$A$46,0)))</x:f>
        <x:v>50.10267857142857</x:v>
      </x:c>
      <x:c r="R128" s="9" t="n">
        <x:f>IF(Z128="","",N128/INDEX('浓度设置'!$M$6:$M$46,MATCH(Z128,'浓度设置'!$A$6:$A$46,0)))</x:f>
        <x:v>0.0006944444444444445</x:v>
      </x:c>
      <x:c r="S128" s="9" t="n">
        <x:f>IF(AA128="","",O128/INDEX('浓度设置'!$M$6:$M$46,MATCH(AA128,'浓度设置'!$A$6:$A$46,0)))</x:f>
        <x:v>38800</x:v>
      </x:c>
      <x:c r="T128" s="9" t="n">
        <x:f>IF(AB128="","",P128/INDEX('浓度设置'!$M$6:$M$46,MATCH(AB128,'浓度设置'!$A$6:$A$46,0)))</x:f>
        <x:v>0.3680521997055648</x:v>
      </x:c>
      <x:c r="U128" s="9" t="n">
        <x:f>IF(Y128="","",M128*$AD128/1000)</x:f>
        <x:v>1122.3</x:v>
      </x:c>
      <x:c r="V128" s="9" t="n">
        <x:f>IF(Z128="","",N128*$AD128/1000)</x:f>
        <x:v>0.0375</x:v>
      </x:c>
      <x:c r="W128" s="9" t="n">
        <x:f>IF(AA128="","",O128*$AD128/1000)</x:f>
        <x:v>20796.8</x:v>
      </x:c>
      <x:c r="X128" s="9" t="n">
        <x:f>IF(AB128="","",P128*$AD128/1000)</x:f>
        <x:v>13.91973419286446</x:v>
      </x:c>
      <x:c r="Y128" s="3" t="n">
        <x:v>79</x:v>
      </x:c>
      <x:c r="Z128" s="3" t="n">
        <x:v>117</x:v>
      </x:c>
      <x:c r="AA128" s="3" t="n">
        <x:v>141</x:v>
      </x:c>
      <x:c r="AB128" s="3" t="n">
        <x:v>227</x:v>
      </x:c>
      <x:c r="AC128" s="3" t="n">
        <x:v>4</x:v>
      </x:c>
      <x:c r="AD128" s="3" t="n">
        <x:f>'方案总览'!$B$5</x:f>
        <x:v>20</x:v>
      </x:c>
    </x:row>
    <x:row r="129" ht="24" customHeight="1">
      <x:c r="A129" s="3" t="str">
        <x:v>T124</x:v>
      </x:c>
      <x:c r="B129" s="3" t="str">
        <x:v>拟合</x:v>
      </x:c>
      <x:c r="C129" s="3" t="str">
        <x:v>C038</x:v>
      </x:c>
      <x:c r="D129" s="3" t="str"/>
      <x:c r="E129" s="3" t="str">
        <x:v>丁酸异戊酯</x:v>
      </x:c>
      <x:c r="F129" s="3" t="str">
        <x:v>乙酸异戊酯</x:v>
      </x:c>
      <x:c r="G129" s="3" t="str">
        <x:v>异戊醛</x:v>
      </x:c>
      <x:c r="H129" s="3" t="str">
        <x:v>己酸丁酯</x:v>
      </x:c>
      <x:c r="I129" s="3" t="str">
        <x:v>M</x:v>
      </x:c>
      <x:c r="J129" s="3" t="str">
        <x:v>H</x:v>
      </x:c>
      <x:c r="K129" s="3" t="str">
        <x:v>H</x:v>
      </x:c>
      <x:c r="L129" s="3" t="str">
        <x:v>H</x:v>
      </x:c>
      <x:c r="M129" s="9" t="n">
        <x:f>IF(Y129="","",INDEX('浓度设置'!$P$6:$R$46,MATCH(Y129,'浓度设置'!$A$6:$A$46,0),IF(I129="L",1,IF(I129="M",2,3))))</x:f>
        <x:v>1041.8500000000001</x:v>
      </x:c>
      <x:c r="N129" s="9" t="n">
        <x:f>IF(Z129="","",INDEX('浓度设置'!$P$6:$R$46,MATCH(Z129,'浓度设置'!$A$6:$A$46,0),IF(J129="L",1,IF(J129="M",2,3))))</x:f>
        <x:v>6516</x:v>
      </x:c>
      <x:c r="O129" s="9" t="n">
        <x:f>IF(AA129="","",INDEX('浓度设置'!$P$6:$R$46,MATCH(AA129,'浓度设置'!$A$6:$A$46,0),IF(K129="L",1,IF(K129="M",2,3))))</x:f>
        <x:v>227200</x:v>
      </x:c>
      <x:c r="P129" s="9" t="n">
        <x:f>IF(AB129="","",INDEX('浓度设置'!$P$6:$R$46,MATCH(AB129,'浓度设置'!$A$6:$A$46,0),IF(L129="L",1,IF(L129="M",2,3))))</x:f>
        <x:v>86300</x:v>
      </x:c>
      <x:c r="Q129" s="9" t="n">
        <x:f>IF(Y129="","",M129/INDEX('浓度设置'!$M$6:$M$46,MATCH(Y129,'浓度设置'!$A$6:$A$46,0)))</x:f>
        <x:v>1.1386338797814208</x:v>
      </x:c>
      <x:c r="R129" s="9" t="n">
        <x:f>IF(Z129="","",N129/INDEX('浓度设置'!$M$6:$M$46,MATCH(Z129,'浓度设置'!$A$6:$A$46,0)))</x:f>
        <x:v>69.39297124600638</x:v>
      </x:c>
      <x:c r="S129" s="9" t="n">
        <x:f>IF(AA129="","",O129/INDEX('浓度设置'!$M$6:$M$46,MATCH(AA129,'浓度设置'!$A$6:$A$46,0)))</x:f>
        <x:v>13769.69696969697</x:v>
      </x:c>
      <x:c r="T129" s="9" t="n">
        <x:f>IF(AB129="","",P129/INDEX('浓度设置'!$M$6:$M$46,MATCH(AB129,'浓度设置'!$A$6:$A$46,0)))</x:f>
        <x:v>127.31618080963058</x:v>
      </x:c>
      <x:c r="U129" s="9" t="n">
        <x:f>IF(Y129="","",M129*$AD129/1000)</x:f>
        <x:v>20.837000000000003</x:v>
      </x:c>
      <x:c r="V129" s="9" t="n">
        <x:f>IF(Z129="","",N129*$AD129/1000)</x:f>
        <x:v>130.32</x:v>
      </x:c>
      <x:c r="W129" s="9" t="n">
        <x:f>IF(AA129="","",O129*$AD129/1000)</x:f>
        <x:v>4544</x:v>
      </x:c>
      <x:c r="X129" s="9" t="n">
        <x:f>IF(AB129="","",P129*$AD129/1000)</x:f>
        <x:v>1726</x:v>
      </x:c>
      <x:c r="Y129" s="3" t="n">
        <x:v>56</x:v>
      </x:c>
      <x:c r="Z129" s="3" t="n">
        <x:v>115</x:v>
      </x:c>
      <x:c r="AA129" s="3" t="n">
        <x:v>152</x:v>
      </x:c>
      <x:c r="AB129" s="3" t="n">
        <x:v>165</x:v>
      </x:c>
      <x:c r="AC129" s="3" t="n">
        <x:v>4</x:v>
      </x:c>
      <x:c r="AD129" s="3" t="n">
        <x:f>'方案总览'!$B$5</x:f>
        <x:v>20</x:v>
      </x:c>
    </x:row>
    <x:row r="130" ht="24" customHeight="1">
      <x:c r="A130" s="3" t="str">
        <x:v>T125</x:v>
      </x:c>
      <x:c r="B130" s="3" t="str">
        <x:v>拟合</x:v>
      </x:c>
      <x:c r="C130" s="3" t="str">
        <x:v>C039</x:v>
      </x:c>
      <x:c r="D130" s="3" t="str"/>
      <x:c r="E130" s="3" t="str">
        <x:v>己醛</x:v>
      </x:c>
      <x:c r="F130" s="3" t="str">
        <x:v>异丁酸乙酯</x:v>
      </x:c>
      <x:c r="G130" s="3" t="str">
        <x:v>苯乙醛</x:v>
      </x:c>
      <x:c r="H130" s="3" t="str">
        <x:v>戊酸乙酯</x:v>
      </x:c>
      <x:c r="I130" s="3" t="str">
        <x:v>H</x:v>
      </x:c>
      <x:c r="J130" s="3" t="str">
        <x:v>H</x:v>
      </x:c>
      <x:c r="K130" s="3" t="str">
        <x:v>L</x:v>
      </x:c>
      <x:c r="L130" s="3" t="str">
        <x:v>H</x:v>
      </x:c>
      <x:c r="M130" s="9" t="n">
        <x:f>IF(Y130="","",INDEX('浓度设置'!$P$6:$R$46,MATCH(Y130,'浓度设置'!$A$6:$A$46,0),IF(I130="L",1,IF(I130="M",2,3))))</x:f>
        <x:v>3075.94</x:v>
      </x:c>
      <x:c r="N130" s="9" t="n">
        <x:f>IF(Z130="","",INDEX('浓度设置'!$P$6:$R$46,MATCH(Z130,'浓度设置'!$A$6:$A$46,0),IF(J130="L",1,IF(J130="M",2,3))))</x:f>
        <x:v>37489</x:v>
      </x:c>
      <x:c r="O130" s="9" t="n">
        <x:f>IF(AA130="","",INDEX('浓度设置'!$P$6:$R$46,MATCH(AA130,'浓度设置'!$A$6:$A$46,0),IF(K130="L",1,IF(K130="M",2,3))))</x:f>
        <x:v>0.05</x:v>
      </x:c>
      <x:c r="P130" s="9" t="n">
        <x:f>IF(AB130="","",INDEX('浓度设置'!$P$6:$R$46,MATCH(AB130,'浓度设置'!$A$6:$A$46,0),IF(L130="L",1,IF(L130="M",2,3))))</x:f>
        <x:v>1039840</x:v>
      </x:c>
      <x:c r="Q130" s="9" t="n">
        <x:f>IF(Y130="","",M130/INDEX('浓度设置'!$M$6:$M$46,MATCH(Y130,'浓度设置'!$A$6:$A$46,0)))</x:f>
        <x:v>120.62509803921569</x:v>
      </x:c>
      <x:c r="R130" s="9" t="n">
        <x:f>IF(Z130="","",N130/INDEX('浓度设置'!$M$6:$M$46,MATCH(Z130,'浓度设置'!$A$6:$A$46,0)))</x:f>
        <x:v>651.9826086956522</x:v>
      </x:c>
      <x:c r="S130" s="9" t="n">
        <x:f>IF(AA130="","",O130/INDEX('浓度设置'!$M$6:$M$46,MATCH(AA130,'浓度设置'!$A$6:$A$46,0)))</x:f>
        <x:v>0.00019083969465648855</x:v>
      </x:c>
      <x:c r="T130" s="9" t="n">
        <x:f>IF(AB130="","",P130/INDEX('浓度设置'!$M$6:$M$46,MATCH(AB130,'浓度设置'!$A$6:$A$46,0)))</x:f>
        <x:v>38800</x:v>
      </x:c>
      <x:c r="U130" s="9" t="n">
        <x:f>IF(Y130="","",M130*$AD130/1000)</x:f>
        <x:v>61.518800000000006</x:v>
      </x:c>
      <x:c r="V130" s="9" t="n">
        <x:f>IF(Z130="","",N130*$AD130/1000)</x:f>
        <x:v>749.78</x:v>
      </x:c>
      <x:c r="W130" s="9" t="n">
        <x:f>IF(AA130="","",O130*$AD130/1000)</x:f>
        <x:v>0.001</x:v>
      </x:c>
      <x:c r="X130" s="9" t="n">
        <x:f>IF(AB130="","",P130*$AD130/1000)</x:f>
        <x:v>20796.8</x:v>
      </x:c>
      <x:c r="Y130" s="3" t="n">
        <x:v>7</x:v>
      </x:c>
      <x:c r="Z130" s="3" t="n">
        <x:v>32</x:v>
      </x:c>
      <x:c r="AA130" s="3" t="n">
        <x:v>105</x:v>
      </x:c>
      <x:c r="AB130" s="3" t="n">
        <x:v>141</x:v>
      </x:c>
      <x:c r="AC130" s="3" t="n">
        <x:v>4</x:v>
      </x:c>
      <x:c r="AD130" s="3" t="n">
        <x:f>'方案总览'!$B$5</x:f>
        <x:v>20</x:v>
      </x:c>
    </x:row>
    <x:row r="131" ht="24" customHeight="1">
      <x:c r="A131" s="3" t="str">
        <x:v>T126</x:v>
      </x:c>
      <x:c r="B131" s="3" t="str">
        <x:v>拟合</x:v>
      </x:c>
      <x:c r="C131" s="3" t="str">
        <x:v>C040</x:v>
      </x:c>
      <x:c r="D131" s="3" t="str"/>
      <x:c r="E131" s="3" t="str">
        <x:v>1-丁醇</x:v>
      </x:c>
      <x:c r="F131" s="3" t="str">
        <x:v>癸酸乙酯</x:v>
      </x:c>
      <x:c r="G131" s="3" t="str">
        <x:v>乙酸丁酯</x:v>
      </x:c>
      <x:c r="H131" s="3" t="str">
        <x:v>己酸丁酯</x:v>
      </x:c>
      <x:c r="I131" s="3" t="str">
        <x:v>M</x:v>
      </x:c>
      <x:c r="J131" s="3" t="str">
        <x:v>H</x:v>
      </x:c>
      <x:c r="K131" s="3" t="str">
        <x:v>H</x:v>
      </x:c>
      <x:c r="L131" s="3" t="str">
        <x:v>M</x:v>
      </x:c>
      <x:c r="M131" s="9" t="n">
        <x:f>IF(Y131="","",INDEX('浓度设置'!$P$6:$R$46,MATCH(Y131,'浓度设置'!$A$6:$A$46,0),IF(I131="L",1,IF(I131="M",2,3))))</x:f>
        <x:v>4198.825192836682</x:v>
      </x:c>
      <x:c r="N131" s="9" t="n">
        <x:f>IF(Z131="","",INDEX('浓度设置'!$P$6:$R$46,MATCH(Z131,'浓度设置'!$A$6:$A$46,0),IF(J131="L",1,IF(J131="M",2,3))))</x:f>
        <x:v>56115</x:v>
      </x:c>
      <x:c r="O131" s="9" t="n">
        <x:f>IF(AA131="","",INDEX('浓度设置'!$P$6:$R$46,MATCH(AA131,'浓度设置'!$A$6:$A$46,0),IF(K131="L",1,IF(K131="M",2,3))))</x:f>
        <x:v>47100</x:v>
      </x:c>
      <x:c r="P131" s="9" t="n">
        <x:f>IF(AB131="","",INDEX('浓度设置'!$P$6:$R$46,MATCH(AB131,'浓度设置'!$A$6:$A$46,0),IF(L131="L",1,IF(L131="M",2,3))))</x:f>
        <x:v>823.735</x:v>
      </x:c>
      <x:c r="Q131" s="9" t="n">
        <x:f>IF(Y131="","",M131/INDEX('浓度设置'!$M$6:$M$46,MATCH(Y131,'浓度设置'!$A$6:$A$46,0)))</x:f>
        <x:v>1.5363429172472307</x:v>
      </x:c>
      <x:c r="R131" s="9" t="n">
        <x:f>IF(Z131="","",N131/INDEX('浓度设置'!$M$6:$M$46,MATCH(Z131,'浓度设置'!$A$6:$A$46,0)))</x:f>
        <x:v>50.10267857142857</x:v>
      </x:c>
      <x:c r="S131" s="9" t="n">
        <x:f>IF(AA131="","",O131/INDEX('浓度设置'!$M$6:$M$46,MATCH(AA131,'浓度设置'!$A$6:$A$46,0)))</x:f>
        <x:v>26.166666666666668</x:v>
      </x:c>
      <x:c r="T131" s="9" t="n">
        <x:f>IF(AB131="","",P131/INDEX('浓度设置'!$M$6:$M$46,MATCH(AB131,'浓度设置'!$A$6:$A$46,0)))</x:f>
        <x:v>1.2152351587395256</x:v>
      </x:c>
      <x:c r="U131" s="9" t="n">
        <x:f>IF(Y131="","",M131*$AD131/1000)</x:f>
        <x:v>83.97650385673363</x:v>
      </x:c>
      <x:c r="V131" s="9" t="n">
        <x:f>IF(Z131="","",N131*$AD131/1000)</x:f>
        <x:v>1122.3</x:v>
      </x:c>
      <x:c r="W131" s="9" t="n">
        <x:f>IF(AA131="","",O131*$AD131/1000)</x:f>
        <x:v>942</x:v>
      </x:c>
      <x:c r="X131" s="9" t="n">
        <x:f>IF(AB131="","",P131*$AD131/1000)</x:f>
        <x:v>16.474700000000002</x:v>
      </x:c>
      <x:c r="Y131" s="3" t="n">
        <x:v>11</x:v>
      </x:c>
      <x:c r="Z131" s="3" t="n">
        <x:v>79</x:v>
      </x:c>
      <x:c r="AA131" s="3" t="n">
        <x:v>114</x:v>
      </x:c>
      <x:c r="AB131" s="3" t="n">
        <x:v>165</x:v>
      </x:c>
      <x:c r="AC131" s="3" t="n">
        <x:v>4</x:v>
      </x:c>
      <x:c r="AD131" s="3" t="n">
        <x:f>'方案总览'!$B$5</x:f>
        <x:v>20</x:v>
      </x:c>
    </x:row>
    <x:row r="132" ht="24" customHeight="1">
      <x:c r="A132" s="3" t="str">
        <x:v>T127</x:v>
      </x:c>
      <x:c r="B132" s="3" t="str">
        <x:v>拟合</x:v>
      </x:c>
      <x:c r="C132" s="3" t="str">
        <x:v>C041</x:v>
      </x:c>
      <x:c r="D132" s="3" t="str"/>
      <x:c r="E132" s="3" t="str">
        <x:v>乙醛二乙缩醛</x:v>
      </x:c>
      <x:c r="F132" s="3" t="str">
        <x:v>1-辛醇</x:v>
      </x:c>
      <x:c r="G132" s="3" t="str">
        <x:v>3-苯基丙酸乙酯</x:v>
      </x:c>
      <x:c r="H132" s="3" t="str">
        <x:v>二甲基三硫醚</x:v>
      </x:c>
      <x:c r="I132" s="3" t="str">
        <x:v>M</x:v>
      </x:c>
      <x:c r="J132" s="3" t="str">
        <x:v>M</x:v>
      </x:c>
      <x:c r="K132" s="3" t="str">
        <x:v>H</x:v>
      </x:c>
      <x:c r="L132" s="3" t="str">
        <x:v>M</x:v>
      </x:c>
      <x:c r="M132" s="9" t="n">
        <x:f>IF(Y132="","",INDEX('浓度设置'!$P$6:$R$46,MATCH(Y132,'浓度设置'!$A$6:$A$46,0),IF(I132="L",1,IF(I132="M",2,3))))</x:f>
        <x:v>2745.3821227654266</x:v>
      </x:c>
      <x:c r="N132" s="9" t="n">
        <x:f>IF(Z132="","",INDEX('浓度设置'!$P$6:$R$46,MATCH(Z132,'浓度设置'!$A$6:$A$46,0),IF(J132="L",1,IF(J132="M",2,3))))</x:f>
        <x:v>1232.25</x:v>
      </x:c>
      <x:c r="O132" s="9" t="n">
        <x:f>IF(AA132="","",INDEX('浓度设置'!$P$6:$R$46,MATCH(AA132,'浓度设置'!$A$6:$A$46,0),IF(K132="L",1,IF(K132="M",2,3))))</x:f>
        <x:v>11648000</x:v>
      </x:c>
      <x:c r="P132" s="9" t="n">
        <x:f>IF(AB132="","",INDEX('浓度设置'!$P$6:$R$46,MATCH(AB132,'浓度设置'!$A$6:$A$46,0),IF(L132="L",1,IF(L132="M",2,3))))</x:f>
        <x:v>34.2987346705385</x:v>
      </x:c>
      <x:c r="Q132" s="9" t="n">
        <x:f>IF(Y132="","",M132/INDEX('浓度设置'!$M$6:$M$46,MATCH(Y132,'浓度设置'!$A$6:$A$46,0)))</x:f>
        <x:v>1.3135799630456586</x:v>
      </x:c>
      <x:c r="R132" s="9" t="n">
        <x:f>IF(Z132="","",N132/INDEX('浓度设置'!$M$6:$M$46,MATCH(Z132,'浓度设置'!$A$6:$A$46,0)))</x:f>
        <x:v>1.1202272727272726</x:v>
      </x:c>
      <x:c r="S132" s="9" t="n">
        <x:f>IF(AA132="","",O132/INDEX('浓度设置'!$M$6:$M$46,MATCH(AA132,'浓度设置'!$A$6:$A$46,0)))</x:f>
        <x:v>93184</x:v>
      </x:c>
      <x:c r="T132" s="9" t="n">
        <x:f>IF(AB132="","",P132/INDEX('浓度设置'!$M$6:$M$46,MATCH(AB132,'浓度设置'!$A$6:$A$46,0)))</x:f>
        <x:v>95.27426297371807</x:v>
      </x:c>
      <x:c r="U132" s="9" t="n">
        <x:f>IF(Y132="","",M132*$AD132/1000)</x:f>
        <x:v>54.90764245530853</x:v>
      </x:c>
      <x:c r="V132" s="9" t="n">
        <x:f>IF(Z132="","",N132*$AD132/1000)</x:f>
        <x:v>24.645</x:v>
      </x:c>
      <x:c r="W132" s="9" t="n">
        <x:f>IF(AA132="","",O132*$AD132/1000)</x:f>
        <x:v>232960</x:v>
      </x:c>
      <x:c r="X132" s="9" t="n">
        <x:f>IF(AB132="","",P132*$AD132/1000)</x:f>
        <x:v>0.68597469341077</x:v>
      </x:c>
      <x:c r="Y132" s="3" t="n">
        <x:v>53</x:v>
      </x:c>
      <x:c r="Z132" s="3" t="n">
        <x:v>90</x:v>
      </x:c>
      <x:c r="AA132" s="3" t="n">
        <x:v>186</x:v>
      </x:c>
      <x:c r="AB132" s="3" t="n">
        <x:v>209</x:v>
      </x:c>
      <x:c r="AC132" s="3" t="n">
        <x:v>4</x:v>
      </x:c>
      <x:c r="AD132" s="3" t="n">
        <x:f>'方案总览'!$B$5</x:f>
        <x:v>20</x:v>
      </x:c>
    </x:row>
    <x:row r="133" ht="24" customHeight="1">
      <x:c r="A133" s="3" t="str">
        <x:v>T128</x:v>
      </x:c>
      <x:c r="B133" s="3" t="str">
        <x:v>拟合</x:v>
      </x:c>
      <x:c r="C133" s="3" t="str">
        <x:v>C042</x:v>
      </x:c>
      <x:c r="D133" s="3" t="str"/>
      <x:c r="E133" s="3" t="str">
        <x:v>苯乙酸乙酯</x:v>
      </x:c>
      <x:c r="F133" s="3" t="str">
        <x:v>辛酸乙酯</x:v>
      </x:c>
      <x:c r="G133" s="3" t="str">
        <x:v>异戊酸乙酯（3-甲基丁酸乙酯）</x:v>
      </x:c>
      <x:c r="H133" s="3" t="str">
        <x:v>戊酸</x:v>
      </x:c>
      <x:c r="I133" s="3" t="str">
        <x:v>H</x:v>
      </x:c>
      <x:c r="J133" s="3" t="str">
        <x:v>L</x:v>
      </x:c>
      <x:c r="K133" s="3" t="str">
        <x:v>L</x:v>
      </x:c>
      <x:c r="L133" s="3" t="str">
        <x:v>H</x:v>
      </x:c>
      <x:c r="M133" s="9" t="n">
        <x:f>IF(Y133="","",INDEX('浓度设置'!$P$6:$R$46,MATCH(Y133,'浓度设置'!$A$6:$A$46,0),IF(I133="L",1,IF(I133="M",2,3))))</x:f>
        <x:v>21400</x:v>
      </x:c>
      <x:c r="N133" s="9" t="n">
        <x:f>IF(Z133="","",INDEX('浓度设置'!$P$6:$R$46,MATCH(Z133,'浓度设置'!$A$6:$A$46,0),IF(J133="L",1,IF(J133="M",2,3))))</x:f>
        <x:v>5.06</x:v>
      </x:c>
      <x:c r="O133" s="9" t="n">
        <x:f>IF(AA133="","",INDEX('浓度设置'!$P$6:$R$46,MATCH(AA133,'浓度设置'!$A$6:$A$46,0),IF(K133="L",1,IF(K133="M",2,3))))</x:f>
        <x:v>0.83</x:v>
      </x:c>
      <x:c r="P133" s="9" t="n">
        <x:f>IF(AB133="","",INDEX('浓度设置'!$P$6:$R$46,MATCH(AB133,'浓度设置'!$A$6:$A$46,0),IF(L133="L",1,IF(L133="M",2,3))))</x:f>
        <x:v>62700</x:v>
      </x:c>
      <x:c r="Q133" s="9" t="n">
        <x:f>IF(Y133="","",M133/INDEX('浓度设置'!$M$6:$M$46,MATCH(Y133,'浓度设置'!$A$6:$A$46,0)))</x:f>
        <x:v>52.57985257985258</x:v>
      </x:c>
      <x:c r="R133" s="9" t="n">
        <x:f>IF(Z133="","",N133/INDEX('浓度设置'!$M$6:$M$46,MATCH(Z133,'浓度设置'!$A$6:$A$46,0)))</x:f>
        <x:v>0.39224806201550383</x:v>
      </x:c>
      <x:c r="S133" s="9" t="n">
        <x:f>IF(AA133="","",O133/INDEX('浓度设置'!$M$6:$M$46,MATCH(AA133,'浓度设置'!$A$6:$A$46,0)))</x:f>
        <x:v>0.1204644412191582</x:v>
      </x:c>
      <x:c r="T133" s="9" t="n">
        <x:f>IF(AB133="","",P133/INDEX('浓度设置'!$M$6:$M$46,MATCH(AB133,'浓度设置'!$A$6:$A$46,0)))</x:f>
        <x:v>161.18251928020567</x:v>
      </x:c>
      <x:c r="U133" s="9" t="n">
        <x:f>IF(Y133="","",M133*$AD133/1000)</x:f>
        <x:v>428</x:v>
      </x:c>
      <x:c r="V133" s="9" t="n">
        <x:f>IF(Z133="","",N133*$AD133/1000)</x:f>
        <x:v>0.10119999999999998</x:v>
      </x:c>
      <x:c r="W133" s="9" t="n">
        <x:f>IF(AA133="","",O133*$AD133/1000)</x:f>
        <x:v>0.016599999999999997</x:v>
      </x:c>
      <x:c r="X133" s="9" t="n">
        <x:f>IF(AB133="","",P133*$AD133/1000)</x:f>
        <x:v>1254</x:v>
      </x:c>
      <x:c r="Y133" s="3" t="n">
        <x:v>40</x:v>
      </x:c>
      <x:c r="Z133" s="3" t="n">
        <x:v>58</x:v>
      </x:c>
      <x:c r="AA133" s="3" t="n">
        <x:v>69</x:v>
      </x:c>
      <x:c r="AB133" s="3" t="n">
        <x:v>75</x:v>
      </x:c>
      <x:c r="AC133" s="3" t="n">
        <x:v>4</x:v>
      </x:c>
      <x:c r="AD133" s="3" t="n">
        <x:f>'方案总览'!$B$5</x:f>
        <x:v>20</x:v>
      </x:c>
    </x:row>
    <x:row r="134" ht="24" customHeight="1">
      <x:c r="A134" s="3" t="str">
        <x:v>T129</x:v>
      </x:c>
      <x:c r="B134" s="3" t="str">
        <x:v>拟合</x:v>
      </x:c>
      <x:c r="C134" s="3" t="str">
        <x:v>C043</x:v>
      </x:c>
      <x:c r="D134" s="3" t="str"/>
      <x:c r="E134" s="3" t="str">
        <x:v>异戊酸/3-甲基丁酸</x:v>
      </x:c>
      <x:c r="F134" s="3" t="str">
        <x:v>异戊醛</x:v>
      </x:c>
      <x:c r="G134" s="3" t="str">
        <x:v>己酸己酯</x:v>
      </x:c>
      <x:c r="H134" s="3" t="str">
        <x:v>2-甲基丁酸乙酯</x:v>
      </x:c>
      <x:c r="I134" s="3" t="str">
        <x:v>M</x:v>
      </x:c>
      <x:c r="J134" s="3" t="str">
        <x:v>H</x:v>
      </x:c>
      <x:c r="K134" s="3" t="str">
        <x:v>L</x:v>
      </x:c>
      <x:c r="L134" s="3" t="str">
        <x:v>M</x:v>
      </x:c>
      <x:c r="M134" s="9" t="n">
        <x:f>IF(Y134="","",INDEX('浓度设置'!$P$6:$R$46,MATCH(Y134,'浓度设置'!$A$6:$A$46,0),IF(I134="L",1,IF(I134="M",2,3))))</x:f>
        <x:v>228.58258901324922</x:v>
      </x:c>
      <x:c r="N134" s="9" t="n">
        <x:f>IF(Z134="","",INDEX('浓度设置'!$P$6:$R$46,MATCH(Z134,'浓度设置'!$A$6:$A$46,0),IF(J134="L",1,IF(J134="M",2,3))))</x:f>
        <x:v>227200</x:v>
      </x:c>
      <x:c r="O134" s="9" t="n">
        <x:f>IF(AA134="","",INDEX('浓度设置'!$P$6:$R$46,MATCH(AA134,'浓度设置'!$A$6:$A$46,0),IF(K134="L",1,IF(K134="M",2,3))))</x:f>
        <x:v>2.5</x:v>
      </x:c>
      <x:c r="P134" s="9" t="n">
        <x:f>IF(AB134="","",INDEX('浓度设置'!$P$6:$R$46,MATCH(AB134,'浓度设置'!$A$6:$A$46,0),IF(L134="L",1,IF(L134="M",2,3))))</x:f>
        <x:v>39.53062104242735</x:v>
      </x:c>
      <x:c r="Q134" s="9" t="n">
        <x:f>IF(Y134="","",M134/INDEX('浓度设置'!$M$6:$M$46,MATCH(Y134,'浓度设置'!$A$6:$A$46,0)))</x:f>
        <x:v>0.21769770382214212</x:v>
      </x:c>
      <x:c r="R134" s="9" t="n">
        <x:f>IF(Z134="","",N134/INDEX('浓度设置'!$M$6:$M$46,MATCH(Z134,'浓度设置'!$A$6:$A$46,0)))</x:f>
        <x:v>13769.69696969697</x:v>
      </x:c>
      <x:c r="S134" s="9" t="n">
        <x:f>IF(AA134="","",O134/INDEX('浓度设置'!$M$6:$M$46,MATCH(AA134,'浓度设置'!$A$6:$A$46,0)))</x:f>
        <x:v>0.0013220518244315177</x:v>
      </x:c>
      <x:c r="T134" s="9" t="n">
        <x:f>IF(AB134="","",P134/INDEX('浓度设置'!$M$6:$M$46,MATCH(AB134,'浓度设置'!$A$6:$A$46,0)))</x:f>
        <x:v>2.196145613468186</x:v>
      </x:c>
      <x:c r="U134" s="9" t="n">
        <x:f>IF(Y134="","",M134*$AD134/1000)</x:f>
        <x:v>4.571651780264984</x:v>
      </x:c>
      <x:c r="V134" s="9" t="n">
        <x:f>IF(Z134="","",N134*$AD134/1000)</x:f>
        <x:v>4544</x:v>
      </x:c>
      <x:c r="W134" s="9" t="n">
        <x:f>IF(AA134="","",O134*$AD134/1000)</x:f>
        <x:v>0.05</x:v>
      </x:c>
      <x:c r="X134" s="9" t="n">
        <x:f>IF(AB134="","",P134*$AD134/1000)</x:f>
        <x:v>0.790612420848547</x:v>
      </x:c>
      <x:c r="Y134" s="3" t="n">
        <x:v>136</x:v>
      </x:c>
      <x:c r="Z134" s="3" t="n">
        <x:v>152</x:v>
      </x:c>
      <x:c r="AA134" s="3" t="n">
        <x:v>227</x:v>
      </x:c>
      <x:c r="AB134" s="3" t="n">
        <x:v>232</x:v>
      </x:c>
      <x:c r="AC134" s="3" t="n">
        <x:v>4</x:v>
      </x:c>
      <x:c r="AD134" s="3" t="n">
        <x:f>'方案总览'!$B$5</x:f>
        <x:v>20</x:v>
      </x:c>
    </x:row>
    <x:row r="135" ht="24" customHeight="1">
      <x:c r="A135" s="3" t="str">
        <x:v>T130</x:v>
      </x:c>
      <x:c r="B135" s="3" t="str">
        <x:v>拟合</x:v>
      </x:c>
      <x:c r="C135" s="3" t="str">
        <x:v>C044</x:v>
      </x:c>
      <x:c r="D135" s="3" t="str"/>
      <x:c r="E135" s="3" t="str">
        <x:v>2-甲基丙醛</x:v>
      </x:c>
      <x:c r="F135" s="3" t="str">
        <x:v>丁酸乙酯</x:v>
      </x:c>
      <x:c r="G135" s="3" t="str">
        <x:v>乙酸异戊酯</x:v>
      </x:c>
      <x:c r="H135" s="3" t="str">
        <x:v>己酸</x:v>
      </x:c>
      <x:c r="I135" s="3" t="str">
        <x:v>M</x:v>
      </x:c>
      <x:c r="J135" s="3" t="str">
        <x:v>H</x:v>
      </x:c>
      <x:c r="K135" s="3" t="str">
        <x:v>M</x:v>
      </x:c>
      <x:c r="L135" s="3" t="str">
        <x:v>H</x:v>
      </x:c>
      <x:c r="M135" s="9" t="n">
        <x:f>IF(Y135="","",INDEX('浓度设置'!$P$6:$R$46,MATCH(Y135,'浓度设置'!$A$6:$A$46,0),IF(I135="L",1,IF(I135="M",2,3))))</x:f>
        <x:v>1183.2582135780847</x:v>
      </x:c>
      <x:c r="N135" s="9" t="n">
        <x:f>IF(Z135="","",INDEX('浓度设置'!$P$6:$R$46,MATCH(Z135,'浓度设置'!$A$6:$A$46,0),IF(J135="L",1,IF(J135="M",2,3))))</x:f>
        <x:v>1290235</x:v>
      </x:c>
      <x:c r="O135" s="9" t="n">
        <x:f>IF(AA135="","",INDEX('浓度设置'!$P$6:$R$46,MATCH(AA135,'浓度设置'!$A$6:$A$46,0),IF(K135="L",1,IF(K135="M",2,3))))</x:f>
        <x:v>96.86609313893071</x:v>
      </x:c>
      <x:c r="P135" s="9" t="n">
        <x:f>IF(AB135="","",INDEX('浓度设置'!$P$6:$R$46,MATCH(AB135,'浓度设置'!$A$6:$A$46,0),IF(L135="L",1,IF(L135="M",2,3))))</x:f>
        <x:v>1551340.76</x:v>
      </x:c>
      <x:c r="Q135" s="9" t="n">
        <x:f>IF(Y135="","",M135/INDEX('浓度设置'!$M$6:$M$46,MATCH(Y135,'浓度设置'!$A$6:$A$46,0)))</x:f>
        <x:v>200.55223958950586</x:v>
      </x:c>
      <x:c r="R135" s="9" t="n">
        <x:f>IF(Z135="","",N135/INDEX('浓度设置'!$M$6:$M$46,MATCH(Z135,'浓度设置'!$A$6:$A$46,0)))</x:f>
        <x:v>15831.104294478528</x:v>
      </x:c>
      <x:c r="S135" s="9" t="n">
        <x:f>IF(AA135="","",O135/INDEX('浓度设置'!$M$6:$M$46,MATCH(AA135,'浓度设置'!$A$6:$A$46,0)))</x:f>
        <x:v>1.0315877863570895</x:v>
      </x:c>
      <x:c r="T135" s="9" t="n">
        <x:f>IF(AB135="","",P135/INDEX('浓度设置'!$M$6:$M$46,MATCH(AB135,'浓度设置'!$A$6:$A$46,0)))</x:f>
        <x:v>615.6114126984127</x:v>
      </x:c>
      <x:c r="U135" s="9" t="n">
        <x:f>IF(Y135="","",M135*$AD135/1000)</x:f>
        <x:v>23.665164271561693</x:v>
      </x:c>
      <x:c r="V135" s="9" t="n">
        <x:f>IF(Z135="","",N135*$AD135/1000)</x:f>
        <x:v>25804.7</x:v>
      </x:c>
      <x:c r="W135" s="9" t="n">
        <x:f>IF(AA135="","",O135*$AD135/1000)</x:f>
        <x:v>1.9373218627786142</x:v>
      </x:c>
      <x:c r="X135" s="9" t="n">
        <x:f>IF(AB135="","",P135*$AD135/1000)</x:f>
        <x:v>31026.8152</x:v>
      </x:c>
      <x:c r="Y135" s="3" t="n">
        <x:v>18</x:v>
      </x:c>
      <x:c r="Z135" s="3" t="n">
        <x:v>52</x:v>
      </x:c>
      <x:c r="AA135" s="3" t="n">
        <x:v>115</x:v>
      </x:c>
      <x:c r="AB135" s="3" t="n">
        <x:v>126</x:v>
      </x:c>
      <x:c r="AC135" s="3" t="n">
        <x:v>4</x:v>
      </x:c>
      <x:c r="AD135" s="3" t="n">
        <x:f>'方案总览'!$B$5</x:f>
        <x:v>20</x:v>
      </x:c>
    </x:row>
    <x:row r="136" ht="24" customHeight="1">
      <x:c r="A136" s="3" t="str">
        <x:v>T131</x:v>
      </x:c>
      <x:c r="B136" s="3" t="str">
        <x:v>拟合</x:v>
      </x:c>
      <x:c r="C136" s="3" t="str">
        <x:v>C045</x:v>
      </x:c>
      <x:c r="D136" s="3" t="str"/>
      <x:c r="E136" s="3" t="str">
        <x:v>苯乙酸乙酯</x:v>
      </x:c>
      <x:c r="F136" s="3" t="str">
        <x:v>己酸乙酯</x:v>
      </x:c>
      <x:c r="G136" s="3" t="str">
        <x:v>戊酸乙酯</x:v>
      </x:c>
      <x:c r="H136" s="3" t="str">
        <x:v>β-大马酮</x:v>
      </x:c>
      <x:c r="I136" s="3" t="str">
        <x:v>M</x:v>
      </x:c>
      <x:c r="J136" s="3" t="str">
        <x:v>M</x:v>
      </x:c>
      <x:c r="K136" s="3" t="str">
        <x:v>H</x:v>
      </x:c>
      <x:c r="L136" s="3" t="str">
        <x:v>L</x:v>
      </x:c>
      <x:c r="M136" s="9" t="n">
        <x:f>IF(Y136="","",INDEX('浓度设置'!$P$6:$R$46,MATCH(Y136,'浓度设置'!$A$6:$A$46,0),IF(I136="L",1,IF(I136="M",2,3))))</x:f>
        <x:v>200.3122562401013</x:v>
      </x:c>
      <x:c r="N136" s="9" t="n">
        <x:f>IF(Z136="","",INDEX('浓度设置'!$P$6:$R$46,MATCH(Z136,'浓度设置'!$A$6:$A$46,0),IF(J136="L",1,IF(J136="M",2,3))))</x:f>
        <x:v>89562.18016998023</x:v>
      </x:c>
      <x:c r="O136" s="9" t="n">
        <x:f>IF(AA136="","",INDEX('浓度设置'!$P$6:$R$46,MATCH(AA136,'浓度设置'!$A$6:$A$46,0),IF(K136="L",1,IF(K136="M",2,3))))</x:f>
        <x:v>1039840</x:v>
      </x:c>
      <x:c r="P136" s="9" t="n">
        <x:f>IF(AB136="","",INDEX('浓度设置'!$P$6:$R$46,MATCH(AB136,'浓度设置'!$A$6:$A$46,0),IF(L136="L",1,IF(L136="M",2,3))))</x:f>
        <x:v>1.5</x:v>
      </x:c>
      <x:c r="Q136" s="9" t="n">
        <x:f>IF(Y136="","",M136/INDEX('浓度设置'!$M$6:$M$46,MATCH(Y136,'浓度设置'!$A$6:$A$46,0)))</x:f>
        <x:v>0.49216770574963464</x:v>
      </x:c>
      <x:c r="R136" s="9" t="n">
        <x:f>IF(Z136="","",N136/INDEX('浓度设置'!$M$6:$M$46,MATCH(Z136,'浓度设置'!$A$6:$A$46,0)))</x:f>
        <x:v>1619.5692616632955</x:v>
      </x:c>
      <x:c r="S136" s="9" t="n">
        <x:f>IF(AA136="","",O136/INDEX('浓度设置'!$M$6:$M$46,MATCH(AA136,'浓度设置'!$A$6:$A$46,0)))</x:f>
        <x:v>38800</x:v>
      </x:c>
      <x:c r="T136" s="9" t="n">
        <x:f>IF(AB136="","",P136/INDEX('浓度设置'!$M$6:$M$46,MATCH(AB136,'浓度设置'!$A$6:$A$46,0)))</x:f>
        <x:v>12.5</x:v>
      </x:c>
      <x:c r="U136" s="9" t="n">
        <x:f>IF(Y136="","",M136*$AD136/1000)</x:f>
        <x:v>4.006245124802026</x:v>
      </x:c>
      <x:c r="V136" s="9" t="n">
        <x:f>IF(Z136="","",N136*$AD136/1000)</x:f>
        <x:v>1791.2436033996046</x:v>
      </x:c>
      <x:c r="W136" s="9" t="n">
        <x:f>IF(AA136="","",O136*$AD136/1000)</x:f>
        <x:v>20796.8</x:v>
      </x:c>
      <x:c r="X136" s="9" t="n">
        <x:f>IF(AB136="","",P136*$AD136/1000)</x:f>
        <x:v>0.03</x:v>
      </x:c>
      <x:c r="Y136" s="3" t="n">
        <x:v>40</x:v>
      </x:c>
      <x:c r="Z136" s="3" t="n">
        <x:v>111</x:v>
      </x:c>
      <x:c r="AA136" s="3" t="n">
        <x:v>141</x:v>
      </x:c>
      <x:c r="AB136" s="3" t="n">
        <x:v>255</x:v>
      </x:c>
      <x:c r="AC136" s="3" t="n">
        <x:v>4</x:v>
      </x:c>
      <x:c r="AD136" s="3" t="n">
        <x:f>'方案总览'!$B$5</x:f>
        <x:v>20</x:v>
      </x:c>
    </x:row>
    <x:row r="137" ht="24" customHeight="1">
      <x:c r="A137" s="3" t="str">
        <x:v>T132</x:v>
      </x:c>
      <x:c r="B137" s="3" t="str">
        <x:v>拟合</x:v>
      </x:c>
      <x:c r="C137" s="3" t="str">
        <x:v>C046</x:v>
      </x:c>
      <x:c r="D137" s="3" t="str"/>
      <x:c r="E137" s="3" t="str">
        <x:v>2-甲基丙醛</x:v>
      </x:c>
      <x:c r="F137" s="3" t="str">
        <x:v>辛酸乙酯</x:v>
      </x:c>
      <x:c r="G137" s="3" t="str">
        <x:v>对甲酚</x:v>
      </x:c>
      <x:c r="H137" s="3" t="str">
        <x:v>1-辛烯-3-醇</x:v>
      </x:c>
      <x:c r="I137" s="3" t="str">
        <x:v>L</x:v>
      </x:c>
      <x:c r="J137" s="3" t="str">
        <x:v>H</x:v>
      </x:c>
      <x:c r="K137" s="3" t="str">
        <x:v>L</x:v>
      </x:c>
      <x:c r="L137" s="3" t="str">
        <x:v>L</x:v>
      </x:c>
      <x:c r="M137" s="9" t="n">
        <x:f>IF(Y137="","",INDEX('浓度设置'!$P$6:$R$46,MATCH(Y137,'浓度设置'!$A$6:$A$46,0),IF(I137="L",1,IF(I137="M",2,3))))</x:f>
        <x:v>39</x:v>
      </x:c>
      <x:c r="N137" s="9" t="n">
        <x:f>IF(Z137="","",INDEX('浓度设置'!$P$6:$R$46,MATCH(Z137,'浓度设置'!$A$6:$A$46,0),IF(J137="L",1,IF(J137="M",2,3))))</x:f>
        <x:v>1865945</x:v>
      </x:c>
      <x:c r="O137" s="9" t="n">
        <x:f>IF(AA137="","",INDEX('浓度设置'!$P$6:$R$46,MATCH(AA137,'浓度设置'!$A$6:$A$46,0),IF(K137="L",1,IF(K137="M",2,3))))</x:f>
        <x:v>0.51</x:v>
      </x:c>
      <x:c r="P137" s="9" t="n">
        <x:f>IF(AB137="","",INDEX('浓度设置'!$P$6:$R$46,MATCH(AB137,'浓度设置'!$A$6:$A$46,0),IF(L137="L",1,IF(L137="M",2,3))))</x:f>
        <x:v>1</x:v>
      </x:c>
      <x:c r="Q137" s="9" t="n">
        <x:f>IF(Y137="","",M137/INDEX('浓度设置'!$M$6:$M$46,MATCH(Y137,'浓度设置'!$A$6:$A$46,0)))</x:f>
        <x:v>6.610169491525423</x:v>
      </x:c>
      <x:c r="R137" s="9" t="n">
        <x:f>IF(Z137="","",N137/INDEX('浓度设置'!$M$6:$M$46,MATCH(Z137,'浓度设置'!$A$6:$A$46,0)))</x:f>
        <x:v>144646.8992248062</x:v>
      </x:c>
      <x:c r="S137" s="9" t="n">
        <x:f>IF(AA137="","",O137/INDEX('浓度设置'!$M$6:$M$46,MATCH(AA137,'浓度设置'!$A$6:$A$46,0)))</x:f>
        <x:v>0.003053892215568862</x:v>
      </x:c>
      <x:c r="T137" s="9" t="n">
        <x:f>IF(AB137="","",P137/INDEX('浓度设置'!$M$6:$M$46,MATCH(AB137,'浓度设置'!$A$6:$A$46,0)))</x:f>
        <x:v>0.16339869281045752</x:v>
      </x:c>
      <x:c r="U137" s="9" t="n">
        <x:f>IF(Y137="","",M137*$AD137/1000)</x:f>
        <x:v>0.78</x:v>
      </x:c>
      <x:c r="V137" s="9" t="n">
        <x:f>IF(Z137="","",N137*$AD137/1000)</x:f>
        <x:v>37318.9</x:v>
      </x:c>
      <x:c r="W137" s="9" t="n">
        <x:f>IF(AA137="","",O137*$AD137/1000)</x:f>
        <x:v>0.010199999999999999</x:v>
      </x:c>
      <x:c r="X137" s="9" t="n">
        <x:f>IF(AB137="","",P137*$AD137/1000)</x:f>
        <x:v>0.02</x:v>
      </x:c>
      <x:c r="Y137" s="3" t="n">
        <x:v>18</x:v>
      </x:c>
      <x:c r="Z137" s="3" t="n">
        <x:v>58</x:v>
      </x:c>
      <x:c r="AA137" s="3" t="n">
        <x:v>61</x:v>
      </x:c>
      <x:c r="AB137" s="3" t="n">
        <x:v>207</x:v>
      </x:c>
      <x:c r="AC137" s="3" t="n">
        <x:v>4</x:v>
      </x:c>
      <x:c r="AD137" s="3" t="n">
        <x:f>'方案总览'!$B$5</x:f>
        <x:v>20</x:v>
      </x:c>
    </x:row>
    <x:row r="138" ht="24" customHeight="1">
      <x:c r="A138" s="3" t="str">
        <x:v>T133</x:v>
      </x:c>
      <x:c r="B138" s="3" t="str">
        <x:v>拟合</x:v>
      </x:c>
      <x:c r="C138" s="3" t="str">
        <x:v>C047</x:v>
      </x:c>
      <x:c r="D138" s="3" t="str"/>
      <x:c r="E138" s="3" t="str">
        <x:v>1-丁醇</x:v>
      </x:c>
      <x:c r="F138" s="3" t="str">
        <x:v>丁酸乙酯</x:v>
      </x:c>
      <x:c r="G138" s="3" t="str">
        <x:v>异戊酸/3-甲基丁酸</x:v>
      </x:c>
      <x:c r="H138" s="3" t="str">
        <x:v>β-大马酮</x:v>
      </x:c>
      <x:c r="I138" s="3" t="str">
        <x:v>L</x:v>
      </x:c>
      <x:c r="J138" s="3" t="str">
        <x:v>L</x:v>
      </x:c>
      <x:c r="K138" s="3" t="str">
        <x:v>L</x:v>
      </x:c>
      <x:c r="L138" s="3" t="str">
        <x:v>M</x:v>
      </x:c>
      <x:c r="M138" s="9" t="n">
        <x:f>IF(Y138="","",INDEX('浓度设置'!$P$6:$R$46,MATCH(Y138,'浓度设置'!$A$6:$A$46,0),IF(I138="L",1,IF(I138="M",2,3))))</x:f>
        <x:v>16.97</x:v>
      </x:c>
      <x:c r="N138" s="9" t="n">
        <x:f>IF(Z138="","",INDEX('浓度设置'!$P$6:$R$46,MATCH(Z138,'浓度设置'!$A$6:$A$46,0),IF(J138="L",1,IF(J138="M",2,3))))</x:f>
        <x:v>4.24</x:v>
      </x:c>
      <x:c r="O138" s="9" t="n">
        <x:f>IF(AA138="","",INDEX('浓度设置'!$P$6:$R$46,MATCH(AA138,'浓度设置'!$A$6:$A$46,0),IF(K138="L",1,IF(K138="M",2,3))))</x:f>
        <x:v>1.1875</x:v>
      </x:c>
      <x:c r="P138" s="9" t="n">
        <x:f>IF(AB138="","",INDEX('浓度设置'!$P$6:$R$46,MATCH(AB138,'浓度设置'!$A$6:$A$46,0),IF(L138="L",1,IF(L138="M",2,3))))</x:f>
        <x:v>9.546727187890099</x:v>
      </x:c>
      <x:c r="Q138" s="9" t="n">
        <x:f>IF(Y138="","",M138/INDEX('浓度设置'!$M$6:$M$46,MATCH(Y138,'浓度设置'!$A$6:$A$46,0)))</x:f>
        <x:v>0.006209293816319063</x:v>
      </x:c>
      <x:c r="R138" s="9" t="n">
        <x:f>IF(Z138="","",N138/INDEX('浓度设置'!$M$6:$M$46,MATCH(Z138,'浓度设置'!$A$6:$A$46,0)))</x:f>
        <x:v>0.052024539877300616</x:v>
      </x:c>
      <x:c r="S138" s="9" t="n">
        <x:f>IF(AA138="","",O138/INDEX('浓度设置'!$M$6:$M$46,MATCH(AA138,'浓度设置'!$A$6:$A$46,0)))</x:f>
        <x:v>0.001130952380952381</x:v>
      </x:c>
      <x:c r="T138" s="9" t="n">
        <x:f>IF(AB138="","",P138/INDEX('浓度设置'!$M$6:$M$46,MATCH(AB138,'浓度设置'!$A$6:$A$46,0)))</x:f>
        <x:v>79.55605989908416</x:v>
      </x:c>
      <x:c r="U138" s="9" t="n">
        <x:f>IF(Y138="","",M138*$AD138/1000)</x:f>
        <x:v>0.3394</x:v>
      </x:c>
      <x:c r="V138" s="9" t="n">
        <x:f>IF(Z138="","",N138*$AD138/1000)</x:f>
        <x:v>0.08480000000000001</x:v>
      </x:c>
      <x:c r="W138" s="9" t="n">
        <x:f>IF(AA138="","",O138*$AD138/1000)</x:f>
        <x:v>0.02375</x:v>
      </x:c>
      <x:c r="X138" s="9" t="n">
        <x:f>IF(AB138="","",P138*$AD138/1000)</x:f>
        <x:v>0.19093454375780197</x:v>
      </x:c>
      <x:c r="Y138" s="3" t="n">
        <x:v>11</x:v>
      </x:c>
      <x:c r="Z138" s="3" t="n">
        <x:v>52</x:v>
      </x:c>
      <x:c r="AA138" s="3" t="n">
        <x:v>136</x:v>
      </x:c>
      <x:c r="AB138" s="3" t="n">
        <x:v>255</x:v>
      </x:c>
      <x:c r="AC138" s="3" t="n">
        <x:v>4</x:v>
      </x:c>
      <x:c r="AD138" s="3" t="n">
        <x:f>'方案总览'!$B$5</x:f>
        <x:v>20</x:v>
      </x:c>
    </x:row>
    <x:row r="139" ht="24" customHeight="1">
      <x:c r="A139" s="3" t="str">
        <x:v>T134</x:v>
      </x:c>
      <x:c r="B139" s="3" t="str">
        <x:v>拟合</x:v>
      </x:c>
      <x:c r="C139" s="3" t="str">
        <x:v>C048</x:v>
      </x:c>
      <x:c r="D139" s="3" t="str"/>
      <x:c r="E139" s="3" t="str">
        <x:v>戊酸</x:v>
      </x:c>
      <x:c r="F139" s="3" t="str">
        <x:v>辛酸</x:v>
      </x:c>
      <x:c r="G139" s="3" t="str">
        <x:v>异戊醛</x:v>
      </x:c>
      <x:c r="H139" s="3" t="str">
        <x:v>二甲基三硫醚</x:v>
      </x:c>
      <x:c r="I139" s="3" t="str">
        <x:v>H</x:v>
      </x:c>
      <x:c r="J139" s="3" t="str">
        <x:v>M</x:v>
      </x:c>
      <x:c r="K139" s="3" t="str">
        <x:v>H</x:v>
      </x:c>
      <x:c r="L139" s="3" t="str">
        <x:v>M</x:v>
      </x:c>
      <x:c r="M139" s="9" t="n">
        <x:f>IF(Y139="","",INDEX('浓度设置'!$P$6:$R$46,MATCH(Y139,'浓度设置'!$A$6:$A$46,0),IF(I139="L",1,IF(I139="M",2,3))))</x:f>
        <x:v>62700</x:v>
      </x:c>
      <x:c r="N139" s="9" t="n">
        <x:f>IF(Z139="","",INDEX('浓度设置'!$P$6:$R$46,MATCH(Z139,'浓度设置'!$A$6:$A$46,0),IF(J139="L",1,IF(J139="M",2,3))))</x:f>
        <x:v>274.54883445390914</x:v>
      </x:c>
      <x:c r="O139" s="9" t="n">
        <x:f>IF(AA139="","",INDEX('浓度设置'!$P$6:$R$46,MATCH(AA139,'浓度设置'!$A$6:$A$46,0),IF(K139="L",1,IF(K139="M",2,3))))</x:f>
        <x:v>227200</x:v>
      </x:c>
      <x:c r="P139" s="9" t="n">
        <x:f>IF(AB139="","",INDEX('浓度设置'!$P$6:$R$46,MATCH(AB139,'浓度设置'!$A$6:$A$46,0),IF(L139="L",1,IF(L139="M",2,3))))</x:f>
        <x:v>34.2987346705385</x:v>
      </x:c>
      <x:c r="Q139" s="9" t="n">
        <x:f>IF(Y139="","",M139/INDEX('浓度设置'!$M$6:$M$46,MATCH(Y139,'浓度设置'!$A$6:$A$46,0)))</x:f>
        <x:v>161.18251928020567</x:v>
      </x:c>
      <x:c r="R139" s="9" t="n">
        <x:f>IF(Z139="","",N139/INDEX('浓度设置'!$M$6:$M$46,MATCH(Z139,'浓度设置'!$A$6:$A$46,0)))</x:f>
        <x:v>0.10168475350144783</x:v>
      </x:c>
      <x:c r="S139" s="9" t="n">
        <x:f>IF(AA139="","",O139/INDEX('浓度设置'!$M$6:$M$46,MATCH(AA139,'浓度设置'!$A$6:$A$46,0)))</x:f>
        <x:v>13769.69696969697</x:v>
      </x:c>
      <x:c r="T139" s="9" t="n">
        <x:f>IF(AB139="","",P139/INDEX('浓度设置'!$M$6:$M$46,MATCH(AB139,'浓度设置'!$A$6:$A$46,0)))</x:f>
        <x:v>95.27426297371807</x:v>
      </x:c>
      <x:c r="U139" s="9" t="n">
        <x:f>IF(Y139="","",M139*$AD139/1000)</x:f>
        <x:v>1254</x:v>
      </x:c>
      <x:c r="V139" s="9" t="n">
        <x:f>IF(Z139="","",N139*$AD139/1000)</x:f>
        <x:v>5.490976689078183</x:v>
      </x:c>
      <x:c r="W139" s="9" t="n">
        <x:f>IF(AA139="","",O139*$AD139/1000)</x:f>
        <x:v>4544</x:v>
      </x:c>
      <x:c r="X139" s="9" t="n">
        <x:f>IF(AB139="","",P139*$AD139/1000)</x:f>
        <x:v>0.68597469341077</x:v>
      </x:c>
      <x:c r="Y139" s="3" t="n">
        <x:v>75</x:v>
      </x:c>
      <x:c r="Z139" s="3" t="n">
        <x:v>117</x:v>
      </x:c>
      <x:c r="AA139" s="3" t="n">
        <x:v>152</x:v>
      </x:c>
      <x:c r="AB139" s="3" t="n">
        <x:v>209</x:v>
      </x:c>
      <x:c r="AC139" s="3" t="n">
        <x:v>4</x:v>
      </x:c>
      <x:c r="AD139" s="3" t="n">
        <x:f>'方案总览'!$B$5</x:f>
        <x:v>20</x:v>
      </x:c>
    </x:row>
    <x:row r="140" ht="24" customHeight="1">
      <x:c r="A140" s="3" t="str">
        <x:v>T135</x:v>
      </x:c>
      <x:c r="B140" s="3" t="str">
        <x:v>拟合</x:v>
      </x:c>
      <x:c r="C140" s="3" t="str">
        <x:v>C049</x:v>
      </x:c>
      <x:c r="D140" s="3" t="str"/>
      <x:c r="E140" s="3" t="str">
        <x:v>己醛</x:v>
      </x:c>
      <x:c r="F140" s="3" t="str">
        <x:v>乙酸异戊酯</x:v>
      </x:c>
      <x:c r="G140" s="3" t="str">
        <x:v>3-苯基丙酸乙酯</x:v>
      </x:c>
      <x:c r="H140" s="3" t="str">
        <x:v>2-甲基丁酸乙酯</x:v>
      </x:c>
      <x:c r="I140" s="3" t="str">
        <x:v>H</x:v>
      </x:c>
      <x:c r="J140" s="3" t="str">
        <x:v>L</x:v>
      </x:c>
      <x:c r="K140" s="3" t="str">
        <x:v>H</x:v>
      </x:c>
      <x:c r="L140" s="3" t="str">
        <x:v>L</x:v>
      </x:c>
      <x:c r="M140" s="9" t="n">
        <x:f>IF(Y140="","",INDEX('浓度设置'!$P$6:$R$46,MATCH(Y140,'浓度设置'!$A$6:$A$46,0),IF(I140="L",1,IF(I140="M",2,3))))</x:f>
        <x:v>3075.94</x:v>
      </x:c>
      <x:c r="N140" s="9" t="n">
        <x:f>IF(Z140="","",INDEX('浓度设置'!$P$6:$R$46,MATCH(Z140,'浓度设置'!$A$6:$A$46,0),IF(J140="L",1,IF(J140="M",2,3))))</x:f>
        <x:v>1.44</x:v>
      </x:c>
      <x:c r="O140" s="9" t="n">
        <x:f>IF(AA140="","",INDEX('浓度设置'!$P$6:$R$46,MATCH(AA140,'浓度设置'!$A$6:$A$46,0),IF(K140="L",1,IF(K140="M",2,3))))</x:f>
        <x:v>11648000</x:v>
      </x:c>
      <x:c r="P140" s="9" t="n">
        <x:f>IF(AB140="","",INDEX('浓度设置'!$P$6:$R$46,MATCH(AB140,'浓度设置'!$A$6:$A$46,0),IF(L140="L",1,IF(L140="M",2,3))))</x:f>
        <x:v>0.97</x:v>
      </x:c>
      <x:c r="Q140" s="9" t="n">
        <x:f>IF(Y140="","",M140/INDEX('浓度设置'!$M$6:$M$46,MATCH(Y140,'浓度设置'!$A$6:$A$46,0)))</x:f>
        <x:v>120.62509803921569</x:v>
      </x:c>
      <x:c r="R140" s="9" t="n">
        <x:f>IF(Z140="","",N140/INDEX('浓度设置'!$M$6:$M$46,MATCH(Z140,'浓度设置'!$A$6:$A$46,0)))</x:f>
        <x:v>0.015335463258785941</x:v>
      </x:c>
      <x:c r="S140" s="9" t="n">
        <x:f>IF(AA140="","",O140/INDEX('浓度设置'!$M$6:$M$46,MATCH(AA140,'浓度设置'!$A$6:$A$46,0)))</x:f>
        <x:v>93184</x:v>
      </x:c>
      <x:c r="T140" s="9" t="n">
        <x:f>IF(AB140="","",P140/INDEX('浓度设置'!$M$6:$M$46,MATCH(AB140,'浓度设置'!$A$6:$A$46,0)))</x:f>
        <x:v>0.05388888888888889</x:v>
      </x:c>
      <x:c r="U140" s="9" t="n">
        <x:f>IF(Y140="","",M140*$AD140/1000)</x:f>
        <x:v>61.518800000000006</x:v>
      </x:c>
      <x:c r="V140" s="9" t="n">
        <x:f>IF(Z140="","",N140*$AD140/1000)</x:f>
        <x:v>0.028799999999999996</x:v>
      </x:c>
      <x:c r="W140" s="9" t="n">
        <x:f>IF(AA140="","",O140*$AD140/1000)</x:f>
        <x:v>232960</x:v>
      </x:c>
      <x:c r="X140" s="9" t="n">
        <x:f>IF(AB140="","",P140*$AD140/1000)</x:f>
        <x:v>0.019399999999999997</x:v>
      </x:c>
      <x:c r="Y140" s="3" t="n">
        <x:v>7</x:v>
      </x:c>
      <x:c r="Z140" s="3" t="n">
        <x:v>115</x:v>
      </x:c>
      <x:c r="AA140" s="3" t="n">
        <x:v>186</x:v>
      </x:c>
      <x:c r="AB140" s="3" t="n">
        <x:v>232</x:v>
      </x:c>
      <x:c r="AC140" s="3" t="n">
        <x:v>4</x:v>
      </x:c>
      <x:c r="AD140" s="3" t="n">
        <x:f>'方案总览'!$B$5</x:f>
        <x:v>20</x:v>
      </x:c>
    </x:row>
    <x:row r="141" ht="24" customHeight="1">
      <x:c r="A141" s="3" t="str">
        <x:v>T136</x:v>
      </x:c>
      <x:c r="B141" s="3" t="str">
        <x:v>拟合</x:v>
      </x:c>
      <x:c r="C141" s="3" t="str">
        <x:v>C050</x:v>
      </x:c>
      <x:c r="D141" s="3" t="str"/>
      <x:c r="E141" s="3" t="str">
        <x:v>异戊酸乙酯（3-甲基丁酸乙酯）</x:v>
      </x:c>
      <x:c r="F141" s="3" t="str">
        <x:v>苯乙醛</x:v>
      </x:c>
      <x:c r="G141" s="3" t="str">
        <x:v>乙酸丁酯</x:v>
      </x:c>
      <x:c r="H141" s="3" t="str">
        <x:v>己酸己酯</x:v>
      </x:c>
      <x:c r="I141" s="3" t="str">
        <x:v>L</x:v>
      </x:c>
      <x:c r="J141" s="3" t="str">
        <x:v>H</x:v>
      </x:c>
      <x:c r="K141" s="3" t="str">
        <x:v>H</x:v>
      </x:c>
      <x:c r="L141" s="3" t="str">
        <x:v>M</x:v>
      </x:c>
      <x:c r="M141" s="9" t="n">
        <x:f>IF(Y141="","",INDEX('浓度设置'!$P$6:$R$46,MATCH(Y141,'浓度设置'!$A$6:$A$46,0),IF(I141="L",1,IF(I141="M",2,3))))</x:f>
        <x:v>0.83</x:v>
      </x:c>
      <x:c r="N141" s="9" t="n">
        <x:f>IF(Z141="","",INDEX('浓度设置'!$P$6:$R$46,MATCH(Z141,'浓度设置'!$A$6:$A$46,0),IF(J141="L",1,IF(J141="M",2,3))))</x:f>
        <x:v>15730</x:v>
      </x:c>
      <x:c r="O141" s="9" t="n">
        <x:f>IF(AA141="","",INDEX('浓度设置'!$P$6:$R$46,MATCH(AA141,'浓度设置'!$A$6:$A$46,0),IF(K141="L",1,IF(K141="M",2,3))))</x:f>
        <x:v>47100</x:v>
      </x:c>
      <x:c r="P141" s="9" t="n">
        <x:f>IF(AB141="","",INDEX('浓度设置'!$P$6:$R$46,MATCH(AB141,'浓度设置'!$A$6:$A$46,0),IF(L141="L",1,IF(L141="M",2,3))))</x:f>
        <x:v>695.986709643223</x:v>
      </x:c>
      <x:c r="Q141" s="9" t="n">
        <x:f>IF(Y141="","",M141/INDEX('浓度设置'!$M$6:$M$46,MATCH(Y141,'浓度设置'!$A$6:$A$46,0)))</x:f>
        <x:v>0.1204644412191582</x:v>
      </x:c>
      <x:c r="R141" s="9" t="n">
        <x:f>IF(Z141="","",N141/INDEX('浓度设置'!$M$6:$M$46,MATCH(Z141,'浓度设置'!$A$6:$A$46,0)))</x:f>
        <x:v>60.038167938931295</x:v>
      </x:c>
      <x:c r="S141" s="9" t="n">
        <x:f>IF(AA141="","",O141/INDEX('浓度设置'!$M$6:$M$46,MATCH(AA141,'浓度设置'!$A$6:$A$46,0)))</x:f>
        <x:v>26.166666666666668</x:v>
      </x:c>
      <x:c r="T141" s="9" t="n">
        <x:f>IF(AB141="","",P141/INDEX('浓度设置'!$M$6:$M$46,MATCH(AB141,'浓度设置'!$A$6:$A$46,0)))</x:f>
        <x:v>0.3680521997055648</x:v>
      </x:c>
      <x:c r="U141" s="9" t="n">
        <x:f>IF(Y141="","",M141*$AD141/1000)</x:f>
        <x:v>0.016599999999999997</x:v>
      </x:c>
      <x:c r="V141" s="9" t="n">
        <x:f>IF(Z141="","",N141*$AD141/1000)</x:f>
        <x:v>314.6</x:v>
      </x:c>
      <x:c r="W141" s="9" t="n">
        <x:f>IF(AA141="","",O141*$AD141/1000)</x:f>
        <x:v>942</x:v>
      </x:c>
      <x:c r="X141" s="9" t="n">
        <x:f>IF(AB141="","",P141*$AD141/1000)</x:f>
        <x:v>13.91973419286446</x:v>
      </x:c>
      <x:c r="Y141" s="3" t="n">
        <x:v>69</x:v>
      </x:c>
      <x:c r="Z141" s="3" t="n">
        <x:v>105</x:v>
      </x:c>
      <x:c r="AA141" s="3" t="n">
        <x:v>114</x:v>
      </x:c>
      <x:c r="AB141" s="3" t="n">
        <x:v>227</x:v>
      </x:c>
      <x:c r="AC141" s="3" t="n">
        <x:v>4</x:v>
      </x:c>
      <x:c r="AD141" s="3" t="n">
        <x:f>'方案总览'!$B$5</x:f>
        <x:v>20</x:v>
      </x:c>
    </x:row>
    <x:row r="142" ht="24" customHeight="1">
      <x:c r="A142" s="3" t="str">
        <x:v>T137</x:v>
      </x:c>
      <x:c r="B142" s="3" t="str">
        <x:v>拟合</x:v>
      </x:c>
      <x:c r="C142" s="3" t="str">
        <x:v>C051</x:v>
      </x:c>
      <x:c r="D142" s="3" t="str"/>
      <x:c r="E142" s="3" t="str">
        <x:v>己酸乙酯</x:v>
      </x:c>
      <x:c r="F142" s="3" t="str">
        <x:v>己酸丁酯</x:v>
      </x:c>
      <x:c r="G142" s="3" t="str">
        <x:v>3-苯基丙酸乙酯</x:v>
      </x:c>
      <x:c r="H142" s="3" t="str">
        <x:v>1-辛烯-3-醇</x:v>
      </x:c>
      <x:c r="I142" s="3" t="str">
        <x:v>M</x:v>
      </x:c>
      <x:c r="J142" s="3" t="str">
        <x:v>H</x:v>
      </x:c>
      <x:c r="K142" s="3" t="str">
        <x:v>L</x:v>
      </x:c>
      <x:c r="L142" s="3" t="str">
        <x:v>H</x:v>
      </x:c>
      <x:c r="M142" s="9" t="n">
        <x:f>IF(Y142="","",INDEX('浓度设置'!$P$6:$R$46,MATCH(Y142,'浓度设置'!$A$6:$A$46,0),IF(I142="L",1,IF(I142="M",2,3))))</x:f>
        <x:v>89562.18016998023</x:v>
      </x:c>
      <x:c r="N142" s="9" t="n">
        <x:f>IF(Z142="","",INDEX('浓度设置'!$P$6:$R$46,MATCH(Z142,'浓度设置'!$A$6:$A$46,0),IF(J142="L",1,IF(J142="M",2,3))))</x:f>
        <x:v>86300</x:v>
      </x:c>
      <x:c r="O142" s="9" t="n">
        <x:f>IF(AA142="","",INDEX('浓度设置'!$P$6:$R$46,MATCH(AA142,'浓度设置'!$A$6:$A$46,0),IF(K142="L",1,IF(K142="M",2,3))))</x:f>
        <x:v>1.56</x:v>
      </x:c>
      <x:c r="P142" s="9" t="n">
        <x:f>IF(AB142="","",INDEX('浓度设置'!$P$6:$R$46,MATCH(AB142,'浓度设置'!$A$6:$A$46,0),IF(L142="L",1,IF(L142="M",2,3))))</x:f>
        <x:v>271.45</x:v>
      </x:c>
      <x:c r="Q142" s="9" t="n">
        <x:f>IF(Y142="","",M142/INDEX('浓度设置'!$M$6:$M$46,MATCH(Y142,'浓度设置'!$A$6:$A$46,0)))</x:f>
        <x:v>1619.5692616632955</x:v>
      </x:c>
      <x:c r="R142" s="9" t="n">
        <x:f>IF(Z142="","",N142/INDEX('浓度设置'!$M$6:$M$46,MATCH(Z142,'浓度设置'!$A$6:$A$46,0)))</x:f>
        <x:v>127.31618080963058</x:v>
      </x:c>
      <x:c r="S142" s="9" t="n">
        <x:f>IF(AA142="","",O142/INDEX('浓度设置'!$M$6:$M$46,MATCH(AA142,'浓度设置'!$A$6:$A$46,0)))</x:f>
        <x:v>0.01248</x:v>
      </x:c>
      <x:c r="T142" s="9" t="n">
        <x:f>IF(AB142="","",P142/INDEX('浓度设置'!$M$6:$M$46,MATCH(AB142,'浓度设置'!$A$6:$A$46,0)))</x:f>
        <x:v>44.35457516339869</x:v>
      </x:c>
      <x:c r="U142" s="9" t="n">
        <x:f>IF(Y142="","",M142*$AD142/1000)</x:f>
        <x:v>1791.2436033996046</x:v>
      </x:c>
      <x:c r="V142" s="9" t="n">
        <x:f>IF(Z142="","",N142*$AD142/1000)</x:f>
        <x:v>1726</x:v>
      </x:c>
      <x:c r="W142" s="9" t="n">
        <x:f>IF(AA142="","",O142*$AD142/1000)</x:f>
        <x:v>0.031200000000000002</x:v>
      </x:c>
      <x:c r="X142" s="9" t="n">
        <x:f>IF(AB142="","",P142*$AD142/1000)</x:f>
        <x:v>5.429</x:v>
      </x:c>
      <x:c r="Y142" s="3" t="n">
        <x:v>111</x:v>
      </x:c>
      <x:c r="Z142" s="3" t="n">
        <x:v>165</x:v>
      </x:c>
      <x:c r="AA142" s="3" t="n">
        <x:v>186</x:v>
      </x:c>
      <x:c r="AB142" s="3" t="n">
        <x:v>207</x:v>
      </x:c>
      <x:c r="AC142" s="3" t="n">
        <x:v>4</x:v>
      </x:c>
      <x:c r="AD142" s="3" t="n">
        <x:f>'方案总览'!$B$5</x:f>
        <x:v>20</x:v>
      </x:c>
    </x:row>
    <x:row r="143" ht="24" customHeight="1">
      <x:c r="A143" s="3" t="str">
        <x:v>T138</x:v>
      </x:c>
      <x:c r="B143" s="3" t="str">
        <x:v>拟合</x:v>
      </x:c>
      <x:c r="C143" s="3" t="str">
        <x:v>C052</x:v>
      </x:c>
      <x:c r="D143" s="3" t="str"/>
      <x:c r="E143" s="3" t="str">
        <x:v>乙醛二乙缩醛</x:v>
      </x:c>
      <x:c r="F143" s="3" t="str">
        <x:v>己酸乙酯</x:v>
      </x:c>
      <x:c r="G143" s="3" t="str">
        <x:v>己酸</x:v>
      </x:c>
      <x:c r="H143" s="3" t="str">
        <x:v>异戊醛</x:v>
      </x:c>
      <x:c r="I143" s="3" t="str">
        <x:v>L</x:v>
      </x:c>
      <x:c r="J143" s="3" t="str">
        <x:v>L</x:v>
      </x:c>
      <x:c r="K143" s="3" t="str">
        <x:v>M</x:v>
      </x:c>
      <x:c r="L143" s="3" t="str">
        <x:v>M</x:v>
      </x:c>
      <x:c r="M143" s="9" t="n">
        <x:f>IF(Y143="","",INDEX('浓度设置'!$P$6:$R$46,MATCH(Y143,'浓度设置'!$A$6:$A$46,0),IF(I143="L",1,IF(I143="M",2,3))))</x:f>
        <x:v>9.61</x:v>
      </x:c>
      <x:c r="N143" s="9" t="n">
        <x:f>IF(Z143="","",INDEX('浓度设置'!$P$6:$R$46,MATCH(Z143,'浓度设置'!$A$6:$A$46,0),IF(J143="L",1,IF(J143="M",2,3))))</x:f>
        <x:v>833.64</x:v>
      </x:c>
      <x:c r="O143" s="9" t="n">
        <x:f>IF(AA143="","",INDEX('浓度设置'!$P$6:$R$46,MATCH(AA143,'浓度设置'!$A$6:$A$46,0),IF(K143="L",1,IF(K143="M",2,3))))</x:f>
        <x:v>1815.6539083757125</x:v>
      </x:c>
      <x:c r="P143" s="9" t="n">
        <x:f>IF(AB143="","",INDEX('浓度设置'!$P$6:$R$46,MATCH(AB143,'浓度设置'!$A$6:$A$46,0),IF(L143="L",1,IF(L143="M",2,3))))</x:f>
        <x:v>1048.6410253275426</x:v>
      </x:c>
      <x:c r="Q143" s="9" t="n">
        <x:f>IF(Y143="","",M143/INDEX('浓度设置'!$M$6:$M$46,MATCH(Y143,'浓度设置'!$A$6:$A$46,0)))</x:f>
        <x:v>0.004598086124401914</x:v>
      </x:c>
      <x:c r="R143" s="9" t="n">
        <x:f>IF(Z143="","",N143/INDEX('浓度设置'!$M$6:$M$46,MATCH(Z143,'浓度设置'!$A$6:$A$46,0)))</x:f>
        <x:v>15.074864376130199</x:v>
      </x:c>
      <x:c r="S143" s="9" t="n">
        <x:f>IF(AA143="","",O143/INDEX('浓度设置'!$M$6:$M$46,MATCH(AA143,'浓度设置'!$A$6:$A$46,0)))</x:f>
        <x:v>0.7204975826887748</x:v>
      </x:c>
      <x:c r="T143" s="9" t="n">
        <x:f>IF(AB143="","",P143/INDEX('浓度设置'!$M$6:$M$46,MATCH(AB143,'浓度设置'!$A$6:$A$46,0)))</x:f>
        <x:v>63.554001535002584</x:v>
      </x:c>
      <x:c r="U143" s="9" t="n">
        <x:f>IF(Y143="","",M143*$AD143/1000)</x:f>
        <x:v>0.19219999999999998</x:v>
      </x:c>
      <x:c r="V143" s="9" t="n">
        <x:f>IF(Z143="","",N143*$AD143/1000)</x:f>
        <x:v>16.6728</x:v>
      </x:c>
      <x:c r="W143" s="9" t="n">
        <x:f>IF(AA143="","",O143*$AD143/1000)</x:f>
        <x:v>36.31307816751425</x:v>
      </x:c>
      <x:c r="X143" s="9" t="n">
        <x:f>IF(AB143="","",P143*$AD143/1000)</x:f>
        <x:v>20.972820506550853</x:v>
      </x:c>
      <x:c r="Y143" s="3" t="n">
        <x:v>53</x:v>
      </x:c>
      <x:c r="Z143" s="3" t="n">
        <x:v>111</x:v>
      </x:c>
      <x:c r="AA143" s="3" t="n">
        <x:v>126</x:v>
      </x:c>
      <x:c r="AB143" s="3" t="n">
        <x:v>152</x:v>
      </x:c>
      <x:c r="AC143" s="3" t="n">
        <x:v>4</x:v>
      </x:c>
      <x:c r="AD143" s="3" t="n">
        <x:f>'方案总览'!$B$5</x:f>
        <x:v>20</x:v>
      </x:c>
    </x:row>
    <x:row r="144" ht="24" customHeight="1">
      <x:c r="A144" s="3" t="str">
        <x:v>T139</x:v>
      </x:c>
      <x:c r="B144" s="3" t="str">
        <x:v>拟合</x:v>
      </x:c>
      <x:c r="C144" s="3" t="str">
        <x:v>C053</x:v>
      </x:c>
      <x:c r="D144" s="3" t="str"/>
      <x:c r="E144" s="3" t="str">
        <x:v>异丁酸乙酯</x:v>
      </x:c>
      <x:c r="F144" s="3" t="str">
        <x:v>1-辛烯-3-醇</x:v>
      </x:c>
      <x:c r="G144" s="3" t="str">
        <x:v>二甲基三硫醚</x:v>
      </x:c>
      <x:c r="H144" s="3" t="str">
        <x:v>己酸己酯</x:v>
      </x:c>
      <x:c r="I144" s="3" t="str">
        <x:v>L</x:v>
      </x:c>
      <x:c r="J144" s="3" t="str">
        <x:v>M</x:v>
      </x:c>
      <x:c r="K144" s="3" t="str">
        <x:v>M</x:v>
      </x:c>
      <x:c r="L144" s="3" t="str">
        <x:v>M</x:v>
      </x:c>
      <x:c r="M144" s="9" t="n">
        <x:f>IF(Y144="","",INDEX('浓度设置'!$P$6:$R$46,MATCH(Y144,'浓度设置'!$A$6:$A$46,0),IF(I144="L",1,IF(I144="M",2,3))))</x:f>
        <x:v>18.68</x:v>
      </x:c>
      <x:c r="N144" s="9" t="n">
        <x:f>IF(Z144="","",INDEX('浓度设置'!$P$6:$R$46,MATCH(Z144,'浓度设置'!$A$6:$A$46,0),IF(J144="L",1,IF(J144="M",2,3))))</x:f>
        <x:v>16.47573974060042</x:v>
      </x:c>
      <x:c r="O144" s="9" t="n">
        <x:f>IF(AA144="","",INDEX('浓度设置'!$P$6:$R$46,MATCH(AA144,'浓度设置'!$A$6:$A$46,0),IF(K144="L",1,IF(K144="M",2,3))))</x:f>
        <x:v>34.2987346705385</x:v>
      </x:c>
      <x:c r="P144" s="9" t="n">
        <x:f>IF(AB144="","",INDEX('浓度设置'!$P$6:$R$46,MATCH(AB144,'浓度设置'!$A$6:$A$46,0),IF(L144="L",1,IF(L144="M",2,3))))</x:f>
        <x:v>695.986709643223</x:v>
      </x:c>
      <x:c r="Q144" s="9" t="n">
        <x:f>IF(Y144="","",M144/INDEX('浓度设置'!$M$6:$M$46,MATCH(Y144,'浓度设置'!$A$6:$A$46,0)))</x:f>
        <x:v>0.3248695652173913</x:v>
      </x:c>
      <x:c r="R144" s="9" t="n">
        <x:f>IF(Z144="","",N144/INDEX('浓度设置'!$M$6:$M$46,MATCH(Z144,'浓度设置'!$A$6:$A$46,0)))</x:f>
        <x:v>2.692114336699415</x:v>
      </x:c>
      <x:c r="S144" s="9" t="n">
        <x:f>IF(AA144="","",O144/INDEX('浓度设置'!$M$6:$M$46,MATCH(AA144,'浓度设置'!$A$6:$A$46,0)))</x:f>
        <x:v>95.27426297371807</x:v>
      </x:c>
      <x:c r="T144" s="9" t="n">
        <x:f>IF(AB144="","",P144/INDEX('浓度设置'!$M$6:$M$46,MATCH(AB144,'浓度设置'!$A$6:$A$46,0)))</x:f>
        <x:v>0.3680521997055648</x:v>
      </x:c>
      <x:c r="U144" s="9" t="n">
        <x:f>IF(Y144="","",M144*$AD144/1000)</x:f>
        <x:v>0.37360000000000004</x:v>
      </x:c>
      <x:c r="V144" s="9" t="n">
        <x:f>IF(Z144="","",N144*$AD144/1000)</x:f>
        <x:v>0.3295147948120084</x:v>
      </x:c>
      <x:c r="W144" s="9" t="n">
        <x:f>IF(AA144="","",O144*$AD144/1000)</x:f>
        <x:v>0.68597469341077</x:v>
      </x:c>
      <x:c r="X144" s="9" t="n">
        <x:f>IF(AB144="","",P144*$AD144/1000)</x:f>
        <x:v>13.91973419286446</x:v>
      </x:c>
      <x:c r="Y144" s="3" t="n">
        <x:v>32</x:v>
      </x:c>
      <x:c r="Z144" s="3" t="n">
        <x:v>207</x:v>
      </x:c>
      <x:c r="AA144" s="3" t="n">
        <x:v>209</x:v>
      </x:c>
      <x:c r="AB144" s="3" t="n">
        <x:v>227</x:v>
      </x:c>
      <x:c r="AC144" s="3" t="n">
        <x:v>4</x:v>
      </x:c>
      <x:c r="AD144" s="3" t="n">
        <x:f>'方案总览'!$B$5</x:f>
        <x:v>20</x:v>
      </x:c>
    </x:row>
    <x:row r="145" ht="24" customHeight="1">
      <x:c r="A145" s="3" t="str">
        <x:v>T140</x:v>
      </x:c>
      <x:c r="B145" s="3" t="str">
        <x:v>拟合</x:v>
      </x:c>
      <x:c r="C145" s="3" t="str">
        <x:v>C054</x:v>
      </x:c>
      <x:c r="D145" s="3" t="str"/>
      <x:c r="E145" s="3" t="str">
        <x:v>苯乙酸乙酯</x:v>
      </x:c>
      <x:c r="F145" s="3" t="str">
        <x:v>1-辛醇</x:v>
      </x:c>
      <x:c r="G145" s="3" t="str">
        <x:v>乙酸丁酯</x:v>
      </x:c>
      <x:c r="H145" s="3" t="str">
        <x:v>乙酸异戊酯</x:v>
      </x:c>
      <x:c r="I145" s="3" t="str">
        <x:v>M</x:v>
      </x:c>
      <x:c r="J145" s="3" t="str">
        <x:v>H</x:v>
      </x:c>
      <x:c r="K145" s="3" t="str">
        <x:v>H</x:v>
      </x:c>
      <x:c r="L145" s="3" t="str">
        <x:v>L</x:v>
      </x:c>
      <x:c r="M145" s="9" t="n">
        <x:f>IF(Y145="","",INDEX('浓度设置'!$P$6:$R$46,MATCH(Y145,'浓度设置'!$A$6:$A$46,0),IF(I145="L",1,IF(I145="M",2,3))))</x:f>
        <x:v>200.3122562401013</x:v>
      </x:c>
      <x:c r="N145" s="9" t="n">
        <x:f>IF(Z145="","",INDEX('浓度设置'!$P$6:$R$46,MATCH(Z145,'浓度设置'!$A$6:$A$46,0),IF(J145="L",1,IF(J145="M",2,3))))</x:f>
        <x:v>25642.45</x:v>
      </x:c>
      <x:c r="O145" s="9" t="n">
        <x:f>IF(AA145="","",INDEX('浓度设置'!$P$6:$R$46,MATCH(AA145,'浓度设置'!$A$6:$A$46,0),IF(K145="L",1,IF(K145="M",2,3))))</x:f>
        <x:v>47100</x:v>
      </x:c>
      <x:c r="P145" s="9" t="n">
        <x:f>IF(AB145="","",INDEX('浓度设置'!$P$6:$R$46,MATCH(AB145,'浓度设置'!$A$6:$A$46,0),IF(L145="L",1,IF(L145="M",2,3))))</x:f>
        <x:v>1.44</x:v>
      </x:c>
      <x:c r="Q145" s="9" t="n">
        <x:f>IF(Y145="","",M145/INDEX('浓度设置'!$M$6:$M$46,MATCH(Y145,'浓度设置'!$A$6:$A$46,0)))</x:f>
        <x:v>0.49216770574963464</x:v>
      </x:c>
      <x:c r="R145" s="9" t="n">
        <x:f>IF(Z145="","",N145/INDEX('浓度设置'!$M$6:$M$46,MATCH(Z145,'浓度设置'!$A$6:$A$46,0)))</x:f>
        <x:v>23.311318181818184</x:v>
      </x:c>
      <x:c r="S145" s="9" t="n">
        <x:f>IF(AA145="","",O145/INDEX('浓度设置'!$M$6:$M$46,MATCH(AA145,'浓度设置'!$A$6:$A$46,0)))</x:f>
        <x:v>26.166666666666668</x:v>
      </x:c>
      <x:c r="T145" s="9" t="n">
        <x:f>IF(AB145="","",P145/INDEX('浓度设置'!$M$6:$M$46,MATCH(AB145,'浓度设置'!$A$6:$A$46,0)))</x:f>
        <x:v>0.015335463258785941</x:v>
      </x:c>
      <x:c r="U145" s="9" t="n">
        <x:f>IF(Y145="","",M145*$AD145/1000)</x:f>
        <x:v>4.006245124802026</x:v>
      </x:c>
      <x:c r="V145" s="9" t="n">
        <x:f>IF(Z145="","",N145*$AD145/1000)</x:f>
        <x:v>512.849</x:v>
      </x:c>
      <x:c r="W145" s="9" t="n">
        <x:f>IF(AA145="","",O145*$AD145/1000)</x:f>
        <x:v>942</x:v>
      </x:c>
      <x:c r="X145" s="9" t="n">
        <x:f>IF(AB145="","",P145*$AD145/1000)</x:f>
        <x:v>0.028799999999999996</x:v>
      </x:c>
      <x:c r="Y145" s="3" t="n">
        <x:v>40</x:v>
      </x:c>
      <x:c r="Z145" s="3" t="n">
        <x:v>90</x:v>
      </x:c>
      <x:c r="AA145" s="3" t="n">
        <x:v>114</x:v>
      </x:c>
      <x:c r="AB145" s="3" t="n">
        <x:v>115</x:v>
      </x:c>
      <x:c r="AC145" s="3" t="n">
        <x:v>4</x:v>
      </x:c>
      <x:c r="AD145" s="3" t="n">
        <x:f>'方案总览'!$B$5</x:f>
        <x:v>20</x:v>
      </x:c>
    </x:row>
    <x:row r="146" ht="24" customHeight="1">
      <x:c r="A146" s="3" t="str">
        <x:v>T141</x:v>
      </x:c>
      <x:c r="B146" s="3" t="str">
        <x:v>拟合</x:v>
      </x:c>
      <x:c r="C146" s="3" t="str">
        <x:v>C055</x:v>
      </x:c>
      <x:c r="D146" s="3" t="str"/>
      <x:c r="E146" s="3" t="str">
        <x:v>异丁酸乙酯</x:v>
      </x:c>
      <x:c r="F146" s="3" t="str">
        <x:v>丁酸异戊酯</x:v>
      </x:c>
      <x:c r="G146" s="3" t="str">
        <x:v>对甲酚</x:v>
      </x:c>
      <x:c r="H146" s="3" t="str">
        <x:v>辛酸</x:v>
      </x:c>
      <x:c r="I146" s="3" t="str">
        <x:v>H</x:v>
      </x:c>
      <x:c r="J146" s="3" t="str">
        <x:v>H</x:v>
      </x:c>
      <x:c r="K146" s="3" t="str">
        <x:v>H</x:v>
      </x:c>
      <x:c r="L146" s="3" t="str">
        <x:v>L</x:v>
      </x:c>
      <x:c r="M146" s="9" t="n">
        <x:f>IF(Y146="","",INDEX('浓度设置'!$P$6:$R$46,MATCH(Y146,'浓度设置'!$A$6:$A$46,0),IF(I146="L",1,IF(I146="M",2,3))))</x:f>
        <x:v>37489</x:v>
      </x:c>
      <x:c r="N146" s="9" t="n">
        <x:f>IF(Z146="","",INDEX('浓度设置'!$P$6:$R$46,MATCH(Z146,'浓度设置'!$A$6:$A$46,0),IF(J146="L",1,IF(J146="M",2,3))))</x:f>
        <x:v>4105</x:v>
      </x:c>
      <x:c r="O146" s="9" t="n">
        <x:f>IF(AA146="","",INDEX('浓度设置'!$P$6:$R$46,MATCH(AA146,'浓度设置'!$A$6:$A$46,0),IF(K146="L",1,IF(K146="M",2,3))))</x:f>
        <x:v>6914</x:v>
      </x:c>
      <x:c r="P146" s="9" t="n">
        <x:f>IF(AB146="","",INDEX('浓度设置'!$P$6:$R$46,MATCH(AB146,'浓度设置'!$A$6:$A$46,0),IF(L146="L",1,IF(L146="M",2,3))))</x:f>
        <x:v>1.875</x:v>
      </x:c>
      <x:c r="Q146" s="9" t="n">
        <x:f>IF(Y146="","",M146/INDEX('浓度设置'!$M$6:$M$46,MATCH(Y146,'浓度设置'!$A$6:$A$46,0)))</x:f>
        <x:v>651.9826086956522</x:v>
      </x:c>
      <x:c r="R146" s="9" t="n">
        <x:f>IF(Z146="","",N146/INDEX('浓度设置'!$M$6:$M$46,MATCH(Z146,'浓度设置'!$A$6:$A$46,0)))</x:f>
        <x:v>4.4863387978142075</x:v>
      </x:c>
      <x:c r="S146" s="9" t="n">
        <x:f>IF(AA146="","",O146/INDEX('浓度设置'!$M$6:$M$46,MATCH(AA146,'浓度设置'!$A$6:$A$46,0)))</x:f>
        <x:v>41.40119760479042</x:v>
      </x:c>
      <x:c r="T146" s="9" t="n">
        <x:f>IF(AB146="","",P146/INDEX('浓度设置'!$M$6:$M$46,MATCH(AB146,'浓度设置'!$A$6:$A$46,0)))</x:f>
        <x:v>0.0006944444444444445</x:v>
      </x:c>
      <x:c r="U146" s="9" t="n">
        <x:f>IF(Y146="","",M146*$AD146/1000)</x:f>
        <x:v>749.78</x:v>
      </x:c>
      <x:c r="V146" s="9" t="n">
        <x:f>IF(Z146="","",N146*$AD146/1000)</x:f>
        <x:v>82.1</x:v>
      </x:c>
      <x:c r="W146" s="9" t="n">
        <x:f>IF(AA146="","",O146*$AD146/1000)</x:f>
        <x:v>138.28</x:v>
      </x:c>
      <x:c r="X146" s="9" t="n">
        <x:f>IF(AB146="","",P146*$AD146/1000)</x:f>
        <x:v>0.0375</x:v>
      </x:c>
      <x:c r="Y146" s="3" t="n">
        <x:v>32</x:v>
      </x:c>
      <x:c r="Z146" s="3" t="n">
        <x:v>56</x:v>
      </x:c>
      <x:c r="AA146" s="3" t="n">
        <x:v>61</x:v>
      </x:c>
      <x:c r="AB146" s="3" t="n">
        <x:v>117</x:v>
      </x:c>
      <x:c r="AC146" s="3" t="n">
        <x:v>4</x:v>
      </x:c>
      <x:c r="AD146" s="3" t="n">
        <x:f>'方案总览'!$B$5</x:f>
        <x:v>20</x:v>
      </x:c>
    </x:row>
    <x:row r="147" ht="24" customHeight="1">
      <x:c r="A147" s="3" t="str">
        <x:v>T142</x:v>
      </x:c>
      <x:c r="B147" s="3" t="str">
        <x:v>拟合</x:v>
      </x:c>
      <x:c r="C147" s="3" t="str">
        <x:v>C056</x:v>
      </x:c>
      <x:c r="D147" s="3" t="str"/>
      <x:c r="E147" s="3" t="str">
        <x:v>己醛</x:v>
      </x:c>
      <x:c r="F147" s="3" t="str">
        <x:v>癸酸乙酯</x:v>
      </x:c>
      <x:c r="G147" s="3" t="str">
        <x:v>1-辛醇</x:v>
      </x:c>
      <x:c r="H147" s="3" t="str">
        <x:v>己酸</x:v>
      </x:c>
      <x:c r="I147" s="3" t="str">
        <x:v>M</x:v>
      </x:c>
      <x:c r="J147" s="3" t="str">
        <x:v>M</x:v>
      </x:c>
      <x:c r="K147" s="3" t="str">
        <x:v>M</x:v>
      </x:c>
      <x:c r="L147" s="3" t="str">
        <x:v>H</x:v>
      </x:c>
      <x:c r="M147" s="9" t="n">
        <x:f>IF(Y147="","",INDEX('浓度设置'!$P$6:$R$46,MATCH(Y147,'浓度设置'!$A$6:$A$46,0),IF(I147="L",1,IF(I147="M",2,3))))</x:f>
        <x:v>729.4776350238574</x:v>
      </x:c>
      <x:c r="N147" s="9" t="n">
        <x:f>IF(Z147="","",INDEX('浓度设置'!$P$6:$R$46,MATCH(Z147,'浓度设置'!$A$6:$A$46,0),IF(J147="L",1,IF(J147="M",2,3))))</x:f>
        <x:v>1288.255</x:v>
      </x:c>
      <x:c r="O147" s="9" t="n">
        <x:f>IF(AA147="","",INDEX('浓度设置'!$P$6:$R$46,MATCH(AA147,'浓度设置'!$A$6:$A$46,0),IF(K147="L",1,IF(K147="M",2,3))))</x:f>
        <x:v>1232.25</x:v>
      </x:c>
      <x:c r="P147" s="9" t="n">
        <x:f>IF(AB147="","",INDEX('浓度设置'!$P$6:$R$46,MATCH(AB147,'浓度设置'!$A$6:$A$46,0),IF(L147="L",1,IF(L147="M",2,3))))</x:f>
        <x:v>1551340.76</x:v>
      </x:c>
      <x:c r="Q147" s="9" t="n">
        <x:f>IF(Y147="","",M147/INDEX('浓度设置'!$M$6:$M$46,MATCH(Y147,'浓度设置'!$A$6:$A$46,0)))</x:f>
        <x:v>28.606966079366956</x:v>
      </x:c>
      <x:c r="R147" s="9" t="n">
        <x:f>IF(Z147="","",N147/INDEX('浓度设置'!$M$6:$M$46,MATCH(Z147,'浓度设置'!$A$6:$A$46,0)))</x:f>
        <x:v>1.1502276785714287</x:v>
      </x:c>
      <x:c r="S147" s="9" t="n">
        <x:f>IF(AA147="","",O147/INDEX('浓度设置'!$M$6:$M$46,MATCH(AA147,'浓度设置'!$A$6:$A$46,0)))</x:f>
        <x:v>1.1202272727272726</x:v>
      </x:c>
      <x:c r="T147" s="9" t="n">
        <x:f>IF(AB147="","",P147/INDEX('浓度设置'!$M$6:$M$46,MATCH(AB147,'浓度设置'!$A$6:$A$46,0)))</x:f>
        <x:v>615.6114126984127</x:v>
      </x:c>
      <x:c r="U147" s="9" t="n">
        <x:f>IF(Y147="","",M147*$AD147/1000)</x:f>
        <x:v>14.589552700477146</x:v>
      </x:c>
      <x:c r="V147" s="9" t="n">
        <x:f>IF(Z147="","",N147*$AD147/1000)</x:f>
        <x:v>25.765100000000004</x:v>
      </x:c>
      <x:c r="W147" s="9" t="n">
        <x:f>IF(AA147="","",O147*$AD147/1000)</x:f>
        <x:v>24.645</x:v>
      </x:c>
      <x:c r="X147" s="9" t="n">
        <x:f>IF(AB147="","",P147*$AD147/1000)</x:f>
        <x:v>31026.8152</x:v>
      </x:c>
      <x:c r="Y147" s="3" t="n">
        <x:v>7</x:v>
      </x:c>
      <x:c r="Z147" s="3" t="n">
        <x:v>79</x:v>
      </x:c>
      <x:c r="AA147" s="3" t="n">
        <x:v>90</x:v>
      </x:c>
      <x:c r="AB147" s="3" t="n">
        <x:v>126</x:v>
      </x:c>
      <x:c r="AC147" s="3" t="n">
        <x:v>4</x:v>
      </x:c>
      <x:c r="AD147" s="3" t="n">
        <x:f>'方案总览'!$B$5</x:f>
        <x:v>20</x:v>
      </x:c>
    </x:row>
    <x:row r="148" ht="24" customHeight="1">
      <x:c r="A148" s="3" t="str">
        <x:v>T143</x:v>
      </x:c>
      <x:c r="B148" s="3" t="str">
        <x:v>拟合</x:v>
      </x:c>
      <x:c r="C148" s="3" t="str">
        <x:v>C057</x:v>
      </x:c>
      <x:c r="D148" s="3" t="str"/>
      <x:c r="E148" s="3" t="str">
        <x:v>1-丁醇</x:v>
      </x:c>
      <x:c r="F148" s="3" t="str">
        <x:v>对甲酚</x:v>
      </x:c>
      <x:c r="G148" s="3" t="str">
        <x:v>戊酸乙酯</x:v>
      </x:c>
      <x:c r="H148" s="3" t="str">
        <x:v>2-甲基丁酸乙酯</x:v>
      </x:c>
      <x:c r="I148" s="3" t="str">
        <x:v>L</x:v>
      </x:c>
      <x:c r="J148" s="3" t="str">
        <x:v>M</x:v>
      </x:c>
      <x:c r="K148" s="3" t="str">
        <x:v>H</x:v>
      </x:c>
      <x:c r="L148" s="3" t="str">
        <x:v>H</x:v>
      </x:c>
      <x:c r="M148" s="9" t="n">
        <x:f>IF(Y148="","",INDEX('浓度设置'!$P$6:$R$46,MATCH(Y148,'浓度设置'!$A$6:$A$46,0),IF(I148="L",1,IF(I148="M",2,3))))</x:f>
        <x:v>16.97</x:v>
      </x:c>
      <x:c r="N148" s="9" t="n">
        <x:f>IF(Z148="","",INDEX('浓度设置'!$P$6:$R$46,MATCH(Z148,'浓度设置'!$A$6:$A$46,0),IF(J148="L",1,IF(J148="M",2,3))))</x:f>
        <x:v>59.381310191002015</x:v>
      </x:c>
      <x:c r="O148" s="9" t="n">
        <x:f>IF(AA148="","",INDEX('浓度设置'!$P$6:$R$46,MATCH(AA148,'浓度设置'!$A$6:$A$46,0),IF(K148="L",1,IF(K148="M",2,3))))</x:f>
        <x:v>1039840</x:v>
      </x:c>
      <x:c r="P148" s="9" t="n">
        <x:f>IF(AB148="","",INDEX('浓度设置'!$P$6:$R$46,MATCH(AB148,'浓度设置'!$A$6:$A$46,0),IF(L148="L",1,IF(L148="M",2,3))))</x:f>
        <x:v>1611</x:v>
      </x:c>
      <x:c r="Q148" s="9" t="n">
        <x:f>IF(Y148="","",M148/INDEX('浓度设置'!$M$6:$M$46,MATCH(Y148,'浓度设置'!$A$6:$A$46,0)))</x:f>
        <x:v>0.006209293816319063</x:v>
      </x:c>
      <x:c r="R148" s="9" t="n">
        <x:f>IF(Z148="","",N148/INDEX('浓度设置'!$M$6:$M$46,MATCH(Z148,'浓度设置'!$A$6:$A$46,0)))</x:f>
        <x:v>0.355576707730551</x:v>
      </x:c>
      <x:c r="S148" s="9" t="n">
        <x:f>IF(AA148="","",O148/INDEX('浓度设置'!$M$6:$M$46,MATCH(AA148,'浓度设置'!$A$6:$A$46,0)))</x:f>
        <x:v>38800</x:v>
      </x:c>
      <x:c r="T148" s="9" t="n">
        <x:f>IF(AB148="","",P148/INDEX('浓度设置'!$M$6:$M$46,MATCH(AB148,'浓度设置'!$A$6:$A$46,0)))</x:f>
        <x:v>89.5</x:v>
      </x:c>
      <x:c r="U148" s="9" t="n">
        <x:f>IF(Y148="","",M148*$AD148/1000)</x:f>
        <x:v>0.3394</x:v>
      </x:c>
      <x:c r="V148" s="9" t="n">
        <x:f>IF(Z148="","",N148*$AD148/1000)</x:f>
        <x:v>1.1876262038200402</x:v>
      </x:c>
      <x:c r="W148" s="9" t="n">
        <x:f>IF(AA148="","",O148*$AD148/1000)</x:f>
        <x:v>20796.8</x:v>
      </x:c>
      <x:c r="X148" s="9" t="n">
        <x:f>IF(AB148="","",P148*$AD148/1000)</x:f>
        <x:v>32.22</x:v>
      </x:c>
      <x:c r="Y148" s="3" t="n">
        <x:v>11</x:v>
      </x:c>
      <x:c r="Z148" s="3" t="n">
        <x:v>61</x:v>
      </x:c>
      <x:c r="AA148" s="3" t="n">
        <x:v>141</x:v>
      </x:c>
      <x:c r="AB148" s="3" t="n">
        <x:v>232</x:v>
      </x:c>
      <x:c r="AC148" s="3" t="n">
        <x:v>4</x:v>
      </x:c>
      <x:c r="AD148" s="3" t="n">
        <x:f>'方案总览'!$B$5</x:f>
        <x:v>20</x:v>
      </x:c>
    </x:row>
    <x:row r="149" ht="24" customHeight="1">
      <x:c r="A149" s="3" t="str">
        <x:v>T144</x:v>
      </x:c>
      <x:c r="B149" s="3" t="str">
        <x:v>拟合</x:v>
      </x:c>
      <x:c r="C149" s="3" t="str">
        <x:v>C058</x:v>
      </x:c>
      <x:c r="D149" s="3" t="str"/>
      <x:c r="E149" s="3" t="str">
        <x:v>丁酸乙酯</x:v>
      </x:c>
      <x:c r="F149" s="3" t="str">
        <x:v>丁酸异戊酯</x:v>
      </x:c>
      <x:c r="G149" s="3" t="str">
        <x:v>癸酸乙酯</x:v>
      </x:c>
      <x:c r="H149" s="3" t="str">
        <x:v>β-大马酮</x:v>
      </x:c>
      <x:c r="I149" s="3" t="str">
        <x:v>M</x:v>
      </x:c>
      <x:c r="J149" s="3" t="str">
        <x:v>M</x:v>
      </x:c>
      <x:c r="K149" s="3" t="str">
        <x:v>H</x:v>
      </x:c>
      <x:c r="L149" s="3" t="str">
        <x:v>H</x:v>
      </x:c>
      <x:c r="M149" s="9" t="n">
        <x:f>IF(Y149="","",INDEX('浓度设置'!$P$6:$R$46,MATCH(Y149,'浓度设置'!$A$6:$A$46,0),IF(I149="L",1,IF(I149="M",2,3))))</x:f>
        <x:v>2338.9306103431118</x:v>
      </x:c>
      <x:c r="N149" s="9" t="n">
        <x:f>IF(Z149="","",INDEX('浓度设置'!$P$6:$R$46,MATCH(Z149,'浓度设置'!$A$6:$A$46,0),IF(J149="L",1,IF(J149="M",2,3))))</x:f>
        <x:v>1041.8500000000001</x:v>
      </x:c>
      <x:c r="O149" s="9" t="n">
        <x:f>IF(AA149="","",INDEX('浓度设置'!$P$6:$R$46,MATCH(AA149,'浓度设置'!$A$6:$A$46,0),IF(K149="L",1,IF(K149="M",2,3))))</x:f>
        <x:v>56115</x:v>
      </x:c>
      <x:c r="P149" s="9" t="n">
        <x:f>IF(AB149="","",INDEX('浓度设置'!$P$6:$R$46,MATCH(AB149,'浓度设置'!$A$6:$A$46,0),IF(L149="L",1,IF(L149="M",2,3))))</x:f>
        <x:v>60.76</x:v>
      </x:c>
      <x:c r="Q149" s="9" t="n">
        <x:f>IF(Y149="","",M149/INDEX('浓度设置'!$M$6:$M$46,MATCH(Y149,'浓度设置'!$A$6:$A$46,0)))</x:f>
        <x:v>28.6985350962345</x:v>
      </x:c>
      <x:c r="R149" s="9" t="n">
        <x:f>IF(Z149="","",N149/INDEX('浓度设置'!$M$6:$M$46,MATCH(Z149,'浓度设置'!$A$6:$A$46,0)))</x:f>
        <x:v>1.1386338797814208</x:v>
      </x:c>
      <x:c r="S149" s="9" t="n">
        <x:f>IF(AA149="","",O149/INDEX('浓度设置'!$M$6:$M$46,MATCH(AA149,'浓度设置'!$A$6:$A$46,0)))</x:f>
        <x:v>50.10267857142857</x:v>
      </x:c>
      <x:c r="T149" s="9" t="n">
        <x:f>IF(AB149="","",P149/INDEX('浓度设置'!$M$6:$M$46,MATCH(AB149,'浓度设置'!$A$6:$A$46,0)))</x:f>
        <x:v>506.3333333333333</x:v>
      </x:c>
      <x:c r="U149" s="9" t="n">
        <x:f>IF(Y149="","",M149*$AD149/1000)</x:f>
        <x:v>46.778612206862235</x:v>
      </x:c>
      <x:c r="V149" s="9" t="n">
        <x:f>IF(Z149="","",N149*$AD149/1000)</x:f>
        <x:v>20.837000000000003</x:v>
      </x:c>
      <x:c r="W149" s="9" t="n">
        <x:f>IF(AA149="","",O149*$AD149/1000)</x:f>
        <x:v>1122.3</x:v>
      </x:c>
      <x:c r="X149" s="9" t="n">
        <x:f>IF(AB149="","",P149*$AD149/1000)</x:f>
        <x:v>1.2152</x:v>
      </x:c>
      <x:c r="Y149" s="3" t="n">
        <x:v>52</x:v>
      </x:c>
      <x:c r="Z149" s="3" t="n">
        <x:v>56</x:v>
      </x:c>
      <x:c r="AA149" s="3" t="n">
        <x:v>79</x:v>
      </x:c>
      <x:c r="AB149" s="3" t="n">
        <x:v>255</x:v>
      </x:c>
      <x:c r="AC149" s="3" t="n">
        <x:v>4</x:v>
      </x:c>
      <x:c r="AD149" s="3" t="n">
        <x:f>'方案总览'!$B$5</x:f>
        <x:v>20</x:v>
      </x:c>
    </x:row>
    <x:row r="150" ht="24" customHeight="1">
      <x:c r="A150" s="3" t="str">
        <x:v>T145</x:v>
      </x:c>
      <x:c r="B150" s="3" t="str">
        <x:v>拟合</x:v>
      </x:c>
      <x:c r="C150" s="3" t="str">
        <x:v>C059</x:v>
      </x:c>
      <x:c r="D150" s="3" t="str"/>
      <x:c r="E150" s="3" t="str">
        <x:v>对甲酚</x:v>
      </x:c>
      <x:c r="F150" s="3" t="str">
        <x:v>苯乙醛</x:v>
      </x:c>
      <x:c r="G150" s="3" t="str">
        <x:v>异戊酸/3-甲基丁酸</x:v>
      </x:c>
      <x:c r="H150" s="3" t="str">
        <x:v>己酸丁酯</x:v>
      </x:c>
      <x:c r="I150" s="3" t="str">
        <x:v>M</x:v>
      </x:c>
      <x:c r="J150" s="3" t="str">
        <x:v>L</x:v>
      </x:c>
      <x:c r="K150" s="3" t="str">
        <x:v>H</x:v>
      </x:c>
      <x:c r="L150" s="3" t="str">
        <x:v>H</x:v>
      </x:c>
      <x:c r="M150" s="9" t="n">
        <x:f>IF(Y150="","",INDEX('浓度设置'!$P$6:$R$46,MATCH(Y150,'浓度设置'!$A$6:$A$46,0),IF(I150="L",1,IF(I150="M",2,3))))</x:f>
        <x:v>59.381310191002015</x:v>
      </x:c>
      <x:c r="N150" s="9" t="n">
        <x:f>IF(Z150="","",INDEX('浓度设置'!$P$6:$R$46,MATCH(Z150,'浓度设置'!$A$6:$A$46,0),IF(J150="L",1,IF(J150="M",2,3))))</x:f>
        <x:v>0.05</x:v>
      </x:c>
      <x:c r="O150" s="9" t="n">
        <x:f>IF(AA150="","",INDEX('浓度设置'!$P$6:$R$46,MATCH(AA150,'浓度设置'!$A$6:$A$46,0),IF(K150="L",1,IF(K150="M",2,3))))</x:f>
        <x:v>44000</x:v>
      </x:c>
      <x:c r="P150" s="9" t="n">
        <x:f>IF(AB150="","",INDEX('浓度设置'!$P$6:$R$46,MATCH(AB150,'浓度设置'!$A$6:$A$46,0),IF(L150="L",1,IF(L150="M",2,3))))</x:f>
        <x:v>86300</x:v>
      </x:c>
      <x:c r="Q150" s="9" t="n">
        <x:f>IF(Y150="","",M150/INDEX('浓度设置'!$M$6:$M$46,MATCH(Y150,'浓度设置'!$A$6:$A$46,0)))</x:f>
        <x:v>0.355576707730551</x:v>
      </x:c>
      <x:c r="R150" s="9" t="n">
        <x:f>IF(Z150="","",N150/INDEX('浓度设置'!$M$6:$M$46,MATCH(Z150,'浓度设置'!$A$6:$A$46,0)))</x:f>
        <x:v>0.00019083969465648855</x:v>
      </x:c>
      <x:c r="S150" s="9" t="n">
        <x:f>IF(AA150="","",O150/INDEX('浓度设置'!$M$6:$M$46,MATCH(AA150,'浓度设置'!$A$6:$A$46,0)))</x:f>
        <x:v>41.904761904761905</x:v>
      </x:c>
      <x:c r="T150" s="9" t="n">
        <x:f>IF(AB150="","",P150/INDEX('浓度设置'!$M$6:$M$46,MATCH(AB150,'浓度设置'!$A$6:$A$46,0)))</x:f>
        <x:v>127.31618080963058</x:v>
      </x:c>
      <x:c r="U150" s="9" t="n">
        <x:f>IF(Y150="","",M150*$AD150/1000)</x:f>
        <x:v>1.1876262038200402</x:v>
      </x:c>
      <x:c r="V150" s="9" t="n">
        <x:f>IF(Z150="","",N150*$AD150/1000)</x:f>
        <x:v>0.001</x:v>
      </x:c>
      <x:c r="W150" s="9" t="n">
        <x:f>IF(AA150="","",O150*$AD150/1000)</x:f>
        <x:v>880</x:v>
      </x:c>
      <x:c r="X150" s="9" t="n">
        <x:f>IF(AB150="","",P150*$AD150/1000)</x:f>
        <x:v>1726</x:v>
      </x:c>
      <x:c r="Y150" s="3" t="n">
        <x:v>61</x:v>
      </x:c>
      <x:c r="Z150" s="3" t="n">
        <x:v>105</x:v>
      </x:c>
      <x:c r="AA150" s="3" t="n">
        <x:v>136</x:v>
      </x:c>
      <x:c r="AB150" s="3" t="n">
        <x:v>165</x:v>
      </x:c>
      <x:c r="AC150" s="3" t="n">
        <x:v>4</x:v>
      </x:c>
      <x:c r="AD150" s="3" t="n">
        <x:f>'方案总览'!$B$5</x:f>
        <x:v>20</x:v>
      </x:c>
    </x:row>
    <x:row r="151" ht="24" customHeight="1">
      <x:c r="A151" s="3" t="str">
        <x:v>T146</x:v>
      </x:c>
      <x:c r="B151" s="3" t="str">
        <x:v>拟合</x:v>
      </x:c>
      <x:c r="C151" s="3" t="str">
        <x:v>C060</x:v>
      </x:c>
      <x:c r="D151" s="3" t="str"/>
      <x:c r="E151" s="3" t="str">
        <x:v>2-甲基丙醛</x:v>
      </x:c>
      <x:c r="F151" s="3" t="str">
        <x:v>丁酸乙酯</x:v>
      </x:c>
      <x:c r="G151" s="3" t="str">
        <x:v>乙醛二乙缩醛</x:v>
      </x:c>
      <x:c r="H151" s="3" t="str">
        <x:v>己酸己酯</x:v>
      </x:c>
      <x:c r="I151" s="3" t="str">
        <x:v>H</x:v>
      </x:c>
      <x:c r="J151" s="3" t="str">
        <x:v>L</x:v>
      </x:c>
      <x:c r="K151" s="3" t="str">
        <x:v>L</x:v>
      </x:c>
      <x:c r="L151" s="3" t="str">
        <x:v>M</x:v>
      </x:c>
      <x:c r="M151" s="9" t="n">
        <x:f>IF(Y151="","",INDEX('浓度设置'!$P$6:$R$46,MATCH(Y151,'浓度设置'!$A$6:$A$46,0),IF(I151="L",1,IF(I151="M",2,3))))</x:f>
        <x:v>35900</x:v>
      </x:c>
      <x:c r="N151" s="9" t="n">
        <x:f>IF(Z151="","",INDEX('浓度设置'!$P$6:$R$46,MATCH(Z151,'浓度设置'!$A$6:$A$46,0),IF(J151="L",1,IF(J151="M",2,3))))</x:f>
        <x:v>4.24</x:v>
      </x:c>
      <x:c r="O151" s="9" t="n">
        <x:f>IF(AA151="","",INDEX('浓度设置'!$P$6:$R$46,MATCH(AA151,'浓度设置'!$A$6:$A$46,0),IF(K151="L",1,IF(K151="M",2,3))))</x:f>
        <x:v>9.61</x:v>
      </x:c>
      <x:c r="P151" s="9" t="n">
        <x:f>IF(AB151="","",INDEX('浓度设置'!$P$6:$R$46,MATCH(AB151,'浓度设置'!$A$6:$A$46,0),IF(L151="L",1,IF(L151="M",2,3))))</x:f>
        <x:v>695.986709643223</x:v>
      </x:c>
      <x:c r="Q151" s="9" t="n">
        <x:f>IF(Y151="","",M151/INDEX('浓度设置'!$M$6:$M$46,MATCH(Y151,'浓度设置'!$A$6:$A$46,0)))</x:f>
        <x:v>6084.745762711864</x:v>
      </x:c>
      <x:c r="R151" s="9" t="n">
        <x:f>IF(Z151="","",N151/INDEX('浓度设置'!$M$6:$M$46,MATCH(Z151,'浓度设置'!$A$6:$A$46,0)))</x:f>
        <x:v>0.052024539877300616</x:v>
      </x:c>
      <x:c r="S151" s="9" t="n">
        <x:f>IF(AA151="","",O151/INDEX('浓度设置'!$M$6:$M$46,MATCH(AA151,'浓度设置'!$A$6:$A$46,0)))</x:f>
        <x:v>0.004598086124401914</x:v>
      </x:c>
      <x:c r="T151" s="9" t="n">
        <x:f>IF(AB151="","",P151/INDEX('浓度设置'!$M$6:$M$46,MATCH(AB151,'浓度设置'!$A$6:$A$46,0)))</x:f>
        <x:v>0.3680521997055648</x:v>
      </x:c>
      <x:c r="U151" s="9" t="n">
        <x:f>IF(Y151="","",M151*$AD151/1000)</x:f>
        <x:v>718</x:v>
      </x:c>
      <x:c r="V151" s="9" t="n">
        <x:f>IF(Z151="","",N151*$AD151/1000)</x:f>
        <x:v>0.08480000000000001</x:v>
      </x:c>
      <x:c r="W151" s="9" t="n">
        <x:f>IF(AA151="","",O151*$AD151/1000)</x:f>
        <x:v>0.19219999999999998</x:v>
      </x:c>
      <x:c r="X151" s="9" t="n">
        <x:f>IF(AB151="","",P151*$AD151/1000)</x:f>
        <x:v>13.91973419286446</x:v>
      </x:c>
      <x:c r="Y151" s="3" t="n">
        <x:v>18</x:v>
      </x:c>
      <x:c r="Z151" s="3" t="n">
        <x:v>52</x:v>
      </x:c>
      <x:c r="AA151" s="3" t="n">
        <x:v>53</x:v>
      </x:c>
      <x:c r="AB151" s="3" t="n">
        <x:v>227</x:v>
      </x:c>
      <x:c r="AC151" s="3" t="n">
        <x:v>4</x:v>
      </x:c>
      <x:c r="AD151" s="3" t="n">
        <x:f>'方案总览'!$B$5</x:f>
        <x:v>20</x:v>
      </x:c>
    </x:row>
    <x:row r="152" ht="24" customHeight="1">
      <x:c r="A152" s="3" t="str">
        <x:v>T147</x:v>
      </x:c>
      <x:c r="B152" s="3" t="str">
        <x:v>拟合</x:v>
      </x:c>
      <x:c r="C152" s="3" t="str">
        <x:v>C061</x:v>
      </x:c>
      <x:c r="D152" s="3" t="str"/>
      <x:c r="E152" s="3" t="str">
        <x:v>1-丁醇</x:v>
      </x:c>
      <x:c r="F152" s="3" t="str">
        <x:v>辛酸乙酯</x:v>
      </x:c>
      <x:c r="G152" s="3" t="str">
        <x:v>戊酸</x:v>
      </x:c>
      <x:c r="H152" s="3" t="str">
        <x:v>己酸</x:v>
      </x:c>
      <x:c r="I152" s="3" t="str">
        <x:v>L</x:v>
      </x:c>
      <x:c r="J152" s="3" t="str">
        <x:v>H</x:v>
      </x:c>
      <x:c r="K152" s="3" t="str">
        <x:v>M</x:v>
      </x:c>
      <x:c r="L152" s="3" t="str">
        <x:v>M</x:v>
      </x:c>
      <x:c r="M152" s="9" t="n">
        <x:f>IF(Y152="","",INDEX('浓度设置'!$P$6:$R$46,MATCH(Y152,'浓度设置'!$A$6:$A$46,0),IF(I152="L",1,IF(I152="M",2,3))))</x:f>
        <x:v>16.97</x:v>
      </x:c>
      <x:c r="N152" s="9" t="n">
        <x:f>IF(Z152="","",INDEX('浓度设置'!$P$6:$R$46,MATCH(Z152,'浓度设置'!$A$6:$A$46,0),IF(J152="L",1,IF(J152="M",2,3))))</x:f>
        <x:v>1865945</x:v>
      </x:c>
      <x:c r="O152" s="9" t="n">
        <x:f>IF(AA152="","",INDEX('浓度设置'!$P$6:$R$46,MATCH(AA152,'浓度设置'!$A$6:$A$46,0),IF(K152="L",1,IF(K152="M",2,3))))</x:f>
        <x:v>331.2476415010377</x:v>
      </x:c>
      <x:c r="P152" s="9" t="n">
        <x:f>IF(AB152="","",INDEX('浓度设置'!$P$6:$R$46,MATCH(AB152,'浓度设置'!$A$6:$A$46,0),IF(L152="L",1,IF(L152="M",2,3))))</x:f>
        <x:v>1815.6539083757125</x:v>
      </x:c>
      <x:c r="Q152" s="9" t="n">
        <x:f>IF(Y152="","",M152/INDEX('浓度设置'!$M$6:$M$46,MATCH(Y152,'浓度设置'!$A$6:$A$46,0)))</x:f>
        <x:v>0.006209293816319063</x:v>
      </x:c>
      <x:c r="R152" s="9" t="n">
        <x:f>IF(Z152="","",N152/INDEX('浓度设置'!$M$6:$M$46,MATCH(Z152,'浓度设置'!$A$6:$A$46,0)))</x:f>
        <x:v>144646.8992248062</x:v>
      </x:c>
      <x:c r="S152" s="9" t="n">
        <x:f>IF(AA152="","",O152/INDEX('浓度设置'!$M$6:$M$46,MATCH(AA152,'浓度设置'!$A$6:$A$46,0)))</x:f>
        <x:v>0.8515363534731046</x:v>
      </x:c>
      <x:c r="T152" s="9" t="n">
        <x:f>IF(AB152="","",P152/INDEX('浓度设置'!$M$6:$M$46,MATCH(AB152,'浓度设置'!$A$6:$A$46,0)))</x:f>
        <x:v>0.7204975826887748</x:v>
      </x:c>
      <x:c r="U152" s="9" t="n">
        <x:f>IF(Y152="","",M152*$AD152/1000)</x:f>
        <x:v>0.3394</x:v>
      </x:c>
      <x:c r="V152" s="9" t="n">
        <x:f>IF(Z152="","",N152*$AD152/1000)</x:f>
        <x:v>37318.9</x:v>
      </x:c>
      <x:c r="W152" s="9" t="n">
        <x:f>IF(AA152="","",O152*$AD152/1000)</x:f>
        <x:v>6.624952830020755</x:v>
      </x:c>
      <x:c r="X152" s="9" t="n">
        <x:f>IF(AB152="","",P152*$AD152/1000)</x:f>
        <x:v>36.31307816751425</x:v>
      </x:c>
      <x:c r="Y152" s="3" t="n">
        <x:v>11</x:v>
      </x:c>
      <x:c r="Z152" s="3" t="n">
        <x:v>58</x:v>
      </x:c>
      <x:c r="AA152" s="3" t="n">
        <x:v>75</x:v>
      </x:c>
      <x:c r="AB152" s="3" t="n">
        <x:v>126</x:v>
      </x:c>
      <x:c r="AC152" s="3" t="n">
        <x:v>4</x:v>
      </x:c>
      <x:c r="AD152" s="3" t="n">
        <x:f>'方案总览'!$B$5</x:f>
        <x:v>20</x:v>
      </x:c>
    </x:row>
    <x:row r="153" ht="24" customHeight="1">
      <x:c r="A153" s="3" t="str">
        <x:v>T148</x:v>
      </x:c>
      <x:c r="B153" s="3" t="str">
        <x:v>拟合</x:v>
      </x:c>
      <x:c r="C153" s="3" t="str">
        <x:v>C062</x:v>
      </x:c>
      <x:c r="D153" s="3" t="str"/>
      <x:c r="E153" s="3" t="str">
        <x:v>异戊酸乙酯（3-甲基丁酸乙酯）</x:v>
      </x:c>
      <x:c r="F153" s="3" t="str">
        <x:v>癸酸乙酯</x:v>
      </x:c>
      <x:c r="G153" s="3" t="str">
        <x:v>乙酸异戊酯</x:v>
      </x:c>
      <x:c r="H153" s="3" t="str">
        <x:v>异戊酸/3-甲基丁酸</x:v>
      </x:c>
      <x:c r="I153" s="3" t="str">
        <x:v>H</x:v>
      </x:c>
      <x:c r="J153" s="3" t="str">
        <x:v>M</x:v>
      </x:c>
      <x:c r="K153" s="3" t="str">
        <x:v>L</x:v>
      </x:c>
      <x:c r="L153" s="3" t="str">
        <x:v>L</x:v>
      </x:c>
      <x:c r="M153" s="9" t="n">
        <x:f>IF(Y153="","",INDEX('浓度设置'!$P$6:$R$46,MATCH(Y153,'浓度设置'!$A$6:$A$46,0),IF(I153="L",1,IF(I153="M",2,3))))</x:f>
        <x:v>12022.2</x:v>
      </x:c>
      <x:c r="N153" s="9" t="n">
        <x:f>IF(Z153="","",INDEX('浓度设置'!$P$6:$R$46,MATCH(Z153,'浓度设置'!$A$6:$A$46,0),IF(J153="L",1,IF(J153="M",2,3))))</x:f>
        <x:v>1288.255</x:v>
      </x:c>
      <x:c r="O153" s="9" t="n">
        <x:f>IF(AA153="","",INDEX('浓度设置'!$P$6:$R$46,MATCH(AA153,'浓度设置'!$A$6:$A$46,0),IF(K153="L",1,IF(K153="M",2,3))))</x:f>
        <x:v>1.44</x:v>
      </x:c>
      <x:c r="P153" s="9" t="n">
        <x:f>IF(AB153="","",INDEX('浓度设置'!$P$6:$R$46,MATCH(AB153,'浓度设置'!$A$6:$A$46,0),IF(L153="L",1,IF(L153="M",2,3))))</x:f>
        <x:v>1.1875</x:v>
      </x:c>
      <x:c r="Q153" s="9" t="n">
        <x:f>IF(Y153="","",M153/INDEX('浓度设置'!$M$6:$M$46,MATCH(Y153,'浓度设置'!$A$6:$A$46,0)))</x:f>
        <x:v>1744.8766328011613</x:v>
      </x:c>
      <x:c r="R153" s="9" t="n">
        <x:f>IF(Z153="","",N153/INDEX('浓度设置'!$M$6:$M$46,MATCH(Z153,'浓度设置'!$A$6:$A$46,0)))</x:f>
        <x:v>1.1502276785714287</x:v>
      </x:c>
      <x:c r="S153" s="9" t="n">
        <x:f>IF(AA153="","",O153/INDEX('浓度设置'!$M$6:$M$46,MATCH(AA153,'浓度设置'!$A$6:$A$46,0)))</x:f>
        <x:v>0.015335463258785941</x:v>
      </x:c>
      <x:c r="T153" s="9" t="n">
        <x:f>IF(AB153="","",P153/INDEX('浓度设置'!$M$6:$M$46,MATCH(AB153,'浓度设置'!$A$6:$A$46,0)))</x:f>
        <x:v>0.001130952380952381</x:v>
      </x:c>
      <x:c r="U153" s="9" t="n">
        <x:f>IF(Y153="","",M153*$AD153/1000)</x:f>
        <x:v>240.444</x:v>
      </x:c>
      <x:c r="V153" s="9" t="n">
        <x:f>IF(Z153="","",N153*$AD153/1000)</x:f>
        <x:v>25.765100000000004</x:v>
      </x:c>
      <x:c r="W153" s="9" t="n">
        <x:f>IF(AA153="","",O153*$AD153/1000)</x:f>
        <x:v>0.028799999999999996</x:v>
      </x:c>
      <x:c r="X153" s="9" t="n">
        <x:f>IF(AB153="","",P153*$AD153/1000)</x:f>
        <x:v>0.02375</x:v>
      </x:c>
      <x:c r="Y153" s="3" t="n">
        <x:v>69</x:v>
      </x:c>
      <x:c r="Z153" s="3" t="n">
        <x:v>79</x:v>
      </x:c>
      <x:c r="AA153" s="3" t="n">
        <x:v>115</x:v>
      </x:c>
      <x:c r="AB153" s="3" t="n">
        <x:v>136</x:v>
      </x:c>
      <x:c r="AC153" s="3" t="n">
        <x:v>4</x:v>
      </x:c>
      <x:c r="AD153" s="3" t="n">
        <x:f>'方案总览'!$B$5</x:f>
        <x:v>20</x:v>
      </x:c>
    </x:row>
    <x:row r="154" ht="24" customHeight="1">
      <x:c r="A154" s="3" t="str">
        <x:v>T149</x:v>
      </x:c>
      <x:c r="B154" s="3" t="str">
        <x:v>拟合</x:v>
      </x:c>
      <x:c r="C154" s="3" t="str">
        <x:v>C063</x:v>
      </x:c>
      <x:c r="D154" s="3" t="str"/>
      <x:c r="E154" s="3" t="str">
        <x:v>己醛</x:v>
      </x:c>
      <x:c r="F154" s="3" t="str">
        <x:v>乙醛二乙缩醛</x:v>
      </x:c>
      <x:c r="G154" s="3" t="str">
        <x:v>辛酸</x:v>
      </x:c>
      <x:c r="H154" s="3" t="str">
        <x:v>己酸丁酯</x:v>
      </x:c>
      <x:c r="I154" s="3" t="str">
        <x:v>M</x:v>
      </x:c>
      <x:c r="J154" s="3" t="str">
        <x:v>M</x:v>
      </x:c>
      <x:c r="K154" s="3" t="str">
        <x:v>L</x:v>
      </x:c>
      <x:c r="L154" s="3" t="str">
        <x:v>M</x:v>
      </x:c>
      <x:c r="M154" s="9" t="n">
        <x:f>IF(Y154="","",INDEX('浓度设置'!$P$6:$R$46,MATCH(Y154,'浓度设置'!$A$6:$A$46,0),IF(I154="L",1,IF(I154="M",2,3))))</x:f>
        <x:v>729.4776350238574</x:v>
      </x:c>
      <x:c r="N154" s="9" t="n">
        <x:f>IF(Z154="","",INDEX('浓度设置'!$P$6:$R$46,MATCH(Z154,'浓度设置'!$A$6:$A$46,0),IF(J154="L",1,IF(J154="M",2,3))))</x:f>
        <x:v>2745.3821227654266</x:v>
      </x:c>
      <x:c r="O154" s="9" t="n">
        <x:f>IF(AA154="","",INDEX('浓度设置'!$P$6:$R$46,MATCH(AA154,'浓度设置'!$A$6:$A$46,0),IF(K154="L",1,IF(K154="M",2,3))))</x:f>
        <x:v>1.875</x:v>
      </x:c>
      <x:c r="P154" s="9" t="n">
        <x:f>IF(AB154="","",INDEX('浓度设置'!$P$6:$R$46,MATCH(AB154,'浓度设置'!$A$6:$A$46,0),IF(L154="L",1,IF(L154="M",2,3))))</x:f>
        <x:v>823.735</x:v>
      </x:c>
      <x:c r="Q154" s="9" t="n">
        <x:f>IF(Y154="","",M154/INDEX('浓度设置'!$M$6:$M$46,MATCH(Y154,'浓度设置'!$A$6:$A$46,0)))</x:f>
        <x:v>28.606966079366956</x:v>
      </x:c>
      <x:c r="R154" s="9" t="n">
        <x:f>IF(Z154="","",N154/INDEX('浓度设置'!$M$6:$M$46,MATCH(Z154,'浓度设置'!$A$6:$A$46,0)))</x:f>
        <x:v>1.3135799630456586</x:v>
      </x:c>
      <x:c r="S154" s="9" t="n">
        <x:f>IF(AA154="","",O154/INDEX('浓度设置'!$M$6:$M$46,MATCH(AA154,'浓度设置'!$A$6:$A$46,0)))</x:f>
        <x:v>0.0006944444444444445</x:v>
      </x:c>
      <x:c r="T154" s="9" t="n">
        <x:f>IF(AB154="","",P154/INDEX('浓度设置'!$M$6:$M$46,MATCH(AB154,'浓度设置'!$A$6:$A$46,0)))</x:f>
        <x:v>1.2152351587395256</x:v>
      </x:c>
      <x:c r="U154" s="9" t="n">
        <x:f>IF(Y154="","",M154*$AD154/1000)</x:f>
        <x:v>14.589552700477146</x:v>
      </x:c>
      <x:c r="V154" s="9" t="n">
        <x:f>IF(Z154="","",N154*$AD154/1000)</x:f>
        <x:v>54.90764245530853</x:v>
      </x:c>
      <x:c r="W154" s="9" t="n">
        <x:f>IF(AA154="","",O154*$AD154/1000)</x:f>
        <x:v>0.0375</x:v>
      </x:c>
      <x:c r="X154" s="9" t="n">
        <x:f>IF(AB154="","",P154*$AD154/1000)</x:f>
        <x:v>16.474700000000002</x:v>
      </x:c>
      <x:c r="Y154" s="3" t="n">
        <x:v>7</x:v>
      </x:c>
      <x:c r="Z154" s="3" t="n">
        <x:v>53</x:v>
      </x:c>
      <x:c r="AA154" s="3" t="n">
        <x:v>117</x:v>
      </x:c>
      <x:c r="AB154" s="3" t="n">
        <x:v>165</x:v>
      </x:c>
      <x:c r="AC154" s="3" t="n">
        <x:v>4</x:v>
      </x:c>
      <x:c r="AD154" s="3" t="n">
        <x:f>'方案总览'!$B$5</x:f>
        <x:v>20</x:v>
      </x:c>
    </x:row>
    <x:row r="155" ht="24" customHeight="1">
      <x:c r="A155" s="3" t="str">
        <x:v>T150</x:v>
      </x:c>
      <x:c r="B155" s="3" t="str">
        <x:v>拟合</x:v>
      </x:c>
      <x:c r="C155" s="3" t="str">
        <x:v>C064</x:v>
      </x:c>
      <x:c r="D155" s="3" t="str"/>
      <x:c r="E155" s="3" t="str">
        <x:v>2-甲基丙醛</x:v>
      </x:c>
      <x:c r="F155" s="3" t="str">
        <x:v>异丁酸乙酯</x:v>
      </x:c>
      <x:c r="G155" s="3" t="str">
        <x:v>戊酸</x:v>
      </x:c>
      <x:c r="H155" s="3" t="str">
        <x:v>己酸丁酯</x:v>
      </x:c>
      <x:c r="I155" s="3" t="str">
        <x:v>M</x:v>
      </x:c>
      <x:c r="J155" s="3" t="str">
        <x:v>L</x:v>
      </x:c>
      <x:c r="K155" s="3" t="str">
        <x:v>L</x:v>
      </x:c>
      <x:c r="L155" s="3" t="str">
        <x:v>M</x:v>
      </x:c>
      <x:c r="M155" s="9" t="n">
        <x:f>IF(Y155="","",INDEX('浓度设置'!$P$6:$R$46,MATCH(Y155,'浓度设置'!$A$6:$A$46,0),IF(I155="L",1,IF(I155="M",2,3))))</x:f>
        <x:v>1183.2582135780847</x:v>
      </x:c>
      <x:c r="N155" s="9" t="n">
        <x:f>IF(Z155="","",INDEX('浓度设置'!$P$6:$R$46,MATCH(Z155,'浓度设置'!$A$6:$A$46,0),IF(J155="L",1,IF(J155="M",2,3))))</x:f>
        <x:v>18.68</x:v>
      </x:c>
      <x:c r="O155" s="9" t="n">
        <x:f>IF(AA155="","",INDEX('浓度设置'!$P$6:$R$46,MATCH(AA155,'浓度设置'!$A$6:$A$46,0),IF(K155="L",1,IF(K155="M",2,3))))</x:f>
        <x:v>1.75</x:v>
      </x:c>
      <x:c r="P155" s="9" t="n">
        <x:f>IF(AB155="","",INDEX('浓度设置'!$P$6:$R$46,MATCH(AB155,'浓度设置'!$A$6:$A$46,0),IF(L155="L",1,IF(L155="M",2,3))))</x:f>
        <x:v>823.735</x:v>
      </x:c>
      <x:c r="Q155" s="9" t="n">
        <x:f>IF(Y155="","",M155/INDEX('浓度设置'!$M$6:$M$46,MATCH(Y155,'浓度设置'!$A$6:$A$46,0)))</x:f>
        <x:v>200.55223958950586</x:v>
      </x:c>
      <x:c r="R155" s="9" t="n">
        <x:f>IF(Z155="","",N155/INDEX('浓度设置'!$M$6:$M$46,MATCH(Z155,'浓度设置'!$A$6:$A$46,0)))</x:f>
        <x:v>0.3248695652173913</x:v>
      </x:c>
      <x:c r="S155" s="9" t="n">
        <x:f>IF(AA155="","",O155/INDEX('浓度设置'!$M$6:$M$46,MATCH(AA155,'浓度设置'!$A$6:$A$46,0)))</x:f>
        <x:v>0.004498714652956298</x:v>
      </x:c>
      <x:c r="T155" s="9" t="n">
        <x:f>IF(AB155="","",P155/INDEX('浓度设置'!$M$6:$M$46,MATCH(AB155,'浓度设置'!$A$6:$A$46,0)))</x:f>
        <x:v>1.2152351587395256</x:v>
      </x:c>
      <x:c r="U155" s="9" t="n">
        <x:f>IF(Y155="","",M155*$AD155/1000)</x:f>
        <x:v>23.665164271561693</x:v>
      </x:c>
      <x:c r="V155" s="9" t="n">
        <x:f>IF(Z155="","",N155*$AD155/1000)</x:f>
        <x:v>0.37360000000000004</x:v>
      </x:c>
      <x:c r="W155" s="9" t="n">
        <x:f>IF(AA155="","",O155*$AD155/1000)</x:f>
        <x:v>0.035</x:v>
      </x:c>
      <x:c r="X155" s="9" t="n">
        <x:f>IF(AB155="","",P155*$AD155/1000)</x:f>
        <x:v>16.474700000000002</x:v>
      </x:c>
      <x:c r="Y155" s="3" t="n">
        <x:v>18</x:v>
      </x:c>
      <x:c r="Z155" s="3" t="n">
        <x:v>32</x:v>
      </x:c>
      <x:c r="AA155" s="3" t="n">
        <x:v>75</x:v>
      </x:c>
      <x:c r="AB155" s="3" t="n">
        <x:v>165</x:v>
      </x:c>
      <x:c r="AC155" s="3" t="n">
        <x:v>4</x:v>
      </x:c>
      <x:c r="AD155" s="3" t="n">
        <x:f>'方案总览'!$B$5</x:f>
        <x:v>20</x:v>
      </x:c>
    </x:row>
    <x:row r="156" ht="24" customHeight="1">
      <x:c r="A156" s="3" t="str">
        <x:v>T151</x:v>
      </x:c>
      <x:c r="B156" s="3" t="str">
        <x:v>拟合</x:v>
      </x:c>
      <x:c r="C156" s="3" t="str">
        <x:v>C065</x:v>
      </x:c>
      <x:c r="D156" s="3" t="str"/>
      <x:c r="E156" s="3" t="str">
        <x:v>苯乙酸乙酯</x:v>
      </x:c>
      <x:c r="F156" s="3" t="str">
        <x:v>丁酸异戊酯</x:v>
      </x:c>
      <x:c r="G156" s="3" t="str">
        <x:v>己酸乙酯</x:v>
      </x:c>
      <x:c r="H156" s="3" t="str">
        <x:v>乙酸丁酯</x:v>
      </x:c>
      <x:c r="I156" s="3" t="str">
        <x:v>H</x:v>
      </x:c>
      <x:c r="J156" s="3" t="str">
        <x:v>H</x:v>
      </x:c>
      <x:c r="K156" s="3" t="str">
        <x:v>H</x:v>
      </x:c>
      <x:c r="L156" s="3" t="str">
        <x:v>M</x:v>
      </x:c>
      <x:c r="M156" s="9" t="n">
        <x:f>IF(Y156="","",INDEX('浓度设置'!$P$6:$R$46,MATCH(Y156,'浓度设置'!$A$6:$A$46,0),IF(I156="L",1,IF(I156="M",2,3))))</x:f>
        <x:v>21400</x:v>
      </x:c>
      <x:c r="N156" s="9" t="n">
        <x:f>IF(Z156="","",INDEX('浓度设置'!$P$6:$R$46,MATCH(Z156,'浓度设置'!$A$6:$A$46,0),IF(J156="L",1,IF(J156="M",2,3))))</x:f>
        <x:v>4105</x:v>
      </x:c>
      <x:c r="O156" s="9" t="n">
        <x:f>IF(AA156="","",INDEX('浓度设置'!$P$6:$R$46,MATCH(AA156,'浓度设置'!$A$6:$A$46,0),IF(K156="L",1,IF(K156="M",2,3))))</x:f>
        <x:v>9622120</x:v>
      </x:c>
      <x:c r="P156" s="9" t="n">
        <x:f>IF(AB156="","",INDEX('浓度设置'!$P$6:$R$46,MATCH(AB156,'浓度设置'!$A$6:$A$46,0),IF(L156="L",1,IF(L156="M",2,3))))</x:f>
        <x:v>3147.945</x:v>
      </x:c>
      <x:c r="Q156" s="9" t="n">
        <x:f>IF(Y156="","",M156/INDEX('浓度设置'!$M$6:$M$46,MATCH(Y156,'浓度设置'!$A$6:$A$46,0)))</x:f>
        <x:v>52.57985257985258</x:v>
      </x:c>
      <x:c r="R156" s="9" t="n">
        <x:f>IF(Z156="","",N156/INDEX('浓度设置'!$M$6:$M$46,MATCH(Z156,'浓度设置'!$A$6:$A$46,0)))</x:f>
        <x:v>4.4863387978142075</x:v>
      </x:c>
      <x:c r="S156" s="9" t="n">
        <x:f>IF(AA156="","",O156/INDEX('浓度设置'!$M$6:$M$46,MATCH(AA156,'浓度设置'!$A$6:$A$46,0)))</x:f>
        <x:v>173998.5533453888</x:v>
      </x:c>
      <x:c r="T156" s="9" t="n">
        <x:f>IF(AB156="","",P156/INDEX('浓度设置'!$M$6:$M$46,MATCH(AB156,'浓度设置'!$A$6:$A$46,0)))</x:f>
        <x:v>1.7488583333333334</x:v>
      </x:c>
      <x:c r="U156" s="9" t="n">
        <x:f>IF(Y156="","",M156*$AD156/1000)</x:f>
        <x:v>428</x:v>
      </x:c>
      <x:c r="V156" s="9" t="n">
        <x:f>IF(Z156="","",N156*$AD156/1000)</x:f>
        <x:v>82.1</x:v>
      </x:c>
      <x:c r="W156" s="9" t="n">
        <x:f>IF(AA156="","",O156*$AD156/1000)</x:f>
        <x:v>192442.4</x:v>
      </x:c>
      <x:c r="X156" s="9" t="n">
        <x:f>IF(AB156="","",P156*$AD156/1000)</x:f>
        <x:v>62.9589</x:v>
      </x:c>
      <x:c r="Y156" s="3" t="n">
        <x:v>40</x:v>
      </x:c>
      <x:c r="Z156" s="3" t="n">
        <x:v>56</x:v>
      </x:c>
      <x:c r="AA156" s="3" t="n">
        <x:v>111</x:v>
      </x:c>
      <x:c r="AB156" s="3" t="n">
        <x:v>114</x:v>
      </x:c>
      <x:c r="AC156" s="3" t="n">
        <x:v>4</x:v>
      </x:c>
      <x:c r="AD156" s="3" t="n">
        <x:f>'方案总览'!$B$5</x:f>
        <x:v>20</x:v>
      </x:c>
    </x:row>
    <x:row r="157" ht="24" customHeight="1">
      <x:c r="A157" s="3" t="str">
        <x:v>T152</x:v>
      </x:c>
      <x:c r="B157" s="3" t="str">
        <x:v>拟合</x:v>
      </x:c>
      <x:c r="C157" s="3" t="str">
        <x:v>C066</x:v>
      </x:c>
      <x:c r="D157" s="3" t="str"/>
      <x:c r="E157" s="3" t="str">
        <x:v>异戊酸乙酯（3-甲基丁酸乙酯）</x:v>
      </x:c>
      <x:c r="F157" s="3" t="str">
        <x:v>苯乙醛</x:v>
      </x:c>
      <x:c r="G157" s="3" t="str">
        <x:v>异戊醛</x:v>
      </x:c>
      <x:c r="H157" s="3" t="str">
        <x:v>二甲基三硫醚</x:v>
      </x:c>
      <x:c r="I157" s="3" t="str">
        <x:v>L</x:v>
      </x:c>
      <x:c r="J157" s="3" t="str">
        <x:v>M</x:v>
      </x:c>
      <x:c r="K157" s="3" t="str">
        <x:v>M</x:v>
      </x:c>
      <x:c r="L157" s="3" t="str">
        <x:v>H</x:v>
      </x:c>
      <x:c r="M157" s="9" t="n">
        <x:f>IF(Y157="","",INDEX('浓度设置'!$P$6:$R$46,MATCH(Y157,'浓度设置'!$A$6:$A$46,0),IF(I157="L",1,IF(I157="M",2,3))))</x:f>
        <x:v>0.83</x:v>
      </x:c>
      <x:c r="N157" s="9" t="n">
        <x:f>IF(Z157="","",INDEX('浓度设置'!$P$6:$R$46,MATCH(Z157,'浓度设置'!$A$6:$A$46,0),IF(J157="L",1,IF(J157="M",2,3))))</x:f>
        <x:v>28.044607324760317</x:v>
      </x:c>
      <x:c r="O157" s="9" t="n">
        <x:f>IF(AA157="","",INDEX('浓度设置'!$P$6:$R$46,MATCH(AA157,'浓度设置'!$A$6:$A$46,0),IF(K157="L",1,IF(K157="M",2,3))))</x:f>
        <x:v>1048.6410253275426</x:v>
      </x:c>
      <x:c r="P157" s="9" t="n">
        <x:f>IF(AB157="","",INDEX('浓度设置'!$P$6:$R$46,MATCH(AB157,'浓度设置'!$A$6:$A$46,0),IF(L157="L",1,IF(L157="M",2,3))))</x:f>
        <x:v>4201.44</x:v>
      </x:c>
      <x:c r="Q157" s="9" t="n">
        <x:f>IF(Y157="","",M157/INDEX('浓度设置'!$M$6:$M$46,MATCH(Y157,'浓度设置'!$A$6:$A$46,0)))</x:f>
        <x:v>0.1204644412191582</x:v>
      </x:c>
      <x:c r="R157" s="9" t="n">
        <x:f>IF(Z157="","",N157/INDEX('浓度设置'!$M$6:$M$46,MATCH(Z157,'浓度设置'!$A$6:$A$46,0)))</x:f>
        <x:v>0.10704048597236762</x:v>
      </x:c>
      <x:c r="S157" s="9" t="n">
        <x:f>IF(AA157="","",O157/INDEX('浓度设置'!$M$6:$M$46,MATCH(AA157,'浓度设置'!$A$6:$A$46,0)))</x:f>
        <x:v>63.554001535002584</x:v>
      </x:c>
      <x:c r="T157" s="9" t="n">
        <x:f>IF(AB157="","",P157/INDEX('浓度设置'!$M$6:$M$46,MATCH(AB157,'浓度设置'!$A$6:$A$46,0)))</x:f>
        <x:v>11670.666666666666</x:v>
      </x:c>
      <x:c r="U157" s="9" t="n">
        <x:f>IF(Y157="","",M157*$AD157/1000)</x:f>
        <x:v>0.016599999999999997</x:v>
      </x:c>
      <x:c r="V157" s="9" t="n">
        <x:f>IF(Z157="","",N157*$AD157/1000)</x:f>
        <x:v>0.5608921464952064</x:v>
      </x:c>
      <x:c r="W157" s="9" t="n">
        <x:f>IF(AA157="","",O157*$AD157/1000)</x:f>
        <x:v>20.972820506550853</x:v>
      </x:c>
      <x:c r="X157" s="9" t="n">
        <x:f>IF(AB157="","",P157*$AD157/1000)</x:f>
        <x:v>84.02879999999999</x:v>
      </x:c>
      <x:c r="Y157" s="3" t="n">
        <x:v>69</x:v>
      </x:c>
      <x:c r="Z157" s="3" t="n">
        <x:v>105</x:v>
      </x:c>
      <x:c r="AA157" s="3" t="n">
        <x:v>152</x:v>
      </x:c>
      <x:c r="AB157" s="3" t="n">
        <x:v>209</x:v>
      </x:c>
      <x:c r="AC157" s="3" t="n">
        <x:v>4</x:v>
      </x:c>
      <x:c r="AD157" s="3" t="n">
        <x:f>'方案总览'!$B$5</x:f>
        <x:v>20</x:v>
      </x:c>
    </x:row>
    <x:row r="158" ht="24" customHeight="1">
      <x:c r="A158" s="3" t="str">
        <x:v>T153</x:v>
      </x:c>
      <x:c r="B158" s="3" t="str">
        <x:v>拟合</x:v>
      </x:c>
      <x:c r="C158" s="3" t="str">
        <x:v>C067</x:v>
      </x:c>
      <x:c r="D158" s="3" t="str"/>
      <x:c r="E158" s="3" t="str">
        <x:v>辛酸乙酯</x:v>
      </x:c>
      <x:c r="F158" s="3" t="str">
        <x:v>3-苯基丙酸乙酯</x:v>
      </x:c>
      <x:c r="G158" s="3" t="str">
        <x:v>2-甲基丁酸乙酯</x:v>
      </x:c>
      <x:c r="H158" s="3" t="str">
        <x:v>β-大马酮</x:v>
      </x:c>
      <x:c r="I158" s="3" t="str">
        <x:v>M</x:v>
      </x:c>
      <x:c r="J158" s="3" t="str">
        <x:v>M</x:v>
      </x:c>
      <x:c r="K158" s="3" t="str">
        <x:v>M</x:v>
      </x:c>
      <x:c r="L158" s="3" t="str">
        <x:v>L</x:v>
      </x:c>
      <x:c r="M158" s="9" t="n">
        <x:f>IF(Y158="","",INDEX('浓度设置'!$P$6:$R$46,MATCH(Y158,'浓度设置'!$A$6:$A$46,0),IF(I158="L",1,IF(I158="M",2,3))))</x:f>
        <x:v>3072.731960324558</x:v>
      </x:c>
      <x:c r="N158" s="9" t="n">
        <x:f>IF(Z158="","",INDEX('浓度设置'!$P$6:$R$46,MATCH(Z158,'浓度设置'!$A$6:$A$46,0),IF(J158="L",1,IF(J158="M",2,3))))</x:f>
        <x:v>4262.731518639193</x:v>
      </x:c>
      <x:c r="O158" s="9" t="n">
        <x:f>IF(AA158="","",INDEX('浓度设置'!$P$6:$R$46,MATCH(AA158,'浓度设置'!$A$6:$A$46,0),IF(K158="L",1,IF(K158="M",2,3))))</x:f>
        <x:v>39.53062104242735</x:v>
      </x:c>
      <x:c r="P158" s="9" t="n">
        <x:f>IF(AB158="","",INDEX('浓度设置'!$P$6:$R$46,MATCH(AB158,'浓度设置'!$A$6:$A$46,0),IF(L158="L",1,IF(L158="M",2,3))))</x:f>
        <x:v>1.5</x:v>
      </x:c>
      <x:c r="Q158" s="9" t="n">
        <x:f>IF(Y158="","",M158/INDEX('浓度设置'!$M$6:$M$46,MATCH(Y158,'浓度设置'!$A$6:$A$46,0)))</x:f>
        <x:v>238.19627599415176</x:v>
      </x:c>
      <x:c r="R158" s="9" t="n">
        <x:f>IF(Z158="","",N158/INDEX('浓度设置'!$M$6:$M$46,MATCH(Z158,'浓度设置'!$A$6:$A$46,0)))</x:f>
        <x:v>34.10185214911355</x:v>
      </x:c>
      <x:c r="S158" s="9" t="n">
        <x:f>IF(AA158="","",O158/INDEX('浓度设置'!$M$6:$M$46,MATCH(AA158,'浓度设置'!$A$6:$A$46,0)))</x:f>
        <x:v>2.196145613468186</x:v>
      </x:c>
      <x:c r="T158" s="9" t="n">
        <x:f>IF(AB158="","",P158/INDEX('浓度设置'!$M$6:$M$46,MATCH(AB158,'浓度设置'!$A$6:$A$46,0)))</x:f>
        <x:v>12.5</x:v>
      </x:c>
      <x:c r="U158" s="9" t="n">
        <x:f>IF(Y158="","",M158*$AD158/1000)</x:f>
        <x:v>61.45463920649116</x:v>
      </x:c>
      <x:c r="V158" s="9" t="n">
        <x:f>IF(Z158="","",N158*$AD158/1000)</x:f>
        <x:v>85.25463037278386</x:v>
      </x:c>
      <x:c r="W158" s="9" t="n">
        <x:f>IF(AA158="","",O158*$AD158/1000)</x:f>
        <x:v>0.790612420848547</x:v>
      </x:c>
      <x:c r="X158" s="9" t="n">
        <x:f>IF(AB158="","",P158*$AD158/1000)</x:f>
        <x:v>0.03</x:v>
      </x:c>
      <x:c r="Y158" s="3" t="n">
        <x:v>58</x:v>
      </x:c>
      <x:c r="Z158" s="3" t="n">
        <x:v>186</x:v>
      </x:c>
      <x:c r="AA158" s="3" t="n">
        <x:v>232</x:v>
      </x:c>
      <x:c r="AB158" s="3" t="n">
        <x:v>255</x:v>
      </x:c>
      <x:c r="AC158" s="3" t="n">
        <x:v>4</x:v>
      </x:c>
      <x:c r="AD158" s="3" t="n">
        <x:f>'方案总览'!$B$5</x:f>
        <x:v>20</x:v>
      </x:c>
    </x:row>
    <x:row r="159" ht="24" customHeight="1">
      <x:c r="A159" s="3" t="str">
        <x:v>T154</x:v>
      </x:c>
      <x:c r="B159" s="3" t="str">
        <x:v>拟合</x:v>
      </x:c>
      <x:c r="C159" s="3" t="str">
        <x:v>C068</x:v>
      </x:c>
      <x:c r="D159" s="3" t="str"/>
      <x:c r="E159" s="3" t="str">
        <x:v>异戊酸乙酯（3-甲基丁酸乙酯）</x:v>
      </x:c>
      <x:c r="F159" s="3" t="str">
        <x:v>1-辛醇</x:v>
      </x:c>
      <x:c r="G159" s="3" t="str">
        <x:v>辛酸</x:v>
      </x:c>
      <x:c r="H159" s="3" t="str">
        <x:v>戊酸乙酯</x:v>
      </x:c>
      <x:c r="I159" s="3" t="str">
        <x:v>M</x:v>
      </x:c>
      <x:c r="J159" s="3" t="str">
        <x:v>H</x:v>
      </x:c>
      <x:c r="K159" s="3" t="str">
        <x:v>L</x:v>
      </x:c>
      <x:c r="L159" s="3" t="str">
        <x:v>M</x:v>
      </x:c>
      <x:c r="M159" s="9" t="n">
        <x:f>IF(Y159="","",INDEX('浓度设置'!$P$6:$R$46,MATCH(Y159,'浓度设置'!$A$6:$A$46,0),IF(I159="L",1,IF(I159="M",2,3))))</x:f>
        <x:v>99.89207175747232</x:v>
      </x:c>
      <x:c r="N159" s="9" t="n">
        <x:f>IF(Z159="","",INDEX('浓度设置'!$P$6:$R$46,MATCH(Z159,'浓度设置'!$A$6:$A$46,0),IF(J159="L",1,IF(J159="M",2,3))))</x:f>
        <x:v>25642.45</x:v>
      </x:c>
      <x:c r="O159" s="9" t="n">
        <x:f>IF(AA159="","",INDEX('浓度设置'!$P$6:$R$46,MATCH(AA159,'浓度设置'!$A$6:$A$46,0),IF(K159="L",1,IF(K159="M",2,3))))</x:f>
        <x:v>1.875</x:v>
      </x:c>
      <x:c r="P159" s="9" t="n">
        <x:f>IF(AB159="","",INDEX('浓度设置'!$P$6:$R$46,MATCH(AB159,'浓度设置'!$A$6:$A$46,0),IF(L159="L",1,IF(L159="M",2,3))))</x:f>
        <x:v>1512.497272724814</x:v>
      </x:c>
      <x:c r="Q159" s="9" t="n">
        <x:f>IF(Y159="","",M159/INDEX('浓度设置'!$M$6:$M$46,MATCH(Y159,'浓度设置'!$A$6:$A$46,0)))</x:f>
        <x:v>14.49812362227465</x:v>
      </x:c>
      <x:c r="R159" s="9" t="n">
        <x:f>IF(Z159="","",N159/INDEX('浓度设置'!$M$6:$M$46,MATCH(Z159,'浓度设置'!$A$6:$A$46,0)))</x:f>
        <x:v>23.311318181818184</x:v>
      </x:c>
      <x:c r="S159" s="9" t="n">
        <x:f>IF(AA159="","",O159/INDEX('浓度设置'!$M$6:$M$46,MATCH(AA159,'浓度设置'!$A$6:$A$46,0)))</x:f>
        <x:v>0.0006944444444444445</x:v>
      </x:c>
      <x:c r="T159" s="9" t="n">
        <x:f>IF(AB159="","",P159/INDEX('浓度设置'!$M$6:$M$46,MATCH(AB159,'浓度设置'!$A$6:$A$46,0)))</x:f>
        <x:v>56.43646540017962</x:v>
      </x:c>
      <x:c r="U159" s="9" t="n">
        <x:f>IF(Y159="","",M159*$AD159/1000)</x:f>
        <x:v>1.9978414351494465</x:v>
      </x:c>
      <x:c r="V159" s="9" t="n">
        <x:f>IF(Z159="","",N159*$AD159/1000)</x:f>
        <x:v>512.849</x:v>
      </x:c>
      <x:c r="W159" s="9" t="n">
        <x:f>IF(AA159="","",O159*$AD159/1000)</x:f>
        <x:v>0.0375</x:v>
      </x:c>
      <x:c r="X159" s="9" t="n">
        <x:f>IF(AB159="","",P159*$AD159/1000)</x:f>
        <x:v>30.249945454496277</x:v>
      </x:c>
      <x:c r="Y159" s="3" t="n">
        <x:v>69</x:v>
      </x:c>
      <x:c r="Z159" s="3" t="n">
        <x:v>90</x:v>
      </x:c>
      <x:c r="AA159" s="3" t="n">
        <x:v>117</x:v>
      </x:c>
      <x:c r="AB159" s="3" t="n">
        <x:v>141</x:v>
      </x:c>
      <x:c r="AC159" s="3" t="n">
        <x:v>4</x:v>
      </x:c>
      <x:c r="AD159" s="3" t="n">
        <x:f>'方案总览'!$B$5</x:f>
        <x:v>20</x:v>
      </x:c>
    </x:row>
    <x:row r="160" ht="24" customHeight="1">
      <x:c r="A160" s="3" t="str">
        <x:v>T155</x:v>
      </x:c>
      <x:c r="B160" s="3" t="str">
        <x:v>拟合</x:v>
      </x:c>
      <x:c r="C160" s="3" t="str">
        <x:v>C069</x:v>
      </x:c>
      <x:c r="D160" s="3" t="str"/>
      <x:c r="E160" s="3" t="str">
        <x:v>苯乙酸乙酯</x:v>
      </x:c>
      <x:c r="F160" s="3" t="str">
        <x:v>丁酸乙酯</x:v>
      </x:c>
      <x:c r="G160" s="3" t="str">
        <x:v>苯乙醛</x:v>
      </x:c>
      <x:c r="H160" s="3" t="str">
        <x:v>1-辛烯-3-醇</x:v>
      </x:c>
      <x:c r="I160" s="3" t="str">
        <x:v>L</x:v>
      </x:c>
      <x:c r="J160" s="3" t="str">
        <x:v>L</x:v>
      </x:c>
      <x:c r="K160" s="3" t="str">
        <x:v>M</x:v>
      </x:c>
      <x:c r="L160" s="3" t="str">
        <x:v>M</x:v>
      </x:c>
      <x:c r="M160" s="9" t="n">
        <x:f>IF(Y160="","",INDEX('浓度设置'!$P$6:$R$46,MATCH(Y160,'浓度设置'!$A$6:$A$46,0),IF(I160="L",1,IF(I160="M",2,3))))</x:f>
        <x:v>1.875</x:v>
      </x:c>
      <x:c r="N160" s="9" t="n">
        <x:f>IF(Z160="","",INDEX('浓度设置'!$P$6:$R$46,MATCH(Z160,'浓度设置'!$A$6:$A$46,0),IF(J160="L",1,IF(J160="M",2,3))))</x:f>
        <x:v>4.24</x:v>
      </x:c>
      <x:c r="O160" s="9" t="n">
        <x:f>IF(AA160="","",INDEX('浓度设置'!$P$6:$R$46,MATCH(AA160,'浓度设置'!$A$6:$A$46,0),IF(K160="L",1,IF(K160="M",2,3))))</x:f>
        <x:v>28.044607324760317</x:v>
      </x:c>
      <x:c r="P160" s="9" t="n">
        <x:f>IF(AB160="","",INDEX('浓度设置'!$P$6:$R$46,MATCH(AB160,'浓度设置'!$A$6:$A$46,0),IF(L160="L",1,IF(L160="M",2,3))))</x:f>
        <x:v>16.47573974060042</x:v>
      </x:c>
      <x:c r="Q160" s="9" t="n">
        <x:f>IF(Y160="","",M160/INDEX('浓度设置'!$M$6:$M$46,MATCH(Y160,'浓度设置'!$A$6:$A$46,0)))</x:f>
        <x:v>0.004606879606879607</x:v>
      </x:c>
      <x:c r="R160" s="9" t="n">
        <x:f>IF(Z160="","",N160/INDEX('浓度设置'!$M$6:$M$46,MATCH(Z160,'浓度设置'!$A$6:$A$46,0)))</x:f>
        <x:v>0.052024539877300616</x:v>
      </x:c>
      <x:c r="S160" s="9" t="n">
        <x:f>IF(AA160="","",O160/INDEX('浓度设置'!$M$6:$M$46,MATCH(AA160,'浓度设置'!$A$6:$A$46,0)))</x:f>
        <x:v>0.10704048597236762</x:v>
      </x:c>
      <x:c r="T160" s="9" t="n">
        <x:f>IF(AB160="","",P160/INDEX('浓度设置'!$M$6:$M$46,MATCH(AB160,'浓度设置'!$A$6:$A$46,0)))</x:f>
        <x:v>2.692114336699415</x:v>
      </x:c>
      <x:c r="U160" s="9" t="n">
        <x:f>IF(Y160="","",M160*$AD160/1000)</x:f>
        <x:v>0.0375</x:v>
      </x:c>
      <x:c r="V160" s="9" t="n">
        <x:f>IF(Z160="","",N160*$AD160/1000)</x:f>
        <x:v>0.08480000000000001</x:v>
      </x:c>
      <x:c r="W160" s="9" t="n">
        <x:f>IF(AA160="","",O160*$AD160/1000)</x:f>
        <x:v>0.5608921464952064</x:v>
      </x:c>
      <x:c r="X160" s="9" t="n">
        <x:f>IF(AB160="","",P160*$AD160/1000)</x:f>
        <x:v>0.3295147948120084</x:v>
      </x:c>
      <x:c r="Y160" s="3" t="n">
        <x:v>40</x:v>
      </x:c>
      <x:c r="Z160" s="3" t="n">
        <x:v>52</x:v>
      </x:c>
      <x:c r="AA160" s="3" t="n">
        <x:v>105</x:v>
      </x:c>
      <x:c r="AB160" s="3" t="n">
        <x:v>207</x:v>
      </x:c>
      <x:c r="AC160" s="3" t="n">
        <x:v>4</x:v>
      </x:c>
      <x:c r="AD160" s="3" t="n">
        <x:f>'方案总览'!$B$5</x:f>
        <x:v>20</x:v>
      </x:c>
    </x:row>
    <x:row r="161" ht="24" customHeight="1">
      <x:c r="A161" s="3" t="str">
        <x:v>T156</x:v>
      </x:c>
      <x:c r="B161" s="3" t="str">
        <x:v>拟合</x:v>
      </x:c>
      <x:c r="C161" s="3" t="str">
        <x:v>C070</x:v>
      </x:c>
      <x:c r="D161" s="3" t="str"/>
      <x:c r="E161" s="3" t="str">
        <x:v>辛酸乙酯</x:v>
      </x:c>
      <x:c r="F161" s="3" t="str">
        <x:v>癸酸乙酯</x:v>
      </x:c>
      <x:c r="G161" s="3" t="str">
        <x:v>乙酸丁酯</x:v>
      </x:c>
      <x:c r="H161" s="3" t="str">
        <x:v>1-辛烯-3-醇</x:v>
      </x:c>
      <x:c r="I161" s="3" t="str">
        <x:v>L</x:v>
      </x:c>
      <x:c r="J161" s="3" t="str">
        <x:v>H</x:v>
      </x:c>
      <x:c r="K161" s="3" t="str">
        <x:v>M</x:v>
      </x:c>
      <x:c r="L161" s="3" t="str">
        <x:v>M</x:v>
      </x:c>
      <x:c r="M161" s="9" t="n">
        <x:f>IF(Y161="","",INDEX('浓度设置'!$P$6:$R$46,MATCH(Y161,'浓度设置'!$A$6:$A$46,0),IF(I161="L",1,IF(I161="M",2,3))))</x:f>
        <x:v>5.06</x:v>
      </x:c>
      <x:c r="N161" s="9" t="n">
        <x:f>IF(Z161="","",INDEX('浓度设置'!$P$6:$R$46,MATCH(Z161,'浓度设置'!$A$6:$A$46,0),IF(J161="L",1,IF(J161="M",2,3))))</x:f>
        <x:v>56115</x:v>
      </x:c>
      <x:c r="O161" s="9" t="n">
        <x:f>IF(AA161="","",INDEX('浓度设置'!$P$6:$R$46,MATCH(AA161,'浓度设置'!$A$6:$A$46,0),IF(K161="L",1,IF(K161="M",2,3))))</x:f>
        <x:v>3147.945</x:v>
      </x:c>
      <x:c r="P161" s="9" t="n">
        <x:f>IF(AB161="","",INDEX('浓度设置'!$P$6:$R$46,MATCH(AB161,'浓度设置'!$A$6:$A$46,0),IF(L161="L",1,IF(L161="M",2,3))))</x:f>
        <x:v>16.47573974060042</x:v>
      </x:c>
      <x:c r="Q161" s="9" t="n">
        <x:f>IF(Y161="","",M161/INDEX('浓度设置'!$M$6:$M$46,MATCH(Y161,'浓度设置'!$A$6:$A$46,0)))</x:f>
        <x:v>0.39224806201550383</x:v>
      </x:c>
      <x:c r="R161" s="9" t="n">
        <x:f>IF(Z161="","",N161/INDEX('浓度设置'!$M$6:$M$46,MATCH(Z161,'浓度设置'!$A$6:$A$46,0)))</x:f>
        <x:v>50.10267857142857</x:v>
      </x:c>
      <x:c r="S161" s="9" t="n">
        <x:f>IF(AA161="","",O161/INDEX('浓度设置'!$M$6:$M$46,MATCH(AA161,'浓度设置'!$A$6:$A$46,0)))</x:f>
        <x:v>1.7488583333333334</x:v>
      </x:c>
      <x:c r="T161" s="9" t="n">
        <x:f>IF(AB161="","",P161/INDEX('浓度设置'!$M$6:$M$46,MATCH(AB161,'浓度设置'!$A$6:$A$46,0)))</x:f>
        <x:v>2.692114336699415</x:v>
      </x:c>
      <x:c r="U161" s="9" t="n">
        <x:f>IF(Y161="","",M161*$AD161/1000)</x:f>
        <x:v>0.10119999999999998</x:v>
      </x:c>
      <x:c r="V161" s="9" t="n">
        <x:f>IF(Z161="","",N161*$AD161/1000)</x:f>
        <x:v>1122.3</x:v>
      </x:c>
      <x:c r="W161" s="9" t="n">
        <x:f>IF(AA161="","",O161*$AD161/1000)</x:f>
        <x:v>62.9589</x:v>
      </x:c>
      <x:c r="X161" s="9" t="n">
        <x:f>IF(AB161="","",P161*$AD161/1000)</x:f>
        <x:v>0.3295147948120084</x:v>
      </x:c>
      <x:c r="Y161" s="3" t="n">
        <x:v>58</x:v>
      </x:c>
      <x:c r="Z161" s="3" t="n">
        <x:v>79</x:v>
      </x:c>
      <x:c r="AA161" s="3" t="n">
        <x:v>114</x:v>
      </x:c>
      <x:c r="AB161" s="3" t="n">
        <x:v>207</x:v>
      </x:c>
      <x:c r="AC161" s="3" t="n">
        <x:v>4</x:v>
      </x:c>
      <x:c r="AD161" s="3" t="n">
        <x:f>'方案总览'!$B$5</x:f>
        <x:v>20</x:v>
      </x:c>
    </x:row>
    <x:row r="162" ht="24" customHeight="1">
      <x:c r="A162" s="3" t="str">
        <x:v>T157</x:v>
      </x:c>
      <x:c r="B162" s="3" t="str">
        <x:v>拟合</x:v>
      </x:c>
      <x:c r="C162" s="3" t="str">
        <x:v>C071</x:v>
      </x:c>
      <x:c r="D162" s="3" t="str"/>
      <x:c r="E162" s="3" t="str">
        <x:v>乙醛二乙缩醛</x:v>
      </x:c>
      <x:c r="F162" s="3" t="str">
        <x:v>戊酸</x:v>
      </x:c>
      <x:c r="G162" s="3" t="str">
        <x:v>异戊酸/3-甲基丁酸</x:v>
      </x:c>
      <x:c r="H162" s="3" t="str">
        <x:v>2-甲基丁酸乙酯</x:v>
      </x:c>
      <x:c r="I162" s="3" t="str">
        <x:v>M</x:v>
      </x:c>
      <x:c r="J162" s="3" t="str">
        <x:v>H</x:v>
      </x:c>
      <x:c r="K162" s="3" t="str">
        <x:v>H</x:v>
      </x:c>
      <x:c r="L162" s="3" t="str">
        <x:v>L</x:v>
      </x:c>
      <x:c r="M162" s="9" t="n">
        <x:f>IF(Y162="","",INDEX('浓度设置'!$P$6:$R$46,MATCH(Y162,'浓度设置'!$A$6:$A$46,0),IF(I162="L",1,IF(I162="M",2,3))))</x:f>
        <x:v>2745.3821227654266</x:v>
      </x:c>
      <x:c r="N162" s="9" t="n">
        <x:f>IF(Z162="","",INDEX('浓度设置'!$P$6:$R$46,MATCH(Z162,'浓度设置'!$A$6:$A$46,0),IF(J162="L",1,IF(J162="M",2,3))))</x:f>
        <x:v>62700</x:v>
      </x:c>
      <x:c r="O162" s="9" t="n">
        <x:f>IF(AA162="","",INDEX('浓度设置'!$P$6:$R$46,MATCH(AA162,'浓度设置'!$A$6:$A$46,0),IF(K162="L",1,IF(K162="M",2,3))))</x:f>
        <x:v>44000</x:v>
      </x:c>
      <x:c r="P162" s="9" t="n">
        <x:f>IF(AB162="","",INDEX('浓度设置'!$P$6:$R$46,MATCH(AB162,'浓度设置'!$A$6:$A$46,0),IF(L162="L",1,IF(L162="M",2,3))))</x:f>
        <x:v>0.97</x:v>
      </x:c>
      <x:c r="Q162" s="9" t="n">
        <x:f>IF(Y162="","",M162/INDEX('浓度设置'!$M$6:$M$46,MATCH(Y162,'浓度设置'!$A$6:$A$46,0)))</x:f>
        <x:v>1.3135799630456586</x:v>
      </x:c>
      <x:c r="R162" s="9" t="n">
        <x:f>IF(Z162="","",N162/INDEX('浓度设置'!$M$6:$M$46,MATCH(Z162,'浓度设置'!$A$6:$A$46,0)))</x:f>
        <x:v>161.18251928020567</x:v>
      </x:c>
      <x:c r="S162" s="9" t="n">
        <x:f>IF(AA162="","",O162/INDEX('浓度设置'!$M$6:$M$46,MATCH(AA162,'浓度设置'!$A$6:$A$46,0)))</x:f>
        <x:v>41.904761904761905</x:v>
      </x:c>
      <x:c r="T162" s="9" t="n">
        <x:f>IF(AB162="","",P162/INDEX('浓度设置'!$M$6:$M$46,MATCH(AB162,'浓度设置'!$A$6:$A$46,0)))</x:f>
        <x:v>0.05388888888888889</x:v>
      </x:c>
      <x:c r="U162" s="9" t="n">
        <x:f>IF(Y162="","",M162*$AD162/1000)</x:f>
        <x:v>54.90764245530853</x:v>
      </x:c>
      <x:c r="V162" s="9" t="n">
        <x:f>IF(Z162="","",N162*$AD162/1000)</x:f>
        <x:v>1254</x:v>
      </x:c>
      <x:c r="W162" s="9" t="n">
        <x:f>IF(AA162="","",O162*$AD162/1000)</x:f>
        <x:v>880</x:v>
      </x:c>
      <x:c r="X162" s="9" t="n">
        <x:f>IF(AB162="","",P162*$AD162/1000)</x:f>
        <x:v>0.019399999999999997</x:v>
      </x:c>
      <x:c r="Y162" s="3" t="n">
        <x:v>53</x:v>
      </x:c>
      <x:c r="Z162" s="3" t="n">
        <x:v>75</x:v>
      </x:c>
      <x:c r="AA162" s="3" t="n">
        <x:v>136</x:v>
      </x:c>
      <x:c r="AB162" s="3" t="n">
        <x:v>232</x:v>
      </x:c>
      <x:c r="AC162" s="3" t="n">
        <x:v>4</x:v>
      </x:c>
      <x:c r="AD162" s="3" t="n">
        <x:f>'方案总览'!$B$5</x:f>
        <x:v>20</x:v>
      </x:c>
    </x:row>
    <x:row r="163" ht="24" customHeight="1">
      <x:c r="A163" s="3" t="str">
        <x:v>T158</x:v>
      </x:c>
      <x:c r="B163" s="3" t="str">
        <x:v>拟合</x:v>
      </x:c>
      <x:c r="C163" s="3" t="str">
        <x:v>C072</x:v>
      </x:c>
      <x:c r="D163" s="3" t="str"/>
      <x:c r="E163" s="3" t="str">
        <x:v>己醛</x:v>
      </x:c>
      <x:c r="F163" s="3" t="str">
        <x:v>戊酸乙酯</x:v>
      </x:c>
      <x:c r="G163" s="3" t="str">
        <x:v>3-苯基丙酸乙酯</x:v>
      </x:c>
      <x:c r="H163" s="3" t="str">
        <x:v>己酸己酯</x:v>
      </x:c>
      <x:c r="I163" s="3" t="str">
        <x:v>L</x:v>
      </x:c>
      <x:c r="J163" s="3" t="str">
        <x:v>H</x:v>
      </x:c>
      <x:c r="K163" s="3" t="str">
        <x:v>H</x:v>
      </x:c>
      <x:c r="L163" s="3" t="str">
        <x:v>H</x:v>
      </x:c>
      <x:c r="M163" s="9" t="n">
        <x:f>IF(Y163="","",INDEX('浓度设置'!$P$6:$R$46,MATCH(Y163,'浓度设置'!$A$6:$A$46,0),IF(I163="L",1,IF(I163="M",2,3))))</x:f>
        <x:v>173</x:v>
      </x:c>
      <x:c r="N163" s="9" t="n">
        <x:f>IF(Z163="","",INDEX('浓度设置'!$P$6:$R$46,MATCH(Z163,'浓度设置'!$A$6:$A$46,0),IF(J163="L",1,IF(J163="M",2,3))))</x:f>
        <x:v>1039840</x:v>
      </x:c>
      <x:c r="O163" s="9" t="n">
        <x:f>IF(AA163="","",INDEX('浓度设置'!$P$6:$R$46,MATCH(AA163,'浓度设置'!$A$6:$A$46,0),IF(K163="L",1,IF(K163="M",2,3))))</x:f>
        <x:v>11648000</x:v>
      </x:c>
      <x:c r="P163" s="9" t="n">
        <x:f>IF(AB163="","",INDEX('浓度设置'!$P$6:$R$46,MATCH(AB163,'浓度设置'!$A$6:$A$46,0),IF(L163="L",1,IF(L163="M",2,3))))</x:f>
        <x:v>193759</x:v>
      </x:c>
      <x:c r="Q163" s="9" t="n">
        <x:f>IF(Y163="","",M163/INDEX('浓度设置'!$M$6:$M$46,MATCH(Y163,'浓度设置'!$A$6:$A$46,0)))</x:f>
        <x:v>6.784313725490196</x:v>
      </x:c>
      <x:c r="R163" s="9" t="n">
        <x:f>IF(Z163="","",N163/INDEX('浓度设置'!$M$6:$M$46,MATCH(Z163,'浓度设置'!$A$6:$A$46,0)))</x:f>
        <x:v>38800</x:v>
      </x:c>
      <x:c r="S163" s="9" t="n">
        <x:f>IF(AA163="","",O163/INDEX('浓度设置'!$M$6:$M$46,MATCH(AA163,'浓度设置'!$A$6:$A$46,0)))</x:f>
        <x:v>93184</x:v>
      </x:c>
      <x:c r="T163" s="9" t="n">
        <x:f>IF(AB163="","",P163/INDEX('浓度设置'!$M$6:$M$46,MATCH(AB163,'浓度设置'!$A$6:$A$46,0)))</x:f>
        <x:v>102.46377578001058</x:v>
      </x:c>
      <x:c r="U163" s="9" t="n">
        <x:f>IF(Y163="","",M163*$AD163/1000)</x:f>
        <x:v>3.46</x:v>
      </x:c>
      <x:c r="V163" s="9" t="n">
        <x:f>IF(Z163="","",N163*$AD163/1000)</x:f>
        <x:v>20796.8</x:v>
      </x:c>
      <x:c r="W163" s="9" t="n">
        <x:f>IF(AA163="","",O163*$AD163/1000)</x:f>
        <x:v>232960</x:v>
      </x:c>
      <x:c r="X163" s="9" t="n">
        <x:f>IF(AB163="","",P163*$AD163/1000)</x:f>
        <x:v>3875.18</x:v>
      </x:c>
      <x:c r="Y163" s="3" t="n">
        <x:v>7</x:v>
      </x:c>
      <x:c r="Z163" s="3" t="n">
        <x:v>141</x:v>
      </x:c>
      <x:c r="AA163" s="3" t="n">
        <x:v>186</x:v>
      </x:c>
      <x:c r="AB163" s="3" t="n">
        <x:v>227</x:v>
      </x:c>
      <x:c r="AC163" s="3" t="n">
        <x:v>4</x:v>
      </x:c>
      <x:c r="AD163" s="3" t="n">
        <x:f>'方案总览'!$B$5</x:f>
        <x:v>20</x:v>
      </x:c>
    </x:row>
    <x:row r="164" ht="24" customHeight="1">
      <x:c r="A164" s="3" t="str">
        <x:v>T159</x:v>
      </x:c>
      <x:c r="B164" s="3" t="str">
        <x:v>拟合</x:v>
      </x:c>
      <x:c r="C164" s="3" t="str">
        <x:v>C073</x:v>
      </x:c>
      <x:c r="D164" s="3" t="str"/>
      <x:c r="E164" s="3" t="str">
        <x:v>1-丁醇</x:v>
      </x:c>
      <x:c r="F164" s="3" t="str">
        <x:v>对甲酚</x:v>
      </x:c>
      <x:c r="G164" s="3" t="str">
        <x:v>1-辛醇</x:v>
      </x:c>
      <x:c r="H164" s="3" t="str">
        <x:v>异戊醛</x:v>
      </x:c>
      <x:c r="I164" s="3" t="str">
        <x:v>L</x:v>
      </x:c>
      <x:c r="J164" s="3" t="str">
        <x:v>L</x:v>
      </x:c>
      <x:c r="K164" s="3" t="str">
        <x:v>H</x:v>
      </x:c>
      <x:c r="L164" s="3" t="str">
        <x:v>M</x:v>
      </x:c>
      <x:c r="M164" s="9" t="n">
        <x:f>IF(Y164="","",INDEX('浓度设置'!$P$6:$R$46,MATCH(Y164,'浓度设置'!$A$6:$A$46,0),IF(I164="L",1,IF(I164="M",2,3))))</x:f>
        <x:v>16.97</x:v>
      </x:c>
      <x:c r="N164" s="9" t="n">
        <x:f>IF(Z164="","",INDEX('浓度设置'!$P$6:$R$46,MATCH(Z164,'浓度设置'!$A$6:$A$46,0),IF(J164="L",1,IF(J164="M",2,3))))</x:f>
        <x:v>0.51</x:v>
      </x:c>
      <x:c r="O164" s="9" t="n">
        <x:f>IF(AA164="","",INDEX('浓度设置'!$P$6:$R$46,MATCH(AA164,'浓度设置'!$A$6:$A$46,0),IF(K164="L",1,IF(K164="M",2,3))))</x:f>
        <x:v>25642.45</x:v>
      </x:c>
      <x:c r="P164" s="9" t="n">
        <x:f>IF(AB164="","",INDEX('浓度设置'!$P$6:$R$46,MATCH(AB164,'浓度设置'!$A$6:$A$46,0),IF(L164="L",1,IF(L164="M",2,3))))</x:f>
        <x:v>1048.6410253275426</x:v>
      </x:c>
      <x:c r="Q164" s="9" t="n">
        <x:f>IF(Y164="","",M164/INDEX('浓度设置'!$M$6:$M$46,MATCH(Y164,'浓度设置'!$A$6:$A$46,0)))</x:f>
        <x:v>0.006209293816319063</x:v>
      </x:c>
      <x:c r="R164" s="9" t="n">
        <x:f>IF(Z164="","",N164/INDEX('浓度设置'!$M$6:$M$46,MATCH(Z164,'浓度设置'!$A$6:$A$46,0)))</x:f>
        <x:v>0.003053892215568862</x:v>
      </x:c>
      <x:c r="S164" s="9" t="n">
        <x:f>IF(AA164="","",O164/INDEX('浓度设置'!$M$6:$M$46,MATCH(AA164,'浓度设置'!$A$6:$A$46,0)))</x:f>
        <x:v>23.311318181818184</x:v>
      </x:c>
      <x:c r="T164" s="9" t="n">
        <x:f>IF(AB164="","",P164/INDEX('浓度设置'!$M$6:$M$46,MATCH(AB164,'浓度设置'!$A$6:$A$46,0)))</x:f>
        <x:v>63.554001535002584</x:v>
      </x:c>
      <x:c r="U164" s="9" t="n">
        <x:f>IF(Y164="","",M164*$AD164/1000)</x:f>
        <x:v>0.3394</x:v>
      </x:c>
      <x:c r="V164" s="9" t="n">
        <x:f>IF(Z164="","",N164*$AD164/1000)</x:f>
        <x:v>0.010199999999999999</x:v>
      </x:c>
      <x:c r="W164" s="9" t="n">
        <x:f>IF(AA164="","",O164*$AD164/1000)</x:f>
        <x:v>512.849</x:v>
      </x:c>
      <x:c r="X164" s="9" t="n">
        <x:f>IF(AB164="","",P164*$AD164/1000)</x:f>
        <x:v>20.972820506550853</x:v>
      </x:c>
      <x:c r="Y164" s="3" t="n">
        <x:v>11</x:v>
      </x:c>
      <x:c r="Z164" s="3" t="n">
        <x:v>61</x:v>
      </x:c>
      <x:c r="AA164" s="3" t="n">
        <x:v>90</x:v>
      </x:c>
      <x:c r="AB164" s="3" t="n">
        <x:v>152</x:v>
      </x:c>
      <x:c r="AC164" s="3" t="n">
        <x:v>4</x:v>
      </x:c>
      <x:c r="AD164" s="3" t="n">
        <x:f>'方案总览'!$B$5</x:f>
        <x:v>20</x:v>
      </x:c>
    </x:row>
    <x:row r="165" ht="24" customHeight="1">
      <x:c r="A165" s="3" t="str">
        <x:v>T160</x:v>
      </x:c>
      <x:c r="B165" s="3" t="str">
        <x:v>拟合</x:v>
      </x:c>
      <x:c r="C165" s="3" t="str">
        <x:v>C074</x:v>
      </x:c>
      <x:c r="D165" s="3" t="str"/>
      <x:c r="E165" s="3" t="str">
        <x:v>2-甲基丙醛</x:v>
      </x:c>
      <x:c r="F165" s="3" t="str">
        <x:v>丁酸异戊酯</x:v>
      </x:c>
      <x:c r="G165" s="3" t="str">
        <x:v>异戊醛</x:v>
      </x:c>
      <x:c r="H165" s="3" t="str">
        <x:v>β-大马酮</x:v>
      </x:c>
      <x:c r="I165" s="3" t="str">
        <x:v>M</x:v>
      </x:c>
      <x:c r="J165" s="3" t="str">
        <x:v>M</x:v>
      </x:c>
      <x:c r="K165" s="3" t="str">
        <x:v>M</x:v>
      </x:c>
      <x:c r="L165" s="3" t="str">
        <x:v>M</x:v>
      </x:c>
      <x:c r="M165" s="9" t="n">
        <x:f>IF(Y165="","",INDEX('浓度设置'!$P$6:$R$46,MATCH(Y165,'浓度设置'!$A$6:$A$46,0),IF(I165="L",1,IF(I165="M",2,3))))</x:f>
        <x:v>1183.2582135780847</x:v>
      </x:c>
      <x:c r="N165" s="9" t="n">
        <x:f>IF(Z165="","",INDEX('浓度设置'!$P$6:$R$46,MATCH(Z165,'浓度设置'!$A$6:$A$46,0),IF(J165="L",1,IF(J165="M",2,3))))</x:f>
        <x:v>1041.8500000000001</x:v>
      </x:c>
      <x:c r="O165" s="9" t="n">
        <x:f>IF(AA165="","",INDEX('浓度设置'!$P$6:$R$46,MATCH(AA165,'浓度设置'!$A$6:$A$46,0),IF(K165="L",1,IF(K165="M",2,3))))</x:f>
        <x:v>1048.6410253275426</x:v>
      </x:c>
      <x:c r="P165" s="9" t="n">
        <x:f>IF(AB165="","",INDEX('浓度设置'!$P$6:$R$46,MATCH(AB165,'浓度设置'!$A$6:$A$46,0),IF(L165="L",1,IF(L165="M",2,3))))</x:f>
        <x:v>9.546727187890099</x:v>
      </x:c>
      <x:c r="Q165" s="9" t="n">
        <x:f>IF(Y165="","",M165/INDEX('浓度设置'!$M$6:$M$46,MATCH(Y165,'浓度设置'!$A$6:$A$46,0)))</x:f>
        <x:v>200.55223958950586</x:v>
      </x:c>
      <x:c r="R165" s="9" t="n">
        <x:f>IF(Z165="","",N165/INDEX('浓度设置'!$M$6:$M$46,MATCH(Z165,'浓度设置'!$A$6:$A$46,0)))</x:f>
        <x:v>1.1386338797814208</x:v>
      </x:c>
      <x:c r="S165" s="9" t="n">
        <x:f>IF(AA165="","",O165/INDEX('浓度设置'!$M$6:$M$46,MATCH(AA165,'浓度设置'!$A$6:$A$46,0)))</x:f>
        <x:v>63.554001535002584</x:v>
      </x:c>
      <x:c r="T165" s="9" t="n">
        <x:f>IF(AB165="","",P165/INDEX('浓度设置'!$M$6:$M$46,MATCH(AB165,'浓度设置'!$A$6:$A$46,0)))</x:f>
        <x:v>79.55605989908416</x:v>
      </x:c>
      <x:c r="U165" s="9" t="n">
        <x:f>IF(Y165="","",M165*$AD165/1000)</x:f>
        <x:v>23.665164271561693</x:v>
      </x:c>
      <x:c r="V165" s="9" t="n">
        <x:f>IF(Z165="","",N165*$AD165/1000)</x:f>
        <x:v>20.837000000000003</x:v>
      </x:c>
      <x:c r="W165" s="9" t="n">
        <x:f>IF(AA165="","",O165*$AD165/1000)</x:f>
        <x:v>20.972820506550853</x:v>
      </x:c>
      <x:c r="X165" s="9" t="n">
        <x:f>IF(AB165="","",P165*$AD165/1000)</x:f>
        <x:v>0.19093454375780197</x:v>
      </x:c>
      <x:c r="Y165" s="3" t="n">
        <x:v>18</x:v>
      </x:c>
      <x:c r="Z165" s="3" t="n">
        <x:v>56</x:v>
      </x:c>
      <x:c r="AA165" s="3" t="n">
        <x:v>152</x:v>
      </x:c>
      <x:c r="AB165" s="3" t="n">
        <x:v>255</x:v>
      </x:c>
      <x:c r="AC165" s="3" t="n">
        <x:v>4</x:v>
      </x:c>
      <x:c r="AD165" s="3" t="n">
        <x:f>'方案总览'!$B$5</x:f>
        <x:v>20</x:v>
      </x:c>
    </x:row>
    <x:row r="166" ht="24" customHeight="1">
      <x:c r="A166" s="3" t="str">
        <x:v>T161</x:v>
      </x:c>
      <x:c r="B166" s="3" t="str">
        <x:v>拟合</x:v>
      </x:c>
      <x:c r="C166" s="3" t="str">
        <x:v>C075</x:v>
      </x:c>
      <x:c r="D166" s="3" t="str"/>
      <x:c r="E166" s="3" t="str">
        <x:v>异丁酸乙酯</x:v>
      </x:c>
      <x:c r="F166" s="3" t="str">
        <x:v>丁酸乙酯</x:v>
      </x:c>
      <x:c r="G166" s="3" t="str">
        <x:v>乙酸异戊酯</x:v>
      </x:c>
      <x:c r="H166" s="3" t="str">
        <x:v>二甲基三硫醚</x:v>
      </x:c>
      <x:c r="I166" s="3" t="str">
        <x:v>L</x:v>
      </x:c>
      <x:c r="J166" s="3" t="str">
        <x:v>M</x:v>
      </x:c>
      <x:c r="K166" s="3" t="str">
        <x:v>M</x:v>
      </x:c>
      <x:c r="L166" s="3" t="str">
        <x:v>H</x:v>
      </x:c>
      <x:c r="M166" s="9" t="n">
        <x:f>IF(Y166="","",INDEX('浓度设置'!$P$6:$R$46,MATCH(Y166,'浓度设置'!$A$6:$A$46,0),IF(I166="L",1,IF(I166="M",2,3))))</x:f>
        <x:v>18.68</x:v>
      </x:c>
      <x:c r="N166" s="9" t="n">
        <x:f>IF(Z166="","",INDEX('浓度设置'!$P$6:$R$46,MATCH(Z166,'浓度设置'!$A$6:$A$46,0),IF(J166="L",1,IF(J166="M",2,3))))</x:f>
        <x:v>2338.9306103431118</x:v>
      </x:c>
      <x:c r="O166" s="9" t="n">
        <x:f>IF(AA166="","",INDEX('浓度设置'!$P$6:$R$46,MATCH(AA166,'浓度设置'!$A$6:$A$46,0),IF(K166="L",1,IF(K166="M",2,3))))</x:f>
        <x:v>96.86609313893071</x:v>
      </x:c>
      <x:c r="P166" s="9" t="n">
        <x:f>IF(AB166="","",INDEX('浓度设置'!$P$6:$R$46,MATCH(AB166,'浓度设置'!$A$6:$A$46,0),IF(L166="L",1,IF(L166="M",2,3))))</x:f>
        <x:v>4201.44</x:v>
      </x:c>
      <x:c r="Q166" s="9" t="n">
        <x:f>IF(Y166="","",M166/INDEX('浓度设置'!$M$6:$M$46,MATCH(Y166,'浓度设置'!$A$6:$A$46,0)))</x:f>
        <x:v>0.3248695652173913</x:v>
      </x:c>
      <x:c r="R166" s="9" t="n">
        <x:f>IF(Z166="","",N166/INDEX('浓度设置'!$M$6:$M$46,MATCH(Z166,'浓度设置'!$A$6:$A$46,0)))</x:f>
        <x:v>28.6985350962345</x:v>
      </x:c>
      <x:c r="S166" s="9" t="n">
        <x:f>IF(AA166="","",O166/INDEX('浓度设置'!$M$6:$M$46,MATCH(AA166,'浓度设置'!$A$6:$A$46,0)))</x:f>
        <x:v>1.0315877863570895</x:v>
      </x:c>
      <x:c r="T166" s="9" t="n">
        <x:f>IF(AB166="","",P166/INDEX('浓度设置'!$M$6:$M$46,MATCH(AB166,'浓度设置'!$A$6:$A$46,0)))</x:f>
        <x:v>11670.666666666666</x:v>
      </x:c>
      <x:c r="U166" s="9" t="n">
        <x:f>IF(Y166="","",M166*$AD166/1000)</x:f>
        <x:v>0.37360000000000004</x:v>
      </x:c>
      <x:c r="V166" s="9" t="n">
        <x:f>IF(Z166="","",N166*$AD166/1000)</x:f>
        <x:v>46.778612206862235</x:v>
      </x:c>
      <x:c r="W166" s="9" t="n">
        <x:f>IF(AA166="","",O166*$AD166/1000)</x:f>
        <x:v>1.9373218627786142</x:v>
      </x:c>
      <x:c r="X166" s="9" t="n">
        <x:f>IF(AB166="","",P166*$AD166/1000)</x:f>
        <x:v>84.02879999999999</x:v>
      </x:c>
      <x:c r="Y166" s="3" t="n">
        <x:v>32</x:v>
      </x:c>
      <x:c r="Z166" s="3" t="n">
        <x:v>52</x:v>
      </x:c>
      <x:c r="AA166" s="3" t="n">
        <x:v>115</x:v>
      </x:c>
      <x:c r="AB166" s="3" t="n">
        <x:v>209</x:v>
      </x:c>
      <x:c r="AC166" s="3" t="n">
        <x:v>4</x:v>
      </x:c>
      <x:c r="AD166" s="3" t="n">
        <x:f>'方案总览'!$B$5</x:f>
        <x:v>20</x:v>
      </x:c>
    </x:row>
    <x:row r="167" ht="24" customHeight="1">
      <x:c r="A167" s="3" t="str">
        <x:v>T162</x:v>
      </x:c>
      <x:c r="B167" s="3" t="str">
        <x:v>拟合</x:v>
      </x:c>
      <x:c r="C167" s="3" t="str">
        <x:v>C076</x:v>
      </x:c>
      <x:c r="D167" s="3" t="str"/>
      <x:c r="E167" s="3" t="str">
        <x:v>乙酸丁酯</x:v>
      </x:c>
      <x:c r="F167" s="3" t="str">
        <x:v>己酸</x:v>
      </x:c>
      <x:c r="G167" s="3" t="str">
        <x:v>己酸丁酯</x:v>
      </x:c>
      <x:c r="H167" s="3" t="str">
        <x:v>3-苯基丙酸乙酯</x:v>
      </x:c>
      <x:c r="I167" s="3" t="str">
        <x:v>H</x:v>
      </x:c>
      <x:c r="J167" s="3" t="str">
        <x:v>M</x:v>
      </x:c>
      <x:c r="K167" s="3" t="str">
        <x:v>M</x:v>
      </x:c>
      <x:c r="L167" s="3" t="str">
        <x:v>L</x:v>
      </x:c>
      <x:c r="M167" s="9" t="n">
        <x:f>IF(Y167="","",INDEX('浓度设置'!$P$6:$R$46,MATCH(Y167,'浓度设置'!$A$6:$A$46,0),IF(I167="L",1,IF(I167="M",2,3))))</x:f>
        <x:v>47100</x:v>
      </x:c>
      <x:c r="N167" s="9" t="n">
        <x:f>IF(Z167="","",INDEX('浓度设置'!$P$6:$R$46,MATCH(Z167,'浓度设置'!$A$6:$A$46,0),IF(J167="L",1,IF(J167="M",2,3))))</x:f>
        <x:v>1815.6539083757125</x:v>
      </x:c>
      <x:c r="O167" s="9" t="n">
        <x:f>IF(AA167="","",INDEX('浓度设置'!$P$6:$R$46,MATCH(AA167,'浓度设置'!$A$6:$A$46,0),IF(K167="L",1,IF(K167="M",2,3))))</x:f>
        <x:v>823.735</x:v>
      </x:c>
      <x:c r="P167" s="9" t="n">
        <x:f>IF(AB167="","",INDEX('浓度设置'!$P$6:$R$46,MATCH(AB167,'浓度设置'!$A$6:$A$46,0),IF(L167="L",1,IF(L167="M",2,3))))</x:f>
        <x:v>1.56</x:v>
      </x:c>
      <x:c r="Q167" s="9" t="n">
        <x:f>IF(Y167="","",M167/INDEX('浓度设置'!$M$6:$M$46,MATCH(Y167,'浓度设置'!$A$6:$A$46,0)))</x:f>
        <x:v>26.166666666666668</x:v>
      </x:c>
      <x:c r="R167" s="9" t="n">
        <x:f>IF(Z167="","",N167/INDEX('浓度设置'!$M$6:$M$46,MATCH(Z167,'浓度设置'!$A$6:$A$46,0)))</x:f>
        <x:v>0.7204975826887748</x:v>
      </x:c>
      <x:c r="S167" s="9" t="n">
        <x:f>IF(AA167="","",O167/INDEX('浓度设置'!$M$6:$M$46,MATCH(AA167,'浓度设置'!$A$6:$A$46,0)))</x:f>
        <x:v>1.2152351587395256</x:v>
      </x:c>
      <x:c r="T167" s="9" t="n">
        <x:f>IF(AB167="","",P167/INDEX('浓度设置'!$M$6:$M$46,MATCH(AB167,'浓度设置'!$A$6:$A$46,0)))</x:f>
        <x:v>0.01248</x:v>
      </x:c>
      <x:c r="U167" s="9" t="n">
        <x:f>IF(Y167="","",M167*$AD167/1000)</x:f>
        <x:v>942</x:v>
      </x:c>
      <x:c r="V167" s="9" t="n">
        <x:f>IF(Z167="","",N167*$AD167/1000)</x:f>
        <x:v>36.31307816751425</x:v>
      </x:c>
      <x:c r="W167" s="9" t="n">
        <x:f>IF(AA167="","",O167*$AD167/1000)</x:f>
        <x:v>16.474700000000002</x:v>
      </x:c>
      <x:c r="X167" s="9" t="n">
        <x:f>IF(AB167="","",P167*$AD167/1000)</x:f>
        <x:v>0.031200000000000002</x:v>
      </x:c>
      <x:c r="Y167" s="3" t="n">
        <x:v>114</x:v>
      </x:c>
      <x:c r="Z167" s="3" t="n">
        <x:v>126</x:v>
      </x:c>
      <x:c r="AA167" s="3" t="n">
        <x:v>165</x:v>
      </x:c>
      <x:c r="AB167" s="3" t="n">
        <x:v>186</x:v>
      </x:c>
      <x:c r="AC167" s="3" t="n">
        <x:v>4</x:v>
      </x:c>
      <x:c r="AD167" s="3" t="n">
        <x:f>'方案总览'!$B$5</x:f>
        <x:v>20</x:v>
      </x:c>
    </x:row>
    <x:row r="168" ht="24" customHeight="1">
      <x:c r="A168" s="3" t="str">
        <x:v>T163</x:v>
      </x:c>
      <x:c r="B168" s="3" t="str">
        <x:v>拟合</x:v>
      </x:c>
      <x:c r="C168" s="3" t="str">
        <x:v>C077</x:v>
      </x:c>
      <x:c r="D168" s="3" t="str"/>
      <x:c r="E168" s="3" t="str">
        <x:v>异戊酸乙酯（3-甲基丁酸乙酯）</x:v>
      </x:c>
      <x:c r="F168" s="3" t="str">
        <x:v>己酸乙酯</x:v>
      </x:c>
      <x:c r="G168" s="3" t="str">
        <x:v>辛酸</x:v>
      </x:c>
      <x:c r="H168" s="3" t="str">
        <x:v>2-甲基丁酸乙酯</x:v>
      </x:c>
      <x:c r="I168" s="3" t="str">
        <x:v>H</x:v>
      </x:c>
      <x:c r="J168" s="3" t="str">
        <x:v>L</x:v>
      </x:c>
      <x:c r="K168" s="3" t="str">
        <x:v>H</x:v>
      </x:c>
      <x:c r="L168" s="3" t="str">
        <x:v>H</x:v>
      </x:c>
      <x:c r="M168" s="9" t="n">
        <x:f>IF(Y168="","",INDEX('浓度设置'!$P$6:$R$46,MATCH(Y168,'浓度设置'!$A$6:$A$46,0),IF(I168="L",1,IF(I168="M",2,3))))</x:f>
        <x:v>12022.2</x:v>
      </x:c>
      <x:c r="N168" s="9" t="n">
        <x:f>IF(Z168="","",INDEX('浓度设置'!$P$6:$R$46,MATCH(Z168,'浓度设置'!$A$6:$A$46,0),IF(J168="L",1,IF(J168="M",2,3))))</x:f>
        <x:v>833.64</x:v>
      </x:c>
      <x:c r="O168" s="9" t="n">
        <x:f>IF(AA168="","",INDEX('浓度设置'!$P$6:$R$46,MATCH(AA168,'浓度设置'!$A$6:$A$46,0),IF(K168="L",1,IF(K168="M",2,3))))</x:f>
        <x:v>40201.1</x:v>
      </x:c>
      <x:c r="P168" s="9" t="n">
        <x:f>IF(AB168="","",INDEX('浓度设置'!$P$6:$R$46,MATCH(AB168,'浓度设置'!$A$6:$A$46,0),IF(L168="L",1,IF(L168="M",2,3))))</x:f>
        <x:v>1611</x:v>
      </x:c>
      <x:c r="Q168" s="9" t="n">
        <x:f>IF(Y168="","",M168/INDEX('浓度设置'!$M$6:$M$46,MATCH(Y168,'浓度设置'!$A$6:$A$46,0)))</x:f>
        <x:v>1744.8766328011613</x:v>
      </x:c>
      <x:c r="R168" s="9" t="n">
        <x:f>IF(Z168="","",N168/INDEX('浓度设置'!$M$6:$M$46,MATCH(Z168,'浓度设置'!$A$6:$A$46,0)))</x:f>
        <x:v>15.074864376130199</x:v>
      </x:c>
      <x:c r="S168" s="9" t="n">
        <x:f>IF(AA168="","",O168/INDEX('浓度设置'!$M$6:$M$46,MATCH(AA168,'浓度设置'!$A$6:$A$46,0)))</x:f>
        <x:v>14.889296296296296</x:v>
      </x:c>
      <x:c r="T168" s="9" t="n">
        <x:f>IF(AB168="","",P168/INDEX('浓度设置'!$M$6:$M$46,MATCH(AB168,'浓度设置'!$A$6:$A$46,0)))</x:f>
        <x:v>89.5</x:v>
      </x:c>
      <x:c r="U168" s="9" t="n">
        <x:f>IF(Y168="","",M168*$AD168/1000)</x:f>
        <x:v>240.444</x:v>
      </x:c>
      <x:c r="V168" s="9" t="n">
        <x:f>IF(Z168="","",N168*$AD168/1000)</x:f>
        <x:v>16.6728</x:v>
      </x:c>
      <x:c r="W168" s="9" t="n">
        <x:f>IF(AA168="","",O168*$AD168/1000)</x:f>
        <x:v>804.022</x:v>
      </x:c>
      <x:c r="X168" s="9" t="n">
        <x:f>IF(AB168="","",P168*$AD168/1000)</x:f>
        <x:v>32.22</x:v>
      </x:c>
      <x:c r="Y168" s="3" t="n">
        <x:v>69</x:v>
      </x:c>
      <x:c r="Z168" s="3" t="n">
        <x:v>111</x:v>
      </x:c>
      <x:c r="AA168" s="3" t="n">
        <x:v>117</x:v>
      </x:c>
      <x:c r="AB168" s="3" t="n">
        <x:v>232</x:v>
      </x:c>
      <x:c r="AC168" s="3" t="n">
        <x:v>4</x:v>
      </x:c>
      <x:c r="AD168" s="3" t="n">
        <x:f>'方案总览'!$B$5</x:f>
        <x:v>20</x:v>
      </x:c>
    </x:row>
    <x:row r="169" ht="24" customHeight="1">
      <x:c r="A169" s="3" t="str">
        <x:v>T164</x:v>
      </x:c>
      <x:c r="B169" s="3" t="str">
        <x:v>拟合</x:v>
      </x:c>
      <x:c r="C169" s="3" t="str">
        <x:v>C078</x:v>
      </x:c>
      <x:c r="D169" s="3" t="str"/>
      <x:c r="E169" s="3" t="str">
        <x:v>2-甲基丙醛</x:v>
      </x:c>
      <x:c r="F169" s="3" t="str">
        <x:v>己酸乙酯</x:v>
      </x:c>
      <x:c r="G169" s="3" t="str">
        <x:v>异戊酸/3-甲基丁酸</x:v>
      </x:c>
      <x:c r="H169" s="3" t="str">
        <x:v>戊酸乙酯</x:v>
      </x:c>
      <x:c r="I169" s="3" t="str">
        <x:v>H</x:v>
      </x:c>
      <x:c r="J169" s="3" t="str">
        <x:v>L</x:v>
      </x:c>
      <x:c r="K169" s="3" t="str">
        <x:v>L</x:v>
      </x:c>
      <x:c r="L169" s="3" t="str">
        <x:v>M</x:v>
      </x:c>
      <x:c r="M169" s="9" t="n">
        <x:f>IF(Y169="","",INDEX('浓度设置'!$P$6:$R$46,MATCH(Y169,'浓度设置'!$A$6:$A$46,0),IF(I169="L",1,IF(I169="M",2,3))))</x:f>
        <x:v>35900</x:v>
      </x:c>
      <x:c r="N169" s="9" t="n">
        <x:f>IF(Z169="","",INDEX('浓度设置'!$P$6:$R$46,MATCH(Z169,'浓度设置'!$A$6:$A$46,0),IF(J169="L",1,IF(J169="M",2,3))))</x:f>
        <x:v>833.64</x:v>
      </x:c>
      <x:c r="O169" s="9" t="n">
        <x:f>IF(AA169="","",INDEX('浓度设置'!$P$6:$R$46,MATCH(AA169,'浓度设置'!$A$6:$A$46,0),IF(K169="L",1,IF(K169="M",2,3))))</x:f>
        <x:v>1.1875</x:v>
      </x:c>
      <x:c r="P169" s="9" t="n">
        <x:f>IF(AB169="","",INDEX('浓度设置'!$P$6:$R$46,MATCH(AB169,'浓度设置'!$A$6:$A$46,0),IF(L169="L",1,IF(L169="M",2,3))))</x:f>
        <x:v>1512.497272724814</x:v>
      </x:c>
      <x:c r="Q169" s="9" t="n">
        <x:f>IF(Y169="","",M169/INDEX('浓度设置'!$M$6:$M$46,MATCH(Y169,'浓度设置'!$A$6:$A$46,0)))</x:f>
        <x:v>6084.745762711864</x:v>
      </x:c>
      <x:c r="R169" s="9" t="n">
        <x:f>IF(Z169="","",N169/INDEX('浓度设置'!$M$6:$M$46,MATCH(Z169,'浓度设置'!$A$6:$A$46,0)))</x:f>
        <x:v>15.074864376130199</x:v>
      </x:c>
      <x:c r="S169" s="9" t="n">
        <x:f>IF(AA169="","",O169/INDEX('浓度设置'!$M$6:$M$46,MATCH(AA169,'浓度设置'!$A$6:$A$46,0)))</x:f>
        <x:v>0.001130952380952381</x:v>
      </x:c>
      <x:c r="T169" s="9" t="n">
        <x:f>IF(AB169="","",P169/INDEX('浓度设置'!$M$6:$M$46,MATCH(AB169,'浓度设置'!$A$6:$A$46,0)))</x:f>
        <x:v>56.43646540017962</x:v>
      </x:c>
      <x:c r="U169" s="9" t="n">
        <x:f>IF(Y169="","",M169*$AD169/1000)</x:f>
        <x:v>718</x:v>
      </x:c>
      <x:c r="V169" s="9" t="n">
        <x:f>IF(Z169="","",N169*$AD169/1000)</x:f>
        <x:v>16.6728</x:v>
      </x:c>
      <x:c r="W169" s="9" t="n">
        <x:f>IF(AA169="","",O169*$AD169/1000)</x:f>
        <x:v>0.02375</x:v>
      </x:c>
      <x:c r="X169" s="9" t="n">
        <x:f>IF(AB169="","",P169*$AD169/1000)</x:f>
        <x:v>30.249945454496277</x:v>
      </x:c>
      <x:c r="Y169" s="3" t="n">
        <x:v>18</x:v>
      </x:c>
      <x:c r="Z169" s="3" t="n">
        <x:v>111</x:v>
      </x:c>
      <x:c r="AA169" s="3" t="n">
        <x:v>136</x:v>
      </x:c>
      <x:c r="AB169" s="3" t="n">
        <x:v>141</x:v>
      </x:c>
      <x:c r="AC169" s="3" t="n">
        <x:v>4</x:v>
      </x:c>
      <x:c r="AD169" s="3" t="n">
        <x:f>'方案总览'!$B$5</x:f>
        <x:v>20</x:v>
      </x:c>
    </x:row>
    <x:row r="170" ht="24" customHeight="1">
      <x:c r="A170" s="3" t="str">
        <x:v>T165</x:v>
      </x:c>
      <x:c r="B170" s="3" t="str">
        <x:v>拟合</x:v>
      </x:c>
      <x:c r="C170" s="3" t="str">
        <x:v>C079</x:v>
      </x:c>
      <x:c r="D170" s="3" t="str"/>
      <x:c r="E170" s="3" t="str">
        <x:v>1-丁醇</x:v>
      </x:c>
      <x:c r="F170" s="3" t="str">
        <x:v>辛酸乙酯</x:v>
      </x:c>
      <x:c r="G170" s="3" t="str">
        <x:v>1-辛烯-3-醇</x:v>
      </x:c>
      <x:c r="H170" s="3" t="str">
        <x:v>二甲基三硫醚</x:v>
      </x:c>
      <x:c r="I170" s="3" t="str">
        <x:v>M</x:v>
      </x:c>
      <x:c r="J170" s="3" t="str">
        <x:v>H</x:v>
      </x:c>
      <x:c r="K170" s="3" t="str">
        <x:v>H</x:v>
      </x:c>
      <x:c r="L170" s="3" t="str">
        <x:v>H</x:v>
      </x:c>
      <x:c r="M170" s="9" t="n">
        <x:f>IF(Y170="","",INDEX('浓度设置'!$P$6:$R$46,MATCH(Y170,'浓度设置'!$A$6:$A$46,0),IF(I170="L",1,IF(I170="M",2,3))))</x:f>
        <x:v>4198.825192836682</x:v>
      </x:c>
      <x:c r="N170" s="9" t="n">
        <x:f>IF(Z170="","",INDEX('浓度设置'!$P$6:$R$46,MATCH(Z170,'浓度设置'!$A$6:$A$46,0),IF(J170="L",1,IF(J170="M",2,3))))</x:f>
        <x:v>1865945</x:v>
      </x:c>
      <x:c r="O170" s="9" t="n">
        <x:f>IF(AA170="","",INDEX('浓度设置'!$P$6:$R$46,MATCH(AA170,'浓度设置'!$A$6:$A$46,0),IF(K170="L",1,IF(K170="M",2,3))))</x:f>
        <x:v>271.45</x:v>
      </x:c>
      <x:c r="P170" s="9" t="n">
        <x:f>IF(AB170="","",INDEX('浓度设置'!$P$6:$R$46,MATCH(AB170,'浓度设置'!$A$6:$A$46,0),IF(L170="L",1,IF(L170="M",2,3))))</x:f>
        <x:v>4201.44</x:v>
      </x:c>
      <x:c r="Q170" s="9" t="n">
        <x:f>IF(Y170="","",M170/INDEX('浓度设置'!$M$6:$M$46,MATCH(Y170,'浓度设置'!$A$6:$A$46,0)))</x:f>
        <x:v>1.5363429172472307</x:v>
      </x:c>
      <x:c r="R170" s="9" t="n">
        <x:f>IF(Z170="","",N170/INDEX('浓度设置'!$M$6:$M$46,MATCH(Z170,'浓度设置'!$A$6:$A$46,0)))</x:f>
        <x:v>144646.8992248062</x:v>
      </x:c>
      <x:c r="S170" s="9" t="n">
        <x:f>IF(AA170="","",O170/INDEX('浓度设置'!$M$6:$M$46,MATCH(AA170,'浓度设置'!$A$6:$A$46,0)))</x:f>
        <x:v>44.35457516339869</x:v>
      </x:c>
      <x:c r="T170" s="9" t="n">
        <x:f>IF(AB170="","",P170/INDEX('浓度设置'!$M$6:$M$46,MATCH(AB170,'浓度设置'!$A$6:$A$46,0)))</x:f>
        <x:v>11670.666666666666</x:v>
      </x:c>
      <x:c r="U170" s="9" t="n">
        <x:f>IF(Y170="","",M170*$AD170/1000)</x:f>
        <x:v>83.97650385673363</x:v>
      </x:c>
      <x:c r="V170" s="9" t="n">
        <x:f>IF(Z170="","",N170*$AD170/1000)</x:f>
        <x:v>37318.9</x:v>
      </x:c>
      <x:c r="W170" s="9" t="n">
        <x:f>IF(AA170="","",O170*$AD170/1000)</x:f>
        <x:v>5.429</x:v>
      </x:c>
      <x:c r="X170" s="9" t="n">
        <x:f>IF(AB170="","",P170*$AD170/1000)</x:f>
        <x:v>84.02879999999999</x:v>
      </x:c>
      <x:c r="Y170" s="3" t="n">
        <x:v>11</x:v>
      </x:c>
      <x:c r="Z170" s="3" t="n">
        <x:v>58</x:v>
      </x:c>
      <x:c r="AA170" s="3" t="n">
        <x:v>207</x:v>
      </x:c>
      <x:c r="AB170" s="3" t="n">
        <x:v>209</x:v>
      </x:c>
      <x:c r="AC170" s="3" t="n">
        <x:v>4</x:v>
      </x:c>
      <x:c r="AD170" s="3" t="n">
        <x:f>'方案总览'!$B$5</x:f>
        <x:v>20</x:v>
      </x:c>
    </x:row>
    <x:row r="171" ht="24" customHeight="1">
      <x:c r="A171" s="3" t="str">
        <x:v>T166</x:v>
      </x:c>
      <x:c r="B171" s="3" t="str">
        <x:v>拟合</x:v>
      </x:c>
      <x:c r="C171" s="3" t="str">
        <x:v>C080</x:v>
      </x:c>
      <x:c r="D171" s="3" t="str"/>
      <x:c r="E171" s="3" t="str">
        <x:v>丁酸乙酯</x:v>
      </x:c>
      <x:c r="F171" s="3" t="str">
        <x:v>戊酸</x:v>
      </x:c>
      <x:c r="G171" s="3" t="str">
        <x:v>癸酸乙酯</x:v>
      </x:c>
      <x:c r="H171" s="3" t="str">
        <x:v>1-辛醇</x:v>
      </x:c>
      <x:c r="I171" s="3" t="str">
        <x:v>L</x:v>
      </x:c>
      <x:c r="J171" s="3" t="str">
        <x:v>L</x:v>
      </x:c>
      <x:c r="K171" s="3" t="str">
        <x:v>M</x:v>
      </x:c>
      <x:c r="L171" s="3" t="str">
        <x:v>H</x:v>
      </x:c>
      <x:c r="M171" s="9" t="n">
        <x:f>IF(Y171="","",INDEX('浓度设置'!$P$6:$R$46,MATCH(Y171,'浓度设置'!$A$6:$A$46,0),IF(I171="L",1,IF(I171="M",2,3))))</x:f>
        <x:v>4.24</x:v>
      </x:c>
      <x:c r="N171" s="9" t="n">
        <x:f>IF(Z171="","",INDEX('浓度设置'!$P$6:$R$46,MATCH(Z171,'浓度设置'!$A$6:$A$46,0),IF(J171="L",1,IF(J171="M",2,3))))</x:f>
        <x:v>1.75</x:v>
      </x:c>
      <x:c r="O171" s="9" t="n">
        <x:f>IF(AA171="","",INDEX('浓度设置'!$P$6:$R$46,MATCH(AA171,'浓度设置'!$A$6:$A$46,0),IF(K171="L",1,IF(K171="M",2,3))))</x:f>
        <x:v>1288.255</x:v>
      </x:c>
      <x:c r="P171" s="9" t="n">
        <x:f>IF(AB171="","",INDEX('浓度设置'!$P$6:$R$46,MATCH(AB171,'浓度设置'!$A$6:$A$46,0),IF(L171="L",1,IF(L171="M",2,3))))</x:f>
        <x:v>25642.45</x:v>
      </x:c>
      <x:c r="Q171" s="9" t="n">
        <x:f>IF(Y171="","",M171/INDEX('浓度设置'!$M$6:$M$46,MATCH(Y171,'浓度设置'!$A$6:$A$46,0)))</x:f>
        <x:v>0.052024539877300616</x:v>
      </x:c>
      <x:c r="R171" s="9" t="n">
        <x:f>IF(Z171="","",N171/INDEX('浓度设置'!$M$6:$M$46,MATCH(Z171,'浓度设置'!$A$6:$A$46,0)))</x:f>
        <x:v>0.004498714652956298</x:v>
      </x:c>
      <x:c r="S171" s="9" t="n">
        <x:f>IF(AA171="","",O171/INDEX('浓度设置'!$M$6:$M$46,MATCH(AA171,'浓度设置'!$A$6:$A$46,0)))</x:f>
        <x:v>1.1502276785714287</x:v>
      </x:c>
      <x:c r="T171" s="9" t="n">
        <x:f>IF(AB171="","",P171/INDEX('浓度设置'!$M$6:$M$46,MATCH(AB171,'浓度设置'!$A$6:$A$46,0)))</x:f>
        <x:v>23.311318181818184</x:v>
      </x:c>
      <x:c r="U171" s="9" t="n">
        <x:f>IF(Y171="","",M171*$AD171/1000)</x:f>
        <x:v>0.08480000000000001</x:v>
      </x:c>
      <x:c r="V171" s="9" t="n">
        <x:f>IF(Z171="","",N171*$AD171/1000)</x:f>
        <x:v>0.035</x:v>
      </x:c>
      <x:c r="W171" s="9" t="n">
        <x:f>IF(AA171="","",O171*$AD171/1000)</x:f>
        <x:v>25.765100000000004</x:v>
      </x:c>
      <x:c r="X171" s="9" t="n">
        <x:f>IF(AB171="","",P171*$AD171/1000)</x:f>
        <x:v>512.849</x:v>
      </x:c>
      <x:c r="Y171" s="3" t="n">
        <x:v>52</x:v>
      </x:c>
      <x:c r="Z171" s="3" t="n">
        <x:v>75</x:v>
      </x:c>
      <x:c r="AA171" s="3" t="n">
        <x:v>79</x:v>
      </x:c>
      <x:c r="AB171" s="3" t="n">
        <x:v>90</x:v>
      </x:c>
      <x:c r="AC171" s="3" t="n">
        <x:v>4</x:v>
      </x:c>
      <x:c r="AD171" s="3" t="n">
        <x:f>'方案总览'!$B$5</x:f>
        <x:v>20</x:v>
      </x:c>
    </x:row>
    <x:row r="172" ht="24" customHeight="1">
      <x:c r="A172" s="3" t="str">
        <x:v>T167</x:v>
      </x:c>
      <x:c r="B172" s="3" t="str">
        <x:v>拟合</x:v>
      </x:c>
      <x:c r="C172" s="3" t="str">
        <x:v>C081</x:v>
      </x:c>
      <x:c r="D172" s="3" t="str"/>
      <x:c r="E172" s="3" t="str">
        <x:v>苯乙酸乙酯</x:v>
      </x:c>
      <x:c r="F172" s="3" t="str">
        <x:v>丁酸异戊酯</x:v>
      </x:c>
      <x:c r="G172" s="3" t="str">
        <x:v>己酸丁酯</x:v>
      </x:c>
      <x:c r="H172" s="3" t="str">
        <x:v>2-甲基丁酸乙酯</x:v>
      </x:c>
      <x:c r="I172" s="3" t="str">
        <x:v>M</x:v>
      </x:c>
      <x:c r="J172" s="3" t="str">
        <x:v>H</x:v>
      </x:c>
      <x:c r="K172" s="3" t="str">
        <x:v>M</x:v>
      </x:c>
      <x:c r="L172" s="3" t="str">
        <x:v>M</x:v>
      </x:c>
      <x:c r="M172" s="9" t="n">
        <x:f>IF(Y172="","",INDEX('浓度设置'!$P$6:$R$46,MATCH(Y172,'浓度设置'!$A$6:$A$46,0),IF(I172="L",1,IF(I172="M",2,3))))</x:f>
        <x:v>200.3122562401013</x:v>
      </x:c>
      <x:c r="N172" s="9" t="n">
        <x:f>IF(Z172="","",INDEX('浓度设置'!$P$6:$R$46,MATCH(Z172,'浓度设置'!$A$6:$A$46,0),IF(J172="L",1,IF(J172="M",2,3))))</x:f>
        <x:v>4105</x:v>
      </x:c>
      <x:c r="O172" s="9" t="n">
        <x:f>IF(AA172="","",INDEX('浓度设置'!$P$6:$R$46,MATCH(AA172,'浓度设置'!$A$6:$A$46,0),IF(K172="L",1,IF(K172="M",2,3))))</x:f>
        <x:v>823.735</x:v>
      </x:c>
      <x:c r="P172" s="9" t="n">
        <x:f>IF(AB172="","",INDEX('浓度设置'!$P$6:$R$46,MATCH(AB172,'浓度设置'!$A$6:$A$46,0),IF(L172="L",1,IF(L172="M",2,3))))</x:f>
        <x:v>39.53062104242735</x:v>
      </x:c>
      <x:c r="Q172" s="9" t="n">
        <x:f>IF(Y172="","",M172/INDEX('浓度设置'!$M$6:$M$46,MATCH(Y172,'浓度设置'!$A$6:$A$46,0)))</x:f>
        <x:v>0.49216770574963464</x:v>
      </x:c>
      <x:c r="R172" s="9" t="n">
        <x:f>IF(Z172="","",N172/INDEX('浓度设置'!$M$6:$M$46,MATCH(Z172,'浓度设置'!$A$6:$A$46,0)))</x:f>
        <x:v>4.4863387978142075</x:v>
      </x:c>
      <x:c r="S172" s="9" t="n">
        <x:f>IF(AA172="","",O172/INDEX('浓度设置'!$M$6:$M$46,MATCH(AA172,'浓度设置'!$A$6:$A$46,0)))</x:f>
        <x:v>1.2152351587395256</x:v>
      </x:c>
      <x:c r="T172" s="9" t="n">
        <x:f>IF(AB172="","",P172/INDEX('浓度设置'!$M$6:$M$46,MATCH(AB172,'浓度设置'!$A$6:$A$46,0)))</x:f>
        <x:v>2.196145613468186</x:v>
      </x:c>
      <x:c r="U172" s="9" t="n">
        <x:f>IF(Y172="","",M172*$AD172/1000)</x:f>
        <x:v>4.006245124802026</x:v>
      </x:c>
      <x:c r="V172" s="9" t="n">
        <x:f>IF(Z172="","",N172*$AD172/1000)</x:f>
        <x:v>82.1</x:v>
      </x:c>
      <x:c r="W172" s="9" t="n">
        <x:f>IF(AA172="","",O172*$AD172/1000)</x:f>
        <x:v>16.474700000000002</x:v>
      </x:c>
      <x:c r="X172" s="9" t="n">
        <x:f>IF(AB172="","",P172*$AD172/1000)</x:f>
        <x:v>0.790612420848547</x:v>
      </x:c>
      <x:c r="Y172" s="3" t="n">
        <x:v>40</x:v>
      </x:c>
      <x:c r="Z172" s="3" t="n">
        <x:v>56</x:v>
      </x:c>
      <x:c r="AA172" s="3" t="n">
        <x:v>165</x:v>
      </x:c>
      <x:c r="AB172" s="3" t="n">
        <x:v>232</x:v>
      </x:c>
      <x:c r="AC172" s="3" t="n">
        <x:v>4</x:v>
      </x:c>
      <x:c r="AD172" s="3" t="n">
        <x:f>'方案总览'!$B$5</x:f>
        <x:v>20</x:v>
      </x:c>
    </x:row>
    <x:row r="173" ht="24" customHeight="1">
      <x:c r="A173" s="3" t="str">
        <x:v>T168</x:v>
      </x:c>
      <x:c r="B173" s="3" t="str">
        <x:v>拟合</x:v>
      </x:c>
      <x:c r="C173" s="3" t="str">
        <x:v>C082</x:v>
      </x:c>
      <x:c r="D173" s="3" t="str"/>
      <x:c r="E173" s="3" t="str">
        <x:v>乙醛二乙缩醛</x:v>
      </x:c>
      <x:c r="F173" s="3" t="str">
        <x:v>苯乙醛</x:v>
      </x:c>
      <x:c r="G173" s="3" t="str">
        <x:v>己酸己酯</x:v>
      </x:c>
      <x:c r="H173" s="3" t="str">
        <x:v>β-大马酮</x:v>
      </x:c>
      <x:c r="I173" s="3" t="str">
        <x:v>H</x:v>
      </x:c>
      <x:c r="J173" s="3" t="str">
        <x:v>M</x:v>
      </x:c>
      <x:c r="K173" s="3" t="str">
        <x:v>M</x:v>
      </x:c>
      <x:c r="L173" s="3" t="str">
        <x:v>L</x:v>
      </x:c>
      <x:c r="M173" s="9" t="n">
        <x:f>IF(Y173="","",INDEX('浓度设置'!$P$6:$R$46,MATCH(Y173,'浓度设置'!$A$6:$A$46,0),IF(I173="L",1,IF(I173="M",2,3))))</x:f>
        <x:v>784300</x:v>
      </x:c>
      <x:c r="N173" s="9" t="n">
        <x:f>IF(Z173="","",INDEX('浓度设置'!$P$6:$R$46,MATCH(Z173,'浓度设置'!$A$6:$A$46,0),IF(J173="L",1,IF(J173="M",2,3))))</x:f>
        <x:v>28.044607324760317</x:v>
      </x:c>
      <x:c r="O173" s="9" t="n">
        <x:f>IF(AA173="","",INDEX('浓度设置'!$P$6:$R$46,MATCH(AA173,'浓度设置'!$A$6:$A$46,0),IF(K173="L",1,IF(K173="M",2,3))))</x:f>
        <x:v>695.986709643223</x:v>
      </x:c>
      <x:c r="P173" s="9" t="n">
        <x:f>IF(AB173="","",INDEX('浓度设置'!$P$6:$R$46,MATCH(AB173,'浓度设置'!$A$6:$A$46,0),IF(L173="L",1,IF(L173="M",2,3))))</x:f>
        <x:v>1.5</x:v>
      </x:c>
      <x:c r="Q173" s="9" t="n">
        <x:f>IF(Y173="","",M173/INDEX('浓度设置'!$M$6:$M$46,MATCH(Y173,'浓度设置'!$A$6:$A$46,0)))</x:f>
        <x:v>375.2631578947368</x:v>
      </x:c>
      <x:c r="R173" s="9" t="n">
        <x:f>IF(Z173="","",N173/INDEX('浓度设置'!$M$6:$M$46,MATCH(Z173,'浓度设置'!$A$6:$A$46,0)))</x:f>
        <x:v>0.10704048597236762</x:v>
      </x:c>
      <x:c r="S173" s="9" t="n">
        <x:f>IF(AA173="","",O173/INDEX('浓度设置'!$M$6:$M$46,MATCH(AA173,'浓度设置'!$A$6:$A$46,0)))</x:f>
        <x:v>0.3680521997055648</x:v>
      </x:c>
      <x:c r="T173" s="9" t="n">
        <x:f>IF(AB173="","",P173/INDEX('浓度设置'!$M$6:$M$46,MATCH(AB173,'浓度设置'!$A$6:$A$46,0)))</x:f>
        <x:v>12.5</x:v>
      </x:c>
      <x:c r="U173" s="9" t="n">
        <x:f>IF(Y173="","",M173*$AD173/1000)</x:f>
        <x:v>15686</x:v>
      </x:c>
      <x:c r="V173" s="9" t="n">
        <x:f>IF(Z173="","",N173*$AD173/1000)</x:f>
        <x:v>0.5608921464952064</x:v>
      </x:c>
      <x:c r="W173" s="9" t="n">
        <x:f>IF(AA173="","",O173*$AD173/1000)</x:f>
        <x:v>13.91973419286446</x:v>
      </x:c>
      <x:c r="X173" s="9" t="n">
        <x:f>IF(AB173="","",P173*$AD173/1000)</x:f>
        <x:v>0.03</x:v>
      </x:c>
      <x:c r="Y173" s="3" t="n">
        <x:v>53</x:v>
      </x:c>
      <x:c r="Z173" s="3" t="n">
        <x:v>105</x:v>
      </x:c>
      <x:c r="AA173" s="3" t="n">
        <x:v>227</x:v>
      </x:c>
      <x:c r="AB173" s="3" t="n">
        <x:v>255</x:v>
      </x:c>
      <x:c r="AC173" s="3" t="n">
        <x:v>4</x:v>
      </x:c>
      <x:c r="AD173" s="3" t="n">
        <x:f>'方案总览'!$B$5</x:f>
        <x:v>20</x:v>
      </x:c>
    </x:row>
    <x:row r="174" ht="24" customHeight="1">
      <x:c r="A174" s="3" t="str">
        <x:v>T169</x:v>
      </x:c>
      <x:c r="B174" s="3" t="str">
        <x:v>拟合</x:v>
      </x:c>
      <x:c r="C174" s="3" t="str">
        <x:v>C083</x:v>
      </x:c>
      <x:c r="D174" s="3" t="str"/>
      <x:c r="E174" s="3" t="str">
        <x:v>己醛</x:v>
      </x:c>
      <x:c r="F174" s="3" t="str">
        <x:v>对甲酚</x:v>
      </x:c>
      <x:c r="G174" s="3" t="str">
        <x:v>乙酸异戊酯</x:v>
      </x:c>
      <x:c r="H174" s="3" t="str">
        <x:v>己酸</x:v>
      </x:c>
      <x:c r="I174" s="3" t="str">
        <x:v>L</x:v>
      </x:c>
      <x:c r="J174" s="3" t="str">
        <x:v>H</x:v>
      </x:c>
      <x:c r="K174" s="3" t="str">
        <x:v>M</x:v>
      </x:c>
      <x:c r="L174" s="3" t="str">
        <x:v>M</x:v>
      </x:c>
      <x:c r="M174" s="9" t="n">
        <x:f>IF(Y174="","",INDEX('浓度设置'!$P$6:$R$46,MATCH(Y174,'浓度设置'!$A$6:$A$46,0),IF(I174="L",1,IF(I174="M",2,3))))</x:f>
        <x:v>173</x:v>
      </x:c>
      <x:c r="N174" s="9" t="n">
        <x:f>IF(Z174="","",INDEX('浓度设置'!$P$6:$R$46,MATCH(Z174,'浓度设置'!$A$6:$A$46,0),IF(J174="L",1,IF(J174="M",2,3))))</x:f>
        <x:v>6914</x:v>
      </x:c>
      <x:c r="O174" s="9" t="n">
        <x:f>IF(AA174="","",INDEX('浓度设置'!$P$6:$R$46,MATCH(AA174,'浓度设置'!$A$6:$A$46,0),IF(K174="L",1,IF(K174="M",2,3))))</x:f>
        <x:v>96.86609313893071</x:v>
      </x:c>
      <x:c r="P174" s="9" t="n">
        <x:f>IF(AB174="","",INDEX('浓度设置'!$P$6:$R$46,MATCH(AB174,'浓度设置'!$A$6:$A$46,0),IF(L174="L",1,IF(L174="M",2,3))))</x:f>
        <x:v>1815.6539083757125</x:v>
      </x:c>
      <x:c r="Q174" s="9" t="n">
        <x:f>IF(Y174="","",M174/INDEX('浓度设置'!$M$6:$M$46,MATCH(Y174,'浓度设置'!$A$6:$A$46,0)))</x:f>
        <x:v>6.784313725490196</x:v>
      </x:c>
      <x:c r="R174" s="9" t="n">
        <x:f>IF(Z174="","",N174/INDEX('浓度设置'!$M$6:$M$46,MATCH(Z174,'浓度设置'!$A$6:$A$46,0)))</x:f>
        <x:v>41.40119760479042</x:v>
      </x:c>
      <x:c r="S174" s="9" t="n">
        <x:f>IF(AA174="","",O174/INDEX('浓度设置'!$M$6:$M$46,MATCH(AA174,'浓度设置'!$A$6:$A$46,0)))</x:f>
        <x:v>1.0315877863570895</x:v>
      </x:c>
      <x:c r="T174" s="9" t="n">
        <x:f>IF(AB174="","",P174/INDEX('浓度设置'!$M$6:$M$46,MATCH(AB174,'浓度设置'!$A$6:$A$46,0)))</x:f>
        <x:v>0.7204975826887748</x:v>
      </x:c>
      <x:c r="U174" s="9" t="n">
        <x:f>IF(Y174="","",M174*$AD174/1000)</x:f>
        <x:v>3.46</x:v>
      </x:c>
      <x:c r="V174" s="9" t="n">
        <x:f>IF(Z174="","",N174*$AD174/1000)</x:f>
        <x:v>138.28</x:v>
      </x:c>
      <x:c r="W174" s="9" t="n">
        <x:f>IF(AA174="","",O174*$AD174/1000)</x:f>
        <x:v>1.9373218627786142</x:v>
      </x:c>
      <x:c r="X174" s="9" t="n">
        <x:f>IF(AB174="","",P174*$AD174/1000)</x:f>
        <x:v>36.31307816751425</x:v>
      </x:c>
      <x:c r="Y174" s="3" t="n">
        <x:v>7</x:v>
      </x:c>
      <x:c r="Z174" s="3" t="n">
        <x:v>61</x:v>
      </x:c>
      <x:c r="AA174" s="3" t="n">
        <x:v>115</x:v>
      </x:c>
      <x:c r="AB174" s="3" t="n">
        <x:v>126</x:v>
      </x:c>
      <x:c r="AC174" s="3" t="n">
        <x:v>4</x:v>
      </x:c>
      <x:c r="AD174" s="3" t="n">
        <x:f>'方案总览'!$B$5</x:f>
        <x:v>20</x:v>
      </x:c>
    </x:row>
    <x:row r="175" ht="24" customHeight="1">
      <x:c r="A175" s="3" t="str">
        <x:v>T170</x:v>
      </x:c>
      <x:c r="B175" s="3" t="str">
        <x:v>拟合</x:v>
      </x:c>
      <x:c r="C175" s="3" t="str">
        <x:v>C084</x:v>
      </x:c>
      <x:c r="D175" s="3" t="str"/>
      <x:c r="E175" s="3" t="str">
        <x:v>1-丁醇</x:v>
      </x:c>
      <x:c r="F175" s="3" t="str">
        <x:v>异丁酸乙酯</x:v>
      </x:c>
      <x:c r="G175" s="3" t="str">
        <x:v>己酸乙酯</x:v>
      </x:c>
      <x:c r="H175" s="3" t="str">
        <x:v>异戊醛</x:v>
      </x:c>
      <x:c r="I175" s="3" t="str">
        <x:v>H</x:v>
      </x:c>
      <x:c r="J175" s="3" t="str">
        <x:v>H</x:v>
      </x:c>
      <x:c r="K175" s="3" t="str">
        <x:v>L</x:v>
      </x:c>
      <x:c r="L175" s="3" t="str">
        <x:v>H</x:v>
      </x:c>
      <x:c r="M175" s="9" t="n">
        <x:f>IF(Y175="","",INDEX('浓度设置'!$P$6:$R$46,MATCH(Y175,'浓度设置'!$A$6:$A$46,0),IF(I175="L",1,IF(I175="M",2,3))))</x:f>
        <x:v>1038900</x:v>
      </x:c>
      <x:c r="N175" s="9" t="n">
        <x:f>IF(Z175="","",INDEX('浓度设置'!$P$6:$R$46,MATCH(Z175,'浓度设置'!$A$6:$A$46,0),IF(J175="L",1,IF(J175="M",2,3))))</x:f>
        <x:v>37489</x:v>
      </x:c>
      <x:c r="O175" s="9" t="n">
        <x:f>IF(AA175="","",INDEX('浓度设置'!$P$6:$R$46,MATCH(AA175,'浓度设置'!$A$6:$A$46,0),IF(K175="L",1,IF(K175="M",2,3))))</x:f>
        <x:v>833.64</x:v>
      </x:c>
      <x:c r="P175" s="9" t="n">
        <x:f>IF(AB175="","",INDEX('浓度设置'!$P$6:$R$46,MATCH(AB175,'浓度设置'!$A$6:$A$46,0),IF(L175="L",1,IF(L175="M",2,3))))</x:f>
        <x:v>227200</x:v>
      </x:c>
      <x:c r="Q175" s="9" t="n">
        <x:f>IF(Y175="","",M175/INDEX('浓度设置'!$M$6:$M$46,MATCH(Y175,'浓度设置'!$A$6:$A$46,0)))</x:f>
        <x:v>380.1317233809001</x:v>
      </x:c>
      <x:c r="R175" s="9" t="n">
        <x:f>IF(Z175="","",N175/INDEX('浓度设置'!$M$6:$M$46,MATCH(Z175,'浓度设置'!$A$6:$A$46,0)))</x:f>
        <x:v>651.9826086956522</x:v>
      </x:c>
      <x:c r="S175" s="9" t="n">
        <x:f>IF(AA175="","",O175/INDEX('浓度设置'!$M$6:$M$46,MATCH(AA175,'浓度设置'!$A$6:$A$46,0)))</x:f>
        <x:v>15.074864376130199</x:v>
      </x:c>
      <x:c r="T175" s="9" t="n">
        <x:f>IF(AB175="","",P175/INDEX('浓度设置'!$M$6:$M$46,MATCH(AB175,'浓度设置'!$A$6:$A$46,0)))</x:f>
        <x:v>13769.69696969697</x:v>
      </x:c>
      <x:c r="U175" s="9" t="n">
        <x:f>IF(Y175="","",M175*$AD175/1000)</x:f>
        <x:v>20778</x:v>
      </x:c>
      <x:c r="V175" s="9" t="n">
        <x:f>IF(Z175="","",N175*$AD175/1000)</x:f>
        <x:v>749.78</x:v>
      </x:c>
      <x:c r="W175" s="9" t="n">
        <x:f>IF(AA175="","",O175*$AD175/1000)</x:f>
        <x:v>16.6728</x:v>
      </x:c>
      <x:c r="X175" s="9" t="n">
        <x:f>IF(AB175="","",P175*$AD175/1000)</x:f>
        <x:v>4544</x:v>
      </x:c>
      <x:c r="Y175" s="3" t="n">
        <x:v>11</x:v>
      </x:c>
      <x:c r="Z175" s="3" t="n">
        <x:v>32</x:v>
      </x:c>
      <x:c r="AA175" s="3" t="n">
        <x:v>111</x:v>
      </x:c>
      <x:c r="AB175" s="3" t="n">
        <x:v>152</x:v>
      </x:c>
      <x:c r="AC175" s="3" t="n">
        <x:v>4</x:v>
      </x:c>
      <x:c r="AD175" s="3" t="n">
        <x:f>'方案总览'!$B$5</x:f>
        <x:v>20</x:v>
      </x:c>
    </x:row>
    <x:row r="176" ht="24" customHeight="1">
      <x:c r="A176" s="3" t="str">
        <x:v>T171</x:v>
      </x:c>
      <x:c r="B176" s="3" t="str">
        <x:v>拟合</x:v>
      </x:c>
      <x:c r="C176" s="3" t="str">
        <x:v>C085</x:v>
      </x:c>
      <x:c r="D176" s="3" t="str"/>
      <x:c r="E176" s="3" t="str">
        <x:v>乙醛二乙缩醛</x:v>
      </x:c>
      <x:c r="F176" s="3" t="str">
        <x:v>对甲酚</x:v>
      </x:c>
      <x:c r="G176" s="3" t="str">
        <x:v>异戊酸乙酯（3-甲基丁酸乙酯）</x:v>
      </x:c>
      <x:c r="H176" s="3" t="str">
        <x:v>β-大马酮</x:v>
      </x:c>
      <x:c r="I176" s="3" t="str">
        <x:v>H</x:v>
      </x:c>
      <x:c r="J176" s="3" t="str">
        <x:v>H</x:v>
      </x:c>
      <x:c r="K176" s="3" t="str">
        <x:v>L</x:v>
      </x:c>
      <x:c r="L176" s="3" t="str">
        <x:v>M</x:v>
      </x:c>
      <x:c r="M176" s="9" t="n">
        <x:f>IF(Y176="","",INDEX('浓度设置'!$P$6:$R$46,MATCH(Y176,'浓度设置'!$A$6:$A$46,0),IF(I176="L",1,IF(I176="M",2,3))))</x:f>
        <x:v>784300</x:v>
      </x:c>
      <x:c r="N176" s="9" t="n">
        <x:f>IF(Z176="","",INDEX('浓度设置'!$P$6:$R$46,MATCH(Z176,'浓度设置'!$A$6:$A$46,0),IF(J176="L",1,IF(J176="M",2,3))))</x:f>
        <x:v>6914</x:v>
      </x:c>
      <x:c r="O176" s="9" t="n">
        <x:f>IF(AA176="","",INDEX('浓度设置'!$P$6:$R$46,MATCH(AA176,'浓度设置'!$A$6:$A$46,0),IF(K176="L",1,IF(K176="M",2,3))))</x:f>
        <x:v>0.83</x:v>
      </x:c>
      <x:c r="P176" s="9" t="n">
        <x:f>IF(AB176="","",INDEX('浓度设置'!$P$6:$R$46,MATCH(AB176,'浓度设置'!$A$6:$A$46,0),IF(L176="L",1,IF(L176="M",2,3))))</x:f>
        <x:v>9.546727187890099</x:v>
      </x:c>
      <x:c r="Q176" s="9" t="n">
        <x:f>IF(Y176="","",M176/INDEX('浓度设置'!$M$6:$M$46,MATCH(Y176,'浓度设置'!$A$6:$A$46,0)))</x:f>
        <x:v>375.2631578947368</x:v>
      </x:c>
      <x:c r="R176" s="9" t="n">
        <x:f>IF(Z176="","",N176/INDEX('浓度设置'!$M$6:$M$46,MATCH(Z176,'浓度设置'!$A$6:$A$46,0)))</x:f>
        <x:v>41.40119760479042</x:v>
      </x:c>
      <x:c r="S176" s="9" t="n">
        <x:f>IF(AA176="","",O176/INDEX('浓度设置'!$M$6:$M$46,MATCH(AA176,'浓度设置'!$A$6:$A$46,0)))</x:f>
        <x:v>0.1204644412191582</x:v>
      </x:c>
      <x:c r="T176" s="9" t="n">
        <x:f>IF(AB176="","",P176/INDEX('浓度设置'!$M$6:$M$46,MATCH(AB176,'浓度设置'!$A$6:$A$46,0)))</x:f>
        <x:v>79.55605989908416</x:v>
      </x:c>
      <x:c r="U176" s="9" t="n">
        <x:f>IF(Y176="","",M176*$AD176/1000)</x:f>
        <x:v>15686</x:v>
      </x:c>
      <x:c r="V176" s="9" t="n">
        <x:f>IF(Z176="","",N176*$AD176/1000)</x:f>
        <x:v>138.28</x:v>
      </x:c>
      <x:c r="W176" s="9" t="n">
        <x:f>IF(AA176="","",O176*$AD176/1000)</x:f>
        <x:v>0.016599999999999997</x:v>
      </x:c>
      <x:c r="X176" s="9" t="n">
        <x:f>IF(AB176="","",P176*$AD176/1000)</x:f>
        <x:v>0.19093454375780197</x:v>
      </x:c>
      <x:c r="Y176" s="3" t="n">
        <x:v>53</x:v>
      </x:c>
      <x:c r="Z176" s="3" t="n">
        <x:v>61</x:v>
      </x:c>
      <x:c r="AA176" s="3" t="n">
        <x:v>69</x:v>
      </x:c>
      <x:c r="AB176" s="3" t="n">
        <x:v>255</x:v>
      </x:c>
      <x:c r="AC176" s="3" t="n">
        <x:v>4</x:v>
      </x:c>
      <x:c r="AD176" s="3" t="n">
        <x:f>'方案总览'!$B$5</x:f>
        <x:v>20</x:v>
      </x:c>
    </x:row>
    <x:row r="177" ht="24" customHeight="1">
      <x:c r="A177" s="3" t="str">
        <x:v>T172</x:v>
      </x:c>
      <x:c r="B177" s="3" t="str">
        <x:v>拟合</x:v>
      </x:c>
      <x:c r="C177" s="3" t="str">
        <x:v>C086</x:v>
      </x:c>
      <x:c r="D177" s="3" t="str"/>
      <x:c r="E177" s="3" t="str">
        <x:v>戊酸</x:v>
      </x:c>
      <x:c r="F177" s="3" t="str">
        <x:v>1-辛醇</x:v>
      </x:c>
      <x:c r="G177" s="3" t="str">
        <x:v>苯乙醛</x:v>
      </x:c>
      <x:c r="H177" s="3" t="str">
        <x:v>二甲基三硫醚</x:v>
      </x:c>
      <x:c r="I177" s="3" t="str">
        <x:v>L</x:v>
      </x:c>
      <x:c r="J177" s="3" t="str">
        <x:v>M</x:v>
      </x:c>
      <x:c r="K177" s="3" t="str">
        <x:v>L</x:v>
      </x:c>
      <x:c r="L177" s="3" t="str">
        <x:v>L</x:v>
      </x:c>
      <x:c r="M177" s="9" t="n">
        <x:f>IF(Y177="","",INDEX('浓度设置'!$P$6:$R$46,MATCH(Y177,'浓度设置'!$A$6:$A$46,0),IF(I177="L",1,IF(I177="M",2,3))))</x:f>
        <x:v>1.75</x:v>
      </x:c>
      <x:c r="N177" s="9" t="n">
        <x:f>IF(Z177="","",INDEX('浓度设置'!$P$6:$R$46,MATCH(Z177,'浓度设置'!$A$6:$A$46,0),IF(J177="L",1,IF(J177="M",2,3))))</x:f>
        <x:v>1232.25</x:v>
      </x:c>
      <x:c r="O177" s="9" t="n">
        <x:f>IF(AA177="","",INDEX('浓度设置'!$P$6:$R$46,MATCH(AA177,'浓度设置'!$A$6:$A$46,0),IF(K177="L",1,IF(K177="M",2,3))))</x:f>
        <x:v>0.05</x:v>
      </x:c>
      <x:c r="P177" s="9" t="n">
        <x:f>IF(AB177="","",INDEX('浓度设置'!$P$6:$R$46,MATCH(AB177,'浓度设置'!$A$6:$A$46,0),IF(L177="L",1,IF(L177="M",2,3))))</x:f>
        <x:v>0.28</x:v>
      </x:c>
      <x:c r="Q177" s="9" t="n">
        <x:f>IF(Y177="","",M177/INDEX('浓度设置'!$M$6:$M$46,MATCH(Y177,'浓度设置'!$A$6:$A$46,0)))</x:f>
        <x:v>0.004498714652956298</x:v>
      </x:c>
      <x:c r="R177" s="9" t="n">
        <x:f>IF(Z177="","",N177/INDEX('浓度设置'!$M$6:$M$46,MATCH(Z177,'浓度设置'!$A$6:$A$46,0)))</x:f>
        <x:v>1.1202272727272726</x:v>
      </x:c>
      <x:c r="S177" s="9" t="n">
        <x:f>IF(AA177="","",O177/INDEX('浓度设置'!$M$6:$M$46,MATCH(AA177,'浓度设置'!$A$6:$A$46,0)))</x:f>
        <x:v>0.00019083969465648855</x:v>
      </x:c>
      <x:c r="T177" s="9" t="n">
        <x:f>IF(AB177="","",P177/INDEX('浓度设置'!$M$6:$M$46,MATCH(AB177,'浓度设置'!$A$6:$A$46,0)))</x:f>
        <x:v>0.7777777777777779</x:v>
      </x:c>
      <x:c r="U177" s="9" t="n">
        <x:f>IF(Y177="","",M177*$AD177/1000)</x:f>
        <x:v>0.035</x:v>
      </x:c>
      <x:c r="V177" s="9" t="n">
        <x:f>IF(Z177="","",N177*$AD177/1000)</x:f>
        <x:v>24.645</x:v>
      </x:c>
      <x:c r="W177" s="9" t="n">
        <x:f>IF(AA177="","",O177*$AD177/1000)</x:f>
        <x:v>0.001</x:v>
      </x:c>
      <x:c r="X177" s="9" t="n">
        <x:f>IF(AB177="","",P177*$AD177/1000)</x:f>
        <x:v>0.005600000000000001</x:v>
      </x:c>
      <x:c r="Y177" s="3" t="n">
        <x:v>75</x:v>
      </x:c>
      <x:c r="Z177" s="3" t="n">
        <x:v>90</x:v>
      </x:c>
      <x:c r="AA177" s="3" t="n">
        <x:v>105</x:v>
      </x:c>
      <x:c r="AB177" s="3" t="n">
        <x:v>209</x:v>
      </x:c>
      <x:c r="AC177" s="3" t="n">
        <x:v>4</x:v>
      </x:c>
      <x:c r="AD177" s="3" t="n">
        <x:f>'方案总览'!$B$5</x:f>
        <x:v>20</x:v>
      </x:c>
    </x:row>
    <x:row r="178" ht="24" customHeight="1">
      <x:c r="A178" s="3" t="str">
        <x:v>T173</x:v>
      </x:c>
      <x:c r="B178" s="3" t="str">
        <x:v>拟合</x:v>
      </x:c>
      <x:c r="C178" s="3" t="str">
        <x:v>C087</x:v>
      </x:c>
      <x:c r="D178" s="3" t="str"/>
      <x:c r="E178" s="3" t="str">
        <x:v>丁酸异戊酯</x:v>
      </x:c>
      <x:c r="F178" s="3" t="str">
        <x:v>乙酸异戊酯</x:v>
      </x:c>
      <x:c r="G178" s="3" t="str">
        <x:v>1-辛烯-3-醇</x:v>
      </x:c>
      <x:c r="H178" s="3" t="str">
        <x:v>己酸己酯</x:v>
      </x:c>
      <x:c r="I178" s="3" t="str">
        <x:v>H</x:v>
      </x:c>
      <x:c r="J178" s="3" t="str">
        <x:v>M</x:v>
      </x:c>
      <x:c r="K178" s="3" t="str">
        <x:v>M</x:v>
      </x:c>
      <x:c r="L178" s="3" t="str">
        <x:v>H</x:v>
      </x:c>
      <x:c r="M178" s="9" t="n">
        <x:f>IF(Y178="","",INDEX('浓度设置'!$P$6:$R$46,MATCH(Y178,'浓度设置'!$A$6:$A$46,0),IF(I178="L",1,IF(I178="M",2,3))))</x:f>
        <x:v>4105</x:v>
      </x:c>
      <x:c r="N178" s="9" t="n">
        <x:f>IF(Z178="","",INDEX('浓度设置'!$P$6:$R$46,MATCH(Z178,'浓度设置'!$A$6:$A$46,0),IF(J178="L",1,IF(J178="M",2,3))))</x:f>
        <x:v>96.86609313893071</x:v>
      </x:c>
      <x:c r="O178" s="9" t="n">
        <x:f>IF(AA178="","",INDEX('浓度设置'!$P$6:$R$46,MATCH(AA178,'浓度设置'!$A$6:$A$46,0),IF(K178="L",1,IF(K178="M",2,3))))</x:f>
        <x:v>16.47573974060042</x:v>
      </x:c>
      <x:c r="P178" s="9" t="n">
        <x:f>IF(AB178="","",INDEX('浓度设置'!$P$6:$R$46,MATCH(AB178,'浓度设置'!$A$6:$A$46,0),IF(L178="L",1,IF(L178="M",2,3))))</x:f>
        <x:v>193759</x:v>
      </x:c>
      <x:c r="Q178" s="9" t="n">
        <x:f>IF(Y178="","",M178/INDEX('浓度设置'!$M$6:$M$46,MATCH(Y178,'浓度设置'!$A$6:$A$46,0)))</x:f>
        <x:v>4.4863387978142075</x:v>
      </x:c>
      <x:c r="R178" s="9" t="n">
        <x:f>IF(Z178="","",N178/INDEX('浓度设置'!$M$6:$M$46,MATCH(Z178,'浓度设置'!$A$6:$A$46,0)))</x:f>
        <x:v>1.0315877863570895</x:v>
      </x:c>
      <x:c r="S178" s="9" t="n">
        <x:f>IF(AA178="","",O178/INDEX('浓度设置'!$M$6:$M$46,MATCH(AA178,'浓度设置'!$A$6:$A$46,0)))</x:f>
        <x:v>2.692114336699415</x:v>
      </x:c>
      <x:c r="T178" s="9" t="n">
        <x:f>IF(AB178="","",P178/INDEX('浓度设置'!$M$6:$M$46,MATCH(AB178,'浓度设置'!$A$6:$A$46,0)))</x:f>
        <x:v>102.46377578001058</x:v>
      </x:c>
      <x:c r="U178" s="9" t="n">
        <x:f>IF(Y178="","",M178*$AD178/1000)</x:f>
        <x:v>82.1</x:v>
      </x:c>
      <x:c r="V178" s="9" t="n">
        <x:f>IF(Z178="","",N178*$AD178/1000)</x:f>
        <x:v>1.9373218627786142</x:v>
      </x:c>
      <x:c r="W178" s="9" t="n">
        <x:f>IF(AA178="","",O178*$AD178/1000)</x:f>
        <x:v>0.3295147948120084</x:v>
      </x:c>
      <x:c r="X178" s="9" t="n">
        <x:f>IF(AB178="","",P178*$AD178/1000)</x:f>
        <x:v>3875.18</x:v>
      </x:c>
      <x:c r="Y178" s="3" t="n">
        <x:v>56</x:v>
      </x:c>
      <x:c r="Z178" s="3" t="n">
        <x:v>115</x:v>
      </x:c>
      <x:c r="AA178" s="3" t="n">
        <x:v>207</x:v>
      </x:c>
      <x:c r="AB178" s="3" t="n">
        <x:v>227</x:v>
      </x:c>
      <x:c r="AC178" s="3" t="n">
        <x:v>4</x:v>
      </x:c>
      <x:c r="AD178" s="3" t="n">
        <x:f>'方案总览'!$B$5</x:f>
        <x:v>20</x:v>
      </x:c>
    </x:row>
    <x:row r="179" ht="24" customHeight="1">
      <x:c r="A179" s="3" t="str">
        <x:v>T174</x:v>
      </x:c>
      <x:c r="B179" s="3" t="str">
        <x:v>拟合</x:v>
      </x:c>
      <x:c r="C179" s="3" t="str">
        <x:v>C088</x:v>
      </x:c>
      <x:c r="D179" s="3" t="str"/>
      <x:c r="E179" s="3" t="str">
        <x:v>2-甲基丙醛</x:v>
      </x:c>
      <x:c r="F179" s="3" t="str">
        <x:v>苯乙酸乙酯</x:v>
      </x:c>
      <x:c r="G179" s="3" t="str">
        <x:v>辛酸</x:v>
      </x:c>
      <x:c r="H179" s="3" t="str">
        <x:v>3-苯基丙酸乙酯</x:v>
      </x:c>
      <x:c r="I179" s="3" t="str">
        <x:v>H</x:v>
      </x:c>
      <x:c r="J179" s="3" t="str">
        <x:v>M</x:v>
      </x:c>
      <x:c r="K179" s="3" t="str">
        <x:v>L</x:v>
      </x:c>
      <x:c r="L179" s="3" t="str">
        <x:v>M</x:v>
      </x:c>
      <x:c r="M179" s="9" t="n">
        <x:f>IF(Y179="","",INDEX('浓度设置'!$P$6:$R$46,MATCH(Y179,'浓度设置'!$A$6:$A$46,0),IF(I179="L",1,IF(I179="M",2,3))))</x:f>
        <x:v>35900</x:v>
      </x:c>
      <x:c r="N179" s="9" t="n">
        <x:f>IF(Z179="","",INDEX('浓度设置'!$P$6:$R$46,MATCH(Z179,'浓度设置'!$A$6:$A$46,0),IF(J179="L",1,IF(J179="M",2,3))))</x:f>
        <x:v>200.3122562401013</x:v>
      </x:c>
      <x:c r="O179" s="9" t="n">
        <x:f>IF(AA179="","",INDEX('浓度设置'!$P$6:$R$46,MATCH(AA179,'浓度设置'!$A$6:$A$46,0),IF(K179="L",1,IF(K179="M",2,3))))</x:f>
        <x:v>1.875</x:v>
      </x:c>
      <x:c r="P179" s="9" t="n">
        <x:f>IF(AB179="","",INDEX('浓度设置'!$P$6:$R$46,MATCH(AB179,'浓度设置'!$A$6:$A$46,0),IF(L179="L",1,IF(L179="M",2,3))))</x:f>
        <x:v>4262.731518639193</x:v>
      </x:c>
      <x:c r="Q179" s="9" t="n">
        <x:f>IF(Y179="","",M179/INDEX('浓度设置'!$M$6:$M$46,MATCH(Y179,'浓度设置'!$A$6:$A$46,0)))</x:f>
        <x:v>6084.745762711864</x:v>
      </x:c>
      <x:c r="R179" s="9" t="n">
        <x:f>IF(Z179="","",N179/INDEX('浓度设置'!$M$6:$M$46,MATCH(Z179,'浓度设置'!$A$6:$A$46,0)))</x:f>
        <x:v>0.49216770574963464</x:v>
      </x:c>
      <x:c r="S179" s="9" t="n">
        <x:f>IF(AA179="","",O179/INDEX('浓度设置'!$M$6:$M$46,MATCH(AA179,'浓度设置'!$A$6:$A$46,0)))</x:f>
        <x:v>0.0006944444444444445</x:v>
      </x:c>
      <x:c r="T179" s="9" t="n">
        <x:f>IF(AB179="","",P179/INDEX('浓度设置'!$M$6:$M$46,MATCH(AB179,'浓度设置'!$A$6:$A$46,0)))</x:f>
        <x:v>34.10185214911355</x:v>
      </x:c>
      <x:c r="U179" s="9" t="n">
        <x:f>IF(Y179="","",M179*$AD179/1000)</x:f>
        <x:v>718</x:v>
      </x:c>
      <x:c r="V179" s="9" t="n">
        <x:f>IF(Z179="","",N179*$AD179/1000)</x:f>
        <x:v>4.006245124802026</x:v>
      </x:c>
      <x:c r="W179" s="9" t="n">
        <x:f>IF(AA179="","",O179*$AD179/1000)</x:f>
        <x:v>0.0375</x:v>
      </x:c>
      <x:c r="X179" s="9" t="n">
        <x:f>IF(AB179="","",P179*$AD179/1000)</x:f>
        <x:v>85.25463037278386</x:v>
      </x:c>
      <x:c r="Y179" s="3" t="n">
        <x:v>18</x:v>
      </x:c>
      <x:c r="Z179" s="3" t="n">
        <x:v>40</x:v>
      </x:c>
      <x:c r="AA179" s="3" t="n">
        <x:v>117</x:v>
      </x:c>
      <x:c r="AB179" s="3" t="n">
        <x:v>186</x:v>
      </x:c>
      <x:c r="AC179" s="3" t="n">
        <x:v>4</x:v>
      </x:c>
      <x:c r="AD179" s="3" t="n">
        <x:f>'方案总览'!$B$5</x:f>
        <x:v>20</x:v>
      </x:c>
    </x:row>
    <x:row r="180" ht="24" customHeight="1">
      <x:c r="A180" s="3" t="str">
        <x:v>T175</x:v>
      </x:c>
      <x:c r="B180" s="3" t="str">
        <x:v>拟合</x:v>
      </x:c>
      <x:c r="C180" s="3" t="str">
        <x:v>C089</x:v>
      </x:c>
      <x:c r="D180" s="3" t="str"/>
      <x:c r="E180" s="3" t="str">
        <x:v>异丁酸乙酯</x:v>
      </x:c>
      <x:c r="F180" s="3" t="str">
        <x:v>乙酸丁酯</x:v>
      </x:c>
      <x:c r="G180" s="3" t="str">
        <x:v>己酸</x:v>
      </x:c>
      <x:c r="H180" s="3" t="str">
        <x:v>异戊酸/3-甲基丁酸</x:v>
      </x:c>
      <x:c r="I180" s="3" t="str">
        <x:v>M</x:v>
      </x:c>
      <x:c r="J180" s="3" t="str">
        <x:v>M</x:v>
      </x:c>
      <x:c r="K180" s="3" t="str">
        <x:v>H</x:v>
      </x:c>
      <x:c r="L180" s="3" t="str">
        <x:v>L</x:v>
      </x:c>
      <x:c r="M180" s="9" t="n">
        <x:f>IF(Y180="","",INDEX('浓度设置'!$P$6:$R$46,MATCH(Y180,'浓度设置'!$A$6:$A$46,0),IF(I180="L",1,IF(I180="M",2,3))))</x:f>
        <x:v>836.8360173893091</x:v>
      </x:c>
      <x:c r="N180" s="9" t="n">
        <x:f>IF(Z180="","",INDEX('浓度设置'!$P$6:$R$46,MATCH(Z180,'浓度设置'!$A$6:$A$46,0),IF(J180="L",1,IF(J180="M",2,3))))</x:f>
        <x:v>3147.945</x:v>
      </x:c>
      <x:c r="O180" s="9" t="n">
        <x:f>IF(AA180="","",INDEX('浓度设置'!$P$6:$R$46,MATCH(AA180,'浓度设置'!$A$6:$A$46,0),IF(K180="L",1,IF(K180="M",2,3))))</x:f>
        <x:v>1551340.76</x:v>
      </x:c>
      <x:c r="P180" s="9" t="n">
        <x:f>IF(AB180="","",INDEX('浓度设置'!$P$6:$R$46,MATCH(AB180,'浓度设置'!$A$6:$A$46,0),IF(L180="L",1,IF(L180="M",2,3))))</x:f>
        <x:v>1.1875</x:v>
      </x:c>
      <x:c r="Q180" s="9" t="n">
        <x:f>IF(Y180="","",M180/INDEX('浓度设置'!$M$6:$M$46,MATCH(Y180,'浓度设置'!$A$6:$A$46,0)))</x:f>
        <x:v>14.553669867640158</x:v>
      </x:c>
      <x:c r="R180" s="9" t="n">
        <x:f>IF(Z180="","",N180/INDEX('浓度设置'!$M$6:$M$46,MATCH(Z180,'浓度设置'!$A$6:$A$46,0)))</x:f>
        <x:v>1.7488583333333334</x:v>
      </x:c>
      <x:c r="S180" s="9" t="n">
        <x:f>IF(AA180="","",O180/INDEX('浓度设置'!$M$6:$M$46,MATCH(AA180,'浓度设置'!$A$6:$A$46,0)))</x:f>
        <x:v>615.6114126984127</x:v>
      </x:c>
      <x:c r="T180" s="9" t="n">
        <x:f>IF(AB180="","",P180/INDEX('浓度设置'!$M$6:$M$46,MATCH(AB180,'浓度设置'!$A$6:$A$46,0)))</x:f>
        <x:v>0.001130952380952381</x:v>
      </x:c>
      <x:c r="U180" s="9" t="n">
        <x:f>IF(Y180="","",M180*$AD180/1000)</x:f>
        <x:v>16.736720347786182</x:v>
      </x:c>
      <x:c r="V180" s="9" t="n">
        <x:f>IF(Z180="","",N180*$AD180/1000)</x:f>
        <x:v>62.9589</x:v>
      </x:c>
      <x:c r="W180" s="9" t="n">
        <x:f>IF(AA180="","",O180*$AD180/1000)</x:f>
        <x:v>31026.8152</x:v>
      </x:c>
      <x:c r="X180" s="9" t="n">
        <x:f>IF(AB180="","",P180*$AD180/1000)</x:f>
        <x:v>0.02375</x:v>
      </x:c>
      <x:c r="Y180" s="3" t="n">
        <x:v>32</x:v>
      </x:c>
      <x:c r="Z180" s="3" t="n">
        <x:v>114</x:v>
      </x:c>
      <x:c r="AA180" s="3" t="n">
        <x:v>126</x:v>
      </x:c>
      <x:c r="AB180" s="3" t="n">
        <x:v>136</x:v>
      </x:c>
      <x:c r="AC180" s="3" t="n">
        <x:v>4</x:v>
      </x:c>
      <x:c r="AD180" s="3" t="n">
        <x:f>'方案总览'!$B$5</x:f>
        <x:v>20</x:v>
      </x:c>
    </x:row>
    <x:row r="181" ht="24" customHeight="1">
      <x:c r="A181" s="3" t="str">
        <x:v>T176</x:v>
      </x:c>
      <x:c r="B181" s="3" t="str">
        <x:v>拟合</x:v>
      </x:c>
      <x:c r="C181" s="3" t="str">
        <x:v>C090</x:v>
      </x:c>
      <x:c r="D181" s="3" t="str"/>
      <x:c r="E181" s="3" t="str">
        <x:v>己醛</x:v>
      </x:c>
      <x:c r="F181" s="3" t="str">
        <x:v>辛酸乙酯</x:v>
      </x:c>
      <x:c r="G181" s="3" t="str">
        <x:v>癸酸乙酯</x:v>
      </x:c>
      <x:c r="H181" s="3" t="str">
        <x:v>己酸乙酯</x:v>
      </x:c>
      <x:c r="I181" s="3" t="str">
        <x:v>L</x:v>
      </x:c>
      <x:c r="J181" s="3" t="str">
        <x:v>H</x:v>
      </x:c>
      <x:c r="K181" s="3" t="str">
        <x:v>H</x:v>
      </x:c>
      <x:c r="L181" s="3" t="str">
        <x:v>M</x:v>
      </x:c>
      <x:c r="M181" s="9" t="n">
        <x:f>IF(Y181="","",INDEX('浓度设置'!$P$6:$R$46,MATCH(Y181,'浓度设置'!$A$6:$A$46,0),IF(I181="L",1,IF(I181="M",2,3))))</x:f>
        <x:v>173</x:v>
      </x:c>
      <x:c r="N181" s="9" t="n">
        <x:f>IF(Z181="","",INDEX('浓度设置'!$P$6:$R$46,MATCH(Z181,'浓度设置'!$A$6:$A$46,0),IF(J181="L",1,IF(J181="M",2,3))))</x:f>
        <x:v>1865945</x:v>
      </x:c>
      <x:c r="O181" s="9" t="n">
        <x:f>IF(AA181="","",INDEX('浓度设置'!$P$6:$R$46,MATCH(AA181,'浓度设置'!$A$6:$A$46,0),IF(K181="L",1,IF(K181="M",2,3))))</x:f>
        <x:v>56115</x:v>
      </x:c>
      <x:c r="P181" s="9" t="n">
        <x:f>IF(AB181="","",INDEX('浓度设置'!$P$6:$R$46,MATCH(AB181,'浓度设置'!$A$6:$A$46,0),IF(L181="L",1,IF(L181="M",2,3))))</x:f>
        <x:v>89562.18016998023</x:v>
      </x:c>
      <x:c r="Q181" s="9" t="n">
        <x:f>IF(Y181="","",M181/INDEX('浓度设置'!$M$6:$M$46,MATCH(Y181,'浓度设置'!$A$6:$A$46,0)))</x:f>
        <x:v>6.784313725490196</x:v>
      </x:c>
      <x:c r="R181" s="9" t="n">
        <x:f>IF(Z181="","",N181/INDEX('浓度设置'!$M$6:$M$46,MATCH(Z181,'浓度设置'!$A$6:$A$46,0)))</x:f>
        <x:v>144646.8992248062</x:v>
      </x:c>
      <x:c r="S181" s="9" t="n">
        <x:f>IF(AA181="","",O181/INDEX('浓度设置'!$M$6:$M$46,MATCH(AA181,'浓度设置'!$A$6:$A$46,0)))</x:f>
        <x:v>50.10267857142857</x:v>
      </x:c>
      <x:c r="T181" s="9" t="n">
        <x:f>IF(AB181="","",P181/INDEX('浓度设置'!$M$6:$M$46,MATCH(AB181,'浓度设置'!$A$6:$A$46,0)))</x:f>
        <x:v>1619.5692616632955</x:v>
      </x:c>
      <x:c r="U181" s="9" t="n">
        <x:f>IF(Y181="","",M181*$AD181/1000)</x:f>
        <x:v>3.46</x:v>
      </x:c>
      <x:c r="V181" s="9" t="n">
        <x:f>IF(Z181="","",N181*$AD181/1000)</x:f>
        <x:v>37318.9</x:v>
      </x:c>
      <x:c r="W181" s="9" t="n">
        <x:f>IF(AA181="","",O181*$AD181/1000)</x:f>
        <x:v>1122.3</x:v>
      </x:c>
      <x:c r="X181" s="9" t="n">
        <x:f>IF(AB181="","",P181*$AD181/1000)</x:f>
        <x:v>1791.2436033996046</x:v>
      </x:c>
      <x:c r="Y181" s="3" t="n">
        <x:v>7</x:v>
      </x:c>
      <x:c r="Z181" s="3" t="n">
        <x:v>58</x:v>
      </x:c>
      <x:c r="AA181" s="3" t="n">
        <x:v>79</x:v>
      </x:c>
      <x:c r="AB181" s="3" t="n">
        <x:v>111</x:v>
      </x:c>
      <x:c r="AC181" s="3" t="n">
        <x:v>4</x:v>
      </x:c>
      <x:c r="AD181" s="3" t="n">
        <x:f>'方案总览'!$B$5</x:f>
        <x:v>20</x:v>
      </x:c>
    </x:row>
    <x:row r="182" ht="24" customHeight="1">
      <x:c r="A182" s="3" t="str">
        <x:v>T177</x:v>
      </x:c>
      <x:c r="B182" s="3" t="str">
        <x:v>拟合</x:v>
      </x:c>
      <x:c r="C182" s="3" t="str">
        <x:v>C091</x:v>
      </x:c>
      <x:c r="D182" s="3" t="str"/>
      <x:c r="E182" s="3" t="str">
        <x:v>戊酸</x:v>
      </x:c>
      <x:c r="F182" s="3" t="str">
        <x:v>乙酸异戊酯</x:v>
      </x:c>
      <x:c r="G182" s="3" t="str">
        <x:v>戊酸乙酯</x:v>
      </x:c>
      <x:c r="H182" s="3" t="str">
        <x:v>2-甲基丁酸乙酯</x:v>
      </x:c>
      <x:c r="I182" s="3" t="str">
        <x:v>L</x:v>
      </x:c>
      <x:c r="J182" s="3" t="str">
        <x:v>H</x:v>
      </x:c>
      <x:c r="K182" s="3" t="str">
        <x:v>M</x:v>
      </x:c>
      <x:c r="L182" s="3" t="str">
        <x:v>H</x:v>
      </x:c>
      <x:c r="M182" s="9" t="n">
        <x:f>IF(Y182="","",INDEX('浓度设置'!$P$6:$R$46,MATCH(Y182,'浓度设置'!$A$6:$A$46,0),IF(I182="L",1,IF(I182="M",2,3))))</x:f>
        <x:v>1.75</x:v>
      </x:c>
      <x:c r="N182" s="9" t="n">
        <x:f>IF(Z182="","",INDEX('浓度设置'!$P$6:$R$46,MATCH(Z182,'浓度设置'!$A$6:$A$46,0),IF(J182="L",1,IF(J182="M",2,3))))</x:f>
        <x:v>6516</x:v>
      </x:c>
      <x:c r="O182" s="9" t="n">
        <x:f>IF(AA182="","",INDEX('浓度设置'!$P$6:$R$46,MATCH(AA182,'浓度设置'!$A$6:$A$46,0),IF(K182="L",1,IF(K182="M",2,3))))</x:f>
        <x:v>1512.497272724814</x:v>
      </x:c>
      <x:c r="P182" s="9" t="n">
        <x:f>IF(AB182="","",INDEX('浓度设置'!$P$6:$R$46,MATCH(AB182,'浓度设置'!$A$6:$A$46,0),IF(L182="L",1,IF(L182="M",2,3))))</x:f>
        <x:v>1611</x:v>
      </x:c>
      <x:c r="Q182" s="9" t="n">
        <x:f>IF(Y182="","",M182/INDEX('浓度设置'!$M$6:$M$46,MATCH(Y182,'浓度设置'!$A$6:$A$46,0)))</x:f>
        <x:v>0.004498714652956298</x:v>
      </x:c>
      <x:c r="R182" s="9" t="n">
        <x:f>IF(Z182="","",N182/INDEX('浓度设置'!$M$6:$M$46,MATCH(Z182,'浓度设置'!$A$6:$A$46,0)))</x:f>
        <x:v>69.39297124600638</x:v>
      </x:c>
      <x:c r="S182" s="9" t="n">
        <x:f>IF(AA182="","",O182/INDEX('浓度设置'!$M$6:$M$46,MATCH(AA182,'浓度设置'!$A$6:$A$46,0)))</x:f>
        <x:v>56.43646540017962</x:v>
      </x:c>
      <x:c r="T182" s="9" t="n">
        <x:f>IF(AB182="","",P182/INDEX('浓度设置'!$M$6:$M$46,MATCH(AB182,'浓度设置'!$A$6:$A$46,0)))</x:f>
        <x:v>89.5</x:v>
      </x:c>
      <x:c r="U182" s="9" t="n">
        <x:f>IF(Y182="","",M182*$AD182/1000)</x:f>
        <x:v>0.035</x:v>
      </x:c>
      <x:c r="V182" s="9" t="n">
        <x:f>IF(Z182="","",N182*$AD182/1000)</x:f>
        <x:v>130.32</x:v>
      </x:c>
      <x:c r="W182" s="9" t="n">
        <x:f>IF(AA182="","",O182*$AD182/1000)</x:f>
        <x:v>30.249945454496277</x:v>
      </x:c>
      <x:c r="X182" s="9" t="n">
        <x:f>IF(AB182="","",P182*$AD182/1000)</x:f>
        <x:v>32.22</x:v>
      </x:c>
      <x:c r="Y182" s="3" t="n">
        <x:v>75</x:v>
      </x:c>
      <x:c r="Z182" s="3" t="n">
        <x:v>115</x:v>
      </x:c>
      <x:c r="AA182" s="3" t="n">
        <x:v>141</x:v>
      </x:c>
      <x:c r="AB182" s="3" t="n">
        <x:v>232</x:v>
      </x:c>
      <x:c r="AC182" s="3" t="n">
        <x:v>4</x:v>
      </x:c>
      <x:c r="AD182" s="3" t="n">
        <x:f>'方案总览'!$B$5</x:f>
        <x:v>20</x:v>
      </x:c>
    </x:row>
    <x:row r="183" ht="24" customHeight="1">
      <x:c r="A183" s="3" t="str">
        <x:v>T178</x:v>
      </x:c>
      <x:c r="B183" s="3" t="str">
        <x:v>拟合</x:v>
      </x:c>
      <x:c r="C183" s="3" t="str">
        <x:v>C092</x:v>
      </x:c>
      <x:c r="D183" s="3" t="str"/>
      <x:c r="E183" s="3" t="str">
        <x:v>2-甲基丙醛</x:v>
      </x:c>
      <x:c r="F183" s="3" t="str">
        <x:v>对甲酚</x:v>
      </x:c>
      <x:c r="G183" s="3" t="str">
        <x:v>苯乙醛</x:v>
      </x:c>
      <x:c r="H183" s="3" t="str">
        <x:v>1-辛烯-3-醇</x:v>
      </x:c>
      <x:c r="I183" s="3" t="str">
        <x:v>L</x:v>
      </x:c>
      <x:c r="J183" s="3" t="str">
        <x:v>H</x:v>
      </x:c>
      <x:c r="K183" s="3" t="str">
        <x:v>L</x:v>
      </x:c>
      <x:c r="L183" s="3" t="str">
        <x:v>M</x:v>
      </x:c>
      <x:c r="M183" s="9" t="n">
        <x:f>IF(Y183="","",INDEX('浓度设置'!$P$6:$R$46,MATCH(Y183,'浓度设置'!$A$6:$A$46,0),IF(I183="L",1,IF(I183="M",2,3))))</x:f>
        <x:v>39</x:v>
      </x:c>
      <x:c r="N183" s="9" t="n">
        <x:f>IF(Z183="","",INDEX('浓度设置'!$P$6:$R$46,MATCH(Z183,'浓度设置'!$A$6:$A$46,0),IF(J183="L",1,IF(J183="M",2,3))))</x:f>
        <x:v>6914</x:v>
      </x:c>
      <x:c r="O183" s="9" t="n">
        <x:f>IF(AA183="","",INDEX('浓度设置'!$P$6:$R$46,MATCH(AA183,'浓度设置'!$A$6:$A$46,0),IF(K183="L",1,IF(K183="M",2,3))))</x:f>
        <x:v>0.05</x:v>
      </x:c>
      <x:c r="P183" s="9" t="n">
        <x:f>IF(AB183="","",INDEX('浓度设置'!$P$6:$R$46,MATCH(AB183,'浓度设置'!$A$6:$A$46,0),IF(L183="L",1,IF(L183="M",2,3))))</x:f>
        <x:v>16.47573974060042</x:v>
      </x:c>
      <x:c r="Q183" s="9" t="n">
        <x:f>IF(Y183="","",M183/INDEX('浓度设置'!$M$6:$M$46,MATCH(Y183,'浓度设置'!$A$6:$A$46,0)))</x:f>
        <x:v>6.610169491525423</x:v>
      </x:c>
      <x:c r="R183" s="9" t="n">
        <x:f>IF(Z183="","",N183/INDEX('浓度设置'!$M$6:$M$46,MATCH(Z183,'浓度设置'!$A$6:$A$46,0)))</x:f>
        <x:v>41.40119760479042</x:v>
      </x:c>
      <x:c r="S183" s="9" t="n">
        <x:f>IF(AA183="","",O183/INDEX('浓度设置'!$M$6:$M$46,MATCH(AA183,'浓度设置'!$A$6:$A$46,0)))</x:f>
        <x:v>0.00019083969465648855</x:v>
      </x:c>
      <x:c r="T183" s="9" t="n">
        <x:f>IF(AB183="","",P183/INDEX('浓度设置'!$M$6:$M$46,MATCH(AB183,'浓度设置'!$A$6:$A$46,0)))</x:f>
        <x:v>2.692114336699415</x:v>
      </x:c>
      <x:c r="U183" s="9" t="n">
        <x:f>IF(Y183="","",M183*$AD183/1000)</x:f>
        <x:v>0.78</x:v>
      </x:c>
      <x:c r="V183" s="9" t="n">
        <x:f>IF(Z183="","",N183*$AD183/1000)</x:f>
        <x:v>138.28</x:v>
      </x:c>
      <x:c r="W183" s="9" t="n">
        <x:f>IF(AA183="","",O183*$AD183/1000)</x:f>
        <x:v>0.001</x:v>
      </x:c>
      <x:c r="X183" s="9" t="n">
        <x:f>IF(AB183="","",P183*$AD183/1000)</x:f>
        <x:v>0.3295147948120084</x:v>
      </x:c>
      <x:c r="Y183" s="3" t="n">
        <x:v>18</x:v>
      </x:c>
      <x:c r="Z183" s="3" t="n">
        <x:v>61</x:v>
      </x:c>
      <x:c r="AA183" s="3" t="n">
        <x:v>105</x:v>
      </x:c>
      <x:c r="AB183" s="3" t="n">
        <x:v>207</x:v>
      </x:c>
      <x:c r="AC183" s="3" t="n">
        <x:v>4</x:v>
      </x:c>
      <x:c r="AD183" s="3" t="n">
        <x:f>'方案总览'!$B$5</x:f>
        <x:v>20</x:v>
      </x:c>
    </x:row>
    <x:row r="184" ht="24" customHeight="1">
      <x:c r="A184" s="3" t="str">
        <x:v>T179</x:v>
      </x:c>
      <x:c r="B184" s="3" t="str">
        <x:v>拟合</x:v>
      </x:c>
      <x:c r="C184" s="3" t="str">
        <x:v>C093</x:v>
      </x:c>
      <x:c r="D184" s="3" t="str"/>
      <x:c r="E184" s="3" t="str">
        <x:v>己醛</x:v>
      </x:c>
      <x:c r="F184" s="3" t="str">
        <x:v>苯乙酸乙酯</x:v>
      </x:c>
      <x:c r="G184" s="3" t="str">
        <x:v>丁酸乙酯</x:v>
      </x:c>
      <x:c r="H184" s="3" t="str">
        <x:v>1-辛醇</x:v>
      </x:c>
      <x:c r="I184" s="3" t="str">
        <x:v>L</x:v>
      </x:c>
      <x:c r="J184" s="3" t="str">
        <x:v>L</x:v>
      </x:c>
      <x:c r="K184" s="3" t="str">
        <x:v>H</x:v>
      </x:c>
      <x:c r="L184" s="3" t="str">
        <x:v>H</x:v>
      </x:c>
      <x:c r="M184" s="9" t="n">
        <x:f>IF(Y184="","",INDEX('浓度设置'!$P$6:$R$46,MATCH(Y184,'浓度设置'!$A$6:$A$46,0),IF(I184="L",1,IF(I184="M",2,3))))</x:f>
        <x:v>173</x:v>
      </x:c>
      <x:c r="N184" s="9" t="n">
        <x:f>IF(Z184="","",INDEX('浓度设置'!$P$6:$R$46,MATCH(Z184,'浓度设置'!$A$6:$A$46,0),IF(J184="L",1,IF(J184="M",2,3))))</x:f>
        <x:v>1.875</x:v>
      </x:c>
      <x:c r="O184" s="9" t="n">
        <x:f>IF(AA184="","",INDEX('浓度设置'!$P$6:$R$46,MATCH(AA184,'浓度设置'!$A$6:$A$46,0),IF(K184="L",1,IF(K184="M",2,3))))</x:f>
        <x:v>1290235</x:v>
      </x:c>
      <x:c r="P184" s="9" t="n">
        <x:f>IF(AB184="","",INDEX('浓度设置'!$P$6:$R$46,MATCH(AB184,'浓度设置'!$A$6:$A$46,0),IF(L184="L",1,IF(L184="M",2,3))))</x:f>
        <x:v>25642.45</x:v>
      </x:c>
      <x:c r="Q184" s="9" t="n">
        <x:f>IF(Y184="","",M184/INDEX('浓度设置'!$M$6:$M$46,MATCH(Y184,'浓度设置'!$A$6:$A$46,0)))</x:f>
        <x:v>6.784313725490196</x:v>
      </x:c>
      <x:c r="R184" s="9" t="n">
        <x:f>IF(Z184="","",N184/INDEX('浓度设置'!$M$6:$M$46,MATCH(Z184,'浓度设置'!$A$6:$A$46,0)))</x:f>
        <x:v>0.004606879606879607</x:v>
      </x:c>
      <x:c r="S184" s="9" t="n">
        <x:f>IF(AA184="","",O184/INDEX('浓度设置'!$M$6:$M$46,MATCH(AA184,'浓度设置'!$A$6:$A$46,0)))</x:f>
        <x:v>15831.104294478528</x:v>
      </x:c>
      <x:c r="T184" s="9" t="n">
        <x:f>IF(AB184="","",P184/INDEX('浓度设置'!$M$6:$M$46,MATCH(AB184,'浓度设置'!$A$6:$A$46,0)))</x:f>
        <x:v>23.311318181818184</x:v>
      </x:c>
      <x:c r="U184" s="9" t="n">
        <x:f>IF(Y184="","",M184*$AD184/1000)</x:f>
        <x:v>3.46</x:v>
      </x:c>
      <x:c r="V184" s="9" t="n">
        <x:f>IF(Z184="","",N184*$AD184/1000)</x:f>
        <x:v>0.0375</x:v>
      </x:c>
      <x:c r="W184" s="9" t="n">
        <x:f>IF(AA184="","",O184*$AD184/1000)</x:f>
        <x:v>25804.7</x:v>
      </x:c>
      <x:c r="X184" s="9" t="n">
        <x:f>IF(AB184="","",P184*$AD184/1000)</x:f>
        <x:v>512.849</x:v>
      </x:c>
      <x:c r="Y184" s="3" t="n">
        <x:v>7</x:v>
      </x:c>
      <x:c r="Z184" s="3" t="n">
        <x:v>40</x:v>
      </x:c>
      <x:c r="AA184" s="3" t="n">
        <x:v>52</x:v>
      </x:c>
      <x:c r="AB184" s="3" t="n">
        <x:v>90</x:v>
      </x:c>
      <x:c r="AC184" s="3" t="n">
        <x:v>4</x:v>
      </x:c>
      <x:c r="AD184" s="3" t="n">
        <x:f>'方案总览'!$B$5</x:f>
        <x:v>20</x:v>
      </x:c>
    </x:row>
    <x:row r="185" ht="24" customHeight="1">
      <x:c r="A185" s="3" t="str">
        <x:v>T180</x:v>
      </x:c>
      <x:c r="B185" s="3" t="str">
        <x:v>拟合</x:v>
      </x:c>
      <x:c r="C185" s="3" t="str">
        <x:v>C094</x:v>
      </x:c>
      <x:c r="D185" s="3" t="str"/>
      <x:c r="E185" s="3" t="str">
        <x:v>辛酸乙酯</x:v>
      </x:c>
      <x:c r="F185" s="3" t="str">
        <x:v>异戊醛</x:v>
      </x:c>
      <x:c r="G185" s="3" t="str">
        <x:v>3-苯基丙酸乙酯</x:v>
      </x:c>
      <x:c r="H185" s="3" t="str">
        <x:v>β-大马酮</x:v>
      </x:c>
      <x:c r="I185" s="3" t="str">
        <x:v>L</x:v>
      </x:c>
      <x:c r="J185" s="3" t="str">
        <x:v>H</x:v>
      </x:c>
      <x:c r="K185" s="3" t="str">
        <x:v>H</x:v>
      </x:c>
      <x:c r="L185" s="3" t="str">
        <x:v>M</x:v>
      </x:c>
      <x:c r="M185" s="9" t="n">
        <x:f>IF(Y185="","",INDEX('浓度设置'!$P$6:$R$46,MATCH(Y185,'浓度设置'!$A$6:$A$46,0),IF(I185="L",1,IF(I185="M",2,3))))</x:f>
        <x:v>5.06</x:v>
      </x:c>
      <x:c r="N185" s="9" t="n">
        <x:f>IF(Z185="","",INDEX('浓度设置'!$P$6:$R$46,MATCH(Z185,'浓度设置'!$A$6:$A$46,0),IF(J185="L",1,IF(J185="M",2,3))))</x:f>
        <x:v>227200</x:v>
      </x:c>
      <x:c r="O185" s="9" t="n">
        <x:f>IF(AA185="","",INDEX('浓度设置'!$P$6:$R$46,MATCH(AA185,'浓度设置'!$A$6:$A$46,0),IF(K185="L",1,IF(K185="M",2,3))))</x:f>
        <x:v>11648000</x:v>
      </x:c>
      <x:c r="P185" s="9" t="n">
        <x:f>IF(AB185="","",INDEX('浓度设置'!$P$6:$R$46,MATCH(AB185,'浓度设置'!$A$6:$A$46,0),IF(L185="L",1,IF(L185="M",2,3))))</x:f>
        <x:v>9.546727187890099</x:v>
      </x:c>
      <x:c r="Q185" s="9" t="n">
        <x:f>IF(Y185="","",M185/INDEX('浓度设置'!$M$6:$M$46,MATCH(Y185,'浓度设置'!$A$6:$A$46,0)))</x:f>
        <x:v>0.39224806201550383</x:v>
      </x:c>
      <x:c r="R185" s="9" t="n">
        <x:f>IF(Z185="","",N185/INDEX('浓度设置'!$M$6:$M$46,MATCH(Z185,'浓度设置'!$A$6:$A$46,0)))</x:f>
        <x:v>13769.69696969697</x:v>
      </x:c>
      <x:c r="S185" s="9" t="n">
        <x:f>IF(AA185="","",O185/INDEX('浓度设置'!$M$6:$M$46,MATCH(AA185,'浓度设置'!$A$6:$A$46,0)))</x:f>
        <x:v>93184</x:v>
      </x:c>
      <x:c r="T185" s="9" t="n">
        <x:f>IF(AB185="","",P185/INDEX('浓度设置'!$M$6:$M$46,MATCH(AB185,'浓度设置'!$A$6:$A$46,0)))</x:f>
        <x:v>79.55605989908416</x:v>
      </x:c>
      <x:c r="U185" s="9" t="n">
        <x:f>IF(Y185="","",M185*$AD185/1000)</x:f>
        <x:v>0.10119999999999998</x:v>
      </x:c>
      <x:c r="V185" s="9" t="n">
        <x:f>IF(Z185="","",N185*$AD185/1000)</x:f>
        <x:v>4544</x:v>
      </x:c>
      <x:c r="W185" s="9" t="n">
        <x:f>IF(AA185="","",O185*$AD185/1000)</x:f>
        <x:v>232960</x:v>
      </x:c>
      <x:c r="X185" s="9" t="n">
        <x:f>IF(AB185="","",P185*$AD185/1000)</x:f>
        <x:v>0.19093454375780197</x:v>
      </x:c>
      <x:c r="Y185" s="3" t="n">
        <x:v>58</x:v>
      </x:c>
      <x:c r="Z185" s="3" t="n">
        <x:v>152</x:v>
      </x:c>
      <x:c r="AA185" s="3" t="n">
        <x:v>186</x:v>
      </x:c>
      <x:c r="AB185" s="3" t="n">
        <x:v>255</x:v>
      </x:c>
      <x:c r="AC185" s="3" t="n">
        <x:v>4</x:v>
      </x:c>
      <x:c r="AD185" s="3" t="n">
        <x:f>'方案总览'!$B$5</x:f>
        <x:v>20</x:v>
      </x:c>
    </x:row>
    <x:row r="186" ht="24" customHeight="1">
      <x:c r="A186" s="3" t="str">
        <x:v>T181</x:v>
      </x:c>
      <x:c r="B186" s="3" t="str">
        <x:v>拟合</x:v>
      </x:c>
      <x:c r="C186" s="3" t="str">
        <x:v>C095</x:v>
      </x:c>
      <x:c r="D186" s="3" t="str"/>
      <x:c r="E186" s="3" t="str">
        <x:v>1-丁醇</x:v>
      </x:c>
      <x:c r="F186" s="3" t="str">
        <x:v>乙醛二乙缩醛</x:v>
      </x:c>
      <x:c r="G186" s="3" t="str">
        <x:v>癸酸乙酯</x:v>
      </x:c>
      <x:c r="H186" s="3" t="str">
        <x:v>二甲基三硫醚</x:v>
      </x:c>
      <x:c r="I186" s="3" t="str">
        <x:v>H</x:v>
      </x:c>
      <x:c r="J186" s="3" t="str">
        <x:v>L</x:v>
      </x:c>
      <x:c r="K186" s="3" t="str">
        <x:v>M</x:v>
      </x:c>
      <x:c r="L186" s="3" t="str">
        <x:v>H</x:v>
      </x:c>
      <x:c r="M186" s="9" t="n">
        <x:f>IF(Y186="","",INDEX('浓度设置'!$P$6:$R$46,MATCH(Y186,'浓度设置'!$A$6:$A$46,0),IF(I186="L",1,IF(I186="M",2,3))))</x:f>
        <x:v>1038900</x:v>
      </x:c>
      <x:c r="N186" s="9" t="n">
        <x:f>IF(Z186="","",INDEX('浓度设置'!$P$6:$R$46,MATCH(Z186,'浓度设置'!$A$6:$A$46,0),IF(J186="L",1,IF(J186="M",2,3))))</x:f>
        <x:v>9.61</x:v>
      </x:c>
      <x:c r="O186" s="9" t="n">
        <x:f>IF(AA186="","",INDEX('浓度设置'!$P$6:$R$46,MATCH(AA186,'浓度设置'!$A$6:$A$46,0),IF(K186="L",1,IF(K186="M",2,3))))</x:f>
        <x:v>1288.255</x:v>
      </x:c>
      <x:c r="P186" s="9" t="n">
        <x:f>IF(AB186="","",INDEX('浓度设置'!$P$6:$R$46,MATCH(AB186,'浓度设置'!$A$6:$A$46,0),IF(L186="L",1,IF(L186="M",2,3))))</x:f>
        <x:v>4201.44</x:v>
      </x:c>
      <x:c r="Q186" s="9" t="n">
        <x:f>IF(Y186="","",M186/INDEX('浓度设置'!$M$6:$M$46,MATCH(Y186,'浓度设置'!$A$6:$A$46,0)))</x:f>
        <x:v>380.1317233809001</x:v>
      </x:c>
      <x:c r="R186" s="9" t="n">
        <x:f>IF(Z186="","",N186/INDEX('浓度设置'!$M$6:$M$46,MATCH(Z186,'浓度设置'!$A$6:$A$46,0)))</x:f>
        <x:v>0.004598086124401914</x:v>
      </x:c>
      <x:c r="S186" s="9" t="n">
        <x:f>IF(AA186="","",O186/INDEX('浓度设置'!$M$6:$M$46,MATCH(AA186,'浓度设置'!$A$6:$A$46,0)))</x:f>
        <x:v>1.1502276785714287</x:v>
      </x:c>
      <x:c r="T186" s="9" t="n">
        <x:f>IF(AB186="","",P186/INDEX('浓度设置'!$M$6:$M$46,MATCH(AB186,'浓度设置'!$A$6:$A$46,0)))</x:f>
        <x:v>11670.666666666666</x:v>
      </x:c>
      <x:c r="U186" s="9" t="n">
        <x:f>IF(Y186="","",M186*$AD186/1000)</x:f>
        <x:v>20778</x:v>
      </x:c>
      <x:c r="V186" s="9" t="n">
        <x:f>IF(Z186="","",N186*$AD186/1000)</x:f>
        <x:v>0.19219999999999998</x:v>
      </x:c>
      <x:c r="W186" s="9" t="n">
        <x:f>IF(AA186="","",O186*$AD186/1000)</x:f>
        <x:v>25.765100000000004</x:v>
      </x:c>
      <x:c r="X186" s="9" t="n">
        <x:f>IF(AB186="","",P186*$AD186/1000)</x:f>
        <x:v>84.02879999999999</x:v>
      </x:c>
      <x:c r="Y186" s="3" t="n">
        <x:v>11</x:v>
      </x:c>
      <x:c r="Z186" s="3" t="n">
        <x:v>53</x:v>
      </x:c>
      <x:c r="AA186" s="3" t="n">
        <x:v>79</x:v>
      </x:c>
      <x:c r="AB186" s="3" t="n">
        <x:v>209</x:v>
      </x:c>
      <x:c r="AC186" s="3" t="n">
        <x:v>4</x:v>
      </x:c>
      <x:c r="AD186" s="3" t="n">
        <x:f>'方案总览'!$B$5</x:f>
        <x:v>20</x:v>
      </x:c>
    </x:row>
    <x:row r="187" ht="24" customHeight="1">
      <x:c r="A187" s="3" t="str">
        <x:v>T182</x:v>
      </x:c>
      <x:c r="B187" s="3" t="str">
        <x:v>拟合</x:v>
      </x:c>
      <x:c r="C187" s="3" t="str">
        <x:v>C096</x:v>
      </x:c>
      <x:c r="D187" s="3" t="str"/>
      <x:c r="E187" s="3" t="str">
        <x:v>异戊酸乙酯（3-甲基丁酸乙酯）</x:v>
      </x:c>
      <x:c r="F187" s="3" t="str">
        <x:v>己酸</x:v>
      </x:c>
      <x:c r="G187" s="3" t="str">
        <x:v>己酸丁酯</x:v>
      </x:c>
      <x:c r="H187" s="3" t="str">
        <x:v>己酸己酯</x:v>
      </x:c>
      <x:c r="I187" s="3" t="str">
        <x:v>M</x:v>
      </x:c>
      <x:c r="J187" s="3" t="str">
        <x:v>L</x:v>
      </x:c>
      <x:c r="K187" s="3" t="str">
        <x:v>H</x:v>
      </x:c>
      <x:c r="L187" s="3" t="str">
        <x:v>L</x:v>
      </x:c>
      <x:c r="M187" s="9" t="n">
        <x:f>IF(Y187="","",INDEX('浓度设置'!$P$6:$R$46,MATCH(Y187,'浓度设置'!$A$6:$A$46,0),IF(I187="L",1,IF(I187="M",2,3))))</x:f>
        <x:v>99.89207175747232</x:v>
      </x:c>
      <x:c r="N187" s="9" t="n">
        <x:f>IF(Z187="","",INDEX('浓度设置'!$P$6:$R$46,MATCH(Z187,'浓度设置'!$A$6:$A$46,0),IF(J187="L",1,IF(J187="M",2,3))))</x:f>
        <x:v>2.125</x:v>
      </x:c>
      <x:c r="O187" s="9" t="n">
        <x:f>IF(AA187="","",INDEX('浓度设置'!$P$6:$R$46,MATCH(AA187,'浓度设置'!$A$6:$A$46,0),IF(K187="L",1,IF(K187="M",2,3))))</x:f>
        <x:v>86300</x:v>
      </x:c>
      <x:c r="P187" s="9" t="n">
        <x:f>IF(AB187="","",INDEX('浓度设置'!$P$6:$R$46,MATCH(AB187,'浓度设置'!$A$6:$A$46,0),IF(L187="L",1,IF(L187="M",2,3))))</x:f>
        <x:v>2.5</x:v>
      </x:c>
      <x:c r="Q187" s="9" t="n">
        <x:f>IF(Y187="","",M187/INDEX('浓度设置'!$M$6:$M$46,MATCH(Y187,'浓度设置'!$A$6:$A$46,0)))</x:f>
        <x:v>14.49812362227465</x:v>
      </x:c>
      <x:c r="R187" s="9" t="n">
        <x:f>IF(Z187="","",N187/INDEX('浓度设置'!$M$6:$M$46,MATCH(Z187,'浓度设置'!$A$6:$A$46,0)))</x:f>
        <x:v>0.0008432539682539683</x:v>
      </x:c>
      <x:c r="S187" s="9" t="n">
        <x:f>IF(AA187="","",O187/INDEX('浓度设置'!$M$6:$M$46,MATCH(AA187,'浓度设置'!$A$6:$A$46,0)))</x:f>
        <x:v>127.31618080963058</x:v>
      </x:c>
      <x:c r="T187" s="9" t="n">
        <x:f>IF(AB187="","",P187/INDEX('浓度设置'!$M$6:$M$46,MATCH(AB187,'浓度设置'!$A$6:$A$46,0)))</x:f>
        <x:v>0.0013220518244315177</x:v>
      </x:c>
      <x:c r="U187" s="9" t="n">
        <x:f>IF(Y187="","",M187*$AD187/1000)</x:f>
        <x:v>1.9978414351494465</x:v>
      </x:c>
      <x:c r="V187" s="9" t="n">
        <x:f>IF(Z187="","",N187*$AD187/1000)</x:f>
        <x:v>0.0425</x:v>
      </x:c>
      <x:c r="W187" s="9" t="n">
        <x:f>IF(AA187="","",O187*$AD187/1000)</x:f>
        <x:v>1726</x:v>
      </x:c>
      <x:c r="X187" s="9" t="n">
        <x:f>IF(AB187="","",P187*$AD187/1000)</x:f>
        <x:v>0.05</x:v>
      </x:c>
      <x:c r="Y187" s="3" t="n">
        <x:v>69</x:v>
      </x:c>
      <x:c r="Z187" s="3" t="n">
        <x:v>126</x:v>
      </x:c>
      <x:c r="AA187" s="3" t="n">
        <x:v>165</x:v>
      </x:c>
      <x:c r="AB187" s="3" t="n">
        <x:v>227</x:v>
      </x:c>
      <x:c r="AC187" s="3" t="n">
        <x:v>4</x:v>
      </x:c>
      <x:c r="AD187" s="3" t="n">
        <x:f>'方案总览'!$B$5</x:f>
        <x:v>20</x:v>
      </x:c>
    </x:row>
    <x:row r="188" ht="24" customHeight="1">
      <x:c r="A188" s="3" t="str">
        <x:v>T183</x:v>
      </x:c>
      <x:c r="B188" s="3" t="str">
        <x:v>拟合</x:v>
      </x:c>
      <x:c r="C188" s="3" t="str">
        <x:v>C097</x:v>
      </x:c>
      <x:c r="D188" s="3" t="str"/>
      <x:c r="E188" s="3" t="str">
        <x:v>丁酸异戊酯</x:v>
      </x:c>
      <x:c r="F188" s="3" t="str">
        <x:v>辛酸乙酯</x:v>
      </x:c>
      <x:c r="G188" s="3" t="str">
        <x:v>辛酸</x:v>
      </x:c>
      <x:c r="H188" s="3" t="str">
        <x:v>异戊酸/3-甲基丁酸</x:v>
      </x:c>
      <x:c r="I188" s="3" t="str">
        <x:v>H</x:v>
      </x:c>
      <x:c r="J188" s="3" t="str">
        <x:v>H</x:v>
      </x:c>
      <x:c r="K188" s="3" t="str">
        <x:v>H</x:v>
      </x:c>
      <x:c r="L188" s="3" t="str">
        <x:v>L</x:v>
      </x:c>
      <x:c r="M188" s="9" t="n">
        <x:f>IF(Y188="","",INDEX('浓度设置'!$P$6:$R$46,MATCH(Y188,'浓度设置'!$A$6:$A$46,0),IF(I188="L",1,IF(I188="M",2,3))))</x:f>
        <x:v>4105</x:v>
      </x:c>
      <x:c r="N188" s="9" t="n">
        <x:f>IF(Z188="","",INDEX('浓度设置'!$P$6:$R$46,MATCH(Z188,'浓度设置'!$A$6:$A$46,0),IF(J188="L",1,IF(J188="M",2,3))))</x:f>
        <x:v>1865945</x:v>
      </x:c>
      <x:c r="O188" s="9" t="n">
        <x:f>IF(AA188="","",INDEX('浓度设置'!$P$6:$R$46,MATCH(AA188,'浓度设置'!$A$6:$A$46,0),IF(K188="L",1,IF(K188="M",2,3))))</x:f>
        <x:v>40201.1</x:v>
      </x:c>
      <x:c r="P188" s="9" t="n">
        <x:f>IF(AB188="","",INDEX('浓度设置'!$P$6:$R$46,MATCH(AB188,'浓度设置'!$A$6:$A$46,0),IF(L188="L",1,IF(L188="M",2,3))))</x:f>
        <x:v>1.1875</x:v>
      </x:c>
      <x:c r="Q188" s="9" t="n">
        <x:f>IF(Y188="","",M188/INDEX('浓度设置'!$M$6:$M$46,MATCH(Y188,'浓度设置'!$A$6:$A$46,0)))</x:f>
        <x:v>4.4863387978142075</x:v>
      </x:c>
      <x:c r="R188" s="9" t="n">
        <x:f>IF(Z188="","",N188/INDEX('浓度设置'!$M$6:$M$46,MATCH(Z188,'浓度设置'!$A$6:$A$46,0)))</x:f>
        <x:v>144646.8992248062</x:v>
      </x:c>
      <x:c r="S188" s="9" t="n">
        <x:f>IF(AA188="","",O188/INDEX('浓度设置'!$M$6:$M$46,MATCH(AA188,'浓度设置'!$A$6:$A$46,0)))</x:f>
        <x:v>14.889296296296296</x:v>
      </x:c>
      <x:c r="T188" s="9" t="n">
        <x:f>IF(AB188="","",P188/INDEX('浓度设置'!$M$6:$M$46,MATCH(AB188,'浓度设置'!$A$6:$A$46,0)))</x:f>
        <x:v>0.001130952380952381</x:v>
      </x:c>
      <x:c r="U188" s="9" t="n">
        <x:f>IF(Y188="","",M188*$AD188/1000)</x:f>
        <x:v>82.1</x:v>
      </x:c>
      <x:c r="V188" s="9" t="n">
        <x:f>IF(Z188="","",N188*$AD188/1000)</x:f>
        <x:v>37318.9</x:v>
      </x:c>
      <x:c r="W188" s="9" t="n">
        <x:f>IF(AA188="","",O188*$AD188/1000)</x:f>
        <x:v>804.022</x:v>
      </x:c>
      <x:c r="X188" s="9" t="n">
        <x:f>IF(AB188="","",P188*$AD188/1000)</x:f>
        <x:v>0.02375</x:v>
      </x:c>
      <x:c r="Y188" s="3" t="n">
        <x:v>56</x:v>
      </x:c>
      <x:c r="Z188" s="3" t="n">
        <x:v>58</x:v>
      </x:c>
      <x:c r="AA188" s="3" t="n">
        <x:v>117</x:v>
      </x:c>
      <x:c r="AB188" s="3" t="n">
        <x:v>136</x:v>
      </x:c>
      <x:c r="AC188" s="3" t="n">
        <x:v>4</x:v>
      </x:c>
      <x:c r="AD188" s="3" t="n">
        <x:f>'方案总览'!$B$5</x:f>
        <x:v>20</x:v>
      </x:c>
    </x:row>
    <x:row r="189" ht="24" customHeight="1">
      <x:c r="A189" s="3" t="str">
        <x:v>T184</x:v>
      </x:c>
      <x:c r="B189" s="3" t="str">
        <x:v>拟合</x:v>
      </x:c>
      <x:c r="C189" s="3" t="str">
        <x:v>C098</x:v>
      </x:c>
      <x:c r="D189" s="3" t="str"/>
      <x:c r="E189" s="3" t="str">
        <x:v>异丁酸乙酯</x:v>
      </x:c>
      <x:c r="F189" s="3" t="str">
        <x:v>癸酸乙酯</x:v>
      </x:c>
      <x:c r="G189" s="3" t="str">
        <x:v>戊酸乙酯</x:v>
      </x:c>
      <x:c r="H189" s="3" t="str">
        <x:v>β-大马酮</x:v>
      </x:c>
      <x:c r="I189" s="3" t="str">
        <x:v>M</x:v>
      </x:c>
      <x:c r="J189" s="3" t="str">
        <x:v>M</x:v>
      </x:c>
      <x:c r="K189" s="3" t="str">
        <x:v>L</x:v>
      </x:c>
      <x:c r="L189" s="3" t="str">
        <x:v>H</x:v>
      </x:c>
      <x:c r="M189" s="9" t="n">
        <x:f>IF(Y189="","",INDEX('浓度设置'!$P$6:$R$46,MATCH(Y189,'浓度设置'!$A$6:$A$46,0),IF(I189="L",1,IF(I189="M",2,3))))</x:f>
        <x:v>836.8360173893091</x:v>
      </x:c>
      <x:c r="N189" s="9" t="n">
        <x:f>IF(Z189="","",INDEX('浓度设置'!$P$6:$R$46,MATCH(Z189,'浓度设置'!$A$6:$A$46,0),IF(J189="L",1,IF(J189="M",2,3))))</x:f>
        <x:v>1288.255</x:v>
      </x:c>
      <x:c r="O189" s="9" t="n">
        <x:f>IF(AA189="","",INDEX('浓度设置'!$P$6:$R$46,MATCH(AA189,'浓度设置'!$A$6:$A$46,0),IF(K189="L",1,IF(K189="M",2,3))))</x:f>
        <x:v>2.2</x:v>
      </x:c>
      <x:c r="P189" s="9" t="n">
        <x:f>IF(AB189="","",INDEX('浓度设置'!$P$6:$R$46,MATCH(AB189,'浓度设置'!$A$6:$A$46,0),IF(L189="L",1,IF(L189="M",2,3))))</x:f>
        <x:v>60.76</x:v>
      </x:c>
      <x:c r="Q189" s="9" t="n">
        <x:f>IF(Y189="","",M189/INDEX('浓度设置'!$M$6:$M$46,MATCH(Y189,'浓度设置'!$A$6:$A$46,0)))</x:f>
        <x:v>14.553669867640158</x:v>
      </x:c>
      <x:c r="R189" s="9" t="n">
        <x:f>IF(Z189="","",N189/INDEX('浓度设置'!$M$6:$M$46,MATCH(Z189,'浓度设置'!$A$6:$A$46,0)))</x:f>
        <x:v>1.1502276785714287</x:v>
      </x:c>
      <x:c r="S189" s="9" t="n">
        <x:f>IF(AA189="","",O189/INDEX('浓度设置'!$M$6:$M$46,MATCH(AA189,'浓度设置'!$A$6:$A$46,0)))</x:f>
        <x:v>0.08208955223880597</x:v>
      </x:c>
      <x:c r="T189" s="9" t="n">
        <x:f>IF(AB189="","",P189/INDEX('浓度设置'!$M$6:$M$46,MATCH(AB189,'浓度设置'!$A$6:$A$46,0)))</x:f>
        <x:v>506.3333333333333</x:v>
      </x:c>
      <x:c r="U189" s="9" t="n">
        <x:f>IF(Y189="","",M189*$AD189/1000)</x:f>
        <x:v>16.736720347786182</x:v>
      </x:c>
      <x:c r="V189" s="9" t="n">
        <x:f>IF(Z189="","",N189*$AD189/1000)</x:f>
        <x:v>25.765100000000004</x:v>
      </x:c>
      <x:c r="W189" s="9" t="n">
        <x:f>IF(AA189="","",O189*$AD189/1000)</x:f>
        <x:v>0.044</x:v>
      </x:c>
      <x:c r="X189" s="9" t="n">
        <x:f>IF(AB189="","",P189*$AD189/1000)</x:f>
        <x:v>1.2152</x:v>
      </x:c>
      <x:c r="Y189" s="3" t="n">
        <x:v>32</x:v>
      </x:c>
      <x:c r="Z189" s="3" t="n">
        <x:v>79</x:v>
      </x:c>
      <x:c r="AA189" s="3" t="n">
        <x:v>141</x:v>
      </x:c>
      <x:c r="AB189" s="3" t="n">
        <x:v>255</x:v>
      </x:c>
      <x:c r="AC189" s="3" t="n">
        <x:v>4</x:v>
      </x:c>
      <x:c r="AD189" s="3" t="n">
        <x:f>'方案总览'!$B$5</x:f>
        <x:v>20</x:v>
      </x:c>
    </x:row>
    <x:row r="190" ht="24" customHeight="1">
      <x:c r="A190" s="3" t="str">
        <x:v>T185</x:v>
      </x:c>
      <x:c r="B190" s="3" t="str">
        <x:v>拟合</x:v>
      </x:c>
      <x:c r="C190" s="3" t="str">
        <x:v>C099</x:v>
      </x:c>
      <x:c r="D190" s="3" t="str"/>
      <x:c r="E190" s="3" t="str">
        <x:v>丁酸乙酯</x:v>
      </x:c>
      <x:c r="F190" s="3" t="str">
        <x:v>乙醛二乙缩醛</x:v>
      </x:c>
      <x:c r="G190" s="3" t="str">
        <x:v>乙酸丁酯</x:v>
      </x:c>
      <x:c r="H190" s="3" t="str">
        <x:v>异戊醛</x:v>
      </x:c>
      <x:c r="I190" s="3" t="str">
        <x:v>M</x:v>
      </x:c>
      <x:c r="J190" s="3" t="str">
        <x:v>M</x:v>
      </x:c>
      <x:c r="K190" s="3" t="str">
        <x:v>H</x:v>
      </x:c>
      <x:c r="L190" s="3" t="str">
        <x:v>L</x:v>
      </x:c>
      <x:c r="M190" s="9" t="n">
        <x:f>IF(Y190="","",INDEX('浓度设置'!$P$6:$R$46,MATCH(Y190,'浓度设置'!$A$6:$A$46,0),IF(I190="L",1,IF(I190="M",2,3))))</x:f>
        <x:v>2338.9306103431118</x:v>
      </x:c>
      <x:c r="N190" s="9" t="n">
        <x:f>IF(Z190="","",INDEX('浓度设置'!$P$6:$R$46,MATCH(Z190,'浓度设置'!$A$6:$A$46,0),IF(J190="L",1,IF(J190="M",2,3))))</x:f>
        <x:v>2745.3821227654266</x:v>
      </x:c>
      <x:c r="O190" s="9" t="n">
        <x:f>IF(AA190="","",INDEX('浓度设置'!$P$6:$R$46,MATCH(AA190,'浓度设置'!$A$6:$A$46,0),IF(K190="L",1,IF(K190="M",2,3))))</x:f>
        <x:v>47100</x:v>
      </x:c>
      <x:c r="P190" s="9" t="n">
        <x:f>IF(AB190="","",INDEX('浓度设置'!$P$6:$R$46,MATCH(AB190,'浓度设置'!$A$6:$A$46,0),IF(L190="L",1,IF(L190="M",2,3))))</x:f>
        <x:v>4.84</x:v>
      </x:c>
      <x:c r="Q190" s="9" t="n">
        <x:f>IF(Y190="","",M190/INDEX('浓度设置'!$M$6:$M$46,MATCH(Y190,'浓度设置'!$A$6:$A$46,0)))</x:f>
        <x:v>28.6985350962345</x:v>
      </x:c>
      <x:c r="R190" s="9" t="n">
        <x:f>IF(Z190="","",N190/INDEX('浓度设置'!$M$6:$M$46,MATCH(Z190,'浓度设置'!$A$6:$A$46,0)))</x:f>
        <x:v>1.3135799630456586</x:v>
      </x:c>
      <x:c r="S190" s="9" t="n">
        <x:f>IF(AA190="","",O190/INDEX('浓度设置'!$M$6:$M$46,MATCH(AA190,'浓度设置'!$A$6:$A$46,0)))</x:f>
        <x:v>26.166666666666668</x:v>
      </x:c>
      <x:c r="T190" s="9" t="n">
        <x:f>IF(AB190="","",P190/INDEX('浓度设置'!$M$6:$M$46,MATCH(AB190,'浓度设置'!$A$6:$A$46,0)))</x:f>
        <x:v>0.29333333333333333</x:v>
      </x:c>
      <x:c r="U190" s="9" t="n">
        <x:f>IF(Y190="","",M190*$AD190/1000)</x:f>
        <x:v>46.778612206862235</x:v>
      </x:c>
      <x:c r="V190" s="9" t="n">
        <x:f>IF(Z190="","",N190*$AD190/1000)</x:f>
        <x:v>54.90764245530853</x:v>
      </x:c>
      <x:c r="W190" s="9" t="n">
        <x:f>IF(AA190="","",O190*$AD190/1000)</x:f>
        <x:v>942</x:v>
      </x:c>
      <x:c r="X190" s="9" t="n">
        <x:f>IF(AB190="","",P190*$AD190/1000)</x:f>
        <x:v>0.0968</x:v>
      </x:c>
      <x:c r="Y190" s="3" t="n">
        <x:v>52</x:v>
      </x:c>
      <x:c r="Z190" s="3" t="n">
        <x:v>53</x:v>
      </x:c>
      <x:c r="AA190" s="3" t="n">
        <x:v>114</x:v>
      </x:c>
      <x:c r="AB190" s="3" t="n">
        <x:v>152</x:v>
      </x:c>
      <x:c r="AC190" s="3" t="n">
        <x:v>4</x:v>
      </x:c>
      <x:c r="AD190" s="3" t="n">
        <x:f>'方案总览'!$B$5</x:f>
        <x:v>20</x:v>
      </x:c>
    </x:row>
    <x:row r="191" ht="24" customHeight="1">
      <x:c r="A191" s="3" t="str">
        <x:v>T186</x:v>
      </x:c>
      <x:c r="B191" s="3" t="str">
        <x:v>拟合</x:v>
      </x:c>
      <x:c r="C191" s="3" t="str">
        <x:v>C100</x:v>
      </x:c>
      <x:c r="D191" s="3" t="str"/>
      <x:c r="E191" s="3" t="str">
        <x:v>1-丁醇</x:v>
      </x:c>
      <x:c r="F191" s="3" t="str">
        <x:v>苯乙酸乙酯</x:v>
      </x:c>
      <x:c r="G191" s="3" t="str">
        <x:v>异戊酸乙酯（3-甲基丁酸乙酯）</x:v>
      </x:c>
      <x:c r="H191" s="3" t="str">
        <x:v>乙酸异戊酯</x:v>
      </x:c>
      <x:c r="I191" s="3" t="str">
        <x:v>M</x:v>
      </x:c>
      <x:c r="J191" s="3" t="str">
        <x:v>L</x:v>
      </x:c>
      <x:c r="K191" s="3" t="str">
        <x:v>L</x:v>
      </x:c>
      <x:c r="L191" s="3" t="str">
        <x:v>H</x:v>
      </x:c>
      <x:c r="M191" s="9" t="n">
        <x:f>IF(Y191="","",INDEX('浓度设置'!$P$6:$R$46,MATCH(Y191,'浓度设置'!$A$6:$A$46,0),IF(I191="L",1,IF(I191="M",2,3))))</x:f>
        <x:v>4198.825192836682</x:v>
      </x:c>
      <x:c r="N191" s="9" t="n">
        <x:f>IF(Z191="","",INDEX('浓度设置'!$P$6:$R$46,MATCH(Z191,'浓度设置'!$A$6:$A$46,0),IF(J191="L",1,IF(J191="M",2,3))))</x:f>
        <x:v>1.875</x:v>
      </x:c>
      <x:c r="O191" s="9" t="n">
        <x:f>IF(AA191="","",INDEX('浓度设置'!$P$6:$R$46,MATCH(AA191,'浓度设置'!$A$6:$A$46,0),IF(K191="L",1,IF(K191="M",2,3))))</x:f>
        <x:v>0.83</x:v>
      </x:c>
      <x:c r="P191" s="9" t="n">
        <x:f>IF(AB191="","",INDEX('浓度设置'!$P$6:$R$46,MATCH(AB191,'浓度设置'!$A$6:$A$46,0),IF(L191="L",1,IF(L191="M",2,3))))</x:f>
        <x:v>6516</x:v>
      </x:c>
      <x:c r="Q191" s="9" t="n">
        <x:f>IF(Y191="","",M191/INDEX('浓度设置'!$M$6:$M$46,MATCH(Y191,'浓度设置'!$A$6:$A$46,0)))</x:f>
        <x:v>1.5363429172472307</x:v>
      </x:c>
      <x:c r="R191" s="9" t="n">
        <x:f>IF(Z191="","",N191/INDEX('浓度设置'!$M$6:$M$46,MATCH(Z191,'浓度设置'!$A$6:$A$46,0)))</x:f>
        <x:v>0.004606879606879607</x:v>
      </x:c>
      <x:c r="S191" s="9" t="n">
        <x:f>IF(AA191="","",O191/INDEX('浓度设置'!$M$6:$M$46,MATCH(AA191,'浓度设置'!$A$6:$A$46,0)))</x:f>
        <x:v>0.1204644412191582</x:v>
      </x:c>
      <x:c r="T191" s="9" t="n">
        <x:f>IF(AB191="","",P191/INDEX('浓度设置'!$M$6:$M$46,MATCH(AB191,'浓度设置'!$A$6:$A$46,0)))</x:f>
        <x:v>69.39297124600638</x:v>
      </x:c>
      <x:c r="U191" s="9" t="n">
        <x:f>IF(Y191="","",M191*$AD191/1000)</x:f>
        <x:v>83.97650385673363</x:v>
      </x:c>
      <x:c r="V191" s="9" t="n">
        <x:f>IF(Z191="","",N191*$AD191/1000)</x:f>
        <x:v>0.0375</x:v>
      </x:c>
      <x:c r="W191" s="9" t="n">
        <x:f>IF(AA191="","",O191*$AD191/1000)</x:f>
        <x:v>0.016599999999999997</x:v>
      </x:c>
      <x:c r="X191" s="9" t="n">
        <x:f>IF(AB191="","",P191*$AD191/1000)</x:f>
        <x:v>130.32</x:v>
      </x:c>
      <x:c r="Y191" s="3" t="n">
        <x:v>11</x:v>
      </x:c>
      <x:c r="Z191" s="3" t="n">
        <x:v>40</x:v>
      </x:c>
      <x:c r="AA191" s="3" t="n">
        <x:v>69</x:v>
      </x:c>
      <x:c r="AB191" s="3" t="n">
        <x:v>115</x:v>
      </x:c>
      <x:c r="AC191" s="3" t="n">
        <x:v>4</x:v>
      </x:c>
      <x:c r="AD191" s="3" t="n">
        <x:f>'方案总览'!$B$5</x:f>
        <x:v>20</x:v>
      </x:c>
    </x:row>
    <x:row r="192" ht="24" customHeight="1">
      <x:c r="A192" s="3" t="str">
        <x:v>T187</x:v>
      </x:c>
      <x:c r="B192" s="3" t="str">
        <x:v>拟合</x:v>
      </x:c>
      <x:c r="C192" s="3" t="str">
        <x:v>C101</x:v>
      </x:c>
      <x:c r="D192" s="3" t="str"/>
      <x:c r="E192" s="3" t="str">
        <x:v>1-辛醇</x:v>
      </x:c>
      <x:c r="F192" s="3" t="str">
        <x:v>辛酸</x:v>
      </x:c>
      <x:c r="G192" s="3" t="str">
        <x:v>己酸丁酯</x:v>
      </x:c>
      <x:c r="H192" s="3" t="str">
        <x:v>1-辛烯-3-醇</x:v>
      </x:c>
      <x:c r="I192" s="3" t="str">
        <x:v>H</x:v>
      </x:c>
      <x:c r="J192" s="3" t="str">
        <x:v>M</x:v>
      </x:c>
      <x:c r="K192" s="3" t="str">
        <x:v>H</x:v>
      </x:c>
      <x:c r="L192" s="3" t="str">
        <x:v>L</x:v>
      </x:c>
      <x:c r="M192" s="9" t="n">
        <x:f>IF(Y192="","",INDEX('浓度设置'!$P$6:$R$46,MATCH(Y192,'浓度设置'!$A$6:$A$46,0),IF(I192="L",1,IF(I192="M",2,3))))</x:f>
        <x:v>25642.45</x:v>
      </x:c>
      <x:c r="N192" s="9" t="n">
        <x:f>IF(Z192="","",INDEX('浓度设置'!$P$6:$R$46,MATCH(Z192,'浓度设置'!$A$6:$A$46,0),IF(J192="L",1,IF(J192="M",2,3))))</x:f>
        <x:v>274.54883445390914</x:v>
      </x:c>
      <x:c r="O192" s="9" t="n">
        <x:f>IF(AA192="","",INDEX('浓度设置'!$P$6:$R$46,MATCH(AA192,'浓度设置'!$A$6:$A$46,0),IF(K192="L",1,IF(K192="M",2,3))))</x:f>
        <x:v>86300</x:v>
      </x:c>
      <x:c r="P192" s="9" t="n">
        <x:f>IF(AB192="","",INDEX('浓度设置'!$P$6:$R$46,MATCH(AB192,'浓度设置'!$A$6:$A$46,0),IF(L192="L",1,IF(L192="M",2,3))))</x:f>
        <x:v>1</x:v>
      </x:c>
      <x:c r="Q192" s="9" t="n">
        <x:f>IF(Y192="","",M192/INDEX('浓度设置'!$M$6:$M$46,MATCH(Y192,'浓度设置'!$A$6:$A$46,0)))</x:f>
        <x:v>23.311318181818184</x:v>
      </x:c>
      <x:c r="R192" s="9" t="n">
        <x:f>IF(Z192="","",N192/INDEX('浓度设置'!$M$6:$M$46,MATCH(Z192,'浓度设置'!$A$6:$A$46,0)))</x:f>
        <x:v>0.10168475350144783</x:v>
      </x:c>
      <x:c r="S192" s="9" t="n">
        <x:f>IF(AA192="","",O192/INDEX('浓度设置'!$M$6:$M$46,MATCH(AA192,'浓度设置'!$A$6:$A$46,0)))</x:f>
        <x:v>127.31618080963058</x:v>
      </x:c>
      <x:c r="T192" s="9" t="n">
        <x:f>IF(AB192="","",P192/INDEX('浓度设置'!$M$6:$M$46,MATCH(AB192,'浓度设置'!$A$6:$A$46,0)))</x:f>
        <x:v>0.16339869281045752</x:v>
      </x:c>
      <x:c r="U192" s="9" t="n">
        <x:f>IF(Y192="","",M192*$AD192/1000)</x:f>
        <x:v>512.849</x:v>
      </x:c>
      <x:c r="V192" s="9" t="n">
        <x:f>IF(Z192="","",N192*$AD192/1000)</x:f>
        <x:v>5.490976689078183</x:v>
      </x:c>
      <x:c r="W192" s="9" t="n">
        <x:f>IF(AA192="","",O192*$AD192/1000)</x:f>
        <x:v>1726</x:v>
      </x:c>
      <x:c r="X192" s="9" t="n">
        <x:f>IF(AB192="","",P192*$AD192/1000)</x:f>
        <x:v>0.02</x:v>
      </x:c>
      <x:c r="Y192" s="3" t="n">
        <x:v>90</x:v>
      </x:c>
      <x:c r="Z192" s="3" t="n">
        <x:v>117</x:v>
      </x:c>
      <x:c r="AA192" s="3" t="n">
        <x:v>165</x:v>
      </x:c>
      <x:c r="AB192" s="3" t="n">
        <x:v>207</x:v>
      </x:c>
      <x:c r="AC192" s="3" t="n">
        <x:v>4</x:v>
      </x:c>
      <x:c r="AD192" s="3" t="n">
        <x:f>'方案总览'!$B$5</x:f>
        <x:v>20</x:v>
      </x:c>
    </x:row>
    <x:row r="193" ht="24" customHeight="1">
      <x:c r="A193" s="3" t="str">
        <x:v>T188</x:v>
      </x:c>
      <x:c r="B193" s="3" t="str">
        <x:v>拟合</x:v>
      </x:c>
      <x:c r="C193" s="3" t="str">
        <x:v>C102</x:v>
      </x:c>
      <x:c r="D193" s="3" t="str"/>
      <x:c r="E193" s="3" t="str">
        <x:v>异丁酸乙酯</x:v>
      </x:c>
      <x:c r="F193" s="3" t="str">
        <x:v>丁酸异戊酯</x:v>
      </x:c>
      <x:c r="G193" s="3" t="str">
        <x:v>对甲酚</x:v>
      </x:c>
      <x:c r="H193" s="3" t="str">
        <x:v>3-苯基丙酸乙酯</x:v>
      </x:c>
      <x:c r="I193" s="3" t="str">
        <x:v>H</x:v>
      </x:c>
      <x:c r="J193" s="3" t="str">
        <x:v>M</x:v>
      </x:c>
      <x:c r="K193" s="3" t="str">
        <x:v>M</x:v>
      </x:c>
      <x:c r="L193" s="3" t="str">
        <x:v>M</x:v>
      </x:c>
      <x:c r="M193" s="9" t="n">
        <x:f>IF(Y193="","",INDEX('浓度设置'!$P$6:$R$46,MATCH(Y193,'浓度设置'!$A$6:$A$46,0),IF(I193="L",1,IF(I193="M",2,3))))</x:f>
        <x:v>37489</x:v>
      </x:c>
      <x:c r="N193" s="9" t="n">
        <x:f>IF(Z193="","",INDEX('浓度设置'!$P$6:$R$46,MATCH(Z193,'浓度设置'!$A$6:$A$46,0),IF(J193="L",1,IF(J193="M",2,3))))</x:f>
        <x:v>1041.8500000000001</x:v>
      </x:c>
      <x:c r="O193" s="9" t="n">
        <x:f>IF(AA193="","",INDEX('浓度设置'!$P$6:$R$46,MATCH(AA193,'浓度设置'!$A$6:$A$46,0),IF(K193="L",1,IF(K193="M",2,3))))</x:f>
        <x:v>59.381310191002015</x:v>
      </x:c>
      <x:c r="P193" s="9" t="n">
        <x:f>IF(AB193="","",INDEX('浓度设置'!$P$6:$R$46,MATCH(AB193,'浓度设置'!$A$6:$A$46,0),IF(L193="L",1,IF(L193="M",2,3))))</x:f>
        <x:v>4262.731518639193</x:v>
      </x:c>
      <x:c r="Q193" s="9" t="n">
        <x:f>IF(Y193="","",M193/INDEX('浓度设置'!$M$6:$M$46,MATCH(Y193,'浓度设置'!$A$6:$A$46,0)))</x:f>
        <x:v>651.9826086956522</x:v>
      </x:c>
      <x:c r="R193" s="9" t="n">
        <x:f>IF(Z193="","",N193/INDEX('浓度设置'!$M$6:$M$46,MATCH(Z193,'浓度设置'!$A$6:$A$46,0)))</x:f>
        <x:v>1.1386338797814208</x:v>
      </x:c>
      <x:c r="S193" s="9" t="n">
        <x:f>IF(AA193="","",O193/INDEX('浓度设置'!$M$6:$M$46,MATCH(AA193,'浓度设置'!$A$6:$A$46,0)))</x:f>
        <x:v>0.355576707730551</x:v>
      </x:c>
      <x:c r="T193" s="9" t="n">
        <x:f>IF(AB193="","",P193/INDEX('浓度设置'!$M$6:$M$46,MATCH(AB193,'浓度设置'!$A$6:$A$46,0)))</x:f>
        <x:v>34.10185214911355</x:v>
      </x:c>
      <x:c r="U193" s="9" t="n">
        <x:f>IF(Y193="","",M193*$AD193/1000)</x:f>
        <x:v>749.78</x:v>
      </x:c>
      <x:c r="V193" s="9" t="n">
        <x:f>IF(Z193="","",N193*$AD193/1000)</x:f>
        <x:v>20.837000000000003</x:v>
      </x:c>
      <x:c r="W193" s="9" t="n">
        <x:f>IF(AA193="","",O193*$AD193/1000)</x:f>
        <x:v>1.1876262038200402</x:v>
      </x:c>
      <x:c r="X193" s="9" t="n">
        <x:f>IF(AB193="","",P193*$AD193/1000)</x:f>
        <x:v>85.25463037278386</x:v>
      </x:c>
      <x:c r="Y193" s="3" t="n">
        <x:v>32</x:v>
      </x:c>
      <x:c r="Z193" s="3" t="n">
        <x:v>56</x:v>
      </x:c>
      <x:c r="AA193" s="3" t="n">
        <x:v>61</x:v>
      </x:c>
      <x:c r="AB193" s="3" t="n">
        <x:v>186</x:v>
      </x:c>
      <x:c r="AC193" s="3" t="n">
        <x:v>4</x:v>
      </x:c>
      <x:c r="AD193" s="3" t="n">
        <x:f>'方案总览'!$B$5</x:f>
        <x:v>20</x:v>
      </x:c>
    </x:row>
    <x:row r="194" ht="24" customHeight="1">
      <x:c r="A194" s="3" t="str">
        <x:v>T189</x:v>
      </x:c>
      <x:c r="B194" s="3" t="str">
        <x:v>拟合</x:v>
      </x:c>
      <x:c r="C194" s="3" t="str">
        <x:v>C103</x:v>
      </x:c>
      <x:c r="D194" s="3" t="str"/>
      <x:c r="E194" s="3" t="str">
        <x:v>己醛</x:v>
      </x:c>
      <x:c r="F194" s="3" t="str">
        <x:v>2-甲基丙醛</x:v>
      </x:c>
      <x:c r="G194" s="3" t="str">
        <x:v>乙酸丁酯</x:v>
      </x:c>
      <x:c r="H194" s="3" t="str">
        <x:v>二甲基三硫醚</x:v>
      </x:c>
      <x:c r="I194" s="3" t="str">
        <x:v>M</x:v>
      </x:c>
      <x:c r="J194" s="3" t="str">
        <x:v>H</x:v>
      </x:c>
      <x:c r="K194" s="3" t="str">
        <x:v>H</x:v>
      </x:c>
      <x:c r="L194" s="3" t="str">
        <x:v>L</x:v>
      </x:c>
      <x:c r="M194" s="9" t="n">
        <x:f>IF(Y194="","",INDEX('浓度设置'!$P$6:$R$46,MATCH(Y194,'浓度设置'!$A$6:$A$46,0),IF(I194="L",1,IF(I194="M",2,3))))</x:f>
        <x:v>729.4776350238574</x:v>
      </x:c>
      <x:c r="N194" s="9" t="n">
        <x:f>IF(Z194="","",INDEX('浓度设置'!$P$6:$R$46,MATCH(Z194,'浓度设置'!$A$6:$A$46,0),IF(J194="L",1,IF(J194="M",2,3))))</x:f>
        <x:v>35900</x:v>
      </x:c>
      <x:c r="O194" s="9" t="n">
        <x:f>IF(AA194="","",INDEX('浓度设置'!$P$6:$R$46,MATCH(AA194,'浓度设置'!$A$6:$A$46,0),IF(K194="L",1,IF(K194="M",2,3))))</x:f>
        <x:v>47100</x:v>
      </x:c>
      <x:c r="P194" s="9" t="n">
        <x:f>IF(AB194="","",INDEX('浓度设置'!$P$6:$R$46,MATCH(AB194,'浓度设置'!$A$6:$A$46,0),IF(L194="L",1,IF(L194="M",2,3))))</x:f>
        <x:v>0.28</x:v>
      </x:c>
      <x:c r="Q194" s="9" t="n">
        <x:f>IF(Y194="","",M194/INDEX('浓度设置'!$M$6:$M$46,MATCH(Y194,'浓度设置'!$A$6:$A$46,0)))</x:f>
        <x:v>28.606966079366956</x:v>
      </x:c>
      <x:c r="R194" s="9" t="n">
        <x:f>IF(Z194="","",N194/INDEX('浓度设置'!$M$6:$M$46,MATCH(Z194,'浓度设置'!$A$6:$A$46,0)))</x:f>
        <x:v>6084.745762711864</x:v>
      </x:c>
      <x:c r="S194" s="9" t="n">
        <x:f>IF(AA194="","",O194/INDEX('浓度设置'!$M$6:$M$46,MATCH(AA194,'浓度设置'!$A$6:$A$46,0)))</x:f>
        <x:v>26.166666666666668</x:v>
      </x:c>
      <x:c r="T194" s="9" t="n">
        <x:f>IF(AB194="","",P194/INDEX('浓度设置'!$M$6:$M$46,MATCH(AB194,'浓度设置'!$A$6:$A$46,0)))</x:f>
        <x:v>0.7777777777777779</x:v>
      </x:c>
      <x:c r="U194" s="9" t="n">
        <x:f>IF(Y194="","",M194*$AD194/1000)</x:f>
        <x:v>14.589552700477146</x:v>
      </x:c>
      <x:c r="V194" s="9" t="n">
        <x:f>IF(Z194="","",N194*$AD194/1000)</x:f>
        <x:v>718</x:v>
      </x:c>
      <x:c r="W194" s="9" t="n">
        <x:f>IF(AA194="","",O194*$AD194/1000)</x:f>
        <x:v>942</x:v>
      </x:c>
      <x:c r="X194" s="9" t="n">
        <x:f>IF(AB194="","",P194*$AD194/1000)</x:f>
        <x:v>0.005600000000000001</x:v>
      </x:c>
      <x:c r="Y194" s="3" t="n">
        <x:v>7</x:v>
      </x:c>
      <x:c r="Z194" s="3" t="n">
        <x:v>18</x:v>
      </x:c>
      <x:c r="AA194" s="3" t="n">
        <x:v>114</x:v>
      </x:c>
      <x:c r="AB194" s="3" t="n">
        <x:v>209</x:v>
      </x:c>
      <x:c r="AC194" s="3" t="n">
        <x:v>4</x:v>
      </x:c>
      <x:c r="AD194" s="3" t="n">
        <x:f>'方案总览'!$B$5</x:f>
        <x:v>20</x:v>
      </x:c>
    </x:row>
    <x:row r="195" ht="24" customHeight="1">
      <x:c r="A195" s="3" t="str">
        <x:v>T190</x:v>
      </x:c>
      <x:c r="B195" s="3" t="str">
        <x:v>拟合</x:v>
      </x:c>
      <x:c r="C195" s="3" t="str">
        <x:v>C104</x:v>
      </x:c>
      <x:c r="D195" s="3" t="str"/>
      <x:c r="E195" s="3" t="str">
        <x:v>戊酸</x:v>
      </x:c>
      <x:c r="F195" s="3" t="str">
        <x:v>己酸乙酯</x:v>
      </x:c>
      <x:c r="G195" s="3" t="str">
        <x:v>异戊酸/3-甲基丁酸</x:v>
      </x:c>
      <x:c r="H195" s="3" t="str">
        <x:v>己酸己酯</x:v>
      </x:c>
      <x:c r="I195" s="3" t="str">
        <x:v>M</x:v>
      </x:c>
      <x:c r="J195" s="3" t="str">
        <x:v>M</x:v>
      </x:c>
      <x:c r="K195" s="3" t="str">
        <x:v>L</x:v>
      </x:c>
      <x:c r="L195" s="3" t="str">
        <x:v>L</x:v>
      </x:c>
      <x:c r="M195" s="9" t="n">
        <x:f>IF(Y195="","",INDEX('浓度设置'!$P$6:$R$46,MATCH(Y195,'浓度设置'!$A$6:$A$46,0),IF(I195="L",1,IF(I195="M",2,3))))</x:f>
        <x:v>331.2476415010377</x:v>
      </x:c>
      <x:c r="N195" s="9" t="n">
        <x:f>IF(Z195="","",INDEX('浓度设置'!$P$6:$R$46,MATCH(Z195,'浓度设置'!$A$6:$A$46,0),IF(J195="L",1,IF(J195="M",2,3))))</x:f>
        <x:v>89562.18016998023</x:v>
      </x:c>
      <x:c r="O195" s="9" t="n">
        <x:f>IF(AA195="","",INDEX('浓度设置'!$P$6:$R$46,MATCH(AA195,'浓度设置'!$A$6:$A$46,0),IF(K195="L",1,IF(K195="M",2,3))))</x:f>
        <x:v>1.1875</x:v>
      </x:c>
      <x:c r="P195" s="9" t="n">
        <x:f>IF(AB195="","",INDEX('浓度设置'!$P$6:$R$46,MATCH(AB195,'浓度设置'!$A$6:$A$46,0),IF(L195="L",1,IF(L195="M",2,3))))</x:f>
        <x:v>2.5</x:v>
      </x:c>
      <x:c r="Q195" s="9" t="n">
        <x:f>IF(Y195="","",M195/INDEX('浓度设置'!$M$6:$M$46,MATCH(Y195,'浓度设置'!$A$6:$A$46,0)))</x:f>
        <x:v>0.8515363534731046</x:v>
      </x:c>
      <x:c r="R195" s="9" t="n">
        <x:f>IF(Z195="","",N195/INDEX('浓度设置'!$M$6:$M$46,MATCH(Z195,'浓度设置'!$A$6:$A$46,0)))</x:f>
        <x:v>1619.5692616632955</x:v>
      </x:c>
      <x:c r="S195" s="9" t="n">
        <x:f>IF(AA195="","",O195/INDEX('浓度设置'!$M$6:$M$46,MATCH(AA195,'浓度设置'!$A$6:$A$46,0)))</x:f>
        <x:v>0.001130952380952381</x:v>
      </x:c>
      <x:c r="T195" s="9" t="n">
        <x:f>IF(AB195="","",P195/INDEX('浓度设置'!$M$6:$M$46,MATCH(AB195,'浓度设置'!$A$6:$A$46,0)))</x:f>
        <x:v>0.0013220518244315177</x:v>
      </x:c>
      <x:c r="U195" s="9" t="n">
        <x:f>IF(Y195="","",M195*$AD195/1000)</x:f>
        <x:v>6.624952830020755</x:v>
      </x:c>
      <x:c r="V195" s="9" t="n">
        <x:f>IF(Z195="","",N195*$AD195/1000)</x:f>
        <x:v>1791.2436033996046</x:v>
      </x:c>
      <x:c r="W195" s="9" t="n">
        <x:f>IF(AA195="","",O195*$AD195/1000)</x:f>
        <x:v>0.02375</x:v>
      </x:c>
      <x:c r="X195" s="9" t="n">
        <x:f>IF(AB195="","",P195*$AD195/1000)</x:f>
        <x:v>0.05</x:v>
      </x:c>
      <x:c r="Y195" s="3" t="n">
        <x:v>75</x:v>
      </x:c>
      <x:c r="Z195" s="3" t="n">
        <x:v>111</x:v>
      </x:c>
      <x:c r="AA195" s="3" t="n">
        <x:v>136</x:v>
      </x:c>
      <x:c r="AB195" s="3" t="n">
        <x:v>227</x:v>
      </x:c>
      <x:c r="AC195" s="3" t="n">
        <x:v>4</x:v>
      </x:c>
      <x:c r="AD195" s="3" t="n">
        <x:f>'方案总览'!$B$5</x:f>
        <x:v>20</x:v>
      </x:c>
    </x:row>
    <x:row r="196" ht="24" customHeight="1">
      <x:c r="A196" s="3" t="str">
        <x:v>T191</x:v>
      </x:c>
      <x:c r="B196" s="3" t="str">
        <x:v>拟合</x:v>
      </x:c>
      <x:c r="C196" s="3" t="str">
        <x:v>C105</x:v>
      </x:c>
      <x:c r="D196" s="3" t="str"/>
      <x:c r="E196" s="3" t="str">
        <x:v>苯乙酸乙酯</x:v>
      </x:c>
      <x:c r="F196" s="3" t="str">
        <x:v>苯乙醛</x:v>
      </x:c>
      <x:c r="G196" s="3" t="str">
        <x:v>己酸</x:v>
      </x:c>
      <x:c r="H196" s="3" t="str">
        <x:v>2-甲基丁酸乙酯</x:v>
      </x:c>
      <x:c r="I196" s="3" t="str">
        <x:v>M</x:v>
      </x:c>
      <x:c r="J196" s="3" t="str">
        <x:v>M</x:v>
      </x:c>
      <x:c r="K196" s="3" t="str">
        <x:v>H</x:v>
      </x:c>
      <x:c r="L196" s="3" t="str">
        <x:v>H</x:v>
      </x:c>
      <x:c r="M196" s="9" t="n">
        <x:f>IF(Y196="","",INDEX('浓度设置'!$P$6:$R$46,MATCH(Y196,'浓度设置'!$A$6:$A$46,0),IF(I196="L",1,IF(I196="M",2,3))))</x:f>
        <x:v>200.3122562401013</x:v>
      </x:c>
      <x:c r="N196" s="9" t="n">
        <x:f>IF(Z196="","",INDEX('浓度设置'!$P$6:$R$46,MATCH(Z196,'浓度设置'!$A$6:$A$46,0),IF(J196="L",1,IF(J196="M",2,3))))</x:f>
        <x:v>28.044607324760317</x:v>
      </x:c>
      <x:c r="O196" s="9" t="n">
        <x:f>IF(AA196="","",INDEX('浓度设置'!$P$6:$R$46,MATCH(AA196,'浓度设置'!$A$6:$A$46,0),IF(K196="L",1,IF(K196="M",2,3))))</x:f>
        <x:v>1551340.76</x:v>
      </x:c>
      <x:c r="P196" s="9" t="n">
        <x:f>IF(AB196="","",INDEX('浓度设置'!$P$6:$R$46,MATCH(AB196,'浓度设置'!$A$6:$A$46,0),IF(L196="L",1,IF(L196="M",2,3))))</x:f>
        <x:v>1611</x:v>
      </x:c>
      <x:c r="Q196" s="9" t="n">
        <x:f>IF(Y196="","",M196/INDEX('浓度设置'!$M$6:$M$46,MATCH(Y196,'浓度设置'!$A$6:$A$46,0)))</x:f>
        <x:v>0.49216770574963464</x:v>
      </x:c>
      <x:c r="R196" s="9" t="n">
        <x:f>IF(Z196="","",N196/INDEX('浓度设置'!$M$6:$M$46,MATCH(Z196,'浓度设置'!$A$6:$A$46,0)))</x:f>
        <x:v>0.10704048597236762</x:v>
      </x:c>
      <x:c r="S196" s="9" t="n">
        <x:f>IF(AA196="","",O196/INDEX('浓度设置'!$M$6:$M$46,MATCH(AA196,'浓度设置'!$A$6:$A$46,0)))</x:f>
        <x:v>615.6114126984127</x:v>
      </x:c>
      <x:c r="T196" s="9" t="n">
        <x:f>IF(AB196="","",P196/INDEX('浓度设置'!$M$6:$M$46,MATCH(AB196,'浓度设置'!$A$6:$A$46,0)))</x:f>
        <x:v>89.5</x:v>
      </x:c>
      <x:c r="U196" s="9" t="n">
        <x:f>IF(Y196="","",M196*$AD196/1000)</x:f>
        <x:v>4.006245124802026</x:v>
      </x:c>
      <x:c r="V196" s="9" t="n">
        <x:f>IF(Z196="","",N196*$AD196/1000)</x:f>
        <x:v>0.5608921464952064</x:v>
      </x:c>
      <x:c r="W196" s="9" t="n">
        <x:f>IF(AA196="","",O196*$AD196/1000)</x:f>
        <x:v>31026.8152</x:v>
      </x:c>
      <x:c r="X196" s="9" t="n">
        <x:f>IF(AB196="","",P196*$AD196/1000)</x:f>
        <x:v>32.22</x:v>
      </x:c>
      <x:c r="Y196" s="3" t="n">
        <x:v>40</x:v>
      </x:c>
      <x:c r="Z196" s="3" t="n">
        <x:v>105</x:v>
      </x:c>
      <x:c r="AA196" s="3" t="n">
        <x:v>126</x:v>
      </x:c>
      <x:c r="AB196" s="3" t="n">
        <x:v>232</x:v>
      </x:c>
      <x:c r="AC196" s="3" t="n">
        <x:v>4</x:v>
      </x:c>
      <x:c r="AD196" s="3" t="n">
        <x:f>'方案总览'!$B$5</x:f>
        <x:v>20</x:v>
      </x:c>
    </x:row>
    <x:row r="197" ht="24" customHeight="1">
      <x:c r="A197" s="3" t="str">
        <x:v>T192</x:v>
      </x:c>
      <x:c r="B197" s="3" t="str">
        <x:v>拟合</x:v>
      </x:c>
      <x:c r="C197" s="3" t="str">
        <x:v>C106</x:v>
      </x:c>
      <x:c r="D197" s="3" t="str"/>
      <x:c r="E197" s="3" t="str">
        <x:v>1-丁醇</x:v>
      </x:c>
      <x:c r="F197" s="3" t="str">
        <x:v>丁酸乙酯</x:v>
      </x:c>
      <x:c r="G197" s="3" t="str">
        <x:v>戊酸乙酯</x:v>
      </x:c>
      <x:c r="H197" s="3" t="str">
        <x:v>3-苯基丙酸乙酯</x:v>
      </x:c>
      <x:c r="I197" s="3" t="str">
        <x:v>H</x:v>
      </x:c>
      <x:c r="J197" s="3" t="str">
        <x:v>H</x:v>
      </x:c>
      <x:c r="K197" s="3" t="str">
        <x:v>M</x:v>
      </x:c>
      <x:c r="L197" s="3" t="str">
        <x:v>L</x:v>
      </x:c>
      <x:c r="M197" s="9" t="n">
        <x:f>IF(Y197="","",INDEX('浓度设置'!$P$6:$R$46,MATCH(Y197,'浓度设置'!$A$6:$A$46,0),IF(I197="L",1,IF(I197="M",2,3))))</x:f>
        <x:v>1038900</x:v>
      </x:c>
      <x:c r="N197" s="9" t="n">
        <x:f>IF(Z197="","",INDEX('浓度设置'!$P$6:$R$46,MATCH(Z197,'浓度设置'!$A$6:$A$46,0),IF(J197="L",1,IF(J197="M",2,3))))</x:f>
        <x:v>1290235</x:v>
      </x:c>
      <x:c r="O197" s="9" t="n">
        <x:f>IF(AA197="","",INDEX('浓度设置'!$P$6:$R$46,MATCH(AA197,'浓度设置'!$A$6:$A$46,0),IF(K197="L",1,IF(K197="M",2,3))))</x:f>
        <x:v>1512.497272724814</x:v>
      </x:c>
      <x:c r="P197" s="9" t="n">
        <x:f>IF(AB197="","",INDEX('浓度设置'!$P$6:$R$46,MATCH(AB197,'浓度设置'!$A$6:$A$46,0),IF(L197="L",1,IF(L197="M",2,3))))</x:f>
        <x:v>1.56</x:v>
      </x:c>
      <x:c r="Q197" s="9" t="n">
        <x:f>IF(Y197="","",M197/INDEX('浓度设置'!$M$6:$M$46,MATCH(Y197,'浓度设置'!$A$6:$A$46,0)))</x:f>
        <x:v>380.1317233809001</x:v>
      </x:c>
      <x:c r="R197" s="9" t="n">
        <x:f>IF(Z197="","",N197/INDEX('浓度设置'!$M$6:$M$46,MATCH(Z197,'浓度设置'!$A$6:$A$46,0)))</x:f>
        <x:v>15831.104294478528</x:v>
      </x:c>
      <x:c r="S197" s="9" t="n">
        <x:f>IF(AA197="","",O197/INDEX('浓度设置'!$M$6:$M$46,MATCH(AA197,'浓度设置'!$A$6:$A$46,0)))</x:f>
        <x:v>56.43646540017962</x:v>
      </x:c>
      <x:c r="T197" s="9" t="n">
        <x:f>IF(AB197="","",P197/INDEX('浓度设置'!$M$6:$M$46,MATCH(AB197,'浓度设置'!$A$6:$A$46,0)))</x:f>
        <x:v>0.01248</x:v>
      </x:c>
      <x:c r="U197" s="9" t="n">
        <x:f>IF(Y197="","",M197*$AD197/1000)</x:f>
        <x:v>20778</x:v>
      </x:c>
      <x:c r="V197" s="9" t="n">
        <x:f>IF(Z197="","",N197*$AD197/1000)</x:f>
        <x:v>25804.7</x:v>
      </x:c>
      <x:c r="W197" s="9" t="n">
        <x:f>IF(AA197="","",O197*$AD197/1000)</x:f>
        <x:v>30.249945454496277</x:v>
      </x:c>
      <x:c r="X197" s="9" t="n">
        <x:f>IF(AB197="","",P197*$AD197/1000)</x:f>
        <x:v>0.031200000000000002</x:v>
      </x:c>
      <x:c r="Y197" s="3" t="n">
        <x:v>11</x:v>
      </x:c>
      <x:c r="Z197" s="3" t="n">
        <x:v>52</x:v>
      </x:c>
      <x:c r="AA197" s="3" t="n">
        <x:v>141</x:v>
      </x:c>
      <x:c r="AB197" s="3" t="n">
        <x:v>186</x:v>
      </x:c>
      <x:c r="AC197" s="3" t="n">
        <x:v>4</x:v>
      </x:c>
      <x:c r="AD197" s="3" t="n">
        <x:f>'方案总览'!$B$5</x:f>
        <x:v>20</x:v>
      </x:c>
    </x:row>
    <x:row r="198" ht="24" customHeight="1">
      <x:c r="A198" s="3" t="str">
        <x:v>T193</x:v>
      </x:c>
      <x:c r="B198" s="3" t="str">
        <x:v>拟合</x:v>
      </x:c>
      <x:c r="C198" s="3" t="str">
        <x:v>C107</x:v>
      </x:c>
      <x:c r="D198" s="3" t="str"/>
      <x:c r="E198" s="3" t="str">
        <x:v>辛酸乙酯</x:v>
      </x:c>
      <x:c r="F198" s="3" t="str">
        <x:v>己酸</x:v>
      </x:c>
      <x:c r="G198" s="3" t="str">
        <x:v>戊酸乙酯</x:v>
      </x:c>
      <x:c r="H198" s="3" t="str">
        <x:v>二甲基三硫醚</x:v>
      </x:c>
      <x:c r="I198" s="3" t="str">
        <x:v>M</x:v>
      </x:c>
      <x:c r="J198" s="3" t="str">
        <x:v>L</x:v>
      </x:c>
      <x:c r="K198" s="3" t="str">
        <x:v>H</x:v>
      </x:c>
      <x:c r="L198" s="3" t="str">
        <x:v>M</x:v>
      </x:c>
      <x:c r="M198" s="9" t="n">
        <x:f>IF(Y198="","",INDEX('浓度设置'!$P$6:$R$46,MATCH(Y198,'浓度设置'!$A$6:$A$46,0),IF(I198="L",1,IF(I198="M",2,3))))</x:f>
        <x:v>3072.731960324558</x:v>
      </x:c>
      <x:c r="N198" s="9" t="n">
        <x:f>IF(Z198="","",INDEX('浓度设置'!$P$6:$R$46,MATCH(Z198,'浓度设置'!$A$6:$A$46,0),IF(J198="L",1,IF(J198="M",2,3))))</x:f>
        <x:v>2.125</x:v>
      </x:c>
      <x:c r="O198" s="9" t="n">
        <x:f>IF(AA198="","",INDEX('浓度设置'!$P$6:$R$46,MATCH(AA198,'浓度设置'!$A$6:$A$46,0),IF(K198="L",1,IF(K198="M",2,3))))</x:f>
        <x:v>1039840</x:v>
      </x:c>
      <x:c r="P198" s="9" t="n">
        <x:f>IF(AB198="","",INDEX('浓度设置'!$P$6:$R$46,MATCH(AB198,'浓度设置'!$A$6:$A$46,0),IF(L198="L",1,IF(L198="M",2,3))))</x:f>
        <x:v>34.2987346705385</x:v>
      </x:c>
      <x:c r="Q198" s="9" t="n">
        <x:f>IF(Y198="","",M198/INDEX('浓度设置'!$M$6:$M$46,MATCH(Y198,'浓度设置'!$A$6:$A$46,0)))</x:f>
        <x:v>238.19627599415176</x:v>
      </x:c>
      <x:c r="R198" s="9" t="n">
        <x:f>IF(Z198="","",N198/INDEX('浓度设置'!$M$6:$M$46,MATCH(Z198,'浓度设置'!$A$6:$A$46,0)))</x:f>
        <x:v>0.0008432539682539683</x:v>
      </x:c>
      <x:c r="S198" s="9" t="n">
        <x:f>IF(AA198="","",O198/INDEX('浓度设置'!$M$6:$M$46,MATCH(AA198,'浓度设置'!$A$6:$A$46,0)))</x:f>
        <x:v>38800</x:v>
      </x:c>
      <x:c r="T198" s="9" t="n">
        <x:f>IF(AB198="","",P198/INDEX('浓度设置'!$M$6:$M$46,MATCH(AB198,'浓度设置'!$A$6:$A$46,0)))</x:f>
        <x:v>95.27426297371807</x:v>
      </x:c>
      <x:c r="U198" s="9" t="n">
        <x:f>IF(Y198="","",M198*$AD198/1000)</x:f>
        <x:v>61.45463920649116</x:v>
      </x:c>
      <x:c r="V198" s="9" t="n">
        <x:f>IF(Z198="","",N198*$AD198/1000)</x:f>
        <x:v>0.0425</x:v>
      </x:c>
      <x:c r="W198" s="9" t="n">
        <x:f>IF(AA198="","",O198*$AD198/1000)</x:f>
        <x:v>20796.8</x:v>
      </x:c>
      <x:c r="X198" s="9" t="n">
        <x:f>IF(AB198="","",P198*$AD198/1000)</x:f>
        <x:v>0.68597469341077</x:v>
      </x:c>
      <x:c r="Y198" s="3" t="n">
        <x:v>58</x:v>
      </x:c>
      <x:c r="Z198" s="3" t="n">
        <x:v>126</x:v>
      </x:c>
      <x:c r="AA198" s="3" t="n">
        <x:v>141</x:v>
      </x:c>
      <x:c r="AB198" s="3" t="n">
        <x:v>209</x:v>
      </x:c>
      <x:c r="AC198" s="3" t="n">
        <x:v>4</x:v>
      </x:c>
      <x:c r="AD198" s="3" t="n">
        <x:f>'方案总览'!$B$5</x:f>
        <x:v>20</x:v>
      </x:c>
    </x:row>
    <x:row r="199" ht="24" customHeight="1">
      <x:c r="A199" s="3" t="str">
        <x:v>T194</x:v>
      </x:c>
      <x:c r="B199" s="3" t="str">
        <x:v>拟合</x:v>
      </x:c>
      <x:c r="C199" s="3" t="str">
        <x:v>C108</x:v>
      </x:c>
      <x:c r="D199" s="3" t="str"/>
      <x:c r="E199" s="3" t="str">
        <x:v>异戊酸乙酯（3-甲基丁酸乙酯）</x:v>
      </x:c>
      <x:c r="F199" s="3" t="str">
        <x:v>癸酸乙酯</x:v>
      </x:c>
      <x:c r="G199" s="3" t="str">
        <x:v>1-辛烯-3-醇</x:v>
      </x:c>
      <x:c r="H199" s="3" t="str">
        <x:v>2-甲基丁酸乙酯</x:v>
      </x:c>
      <x:c r="I199" s="3" t="str">
        <x:v>L</x:v>
      </x:c>
      <x:c r="J199" s="3" t="str">
        <x:v>M</x:v>
      </x:c>
      <x:c r="K199" s="3" t="str">
        <x:v>H</x:v>
      </x:c>
      <x:c r="L199" s="3" t="str">
        <x:v>L</x:v>
      </x:c>
      <x:c r="M199" s="9" t="n">
        <x:f>IF(Y199="","",INDEX('浓度设置'!$P$6:$R$46,MATCH(Y199,'浓度设置'!$A$6:$A$46,0),IF(I199="L",1,IF(I199="M",2,3))))</x:f>
        <x:v>0.83</x:v>
      </x:c>
      <x:c r="N199" s="9" t="n">
        <x:f>IF(Z199="","",INDEX('浓度设置'!$P$6:$R$46,MATCH(Z199,'浓度设置'!$A$6:$A$46,0),IF(J199="L",1,IF(J199="M",2,3))))</x:f>
        <x:v>1288.255</x:v>
      </x:c>
      <x:c r="O199" s="9" t="n">
        <x:f>IF(AA199="","",INDEX('浓度设置'!$P$6:$R$46,MATCH(AA199,'浓度设置'!$A$6:$A$46,0),IF(K199="L",1,IF(K199="M",2,3))))</x:f>
        <x:v>271.45</x:v>
      </x:c>
      <x:c r="P199" s="9" t="n">
        <x:f>IF(AB199="","",INDEX('浓度设置'!$P$6:$R$46,MATCH(AB199,'浓度设置'!$A$6:$A$46,0),IF(L199="L",1,IF(L199="M",2,3))))</x:f>
        <x:v>0.97</x:v>
      </x:c>
      <x:c r="Q199" s="9" t="n">
        <x:f>IF(Y199="","",M199/INDEX('浓度设置'!$M$6:$M$46,MATCH(Y199,'浓度设置'!$A$6:$A$46,0)))</x:f>
        <x:v>0.1204644412191582</x:v>
      </x:c>
      <x:c r="R199" s="9" t="n">
        <x:f>IF(Z199="","",N199/INDEX('浓度设置'!$M$6:$M$46,MATCH(Z199,'浓度设置'!$A$6:$A$46,0)))</x:f>
        <x:v>1.1502276785714287</x:v>
      </x:c>
      <x:c r="S199" s="9" t="n">
        <x:f>IF(AA199="","",O199/INDEX('浓度设置'!$M$6:$M$46,MATCH(AA199,'浓度设置'!$A$6:$A$46,0)))</x:f>
        <x:v>44.35457516339869</x:v>
      </x:c>
      <x:c r="T199" s="9" t="n">
        <x:f>IF(AB199="","",P199/INDEX('浓度设置'!$M$6:$M$46,MATCH(AB199,'浓度设置'!$A$6:$A$46,0)))</x:f>
        <x:v>0.05388888888888889</x:v>
      </x:c>
      <x:c r="U199" s="9" t="n">
        <x:f>IF(Y199="","",M199*$AD199/1000)</x:f>
        <x:v>0.016599999999999997</x:v>
      </x:c>
      <x:c r="V199" s="9" t="n">
        <x:f>IF(Z199="","",N199*$AD199/1000)</x:f>
        <x:v>25.765100000000004</x:v>
      </x:c>
      <x:c r="W199" s="9" t="n">
        <x:f>IF(AA199="","",O199*$AD199/1000)</x:f>
        <x:v>5.429</x:v>
      </x:c>
      <x:c r="X199" s="9" t="n">
        <x:f>IF(AB199="","",P199*$AD199/1000)</x:f>
        <x:v>0.019399999999999997</x:v>
      </x:c>
      <x:c r="Y199" s="3" t="n">
        <x:v>69</x:v>
      </x:c>
      <x:c r="Z199" s="3" t="n">
        <x:v>79</x:v>
      </x:c>
      <x:c r="AA199" s="3" t="n">
        <x:v>207</x:v>
      </x:c>
      <x:c r="AB199" s="3" t="n">
        <x:v>232</x:v>
      </x:c>
      <x:c r="AC199" s="3" t="n">
        <x:v>4</x:v>
      </x:c>
      <x:c r="AD199" s="3" t="n">
        <x:f>'方案总览'!$B$5</x:f>
        <x:v>20</x:v>
      </x:c>
    </x:row>
    <x:row r="200" ht="24" customHeight="1">
      <x:c r="A200" s="3" t="str">
        <x:v>T195</x:v>
      </x:c>
      <x:c r="B200" s="3" t="str">
        <x:v>拟合</x:v>
      </x:c>
      <x:c r="C200" s="3" t="str">
        <x:v>C109</x:v>
      </x:c>
      <x:c r="D200" s="3" t="str"/>
      <x:c r="E200" s="3" t="str">
        <x:v>己醛</x:v>
      </x:c>
      <x:c r="F200" s="3" t="str">
        <x:v>苯乙醛</x:v>
      </x:c>
      <x:c r="G200" s="3" t="str">
        <x:v>辛酸</x:v>
      </x:c>
      <x:c r="H200" s="3" t="str">
        <x:v>β-大马酮</x:v>
      </x:c>
      <x:c r="I200" s="3" t="str">
        <x:v>M</x:v>
      </x:c>
      <x:c r="J200" s="3" t="str">
        <x:v>M</x:v>
      </x:c>
      <x:c r="K200" s="3" t="str">
        <x:v>M</x:v>
      </x:c>
      <x:c r="L200" s="3" t="str">
        <x:v>H</x:v>
      </x:c>
      <x:c r="M200" s="9" t="n">
        <x:f>IF(Y200="","",INDEX('浓度设置'!$P$6:$R$46,MATCH(Y200,'浓度设置'!$A$6:$A$46,0),IF(I200="L",1,IF(I200="M",2,3))))</x:f>
        <x:v>729.4776350238574</x:v>
      </x:c>
      <x:c r="N200" s="9" t="n">
        <x:f>IF(Z200="","",INDEX('浓度设置'!$P$6:$R$46,MATCH(Z200,'浓度设置'!$A$6:$A$46,0),IF(J200="L",1,IF(J200="M",2,3))))</x:f>
        <x:v>28.044607324760317</x:v>
      </x:c>
      <x:c r="O200" s="9" t="n">
        <x:f>IF(AA200="","",INDEX('浓度设置'!$P$6:$R$46,MATCH(AA200,'浓度设置'!$A$6:$A$46,0),IF(K200="L",1,IF(K200="M",2,3))))</x:f>
        <x:v>274.54883445390914</x:v>
      </x:c>
      <x:c r="P200" s="9" t="n">
        <x:f>IF(AB200="","",INDEX('浓度设置'!$P$6:$R$46,MATCH(AB200,'浓度设置'!$A$6:$A$46,0),IF(L200="L",1,IF(L200="M",2,3))))</x:f>
        <x:v>60.76</x:v>
      </x:c>
      <x:c r="Q200" s="9" t="n">
        <x:f>IF(Y200="","",M200/INDEX('浓度设置'!$M$6:$M$46,MATCH(Y200,'浓度设置'!$A$6:$A$46,0)))</x:f>
        <x:v>28.606966079366956</x:v>
      </x:c>
      <x:c r="R200" s="9" t="n">
        <x:f>IF(Z200="","",N200/INDEX('浓度设置'!$M$6:$M$46,MATCH(Z200,'浓度设置'!$A$6:$A$46,0)))</x:f>
        <x:v>0.10704048597236762</x:v>
      </x:c>
      <x:c r="S200" s="9" t="n">
        <x:f>IF(AA200="","",O200/INDEX('浓度设置'!$M$6:$M$46,MATCH(AA200,'浓度设置'!$A$6:$A$46,0)))</x:f>
        <x:v>0.10168475350144783</x:v>
      </x:c>
      <x:c r="T200" s="9" t="n">
        <x:f>IF(AB200="","",P200/INDEX('浓度设置'!$M$6:$M$46,MATCH(AB200,'浓度设置'!$A$6:$A$46,0)))</x:f>
        <x:v>506.3333333333333</x:v>
      </x:c>
      <x:c r="U200" s="9" t="n">
        <x:f>IF(Y200="","",M200*$AD200/1000)</x:f>
        <x:v>14.589552700477146</x:v>
      </x:c>
      <x:c r="V200" s="9" t="n">
        <x:f>IF(Z200="","",N200*$AD200/1000)</x:f>
        <x:v>0.5608921464952064</x:v>
      </x:c>
      <x:c r="W200" s="9" t="n">
        <x:f>IF(AA200="","",O200*$AD200/1000)</x:f>
        <x:v>5.490976689078183</x:v>
      </x:c>
      <x:c r="X200" s="9" t="n">
        <x:f>IF(AB200="","",P200*$AD200/1000)</x:f>
        <x:v>1.2152</x:v>
      </x:c>
      <x:c r="Y200" s="3" t="n">
        <x:v>7</x:v>
      </x:c>
      <x:c r="Z200" s="3" t="n">
        <x:v>105</x:v>
      </x:c>
      <x:c r="AA200" s="3" t="n">
        <x:v>117</x:v>
      </x:c>
      <x:c r="AB200" s="3" t="n">
        <x:v>255</x:v>
      </x:c>
      <x:c r="AC200" s="3" t="n">
        <x:v>4</x:v>
      </x:c>
      <x:c r="AD200" s="3" t="n">
        <x:f>'方案总览'!$B$5</x:f>
        <x:v>20</x:v>
      </x:c>
    </x:row>
    <x:row r="201" ht="24" customHeight="1">
      <x:c r="A201" s="3" t="str">
        <x:v>T196</x:v>
      </x:c>
      <x:c r="B201" s="3" t="str">
        <x:v>拟合</x:v>
      </x:c>
      <x:c r="C201" s="3" t="str">
        <x:v>C110</x:v>
      </x:c>
      <x:c r="D201" s="3" t="str"/>
      <x:c r="E201" s="3" t="str">
        <x:v>丁酸异戊酯</x:v>
      </x:c>
      <x:c r="F201" s="3" t="str">
        <x:v>1-辛醇</x:v>
      </x:c>
      <x:c r="G201" s="3" t="str">
        <x:v>己酸乙酯</x:v>
      </x:c>
      <x:c r="H201" s="3" t="str">
        <x:v>乙酸丁酯</x:v>
      </x:c>
      <x:c r="I201" s="3" t="str">
        <x:v>M</x:v>
      </x:c>
      <x:c r="J201" s="3" t="str">
        <x:v>M</x:v>
      </x:c>
      <x:c r="K201" s="3" t="str">
        <x:v>L</x:v>
      </x:c>
      <x:c r="L201" s="3" t="str">
        <x:v>M</x:v>
      </x:c>
      <x:c r="M201" s="9" t="n">
        <x:f>IF(Y201="","",INDEX('浓度设置'!$P$6:$R$46,MATCH(Y201,'浓度设置'!$A$6:$A$46,0),IF(I201="L",1,IF(I201="M",2,3))))</x:f>
        <x:v>1041.8500000000001</x:v>
      </x:c>
      <x:c r="N201" s="9" t="n">
        <x:f>IF(Z201="","",INDEX('浓度设置'!$P$6:$R$46,MATCH(Z201,'浓度设置'!$A$6:$A$46,0),IF(J201="L",1,IF(J201="M",2,3))))</x:f>
        <x:v>1232.25</x:v>
      </x:c>
      <x:c r="O201" s="9" t="n">
        <x:f>IF(AA201="","",INDEX('浓度设置'!$P$6:$R$46,MATCH(AA201,'浓度设置'!$A$6:$A$46,0),IF(K201="L",1,IF(K201="M",2,3))))</x:f>
        <x:v>833.64</x:v>
      </x:c>
      <x:c r="P201" s="9" t="n">
        <x:f>IF(AB201="","",INDEX('浓度设置'!$P$6:$R$46,MATCH(AB201,'浓度设置'!$A$6:$A$46,0),IF(L201="L",1,IF(L201="M",2,3))))</x:f>
        <x:v>3147.945</x:v>
      </x:c>
      <x:c r="Q201" s="9" t="n">
        <x:f>IF(Y201="","",M201/INDEX('浓度设置'!$M$6:$M$46,MATCH(Y201,'浓度设置'!$A$6:$A$46,0)))</x:f>
        <x:v>1.1386338797814208</x:v>
      </x:c>
      <x:c r="R201" s="9" t="n">
        <x:f>IF(Z201="","",N201/INDEX('浓度设置'!$M$6:$M$46,MATCH(Z201,'浓度设置'!$A$6:$A$46,0)))</x:f>
        <x:v>1.1202272727272726</x:v>
      </x:c>
      <x:c r="S201" s="9" t="n">
        <x:f>IF(AA201="","",O201/INDEX('浓度设置'!$M$6:$M$46,MATCH(AA201,'浓度设置'!$A$6:$A$46,0)))</x:f>
        <x:v>15.074864376130199</x:v>
      </x:c>
      <x:c r="T201" s="9" t="n">
        <x:f>IF(AB201="","",P201/INDEX('浓度设置'!$M$6:$M$46,MATCH(AB201,'浓度设置'!$A$6:$A$46,0)))</x:f>
        <x:v>1.7488583333333334</x:v>
      </x:c>
      <x:c r="U201" s="9" t="n">
        <x:f>IF(Y201="","",M201*$AD201/1000)</x:f>
        <x:v>20.837000000000003</x:v>
      </x:c>
      <x:c r="V201" s="9" t="n">
        <x:f>IF(Z201="","",N201*$AD201/1000)</x:f>
        <x:v>24.645</x:v>
      </x:c>
      <x:c r="W201" s="9" t="n">
        <x:f>IF(AA201="","",O201*$AD201/1000)</x:f>
        <x:v>16.6728</x:v>
      </x:c>
      <x:c r="X201" s="9" t="n">
        <x:f>IF(AB201="","",P201*$AD201/1000)</x:f>
        <x:v>62.9589</x:v>
      </x:c>
      <x:c r="Y201" s="3" t="n">
        <x:v>56</x:v>
      </x:c>
      <x:c r="Z201" s="3" t="n">
        <x:v>90</x:v>
      </x:c>
      <x:c r="AA201" s="3" t="n">
        <x:v>111</x:v>
      </x:c>
      <x:c r="AB201" s="3" t="n">
        <x:v>114</x:v>
      </x:c>
      <x:c r="AC201" s="3" t="n">
        <x:v>4</x:v>
      </x:c>
      <x:c r="AD201" s="3" t="n">
        <x:f>'方案总览'!$B$5</x:f>
        <x:v>20</x:v>
      </x:c>
    </x:row>
    <x:row r="202" ht="24" customHeight="1">
      <x:c r="A202" s="3" t="str">
        <x:v>T197</x:v>
      </x:c>
      <x:c r="B202" s="3" t="str">
        <x:v>拟合</x:v>
      </x:c>
      <x:c r="C202" s="3" t="str">
        <x:v>C111</x:v>
      </x:c>
      <x:c r="D202" s="3" t="str"/>
      <x:c r="E202" s="3" t="str">
        <x:v>2-甲基丙醛</x:v>
      </x:c>
      <x:c r="F202" s="3" t="str">
        <x:v>异丁酸乙酯</x:v>
      </x:c>
      <x:c r="G202" s="3" t="str">
        <x:v>乙酸异戊酯</x:v>
      </x:c>
      <x:c r="H202" s="3" t="str">
        <x:v>己酸丁酯</x:v>
      </x:c>
      <x:c r="I202" s="3" t="str">
        <x:v>H</x:v>
      </x:c>
      <x:c r="J202" s="3" t="str">
        <x:v>M</x:v>
      </x:c>
      <x:c r="K202" s="3" t="str">
        <x:v>L</x:v>
      </x:c>
      <x:c r="L202" s="3" t="str">
        <x:v>M</x:v>
      </x:c>
      <x:c r="M202" s="9" t="n">
        <x:f>IF(Y202="","",INDEX('浓度设置'!$P$6:$R$46,MATCH(Y202,'浓度设置'!$A$6:$A$46,0),IF(I202="L",1,IF(I202="M",2,3))))</x:f>
        <x:v>35900</x:v>
      </x:c>
      <x:c r="N202" s="9" t="n">
        <x:f>IF(Z202="","",INDEX('浓度设置'!$P$6:$R$46,MATCH(Z202,'浓度设置'!$A$6:$A$46,0),IF(J202="L",1,IF(J202="M",2,3))))</x:f>
        <x:v>836.8360173893091</x:v>
      </x:c>
      <x:c r="O202" s="9" t="n">
        <x:f>IF(AA202="","",INDEX('浓度设置'!$P$6:$R$46,MATCH(AA202,'浓度设置'!$A$6:$A$46,0),IF(K202="L",1,IF(K202="M",2,3))))</x:f>
        <x:v>1.44</x:v>
      </x:c>
      <x:c r="P202" s="9" t="n">
        <x:f>IF(AB202="","",INDEX('浓度设置'!$P$6:$R$46,MATCH(AB202,'浓度设置'!$A$6:$A$46,0),IF(L202="L",1,IF(L202="M",2,3))))</x:f>
        <x:v>823.735</x:v>
      </x:c>
      <x:c r="Q202" s="9" t="n">
        <x:f>IF(Y202="","",M202/INDEX('浓度设置'!$M$6:$M$46,MATCH(Y202,'浓度设置'!$A$6:$A$46,0)))</x:f>
        <x:v>6084.745762711864</x:v>
      </x:c>
      <x:c r="R202" s="9" t="n">
        <x:f>IF(Z202="","",N202/INDEX('浓度设置'!$M$6:$M$46,MATCH(Z202,'浓度设置'!$A$6:$A$46,0)))</x:f>
        <x:v>14.553669867640158</x:v>
      </x:c>
      <x:c r="S202" s="9" t="n">
        <x:f>IF(AA202="","",O202/INDEX('浓度设置'!$M$6:$M$46,MATCH(AA202,'浓度设置'!$A$6:$A$46,0)))</x:f>
        <x:v>0.015335463258785941</x:v>
      </x:c>
      <x:c r="T202" s="9" t="n">
        <x:f>IF(AB202="","",P202/INDEX('浓度设置'!$M$6:$M$46,MATCH(AB202,'浓度设置'!$A$6:$A$46,0)))</x:f>
        <x:v>1.2152351587395256</x:v>
      </x:c>
      <x:c r="U202" s="9" t="n">
        <x:f>IF(Y202="","",M202*$AD202/1000)</x:f>
        <x:v>718</x:v>
      </x:c>
      <x:c r="V202" s="9" t="n">
        <x:f>IF(Z202="","",N202*$AD202/1000)</x:f>
        <x:v>16.736720347786182</x:v>
      </x:c>
      <x:c r="W202" s="9" t="n">
        <x:f>IF(AA202="","",O202*$AD202/1000)</x:f>
        <x:v>0.028799999999999996</x:v>
      </x:c>
      <x:c r="X202" s="9" t="n">
        <x:f>IF(AB202="","",P202*$AD202/1000)</x:f>
        <x:v>16.474700000000002</x:v>
      </x:c>
      <x:c r="Y202" s="3" t="n">
        <x:v>18</x:v>
      </x:c>
      <x:c r="Z202" s="3" t="n">
        <x:v>32</x:v>
      </x:c>
      <x:c r="AA202" s="3" t="n">
        <x:v>115</x:v>
      </x:c>
      <x:c r="AB202" s="3" t="n">
        <x:v>165</x:v>
      </x:c>
      <x:c r="AC202" s="3" t="n">
        <x:v>4</x:v>
      </x:c>
      <x:c r="AD202" s="3" t="n">
        <x:f>'方案总览'!$B$5</x:f>
        <x:v>20</x:v>
      </x:c>
    </x:row>
    <x:row r="203" ht="24" customHeight="1">
      <x:c r="A203" s="3" t="str">
        <x:v>T198</x:v>
      </x:c>
      <x:c r="B203" s="3" t="str">
        <x:v>拟合</x:v>
      </x:c>
      <x:c r="C203" s="3" t="str">
        <x:v>C112</x:v>
      </x:c>
      <x:c r="D203" s="3" t="str"/>
      <x:c r="E203" s="3" t="str">
        <x:v>己醛</x:v>
      </x:c>
      <x:c r="F203" s="3" t="str">
        <x:v>对甲酚</x:v>
      </x:c>
      <x:c r="G203" s="3" t="str">
        <x:v>异戊酸/3-甲基丁酸</x:v>
      </x:c>
      <x:c r="H203" s="3" t="str">
        <x:v>异戊醛</x:v>
      </x:c>
      <x:c r="I203" s="3" t="str">
        <x:v>H</x:v>
      </x:c>
      <x:c r="J203" s="3" t="str">
        <x:v>H</x:v>
      </x:c>
      <x:c r="K203" s="3" t="str">
        <x:v>H</x:v>
      </x:c>
      <x:c r="L203" s="3" t="str">
        <x:v>H</x:v>
      </x:c>
      <x:c r="M203" s="9" t="n">
        <x:f>IF(Y203="","",INDEX('浓度设置'!$P$6:$R$46,MATCH(Y203,'浓度设置'!$A$6:$A$46,0),IF(I203="L",1,IF(I203="M",2,3))))</x:f>
        <x:v>3075.94</x:v>
      </x:c>
      <x:c r="N203" s="9" t="n">
        <x:f>IF(Z203="","",INDEX('浓度设置'!$P$6:$R$46,MATCH(Z203,'浓度设置'!$A$6:$A$46,0),IF(J203="L",1,IF(J203="M",2,3))))</x:f>
        <x:v>6914</x:v>
      </x:c>
      <x:c r="O203" s="9" t="n">
        <x:f>IF(AA203="","",INDEX('浓度设置'!$P$6:$R$46,MATCH(AA203,'浓度设置'!$A$6:$A$46,0),IF(K203="L",1,IF(K203="M",2,3))))</x:f>
        <x:v>44000</x:v>
      </x:c>
      <x:c r="P203" s="9" t="n">
        <x:f>IF(AB203="","",INDEX('浓度设置'!$P$6:$R$46,MATCH(AB203,'浓度设置'!$A$6:$A$46,0),IF(L203="L",1,IF(L203="M",2,3))))</x:f>
        <x:v>227200</x:v>
      </x:c>
      <x:c r="Q203" s="9" t="n">
        <x:f>IF(Y203="","",M203/INDEX('浓度设置'!$M$6:$M$46,MATCH(Y203,'浓度设置'!$A$6:$A$46,0)))</x:f>
        <x:v>120.62509803921569</x:v>
      </x:c>
      <x:c r="R203" s="9" t="n">
        <x:f>IF(Z203="","",N203/INDEX('浓度设置'!$M$6:$M$46,MATCH(Z203,'浓度设置'!$A$6:$A$46,0)))</x:f>
        <x:v>41.40119760479042</x:v>
      </x:c>
      <x:c r="S203" s="9" t="n">
        <x:f>IF(AA203="","",O203/INDEX('浓度设置'!$M$6:$M$46,MATCH(AA203,'浓度设置'!$A$6:$A$46,0)))</x:f>
        <x:v>41.904761904761905</x:v>
      </x:c>
      <x:c r="T203" s="9" t="n">
        <x:f>IF(AB203="","",P203/INDEX('浓度设置'!$M$6:$M$46,MATCH(AB203,'浓度设置'!$A$6:$A$46,0)))</x:f>
        <x:v>13769.69696969697</x:v>
      </x:c>
      <x:c r="U203" s="9" t="n">
        <x:f>IF(Y203="","",M203*$AD203/1000)</x:f>
        <x:v>61.518800000000006</x:v>
      </x:c>
      <x:c r="V203" s="9" t="n">
        <x:f>IF(Z203="","",N203*$AD203/1000)</x:f>
        <x:v>138.28</x:v>
      </x:c>
      <x:c r="W203" s="9" t="n">
        <x:f>IF(AA203="","",O203*$AD203/1000)</x:f>
        <x:v>880</x:v>
      </x:c>
      <x:c r="X203" s="9" t="n">
        <x:f>IF(AB203="","",P203*$AD203/1000)</x:f>
        <x:v>4544</x:v>
      </x:c>
      <x:c r="Y203" s="3" t="n">
        <x:v>7</x:v>
      </x:c>
      <x:c r="Z203" s="3" t="n">
        <x:v>61</x:v>
      </x:c>
      <x:c r="AA203" s="3" t="n">
        <x:v>136</x:v>
      </x:c>
      <x:c r="AB203" s="3" t="n">
        <x:v>152</x:v>
      </x:c>
      <x:c r="AC203" s="3" t="n">
        <x:v>4</x:v>
      </x:c>
      <x:c r="AD203" s="3" t="n">
        <x:f>'方案总览'!$B$5</x:f>
        <x:v>20</x:v>
      </x:c>
    </x:row>
    <x:row r="204" ht="24" customHeight="1">
      <x:c r="A204" s="3" t="str">
        <x:v>T199</x:v>
      </x:c>
      <x:c r="B204" s="3" t="str">
        <x:v>拟合</x:v>
      </x:c>
      <x:c r="C204" s="3" t="str">
        <x:v>C113</x:v>
      </x:c>
      <x:c r="D204" s="3" t="str"/>
      <x:c r="E204" s="3" t="str">
        <x:v>乙醛二乙缩醛</x:v>
      </x:c>
      <x:c r="F204" s="3" t="str">
        <x:v>辛酸乙酯</x:v>
      </x:c>
      <x:c r="G204" s="3" t="str">
        <x:v>1-辛醇</x:v>
      </x:c>
      <x:c r="H204" s="3" t="str">
        <x:v>乙酸异戊酯</x:v>
      </x:c>
      <x:c r="I204" s="3" t="str">
        <x:v>H</x:v>
      </x:c>
      <x:c r="J204" s="3" t="str">
        <x:v>H</x:v>
      </x:c>
      <x:c r="K204" s="3" t="str">
        <x:v>M</x:v>
      </x:c>
      <x:c r="L204" s="3" t="str">
        <x:v>H</x:v>
      </x:c>
      <x:c r="M204" s="9" t="n">
        <x:f>IF(Y204="","",INDEX('浓度设置'!$P$6:$R$46,MATCH(Y204,'浓度设置'!$A$6:$A$46,0),IF(I204="L",1,IF(I204="M",2,3))))</x:f>
        <x:v>784300</x:v>
      </x:c>
      <x:c r="N204" s="9" t="n">
        <x:f>IF(Z204="","",INDEX('浓度设置'!$P$6:$R$46,MATCH(Z204,'浓度设置'!$A$6:$A$46,0),IF(J204="L",1,IF(J204="M",2,3))))</x:f>
        <x:v>1865945</x:v>
      </x:c>
      <x:c r="O204" s="9" t="n">
        <x:f>IF(AA204="","",INDEX('浓度设置'!$P$6:$R$46,MATCH(AA204,'浓度设置'!$A$6:$A$46,0),IF(K204="L",1,IF(K204="M",2,3))))</x:f>
        <x:v>1232.25</x:v>
      </x:c>
      <x:c r="P204" s="9" t="n">
        <x:f>IF(AB204="","",INDEX('浓度设置'!$P$6:$R$46,MATCH(AB204,'浓度设置'!$A$6:$A$46,0),IF(L204="L",1,IF(L204="M",2,3))))</x:f>
        <x:v>6516</x:v>
      </x:c>
      <x:c r="Q204" s="9" t="n">
        <x:f>IF(Y204="","",M204/INDEX('浓度设置'!$M$6:$M$46,MATCH(Y204,'浓度设置'!$A$6:$A$46,0)))</x:f>
        <x:v>375.2631578947368</x:v>
      </x:c>
      <x:c r="R204" s="9" t="n">
        <x:f>IF(Z204="","",N204/INDEX('浓度设置'!$M$6:$M$46,MATCH(Z204,'浓度设置'!$A$6:$A$46,0)))</x:f>
        <x:v>144646.8992248062</x:v>
      </x:c>
      <x:c r="S204" s="9" t="n">
        <x:f>IF(AA204="","",O204/INDEX('浓度设置'!$M$6:$M$46,MATCH(AA204,'浓度设置'!$A$6:$A$46,0)))</x:f>
        <x:v>1.1202272727272726</x:v>
      </x:c>
      <x:c r="T204" s="9" t="n">
        <x:f>IF(AB204="","",P204/INDEX('浓度设置'!$M$6:$M$46,MATCH(AB204,'浓度设置'!$A$6:$A$46,0)))</x:f>
        <x:v>69.39297124600638</x:v>
      </x:c>
      <x:c r="U204" s="9" t="n">
        <x:f>IF(Y204="","",M204*$AD204/1000)</x:f>
        <x:v>15686</x:v>
      </x:c>
      <x:c r="V204" s="9" t="n">
        <x:f>IF(Z204="","",N204*$AD204/1000)</x:f>
        <x:v>37318.9</x:v>
      </x:c>
      <x:c r="W204" s="9" t="n">
        <x:f>IF(AA204="","",O204*$AD204/1000)</x:f>
        <x:v>24.645</x:v>
      </x:c>
      <x:c r="X204" s="9" t="n">
        <x:f>IF(AB204="","",P204*$AD204/1000)</x:f>
        <x:v>130.32</x:v>
      </x:c>
      <x:c r="Y204" s="3" t="n">
        <x:v>53</x:v>
      </x:c>
      <x:c r="Z204" s="3" t="n">
        <x:v>58</x:v>
      </x:c>
      <x:c r="AA204" s="3" t="n">
        <x:v>90</x:v>
      </x:c>
      <x:c r="AB204" s="3" t="n">
        <x:v>115</x:v>
      </x:c>
      <x:c r="AC204" s="3" t="n">
        <x:v>4</x:v>
      </x:c>
      <x:c r="AD204" s="3" t="n">
        <x:f>'方案总览'!$B$5</x:f>
        <x:v>20</x:v>
      </x:c>
    </x:row>
    <x:row r="205" ht="24" customHeight="1">
      <x:c r="A205" s="3" t="str">
        <x:v>T200</x:v>
      </x:c>
      <x:c r="B205" s="3" t="str">
        <x:v>拟合</x:v>
      </x:c>
      <x:c r="C205" s="3" t="str">
        <x:v>C114</x:v>
      </x:c>
      <x:c r="D205" s="3" t="str"/>
      <x:c r="E205" s="3" t="str">
        <x:v>1-丁醇</x:v>
      </x:c>
      <x:c r="F205" s="3" t="str">
        <x:v>2-甲基丙醛</x:v>
      </x:c>
      <x:c r="G205" s="3" t="str">
        <x:v>丁酸异戊酯</x:v>
      </x:c>
      <x:c r="H205" s="3" t="str">
        <x:v>戊酸</x:v>
      </x:c>
      <x:c r="I205" s="3" t="str">
        <x:v>L</x:v>
      </x:c>
      <x:c r="J205" s="3" t="str">
        <x:v>L</x:v>
      </x:c>
      <x:c r="K205" s="3" t="str">
        <x:v>M</x:v>
      </x:c>
      <x:c r="L205" s="3" t="str">
        <x:v>L</x:v>
      </x:c>
      <x:c r="M205" s="9" t="n">
        <x:f>IF(Y205="","",INDEX('浓度设置'!$P$6:$R$46,MATCH(Y205,'浓度设置'!$A$6:$A$46,0),IF(I205="L",1,IF(I205="M",2,3))))</x:f>
        <x:v>16.97</x:v>
      </x:c>
      <x:c r="N205" s="9" t="n">
        <x:f>IF(Z205="","",INDEX('浓度设置'!$P$6:$R$46,MATCH(Z205,'浓度设置'!$A$6:$A$46,0),IF(J205="L",1,IF(J205="M",2,3))))</x:f>
        <x:v>39</x:v>
      </x:c>
      <x:c r="O205" s="9" t="n">
        <x:f>IF(AA205="","",INDEX('浓度设置'!$P$6:$R$46,MATCH(AA205,'浓度设置'!$A$6:$A$46,0),IF(K205="L",1,IF(K205="M",2,3))))</x:f>
        <x:v>1041.8500000000001</x:v>
      </x:c>
      <x:c r="P205" s="9" t="n">
        <x:f>IF(AB205="","",INDEX('浓度设置'!$P$6:$R$46,MATCH(AB205,'浓度设置'!$A$6:$A$46,0),IF(L205="L",1,IF(L205="M",2,3))))</x:f>
        <x:v>1.75</x:v>
      </x:c>
      <x:c r="Q205" s="9" t="n">
        <x:f>IF(Y205="","",M205/INDEX('浓度设置'!$M$6:$M$46,MATCH(Y205,'浓度设置'!$A$6:$A$46,0)))</x:f>
        <x:v>0.006209293816319063</x:v>
      </x:c>
      <x:c r="R205" s="9" t="n">
        <x:f>IF(Z205="","",N205/INDEX('浓度设置'!$M$6:$M$46,MATCH(Z205,'浓度设置'!$A$6:$A$46,0)))</x:f>
        <x:v>6.610169491525423</x:v>
      </x:c>
      <x:c r="S205" s="9" t="n">
        <x:f>IF(AA205="","",O205/INDEX('浓度设置'!$M$6:$M$46,MATCH(AA205,'浓度设置'!$A$6:$A$46,0)))</x:f>
        <x:v>1.1386338797814208</x:v>
      </x:c>
      <x:c r="T205" s="9" t="n">
        <x:f>IF(AB205="","",P205/INDEX('浓度设置'!$M$6:$M$46,MATCH(AB205,'浓度设置'!$A$6:$A$46,0)))</x:f>
        <x:v>0.004498714652956298</x:v>
      </x:c>
      <x:c r="U205" s="9" t="n">
        <x:f>IF(Y205="","",M205*$AD205/1000)</x:f>
        <x:v>0.3394</x:v>
      </x:c>
      <x:c r="V205" s="9" t="n">
        <x:f>IF(Z205="","",N205*$AD205/1000)</x:f>
        <x:v>0.78</x:v>
      </x:c>
      <x:c r="W205" s="9" t="n">
        <x:f>IF(AA205="","",O205*$AD205/1000)</x:f>
        <x:v>20.837000000000003</x:v>
      </x:c>
      <x:c r="X205" s="9" t="n">
        <x:f>IF(AB205="","",P205*$AD205/1000)</x:f>
        <x:v>0.035</x:v>
      </x:c>
      <x:c r="Y205" s="3" t="n">
        <x:v>11</x:v>
      </x:c>
      <x:c r="Z205" s="3" t="n">
        <x:v>18</x:v>
      </x:c>
      <x:c r="AA205" s="3" t="n">
        <x:v>56</x:v>
      </x:c>
      <x:c r="AB205" s="3" t="n">
        <x:v>75</x:v>
      </x:c>
      <x:c r="AC205" s="3" t="n">
        <x:v>4</x:v>
      </x:c>
      <x:c r="AD205" s="3" t="n">
        <x:f>'方案总览'!$B$5</x:f>
        <x:v>20</x:v>
      </x:c>
    </x:row>
    <x:row r="206" ht="24" customHeight="1">
      <x:c r="A206" s="3" t="str">
        <x:v>T201</x:v>
      </x:c>
      <x:c r="B206" s="3" t="str">
        <x:v>拟合</x:v>
      </x:c>
      <x:c r="C206" s="3" t="str">
        <x:v>C115</x:v>
      </x:c>
      <x:c r="D206" s="3" t="str"/>
      <x:c r="E206" s="3" t="str">
        <x:v>对甲酚</x:v>
      </x:c>
      <x:c r="F206" s="3" t="str">
        <x:v>乙酸丁酯</x:v>
      </x:c>
      <x:c r="G206" s="3" t="str">
        <x:v>己酸己酯</x:v>
      </x:c>
      <x:c r="H206" s="3" t="str">
        <x:v>2-甲基丁酸乙酯</x:v>
      </x:c>
      <x:c r="I206" s="3" t="str">
        <x:v>L</x:v>
      </x:c>
      <x:c r="J206" s="3" t="str">
        <x:v>M</x:v>
      </x:c>
      <x:c r="K206" s="3" t="str">
        <x:v>M</x:v>
      </x:c>
      <x:c r="L206" s="3" t="str">
        <x:v>L</x:v>
      </x:c>
      <x:c r="M206" s="9" t="n">
        <x:f>IF(Y206="","",INDEX('浓度设置'!$P$6:$R$46,MATCH(Y206,'浓度设置'!$A$6:$A$46,0),IF(I206="L",1,IF(I206="M",2,3))))</x:f>
        <x:v>0.51</x:v>
      </x:c>
      <x:c r="N206" s="9" t="n">
        <x:f>IF(Z206="","",INDEX('浓度设置'!$P$6:$R$46,MATCH(Z206,'浓度设置'!$A$6:$A$46,0),IF(J206="L",1,IF(J206="M",2,3))))</x:f>
        <x:v>3147.945</x:v>
      </x:c>
      <x:c r="O206" s="9" t="n">
        <x:f>IF(AA206="","",INDEX('浓度设置'!$P$6:$R$46,MATCH(AA206,'浓度设置'!$A$6:$A$46,0),IF(K206="L",1,IF(K206="M",2,3))))</x:f>
        <x:v>695.986709643223</x:v>
      </x:c>
      <x:c r="P206" s="9" t="n">
        <x:f>IF(AB206="","",INDEX('浓度设置'!$P$6:$R$46,MATCH(AB206,'浓度设置'!$A$6:$A$46,0),IF(L206="L",1,IF(L206="M",2,3))))</x:f>
        <x:v>0.97</x:v>
      </x:c>
      <x:c r="Q206" s="9" t="n">
        <x:f>IF(Y206="","",M206/INDEX('浓度设置'!$M$6:$M$46,MATCH(Y206,'浓度设置'!$A$6:$A$46,0)))</x:f>
        <x:v>0.003053892215568862</x:v>
      </x:c>
      <x:c r="R206" s="9" t="n">
        <x:f>IF(Z206="","",N206/INDEX('浓度设置'!$M$6:$M$46,MATCH(Z206,'浓度设置'!$A$6:$A$46,0)))</x:f>
        <x:v>1.7488583333333334</x:v>
      </x:c>
      <x:c r="S206" s="9" t="n">
        <x:f>IF(AA206="","",O206/INDEX('浓度设置'!$M$6:$M$46,MATCH(AA206,'浓度设置'!$A$6:$A$46,0)))</x:f>
        <x:v>0.3680521997055648</x:v>
      </x:c>
      <x:c r="T206" s="9" t="n">
        <x:f>IF(AB206="","",P206/INDEX('浓度设置'!$M$6:$M$46,MATCH(AB206,'浓度设置'!$A$6:$A$46,0)))</x:f>
        <x:v>0.05388888888888889</x:v>
      </x:c>
      <x:c r="U206" s="9" t="n">
        <x:f>IF(Y206="","",M206*$AD206/1000)</x:f>
        <x:v>0.010199999999999999</x:v>
      </x:c>
      <x:c r="V206" s="9" t="n">
        <x:f>IF(Z206="","",N206*$AD206/1000)</x:f>
        <x:v>62.9589</x:v>
      </x:c>
      <x:c r="W206" s="9" t="n">
        <x:f>IF(AA206="","",O206*$AD206/1000)</x:f>
        <x:v>13.91973419286446</x:v>
      </x:c>
      <x:c r="X206" s="9" t="n">
        <x:f>IF(AB206="","",P206*$AD206/1000)</x:f>
        <x:v>0.019399999999999997</x:v>
      </x:c>
      <x:c r="Y206" s="3" t="n">
        <x:v>61</x:v>
      </x:c>
      <x:c r="Z206" s="3" t="n">
        <x:v>114</x:v>
      </x:c>
      <x:c r="AA206" s="3" t="n">
        <x:v>227</x:v>
      </x:c>
      <x:c r="AB206" s="3" t="n">
        <x:v>232</x:v>
      </x:c>
      <x:c r="AC206" s="3" t="n">
        <x:v>4</x:v>
      </x:c>
      <x:c r="AD206" s="3" t="n">
        <x:f>'方案总览'!$B$5</x:f>
        <x:v>20</x:v>
      </x:c>
    </x:row>
    <x:row r="207" ht="24" customHeight="1">
      <x:c r="A207" s="3" t="str">
        <x:v>T202</x:v>
      </x:c>
      <x:c r="B207" s="3" t="str">
        <x:v>拟合</x:v>
      </x:c>
      <x:c r="C207" s="3" t="str">
        <x:v>C116</x:v>
      </x:c>
      <x:c r="D207" s="3" t="str"/>
      <x:c r="E207" s="3" t="str">
        <x:v>乙醛二乙缩醛</x:v>
      </x:c>
      <x:c r="F207" s="3" t="str">
        <x:v>己酸乙酯</x:v>
      </x:c>
      <x:c r="G207" s="3" t="str">
        <x:v>己酸</x:v>
      </x:c>
      <x:c r="H207" s="3" t="str">
        <x:v>1-辛烯-3-醇</x:v>
      </x:c>
      <x:c r="I207" s="3" t="str">
        <x:v>H</x:v>
      </x:c>
      <x:c r="J207" s="3" t="str">
        <x:v>H</x:v>
      </x:c>
      <x:c r="K207" s="3" t="str">
        <x:v>H</x:v>
      </x:c>
      <x:c r="L207" s="3" t="str">
        <x:v>L</x:v>
      </x:c>
      <x:c r="M207" s="9" t="n">
        <x:f>IF(Y207="","",INDEX('浓度设置'!$P$6:$R$46,MATCH(Y207,'浓度设置'!$A$6:$A$46,0),IF(I207="L",1,IF(I207="M",2,3))))</x:f>
        <x:v>784300</x:v>
      </x:c>
      <x:c r="N207" s="9" t="n">
        <x:f>IF(Z207="","",INDEX('浓度设置'!$P$6:$R$46,MATCH(Z207,'浓度设置'!$A$6:$A$46,0),IF(J207="L",1,IF(J207="M",2,3))))</x:f>
        <x:v>9622120</x:v>
      </x:c>
      <x:c r="O207" s="9" t="n">
        <x:f>IF(AA207="","",INDEX('浓度设置'!$P$6:$R$46,MATCH(AA207,'浓度设置'!$A$6:$A$46,0),IF(K207="L",1,IF(K207="M",2,3))))</x:f>
        <x:v>1551340.76</x:v>
      </x:c>
      <x:c r="P207" s="9" t="n">
        <x:f>IF(AB207="","",INDEX('浓度设置'!$P$6:$R$46,MATCH(AB207,'浓度设置'!$A$6:$A$46,0),IF(L207="L",1,IF(L207="M",2,3))))</x:f>
        <x:v>1</x:v>
      </x:c>
      <x:c r="Q207" s="9" t="n">
        <x:f>IF(Y207="","",M207/INDEX('浓度设置'!$M$6:$M$46,MATCH(Y207,'浓度设置'!$A$6:$A$46,0)))</x:f>
        <x:v>375.2631578947368</x:v>
      </x:c>
      <x:c r="R207" s="9" t="n">
        <x:f>IF(Z207="","",N207/INDEX('浓度设置'!$M$6:$M$46,MATCH(Z207,'浓度设置'!$A$6:$A$46,0)))</x:f>
        <x:v>173998.5533453888</x:v>
      </x:c>
      <x:c r="S207" s="9" t="n">
        <x:f>IF(AA207="","",O207/INDEX('浓度设置'!$M$6:$M$46,MATCH(AA207,'浓度设置'!$A$6:$A$46,0)))</x:f>
        <x:v>615.6114126984127</x:v>
      </x:c>
      <x:c r="T207" s="9" t="n">
        <x:f>IF(AB207="","",P207/INDEX('浓度设置'!$M$6:$M$46,MATCH(AB207,'浓度设置'!$A$6:$A$46,0)))</x:f>
        <x:v>0.16339869281045752</x:v>
      </x:c>
      <x:c r="U207" s="9" t="n">
        <x:f>IF(Y207="","",M207*$AD207/1000)</x:f>
        <x:v>15686</x:v>
      </x:c>
      <x:c r="V207" s="9" t="n">
        <x:f>IF(Z207="","",N207*$AD207/1000)</x:f>
        <x:v>192442.4</x:v>
      </x:c>
      <x:c r="W207" s="9" t="n">
        <x:f>IF(AA207="","",O207*$AD207/1000)</x:f>
        <x:v>31026.8152</x:v>
      </x:c>
      <x:c r="X207" s="9" t="n">
        <x:f>IF(AB207="","",P207*$AD207/1000)</x:f>
        <x:v>0.02</x:v>
      </x:c>
      <x:c r="Y207" s="3" t="n">
        <x:v>53</x:v>
      </x:c>
      <x:c r="Z207" s="3" t="n">
        <x:v>111</x:v>
      </x:c>
      <x:c r="AA207" s="3" t="n">
        <x:v>126</x:v>
      </x:c>
      <x:c r="AB207" s="3" t="n">
        <x:v>207</x:v>
      </x:c>
      <x:c r="AC207" s="3" t="n">
        <x:v>4</x:v>
      </x:c>
      <x:c r="AD207" s="3" t="n">
        <x:f>'方案总览'!$B$5</x:f>
        <x:v>20</x:v>
      </x:c>
    </x:row>
    <x:row r="208" ht="24" customHeight="1">
      <x:c r="A208" s="3" t="str">
        <x:v>T203</x:v>
      </x:c>
      <x:c r="B208" s="3" t="str">
        <x:v>拟合</x:v>
      </x:c>
      <x:c r="C208" s="3" t="str">
        <x:v>C117</x:v>
      </x:c>
      <x:c r="D208" s="3" t="str"/>
      <x:c r="E208" s="3" t="str">
        <x:v>异丁酸乙酯</x:v>
      </x:c>
      <x:c r="F208" s="3" t="str">
        <x:v>丁酸乙酯</x:v>
      </x:c>
      <x:c r="G208" s="3" t="str">
        <x:v>辛酸</x:v>
      </x:c>
      <x:c r="H208" s="3" t="str">
        <x:v>己酸己酯</x:v>
      </x:c>
      <x:c r="I208" s="3" t="str">
        <x:v>L</x:v>
      </x:c>
      <x:c r="J208" s="3" t="str">
        <x:v>H</x:v>
      </x:c>
      <x:c r="K208" s="3" t="str">
        <x:v>M</x:v>
      </x:c>
      <x:c r="L208" s="3" t="str">
        <x:v>H</x:v>
      </x:c>
      <x:c r="M208" s="9" t="n">
        <x:f>IF(Y208="","",INDEX('浓度设置'!$P$6:$R$46,MATCH(Y208,'浓度设置'!$A$6:$A$46,0),IF(I208="L",1,IF(I208="M",2,3))))</x:f>
        <x:v>18.68</x:v>
      </x:c>
      <x:c r="N208" s="9" t="n">
        <x:f>IF(Z208="","",INDEX('浓度设置'!$P$6:$R$46,MATCH(Z208,'浓度设置'!$A$6:$A$46,0),IF(J208="L",1,IF(J208="M",2,3))))</x:f>
        <x:v>1290235</x:v>
      </x:c>
      <x:c r="O208" s="9" t="n">
        <x:f>IF(AA208="","",INDEX('浓度设置'!$P$6:$R$46,MATCH(AA208,'浓度设置'!$A$6:$A$46,0),IF(K208="L",1,IF(K208="M",2,3))))</x:f>
        <x:v>274.54883445390914</x:v>
      </x:c>
      <x:c r="P208" s="9" t="n">
        <x:f>IF(AB208="","",INDEX('浓度设置'!$P$6:$R$46,MATCH(AB208,'浓度设置'!$A$6:$A$46,0),IF(L208="L",1,IF(L208="M",2,3))))</x:f>
        <x:v>193759</x:v>
      </x:c>
      <x:c r="Q208" s="9" t="n">
        <x:f>IF(Y208="","",M208/INDEX('浓度设置'!$M$6:$M$46,MATCH(Y208,'浓度设置'!$A$6:$A$46,0)))</x:f>
        <x:v>0.3248695652173913</x:v>
      </x:c>
      <x:c r="R208" s="9" t="n">
        <x:f>IF(Z208="","",N208/INDEX('浓度设置'!$M$6:$M$46,MATCH(Z208,'浓度设置'!$A$6:$A$46,0)))</x:f>
        <x:v>15831.104294478528</x:v>
      </x:c>
      <x:c r="S208" s="9" t="n">
        <x:f>IF(AA208="","",O208/INDEX('浓度设置'!$M$6:$M$46,MATCH(AA208,'浓度设置'!$A$6:$A$46,0)))</x:f>
        <x:v>0.10168475350144783</x:v>
      </x:c>
      <x:c r="T208" s="9" t="n">
        <x:f>IF(AB208="","",P208/INDEX('浓度设置'!$M$6:$M$46,MATCH(AB208,'浓度设置'!$A$6:$A$46,0)))</x:f>
        <x:v>102.46377578001058</x:v>
      </x:c>
      <x:c r="U208" s="9" t="n">
        <x:f>IF(Y208="","",M208*$AD208/1000)</x:f>
        <x:v>0.37360000000000004</x:v>
      </x:c>
      <x:c r="V208" s="9" t="n">
        <x:f>IF(Z208="","",N208*$AD208/1000)</x:f>
        <x:v>25804.7</x:v>
      </x:c>
      <x:c r="W208" s="9" t="n">
        <x:f>IF(AA208="","",O208*$AD208/1000)</x:f>
        <x:v>5.490976689078183</x:v>
      </x:c>
      <x:c r="X208" s="9" t="n">
        <x:f>IF(AB208="","",P208*$AD208/1000)</x:f>
        <x:v>3875.18</x:v>
      </x:c>
      <x:c r="Y208" s="3" t="n">
        <x:v>32</x:v>
      </x:c>
      <x:c r="Z208" s="3" t="n">
        <x:v>52</x:v>
      </x:c>
      <x:c r="AA208" s="3" t="n">
        <x:v>117</x:v>
      </x:c>
      <x:c r="AB208" s="3" t="n">
        <x:v>227</x:v>
      </x:c>
      <x:c r="AC208" s="3" t="n">
        <x:v>4</x:v>
      </x:c>
      <x:c r="AD208" s="3" t="n">
        <x:f>'方案总览'!$B$5</x:f>
        <x:v>20</x:v>
      </x:c>
    </x:row>
    <x:row r="209" ht="24" customHeight="1">
      <x:c r="A209" s="3" t="str">
        <x:v>T204</x:v>
      </x:c>
      <x:c r="B209" s="3" t="str">
        <x:v>拟合</x:v>
      </x:c>
      <x:c r="C209" s="3" t="str">
        <x:v>C118</x:v>
      </x:c>
      <x:c r="D209" s="3" t="str"/>
      <x:c r="E209" s="3" t="str">
        <x:v>苯乙酸乙酯</x:v>
      </x:c>
      <x:c r="F209" s="3" t="str">
        <x:v>己酸丁酯</x:v>
      </x:c>
      <x:c r="G209" s="3" t="str">
        <x:v>二甲基三硫醚</x:v>
      </x:c>
      <x:c r="H209" s="3" t="str">
        <x:v>β-大马酮</x:v>
      </x:c>
      <x:c r="I209" s="3" t="str">
        <x:v>H</x:v>
      </x:c>
      <x:c r="J209" s="3" t="str">
        <x:v>M</x:v>
      </x:c>
      <x:c r="K209" s="3" t="str">
        <x:v>L</x:v>
      </x:c>
      <x:c r="L209" s="3" t="str">
        <x:v>H</x:v>
      </x:c>
      <x:c r="M209" s="9" t="n">
        <x:f>IF(Y209="","",INDEX('浓度设置'!$P$6:$R$46,MATCH(Y209,'浓度设置'!$A$6:$A$46,0),IF(I209="L",1,IF(I209="M",2,3))))</x:f>
        <x:v>21400</x:v>
      </x:c>
      <x:c r="N209" s="9" t="n">
        <x:f>IF(Z209="","",INDEX('浓度设置'!$P$6:$R$46,MATCH(Z209,'浓度设置'!$A$6:$A$46,0),IF(J209="L",1,IF(J209="M",2,3))))</x:f>
        <x:v>823.735</x:v>
      </x:c>
      <x:c r="O209" s="9" t="n">
        <x:f>IF(AA209="","",INDEX('浓度设置'!$P$6:$R$46,MATCH(AA209,'浓度设置'!$A$6:$A$46,0),IF(K209="L",1,IF(K209="M",2,3))))</x:f>
        <x:v>0.28</x:v>
      </x:c>
      <x:c r="P209" s="9" t="n">
        <x:f>IF(AB209="","",INDEX('浓度设置'!$P$6:$R$46,MATCH(AB209,'浓度设置'!$A$6:$A$46,0),IF(L209="L",1,IF(L209="M",2,3))))</x:f>
        <x:v>60.76</x:v>
      </x:c>
      <x:c r="Q209" s="9" t="n">
        <x:f>IF(Y209="","",M209/INDEX('浓度设置'!$M$6:$M$46,MATCH(Y209,'浓度设置'!$A$6:$A$46,0)))</x:f>
        <x:v>52.57985257985258</x:v>
      </x:c>
      <x:c r="R209" s="9" t="n">
        <x:f>IF(Z209="","",N209/INDEX('浓度设置'!$M$6:$M$46,MATCH(Z209,'浓度设置'!$A$6:$A$46,0)))</x:f>
        <x:v>1.2152351587395256</x:v>
      </x:c>
      <x:c r="S209" s="9" t="n">
        <x:f>IF(AA209="","",O209/INDEX('浓度设置'!$M$6:$M$46,MATCH(AA209,'浓度设置'!$A$6:$A$46,0)))</x:f>
        <x:v>0.7777777777777779</x:v>
      </x:c>
      <x:c r="T209" s="9" t="n">
        <x:f>IF(AB209="","",P209/INDEX('浓度设置'!$M$6:$M$46,MATCH(AB209,'浓度设置'!$A$6:$A$46,0)))</x:f>
        <x:v>506.3333333333333</x:v>
      </x:c>
      <x:c r="U209" s="9" t="n">
        <x:f>IF(Y209="","",M209*$AD209/1000)</x:f>
        <x:v>428</x:v>
      </x:c>
      <x:c r="V209" s="9" t="n">
        <x:f>IF(Z209="","",N209*$AD209/1000)</x:f>
        <x:v>16.474700000000002</x:v>
      </x:c>
      <x:c r="W209" s="9" t="n">
        <x:f>IF(AA209="","",O209*$AD209/1000)</x:f>
        <x:v>0.005600000000000001</x:v>
      </x:c>
      <x:c r="X209" s="9" t="n">
        <x:f>IF(AB209="","",P209*$AD209/1000)</x:f>
        <x:v>1.2152</x:v>
      </x:c>
      <x:c r="Y209" s="3" t="n">
        <x:v>40</x:v>
      </x:c>
      <x:c r="Z209" s="3" t="n">
        <x:v>165</x:v>
      </x:c>
      <x:c r="AA209" s="3" t="n">
        <x:v>209</x:v>
      </x:c>
      <x:c r="AB209" s="3" t="n">
        <x:v>255</x:v>
      </x:c>
      <x:c r="AC209" s="3" t="n">
        <x:v>4</x:v>
      </x:c>
      <x:c r="AD209" s="3" t="n">
        <x:f>'方案总览'!$B$5</x:f>
        <x:v>20</x:v>
      </x:c>
    </x:row>
    <x:row r="210" ht="24" customHeight="1">
      <x:c r="A210" s="3" t="str">
        <x:v>T205</x:v>
      </x:c>
      <x:c r="B210" s="3" t="str">
        <x:v>拟合</x:v>
      </x:c>
      <x:c r="C210" s="3" t="str">
        <x:v>C119</x:v>
      </x:c>
      <x:c r="D210" s="3" t="str"/>
      <x:c r="E210" s="3" t="str">
        <x:v>癸酸乙酯</x:v>
      </x:c>
      <x:c r="F210" s="3" t="str">
        <x:v>苯乙醛</x:v>
      </x:c>
      <x:c r="G210" s="3" t="str">
        <x:v>异戊酸/3-甲基丁酸</x:v>
      </x:c>
      <x:c r="H210" s="3" t="str">
        <x:v>3-苯基丙酸乙酯</x:v>
      </x:c>
      <x:c r="I210" s="3" t="str">
        <x:v>H</x:v>
      </x:c>
      <x:c r="J210" s="3" t="str">
        <x:v>H</x:v>
      </x:c>
      <x:c r="K210" s="3" t="str">
        <x:v>M</x:v>
      </x:c>
      <x:c r="L210" s="3" t="str">
        <x:v>H</x:v>
      </x:c>
      <x:c r="M210" s="9" t="n">
        <x:f>IF(Y210="","",INDEX('浓度设置'!$P$6:$R$46,MATCH(Y210,'浓度设置'!$A$6:$A$46,0),IF(I210="L",1,IF(I210="M",2,3))))</x:f>
        <x:v>56115</x:v>
      </x:c>
      <x:c r="N210" s="9" t="n">
        <x:f>IF(Z210="","",INDEX('浓度设置'!$P$6:$R$46,MATCH(Z210,'浓度设置'!$A$6:$A$46,0),IF(J210="L",1,IF(J210="M",2,3))))</x:f>
        <x:v>15730</x:v>
      </x:c>
      <x:c r="O210" s="9" t="n">
        <x:f>IF(AA210="","",INDEX('浓度设置'!$P$6:$R$46,MATCH(AA210,'浓度设置'!$A$6:$A$46,0),IF(K210="L",1,IF(K210="M",2,3))))</x:f>
        <x:v>228.58258901324922</x:v>
      </x:c>
      <x:c r="P210" s="9" t="n">
        <x:f>IF(AB210="","",INDEX('浓度设置'!$P$6:$R$46,MATCH(AB210,'浓度设置'!$A$6:$A$46,0),IF(L210="L",1,IF(L210="M",2,3))))</x:f>
        <x:v>11648000</x:v>
      </x:c>
      <x:c r="Q210" s="9" t="n">
        <x:f>IF(Y210="","",M210/INDEX('浓度设置'!$M$6:$M$46,MATCH(Y210,'浓度设置'!$A$6:$A$46,0)))</x:f>
        <x:v>50.10267857142857</x:v>
      </x:c>
      <x:c r="R210" s="9" t="n">
        <x:f>IF(Z210="","",N210/INDEX('浓度设置'!$M$6:$M$46,MATCH(Z210,'浓度设置'!$A$6:$A$46,0)))</x:f>
        <x:v>60.038167938931295</x:v>
      </x:c>
      <x:c r="S210" s="9" t="n">
        <x:f>IF(AA210="","",O210/INDEX('浓度设置'!$M$6:$M$46,MATCH(AA210,'浓度设置'!$A$6:$A$46,0)))</x:f>
        <x:v>0.21769770382214212</x:v>
      </x:c>
      <x:c r="T210" s="9" t="n">
        <x:f>IF(AB210="","",P210/INDEX('浓度设置'!$M$6:$M$46,MATCH(AB210,'浓度设置'!$A$6:$A$46,0)))</x:f>
        <x:v>93184</x:v>
      </x:c>
      <x:c r="U210" s="9" t="n">
        <x:f>IF(Y210="","",M210*$AD210/1000)</x:f>
        <x:v>1122.3</x:v>
      </x:c>
      <x:c r="V210" s="9" t="n">
        <x:f>IF(Z210="","",N210*$AD210/1000)</x:f>
        <x:v>314.6</x:v>
      </x:c>
      <x:c r="W210" s="9" t="n">
        <x:f>IF(AA210="","",O210*$AD210/1000)</x:f>
        <x:v>4.571651780264984</x:v>
      </x:c>
      <x:c r="X210" s="9" t="n">
        <x:f>IF(AB210="","",P210*$AD210/1000)</x:f>
        <x:v>232960</x:v>
      </x:c>
      <x:c r="Y210" s="3" t="n">
        <x:v>79</x:v>
      </x:c>
      <x:c r="Z210" s="3" t="n">
        <x:v>105</x:v>
      </x:c>
      <x:c r="AA210" s="3" t="n">
        <x:v>136</x:v>
      </x:c>
      <x:c r="AB210" s="3" t="n">
        <x:v>186</x:v>
      </x:c>
      <x:c r="AC210" s="3" t="n">
        <x:v>4</x:v>
      </x:c>
      <x:c r="AD210" s="3" t="n">
        <x:f>'方案总览'!$B$5</x:f>
        <x:v>20</x:v>
      </x:c>
    </x:row>
    <x:row r="211" ht="24" customHeight="1">
      <x:c r="A211" s="3" t="str">
        <x:v>T206</x:v>
      </x:c>
      <x:c r="B211" s="3" t="str">
        <x:v>拟合</x:v>
      </x:c>
      <x:c r="C211" s="3" t="str">
        <x:v>C120</x:v>
      </x:c>
      <x:c r="D211" s="3" t="str"/>
      <x:c r="E211" s="3" t="str">
        <x:v>戊酸</x:v>
      </x:c>
      <x:c r="F211" s="3" t="str">
        <x:v>癸酸乙酯</x:v>
      </x:c>
      <x:c r="G211" s="3" t="str">
        <x:v>辛酸</x:v>
      </x:c>
      <x:c r="H211" s="3" t="str">
        <x:v>异戊醛</x:v>
      </x:c>
      <x:c r="I211" s="3" t="str">
        <x:v>M</x:v>
      </x:c>
      <x:c r="J211" s="3" t="str">
        <x:v>H</x:v>
      </x:c>
      <x:c r="K211" s="3" t="str">
        <x:v>H</x:v>
      </x:c>
      <x:c r="L211" s="3" t="str">
        <x:v>H</x:v>
      </x:c>
      <x:c r="M211" s="9" t="n">
        <x:f>IF(Y211="","",INDEX('浓度设置'!$P$6:$R$46,MATCH(Y211,'浓度设置'!$A$6:$A$46,0),IF(I211="L",1,IF(I211="M",2,3))))</x:f>
        <x:v>331.2476415010377</x:v>
      </x:c>
      <x:c r="N211" s="9" t="n">
        <x:f>IF(Z211="","",INDEX('浓度设置'!$P$6:$R$46,MATCH(Z211,'浓度设置'!$A$6:$A$46,0),IF(J211="L",1,IF(J211="M",2,3))))</x:f>
        <x:v>56115</x:v>
      </x:c>
      <x:c r="O211" s="9" t="n">
        <x:f>IF(AA211="","",INDEX('浓度设置'!$P$6:$R$46,MATCH(AA211,'浓度设置'!$A$6:$A$46,0),IF(K211="L",1,IF(K211="M",2,3))))</x:f>
        <x:v>40201.1</x:v>
      </x:c>
      <x:c r="P211" s="9" t="n">
        <x:f>IF(AB211="","",INDEX('浓度设置'!$P$6:$R$46,MATCH(AB211,'浓度设置'!$A$6:$A$46,0),IF(L211="L",1,IF(L211="M",2,3))))</x:f>
        <x:v>227200</x:v>
      </x:c>
      <x:c r="Q211" s="9" t="n">
        <x:f>IF(Y211="","",M211/INDEX('浓度设置'!$M$6:$M$46,MATCH(Y211,'浓度设置'!$A$6:$A$46,0)))</x:f>
        <x:v>0.8515363534731046</x:v>
      </x:c>
      <x:c r="R211" s="9" t="n">
        <x:f>IF(Z211="","",N211/INDEX('浓度设置'!$M$6:$M$46,MATCH(Z211,'浓度设置'!$A$6:$A$46,0)))</x:f>
        <x:v>50.10267857142857</x:v>
      </x:c>
      <x:c r="S211" s="9" t="n">
        <x:f>IF(AA211="","",O211/INDEX('浓度设置'!$M$6:$M$46,MATCH(AA211,'浓度设置'!$A$6:$A$46,0)))</x:f>
        <x:v>14.889296296296296</x:v>
      </x:c>
      <x:c r="T211" s="9" t="n">
        <x:f>IF(AB211="","",P211/INDEX('浓度设置'!$M$6:$M$46,MATCH(AB211,'浓度设置'!$A$6:$A$46,0)))</x:f>
        <x:v>13769.69696969697</x:v>
      </x:c>
      <x:c r="U211" s="9" t="n">
        <x:f>IF(Y211="","",M211*$AD211/1000)</x:f>
        <x:v>6.624952830020755</x:v>
      </x:c>
      <x:c r="V211" s="9" t="n">
        <x:f>IF(Z211="","",N211*$AD211/1000)</x:f>
        <x:v>1122.3</x:v>
      </x:c>
      <x:c r="W211" s="9" t="n">
        <x:f>IF(AA211="","",O211*$AD211/1000)</x:f>
        <x:v>804.022</x:v>
      </x:c>
      <x:c r="X211" s="9" t="n">
        <x:f>IF(AB211="","",P211*$AD211/1000)</x:f>
        <x:v>4544</x:v>
      </x:c>
      <x:c r="Y211" s="3" t="n">
        <x:v>75</x:v>
      </x:c>
      <x:c r="Z211" s="3" t="n">
        <x:v>79</x:v>
      </x:c>
      <x:c r="AA211" s="3" t="n">
        <x:v>117</x:v>
      </x:c>
      <x:c r="AB211" s="3" t="n">
        <x:v>152</x:v>
      </x:c>
      <x:c r="AC211" s="3" t="n">
        <x:v>4</x:v>
      </x:c>
      <x:c r="AD211" s="3" t="n">
        <x:f>'方案总览'!$B$5</x:f>
        <x:v>20</x:v>
      </x:c>
    </x:row>
    <x:row r="212" ht="24" customHeight="1">
      <x:c r="A212" s="3" t="str">
        <x:v>T207</x:v>
      </x:c>
      <x:c r="B212" s="3" t="str">
        <x:v>拟合</x:v>
      </x:c>
      <x:c r="C212" s="3" t="str">
        <x:v>C121</x:v>
      </x:c>
      <x:c r="D212" s="3" t="str"/>
      <x:c r="E212" s="3" t="str">
        <x:v>己醛</x:v>
      </x:c>
      <x:c r="F212" s="3" t="str">
        <x:v>异丁酸乙酯</x:v>
      </x:c>
      <x:c r="G212" s="3" t="str">
        <x:v>异戊酸乙酯（3-甲基丁酸乙酯）</x:v>
      </x:c>
      <x:c r="H212" s="3" t="str">
        <x:v>戊酸</x:v>
      </x:c>
      <x:c r="I212" s="3" t="str">
        <x:v>M</x:v>
      </x:c>
      <x:c r="J212" s="3" t="str">
        <x:v>H</x:v>
      </x:c>
      <x:c r="K212" s="3" t="str">
        <x:v>M</x:v>
      </x:c>
      <x:c r="L212" s="3" t="str">
        <x:v>L</x:v>
      </x:c>
      <x:c r="M212" s="9" t="n">
        <x:f>IF(Y212="","",INDEX('浓度设置'!$P$6:$R$46,MATCH(Y212,'浓度设置'!$A$6:$A$46,0),IF(I212="L",1,IF(I212="M",2,3))))</x:f>
        <x:v>729.4776350238574</x:v>
      </x:c>
      <x:c r="N212" s="9" t="n">
        <x:f>IF(Z212="","",INDEX('浓度设置'!$P$6:$R$46,MATCH(Z212,'浓度设置'!$A$6:$A$46,0),IF(J212="L",1,IF(J212="M",2,3))))</x:f>
        <x:v>37489</x:v>
      </x:c>
      <x:c r="O212" s="9" t="n">
        <x:f>IF(AA212="","",INDEX('浓度设置'!$P$6:$R$46,MATCH(AA212,'浓度设置'!$A$6:$A$46,0),IF(K212="L",1,IF(K212="M",2,3))))</x:f>
        <x:v>99.89207175747232</x:v>
      </x:c>
      <x:c r="P212" s="9" t="n">
        <x:f>IF(AB212="","",INDEX('浓度设置'!$P$6:$R$46,MATCH(AB212,'浓度设置'!$A$6:$A$46,0),IF(L212="L",1,IF(L212="M",2,3))))</x:f>
        <x:v>1.75</x:v>
      </x:c>
      <x:c r="Q212" s="9" t="n">
        <x:f>IF(Y212="","",M212/INDEX('浓度设置'!$M$6:$M$46,MATCH(Y212,'浓度设置'!$A$6:$A$46,0)))</x:f>
        <x:v>28.606966079366956</x:v>
      </x:c>
      <x:c r="R212" s="9" t="n">
        <x:f>IF(Z212="","",N212/INDEX('浓度设置'!$M$6:$M$46,MATCH(Z212,'浓度设置'!$A$6:$A$46,0)))</x:f>
        <x:v>651.9826086956522</x:v>
      </x:c>
      <x:c r="S212" s="9" t="n">
        <x:f>IF(AA212="","",O212/INDEX('浓度设置'!$M$6:$M$46,MATCH(AA212,'浓度设置'!$A$6:$A$46,0)))</x:f>
        <x:v>14.49812362227465</x:v>
      </x:c>
      <x:c r="T212" s="9" t="n">
        <x:f>IF(AB212="","",P212/INDEX('浓度设置'!$M$6:$M$46,MATCH(AB212,'浓度设置'!$A$6:$A$46,0)))</x:f>
        <x:v>0.004498714652956298</x:v>
      </x:c>
      <x:c r="U212" s="9" t="n">
        <x:f>IF(Y212="","",M212*$AD212/1000)</x:f>
        <x:v>14.589552700477146</x:v>
      </x:c>
      <x:c r="V212" s="9" t="n">
        <x:f>IF(Z212="","",N212*$AD212/1000)</x:f>
        <x:v>749.78</x:v>
      </x:c>
      <x:c r="W212" s="9" t="n">
        <x:f>IF(AA212="","",O212*$AD212/1000)</x:f>
        <x:v>1.9978414351494465</x:v>
      </x:c>
      <x:c r="X212" s="9" t="n">
        <x:f>IF(AB212="","",P212*$AD212/1000)</x:f>
        <x:v>0.035</x:v>
      </x:c>
      <x:c r="Y212" s="3" t="n">
        <x:v>7</x:v>
      </x:c>
      <x:c r="Z212" s="3" t="n">
        <x:v>32</x:v>
      </x:c>
      <x:c r="AA212" s="3" t="n">
        <x:v>69</x:v>
      </x:c>
      <x:c r="AB212" s="3" t="n">
        <x:v>75</x:v>
      </x:c>
      <x:c r="AC212" s="3" t="n">
        <x:v>4</x:v>
      </x:c>
      <x:c r="AD212" s="3" t="n">
        <x:f>'方案总览'!$B$5</x:f>
        <x:v>20</x:v>
      </x:c>
    </x:row>
    <x:row r="213" ht="24" customHeight="1">
      <x:c r="A213" s="3" t="str">
        <x:v>T208</x:v>
      </x:c>
      <x:c r="B213" s="3" t="str">
        <x:v>拟合</x:v>
      </x:c>
      <x:c r="C213" s="3" t="str">
        <x:v>C122</x:v>
      </x:c>
      <x:c r="D213" s="3" t="str"/>
      <x:c r="E213" s="3" t="str">
        <x:v>苯乙酸乙酯</x:v>
      </x:c>
      <x:c r="F213" s="3" t="str">
        <x:v>乙醛二乙缩醛</x:v>
      </x:c>
      <x:c r="G213" s="3" t="str">
        <x:v>异戊酸/3-甲基丁酸</x:v>
      </x:c>
      <x:c r="H213" s="3" t="str">
        <x:v>戊酸乙酯</x:v>
      </x:c>
      <x:c r="I213" s="3" t="str">
        <x:v>H</x:v>
      </x:c>
      <x:c r="J213" s="3" t="str">
        <x:v>L</x:v>
      </x:c>
      <x:c r="K213" s="3" t="str">
        <x:v>H</x:v>
      </x:c>
      <x:c r="L213" s="3" t="str">
        <x:v>H</x:v>
      </x:c>
      <x:c r="M213" s="9" t="n">
        <x:f>IF(Y213="","",INDEX('浓度设置'!$P$6:$R$46,MATCH(Y213,'浓度设置'!$A$6:$A$46,0),IF(I213="L",1,IF(I213="M",2,3))))</x:f>
        <x:v>21400</x:v>
      </x:c>
      <x:c r="N213" s="9" t="n">
        <x:f>IF(Z213="","",INDEX('浓度设置'!$P$6:$R$46,MATCH(Z213,'浓度设置'!$A$6:$A$46,0),IF(J213="L",1,IF(J213="M",2,3))))</x:f>
        <x:v>9.61</x:v>
      </x:c>
      <x:c r="O213" s="9" t="n">
        <x:f>IF(AA213="","",INDEX('浓度设置'!$P$6:$R$46,MATCH(AA213,'浓度设置'!$A$6:$A$46,0),IF(K213="L",1,IF(K213="M",2,3))))</x:f>
        <x:v>44000</x:v>
      </x:c>
      <x:c r="P213" s="9" t="n">
        <x:f>IF(AB213="","",INDEX('浓度设置'!$P$6:$R$46,MATCH(AB213,'浓度设置'!$A$6:$A$46,0),IF(L213="L",1,IF(L213="M",2,3))))</x:f>
        <x:v>1039840</x:v>
      </x:c>
      <x:c r="Q213" s="9" t="n">
        <x:f>IF(Y213="","",M213/INDEX('浓度设置'!$M$6:$M$46,MATCH(Y213,'浓度设置'!$A$6:$A$46,0)))</x:f>
        <x:v>52.57985257985258</x:v>
      </x:c>
      <x:c r="R213" s="9" t="n">
        <x:f>IF(Z213="","",N213/INDEX('浓度设置'!$M$6:$M$46,MATCH(Z213,'浓度设置'!$A$6:$A$46,0)))</x:f>
        <x:v>0.004598086124401914</x:v>
      </x:c>
      <x:c r="S213" s="9" t="n">
        <x:f>IF(AA213="","",O213/INDEX('浓度设置'!$M$6:$M$46,MATCH(AA213,'浓度设置'!$A$6:$A$46,0)))</x:f>
        <x:v>41.904761904761905</x:v>
      </x:c>
      <x:c r="T213" s="9" t="n">
        <x:f>IF(AB213="","",P213/INDEX('浓度设置'!$M$6:$M$46,MATCH(AB213,'浓度设置'!$A$6:$A$46,0)))</x:f>
        <x:v>38800</x:v>
      </x:c>
      <x:c r="U213" s="9" t="n">
        <x:f>IF(Y213="","",M213*$AD213/1000)</x:f>
        <x:v>428</x:v>
      </x:c>
      <x:c r="V213" s="9" t="n">
        <x:f>IF(Z213="","",N213*$AD213/1000)</x:f>
        <x:v>0.19219999999999998</x:v>
      </x:c>
      <x:c r="W213" s="9" t="n">
        <x:f>IF(AA213="","",O213*$AD213/1000)</x:f>
        <x:v>880</x:v>
      </x:c>
      <x:c r="X213" s="9" t="n">
        <x:f>IF(AB213="","",P213*$AD213/1000)</x:f>
        <x:v>20796.8</x:v>
      </x:c>
      <x:c r="Y213" s="3" t="n">
        <x:v>40</x:v>
      </x:c>
      <x:c r="Z213" s="3" t="n">
        <x:v>53</x:v>
      </x:c>
      <x:c r="AA213" s="3" t="n">
        <x:v>136</x:v>
      </x:c>
      <x:c r="AB213" s="3" t="n">
        <x:v>141</x:v>
      </x:c>
      <x:c r="AC213" s="3" t="n">
        <x:v>4</x:v>
      </x:c>
      <x:c r="AD213" s="3" t="n">
        <x:f>'方案总览'!$B$5</x:f>
        <x:v>20</x:v>
      </x:c>
    </x:row>
    <x:row r="214" ht="24" customHeight="1">
      <x:c r="A214" s="3" t="str">
        <x:v>T209</x:v>
      </x:c>
      <x:c r="B214" s="3" t="str">
        <x:v>拟合</x:v>
      </x:c>
      <x:c r="C214" s="3" t="str">
        <x:v>C123</x:v>
      </x:c>
      <x:c r="D214" s="3" t="str"/>
      <x:c r="E214" s="3" t="str">
        <x:v>苯乙醛</x:v>
      </x:c>
      <x:c r="F214" s="3" t="str">
        <x:v>戊酸乙酯</x:v>
      </x:c>
      <x:c r="G214" s="3" t="str">
        <x:v>异戊醛</x:v>
      </x:c>
      <x:c r="H214" s="3" t="str">
        <x:v>己酸丁酯</x:v>
      </x:c>
      <x:c r="I214" s="3" t="str">
        <x:v>H</x:v>
      </x:c>
      <x:c r="J214" s="3" t="str">
        <x:v>H</x:v>
      </x:c>
      <x:c r="K214" s="3" t="str">
        <x:v>L</x:v>
      </x:c>
      <x:c r="L214" s="3" t="str">
        <x:v>M</x:v>
      </x:c>
      <x:c r="M214" s="9" t="n">
        <x:f>IF(Y214="","",INDEX('浓度设置'!$P$6:$R$46,MATCH(Y214,'浓度设置'!$A$6:$A$46,0),IF(I214="L",1,IF(I214="M",2,3))))</x:f>
        <x:v>15730</x:v>
      </x:c>
      <x:c r="N214" s="9" t="n">
        <x:f>IF(Z214="","",INDEX('浓度设置'!$P$6:$R$46,MATCH(Z214,'浓度设置'!$A$6:$A$46,0),IF(J214="L",1,IF(J214="M",2,3))))</x:f>
        <x:v>1039840</x:v>
      </x:c>
      <x:c r="O214" s="9" t="n">
        <x:f>IF(AA214="","",INDEX('浓度设置'!$P$6:$R$46,MATCH(AA214,'浓度设置'!$A$6:$A$46,0),IF(K214="L",1,IF(K214="M",2,3))))</x:f>
        <x:v>4.84</x:v>
      </x:c>
      <x:c r="P214" s="9" t="n">
        <x:f>IF(AB214="","",INDEX('浓度设置'!$P$6:$R$46,MATCH(AB214,'浓度设置'!$A$6:$A$46,0),IF(L214="L",1,IF(L214="M",2,3))))</x:f>
        <x:v>823.735</x:v>
      </x:c>
      <x:c r="Q214" s="9" t="n">
        <x:f>IF(Y214="","",M214/INDEX('浓度设置'!$M$6:$M$46,MATCH(Y214,'浓度设置'!$A$6:$A$46,0)))</x:f>
        <x:v>60.038167938931295</x:v>
      </x:c>
      <x:c r="R214" s="9" t="n">
        <x:f>IF(Z214="","",N214/INDEX('浓度设置'!$M$6:$M$46,MATCH(Z214,'浓度设置'!$A$6:$A$46,0)))</x:f>
        <x:v>38800</x:v>
      </x:c>
      <x:c r="S214" s="9" t="n">
        <x:f>IF(AA214="","",O214/INDEX('浓度设置'!$M$6:$M$46,MATCH(AA214,'浓度设置'!$A$6:$A$46,0)))</x:f>
        <x:v>0.29333333333333333</x:v>
      </x:c>
      <x:c r="T214" s="9" t="n">
        <x:f>IF(AB214="","",P214/INDEX('浓度设置'!$M$6:$M$46,MATCH(AB214,'浓度设置'!$A$6:$A$46,0)))</x:f>
        <x:v>1.2152351587395256</x:v>
      </x:c>
      <x:c r="U214" s="9" t="n">
        <x:f>IF(Y214="","",M214*$AD214/1000)</x:f>
        <x:v>314.6</x:v>
      </x:c>
      <x:c r="V214" s="9" t="n">
        <x:f>IF(Z214="","",N214*$AD214/1000)</x:f>
        <x:v>20796.8</x:v>
      </x:c>
      <x:c r="W214" s="9" t="n">
        <x:f>IF(AA214="","",O214*$AD214/1000)</x:f>
        <x:v>0.0968</x:v>
      </x:c>
      <x:c r="X214" s="9" t="n">
        <x:f>IF(AB214="","",P214*$AD214/1000)</x:f>
        <x:v>16.474700000000002</x:v>
      </x:c>
      <x:c r="Y214" s="3" t="n">
        <x:v>105</x:v>
      </x:c>
      <x:c r="Z214" s="3" t="n">
        <x:v>141</x:v>
      </x:c>
      <x:c r="AA214" s="3" t="n">
        <x:v>152</x:v>
      </x:c>
      <x:c r="AB214" s="3" t="n">
        <x:v>165</x:v>
      </x:c>
      <x:c r="AC214" s="3" t="n">
        <x:v>4</x:v>
      </x:c>
      <x:c r="AD214" s="3" t="n">
        <x:f>'方案总览'!$B$5</x:f>
        <x:v>20</x:v>
      </x:c>
    </x:row>
    <x:row r="215" ht="24" customHeight="1">
      <x:c r="A215" s="3" t="str">
        <x:v>T210</x:v>
      </x:c>
      <x:c r="B215" s="3" t="str">
        <x:v>拟合</x:v>
      </x:c>
      <x:c r="C215" s="3" t="str">
        <x:v>C124</x:v>
      </x:c>
      <x:c r="D215" s="3" t="str"/>
      <x:c r="E215" s="3" t="str">
        <x:v>己酸乙酯</x:v>
      </x:c>
      <x:c r="F215" s="3" t="str">
        <x:v>乙酸异戊酯</x:v>
      </x:c>
      <x:c r="G215" s="3" t="str">
        <x:v>3-苯基丙酸乙酯</x:v>
      </x:c>
      <x:c r="H215" s="3" t="str">
        <x:v>二甲基三硫醚</x:v>
      </x:c>
      <x:c r="I215" s="3" t="str">
        <x:v>L</x:v>
      </x:c>
      <x:c r="J215" s="3" t="str">
        <x:v>H</x:v>
      </x:c>
      <x:c r="K215" s="3" t="str">
        <x:v>L</x:v>
      </x:c>
      <x:c r="L215" s="3" t="str">
        <x:v>H</x:v>
      </x:c>
      <x:c r="M215" s="9" t="n">
        <x:f>IF(Y215="","",INDEX('浓度设置'!$P$6:$R$46,MATCH(Y215,'浓度设置'!$A$6:$A$46,0),IF(I215="L",1,IF(I215="M",2,3))))</x:f>
        <x:v>833.64</x:v>
      </x:c>
      <x:c r="N215" s="9" t="n">
        <x:f>IF(Z215="","",INDEX('浓度设置'!$P$6:$R$46,MATCH(Z215,'浓度设置'!$A$6:$A$46,0),IF(J215="L",1,IF(J215="M",2,3))))</x:f>
        <x:v>6516</x:v>
      </x:c>
      <x:c r="O215" s="9" t="n">
        <x:f>IF(AA215="","",INDEX('浓度设置'!$P$6:$R$46,MATCH(AA215,'浓度设置'!$A$6:$A$46,0),IF(K215="L",1,IF(K215="M",2,3))))</x:f>
        <x:v>1.56</x:v>
      </x:c>
      <x:c r="P215" s="9" t="n">
        <x:f>IF(AB215="","",INDEX('浓度设置'!$P$6:$R$46,MATCH(AB215,'浓度设置'!$A$6:$A$46,0),IF(L215="L",1,IF(L215="M",2,3))))</x:f>
        <x:v>4201.44</x:v>
      </x:c>
      <x:c r="Q215" s="9" t="n">
        <x:f>IF(Y215="","",M215/INDEX('浓度设置'!$M$6:$M$46,MATCH(Y215,'浓度设置'!$A$6:$A$46,0)))</x:f>
        <x:v>15.074864376130199</x:v>
      </x:c>
      <x:c r="R215" s="9" t="n">
        <x:f>IF(Z215="","",N215/INDEX('浓度设置'!$M$6:$M$46,MATCH(Z215,'浓度设置'!$A$6:$A$46,0)))</x:f>
        <x:v>69.39297124600638</x:v>
      </x:c>
      <x:c r="S215" s="9" t="n">
        <x:f>IF(AA215="","",O215/INDEX('浓度设置'!$M$6:$M$46,MATCH(AA215,'浓度设置'!$A$6:$A$46,0)))</x:f>
        <x:v>0.01248</x:v>
      </x:c>
      <x:c r="T215" s="9" t="n">
        <x:f>IF(AB215="","",P215/INDEX('浓度设置'!$M$6:$M$46,MATCH(AB215,'浓度设置'!$A$6:$A$46,0)))</x:f>
        <x:v>11670.666666666666</x:v>
      </x:c>
      <x:c r="U215" s="9" t="n">
        <x:f>IF(Y215="","",M215*$AD215/1000)</x:f>
        <x:v>16.6728</x:v>
      </x:c>
      <x:c r="V215" s="9" t="n">
        <x:f>IF(Z215="","",N215*$AD215/1000)</x:f>
        <x:v>130.32</x:v>
      </x:c>
      <x:c r="W215" s="9" t="n">
        <x:f>IF(AA215="","",O215*$AD215/1000)</x:f>
        <x:v>0.031200000000000002</x:v>
      </x:c>
      <x:c r="X215" s="9" t="n">
        <x:f>IF(AB215="","",P215*$AD215/1000)</x:f>
        <x:v>84.02879999999999</x:v>
      </x:c>
      <x:c r="Y215" s="3" t="n">
        <x:v>111</x:v>
      </x:c>
      <x:c r="Z215" s="3" t="n">
        <x:v>115</x:v>
      </x:c>
      <x:c r="AA215" s="3" t="n">
        <x:v>186</x:v>
      </x:c>
      <x:c r="AB215" s="3" t="n">
        <x:v>209</x:v>
      </x:c>
      <x:c r="AC215" s="3" t="n">
        <x:v>4</x:v>
      </x:c>
      <x:c r="AD215" s="3" t="n">
        <x:f>'方案总览'!$B$5</x:f>
        <x:v>20</x:v>
      </x:c>
    </x:row>
    <x:row r="216" ht="24" customHeight="1">
      <x:c r="A216" s="3" t="str">
        <x:v>T211</x:v>
      </x:c>
      <x:c r="B216" s="3" t="str">
        <x:v>拟合</x:v>
      </x:c>
      <x:c r="C216" s="3" t="str">
        <x:v>C125</x:v>
      </x:c>
      <x:c r="D216" s="3" t="str"/>
      <x:c r="E216" s="3" t="str">
        <x:v>2-甲基丙醛</x:v>
      </x:c>
      <x:c r="F216" s="3" t="str">
        <x:v>1-辛醇</x:v>
      </x:c>
      <x:c r="G216" s="3" t="str">
        <x:v>己酸</x:v>
      </x:c>
      <x:c r="H216" s="3" t="str">
        <x:v>β-大马酮</x:v>
      </x:c>
      <x:c r="I216" s="3" t="str">
        <x:v>H</x:v>
      </x:c>
      <x:c r="J216" s="3" t="str">
        <x:v>H</x:v>
      </x:c>
      <x:c r="K216" s="3" t="str">
        <x:v>L</x:v>
      </x:c>
      <x:c r="L216" s="3" t="str">
        <x:v>L</x:v>
      </x:c>
      <x:c r="M216" s="9" t="n">
        <x:f>IF(Y216="","",INDEX('浓度设置'!$P$6:$R$46,MATCH(Y216,'浓度设置'!$A$6:$A$46,0),IF(I216="L",1,IF(I216="M",2,3))))</x:f>
        <x:v>35900</x:v>
      </x:c>
      <x:c r="N216" s="9" t="n">
        <x:f>IF(Z216="","",INDEX('浓度设置'!$P$6:$R$46,MATCH(Z216,'浓度设置'!$A$6:$A$46,0),IF(J216="L",1,IF(J216="M",2,3))))</x:f>
        <x:v>25642.45</x:v>
      </x:c>
      <x:c r="O216" s="9" t="n">
        <x:f>IF(AA216="","",INDEX('浓度设置'!$P$6:$R$46,MATCH(AA216,'浓度设置'!$A$6:$A$46,0),IF(K216="L",1,IF(K216="M",2,3))))</x:f>
        <x:v>2.125</x:v>
      </x:c>
      <x:c r="P216" s="9" t="n">
        <x:f>IF(AB216="","",INDEX('浓度设置'!$P$6:$R$46,MATCH(AB216,'浓度设置'!$A$6:$A$46,0),IF(L216="L",1,IF(L216="M",2,3))))</x:f>
        <x:v>1.5</x:v>
      </x:c>
      <x:c r="Q216" s="9" t="n">
        <x:f>IF(Y216="","",M216/INDEX('浓度设置'!$M$6:$M$46,MATCH(Y216,'浓度设置'!$A$6:$A$46,0)))</x:f>
        <x:v>6084.745762711864</x:v>
      </x:c>
      <x:c r="R216" s="9" t="n">
        <x:f>IF(Z216="","",N216/INDEX('浓度设置'!$M$6:$M$46,MATCH(Z216,'浓度设置'!$A$6:$A$46,0)))</x:f>
        <x:v>23.311318181818184</x:v>
      </x:c>
      <x:c r="S216" s="9" t="n">
        <x:f>IF(AA216="","",O216/INDEX('浓度设置'!$M$6:$M$46,MATCH(AA216,'浓度设置'!$A$6:$A$46,0)))</x:f>
        <x:v>0.0008432539682539683</x:v>
      </x:c>
      <x:c r="T216" s="9" t="n">
        <x:f>IF(AB216="","",P216/INDEX('浓度设置'!$M$6:$M$46,MATCH(AB216,'浓度设置'!$A$6:$A$46,0)))</x:f>
        <x:v>12.5</x:v>
      </x:c>
      <x:c r="U216" s="9" t="n">
        <x:f>IF(Y216="","",M216*$AD216/1000)</x:f>
        <x:v>718</x:v>
      </x:c>
      <x:c r="V216" s="9" t="n">
        <x:f>IF(Z216="","",N216*$AD216/1000)</x:f>
        <x:v>512.849</x:v>
      </x:c>
      <x:c r="W216" s="9" t="n">
        <x:f>IF(AA216="","",O216*$AD216/1000)</x:f>
        <x:v>0.0425</x:v>
      </x:c>
      <x:c r="X216" s="9" t="n">
        <x:f>IF(AB216="","",P216*$AD216/1000)</x:f>
        <x:v>0.03</x:v>
      </x:c>
      <x:c r="Y216" s="3" t="n">
        <x:v>18</x:v>
      </x:c>
      <x:c r="Z216" s="3" t="n">
        <x:v>90</x:v>
      </x:c>
      <x:c r="AA216" s="3" t="n">
        <x:v>126</x:v>
      </x:c>
      <x:c r="AB216" s="3" t="n">
        <x:v>255</x:v>
      </x:c>
      <x:c r="AC216" s="3" t="n">
        <x:v>4</x:v>
      </x:c>
      <x:c r="AD216" s="3" t="n">
        <x:f>'方案总览'!$B$5</x:f>
        <x:v>20</x:v>
      </x:c>
    </x:row>
    <x:row r="217" ht="24" customHeight="1">
      <x:c r="A217" s="3" t="str">
        <x:v>T212</x:v>
      </x:c>
      <x:c r="B217" s="3" t="str">
        <x:v>拟合</x:v>
      </x:c>
      <x:c r="C217" s="3" t="str">
        <x:v>C126</x:v>
      </x:c>
      <x:c r="D217" s="3" t="str"/>
      <x:c r="E217" s="3" t="str">
        <x:v>1-丁醇</x:v>
      </x:c>
      <x:c r="F217" s="3" t="str">
        <x:v>乙酸丁酯</x:v>
      </x:c>
      <x:c r="G217" s="3" t="str">
        <x:v>1-辛烯-3-醇</x:v>
      </x:c>
      <x:c r="H217" s="3" t="str">
        <x:v>β-大马酮</x:v>
      </x:c>
      <x:c r="I217" s="3" t="str">
        <x:v>H</x:v>
      </x:c>
      <x:c r="J217" s="3" t="str">
        <x:v>H</x:v>
      </x:c>
      <x:c r="K217" s="3" t="str">
        <x:v>L</x:v>
      </x:c>
      <x:c r="L217" s="3" t="str">
        <x:v>H</x:v>
      </x:c>
      <x:c r="M217" s="9" t="n">
        <x:f>IF(Y217="","",INDEX('浓度设置'!$P$6:$R$46,MATCH(Y217,'浓度设置'!$A$6:$A$46,0),IF(I217="L",1,IF(I217="M",2,3))))</x:f>
        <x:v>1038900</x:v>
      </x:c>
      <x:c r="N217" s="9" t="n">
        <x:f>IF(Z217="","",INDEX('浓度设置'!$P$6:$R$46,MATCH(Z217,'浓度设置'!$A$6:$A$46,0),IF(J217="L",1,IF(J217="M",2,3))))</x:f>
        <x:v>47100</x:v>
      </x:c>
      <x:c r="O217" s="9" t="n">
        <x:f>IF(AA217="","",INDEX('浓度设置'!$P$6:$R$46,MATCH(AA217,'浓度设置'!$A$6:$A$46,0),IF(K217="L",1,IF(K217="M",2,3))))</x:f>
        <x:v>1</x:v>
      </x:c>
      <x:c r="P217" s="9" t="n">
        <x:f>IF(AB217="","",INDEX('浓度设置'!$P$6:$R$46,MATCH(AB217,'浓度设置'!$A$6:$A$46,0),IF(L217="L",1,IF(L217="M",2,3))))</x:f>
        <x:v>60.76</x:v>
      </x:c>
      <x:c r="Q217" s="9" t="n">
        <x:f>IF(Y217="","",M217/INDEX('浓度设置'!$M$6:$M$46,MATCH(Y217,'浓度设置'!$A$6:$A$46,0)))</x:f>
        <x:v>380.1317233809001</x:v>
      </x:c>
      <x:c r="R217" s="9" t="n">
        <x:f>IF(Z217="","",N217/INDEX('浓度设置'!$M$6:$M$46,MATCH(Z217,'浓度设置'!$A$6:$A$46,0)))</x:f>
        <x:v>26.166666666666668</x:v>
      </x:c>
      <x:c r="S217" s="9" t="n">
        <x:f>IF(AA217="","",O217/INDEX('浓度设置'!$M$6:$M$46,MATCH(AA217,'浓度设置'!$A$6:$A$46,0)))</x:f>
        <x:v>0.16339869281045752</x:v>
      </x:c>
      <x:c r="T217" s="9" t="n">
        <x:f>IF(AB217="","",P217/INDEX('浓度设置'!$M$6:$M$46,MATCH(AB217,'浓度设置'!$A$6:$A$46,0)))</x:f>
        <x:v>506.3333333333333</x:v>
      </x:c>
      <x:c r="U217" s="9" t="n">
        <x:f>IF(Y217="","",M217*$AD217/1000)</x:f>
        <x:v>20778</x:v>
      </x:c>
      <x:c r="V217" s="9" t="n">
        <x:f>IF(Z217="","",N217*$AD217/1000)</x:f>
        <x:v>942</x:v>
      </x:c>
      <x:c r="W217" s="9" t="n">
        <x:f>IF(AA217="","",O217*$AD217/1000)</x:f>
        <x:v>0.02</x:v>
      </x:c>
      <x:c r="X217" s="9" t="n">
        <x:f>IF(AB217="","",P217*$AD217/1000)</x:f>
        <x:v>1.2152</x:v>
      </x:c>
      <x:c r="Y217" s="3" t="n">
        <x:v>11</x:v>
      </x:c>
      <x:c r="Z217" s="3" t="n">
        <x:v>114</x:v>
      </x:c>
      <x:c r="AA217" s="3" t="n">
        <x:v>207</x:v>
      </x:c>
      <x:c r="AB217" s="3" t="n">
        <x:v>255</x:v>
      </x:c>
      <x:c r="AC217" s="3" t="n">
        <x:v>4</x:v>
      </x:c>
      <x:c r="AD217" s="3" t="n">
        <x:f>'方案总览'!$B$5</x:f>
        <x:v>20</x:v>
      </x:c>
    </x:row>
    <x:row r="218" ht="24" customHeight="1">
      <x:c r="A218" s="3" t="str">
        <x:v>T213</x:v>
      </x:c>
      <x:c r="B218" s="3" t="str">
        <x:v>拟合</x:v>
      </x:c>
      <x:c r="C218" s="3" t="str">
        <x:v>C127</x:v>
      </x:c>
      <x:c r="D218" s="3" t="str"/>
      <x:c r="E218" s="3" t="str">
        <x:v>丁酸乙酯</x:v>
      </x:c>
      <x:c r="F218" s="3" t="str">
        <x:v>辛酸乙酯</x:v>
      </x:c>
      <x:c r="G218" s="3" t="str">
        <x:v>对甲酚</x:v>
      </x:c>
      <x:c r="H218" s="3" t="str">
        <x:v>己酸丁酯</x:v>
      </x:c>
      <x:c r="I218" s="3" t="str">
        <x:v>M</x:v>
      </x:c>
      <x:c r="J218" s="3" t="str">
        <x:v>H</x:v>
      </x:c>
      <x:c r="K218" s="3" t="str">
        <x:v>H</x:v>
      </x:c>
      <x:c r="L218" s="3" t="str">
        <x:v>H</x:v>
      </x:c>
      <x:c r="M218" s="9" t="n">
        <x:f>IF(Y218="","",INDEX('浓度设置'!$P$6:$R$46,MATCH(Y218,'浓度设置'!$A$6:$A$46,0),IF(I218="L",1,IF(I218="M",2,3))))</x:f>
        <x:v>2338.9306103431118</x:v>
      </x:c>
      <x:c r="N218" s="9" t="n">
        <x:f>IF(Z218="","",INDEX('浓度设置'!$P$6:$R$46,MATCH(Z218,'浓度设置'!$A$6:$A$46,0),IF(J218="L",1,IF(J218="M",2,3))))</x:f>
        <x:v>1865945</x:v>
      </x:c>
      <x:c r="O218" s="9" t="n">
        <x:f>IF(AA218="","",INDEX('浓度设置'!$P$6:$R$46,MATCH(AA218,'浓度设置'!$A$6:$A$46,0),IF(K218="L",1,IF(K218="M",2,3))))</x:f>
        <x:v>6914</x:v>
      </x:c>
      <x:c r="P218" s="9" t="n">
        <x:f>IF(AB218="","",INDEX('浓度设置'!$P$6:$R$46,MATCH(AB218,'浓度设置'!$A$6:$A$46,0),IF(L218="L",1,IF(L218="M",2,3))))</x:f>
        <x:v>86300</x:v>
      </x:c>
      <x:c r="Q218" s="9" t="n">
        <x:f>IF(Y218="","",M218/INDEX('浓度设置'!$M$6:$M$46,MATCH(Y218,'浓度设置'!$A$6:$A$46,0)))</x:f>
        <x:v>28.6985350962345</x:v>
      </x:c>
      <x:c r="R218" s="9" t="n">
        <x:f>IF(Z218="","",N218/INDEX('浓度设置'!$M$6:$M$46,MATCH(Z218,'浓度设置'!$A$6:$A$46,0)))</x:f>
        <x:v>144646.8992248062</x:v>
      </x:c>
      <x:c r="S218" s="9" t="n">
        <x:f>IF(AA218="","",O218/INDEX('浓度设置'!$M$6:$M$46,MATCH(AA218,'浓度设置'!$A$6:$A$46,0)))</x:f>
        <x:v>41.40119760479042</x:v>
      </x:c>
      <x:c r="T218" s="9" t="n">
        <x:f>IF(AB218="","",P218/INDEX('浓度设置'!$M$6:$M$46,MATCH(AB218,'浓度设置'!$A$6:$A$46,0)))</x:f>
        <x:v>127.31618080963058</x:v>
      </x:c>
      <x:c r="U218" s="9" t="n">
        <x:f>IF(Y218="","",M218*$AD218/1000)</x:f>
        <x:v>46.778612206862235</x:v>
      </x:c>
      <x:c r="V218" s="9" t="n">
        <x:f>IF(Z218="","",N218*$AD218/1000)</x:f>
        <x:v>37318.9</x:v>
      </x:c>
      <x:c r="W218" s="9" t="n">
        <x:f>IF(AA218="","",O218*$AD218/1000)</x:f>
        <x:v>138.28</x:v>
      </x:c>
      <x:c r="X218" s="9" t="n">
        <x:f>IF(AB218="","",P218*$AD218/1000)</x:f>
        <x:v>1726</x:v>
      </x:c>
      <x:c r="Y218" s="3" t="n">
        <x:v>52</x:v>
      </x:c>
      <x:c r="Z218" s="3" t="n">
        <x:v>58</x:v>
      </x:c>
      <x:c r="AA218" s="3" t="n">
        <x:v>61</x:v>
      </x:c>
      <x:c r="AB218" s="3" t="n">
        <x:v>165</x:v>
      </x:c>
      <x:c r="AC218" s="3" t="n">
        <x:v>4</x:v>
      </x:c>
      <x:c r="AD218" s="3" t="n">
        <x:f>'方案总览'!$B$5</x:f>
        <x:v>20</x:v>
      </x:c>
    </x:row>
    <x:row r="219" ht="24" customHeight="1">
      <x:c r="A219" s="3" t="str">
        <x:v>T214</x:v>
      </x:c>
      <x:c r="B219" s="3" t="str">
        <x:v>拟合</x:v>
      </x:c>
      <x:c r="C219" s="3" t="str">
        <x:v>C128</x:v>
      </x:c>
      <x:c r="D219" s="3" t="str"/>
      <x:c r="E219" s="3" t="str">
        <x:v>己醛</x:v>
      </x:c>
      <x:c r="F219" s="3" t="str">
        <x:v>乙醛二乙缩醛</x:v>
      </x:c>
      <x:c r="G219" s="3" t="str">
        <x:v>丁酸异戊酯</x:v>
      </x:c>
      <x:c r="H219" s="3" t="str">
        <x:v>2-甲基丁酸乙酯</x:v>
      </x:c>
      <x:c r="I219" s="3" t="str">
        <x:v>H</x:v>
      </x:c>
      <x:c r="J219" s="3" t="str">
        <x:v>H</x:v>
      </x:c>
      <x:c r="K219" s="3" t="str">
        <x:v>M</x:v>
      </x:c>
      <x:c r="L219" s="3" t="str">
        <x:v>M</x:v>
      </x:c>
      <x:c r="M219" s="9" t="n">
        <x:f>IF(Y219="","",INDEX('浓度设置'!$P$6:$R$46,MATCH(Y219,'浓度设置'!$A$6:$A$46,0),IF(I219="L",1,IF(I219="M",2,3))))</x:f>
        <x:v>3075.94</x:v>
      </x:c>
      <x:c r="N219" s="9" t="n">
        <x:f>IF(Z219="","",INDEX('浓度设置'!$P$6:$R$46,MATCH(Z219,'浓度设置'!$A$6:$A$46,0),IF(J219="L",1,IF(J219="M",2,3))))</x:f>
        <x:v>784300</x:v>
      </x:c>
      <x:c r="O219" s="9" t="n">
        <x:f>IF(AA219="","",INDEX('浓度设置'!$P$6:$R$46,MATCH(AA219,'浓度设置'!$A$6:$A$46,0),IF(K219="L",1,IF(K219="M",2,3))))</x:f>
        <x:v>1041.8500000000001</x:v>
      </x:c>
      <x:c r="P219" s="9" t="n">
        <x:f>IF(AB219="","",INDEX('浓度设置'!$P$6:$R$46,MATCH(AB219,'浓度设置'!$A$6:$A$46,0),IF(L219="L",1,IF(L219="M",2,3))))</x:f>
        <x:v>39.53062104242735</x:v>
      </x:c>
      <x:c r="Q219" s="9" t="n">
        <x:f>IF(Y219="","",M219/INDEX('浓度设置'!$M$6:$M$46,MATCH(Y219,'浓度设置'!$A$6:$A$46,0)))</x:f>
        <x:v>120.62509803921569</x:v>
      </x:c>
      <x:c r="R219" s="9" t="n">
        <x:f>IF(Z219="","",N219/INDEX('浓度设置'!$M$6:$M$46,MATCH(Z219,'浓度设置'!$A$6:$A$46,0)))</x:f>
        <x:v>375.2631578947368</x:v>
      </x:c>
      <x:c r="S219" s="9" t="n">
        <x:f>IF(AA219="","",O219/INDEX('浓度设置'!$M$6:$M$46,MATCH(AA219,'浓度设置'!$A$6:$A$46,0)))</x:f>
        <x:v>1.1386338797814208</x:v>
      </x:c>
      <x:c r="T219" s="9" t="n">
        <x:f>IF(AB219="","",P219/INDEX('浓度设置'!$M$6:$M$46,MATCH(AB219,'浓度设置'!$A$6:$A$46,0)))</x:f>
        <x:v>2.196145613468186</x:v>
      </x:c>
      <x:c r="U219" s="9" t="n">
        <x:f>IF(Y219="","",M219*$AD219/1000)</x:f>
        <x:v>61.518800000000006</x:v>
      </x:c>
      <x:c r="V219" s="9" t="n">
        <x:f>IF(Z219="","",N219*$AD219/1000)</x:f>
        <x:v>15686</x:v>
      </x:c>
      <x:c r="W219" s="9" t="n">
        <x:f>IF(AA219="","",O219*$AD219/1000)</x:f>
        <x:v>20.837000000000003</x:v>
      </x:c>
      <x:c r="X219" s="9" t="n">
        <x:f>IF(AB219="","",P219*$AD219/1000)</x:f>
        <x:v>0.790612420848547</x:v>
      </x:c>
      <x:c r="Y219" s="3" t="n">
        <x:v>7</x:v>
      </x:c>
      <x:c r="Z219" s="3" t="n">
        <x:v>53</x:v>
      </x:c>
      <x:c r="AA219" s="3" t="n">
        <x:v>56</x:v>
      </x:c>
      <x:c r="AB219" s="3" t="n">
        <x:v>232</x:v>
      </x:c>
      <x:c r="AC219" s="3" t="n">
        <x:v>4</x:v>
      </x:c>
      <x:c r="AD219" s="3" t="n">
        <x:f>'方案总览'!$B$5</x:f>
        <x:v>20</x:v>
      </x:c>
    </x:row>
    <x:row r="220" ht="24" customHeight="1">
      <x:c r="A220" s="3" t="str">
        <x:v>T215</x:v>
      </x:c>
      <x:c r="B220" s="3" t="str">
        <x:v>拟合</x:v>
      </x:c>
      <x:c r="C220" s="3" t="str">
        <x:v>C129</x:v>
      </x:c>
      <x:c r="D220" s="3" t="str"/>
      <x:c r="E220" s="3" t="str">
        <x:v>2-甲基丙醛</x:v>
      </x:c>
      <x:c r="F220" s="3" t="str">
        <x:v>辛酸乙酯</x:v>
      </x:c>
      <x:c r="G220" s="3" t="str">
        <x:v>异戊酸乙酯（3-甲基丁酸乙酯）</x:v>
      </x:c>
      <x:c r="H220" s="3" t="str">
        <x:v>己酸己酯</x:v>
      </x:c>
      <x:c r="I220" s="3" t="str">
        <x:v>H</x:v>
      </x:c>
      <x:c r="J220" s="3" t="str">
        <x:v>L</x:v>
      </x:c>
      <x:c r="K220" s="3" t="str">
        <x:v>H</x:v>
      </x:c>
      <x:c r="L220" s="3" t="str">
        <x:v>L</x:v>
      </x:c>
      <x:c r="M220" s="9" t="n">
        <x:f>IF(Y220="","",INDEX('浓度设置'!$P$6:$R$46,MATCH(Y220,'浓度设置'!$A$6:$A$46,0),IF(I220="L",1,IF(I220="M",2,3))))</x:f>
        <x:v>35900</x:v>
      </x:c>
      <x:c r="N220" s="9" t="n">
        <x:f>IF(Z220="","",INDEX('浓度设置'!$P$6:$R$46,MATCH(Z220,'浓度设置'!$A$6:$A$46,0),IF(J220="L",1,IF(J220="M",2,3))))</x:f>
        <x:v>5.06</x:v>
      </x:c>
      <x:c r="O220" s="9" t="n">
        <x:f>IF(AA220="","",INDEX('浓度设置'!$P$6:$R$46,MATCH(AA220,'浓度设置'!$A$6:$A$46,0),IF(K220="L",1,IF(K220="M",2,3))))</x:f>
        <x:v>12022.2</x:v>
      </x:c>
      <x:c r="P220" s="9" t="n">
        <x:f>IF(AB220="","",INDEX('浓度设置'!$P$6:$R$46,MATCH(AB220,'浓度设置'!$A$6:$A$46,0),IF(L220="L",1,IF(L220="M",2,3))))</x:f>
        <x:v>2.5</x:v>
      </x:c>
      <x:c r="Q220" s="9" t="n">
        <x:f>IF(Y220="","",M220/INDEX('浓度设置'!$M$6:$M$46,MATCH(Y220,'浓度设置'!$A$6:$A$46,0)))</x:f>
        <x:v>6084.745762711864</x:v>
      </x:c>
      <x:c r="R220" s="9" t="n">
        <x:f>IF(Z220="","",N220/INDEX('浓度设置'!$M$6:$M$46,MATCH(Z220,'浓度设置'!$A$6:$A$46,0)))</x:f>
        <x:v>0.39224806201550383</x:v>
      </x:c>
      <x:c r="S220" s="9" t="n">
        <x:f>IF(AA220="","",O220/INDEX('浓度设置'!$M$6:$M$46,MATCH(AA220,'浓度设置'!$A$6:$A$46,0)))</x:f>
        <x:v>1744.8766328011613</x:v>
      </x:c>
      <x:c r="T220" s="9" t="n">
        <x:f>IF(AB220="","",P220/INDEX('浓度设置'!$M$6:$M$46,MATCH(AB220,'浓度设置'!$A$6:$A$46,0)))</x:f>
        <x:v>0.0013220518244315177</x:v>
      </x:c>
      <x:c r="U220" s="9" t="n">
        <x:f>IF(Y220="","",M220*$AD220/1000)</x:f>
        <x:v>718</x:v>
      </x:c>
      <x:c r="V220" s="9" t="n">
        <x:f>IF(Z220="","",N220*$AD220/1000)</x:f>
        <x:v>0.10119999999999998</x:v>
      </x:c>
      <x:c r="W220" s="9" t="n">
        <x:f>IF(AA220="","",O220*$AD220/1000)</x:f>
        <x:v>240.444</x:v>
      </x:c>
      <x:c r="X220" s="9" t="n">
        <x:f>IF(AB220="","",P220*$AD220/1000)</x:f>
        <x:v>0.05</x:v>
      </x:c>
      <x:c r="Y220" s="3" t="n">
        <x:v>18</x:v>
      </x:c>
      <x:c r="Z220" s="3" t="n">
        <x:v>58</x:v>
      </x:c>
      <x:c r="AA220" s="3" t="n">
        <x:v>69</x:v>
      </x:c>
      <x:c r="AB220" s="3" t="n">
        <x:v>227</x:v>
      </x:c>
      <x:c r="AC220" s="3" t="n">
        <x:v>4</x:v>
      </x:c>
      <x:c r="AD220" s="3" t="n">
        <x:f>'方案总览'!$B$5</x:f>
        <x:v>20</x:v>
      </x:c>
    </x:row>
    <x:row r="221" ht="24" customHeight="1">
      <x:c r="A221" s="3" t="str">
        <x:v>T216</x:v>
      </x:c>
      <x:c r="B221" s="3" t="str">
        <x:v>拟合</x:v>
      </x:c>
      <x:c r="C221" s="3" t="str">
        <x:v>C130</x:v>
      </x:c>
      <x:c r="D221" s="3" t="str"/>
      <x:c r="E221" s="3" t="str">
        <x:v>苯乙酸乙酯</x:v>
      </x:c>
      <x:c r="F221" s="3" t="str">
        <x:v>癸酸乙酯</x:v>
      </x:c>
      <x:c r="G221" s="3" t="str">
        <x:v>异戊醛</x:v>
      </x:c>
      <x:c r="H221" s="3" t="str">
        <x:v>己酸己酯</x:v>
      </x:c>
      <x:c r="I221" s="3" t="str">
        <x:v>M</x:v>
      </x:c>
      <x:c r="J221" s="3" t="str">
        <x:v>H</x:v>
      </x:c>
      <x:c r="K221" s="3" t="str">
        <x:v>L</x:v>
      </x:c>
      <x:c r="L221" s="3" t="str">
        <x:v>L</x:v>
      </x:c>
      <x:c r="M221" s="9" t="n">
        <x:f>IF(Y221="","",INDEX('浓度设置'!$P$6:$R$46,MATCH(Y221,'浓度设置'!$A$6:$A$46,0),IF(I221="L",1,IF(I221="M",2,3))))</x:f>
        <x:v>200.3122562401013</x:v>
      </x:c>
      <x:c r="N221" s="9" t="n">
        <x:f>IF(Z221="","",INDEX('浓度设置'!$P$6:$R$46,MATCH(Z221,'浓度设置'!$A$6:$A$46,0),IF(J221="L",1,IF(J221="M",2,3))))</x:f>
        <x:v>56115</x:v>
      </x:c>
      <x:c r="O221" s="9" t="n">
        <x:f>IF(AA221="","",INDEX('浓度设置'!$P$6:$R$46,MATCH(AA221,'浓度设置'!$A$6:$A$46,0),IF(K221="L",1,IF(K221="M",2,3))))</x:f>
        <x:v>4.84</x:v>
      </x:c>
      <x:c r="P221" s="9" t="n">
        <x:f>IF(AB221="","",INDEX('浓度设置'!$P$6:$R$46,MATCH(AB221,'浓度设置'!$A$6:$A$46,0),IF(L221="L",1,IF(L221="M",2,3))))</x:f>
        <x:v>2.5</x:v>
      </x:c>
      <x:c r="Q221" s="9" t="n">
        <x:f>IF(Y221="","",M221/INDEX('浓度设置'!$M$6:$M$46,MATCH(Y221,'浓度设置'!$A$6:$A$46,0)))</x:f>
        <x:v>0.49216770574963464</x:v>
      </x:c>
      <x:c r="R221" s="9" t="n">
        <x:f>IF(Z221="","",N221/INDEX('浓度设置'!$M$6:$M$46,MATCH(Z221,'浓度设置'!$A$6:$A$46,0)))</x:f>
        <x:v>50.10267857142857</x:v>
      </x:c>
      <x:c r="S221" s="9" t="n">
        <x:f>IF(AA221="","",O221/INDEX('浓度设置'!$M$6:$M$46,MATCH(AA221,'浓度设置'!$A$6:$A$46,0)))</x:f>
        <x:v>0.29333333333333333</x:v>
      </x:c>
      <x:c r="T221" s="9" t="n">
        <x:f>IF(AB221="","",P221/INDEX('浓度设置'!$M$6:$M$46,MATCH(AB221,'浓度设置'!$A$6:$A$46,0)))</x:f>
        <x:v>0.0013220518244315177</x:v>
      </x:c>
      <x:c r="U221" s="9" t="n">
        <x:f>IF(Y221="","",M221*$AD221/1000)</x:f>
        <x:v>4.006245124802026</x:v>
      </x:c>
      <x:c r="V221" s="9" t="n">
        <x:f>IF(Z221="","",N221*$AD221/1000)</x:f>
        <x:v>1122.3</x:v>
      </x:c>
      <x:c r="W221" s="9" t="n">
        <x:f>IF(AA221="","",O221*$AD221/1000)</x:f>
        <x:v>0.0968</x:v>
      </x:c>
      <x:c r="X221" s="9" t="n">
        <x:f>IF(AB221="","",P221*$AD221/1000)</x:f>
        <x:v>0.05</x:v>
      </x:c>
      <x:c r="Y221" s="3" t="n">
        <x:v>40</x:v>
      </x:c>
      <x:c r="Z221" s="3" t="n">
        <x:v>79</x:v>
      </x:c>
      <x:c r="AA221" s="3" t="n">
        <x:v>152</x:v>
      </x:c>
      <x:c r="AB221" s="3" t="n">
        <x:v>227</x:v>
      </x:c>
      <x:c r="AC221" s="3" t="n">
        <x:v>4</x:v>
      </x:c>
      <x:c r="AD221" s="3" t="n">
        <x:f>'方案总览'!$B$5</x:f>
        <x:v>20</x:v>
      </x:c>
    </x:row>
    <x:row r="222" ht="24" customHeight="1">
      <x:c r="A222" s="3" t="str">
        <x:v>T217</x:v>
      </x:c>
      <x:c r="B222" s="3" t="str">
        <x:v>拟合</x:v>
      </x:c>
      <x:c r="C222" s="3" t="str">
        <x:v>C131</x:v>
      </x:c>
      <x:c r="D222" s="3" t="str"/>
      <x:c r="E222" s="3" t="str">
        <x:v>丁酸乙酯</x:v>
      </x:c>
      <x:c r="F222" s="3" t="str">
        <x:v>丁酸异戊酯</x:v>
      </x:c>
      <x:c r="G222" s="3" t="str">
        <x:v>异戊酸乙酯（3-甲基丁酸乙酯）</x:v>
      </x:c>
      <x:c r="H222" s="3" t="str">
        <x:v>己酸</x:v>
      </x:c>
      <x:c r="I222" s="3" t="str">
        <x:v>H</x:v>
      </x:c>
      <x:c r="J222" s="3" t="str">
        <x:v>H</x:v>
      </x:c>
      <x:c r="K222" s="3" t="str">
        <x:v>M</x:v>
      </x:c>
      <x:c r="L222" s="3" t="str">
        <x:v>M</x:v>
      </x:c>
      <x:c r="M222" s="9" t="n">
        <x:f>IF(Y222="","",INDEX('浓度设置'!$P$6:$R$46,MATCH(Y222,'浓度设置'!$A$6:$A$46,0),IF(I222="L",1,IF(I222="M",2,3))))</x:f>
        <x:v>1290235</x:v>
      </x:c>
      <x:c r="N222" s="9" t="n">
        <x:f>IF(Z222="","",INDEX('浓度设置'!$P$6:$R$46,MATCH(Z222,'浓度设置'!$A$6:$A$46,0),IF(J222="L",1,IF(J222="M",2,3))))</x:f>
        <x:v>4105</x:v>
      </x:c>
      <x:c r="O222" s="9" t="n">
        <x:f>IF(AA222="","",INDEX('浓度设置'!$P$6:$R$46,MATCH(AA222,'浓度设置'!$A$6:$A$46,0),IF(K222="L",1,IF(K222="M",2,3))))</x:f>
        <x:v>99.89207175747232</x:v>
      </x:c>
      <x:c r="P222" s="9" t="n">
        <x:f>IF(AB222="","",INDEX('浓度设置'!$P$6:$R$46,MATCH(AB222,'浓度设置'!$A$6:$A$46,0),IF(L222="L",1,IF(L222="M",2,3))))</x:f>
        <x:v>1815.6539083757125</x:v>
      </x:c>
      <x:c r="Q222" s="9" t="n">
        <x:f>IF(Y222="","",M222/INDEX('浓度设置'!$M$6:$M$46,MATCH(Y222,'浓度设置'!$A$6:$A$46,0)))</x:f>
        <x:v>15831.104294478528</x:v>
      </x:c>
      <x:c r="R222" s="9" t="n">
        <x:f>IF(Z222="","",N222/INDEX('浓度设置'!$M$6:$M$46,MATCH(Z222,'浓度设置'!$A$6:$A$46,0)))</x:f>
        <x:v>4.4863387978142075</x:v>
      </x:c>
      <x:c r="S222" s="9" t="n">
        <x:f>IF(AA222="","",O222/INDEX('浓度设置'!$M$6:$M$46,MATCH(AA222,'浓度设置'!$A$6:$A$46,0)))</x:f>
        <x:v>14.49812362227465</x:v>
      </x:c>
      <x:c r="T222" s="9" t="n">
        <x:f>IF(AB222="","",P222/INDEX('浓度设置'!$M$6:$M$46,MATCH(AB222,'浓度设置'!$A$6:$A$46,0)))</x:f>
        <x:v>0.7204975826887748</x:v>
      </x:c>
      <x:c r="U222" s="9" t="n">
        <x:f>IF(Y222="","",M222*$AD222/1000)</x:f>
        <x:v>25804.7</x:v>
      </x:c>
      <x:c r="V222" s="9" t="n">
        <x:f>IF(Z222="","",N222*$AD222/1000)</x:f>
        <x:v>82.1</x:v>
      </x:c>
      <x:c r="W222" s="9" t="n">
        <x:f>IF(AA222="","",O222*$AD222/1000)</x:f>
        <x:v>1.9978414351494465</x:v>
      </x:c>
      <x:c r="X222" s="9" t="n">
        <x:f>IF(AB222="","",P222*$AD222/1000)</x:f>
        <x:v>36.31307816751425</x:v>
      </x:c>
      <x:c r="Y222" s="3" t="n">
        <x:v>52</x:v>
      </x:c>
      <x:c r="Z222" s="3" t="n">
        <x:v>56</x:v>
      </x:c>
      <x:c r="AA222" s="3" t="n">
        <x:v>69</x:v>
      </x:c>
      <x:c r="AB222" s="3" t="n">
        <x:v>126</x:v>
      </x:c>
      <x:c r="AC222" s="3" t="n">
        <x:v>4</x:v>
      </x:c>
      <x:c r="AD222" s="3" t="n">
        <x:f>'方案总览'!$B$5</x:f>
        <x:v>20</x:v>
      </x:c>
    </x:row>
    <x:row r="223" ht="24" customHeight="1">
      <x:c r="A223" s="3" t="str">
        <x:v>T218</x:v>
      </x:c>
      <x:c r="B223" s="3" t="str">
        <x:v>拟合</x:v>
      </x:c>
      <x:c r="C223" s="3" t="str">
        <x:v>C132</x:v>
      </x:c>
      <x:c r="D223" s="3" t="str"/>
      <x:c r="E223" s="3" t="str">
        <x:v>苯乙醛</x:v>
      </x:c>
      <x:c r="F223" s="3" t="str">
        <x:v>乙酸丁酯</x:v>
      </x:c>
      <x:c r="G223" s="3" t="str">
        <x:v>乙酸异戊酯</x:v>
      </x:c>
      <x:c r="H223" s="3" t="str">
        <x:v>辛酸</x:v>
      </x:c>
      <x:c r="I223" s="3" t="str">
        <x:v>H</x:v>
      </x:c>
      <x:c r="J223" s="3" t="str">
        <x:v>M</x:v>
      </x:c>
      <x:c r="K223" s="3" t="str">
        <x:v>L</x:v>
      </x:c>
      <x:c r="L223" s="3" t="str">
        <x:v>L</x:v>
      </x:c>
      <x:c r="M223" s="9" t="n">
        <x:f>IF(Y223="","",INDEX('浓度设置'!$P$6:$R$46,MATCH(Y223,'浓度设置'!$A$6:$A$46,0),IF(I223="L",1,IF(I223="M",2,3))))</x:f>
        <x:v>15730</x:v>
      </x:c>
      <x:c r="N223" s="9" t="n">
        <x:f>IF(Z223="","",INDEX('浓度设置'!$P$6:$R$46,MATCH(Z223,'浓度设置'!$A$6:$A$46,0),IF(J223="L",1,IF(J223="M",2,3))))</x:f>
        <x:v>3147.945</x:v>
      </x:c>
      <x:c r="O223" s="9" t="n">
        <x:f>IF(AA223="","",INDEX('浓度设置'!$P$6:$R$46,MATCH(AA223,'浓度设置'!$A$6:$A$46,0),IF(K223="L",1,IF(K223="M",2,3))))</x:f>
        <x:v>1.44</x:v>
      </x:c>
      <x:c r="P223" s="9" t="n">
        <x:f>IF(AB223="","",INDEX('浓度设置'!$P$6:$R$46,MATCH(AB223,'浓度设置'!$A$6:$A$46,0),IF(L223="L",1,IF(L223="M",2,3))))</x:f>
        <x:v>1.875</x:v>
      </x:c>
      <x:c r="Q223" s="9" t="n">
        <x:f>IF(Y223="","",M223/INDEX('浓度设置'!$M$6:$M$46,MATCH(Y223,'浓度设置'!$A$6:$A$46,0)))</x:f>
        <x:v>60.038167938931295</x:v>
      </x:c>
      <x:c r="R223" s="9" t="n">
        <x:f>IF(Z223="","",N223/INDEX('浓度设置'!$M$6:$M$46,MATCH(Z223,'浓度设置'!$A$6:$A$46,0)))</x:f>
        <x:v>1.7488583333333334</x:v>
      </x:c>
      <x:c r="S223" s="9" t="n">
        <x:f>IF(AA223="","",O223/INDEX('浓度设置'!$M$6:$M$46,MATCH(AA223,'浓度设置'!$A$6:$A$46,0)))</x:f>
        <x:v>0.015335463258785941</x:v>
      </x:c>
      <x:c r="T223" s="9" t="n">
        <x:f>IF(AB223="","",P223/INDEX('浓度设置'!$M$6:$M$46,MATCH(AB223,'浓度设置'!$A$6:$A$46,0)))</x:f>
        <x:v>0.0006944444444444445</x:v>
      </x:c>
      <x:c r="U223" s="9" t="n">
        <x:f>IF(Y223="","",M223*$AD223/1000)</x:f>
        <x:v>314.6</x:v>
      </x:c>
      <x:c r="V223" s="9" t="n">
        <x:f>IF(Z223="","",N223*$AD223/1000)</x:f>
        <x:v>62.9589</x:v>
      </x:c>
      <x:c r="W223" s="9" t="n">
        <x:f>IF(AA223="","",O223*$AD223/1000)</x:f>
        <x:v>0.028799999999999996</x:v>
      </x:c>
      <x:c r="X223" s="9" t="n">
        <x:f>IF(AB223="","",P223*$AD223/1000)</x:f>
        <x:v>0.0375</x:v>
      </x:c>
      <x:c r="Y223" s="3" t="n">
        <x:v>105</x:v>
      </x:c>
      <x:c r="Z223" s="3" t="n">
        <x:v>114</x:v>
      </x:c>
      <x:c r="AA223" s="3" t="n">
        <x:v>115</x:v>
      </x:c>
      <x:c r="AB223" s="3" t="n">
        <x:v>117</x:v>
      </x:c>
      <x:c r="AC223" s="3" t="n">
        <x:v>4</x:v>
      </x:c>
      <x:c r="AD223" s="3" t="n">
        <x:f>'方案总览'!$B$5</x:f>
        <x:v>20</x:v>
      </x:c>
    </x:row>
    <x:row r="224" ht="24" customHeight="1">
      <x:c r="A224" s="3" t="str">
        <x:v>T219</x:v>
      </x:c>
      <x:c r="B224" s="3" t="str">
        <x:v>拟合</x:v>
      </x:c>
      <x:c r="C224" s="3" t="str">
        <x:v>C133</x:v>
      </x:c>
      <x:c r="D224" s="3" t="str"/>
      <x:c r="E224" s="3" t="str">
        <x:v>戊酸</x:v>
      </x:c>
      <x:c r="F224" s="3" t="str">
        <x:v>己酸</x:v>
      </x:c>
      <x:c r="G224" s="3" t="str">
        <x:v>3-苯基丙酸乙酯</x:v>
      </x:c>
      <x:c r="H224" s="3" t="str">
        <x:v>1-辛烯-3-醇</x:v>
      </x:c>
      <x:c r="I224" s="3" t="str">
        <x:v>H</x:v>
      </x:c>
      <x:c r="J224" s="3" t="str">
        <x:v>M</x:v>
      </x:c>
      <x:c r="K224" s="3" t="str">
        <x:v>H</x:v>
      </x:c>
      <x:c r="L224" s="3" t="str">
        <x:v>H</x:v>
      </x:c>
      <x:c r="M224" s="9" t="n">
        <x:f>IF(Y224="","",INDEX('浓度设置'!$P$6:$R$46,MATCH(Y224,'浓度设置'!$A$6:$A$46,0),IF(I224="L",1,IF(I224="M",2,3))))</x:f>
        <x:v>62700</x:v>
      </x:c>
      <x:c r="N224" s="9" t="n">
        <x:f>IF(Z224="","",INDEX('浓度设置'!$P$6:$R$46,MATCH(Z224,'浓度设置'!$A$6:$A$46,0),IF(J224="L",1,IF(J224="M",2,3))))</x:f>
        <x:v>1815.6539083757125</x:v>
      </x:c>
      <x:c r="O224" s="9" t="n">
        <x:f>IF(AA224="","",INDEX('浓度设置'!$P$6:$R$46,MATCH(AA224,'浓度设置'!$A$6:$A$46,0),IF(K224="L",1,IF(K224="M",2,3))))</x:f>
        <x:v>11648000</x:v>
      </x:c>
      <x:c r="P224" s="9" t="n">
        <x:f>IF(AB224="","",INDEX('浓度设置'!$P$6:$R$46,MATCH(AB224,'浓度设置'!$A$6:$A$46,0),IF(L224="L",1,IF(L224="M",2,3))))</x:f>
        <x:v>271.45</x:v>
      </x:c>
      <x:c r="Q224" s="9" t="n">
        <x:f>IF(Y224="","",M224/INDEX('浓度设置'!$M$6:$M$46,MATCH(Y224,'浓度设置'!$A$6:$A$46,0)))</x:f>
        <x:v>161.18251928020567</x:v>
      </x:c>
      <x:c r="R224" s="9" t="n">
        <x:f>IF(Z224="","",N224/INDEX('浓度设置'!$M$6:$M$46,MATCH(Z224,'浓度设置'!$A$6:$A$46,0)))</x:f>
        <x:v>0.7204975826887748</x:v>
      </x:c>
      <x:c r="S224" s="9" t="n">
        <x:f>IF(AA224="","",O224/INDEX('浓度设置'!$M$6:$M$46,MATCH(AA224,'浓度设置'!$A$6:$A$46,0)))</x:f>
        <x:v>93184</x:v>
      </x:c>
      <x:c r="T224" s="9" t="n">
        <x:f>IF(AB224="","",P224/INDEX('浓度设置'!$M$6:$M$46,MATCH(AB224,'浓度设置'!$A$6:$A$46,0)))</x:f>
        <x:v>44.35457516339869</x:v>
      </x:c>
      <x:c r="U224" s="9" t="n">
        <x:f>IF(Y224="","",M224*$AD224/1000)</x:f>
        <x:v>1254</x:v>
      </x:c>
      <x:c r="V224" s="9" t="n">
        <x:f>IF(Z224="","",N224*$AD224/1000)</x:f>
        <x:v>36.31307816751425</x:v>
      </x:c>
      <x:c r="W224" s="9" t="n">
        <x:f>IF(AA224="","",O224*$AD224/1000)</x:f>
        <x:v>232960</x:v>
      </x:c>
      <x:c r="X224" s="9" t="n">
        <x:f>IF(AB224="","",P224*$AD224/1000)</x:f>
        <x:v>5.429</x:v>
      </x:c>
      <x:c r="Y224" s="3" t="n">
        <x:v>75</x:v>
      </x:c>
      <x:c r="Z224" s="3" t="n">
        <x:v>126</x:v>
      </x:c>
      <x:c r="AA224" s="3" t="n">
        <x:v>186</x:v>
      </x:c>
      <x:c r="AB224" s="3" t="n">
        <x:v>207</x:v>
      </x:c>
      <x:c r="AC224" s="3" t="n">
        <x:v>4</x:v>
      </x:c>
      <x:c r="AD224" s="3" t="n">
        <x:f>'方案总览'!$B$5</x:f>
        <x:v>20</x:v>
      </x:c>
    </x:row>
    <x:row r="225" ht="24" customHeight="1">
      <x:c r="A225" s="3" t="str">
        <x:v>T220</x:v>
      </x:c>
      <x:c r="B225" s="3" t="str">
        <x:v>拟合</x:v>
      </x:c>
      <x:c r="C225" s="3" t="str">
        <x:v>C134</x:v>
      </x:c>
      <x:c r="D225" s="3" t="str"/>
      <x:c r="E225" s="3" t="str">
        <x:v>异丁酸乙酯</x:v>
      </x:c>
      <x:c r="F225" s="3" t="str">
        <x:v>辛酸乙酯</x:v>
      </x:c>
      <x:c r="G225" s="3" t="str">
        <x:v>1-辛醇</x:v>
      </x:c>
      <x:c r="H225" s="3" t="str">
        <x:v>2-甲基丁酸乙酯</x:v>
      </x:c>
      <x:c r="I225" s="3" t="str">
        <x:v>H</x:v>
      </x:c>
      <x:c r="J225" s="3" t="str">
        <x:v>M</x:v>
      </x:c>
      <x:c r="K225" s="3" t="str">
        <x:v>M</x:v>
      </x:c>
      <x:c r="L225" s="3" t="str">
        <x:v>L</x:v>
      </x:c>
      <x:c r="M225" s="9" t="n">
        <x:f>IF(Y225="","",INDEX('浓度设置'!$P$6:$R$46,MATCH(Y225,'浓度设置'!$A$6:$A$46,0),IF(I225="L",1,IF(I225="M",2,3))))</x:f>
        <x:v>37489</x:v>
      </x:c>
      <x:c r="N225" s="9" t="n">
        <x:f>IF(Z225="","",INDEX('浓度设置'!$P$6:$R$46,MATCH(Z225,'浓度设置'!$A$6:$A$46,0),IF(J225="L",1,IF(J225="M",2,3))))</x:f>
        <x:v>3072.731960324558</x:v>
      </x:c>
      <x:c r="O225" s="9" t="n">
        <x:f>IF(AA225="","",INDEX('浓度设置'!$P$6:$R$46,MATCH(AA225,'浓度设置'!$A$6:$A$46,0),IF(K225="L",1,IF(K225="M",2,3))))</x:f>
        <x:v>1232.25</x:v>
      </x:c>
      <x:c r="P225" s="9" t="n">
        <x:f>IF(AB225="","",INDEX('浓度设置'!$P$6:$R$46,MATCH(AB225,'浓度设置'!$A$6:$A$46,0),IF(L225="L",1,IF(L225="M",2,3))))</x:f>
        <x:v>0.97</x:v>
      </x:c>
      <x:c r="Q225" s="9" t="n">
        <x:f>IF(Y225="","",M225/INDEX('浓度设置'!$M$6:$M$46,MATCH(Y225,'浓度设置'!$A$6:$A$46,0)))</x:f>
        <x:v>651.9826086956522</x:v>
      </x:c>
      <x:c r="R225" s="9" t="n">
        <x:f>IF(Z225="","",N225/INDEX('浓度设置'!$M$6:$M$46,MATCH(Z225,'浓度设置'!$A$6:$A$46,0)))</x:f>
        <x:v>238.19627599415176</x:v>
      </x:c>
      <x:c r="S225" s="9" t="n">
        <x:f>IF(AA225="","",O225/INDEX('浓度设置'!$M$6:$M$46,MATCH(AA225,'浓度设置'!$A$6:$A$46,0)))</x:f>
        <x:v>1.1202272727272726</x:v>
      </x:c>
      <x:c r="T225" s="9" t="n">
        <x:f>IF(AB225="","",P225/INDEX('浓度设置'!$M$6:$M$46,MATCH(AB225,'浓度设置'!$A$6:$A$46,0)))</x:f>
        <x:v>0.05388888888888889</x:v>
      </x:c>
      <x:c r="U225" s="9" t="n">
        <x:f>IF(Y225="","",M225*$AD225/1000)</x:f>
        <x:v>749.78</x:v>
      </x:c>
      <x:c r="V225" s="9" t="n">
        <x:f>IF(Z225="","",N225*$AD225/1000)</x:f>
        <x:v>61.45463920649116</x:v>
      </x:c>
      <x:c r="W225" s="9" t="n">
        <x:f>IF(AA225="","",O225*$AD225/1000)</x:f>
        <x:v>24.645</x:v>
      </x:c>
      <x:c r="X225" s="9" t="n">
        <x:f>IF(AB225="","",P225*$AD225/1000)</x:f>
        <x:v>0.019399999999999997</x:v>
      </x:c>
      <x:c r="Y225" s="3" t="n">
        <x:v>32</x:v>
      </x:c>
      <x:c r="Z225" s="3" t="n">
        <x:v>58</x:v>
      </x:c>
      <x:c r="AA225" s="3" t="n">
        <x:v>90</x:v>
      </x:c>
      <x:c r="AB225" s="3" t="n">
        <x:v>232</x:v>
      </x:c>
      <x:c r="AC225" s="3" t="n">
        <x:v>4</x:v>
      </x:c>
      <x:c r="AD225" s="3" t="n">
        <x:f>'方案总览'!$B$5</x:f>
        <x:v>20</x:v>
      </x:c>
    </x:row>
    <x:row r="226" ht="24" customHeight="1">
      <x:c r="A226" s="3" t="str">
        <x:v>T221</x:v>
      </x:c>
      <x:c r="B226" s="3" t="str">
        <x:v>拟合</x:v>
      </x:c>
      <x:c r="C226" s="3" t="str">
        <x:v>C135</x:v>
      </x:c>
      <x:c r="D226" s="3" t="str"/>
      <x:c r="E226" s="3" t="str">
        <x:v>己醛</x:v>
      </x:c>
      <x:c r="F226" s="3" t="str">
        <x:v>1-丁醇</x:v>
      </x:c>
      <x:c r="G226" s="3" t="str">
        <x:v>己酸丁酯</x:v>
      </x:c>
      <x:c r="H226" s="3" t="str">
        <x:v>己酸己酯</x:v>
      </x:c>
      <x:c r="I226" s="3" t="str">
        <x:v>L</x:v>
      </x:c>
      <x:c r="J226" s="3" t="str">
        <x:v>L</x:v>
      </x:c>
      <x:c r="K226" s="3" t="str">
        <x:v>M</x:v>
      </x:c>
      <x:c r="L226" s="3" t="str">
        <x:v>M</x:v>
      </x:c>
      <x:c r="M226" s="9" t="n">
        <x:f>IF(Y226="","",INDEX('浓度设置'!$P$6:$R$46,MATCH(Y226,'浓度设置'!$A$6:$A$46,0),IF(I226="L",1,IF(I226="M",2,3))))</x:f>
        <x:v>173</x:v>
      </x:c>
      <x:c r="N226" s="9" t="n">
        <x:f>IF(Z226="","",INDEX('浓度设置'!$P$6:$R$46,MATCH(Z226,'浓度设置'!$A$6:$A$46,0),IF(J226="L",1,IF(J226="M",2,3))))</x:f>
        <x:v>16.97</x:v>
      </x:c>
      <x:c r="O226" s="9" t="n">
        <x:f>IF(AA226="","",INDEX('浓度设置'!$P$6:$R$46,MATCH(AA226,'浓度设置'!$A$6:$A$46,0),IF(K226="L",1,IF(K226="M",2,3))))</x:f>
        <x:v>823.735</x:v>
      </x:c>
      <x:c r="P226" s="9" t="n">
        <x:f>IF(AB226="","",INDEX('浓度设置'!$P$6:$R$46,MATCH(AB226,'浓度设置'!$A$6:$A$46,0),IF(L226="L",1,IF(L226="M",2,3))))</x:f>
        <x:v>695.986709643223</x:v>
      </x:c>
      <x:c r="Q226" s="9" t="n">
        <x:f>IF(Y226="","",M226/INDEX('浓度设置'!$M$6:$M$46,MATCH(Y226,'浓度设置'!$A$6:$A$46,0)))</x:f>
        <x:v>6.784313725490196</x:v>
      </x:c>
      <x:c r="R226" s="9" t="n">
        <x:f>IF(Z226="","",N226/INDEX('浓度设置'!$M$6:$M$46,MATCH(Z226,'浓度设置'!$A$6:$A$46,0)))</x:f>
        <x:v>0.006209293816319063</x:v>
      </x:c>
      <x:c r="S226" s="9" t="n">
        <x:f>IF(AA226="","",O226/INDEX('浓度设置'!$M$6:$M$46,MATCH(AA226,'浓度设置'!$A$6:$A$46,0)))</x:f>
        <x:v>1.2152351587395256</x:v>
      </x:c>
      <x:c r="T226" s="9" t="n">
        <x:f>IF(AB226="","",P226/INDEX('浓度设置'!$M$6:$M$46,MATCH(AB226,'浓度设置'!$A$6:$A$46,0)))</x:f>
        <x:v>0.3680521997055648</x:v>
      </x:c>
      <x:c r="U226" s="9" t="n">
        <x:f>IF(Y226="","",M226*$AD226/1000)</x:f>
        <x:v>3.46</x:v>
      </x:c>
      <x:c r="V226" s="9" t="n">
        <x:f>IF(Z226="","",N226*$AD226/1000)</x:f>
        <x:v>0.3394</x:v>
      </x:c>
      <x:c r="W226" s="9" t="n">
        <x:f>IF(AA226="","",O226*$AD226/1000)</x:f>
        <x:v>16.474700000000002</x:v>
      </x:c>
      <x:c r="X226" s="9" t="n">
        <x:f>IF(AB226="","",P226*$AD226/1000)</x:f>
        <x:v>13.91973419286446</x:v>
      </x:c>
      <x:c r="Y226" s="3" t="n">
        <x:v>7</x:v>
      </x:c>
      <x:c r="Z226" s="3" t="n">
        <x:v>11</x:v>
      </x:c>
      <x:c r="AA226" s="3" t="n">
        <x:v>165</x:v>
      </x:c>
      <x:c r="AB226" s="3" t="n">
        <x:v>227</x:v>
      </x:c>
      <x:c r="AC226" s="3" t="n">
        <x:v>4</x:v>
      </x:c>
      <x:c r="AD226" s="3" t="n">
        <x:f>'方案总览'!$B$5</x:f>
        <x:v>20</x:v>
      </x:c>
    </x:row>
    <x:row r="227" ht="24" customHeight="1">
      <x:c r="A227" s="3" t="str">
        <x:v>T222</x:v>
      </x:c>
      <x:c r="B227" s="3" t="str">
        <x:v>拟合</x:v>
      </x:c>
      <x:c r="C227" s="3" t="str">
        <x:v>C136</x:v>
      </x:c>
      <x:c r="D227" s="3" t="str"/>
      <x:c r="E227" s="3" t="str">
        <x:v>对甲酚</x:v>
      </x:c>
      <x:c r="F227" s="3" t="str">
        <x:v>1-辛醇</x:v>
      </x:c>
      <x:c r="G227" s="3" t="str">
        <x:v>异戊酸/3-甲基丁酸</x:v>
      </x:c>
      <x:c r="H227" s="3" t="str">
        <x:v>戊酸乙酯</x:v>
      </x:c>
      <x:c r="I227" s="3" t="str">
        <x:v>H</x:v>
      </x:c>
      <x:c r="J227" s="3" t="str">
        <x:v>H</x:v>
      </x:c>
      <x:c r="K227" s="3" t="str">
        <x:v>L</x:v>
      </x:c>
      <x:c r="L227" s="3" t="str">
        <x:v>L</x:v>
      </x:c>
      <x:c r="M227" s="9" t="n">
        <x:f>IF(Y227="","",INDEX('浓度设置'!$P$6:$R$46,MATCH(Y227,'浓度设置'!$A$6:$A$46,0),IF(I227="L",1,IF(I227="M",2,3))))</x:f>
        <x:v>6914</x:v>
      </x:c>
      <x:c r="N227" s="9" t="n">
        <x:f>IF(Z227="","",INDEX('浓度设置'!$P$6:$R$46,MATCH(Z227,'浓度设置'!$A$6:$A$46,0),IF(J227="L",1,IF(J227="M",2,3))))</x:f>
        <x:v>25642.45</x:v>
      </x:c>
      <x:c r="O227" s="9" t="n">
        <x:f>IF(AA227="","",INDEX('浓度设置'!$P$6:$R$46,MATCH(AA227,'浓度设置'!$A$6:$A$46,0),IF(K227="L",1,IF(K227="M",2,3))))</x:f>
        <x:v>1.1875</x:v>
      </x:c>
      <x:c r="P227" s="9" t="n">
        <x:f>IF(AB227="","",INDEX('浓度设置'!$P$6:$R$46,MATCH(AB227,'浓度设置'!$A$6:$A$46,0),IF(L227="L",1,IF(L227="M",2,3))))</x:f>
        <x:v>2.2</x:v>
      </x:c>
      <x:c r="Q227" s="9" t="n">
        <x:f>IF(Y227="","",M227/INDEX('浓度设置'!$M$6:$M$46,MATCH(Y227,'浓度设置'!$A$6:$A$46,0)))</x:f>
        <x:v>41.40119760479042</x:v>
      </x:c>
      <x:c r="R227" s="9" t="n">
        <x:f>IF(Z227="","",N227/INDEX('浓度设置'!$M$6:$M$46,MATCH(Z227,'浓度设置'!$A$6:$A$46,0)))</x:f>
        <x:v>23.311318181818184</x:v>
      </x:c>
      <x:c r="S227" s="9" t="n">
        <x:f>IF(AA227="","",O227/INDEX('浓度设置'!$M$6:$M$46,MATCH(AA227,'浓度设置'!$A$6:$A$46,0)))</x:f>
        <x:v>0.001130952380952381</x:v>
      </x:c>
      <x:c r="T227" s="9" t="n">
        <x:f>IF(AB227="","",P227/INDEX('浓度设置'!$M$6:$M$46,MATCH(AB227,'浓度设置'!$A$6:$A$46,0)))</x:f>
        <x:v>0.08208955223880597</x:v>
      </x:c>
      <x:c r="U227" s="9" t="n">
        <x:f>IF(Y227="","",M227*$AD227/1000)</x:f>
        <x:v>138.28</x:v>
      </x:c>
      <x:c r="V227" s="9" t="n">
        <x:f>IF(Z227="","",N227*$AD227/1000)</x:f>
        <x:v>512.849</x:v>
      </x:c>
      <x:c r="W227" s="9" t="n">
        <x:f>IF(AA227="","",O227*$AD227/1000)</x:f>
        <x:v>0.02375</x:v>
      </x:c>
      <x:c r="X227" s="9" t="n">
        <x:f>IF(AB227="","",P227*$AD227/1000)</x:f>
        <x:v>0.044</x:v>
      </x:c>
      <x:c r="Y227" s="3" t="n">
        <x:v>61</x:v>
      </x:c>
      <x:c r="Z227" s="3" t="n">
        <x:v>90</x:v>
      </x:c>
      <x:c r="AA227" s="3" t="n">
        <x:v>136</x:v>
      </x:c>
      <x:c r="AB227" s="3" t="n">
        <x:v>141</x:v>
      </x:c>
      <x:c r="AC227" s="3" t="n">
        <x:v>4</x:v>
      </x:c>
      <x:c r="AD227" s="3" t="n">
        <x:f>'方案总览'!$B$5</x:f>
        <x:v>20</x:v>
      </x:c>
    </x:row>
    <x:row r="228" ht="24" customHeight="1">
      <x:c r="A228" s="3" t="str">
        <x:v>T223</x:v>
      </x:c>
      <x:c r="B228" s="3" t="str">
        <x:v>拟合</x:v>
      </x:c>
      <x:c r="C228" s="3" t="str">
        <x:v>C137</x:v>
      </x:c>
      <x:c r="D228" s="3" t="str"/>
      <x:c r="E228" s="3" t="str">
        <x:v>对甲酚</x:v>
      </x:c>
      <x:c r="F228" s="3" t="str">
        <x:v>己酸乙酯</x:v>
      </x:c>
      <x:c r="G228" s="3" t="str">
        <x:v>辛酸</x:v>
      </x:c>
      <x:c r="H228" s="3" t="str">
        <x:v>二甲基三硫醚</x:v>
      </x:c>
      <x:c r="I228" s="3" t="str">
        <x:v>L</x:v>
      </x:c>
      <x:c r="J228" s="3" t="str">
        <x:v>M</x:v>
      </x:c>
      <x:c r="K228" s="3" t="str">
        <x:v>M</x:v>
      </x:c>
      <x:c r="L228" s="3" t="str">
        <x:v>H</x:v>
      </x:c>
      <x:c r="M228" s="9" t="n">
        <x:f>IF(Y228="","",INDEX('浓度设置'!$P$6:$R$46,MATCH(Y228,'浓度设置'!$A$6:$A$46,0),IF(I228="L",1,IF(I228="M",2,3))))</x:f>
        <x:v>0.51</x:v>
      </x:c>
      <x:c r="N228" s="9" t="n">
        <x:f>IF(Z228="","",INDEX('浓度设置'!$P$6:$R$46,MATCH(Z228,'浓度设置'!$A$6:$A$46,0),IF(J228="L",1,IF(J228="M",2,3))))</x:f>
        <x:v>89562.18016998023</x:v>
      </x:c>
      <x:c r="O228" s="9" t="n">
        <x:f>IF(AA228="","",INDEX('浓度设置'!$P$6:$R$46,MATCH(AA228,'浓度设置'!$A$6:$A$46,0),IF(K228="L",1,IF(K228="M",2,3))))</x:f>
        <x:v>274.54883445390914</x:v>
      </x:c>
      <x:c r="P228" s="9" t="n">
        <x:f>IF(AB228="","",INDEX('浓度设置'!$P$6:$R$46,MATCH(AB228,'浓度设置'!$A$6:$A$46,0),IF(L228="L",1,IF(L228="M",2,3))))</x:f>
        <x:v>4201.44</x:v>
      </x:c>
      <x:c r="Q228" s="9" t="n">
        <x:f>IF(Y228="","",M228/INDEX('浓度设置'!$M$6:$M$46,MATCH(Y228,'浓度设置'!$A$6:$A$46,0)))</x:f>
        <x:v>0.003053892215568862</x:v>
      </x:c>
      <x:c r="R228" s="9" t="n">
        <x:f>IF(Z228="","",N228/INDEX('浓度设置'!$M$6:$M$46,MATCH(Z228,'浓度设置'!$A$6:$A$46,0)))</x:f>
        <x:v>1619.5692616632955</x:v>
      </x:c>
      <x:c r="S228" s="9" t="n">
        <x:f>IF(AA228="","",O228/INDEX('浓度设置'!$M$6:$M$46,MATCH(AA228,'浓度设置'!$A$6:$A$46,0)))</x:f>
        <x:v>0.10168475350144783</x:v>
      </x:c>
      <x:c r="T228" s="9" t="n">
        <x:f>IF(AB228="","",P228/INDEX('浓度设置'!$M$6:$M$46,MATCH(AB228,'浓度设置'!$A$6:$A$46,0)))</x:f>
        <x:v>11670.666666666666</x:v>
      </x:c>
      <x:c r="U228" s="9" t="n">
        <x:f>IF(Y228="","",M228*$AD228/1000)</x:f>
        <x:v>0.010199999999999999</x:v>
      </x:c>
      <x:c r="V228" s="9" t="n">
        <x:f>IF(Z228="","",N228*$AD228/1000)</x:f>
        <x:v>1791.2436033996046</x:v>
      </x:c>
      <x:c r="W228" s="9" t="n">
        <x:f>IF(AA228="","",O228*$AD228/1000)</x:f>
        <x:v>5.490976689078183</x:v>
      </x:c>
      <x:c r="X228" s="9" t="n">
        <x:f>IF(AB228="","",P228*$AD228/1000)</x:f>
        <x:v>84.02879999999999</x:v>
      </x:c>
      <x:c r="Y228" s="3" t="n">
        <x:v>61</x:v>
      </x:c>
      <x:c r="Z228" s="3" t="n">
        <x:v>111</x:v>
      </x:c>
      <x:c r="AA228" s="3" t="n">
        <x:v>117</x:v>
      </x:c>
      <x:c r="AB228" s="3" t="n">
        <x:v>209</x:v>
      </x:c>
      <x:c r="AC228" s="3" t="n">
        <x:v>4</x:v>
      </x:c>
      <x:c r="AD228" s="3" t="n">
        <x:f>'方案总览'!$B$5</x:f>
        <x:v>20</x:v>
      </x:c>
    </x:row>
    <x:row r="229" ht="24" customHeight="1">
      <x:c r="A229" s="3" t="str">
        <x:v>T224</x:v>
      </x:c>
      <x:c r="B229" s="3" t="str">
        <x:v>拟合</x:v>
      </x:c>
      <x:c r="C229" s="3" t="str">
        <x:v>C138</x:v>
      </x:c>
      <x:c r="D229" s="3" t="str"/>
      <x:c r="E229" s="3" t="str">
        <x:v>己酸乙酯</x:v>
      </x:c>
      <x:c r="F229" s="3" t="str">
        <x:v>乙酸异戊酯</x:v>
      </x:c>
      <x:c r="G229" s="3" t="str">
        <x:v>异戊酸/3-甲基丁酸</x:v>
      </x:c>
      <x:c r="H229" s="3" t="str">
        <x:v>β-大马酮</x:v>
      </x:c>
      <x:c r="I229" s="3" t="str">
        <x:v>L</x:v>
      </x:c>
      <x:c r="J229" s="3" t="str">
        <x:v>M</x:v>
      </x:c>
      <x:c r="K229" s="3" t="str">
        <x:v>M</x:v>
      </x:c>
      <x:c r="L229" s="3" t="str">
        <x:v>L</x:v>
      </x:c>
      <x:c r="M229" s="9" t="n">
        <x:f>IF(Y229="","",INDEX('浓度设置'!$P$6:$R$46,MATCH(Y229,'浓度设置'!$A$6:$A$46,0),IF(I229="L",1,IF(I229="M",2,3))))</x:f>
        <x:v>833.64</x:v>
      </x:c>
      <x:c r="N229" s="9" t="n">
        <x:f>IF(Z229="","",INDEX('浓度设置'!$P$6:$R$46,MATCH(Z229,'浓度设置'!$A$6:$A$46,0),IF(J229="L",1,IF(J229="M",2,3))))</x:f>
        <x:v>96.86609313893071</x:v>
      </x:c>
      <x:c r="O229" s="9" t="n">
        <x:f>IF(AA229="","",INDEX('浓度设置'!$P$6:$R$46,MATCH(AA229,'浓度设置'!$A$6:$A$46,0),IF(K229="L",1,IF(K229="M",2,3))))</x:f>
        <x:v>228.58258901324922</x:v>
      </x:c>
      <x:c r="P229" s="9" t="n">
        <x:f>IF(AB229="","",INDEX('浓度设置'!$P$6:$R$46,MATCH(AB229,'浓度设置'!$A$6:$A$46,0),IF(L229="L",1,IF(L229="M",2,3))))</x:f>
        <x:v>1.5</x:v>
      </x:c>
      <x:c r="Q229" s="9" t="n">
        <x:f>IF(Y229="","",M229/INDEX('浓度设置'!$M$6:$M$46,MATCH(Y229,'浓度设置'!$A$6:$A$46,0)))</x:f>
        <x:v>15.074864376130199</x:v>
      </x:c>
      <x:c r="R229" s="9" t="n">
        <x:f>IF(Z229="","",N229/INDEX('浓度设置'!$M$6:$M$46,MATCH(Z229,'浓度设置'!$A$6:$A$46,0)))</x:f>
        <x:v>1.0315877863570895</x:v>
      </x:c>
      <x:c r="S229" s="9" t="n">
        <x:f>IF(AA229="","",O229/INDEX('浓度设置'!$M$6:$M$46,MATCH(AA229,'浓度设置'!$A$6:$A$46,0)))</x:f>
        <x:v>0.21769770382214212</x:v>
      </x:c>
      <x:c r="T229" s="9" t="n">
        <x:f>IF(AB229="","",P229/INDEX('浓度设置'!$M$6:$M$46,MATCH(AB229,'浓度设置'!$A$6:$A$46,0)))</x:f>
        <x:v>12.5</x:v>
      </x:c>
      <x:c r="U229" s="9" t="n">
        <x:f>IF(Y229="","",M229*$AD229/1000)</x:f>
        <x:v>16.6728</x:v>
      </x:c>
      <x:c r="V229" s="9" t="n">
        <x:f>IF(Z229="","",N229*$AD229/1000)</x:f>
        <x:v>1.9373218627786142</x:v>
      </x:c>
      <x:c r="W229" s="9" t="n">
        <x:f>IF(AA229="","",O229*$AD229/1000)</x:f>
        <x:v>4.571651780264984</x:v>
      </x:c>
      <x:c r="X229" s="9" t="n">
        <x:f>IF(AB229="","",P229*$AD229/1000)</x:f>
        <x:v>0.03</x:v>
      </x:c>
      <x:c r="Y229" s="3" t="n">
        <x:v>111</x:v>
      </x:c>
      <x:c r="Z229" s="3" t="n">
        <x:v>115</x:v>
      </x:c>
      <x:c r="AA229" s="3" t="n">
        <x:v>136</x:v>
      </x:c>
      <x:c r="AB229" s="3" t="n">
        <x:v>255</x:v>
      </x:c>
      <x:c r="AC229" s="3" t="n">
        <x:v>4</x:v>
      </x:c>
      <x:c r="AD229" s="3" t="n">
        <x:f>'方案总览'!$B$5</x:f>
        <x:v>20</x:v>
      </x:c>
    </x:row>
    <x:row r="230" ht="24" customHeight="1">
      <x:c r="A230" s="3" t="str">
        <x:v>T225</x:v>
      </x:c>
      <x:c r="B230" s="3" t="str">
        <x:v>拟合</x:v>
      </x:c>
      <x:c r="C230" s="3" t="str">
        <x:v>C139</x:v>
      </x:c>
      <x:c r="D230" s="3" t="str"/>
      <x:c r="E230" s="3" t="str">
        <x:v>异戊酸乙酯（3-甲基丁酸乙酯）</x:v>
      </x:c>
      <x:c r="F230" s="3" t="str">
        <x:v>乙酸丁酯</x:v>
      </x:c>
      <x:c r="G230" s="3" t="str">
        <x:v>戊酸乙酯</x:v>
      </x:c>
      <x:c r="H230" s="3" t="str">
        <x:v>二甲基三硫醚</x:v>
      </x:c>
      <x:c r="I230" s="3" t="str">
        <x:v>M</x:v>
      </x:c>
      <x:c r="J230" s="3" t="str">
        <x:v>M</x:v>
      </x:c>
      <x:c r="K230" s="3" t="str">
        <x:v>H</x:v>
      </x:c>
      <x:c r="L230" s="3" t="str">
        <x:v>L</x:v>
      </x:c>
      <x:c r="M230" s="9" t="n">
        <x:f>IF(Y230="","",INDEX('浓度设置'!$P$6:$R$46,MATCH(Y230,'浓度设置'!$A$6:$A$46,0),IF(I230="L",1,IF(I230="M",2,3))))</x:f>
        <x:v>99.89207175747232</x:v>
      </x:c>
      <x:c r="N230" s="9" t="n">
        <x:f>IF(Z230="","",INDEX('浓度设置'!$P$6:$R$46,MATCH(Z230,'浓度设置'!$A$6:$A$46,0),IF(J230="L",1,IF(J230="M",2,3))))</x:f>
        <x:v>3147.945</x:v>
      </x:c>
      <x:c r="O230" s="9" t="n">
        <x:f>IF(AA230="","",INDEX('浓度设置'!$P$6:$R$46,MATCH(AA230,'浓度设置'!$A$6:$A$46,0),IF(K230="L",1,IF(K230="M",2,3))))</x:f>
        <x:v>1039840</x:v>
      </x:c>
      <x:c r="P230" s="9" t="n">
        <x:f>IF(AB230="","",INDEX('浓度设置'!$P$6:$R$46,MATCH(AB230,'浓度设置'!$A$6:$A$46,0),IF(L230="L",1,IF(L230="M",2,3))))</x:f>
        <x:v>0.28</x:v>
      </x:c>
      <x:c r="Q230" s="9" t="n">
        <x:f>IF(Y230="","",M230/INDEX('浓度设置'!$M$6:$M$46,MATCH(Y230,'浓度设置'!$A$6:$A$46,0)))</x:f>
        <x:v>14.49812362227465</x:v>
      </x:c>
      <x:c r="R230" s="9" t="n">
        <x:f>IF(Z230="","",N230/INDEX('浓度设置'!$M$6:$M$46,MATCH(Z230,'浓度设置'!$A$6:$A$46,0)))</x:f>
        <x:v>1.7488583333333334</x:v>
      </x:c>
      <x:c r="S230" s="9" t="n">
        <x:f>IF(AA230="","",O230/INDEX('浓度设置'!$M$6:$M$46,MATCH(AA230,'浓度设置'!$A$6:$A$46,0)))</x:f>
        <x:v>38800</x:v>
      </x:c>
      <x:c r="T230" s="9" t="n">
        <x:f>IF(AB230="","",P230/INDEX('浓度设置'!$M$6:$M$46,MATCH(AB230,'浓度设置'!$A$6:$A$46,0)))</x:f>
        <x:v>0.7777777777777779</x:v>
      </x:c>
      <x:c r="U230" s="9" t="n">
        <x:f>IF(Y230="","",M230*$AD230/1000)</x:f>
        <x:v>1.9978414351494465</x:v>
      </x:c>
      <x:c r="V230" s="9" t="n">
        <x:f>IF(Z230="","",N230*$AD230/1000)</x:f>
        <x:v>62.9589</x:v>
      </x:c>
      <x:c r="W230" s="9" t="n">
        <x:f>IF(AA230="","",O230*$AD230/1000)</x:f>
        <x:v>20796.8</x:v>
      </x:c>
      <x:c r="X230" s="9" t="n">
        <x:f>IF(AB230="","",P230*$AD230/1000)</x:f>
        <x:v>0.005600000000000001</x:v>
      </x:c>
      <x:c r="Y230" s="3" t="n">
        <x:v>69</x:v>
      </x:c>
      <x:c r="Z230" s="3" t="n">
        <x:v>114</x:v>
      </x:c>
      <x:c r="AA230" s="3" t="n">
        <x:v>141</x:v>
      </x:c>
      <x:c r="AB230" s="3" t="n">
        <x:v>209</x:v>
      </x:c>
      <x:c r="AC230" s="3" t="n">
        <x:v>4</x:v>
      </x:c>
      <x:c r="AD230" s="3" t="n">
        <x:f>'方案总览'!$B$5</x:f>
        <x:v>20</x:v>
      </x:c>
    </x:row>
    <x:row r="231" ht="24" customHeight="1">
      <x:c r="A231" s="3" t="str">
        <x:v>T226</x:v>
      </x:c>
      <x:c r="B231" s="3" t="str">
        <x:v>拟合</x:v>
      </x:c>
      <x:c r="C231" s="3" t="str">
        <x:v>C140</x:v>
      </x:c>
      <x:c r="D231" s="3" t="str"/>
      <x:c r="E231" s="3" t="str">
        <x:v>丁酸乙酯</x:v>
      </x:c>
      <x:c r="F231" s="3" t="str">
        <x:v>异戊醛</x:v>
      </x:c>
      <x:c r="G231" s="3" t="str">
        <x:v>1-辛烯-3-醇</x:v>
      </x:c>
      <x:c r="H231" s="3" t="str">
        <x:v>2-甲基丁酸乙酯</x:v>
      </x:c>
      <x:c r="I231" s="3" t="str">
        <x:v>H</x:v>
      </x:c>
      <x:c r="J231" s="3" t="str">
        <x:v>M</x:v>
      </x:c>
      <x:c r="K231" s="3" t="str">
        <x:v>L</x:v>
      </x:c>
      <x:c r="L231" s="3" t="str">
        <x:v>L</x:v>
      </x:c>
      <x:c r="M231" s="9" t="n">
        <x:f>IF(Y231="","",INDEX('浓度设置'!$P$6:$R$46,MATCH(Y231,'浓度设置'!$A$6:$A$46,0),IF(I231="L",1,IF(I231="M",2,3))))</x:f>
        <x:v>1290235</x:v>
      </x:c>
      <x:c r="N231" s="9" t="n">
        <x:f>IF(Z231="","",INDEX('浓度设置'!$P$6:$R$46,MATCH(Z231,'浓度设置'!$A$6:$A$46,0),IF(J231="L",1,IF(J231="M",2,3))))</x:f>
        <x:v>1048.6410253275426</x:v>
      </x:c>
      <x:c r="O231" s="9" t="n">
        <x:f>IF(AA231="","",INDEX('浓度设置'!$P$6:$R$46,MATCH(AA231,'浓度设置'!$A$6:$A$46,0),IF(K231="L",1,IF(K231="M",2,3))))</x:f>
        <x:v>1</x:v>
      </x:c>
      <x:c r="P231" s="9" t="n">
        <x:f>IF(AB231="","",INDEX('浓度设置'!$P$6:$R$46,MATCH(AB231,'浓度设置'!$A$6:$A$46,0),IF(L231="L",1,IF(L231="M",2,3))))</x:f>
        <x:v>0.97</x:v>
      </x:c>
      <x:c r="Q231" s="9" t="n">
        <x:f>IF(Y231="","",M231/INDEX('浓度设置'!$M$6:$M$46,MATCH(Y231,'浓度设置'!$A$6:$A$46,0)))</x:f>
        <x:v>15831.104294478528</x:v>
      </x:c>
      <x:c r="R231" s="9" t="n">
        <x:f>IF(Z231="","",N231/INDEX('浓度设置'!$M$6:$M$46,MATCH(Z231,'浓度设置'!$A$6:$A$46,0)))</x:f>
        <x:v>63.554001535002584</x:v>
      </x:c>
      <x:c r="S231" s="9" t="n">
        <x:f>IF(AA231="","",O231/INDEX('浓度设置'!$M$6:$M$46,MATCH(AA231,'浓度设置'!$A$6:$A$46,0)))</x:f>
        <x:v>0.16339869281045752</x:v>
      </x:c>
      <x:c r="T231" s="9" t="n">
        <x:f>IF(AB231="","",P231/INDEX('浓度设置'!$M$6:$M$46,MATCH(AB231,'浓度设置'!$A$6:$A$46,0)))</x:f>
        <x:v>0.05388888888888889</x:v>
      </x:c>
      <x:c r="U231" s="9" t="n">
        <x:f>IF(Y231="","",M231*$AD231/1000)</x:f>
        <x:v>25804.7</x:v>
      </x:c>
      <x:c r="V231" s="9" t="n">
        <x:f>IF(Z231="","",N231*$AD231/1000)</x:f>
        <x:v>20.972820506550853</x:v>
      </x:c>
      <x:c r="W231" s="9" t="n">
        <x:f>IF(AA231="","",O231*$AD231/1000)</x:f>
        <x:v>0.02</x:v>
      </x:c>
      <x:c r="X231" s="9" t="n">
        <x:f>IF(AB231="","",P231*$AD231/1000)</x:f>
        <x:v>0.019399999999999997</x:v>
      </x:c>
      <x:c r="Y231" s="3" t="n">
        <x:v>52</x:v>
      </x:c>
      <x:c r="Z231" s="3" t="n">
        <x:v>152</x:v>
      </x:c>
      <x:c r="AA231" s="3" t="n">
        <x:v>207</x:v>
      </x:c>
      <x:c r="AB231" s="3" t="n">
        <x:v>232</x:v>
      </x:c>
      <x:c r="AC231" s="3" t="n">
        <x:v>4</x:v>
      </x:c>
      <x:c r="AD231" s="3" t="n">
        <x:f>'方案总览'!$B$5</x:f>
        <x:v>20</x:v>
      </x:c>
    </x:row>
    <x:row r="232" ht="24" customHeight="1">
      <x:c r="A232" s="3" t="str">
        <x:v>T227</x:v>
      </x:c>
      <x:c r="B232" s="3" t="str">
        <x:v>拟合</x:v>
      </x:c>
      <x:c r="C232" s="3" t="str">
        <x:v>C141</x:v>
      </x:c>
      <x:c r="D232" s="3" t="str"/>
      <x:c r="E232" s="3" t="str">
        <x:v>异丁酸乙酯</x:v>
      </x:c>
      <x:c r="F232" s="3" t="str">
        <x:v>苯乙酸乙酯</x:v>
      </x:c>
      <x:c r="G232" s="3" t="str">
        <x:v>辛酸乙酯</x:v>
      </x:c>
      <x:c r="H232" s="3" t="str">
        <x:v>苯乙醛</x:v>
      </x:c>
      <x:c r="I232" s="3" t="str">
        <x:v>M</x:v>
      </x:c>
      <x:c r="J232" s="3" t="str">
        <x:v>M</x:v>
      </x:c>
      <x:c r="K232" s="3" t="str">
        <x:v>L</x:v>
      </x:c>
      <x:c r="L232" s="3" t="str">
        <x:v>H</x:v>
      </x:c>
      <x:c r="M232" s="9" t="n">
        <x:f>IF(Y232="","",INDEX('浓度设置'!$P$6:$R$46,MATCH(Y232,'浓度设置'!$A$6:$A$46,0),IF(I232="L",1,IF(I232="M",2,3))))</x:f>
        <x:v>836.8360173893091</x:v>
      </x:c>
      <x:c r="N232" s="9" t="n">
        <x:f>IF(Z232="","",INDEX('浓度设置'!$P$6:$R$46,MATCH(Z232,'浓度设置'!$A$6:$A$46,0),IF(J232="L",1,IF(J232="M",2,3))))</x:f>
        <x:v>200.3122562401013</x:v>
      </x:c>
      <x:c r="O232" s="9" t="n">
        <x:f>IF(AA232="","",INDEX('浓度设置'!$P$6:$R$46,MATCH(AA232,'浓度设置'!$A$6:$A$46,0),IF(K232="L",1,IF(K232="M",2,3))))</x:f>
        <x:v>5.06</x:v>
      </x:c>
      <x:c r="P232" s="9" t="n">
        <x:f>IF(AB232="","",INDEX('浓度设置'!$P$6:$R$46,MATCH(AB232,'浓度设置'!$A$6:$A$46,0),IF(L232="L",1,IF(L232="M",2,3))))</x:f>
        <x:v>15730</x:v>
      </x:c>
      <x:c r="Q232" s="9" t="n">
        <x:f>IF(Y232="","",M232/INDEX('浓度设置'!$M$6:$M$46,MATCH(Y232,'浓度设置'!$A$6:$A$46,0)))</x:f>
        <x:v>14.553669867640158</x:v>
      </x:c>
      <x:c r="R232" s="9" t="n">
        <x:f>IF(Z232="","",N232/INDEX('浓度设置'!$M$6:$M$46,MATCH(Z232,'浓度设置'!$A$6:$A$46,0)))</x:f>
        <x:v>0.49216770574963464</x:v>
      </x:c>
      <x:c r="S232" s="9" t="n">
        <x:f>IF(AA232="","",O232/INDEX('浓度设置'!$M$6:$M$46,MATCH(AA232,'浓度设置'!$A$6:$A$46,0)))</x:f>
        <x:v>0.39224806201550383</x:v>
      </x:c>
      <x:c r="T232" s="9" t="n">
        <x:f>IF(AB232="","",P232/INDEX('浓度设置'!$M$6:$M$46,MATCH(AB232,'浓度设置'!$A$6:$A$46,0)))</x:f>
        <x:v>60.038167938931295</x:v>
      </x:c>
      <x:c r="U232" s="9" t="n">
        <x:f>IF(Y232="","",M232*$AD232/1000)</x:f>
        <x:v>16.736720347786182</x:v>
      </x:c>
      <x:c r="V232" s="9" t="n">
        <x:f>IF(Z232="","",N232*$AD232/1000)</x:f>
        <x:v>4.006245124802026</x:v>
      </x:c>
      <x:c r="W232" s="9" t="n">
        <x:f>IF(AA232="","",O232*$AD232/1000)</x:f>
        <x:v>0.10119999999999998</x:v>
      </x:c>
      <x:c r="X232" s="9" t="n">
        <x:f>IF(AB232="","",P232*$AD232/1000)</x:f>
        <x:v>314.6</x:v>
      </x:c>
      <x:c r="Y232" s="3" t="n">
        <x:v>32</x:v>
      </x:c>
      <x:c r="Z232" s="3" t="n">
        <x:v>40</x:v>
      </x:c>
      <x:c r="AA232" s="3" t="n">
        <x:v>58</x:v>
      </x:c>
      <x:c r="AB232" s="3" t="n">
        <x:v>105</x:v>
      </x:c>
      <x:c r="AC232" s="3" t="n">
        <x:v>4</x:v>
      </x:c>
      <x:c r="AD232" s="3" t="n">
        <x:f>'方案总览'!$B$5</x:f>
        <x:v>20</x:v>
      </x:c>
    </x:row>
    <x:row r="233" ht="24" customHeight="1">
      <x:c r="A233" s="3" t="str">
        <x:v>T228</x:v>
      </x:c>
      <x:c r="B233" s="3" t="str">
        <x:v>拟合</x:v>
      </x:c>
      <x:c r="C233" s="3" t="str">
        <x:v>C142</x:v>
      </x:c>
      <x:c r="D233" s="3" t="str"/>
      <x:c r="E233" s="3" t="str">
        <x:v>2-甲基丙醛</x:v>
      </x:c>
      <x:c r="F233" s="3" t="str">
        <x:v>丁酸异戊酯</x:v>
      </x:c>
      <x:c r="G233" s="3" t="str">
        <x:v>癸酸乙酯</x:v>
      </x:c>
      <x:c r="H233" s="3" t="str">
        <x:v>戊酸乙酯</x:v>
      </x:c>
      <x:c r="I233" s="3" t="str">
        <x:v>H</x:v>
      </x:c>
      <x:c r="J233" s="3" t="str">
        <x:v>H</x:v>
      </x:c>
      <x:c r="K233" s="3" t="str">
        <x:v>H</x:v>
      </x:c>
      <x:c r="L233" s="3" t="str">
        <x:v>L</x:v>
      </x:c>
      <x:c r="M233" s="9" t="n">
        <x:f>IF(Y233="","",INDEX('浓度设置'!$P$6:$R$46,MATCH(Y233,'浓度设置'!$A$6:$A$46,0),IF(I233="L",1,IF(I233="M",2,3))))</x:f>
        <x:v>35900</x:v>
      </x:c>
      <x:c r="N233" s="9" t="n">
        <x:f>IF(Z233="","",INDEX('浓度设置'!$P$6:$R$46,MATCH(Z233,'浓度设置'!$A$6:$A$46,0),IF(J233="L",1,IF(J233="M",2,3))))</x:f>
        <x:v>4105</x:v>
      </x:c>
      <x:c r="O233" s="9" t="n">
        <x:f>IF(AA233="","",INDEX('浓度设置'!$P$6:$R$46,MATCH(AA233,'浓度设置'!$A$6:$A$46,0),IF(K233="L",1,IF(K233="M",2,3))))</x:f>
        <x:v>56115</x:v>
      </x:c>
      <x:c r="P233" s="9" t="n">
        <x:f>IF(AB233="","",INDEX('浓度设置'!$P$6:$R$46,MATCH(AB233,'浓度设置'!$A$6:$A$46,0),IF(L233="L",1,IF(L233="M",2,3))))</x:f>
        <x:v>2.2</x:v>
      </x:c>
      <x:c r="Q233" s="9" t="n">
        <x:f>IF(Y233="","",M233/INDEX('浓度设置'!$M$6:$M$46,MATCH(Y233,'浓度设置'!$A$6:$A$46,0)))</x:f>
        <x:v>6084.745762711864</x:v>
      </x:c>
      <x:c r="R233" s="9" t="n">
        <x:f>IF(Z233="","",N233/INDEX('浓度设置'!$M$6:$M$46,MATCH(Z233,'浓度设置'!$A$6:$A$46,0)))</x:f>
        <x:v>4.4863387978142075</x:v>
      </x:c>
      <x:c r="S233" s="9" t="n">
        <x:f>IF(AA233="","",O233/INDEX('浓度设置'!$M$6:$M$46,MATCH(AA233,'浓度设置'!$A$6:$A$46,0)))</x:f>
        <x:v>50.10267857142857</x:v>
      </x:c>
      <x:c r="T233" s="9" t="n">
        <x:f>IF(AB233="","",P233/INDEX('浓度设置'!$M$6:$M$46,MATCH(AB233,'浓度设置'!$A$6:$A$46,0)))</x:f>
        <x:v>0.08208955223880597</x:v>
      </x:c>
      <x:c r="U233" s="9" t="n">
        <x:f>IF(Y233="","",M233*$AD233/1000)</x:f>
        <x:v>718</x:v>
      </x:c>
      <x:c r="V233" s="9" t="n">
        <x:f>IF(Z233="","",N233*$AD233/1000)</x:f>
        <x:v>82.1</x:v>
      </x:c>
      <x:c r="W233" s="9" t="n">
        <x:f>IF(AA233="","",O233*$AD233/1000)</x:f>
        <x:v>1122.3</x:v>
      </x:c>
      <x:c r="X233" s="9" t="n">
        <x:f>IF(AB233="","",P233*$AD233/1000)</x:f>
        <x:v>0.044</x:v>
      </x:c>
      <x:c r="Y233" s="3" t="n">
        <x:v>18</x:v>
      </x:c>
      <x:c r="Z233" s="3" t="n">
        <x:v>56</x:v>
      </x:c>
      <x:c r="AA233" s="3" t="n">
        <x:v>79</x:v>
      </x:c>
      <x:c r="AB233" s="3" t="n">
        <x:v>141</x:v>
      </x:c>
      <x:c r="AC233" s="3" t="n">
        <x:v>4</x:v>
      </x:c>
      <x:c r="AD233" s="3" t="n">
        <x:f>'方案总览'!$B$5</x:f>
        <x:v>20</x:v>
      </x:c>
    </x:row>
    <x:row r="234" ht="24" customHeight="1">
      <x:c r="A234" s="3" t="str">
        <x:v>T229</x:v>
      </x:c>
      <x:c r="B234" s="3" t="str">
        <x:v>拟合</x:v>
      </x:c>
      <x:c r="C234" s="3" t="str">
        <x:v>C143</x:v>
      </x:c>
      <x:c r="D234" s="3" t="str"/>
      <x:c r="E234" s="3" t="str">
        <x:v>乙醛二乙缩醛</x:v>
      </x:c>
      <x:c r="F234" s="3" t="str">
        <x:v>1-辛醇</x:v>
      </x:c>
      <x:c r="G234" s="3" t="str">
        <x:v>3-苯基丙酸乙酯</x:v>
      </x:c>
      <x:c r="H234" s="3" t="str">
        <x:v>己酸己酯</x:v>
      </x:c>
      <x:c r="I234" s="3" t="str">
        <x:v>M</x:v>
      </x:c>
      <x:c r="J234" s="3" t="str">
        <x:v>H</x:v>
      </x:c>
      <x:c r="K234" s="3" t="str">
        <x:v>L</x:v>
      </x:c>
      <x:c r="L234" s="3" t="str">
        <x:v>M</x:v>
      </x:c>
      <x:c r="M234" s="9" t="n">
        <x:f>IF(Y234="","",INDEX('浓度设置'!$P$6:$R$46,MATCH(Y234,'浓度设置'!$A$6:$A$46,0),IF(I234="L",1,IF(I234="M",2,3))))</x:f>
        <x:v>2745.3821227654266</x:v>
      </x:c>
      <x:c r="N234" s="9" t="n">
        <x:f>IF(Z234="","",INDEX('浓度设置'!$P$6:$R$46,MATCH(Z234,'浓度设置'!$A$6:$A$46,0),IF(J234="L",1,IF(J234="M",2,3))))</x:f>
        <x:v>25642.45</x:v>
      </x:c>
      <x:c r="O234" s="9" t="n">
        <x:f>IF(AA234="","",INDEX('浓度设置'!$P$6:$R$46,MATCH(AA234,'浓度设置'!$A$6:$A$46,0),IF(K234="L",1,IF(K234="M",2,3))))</x:f>
        <x:v>1.56</x:v>
      </x:c>
      <x:c r="P234" s="9" t="n">
        <x:f>IF(AB234="","",INDEX('浓度设置'!$P$6:$R$46,MATCH(AB234,'浓度设置'!$A$6:$A$46,0),IF(L234="L",1,IF(L234="M",2,3))))</x:f>
        <x:v>695.986709643223</x:v>
      </x:c>
      <x:c r="Q234" s="9" t="n">
        <x:f>IF(Y234="","",M234/INDEX('浓度设置'!$M$6:$M$46,MATCH(Y234,'浓度设置'!$A$6:$A$46,0)))</x:f>
        <x:v>1.3135799630456586</x:v>
      </x:c>
      <x:c r="R234" s="9" t="n">
        <x:f>IF(Z234="","",N234/INDEX('浓度设置'!$M$6:$M$46,MATCH(Z234,'浓度设置'!$A$6:$A$46,0)))</x:f>
        <x:v>23.311318181818184</x:v>
      </x:c>
      <x:c r="S234" s="9" t="n">
        <x:f>IF(AA234="","",O234/INDEX('浓度设置'!$M$6:$M$46,MATCH(AA234,'浓度设置'!$A$6:$A$46,0)))</x:f>
        <x:v>0.01248</x:v>
      </x:c>
      <x:c r="T234" s="9" t="n">
        <x:f>IF(AB234="","",P234/INDEX('浓度设置'!$M$6:$M$46,MATCH(AB234,'浓度设置'!$A$6:$A$46,0)))</x:f>
        <x:v>0.3680521997055648</x:v>
      </x:c>
      <x:c r="U234" s="9" t="n">
        <x:f>IF(Y234="","",M234*$AD234/1000)</x:f>
        <x:v>54.90764245530853</x:v>
      </x:c>
      <x:c r="V234" s="9" t="n">
        <x:f>IF(Z234="","",N234*$AD234/1000)</x:f>
        <x:v>512.849</x:v>
      </x:c>
      <x:c r="W234" s="9" t="n">
        <x:f>IF(AA234="","",O234*$AD234/1000)</x:f>
        <x:v>0.031200000000000002</x:v>
      </x:c>
      <x:c r="X234" s="9" t="n">
        <x:f>IF(AB234="","",P234*$AD234/1000)</x:f>
        <x:v>13.91973419286446</x:v>
      </x:c>
      <x:c r="Y234" s="3" t="n">
        <x:v>53</x:v>
      </x:c>
      <x:c r="Z234" s="3" t="n">
        <x:v>90</x:v>
      </x:c>
      <x:c r="AA234" s="3" t="n">
        <x:v>186</x:v>
      </x:c>
      <x:c r="AB234" s="3" t="n">
        <x:v>227</x:v>
      </x:c>
      <x:c r="AC234" s="3" t="n">
        <x:v>4</x:v>
      </x:c>
      <x:c r="AD234" s="3" t="n">
        <x:f>'方案总览'!$B$5</x:f>
        <x:v>20</x:v>
      </x:c>
    </x:row>
    <x:row r="235" ht="24" customHeight="1">
      <x:c r="A235" s="3" t="str">
        <x:v>T230</x:v>
      </x:c>
      <x:c r="B235" s="3" t="str">
        <x:v>拟合</x:v>
      </x:c>
      <x:c r="C235" s="3" t="str">
        <x:v>C144</x:v>
      </x:c>
      <x:c r="D235" s="3" t="str"/>
      <x:c r="E235" s="3" t="str">
        <x:v>苯乙酸乙酯</x:v>
      </x:c>
      <x:c r="F235" s="3" t="str">
        <x:v>对甲酚</x:v>
      </x:c>
      <x:c r="G235" s="3" t="str">
        <x:v>戊酸</x:v>
      </x:c>
      <x:c r="H235" s="3" t="str">
        <x:v>β-大马酮</x:v>
      </x:c>
      <x:c r="I235" s="3" t="str">
        <x:v>L</x:v>
      </x:c>
      <x:c r="J235" s="3" t="str">
        <x:v>M</x:v>
      </x:c>
      <x:c r="K235" s="3" t="str">
        <x:v>M</x:v>
      </x:c>
      <x:c r="L235" s="3" t="str">
        <x:v>M</x:v>
      </x:c>
      <x:c r="M235" s="9" t="n">
        <x:f>IF(Y235="","",INDEX('浓度设置'!$P$6:$R$46,MATCH(Y235,'浓度设置'!$A$6:$A$46,0),IF(I235="L",1,IF(I235="M",2,3))))</x:f>
        <x:v>1.875</x:v>
      </x:c>
      <x:c r="N235" s="9" t="n">
        <x:f>IF(Z235="","",INDEX('浓度设置'!$P$6:$R$46,MATCH(Z235,'浓度设置'!$A$6:$A$46,0),IF(J235="L",1,IF(J235="M",2,3))))</x:f>
        <x:v>59.381310191002015</x:v>
      </x:c>
      <x:c r="O235" s="9" t="n">
        <x:f>IF(AA235="","",INDEX('浓度设置'!$P$6:$R$46,MATCH(AA235,'浓度设置'!$A$6:$A$46,0),IF(K235="L",1,IF(K235="M",2,3))))</x:f>
        <x:v>331.2476415010377</x:v>
      </x:c>
      <x:c r="P235" s="9" t="n">
        <x:f>IF(AB235="","",INDEX('浓度设置'!$P$6:$R$46,MATCH(AB235,'浓度设置'!$A$6:$A$46,0),IF(L235="L",1,IF(L235="M",2,3))))</x:f>
        <x:v>9.546727187890099</x:v>
      </x:c>
      <x:c r="Q235" s="9" t="n">
        <x:f>IF(Y235="","",M235/INDEX('浓度设置'!$M$6:$M$46,MATCH(Y235,'浓度设置'!$A$6:$A$46,0)))</x:f>
        <x:v>0.004606879606879607</x:v>
      </x:c>
      <x:c r="R235" s="9" t="n">
        <x:f>IF(Z235="","",N235/INDEX('浓度设置'!$M$6:$M$46,MATCH(Z235,'浓度设置'!$A$6:$A$46,0)))</x:f>
        <x:v>0.355576707730551</x:v>
      </x:c>
      <x:c r="S235" s="9" t="n">
        <x:f>IF(AA235="","",O235/INDEX('浓度设置'!$M$6:$M$46,MATCH(AA235,'浓度设置'!$A$6:$A$46,0)))</x:f>
        <x:v>0.8515363534731046</x:v>
      </x:c>
      <x:c r="T235" s="9" t="n">
        <x:f>IF(AB235="","",P235/INDEX('浓度设置'!$M$6:$M$46,MATCH(AB235,'浓度设置'!$A$6:$A$46,0)))</x:f>
        <x:v>79.55605989908416</x:v>
      </x:c>
      <x:c r="U235" s="9" t="n">
        <x:f>IF(Y235="","",M235*$AD235/1000)</x:f>
        <x:v>0.0375</x:v>
      </x:c>
      <x:c r="V235" s="9" t="n">
        <x:f>IF(Z235="","",N235*$AD235/1000)</x:f>
        <x:v>1.1876262038200402</x:v>
      </x:c>
      <x:c r="W235" s="9" t="n">
        <x:f>IF(AA235="","",O235*$AD235/1000)</x:f>
        <x:v>6.624952830020755</x:v>
      </x:c>
      <x:c r="X235" s="9" t="n">
        <x:f>IF(AB235="","",P235*$AD235/1000)</x:f>
        <x:v>0.19093454375780197</x:v>
      </x:c>
      <x:c r="Y235" s="3" t="n">
        <x:v>40</x:v>
      </x:c>
      <x:c r="Z235" s="3" t="n">
        <x:v>61</x:v>
      </x:c>
      <x:c r="AA235" s="3" t="n">
        <x:v>75</x:v>
      </x:c>
      <x:c r="AB235" s="3" t="n">
        <x:v>255</x:v>
      </x:c>
      <x:c r="AC235" s="3" t="n">
        <x:v>4</x:v>
      </x:c>
      <x:c r="AD235" s="3" t="n">
        <x:f>'方案总览'!$B$5</x:f>
        <x:v>20</x:v>
      </x:c>
    </x:row>
    <x:row r="236" ht="24" customHeight="1">
      <x:c r="A236" s="3" t="str">
        <x:v>T231</x:v>
      </x:c>
      <x:c r="B236" s="3" t="str">
        <x:v>拟合</x:v>
      </x:c>
      <x:c r="C236" s="3" t="str">
        <x:v>C145</x:v>
      </x:c>
      <x:c r="D236" s="3" t="str"/>
      <x:c r="E236" s="3" t="str">
        <x:v>1-丁醇</x:v>
      </x:c>
      <x:c r="F236" s="3" t="str">
        <x:v>辛酸</x:v>
      </x:c>
      <x:c r="G236" s="3" t="str">
        <x:v>己酸</x:v>
      </x:c>
      <x:c r="H236" s="3" t="str">
        <x:v>异戊醛</x:v>
      </x:c>
      <x:c r="I236" s="3" t="str">
        <x:v>M</x:v>
      </x:c>
      <x:c r="J236" s="3" t="str">
        <x:v>M</x:v>
      </x:c>
      <x:c r="K236" s="3" t="str">
        <x:v>H</x:v>
      </x:c>
      <x:c r="L236" s="3" t="str">
        <x:v>M</x:v>
      </x:c>
      <x:c r="M236" s="9" t="n">
        <x:f>IF(Y236="","",INDEX('浓度设置'!$P$6:$R$46,MATCH(Y236,'浓度设置'!$A$6:$A$46,0),IF(I236="L",1,IF(I236="M",2,3))))</x:f>
        <x:v>4198.825192836682</x:v>
      </x:c>
      <x:c r="N236" s="9" t="n">
        <x:f>IF(Z236="","",INDEX('浓度设置'!$P$6:$R$46,MATCH(Z236,'浓度设置'!$A$6:$A$46,0),IF(J236="L",1,IF(J236="M",2,3))))</x:f>
        <x:v>274.54883445390914</x:v>
      </x:c>
      <x:c r="O236" s="9" t="n">
        <x:f>IF(AA236="","",INDEX('浓度设置'!$P$6:$R$46,MATCH(AA236,'浓度设置'!$A$6:$A$46,0),IF(K236="L",1,IF(K236="M",2,3))))</x:f>
        <x:v>1551340.76</x:v>
      </x:c>
      <x:c r="P236" s="9" t="n">
        <x:f>IF(AB236="","",INDEX('浓度设置'!$P$6:$R$46,MATCH(AB236,'浓度设置'!$A$6:$A$46,0),IF(L236="L",1,IF(L236="M",2,3))))</x:f>
        <x:v>1048.6410253275426</x:v>
      </x:c>
      <x:c r="Q236" s="9" t="n">
        <x:f>IF(Y236="","",M236/INDEX('浓度设置'!$M$6:$M$46,MATCH(Y236,'浓度设置'!$A$6:$A$46,0)))</x:f>
        <x:v>1.5363429172472307</x:v>
      </x:c>
      <x:c r="R236" s="9" t="n">
        <x:f>IF(Z236="","",N236/INDEX('浓度设置'!$M$6:$M$46,MATCH(Z236,'浓度设置'!$A$6:$A$46,0)))</x:f>
        <x:v>0.10168475350144783</x:v>
      </x:c>
      <x:c r="S236" s="9" t="n">
        <x:f>IF(AA236="","",O236/INDEX('浓度设置'!$M$6:$M$46,MATCH(AA236,'浓度设置'!$A$6:$A$46,0)))</x:f>
        <x:v>615.6114126984127</x:v>
      </x:c>
      <x:c r="T236" s="9" t="n">
        <x:f>IF(AB236="","",P236/INDEX('浓度设置'!$M$6:$M$46,MATCH(AB236,'浓度设置'!$A$6:$A$46,0)))</x:f>
        <x:v>63.554001535002584</x:v>
      </x:c>
      <x:c r="U236" s="9" t="n">
        <x:f>IF(Y236="","",M236*$AD236/1000)</x:f>
        <x:v>83.97650385673363</x:v>
      </x:c>
      <x:c r="V236" s="9" t="n">
        <x:f>IF(Z236="","",N236*$AD236/1000)</x:f>
        <x:v>5.490976689078183</x:v>
      </x:c>
      <x:c r="W236" s="9" t="n">
        <x:f>IF(AA236="","",O236*$AD236/1000)</x:f>
        <x:v>31026.8152</x:v>
      </x:c>
      <x:c r="X236" s="9" t="n">
        <x:f>IF(AB236="","",P236*$AD236/1000)</x:f>
        <x:v>20.972820506550853</x:v>
      </x:c>
      <x:c r="Y236" s="3" t="n">
        <x:v>11</x:v>
      </x:c>
      <x:c r="Z236" s="3" t="n">
        <x:v>117</x:v>
      </x:c>
      <x:c r="AA236" s="3" t="n">
        <x:v>126</x:v>
      </x:c>
      <x:c r="AB236" s="3" t="n">
        <x:v>152</x:v>
      </x:c>
      <x:c r="AC236" s="3" t="n">
        <x:v>4</x:v>
      </x:c>
      <x:c r="AD236" s="3" t="n">
        <x:f>'方案总览'!$B$5</x:f>
        <x:v>20</x:v>
      </x:c>
    </x:row>
    <x:row r="237" ht="24" customHeight="1">
      <x:c r="A237" s="3" t="str">
        <x:v>T232</x:v>
      </x:c>
      <x:c r="B237" s="3" t="str">
        <x:v>拟合</x:v>
      </x:c>
      <x:c r="C237" s="3" t="str">
        <x:v>C146</x:v>
      </x:c>
      <x:c r="D237" s="3" t="str"/>
      <x:c r="E237" s="3" t="str">
        <x:v>异戊酸乙酯（3-甲基丁酸乙酯）</x:v>
      </x:c>
      <x:c r="F237" s="3" t="str">
        <x:v>己酸乙酯</x:v>
      </x:c>
      <x:c r="G237" s="3" t="str">
        <x:v>己酸丁酯</x:v>
      </x:c>
      <x:c r="H237" s="3" t="str">
        <x:v>3-苯基丙酸乙酯</x:v>
      </x:c>
      <x:c r="I237" s="3" t="str">
        <x:v>M</x:v>
      </x:c>
      <x:c r="J237" s="3" t="str">
        <x:v>L</x:v>
      </x:c>
      <x:c r="K237" s="3" t="str">
        <x:v>M</x:v>
      </x:c>
      <x:c r="L237" s="3" t="str">
        <x:v>M</x:v>
      </x:c>
      <x:c r="M237" s="9" t="n">
        <x:f>IF(Y237="","",INDEX('浓度设置'!$P$6:$R$46,MATCH(Y237,'浓度设置'!$A$6:$A$46,0),IF(I237="L",1,IF(I237="M",2,3))))</x:f>
        <x:v>99.89207175747232</x:v>
      </x:c>
      <x:c r="N237" s="9" t="n">
        <x:f>IF(Z237="","",INDEX('浓度设置'!$P$6:$R$46,MATCH(Z237,'浓度设置'!$A$6:$A$46,0),IF(J237="L",1,IF(J237="M",2,3))))</x:f>
        <x:v>833.64</x:v>
      </x:c>
      <x:c r="O237" s="9" t="n">
        <x:f>IF(AA237="","",INDEX('浓度设置'!$P$6:$R$46,MATCH(AA237,'浓度设置'!$A$6:$A$46,0),IF(K237="L",1,IF(K237="M",2,3))))</x:f>
        <x:v>823.735</x:v>
      </x:c>
      <x:c r="P237" s="9" t="n">
        <x:f>IF(AB237="","",INDEX('浓度设置'!$P$6:$R$46,MATCH(AB237,'浓度设置'!$A$6:$A$46,0),IF(L237="L",1,IF(L237="M",2,3))))</x:f>
        <x:v>4262.731518639193</x:v>
      </x:c>
      <x:c r="Q237" s="9" t="n">
        <x:f>IF(Y237="","",M237/INDEX('浓度设置'!$M$6:$M$46,MATCH(Y237,'浓度设置'!$A$6:$A$46,0)))</x:f>
        <x:v>14.49812362227465</x:v>
      </x:c>
      <x:c r="R237" s="9" t="n">
        <x:f>IF(Z237="","",N237/INDEX('浓度设置'!$M$6:$M$46,MATCH(Z237,'浓度设置'!$A$6:$A$46,0)))</x:f>
        <x:v>15.074864376130199</x:v>
      </x:c>
      <x:c r="S237" s="9" t="n">
        <x:f>IF(AA237="","",O237/INDEX('浓度设置'!$M$6:$M$46,MATCH(AA237,'浓度设置'!$A$6:$A$46,0)))</x:f>
        <x:v>1.2152351587395256</x:v>
      </x:c>
      <x:c r="T237" s="9" t="n">
        <x:f>IF(AB237="","",P237/INDEX('浓度设置'!$M$6:$M$46,MATCH(AB237,'浓度设置'!$A$6:$A$46,0)))</x:f>
        <x:v>34.10185214911355</x:v>
      </x:c>
      <x:c r="U237" s="9" t="n">
        <x:f>IF(Y237="","",M237*$AD237/1000)</x:f>
        <x:v>1.9978414351494465</x:v>
      </x:c>
      <x:c r="V237" s="9" t="n">
        <x:f>IF(Z237="","",N237*$AD237/1000)</x:f>
        <x:v>16.6728</x:v>
      </x:c>
      <x:c r="W237" s="9" t="n">
        <x:f>IF(AA237="","",O237*$AD237/1000)</x:f>
        <x:v>16.474700000000002</x:v>
      </x:c>
      <x:c r="X237" s="9" t="n">
        <x:f>IF(AB237="","",P237*$AD237/1000)</x:f>
        <x:v>85.25463037278386</x:v>
      </x:c>
      <x:c r="Y237" s="3" t="n">
        <x:v>69</x:v>
      </x:c>
      <x:c r="Z237" s="3" t="n">
        <x:v>111</x:v>
      </x:c>
      <x:c r="AA237" s="3" t="n">
        <x:v>165</x:v>
      </x:c>
      <x:c r="AB237" s="3" t="n">
        <x:v>186</x:v>
      </x:c>
      <x:c r="AC237" s="3" t="n">
        <x:v>4</x:v>
      </x:c>
      <x:c r="AD237" s="3" t="n">
        <x:f>'方案总览'!$B$5</x:f>
        <x:v>20</x:v>
      </x:c>
    </x:row>
    <x:row r="238" ht="24" customHeight="1">
      <x:c r="A238" s="3" t="str">
        <x:v>T233</x:v>
      </x:c>
      <x:c r="B238" s="3" t="str">
        <x:v>拟合</x:v>
      </x:c>
      <x:c r="C238" s="3" t="str">
        <x:v>C147</x:v>
      </x:c>
      <x:c r="D238" s="3" t="str"/>
      <x:c r="E238" s="3" t="str">
        <x:v>丁酸乙酯</x:v>
      </x:c>
      <x:c r="F238" s="3" t="str">
        <x:v>丁酸异戊酯</x:v>
      </x:c>
      <x:c r="G238" s="3" t="str">
        <x:v>异戊酸/3-甲基丁酸</x:v>
      </x:c>
      <x:c r="H238" s="3" t="str">
        <x:v>二甲基三硫醚</x:v>
      </x:c>
      <x:c r="I238" s="3" t="str">
        <x:v>L</x:v>
      </x:c>
      <x:c r="J238" s="3" t="str">
        <x:v>M</x:v>
      </x:c>
      <x:c r="K238" s="3" t="str">
        <x:v>H</x:v>
      </x:c>
      <x:c r="L238" s="3" t="str">
        <x:v>M</x:v>
      </x:c>
      <x:c r="M238" s="9" t="n">
        <x:f>IF(Y238="","",INDEX('浓度设置'!$P$6:$R$46,MATCH(Y238,'浓度设置'!$A$6:$A$46,0),IF(I238="L",1,IF(I238="M",2,3))))</x:f>
        <x:v>4.24</x:v>
      </x:c>
      <x:c r="N238" s="9" t="n">
        <x:f>IF(Z238="","",INDEX('浓度设置'!$P$6:$R$46,MATCH(Z238,'浓度设置'!$A$6:$A$46,0),IF(J238="L",1,IF(J238="M",2,3))))</x:f>
        <x:v>1041.8500000000001</x:v>
      </x:c>
      <x:c r="O238" s="9" t="n">
        <x:f>IF(AA238="","",INDEX('浓度设置'!$P$6:$R$46,MATCH(AA238,'浓度设置'!$A$6:$A$46,0),IF(K238="L",1,IF(K238="M",2,3))))</x:f>
        <x:v>44000</x:v>
      </x:c>
      <x:c r="P238" s="9" t="n">
        <x:f>IF(AB238="","",INDEX('浓度设置'!$P$6:$R$46,MATCH(AB238,'浓度设置'!$A$6:$A$46,0),IF(L238="L",1,IF(L238="M",2,3))))</x:f>
        <x:v>34.2987346705385</x:v>
      </x:c>
      <x:c r="Q238" s="9" t="n">
        <x:f>IF(Y238="","",M238/INDEX('浓度设置'!$M$6:$M$46,MATCH(Y238,'浓度设置'!$A$6:$A$46,0)))</x:f>
        <x:v>0.052024539877300616</x:v>
      </x:c>
      <x:c r="R238" s="9" t="n">
        <x:f>IF(Z238="","",N238/INDEX('浓度设置'!$M$6:$M$46,MATCH(Z238,'浓度设置'!$A$6:$A$46,0)))</x:f>
        <x:v>1.1386338797814208</x:v>
      </x:c>
      <x:c r="S238" s="9" t="n">
        <x:f>IF(AA238="","",O238/INDEX('浓度设置'!$M$6:$M$46,MATCH(AA238,'浓度设置'!$A$6:$A$46,0)))</x:f>
        <x:v>41.904761904761905</x:v>
      </x:c>
      <x:c r="T238" s="9" t="n">
        <x:f>IF(AB238="","",P238/INDEX('浓度设置'!$M$6:$M$46,MATCH(AB238,'浓度设置'!$A$6:$A$46,0)))</x:f>
        <x:v>95.27426297371807</x:v>
      </x:c>
      <x:c r="U238" s="9" t="n">
        <x:f>IF(Y238="","",M238*$AD238/1000)</x:f>
        <x:v>0.08480000000000001</x:v>
      </x:c>
      <x:c r="V238" s="9" t="n">
        <x:f>IF(Z238="","",N238*$AD238/1000)</x:f>
        <x:v>20.837000000000003</x:v>
      </x:c>
      <x:c r="W238" s="9" t="n">
        <x:f>IF(AA238="","",O238*$AD238/1000)</x:f>
        <x:v>880</x:v>
      </x:c>
      <x:c r="X238" s="9" t="n">
        <x:f>IF(AB238="","",P238*$AD238/1000)</x:f>
        <x:v>0.68597469341077</x:v>
      </x:c>
      <x:c r="Y238" s="3" t="n">
        <x:v>52</x:v>
      </x:c>
      <x:c r="Z238" s="3" t="n">
        <x:v>56</x:v>
      </x:c>
      <x:c r="AA238" s="3" t="n">
        <x:v>136</x:v>
      </x:c>
      <x:c r="AB238" s="3" t="n">
        <x:v>209</x:v>
      </x:c>
      <x:c r="AC238" s="3" t="n">
        <x:v>4</x:v>
      </x:c>
      <x:c r="AD238" s="3" t="n">
        <x:f>'方案总览'!$B$5</x:f>
        <x:v>20</x:v>
      </x:c>
    </x:row>
    <x:row r="239" ht="24" customHeight="1">
      <x:c r="A239" s="3" t="str">
        <x:v>T234</x:v>
      </x:c>
      <x:c r="B239" s="3" t="str">
        <x:v>拟合</x:v>
      </x:c>
      <x:c r="C239" s="3" t="str">
        <x:v>C148</x:v>
      </x:c>
      <x:c r="D239" s="3" t="str"/>
      <x:c r="E239" s="3" t="str">
        <x:v>己醛</x:v>
      </x:c>
      <x:c r="F239" s="3" t="str">
        <x:v>异丁酸乙酯</x:v>
      </x:c>
      <x:c r="G239" s="3" t="str">
        <x:v>乙醛二乙缩醛</x:v>
      </x:c>
      <x:c r="H239" s="3" t="str">
        <x:v>1-辛烯-3-醇</x:v>
      </x:c>
      <x:c r="I239" s="3" t="str">
        <x:v>H</x:v>
      </x:c>
      <x:c r="J239" s="3" t="str">
        <x:v>L</x:v>
      </x:c>
      <x:c r="K239" s="3" t="str">
        <x:v>M</x:v>
      </x:c>
      <x:c r="L239" s="3" t="str">
        <x:v>L</x:v>
      </x:c>
      <x:c r="M239" s="9" t="n">
        <x:f>IF(Y239="","",INDEX('浓度设置'!$P$6:$R$46,MATCH(Y239,'浓度设置'!$A$6:$A$46,0),IF(I239="L",1,IF(I239="M",2,3))))</x:f>
        <x:v>3075.94</x:v>
      </x:c>
      <x:c r="N239" s="9" t="n">
        <x:f>IF(Z239="","",INDEX('浓度设置'!$P$6:$R$46,MATCH(Z239,'浓度设置'!$A$6:$A$46,0),IF(J239="L",1,IF(J239="M",2,3))))</x:f>
        <x:v>18.68</x:v>
      </x:c>
      <x:c r="O239" s="9" t="n">
        <x:f>IF(AA239="","",INDEX('浓度设置'!$P$6:$R$46,MATCH(AA239,'浓度设置'!$A$6:$A$46,0),IF(K239="L",1,IF(K239="M",2,3))))</x:f>
        <x:v>2745.3821227654266</x:v>
      </x:c>
      <x:c r="P239" s="9" t="n">
        <x:f>IF(AB239="","",INDEX('浓度设置'!$P$6:$R$46,MATCH(AB239,'浓度设置'!$A$6:$A$46,0),IF(L239="L",1,IF(L239="M",2,3))))</x:f>
        <x:v>1</x:v>
      </x:c>
      <x:c r="Q239" s="9" t="n">
        <x:f>IF(Y239="","",M239/INDEX('浓度设置'!$M$6:$M$46,MATCH(Y239,'浓度设置'!$A$6:$A$46,0)))</x:f>
        <x:v>120.62509803921569</x:v>
      </x:c>
      <x:c r="R239" s="9" t="n">
        <x:f>IF(Z239="","",N239/INDEX('浓度设置'!$M$6:$M$46,MATCH(Z239,'浓度设置'!$A$6:$A$46,0)))</x:f>
        <x:v>0.3248695652173913</x:v>
      </x:c>
      <x:c r="S239" s="9" t="n">
        <x:f>IF(AA239="","",O239/INDEX('浓度设置'!$M$6:$M$46,MATCH(AA239,'浓度设置'!$A$6:$A$46,0)))</x:f>
        <x:v>1.3135799630456586</x:v>
      </x:c>
      <x:c r="T239" s="9" t="n">
        <x:f>IF(AB239="","",P239/INDEX('浓度设置'!$M$6:$M$46,MATCH(AB239,'浓度设置'!$A$6:$A$46,0)))</x:f>
        <x:v>0.16339869281045752</x:v>
      </x:c>
      <x:c r="U239" s="9" t="n">
        <x:f>IF(Y239="","",M239*$AD239/1000)</x:f>
        <x:v>61.518800000000006</x:v>
      </x:c>
      <x:c r="V239" s="9" t="n">
        <x:f>IF(Z239="","",N239*$AD239/1000)</x:f>
        <x:v>0.37360000000000004</x:v>
      </x:c>
      <x:c r="W239" s="9" t="n">
        <x:f>IF(AA239="","",O239*$AD239/1000)</x:f>
        <x:v>54.90764245530853</x:v>
      </x:c>
      <x:c r="X239" s="9" t="n">
        <x:f>IF(AB239="","",P239*$AD239/1000)</x:f>
        <x:v>0.02</x:v>
      </x:c>
      <x:c r="Y239" s="3" t="n">
        <x:v>7</x:v>
      </x:c>
      <x:c r="Z239" s="3" t="n">
        <x:v>32</x:v>
      </x:c>
      <x:c r="AA239" s="3" t="n">
        <x:v>53</x:v>
      </x:c>
      <x:c r="AB239" s="3" t="n">
        <x:v>207</x:v>
      </x:c>
      <x:c r="AC239" s="3" t="n">
        <x:v>4</x:v>
      </x:c>
      <x:c r="AD239" s="3" t="n">
        <x:f>'方案总览'!$B$5</x:f>
        <x:v>20</x:v>
      </x:c>
    </x:row>
    <x:row r="240" ht="24" customHeight="1">
      <x:c r="A240" s="3" t="str">
        <x:v>T235</x:v>
      </x:c>
      <x:c r="B240" s="3" t="str">
        <x:v>拟合</x:v>
      </x:c>
      <x:c r="C240" s="3" t="str">
        <x:v>C149</x:v>
      </x:c>
      <x:c r="D240" s="3" t="str"/>
      <x:c r="E240" s="3" t="str">
        <x:v>2-甲基丙醛</x:v>
      </x:c>
      <x:c r="F240" s="3" t="str">
        <x:v>乙醛二乙缩醛</x:v>
      </x:c>
      <x:c r="G240" s="3" t="str">
        <x:v>二甲基三硫醚</x:v>
      </x:c>
      <x:c r="H240" s="3" t="str">
        <x:v>2-甲基丁酸乙酯</x:v>
      </x:c>
      <x:c r="I240" s="3" t="str">
        <x:v>L</x:v>
      </x:c>
      <x:c r="J240" s="3" t="str">
        <x:v>H</x:v>
      </x:c>
      <x:c r="K240" s="3" t="str">
        <x:v>H</x:v>
      </x:c>
      <x:c r="L240" s="3" t="str">
        <x:v>L</x:v>
      </x:c>
      <x:c r="M240" s="9" t="n">
        <x:f>IF(Y240="","",INDEX('浓度设置'!$P$6:$R$46,MATCH(Y240,'浓度设置'!$A$6:$A$46,0),IF(I240="L",1,IF(I240="M",2,3))))</x:f>
        <x:v>39</x:v>
      </x:c>
      <x:c r="N240" s="9" t="n">
        <x:f>IF(Z240="","",INDEX('浓度设置'!$P$6:$R$46,MATCH(Z240,'浓度设置'!$A$6:$A$46,0),IF(J240="L",1,IF(J240="M",2,3))))</x:f>
        <x:v>784300</x:v>
      </x:c>
      <x:c r="O240" s="9" t="n">
        <x:f>IF(AA240="","",INDEX('浓度设置'!$P$6:$R$46,MATCH(AA240,'浓度设置'!$A$6:$A$46,0),IF(K240="L",1,IF(K240="M",2,3))))</x:f>
        <x:v>4201.44</x:v>
      </x:c>
      <x:c r="P240" s="9" t="n">
        <x:f>IF(AB240="","",INDEX('浓度设置'!$P$6:$R$46,MATCH(AB240,'浓度设置'!$A$6:$A$46,0),IF(L240="L",1,IF(L240="M",2,3))))</x:f>
        <x:v>0.97</x:v>
      </x:c>
      <x:c r="Q240" s="9" t="n">
        <x:f>IF(Y240="","",M240/INDEX('浓度设置'!$M$6:$M$46,MATCH(Y240,'浓度设置'!$A$6:$A$46,0)))</x:f>
        <x:v>6.610169491525423</x:v>
      </x:c>
      <x:c r="R240" s="9" t="n">
        <x:f>IF(Z240="","",N240/INDEX('浓度设置'!$M$6:$M$46,MATCH(Z240,'浓度设置'!$A$6:$A$46,0)))</x:f>
        <x:v>375.2631578947368</x:v>
      </x:c>
      <x:c r="S240" s="9" t="n">
        <x:f>IF(AA240="","",O240/INDEX('浓度设置'!$M$6:$M$46,MATCH(AA240,'浓度设置'!$A$6:$A$46,0)))</x:f>
        <x:v>11670.666666666666</x:v>
      </x:c>
      <x:c r="T240" s="9" t="n">
        <x:f>IF(AB240="","",P240/INDEX('浓度设置'!$M$6:$M$46,MATCH(AB240,'浓度设置'!$A$6:$A$46,0)))</x:f>
        <x:v>0.05388888888888889</x:v>
      </x:c>
      <x:c r="U240" s="9" t="n">
        <x:f>IF(Y240="","",M240*$AD240/1000)</x:f>
        <x:v>0.78</x:v>
      </x:c>
      <x:c r="V240" s="9" t="n">
        <x:f>IF(Z240="","",N240*$AD240/1000)</x:f>
        <x:v>15686</x:v>
      </x:c>
      <x:c r="W240" s="9" t="n">
        <x:f>IF(AA240="","",O240*$AD240/1000)</x:f>
        <x:v>84.02879999999999</x:v>
      </x:c>
      <x:c r="X240" s="9" t="n">
        <x:f>IF(AB240="","",P240*$AD240/1000)</x:f>
        <x:v>0.019399999999999997</x:v>
      </x:c>
      <x:c r="Y240" s="3" t="n">
        <x:v>18</x:v>
      </x:c>
      <x:c r="Z240" s="3" t="n">
        <x:v>53</x:v>
      </x:c>
      <x:c r="AA240" s="3" t="n">
        <x:v>209</x:v>
      </x:c>
      <x:c r="AB240" s="3" t="n">
        <x:v>232</x:v>
      </x:c>
      <x:c r="AC240" s="3" t="n">
        <x:v>4</x:v>
      </x:c>
      <x:c r="AD240" s="3" t="n">
        <x:f>'方案总览'!$B$5</x:f>
        <x:v>20</x:v>
      </x:c>
    </x:row>
    <x:row r="241" ht="24" customHeight="1">
      <x:c r="A241" s="3" t="str">
        <x:v>T236</x:v>
      </x:c>
      <x:c r="B241" s="3" t="str">
        <x:v>拟合</x:v>
      </x:c>
      <x:c r="C241" s="3" t="str">
        <x:v>C150</x:v>
      </x:c>
      <x:c r="D241" s="3" t="str"/>
      <x:c r="E241" s="3" t="str">
        <x:v>1-丁醇</x:v>
      </x:c>
      <x:c r="F241" s="3" t="str">
        <x:v>丁酸异戊酯</x:v>
      </x:c>
      <x:c r="G241" s="3" t="str">
        <x:v>苯乙醛</x:v>
      </x:c>
      <x:c r="H241" s="3" t="str">
        <x:v>己酸乙酯</x:v>
      </x:c>
      <x:c r="I241" s="3" t="str">
        <x:v>M</x:v>
      </x:c>
      <x:c r="J241" s="3" t="str">
        <x:v>M</x:v>
      </x:c>
      <x:c r="K241" s="3" t="str">
        <x:v>H</x:v>
      </x:c>
      <x:c r="L241" s="3" t="str">
        <x:v>M</x:v>
      </x:c>
      <x:c r="M241" s="9" t="n">
        <x:f>IF(Y241="","",INDEX('浓度设置'!$P$6:$R$46,MATCH(Y241,'浓度设置'!$A$6:$A$46,0),IF(I241="L",1,IF(I241="M",2,3))))</x:f>
        <x:v>4198.825192836682</x:v>
      </x:c>
      <x:c r="N241" s="9" t="n">
        <x:f>IF(Z241="","",INDEX('浓度设置'!$P$6:$R$46,MATCH(Z241,'浓度设置'!$A$6:$A$46,0),IF(J241="L",1,IF(J241="M",2,3))))</x:f>
        <x:v>1041.8500000000001</x:v>
      </x:c>
      <x:c r="O241" s="9" t="n">
        <x:f>IF(AA241="","",INDEX('浓度设置'!$P$6:$R$46,MATCH(AA241,'浓度设置'!$A$6:$A$46,0),IF(K241="L",1,IF(K241="M",2,3))))</x:f>
        <x:v>15730</x:v>
      </x:c>
      <x:c r="P241" s="9" t="n">
        <x:f>IF(AB241="","",INDEX('浓度设置'!$P$6:$R$46,MATCH(AB241,'浓度设置'!$A$6:$A$46,0),IF(L241="L",1,IF(L241="M",2,3))))</x:f>
        <x:v>89562.18016998023</x:v>
      </x:c>
      <x:c r="Q241" s="9" t="n">
        <x:f>IF(Y241="","",M241/INDEX('浓度设置'!$M$6:$M$46,MATCH(Y241,'浓度设置'!$A$6:$A$46,0)))</x:f>
        <x:v>1.5363429172472307</x:v>
      </x:c>
      <x:c r="R241" s="9" t="n">
        <x:f>IF(Z241="","",N241/INDEX('浓度设置'!$M$6:$M$46,MATCH(Z241,'浓度设置'!$A$6:$A$46,0)))</x:f>
        <x:v>1.1386338797814208</x:v>
      </x:c>
      <x:c r="S241" s="9" t="n">
        <x:f>IF(AA241="","",O241/INDEX('浓度设置'!$M$6:$M$46,MATCH(AA241,'浓度设置'!$A$6:$A$46,0)))</x:f>
        <x:v>60.038167938931295</x:v>
      </x:c>
      <x:c r="T241" s="9" t="n">
        <x:f>IF(AB241="","",P241/INDEX('浓度设置'!$M$6:$M$46,MATCH(AB241,'浓度设置'!$A$6:$A$46,0)))</x:f>
        <x:v>1619.5692616632955</x:v>
      </x:c>
      <x:c r="U241" s="9" t="n">
        <x:f>IF(Y241="","",M241*$AD241/1000)</x:f>
        <x:v>83.97650385673363</x:v>
      </x:c>
      <x:c r="V241" s="9" t="n">
        <x:f>IF(Z241="","",N241*$AD241/1000)</x:f>
        <x:v>20.837000000000003</x:v>
      </x:c>
      <x:c r="W241" s="9" t="n">
        <x:f>IF(AA241="","",O241*$AD241/1000)</x:f>
        <x:v>314.6</x:v>
      </x:c>
      <x:c r="X241" s="9" t="n">
        <x:f>IF(AB241="","",P241*$AD241/1000)</x:f>
        <x:v>1791.2436033996046</x:v>
      </x:c>
      <x:c r="Y241" s="3" t="n">
        <x:v>11</x:v>
      </x:c>
      <x:c r="Z241" s="3" t="n">
        <x:v>56</x:v>
      </x:c>
      <x:c r="AA241" s="3" t="n">
        <x:v>105</x:v>
      </x:c>
      <x:c r="AB241" s="3" t="n">
        <x:v>111</x:v>
      </x:c>
      <x:c r="AC241" s="3" t="n">
        <x:v>4</x:v>
      </x:c>
      <x:c r="AD241" s="3" t="n">
        <x:f>'方案总览'!$B$5</x:f>
        <x:v>20</x:v>
      </x:c>
    </x:row>
    <x:row r="242" ht="24" customHeight="1">
      <x:c r="A242" s="3" t="str">
        <x:v>T237</x:v>
      </x:c>
      <x:c r="B242" s="3" t="str">
        <x:v>拟合</x:v>
      </x:c>
      <x:c r="C242" s="3" t="str">
        <x:v>C151</x:v>
      </x:c>
      <x:c r="D242" s="3" t="str"/>
      <x:c r="E242" s="3" t="str">
        <x:v>对甲酚</x:v>
      </x:c>
      <x:c r="F242" s="3" t="str">
        <x:v>癸酸乙酯</x:v>
      </x:c>
      <x:c r="G242" s="3" t="str">
        <x:v>乙酸异戊酯</x:v>
      </x:c>
      <x:c r="H242" s="3" t="str">
        <x:v>己酸丁酯</x:v>
      </x:c>
      <x:c r="I242" s="3" t="str">
        <x:v>L</x:v>
      </x:c>
      <x:c r="J242" s="3" t="str">
        <x:v>M</x:v>
      </x:c>
      <x:c r="K242" s="3" t="str">
        <x:v>M</x:v>
      </x:c>
      <x:c r="L242" s="3" t="str">
        <x:v>H</x:v>
      </x:c>
      <x:c r="M242" s="9" t="n">
        <x:f>IF(Y242="","",INDEX('浓度设置'!$P$6:$R$46,MATCH(Y242,'浓度设置'!$A$6:$A$46,0),IF(I242="L",1,IF(I242="M",2,3))))</x:f>
        <x:v>0.51</x:v>
      </x:c>
      <x:c r="N242" s="9" t="n">
        <x:f>IF(Z242="","",INDEX('浓度设置'!$P$6:$R$46,MATCH(Z242,'浓度设置'!$A$6:$A$46,0),IF(J242="L",1,IF(J242="M",2,3))))</x:f>
        <x:v>1288.255</x:v>
      </x:c>
      <x:c r="O242" s="9" t="n">
        <x:f>IF(AA242="","",INDEX('浓度设置'!$P$6:$R$46,MATCH(AA242,'浓度设置'!$A$6:$A$46,0),IF(K242="L",1,IF(K242="M",2,3))))</x:f>
        <x:v>96.86609313893071</x:v>
      </x:c>
      <x:c r="P242" s="9" t="n">
        <x:f>IF(AB242="","",INDEX('浓度设置'!$P$6:$R$46,MATCH(AB242,'浓度设置'!$A$6:$A$46,0),IF(L242="L",1,IF(L242="M",2,3))))</x:f>
        <x:v>86300</x:v>
      </x:c>
      <x:c r="Q242" s="9" t="n">
        <x:f>IF(Y242="","",M242/INDEX('浓度设置'!$M$6:$M$46,MATCH(Y242,'浓度设置'!$A$6:$A$46,0)))</x:f>
        <x:v>0.003053892215568862</x:v>
      </x:c>
      <x:c r="R242" s="9" t="n">
        <x:f>IF(Z242="","",N242/INDEX('浓度设置'!$M$6:$M$46,MATCH(Z242,'浓度设置'!$A$6:$A$46,0)))</x:f>
        <x:v>1.1502276785714287</x:v>
      </x:c>
      <x:c r="S242" s="9" t="n">
        <x:f>IF(AA242="","",O242/INDEX('浓度设置'!$M$6:$M$46,MATCH(AA242,'浓度设置'!$A$6:$A$46,0)))</x:f>
        <x:v>1.0315877863570895</x:v>
      </x:c>
      <x:c r="T242" s="9" t="n">
        <x:f>IF(AB242="","",P242/INDEX('浓度设置'!$M$6:$M$46,MATCH(AB242,'浓度设置'!$A$6:$A$46,0)))</x:f>
        <x:v>127.31618080963058</x:v>
      </x:c>
      <x:c r="U242" s="9" t="n">
        <x:f>IF(Y242="","",M242*$AD242/1000)</x:f>
        <x:v>0.010199999999999999</x:v>
      </x:c>
      <x:c r="V242" s="9" t="n">
        <x:f>IF(Z242="","",N242*$AD242/1000)</x:f>
        <x:v>25.765100000000004</x:v>
      </x:c>
      <x:c r="W242" s="9" t="n">
        <x:f>IF(AA242="","",O242*$AD242/1000)</x:f>
        <x:v>1.9373218627786142</x:v>
      </x:c>
      <x:c r="X242" s="9" t="n">
        <x:f>IF(AB242="","",P242*$AD242/1000)</x:f>
        <x:v>1726</x:v>
      </x:c>
      <x:c r="Y242" s="3" t="n">
        <x:v>61</x:v>
      </x:c>
      <x:c r="Z242" s="3" t="n">
        <x:v>79</x:v>
      </x:c>
      <x:c r="AA242" s="3" t="n">
        <x:v>115</x:v>
      </x:c>
      <x:c r="AB242" s="3" t="n">
        <x:v>165</x:v>
      </x:c>
      <x:c r="AC242" s="3" t="n">
        <x:v>4</x:v>
      </x:c>
      <x:c r="AD242" s="3" t="n">
        <x:f>'方案总览'!$B$5</x:f>
        <x:v>20</x:v>
      </x:c>
    </x:row>
    <x:row r="243" ht="24" customHeight="1">
      <x:c r="A243" s="3" t="str">
        <x:v>T238</x:v>
      </x:c>
      <x:c r="B243" s="3" t="str">
        <x:v>拟合</x:v>
      </x:c>
      <x:c r="C243" s="3" t="str">
        <x:v>C152</x:v>
      </x:c>
      <x:c r="D243" s="3" t="str"/>
      <x:c r="E243" s="3" t="str">
        <x:v>1-丁醇</x:v>
      </x:c>
      <x:c r="F243" s="3" t="str">
        <x:v>异戊酸/3-甲基丁酸</x:v>
      </x:c>
      <x:c r="G243" s="3" t="str">
        <x:v>戊酸乙酯</x:v>
      </x:c>
      <x:c r="H243" s="3" t="str">
        <x:v>1-辛烯-3-醇</x:v>
      </x:c>
      <x:c r="I243" s="3" t="str">
        <x:v>L</x:v>
      </x:c>
      <x:c r="J243" s="3" t="str">
        <x:v>H</x:v>
      </x:c>
      <x:c r="K243" s="3" t="str">
        <x:v>L</x:v>
      </x:c>
      <x:c r="L243" s="3" t="str">
        <x:v>M</x:v>
      </x:c>
      <x:c r="M243" s="9" t="n">
        <x:f>IF(Y243="","",INDEX('浓度设置'!$P$6:$R$46,MATCH(Y243,'浓度设置'!$A$6:$A$46,0),IF(I243="L",1,IF(I243="M",2,3))))</x:f>
        <x:v>16.97</x:v>
      </x:c>
      <x:c r="N243" s="9" t="n">
        <x:f>IF(Z243="","",INDEX('浓度设置'!$P$6:$R$46,MATCH(Z243,'浓度设置'!$A$6:$A$46,0),IF(J243="L",1,IF(J243="M",2,3))))</x:f>
        <x:v>44000</x:v>
      </x:c>
      <x:c r="O243" s="9" t="n">
        <x:f>IF(AA243="","",INDEX('浓度设置'!$P$6:$R$46,MATCH(AA243,'浓度设置'!$A$6:$A$46,0),IF(K243="L",1,IF(K243="M",2,3))))</x:f>
        <x:v>2.2</x:v>
      </x:c>
      <x:c r="P243" s="9" t="n">
        <x:f>IF(AB243="","",INDEX('浓度设置'!$P$6:$R$46,MATCH(AB243,'浓度设置'!$A$6:$A$46,0),IF(L243="L",1,IF(L243="M",2,3))))</x:f>
        <x:v>16.47573974060042</x:v>
      </x:c>
      <x:c r="Q243" s="9" t="n">
        <x:f>IF(Y243="","",M243/INDEX('浓度设置'!$M$6:$M$46,MATCH(Y243,'浓度设置'!$A$6:$A$46,0)))</x:f>
        <x:v>0.006209293816319063</x:v>
      </x:c>
      <x:c r="R243" s="9" t="n">
        <x:f>IF(Z243="","",N243/INDEX('浓度设置'!$M$6:$M$46,MATCH(Z243,'浓度设置'!$A$6:$A$46,0)))</x:f>
        <x:v>41.904761904761905</x:v>
      </x:c>
      <x:c r="S243" s="9" t="n">
        <x:f>IF(AA243="","",O243/INDEX('浓度设置'!$M$6:$M$46,MATCH(AA243,'浓度设置'!$A$6:$A$46,0)))</x:f>
        <x:v>0.08208955223880597</x:v>
      </x:c>
      <x:c r="T243" s="9" t="n">
        <x:f>IF(AB243="","",P243/INDEX('浓度设置'!$M$6:$M$46,MATCH(AB243,'浓度设置'!$A$6:$A$46,0)))</x:f>
        <x:v>2.692114336699415</x:v>
      </x:c>
      <x:c r="U243" s="9" t="n">
        <x:f>IF(Y243="","",M243*$AD243/1000)</x:f>
        <x:v>0.3394</x:v>
      </x:c>
      <x:c r="V243" s="9" t="n">
        <x:f>IF(Z243="","",N243*$AD243/1000)</x:f>
        <x:v>880</x:v>
      </x:c>
      <x:c r="W243" s="9" t="n">
        <x:f>IF(AA243="","",O243*$AD243/1000)</x:f>
        <x:v>0.044</x:v>
      </x:c>
      <x:c r="X243" s="9" t="n">
        <x:f>IF(AB243="","",P243*$AD243/1000)</x:f>
        <x:v>0.3295147948120084</x:v>
      </x:c>
      <x:c r="Y243" s="3" t="n">
        <x:v>11</x:v>
      </x:c>
      <x:c r="Z243" s="3" t="n">
        <x:v>136</x:v>
      </x:c>
      <x:c r="AA243" s="3" t="n">
        <x:v>141</x:v>
      </x:c>
      <x:c r="AB243" s="3" t="n">
        <x:v>207</x:v>
      </x:c>
      <x:c r="AC243" s="3" t="n">
        <x:v>4</x:v>
      </x:c>
      <x:c r="AD243" s="3" t="n">
        <x:f>'方案总览'!$B$5</x:f>
        <x:v>20</x:v>
      </x:c>
    </x:row>
    <x:row r="244" ht="24" customHeight="1">
      <x:c r="A244" s="3" t="str">
        <x:v>T239</x:v>
      </x:c>
      <x:c r="B244" s="3" t="str">
        <x:v>拟合</x:v>
      </x:c>
      <x:c r="C244" s="3" t="str">
        <x:v>C153</x:v>
      </x:c>
      <x:c r="D244" s="3" t="str"/>
      <x:c r="E244" s="3" t="str">
        <x:v>辛酸乙酯</x:v>
      </x:c>
      <x:c r="F244" s="3" t="str">
        <x:v>戊酸</x:v>
      </x:c>
      <x:c r="G244" s="3" t="str">
        <x:v>乙酸丁酯</x:v>
      </x:c>
      <x:c r="H244" s="3" t="str">
        <x:v>3-苯基丙酸乙酯</x:v>
      </x:c>
      <x:c r="I244" s="3" t="str">
        <x:v>H</x:v>
      </x:c>
      <x:c r="J244" s="3" t="str">
        <x:v>H</x:v>
      </x:c>
      <x:c r="K244" s="3" t="str">
        <x:v>M</x:v>
      </x:c>
      <x:c r="L244" s="3" t="str">
        <x:v>L</x:v>
      </x:c>
      <x:c r="M244" s="9" t="n">
        <x:f>IF(Y244="","",INDEX('浓度设置'!$P$6:$R$46,MATCH(Y244,'浓度设置'!$A$6:$A$46,0),IF(I244="L",1,IF(I244="M",2,3))))</x:f>
        <x:v>1865945</x:v>
      </x:c>
      <x:c r="N244" s="9" t="n">
        <x:f>IF(Z244="","",INDEX('浓度设置'!$P$6:$R$46,MATCH(Z244,'浓度设置'!$A$6:$A$46,0),IF(J244="L",1,IF(J244="M",2,3))))</x:f>
        <x:v>62700</x:v>
      </x:c>
      <x:c r="O244" s="9" t="n">
        <x:f>IF(AA244="","",INDEX('浓度设置'!$P$6:$R$46,MATCH(AA244,'浓度设置'!$A$6:$A$46,0),IF(K244="L",1,IF(K244="M",2,3))))</x:f>
        <x:v>3147.945</x:v>
      </x:c>
      <x:c r="P244" s="9" t="n">
        <x:f>IF(AB244="","",INDEX('浓度设置'!$P$6:$R$46,MATCH(AB244,'浓度设置'!$A$6:$A$46,0),IF(L244="L",1,IF(L244="M",2,3))))</x:f>
        <x:v>1.56</x:v>
      </x:c>
      <x:c r="Q244" s="9" t="n">
        <x:f>IF(Y244="","",M244/INDEX('浓度设置'!$M$6:$M$46,MATCH(Y244,'浓度设置'!$A$6:$A$46,0)))</x:f>
        <x:v>144646.8992248062</x:v>
      </x:c>
      <x:c r="R244" s="9" t="n">
        <x:f>IF(Z244="","",N244/INDEX('浓度设置'!$M$6:$M$46,MATCH(Z244,'浓度设置'!$A$6:$A$46,0)))</x:f>
        <x:v>161.18251928020567</x:v>
      </x:c>
      <x:c r="S244" s="9" t="n">
        <x:f>IF(AA244="","",O244/INDEX('浓度设置'!$M$6:$M$46,MATCH(AA244,'浓度设置'!$A$6:$A$46,0)))</x:f>
        <x:v>1.7488583333333334</x:v>
      </x:c>
      <x:c r="T244" s="9" t="n">
        <x:f>IF(AB244="","",P244/INDEX('浓度设置'!$M$6:$M$46,MATCH(AB244,'浓度设置'!$A$6:$A$46,0)))</x:f>
        <x:v>0.01248</x:v>
      </x:c>
      <x:c r="U244" s="9" t="n">
        <x:f>IF(Y244="","",M244*$AD244/1000)</x:f>
        <x:v>37318.9</x:v>
      </x:c>
      <x:c r="V244" s="9" t="n">
        <x:f>IF(Z244="","",N244*$AD244/1000)</x:f>
        <x:v>1254</x:v>
      </x:c>
      <x:c r="W244" s="9" t="n">
        <x:f>IF(AA244="","",O244*$AD244/1000)</x:f>
        <x:v>62.9589</x:v>
      </x:c>
      <x:c r="X244" s="9" t="n">
        <x:f>IF(AB244="","",P244*$AD244/1000)</x:f>
        <x:v>0.031200000000000002</x:v>
      </x:c>
      <x:c r="Y244" s="3" t="n">
        <x:v>58</x:v>
      </x:c>
      <x:c r="Z244" s="3" t="n">
        <x:v>75</x:v>
      </x:c>
      <x:c r="AA244" s="3" t="n">
        <x:v>114</x:v>
      </x:c>
      <x:c r="AB244" s="3" t="n">
        <x:v>186</x:v>
      </x:c>
      <x:c r="AC244" s="3" t="n">
        <x:v>4</x:v>
      </x:c>
      <x:c r="AD244" s="3" t="n">
        <x:f>'方案总览'!$B$5</x:f>
        <x:v>20</x:v>
      </x:c>
    </x:row>
    <x:row r="245" ht="24" customHeight="1">
      <x:c r="A245" s="3" t="str">
        <x:v>T240</x:v>
      </x:c>
      <x:c r="B245" s="3" t="str">
        <x:v>拟合</x:v>
      </x:c>
      <x:c r="C245" s="3" t="str">
        <x:v>C154</x:v>
      </x:c>
      <x:c r="D245" s="3" t="str"/>
      <x:c r="E245" s="3" t="str">
        <x:v>异戊酸乙酯（3-甲基丁酸乙酯）</x:v>
      </x:c>
      <x:c r="F245" s="3" t="str">
        <x:v>戊酸</x:v>
      </x:c>
      <x:c r="G245" s="3" t="str">
        <x:v>乙酸异戊酯</x:v>
      </x:c>
      <x:c r="H245" s="3" t="str">
        <x:v>异戊醛</x:v>
      </x:c>
      <x:c r="I245" s="3" t="str">
        <x:v>H</x:v>
      </x:c>
      <x:c r="J245" s="3" t="str">
        <x:v>M</x:v>
      </x:c>
      <x:c r="K245" s="3" t="str">
        <x:v>H</x:v>
      </x:c>
      <x:c r="L245" s="3" t="str">
        <x:v>M</x:v>
      </x:c>
      <x:c r="M245" s="9" t="n">
        <x:f>IF(Y245="","",INDEX('浓度设置'!$P$6:$R$46,MATCH(Y245,'浓度设置'!$A$6:$A$46,0),IF(I245="L",1,IF(I245="M",2,3))))</x:f>
        <x:v>12022.2</x:v>
      </x:c>
      <x:c r="N245" s="9" t="n">
        <x:f>IF(Z245="","",INDEX('浓度设置'!$P$6:$R$46,MATCH(Z245,'浓度设置'!$A$6:$A$46,0),IF(J245="L",1,IF(J245="M",2,3))))</x:f>
        <x:v>331.2476415010377</x:v>
      </x:c>
      <x:c r="O245" s="9" t="n">
        <x:f>IF(AA245="","",INDEX('浓度设置'!$P$6:$R$46,MATCH(AA245,'浓度设置'!$A$6:$A$46,0),IF(K245="L",1,IF(K245="M",2,3))))</x:f>
        <x:v>6516</x:v>
      </x:c>
      <x:c r="P245" s="9" t="n">
        <x:f>IF(AB245="","",INDEX('浓度设置'!$P$6:$R$46,MATCH(AB245,'浓度设置'!$A$6:$A$46,0),IF(L245="L",1,IF(L245="M",2,3))))</x:f>
        <x:v>1048.6410253275426</x:v>
      </x:c>
      <x:c r="Q245" s="9" t="n">
        <x:f>IF(Y245="","",M245/INDEX('浓度设置'!$M$6:$M$46,MATCH(Y245,'浓度设置'!$A$6:$A$46,0)))</x:f>
        <x:v>1744.8766328011613</x:v>
      </x:c>
      <x:c r="R245" s="9" t="n">
        <x:f>IF(Z245="","",N245/INDEX('浓度设置'!$M$6:$M$46,MATCH(Z245,'浓度设置'!$A$6:$A$46,0)))</x:f>
        <x:v>0.8515363534731046</x:v>
      </x:c>
      <x:c r="S245" s="9" t="n">
        <x:f>IF(AA245="","",O245/INDEX('浓度设置'!$M$6:$M$46,MATCH(AA245,'浓度设置'!$A$6:$A$46,0)))</x:f>
        <x:v>69.39297124600638</x:v>
      </x:c>
      <x:c r="T245" s="9" t="n">
        <x:f>IF(AB245="","",P245/INDEX('浓度设置'!$M$6:$M$46,MATCH(AB245,'浓度设置'!$A$6:$A$46,0)))</x:f>
        <x:v>63.554001535002584</x:v>
      </x:c>
      <x:c r="U245" s="9" t="n">
        <x:f>IF(Y245="","",M245*$AD245/1000)</x:f>
        <x:v>240.444</x:v>
      </x:c>
      <x:c r="V245" s="9" t="n">
        <x:f>IF(Z245="","",N245*$AD245/1000)</x:f>
        <x:v>6.624952830020755</x:v>
      </x:c>
      <x:c r="W245" s="9" t="n">
        <x:f>IF(AA245="","",O245*$AD245/1000)</x:f>
        <x:v>130.32</x:v>
      </x:c>
      <x:c r="X245" s="9" t="n">
        <x:f>IF(AB245="","",P245*$AD245/1000)</x:f>
        <x:v>20.972820506550853</x:v>
      </x:c>
      <x:c r="Y245" s="3" t="n">
        <x:v>69</x:v>
      </x:c>
      <x:c r="Z245" s="3" t="n">
        <x:v>75</x:v>
      </x:c>
      <x:c r="AA245" s="3" t="n">
        <x:v>115</x:v>
      </x:c>
      <x:c r="AB245" s="3" t="n">
        <x:v>152</x:v>
      </x:c>
      <x:c r="AC245" s="3" t="n">
        <x:v>4</x:v>
      </x:c>
      <x:c r="AD245" s="3" t="n">
        <x:f>'方案总览'!$B$5</x:f>
        <x:v>20</x:v>
      </x:c>
    </x:row>
    <x:row r="246" ht="24" customHeight="1">
      <x:c r="A246" s="3" t="str">
        <x:v>T241</x:v>
      </x:c>
      <x:c r="B246" s="3" t="str">
        <x:v>拟合</x:v>
      </x:c>
      <x:c r="C246" s="3" t="str">
        <x:v>C155</x:v>
      </x:c>
      <x:c r="D246" s="3" t="str"/>
      <x:c r="E246" s="3" t="str">
        <x:v>丁酸乙酯</x:v>
      </x:c>
      <x:c r="F246" s="3" t="str">
        <x:v>乙醛二乙缩醛</x:v>
      </x:c>
      <x:c r="G246" s="3" t="str">
        <x:v>己酸乙酯</x:v>
      </x:c>
      <x:c r="H246" s="3" t="str">
        <x:v>辛酸</x:v>
      </x:c>
      <x:c r="I246" s="3" t="str">
        <x:v>L</x:v>
      </x:c>
      <x:c r="J246" s="3" t="str">
        <x:v>M</x:v>
      </x:c>
      <x:c r="K246" s="3" t="str">
        <x:v>H</x:v>
      </x:c>
      <x:c r="L246" s="3" t="str">
        <x:v>M</x:v>
      </x:c>
      <x:c r="M246" s="9" t="n">
        <x:f>IF(Y246="","",INDEX('浓度设置'!$P$6:$R$46,MATCH(Y246,'浓度设置'!$A$6:$A$46,0),IF(I246="L",1,IF(I246="M",2,3))))</x:f>
        <x:v>4.24</x:v>
      </x:c>
      <x:c r="N246" s="9" t="n">
        <x:f>IF(Z246="","",INDEX('浓度设置'!$P$6:$R$46,MATCH(Z246,'浓度设置'!$A$6:$A$46,0),IF(J246="L",1,IF(J246="M",2,3))))</x:f>
        <x:v>2745.3821227654266</x:v>
      </x:c>
      <x:c r="O246" s="9" t="n">
        <x:f>IF(AA246="","",INDEX('浓度设置'!$P$6:$R$46,MATCH(AA246,'浓度设置'!$A$6:$A$46,0),IF(K246="L",1,IF(K246="M",2,3))))</x:f>
        <x:v>9622120</x:v>
      </x:c>
      <x:c r="P246" s="9" t="n">
        <x:f>IF(AB246="","",INDEX('浓度设置'!$P$6:$R$46,MATCH(AB246,'浓度设置'!$A$6:$A$46,0),IF(L246="L",1,IF(L246="M",2,3))))</x:f>
        <x:v>274.54883445390914</x:v>
      </x:c>
      <x:c r="Q246" s="9" t="n">
        <x:f>IF(Y246="","",M246/INDEX('浓度设置'!$M$6:$M$46,MATCH(Y246,'浓度设置'!$A$6:$A$46,0)))</x:f>
        <x:v>0.052024539877300616</x:v>
      </x:c>
      <x:c r="R246" s="9" t="n">
        <x:f>IF(Z246="","",N246/INDEX('浓度设置'!$M$6:$M$46,MATCH(Z246,'浓度设置'!$A$6:$A$46,0)))</x:f>
        <x:v>1.3135799630456586</x:v>
      </x:c>
      <x:c r="S246" s="9" t="n">
        <x:f>IF(AA246="","",O246/INDEX('浓度设置'!$M$6:$M$46,MATCH(AA246,'浓度设置'!$A$6:$A$46,0)))</x:f>
        <x:v>173998.5533453888</x:v>
      </x:c>
      <x:c r="T246" s="9" t="n">
        <x:f>IF(AB246="","",P246/INDEX('浓度设置'!$M$6:$M$46,MATCH(AB246,'浓度设置'!$A$6:$A$46,0)))</x:f>
        <x:v>0.10168475350144783</x:v>
      </x:c>
      <x:c r="U246" s="9" t="n">
        <x:f>IF(Y246="","",M246*$AD246/1000)</x:f>
        <x:v>0.08480000000000001</x:v>
      </x:c>
      <x:c r="V246" s="9" t="n">
        <x:f>IF(Z246="","",N246*$AD246/1000)</x:f>
        <x:v>54.90764245530853</x:v>
      </x:c>
      <x:c r="W246" s="9" t="n">
        <x:f>IF(AA246="","",O246*$AD246/1000)</x:f>
        <x:v>192442.4</x:v>
      </x:c>
      <x:c r="X246" s="9" t="n">
        <x:f>IF(AB246="","",P246*$AD246/1000)</x:f>
        <x:v>5.490976689078183</x:v>
      </x:c>
      <x:c r="Y246" s="3" t="n">
        <x:v>52</x:v>
      </x:c>
      <x:c r="Z246" s="3" t="n">
        <x:v>53</x:v>
      </x:c>
      <x:c r="AA246" s="3" t="n">
        <x:v>111</x:v>
      </x:c>
      <x:c r="AB246" s="3" t="n">
        <x:v>117</x:v>
      </x:c>
      <x:c r="AC246" s="3" t="n">
        <x:v>4</x:v>
      </x:c>
      <x:c r="AD246" s="3" t="n">
        <x:f>'方案总览'!$B$5</x:f>
        <x:v>20</x:v>
      </x:c>
    </x:row>
    <x:row r="247" ht="24" customHeight="1">
      <x:c r="A247" s="3" t="str">
        <x:v>T242</x:v>
      </x:c>
      <x:c r="B247" s="3" t="str">
        <x:v>拟合</x:v>
      </x:c>
      <x:c r="C247" s="3" t="str">
        <x:v>C156</x:v>
      </x:c>
      <x:c r="D247" s="3" t="str"/>
      <x:c r="E247" s="3" t="str">
        <x:v>己醛</x:v>
      </x:c>
      <x:c r="F247" s="3" t="str">
        <x:v>二甲基三硫醚</x:v>
      </x:c>
      <x:c r="G247" s="3" t="str">
        <x:v>己酸己酯</x:v>
      </x:c>
      <x:c r="H247" s="3" t="str">
        <x:v>β-大马酮</x:v>
      </x:c>
      <x:c r="I247" s="3" t="str">
        <x:v>L</x:v>
      </x:c>
      <x:c r="J247" s="3" t="str">
        <x:v>M</x:v>
      </x:c>
      <x:c r="K247" s="3" t="str">
        <x:v>L</x:v>
      </x:c>
      <x:c r="L247" s="3" t="str">
        <x:v>M</x:v>
      </x:c>
      <x:c r="M247" s="9" t="n">
        <x:f>IF(Y247="","",INDEX('浓度设置'!$P$6:$R$46,MATCH(Y247,'浓度设置'!$A$6:$A$46,0),IF(I247="L",1,IF(I247="M",2,3))))</x:f>
        <x:v>173</x:v>
      </x:c>
      <x:c r="N247" s="9" t="n">
        <x:f>IF(Z247="","",INDEX('浓度设置'!$P$6:$R$46,MATCH(Z247,'浓度设置'!$A$6:$A$46,0),IF(J247="L",1,IF(J247="M",2,3))))</x:f>
        <x:v>34.2987346705385</x:v>
      </x:c>
      <x:c r="O247" s="9" t="n">
        <x:f>IF(AA247="","",INDEX('浓度设置'!$P$6:$R$46,MATCH(AA247,'浓度设置'!$A$6:$A$46,0),IF(K247="L",1,IF(K247="M",2,3))))</x:f>
        <x:v>2.5</x:v>
      </x:c>
      <x:c r="P247" s="9" t="n">
        <x:f>IF(AB247="","",INDEX('浓度设置'!$P$6:$R$46,MATCH(AB247,'浓度设置'!$A$6:$A$46,0),IF(L247="L",1,IF(L247="M",2,3))))</x:f>
        <x:v>9.546727187890099</x:v>
      </x:c>
      <x:c r="Q247" s="9" t="n">
        <x:f>IF(Y247="","",M247/INDEX('浓度设置'!$M$6:$M$46,MATCH(Y247,'浓度设置'!$A$6:$A$46,0)))</x:f>
        <x:v>6.784313725490196</x:v>
      </x:c>
      <x:c r="R247" s="9" t="n">
        <x:f>IF(Z247="","",N247/INDEX('浓度设置'!$M$6:$M$46,MATCH(Z247,'浓度设置'!$A$6:$A$46,0)))</x:f>
        <x:v>95.27426297371807</x:v>
      </x:c>
      <x:c r="S247" s="9" t="n">
        <x:f>IF(AA247="","",O247/INDEX('浓度设置'!$M$6:$M$46,MATCH(AA247,'浓度设置'!$A$6:$A$46,0)))</x:f>
        <x:v>0.0013220518244315177</x:v>
      </x:c>
      <x:c r="T247" s="9" t="n">
        <x:f>IF(AB247="","",P247/INDEX('浓度设置'!$M$6:$M$46,MATCH(AB247,'浓度设置'!$A$6:$A$46,0)))</x:f>
        <x:v>79.55605989908416</x:v>
      </x:c>
      <x:c r="U247" s="9" t="n">
        <x:f>IF(Y247="","",M247*$AD247/1000)</x:f>
        <x:v>3.46</x:v>
      </x:c>
      <x:c r="V247" s="9" t="n">
        <x:f>IF(Z247="","",N247*$AD247/1000)</x:f>
        <x:v>0.68597469341077</x:v>
      </x:c>
      <x:c r="W247" s="9" t="n">
        <x:f>IF(AA247="","",O247*$AD247/1000)</x:f>
        <x:v>0.05</x:v>
      </x:c>
      <x:c r="X247" s="9" t="n">
        <x:f>IF(AB247="","",P247*$AD247/1000)</x:f>
        <x:v>0.19093454375780197</x:v>
      </x:c>
      <x:c r="Y247" s="3" t="n">
        <x:v>7</x:v>
      </x:c>
      <x:c r="Z247" s="3" t="n">
        <x:v>209</x:v>
      </x:c>
      <x:c r="AA247" s="3" t="n">
        <x:v>227</x:v>
      </x:c>
      <x:c r="AB247" s="3" t="n">
        <x:v>255</x:v>
      </x:c>
      <x:c r="AC247" s="3" t="n">
        <x:v>4</x:v>
      </x:c>
      <x:c r="AD247" s="3" t="n">
        <x:f>'方案总览'!$B$5</x:f>
        <x:v>20</x:v>
      </x:c>
    </x:row>
    <x:row r="248" ht="24" customHeight="1">
      <x:c r="A248" s="3" t="str">
        <x:v>T243</x:v>
      </x:c>
      <x:c r="B248" s="3" t="str">
        <x:v>拟合</x:v>
      </x:c>
      <x:c r="C248" s="3" t="str">
        <x:v>C157</x:v>
      </x:c>
      <x:c r="D248" s="3" t="str"/>
      <x:c r="E248" s="3" t="str">
        <x:v>异丁酸乙酯</x:v>
      </x:c>
      <x:c r="F248" s="3" t="str">
        <x:v>1-辛醇</x:v>
      </x:c>
      <x:c r="G248" s="3" t="str">
        <x:v>苯乙醛</x:v>
      </x:c>
      <x:c r="H248" s="3" t="str">
        <x:v>2-甲基丁酸乙酯</x:v>
      </x:c>
      <x:c r="I248" s="3" t="str">
        <x:v>H</x:v>
      </x:c>
      <x:c r="J248" s="3" t="str">
        <x:v>H</x:v>
      </x:c>
      <x:c r="K248" s="3" t="str">
        <x:v>H</x:v>
      </x:c>
      <x:c r="L248" s="3" t="str">
        <x:v>H</x:v>
      </x:c>
      <x:c r="M248" s="9" t="n">
        <x:f>IF(Y248="","",INDEX('浓度设置'!$P$6:$R$46,MATCH(Y248,'浓度设置'!$A$6:$A$46,0),IF(I248="L",1,IF(I248="M",2,3))))</x:f>
        <x:v>37489</x:v>
      </x:c>
      <x:c r="N248" s="9" t="n">
        <x:f>IF(Z248="","",INDEX('浓度设置'!$P$6:$R$46,MATCH(Z248,'浓度设置'!$A$6:$A$46,0),IF(J248="L",1,IF(J248="M",2,3))))</x:f>
        <x:v>25642.45</x:v>
      </x:c>
      <x:c r="O248" s="9" t="n">
        <x:f>IF(AA248="","",INDEX('浓度设置'!$P$6:$R$46,MATCH(AA248,'浓度设置'!$A$6:$A$46,0),IF(K248="L",1,IF(K248="M",2,3))))</x:f>
        <x:v>15730</x:v>
      </x:c>
      <x:c r="P248" s="9" t="n">
        <x:f>IF(AB248="","",INDEX('浓度设置'!$P$6:$R$46,MATCH(AB248,'浓度设置'!$A$6:$A$46,0),IF(L248="L",1,IF(L248="M",2,3))))</x:f>
        <x:v>1611</x:v>
      </x:c>
      <x:c r="Q248" s="9" t="n">
        <x:f>IF(Y248="","",M248/INDEX('浓度设置'!$M$6:$M$46,MATCH(Y248,'浓度设置'!$A$6:$A$46,0)))</x:f>
        <x:v>651.9826086956522</x:v>
      </x:c>
      <x:c r="R248" s="9" t="n">
        <x:f>IF(Z248="","",N248/INDEX('浓度设置'!$M$6:$M$46,MATCH(Z248,'浓度设置'!$A$6:$A$46,0)))</x:f>
        <x:v>23.311318181818184</x:v>
      </x:c>
      <x:c r="S248" s="9" t="n">
        <x:f>IF(AA248="","",O248/INDEX('浓度设置'!$M$6:$M$46,MATCH(AA248,'浓度设置'!$A$6:$A$46,0)))</x:f>
        <x:v>60.038167938931295</x:v>
      </x:c>
      <x:c r="T248" s="9" t="n">
        <x:f>IF(AB248="","",P248/INDEX('浓度设置'!$M$6:$M$46,MATCH(AB248,'浓度设置'!$A$6:$A$46,0)))</x:f>
        <x:v>89.5</x:v>
      </x:c>
      <x:c r="U248" s="9" t="n">
        <x:f>IF(Y248="","",M248*$AD248/1000)</x:f>
        <x:v>749.78</x:v>
      </x:c>
      <x:c r="V248" s="9" t="n">
        <x:f>IF(Z248="","",N248*$AD248/1000)</x:f>
        <x:v>512.849</x:v>
      </x:c>
      <x:c r="W248" s="9" t="n">
        <x:f>IF(AA248="","",O248*$AD248/1000)</x:f>
        <x:v>314.6</x:v>
      </x:c>
      <x:c r="X248" s="9" t="n">
        <x:f>IF(AB248="","",P248*$AD248/1000)</x:f>
        <x:v>32.22</x:v>
      </x:c>
      <x:c r="Y248" s="3" t="n">
        <x:v>32</x:v>
      </x:c>
      <x:c r="Z248" s="3" t="n">
        <x:v>90</x:v>
      </x:c>
      <x:c r="AA248" s="3" t="n">
        <x:v>105</x:v>
      </x:c>
      <x:c r="AB248" s="3" t="n">
        <x:v>232</x:v>
      </x:c>
      <x:c r="AC248" s="3" t="n">
        <x:v>4</x:v>
      </x:c>
      <x:c r="AD248" s="3" t="n">
        <x:f>'方案总览'!$B$5</x:f>
        <x:v>20</x:v>
      </x:c>
    </x:row>
    <x:row r="249" ht="24" customHeight="1">
      <x:c r="A249" s="3" t="str">
        <x:v>T244</x:v>
      </x:c>
      <x:c r="B249" s="3" t="str">
        <x:v>拟合</x:v>
      </x:c>
      <x:c r="C249" s="3" t="str">
        <x:v>C158</x:v>
      </x:c>
      <x:c r="D249" s="3" t="str"/>
      <x:c r="E249" s="3" t="str">
        <x:v>2-甲基丙醛</x:v>
      </x:c>
      <x:c r="F249" s="3" t="str">
        <x:v>苯乙酸乙酯</x:v>
      </x:c>
      <x:c r="G249" s="3" t="str">
        <x:v>癸酸乙酯</x:v>
      </x:c>
      <x:c r="H249" s="3" t="str">
        <x:v>乙酸丁酯</x:v>
      </x:c>
      <x:c r="I249" s="3" t="str">
        <x:v>M</x:v>
      </x:c>
      <x:c r="J249" s="3" t="str">
        <x:v>L</x:v>
      </x:c>
      <x:c r="K249" s="3" t="str">
        <x:v>M</x:v>
      </x:c>
      <x:c r="L249" s="3" t="str">
        <x:v>H</x:v>
      </x:c>
      <x:c r="M249" s="9" t="n">
        <x:f>IF(Y249="","",INDEX('浓度设置'!$P$6:$R$46,MATCH(Y249,'浓度设置'!$A$6:$A$46,0),IF(I249="L",1,IF(I249="M",2,3))))</x:f>
        <x:v>1183.2582135780847</x:v>
      </x:c>
      <x:c r="N249" s="9" t="n">
        <x:f>IF(Z249="","",INDEX('浓度设置'!$P$6:$R$46,MATCH(Z249,'浓度设置'!$A$6:$A$46,0),IF(J249="L",1,IF(J249="M",2,3))))</x:f>
        <x:v>1.875</x:v>
      </x:c>
      <x:c r="O249" s="9" t="n">
        <x:f>IF(AA249="","",INDEX('浓度设置'!$P$6:$R$46,MATCH(AA249,'浓度设置'!$A$6:$A$46,0),IF(K249="L",1,IF(K249="M",2,3))))</x:f>
        <x:v>1288.255</x:v>
      </x:c>
      <x:c r="P249" s="9" t="n">
        <x:f>IF(AB249="","",INDEX('浓度设置'!$P$6:$R$46,MATCH(AB249,'浓度设置'!$A$6:$A$46,0),IF(L249="L",1,IF(L249="M",2,3))))</x:f>
        <x:v>47100</x:v>
      </x:c>
      <x:c r="Q249" s="9" t="n">
        <x:f>IF(Y249="","",M249/INDEX('浓度设置'!$M$6:$M$46,MATCH(Y249,'浓度设置'!$A$6:$A$46,0)))</x:f>
        <x:v>200.55223958950586</x:v>
      </x:c>
      <x:c r="R249" s="9" t="n">
        <x:f>IF(Z249="","",N249/INDEX('浓度设置'!$M$6:$M$46,MATCH(Z249,'浓度设置'!$A$6:$A$46,0)))</x:f>
        <x:v>0.004606879606879607</x:v>
      </x:c>
      <x:c r="S249" s="9" t="n">
        <x:f>IF(AA249="","",O249/INDEX('浓度设置'!$M$6:$M$46,MATCH(AA249,'浓度设置'!$A$6:$A$46,0)))</x:f>
        <x:v>1.1502276785714287</x:v>
      </x:c>
      <x:c r="T249" s="9" t="n">
        <x:f>IF(AB249="","",P249/INDEX('浓度设置'!$M$6:$M$46,MATCH(AB249,'浓度设置'!$A$6:$A$46,0)))</x:f>
        <x:v>26.166666666666668</x:v>
      </x:c>
      <x:c r="U249" s="9" t="n">
        <x:f>IF(Y249="","",M249*$AD249/1000)</x:f>
        <x:v>23.665164271561693</x:v>
      </x:c>
      <x:c r="V249" s="9" t="n">
        <x:f>IF(Z249="","",N249*$AD249/1000)</x:f>
        <x:v>0.0375</x:v>
      </x:c>
      <x:c r="W249" s="9" t="n">
        <x:f>IF(AA249="","",O249*$AD249/1000)</x:f>
        <x:v>25.765100000000004</x:v>
      </x:c>
      <x:c r="X249" s="9" t="n">
        <x:f>IF(AB249="","",P249*$AD249/1000)</x:f>
        <x:v>942</x:v>
      </x:c>
      <x:c r="Y249" s="3" t="n">
        <x:v>18</x:v>
      </x:c>
      <x:c r="Z249" s="3" t="n">
        <x:v>40</x:v>
      </x:c>
      <x:c r="AA249" s="3" t="n">
        <x:v>79</x:v>
      </x:c>
      <x:c r="AB249" s="3" t="n">
        <x:v>114</x:v>
      </x:c>
      <x:c r="AC249" s="3" t="n">
        <x:v>4</x:v>
      </x:c>
      <x:c r="AD249" s="3" t="n">
        <x:f>'方案总览'!$B$5</x:f>
        <x:v>20</x:v>
      </x:c>
    </x:row>
    <x:row r="250" ht="24" customHeight="1">
      <x:c r="A250" s="3" t="str">
        <x:v>T245</x:v>
      </x:c>
      <x:c r="B250" s="3" t="str">
        <x:v>拟合</x:v>
      </x:c>
      <x:c r="C250" s="3" t="str">
        <x:v>C159</x:v>
      </x:c>
      <x:c r="D250" s="3" t="str"/>
      <x:c r="E250" s="3" t="str">
        <x:v>1-丁醇</x:v>
      </x:c>
      <x:c r="F250" s="3" t="str">
        <x:v>2-甲基丙醛</x:v>
      </x:c>
      <x:c r="G250" s="3" t="str">
        <x:v>辛酸乙酯</x:v>
      </x:c>
      <x:c r="H250" s="3" t="str">
        <x:v>己酸</x:v>
      </x:c>
      <x:c r="I250" s="3" t="str">
        <x:v>M</x:v>
      </x:c>
      <x:c r="J250" s="3" t="str">
        <x:v>M</x:v>
      </x:c>
      <x:c r="K250" s="3" t="str">
        <x:v>L</x:v>
      </x:c>
      <x:c r="L250" s="3" t="str">
        <x:v>M</x:v>
      </x:c>
      <x:c r="M250" s="9" t="n">
        <x:f>IF(Y250="","",INDEX('浓度设置'!$P$6:$R$46,MATCH(Y250,'浓度设置'!$A$6:$A$46,0),IF(I250="L",1,IF(I250="M",2,3))))</x:f>
        <x:v>4198.825192836682</x:v>
      </x:c>
      <x:c r="N250" s="9" t="n">
        <x:f>IF(Z250="","",INDEX('浓度设置'!$P$6:$R$46,MATCH(Z250,'浓度设置'!$A$6:$A$46,0),IF(J250="L",1,IF(J250="M",2,3))))</x:f>
        <x:v>1183.2582135780847</x:v>
      </x:c>
      <x:c r="O250" s="9" t="n">
        <x:f>IF(AA250="","",INDEX('浓度设置'!$P$6:$R$46,MATCH(AA250,'浓度设置'!$A$6:$A$46,0),IF(K250="L",1,IF(K250="M",2,3))))</x:f>
        <x:v>5.06</x:v>
      </x:c>
      <x:c r="P250" s="9" t="n">
        <x:f>IF(AB250="","",INDEX('浓度设置'!$P$6:$R$46,MATCH(AB250,'浓度设置'!$A$6:$A$46,0),IF(L250="L",1,IF(L250="M",2,3))))</x:f>
        <x:v>1815.6539083757125</x:v>
      </x:c>
      <x:c r="Q250" s="9" t="n">
        <x:f>IF(Y250="","",M250/INDEX('浓度设置'!$M$6:$M$46,MATCH(Y250,'浓度设置'!$A$6:$A$46,0)))</x:f>
        <x:v>1.5363429172472307</x:v>
      </x:c>
      <x:c r="R250" s="9" t="n">
        <x:f>IF(Z250="","",N250/INDEX('浓度设置'!$M$6:$M$46,MATCH(Z250,'浓度设置'!$A$6:$A$46,0)))</x:f>
        <x:v>200.55223958950586</x:v>
      </x:c>
      <x:c r="S250" s="9" t="n">
        <x:f>IF(AA250="","",O250/INDEX('浓度设置'!$M$6:$M$46,MATCH(AA250,'浓度设置'!$A$6:$A$46,0)))</x:f>
        <x:v>0.39224806201550383</x:v>
      </x:c>
      <x:c r="T250" s="9" t="n">
        <x:f>IF(AB250="","",P250/INDEX('浓度设置'!$M$6:$M$46,MATCH(AB250,'浓度设置'!$A$6:$A$46,0)))</x:f>
        <x:v>0.7204975826887748</x:v>
      </x:c>
      <x:c r="U250" s="9" t="n">
        <x:f>IF(Y250="","",M250*$AD250/1000)</x:f>
        <x:v>83.97650385673363</x:v>
      </x:c>
      <x:c r="V250" s="9" t="n">
        <x:f>IF(Z250="","",N250*$AD250/1000)</x:f>
        <x:v>23.665164271561693</x:v>
      </x:c>
      <x:c r="W250" s="9" t="n">
        <x:f>IF(AA250="","",O250*$AD250/1000)</x:f>
        <x:v>0.10119999999999998</x:v>
      </x:c>
      <x:c r="X250" s="9" t="n">
        <x:f>IF(AB250="","",P250*$AD250/1000)</x:f>
        <x:v>36.31307816751425</x:v>
      </x:c>
      <x:c r="Y250" s="3" t="n">
        <x:v>11</x:v>
      </x:c>
      <x:c r="Z250" s="3" t="n">
        <x:v>18</x:v>
      </x:c>
      <x:c r="AA250" s="3" t="n">
        <x:v>58</x:v>
      </x:c>
      <x:c r="AB250" s="3" t="n">
        <x:v>126</x:v>
      </x:c>
      <x:c r="AC250" s="3" t="n">
        <x:v>4</x:v>
      </x:c>
      <x:c r="AD250" s="3" t="n">
        <x:f>'方案总览'!$B$5</x:f>
        <x:v>20</x:v>
      </x:c>
    </x:row>
    <x:row r="251" ht="24" customHeight="1">
      <x:c r="A251" s="3" t="str">
        <x:v>T246</x:v>
      </x:c>
      <x:c r="B251" s="3" t="str">
        <x:v>拟合</x:v>
      </x:c>
      <x:c r="C251" s="3" t="str">
        <x:v>C160</x:v>
      </x:c>
      <x:c r="D251" s="3" t="str"/>
      <x:c r="E251" s="3" t="str">
        <x:v>丁酸乙酯</x:v>
      </x:c>
      <x:c r="F251" s="3" t="str">
        <x:v>对甲酚</x:v>
      </x:c>
      <x:c r="G251" s="3" t="str">
        <x:v>异戊酸乙酯（3-甲基丁酸乙酯）</x:v>
      </x:c>
      <x:c r="H251" s="3" t="str">
        <x:v>2-甲基丁酸乙酯</x:v>
      </x:c>
      <x:c r="I251" s="3" t="str">
        <x:v>L</x:v>
      </x:c>
      <x:c r="J251" s="3" t="str">
        <x:v>H</x:v>
      </x:c>
      <x:c r="K251" s="3" t="str">
        <x:v>M</x:v>
      </x:c>
      <x:c r="L251" s="3" t="str">
        <x:v>M</x:v>
      </x:c>
      <x:c r="M251" s="9" t="n">
        <x:f>IF(Y251="","",INDEX('浓度设置'!$P$6:$R$46,MATCH(Y251,'浓度设置'!$A$6:$A$46,0),IF(I251="L",1,IF(I251="M",2,3))))</x:f>
        <x:v>4.24</x:v>
      </x:c>
      <x:c r="N251" s="9" t="n">
        <x:f>IF(Z251="","",INDEX('浓度设置'!$P$6:$R$46,MATCH(Z251,'浓度设置'!$A$6:$A$46,0),IF(J251="L",1,IF(J251="M",2,3))))</x:f>
        <x:v>6914</x:v>
      </x:c>
      <x:c r="O251" s="9" t="n">
        <x:f>IF(AA251="","",INDEX('浓度设置'!$P$6:$R$46,MATCH(AA251,'浓度设置'!$A$6:$A$46,0),IF(K251="L",1,IF(K251="M",2,3))))</x:f>
        <x:v>99.89207175747232</x:v>
      </x:c>
      <x:c r="P251" s="9" t="n">
        <x:f>IF(AB251="","",INDEX('浓度设置'!$P$6:$R$46,MATCH(AB251,'浓度设置'!$A$6:$A$46,0),IF(L251="L",1,IF(L251="M",2,3))))</x:f>
        <x:v>39.53062104242735</x:v>
      </x:c>
      <x:c r="Q251" s="9" t="n">
        <x:f>IF(Y251="","",M251/INDEX('浓度设置'!$M$6:$M$46,MATCH(Y251,'浓度设置'!$A$6:$A$46,0)))</x:f>
        <x:v>0.052024539877300616</x:v>
      </x:c>
      <x:c r="R251" s="9" t="n">
        <x:f>IF(Z251="","",N251/INDEX('浓度设置'!$M$6:$M$46,MATCH(Z251,'浓度设置'!$A$6:$A$46,0)))</x:f>
        <x:v>41.40119760479042</x:v>
      </x:c>
      <x:c r="S251" s="9" t="n">
        <x:f>IF(AA251="","",O251/INDEX('浓度设置'!$M$6:$M$46,MATCH(AA251,'浓度设置'!$A$6:$A$46,0)))</x:f>
        <x:v>14.49812362227465</x:v>
      </x:c>
      <x:c r="T251" s="9" t="n">
        <x:f>IF(AB251="","",P251/INDEX('浓度设置'!$M$6:$M$46,MATCH(AB251,'浓度设置'!$A$6:$A$46,0)))</x:f>
        <x:v>2.196145613468186</x:v>
      </x:c>
      <x:c r="U251" s="9" t="n">
        <x:f>IF(Y251="","",M251*$AD251/1000)</x:f>
        <x:v>0.08480000000000001</x:v>
      </x:c>
      <x:c r="V251" s="9" t="n">
        <x:f>IF(Z251="","",N251*$AD251/1000)</x:f>
        <x:v>138.28</x:v>
      </x:c>
      <x:c r="W251" s="9" t="n">
        <x:f>IF(AA251="","",O251*$AD251/1000)</x:f>
        <x:v>1.9978414351494465</x:v>
      </x:c>
      <x:c r="X251" s="9" t="n">
        <x:f>IF(AB251="","",P251*$AD251/1000)</x:f>
        <x:v>0.790612420848547</x:v>
      </x:c>
      <x:c r="Y251" s="3" t="n">
        <x:v>52</x:v>
      </x:c>
      <x:c r="Z251" s="3" t="n">
        <x:v>61</x:v>
      </x:c>
      <x:c r="AA251" s="3" t="n">
        <x:v>69</x:v>
      </x:c>
      <x:c r="AB251" s="3" t="n">
        <x:v>232</x:v>
      </x:c>
      <x:c r="AC251" s="3" t="n">
        <x:v>4</x:v>
      </x:c>
      <x:c r="AD251" s="3" t="n">
        <x:f>'方案总览'!$B$5</x:f>
        <x:v>20</x:v>
      </x:c>
    </x:row>
    <x:row r="252" ht="24" customHeight="1">
      <x:c r="A252" s="3" t="str">
        <x:v>T247</x:v>
      </x:c>
      <x:c r="B252" s="3" t="str">
        <x:v>拟合</x:v>
      </x:c>
      <x:c r="C252" s="3" t="str">
        <x:v>C161</x:v>
      </x:c>
      <x:c r="D252" s="3" t="str"/>
      <x:c r="E252" s="3" t="str">
        <x:v>异丁酸乙酯</x:v>
      </x:c>
      <x:c r="F252" s="3" t="str">
        <x:v>乙酸异戊酯</x:v>
      </x:c>
      <x:c r="G252" s="3" t="str">
        <x:v>戊酸乙酯</x:v>
      </x:c>
      <x:c r="H252" s="3" t="str">
        <x:v>β-大马酮</x:v>
      </x:c>
      <x:c r="I252" s="3" t="str">
        <x:v>H</x:v>
      </x:c>
      <x:c r="J252" s="3" t="str">
        <x:v>L</x:v>
      </x:c>
      <x:c r="K252" s="3" t="str">
        <x:v>M</x:v>
      </x:c>
      <x:c r="L252" s="3" t="str">
        <x:v>L</x:v>
      </x:c>
      <x:c r="M252" s="9" t="n">
        <x:f>IF(Y252="","",INDEX('浓度设置'!$P$6:$R$46,MATCH(Y252,'浓度设置'!$A$6:$A$46,0),IF(I252="L",1,IF(I252="M",2,3))))</x:f>
        <x:v>37489</x:v>
      </x:c>
      <x:c r="N252" s="9" t="n">
        <x:f>IF(Z252="","",INDEX('浓度设置'!$P$6:$R$46,MATCH(Z252,'浓度设置'!$A$6:$A$46,0),IF(J252="L",1,IF(J252="M",2,3))))</x:f>
        <x:v>1.44</x:v>
      </x:c>
      <x:c r="O252" s="9" t="n">
        <x:f>IF(AA252="","",INDEX('浓度设置'!$P$6:$R$46,MATCH(AA252,'浓度设置'!$A$6:$A$46,0),IF(K252="L",1,IF(K252="M",2,3))))</x:f>
        <x:v>1512.497272724814</x:v>
      </x:c>
      <x:c r="P252" s="9" t="n">
        <x:f>IF(AB252="","",INDEX('浓度设置'!$P$6:$R$46,MATCH(AB252,'浓度设置'!$A$6:$A$46,0),IF(L252="L",1,IF(L252="M",2,3))))</x:f>
        <x:v>1.5</x:v>
      </x:c>
      <x:c r="Q252" s="9" t="n">
        <x:f>IF(Y252="","",M252/INDEX('浓度设置'!$M$6:$M$46,MATCH(Y252,'浓度设置'!$A$6:$A$46,0)))</x:f>
        <x:v>651.9826086956522</x:v>
      </x:c>
      <x:c r="R252" s="9" t="n">
        <x:f>IF(Z252="","",N252/INDEX('浓度设置'!$M$6:$M$46,MATCH(Z252,'浓度设置'!$A$6:$A$46,0)))</x:f>
        <x:v>0.015335463258785941</x:v>
      </x:c>
      <x:c r="S252" s="9" t="n">
        <x:f>IF(AA252="","",O252/INDEX('浓度设置'!$M$6:$M$46,MATCH(AA252,'浓度设置'!$A$6:$A$46,0)))</x:f>
        <x:v>56.43646540017962</x:v>
      </x:c>
      <x:c r="T252" s="9" t="n">
        <x:f>IF(AB252="","",P252/INDEX('浓度设置'!$M$6:$M$46,MATCH(AB252,'浓度设置'!$A$6:$A$46,0)))</x:f>
        <x:v>12.5</x:v>
      </x:c>
      <x:c r="U252" s="9" t="n">
        <x:f>IF(Y252="","",M252*$AD252/1000)</x:f>
        <x:v>749.78</x:v>
      </x:c>
      <x:c r="V252" s="9" t="n">
        <x:f>IF(Z252="","",N252*$AD252/1000)</x:f>
        <x:v>0.028799999999999996</x:v>
      </x:c>
      <x:c r="W252" s="9" t="n">
        <x:f>IF(AA252="","",O252*$AD252/1000)</x:f>
        <x:v>30.249945454496277</x:v>
      </x:c>
      <x:c r="X252" s="9" t="n">
        <x:f>IF(AB252="","",P252*$AD252/1000)</x:f>
        <x:v>0.03</x:v>
      </x:c>
      <x:c r="Y252" s="3" t="n">
        <x:v>32</x:v>
      </x:c>
      <x:c r="Z252" s="3" t="n">
        <x:v>115</x:v>
      </x:c>
      <x:c r="AA252" s="3" t="n">
        <x:v>141</x:v>
      </x:c>
      <x:c r="AB252" s="3" t="n">
        <x:v>255</x:v>
      </x:c>
      <x:c r="AC252" s="3" t="n">
        <x:v>4</x:v>
      </x:c>
      <x:c r="AD252" s="3" t="n">
        <x:f>'方案总览'!$B$5</x:f>
        <x:v>20</x:v>
      </x:c>
    </x:row>
    <x:row r="253" ht="24" customHeight="1">
      <x:c r="A253" s="3" t="str">
        <x:v>T248</x:v>
      </x:c>
      <x:c r="B253" s="3" t="str">
        <x:v>拟合</x:v>
      </x:c>
      <x:c r="C253" s="3" t="str">
        <x:v>C162</x:v>
      </x:c>
      <x:c r="D253" s="3" t="str"/>
      <x:c r="E253" s="3" t="str">
        <x:v>苯乙酸乙酯</x:v>
      </x:c>
      <x:c r="F253" s="3" t="str">
        <x:v>戊酸</x:v>
      </x:c>
      <x:c r="G253" s="3" t="str">
        <x:v>辛酸</x:v>
      </x:c>
      <x:c r="H253" s="3" t="str">
        <x:v>己酸</x:v>
      </x:c>
      <x:c r="I253" s="3" t="str">
        <x:v>L</x:v>
      </x:c>
      <x:c r="J253" s="3" t="str">
        <x:v>L</x:v>
      </x:c>
      <x:c r="K253" s="3" t="str">
        <x:v>H</x:v>
      </x:c>
      <x:c r="L253" s="3" t="str">
        <x:v>H</x:v>
      </x:c>
      <x:c r="M253" s="9" t="n">
        <x:f>IF(Y253="","",INDEX('浓度设置'!$P$6:$R$46,MATCH(Y253,'浓度设置'!$A$6:$A$46,0),IF(I253="L",1,IF(I253="M",2,3))))</x:f>
        <x:v>1.875</x:v>
      </x:c>
      <x:c r="N253" s="9" t="n">
        <x:f>IF(Z253="","",INDEX('浓度设置'!$P$6:$R$46,MATCH(Z253,'浓度设置'!$A$6:$A$46,0),IF(J253="L",1,IF(J253="M",2,3))))</x:f>
        <x:v>1.75</x:v>
      </x:c>
      <x:c r="O253" s="9" t="n">
        <x:f>IF(AA253="","",INDEX('浓度设置'!$P$6:$R$46,MATCH(AA253,'浓度设置'!$A$6:$A$46,0),IF(K253="L",1,IF(K253="M",2,3))))</x:f>
        <x:v>40201.1</x:v>
      </x:c>
      <x:c r="P253" s="9" t="n">
        <x:f>IF(AB253="","",INDEX('浓度设置'!$P$6:$R$46,MATCH(AB253,'浓度设置'!$A$6:$A$46,0),IF(L253="L",1,IF(L253="M",2,3))))</x:f>
        <x:v>1551340.76</x:v>
      </x:c>
      <x:c r="Q253" s="9" t="n">
        <x:f>IF(Y253="","",M253/INDEX('浓度设置'!$M$6:$M$46,MATCH(Y253,'浓度设置'!$A$6:$A$46,0)))</x:f>
        <x:v>0.004606879606879607</x:v>
      </x:c>
      <x:c r="R253" s="9" t="n">
        <x:f>IF(Z253="","",N253/INDEX('浓度设置'!$M$6:$M$46,MATCH(Z253,'浓度设置'!$A$6:$A$46,0)))</x:f>
        <x:v>0.004498714652956298</x:v>
      </x:c>
      <x:c r="S253" s="9" t="n">
        <x:f>IF(AA253="","",O253/INDEX('浓度设置'!$M$6:$M$46,MATCH(AA253,'浓度设置'!$A$6:$A$46,0)))</x:f>
        <x:v>14.889296296296296</x:v>
      </x:c>
      <x:c r="T253" s="9" t="n">
        <x:f>IF(AB253="","",P253/INDEX('浓度设置'!$M$6:$M$46,MATCH(AB253,'浓度设置'!$A$6:$A$46,0)))</x:f>
        <x:v>615.6114126984127</x:v>
      </x:c>
      <x:c r="U253" s="9" t="n">
        <x:f>IF(Y253="","",M253*$AD253/1000)</x:f>
        <x:v>0.0375</x:v>
      </x:c>
      <x:c r="V253" s="9" t="n">
        <x:f>IF(Z253="","",N253*$AD253/1000)</x:f>
        <x:v>0.035</x:v>
      </x:c>
      <x:c r="W253" s="9" t="n">
        <x:f>IF(AA253="","",O253*$AD253/1000)</x:f>
        <x:v>804.022</x:v>
      </x:c>
      <x:c r="X253" s="9" t="n">
        <x:f>IF(AB253="","",P253*$AD253/1000)</x:f>
        <x:v>31026.8152</x:v>
      </x:c>
      <x:c r="Y253" s="3" t="n">
        <x:v>40</x:v>
      </x:c>
      <x:c r="Z253" s="3" t="n">
        <x:v>75</x:v>
      </x:c>
      <x:c r="AA253" s="3" t="n">
        <x:v>117</x:v>
      </x:c>
      <x:c r="AB253" s="3" t="n">
        <x:v>126</x:v>
      </x:c>
      <x:c r="AC253" s="3" t="n">
        <x:v>4</x:v>
      </x:c>
      <x:c r="AD253" s="3" t="n">
        <x:f>'方案总览'!$B$5</x:f>
        <x:v>20</x:v>
      </x:c>
    </x:row>
    <x:row r="254" ht="24" customHeight="1">
      <x:c r="A254" s="3" t="str">
        <x:v>T249</x:v>
      </x:c>
      <x:c r="B254" s="3" t="str">
        <x:v>拟合</x:v>
      </x:c>
      <x:c r="C254" s="3" t="str">
        <x:v>C163</x:v>
      </x:c>
      <x:c r="D254" s="3" t="str"/>
      <x:c r="E254" s="3" t="str">
        <x:v>癸酸乙酯</x:v>
      </x:c>
      <x:c r="F254" s="3" t="str">
        <x:v>1-辛醇</x:v>
      </x:c>
      <x:c r="G254" s="3" t="str">
        <x:v>1-辛烯-3-醇</x:v>
      </x:c>
      <x:c r="H254" s="3" t="str">
        <x:v>己酸己酯</x:v>
      </x:c>
      <x:c r="I254" s="3" t="str">
        <x:v>H</x:v>
      </x:c>
      <x:c r="J254" s="3" t="str">
        <x:v>M</x:v>
      </x:c>
      <x:c r="K254" s="3" t="str">
        <x:v>L</x:v>
      </x:c>
      <x:c r="L254" s="3" t="str">
        <x:v>H</x:v>
      </x:c>
      <x:c r="M254" s="9" t="n">
        <x:f>IF(Y254="","",INDEX('浓度设置'!$P$6:$R$46,MATCH(Y254,'浓度设置'!$A$6:$A$46,0),IF(I254="L",1,IF(I254="M",2,3))))</x:f>
        <x:v>56115</x:v>
      </x:c>
      <x:c r="N254" s="9" t="n">
        <x:f>IF(Z254="","",INDEX('浓度设置'!$P$6:$R$46,MATCH(Z254,'浓度设置'!$A$6:$A$46,0),IF(J254="L",1,IF(J254="M",2,3))))</x:f>
        <x:v>1232.25</x:v>
      </x:c>
      <x:c r="O254" s="9" t="n">
        <x:f>IF(AA254="","",INDEX('浓度设置'!$P$6:$R$46,MATCH(AA254,'浓度设置'!$A$6:$A$46,0),IF(K254="L",1,IF(K254="M",2,3))))</x:f>
        <x:v>1</x:v>
      </x:c>
      <x:c r="P254" s="9" t="n">
        <x:f>IF(AB254="","",INDEX('浓度设置'!$P$6:$R$46,MATCH(AB254,'浓度设置'!$A$6:$A$46,0),IF(L254="L",1,IF(L254="M",2,3))))</x:f>
        <x:v>193759</x:v>
      </x:c>
      <x:c r="Q254" s="9" t="n">
        <x:f>IF(Y254="","",M254/INDEX('浓度设置'!$M$6:$M$46,MATCH(Y254,'浓度设置'!$A$6:$A$46,0)))</x:f>
        <x:v>50.10267857142857</x:v>
      </x:c>
      <x:c r="R254" s="9" t="n">
        <x:f>IF(Z254="","",N254/INDEX('浓度设置'!$M$6:$M$46,MATCH(Z254,'浓度设置'!$A$6:$A$46,0)))</x:f>
        <x:v>1.1202272727272726</x:v>
      </x:c>
      <x:c r="S254" s="9" t="n">
        <x:f>IF(AA254="","",O254/INDEX('浓度设置'!$M$6:$M$46,MATCH(AA254,'浓度设置'!$A$6:$A$46,0)))</x:f>
        <x:v>0.16339869281045752</x:v>
      </x:c>
      <x:c r="T254" s="9" t="n">
        <x:f>IF(AB254="","",P254/INDEX('浓度设置'!$M$6:$M$46,MATCH(AB254,'浓度设置'!$A$6:$A$46,0)))</x:f>
        <x:v>102.46377578001058</x:v>
      </x:c>
      <x:c r="U254" s="9" t="n">
        <x:f>IF(Y254="","",M254*$AD254/1000)</x:f>
        <x:v>1122.3</x:v>
      </x:c>
      <x:c r="V254" s="9" t="n">
        <x:f>IF(Z254="","",N254*$AD254/1000)</x:f>
        <x:v>24.645</x:v>
      </x:c>
      <x:c r="W254" s="9" t="n">
        <x:f>IF(AA254="","",O254*$AD254/1000)</x:f>
        <x:v>0.02</x:v>
      </x:c>
      <x:c r="X254" s="9" t="n">
        <x:f>IF(AB254="","",P254*$AD254/1000)</x:f>
        <x:v>3875.18</x:v>
      </x:c>
      <x:c r="Y254" s="3" t="n">
        <x:v>79</x:v>
      </x:c>
      <x:c r="Z254" s="3" t="n">
        <x:v>90</x:v>
      </x:c>
      <x:c r="AA254" s="3" t="n">
        <x:v>207</x:v>
      </x:c>
      <x:c r="AB254" s="3" t="n">
        <x:v>227</x:v>
      </x:c>
      <x:c r="AC254" s="3" t="n">
        <x:v>4</x:v>
      </x:c>
      <x:c r="AD254" s="3" t="n">
        <x:f>'方案总览'!$B$5</x:f>
        <x:v>20</x:v>
      </x:c>
    </x:row>
    <x:row r="255" ht="24" customHeight="1">
      <x:c r="A255" s="3" t="str">
        <x:v>T250</x:v>
      </x:c>
      <x:c r="B255" s="3" t="str">
        <x:v>拟合</x:v>
      </x:c>
      <x:c r="C255" s="3" t="str">
        <x:v>C164</x:v>
      </x:c>
      <x:c r="D255" s="3" t="str"/>
      <x:c r="E255" s="3" t="str">
        <x:v>己醛</x:v>
      </x:c>
      <x:c r="F255" s="3" t="str">
        <x:v>丁酸异戊酯</x:v>
      </x:c>
      <x:c r="G255" s="3" t="str">
        <x:v>异戊醛</x:v>
      </x:c>
      <x:c r="H255" s="3" t="str">
        <x:v>己酸丁酯</x:v>
      </x:c>
      <x:c r="I255" s="3" t="str">
        <x:v>M</x:v>
      </x:c>
      <x:c r="J255" s="3" t="str">
        <x:v>H</x:v>
      </x:c>
      <x:c r="K255" s="3" t="str">
        <x:v>L</x:v>
      </x:c>
      <x:c r="L255" s="3" t="str">
        <x:v>H</x:v>
      </x:c>
      <x:c r="M255" s="9" t="n">
        <x:f>IF(Y255="","",INDEX('浓度设置'!$P$6:$R$46,MATCH(Y255,'浓度设置'!$A$6:$A$46,0),IF(I255="L",1,IF(I255="M",2,3))))</x:f>
        <x:v>729.4776350238574</x:v>
      </x:c>
      <x:c r="N255" s="9" t="n">
        <x:f>IF(Z255="","",INDEX('浓度设置'!$P$6:$R$46,MATCH(Z255,'浓度设置'!$A$6:$A$46,0),IF(J255="L",1,IF(J255="M",2,3))))</x:f>
        <x:v>4105</x:v>
      </x:c>
      <x:c r="O255" s="9" t="n">
        <x:f>IF(AA255="","",INDEX('浓度设置'!$P$6:$R$46,MATCH(AA255,'浓度设置'!$A$6:$A$46,0),IF(K255="L",1,IF(K255="M",2,3))))</x:f>
        <x:v>4.84</x:v>
      </x:c>
      <x:c r="P255" s="9" t="n">
        <x:f>IF(AB255="","",INDEX('浓度设置'!$P$6:$R$46,MATCH(AB255,'浓度设置'!$A$6:$A$46,0),IF(L255="L",1,IF(L255="M",2,3))))</x:f>
        <x:v>86300</x:v>
      </x:c>
      <x:c r="Q255" s="9" t="n">
        <x:f>IF(Y255="","",M255/INDEX('浓度设置'!$M$6:$M$46,MATCH(Y255,'浓度设置'!$A$6:$A$46,0)))</x:f>
        <x:v>28.606966079366956</x:v>
      </x:c>
      <x:c r="R255" s="9" t="n">
        <x:f>IF(Z255="","",N255/INDEX('浓度设置'!$M$6:$M$46,MATCH(Z255,'浓度设置'!$A$6:$A$46,0)))</x:f>
        <x:v>4.4863387978142075</x:v>
      </x:c>
      <x:c r="S255" s="9" t="n">
        <x:f>IF(AA255="","",O255/INDEX('浓度设置'!$M$6:$M$46,MATCH(AA255,'浓度设置'!$A$6:$A$46,0)))</x:f>
        <x:v>0.29333333333333333</x:v>
      </x:c>
      <x:c r="T255" s="9" t="n">
        <x:f>IF(AB255="","",P255/INDEX('浓度设置'!$M$6:$M$46,MATCH(AB255,'浓度设置'!$A$6:$A$46,0)))</x:f>
        <x:v>127.31618080963058</x:v>
      </x:c>
      <x:c r="U255" s="9" t="n">
        <x:f>IF(Y255="","",M255*$AD255/1000)</x:f>
        <x:v>14.589552700477146</x:v>
      </x:c>
      <x:c r="V255" s="9" t="n">
        <x:f>IF(Z255="","",N255*$AD255/1000)</x:f>
        <x:v>82.1</x:v>
      </x:c>
      <x:c r="W255" s="9" t="n">
        <x:f>IF(AA255="","",O255*$AD255/1000)</x:f>
        <x:v>0.0968</x:v>
      </x:c>
      <x:c r="X255" s="9" t="n">
        <x:f>IF(AB255="","",P255*$AD255/1000)</x:f>
        <x:v>1726</x:v>
      </x:c>
      <x:c r="Y255" s="3" t="n">
        <x:v>7</x:v>
      </x:c>
      <x:c r="Z255" s="3" t="n">
        <x:v>56</x:v>
      </x:c>
      <x:c r="AA255" s="3" t="n">
        <x:v>152</x:v>
      </x:c>
      <x:c r="AB255" s="3" t="n">
        <x:v>165</x:v>
      </x:c>
      <x:c r="AC255" s="3" t="n">
        <x:v>4</x:v>
      </x:c>
      <x:c r="AD255" s="3" t="n">
        <x:f>'方案总览'!$B$5</x:f>
        <x:v>20</x:v>
      </x:c>
    </x:row>
    <x:row r="256" ht="24" customHeight="1">
      <x:c r="A256" s="3" t="str">
        <x:v>T251</x:v>
      </x:c>
      <x:c r="B256" s="3" t="str">
        <x:v>拟合</x:v>
      </x:c>
      <x:c r="C256" s="3" t="str">
        <x:v>C165</x:v>
      </x:c>
      <x:c r="D256" s="3" t="str"/>
      <x:c r="E256" s="3" t="str">
        <x:v>乙醛二乙缩醛</x:v>
      </x:c>
      <x:c r="F256" s="3" t="str">
        <x:v>苯乙醛</x:v>
      </x:c>
      <x:c r="G256" s="3" t="str">
        <x:v>乙酸丁酯</x:v>
      </x:c>
      <x:c r="H256" s="3" t="str">
        <x:v>异戊酸/3-甲基丁酸</x:v>
      </x:c>
      <x:c r="I256" s="3" t="str">
        <x:v>M</x:v>
      </x:c>
      <x:c r="J256" s="3" t="str">
        <x:v>L</x:v>
      </x:c>
      <x:c r="K256" s="3" t="str">
        <x:v>M</x:v>
      </x:c>
      <x:c r="L256" s="3" t="str">
        <x:v>M</x:v>
      </x:c>
      <x:c r="M256" s="9" t="n">
        <x:f>IF(Y256="","",INDEX('浓度设置'!$P$6:$R$46,MATCH(Y256,'浓度设置'!$A$6:$A$46,0),IF(I256="L",1,IF(I256="M",2,3))))</x:f>
        <x:v>2745.3821227654266</x:v>
      </x:c>
      <x:c r="N256" s="9" t="n">
        <x:f>IF(Z256="","",INDEX('浓度设置'!$P$6:$R$46,MATCH(Z256,'浓度设置'!$A$6:$A$46,0),IF(J256="L",1,IF(J256="M",2,3))))</x:f>
        <x:v>0.05</x:v>
      </x:c>
      <x:c r="O256" s="9" t="n">
        <x:f>IF(AA256="","",INDEX('浓度设置'!$P$6:$R$46,MATCH(AA256,'浓度设置'!$A$6:$A$46,0),IF(K256="L",1,IF(K256="M",2,3))))</x:f>
        <x:v>3147.945</x:v>
      </x:c>
      <x:c r="P256" s="9" t="n">
        <x:f>IF(AB256="","",INDEX('浓度设置'!$P$6:$R$46,MATCH(AB256,'浓度设置'!$A$6:$A$46,0),IF(L256="L",1,IF(L256="M",2,3))))</x:f>
        <x:v>228.58258901324922</x:v>
      </x:c>
      <x:c r="Q256" s="9" t="n">
        <x:f>IF(Y256="","",M256/INDEX('浓度设置'!$M$6:$M$46,MATCH(Y256,'浓度设置'!$A$6:$A$46,0)))</x:f>
        <x:v>1.3135799630456586</x:v>
      </x:c>
      <x:c r="R256" s="9" t="n">
        <x:f>IF(Z256="","",N256/INDEX('浓度设置'!$M$6:$M$46,MATCH(Z256,'浓度设置'!$A$6:$A$46,0)))</x:f>
        <x:v>0.00019083969465648855</x:v>
      </x:c>
      <x:c r="S256" s="9" t="n">
        <x:f>IF(AA256="","",O256/INDEX('浓度设置'!$M$6:$M$46,MATCH(AA256,'浓度设置'!$A$6:$A$46,0)))</x:f>
        <x:v>1.7488583333333334</x:v>
      </x:c>
      <x:c r="T256" s="9" t="n">
        <x:f>IF(AB256="","",P256/INDEX('浓度设置'!$M$6:$M$46,MATCH(AB256,'浓度设置'!$A$6:$A$46,0)))</x:f>
        <x:v>0.21769770382214212</x:v>
      </x:c>
      <x:c r="U256" s="9" t="n">
        <x:f>IF(Y256="","",M256*$AD256/1000)</x:f>
        <x:v>54.90764245530853</x:v>
      </x:c>
      <x:c r="V256" s="9" t="n">
        <x:f>IF(Z256="","",N256*$AD256/1000)</x:f>
        <x:v>0.001</x:v>
      </x:c>
      <x:c r="W256" s="9" t="n">
        <x:f>IF(AA256="","",O256*$AD256/1000)</x:f>
        <x:v>62.9589</x:v>
      </x:c>
      <x:c r="X256" s="9" t="n">
        <x:f>IF(AB256="","",P256*$AD256/1000)</x:f>
        <x:v>4.571651780264984</x:v>
      </x:c>
      <x:c r="Y256" s="3" t="n">
        <x:v>53</x:v>
      </x:c>
      <x:c r="Z256" s="3" t="n">
        <x:v>105</x:v>
      </x:c>
      <x:c r="AA256" s="3" t="n">
        <x:v>114</x:v>
      </x:c>
      <x:c r="AB256" s="3" t="n">
        <x:v>136</x:v>
      </x:c>
      <x:c r="AC256" s="3" t="n">
        <x:v>4</x:v>
      </x:c>
      <x:c r="AD256" s="3" t="n">
        <x:f>'方案总览'!$B$5</x:f>
        <x:v>20</x:v>
      </x:c>
    </x:row>
    <x:row r="257" ht="24" customHeight="1">
      <x:c r="A257" s="3" t="str">
        <x:v>T252</x:v>
      </x:c>
      <x:c r="B257" s="3" t="str">
        <x:v>拟合</x:v>
      </x:c>
      <x:c r="C257" s="3" t="str">
        <x:v>C166</x:v>
      </x:c>
      <x:c r="D257" s="3" t="str"/>
      <x:c r="E257" s="3" t="str">
        <x:v>2-甲基丙醛</x:v>
      </x:c>
      <x:c r="F257" s="3" t="str">
        <x:v>对甲酚</x:v>
      </x:c>
      <x:c r="G257" s="3" t="str">
        <x:v>3-苯基丙酸乙酯</x:v>
      </x:c>
      <x:c r="H257" s="3" t="str">
        <x:v>己酸己酯</x:v>
      </x:c>
      <x:c r="I257" s="3" t="str">
        <x:v>M</x:v>
      </x:c>
      <x:c r="J257" s="3" t="str">
        <x:v>M</x:v>
      </x:c>
      <x:c r="K257" s="3" t="str">
        <x:v>H</x:v>
      </x:c>
      <x:c r="L257" s="3" t="str">
        <x:v>L</x:v>
      </x:c>
      <x:c r="M257" s="9" t="n">
        <x:f>IF(Y257="","",INDEX('浓度设置'!$P$6:$R$46,MATCH(Y257,'浓度设置'!$A$6:$A$46,0),IF(I257="L",1,IF(I257="M",2,3))))</x:f>
        <x:v>1183.2582135780847</x:v>
      </x:c>
      <x:c r="N257" s="9" t="n">
        <x:f>IF(Z257="","",INDEX('浓度设置'!$P$6:$R$46,MATCH(Z257,'浓度设置'!$A$6:$A$46,0),IF(J257="L",1,IF(J257="M",2,3))))</x:f>
        <x:v>59.381310191002015</x:v>
      </x:c>
      <x:c r="O257" s="9" t="n">
        <x:f>IF(AA257="","",INDEX('浓度设置'!$P$6:$R$46,MATCH(AA257,'浓度设置'!$A$6:$A$46,0),IF(K257="L",1,IF(K257="M",2,3))))</x:f>
        <x:v>11648000</x:v>
      </x:c>
      <x:c r="P257" s="9" t="n">
        <x:f>IF(AB257="","",INDEX('浓度设置'!$P$6:$R$46,MATCH(AB257,'浓度设置'!$A$6:$A$46,0),IF(L257="L",1,IF(L257="M",2,3))))</x:f>
        <x:v>2.5</x:v>
      </x:c>
      <x:c r="Q257" s="9" t="n">
        <x:f>IF(Y257="","",M257/INDEX('浓度设置'!$M$6:$M$46,MATCH(Y257,'浓度设置'!$A$6:$A$46,0)))</x:f>
        <x:v>200.55223958950586</x:v>
      </x:c>
      <x:c r="R257" s="9" t="n">
        <x:f>IF(Z257="","",N257/INDEX('浓度设置'!$M$6:$M$46,MATCH(Z257,'浓度设置'!$A$6:$A$46,0)))</x:f>
        <x:v>0.355576707730551</x:v>
      </x:c>
      <x:c r="S257" s="9" t="n">
        <x:f>IF(AA257="","",O257/INDEX('浓度设置'!$M$6:$M$46,MATCH(AA257,'浓度设置'!$A$6:$A$46,0)))</x:f>
        <x:v>93184</x:v>
      </x:c>
      <x:c r="T257" s="9" t="n">
        <x:f>IF(AB257="","",P257/INDEX('浓度设置'!$M$6:$M$46,MATCH(AB257,'浓度设置'!$A$6:$A$46,0)))</x:f>
        <x:v>0.0013220518244315177</x:v>
      </x:c>
      <x:c r="U257" s="9" t="n">
        <x:f>IF(Y257="","",M257*$AD257/1000)</x:f>
        <x:v>23.665164271561693</x:v>
      </x:c>
      <x:c r="V257" s="9" t="n">
        <x:f>IF(Z257="","",N257*$AD257/1000)</x:f>
        <x:v>1.1876262038200402</x:v>
      </x:c>
      <x:c r="W257" s="9" t="n">
        <x:f>IF(AA257="","",O257*$AD257/1000)</x:f>
        <x:v>232960</x:v>
      </x:c>
      <x:c r="X257" s="9" t="n">
        <x:f>IF(AB257="","",P257*$AD257/1000)</x:f>
        <x:v>0.05</x:v>
      </x:c>
      <x:c r="Y257" s="3" t="n">
        <x:v>18</x:v>
      </x:c>
      <x:c r="Z257" s="3" t="n">
        <x:v>61</x:v>
      </x:c>
      <x:c r="AA257" s="3" t="n">
        <x:v>186</x:v>
      </x:c>
      <x:c r="AB257" s="3" t="n">
        <x:v>227</x:v>
      </x:c>
      <x:c r="AC257" s="3" t="n">
        <x:v>4</x:v>
      </x:c>
      <x:c r="AD257" s="3" t="n">
        <x:f>'方案总览'!$B$5</x:f>
        <x:v>20</x:v>
      </x:c>
    </x:row>
    <x:row r="258" ht="24" customHeight="1">
      <x:c r="A258" s="3" t="str">
        <x:v>T253</x:v>
      </x:c>
      <x:c r="B258" s="3" t="str">
        <x:v>拟合</x:v>
      </x:c>
      <x:c r="C258" s="3" t="str">
        <x:v>C167</x:v>
      </x:c>
      <x:c r="D258" s="3" t="str"/>
      <x:c r="E258" s="3" t="str">
        <x:v>苯乙酸乙酯</x:v>
      </x:c>
      <x:c r="F258" s="3" t="str">
        <x:v>异戊酸乙酯（3-甲基丁酸乙酯）</x:v>
      </x:c>
      <x:c r="G258" s="3" t="str">
        <x:v>3-苯基丙酸乙酯</x:v>
      </x:c>
      <x:c r="H258" s="3" t="str">
        <x:v>1-辛烯-3-醇</x:v>
      </x:c>
      <x:c r="I258" s="3" t="str">
        <x:v>L</x:v>
      </x:c>
      <x:c r="J258" s="3" t="str">
        <x:v>H</x:v>
      </x:c>
      <x:c r="K258" s="3" t="str">
        <x:v>H</x:v>
      </x:c>
      <x:c r="L258" s="3" t="str">
        <x:v>L</x:v>
      </x:c>
      <x:c r="M258" s="9" t="n">
        <x:f>IF(Y258="","",INDEX('浓度设置'!$P$6:$R$46,MATCH(Y258,'浓度设置'!$A$6:$A$46,0),IF(I258="L",1,IF(I258="M",2,3))))</x:f>
        <x:v>1.875</x:v>
      </x:c>
      <x:c r="N258" s="9" t="n">
        <x:f>IF(Z258="","",INDEX('浓度设置'!$P$6:$R$46,MATCH(Z258,'浓度设置'!$A$6:$A$46,0),IF(J258="L",1,IF(J258="M",2,3))))</x:f>
        <x:v>12022.2</x:v>
      </x:c>
      <x:c r="O258" s="9" t="n">
        <x:f>IF(AA258="","",INDEX('浓度设置'!$P$6:$R$46,MATCH(AA258,'浓度设置'!$A$6:$A$46,0),IF(K258="L",1,IF(K258="M",2,3))))</x:f>
        <x:v>11648000</x:v>
      </x:c>
      <x:c r="P258" s="9" t="n">
        <x:f>IF(AB258="","",INDEX('浓度设置'!$P$6:$R$46,MATCH(AB258,'浓度设置'!$A$6:$A$46,0),IF(L258="L",1,IF(L258="M",2,3))))</x:f>
        <x:v>1</x:v>
      </x:c>
      <x:c r="Q258" s="9" t="n">
        <x:f>IF(Y258="","",M258/INDEX('浓度设置'!$M$6:$M$46,MATCH(Y258,'浓度设置'!$A$6:$A$46,0)))</x:f>
        <x:v>0.004606879606879607</x:v>
      </x:c>
      <x:c r="R258" s="9" t="n">
        <x:f>IF(Z258="","",N258/INDEX('浓度设置'!$M$6:$M$46,MATCH(Z258,'浓度设置'!$A$6:$A$46,0)))</x:f>
        <x:v>1744.8766328011613</x:v>
      </x:c>
      <x:c r="S258" s="9" t="n">
        <x:f>IF(AA258="","",O258/INDEX('浓度设置'!$M$6:$M$46,MATCH(AA258,'浓度设置'!$A$6:$A$46,0)))</x:f>
        <x:v>93184</x:v>
      </x:c>
      <x:c r="T258" s="9" t="n">
        <x:f>IF(AB258="","",P258/INDEX('浓度设置'!$M$6:$M$46,MATCH(AB258,'浓度设置'!$A$6:$A$46,0)))</x:f>
        <x:v>0.16339869281045752</x:v>
      </x:c>
      <x:c r="U258" s="9" t="n">
        <x:f>IF(Y258="","",M258*$AD258/1000)</x:f>
        <x:v>0.0375</x:v>
      </x:c>
      <x:c r="V258" s="9" t="n">
        <x:f>IF(Z258="","",N258*$AD258/1000)</x:f>
        <x:v>240.444</x:v>
      </x:c>
      <x:c r="W258" s="9" t="n">
        <x:f>IF(AA258="","",O258*$AD258/1000)</x:f>
        <x:v>232960</x:v>
      </x:c>
      <x:c r="X258" s="9" t="n">
        <x:f>IF(AB258="","",P258*$AD258/1000)</x:f>
        <x:v>0.02</x:v>
      </x:c>
      <x:c r="Y258" s="3" t="n">
        <x:v>40</x:v>
      </x:c>
      <x:c r="Z258" s="3" t="n">
        <x:v>69</x:v>
      </x:c>
      <x:c r="AA258" s="3" t="n">
        <x:v>186</x:v>
      </x:c>
      <x:c r="AB258" s="3" t="n">
        <x:v>207</x:v>
      </x:c>
      <x:c r="AC258" s="3" t="n">
        <x:v>4</x:v>
      </x:c>
      <x:c r="AD258" s="3" t="n">
        <x:f>'方案总览'!$B$5</x:f>
        <x:v>20</x:v>
      </x:c>
    </x:row>
    <x:row r="259" ht="24" customHeight="1">
      <x:c r="A259" s="3" t="str">
        <x:v>T254</x:v>
      </x:c>
      <x:c r="B259" s="3" t="str">
        <x:v>拟合</x:v>
      </x:c>
      <x:c r="C259" s="3" t="str">
        <x:v>C168</x:v>
      </x:c>
      <x:c r="D259" s="3" t="str"/>
      <x:c r="E259" s="3" t="str">
        <x:v>戊酸</x:v>
      </x:c>
      <x:c r="F259" s="3" t="str">
        <x:v>癸酸乙酯</x:v>
      </x:c>
      <x:c r="G259" s="3" t="str">
        <x:v>异戊酸/3-甲基丁酸</x:v>
      </x:c>
      <x:c r="H259" s="3" t="str">
        <x:v>己酸丁酯</x:v>
      </x:c>
      <x:c r="I259" s="3" t="str">
        <x:v>L</x:v>
      </x:c>
      <x:c r="J259" s="3" t="str">
        <x:v>H</x:v>
      </x:c>
      <x:c r="K259" s="3" t="str">
        <x:v>L</x:v>
      </x:c>
      <x:c r="L259" s="3" t="str">
        <x:v>H</x:v>
      </x:c>
      <x:c r="M259" s="9" t="n">
        <x:f>IF(Y259="","",INDEX('浓度设置'!$P$6:$R$46,MATCH(Y259,'浓度设置'!$A$6:$A$46,0),IF(I259="L",1,IF(I259="M",2,3))))</x:f>
        <x:v>1.75</x:v>
      </x:c>
      <x:c r="N259" s="9" t="n">
        <x:f>IF(Z259="","",INDEX('浓度设置'!$P$6:$R$46,MATCH(Z259,'浓度设置'!$A$6:$A$46,0),IF(J259="L",1,IF(J259="M",2,3))))</x:f>
        <x:v>56115</x:v>
      </x:c>
      <x:c r="O259" s="9" t="n">
        <x:f>IF(AA259="","",INDEX('浓度设置'!$P$6:$R$46,MATCH(AA259,'浓度设置'!$A$6:$A$46,0),IF(K259="L",1,IF(K259="M",2,3))))</x:f>
        <x:v>1.1875</x:v>
      </x:c>
      <x:c r="P259" s="9" t="n">
        <x:f>IF(AB259="","",INDEX('浓度设置'!$P$6:$R$46,MATCH(AB259,'浓度设置'!$A$6:$A$46,0),IF(L259="L",1,IF(L259="M",2,3))))</x:f>
        <x:v>86300</x:v>
      </x:c>
      <x:c r="Q259" s="9" t="n">
        <x:f>IF(Y259="","",M259/INDEX('浓度设置'!$M$6:$M$46,MATCH(Y259,'浓度设置'!$A$6:$A$46,0)))</x:f>
        <x:v>0.004498714652956298</x:v>
      </x:c>
      <x:c r="R259" s="9" t="n">
        <x:f>IF(Z259="","",N259/INDEX('浓度设置'!$M$6:$M$46,MATCH(Z259,'浓度设置'!$A$6:$A$46,0)))</x:f>
        <x:v>50.10267857142857</x:v>
      </x:c>
      <x:c r="S259" s="9" t="n">
        <x:f>IF(AA259="","",O259/INDEX('浓度设置'!$M$6:$M$46,MATCH(AA259,'浓度设置'!$A$6:$A$46,0)))</x:f>
        <x:v>0.001130952380952381</x:v>
      </x:c>
      <x:c r="T259" s="9" t="n">
        <x:f>IF(AB259="","",P259/INDEX('浓度设置'!$M$6:$M$46,MATCH(AB259,'浓度设置'!$A$6:$A$46,0)))</x:f>
        <x:v>127.31618080963058</x:v>
      </x:c>
      <x:c r="U259" s="9" t="n">
        <x:f>IF(Y259="","",M259*$AD259/1000)</x:f>
        <x:v>0.035</x:v>
      </x:c>
      <x:c r="V259" s="9" t="n">
        <x:f>IF(Z259="","",N259*$AD259/1000)</x:f>
        <x:v>1122.3</x:v>
      </x:c>
      <x:c r="W259" s="9" t="n">
        <x:f>IF(AA259="","",O259*$AD259/1000)</x:f>
        <x:v>0.02375</x:v>
      </x:c>
      <x:c r="X259" s="9" t="n">
        <x:f>IF(AB259="","",P259*$AD259/1000)</x:f>
        <x:v>1726</x:v>
      </x:c>
      <x:c r="Y259" s="3" t="n">
        <x:v>75</x:v>
      </x:c>
      <x:c r="Z259" s="3" t="n">
        <x:v>79</x:v>
      </x:c>
      <x:c r="AA259" s="3" t="n">
        <x:v>136</x:v>
      </x:c>
      <x:c r="AB259" s="3" t="n">
        <x:v>165</x:v>
      </x:c>
      <x:c r="AC259" s="3" t="n">
        <x:v>4</x:v>
      </x:c>
      <x:c r="AD259" s="3" t="n">
        <x:f>'方案总览'!$B$5</x:f>
        <x:v>20</x:v>
      </x:c>
    </x:row>
    <x:row r="260" ht="24" customHeight="1">
      <x:c r="A260" s="3" t="str">
        <x:v>T255</x:v>
      </x:c>
      <x:c r="B260" s="3" t="str">
        <x:v>拟合</x:v>
      </x:c>
      <x:c r="C260" s="3" t="str">
        <x:v>C169</x:v>
      </x:c>
      <x:c r="D260" s="3" t="str"/>
      <x:c r="E260" s="3" t="str">
        <x:v>异丁酸乙酯</x:v>
      </x:c>
      <x:c r="F260" s="3" t="str">
        <x:v>丁酸乙酯</x:v>
      </x:c>
      <x:c r="G260" s="3" t="str">
        <x:v>己酸乙酯</x:v>
      </x:c>
      <x:c r="H260" s="3" t="str">
        <x:v>乙酸丁酯</x:v>
      </x:c>
      <x:c r="I260" s="3" t="str">
        <x:v>M</x:v>
      </x:c>
      <x:c r="J260" s="3" t="str">
        <x:v>H</x:v>
      </x:c>
      <x:c r="K260" s="3" t="str">
        <x:v>M</x:v>
      </x:c>
      <x:c r="L260" s="3" t="str">
        <x:v>H</x:v>
      </x:c>
      <x:c r="M260" s="9" t="n">
        <x:f>IF(Y260="","",INDEX('浓度设置'!$P$6:$R$46,MATCH(Y260,'浓度设置'!$A$6:$A$46,0),IF(I260="L",1,IF(I260="M",2,3))))</x:f>
        <x:v>836.8360173893091</x:v>
      </x:c>
      <x:c r="N260" s="9" t="n">
        <x:f>IF(Z260="","",INDEX('浓度设置'!$P$6:$R$46,MATCH(Z260,'浓度设置'!$A$6:$A$46,0),IF(J260="L",1,IF(J260="M",2,3))))</x:f>
        <x:v>1290235</x:v>
      </x:c>
      <x:c r="O260" s="9" t="n">
        <x:f>IF(AA260="","",INDEX('浓度设置'!$P$6:$R$46,MATCH(AA260,'浓度设置'!$A$6:$A$46,0),IF(K260="L",1,IF(K260="M",2,3))))</x:f>
        <x:v>89562.18016998023</x:v>
      </x:c>
      <x:c r="P260" s="9" t="n">
        <x:f>IF(AB260="","",INDEX('浓度设置'!$P$6:$R$46,MATCH(AB260,'浓度设置'!$A$6:$A$46,0),IF(L260="L",1,IF(L260="M",2,3))))</x:f>
        <x:v>47100</x:v>
      </x:c>
      <x:c r="Q260" s="9" t="n">
        <x:f>IF(Y260="","",M260/INDEX('浓度设置'!$M$6:$M$46,MATCH(Y260,'浓度设置'!$A$6:$A$46,0)))</x:f>
        <x:v>14.553669867640158</x:v>
      </x:c>
      <x:c r="R260" s="9" t="n">
        <x:f>IF(Z260="","",N260/INDEX('浓度设置'!$M$6:$M$46,MATCH(Z260,'浓度设置'!$A$6:$A$46,0)))</x:f>
        <x:v>15831.104294478528</x:v>
      </x:c>
      <x:c r="S260" s="9" t="n">
        <x:f>IF(AA260="","",O260/INDEX('浓度设置'!$M$6:$M$46,MATCH(AA260,'浓度设置'!$A$6:$A$46,0)))</x:f>
        <x:v>1619.5692616632955</x:v>
      </x:c>
      <x:c r="T260" s="9" t="n">
        <x:f>IF(AB260="","",P260/INDEX('浓度设置'!$M$6:$M$46,MATCH(AB260,'浓度设置'!$A$6:$A$46,0)))</x:f>
        <x:v>26.166666666666668</x:v>
      </x:c>
      <x:c r="U260" s="9" t="n">
        <x:f>IF(Y260="","",M260*$AD260/1000)</x:f>
        <x:v>16.736720347786182</x:v>
      </x:c>
      <x:c r="V260" s="9" t="n">
        <x:f>IF(Z260="","",N260*$AD260/1000)</x:f>
        <x:v>25804.7</x:v>
      </x:c>
      <x:c r="W260" s="9" t="n">
        <x:f>IF(AA260="","",O260*$AD260/1000)</x:f>
        <x:v>1791.2436033996046</x:v>
      </x:c>
      <x:c r="X260" s="9" t="n">
        <x:f>IF(AB260="","",P260*$AD260/1000)</x:f>
        <x:v>942</x:v>
      </x:c>
      <x:c r="Y260" s="3" t="n">
        <x:v>32</x:v>
      </x:c>
      <x:c r="Z260" s="3" t="n">
        <x:v>52</x:v>
      </x:c>
      <x:c r="AA260" s="3" t="n">
        <x:v>111</x:v>
      </x:c>
      <x:c r="AB260" s="3" t="n">
        <x:v>114</x:v>
      </x:c>
      <x:c r="AC260" s="3" t="n">
        <x:v>4</x:v>
      </x:c>
      <x:c r="AD260" s="3" t="n">
        <x:f>'方案总览'!$B$5</x:f>
        <x:v>20</x:v>
      </x:c>
    </x:row>
    <x:row r="261" ht="24" customHeight="1">
      <x:c r="A261" s="3" t="str">
        <x:v>T256</x:v>
      </x:c>
      <x:c r="B261" s="3" t="str">
        <x:v>拟合</x:v>
      </x:c>
      <x:c r="C261" s="3" t="str">
        <x:v>C170</x:v>
      </x:c>
      <x:c r="D261" s="3" t="str"/>
      <x:c r="E261" s="3" t="str">
        <x:v>苯乙醛</x:v>
      </x:c>
      <x:c r="F261" s="3" t="str">
        <x:v>己酸</x:v>
      </x:c>
      <x:c r="G261" s="3" t="str">
        <x:v>戊酸乙酯</x:v>
      </x:c>
      <x:c r="H261" s="3" t="str">
        <x:v>异戊醛</x:v>
      </x:c>
      <x:c r="I261" s="3" t="str">
        <x:v>M</x:v>
      </x:c>
      <x:c r="J261" s="3" t="str">
        <x:v>L</x:v>
      </x:c>
      <x:c r="K261" s="3" t="str">
        <x:v>L</x:v>
      </x:c>
      <x:c r="L261" s="3" t="str">
        <x:v>L</x:v>
      </x:c>
      <x:c r="M261" s="9" t="n">
        <x:f>IF(Y261="","",INDEX('浓度设置'!$P$6:$R$46,MATCH(Y261,'浓度设置'!$A$6:$A$46,0),IF(I261="L",1,IF(I261="M",2,3))))</x:f>
        <x:v>28.044607324760317</x:v>
      </x:c>
      <x:c r="N261" s="9" t="n">
        <x:f>IF(Z261="","",INDEX('浓度设置'!$P$6:$R$46,MATCH(Z261,'浓度设置'!$A$6:$A$46,0),IF(J261="L",1,IF(J261="M",2,3))))</x:f>
        <x:v>2.125</x:v>
      </x:c>
      <x:c r="O261" s="9" t="n">
        <x:f>IF(AA261="","",INDEX('浓度设置'!$P$6:$R$46,MATCH(AA261,'浓度设置'!$A$6:$A$46,0),IF(K261="L",1,IF(K261="M",2,3))))</x:f>
        <x:v>2.2</x:v>
      </x:c>
      <x:c r="P261" s="9" t="n">
        <x:f>IF(AB261="","",INDEX('浓度设置'!$P$6:$R$46,MATCH(AB261,'浓度设置'!$A$6:$A$46,0),IF(L261="L",1,IF(L261="M",2,3))))</x:f>
        <x:v>4.84</x:v>
      </x:c>
      <x:c r="Q261" s="9" t="n">
        <x:f>IF(Y261="","",M261/INDEX('浓度设置'!$M$6:$M$46,MATCH(Y261,'浓度设置'!$A$6:$A$46,0)))</x:f>
        <x:v>0.10704048597236762</x:v>
      </x:c>
      <x:c r="R261" s="9" t="n">
        <x:f>IF(Z261="","",N261/INDEX('浓度设置'!$M$6:$M$46,MATCH(Z261,'浓度设置'!$A$6:$A$46,0)))</x:f>
        <x:v>0.0008432539682539683</x:v>
      </x:c>
      <x:c r="S261" s="9" t="n">
        <x:f>IF(AA261="","",O261/INDEX('浓度设置'!$M$6:$M$46,MATCH(AA261,'浓度设置'!$A$6:$A$46,0)))</x:f>
        <x:v>0.08208955223880597</x:v>
      </x:c>
      <x:c r="T261" s="9" t="n">
        <x:f>IF(AB261="","",P261/INDEX('浓度设置'!$M$6:$M$46,MATCH(AB261,'浓度设置'!$A$6:$A$46,0)))</x:f>
        <x:v>0.29333333333333333</x:v>
      </x:c>
      <x:c r="U261" s="9" t="n">
        <x:f>IF(Y261="","",M261*$AD261/1000)</x:f>
        <x:v>0.5608921464952064</x:v>
      </x:c>
      <x:c r="V261" s="9" t="n">
        <x:f>IF(Z261="","",N261*$AD261/1000)</x:f>
        <x:v>0.0425</x:v>
      </x:c>
      <x:c r="W261" s="9" t="n">
        <x:f>IF(AA261="","",O261*$AD261/1000)</x:f>
        <x:v>0.044</x:v>
      </x:c>
      <x:c r="X261" s="9" t="n">
        <x:f>IF(AB261="","",P261*$AD261/1000)</x:f>
        <x:v>0.0968</x:v>
      </x:c>
      <x:c r="Y261" s="3" t="n">
        <x:v>105</x:v>
      </x:c>
      <x:c r="Z261" s="3" t="n">
        <x:v>126</x:v>
      </x:c>
      <x:c r="AA261" s="3" t="n">
        <x:v>141</x:v>
      </x:c>
      <x:c r="AB261" s="3" t="n">
        <x:v>152</x:v>
      </x:c>
      <x:c r="AC261" s="3" t="n">
        <x:v>4</x:v>
      </x:c>
      <x:c r="AD261" s="3" t="n">
        <x:f>'方案总览'!$B$5</x:f>
        <x:v>20</x:v>
      </x:c>
    </x:row>
    <x:row r="262" ht="24" customHeight="1">
      <x:c r="A262" s="3" t="str">
        <x:v>T257</x:v>
      </x:c>
      <x:c r="B262" s="3" t="str">
        <x:v>拟合</x:v>
      </x:c>
      <x:c r="C262" s="3" t="str">
        <x:v>C171</x:v>
      </x:c>
      <x:c r="D262" s="3" t="str"/>
      <x:c r="E262" s="3" t="str">
        <x:v>丁酸异戊酯</x:v>
      </x:c>
      <x:c r="F262" s="3" t="str">
        <x:v>辛酸乙酯</x:v>
      </x:c>
      <x:c r="G262" s="3" t="str">
        <x:v>乙酸异戊酯</x:v>
      </x:c>
      <x:c r="H262" s="3" t="str">
        <x:v>2-甲基丁酸乙酯</x:v>
      </x:c>
      <x:c r="I262" s="3" t="str">
        <x:v>H</x:v>
      </x:c>
      <x:c r="J262" s="3" t="str">
        <x:v>M</x:v>
      </x:c>
      <x:c r="K262" s="3" t="str">
        <x:v>L</x:v>
      </x:c>
      <x:c r="L262" s="3" t="str">
        <x:v>H</x:v>
      </x:c>
      <x:c r="M262" s="9" t="n">
        <x:f>IF(Y262="","",INDEX('浓度设置'!$P$6:$R$46,MATCH(Y262,'浓度设置'!$A$6:$A$46,0),IF(I262="L",1,IF(I262="M",2,3))))</x:f>
        <x:v>4105</x:v>
      </x:c>
      <x:c r="N262" s="9" t="n">
        <x:f>IF(Z262="","",INDEX('浓度设置'!$P$6:$R$46,MATCH(Z262,'浓度设置'!$A$6:$A$46,0),IF(J262="L",1,IF(J262="M",2,3))))</x:f>
        <x:v>3072.731960324558</x:v>
      </x:c>
      <x:c r="O262" s="9" t="n">
        <x:f>IF(AA262="","",INDEX('浓度设置'!$P$6:$R$46,MATCH(AA262,'浓度设置'!$A$6:$A$46,0),IF(K262="L",1,IF(K262="M",2,3))))</x:f>
        <x:v>1.44</x:v>
      </x:c>
      <x:c r="P262" s="9" t="n">
        <x:f>IF(AB262="","",INDEX('浓度设置'!$P$6:$R$46,MATCH(AB262,'浓度设置'!$A$6:$A$46,0),IF(L262="L",1,IF(L262="M",2,3))))</x:f>
        <x:v>1611</x:v>
      </x:c>
      <x:c r="Q262" s="9" t="n">
        <x:f>IF(Y262="","",M262/INDEX('浓度设置'!$M$6:$M$46,MATCH(Y262,'浓度设置'!$A$6:$A$46,0)))</x:f>
        <x:v>4.4863387978142075</x:v>
      </x:c>
      <x:c r="R262" s="9" t="n">
        <x:f>IF(Z262="","",N262/INDEX('浓度设置'!$M$6:$M$46,MATCH(Z262,'浓度设置'!$A$6:$A$46,0)))</x:f>
        <x:v>238.19627599415176</x:v>
      </x:c>
      <x:c r="S262" s="9" t="n">
        <x:f>IF(AA262="","",O262/INDEX('浓度设置'!$M$6:$M$46,MATCH(AA262,'浓度设置'!$A$6:$A$46,0)))</x:f>
        <x:v>0.015335463258785941</x:v>
      </x:c>
      <x:c r="T262" s="9" t="n">
        <x:f>IF(AB262="","",P262/INDEX('浓度设置'!$M$6:$M$46,MATCH(AB262,'浓度设置'!$A$6:$A$46,0)))</x:f>
        <x:v>89.5</x:v>
      </x:c>
      <x:c r="U262" s="9" t="n">
        <x:f>IF(Y262="","",M262*$AD262/1000)</x:f>
        <x:v>82.1</x:v>
      </x:c>
      <x:c r="V262" s="9" t="n">
        <x:f>IF(Z262="","",N262*$AD262/1000)</x:f>
        <x:v>61.45463920649116</x:v>
      </x:c>
      <x:c r="W262" s="9" t="n">
        <x:f>IF(AA262="","",O262*$AD262/1000)</x:f>
        <x:v>0.028799999999999996</x:v>
      </x:c>
      <x:c r="X262" s="9" t="n">
        <x:f>IF(AB262="","",P262*$AD262/1000)</x:f>
        <x:v>32.22</x:v>
      </x:c>
      <x:c r="Y262" s="3" t="n">
        <x:v>56</x:v>
      </x:c>
      <x:c r="Z262" s="3" t="n">
        <x:v>58</x:v>
      </x:c>
      <x:c r="AA262" s="3" t="n">
        <x:v>115</x:v>
      </x:c>
      <x:c r="AB262" s="3" t="n">
        <x:v>232</x:v>
      </x:c>
      <x:c r="AC262" s="3" t="n">
        <x:v>4</x:v>
      </x:c>
      <x:c r="AD262" s="3" t="n">
        <x:f>'方案总览'!$B$5</x:f>
        <x:v>20</x:v>
      </x:c>
    </x:row>
    <x:row r="263" ht="24" customHeight="1">
      <x:c r="A263" s="3" t="str">
        <x:v>T258</x:v>
      </x:c>
      <x:c r="B263" s="3" t="str">
        <x:v>拟合</x:v>
      </x:c>
      <x:c r="C263" s="3" t="str">
        <x:v>C172</x:v>
      </x:c>
      <x:c r="D263" s="3" t="str"/>
      <x:c r="E263" s="3" t="str">
        <x:v>己醛</x:v>
      </x:c>
      <x:c r="F263" s="3" t="str">
        <x:v>1-丁醇</x:v>
      </x:c>
      <x:c r="G263" s="3" t="str">
        <x:v>1-辛醇</x:v>
      </x:c>
      <x:c r="H263" s="3" t="str">
        <x:v>辛酸</x:v>
      </x:c>
      <x:c r="I263" s="3" t="str">
        <x:v>H</x:v>
      </x:c>
      <x:c r="J263" s="3" t="str">
        <x:v>H</x:v>
      </x:c>
      <x:c r="K263" s="3" t="str">
        <x:v>M</x:v>
      </x:c>
      <x:c r="L263" s="3" t="str">
        <x:v>M</x:v>
      </x:c>
      <x:c r="M263" s="9" t="n">
        <x:f>IF(Y263="","",INDEX('浓度设置'!$P$6:$R$46,MATCH(Y263,'浓度设置'!$A$6:$A$46,0),IF(I263="L",1,IF(I263="M",2,3))))</x:f>
        <x:v>3075.94</x:v>
      </x:c>
      <x:c r="N263" s="9" t="n">
        <x:f>IF(Z263="","",INDEX('浓度设置'!$P$6:$R$46,MATCH(Z263,'浓度设置'!$A$6:$A$46,0),IF(J263="L",1,IF(J263="M",2,3))))</x:f>
        <x:v>1038900</x:v>
      </x:c>
      <x:c r="O263" s="9" t="n">
        <x:f>IF(AA263="","",INDEX('浓度设置'!$P$6:$R$46,MATCH(AA263,'浓度设置'!$A$6:$A$46,0),IF(K263="L",1,IF(K263="M",2,3))))</x:f>
        <x:v>1232.25</x:v>
      </x:c>
      <x:c r="P263" s="9" t="n">
        <x:f>IF(AB263="","",INDEX('浓度设置'!$P$6:$R$46,MATCH(AB263,'浓度设置'!$A$6:$A$46,0),IF(L263="L",1,IF(L263="M",2,3))))</x:f>
        <x:v>274.54883445390914</x:v>
      </x:c>
      <x:c r="Q263" s="9" t="n">
        <x:f>IF(Y263="","",M263/INDEX('浓度设置'!$M$6:$M$46,MATCH(Y263,'浓度设置'!$A$6:$A$46,0)))</x:f>
        <x:v>120.62509803921569</x:v>
      </x:c>
      <x:c r="R263" s="9" t="n">
        <x:f>IF(Z263="","",N263/INDEX('浓度设置'!$M$6:$M$46,MATCH(Z263,'浓度设置'!$A$6:$A$46,0)))</x:f>
        <x:v>380.1317233809001</x:v>
      </x:c>
      <x:c r="S263" s="9" t="n">
        <x:f>IF(AA263="","",O263/INDEX('浓度设置'!$M$6:$M$46,MATCH(AA263,'浓度设置'!$A$6:$A$46,0)))</x:f>
        <x:v>1.1202272727272726</x:v>
      </x:c>
      <x:c r="T263" s="9" t="n">
        <x:f>IF(AB263="","",P263/INDEX('浓度设置'!$M$6:$M$46,MATCH(AB263,'浓度设置'!$A$6:$A$46,0)))</x:f>
        <x:v>0.10168475350144783</x:v>
      </x:c>
      <x:c r="U263" s="9" t="n">
        <x:f>IF(Y263="","",M263*$AD263/1000)</x:f>
        <x:v>61.518800000000006</x:v>
      </x:c>
      <x:c r="V263" s="9" t="n">
        <x:f>IF(Z263="","",N263*$AD263/1000)</x:f>
        <x:v>20778</x:v>
      </x:c>
      <x:c r="W263" s="9" t="n">
        <x:f>IF(AA263="","",O263*$AD263/1000)</x:f>
        <x:v>24.645</x:v>
      </x:c>
      <x:c r="X263" s="9" t="n">
        <x:f>IF(AB263="","",P263*$AD263/1000)</x:f>
        <x:v>5.490976689078183</x:v>
      </x:c>
      <x:c r="Y263" s="3" t="n">
        <x:v>7</x:v>
      </x:c>
      <x:c r="Z263" s="3" t="n">
        <x:v>11</x:v>
      </x:c>
      <x:c r="AA263" s="3" t="n">
        <x:v>90</x:v>
      </x:c>
      <x:c r="AB263" s="3" t="n">
        <x:v>117</x:v>
      </x:c>
      <x:c r="AC263" s="3" t="n">
        <x:v>4</x:v>
      </x:c>
      <x:c r="AD263" s="3" t="n">
        <x:f>'方案总览'!$B$5</x:f>
        <x:v>20</x:v>
      </x:c>
    </x:row>
    <x:row r="264" ht="24" customHeight="1">
      <x:c r="A264" s="3" t="str">
        <x:v>T259</x:v>
      </x:c>
      <x:c r="B264" s="3" t="str">
        <x:v>拟合</x:v>
      </x:c>
      <x:c r="C264" s="3" t="str">
        <x:v>C173</x:v>
      </x:c>
      <x:c r="D264" s="3" t="str"/>
      <x:c r="E264" s="3" t="str">
        <x:v>异丁酸乙酯</x:v>
      </x:c>
      <x:c r="F264" s="3" t="str">
        <x:v>己酸</x:v>
      </x:c>
      <x:c r="G264" s="3" t="str">
        <x:v>3-苯基丙酸乙酯</x:v>
      </x:c>
      <x:c r="H264" s="3" t="str">
        <x:v>二甲基三硫醚</x:v>
      </x:c>
      <x:c r="I264" s="3" t="str">
        <x:v>H</x:v>
      </x:c>
      <x:c r="J264" s="3" t="str">
        <x:v>L</x:v>
      </x:c>
      <x:c r="K264" s="3" t="str">
        <x:v>H</x:v>
      </x:c>
      <x:c r="L264" s="3" t="str">
        <x:v>L</x:v>
      </x:c>
      <x:c r="M264" s="9" t="n">
        <x:f>IF(Y264="","",INDEX('浓度设置'!$P$6:$R$46,MATCH(Y264,'浓度设置'!$A$6:$A$46,0),IF(I264="L",1,IF(I264="M",2,3))))</x:f>
        <x:v>37489</x:v>
      </x:c>
      <x:c r="N264" s="9" t="n">
        <x:f>IF(Z264="","",INDEX('浓度设置'!$P$6:$R$46,MATCH(Z264,'浓度设置'!$A$6:$A$46,0),IF(J264="L",1,IF(J264="M",2,3))))</x:f>
        <x:v>2.125</x:v>
      </x:c>
      <x:c r="O264" s="9" t="n">
        <x:f>IF(AA264="","",INDEX('浓度设置'!$P$6:$R$46,MATCH(AA264,'浓度设置'!$A$6:$A$46,0),IF(K264="L",1,IF(K264="M",2,3))))</x:f>
        <x:v>11648000</x:v>
      </x:c>
      <x:c r="P264" s="9" t="n">
        <x:f>IF(AB264="","",INDEX('浓度设置'!$P$6:$R$46,MATCH(AB264,'浓度设置'!$A$6:$A$46,0),IF(L264="L",1,IF(L264="M",2,3))))</x:f>
        <x:v>0.28</x:v>
      </x:c>
      <x:c r="Q264" s="9" t="n">
        <x:f>IF(Y264="","",M264/INDEX('浓度设置'!$M$6:$M$46,MATCH(Y264,'浓度设置'!$A$6:$A$46,0)))</x:f>
        <x:v>651.9826086956522</x:v>
      </x:c>
      <x:c r="R264" s="9" t="n">
        <x:f>IF(Z264="","",N264/INDEX('浓度设置'!$M$6:$M$46,MATCH(Z264,'浓度设置'!$A$6:$A$46,0)))</x:f>
        <x:v>0.0008432539682539683</x:v>
      </x:c>
      <x:c r="S264" s="9" t="n">
        <x:f>IF(AA264="","",O264/INDEX('浓度设置'!$M$6:$M$46,MATCH(AA264,'浓度设置'!$A$6:$A$46,0)))</x:f>
        <x:v>93184</x:v>
      </x:c>
      <x:c r="T264" s="9" t="n">
        <x:f>IF(AB264="","",P264/INDEX('浓度设置'!$M$6:$M$46,MATCH(AB264,'浓度设置'!$A$6:$A$46,0)))</x:f>
        <x:v>0.7777777777777779</x:v>
      </x:c>
      <x:c r="U264" s="9" t="n">
        <x:f>IF(Y264="","",M264*$AD264/1000)</x:f>
        <x:v>749.78</x:v>
      </x:c>
      <x:c r="V264" s="9" t="n">
        <x:f>IF(Z264="","",N264*$AD264/1000)</x:f>
        <x:v>0.0425</x:v>
      </x:c>
      <x:c r="W264" s="9" t="n">
        <x:f>IF(AA264="","",O264*$AD264/1000)</x:f>
        <x:v>232960</x:v>
      </x:c>
      <x:c r="X264" s="9" t="n">
        <x:f>IF(AB264="","",P264*$AD264/1000)</x:f>
        <x:v>0.005600000000000001</x:v>
      </x:c>
      <x:c r="Y264" s="3" t="n">
        <x:v>32</x:v>
      </x:c>
      <x:c r="Z264" s="3" t="n">
        <x:v>126</x:v>
      </x:c>
      <x:c r="AA264" s="3" t="n">
        <x:v>186</x:v>
      </x:c>
      <x:c r="AB264" s="3" t="n">
        <x:v>209</x:v>
      </x:c>
      <x:c r="AC264" s="3" t="n">
        <x:v>4</x:v>
      </x:c>
      <x:c r="AD264" s="3" t="n">
        <x:f>'方案总览'!$B$5</x:f>
        <x:v>20</x:v>
      </x:c>
    </x:row>
    <x:row r="265" ht="24" customHeight="1">
      <x:c r="A265" s="3" t="str">
        <x:v>T260</x:v>
      </x:c>
      <x:c r="B265" s="3" t="str">
        <x:v>拟合</x:v>
      </x:c>
      <x:c r="C265" s="3" t="str">
        <x:v>C174</x:v>
      </x:c>
      <x:c r="D265" s="3" t="str"/>
      <x:c r="E265" s="3" t="str">
        <x:v>异戊酸乙酯（3-甲基丁酸乙酯）</x:v>
      </x:c>
      <x:c r="F265" s="3" t="str">
        <x:v>1-辛醇</x:v>
      </x:c>
      <x:c r="G265" s="3" t="str">
        <x:v>己酸乙酯</x:v>
      </x:c>
      <x:c r="H265" s="3" t="str">
        <x:v>β-大马酮</x:v>
      </x:c>
      <x:c r="I265" s="3" t="str">
        <x:v>L</x:v>
      </x:c>
      <x:c r="J265" s="3" t="str">
        <x:v>M</x:v>
      </x:c>
      <x:c r="K265" s="3" t="str">
        <x:v>H</x:v>
      </x:c>
      <x:c r="L265" s="3" t="str">
        <x:v>H</x:v>
      </x:c>
      <x:c r="M265" s="9" t="n">
        <x:f>IF(Y265="","",INDEX('浓度设置'!$P$6:$R$46,MATCH(Y265,'浓度设置'!$A$6:$A$46,0),IF(I265="L",1,IF(I265="M",2,3))))</x:f>
        <x:v>0.83</x:v>
      </x:c>
      <x:c r="N265" s="9" t="n">
        <x:f>IF(Z265="","",INDEX('浓度设置'!$P$6:$R$46,MATCH(Z265,'浓度设置'!$A$6:$A$46,0),IF(J265="L",1,IF(J265="M",2,3))))</x:f>
        <x:v>1232.25</x:v>
      </x:c>
      <x:c r="O265" s="9" t="n">
        <x:f>IF(AA265="","",INDEX('浓度设置'!$P$6:$R$46,MATCH(AA265,'浓度设置'!$A$6:$A$46,0),IF(K265="L",1,IF(K265="M",2,3))))</x:f>
        <x:v>9622120</x:v>
      </x:c>
      <x:c r="P265" s="9" t="n">
        <x:f>IF(AB265="","",INDEX('浓度设置'!$P$6:$R$46,MATCH(AB265,'浓度设置'!$A$6:$A$46,0),IF(L265="L",1,IF(L265="M",2,3))))</x:f>
        <x:v>60.76</x:v>
      </x:c>
      <x:c r="Q265" s="9" t="n">
        <x:f>IF(Y265="","",M265/INDEX('浓度设置'!$M$6:$M$46,MATCH(Y265,'浓度设置'!$A$6:$A$46,0)))</x:f>
        <x:v>0.1204644412191582</x:v>
      </x:c>
      <x:c r="R265" s="9" t="n">
        <x:f>IF(Z265="","",N265/INDEX('浓度设置'!$M$6:$M$46,MATCH(Z265,'浓度设置'!$A$6:$A$46,0)))</x:f>
        <x:v>1.1202272727272726</x:v>
      </x:c>
      <x:c r="S265" s="9" t="n">
        <x:f>IF(AA265="","",O265/INDEX('浓度设置'!$M$6:$M$46,MATCH(AA265,'浓度设置'!$A$6:$A$46,0)))</x:f>
        <x:v>173998.5533453888</x:v>
      </x:c>
      <x:c r="T265" s="9" t="n">
        <x:f>IF(AB265="","",P265/INDEX('浓度设置'!$M$6:$M$46,MATCH(AB265,'浓度设置'!$A$6:$A$46,0)))</x:f>
        <x:v>506.3333333333333</x:v>
      </x:c>
      <x:c r="U265" s="9" t="n">
        <x:f>IF(Y265="","",M265*$AD265/1000)</x:f>
        <x:v>0.016599999999999997</x:v>
      </x:c>
      <x:c r="V265" s="9" t="n">
        <x:f>IF(Z265="","",N265*$AD265/1000)</x:f>
        <x:v>24.645</x:v>
      </x:c>
      <x:c r="W265" s="9" t="n">
        <x:f>IF(AA265="","",O265*$AD265/1000)</x:f>
        <x:v>192442.4</x:v>
      </x:c>
      <x:c r="X265" s="9" t="n">
        <x:f>IF(AB265="","",P265*$AD265/1000)</x:f>
        <x:v>1.2152</x:v>
      </x:c>
      <x:c r="Y265" s="3" t="n">
        <x:v>69</x:v>
      </x:c>
      <x:c r="Z265" s="3" t="n">
        <x:v>90</x:v>
      </x:c>
      <x:c r="AA265" s="3" t="n">
        <x:v>111</x:v>
      </x:c>
      <x:c r="AB265" s="3" t="n">
        <x:v>255</x:v>
      </x:c>
      <x:c r="AC265" s="3" t="n">
        <x:v>4</x:v>
      </x:c>
      <x:c r="AD265" s="3" t="n">
        <x:f>'方案总览'!$B$5</x:f>
        <x:v>20</x:v>
      </x:c>
    </x:row>
    <x:row r="266" ht="24" customHeight="1">
      <x:c r="A266" s="3" t="str">
        <x:v>T261</x:v>
      </x:c>
      <x:c r="B266" s="3" t="str">
        <x:v>拟合</x:v>
      </x:c>
      <x:c r="C266" s="3" t="str">
        <x:v>C175</x:v>
      </x:c>
      <x:c r="D266" s="3" t="str"/>
      <x:c r="E266" s="3" t="str">
        <x:v>己醛</x:v>
      </x:c>
      <x:c r="F266" s="3" t="str">
        <x:v>2-甲基丙醛</x:v>
      </x:c>
      <x:c r="G266" s="3" t="str">
        <x:v>戊酸</x:v>
      </x:c>
      <x:c r="H266" s="3" t="str">
        <x:v>苯乙醛</x:v>
      </x:c>
      <x:c r="I266" s="3" t="str">
        <x:v>L</x:v>
      </x:c>
      <x:c r="J266" s="3" t="str">
        <x:v>M</x:v>
      </x:c>
      <x:c r="K266" s="3" t="str">
        <x:v>M</x:v>
      </x:c>
      <x:c r="L266" s="3" t="str">
        <x:v>H</x:v>
      </x:c>
      <x:c r="M266" s="9" t="n">
        <x:f>IF(Y266="","",INDEX('浓度设置'!$P$6:$R$46,MATCH(Y266,'浓度设置'!$A$6:$A$46,0),IF(I266="L",1,IF(I266="M",2,3))))</x:f>
        <x:v>173</x:v>
      </x:c>
      <x:c r="N266" s="9" t="n">
        <x:f>IF(Z266="","",INDEX('浓度设置'!$P$6:$R$46,MATCH(Z266,'浓度设置'!$A$6:$A$46,0),IF(J266="L",1,IF(J266="M",2,3))))</x:f>
        <x:v>1183.2582135780847</x:v>
      </x:c>
      <x:c r="O266" s="9" t="n">
        <x:f>IF(AA266="","",INDEX('浓度设置'!$P$6:$R$46,MATCH(AA266,'浓度设置'!$A$6:$A$46,0),IF(K266="L",1,IF(K266="M",2,3))))</x:f>
        <x:v>331.2476415010377</x:v>
      </x:c>
      <x:c r="P266" s="9" t="n">
        <x:f>IF(AB266="","",INDEX('浓度设置'!$P$6:$R$46,MATCH(AB266,'浓度设置'!$A$6:$A$46,0),IF(L266="L",1,IF(L266="M",2,3))))</x:f>
        <x:v>15730</x:v>
      </x:c>
      <x:c r="Q266" s="9" t="n">
        <x:f>IF(Y266="","",M266/INDEX('浓度设置'!$M$6:$M$46,MATCH(Y266,'浓度设置'!$A$6:$A$46,0)))</x:f>
        <x:v>6.784313725490196</x:v>
      </x:c>
      <x:c r="R266" s="9" t="n">
        <x:f>IF(Z266="","",N266/INDEX('浓度设置'!$M$6:$M$46,MATCH(Z266,'浓度设置'!$A$6:$A$46,0)))</x:f>
        <x:v>200.55223958950586</x:v>
      </x:c>
      <x:c r="S266" s="9" t="n">
        <x:f>IF(AA266="","",O266/INDEX('浓度设置'!$M$6:$M$46,MATCH(AA266,'浓度设置'!$A$6:$A$46,0)))</x:f>
        <x:v>0.8515363534731046</x:v>
      </x:c>
      <x:c r="T266" s="9" t="n">
        <x:f>IF(AB266="","",P266/INDEX('浓度设置'!$M$6:$M$46,MATCH(AB266,'浓度设置'!$A$6:$A$46,0)))</x:f>
        <x:v>60.038167938931295</x:v>
      </x:c>
      <x:c r="U266" s="9" t="n">
        <x:f>IF(Y266="","",M266*$AD266/1000)</x:f>
        <x:v>3.46</x:v>
      </x:c>
      <x:c r="V266" s="9" t="n">
        <x:f>IF(Z266="","",N266*$AD266/1000)</x:f>
        <x:v>23.665164271561693</x:v>
      </x:c>
      <x:c r="W266" s="9" t="n">
        <x:f>IF(AA266="","",O266*$AD266/1000)</x:f>
        <x:v>6.624952830020755</x:v>
      </x:c>
      <x:c r="X266" s="9" t="n">
        <x:f>IF(AB266="","",P266*$AD266/1000)</x:f>
        <x:v>314.6</x:v>
      </x:c>
      <x:c r="Y266" s="3" t="n">
        <x:v>7</x:v>
      </x:c>
      <x:c r="Z266" s="3" t="n">
        <x:v>18</x:v>
      </x:c>
      <x:c r="AA266" s="3" t="n">
        <x:v>75</x:v>
      </x:c>
      <x:c r="AB266" s="3" t="n">
        <x:v>105</x:v>
      </x:c>
      <x:c r="AC266" s="3" t="n">
        <x:v>4</x:v>
      </x:c>
      <x:c r="AD266" s="3" t="n">
        <x:f>'方案总览'!$B$5</x:f>
        <x:v>20</x:v>
      </x:c>
    </x:row>
    <x:row r="267" ht="24" customHeight="1">
      <x:c r="A267" s="3" t="str">
        <x:v>T262</x:v>
      </x:c>
      <x:c r="B267" s="3" t="str">
        <x:v>拟合</x:v>
      </x:c>
      <x:c r="C267" s="3" t="str">
        <x:v>C176</x:v>
      </x:c>
      <x:c r="D267" s="3" t="str"/>
      <x:c r="E267" s="3" t="str">
        <x:v>1-丁醇</x:v>
      </x:c>
      <x:c r="F267" s="3" t="str">
        <x:v>己酸丁酯</x:v>
      </x:c>
      <x:c r="G267" s="3" t="str">
        <x:v>2-甲基丁酸乙酯</x:v>
      </x:c>
      <x:c r="H267" s="3" t="str">
        <x:v>β-大马酮</x:v>
      </x:c>
      <x:c r="I267" s="3" t="str">
        <x:v>H</x:v>
      </x:c>
      <x:c r="J267" s="3" t="str">
        <x:v>M</x:v>
      </x:c>
      <x:c r="K267" s="3" t="str">
        <x:v>H</x:v>
      </x:c>
      <x:c r="L267" s="3" t="str">
        <x:v>L</x:v>
      </x:c>
      <x:c r="M267" s="9" t="n">
        <x:f>IF(Y267="","",INDEX('浓度设置'!$P$6:$R$46,MATCH(Y267,'浓度设置'!$A$6:$A$46,0),IF(I267="L",1,IF(I267="M",2,3))))</x:f>
        <x:v>1038900</x:v>
      </x:c>
      <x:c r="N267" s="9" t="n">
        <x:f>IF(Z267="","",INDEX('浓度设置'!$P$6:$R$46,MATCH(Z267,'浓度设置'!$A$6:$A$46,0),IF(J267="L",1,IF(J267="M",2,3))))</x:f>
        <x:v>823.735</x:v>
      </x:c>
      <x:c r="O267" s="9" t="n">
        <x:f>IF(AA267="","",INDEX('浓度设置'!$P$6:$R$46,MATCH(AA267,'浓度设置'!$A$6:$A$46,0),IF(K267="L",1,IF(K267="M",2,3))))</x:f>
        <x:v>1611</x:v>
      </x:c>
      <x:c r="P267" s="9" t="n">
        <x:f>IF(AB267="","",INDEX('浓度设置'!$P$6:$R$46,MATCH(AB267,'浓度设置'!$A$6:$A$46,0),IF(L267="L",1,IF(L267="M",2,3))))</x:f>
        <x:v>1.5</x:v>
      </x:c>
      <x:c r="Q267" s="9" t="n">
        <x:f>IF(Y267="","",M267/INDEX('浓度设置'!$M$6:$M$46,MATCH(Y267,'浓度设置'!$A$6:$A$46,0)))</x:f>
        <x:v>380.1317233809001</x:v>
      </x:c>
      <x:c r="R267" s="9" t="n">
        <x:f>IF(Z267="","",N267/INDEX('浓度设置'!$M$6:$M$46,MATCH(Z267,'浓度设置'!$A$6:$A$46,0)))</x:f>
        <x:v>1.2152351587395256</x:v>
      </x:c>
      <x:c r="S267" s="9" t="n">
        <x:f>IF(AA267="","",O267/INDEX('浓度设置'!$M$6:$M$46,MATCH(AA267,'浓度设置'!$A$6:$A$46,0)))</x:f>
        <x:v>89.5</x:v>
      </x:c>
      <x:c r="T267" s="9" t="n">
        <x:f>IF(AB267="","",P267/INDEX('浓度设置'!$M$6:$M$46,MATCH(AB267,'浓度设置'!$A$6:$A$46,0)))</x:f>
        <x:v>12.5</x:v>
      </x:c>
      <x:c r="U267" s="9" t="n">
        <x:f>IF(Y267="","",M267*$AD267/1000)</x:f>
        <x:v>20778</x:v>
      </x:c>
      <x:c r="V267" s="9" t="n">
        <x:f>IF(Z267="","",N267*$AD267/1000)</x:f>
        <x:v>16.474700000000002</x:v>
      </x:c>
      <x:c r="W267" s="9" t="n">
        <x:f>IF(AA267="","",O267*$AD267/1000)</x:f>
        <x:v>32.22</x:v>
      </x:c>
      <x:c r="X267" s="9" t="n">
        <x:f>IF(AB267="","",P267*$AD267/1000)</x:f>
        <x:v>0.03</x:v>
      </x:c>
      <x:c r="Y267" s="3" t="n">
        <x:v>11</x:v>
      </x:c>
      <x:c r="Z267" s="3" t="n">
        <x:v>165</x:v>
      </x:c>
      <x:c r="AA267" s="3" t="n">
        <x:v>232</x:v>
      </x:c>
      <x:c r="AB267" s="3" t="n">
        <x:v>255</x:v>
      </x:c>
      <x:c r="AC267" s="3" t="n">
        <x:v>4</x:v>
      </x:c>
      <x:c r="AD267" s="3" t="n">
        <x:f>'方案总览'!$B$5</x:f>
        <x:v>20</x:v>
      </x:c>
    </x:row>
    <x:row r="268" ht="24" customHeight="1">
      <x:c r="A268" s="3" t="str">
        <x:v>T263</x:v>
      </x:c>
      <x:c r="B268" s="3" t="str">
        <x:v>拟合</x:v>
      </x:c>
      <x:c r="C268" s="3" t="str">
        <x:v>C177</x:v>
      </x:c>
      <x:c r="D268" s="3" t="str"/>
      <x:c r="E268" s="3" t="str">
        <x:v>辛酸乙酯</x:v>
      </x:c>
      <x:c r="F268" s="3" t="str">
        <x:v>乙酸丁酯</x:v>
      </x:c>
      <x:c r="G268" s="3" t="str">
        <x:v>戊酸乙酯</x:v>
      </x:c>
      <x:c r="H268" s="3" t="str">
        <x:v>己酸己酯</x:v>
      </x:c>
      <x:c r="I268" s="3" t="str">
        <x:v>H</x:v>
      </x:c>
      <x:c r="J268" s="3" t="str">
        <x:v>H</x:v>
      </x:c>
      <x:c r="K268" s="3" t="str">
        <x:v>M</x:v>
      </x:c>
      <x:c r="L268" s="3" t="str">
        <x:v>H</x:v>
      </x:c>
      <x:c r="M268" s="9" t="n">
        <x:f>IF(Y268="","",INDEX('浓度设置'!$P$6:$R$46,MATCH(Y268,'浓度设置'!$A$6:$A$46,0),IF(I268="L",1,IF(I268="M",2,3))))</x:f>
        <x:v>1865945</x:v>
      </x:c>
      <x:c r="N268" s="9" t="n">
        <x:f>IF(Z268="","",INDEX('浓度设置'!$P$6:$R$46,MATCH(Z268,'浓度设置'!$A$6:$A$46,0),IF(J268="L",1,IF(J268="M",2,3))))</x:f>
        <x:v>47100</x:v>
      </x:c>
      <x:c r="O268" s="9" t="n">
        <x:f>IF(AA268="","",INDEX('浓度设置'!$P$6:$R$46,MATCH(AA268,'浓度设置'!$A$6:$A$46,0),IF(K268="L",1,IF(K268="M",2,3))))</x:f>
        <x:v>1512.497272724814</x:v>
      </x:c>
      <x:c r="P268" s="9" t="n">
        <x:f>IF(AB268="","",INDEX('浓度设置'!$P$6:$R$46,MATCH(AB268,'浓度设置'!$A$6:$A$46,0),IF(L268="L",1,IF(L268="M",2,3))))</x:f>
        <x:v>193759</x:v>
      </x:c>
      <x:c r="Q268" s="9" t="n">
        <x:f>IF(Y268="","",M268/INDEX('浓度设置'!$M$6:$M$46,MATCH(Y268,'浓度设置'!$A$6:$A$46,0)))</x:f>
        <x:v>144646.8992248062</x:v>
      </x:c>
      <x:c r="R268" s="9" t="n">
        <x:f>IF(Z268="","",N268/INDEX('浓度设置'!$M$6:$M$46,MATCH(Z268,'浓度设置'!$A$6:$A$46,0)))</x:f>
        <x:v>26.166666666666668</x:v>
      </x:c>
      <x:c r="S268" s="9" t="n">
        <x:f>IF(AA268="","",O268/INDEX('浓度设置'!$M$6:$M$46,MATCH(AA268,'浓度设置'!$A$6:$A$46,0)))</x:f>
        <x:v>56.43646540017962</x:v>
      </x:c>
      <x:c r="T268" s="9" t="n">
        <x:f>IF(AB268="","",P268/INDEX('浓度设置'!$M$6:$M$46,MATCH(AB268,'浓度设置'!$A$6:$A$46,0)))</x:f>
        <x:v>102.46377578001058</x:v>
      </x:c>
      <x:c r="U268" s="9" t="n">
        <x:f>IF(Y268="","",M268*$AD268/1000)</x:f>
        <x:v>37318.9</x:v>
      </x:c>
      <x:c r="V268" s="9" t="n">
        <x:f>IF(Z268="","",N268*$AD268/1000)</x:f>
        <x:v>942</x:v>
      </x:c>
      <x:c r="W268" s="9" t="n">
        <x:f>IF(AA268="","",O268*$AD268/1000)</x:f>
        <x:v>30.249945454496277</x:v>
      </x:c>
      <x:c r="X268" s="9" t="n">
        <x:f>IF(AB268="","",P268*$AD268/1000)</x:f>
        <x:v>3875.18</x:v>
      </x:c>
      <x:c r="Y268" s="3" t="n">
        <x:v>58</x:v>
      </x:c>
      <x:c r="Z268" s="3" t="n">
        <x:v>114</x:v>
      </x:c>
      <x:c r="AA268" s="3" t="n">
        <x:v>141</x:v>
      </x:c>
      <x:c r="AB268" s="3" t="n">
        <x:v>227</x:v>
      </x:c>
      <x:c r="AC268" s="3" t="n">
        <x:v>4</x:v>
      </x:c>
      <x:c r="AD268" s="3" t="n">
        <x:f>'方案总览'!$B$5</x:f>
        <x:v>20</x:v>
      </x:c>
    </x:row>
    <x:row r="269" ht="24" customHeight="1">
      <x:c r="A269" s="3" t="str">
        <x:v>T264</x:v>
      </x:c>
      <x:c r="B269" s="3" t="str">
        <x:v>拟合</x:v>
      </x:c>
      <x:c r="C269" s="3" t="str">
        <x:v>C178</x:v>
      </x:c>
      <x:c r="D269" s="3" t="str"/>
      <x:c r="E269" s="3" t="str">
        <x:v>苯乙酸乙酯</x:v>
      </x:c>
      <x:c r="F269" s="3" t="str">
        <x:v>丁酸异戊酯</x:v>
      </x:c>
      <x:c r="G269" s="3" t="str">
        <x:v>对甲酚</x:v>
      </x:c>
      <x:c r="H269" s="3" t="str">
        <x:v>二甲基三硫醚</x:v>
      </x:c>
      <x:c r="I269" s="3" t="str">
        <x:v>M</x:v>
      </x:c>
      <x:c r="J269" s="3" t="str">
        <x:v>M</x:v>
      </x:c>
      <x:c r="K269" s="3" t="str">
        <x:v>H</x:v>
      </x:c>
      <x:c r="L269" s="3" t="str">
        <x:v>H</x:v>
      </x:c>
      <x:c r="M269" s="9" t="n">
        <x:f>IF(Y269="","",INDEX('浓度设置'!$P$6:$R$46,MATCH(Y269,'浓度设置'!$A$6:$A$46,0),IF(I269="L",1,IF(I269="M",2,3))))</x:f>
        <x:v>200.3122562401013</x:v>
      </x:c>
      <x:c r="N269" s="9" t="n">
        <x:f>IF(Z269="","",INDEX('浓度设置'!$P$6:$R$46,MATCH(Z269,'浓度设置'!$A$6:$A$46,0),IF(J269="L",1,IF(J269="M",2,3))))</x:f>
        <x:v>1041.8500000000001</x:v>
      </x:c>
      <x:c r="O269" s="9" t="n">
        <x:f>IF(AA269="","",INDEX('浓度设置'!$P$6:$R$46,MATCH(AA269,'浓度设置'!$A$6:$A$46,0),IF(K269="L",1,IF(K269="M",2,3))))</x:f>
        <x:v>6914</x:v>
      </x:c>
      <x:c r="P269" s="9" t="n">
        <x:f>IF(AB269="","",INDEX('浓度设置'!$P$6:$R$46,MATCH(AB269,'浓度设置'!$A$6:$A$46,0),IF(L269="L",1,IF(L269="M",2,3))))</x:f>
        <x:v>4201.44</x:v>
      </x:c>
      <x:c r="Q269" s="9" t="n">
        <x:f>IF(Y269="","",M269/INDEX('浓度设置'!$M$6:$M$46,MATCH(Y269,'浓度设置'!$A$6:$A$46,0)))</x:f>
        <x:v>0.49216770574963464</x:v>
      </x:c>
      <x:c r="R269" s="9" t="n">
        <x:f>IF(Z269="","",N269/INDEX('浓度设置'!$M$6:$M$46,MATCH(Z269,'浓度设置'!$A$6:$A$46,0)))</x:f>
        <x:v>1.1386338797814208</x:v>
      </x:c>
      <x:c r="S269" s="9" t="n">
        <x:f>IF(AA269="","",O269/INDEX('浓度设置'!$M$6:$M$46,MATCH(AA269,'浓度设置'!$A$6:$A$46,0)))</x:f>
        <x:v>41.40119760479042</x:v>
      </x:c>
      <x:c r="T269" s="9" t="n">
        <x:f>IF(AB269="","",P269/INDEX('浓度设置'!$M$6:$M$46,MATCH(AB269,'浓度设置'!$A$6:$A$46,0)))</x:f>
        <x:v>11670.666666666666</x:v>
      </x:c>
      <x:c r="U269" s="9" t="n">
        <x:f>IF(Y269="","",M269*$AD269/1000)</x:f>
        <x:v>4.006245124802026</x:v>
      </x:c>
      <x:c r="V269" s="9" t="n">
        <x:f>IF(Z269="","",N269*$AD269/1000)</x:f>
        <x:v>20.837000000000003</x:v>
      </x:c>
      <x:c r="W269" s="9" t="n">
        <x:f>IF(AA269="","",O269*$AD269/1000)</x:f>
        <x:v>138.28</x:v>
      </x:c>
      <x:c r="X269" s="9" t="n">
        <x:f>IF(AB269="","",P269*$AD269/1000)</x:f>
        <x:v>84.02879999999999</x:v>
      </x:c>
      <x:c r="Y269" s="3" t="n">
        <x:v>40</x:v>
      </x:c>
      <x:c r="Z269" s="3" t="n">
        <x:v>56</x:v>
      </x:c>
      <x:c r="AA269" s="3" t="n">
        <x:v>61</x:v>
      </x:c>
      <x:c r="AB269" s="3" t="n">
        <x:v>209</x:v>
      </x:c>
      <x:c r="AC269" s="3" t="n">
        <x:v>4</x:v>
      </x:c>
      <x:c r="AD269" s="3" t="n">
        <x:f>'方案总览'!$B$5</x:f>
        <x:v>20</x:v>
      </x:c>
    </x:row>
    <x:row r="270" ht="24" customHeight="1">
      <x:c r="A270" s="3" t="str">
        <x:v>T265</x:v>
      </x:c>
      <x:c r="B270" s="3" t="str">
        <x:v>拟合</x:v>
      </x:c>
      <x:c r="C270" s="3" t="str">
        <x:v>C179</x:v>
      </x:c>
      <x:c r="D270" s="3" t="str"/>
      <x:c r="E270" s="3" t="str">
        <x:v>丁酸乙酯</x:v>
      </x:c>
      <x:c r="F270" s="3" t="str">
        <x:v>乙酸异戊酯</x:v>
      </x:c>
      <x:c r="G270" s="3" t="str">
        <x:v>异戊酸/3-甲基丁酸</x:v>
      </x:c>
      <x:c r="H270" s="3" t="str">
        <x:v>1-辛烯-3-醇</x:v>
      </x:c>
      <x:c r="I270" s="3" t="str">
        <x:v>M</x:v>
      </x:c>
      <x:c r="J270" s="3" t="str">
        <x:v>H</x:v>
      </x:c>
      <x:c r="K270" s="3" t="str">
        <x:v>L</x:v>
      </x:c>
      <x:c r="L270" s="3" t="str">
        <x:v>M</x:v>
      </x:c>
      <x:c r="M270" s="9" t="n">
        <x:f>IF(Y270="","",INDEX('浓度设置'!$P$6:$R$46,MATCH(Y270,'浓度设置'!$A$6:$A$46,0),IF(I270="L",1,IF(I270="M",2,3))))</x:f>
        <x:v>2338.9306103431118</x:v>
      </x:c>
      <x:c r="N270" s="9" t="n">
        <x:f>IF(Z270="","",INDEX('浓度设置'!$P$6:$R$46,MATCH(Z270,'浓度设置'!$A$6:$A$46,0),IF(J270="L",1,IF(J270="M",2,3))))</x:f>
        <x:v>6516</x:v>
      </x:c>
      <x:c r="O270" s="9" t="n">
        <x:f>IF(AA270="","",INDEX('浓度设置'!$P$6:$R$46,MATCH(AA270,'浓度设置'!$A$6:$A$46,0),IF(K270="L",1,IF(K270="M",2,3))))</x:f>
        <x:v>1.1875</x:v>
      </x:c>
      <x:c r="P270" s="9" t="n">
        <x:f>IF(AB270="","",INDEX('浓度设置'!$P$6:$R$46,MATCH(AB270,'浓度设置'!$A$6:$A$46,0),IF(L270="L",1,IF(L270="M",2,3))))</x:f>
        <x:v>16.47573974060042</x:v>
      </x:c>
      <x:c r="Q270" s="9" t="n">
        <x:f>IF(Y270="","",M270/INDEX('浓度设置'!$M$6:$M$46,MATCH(Y270,'浓度设置'!$A$6:$A$46,0)))</x:f>
        <x:v>28.6985350962345</x:v>
      </x:c>
      <x:c r="R270" s="9" t="n">
        <x:f>IF(Z270="","",N270/INDEX('浓度设置'!$M$6:$M$46,MATCH(Z270,'浓度设置'!$A$6:$A$46,0)))</x:f>
        <x:v>69.39297124600638</x:v>
      </x:c>
      <x:c r="S270" s="9" t="n">
        <x:f>IF(AA270="","",O270/INDEX('浓度设置'!$M$6:$M$46,MATCH(AA270,'浓度设置'!$A$6:$A$46,0)))</x:f>
        <x:v>0.001130952380952381</x:v>
      </x:c>
      <x:c r="T270" s="9" t="n">
        <x:f>IF(AB270="","",P270/INDEX('浓度设置'!$M$6:$M$46,MATCH(AB270,'浓度设置'!$A$6:$A$46,0)))</x:f>
        <x:v>2.692114336699415</x:v>
      </x:c>
      <x:c r="U270" s="9" t="n">
        <x:f>IF(Y270="","",M270*$AD270/1000)</x:f>
        <x:v>46.778612206862235</x:v>
      </x:c>
      <x:c r="V270" s="9" t="n">
        <x:f>IF(Z270="","",N270*$AD270/1000)</x:f>
        <x:v>130.32</x:v>
      </x:c>
      <x:c r="W270" s="9" t="n">
        <x:f>IF(AA270="","",O270*$AD270/1000)</x:f>
        <x:v>0.02375</x:v>
      </x:c>
      <x:c r="X270" s="9" t="n">
        <x:f>IF(AB270="","",P270*$AD270/1000)</x:f>
        <x:v>0.3295147948120084</x:v>
      </x:c>
      <x:c r="Y270" s="3" t="n">
        <x:v>52</x:v>
      </x:c>
      <x:c r="Z270" s="3" t="n">
        <x:v>115</x:v>
      </x:c>
      <x:c r="AA270" s="3" t="n">
        <x:v>136</x:v>
      </x:c>
      <x:c r="AB270" s="3" t="n">
        <x:v>207</x:v>
      </x:c>
      <x:c r="AC270" s="3" t="n">
        <x:v>4</x:v>
      </x:c>
      <x:c r="AD270" s="3" t="n">
        <x:f>'方案总览'!$B$5</x:f>
        <x:v>20</x:v>
      </x:c>
    </x:row>
    <x:row r="271" ht="24" customHeight="1">
      <x:c r="A271" s="3" t="str">
        <x:v>T266</x:v>
      </x:c>
      <x:c r="B271" s="3" t="str">
        <x:v>拟合</x:v>
      </x:c>
      <x:c r="C271" s="3" t="str">
        <x:v>C180</x:v>
      </x:c>
      <x:c r="D271" s="3" t="str"/>
      <x:c r="E271" s="3" t="str">
        <x:v>乙醛二乙缩醛</x:v>
      </x:c>
      <x:c r="F271" s="3" t="str">
        <x:v>癸酸乙酯</x:v>
      </x:c>
      <x:c r="G271" s="3" t="str">
        <x:v>辛酸</x:v>
      </x:c>
      <x:c r="H271" s="3" t="str">
        <x:v>3-苯基丙酸乙酯</x:v>
      </x:c>
      <x:c r="I271" s="3" t="str">
        <x:v>H</x:v>
      </x:c>
      <x:c r="J271" s="3" t="str">
        <x:v>M</x:v>
      </x:c>
      <x:c r="K271" s="3" t="str">
        <x:v>H</x:v>
      </x:c>
      <x:c r="L271" s="3" t="str">
        <x:v>M</x:v>
      </x:c>
      <x:c r="M271" s="9" t="n">
        <x:f>IF(Y271="","",INDEX('浓度设置'!$P$6:$R$46,MATCH(Y271,'浓度设置'!$A$6:$A$46,0),IF(I271="L",1,IF(I271="M",2,3))))</x:f>
        <x:v>784300</x:v>
      </x:c>
      <x:c r="N271" s="9" t="n">
        <x:f>IF(Z271="","",INDEX('浓度设置'!$P$6:$R$46,MATCH(Z271,'浓度设置'!$A$6:$A$46,0),IF(J271="L",1,IF(J271="M",2,3))))</x:f>
        <x:v>1288.255</x:v>
      </x:c>
      <x:c r="O271" s="9" t="n">
        <x:f>IF(AA271="","",INDEX('浓度设置'!$P$6:$R$46,MATCH(AA271,'浓度设置'!$A$6:$A$46,0),IF(K271="L",1,IF(K271="M",2,3))))</x:f>
        <x:v>40201.1</x:v>
      </x:c>
      <x:c r="P271" s="9" t="n">
        <x:f>IF(AB271="","",INDEX('浓度设置'!$P$6:$R$46,MATCH(AB271,'浓度设置'!$A$6:$A$46,0),IF(L271="L",1,IF(L271="M",2,3))))</x:f>
        <x:v>4262.731518639193</x:v>
      </x:c>
      <x:c r="Q271" s="9" t="n">
        <x:f>IF(Y271="","",M271/INDEX('浓度设置'!$M$6:$M$46,MATCH(Y271,'浓度设置'!$A$6:$A$46,0)))</x:f>
        <x:v>375.2631578947368</x:v>
      </x:c>
      <x:c r="R271" s="9" t="n">
        <x:f>IF(Z271="","",N271/INDEX('浓度设置'!$M$6:$M$46,MATCH(Z271,'浓度设置'!$A$6:$A$46,0)))</x:f>
        <x:v>1.1502276785714287</x:v>
      </x:c>
      <x:c r="S271" s="9" t="n">
        <x:f>IF(AA271="","",O271/INDEX('浓度设置'!$M$6:$M$46,MATCH(AA271,'浓度设置'!$A$6:$A$46,0)))</x:f>
        <x:v>14.889296296296296</x:v>
      </x:c>
      <x:c r="T271" s="9" t="n">
        <x:f>IF(AB271="","",P271/INDEX('浓度设置'!$M$6:$M$46,MATCH(AB271,'浓度设置'!$A$6:$A$46,0)))</x:f>
        <x:v>34.10185214911355</x:v>
      </x:c>
      <x:c r="U271" s="9" t="n">
        <x:f>IF(Y271="","",M271*$AD271/1000)</x:f>
        <x:v>15686</x:v>
      </x:c>
      <x:c r="V271" s="9" t="n">
        <x:f>IF(Z271="","",N271*$AD271/1000)</x:f>
        <x:v>25.765100000000004</x:v>
      </x:c>
      <x:c r="W271" s="9" t="n">
        <x:f>IF(AA271="","",O271*$AD271/1000)</x:f>
        <x:v>804.022</x:v>
      </x:c>
      <x:c r="X271" s="9" t="n">
        <x:f>IF(AB271="","",P271*$AD271/1000)</x:f>
        <x:v>85.25463037278386</x:v>
      </x:c>
      <x:c r="Y271" s="3" t="n">
        <x:v>53</x:v>
      </x:c>
      <x:c r="Z271" s="3" t="n">
        <x:v>79</x:v>
      </x:c>
      <x:c r="AA271" s="3" t="n">
        <x:v>117</x:v>
      </x:c>
      <x:c r="AB271" s="3" t="n">
        <x:v>186</x:v>
      </x:c>
      <x:c r="AC271" s="3" t="n">
        <x:v>4</x:v>
      </x:c>
      <x:c r="AD271" s="3" t="n">
        <x:f>'方案总览'!$B$5</x:f>
        <x:v>20</x:v>
      </x:c>
    </x:row>
    <x:row r="272" ht="24" customHeight="1">
      <x:c r="A272" s="3" t="str">
        <x:v>T267</x:v>
      </x:c>
      <x:c r="B272" s="3" t="str">
        <x:v>拟合</x:v>
      </x:c>
      <x:c r="C272" s="3" t="str">
        <x:v>C181</x:v>
      </x:c>
      <x:c r="D272" s="3" t="str"/>
      <x:c r="E272" s="3" t="str">
        <x:v>辛酸乙酯</x:v>
      </x:c>
      <x:c r="F272" s="3" t="str">
        <x:v>异戊酸乙酯（3-甲基丁酸乙酯）</x:v>
      </x:c>
      <x:c r="G272" s="3" t="str">
        <x:v>异戊酸/3-甲基丁酸</x:v>
      </x:c>
      <x:c r="H272" s="3" t="str">
        <x:v>异戊醛</x:v>
      </x:c>
      <x:c r="I272" s="3" t="str">
        <x:v>M</x:v>
      </x:c>
      <x:c r="J272" s="3" t="str">
        <x:v>M</x:v>
      </x:c>
      <x:c r="K272" s="3" t="str">
        <x:v>L</x:v>
      </x:c>
      <x:c r="L272" s="3" t="str">
        <x:v>L</x:v>
      </x:c>
      <x:c r="M272" s="9" t="n">
        <x:f>IF(Y272="","",INDEX('浓度设置'!$P$6:$R$46,MATCH(Y272,'浓度设置'!$A$6:$A$46,0),IF(I272="L",1,IF(I272="M",2,3))))</x:f>
        <x:v>3072.731960324558</x:v>
      </x:c>
      <x:c r="N272" s="9" t="n">
        <x:f>IF(Z272="","",INDEX('浓度设置'!$P$6:$R$46,MATCH(Z272,'浓度设置'!$A$6:$A$46,0),IF(J272="L",1,IF(J272="M",2,3))))</x:f>
        <x:v>99.89207175747232</x:v>
      </x:c>
      <x:c r="O272" s="9" t="n">
        <x:f>IF(AA272="","",INDEX('浓度设置'!$P$6:$R$46,MATCH(AA272,'浓度设置'!$A$6:$A$46,0),IF(K272="L",1,IF(K272="M",2,3))))</x:f>
        <x:v>1.1875</x:v>
      </x:c>
      <x:c r="P272" s="9" t="n">
        <x:f>IF(AB272="","",INDEX('浓度设置'!$P$6:$R$46,MATCH(AB272,'浓度设置'!$A$6:$A$46,0),IF(L272="L",1,IF(L272="M",2,3))))</x:f>
        <x:v>4.84</x:v>
      </x:c>
      <x:c r="Q272" s="9" t="n">
        <x:f>IF(Y272="","",M272/INDEX('浓度设置'!$M$6:$M$46,MATCH(Y272,'浓度设置'!$A$6:$A$46,0)))</x:f>
        <x:v>238.19627599415176</x:v>
      </x:c>
      <x:c r="R272" s="9" t="n">
        <x:f>IF(Z272="","",N272/INDEX('浓度设置'!$M$6:$M$46,MATCH(Z272,'浓度设置'!$A$6:$A$46,0)))</x:f>
        <x:v>14.49812362227465</x:v>
      </x:c>
      <x:c r="S272" s="9" t="n">
        <x:f>IF(AA272="","",O272/INDEX('浓度设置'!$M$6:$M$46,MATCH(AA272,'浓度设置'!$A$6:$A$46,0)))</x:f>
        <x:v>0.001130952380952381</x:v>
      </x:c>
      <x:c r="T272" s="9" t="n">
        <x:f>IF(AB272="","",P272/INDEX('浓度设置'!$M$6:$M$46,MATCH(AB272,'浓度设置'!$A$6:$A$46,0)))</x:f>
        <x:v>0.29333333333333333</x:v>
      </x:c>
      <x:c r="U272" s="9" t="n">
        <x:f>IF(Y272="","",M272*$AD272/1000)</x:f>
        <x:v>61.45463920649116</x:v>
      </x:c>
      <x:c r="V272" s="9" t="n">
        <x:f>IF(Z272="","",N272*$AD272/1000)</x:f>
        <x:v>1.9978414351494465</x:v>
      </x:c>
      <x:c r="W272" s="9" t="n">
        <x:f>IF(AA272="","",O272*$AD272/1000)</x:f>
        <x:v>0.02375</x:v>
      </x:c>
      <x:c r="X272" s="9" t="n">
        <x:f>IF(AB272="","",P272*$AD272/1000)</x:f>
        <x:v>0.0968</x:v>
      </x:c>
      <x:c r="Y272" s="3" t="n">
        <x:v>58</x:v>
      </x:c>
      <x:c r="Z272" s="3" t="n">
        <x:v>69</x:v>
      </x:c>
      <x:c r="AA272" s="3" t="n">
        <x:v>136</x:v>
      </x:c>
      <x:c r="AB272" s="3" t="n">
        <x:v>152</x:v>
      </x:c>
      <x:c r="AC272" s="3" t="n">
        <x:v>4</x:v>
      </x:c>
      <x:c r="AD272" s="3" t="n">
        <x:f>'方案总览'!$B$5</x:f>
        <x:v>20</x:v>
      </x:c>
    </x:row>
    <x:row r="273" ht="24" customHeight="1">
      <x:c r="A273" s="3" t="str">
        <x:v>T268</x:v>
      </x:c>
      <x:c r="B273" s="3" t="str">
        <x:v>拟合</x:v>
      </x:c>
      <x:c r="C273" s="3" t="str">
        <x:v>C182</x:v>
      </x:c>
      <x:c r="D273" s="3" t="str"/>
      <x:c r="E273" s="3" t="str">
        <x:v>苯乙酸乙酯</x:v>
      </x:c>
      <x:c r="F273" s="3" t="str">
        <x:v>乙醛二乙缩醛</x:v>
      </x:c>
      <x:c r="G273" s="3" t="str">
        <x:v>戊酸乙酯</x:v>
      </x:c>
      <x:c r="H273" s="3" t="str">
        <x:v>己酸丁酯</x:v>
      </x:c>
      <x:c r="I273" s="3" t="str">
        <x:v>H</x:v>
      </x:c>
      <x:c r="J273" s="3" t="str">
        <x:v>H</x:v>
      </x:c>
      <x:c r="K273" s="3" t="str">
        <x:v>M</x:v>
      </x:c>
      <x:c r="L273" s="3" t="str">
        <x:v>H</x:v>
      </x:c>
      <x:c r="M273" s="9" t="n">
        <x:f>IF(Y273="","",INDEX('浓度设置'!$P$6:$R$46,MATCH(Y273,'浓度设置'!$A$6:$A$46,0),IF(I273="L",1,IF(I273="M",2,3))))</x:f>
        <x:v>21400</x:v>
      </x:c>
      <x:c r="N273" s="9" t="n">
        <x:f>IF(Z273="","",INDEX('浓度设置'!$P$6:$R$46,MATCH(Z273,'浓度设置'!$A$6:$A$46,0),IF(J273="L",1,IF(J273="M",2,3))))</x:f>
        <x:v>784300</x:v>
      </x:c>
      <x:c r="O273" s="9" t="n">
        <x:f>IF(AA273="","",INDEX('浓度设置'!$P$6:$R$46,MATCH(AA273,'浓度设置'!$A$6:$A$46,0),IF(K273="L",1,IF(K273="M",2,3))))</x:f>
        <x:v>1512.497272724814</x:v>
      </x:c>
      <x:c r="P273" s="9" t="n">
        <x:f>IF(AB273="","",INDEX('浓度设置'!$P$6:$R$46,MATCH(AB273,'浓度设置'!$A$6:$A$46,0),IF(L273="L",1,IF(L273="M",2,3))))</x:f>
        <x:v>86300</x:v>
      </x:c>
      <x:c r="Q273" s="9" t="n">
        <x:f>IF(Y273="","",M273/INDEX('浓度设置'!$M$6:$M$46,MATCH(Y273,'浓度设置'!$A$6:$A$46,0)))</x:f>
        <x:v>52.57985257985258</x:v>
      </x:c>
      <x:c r="R273" s="9" t="n">
        <x:f>IF(Z273="","",N273/INDEX('浓度设置'!$M$6:$M$46,MATCH(Z273,'浓度设置'!$A$6:$A$46,0)))</x:f>
        <x:v>375.2631578947368</x:v>
      </x:c>
      <x:c r="S273" s="9" t="n">
        <x:f>IF(AA273="","",O273/INDEX('浓度设置'!$M$6:$M$46,MATCH(AA273,'浓度设置'!$A$6:$A$46,0)))</x:f>
        <x:v>56.43646540017962</x:v>
      </x:c>
      <x:c r="T273" s="9" t="n">
        <x:f>IF(AB273="","",P273/INDEX('浓度设置'!$M$6:$M$46,MATCH(AB273,'浓度设置'!$A$6:$A$46,0)))</x:f>
        <x:v>127.31618080963058</x:v>
      </x:c>
      <x:c r="U273" s="9" t="n">
        <x:f>IF(Y273="","",M273*$AD273/1000)</x:f>
        <x:v>428</x:v>
      </x:c>
      <x:c r="V273" s="9" t="n">
        <x:f>IF(Z273="","",N273*$AD273/1000)</x:f>
        <x:v>15686</x:v>
      </x:c>
      <x:c r="W273" s="9" t="n">
        <x:f>IF(AA273="","",O273*$AD273/1000)</x:f>
        <x:v>30.249945454496277</x:v>
      </x:c>
      <x:c r="X273" s="9" t="n">
        <x:f>IF(AB273="","",P273*$AD273/1000)</x:f>
        <x:v>1726</x:v>
      </x:c>
      <x:c r="Y273" s="3" t="n">
        <x:v>40</x:v>
      </x:c>
      <x:c r="Z273" s="3" t="n">
        <x:v>53</x:v>
      </x:c>
      <x:c r="AA273" s="3" t="n">
        <x:v>141</x:v>
      </x:c>
      <x:c r="AB273" s="3" t="n">
        <x:v>165</x:v>
      </x:c>
      <x:c r="AC273" s="3" t="n">
        <x:v>4</x:v>
      </x:c>
      <x:c r="AD273" s="3" t="n">
        <x:f>'方案总览'!$B$5</x:f>
        <x:v>20</x:v>
      </x:c>
    </x:row>
    <x:row r="274" ht="24" customHeight="1">
      <x:c r="A274" s="3" t="str">
        <x:v>T269</x:v>
      </x:c>
      <x:c r="B274" s="3" t="str">
        <x:v>拟合</x:v>
      </x:c>
      <x:c r="C274" s="3" t="str">
        <x:v>C183</x:v>
      </x:c>
      <x:c r="D274" s="3" t="str"/>
      <x:c r="E274" s="3" t="str">
        <x:v>异丁酸乙酯</x:v>
      </x:c>
      <x:c r="F274" s="3" t="str">
        <x:v>丁酸异戊酯</x:v>
      </x:c>
      <x:c r="G274" s="3" t="str">
        <x:v>戊酸</x:v>
      </x:c>
      <x:c r="H274" s="3" t="str">
        <x:v>1-辛烯-3-醇</x:v>
      </x:c>
      <x:c r="I274" s="3" t="str">
        <x:v>M</x:v>
      </x:c>
      <x:c r="J274" s="3" t="str">
        <x:v>H</x:v>
      </x:c>
      <x:c r="K274" s="3" t="str">
        <x:v>H</x:v>
      </x:c>
      <x:c r="L274" s="3" t="str">
        <x:v>L</x:v>
      </x:c>
      <x:c r="M274" s="9" t="n">
        <x:f>IF(Y274="","",INDEX('浓度设置'!$P$6:$R$46,MATCH(Y274,'浓度设置'!$A$6:$A$46,0),IF(I274="L",1,IF(I274="M",2,3))))</x:f>
        <x:v>836.8360173893091</x:v>
      </x:c>
      <x:c r="N274" s="9" t="n">
        <x:f>IF(Z274="","",INDEX('浓度设置'!$P$6:$R$46,MATCH(Z274,'浓度设置'!$A$6:$A$46,0),IF(J274="L",1,IF(J274="M",2,3))))</x:f>
        <x:v>4105</x:v>
      </x:c>
      <x:c r="O274" s="9" t="n">
        <x:f>IF(AA274="","",INDEX('浓度设置'!$P$6:$R$46,MATCH(AA274,'浓度设置'!$A$6:$A$46,0),IF(K274="L",1,IF(K274="M",2,3))))</x:f>
        <x:v>62700</x:v>
      </x:c>
      <x:c r="P274" s="9" t="n">
        <x:f>IF(AB274="","",INDEX('浓度设置'!$P$6:$R$46,MATCH(AB274,'浓度设置'!$A$6:$A$46,0),IF(L274="L",1,IF(L274="M",2,3))))</x:f>
        <x:v>1</x:v>
      </x:c>
      <x:c r="Q274" s="9" t="n">
        <x:f>IF(Y274="","",M274/INDEX('浓度设置'!$M$6:$M$46,MATCH(Y274,'浓度设置'!$A$6:$A$46,0)))</x:f>
        <x:v>14.553669867640158</x:v>
      </x:c>
      <x:c r="R274" s="9" t="n">
        <x:f>IF(Z274="","",N274/INDEX('浓度设置'!$M$6:$M$46,MATCH(Z274,'浓度设置'!$A$6:$A$46,0)))</x:f>
        <x:v>4.4863387978142075</x:v>
      </x:c>
      <x:c r="S274" s="9" t="n">
        <x:f>IF(AA274="","",O274/INDEX('浓度设置'!$M$6:$M$46,MATCH(AA274,'浓度设置'!$A$6:$A$46,0)))</x:f>
        <x:v>161.18251928020567</x:v>
      </x:c>
      <x:c r="T274" s="9" t="n">
        <x:f>IF(AB274="","",P274/INDEX('浓度设置'!$M$6:$M$46,MATCH(AB274,'浓度设置'!$A$6:$A$46,0)))</x:f>
        <x:v>0.16339869281045752</x:v>
      </x:c>
      <x:c r="U274" s="9" t="n">
        <x:f>IF(Y274="","",M274*$AD274/1000)</x:f>
        <x:v>16.736720347786182</x:v>
      </x:c>
      <x:c r="V274" s="9" t="n">
        <x:f>IF(Z274="","",N274*$AD274/1000)</x:f>
        <x:v>82.1</x:v>
      </x:c>
      <x:c r="W274" s="9" t="n">
        <x:f>IF(AA274="","",O274*$AD274/1000)</x:f>
        <x:v>1254</x:v>
      </x:c>
      <x:c r="X274" s="9" t="n">
        <x:f>IF(AB274="","",P274*$AD274/1000)</x:f>
        <x:v>0.02</x:v>
      </x:c>
      <x:c r="Y274" s="3" t="n">
        <x:v>32</x:v>
      </x:c>
      <x:c r="Z274" s="3" t="n">
        <x:v>56</x:v>
      </x:c>
      <x:c r="AA274" s="3" t="n">
        <x:v>75</x:v>
      </x:c>
      <x:c r="AB274" s="3" t="n">
        <x:v>207</x:v>
      </x:c>
      <x:c r="AC274" s="3" t="n">
        <x:v>4</x:v>
      </x:c>
      <x:c r="AD274" s="3" t="n">
        <x:f>'方案总览'!$B$5</x:f>
        <x:v>20</x:v>
      </x:c>
    </x:row>
    <x:row r="275" ht="24" customHeight="1">
      <x:c r="A275" s="3" t="str">
        <x:v>T270</x:v>
      </x:c>
      <x:c r="B275" s="3" t="str">
        <x:v>拟合</x:v>
      </x:c>
      <x:c r="C275" s="3" t="str">
        <x:v>C184</x:v>
      </x:c>
      <x:c r="D275" s="3" t="str"/>
      <x:c r="E275" s="3" t="str">
        <x:v>己醛</x:v>
      </x:c>
      <x:c r="F275" s="3" t="str">
        <x:v>对甲酚</x:v>
      </x:c>
      <x:c r="G275" s="3" t="str">
        <x:v>乙酸丁酯</x:v>
      </x:c>
      <x:c r="H275" s="3" t="str">
        <x:v>己酸</x:v>
      </x:c>
      <x:c r="I275" s="3" t="str">
        <x:v>L</x:v>
      </x:c>
      <x:c r="J275" s="3" t="str">
        <x:v>M</x:v>
      </x:c>
      <x:c r="K275" s="3" t="str">
        <x:v>H</x:v>
      </x:c>
      <x:c r="L275" s="3" t="str">
        <x:v>L</x:v>
      </x:c>
      <x:c r="M275" s="9" t="n">
        <x:f>IF(Y275="","",INDEX('浓度设置'!$P$6:$R$46,MATCH(Y275,'浓度设置'!$A$6:$A$46,0),IF(I275="L",1,IF(I275="M",2,3))))</x:f>
        <x:v>173</x:v>
      </x:c>
      <x:c r="N275" s="9" t="n">
        <x:f>IF(Z275="","",INDEX('浓度设置'!$P$6:$R$46,MATCH(Z275,'浓度设置'!$A$6:$A$46,0),IF(J275="L",1,IF(J275="M",2,3))))</x:f>
        <x:v>59.381310191002015</x:v>
      </x:c>
      <x:c r="O275" s="9" t="n">
        <x:f>IF(AA275="","",INDEX('浓度设置'!$P$6:$R$46,MATCH(AA275,'浓度设置'!$A$6:$A$46,0),IF(K275="L",1,IF(K275="M",2,3))))</x:f>
        <x:v>47100</x:v>
      </x:c>
      <x:c r="P275" s="9" t="n">
        <x:f>IF(AB275="","",INDEX('浓度设置'!$P$6:$R$46,MATCH(AB275,'浓度设置'!$A$6:$A$46,0),IF(L275="L",1,IF(L275="M",2,3))))</x:f>
        <x:v>2.125</x:v>
      </x:c>
      <x:c r="Q275" s="9" t="n">
        <x:f>IF(Y275="","",M275/INDEX('浓度设置'!$M$6:$M$46,MATCH(Y275,'浓度设置'!$A$6:$A$46,0)))</x:f>
        <x:v>6.784313725490196</x:v>
      </x:c>
      <x:c r="R275" s="9" t="n">
        <x:f>IF(Z275="","",N275/INDEX('浓度设置'!$M$6:$M$46,MATCH(Z275,'浓度设置'!$A$6:$A$46,0)))</x:f>
        <x:v>0.355576707730551</x:v>
      </x:c>
      <x:c r="S275" s="9" t="n">
        <x:f>IF(AA275="","",O275/INDEX('浓度设置'!$M$6:$M$46,MATCH(AA275,'浓度设置'!$A$6:$A$46,0)))</x:f>
        <x:v>26.166666666666668</x:v>
      </x:c>
      <x:c r="T275" s="9" t="n">
        <x:f>IF(AB275="","",P275/INDEX('浓度设置'!$M$6:$M$46,MATCH(AB275,'浓度设置'!$A$6:$A$46,0)))</x:f>
        <x:v>0.0008432539682539683</x:v>
      </x:c>
      <x:c r="U275" s="9" t="n">
        <x:f>IF(Y275="","",M275*$AD275/1000)</x:f>
        <x:v>3.46</x:v>
      </x:c>
      <x:c r="V275" s="9" t="n">
        <x:f>IF(Z275="","",N275*$AD275/1000)</x:f>
        <x:v>1.1876262038200402</x:v>
      </x:c>
      <x:c r="W275" s="9" t="n">
        <x:f>IF(AA275="","",O275*$AD275/1000)</x:f>
        <x:v>942</x:v>
      </x:c>
      <x:c r="X275" s="9" t="n">
        <x:f>IF(AB275="","",P275*$AD275/1000)</x:f>
        <x:v>0.0425</x:v>
      </x:c>
      <x:c r="Y275" s="3" t="n">
        <x:v>7</x:v>
      </x:c>
      <x:c r="Z275" s="3" t="n">
        <x:v>61</x:v>
      </x:c>
      <x:c r="AA275" s="3" t="n">
        <x:v>114</x:v>
      </x:c>
      <x:c r="AB275" s="3" t="n">
        <x:v>126</x:v>
      </x:c>
      <x:c r="AC275" s="3" t="n">
        <x:v>4</x:v>
      </x:c>
      <x:c r="AD275" s="3" t="n">
        <x:f>'方案总览'!$B$5</x:f>
        <x:v>20</x:v>
      </x:c>
    </x:row>
    <x:row r="276" ht="24" customHeight="1">
      <x:c r="A276" s="3" t="str">
        <x:v>T271</x:v>
      </x:c>
      <x:c r="B276" s="3" t="str">
        <x:v>拟合</x:v>
      </x:c>
      <x:c r="C276" s="3" t="str">
        <x:v>C185</x:v>
      </x:c>
      <x:c r="D276" s="3" t="str"/>
      <x:c r="E276" s="3" t="str">
        <x:v>1-丁醇</x:v>
      </x:c>
      <x:c r="F276" s="3" t="str">
        <x:v>苯乙醛</x:v>
      </x:c>
      <x:c r="G276" s="3" t="str">
        <x:v>乙酸异戊酯</x:v>
      </x:c>
      <x:c r="H276" s="3" t="str">
        <x:v>二甲基三硫醚</x:v>
      </x:c>
      <x:c r="I276" s="3" t="str">
        <x:v>L</x:v>
      </x:c>
      <x:c r="J276" s="3" t="str">
        <x:v>M</x:v>
      </x:c>
      <x:c r="K276" s="3" t="str">
        <x:v>L</x:v>
      </x:c>
      <x:c r="L276" s="3" t="str">
        <x:v>L</x:v>
      </x:c>
      <x:c r="M276" s="9" t="n">
        <x:f>IF(Y276="","",INDEX('浓度设置'!$P$6:$R$46,MATCH(Y276,'浓度设置'!$A$6:$A$46,0),IF(I276="L",1,IF(I276="M",2,3))))</x:f>
        <x:v>16.97</x:v>
      </x:c>
      <x:c r="N276" s="9" t="n">
        <x:f>IF(Z276="","",INDEX('浓度设置'!$P$6:$R$46,MATCH(Z276,'浓度设置'!$A$6:$A$46,0),IF(J276="L",1,IF(J276="M",2,3))))</x:f>
        <x:v>28.044607324760317</x:v>
      </x:c>
      <x:c r="O276" s="9" t="n">
        <x:f>IF(AA276="","",INDEX('浓度设置'!$P$6:$R$46,MATCH(AA276,'浓度设置'!$A$6:$A$46,0),IF(K276="L",1,IF(K276="M",2,3))))</x:f>
        <x:v>1.44</x:v>
      </x:c>
      <x:c r="P276" s="9" t="n">
        <x:f>IF(AB276="","",INDEX('浓度设置'!$P$6:$R$46,MATCH(AB276,'浓度设置'!$A$6:$A$46,0),IF(L276="L",1,IF(L276="M",2,3))))</x:f>
        <x:v>0.28</x:v>
      </x:c>
      <x:c r="Q276" s="9" t="n">
        <x:f>IF(Y276="","",M276/INDEX('浓度设置'!$M$6:$M$46,MATCH(Y276,'浓度设置'!$A$6:$A$46,0)))</x:f>
        <x:v>0.006209293816319063</x:v>
      </x:c>
      <x:c r="R276" s="9" t="n">
        <x:f>IF(Z276="","",N276/INDEX('浓度设置'!$M$6:$M$46,MATCH(Z276,'浓度设置'!$A$6:$A$46,0)))</x:f>
        <x:v>0.10704048597236762</x:v>
      </x:c>
      <x:c r="S276" s="9" t="n">
        <x:f>IF(AA276="","",O276/INDEX('浓度设置'!$M$6:$M$46,MATCH(AA276,'浓度设置'!$A$6:$A$46,0)))</x:f>
        <x:v>0.015335463258785941</x:v>
      </x:c>
      <x:c r="T276" s="9" t="n">
        <x:f>IF(AB276="","",P276/INDEX('浓度设置'!$M$6:$M$46,MATCH(AB276,'浓度设置'!$A$6:$A$46,0)))</x:f>
        <x:v>0.7777777777777779</x:v>
      </x:c>
      <x:c r="U276" s="9" t="n">
        <x:f>IF(Y276="","",M276*$AD276/1000)</x:f>
        <x:v>0.3394</x:v>
      </x:c>
      <x:c r="V276" s="9" t="n">
        <x:f>IF(Z276="","",N276*$AD276/1000)</x:f>
        <x:v>0.5608921464952064</x:v>
      </x:c>
      <x:c r="W276" s="9" t="n">
        <x:f>IF(AA276="","",O276*$AD276/1000)</x:f>
        <x:v>0.028799999999999996</x:v>
      </x:c>
      <x:c r="X276" s="9" t="n">
        <x:f>IF(AB276="","",P276*$AD276/1000)</x:f>
        <x:v>0.005600000000000001</x:v>
      </x:c>
      <x:c r="Y276" s="3" t="n">
        <x:v>11</x:v>
      </x:c>
      <x:c r="Z276" s="3" t="n">
        <x:v>105</x:v>
      </x:c>
      <x:c r="AA276" s="3" t="n">
        <x:v>115</x:v>
      </x:c>
      <x:c r="AB276" s="3" t="n">
        <x:v>209</x:v>
      </x:c>
      <x:c r="AC276" s="3" t="n">
        <x:v>4</x:v>
      </x:c>
      <x:c r="AD276" s="3" t="n">
        <x:f>'方案总览'!$B$5</x:f>
        <x:v>20</x:v>
      </x:c>
    </x:row>
    <x:row r="277" ht="24" customHeight="1">
      <x:c r="A277" s="3" t="str">
        <x:v>T272</x:v>
      </x:c>
      <x:c r="B277" s="3" t="str">
        <x:v>拟合</x:v>
      </x:c>
      <x:c r="C277" s="3" t="str">
        <x:v>C186</x:v>
      </x:c>
      <x:c r="D277" s="3" t="str"/>
      <x:c r="E277" s="3" t="str">
        <x:v>2-甲基丙醛</x:v>
      </x:c>
      <x:c r="F277" s="3" t="str">
        <x:v>己酸乙酯</x:v>
      </x:c>
      <x:c r="G277" s="3" t="str">
        <x:v>异戊醛</x:v>
      </x:c>
      <x:c r="H277" s="3" t="str">
        <x:v>2-甲基丁酸乙酯</x:v>
      </x:c>
      <x:c r="I277" s="3" t="str">
        <x:v>L</x:v>
      </x:c>
      <x:c r="J277" s="3" t="str">
        <x:v>H</x:v>
      </x:c>
      <x:c r="K277" s="3" t="str">
        <x:v>M</x:v>
      </x:c>
      <x:c r="L277" s="3" t="str">
        <x:v>M</x:v>
      </x:c>
      <x:c r="M277" s="9" t="n">
        <x:f>IF(Y277="","",INDEX('浓度设置'!$P$6:$R$46,MATCH(Y277,'浓度设置'!$A$6:$A$46,0),IF(I277="L",1,IF(I277="M",2,3))))</x:f>
        <x:v>39</x:v>
      </x:c>
      <x:c r="N277" s="9" t="n">
        <x:f>IF(Z277="","",INDEX('浓度设置'!$P$6:$R$46,MATCH(Z277,'浓度设置'!$A$6:$A$46,0),IF(J277="L",1,IF(J277="M",2,3))))</x:f>
        <x:v>9622120</x:v>
      </x:c>
      <x:c r="O277" s="9" t="n">
        <x:f>IF(AA277="","",INDEX('浓度设置'!$P$6:$R$46,MATCH(AA277,'浓度设置'!$A$6:$A$46,0),IF(K277="L",1,IF(K277="M",2,3))))</x:f>
        <x:v>1048.6410253275426</x:v>
      </x:c>
      <x:c r="P277" s="9" t="n">
        <x:f>IF(AB277="","",INDEX('浓度设置'!$P$6:$R$46,MATCH(AB277,'浓度设置'!$A$6:$A$46,0),IF(L277="L",1,IF(L277="M",2,3))))</x:f>
        <x:v>39.53062104242735</x:v>
      </x:c>
      <x:c r="Q277" s="9" t="n">
        <x:f>IF(Y277="","",M277/INDEX('浓度设置'!$M$6:$M$46,MATCH(Y277,'浓度设置'!$A$6:$A$46,0)))</x:f>
        <x:v>6.610169491525423</x:v>
      </x:c>
      <x:c r="R277" s="9" t="n">
        <x:f>IF(Z277="","",N277/INDEX('浓度设置'!$M$6:$M$46,MATCH(Z277,'浓度设置'!$A$6:$A$46,0)))</x:f>
        <x:v>173998.5533453888</x:v>
      </x:c>
      <x:c r="S277" s="9" t="n">
        <x:f>IF(AA277="","",O277/INDEX('浓度设置'!$M$6:$M$46,MATCH(AA277,'浓度设置'!$A$6:$A$46,0)))</x:f>
        <x:v>63.554001535002584</x:v>
      </x:c>
      <x:c r="T277" s="9" t="n">
        <x:f>IF(AB277="","",P277/INDEX('浓度设置'!$M$6:$M$46,MATCH(AB277,'浓度设置'!$A$6:$A$46,0)))</x:f>
        <x:v>2.196145613468186</x:v>
      </x:c>
      <x:c r="U277" s="9" t="n">
        <x:f>IF(Y277="","",M277*$AD277/1000)</x:f>
        <x:v>0.78</x:v>
      </x:c>
      <x:c r="V277" s="9" t="n">
        <x:f>IF(Z277="","",N277*$AD277/1000)</x:f>
        <x:v>192442.4</x:v>
      </x:c>
      <x:c r="W277" s="9" t="n">
        <x:f>IF(AA277="","",O277*$AD277/1000)</x:f>
        <x:v>20.972820506550853</x:v>
      </x:c>
      <x:c r="X277" s="9" t="n">
        <x:f>IF(AB277="","",P277*$AD277/1000)</x:f>
        <x:v>0.790612420848547</x:v>
      </x:c>
      <x:c r="Y277" s="3" t="n">
        <x:v>18</x:v>
      </x:c>
      <x:c r="Z277" s="3" t="n">
        <x:v>111</x:v>
      </x:c>
      <x:c r="AA277" s="3" t="n">
        <x:v>152</x:v>
      </x:c>
      <x:c r="AB277" s="3" t="n">
        <x:v>232</x:v>
      </x:c>
      <x:c r="AC277" s="3" t="n">
        <x:v>4</x:v>
      </x:c>
      <x:c r="AD277" s="3" t="n">
        <x:f>'方案总览'!$B$5</x:f>
        <x:v>20</x:v>
      </x:c>
    </x:row>
    <x:row r="278" ht="24" customHeight="1">
      <x:c r="A278" s="3" t="str">
        <x:v>T273</x:v>
      </x:c>
      <x:c r="B278" s="3" t="str">
        <x:v>拟合</x:v>
      </x:c>
      <x:c r="C278" s="3" t="str">
        <x:v>C187</x:v>
      </x:c>
      <x:c r="D278" s="3" t="str"/>
      <x:c r="E278" s="3" t="str">
        <x:v>丁酸乙酯</x:v>
      </x:c>
      <x:c r="F278" s="3" t="str">
        <x:v>癸酸乙酯</x:v>
      </x:c>
      <x:c r="G278" s="3" t="str">
        <x:v>苯乙醛</x:v>
      </x:c>
      <x:c r="H278" s="3" t="str">
        <x:v>β-大马酮</x:v>
      </x:c>
      <x:c r="I278" s="3" t="str">
        <x:v>M</x:v>
      </x:c>
      <x:c r="J278" s="3" t="str">
        <x:v>M</x:v>
      </x:c>
      <x:c r="K278" s="3" t="str">
        <x:v>L</x:v>
      </x:c>
      <x:c r="L278" s="3" t="str">
        <x:v>L</x:v>
      </x:c>
      <x:c r="M278" s="9" t="n">
        <x:f>IF(Y278="","",INDEX('浓度设置'!$P$6:$R$46,MATCH(Y278,'浓度设置'!$A$6:$A$46,0),IF(I278="L",1,IF(I278="M",2,3))))</x:f>
        <x:v>2338.9306103431118</x:v>
      </x:c>
      <x:c r="N278" s="9" t="n">
        <x:f>IF(Z278="","",INDEX('浓度设置'!$P$6:$R$46,MATCH(Z278,'浓度设置'!$A$6:$A$46,0),IF(J278="L",1,IF(J278="M",2,3))))</x:f>
        <x:v>1288.255</x:v>
      </x:c>
      <x:c r="O278" s="9" t="n">
        <x:f>IF(AA278="","",INDEX('浓度设置'!$P$6:$R$46,MATCH(AA278,'浓度设置'!$A$6:$A$46,0),IF(K278="L",1,IF(K278="M",2,3))))</x:f>
        <x:v>0.05</x:v>
      </x:c>
      <x:c r="P278" s="9" t="n">
        <x:f>IF(AB278="","",INDEX('浓度设置'!$P$6:$R$46,MATCH(AB278,'浓度设置'!$A$6:$A$46,0),IF(L278="L",1,IF(L278="M",2,3))))</x:f>
        <x:v>1.5</x:v>
      </x:c>
      <x:c r="Q278" s="9" t="n">
        <x:f>IF(Y278="","",M278/INDEX('浓度设置'!$M$6:$M$46,MATCH(Y278,'浓度设置'!$A$6:$A$46,0)))</x:f>
        <x:v>28.6985350962345</x:v>
      </x:c>
      <x:c r="R278" s="9" t="n">
        <x:f>IF(Z278="","",N278/INDEX('浓度设置'!$M$6:$M$46,MATCH(Z278,'浓度设置'!$A$6:$A$46,0)))</x:f>
        <x:v>1.1502276785714287</x:v>
      </x:c>
      <x:c r="S278" s="9" t="n">
        <x:f>IF(AA278="","",O278/INDEX('浓度设置'!$M$6:$M$46,MATCH(AA278,'浓度设置'!$A$6:$A$46,0)))</x:f>
        <x:v>0.00019083969465648855</x:v>
      </x:c>
      <x:c r="T278" s="9" t="n">
        <x:f>IF(AB278="","",P278/INDEX('浓度设置'!$M$6:$M$46,MATCH(AB278,'浓度设置'!$A$6:$A$46,0)))</x:f>
        <x:v>12.5</x:v>
      </x:c>
      <x:c r="U278" s="9" t="n">
        <x:f>IF(Y278="","",M278*$AD278/1000)</x:f>
        <x:v>46.778612206862235</x:v>
      </x:c>
      <x:c r="V278" s="9" t="n">
        <x:f>IF(Z278="","",N278*$AD278/1000)</x:f>
        <x:v>25.765100000000004</x:v>
      </x:c>
      <x:c r="W278" s="9" t="n">
        <x:f>IF(AA278="","",O278*$AD278/1000)</x:f>
        <x:v>0.001</x:v>
      </x:c>
      <x:c r="X278" s="9" t="n">
        <x:f>IF(AB278="","",P278*$AD278/1000)</x:f>
        <x:v>0.03</x:v>
      </x:c>
      <x:c r="Y278" s="3" t="n">
        <x:v>52</x:v>
      </x:c>
      <x:c r="Z278" s="3" t="n">
        <x:v>79</x:v>
      </x:c>
      <x:c r="AA278" s="3" t="n">
        <x:v>105</x:v>
      </x:c>
      <x:c r="AB278" s="3" t="n">
        <x:v>255</x:v>
      </x:c>
      <x:c r="AC278" s="3" t="n">
        <x:v>4</x:v>
      </x:c>
      <x:c r="AD278" s="3" t="n">
        <x:f>'方案总览'!$B$5</x:f>
        <x:v>20</x:v>
      </x:c>
    </x:row>
    <x:row r="279" ht="24" customHeight="1">
      <x:c r="A279" s="3" t="str">
        <x:v>T274</x:v>
      </x:c>
      <x:c r="B279" s="3" t="str">
        <x:v>拟合</x:v>
      </x:c>
      <x:c r="C279" s="3" t="str">
        <x:v>C188</x:v>
      </x:c>
      <x:c r="D279" s="3" t="str"/>
      <x:c r="E279" s="3" t="str">
        <x:v>异丁酸乙酯</x:v>
      </x:c>
      <x:c r="F279" s="3" t="str">
        <x:v>辛酸</x:v>
      </x:c>
      <x:c r="G279" s="3" t="str">
        <x:v>异戊酸/3-甲基丁酸</x:v>
      </x:c>
      <x:c r="H279" s="3" t="str">
        <x:v>己酸己酯</x:v>
      </x:c>
      <x:c r="I279" s="3" t="str">
        <x:v>H</x:v>
      </x:c>
      <x:c r="J279" s="3" t="str">
        <x:v>M</x:v>
      </x:c>
      <x:c r="K279" s="3" t="str">
        <x:v>M</x:v>
      </x:c>
      <x:c r="L279" s="3" t="str">
        <x:v>M</x:v>
      </x:c>
      <x:c r="M279" s="9" t="n">
        <x:f>IF(Y279="","",INDEX('浓度设置'!$P$6:$R$46,MATCH(Y279,'浓度设置'!$A$6:$A$46,0),IF(I279="L",1,IF(I279="M",2,3))))</x:f>
        <x:v>37489</x:v>
      </x:c>
      <x:c r="N279" s="9" t="n">
        <x:f>IF(Z279="","",INDEX('浓度设置'!$P$6:$R$46,MATCH(Z279,'浓度设置'!$A$6:$A$46,0),IF(J279="L",1,IF(J279="M",2,3))))</x:f>
        <x:v>274.54883445390914</x:v>
      </x:c>
      <x:c r="O279" s="9" t="n">
        <x:f>IF(AA279="","",INDEX('浓度设置'!$P$6:$R$46,MATCH(AA279,'浓度设置'!$A$6:$A$46,0),IF(K279="L",1,IF(K279="M",2,3))))</x:f>
        <x:v>228.58258901324922</x:v>
      </x:c>
      <x:c r="P279" s="9" t="n">
        <x:f>IF(AB279="","",INDEX('浓度设置'!$P$6:$R$46,MATCH(AB279,'浓度设置'!$A$6:$A$46,0),IF(L279="L",1,IF(L279="M",2,3))))</x:f>
        <x:v>695.986709643223</x:v>
      </x:c>
      <x:c r="Q279" s="9" t="n">
        <x:f>IF(Y279="","",M279/INDEX('浓度设置'!$M$6:$M$46,MATCH(Y279,'浓度设置'!$A$6:$A$46,0)))</x:f>
        <x:v>651.9826086956522</x:v>
      </x:c>
      <x:c r="R279" s="9" t="n">
        <x:f>IF(Z279="","",N279/INDEX('浓度设置'!$M$6:$M$46,MATCH(Z279,'浓度设置'!$A$6:$A$46,0)))</x:f>
        <x:v>0.10168475350144783</x:v>
      </x:c>
      <x:c r="S279" s="9" t="n">
        <x:f>IF(AA279="","",O279/INDEX('浓度设置'!$M$6:$M$46,MATCH(AA279,'浓度设置'!$A$6:$A$46,0)))</x:f>
        <x:v>0.21769770382214212</x:v>
      </x:c>
      <x:c r="T279" s="9" t="n">
        <x:f>IF(AB279="","",P279/INDEX('浓度设置'!$M$6:$M$46,MATCH(AB279,'浓度设置'!$A$6:$A$46,0)))</x:f>
        <x:v>0.3680521997055648</x:v>
      </x:c>
      <x:c r="U279" s="9" t="n">
        <x:f>IF(Y279="","",M279*$AD279/1000)</x:f>
        <x:v>749.78</x:v>
      </x:c>
      <x:c r="V279" s="9" t="n">
        <x:f>IF(Z279="","",N279*$AD279/1000)</x:f>
        <x:v>5.490976689078183</x:v>
      </x:c>
      <x:c r="W279" s="9" t="n">
        <x:f>IF(AA279="","",O279*$AD279/1000)</x:f>
        <x:v>4.571651780264984</x:v>
      </x:c>
      <x:c r="X279" s="9" t="n">
        <x:f>IF(AB279="","",P279*$AD279/1000)</x:f>
        <x:v>13.91973419286446</x:v>
      </x:c>
      <x:c r="Y279" s="3" t="n">
        <x:v>32</x:v>
      </x:c>
      <x:c r="Z279" s="3" t="n">
        <x:v>117</x:v>
      </x:c>
      <x:c r="AA279" s="3" t="n">
        <x:v>136</x:v>
      </x:c>
      <x:c r="AB279" s="3" t="n">
        <x:v>227</x:v>
      </x:c>
      <x:c r="AC279" s="3" t="n">
        <x:v>4</x:v>
      </x:c>
      <x:c r="AD279" s="3" t="n">
        <x:f>'方案总览'!$B$5</x:f>
        <x:v>20</x:v>
      </x:c>
    </x:row>
    <x:row r="280" ht="24" customHeight="1">
      <x:c r="A280" s="3" t="str">
        <x:v>T275</x:v>
      </x:c>
      <x:c r="B280" s="3" t="str">
        <x:v>拟合</x:v>
      </x:c>
      <x:c r="C280" s="3" t="str">
        <x:v>C189</x:v>
      </x:c>
      <x:c r="D280" s="3" t="str"/>
      <x:c r="E280" s="3" t="str">
        <x:v>对甲酚</x:v>
      </x:c>
      <x:c r="F280" s="3" t="str">
        <x:v>戊酸</x:v>
      </x:c>
      <x:c r="G280" s="3" t="str">
        <x:v>1-辛醇</x:v>
      </x:c>
      <x:c r="H280" s="3" t="str">
        <x:v>戊酸乙酯</x:v>
      </x:c>
      <x:c r="I280" s="3" t="str">
        <x:v>L</x:v>
      </x:c>
      <x:c r="J280" s="3" t="str">
        <x:v>H</x:v>
      </x:c>
      <x:c r="K280" s="3" t="str">
        <x:v>M</x:v>
      </x:c>
      <x:c r="L280" s="3" t="str">
        <x:v>M</x:v>
      </x:c>
      <x:c r="M280" s="9" t="n">
        <x:f>IF(Y280="","",INDEX('浓度设置'!$P$6:$R$46,MATCH(Y280,'浓度设置'!$A$6:$A$46,0),IF(I280="L",1,IF(I280="M",2,3))))</x:f>
        <x:v>0.51</x:v>
      </x:c>
      <x:c r="N280" s="9" t="n">
        <x:f>IF(Z280="","",INDEX('浓度设置'!$P$6:$R$46,MATCH(Z280,'浓度设置'!$A$6:$A$46,0),IF(J280="L",1,IF(J280="M",2,3))))</x:f>
        <x:v>62700</x:v>
      </x:c>
      <x:c r="O280" s="9" t="n">
        <x:f>IF(AA280="","",INDEX('浓度设置'!$P$6:$R$46,MATCH(AA280,'浓度设置'!$A$6:$A$46,0),IF(K280="L",1,IF(K280="M",2,3))))</x:f>
        <x:v>1232.25</x:v>
      </x:c>
      <x:c r="P280" s="9" t="n">
        <x:f>IF(AB280="","",INDEX('浓度设置'!$P$6:$R$46,MATCH(AB280,'浓度设置'!$A$6:$A$46,0),IF(L280="L",1,IF(L280="M",2,3))))</x:f>
        <x:v>1512.497272724814</x:v>
      </x:c>
      <x:c r="Q280" s="9" t="n">
        <x:f>IF(Y280="","",M280/INDEX('浓度设置'!$M$6:$M$46,MATCH(Y280,'浓度设置'!$A$6:$A$46,0)))</x:f>
        <x:v>0.003053892215568862</x:v>
      </x:c>
      <x:c r="R280" s="9" t="n">
        <x:f>IF(Z280="","",N280/INDEX('浓度设置'!$M$6:$M$46,MATCH(Z280,'浓度设置'!$A$6:$A$46,0)))</x:f>
        <x:v>161.18251928020567</x:v>
      </x:c>
      <x:c r="S280" s="9" t="n">
        <x:f>IF(AA280="","",O280/INDEX('浓度设置'!$M$6:$M$46,MATCH(AA280,'浓度设置'!$A$6:$A$46,0)))</x:f>
        <x:v>1.1202272727272726</x:v>
      </x:c>
      <x:c r="T280" s="9" t="n">
        <x:f>IF(AB280="","",P280/INDEX('浓度设置'!$M$6:$M$46,MATCH(AB280,'浓度设置'!$A$6:$A$46,0)))</x:f>
        <x:v>56.43646540017962</x:v>
      </x:c>
      <x:c r="U280" s="9" t="n">
        <x:f>IF(Y280="","",M280*$AD280/1000)</x:f>
        <x:v>0.010199999999999999</x:v>
      </x:c>
      <x:c r="V280" s="9" t="n">
        <x:f>IF(Z280="","",N280*$AD280/1000)</x:f>
        <x:v>1254</x:v>
      </x:c>
      <x:c r="W280" s="9" t="n">
        <x:f>IF(AA280="","",O280*$AD280/1000)</x:f>
        <x:v>24.645</x:v>
      </x:c>
      <x:c r="X280" s="9" t="n">
        <x:f>IF(AB280="","",P280*$AD280/1000)</x:f>
        <x:v>30.249945454496277</x:v>
      </x:c>
      <x:c r="Y280" s="3" t="n">
        <x:v>61</x:v>
      </x:c>
      <x:c r="Z280" s="3" t="n">
        <x:v>75</x:v>
      </x:c>
      <x:c r="AA280" s="3" t="n">
        <x:v>90</x:v>
      </x:c>
      <x:c r="AB280" s="3" t="n">
        <x:v>141</x:v>
      </x:c>
      <x:c r="AC280" s="3" t="n">
        <x:v>4</x:v>
      </x:c>
      <x:c r="AD280" s="3" t="n">
        <x:f>'方案总览'!$B$5</x:f>
        <x:v>20</x:v>
      </x:c>
    </x:row>
    <x:row r="281" ht="24" customHeight="1">
      <x:c r="A281" s="3" t="str">
        <x:v>T276</x:v>
      </x:c>
      <x:c r="B281" s="3" t="str">
        <x:v>拟合</x:v>
      </x:c>
      <x:c r="C281" s="3" t="str">
        <x:v>C190</x:v>
      </x:c>
      <x:c r="D281" s="3" t="str"/>
      <x:c r="E281" s="3" t="str">
        <x:v>辛酸</x:v>
      </x:c>
      <x:c r="F281" s="3" t="str">
        <x:v>己酸丁酯</x:v>
      </x:c>
      <x:c r="G281" s="3" t="str">
        <x:v>1-辛烯-3-醇</x:v>
      </x:c>
      <x:c r="H281" s="3" t="str">
        <x:v>二甲基三硫醚</x:v>
      </x:c>
      <x:c r="I281" s="3" t="str">
        <x:v>L</x:v>
      </x:c>
      <x:c r="J281" s="3" t="str">
        <x:v>H</x:v>
      </x:c>
      <x:c r="K281" s="3" t="str">
        <x:v>M</x:v>
      </x:c>
      <x:c r="L281" s="3" t="str">
        <x:v>L</x:v>
      </x:c>
      <x:c r="M281" s="9" t="n">
        <x:f>IF(Y281="","",INDEX('浓度设置'!$P$6:$R$46,MATCH(Y281,'浓度设置'!$A$6:$A$46,0),IF(I281="L",1,IF(I281="M",2,3))))</x:f>
        <x:v>1.875</x:v>
      </x:c>
      <x:c r="N281" s="9" t="n">
        <x:f>IF(Z281="","",INDEX('浓度设置'!$P$6:$R$46,MATCH(Z281,'浓度设置'!$A$6:$A$46,0),IF(J281="L",1,IF(J281="M",2,3))))</x:f>
        <x:v>86300</x:v>
      </x:c>
      <x:c r="O281" s="9" t="n">
        <x:f>IF(AA281="","",INDEX('浓度设置'!$P$6:$R$46,MATCH(AA281,'浓度设置'!$A$6:$A$46,0),IF(K281="L",1,IF(K281="M",2,3))))</x:f>
        <x:v>16.47573974060042</x:v>
      </x:c>
      <x:c r="P281" s="9" t="n">
        <x:f>IF(AB281="","",INDEX('浓度设置'!$P$6:$R$46,MATCH(AB281,'浓度设置'!$A$6:$A$46,0),IF(L281="L",1,IF(L281="M",2,3))))</x:f>
        <x:v>0.28</x:v>
      </x:c>
      <x:c r="Q281" s="9" t="n">
        <x:f>IF(Y281="","",M281/INDEX('浓度设置'!$M$6:$M$46,MATCH(Y281,'浓度设置'!$A$6:$A$46,0)))</x:f>
        <x:v>0.0006944444444444445</x:v>
      </x:c>
      <x:c r="R281" s="9" t="n">
        <x:f>IF(Z281="","",N281/INDEX('浓度设置'!$M$6:$M$46,MATCH(Z281,'浓度设置'!$A$6:$A$46,0)))</x:f>
        <x:v>127.31618080963058</x:v>
      </x:c>
      <x:c r="S281" s="9" t="n">
        <x:f>IF(AA281="","",O281/INDEX('浓度设置'!$M$6:$M$46,MATCH(AA281,'浓度设置'!$A$6:$A$46,0)))</x:f>
        <x:v>2.692114336699415</x:v>
      </x:c>
      <x:c r="T281" s="9" t="n">
        <x:f>IF(AB281="","",P281/INDEX('浓度设置'!$M$6:$M$46,MATCH(AB281,'浓度设置'!$A$6:$A$46,0)))</x:f>
        <x:v>0.7777777777777779</x:v>
      </x:c>
      <x:c r="U281" s="9" t="n">
        <x:f>IF(Y281="","",M281*$AD281/1000)</x:f>
        <x:v>0.0375</x:v>
      </x:c>
      <x:c r="V281" s="9" t="n">
        <x:f>IF(Z281="","",N281*$AD281/1000)</x:f>
        <x:v>1726</x:v>
      </x:c>
      <x:c r="W281" s="9" t="n">
        <x:f>IF(AA281="","",O281*$AD281/1000)</x:f>
        <x:v>0.3295147948120084</x:v>
      </x:c>
      <x:c r="X281" s="9" t="n">
        <x:f>IF(AB281="","",P281*$AD281/1000)</x:f>
        <x:v>0.005600000000000001</x:v>
      </x:c>
      <x:c r="Y281" s="3" t="n">
        <x:v>117</x:v>
      </x:c>
      <x:c r="Z281" s="3" t="n">
        <x:v>165</x:v>
      </x:c>
      <x:c r="AA281" s="3" t="n">
        <x:v>207</x:v>
      </x:c>
      <x:c r="AB281" s="3" t="n">
        <x:v>209</x:v>
      </x:c>
      <x:c r="AC281" s="3" t="n">
        <x:v>4</x:v>
      </x:c>
      <x:c r="AD281" s="3" t="n">
        <x:f>'方案总览'!$B$5</x:f>
        <x:v>20</x:v>
      </x:c>
    </x:row>
    <x:row r="282" ht="24" customHeight="1">
      <x:c r="A282" s="3" t="str">
        <x:v>T277</x:v>
      </x:c>
      <x:c r="B282" s="3" t="str">
        <x:v>拟合</x:v>
      </x:c>
      <x:c r="C282" s="3" t="str">
        <x:v>C191</x:v>
      </x:c>
      <x:c r="D282" s="3" t="str"/>
      <x:c r="E282" s="3" t="str">
        <x:v>苯乙酸乙酯</x:v>
      </x:c>
      <x:c r="F282" s="3" t="str">
        <x:v>1-辛醇</x:v>
      </x:c>
      <x:c r="G282" s="3" t="str">
        <x:v>乙酸异戊酯</x:v>
      </x:c>
      <x:c r="H282" s="3" t="str">
        <x:v>异戊醛</x:v>
      </x:c>
      <x:c r="I282" s="3" t="str">
        <x:v>H</x:v>
      </x:c>
      <x:c r="J282" s="3" t="str">
        <x:v>M</x:v>
      </x:c>
      <x:c r="K282" s="3" t="str">
        <x:v>M</x:v>
      </x:c>
      <x:c r="L282" s="3" t="str">
        <x:v>H</x:v>
      </x:c>
      <x:c r="M282" s="9" t="n">
        <x:f>IF(Y282="","",INDEX('浓度设置'!$P$6:$R$46,MATCH(Y282,'浓度设置'!$A$6:$A$46,0),IF(I282="L",1,IF(I282="M",2,3))))</x:f>
        <x:v>21400</x:v>
      </x:c>
      <x:c r="N282" s="9" t="n">
        <x:f>IF(Z282="","",INDEX('浓度设置'!$P$6:$R$46,MATCH(Z282,'浓度设置'!$A$6:$A$46,0),IF(J282="L",1,IF(J282="M",2,3))))</x:f>
        <x:v>1232.25</x:v>
      </x:c>
      <x:c r="O282" s="9" t="n">
        <x:f>IF(AA282="","",INDEX('浓度设置'!$P$6:$R$46,MATCH(AA282,'浓度设置'!$A$6:$A$46,0),IF(K282="L",1,IF(K282="M",2,3))))</x:f>
        <x:v>96.86609313893071</x:v>
      </x:c>
      <x:c r="P282" s="9" t="n">
        <x:f>IF(AB282="","",INDEX('浓度设置'!$P$6:$R$46,MATCH(AB282,'浓度设置'!$A$6:$A$46,0),IF(L282="L",1,IF(L282="M",2,3))))</x:f>
        <x:v>227200</x:v>
      </x:c>
      <x:c r="Q282" s="9" t="n">
        <x:f>IF(Y282="","",M282/INDEX('浓度设置'!$M$6:$M$46,MATCH(Y282,'浓度设置'!$A$6:$A$46,0)))</x:f>
        <x:v>52.57985257985258</x:v>
      </x:c>
      <x:c r="R282" s="9" t="n">
        <x:f>IF(Z282="","",N282/INDEX('浓度设置'!$M$6:$M$46,MATCH(Z282,'浓度设置'!$A$6:$A$46,0)))</x:f>
        <x:v>1.1202272727272726</x:v>
      </x:c>
      <x:c r="S282" s="9" t="n">
        <x:f>IF(AA282="","",O282/INDEX('浓度设置'!$M$6:$M$46,MATCH(AA282,'浓度设置'!$A$6:$A$46,0)))</x:f>
        <x:v>1.0315877863570895</x:v>
      </x:c>
      <x:c r="T282" s="9" t="n">
        <x:f>IF(AB282="","",P282/INDEX('浓度设置'!$M$6:$M$46,MATCH(AB282,'浓度设置'!$A$6:$A$46,0)))</x:f>
        <x:v>13769.69696969697</x:v>
      </x:c>
      <x:c r="U282" s="9" t="n">
        <x:f>IF(Y282="","",M282*$AD282/1000)</x:f>
        <x:v>428</x:v>
      </x:c>
      <x:c r="V282" s="9" t="n">
        <x:f>IF(Z282="","",N282*$AD282/1000)</x:f>
        <x:v>24.645</x:v>
      </x:c>
      <x:c r="W282" s="9" t="n">
        <x:f>IF(AA282="","",O282*$AD282/1000)</x:f>
        <x:v>1.9373218627786142</x:v>
      </x:c>
      <x:c r="X282" s="9" t="n">
        <x:f>IF(AB282="","",P282*$AD282/1000)</x:f>
        <x:v>4544</x:v>
      </x:c>
      <x:c r="Y282" s="3" t="n">
        <x:v>40</x:v>
      </x:c>
      <x:c r="Z282" s="3" t="n">
        <x:v>90</x:v>
      </x:c>
      <x:c r="AA282" s="3" t="n">
        <x:v>115</x:v>
      </x:c>
      <x:c r="AB282" s="3" t="n">
        <x:v>152</x:v>
      </x:c>
      <x:c r="AC282" s="3" t="n">
        <x:v>4</x:v>
      </x:c>
      <x:c r="AD282" s="3" t="n">
        <x:f>'方案总览'!$B$5</x:f>
        <x:v>20</x:v>
      </x:c>
    </x:row>
    <x:row r="283" ht="24" customHeight="1">
      <x:c r="A283" s="3" t="str">
        <x:v>T278</x:v>
      </x:c>
      <x:c r="B283" s="3" t="str">
        <x:v>拟合</x:v>
      </x:c>
      <x:c r="C283" s="3" t="str">
        <x:v>C192</x:v>
      </x:c>
      <x:c r="D283" s="3" t="str"/>
      <x:c r="E283" s="3" t="str">
        <x:v>乙醛二乙缩醛</x:v>
      </x:c>
      <x:c r="F283" s="3" t="str">
        <x:v>丁酸异戊酯</x:v>
      </x:c>
      <x:c r="G283" s="3" t="str">
        <x:v>己酸</x:v>
      </x:c>
      <x:c r="H283" s="3" t="str">
        <x:v>β-大马酮</x:v>
      </x:c>
      <x:c r="I283" s="3" t="str">
        <x:v>M</x:v>
      </x:c>
      <x:c r="J283" s="3" t="str">
        <x:v>H</x:v>
      </x:c>
      <x:c r="K283" s="3" t="str">
        <x:v>L</x:v>
      </x:c>
      <x:c r="L283" s="3" t="str">
        <x:v>H</x:v>
      </x:c>
      <x:c r="M283" s="9" t="n">
        <x:f>IF(Y283="","",INDEX('浓度设置'!$P$6:$R$46,MATCH(Y283,'浓度设置'!$A$6:$A$46,0),IF(I283="L",1,IF(I283="M",2,3))))</x:f>
        <x:v>2745.3821227654266</x:v>
      </x:c>
      <x:c r="N283" s="9" t="n">
        <x:f>IF(Z283="","",INDEX('浓度设置'!$P$6:$R$46,MATCH(Z283,'浓度设置'!$A$6:$A$46,0),IF(J283="L",1,IF(J283="M",2,3))))</x:f>
        <x:v>4105</x:v>
      </x:c>
      <x:c r="O283" s="9" t="n">
        <x:f>IF(AA283="","",INDEX('浓度设置'!$P$6:$R$46,MATCH(AA283,'浓度设置'!$A$6:$A$46,0),IF(K283="L",1,IF(K283="M",2,3))))</x:f>
        <x:v>2.125</x:v>
      </x:c>
      <x:c r="P283" s="9" t="n">
        <x:f>IF(AB283="","",INDEX('浓度设置'!$P$6:$R$46,MATCH(AB283,'浓度设置'!$A$6:$A$46,0),IF(L283="L",1,IF(L283="M",2,3))))</x:f>
        <x:v>60.76</x:v>
      </x:c>
      <x:c r="Q283" s="9" t="n">
        <x:f>IF(Y283="","",M283/INDEX('浓度设置'!$M$6:$M$46,MATCH(Y283,'浓度设置'!$A$6:$A$46,0)))</x:f>
        <x:v>1.3135799630456586</x:v>
      </x:c>
      <x:c r="R283" s="9" t="n">
        <x:f>IF(Z283="","",N283/INDEX('浓度设置'!$M$6:$M$46,MATCH(Z283,'浓度设置'!$A$6:$A$46,0)))</x:f>
        <x:v>4.4863387978142075</x:v>
      </x:c>
      <x:c r="S283" s="9" t="n">
        <x:f>IF(AA283="","",O283/INDEX('浓度设置'!$M$6:$M$46,MATCH(AA283,'浓度设置'!$A$6:$A$46,0)))</x:f>
        <x:v>0.0008432539682539683</x:v>
      </x:c>
      <x:c r="T283" s="9" t="n">
        <x:f>IF(AB283="","",P283/INDEX('浓度设置'!$M$6:$M$46,MATCH(AB283,'浓度设置'!$A$6:$A$46,0)))</x:f>
        <x:v>506.3333333333333</x:v>
      </x:c>
      <x:c r="U283" s="9" t="n">
        <x:f>IF(Y283="","",M283*$AD283/1000)</x:f>
        <x:v>54.90764245530853</x:v>
      </x:c>
      <x:c r="V283" s="9" t="n">
        <x:f>IF(Z283="","",N283*$AD283/1000)</x:f>
        <x:v>82.1</x:v>
      </x:c>
      <x:c r="W283" s="9" t="n">
        <x:f>IF(AA283="","",O283*$AD283/1000)</x:f>
        <x:v>0.0425</x:v>
      </x:c>
      <x:c r="X283" s="9" t="n">
        <x:f>IF(AB283="","",P283*$AD283/1000)</x:f>
        <x:v>1.2152</x:v>
      </x:c>
      <x:c r="Y283" s="3" t="n">
        <x:v>53</x:v>
      </x:c>
      <x:c r="Z283" s="3" t="n">
        <x:v>56</x:v>
      </x:c>
      <x:c r="AA283" s="3" t="n">
        <x:v>126</x:v>
      </x:c>
      <x:c r="AB283" s="3" t="n">
        <x:v>255</x:v>
      </x:c>
      <x:c r="AC283" s="3" t="n">
        <x:v>4</x:v>
      </x:c>
      <x:c r="AD283" s="3" t="n">
        <x:f>'方案总览'!$B$5</x:f>
        <x:v>20</x:v>
      </x:c>
    </x:row>
    <x:row r="284" ht="24" customHeight="1">
      <x:c r="A284" s="3" t="str">
        <x:v>T279</x:v>
      </x:c>
      <x:c r="B284" s="3" t="str">
        <x:v>拟合</x:v>
      </x:c>
      <x:c r="C284" s="3" t="str">
        <x:v>C193</x:v>
      </x:c>
      <x:c r="D284" s="3" t="str"/>
      <x:c r="E284" s="3" t="str">
        <x:v>己醛</x:v>
      </x:c>
      <x:c r="F284" s="3" t="str">
        <x:v>戊酸乙酯</x:v>
      </x:c>
      <x:c r="G284" s="3" t="str">
        <x:v>3-苯基丙酸乙酯</x:v>
      </x:c>
      <x:c r="H284" s="3" t="str">
        <x:v>2-甲基丁酸乙酯</x:v>
      </x:c>
      <x:c r="I284" s="3" t="str">
        <x:v>M</x:v>
      </x:c>
      <x:c r="J284" s="3" t="str">
        <x:v>M</x:v>
      </x:c>
      <x:c r="K284" s="3" t="str">
        <x:v>M</x:v>
      </x:c>
      <x:c r="L284" s="3" t="str">
        <x:v>L</x:v>
      </x:c>
      <x:c r="M284" s="9" t="n">
        <x:f>IF(Y284="","",INDEX('浓度设置'!$P$6:$R$46,MATCH(Y284,'浓度设置'!$A$6:$A$46,0),IF(I284="L",1,IF(I284="M",2,3))))</x:f>
        <x:v>729.4776350238574</x:v>
      </x:c>
      <x:c r="N284" s="9" t="n">
        <x:f>IF(Z284="","",INDEX('浓度设置'!$P$6:$R$46,MATCH(Z284,'浓度设置'!$A$6:$A$46,0),IF(J284="L",1,IF(J284="M",2,3))))</x:f>
        <x:v>1512.497272724814</x:v>
      </x:c>
      <x:c r="O284" s="9" t="n">
        <x:f>IF(AA284="","",INDEX('浓度设置'!$P$6:$R$46,MATCH(AA284,'浓度设置'!$A$6:$A$46,0),IF(K284="L",1,IF(K284="M",2,3))))</x:f>
        <x:v>4262.731518639193</x:v>
      </x:c>
      <x:c r="P284" s="9" t="n">
        <x:f>IF(AB284="","",INDEX('浓度设置'!$P$6:$R$46,MATCH(AB284,'浓度设置'!$A$6:$A$46,0),IF(L284="L",1,IF(L284="M",2,3))))</x:f>
        <x:v>0.97</x:v>
      </x:c>
      <x:c r="Q284" s="9" t="n">
        <x:f>IF(Y284="","",M284/INDEX('浓度设置'!$M$6:$M$46,MATCH(Y284,'浓度设置'!$A$6:$A$46,0)))</x:f>
        <x:v>28.606966079366956</x:v>
      </x:c>
      <x:c r="R284" s="9" t="n">
        <x:f>IF(Z284="","",N284/INDEX('浓度设置'!$M$6:$M$46,MATCH(Z284,'浓度设置'!$A$6:$A$46,0)))</x:f>
        <x:v>56.43646540017962</x:v>
      </x:c>
      <x:c r="S284" s="9" t="n">
        <x:f>IF(AA284="","",O284/INDEX('浓度设置'!$M$6:$M$46,MATCH(AA284,'浓度设置'!$A$6:$A$46,0)))</x:f>
        <x:v>34.10185214911355</x:v>
      </x:c>
      <x:c r="T284" s="9" t="n">
        <x:f>IF(AB284="","",P284/INDEX('浓度设置'!$M$6:$M$46,MATCH(AB284,'浓度设置'!$A$6:$A$46,0)))</x:f>
        <x:v>0.05388888888888889</x:v>
      </x:c>
      <x:c r="U284" s="9" t="n">
        <x:f>IF(Y284="","",M284*$AD284/1000)</x:f>
        <x:v>14.589552700477146</x:v>
      </x:c>
      <x:c r="V284" s="9" t="n">
        <x:f>IF(Z284="","",N284*$AD284/1000)</x:f>
        <x:v>30.249945454496277</x:v>
      </x:c>
      <x:c r="W284" s="9" t="n">
        <x:f>IF(AA284="","",O284*$AD284/1000)</x:f>
        <x:v>85.25463037278386</x:v>
      </x:c>
      <x:c r="X284" s="9" t="n">
        <x:f>IF(AB284="","",P284*$AD284/1000)</x:f>
        <x:v>0.019399999999999997</x:v>
      </x:c>
      <x:c r="Y284" s="3" t="n">
        <x:v>7</x:v>
      </x:c>
      <x:c r="Z284" s="3" t="n">
        <x:v>141</x:v>
      </x:c>
      <x:c r="AA284" s="3" t="n">
        <x:v>186</x:v>
      </x:c>
      <x:c r="AB284" s="3" t="n">
        <x:v>232</x:v>
      </x:c>
      <x:c r="AC284" s="3" t="n">
        <x:v>4</x:v>
      </x:c>
      <x:c r="AD284" s="3" t="n">
        <x:f>'方案总览'!$B$5</x:f>
        <x:v>20</x:v>
      </x:c>
    </x:row>
    <x:row r="285" ht="24" customHeight="1">
      <x:c r="A285" s="3" t="str">
        <x:v>T280</x:v>
      </x:c>
      <x:c r="B285" s="3" t="str">
        <x:v>拟合</x:v>
      </x:c>
      <x:c r="C285" s="3" t="str">
        <x:v>C194</x:v>
      </x:c>
      <x:c r="D285" s="3" t="str"/>
      <x:c r="E285" s="3" t="str">
        <x:v>1-丁醇</x:v>
      </x:c>
      <x:c r="F285" s="3" t="str">
        <x:v>丁酸乙酯</x:v>
      </x:c>
      <x:c r="G285" s="3" t="str">
        <x:v>戊酸</x:v>
      </x:c>
      <x:c r="H285" s="3" t="str">
        <x:v>己酸己酯</x:v>
      </x:c>
      <x:c r="I285" s="3" t="str">
        <x:v>M</x:v>
      </x:c>
      <x:c r="J285" s="3" t="str">
        <x:v>M</x:v>
      </x:c>
      <x:c r="K285" s="3" t="str">
        <x:v>M</x:v>
      </x:c>
      <x:c r="L285" s="3" t="str">
        <x:v>H</x:v>
      </x:c>
      <x:c r="M285" s="9" t="n">
        <x:f>IF(Y285="","",INDEX('浓度设置'!$P$6:$R$46,MATCH(Y285,'浓度设置'!$A$6:$A$46,0),IF(I285="L",1,IF(I285="M",2,3))))</x:f>
        <x:v>4198.825192836682</x:v>
      </x:c>
      <x:c r="N285" s="9" t="n">
        <x:f>IF(Z285="","",INDEX('浓度设置'!$P$6:$R$46,MATCH(Z285,'浓度设置'!$A$6:$A$46,0),IF(J285="L",1,IF(J285="M",2,3))))</x:f>
        <x:v>2338.9306103431118</x:v>
      </x:c>
      <x:c r="O285" s="9" t="n">
        <x:f>IF(AA285="","",INDEX('浓度设置'!$P$6:$R$46,MATCH(AA285,'浓度设置'!$A$6:$A$46,0),IF(K285="L",1,IF(K285="M",2,3))))</x:f>
        <x:v>331.2476415010377</x:v>
      </x:c>
      <x:c r="P285" s="9" t="n">
        <x:f>IF(AB285="","",INDEX('浓度设置'!$P$6:$R$46,MATCH(AB285,'浓度设置'!$A$6:$A$46,0),IF(L285="L",1,IF(L285="M",2,3))))</x:f>
        <x:v>193759</x:v>
      </x:c>
      <x:c r="Q285" s="9" t="n">
        <x:f>IF(Y285="","",M285/INDEX('浓度设置'!$M$6:$M$46,MATCH(Y285,'浓度设置'!$A$6:$A$46,0)))</x:f>
        <x:v>1.5363429172472307</x:v>
      </x:c>
      <x:c r="R285" s="9" t="n">
        <x:f>IF(Z285="","",N285/INDEX('浓度设置'!$M$6:$M$46,MATCH(Z285,'浓度设置'!$A$6:$A$46,0)))</x:f>
        <x:v>28.6985350962345</x:v>
      </x:c>
      <x:c r="S285" s="9" t="n">
        <x:f>IF(AA285="","",O285/INDEX('浓度设置'!$M$6:$M$46,MATCH(AA285,'浓度设置'!$A$6:$A$46,0)))</x:f>
        <x:v>0.8515363534731046</x:v>
      </x:c>
      <x:c r="T285" s="9" t="n">
        <x:f>IF(AB285="","",P285/INDEX('浓度设置'!$M$6:$M$46,MATCH(AB285,'浓度设置'!$A$6:$A$46,0)))</x:f>
        <x:v>102.46377578001058</x:v>
      </x:c>
      <x:c r="U285" s="9" t="n">
        <x:f>IF(Y285="","",M285*$AD285/1000)</x:f>
        <x:v>83.97650385673363</x:v>
      </x:c>
      <x:c r="V285" s="9" t="n">
        <x:f>IF(Z285="","",N285*$AD285/1000)</x:f>
        <x:v>46.778612206862235</x:v>
      </x:c>
      <x:c r="W285" s="9" t="n">
        <x:f>IF(AA285="","",O285*$AD285/1000)</x:f>
        <x:v>6.624952830020755</x:v>
      </x:c>
      <x:c r="X285" s="9" t="n">
        <x:f>IF(AB285="","",P285*$AD285/1000)</x:f>
        <x:v>3875.18</x:v>
      </x:c>
      <x:c r="Y285" s="3" t="n">
        <x:v>11</x:v>
      </x:c>
      <x:c r="Z285" s="3" t="n">
        <x:v>52</x:v>
      </x:c>
      <x:c r="AA285" s="3" t="n">
        <x:v>75</x:v>
      </x:c>
      <x:c r="AB285" s="3" t="n">
        <x:v>227</x:v>
      </x:c>
      <x:c r="AC285" s="3" t="n">
        <x:v>4</x:v>
      </x:c>
      <x:c r="AD285" s="3" t="n">
        <x:f>'方案总览'!$B$5</x:f>
        <x:v>20</x:v>
      </x:c>
    </x:row>
    <x:row r="286" ht="24" customHeight="1">
      <x:c r="A286" s="3" t="str">
        <x:v>T281</x:v>
      </x:c>
      <x:c r="B286" s="3" t="str">
        <x:v>拟合</x:v>
      </x:c>
      <x:c r="C286" s="3" t="str">
        <x:v>C195</x:v>
      </x:c>
      <x:c r="D286" s="3" t="str"/>
      <x:c r="E286" s="3" t="str">
        <x:v>辛酸乙酯</x:v>
      </x:c>
      <x:c r="F286" s="3" t="str">
        <x:v>对甲酚</x:v>
      </x:c>
      <x:c r="G286" s="3" t="str">
        <x:v>癸酸乙酯</x:v>
      </x:c>
      <x:c r="H286" s="3" t="str">
        <x:v>己酸乙酯</x:v>
      </x:c>
      <x:c r="I286" s="3" t="str">
        <x:v>M</x:v>
      </x:c>
      <x:c r="J286" s="3" t="str">
        <x:v>M</x:v>
      </x:c>
      <x:c r="K286" s="3" t="str">
        <x:v>M</x:v>
      </x:c>
      <x:c r="L286" s="3" t="str">
        <x:v>L</x:v>
      </x:c>
      <x:c r="M286" s="9" t="n">
        <x:f>IF(Y286="","",INDEX('浓度设置'!$P$6:$R$46,MATCH(Y286,'浓度设置'!$A$6:$A$46,0),IF(I286="L",1,IF(I286="M",2,3))))</x:f>
        <x:v>3072.731960324558</x:v>
      </x:c>
      <x:c r="N286" s="9" t="n">
        <x:f>IF(Z286="","",INDEX('浓度设置'!$P$6:$R$46,MATCH(Z286,'浓度设置'!$A$6:$A$46,0),IF(J286="L",1,IF(J286="M",2,3))))</x:f>
        <x:v>59.381310191002015</x:v>
      </x:c>
      <x:c r="O286" s="9" t="n">
        <x:f>IF(AA286="","",INDEX('浓度设置'!$P$6:$R$46,MATCH(AA286,'浓度设置'!$A$6:$A$46,0),IF(K286="L",1,IF(K286="M",2,3))))</x:f>
        <x:v>1288.255</x:v>
      </x:c>
      <x:c r="P286" s="9" t="n">
        <x:f>IF(AB286="","",INDEX('浓度设置'!$P$6:$R$46,MATCH(AB286,'浓度设置'!$A$6:$A$46,0),IF(L286="L",1,IF(L286="M",2,3))))</x:f>
        <x:v>833.64</x:v>
      </x:c>
      <x:c r="Q286" s="9" t="n">
        <x:f>IF(Y286="","",M286/INDEX('浓度设置'!$M$6:$M$46,MATCH(Y286,'浓度设置'!$A$6:$A$46,0)))</x:f>
        <x:v>238.19627599415176</x:v>
      </x:c>
      <x:c r="R286" s="9" t="n">
        <x:f>IF(Z286="","",N286/INDEX('浓度设置'!$M$6:$M$46,MATCH(Z286,'浓度设置'!$A$6:$A$46,0)))</x:f>
        <x:v>0.355576707730551</x:v>
      </x:c>
      <x:c r="S286" s="9" t="n">
        <x:f>IF(AA286="","",O286/INDEX('浓度设置'!$M$6:$M$46,MATCH(AA286,'浓度设置'!$A$6:$A$46,0)))</x:f>
        <x:v>1.1502276785714287</x:v>
      </x:c>
      <x:c r="T286" s="9" t="n">
        <x:f>IF(AB286="","",P286/INDEX('浓度设置'!$M$6:$M$46,MATCH(AB286,'浓度设置'!$A$6:$A$46,0)))</x:f>
        <x:v>15.074864376130199</x:v>
      </x:c>
      <x:c r="U286" s="9" t="n">
        <x:f>IF(Y286="","",M286*$AD286/1000)</x:f>
        <x:v>61.45463920649116</x:v>
      </x:c>
      <x:c r="V286" s="9" t="n">
        <x:f>IF(Z286="","",N286*$AD286/1000)</x:f>
        <x:v>1.1876262038200402</x:v>
      </x:c>
      <x:c r="W286" s="9" t="n">
        <x:f>IF(AA286="","",O286*$AD286/1000)</x:f>
        <x:v>25.765100000000004</x:v>
      </x:c>
      <x:c r="X286" s="9" t="n">
        <x:f>IF(AB286="","",P286*$AD286/1000)</x:f>
        <x:v>16.6728</x:v>
      </x:c>
      <x:c r="Y286" s="3" t="n">
        <x:v>58</x:v>
      </x:c>
      <x:c r="Z286" s="3" t="n">
        <x:v>61</x:v>
      </x:c>
      <x:c r="AA286" s="3" t="n">
        <x:v>79</x:v>
      </x:c>
      <x:c r="AB286" s="3" t="n">
        <x:v>111</x:v>
      </x:c>
      <x:c r="AC286" s="3" t="n">
        <x:v>4</x:v>
      </x:c>
      <x:c r="AD286" s="3" t="n">
        <x:f>'方案总览'!$B$5</x:f>
        <x:v>20</x:v>
      </x:c>
    </x:row>
    <x:row r="287" ht="24" customHeight="1">
      <x:c r="A287" s="3" t="str">
        <x:v>T282</x:v>
      </x:c>
      <x:c r="B287" s="3" t="str">
        <x:v>拟合</x:v>
      </x:c>
      <x:c r="C287" s="3" t="str">
        <x:v>C196</x:v>
      </x:c>
      <x:c r="D287" s="3" t="str"/>
      <x:c r="E287" s="3" t="str">
        <x:v>2-甲基丙醛</x:v>
      </x:c>
      <x:c r="F287" s="3" t="str">
        <x:v>异丁酸乙酯</x:v>
      </x:c>
      <x:c r="G287" s="3" t="str">
        <x:v>乙醛二乙缩醛</x:v>
      </x:c>
      <x:c r="H287" s="3" t="str">
        <x:v>异戊酸乙酯（3-甲基丁酸乙酯）</x:v>
      </x:c>
      <x:c r="I287" s="3" t="str">
        <x:v>L</x:v>
      </x:c>
      <x:c r="J287" s="3" t="str">
        <x:v>M</x:v>
      </x:c>
      <x:c r="K287" s="3" t="str">
        <x:v>L</x:v>
      </x:c>
      <x:c r="L287" s="3" t="str">
        <x:v>L</x:v>
      </x:c>
      <x:c r="M287" s="9" t="n">
        <x:f>IF(Y287="","",INDEX('浓度设置'!$P$6:$R$46,MATCH(Y287,'浓度设置'!$A$6:$A$46,0),IF(I287="L",1,IF(I287="M",2,3))))</x:f>
        <x:v>39</x:v>
      </x:c>
      <x:c r="N287" s="9" t="n">
        <x:f>IF(Z287="","",INDEX('浓度设置'!$P$6:$R$46,MATCH(Z287,'浓度设置'!$A$6:$A$46,0),IF(J287="L",1,IF(J287="M",2,3))))</x:f>
        <x:v>836.8360173893091</x:v>
      </x:c>
      <x:c r="O287" s="9" t="n">
        <x:f>IF(AA287="","",INDEX('浓度设置'!$P$6:$R$46,MATCH(AA287,'浓度设置'!$A$6:$A$46,0),IF(K287="L",1,IF(K287="M",2,3))))</x:f>
        <x:v>9.61</x:v>
      </x:c>
      <x:c r="P287" s="9" t="n">
        <x:f>IF(AB287="","",INDEX('浓度设置'!$P$6:$R$46,MATCH(AB287,'浓度设置'!$A$6:$A$46,0),IF(L287="L",1,IF(L287="M",2,3))))</x:f>
        <x:v>0.83</x:v>
      </x:c>
      <x:c r="Q287" s="9" t="n">
        <x:f>IF(Y287="","",M287/INDEX('浓度设置'!$M$6:$M$46,MATCH(Y287,'浓度设置'!$A$6:$A$46,0)))</x:f>
        <x:v>6.610169491525423</x:v>
      </x:c>
      <x:c r="R287" s="9" t="n">
        <x:f>IF(Z287="","",N287/INDEX('浓度设置'!$M$6:$M$46,MATCH(Z287,'浓度设置'!$A$6:$A$46,0)))</x:f>
        <x:v>14.553669867640158</x:v>
      </x:c>
      <x:c r="S287" s="9" t="n">
        <x:f>IF(AA287="","",O287/INDEX('浓度设置'!$M$6:$M$46,MATCH(AA287,'浓度设置'!$A$6:$A$46,0)))</x:f>
        <x:v>0.004598086124401914</x:v>
      </x:c>
      <x:c r="T287" s="9" t="n">
        <x:f>IF(AB287="","",P287/INDEX('浓度设置'!$M$6:$M$46,MATCH(AB287,'浓度设置'!$A$6:$A$46,0)))</x:f>
        <x:v>0.1204644412191582</x:v>
      </x:c>
      <x:c r="U287" s="9" t="n">
        <x:f>IF(Y287="","",M287*$AD287/1000)</x:f>
        <x:v>0.78</x:v>
      </x:c>
      <x:c r="V287" s="9" t="n">
        <x:f>IF(Z287="","",N287*$AD287/1000)</x:f>
        <x:v>16.736720347786182</x:v>
      </x:c>
      <x:c r="W287" s="9" t="n">
        <x:f>IF(AA287="","",O287*$AD287/1000)</x:f>
        <x:v>0.19219999999999998</x:v>
      </x:c>
      <x:c r="X287" s="9" t="n">
        <x:f>IF(AB287="","",P287*$AD287/1000)</x:f>
        <x:v>0.016599999999999997</x:v>
      </x:c>
      <x:c r="Y287" s="3" t="n">
        <x:v>18</x:v>
      </x:c>
      <x:c r="Z287" s="3" t="n">
        <x:v>32</x:v>
      </x:c>
      <x:c r="AA287" s="3" t="n">
        <x:v>53</x:v>
      </x:c>
      <x:c r="AB287" s="3" t="n">
        <x:v>69</x:v>
      </x:c>
      <x:c r="AC287" s="3" t="n">
        <x:v>4</x:v>
      </x:c>
      <x:c r="AD287" s="3" t="n">
        <x:f>'方案总览'!$B$5</x:f>
        <x:v>20</x:v>
      </x:c>
    </x:row>
    <x:row r="288" ht="24" customHeight="1">
      <x:c r="A288" s="3" t="str">
        <x:v>T283</x:v>
      </x:c>
      <x:c r="B288" s="3" t="str">
        <x:v>拟合</x:v>
      </x:c>
      <x:c r="C288" s="3" t="str">
        <x:v>C197</x:v>
      </x:c>
      <x:c r="D288" s="3" t="str"/>
      <x:c r="E288" s="3" t="str">
        <x:v>乙酸丁酯</x:v>
      </x:c>
      <x:c r="F288" s="3" t="str">
        <x:v>异戊醛</x:v>
      </x:c>
      <x:c r="G288" s="3" t="str">
        <x:v>1-辛烯-3-醇</x:v>
      </x:c>
      <x:c r="H288" s="3" t="str">
        <x:v>β-大马酮</x:v>
      </x:c>
      <x:c r="I288" s="3" t="str">
        <x:v>M</x:v>
      </x:c>
      <x:c r="J288" s="3" t="str">
        <x:v>L</x:v>
      </x:c>
      <x:c r="K288" s="3" t="str">
        <x:v>H</x:v>
      </x:c>
      <x:c r="L288" s="3" t="str">
        <x:v>H</x:v>
      </x:c>
      <x:c r="M288" s="9" t="n">
        <x:f>IF(Y288="","",INDEX('浓度设置'!$P$6:$R$46,MATCH(Y288,'浓度设置'!$A$6:$A$46,0),IF(I288="L",1,IF(I288="M",2,3))))</x:f>
        <x:v>3147.945</x:v>
      </x:c>
      <x:c r="N288" s="9" t="n">
        <x:f>IF(Z288="","",INDEX('浓度设置'!$P$6:$R$46,MATCH(Z288,'浓度设置'!$A$6:$A$46,0),IF(J288="L",1,IF(J288="M",2,3))))</x:f>
        <x:v>4.84</x:v>
      </x:c>
      <x:c r="O288" s="9" t="n">
        <x:f>IF(AA288="","",INDEX('浓度设置'!$P$6:$R$46,MATCH(AA288,'浓度设置'!$A$6:$A$46,0),IF(K288="L",1,IF(K288="M",2,3))))</x:f>
        <x:v>271.45</x:v>
      </x:c>
      <x:c r="P288" s="9" t="n">
        <x:f>IF(AB288="","",INDEX('浓度设置'!$P$6:$R$46,MATCH(AB288,'浓度设置'!$A$6:$A$46,0),IF(L288="L",1,IF(L288="M",2,3))))</x:f>
        <x:v>60.76</x:v>
      </x:c>
      <x:c r="Q288" s="9" t="n">
        <x:f>IF(Y288="","",M288/INDEX('浓度设置'!$M$6:$M$46,MATCH(Y288,'浓度设置'!$A$6:$A$46,0)))</x:f>
        <x:v>1.7488583333333334</x:v>
      </x:c>
      <x:c r="R288" s="9" t="n">
        <x:f>IF(Z288="","",N288/INDEX('浓度设置'!$M$6:$M$46,MATCH(Z288,'浓度设置'!$A$6:$A$46,0)))</x:f>
        <x:v>0.29333333333333333</x:v>
      </x:c>
      <x:c r="S288" s="9" t="n">
        <x:f>IF(AA288="","",O288/INDEX('浓度设置'!$M$6:$M$46,MATCH(AA288,'浓度设置'!$A$6:$A$46,0)))</x:f>
        <x:v>44.35457516339869</x:v>
      </x:c>
      <x:c r="T288" s="9" t="n">
        <x:f>IF(AB288="","",P288/INDEX('浓度设置'!$M$6:$M$46,MATCH(AB288,'浓度设置'!$A$6:$A$46,0)))</x:f>
        <x:v>506.3333333333333</x:v>
      </x:c>
      <x:c r="U288" s="9" t="n">
        <x:f>IF(Y288="","",M288*$AD288/1000)</x:f>
        <x:v>62.9589</x:v>
      </x:c>
      <x:c r="V288" s="9" t="n">
        <x:f>IF(Z288="","",N288*$AD288/1000)</x:f>
        <x:v>0.0968</x:v>
      </x:c>
      <x:c r="W288" s="9" t="n">
        <x:f>IF(AA288="","",O288*$AD288/1000)</x:f>
        <x:v>5.429</x:v>
      </x:c>
      <x:c r="X288" s="9" t="n">
        <x:f>IF(AB288="","",P288*$AD288/1000)</x:f>
        <x:v>1.2152</x:v>
      </x:c>
      <x:c r="Y288" s="3" t="n">
        <x:v>114</x:v>
      </x:c>
      <x:c r="Z288" s="3" t="n">
        <x:v>152</x:v>
      </x:c>
      <x:c r="AA288" s="3" t="n">
        <x:v>207</x:v>
      </x:c>
      <x:c r="AB288" s="3" t="n">
        <x:v>255</x:v>
      </x:c>
      <x:c r="AC288" s="3" t="n">
        <x:v>4</x:v>
      </x:c>
      <x:c r="AD288" s="3" t="n">
        <x:f>'方案总览'!$B$5</x:f>
        <x:v>20</x:v>
      </x:c>
    </x:row>
    <x:row r="289" ht="24" customHeight="1">
      <x:c r="A289" s="3" t="str">
        <x:v>T284</x:v>
      </x:c>
      <x:c r="B289" s="3" t="str">
        <x:v>拟合</x:v>
      </x:c>
      <x:c r="C289" s="3" t="str">
        <x:v>C198</x:v>
      </x:c>
      <x:c r="D289" s="3" t="str"/>
      <x:c r="E289" s="3" t="str">
        <x:v>丁酸异戊酯</x:v>
      </x:c>
      <x:c r="F289" s="3" t="str">
        <x:v>异戊酸乙酯（3-甲基丁酸乙酯）</x:v>
      </x:c>
      <x:c r="G289" s="3" t="str">
        <x:v>乙酸丁酯</x:v>
      </x:c>
      <x:c r="H289" s="3" t="str">
        <x:v>辛酸</x:v>
      </x:c>
      <x:c r="I289" s="3" t="str">
        <x:v>H</x:v>
      </x:c>
      <x:c r="J289" s="3" t="str">
        <x:v>H</x:v>
      </x:c>
      <x:c r="K289" s="3" t="str">
        <x:v>H</x:v>
      </x:c>
      <x:c r="L289" s="3" t="str">
        <x:v>M</x:v>
      </x:c>
      <x:c r="M289" s="9" t="n">
        <x:f>IF(Y289="","",INDEX('浓度设置'!$P$6:$R$46,MATCH(Y289,'浓度设置'!$A$6:$A$46,0),IF(I289="L",1,IF(I289="M",2,3))))</x:f>
        <x:v>4105</x:v>
      </x:c>
      <x:c r="N289" s="9" t="n">
        <x:f>IF(Z289="","",INDEX('浓度设置'!$P$6:$R$46,MATCH(Z289,'浓度设置'!$A$6:$A$46,0),IF(J289="L",1,IF(J289="M",2,3))))</x:f>
        <x:v>12022.2</x:v>
      </x:c>
      <x:c r="O289" s="9" t="n">
        <x:f>IF(AA289="","",INDEX('浓度设置'!$P$6:$R$46,MATCH(AA289,'浓度设置'!$A$6:$A$46,0),IF(K289="L",1,IF(K289="M",2,3))))</x:f>
        <x:v>47100</x:v>
      </x:c>
      <x:c r="P289" s="9" t="n">
        <x:f>IF(AB289="","",INDEX('浓度设置'!$P$6:$R$46,MATCH(AB289,'浓度设置'!$A$6:$A$46,0),IF(L289="L",1,IF(L289="M",2,3))))</x:f>
        <x:v>274.54883445390914</x:v>
      </x:c>
      <x:c r="Q289" s="9" t="n">
        <x:f>IF(Y289="","",M289/INDEX('浓度设置'!$M$6:$M$46,MATCH(Y289,'浓度设置'!$A$6:$A$46,0)))</x:f>
        <x:v>4.4863387978142075</x:v>
      </x:c>
      <x:c r="R289" s="9" t="n">
        <x:f>IF(Z289="","",N289/INDEX('浓度设置'!$M$6:$M$46,MATCH(Z289,'浓度设置'!$A$6:$A$46,0)))</x:f>
        <x:v>1744.8766328011613</x:v>
      </x:c>
      <x:c r="S289" s="9" t="n">
        <x:f>IF(AA289="","",O289/INDEX('浓度设置'!$M$6:$M$46,MATCH(AA289,'浓度设置'!$A$6:$A$46,0)))</x:f>
        <x:v>26.166666666666668</x:v>
      </x:c>
      <x:c r="T289" s="9" t="n">
        <x:f>IF(AB289="","",P289/INDEX('浓度设置'!$M$6:$M$46,MATCH(AB289,'浓度设置'!$A$6:$A$46,0)))</x:f>
        <x:v>0.10168475350144783</x:v>
      </x:c>
      <x:c r="U289" s="9" t="n">
        <x:f>IF(Y289="","",M289*$AD289/1000)</x:f>
        <x:v>82.1</x:v>
      </x:c>
      <x:c r="V289" s="9" t="n">
        <x:f>IF(Z289="","",N289*$AD289/1000)</x:f>
        <x:v>240.444</x:v>
      </x:c>
      <x:c r="W289" s="9" t="n">
        <x:f>IF(AA289="","",O289*$AD289/1000)</x:f>
        <x:v>942</x:v>
      </x:c>
      <x:c r="X289" s="9" t="n">
        <x:f>IF(AB289="","",P289*$AD289/1000)</x:f>
        <x:v>5.490976689078183</x:v>
      </x:c>
      <x:c r="Y289" s="3" t="n">
        <x:v>56</x:v>
      </x:c>
      <x:c r="Z289" s="3" t="n">
        <x:v>69</x:v>
      </x:c>
      <x:c r="AA289" s="3" t="n">
        <x:v>114</x:v>
      </x:c>
      <x:c r="AB289" s="3" t="n">
        <x:v>117</x:v>
      </x:c>
      <x:c r="AC289" s="3" t="n">
        <x:v>4</x:v>
      </x:c>
      <x:c r="AD289" s="3" t="n">
        <x:f>'方案总览'!$B$5</x:f>
        <x:v>20</x:v>
      </x:c>
    </x:row>
    <x:row r="290" ht="24" customHeight="1">
      <x:c r="A290" s="3" t="str">
        <x:v>T285</x:v>
      </x:c>
      <x:c r="B290" s="3" t="str">
        <x:v>拟合</x:v>
      </x:c>
      <x:c r="C290" s="3" t="str">
        <x:v>C199</x:v>
      </x:c>
      <x:c r="D290" s="3" t="str"/>
      <x:c r="E290" s="3" t="str">
        <x:v>己醛</x:v>
      </x:c>
      <x:c r="F290" s="3" t="str">
        <x:v>苯乙酸乙酯</x:v>
      </x:c>
      <x:c r="G290" s="3" t="str">
        <x:v>丁酸乙酯</x:v>
      </x:c>
      <x:c r="H290" s="3" t="str">
        <x:v>辛酸乙酯</x:v>
      </x:c>
      <x:c r="I290" s="3" t="str">
        <x:v>H</x:v>
      </x:c>
      <x:c r="J290" s="3" t="str">
        <x:v>M</x:v>
      </x:c>
      <x:c r="K290" s="3" t="str">
        <x:v>H</x:v>
      </x:c>
      <x:c r="L290" s="3" t="str">
        <x:v>M</x:v>
      </x:c>
      <x:c r="M290" s="9" t="n">
        <x:f>IF(Y290="","",INDEX('浓度设置'!$P$6:$R$46,MATCH(Y290,'浓度设置'!$A$6:$A$46,0),IF(I290="L",1,IF(I290="M",2,3))))</x:f>
        <x:v>3075.94</x:v>
      </x:c>
      <x:c r="N290" s="9" t="n">
        <x:f>IF(Z290="","",INDEX('浓度设置'!$P$6:$R$46,MATCH(Z290,'浓度设置'!$A$6:$A$46,0),IF(J290="L",1,IF(J290="M",2,3))))</x:f>
        <x:v>200.3122562401013</x:v>
      </x:c>
      <x:c r="O290" s="9" t="n">
        <x:f>IF(AA290="","",INDEX('浓度设置'!$P$6:$R$46,MATCH(AA290,'浓度设置'!$A$6:$A$46,0),IF(K290="L",1,IF(K290="M",2,3))))</x:f>
        <x:v>1290235</x:v>
      </x:c>
      <x:c r="P290" s="9" t="n">
        <x:f>IF(AB290="","",INDEX('浓度设置'!$P$6:$R$46,MATCH(AB290,'浓度设置'!$A$6:$A$46,0),IF(L290="L",1,IF(L290="M",2,3))))</x:f>
        <x:v>3072.731960324558</x:v>
      </x:c>
      <x:c r="Q290" s="9" t="n">
        <x:f>IF(Y290="","",M290/INDEX('浓度设置'!$M$6:$M$46,MATCH(Y290,'浓度设置'!$A$6:$A$46,0)))</x:f>
        <x:v>120.62509803921569</x:v>
      </x:c>
      <x:c r="R290" s="9" t="n">
        <x:f>IF(Z290="","",N290/INDEX('浓度设置'!$M$6:$M$46,MATCH(Z290,'浓度设置'!$A$6:$A$46,0)))</x:f>
        <x:v>0.49216770574963464</x:v>
      </x:c>
      <x:c r="S290" s="9" t="n">
        <x:f>IF(AA290="","",O290/INDEX('浓度设置'!$M$6:$M$46,MATCH(AA290,'浓度设置'!$A$6:$A$46,0)))</x:f>
        <x:v>15831.104294478528</x:v>
      </x:c>
      <x:c r="T290" s="9" t="n">
        <x:f>IF(AB290="","",P290/INDEX('浓度设置'!$M$6:$M$46,MATCH(AB290,'浓度设置'!$A$6:$A$46,0)))</x:f>
        <x:v>238.19627599415176</x:v>
      </x:c>
      <x:c r="U290" s="9" t="n">
        <x:f>IF(Y290="","",M290*$AD290/1000)</x:f>
        <x:v>61.518800000000006</x:v>
      </x:c>
      <x:c r="V290" s="9" t="n">
        <x:f>IF(Z290="","",N290*$AD290/1000)</x:f>
        <x:v>4.006245124802026</x:v>
      </x:c>
      <x:c r="W290" s="9" t="n">
        <x:f>IF(AA290="","",O290*$AD290/1000)</x:f>
        <x:v>25804.7</x:v>
      </x:c>
      <x:c r="X290" s="9" t="n">
        <x:f>IF(AB290="","",P290*$AD290/1000)</x:f>
        <x:v>61.45463920649116</x:v>
      </x:c>
      <x:c r="Y290" s="3" t="n">
        <x:v>7</x:v>
      </x:c>
      <x:c r="Z290" s="3" t="n">
        <x:v>40</x:v>
      </x:c>
      <x:c r="AA290" s="3" t="n">
        <x:v>52</x:v>
      </x:c>
      <x:c r="AB290" s="3" t="n">
        <x:v>58</x:v>
      </x:c>
      <x:c r="AC290" s="3" t="n">
        <x:v>4</x:v>
      </x:c>
      <x:c r="AD290" s="3" t="n">
        <x:f>'方案总览'!$B$5</x:f>
        <x:v>20</x:v>
      </x:c>
    </x:row>
    <x:row r="291" ht="24" customHeight="1">
      <x:c r="A291" s="3" t="str">
        <x:v>T286</x:v>
      </x:c>
      <x:c r="B291" s="3" t="str">
        <x:v>拟合</x:v>
      </x:c>
      <x:c r="C291" s="3" t="str">
        <x:v>C200</x:v>
      </x:c>
      <x:c r="D291" s="3" t="str"/>
      <x:c r="E291" s="3" t="str">
        <x:v>丁酸乙酯</x:v>
      </x:c>
      <x:c r="F291" s="3" t="str">
        <x:v>1-辛醇</x:v>
      </x:c>
      <x:c r="G291" s="3" t="str">
        <x:v>己酸</x:v>
      </x:c>
      <x:c r="H291" s="3" t="str">
        <x:v>己酸丁酯</x:v>
      </x:c>
      <x:c r="I291" s="3" t="str">
        <x:v>M</x:v>
      </x:c>
      <x:c r="J291" s="3" t="str">
        <x:v>M</x:v>
      </x:c>
      <x:c r="K291" s="3" t="str">
        <x:v>L</x:v>
      </x:c>
      <x:c r="L291" s="3" t="str">
        <x:v>M</x:v>
      </x:c>
      <x:c r="M291" s="9" t="n">
        <x:f>IF(Y291="","",INDEX('浓度设置'!$P$6:$R$46,MATCH(Y291,'浓度设置'!$A$6:$A$46,0),IF(I291="L",1,IF(I291="M",2,3))))</x:f>
        <x:v>2338.9306103431118</x:v>
      </x:c>
      <x:c r="N291" s="9" t="n">
        <x:f>IF(Z291="","",INDEX('浓度设置'!$P$6:$R$46,MATCH(Z291,'浓度设置'!$A$6:$A$46,0),IF(J291="L",1,IF(J291="M",2,3))))</x:f>
        <x:v>1232.25</x:v>
      </x:c>
      <x:c r="O291" s="9" t="n">
        <x:f>IF(AA291="","",INDEX('浓度设置'!$P$6:$R$46,MATCH(AA291,'浓度设置'!$A$6:$A$46,0),IF(K291="L",1,IF(K291="M",2,3))))</x:f>
        <x:v>2.125</x:v>
      </x:c>
      <x:c r="P291" s="9" t="n">
        <x:f>IF(AB291="","",INDEX('浓度设置'!$P$6:$R$46,MATCH(AB291,'浓度设置'!$A$6:$A$46,0),IF(L291="L",1,IF(L291="M",2,3))))</x:f>
        <x:v>823.735</x:v>
      </x:c>
      <x:c r="Q291" s="9" t="n">
        <x:f>IF(Y291="","",M291/INDEX('浓度设置'!$M$6:$M$46,MATCH(Y291,'浓度设置'!$A$6:$A$46,0)))</x:f>
        <x:v>28.6985350962345</x:v>
      </x:c>
      <x:c r="R291" s="9" t="n">
        <x:f>IF(Z291="","",N291/INDEX('浓度设置'!$M$6:$M$46,MATCH(Z291,'浓度设置'!$A$6:$A$46,0)))</x:f>
        <x:v>1.1202272727272726</x:v>
      </x:c>
      <x:c r="S291" s="9" t="n">
        <x:f>IF(AA291="","",O291/INDEX('浓度设置'!$M$6:$M$46,MATCH(AA291,'浓度设置'!$A$6:$A$46,0)))</x:f>
        <x:v>0.0008432539682539683</x:v>
      </x:c>
      <x:c r="T291" s="9" t="n">
        <x:f>IF(AB291="","",P291/INDEX('浓度设置'!$M$6:$M$46,MATCH(AB291,'浓度设置'!$A$6:$A$46,0)))</x:f>
        <x:v>1.2152351587395256</x:v>
      </x:c>
      <x:c r="U291" s="9" t="n">
        <x:f>IF(Y291="","",M291*$AD291/1000)</x:f>
        <x:v>46.778612206862235</x:v>
      </x:c>
      <x:c r="V291" s="9" t="n">
        <x:f>IF(Z291="","",N291*$AD291/1000)</x:f>
        <x:v>24.645</x:v>
      </x:c>
      <x:c r="W291" s="9" t="n">
        <x:f>IF(AA291="","",O291*$AD291/1000)</x:f>
        <x:v>0.0425</x:v>
      </x:c>
      <x:c r="X291" s="9" t="n">
        <x:f>IF(AB291="","",P291*$AD291/1000)</x:f>
        <x:v>16.474700000000002</x:v>
      </x:c>
      <x:c r="Y291" s="3" t="n">
        <x:v>52</x:v>
      </x:c>
      <x:c r="Z291" s="3" t="n">
        <x:v>90</x:v>
      </x:c>
      <x:c r="AA291" s="3" t="n">
        <x:v>126</x:v>
      </x:c>
      <x:c r="AB291" s="3" t="n">
        <x:v>165</x:v>
      </x:c>
      <x:c r="AC291" s="3" t="n">
        <x:v>4</x:v>
      </x:c>
      <x:c r="AD291" s="3" t="n">
        <x:f>'方案总览'!$B$5</x:f>
        <x:v>20</x:v>
      </x:c>
    </x:row>
    <x:row r="292" ht="24" customHeight="1">
      <x:c r="A292" s="3" t="str">
        <x:v>T287</x:v>
      </x:c>
      <x:c r="B292" s="3" t="str">
        <x:v>拟合</x:v>
      </x:c>
      <x:c r="C292" s="3" t="str">
        <x:v>C201</x:v>
      </x:c>
      <x:c r="D292" s="3" t="str"/>
      <x:c r="E292" s="3" t="str">
        <x:v>异戊酸/3-甲基丁酸</x:v>
      </x:c>
      <x:c r="F292" s="3" t="str">
        <x:v>二甲基三硫醚</x:v>
      </x:c>
      <x:c r="G292" s="3" t="str">
        <x:v>己酸己酯</x:v>
      </x:c>
      <x:c r="H292" s="3" t="str">
        <x:v>2-甲基丁酸乙酯</x:v>
      </x:c>
      <x:c r="I292" s="3" t="str">
        <x:v>L</x:v>
      </x:c>
      <x:c r="J292" s="3" t="str">
        <x:v>L</x:v>
      </x:c>
      <x:c r="K292" s="3" t="str">
        <x:v>H</x:v>
      </x:c>
      <x:c r="L292" s="3" t="str">
        <x:v>H</x:v>
      </x:c>
      <x:c r="M292" s="9" t="n">
        <x:f>IF(Y292="","",INDEX('浓度设置'!$P$6:$R$46,MATCH(Y292,'浓度设置'!$A$6:$A$46,0),IF(I292="L",1,IF(I292="M",2,3))))</x:f>
        <x:v>1.1875</x:v>
      </x:c>
      <x:c r="N292" s="9" t="n">
        <x:f>IF(Z292="","",INDEX('浓度设置'!$P$6:$R$46,MATCH(Z292,'浓度设置'!$A$6:$A$46,0),IF(J292="L",1,IF(J292="M",2,3))))</x:f>
        <x:v>0.28</x:v>
      </x:c>
      <x:c r="O292" s="9" t="n">
        <x:f>IF(AA292="","",INDEX('浓度设置'!$P$6:$R$46,MATCH(AA292,'浓度设置'!$A$6:$A$46,0),IF(K292="L",1,IF(K292="M",2,3))))</x:f>
        <x:v>193759</x:v>
      </x:c>
      <x:c r="P292" s="9" t="n">
        <x:f>IF(AB292="","",INDEX('浓度设置'!$P$6:$R$46,MATCH(AB292,'浓度设置'!$A$6:$A$46,0),IF(L292="L",1,IF(L292="M",2,3))))</x:f>
        <x:v>1611</x:v>
      </x:c>
      <x:c r="Q292" s="9" t="n">
        <x:f>IF(Y292="","",M292/INDEX('浓度设置'!$M$6:$M$46,MATCH(Y292,'浓度设置'!$A$6:$A$46,0)))</x:f>
        <x:v>0.001130952380952381</x:v>
      </x:c>
      <x:c r="R292" s="9" t="n">
        <x:f>IF(Z292="","",N292/INDEX('浓度设置'!$M$6:$M$46,MATCH(Z292,'浓度设置'!$A$6:$A$46,0)))</x:f>
        <x:v>0.7777777777777779</x:v>
      </x:c>
      <x:c r="S292" s="9" t="n">
        <x:f>IF(AA292="","",O292/INDEX('浓度设置'!$M$6:$M$46,MATCH(AA292,'浓度设置'!$A$6:$A$46,0)))</x:f>
        <x:v>102.46377578001058</x:v>
      </x:c>
      <x:c r="T292" s="9" t="n">
        <x:f>IF(AB292="","",P292/INDEX('浓度设置'!$M$6:$M$46,MATCH(AB292,'浓度设置'!$A$6:$A$46,0)))</x:f>
        <x:v>89.5</x:v>
      </x:c>
      <x:c r="U292" s="9" t="n">
        <x:f>IF(Y292="","",M292*$AD292/1000)</x:f>
        <x:v>0.02375</x:v>
      </x:c>
      <x:c r="V292" s="9" t="n">
        <x:f>IF(Z292="","",N292*$AD292/1000)</x:f>
        <x:v>0.005600000000000001</x:v>
      </x:c>
      <x:c r="W292" s="9" t="n">
        <x:f>IF(AA292="","",O292*$AD292/1000)</x:f>
        <x:v>3875.18</x:v>
      </x:c>
      <x:c r="X292" s="9" t="n">
        <x:f>IF(AB292="","",P292*$AD292/1000)</x:f>
        <x:v>32.22</x:v>
      </x:c>
      <x:c r="Y292" s="3" t="n">
        <x:v>136</x:v>
      </x:c>
      <x:c r="Z292" s="3" t="n">
        <x:v>209</x:v>
      </x:c>
      <x:c r="AA292" s="3" t="n">
        <x:v>227</x:v>
      </x:c>
      <x:c r="AB292" s="3" t="n">
        <x:v>232</x:v>
      </x:c>
      <x:c r="AC292" s="3" t="n">
        <x:v>4</x:v>
      </x:c>
      <x:c r="AD292" s="3" t="n">
        <x:f>'方案总览'!$B$5</x:f>
        <x:v>20</x:v>
      </x:c>
    </x:row>
    <x:row r="293" ht="24" customHeight="1">
      <x:c r="A293" s="3" t="str">
        <x:v>T288</x:v>
      </x:c>
      <x:c r="B293" s="3" t="str">
        <x:v>拟合</x:v>
      </x:c>
      <x:c r="C293" s="3" t="str">
        <x:v>C202</x:v>
      </x:c>
      <x:c r="D293" s="3" t="str"/>
      <x:c r="E293" s="3" t="str">
        <x:v>对甲酚</x:v>
      </x:c>
      <x:c r="F293" s="3" t="str">
        <x:v>苯乙醛</x:v>
      </x:c>
      <x:c r="G293" s="3" t="str">
        <x:v>己酸乙酯</x:v>
      </x:c>
      <x:c r="H293" s="3" t="str">
        <x:v>1-辛烯-3-醇</x:v>
      </x:c>
      <x:c r="I293" s="3" t="str">
        <x:v>L</x:v>
      </x:c>
      <x:c r="J293" s="3" t="str">
        <x:v>M</x:v>
      </x:c>
      <x:c r="K293" s="3" t="str">
        <x:v>H</x:v>
      </x:c>
      <x:c r="L293" s="3" t="str">
        <x:v>H</x:v>
      </x:c>
      <x:c r="M293" s="9" t="n">
        <x:f>IF(Y293="","",INDEX('浓度设置'!$P$6:$R$46,MATCH(Y293,'浓度设置'!$A$6:$A$46,0),IF(I293="L",1,IF(I293="M",2,3))))</x:f>
        <x:v>0.51</x:v>
      </x:c>
      <x:c r="N293" s="9" t="n">
        <x:f>IF(Z293="","",INDEX('浓度设置'!$P$6:$R$46,MATCH(Z293,'浓度设置'!$A$6:$A$46,0),IF(J293="L",1,IF(J293="M",2,3))))</x:f>
        <x:v>28.044607324760317</x:v>
      </x:c>
      <x:c r="O293" s="9" t="n">
        <x:f>IF(AA293="","",INDEX('浓度设置'!$P$6:$R$46,MATCH(AA293,'浓度设置'!$A$6:$A$46,0),IF(K293="L",1,IF(K293="M",2,3))))</x:f>
        <x:v>9622120</x:v>
      </x:c>
      <x:c r="P293" s="9" t="n">
        <x:f>IF(AB293="","",INDEX('浓度设置'!$P$6:$R$46,MATCH(AB293,'浓度设置'!$A$6:$A$46,0),IF(L293="L",1,IF(L293="M",2,3))))</x:f>
        <x:v>271.45</x:v>
      </x:c>
      <x:c r="Q293" s="9" t="n">
        <x:f>IF(Y293="","",M293/INDEX('浓度设置'!$M$6:$M$46,MATCH(Y293,'浓度设置'!$A$6:$A$46,0)))</x:f>
        <x:v>0.003053892215568862</x:v>
      </x:c>
      <x:c r="R293" s="9" t="n">
        <x:f>IF(Z293="","",N293/INDEX('浓度设置'!$M$6:$M$46,MATCH(Z293,'浓度设置'!$A$6:$A$46,0)))</x:f>
        <x:v>0.10704048597236762</x:v>
      </x:c>
      <x:c r="S293" s="9" t="n">
        <x:f>IF(AA293="","",O293/INDEX('浓度设置'!$M$6:$M$46,MATCH(AA293,'浓度设置'!$A$6:$A$46,0)))</x:f>
        <x:v>173998.5533453888</x:v>
      </x:c>
      <x:c r="T293" s="9" t="n">
        <x:f>IF(AB293="","",P293/INDEX('浓度设置'!$M$6:$M$46,MATCH(AB293,'浓度设置'!$A$6:$A$46,0)))</x:f>
        <x:v>44.35457516339869</x:v>
      </x:c>
      <x:c r="U293" s="9" t="n">
        <x:f>IF(Y293="","",M293*$AD293/1000)</x:f>
        <x:v>0.010199999999999999</x:v>
      </x:c>
      <x:c r="V293" s="9" t="n">
        <x:f>IF(Z293="","",N293*$AD293/1000)</x:f>
        <x:v>0.5608921464952064</x:v>
      </x:c>
      <x:c r="W293" s="9" t="n">
        <x:f>IF(AA293="","",O293*$AD293/1000)</x:f>
        <x:v>192442.4</x:v>
      </x:c>
      <x:c r="X293" s="9" t="n">
        <x:f>IF(AB293="","",P293*$AD293/1000)</x:f>
        <x:v>5.429</x:v>
      </x:c>
      <x:c r="Y293" s="3" t="n">
        <x:v>61</x:v>
      </x:c>
      <x:c r="Z293" s="3" t="n">
        <x:v>105</x:v>
      </x:c>
      <x:c r="AA293" s="3" t="n">
        <x:v>111</x:v>
      </x:c>
      <x:c r="AB293" s="3" t="n">
        <x:v>207</x:v>
      </x:c>
      <x:c r="AC293" s="3" t="n">
        <x:v>4</x:v>
      </x:c>
      <x:c r="AD293" s="3" t="n">
        <x:f>'方案总览'!$B$5</x:f>
        <x:v>20</x:v>
      </x:c>
    </x:row>
    <x:row r="294" ht="24" customHeight="1">
      <x:c r="A294" s="3" t="str">
        <x:v>T289</x:v>
      </x:c>
      <x:c r="B294" s="3" t="str">
        <x:v>拟合</x:v>
      </x:c>
      <x:c r="C294" s="3" t="str">
        <x:v>C203</x:v>
      </x:c>
      <x:c r="D294" s="3" t="str"/>
      <x:c r="E294" s="3" t="str">
        <x:v>1-丁醇</x:v>
      </x:c>
      <x:c r="F294" s="3" t="str">
        <x:v>异丁酸乙酯</x:v>
      </x:c>
      <x:c r="G294" s="3" t="str">
        <x:v>苯乙酸乙酯</x:v>
      </x:c>
      <x:c r="H294" s="3" t="str">
        <x:v>癸酸乙酯</x:v>
      </x:c>
      <x:c r="I294" s="3" t="str">
        <x:v>M</x:v>
      </x:c>
      <x:c r="J294" s="3" t="str">
        <x:v>L</x:v>
      </x:c>
      <x:c r="K294" s="3" t="str">
        <x:v>H</x:v>
      </x:c>
      <x:c r="L294" s="3" t="str">
        <x:v>M</x:v>
      </x:c>
      <x:c r="M294" s="9" t="n">
        <x:f>IF(Y294="","",INDEX('浓度设置'!$P$6:$R$46,MATCH(Y294,'浓度设置'!$A$6:$A$46,0),IF(I294="L",1,IF(I294="M",2,3))))</x:f>
        <x:v>4198.825192836682</x:v>
      </x:c>
      <x:c r="N294" s="9" t="n">
        <x:f>IF(Z294="","",INDEX('浓度设置'!$P$6:$R$46,MATCH(Z294,'浓度设置'!$A$6:$A$46,0),IF(J294="L",1,IF(J294="M",2,3))))</x:f>
        <x:v>18.68</x:v>
      </x:c>
      <x:c r="O294" s="9" t="n">
        <x:f>IF(AA294="","",INDEX('浓度设置'!$P$6:$R$46,MATCH(AA294,'浓度设置'!$A$6:$A$46,0),IF(K294="L",1,IF(K294="M",2,3))))</x:f>
        <x:v>21400</x:v>
      </x:c>
      <x:c r="P294" s="9" t="n">
        <x:f>IF(AB294="","",INDEX('浓度设置'!$P$6:$R$46,MATCH(AB294,'浓度设置'!$A$6:$A$46,0),IF(L294="L",1,IF(L294="M",2,3))))</x:f>
        <x:v>1288.255</x:v>
      </x:c>
      <x:c r="Q294" s="9" t="n">
        <x:f>IF(Y294="","",M294/INDEX('浓度设置'!$M$6:$M$46,MATCH(Y294,'浓度设置'!$A$6:$A$46,0)))</x:f>
        <x:v>1.5363429172472307</x:v>
      </x:c>
      <x:c r="R294" s="9" t="n">
        <x:f>IF(Z294="","",N294/INDEX('浓度设置'!$M$6:$M$46,MATCH(Z294,'浓度设置'!$A$6:$A$46,0)))</x:f>
        <x:v>0.3248695652173913</x:v>
      </x:c>
      <x:c r="S294" s="9" t="n">
        <x:f>IF(AA294="","",O294/INDEX('浓度设置'!$M$6:$M$46,MATCH(AA294,'浓度设置'!$A$6:$A$46,0)))</x:f>
        <x:v>52.57985257985258</x:v>
      </x:c>
      <x:c r="T294" s="9" t="n">
        <x:f>IF(AB294="","",P294/INDEX('浓度设置'!$M$6:$M$46,MATCH(AB294,'浓度设置'!$A$6:$A$46,0)))</x:f>
        <x:v>1.1502276785714287</x:v>
      </x:c>
      <x:c r="U294" s="9" t="n">
        <x:f>IF(Y294="","",M294*$AD294/1000)</x:f>
        <x:v>83.97650385673363</x:v>
      </x:c>
      <x:c r="V294" s="9" t="n">
        <x:f>IF(Z294="","",N294*$AD294/1000)</x:f>
        <x:v>0.37360000000000004</x:v>
      </x:c>
      <x:c r="W294" s="9" t="n">
        <x:f>IF(AA294="","",O294*$AD294/1000)</x:f>
        <x:v>428</x:v>
      </x:c>
      <x:c r="X294" s="9" t="n">
        <x:f>IF(AB294="","",P294*$AD294/1000)</x:f>
        <x:v>25.765100000000004</x:v>
      </x:c>
      <x:c r="Y294" s="3" t="n">
        <x:v>11</x:v>
      </x:c>
      <x:c r="Z294" s="3" t="n">
        <x:v>32</x:v>
      </x:c>
      <x:c r="AA294" s="3" t="n">
        <x:v>40</x:v>
      </x:c>
      <x:c r="AB294" s="3" t="n">
        <x:v>79</x:v>
      </x:c>
      <x:c r="AC294" s="3" t="n">
        <x:v>4</x:v>
      </x:c>
      <x:c r="AD294" s="3" t="n">
        <x:f>'方案总览'!$B$5</x:f>
        <x:v>20</x:v>
      </x:c>
    </x:row>
    <x:row r="295" ht="24" customHeight="1">
      <x:c r="A295" s="3" t="str">
        <x:v>T290</x:v>
      </x:c>
      <x:c r="B295" s="3" t="str">
        <x:v>拟合</x:v>
      </x:c>
      <x:c r="C295" s="3" t="str">
        <x:v>C204</x:v>
      </x:c>
      <x:c r="D295" s="3" t="str"/>
      <x:c r="E295" s="3" t="str">
        <x:v>2-甲基丙醛</x:v>
      </x:c>
      <x:c r="F295" s="3" t="str">
        <x:v>乙酸异戊酯</x:v>
      </x:c>
      <x:c r="G295" s="3" t="str">
        <x:v>辛酸</x:v>
      </x:c>
      <x:c r="H295" s="3" t="str">
        <x:v>β-大马酮</x:v>
      </x:c>
      <x:c r="I295" s="3" t="str">
        <x:v>L</x:v>
      </x:c>
      <x:c r="J295" s="3" t="str">
        <x:v>M</x:v>
      </x:c>
      <x:c r="K295" s="3" t="str">
        <x:v>H</x:v>
      </x:c>
      <x:c r="L295" s="3" t="str">
        <x:v>M</x:v>
      </x:c>
      <x:c r="M295" s="9" t="n">
        <x:f>IF(Y295="","",INDEX('浓度设置'!$P$6:$R$46,MATCH(Y295,'浓度设置'!$A$6:$A$46,0),IF(I295="L",1,IF(I295="M",2,3))))</x:f>
        <x:v>39</x:v>
      </x:c>
      <x:c r="N295" s="9" t="n">
        <x:f>IF(Z295="","",INDEX('浓度设置'!$P$6:$R$46,MATCH(Z295,'浓度设置'!$A$6:$A$46,0),IF(J295="L",1,IF(J295="M",2,3))))</x:f>
        <x:v>96.86609313893071</x:v>
      </x:c>
      <x:c r="O295" s="9" t="n">
        <x:f>IF(AA295="","",INDEX('浓度设置'!$P$6:$R$46,MATCH(AA295,'浓度设置'!$A$6:$A$46,0),IF(K295="L",1,IF(K295="M",2,3))))</x:f>
        <x:v>40201.1</x:v>
      </x:c>
      <x:c r="P295" s="9" t="n">
        <x:f>IF(AB295="","",INDEX('浓度设置'!$P$6:$R$46,MATCH(AB295,'浓度设置'!$A$6:$A$46,0),IF(L295="L",1,IF(L295="M",2,3))))</x:f>
        <x:v>9.546727187890099</x:v>
      </x:c>
      <x:c r="Q295" s="9" t="n">
        <x:f>IF(Y295="","",M295/INDEX('浓度设置'!$M$6:$M$46,MATCH(Y295,'浓度设置'!$A$6:$A$46,0)))</x:f>
        <x:v>6.610169491525423</x:v>
      </x:c>
      <x:c r="R295" s="9" t="n">
        <x:f>IF(Z295="","",N295/INDEX('浓度设置'!$M$6:$M$46,MATCH(Z295,'浓度设置'!$A$6:$A$46,0)))</x:f>
        <x:v>1.0315877863570895</x:v>
      </x:c>
      <x:c r="S295" s="9" t="n">
        <x:f>IF(AA295="","",O295/INDEX('浓度设置'!$M$6:$M$46,MATCH(AA295,'浓度设置'!$A$6:$A$46,0)))</x:f>
        <x:v>14.889296296296296</x:v>
      </x:c>
      <x:c r="T295" s="9" t="n">
        <x:f>IF(AB295="","",P295/INDEX('浓度设置'!$M$6:$M$46,MATCH(AB295,'浓度设置'!$A$6:$A$46,0)))</x:f>
        <x:v>79.55605989908416</x:v>
      </x:c>
      <x:c r="U295" s="9" t="n">
        <x:f>IF(Y295="","",M295*$AD295/1000)</x:f>
        <x:v>0.78</x:v>
      </x:c>
      <x:c r="V295" s="9" t="n">
        <x:f>IF(Z295="","",N295*$AD295/1000)</x:f>
        <x:v>1.9373218627786142</x:v>
      </x:c>
      <x:c r="W295" s="9" t="n">
        <x:f>IF(AA295="","",O295*$AD295/1000)</x:f>
        <x:v>804.022</x:v>
      </x:c>
      <x:c r="X295" s="9" t="n">
        <x:f>IF(AB295="","",P295*$AD295/1000)</x:f>
        <x:v>0.19093454375780197</x:v>
      </x:c>
      <x:c r="Y295" s="3" t="n">
        <x:v>18</x:v>
      </x:c>
      <x:c r="Z295" s="3" t="n">
        <x:v>115</x:v>
      </x:c>
      <x:c r="AA295" s="3" t="n">
        <x:v>117</x:v>
      </x:c>
      <x:c r="AB295" s="3" t="n">
        <x:v>255</x:v>
      </x:c>
      <x:c r="AC295" s="3" t="n">
        <x:v>4</x:v>
      </x:c>
      <x:c r="AD295" s="3" t="n">
        <x:f>'方案总览'!$B$5</x:f>
        <x:v>20</x:v>
      </x:c>
    </x:row>
    <x:row r="296" ht="24" customHeight="1">
      <x:c r="A296" s="3" t="str">
        <x:v>T291</x:v>
      </x:c>
      <x:c r="B296" s="3" t="str">
        <x:v>拟合</x:v>
      </x:c>
      <x:c r="C296" s="3" t="str">
        <x:v>C205</x:v>
      </x:c>
      <x:c r="D296" s="3" t="str"/>
      <x:c r="E296" s="3" t="str">
        <x:v>丁酸异戊酯</x:v>
      </x:c>
      <x:c r="F296" s="3" t="str">
        <x:v>1-辛醇</x:v>
      </x:c>
      <x:c r="G296" s="3" t="str">
        <x:v>苯乙醛</x:v>
      </x:c>
      <x:c r="H296" s="3" t="str">
        <x:v>3-苯基丙酸乙酯</x:v>
      </x:c>
      <x:c r="I296" s="3" t="str">
        <x:v>H</x:v>
      </x:c>
      <x:c r="J296" s="3" t="str">
        <x:v>M</x:v>
      </x:c>
      <x:c r="K296" s="3" t="str">
        <x:v>H</x:v>
      </x:c>
      <x:c r="L296" s="3" t="str">
        <x:v>M</x:v>
      </x:c>
      <x:c r="M296" s="9" t="n">
        <x:f>IF(Y296="","",INDEX('浓度设置'!$P$6:$R$46,MATCH(Y296,'浓度设置'!$A$6:$A$46,0),IF(I296="L",1,IF(I296="M",2,3))))</x:f>
        <x:v>4105</x:v>
      </x:c>
      <x:c r="N296" s="9" t="n">
        <x:f>IF(Z296="","",INDEX('浓度设置'!$P$6:$R$46,MATCH(Z296,'浓度设置'!$A$6:$A$46,0),IF(J296="L",1,IF(J296="M",2,3))))</x:f>
        <x:v>1232.25</x:v>
      </x:c>
      <x:c r="O296" s="9" t="n">
        <x:f>IF(AA296="","",INDEX('浓度设置'!$P$6:$R$46,MATCH(AA296,'浓度设置'!$A$6:$A$46,0),IF(K296="L",1,IF(K296="M",2,3))))</x:f>
        <x:v>15730</x:v>
      </x:c>
      <x:c r="P296" s="9" t="n">
        <x:f>IF(AB296="","",INDEX('浓度设置'!$P$6:$R$46,MATCH(AB296,'浓度设置'!$A$6:$A$46,0),IF(L296="L",1,IF(L296="M",2,3))))</x:f>
        <x:v>4262.731518639193</x:v>
      </x:c>
      <x:c r="Q296" s="9" t="n">
        <x:f>IF(Y296="","",M296/INDEX('浓度设置'!$M$6:$M$46,MATCH(Y296,'浓度设置'!$A$6:$A$46,0)))</x:f>
        <x:v>4.4863387978142075</x:v>
      </x:c>
      <x:c r="R296" s="9" t="n">
        <x:f>IF(Z296="","",N296/INDEX('浓度设置'!$M$6:$M$46,MATCH(Z296,'浓度设置'!$A$6:$A$46,0)))</x:f>
        <x:v>1.1202272727272726</x:v>
      </x:c>
      <x:c r="S296" s="9" t="n">
        <x:f>IF(AA296="","",O296/INDEX('浓度设置'!$M$6:$M$46,MATCH(AA296,'浓度设置'!$A$6:$A$46,0)))</x:f>
        <x:v>60.038167938931295</x:v>
      </x:c>
      <x:c r="T296" s="9" t="n">
        <x:f>IF(AB296="","",P296/INDEX('浓度设置'!$M$6:$M$46,MATCH(AB296,'浓度设置'!$A$6:$A$46,0)))</x:f>
        <x:v>34.10185214911355</x:v>
      </x:c>
      <x:c r="U296" s="9" t="n">
        <x:f>IF(Y296="","",M296*$AD296/1000)</x:f>
        <x:v>82.1</x:v>
      </x:c>
      <x:c r="V296" s="9" t="n">
        <x:f>IF(Z296="","",N296*$AD296/1000)</x:f>
        <x:v>24.645</x:v>
      </x:c>
      <x:c r="W296" s="9" t="n">
        <x:f>IF(AA296="","",O296*$AD296/1000)</x:f>
        <x:v>314.6</x:v>
      </x:c>
      <x:c r="X296" s="9" t="n">
        <x:f>IF(AB296="","",P296*$AD296/1000)</x:f>
        <x:v>85.25463037278386</x:v>
      </x:c>
      <x:c r="Y296" s="3" t="n">
        <x:v>56</x:v>
      </x:c>
      <x:c r="Z296" s="3" t="n">
        <x:v>90</x:v>
      </x:c>
      <x:c r="AA296" s="3" t="n">
        <x:v>105</x:v>
      </x:c>
      <x:c r="AB296" s="3" t="n">
        <x:v>186</x:v>
      </x:c>
      <x:c r="AC296" s="3" t="n">
        <x:v>4</x:v>
      </x:c>
      <x:c r="AD296" s="3" t="n">
        <x:f>'方案总览'!$B$5</x:f>
        <x:v>20</x:v>
      </x:c>
    </x:row>
    <x:row r="297" ht="24" customHeight="1">
      <x:c r="A297" s="3" t="str">
        <x:v>T292</x:v>
      </x:c>
      <x:c r="B297" s="3" t="str">
        <x:v>拟合</x:v>
      </x:c>
      <x:c r="C297" s="3" t="str">
        <x:v>C206</x:v>
      </x:c>
      <x:c r="D297" s="3" t="str"/>
      <x:c r="E297" s="3" t="str">
        <x:v>癸酸乙酯</x:v>
      </x:c>
      <x:c r="F297" s="3" t="str">
        <x:v>乙酸异戊酯</x:v>
      </x:c>
      <x:c r="G297" s="3" t="str">
        <x:v>己酸</x:v>
      </x:c>
      <x:c r="H297" s="3" t="str">
        <x:v>2-甲基丁酸乙酯</x:v>
      </x:c>
      <x:c r="I297" s="3" t="str">
        <x:v>H</x:v>
      </x:c>
      <x:c r="J297" s="3" t="str">
        <x:v>H</x:v>
      </x:c>
      <x:c r="K297" s="3" t="str">
        <x:v>H</x:v>
      </x:c>
      <x:c r="L297" s="3" t="str">
        <x:v>M</x:v>
      </x:c>
      <x:c r="M297" s="9" t="n">
        <x:f>IF(Y297="","",INDEX('浓度设置'!$P$6:$R$46,MATCH(Y297,'浓度设置'!$A$6:$A$46,0),IF(I297="L",1,IF(I297="M",2,3))))</x:f>
        <x:v>56115</x:v>
      </x:c>
      <x:c r="N297" s="9" t="n">
        <x:f>IF(Z297="","",INDEX('浓度设置'!$P$6:$R$46,MATCH(Z297,'浓度设置'!$A$6:$A$46,0),IF(J297="L",1,IF(J297="M",2,3))))</x:f>
        <x:v>6516</x:v>
      </x:c>
      <x:c r="O297" s="9" t="n">
        <x:f>IF(AA297="","",INDEX('浓度设置'!$P$6:$R$46,MATCH(AA297,'浓度设置'!$A$6:$A$46,0),IF(K297="L",1,IF(K297="M",2,3))))</x:f>
        <x:v>1551340.76</x:v>
      </x:c>
      <x:c r="P297" s="9" t="n">
        <x:f>IF(AB297="","",INDEX('浓度设置'!$P$6:$R$46,MATCH(AB297,'浓度设置'!$A$6:$A$46,0),IF(L297="L",1,IF(L297="M",2,3))))</x:f>
        <x:v>39.53062104242735</x:v>
      </x:c>
      <x:c r="Q297" s="9" t="n">
        <x:f>IF(Y297="","",M297/INDEX('浓度设置'!$M$6:$M$46,MATCH(Y297,'浓度设置'!$A$6:$A$46,0)))</x:f>
        <x:v>50.10267857142857</x:v>
      </x:c>
      <x:c r="R297" s="9" t="n">
        <x:f>IF(Z297="","",N297/INDEX('浓度设置'!$M$6:$M$46,MATCH(Z297,'浓度设置'!$A$6:$A$46,0)))</x:f>
        <x:v>69.39297124600638</x:v>
      </x:c>
      <x:c r="S297" s="9" t="n">
        <x:f>IF(AA297="","",O297/INDEX('浓度设置'!$M$6:$M$46,MATCH(AA297,'浓度设置'!$A$6:$A$46,0)))</x:f>
        <x:v>615.6114126984127</x:v>
      </x:c>
      <x:c r="T297" s="9" t="n">
        <x:f>IF(AB297="","",P297/INDEX('浓度设置'!$M$6:$M$46,MATCH(AB297,'浓度设置'!$A$6:$A$46,0)))</x:f>
        <x:v>2.196145613468186</x:v>
      </x:c>
      <x:c r="U297" s="9" t="n">
        <x:f>IF(Y297="","",M297*$AD297/1000)</x:f>
        <x:v>1122.3</x:v>
      </x:c>
      <x:c r="V297" s="9" t="n">
        <x:f>IF(Z297="","",N297*$AD297/1000)</x:f>
        <x:v>130.32</x:v>
      </x:c>
      <x:c r="W297" s="9" t="n">
        <x:f>IF(AA297="","",O297*$AD297/1000)</x:f>
        <x:v>31026.8152</x:v>
      </x:c>
      <x:c r="X297" s="9" t="n">
        <x:f>IF(AB297="","",P297*$AD297/1000)</x:f>
        <x:v>0.790612420848547</x:v>
      </x:c>
      <x:c r="Y297" s="3" t="n">
        <x:v>79</x:v>
      </x:c>
      <x:c r="Z297" s="3" t="n">
        <x:v>115</x:v>
      </x:c>
      <x:c r="AA297" s="3" t="n">
        <x:v>126</x:v>
      </x:c>
      <x:c r="AB297" s="3" t="n">
        <x:v>232</x:v>
      </x:c>
      <x:c r="AC297" s="3" t="n">
        <x:v>4</x:v>
      </x:c>
      <x:c r="AD297" s="3" t="n">
        <x:f>'方案总览'!$B$5</x:f>
        <x:v>20</x:v>
      </x:c>
    </x:row>
    <x:row r="298" ht="24" customHeight="1">
      <x:c r="A298" s="3" t="str">
        <x:v>T293</x:v>
      </x:c>
      <x:c r="B298" s="3" t="str">
        <x:v>拟合</x:v>
      </x:c>
      <x:c r="C298" s="3" t="str">
        <x:v>C207</x:v>
      </x:c>
      <x:c r="D298" s="3" t="str"/>
      <x:c r="E298" s="3" t="str">
        <x:v>1-丁醇</x:v>
      </x:c>
      <x:c r="F298" s="3" t="str">
        <x:v>异戊酸/3-甲基丁酸</x:v>
      </x:c>
      <x:c r="G298" s="3" t="str">
        <x:v>3-苯基丙酸乙酯</x:v>
      </x:c>
      <x:c r="H298" s="3" t="str">
        <x:v>β-大马酮</x:v>
      </x:c>
      <x:c r="I298" s="3" t="str">
        <x:v>M</x:v>
      </x:c>
      <x:c r="J298" s="3" t="str">
        <x:v>H</x:v>
      </x:c>
      <x:c r="K298" s="3" t="str">
        <x:v>L</x:v>
      </x:c>
      <x:c r="L298" s="3" t="str">
        <x:v>H</x:v>
      </x:c>
      <x:c r="M298" s="9" t="n">
        <x:f>IF(Y298="","",INDEX('浓度设置'!$P$6:$R$46,MATCH(Y298,'浓度设置'!$A$6:$A$46,0),IF(I298="L",1,IF(I298="M",2,3))))</x:f>
        <x:v>4198.825192836682</x:v>
      </x:c>
      <x:c r="N298" s="9" t="n">
        <x:f>IF(Z298="","",INDEX('浓度设置'!$P$6:$R$46,MATCH(Z298,'浓度设置'!$A$6:$A$46,0),IF(J298="L",1,IF(J298="M",2,3))))</x:f>
        <x:v>44000</x:v>
      </x:c>
      <x:c r="O298" s="9" t="n">
        <x:f>IF(AA298="","",INDEX('浓度设置'!$P$6:$R$46,MATCH(AA298,'浓度设置'!$A$6:$A$46,0),IF(K298="L",1,IF(K298="M",2,3))))</x:f>
        <x:v>1.56</x:v>
      </x:c>
      <x:c r="P298" s="9" t="n">
        <x:f>IF(AB298="","",INDEX('浓度设置'!$P$6:$R$46,MATCH(AB298,'浓度设置'!$A$6:$A$46,0),IF(L298="L",1,IF(L298="M",2,3))))</x:f>
        <x:v>60.76</x:v>
      </x:c>
      <x:c r="Q298" s="9" t="n">
        <x:f>IF(Y298="","",M298/INDEX('浓度设置'!$M$6:$M$46,MATCH(Y298,'浓度设置'!$A$6:$A$46,0)))</x:f>
        <x:v>1.5363429172472307</x:v>
      </x:c>
      <x:c r="R298" s="9" t="n">
        <x:f>IF(Z298="","",N298/INDEX('浓度设置'!$M$6:$M$46,MATCH(Z298,'浓度设置'!$A$6:$A$46,0)))</x:f>
        <x:v>41.904761904761905</x:v>
      </x:c>
      <x:c r="S298" s="9" t="n">
        <x:f>IF(AA298="","",O298/INDEX('浓度设置'!$M$6:$M$46,MATCH(AA298,'浓度设置'!$A$6:$A$46,0)))</x:f>
        <x:v>0.01248</x:v>
      </x:c>
      <x:c r="T298" s="9" t="n">
        <x:f>IF(AB298="","",P298/INDEX('浓度设置'!$M$6:$M$46,MATCH(AB298,'浓度设置'!$A$6:$A$46,0)))</x:f>
        <x:v>506.3333333333333</x:v>
      </x:c>
      <x:c r="U298" s="9" t="n">
        <x:f>IF(Y298="","",M298*$AD298/1000)</x:f>
        <x:v>83.97650385673363</x:v>
      </x:c>
      <x:c r="V298" s="9" t="n">
        <x:f>IF(Z298="","",N298*$AD298/1000)</x:f>
        <x:v>880</x:v>
      </x:c>
      <x:c r="W298" s="9" t="n">
        <x:f>IF(AA298="","",O298*$AD298/1000)</x:f>
        <x:v>0.031200000000000002</x:v>
      </x:c>
      <x:c r="X298" s="9" t="n">
        <x:f>IF(AB298="","",P298*$AD298/1000)</x:f>
        <x:v>1.2152</x:v>
      </x:c>
      <x:c r="Y298" s="3" t="n">
        <x:v>11</x:v>
      </x:c>
      <x:c r="Z298" s="3" t="n">
        <x:v>136</x:v>
      </x:c>
      <x:c r="AA298" s="3" t="n">
        <x:v>186</x:v>
      </x:c>
      <x:c r="AB298" s="3" t="n">
        <x:v>255</x:v>
      </x:c>
      <x:c r="AC298" s="3" t="n">
        <x:v>4</x:v>
      </x:c>
      <x:c r="AD298" s="3" t="n">
        <x:f>'方案总览'!$B$5</x:f>
        <x:v>20</x:v>
      </x:c>
    </x:row>
    <x:row r="299" ht="24" customHeight="1">
      <x:c r="A299" s="3" t="str">
        <x:v>T294</x:v>
      </x:c>
      <x:c r="B299" s="3" t="str">
        <x:v>拟合</x:v>
      </x:c>
      <x:c r="C299" s="3" t="str">
        <x:v>C208</x:v>
      </x:c>
      <x:c r="D299" s="3" t="str"/>
      <x:c r="E299" s="3" t="str">
        <x:v>己醛</x:v>
      </x:c>
      <x:c r="F299" s="3" t="str">
        <x:v>异戊酸乙酯（3-甲基丁酸乙酯）</x:v>
      </x:c>
      <x:c r="G299" s="3" t="str">
        <x:v>癸酸乙酯</x:v>
      </x:c>
      <x:c r="H299" s="3" t="str">
        <x:v>二甲基三硫醚</x:v>
      </x:c>
      <x:c r="I299" s="3" t="str">
        <x:v>H</x:v>
      </x:c>
      <x:c r="J299" s="3" t="str">
        <x:v>H</x:v>
      </x:c>
      <x:c r="K299" s="3" t="str">
        <x:v>H</x:v>
      </x:c>
      <x:c r="L299" s="3" t="str">
        <x:v>M</x:v>
      </x:c>
      <x:c r="M299" s="9" t="n">
        <x:f>IF(Y299="","",INDEX('浓度设置'!$P$6:$R$46,MATCH(Y299,'浓度设置'!$A$6:$A$46,0),IF(I299="L",1,IF(I299="M",2,3))))</x:f>
        <x:v>3075.94</x:v>
      </x:c>
      <x:c r="N299" s="9" t="n">
        <x:f>IF(Z299="","",INDEX('浓度设置'!$P$6:$R$46,MATCH(Z299,'浓度设置'!$A$6:$A$46,0),IF(J299="L",1,IF(J299="M",2,3))))</x:f>
        <x:v>12022.2</x:v>
      </x:c>
      <x:c r="O299" s="9" t="n">
        <x:f>IF(AA299="","",INDEX('浓度设置'!$P$6:$R$46,MATCH(AA299,'浓度设置'!$A$6:$A$46,0),IF(K299="L",1,IF(K299="M",2,3))))</x:f>
        <x:v>56115</x:v>
      </x:c>
      <x:c r="P299" s="9" t="n">
        <x:f>IF(AB299="","",INDEX('浓度设置'!$P$6:$R$46,MATCH(AB299,'浓度设置'!$A$6:$A$46,0),IF(L299="L",1,IF(L299="M",2,3))))</x:f>
        <x:v>34.2987346705385</x:v>
      </x:c>
      <x:c r="Q299" s="9" t="n">
        <x:f>IF(Y299="","",M299/INDEX('浓度设置'!$M$6:$M$46,MATCH(Y299,'浓度设置'!$A$6:$A$46,0)))</x:f>
        <x:v>120.62509803921569</x:v>
      </x:c>
      <x:c r="R299" s="9" t="n">
        <x:f>IF(Z299="","",N299/INDEX('浓度设置'!$M$6:$M$46,MATCH(Z299,'浓度设置'!$A$6:$A$46,0)))</x:f>
        <x:v>1744.8766328011613</x:v>
      </x:c>
      <x:c r="S299" s="9" t="n">
        <x:f>IF(AA299="","",O299/INDEX('浓度设置'!$M$6:$M$46,MATCH(AA299,'浓度设置'!$A$6:$A$46,0)))</x:f>
        <x:v>50.10267857142857</x:v>
      </x:c>
      <x:c r="T299" s="9" t="n">
        <x:f>IF(AB299="","",P299/INDEX('浓度设置'!$M$6:$M$46,MATCH(AB299,'浓度设置'!$A$6:$A$46,0)))</x:f>
        <x:v>95.27426297371807</x:v>
      </x:c>
      <x:c r="U299" s="9" t="n">
        <x:f>IF(Y299="","",M299*$AD299/1000)</x:f>
        <x:v>61.518800000000006</x:v>
      </x:c>
      <x:c r="V299" s="9" t="n">
        <x:f>IF(Z299="","",N299*$AD299/1000)</x:f>
        <x:v>240.444</x:v>
      </x:c>
      <x:c r="W299" s="9" t="n">
        <x:f>IF(AA299="","",O299*$AD299/1000)</x:f>
        <x:v>1122.3</x:v>
      </x:c>
      <x:c r="X299" s="9" t="n">
        <x:f>IF(AB299="","",P299*$AD299/1000)</x:f>
        <x:v>0.68597469341077</x:v>
      </x:c>
      <x:c r="Y299" s="3" t="n">
        <x:v>7</x:v>
      </x:c>
      <x:c r="Z299" s="3" t="n">
        <x:v>69</x:v>
      </x:c>
      <x:c r="AA299" s="3" t="n">
        <x:v>79</x:v>
      </x:c>
      <x:c r="AB299" s="3" t="n">
        <x:v>209</x:v>
      </x:c>
      <x:c r="AC299" s="3" t="n">
        <x:v>4</x:v>
      </x:c>
      <x:c r="AD299" s="3" t="n">
        <x:f>'方案总览'!$B$5</x:f>
        <x:v>20</x:v>
      </x:c>
    </x:row>
    <x:row r="300" ht="24" customHeight="1">
      <x:c r="A300" s="3" t="str">
        <x:v>T295</x:v>
      </x:c>
      <x:c r="B300" s="3" t="str">
        <x:v>拟合</x:v>
      </x:c>
      <x:c r="C300" s="3" t="str">
        <x:v>C209</x:v>
      </x:c>
      <x:c r="D300" s="3" t="str"/>
      <x:c r="E300" s="3" t="str">
        <x:v>异丁酸乙酯</x:v>
      </x:c>
      <x:c r="F300" s="3" t="str">
        <x:v>乙醛二乙缩醛</x:v>
      </x:c>
      <x:c r="G300" s="3" t="str">
        <x:v>对甲酚</x:v>
      </x:c>
      <x:c r="H300" s="3" t="str">
        <x:v>异戊醛</x:v>
      </x:c>
      <x:c r="I300" s="3" t="str">
        <x:v>L</x:v>
      </x:c>
      <x:c r="J300" s="3" t="str">
        <x:v>L</x:v>
      </x:c>
      <x:c r="K300" s="3" t="str">
        <x:v>M</x:v>
      </x:c>
      <x:c r="L300" s="3" t="str">
        <x:v>H</x:v>
      </x:c>
      <x:c r="M300" s="9" t="n">
        <x:f>IF(Y300="","",INDEX('浓度设置'!$P$6:$R$46,MATCH(Y300,'浓度设置'!$A$6:$A$46,0),IF(I300="L",1,IF(I300="M",2,3))))</x:f>
        <x:v>18.68</x:v>
      </x:c>
      <x:c r="N300" s="9" t="n">
        <x:f>IF(Z300="","",INDEX('浓度设置'!$P$6:$R$46,MATCH(Z300,'浓度设置'!$A$6:$A$46,0),IF(J300="L",1,IF(J300="M",2,3))))</x:f>
        <x:v>9.61</x:v>
      </x:c>
      <x:c r="O300" s="9" t="n">
        <x:f>IF(AA300="","",INDEX('浓度设置'!$P$6:$R$46,MATCH(AA300,'浓度设置'!$A$6:$A$46,0),IF(K300="L",1,IF(K300="M",2,3))))</x:f>
        <x:v>59.381310191002015</x:v>
      </x:c>
      <x:c r="P300" s="9" t="n">
        <x:f>IF(AB300="","",INDEX('浓度设置'!$P$6:$R$46,MATCH(AB300,'浓度设置'!$A$6:$A$46,0),IF(L300="L",1,IF(L300="M",2,3))))</x:f>
        <x:v>227200</x:v>
      </x:c>
      <x:c r="Q300" s="9" t="n">
        <x:f>IF(Y300="","",M300/INDEX('浓度设置'!$M$6:$M$46,MATCH(Y300,'浓度设置'!$A$6:$A$46,0)))</x:f>
        <x:v>0.3248695652173913</x:v>
      </x:c>
      <x:c r="R300" s="9" t="n">
        <x:f>IF(Z300="","",N300/INDEX('浓度设置'!$M$6:$M$46,MATCH(Z300,'浓度设置'!$A$6:$A$46,0)))</x:f>
        <x:v>0.004598086124401914</x:v>
      </x:c>
      <x:c r="S300" s="9" t="n">
        <x:f>IF(AA300="","",O300/INDEX('浓度设置'!$M$6:$M$46,MATCH(AA300,'浓度设置'!$A$6:$A$46,0)))</x:f>
        <x:v>0.355576707730551</x:v>
      </x:c>
      <x:c r="T300" s="9" t="n">
        <x:f>IF(AB300="","",P300/INDEX('浓度设置'!$M$6:$M$46,MATCH(AB300,'浓度设置'!$A$6:$A$46,0)))</x:f>
        <x:v>13769.69696969697</x:v>
      </x:c>
      <x:c r="U300" s="9" t="n">
        <x:f>IF(Y300="","",M300*$AD300/1000)</x:f>
        <x:v>0.37360000000000004</x:v>
      </x:c>
      <x:c r="V300" s="9" t="n">
        <x:f>IF(Z300="","",N300*$AD300/1000)</x:f>
        <x:v>0.19219999999999998</x:v>
      </x:c>
      <x:c r="W300" s="9" t="n">
        <x:f>IF(AA300="","",O300*$AD300/1000)</x:f>
        <x:v>1.1876262038200402</x:v>
      </x:c>
      <x:c r="X300" s="9" t="n">
        <x:f>IF(AB300="","",P300*$AD300/1000)</x:f>
        <x:v>4544</x:v>
      </x:c>
      <x:c r="Y300" s="3" t="n">
        <x:v>32</x:v>
      </x:c>
      <x:c r="Z300" s="3" t="n">
        <x:v>53</x:v>
      </x:c>
      <x:c r="AA300" s="3" t="n">
        <x:v>61</x:v>
      </x:c>
      <x:c r="AB300" s="3" t="n">
        <x:v>152</x:v>
      </x:c>
      <x:c r="AC300" s="3" t="n">
        <x:v>4</x:v>
      </x:c>
      <x:c r="AD300" s="3" t="n">
        <x:f>'方案总览'!$B$5</x:f>
        <x:v>20</x:v>
      </x:c>
    </x:row>
    <x:row r="301" ht="24" customHeight="1">
      <x:c r="A301" s="3" t="str">
        <x:v>T296</x:v>
      </x:c>
      <x:c r="B301" s="3" t="str">
        <x:v>拟合</x:v>
      </x:c>
      <x:c r="C301" s="3" t="str">
        <x:v>C210</x:v>
      </x:c>
      <x:c r="D301" s="3" t="str"/>
      <x:c r="E301" s="3" t="str">
        <x:v>2-甲基丙醛</x:v>
      </x:c>
      <x:c r="F301" s="3" t="str">
        <x:v>丁酸乙酯</x:v>
      </x:c>
      <x:c r="G301" s="3" t="str">
        <x:v>戊酸乙酯</x:v>
      </x:c>
      <x:c r="H301" s="3" t="str">
        <x:v>1-辛烯-3-醇</x:v>
      </x:c>
      <x:c r="I301" s="3" t="str">
        <x:v>L</x:v>
      </x:c>
      <x:c r="J301" s="3" t="str">
        <x:v>L</x:v>
      </x:c>
      <x:c r="K301" s="3" t="str">
        <x:v>L</x:v>
      </x:c>
      <x:c r="L301" s="3" t="str">
        <x:v>H</x:v>
      </x:c>
      <x:c r="M301" s="9" t="n">
        <x:f>IF(Y301="","",INDEX('浓度设置'!$P$6:$R$46,MATCH(Y301,'浓度设置'!$A$6:$A$46,0),IF(I301="L",1,IF(I301="M",2,3))))</x:f>
        <x:v>39</x:v>
      </x:c>
      <x:c r="N301" s="9" t="n">
        <x:f>IF(Z301="","",INDEX('浓度设置'!$P$6:$R$46,MATCH(Z301,'浓度设置'!$A$6:$A$46,0),IF(J301="L",1,IF(J301="M",2,3))))</x:f>
        <x:v>4.24</x:v>
      </x:c>
      <x:c r="O301" s="9" t="n">
        <x:f>IF(AA301="","",INDEX('浓度设置'!$P$6:$R$46,MATCH(AA301,'浓度设置'!$A$6:$A$46,0),IF(K301="L",1,IF(K301="M",2,3))))</x:f>
        <x:v>2.2</x:v>
      </x:c>
      <x:c r="P301" s="9" t="n">
        <x:f>IF(AB301="","",INDEX('浓度设置'!$P$6:$R$46,MATCH(AB301,'浓度设置'!$A$6:$A$46,0),IF(L301="L",1,IF(L301="M",2,3))))</x:f>
        <x:v>271.45</x:v>
      </x:c>
      <x:c r="Q301" s="9" t="n">
        <x:f>IF(Y301="","",M301/INDEX('浓度设置'!$M$6:$M$46,MATCH(Y301,'浓度设置'!$A$6:$A$46,0)))</x:f>
        <x:v>6.610169491525423</x:v>
      </x:c>
      <x:c r="R301" s="9" t="n">
        <x:f>IF(Z301="","",N301/INDEX('浓度设置'!$M$6:$M$46,MATCH(Z301,'浓度设置'!$A$6:$A$46,0)))</x:f>
        <x:v>0.052024539877300616</x:v>
      </x:c>
      <x:c r="S301" s="9" t="n">
        <x:f>IF(AA301="","",O301/INDEX('浓度设置'!$M$6:$M$46,MATCH(AA301,'浓度设置'!$A$6:$A$46,0)))</x:f>
        <x:v>0.08208955223880597</x:v>
      </x:c>
      <x:c r="T301" s="9" t="n">
        <x:f>IF(AB301="","",P301/INDEX('浓度设置'!$M$6:$M$46,MATCH(AB301,'浓度设置'!$A$6:$A$46,0)))</x:f>
        <x:v>44.35457516339869</x:v>
      </x:c>
      <x:c r="U301" s="9" t="n">
        <x:f>IF(Y301="","",M301*$AD301/1000)</x:f>
        <x:v>0.78</x:v>
      </x:c>
      <x:c r="V301" s="9" t="n">
        <x:f>IF(Z301="","",N301*$AD301/1000)</x:f>
        <x:v>0.08480000000000001</x:v>
      </x:c>
      <x:c r="W301" s="9" t="n">
        <x:f>IF(AA301="","",O301*$AD301/1000)</x:f>
        <x:v>0.044</x:v>
      </x:c>
      <x:c r="X301" s="9" t="n">
        <x:f>IF(AB301="","",P301*$AD301/1000)</x:f>
        <x:v>5.429</x:v>
      </x:c>
      <x:c r="Y301" s="3" t="n">
        <x:v>18</x:v>
      </x:c>
      <x:c r="Z301" s="3" t="n">
        <x:v>52</x:v>
      </x:c>
      <x:c r="AA301" s="3" t="n">
        <x:v>141</x:v>
      </x:c>
      <x:c r="AB301" s="3" t="n">
        <x:v>207</x:v>
      </x:c>
      <x:c r="AC301" s="3" t="n">
        <x:v>4</x:v>
      </x:c>
      <x:c r="AD301" s="3" t="n">
        <x:f>'方案总览'!$B$5</x:f>
        <x:v>20</x:v>
      </x:c>
    </x:row>
    <x:row r="302" ht="24" customHeight="1">
      <x:c r="A302" s="3" t="str">
        <x:v>T297</x:v>
      </x:c>
      <x:c r="B302" s="3" t="str">
        <x:v>拟合</x:v>
      </x:c>
      <x:c r="C302" s="3" t="str">
        <x:v>C211</x:v>
      </x:c>
      <x:c r="D302" s="3" t="str"/>
      <x:c r="E302" s="3" t="str">
        <x:v>苯乙酸乙酯</x:v>
      </x:c>
      <x:c r="F302" s="3" t="str">
        <x:v>己酸乙酯</x:v>
      </x:c>
      <x:c r="G302" s="3" t="str">
        <x:v>己酸</x:v>
      </x:c>
      <x:c r="H302" s="3" t="str">
        <x:v>己酸己酯</x:v>
      </x:c>
      <x:c r="I302" s="3" t="str">
        <x:v>L</x:v>
      </x:c>
      <x:c r="J302" s="3" t="str">
        <x:v>M</x:v>
      </x:c>
      <x:c r="K302" s="3" t="str">
        <x:v>M</x:v>
      </x:c>
      <x:c r="L302" s="3" t="str">
        <x:v>H</x:v>
      </x:c>
      <x:c r="M302" s="9" t="n">
        <x:f>IF(Y302="","",INDEX('浓度设置'!$P$6:$R$46,MATCH(Y302,'浓度设置'!$A$6:$A$46,0),IF(I302="L",1,IF(I302="M",2,3))))</x:f>
        <x:v>1.875</x:v>
      </x:c>
      <x:c r="N302" s="9" t="n">
        <x:f>IF(Z302="","",INDEX('浓度设置'!$P$6:$R$46,MATCH(Z302,'浓度设置'!$A$6:$A$46,0),IF(J302="L",1,IF(J302="M",2,3))))</x:f>
        <x:v>89562.18016998023</x:v>
      </x:c>
      <x:c r="O302" s="9" t="n">
        <x:f>IF(AA302="","",INDEX('浓度设置'!$P$6:$R$46,MATCH(AA302,'浓度设置'!$A$6:$A$46,0),IF(K302="L",1,IF(K302="M",2,3))))</x:f>
        <x:v>1815.6539083757125</x:v>
      </x:c>
      <x:c r="P302" s="9" t="n">
        <x:f>IF(AB302="","",INDEX('浓度设置'!$P$6:$R$46,MATCH(AB302,'浓度设置'!$A$6:$A$46,0),IF(L302="L",1,IF(L302="M",2,3))))</x:f>
        <x:v>193759</x:v>
      </x:c>
      <x:c r="Q302" s="9" t="n">
        <x:f>IF(Y302="","",M302/INDEX('浓度设置'!$M$6:$M$46,MATCH(Y302,'浓度设置'!$A$6:$A$46,0)))</x:f>
        <x:v>0.004606879606879607</x:v>
      </x:c>
      <x:c r="R302" s="9" t="n">
        <x:f>IF(Z302="","",N302/INDEX('浓度设置'!$M$6:$M$46,MATCH(Z302,'浓度设置'!$A$6:$A$46,0)))</x:f>
        <x:v>1619.5692616632955</x:v>
      </x:c>
      <x:c r="S302" s="9" t="n">
        <x:f>IF(AA302="","",O302/INDEX('浓度设置'!$M$6:$M$46,MATCH(AA302,'浓度设置'!$A$6:$A$46,0)))</x:f>
        <x:v>0.7204975826887748</x:v>
      </x:c>
      <x:c r="T302" s="9" t="n">
        <x:f>IF(AB302="","",P302/INDEX('浓度设置'!$M$6:$M$46,MATCH(AB302,'浓度设置'!$A$6:$A$46,0)))</x:f>
        <x:v>102.46377578001058</x:v>
      </x:c>
      <x:c r="U302" s="9" t="n">
        <x:f>IF(Y302="","",M302*$AD302/1000)</x:f>
        <x:v>0.0375</x:v>
      </x:c>
      <x:c r="V302" s="9" t="n">
        <x:f>IF(Z302="","",N302*$AD302/1000)</x:f>
        <x:v>1791.2436033996046</x:v>
      </x:c>
      <x:c r="W302" s="9" t="n">
        <x:f>IF(AA302="","",O302*$AD302/1000)</x:f>
        <x:v>36.31307816751425</x:v>
      </x:c>
      <x:c r="X302" s="9" t="n">
        <x:f>IF(AB302="","",P302*$AD302/1000)</x:f>
        <x:v>3875.18</x:v>
      </x:c>
      <x:c r="Y302" s="3" t="n">
        <x:v>40</x:v>
      </x:c>
      <x:c r="Z302" s="3" t="n">
        <x:v>111</x:v>
      </x:c>
      <x:c r="AA302" s="3" t="n">
        <x:v>126</x:v>
      </x:c>
      <x:c r="AB302" s="3" t="n">
        <x:v>227</x:v>
      </x:c>
      <x:c r="AC302" s="3" t="n">
        <x:v>4</x:v>
      </x:c>
      <x:c r="AD302" s="3" t="n">
        <x:f>'方案总览'!$B$5</x:f>
        <x:v>20</x:v>
      </x:c>
    </x:row>
    <x:row r="303" ht="24" customHeight="1">
      <x:c r="A303" s="3" t="str">
        <x:v>T298</x:v>
      </x:c>
      <x:c r="B303" s="3" t="str">
        <x:v>拟合</x:v>
      </x:c>
      <x:c r="C303" s="3" t="str">
        <x:v>C212</x:v>
      </x:c>
      <x:c r="D303" s="3" t="str"/>
      <x:c r="E303" s="3" t="str">
        <x:v>辛酸乙酯</x:v>
      </x:c>
      <x:c r="F303" s="3" t="str">
        <x:v>苯乙醛</x:v>
      </x:c>
      <x:c r="G303" s="3" t="str">
        <x:v>乙酸丁酯</x:v>
      </x:c>
      <x:c r="H303" s="3" t="str">
        <x:v>己酸丁酯</x:v>
      </x:c>
      <x:c r="I303" s="3" t="str">
        <x:v>M</x:v>
      </x:c>
      <x:c r="J303" s="3" t="str">
        <x:v>M</x:v>
      </x:c>
      <x:c r="K303" s="3" t="str">
        <x:v>M</x:v>
      </x:c>
      <x:c r="L303" s="3" t="str">
        <x:v>M</x:v>
      </x:c>
      <x:c r="M303" s="9" t="n">
        <x:f>IF(Y303="","",INDEX('浓度设置'!$P$6:$R$46,MATCH(Y303,'浓度设置'!$A$6:$A$46,0),IF(I303="L",1,IF(I303="M",2,3))))</x:f>
        <x:v>3072.731960324558</x:v>
      </x:c>
      <x:c r="N303" s="9" t="n">
        <x:f>IF(Z303="","",INDEX('浓度设置'!$P$6:$R$46,MATCH(Z303,'浓度设置'!$A$6:$A$46,0),IF(J303="L",1,IF(J303="M",2,3))))</x:f>
        <x:v>28.044607324760317</x:v>
      </x:c>
      <x:c r="O303" s="9" t="n">
        <x:f>IF(AA303="","",INDEX('浓度设置'!$P$6:$R$46,MATCH(AA303,'浓度设置'!$A$6:$A$46,0),IF(K303="L",1,IF(K303="M",2,3))))</x:f>
        <x:v>3147.945</x:v>
      </x:c>
      <x:c r="P303" s="9" t="n">
        <x:f>IF(AB303="","",INDEX('浓度设置'!$P$6:$R$46,MATCH(AB303,'浓度设置'!$A$6:$A$46,0),IF(L303="L",1,IF(L303="M",2,3))))</x:f>
        <x:v>823.735</x:v>
      </x:c>
      <x:c r="Q303" s="9" t="n">
        <x:f>IF(Y303="","",M303/INDEX('浓度设置'!$M$6:$M$46,MATCH(Y303,'浓度设置'!$A$6:$A$46,0)))</x:f>
        <x:v>238.19627599415176</x:v>
      </x:c>
      <x:c r="R303" s="9" t="n">
        <x:f>IF(Z303="","",N303/INDEX('浓度设置'!$M$6:$M$46,MATCH(Z303,'浓度设置'!$A$6:$A$46,0)))</x:f>
        <x:v>0.10704048597236762</x:v>
      </x:c>
      <x:c r="S303" s="9" t="n">
        <x:f>IF(AA303="","",O303/INDEX('浓度设置'!$M$6:$M$46,MATCH(AA303,'浓度设置'!$A$6:$A$46,0)))</x:f>
        <x:v>1.7488583333333334</x:v>
      </x:c>
      <x:c r="T303" s="9" t="n">
        <x:f>IF(AB303="","",P303/INDEX('浓度设置'!$M$6:$M$46,MATCH(AB303,'浓度设置'!$A$6:$A$46,0)))</x:f>
        <x:v>1.2152351587395256</x:v>
      </x:c>
      <x:c r="U303" s="9" t="n">
        <x:f>IF(Y303="","",M303*$AD303/1000)</x:f>
        <x:v>61.45463920649116</x:v>
      </x:c>
      <x:c r="V303" s="9" t="n">
        <x:f>IF(Z303="","",N303*$AD303/1000)</x:f>
        <x:v>0.5608921464952064</x:v>
      </x:c>
      <x:c r="W303" s="9" t="n">
        <x:f>IF(AA303="","",O303*$AD303/1000)</x:f>
        <x:v>62.9589</x:v>
      </x:c>
      <x:c r="X303" s="9" t="n">
        <x:f>IF(AB303="","",P303*$AD303/1000)</x:f>
        <x:v>16.474700000000002</x:v>
      </x:c>
      <x:c r="Y303" s="3" t="n">
        <x:v>58</x:v>
      </x:c>
      <x:c r="Z303" s="3" t="n">
        <x:v>105</x:v>
      </x:c>
      <x:c r="AA303" s="3" t="n">
        <x:v>114</x:v>
      </x:c>
      <x:c r="AB303" s="3" t="n">
        <x:v>165</x:v>
      </x:c>
      <x:c r="AC303" s="3" t="n">
        <x:v>4</x:v>
      </x:c>
      <x:c r="AD303" s="3" t="n">
        <x:f>'方案总览'!$B$5</x:f>
        <x:v>20</x:v>
      </x:c>
    </x:row>
    <x:row r="304" ht="24" customHeight="1">
      <x:c r="A304" s="3" t="str">
        <x:v>T299</x:v>
      </x:c>
      <x:c r="B304" s="3" t="str">
        <x:v>拟合</x:v>
      </x:c>
      <x:c r="C304" s="3" t="str">
        <x:v>C213</x:v>
      </x:c>
      <x:c r="D304" s="3" t="str"/>
      <x:c r="E304" s="3" t="str">
        <x:v>戊酸</x:v>
      </x:c>
      <x:c r="F304" s="3" t="str">
        <x:v>1-辛醇</x:v>
      </x:c>
      <x:c r="G304" s="3" t="str">
        <x:v>乙酸丁酯</x:v>
      </x:c>
      <x:c r="H304" s="3" t="str">
        <x:v>2-甲基丁酸乙酯</x:v>
      </x:c>
      <x:c r="I304" s="3" t="str">
        <x:v>M</x:v>
      </x:c>
      <x:c r="J304" s="3" t="str">
        <x:v>M</x:v>
      </x:c>
      <x:c r="K304" s="3" t="str">
        <x:v>H</x:v>
      </x:c>
      <x:c r="L304" s="3" t="str">
        <x:v>H</x:v>
      </x:c>
      <x:c r="M304" s="9" t="n">
        <x:f>IF(Y304="","",INDEX('浓度设置'!$P$6:$R$46,MATCH(Y304,'浓度设置'!$A$6:$A$46,0),IF(I304="L",1,IF(I304="M",2,3))))</x:f>
        <x:v>331.2476415010377</x:v>
      </x:c>
      <x:c r="N304" s="9" t="n">
        <x:f>IF(Z304="","",INDEX('浓度设置'!$P$6:$R$46,MATCH(Z304,'浓度设置'!$A$6:$A$46,0),IF(J304="L",1,IF(J304="M",2,3))))</x:f>
        <x:v>1232.25</x:v>
      </x:c>
      <x:c r="O304" s="9" t="n">
        <x:f>IF(AA304="","",INDEX('浓度设置'!$P$6:$R$46,MATCH(AA304,'浓度设置'!$A$6:$A$46,0),IF(K304="L",1,IF(K304="M",2,3))))</x:f>
        <x:v>47100</x:v>
      </x:c>
      <x:c r="P304" s="9" t="n">
        <x:f>IF(AB304="","",INDEX('浓度设置'!$P$6:$R$46,MATCH(AB304,'浓度设置'!$A$6:$A$46,0),IF(L304="L",1,IF(L304="M",2,3))))</x:f>
        <x:v>1611</x:v>
      </x:c>
      <x:c r="Q304" s="9" t="n">
        <x:f>IF(Y304="","",M304/INDEX('浓度设置'!$M$6:$M$46,MATCH(Y304,'浓度设置'!$A$6:$A$46,0)))</x:f>
        <x:v>0.8515363534731046</x:v>
      </x:c>
      <x:c r="R304" s="9" t="n">
        <x:f>IF(Z304="","",N304/INDEX('浓度设置'!$M$6:$M$46,MATCH(Z304,'浓度设置'!$A$6:$A$46,0)))</x:f>
        <x:v>1.1202272727272726</x:v>
      </x:c>
      <x:c r="S304" s="9" t="n">
        <x:f>IF(AA304="","",O304/INDEX('浓度设置'!$M$6:$M$46,MATCH(AA304,'浓度设置'!$A$6:$A$46,0)))</x:f>
        <x:v>26.166666666666668</x:v>
      </x:c>
      <x:c r="T304" s="9" t="n">
        <x:f>IF(AB304="","",P304/INDEX('浓度设置'!$M$6:$M$46,MATCH(AB304,'浓度设置'!$A$6:$A$46,0)))</x:f>
        <x:v>89.5</x:v>
      </x:c>
      <x:c r="U304" s="9" t="n">
        <x:f>IF(Y304="","",M304*$AD304/1000)</x:f>
        <x:v>6.624952830020755</x:v>
      </x:c>
      <x:c r="V304" s="9" t="n">
        <x:f>IF(Z304="","",N304*$AD304/1000)</x:f>
        <x:v>24.645</x:v>
      </x:c>
      <x:c r="W304" s="9" t="n">
        <x:f>IF(AA304="","",O304*$AD304/1000)</x:f>
        <x:v>942</x:v>
      </x:c>
      <x:c r="X304" s="9" t="n">
        <x:f>IF(AB304="","",P304*$AD304/1000)</x:f>
        <x:v>32.22</x:v>
      </x:c>
      <x:c r="Y304" s="3" t="n">
        <x:v>75</x:v>
      </x:c>
      <x:c r="Z304" s="3" t="n">
        <x:v>90</x:v>
      </x:c>
      <x:c r="AA304" s="3" t="n">
        <x:v>114</x:v>
      </x:c>
      <x:c r="AB304" s="3" t="n">
        <x:v>232</x:v>
      </x:c>
      <x:c r="AC304" s="3" t="n">
        <x:v>4</x:v>
      </x:c>
      <x:c r="AD304" s="3" t="n">
        <x:f>'方案总览'!$B$5</x:f>
        <x:v>20</x:v>
      </x:c>
    </x:row>
    <x:row r="305" ht="24" customHeight="1">
      <x:c r="A305" s="3" t="str">
        <x:v>T300</x:v>
      </x:c>
      <x:c r="B305" s="3" t="str">
        <x:v>拟合</x:v>
      </x:c>
      <x:c r="C305" s="3" t="str">
        <x:v>C214</x:v>
      </x:c>
      <x:c r="D305" s="3" t="str"/>
      <x:c r="E305" s="3" t="str">
        <x:v>乙酸异戊酯</x:v>
      </x:c>
      <x:c r="F305" s="3" t="str">
        <x:v>异戊醛</x:v>
      </x:c>
      <x:c r="G305" s="3" t="str">
        <x:v>3-苯基丙酸乙酯</x:v>
      </x:c>
      <x:c r="H305" s="3" t="str">
        <x:v>己酸己酯</x:v>
      </x:c>
      <x:c r="I305" s="3" t="str">
        <x:v>L</x:v>
      </x:c>
      <x:c r="J305" s="3" t="str">
        <x:v>L</x:v>
      </x:c>
      <x:c r="K305" s="3" t="str">
        <x:v>M</x:v>
      </x:c>
      <x:c r="L305" s="3" t="str">
        <x:v>M</x:v>
      </x:c>
      <x:c r="M305" s="9" t="n">
        <x:f>IF(Y305="","",INDEX('浓度设置'!$P$6:$R$46,MATCH(Y305,'浓度设置'!$A$6:$A$46,0),IF(I305="L",1,IF(I305="M",2,3))))</x:f>
        <x:v>1.44</x:v>
      </x:c>
      <x:c r="N305" s="9" t="n">
        <x:f>IF(Z305="","",INDEX('浓度设置'!$P$6:$R$46,MATCH(Z305,'浓度设置'!$A$6:$A$46,0),IF(J305="L",1,IF(J305="M",2,3))))</x:f>
        <x:v>4.84</x:v>
      </x:c>
      <x:c r="O305" s="9" t="n">
        <x:f>IF(AA305="","",INDEX('浓度设置'!$P$6:$R$46,MATCH(AA305,'浓度设置'!$A$6:$A$46,0),IF(K305="L",1,IF(K305="M",2,3))))</x:f>
        <x:v>4262.731518639193</x:v>
      </x:c>
      <x:c r="P305" s="9" t="n">
        <x:f>IF(AB305="","",INDEX('浓度设置'!$P$6:$R$46,MATCH(AB305,'浓度设置'!$A$6:$A$46,0),IF(L305="L",1,IF(L305="M",2,3))))</x:f>
        <x:v>695.986709643223</x:v>
      </x:c>
      <x:c r="Q305" s="9" t="n">
        <x:f>IF(Y305="","",M305/INDEX('浓度设置'!$M$6:$M$46,MATCH(Y305,'浓度设置'!$A$6:$A$46,0)))</x:f>
        <x:v>0.015335463258785941</x:v>
      </x:c>
      <x:c r="R305" s="9" t="n">
        <x:f>IF(Z305="","",N305/INDEX('浓度设置'!$M$6:$M$46,MATCH(Z305,'浓度设置'!$A$6:$A$46,0)))</x:f>
        <x:v>0.29333333333333333</x:v>
      </x:c>
      <x:c r="S305" s="9" t="n">
        <x:f>IF(AA305="","",O305/INDEX('浓度设置'!$M$6:$M$46,MATCH(AA305,'浓度设置'!$A$6:$A$46,0)))</x:f>
        <x:v>34.10185214911355</x:v>
      </x:c>
      <x:c r="T305" s="9" t="n">
        <x:f>IF(AB305="","",P305/INDEX('浓度设置'!$M$6:$M$46,MATCH(AB305,'浓度设置'!$A$6:$A$46,0)))</x:f>
        <x:v>0.3680521997055648</x:v>
      </x:c>
      <x:c r="U305" s="9" t="n">
        <x:f>IF(Y305="","",M305*$AD305/1000)</x:f>
        <x:v>0.028799999999999996</x:v>
      </x:c>
      <x:c r="V305" s="9" t="n">
        <x:f>IF(Z305="","",N305*$AD305/1000)</x:f>
        <x:v>0.0968</x:v>
      </x:c>
      <x:c r="W305" s="9" t="n">
        <x:f>IF(AA305="","",O305*$AD305/1000)</x:f>
        <x:v>85.25463037278386</x:v>
      </x:c>
      <x:c r="X305" s="9" t="n">
        <x:f>IF(AB305="","",P305*$AD305/1000)</x:f>
        <x:v>13.91973419286446</x:v>
      </x:c>
      <x:c r="Y305" s="3" t="n">
        <x:v>115</x:v>
      </x:c>
      <x:c r="Z305" s="3" t="n">
        <x:v>152</x:v>
      </x:c>
      <x:c r="AA305" s="3" t="n">
        <x:v>186</x:v>
      </x:c>
      <x:c r="AB305" s="3" t="n">
        <x:v>227</x:v>
      </x:c>
      <x:c r="AC305" s="3" t="n">
        <x:v>4</x:v>
      </x:c>
      <x:c r="AD305" s="3" t="n">
        <x:f>'方案总览'!$B$5</x:f>
        <x:v>20</x:v>
      </x:c>
    </x:row>
    <x:row r="306" ht="24" customHeight="1">
      <x:c r="A306" s="3" t="str">
        <x:v>T301</x:v>
      </x:c>
      <x:c r="B306" s="3" t="str">
        <x:v>拟合</x:v>
      </x:c>
      <x:c r="C306" s="3" t="str">
        <x:v>C215</x:v>
      </x:c>
      <x:c r="D306" s="3" t="str"/>
      <x:c r="E306" s="3" t="str">
        <x:v>乙醛二乙缩醛</x:v>
      </x:c>
      <x:c r="F306" s="3" t="str">
        <x:v>辛酸乙酯</x:v>
      </x:c>
      <x:c r="G306" s="3" t="str">
        <x:v>戊酸</x:v>
      </x:c>
      <x:c r="H306" s="3" t="str">
        <x:v>二甲基三硫醚</x:v>
      </x:c>
      <x:c r="I306" s="3" t="str">
        <x:v>L</x:v>
      </x:c>
      <x:c r="J306" s="3" t="str">
        <x:v>L</x:v>
      </x:c>
      <x:c r="K306" s="3" t="str">
        <x:v>M</x:v>
      </x:c>
      <x:c r="L306" s="3" t="str">
        <x:v>M</x:v>
      </x:c>
      <x:c r="M306" s="9" t="n">
        <x:f>IF(Y306="","",INDEX('浓度设置'!$P$6:$R$46,MATCH(Y306,'浓度设置'!$A$6:$A$46,0),IF(I306="L",1,IF(I306="M",2,3))))</x:f>
        <x:v>9.61</x:v>
      </x:c>
      <x:c r="N306" s="9" t="n">
        <x:f>IF(Z306="","",INDEX('浓度设置'!$P$6:$R$46,MATCH(Z306,'浓度设置'!$A$6:$A$46,0),IF(J306="L",1,IF(J306="M",2,3))))</x:f>
        <x:v>5.06</x:v>
      </x:c>
      <x:c r="O306" s="9" t="n">
        <x:f>IF(AA306="","",INDEX('浓度设置'!$P$6:$R$46,MATCH(AA306,'浓度设置'!$A$6:$A$46,0),IF(K306="L",1,IF(K306="M",2,3))))</x:f>
        <x:v>331.2476415010377</x:v>
      </x:c>
      <x:c r="P306" s="9" t="n">
        <x:f>IF(AB306="","",INDEX('浓度设置'!$P$6:$R$46,MATCH(AB306,'浓度设置'!$A$6:$A$46,0),IF(L306="L",1,IF(L306="M",2,3))))</x:f>
        <x:v>34.2987346705385</x:v>
      </x:c>
      <x:c r="Q306" s="9" t="n">
        <x:f>IF(Y306="","",M306/INDEX('浓度设置'!$M$6:$M$46,MATCH(Y306,'浓度设置'!$A$6:$A$46,0)))</x:f>
        <x:v>0.004598086124401914</x:v>
      </x:c>
      <x:c r="R306" s="9" t="n">
        <x:f>IF(Z306="","",N306/INDEX('浓度设置'!$M$6:$M$46,MATCH(Z306,'浓度设置'!$A$6:$A$46,0)))</x:f>
        <x:v>0.39224806201550383</x:v>
      </x:c>
      <x:c r="S306" s="9" t="n">
        <x:f>IF(AA306="","",O306/INDEX('浓度设置'!$M$6:$M$46,MATCH(AA306,'浓度设置'!$A$6:$A$46,0)))</x:f>
        <x:v>0.8515363534731046</x:v>
      </x:c>
      <x:c r="T306" s="9" t="n">
        <x:f>IF(AB306="","",P306/INDEX('浓度设置'!$M$6:$M$46,MATCH(AB306,'浓度设置'!$A$6:$A$46,0)))</x:f>
        <x:v>95.27426297371807</x:v>
      </x:c>
      <x:c r="U306" s="9" t="n">
        <x:f>IF(Y306="","",M306*$AD306/1000)</x:f>
        <x:v>0.19219999999999998</x:v>
      </x:c>
      <x:c r="V306" s="9" t="n">
        <x:f>IF(Z306="","",N306*$AD306/1000)</x:f>
        <x:v>0.10119999999999998</x:v>
      </x:c>
      <x:c r="W306" s="9" t="n">
        <x:f>IF(AA306="","",O306*$AD306/1000)</x:f>
        <x:v>6.624952830020755</x:v>
      </x:c>
      <x:c r="X306" s="9" t="n">
        <x:f>IF(AB306="","",P306*$AD306/1000)</x:f>
        <x:v>0.68597469341077</x:v>
      </x:c>
      <x:c r="Y306" s="3" t="n">
        <x:v>53</x:v>
      </x:c>
      <x:c r="Z306" s="3" t="n">
        <x:v>58</x:v>
      </x:c>
      <x:c r="AA306" s="3" t="n">
        <x:v>75</x:v>
      </x:c>
      <x:c r="AB306" s="3" t="n">
        <x:v>209</x:v>
      </x:c>
      <x:c r="AC306" s="3" t="n">
        <x:v>4</x:v>
      </x:c>
      <x:c r="AD306" s="3" t="n">
        <x:f>'方案总览'!$B$5</x:f>
        <x:v>20</x:v>
      </x:c>
    </x:row>
    <x:row r="307" ht="24" customHeight="1">
      <x:c r="A307" s="3" t="str">
        <x:v>T302</x:v>
      </x:c>
      <x:c r="B307" s="3" t="str">
        <x:v>拟合</x:v>
      </x:c>
      <x:c r="C307" s="3" t="str">
        <x:v>C216</x:v>
      </x:c>
      <x:c r="D307" s="3" t="str"/>
      <x:c r="E307" s="3" t="str">
        <x:v>己醛</x:v>
      </x:c>
      <x:c r="F307" s="3" t="str">
        <x:v>2-甲基丙醛</x:v>
      </x:c>
      <x:c r="G307" s="3" t="str">
        <x:v>1-辛醇</x:v>
      </x:c>
      <x:c r="H307" s="3" t="str">
        <x:v>异戊酸/3-甲基丁酸</x:v>
      </x:c>
      <x:c r="I307" s="3" t="str">
        <x:v>M</x:v>
      </x:c>
      <x:c r="J307" s="3" t="str">
        <x:v>M</x:v>
      </x:c>
      <x:c r="K307" s="3" t="str">
        <x:v>H</x:v>
      </x:c>
      <x:c r="L307" s="3" t="str">
        <x:v>M</x:v>
      </x:c>
      <x:c r="M307" s="9" t="n">
        <x:f>IF(Y307="","",INDEX('浓度设置'!$P$6:$R$46,MATCH(Y307,'浓度设置'!$A$6:$A$46,0),IF(I307="L",1,IF(I307="M",2,3))))</x:f>
        <x:v>729.4776350238574</x:v>
      </x:c>
      <x:c r="N307" s="9" t="n">
        <x:f>IF(Z307="","",INDEX('浓度设置'!$P$6:$R$46,MATCH(Z307,'浓度设置'!$A$6:$A$46,0),IF(J307="L",1,IF(J307="M",2,3))))</x:f>
        <x:v>1183.2582135780847</x:v>
      </x:c>
      <x:c r="O307" s="9" t="n">
        <x:f>IF(AA307="","",INDEX('浓度设置'!$P$6:$R$46,MATCH(AA307,'浓度设置'!$A$6:$A$46,0),IF(K307="L",1,IF(K307="M",2,3))))</x:f>
        <x:v>25642.45</x:v>
      </x:c>
      <x:c r="P307" s="9" t="n">
        <x:f>IF(AB307="","",INDEX('浓度设置'!$P$6:$R$46,MATCH(AB307,'浓度设置'!$A$6:$A$46,0),IF(L307="L",1,IF(L307="M",2,3))))</x:f>
        <x:v>228.58258901324922</x:v>
      </x:c>
      <x:c r="Q307" s="9" t="n">
        <x:f>IF(Y307="","",M307/INDEX('浓度设置'!$M$6:$M$46,MATCH(Y307,'浓度设置'!$A$6:$A$46,0)))</x:f>
        <x:v>28.606966079366956</x:v>
      </x:c>
      <x:c r="R307" s="9" t="n">
        <x:f>IF(Z307="","",N307/INDEX('浓度设置'!$M$6:$M$46,MATCH(Z307,'浓度设置'!$A$6:$A$46,0)))</x:f>
        <x:v>200.55223958950586</x:v>
      </x:c>
      <x:c r="S307" s="9" t="n">
        <x:f>IF(AA307="","",O307/INDEX('浓度设置'!$M$6:$M$46,MATCH(AA307,'浓度设置'!$A$6:$A$46,0)))</x:f>
        <x:v>23.311318181818184</x:v>
      </x:c>
      <x:c r="T307" s="9" t="n">
        <x:f>IF(AB307="","",P307/INDEX('浓度设置'!$M$6:$M$46,MATCH(AB307,'浓度设置'!$A$6:$A$46,0)))</x:f>
        <x:v>0.21769770382214212</x:v>
      </x:c>
      <x:c r="U307" s="9" t="n">
        <x:f>IF(Y307="","",M307*$AD307/1000)</x:f>
        <x:v>14.589552700477146</x:v>
      </x:c>
      <x:c r="V307" s="9" t="n">
        <x:f>IF(Z307="","",N307*$AD307/1000)</x:f>
        <x:v>23.665164271561693</x:v>
      </x:c>
      <x:c r="W307" s="9" t="n">
        <x:f>IF(AA307="","",O307*$AD307/1000)</x:f>
        <x:v>512.849</x:v>
      </x:c>
      <x:c r="X307" s="9" t="n">
        <x:f>IF(AB307="","",P307*$AD307/1000)</x:f>
        <x:v>4.571651780264984</x:v>
      </x:c>
      <x:c r="Y307" s="3" t="n">
        <x:v>7</x:v>
      </x:c>
      <x:c r="Z307" s="3" t="n">
        <x:v>18</x:v>
      </x:c>
      <x:c r="AA307" s="3" t="n">
        <x:v>90</x:v>
      </x:c>
      <x:c r="AB307" s="3" t="n">
        <x:v>136</x:v>
      </x:c>
      <x:c r="AC307" s="3" t="n">
        <x:v>4</x:v>
      </x:c>
      <x:c r="AD307" s="3" t="n">
        <x:f>'方案总览'!$B$5</x:f>
        <x:v>20</x:v>
      </x:c>
    </x:row>
    <x:row r="308" ht="24" customHeight="1">
      <x:c r="A308" s="3" t="str">
        <x:v>T303</x:v>
      </x:c>
      <x:c r="B308" s="3" t="str">
        <x:v>拟合</x:v>
      </x:c>
      <x:c r="C308" s="3" t="str">
        <x:v>C217</x:v>
      </x:c>
      <x:c r="D308" s="3" t="str"/>
      <x:c r="E308" s="3" t="str">
        <x:v>1-丁醇</x:v>
      </x:c>
      <x:c r="F308" s="3" t="str">
        <x:v>乙醛二乙缩醛</x:v>
      </x:c>
      <x:c r="G308" s="3" t="str">
        <x:v>乙酸丁酯</x:v>
      </x:c>
      <x:c r="H308" s="3" t="str">
        <x:v>乙酸异戊酯</x:v>
      </x:c>
      <x:c r="I308" s="3" t="str">
        <x:v>H</x:v>
      </x:c>
      <x:c r="J308" s="3" t="str">
        <x:v>H</x:v>
      </x:c>
      <x:c r="K308" s="3" t="str">
        <x:v>M</x:v>
      </x:c>
      <x:c r="L308" s="3" t="str">
        <x:v>M</x:v>
      </x:c>
      <x:c r="M308" s="9" t="n">
        <x:f>IF(Y308="","",INDEX('浓度设置'!$P$6:$R$46,MATCH(Y308,'浓度设置'!$A$6:$A$46,0),IF(I308="L",1,IF(I308="M",2,3))))</x:f>
        <x:v>1038900</x:v>
      </x:c>
      <x:c r="N308" s="9" t="n">
        <x:f>IF(Z308="","",INDEX('浓度设置'!$P$6:$R$46,MATCH(Z308,'浓度设置'!$A$6:$A$46,0),IF(J308="L",1,IF(J308="M",2,3))))</x:f>
        <x:v>784300</x:v>
      </x:c>
      <x:c r="O308" s="9" t="n">
        <x:f>IF(AA308="","",INDEX('浓度设置'!$P$6:$R$46,MATCH(AA308,'浓度设置'!$A$6:$A$46,0),IF(K308="L",1,IF(K308="M",2,3))))</x:f>
        <x:v>3147.945</x:v>
      </x:c>
      <x:c r="P308" s="9" t="n">
        <x:f>IF(AB308="","",INDEX('浓度设置'!$P$6:$R$46,MATCH(AB308,'浓度设置'!$A$6:$A$46,0),IF(L308="L",1,IF(L308="M",2,3))))</x:f>
        <x:v>96.86609313893071</x:v>
      </x:c>
      <x:c r="Q308" s="9" t="n">
        <x:f>IF(Y308="","",M308/INDEX('浓度设置'!$M$6:$M$46,MATCH(Y308,'浓度设置'!$A$6:$A$46,0)))</x:f>
        <x:v>380.1317233809001</x:v>
      </x:c>
      <x:c r="R308" s="9" t="n">
        <x:f>IF(Z308="","",N308/INDEX('浓度设置'!$M$6:$M$46,MATCH(Z308,'浓度设置'!$A$6:$A$46,0)))</x:f>
        <x:v>375.2631578947368</x:v>
      </x:c>
      <x:c r="S308" s="9" t="n">
        <x:f>IF(AA308="","",O308/INDEX('浓度设置'!$M$6:$M$46,MATCH(AA308,'浓度设置'!$A$6:$A$46,0)))</x:f>
        <x:v>1.7488583333333334</x:v>
      </x:c>
      <x:c r="T308" s="9" t="n">
        <x:f>IF(AB308="","",P308/INDEX('浓度设置'!$M$6:$M$46,MATCH(AB308,'浓度设置'!$A$6:$A$46,0)))</x:f>
        <x:v>1.0315877863570895</x:v>
      </x:c>
      <x:c r="U308" s="9" t="n">
        <x:f>IF(Y308="","",M308*$AD308/1000)</x:f>
        <x:v>20778</x:v>
      </x:c>
      <x:c r="V308" s="9" t="n">
        <x:f>IF(Z308="","",N308*$AD308/1000)</x:f>
        <x:v>15686</x:v>
      </x:c>
      <x:c r="W308" s="9" t="n">
        <x:f>IF(AA308="","",O308*$AD308/1000)</x:f>
        <x:v>62.9589</x:v>
      </x:c>
      <x:c r="X308" s="9" t="n">
        <x:f>IF(AB308="","",P308*$AD308/1000)</x:f>
        <x:v>1.9373218627786142</x:v>
      </x:c>
      <x:c r="Y308" s="3" t="n">
        <x:v>11</x:v>
      </x:c>
      <x:c r="Z308" s="3" t="n">
        <x:v>53</x:v>
      </x:c>
      <x:c r="AA308" s="3" t="n">
        <x:v>114</x:v>
      </x:c>
      <x:c r="AB308" s="3" t="n">
        <x:v>115</x:v>
      </x:c>
      <x:c r="AC308" s="3" t="n">
        <x:v>4</x:v>
      </x:c>
      <x:c r="AD308" s="3" t="n">
        <x:f>'方案总览'!$B$5</x:f>
        <x:v>20</x:v>
      </x:c>
    </x:row>
    <x:row r="309" ht="24" customHeight="1">
      <x:c r="A309" s="3" t="str">
        <x:v>T304</x:v>
      </x:c>
      <x:c r="B309" s="3" t="str">
        <x:v>拟合</x:v>
      </x:c>
      <x:c r="C309" s="3" t="str">
        <x:v>C218</x:v>
      </x:c>
      <x:c r="D309" s="3" t="str"/>
      <x:c r="E309" s="3" t="str">
        <x:v>丁酸异戊酯</x:v>
      </x:c>
      <x:c r="F309" s="3" t="str">
        <x:v>异戊酸乙酯（3-甲基丁酸乙酯）</x:v>
      </x:c>
      <x:c r="G309" s="3" t="str">
        <x:v>辛酸</x:v>
      </x:c>
      <x:c r="H309" s="3" t="str">
        <x:v>戊酸乙酯</x:v>
      </x:c>
      <x:c r="I309" s="3" t="str">
        <x:v>M</x:v>
      </x:c>
      <x:c r="J309" s="3" t="str">
        <x:v>M</x:v>
      </x:c>
      <x:c r="K309" s="3" t="str">
        <x:v>H</x:v>
      </x:c>
      <x:c r="L309" s="3" t="str">
        <x:v>L</x:v>
      </x:c>
      <x:c r="M309" s="9" t="n">
        <x:f>IF(Y309="","",INDEX('浓度设置'!$P$6:$R$46,MATCH(Y309,'浓度设置'!$A$6:$A$46,0),IF(I309="L",1,IF(I309="M",2,3))))</x:f>
        <x:v>1041.8500000000001</x:v>
      </x:c>
      <x:c r="N309" s="9" t="n">
        <x:f>IF(Z309="","",INDEX('浓度设置'!$P$6:$R$46,MATCH(Z309,'浓度设置'!$A$6:$A$46,0),IF(J309="L",1,IF(J309="M",2,3))))</x:f>
        <x:v>99.89207175747232</x:v>
      </x:c>
      <x:c r="O309" s="9" t="n">
        <x:f>IF(AA309="","",INDEX('浓度设置'!$P$6:$R$46,MATCH(AA309,'浓度设置'!$A$6:$A$46,0),IF(K309="L",1,IF(K309="M",2,3))))</x:f>
        <x:v>40201.1</x:v>
      </x:c>
      <x:c r="P309" s="9" t="n">
        <x:f>IF(AB309="","",INDEX('浓度设置'!$P$6:$R$46,MATCH(AB309,'浓度设置'!$A$6:$A$46,0),IF(L309="L",1,IF(L309="M",2,3))))</x:f>
        <x:v>2.2</x:v>
      </x:c>
      <x:c r="Q309" s="9" t="n">
        <x:f>IF(Y309="","",M309/INDEX('浓度设置'!$M$6:$M$46,MATCH(Y309,'浓度设置'!$A$6:$A$46,0)))</x:f>
        <x:v>1.1386338797814208</x:v>
      </x:c>
      <x:c r="R309" s="9" t="n">
        <x:f>IF(Z309="","",N309/INDEX('浓度设置'!$M$6:$M$46,MATCH(Z309,'浓度设置'!$A$6:$A$46,0)))</x:f>
        <x:v>14.49812362227465</x:v>
      </x:c>
      <x:c r="S309" s="9" t="n">
        <x:f>IF(AA309="","",O309/INDEX('浓度设置'!$M$6:$M$46,MATCH(AA309,'浓度设置'!$A$6:$A$46,0)))</x:f>
        <x:v>14.889296296296296</x:v>
      </x:c>
      <x:c r="T309" s="9" t="n">
        <x:f>IF(AB309="","",P309/INDEX('浓度设置'!$M$6:$M$46,MATCH(AB309,'浓度设置'!$A$6:$A$46,0)))</x:f>
        <x:v>0.08208955223880597</x:v>
      </x:c>
      <x:c r="U309" s="9" t="n">
        <x:f>IF(Y309="","",M309*$AD309/1000)</x:f>
        <x:v>20.837000000000003</x:v>
      </x:c>
      <x:c r="V309" s="9" t="n">
        <x:f>IF(Z309="","",N309*$AD309/1000)</x:f>
        <x:v>1.9978414351494465</x:v>
      </x:c>
      <x:c r="W309" s="9" t="n">
        <x:f>IF(AA309="","",O309*$AD309/1000)</x:f>
        <x:v>804.022</x:v>
      </x:c>
      <x:c r="X309" s="9" t="n">
        <x:f>IF(AB309="","",P309*$AD309/1000)</x:f>
        <x:v>0.044</x:v>
      </x:c>
      <x:c r="Y309" s="3" t="n">
        <x:v>56</x:v>
      </x:c>
      <x:c r="Z309" s="3" t="n">
        <x:v>69</x:v>
      </x:c>
      <x:c r="AA309" s="3" t="n">
        <x:v>117</x:v>
      </x:c>
      <x:c r="AB309" s="3" t="n">
        <x:v>141</x:v>
      </x:c>
      <x:c r="AC309" s="3" t="n">
        <x:v>4</x:v>
      </x:c>
      <x:c r="AD309" s="3" t="n">
        <x:f>'方案总览'!$B$5</x:f>
        <x:v>20</x:v>
      </x:c>
    </x:row>
    <x:row r="310" ht="24" customHeight="1">
      <x:c r="A310" s="3" t="str">
        <x:v>T305</x:v>
      </x:c>
      <x:c r="B310" s="3" t="str">
        <x:v>拟合</x:v>
      </x:c>
      <x:c r="C310" s="3" t="str">
        <x:v>C219</x:v>
      </x:c>
      <x:c r="D310" s="3" t="str"/>
      <x:c r="E310" s="3" t="str">
        <x:v>异丁酸乙酯</x:v>
      </x:c>
      <x:c r="F310" s="3" t="str">
        <x:v>己酸乙酯</x:v>
      </x:c>
      <x:c r="G310" s="3" t="str">
        <x:v>戊酸乙酯</x:v>
      </x:c>
      <x:c r="H310" s="3" t="str">
        <x:v>己酸丁酯</x:v>
      </x:c>
      <x:c r="I310" s="3" t="str">
        <x:v>L</x:v>
      </x:c>
      <x:c r="J310" s="3" t="str">
        <x:v>L</x:v>
      </x:c>
      <x:c r="K310" s="3" t="str">
        <x:v>L</x:v>
      </x:c>
      <x:c r="L310" s="3" t="str">
        <x:v>H</x:v>
      </x:c>
      <x:c r="M310" s="9" t="n">
        <x:f>IF(Y310="","",INDEX('浓度设置'!$P$6:$R$46,MATCH(Y310,'浓度设置'!$A$6:$A$46,0),IF(I310="L",1,IF(I310="M",2,3))))</x:f>
        <x:v>18.68</x:v>
      </x:c>
      <x:c r="N310" s="9" t="n">
        <x:f>IF(Z310="","",INDEX('浓度设置'!$P$6:$R$46,MATCH(Z310,'浓度设置'!$A$6:$A$46,0),IF(J310="L",1,IF(J310="M",2,3))))</x:f>
        <x:v>833.64</x:v>
      </x:c>
      <x:c r="O310" s="9" t="n">
        <x:f>IF(AA310="","",INDEX('浓度设置'!$P$6:$R$46,MATCH(AA310,'浓度设置'!$A$6:$A$46,0),IF(K310="L",1,IF(K310="M",2,3))))</x:f>
        <x:v>2.2</x:v>
      </x:c>
      <x:c r="P310" s="9" t="n">
        <x:f>IF(AB310="","",INDEX('浓度设置'!$P$6:$R$46,MATCH(AB310,'浓度设置'!$A$6:$A$46,0),IF(L310="L",1,IF(L310="M",2,3))))</x:f>
        <x:v>86300</x:v>
      </x:c>
      <x:c r="Q310" s="9" t="n">
        <x:f>IF(Y310="","",M310/INDEX('浓度设置'!$M$6:$M$46,MATCH(Y310,'浓度设置'!$A$6:$A$46,0)))</x:f>
        <x:v>0.3248695652173913</x:v>
      </x:c>
      <x:c r="R310" s="9" t="n">
        <x:f>IF(Z310="","",N310/INDEX('浓度设置'!$M$6:$M$46,MATCH(Z310,'浓度设置'!$A$6:$A$46,0)))</x:f>
        <x:v>15.074864376130199</x:v>
      </x:c>
      <x:c r="S310" s="9" t="n">
        <x:f>IF(AA310="","",O310/INDEX('浓度设置'!$M$6:$M$46,MATCH(AA310,'浓度设置'!$A$6:$A$46,0)))</x:f>
        <x:v>0.08208955223880597</x:v>
      </x:c>
      <x:c r="T310" s="9" t="n">
        <x:f>IF(AB310="","",P310/INDEX('浓度设置'!$M$6:$M$46,MATCH(AB310,'浓度设置'!$A$6:$A$46,0)))</x:f>
        <x:v>127.31618080963058</x:v>
      </x:c>
      <x:c r="U310" s="9" t="n">
        <x:f>IF(Y310="","",M310*$AD310/1000)</x:f>
        <x:v>0.37360000000000004</x:v>
      </x:c>
      <x:c r="V310" s="9" t="n">
        <x:f>IF(Z310="","",N310*$AD310/1000)</x:f>
        <x:v>16.6728</x:v>
      </x:c>
      <x:c r="W310" s="9" t="n">
        <x:f>IF(AA310="","",O310*$AD310/1000)</x:f>
        <x:v>0.044</x:v>
      </x:c>
      <x:c r="X310" s="9" t="n">
        <x:f>IF(AB310="","",P310*$AD310/1000)</x:f>
        <x:v>1726</x:v>
      </x:c>
      <x:c r="Y310" s="3" t="n">
        <x:v>32</x:v>
      </x:c>
      <x:c r="Z310" s="3" t="n">
        <x:v>111</x:v>
      </x:c>
      <x:c r="AA310" s="3" t="n">
        <x:v>141</x:v>
      </x:c>
      <x:c r="AB310" s="3" t="n">
        <x:v>165</x:v>
      </x:c>
      <x:c r="AC310" s="3" t="n">
        <x:v>4</x:v>
      </x:c>
      <x:c r="AD310" s="3" t="n">
        <x:f>'方案总览'!$B$5</x:f>
        <x:v>20</x:v>
      </x:c>
    </x:row>
    <x:row r="311" ht="24" customHeight="1">
      <x:c r="A311" s="3" t="str">
        <x:v>T306</x:v>
      </x:c>
      <x:c r="B311" s="3" t="str">
        <x:v>拟合</x:v>
      </x:c>
      <x:c r="C311" s="3" t="str">
        <x:v>C220</x:v>
      </x:c>
      <x:c r="D311" s="3" t="str"/>
      <x:c r="E311" s="3" t="str">
        <x:v>己醛</x:v>
      </x:c>
      <x:c r="F311" s="3" t="str">
        <x:v>戊酸</x:v>
      </x:c>
      <x:c r="G311" s="3" t="str">
        <x:v>己酸乙酯</x:v>
      </x:c>
      <x:c r="H311" s="3" t="str">
        <x:v>β-大马酮</x:v>
      </x:c>
      <x:c r="I311" s="3" t="str">
        <x:v>H</x:v>
      </x:c>
      <x:c r="J311" s="3" t="str">
        <x:v>H</x:v>
      </x:c>
      <x:c r="K311" s="3" t="str">
        <x:v>M</x:v>
      </x:c>
      <x:c r="L311" s="3" t="str">
        <x:v>M</x:v>
      </x:c>
      <x:c r="M311" s="9" t="n">
        <x:f>IF(Y311="","",INDEX('浓度设置'!$P$6:$R$46,MATCH(Y311,'浓度设置'!$A$6:$A$46,0),IF(I311="L",1,IF(I311="M",2,3))))</x:f>
        <x:v>3075.94</x:v>
      </x:c>
      <x:c r="N311" s="9" t="n">
        <x:f>IF(Z311="","",INDEX('浓度设置'!$P$6:$R$46,MATCH(Z311,'浓度设置'!$A$6:$A$46,0),IF(J311="L",1,IF(J311="M",2,3))))</x:f>
        <x:v>62700</x:v>
      </x:c>
      <x:c r="O311" s="9" t="n">
        <x:f>IF(AA311="","",INDEX('浓度设置'!$P$6:$R$46,MATCH(AA311,'浓度设置'!$A$6:$A$46,0),IF(K311="L",1,IF(K311="M",2,3))))</x:f>
        <x:v>89562.18016998023</x:v>
      </x:c>
      <x:c r="P311" s="9" t="n">
        <x:f>IF(AB311="","",INDEX('浓度设置'!$P$6:$R$46,MATCH(AB311,'浓度设置'!$A$6:$A$46,0),IF(L311="L",1,IF(L311="M",2,3))))</x:f>
        <x:v>9.546727187890099</x:v>
      </x:c>
      <x:c r="Q311" s="9" t="n">
        <x:f>IF(Y311="","",M311/INDEX('浓度设置'!$M$6:$M$46,MATCH(Y311,'浓度设置'!$A$6:$A$46,0)))</x:f>
        <x:v>120.62509803921569</x:v>
      </x:c>
      <x:c r="R311" s="9" t="n">
        <x:f>IF(Z311="","",N311/INDEX('浓度设置'!$M$6:$M$46,MATCH(Z311,'浓度设置'!$A$6:$A$46,0)))</x:f>
        <x:v>161.18251928020567</x:v>
      </x:c>
      <x:c r="S311" s="9" t="n">
        <x:f>IF(AA311="","",O311/INDEX('浓度设置'!$M$6:$M$46,MATCH(AA311,'浓度设置'!$A$6:$A$46,0)))</x:f>
        <x:v>1619.5692616632955</x:v>
      </x:c>
      <x:c r="T311" s="9" t="n">
        <x:f>IF(AB311="","",P311/INDEX('浓度设置'!$M$6:$M$46,MATCH(AB311,'浓度设置'!$A$6:$A$46,0)))</x:f>
        <x:v>79.55605989908416</x:v>
      </x:c>
      <x:c r="U311" s="9" t="n">
        <x:f>IF(Y311="","",M311*$AD311/1000)</x:f>
        <x:v>61.518800000000006</x:v>
      </x:c>
      <x:c r="V311" s="9" t="n">
        <x:f>IF(Z311="","",N311*$AD311/1000)</x:f>
        <x:v>1254</x:v>
      </x:c>
      <x:c r="W311" s="9" t="n">
        <x:f>IF(AA311="","",O311*$AD311/1000)</x:f>
        <x:v>1791.2436033996046</x:v>
      </x:c>
      <x:c r="X311" s="9" t="n">
        <x:f>IF(AB311="","",P311*$AD311/1000)</x:f>
        <x:v>0.19093454375780197</x:v>
      </x:c>
      <x:c r="Y311" s="3" t="n">
        <x:v>7</x:v>
      </x:c>
      <x:c r="Z311" s="3" t="n">
        <x:v>75</x:v>
      </x:c>
      <x:c r="AA311" s="3" t="n">
        <x:v>111</x:v>
      </x:c>
      <x:c r="AB311" s="3" t="n">
        <x:v>255</x:v>
      </x:c>
      <x:c r="AC311" s="3" t="n">
        <x:v>4</x:v>
      </x:c>
      <x:c r="AD311" s="3" t="n">
        <x:f>'方案总览'!$B$5</x:f>
        <x:v>20</x:v>
      </x:c>
    </x:row>
    <x:row r="312" ht="24" customHeight="1">
      <x:c r="A312" s="3" t="str">
        <x:v>T307</x:v>
      </x:c>
      <x:c r="B312" s="3" t="str">
        <x:v>拟合</x:v>
      </x:c>
      <x:c r="C312" s="3" t="str">
        <x:v>C221</x:v>
      </x:c>
      <x:c r="D312" s="3" t="str"/>
      <x:c r="E312" s="3" t="str">
        <x:v>丁酸异戊酯</x:v>
      </x:c>
      <x:c r="F312" s="3" t="str">
        <x:v>癸酸乙酯</x:v>
      </x:c>
      <x:c r="G312" s="3" t="str">
        <x:v>苯乙醛</x:v>
      </x:c>
      <x:c r="H312" s="3" t="str">
        <x:v>己酸己酯</x:v>
      </x:c>
      <x:c r="I312" s="3" t="str">
        <x:v>M</x:v>
      </x:c>
      <x:c r="J312" s="3" t="str">
        <x:v>M</x:v>
      </x:c>
      <x:c r="K312" s="3" t="str">
        <x:v>H</x:v>
      </x:c>
      <x:c r="L312" s="3" t="str">
        <x:v>L</x:v>
      </x:c>
      <x:c r="M312" s="9" t="n">
        <x:f>IF(Y312="","",INDEX('浓度设置'!$P$6:$R$46,MATCH(Y312,'浓度设置'!$A$6:$A$46,0),IF(I312="L",1,IF(I312="M",2,3))))</x:f>
        <x:v>1041.8500000000001</x:v>
      </x:c>
      <x:c r="N312" s="9" t="n">
        <x:f>IF(Z312="","",INDEX('浓度设置'!$P$6:$R$46,MATCH(Z312,'浓度设置'!$A$6:$A$46,0),IF(J312="L",1,IF(J312="M",2,3))))</x:f>
        <x:v>1288.255</x:v>
      </x:c>
      <x:c r="O312" s="9" t="n">
        <x:f>IF(AA312="","",INDEX('浓度设置'!$P$6:$R$46,MATCH(AA312,'浓度设置'!$A$6:$A$46,0),IF(K312="L",1,IF(K312="M",2,3))))</x:f>
        <x:v>15730</x:v>
      </x:c>
      <x:c r="P312" s="9" t="n">
        <x:f>IF(AB312="","",INDEX('浓度设置'!$P$6:$R$46,MATCH(AB312,'浓度设置'!$A$6:$A$46,0),IF(L312="L",1,IF(L312="M",2,3))))</x:f>
        <x:v>2.5</x:v>
      </x:c>
      <x:c r="Q312" s="9" t="n">
        <x:f>IF(Y312="","",M312/INDEX('浓度设置'!$M$6:$M$46,MATCH(Y312,'浓度设置'!$A$6:$A$46,0)))</x:f>
        <x:v>1.1386338797814208</x:v>
      </x:c>
      <x:c r="R312" s="9" t="n">
        <x:f>IF(Z312="","",N312/INDEX('浓度设置'!$M$6:$M$46,MATCH(Z312,'浓度设置'!$A$6:$A$46,0)))</x:f>
        <x:v>1.1502276785714287</x:v>
      </x:c>
      <x:c r="S312" s="9" t="n">
        <x:f>IF(AA312="","",O312/INDEX('浓度设置'!$M$6:$M$46,MATCH(AA312,'浓度设置'!$A$6:$A$46,0)))</x:f>
        <x:v>60.038167938931295</x:v>
      </x:c>
      <x:c r="T312" s="9" t="n">
        <x:f>IF(AB312="","",P312/INDEX('浓度设置'!$M$6:$M$46,MATCH(AB312,'浓度设置'!$A$6:$A$46,0)))</x:f>
        <x:v>0.0013220518244315177</x:v>
      </x:c>
      <x:c r="U312" s="9" t="n">
        <x:f>IF(Y312="","",M312*$AD312/1000)</x:f>
        <x:v>20.837000000000003</x:v>
      </x:c>
      <x:c r="V312" s="9" t="n">
        <x:f>IF(Z312="","",N312*$AD312/1000)</x:f>
        <x:v>25.765100000000004</x:v>
      </x:c>
      <x:c r="W312" s="9" t="n">
        <x:f>IF(AA312="","",O312*$AD312/1000)</x:f>
        <x:v>314.6</x:v>
      </x:c>
      <x:c r="X312" s="9" t="n">
        <x:f>IF(AB312="","",P312*$AD312/1000)</x:f>
        <x:v>0.05</x:v>
      </x:c>
      <x:c r="Y312" s="3" t="n">
        <x:v>56</x:v>
      </x:c>
      <x:c r="Z312" s="3" t="n">
        <x:v>79</x:v>
      </x:c>
      <x:c r="AA312" s="3" t="n">
        <x:v>105</x:v>
      </x:c>
      <x:c r="AB312" s="3" t="n">
        <x:v>227</x:v>
      </x:c>
      <x:c r="AC312" s="3" t="n">
        <x:v>4</x:v>
      </x:c>
      <x:c r="AD312" s="3" t="n">
        <x:f>'方案总览'!$B$5</x:f>
        <x:v>20</x:v>
      </x:c>
    </x:row>
    <x:row r="313" ht="24" customHeight="1">
      <x:c r="A313" s="3" t="str">
        <x:v>T308</x:v>
      </x:c>
      <x:c r="B313" s="3" t="str">
        <x:v>拟合</x:v>
      </x:c>
      <x:c r="C313" s="3" t="str">
        <x:v>C222</x:v>
      </x:c>
      <x:c r="D313" s="3" t="str"/>
      <x:c r="E313" s="3" t="str">
        <x:v>苯乙酸乙酯</x:v>
      </x:c>
      <x:c r="F313" s="3" t="str">
        <x:v>辛酸乙酯</x:v>
      </x:c>
      <x:c r="G313" s="3" t="str">
        <x:v>辛酸</x:v>
      </x:c>
      <x:c r="H313" s="3" t="str">
        <x:v>2-甲基丁酸乙酯</x:v>
      </x:c>
      <x:c r="I313" s="3" t="str">
        <x:v>H</x:v>
      </x:c>
      <x:c r="J313" s="3" t="str">
        <x:v>H</x:v>
      </x:c>
      <x:c r="K313" s="3" t="str">
        <x:v>L</x:v>
      </x:c>
      <x:c r="L313" s="3" t="str">
        <x:v>L</x:v>
      </x:c>
      <x:c r="M313" s="9" t="n">
        <x:f>IF(Y313="","",INDEX('浓度设置'!$P$6:$R$46,MATCH(Y313,'浓度设置'!$A$6:$A$46,0),IF(I313="L",1,IF(I313="M",2,3))))</x:f>
        <x:v>21400</x:v>
      </x:c>
      <x:c r="N313" s="9" t="n">
        <x:f>IF(Z313="","",INDEX('浓度设置'!$P$6:$R$46,MATCH(Z313,'浓度设置'!$A$6:$A$46,0),IF(J313="L",1,IF(J313="M",2,3))))</x:f>
        <x:v>1865945</x:v>
      </x:c>
      <x:c r="O313" s="9" t="n">
        <x:f>IF(AA313="","",INDEX('浓度设置'!$P$6:$R$46,MATCH(AA313,'浓度设置'!$A$6:$A$46,0),IF(K313="L",1,IF(K313="M",2,3))))</x:f>
        <x:v>1.875</x:v>
      </x:c>
      <x:c r="P313" s="9" t="n">
        <x:f>IF(AB313="","",INDEX('浓度设置'!$P$6:$R$46,MATCH(AB313,'浓度设置'!$A$6:$A$46,0),IF(L313="L",1,IF(L313="M",2,3))))</x:f>
        <x:v>0.97</x:v>
      </x:c>
      <x:c r="Q313" s="9" t="n">
        <x:f>IF(Y313="","",M313/INDEX('浓度设置'!$M$6:$M$46,MATCH(Y313,'浓度设置'!$A$6:$A$46,0)))</x:f>
        <x:v>52.57985257985258</x:v>
      </x:c>
      <x:c r="R313" s="9" t="n">
        <x:f>IF(Z313="","",N313/INDEX('浓度设置'!$M$6:$M$46,MATCH(Z313,'浓度设置'!$A$6:$A$46,0)))</x:f>
        <x:v>144646.8992248062</x:v>
      </x:c>
      <x:c r="S313" s="9" t="n">
        <x:f>IF(AA313="","",O313/INDEX('浓度设置'!$M$6:$M$46,MATCH(AA313,'浓度设置'!$A$6:$A$46,0)))</x:f>
        <x:v>0.0006944444444444445</x:v>
      </x:c>
      <x:c r="T313" s="9" t="n">
        <x:f>IF(AB313="","",P313/INDEX('浓度设置'!$M$6:$M$46,MATCH(AB313,'浓度设置'!$A$6:$A$46,0)))</x:f>
        <x:v>0.05388888888888889</x:v>
      </x:c>
      <x:c r="U313" s="9" t="n">
        <x:f>IF(Y313="","",M313*$AD313/1000)</x:f>
        <x:v>428</x:v>
      </x:c>
      <x:c r="V313" s="9" t="n">
        <x:f>IF(Z313="","",N313*$AD313/1000)</x:f>
        <x:v>37318.9</x:v>
      </x:c>
      <x:c r="W313" s="9" t="n">
        <x:f>IF(AA313="","",O313*$AD313/1000)</x:f>
        <x:v>0.0375</x:v>
      </x:c>
      <x:c r="X313" s="9" t="n">
        <x:f>IF(AB313="","",P313*$AD313/1000)</x:f>
        <x:v>0.019399999999999997</x:v>
      </x:c>
      <x:c r="Y313" s="3" t="n">
        <x:v>40</x:v>
      </x:c>
      <x:c r="Z313" s="3" t="n">
        <x:v>58</x:v>
      </x:c>
      <x:c r="AA313" s="3" t="n">
        <x:v>117</x:v>
      </x:c>
      <x:c r="AB313" s="3" t="n">
        <x:v>232</x:v>
      </x:c>
      <x:c r="AC313" s="3" t="n">
        <x:v>4</x:v>
      </x:c>
      <x:c r="AD313" s="3" t="n">
        <x:f>'方案总览'!$B$5</x:f>
        <x:v>20</x:v>
      </x:c>
    </x:row>
    <x:row r="314" ht="24" customHeight="1">
      <x:c r="A314" s="3" t="str">
        <x:v>T309</x:v>
      </x:c>
      <x:c r="B314" s="3" t="str">
        <x:v>拟合</x:v>
      </x:c>
      <x:c r="C314" s="3" t="str">
        <x:v>C223</x:v>
      </x:c>
      <x:c r="D314" s="3" t="str"/>
      <x:c r="E314" s="3" t="str">
        <x:v>1-丁醇</x:v>
      </x:c>
      <x:c r="F314" s="3" t="str">
        <x:v>对甲酚</x:v>
      </x:c>
      <x:c r="G314" s="3" t="str">
        <x:v>异戊酸乙酯（3-甲基丁酸乙酯）</x:v>
      </x:c>
      <x:c r="H314" s="3" t="str">
        <x:v>苯乙醛</x:v>
      </x:c>
      <x:c r="I314" s="3" t="str">
        <x:v>H</x:v>
      </x:c>
      <x:c r="J314" s="3" t="str">
        <x:v>M</x:v>
      </x:c>
      <x:c r="K314" s="3" t="str">
        <x:v>H</x:v>
      </x:c>
      <x:c r="L314" s="3" t="str">
        <x:v>H</x:v>
      </x:c>
      <x:c r="M314" s="9" t="n">
        <x:f>IF(Y314="","",INDEX('浓度设置'!$P$6:$R$46,MATCH(Y314,'浓度设置'!$A$6:$A$46,0),IF(I314="L",1,IF(I314="M",2,3))))</x:f>
        <x:v>1038900</x:v>
      </x:c>
      <x:c r="N314" s="9" t="n">
        <x:f>IF(Z314="","",INDEX('浓度设置'!$P$6:$R$46,MATCH(Z314,'浓度设置'!$A$6:$A$46,0),IF(J314="L",1,IF(J314="M",2,3))))</x:f>
        <x:v>59.381310191002015</x:v>
      </x:c>
      <x:c r="O314" s="9" t="n">
        <x:f>IF(AA314="","",INDEX('浓度设置'!$P$6:$R$46,MATCH(AA314,'浓度设置'!$A$6:$A$46,0),IF(K314="L",1,IF(K314="M",2,3))))</x:f>
        <x:v>12022.2</x:v>
      </x:c>
      <x:c r="P314" s="9" t="n">
        <x:f>IF(AB314="","",INDEX('浓度设置'!$P$6:$R$46,MATCH(AB314,'浓度设置'!$A$6:$A$46,0),IF(L314="L",1,IF(L314="M",2,3))))</x:f>
        <x:v>15730</x:v>
      </x:c>
      <x:c r="Q314" s="9" t="n">
        <x:f>IF(Y314="","",M314/INDEX('浓度设置'!$M$6:$M$46,MATCH(Y314,'浓度设置'!$A$6:$A$46,0)))</x:f>
        <x:v>380.1317233809001</x:v>
      </x:c>
      <x:c r="R314" s="9" t="n">
        <x:f>IF(Z314="","",N314/INDEX('浓度设置'!$M$6:$M$46,MATCH(Z314,'浓度设置'!$A$6:$A$46,0)))</x:f>
        <x:v>0.355576707730551</x:v>
      </x:c>
      <x:c r="S314" s="9" t="n">
        <x:f>IF(AA314="","",O314/INDEX('浓度设置'!$M$6:$M$46,MATCH(AA314,'浓度设置'!$A$6:$A$46,0)))</x:f>
        <x:v>1744.8766328011613</x:v>
      </x:c>
      <x:c r="T314" s="9" t="n">
        <x:f>IF(AB314="","",P314/INDEX('浓度设置'!$M$6:$M$46,MATCH(AB314,'浓度设置'!$A$6:$A$46,0)))</x:f>
        <x:v>60.038167938931295</x:v>
      </x:c>
      <x:c r="U314" s="9" t="n">
        <x:f>IF(Y314="","",M314*$AD314/1000)</x:f>
        <x:v>20778</x:v>
      </x:c>
      <x:c r="V314" s="9" t="n">
        <x:f>IF(Z314="","",N314*$AD314/1000)</x:f>
        <x:v>1.1876262038200402</x:v>
      </x:c>
      <x:c r="W314" s="9" t="n">
        <x:f>IF(AA314="","",O314*$AD314/1000)</x:f>
        <x:v>240.444</x:v>
      </x:c>
      <x:c r="X314" s="9" t="n">
        <x:f>IF(AB314="","",P314*$AD314/1000)</x:f>
        <x:v>314.6</x:v>
      </x:c>
      <x:c r="Y314" s="3" t="n">
        <x:v>11</x:v>
      </x:c>
      <x:c r="Z314" s="3" t="n">
        <x:v>61</x:v>
      </x:c>
      <x:c r="AA314" s="3" t="n">
        <x:v>69</x:v>
      </x:c>
      <x:c r="AB314" s="3" t="n">
        <x:v>105</x:v>
      </x:c>
      <x:c r="AC314" s="3" t="n">
        <x:v>4</x:v>
      </x:c>
      <x:c r="AD314" s="3" t="n">
        <x:f>'方案总览'!$B$5</x:f>
        <x:v>20</x:v>
      </x:c>
    </x:row>
    <x:row r="315" ht="24" customHeight="1">
      <x:c r="A315" s="3" t="str">
        <x:v>T310</x:v>
      </x:c>
      <x:c r="B315" s="3" t="str">
        <x:v>拟合</x:v>
      </x:c>
      <x:c r="C315" s="3" t="str">
        <x:v>C224</x:v>
      </x:c>
      <x:c r="D315" s="3" t="str"/>
      <x:c r="E315" s="3" t="str">
        <x:v>2-甲基丙醛</x:v>
      </x:c>
      <x:c r="F315" s="3" t="str">
        <x:v>己酸</x:v>
      </x:c>
      <x:c r="G315" s="3" t="str">
        <x:v>异戊酸/3-甲基丁酸</x:v>
      </x:c>
      <x:c r="H315" s="3" t="str">
        <x:v>己酸丁酯</x:v>
      </x:c>
      <x:c r="I315" s="3" t="str">
        <x:v>L</x:v>
      </x:c>
      <x:c r="J315" s="3" t="str">
        <x:v>H</x:v>
      </x:c>
      <x:c r="K315" s="3" t="str">
        <x:v>M</x:v>
      </x:c>
      <x:c r="L315" s="3" t="str">
        <x:v>H</x:v>
      </x:c>
      <x:c r="M315" s="9" t="n">
        <x:f>IF(Y315="","",INDEX('浓度设置'!$P$6:$R$46,MATCH(Y315,'浓度设置'!$A$6:$A$46,0),IF(I315="L",1,IF(I315="M",2,3))))</x:f>
        <x:v>39</x:v>
      </x:c>
      <x:c r="N315" s="9" t="n">
        <x:f>IF(Z315="","",INDEX('浓度设置'!$P$6:$R$46,MATCH(Z315,'浓度设置'!$A$6:$A$46,0),IF(J315="L",1,IF(J315="M",2,3))))</x:f>
        <x:v>1551340.76</x:v>
      </x:c>
      <x:c r="O315" s="9" t="n">
        <x:f>IF(AA315="","",INDEX('浓度设置'!$P$6:$R$46,MATCH(AA315,'浓度设置'!$A$6:$A$46,0),IF(K315="L",1,IF(K315="M",2,3))))</x:f>
        <x:v>228.58258901324922</x:v>
      </x:c>
      <x:c r="P315" s="9" t="n">
        <x:f>IF(AB315="","",INDEX('浓度设置'!$P$6:$R$46,MATCH(AB315,'浓度设置'!$A$6:$A$46,0),IF(L315="L",1,IF(L315="M",2,3))))</x:f>
        <x:v>86300</x:v>
      </x:c>
      <x:c r="Q315" s="9" t="n">
        <x:f>IF(Y315="","",M315/INDEX('浓度设置'!$M$6:$M$46,MATCH(Y315,'浓度设置'!$A$6:$A$46,0)))</x:f>
        <x:v>6.610169491525423</x:v>
      </x:c>
      <x:c r="R315" s="9" t="n">
        <x:f>IF(Z315="","",N315/INDEX('浓度设置'!$M$6:$M$46,MATCH(Z315,'浓度设置'!$A$6:$A$46,0)))</x:f>
        <x:v>615.6114126984127</x:v>
      </x:c>
      <x:c r="S315" s="9" t="n">
        <x:f>IF(AA315="","",O315/INDEX('浓度设置'!$M$6:$M$46,MATCH(AA315,'浓度设置'!$A$6:$A$46,0)))</x:f>
        <x:v>0.21769770382214212</x:v>
      </x:c>
      <x:c r="T315" s="9" t="n">
        <x:f>IF(AB315="","",P315/INDEX('浓度设置'!$M$6:$M$46,MATCH(AB315,'浓度设置'!$A$6:$A$46,0)))</x:f>
        <x:v>127.31618080963058</x:v>
      </x:c>
      <x:c r="U315" s="9" t="n">
        <x:f>IF(Y315="","",M315*$AD315/1000)</x:f>
        <x:v>0.78</x:v>
      </x:c>
      <x:c r="V315" s="9" t="n">
        <x:f>IF(Z315="","",N315*$AD315/1000)</x:f>
        <x:v>31026.8152</x:v>
      </x:c>
      <x:c r="W315" s="9" t="n">
        <x:f>IF(AA315="","",O315*$AD315/1000)</x:f>
        <x:v>4.571651780264984</x:v>
      </x:c>
      <x:c r="X315" s="9" t="n">
        <x:f>IF(AB315="","",P315*$AD315/1000)</x:f>
        <x:v>1726</x:v>
      </x:c>
      <x:c r="Y315" s="3" t="n">
        <x:v>18</x:v>
      </x:c>
      <x:c r="Z315" s="3" t="n">
        <x:v>126</x:v>
      </x:c>
      <x:c r="AA315" s="3" t="n">
        <x:v>136</x:v>
      </x:c>
      <x:c r="AB315" s="3" t="n">
        <x:v>165</x:v>
      </x:c>
      <x:c r="AC315" s="3" t="n">
        <x:v>4</x:v>
      </x:c>
      <x:c r="AD315" s="3" t="n">
        <x:f>'方案总览'!$B$5</x:f>
        <x:v>20</x:v>
      </x:c>
    </x:row>
    <x:row r="316" ht="24" customHeight="1">
      <x:c r="A316" s="3" t="str">
        <x:v>R001</x:v>
      </x:c>
      <x:c r="B316" s="3" t="str">
        <x:v>独立配制重复</x:v>
      </x:c>
      <x:c r="C316" s="3" t="str">
        <x:v>BASE</x:v>
      </x:c>
      <x:c r="D316" s="3" t="str">
        <x:v>T001</x:v>
      </x:c>
      <x:c r="E316" s="3" t="str"/>
      <x:c r="F316" s="3" t="str"/>
      <x:c r="G316" s="3" t="str"/>
      <x:c r="H316" s="3" t="str"/>
      <x:c r="I316" s="3" t="str"/>
      <x:c r="J316" s="3" t="str"/>
      <x:c r="K316" s="3" t="str"/>
      <x:c r="L316" s="3" t="str"/>
      <x:c r="M316" s="9" t="str">
        <x:f>IF(Y316="","",INDEX('浓度设置'!$P$6:$R$46,MATCH(Y316,'浓度设置'!$A$6:$A$46,0),IF(I316="L",1,IF(I316="M",2,3))))</x:f>
      </x:c>
      <x:c r="N316" s="9" t="str">
        <x:f>IF(Z316="","",INDEX('浓度设置'!$P$6:$R$46,MATCH(Z316,'浓度设置'!$A$6:$A$46,0),IF(J316="L",1,IF(J316="M",2,3))))</x:f>
      </x:c>
      <x:c r="O316" s="9" t="str">
        <x:f>IF(AA316="","",INDEX('浓度设置'!$P$6:$R$46,MATCH(AA316,'浓度设置'!$A$6:$A$46,0),IF(K316="L",1,IF(K316="M",2,3))))</x:f>
      </x:c>
      <x:c r="P316" s="9" t="str">
        <x:f>IF(AB316="","",INDEX('浓度设置'!$P$6:$R$46,MATCH(AB316,'浓度设置'!$A$6:$A$46,0),IF(L316="L",1,IF(L316="M",2,3))))</x:f>
      </x:c>
      <x:c r="Q316" s="9" t="str">
        <x:f>IF(Y316="","",M316/INDEX('浓度设置'!$M$6:$M$46,MATCH(Y316,'浓度设置'!$A$6:$A$46,0)))</x:f>
      </x:c>
      <x:c r="R316" s="9" t="str">
        <x:f>IF(Z316="","",N316/INDEX('浓度设置'!$M$6:$M$46,MATCH(Z316,'浓度设置'!$A$6:$A$46,0)))</x:f>
      </x:c>
      <x:c r="S316" s="9" t="str">
        <x:f>IF(AA316="","",O316/INDEX('浓度设置'!$M$6:$M$46,MATCH(AA316,'浓度设置'!$A$6:$A$46,0)))</x:f>
      </x:c>
      <x:c r="T316" s="9" t="str">
        <x:f>IF(AB316="","",P316/INDEX('浓度设置'!$M$6:$M$46,MATCH(AB316,'浓度设置'!$A$6:$A$46,0)))</x:f>
      </x:c>
      <x:c r="U316" s="9" t="str">
        <x:f>IF(Y316="","",M316*$AD316/1000)</x:f>
      </x:c>
      <x:c r="V316" s="9" t="str">
        <x:f>IF(Z316="","",N316*$AD316/1000)</x:f>
      </x:c>
      <x:c r="W316" s="9" t="str">
        <x:f>IF(AA316="","",O316*$AD316/1000)</x:f>
      </x:c>
      <x:c r="X316" s="9" t="str">
        <x:f>IF(AB316="","",P316*$AD316/1000)</x:f>
      </x:c>
      <x:c r="Y316" s="3" t="str"/>
      <x:c r="Z316" s="3" t="str"/>
      <x:c r="AA316" s="3" t="str"/>
      <x:c r="AB316" s="3" t="str"/>
      <x:c r="AC316" s="3" t="n">
        <x:v>0</x:v>
      </x:c>
      <x:c r="AD316" s="3" t="n">
        <x:f>'方案总览'!$B$5</x:f>
        <x:v>20</x:v>
      </x:c>
    </x:row>
    <x:row r="317" ht="24" customHeight="1">
      <x:c r="A317" s="3" t="str">
        <x:v>R002</x:v>
      </x:c>
      <x:c r="B317" s="3" t="str">
        <x:v>独立配制重复</x:v>
      </x:c>
      <x:c r="C317" s="3" t="str">
        <x:v>BASE</x:v>
      </x:c>
      <x:c r="D317" s="3" t="str">
        <x:v>T001</x:v>
      </x:c>
      <x:c r="E317" s="3" t="str"/>
      <x:c r="F317" s="3" t="str"/>
      <x:c r="G317" s="3" t="str"/>
      <x:c r="H317" s="3" t="str"/>
      <x:c r="I317" s="3" t="str"/>
      <x:c r="J317" s="3" t="str"/>
      <x:c r="K317" s="3" t="str"/>
      <x:c r="L317" s="3" t="str"/>
      <x:c r="M317" s="9" t="str">
        <x:f>IF(Y317="","",INDEX('浓度设置'!$P$6:$R$46,MATCH(Y317,'浓度设置'!$A$6:$A$46,0),IF(I317="L",1,IF(I317="M",2,3))))</x:f>
      </x:c>
      <x:c r="N317" s="9" t="str">
        <x:f>IF(Z317="","",INDEX('浓度设置'!$P$6:$R$46,MATCH(Z317,'浓度设置'!$A$6:$A$46,0),IF(J317="L",1,IF(J317="M",2,3))))</x:f>
      </x:c>
      <x:c r="O317" s="9" t="str">
        <x:f>IF(AA317="","",INDEX('浓度设置'!$P$6:$R$46,MATCH(AA317,'浓度设置'!$A$6:$A$46,0),IF(K317="L",1,IF(K317="M",2,3))))</x:f>
      </x:c>
      <x:c r="P317" s="9" t="str">
        <x:f>IF(AB317="","",INDEX('浓度设置'!$P$6:$R$46,MATCH(AB317,'浓度设置'!$A$6:$A$46,0),IF(L317="L",1,IF(L317="M",2,3))))</x:f>
      </x:c>
      <x:c r="Q317" s="9" t="str">
        <x:f>IF(Y317="","",M317/INDEX('浓度设置'!$M$6:$M$46,MATCH(Y317,'浓度设置'!$A$6:$A$46,0)))</x:f>
      </x:c>
      <x:c r="R317" s="9" t="str">
        <x:f>IF(Z317="","",N317/INDEX('浓度设置'!$M$6:$M$46,MATCH(Z317,'浓度设置'!$A$6:$A$46,0)))</x:f>
      </x:c>
      <x:c r="S317" s="9" t="str">
        <x:f>IF(AA317="","",O317/INDEX('浓度设置'!$M$6:$M$46,MATCH(AA317,'浓度设置'!$A$6:$A$46,0)))</x:f>
      </x:c>
      <x:c r="T317" s="9" t="str">
        <x:f>IF(AB317="","",P317/INDEX('浓度设置'!$M$6:$M$46,MATCH(AB317,'浓度设置'!$A$6:$A$46,0)))</x:f>
      </x:c>
      <x:c r="U317" s="9" t="str">
        <x:f>IF(Y317="","",M317*$AD317/1000)</x:f>
      </x:c>
      <x:c r="V317" s="9" t="str">
        <x:f>IF(Z317="","",N317*$AD317/1000)</x:f>
      </x:c>
      <x:c r="W317" s="9" t="str">
        <x:f>IF(AA317="","",O317*$AD317/1000)</x:f>
      </x:c>
      <x:c r="X317" s="9" t="str">
        <x:f>IF(AB317="","",P317*$AD317/1000)</x:f>
      </x:c>
      <x:c r="Y317" s="3" t="str"/>
      <x:c r="Z317" s="3" t="str"/>
      <x:c r="AA317" s="3" t="str"/>
      <x:c r="AB317" s="3" t="str"/>
      <x:c r="AC317" s="3" t="n">
        <x:v>0</x:v>
      </x:c>
      <x:c r="AD317" s="3" t="n">
        <x:f>'方案总览'!$B$5</x:f>
        <x:v>20</x:v>
      </x:c>
    </x:row>
    <x:row r="318" ht="24" customHeight="1">
      <x:c r="A318" s="3" t="str">
        <x:v>R003</x:v>
      </x:c>
      <x:c r="B318" s="3" t="str">
        <x:v>独立配制重复</x:v>
      </x:c>
      <x:c r="C318" s="3" t="str">
        <x:v>C193</x:v>
      </x:c>
      <x:c r="D318" s="3" t="str">
        <x:v>T279</x:v>
      </x:c>
      <x:c r="E318" s="3" t="str">
        <x:v>己醛</x:v>
      </x:c>
      <x:c r="F318" s="3" t="str">
        <x:v>戊酸乙酯</x:v>
      </x:c>
      <x:c r="G318" s="3" t="str">
        <x:v>3-苯基丙酸乙酯</x:v>
      </x:c>
      <x:c r="H318" s="3" t="str">
        <x:v>2-甲基丁酸乙酯</x:v>
      </x:c>
      <x:c r="I318" s="3" t="str">
        <x:v>M</x:v>
      </x:c>
      <x:c r="J318" s="3" t="str">
        <x:v>M</x:v>
      </x:c>
      <x:c r="K318" s="3" t="str">
        <x:v>M</x:v>
      </x:c>
      <x:c r="L318" s="3" t="str">
        <x:v>L</x:v>
      </x:c>
      <x:c r="M318" s="9" t="n">
        <x:f>IF(Y318="","",INDEX('浓度设置'!$P$6:$R$46,MATCH(Y318,'浓度设置'!$A$6:$A$46,0),IF(I318="L",1,IF(I318="M",2,3))))</x:f>
        <x:v>729.4776350238574</x:v>
      </x:c>
      <x:c r="N318" s="9" t="n">
        <x:f>IF(Z318="","",INDEX('浓度设置'!$P$6:$R$46,MATCH(Z318,'浓度设置'!$A$6:$A$46,0),IF(J318="L",1,IF(J318="M",2,3))))</x:f>
        <x:v>1512.497272724814</x:v>
      </x:c>
      <x:c r="O318" s="9" t="n">
        <x:f>IF(AA318="","",INDEX('浓度设置'!$P$6:$R$46,MATCH(AA318,'浓度设置'!$A$6:$A$46,0),IF(K318="L",1,IF(K318="M",2,3))))</x:f>
        <x:v>4262.731518639193</x:v>
      </x:c>
      <x:c r="P318" s="9" t="n">
        <x:f>IF(AB318="","",INDEX('浓度设置'!$P$6:$R$46,MATCH(AB318,'浓度设置'!$A$6:$A$46,0),IF(L318="L",1,IF(L318="M",2,3))))</x:f>
        <x:v>0.97</x:v>
      </x:c>
      <x:c r="Q318" s="9" t="n">
        <x:f>IF(Y318="","",M318/INDEX('浓度设置'!$M$6:$M$46,MATCH(Y318,'浓度设置'!$A$6:$A$46,0)))</x:f>
        <x:v>28.606966079366956</x:v>
      </x:c>
      <x:c r="R318" s="9" t="n">
        <x:f>IF(Z318="","",N318/INDEX('浓度设置'!$M$6:$M$46,MATCH(Z318,'浓度设置'!$A$6:$A$46,0)))</x:f>
        <x:v>56.43646540017962</x:v>
      </x:c>
      <x:c r="S318" s="9" t="n">
        <x:f>IF(AA318="","",O318/INDEX('浓度设置'!$M$6:$M$46,MATCH(AA318,'浓度设置'!$A$6:$A$46,0)))</x:f>
        <x:v>34.10185214911355</x:v>
      </x:c>
      <x:c r="T318" s="9" t="n">
        <x:f>IF(AB318="","",P318/INDEX('浓度设置'!$M$6:$M$46,MATCH(AB318,'浓度设置'!$A$6:$A$46,0)))</x:f>
        <x:v>0.05388888888888889</x:v>
      </x:c>
      <x:c r="U318" s="9" t="n">
        <x:f>IF(Y318="","",M318*$AD318/1000)</x:f>
        <x:v>14.589552700477146</x:v>
      </x:c>
      <x:c r="V318" s="9" t="n">
        <x:f>IF(Z318="","",N318*$AD318/1000)</x:f>
        <x:v>30.249945454496277</x:v>
      </x:c>
      <x:c r="W318" s="9" t="n">
        <x:f>IF(AA318="","",O318*$AD318/1000)</x:f>
        <x:v>85.25463037278386</x:v>
      </x:c>
      <x:c r="X318" s="9" t="n">
        <x:f>IF(AB318="","",P318*$AD318/1000)</x:f>
        <x:v>0.019399999999999997</x:v>
      </x:c>
      <x:c r="Y318" s="3" t="n">
        <x:v>7</x:v>
      </x:c>
      <x:c r="Z318" s="3" t="n">
        <x:v>141</x:v>
      </x:c>
      <x:c r="AA318" s="3" t="n">
        <x:v>186</x:v>
      </x:c>
      <x:c r="AB318" s="3" t="n">
        <x:v>232</x:v>
      </x:c>
      <x:c r="AC318" s="3" t="n">
        <x:v>4</x:v>
      </x:c>
      <x:c r="AD318" s="3" t="n">
        <x:f>'方案总览'!$B$5</x:f>
        <x:v>20</x:v>
      </x:c>
    </x:row>
    <x:row r="319" ht="24" customHeight="1">
      <x:c r="A319" s="3" t="str">
        <x:v>R004</x:v>
      </x:c>
      <x:c r="B319" s="3" t="str">
        <x:v>独立配制重复</x:v>
      </x:c>
      <x:c r="C319" s="3" t="str">
        <x:v>C129</x:v>
      </x:c>
      <x:c r="D319" s="3" t="str">
        <x:v>T215</x:v>
      </x:c>
      <x:c r="E319" s="3" t="str">
        <x:v>2-甲基丙醛</x:v>
      </x:c>
      <x:c r="F319" s="3" t="str">
        <x:v>辛酸乙酯</x:v>
      </x:c>
      <x:c r="G319" s="3" t="str">
        <x:v>异戊酸乙酯（3-甲基丁酸乙酯）</x:v>
      </x:c>
      <x:c r="H319" s="3" t="str">
        <x:v>己酸己酯</x:v>
      </x:c>
      <x:c r="I319" s="3" t="str">
        <x:v>H</x:v>
      </x:c>
      <x:c r="J319" s="3" t="str">
        <x:v>L</x:v>
      </x:c>
      <x:c r="K319" s="3" t="str">
        <x:v>H</x:v>
      </x:c>
      <x:c r="L319" s="3" t="str">
        <x:v>L</x:v>
      </x:c>
      <x:c r="M319" s="9" t="n">
        <x:f>IF(Y319="","",INDEX('浓度设置'!$P$6:$R$46,MATCH(Y319,'浓度设置'!$A$6:$A$46,0),IF(I319="L",1,IF(I319="M",2,3))))</x:f>
        <x:v>35900</x:v>
      </x:c>
      <x:c r="N319" s="9" t="n">
        <x:f>IF(Z319="","",INDEX('浓度设置'!$P$6:$R$46,MATCH(Z319,'浓度设置'!$A$6:$A$46,0),IF(J319="L",1,IF(J319="M",2,3))))</x:f>
        <x:v>5.06</x:v>
      </x:c>
      <x:c r="O319" s="9" t="n">
        <x:f>IF(AA319="","",INDEX('浓度设置'!$P$6:$R$46,MATCH(AA319,'浓度设置'!$A$6:$A$46,0),IF(K319="L",1,IF(K319="M",2,3))))</x:f>
        <x:v>12022.2</x:v>
      </x:c>
      <x:c r="P319" s="9" t="n">
        <x:f>IF(AB319="","",INDEX('浓度设置'!$P$6:$R$46,MATCH(AB319,'浓度设置'!$A$6:$A$46,0),IF(L319="L",1,IF(L319="M",2,3))))</x:f>
        <x:v>2.5</x:v>
      </x:c>
      <x:c r="Q319" s="9" t="n">
        <x:f>IF(Y319="","",M319/INDEX('浓度设置'!$M$6:$M$46,MATCH(Y319,'浓度设置'!$A$6:$A$46,0)))</x:f>
        <x:v>6084.745762711864</x:v>
      </x:c>
      <x:c r="R319" s="9" t="n">
        <x:f>IF(Z319="","",N319/INDEX('浓度设置'!$M$6:$M$46,MATCH(Z319,'浓度设置'!$A$6:$A$46,0)))</x:f>
        <x:v>0.39224806201550383</x:v>
      </x:c>
      <x:c r="S319" s="9" t="n">
        <x:f>IF(AA319="","",O319/INDEX('浓度设置'!$M$6:$M$46,MATCH(AA319,'浓度设置'!$A$6:$A$46,0)))</x:f>
        <x:v>1744.8766328011613</x:v>
      </x:c>
      <x:c r="T319" s="9" t="n">
        <x:f>IF(AB319="","",P319/INDEX('浓度设置'!$M$6:$M$46,MATCH(AB319,'浓度设置'!$A$6:$A$46,0)))</x:f>
        <x:v>0.0013220518244315177</x:v>
      </x:c>
      <x:c r="U319" s="9" t="n">
        <x:f>IF(Y319="","",M319*$AD319/1000)</x:f>
        <x:v>718</x:v>
      </x:c>
      <x:c r="V319" s="9" t="n">
        <x:f>IF(Z319="","",N319*$AD319/1000)</x:f>
        <x:v>0.10119999999999998</x:v>
      </x:c>
      <x:c r="W319" s="9" t="n">
        <x:f>IF(AA319="","",O319*$AD319/1000)</x:f>
        <x:v>240.444</x:v>
      </x:c>
      <x:c r="X319" s="9" t="n">
        <x:f>IF(AB319="","",P319*$AD319/1000)</x:f>
        <x:v>0.05</x:v>
      </x:c>
      <x:c r="Y319" s="3" t="n">
        <x:v>18</x:v>
      </x:c>
      <x:c r="Z319" s="3" t="n">
        <x:v>58</x:v>
      </x:c>
      <x:c r="AA319" s="3" t="n">
        <x:v>69</x:v>
      </x:c>
      <x:c r="AB319" s="3" t="n">
        <x:v>227</x:v>
      </x:c>
      <x:c r="AC319" s="3" t="n">
        <x:v>4</x:v>
      </x:c>
      <x:c r="AD319" s="3" t="n">
        <x:f>'方案总览'!$B$5</x:f>
        <x:v>20</x:v>
      </x:c>
    </x:row>
    <x:row r="320" ht="24" customHeight="1">
      <x:c r="A320" s="3" t="str">
        <x:v>R005</x:v>
      </x:c>
      <x:c r="B320" s="3" t="str">
        <x:v>独立配制重复</x:v>
      </x:c>
      <x:c r="C320" s="3" t="str">
        <x:v>C199</x:v>
      </x:c>
      <x:c r="D320" s="3" t="str">
        <x:v>T285</x:v>
      </x:c>
      <x:c r="E320" s="3" t="str">
        <x:v>己醛</x:v>
      </x:c>
      <x:c r="F320" s="3" t="str">
        <x:v>苯乙酸乙酯</x:v>
      </x:c>
      <x:c r="G320" s="3" t="str">
        <x:v>丁酸乙酯</x:v>
      </x:c>
      <x:c r="H320" s="3" t="str">
        <x:v>辛酸乙酯</x:v>
      </x:c>
      <x:c r="I320" s="3" t="str">
        <x:v>H</x:v>
      </x:c>
      <x:c r="J320" s="3" t="str">
        <x:v>M</x:v>
      </x:c>
      <x:c r="K320" s="3" t="str">
        <x:v>H</x:v>
      </x:c>
      <x:c r="L320" s="3" t="str">
        <x:v>M</x:v>
      </x:c>
      <x:c r="M320" s="9" t="n">
        <x:f>IF(Y320="","",INDEX('浓度设置'!$P$6:$R$46,MATCH(Y320,'浓度设置'!$A$6:$A$46,0),IF(I320="L",1,IF(I320="M",2,3))))</x:f>
        <x:v>3075.94</x:v>
      </x:c>
      <x:c r="N320" s="9" t="n">
        <x:f>IF(Z320="","",INDEX('浓度设置'!$P$6:$R$46,MATCH(Z320,'浓度设置'!$A$6:$A$46,0),IF(J320="L",1,IF(J320="M",2,3))))</x:f>
        <x:v>200.3122562401013</x:v>
      </x:c>
      <x:c r="O320" s="9" t="n">
        <x:f>IF(AA320="","",INDEX('浓度设置'!$P$6:$R$46,MATCH(AA320,'浓度设置'!$A$6:$A$46,0),IF(K320="L",1,IF(K320="M",2,3))))</x:f>
        <x:v>1290235</x:v>
      </x:c>
      <x:c r="P320" s="9" t="n">
        <x:f>IF(AB320="","",INDEX('浓度设置'!$P$6:$R$46,MATCH(AB320,'浓度设置'!$A$6:$A$46,0),IF(L320="L",1,IF(L320="M",2,3))))</x:f>
        <x:v>3072.731960324558</x:v>
      </x:c>
      <x:c r="Q320" s="9" t="n">
        <x:f>IF(Y320="","",M320/INDEX('浓度设置'!$M$6:$M$46,MATCH(Y320,'浓度设置'!$A$6:$A$46,0)))</x:f>
        <x:v>120.62509803921569</x:v>
      </x:c>
      <x:c r="R320" s="9" t="n">
        <x:f>IF(Z320="","",N320/INDEX('浓度设置'!$M$6:$M$46,MATCH(Z320,'浓度设置'!$A$6:$A$46,0)))</x:f>
        <x:v>0.49216770574963464</x:v>
      </x:c>
      <x:c r="S320" s="9" t="n">
        <x:f>IF(AA320="","",O320/INDEX('浓度设置'!$M$6:$M$46,MATCH(AA320,'浓度设置'!$A$6:$A$46,0)))</x:f>
        <x:v>15831.104294478528</x:v>
      </x:c>
      <x:c r="T320" s="9" t="n">
        <x:f>IF(AB320="","",P320/INDEX('浓度设置'!$M$6:$M$46,MATCH(AB320,'浓度设置'!$A$6:$A$46,0)))</x:f>
        <x:v>238.19627599415176</x:v>
      </x:c>
      <x:c r="U320" s="9" t="n">
        <x:f>IF(Y320="","",M320*$AD320/1000)</x:f>
        <x:v>61.518800000000006</x:v>
      </x:c>
      <x:c r="V320" s="9" t="n">
        <x:f>IF(Z320="","",N320*$AD320/1000)</x:f>
        <x:v>4.006245124802026</x:v>
      </x:c>
      <x:c r="W320" s="9" t="n">
        <x:f>IF(AA320="","",O320*$AD320/1000)</x:f>
        <x:v>25804.7</x:v>
      </x:c>
      <x:c r="X320" s="9" t="n">
        <x:f>IF(AB320="","",P320*$AD320/1000)</x:f>
        <x:v>61.45463920649116</x:v>
      </x:c>
      <x:c r="Y320" s="3" t="n">
        <x:v>7</x:v>
      </x:c>
      <x:c r="Z320" s="3" t="n">
        <x:v>40</x:v>
      </x:c>
      <x:c r="AA320" s="3" t="n">
        <x:v>52</x:v>
      </x:c>
      <x:c r="AB320" s="3" t="n">
        <x:v>58</x:v>
      </x:c>
      <x:c r="AC320" s="3" t="n">
        <x:v>4</x:v>
      </x:c>
      <x:c r="AD320" s="3" t="n">
        <x:f>'方案总览'!$B$5</x:f>
        <x:v>20</x:v>
      </x:c>
    </x:row>
    <x:row r="321" ht="24" customHeight="1">
      <x:c r="A321" s="3" t="str">
        <x:v>R006</x:v>
      </x:c>
      <x:c r="B321" s="3" t="str">
        <x:v>独立配制重复</x:v>
      </x:c>
      <x:c r="C321" s="3" t="str">
        <x:v>C088</x:v>
      </x:c>
      <x:c r="D321" s="3" t="str">
        <x:v>T174</x:v>
      </x:c>
      <x:c r="E321" s="3" t="str">
        <x:v>2-甲基丙醛</x:v>
      </x:c>
      <x:c r="F321" s="3" t="str">
        <x:v>苯乙酸乙酯</x:v>
      </x:c>
      <x:c r="G321" s="3" t="str">
        <x:v>辛酸</x:v>
      </x:c>
      <x:c r="H321" s="3" t="str">
        <x:v>3-苯基丙酸乙酯</x:v>
      </x:c>
      <x:c r="I321" s="3" t="str">
        <x:v>H</x:v>
      </x:c>
      <x:c r="J321" s="3" t="str">
        <x:v>M</x:v>
      </x:c>
      <x:c r="K321" s="3" t="str">
        <x:v>L</x:v>
      </x:c>
      <x:c r="L321" s="3" t="str">
        <x:v>M</x:v>
      </x:c>
      <x:c r="M321" s="9" t="n">
        <x:f>IF(Y321="","",INDEX('浓度设置'!$P$6:$R$46,MATCH(Y321,'浓度设置'!$A$6:$A$46,0),IF(I321="L",1,IF(I321="M",2,3))))</x:f>
        <x:v>35900</x:v>
      </x:c>
      <x:c r="N321" s="9" t="n">
        <x:f>IF(Z321="","",INDEX('浓度设置'!$P$6:$R$46,MATCH(Z321,'浓度设置'!$A$6:$A$46,0),IF(J321="L",1,IF(J321="M",2,3))))</x:f>
        <x:v>200.3122562401013</x:v>
      </x:c>
      <x:c r="O321" s="9" t="n">
        <x:f>IF(AA321="","",INDEX('浓度设置'!$P$6:$R$46,MATCH(AA321,'浓度设置'!$A$6:$A$46,0),IF(K321="L",1,IF(K321="M",2,3))))</x:f>
        <x:v>1.875</x:v>
      </x:c>
      <x:c r="P321" s="9" t="n">
        <x:f>IF(AB321="","",INDEX('浓度设置'!$P$6:$R$46,MATCH(AB321,'浓度设置'!$A$6:$A$46,0),IF(L321="L",1,IF(L321="M",2,3))))</x:f>
        <x:v>4262.731518639193</x:v>
      </x:c>
      <x:c r="Q321" s="9" t="n">
        <x:f>IF(Y321="","",M321/INDEX('浓度设置'!$M$6:$M$46,MATCH(Y321,'浓度设置'!$A$6:$A$46,0)))</x:f>
        <x:v>6084.745762711864</x:v>
      </x:c>
      <x:c r="R321" s="9" t="n">
        <x:f>IF(Z321="","",N321/INDEX('浓度设置'!$M$6:$M$46,MATCH(Z321,'浓度设置'!$A$6:$A$46,0)))</x:f>
        <x:v>0.49216770574963464</x:v>
      </x:c>
      <x:c r="S321" s="9" t="n">
        <x:f>IF(AA321="","",O321/INDEX('浓度设置'!$M$6:$M$46,MATCH(AA321,'浓度设置'!$A$6:$A$46,0)))</x:f>
        <x:v>0.0006944444444444445</x:v>
      </x:c>
      <x:c r="T321" s="9" t="n">
        <x:f>IF(AB321="","",P321/INDEX('浓度设置'!$M$6:$M$46,MATCH(AB321,'浓度设置'!$A$6:$A$46,0)))</x:f>
        <x:v>34.10185214911355</x:v>
      </x:c>
      <x:c r="U321" s="9" t="n">
        <x:f>IF(Y321="","",M321*$AD321/1000)</x:f>
        <x:v>718</x:v>
      </x:c>
      <x:c r="V321" s="9" t="n">
        <x:f>IF(Z321="","",N321*$AD321/1000)</x:f>
        <x:v>4.006245124802026</x:v>
      </x:c>
      <x:c r="W321" s="9" t="n">
        <x:f>IF(AA321="","",O321*$AD321/1000)</x:f>
        <x:v>0.0375</x:v>
      </x:c>
      <x:c r="X321" s="9" t="n">
        <x:f>IF(AB321="","",P321*$AD321/1000)</x:f>
        <x:v>85.25463037278386</x:v>
      </x:c>
      <x:c r="Y321" s="3" t="n">
        <x:v>18</x:v>
      </x:c>
      <x:c r="Z321" s="3" t="n">
        <x:v>40</x:v>
      </x:c>
      <x:c r="AA321" s="3" t="n">
        <x:v>117</x:v>
      </x:c>
      <x:c r="AB321" s="3" t="n">
        <x:v>186</x:v>
      </x:c>
      <x:c r="AC321" s="3" t="n">
        <x:v>4</x:v>
      </x:c>
      <x:c r="AD321" s="3" t="n">
        <x:f>'方案总览'!$B$5</x:f>
        <x:v>20</x:v>
      </x:c>
    </x:row>
    <x:row r="322" ht="24" customHeight="1">
      <x:c r="A322" s="3" t="str">
        <x:v>R007</x:v>
      </x:c>
      <x:c r="B322" s="3" t="str">
        <x:v>独立配制重复</x:v>
      </x:c>
      <x:c r="C322" s="3" t="str">
        <x:v>C154</x:v>
      </x:c>
      <x:c r="D322" s="3" t="str">
        <x:v>T240</x:v>
      </x:c>
      <x:c r="E322" s="3" t="str">
        <x:v>异戊酸乙酯（3-甲基丁酸乙酯）</x:v>
      </x:c>
      <x:c r="F322" s="3" t="str">
        <x:v>戊酸</x:v>
      </x:c>
      <x:c r="G322" s="3" t="str">
        <x:v>乙酸异戊酯</x:v>
      </x:c>
      <x:c r="H322" s="3" t="str">
        <x:v>异戊醛</x:v>
      </x:c>
      <x:c r="I322" s="3" t="str">
        <x:v>H</x:v>
      </x:c>
      <x:c r="J322" s="3" t="str">
        <x:v>M</x:v>
      </x:c>
      <x:c r="K322" s="3" t="str">
        <x:v>H</x:v>
      </x:c>
      <x:c r="L322" s="3" t="str">
        <x:v>M</x:v>
      </x:c>
      <x:c r="M322" s="9" t="n">
        <x:f>IF(Y322="","",INDEX('浓度设置'!$P$6:$R$46,MATCH(Y322,'浓度设置'!$A$6:$A$46,0),IF(I322="L",1,IF(I322="M",2,3))))</x:f>
        <x:v>12022.2</x:v>
      </x:c>
      <x:c r="N322" s="9" t="n">
        <x:f>IF(Z322="","",INDEX('浓度设置'!$P$6:$R$46,MATCH(Z322,'浓度设置'!$A$6:$A$46,0),IF(J322="L",1,IF(J322="M",2,3))))</x:f>
        <x:v>331.2476415010377</x:v>
      </x:c>
      <x:c r="O322" s="9" t="n">
        <x:f>IF(AA322="","",INDEX('浓度设置'!$P$6:$R$46,MATCH(AA322,'浓度设置'!$A$6:$A$46,0),IF(K322="L",1,IF(K322="M",2,3))))</x:f>
        <x:v>6516</x:v>
      </x:c>
      <x:c r="P322" s="9" t="n">
        <x:f>IF(AB322="","",INDEX('浓度设置'!$P$6:$R$46,MATCH(AB322,'浓度设置'!$A$6:$A$46,0),IF(L322="L",1,IF(L322="M",2,3))))</x:f>
        <x:v>1048.6410253275426</x:v>
      </x:c>
      <x:c r="Q322" s="9" t="n">
        <x:f>IF(Y322="","",M322/INDEX('浓度设置'!$M$6:$M$46,MATCH(Y322,'浓度设置'!$A$6:$A$46,0)))</x:f>
        <x:v>1744.8766328011613</x:v>
      </x:c>
      <x:c r="R322" s="9" t="n">
        <x:f>IF(Z322="","",N322/INDEX('浓度设置'!$M$6:$M$46,MATCH(Z322,'浓度设置'!$A$6:$A$46,0)))</x:f>
        <x:v>0.8515363534731046</x:v>
      </x:c>
      <x:c r="S322" s="9" t="n">
        <x:f>IF(AA322="","",O322/INDEX('浓度设置'!$M$6:$M$46,MATCH(AA322,'浓度设置'!$A$6:$A$46,0)))</x:f>
        <x:v>69.39297124600638</x:v>
      </x:c>
      <x:c r="T322" s="9" t="n">
        <x:f>IF(AB322="","",P322/INDEX('浓度设置'!$M$6:$M$46,MATCH(AB322,'浓度设置'!$A$6:$A$46,0)))</x:f>
        <x:v>63.554001535002584</x:v>
      </x:c>
      <x:c r="U322" s="9" t="n">
        <x:f>IF(Y322="","",M322*$AD322/1000)</x:f>
        <x:v>240.444</x:v>
      </x:c>
      <x:c r="V322" s="9" t="n">
        <x:f>IF(Z322="","",N322*$AD322/1000)</x:f>
        <x:v>6.624952830020755</x:v>
      </x:c>
      <x:c r="W322" s="9" t="n">
        <x:f>IF(AA322="","",O322*$AD322/1000)</x:f>
        <x:v>130.32</x:v>
      </x:c>
      <x:c r="X322" s="9" t="n">
        <x:f>IF(AB322="","",P322*$AD322/1000)</x:f>
        <x:v>20.972820506550853</x:v>
      </x:c>
      <x:c r="Y322" s="3" t="n">
        <x:v>69</x:v>
      </x:c>
      <x:c r="Z322" s="3" t="n">
        <x:v>75</x:v>
      </x:c>
      <x:c r="AA322" s="3" t="n">
        <x:v>115</x:v>
      </x:c>
      <x:c r="AB322" s="3" t="n">
        <x:v>152</x:v>
      </x:c>
      <x:c r="AC322" s="3" t="n">
        <x:v>4</x:v>
      </x:c>
      <x:c r="AD322" s="3" t="n">
        <x:f>'方案总览'!$B$5</x:f>
        <x:v>20</x:v>
      </x:c>
    </x:row>
    <x:row r="323" ht="24" customHeight="1">
      <x:c r="A323" s="3" t="str">
        <x:v>R008</x:v>
      </x:c>
      <x:c r="B323" s="3" t="str">
        <x:v>独立配制重复</x:v>
      </x:c>
      <x:c r="C323" s="3" t="str">
        <x:v>C091</x:v>
      </x:c>
      <x:c r="D323" s="3" t="str">
        <x:v>T177</x:v>
      </x:c>
      <x:c r="E323" s="3" t="str">
        <x:v>戊酸</x:v>
      </x:c>
      <x:c r="F323" s="3" t="str">
        <x:v>乙酸异戊酯</x:v>
      </x:c>
      <x:c r="G323" s="3" t="str">
        <x:v>戊酸乙酯</x:v>
      </x:c>
      <x:c r="H323" s="3" t="str">
        <x:v>2-甲基丁酸乙酯</x:v>
      </x:c>
      <x:c r="I323" s="3" t="str">
        <x:v>L</x:v>
      </x:c>
      <x:c r="J323" s="3" t="str">
        <x:v>H</x:v>
      </x:c>
      <x:c r="K323" s="3" t="str">
        <x:v>M</x:v>
      </x:c>
      <x:c r="L323" s="3" t="str">
        <x:v>H</x:v>
      </x:c>
      <x:c r="M323" s="9" t="n">
        <x:f>IF(Y323="","",INDEX('浓度设置'!$P$6:$R$46,MATCH(Y323,'浓度设置'!$A$6:$A$46,0),IF(I323="L",1,IF(I323="M",2,3))))</x:f>
        <x:v>1.75</x:v>
      </x:c>
      <x:c r="N323" s="9" t="n">
        <x:f>IF(Z323="","",INDEX('浓度设置'!$P$6:$R$46,MATCH(Z323,'浓度设置'!$A$6:$A$46,0),IF(J323="L",1,IF(J323="M",2,3))))</x:f>
        <x:v>6516</x:v>
      </x:c>
      <x:c r="O323" s="9" t="n">
        <x:f>IF(AA323="","",INDEX('浓度设置'!$P$6:$R$46,MATCH(AA323,'浓度设置'!$A$6:$A$46,0),IF(K323="L",1,IF(K323="M",2,3))))</x:f>
        <x:v>1512.497272724814</x:v>
      </x:c>
      <x:c r="P323" s="9" t="n">
        <x:f>IF(AB323="","",INDEX('浓度设置'!$P$6:$R$46,MATCH(AB323,'浓度设置'!$A$6:$A$46,0),IF(L323="L",1,IF(L323="M",2,3))))</x:f>
        <x:v>1611</x:v>
      </x:c>
      <x:c r="Q323" s="9" t="n">
        <x:f>IF(Y323="","",M323/INDEX('浓度设置'!$M$6:$M$46,MATCH(Y323,'浓度设置'!$A$6:$A$46,0)))</x:f>
        <x:v>0.004498714652956298</x:v>
      </x:c>
      <x:c r="R323" s="9" t="n">
        <x:f>IF(Z323="","",N323/INDEX('浓度设置'!$M$6:$M$46,MATCH(Z323,'浓度设置'!$A$6:$A$46,0)))</x:f>
        <x:v>69.39297124600638</x:v>
      </x:c>
      <x:c r="S323" s="9" t="n">
        <x:f>IF(AA323="","",O323/INDEX('浓度设置'!$M$6:$M$46,MATCH(AA323,'浓度设置'!$A$6:$A$46,0)))</x:f>
        <x:v>56.43646540017962</x:v>
      </x:c>
      <x:c r="T323" s="9" t="n">
        <x:f>IF(AB323="","",P323/INDEX('浓度设置'!$M$6:$M$46,MATCH(AB323,'浓度设置'!$A$6:$A$46,0)))</x:f>
        <x:v>89.5</x:v>
      </x:c>
      <x:c r="U323" s="9" t="n">
        <x:f>IF(Y323="","",M323*$AD323/1000)</x:f>
        <x:v>0.035</x:v>
      </x:c>
      <x:c r="V323" s="9" t="n">
        <x:f>IF(Z323="","",N323*$AD323/1000)</x:f>
        <x:v>130.32</x:v>
      </x:c>
      <x:c r="W323" s="9" t="n">
        <x:f>IF(AA323="","",O323*$AD323/1000)</x:f>
        <x:v>30.249945454496277</x:v>
      </x:c>
      <x:c r="X323" s="9" t="n">
        <x:f>IF(AB323="","",P323*$AD323/1000)</x:f>
        <x:v>32.22</x:v>
      </x:c>
      <x:c r="Y323" s="3" t="n">
        <x:v>75</x:v>
      </x:c>
      <x:c r="Z323" s="3" t="n">
        <x:v>115</x:v>
      </x:c>
      <x:c r="AA323" s="3" t="n">
        <x:v>141</x:v>
      </x:c>
      <x:c r="AB323" s="3" t="n">
        <x:v>232</x:v>
      </x:c>
      <x:c r="AC323" s="3" t="n">
        <x:v>4</x:v>
      </x:c>
      <x:c r="AD323" s="3" t="n">
        <x:f>'方案总览'!$B$5</x:f>
        <x:v>20</x:v>
      </x:c>
    </x:row>
    <x:row r="324" ht="24" customHeight="1">
      <x:c r="A324" s="3" t="str">
        <x:v>R009</x:v>
      </x:c>
      <x:c r="B324" s="3" t="str">
        <x:v>独立配制重复</x:v>
      </x:c>
      <x:c r="C324" s="3" t="str">
        <x:v>C039</x:v>
      </x:c>
      <x:c r="D324" s="3" t="str">
        <x:v>T125</x:v>
      </x:c>
      <x:c r="E324" s="3" t="str">
        <x:v>己醛</x:v>
      </x:c>
      <x:c r="F324" s="3" t="str">
        <x:v>异丁酸乙酯</x:v>
      </x:c>
      <x:c r="G324" s="3" t="str">
        <x:v>苯乙醛</x:v>
      </x:c>
      <x:c r="H324" s="3" t="str">
        <x:v>戊酸乙酯</x:v>
      </x:c>
      <x:c r="I324" s="3" t="str">
        <x:v>H</x:v>
      </x:c>
      <x:c r="J324" s="3" t="str">
        <x:v>H</x:v>
      </x:c>
      <x:c r="K324" s="3" t="str">
        <x:v>L</x:v>
      </x:c>
      <x:c r="L324" s="3" t="str">
        <x:v>H</x:v>
      </x:c>
      <x:c r="M324" s="9" t="n">
        <x:f>IF(Y324="","",INDEX('浓度设置'!$P$6:$R$46,MATCH(Y324,'浓度设置'!$A$6:$A$46,0),IF(I324="L",1,IF(I324="M",2,3))))</x:f>
        <x:v>3075.94</x:v>
      </x:c>
      <x:c r="N324" s="9" t="n">
        <x:f>IF(Z324="","",INDEX('浓度设置'!$P$6:$R$46,MATCH(Z324,'浓度设置'!$A$6:$A$46,0),IF(J324="L",1,IF(J324="M",2,3))))</x:f>
        <x:v>37489</x:v>
      </x:c>
      <x:c r="O324" s="9" t="n">
        <x:f>IF(AA324="","",INDEX('浓度设置'!$P$6:$R$46,MATCH(AA324,'浓度设置'!$A$6:$A$46,0),IF(K324="L",1,IF(K324="M",2,3))))</x:f>
        <x:v>0.05</x:v>
      </x:c>
      <x:c r="P324" s="9" t="n">
        <x:f>IF(AB324="","",INDEX('浓度设置'!$P$6:$R$46,MATCH(AB324,'浓度设置'!$A$6:$A$46,0),IF(L324="L",1,IF(L324="M",2,3))))</x:f>
        <x:v>1039840</x:v>
      </x:c>
      <x:c r="Q324" s="9" t="n">
        <x:f>IF(Y324="","",M324/INDEX('浓度设置'!$M$6:$M$46,MATCH(Y324,'浓度设置'!$A$6:$A$46,0)))</x:f>
        <x:v>120.62509803921569</x:v>
      </x:c>
      <x:c r="R324" s="9" t="n">
        <x:f>IF(Z324="","",N324/INDEX('浓度设置'!$M$6:$M$46,MATCH(Z324,'浓度设置'!$A$6:$A$46,0)))</x:f>
        <x:v>651.9826086956522</x:v>
      </x:c>
      <x:c r="S324" s="9" t="n">
        <x:f>IF(AA324="","",O324/INDEX('浓度设置'!$M$6:$M$46,MATCH(AA324,'浓度设置'!$A$6:$A$46,0)))</x:f>
        <x:v>0.00019083969465648855</x:v>
      </x:c>
      <x:c r="T324" s="9" t="n">
        <x:f>IF(AB324="","",P324/INDEX('浓度设置'!$M$6:$M$46,MATCH(AB324,'浓度设置'!$A$6:$A$46,0)))</x:f>
        <x:v>38800</x:v>
      </x:c>
      <x:c r="U324" s="9" t="n">
        <x:f>IF(Y324="","",M324*$AD324/1000)</x:f>
        <x:v>61.518800000000006</x:v>
      </x:c>
      <x:c r="V324" s="9" t="n">
        <x:f>IF(Z324="","",N324*$AD324/1000)</x:f>
        <x:v>749.78</x:v>
      </x:c>
      <x:c r="W324" s="9" t="n">
        <x:f>IF(AA324="","",O324*$AD324/1000)</x:f>
        <x:v>0.001</x:v>
      </x:c>
      <x:c r="X324" s="9" t="n">
        <x:f>IF(AB324="","",P324*$AD324/1000)</x:f>
        <x:v>20796.8</x:v>
      </x:c>
      <x:c r="Y324" s="3" t="n">
        <x:v>7</x:v>
      </x:c>
      <x:c r="Z324" s="3" t="n">
        <x:v>32</x:v>
      </x:c>
      <x:c r="AA324" s="3" t="n">
        <x:v>105</x:v>
      </x:c>
      <x:c r="AB324" s="3" t="n">
        <x:v>141</x:v>
      </x:c>
      <x:c r="AC324" s="3" t="n">
        <x:v>4</x:v>
      </x:c>
      <x:c r="AD324" s="3" t="n">
        <x:f>'方案总览'!$B$5</x:f>
        <x:v>20</x:v>
      </x:c>
    </x:row>
    <x:row r="325" ht="24" customHeight="1">
      <x:c r="A325" s="3" t="str">
        <x:v>R010</x:v>
      </x:c>
      <x:c r="B325" s="3" t="str">
        <x:v>独立配制重复</x:v>
      </x:c>
      <x:c r="C325" s="3" t="str">
        <x:v>C214</x:v>
      </x:c>
      <x:c r="D325" s="3" t="str">
        <x:v>T300</x:v>
      </x:c>
      <x:c r="E325" s="3" t="str">
        <x:v>乙酸异戊酯</x:v>
      </x:c>
      <x:c r="F325" s="3" t="str">
        <x:v>异戊醛</x:v>
      </x:c>
      <x:c r="G325" s="3" t="str">
        <x:v>3-苯基丙酸乙酯</x:v>
      </x:c>
      <x:c r="H325" s="3" t="str">
        <x:v>己酸己酯</x:v>
      </x:c>
      <x:c r="I325" s="3" t="str">
        <x:v>L</x:v>
      </x:c>
      <x:c r="J325" s="3" t="str">
        <x:v>L</x:v>
      </x:c>
      <x:c r="K325" s="3" t="str">
        <x:v>M</x:v>
      </x:c>
      <x:c r="L325" s="3" t="str">
        <x:v>M</x:v>
      </x:c>
      <x:c r="M325" s="9" t="n">
        <x:f>IF(Y325="","",INDEX('浓度设置'!$P$6:$R$46,MATCH(Y325,'浓度设置'!$A$6:$A$46,0),IF(I325="L",1,IF(I325="M",2,3))))</x:f>
        <x:v>1.44</x:v>
      </x:c>
      <x:c r="N325" s="9" t="n">
        <x:f>IF(Z325="","",INDEX('浓度设置'!$P$6:$R$46,MATCH(Z325,'浓度设置'!$A$6:$A$46,0),IF(J325="L",1,IF(J325="M",2,3))))</x:f>
        <x:v>4.84</x:v>
      </x:c>
      <x:c r="O325" s="9" t="n">
        <x:f>IF(AA325="","",INDEX('浓度设置'!$P$6:$R$46,MATCH(AA325,'浓度设置'!$A$6:$A$46,0),IF(K325="L",1,IF(K325="M",2,3))))</x:f>
        <x:v>4262.731518639193</x:v>
      </x:c>
      <x:c r="P325" s="9" t="n">
        <x:f>IF(AB325="","",INDEX('浓度设置'!$P$6:$R$46,MATCH(AB325,'浓度设置'!$A$6:$A$46,0),IF(L325="L",1,IF(L325="M",2,3))))</x:f>
        <x:v>695.986709643223</x:v>
      </x:c>
      <x:c r="Q325" s="9" t="n">
        <x:f>IF(Y325="","",M325/INDEX('浓度设置'!$M$6:$M$46,MATCH(Y325,'浓度设置'!$A$6:$A$46,0)))</x:f>
        <x:v>0.015335463258785941</x:v>
      </x:c>
      <x:c r="R325" s="9" t="n">
        <x:f>IF(Z325="","",N325/INDEX('浓度设置'!$M$6:$M$46,MATCH(Z325,'浓度设置'!$A$6:$A$46,0)))</x:f>
        <x:v>0.29333333333333333</x:v>
      </x:c>
      <x:c r="S325" s="9" t="n">
        <x:f>IF(AA325="","",O325/INDEX('浓度设置'!$M$6:$M$46,MATCH(AA325,'浓度设置'!$A$6:$A$46,0)))</x:f>
        <x:v>34.10185214911355</x:v>
      </x:c>
      <x:c r="T325" s="9" t="n">
        <x:f>IF(AB325="","",P325/INDEX('浓度设置'!$M$6:$M$46,MATCH(AB325,'浓度设置'!$A$6:$A$46,0)))</x:f>
        <x:v>0.3680521997055648</x:v>
      </x:c>
      <x:c r="U325" s="9" t="n">
        <x:f>IF(Y325="","",M325*$AD325/1000)</x:f>
        <x:v>0.028799999999999996</x:v>
      </x:c>
      <x:c r="V325" s="9" t="n">
        <x:f>IF(Z325="","",N325*$AD325/1000)</x:f>
        <x:v>0.0968</x:v>
      </x:c>
      <x:c r="W325" s="9" t="n">
        <x:f>IF(AA325="","",O325*$AD325/1000)</x:f>
        <x:v>85.25463037278386</x:v>
      </x:c>
      <x:c r="X325" s="9" t="n">
        <x:f>IF(AB325="","",P325*$AD325/1000)</x:f>
        <x:v>13.91973419286446</x:v>
      </x:c>
      <x:c r="Y325" s="3" t="n">
        <x:v>115</x:v>
      </x:c>
      <x:c r="Z325" s="3" t="n">
        <x:v>152</x:v>
      </x:c>
      <x:c r="AA325" s="3" t="n">
        <x:v>186</x:v>
      </x:c>
      <x:c r="AB325" s="3" t="n">
        <x:v>227</x:v>
      </x:c>
      <x:c r="AC325" s="3" t="n">
        <x:v>4</x:v>
      </x:c>
      <x:c r="AD325" s="3" t="n">
        <x:f>'方案总览'!$B$5</x:f>
        <x:v>20</x:v>
      </x:c>
    </x:row>
    <x:row r="326" ht="24" customHeight="1">
      <x:c r="A326" s="3" t="str">
        <x:v>R011</x:v>
      </x:c>
      <x:c r="B326" s="3" t="str">
        <x:v>独立配制重复</x:v>
      </x:c>
      <x:c r="C326" s="3" t="str">
        <x:v>C210</x:v>
      </x:c>
      <x:c r="D326" s="3" t="str">
        <x:v>T296</x:v>
      </x:c>
      <x:c r="E326" s="3" t="str">
        <x:v>2-甲基丙醛</x:v>
      </x:c>
      <x:c r="F326" s="3" t="str">
        <x:v>丁酸乙酯</x:v>
      </x:c>
      <x:c r="G326" s="3" t="str">
        <x:v>戊酸乙酯</x:v>
      </x:c>
      <x:c r="H326" s="3" t="str">
        <x:v>1-辛烯-3-醇</x:v>
      </x:c>
      <x:c r="I326" s="3" t="str">
        <x:v>L</x:v>
      </x:c>
      <x:c r="J326" s="3" t="str">
        <x:v>L</x:v>
      </x:c>
      <x:c r="K326" s="3" t="str">
        <x:v>L</x:v>
      </x:c>
      <x:c r="L326" s="3" t="str">
        <x:v>H</x:v>
      </x:c>
      <x:c r="M326" s="9" t="n">
        <x:f>IF(Y326="","",INDEX('浓度设置'!$P$6:$R$46,MATCH(Y326,'浓度设置'!$A$6:$A$46,0),IF(I326="L",1,IF(I326="M",2,3))))</x:f>
        <x:v>39</x:v>
      </x:c>
      <x:c r="N326" s="9" t="n">
        <x:f>IF(Z326="","",INDEX('浓度设置'!$P$6:$R$46,MATCH(Z326,'浓度设置'!$A$6:$A$46,0),IF(J326="L",1,IF(J326="M",2,3))))</x:f>
        <x:v>4.24</x:v>
      </x:c>
      <x:c r="O326" s="9" t="n">
        <x:f>IF(AA326="","",INDEX('浓度设置'!$P$6:$R$46,MATCH(AA326,'浓度设置'!$A$6:$A$46,0),IF(K326="L",1,IF(K326="M",2,3))))</x:f>
        <x:v>2.2</x:v>
      </x:c>
      <x:c r="P326" s="9" t="n">
        <x:f>IF(AB326="","",INDEX('浓度设置'!$P$6:$R$46,MATCH(AB326,'浓度设置'!$A$6:$A$46,0),IF(L326="L",1,IF(L326="M",2,3))))</x:f>
        <x:v>271.45</x:v>
      </x:c>
      <x:c r="Q326" s="9" t="n">
        <x:f>IF(Y326="","",M326/INDEX('浓度设置'!$M$6:$M$46,MATCH(Y326,'浓度设置'!$A$6:$A$46,0)))</x:f>
        <x:v>6.610169491525423</x:v>
      </x:c>
      <x:c r="R326" s="9" t="n">
        <x:f>IF(Z326="","",N326/INDEX('浓度设置'!$M$6:$M$46,MATCH(Z326,'浓度设置'!$A$6:$A$46,0)))</x:f>
        <x:v>0.052024539877300616</x:v>
      </x:c>
      <x:c r="S326" s="9" t="n">
        <x:f>IF(AA326="","",O326/INDEX('浓度设置'!$M$6:$M$46,MATCH(AA326,'浓度设置'!$A$6:$A$46,0)))</x:f>
        <x:v>0.08208955223880597</x:v>
      </x:c>
      <x:c r="T326" s="9" t="n">
        <x:f>IF(AB326="","",P326/INDEX('浓度设置'!$M$6:$M$46,MATCH(AB326,'浓度设置'!$A$6:$A$46,0)))</x:f>
        <x:v>44.35457516339869</x:v>
      </x:c>
      <x:c r="U326" s="9" t="n">
        <x:f>IF(Y326="","",M326*$AD326/1000)</x:f>
        <x:v>0.78</x:v>
      </x:c>
      <x:c r="V326" s="9" t="n">
        <x:f>IF(Z326="","",N326*$AD326/1000)</x:f>
        <x:v>0.08480000000000001</x:v>
      </x:c>
      <x:c r="W326" s="9" t="n">
        <x:f>IF(AA326="","",O326*$AD326/1000)</x:f>
        <x:v>0.044</x:v>
      </x:c>
      <x:c r="X326" s="9" t="n">
        <x:f>IF(AB326="","",P326*$AD326/1000)</x:f>
        <x:v>5.429</x:v>
      </x:c>
      <x:c r="Y326" s="3" t="n">
        <x:v>18</x:v>
      </x:c>
      <x:c r="Z326" s="3" t="n">
        <x:v>52</x:v>
      </x:c>
      <x:c r="AA326" s="3" t="n">
        <x:v>141</x:v>
      </x:c>
      <x:c r="AB326" s="3" t="n">
        <x:v>207</x:v>
      </x:c>
      <x:c r="AC326" s="3" t="n">
        <x:v>4</x:v>
      </x:c>
      <x:c r="AD326" s="3" t="n">
        <x:f>'方案总览'!$B$5</x:f>
        <x:v>20</x:v>
      </x:c>
    </x:row>
    <x:row r="327" ht="24" customHeight="1">
      <x:c r="A327" s="3" t="str">
        <x:v>R012</x:v>
      </x:c>
      <x:c r="B327" s="3" t="str">
        <x:v>独立配制重复</x:v>
      </x:c>
      <x:c r="C327" s="3" t="str">
        <x:v>C175</x:v>
      </x:c>
      <x:c r="D327" s="3" t="str">
        <x:v>T261</x:v>
      </x:c>
      <x:c r="E327" s="3" t="str">
        <x:v>己醛</x:v>
      </x:c>
      <x:c r="F327" s="3" t="str">
        <x:v>2-甲基丙醛</x:v>
      </x:c>
      <x:c r="G327" s="3" t="str">
        <x:v>戊酸</x:v>
      </x:c>
      <x:c r="H327" s="3" t="str">
        <x:v>苯乙醛</x:v>
      </x:c>
      <x:c r="I327" s="3" t="str">
        <x:v>L</x:v>
      </x:c>
      <x:c r="J327" s="3" t="str">
        <x:v>M</x:v>
      </x:c>
      <x:c r="K327" s="3" t="str">
        <x:v>M</x:v>
      </x:c>
      <x:c r="L327" s="3" t="str">
        <x:v>H</x:v>
      </x:c>
      <x:c r="M327" s="9" t="n">
        <x:f>IF(Y327="","",INDEX('浓度设置'!$P$6:$R$46,MATCH(Y327,'浓度设置'!$A$6:$A$46,0),IF(I327="L",1,IF(I327="M",2,3))))</x:f>
        <x:v>173</x:v>
      </x:c>
      <x:c r="N327" s="9" t="n">
        <x:f>IF(Z327="","",INDEX('浓度设置'!$P$6:$R$46,MATCH(Z327,'浓度设置'!$A$6:$A$46,0),IF(J327="L",1,IF(J327="M",2,3))))</x:f>
        <x:v>1183.2582135780847</x:v>
      </x:c>
      <x:c r="O327" s="9" t="n">
        <x:f>IF(AA327="","",INDEX('浓度设置'!$P$6:$R$46,MATCH(AA327,'浓度设置'!$A$6:$A$46,0),IF(K327="L",1,IF(K327="M",2,3))))</x:f>
        <x:v>331.2476415010377</x:v>
      </x:c>
      <x:c r="P327" s="9" t="n">
        <x:f>IF(AB327="","",INDEX('浓度设置'!$P$6:$R$46,MATCH(AB327,'浓度设置'!$A$6:$A$46,0),IF(L327="L",1,IF(L327="M",2,3))))</x:f>
        <x:v>15730</x:v>
      </x:c>
      <x:c r="Q327" s="9" t="n">
        <x:f>IF(Y327="","",M327/INDEX('浓度设置'!$M$6:$M$46,MATCH(Y327,'浓度设置'!$A$6:$A$46,0)))</x:f>
        <x:v>6.784313725490196</x:v>
      </x:c>
      <x:c r="R327" s="9" t="n">
        <x:f>IF(Z327="","",N327/INDEX('浓度设置'!$M$6:$M$46,MATCH(Z327,'浓度设置'!$A$6:$A$46,0)))</x:f>
        <x:v>200.55223958950586</x:v>
      </x:c>
      <x:c r="S327" s="9" t="n">
        <x:f>IF(AA327="","",O327/INDEX('浓度设置'!$M$6:$M$46,MATCH(AA327,'浓度设置'!$A$6:$A$46,0)))</x:f>
        <x:v>0.8515363534731046</x:v>
      </x:c>
      <x:c r="T327" s="9" t="n">
        <x:f>IF(AB327="","",P327/INDEX('浓度设置'!$M$6:$M$46,MATCH(AB327,'浓度设置'!$A$6:$A$46,0)))</x:f>
        <x:v>60.038167938931295</x:v>
      </x:c>
      <x:c r="U327" s="9" t="n">
        <x:f>IF(Y327="","",M327*$AD327/1000)</x:f>
        <x:v>3.46</x:v>
      </x:c>
      <x:c r="V327" s="9" t="n">
        <x:f>IF(Z327="","",N327*$AD327/1000)</x:f>
        <x:v>23.665164271561693</x:v>
      </x:c>
      <x:c r="W327" s="9" t="n">
        <x:f>IF(AA327="","",O327*$AD327/1000)</x:f>
        <x:v>6.624952830020755</x:v>
      </x:c>
      <x:c r="X327" s="9" t="n">
        <x:f>IF(AB327="","",P327*$AD327/1000)</x:f>
        <x:v>314.6</x:v>
      </x:c>
      <x:c r="Y327" s="3" t="n">
        <x:v>7</x:v>
      </x:c>
      <x:c r="Z327" s="3" t="n">
        <x:v>18</x:v>
      </x:c>
      <x:c r="AA327" s="3" t="n">
        <x:v>75</x:v>
      </x:c>
      <x:c r="AB327" s="3" t="n">
        <x:v>105</x:v>
      </x:c>
      <x:c r="AC327" s="3" t="n">
        <x:v>4</x:v>
      </x:c>
      <x:c r="AD327" s="3" t="n">
        <x:f>'方案总览'!$B$5</x:f>
        <x:v>20</x:v>
      </x:c>
    </x:row>
    <x:row r="328" ht="24" customHeight="1">
      <x:c r="A328" s="3" t="str">
        <x:v>R013</x:v>
      </x:c>
      <x:c r="B328" s="3" t="str">
        <x:v>独立配制重复</x:v>
      </x:c>
      <x:c r="C328" s="3" t="str">
        <x:v>C094</x:v>
      </x:c>
      <x:c r="D328" s="3" t="str">
        <x:v>T180</x:v>
      </x:c>
      <x:c r="E328" s="3" t="str">
        <x:v>辛酸乙酯</x:v>
      </x:c>
      <x:c r="F328" s="3" t="str">
        <x:v>异戊醛</x:v>
      </x:c>
      <x:c r="G328" s="3" t="str">
        <x:v>3-苯基丙酸乙酯</x:v>
      </x:c>
      <x:c r="H328" s="3" t="str">
        <x:v>β-大马酮</x:v>
      </x:c>
      <x:c r="I328" s="3" t="str">
        <x:v>L</x:v>
      </x:c>
      <x:c r="J328" s="3" t="str">
        <x:v>H</x:v>
      </x:c>
      <x:c r="K328" s="3" t="str">
        <x:v>H</x:v>
      </x:c>
      <x:c r="L328" s="3" t="str">
        <x:v>M</x:v>
      </x:c>
      <x:c r="M328" s="9" t="n">
        <x:f>IF(Y328="","",INDEX('浓度设置'!$P$6:$R$46,MATCH(Y328,'浓度设置'!$A$6:$A$46,0),IF(I328="L",1,IF(I328="M",2,3))))</x:f>
        <x:v>5.06</x:v>
      </x:c>
      <x:c r="N328" s="9" t="n">
        <x:f>IF(Z328="","",INDEX('浓度设置'!$P$6:$R$46,MATCH(Z328,'浓度设置'!$A$6:$A$46,0),IF(J328="L",1,IF(J328="M",2,3))))</x:f>
        <x:v>227200</x:v>
      </x:c>
      <x:c r="O328" s="9" t="n">
        <x:f>IF(AA328="","",INDEX('浓度设置'!$P$6:$R$46,MATCH(AA328,'浓度设置'!$A$6:$A$46,0),IF(K328="L",1,IF(K328="M",2,3))))</x:f>
        <x:v>11648000</x:v>
      </x:c>
      <x:c r="P328" s="9" t="n">
        <x:f>IF(AB328="","",INDEX('浓度设置'!$P$6:$R$46,MATCH(AB328,'浓度设置'!$A$6:$A$46,0),IF(L328="L",1,IF(L328="M",2,3))))</x:f>
        <x:v>9.546727187890099</x:v>
      </x:c>
      <x:c r="Q328" s="9" t="n">
        <x:f>IF(Y328="","",M328/INDEX('浓度设置'!$M$6:$M$46,MATCH(Y328,'浓度设置'!$A$6:$A$46,0)))</x:f>
        <x:v>0.39224806201550383</x:v>
      </x:c>
      <x:c r="R328" s="9" t="n">
        <x:f>IF(Z328="","",N328/INDEX('浓度设置'!$M$6:$M$46,MATCH(Z328,'浓度设置'!$A$6:$A$46,0)))</x:f>
        <x:v>13769.69696969697</x:v>
      </x:c>
      <x:c r="S328" s="9" t="n">
        <x:f>IF(AA328="","",O328/INDEX('浓度设置'!$M$6:$M$46,MATCH(AA328,'浓度设置'!$A$6:$A$46,0)))</x:f>
        <x:v>93184</x:v>
      </x:c>
      <x:c r="T328" s="9" t="n">
        <x:f>IF(AB328="","",P328/INDEX('浓度设置'!$M$6:$M$46,MATCH(AB328,'浓度设置'!$A$6:$A$46,0)))</x:f>
        <x:v>79.55605989908416</x:v>
      </x:c>
      <x:c r="U328" s="9" t="n">
        <x:f>IF(Y328="","",M328*$AD328/1000)</x:f>
        <x:v>0.10119999999999998</x:v>
      </x:c>
      <x:c r="V328" s="9" t="n">
        <x:f>IF(Z328="","",N328*$AD328/1000)</x:f>
        <x:v>4544</x:v>
      </x:c>
      <x:c r="W328" s="9" t="n">
        <x:f>IF(AA328="","",O328*$AD328/1000)</x:f>
        <x:v>232960</x:v>
      </x:c>
      <x:c r="X328" s="9" t="n">
        <x:f>IF(AB328="","",P328*$AD328/1000)</x:f>
        <x:v>0.19093454375780197</x:v>
      </x:c>
      <x:c r="Y328" s="3" t="n">
        <x:v>58</x:v>
      </x:c>
      <x:c r="Z328" s="3" t="n">
        <x:v>152</x:v>
      </x:c>
      <x:c r="AA328" s="3" t="n">
        <x:v>186</x:v>
      </x:c>
      <x:c r="AB328" s="3" t="n">
        <x:v>255</x:v>
      </x:c>
      <x:c r="AC328" s="3" t="n">
        <x:v>4</x:v>
      </x:c>
      <x:c r="AD328" s="3" t="n">
        <x:f>'方案总览'!$B$5</x:f>
        <x:v>20</x:v>
      </x:c>
    </x:row>
    <x:row r="329" ht="24" customHeight="1">
      <x:c r="A329" s="3" t="str">
        <x:v>R014</x:v>
      </x:c>
      <x:c r="B329" s="3" t="str">
        <x:v>独立配制重复</x:v>
      </x:c>
      <x:c r="C329" s="3" t="str">
        <x:v>C107</x:v>
      </x:c>
      <x:c r="D329" s="3" t="str">
        <x:v>T193</x:v>
      </x:c>
      <x:c r="E329" s="3" t="str">
        <x:v>辛酸乙酯</x:v>
      </x:c>
      <x:c r="F329" s="3" t="str">
        <x:v>己酸</x:v>
      </x:c>
      <x:c r="G329" s="3" t="str">
        <x:v>戊酸乙酯</x:v>
      </x:c>
      <x:c r="H329" s="3" t="str">
        <x:v>二甲基三硫醚</x:v>
      </x:c>
      <x:c r="I329" s="3" t="str">
        <x:v>M</x:v>
      </x:c>
      <x:c r="J329" s="3" t="str">
        <x:v>L</x:v>
      </x:c>
      <x:c r="K329" s="3" t="str">
        <x:v>H</x:v>
      </x:c>
      <x:c r="L329" s="3" t="str">
        <x:v>M</x:v>
      </x:c>
      <x:c r="M329" s="9" t="n">
        <x:f>IF(Y329="","",INDEX('浓度设置'!$P$6:$R$46,MATCH(Y329,'浓度设置'!$A$6:$A$46,0),IF(I329="L",1,IF(I329="M",2,3))))</x:f>
        <x:v>3072.731960324558</x:v>
      </x:c>
      <x:c r="N329" s="9" t="n">
        <x:f>IF(Z329="","",INDEX('浓度设置'!$P$6:$R$46,MATCH(Z329,'浓度设置'!$A$6:$A$46,0),IF(J329="L",1,IF(J329="M",2,3))))</x:f>
        <x:v>2.125</x:v>
      </x:c>
      <x:c r="O329" s="9" t="n">
        <x:f>IF(AA329="","",INDEX('浓度设置'!$P$6:$R$46,MATCH(AA329,'浓度设置'!$A$6:$A$46,0),IF(K329="L",1,IF(K329="M",2,3))))</x:f>
        <x:v>1039840</x:v>
      </x:c>
      <x:c r="P329" s="9" t="n">
        <x:f>IF(AB329="","",INDEX('浓度设置'!$P$6:$R$46,MATCH(AB329,'浓度设置'!$A$6:$A$46,0),IF(L329="L",1,IF(L329="M",2,3))))</x:f>
        <x:v>34.2987346705385</x:v>
      </x:c>
      <x:c r="Q329" s="9" t="n">
        <x:f>IF(Y329="","",M329/INDEX('浓度设置'!$M$6:$M$46,MATCH(Y329,'浓度设置'!$A$6:$A$46,0)))</x:f>
        <x:v>238.19627599415176</x:v>
      </x:c>
      <x:c r="R329" s="9" t="n">
        <x:f>IF(Z329="","",N329/INDEX('浓度设置'!$M$6:$M$46,MATCH(Z329,'浓度设置'!$A$6:$A$46,0)))</x:f>
        <x:v>0.0008432539682539683</x:v>
      </x:c>
      <x:c r="S329" s="9" t="n">
        <x:f>IF(AA329="","",O329/INDEX('浓度设置'!$M$6:$M$46,MATCH(AA329,'浓度设置'!$A$6:$A$46,0)))</x:f>
        <x:v>38800</x:v>
      </x:c>
      <x:c r="T329" s="9" t="n">
        <x:f>IF(AB329="","",P329/INDEX('浓度设置'!$M$6:$M$46,MATCH(AB329,'浓度设置'!$A$6:$A$46,0)))</x:f>
        <x:v>95.27426297371807</x:v>
      </x:c>
      <x:c r="U329" s="9" t="n">
        <x:f>IF(Y329="","",M329*$AD329/1000)</x:f>
        <x:v>61.45463920649116</x:v>
      </x:c>
      <x:c r="V329" s="9" t="n">
        <x:f>IF(Z329="","",N329*$AD329/1000)</x:f>
        <x:v>0.0425</x:v>
      </x:c>
      <x:c r="W329" s="9" t="n">
        <x:f>IF(AA329="","",O329*$AD329/1000)</x:f>
        <x:v>20796.8</x:v>
      </x:c>
      <x:c r="X329" s="9" t="n">
        <x:f>IF(AB329="","",P329*$AD329/1000)</x:f>
        <x:v>0.68597469341077</x:v>
      </x:c>
      <x:c r="Y329" s="3" t="n">
        <x:v>58</x:v>
      </x:c>
      <x:c r="Z329" s="3" t="n">
        <x:v>126</x:v>
      </x:c>
      <x:c r="AA329" s="3" t="n">
        <x:v>141</x:v>
      </x:c>
      <x:c r="AB329" s="3" t="n">
        <x:v>209</x:v>
      </x:c>
      <x:c r="AC329" s="3" t="n">
        <x:v>4</x:v>
      </x:c>
      <x:c r="AD329" s="3" t="n">
        <x:f>'方案总览'!$B$5</x:f>
        <x:v>20</x:v>
      </x:c>
    </x:row>
    <x:row r="330" ht="24" customHeight="1">
      <x:c r="A330" s="3" t="str">
        <x:v>R015</x:v>
      </x:c>
      <x:c r="B330" s="3" t="str">
        <x:v>独立配制重复</x:v>
      </x:c>
      <x:c r="C330" s="3" t="str">
        <x:v>C215</x:v>
      </x:c>
      <x:c r="D330" s="3" t="str">
        <x:v>T301</x:v>
      </x:c>
      <x:c r="E330" s="3" t="str">
        <x:v>乙醛二乙缩醛</x:v>
      </x:c>
      <x:c r="F330" s="3" t="str">
        <x:v>辛酸乙酯</x:v>
      </x:c>
      <x:c r="G330" s="3" t="str">
        <x:v>戊酸</x:v>
      </x:c>
      <x:c r="H330" s="3" t="str">
        <x:v>二甲基三硫醚</x:v>
      </x:c>
      <x:c r="I330" s="3" t="str">
        <x:v>L</x:v>
      </x:c>
      <x:c r="J330" s="3" t="str">
        <x:v>L</x:v>
      </x:c>
      <x:c r="K330" s="3" t="str">
        <x:v>M</x:v>
      </x:c>
      <x:c r="L330" s="3" t="str">
        <x:v>M</x:v>
      </x:c>
      <x:c r="M330" s="9" t="n">
        <x:f>IF(Y330="","",INDEX('浓度设置'!$P$6:$R$46,MATCH(Y330,'浓度设置'!$A$6:$A$46,0),IF(I330="L",1,IF(I330="M",2,3))))</x:f>
        <x:v>9.61</x:v>
      </x:c>
      <x:c r="N330" s="9" t="n">
        <x:f>IF(Z330="","",INDEX('浓度设置'!$P$6:$R$46,MATCH(Z330,'浓度设置'!$A$6:$A$46,0),IF(J330="L",1,IF(J330="M",2,3))))</x:f>
        <x:v>5.06</x:v>
      </x:c>
      <x:c r="O330" s="9" t="n">
        <x:f>IF(AA330="","",INDEX('浓度设置'!$P$6:$R$46,MATCH(AA330,'浓度设置'!$A$6:$A$46,0),IF(K330="L",1,IF(K330="M",2,3))))</x:f>
        <x:v>331.2476415010377</x:v>
      </x:c>
      <x:c r="P330" s="9" t="n">
        <x:f>IF(AB330="","",INDEX('浓度设置'!$P$6:$R$46,MATCH(AB330,'浓度设置'!$A$6:$A$46,0),IF(L330="L",1,IF(L330="M",2,3))))</x:f>
        <x:v>34.2987346705385</x:v>
      </x:c>
      <x:c r="Q330" s="9" t="n">
        <x:f>IF(Y330="","",M330/INDEX('浓度设置'!$M$6:$M$46,MATCH(Y330,'浓度设置'!$A$6:$A$46,0)))</x:f>
        <x:v>0.004598086124401914</x:v>
      </x:c>
      <x:c r="R330" s="9" t="n">
        <x:f>IF(Z330="","",N330/INDEX('浓度设置'!$M$6:$M$46,MATCH(Z330,'浓度设置'!$A$6:$A$46,0)))</x:f>
        <x:v>0.39224806201550383</x:v>
      </x:c>
      <x:c r="S330" s="9" t="n">
        <x:f>IF(AA330="","",O330/INDEX('浓度设置'!$M$6:$M$46,MATCH(AA330,'浓度设置'!$A$6:$A$46,0)))</x:f>
        <x:v>0.8515363534731046</x:v>
      </x:c>
      <x:c r="T330" s="9" t="n">
        <x:f>IF(AB330="","",P330/INDEX('浓度设置'!$M$6:$M$46,MATCH(AB330,'浓度设置'!$A$6:$A$46,0)))</x:f>
        <x:v>95.27426297371807</x:v>
      </x:c>
      <x:c r="U330" s="9" t="n">
        <x:f>IF(Y330="","",M330*$AD330/1000)</x:f>
        <x:v>0.19219999999999998</x:v>
      </x:c>
      <x:c r="V330" s="9" t="n">
        <x:f>IF(Z330="","",N330*$AD330/1000)</x:f>
        <x:v>0.10119999999999998</x:v>
      </x:c>
      <x:c r="W330" s="9" t="n">
        <x:f>IF(AA330="","",O330*$AD330/1000)</x:f>
        <x:v>6.624952830020755</x:v>
      </x:c>
      <x:c r="X330" s="9" t="n">
        <x:f>IF(AB330="","",P330*$AD330/1000)</x:f>
        <x:v>0.68597469341077</x:v>
      </x:c>
      <x:c r="Y330" s="3" t="n">
        <x:v>53</x:v>
      </x:c>
      <x:c r="Z330" s="3" t="n">
        <x:v>58</x:v>
      </x:c>
      <x:c r="AA330" s="3" t="n">
        <x:v>75</x:v>
      </x:c>
      <x:c r="AB330" s="3" t="n">
        <x:v>209</x:v>
      </x:c>
      <x:c r="AC330" s="3" t="n">
        <x:v>4</x:v>
      </x:c>
      <x:c r="AD330" s="3" t="n">
        <x:f>'方案总览'!$B$5</x:f>
        <x:v>20</x:v>
      </x:c>
    </x:row>
    <x:row r="331" ht="24" customHeight="1">
      <x:c r="A331" s="3" t="str">
        <x:v>R016</x:v>
      </x:c>
      <x:c r="B331" s="3" t="str">
        <x:v>独立配制重复</x:v>
      </x:c>
      <x:c r="C331" s="3" t="str">
        <x:v>C159</x:v>
      </x:c>
      <x:c r="D331" s="3" t="str">
        <x:v>T245</x:v>
      </x:c>
      <x:c r="E331" s="3" t="str">
        <x:v>1-丁醇</x:v>
      </x:c>
      <x:c r="F331" s="3" t="str">
        <x:v>2-甲基丙醛</x:v>
      </x:c>
      <x:c r="G331" s="3" t="str">
        <x:v>辛酸乙酯</x:v>
      </x:c>
      <x:c r="H331" s="3" t="str">
        <x:v>己酸</x:v>
      </x:c>
      <x:c r="I331" s="3" t="str">
        <x:v>M</x:v>
      </x:c>
      <x:c r="J331" s="3" t="str">
        <x:v>M</x:v>
      </x:c>
      <x:c r="K331" s="3" t="str">
        <x:v>L</x:v>
      </x:c>
      <x:c r="L331" s="3" t="str">
        <x:v>M</x:v>
      </x:c>
      <x:c r="M331" s="9" t="n">
        <x:f>IF(Y331="","",INDEX('浓度设置'!$P$6:$R$46,MATCH(Y331,'浓度设置'!$A$6:$A$46,0),IF(I331="L",1,IF(I331="M",2,3))))</x:f>
        <x:v>4198.825192836682</x:v>
      </x:c>
      <x:c r="N331" s="9" t="n">
        <x:f>IF(Z331="","",INDEX('浓度设置'!$P$6:$R$46,MATCH(Z331,'浓度设置'!$A$6:$A$46,0),IF(J331="L",1,IF(J331="M",2,3))))</x:f>
        <x:v>1183.2582135780847</x:v>
      </x:c>
      <x:c r="O331" s="9" t="n">
        <x:f>IF(AA331="","",INDEX('浓度设置'!$P$6:$R$46,MATCH(AA331,'浓度设置'!$A$6:$A$46,0),IF(K331="L",1,IF(K331="M",2,3))))</x:f>
        <x:v>5.06</x:v>
      </x:c>
      <x:c r="P331" s="9" t="n">
        <x:f>IF(AB331="","",INDEX('浓度设置'!$P$6:$R$46,MATCH(AB331,'浓度设置'!$A$6:$A$46,0),IF(L331="L",1,IF(L331="M",2,3))))</x:f>
        <x:v>1815.6539083757125</x:v>
      </x:c>
      <x:c r="Q331" s="9" t="n">
        <x:f>IF(Y331="","",M331/INDEX('浓度设置'!$M$6:$M$46,MATCH(Y331,'浓度设置'!$A$6:$A$46,0)))</x:f>
        <x:v>1.5363429172472307</x:v>
      </x:c>
      <x:c r="R331" s="9" t="n">
        <x:f>IF(Z331="","",N331/INDEX('浓度设置'!$M$6:$M$46,MATCH(Z331,'浓度设置'!$A$6:$A$46,0)))</x:f>
        <x:v>200.55223958950586</x:v>
      </x:c>
      <x:c r="S331" s="9" t="n">
        <x:f>IF(AA331="","",O331/INDEX('浓度设置'!$M$6:$M$46,MATCH(AA331,'浓度设置'!$A$6:$A$46,0)))</x:f>
        <x:v>0.39224806201550383</x:v>
      </x:c>
      <x:c r="T331" s="9" t="n">
        <x:f>IF(AB331="","",P331/INDEX('浓度设置'!$M$6:$M$46,MATCH(AB331,'浓度设置'!$A$6:$A$46,0)))</x:f>
        <x:v>0.7204975826887748</x:v>
      </x:c>
      <x:c r="U331" s="9" t="n">
        <x:f>IF(Y331="","",M331*$AD331/1000)</x:f>
        <x:v>83.97650385673363</x:v>
      </x:c>
      <x:c r="V331" s="9" t="n">
        <x:f>IF(Z331="","",N331*$AD331/1000)</x:f>
        <x:v>23.665164271561693</x:v>
      </x:c>
      <x:c r="W331" s="9" t="n">
        <x:f>IF(AA331="","",O331*$AD331/1000)</x:f>
        <x:v>0.10119999999999998</x:v>
      </x:c>
      <x:c r="X331" s="9" t="n">
        <x:f>IF(AB331="","",P331*$AD331/1000)</x:f>
        <x:v>36.31307816751425</x:v>
      </x:c>
      <x:c r="Y331" s="3" t="n">
        <x:v>11</x:v>
      </x:c>
      <x:c r="Z331" s="3" t="n">
        <x:v>18</x:v>
      </x:c>
      <x:c r="AA331" s="3" t="n">
        <x:v>58</x:v>
      </x:c>
      <x:c r="AB331" s="3" t="n">
        <x:v>126</x:v>
      </x:c>
      <x:c r="AC331" s="3" t="n">
        <x:v>4</x:v>
      </x:c>
      <x:c r="AD331" s="3" t="n">
        <x:f>'方案总览'!$B$5</x:f>
        <x:v>20</x:v>
      </x:c>
    </x:row>
    <x:row r="332" ht="24" customHeight="1">
      <x:c r="A332" s="3" t="str">
        <x:v>R017</x:v>
      </x:c>
      <x:c r="B332" s="3" t="str">
        <x:v>独立配制重复</x:v>
      </x:c>
      <x:c r="C332" s="3" t="str">
        <x:v>C166</x:v>
      </x:c>
      <x:c r="D332" s="3" t="str">
        <x:v>T252</x:v>
      </x:c>
      <x:c r="E332" s="3" t="str">
        <x:v>2-甲基丙醛</x:v>
      </x:c>
      <x:c r="F332" s="3" t="str">
        <x:v>对甲酚</x:v>
      </x:c>
      <x:c r="G332" s="3" t="str">
        <x:v>3-苯基丙酸乙酯</x:v>
      </x:c>
      <x:c r="H332" s="3" t="str">
        <x:v>己酸己酯</x:v>
      </x:c>
      <x:c r="I332" s="3" t="str">
        <x:v>M</x:v>
      </x:c>
      <x:c r="J332" s="3" t="str">
        <x:v>M</x:v>
      </x:c>
      <x:c r="K332" s="3" t="str">
        <x:v>H</x:v>
      </x:c>
      <x:c r="L332" s="3" t="str">
        <x:v>L</x:v>
      </x:c>
      <x:c r="M332" s="9" t="n">
        <x:f>IF(Y332="","",INDEX('浓度设置'!$P$6:$R$46,MATCH(Y332,'浓度设置'!$A$6:$A$46,0),IF(I332="L",1,IF(I332="M",2,3))))</x:f>
        <x:v>1183.2582135780847</x:v>
      </x:c>
      <x:c r="N332" s="9" t="n">
        <x:f>IF(Z332="","",INDEX('浓度设置'!$P$6:$R$46,MATCH(Z332,'浓度设置'!$A$6:$A$46,0),IF(J332="L",1,IF(J332="M",2,3))))</x:f>
        <x:v>59.381310191002015</x:v>
      </x:c>
      <x:c r="O332" s="9" t="n">
        <x:f>IF(AA332="","",INDEX('浓度设置'!$P$6:$R$46,MATCH(AA332,'浓度设置'!$A$6:$A$46,0),IF(K332="L",1,IF(K332="M",2,3))))</x:f>
        <x:v>11648000</x:v>
      </x:c>
      <x:c r="P332" s="9" t="n">
        <x:f>IF(AB332="","",INDEX('浓度设置'!$P$6:$R$46,MATCH(AB332,'浓度设置'!$A$6:$A$46,0),IF(L332="L",1,IF(L332="M",2,3))))</x:f>
        <x:v>2.5</x:v>
      </x:c>
      <x:c r="Q332" s="9" t="n">
        <x:f>IF(Y332="","",M332/INDEX('浓度设置'!$M$6:$M$46,MATCH(Y332,'浓度设置'!$A$6:$A$46,0)))</x:f>
        <x:v>200.55223958950586</x:v>
      </x:c>
      <x:c r="R332" s="9" t="n">
        <x:f>IF(Z332="","",N332/INDEX('浓度设置'!$M$6:$M$46,MATCH(Z332,'浓度设置'!$A$6:$A$46,0)))</x:f>
        <x:v>0.355576707730551</x:v>
      </x:c>
      <x:c r="S332" s="9" t="n">
        <x:f>IF(AA332="","",O332/INDEX('浓度设置'!$M$6:$M$46,MATCH(AA332,'浓度设置'!$A$6:$A$46,0)))</x:f>
        <x:v>93184</x:v>
      </x:c>
      <x:c r="T332" s="9" t="n">
        <x:f>IF(AB332="","",P332/INDEX('浓度设置'!$M$6:$M$46,MATCH(AB332,'浓度设置'!$A$6:$A$46,0)))</x:f>
        <x:v>0.0013220518244315177</x:v>
      </x:c>
      <x:c r="U332" s="9" t="n">
        <x:f>IF(Y332="","",M332*$AD332/1000)</x:f>
        <x:v>23.665164271561693</x:v>
      </x:c>
      <x:c r="V332" s="9" t="n">
        <x:f>IF(Z332="","",N332*$AD332/1000)</x:f>
        <x:v>1.1876262038200402</x:v>
      </x:c>
      <x:c r="W332" s="9" t="n">
        <x:f>IF(AA332="","",O332*$AD332/1000)</x:f>
        <x:v>232960</x:v>
      </x:c>
      <x:c r="X332" s="9" t="n">
        <x:f>IF(AB332="","",P332*$AD332/1000)</x:f>
        <x:v>0.05</x:v>
      </x:c>
      <x:c r="Y332" s="3" t="n">
        <x:v>18</x:v>
      </x:c>
      <x:c r="Z332" s="3" t="n">
        <x:v>61</x:v>
      </x:c>
      <x:c r="AA332" s="3" t="n">
        <x:v>186</x:v>
      </x:c>
      <x:c r="AB332" s="3" t="n">
        <x:v>227</x:v>
      </x:c>
      <x:c r="AC332" s="3" t="n">
        <x:v>4</x:v>
      </x:c>
      <x:c r="AD332" s="3" t="n">
        <x:f>'方案总览'!$B$5</x:f>
        <x:v>20</x:v>
      </x:c>
    </x:row>
    <x:row r="333" ht="24" customHeight="1">
      <x:c r="A333" s="3" t="str">
        <x:v>R018</x:v>
      </x:c>
      <x:c r="B333" s="3" t="str">
        <x:v>独立配制重复</x:v>
      </x:c>
      <x:c r="C333" s="3" t="str">
        <x:v>C067</x:v>
      </x:c>
      <x:c r="D333" s="3" t="str">
        <x:v>T153</x:v>
      </x:c>
      <x:c r="E333" s="3" t="str">
        <x:v>辛酸乙酯</x:v>
      </x:c>
      <x:c r="F333" s="3" t="str">
        <x:v>3-苯基丙酸乙酯</x:v>
      </x:c>
      <x:c r="G333" s="3" t="str">
        <x:v>2-甲基丁酸乙酯</x:v>
      </x:c>
      <x:c r="H333" s="3" t="str">
        <x:v>β-大马酮</x:v>
      </x:c>
      <x:c r="I333" s="3" t="str">
        <x:v>M</x:v>
      </x:c>
      <x:c r="J333" s="3" t="str">
        <x:v>M</x:v>
      </x:c>
      <x:c r="K333" s="3" t="str">
        <x:v>M</x:v>
      </x:c>
      <x:c r="L333" s="3" t="str">
        <x:v>L</x:v>
      </x:c>
      <x:c r="M333" s="9" t="n">
        <x:f>IF(Y333="","",INDEX('浓度设置'!$P$6:$R$46,MATCH(Y333,'浓度设置'!$A$6:$A$46,0),IF(I333="L",1,IF(I333="M",2,3))))</x:f>
        <x:v>3072.731960324558</x:v>
      </x:c>
      <x:c r="N333" s="9" t="n">
        <x:f>IF(Z333="","",INDEX('浓度设置'!$P$6:$R$46,MATCH(Z333,'浓度设置'!$A$6:$A$46,0),IF(J333="L",1,IF(J333="M",2,3))))</x:f>
        <x:v>4262.731518639193</x:v>
      </x:c>
      <x:c r="O333" s="9" t="n">
        <x:f>IF(AA333="","",INDEX('浓度设置'!$P$6:$R$46,MATCH(AA333,'浓度设置'!$A$6:$A$46,0),IF(K333="L",1,IF(K333="M",2,3))))</x:f>
        <x:v>39.53062104242735</x:v>
      </x:c>
      <x:c r="P333" s="9" t="n">
        <x:f>IF(AB333="","",INDEX('浓度设置'!$P$6:$R$46,MATCH(AB333,'浓度设置'!$A$6:$A$46,0),IF(L333="L",1,IF(L333="M",2,3))))</x:f>
        <x:v>1.5</x:v>
      </x:c>
      <x:c r="Q333" s="9" t="n">
        <x:f>IF(Y333="","",M333/INDEX('浓度设置'!$M$6:$M$46,MATCH(Y333,'浓度设置'!$A$6:$A$46,0)))</x:f>
        <x:v>238.19627599415176</x:v>
      </x:c>
      <x:c r="R333" s="9" t="n">
        <x:f>IF(Z333="","",N333/INDEX('浓度设置'!$M$6:$M$46,MATCH(Z333,'浓度设置'!$A$6:$A$46,0)))</x:f>
        <x:v>34.10185214911355</x:v>
      </x:c>
      <x:c r="S333" s="9" t="n">
        <x:f>IF(AA333="","",O333/INDEX('浓度设置'!$M$6:$M$46,MATCH(AA333,'浓度设置'!$A$6:$A$46,0)))</x:f>
        <x:v>2.196145613468186</x:v>
      </x:c>
      <x:c r="T333" s="9" t="n">
        <x:f>IF(AB333="","",P333/INDEX('浓度设置'!$M$6:$M$46,MATCH(AB333,'浓度设置'!$A$6:$A$46,0)))</x:f>
        <x:v>12.5</x:v>
      </x:c>
      <x:c r="U333" s="9" t="n">
        <x:f>IF(Y333="","",M333*$AD333/1000)</x:f>
        <x:v>61.45463920649116</x:v>
      </x:c>
      <x:c r="V333" s="9" t="n">
        <x:f>IF(Z333="","",N333*$AD333/1000)</x:f>
        <x:v>85.25463037278386</x:v>
      </x:c>
      <x:c r="W333" s="9" t="n">
        <x:f>IF(AA333="","",O333*$AD333/1000)</x:f>
        <x:v>0.790612420848547</x:v>
      </x:c>
      <x:c r="X333" s="9" t="n">
        <x:f>IF(AB333="","",P333*$AD333/1000)</x:f>
        <x:v>0.03</x:v>
      </x:c>
      <x:c r="Y333" s="3" t="n">
        <x:v>58</x:v>
      </x:c>
      <x:c r="Z333" s="3" t="n">
        <x:v>186</x:v>
      </x:c>
      <x:c r="AA333" s="3" t="n">
        <x:v>232</x:v>
      </x:c>
      <x:c r="AB333" s="3" t="n">
        <x:v>255</x:v>
      </x:c>
      <x:c r="AC333" s="3" t="n">
        <x:v>4</x:v>
      </x:c>
      <x:c r="AD333" s="3" t="n">
        <x:f>'方案总览'!$B$5</x:f>
        <x:v>20</x:v>
      </x:c>
    </x:row>
    <x:row r="334" ht="24" customHeight="1">
      <x:c r="A334" s="3" t="str">
        <x:v>R019</x:v>
      </x:c>
      <x:c r="B334" s="3" t="str">
        <x:v>独立配制重复</x:v>
      </x:c>
      <x:c r="C334" s="3" t="str">
        <x:v>C156</x:v>
      </x:c>
      <x:c r="D334" s="3" t="str">
        <x:v>T242</x:v>
      </x:c>
      <x:c r="E334" s="3" t="str">
        <x:v>己醛</x:v>
      </x:c>
      <x:c r="F334" s="3" t="str">
        <x:v>二甲基三硫醚</x:v>
      </x:c>
      <x:c r="G334" s="3" t="str">
        <x:v>己酸己酯</x:v>
      </x:c>
      <x:c r="H334" s="3" t="str">
        <x:v>β-大马酮</x:v>
      </x:c>
      <x:c r="I334" s="3" t="str">
        <x:v>L</x:v>
      </x:c>
      <x:c r="J334" s="3" t="str">
        <x:v>M</x:v>
      </x:c>
      <x:c r="K334" s="3" t="str">
        <x:v>L</x:v>
      </x:c>
      <x:c r="L334" s="3" t="str">
        <x:v>M</x:v>
      </x:c>
      <x:c r="M334" s="9" t="n">
        <x:f>IF(Y334="","",INDEX('浓度设置'!$P$6:$R$46,MATCH(Y334,'浓度设置'!$A$6:$A$46,0),IF(I334="L",1,IF(I334="M",2,3))))</x:f>
        <x:v>173</x:v>
      </x:c>
      <x:c r="N334" s="9" t="n">
        <x:f>IF(Z334="","",INDEX('浓度设置'!$P$6:$R$46,MATCH(Z334,'浓度设置'!$A$6:$A$46,0),IF(J334="L",1,IF(J334="M",2,3))))</x:f>
        <x:v>34.2987346705385</x:v>
      </x:c>
      <x:c r="O334" s="9" t="n">
        <x:f>IF(AA334="","",INDEX('浓度设置'!$P$6:$R$46,MATCH(AA334,'浓度设置'!$A$6:$A$46,0),IF(K334="L",1,IF(K334="M",2,3))))</x:f>
        <x:v>2.5</x:v>
      </x:c>
      <x:c r="P334" s="9" t="n">
        <x:f>IF(AB334="","",INDEX('浓度设置'!$P$6:$R$46,MATCH(AB334,'浓度设置'!$A$6:$A$46,0),IF(L334="L",1,IF(L334="M",2,3))))</x:f>
        <x:v>9.546727187890099</x:v>
      </x:c>
      <x:c r="Q334" s="9" t="n">
        <x:f>IF(Y334="","",M334/INDEX('浓度设置'!$M$6:$M$46,MATCH(Y334,'浓度设置'!$A$6:$A$46,0)))</x:f>
        <x:v>6.784313725490196</x:v>
      </x:c>
      <x:c r="R334" s="9" t="n">
        <x:f>IF(Z334="","",N334/INDEX('浓度设置'!$M$6:$M$46,MATCH(Z334,'浓度设置'!$A$6:$A$46,0)))</x:f>
        <x:v>95.27426297371807</x:v>
      </x:c>
      <x:c r="S334" s="9" t="n">
        <x:f>IF(AA334="","",O334/INDEX('浓度设置'!$M$6:$M$46,MATCH(AA334,'浓度设置'!$A$6:$A$46,0)))</x:f>
        <x:v>0.0013220518244315177</x:v>
      </x:c>
      <x:c r="T334" s="9" t="n">
        <x:f>IF(AB334="","",P334/INDEX('浓度设置'!$M$6:$M$46,MATCH(AB334,'浓度设置'!$A$6:$A$46,0)))</x:f>
        <x:v>79.55605989908416</x:v>
      </x:c>
      <x:c r="U334" s="9" t="n">
        <x:f>IF(Y334="","",M334*$AD334/1000)</x:f>
        <x:v>3.46</x:v>
      </x:c>
      <x:c r="V334" s="9" t="n">
        <x:f>IF(Z334="","",N334*$AD334/1000)</x:f>
        <x:v>0.68597469341077</x:v>
      </x:c>
      <x:c r="W334" s="9" t="n">
        <x:f>IF(AA334="","",O334*$AD334/1000)</x:f>
        <x:v>0.05</x:v>
      </x:c>
      <x:c r="X334" s="9" t="n">
        <x:f>IF(AB334="","",P334*$AD334/1000)</x:f>
        <x:v>0.19093454375780197</x:v>
      </x:c>
      <x:c r="Y334" s="3" t="n">
        <x:v>7</x:v>
      </x:c>
      <x:c r="Z334" s="3" t="n">
        <x:v>209</x:v>
      </x:c>
      <x:c r="AA334" s="3" t="n">
        <x:v>227</x:v>
      </x:c>
      <x:c r="AB334" s="3" t="n">
        <x:v>255</x:v>
      </x:c>
      <x:c r="AC334" s="3" t="n">
        <x:v>4</x:v>
      </x:c>
      <x:c r="AD334" s="3" t="n">
        <x:f>'方案总览'!$B$5</x:f>
        <x:v>20</x:v>
      </x:c>
    </x:row>
    <x:row r="335" ht="24" customHeight="1">
      <x:c r="A335" s="3" t="str">
        <x:v>R020</x:v>
      </x:c>
      <x:c r="B335" s="3" t="str">
        <x:v>独立配制重复</x:v>
      </x:c>
      <x:c r="C335" s="3" t="str">
        <x:v>C202</x:v>
      </x:c>
      <x:c r="D335" s="3" t="str">
        <x:v>T288</x:v>
      </x:c>
      <x:c r="E335" s="3" t="str">
        <x:v>对甲酚</x:v>
      </x:c>
      <x:c r="F335" s="3" t="str">
        <x:v>苯乙醛</x:v>
      </x:c>
      <x:c r="G335" s="3" t="str">
        <x:v>己酸乙酯</x:v>
      </x:c>
      <x:c r="H335" s="3" t="str">
        <x:v>1-辛烯-3-醇</x:v>
      </x:c>
      <x:c r="I335" s="3" t="str">
        <x:v>L</x:v>
      </x:c>
      <x:c r="J335" s="3" t="str">
        <x:v>M</x:v>
      </x:c>
      <x:c r="K335" s="3" t="str">
        <x:v>H</x:v>
      </x:c>
      <x:c r="L335" s="3" t="str">
        <x:v>H</x:v>
      </x:c>
      <x:c r="M335" s="9" t="n">
        <x:f>IF(Y335="","",INDEX('浓度设置'!$P$6:$R$46,MATCH(Y335,'浓度设置'!$A$6:$A$46,0),IF(I335="L",1,IF(I335="M",2,3))))</x:f>
        <x:v>0.51</x:v>
      </x:c>
      <x:c r="N335" s="9" t="n">
        <x:f>IF(Z335="","",INDEX('浓度设置'!$P$6:$R$46,MATCH(Z335,'浓度设置'!$A$6:$A$46,0),IF(J335="L",1,IF(J335="M",2,3))))</x:f>
        <x:v>28.044607324760317</x:v>
      </x:c>
      <x:c r="O335" s="9" t="n">
        <x:f>IF(AA335="","",INDEX('浓度设置'!$P$6:$R$46,MATCH(AA335,'浓度设置'!$A$6:$A$46,0),IF(K335="L",1,IF(K335="M",2,3))))</x:f>
        <x:v>9622120</x:v>
      </x:c>
      <x:c r="P335" s="9" t="n">
        <x:f>IF(AB335="","",INDEX('浓度设置'!$P$6:$R$46,MATCH(AB335,'浓度设置'!$A$6:$A$46,0),IF(L335="L",1,IF(L335="M",2,3))))</x:f>
        <x:v>271.45</x:v>
      </x:c>
      <x:c r="Q335" s="9" t="n">
        <x:f>IF(Y335="","",M335/INDEX('浓度设置'!$M$6:$M$46,MATCH(Y335,'浓度设置'!$A$6:$A$46,0)))</x:f>
        <x:v>0.003053892215568862</x:v>
      </x:c>
      <x:c r="R335" s="9" t="n">
        <x:f>IF(Z335="","",N335/INDEX('浓度设置'!$M$6:$M$46,MATCH(Z335,'浓度设置'!$A$6:$A$46,0)))</x:f>
        <x:v>0.10704048597236762</x:v>
      </x:c>
      <x:c r="S335" s="9" t="n">
        <x:f>IF(AA335="","",O335/INDEX('浓度设置'!$M$6:$M$46,MATCH(AA335,'浓度设置'!$A$6:$A$46,0)))</x:f>
        <x:v>173998.5533453888</x:v>
      </x:c>
      <x:c r="T335" s="9" t="n">
        <x:f>IF(AB335="","",P335/INDEX('浓度设置'!$M$6:$M$46,MATCH(AB335,'浓度设置'!$A$6:$A$46,0)))</x:f>
        <x:v>44.35457516339869</x:v>
      </x:c>
      <x:c r="U335" s="9" t="n">
        <x:f>IF(Y335="","",M335*$AD335/1000)</x:f>
        <x:v>0.010199999999999999</x:v>
      </x:c>
      <x:c r="V335" s="9" t="n">
        <x:f>IF(Z335="","",N335*$AD335/1000)</x:f>
        <x:v>0.5608921464952064</x:v>
      </x:c>
      <x:c r="W335" s="9" t="n">
        <x:f>IF(AA335="","",O335*$AD335/1000)</x:f>
        <x:v>192442.4</x:v>
      </x:c>
      <x:c r="X335" s="9" t="n">
        <x:f>IF(AB335="","",P335*$AD335/1000)</x:f>
        <x:v>5.429</x:v>
      </x:c>
      <x:c r="Y335" s="3" t="n">
        <x:v>61</x:v>
      </x:c>
      <x:c r="Z335" s="3" t="n">
        <x:v>105</x:v>
      </x:c>
      <x:c r="AA335" s="3" t="n">
        <x:v>111</x:v>
      </x:c>
      <x:c r="AB335" s="3" t="n">
        <x:v>207</x:v>
      </x:c>
      <x:c r="AC335" s="3" t="n">
        <x:v>4</x:v>
      </x:c>
      <x:c r="AD335" s="3" t="n">
        <x:f>'方案总览'!$B$5</x:f>
        <x:v>20</x:v>
      </x:c>
    </x:row>
    <x:row r="336" ht="24" customHeight="1">
      <x:c r="A336" s="3" t="str">
        <x:v>V001</x:v>
      </x:c>
      <x:c r="B336" s="3" t="str">
        <x:v>留出验证</x:v>
      </x:c>
      <x:c r="C336" s="3" t="str">
        <x:v>C225</x:v>
      </x:c>
      <x:c r="D336" s="3" t="str"/>
      <x:c r="E336" s="3" t="str">
        <x:v>己醛</x:v>
      </x:c>
      <x:c r="F336" s="3" t="str">
        <x:v>1-丁醇</x:v>
      </x:c>
      <x:c r="G336" s="3" t="str">
        <x:v>己酸</x:v>
      </x:c>
      <x:c r="H336" s="3" t="str">
        <x:v>β-大马酮</x:v>
      </x:c>
      <x:c r="I336" s="3" t="str">
        <x:v>L</x:v>
      </x:c>
      <x:c r="J336" s="3" t="str">
        <x:v>L</x:v>
      </x:c>
      <x:c r="K336" s="3" t="str">
        <x:v>M</x:v>
      </x:c>
      <x:c r="L336" s="3" t="str">
        <x:v>M</x:v>
      </x:c>
      <x:c r="M336" s="9" t="n">
        <x:f>IF(Y336="","",INDEX('浓度设置'!$P$6:$R$46,MATCH(Y336,'浓度设置'!$A$6:$A$46,0),IF(I336="L",1,IF(I336="M",2,3))))</x:f>
        <x:v>173</x:v>
      </x:c>
      <x:c r="N336" s="9" t="n">
        <x:f>IF(Z336="","",INDEX('浓度设置'!$P$6:$R$46,MATCH(Z336,'浓度设置'!$A$6:$A$46,0),IF(J336="L",1,IF(J336="M",2,3))))</x:f>
        <x:v>16.97</x:v>
      </x:c>
      <x:c r="O336" s="9" t="n">
        <x:f>IF(AA336="","",INDEX('浓度设置'!$P$6:$R$46,MATCH(AA336,'浓度设置'!$A$6:$A$46,0),IF(K336="L",1,IF(K336="M",2,3))))</x:f>
        <x:v>1815.6539083757125</x:v>
      </x:c>
      <x:c r="P336" s="9" t="n">
        <x:f>IF(AB336="","",INDEX('浓度设置'!$P$6:$R$46,MATCH(AB336,'浓度设置'!$A$6:$A$46,0),IF(L336="L",1,IF(L336="M",2,3))))</x:f>
        <x:v>9.546727187890099</x:v>
      </x:c>
      <x:c r="Q336" s="9" t="n">
        <x:f>IF(Y336="","",M336/INDEX('浓度设置'!$M$6:$M$46,MATCH(Y336,'浓度设置'!$A$6:$A$46,0)))</x:f>
        <x:v>6.784313725490196</x:v>
      </x:c>
      <x:c r="R336" s="9" t="n">
        <x:f>IF(Z336="","",N336/INDEX('浓度设置'!$M$6:$M$46,MATCH(Z336,'浓度设置'!$A$6:$A$46,0)))</x:f>
        <x:v>0.006209293816319063</x:v>
      </x:c>
      <x:c r="S336" s="9" t="n">
        <x:f>IF(AA336="","",O336/INDEX('浓度设置'!$M$6:$M$46,MATCH(AA336,'浓度设置'!$A$6:$A$46,0)))</x:f>
        <x:v>0.7204975826887748</x:v>
      </x:c>
      <x:c r="T336" s="9" t="n">
        <x:f>IF(AB336="","",P336/INDEX('浓度设置'!$M$6:$M$46,MATCH(AB336,'浓度设置'!$A$6:$A$46,0)))</x:f>
        <x:v>79.55605989908416</x:v>
      </x:c>
      <x:c r="U336" s="9" t="n">
        <x:f>IF(Y336="","",M336*$AD336/1000)</x:f>
        <x:v>3.46</x:v>
      </x:c>
      <x:c r="V336" s="9" t="n">
        <x:f>IF(Z336="","",N336*$AD336/1000)</x:f>
        <x:v>0.3394</x:v>
      </x:c>
      <x:c r="W336" s="9" t="n">
        <x:f>IF(AA336="","",O336*$AD336/1000)</x:f>
        <x:v>36.31307816751425</x:v>
      </x:c>
      <x:c r="X336" s="9" t="n">
        <x:f>IF(AB336="","",P336*$AD336/1000)</x:f>
        <x:v>0.19093454375780197</x:v>
      </x:c>
      <x:c r="Y336" s="3" t="n">
        <x:v>7</x:v>
      </x:c>
      <x:c r="Z336" s="3" t="n">
        <x:v>11</x:v>
      </x:c>
      <x:c r="AA336" s="3" t="n">
        <x:v>126</x:v>
      </x:c>
      <x:c r="AB336" s="3" t="n">
        <x:v>255</x:v>
      </x:c>
      <x:c r="AC336" s="3" t="n">
        <x:v>4</x:v>
      </x:c>
      <x:c r="AD336" s="3" t="n">
        <x:f>'方案总览'!$B$5</x:f>
        <x:v>20</x:v>
      </x:c>
    </x:row>
    <x:row r="337" ht="24" customHeight="1">
      <x:c r="A337" s="3" t="str">
        <x:v>V002</x:v>
      </x:c>
      <x:c r="B337" s="3" t="str">
        <x:v>留出验证</x:v>
      </x:c>
      <x:c r="C337" s="3" t="str">
        <x:v>C226</x:v>
      </x:c>
      <x:c r="D337" s="3" t="str"/>
      <x:c r="E337" s="3" t="str">
        <x:v>对甲酚</x:v>
      </x:c>
      <x:c r="F337" s="3" t="str">
        <x:v>苯乙醛</x:v>
      </x:c>
      <x:c r="G337" s="3" t="str">
        <x:v>辛酸</x:v>
      </x:c>
      <x:c r="H337" s="3" t="str">
        <x:v>3-苯基丙酸乙酯</x:v>
      </x:c>
      <x:c r="I337" s="3" t="str">
        <x:v>M</x:v>
      </x:c>
      <x:c r="J337" s="3" t="str">
        <x:v>M</x:v>
      </x:c>
      <x:c r="K337" s="3" t="str">
        <x:v>L</x:v>
      </x:c>
      <x:c r="L337" s="3" t="str">
        <x:v>L</x:v>
      </x:c>
      <x:c r="M337" s="9" t="n">
        <x:f>IF(Y337="","",INDEX('浓度设置'!$P$6:$R$46,MATCH(Y337,'浓度设置'!$A$6:$A$46,0),IF(I337="L",1,IF(I337="M",2,3))))</x:f>
        <x:v>59.381310191002015</x:v>
      </x:c>
      <x:c r="N337" s="9" t="n">
        <x:f>IF(Z337="","",INDEX('浓度设置'!$P$6:$R$46,MATCH(Z337,'浓度设置'!$A$6:$A$46,0),IF(J337="L",1,IF(J337="M",2,3))))</x:f>
        <x:v>28.044607324760317</x:v>
      </x:c>
      <x:c r="O337" s="9" t="n">
        <x:f>IF(AA337="","",INDEX('浓度设置'!$P$6:$R$46,MATCH(AA337,'浓度设置'!$A$6:$A$46,0),IF(K337="L",1,IF(K337="M",2,3))))</x:f>
        <x:v>1.875</x:v>
      </x:c>
      <x:c r="P337" s="9" t="n">
        <x:f>IF(AB337="","",INDEX('浓度设置'!$P$6:$R$46,MATCH(AB337,'浓度设置'!$A$6:$A$46,0),IF(L337="L",1,IF(L337="M",2,3))))</x:f>
        <x:v>1.56</x:v>
      </x:c>
      <x:c r="Q337" s="9" t="n">
        <x:f>IF(Y337="","",M337/INDEX('浓度设置'!$M$6:$M$46,MATCH(Y337,'浓度设置'!$A$6:$A$46,0)))</x:f>
        <x:v>0.355576707730551</x:v>
      </x:c>
      <x:c r="R337" s="9" t="n">
        <x:f>IF(Z337="","",N337/INDEX('浓度设置'!$M$6:$M$46,MATCH(Z337,'浓度设置'!$A$6:$A$46,0)))</x:f>
        <x:v>0.10704048597236762</x:v>
      </x:c>
      <x:c r="S337" s="9" t="n">
        <x:f>IF(AA337="","",O337/INDEX('浓度设置'!$M$6:$M$46,MATCH(AA337,'浓度设置'!$A$6:$A$46,0)))</x:f>
        <x:v>0.0006944444444444445</x:v>
      </x:c>
      <x:c r="T337" s="9" t="n">
        <x:f>IF(AB337="","",P337/INDEX('浓度设置'!$M$6:$M$46,MATCH(AB337,'浓度设置'!$A$6:$A$46,0)))</x:f>
        <x:v>0.01248</x:v>
      </x:c>
      <x:c r="U337" s="9" t="n">
        <x:f>IF(Y337="","",M337*$AD337/1000)</x:f>
        <x:v>1.1876262038200402</x:v>
      </x:c>
      <x:c r="V337" s="9" t="n">
        <x:f>IF(Z337="","",N337*$AD337/1000)</x:f>
        <x:v>0.5608921464952064</x:v>
      </x:c>
      <x:c r="W337" s="9" t="n">
        <x:f>IF(AA337="","",O337*$AD337/1000)</x:f>
        <x:v>0.0375</x:v>
      </x:c>
      <x:c r="X337" s="9" t="n">
        <x:f>IF(AB337="","",P337*$AD337/1000)</x:f>
        <x:v>0.031200000000000002</x:v>
      </x:c>
      <x:c r="Y337" s="3" t="n">
        <x:v>61</x:v>
      </x:c>
      <x:c r="Z337" s="3" t="n">
        <x:v>105</x:v>
      </x:c>
      <x:c r="AA337" s="3" t="n">
        <x:v>117</x:v>
      </x:c>
      <x:c r="AB337" s="3" t="n">
        <x:v>186</x:v>
      </x:c>
      <x:c r="AC337" s="3" t="n">
        <x:v>4</x:v>
      </x:c>
      <x:c r="AD337" s="3" t="n">
        <x:f>'方案总览'!$B$5</x:f>
        <x:v>20</x:v>
      </x:c>
    </x:row>
    <x:row r="338" ht="24" customHeight="1">
      <x:c r="A338" s="3" t="str">
        <x:v>V003</x:v>
      </x:c>
      <x:c r="B338" s="3" t="str">
        <x:v>留出验证</x:v>
      </x:c>
      <x:c r="C338" s="3" t="str">
        <x:v>C227</x:v>
      </x:c>
      <x:c r="D338" s="3" t="str"/>
      <x:c r="E338" s="3" t="str">
        <x:v>己醛</x:v>
      </x:c>
      <x:c r="F338" s="3" t="str">
        <x:v>丁酸异戊酯</x:v>
      </x:c>
      <x:c r="G338" s="3" t="str">
        <x:v>二甲基三硫醚</x:v>
      </x:c>
      <x:c r="H338" s="3" t="str">
        <x:v>己酸己酯</x:v>
      </x:c>
      <x:c r="I338" s="3" t="str">
        <x:v>H</x:v>
      </x:c>
      <x:c r="J338" s="3" t="str">
        <x:v>H</x:v>
      </x:c>
      <x:c r="K338" s="3" t="str">
        <x:v>H</x:v>
      </x:c>
      <x:c r="L338" s="3" t="str">
        <x:v>M</x:v>
      </x:c>
      <x:c r="M338" s="9" t="n">
        <x:f>IF(Y338="","",INDEX('浓度设置'!$P$6:$R$46,MATCH(Y338,'浓度设置'!$A$6:$A$46,0),IF(I338="L",1,IF(I338="M",2,3))))</x:f>
        <x:v>3075.94</x:v>
      </x:c>
      <x:c r="N338" s="9" t="n">
        <x:f>IF(Z338="","",INDEX('浓度设置'!$P$6:$R$46,MATCH(Z338,'浓度设置'!$A$6:$A$46,0),IF(J338="L",1,IF(J338="M",2,3))))</x:f>
        <x:v>4105</x:v>
      </x:c>
      <x:c r="O338" s="9" t="n">
        <x:f>IF(AA338="","",INDEX('浓度设置'!$P$6:$R$46,MATCH(AA338,'浓度设置'!$A$6:$A$46,0),IF(K338="L",1,IF(K338="M",2,3))))</x:f>
        <x:v>4201.44</x:v>
      </x:c>
      <x:c r="P338" s="9" t="n">
        <x:f>IF(AB338="","",INDEX('浓度设置'!$P$6:$R$46,MATCH(AB338,'浓度设置'!$A$6:$A$46,0),IF(L338="L",1,IF(L338="M",2,3))))</x:f>
        <x:v>695.986709643223</x:v>
      </x:c>
      <x:c r="Q338" s="9" t="n">
        <x:f>IF(Y338="","",M338/INDEX('浓度设置'!$M$6:$M$46,MATCH(Y338,'浓度设置'!$A$6:$A$46,0)))</x:f>
        <x:v>120.62509803921569</x:v>
      </x:c>
      <x:c r="R338" s="9" t="n">
        <x:f>IF(Z338="","",N338/INDEX('浓度设置'!$M$6:$M$46,MATCH(Z338,'浓度设置'!$A$6:$A$46,0)))</x:f>
        <x:v>4.4863387978142075</x:v>
      </x:c>
      <x:c r="S338" s="9" t="n">
        <x:f>IF(AA338="","",O338/INDEX('浓度设置'!$M$6:$M$46,MATCH(AA338,'浓度设置'!$A$6:$A$46,0)))</x:f>
        <x:v>11670.666666666666</x:v>
      </x:c>
      <x:c r="T338" s="9" t="n">
        <x:f>IF(AB338="","",P338/INDEX('浓度设置'!$M$6:$M$46,MATCH(AB338,'浓度设置'!$A$6:$A$46,0)))</x:f>
        <x:v>0.3680521997055648</x:v>
      </x:c>
      <x:c r="U338" s="9" t="n">
        <x:f>IF(Y338="","",M338*$AD338/1000)</x:f>
        <x:v>61.518800000000006</x:v>
      </x:c>
      <x:c r="V338" s="9" t="n">
        <x:f>IF(Z338="","",N338*$AD338/1000)</x:f>
        <x:v>82.1</x:v>
      </x:c>
      <x:c r="W338" s="9" t="n">
        <x:f>IF(AA338="","",O338*$AD338/1000)</x:f>
        <x:v>84.02879999999999</x:v>
      </x:c>
      <x:c r="X338" s="9" t="n">
        <x:f>IF(AB338="","",P338*$AD338/1000)</x:f>
        <x:v>13.91973419286446</x:v>
      </x:c>
      <x:c r="Y338" s="3" t="n">
        <x:v>7</x:v>
      </x:c>
      <x:c r="Z338" s="3" t="n">
        <x:v>56</x:v>
      </x:c>
      <x:c r="AA338" s="3" t="n">
        <x:v>209</x:v>
      </x:c>
      <x:c r="AB338" s="3" t="n">
        <x:v>227</x:v>
      </x:c>
      <x:c r="AC338" s="3" t="n">
        <x:v>4</x:v>
      </x:c>
      <x:c r="AD338" s="3" t="n">
        <x:f>'方案总览'!$B$5</x:f>
        <x:v>20</x:v>
      </x:c>
    </x:row>
    <x:row r="339" ht="24" customHeight="1">
      <x:c r="A339" s="3" t="str">
        <x:v>V004</x:v>
      </x:c>
      <x:c r="B339" s="3" t="str">
        <x:v>留出验证</x:v>
      </x:c>
      <x:c r="C339" s="3" t="str">
        <x:v>C228</x:v>
      </x:c>
      <x:c r="D339" s="3" t="str"/>
      <x:c r="E339" s="3" t="str">
        <x:v>乙醛二乙缩醛</x:v>
      </x:c>
      <x:c r="F339" s="3" t="str">
        <x:v>丁酸异戊酯</x:v>
      </x:c>
      <x:c r="G339" s="3" t="str">
        <x:v>己酸乙酯</x:v>
      </x:c>
      <x:c r="H339" s="3" t="str">
        <x:v>3-苯基丙酸乙酯</x:v>
      </x:c>
      <x:c r="I339" s="3" t="str">
        <x:v>H</x:v>
      </x:c>
      <x:c r="J339" s="3" t="str">
        <x:v>M</x:v>
      </x:c>
      <x:c r="K339" s="3" t="str">
        <x:v>M</x:v>
      </x:c>
      <x:c r="L339" s="3" t="str">
        <x:v>L</x:v>
      </x:c>
      <x:c r="M339" s="9" t="n">
        <x:f>IF(Y339="","",INDEX('浓度设置'!$P$6:$R$46,MATCH(Y339,'浓度设置'!$A$6:$A$46,0),IF(I339="L",1,IF(I339="M",2,3))))</x:f>
        <x:v>784300</x:v>
      </x:c>
      <x:c r="N339" s="9" t="n">
        <x:f>IF(Z339="","",INDEX('浓度设置'!$P$6:$R$46,MATCH(Z339,'浓度设置'!$A$6:$A$46,0),IF(J339="L",1,IF(J339="M",2,3))))</x:f>
        <x:v>1041.8500000000001</x:v>
      </x:c>
      <x:c r="O339" s="9" t="n">
        <x:f>IF(AA339="","",INDEX('浓度设置'!$P$6:$R$46,MATCH(AA339,'浓度设置'!$A$6:$A$46,0),IF(K339="L",1,IF(K339="M",2,3))))</x:f>
        <x:v>89562.18016998023</x:v>
      </x:c>
      <x:c r="P339" s="9" t="n">
        <x:f>IF(AB339="","",INDEX('浓度设置'!$P$6:$R$46,MATCH(AB339,'浓度设置'!$A$6:$A$46,0),IF(L339="L",1,IF(L339="M",2,3))))</x:f>
        <x:v>1.56</x:v>
      </x:c>
      <x:c r="Q339" s="9" t="n">
        <x:f>IF(Y339="","",M339/INDEX('浓度设置'!$M$6:$M$46,MATCH(Y339,'浓度设置'!$A$6:$A$46,0)))</x:f>
        <x:v>375.2631578947368</x:v>
      </x:c>
      <x:c r="R339" s="9" t="n">
        <x:f>IF(Z339="","",N339/INDEX('浓度设置'!$M$6:$M$46,MATCH(Z339,'浓度设置'!$A$6:$A$46,0)))</x:f>
        <x:v>1.1386338797814208</x:v>
      </x:c>
      <x:c r="S339" s="9" t="n">
        <x:f>IF(AA339="","",O339/INDEX('浓度设置'!$M$6:$M$46,MATCH(AA339,'浓度设置'!$A$6:$A$46,0)))</x:f>
        <x:v>1619.5692616632955</x:v>
      </x:c>
      <x:c r="T339" s="9" t="n">
        <x:f>IF(AB339="","",P339/INDEX('浓度设置'!$M$6:$M$46,MATCH(AB339,'浓度设置'!$A$6:$A$46,0)))</x:f>
        <x:v>0.01248</x:v>
      </x:c>
      <x:c r="U339" s="9" t="n">
        <x:f>IF(Y339="","",M339*$AD339/1000)</x:f>
        <x:v>15686</x:v>
      </x:c>
      <x:c r="V339" s="9" t="n">
        <x:f>IF(Z339="","",N339*$AD339/1000)</x:f>
        <x:v>20.837000000000003</x:v>
      </x:c>
      <x:c r="W339" s="9" t="n">
        <x:f>IF(AA339="","",O339*$AD339/1000)</x:f>
        <x:v>1791.2436033996046</x:v>
      </x:c>
      <x:c r="X339" s="9" t="n">
        <x:f>IF(AB339="","",P339*$AD339/1000)</x:f>
        <x:v>0.031200000000000002</x:v>
      </x:c>
      <x:c r="Y339" s="3" t="n">
        <x:v>53</x:v>
      </x:c>
      <x:c r="Z339" s="3" t="n">
        <x:v>56</x:v>
      </x:c>
      <x:c r="AA339" s="3" t="n">
        <x:v>111</x:v>
      </x:c>
      <x:c r="AB339" s="3" t="n">
        <x:v>186</x:v>
      </x:c>
      <x:c r="AC339" s="3" t="n">
        <x:v>4</x:v>
      </x:c>
      <x:c r="AD339" s="3" t="n">
        <x:f>'方案总览'!$B$5</x:f>
        <x:v>20</x:v>
      </x:c>
    </x:row>
    <x:row r="340" ht="24" customHeight="1">
      <x:c r="A340" s="3" t="str">
        <x:v>V005</x:v>
      </x:c>
      <x:c r="B340" s="3" t="str">
        <x:v>留出验证</x:v>
      </x:c>
      <x:c r="C340" s="3" t="str">
        <x:v>C229</x:v>
      </x:c>
      <x:c r="D340" s="3" t="str"/>
      <x:c r="E340" s="3" t="str">
        <x:v>2-甲基丙醛</x:v>
      </x:c>
      <x:c r="F340" s="3" t="str">
        <x:v>对甲酚</x:v>
      </x:c>
      <x:c r="G340" s="3" t="str">
        <x:v>异戊醛</x:v>
      </x:c>
      <x:c r="H340" s="3" t="str">
        <x:v>己酸丁酯</x:v>
      </x:c>
      <x:c r="I340" s="3" t="str">
        <x:v>H</x:v>
      </x:c>
      <x:c r="J340" s="3" t="str">
        <x:v>M</x:v>
      </x:c>
      <x:c r="K340" s="3" t="str">
        <x:v>H</x:v>
      </x:c>
      <x:c r="L340" s="3" t="str">
        <x:v>M</x:v>
      </x:c>
      <x:c r="M340" s="9" t="n">
        <x:f>IF(Y340="","",INDEX('浓度设置'!$P$6:$R$46,MATCH(Y340,'浓度设置'!$A$6:$A$46,0),IF(I340="L",1,IF(I340="M",2,3))))</x:f>
        <x:v>35900</x:v>
      </x:c>
      <x:c r="N340" s="9" t="n">
        <x:f>IF(Z340="","",INDEX('浓度设置'!$P$6:$R$46,MATCH(Z340,'浓度设置'!$A$6:$A$46,0),IF(J340="L",1,IF(J340="M",2,3))))</x:f>
        <x:v>59.381310191002015</x:v>
      </x:c>
      <x:c r="O340" s="9" t="n">
        <x:f>IF(AA340="","",INDEX('浓度设置'!$P$6:$R$46,MATCH(AA340,'浓度设置'!$A$6:$A$46,0),IF(K340="L",1,IF(K340="M",2,3))))</x:f>
        <x:v>227200</x:v>
      </x:c>
      <x:c r="P340" s="9" t="n">
        <x:f>IF(AB340="","",INDEX('浓度设置'!$P$6:$R$46,MATCH(AB340,'浓度设置'!$A$6:$A$46,0),IF(L340="L",1,IF(L340="M",2,3))))</x:f>
        <x:v>823.735</x:v>
      </x:c>
      <x:c r="Q340" s="9" t="n">
        <x:f>IF(Y340="","",M340/INDEX('浓度设置'!$M$6:$M$46,MATCH(Y340,'浓度设置'!$A$6:$A$46,0)))</x:f>
        <x:v>6084.745762711864</x:v>
      </x:c>
      <x:c r="R340" s="9" t="n">
        <x:f>IF(Z340="","",N340/INDEX('浓度设置'!$M$6:$M$46,MATCH(Z340,'浓度设置'!$A$6:$A$46,0)))</x:f>
        <x:v>0.355576707730551</x:v>
      </x:c>
      <x:c r="S340" s="9" t="n">
        <x:f>IF(AA340="","",O340/INDEX('浓度设置'!$M$6:$M$46,MATCH(AA340,'浓度设置'!$A$6:$A$46,0)))</x:f>
        <x:v>13769.69696969697</x:v>
      </x:c>
      <x:c r="T340" s="9" t="n">
        <x:f>IF(AB340="","",P340/INDEX('浓度设置'!$M$6:$M$46,MATCH(AB340,'浓度设置'!$A$6:$A$46,0)))</x:f>
        <x:v>1.2152351587395256</x:v>
      </x:c>
      <x:c r="U340" s="9" t="n">
        <x:f>IF(Y340="","",M340*$AD340/1000)</x:f>
        <x:v>718</x:v>
      </x:c>
      <x:c r="V340" s="9" t="n">
        <x:f>IF(Z340="","",N340*$AD340/1000)</x:f>
        <x:v>1.1876262038200402</x:v>
      </x:c>
      <x:c r="W340" s="9" t="n">
        <x:f>IF(AA340="","",O340*$AD340/1000)</x:f>
        <x:v>4544</x:v>
      </x:c>
      <x:c r="X340" s="9" t="n">
        <x:f>IF(AB340="","",P340*$AD340/1000)</x:f>
        <x:v>16.474700000000002</x:v>
      </x:c>
      <x:c r="Y340" s="3" t="n">
        <x:v>18</x:v>
      </x:c>
      <x:c r="Z340" s="3" t="n">
        <x:v>61</x:v>
      </x:c>
      <x:c r="AA340" s="3" t="n">
        <x:v>152</x:v>
      </x:c>
      <x:c r="AB340" s="3" t="n">
        <x:v>165</x:v>
      </x:c>
      <x:c r="AC340" s="3" t="n">
        <x:v>4</x:v>
      </x:c>
      <x:c r="AD340" s="3" t="n">
        <x:f>'方案总览'!$B$5</x:f>
        <x:v>20</x:v>
      </x:c>
    </x:row>
    <x:row r="341" ht="24" customHeight="1">
      <x:c r="A341" s="3" t="str">
        <x:v>V006</x:v>
      </x:c>
      <x:c r="B341" s="3" t="str">
        <x:v>留出验证</x:v>
      </x:c>
      <x:c r="C341" s="3" t="str">
        <x:v>C230</x:v>
      </x:c>
      <x:c r="D341" s="3" t="str"/>
      <x:c r="E341" s="3" t="str">
        <x:v>1-丁醇</x:v>
      </x:c>
      <x:c r="F341" s="3" t="str">
        <x:v>丁酸异戊酯</x:v>
      </x:c>
      <x:c r="G341" s="3" t="str">
        <x:v>异戊酸乙酯（3-甲基丁酸乙酯）</x:v>
      </x:c>
      <x:c r="H341" s="3" t="str">
        <x:v>癸酸乙酯</x:v>
      </x:c>
      <x:c r="I341" s="3" t="str">
        <x:v>L</x:v>
      </x:c>
      <x:c r="J341" s="3" t="str">
        <x:v>H</x:v>
      </x:c>
      <x:c r="K341" s="3" t="str">
        <x:v>H</x:v>
      </x:c>
      <x:c r="L341" s="3" t="str">
        <x:v>M</x:v>
      </x:c>
      <x:c r="M341" s="9" t="n">
        <x:f>IF(Y341="","",INDEX('浓度设置'!$P$6:$R$46,MATCH(Y341,'浓度设置'!$A$6:$A$46,0),IF(I341="L",1,IF(I341="M",2,3))))</x:f>
        <x:v>16.97</x:v>
      </x:c>
      <x:c r="N341" s="9" t="n">
        <x:f>IF(Z341="","",INDEX('浓度设置'!$P$6:$R$46,MATCH(Z341,'浓度设置'!$A$6:$A$46,0),IF(J341="L",1,IF(J341="M",2,3))))</x:f>
        <x:v>4105</x:v>
      </x:c>
      <x:c r="O341" s="9" t="n">
        <x:f>IF(AA341="","",INDEX('浓度设置'!$P$6:$R$46,MATCH(AA341,'浓度设置'!$A$6:$A$46,0),IF(K341="L",1,IF(K341="M",2,3))))</x:f>
        <x:v>12022.2</x:v>
      </x:c>
      <x:c r="P341" s="9" t="n">
        <x:f>IF(AB341="","",INDEX('浓度设置'!$P$6:$R$46,MATCH(AB341,'浓度设置'!$A$6:$A$46,0),IF(L341="L",1,IF(L341="M",2,3))))</x:f>
        <x:v>1288.255</x:v>
      </x:c>
      <x:c r="Q341" s="9" t="n">
        <x:f>IF(Y341="","",M341/INDEX('浓度设置'!$M$6:$M$46,MATCH(Y341,'浓度设置'!$A$6:$A$46,0)))</x:f>
        <x:v>0.006209293816319063</x:v>
      </x:c>
      <x:c r="R341" s="9" t="n">
        <x:f>IF(Z341="","",N341/INDEX('浓度设置'!$M$6:$M$46,MATCH(Z341,'浓度设置'!$A$6:$A$46,0)))</x:f>
        <x:v>4.4863387978142075</x:v>
      </x:c>
      <x:c r="S341" s="9" t="n">
        <x:f>IF(AA341="","",O341/INDEX('浓度设置'!$M$6:$M$46,MATCH(AA341,'浓度设置'!$A$6:$A$46,0)))</x:f>
        <x:v>1744.8766328011613</x:v>
      </x:c>
      <x:c r="T341" s="9" t="n">
        <x:f>IF(AB341="","",P341/INDEX('浓度设置'!$M$6:$M$46,MATCH(AB341,'浓度设置'!$A$6:$A$46,0)))</x:f>
        <x:v>1.1502276785714287</x:v>
      </x:c>
      <x:c r="U341" s="9" t="n">
        <x:f>IF(Y341="","",M341*$AD341/1000)</x:f>
        <x:v>0.3394</x:v>
      </x:c>
      <x:c r="V341" s="9" t="n">
        <x:f>IF(Z341="","",N341*$AD341/1000)</x:f>
        <x:v>82.1</x:v>
      </x:c>
      <x:c r="W341" s="9" t="n">
        <x:f>IF(AA341="","",O341*$AD341/1000)</x:f>
        <x:v>240.444</x:v>
      </x:c>
      <x:c r="X341" s="9" t="n">
        <x:f>IF(AB341="","",P341*$AD341/1000)</x:f>
        <x:v>25.765100000000004</x:v>
      </x:c>
      <x:c r="Y341" s="3" t="n">
        <x:v>11</x:v>
      </x:c>
      <x:c r="Z341" s="3" t="n">
        <x:v>56</x:v>
      </x:c>
      <x:c r="AA341" s="3" t="n">
        <x:v>69</x:v>
      </x:c>
      <x:c r="AB341" s="3" t="n">
        <x:v>79</x:v>
      </x:c>
      <x:c r="AC341" s="3" t="n">
        <x:v>4</x:v>
      </x:c>
      <x:c r="AD341" s="3" t="n">
        <x:f>'方案总览'!$B$5</x:f>
        <x:v>20</x:v>
      </x:c>
    </x:row>
    <x:row r="342" ht="24" customHeight="1">
      <x:c r="A342" s="3" t="str">
        <x:v>V007</x:v>
      </x:c>
      <x:c r="B342" s="3" t="str">
        <x:v>留出验证</x:v>
      </x:c>
      <x:c r="C342" s="3" t="str">
        <x:v>C231</x:v>
      </x:c>
      <x:c r="D342" s="3" t="str"/>
      <x:c r="E342" s="3" t="str">
        <x:v>2-甲基丙醛</x:v>
      </x:c>
      <x:c r="F342" s="3" t="str">
        <x:v>1-辛醇</x:v>
      </x:c>
      <x:c r="G342" s="3" t="str">
        <x:v>异戊酸/3-甲基丁酸</x:v>
      </x:c>
      <x:c r="H342" s="3" t="str">
        <x:v>2-甲基丁酸乙酯</x:v>
      </x:c>
      <x:c r="I342" s="3" t="str">
        <x:v>H</x:v>
      </x:c>
      <x:c r="J342" s="3" t="str">
        <x:v>H</x:v>
      </x:c>
      <x:c r="K342" s="3" t="str">
        <x:v>L</x:v>
      </x:c>
      <x:c r="L342" s="3" t="str">
        <x:v>L</x:v>
      </x:c>
      <x:c r="M342" s="9" t="n">
        <x:f>IF(Y342="","",INDEX('浓度设置'!$P$6:$R$46,MATCH(Y342,'浓度设置'!$A$6:$A$46,0),IF(I342="L",1,IF(I342="M",2,3))))</x:f>
        <x:v>35900</x:v>
      </x:c>
      <x:c r="N342" s="9" t="n">
        <x:f>IF(Z342="","",INDEX('浓度设置'!$P$6:$R$46,MATCH(Z342,'浓度设置'!$A$6:$A$46,0),IF(J342="L",1,IF(J342="M",2,3))))</x:f>
        <x:v>25642.45</x:v>
      </x:c>
      <x:c r="O342" s="9" t="n">
        <x:f>IF(AA342="","",INDEX('浓度设置'!$P$6:$R$46,MATCH(AA342,'浓度设置'!$A$6:$A$46,0),IF(K342="L",1,IF(K342="M",2,3))))</x:f>
        <x:v>1.1875</x:v>
      </x:c>
      <x:c r="P342" s="9" t="n">
        <x:f>IF(AB342="","",INDEX('浓度设置'!$P$6:$R$46,MATCH(AB342,'浓度设置'!$A$6:$A$46,0),IF(L342="L",1,IF(L342="M",2,3))))</x:f>
        <x:v>0.97</x:v>
      </x:c>
      <x:c r="Q342" s="9" t="n">
        <x:f>IF(Y342="","",M342/INDEX('浓度设置'!$M$6:$M$46,MATCH(Y342,'浓度设置'!$A$6:$A$46,0)))</x:f>
        <x:v>6084.745762711864</x:v>
      </x:c>
      <x:c r="R342" s="9" t="n">
        <x:f>IF(Z342="","",N342/INDEX('浓度设置'!$M$6:$M$46,MATCH(Z342,'浓度设置'!$A$6:$A$46,0)))</x:f>
        <x:v>23.311318181818184</x:v>
      </x:c>
      <x:c r="S342" s="9" t="n">
        <x:f>IF(AA342="","",O342/INDEX('浓度设置'!$M$6:$M$46,MATCH(AA342,'浓度设置'!$A$6:$A$46,0)))</x:f>
        <x:v>0.001130952380952381</x:v>
      </x:c>
      <x:c r="T342" s="9" t="n">
        <x:f>IF(AB342="","",P342/INDEX('浓度设置'!$M$6:$M$46,MATCH(AB342,'浓度设置'!$A$6:$A$46,0)))</x:f>
        <x:v>0.05388888888888889</x:v>
      </x:c>
      <x:c r="U342" s="9" t="n">
        <x:f>IF(Y342="","",M342*$AD342/1000)</x:f>
        <x:v>718</x:v>
      </x:c>
      <x:c r="V342" s="9" t="n">
        <x:f>IF(Z342="","",N342*$AD342/1000)</x:f>
        <x:v>512.849</x:v>
      </x:c>
      <x:c r="W342" s="9" t="n">
        <x:f>IF(AA342="","",O342*$AD342/1000)</x:f>
        <x:v>0.02375</x:v>
      </x:c>
      <x:c r="X342" s="9" t="n">
        <x:f>IF(AB342="","",P342*$AD342/1000)</x:f>
        <x:v>0.019399999999999997</x:v>
      </x:c>
      <x:c r="Y342" s="3" t="n">
        <x:v>18</x:v>
      </x:c>
      <x:c r="Z342" s="3" t="n">
        <x:v>90</x:v>
      </x:c>
      <x:c r="AA342" s="3" t="n">
        <x:v>136</x:v>
      </x:c>
      <x:c r="AB342" s="3" t="n">
        <x:v>232</x:v>
      </x:c>
      <x:c r="AC342" s="3" t="n">
        <x:v>4</x:v>
      </x:c>
      <x:c r="AD342" s="3" t="n">
        <x:f>'方案总览'!$B$5</x:f>
        <x:v>20</x:v>
      </x:c>
    </x:row>
    <x:row r="343" ht="24" customHeight="1">
      <x:c r="A343" s="3" t="str">
        <x:v>V008</x:v>
      </x:c>
      <x:c r="B343" s="3" t="str">
        <x:v>留出验证</x:v>
      </x:c>
      <x:c r="C343" s="3" t="str">
        <x:v>C232</x:v>
      </x:c>
      <x:c r="D343" s="3" t="str"/>
      <x:c r="E343" s="3" t="str">
        <x:v>1-丁醇</x:v>
      </x:c>
      <x:c r="F343" s="3" t="str">
        <x:v>辛酸乙酯</x:v>
      </x:c>
      <x:c r="G343" s="3" t="str">
        <x:v>对甲酚</x:v>
      </x:c>
      <x:c r="H343" s="3" t="str">
        <x:v>己酸丁酯</x:v>
      </x:c>
      <x:c r="I343" s="3" t="str">
        <x:v>H</x:v>
      </x:c>
      <x:c r="J343" s="3" t="str">
        <x:v>H</x:v>
      </x:c>
      <x:c r="K343" s="3" t="str">
        <x:v>H</x:v>
      </x:c>
      <x:c r="L343" s="3" t="str">
        <x:v>M</x:v>
      </x:c>
      <x:c r="M343" s="9" t="n">
        <x:f>IF(Y343="","",INDEX('浓度设置'!$P$6:$R$46,MATCH(Y343,'浓度设置'!$A$6:$A$46,0),IF(I343="L",1,IF(I343="M",2,3))))</x:f>
        <x:v>1038900</x:v>
      </x:c>
      <x:c r="N343" s="9" t="n">
        <x:f>IF(Z343="","",INDEX('浓度设置'!$P$6:$R$46,MATCH(Z343,'浓度设置'!$A$6:$A$46,0),IF(J343="L",1,IF(J343="M",2,3))))</x:f>
        <x:v>1865945</x:v>
      </x:c>
      <x:c r="O343" s="9" t="n">
        <x:f>IF(AA343="","",INDEX('浓度设置'!$P$6:$R$46,MATCH(AA343,'浓度设置'!$A$6:$A$46,0),IF(K343="L",1,IF(K343="M",2,3))))</x:f>
        <x:v>6914</x:v>
      </x:c>
      <x:c r="P343" s="9" t="n">
        <x:f>IF(AB343="","",INDEX('浓度设置'!$P$6:$R$46,MATCH(AB343,'浓度设置'!$A$6:$A$46,0),IF(L343="L",1,IF(L343="M",2,3))))</x:f>
        <x:v>823.735</x:v>
      </x:c>
      <x:c r="Q343" s="9" t="n">
        <x:f>IF(Y343="","",M343/INDEX('浓度设置'!$M$6:$M$46,MATCH(Y343,'浓度设置'!$A$6:$A$46,0)))</x:f>
        <x:v>380.1317233809001</x:v>
      </x:c>
      <x:c r="R343" s="9" t="n">
        <x:f>IF(Z343="","",N343/INDEX('浓度设置'!$M$6:$M$46,MATCH(Z343,'浓度设置'!$A$6:$A$46,0)))</x:f>
        <x:v>144646.8992248062</x:v>
      </x:c>
      <x:c r="S343" s="9" t="n">
        <x:f>IF(AA343="","",O343/INDEX('浓度设置'!$M$6:$M$46,MATCH(AA343,'浓度设置'!$A$6:$A$46,0)))</x:f>
        <x:v>41.40119760479042</x:v>
      </x:c>
      <x:c r="T343" s="9" t="n">
        <x:f>IF(AB343="","",P343/INDEX('浓度设置'!$M$6:$M$46,MATCH(AB343,'浓度设置'!$A$6:$A$46,0)))</x:f>
        <x:v>1.2152351587395256</x:v>
      </x:c>
      <x:c r="U343" s="9" t="n">
        <x:f>IF(Y343="","",M343*$AD343/1000)</x:f>
        <x:v>20778</x:v>
      </x:c>
      <x:c r="V343" s="9" t="n">
        <x:f>IF(Z343="","",N343*$AD343/1000)</x:f>
        <x:v>37318.9</x:v>
      </x:c>
      <x:c r="W343" s="9" t="n">
        <x:f>IF(AA343="","",O343*$AD343/1000)</x:f>
        <x:v>138.28</x:v>
      </x:c>
      <x:c r="X343" s="9" t="n">
        <x:f>IF(AB343="","",P343*$AD343/1000)</x:f>
        <x:v>16.474700000000002</x:v>
      </x:c>
      <x:c r="Y343" s="3" t="n">
        <x:v>11</x:v>
      </x:c>
      <x:c r="Z343" s="3" t="n">
        <x:v>58</x:v>
      </x:c>
      <x:c r="AA343" s="3" t="n">
        <x:v>61</x:v>
      </x:c>
      <x:c r="AB343" s="3" t="n">
        <x:v>165</x:v>
      </x:c>
      <x:c r="AC343" s="3" t="n">
        <x:v>4</x:v>
      </x:c>
      <x:c r="AD343" s="3" t="n">
        <x:f>'方案总览'!$B$5</x:f>
        <x:v>20</x:v>
      </x:c>
    </x:row>
    <x:row r="344" ht="24" customHeight="1">
      <x:c r="A344" s="3" t="str">
        <x:v>V009</x:v>
      </x:c>
      <x:c r="B344" s="3" t="str">
        <x:v>留出验证</x:v>
      </x:c>
      <x:c r="C344" s="3" t="str">
        <x:v>C233</x:v>
      </x:c>
      <x:c r="D344" s="3" t="str"/>
      <x:c r="E344" s="3" t="str">
        <x:v>1-丁醇</x:v>
      </x:c>
      <x:c r="F344" s="3" t="str">
        <x:v>2-甲基丙醛</x:v>
      </x:c>
      <x:c r="G344" s="3" t="str">
        <x:v>异戊酸乙酯（3-甲基丁酸乙酯）</x:v>
      </x:c>
      <x:c r="H344" s="3" t="str">
        <x:v>辛酸</x:v>
      </x:c>
      <x:c r="I344" s="3" t="str">
        <x:v>M</x:v>
      </x:c>
      <x:c r="J344" s="3" t="str">
        <x:v>L</x:v>
      </x:c>
      <x:c r="K344" s="3" t="str">
        <x:v>H</x:v>
      </x:c>
      <x:c r="L344" s="3" t="str">
        <x:v>H</x:v>
      </x:c>
      <x:c r="M344" s="9" t="n">
        <x:f>IF(Y344="","",INDEX('浓度设置'!$P$6:$R$46,MATCH(Y344,'浓度设置'!$A$6:$A$46,0),IF(I344="L",1,IF(I344="M",2,3))))</x:f>
        <x:v>4198.825192836682</x:v>
      </x:c>
      <x:c r="N344" s="9" t="n">
        <x:f>IF(Z344="","",INDEX('浓度设置'!$P$6:$R$46,MATCH(Z344,'浓度设置'!$A$6:$A$46,0),IF(J344="L",1,IF(J344="M",2,3))))</x:f>
        <x:v>39</x:v>
      </x:c>
      <x:c r="O344" s="9" t="n">
        <x:f>IF(AA344="","",INDEX('浓度设置'!$P$6:$R$46,MATCH(AA344,'浓度设置'!$A$6:$A$46,0),IF(K344="L",1,IF(K344="M",2,3))))</x:f>
        <x:v>12022.2</x:v>
      </x:c>
      <x:c r="P344" s="9" t="n">
        <x:f>IF(AB344="","",INDEX('浓度设置'!$P$6:$R$46,MATCH(AB344,'浓度设置'!$A$6:$A$46,0),IF(L344="L",1,IF(L344="M",2,3))))</x:f>
        <x:v>40201.1</x:v>
      </x:c>
      <x:c r="Q344" s="9" t="n">
        <x:f>IF(Y344="","",M344/INDEX('浓度设置'!$M$6:$M$46,MATCH(Y344,'浓度设置'!$A$6:$A$46,0)))</x:f>
        <x:v>1.5363429172472307</x:v>
      </x:c>
      <x:c r="R344" s="9" t="n">
        <x:f>IF(Z344="","",N344/INDEX('浓度设置'!$M$6:$M$46,MATCH(Z344,'浓度设置'!$A$6:$A$46,0)))</x:f>
        <x:v>6.610169491525423</x:v>
      </x:c>
      <x:c r="S344" s="9" t="n">
        <x:f>IF(AA344="","",O344/INDEX('浓度设置'!$M$6:$M$46,MATCH(AA344,'浓度设置'!$A$6:$A$46,0)))</x:f>
        <x:v>1744.8766328011613</x:v>
      </x:c>
      <x:c r="T344" s="9" t="n">
        <x:f>IF(AB344="","",P344/INDEX('浓度设置'!$M$6:$M$46,MATCH(AB344,'浓度设置'!$A$6:$A$46,0)))</x:f>
        <x:v>14.889296296296296</x:v>
      </x:c>
      <x:c r="U344" s="9" t="n">
        <x:f>IF(Y344="","",M344*$AD344/1000)</x:f>
        <x:v>83.97650385673363</x:v>
      </x:c>
      <x:c r="V344" s="9" t="n">
        <x:f>IF(Z344="","",N344*$AD344/1000)</x:f>
        <x:v>0.78</x:v>
      </x:c>
      <x:c r="W344" s="9" t="n">
        <x:f>IF(AA344="","",O344*$AD344/1000)</x:f>
        <x:v>240.444</x:v>
      </x:c>
      <x:c r="X344" s="9" t="n">
        <x:f>IF(AB344="","",P344*$AD344/1000)</x:f>
        <x:v>804.022</x:v>
      </x:c>
      <x:c r="Y344" s="3" t="n">
        <x:v>11</x:v>
      </x:c>
      <x:c r="Z344" s="3" t="n">
        <x:v>18</x:v>
      </x:c>
      <x:c r="AA344" s="3" t="n">
        <x:v>69</x:v>
      </x:c>
      <x:c r="AB344" s="3" t="n">
        <x:v>117</x:v>
      </x:c>
      <x:c r="AC344" s="3" t="n">
        <x:v>4</x:v>
      </x:c>
      <x:c r="AD344" s="3" t="n">
        <x:f>'方案总览'!$B$5</x:f>
        <x:v>20</x:v>
      </x:c>
    </x:row>
    <x:row r="345" ht="24" customHeight="1">
      <x:c r="A345" s="3" t="str">
        <x:v>V010</x:v>
      </x:c>
      <x:c r="B345" s="3" t="str">
        <x:v>留出验证</x:v>
      </x:c>
      <x:c r="C345" s="3" t="str">
        <x:v>C234</x:v>
      </x:c>
      <x:c r="D345" s="3" t="str"/>
      <x:c r="E345" s="3" t="str">
        <x:v>1-丁醇</x:v>
      </x:c>
      <x:c r="F345" s="3" t="str">
        <x:v>戊酸</x:v>
      </x:c>
      <x:c r="G345" s="3" t="str">
        <x:v>苯乙醛</x:v>
      </x:c>
      <x:c r="H345" s="3" t="str">
        <x:v>己酸己酯</x:v>
      </x:c>
      <x:c r="I345" s="3" t="str">
        <x:v>H</x:v>
      </x:c>
      <x:c r="J345" s="3" t="str">
        <x:v>H</x:v>
      </x:c>
      <x:c r="K345" s="3" t="str">
        <x:v>M</x:v>
      </x:c>
      <x:c r="L345" s="3" t="str">
        <x:v>M</x:v>
      </x:c>
      <x:c r="M345" s="9" t="n">
        <x:f>IF(Y345="","",INDEX('浓度设置'!$P$6:$R$46,MATCH(Y345,'浓度设置'!$A$6:$A$46,0),IF(I345="L",1,IF(I345="M",2,3))))</x:f>
        <x:v>1038900</x:v>
      </x:c>
      <x:c r="N345" s="9" t="n">
        <x:f>IF(Z345="","",INDEX('浓度设置'!$P$6:$R$46,MATCH(Z345,'浓度设置'!$A$6:$A$46,0),IF(J345="L",1,IF(J345="M",2,3))))</x:f>
        <x:v>62700</x:v>
      </x:c>
      <x:c r="O345" s="9" t="n">
        <x:f>IF(AA345="","",INDEX('浓度设置'!$P$6:$R$46,MATCH(AA345,'浓度设置'!$A$6:$A$46,0),IF(K345="L",1,IF(K345="M",2,3))))</x:f>
        <x:v>28.044607324760317</x:v>
      </x:c>
      <x:c r="P345" s="9" t="n">
        <x:f>IF(AB345="","",INDEX('浓度设置'!$P$6:$R$46,MATCH(AB345,'浓度设置'!$A$6:$A$46,0),IF(L345="L",1,IF(L345="M",2,3))))</x:f>
        <x:v>695.986709643223</x:v>
      </x:c>
      <x:c r="Q345" s="9" t="n">
        <x:f>IF(Y345="","",M345/INDEX('浓度设置'!$M$6:$M$46,MATCH(Y345,'浓度设置'!$A$6:$A$46,0)))</x:f>
        <x:v>380.1317233809001</x:v>
      </x:c>
      <x:c r="R345" s="9" t="n">
        <x:f>IF(Z345="","",N345/INDEX('浓度设置'!$M$6:$M$46,MATCH(Z345,'浓度设置'!$A$6:$A$46,0)))</x:f>
        <x:v>161.18251928020567</x:v>
      </x:c>
      <x:c r="S345" s="9" t="n">
        <x:f>IF(AA345="","",O345/INDEX('浓度设置'!$M$6:$M$46,MATCH(AA345,'浓度设置'!$A$6:$A$46,0)))</x:f>
        <x:v>0.10704048597236762</x:v>
      </x:c>
      <x:c r="T345" s="9" t="n">
        <x:f>IF(AB345="","",P345/INDEX('浓度设置'!$M$6:$M$46,MATCH(AB345,'浓度设置'!$A$6:$A$46,0)))</x:f>
        <x:v>0.3680521997055648</x:v>
      </x:c>
      <x:c r="U345" s="9" t="n">
        <x:f>IF(Y345="","",M345*$AD345/1000)</x:f>
        <x:v>20778</x:v>
      </x:c>
      <x:c r="V345" s="9" t="n">
        <x:f>IF(Z345="","",N345*$AD345/1000)</x:f>
        <x:v>1254</x:v>
      </x:c>
      <x:c r="W345" s="9" t="n">
        <x:f>IF(AA345="","",O345*$AD345/1000)</x:f>
        <x:v>0.5608921464952064</x:v>
      </x:c>
      <x:c r="X345" s="9" t="n">
        <x:f>IF(AB345="","",P345*$AD345/1000)</x:f>
        <x:v>13.91973419286446</x:v>
      </x:c>
      <x:c r="Y345" s="3" t="n">
        <x:v>11</x:v>
      </x:c>
      <x:c r="Z345" s="3" t="n">
        <x:v>75</x:v>
      </x:c>
      <x:c r="AA345" s="3" t="n">
        <x:v>105</x:v>
      </x:c>
      <x:c r="AB345" s="3" t="n">
        <x:v>227</x:v>
      </x:c>
      <x:c r="AC345" s="3" t="n">
        <x:v>4</x:v>
      </x:c>
      <x:c r="AD345" s="3" t="n">
        <x:f>'方案总览'!$B$5</x:f>
        <x:v>20</x:v>
      </x:c>
    </x:row>
    <x:row r="346" ht="24" customHeight="1">
      <x:c r="A346" s="3" t="str">
        <x:v>V011</x:v>
      </x:c>
      <x:c r="B346" s="3" t="str">
        <x:v>留出验证</x:v>
      </x:c>
      <x:c r="C346" s="3" t="str">
        <x:v>C235</x:v>
      </x:c>
      <x:c r="D346" s="3" t="str"/>
      <x:c r="E346" s="3" t="str">
        <x:v>苯乙酸乙酯</x:v>
      </x:c>
      <x:c r="F346" s="3" t="str">
        <x:v>1-辛醇</x:v>
      </x:c>
      <x:c r="G346" s="3" t="str">
        <x:v>乙酸异戊酯</x:v>
      </x:c>
      <x:c r="H346" s="3" t="str">
        <x:v>辛酸</x:v>
      </x:c>
      <x:c r="I346" s="3" t="str">
        <x:v>M</x:v>
      </x:c>
      <x:c r="J346" s="3" t="str">
        <x:v>M</x:v>
      </x:c>
      <x:c r="K346" s="3" t="str">
        <x:v>M</x:v>
      </x:c>
      <x:c r="L346" s="3" t="str">
        <x:v>L</x:v>
      </x:c>
      <x:c r="M346" s="9" t="n">
        <x:f>IF(Y346="","",INDEX('浓度设置'!$P$6:$R$46,MATCH(Y346,'浓度设置'!$A$6:$A$46,0),IF(I346="L",1,IF(I346="M",2,3))))</x:f>
        <x:v>200.3122562401013</x:v>
      </x:c>
      <x:c r="N346" s="9" t="n">
        <x:f>IF(Z346="","",INDEX('浓度设置'!$P$6:$R$46,MATCH(Z346,'浓度设置'!$A$6:$A$46,0),IF(J346="L",1,IF(J346="M",2,3))))</x:f>
        <x:v>1232.25</x:v>
      </x:c>
      <x:c r="O346" s="9" t="n">
        <x:f>IF(AA346="","",INDEX('浓度设置'!$P$6:$R$46,MATCH(AA346,'浓度设置'!$A$6:$A$46,0),IF(K346="L",1,IF(K346="M",2,3))))</x:f>
        <x:v>96.86609313893071</x:v>
      </x:c>
      <x:c r="P346" s="9" t="n">
        <x:f>IF(AB346="","",INDEX('浓度设置'!$P$6:$R$46,MATCH(AB346,'浓度设置'!$A$6:$A$46,0),IF(L346="L",1,IF(L346="M",2,3))))</x:f>
        <x:v>1.875</x:v>
      </x:c>
      <x:c r="Q346" s="9" t="n">
        <x:f>IF(Y346="","",M346/INDEX('浓度设置'!$M$6:$M$46,MATCH(Y346,'浓度设置'!$A$6:$A$46,0)))</x:f>
        <x:v>0.49216770574963464</x:v>
      </x:c>
      <x:c r="R346" s="9" t="n">
        <x:f>IF(Z346="","",N346/INDEX('浓度设置'!$M$6:$M$46,MATCH(Z346,'浓度设置'!$A$6:$A$46,0)))</x:f>
        <x:v>1.1202272727272726</x:v>
      </x:c>
      <x:c r="S346" s="9" t="n">
        <x:f>IF(AA346="","",O346/INDEX('浓度设置'!$M$6:$M$46,MATCH(AA346,'浓度设置'!$A$6:$A$46,0)))</x:f>
        <x:v>1.0315877863570895</x:v>
      </x:c>
      <x:c r="T346" s="9" t="n">
        <x:f>IF(AB346="","",P346/INDEX('浓度设置'!$M$6:$M$46,MATCH(AB346,'浓度设置'!$A$6:$A$46,0)))</x:f>
        <x:v>0.0006944444444444445</x:v>
      </x:c>
      <x:c r="U346" s="9" t="n">
        <x:f>IF(Y346="","",M346*$AD346/1000)</x:f>
        <x:v>4.006245124802026</x:v>
      </x:c>
      <x:c r="V346" s="9" t="n">
        <x:f>IF(Z346="","",N346*$AD346/1000)</x:f>
        <x:v>24.645</x:v>
      </x:c>
      <x:c r="W346" s="9" t="n">
        <x:f>IF(AA346="","",O346*$AD346/1000)</x:f>
        <x:v>1.9373218627786142</x:v>
      </x:c>
      <x:c r="X346" s="9" t="n">
        <x:f>IF(AB346="","",P346*$AD346/1000)</x:f>
        <x:v>0.0375</x:v>
      </x:c>
      <x:c r="Y346" s="3" t="n">
        <x:v>40</x:v>
      </x:c>
      <x:c r="Z346" s="3" t="n">
        <x:v>90</x:v>
      </x:c>
      <x:c r="AA346" s="3" t="n">
        <x:v>115</x:v>
      </x:c>
      <x:c r="AB346" s="3" t="n">
        <x:v>117</x:v>
      </x:c>
      <x:c r="AC346" s="3" t="n">
        <x:v>4</x:v>
      </x:c>
      <x:c r="AD346" s="3" t="n">
        <x:f>'方案总览'!$B$5</x:f>
        <x:v>20</x:v>
      </x:c>
    </x:row>
    <x:row r="347" ht="24" customHeight="1">
      <x:c r="A347" s="3" t="str">
        <x:v>V012</x:v>
      </x:c>
      <x:c r="B347" s="3" t="str">
        <x:v>留出验证</x:v>
      </x:c>
      <x:c r="C347" s="3" t="str">
        <x:v>C236</x:v>
      </x:c>
      <x:c r="D347" s="3" t="str"/>
      <x:c r="E347" s="3" t="str">
        <x:v>戊酸</x:v>
      </x:c>
      <x:c r="F347" s="3" t="str">
        <x:v>苯乙醛</x:v>
      </x:c>
      <x:c r="G347" s="3" t="str">
        <x:v>戊酸乙酯</x:v>
      </x:c>
      <x:c r="H347" s="3" t="str">
        <x:v>3-苯基丙酸乙酯</x:v>
      </x:c>
      <x:c r="I347" s="3" t="str">
        <x:v>M</x:v>
      </x:c>
      <x:c r="J347" s="3" t="str">
        <x:v>L</x:v>
      </x:c>
      <x:c r="K347" s="3" t="str">
        <x:v>H</x:v>
      </x:c>
      <x:c r="L347" s="3" t="str">
        <x:v>L</x:v>
      </x:c>
      <x:c r="M347" s="9" t="n">
        <x:f>IF(Y347="","",INDEX('浓度设置'!$P$6:$R$46,MATCH(Y347,'浓度设置'!$A$6:$A$46,0),IF(I347="L",1,IF(I347="M",2,3))))</x:f>
        <x:v>331.2476415010377</x:v>
      </x:c>
      <x:c r="N347" s="9" t="n">
        <x:f>IF(Z347="","",INDEX('浓度设置'!$P$6:$R$46,MATCH(Z347,'浓度设置'!$A$6:$A$46,0),IF(J347="L",1,IF(J347="M",2,3))))</x:f>
        <x:v>0.05</x:v>
      </x:c>
      <x:c r="O347" s="9" t="n">
        <x:f>IF(AA347="","",INDEX('浓度设置'!$P$6:$R$46,MATCH(AA347,'浓度设置'!$A$6:$A$46,0),IF(K347="L",1,IF(K347="M",2,3))))</x:f>
        <x:v>1039840</x:v>
      </x:c>
      <x:c r="P347" s="9" t="n">
        <x:f>IF(AB347="","",INDEX('浓度设置'!$P$6:$R$46,MATCH(AB347,'浓度设置'!$A$6:$A$46,0),IF(L347="L",1,IF(L347="M",2,3))))</x:f>
        <x:v>1.56</x:v>
      </x:c>
      <x:c r="Q347" s="9" t="n">
        <x:f>IF(Y347="","",M347/INDEX('浓度设置'!$M$6:$M$46,MATCH(Y347,'浓度设置'!$A$6:$A$46,0)))</x:f>
        <x:v>0.8515363534731046</x:v>
      </x:c>
      <x:c r="R347" s="9" t="n">
        <x:f>IF(Z347="","",N347/INDEX('浓度设置'!$M$6:$M$46,MATCH(Z347,'浓度设置'!$A$6:$A$46,0)))</x:f>
        <x:v>0.00019083969465648855</x:v>
      </x:c>
      <x:c r="S347" s="9" t="n">
        <x:f>IF(AA347="","",O347/INDEX('浓度设置'!$M$6:$M$46,MATCH(AA347,'浓度设置'!$A$6:$A$46,0)))</x:f>
        <x:v>38800</x:v>
      </x:c>
      <x:c r="T347" s="9" t="n">
        <x:f>IF(AB347="","",P347/INDEX('浓度设置'!$M$6:$M$46,MATCH(AB347,'浓度设置'!$A$6:$A$46,0)))</x:f>
        <x:v>0.01248</x:v>
      </x:c>
      <x:c r="U347" s="9" t="n">
        <x:f>IF(Y347="","",M347*$AD347/1000)</x:f>
        <x:v>6.624952830020755</x:v>
      </x:c>
      <x:c r="V347" s="9" t="n">
        <x:f>IF(Z347="","",N347*$AD347/1000)</x:f>
        <x:v>0.001</x:v>
      </x:c>
      <x:c r="W347" s="9" t="n">
        <x:f>IF(AA347="","",O347*$AD347/1000)</x:f>
        <x:v>20796.8</x:v>
      </x:c>
      <x:c r="X347" s="9" t="n">
        <x:f>IF(AB347="","",P347*$AD347/1000)</x:f>
        <x:v>0.031200000000000002</x:v>
      </x:c>
      <x:c r="Y347" s="3" t="n">
        <x:v>75</x:v>
      </x:c>
      <x:c r="Z347" s="3" t="n">
        <x:v>105</x:v>
      </x:c>
      <x:c r="AA347" s="3" t="n">
        <x:v>141</x:v>
      </x:c>
      <x:c r="AB347" s="3" t="n">
        <x:v>186</x:v>
      </x:c>
      <x:c r="AC347" s="3" t="n">
        <x:v>4</x:v>
      </x:c>
      <x:c r="AD347" s="3" t="n">
        <x:f>'方案总览'!$B$5</x:f>
        <x:v>20</x:v>
      </x:c>
    </x:row>
    <x:row r="348" ht="24" customHeight="1">
      <x:c r="A348" s="3" t="str">
        <x:v>V013</x:v>
      </x:c>
      <x:c r="B348" s="3" t="str">
        <x:v>留出验证</x:v>
      </x:c>
      <x:c r="C348" s="3" t="str">
        <x:v>C237</x:v>
      </x:c>
      <x:c r="D348" s="3" t="str"/>
      <x:c r="E348" s="3" t="str">
        <x:v>辛酸</x:v>
      </x:c>
      <x:c r="F348" s="3" t="str">
        <x:v>己酸</x:v>
      </x:c>
      <x:c r="G348" s="3" t="str">
        <x:v>戊酸乙酯</x:v>
      </x:c>
      <x:c r="H348" s="3" t="str">
        <x:v>1-辛烯-3-醇</x:v>
      </x:c>
      <x:c r="I348" s="3" t="str">
        <x:v>L</x:v>
      </x:c>
      <x:c r="J348" s="3" t="str">
        <x:v>M</x:v>
      </x:c>
      <x:c r="K348" s="3" t="str">
        <x:v>M</x:v>
      </x:c>
      <x:c r="L348" s="3" t="str">
        <x:v>L</x:v>
      </x:c>
      <x:c r="M348" s="9" t="n">
        <x:f>IF(Y348="","",INDEX('浓度设置'!$P$6:$R$46,MATCH(Y348,'浓度设置'!$A$6:$A$46,0),IF(I348="L",1,IF(I348="M",2,3))))</x:f>
        <x:v>1.875</x:v>
      </x:c>
      <x:c r="N348" s="9" t="n">
        <x:f>IF(Z348="","",INDEX('浓度设置'!$P$6:$R$46,MATCH(Z348,'浓度设置'!$A$6:$A$46,0),IF(J348="L",1,IF(J348="M",2,3))))</x:f>
        <x:v>1815.6539083757125</x:v>
      </x:c>
      <x:c r="O348" s="9" t="n">
        <x:f>IF(AA348="","",INDEX('浓度设置'!$P$6:$R$46,MATCH(AA348,'浓度设置'!$A$6:$A$46,0),IF(K348="L",1,IF(K348="M",2,3))))</x:f>
        <x:v>1512.497272724814</x:v>
      </x:c>
      <x:c r="P348" s="9" t="n">
        <x:f>IF(AB348="","",INDEX('浓度设置'!$P$6:$R$46,MATCH(AB348,'浓度设置'!$A$6:$A$46,0),IF(L348="L",1,IF(L348="M",2,3))))</x:f>
        <x:v>1</x:v>
      </x:c>
      <x:c r="Q348" s="9" t="n">
        <x:f>IF(Y348="","",M348/INDEX('浓度设置'!$M$6:$M$46,MATCH(Y348,'浓度设置'!$A$6:$A$46,0)))</x:f>
        <x:v>0.0006944444444444445</x:v>
      </x:c>
      <x:c r="R348" s="9" t="n">
        <x:f>IF(Z348="","",N348/INDEX('浓度设置'!$M$6:$M$46,MATCH(Z348,'浓度设置'!$A$6:$A$46,0)))</x:f>
        <x:v>0.7204975826887748</x:v>
      </x:c>
      <x:c r="S348" s="9" t="n">
        <x:f>IF(AA348="","",O348/INDEX('浓度设置'!$M$6:$M$46,MATCH(AA348,'浓度设置'!$A$6:$A$46,0)))</x:f>
        <x:v>56.43646540017962</x:v>
      </x:c>
      <x:c r="T348" s="9" t="n">
        <x:f>IF(AB348="","",P348/INDEX('浓度设置'!$M$6:$M$46,MATCH(AB348,'浓度设置'!$A$6:$A$46,0)))</x:f>
        <x:v>0.16339869281045752</x:v>
      </x:c>
      <x:c r="U348" s="9" t="n">
        <x:f>IF(Y348="","",M348*$AD348/1000)</x:f>
        <x:v>0.0375</x:v>
      </x:c>
      <x:c r="V348" s="9" t="n">
        <x:f>IF(Z348="","",N348*$AD348/1000)</x:f>
        <x:v>36.31307816751425</x:v>
      </x:c>
      <x:c r="W348" s="9" t="n">
        <x:f>IF(AA348="","",O348*$AD348/1000)</x:f>
        <x:v>30.249945454496277</x:v>
      </x:c>
      <x:c r="X348" s="9" t="n">
        <x:f>IF(AB348="","",P348*$AD348/1000)</x:f>
        <x:v>0.02</x:v>
      </x:c>
      <x:c r="Y348" s="3" t="n">
        <x:v>117</x:v>
      </x:c>
      <x:c r="Z348" s="3" t="n">
        <x:v>126</x:v>
      </x:c>
      <x:c r="AA348" s="3" t="n">
        <x:v>141</x:v>
      </x:c>
      <x:c r="AB348" s="3" t="n">
        <x:v>207</x:v>
      </x:c>
      <x:c r="AC348" s="3" t="n">
        <x:v>4</x:v>
      </x:c>
      <x:c r="AD348" s="3" t="n">
        <x:f>'方案总览'!$B$5</x:f>
        <x:v>20</x:v>
      </x:c>
    </x:row>
    <x:row r="349" ht="24" customHeight="1">
      <x:c r="A349" s="3" t="str">
        <x:v>V014</x:v>
      </x:c>
      <x:c r="B349" s="3" t="str">
        <x:v>留出验证</x:v>
      </x:c>
      <x:c r="C349" s="3" t="str">
        <x:v>C238</x:v>
      </x:c>
      <x:c r="D349" s="3" t="str"/>
      <x:c r="E349" s="3" t="str">
        <x:v>丁酸异戊酯</x:v>
      </x:c>
      <x:c r="F349" s="3" t="str">
        <x:v>癸酸乙酯</x:v>
      </x:c>
      <x:c r="G349" s="3" t="str">
        <x:v>乙酸异戊酯</x:v>
      </x:c>
      <x:c r="H349" s="3" t="str">
        <x:v>戊酸乙酯</x:v>
      </x:c>
      <x:c r="I349" s="3" t="str">
        <x:v>M</x:v>
      </x:c>
      <x:c r="J349" s="3" t="str">
        <x:v>H</x:v>
      </x:c>
      <x:c r="K349" s="3" t="str">
        <x:v>H</x:v>
      </x:c>
      <x:c r="L349" s="3" t="str">
        <x:v>H</x:v>
      </x:c>
      <x:c r="M349" s="9" t="n">
        <x:f>IF(Y349="","",INDEX('浓度设置'!$P$6:$R$46,MATCH(Y349,'浓度设置'!$A$6:$A$46,0),IF(I349="L",1,IF(I349="M",2,3))))</x:f>
        <x:v>1041.8500000000001</x:v>
      </x:c>
      <x:c r="N349" s="9" t="n">
        <x:f>IF(Z349="","",INDEX('浓度设置'!$P$6:$R$46,MATCH(Z349,'浓度设置'!$A$6:$A$46,0),IF(J349="L",1,IF(J349="M",2,3))))</x:f>
        <x:v>56115</x:v>
      </x:c>
      <x:c r="O349" s="9" t="n">
        <x:f>IF(AA349="","",INDEX('浓度设置'!$P$6:$R$46,MATCH(AA349,'浓度设置'!$A$6:$A$46,0),IF(K349="L",1,IF(K349="M",2,3))))</x:f>
        <x:v>6516</x:v>
      </x:c>
      <x:c r="P349" s="9" t="n">
        <x:f>IF(AB349="","",INDEX('浓度设置'!$P$6:$R$46,MATCH(AB349,'浓度设置'!$A$6:$A$46,0),IF(L349="L",1,IF(L349="M",2,3))))</x:f>
        <x:v>1039840</x:v>
      </x:c>
      <x:c r="Q349" s="9" t="n">
        <x:f>IF(Y349="","",M349/INDEX('浓度设置'!$M$6:$M$46,MATCH(Y349,'浓度设置'!$A$6:$A$46,0)))</x:f>
        <x:v>1.1386338797814208</x:v>
      </x:c>
      <x:c r="R349" s="9" t="n">
        <x:f>IF(Z349="","",N349/INDEX('浓度设置'!$M$6:$M$46,MATCH(Z349,'浓度设置'!$A$6:$A$46,0)))</x:f>
        <x:v>50.10267857142857</x:v>
      </x:c>
      <x:c r="S349" s="9" t="n">
        <x:f>IF(AA349="","",O349/INDEX('浓度设置'!$M$6:$M$46,MATCH(AA349,'浓度设置'!$A$6:$A$46,0)))</x:f>
        <x:v>69.39297124600638</x:v>
      </x:c>
      <x:c r="T349" s="9" t="n">
        <x:f>IF(AB349="","",P349/INDEX('浓度设置'!$M$6:$M$46,MATCH(AB349,'浓度设置'!$A$6:$A$46,0)))</x:f>
        <x:v>38800</x:v>
      </x:c>
      <x:c r="U349" s="9" t="n">
        <x:f>IF(Y349="","",M349*$AD349/1000)</x:f>
        <x:v>20.837000000000003</x:v>
      </x:c>
      <x:c r="V349" s="9" t="n">
        <x:f>IF(Z349="","",N349*$AD349/1000)</x:f>
        <x:v>1122.3</x:v>
      </x:c>
      <x:c r="W349" s="9" t="n">
        <x:f>IF(AA349="","",O349*$AD349/1000)</x:f>
        <x:v>130.32</x:v>
      </x:c>
      <x:c r="X349" s="9" t="n">
        <x:f>IF(AB349="","",P349*$AD349/1000)</x:f>
        <x:v>20796.8</x:v>
      </x:c>
      <x:c r="Y349" s="3" t="n">
        <x:v>56</x:v>
      </x:c>
      <x:c r="Z349" s="3" t="n">
        <x:v>79</x:v>
      </x:c>
      <x:c r="AA349" s="3" t="n">
        <x:v>115</x:v>
      </x:c>
      <x:c r="AB349" s="3" t="n">
        <x:v>141</x:v>
      </x:c>
      <x:c r="AC349" s="3" t="n">
        <x:v>4</x:v>
      </x:c>
      <x:c r="AD349" s="3" t="n">
        <x:f>'方案总览'!$B$5</x:f>
        <x:v>20</x:v>
      </x:c>
    </x:row>
    <x:row r="350" ht="24" customHeight="1">
      <x:c r="A350" s="3" t="str">
        <x:v>V015</x:v>
      </x:c>
      <x:c r="B350" s="3" t="str">
        <x:v>留出验证</x:v>
      </x:c>
      <x:c r="C350" s="3" t="str">
        <x:v>C239</x:v>
      </x:c>
      <x:c r="D350" s="3" t="str"/>
      <x:c r="E350" s="3" t="str">
        <x:v>异戊酸乙酯（3-甲基丁酸乙酯）</x:v>
      </x:c>
      <x:c r="F350" s="3" t="str">
        <x:v>乙酸丁酯</x:v>
      </x:c>
      <x:c r="G350" s="3" t="str">
        <x:v>己酸</x:v>
      </x:c>
      <x:c r="H350" s="3" t="str">
        <x:v>β-大马酮</x:v>
      </x:c>
      <x:c r="I350" s="3" t="str">
        <x:v>L</x:v>
      </x:c>
      <x:c r="J350" s="3" t="str">
        <x:v>H</x:v>
      </x:c>
      <x:c r="K350" s="3" t="str">
        <x:v>M</x:v>
      </x:c>
      <x:c r="L350" s="3" t="str">
        <x:v>L</x:v>
      </x:c>
      <x:c r="M350" s="9" t="n">
        <x:f>IF(Y350="","",INDEX('浓度设置'!$P$6:$R$46,MATCH(Y350,'浓度设置'!$A$6:$A$46,0),IF(I350="L",1,IF(I350="M",2,3))))</x:f>
        <x:v>0.83</x:v>
      </x:c>
      <x:c r="N350" s="9" t="n">
        <x:f>IF(Z350="","",INDEX('浓度设置'!$P$6:$R$46,MATCH(Z350,'浓度设置'!$A$6:$A$46,0),IF(J350="L",1,IF(J350="M",2,3))))</x:f>
        <x:v>47100</x:v>
      </x:c>
      <x:c r="O350" s="9" t="n">
        <x:f>IF(AA350="","",INDEX('浓度设置'!$P$6:$R$46,MATCH(AA350,'浓度设置'!$A$6:$A$46,0),IF(K350="L",1,IF(K350="M",2,3))))</x:f>
        <x:v>1815.6539083757125</x:v>
      </x:c>
      <x:c r="P350" s="9" t="n">
        <x:f>IF(AB350="","",INDEX('浓度设置'!$P$6:$R$46,MATCH(AB350,'浓度设置'!$A$6:$A$46,0),IF(L350="L",1,IF(L350="M",2,3))))</x:f>
        <x:v>1.5</x:v>
      </x:c>
      <x:c r="Q350" s="9" t="n">
        <x:f>IF(Y350="","",M350/INDEX('浓度设置'!$M$6:$M$46,MATCH(Y350,'浓度设置'!$A$6:$A$46,0)))</x:f>
        <x:v>0.1204644412191582</x:v>
      </x:c>
      <x:c r="R350" s="9" t="n">
        <x:f>IF(Z350="","",N350/INDEX('浓度设置'!$M$6:$M$46,MATCH(Z350,'浓度设置'!$A$6:$A$46,0)))</x:f>
        <x:v>26.166666666666668</x:v>
      </x:c>
      <x:c r="S350" s="9" t="n">
        <x:f>IF(AA350="","",O350/INDEX('浓度设置'!$M$6:$M$46,MATCH(AA350,'浓度设置'!$A$6:$A$46,0)))</x:f>
        <x:v>0.7204975826887748</x:v>
      </x:c>
      <x:c r="T350" s="9" t="n">
        <x:f>IF(AB350="","",P350/INDEX('浓度设置'!$M$6:$M$46,MATCH(AB350,'浓度设置'!$A$6:$A$46,0)))</x:f>
        <x:v>12.5</x:v>
      </x:c>
      <x:c r="U350" s="9" t="n">
        <x:f>IF(Y350="","",M350*$AD350/1000)</x:f>
        <x:v>0.016599999999999997</x:v>
      </x:c>
      <x:c r="V350" s="9" t="n">
        <x:f>IF(Z350="","",N350*$AD350/1000)</x:f>
        <x:v>942</x:v>
      </x:c>
      <x:c r="W350" s="9" t="n">
        <x:f>IF(AA350="","",O350*$AD350/1000)</x:f>
        <x:v>36.31307816751425</x:v>
      </x:c>
      <x:c r="X350" s="9" t="n">
        <x:f>IF(AB350="","",P350*$AD350/1000)</x:f>
        <x:v>0.03</x:v>
      </x:c>
      <x:c r="Y350" s="3" t="n">
        <x:v>69</x:v>
      </x:c>
      <x:c r="Z350" s="3" t="n">
        <x:v>114</x:v>
      </x:c>
      <x:c r="AA350" s="3" t="n">
        <x:v>126</x:v>
      </x:c>
      <x:c r="AB350" s="3" t="n">
        <x:v>255</x:v>
      </x:c>
      <x:c r="AC350" s="3" t="n">
        <x:v>4</x:v>
      </x:c>
      <x:c r="AD350" s="3" t="n">
        <x:f>'方案总览'!$B$5</x:f>
        <x:v>20</x:v>
      </x:c>
    </x:row>
    <x:row r="351" ht="24" customHeight="1">
      <x:c r="A351" s="3" t="str">
        <x:v>V016</x:v>
      </x:c>
      <x:c r="B351" s="3" t="str">
        <x:v>留出验证</x:v>
      </x:c>
      <x:c r="C351" s="3" t="str">
        <x:v>C240</x:v>
      </x:c>
      <x:c r="D351" s="3" t="str"/>
      <x:c r="E351" s="3" t="str">
        <x:v>1-丁醇</x:v>
      </x:c>
      <x:c r="F351" s="3" t="str">
        <x:v>丁酸异戊酯</x:v>
      </x:c>
      <x:c r="G351" s="3" t="str">
        <x:v>己酸</x:v>
      </x:c>
      <x:c r="H351" s="3" t="str">
        <x:v>己酸丁酯</x:v>
      </x:c>
      <x:c r="I351" s="3" t="str">
        <x:v>H</x:v>
      </x:c>
      <x:c r="J351" s="3" t="str">
        <x:v>M</x:v>
      </x:c>
      <x:c r="K351" s="3" t="str">
        <x:v>H</x:v>
      </x:c>
      <x:c r="L351" s="3" t="str">
        <x:v>H</x:v>
      </x:c>
      <x:c r="M351" s="9" t="n">
        <x:f>IF(Y351="","",INDEX('浓度设置'!$P$6:$R$46,MATCH(Y351,'浓度设置'!$A$6:$A$46,0),IF(I351="L",1,IF(I351="M",2,3))))</x:f>
        <x:v>1038900</x:v>
      </x:c>
      <x:c r="N351" s="9" t="n">
        <x:f>IF(Z351="","",INDEX('浓度设置'!$P$6:$R$46,MATCH(Z351,'浓度设置'!$A$6:$A$46,0),IF(J351="L",1,IF(J351="M",2,3))))</x:f>
        <x:v>1041.8500000000001</x:v>
      </x:c>
      <x:c r="O351" s="9" t="n">
        <x:f>IF(AA351="","",INDEX('浓度设置'!$P$6:$R$46,MATCH(AA351,'浓度设置'!$A$6:$A$46,0),IF(K351="L",1,IF(K351="M",2,3))))</x:f>
        <x:v>1551340.76</x:v>
      </x:c>
      <x:c r="P351" s="9" t="n">
        <x:f>IF(AB351="","",INDEX('浓度设置'!$P$6:$R$46,MATCH(AB351,'浓度设置'!$A$6:$A$46,0),IF(L351="L",1,IF(L351="M",2,3))))</x:f>
        <x:v>86300</x:v>
      </x:c>
      <x:c r="Q351" s="9" t="n">
        <x:f>IF(Y351="","",M351/INDEX('浓度设置'!$M$6:$M$46,MATCH(Y351,'浓度设置'!$A$6:$A$46,0)))</x:f>
        <x:v>380.1317233809001</x:v>
      </x:c>
      <x:c r="R351" s="9" t="n">
        <x:f>IF(Z351="","",N351/INDEX('浓度设置'!$M$6:$M$46,MATCH(Z351,'浓度设置'!$A$6:$A$46,0)))</x:f>
        <x:v>1.1386338797814208</x:v>
      </x:c>
      <x:c r="S351" s="9" t="n">
        <x:f>IF(AA351="","",O351/INDEX('浓度设置'!$M$6:$M$46,MATCH(AA351,'浓度设置'!$A$6:$A$46,0)))</x:f>
        <x:v>615.6114126984127</x:v>
      </x:c>
      <x:c r="T351" s="9" t="n">
        <x:f>IF(AB351="","",P351/INDEX('浓度设置'!$M$6:$M$46,MATCH(AB351,'浓度设置'!$A$6:$A$46,0)))</x:f>
        <x:v>127.31618080963058</x:v>
      </x:c>
      <x:c r="U351" s="9" t="n">
        <x:f>IF(Y351="","",M351*$AD351/1000)</x:f>
        <x:v>20778</x:v>
      </x:c>
      <x:c r="V351" s="9" t="n">
        <x:f>IF(Z351="","",N351*$AD351/1000)</x:f>
        <x:v>20.837000000000003</x:v>
      </x:c>
      <x:c r="W351" s="9" t="n">
        <x:f>IF(AA351="","",O351*$AD351/1000)</x:f>
        <x:v>31026.8152</x:v>
      </x:c>
      <x:c r="X351" s="9" t="n">
        <x:f>IF(AB351="","",P351*$AD351/1000)</x:f>
        <x:v>1726</x:v>
      </x:c>
      <x:c r="Y351" s="3" t="n">
        <x:v>11</x:v>
      </x:c>
      <x:c r="Z351" s="3" t="n">
        <x:v>56</x:v>
      </x:c>
      <x:c r="AA351" s="3" t="n">
        <x:v>126</x:v>
      </x:c>
      <x:c r="AB351" s="3" t="n">
        <x:v>165</x:v>
      </x:c>
      <x:c r="AC351" s="3" t="n">
        <x:v>4</x:v>
      </x:c>
      <x:c r="AD351" s="3" t="n">
        <x:f>'方案总览'!$B$5</x:f>
        <x:v>20</x:v>
      </x:c>
    </x:row>
    <x:row r="352" ht="24" customHeight="1">
      <x:c r="A352" s="3" t="str">
        <x:v>V017</x:v>
      </x:c>
      <x:c r="B352" s="3" t="str">
        <x:v>留出验证</x:v>
      </x:c>
      <x:c r="C352" s="3" t="str">
        <x:v>C241</x:v>
      </x:c>
      <x:c r="D352" s="3" t="str"/>
      <x:c r="E352" s="3" t="str">
        <x:v>异戊酸乙酯（3-甲基丁酸乙酯）</x:v>
      </x:c>
      <x:c r="F352" s="3" t="str">
        <x:v>乙酸丁酯</x:v>
      </x:c>
      <x:c r="G352" s="3" t="str">
        <x:v>2-甲基丁酸乙酯</x:v>
      </x:c>
      <x:c r="H352" s="3" t="str">
        <x:v>β-大马酮</x:v>
      </x:c>
      <x:c r="I352" s="3" t="str">
        <x:v>H</x:v>
      </x:c>
      <x:c r="J352" s="3" t="str">
        <x:v>M</x:v>
      </x:c>
      <x:c r="K352" s="3" t="str">
        <x:v>H</x:v>
      </x:c>
      <x:c r="L352" s="3" t="str">
        <x:v>H</x:v>
      </x:c>
      <x:c r="M352" s="9" t="n">
        <x:f>IF(Y352="","",INDEX('浓度设置'!$P$6:$R$46,MATCH(Y352,'浓度设置'!$A$6:$A$46,0),IF(I352="L",1,IF(I352="M",2,3))))</x:f>
        <x:v>12022.2</x:v>
      </x:c>
      <x:c r="N352" s="9" t="n">
        <x:f>IF(Z352="","",INDEX('浓度设置'!$P$6:$R$46,MATCH(Z352,'浓度设置'!$A$6:$A$46,0),IF(J352="L",1,IF(J352="M",2,3))))</x:f>
        <x:v>3147.945</x:v>
      </x:c>
      <x:c r="O352" s="9" t="n">
        <x:f>IF(AA352="","",INDEX('浓度设置'!$P$6:$R$46,MATCH(AA352,'浓度设置'!$A$6:$A$46,0),IF(K352="L",1,IF(K352="M",2,3))))</x:f>
        <x:v>1611</x:v>
      </x:c>
      <x:c r="P352" s="9" t="n">
        <x:f>IF(AB352="","",INDEX('浓度设置'!$P$6:$R$46,MATCH(AB352,'浓度设置'!$A$6:$A$46,0),IF(L352="L",1,IF(L352="M",2,3))))</x:f>
        <x:v>60.76</x:v>
      </x:c>
      <x:c r="Q352" s="9" t="n">
        <x:f>IF(Y352="","",M352/INDEX('浓度设置'!$M$6:$M$46,MATCH(Y352,'浓度设置'!$A$6:$A$46,0)))</x:f>
        <x:v>1744.8766328011613</x:v>
      </x:c>
      <x:c r="R352" s="9" t="n">
        <x:f>IF(Z352="","",N352/INDEX('浓度设置'!$M$6:$M$46,MATCH(Z352,'浓度设置'!$A$6:$A$46,0)))</x:f>
        <x:v>1.7488583333333334</x:v>
      </x:c>
      <x:c r="S352" s="9" t="n">
        <x:f>IF(AA352="","",O352/INDEX('浓度设置'!$M$6:$M$46,MATCH(AA352,'浓度设置'!$A$6:$A$46,0)))</x:f>
        <x:v>89.5</x:v>
      </x:c>
      <x:c r="T352" s="9" t="n">
        <x:f>IF(AB352="","",P352/INDEX('浓度设置'!$M$6:$M$46,MATCH(AB352,'浓度设置'!$A$6:$A$46,0)))</x:f>
        <x:v>506.3333333333333</x:v>
      </x:c>
      <x:c r="U352" s="9" t="n">
        <x:f>IF(Y352="","",M352*$AD352/1000)</x:f>
        <x:v>240.444</x:v>
      </x:c>
      <x:c r="V352" s="9" t="n">
        <x:f>IF(Z352="","",N352*$AD352/1000)</x:f>
        <x:v>62.9589</x:v>
      </x:c>
      <x:c r="W352" s="9" t="n">
        <x:f>IF(AA352="","",O352*$AD352/1000)</x:f>
        <x:v>32.22</x:v>
      </x:c>
      <x:c r="X352" s="9" t="n">
        <x:f>IF(AB352="","",P352*$AD352/1000)</x:f>
        <x:v>1.2152</x:v>
      </x:c>
      <x:c r="Y352" s="3" t="n">
        <x:v>69</x:v>
      </x:c>
      <x:c r="Z352" s="3" t="n">
        <x:v>114</x:v>
      </x:c>
      <x:c r="AA352" s="3" t="n">
        <x:v>232</x:v>
      </x:c>
      <x:c r="AB352" s="3" t="n">
        <x:v>255</x:v>
      </x:c>
      <x:c r="AC352" s="3" t="n">
        <x:v>4</x:v>
      </x:c>
      <x:c r="AD352" s="3" t="n">
        <x:f>'方案总览'!$B$5</x:f>
        <x:v>20</x:v>
      </x:c>
    </x:row>
    <x:row r="353" ht="24" customHeight="1">
      <x:c r="A353" s="3" t="str">
        <x:v>V018</x:v>
      </x:c>
      <x:c r="B353" s="3" t="str">
        <x:v>留出验证</x:v>
      </x:c>
      <x:c r="C353" s="3" t="str">
        <x:v>C242</x:v>
      </x:c>
      <x:c r="D353" s="3" t="str"/>
      <x:c r="E353" s="3" t="str">
        <x:v>己醛</x:v>
      </x:c>
      <x:c r="F353" s="3" t="str">
        <x:v>辛酸乙酯</x:v>
      </x:c>
      <x:c r="G353" s="3" t="str">
        <x:v>戊酸乙酯</x:v>
      </x:c>
      <x:c r="H353" s="3" t="str">
        <x:v>2-甲基丁酸乙酯</x:v>
      </x:c>
      <x:c r="I353" s="3" t="str">
        <x:v>L</x:v>
      </x:c>
      <x:c r="J353" s="3" t="str">
        <x:v>M</x:v>
      </x:c>
      <x:c r="K353" s="3" t="str">
        <x:v>L</x:v>
      </x:c>
      <x:c r="L353" s="3" t="str">
        <x:v>M</x:v>
      </x:c>
      <x:c r="M353" s="9" t="n">
        <x:f>IF(Y353="","",INDEX('浓度设置'!$P$6:$R$46,MATCH(Y353,'浓度设置'!$A$6:$A$46,0),IF(I353="L",1,IF(I353="M",2,3))))</x:f>
        <x:v>173</x:v>
      </x:c>
      <x:c r="N353" s="9" t="n">
        <x:f>IF(Z353="","",INDEX('浓度设置'!$P$6:$R$46,MATCH(Z353,'浓度设置'!$A$6:$A$46,0),IF(J353="L",1,IF(J353="M",2,3))))</x:f>
        <x:v>3072.731960324558</x:v>
      </x:c>
      <x:c r="O353" s="9" t="n">
        <x:f>IF(AA353="","",INDEX('浓度设置'!$P$6:$R$46,MATCH(AA353,'浓度设置'!$A$6:$A$46,0),IF(K353="L",1,IF(K353="M",2,3))))</x:f>
        <x:v>2.2</x:v>
      </x:c>
      <x:c r="P353" s="9" t="n">
        <x:f>IF(AB353="","",INDEX('浓度设置'!$P$6:$R$46,MATCH(AB353,'浓度设置'!$A$6:$A$46,0),IF(L353="L",1,IF(L353="M",2,3))))</x:f>
        <x:v>39.53062104242735</x:v>
      </x:c>
      <x:c r="Q353" s="9" t="n">
        <x:f>IF(Y353="","",M353/INDEX('浓度设置'!$M$6:$M$46,MATCH(Y353,'浓度设置'!$A$6:$A$46,0)))</x:f>
        <x:v>6.784313725490196</x:v>
      </x:c>
      <x:c r="R353" s="9" t="n">
        <x:f>IF(Z353="","",N353/INDEX('浓度设置'!$M$6:$M$46,MATCH(Z353,'浓度设置'!$A$6:$A$46,0)))</x:f>
        <x:v>238.19627599415176</x:v>
      </x:c>
      <x:c r="S353" s="9" t="n">
        <x:f>IF(AA353="","",O353/INDEX('浓度设置'!$M$6:$M$46,MATCH(AA353,'浓度设置'!$A$6:$A$46,0)))</x:f>
        <x:v>0.08208955223880597</x:v>
      </x:c>
      <x:c r="T353" s="9" t="n">
        <x:f>IF(AB353="","",P353/INDEX('浓度设置'!$M$6:$M$46,MATCH(AB353,'浓度设置'!$A$6:$A$46,0)))</x:f>
        <x:v>2.196145613468186</x:v>
      </x:c>
      <x:c r="U353" s="9" t="n">
        <x:f>IF(Y353="","",M353*$AD353/1000)</x:f>
        <x:v>3.46</x:v>
      </x:c>
      <x:c r="V353" s="9" t="n">
        <x:f>IF(Z353="","",N353*$AD353/1000)</x:f>
        <x:v>61.45463920649116</x:v>
      </x:c>
      <x:c r="W353" s="9" t="n">
        <x:f>IF(AA353="","",O353*$AD353/1000)</x:f>
        <x:v>0.044</x:v>
      </x:c>
      <x:c r="X353" s="9" t="n">
        <x:f>IF(AB353="","",P353*$AD353/1000)</x:f>
        <x:v>0.790612420848547</x:v>
      </x:c>
      <x:c r="Y353" s="3" t="n">
        <x:v>7</x:v>
      </x:c>
      <x:c r="Z353" s="3" t="n">
        <x:v>58</x:v>
      </x:c>
      <x:c r="AA353" s="3" t="n">
        <x:v>141</x:v>
      </x:c>
      <x:c r="AB353" s="3" t="n">
        <x:v>232</x:v>
      </x:c>
      <x:c r="AC353" s="3" t="n">
        <x:v>4</x:v>
      </x:c>
      <x:c r="AD353" s="3" t="n">
        <x:f>'方案总览'!$B$5</x:f>
        <x:v>20</x:v>
      </x:c>
    </x:row>
    <x:row r="354" ht="24" customHeight="1">
      <x:c r="A354" s="3" t="str">
        <x:v>V019</x:v>
      </x:c>
      <x:c r="B354" s="3" t="str">
        <x:v>留出验证</x:v>
      </x:c>
      <x:c r="C354" s="3" t="str">
        <x:v>C243</x:v>
      </x:c>
      <x:c r="D354" s="3" t="str"/>
      <x:c r="E354" s="3" t="str">
        <x:v>1-丁醇</x:v>
      </x:c>
      <x:c r="F354" s="3" t="str">
        <x:v>异丁酸乙酯</x:v>
      </x:c>
      <x:c r="G354" s="3" t="str">
        <x:v>乙酸异戊酯</x:v>
      </x:c>
      <x:c r="H354" s="3" t="str">
        <x:v>辛酸</x:v>
      </x:c>
      <x:c r="I354" s="3" t="str">
        <x:v>H</x:v>
      </x:c>
      <x:c r="J354" s="3" t="str">
        <x:v>M</x:v>
      </x:c>
      <x:c r="K354" s="3" t="str">
        <x:v>H</x:v>
      </x:c>
      <x:c r="L354" s="3" t="str">
        <x:v>M</x:v>
      </x:c>
      <x:c r="M354" s="9" t="n">
        <x:f>IF(Y354="","",INDEX('浓度设置'!$P$6:$R$46,MATCH(Y354,'浓度设置'!$A$6:$A$46,0),IF(I354="L",1,IF(I354="M",2,3))))</x:f>
        <x:v>1038900</x:v>
      </x:c>
      <x:c r="N354" s="9" t="n">
        <x:f>IF(Z354="","",INDEX('浓度设置'!$P$6:$R$46,MATCH(Z354,'浓度设置'!$A$6:$A$46,0),IF(J354="L",1,IF(J354="M",2,3))))</x:f>
        <x:v>836.8360173893091</x:v>
      </x:c>
      <x:c r="O354" s="9" t="n">
        <x:f>IF(AA354="","",INDEX('浓度设置'!$P$6:$R$46,MATCH(AA354,'浓度设置'!$A$6:$A$46,0),IF(K354="L",1,IF(K354="M",2,3))))</x:f>
        <x:v>6516</x:v>
      </x:c>
      <x:c r="P354" s="9" t="n">
        <x:f>IF(AB354="","",INDEX('浓度设置'!$P$6:$R$46,MATCH(AB354,'浓度设置'!$A$6:$A$46,0),IF(L354="L",1,IF(L354="M",2,3))))</x:f>
        <x:v>274.54883445390914</x:v>
      </x:c>
      <x:c r="Q354" s="9" t="n">
        <x:f>IF(Y354="","",M354/INDEX('浓度设置'!$M$6:$M$46,MATCH(Y354,'浓度设置'!$A$6:$A$46,0)))</x:f>
        <x:v>380.1317233809001</x:v>
      </x:c>
      <x:c r="R354" s="9" t="n">
        <x:f>IF(Z354="","",N354/INDEX('浓度设置'!$M$6:$M$46,MATCH(Z354,'浓度设置'!$A$6:$A$46,0)))</x:f>
        <x:v>14.553669867640158</x:v>
      </x:c>
      <x:c r="S354" s="9" t="n">
        <x:f>IF(AA354="","",O354/INDEX('浓度设置'!$M$6:$M$46,MATCH(AA354,'浓度设置'!$A$6:$A$46,0)))</x:f>
        <x:v>69.39297124600638</x:v>
      </x:c>
      <x:c r="T354" s="9" t="n">
        <x:f>IF(AB354="","",P354/INDEX('浓度设置'!$M$6:$M$46,MATCH(AB354,'浓度设置'!$A$6:$A$46,0)))</x:f>
        <x:v>0.10168475350144783</x:v>
      </x:c>
      <x:c r="U354" s="9" t="n">
        <x:f>IF(Y354="","",M354*$AD354/1000)</x:f>
        <x:v>20778</x:v>
      </x:c>
      <x:c r="V354" s="9" t="n">
        <x:f>IF(Z354="","",N354*$AD354/1000)</x:f>
        <x:v>16.736720347786182</x:v>
      </x:c>
      <x:c r="W354" s="9" t="n">
        <x:f>IF(AA354="","",O354*$AD354/1000)</x:f>
        <x:v>130.32</x:v>
      </x:c>
      <x:c r="X354" s="9" t="n">
        <x:f>IF(AB354="","",P354*$AD354/1000)</x:f>
        <x:v>5.490976689078183</x:v>
      </x:c>
      <x:c r="Y354" s="3" t="n">
        <x:v>11</x:v>
      </x:c>
      <x:c r="Z354" s="3" t="n">
        <x:v>32</x:v>
      </x:c>
      <x:c r="AA354" s="3" t="n">
        <x:v>115</x:v>
      </x:c>
      <x:c r="AB354" s="3" t="n">
        <x:v>117</x:v>
      </x:c>
      <x:c r="AC354" s="3" t="n">
        <x:v>4</x:v>
      </x:c>
      <x:c r="AD354" s="3" t="n">
        <x:f>'方案总览'!$B$5</x:f>
        <x:v>20</x:v>
      </x:c>
    </x:row>
    <x:row r="355" ht="24" customHeight="1">
      <x:c r="A355" s="3" t="str">
        <x:v>V020</x:v>
      </x:c>
      <x:c r="B355" s="3" t="str">
        <x:v>留出验证</x:v>
      </x:c>
      <x:c r="C355" s="3" t="str">
        <x:v>C244</x:v>
      </x:c>
      <x:c r="D355" s="3" t="str"/>
      <x:c r="E355" s="3" t="str">
        <x:v>己酸乙酯</x:v>
      </x:c>
      <x:c r="F355" s="3" t="str">
        <x:v>戊酸乙酯</x:v>
      </x:c>
      <x:c r="G355" s="3" t="str">
        <x:v>己酸丁酯</x:v>
      </x:c>
      <x:c r="H355" s="3" t="str">
        <x:v>2-甲基丁酸乙酯</x:v>
      </x:c>
      <x:c r="I355" s="3" t="str">
        <x:v>L</x:v>
      </x:c>
      <x:c r="J355" s="3" t="str">
        <x:v>H</x:v>
      </x:c>
      <x:c r="K355" s="3" t="str">
        <x:v>H</x:v>
      </x:c>
      <x:c r="L355" s="3" t="str">
        <x:v>L</x:v>
      </x:c>
      <x:c r="M355" s="9" t="n">
        <x:f>IF(Y355="","",INDEX('浓度设置'!$P$6:$R$46,MATCH(Y355,'浓度设置'!$A$6:$A$46,0),IF(I355="L",1,IF(I355="M",2,3))))</x:f>
        <x:v>833.64</x:v>
      </x:c>
      <x:c r="N355" s="9" t="n">
        <x:f>IF(Z355="","",INDEX('浓度设置'!$P$6:$R$46,MATCH(Z355,'浓度设置'!$A$6:$A$46,0),IF(J355="L",1,IF(J355="M",2,3))))</x:f>
        <x:v>1039840</x:v>
      </x:c>
      <x:c r="O355" s="9" t="n">
        <x:f>IF(AA355="","",INDEX('浓度设置'!$P$6:$R$46,MATCH(AA355,'浓度设置'!$A$6:$A$46,0),IF(K355="L",1,IF(K355="M",2,3))))</x:f>
        <x:v>86300</x:v>
      </x:c>
      <x:c r="P355" s="9" t="n">
        <x:f>IF(AB355="","",INDEX('浓度设置'!$P$6:$R$46,MATCH(AB355,'浓度设置'!$A$6:$A$46,0),IF(L355="L",1,IF(L355="M",2,3))))</x:f>
        <x:v>0.97</x:v>
      </x:c>
      <x:c r="Q355" s="9" t="n">
        <x:f>IF(Y355="","",M355/INDEX('浓度设置'!$M$6:$M$46,MATCH(Y355,'浓度设置'!$A$6:$A$46,0)))</x:f>
        <x:v>15.074864376130199</x:v>
      </x:c>
      <x:c r="R355" s="9" t="n">
        <x:f>IF(Z355="","",N355/INDEX('浓度设置'!$M$6:$M$46,MATCH(Z355,'浓度设置'!$A$6:$A$46,0)))</x:f>
        <x:v>38800</x:v>
      </x:c>
      <x:c r="S355" s="9" t="n">
        <x:f>IF(AA355="","",O355/INDEX('浓度设置'!$M$6:$M$46,MATCH(AA355,'浓度设置'!$A$6:$A$46,0)))</x:f>
        <x:v>127.31618080963058</x:v>
      </x:c>
      <x:c r="T355" s="9" t="n">
        <x:f>IF(AB355="","",P355/INDEX('浓度设置'!$M$6:$M$46,MATCH(AB355,'浓度设置'!$A$6:$A$46,0)))</x:f>
        <x:v>0.05388888888888889</x:v>
      </x:c>
      <x:c r="U355" s="9" t="n">
        <x:f>IF(Y355="","",M355*$AD355/1000)</x:f>
        <x:v>16.6728</x:v>
      </x:c>
      <x:c r="V355" s="9" t="n">
        <x:f>IF(Z355="","",N355*$AD355/1000)</x:f>
        <x:v>20796.8</x:v>
      </x:c>
      <x:c r="W355" s="9" t="n">
        <x:f>IF(AA355="","",O355*$AD355/1000)</x:f>
        <x:v>1726</x:v>
      </x:c>
      <x:c r="X355" s="9" t="n">
        <x:f>IF(AB355="","",P355*$AD355/1000)</x:f>
        <x:v>0.019399999999999997</x:v>
      </x:c>
      <x:c r="Y355" s="3" t="n">
        <x:v>111</x:v>
      </x:c>
      <x:c r="Z355" s="3" t="n">
        <x:v>141</x:v>
      </x:c>
      <x:c r="AA355" s="3" t="n">
        <x:v>165</x:v>
      </x:c>
      <x:c r="AB355" s="3" t="n">
        <x:v>232</x:v>
      </x:c>
      <x:c r="AC355" s="3" t="n">
        <x:v>4</x:v>
      </x:c>
      <x:c r="AD355" s="3" t="n">
        <x:f>'方案总览'!$B$5</x:f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7370c8bc49f94bd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</x:cols>
  <x:sheetData>
    <x:row r="2">
      <x:c r="A2" s="1" t="str">
        <x:v>全部组分浓度 / Full concentration matrix</x:v>
      </x:c>
    </x:row>
    <x:row r="3">
      <x:c r="A3" s="2" t="str">
        <x:v>One row per planned preparation; zero=not added as a variable; fixed-background columns remain present.</x:v>
      </x:c>
    </x:row>
    <x:row r="5" ht="44" customHeight="1">
      <x:c r="A5" s="8" t="str">
        <x:v>样本编号</x:v>
      </x:c>
      <x:c r="B5" s="8" t="str">
        <x:v>用途 Purpose</x:v>
      </x:c>
      <x:c r="C5" s="8" t="str">
        <x:v>拟合标记</x:v>
      </x:c>
      <x:c r="D5" s="8" t="str">
        <x:v>可变数</x:v>
      </x:c>
      <x:c r="E5" s="8" t="str">
        <x:v>7 己醛 (ug/L)</x:v>
      </x:c>
      <x:c r="F5" s="8" t="str">
        <x:v>11 1-丁醇 (ug/L)</x:v>
      </x:c>
      <x:c r="G5" s="8" t="str">
        <x:v>18 2-甲基丙醛 (ug/L)</x:v>
      </x:c>
      <x:c r="H5" s="8" t="str">
        <x:v>32 异丁酸乙酯 (ug/L)</x:v>
      </x:c>
      <x:c r="I5" s="8" t="str">
        <x:v>40 苯乙酸乙酯 (ug/L)</x:v>
      </x:c>
      <x:c r="J5" s="8" t="str">
        <x:v>52 丁酸乙酯 (ug/L)</x:v>
      </x:c>
      <x:c r="K5" s="8" t="str">
        <x:v>53 乙醛二乙缩醛 (ug/L)</x:v>
      </x:c>
      <x:c r="L5" s="8" t="str">
        <x:v>56 丁酸异戊酯 (ug/L)</x:v>
      </x:c>
      <x:c r="M5" s="8" t="str">
        <x:v>58 辛酸乙酯 (ug/L)</x:v>
      </x:c>
      <x:c r="N5" s="8" t="str">
        <x:v>61 对甲酚 (ug/L)</x:v>
      </x:c>
      <x:c r="O5" s="8" t="str">
        <x:v>69 异戊酸乙酯（3-甲基丁酸乙酯） (ug/L)</x:v>
      </x:c>
      <x:c r="P5" s="8" t="str">
        <x:v>75 戊酸 (ug/L)</x:v>
      </x:c>
      <x:c r="Q5" s="8" t="str">
        <x:v>79 癸酸乙酯 (ug/L)</x:v>
      </x:c>
      <x:c r="R5" s="8" t="str">
        <x:v>90 1-辛醇 (ug/L)</x:v>
      </x:c>
      <x:c r="S5" s="8" t="str">
        <x:v>105 苯乙醛 (ug/L)</x:v>
      </x:c>
      <x:c r="T5" s="8" t="str">
        <x:v>111 己酸乙酯 (ug/L)</x:v>
      </x:c>
      <x:c r="U5" s="8" t="str">
        <x:v>114 乙酸丁酯 (ug/L)</x:v>
      </x:c>
      <x:c r="V5" s="8" t="str">
        <x:v>115 乙酸异戊酯 (ug/L)</x:v>
      </x:c>
      <x:c r="W5" s="8" t="str">
        <x:v>117 辛酸 (ug/L)</x:v>
      </x:c>
      <x:c r="X5" s="8" t="str">
        <x:v>126 己酸 (ug/L)</x:v>
      </x:c>
      <x:c r="Y5" s="8" t="str">
        <x:v>136 异戊酸/3-甲基丁酸 (ug/L)</x:v>
      </x:c>
      <x:c r="Z5" s="8" t="str">
        <x:v>141 戊酸乙酯 (ug/L)</x:v>
      </x:c>
      <x:c r="AA5" s="8" t="str">
        <x:v>152 异戊醛 (ug/L)</x:v>
      </x:c>
      <x:c r="AB5" s="8" t="str">
        <x:v>165 己酸丁酯 (ug/L)</x:v>
      </x:c>
      <x:c r="AC5" s="8" t="str">
        <x:v>186 3-苯基丙酸乙酯 (ug/L)</x:v>
      </x:c>
      <x:c r="AD5" s="8" t="str">
        <x:v>207 1-辛烯-3-醇 (ug/L)</x:v>
      </x:c>
      <x:c r="AE5" s="8" t="str">
        <x:v>209 二甲基三硫醚 (ug/L)</x:v>
      </x:c>
      <x:c r="AF5" s="8" t="str">
        <x:v>227 己酸己酯 (ug/L)</x:v>
      </x:c>
      <x:c r="AG5" s="8" t="str">
        <x:v>232 2-甲基丁酸乙酯 (ug/L)</x:v>
      </x:c>
      <x:c r="AH5" s="8" t="str">
        <x:v>255 β-大马酮 (ug/L)</x:v>
      </x:c>
      <x:c r="AI5" s="8" t="str">
        <x:v>5 乙酸 (ug/L)</x:v>
      </x:c>
      <x:c r="AJ5" s="8" t="str">
        <x:v>10 1-丙醇 (ug/L)</x:v>
      </x:c>
      <x:c r="AK5" s="8" t="str">
        <x:v>17 异丁醇 (ug/L)</x:v>
      </x:c>
      <x:c r="AL5" s="8" t="str">
        <x:v>21 异丁酸 (ug/L)</x:v>
      </x:c>
      <x:c r="AM5" s="8" t="str">
        <x:v>41 乙酸苯乙酯 (ug/L)</x:v>
      </x:c>
      <x:c r="AN5" s="8" t="str">
        <x:v>57 庚酸乙酯 (ug/L)</x:v>
      </x:c>
      <x:c r="AO5" s="8" t="str">
        <x:v>65 丁酸 (ug/L)</x:v>
      </x:c>
      <x:c r="AP5" s="8" t="str">
        <x:v>85 1-己醇 (ug/L)</x:v>
      </x:c>
      <x:c r="AQ5" s="8" t="str">
        <x:v>106 4-乙基苯酚 (ug/L)</x:v>
      </x:c>
      <x:c r="AR5" s="8" t="str">
        <x:v>110 3-甲基-1-丁醇（异戊醇） (ug/L)</x:v>
      </x:c>
      <x:c r="AS5" s="8" t="str">
        <x:v>124 乙酸乙酯 (ug/L)</x:v>
      </x:c>
    </x:row>
    <x:row r="6" ht="24" customHeight="1">
      <x:c r="A6" s="3" t="str">
        <x:f>'350配方'!A6</x:f>
        <x:v>T001</x:v>
      </x:c>
      <x:c r="B6" s="3" t="str">
        <x:f>'350配方'!B6</x:f>
        <x:v>拟合</x:v>
      </x:c>
      <x:c r="C6" s="3" t="n">
        <x:f>IF(B6="拟合",1,0)</x:f>
        <x:v>1</x:v>
      </x:c>
      <x:c r="D6" s="3" t="n">
        <x:f>'350配方'!AC6</x:f>
        <x:v>0</x:v>
      </x:c>
      <x:c r="E6" s="9" t="n">
        <x:f>SUMIFS('350配方'!$M6:$P6,'350配方'!$Y6:$AB6,7)</x:f>
        <x:v>0</x:v>
      </x:c>
      <x:c r="F6" s="9" t="n">
        <x:f>SUMIFS('350配方'!$M6:$P6,'350配方'!$Y6:$AB6,11)</x:f>
        <x:v>0</x:v>
      </x:c>
      <x:c r="G6" s="9" t="n">
        <x:f>SUMIFS('350配方'!$M6:$P6,'350配方'!$Y6:$AB6,18)</x:f>
        <x:v>0</x:v>
      </x:c>
      <x:c r="H6" s="9" t="n">
        <x:f>SUMIFS('350配方'!$M6:$P6,'350配方'!$Y6:$AB6,32)</x:f>
        <x:v>0</x:v>
      </x:c>
      <x:c r="I6" s="9" t="n">
        <x:f>SUMIFS('350配方'!$M6:$P6,'350配方'!$Y6:$AB6,40)</x:f>
        <x:v>0</x:v>
      </x:c>
      <x:c r="J6" s="9" t="n">
        <x:f>SUMIFS('350配方'!$M6:$P6,'350配方'!$Y6:$AB6,52)</x:f>
        <x:v>0</x:v>
      </x:c>
      <x:c r="K6" s="9" t="n">
        <x:f>SUMIFS('350配方'!$M6:$P6,'350配方'!$Y6:$AB6,53)</x:f>
        <x:v>0</x:v>
      </x:c>
      <x:c r="L6" s="9" t="n">
        <x:f>SUMIFS('350配方'!$M6:$P6,'350配方'!$Y6:$AB6,56)</x:f>
        <x:v>0</x:v>
      </x:c>
      <x:c r="M6" s="9" t="n">
        <x:f>SUMIFS('350配方'!$M6:$P6,'350配方'!$Y6:$AB6,58)</x:f>
        <x:v>0</x:v>
      </x:c>
      <x:c r="N6" s="9" t="n">
        <x:f>SUMIFS('350配方'!$M6:$P6,'350配方'!$Y6:$AB6,61)</x:f>
        <x:v>0</x:v>
      </x:c>
      <x:c r="O6" s="9" t="n">
        <x:f>SUMIFS('350配方'!$M6:$P6,'350配方'!$Y6:$AB6,69)</x:f>
        <x:v>0</x:v>
      </x:c>
      <x:c r="P6" s="9" t="n">
        <x:f>SUMIFS('350配方'!$M6:$P6,'350配方'!$Y6:$AB6,75)</x:f>
        <x:v>0</x:v>
      </x:c>
      <x:c r="Q6" s="9" t="n">
        <x:f>SUMIFS('350配方'!$M6:$P6,'350配方'!$Y6:$AB6,79)</x:f>
        <x:v>0</x:v>
      </x:c>
      <x:c r="R6" s="9" t="n">
        <x:f>SUMIFS('350配方'!$M6:$P6,'350配方'!$Y6:$AB6,90)</x:f>
        <x:v>0</x:v>
      </x:c>
      <x:c r="S6" s="9" t="n">
        <x:f>SUMIFS('350配方'!$M6:$P6,'350配方'!$Y6:$AB6,105)</x:f>
        <x:v>0</x:v>
      </x:c>
      <x:c r="T6" s="9" t="n">
        <x:f>SUMIFS('350配方'!$M6:$P6,'350配方'!$Y6:$AB6,111)</x:f>
        <x:v>0</x:v>
      </x:c>
      <x:c r="U6" s="9" t="n">
        <x:f>SUMIFS('350配方'!$M6:$P6,'350配方'!$Y6:$AB6,114)</x:f>
        <x:v>0</x:v>
      </x:c>
      <x:c r="V6" s="9" t="n">
        <x:f>SUMIFS('350配方'!$M6:$P6,'350配方'!$Y6:$AB6,115)</x:f>
        <x:v>0</x:v>
      </x:c>
      <x:c r="W6" s="9" t="n">
        <x:f>SUMIFS('350配方'!$M6:$P6,'350配方'!$Y6:$AB6,117)</x:f>
        <x:v>0</x:v>
      </x:c>
      <x:c r="X6" s="9" t="n">
        <x:f>SUMIFS('350配方'!$M6:$P6,'350配方'!$Y6:$AB6,126)</x:f>
        <x:v>0</x:v>
      </x:c>
      <x:c r="Y6" s="9" t="n">
        <x:f>SUMIFS('350配方'!$M6:$P6,'350配方'!$Y6:$AB6,136)</x:f>
        <x:v>0</x:v>
      </x:c>
      <x:c r="Z6" s="9" t="n">
        <x:f>SUMIFS('350配方'!$M6:$P6,'350配方'!$Y6:$AB6,141)</x:f>
        <x:v>0</x:v>
      </x:c>
      <x:c r="AA6" s="9" t="n">
        <x:f>SUMIFS('350配方'!$M6:$P6,'350配方'!$Y6:$AB6,152)</x:f>
        <x:v>0</x:v>
      </x:c>
      <x:c r="AB6" s="9" t="n">
        <x:f>SUMIFS('350配方'!$M6:$P6,'350配方'!$Y6:$AB6,165)</x:f>
        <x:v>0</x:v>
      </x:c>
      <x:c r="AC6" s="9" t="n">
        <x:f>SUMIFS('350配方'!$M6:$P6,'350配方'!$Y6:$AB6,186)</x:f>
        <x:v>0</x:v>
      </x:c>
      <x:c r="AD6" s="9" t="n">
        <x:f>SUMIFS('350配方'!$M6:$P6,'350配方'!$Y6:$AB6,207)</x:f>
        <x:v>0</x:v>
      </x:c>
      <x:c r="AE6" s="9" t="n">
        <x:f>SUMIFS('350配方'!$M6:$P6,'350配方'!$Y6:$AB6,209)</x:f>
        <x:v>0</x:v>
      </x:c>
      <x:c r="AF6" s="9" t="n">
        <x:f>SUMIFS('350配方'!$M6:$P6,'350配方'!$Y6:$AB6,227)</x:f>
        <x:v>0</x:v>
      </x:c>
      <x:c r="AG6" s="9" t="n">
        <x:f>SUMIFS('350配方'!$M6:$P6,'350配方'!$Y6:$AB6,232)</x:f>
        <x:v>0</x:v>
      </x:c>
      <x:c r="AH6" s="9" t="n">
        <x:f>SUMIFS('350配方'!$M6:$P6,'350配方'!$Y6:$AB6,255)</x:f>
        <x:v>0</x:v>
      </x:c>
      <x:c r="AI6" s="9" t="n">
        <x:f>'浓度设置'!S6</x:f>
        <x:v>219125.9626344086</x:v>
      </x:c>
      <x:c r="AJ6" s="9" t="n">
        <x:f>'浓度设置'!S8</x:f>
        <x:v>92796.92267241378</x:v>
      </x:c>
      <x:c r="AK6" s="9" t="n">
        <x:f>'浓度设置'!S10</x:f>
        <x:v>30556.797802197798</x:v>
      </x:c>
      <x:c r="AL6" s="9" t="n">
        <x:f>'浓度设置'!S12</x:f>
        <x:v>1735.828970588235</x:v>
      </x:c>
      <x:c r="AM6" s="9" t="n">
        <x:f>'浓度设置'!S15</x:f>
        <x:v>7385.813644067793</x:v>
      </x:c>
      <x:c r="AN6" s="9" t="n">
        <x:f>'浓度设置'!S19</x:f>
        <x:v>27722.03097701148</x:v>
      </x:c>
      <x:c r="AO6" s="9" t="n">
        <x:f>'浓度设置'!S22</x:f>
        <x:v>44345.55047619048</x:v>
      </x:c>
      <x:c r="AP6" s="9" t="n">
        <x:f>'浓度设置'!S26</x:f>
        <x:v>153318.30499999996</x:v>
      </x:c>
      <x:c r="AQ6" s="9" t="n">
        <x:f>'浓度设置'!S29</x:f>
        <x:v>312.7970588235294</x:v>
      </x:c>
      <x:c r="AR6" s="9" t="n">
        <x:f>'浓度设置'!S30</x:f>
        <x:v>104175.5097553192</x:v>
      </x:c>
      <x:c r="AS6" s="9" t="n">
        <x:f>'浓度设置'!S35</x:f>
        <x:v>405974.90656785714</x:v>
      </x:c>
    </x:row>
    <x:row r="7" ht="24" customHeight="1">
      <x:c r="A7" s="3" t="str">
        <x:f>'350配方'!A7</x:f>
        <x:v>T002</x:v>
      </x:c>
      <x:c r="B7" s="3" t="str">
        <x:f>'350配方'!B7</x:f>
        <x:v>拟合</x:v>
      </x:c>
      <x:c r="C7" s="3" t="n">
        <x:f>IF(B7="拟合",1,0)</x:f>
        <x:v>1</x:v>
      </x:c>
      <x:c r="D7" s="3" t="n">
        <x:f>'350配方'!AC7</x:f>
        <x:v>1</x:v>
      </x:c>
      <x:c r="E7" s="9" t="n">
        <x:f>SUMIFS('350配方'!$M7:$P7,'350配方'!$Y7:$AB7,7)</x:f>
        <x:v>173</x:v>
      </x:c>
      <x:c r="F7" s="9" t="n">
        <x:f>SUMIFS('350配方'!$M7:$P7,'350配方'!$Y7:$AB7,11)</x:f>
        <x:v>0</x:v>
      </x:c>
      <x:c r="G7" s="9" t="n">
        <x:f>SUMIFS('350配方'!$M7:$P7,'350配方'!$Y7:$AB7,18)</x:f>
        <x:v>0</x:v>
      </x:c>
      <x:c r="H7" s="9" t="n">
        <x:f>SUMIFS('350配方'!$M7:$P7,'350配方'!$Y7:$AB7,32)</x:f>
        <x:v>0</x:v>
      </x:c>
      <x:c r="I7" s="9" t="n">
        <x:f>SUMIFS('350配方'!$M7:$P7,'350配方'!$Y7:$AB7,40)</x:f>
        <x:v>0</x:v>
      </x:c>
      <x:c r="J7" s="9" t="n">
        <x:f>SUMIFS('350配方'!$M7:$P7,'350配方'!$Y7:$AB7,52)</x:f>
        <x:v>0</x:v>
      </x:c>
      <x:c r="K7" s="9" t="n">
        <x:f>SUMIFS('350配方'!$M7:$P7,'350配方'!$Y7:$AB7,53)</x:f>
        <x:v>0</x:v>
      </x:c>
      <x:c r="L7" s="9" t="n">
        <x:f>SUMIFS('350配方'!$M7:$P7,'350配方'!$Y7:$AB7,56)</x:f>
        <x:v>0</x:v>
      </x:c>
      <x:c r="M7" s="9" t="n">
        <x:f>SUMIFS('350配方'!$M7:$P7,'350配方'!$Y7:$AB7,58)</x:f>
        <x:v>0</x:v>
      </x:c>
      <x:c r="N7" s="9" t="n">
        <x:f>SUMIFS('350配方'!$M7:$P7,'350配方'!$Y7:$AB7,61)</x:f>
        <x:v>0</x:v>
      </x:c>
      <x:c r="O7" s="9" t="n">
        <x:f>SUMIFS('350配方'!$M7:$P7,'350配方'!$Y7:$AB7,69)</x:f>
        <x:v>0</x:v>
      </x:c>
      <x:c r="P7" s="9" t="n">
        <x:f>SUMIFS('350配方'!$M7:$P7,'350配方'!$Y7:$AB7,75)</x:f>
        <x:v>0</x:v>
      </x:c>
      <x:c r="Q7" s="9" t="n">
        <x:f>SUMIFS('350配方'!$M7:$P7,'350配方'!$Y7:$AB7,79)</x:f>
        <x:v>0</x:v>
      </x:c>
      <x:c r="R7" s="9" t="n">
        <x:f>SUMIFS('350配方'!$M7:$P7,'350配方'!$Y7:$AB7,90)</x:f>
        <x:v>0</x:v>
      </x:c>
      <x:c r="S7" s="9" t="n">
        <x:f>SUMIFS('350配方'!$M7:$P7,'350配方'!$Y7:$AB7,105)</x:f>
        <x:v>0</x:v>
      </x:c>
      <x:c r="T7" s="9" t="n">
        <x:f>SUMIFS('350配方'!$M7:$P7,'350配方'!$Y7:$AB7,111)</x:f>
        <x:v>0</x:v>
      </x:c>
      <x:c r="U7" s="9" t="n">
        <x:f>SUMIFS('350配方'!$M7:$P7,'350配方'!$Y7:$AB7,114)</x:f>
        <x:v>0</x:v>
      </x:c>
      <x:c r="V7" s="9" t="n">
        <x:f>SUMIFS('350配方'!$M7:$P7,'350配方'!$Y7:$AB7,115)</x:f>
        <x:v>0</x:v>
      </x:c>
      <x:c r="W7" s="9" t="n">
        <x:f>SUMIFS('350配方'!$M7:$P7,'350配方'!$Y7:$AB7,117)</x:f>
        <x:v>0</x:v>
      </x:c>
      <x:c r="X7" s="9" t="n">
        <x:f>SUMIFS('350配方'!$M7:$P7,'350配方'!$Y7:$AB7,126)</x:f>
        <x:v>0</x:v>
      </x:c>
      <x:c r="Y7" s="9" t="n">
        <x:f>SUMIFS('350配方'!$M7:$P7,'350配方'!$Y7:$AB7,136)</x:f>
        <x:v>0</x:v>
      </x:c>
      <x:c r="Z7" s="9" t="n">
        <x:f>SUMIFS('350配方'!$M7:$P7,'350配方'!$Y7:$AB7,141)</x:f>
        <x:v>0</x:v>
      </x:c>
      <x:c r="AA7" s="9" t="n">
        <x:f>SUMIFS('350配方'!$M7:$P7,'350配方'!$Y7:$AB7,152)</x:f>
        <x:v>0</x:v>
      </x:c>
      <x:c r="AB7" s="9" t="n">
        <x:f>SUMIFS('350配方'!$M7:$P7,'350配方'!$Y7:$AB7,165)</x:f>
        <x:v>0</x:v>
      </x:c>
      <x:c r="AC7" s="9" t="n">
        <x:f>SUMIFS('350配方'!$M7:$P7,'350配方'!$Y7:$AB7,186)</x:f>
        <x:v>0</x:v>
      </x:c>
      <x:c r="AD7" s="9" t="n">
        <x:f>SUMIFS('350配方'!$M7:$P7,'350配方'!$Y7:$AB7,207)</x:f>
        <x:v>0</x:v>
      </x:c>
      <x:c r="AE7" s="9" t="n">
        <x:f>SUMIFS('350配方'!$M7:$P7,'350配方'!$Y7:$AB7,209)</x:f>
        <x:v>0</x:v>
      </x:c>
      <x:c r="AF7" s="9" t="n">
        <x:f>SUMIFS('350配方'!$M7:$P7,'350配方'!$Y7:$AB7,227)</x:f>
        <x:v>0</x:v>
      </x:c>
      <x:c r="AG7" s="9" t="n">
        <x:f>SUMIFS('350配方'!$M7:$P7,'350配方'!$Y7:$AB7,232)</x:f>
        <x:v>0</x:v>
      </x:c>
      <x:c r="AH7" s="9" t="n">
        <x:f>SUMIFS('350配方'!$M7:$P7,'350配方'!$Y7:$AB7,255)</x:f>
        <x:v>0</x:v>
      </x:c>
      <x:c r="AI7" s="9" t="n">
        <x:f>'浓度设置'!S6</x:f>
        <x:v>219125.9626344086</x:v>
      </x:c>
      <x:c r="AJ7" s="9" t="n">
        <x:f>'浓度设置'!S8</x:f>
        <x:v>92796.92267241378</x:v>
      </x:c>
      <x:c r="AK7" s="9" t="n">
        <x:f>'浓度设置'!S10</x:f>
        <x:v>30556.797802197798</x:v>
      </x:c>
      <x:c r="AL7" s="9" t="n">
        <x:f>'浓度设置'!S12</x:f>
        <x:v>1735.828970588235</x:v>
      </x:c>
      <x:c r="AM7" s="9" t="n">
        <x:f>'浓度设置'!S15</x:f>
        <x:v>7385.813644067793</x:v>
      </x:c>
      <x:c r="AN7" s="9" t="n">
        <x:f>'浓度设置'!S19</x:f>
        <x:v>27722.03097701148</x:v>
      </x:c>
      <x:c r="AO7" s="9" t="n">
        <x:f>'浓度设置'!S22</x:f>
        <x:v>44345.55047619048</x:v>
      </x:c>
      <x:c r="AP7" s="9" t="n">
        <x:f>'浓度设置'!S26</x:f>
        <x:v>153318.30499999996</x:v>
      </x:c>
      <x:c r="AQ7" s="9" t="n">
        <x:f>'浓度设置'!S29</x:f>
        <x:v>312.7970588235294</x:v>
      </x:c>
      <x:c r="AR7" s="9" t="n">
        <x:f>'浓度设置'!S30</x:f>
        <x:v>104175.5097553192</x:v>
      </x:c>
      <x:c r="AS7" s="9" t="n">
        <x:f>'浓度设置'!S35</x:f>
        <x:v>405974.90656785714</x:v>
      </x:c>
    </x:row>
    <x:row r="8" ht="24" customHeight="1">
      <x:c r="A8" s="3" t="str">
        <x:f>'350配方'!A8</x:f>
        <x:v>T003</x:v>
      </x:c>
      <x:c r="B8" s="3" t="str">
        <x:f>'350配方'!B8</x:f>
        <x:v>拟合</x:v>
      </x:c>
      <x:c r="C8" s="3" t="n">
        <x:f>IF(B8="拟合",1,0)</x:f>
        <x:v>1</x:v>
      </x:c>
      <x:c r="D8" s="3" t="n">
        <x:f>'350配方'!AC8</x:f>
        <x:v>1</x:v>
      </x:c>
      <x:c r="E8" s="9" t="n">
        <x:f>SUMIFS('350配方'!$M8:$P8,'350配方'!$Y8:$AB8,7)</x:f>
        <x:v>729.4776350238574</x:v>
      </x:c>
      <x:c r="F8" s="9" t="n">
        <x:f>SUMIFS('350配方'!$M8:$P8,'350配方'!$Y8:$AB8,11)</x:f>
        <x:v>0</x:v>
      </x:c>
      <x:c r="G8" s="9" t="n">
        <x:f>SUMIFS('350配方'!$M8:$P8,'350配方'!$Y8:$AB8,18)</x:f>
        <x:v>0</x:v>
      </x:c>
      <x:c r="H8" s="9" t="n">
        <x:f>SUMIFS('350配方'!$M8:$P8,'350配方'!$Y8:$AB8,32)</x:f>
        <x:v>0</x:v>
      </x:c>
      <x:c r="I8" s="9" t="n">
        <x:f>SUMIFS('350配方'!$M8:$P8,'350配方'!$Y8:$AB8,40)</x:f>
        <x:v>0</x:v>
      </x:c>
      <x:c r="J8" s="9" t="n">
        <x:f>SUMIFS('350配方'!$M8:$P8,'350配方'!$Y8:$AB8,52)</x:f>
        <x:v>0</x:v>
      </x:c>
      <x:c r="K8" s="9" t="n">
        <x:f>SUMIFS('350配方'!$M8:$P8,'350配方'!$Y8:$AB8,53)</x:f>
        <x:v>0</x:v>
      </x:c>
      <x:c r="L8" s="9" t="n">
        <x:f>SUMIFS('350配方'!$M8:$P8,'350配方'!$Y8:$AB8,56)</x:f>
        <x:v>0</x:v>
      </x:c>
      <x:c r="M8" s="9" t="n">
        <x:f>SUMIFS('350配方'!$M8:$P8,'350配方'!$Y8:$AB8,58)</x:f>
        <x:v>0</x:v>
      </x:c>
      <x:c r="N8" s="9" t="n">
        <x:f>SUMIFS('350配方'!$M8:$P8,'350配方'!$Y8:$AB8,61)</x:f>
        <x:v>0</x:v>
      </x:c>
      <x:c r="O8" s="9" t="n">
        <x:f>SUMIFS('350配方'!$M8:$P8,'350配方'!$Y8:$AB8,69)</x:f>
        <x:v>0</x:v>
      </x:c>
      <x:c r="P8" s="9" t="n">
        <x:f>SUMIFS('350配方'!$M8:$P8,'350配方'!$Y8:$AB8,75)</x:f>
        <x:v>0</x:v>
      </x:c>
      <x:c r="Q8" s="9" t="n">
        <x:f>SUMIFS('350配方'!$M8:$P8,'350配方'!$Y8:$AB8,79)</x:f>
        <x:v>0</x:v>
      </x:c>
      <x:c r="R8" s="9" t="n">
        <x:f>SUMIFS('350配方'!$M8:$P8,'350配方'!$Y8:$AB8,90)</x:f>
        <x:v>0</x:v>
      </x:c>
      <x:c r="S8" s="9" t="n">
        <x:f>SUMIFS('350配方'!$M8:$P8,'350配方'!$Y8:$AB8,105)</x:f>
        <x:v>0</x:v>
      </x:c>
      <x:c r="T8" s="9" t="n">
        <x:f>SUMIFS('350配方'!$M8:$P8,'350配方'!$Y8:$AB8,111)</x:f>
        <x:v>0</x:v>
      </x:c>
      <x:c r="U8" s="9" t="n">
        <x:f>SUMIFS('350配方'!$M8:$P8,'350配方'!$Y8:$AB8,114)</x:f>
        <x:v>0</x:v>
      </x:c>
      <x:c r="V8" s="9" t="n">
        <x:f>SUMIFS('350配方'!$M8:$P8,'350配方'!$Y8:$AB8,115)</x:f>
        <x:v>0</x:v>
      </x:c>
      <x:c r="W8" s="9" t="n">
        <x:f>SUMIFS('350配方'!$M8:$P8,'350配方'!$Y8:$AB8,117)</x:f>
        <x:v>0</x:v>
      </x:c>
      <x:c r="X8" s="9" t="n">
        <x:f>SUMIFS('350配方'!$M8:$P8,'350配方'!$Y8:$AB8,126)</x:f>
        <x:v>0</x:v>
      </x:c>
      <x:c r="Y8" s="9" t="n">
        <x:f>SUMIFS('350配方'!$M8:$P8,'350配方'!$Y8:$AB8,136)</x:f>
        <x:v>0</x:v>
      </x:c>
      <x:c r="Z8" s="9" t="n">
        <x:f>SUMIFS('350配方'!$M8:$P8,'350配方'!$Y8:$AB8,141)</x:f>
        <x:v>0</x:v>
      </x:c>
      <x:c r="AA8" s="9" t="n">
        <x:f>SUMIFS('350配方'!$M8:$P8,'350配方'!$Y8:$AB8,152)</x:f>
        <x:v>0</x:v>
      </x:c>
      <x:c r="AB8" s="9" t="n">
        <x:f>SUMIFS('350配方'!$M8:$P8,'350配方'!$Y8:$AB8,165)</x:f>
        <x:v>0</x:v>
      </x:c>
      <x:c r="AC8" s="9" t="n">
        <x:f>SUMIFS('350配方'!$M8:$P8,'350配方'!$Y8:$AB8,186)</x:f>
        <x:v>0</x:v>
      </x:c>
      <x:c r="AD8" s="9" t="n">
        <x:f>SUMIFS('350配方'!$M8:$P8,'350配方'!$Y8:$AB8,207)</x:f>
        <x:v>0</x:v>
      </x:c>
      <x:c r="AE8" s="9" t="n">
        <x:f>SUMIFS('350配方'!$M8:$P8,'350配方'!$Y8:$AB8,209)</x:f>
        <x:v>0</x:v>
      </x:c>
      <x:c r="AF8" s="9" t="n">
        <x:f>SUMIFS('350配方'!$M8:$P8,'350配方'!$Y8:$AB8,227)</x:f>
        <x:v>0</x:v>
      </x:c>
      <x:c r="AG8" s="9" t="n">
        <x:f>SUMIFS('350配方'!$M8:$P8,'350配方'!$Y8:$AB8,232)</x:f>
        <x:v>0</x:v>
      </x:c>
      <x:c r="AH8" s="9" t="n">
        <x:f>SUMIFS('350配方'!$M8:$P8,'350配方'!$Y8:$AB8,255)</x:f>
        <x:v>0</x:v>
      </x:c>
      <x:c r="AI8" s="9" t="n">
        <x:f>'浓度设置'!S6</x:f>
        <x:v>219125.9626344086</x:v>
      </x:c>
      <x:c r="AJ8" s="9" t="n">
        <x:f>'浓度设置'!S8</x:f>
        <x:v>92796.92267241378</x:v>
      </x:c>
      <x:c r="AK8" s="9" t="n">
        <x:f>'浓度设置'!S10</x:f>
        <x:v>30556.797802197798</x:v>
      </x:c>
      <x:c r="AL8" s="9" t="n">
        <x:f>'浓度设置'!S12</x:f>
        <x:v>1735.828970588235</x:v>
      </x:c>
      <x:c r="AM8" s="9" t="n">
        <x:f>'浓度设置'!S15</x:f>
        <x:v>7385.813644067793</x:v>
      </x:c>
      <x:c r="AN8" s="9" t="n">
        <x:f>'浓度设置'!S19</x:f>
        <x:v>27722.03097701148</x:v>
      </x:c>
      <x:c r="AO8" s="9" t="n">
        <x:f>'浓度设置'!S22</x:f>
        <x:v>44345.55047619048</x:v>
      </x:c>
      <x:c r="AP8" s="9" t="n">
        <x:f>'浓度设置'!S26</x:f>
        <x:v>153318.30499999996</x:v>
      </x:c>
      <x:c r="AQ8" s="9" t="n">
        <x:f>'浓度设置'!S29</x:f>
        <x:v>312.7970588235294</x:v>
      </x:c>
      <x:c r="AR8" s="9" t="n">
        <x:f>'浓度设置'!S30</x:f>
        <x:v>104175.5097553192</x:v>
      </x:c>
      <x:c r="AS8" s="9" t="n">
        <x:f>'浓度设置'!S35</x:f>
        <x:v>405974.90656785714</x:v>
      </x:c>
    </x:row>
    <x:row r="9" ht="24" customHeight="1">
      <x:c r="A9" s="3" t="str">
        <x:f>'350配方'!A9</x:f>
        <x:v>T004</x:v>
      </x:c>
      <x:c r="B9" s="3" t="str">
        <x:f>'350配方'!B9</x:f>
        <x:v>拟合</x:v>
      </x:c>
      <x:c r="C9" s="3" t="n">
        <x:f>IF(B9="拟合",1,0)</x:f>
        <x:v>1</x:v>
      </x:c>
      <x:c r="D9" s="3" t="n">
        <x:f>'350配方'!AC9</x:f>
        <x:v>1</x:v>
      </x:c>
      <x:c r="E9" s="9" t="n">
        <x:f>SUMIFS('350配方'!$M9:$P9,'350配方'!$Y9:$AB9,7)</x:f>
        <x:v>3075.94</x:v>
      </x:c>
      <x:c r="F9" s="9" t="n">
        <x:f>SUMIFS('350配方'!$M9:$P9,'350配方'!$Y9:$AB9,11)</x:f>
        <x:v>0</x:v>
      </x:c>
      <x:c r="G9" s="9" t="n">
        <x:f>SUMIFS('350配方'!$M9:$P9,'350配方'!$Y9:$AB9,18)</x:f>
        <x:v>0</x:v>
      </x:c>
      <x:c r="H9" s="9" t="n">
        <x:f>SUMIFS('350配方'!$M9:$P9,'350配方'!$Y9:$AB9,32)</x:f>
        <x:v>0</x:v>
      </x:c>
      <x:c r="I9" s="9" t="n">
        <x:f>SUMIFS('350配方'!$M9:$P9,'350配方'!$Y9:$AB9,40)</x:f>
        <x:v>0</x:v>
      </x:c>
      <x:c r="J9" s="9" t="n">
        <x:f>SUMIFS('350配方'!$M9:$P9,'350配方'!$Y9:$AB9,52)</x:f>
        <x:v>0</x:v>
      </x:c>
      <x:c r="K9" s="9" t="n">
        <x:f>SUMIFS('350配方'!$M9:$P9,'350配方'!$Y9:$AB9,53)</x:f>
        <x:v>0</x:v>
      </x:c>
      <x:c r="L9" s="9" t="n">
        <x:f>SUMIFS('350配方'!$M9:$P9,'350配方'!$Y9:$AB9,56)</x:f>
        <x:v>0</x:v>
      </x:c>
      <x:c r="M9" s="9" t="n">
        <x:f>SUMIFS('350配方'!$M9:$P9,'350配方'!$Y9:$AB9,58)</x:f>
        <x:v>0</x:v>
      </x:c>
      <x:c r="N9" s="9" t="n">
        <x:f>SUMIFS('350配方'!$M9:$P9,'350配方'!$Y9:$AB9,61)</x:f>
        <x:v>0</x:v>
      </x:c>
      <x:c r="O9" s="9" t="n">
        <x:f>SUMIFS('350配方'!$M9:$P9,'350配方'!$Y9:$AB9,69)</x:f>
        <x:v>0</x:v>
      </x:c>
      <x:c r="P9" s="9" t="n">
        <x:f>SUMIFS('350配方'!$M9:$P9,'350配方'!$Y9:$AB9,75)</x:f>
        <x:v>0</x:v>
      </x:c>
      <x:c r="Q9" s="9" t="n">
        <x:f>SUMIFS('350配方'!$M9:$P9,'350配方'!$Y9:$AB9,79)</x:f>
        <x:v>0</x:v>
      </x:c>
      <x:c r="R9" s="9" t="n">
        <x:f>SUMIFS('350配方'!$M9:$P9,'350配方'!$Y9:$AB9,90)</x:f>
        <x:v>0</x:v>
      </x:c>
      <x:c r="S9" s="9" t="n">
        <x:f>SUMIFS('350配方'!$M9:$P9,'350配方'!$Y9:$AB9,105)</x:f>
        <x:v>0</x:v>
      </x:c>
      <x:c r="T9" s="9" t="n">
        <x:f>SUMIFS('350配方'!$M9:$P9,'350配方'!$Y9:$AB9,111)</x:f>
        <x:v>0</x:v>
      </x:c>
      <x:c r="U9" s="9" t="n">
        <x:f>SUMIFS('350配方'!$M9:$P9,'350配方'!$Y9:$AB9,114)</x:f>
        <x:v>0</x:v>
      </x:c>
      <x:c r="V9" s="9" t="n">
        <x:f>SUMIFS('350配方'!$M9:$P9,'350配方'!$Y9:$AB9,115)</x:f>
        <x:v>0</x:v>
      </x:c>
      <x:c r="W9" s="9" t="n">
        <x:f>SUMIFS('350配方'!$M9:$P9,'350配方'!$Y9:$AB9,117)</x:f>
        <x:v>0</x:v>
      </x:c>
      <x:c r="X9" s="9" t="n">
        <x:f>SUMIFS('350配方'!$M9:$P9,'350配方'!$Y9:$AB9,126)</x:f>
        <x:v>0</x:v>
      </x:c>
      <x:c r="Y9" s="9" t="n">
        <x:f>SUMIFS('350配方'!$M9:$P9,'350配方'!$Y9:$AB9,136)</x:f>
        <x:v>0</x:v>
      </x:c>
      <x:c r="Z9" s="9" t="n">
        <x:f>SUMIFS('350配方'!$M9:$P9,'350配方'!$Y9:$AB9,141)</x:f>
        <x:v>0</x:v>
      </x:c>
      <x:c r="AA9" s="9" t="n">
        <x:f>SUMIFS('350配方'!$M9:$P9,'350配方'!$Y9:$AB9,152)</x:f>
        <x:v>0</x:v>
      </x:c>
      <x:c r="AB9" s="9" t="n">
        <x:f>SUMIFS('350配方'!$M9:$P9,'350配方'!$Y9:$AB9,165)</x:f>
        <x:v>0</x:v>
      </x:c>
      <x:c r="AC9" s="9" t="n">
        <x:f>SUMIFS('350配方'!$M9:$P9,'350配方'!$Y9:$AB9,186)</x:f>
        <x:v>0</x:v>
      </x:c>
      <x:c r="AD9" s="9" t="n">
        <x:f>SUMIFS('350配方'!$M9:$P9,'350配方'!$Y9:$AB9,207)</x:f>
        <x:v>0</x:v>
      </x:c>
      <x:c r="AE9" s="9" t="n">
        <x:f>SUMIFS('350配方'!$M9:$P9,'350配方'!$Y9:$AB9,209)</x:f>
        <x:v>0</x:v>
      </x:c>
      <x:c r="AF9" s="9" t="n">
        <x:f>SUMIFS('350配方'!$M9:$P9,'350配方'!$Y9:$AB9,227)</x:f>
        <x:v>0</x:v>
      </x:c>
      <x:c r="AG9" s="9" t="n">
        <x:f>SUMIFS('350配方'!$M9:$P9,'350配方'!$Y9:$AB9,232)</x:f>
        <x:v>0</x:v>
      </x:c>
      <x:c r="AH9" s="9" t="n">
        <x:f>SUMIFS('350配方'!$M9:$P9,'350配方'!$Y9:$AB9,255)</x:f>
        <x:v>0</x:v>
      </x:c>
      <x:c r="AI9" s="9" t="n">
        <x:f>'浓度设置'!S6</x:f>
        <x:v>219125.9626344086</x:v>
      </x:c>
      <x:c r="AJ9" s="9" t="n">
        <x:f>'浓度设置'!S8</x:f>
        <x:v>92796.92267241378</x:v>
      </x:c>
      <x:c r="AK9" s="9" t="n">
        <x:f>'浓度设置'!S10</x:f>
        <x:v>30556.797802197798</x:v>
      </x:c>
      <x:c r="AL9" s="9" t="n">
        <x:f>'浓度设置'!S12</x:f>
        <x:v>1735.828970588235</x:v>
      </x:c>
      <x:c r="AM9" s="9" t="n">
        <x:f>'浓度设置'!S15</x:f>
        <x:v>7385.813644067793</x:v>
      </x:c>
      <x:c r="AN9" s="9" t="n">
        <x:f>'浓度设置'!S19</x:f>
        <x:v>27722.03097701148</x:v>
      </x:c>
      <x:c r="AO9" s="9" t="n">
        <x:f>'浓度设置'!S22</x:f>
        <x:v>44345.55047619048</x:v>
      </x:c>
      <x:c r="AP9" s="9" t="n">
        <x:f>'浓度设置'!S26</x:f>
        <x:v>153318.30499999996</x:v>
      </x:c>
      <x:c r="AQ9" s="9" t="n">
        <x:f>'浓度设置'!S29</x:f>
        <x:v>312.7970588235294</x:v>
      </x:c>
      <x:c r="AR9" s="9" t="n">
        <x:f>'浓度设置'!S30</x:f>
        <x:v>104175.5097553192</x:v>
      </x:c>
      <x:c r="AS9" s="9" t="n">
        <x:f>'浓度设置'!S35</x:f>
        <x:v>405974.90656785714</x:v>
      </x:c>
    </x:row>
    <x:row r="10" ht="24" customHeight="1">
      <x:c r="A10" s="3" t="str">
        <x:f>'350配方'!A10</x:f>
        <x:v>T005</x:v>
      </x:c>
      <x:c r="B10" s="3" t="str">
        <x:f>'350配方'!B10</x:f>
        <x:v>拟合</x:v>
      </x:c>
      <x:c r="C10" s="3" t="n">
        <x:f>IF(B10="拟合",1,0)</x:f>
        <x:v>1</x:v>
      </x:c>
      <x:c r="D10" s="3" t="n">
        <x:f>'350配方'!AC10</x:f>
        <x:v>1</x:v>
      </x:c>
      <x:c r="E10" s="9" t="n">
        <x:f>SUMIFS('350配方'!$M10:$P10,'350配方'!$Y10:$AB10,7)</x:f>
        <x:v>0</x:v>
      </x:c>
      <x:c r="F10" s="9" t="n">
        <x:f>SUMIFS('350配方'!$M10:$P10,'350配方'!$Y10:$AB10,11)</x:f>
        <x:v>16.97</x:v>
      </x:c>
      <x:c r="G10" s="9" t="n">
        <x:f>SUMIFS('350配方'!$M10:$P10,'350配方'!$Y10:$AB10,18)</x:f>
        <x:v>0</x:v>
      </x:c>
      <x:c r="H10" s="9" t="n">
        <x:f>SUMIFS('350配方'!$M10:$P10,'350配方'!$Y10:$AB10,32)</x:f>
        <x:v>0</x:v>
      </x:c>
      <x:c r="I10" s="9" t="n">
        <x:f>SUMIFS('350配方'!$M10:$P10,'350配方'!$Y10:$AB10,40)</x:f>
        <x:v>0</x:v>
      </x:c>
      <x:c r="J10" s="9" t="n">
        <x:f>SUMIFS('350配方'!$M10:$P10,'350配方'!$Y10:$AB10,52)</x:f>
        <x:v>0</x:v>
      </x:c>
      <x:c r="K10" s="9" t="n">
        <x:f>SUMIFS('350配方'!$M10:$P10,'350配方'!$Y10:$AB10,53)</x:f>
        <x:v>0</x:v>
      </x:c>
      <x:c r="L10" s="9" t="n">
        <x:f>SUMIFS('350配方'!$M10:$P10,'350配方'!$Y10:$AB10,56)</x:f>
        <x:v>0</x:v>
      </x:c>
      <x:c r="M10" s="9" t="n">
        <x:f>SUMIFS('350配方'!$M10:$P10,'350配方'!$Y10:$AB10,58)</x:f>
        <x:v>0</x:v>
      </x:c>
      <x:c r="N10" s="9" t="n">
        <x:f>SUMIFS('350配方'!$M10:$P10,'350配方'!$Y10:$AB10,61)</x:f>
        <x:v>0</x:v>
      </x:c>
      <x:c r="O10" s="9" t="n">
        <x:f>SUMIFS('350配方'!$M10:$P10,'350配方'!$Y10:$AB10,69)</x:f>
        <x:v>0</x:v>
      </x:c>
      <x:c r="P10" s="9" t="n">
        <x:f>SUMIFS('350配方'!$M10:$P10,'350配方'!$Y10:$AB10,75)</x:f>
        <x:v>0</x:v>
      </x:c>
      <x:c r="Q10" s="9" t="n">
        <x:f>SUMIFS('350配方'!$M10:$P10,'350配方'!$Y10:$AB10,79)</x:f>
        <x:v>0</x:v>
      </x:c>
      <x:c r="R10" s="9" t="n">
        <x:f>SUMIFS('350配方'!$M10:$P10,'350配方'!$Y10:$AB10,90)</x:f>
        <x:v>0</x:v>
      </x:c>
      <x:c r="S10" s="9" t="n">
        <x:f>SUMIFS('350配方'!$M10:$P10,'350配方'!$Y10:$AB10,105)</x:f>
        <x:v>0</x:v>
      </x:c>
      <x:c r="T10" s="9" t="n">
        <x:f>SUMIFS('350配方'!$M10:$P10,'350配方'!$Y10:$AB10,111)</x:f>
        <x:v>0</x:v>
      </x:c>
      <x:c r="U10" s="9" t="n">
        <x:f>SUMIFS('350配方'!$M10:$P10,'350配方'!$Y10:$AB10,114)</x:f>
        <x:v>0</x:v>
      </x:c>
      <x:c r="V10" s="9" t="n">
        <x:f>SUMIFS('350配方'!$M10:$P10,'350配方'!$Y10:$AB10,115)</x:f>
        <x:v>0</x:v>
      </x:c>
      <x:c r="W10" s="9" t="n">
        <x:f>SUMIFS('350配方'!$M10:$P10,'350配方'!$Y10:$AB10,117)</x:f>
        <x:v>0</x:v>
      </x:c>
      <x:c r="X10" s="9" t="n">
        <x:f>SUMIFS('350配方'!$M10:$P10,'350配方'!$Y10:$AB10,126)</x:f>
        <x:v>0</x:v>
      </x:c>
      <x:c r="Y10" s="9" t="n">
        <x:f>SUMIFS('350配方'!$M10:$P10,'350配方'!$Y10:$AB10,136)</x:f>
        <x:v>0</x:v>
      </x:c>
      <x:c r="Z10" s="9" t="n">
        <x:f>SUMIFS('350配方'!$M10:$P10,'350配方'!$Y10:$AB10,141)</x:f>
        <x:v>0</x:v>
      </x:c>
      <x:c r="AA10" s="9" t="n">
        <x:f>SUMIFS('350配方'!$M10:$P10,'350配方'!$Y10:$AB10,152)</x:f>
        <x:v>0</x:v>
      </x:c>
      <x:c r="AB10" s="9" t="n">
        <x:f>SUMIFS('350配方'!$M10:$P10,'350配方'!$Y10:$AB10,165)</x:f>
        <x:v>0</x:v>
      </x:c>
      <x:c r="AC10" s="9" t="n">
        <x:f>SUMIFS('350配方'!$M10:$P10,'350配方'!$Y10:$AB10,186)</x:f>
        <x:v>0</x:v>
      </x:c>
      <x:c r="AD10" s="9" t="n">
        <x:f>SUMIFS('350配方'!$M10:$P10,'350配方'!$Y10:$AB10,207)</x:f>
        <x:v>0</x:v>
      </x:c>
      <x:c r="AE10" s="9" t="n">
        <x:f>SUMIFS('350配方'!$M10:$P10,'350配方'!$Y10:$AB10,209)</x:f>
        <x:v>0</x:v>
      </x:c>
      <x:c r="AF10" s="9" t="n">
        <x:f>SUMIFS('350配方'!$M10:$P10,'350配方'!$Y10:$AB10,227)</x:f>
        <x:v>0</x:v>
      </x:c>
      <x:c r="AG10" s="9" t="n">
        <x:f>SUMIFS('350配方'!$M10:$P10,'350配方'!$Y10:$AB10,232)</x:f>
        <x:v>0</x:v>
      </x:c>
      <x:c r="AH10" s="9" t="n">
        <x:f>SUMIFS('350配方'!$M10:$P10,'350配方'!$Y10:$AB10,255)</x:f>
        <x:v>0</x:v>
      </x:c>
      <x:c r="AI10" s="9" t="n">
        <x:f>'浓度设置'!S6</x:f>
        <x:v>219125.9626344086</x:v>
      </x:c>
      <x:c r="AJ10" s="9" t="n">
        <x:f>'浓度设置'!S8</x:f>
        <x:v>92796.92267241378</x:v>
      </x:c>
      <x:c r="AK10" s="9" t="n">
        <x:f>'浓度设置'!S10</x:f>
        <x:v>30556.797802197798</x:v>
      </x:c>
      <x:c r="AL10" s="9" t="n">
        <x:f>'浓度设置'!S12</x:f>
        <x:v>1735.828970588235</x:v>
      </x:c>
      <x:c r="AM10" s="9" t="n">
        <x:f>'浓度设置'!S15</x:f>
        <x:v>7385.813644067793</x:v>
      </x:c>
      <x:c r="AN10" s="9" t="n">
        <x:f>'浓度设置'!S19</x:f>
        <x:v>27722.03097701148</x:v>
      </x:c>
      <x:c r="AO10" s="9" t="n">
        <x:f>'浓度设置'!S22</x:f>
        <x:v>44345.55047619048</x:v>
      </x:c>
      <x:c r="AP10" s="9" t="n">
        <x:f>'浓度设置'!S26</x:f>
        <x:v>153318.30499999996</x:v>
      </x:c>
      <x:c r="AQ10" s="9" t="n">
        <x:f>'浓度设置'!S29</x:f>
        <x:v>312.7970588235294</x:v>
      </x:c>
      <x:c r="AR10" s="9" t="n">
        <x:f>'浓度设置'!S30</x:f>
        <x:v>104175.5097553192</x:v>
      </x:c>
      <x:c r="AS10" s="9" t="n">
        <x:f>'浓度设置'!S35</x:f>
        <x:v>405974.90656785714</x:v>
      </x:c>
    </x:row>
    <x:row r="11" ht="24" customHeight="1">
      <x:c r="A11" s="3" t="str">
        <x:f>'350配方'!A11</x:f>
        <x:v>T006</x:v>
      </x:c>
      <x:c r="B11" s="3" t="str">
        <x:f>'350配方'!B11</x:f>
        <x:v>拟合</x:v>
      </x:c>
      <x:c r="C11" s="3" t="n">
        <x:f>IF(B11="拟合",1,0)</x:f>
        <x:v>1</x:v>
      </x:c>
      <x:c r="D11" s="3" t="n">
        <x:f>'350配方'!AC11</x:f>
        <x:v>1</x:v>
      </x:c>
      <x:c r="E11" s="9" t="n">
        <x:f>SUMIFS('350配方'!$M11:$P11,'350配方'!$Y11:$AB11,7)</x:f>
        <x:v>0</x:v>
      </x:c>
      <x:c r="F11" s="9" t="n">
        <x:f>SUMIFS('350配方'!$M11:$P11,'350配方'!$Y11:$AB11,11)</x:f>
        <x:v>4198.825192836682</x:v>
      </x:c>
      <x:c r="G11" s="9" t="n">
        <x:f>SUMIFS('350配方'!$M11:$P11,'350配方'!$Y11:$AB11,18)</x:f>
        <x:v>0</x:v>
      </x:c>
      <x:c r="H11" s="9" t="n">
        <x:f>SUMIFS('350配方'!$M11:$P11,'350配方'!$Y11:$AB11,32)</x:f>
        <x:v>0</x:v>
      </x:c>
      <x:c r="I11" s="9" t="n">
        <x:f>SUMIFS('350配方'!$M11:$P11,'350配方'!$Y11:$AB11,40)</x:f>
        <x:v>0</x:v>
      </x:c>
      <x:c r="J11" s="9" t="n">
        <x:f>SUMIFS('350配方'!$M11:$P11,'350配方'!$Y11:$AB11,52)</x:f>
        <x:v>0</x:v>
      </x:c>
      <x:c r="K11" s="9" t="n">
        <x:f>SUMIFS('350配方'!$M11:$P11,'350配方'!$Y11:$AB11,53)</x:f>
        <x:v>0</x:v>
      </x:c>
      <x:c r="L11" s="9" t="n">
        <x:f>SUMIFS('350配方'!$M11:$P11,'350配方'!$Y11:$AB11,56)</x:f>
        <x:v>0</x:v>
      </x:c>
      <x:c r="M11" s="9" t="n">
        <x:f>SUMIFS('350配方'!$M11:$P11,'350配方'!$Y11:$AB11,58)</x:f>
        <x:v>0</x:v>
      </x:c>
      <x:c r="N11" s="9" t="n">
        <x:f>SUMIFS('350配方'!$M11:$P11,'350配方'!$Y11:$AB11,61)</x:f>
        <x:v>0</x:v>
      </x:c>
      <x:c r="O11" s="9" t="n">
        <x:f>SUMIFS('350配方'!$M11:$P11,'350配方'!$Y11:$AB11,69)</x:f>
        <x:v>0</x:v>
      </x:c>
      <x:c r="P11" s="9" t="n">
        <x:f>SUMIFS('350配方'!$M11:$P11,'350配方'!$Y11:$AB11,75)</x:f>
        <x:v>0</x:v>
      </x:c>
      <x:c r="Q11" s="9" t="n">
        <x:f>SUMIFS('350配方'!$M11:$P11,'350配方'!$Y11:$AB11,79)</x:f>
        <x:v>0</x:v>
      </x:c>
      <x:c r="R11" s="9" t="n">
        <x:f>SUMIFS('350配方'!$M11:$P11,'350配方'!$Y11:$AB11,90)</x:f>
        <x:v>0</x:v>
      </x:c>
      <x:c r="S11" s="9" t="n">
        <x:f>SUMIFS('350配方'!$M11:$P11,'350配方'!$Y11:$AB11,105)</x:f>
        <x:v>0</x:v>
      </x:c>
      <x:c r="T11" s="9" t="n">
        <x:f>SUMIFS('350配方'!$M11:$P11,'350配方'!$Y11:$AB11,111)</x:f>
        <x:v>0</x:v>
      </x:c>
      <x:c r="U11" s="9" t="n">
        <x:f>SUMIFS('350配方'!$M11:$P11,'350配方'!$Y11:$AB11,114)</x:f>
        <x:v>0</x:v>
      </x:c>
      <x:c r="V11" s="9" t="n">
        <x:f>SUMIFS('350配方'!$M11:$P11,'350配方'!$Y11:$AB11,115)</x:f>
        <x:v>0</x:v>
      </x:c>
      <x:c r="W11" s="9" t="n">
        <x:f>SUMIFS('350配方'!$M11:$P11,'350配方'!$Y11:$AB11,117)</x:f>
        <x:v>0</x:v>
      </x:c>
      <x:c r="X11" s="9" t="n">
        <x:f>SUMIFS('350配方'!$M11:$P11,'350配方'!$Y11:$AB11,126)</x:f>
        <x:v>0</x:v>
      </x:c>
      <x:c r="Y11" s="9" t="n">
        <x:f>SUMIFS('350配方'!$M11:$P11,'350配方'!$Y11:$AB11,136)</x:f>
        <x:v>0</x:v>
      </x:c>
      <x:c r="Z11" s="9" t="n">
        <x:f>SUMIFS('350配方'!$M11:$P11,'350配方'!$Y11:$AB11,141)</x:f>
        <x:v>0</x:v>
      </x:c>
      <x:c r="AA11" s="9" t="n">
        <x:f>SUMIFS('350配方'!$M11:$P11,'350配方'!$Y11:$AB11,152)</x:f>
        <x:v>0</x:v>
      </x:c>
      <x:c r="AB11" s="9" t="n">
        <x:f>SUMIFS('350配方'!$M11:$P11,'350配方'!$Y11:$AB11,165)</x:f>
        <x:v>0</x:v>
      </x:c>
      <x:c r="AC11" s="9" t="n">
        <x:f>SUMIFS('350配方'!$M11:$P11,'350配方'!$Y11:$AB11,186)</x:f>
        <x:v>0</x:v>
      </x:c>
      <x:c r="AD11" s="9" t="n">
        <x:f>SUMIFS('350配方'!$M11:$P11,'350配方'!$Y11:$AB11,207)</x:f>
        <x:v>0</x:v>
      </x:c>
      <x:c r="AE11" s="9" t="n">
        <x:f>SUMIFS('350配方'!$M11:$P11,'350配方'!$Y11:$AB11,209)</x:f>
        <x:v>0</x:v>
      </x:c>
      <x:c r="AF11" s="9" t="n">
        <x:f>SUMIFS('350配方'!$M11:$P11,'350配方'!$Y11:$AB11,227)</x:f>
        <x:v>0</x:v>
      </x:c>
      <x:c r="AG11" s="9" t="n">
        <x:f>SUMIFS('350配方'!$M11:$P11,'350配方'!$Y11:$AB11,232)</x:f>
        <x:v>0</x:v>
      </x:c>
      <x:c r="AH11" s="9" t="n">
        <x:f>SUMIFS('350配方'!$M11:$P11,'350配方'!$Y11:$AB11,255)</x:f>
        <x:v>0</x:v>
      </x:c>
      <x:c r="AI11" s="9" t="n">
        <x:f>'浓度设置'!S6</x:f>
        <x:v>219125.9626344086</x:v>
      </x:c>
      <x:c r="AJ11" s="9" t="n">
        <x:f>'浓度设置'!S8</x:f>
        <x:v>92796.92267241378</x:v>
      </x:c>
      <x:c r="AK11" s="9" t="n">
        <x:f>'浓度设置'!S10</x:f>
        <x:v>30556.797802197798</x:v>
      </x:c>
      <x:c r="AL11" s="9" t="n">
        <x:f>'浓度设置'!S12</x:f>
        <x:v>1735.828970588235</x:v>
      </x:c>
      <x:c r="AM11" s="9" t="n">
        <x:f>'浓度设置'!S15</x:f>
        <x:v>7385.813644067793</x:v>
      </x:c>
      <x:c r="AN11" s="9" t="n">
        <x:f>'浓度设置'!S19</x:f>
        <x:v>27722.03097701148</x:v>
      </x:c>
      <x:c r="AO11" s="9" t="n">
        <x:f>'浓度设置'!S22</x:f>
        <x:v>44345.55047619048</x:v>
      </x:c>
      <x:c r="AP11" s="9" t="n">
        <x:f>'浓度设置'!S26</x:f>
        <x:v>153318.30499999996</x:v>
      </x:c>
      <x:c r="AQ11" s="9" t="n">
        <x:f>'浓度设置'!S29</x:f>
        <x:v>312.7970588235294</x:v>
      </x:c>
      <x:c r="AR11" s="9" t="n">
        <x:f>'浓度设置'!S30</x:f>
        <x:v>104175.5097553192</x:v>
      </x:c>
      <x:c r="AS11" s="9" t="n">
        <x:f>'浓度设置'!S35</x:f>
        <x:v>405974.90656785714</x:v>
      </x:c>
    </x:row>
    <x:row r="12" ht="24" customHeight="1">
      <x:c r="A12" s="3" t="str">
        <x:f>'350配方'!A12</x:f>
        <x:v>T007</x:v>
      </x:c>
      <x:c r="B12" s="3" t="str">
        <x:f>'350配方'!B12</x:f>
        <x:v>拟合</x:v>
      </x:c>
      <x:c r="C12" s="3" t="n">
        <x:f>IF(B12="拟合",1,0)</x:f>
        <x:v>1</x:v>
      </x:c>
      <x:c r="D12" s="3" t="n">
        <x:f>'350配方'!AC12</x:f>
        <x:v>1</x:v>
      </x:c>
      <x:c r="E12" s="9" t="n">
        <x:f>SUMIFS('350配方'!$M12:$P12,'350配方'!$Y12:$AB12,7)</x:f>
        <x:v>0</x:v>
      </x:c>
      <x:c r="F12" s="9" t="n">
        <x:f>SUMIFS('350配方'!$M12:$P12,'350配方'!$Y12:$AB12,11)</x:f>
        <x:v>1038900</x:v>
      </x:c>
      <x:c r="G12" s="9" t="n">
        <x:f>SUMIFS('350配方'!$M12:$P12,'350配方'!$Y12:$AB12,18)</x:f>
        <x:v>0</x:v>
      </x:c>
      <x:c r="H12" s="9" t="n">
        <x:f>SUMIFS('350配方'!$M12:$P12,'350配方'!$Y12:$AB12,32)</x:f>
        <x:v>0</x:v>
      </x:c>
      <x:c r="I12" s="9" t="n">
        <x:f>SUMIFS('350配方'!$M12:$P12,'350配方'!$Y12:$AB12,40)</x:f>
        <x:v>0</x:v>
      </x:c>
      <x:c r="J12" s="9" t="n">
        <x:f>SUMIFS('350配方'!$M12:$P12,'350配方'!$Y12:$AB12,52)</x:f>
        <x:v>0</x:v>
      </x:c>
      <x:c r="K12" s="9" t="n">
        <x:f>SUMIFS('350配方'!$M12:$P12,'350配方'!$Y12:$AB12,53)</x:f>
        <x:v>0</x:v>
      </x:c>
      <x:c r="L12" s="9" t="n">
        <x:f>SUMIFS('350配方'!$M12:$P12,'350配方'!$Y12:$AB12,56)</x:f>
        <x:v>0</x:v>
      </x:c>
      <x:c r="M12" s="9" t="n">
        <x:f>SUMIFS('350配方'!$M12:$P12,'350配方'!$Y12:$AB12,58)</x:f>
        <x:v>0</x:v>
      </x:c>
      <x:c r="N12" s="9" t="n">
        <x:f>SUMIFS('350配方'!$M12:$P12,'350配方'!$Y12:$AB12,61)</x:f>
        <x:v>0</x:v>
      </x:c>
      <x:c r="O12" s="9" t="n">
        <x:f>SUMIFS('350配方'!$M12:$P12,'350配方'!$Y12:$AB12,69)</x:f>
        <x:v>0</x:v>
      </x:c>
      <x:c r="P12" s="9" t="n">
        <x:f>SUMIFS('350配方'!$M12:$P12,'350配方'!$Y12:$AB12,75)</x:f>
        <x:v>0</x:v>
      </x:c>
      <x:c r="Q12" s="9" t="n">
        <x:f>SUMIFS('350配方'!$M12:$P12,'350配方'!$Y12:$AB12,79)</x:f>
        <x:v>0</x:v>
      </x:c>
      <x:c r="R12" s="9" t="n">
        <x:f>SUMIFS('350配方'!$M12:$P12,'350配方'!$Y12:$AB12,90)</x:f>
        <x:v>0</x:v>
      </x:c>
      <x:c r="S12" s="9" t="n">
        <x:f>SUMIFS('350配方'!$M12:$P12,'350配方'!$Y12:$AB12,105)</x:f>
        <x:v>0</x:v>
      </x:c>
      <x:c r="T12" s="9" t="n">
        <x:f>SUMIFS('350配方'!$M12:$P12,'350配方'!$Y12:$AB12,111)</x:f>
        <x:v>0</x:v>
      </x:c>
      <x:c r="U12" s="9" t="n">
        <x:f>SUMIFS('350配方'!$M12:$P12,'350配方'!$Y12:$AB12,114)</x:f>
        <x:v>0</x:v>
      </x:c>
      <x:c r="V12" s="9" t="n">
        <x:f>SUMIFS('350配方'!$M12:$P12,'350配方'!$Y12:$AB12,115)</x:f>
        <x:v>0</x:v>
      </x:c>
      <x:c r="W12" s="9" t="n">
        <x:f>SUMIFS('350配方'!$M12:$P12,'350配方'!$Y12:$AB12,117)</x:f>
        <x:v>0</x:v>
      </x:c>
      <x:c r="X12" s="9" t="n">
        <x:f>SUMIFS('350配方'!$M12:$P12,'350配方'!$Y12:$AB12,126)</x:f>
        <x:v>0</x:v>
      </x:c>
      <x:c r="Y12" s="9" t="n">
        <x:f>SUMIFS('350配方'!$M12:$P12,'350配方'!$Y12:$AB12,136)</x:f>
        <x:v>0</x:v>
      </x:c>
      <x:c r="Z12" s="9" t="n">
        <x:f>SUMIFS('350配方'!$M12:$P12,'350配方'!$Y12:$AB12,141)</x:f>
        <x:v>0</x:v>
      </x:c>
      <x:c r="AA12" s="9" t="n">
        <x:f>SUMIFS('350配方'!$M12:$P12,'350配方'!$Y12:$AB12,152)</x:f>
        <x:v>0</x:v>
      </x:c>
      <x:c r="AB12" s="9" t="n">
        <x:f>SUMIFS('350配方'!$M12:$P12,'350配方'!$Y12:$AB12,165)</x:f>
        <x:v>0</x:v>
      </x:c>
      <x:c r="AC12" s="9" t="n">
        <x:f>SUMIFS('350配方'!$M12:$P12,'350配方'!$Y12:$AB12,186)</x:f>
        <x:v>0</x:v>
      </x:c>
      <x:c r="AD12" s="9" t="n">
        <x:f>SUMIFS('350配方'!$M12:$P12,'350配方'!$Y12:$AB12,207)</x:f>
        <x:v>0</x:v>
      </x:c>
      <x:c r="AE12" s="9" t="n">
        <x:f>SUMIFS('350配方'!$M12:$P12,'350配方'!$Y12:$AB12,209)</x:f>
        <x:v>0</x:v>
      </x:c>
      <x:c r="AF12" s="9" t="n">
        <x:f>SUMIFS('350配方'!$M12:$P12,'350配方'!$Y12:$AB12,227)</x:f>
        <x:v>0</x:v>
      </x:c>
      <x:c r="AG12" s="9" t="n">
        <x:f>SUMIFS('350配方'!$M12:$P12,'350配方'!$Y12:$AB12,232)</x:f>
        <x:v>0</x:v>
      </x:c>
      <x:c r="AH12" s="9" t="n">
        <x:f>SUMIFS('350配方'!$M12:$P12,'350配方'!$Y12:$AB12,255)</x:f>
        <x:v>0</x:v>
      </x:c>
      <x:c r="AI12" s="9" t="n">
        <x:f>'浓度设置'!S6</x:f>
        <x:v>219125.9626344086</x:v>
      </x:c>
      <x:c r="AJ12" s="9" t="n">
        <x:f>'浓度设置'!S8</x:f>
        <x:v>92796.92267241378</x:v>
      </x:c>
      <x:c r="AK12" s="9" t="n">
        <x:f>'浓度设置'!S10</x:f>
        <x:v>30556.797802197798</x:v>
      </x:c>
      <x:c r="AL12" s="9" t="n">
        <x:f>'浓度设置'!S12</x:f>
        <x:v>1735.828970588235</x:v>
      </x:c>
      <x:c r="AM12" s="9" t="n">
        <x:f>'浓度设置'!S15</x:f>
        <x:v>7385.813644067793</x:v>
      </x:c>
      <x:c r="AN12" s="9" t="n">
        <x:f>'浓度设置'!S19</x:f>
        <x:v>27722.03097701148</x:v>
      </x:c>
      <x:c r="AO12" s="9" t="n">
        <x:f>'浓度设置'!S22</x:f>
        <x:v>44345.55047619048</x:v>
      </x:c>
      <x:c r="AP12" s="9" t="n">
        <x:f>'浓度设置'!S26</x:f>
        <x:v>153318.30499999996</x:v>
      </x:c>
      <x:c r="AQ12" s="9" t="n">
        <x:f>'浓度设置'!S29</x:f>
        <x:v>312.7970588235294</x:v>
      </x:c>
      <x:c r="AR12" s="9" t="n">
        <x:f>'浓度设置'!S30</x:f>
        <x:v>104175.5097553192</x:v>
      </x:c>
      <x:c r="AS12" s="9" t="n">
        <x:f>'浓度设置'!S35</x:f>
        <x:v>405974.90656785714</x:v>
      </x:c>
    </x:row>
    <x:row r="13" ht="24" customHeight="1">
      <x:c r="A13" s="3" t="str">
        <x:f>'350配方'!A13</x:f>
        <x:v>T008</x:v>
      </x:c>
      <x:c r="B13" s="3" t="str">
        <x:f>'350配方'!B13</x:f>
        <x:v>拟合</x:v>
      </x:c>
      <x:c r="C13" s="3" t="n">
        <x:f>IF(B13="拟合",1,0)</x:f>
        <x:v>1</x:v>
      </x:c>
      <x:c r="D13" s="3" t="n">
        <x:f>'350配方'!AC13</x:f>
        <x:v>1</x:v>
      </x:c>
      <x:c r="E13" s="9" t="n">
        <x:f>SUMIFS('350配方'!$M13:$P13,'350配方'!$Y13:$AB13,7)</x:f>
        <x:v>0</x:v>
      </x:c>
      <x:c r="F13" s="9" t="n">
        <x:f>SUMIFS('350配方'!$M13:$P13,'350配方'!$Y13:$AB13,11)</x:f>
        <x:v>0</x:v>
      </x:c>
      <x:c r="G13" s="9" t="n">
        <x:f>SUMIFS('350配方'!$M13:$P13,'350配方'!$Y13:$AB13,18)</x:f>
        <x:v>39</x:v>
      </x:c>
      <x:c r="H13" s="9" t="n">
        <x:f>SUMIFS('350配方'!$M13:$P13,'350配方'!$Y13:$AB13,32)</x:f>
        <x:v>0</x:v>
      </x:c>
      <x:c r="I13" s="9" t="n">
        <x:f>SUMIFS('350配方'!$M13:$P13,'350配方'!$Y13:$AB13,40)</x:f>
        <x:v>0</x:v>
      </x:c>
      <x:c r="J13" s="9" t="n">
        <x:f>SUMIFS('350配方'!$M13:$P13,'350配方'!$Y13:$AB13,52)</x:f>
        <x:v>0</x:v>
      </x:c>
      <x:c r="K13" s="9" t="n">
        <x:f>SUMIFS('350配方'!$M13:$P13,'350配方'!$Y13:$AB13,53)</x:f>
        <x:v>0</x:v>
      </x:c>
      <x:c r="L13" s="9" t="n">
        <x:f>SUMIFS('350配方'!$M13:$P13,'350配方'!$Y13:$AB13,56)</x:f>
        <x:v>0</x:v>
      </x:c>
      <x:c r="M13" s="9" t="n">
        <x:f>SUMIFS('350配方'!$M13:$P13,'350配方'!$Y13:$AB13,58)</x:f>
        <x:v>0</x:v>
      </x:c>
      <x:c r="N13" s="9" t="n">
        <x:f>SUMIFS('350配方'!$M13:$P13,'350配方'!$Y13:$AB13,61)</x:f>
        <x:v>0</x:v>
      </x:c>
      <x:c r="O13" s="9" t="n">
        <x:f>SUMIFS('350配方'!$M13:$P13,'350配方'!$Y13:$AB13,69)</x:f>
        <x:v>0</x:v>
      </x:c>
      <x:c r="P13" s="9" t="n">
        <x:f>SUMIFS('350配方'!$M13:$P13,'350配方'!$Y13:$AB13,75)</x:f>
        <x:v>0</x:v>
      </x:c>
      <x:c r="Q13" s="9" t="n">
        <x:f>SUMIFS('350配方'!$M13:$P13,'350配方'!$Y13:$AB13,79)</x:f>
        <x:v>0</x:v>
      </x:c>
      <x:c r="R13" s="9" t="n">
        <x:f>SUMIFS('350配方'!$M13:$P13,'350配方'!$Y13:$AB13,90)</x:f>
        <x:v>0</x:v>
      </x:c>
      <x:c r="S13" s="9" t="n">
        <x:f>SUMIFS('350配方'!$M13:$P13,'350配方'!$Y13:$AB13,105)</x:f>
        <x:v>0</x:v>
      </x:c>
      <x:c r="T13" s="9" t="n">
        <x:f>SUMIFS('350配方'!$M13:$P13,'350配方'!$Y13:$AB13,111)</x:f>
        <x:v>0</x:v>
      </x:c>
      <x:c r="U13" s="9" t="n">
        <x:f>SUMIFS('350配方'!$M13:$P13,'350配方'!$Y13:$AB13,114)</x:f>
        <x:v>0</x:v>
      </x:c>
      <x:c r="V13" s="9" t="n">
        <x:f>SUMIFS('350配方'!$M13:$P13,'350配方'!$Y13:$AB13,115)</x:f>
        <x:v>0</x:v>
      </x:c>
      <x:c r="W13" s="9" t="n">
        <x:f>SUMIFS('350配方'!$M13:$P13,'350配方'!$Y13:$AB13,117)</x:f>
        <x:v>0</x:v>
      </x:c>
      <x:c r="X13" s="9" t="n">
        <x:f>SUMIFS('350配方'!$M13:$P13,'350配方'!$Y13:$AB13,126)</x:f>
        <x:v>0</x:v>
      </x:c>
      <x:c r="Y13" s="9" t="n">
        <x:f>SUMIFS('350配方'!$M13:$P13,'350配方'!$Y13:$AB13,136)</x:f>
        <x:v>0</x:v>
      </x:c>
      <x:c r="Z13" s="9" t="n">
        <x:f>SUMIFS('350配方'!$M13:$P13,'350配方'!$Y13:$AB13,141)</x:f>
        <x:v>0</x:v>
      </x:c>
      <x:c r="AA13" s="9" t="n">
        <x:f>SUMIFS('350配方'!$M13:$P13,'350配方'!$Y13:$AB13,152)</x:f>
        <x:v>0</x:v>
      </x:c>
      <x:c r="AB13" s="9" t="n">
        <x:f>SUMIFS('350配方'!$M13:$P13,'350配方'!$Y13:$AB13,165)</x:f>
        <x:v>0</x:v>
      </x:c>
      <x:c r="AC13" s="9" t="n">
        <x:f>SUMIFS('350配方'!$M13:$P13,'350配方'!$Y13:$AB13,186)</x:f>
        <x:v>0</x:v>
      </x:c>
      <x:c r="AD13" s="9" t="n">
        <x:f>SUMIFS('350配方'!$M13:$P13,'350配方'!$Y13:$AB13,207)</x:f>
        <x:v>0</x:v>
      </x:c>
      <x:c r="AE13" s="9" t="n">
        <x:f>SUMIFS('350配方'!$M13:$P13,'350配方'!$Y13:$AB13,209)</x:f>
        <x:v>0</x:v>
      </x:c>
      <x:c r="AF13" s="9" t="n">
        <x:f>SUMIFS('350配方'!$M13:$P13,'350配方'!$Y13:$AB13,227)</x:f>
        <x:v>0</x:v>
      </x:c>
      <x:c r="AG13" s="9" t="n">
        <x:f>SUMIFS('350配方'!$M13:$P13,'350配方'!$Y13:$AB13,232)</x:f>
        <x:v>0</x:v>
      </x:c>
      <x:c r="AH13" s="9" t="n">
        <x:f>SUMIFS('350配方'!$M13:$P13,'350配方'!$Y13:$AB13,255)</x:f>
        <x:v>0</x:v>
      </x:c>
      <x:c r="AI13" s="9" t="n">
        <x:f>'浓度设置'!S6</x:f>
        <x:v>219125.9626344086</x:v>
      </x:c>
      <x:c r="AJ13" s="9" t="n">
        <x:f>'浓度设置'!S8</x:f>
        <x:v>92796.92267241378</x:v>
      </x:c>
      <x:c r="AK13" s="9" t="n">
        <x:f>'浓度设置'!S10</x:f>
        <x:v>30556.797802197798</x:v>
      </x:c>
      <x:c r="AL13" s="9" t="n">
        <x:f>'浓度设置'!S12</x:f>
        <x:v>1735.828970588235</x:v>
      </x:c>
      <x:c r="AM13" s="9" t="n">
        <x:f>'浓度设置'!S15</x:f>
        <x:v>7385.813644067793</x:v>
      </x:c>
      <x:c r="AN13" s="9" t="n">
        <x:f>'浓度设置'!S19</x:f>
        <x:v>27722.03097701148</x:v>
      </x:c>
      <x:c r="AO13" s="9" t="n">
        <x:f>'浓度设置'!S22</x:f>
        <x:v>44345.55047619048</x:v>
      </x:c>
      <x:c r="AP13" s="9" t="n">
        <x:f>'浓度设置'!S26</x:f>
        <x:v>153318.30499999996</x:v>
      </x:c>
      <x:c r="AQ13" s="9" t="n">
        <x:f>'浓度设置'!S29</x:f>
        <x:v>312.7970588235294</x:v>
      </x:c>
      <x:c r="AR13" s="9" t="n">
        <x:f>'浓度设置'!S30</x:f>
        <x:v>104175.5097553192</x:v>
      </x:c>
      <x:c r="AS13" s="9" t="n">
        <x:f>'浓度设置'!S35</x:f>
        <x:v>405974.90656785714</x:v>
      </x:c>
    </x:row>
    <x:row r="14" ht="24" customHeight="1">
      <x:c r="A14" s="3" t="str">
        <x:f>'350配方'!A14</x:f>
        <x:v>T009</x:v>
      </x:c>
      <x:c r="B14" s="3" t="str">
        <x:f>'350配方'!B14</x:f>
        <x:v>拟合</x:v>
      </x:c>
      <x:c r="C14" s="3" t="n">
        <x:f>IF(B14="拟合",1,0)</x:f>
        <x:v>1</x:v>
      </x:c>
      <x:c r="D14" s="3" t="n">
        <x:f>'350配方'!AC14</x:f>
        <x:v>1</x:v>
      </x:c>
      <x:c r="E14" s="9" t="n">
        <x:f>SUMIFS('350配方'!$M14:$P14,'350配方'!$Y14:$AB14,7)</x:f>
        <x:v>0</x:v>
      </x:c>
      <x:c r="F14" s="9" t="n">
        <x:f>SUMIFS('350配方'!$M14:$P14,'350配方'!$Y14:$AB14,11)</x:f>
        <x:v>0</x:v>
      </x:c>
      <x:c r="G14" s="9" t="n">
        <x:f>SUMIFS('350配方'!$M14:$P14,'350配方'!$Y14:$AB14,18)</x:f>
        <x:v>1183.2582135780847</x:v>
      </x:c>
      <x:c r="H14" s="9" t="n">
        <x:f>SUMIFS('350配方'!$M14:$P14,'350配方'!$Y14:$AB14,32)</x:f>
        <x:v>0</x:v>
      </x:c>
      <x:c r="I14" s="9" t="n">
        <x:f>SUMIFS('350配方'!$M14:$P14,'350配方'!$Y14:$AB14,40)</x:f>
        <x:v>0</x:v>
      </x:c>
      <x:c r="J14" s="9" t="n">
        <x:f>SUMIFS('350配方'!$M14:$P14,'350配方'!$Y14:$AB14,52)</x:f>
        <x:v>0</x:v>
      </x:c>
      <x:c r="K14" s="9" t="n">
        <x:f>SUMIFS('350配方'!$M14:$P14,'350配方'!$Y14:$AB14,53)</x:f>
        <x:v>0</x:v>
      </x:c>
      <x:c r="L14" s="9" t="n">
        <x:f>SUMIFS('350配方'!$M14:$P14,'350配方'!$Y14:$AB14,56)</x:f>
        <x:v>0</x:v>
      </x:c>
      <x:c r="M14" s="9" t="n">
        <x:f>SUMIFS('350配方'!$M14:$P14,'350配方'!$Y14:$AB14,58)</x:f>
        <x:v>0</x:v>
      </x:c>
      <x:c r="N14" s="9" t="n">
        <x:f>SUMIFS('350配方'!$M14:$P14,'350配方'!$Y14:$AB14,61)</x:f>
        <x:v>0</x:v>
      </x:c>
      <x:c r="O14" s="9" t="n">
        <x:f>SUMIFS('350配方'!$M14:$P14,'350配方'!$Y14:$AB14,69)</x:f>
        <x:v>0</x:v>
      </x:c>
      <x:c r="P14" s="9" t="n">
        <x:f>SUMIFS('350配方'!$M14:$P14,'350配方'!$Y14:$AB14,75)</x:f>
        <x:v>0</x:v>
      </x:c>
      <x:c r="Q14" s="9" t="n">
        <x:f>SUMIFS('350配方'!$M14:$P14,'350配方'!$Y14:$AB14,79)</x:f>
        <x:v>0</x:v>
      </x:c>
      <x:c r="R14" s="9" t="n">
        <x:f>SUMIFS('350配方'!$M14:$P14,'350配方'!$Y14:$AB14,90)</x:f>
        <x:v>0</x:v>
      </x:c>
      <x:c r="S14" s="9" t="n">
        <x:f>SUMIFS('350配方'!$M14:$P14,'350配方'!$Y14:$AB14,105)</x:f>
        <x:v>0</x:v>
      </x:c>
      <x:c r="T14" s="9" t="n">
        <x:f>SUMIFS('350配方'!$M14:$P14,'350配方'!$Y14:$AB14,111)</x:f>
        <x:v>0</x:v>
      </x:c>
      <x:c r="U14" s="9" t="n">
        <x:f>SUMIFS('350配方'!$M14:$P14,'350配方'!$Y14:$AB14,114)</x:f>
        <x:v>0</x:v>
      </x:c>
      <x:c r="V14" s="9" t="n">
        <x:f>SUMIFS('350配方'!$M14:$P14,'350配方'!$Y14:$AB14,115)</x:f>
        <x:v>0</x:v>
      </x:c>
      <x:c r="W14" s="9" t="n">
        <x:f>SUMIFS('350配方'!$M14:$P14,'350配方'!$Y14:$AB14,117)</x:f>
        <x:v>0</x:v>
      </x:c>
      <x:c r="X14" s="9" t="n">
        <x:f>SUMIFS('350配方'!$M14:$P14,'350配方'!$Y14:$AB14,126)</x:f>
        <x:v>0</x:v>
      </x:c>
      <x:c r="Y14" s="9" t="n">
        <x:f>SUMIFS('350配方'!$M14:$P14,'350配方'!$Y14:$AB14,136)</x:f>
        <x:v>0</x:v>
      </x:c>
      <x:c r="Z14" s="9" t="n">
        <x:f>SUMIFS('350配方'!$M14:$P14,'350配方'!$Y14:$AB14,141)</x:f>
        <x:v>0</x:v>
      </x:c>
      <x:c r="AA14" s="9" t="n">
        <x:f>SUMIFS('350配方'!$M14:$P14,'350配方'!$Y14:$AB14,152)</x:f>
        <x:v>0</x:v>
      </x:c>
      <x:c r="AB14" s="9" t="n">
        <x:f>SUMIFS('350配方'!$M14:$P14,'350配方'!$Y14:$AB14,165)</x:f>
        <x:v>0</x:v>
      </x:c>
      <x:c r="AC14" s="9" t="n">
        <x:f>SUMIFS('350配方'!$M14:$P14,'350配方'!$Y14:$AB14,186)</x:f>
        <x:v>0</x:v>
      </x:c>
      <x:c r="AD14" s="9" t="n">
        <x:f>SUMIFS('350配方'!$M14:$P14,'350配方'!$Y14:$AB14,207)</x:f>
        <x:v>0</x:v>
      </x:c>
      <x:c r="AE14" s="9" t="n">
        <x:f>SUMIFS('350配方'!$M14:$P14,'350配方'!$Y14:$AB14,209)</x:f>
        <x:v>0</x:v>
      </x:c>
      <x:c r="AF14" s="9" t="n">
        <x:f>SUMIFS('350配方'!$M14:$P14,'350配方'!$Y14:$AB14,227)</x:f>
        <x:v>0</x:v>
      </x:c>
      <x:c r="AG14" s="9" t="n">
        <x:f>SUMIFS('350配方'!$M14:$P14,'350配方'!$Y14:$AB14,232)</x:f>
        <x:v>0</x:v>
      </x:c>
      <x:c r="AH14" s="9" t="n">
        <x:f>SUMIFS('350配方'!$M14:$P14,'350配方'!$Y14:$AB14,255)</x:f>
        <x:v>0</x:v>
      </x:c>
      <x:c r="AI14" s="9" t="n">
        <x:f>'浓度设置'!S6</x:f>
        <x:v>219125.9626344086</x:v>
      </x:c>
      <x:c r="AJ14" s="9" t="n">
        <x:f>'浓度设置'!S8</x:f>
        <x:v>92796.92267241378</x:v>
      </x:c>
      <x:c r="AK14" s="9" t="n">
        <x:f>'浓度设置'!S10</x:f>
        <x:v>30556.797802197798</x:v>
      </x:c>
      <x:c r="AL14" s="9" t="n">
        <x:f>'浓度设置'!S12</x:f>
        <x:v>1735.828970588235</x:v>
      </x:c>
      <x:c r="AM14" s="9" t="n">
        <x:f>'浓度设置'!S15</x:f>
        <x:v>7385.813644067793</x:v>
      </x:c>
      <x:c r="AN14" s="9" t="n">
        <x:f>'浓度设置'!S19</x:f>
        <x:v>27722.03097701148</x:v>
      </x:c>
      <x:c r="AO14" s="9" t="n">
        <x:f>'浓度设置'!S22</x:f>
        <x:v>44345.55047619048</x:v>
      </x:c>
      <x:c r="AP14" s="9" t="n">
        <x:f>'浓度设置'!S26</x:f>
        <x:v>153318.30499999996</x:v>
      </x:c>
      <x:c r="AQ14" s="9" t="n">
        <x:f>'浓度设置'!S29</x:f>
        <x:v>312.7970588235294</x:v>
      </x:c>
      <x:c r="AR14" s="9" t="n">
        <x:f>'浓度设置'!S30</x:f>
        <x:v>104175.5097553192</x:v>
      </x:c>
      <x:c r="AS14" s="9" t="n">
        <x:f>'浓度设置'!S35</x:f>
        <x:v>405974.90656785714</x:v>
      </x:c>
    </x:row>
    <x:row r="15" ht="24" customHeight="1">
      <x:c r="A15" s="3" t="str">
        <x:f>'350配方'!A15</x:f>
        <x:v>T010</x:v>
      </x:c>
      <x:c r="B15" s="3" t="str">
        <x:f>'350配方'!B15</x:f>
        <x:v>拟合</x:v>
      </x:c>
      <x:c r="C15" s="3" t="n">
        <x:f>IF(B15="拟合",1,0)</x:f>
        <x:v>1</x:v>
      </x:c>
      <x:c r="D15" s="3" t="n">
        <x:f>'350配方'!AC15</x:f>
        <x:v>1</x:v>
      </x:c>
      <x:c r="E15" s="9" t="n">
        <x:f>SUMIFS('350配方'!$M15:$P15,'350配方'!$Y15:$AB15,7)</x:f>
        <x:v>0</x:v>
      </x:c>
      <x:c r="F15" s="9" t="n">
        <x:f>SUMIFS('350配方'!$M15:$P15,'350配方'!$Y15:$AB15,11)</x:f>
        <x:v>0</x:v>
      </x:c>
      <x:c r="G15" s="9" t="n">
        <x:f>SUMIFS('350配方'!$M15:$P15,'350配方'!$Y15:$AB15,18)</x:f>
        <x:v>35900</x:v>
      </x:c>
      <x:c r="H15" s="9" t="n">
        <x:f>SUMIFS('350配方'!$M15:$P15,'350配方'!$Y15:$AB15,32)</x:f>
        <x:v>0</x:v>
      </x:c>
      <x:c r="I15" s="9" t="n">
        <x:f>SUMIFS('350配方'!$M15:$P15,'350配方'!$Y15:$AB15,40)</x:f>
        <x:v>0</x:v>
      </x:c>
      <x:c r="J15" s="9" t="n">
        <x:f>SUMIFS('350配方'!$M15:$P15,'350配方'!$Y15:$AB15,52)</x:f>
        <x:v>0</x:v>
      </x:c>
      <x:c r="K15" s="9" t="n">
        <x:f>SUMIFS('350配方'!$M15:$P15,'350配方'!$Y15:$AB15,53)</x:f>
        <x:v>0</x:v>
      </x:c>
      <x:c r="L15" s="9" t="n">
        <x:f>SUMIFS('350配方'!$M15:$P15,'350配方'!$Y15:$AB15,56)</x:f>
        <x:v>0</x:v>
      </x:c>
      <x:c r="M15" s="9" t="n">
        <x:f>SUMIFS('350配方'!$M15:$P15,'350配方'!$Y15:$AB15,58)</x:f>
        <x:v>0</x:v>
      </x:c>
      <x:c r="N15" s="9" t="n">
        <x:f>SUMIFS('350配方'!$M15:$P15,'350配方'!$Y15:$AB15,61)</x:f>
        <x:v>0</x:v>
      </x:c>
      <x:c r="O15" s="9" t="n">
        <x:f>SUMIFS('350配方'!$M15:$P15,'350配方'!$Y15:$AB15,69)</x:f>
        <x:v>0</x:v>
      </x:c>
      <x:c r="P15" s="9" t="n">
        <x:f>SUMIFS('350配方'!$M15:$P15,'350配方'!$Y15:$AB15,75)</x:f>
        <x:v>0</x:v>
      </x:c>
      <x:c r="Q15" s="9" t="n">
        <x:f>SUMIFS('350配方'!$M15:$P15,'350配方'!$Y15:$AB15,79)</x:f>
        <x:v>0</x:v>
      </x:c>
      <x:c r="R15" s="9" t="n">
        <x:f>SUMIFS('350配方'!$M15:$P15,'350配方'!$Y15:$AB15,90)</x:f>
        <x:v>0</x:v>
      </x:c>
      <x:c r="S15" s="9" t="n">
        <x:f>SUMIFS('350配方'!$M15:$P15,'350配方'!$Y15:$AB15,105)</x:f>
        <x:v>0</x:v>
      </x:c>
      <x:c r="T15" s="9" t="n">
        <x:f>SUMIFS('350配方'!$M15:$P15,'350配方'!$Y15:$AB15,111)</x:f>
        <x:v>0</x:v>
      </x:c>
      <x:c r="U15" s="9" t="n">
        <x:f>SUMIFS('350配方'!$M15:$P15,'350配方'!$Y15:$AB15,114)</x:f>
        <x:v>0</x:v>
      </x:c>
      <x:c r="V15" s="9" t="n">
        <x:f>SUMIFS('350配方'!$M15:$P15,'350配方'!$Y15:$AB15,115)</x:f>
        <x:v>0</x:v>
      </x:c>
      <x:c r="W15" s="9" t="n">
        <x:f>SUMIFS('350配方'!$M15:$P15,'350配方'!$Y15:$AB15,117)</x:f>
        <x:v>0</x:v>
      </x:c>
      <x:c r="X15" s="9" t="n">
        <x:f>SUMIFS('350配方'!$M15:$P15,'350配方'!$Y15:$AB15,126)</x:f>
        <x:v>0</x:v>
      </x:c>
      <x:c r="Y15" s="9" t="n">
        <x:f>SUMIFS('350配方'!$M15:$P15,'350配方'!$Y15:$AB15,136)</x:f>
        <x:v>0</x:v>
      </x:c>
      <x:c r="Z15" s="9" t="n">
        <x:f>SUMIFS('350配方'!$M15:$P15,'350配方'!$Y15:$AB15,141)</x:f>
        <x:v>0</x:v>
      </x:c>
      <x:c r="AA15" s="9" t="n">
        <x:f>SUMIFS('350配方'!$M15:$P15,'350配方'!$Y15:$AB15,152)</x:f>
        <x:v>0</x:v>
      </x:c>
      <x:c r="AB15" s="9" t="n">
        <x:f>SUMIFS('350配方'!$M15:$P15,'350配方'!$Y15:$AB15,165)</x:f>
        <x:v>0</x:v>
      </x:c>
      <x:c r="AC15" s="9" t="n">
        <x:f>SUMIFS('350配方'!$M15:$P15,'350配方'!$Y15:$AB15,186)</x:f>
        <x:v>0</x:v>
      </x:c>
      <x:c r="AD15" s="9" t="n">
        <x:f>SUMIFS('350配方'!$M15:$P15,'350配方'!$Y15:$AB15,207)</x:f>
        <x:v>0</x:v>
      </x:c>
      <x:c r="AE15" s="9" t="n">
        <x:f>SUMIFS('350配方'!$M15:$P15,'350配方'!$Y15:$AB15,209)</x:f>
        <x:v>0</x:v>
      </x:c>
      <x:c r="AF15" s="9" t="n">
        <x:f>SUMIFS('350配方'!$M15:$P15,'350配方'!$Y15:$AB15,227)</x:f>
        <x:v>0</x:v>
      </x:c>
      <x:c r="AG15" s="9" t="n">
        <x:f>SUMIFS('350配方'!$M15:$P15,'350配方'!$Y15:$AB15,232)</x:f>
        <x:v>0</x:v>
      </x:c>
      <x:c r="AH15" s="9" t="n">
        <x:f>SUMIFS('350配方'!$M15:$P15,'350配方'!$Y15:$AB15,255)</x:f>
        <x:v>0</x:v>
      </x:c>
      <x:c r="AI15" s="9" t="n">
        <x:f>'浓度设置'!S6</x:f>
        <x:v>219125.9626344086</x:v>
      </x:c>
      <x:c r="AJ15" s="9" t="n">
        <x:f>'浓度设置'!S8</x:f>
        <x:v>92796.92267241378</x:v>
      </x:c>
      <x:c r="AK15" s="9" t="n">
        <x:f>'浓度设置'!S10</x:f>
        <x:v>30556.797802197798</x:v>
      </x:c>
      <x:c r="AL15" s="9" t="n">
        <x:f>'浓度设置'!S12</x:f>
        <x:v>1735.828970588235</x:v>
      </x:c>
      <x:c r="AM15" s="9" t="n">
        <x:f>'浓度设置'!S15</x:f>
        <x:v>7385.813644067793</x:v>
      </x:c>
      <x:c r="AN15" s="9" t="n">
        <x:f>'浓度设置'!S19</x:f>
        <x:v>27722.03097701148</x:v>
      </x:c>
      <x:c r="AO15" s="9" t="n">
        <x:f>'浓度设置'!S22</x:f>
        <x:v>44345.55047619048</x:v>
      </x:c>
      <x:c r="AP15" s="9" t="n">
        <x:f>'浓度设置'!S26</x:f>
        <x:v>153318.30499999996</x:v>
      </x:c>
      <x:c r="AQ15" s="9" t="n">
        <x:f>'浓度设置'!S29</x:f>
        <x:v>312.7970588235294</x:v>
      </x:c>
      <x:c r="AR15" s="9" t="n">
        <x:f>'浓度设置'!S30</x:f>
        <x:v>104175.5097553192</x:v>
      </x:c>
      <x:c r="AS15" s="9" t="n">
        <x:f>'浓度设置'!S35</x:f>
        <x:v>405974.90656785714</x:v>
      </x:c>
    </x:row>
    <x:row r="16" ht="24" customHeight="1">
      <x:c r="A16" s="3" t="str">
        <x:f>'350配方'!A16</x:f>
        <x:v>T011</x:v>
      </x:c>
      <x:c r="B16" s="3" t="str">
        <x:f>'350配方'!B16</x:f>
        <x:v>拟合</x:v>
      </x:c>
      <x:c r="C16" s="3" t="n">
        <x:f>IF(B16="拟合",1,0)</x:f>
        <x:v>1</x:v>
      </x:c>
      <x:c r="D16" s="3" t="n">
        <x:f>'350配方'!AC16</x:f>
        <x:v>1</x:v>
      </x:c>
      <x:c r="E16" s="9" t="n">
        <x:f>SUMIFS('350配方'!$M16:$P16,'350配方'!$Y16:$AB16,7)</x:f>
        <x:v>0</x:v>
      </x:c>
      <x:c r="F16" s="9" t="n">
        <x:f>SUMIFS('350配方'!$M16:$P16,'350配方'!$Y16:$AB16,11)</x:f>
        <x:v>0</x:v>
      </x:c>
      <x:c r="G16" s="9" t="n">
        <x:f>SUMIFS('350配方'!$M16:$P16,'350配方'!$Y16:$AB16,18)</x:f>
        <x:v>0</x:v>
      </x:c>
      <x:c r="H16" s="9" t="n">
        <x:f>SUMIFS('350配方'!$M16:$P16,'350配方'!$Y16:$AB16,32)</x:f>
        <x:v>18.68</x:v>
      </x:c>
      <x:c r="I16" s="9" t="n">
        <x:f>SUMIFS('350配方'!$M16:$P16,'350配方'!$Y16:$AB16,40)</x:f>
        <x:v>0</x:v>
      </x:c>
      <x:c r="J16" s="9" t="n">
        <x:f>SUMIFS('350配方'!$M16:$P16,'350配方'!$Y16:$AB16,52)</x:f>
        <x:v>0</x:v>
      </x:c>
      <x:c r="K16" s="9" t="n">
        <x:f>SUMIFS('350配方'!$M16:$P16,'350配方'!$Y16:$AB16,53)</x:f>
        <x:v>0</x:v>
      </x:c>
      <x:c r="L16" s="9" t="n">
        <x:f>SUMIFS('350配方'!$M16:$P16,'350配方'!$Y16:$AB16,56)</x:f>
        <x:v>0</x:v>
      </x:c>
      <x:c r="M16" s="9" t="n">
        <x:f>SUMIFS('350配方'!$M16:$P16,'350配方'!$Y16:$AB16,58)</x:f>
        <x:v>0</x:v>
      </x:c>
      <x:c r="N16" s="9" t="n">
        <x:f>SUMIFS('350配方'!$M16:$P16,'350配方'!$Y16:$AB16,61)</x:f>
        <x:v>0</x:v>
      </x:c>
      <x:c r="O16" s="9" t="n">
        <x:f>SUMIFS('350配方'!$M16:$P16,'350配方'!$Y16:$AB16,69)</x:f>
        <x:v>0</x:v>
      </x:c>
      <x:c r="P16" s="9" t="n">
        <x:f>SUMIFS('350配方'!$M16:$P16,'350配方'!$Y16:$AB16,75)</x:f>
        <x:v>0</x:v>
      </x:c>
      <x:c r="Q16" s="9" t="n">
        <x:f>SUMIFS('350配方'!$M16:$P16,'350配方'!$Y16:$AB16,79)</x:f>
        <x:v>0</x:v>
      </x:c>
      <x:c r="R16" s="9" t="n">
        <x:f>SUMIFS('350配方'!$M16:$P16,'350配方'!$Y16:$AB16,90)</x:f>
        <x:v>0</x:v>
      </x:c>
      <x:c r="S16" s="9" t="n">
        <x:f>SUMIFS('350配方'!$M16:$P16,'350配方'!$Y16:$AB16,105)</x:f>
        <x:v>0</x:v>
      </x:c>
      <x:c r="T16" s="9" t="n">
        <x:f>SUMIFS('350配方'!$M16:$P16,'350配方'!$Y16:$AB16,111)</x:f>
        <x:v>0</x:v>
      </x:c>
      <x:c r="U16" s="9" t="n">
        <x:f>SUMIFS('350配方'!$M16:$P16,'350配方'!$Y16:$AB16,114)</x:f>
        <x:v>0</x:v>
      </x:c>
      <x:c r="V16" s="9" t="n">
        <x:f>SUMIFS('350配方'!$M16:$P16,'350配方'!$Y16:$AB16,115)</x:f>
        <x:v>0</x:v>
      </x:c>
      <x:c r="W16" s="9" t="n">
        <x:f>SUMIFS('350配方'!$M16:$P16,'350配方'!$Y16:$AB16,117)</x:f>
        <x:v>0</x:v>
      </x:c>
      <x:c r="X16" s="9" t="n">
        <x:f>SUMIFS('350配方'!$M16:$P16,'350配方'!$Y16:$AB16,126)</x:f>
        <x:v>0</x:v>
      </x:c>
      <x:c r="Y16" s="9" t="n">
        <x:f>SUMIFS('350配方'!$M16:$P16,'350配方'!$Y16:$AB16,136)</x:f>
        <x:v>0</x:v>
      </x:c>
      <x:c r="Z16" s="9" t="n">
        <x:f>SUMIFS('350配方'!$M16:$P16,'350配方'!$Y16:$AB16,141)</x:f>
        <x:v>0</x:v>
      </x:c>
      <x:c r="AA16" s="9" t="n">
        <x:f>SUMIFS('350配方'!$M16:$P16,'350配方'!$Y16:$AB16,152)</x:f>
        <x:v>0</x:v>
      </x:c>
      <x:c r="AB16" s="9" t="n">
        <x:f>SUMIFS('350配方'!$M16:$P16,'350配方'!$Y16:$AB16,165)</x:f>
        <x:v>0</x:v>
      </x:c>
      <x:c r="AC16" s="9" t="n">
        <x:f>SUMIFS('350配方'!$M16:$P16,'350配方'!$Y16:$AB16,186)</x:f>
        <x:v>0</x:v>
      </x:c>
      <x:c r="AD16" s="9" t="n">
        <x:f>SUMIFS('350配方'!$M16:$P16,'350配方'!$Y16:$AB16,207)</x:f>
        <x:v>0</x:v>
      </x:c>
      <x:c r="AE16" s="9" t="n">
        <x:f>SUMIFS('350配方'!$M16:$P16,'350配方'!$Y16:$AB16,209)</x:f>
        <x:v>0</x:v>
      </x:c>
      <x:c r="AF16" s="9" t="n">
        <x:f>SUMIFS('350配方'!$M16:$P16,'350配方'!$Y16:$AB16,227)</x:f>
        <x:v>0</x:v>
      </x:c>
      <x:c r="AG16" s="9" t="n">
        <x:f>SUMIFS('350配方'!$M16:$P16,'350配方'!$Y16:$AB16,232)</x:f>
        <x:v>0</x:v>
      </x:c>
      <x:c r="AH16" s="9" t="n">
        <x:f>SUMIFS('350配方'!$M16:$P16,'350配方'!$Y16:$AB16,255)</x:f>
        <x:v>0</x:v>
      </x:c>
      <x:c r="AI16" s="9" t="n">
        <x:f>'浓度设置'!S6</x:f>
        <x:v>219125.9626344086</x:v>
      </x:c>
      <x:c r="AJ16" s="9" t="n">
        <x:f>'浓度设置'!S8</x:f>
        <x:v>92796.92267241378</x:v>
      </x:c>
      <x:c r="AK16" s="9" t="n">
        <x:f>'浓度设置'!S10</x:f>
        <x:v>30556.797802197798</x:v>
      </x:c>
      <x:c r="AL16" s="9" t="n">
        <x:f>'浓度设置'!S12</x:f>
        <x:v>1735.828970588235</x:v>
      </x:c>
      <x:c r="AM16" s="9" t="n">
        <x:f>'浓度设置'!S15</x:f>
        <x:v>7385.813644067793</x:v>
      </x:c>
      <x:c r="AN16" s="9" t="n">
        <x:f>'浓度设置'!S19</x:f>
        <x:v>27722.03097701148</x:v>
      </x:c>
      <x:c r="AO16" s="9" t="n">
        <x:f>'浓度设置'!S22</x:f>
        <x:v>44345.55047619048</x:v>
      </x:c>
      <x:c r="AP16" s="9" t="n">
        <x:f>'浓度设置'!S26</x:f>
        <x:v>153318.30499999996</x:v>
      </x:c>
      <x:c r="AQ16" s="9" t="n">
        <x:f>'浓度设置'!S29</x:f>
        <x:v>312.7970588235294</x:v>
      </x:c>
      <x:c r="AR16" s="9" t="n">
        <x:f>'浓度设置'!S30</x:f>
        <x:v>104175.5097553192</x:v>
      </x:c>
      <x:c r="AS16" s="9" t="n">
        <x:f>'浓度设置'!S35</x:f>
        <x:v>405974.90656785714</x:v>
      </x:c>
    </x:row>
    <x:row r="17" ht="24" customHeight="1">
      <x:c r="A17" s="3" t="str">
        <x:f>'350配方'!A17</x:f>
        <x:v>T012</x:v>
      </x:c>
      <x:c r="B17" s="3" t="str">
        <x:f>'350配方'!B17</x:f>
        <x:v>拟合</x:v>
      </x:c>
      <x:c r="C17" s="3" t="n">
        <x:f>IF(B17="拟合",1,0)</x:f>
        <x:v>1</x:v>
      </x:c>
      <x:c r="D17" s="3" t="n">
        <x:f>'350配方'!AC17</x:f>
        <x:v>1</x:v>
      </x:c>
      <x:c r="E17" s="9" t="n">
        <x:f>SUMIFS('350配方'!$M17:$P17,'350配方'!$Y17:$AB17,7)</x:f>
        <x:v>0</x:v>
      </x:c>
      <x:c r="F17" s="9" t="n">
        <x:f>SUMIFS('350配方'!$M17:$P17,'350配方'!$Y17:$AB17,11)</x:f>
        <x:v>0</x:v>
      </x:c>
      <x:c r="G17" s="9" t="n">
        <x:f>SUMIFS('350配方'!$M17:$P17,'350配方'!$Y17:$AB17,18)</x:f>
        <x:v>0</x:v>
      </x:c>
      <x:c r="H17" s="9" t="n">
        <x:f>SUMIFS('350配方'!$M17:$P17,'350配方'!$Y17:$AB17,32)</x:f>
        <x:v>836.8360173893091</x:v>
      </x:c>
      <x:c r="I17" s="9" t="n">
        <x:f>SUMIFS('350配方'!$M17:$P17,'350配方'!$Y17:$AB17,40)</x:f>
        <x:v>0</x:v>
      </x:c>
      <x:c r="J17" s="9" t="n">
        <x:f>SUMIFS('350配方'!$M17:$P17,'350配方'!$Y17:$AB17,52)</x:f>
        <x:v>0</x:v>
      </x:c>
      <x:c r="K17" s="9" t="n">
        <x:f>SUMIFS('350配方'!$M17:$P17,'350配方'!$Y17:$AB17,53)</x:f>
        <x:v>0</x:v>
      </x:c>
      <x:c r="L17" s="9" t="n">
        <x:f>SUMIFS('350配方'!$M17:$P17,'350配方'!$Y17:$AB17,56)</x:f>
        <x:v>0</x:v>
      </x:c>
      <x:c r="M17" s="9" t="n">
        <x:f>SUMIFS('350配方'!$M17:$P17,'350配方'!$Y17:$AB17,58)</x:f>
        <x:v>0</x:v>
      </x:c>
      <x:c r="N17" s="9" t="n">
        <x:f>SUMIFS('350配方'!$M17:$P17,'350配方'!$Y17:$AB17,61)</x:f>
        <x:v>0</x:v>
      </x:c>
      <x:c r="O17" s="9" t="n">
        <x:f>SUMIFS('350配方'!$M17:$P17,'350配方'!$Y17:$AB17,69)</x:f>
        <x:v>0</x:v>
      </x:c>
      <x:c r="P17" s="9" t="n">
        <x:f>SUMIFS('350配方'!$M17:$P17,'350配方'!$Y17:$AB17,75)</x:f>
        <x:v>0</x:v>
      </x:c>
      <x:c r="Q17" s="9" t="n">
        <x:f>SUMIFS('350配方'!$M17:$P17,'350配方'!$Y17:$AB17,79)</x:f>
        <x:v>0</x:v>
      </x:c>
      <x:c r="R17" s="9" t="n">
        <x:f>SUMIFS('350配方'!$M17:$P17,'350配方'!$Y17:$AB17,90)</x:f>
        <x:v>0</x:v>
      </x:c>
      <x:c r="S17" s="9" t="n">
        <x:f>SUMIFS('350配方'!$M17:$P17,'350配方'!$Y17:$AB17,105)</x:f>
        <x:v>0</x:v>
      </x:c>
      <x:c r="T17" s="9" t="n">
        <x:f>SUMIFS('350配方'!$M17:$P17,'350配方'!$Y17:$AB17,111)</x:f>
        <x:v>0</x:v>
      </x:c>
      <x:c r="U17" s="9" t="n">
        <x:f>SUMIFS('350配方'!$M17:$P17,'350配方'!$Y17:$AB17,114)</x:f>
        <x:v>0</x:v>
      </x:c>
      <x:c r="V17" s="9" t="n">
        <x:f>SUMIFS('350配方'!$M17:$P17,'350配方'!$Y17:$AB17,115)</x:f>
        <x:v>0</x:v>
      </x:c>
      <x:c r="W17" s="9" t="n">
        <x:f>SUMIFS('350配方'!$M17:$P17,'350配方'!$Y17:$AB17,117)</x:f>
        <x:v>0</x:v>
      </x:c>
      <x:c r="X17" s="9" t="n">
        <x:f>SUMIFS('350配方'!$M17:$P17,'350配方'!$Y17:$AB17,126)</x:f>
        <x:v>0</x:v>
      </x:c>
      <x:c r="Y17" s="9" t="n">
        <x:f>SUMIFS('350配方'!$M17:$P17,'350配方'!$Y17:$AB17,136)</x:f>
        <x:v>0</x:v>
      </x:c>
      <x:c r="Z17" s="9" t="n">
        <x:f>SUMIFS('350配方'!$M17:$P17,'350配方'!$Y17:$AB17,141)</x:f>
        <x:v>0</x:v>
      </x:c>
      <x:c r="AA17" s="9" t="n">
        <x:f>SUMIFS('350配方'!$M17:$P17,'350配方'!$Y17:$AB17,152)</x:f>
        <x:v>0</x:v>
      </x:c>
      <x:c r="AB17" s="9" t="n">
        <x:f>SUMIFS('350配方'!$M17:$P17,'350配方'!$Y17:$AB17,165)</x:f>
        <x:v>0</x:v>
      </x:c>
      <x:c r="AC17" s="9" t="n">
        <x:f>SUMIFS('350配方'!$M17:$P17,'350配方'!$Y17:$AB17,186)</x:f>
        <x:v>0</x:v>
      </x:c>
      <x:c r="AD17" s="9" t="n">
        <x:f>SUMIFS('350配方'!$M17:$P17,'350配方'!$Y17:$AB17,207)</x:f>
        <x:v>0</x:v>
      </x:c>
      <x:c r="AE17" s="9" t="n">
        <x:f>SUMIFS('350配方'!$M17:$P17,'350配方'!$Y17:$AB17,209)</x:f>
        <x:v>0</x:v>
      </x:c>
      <x:c r="AF17" s="9" t="n">
        <x:f>SUMIFS('350配方'!$M17:$P17,'350配方'!$Y17:$AB17,227)</x:f>
        <x:v>0</x:v>
      </x:c>
      <x:c r="AG17" s="9" t="n">
        <x:f>SUMIFS('350配方'!$M17:$P17,'350配方'!$Y17:$AB17,232)</x:f>
        <x:v>0</x:v>
      </x:c>
      <x:c r="AH17" s="9" t="n">
        <x:f>SUMIFS('350配方'!$M17:$P17,'350配方'!$Y17:$AB17,255)</x:f>
        <x:v>0</x:v>
      </x:c>
      <x:c r="AI17" s="9" t="n">
        <x:f>'浓度设置'!S6</x:f>
        <x:v>219125.9626344086</x:v>
      </x:c>
      <x:c r="AJ17" s="9" t="n">
        <x:f>'浓度设置'!S8</x:f>
        <x:v>92796.92267241378</x:v>
      </x:c>
      <x:c r="AK17" s="9" t="n">
        <x:f>'浓度设置'!S10</x:f>
        <x:v>30556.797802197798</x:v>
      </x:c>
      <x:c r="AL17" s="9" t="n">
        <x:f>'浓度设置'!S12</x:f>
        <x:v>1735.828970588235</x:v>
      </x:c>
      <x:c r="AM17" s="9" t="n">
        <x:f>'浓度设置'!S15</x:f>
        <x:v>7385.813644067793</x:v>
      </x:c>
      <x:c r="AN17" s="9" t="n">
        <x:f>'浓度设置'!S19</x:f>
        <x:v>27722.03097701148</x:v>
      </x:c>
      <x:c r="AO17" s="9" t="n">
        <x:f>'浓度设置'!S22</x:f>
        <x:v>44345.55047619048</x:v>
      </x:c>
      <x:c r="AP17" s="9" t="n">
        <x:f>'浓度设置'!S26</x:f>
        <x:v>153318.30499999996</x:v>
      </x:c>
      <x:c r="AQ17" s="9" t="n">
        <x:f>'浓度设置'!S29</x:f>
        <x:v>312.7970588235294</x:v>
      </x:c>
      <x:c r="AR17" s="9" t="n">
        <x:f>'浓度设置'!S30</x:f>
        <x:v>104175.5097553192</x:v>
      </x:c>
      <x:c r="AS17" s="9" t="n">
        <x:f>'浓度设置'!S35</x:f>
        <x:v>405974.90656785714</x:v>
      </x:c>
    </x:row>
    <x:row r="18" ht="24" customHeight="1">
      <x:c r="A18" s="3" t="str">
        <x:f>'350配方'!A18</x:f>
        <x:v>T013</x:v>
      </x:c>
      <x:c r="B18" s="3" t="str">
        <x:f>'350配方'!B18</x:f>
        <x:v>拟合</x:v>
      </x:c>
      <x:c r="C18" s="3" t="n">
        <x:f>IF(B18="拟合",1,0)</x:f>
        <x:v>1</x:v>
      </x:c>
      <x:c r="D18" s="3" t="n">
        <x:f>'350配方'!AC18</x:f>
        <x:v>1</x:v>
      </x:c>
      <x:c r="E18" s="9" t="n">
        <x:f>SUMIFS('350配方'!$M18:$P18,'350配方'!$Y18:$AB18,7)</x:f>
        <x:v>0</x:v>
      </x:c>
      <x:c r="F18" s="9" t="n">
        <x:f>SUMIFS('350配方'!$M18:$P18,'350配方'!$Y18:$AB18,11)</x:f>
        <x:v>0</x:v>
      </x:c>
      <x:c r="G18" s="9" t="n">
        <x:f>SUMIFS('350配方'!$M18:$P18,'350配方'!$Y18:$AB18,18)</x:f>
        <x:v>0</x:v>
      </x:c>
      <x:c r="H18" s="9" t="n">
        <x:f>SUMIFS('350配方'!$M18:$P18,'350配方'!$Y18:$AB18,32)</x:f>
        <x:v>37489</x:v>
      </x:c>
      <x:c r="I18" s="9" t="n">
        <x:f>SUMIFS('350配方'!$M18:$P18,'350配方'!$Y18:$AB18,40)</x:f>
        <x:v>0</x:v>
      </x:c>
      <x:c r="J18" s="9" t="n">
        <x:f>SUMIFS('350配方'!$M18:$P18,'350配方'!$Y18:$AB18,52)</x:f>
        <x:v>0</x:v>
      </x:c>
      <x:c r="K18" s="9" t="n">
        <x:f>SUMIFS('350配方'!$M18:$P18,'350配方'!$Y18:$AB18,53)</x:f>
        <x:v>0</x:v>
      </x:c>
      <x:c r="L18" s="9" t="n">
        <x:f>SUMIFS('350配方'!$M18:$P18,'350配方'!$Y18:$AB18,56)</x:f>
        <x:v>0</x:v>
      </x:c>
      <x:c r="M18" s="9" t="n">
        <x:f>SUMIFS('350配方'!$M18:$P18,'350配方'!$Y18:$AB18,58)</x:f>
        <x:v>0</x:v>
      </x:c>
      <x:c r="N18" s="9" t="n">
        <x:f>SUMIFS('350配方'!$M18:$P18,'350配方'!$Y18:$AB18,61)</x:f>
        <x:v>0</x:v>
      </x:c>
      <x:c r="O18" s="9" t="n">
        <x:f>SUMIFS('350配方'!$M18:$P18,'350配方'!$Y18:$AB18,69)</x:f>
        <x:v>0</x:v>
      </x:c>
      <x:c r="P18" s="9" t="n">
        <x:f>SUMIFS('350配方'!$M18:$P18,'350配方'!$Y18:$AB18,75)</x:f>
        <x:v>0</x:v>
      </x:c>
      <x:c r="Q18" s="9" t="n">
        <x:f>SUMIFS('350配方'!$M18:$P18,'350配方'!$Y18:$AB18,79)</x:f>
        <x:v>0</x:v>
      </x:c>
      <x:c r="R18" s="9" t="n">
        <x:f>SUMIFS('350配方'!$M18:$P18,'350配方'!$Y18:$AB18,90)</x:f>
        <x:v>0</x:v>
      </x:c>
      <x:c r="S18" s="9" t="n">
        <x:f>SUMIFS('350配方'!$M18:$P18,'350配方'!$Y18:$AB18,105)</x:f>
        <x:v>0</x:v>
      </x:c>
      <x:c r="T18" s="9" t="n">
        <x:f>SUMIFS('350配方'!$M18:$P18,'350配方'!$Y18:$AB18,111)</x:f>
        <x:v>0</x:v>
      </x:c>
      <x:c r="U18" s="9" t="n">
        <x:f>SUMIFS('350配方'!$M18:$P18,'350配方'!$Y18:$AB18,114)</x:f>
        <x:v>0</x:v>
      </x:c>
      <x:c r="V18" s="9" t="n">
        <x:f>SUMIFS('350配方'!$M18:$P18,'350配方'!$Y18:$AB18,115)</x:f>
        <x:v>0</x:v>
      </x:c>
      <x:c r="W18" s="9" t="n">
        <x:f>SUMIFS('350配方'!$M18:$P18,'350配方'!$Y18:$AB18,117)</x:f>
        <x:v>0</x:v>
      </x:c>
      <x:c r="X18" s="9" t="n">
        <x:f>SUMIFS('350配方'!$M18:$P18,'350配方'!$Y18:$AB18,126)</x:f>
        <x:v>0</x:v>
      </x:c>
      <x:c r="Y18" s="9" t="n">
        <x:f>SUMIFS('350配方'!$M18:$P18,'350配方'!$Y18:$AB18,136)</x:f>
        <x:v>0</x:v>
      </x:c>
      <x:c r="Z18" s="9" t="n">
        <x:f>SUMIFS('350配方'!$M18:$P18,'350配方'!$Y18:$AB18,141)</x:f>
        <x:v>0</x:v>
      </x:c>
      <x:c r="AA18" s="9" t="n">
        <x:f>SUMIFS('350配方'!$M18:$P18,'350配方'!$Y18:$AB18,152)</x:f>
        <x:v>0</x:v>
      </x:c>
      <x:c r="AB18" s="9" t="n">
        <x:f>SUMIFS('350配方'!$M18:$P18,'350配方'!$Y18:$AB18,165)</x:f>
        <x:v>0</x:v>
      </x:c>
      <x:c r="AC18" s="9" t="n">
        <x:f>SUMIFS('350配方'!$M18:$P18,'350配方'!$Y18:$AB18,186)</x:f>
        <x:v>0</x:v>
      </x:c>
      <x:c r="AD18" s="9" t="n">
        <x:f>SUMIFS('350配方'!$M18:$P18,'350配方'!$Y18:$AB18,207)</x:f>
        <x:v>0</x:v>
      </x:c>
      <x:c r="AE18" s="9" t="n">
        <x:f>SUMIFS('350配方'!$M18:$P18,'350配方'!$Y18:$AB18,209)</x:f>
        <x:v>0</x:v>
      </x:c>
      <x:c r="AF18" s="9" t="n">
        <x:f>SUMIFS('350配方'!$M18:$P18,'350配方'!$Y18:$AB18,227)</x:f>
        <x:v>0</x:v>
      </x:c>
      <x:c r="AG18" s="9" t="n">
        <x:f>SUMIFS('350配方'!$M18:$P18,'350配方'!$Y18:$AB18,232)</x:f>
        <x:v>0</x:v>
      </x:c>
      <x:c r="AH18" s="9" t="n">
        <x:f>SUMIFS('350配方'!$M18:$P18,'350配方'!$Y18:$AB18,255)</x:f>
        <x:v>0</x:v>
      </x:c>
      <x:c r="AI18" s="9" t="n">
        <x:f>'浓度设置'!S6</x:f>
        <x:v>219125.9626344086</x:v>
      </x:c>
      <x:c r="AJ18" s="9" t="n">
        <x:f>'浓度设置'!S8</x:f>
        <x:v>92796.92267241378</x:v>
      </x:c>
      <x:c r="AK18" s="9" t="n">
        <x:f>'浓度设置'!S10</x:f>
        <x:v>30556.797802197798</x:v>
      </x:c>
      <x:c r="AL18" s="9" t="n">
        <x:f>'浓度设置'!S12</x:f>
        <x:v>1735.828970588235</x:v>
      </x:c>
      <x:c r="AM18" s="9" t="n">
        <x:f>'浓度设置'!S15</x:f>
        <x:v>7385.813644067793</x:v>
      </x:c>
      <x:c r="AN18" s="9" t="n">
        <x:f>'浓度设置'!S19</x:f>
        <x:v>27722.03097701148</x:v>
      </x:c>
      <x:c r="AO18" s="9" t="n">
        <x:f>'浓度设置'!S22</x:f>
        <x:v>44345.55047619048</x:v>
      </x:c>
      <x:c r="AP18" s="9" t="n">
        <x:f>'浓度设置'!S26</x:f>
        <x:v>153318.30499999996</x:v>
      </x:c>
      <x:c r="AQ18" s="9" t="n">
        <x:f>'浓度设置'!S29</x:f>
        <x:v>312.7970588235294</x:v>
      </x:c>
      <x:c r="AR18" s="9" t="n">
        <x:f>'浓度设置'!S30</x:f>
        <x:v>104175.5097553192</x:v>
      </x:c>
      <x:c r="AS18" s="9" t="n">
        <x:f>'浓度设置'!S35</x:f>
        <x:v>405974.90656785714</x:v>
      </x:c>
    </x:row>
    <x:row r="19" ht="24" customHeight="1">
      <x:c r="A19" s="3" t="str">
        <x:f>'350配方'!A19</x:f>
        <x:v>T014</x:v>
      </x:c>
      <x:c r="B19" s="3" t="str">
        <x:f>'350配方'!B19</x:f>
        <x:v>拟合</x:v>
      </x:c>
      <x:c r="C19" s="3" t="n">
        <x:f>IF(B19="拟合",1,0)</x:f>
        <x:v>1</x:v>
      </x:c>
      <x:c r="D19" s="3" t="n">
        <x:f>'350配方'!AC19</x:f>
        <x:v>1</x:v>
      </x:c>
      <x:c r="E19" s="9" t="n">
        <x:f>SUMIFS('350配方'!$M19:$P19,'350配方'!$Y19:$AB19,7)</x:f>
        <x:v>0</x:v>
      </x:c>
      <x:c r="F19" s="9" t="n">
        <x:f>SUMIFS('350配方'!$M19:$P19,'350配方'!$Y19:$AB19,11)</x:f>
        <x:v>0</x:v>
      </x:c>
      <x:c r="G19" s="9" t="n">
        <x:f>SUMIFS('350配方'!$M19:$P19,'350配方'!$Y19:$AB19,18)</x:f>
        <x:v>0</x:v>
      </x:c>
      <x:c r="H19" s="9" t="n">
        <x:f>SUMIFS('350配方'!$M19:$P19,'350配方'!$Y19:$AB19,32)</x:f>
        <x:v>0</x:v>
      </x:c>
      <x:c r="I19" s="9" t="n">
        <x:f>SUMIFS('350配方'!$M19:$P19,'350配方'!$Y19:$AB19,40)</x:f>
        <x:v>1.875</x:v>
      </x:c>
      <x:c r="J19" s="9" t="n">
        <x:f>SUMIFS('350配方'!$M19:$P19,'350配方'!$Y19:$AB19,52)</x:f>
        <x:v>0</x:v>
      </x:c>
      <x:c r="K19" s="9" t="n">
        <x:f>SUMIFS('350配方'!$M19:$P19,'350配方'!$Y19:$AB19,53)</x:f>
        <x:v>0</x:v>
      </x:c>
      <x:c r="L19" s="9" t="n">
        <x:f>SUMIFS('350配方'!$M19:$P19,'350配方'!$Y19:$AB19,56)</x:f>
        <x:v>0</x:v>
      </x:c>
      <x:c r="M19" s="9" t="n">
        <x:f>SUMIFS('350配方'!$M19:$P19,'350配方'!$Y19:$AB19,58)</x:f>
        <x:v>0</x:v>
      </x:c>
      <x:c r="N19" s="9" t="n">
        <x:f>SUMIFS('350配方'!$M19:$P19,'350配方'!$Y19:$AB19,61)</x:f>
        <x:v>0</x:v>
      </x:c>
      <x:c r="O19" s="9" t="n">
        <x:f>SUMIFS('350配方'!$M19:$P19,'350配方'!$Y19:$AB19,69)</x:f>
        <x:v>0</x:v>
      </x:c>
      <x:c r="P19" s="9" t="n">
        <x:f>SUMIFS('350配方'!$M19:$P19,'350配方'!$Y19:$AB19,75)</x:f>
        <x:v>0</x:v>
      </x:c>
      <x:c r="Q19" s="9" t="n">
        <x:f>SUMIFS('350配方'!$M19:$P19,'350配方'!$Y19:$AB19,79)</x:f>
        <x:v>0</x:v>
      </x:c>
      <x:c r="R19" s="9" t="n">
        <x:f>SUMIFS('350配方'!$M19:$P19,'350配方'!$Y19:$AB19,90)</x:f>
        <x:v>0</x:v>
      </x:c>
      <x:c r="S19" s="9" t="n">
        <x:f>SUMIFS('350配方'!$M19:$P19,'350配方'!$Y19:$AB19,105)</x:f>
        <x:v>0</x:v>
      </x:c>
      <x:c r="T19" s="9" t="n">
        <x:f>SUMIFS('350配方'!$M19:$P19,'350配方'!$Y19:$AB19,111)</x:f>
        <x:v>0</x:v>
      </x:c>
      <x:c r="U19" s="9" t="n">
        <x:f>SUMIFS('350配方'!$M19:$P19,'350配方'!$Y19:$AB19,114)</x:f>
        <x:v>0</x:v>
      </x:c>
      <x:c r="V19" s="9" t="n">
        <x:f>SUMIFS('350配方'!$M19:$P19,'350配方'!$Y19:$AB19,115)</x:f>
        <x:v>0</x:v>
      </x:c>
      <x:c r="W19" s="9" t="n">
        <x:f>SUMIFS('350配方'!$M19:$P19,'350配方'!$Y19:$AB19,117)</x:f>
        <x:v>0</x:v>
      </x:c>
      <x:c r="X19" s="9" t="n">
        <x:f>SUMIFS('350配方'!$M19:$P19,'350配方'!$Y19:$AB19,126)</x:f>
        <x:v>0</x:v>
      </x:c>
      <x:c r="Y19" s="9" t="n">
        <x:f>SUMIFS('350配方'!$M19:$P19,'350配方'!$Y19:$AB19,136)</x:f>
        <x:v>0</x:v>
      </x:c>
      <x:c r="Z19" s="9" t="n">
        <x:f>SUMIFS('350配方'!$M19:$P19,'350配方'!$Y19:$AB19,141)</x:f>
        <x:v>0</x:v>
      </x:c>
      <x:c r="AA19" s="9" t="n">
        <x:f>SUMIFS('350配方'!$M19:$P19,'350配方'!$Y19:$AB19,152)</x:f>
        <x:v>0</x:v>
      </x:c>
      <x:c r="AB19" s="9" t="n">
        <x:f>SUMIFS('350配方'!$M19:$P19,'350配方'!$Y19:$AB19,165)</x:f>
        <x:v>0</x:v>
      </x:c>
      <x:c r="AC19" s="9" t="n">
        <x:f>SUMIFS('350配方'!$M19:$P19,'350配方'!$Y19:$AB19,186)</x:f>
        <x:v>0</x:v>
      </x:c>
      <x:c r="AD19" s="9" t="n">
        <x:f>SUMIFS('350配方'!$M19:$P19,'350配方'!$Y19:$AB19,207)</x:f>
        <x:v>0</x:v>
      </x:c>
      <x:c r="AE19" s="9" t="n">
        <x:f>SUMIFS('350配方'!$M19:$P19,'350配方'!$Y19:$AB19,209)</x:f>
        <x:v>0</x:v>
      </x:c>
      <x:c r="AF19" s="9" t="n">
        <x:f>SUMIFS('350配方'!$M19:$P19,'350配方'!$Y19:$AB19,227)</x:f>
        <x:v>0</x:v>
      </x:c>
      <x:c r="AG19" s="9" t="n">
        <x:f>SUMIFS('350配方'!$M19:$P19,'350配方'!$Y19:$AB19,232)</x:f>
        <x:v>0</x:v>
      </x:c>
      <x:c r="AH19" s="9" t="n">
        <x:f>SUMIFS('350配方'!$M19:$P19,'350配方'!$Y19:$AB19,255)</x:f>
        <x:v>0</x:v>
      </x:c>
      <x:c r="AI19" s="9" t="n">
        <x:f>'浓度设置'!S6</x:f>
        <x:v>219125.9626344086</x:v>
      </x:c>
      <x:c r="AJ19" s="9" t="n">
        <x:f>'浓度设置'!S8</x:f>
        <x:v>92796.92267241378</x:v>
      </x:c>
      <x:c r="AK19" s="9" t="n">
        <x:f>'浓度设置'!S10</x:f>
        <x:v>30556.797802197798</x:v>
      </x:c>
      <x:c r="AL19" s="9" t="n">
        <x:f>'浓度设置'!S12</x:f>
        <x:v>1735.828970588235</x:v>
      </x:c>
      <x:c r="AM19" s="9" t="n">
        <x:f>'浓度设置'!S15</x:f>
        <x:v>7385.813644067793</x:v>
      </x:c>
      <x:c r="AN19" s="9" t="n">
        <x:f>'浓度设置'!S19</x:f>
        <x:v>27722.03097701148</x:v>
      </x:c>
      <x:c r="AO19" s="9" t="n">
        <x:f>'浓度设置'!S22</x:f>
        <x:v>44345.55047619048</x:v>
      </x:c>
      <x:c r="AP19" s="9" t="n">
        <x:f>'浓度设置'!S26</x:f>
        <x:v>153318.30499999996</x:v>
      </x:c>
      <x:c r="AQ19" s="9" t="n">
        <x:f>'浓度设置'!S29</x:f>
        <x:v>312.7970588235294</x:v>
      </x:c>
      <x:c r="AR19" s="9" t="n">
        <x:f>'浓度设置'!S30</x:f>
        <x:v>104175.5097553192</x:v>
      </x:c>
      <x:c r="AS19" s="9" t="n">
        <x:f>'浓度设置'!S35</x:f>
        <x:v>405974.90656785714</x:v>
      </x:c>
    </x:row>
    <x:row r="20" ht="24" customHeight="1">
      <x:c r="A20" s="3" t="str">
        <x:f>'350配方'!A20</x:f>
        <x:v>T015</x:v>
      </x:c>
      <x:c r="B20" s="3" t="str">
        <x:f>'350配方'!B20</x:f>
        <x:v>拟合</x:v>
      </x:c>
      <x:c r="C20" s="3" t="n">
        <x:f>IF(B20="拟合",1,0)</x:f>
        <x:v>1</x:v>
      </x:c>
      <x:c r="D20" s="3" t="n">
        <x:f>'350配方'!AC20</x:f>
        <x:v>1</x:v>
      </x:c>
      <x:c r="E20" s="9" t="n">
        <x:f>SUMIFS('350配方'!$M20:$P20,'350配方'!$Y20:$AB20,7)</x:f>
        <x:v>0</x:v>
      </x:c>
      <x:c r="F20" s="9" t="n">
        <x:f>SUMIFS('350配方'!$M20:$P20,'350配方'!$Y20:$AB20,11)</x:f>
        <x:v>0</x:v>
      </x:c>
      <x:c r="G20" s="9" t="n">
        <x:f>SUMIFS('350配方'!$M20:$P20,'350配方'!$Y20:$AB20,18)</x:f>
        <x:v>0</x:v>
      </x:c>
      <x:c r="H20" s="9" t="n">
        <x:f>SUMIFS('350配方'!$M20:$P20,'350配方'!$Y20:$AB20,32)</x:f>
        <x:v>0</x:v>
      </x:c>
      <x:c r="I20" s="9" t="n">
        <x:f>SUMIFS('350配方'!$M20:$P20,'350配方'!$Y20:$AB20,40)</x:f>
        <x:v>200.3122562401013</x:v>
      </x:c>
      <x:c r="J20" s="9" t="n">
        <x:f>SUMIFS('350配方'!$M20:$P20,'350配方'!$Y20:$AB20,52)</x:f>
        <x:v>0</x:v>
      </x:c>
      <x:c r="K20" s="9" t="n">
        <x:f>SUMIFS('350配方'!$M20:$P20,'350配方'!$Y20:$AB20,53)</x:f>
        <x:v>0</x:v>
      </x:c>
      <x:c r="L20" s="9" t="n">
        <x:f>SUMIFS('350配方'!$M20:$P20,'350配方'!$Y20:$AB20,56)</x:f>
        <x:v>0</x:v>
      </x:c>
      <x:c r="M20" s="9" t="n">
        <x:f>SUMIFS('350配方'!$M20:$P20,'350配方'!$Y20:$AB20,58)</x:f>
        <x:v>0</x:v>
      </x:c>
      <x:c r="N20" s="9" t="n">
        <x:f>SUMIFS('350配方'!$M20:$P20,'350配方'!$Y20:$AB20,61)</x:f>
        <x:v>0</x:v>
      </x:c>
      <x:c r="O20" s="9" t="n">
        <x:f>SUMIFS('350配方'!$M20:$P20,'350配方'!$Y20:$AB20,69)</x:f>
        <x:v>0</x:v>
      </x:c>
      <x:c r="P20" s="9" t="n">
        <x:f>SUMIFS('350配方'!$M20:$P20,'350配方'!$Y20:$AB20,75)</x:f>
        <x:v>0</x:v>
      </x:c>
      <x:c r="Q20" s="9" t="n">
        <x:f>SUMIFS('350配方'!$M20:$P20,'350配方'!$Y20:$AB20,79)</x:f>
        <x:v>0</x:v>
      </x:c>
      <x:c r="R20" s="9" t="n">
        <x:f>SUMIFS('350配方'!$M20:$P20,'350配方'!$Y20:$AB20,90)</x:f>
        <x:v>0</x:v>
      </x:c>
      <x:c r="S20" s="9" t="n">
        <x:f>SUMIFS('350配方'!$M20:$P20,'350配方'!$Y20:$AB20,105)</x:f>
        <x:v>0</x:v>
      </x:c>
      <x:c r="T20" s="9" t="n">
        <x:f>SUMIFS('350配方'!$M20:$P20,'350配方'!$Y20:$AB20,111)</x:f>
        <x:v>0</x:v>
      </x:c>
      <x:c r="U20" s="9" t="n">
        <x:f>SUMIFS('350配方'!$M20:$P20,'350配方'!$Y20:$AB20,114)</x:f>
        <x:v>0</x:v>
      </x:c>
      <x:c r="V20" s="9" t="n">
        <x:f>SUMIFS('350配方'!$M20:$P20,'350配方'!$Y20:$AB20,115)</x:f>
        <x:v>0</x:v>
      </x:c>
      <x:c r="W20" s="9" t="n">
        <x:f>SUMIFS('350配方'!$M20:$P20,'350配方'!$Y20:$AB20,117)</x:f>
        <x:v>0</x:v>
      </x:c>
      <x:c r="X20" s="9" t="n">
        <x:f>SUMIFS('350配方'!$M20:$P20,'350配方'!$Y20:$AB20,126)</x:f>
        <x:v>0</x:v>
      </x:c>
      <x:c r="Y20" s="9" t="n">
        <x:f>SUMIFS('350配方'!$M20:$P20,'350配方'!$Y20:$AB20,136)</x:f>
        <x:v>0</x:v>
      </x:c>
      <x:c r="Z20" s="9" t="n">
        <x:f>SUMIFS('350配方'!$M20:$P20,'350配方'!$Y20:$AB20,141)</x:f>
        <x:v>0</x:v>
      </x:c>
      <x:c r="AA20" s="9" t="n">
        <x:f>SUMIFS('350配方'!$M20:$P20,'350配方'!$Y20:$AB20,152)</x:f>
        <x:v>0</x:v>
      </x:c>
      <x:c r="AB20" s="9" t="n">
        <x:f>SUMIFS('350配方'!$M20:$P20,'350配方'!$Y20:$AB20,165)</x:f>
        <x:v>0</x:v>
      </x:c>
      <x:c r="AC20" s="9" t="n">
        <x:f>SUMIFS('350配方'!$M20:$P20,'350配方'!$Y20:$AB20,186)</x:f>
        <x:v>0</x:v>
      </x:c>
      <x:c r="AD20" s="9" t="n">
        <x:f>SUMIFS('350配方'!$M20:$P20,'350配方'!$Y20:$AB20,207)</x:f>
        <x:v>0</x:v>
      </x:c>
      <x:c r="AE20" s="9" t="n">
        <x:f>SUMIFS('350配方'!$M20:$P20,'350配方'!$Y20:$AB20,209)</x:f>
        <x:v>0</x:v>
      </x:c>
      <x:c r="AF20" s="9" t="n">
        <x:f>SUMIFS('350配方'!$M20:$P20,'350配方'!$Y20:$AB20,227)</x:f>
        <x:v>0</x:v>
      </x:c>
      <x:c r="AG20" s="9" t="n">
        <x:f>SUMIFS('350配方'!$M20:$P20,'350配方'!$Y20:$AB20,232)</x:f>
        <x:v>0</x:v>
      </x:c>
      <x:c r="AH20" s="9" t="n">
        <x:f>SUMIFS('350配方'!$M20:$P20,'350配方'!$Y20:$AB20,255)</x:f>
        <x:v>0</x:v>
      </x:c>
      <x:c r="AI20" s="9" t="n">
        <x:f>'浓度设置'!S6</x:f>
        <x:v>219125.9626344086</x:v>
      </x:c>
      <x:c r="AJ20" s="9" t="n">
        <x:f>'浓度设置'!S8</x:f>
        <x:v>92796.92267241378</x:v>
      </x:c>
      <x:c r="AK20" s="9" t="n">
        <x:f>'浓度设置'!S10</x:f>
        <x:v>30556.797802197798</x:v>
      </x:c>
      <x:c r="AL20" s="9" t="n">
        <x:f>'浓度设置'!S12</x:f>
        <x:v>1735.828970588235</x:v>
      </x:c>
      <x:c r="AM20" s="9" t="n">
        <x:f>'浓度设置'!S15</x:f>
        <x:v>7385.813644067793</x:v>
      </x:c>
      <x:c r="AN20" s="9" t="n">
        <x:f>'浓度设置'!S19</x:f>
        <x:v>27722.03097701148</x:v>
      </x:c>
      <x:c r="AO20" s="9" t="n">
        <x:f>'浓度设置'!S22</x:f>
        <x:v>44345.55047619048</x:v>
      </x:c>
      <x:c r="AP20" s="9" t="n">
        <x:f>'浓度设置'!S26</x:f>
        <x:v>153318.30499999996</x:v>
      </x:c>
      <x:c r="AQ20" s="9" t="n">
        <x:f>'浓度设置'!S29</x:f>
        <x:v>312.7970588235294</x:v>
      </x:c>
      <x:c r="AR20" s="9" t="n">
        <x:f>'浓度设置'!S30</x:f>
        <x:v>104175.5097553192</x:v>
      </x:c>
      <x:c r="AS20" s="9" t="n">
        <x:f>'浓度设置'!S35</x:f>
        <x:v>405974.90656785714</x:v>
      </x:c>
    </x:row>
    <x:row r="21" ht="24" customHeight="1">
      <x:c r="A21" s="3" t="str">
        <x:f>'350配方'!A21</x:f>
        <x:v>T016</x:v>
      </x:c>
      <x:c r="B21" s="3" t="str">
        <x:f>'350配方'!B21</x:f>
        <x:v>拟合</x:v>
      </x:c>
      <x:c r="C21" s="3" t="n">
        <x:f>IF(B21="拟合",1,0)</x:f>
        <x:v>1</x:v>
      </x:c>
      <x:c r="D21" s="3" t="n">
        <x:f>'350配方'!AC21</x:f>
        <x:v>1</x:v>
      </x:c>
      <x:c r="E21" s="9" t="n">
        <x:f>SUMIFS('350配方'!$M21:$P21,'350配方'!$Y21:$AB21,7)</x:f>
        <x:v>0</x:v>
      </x:c>
      <x:c r="F21" s="9" t="n">
        <x:f>SUMIFS('350配方'!$M21:$P21,'350配方'!$Y21:$AB21,11)</x:f>
        <x:v>0</x:v>
      </x:c>
      <x:c r="G21" s="9" t="n">
        <x:f>SUMIFS('350配方'!$M21:$P21,'350配方'!$Y21:$AB21,18)</x:f>
        <x:v>0</x:v>
      </x:c>
      <x:c r="H21" s="9" t="n">
        <x:f>SUMIFS('350配方'!$M21:$P21,'350配方'!$Y21:$AB21,32)</x:f>
        <x:v>0</x:v>
      </x:c>
      <x:c r="I21" s="9" t="n">
        <x:f>SUMIFS('350配方'!$M21:$P21,'350配方'!$Y21:$AB21,40)</x:f>
        <x:v>21400</x:v>
      </x:c>
      <x:c r="J21" s="9" t="n">
        <x:f>SUMIFS('350配方'!$M21:$P21,'350配方'!$Y21:$AB21,52)</x:f>
        <x:v>0</x:v>
      </x:c>
      <x:c r="K21" s="9" t="n">
        <x:f>SUMIFS('350配方'!$M21:$P21,'350配方'!$Y21:$AB21,53)</x:f>
        <x:v>0</x:v>
      </x:c>
      <x:c r="L21" s="9" t="n">
        <x:f>SUMIFS('350配方'!$M21:$P21,'350配方'!$Y21:$AB21,56)</x:f>
        <x:v>0</x:v>
      </x:c>
      <x:c r="M21" s="9" t="n">
        <x:f>SUMIFS('350配方'!$M21:$P21,'350配方'!$Y21:$AB21,58)</x:f>
        <x:v>0</x:v>
      </x:c>
      <x:c r="N21" s="9" t="n">
        <x:f>SUMIFS('350配方'!$M21:$P21,'350配方'!$Y21:$AB21,61)</x:f>
        <x:v>0</x:v>
      </x:c>
      <x:c r="O21" s="9" t="n">
        <x:f>SUMIFS('350配方'!$M21:$P21,'350配方'!$Y21:$AB21,69)</x:f>
        <x:v>0</x:v>
      </x:c>
      <x:c r="P21" s="9" t="n">
        <x:f>SUMIFS('350配方'!$M21:$P21,'350配方'!$Y21:$AB21,75)</x:f>
        <x:v>0</x:v>
      </x:c>
      <x:c r="Q21" s="9" t="n">
        <x:f>SUMIFS('350配方'!$M21:$P21,'350配方'!$Y21:$AB21,79)</x:f>
        <x:v>0</x:v>
      </x:c>
      <x:c r="R21" s="9" t="n">
        <x:f>SUMIFS('350配方'!$M21:$P21,'350配方'!$Y21:$AB21,90)</x:f>
        <x:v>0</x:v>
      </x:c>
      <x:c r="S21" s="9" t="n">
        <x:f>SUMIFS('350配方'!$M21:$P21,'350配方'!$Y21:$AB21,105)</x:f>
        <x:v>0</x:v>
      </x:c>
      <x:c r="T21" s="9" t="n">
        <x:f>SUMIFS('350配方'!$M21:$P21,'350配方'!$Y21:$AB21,111)</x:f>
        <x:v>0</x:v>
      </x:c>
      <x:c r="U21" s="9" t="n">
        <x:f>SUMIFS('350配方'!$M21:$P21,'350配方'!$Y21:$AB21,114)</x:f>
        <x:v>0</x:v>
      </x:c>
      <x:c r="V21" s="9" t="n">
        <x:f>SUMIFS('350配方'!$M21:$P21,'350配方'!$Y21:$AB21,115)</x:f>
        <x:v>0</x:v>
      </x:c>
      <x:c r="W21" s="9" t="n">
        <x:f>SUMIFS('350配方'!$M21:$P21,'350配方'!$Y21:$AB21,117)</x:f>
        <x:v>0</x:v>
      </x:c>
      <x:c r="X21" s="9" t="n">
        <x:f>SUMIFS('350配方'!$M21:$P21,'350配方'!$Y21:$AB21,126)</x:f>
        <x:v>0</x:v>
      </x:c>
      <x:c r="Y21" s="9" t="n">
        <x:f>SUMIFS('350配方'!$M21:$P21,'350配方'!$Y21:$AB21,136)</x:f>
        <x:v>0</x:v>
      </x:c>
      <x:c r="Z21" s="9" t="n">
        <x:f>SUMIFS('350配方'!$M21:$P21,'350配方'!$Y21:$AB21,141)</x:f>
        <x:v>0</x:v>
      </x:c>
      <x:c r="AA21" s="9" t="n">
        <x:f>SUMIFS('350配方'!$M21:$P21,'350配方'!$Y21:$AB21,152)</x:f>
        <x:v>0</x:v>
      </x:c>
      <x:c r="AB21" s="9" t="n">
        <x:f>SUMIFS('350配方'!$M21:$P21,'350配方'!$Y21:$AB21,165)</x:f>
        <x:v>0</x:v>
      </x:c>
      <x:c r="AC21" s="9" t="n">
        <x:f>SUMIFS('350配方'!$M21:$P21,'350配方'!$Y21:$AB21,186)</x:f>
        <x:v>0</x:v>
      </x:c>
      <x:c r="AD21" s="9" t="n">
        <x:f>SUMIFS('350配方'!$M21:$P21,'350配方'!$Y21:$AB21,207)</x:f>
        <x:v>0</x:v>
      </x:c>
      <x:c r="AE21" s="9" t="n">
        <x:f>SUMIFS('350配方'!$M21:$P21,'350配方'!$Y21:$AB21,209)</x:f>
        <x:v>0</x:v>
      </x:c>
      <x:c r="AF21" s="9" t="n">
        <x:f>SUMIFS('350配方'!$M21:$P21,'350配方'!$Y21:$AB21,227)</x:f>
        <x:v>0</x:v>
      </x:c>
      <x:c r="AG21" s="9" t="n">
        <x:f>SUMIFS('350配方'!$M21:$P21,'350配方'!$Y21:$AB21,232)</x:f>
        <x:v>0</x:v>
      </x:c>
      <x:c r="AH21" s="9" t="n">
        <x:f>SUMIFS('350配方'!$M21:$P21,'350配方'!$Y21:$AB21,255)</x:f>
        <x:v>0</x:v>
      </x:c>
      <x:c r="AI21" s="9" t="n">
        <x:f>'浓度设置'!S6</x:f>
        <x:v>219125.9626344086</x:v>
      </x:c>
      <x:c r="AJ21" s="9" t="n">
        <x:f>'浓度设置'!S8</x:f>
        <x:v>92796.92267241378</x:v>
      </x:c>
      <x:c r="AK21" s="9" t="n">
        <x:f>'浓度设置'!S10</x:f>
        <x:v>30556.797802197798</x:v>
      </x:c>
      <x:c r="AL21" s="9" t="n">
        <x:f>'浓度设置'!S12</x:f>
        <x:v>1735.828970588235</x:v>
      </x:c>
      <x:c r="AM21" s="9" t="n">
        <x:f>'浓度设置'!S15</x:f>
        <x:v>7385.813644067793</x:v>
      </x:c>
      <x:c r="AN21" s="9" t="n">
        <x:f>'浓度设置'!S19</x:f>
        <x:v>27722.03097701148</x:v>
      </x:c>
      <x:c r="AO21" s="9" t="n">
        <x:f>'浓度设置'!S22</x:f>
        <x:v>44345.55047619048</x:v>
      </x:c>
      <x:c r="AP21" s="9" t="n">
        <x:f>'浓度设置'!S26</x:f>
        <x:v>153318.30499999996</x:v>
      </x:c>
      <x:c r="AQ21" s="9" t="n">
        <x:f>'浓度设置'!S29</x:f>
        <x:v>312.7970588235294</x:v>
      </x:c>
      <x:c r="AR21" s="9" t="n">
        <x:f>'浓度设置'!S30</x:f>
        <x:v>104175.5097553192</x:v>
      </x:c>
      <x:c r="AS21" s="9" t="n">
        <x:f>'浓度设置'!S35</x:f>
        <x:v>405974.90656785714</x:v>
      </x:c>
    </x:row>
    <x:row r="22" ht="24" customHeight="1">
      <x:c r="A22" s="3" t="str">
        <x:f>'350配方'!A22</x:f>
        <x:v>T017</x:v>
      </x:c>
      <x:c r="B22" s="3" t="str">
        <x:f>'350配方'!B22</x:f>
        <x:v>拟合</x:v>
      </x:c>
      <x:c r="C22" s="3" t="n">
        <x:f>IF(B22="拟合",1,0)</x:f>
        <x:v>1</x:v>
      </x:c>
      <x:c r="D22" s="3" t="n">
        <x:f>'350配方'!AC22</x:f>
        <x:v>1</x:v>
      </x:c>
      <x:c r="E22" s="9" t="n">
        <x:f>SUMIFS('350配方'!$M22:$P22,'350配方'!$Y22:$AB22,7)</x:f>
        <x:v>0</x:v>
      </x:c>
      <x:c r="F22" s="9" t="n">
        <x:f>SUMIFS('350配方'!$M22:$P22,'350配方'!$Y22:$AB22,11)</x:f>
        <x:v>0</x:v>
      </x:c>
      <x:c r="G22" s="9" t="n">
        <x:f>SUMIFS('350配方'!$M22:$P22,'350配方'!$Y22:$AB22,18)</x:f>
        <x:v>0</x:v>
      </x:c>
      <x:c r="H22" s="9" t="n">
        <x:f>SUMIFS('350配方'!$M22:$P22,'350配方'!$Y22:$AB22,32)</x:f>
        <x:v>0</x:v>
      </x:c>
      <x:c r="I22" s="9" t="n">
        <x:f>SUMIFS('350配方'!$M22:$P22,'350配方'!$Y22:$AB22,40)</x:f>
        <x:v>0</x:v>
      </x:c>
      <x:c r="J22" s="9" t="n">
        <x:f>SUMIFS('350配方'!$M22:$P22,'350配方'!$Y22:$AB22,52)</x:f>
        <x:v>4.24</x:v>
      </x:c>
      <x:c r="K22" s="9" t="n">
        <x:f>SUMIFS('350配方'!$M22:$P22,'350配方'!$Y22:$AB22,53)</x:f>
        <x:v>0</x:v>
      </x:c>
      <x:c r="L22" s="9" t="n">
        <x:f>SUMIFS('350配方'!$M22:$P22,'350配方'!$Y22:$AB22,56)</x:f>
        <x:v>0</x:v>
      </x:c>
      <x:c r="M22" s="9" t="n">
        <x:f>SUMIFS('350配方'!$M22:$P22,'350配方'!$Y22:$AB22,58)</x:f>
        <x:v>0</x:v>
      </x:c>
      <x:c r="N22" s="9" t="n">
        <x:f>SUMIFS('350配方'!$M22:$P22,'350配方'!$Y22:$AB22,61)</x:f>
        <x:v>0</x:v>
      </x:c>
      <x:c r="O22" s="9" t="n">
        <x:f>SUMIFS('350配方'!$M22:$P22,'350配方'!$Y22:$AB22,69)</x:f>
        <x:v>0</x:v>
      </x:c>
      <x:c r="P22" s="9" t="n">
        <x:f>SUMIFS('350配方'!$M22:$P22,'350配方'!$Y22:$AB22,75)</x:f>
        <x:v>0</x:v>
      </x:c>
      <x:c r="Q22" s="9" t="n">
        <x:f>SUMIFS('350配方'!$M22:$P22,'350配方'!$Y22:$AB22,79)</x:f>
        <x:v>0</x:v>
      </x:c>
      <x:c r="R22" s="9" t="n">
        <x:f>SUMIFS('350配方'!$M22:$P22,'350配方'!$Y22:$AB22,90)</x:f>
        <x:v>0</x:v>
      </x:c>
      <x:c r="S22" s="9" t="n">
        <x:f>SUMIFS('350配方'!$M22:$P22,'350配方'!$Y22:$AB22,105)</x:f>
        <x:v>0</x:v>
      </x:c>
      <x:c r="T22" s="9" t="n">
        <x:f>SUMIFS('350配方'!$M22:$P22,'350配方'!$Y22:$AB22,111)</x:f>
        <x:v>0</x:v>
      </x:c>
      <x:c r="U22" s="9" t="n">
        <x:f>SUMIFS('350配方'!$M22:$P22,'350配方'!$Y22:$AB22,114)</x:f>
        <x:v>0</x:v>
      </x:c>
      <x:c r="V22" s="9" t="n">
        <x:f>SUMIFS('350配方'!$M22:$P22,'350配方'!$Y22:$AB22,115)</x:f>
        <x:v>0</x:v>
      </x:c>
      <x:c r="W22" s="9" t="n">
        <x:f>SUMIFS('350配方'!$M22:$P22,'350配方'!$Y22:$AB22,117)</x:f>
        <x:v>0</x:v>
      </x:c>
      <x:c r="X22" s="9" t="n">
        <x:f>SUMIFS('350配方'!$M22:$P22,'350配方'!$Y22:$AB22,126)</x:f>
        <x:v>0</x:v>
      </x:c>
      <x:c r="Y22" s="9" t="n">
        <x:f>SUMIFS('350配方'!$M22:$P22,'350配方'!$Y22:$AB22,136)</x:f>
        <x:v>0</x:v>
      </x:c>
      <x:c r="Z22" s="9" t="n">
        <x:f>SUMIFS('350配方'!$M22:$P22,'350配方'!$Y22:$AB22,141)</x:f>
        <x:v>0</x:v>
      </x:c>
      <x:c r="AA22" s="9" t="n">
        <x:f>SUMIFS('350配方'!$M22:$P22,'350配方'!$Y22:$AB22,152)</x:f>
        <x:v>0</x:v>
      </x:c>
      <x:c r="AB22" s="9" t="n">
        <x:f>SUMIFS('350配方'!$M22:$P22,'350配方'!$Y22:$AB22,165)</x:f>
        <x:v>0</x:v>
      </x:c>
      <x:c r="AC22" s="9" t="n">
        <x:f>SUMIFS('350配方'!$M22:$P22,'350配方'!$Y22:$AB22,186)</x:f>
        <x:v>0</x:v>
      </x:c>
      <x:c r="AD22" s="9" t="n">
        <x:f>SUMIFS('350配方'!$M22:$P22,'350配方'!$Y22:$AB22,207)</x:f>
        <x:v>0</x:v>
      </x:c>
      <x:c r="AE22" s="9" t="n">
        <x:f>SUMIFS('350配方'!$M22:$P22,'350配方'!$Y22:$AB22,209)</x:f>
        <x:v>0</x:v>
      </x:c>
      <x:c r="AF22" s="9" t="n">
        <x:f>SUMIFS('350配方'!$M22:$P22,'350配方'!$Y22:$AB22,227)</x:f>
        <x:v>0</x:v>
      </x:c>
      <x:c r="AG22" s="9" t="n">
        <x:f>SUMIFS('350配方'!$M22:$P22,'350配方'!$Y22:$AB22,232)</x:f>
        <x:v>0</x:v>
      </x:c>
      <x:c r="AH22" s="9" t="n">
        <x:f>SUMIFS('350配方'!$M22:$P22,'350配方'!$Y22:$AB22,255)</x:f>
        <x:v>0</x:v>
      </x:c>
      <x:c r="AI22" s="9" t="n">
        <x:f>'浓度设置'!S6</x:f>
        <x:v>219125.9626344086</x:v>
      </x:c>
      <x:c r="AJ22" s="9" t="n">
        <x:f>'浓度设置'!S8</x:f>
        <x:v>92796.92267241378</x:v>
      </x:c>
      <x:c r="AK22" s="9" t="n">
        <x:f>'浓度设置'!S10</x:f>
        <x:v>30556.797802197798</x:v>
      </x:c>
      <x:c r="AL22" s="9" t="n">
        <x:f>'浓度设置'!S12</x:f>
        <x:v>1735.828970588235</x:v>
      </x:c>
      <x:c r="AM22" s="9" t="n">
        <x:f>'浓度设置'!S15</x:f>
        <x:v>7385.813644067793</x:v>
      </x:c>
      <x:c r="AN22" s="9" t="n">
        <x:f>'浓度设置'!S19</x:f>
        <x:v>27722.03097701148</x:v>
      </x:c>
      <x:c r="AO22" s="9" t="n">
        <x:f>'浓度设置'!S22</x:f>
        <x:v>44345.55047619048</x:v>
      </x:c>
      <x:c r="AP22" s="9" t="n">
        <x:f>'浓度设置'!S26</x:f>
        <x:v>153318.30499999996</x:v>
      </x:c>
      <x:c r="AQ22" s="9" t="n">
        <x:f>'浓度设置'!S29</x:f>
        <x:v>312.7970588235294</x:v>
      </x:c>
      <x:c r="AR22" s="9" t="n">
        <x:f>'浓度设置'!S30</x:f>
        <x:v>104175.5097553192</x:v>
      </x:c>
      <x:c r="AS22" s="9" t="n">
        <x:f>'浓度设置'!S35</x:f>
        <x:v>405974.90656785714</x:v>
      </x:c>
    </x:row>
    <x:row r="23" ht="24" customHeight="1">
      <x:c r="A23" s="3" t="str">
        <x:f>'350配方'!A23</x:f>
        <x:v>T018</x:v>
      </x:c>
      <x:c r="B23" s="3" t="str">
        <x:f>'350配方'!B23</x:f>
        <x:v>拟合</x:v>
      </x:c>
      <x:c r="C23" s="3" t="n">
        <x:f>IF(B23="拟合",1,0)</x:f>
        <x:v>1</x:v>
      </x:c>
      <x:c r="D23" s="3" t="n">
        <x:f>'350配方'!AC23</x:f>
        <x:v>1</x:v>
      </x:c>
      <x:c r="E23" s="9" t="n">
        <x:f>SUMIFS('350配方'!$M23:$P23,'350配方'!$Y23:$AB23,7)</x:f>
        <x:v>0</x:v>
      </x:c>
      <x:c r="F23" s="9" t="n">
        <x:f>SUMIFS('350配方'!$M23:$P23,'350配方'!$Y23:$AB23,11)</x:f>
        <x:v>0</x:v>
      </x:c>
      <x:c r="G23" s="9" t="n">
        <x:f>SUMIFS('350配方'!$M23:$P23,'350配方'!$Y23:$AB23,18)</x:f>
        <x:v>0</x:v>
      </x:c>
      <x:c r="H23" s="9" t="n">
        <x:f>SUMIFS('350配方'!$M23:$P23,'350配方'!$Y23:$AB23,32)</x:f>
        <x:v>0</x:v>
      </x:c>
      <x:c r="I23" s="9" t="n">
        <x:f>SUMIFS('350配方'!$M23:$P23,'350配方'!$Y23:$AB23,40)</x:f>
        <x:v>0</x:v>
      </x:c>
      <x:c r="J23" s="9" t="n">
        <x:f>SUMIFS('350配方'!$M23:$P23,'350配方'!$Y23:$AB23,52)</x:f>
        <x:v>2338.9306103431118</x:v>
      </x:c>
      <x:c r="K23" s="9" t="n">
        <x:f>SUMIFS('350配方'!$M23:$P23,'350配方'!$Y23:$AB23,53)</x:f>
        <x:v>0</x:v>
      </x:c>
      <x:c r="L23" s="9" t="n">
        <x:f>SUMIFS('350配方'!$M23:$P23,'350配方'!$Y23:$AB23,56)</x:f>
        <x:v>0</x:v>
      </x:c>
      <x:c r="M23" s="9" t="n">
        <x:f>SUMIFS('350配方'!$M23:$P23,'350配方'!$Y23:$AB23,58)</x:f>
        <x:v>0</x:v>
      </x:c>
      <x:c r="N23" s="9" t="n">
        <x:f>SUMIFS('350配方'!$M23:$P23,'350配方'!$Y23:$AB23,61)</x:f>
        <x:v>0</x:v>
      </x:c>
      <x:c r="O23" s="9" t="n">
        <x:f>SUMIFS('350配方'!$M23:$P23,'350配方'!$Y23:$AB23,69)</x:f>
        <x:v>0</x:v>
      </x:c>
      <x:c r="P23" s="9" t="n">
        <x:f>SUMIFS('350配方'!$M23:$P23,'350配方'!$Y23:$AB23,75)</x:f>
        <x:v>0</x:v>
      </x:c>
      <x:c r="Q23" s="9" t="n">
        <x:f>SUMIFS('350配方'!$M23:$P23,'350配方'!$Y23:$AB23,79)</x:f>
        <x:v>0</x:v>
      </x:c>
      <x:c r="R23" s="9" t="n">
        <x:f>SUMIFS('350配方'!$M23:$P23,'350配方'!$Y23:$AB23,90)</x:f>
        <x:v>0</x:v>
      </x:c>
      <x:c r="S23" s="9" t="n">
        <x:f>SUMIFS('350配方'!$M23:$P23,'350配方'!$Y23:$AB23,105)</x:f>
        <x:v>0</x:v>
      </x:c>
      <x:c r="T23" s="9" t="n">
        <x:f>SUMIFS('350配方'!$M23:$P23,'350配方'!$Y23:$AB23,111)</x:f>
        <x:v>0</x:v>
      </x:c>
      <x:c r="U23" s="9" t="n">
        <x:f>SUMIFS('350配方'!$M23:$P23,'350配方'!$Y23:$AB23,114)</x:f>
        <x:v>0</x:v>
      </x:c>
      <x:c r="V23" s="9" t="n">
        <x:f>SUMIFS('350配方'!$M23:$P23,'350配方'!$Y23:$AB23,115)</x:f>
        <x:v>0</x:v>
      </x:c>
      <x:c r="W23" s="9" t="n">
        <x:f>SUMIFS('350配方'!$M23:$P23,'350配方'!$Y23:$AB23,117)</x:f>
        <x:v>0</x:v>
      </x:c>
      <x:c r="X23" s="9" t="n">
        <x:f>SUMIFS('350配方'!$M23:$P23,'350配方'!$Y23:$AB23,126)</x:f>
        <x:v>0</x:v>
      </x:c>
      <x:c r="Y23" s="9" t="n">
        <x:f>SUMIFS('350配方'!$M23:$P23,'350配方'!$Y23:$AB23,136)</x:f>
        <x:v>0</x:v>
      </x:c>
      <x:c r="Z23" s="9" t="n">
        <x:f>SUMIFS('350配方'!$M23:$P23,'350配方'!$Y23:$AB23,141)</x:f>
        <x:v>0</x:v>
      </x:c>
      <x:c r="AA23" s="9" t="n">
        <x:f>SUMIFS('350配方'!$M23:$P23,'350配方'!$Y23:$AB23,152)</x:f>
        <x:v>0</x:v>
      </x:c>
      <x:c r="AB23" s="9" t="n">
        <x:f>SUMIFS('350配方'!$M23:$P23,'350配方'!$Y23:$AB23,165)</x:f>
        <x:v>0</x:v>
      </x:c>
      <x:c r="AC23" s="9" t="n">
        <x:f>SUMIFS('350配方'!$M23:$P23,'350配方'!$Y23:$AB23,186)</x:f>
        <x:v>0</x:v>
      </x:c>
      <x:c r="AD23" s="9" t="n">
        <x:f>SUMIFS('350配方'!$M23:$P23,'350配方'!$Y23:$AB23,207)</x:f>
        <x:v>0</x:v>
      </x:c>
      <x:c r="AE23" s="9" t="n">
        <x:f>SUMIFS('350配方'!$M23:$P23,'350配方'!$Y23:$AB23,209)</x:f>
        <x:v>0</x:v>
      </x:c>
      <x:c r="AF23" s="9" t="n">
        <x:f>SUMIFS('350配方'!$M23:$P23,'350配方'!$Y23:$AB23,227)</x:f>
        <x:v>0</x:v>
      </x:c>
      <x:c r="AG23" s="9" t="n">
        <x:f>SUMIFS('350配方'!$M23:$P23,'350配方'!$Y23:$AB23,232)</x:f>
        <x:v>0</x:v>
      </x:c>
      <x:c r="AH23" s="9" t="n">
        <x:f>SUMIFS('350配方'!$M23:$P23,'350配方'!$Y23:$AB23,255)</x:f>
        <x:v>0</x:v>
      </x:c>
      <x:c r="AI23" s="9" t="n">
        <x:f>'浓度设置'!S6</x:f>
        <x:v>219125.9626344086</x:v>
      </x:c>
      <x:c r="AJ23" s="9" t="n">
        <x:f>'浓度设置'!S8</x:f>
        <x:v>92796.92267241378</x:v>
      </x:c>
      <x:c r="AK23" s="9" t="n">
        <x:f>'浓度设置'!S10</x:f>
        <x:v>30556.797802197798</x:v>
      </x:c>
      <x:c r="AL23" s="9" t="n">
        <x:f>'浓度设置'!S12</x:f>
        <x:v>1735.828970588235</x:v>
      </x:c>
      <x:c r="AM23" s="9" t="n">
        <x:f>'浓度设置'!S15</x:f>
        <x:v>7385.813644067793</x:v>
      </x:c>
      <x:c r="AN23" s="9" t="n">
        <x:f>'浓度设置'!S19</x:f>
        <x:v>27722.03097701148</x:v>
      </x:c>
      <x:c r="AO23" s="9" t="n">
        <x:f>'浓度设置'!S22</x:f>
        <x:v>44345.55047619048</x:v>
      </x:c>
      <x:c r="AP23" s="9" t="n">
        <x:f>'浓度设置'!S26</x:f>
        <x:v>153318.30499999996</x:v>
      </x:c>
      <x:c r="AQ23" s="9" t="n">
        <x:f>'浓度设置'!S29</x:f>
        <x:v>312.7970588235294</x:v>
      </x:c>
      <x:c r="AR23" s="9" t="n">
        <x:f>'浓度设置'!S30</x:f>
        <x:v>104175.5097553192</x:v>
      </x:c>
      <x:c r="AS23" s="9" t="n">
        <x:f>'浓度设置'!S35</x:f>
        <x:v>405974.90656785714</x:v>
      </x:c>
    </x:row>
    <x:row r="24" ht="24" customHeight="1">
      <x:c r="A24" s="3" t="str">
        <x:f>'350配方'!A24</x:f>
        <x:v>T019</x:v>
      </x:c>
      <x:c r="B24" s="3" t="str">
        <x:f>'350配方'!B24</x:f>
        <x:v>拟合</x:v>
      </x:c>
      <x:c r="C24" s="3" t="n">
        <x:f>IF(B24="拟合",1,0)</x:f>
        <x:v>1</x:v>
      </x:c>
      <x:c r="D24" s="3" t="n">
        <x:f>'350配方'!AC24</x:f>
        <x:v>1</x:v>
      </x:c>
      <x:c r="E24" s="9" t="n">
        <x:f>SUMIFS('350配方'!$M24:$P24,'350配方'!$Y24:$AB24,7)</x:f>
        <x:v>0</x:v>
      </x:c>
      <x:c r="F24" s="9" t="n">
        <x:f>SUMIFS('350配方'!$M24:$P24,'350配方'!$Y24:$AB24,11)</x:f>
        <x:v>0</x:v>
      </x:c>
      <x:c r="G24" s="9" t="n">
        <x:f>SUMIFS('350配方'!$M24:$P24,'350配方'!$Y24:$AB24,18)</x:f>
        <x:v>0</x:v>
      </x:c>
      <x:c r="H24" s="9" t="n">
        <x:f>SUMIFS('350配方'!$M24:$P24,'350配方'!$Y24:$AB24,32)</x:f>
        <x:v>0</x:v>
      </x:c>
      <x:c r="I24" s="9" t="n">
        <x:f>SUMIFS('350配方'!$M24:$P24,'350配方'!$Y24:$AB24,40)</x:f>
        <x:v>0</x:v>
      </x:c>
      <x:c r="J24" s="9" t="n">
        <x:f>SUMIFS('350配方'!$M24:$P24,'350配方'!$Y24:$AB24,52)</x:f>
        <x:v>1290235</x:v>
      </x:c>
      <x:c r="K24" s="9" t="n">
        <x:f>SUMIFS('350配方'!$M24:$P24,'350配方'!$Y24:$AB24,53)</x:f>
        <x:v>0</x:v>
      </x:c>
      <x:c r="L24" s="9" t="n">
        <x:f>SUMIFS('350配方'!$M24:$P24,'350配方'!$Y24:$AB24,56)</x:f>
        <x:v>0</x:v>
      </x:c>
      <x:c r="M24" s="9" t="n">
        <x:f>SUMIFS('350配方'!$M24:$P24,'350配方'!$Y24:$AB24,58)</x:f>
        <x:v>0</x:v>
      </x:c>
      <x:c r="N24" s="9" t="n">
        <x:f>SUMIFS('350配方'!$M24:$P24,'350配方'!$Y24:$AB24,61)</x:f>
        <x:v>0</x:v>
      </x:c>
      <x:c r="O24" s="9" t="n">
        <x:f>SUMIFS('350配方'!$M24:$P24,'350配方'!$Y24:$AB24,69)</x:f>
        <x:v>0</x:v>
      </x:c>
      <x:c r="P24" s="9" t="n">
        <x:f>SUMIFS('350配方'!$M24:$P24,'350配方'!$Y24:$AB24,75)</x:f>
        <x:v>0</x:v>
      </x:c>
      <x:c r="Q24" s="9" t="n">
        <x:f>SUMIFS('350配方'!$M24:$P24,'350配方'!$Y24:$AB24,79)</x:f>
        <x:v>0</x:v>
      </x:c>
      <x:c r="R24" s="9" t="n">
        <x:f>SUMIFS('350配方'!$M24:$P24,'350配方'!$Y24:$AB24,90)</x:f>
        <x:v>0</x:v>
      </x:c>
      <x:c r="S24" s="9" t="n">
        <x:f>SUMIFS('350配方'!$M24:$P24,'350配方'!$Y24:$AB24,105)</x:f>
        <x:v>0</x:v>
      </x:c>
      <x:c r="T24" s="9" t="n">
        <x:f>SUMIFS('350配方'!$M24:$P24,'350配方'!$Y24:$AB24,111)</x:f>
        <x:v>0</x:v>
      </x:c>
      <x:c r="U24" s="9" t="n">
        <x:f>SUMIFS('350配方'!$M24:$P24,'350配方'!$Y24:$AB24,114)</x:f>
        <x:v>0</x:v>
      </x:c>
      <x:c r="V24" s="9" t="n">
        <x:f>SUMIFS('350配方'!$M24:$P24,'350配方'!$Y24:$AB24,115)</x:f>
        <x:v>0</x:v>
      </x:c>
      <x:c r="W24" s="9" t="n">
        <x:f>SUMIFS('350配方'!$M24:$P24,'350配方'!$Y24:$AB24,117)</x:f>
        <x:v>0</x:v>
      </x:c>
      <x:c r="X24" s="9" t="n">
        <x:f>SUMIFS('350配方'!$M24:$P24,'350配方'!$Y24:$AB24,126)</x:f>
        <x:v>0</x:v>
      </x:c>
      <x:c r="Y24" s="9" t="n">
        <x:f>SUMIFS('350配方'!$M24:$P24,'350配方'!$Y24:$AB24,136)</x:f>
        <x:v>0</x:v>
      </x:c>
      <x:c r="Z24" s="9" t="n">
        <x:f>SUMIFS('350配方'!$M24:$P24,'350配方'!$Y24:$AB24,141)</x:f>
        <x:v>0</x:v>
      </x:c>
      <x:c r="AA24" s="9" t="n">
        <x:f>SUMIFS('350配方'!$M24:$P24,'350配方'!$Y24:$AB24,152)</x:f>
        <x:v>0</x:v>
      </x:c>
      <x:c r="AB24" s="9" t="n">
        <x:f>SUMIFS('350配方'!$M24:$P24,'350配方'!$Y24:$AB24,165)</x:f>
        <x:v>0</x:v>
      </x:c>
      <x:c r="AC24" s="9" t="n">
        <x:f>SUMIFS('350配方'!$M24:$P24,'350配方'!$Y24:$AB24,186)</x:f>
        <x:v>0</x:v>
      </x:c>
      <x:c r="AD24" s="9" t="n">
        <x:f>SUMIFS('350配方'!$M24:$P24,'350配方'!$Y24:$AB24,207)</x:f>
        <x:v>0</x:v>
      </x:c>
      <x:c r="AE24" s="9" t="n">
        <x:f>SUMIFS('350配方'!$M24:$P24,'350配方'!$Y24:$AB24,209)</x:f>
        <x:v>0</x:v>
      </x:c>
      <x:c r="AF24" s="9" t="n">
        <x:f>SUMIFS('350配方'!$M24:$P24,'350配方'!$Y24:$AB24,227)</x:f>
        <x:v>0</x:v>
      </x:c>
      <x:c r="AG24" s="9" t="n">
        <x:f>SUMIFS('350配方'!$M24:$P24,'350配方'!$Y24:$AB24,232)</x:f>
        <x:v>0</x:v>
      </x:c>
      <x:c r="AH24" s="9" t="n">
        <x:f>SUMIFS('350配方'!$M24:$P24,'350配方'!$Y24:$AB24,255)</x:f>
        <x:v>0</x:v>
      </x:c>
      <x:c r="AI24" s="9" t="n">
        <x:f>'浓度设置'!S6</x:f>
        <x:v>219125.9626344086</x:v>
      </x:c>
      <x:c r="AJ24" s="9" t="n">
        <x:f>'浓度设置'!S8</x:f>
        <x:v>92796.92267241378</x:v>
      </x:c>
      <x:c r="AK24" s="9" t="n">
        <x:f>'浓度设置'!S10</x:f>
        <x:v>30556.797802197798</x:v>
      </x:c>
      <x:c r="AL24" s="9" t="n">
        <x:f>'浓度设置'!S12</x:f>
        <x:v>1735.828970588235</x:v>
      </x:c>
      <x:c r="AM24" s="9" t="n">
        <x:f>'浓度设置'!S15</x:f>
        <x:v>7385.813644067793</x:v>
      </x:c>
      <x:c r="AN24" s="9" t="n">
        <x:f>'浓度设置'!S19</x:f>
        <x:v>27722.03097701148</x:v>
      </x:c>
      <x:c r="AO24" s="9" t="n">
        <x:f>'浓度设置'!S22</x:f>
        <x:v>44345.55047619048</x:v>
      </x:c>
      <x:c r="AP24" s="9" t="n">
        <x:f>'浓度设置'!S26</x:f>
        <x:v>153318.30499999996</x:v>
      </x:c>
      <x:c r="AQ24" s="9" t="n">
        <x:f>'浓度设置'!S29</x:f>
        <x:v>312.7970588235294</x:v>
      </x:c>
      <x:c r="AR24" s="9" t="n">
        <x:f>'浓度设置'!S30</x:f>
        <x:v>104175.5097553192</x:v>
      </x:c>
      <x:c r="AS24" s="9" t="n">
        <x:f>'浓度设置'!S35</x:f>
        <x:v>405974.90656785714</x:v>
      </x:c>
    </x:row>
    <x:row r="25" ht="24" customHeight="1">
      <x:c r="A25" s="3" t="str">
        <x:f>'350配方'!A25</x:f>
        <x:v>T020</x:v>
      </x:c>
      <x:c r="B25" s="3" t="str">
        <x:f>'350配方'!B25</x:f>
        <x:v>拟合</x:v>
      </x:c>
      <x:c r="C25" s="3" t="n">
        <x:f>IF(B25="拟合",1,0)</x:f>
        <x:v>1</x:v>
      </x:c>
      <x:c r="D25" s="3" t="n">
        <x:f>'350配方'!AC25</x:f>
        <x:v>1</x:v>
      </x:c>
      <x:c r="E25" s="9" t="n">
        <x:f>SUMIFS('350配方'!$M25:$P25,'350配方'!$Y25:$AB25,7)</x:f>
        <x:v>0</x:v>
      </x:c>
      <x:c r="F25" s="9" t="n">
        <x:f>SUMIFS('350配方'!$M25:$P25,'350配方'!$Y25:$AB25,11)</x:f>
        <x:v>0</x:v>
      </x:c>
      <x:c r="G25" s="9" t="n">
        <x:f>SUMIFS('350配方'!$M25:$P25,'350配方'!$Y25:$AB25,18)</x:f>
        <x:v>0</x:v>
      </x:c>
      <x:c r="H25" s="9" t="n">
        <x:f>SUMIFS('350配方'!$M25:$P25,'350配方'!$Y25:$AB25,32)</x:f>
        <x:v>0</x:v>
      </x:c>
      <x:c r="I25" s="9" t="n">
        <x:f>SUMIFS('350配方'!$M25:$P25,'350配方'!$Y25:$AB25,40)</x:f>
        <x:v>0</x:v>
      </x:c>
      <x:c r="J25" s="9" t="n">
        <x:f>SUMIFS('350配方'!$M25:$P25,'350配方'!$Y25:$AB25,52)</x:f>
        <x:v>0</x:v>
      </x:c>
      <x:c r="K25" s="9" t="n">
        <x:f>SUMIFS('350配方'!$M25:$P25,'350配方'!$Y25:$AB25,53)</x:f>
        <x:v>9.61</x:v>
      </x:c>
      <x:c r="L25" s="9" t="n">
        <x:f>SUMIFS('350配方'!$M25:$P25,'350配方'!$Y25:$AB25,56)</x:f>
        <x:v>0</x:v>
      </x:c>
      <x:c r="M25" s="9" t="n">
        <x:f>SUMIFS('350配方'!$M25:$P25,'350配方'!$Y25:$AB25,58)</x:f>
        <x:v>0</x:v>
      </x:c>
      <x:c r="N25" s="9" t="n">
        <x:f>SUMIFS('350配方'!$M25:$P25,'350配方'!$Y25:$AB25,61)</x:f>
        <x:v>0</x:v>
      </x:c>
      <x:c r="O25" s="9" t="n">
        <x:f>SUMIFS('350配方'!$M25:$P25,'350配方'!$Y25:$AB25,69)</x:f>
        <x:v>0</x:v>
      </x:c>
      <x:c r="P25" s="9" t="n">
        <x:f>SUMIFS('350配方'!$M25:$P25,'350配方'!$Y25:$AB25,75)</x:f>
        <x:v>0</x:v>
      </x:c>
      <x:c r="Q25" s="9" t="n">
        <x:f>SUMIFS('350配方'!$M25:$P25,'350配方'!$Y25:$AB25,79)</x:f>
        <x:v>0</x:v>
      </x:c>
      <x:c r="R25" s="9" t="n">
        <x:f>SUMIFS('350配方'!$M25:$P25,'350配方'!$Y25:$AB25,90)</x:f>
        <x:v>0</x:v>
      </x:c>
      <x:c r="S25" s="9" t="n">
        <x:f>SUMIFS('350配方'!$M25:$P25,'350配方'!$Y25:$AB25,105)</x:f>
        <x:v>0</x:v>
      </x:c>
      <x:c r="T25" s="9" t="n">
        <x:f>SUMIFS('350配方'!$M25:$P25,'350配方'!$Y25:$AB25,111)</x:f>
        <x:v>0</x:v>
      </x:c>
      <x:c r="U25" s="9" t="n">
        <x:f>SUMIFS('350配方'!$M25:$P25,'350配方'!$Y25:$AB25,114)</x:f>
        <x:v>0</x:v>
      </x:c>
      <x:c r="V25" s="9" t="n">
        <x:f>SUMIFS('350配方'!$M25:$P25,'350配方'!$Y25:$AB25,115)</x:f>
        <x:v>0</x:v>
      </x:c>
      <x:c r="W25" s="9" t="n">
        <x:f>SUMIFS('350配方'!$M25:$P25,'350配方'!$Y25:$AB25,117)</x:f>
        <x:v>0</x:v>
      </x:c>
      <x:c r="X25" s="9" t="n">
        <x:f>SUMIFS('350配方'!$M25:$P25,'350配方'!$Y25:$AB25,126)</x:f>
        <x:v>0</x:v>
      </x:c>
      <x:c r="Y25" s="9" t="n">
        <x:f>SUMIFS('350配方'!$M25:$P25,'350配方'!$Y25:$AB25,136)</x:f>
        <x:v>0</x:v>
      </x:c>
      <x:c r="Z25" s="9" t="n">
        <x:f>SUMIFS('350配方'!$M25:$P25,'350配方'!$Y25:$AB25,141)</x:f>
        <x:v>0</x:v>
      </x:c>
      <x:c r="AA25" s="9" t="n">
        <x:f>SUMIFS('350配方'!$M25:$P25,'350配方'!$Y25:$AB25,152)</x:f>
        <x:v>0</x:v>
      </x:c>
      <x:c r="AB25" s="9" t="n">
        <x:f>SUMIFS('350配方'!$M25:$P25,'350配方'!$Y25:$AB25,165)</x:f>
        <x:v>0</x:v>
      </x:c>
      <x:c r="AC25" s="9" t="n">
        <x:f>SUMIFS('350配方'!$M25:$P25,'350配方'!$Y25:$AB25,186)</x:f>
        <x:v>0</x:v>
      </x:c>
      <x:c r="AD25" s="9" t="n">
        <x:f>SUMIFS('350配方'!$M25:$P25,'350配方'!$Y25:$AB25,207)</x:f>
        <x:v>0</x:v>
      </x:c>
      <x:c r="AE25" s="9" t="n">
        <x:f>SUMIFS('350配方'!$M25:$P25,'350配方'!$Y25:$AB25,209)</x:f>
        <x:v>0</x:v>
      </x:c>
      <x:c r="AF25" s="9" t="n">
        <x:f>SUMIFS('350配方'!$M25:$P25,'350配方'!$Y25:$AB25,227)</x:f>
        <x:v>0</x:v>
      </x:c>
      <x:c r="AG25" s="9" t="n">
        <x:f>SUMIFS('350配方'!$M25:$P25,'350配方'!$Y25:$AB25,232)</x:f>
        <x:v>0</x:v>
      </x:c>
      <x:c r="AH25" s="9" t="n">
        <x:f>SUMIFS('350配方'!$M25:$P25,'350配方'!$Y25:$AB25,255)</x:f>
        <x:v>0</x:v>
      </x:c>
      <x:c r="AI25" s="9" t="n">
        <x:f>'浓度设置'!S6</x:f>
        <x:v>219125.9626344086</x:v>
      </x:c>
      <x:c r="AJ25" s="9" t="n">
        <x:f>'浓度设置'!S8</x:f>
        <x:v>92796.92267241378</x:v>
      </x:c>
      <x:c r="AK25" s="9" t="n">
        <x:f>'浓度设置'!S10</x:f>
        <x:v>30556.797802197798</x:v>
      </x:c>
      <x:c r="AL25" s="9" t="n">
        <x:f>'浓度设置'!S12</x:f>
        <x:v>1735.828970588235</x:v>
      </x:c>
      <x:c r="AM25" s="9" t="n">
        <x:f>'浓度设置'!S15</x:f>
        <x:v>7385.813644067793</x:v>
      </x:c>
      <x:c r="AN25" s="9" t="n">
        <x:f>'浓度设置'!S19</x:f>
        <x:v>27722.03097701148</x:v>
      </x:c>
      <x:c r="AO25" s="9" t="n">
        <x:f>'浓度设置'!S22</x:f>
        <x:v>44345.55047619048</x:v>
      </x:c>
      <x:c r="AP25" s="9" t="n">
        <x:f>'浓度设置'!S26</x:f>
        <x:v>153318.30499999996</x:v>
      </x:c>
      <x:c r="AQ25" s="9" t="n">
        <x:f>'浓度设置'!S29</x:f>
        <x:v>312.7970588235294</x:v>
      </x:c>
      <x:c r="AR25" s="9" t="n">
        <x:f>'浓度设置'!S30</x:f>
        <x:v>104175.5097553192</x:v>
      </x:c>
      <x:c r="AS25" s="9" t="n">
        <x:f>'浓度设置'!S35</x:f>
        <x:v>405974.90656785714</x:v>
      </x:c>
    </x:row>
    <x:row r="26" ht="24" customHeight="1">
      <x:c r="A26" s="3" t="str">
        <x:f>'350配方'!A26</x:f>
        <x:v>T021</x:v>
      </x:c>
      <x:c r="B26" s="3" t="str">
        <x:f>'350配方'!B26</x:f>
        <x:v>拟合</x:v>
      </x:c>
      <x:c r="C26" s="3" t="n">
        <x:f>IF(B26="拟合",1,0)</x:f>
        <x:v>1</x:v>
      </x:c>
      <x:c r="D26" s="3" t="n">
        <x:f>'350配方'!AC26</x:f>
        <x:v>1</x:v>
      </x:c>
      <x:c r="E26" s="9" t="n">
        <x:f>SUMIFS('350配方'!$M26:$P26,'350配方'!$Y26:$AB26,7)</x:f>
        <x:v>0</x:v>
      </x:c>
      <x:c r="F26" s="9" t="n">
        <x:f>SUMIFS('350配方'!$M26:$P26,'350配方'!$Y26:$AB26,11)</x:f>
        <x:v>0</x:v>
      </x:c>
      <x:c r="G26" s="9" t="n">
        <x:f>SUMIFS('350配方'!$M26:$P26,'350配方'!$Y26:$AB26,18)</x:f>
        <x:v>0</x:v>
      </x:c>
      <x:c r="H26" s="9" t="n">
        <x:f>SUMIFS('350配方'!$M26:$P26,'350配方'!$Y26:$AB26,32)</x:f>
        <x:v>0</x:v>
      </x:c>
      <x:c r="I26" s="9" t="n">
        <x:f>SUMIFS('350配方'!$M26:$P26,'350配方'!$Y26:$AB26,40)</x:f>
        <x:v>0</x:v>
      </x:c>
      <x:c r="J26" s="9" t="n">
        <x:f>SUMIFS('350配方'!$M26:$P26,'350配方'!$Y26:$AB26,52)</x:f>
        <x:v>0</x:v>
      </x:c>
      <x:c r="K26" s="9" t="n">
        <x:f>SUMIFS('350配方'!$M26:$P26,'350配方'!$Y26:$AB26,53)</x:f>
        <x:v>2745.3821227654266</x:v>
      </x:c>
      <x:c r="L26" s="9" t="n">
        <x:f>SUMIFS('350配方'!$M26:$P26,'350配方'!$Y26:$AB26,56)</x:f>
        <x:v>0</x:v>
      </x:c>
      <x:c r="M26" s="9" t="n">
        <x:f>SUMIFS('350配方'!$M26:$P26,'350配方'!$Y26:$AB26,58)</x:f>
        <x:v>0</x:v>
      </x:c>
      <x:c r="N26" s="9" t="n">
        <x:f>SUMIFS('350配方'!$M26:$P26,'350配方'!$Y26:$AB26,61)</x:f>
        <x:v>0</x:v>
      </x:c>
      <x:c r="O26" s="9" t="n">
        <x:f>SUMIFS('350配方'!$M26:$P26,'350配方'!$Y26:$AB26,69)</x:f>
        <x:v>0</x:v>
      </x:c>
      <x:c r="P26" s="9" t="n">
        <x:f>SUMIFS('350配方'!$M26:$P26,'350配方'!$Y26:$AB26,75)</x:f>
        <x:v>0</x:v>
      </x:c>
      <x:c r="Q26" s="9" t="n">
        <x:f>SUMIFS('350配方'!$M26:$P26,'350配方'!$Y26:$AB26,79)</x:f>
        <x:v>0</x:v>
      </x:c>
      <x:c r="R26" s="9" t="n">
        <x:f>SUMIFS('350配方'!$M26:$P26,'350配方'!$Y26:$AB26,90)</x:f>
        <x:v>0</x:v>
      </x:c>
      <x:c r="S26" s="9" t="n">
        <x:f>SUMIFS('350配方'!$M26:$P26,'350配方'!$Y26:$AB26,105)</x:f>
        <x:v>0</x:v>
      </x:c>
      <x:c r="T26" s="9" t="n">
        <x:f>SUMIFS('350配方'!$M26:$P26,'350配方'!$Y26:$AB26,111)</x:f>
        <x:v>0</x:v>
      </x:c>
      <x:c r="U26" s="9" t="n">
        <x:f>SUMIFS('350配方'!$M26:$P26,'350配方'!$Y26:$AB26,114)</x:f>
        <x:v>0</x:v>
      </x:c>
      <x:c r="V26" s="9" t="n">
        <x:f>SUMIFS('350配方'!$M26:$P26,'350配方'!$Y26:$AB26,115)</x:f>
        <x:v>0</x:v>
      </x:c>
      <x:c r="W26" s="9" t="n">
        <x:f>SUMIFS('350配方'!$M26:$P26,'350配方'!$Y26:$AB26,117)</x:f>
        <x:v>0</x:v>
      </x:c>
      <x:c r="X26" s="9" t="n">
        <x:f>SUMIFS('350配方'!$M26:$P26,'350配方'!$Y26:$AB26,126)</x:f>
        <x:v>0</x:v>
      </x:c>
      <x:c r="Y26" s="9" t="n">
        <x:f>SUMIFS('350配方'!$M26:$P26,'350配方'!$Y26:$AB26,136)</x:f>
        <x:v>0</x:v>
      </x:c>
      <x:c r="Z26" s="9" t="n">
        <x:f>SUMIFS('350配方'!$M26:$P26,'350配方'!$Y26:$AB26,141)</x:f>
        <x:v>0</x:v>
      </x:c>
      <x:c r="AA26" s="9" t="n">
        <x:f>SUMIFS('350配方'!$M26:$P26,'350配方'!$Y26:$AB26,152)</x:f>
        <x:v>0</x:v>
      </x:c>
      <x:c r="AB26" s="9" t="n">
        <x:f>SUMIFS('350配方'!$M26:$P26,'350配方'!$Y26:$AB26,165)</x:f>
        <x:v>0</x:v>
      </x:c>
      <x:c r="AC26" s="9" t="n">
        <x:f>SUMIFS('350配方'!$M26:$P26,'350配方'!$Y26:$AB26,186)</x:f>
        <x:v>0</x:v>
      </x:c>
      <x:c r="AD26" s="9" t="n">
        <x:f>SUMIFS('350配方'!$M26:$P26,'350配方'!$Y26:$AB26,207)</x:f>
        <x:v>0</x:v>
      </x:c>
      <x:c r="AE26" s="9" t="n">
        <x:f>SUMIFS('350配方'!$M26:$P26,'350配方'!$Y26:$AB26,209)</x:f>
        <x:v>0</x:v>
      </x:c>
      <x:c r="AF26" s="9" t="n">
        <x:f>SUMIFS('350配方'!$M26:$P26,'350配方'!$Y26:$AB26,227)</x:f>
        <x:v>0</x:v>
      </x:c>
      <x:c r="AG26" s="9" t="n">
        <x:f>SUMIFS('350配方'!$M26:$P26,'350配方'!$Y26:$AB26,232)</x:f>
        <x:v>0</x:v>
      </x:c>
      <x:c r="AH26" s="9" t="n">
        <x:f>SUMIFS('350配方'!$M26:$P26,'350配方'!$Y26:$AB26,255)</x:f>
        <x:v>0</x:v>
      </x:c>
      <x:c r="AI26" s="9" t="n">
        <x:f>'浓度设置'!S6</x:f>
        <x:v>219125.9626344086</x:v>
      </x:c>
      <x:c r="AJ26" s="9" t="n">
        <x:f>'浓度设置'!S8</x:f>
        <x:v>92796.92267241378</x:v>
      </x:c>
      <x:c r="AK26" s="9" t="n">
        <x:f>'浓度设置'!S10</x:f>
        <x:v>30556.797802197798</x:v>
      </x:c>
      <x:c r="AL26" s="9" t="n">
        <x:f>'浓度设置'!S12</x:f>
        <x:v>1735.828970588235</x:v>
      </x:c>
      <x:c r="AM26" s="9" t="n">
        <x:f>'浓度设置'!S15</x:f>
        <x:v>7385.813644067793</x:v>
      </x:c>
      <x:c r="AN26" s="9" t="n">
        <x:f>'浓度设置'!S19</x:f>
        <x:v>27722.03097701148</x:v>
      </x:c>
      <x:c r="AO26" s="9" t="n">
        <x:f>'浓度设置'!S22</x:f>
        <x:v>44345.55047619048</x:v>
      </x:c>
      <x:c r="AP26" s="9" t="n">
        <x:f>'浓度设置'!S26</x:f>
        <x:v>153318.30499999996</x:v>
      </x:c>
      <x:c r="AQ26" s="9" t="n">
        <x:f>'浓度设置'!S29</x:f>
        <x:v>312.7970588235294</x:v>
      </x:c>
      <x:c r="AR26" s="9" t="n">
        <x:f>'浓度设置'!S30</x:f>
        <x:v>104175.5097553192</x:v>
      </x:c>
      <x:c r="AS26" s="9" t="n">
        <x:f>'浓度设置'!S35</x:f>
        <x:v>405974.90656785714</x:v>
      </x:c>
    </x:row>
    <x:row r="27" ht="24" customHeight="1">
      <x:c r="A27" s="3" t="str">
        <x:f>'350配方'!A27</x:f>
        <x:v>T022</x:v>
      </x:c>
      <x:c r="B27" s="3" t="str">
        <x:f>'350配方'!B27</x:f>
        <x:v>拟合</x:v>
      </x:c>
      <x:c r="C27" s="3" t="n">
        <x:f>IF(B27="拟合",1,0)</x:f>
        <x:v>1</x:v>
      </x:c>
      <x:c r="D27" s="3" t="n">
        <x:f>'350配方'!AC27</x:f>
        <x:v>1</x:v>
      </x:c>
      <x:c r="E27" s="9" t="n">
        <x:f>SUMIFS('350配方'!$M27:$P27,'350配方'!$Y27:$AB27,7)</x:f>
        <x:v>0</x:v>
      </x:c>
      <x:c r="F27" s="9" t="n">
        <x:f>SUMIFS('350配方'!$M27:$P27,'350配方'!$Y27:$AB27,11)</x:f>
        <x:v>0</x:v>
      </x:c>
      <x:c r="G27" s="9" t="n">
        <x:f>SUMIFS('350配方'!$M27:$P27,'350配方'!$Y27:$AB27,18)</x:f>
        <x:v>0</x:v>
      </x:c>
      <x:c r="H27" s="9" t="n">
        <x:f>SUMIFS('350配方'!$M27:$P27,'350配方'!$Y27:$AB27,32)</x:f>
        <x:v>0</x:v>
      </x:c>
      <x:c r="I27" s="9" t="n">
        <x:f>SUMIFS('350配方'!$M27:$P27,'350配方'!$Y27:$AB27,40)</x:f>
        <x:v>0</x:v>
      </x:c>
      <x:c r="J27" s="9" t="n">
        <x:f>SUMIFS('350配方'!$M27:$P27,'350配方'!$Y27:$AB27,52)</x:f>
        <x:v>0</x:v>
      </x:c>
      <x:c r="K27" s="9" t="n">
        <x:f>SUMIFS('350配方'!$M27:$P27,'350配方'!$Y27:$AB27,53)</x:f>
        <x:v>784300</x:v>
      </x:c>
      <x:c r="L27" s="9" t="n">
        <x:f>SUMIFS('350配方'!$M27:$P27,'350配方'!$Y27:$AB27,56)</x:f>
        <x:v>0</x:v>
      </x:c>
      <x:c r="M27" s="9" t="n">
        <x:f>SUMIFS('350配方'!$M27:$P27,'350配方'!$Y27:$AB27,58)</x:f>
        <x:v>0</x:v>
      </x:c>
      <x:c r="N27" s="9" t="n">
        <x:f>SUMIFS('350配方'!$M27:$P27,'350配方'!$Y27:$AB27,61)</x:f>
        <x:v>0</x:v>
      </x:c>
      <x:c r="O27" s="9" t="n">
        <x:f>SUMIFS('350配方'!$M27:$P27,'350配方'!$Y27:$AB27,69)</x:f>
        <x:v>0</x:v>
      </x:c>
      <x:c r="P27" s="9" t="n">
        <x:f>SUMIFS('350配方'!$M27:$P27,'350配方'!$Y27:$AB27,75)</x:f>
        <x:v>0</x:v>
      </x:c>
      <x:c r="Q27" s="9" t="n">
        <x:f>SUMIFS('350配方'!$M27:$P27,'350配方'!$Y27:$AB27,79)</x:f>
        <x:v>0</x:v>
      </x:c>
      <x:c r="R27" s="9" t="n">
        <x:f>SUMIFS('350配方'!$M27:$P27,'350配方'!$Y27:$AB27,90)</x:f>
        <x:v>0</x:v>
      </x:c>
      <x:c r="S27" s="9" t="n">
        <x:f>SUMIFS('350配方'!$M27:$P27,'350配方'!$Y27:$AB27,105)</x:f>
        <x:v>0</x:v>
      </x:c>
      <x:c r="T27" s="9" t="n">
        <x:f>SUMIFS('350配方'!$M27:$P27,'350配方'!$Y27:$AB27,111)</x:f>
        <x:v>0</x:v>
      </x:c>
      <x:c r="U27" s="9" t="n">
        <x:f>SUMIFS('350配方'!$M27:$P27,'350配方'!$Y27:$AB27,114)</x:f>
        <x:v>0</x:v>
      </x:c>
      <x:c r="V27" s="9" t="n">
        <x:f>SUMIFS('350配方'!$M27:$P27,'350配方'!$Y27:$AB27,115)</x:f>
        <x:v>0</x:v>
      </x:c>
      <x:c r="W27" s="9" t="n">
        <x:f>SUMIFS('350配方'!$M27:$P27,'350配方'!$Y27:$AB27,117)</x:f>
        <x:v>0</x:v>
      </x:c>
      <x:c r="X27" s="9" t="n">
        <x:f>SUMIFS('350配方'!$M27:$P27,'350配方'!$Y27:$AB27,126)</x:f>
        <x:v>0</x:v>
      </x:c>
      <x:c r="Y27" s="9" t="n">
        <x:f>SUMIFS('350配方'!$M27:$P27,'350配方'!$Y27:$AB27,136)</x:f>
        <x:v>0</x:v>
      </x:c>
      <x:c r="Z27" s="9" t="n">
        <x:f>SUMIFS('350配方'!$M27:$P27,'350配方'!$Y27:$AB27,141)</x:f>
        <x:v>0</x:v>
      </x:c>
      <x:c r="AA27" s="9" t="n">
        <x:f>SUMIFS('350配方'!$M27:$P27,'350配方'!$Y27:$AB27,152)</x:f>
        <x:v>0</x:v>
      </x:c>
      <x:c r="AB27" s="9" t="n">
        <x:f>SUMIFS('350配方'!$M27:$P27,'350配方'!$Y27:$AB27,165)</x:f>
        <x:v>0</x:v>
      </x:c>
      <x:c r="AC27" s="9" t="n">
        <x:f>SUMIFS('350配方'!$M27:$P27,'350配方'!$Y27:$AB27,186)</x:f>
        <x:v>0</x:v>
      </x:c>
      <x:c r="AD27" s="9" t="n">
        <x:f>SUMIFS('350配方'!$M27:$P27,'350配方'!$Y27:$AB27,207)</x:f>
        <x:v>0</x:v>
      </x:c>
      <x:c r="AE27" s="9" t="n">
        <x:f>SUMIFS('350配方'!$M27:$P27,'350配方'!$Y27:$AB27,209)</x:f>
        <x:v>0</x:v>
      </x:c>
      <x:c r="AF27" s="9" t="n">
        <x:f>SUMIFS('350配方'!$M27:$P27,'350配方'!$Y27:$AB27,227)</x:f>
        <x:v>0</x:v>
      </x:c>
      <x:c r="AG27" s="9" t="n">
        <x:f>SUMIFS('350配方'!$M27:$P27,'350配方'!$Y27:$AB27,232)</x:f>
        <x:v>0</x:v>
      </x:c>
      <x:c r="AH27" s="9" t="n">
        <x:f>SUMIFS('350配方'!$M27:$P27,'350配方'!$Y27:$AB27,255)</x:f>
        <x:v>0</x:v>
      </x:c>
      <x:c r="AI27" s="9" t="n">
        <x:f>'浓度设置'!S6</x:f>
        <x:v>219125.9626344086</x:v>
      </x:c>
      <x:c r="AJ27" s="9" t="n">
        <x:f>'浓度设置'!S8</x:f>
        <x:v>92796.92267241378</x:v>
      </x:c>
      <x:c r="AK27" s="9" t="n">
        <x:f>'浓度设置'!S10</x:f>
        <x:v>30556.797802197798</x:v>
      </x:c>
      <x:c r="AL27" s="9" t="n">
        <x:f>'浓度设置'!S12</x:f>
        <x:v>1735.828970588235</x:v>
      </x:c>
      <x:c r="AM27" s="9" t="n">
        <x:f>'浓度设置'!S15</x:f>
        <x:v>7385.813644067793</x:v>
      </x:c>
      <x:c r="AN27" s="9" t="n">
        <x:f>'浓度设置'!S19</x:f>
        <x:v>27722.03097701148</x:v>
      </x:c>
      <x:c r="AO27" s="9" t="n">
        <x:f>'浓度设置'!S22</x:f>
        <x:v>44345.55047619048</x:v>
      </x:c>
      <x:c r="AP27" s="9" t="n">
        <x:f>'浓度设置'!S26</x:f>
        <x:v>153318.30499999996</x:v>
      </x:c>
      <x:c r="AQ27" s="9" t="n">
        <x:f>'浓度设置'!S29</x:f>
        <x:v>312.7970588235294</x:v>
      </x:c>
      <x:c r="AR27" s="9" t="n">
        <x:f>'浓度设置'!S30</x:f>
        <x:v>104175.5097553192</x:v>
      </x:c>
      <x:c r="AS27" s="9" t="n">
        <x:f>'浓度设置'!S35</x:f>
        <x:v>405974.90656785714</x:v>
      </x:c>
    </x:row>
    <x:row r="28" ht="24" customHeight="1">
      <x:c r="A28" s="3" t="str">
        <x:f>'350配方'!A28</x:f>
        <x:v>T023</x:v>
      </x:c>
      <x:c r="B28" s="3" t="str">
        <x:f>'350配方'!B28</x:f>
        <x:v>拟合</x:v>
      </x:c>
      <x:c r="C28" s="3" t="n">
        <x:f>IF(B28="拟合",1,0)</x:f>
        <x:v>1</x:v>
      </x:c>
      <x:c r="D28" s="3" t="n">
        <x:f>'350配方'!AC28</x:f>
        <x:v>1</x:v>
      </x:c>
      <x:c r="E28" s="9" t="n">
        <x:f>SUMIFS('350配方'!$M28:$P28,'350配方'!$Y28:$AB28,7)</x:f>
        <x:v>0</x:v>
      </x:c>
      <x:c r="F28" s="9" t="n">
        <x:f>SUMIFS('350配方'!$M28:$P28,'350配方'!$Y28:$AB28,11)</x:f>
        <x:v>0</x:v>
      </x:c>
      <x:c r="G28" s="9" t="n">
        <x:f>SUMIFS('350配方'!$M28:$P28,'350配方'!$Y28:$AB28,18)</x:f>
        <x:v>0</x:v>
      </x:c>
      <x:c r="H28" s="9" t="n">
        <x:f>SUMIFS('350配方'!$M28:$P28,'350配方'!$Y28:$AB28,32)</x:f>
        <x:v>0</x:v>
      </x:c>
      <x:c r="I28" s="9" t="n">
        <x:f>SUMIFS('350配方'!$M28:$P28,'350配方'!$Y28:$AB28,40)</x:f>
        <x:v>0</x:v>
      </x:c>
      <x:c r="J28" s="9" t="n">
        <x:f>SUMIFS('350配方'!$M28:$P28,'350配方'!$Y28:$AB28,52)</x:f>
        <x:v>0</x:v>
      </x:c>
      <x:c r="K28" s="9" t="n">
        <x:f>SUMIFS('350配方'!$M28:$P28,'350配方'!$Y28:$AB28,53)</x:f>
        <x:v>0</x:v>
      </x:c>
      <x:c r="L28" s="9" t="n">
        <x:f>SUMIFS('350配方'!$M28:$P28,'350配方'!$Y28:$AB28,56)</x:f>
        <x:v>1041.8500000000001</x:v>
      </x:c>
      <x:c r="M28" s="9" t="n">
        <x:f>SUMIFS('350配方'!$M28:$P28,'350配方'!$Y28:$AB28,58)</x:f>
        <x:v>0</x:v>
      </x:c>
      <x:c r="N28" s="9" t="n">
        <x:f>SUMIFS('350配方'!$M28:$P28,'350配方'!$Y28:$AB28,61)</x:f>
        <x:v>0</x:v>
      </x:c>
      <x:c r="O28" s="9" t="n">
        <x:f>SUMIFS('350配方'!$M28:$P28,'350配方'!$Y28:$AB28,69)</x:f>
        <x:v>0</x:v>
      </x:c>
      <x:c r="P28" s="9" t="n">
        <x:f>SUMIFS('350配方'!$M28:$P28,'350配方'!$Y28:$AB28,75)</x:f>
        <x:v>0</x:v>
      </x:c>
      <x:c r="Q28" s="9" t="n">
        <x:f>SUMIFS('350配方'!$M28:$P28,'350配方'!$Y28:$AB28,79)</x:f>
        <x:v>0</x:v>
      </x:c>
      <x:c r="R28" s="9" t="n">
        <x:f>SUMIFS('350配方'!$M28:$P28,'350配方'!$Y28:$AB28,90)</x:f>
        <x:v>0</x:v>
      </x:c>
      <x:c r="S28" s="9" t="n">
        <x:f>SUMIFS('350配方'!$M28:$P28,'350配方'!$Y28:$AB28,105)</x:f>
        <x:v>0</x:v>
      </x:c>
      <x:c r="T28" s="9" t="n">
        <x:f>SUMIFS('350配方'!$M28:$P28,'350配方'!$Y28:$AB28,111)</x:f>
        <x:v>0</x:v>
      </x:c>
      <x:c r="U28" s="9" t="n">
        <x:f>SUMIFS('350配方'!$M28:$P28,'350配方'!$Y28:$AB28,114)</x:f>
        <x:v>0</x:v>
      </x:c>
      <x:c r="V28" s="9" t="n">
        <x:f>SUMIFS('350配方'!$M28:$P28,'350配方'!$Y28:$AB28,115)</x:f>
        <x:v>0</x:v>
      </x:c>
      <x:c r="W28" s="9" t="n">
        <x:f>SUMIFS('350配方'!$M28:$P28,'350配方'!$Y28:$AB28,117)</x:f>
        <x:v>0</x:v>
      </x:c>
      <x:c r="X28" s="9" t="n">
        <x:f>SUMIFS('350配方'!$M28:$P28,'350配方'!$Y28:$AB28,126)</x:f>
        <x:v>0</x:v>
      </x:c>
      <x:c r="Y28" s="9" t="n">
        <x:f>SUMIFS('350配方'!$M28:$P28,'350配方'!$Y28:$AB28,136)</x:f>
        <x:v>0</x:v>
      </x:c>
      <x:c r="Z28" s="9" t="n">
        <x:f>SUMIFS('350配方'!$M28:$P28,'350配方'!$Y28:$AB28,141)</x:f>
        <x:v>0</x:v>
      </x:c>
      <x:c r="AA28" s="9" t="n">
        <x:f>SUMIFS('350配方'!$M28:$P28,'350配方'!$Y28:$AB28,152)</x:f>
        <x:v>0</x:v>
      </x:c>
      <x:c r="AB28" s="9" t="n">
        <x:f>SUMIFS('350配方'!$M28:$P28,'350配方'!$Y28:$AB28,165)</x:f>
        <x:v>0</x:v>
      </x:c>
      <x:c r="AC28" s="9" t="n">
        <x:f>SUMIFS('350配方'!$M28:$P28,'350配方'!$Y28:$AB28,186)</x:f>
        <x:v>0</x:v>
      </x:c>
      <x:c r="AD28" s="9" t="n">
        <x:f>SUMIFS('350配方'!$M28:$P28,'350配方'!$Y28:$AB28,207)</x:f>
        <x:v>0</x:v>
      </x:c>
      <x:c r="AE28" s="9" t="n">
        <x:f>SUMIFS('350配方'!$M28:$P28,'350配方'!$Y28:$AB28,209)</x:f>
        <x:v>0</x:v>
      </x:c>
      <x:c r="AF28" s="9" t="n">
        <x:f>SUMIFS('350配方'!$M28:$P28,'350配方'!$Y28:$AB28,227)</x:f>
        <x:v>0</x:v>
      </x:c>
      <x:c r="AG28" s="9" t="n">
        <x:f>SUMIFS('350配方'!$M28:$P28,'350配方'!$Y28:$AB28,232)</x:f>
        <x:v>0</x:v>
      </x:c>
      <x:c r="AH28" s="9" t="n">
        <x:f>SUMIFS('350配方'!$M28:$P28,'350配方'!$Y28:$AB28,255)</x:f>
        <x:v>0</x:v>
      </x:c>
      <x:c r="AI28" s="9" t="n">
        <x:f>'浓度设置'!S6</x:f>
        <x:v>219125.9626344086</x:v>
      </x:c>
      <x:c r="AJ28" s="9" t="n">
        <x:f>'浓度设置'!S8</x:f>
        <x:v>92796.92267241378</x:v>
      </x:c>
      <x:c r="AK28" s="9" t="n">
        <x:f>'浓度设置'!S10</x:f>
        <x:v>30556.797802197798</x:v>
      </x:c>
      <x:c r="AL28" s="9" t="n">
        <x:f>'浓度设置'!S12</x:f>
        <x:v>1735.828970588235</x:v>
      </x:c>
      <x:c r="AM28" s="9" t="n">
        <x:f>'浓度设置'!S15</x:f>
        <x:v>7385.813644067793</x:v>
      </x:c>
      <x:c r="AN28" s="9" t="n">
        <x:f>'浓度设置'!S19</x:f>
        <x:v>27722.03097701148</x:v>
      </x:c>
      <x:c r="AO28" s="9" t="n">
        <x:f>'浓度设置'!S22</x:f>
        <x:v>44345.55047619048</x:v>
      </x:c>
      <x:c r="AP28" s="9" t="n">
        <x:f>'浓度设置'!S26</x:f>
        <x:v>153318.30499999996</x:v>
      </x:c>
      <x:c r="AQ28" s="9" t="n">
        <x:f>'浓度设置'!S29</x:f>
        <x:v>312.7970588235294</x:v>
      </x:c>
      <x:c r="AR28" s="9" t="n">
        <x:f>'浓度设置'!S30</x:f>
        <x:v>104175.5097553192</x:v>
      </x:c>
      <x:c r="AS28" s="9" t="n">
        <x:f>'浓度设置'!S35</x:f>
        <x:v>405974.90656785714</x:v>
      </x:c>
    </x:row>
    <x:row r="29" ht="24" customHeight="1">
      <x:c r="A29" s="3" t="str">
        <x:f>'350配方'!A29</x:f>
        <x:v>T024</x:v>
      </x:c>
      <x:c r="B29" s="3" t="str">
        <x:f>'350配方'!B29</x:f>
        <x:v>拟合</x:v>
      </x:c>
      <x:c r="C29" s="3" t="n">
        <x:f>IF(B29="拟合",1,0)</x:f>
        <x:v>1</x:v>
      </x:c>
      <x:c r="D29" s="3" t="n">
        <x:f>'350配方'!AC29</x:f>
        <x:v>1</x:v>
      </x:c>
      <x:c r="E29" s="9" t="n">
        <x:f>SUMIFS('350配方'!$M29:$P29,'350配方'!$Y29:$AB29,7)</x:f>
        <x:v>0</x:v>
      </x:c>
      <x:c r="F29" s="9" t="n">
        <x:f>SUMIFS('350配方'!$M29:$P29,'350配方'!$Y29:$AB29,11)</x:f>
        <x:v>0</x:v>
      </x:c>
      <x:c r="G29" s="9" t="n">
        <x:f>SUMIFS('350配方'!$M29:$P29,'350配方'!$Y29:$AB29,18)</x:f>
        <x:v>0</x:v>
      </x:c>
      <x:c r="H29" s="9" t="n">
        <x:f>SUMIFS('350配方'!$M29:$P29,'350配方'!$Y29:$AB29,32)</x:f>
        <x:v>0</x:v>
      </x:c>
      <x:c r="I29" s="9" t="n">
        <x:f>SUMIFS('350配方'!$M29:$P29,'350配方'!$Y29:$AB29,40)</x:f>
        <x:v>0</x:v>
      </x:c>
      <x:c r="J29" s="9" t="n">
        <x:f>SUMIFS('350配方'!$M29:$P29,'350配方'!$Y29:$AB29,52)</x:f>
        <x:v>0</x:v>
      </x:c>
      <x:c r="K29" s="9" t="n">
        <x:f>SUMIFS('350配方'!$M29:$P29,'350配方'!$Y29:$AB29,53)</x:f>
        <x:v>0</x:v>
      </x:c>
      <x:c r="L29" s="9" t="n">
        <x:f>SUMIFS('350配方'!$M29:$P29,'350配方'!$Y29:$AB29,56)</x:f>
        <x:v>4105</x:v>
      </x:c>
      <x:c r="M29" s="9" t="n">
        <x:f>SUMIFS('350配方'!$M29:$P29,'350配方'!$Y29:$AB29,58)</x:f>
        <x:v>0</x:v>
      </x:c>
      <x:c r="N29" s="9" t="n">
        <x:f>SUMIFS('350配方'!$M29:$P29,'350配方'!$Y29:$AB29,61)</x:f>
        <x:v>0</x:v>
      </x:c>
      <x:c r="O29" s="9" t="n">
        <x:f>SUMIFS('350配方'!$M29:$P29,'350配方'!$Y29:$AB29,69)</x:f>
        <x:v>0</x:v>
      </x:c>
      <x:c r="P29" s="9" t="n">
        <x:f>SUMIFS('350配方'!$M29:$P29,'350配方'!$Y29:$AB29,75)</x:f>
        <x:v>0</x:v>
      </x:c>
      <x:c r="Q29" s="9" t="n">
        <x:f>SUMIFS('350配方'!$M29:$P29,'350配方'!$Y29:$AB29,79)</x:f>
        <x:v>0</x:v>
      </x:c>
      <x:c r="R29" s="9" t="n">
        <x:f>SUMIFS('350配方'!$M29:$P29,'350配方'!$Y29:$AB29,90)</x:f>
        <x:v>0</x:v>
      </x:c>
      <x:c r="S29" s="9" t="n">
        <x:f>SUMIFS('350配方'!$M29:$P29,'350配方'!$Y29:$AB29,105)</x:f>
        <x:v>0</x:v>
      </x:c>
      <x:c r="T29" s="9" t="n">
        <x:f>SUMIFS('350配方'!$M29:$P29,'350配方'!$Y29:$AB29,111)</x:f>
        <x:v>0</x:v>
      </x:c>
      <x:c r="U29" s="9" t="n">
        <x:f>SUMIFS('350配方'!$M29:$P29,'350配方'!$Y29:$AB29,114)</x:f>
        <x:v>0</x:v>
      </x:c>
      <x:c r="V29" s="9" t="n">
        <x:f>SUMIFS('350配方'!$M29:$P29,'350配方'!$Y29:$AB29,115)</x:f>
        <x:v>0</x:v>
      </x:c>
      <x:c r="W29" s="9" t="n">
        <x:f>SUMIFS('350配方'!$M29:$P29,'350配方'!$Y29:$AB29,117)</x:f>
        <x:v>0</x:v>
      </x:c>
      <x:c r="X29" s="9" t="n">
        <x:f>SUMIFS('350配方'!$M29:$P29,'350配方'!$Y29:$AB29,126)</x:f>
        <x:v>0</x:v>
      </x:c>
      <x:c r="Y29" s="9" t="n">
        <x:f>SUMIFS('350配方'!$M29:$P29,'350配方'!$Y29:$AB29,136)</x:f>
        <x:v>0</x:v>
      </x:c>
      <x:c r="Z29" s="9" t="n">
        <x:f>SUMIFS('350配方'!$M29:$P29,'350配方'!$Y29:$AB29,141)</x:f>
        <x:v>0</x:v>
      </x:c>
      <x:c r="AA29" s="9" t="n">
        <x:f>SUMIFS('350配方'!$M29:$P29,'350配方'!$Y29:$AB29,152)</x:f>
        <x:v>0</x:v>
      </x:c>
      <x:c r="AB29" s="9" t="n">
        <x:f>SUMIFS('350配方'!$M29:$P29,'350配方'!$Y29:$AB29,165)</x:f>
        <x:v>0</x:v>
      </x:c>
      <x:c r="AC29" s="9" t="n">
        <x:f>SUMIFS('350配方'!$M29:$P29,'350配方'!$Y29:$AB29,186)</x:f>
        <x:v>0</x:v>
      </x:c>
      <x:c r="AD29" s="9" t="n">
        <x:f>SUMIFS('350配方'!$M29:$P29,'350配方'!$Y29:$AB29,207)</x:f>
        <x:v>0</x:v>
      </x:c>
      <x:c r="AE29" s="9" t="n">
        <x:f>SUMIFS('350配方'!$M29:$P29,'350配方'!$Y29:$AB29,209)</x:f>
        <x:v>0</x:v>
      </x:c>
      <x:c r="AF29" s="9" t="n">
        <x:f>SUMIFS('350配方'!$M29:$P29,'350配方'!$Y29:$AB29,227)</x:f>
        <x:v>0</x:v>
      </x:c>
      <x:c r="AG29" s="9" t="n">
        <x:f>SUMIFS('350配方'!$M29:$P29,'350配方'!$Y29:$AB29,232)</x:f>
        <x:v>0</x:v>
      </x:c>
      <x:c r="AH29" s="9" t="n">
        <x:f>SUMIFS('350配方'!$M29:$P29,'350配方'!$Y29:$AB29,255)</x:f>
        <x:v>0</x:v>
      </x:c>
      <x:c r="AI29" s="9" t="n">
        <x:f>'浓度设置'!S6</x:f>
        <x:v>219125.9626344086</x:v>
      </x:c>
      <x:c r="AJ29" s="9" t="n">
        <x:f>'浓度设置'!S8</x:f>
        <x:v>92796.92267241378</x:v>
      </x:c>
      <x:c r="AK29" s="9" t="n">
        <x:f>'浓度设置'!S10</x:f>
        <x:v>30556.797802197798</x:v>
      </x:c>
      <x:c r="AL29" s="9" t="n">
        <x:f>'浓度设置'!S12</x:f>
        <x:v>1735.828970588235</x:v>
      </x:c>
      <x:c r="AM29" s="9" t="n">
        <x:f>'浓度设置'!S15</x:f>
        <x:v>7385.813644067793</x:v>
      </x:c>
      <x:c r="AN29" s="9" t="n">
        <x:f>'浓度设置'!S19</x:f>
        <x:v>27722.03097701148</x:v>
      </x:c>
      <x:c r="AO29" s="9" t="n">
        <x:f>'浓度设置'!S22</x:f>
        <x:v>44345.55047619048</x:v>
      </x:c>
      <x:c r="AP29" s="9" t="n">
        <x:f>'浓度设置'!S26</x:f>
        <x:v>153318.30499999996</x:v>
      </x:c>
      <x:c r="AQ29" s="9" t="n">
        <x:f>'浓度设置'!S29</x:f>
        <x:v>312.7970588235294</x:v>
      </x:c>
      <x:c r="AR29" s="9" t="n">
        <x:f>'浓度设置'!S30</x:f>
        <x:v>104175.5097553192</x:v>
      </x:c>
      <x:c r="AS29" s="9" t="n">
        <x:f>'浓度设置'!S35</x:f>
        <x:v>405974.90656785714</x:v>
      </x:c>
    </x:row>
    <x:row r="30" ht="24" customHeight="1">
      <x:c r="A30" s="3" t="str">
        <x:f>'350配方'!A30</x:f>
        <x:v>T025</x:v>
      </x:c>
      <x:c r="B30" s="3" t="str">
        <x:f>'350配方'!B30</x:f>
        <x:v>拟合</x:v>
      </x:c>
      <x:c r="C30" s="3" t="n">
        <x:f>IF(B30="拟合",1,0)</x:f>
        <x:v>1</x:v>
      </x:c>
      <x:c r="D30" s="3" t="n">
        <x:f>'350配方'!AC30</x:f>
        <x:v>1</x:v>
      </x:c>
      <x:c r="E30" s="9" t="n">
        <x:f>SUMIFS('350配方'!$M30:$P30,'350配方'!$Y30:$AB30,7)</x:f>
        <x:v>0</x:v>
      </x:c>
      <x:c r="F30" s="9" t="n">
        <x:f>SUMIFS('350配方'!$M30:$P30,'350配方'!$Y30:$AB30,11)</x:f>
        <x:v>0</x:v>
      </x:c>
      <x:c r="G30" s="9" t="n">
        <x:f>SUMIFS('350配方'!$M30:$P30,'350配方'!$Y30:$AB30,18)</x:f>
        <x:v>0</x:v>
      </x:c>
      <x:c r="H30" s="9" t="n">
        <x:f>SUMIFS('350配方'!$M30:$P30,'350配方'!$Y30:$AB30,32)</x:f>
        <x:v>0</x:v>
      </x:c>
      <x:c r="I30" s="9" t="n">
        <x:f>SUMIFS('350配方'!$M30:$P30,'350配方'!$Y30:$AB30,40)</x:f>
        <x:v>0</x:v>
      </x:c>
      <x:c r="J30" s="9" t="n">
        <x:f>SUMIFS('350配方'!$M30:$P30,'350配方'!$Y30:$AB30,52)</x:f>
        <x:v>0</x:v>
      </x:c>
      <x:c r="K30" s="9" t="n">
        <x:f>SUMIFS('350配方'!$M30:$P30,'350配方'!$Y30:$AB30,53)</x:f>
        <x:v>0</x:v>
      </x:c>
      <x:c r="L30" s="9" t="n">
        <x:f>SUMIFS('350配方'!$M30:$P30,'350配方'!$Y30:$AB30,56)</x:f>
        <x:v>0</x:v>
      </x:c>
      <x:c r="M30" s="9" t="n">
        <x:f>SUMIFS('350配方'!$M30:$P30,'350配方'!$Y30:$AB30,58)</x:f>
        <x:v>5.06</x:v>
      </x:c>
      <x:c r="N30" s="9" t="n">
        <x:f>SUMIFS('350配方'!$M30:$P30,'350配方'!$Y30:$AB30,61)</x:f>
        <x:v>0</x:v>
      </x:c>
      <x:c r="O30" s="9" t="n">
        <x:f>SUMIFS('350配方'!$M30:$P30,'350配方'!$Y30:$AB30,69)</x:f>
        <x:v>0</x:v>
      </x:c>
      <x:c r="P30" s="9" t="n">
        <x:f>SUMIFS('350配方'!$M30:$P30,'350配方'!$Y30:$AB30,75)</x:f>
        <x:v>0</x:v>
      </x:c>
      <x:c r="Q30" s="9" t="n">
        <x:f>SUMIFS('350配方'!$M30:$P30,'350配方'!$Y30:$AB30,79)</x:f>
        <x:v>0</x:v>
      </x:c>
      <x:c r="R30" s="9" t="n">
        <x:f>SUMIFS('350配方'!$M30:$P30,'350配方'!$Y30:$AB30,90)</x:f>
        <x:v>0</x:v>
      </x:c>
      <x:c r="S30" s="9" t="n">
        <x:f>SUMIFS('350配方'!$M30:$P30,'350配方'!$Y30:$AB30,105)</x:f>
        <x:v>0</x:v>
      </x:c>
      <x:c r="T30" s="9" t="n">
        <x:f>SUMIFS('350配方'!$M30:$P30,'350配方'!$Y30:$AB30,111)</x:f>
        <x:v>0</x:v>
      </x:c>
      <x:c r="U30" s="9" t="n">
        <x:f>SUMIFS('350配方'!$M30:$P30,'350配方'!$Y30:$AB30,114)</x:f>
        <x:v>0</x:v>
      </x:c>
      <x:c r="V30" s="9" t="n">
        <x:f>SUMIFS('350配方'!$M30:$P30,'350配方'!$Y30:$AB30,115)</x:f>
        <x:v>0</x:v>
      </x:c>
      <x:c r="W30" s="9" t="n">
        <x:f>SUMIFS('350配方'!$M30:$P30,'350配方'!$Y30:$AB30,117)</x:f>
        <x:v>0</x:v>
      </x:c>
      <x:c r="X30" s="9" t="n">
        <x:f>SUMIFS('350配方'!$M30:$P30,'350配方'!$Y30:$AB30,126)</x:f>
        <x:v>0</x:v>
      </x:c>
      <x:c r="Y30" s="9" t="n">
        <x:f>SUMIFS('350配方'!$M30:$P30,'350配方'!$Y30:$AB30,136)</x:f>
        <x:v>0</x:v>
      </x:c>
      <x:c r="Z30" s="9" t="n">
        <x:f>SUMIFS('350配方'!$M30:$P30,'350配方'!$Y30:$AB30,141)</x:f>
        <x:v>0</x:v>
      </x:c>
      <x:c r="AA30" s="9" t="n">
        <x:f>SUMIFS('350配方'!$M30:$P30,'350配方'!$Y30:$AB30,152)</x:f>
        <x:v>0</x:v>
      </x:c>
      <x:c r="AB30" s="9" t="n">
        <x:f>SUMIFS('350配方'!$M30:$P30,'350配方'!$Y30:$AB30,165)</x:f>
        <x:v>0</x:v>
      </x:c>
      <x:c r="AC30" s="9" t="n">
        <x:f>SUMIFS('350配方'!$M30:$P30,'350配方'!$Y30:$AB30,186)</x:f>
        <x:v>0</x:v>
      </x:c>
      <x:c r="AD30" s="9" t="n">
        <x:f>SUMIFS('350配方'!$M30:$P30,'350配方'!$Y30:$AB30,207)</x:f>
        <x:v>0</x:v>
      </x:c>
      <x:c r="AE30" s="9" t="n">
        <x:f>SUMIFS('350配方'!$M30:$P30,'350配方'!$Y30:$AB30,209)</x:f>
        <x:v>0</x:v>
      </x:c>
      <x:c r="AF30" s="9" t="n">
        <x:f>SUMIFS('350配方'!$M30:$P30,'350配方'!$Y30:$AB30,227)</x:f>
        <x:v>0</x:v>
      </x:c>
      <x:c r="AG30" s="9" t="n">
        <x:f>SUMIFS('350配方'!$M30:$P30,'350配方'!$Y30:$AB30,232)</x:f>
        <x:v>0</x:v>
      </x:c>
      <x:c r="AH30" s="9" t="n">
        <x:f>SUMIFS('350配方'!$M30:$P30,'350配方'!$Y30:$AB30,255)</x:f>
        <x:v>0</x:v>
      </x:c>
      <x:c r="AI30" s="9" t="n">
        <x:f>'浓度设置'!S6</x:f>
        <x:v>219125.9626344086</x:v>
      </x:c>
      <x:c r="AJ30" s="9" t="n">
        <x:f>'浓度设置'!S8</x:f>
        <x:v>92796.92267241378</x:v>
      </x:c>
      <x:c r="AK30" s="9" t="n">
        <x:f>'浓度设置'!S10</x:f>
        <x:v>30556.797802197798</x:v>
      </x:c>
      <x:c r="AL30" s="9" t="n">
        <x:f>'浓度设置'!S12</x:f>
        <x:v>1735.828970588235</x:v>
      </x:c>
      <x:c r="AM30" s="9" t="n">
        <x:f>'浓度设置'!S15</x:f>
        <x:v>7385.813644067793</x:v>
      </x:c>
      <x:c r="AN30" s="9" t="n">
        <x:f>'浓度设置'!S19</x:f>
        <x:v>27722.03097701148</x:v>
      </x:c>
      <x:c r="AO30" s="9" t="n">
        <x:f>'浓度设置'!S22</x:f>
        <x:v>44345.55047619048</x:v>
      </x:c>
      <x:c r="AP30" s="9" t="n">
        <x:f>'浓度设置'!S26</x:f>
        <x:v>153318.30499999996</x:v>
      </x:c>
      <x:c r="AQ30" s="9" t="n">
        <x:f>'浓度设置'!S29</x:f>
        <x:v>312.7970588235294</x:v>
      </x:c>
      <x:c r="AR30" s="9" t="n">
        <x:f>'浓度设置'!S30</x:f>
        <x:v>104175.5097553192</x:v>
      </x:c>
      <x:c r="AS30" s="9" t="n">
        <x:f>'浓度设置'!S35</x:f>
        <x:v>405974.90656785714</x:v>
      </x:c>
    </x:row>
    <x:row r="31" ht="24" customHeight="1">
      <x:c r="A31" s="3" t="str">
        <x:f>'350配方'!A31</x:f>
        <x:v>T026</x:v>
      </x:c>
      <x:c r="B31" s="3" t="str">
        <x:f>'350配方'!B31</x:f>
        <x:v>拟合</x:v>
      </x:c>
      <x:c r="C31" s="3" t="n">
        <x:f>IF(B31="拟合",1,0)</x:f>
        <x:v>1</x:v>
      </x:c>
      <x:c r="D31" s="3" t="n">
        <x:f>'350配方'!AC31</x:f>
        <x:v>1</x:v>
      </x:c>
      <x:c r="E31" s="9" t="n">
        <x:f>SUMIFS('350配方'!$M31:$P31,'350配方'!$Y31:$AB31,7)</x:f>
        <x:v>0</x:v>
      </x:c>
      <x:c r="F31" s="9" t="n">
        <x:f>SUMIFS('350配方'!$M31:$P31,'350配方'!$Y31:$AB31,11)</x:f>
        <x:v>0</x:v>
      </x:c>
      <x:c r="G31" s="9" t="n">
        <x:f>SUMIFS('350配方'!$M31:$P31,'350配方'!$Y31:$AB31,18)</x:f>
        <x:v>0</x:v>
      </x:c>
      <x:c r="H31" s="9" t="n">
        <x:f>SUMIFS('350配方'!$M31:$P31,'350配方'!$Y31:$AB31,32)</x:f>
        <x:v>0</x:v>
      </x:c>
      <x:c r="I31" s="9" t="n">
        <x:f>SUMIFS('350配方'!$M31:$P31,'350配方'!$Y31:$AB31,40)</x:f>
        <x:v>0</x:v>
      </x:c>
      <x:c r="J31" s="9" t="n">
        <x:f>SUMIFS('350配方'!$M31:$P31,'350配方'!$Y31:$AB31,52)</x:f>
        <x:v>0</x:v>
      </x:c>
      <x:c r="K31" s="9" t="n">
        <x:f>SUMIFS('350配方'!$M31:$P31,'350配方'!$Y31:$AB31,53)</x:f>
        <x:v>0</x:v>
      </x:c>
      <x:c r="L31" s="9" t="n">
        <x:f>SUMIFS('350配方'!$M31:$P31,'350配方'!$Y31:$AB31,56)</x:f>
        <x:v>0</x:v>
      </x:c>
      <x:c r="M31" s="9" t="n">
        <x:f>SUMIFS('350配方'!$M31:$P31,'350配方'!$Y31:$AB31,58)</x:f>
        <x:v>3072.731960324558</x:v>
      </x:c>
      <x:c r="N31" s="9" t="n">
        <x:f>SUMIFS('350配方'!$M31:$P31,'350配方'!$Y31:$AB31,61)</x:f>
        <x:v>0</x:v>
      </x:c>
      <x:c r="O31" s="9" t="n">
        <x:f>SUMIFS('350配方'!$M31:$P31,'350配方'!$Y31:$AB31,69)</x:f>
        <x:v>0</x:v>
      </x:c>
      <x:c r="P31" s="9" t="n">
        <x:f>SUMIFS('350配方'!$M31:$P31,'350配方'!$Y31:$AB31,75)</x:f>
        <x:v>0</x:v>
      </x:c>
      <x:c r="Q31" s="9" t="n">
        <x:f>SUMIFS('350配方'!$M31:$P31,'350配方'!$Y31:$AB31,79)</x:f>
        <x:v>0</x:v>
      </x:c>
      <x:c r="R31" s="9" t="n">
        <x:f>SUMIFS('350配方'!$M31:$P31,'350配方'!$Y31:$AB31,90)</x:f>
        <x:v>0</x:v>
      </x:c>
      <x:c r="S31" s="9" t="n">
        <x:f>SUMIFS('350配方'!$M31:$P31,'350配方'!$Y31:$AB31,105)</x:f>
        <x:v>0</x:v>
      </x:c>
      <x:c r="T31" s="9" t="n">
        <x:f>SUMIFS('350配方'!$M31:$P31,'350配方'!$Y31:$AB31,111)</x:f>
        <x:v>0</x:v>
      </x:c>
      <x:c r="U31" s="9" t="n">
        <x:f>SUMIFS('350配方'!$M31:$P31,'350配方'!$Y31:$AB31,114)</x:f>
        <x:v>0</x:v>
      </x:c>
      <x:c r="V31" s="9" t="n">
        <x:f>SUMIFS('350配方'!$M31:$P31,'350配方'!$Y31:$AB31,115)</x:f>
        <x:v>0</x:v>
      </x:c>
      <x:c r="W31" s="9" t="n">
        <x:f>SUMIFS('350配方'!$M31:$P31,'350配方'!$Y31:$AB31,117)</x:f>
        <x:v>0</x:v>
      </x:c>
      <x:c r="X31" s="9" t="n">
        <x:f>SUMIFS('350配方'!$M31:$P31,'350配方'!$Y31:$AB31,126)</x:f>
        <x:v>0</x:v>
      </x:c>
      <x:c r="Y31" s="9" t="n">
        <x:f>SUMIFS('350配方'!$M31:$P31,'350配方'!$Y31:$AB31,136)</x:f>
        <x:v>0</x:v>
      </x:c>
      <x:c r="Z31" s="9" t="n">
        <x:f>SUMIFS('350配方'!$M31:$P31,'350配方'!$Y31:$AB31,141)</x:f>
        <x:v>0</x:v>
      </x:c>
      <x:c r="AA31" s="9" t="n">
        <x:f>SUMIFS('350配方'!$M31:$P31,'350配方'!$Y31:$AB31,152)</x:f>
        <x:v>0</x:v>
      </x:c>
      <x:c r="AB31" s="9" t="n">
        <x:f>SUMIFS('350配方'!$M31:$P31,'350配方'!$Y31:$AB31,165)</x:f>
        <x:v>0</x:v>
      </x:c>
      <x:c r="AC31" s="9" t="n">
        <x:f>SUMIFS('350配方'!$M31:$P31,'350配方'!$Y31:$AB31,186)</x:f>
        <x:v>0</x:v>
      </x:c>
      <x:c r="AD31" s="9" t="n">
        <x:f>SUMIFS('350配方'!$M31:$P31,'350配方'!$Y31:$AB31,207)</x:f>
        <x:v>0</x:v>
      </x:c>
      <x:c r="AE31" s="9" t="n">
        <x:f>SUMIFS('350配方'!$M31:$P31,'350配方'!$Y31:$AB31,209)</x:f>
        <x:v>0</x:v>
      </x:c>
      <x:c r="AF31" s="9" t="n">
        <x:f>SUMIFS('350配方'!$M31:$P31,'350配方'!$Y31:$AB31,227)</x:f>
        <x:v>0</x:v>
      </x:c>
      <x:c r="AG31" s="9" t="n">
        <x:f>SUMIFS('350配方'!$M31:$P31,'350配方'!$Y31:$AB31,232)</x:f>
        <x:v>0</x:v>
      </x:c>
      <x:c r="AH31" s="9" t="n">
        <x:f>SUMIFS('350配方'!$M31:$P31,'350配方'!$Y31:$AB31,255)</x:f>
        <x:v>0</x:v>
      </x:c>
      <x:c r="AI31" s="9" t="n">
        <x:f>'浓度设置'!S6</x:f>
        <x:v>219125.9626344086</x:v>
      </x:c>
      <x:c r="AJ31" s="9" t="n">
        <x:f>'浓度设置'!S8</x:f>
        <x:v>92796.92267241378</x:v>
      </x:c>
      <x:c r="AK31" s="9" t="n">
        <x:f>'浓度设置'!S10</x:f>
        <x:v>30556.797802197798</x:v>
      </x:c>
      <x:c r="AL31" s="9" t="n">
        <x:f>'浓度设置'!S12</x:f>
        <x:v>1735.828970588235</x:v>
      </x:c>
      <x:c r="AM31" s="9" t="n">
        <x:f>'浓度设置'!S15</x:f>
        <x:v>7385.813644067793</x:v>
      </x:c>
      <x:c r="AN31" s="9" t="n">
        <x:f>'浓度设置'!S19</x:f>
        <x:v>27722.03097701148</x:v>
      </x:c>
      <x:c r="AO31" s="9" t="n">
        <x:f>'浓度设置'!S22</x:f>
        <x:v>44345.55047619048</x:v>
      </x:c>
      <x:c r="AP31" s="9" t="n">
        <x:f>'浓度设置'!S26</x:f>
        <x:v>153318.30499999996</x:v>
      </x:c>
      <x:c r="AQ31" s="9" t="n">
        <x:f>'浓度设置'!S29</x:f>
        <x:v>312.7970588235294</x:v>
      </x:c>
      <x:c r="AR31" s="9" t="n">
        <x:f>'浓度设置'!S30</x:f>
        <x:v>104175.5097553192</x:v>
      </x:c>
      <x:c r="AS31" s="9" t="n">
        <x:f>'浓度设置'!S35</x:f>
        <x:v>405974.90656785714</x:v>
      </x:c>
    </x:row>
    <x:row r="32" ht="24" customHeight="1">
      <x:c r="A32" s="3" t="str">
        <x:f>'350配方'!A32</x:f>
        <x:v>T027</x:v>
      </x:c>
      <x:c r="B32" s="3" t="str">
        <x:f>'350配方'!B32</x:f>
        <x:v>拟合</x:v>
      </x:c>
      <x:c r="C32" s="3" t="n">
        <x:f>IF(B32="拟合",1,0)</x:f>
        <x:v>1</x:v>
      </x:c>
      <x:c r="D32" s="3" t="n">
        <x:f>'350配方'!AC32</x:f>
        <x:v>1</x:v>
      </x:c>
      <x:c r="E32" s="9" t="n">
        <x:f>SUMIFS('350配方'!$M32:$P32,'350配方'!$Y32:$AB32,7)</x:f>
        <x:v>0</x:v>
      </x:c>
      <x:c r="F32" s="9" t="n">
        <x:f>SUMIFS('350配方'!$M32:$P32,'350配方'!$Y32:$AB32,11)</x:f>
        <x:v>0</x:v>
      </x:c>
      <x:c r="G32" s="9" t="n">
        <x:f>SUMIFS('350配方'!$M32:$P32,'350配方'!$Y32:$AB32,18)</x:f>
        <x:v>0</x:v>
      </x:c>
      <x:c r="H32" s="9" t="n">
        <x:f>SUMIFS('350配方'!$M32:$P32,'350配方'!$Y32:$AB32,32)</x:f>
        <x:v>0</x:v>
      </x:c>
      <x:c r="I32" s="9" t="n">
        <x:f>SUMIFS('350配方'!$M32:$P32,'350配方'!$Y32:$AB32,40)</x:f>
        <x:v>0</x:v>
      </x:c>
      <x:c r="J32" s="9" t="n">
        <x:f>SUMIFS('350配方'!$M32:$P32,'350配方'!$Y32:$AB32,52)</x:f>
        <x:v>0</x:v>
      </x:c>
      <x:c r="K32" s="9" t="n">
        <x:f>SUMIFS('350配方'!$M32:$P32,'350配方'!$Y32:$AB32,53)</x:f>
        <x:v>0</x:v>
      </x:c>
      <x:c r="L32" s="9" t="n">
        <x:f>SUMIFS('350配方'!$M32:$P32,'350配方'!$Y32:$AB32,56)</x:f>
        <x:v>0</x:v>
      </x:c>
      <x:c r="M32" s="9" t="n">
        <x:f>SUMIFS('350配方'!$M32:$P32,'350配方'!$Y32:$AB32,58)</x:f>
        <x:v>1865945</x:v>
      </x:c>
      <x:c r="N32" s="9" t="n">
        <x:f>SUMIFS('350配方'!$M32:$P32,'350配方'!$Y32:$AB32,61)</x:f>
        <x:v>0</x:v>
      </x:c>
      <x:c r="O32" s="9" t="n">
        <x:f>SUMIFS('350配方'!$M32:$P32,'350配方'!$Y32:$AB32,69)</x:f>
        <x:v>0</x:v>
      </x:c>
      <x:c r="P32" s="9" t="n">
        <x:f>SUMIFS('350配方'!$M32:$P32,'350配方'!$Y32:$AB32,75)</x:f>
        <x:v>0</x:v>
      </x:c>
      <x:c r="Q32" s="9" t="n">
        <x:f>SUMIFS('350配方'!$M32:$P32,'350配方'!$Y32:$AB32,79)</x:f>
        <x:v>0</x:v>
      </x:c>
      <x:c r="R32" s="9" t="n">
        <x:f>SUMIFS('350配方'!$M32:$P32,'350配方'!$Y32:$AB32,90)</x:f>
        <x:v>0</x:v>
      </x:c>
      <x:c r="S32" s="9" t="n">
        <x:f>SUMIFS('350配方'!$M32:$P32,'350配方'!$Y32:$AB32,105)</x:f>
        <x:v>0</x:v>
      </x:c>
      <x:c r="T32" s="9" t="n">
        <x:f>SUMIFS('350配方'!$M32:$P32,'350配方'!$Y32:$AB32,111)</x:f>
        <x:v>0</x:v>
      </x:c>
      <x:c r="U32" s="9" t="n">
        <x:f>SUMIFS('350配方'!$M32:$P32,'350配方'!$Y32:$AB32,114)</x:f>
        <x:v>0</x:v>
      </x:c>
      <x:c r="V32" s="9" t="n">
        <x:f>SUMIFS('350配方'!$M32:$P32,'350配方'!$Y32:$AB32,115)</x:f>
        <x:v>0</x:v>
      </x:c>
      <x:c r="W32" s="9" t="n">
        <x:f>SUMIFS('350配方'!$M32:$P32,'350配方'!$Y32:$AB32,117)</x:f>
        <x:v>0</x:v>
      </x:c>
      <x:c r="X32" s="9" t="n">
        <x:f>SUMIFS('350配方'!$M32:$P32,'350配方'!$Y32:$AB32,126)</x:f>
        <x:v>0</x:v>
      </x:c>
      <x:c r="Y32" s="9" t="n">
        <x:f>SUMIFS('350配方'!$M32:$P32,'350配方'!$Y32:$AB32,136)</x:f>
        <x:v>0</x:v>
      </x:c>
      <x:c r="Z32" s="9" t="n">
        <x:f>SUMIFS('350配方'!$M32:$P32,'350配方'!$Y32:$AB32,141)</x:f>
        <x:v>0</x:v>
      </x:c>
      <x:c r="AA32" s="9" t="n">
        <x:f>SUMIFS('350配方'!$M32:$P32,'350配方'!$Y32:$AB32,152)</x:f>
        <x:v>0</x:v>
      </x:c>
      <x:c r="AB32" s="9" t="n">
        <x:f>SUMIFS('350配方'!$M32:$P32,'350配方'!$Y32:$AB32,165)</x:f>
        <x:v>0</x:v>
      </x:c>
      <x:c r="AC32" s="9" t="n">
        <x:f>SUMIFS('350配方'!$M32:$P32,'350配方'!$Y32:$AB32,186)</x:f>
        <x:v>0</x:v>
      </x:c>
      <x:c r="AD32" s="9" t="n">
        <x:f>SUMIFS('350配方'!$M32:$P32,'350配方'!$Y32:$AB32,207)</x:f>
        <x:v>0</x:v>
      </x:c>
      <x:c r="AE32" s="9" t="n">
        <x:f>SUMIFS('350配方'!$M32:$P32,'350配方'!$Y32:$AB32,209)</x:f>
        <x:v>0</x:v>
      </x:c>
      <x:c r="AF32" s="9" t="n">
        <x:f>SUMIFS('350配方'!$M32:$P32,'350配方'!$Y32:$AB32,227)</x:f>
        <x:v>0</x:v>
      </x:c>
      <x:c r="AG32" s="9" t="n">
        <x:f>SUMIFS('350配方'!$M32:$P32,'350配方'!$Y32:$AB32,232)</x:f>
        <x:v>0</x:v>
      </x:c>
      <x:c r="AH32" s="9" t="n">
        <x:f>SUMIFS('350配方'!$M32:$P32,'350配方'!$Y32:$AB32,255)</x:f>
        <x:v>0</x:v>
      </x:c>
      <x:c r="AI32" s="9" t="n">
        <x:f>'浓度设置'!S6</x:f>
        <x:v>219125.9626344086</x:v>
      </x:c>
      <x:c r="AJ32" s="9" t="n">
        <x:f>'浓度设置'!S8</x:f>
        <x:v>92796.92267241378</x:v>
      </x:c>
      <x:c r="AK32" s="9" t="n">
        <x:f>'浓度设置'!S10</x:f>
        <x:v>30556.797802197798</x:v>
      </x:c>
      <x:c r="AL32" s="9" t="n">
        <x:f>'浓度设置'!S12</x:f>
        <x:v>1735.828970588235</x:v>
      </x:c>
      <x:c r="AM32" s="9" t="n">
        <x:f>'浓度设置'!S15</x:f>
        <x:v>7385.813644067793</x:v>
      </x:c>
      <x:c r="AN32" s="9" t="n">
        <x:f>'浓度设置'!S19</x:f>
        <x:v>27722.03097701148</x:v>
      </x:c>
      <x:c r="AO32" s="9" t="n">
        <x:f>'浓度设置'!S22</x:f>
        <x:v>44345.55047619048</x:v>
      </x:c>
      <x:c r="AP32" s="9" t="n">
        <x:f>'浓度设置'!S26</x:f>
        <x:v>153318.30499999996</x:v>
      </x:c>
      <x:c r="AQ32" s="9" t="n">
        <x:f>'浓度设置'!S29</x:f>
        <x:v>312.7970588235294</x:v>
      </x:c>
      <x:c r="AR32" s="9" t="n">
        <x:f>'浓度设置'!S30</x:f>
        <x:v>104175.5097553192</x:v>
      </x:c>
      <x:c r="AS32" s="9" t="n">
        <x:f>'浓度设置'!S35</x:f>
        <x:v>405974.90656785714</x:v>
      </x:c>
    </x:row>
    <x:row r="33" ht="24" customHeight="1">
      <x:c r="A33" s="3" t="str">
        <x:f>'350配方'!A33</x:f>
        <x:v>T028</x:v>
      </x:c>
      <x:c r="B33" s="3" t="str">
        <x:f>'350配方'!B33</x:f>
        <x:v>拟合</x:v>
      </x:c>
      <x:c r="C33" s="3" t="n">
        <x:f>IF(B33="拟合",1,0)</x:f>
        <x:v>1</x:v>
      </x:c>
      <x:c r="D33" s="3" t="n">
        <x:f>'350配方'!AC33</x:f>
        <x:v>1</x:v>
      </x:c>
      <x:c r="E33" s="9" t="n">
        <x:f>SUMIFS('350配方'!$M33:$P33,'350配方'!$Y33:$AB33,7)</x:f>
        <x:v>0</x:v>
      </x:c>
      <x:c r="F33" s="9" t="n">
        <x:f>SUMIFS('350配方'!$M33:$P33,'350配方'!$Y33:$AB33,11)</x:f>
        <x:v>0</x:v>
      </x:c>
      <x:c r="G33" s="9" t="n">
        <x:f>SUMIFS('350配方'!$M33:$P33,'350配方'!$Y33:$AB33,18)</x:f>
        <x:v>0</x:v>
      </x:c>
      <x:c r="H33" s="9" t="n">
        <x:f>SUMIFS('350配方'!$M33:$P33,'350配方'!$Y33:$AB33,32)</x:f>
        <x:v>0</x:v>
      </x:c>
      <x:c r="I33" s="9" t="n">
        <x:f>SUMIFS('350配方'!$M33:$P33,'350配方'!$Y33:$AB33,40)</x:f>
        <x:v>0</x:v>
      </x:c>
      <x:c r="J33" s="9" t="n">
        <x:f>SUMIFS('350配方'!$M33:$P33,'350配方'!$Y33:$AB33,52)</x:f>
        <x:v>0</x:v>
      </x:c>
      <x:c r="K33" s="9" t="n">
        <x:f>SUMIFS('350配方'!$M33:$P33,'350配方'!$Y33:$AB33,53)</x:f>
        <x:v>0</x:v>
      </x:c>
      <x:c r="L33" s="9" t="n">
        <x:f>SUMIFS('350配方'!$M33:$P33,'350配方'!$Y33:$AB33,56)</x:f>
        <x:v>0</x:v>
      </x:c>
      <x:c r="M33" s="9" t="n">
        <x:f>SUMIFS('350配方'!$M33:$P33,'350配方'!$Y33:$AB33,58)</x:f>
        <x:v>0</x:v>
      </x:c>
      <x:c r="N33" s="9" t="n">
        <x:f>SUMIFS('350配方'!$M33:$P33,'350配方'!$Y33:$AB33,61)</x:f>
        <x:v>0.51</x:v>
      </x:c>
      <x:c r="O33" s="9" t="n">
        <x:f>SUMIFS('350配方'!$M33:$P33,'350配方'!$Y33:$AB33,69)</x:f>
        <x:v>0</x:v>
      </x:c>
      <x:c r="P33" s="9" t="n">
        <x:f>SUMIFS('350配方'!$M33:$P33,'350配方'!$Y33:$AB33,75)</x:f>
        <x:v>0</x:v>
      </x:c>
      <x:c r="Q33" s="9" t="n">
        <x:f>SUMIFS('350配方'!$M33:$P33,'350配方'!$Y33:$AB33,79)</x:f>
        <x:v>0</x:v>
      </x:c>
      <x:c r="R33" s="9" t="n">
        <x:f>SUMIFS('350配方'!$M33:$P33,'350配方'!$Y33:$AB33,90)</x:f>
        <x:v>0</x:v>
      </x:c>
      <x:c r="S33" s="9" t="n">
        <x:f>SUMIFS('350配方'!$M33:$P33,'350配方'!$Y33:$AB33,105)</x:f>
        <x:v>0</x:v>
      </x:c>
      <x:c r="T33" s="9" t="n">
        <x:f>SUMIFS('350配方'!$M33:$P33,'350配方'!$Y33:$AB33,111)</x:f>
        <x:v>0</x:v>
      </x:c>
      <x:c r="U33" s="9" t="n">
        <x:f>SUMIFS('350配方'!$M33:$P33,'350配方'!$Y33:$AB33,114)</x:f>
        <x:v>0</x:v>
      </x:c>
      <x:c r="V33" s="9" t="n">
        <x:f>SUMIFS('350配方'!$M33:$P33,'350配方'!$Y33:$AB33,115)</x:f>
        <x:v>0</x:v>
      </x:c>
      <x:c r="W33" s="9" t="n">
        <x:f>SUMIFS('350配方'!$M33:$P33,'350配方'!$Y33:$AB33,117)</x:f>
        <x:v>0</x:v>
      </x:c>
      <x:c r="X33" s="9" t="n">
        <x:f>SUMIFS('350配方'!$M33:$P33,'350配方'!$Y33:$AB33,126)</x:f>
        <x:v>0</x:v>
      </x:c>
      <x:c r="Y33" s="9" t="n">
        <x:f>SUMIFS('350配方'!$M33:$P33,'350配方'!$Y33:$AB33,136)</x:f>
        <x:v>0</x:v>
      </x:c>
      <x:c r="Z33" s="9" t="n">
        <x:f>SUMIFS('350配方'!$M33:$P33,'350配方'!$Y33:$AB33,141)</x:f>
        <x:v>0</x:v>
      </x:c>
      <x:c r="AA33" s="9" t="n">
        <x:f>SUMIFS('350配方'!$M33:$P33,'350配方'!$Y33:$AB33,152)</x:f>
        <x:v>0</x:v>
      </x:c>
      <x:c r="AB33" s="9" t="n">
        <x:f>SUMIFS('350配方'!$M33:$P33,'350配方'!$Y33:$AB33,165)</x:f>
        <x:v>0</x:v>
      </x:c>
      <x:c r="AC33" s="9" t="n">
        <x:f>SUMIFS('350配方'!$M33:$P33,'350配方'!$Y33:$AB33,186)</x:f>
        <x:v>0</x:v>
      </x:c>
      <x:c r="AD33" s="9" t="n">
        <x:f>SUMIFS('350配方'!$M33:$P33,'350配方'!$Y33:$AB33,207)</x:f>
        <x:v>0</x:v>
      </x:c>
      <x:c r="AE33" s="9" t="n">
        <x:f>SUMIFS('350配方'!$M33:$P33,'350配方'!$Y33:$AB33,209)</x:f>
        <x:v>0</x:v>
      </x:c>
      <x:c r="AF33" s="9" t="n">
        <x:f>SUMIFS('350配方'!$M33:$P33,'350配方'!$Y33:$AB33,227)</x:f>
        <x:v>0</x:v>
      </x:c>
      <x:c r="AG33" s="9" t="n">
        <x:f>SUMIFS('350配方'!$M33:$P33,'350配方'!$Y33:$AB33,232)</x:f>
        <x:v>0</x:v>
      </x:c>
      <x:c r="AH33" s="9" t="n">
        <x:f>SUMIFS('350配方'!$M33:$P33,'350配方'!$Y33:$AB33,255)</x:f>
        <x:v>0</x:v>
      </x:c>
      <x:c r="AI33" s="9" t="n">
        <x:f>'浓度设置'!S6</x:f>
        <x:v>219125.9626344086</x:v>
      </x:c>
      <x:c r="AJ33" s="9" t="n">
        <x:f>'浓度设置'!S8</x:f>
        <x:v>92796.92267241378</x:v>
      </x:c>
      <x:c r="AK33" s="9" t="n">
        <x:f>'浓度设置'!S10</x:f>
        <x:v>30556.797802197798</x:v>
      </x:c>
      <x:c r="AL33" s="9" t="n">
        <x:f>'浓度设置'!S12</x:f>
        <x:v>1735.828970588235</x:v>
      </x:c>
      <x:c r="AM33" s="9" t="n">
        <x:f>'浓度设置'!S15</x:f>
        <x:v>7385.813644067793</x:v>
      </x:c>
      <x:c r="AN33" s="9" t="n">
        <x:f>'浓度设置'!S19</x:f>
        <x:v>27722.03097701148</x:v>
      </x:c>
      <x:c r="AO33" s="9" t="n">
        <x:f>'浓度设置'!S22</x:f>
        <x:v>44345.55047619048</x:v>
      </x:c>
      <x:c r="AP33" s="9" t="n">
        <x:f>'浓度设置'!S26</x:f>
        <x:v>153318.30499999996</x:v>
      </x:c>
      <x:c r="AQ33" s="9" t="n">
        <x:f>'浓度设置'!S29</x:f>
        <x:v>312.7970588235294</x:v>
      </x:c>
      <x:c r="AR33" s="9" t="n">
        <x:f>'浓度设置'!S30</x:f>
        <x:v>104175.5097553192</x:v>
      </x:c>
      <x:c r="AS33" s="9" t="n">
        <x:f>'浓度设置'!S35</x:f>
        <x:v>405974.90656785714</x:v>
      </x:c>
    </x:row>
    <x:row r="34" ht="24" customHeight="1">
      <x:c r="A34" s="3" t="str">
        <x:f>'350配方'!A34</x:f>
        <x:v>T029</x:v>
      </x:c>
      <x:c r="B34" s="3" t="str">
        <x:f>'350配方'!B34</x:f>
        <x:v>拟合</x:v>
      </x:c>
      <x:c r="C34" s="3" t="n">
        <x:f>IF(B34="拟合",1,0)</x:f>
        <x:v>1</x:v>
      </x:c>
      <x:c r="D34" s="3" t="n">
        <x:f>'350配方'!AC34</x:f>
        <x:v>1</x:v>
      </x:c>
      <x:c r="E34" s="9" t="n">
        <x:f>SUMIFS('350配方'!$M34:$P34,'350配方'!$Y34:$AB34,7)</x:f>
        <x:v>0</x:v>
      </x:c>
      <x:c r="F34" s="9" t="n">
        <x:f>SUMIFS('350配方'!$M34:$P34,'350配方'!$Y34:$AB34,11)</x:f>
        <x:v>0</x:v>
      </x:c>
      <x:c r="G34" s="9" t="n">
        <x:f>SUMIFS('350配方'!$M34:$P34,'350配方'!$Y34:$AB34,18)</x:f>
        <x:v>0</x:v>
      </x:c>
      <x:c r="H34" s="9" t="n">
        <x:f>SUMIFS('350配方'!$M34:$P34,'350配方'!$Y34:$AB34,32)</x:f>
        <x:v>0</x:v>
      </x:c>
      <x:c r="I34" s="9" t="n">
        <x:f>SUMIFS('350配方'!$M34:$P34,'350配方'!$Y34:$AB34,40)</x:f>
        <x:v>0</x:v>
      </x:c>
      <x:c r="J34" s="9" t="n">
        <x:f>SUMIFS('350配方'!$M34:$P34,'350配方'!$Y34:$AB34,52)</x:f>
        <x:v>0</x:v>
      </x:c>
      <x:c r="K34" s="9" t="n">
        <x:f>SUMIFS('350配方'!$M34:$P34,'350配方'!$Y34:$AB34,53)</x:f>
        <x:v>0</x:v>
      </x:c>
      <x:c r="L34" s="9" t="n">
        <x:f>SUMIFS('350配方'!$M34:$P34,'350配方'!$Y34:$AB34,56)</x:f>
        <x:v>0</x:v>
      </x:c>
      <x:c r="M34" s="9" t="n">
        <x:f>SUMIFS('350配方'!$M34:$P34,'350配方'!$Y34:$AB34,58)</x:f>
        <x:v>0</x:v>
      </x:c>
      <x:c r="N34" s="9" t="n">
        <x:f>SUMIFS('350配方'!$M34:$P34,'350配方'!$Y34:$AB34,61)</x:f>
        <x:v>59.381310191002015</x:v>
      </x:c>
      <x:c r="O34" s="9" t="n">
        <x:f>SUMIFS('350配方'!$M34:$P34,'350配方'!$Y34:$AB34,69)</x:f>
        <x:v>0</x:v>
      </x:c>
      <x:c r="P34" s="9" t="n">
        <x:f>SUMIFS('350配方'!$M34:$P34,'350配方'!$Y34:$AB34,75)</x:f>
        <x:v>0</x:v>
      </x:c>
      <x:c r="Q34" s="9" t="n">
        <x:f>SUMIFS('350配方'!$M34:$P34,'350配方'!$Y34:$AB34,79)</x:f>
        <x:v>0</x:v>
      </x:c>
      <x:c r="R34" s="9" t="n">
        <x:f>SUMIFS('350配方'!$M34:$P34,'350配方'!$Y34:$AB34,90)</x:f>
        <x:v>0</x:v>
      </x:c>
      <x:c r="S34" s="9" t="n">
        <x:f>SUMIFS('350配方'!$M34:$P34,'350配方'!$Y34:$AB34,105)</x:f>
        <x:v>0</x:v>
      </x:c>
      <x:c r="T34" s="9" t="n">
        <x:f>SUMIFS('350配方'!$M34:$P34,'350配方'!$Y34:$AB34,111)</x:f>
        <x:v>0</x:v>
      </x:c>
      <x:c r="U34" s="9" t="n">
        <x:f>SUMIFS('350配方'!$M34:$P34,'350配方'!$Y34:$AB34,114)</x:f>
        <x:v>0</x:v>
      </x:c>
      <x:c r="V34" s="9" t="n">
        <x:f>SUMIFS('350配方'!$M34:$P34,'350配方'!$Y34:$AB34,115)</x:f>
        <x:v>0</x:v>
      </x:c>
      <x:c r="W34" s="9" t="n">
        <x:f>SUMIFS('350配方'!$M34:$P34,'350配方'!$Y34:$AB34,117)</x:f>
        <x:v>0</x:v>
      </x:c>
      <x:c r="X34" s="9" t="n">
        <x:f>SUMIFS('350配方'!$M34:$P34,'350配方'!$Y34:$AB34,126)</x:f>
        <x:v>0</x:v>
      </x:c>
      <x:c r="Y34" s="9" t="n">
        <x:f>SUMIFS('350配方'!$M34:$P34,'350配方'!$Y34:$AB34,136)</x:f>
        <x:v>0</x:v>
      </x:c>
      <x:c r="Z34" s="9" t="n">
        <x:f>SUMIFS('350配方'!$M34:$P34,'350配方'!$Y34:$AB34,141)</x:f>
        <x:v>0</x:v>
      </x:c>
      <x:c r="AA34" s="9" t="n">
        <x:f>SUMIFS('350配方'!$M34:$P34,'350配方'!$Y34:$AB34,152)</x:f>
        <x:v>0</x:v>
      </x:c>
      <x:c r="AB34" s="9" t="n">
        <x:f>SUMIFS('350配方'!$M34:$P34,'350配方'!$Y34:$AB34,165)</x:f>
        <x:v>0</x:v>
      </x:c>
      <x:c r="AC34" s="9" t="n">
        <x:f>SUMIFS('350配方'!$M34:$P34,'350配方'!$Y34:$AB34,186)</x:f>
        <x:v>0</x:v>
      </x:c>
      <x:c r="AD34" s="9" t="n">
        <x:f>SUMIFS('350配方'!$M34:$P34,'350配方'!$Y34:$AB34,207)</x:f>
        <x:v>0</x:v>
      </x:c>
      <x:c r="AE34" s="9" t="n">
        <x:f>SUMIFS('350配方'!$M34:$P34,'350配方'!$Y34:$AB34,209)</x:f>
        <x:v>0</x:v>
      </x:c>
      <x:c r="AF34" s="9" t="n">
        <x:f>SUMIFS('350配方'!$M34:$P34,'350配方'!$Y34:$AB34,227)</x:f>
        <x:v>0</x:v>
      </x:c>
      <x:c r="AG34" s="9" t="n">
        <x:f>SUMIFS('350配方'!$M34:$P34,'350配方'!$Y34:$AB34,232)</x:f>
        <x:v>0</x:v>
      </x:c>
      <x:c r="AH34" s="9" t="n">
        <x:f>SUMIFS('350配方'!$M34:$P34,'350配方'!$Y34:$AB34,255)</x:f>
        <x:v>0</x:v>
      </x:c>
      <x:c r="AI34" s="9" t="n">
        <x:f>'浓度设置'!S6</x:f>
        <x:v>219125.9626344086</x:v>
      </x:c>
      <x:c r="AJ34" s="9" t="n">
        <x:f>'浓度设置'!S8</x:f>
        <x:v>92796.92267241378</x:v>
      </x:c>
      <x:c r="AK34" s="9" t="n">
        <x:f>'浓度设置'!S10</x:f>
        <x:v>30556.797802197798</x:v>
      </x:c>
      <x:c r="AL34" s="9" t="n">
        <x:f>'浓度设置'!S12</x:f>
        <x:v>1735.828970588235</x:v>
      </x:c>
      <x:c r="AM34" s="9" t="n">
        <x:f>'浓度设置'!S15</x:f>
        <x:v>7385.813644067793</x:v>
      </x:c>
      <x:c r="AN34" s="9" t="n">
        <x:f>'浓度设置'!S19</x:f>
        <x:v>27722.03097701148</x:v>
      </x:c>
      <x:c r="AO34" s="9" t="n">
        <x:f>'浓度设置'!S22</x:f>
        <x:v>44345.55047619048</x:v>
      </x:c>
      <x:c r="AP34" s="9" t="n">
        <x:f>'浓度设置'!S26</x:f>
        <x:v>153318.30499999996</x:v>
      </x:c>
      <x:c r="AQ34" s="9" t="n">
        <x:f>'浓度设置'!S29</x:f>
        <x:v>312.7970588235294</x:v>
      </x:c>
      <x:c r="AR34" s="9" t="n">
        <x:f>'浓度设置'!S30</x:f>
        <x:v>104175.5097553192</x:v>
      </x:c>
      <x:c r="AS34" s="9" t="n">
        <x:f>'浓度设置'!S35</x:f>
        <x:v>405974.90656785714</x:v>
      </x:c>
    </x:row>
    <x:row r="35" ht="24" customHeight="1">
      <x:c r="A35" s="3" t="str">
        <x:f>'350配方'!A35</x:f>
        <x:v>T030</x:v>
      </x:c>
      <x:c r="B35" s="3" t="str">
        <x:f>'350配方'!B35</x:f>
        <x:v>拟合</x:v>
      </x:c>
      <x:c r="C35" s="3" t="n">
        <x:f>IF(B35="拟合",1,0)</x:f>
        <x:v>1</x:v>
      </x:c>
      <x:c r="D35" s="3" t="n">
        <x:f>'350配方'!AC35</x:f>
        <x:v>1</x:v>
      </x:c>
      <x:c r="E35" s="9" t="n">
        <x:f>SUMIFS('350配方'!$M35:$P35,'350配方'!$Y35:$AB35,7)</x:f>
        <x:v>0</x:v>
      </x:c>
      <x:c r="F35" s="9" t="n">
        <x:f>SUMIFS('350配方'!$M35:$P35,'350配方'!$Y35:$AB35,11)</x:f>
        <x:v>0</x:v>
      </x:c>
      <x:c r="G35" s="9" t="n">
        <x:f>SUMIFS('350配方'!$M35:$P35,'350配方'!$Y35:$AB35,18)</x:f>
        <x:v>0</x:v>
      </x:c>
      <x:c r="H35" s="9" t="n">
        <x:f>SUMIFS('350配方'!$M35:$P35,'350配方'!$Y35:$AB35,32)</x:f>
        <x:v>0</x:v>
      </x:c>
      <x:c r="I35" s="9" t="n">
        <x:f>SUMIFS('350配方'!$M35:$P35,'350配方'!$Y35:$AB35,40)</x:f>
        <x:v>0</x:v>
      </x:c>
      <x:c r="J35" s="9" t="n">
        <x:f>SUMIFS('350配方'!$M35:$P35,'350配方'!$Y35:$AB35,52)</x:f>
        <x:v>0</x:v>
      </x:c>
      <x:c r="K35" s="9" t="n">
        <x:f>SUMIFS('350配方'!$M35:$P35,'350配方'!$Y35:$AB35,53)</x:f>
        <x:v>0</x:v>
      </x:c>
      <x:c r="L35" s="9" t="n">
        <x:f>SUMIFS('350配方'!$M35:$P35,'350配方'!$Y35:$AB35,56)</x:f>
        <x:v>0</x:v>
      </x:c>
      <x:c r="M35" s="9" t="n">
        <x:f>SUMIFS('350配方'!$M35:$P35,'350配方'!$Y35:$AB35,58)</x:f>
        <x:v>0</x:v>
      </x:c>
      <x:c r="N35" s="9" t="n">
        <x:f>SUMIFS('350配方'!$M35:$P35,'350配方'!$Y35:$AB35,61)</x:f>
        <x:v>6914</x:v>
      </x:c>
      <x:c r="O35" s="9" t="n">
        <x:f>SUMIFS('350配方'!$M35:$P35,'350配方'!$Y35:$AB35,69)</x:f>
        <x:v>0</x:v>
      </x:c>
      <x:c r="P35" s="9" t="n">
        <x:f>SUMIFS('350配方'!$M35:$P35,'350配方'!$Y35:$AB35,75)</x:f>
        <x:v>0</x:v>
      </x:c>
      <x:c r="Q35" s="9" t="n">
        <x:f>SUMIFS('350配方'!$M35:$P35,'350配方'!$Y35:$AB35,79)</x:f>
        <x:v>0</x:v>
      </x:c>
      <x:c r="R35" s="9" t="n">
        <x:f>SUMIFS('350配方'!$M35:$P35,'350配方'!$Y35:$AB35,90)</x:f>
        <x:v>0</x:v>
      </x:c>
      <x:c r="S35" s="9" t="n">
        <x:f>SUMIFS('350配方'!$M35:$P35,'350配方'!$Y35:$AB35,105)</x:f>
        <x:v>0</x:v>
      </x:c>
      <x:c r="T35" s="9" t="n">
        <x:f>SUMIFS('350配方'!$M35:$P35,'350配方'!$Y35:$AB35,111)</x:f>
        <x:v>0</x:v>
      </x:c>
      <x:c r="U35" s="9" t="n">
        <x:f>SUMIFS('350配方'!$M35:$P35,'350配方'!$Y35:$AB35,114)</x:f>
        <x:v>0</x:v>
      </x:c>
      <x:c r="V35" s="9" t="n">
        <x:f>SUMIFS('350配方'!$M35:$P35,'350配方'!$Y35:$AB35,115)</x:f>
        <x:v>0</x:v>
      </x:c>
      <x:c r="W35" s="9" t="n">
        <x:f>SUMIFS('350配方'!$M35:$P35,'350配方'!$Y35:$AB35,117)</x:f>
        <x:v>0</x:v>
      </x:c>
      <x:c r="X35" s="9" t="n">
        <x:f>SUMIFS('350配方'!$M35:$P35,'350配方'!$Y35:$AB35,126)</x:f>
        <x:v>0</x:v>
      </x:c>
      <x:c r="Y35" s="9" t="n">
        <x:f>SUMIFS('350配方'!$M35:$P35,'350配方'!$Y35:$AB35,136)</x:f>
        <x:v>0</x:v>
      </x:c>
      <x:c r="Z35" s="9" t="n">
        <x:f>SUMIFS('350配方'!$M35:$P35,'350配方'!$Y35:$AB35,141)</x:f>
        <x:v>0</x:v>
      </x:c>
      <x:c r="AA35" s="9" t="n">
        <x:f>SUMIFS('350配方'!$M35:$P35,'350配方'!$Y35:$AB35,152)</x:f>
        <x:v>0</x:v>
      </x:c>
      <x:c r="AB35" s="9" t="n">
        <x:f>SUMIFS('350配方'!$M35:$P35,'350配方'!$Y35:$AB35,165)</x:f>
        <x:v>0</x:v>
      </x:c>
      <x:c r="AC35" s="9" t="n">
        <x:f>SUMIFS('350配方'!$M35:$P35,'350配方'!$Y35:$AB35,186)</x:f>
        <x:v>0</x:v>
      </x:c>
      <x:c r="AD35" s="9" t="n">
        <x:f>SUMIFS('350配方'!$M35:$P35,'350配方'!$Y35:$AB35,207)</x:f>
        <x:v>0</x:v>
      </x:c>
      <x:c r="AE35" s="9" t="n">
        <x:f>SUMIFS('350配方'!$M35:$P35,'350配方'!$Y35:$AB35,209)</x:f>
        <x:v>0</x:v>
      </x:c>
      <x:c r="AF35" s="9" t="n">
        <x:f>SUMIFS('350配方'!$M35:$P35,'350配方'!$Y35:$AB35,227)</x:f>
        <x:v>0</x:v>
      </x:c>
      <x:c r="AG35" s="9" t="n">
        <x:f>SUMIFS('350配方'!$M35:$P35,'350配方'!$Y35:$AB35,232)</x:f>
        <x:v>0</x:v>
      </x:c>
      <x:c r="AH35" s="9" t="n">
        <x:f>SUMIFS('350配方'!$M35:$P35,'350配方'!$Y35:$AB35,255)</x:f>
        <x:v>0</x:v>
      </x:c>
      <x:c r="AI35" s="9" t="n">
        <x:f>'浓度设置'!S6</x:f>
        <x:v>219125.9626344086</x:v>
      </x:c>
      <x:c r="AJ35" s="9" t="n">
        <x:f>'浓度设置'!S8</x:f>
        <x:v>92796.92267241378</x:v>
      </x:c>
      <x:c r="AK35" s="9" t="n">
        <x:f>'浓度设置'!S10</x:f>
        <x:v>30556.797802197798</x:v>
      </x:c>
      <x:c r="AL35" s="9" t="n">
        <x:f>'浓度设置'!S12</x:f>
        <x:v>1735.828970588235</x:v>
      </x:c>
      <x:c r="AM35" s="9" t="n">
        <x:f>'浓度设置'!S15</x:f>
        <x:v>7385.813644067793</x:v>
      </x:c>
      <x:c r="AN35" s="9" t="n">
        <x:f>'浓度设置'!S19</x:f>
        <x:v>27722.03097701148</x:v>
      </x:c>
      <x:c r="AO35" s="9" t="n">
        <x:f>'浓度设置'!S22</x:f>
        <x:v>44345.55047619048</x:v>
      </x:c>
      <x:c r="AP35" s="9" t="n">
        <x:f>'浓度设置'!S26</x:f>
        <x:v>153318.30499999996</x:v>
      </x:c>
      <x:c r="AQ35" s="9" t="n">
        <x:f>'浓度设置'!S29</x:f>
        <x:v>312.7970588235294</x:v>
      </x:c>
      <x:c r="AR35" s="9" t="n">
        <x:f>'浓度设置'!S30</x:f>
        <x:v>104175.5097553192</x:v>
      </x:c>
      <x:c r="AS35" s="9" t="n">
        <x:f>'浓度设置'!S35</x:f>
        <x:v>405974.90656785714</x:v>
      </x:c>
    </x:row>
    <x:row r="36" ht="24" customHeight="1">
      <x:c r="A36" s="3" t="str">
        <x:f>'350配方'!A36</x:f>
        <x:v>T031</x:v>
      </x:c>
      <x:c r="B36" s="3" t="str">
        <x:f>'350配方'!B36</x:f>
        <x:v>拟合</x:v>
      </x:c>
      <x:c r="C36" s="3" t="n">
        <x:f>IF(B36="拟合",1,0)</x:f>
        <x:v>1</x:v>
      </x:c>
      <x:c r="D36" s="3" t="n">
        <x:f>'350配方'!AC36</x:f>
        <x:v>1</x:v>
      </x:c>
      <x:c r="E36" s="9" t="n">
        <x:f>SUMIFS('350配方'!$M36:$P36,'350配方'!$Y36:$AB36,7)</x:f>
        <x:v>0</x:v>
      </x:c>
      <x:c r="F36" s="9" t="n">
        <x:f>SUMIFS('350配方'!$M36:$P36,'350配方'!$Y36:$AB36,11)</x:f>
        <x:v>0</x:v>
      </x:c>
      <x:c r="G36" s="9" t="n">
        <x:f>SUMIFS('350配方'!$M36:$P36,'350配方'!$Y36:$AB36,18)</x:f>
        <x:v>0</x:v>
      </x:c>
      <x:c r="H36" s="9" t="n">
        <x:f>SUMIFS('350配方'!$M36:$P36,'350配方'!$Y36:$AB36,32)</x:f>
        <x:v>0</x:v>
      </x:c>
      <x:c r="I36" s="9" t="n">
        <x:f>SUMIFS('350配方'!$M36:$P36,'350配方'!$Y36:$AB36,40)</x:f>
        <x:v>0</x:v>
      </x:c>
      <x:c r="J36" s="9" t="n">
        <x:f>SUMIFS('350配方'!$M36:$P36,'350配方'!$Y36:$AB36,52)</x:f>
        <x:v>0</x:v>
      </x:c>
      <x:c r="K36" s="9" t="n">
        <x:f>SUMIFS('350配方'!$M36:$P36,'350配方'!$Y36:$AB36,53)</x:f>
        <x:v>0</x:v>
      </x:c>
      <x:c r="L36" s="9" t="n">
        <x:f>SUMIFS('350配方'!$M36:$P36,'350配方'!$Y36:$AB36,56)</x:f>
        <x:v>0</x:v>
      </x:c>
      <x:c r="M36" s="9" t="n">
        <x:f>SUMIFS('350配方'!$M36:$P36,'350配方'!$Y36:$AB36,58)</x:f>
        <x:v>0</x:v>
      </x:c>
      <x:c r="N36" s="9" t="n">
        <x:f>SUMIFS('350配方'!$M36:$P36,'350配方'!$Y36:$AB36,61)</x:f>
        <x:v>0</x:v>
      </x:c>
      <x:c r="O36" s="9" t="n">
        <x:f>SUMIFS('350配方'!$M36:$P36,'350配方'!$Y36:$AB36,69)</x:f>
        <x:v>0.83</x:v>
      </x:c>
      <x:c r="P36" s="9" t="n">
        <x:f>SUMIFS('350配方'!$M36:$P36,'350配方'!$Y36:$AB36,75)</x:f>
        <x:v>0</x:v>
      </x:c>
      <x:c r="Q36" s="9" t="n">
        <x:f>SUMIFS('350配方'!$M36:$P36,'350配方'!$Y36:$AB36,79)</x:f>
        <x:v>0</x:v>
      </x:c>
      <x:c r="R36" s="9" t="n">
        <x:f>SUMIFS('350配方'!$M36:$P36,'350配方'!$Y36:$AB36,90)</x:f>
        <x:v>0</x:v>
      </x:c>
      <x:c r="S36" s="9" t="n">
        <x:f>SUMIFS('350配方'!$M36:$P36,'350配方'!$Y36:$AB36,105)</x:f>
        <x:v>0</x:v>
      </x:c>
      <x:c r="T36" s="9" t="n">
        <x:f>SUMIFS('350配方'!$M36:$P36,'350配方'!$Y36:$AB36,111)</x:f>
        <x:v>0</x:v>
      </x:c>
      <x:c r="U36" s="9" t="n">
        <x:f>SUMIFS('350配方'!$M36:$P36,'350配方'!$Y36:$AB36,114)</x:f>
        <x:v>0</x:v>
      </x:c>
      <x:c r="V36" s="9" t="n">
        <x:f>SUMIFS('350配方'!$M36:$P36,'350配方'!$Y36:$AB36,115)</x:f>
        <x:v>0</x:v>
      </x:c>
      <x:c r="W36" s="9" t="n">
        <x:f>SUMIFS('350配方'!$M36:$P36,'350配方'!$Y36:$AB36,117)</x:f>
        <x:v>0</x:v>
      </x:c>
      <x:c r="X36" s="9" t="n">
        <x:f>SUMIFS('350配方'!$M36:$P36,'350配方'!$Y36:$AB36,126)</x:f>
        <x:v>0</x:v>
      </x:c>
      <x:c r="Y36" s="9" t="n">
        <x:f>SUMIFS('350配方'!$M36:$P36,'350配方'!$Y36:$AB36,136)</x:f>
        <x:v>0</x:v>
      </x:c>
      <x:c r="Z36" s="9" t="n">
        <x:f>SUMIFS('350配方'!$M36:$P36,'350配方'!$Y36:$AB36,141)</x:f>
        <x:v>0</x:v>
      </x:c>
      <x:c r="AA36" s="9" t="n">
        <x:f>SUMIFS('350配方'!$M36:$P36,'350配方'!$Y36:$AB36,152)</x:f>
        <x:v>0</x:v>
      </x:c>
      <x:c r="AB36" s="9" t="n">
        <x:f>SUMIFS('350配方'!$M36:$P36,'350配方'!$Y36:$AB36,165)</x:f>
        <x:v>0</x:v>
      </x:c>
      <x:c r="AC36" s="9" t="n">
        <x:f>SUMIFS('350配方'!$M36:$P36,'350配方'!$Y36:$AB36,186)</x:f>
        <x:v>0</x:v>
      </x:c>
      <x:c r="AD36" s="9" t="n">
        <x:f>SUMIFS('350配方'!$M36:$P36,'350配方'!$Y36:$AB36,207)</x:f>
        <x:v>0</x:v>
      </x:c>
      <x:c r="AE36" s="9" t="n">
        <x:f>SUMIFS('350配方'!$M36:$P36,'350配方'!$Y36:$AB36,209)</x:f>
        <x:v>0</x:v>
      </x:c>
      <x:c r="AF36" s="9" t="n">
        <x:f>SUMIFS('350配方'!$M36:$P36,'350配方'!$Y36:$AB36,227)</x:f>
        <x:v>0</x:v>
      </x:c>
      <x:c r="AG36" s="9" t="n">
        <x:f>SUMIFS('350配方'!$M36:$P36,'350配方'!$Y36:$AB36,232)</x:f>
        <x:v>0</x:v>
      </x:c>
      <x:c r="AH36" s="9" t="n">
        <x:f>SUMIFS('350配方'!$M36:$P36,'350配方'!$Y36:$AB36,255)</x:f>
        <x:v>0</x:v>
      </x:c>
      <x:c r="AI36" s="9" t="n">
        <x:f>'浓度设置'!S6</x:f>
        <x:v>219125.9626344086</x:v>
      </x:c>
      <x:c r="AJ36" s="9" t="n">
        <x:f>'浓度设置'!S8</x:f>
        <x:v>92796.92267241378</x:v>
      </x:c>
      <x:c r="AK36" s="9" t="n">
        <x:f>'浓度设置'!S10</x:f>
        <x:v>30556.797802197798</x:v>
      </x:c>
      <x:c r="AL36" s="9" t="n">
        <x:f>'浓度设置'!S12</x:f>
        <x:v>1735.828970588235</x:v>
      </x:c>
      <x:c r="AM36" s="9" t="n">
        <x:f>'浓度设置'!S15</x:f>
        <x:v>7385.813644067793</x:v>
      </x:c>
      <x:c r="AN36" s="9" t="n">
        <x:f>'浓度设置'!S19</x:f>
        <x:v>27722.03097701148</x:v>
      </x:c>
      <x:c r="AO36" s="9" t="n">
        <x:f>'浓度设置'!S22</x:f>
        <x:v>44345.55047619048</x:v>
      </x:c>
      <x:c r="AP36" s="9" t="n">
        <x:f>'浓度设置'!S26</x:f>
        <x:v>153318.30499999996</x:v>
      </x:c>
      <x:c r="AQ36" s="9" t="n">
        <x:f>'浓度设置'!S29</x:f>
        <x:v>312.7970588235294</x:v>
      </x:c>
      <x:c r="AR36" s="9" t="n">
        <x:f>'浓度设置'!S30</x:f>
        <x:v>104175.5097553192</x:v>
      </x:c>
      <x:c r="AS36" s="9" t="n">
        <x:f>'浓度设置'!S35</x:f>
        <x:v>405974.90656785714</x:v>
      </x:c>
    </x:row>
    <x:row r="37" ht="24" customHeight="1">
      <x:c r="A37" s="3" t="str">
        <x:f>'350配方'!A37</x:f>
        <x:v>T032</x:v>
      </x:c>
      <x:c r="B37" s="3" t="str">
        <x:f>'350配方'!B37</x:f>
        <x:v>拟合</x:v>
      </x:c>
      <x:c r="C37" s="3" t="n">
        <x:f>IF(B37="拟合",1,0)</x:f>
        <x:v>1</x:v>
      </x:c>
      <x:c r="D37" s="3" t="n">
        <x:f>'350配方'!AC37</x:f>
        <x:v>1</x:v>
      </x:c>
      <x:c r="E37" s="9" t="n">
        <x:f>SUMIFS('350配方'!$M37:$P37,'350配方'!$Y37:$AB37,7)</x:f>
        <x:v>0</x:v>
      </x:c>
      <x:c r="F37" s="9" t="n">
        <x:f>SUMIFS('350配方'!$M37:$P37,'350配方'!$Y37:$AB37,11)</x:f>
        <x:v>0</x:v>
      </x:c>
      <x:c r="G37" s="9" t="n">
        <x:f>SUMIFS('350配方'!$M37:$P37,'350配方'!$Y37:$AB37,18)</x:f>
        <x:v>0</x:v>
      </x:c>
      <x:c r="H37" s="9" t="n">
        <x:f>SUMIFS('350配方'!$M37:$P37,'350配方'!$Y37:$AB37,32)</x:f>
        <x:v>0</x:v>
      </x:c>
      <x:c r="I37" s="9" t="n">
        <x:f>SUMIFS('350配方'!$M37:$P37,'350配方'!$Y37:$AB37,40)</x:f>
        <x:v>0</x:v>
      </x:c>
      <x:c r="J37" s="9" t="n">
        <x:f>SUMIFS('350配方'!$M37:$P37,'350配方'!$Y37:$AB37,52)</x:f>
        <x:v>0</x:v>
      </x:c>
      <x:c r="K37" s="9" t="n">
        <x:f>SUMIFS('350配方'!$M37:$P37,'350配方'!$Y37:$AB37,53)</x:f>
        <x:v>0</x:v>
      </x:c>
      <x:c r="L37" s="9" t="n">
        <x:f>SUMIFS('350配方'!$M37:$P37,'350配方'!$Y37:$AB37,56)</x:f>
        <x:v>0</x:v>
      </x:c>
      <x:c r="M37" s="9" t="n">
        <x:f>SUMIFS('350配方'!$M37:$P37,'350配方'!$Y37:$AB37,58)</x:f>
        <x:v>0</x:v>
      </x:c>
      <x:c r="N37" s="9" t="n">
        <x:f>SUMIFS('350配方'!$M37:$P37,'350配方'!$Y37:$AB37,61)</x:f>
        <x:v>0</x:v>
      </x:c>
      <x:c r="O37" s="9" t="n">
        <x:f>SUMIFS('350配方'!$M37:$P37,'350配方'!$Y37:$AB37,69)</x:f>
        <x:v>99.89207175747232</x:v>
      </x:c>
      <x:c r="P37" s="9" t="n">
        <x:f>SUMIFS('350配方'!$M37:$P37,'350配方'!$Y37:$AB37,75)</x:f>
        <x:v>0</x:v>
      </x:c>
      <x:c r="Q37" s="9" t="n">
        <x:f>SUMIFS('350配方'!$M37:$P37,'350配方'!$Y37:$AB37,79)</x:f>
        <x:v>0</x:v>
      </x:c>
      <x:c r="R37" s="9" t="n">
        <x:f>SUMIFS('350配方'!$M37:$P37,'350配方'!$Y37:$AB37,90)</x:f>
        <x:v>0</x:v>
      </x:c>
      <x:c r="S37" s="9" t="n">
        <x:f>SUMIFS('350配方'!$M37:$P37,'350配方'!$Y37:$AB37,105)</x:f>
        <x:v>0</x:v>
      </x:c>
      <x:c r="T37" s="9" t="n">
        <x:f>SUMIFS('350配方'!$M37:$P37,'350配方'!$Y37:$AB37,111)</x:f>
        <x:v>0</x:v>
      </x:c>
      <x:c r="U37" s="9" t="n">
        <x:f>SUMIFS('350配方'!$M37:$P37,'350配方'!$Y37:$AB37,114)</x:f>
        <x:v>0</x:v>
      </x:c>
      <x:c r="V37" s="9" t="n">
        <x:f>SUMIFS('350配方'!$M37:$P37,'350配方'!$Y37:$AB37,115)</x:f>
        <x:v>0</x:v>
      </x:c>
      <x:c r="W37" s="9" t="n">
        <x:f>SUMIFS('350配方'!$M37:$P37,'350配方'!$Y37:$AB37,117)</x:f>
        <x:v>0</x:v>
      </x:c>
      <x:c r="X37" s="9" t="n">
        <x:f>SUMIFS('350配方'!$M37:$P37,'350配方'!$Y37:$AB37,126)</x:f>
        <x:v>0</x:v>
      </x:c>
      <x:c r="Y37" s="9" t="n">
        <x:f>SUMIFS('350配方'!$M37:$P37,'350配方'!$Y37:$AB37,136)</x:f>
        <x:v>0</x:v>
      </x:c>
      <x:c r="Z37" s="9" t="n">
        <x:f>SUMIFS('350配方'!$M37:$P37,'350配方'!$Y37:$AB37,141)</x:f>
        <x:v>0</x:v>
      </x:c>
      <x:c r="AA37" s="9" t="n">
        <x:f>SUMIFS('350配方'!$M37:$P37,'350配方'!$Y37:$AB37,152)</x:f>
        <x:v>0</x:v>
      </x:c>
      <x:c r="AB37" s="9" t="n">
        <x:f>SUMIFS('350配方'!$M37:$P37,'350配方'!$Y37:$AB37,165)</x:f>
        <x:v>0</x:v>
      </x:c>
      <x:c r="AC37" s="9" t="n">
        <x:f>SUMIFS('350配方'!$M37:$P37,'350配方'!$Y37:$AB37,186)</x:f>
        <x:v>0</x:v>
      </x:c>
      <x:c r="AD37" s="9" t="n">
        <x:f>SUMIFS('350配方'!$M37:$P37,'350配方'!$Y37:$AB37,207)</x:f>
        <x:v>0</x:v>
      </x:c>
      <x:c r="AE37" s="9" t="n">
        <x:f>SUMIFS('350配方'!$M37:$P37,'350配方'!$Y37:$AB37,209)</x:f>
        <x:v>0</x:v>
      </x:c>
      <x:c r="AF37" s="9" t="n">
        <x:f>SUMIFS('350配方'!$M37:$P37,'350配方'!$Y37:$AB37,227)</x:f>
        <x:v>0</x:v>
      </x:c>
      <x:c r="AG37" s="9" t="n">
        <x:f>SUMIFS('350配方'!$M37:$P37,'350配方'!$Y37:$AB37,232)</x:f>
        <x:v>0</x:v>
      </x:c>
      <x:c r="AH37" s="9" t="n">
        <x:f>SUMIFS('350配方'!$M37:$P37,'350配方'!$Y37:$AB37,255)</x:f>
        <x:v>0</x:v>
      </x:c>
      <x:c r="AI37" s="9" t="n">
        <x:f>'浓度设置'!S6</x:f>
        <x:v>219125.9626344086</x:v>
      </x:c>
      <x:c r="AJ37" s="9" t="n">
        <x:f>'浓度设置'!S8</x:f>
        <x:v>92796.92267241378</x:v>
      </x:c>
      <x:c r="AK37" s="9" t="n">
        <x:f>'浓度设置'!S10</x:f>
        <x:v>30556.797802197798</x:v>
      </x:c>
      <x:c r="AL37" s="9" t="n">
        <x:f>'浓度设置'!S12</x:f>
        <x:v>1735.828970588235</x:v>
      </x:c>
      <x:c r="AM37" s="9" t="n">
        <x:f>'浓度设置'!S15</x:f>
        <x:v>7385.813644067793</x:v>
      </x:c>
      <x:c r="AN37" s="9" t="n">
        <x:f>'浓度设置'!S19</x:f>
        <x:v>27722.03097701148</x:v>
      </x:c>
      <x:c r="AO37" s="9" t="n">
        <x:f>'浓度设置'!S22</x:f>
        <x:v>44345.55047619048</x:v>
      </x:c>
      <x:c r="AP37" s="9" t="n">
        <x:f>'浓度设置'!S26</x:f>
        <x:v>153318.30499999996</x:v>
      </x:c>
      <x:c r="AQ37" s="9" t="n">
        <x:f>'浓度设置'!S29</x:f>
        <x:v>312.7970588235294</x:v>
      </x:c>
      <x:c r="AR37" s="9" t="n">
        <x:f>'浓度设置'!S30</x:f>
        <x:v>104175.5097553192</x:v>
      </x:c>
      <x:c r="AS37" s="9" t="n">
        <x:f>'浓度设置'!S35</x:f>
        <x:v>405974.90656785714</x:v>
      </x:c>
    </x:row>
    <x:row r="38" ht="24" customHeight="1">
      <x:c r="A38" s="3" t="str">
        <x:f>'350配方'!A38</x:f>
        <x:v>T033</x:v>
      </x:c>
      <x:c r="B38" s="3" t="str">
        <x:f>'350配方'!B38</x:f>
        <x:v>拟合</x:v>
      </x:c>
      <x:c r="C38" s="3" t="n">
        <x:f>IF(B38="拟合",1,0)</x:f>
        <x:v>1</x:v>
      </x:c>
      <x:c r="D38" s="3" t="n">
        <x:f>'350配方'!AC38</x:f>
        <x:v>1</x:v>
      </x:c>
      <x:c r="E38" s="9" t="n">
        <x:f>SUMIFS('350配方'!$M38:$P38,'350配方'!$Y38:$AB38,7)</x:f>
        <x:v>0</x:v>
      </x:c>
      <x:c r="F38" s="9" t="n">
        <x:f>SUMIFS('350配方'!$M38:$P38,'350配方'!$Y38:$AB38,11)</x:f>
        <x:v>0</x:v>
      </x:c>
      <x:c r="G38" s="9" t="n">
        <x:f>SUMIFS('350配方'!$M38:$P38,'350配方'!$Y38:$AB38,18)</x:f>
        <x:v>0</x:v>
      </x:c>
      <x:c r="H38" s="9" t="n">
        <x:f>SUMIFS('350配方'!$M38:$P38,'350配方'!$Y38:$AB38,32)</x:f>
        <x:v>0</x:v>
      </x:c>
      <x:c r="I38" s="9" t="n">
        <x:f>SUMIFS('350配方'!$M38:$P38,'350配方'!$Y38:$AB38,40)</x:f>
        <x:v>0</x:v>
      </x:c>
      <x:c r="J38" s="9" t="n">
        <x:f>SUMIFS('350配方'!$M38:$P38,'350配方'!$Y38:$AB38,52)</x:f>
        <x:v>0</x:v>
      </x:c>
      <x:c r="K38" s="9" t="n">
        <x:f>SUMIFS('350配方'!$M38:$P38,'350配方'!$Y38:$AB38,53)</x:f>
        <x:v>0</x:v>
      </x:c>
      <x:c r="L38" s="9" t="n">
        <x:f>SUMIFS('350配方'!$M38:$P38,'350配方'!$Y38:$AB38,56)</x:f>
        <x:v>0</x:v>
      </x:c>
      <x:c r="M38" s="9" t="n">
        <x:f>SUMIFS('350配方'!$M38:$P38,'350配方'!$Y38:$AB38,58)</x:f>
        <x:v>0</x:v>
      </x:c>
      <x:c r="N38" s="9" t="n">
        <x:f>SUMIFS('350配方'!$M38:$P38,'350配方'!$Y38:$AB38,61)</x:f>
        <x:v>0</x:v>
      </x:c>
      <x:c r="O38" s="9" t="n">
        <x:f>SUMIFS('350配方'!$M38:$P38,'350配方'!$Y38:$AB38,69)</x:f>
        <x:v>12022.2</x:v>
      </x:c>
      <x:c r="P38" s="9" t="n">
        <x:f>SUMIFS('350配方'!$M38:$P38,'350配方'!$Y38:$AB38,75)</x:f>
        <x:v>0</x:v>
      </x:c>
      <x:c r="Q38" s="9" t="n">
        <x:f>SUMIFS('350配方'!$M38:$P38,'350配方'!$Y38:$AB38,79)</x:f>
        <x:v>0</x:v>
      </x:c>
      <x:c r="R38" s="9" t="n">
        <x:f>SUMIFS('350配方'!$M38:$P38,'350配方'!$Y38:$AB38,90)</x:f>
        <x:v>0</x:v>
      </x:c>
      <x:c r="S38" s="9" t="n">
        <x:f>SUMIFS('350配方'!$M38:$P38,'350配方'!$Y38:$AB38,105)</x:f>
        <x:v>0</x:v>
      </x:c>
      <x:c r="T38" s="9" t="n">
        <x:f>SUMIFS('350配方'!$M38:$P38,'350配方'!$Y38:$AB38,111)</x:f>
        <x:v>0</x:v>
      </x:c>
      <x:c r="U38" s="9" t="n">
        <x:f>SUMIFS('350配方'!$M38:$P38,'350配方'!$Y38:$AB38,114)</x:f>
        <x:v>0</x:v>
      </x:c>
      <x:c r="V38" s="9" t="n">
        <x:f>SUMIFS('350配方'!$M38:$P38,'350配方'!$Y38:$AB38,115)</x:f>
        <x:v>0</x:v>
      </x:c>
      <x:c r="W38" s="9" t="n">
        <x:f>SUMIFS('350配方'!$M38:$P38,'350配方'!$Y38:$AB38,117)</x:f>
        <x:v>0</x:v>
      </x:c>
      <x:c r="X38" s="9" t="n">
        <x:f>SUMIFS('350配方'!$M38:$P38,'350配方'!$Y38:$AB38,126)</x:f>
        <x:v>0</x:v>
      </x:c>
      <x:c r="Y38" s="9" t="n">
        <x:f>SUMIFS('350配方'!$M38:$P38,'350配方'!$Y38:$AB38,136)</x:f>
        <x:v>0</x:v>
      </x:c>
      <x:c r="Z38" s="9" t="n">
        <x:f>SUMIFS('350配方'!$M38:$P38,'350配方'!$Y38:$AB38,141)</x:f>
        <x:v>0</x:v>
      </x:c>
      <x:c r="AA38" s="9" t="n">
        <x:f>SUMIFS('350配方'!$M38:$P38,'350配方'!$Y38:$AB38,152)</x:f>
        <x:v>0</x:v>
      </x:c>
      <x:c r="AB38" s="9" t="n">
        <x:f>SUMIFS('350配方'!$M38:$P38,'350配方'!$Y38:$AB38,165)</x:f>
        <x:v>0</x:v>
      </x:c>
      <x:c r="AC38" s="9" t="n">
        <x:f>SUMIFS('350配方'!$M38:$P38,'350配方'!$Y38:$AB38,186)</x:f>
        <x:v>0</x:v>
      </x:c>
      <x:c r="AD38" s="9" t="n">
        <x:f>SUMIFS('350配方'!$M38:$P38,'350配方'!$Y38:$AB38,207)</x:f>
        <x:v>0</x:v>
      </x:c>
      <x:c r="AE38" s="9" t="n">
        <x:f>SUMIFS('350配方'!$M38:$P38,'350配方'!$Y38:$AB38,209)</x:f>
        <x:v>0</x:v>
      </x:c>
      <x:c r="AF38" s="9" t="n">
        <x:f>SUMIFS('350配方'!$M38:$P38,'350配方'!$Y38:$AB38,227)</x:f>
        <x:v>0</x:v>
      </x:c>
      <x:c r="AG38" s="9" t="n">
        <x:f>SUMIFS('350配方'!$M38:$P38,'350配方'!$Y38:$AB38,232)</x:f>
        <x:v>0</x:v>
      </x:c>
      <x:c r="AH38" s="9" t="n">
        <x:f>SUMIFS('350配方'!$M38:$P38,'350配方'!$Y38:$AB38,255)</x:f>
        <x:v>0</x:v>
      </x:c>
      <x:c r="AI38" s="9" t="n">
        <x:f>'浓度设置'!S6</x:f>
        <x:v>219125.9626344086</x:v>
      </x:c>
      <x:c r="AJ38" s="9" t="n">
        <x:f>'浓度设置'!S8</x:f>
        <x:v>92796.92267241378</x:v>
      </x:c>
      <x:c r="AK38" s="9" t="n">
        <x:f>'浓度设置'!S10</x:f>
        <x:v>30556.797802197798</x:v>
      </x:c>
      <x:c r="AL38" s="9" t="n">
        <x:f>'浓度设置'!S12</x:f>
        <x:v>1735.828970588235</x:v>
      </x:c>
      <x:c r="AM38" s="9" t="n">
        <x:f>'浓度设置'!S15</x:f>
        <x:v>7385.813644067793</x:v>
      </x:c>
      <x:c r="AN38" s="9" t="n">
        <x:f>'浓度设置'!S19</x:f>
        <x:v>27722.03097701148</x:v>
      </x:c>
      <x:c r="AO38" s="9" t="n">
        <x:f>'浓度设置'!S22</x:f>
        <x:v>44345.55047619048</x:v>
      </x:c>
      <x:c r="AP38" s="9" t="n">
        <x:f>'浓度设置'!S26</x:f>
        <x:v>153318.30499999996</x:v>
      </x:c>
      <x:c r="AQ38" s="9" t="n">
        <x:f>'浓度设置'!S29</x:f>
        <x:v>312.7970588235294</x:v>
      </x:c>
      <x:c r="AR38" s="9" t="n">
        <x:f>'浓度设置'!S30</x:f>
        <x:v>104175.5097553192</x:v>
      </x:c>
      <x:c r="AS38" s="9" t="n">
        <x:f>'浓度设置'!S35</x:f>
        <x:v>405974.90656785714</x:v>
      </x:c>
    </x:row>
    <x:row r="39" ht="24" customHeight="1">
      <x:c r="A39" s="3" t="str">
        <x:f>'350配方'!A39</x:f>
        <x:v>T034</x:v>
      </x:c>
      <x:c r="B39" s="3" t="str">
        <x:f>'350配方'!B39</x:f>
        <x:v>拟合</x:v>
      </x:c>
      <x:c r="C39" s="3" t="n">
        <x:f>IF(B39="拟合",1,0)</x:f>
        <x:v>1</x:v>
      </x:c>
      <x:c r="D39" s="3" t="n">
        <x:f>'350配方'!AC39</x:f>
        <x:v>1</x:v>
      </x:c>
      <x:c r="E39" s="9" t="n">
        <x:f>SUMIFS('350配方'!$M39:$P39,'350配方'!$Y39:$AB39,7)</x:f>
        <x:v>0</x:v>
      </x:c>
      <x:c r="F39" s="9" t="n">
        <x:f>SUMIFS('350配方'!$M39:$P39,'350配方'!$Y39:$AB39,11)</x:f>
        <x:v>0</x:v>
      </x:c>
      <x:c r="G39" s="9" t="n">
        <x:f>SUMIFS('350配方'!$M39:$P39,'350配方'!$Y39:$AB39,18)</x:f>
        <x:v>0</x:v>
      </x:c>
      <x:c r="H39" s="9" t="n">
        <x:f>SUMIFS('350配方'!$M39:$P39,'350配方'!$Y39:$AB39,32)</x:f>
        <x:v>0</x:v>
      </x:c>
      <x:c r="I39" s="9" t="n">
        <x:f>SUMIFS('350配方'!$M39:$P39,'350配方'!$Y39:$AB39,40)</x:f>
        <x:v>0</x:v>
      </x:c>
      <x:c r="J39" s="9" t="n">
        <x:f>SUMIFS('350配方'!$M39:$P39,'350配方'!$Y39:$AB39,52)</x:f>
        <x:v>0</x:v>
      </x:c>
      <x:c r="K39" s="9" t="n">
        <x:f>SUMIFS('350配方'!$M39:$P39,'350配方'!$Y39:$AB39,53)</x:f>
        <x:v>0</x:v>
      </x:c>
      <x:c r="L39" s="9" t="n">
        <x:f>SUMIFS('350配方'!$M39:$P39,'350配方'!$Y39:$AB39,56)</x:f>
        <x:v>0</x:v>
      </x:c>
      <x:c r="M39" s="9" t="n">
        <x:f>SUMIFS('350配方'!$M39:$P39,'350配方'!$Y39:$AB39,58)</x:f>
        <x:v>0</x:v>
      </x:c>
      <x:c r="N39" s="9" t="n">
        <x:f>SUMIFS('350配方'!$M39:$P39,'350配方'!$Y39:$AB39,61)</x:f>
        <x:v>0</x:v>
      </x:c>
      <x:c r="O39" s="9" t="n">
        <x:f>SUMIFS('350配方'!$M39:$P39,'350配方'!$Y39:$AB39,69)</x:f>
        <x:v>0</x:v>
      </x:c>
      <x:c r="P39" s="9" t="n">
        <x:f>SUMIFS('350配方'!$M39:$P39,'350配方'!$Y39:$AB39,75)</x:f>
        <x:v>1.75</x:v>
      </x:c>
      <x:c r="Q39" s="9" t="n">
        <x:f>SUMIFS('350配方'!$M39:$P39,'350配方'!$Y39:$AB39,79)</x:f>
        <x:v>0</x:v>
      </x:c>
      <x:c r="R39" s="9" t="n">
        <x:f>SUMIFS('350配方'!$M39:$P39,'350配方'!$Y39:$AB39,90)</x:f>
        <x:v>0</x:v>
      </x:c>
      <x:c r="S39" s="9" t="n">
        <x:f>SUMIFS('350配方'!$M39:$P39,'350配方'!$Y39:$AB39,105)</x:f>
        <x:v>0</x:v>
      </x:c>
      <x:c r="T39" s="9" t="n">
        <x:f>SUMIFS('350配方'!$M39:$P39,'350配方'!$Y39:$AB39,111)</x:f>
        <x:v>0</x:v>
      </x:c>
      <x:c r="U39" s="9" t="n">
        <x:f>SUMIFS('350配方'!$M39:$P39,'350配方'!$Y39:$AB39,114)</x:f>
        <x:v>0</x:v>
      </x:c>
      <x:c r="V39" s="9" t="n">
        <x:f>SUMIFS('350配方'!$M39:$P39,'350配方'!$Y39:$AB39,115)</x:f>
        <x:v>0</x:v>
      </x:c>
      <x:c r="W39" s="9" t="n">
        <x:f>SUMIFS('350配方'!$M39:$P39,'350配方'!$Y39:$AB39,117)</x:f>
        <x:v>0</x:v>
      </x:c>
      <x:c r="X39" s="9" t="n">
        <x:f>SUMIFS('350配方'!$M39:$P39,'350配方'!$Y39:$AB39,126)</x:f>
        <x:v>0</x:v>
      </x:c>
      <x:c r="Y39" s="9" t="n">
        <x:f>SUMIFS('350配方'!$M39:$P39,'350配方'!$Y39:$AB39,136)</x:f>
        <x:v>0</x:v>
      </x:c>
      <x:c r="Z39" s="9" t="n">
        <x:f>SUMIFS('350配方'!$M39:$P39,'350配方'!$Y39:$AB39,141)</x:f>
        <x:v>0</x:v>
      </x:c>
      <x:c r="AA39" s="9" t="n">
        <x:f>SUMIFS('350配方'!$M39:$P39,'350配方'!$Y39:$AB39,152)</x:f>
        <x:v>0</x:v>
      </x:c>
      <x:c r="AB39" s="9" t="n">
        <x:f>SUMIFS('350配方'!$M39:$P39,'350配方'!$Y39:$AB39,165)</x:f>
        <x:v>0</x:v>
      </x:c>
      <x:c r="AC39" s="9" t="n">
        <x:f>SUMIFS('350配方'!$M39:$P39,'350配方'!$Y39:$AB39,186)</x:f>
        <x:v>0</x:v>
      </x:c>
      <x:c r="AD39" s="9" t="n">
        <x:f>SUMIFS('350配方'!$M39:$P39,'350配方'!$Y39:$AB39,207)</x:f>
        <x:v>0</x:v>
      </x:c>
      <x:c r="AE39" s="9" t="n">
        <x:f>SUMIFS('350配方'!$M39:$P39,'350配方'!$Y39:$AB39,209)</x:f>
        <x:v>0</x:v>
      </x:c>
      <x:c r="AF39" s="9" t="n">
        <x:f>SUMIFS('350配方'!$M39:$P39,'350配方'!$Y39:$AB39,227)</x:f>
        <x:v>0</x:v>
      </x:c>
      <x:c r="AG39" s="9" t="n">
        <x:f>SUMIFS('350配方'!$M39:$P39,'350配方'!$Y39:$AB39,232)</x:f>
        <x:v>0</x:v>
      </x:c>
      <x:c r="AH39" s="9" t="n">
        <x:f>SUMIFS('350配方'!$M39:$P39,'350配方'!$Y39:$AB39,255)</x:f>
        <x:v>0</x:v>
      </x:c>
      <x:c r="AI39" s="9" t="n">
        <x:f>'浓度设置'!S6</x:f>
        <x:v>219125.9626344086</x:v>
      </x:c>
      <x:c r="AJ39" s="9" t="n">
        <x:f>'浓度设置'!S8</x:f>
        <x:v>92796.92267241378</x:v>
      </x:c>
      <x:c r="AK39" s="9" t="n">
        <x:f>'浓度设置'!S10</x:f>
        <x:v>30556.797802197798</x:v>
      </x:c>
      <x:c r="AL39" s="9" t="n">
        <x:f>'浓度设置'!S12</x:f>
        <x:v>1735.828970588235</x:v>
      </x:c>
      <x:c r="AM39" s="9" t="n">
        <x:f>'浓度设置'!S15</x:f>
        <x:v>7385.813644067793</x:v>
      </x:c>
      <x:c r="AN39" s="9" t="n">
        <x:f>'浓度设置'!S19</x:f>
        <x:v>27722.03097701148</x:v>
      </x:c>
      <x:c r="AO39" s="9" t="n">
        <x:f>'浓度设置'!S22</x:f>
        <x:v>44345.55047619048</x:v>
      </x:c>
      <x:c r="AP39" s="9" t="n">
        <x:f>'浓度设置'!S26</x:f>
        <x:v>153318.30499999996</x:v>
      </x:c>
      <x:c r="AQ39" s="9" t="n">
        <x:f>'浓度设置'!S29</x:f>
        <x:v>312.7970588235294</x:v>
      </x:c>
      <x:c r="AR39" s="9" t="n">
        <x:f>'浓度设置'!S30</x:f>
        <x:v>104175.5097553192</x:v>
      </x:c>
      <x:c r="AS39" s="9" t="n">
        <x:f>'浓度设置'!S35</x:f>
        <x:v>405974.90656785714</x:v>
      </x:c>
    </x:row>
    <x:row r="40" ht="24" customHeight="1">
      <x:c r="A40" s="3" t="str">
        <x:f>'350配方'!A40</x:f>
        <x:v>T035</x:v>
      </x:c>
      <x:c r="B40" s="3" t="str">
        <x:f>'350配方'!B40</x:f>
        <x:v>拟合</x:v>
      </x:c>
      <x:c r="C40" s="3" t="n">
        <x:f>IF(B40="拟合",1,0)</x:f>
        <x:v>1</x:v>
      </x:c>
      <x:c r="D40" s="3" t="n">
        <x:f>'350配方'!AC40</x:f>
        <x:v>1</x:v>
      </x:c>
      <x:c r="E40" s="9" t="n">
        <x:f>SUMIFS('350配方'!$M40:$P40,'350配方'!$Y40:$AB40,7)</x:f>
        <x:v>0</x:v>
      </x:c>
      <x:c r="F40" s="9" t="n">
        <x:f>SUMIFS('350配方'!$M40:$P40,'350配方'!$Y40:$AB40,11)</x:f>
        <x:v>0</x:v>
      </x:c>
      <x:c r="G40" s="9" t="n">
        <x:f>SUMIFS('350配方'!$M40:$P40,'350配方'!$Y40:$AB40,18)</x:f>
        <x:v>0</x:v>
      </x:c>
      <x:c r="H40" s="9" t="n">
        <x:f>SUMIFS('350配方'!$M40:$P40,'350配方'!$Y40:$AB40,32)</x:f>
        <x:v>0</x:v>
      </x:c>
      <x:c r="I40" s="9" t="n">
        <x:f>SUMIFS('350配方'!$M40:$P40,'350配方'!$Y40:$AB40,40)</x:f>
        <x:v>0</x:v>
      </x:c>
      <x:c r="J40" s="9" t="n">
        <x:f>SUMIFS('350配方'!$M40:$P40,'350配方'!$Y40:$AB40,52)</x:f>
        <x:v>0</x:v>
      </x:c>
      <x:c r="K40" s="9" t="n">
        <x:f>SUMIFS('350配方'!$M40:$P40,'350配方'!$Y40:$AB40,53)</x:f>
        <x:v>0</x:v>
      </x:c>
      <x:c r="L40" s="9" t="n">
        <x:f>SUMIFS('350配方'!$M40:$P40,'350配方'!$Y40:$AB40,56)</x:f>
        <x:v>0</x:v>
      </x:c>
      <x:c r="M40" s="9" t="n">
        <x:f>SUMIFS('350配方'!$M40:$P40,'350配方'!$Y40:$AB40,58)</x:f>
        <x:v>0</x:v>
      </x:c>
      <x:c r="N40" s="9" t="n">
        <x:f>SUMIFS('350配方'!$M40:$P40,'350配方'!$Y40:$AB40,61)</x:f>
        <x:v>0</x:v>
      </x:c>
      <x:c r="O40" s="9" t="n">
        <x:f>SUMIFS('350配方'!$M40:$P40,'350配方'!$Y40:$AB40,69)</x:f>
        <x:v>0</x:v>
      </x:c>
      <x:c r="P40" s="9" t="n">
        <x:f>SUMIFS('350配方'!$M40:$P40,'350配方'!$Y40:$AB40,75)</x:f>
        <x:v>331.2476415010377</x:v>
      </x:c>
      <x:c r="Q40" s="9" t="n">
        <x:f>SUMIFS('350配方'!$M40:$P40,'350配方'!$Y40:$AB40,79)</x:f>
        <x:v>0</x:v>
      </x:c>
      <x:c r="R40" s="9" t="n">
        <x:f>SUMIFS('350配方'!$M40:$P40,'350配方'!$Y40:$AB40,90)</x:f>
        <x:v>0</x:v>
      </x:c>
      <x:c r="S40" s="9" t="n">
        <x:f>SUMIFS('350配方'!$M40:$P40,'350配方'!$Y40:$AB40,105)</x:f>
        <x:v>0</x:v>
      </x:c>
      <x:c r="T40" s="9" t="n">
        <x:f>SUMIFS('350配方'!$M40:$P40,'350配方'!$Y40:$AB40,111)</x:f>
        <x:v>0</x:v>
      </x:c>
      <x:c r="U40" s="9" t="n">
        <x:f>SUMIFS('350配方'!$M40:$P40,'350配方'!$Y40:$AB40,114)</x:f>
        <x:v>0</x:v>
      </x:c>
      <x:c r="V40" s="9" t="n">
        <x:f>SUMIFS('350配方'!$M40:$P40,'350配方'!$Y40:$AB40,115)</x:f>
        <x:v>0</x:v>
      </x:c>
      <x:c r="W40" s="9" t="n">
        <x:f>SUMIFS('350配方'!$M40:$P40,'350配方'!$Y40:$AB40,117)</x:f>
        <x:v>0</x:v>
      </x:c>
      <x:c r="X40" s="9" t="n">
        <x:f>SUMIFS('350配方'!$M40:$P40,'350配方'!$Y40:$AB40,126)</x:f>
        <x:v>0</x:v>
      </x:c>
      <x:c r="Y40" s="9" t="n">
        <x:f>SUMIFS('350配方'!$M40:$P40,'350配方'!$Y40:$AB40,136)</x:f>
        <x:v>0</x:v>
      </x:c>
      <x:c r="Z40" s="9" t="n">
        <x:f>SUMIFS('350配方'!$M40:$P40,'350配方'!$Y40:$AB40,141)</x:f>
        <x:v>0</x:v>
      </x:c>
      <x:c r="AA40" s="9" t="n">
        <x:f>SUMIFS('350配方'!$M40:$P40,'350配方'!$Y40:$AB40,152)</x:f>
        <x:v>0</x:v>
      </x:c>
      <x:c r="AB40" s="9" t="n">
        <x:f>SUMIFS('350配方'!$M40:$P40,'350配方'!$Y40:$AB40,165)</x:f>
        <x:v>0</x:v>
      </x:c>
      <x:c r="AC40" s="9" t="n">
        <x:f>SUMIFS('350配方'!$M40:$P40,'350配方'!$Y40:$AB40,186)</x:f>
        <x:v>0</x:v>
      </x:c>
      <x:c r="AD40" s="9" t="n">
        <x:f>SUMIFS('350配方'!$M40:$P40,'350配方'!$Y40:$AB40,207)</x:f>
        <x:v>0</x:v>
      </x:c>
      <x:c r="AE40" s="9" t="n">
        <x:f>SUMIFS('350配方'!$M40:$P40,'350配方'!$Y40:$AB40,209)</x:f>
        <x:v>0</x:v>
      </x:c>
      <x:c r="AF40" s="9" t="n">
        <x:f>SUMIFS('350配方'!$M40:$P40,'350配方'!$Y40:$AB40,227)</x:f>
        <x:v>0</x:v>
      </x:c>
      <x:c r="AG40" s="9" t="n">
        <x:f>SUMIFS('350配方'!$M40:$P40,'350配方'!$Y40:$AB40,232)</x:f>
        <x:v>0</x:v>
      </x:c>
      <x:c r="AH40" s="9" t="n">
        <x:f>SUMIFS('350配方'!$M40:$P40,'350配方'!$Y40:$AB40,255)</x:f>
        <x:v>0</x:v>
      </x:c>
      <x:c r="AI40" s="9" t="n">
        <x:f>'浓度设置'!S6</x:f>
        <x:v>219125.9626344086</x:v>
      </x:c>
      <x:c r="AJ40" s="9" t="n">
        <x:f>'浓度设置'!S8</x:f>
        <x:v>92796.92267241378</x:v>
      </x:c>
      <x:c r="AK40" s="9" t="n">
        <x:f>'浓度设置'!S10</x:f>
        <x:v>30556.797802197798</x:v>
      </x:c>
      <x:c r="AL40" s="9" t="n">
        <x:f>'浓度设置'!S12</x:f>
        <x:v>1735.828970588235</x:v>
      </x:c>
      <x:c r="AM40" s="9" t="n">
        <x:f>'浓度设置'!S15</x:f>
        <x:v>7385.813644067793</x:v>
      </x:c>
      <x:c r="AN40" s="9" t="n">
        <x:f>'浓度设置'!S19</x:f>
        <x:v>27722.03097701148</x:v>
      </x:c>
      <x:c r="AO40" s="9" t="n">
        <x:f>'浓度设置'!S22</x:f>
        <x:v>44345.55047619048</x:v>
      </x:c>
      <x:c r="AP40" s="9" t="n">
        <x:f>'浓度设置'!S26</x:f>
        <x:v>153318.30499999996</x:v>
      </x:c>
      <x:c r="AQ40" s="9" t="n">
        <x:f>'浓度设置'!S29</x:f>
        <x:v>312.7970588235294</x:v>
      </x:c>
      <x:c r="AR40" s="9" t="n">
        <x:f>'浓度设置'!S30</x:f>
        <x:v>104175.5097553192</x:v>
      </x:c>
      <x:c r="AS40" s="9" t="n">
        <x:f>'浓度设置'!S35</x:f>
        <x:v>405974.90656785714</x:v>
      </x:c>
    </x:row>
    <x:row r="41" ht="24" customHeight="1">
      <x:c r="A41" s="3" t="str">
        <x:f>'350配方'!A41</x:f>
        <x:v>T036</x:v>
      </x:c>
      <x:c r="B41" s="3" t="str">
        <x:f>'350配方'!B41</x:f>
        <x:v>拟合</x:v>
      </x:c>
      <x:c r="C41" s="3" t="n">
        <x:f>IF(B41="拟合",1,0)</x:f>
        <x:v>1</x:v>
      </x:c>
      <x:c r="D41" s="3" t="n">
        <x:f>'350配方'!AC41</x:f>
        <x:v>1</x:v>
      </x:c>
      <x:c r="E41" s="9" t="n">
        <x:f>SUMIFS('350配方'!$M41:$P41,'350配方'!$Y41:$AB41,7)</x:f>
        <x:v>0</x:v>
      </x:c>
      <x:c r="F41" s="9" t="n">
        <x:f>SUMIFS('350配方'!$M41:$P41,'350配方'!$Y41:$AB41,11)</x:f>
        <x:v>0</x:v>
      </x:c>
      <x:c r="G41" s="9" t="n">
        <x:f>SUMIFS('350配方'!$M41:$P41,'350配方'!$Y41:$AB41,18)</x:f>
        <x:v>0</x:v>
      </x:c>
      <x:c r="H41" s="9" t="n">
        <x:f>SUMIFS('350配方'!$M41:$P41,'350配方'!$Y41:$AB41,32)</x:f>
        <x:v>0</x:v>
      </x:c>
      <x:c r="I41" s="9" t="n">
        <x:f>SUMIFS('350配方'!$M41:$P41,'350配方'!$Y41:$AB41,40)</x:f>
        <x:v>0</x:v>
      </x:c>
      <x:c r="J41" s="9" t="n">
        <x:f>SUMIFS('350配方'!$M41:$P41,'350配方'!$Y41:$AB41,52)</x:f>
        <x:v>0</x:v>
      </x:c>
      <x:c r="K41" s="9" t="n">
        <x:f>SUMIFS('350配方'!$M41:$P41,'350配方'!$Y41:$AB41,53)</x:f>
        <x:v>0</x:v>
      </x:c>
      <x:c r="L41" s="9" t="n">
        <x:f>SUMIFS('350配方'!$M41:$P41,'350配方'!$Y41:$AB41,56)</x:f>
        <x:v>0</x:v>
      </x:c>
      <x:c r="M41" s="9" t="n">
        <x:f>SUMIFS('350配方'!$M41:$P41,'350配方'!$Y41:$AB41,58)</x:f>
        <x:v>0</x:v>
      </x:c>
      <x:c r="N41" s="9" t="n">
        <x:f>SUMIFS('350配方'!$M41:$P41,'350配方'!$Y41:$AB41,61)</x:f>
        <x:v>0</x:v>
      </x:c>
      <x:c r="O41" s="9" t="n">
        <x:f>SUMIFS('350配方'!$M41:$P41,'350配方'!$Y41:$AB41,69)</x:f>
        <x:v>0</x:v>
      </x:c>
      <x:c r="P41" s="9" t="n">
        <x:f>SUMIFS('350配方'!$M41:$P41,'350配方'!$Y41:$AB41,75)</x:f>
        <x:v>62700</x:v>
      </x:c>
      <x:c r="Q41" s="9" t="n">
        <x:f>SUMIFS('350配方'!$M41:$P41,'350配方'!$Y41:$AB41,79)</x:f>
        <x:v>0</x:v>
      </x:c>
      <x:c r="R41" s="9" t="n">
        <x:f>SUMIFS('350配方'!$M41:$P41,'350配方'!$Y41:$AB41,90)</x:f>
        <x:v>0</x:v>
      </x:c>
      <x:c r="S41" s="9" t="n">
        <x:f>SUMIFS('350配方'!$M41:$P41,'350配方'!$Y41:$AB41,105)</x:f>
        <x:v>0</x:v>
      </x:c>
      <x:c r="T41" s="9" t="n">
        <x:f>SUMIFS('350配方'!$M41:$P41,'350配方'!$Y41:$AB41,111)</x:f>
        <x:v>0</x:v>
      </x:c>
      <x:c r="U41" s="9" t="n">
        <x:f>SUMIFS('350配方'!$M41:$P41,'350配方'!$Y41:$AB41,114)</x:f>
        <x:v>0</x:v>
      </x:c>
      <x:c r="V41" s="9" t="n">
        <x:f>SUMIFS('350配方'!$M41:$P41,'350配方'!$Y41:$AB41,115)</x:f>
        <x:v>0</x:v>
      </x:c>
      <x:c r="W41" s="9" t="n">
        <x:f>SUMIFS('350配方'!$M41:$P41,'350配方'!$Y41:$AB41,117)</x:f>
        <x:v>0</x:v>
      </x:c>
      <x:c r="X41" s="9" t="n">
        <x:f>SUMIFS('350配方'!$M41:$P41,'350配方'!$Y41:$AB41,126)</x:f>
        <x:v>0</x:v>
      </x:c>
      <x:c r="Y41" s="9" t="n">
        <x:f>SUMIFS('350配方'!$M41:$P41,'350配方'!$Y41:$AB41,136)</x:f>
        <x:v>0</x:v>
      </x:c>
      <x:c r="Z41" s="9" t="n">
        <x:f>SUMIFS('350配方'!$M41:$P41,'350配方'!$Y41:$AB41,141)</x:f>
        <x:v>0</x:v>
      </x:c>
      <x:c r="AA41" s="9" t="n">
        <x:f>SUMIFS('350配方'!$M41:$P41,'350配方'!$Y41:$AB41,152)</x:f>
        <x:v>0</x:v>
      </x:c>
      <x:c r="AB41" s="9" t="n">
        <x:f>SUMIFS('350配方'!$M41:$P41,'350配方'!$Y41:$AB41,165)</x:f>
        <x:v>0</x:v>
      </x:c>
      <x:c r="AC41" s="9" t="n">
        <x:f>SUMIFS('350配方'!$M41:$P41,'350配方'!$Y41:$AB41,186)</x:f>
        <x:v>0</x:v>
      </x:c>
      <x:c r="AD41" s="9" t="n">
        <x:f>SUMIFS('350配方'!$M41:$P41,'350配方'!$Y41:$AB41,207)</x:f>
        <x:v>0</x:v>
      </x:c>
      <x:c r="AE41" s="9" t="n">
        <x:f>SUMIFS('350配方'!$M41:$P41,'350配方'!$Y41:$AB41,209)</x:f>
        <x:v>0</x:v>
      </x:c>
      <x:c r="AF41" s="9" t="n">
        <x:f>SUMIFS('350配方'!$M41:$P41,'350配方'!$Y41:$AB41,227)</x:f>
        <x:v>0</x:v>
      </x:c>
      <x:c r="AG41" s="9" t="n">
        <x:f>SUMIFS('350配方'!$M41:$P41,'350配方'!$Y41:$AB41,232)</x:f>
        <x:v>0</x:v>
      </x:c>
      <x:c r="AH41" s="9" t="n">
        <x:f>SUMIFS('350配方'!$M41:$P41,'350配方'!$Y41:$AB41,255)</x:f>
        <x:v>0</x:v>
      </x:c>
      <x:c r="AI41" s="9" t="n">
        <x:f>'浓度设置'!S6</x:f>
        <x:v>219125.9626344086</x:v>
      </x:c>
      <x:c r="AJ41" s="9" t="n">
        <x:f>'浓度设置'!S8</x:f>
        <x:v>92796.92267241378</x:v>
      </x:c>
      <x:c r="AK41" s="9" t="n">
        <x:f>'浓度设置'!S10</x:f>
        <x:v>30556.797802197798</x:v>
      </x:c>
      <x:c r="AL41" s="9" t="n">
        <x:f>'浓度设置'!S12</x:f>
        <x:v>1735.828970588235</x:v>
      </x:c>
      <x:c r="AM41" s="9" t="n">
        <x:f>'浓度设置'!S15</x:f>
        <x:v>7385.813644067793</x:v>
      </x:c>
      <x:c r="AN41" s="9" t="n">
        <x:f>'浓度设置'!S19</x:f>
        <x:v>27722.03097701148</x:v>
      </x:c>
      <x:c r="AO41" s="9" t="n">
        <x:f>'浓度设置'!S22</x:f>
        <x:v>44345.55047619048</x:v>
      </x:c>
      <x:c r="AP41" s="9" t="n">
        <x:f>'浓度设置'!S26</x:f>
        <x:v>153318.30499999996</x:v>
      </x:c>
      <x:c r="AQ41" s="9" t="n">
        <x:f>'浓度设置'!S29</x:f>
        <x:v>312.7970588235294</x:v>
      </x:c>
      <x:c r="AR41" s="9" t="n">
        <x:f>'浓度设置'!S30</x:f>
        <x:v>104175.5097553192</x:v>
      </x:c>
      <x:c r="AS41" s="9" t="n">
        <x:f>'浓度设置'!S35</x:f>
        <x:v>405974.90656785714</x:v>
      </x:c>
    </x:row>
    <x:row r="42" ht="24" customHeight="1">
      <x:c r="A42" s="3" t="str">
        <x:f>'350配方'!A42</x:f>
        <x:v>T037</x:v>
      </x:c>
      <x:c r="B42" s="3" t="str">
        <x:f>'350配方'!B42</x:f>
        <x:v>拟合</x:v>
      </x:c>
      <x:c r="C42" s="3" t="n">
        <x:f>IF(B42="拟合",1,0)</x:f>
        <x:v>1</x:v>
      </x:c>
      <x:c r="D42" s="3" t="n">
        <x:f>'350配方'!AC42</x:f>
        <x:v>1</x:v>
      </x:c>
      <x:c r="E42" s="9" t="n">
        <x:f>SUMIFS('350配方'!$M42:$P42,'350配方'!$Y42:$AB42,7)</x:f>
        <x:v>0</x:v>
      </x:c>
      <x:c r="F42" s="9" t="n">
        <x:f>SUMIFS('350配方'!$M42:$P42,'350配方'!$Y42:$AB42,11)</x:f>
        <x:v>0</x:v>
      </x:c>
      <x:c r="G42" s="9" t="n">
        <x:f>SUMIFS('350配方'!$M42:$P42,'350配方'!$Y42:$AB42,18)</x:f>
        <x:v>0</x:v>
      </x:c>
      <x:c r="H42" s="9" t="n">
        <x:f>SUMIFS('350配方'!$M42:$P42,'350配方'!$Y42:$AB42,32)</x:f>
        <x:v>0</x:v>
      </x:c>
      <x:c r="I42" s="9" t="n">
        <x:f>SUMIFS('350配方'!$M42:$P42,'350配方'!$Y42:$AB42,40)</x:f>
        <x:v>0</x:v>
      </x:c>
      <x:c r="J42" s="9" t="n">
        <x:f>SUMIFS('350配方'!$M42:$P42,'350配方'!$Y42:$AB42,52)</x:f>
        <x:v>0</x:v>
      </x:c>
      <x:c r="K42" s="9" t="n">
        <x:f>SUMIFS('350配方'!$M42:$P42,'350配方'!$Y42:$AB42,53)</x:f>
        <x:v>0</x:v>
      </x:c>
      <x:c r="L42" s="9" t="n">
        <x:f>SUMIFS('350配方'!$M42:$P42,'350配方'!$Y42:$AB42,56)</x:f>
        <x:v>0</x:v>
      </x:c>
      <x:c r="M42" s="9" t="n">
        <x:f>SUMIFS('350配方'!$M42:$P42,'350配方'!$Y42:$AB42,58)</x:f>
        <x:v>0</x:v>
      </x:c>
      <x:c r="N42" s="9" t="n">
        <x:f>SUMIFS('350配方'!$M42:$P42,'350配方'!$Y42:$AB42,61)</x:f>
        <x:v>0</x:v>
      </x:c>
      <x:c r="O42" s="9" t="n">
        <x:f>SUMIFS('350配方'!$M42:$P42,'350配方'!$Y42:$AB42,69)</x:f>
        <x:v>0</x:v>
      </x:c>
      <x:c r="P42" s="9" t="n">
        <x:f>SUMIFS('350配方'!$M42:$P42,'350配方'!$Y42:$AB42,75)</x:f>
        <x:v>0</x:v>
      </x:c>
      <x:c r="Q42" s="9" t="n">
        <x:f>SUMIFS('350配方'!$M42:$P42,'350配方'!$Y42:$AB42,79)</x:f>
        <x:v>1288.255</x:v>
      </x:c>
      <x:c r="R42" s="9" t="n">
        <x:f>SUMIFS('350配方'!$M42:$P42,'350配方'!$Y42:$AB42,90)</x:f>
        <x:v>0</x:v>
      </x:c>
      <x:c r="S42" s="9" t="n">
        <x:f>SUMIFS('350配方'!$M42:$P42,'350配方'!$Y42:$AB42,105)</x:f>
        <x:v>0</x:v>
      </x:c>
      <x:c r="T42" s="9" t="n">
        <x:f>SUMIFS('350配方'!$M42:$P42,'350配方'!$Y42:$AB42,111)</x:f>
        <x:v>0</x:v>
      </x:c>
      <x:c r="U42" s="9" t="n">
        <x:f>SUMIFS('350配方'!$M42:$P42,'350配方'!$Y42:$AB42,114)</x:f>
        <x:v>0</x:v>
      </x:c>
      <x:c r="V42" s="9" t="n">
        <x:f>SUMIFS('350配方'!$M42:$P42,'350配方'!$Y42:$AB42,115)</x:f>
        <x:v>0</x:v>
      </x:c>
      <x:c r="W42" s="9" t="n">
        <x:f>SUMIFS('350配方'!$M42:$P42,'350配方'!$Y42:$AB42,117)</x:f>
        <x:v>0</x:v>
      </x:c>
      <x:c r="X42" s="9" t="n">
        <x:f>SUMIFS('350配方'!$M42:$P42,'350配方'!$Y42:$AB42,126)</x:f>
        <x:v>0</x:v>
      </x:c>
      <x:c r="Y42" s="9" t="n">
        <x:f>SUMIFS('350配方'!$M42:$P42,'350配方'!$Y42:$AB42,136)</x:f>
        <x:v>0</x:v>
      </x:c>
      <x:c r="Z42" s="9" t="n">
        <x:f>SUMIFS('350配方'!$M42:$P42,'350配方'!$Y42:$AB42,141)</x:f>
        <x:v>0</x:v>
      </x:c>
      <x:c r="AA42" s="9" t="n">
        <x:f>SUMIFS('350配方'!$M42:$P42,'350配方'!$Y42:$AB42,152)</x:f>
        <x:v>0</x:v>
      </x:c>
      <x:c r="AB42" s="9" t="n">
        <x:f>SUMIFS('350配方'!$M42:$P42,'350配方'!$Y42:$AB42,165)</x:f>
        <x:v>0</x:v>
      </x:c>
      <x:c r="AC42" s="9" t="n">
        <x:f>SUMIFS('350配方'!$M42:$P42,'350配方'!$Y42:$AB42,186)</x:f>
        <x:v>0</x:v>
      </x:c>
      <x:c r="AD42" s="9" t="n">
        <x:f>SUMIFS('350配方'!$M42:$P42,'350配方'!$Y42:$AB42,207)</x:f>
        <x:v>0</x:v>
      </x:c>
      <x:c r="AE42" s="9" t="n">
        <x:f>SUMIFS('350配方'!$M42:$P42,'350配方'!$Y42:$AB42,209)</x:f>
        <x:v>0</x:v>
      </x:c>
      <x:c r="AF42" s="9" t="n">
        <x:f>SUMIFS('350配方'!$M42:$P42,'350配方'!$Y42:$AB42,227)</x:f>
        <x:v>0</x:v>
      </x:c>
      <x:c r="AG42" s="9" t="n">
        <x:f>SUMIFS('350配方'!$M42:$P42,'350配方'!$Y42:$AB42,232)</x:f>
        <x:v>0</x:v>
      </x:c>
      <x:c r="AH42" s="9" t="n">
        <x:f>SUMIFS('350配方'!$M42:$P42,'350配方'!$Y42:$AB42,255)</x:f>
        <x:v>0</x:v>
      </x:c>
      <x:c r="AI42" s="9" t="n">
        <x:f>'浓度设置'!S6</x:f>
        <x:v>219125.9626344086</x:v>
      </x:c>
      <x:c r="AJ42" s="9" t="n">
        <x:f>'浓度设置'!S8</x:f>
        <x:v>92796.92267241378</x:v>
      </x:c>
      <x:c r="AK42" s="9" t="n">
        <x:f>'浓度设置'!S10</x:f>
        <x:v>30556.797802197798</x:v>
      </x:c>
      <x:c r="AL42" s="9" t="n">
        <x:f>'浓度设置'!S12</x:f>
        <x:v>1735.828970588235</x:v>
      </x:c>
      <x:c r="AM42" s="9" t="n">
        <x:f>'浓度设置'!S15</x:f>
        <x:v>7385.813644067793</x:v>
      </x:c>
      <x:c r="AN42" s="9" t="n">
        <x:f>'浓度设置'!S19</x:f>
        <x:v>27722.03097701148</x:v>
      </x:c>
      <x:c r="AO42" s="9" t="n">
        <x:f>'浓度设置'!S22</x:f>
        <x:v>44345.55047619048</x:v>
      </x:c>
      <x:c r="AP42" s="9" t="n">
        <x:f>'浓度设置'!S26</x:f>
        <x:v>153318.30499999996</x:v>
      </x:c>
      <x:c r="AQ42" s="9" t="n">
        <x:f>'浓度设置'!S29</x:f>
        <x:v>312.7970588235294</x:v>
      </x:c>
      <x:c r="AR42" s="9" t="n">
        <x:f>'浓度设置'!S30</x:f>
        <x:v>104175.5097553192</x:v>
      </x:c>
      <x:c r="AS42" s="9" t="n">
        <x:f>'浓度设置'!S35</x:f>
        <x:v>405974.90656785714</x:v>
      </x:c>
    </x:row>
    <x:row r="43" ht="24" customHeight="1">
      <x:c r="A43" s="3" t="str">
        <x:f>'350配方'!A43</x:f>
        <x:v>T038</x:v>
      </x:c>
      <x:c r="B43" s="3" t="str">
        <x:f>'350配方'!B43</x:f>
        <x:v>拟合</x:v>
      </x:c>
      <x:c r="C43" s="3" t="n">
        <x:f>IF(B43="拟合",1,0)</x:f>
        <x:v>1</x:v>
      </x:c>
      <x:c r="D43" s="3" t="n">
        <x:f>'350配方'!AC43</x:f>
        <x:v>1</x:v>
      </x:c>
      <x:c r="E43" s="9" t="n">
        <x:f>SUMIFS('350配方'!$M43:$P43,'350配方'!$Y43:$AB43,7)</x:f>
        <x:v>0</x:v>
      </x:c>
      <x:c r="F43" s="9" t="n">
        <x:f>SUMIFS('350配方'!$M43:$P43,'350配方'!$Y43:$AB43,11)</x:f>
        <x:v>0</x:v>
      </x:c>
      <x:c r="G43" s="9" t="n">
        <x:f>SUMIFS('350配方'!$M43:$P43,'350配方'!$Y43:$AB43,18)</x:f>
        <x:v>0</x:v>
      </x:c>
      <x:c r="H43" s="9" t="n">
        <x:f>SUMIFS('350配方'!$M43:$P43,'350配方'!$Y43:$AB43,32)</x:f>
        <x:v>0</x:v>
      </x:c>
      <x:c r="I43" s="9" t="n">
        <x:f>SUMIFS('350配方'!$M43:$P43,'350配方'!$Y43:$AB43,40)</x:f>
        <x:v>0</x:v>
      </x:c>
      <x:c r="J43" s="9" t="n">
        <x:f>SUMIFS('350配方'!$M43:$P43,'350配方'!$Y43:$AB43,52)</x:f>
        <x:v>0</x:v>
      </x:c>
      <x:c r="K43" s="9" t="n">
        <x:f>SUMIFS('350配方'!$M43:$P43,'350配方'!$Y43:$AB43,53)</x:f>
        <x:v>0</x:v>
      </x:c>
      <x:c r="L43" s="9" t="n">
        <x:f>SUMIFS('350配方'!$M43:$P43,'350配方'!$Y43:$AB43,56)</x:f>
        <x:v>0</x:v>
      </x:c>
      <x:c r="M43" s="9" t="n">
        <x:f>SUMIFS('350配方'!$M43:$P43,'350配方'!$Y43:$AB43,58)</x:f>
        <x:v>0</x:v>
      </x:c>
      <x:c r="N43" s="9" t="n">
        <x:f>SUMIFS('350配方'!$M43:$P43,'350配方'!$Y43:$AB43,61)</x:f>
        <x:v>0</x:v>
      </x:c>
      <x:c r="O43" s="9" t="n">
        <x:f>SUMIFS('350配方'!$M43:$P43,'350配方'!$Y43:$AB43,69)</x:f>
        <x:v>0</x:v>
      </x:c>
      <x:c r="P43" s="9" t="n">
        <x:f>SUMIFS('350配方'!$M43:$P43,'350配方'!$Y43:$AB43,75)</x:f>
        <x:v>0</x:v>
      </x:c>
      <x:c r="Q43" s="9" t="n">
        <x:f>SUMIFS('350配方'!$M43:$P43,'350配方'!$Y43:$AB43,79)</x:f>
        <x:v>56115</x:v>
      </x:c>
      <x:c r="R43" s="9" t="n">
        <x:f>SUMIFS('350配方'!$M43:$P43,'350配方'!$Y43:$AB43,90)</x:f>
        <x:v>0</x:v>
      </x:c>
      <x:c r="S43" s="9" t="n">
        <x:f>SUMIFS('350配方'!$M43:$P43,'350配方'!$Y43:$AB43,105)</x:f>
        <x:v>0</x:v>
      </x:c>
      <x:c r="T43" s="9" t="n">
        <x:f>SUMIFS('350配方'!$M43:$P43,'350配方'!$Y43:$AB43,111)</x:f>
        <x:v>0</x:v>
      </x:c>
      <x:c r="U43" s="9" t="n">
        <x:f>SUMIFS('350配方'!$M43:$P43,'350配方'!$Y43:$AB43,114)</x:f>
        <x:v>0</x:v>
      </x:c>
      <x:c r="V43" s="9" t="n">
        <x:f>SUMIFS('350配方'!$M43:$P43,'350配方'!$Y43:$AB43,115)</x:f>
        <x:v>0</x:v>
      </x:c>
      <x:c r="W43" s="9" t="n">
        <x:f>SUMIFS('350配方'!$M43:$P43,'350配方'!$Y43:$AB43,117)</x:f>
        <x:v>0</x:v>
      </x:c>
      <x:c r="X43" s="9" t="n">
        <x:f>SUMIFS('350配方'!$M43:$P43,'350配方'!$Y43:$AB43,126)</x:f>
        <x:v>0</x:v>
      </x:c>
      <x:c r="Y43" s="9" t="n">
        <x:f>SUMIFS('350配方'!$M43:$P43,'350配方'!$Y43:$AB43,136)</x:f>
        <x:v>0</x:v>
      </x:c>
      <x:c r="Z43" s="9" t="n">
        <x:f>SUMIFS('350配方'!$M43:$P43,'350配方'!$Y43:$AB43,141)</x:f>
        <x:v>0</x:v>
      </x:c>
      <x:c r="AA43" s="9" t="n">
        <x:f>SUMIFS('350配方'!$M43:$P43,'350配方'!$Y43:$AB43,152)</x:f>
        <x:v>0</x:v>
      </x:c>
      <x:c r="AB43" s="9" t="n">
        <x:f>SUMIFS('350配方'!$M43:$P43,'350配方'!$Y43:$AB43,165)</x:f>
        <x:v>0</x:v>
      </x:c>
      <x:c r="AC43" s="9" t="n">
        <x:f>SUMIFS('350配方'!$M43:$P43,'350配方'!$Y43:$AB43,186)</x:f>
        <x:v>0</x:v>
      </x:c>
      <x:c r="AD43" s="9" t="n">
        <x:f>SUMIFS('350配方'!$M43:$P43,'350配方'!$Y43:$AB43,207)</x:f>
        <x:v>0</x:v>
      </x:c>
      <x:c r="AE43" s="9" t="n">
        <x:f>SUMIFS('350配方'!$M43:$P43,'350配方'!$Y43:$AB43,209)</x:f>
        <x:v>0</x:v>
      </x:c>
      <x:c r="AF43" s="9" t="n">
        <x:f>SUMIFS('350配方'!$M43:$P43,'350配方'!$Y43:$AB43,227)</x:f>
        <x:v>0</x:v>
      </x:c>
      <x:c r="AG43" s="9" t="n">
        <x:f>SUMIFS('350配方'!$M43:$P43,'350配方'!$Y43:$AB43,232)</x:f>
        <x:v>0</x:v>
      </x:c>
      <x:c r="AH43" s="9" t="n">
        <x:f>SUMIFS('350配方'!$M43:$P43,'350配方'!$Y43:$AB43,255)</x:f>
        <x:v>0</x:v>
      </x:c>
      <x:c r="AI43" s="9" t="n">
        <x:f>'浓度设置'!S6</x:f>
        <x:v>219125.9626344086</x:v>
      </x:c>
      <x:c r="AJ43" s="9" t="n">
        <x:f>'浓度设置'!S8</x:f>
        <x:v>92796.92267241378</x:v>
      </x:c>
      <x:c r="AK43" s="9" t="n">
        <x:f>'浓度设置'!S10</x:f>
        <x:v>30556.797802197798</x:v>
      </x:c>
      <x:c r="AL43" s="9" t="n">
        <x:f>'浓度设置'!S12</x:f>
        <x:v>1735.828970588235</x:v>
      </x:c>
      <x:c r="AM43" s="9" t="n">
        <x:f>'浓度设置'!S15</x:f>
        <x:v>7385.813644067793</x:v>
      </x:c>
      <x:c r="AN43" s="9" t="n">
        <x:f>'浓度设置'!S19</x:f>
        <x:v>27722.03097701148</x:v>
      </x:c>
      <x:c r="AO43" s="9" t="n">
        <x:f>'浓度设置'!S22</x:f>
        <x:v>44345.55047619048</x:v>
      </x:c>
      <x:c r="AP43" s="9" t="n">
        <x:f>'浓度设置'!S26</x:f>
        <x:v>153318.30499999996</x:v>
      </x:c>
      <x:c r="AQ43" s="9" t="n">
        <x:f>'浓度设置'!S29</x:f>
        <x:v>312.7970588235294</x:v>
      </x:c>
      <x:c r="AR43" s="9" t="n">
        <x:f>'浓度设置'!S30</x:f>
        <x:v>104175.5097553192</x:v>
      </x:c>
      <x:c r="AS43" s="9" t="n">
        <x:f>'浓度设置'!S35</x:f>
        <x:v>405974.90656785714</x:v>
      </x:c>
    </x:row>
    <x:row r="44" ht="24" customHeight="1">
      <x:c r="A44" s="3" t="str">
        <x:f>'350配方'!A44</x:f>
        <x:v>T039</x:v>
      </x:c>
      <x:c r="B44" s="3" t="str">
        <x:f>'350配方'!B44</x:f>
        <x:v>拟合</x:v>
      </x:c>
      <x:c r="C44" s="3" t="n">
        <x:f>IF(B44="拟合",1,0)</x:f>
        <x:v>1</x:v>
      </x:c>
      <x:c r="D44" s="3" t="n">
        <x:f>'350配方'!AC44</x:f>
        <x:v>1</x:v>
      </x:c>
      <x:c r="E44" s="9" t="n">
        <x:f>SUMIFS('350配方'!$M44:$P44,'350配方'!$Y44:$AB44,7)</x:f>
        <x:v>0</x:v>
      </x:c>
      <x:c r="F44" s="9" t="n">
        <x:f>SUMIFS('350配方'!$M44:$P44,'350配方'!$Y44:$AB44,11)</x:f>
        <x:v>0</x:v>
      </x:c>
      <x:c r="G44" s="9" t="n">
        <x:f>SUMIFS('350配方'!$M44:$P44,'350配方'!$Y44:$AB44,18)</x:f>
        <x:v>0</x:v>
      </x:c>
      <x:c r="H44" s="9" t="n">
        <x:f>SUMIFS('350配方'!$M44:$P44,'350配方'!$Y44:$AB44,32)</x:f>
        <x:v>0</x:v>
      </x:c>
      <x:c r="I44" s="9" t="n">
        <x:f>SUMIFS('350配方'!$M44:$P44,'350配方'!$Y44:$AB44,40)</x:f>
        <x:v>0</x:v>
      </x:c>
      <x:c r="J44" s="9" t="n">
        <x:f>SUMIFS('350配方'!$M44:$P44,'350配方'!$Y44:$AB44,52)</x:f>
        <x:v>0</x:v>
      </x:c>
      <x:c r="K44" s="9" t="n">
        <x:f>SUMIFS('350配方'!$M44:$P44,'350配方'!$Y44:$AB44,53)</x:f>
        <x:v>0</x:v>
      </x:c>
      <x:c r="L44" s="9" t="n">
        <x:f>SUMIFS('350配方'!$M44:$P44,'350配方'!$Y44:$AB44,56)</x:f>
        <x:v>0</x:v>
      </x:c>
      <x:c r="M44" s="9" t="n">
        <x:f>SUMIFS('350配方'!$M44:$P44,'350配方'!$Y44:$AB44,58)</x:f>
        <x:v>0</x:v>
      </x:c>
      <x:c r="N44" s="9" t="n">
        <x:f>SUMIFS('350配方'!$M44:$P44,'350配方'!$Y44:$AB44,61)</x:f>
        <x:v>0</x:v>
      </x:c>
      <x:c r="O44" s="9" t="n">
        <x:f>SUMIFS('350配方'!$M44:$P44,'350配方'!$Y44:$AB44,69)</x:f>
        <x:v>0</x:v>
      </x:c>
      <x:c r="P44" s="9" t="n">
        <x:f>SUMIFS('350配方'!$M44:$P44,'350配方'!$Y44:$AB44,75)</x:f>
        <x:v>0</x:v>
      </x:c>
      <x:c r="Q44" s="9" t="n">
        <x:f>SUMIFS('350配方'!$M44:$P44,'350配方'!$Y44:$AB44,79)</x:f>
        <x:v>0</x:v>
      </x:c>
      <x:c r="R44" s="9" t="n">
        <x:f>SUMIFS('350配方'!$M44:$P44,'350配方'!$Y44:$AB44,90)</x:f>
        <x:v>1232.25</x:v>
      </x:c>
      <x:c r="S44" s="9" t="n">
        <x:f>SUMIFS('350配方'!$M44:$P44,'350配方'!$Y44:$AB44,105)</x:f>
        <x:v>0</x:v>
      </x:c>
      <x:c r="T44" s="9" t="n">
        <x:f>SUMIFS('350配方'!$M44:$P44,'350配方'!$Y44:$AB44,111)</x:f>
        <x:v>0</x:v>
      </x:c>
      <x:c r="U44" s="9" t="n">
        <x:f>SUMIFS('350配方'!$M44:$P44,'350配方'!$Y44:$AB44,114)</x:f>
        <x:v>0</x:v>
      </x:c>
      <x:c r="V44" s="9" t="n">
        <x:f>SUMIFS('350配方'!$M44:$P44,'350配方'!$Y44:$AB44,115)</x:f>
        <x:v>0</x:v>
      </x:c>
      <x:c r="W44" s="9" t="n">
        <x:f>SUMIFS('350配方'!$M44:$P44,'350配方'!$Y44:$AB44,117)</x:f>
        <x:v>0</x:v>
      </x:c>
      <x:c r="X44" s="9" t="n">
        <x:f>SUMIFS('350配方'!$M44:$P44,'350配方'!$Y44:$AB44,126)</x:f>
        <x:v>0</x:v>
      </x:c>
      <x:c r="Y44" s="9" t="n">
        <x:f>SUMIFS('350配方'!$M44:$P44,'350配方'!$Y44:$AB44,136)</x:f>
        <x:v>0</x:v>
      </x:c>
      <x:c r="Z44" s="9" t="n">
        <x:f>SUMIFS('350配方'!$M44:$P44,'350配方'!$Y44:$AB44,141)</x:f>
        <x:v>0</x:v>
      </x:c>
      <x:c r="AA44" s="9" t="n">
        <x:f>SUMIFS('350配方'!$M44:$P44,'350配方'!$Y44:$AB44,152)</x:f>
        <x:v>0</x:v>
      </x:c>
      <x:c r="AB44" s="9" t="n">
        <x:f>SUMIFS('350配方'!$M44:$P44,'350配方'!$Y44:$AB44,165)</x:f>
        <x:v>0</x:v>
      </x:c>
      <x:c r="AC44" s="9" t="n">
        <x:f>SUMIFS('350配方'!$M44:$P44,'350配方'!$Y44:$AB44,186)</x:f>
        <x:v>0</x:v>
      </x:c>
      <x:c r="AD44" s="9" t="n">
        <x:f>SUMIFS('350配方'!$M44:$P44,'350配方'!$Y44:$AB44,207)</x:f>
        <x:v>0</x:v>
      </x:c>
      <x:c r="AE44" s="9" t="n">
        <x:f>SUMIFS('350配方'!$M44:$P44,'350配方'!$Y44:$AB44,209)</x:f>
        <x:v>0</x:v>
      </x:c>
      <x:c r="AF44" s="9" t="n">
        <x:f>SUMIFS('350配方'!$M44:$P44,'350配方'!$Y44:$AB44,227)</x:f>
        <x:v>0</x:v>
      </x:c>
      <x:c r="AG44" s="9" t="n">
        <x:f>SUMIFS('350配方'!$M44:$P44,'350配方'!$Y44:$AB44,232)</x:f>
        <x:v>0</x:v>
      </x:c>
      <x:c r="AH44" s="9" t="n">
        <x:f>SUMIFS('350配方'!$M44:$P44,'350配方'!$Y44:$AB44,255)</x:f>
        <x:v>0</x:v>
      </x:c>
      <x:c r="AI44" s="9" t="n">
        <x:f>'浓度设置'!S6</x:f>
        <x:v>219125.9626344086</x:v>
      </x:c>
      <x:c r="AJ44" s="9" t="n">
        <x:f>'浓度设置'!S8</x:f>
        <x:v>92796.92267241378</x:v>
      </x:c>
      <x:c r="AK44" s="9" t="n">
        <x:f>'浓度设置'!S10</x:f>
        <x:v>30556.797802197798</x:v>
      </x:c>
      <x:c r="AL44" s="9" t="n">
        <x:f>'浓度设置'!S12</x:f>
        <x:v>1735.828970588235</x:v>
      </x:c>
      <x:c r="AM44" s="9" t="n">
        <x:f>'浓度设置'!S15</x:f>
        <x:v>7385.813644067793</x:v>
      </x:c>
      <x:c r="AN44" s="9" t="n">
        <x:f>'浓度设置'!S19</x:f>
        <x:v>27722.03097701148</x:v>
      </x:c>
      <x:c r="AO44" s="9" t="n">
        <x:f>'浓度设置'!S22</x:f>
        <x:v>44345.55047619048</x:v>
      </x:c>
      <x:c r="AP44" s="9" t="n">
        <x:f>'浓度设置'!S26</x:f>
        <x:v>153318.30499999996</x:v>
      </x:c>
      <x:c r="AQ44" s="9" t="n">
        <x:f>'浓度设置'!S29</x:f>
        <x:v>312.7970588235294</x:v>
      </x:c>
      <x:c r="AR44" s="9" t="n">
        <x:f>'浓度设置'!S30</x:f>
        <x:v>104175.5097553192</x:v>
      </x:c>
      <x:c r="AS44" s="9" t="n">
        <x:f>'浓度设置'!S35</x:f>
        <x:v>405974.90656785714</x:v>
      </x:c>
    </x:row>
    <x:row r="45" ht="24" customHeight="1">
      <x:c r="A45" s="3" t="str">
        <x:f>'350配方'!A45</x:f>
        <x:v>T040</x:v>
      </x:c>
      <x:c r="B45" s="3" t="str">
        <x:f>'350配方'!B45</x:f>
        <x:v>拟合</x:v>
      </x:c>
      <x:c r="C45" s="3" t="n">
        <x:f>IF(B45="拟合",1,0)</x:f>
        <x:v>1</x:v>
      </x:c>
      <x:c r="D45" s="3" t="n">
        <x:f>'350配方'!AC45</x:f>
        <x:v>1</x:v>
      </x:c>
      <x:c r="E45" s="9" t="n">
        <x:f>SUMIFS('350配方'!$M45:$P45,'350配方'!$Y45:$AB45,7)</x:f>
        <x:v>0</x:v>
      </x:c>
      <x:c r="F45" s="9" t="n">
        <x:f>SUMIFS('350配方'!$M45:$P45,'350配方'!$Y45:$AB45,11)</x:f>
        <x:v>0</x:v>
      </x:c>
      <x:c r="G45" s="9" t="n">
        <x:f>SUMIFS('350配方'!$M45:$P45,'350配方'!$Y45:$AB45,18)</x:f>
        <x:v>0</x:v>
      </x:c>
      <x:c r="H45" s="9" t="n">
        <x:f>SUMIFS('350配方'!$M45:$P45,'350配方'!$Y45:$AB45,32)</x:f>
        <x:v>0</x:v>
      </x:c>
      <x:c r="I45" s="9" t="n">
        <x:f>SUMIFS('350配方'!$M45:$P45,'350配方'!$Y45:$AB45,40)</x:f>
        <x:v>0</x:v>
      </x:c>
      <x:c r="J45" s="9" t="n">
        <x:f>SUMIFS('350配方'!$M45:$P45,'350配方'!$Y45:$AB45,52)</x:f>
        <x:v>0</x:v>
      </x:c>
      <x:c r="K45" s="9" t="n">
        <x:f>SUMIFS('350配方'!$M45:$P45,'350配方'!$Y45:$AB45,53)</x:f>
        <x:v>0</x:v>
      </x:c>
      <x:c r="L45" s="9" t="n">
        <x:f>SUMIFS('350配方'!$M45:$P45,'350配方'!$Y45:$AB45,56)</x:f>
        <x:v>0</x:v>
      </x:c>
      <x:c r="M45" s="9" t="n">
        <x:f>SUMIFS('350配方'!$M45:$P45,'350配方'!$Y45:$AB45,58)</x:f>
        <x:v>0</x:v>
      </x:c>
      <x:c r="N45" s="9" t="n">
        <x:f>SUMIFS('350配方'!$M45:$P45,'350配方'!$Y45:$AB45,61)</x:f>
        <x:v>0</x:v>
      </x:c>
      <x:c r="O45" s="9" t="n">
        <x:f>SUMIFS('350配方'!$M45:$P45,'350配方'!$Y45:$AB45,69)</x:f>
        <x:v>0</x:v>
      </x:c>
      <x:c r="P45" s="9" t="n">
        <x:f>SUMIFS('350配方'!$M45:$P45,'350配方'!$Y45:$AB45,75)</x:f>
        <x:v>0</x:v>
      </x:c>
      <x:c r="Q45" s="9" t="n">
        <x:f>SUMIFS('350配方'!$M45:$P45,'350配方'!$Y45:$AB45,79)</x:f>
        <x:v>0</x:v>
      </x:c>
      <x:c r="R45" s="9" t="n">
        <x:f>SUMIFS('350配方'!$M45:$P45,'350配方'!$Y45:$AB45,90)</x:f>
        <x:v>25642.45</x:v>
      </x:c>
      <x:c r="S45" s="9" t="n">
        <x:f>SUMIFS('350配方'!$M45:$P45,'350配方'!$Y45:$AB45,105)</x:f>
        <x:v>0</x:v>
      </x:c>
      <x:c r="T45" s="9" t="n">
        <x:f>SUMIFS('350配方'!$M45:$P45,'350配方'!$Y45:$AB45,111)</x:f>
        <x:v>0</x:v>
      </x:c>
      <x:c r="U45" s="9" t="n">
        <x:f>SUMIFS('350配方'!$M45:$P45,'350配方'!$Y45:$AB45,114)</x:f>
        <x:v>0</x:v>
      </x:c>
      <x:c r="V45" s="9" t="n">
        <x:f>SUMIFS('350配方'!$M45:$P45,'350配方'!$Y45:$AB45,115)</x:f>
        <x:v>0</x:v>
      </x:c>
      <x:c r="W45" s="9" t="n">
        <x:f>SUMIFS('350配方'!$M45:$P45,'350配方'!$Y45:$AB45,117)</x:f>
        <x:v>0</x:v>
      </x:c>
      <x:c r="X45" s="9" t="n">
        <x:f>SUMIFS('350配方'!$M45:$P45,'350配方'!$Y45:$AB45,126)</x:f>
        <x:v>0</x:v>
      </x:c>
      <x:c r="Y45" s="9" t="n">
        <x:f>SUMIFS('350配方'!$M45:$P45,'350配方'!$Y45:$AB45,136)</x:f>
        <x:v>0</x:v>
      </x:c>
      <x:c r="Z45" s="9" t="n">
        <x:f>SUMIFS('350配方'!$M45:$P45,'350配方'!$Y45:$AB45,141)</x:f>
        <x:v>0</x:v>
      </x:c>
      <x:c r="AA45" s="9" t="n">
        <x:f>SUMIFS('350配方'!$M45:$P45,'350配方'!$Y45:$AB45,152)</x:f>
        <x:v>0</x:v>
      </x:c>
      <x:c r="AB45" s="9" t="n">
        <x:f>SUMIFS('350配方'!$M45:$P45,'350配方'!$Y45:$AB45,165)</x:f>
        <x:v>0</x:v>
      </x:c>
      <x:c r="AC45" s="9" t="n">
        <x:f>SUMIFS('350配方'!$M45:$P45,'350配方'!$Y45:$AB45,186)</x:f>
        <x:v>0</x:v>
      </x:c>
      <x:c r="AD45" s="9" t="n">
        <x:f>SUMIFS('350配方'!$M45:$P45,'350配方'!$Y45:$AB45,207)</x:f>
        <x:v>0</x:v>
      </x:c>
      <x:c r="AE45" s="9" t="n">
        <x:f>SUMIFS('350配方'!$M45:$P45,'350配方'!$Y45:$AB45,209)</x:f>
        <x:v>0</x:v>
      </x:c>
      <x:c r="AF45" s="9" t="n">
        <x:f>SUMIFS('350配方'!$M45:$P45,'350配方'!$Y45:$AB45,227)</x:f>
        <x:v>0</x:v>
      </x:c>
      <x:c r="AG45" s="9" t="n">
        <x:f>SUMIFS('350配方'!$M45:$P45,'350配方'!$Y45:$AB45,232)</x:f>
        <x:v>0</x:v>
      </x:c>
      <x:c r="AH45" s="9" t="n">
        <x:f>SUMIFS('350配方'!$M45:$P45,'350配方'!$Y45:$AB45,255)</x:f>
        <x:v>0</x:v>
      </x:c>
      <x:c r="AI45" s="9" t="n">
        <x:f>'浓度设置'!S6</x:f>
        <x:v>219125.9626344086</x:v>
      </x:c>
      <x:c r="AJ45" s="9" t="n">
        <x:f>'浓度设置'!S8</x:f>
        <x:v>92796.92267241378</x:v>
      </x:c>
      <x:c r="AK45" s="9" t="n">
        <x:f>'浓度设置'!S10</x:f>
        <x:v>30556.797802197798</x:v>
      </x:c>
      <x:c r="AL45" s="9" t="n">
        <x:f>'浓度设置'!S12</x:f>
        <x:v>1735.828970588235</x:v>
      </x:c>
      <x:c r="AM45" s="9" t="n">
        <x:f>'浓度设置'!S15</x:f>
        <x:v>7385.813644067793</x:v>
      </x:c>
      <x:c r="AN45" s="9" t="n">
        <x:f>'浓度设置'!S19</x:f>
        <x:v>27722.03097701148</x:v>
      </x:c>
      <x:c r="AO45" s="9" t="n">
        <x:f>'浓度设置'!S22</x:f>
        <x:v>44345.55047619048</x:v>
      </x:c>
      <x:c r="AP45" s="9" t="n">
        <x:f>'浓度设置'!S26</x:f>
        <x:v>153318.30499999996</x:v>
      </x:c>
      <x:c r="AQ45" s="9" t="n">
        <x:f>'浓度设置'!S29</x:f>
        <x:v>312.7970588235294</x:v>
      </x:c>
      <x:c r="AR45" s="9" t="n">
        <x:f>'浓度设置'!S30</x:f>
        <x:v>104175.5097553192</x:v>
      </x:c>
      <x:c r="AS45" s="9" t="n">
        <x:f>'浓度设置'!S35</x:f>
        <x:v>405974.90656785714</x:v>
      </x:c>
    </x:row>
    <x:row r="46" ht="24" customHeight="1">
      <x:c r="A46" s="3" t="str">
        <x:f>'350配方'!A46</x:f>
        <x:v>T041</x:v>
      </x:c>
      <x:c r="B46" s="3" t="str">
        <x:f>'350配方'!B46</x:f>
        <x:v>拟合</x:v>
      </x:c>
      <x:c r="C46" s="3" t="n">
        <x:f>IF(B46="拟合",1,0)</x:f>
        <x:v>1</x:v>
      </x:c>
      <x:c r="D46" s="3" t="n">
        <x:f>'350配方'!AC46</x:f>
        <x:v>1</x:v>
      </x:c>
      <x:c r="E46" s="9" t="n">
        <x:f>SUMIFS('350配方'!$M46:$P46,'350配方'!$Y46:$AB46,7)</x:f>
        <x:v>0</x:v>
      </x:c>
      <x:c r="F46" s="9" t="n">
        <x:f>SUMIFS('350配方'!$M46:$P46,'350配方'!$Y46:$AB46,11)</x:f>
        <x:v>0</x:v>
      </x:c>
      <x:c r="G46" s="9" t="n">
        <x:f>SUMIFS('350配方'!$M46:$P46,'350配方'!$Y46:$AB46,18)</x:f>
        <x:v>0</x:v>
      </x:c>
      <x:c r="H46" s="9" t="n">
        <x:f>SUMIFS('350配方'!$M46:$P46,'350配方'!$Y46:$AB46,32)</x:f>
        <x:v>0</x:v>
      </x:c>
      <x:c r="I46" s="9" t="n">
        <x:f>SUMIFS('350配方'!$M46:$P46,'350配方'!$Y46:$AB46,40)</x:f>
        <x:v>0</x:v>
      </x:c>
      <x:c r="J46" s="9" t="n">
        <x:f>SUMIFS('350配方'!$M46:$P46,'350配方'!$Y46:$AB46,52)</x:f>
        <x:v>0</x:v>
      </x:c>
      <x:c r="K46" s="9" t="n">
        <x:f>SUMIFS('350配方'!$M46:$P46,'350配方'!$Y46:$AB46,53)</x:f>
        <x:v>0</x:v>
      </x:c>
      <x:c r="L46" s="9" t="n">
        <x:f>SUMIFS('350配方'!$M46:$P46,'350配方'!$Y46:$AB46,56)</x:f>
        <x:v>0</x:v>
      </x:c>
      <x:c r="M46" s="9" t="n">
        <x:f>SUMIFS('350配方'!$M46:$P46,'350配方'!$Y46:$AB46,58)</x:f>
        <x:v>0</x:v>
      </x:c>
      <x:c r="N46" s="9" t="n">
        <x:f>SUMIFS('350配方'!$M46:$P46,'350配方'!$Y46:$AB46,61)</x:f>
        <x:v>0</x:v>
      </x:c>
      <x:c r="O46" s="9" t="n">
        <x:f>SUMIFS('350配方'!$M46:$P46,'350配方'!$Y46:$AB46,69)</x:f>
        <x:v>0</x:v>
      </x:c>
      <x:c r="P46" s="9" t="n">
        <x:f>SUMIFS('350配方'!$M46:$P46,'350配方'!$Y46:$AB46,75)</x:f>
        <x:v>0</x:v>
      </x:c>
      <x:c r="Q46" s="9" t="n">
        <x:f>SUMIFS('350配方'!$M46:$P46,'350配方'!$Y46:$AB46,79)</x:f>
        <x:v>0</x:v>
      </x:c>
      <x:c r="R46" s="9" t="n">
        <x:f>SUMIFS('350配方'!$M46:$P46,'350配方'!$Y46:$AB46,90)</x:f>
        <x:v>0</x:v>
      </x:c>
      <x:c r="S46" s="9" t="n">
        <x:f>SUMIFS('350配方'!$M46:$P46,'350配方'!$Y46:$AB46,105)</x:f>
        <x:v>0.05</x:v>
      </x:c>
      <x:c r="T46" s="9" t="n">
        <x:f>SUMIFS('350配方'!$M46:$P46,'350配方'!$Y46:$AB46,111)</x:f>
        <x:v>0</x:v>
      </x:c>
      <x:c r="U46" s="9" t="n">
        <x:f>SUMIFS('350配方'!$M46:$P46,'350配方'!$Y46:$AB46,114)</x:f>
        <x:v>0</x:v>
      </x:c>
      <x:c r="V46" s="9" t="n">
        <x:f>SUMIFS('350配方'!$M46:$P46,'350配方'!$Y46:$AB46,115)</x:f>
        <x:v>0</x:v>
      </x:c>
      <x:c r="W46" s="9" t="n">
        <x:f>SUMIFS('350配方'!$M46:$P46,'350配方'!$Y46:$AB46,117)</x:f>
        <x:v>0</x:v>
      </x:c>
      <x:c r="X46" s="9" t="n">
        <x:f>SUMIFS('350配方'!$M46:$P46,'350配方'!$Y46:$AB46,126)</x:f>
        <x:v>0</x:v>
      </x:c>
      <x:c r="Y46" s="9" t="n">
        <x:f>SUMIFS('350配方'!$M46:$P46,'350配方'!$Y46:$AB46,136)</x:f>
        <x:v>0</x:v>
      </x:c>
      <x:c r="Z46" s="9" t="n">
        <x:f>SUMIFS('350配方'!$M46:$P46,'350配方'!$Y46:$AB46,141)</x:f>
        <x:v>0</x:v>
      </x:c>
      <x:c r="AA46" s="9" t="n">
        <x:f>SUMIFS('350配方'!$M46:$P46,'350配方'!$Y46:$AB46,152)</x:f>
        <x:v>0</x:v>
      </x:c>
      <x:c r="AB46" s="9" t="n">
        <x:f>SUMIFS('350配方'!$M46:$P46,'350配方'!$Y46:$AB46,165)</x:f>
        <x:v>0</x:v>
      </x:c>
      <x:c r="AC46" s="9" t="n">
        <x:f>SUMIFS('350配方'!$M46:$P46,'350配方'!$Y46:$AB46,186)</x:f>
        <x:v>0</x:v>
      </x:c>
      <x:c r="AD46" s="9" t="n">
        <x:f>SUMIFS('350配方'!$M46:$P46,'350配方'!$Y46:$AB46,207)</x:f>
        <x:v>0</x:v>
      </x:c>
      <x:c r="AE46" s="9" t="n">
        <x:f>SUMIFS('350配方'!$M46:$P46,'350配方'!$Y46:$AB46,209)</x:f>
        <x:v>0</x:v>
      </x:c>
      <x:c r="AF46" s="9" t="n">
        <x:f>SUMIFS('350配方'!$M46:$P46,'350配方'!$Y46:$AB46,227)</x:f>
        <x:v>0</x:v>
      </x:c>
      <x:c r="AG46" s="9" t="n">
        <x:f>SUMIFS('350配方'!$M46:$P46,'350配方'!$Y46:$AB46,232)</x:f>
        <x:v>0</x:v>
      </x:c>
      <x:c r="AH46" s="9" t="n">
        <x:f>SUMIFS('350配方'!$M46:$P46,'350配方'!$Y46:$AB46,255)</x:f>
        <x:v>0</x:v>
      </x:c>
      <x:c r="AI46" s="9" t="n">
        <x:f>'浓度设置'!S6</x:f>
        <x:v>219125.9626344086</x:v>
      </x:c>
      <x:c r="AJ46" s="9" t="n">
        <x:f>'浓度设置'!S8</x:f>
        <x:v>92796.92267241378</x:v>
      </x:c>
      <x:c r="AK46" s="9" t="n">
        <x:f>'浓度设置'!S10</x:f>
        <x:v>30556.797802197798</x:v>
      </x:c>
      <x:c r="AL46" s="9" t="n">
        <x:f>'浓度设置'!S12</x:f>
        <x:v>1735.828970588235</x:v>
      </x:c>
      <x:c r="AM46" s="9" t="n">
        <x:f>'浓度设置'!S15</x:f>
        <x:v>7385.813644067793</x:v>
      </x:c>
      <x:c r="AN46" s="9" t="n">
        <x:f>'浓度设置'!S19</x:f>
        <x:v>27722.03097701148</x:v>
      </x:c>
      <x:c r="AO46" s="9" t="n">
        <x:f>'浓度设置'!S22</x:f>
        <x:v>44345.55047619048</x:v>
      </x:c>
      <x:c r="AP46" s="9" t="n">
        <x:f>'浓度设置'!S26</x:f>
        <x:v>153318.30499999996</x:v>
      </x:c>
      <x:c r="AQ46" s="9" t="n">
        <x:f>'浓度设置'!S29</x:f>
        <x:v>312.7970588235294</x:v>
      </x:c>
      <x:c r="AR46" s="9" t="n">
        <x:f>'浓度设置'!S30</x:f>
        <x:v>104175.5097553192</x:v>
      </x:c>
      <x:c r="AS46" s="9" t="n">
        <x:f>'浓度设置'!S35</x:f>
        <x:v>405974.90656785714</x:v>
      </x:c>
    </x:row>
    <x:row r="47" ht="24" customHeight="1">
      <x:c r="A47" s="3" t="str">
        <x:f>'350配方'!A47</x:f>
        <x:v>T042</x:v>
      </x:c>
      <x:c r="B47" s="3" t="str">
        <x:f>'350配方'!B47</x:f>
        <x:v>拟合</x:v>
      </x:c>
      <x:c r="C47" s="3" t="n">
        <x:f>IF(B47="拟合",1,0)</x:f>
        <x:v>1</x:v>
      </x:c>
      <x:c r="D47" s="3" t="n">
        <x:f>'350配方'!AC47</x:f>
        <x:v>1</x:v>
      </x:c>
      <x:c r="E47" s="9" t="n">
        <x:f>SUMIFS('350配方'!$M47:$P47,'350配方'!$Y47:$AB47,7)</x:f>
        <x:v>0</x:v>
      </x:c>
      <x:c r="F47" s="9" t="n">
        <x:f>SUMIFS('350配方'!$M47:$P47,'350配方'!$Y47:$AB47,11)</x:f>
        <x:v>0</x:v>
      </x:c>
      <x:c r="G47" s="9" t="n">
        <x:f>SUMIFS('350配方'!$M47:$P47,'350配方'!$Y47:$AB47,18)</x:f>
        <x:v>0</x:v>
      </x:c>
      <x:c r="H47" s="9" t="n">
        <x:f>SUMIFS('350配方'!$M47:$P47,'350配方'!$Y47:$AB47,32)</x:f>
        <x:v>0</x:v>
      </x:c>
      <x:c r="I47" s="9" t="n">
        <x:f>SUMIFS('350配方'!$M47:$P47,'350配方'!$Y47:$AB47,40)</x:f>
        <x:v>0</x:v>
      </x:c>
      <x:c r="J47" s="9" t="n">
        <x:f>SUMIFS('350配方'!$M47:$P47,'350配方'!$Y47:$AB47,52)</x:f>
        <x:v>0</x:v>
      </x:c>
      <x:c r="K47" s="9" t="n">
        <x:f>SUMIFS('350配方'!$M47:$P47,'350配方'!$Y47:$AB47,53)</x:f>
        <x:v>0</x:v>
      </x:c>
      <x:c r="L47" s="9" t="n">
        <x:f>SUMIFS('350配方'!$M47:$P47,'350配方'!$Y47:$AB47,56)</x:f>
        <x:v>0</x:v>
      </x:c>
      <x:c r="M47" s="9" t="n">
        <x:f>SUMIFS('350配方'!$M47:$P47,'350配方'!$Y47:$AB47,58)</x:f>
        <x:v>0</x:v>
      </x:c>
      <x:c r="N47" s="9" t="n">
        <x:f>SUMIFS('350配方'!$M47:$P47,'350配方'!$Y47:$AB47,61)</x:f>
        <x:v>0</x:v>
      </x:c>
      <x:c r="O47" s="9" t="n">
        <x:f>SUMIFS('350配方'!$M47:$P47,'350配方'!$Y47:$AB47,69)</x:f>
        <x:v>0</x:v>
      </x:c>
      <x:c r="P47" s="9" t="n">
        <x:f>SUMIFS('350配方'!$M47:$P47,'350配方'!$Y47:$AB47,75)</x:f>
        <x:v>0</x:v>
      </x:c>
      <x:c r="Q47" s="9" t="n">
        <x:f>SUMIFS('350配方'!$M47:$P47,'350配方'!$Y47:$AB47,79)</x:f>
        <x:v>0</x:v>
      </x:c>
      <x:c r="R47" s="9" t="n">
        <x:f>SUMIFS('350配方'!$M47:$P47,'350配方'!$Y47:$AB47,90)</x:f>
        <x:v>0</x:v>
      </x:c>
      <x:c r="S47" s="9" t="n">
        <x:f>SUMIFS('350配方'!$M47:$P47,'350配方'!$Y47:$AB47,105)</x:f>
        <x:v>28.044607324760317</x:v>
      </x:c>
      <x:c r="T47" s="9" t="n">
        <x:f>SUMIFS('350配方'!$M47:$P47,'350配方'!$Y47:$AB47,111)</x:f>
        <x:v>0</x:v>
      </x:c>
      <x:c r="U47" s="9" t="n">
        <x:f>SUMIFS('350配方'!$M47:$P47,'350配方'!$Y47:$AB47,114)</x:f>
        <x:v>0</x:v>
      </x:c>
      <x:c r="V47" s="9" t="n">
        <x:f>SUMIFS('350配方'!$M47:$P47,'350配方'!$Y47:$AB47,115)</x:f>
        <x:v>0</x:v>
      </x:c>
      <x:c r="W47" s="9" t="n">
        <x:f>SUMIFS('350配方'!$M47:$P47,'350配方'!$Y47:$AB47,117)</x:f>
        <x:v>0</x:v>
      </x:c>
      <x:c r="X47" s="9" t="n">
        <x:f>SUMIFS('350配方'!$M47:$P47,'350配方'!$Y47:$AB47,126)</x:f>
        <x:v>0</x:v>
      </x:c>
      <x:c r="Y47" s="9" t="n">
        <x:f>SUMIFS('350配方'!$M47:$P47,'350配方'!$Y47:$AB47,136)</x:f>
        <x:v>0</x:v>
      </x:c>
      <x:c r="Z47" s="9" t="n">
        <x:f>SUMIFS('350配方'!$M47:$P47,'350配方'!$Y47:$AB47,141)</x:f>
        <x:v>0</x:v>
      </x:c>
      <x:c r="AA47" s="9" t="n">
        <x:f>SUMIFS('350配方'!$M47:$P47,'350配方'!$Y47:$AB47,152)</x:f>
        <x:v>0</x:v>
      </x:c>
      <x:c r="AB47" s="9" t="n">
        <x:f>SUMIFS('350配方'!$M47:$P47,'350配方'!$Y47:$AB47,165)</x:f>
        <x:v>0</x:v>
      </x:c>
      <x:c r="AC47" s="9" t="n">
        <x:f>SUMIFS('350配方'!$M47:$P47,'350配方'!$Y47:$AB47,186)</x:f>
        <x:v>0</x:v>
      </x:c>
      <x:c r="AD47" s="9" t="n">
        <x:f>SUMIFS('350配方'!$M47:$P47,'350配方'!$Y47:$AB47,207)</x:f>
        <x:v>0</x:v>
      </x:c>
      <x:c r="AE47" s="9" t="n">
        <x:f>SUMIFS('350配方'!$M47:$P47,'350配方'!$Y47:$AB47,209)</x:f>
        <x:v>0</x:v>
      </x:c>
      <x:c r="AF47" s="9" t="n">
        <x:f>SUMIFS('350配方'!$M47:$P47,'350配方'!$Y47:$AB47,227)</x:f>
        <x:v>0</x:v>
      </x:c>
      <x:c r="AG47" s="9" t="n">
        <x:f>SUMIFS('350配方'!$M47:$P47,'350配方'!$Y47:$AB47,232)</x:f>
        <x:v>0</x:v>
      </x:c>
      <x:c r="AH47" s="9" t="n">
        <x:f>SUMIFS('350配方'!$M47:$P47,'350配方'!$Y47:$AB47,255)</x:f>
        <x:v>0</x:v>
      </x:c>
      <x:c r="AI47" s="9" t="n">
        <x:f>'浓度设置'!S6</x:f>
        <x:v>219125.9626344086</x:v>
      </x:c>
      <x:c r="AJ47" s="9" t="n">
        <x:f>'浓度设置'!S8</x:f>
        <x:v>92796.92267241378</x:v>
      </x:c>
      <x:c r="AK47" s="9" t="n">
        <x:f>'浓度设置'!S10</x:f>
        <x:v>30556.797802197798</x:v>
      </x:c>
      <x:c r="AL47" s="9" t="n">
        <x:f>'浓度设置'!S12</x:f>
        <x:v>1735.828970588235</x:v>
      </x:c>
      <x:c r="AM47" s="9" t="n">
        <x:f>'浓度设置'!S15</x:f>
        <x:v>7385.813644067793</x:v>
      </x:c>
      <x:c r="AN47" s="9" t="n">
        <x:f>'浓度设置'!S19</x:f>
        <x:v>27722.03097701148</x:v>
      </x:c>
      <x:c r="AO47" s="9" t="n">
        <x:f>'浓度设置'!S22</x:f>
        <x:v>44345.55047619048</x:v>
      </x:c>
      <x:c r="AP47" s="9" t="n">
        <x:f>'浓度设置'!S26</x:f>
        <x:v>153318.30499999996</x:v>
      </x:c>
      <x:c r="AQ47" s="9" t="n">
        <x:f>'浓度设置'!S29</x:f>
        <x:v>312.7970588235294</x:v>
      </x:c>
      <x:c r="AR47" s="9" t="n">
        <x:f>'浓度设置'!S30</x:f>
        <x:v>104175.5097553192</x:v>
      </x:c>
      <x:c r="AS47" s="9" t="n">
        <x:f>'浓度设置'!S35</x:f>
        <x:v>405974.90656785714</x:v>
      </x:c>
    </x:row>
    <x:row r="48" ht="24" customHeight="1">
      <x:c r="A48" s="3" t="str">
        <x:f>'350配方'!A48</x:f>
        <x:v>T043</x:v>
      </x:c>
      <x:c r="B48" s="3" t="str">
        <x:f>'350配方'!B48</x:f>
        <x:v>拟合</x:v>
      </x:c>
      <x:c r="C48" s="3" t="n">
        <x:f>IF(B48="拟合",1,0)</x:f>
        <x:v>1</x:v>
      </x:c>
      <x:c r="D48" s="3" t="n">
        <x:f>'350配方'!AC48</x:f>
        <x:v>1</x:v>
      </x:c>
      <x:c r="E48" s="9" t="n">
        <x:f>SUMIFS('350配方'!$M48:$P48,'350配方'!$Y48:$AB48,7)</x:f>
        <x:v>0</x:v>
      </x:c>
      <x:c r="F48" s="9" t="n">
        <x:f>SUMIFS('350配方'!$M48:$P48,'350配方'!$Y48:$AB48,11)</x:f>
        <x:v>0</x:v>
      </x:c>
      <x:c r="G48" s="9" t="n">
        <x:f>SUMIFS('350配方'!$M48:$P48,'350配方'!$Y48:$AB48,18)</x:f>
        <x:v>0</x:v>
      </x:c>
      <x:c r="H48" s="9" t="n">
        <x:f>SUMIFS('350配方'!$M48:$P48,'350配方'!$Y48:$AB48,32)</x:f>
        <x:v>0</x:v>
      </x:c>
      <x:c r="I48" s="9" t="n">
        <x:f>SUMIFS('350配方'!$M48:$P48,'350配方'!$Y48:$AB48,40)</x:f>
        <x:v>0</x:v>
      </x:c>
      <x:c r="J48" s="9" t="n">
        <x:f>SUMIFS('350配方'!$M48:$P48,'350配方'!$Y48:$AB48,52)</x:f>
        <x:v>0</x:v>
      </x:c>
      <x:c r="K48" s="9" t="n">
        <x:f>SUMIFS('350配方'!$M48:$P48,'350配方'!$Y48:$AB48,53)</x:f>
        <x:v>0</x:v>
      </x:c>
      <x:c r="L48" s="9" t="n">
        <x:f>SUMIFS('350配方'!$M48:$P48,'350配方'!$Y48:$AB48,56)</x:f>
        <x:v>0</x:v>
      </x:c>
      <x:c r="M48" s="9" t="n">
        <x:f>SUMIFS('350配方'!$M48:$P48,'350配方'!$Y48:$AB48,58)</x:f>
        <x:v>0</x:v>
      </x:c>
      <x:c r="N48" s="9" t="n">
        <x:f>SUMIFS('350配方'!$M48:$P48,'350配方'!$Y48:$AB48,61)</x:f>
        <x:v>0</x:v>
      </x:c>
      <x:c r="O48" s="9" t="n">
        <x:f>SUMIFS('350配方'!$M48:$P48,'350配方'!$Y48:$AB48,69)</x:f>
        <x:v>0</x:v>
      </x:c>
      <x:c r="P48" s="9" t="n">
        <x:f>SUMIFS('350配方'!$M48:$P48,'350配方'!$Y48:$AB48,75)</x:f>
        <x:v>0</x:v>
      </x:c>
      <x:c r="Q48" s="9" t="n">
        <x:f>SUMIFS('350配方'!$M48:$P48,'350配方'!$Y48:$AB48,79)</x:f>
        <x:v>0</x:v>
      </x:c>
      <x:c r="R48" s="9" t="n">
        <x:f>SUMIFS('350配方'!$M48:$P48,'350配方'!$Y48:$AB48,90)</x:f>
        <x:v>0</x:v>
      </x:c>
      <x:c r="S48" s="9" t="n">
        <x:f>SUMIFS('350配方'!$M48:$P48,'350配方'!$Y48:$AB48,105)</x:f>
        <x:v>15730</x:v>
      </x:c>
      <x:c r="T48" s="9" t="n">
        <x:f>SUMIFS('350配方'!$M48:$P48,'350配方'!$Y48:$AB48,111)</x:f>
        <x:v>0</x:v>
      </x:c>
      <x:c r="U48" s="9" t="n">
        <x:f>SUMIFS('350配方'!$M48:$P48,'350配方'!$Y48:$AB48,114)</x:f>
        <x:v>0</x:v>
      </x:c>
      <x:c r="V48" s="9" t="n">
        <x:f>SUMIFS('350配方'!$M48:$P48,'350配方'!$Y48:$AB48,115)</x:f>
        <x:v>0</x:v>
      </x:c>
      <x:c r="W48" s="9" t="n">
        <x:f>SUMIFS('350配方'!$M48:$P48,'350配方'!$Y48:$AB48,117)</x:f>
        <x:v>0</x:v>
      </x:c>
      <x:c r="X48" s="9" t="n">
        <x:f>SUMIFS('350配方'!$M48:$P48,'350配方'!$Y48:$AB48,126)</x:f>
        <x:v>0</x:v>
      </x:c>
      <x:c r="Y48" s="9" t="n">
        <x:f>SUMIFS('350配方'!$M48:$P48,'350配方'!$Y48:$AB48,136)</x:f>
        <x:v>0</x:v>
      </x:c>
      <x:c r="Z48" s="9" t="n">
        <x:f>SUMIFS('350配方'!$M48:$P48,'350配方'!$Y48:$AB48,141)</x:f>
        <x:v>0</x:v>
      </x:c>
      <x:c r="AA48" s="9" t="n">
        <x:f>SUMIFS('350配方'!$M48:$P48,'350配方'!$Y48:$AB48,152)</x:f>
        <x:v>0</x:v>
      </x:c>
      <x:c r="AB48" s="9" t="n">
        <x:f>SUMIFS('350配方'!$M48:$P48,'350配方'!$Y48:$AB48,165)</x:f>
        <x:v>0</x:v>
      </x:c>
      <x:c r="AC48" s="9" t="n">
        <x:f>SUMIFS('350配方'!$M48:$P48,'350配方'!$Y48:$AB48,186)</x:f>
        <x:v>0</x:v>
      </x:c>
      <x:c r="AD48" s="9" t="n">
        <x:f>SUMIFS('350配方'!$M48:$P48,'350配方'!$Y48:$AB48,207)</x:f>
        <x:v>0</x:v>
      </x:c>
      <x:c r="AE48" s="9" t="n">
        <x:f>SUMIFS('350配方'!$M48:$P48,'350配方'!$Y48:$AB48,209)</x:f>
        <x:v>0</x:v>
      </x:c>
      <x:c r="AF48" s="9" t="n">
        <x:f>SUMIFS('350配方'!$M48:$P48,'350配方'!$Y48:$AB48,227)</x:f>
        <x:v>0</x:v>
      </x:c>
      <x:c r="AG48" s="9" t="n">
        <x:f>SUMIFS('350配方'!$M48:$P48,'350配方'!$Y48:$AB48,232)</x:f>
        <x:v>0</x:v>
      </x:c>
      <x:c r="AH48" s="9" t="n">
        <x:f>SUMIFS('350配方'!$M48:$P48,'350配方'!$Y48:$AB48,255)</x:f>
        <x:v>0</x:v>
      </x:c>
      <x:c r="AI48" s="9" t="n">
        <x:f>'浓度设置'!S6</x:f>
        <x:v>219125.9626344086</x:v>
      </x:c>
      <x:c r="AJ48" s="9" t="n">
        <x:f>'浓度设置'!S8</x:f>
        <x:v>92796.92267241378</x:v>
      </x:c>
      <x:c r="AK48" s="9" t="n">
        <x:f>'浓度设置'!S10</x:f>
        <x:v>30556.797802197798</x:v>
      </x:c>
      <x:c r="AL48" s="9" t="n">
        <x:f>'浓度设置'!S12</x:f>
        <x:v>1735.828970588235</x:v>
      </x:c>
      <x:c r="AM48" s="9" t="n">
        <x:f>'浓度设置'!S15</x:f>
        <x:v>7385.813644067793</x:v>
      </x:c>
      <x:c r="AN48" s="9" t="n">
        <x:f>'浓度设置'!S19</x:f>
        <x:v>27722.03097701148</x:v>
      </x:c>
      <x:c r="AO48" s="9" t="n">
        <x:f>'浓度设置'!S22</x:f>
        <x:v>44345.55047619048</x:v>
      </x:c>
      <x:c r="AP48" s="9" t="n">
        <x:f>'浓度设置'!S26</x:f>
        <x:v>153318.30499999996</x:v>
      </x:c>
      <x:c r="AQ48" s="9" t="n">
        <x:f>'浓度设置'!S29</x:f>
        <x:v>312.7970588235294</x:v>
      </x:c>
      <x:c r="AR48" s="9" t="n">
        <x:f>'浓度设置'!S30</x:f>
        <x:v>104175.5097553192</x:v>
      </x:c>
      <x:c r="AS48" s="9" t="n">
        <x:f>'浓度设置'!S35</x:f>
        <x:v>405974.90656785714</x:v>
      </x:c>
    </x:row>
    <x:row r="49" ht="24" customHeight="1">
      <x:c r="A49" s="3" t="str">
        <x:f>'350配方'!A49</x:f>
        <x:v>T044</x:v>
      </x:c>
      <x:c r="B49" s="3" t="str">
        <x:f>'350配方'!B49</x:f>
        <x:v>拟合</x:v>
      </x:c>
      <x:c r="C49" s="3" t="n">
        <x:f>IF(B49="拟合",1,0)</x:f>
        <x:v>1</x:v>
      </x:c>
      <x:c r="D49" s="3" t="n">
        <x:f>'350配方'!AC49</x:f>
        <x:v>1</x:v>
      </x:c>
      <x:c r="E49" s="9" t="n">
        <x:f>SUMIFS('350配方'!$M49:$P49,'350配方'!$Y49:$AB49,7)</x:f>
        <x:v>0</x:v>
      </x:c>
      <x:c r="F49" s="9" t="n">
        <x:f>SUMIFS('350配方'!$M49:$P49,'350配方'!$Y49:$AB49,11)</x:f>
        <x:v>0</x:v>
      </x:c>
      <x:c r="G49" s="9" t="n">
        <x:f>SUMIFS('350配方'!$M49:$P49,'350配方'!$Y49:$AB49,18)</x:f>
        <x:v>0</x:v>
      </x:c>
      <x:c r="H49" s="9" t="n">
        <x:f>SUMIFS('350配方'!$M49:$P49,'350配方'!$Y49:$AB49,32)</x:f>
        <x:v>0</x:v>
      </x:c>
      <x:c r="I49" s="9" t="n">
        <x:f>SUMIFS('350配方'!$M49:$P49,'350配方'!$Y49:$AB49,40)</x:f>
        <x:v>0</x:v>
      </x:c>
      <x:c r="J49" s="9" t="n">
        <x:f>SUMIFS('350配方'!$M49:$P49,'350配方'!$Y49:$AB49,52)</x:f>
        <x:v>0</x:v>
      </x:c>
      <x:c r="K49" s="9" t="n">
        <x:f>SUMIFS('350配方'!$M49:$P49,'350配方'!$Y49:$AB49,53)</x:f>
        <x:v>0</x:v>
      </x:c>
      <x:c r="L49" s="9" t="n">
        <x:f>SUMIFS('350配方'!$M49:$P49,'350配方'!$Y49:$AB49,56)</x:f>
        <x:v>0</x:v>
      </x:c>
      <x:c r="M49" s="9" t="n">
        <x:f>SUMIFS('350配方'!$M49:$P49,'350配方'!$Y49:$AB49,58)</x:f>
        <x:v>0</x:v>
      </x:c>
      <x:c r="N49" s="9" t="n">
        <x:f>SUMIFS('350配方'!$M49:$P49,'350配方'!$Y49:$AB49,61)</x:f>
        <x:v>0</x:v>
      </x:c>
      <x:c r="O49" s="9" t="n">
        <x:f>SUMIFS('350配方'!$M49:$P49,'350配方'!$Y49:$AB49,69)</x:f>
        <x:v>0</x:v>
      </x:c>
      <x:c r="P49" s="9" t="n">
        <x:f>SUMIFS('350配方'!$M49:$P49,'350配方'!$Y49:$AB49,75)</x:f>
        <x:v>0</x:v>
      </x:c>
      <x:c r="Q49" s="9" t="n">
        <x:f>SUMIFS('350配方'!$M49:$P49,'350配方'!$Y49:$AB49,79)</x:f>
        <x:v>0</x:v>
      </x:c>
      <x:c r="R49" s="9" t="n">
        <x:f>SUMIFS('350配方'!$M49:$P49,'350配方'!$Y49:$AB49,90)</x:f>
        <x:v>0</x:v>
      </x:c>
      <x:c r="S49" s="9" t="n">
        <x:f>SUMIFS('350配方'!$M49:$P49,'350配方'!$Y49:$AB49,105)</x:f>
        <x:v>0</x:v>
      </x:c>
      <x:c r="T49" s="9" t="n">
        <x:f>SUMIFS('350配方'!$M49:$P49,'350配方'!$Y49:$AB49,111)</x:f>
        <x:v>833.64</x:v>
      </x:c>
      <x:c r="U49" s="9" t="n">
        <x:f>SUMIFS('350配方'!$M49:$P49,'350配方'!$Y49:$AB49,114)</x:f>
        <x:v>0</x:v>
      </x:c>
      <x:c r="V49" s="9" t="n">
        <x:f>SUMIFS('350配方'!$M49:$P49,'350配方'!$Y49:$AB49,115)</x:f>
        <x:v>0</x:v>
      </x:c>
      <x:c r="W49" s="9" t="n">
        <x:f>SUMIFS('350配方'!$M49:$P49,'350配方'!$Y49:$AB49,117)</x:f>
        <x:v>0</x:v>
      </x:c>
      <x:c r="X49" s="9" t="n">
        <x:f>SUMIFS('350配方'!$M49:$P49,'350配方'!$Y49:$AB49,126)</x:f>
        <x:v>0</x:v>
      </x:c>
      <x:c r="Y49" s="9" t="n">
        <x:f>SUMIFS('350配方'!$M49:$P49,'350配方'!$Y49:$AB49,136)</x:f>
        <x:v>0</x:v>
      </x:c>
      <x:c r="Z49" s="9" t="n">
        <x:f>SUMIFS('350配方'!$M49:$P49,'350配方'!$Y49:$AB49,141)</x:f>
        <x:v>0</x:v>
      </x:c>
      <x:c r="AA49" s="9" t="n">
        <x:f>SUMIFS('350配方'!$M49:$P49,'350配方'!$Y49:$AB49,152)</x:f>
        <x:v>0</x:v>
      </x:c>
      <x:c r="AB49" s="9" t="n">
        <x:f>SUMIFS('350配方'!$M49:$P49,'350配方'!$Y49:$AB49,165)</x:f>
        <x:v>0</x:v>
      </x:c>
      <x:c r="AC49" s="9" t="n">
        <x:f>SUMIFS('350配方'!$M49:$P49,'350配方'!$Y49:$AB49,186)</x:f>
        <x:v>0</x:v>
      </x:c>
      <x:c r="AD49" s="9" t="n">
        <x:f>SUMIFS('350配方'!$M49:$P49,'350配方'!$Y49:$AB49,207)</x:f>
        <x:v>0</x:v>
      </x:c>
      <x:c r="AE49" s="9" t="n">
        <x:f>SUMIFS('350配方'!$M49:$P49,'350配方'!$Y49:$AB49,209)</x:f>
        <x:v>0</x:v>
      </x:c>
      <x:c r="AF49" s="9" t="n">
        <x:f>SUMIFS('350配方'!$M49:$P49,'350配方'!$Y49:$AB49,227)</x:f>
        <x:v>0</x:v>
      </x:c>
      <x:c r="AG49" s="9" t="n">
        <x:f>SUMIFS('350配方'!$M49:$P49,'350配方'!$Y49:$AB49,232)</x:f>
        <x:v>0</x:v>
      </x:c>
      <x:c r="AH49" s="9" t="n">
        <x:f>SUMIFS('350配方'!$M49:$P49,'350配方'!$Y49:$AB49,255)</x:f>
        <x:v>0</x:v>
      </x:c>
      <x:c r="AI49" s="9" t="n">
        <x:f>'浓度设置'!S6</x:f>
        <x:v>219125.9626344086</x:v>
      </x:c>
      <x:c r="AJ49" s="9" t="n">
        <x:f>'浓度设置'!S8</x:f>
        <x:v>92796.92267241378</x:v>
      </x:c>
      <x:c r="AK49" s="9" t="n">
        <x:f>'浓度设置'!S10</x:f>
        <x:v>30556.797802197798</x:v>
      </x:c>
      <x:c r="AL49" s="9" t="n">
        <x:f>'浓度设置'!S12</x:f>
        <x:v>1735.828970588235</x:v>
      </x:c>
      <x:c r="AM49" s="9" t="n">
        <x:f>'浓度设置'!S15</x:f>
        <x:v>7385.813644067793</x:v>
      </x:c>
      <x:c r="AN49" s="9" t="n">
        <x:f>'浓度设置'!S19</x:f>
        <x:v>27722.03097701148</x:v>
      </x:c>
      <x:c r="AO49" s="9" t="n">
        <x:f>'浓度设置'!S22</x:f>
        <x:v>44345.55047619048</x:v>
      </x:c>
      <x:c r="AP49" s="9" t="n">
        <x:f>'浓度设置'!S26</x:f>
        <x:v>153318.30499999996</x:v>
      </x:c>
      <x:c r="AQ49" s="9" t="n">
        <x:f>'浓度设置'!S29</x:f>
        <x:v>312.7970588235294</x:v>
      </x:c>
      <x:c r="AR49" s="9" t="n">
        <x:f>'浓度设置'!S30</x:f>
        <x:v>104175.5097553192</x:v>
      </x:c>
      <x:c r="AS49" s="9" t="n">
        <x:f>'浓度设置'!S35</x:f>
        <x:v>405974.90656785714</x:v>
      </x:c>
    </x:row>
    <x:row r="50" ht="24" customHeight="1">
      <x:c r="A50" s="3" t="str">
        <x:f>'350配方'!A50</x:f>
        <x:v>T045</x:v>
      </x:c>
      <x:c r="B50" s="3" t="str">
        <x:f>'350配方'!B50</x:f>
        <x:v>拟合</x:v>
      </x:c>
      <x:c r="C50" s="3" t="n">
        <x:f>IF(B50="拟合",1,0)</x:f>
        <x:v>1</x:v>
      </x:c>
      <x:c r="D50" s="3" t="n">
        <x:f>'350配方'!AC50</x:f>
        <x:v>1</x:v>
      </x:c>
      <x:c r="E50" s="9" t="n">
        <x:f>SUMIFS('350配方'!$M50:$P50,'350配方'!$Y50:$AB50,7)</x:f>
        <x:v>0</x:v>
      </x:c>
      <x:c r="F50" s="9" t="n">
        <x:f>SUMIFS('350配方'!$M50:$P50,'350配方'!$Y50:$AB50,11)</x:f>
        <x:v>0</x:v>
      </x:c>
      <x:c r="G50" s="9" t="n">
        <x:f>SUMIFS('350配方'!$M50:$P50,'350配方'!$Y50:$AB50,18)</x:f>
        <x:v>0</x:v>
      </x:c>
      <x:c r="H50" s="9" t="n">
        <x:f>SUMIFS('350配方'!$M50:$P50,'350配方'!$Y50:$AB50,32)</x:f>
        <x:v>0</x:v>
      </x:c>
      <x:c r="I50" s="9" t="n">
        <x:f>SUMIFS('350配方'!$M50:$P50,'350配方'!$Y50:$AB50,40)</x:f>
        <x:v>0</x:v>
      </x:c>
      <x:c r="J50" s="9" t="n">
        <x:f>SUMIFS('350配方'!$M50:$P50,'350配方'!$Y50:$AB50,52)</x:f>
        <x:v>0</x:v>
      </x:c>
      <x:c r="K50" s="9" t="n">
        <x:f>SUMIFS('350配方'!$M50:$P50,'350配方'!$Y50:$AB50,53)</x:f>
        <x:v>0</x:v>
      </x:c>
      <x:c r="L50" s="9" t="n">
        <x:f>SUMIFS('350配方'!$M50:$P50,'350配方'!$Y50:$AB50,56)</x:f>
        <x:v>0</x:v>
      </x:c>
      <x:c r="M50" s="9" t="n">
        <x:f>SUMIFS('350配方'!$M50:$P50,'350配方'!$Y50:$AB50,58)</x:f>
        <x:v>0</x:v>
      </x:c>
      <x:c r="N50" s="9" t="n">
        <x:f>SUMIFS('350配方'!$M50:$P50,'350配方'!$Y50:$AB50,61)</x:f>
        <x:v>0</x:v>
      </x:c>
      <x:c r="O50" s="9" t="n">
        <x:f>SUMIFS('350配方'!$M50:$P50,'350配方'!$Y50:$AB50,69)</x:f>
        <x:v>0</x:v>
      </x:c>
      <x:c r="P50" s="9" t="n">
        <x:f>SUMIFS('350配方'!$M50:$P50,'350配方'!$Y50:$AB50,75)</x:f>
        <x:v>0</x:v>
      </x:c>
      <x:c r="Q50" s="9" t="n">
        <x:f>SUMIFS('350配方'!$M50:$P50,'350配方'!$Y50:$AB50,79)</x:f>
        <x:v>0</x:v>
      </x:c>
      <x:c r="R50" s="9" t="n">
        <x:f>SUMIFS('350配方'!$M50:$P50,'350配方'!$Y50:$AB50,90)</x:f>
        <x:v>0</x:v>
      </x:c>
      <x:c r="S50" s="9" t="n">
        <x:f>SUMIFS('350配方'!$M50:$P50,'350配方'!$Y50:$AB50,105)</x:f>
        <x:v>0</x:v>
      </x:c>
      <x:c r="T50" s="9" t="n">
        <x:f>SUMIFS('350配方'!$M50:$P50,'350配方'!$Y50:$AB50,111)</x:f>
        <x:v>89562.18016998023</x:v>
      </x:c>
      <x:c r="U50" s="9" t="n">
        <x:f>SUMIFS('350配方'!$M50:$P50,'350配方'!$Y50:$AB50,114)</x:f>
        <x:v>0</x:v>
      </x:c>
      <x:c r="V50" s="9" t="n">
        <x:f>SUMIFS('350配方'!$M50:$P50,'350配方'!$Y50:$AB50,115)</x:f>
        <x:v>0</x:v>
      </x:c>
      <x:c r="W50" s="9" t="n">
        <x:f>SUMIFS('350配方'!$M50:$P50,'350配方'!$Y50:$AB50,117)</x:f>
        <x:v>0</x:v>
      </x:c>
      <x:c r="X50" s="9" t="n">
        <x:f>SUMIFS('350配方'!$M50:$P50,'350配方'!$Y50:$AB50,126)</x:f>
        <x:v>0</x:v>
      </x:c>
      <x:c r="Y50" s="9" t="n">
        <x:f>SUMIFS('350配方'!$M50:$P50,'350配方'!$Y50:$AB50,136)</x:f>
        <x:v>0</x:v>
      </x:c>
      <x:c r="Z50" s="9" t="n">
        <x:f>SUMIFS('350配方'!$M50:$P50,'350配方'!$Y50:$AB50,141)</x:f>
        <x:v>0</x:v>
      </x:c>
      <x:c r="AA50" s="9" t="n">
        <x:f>SUMIFS('350配方'!$M50:$P50,'350配方'!$Y50:$AB50,152)</x:f>
        <x:v>0</x:v>
      </x:c>
      <x:c r="AB50" s="9" t="n">
        <x:f>SUMIFS('350配方'!$M50:$P50,'350配方'!$Y50:$AB50,165)</x:f>
        <x:v>0</x:v>
      </x:c>
      <x:c r="AC50" s="9" t="n">
        <x:f>SUMIFS('350配方'!$M50:$P50,'350配方'!$Y50:$AB50,186)</x:f>
        <x:v>0</x:v>
      </x:c>
      <x:c r="AD50" s="9" t="n">
        <x:f>SUMIFS('350配方'!$M50:$P50,'350配方'!$Y50:$AB50,207)</x:f>
        <x:v>0</x:v>
      </x:c>
      <x:c r="AE50" s="9" t="n">
        <x:f>SUMIFS('350配方'!$M50:$P50,'350配方'!$Y50:$AB50,209)</x:f>
        <x:v>0</x:v>
      </x:c>
      <x:c r="AF50" s="9" t="n">
        <x:f>SUMIFS('350配方'!$M50:$P50,'350配方'!$Y50:$AB50,227)</x:f>
        <x:v>0</x:v>
      </x:c>
      <x:c r="AG50" s="9" t="n">
        <x:f>SUMIFS('350配方'!$M50:$P50,'350配方'!$Y50:$AB50,232)</x:f>
        <x:v>0</x:v>
      </x:c>
      <x:c r="AH50" s="9" t="n">
        <x:f>SUMIFS('350配方'!$M50:$P50,'350配方'!$Y50:$AB50,255)</x:f>
        <x:v>0</x:v>
      </x:c>
      <x:c r="AI50" s="9" t="n">
        <x:f>'浓度设置'!S6</x:f>
        <x:v>219125.9626344086</x:v>
      </x:c>
      <x:c r="AJ50" s="9" t="n">
        <x:f>'浓度设置'!S8</x:f>
        <x:v>92796.92267241378</x:v>
      </x:c>
      <x:c r="AK50" s="9" t="n">
        <x:f>'浓度设置'!S10</x:f>
        <x:v>30556.797802197798</x:v>
      </x:c>
      <x:c r="AL50" s="9" t="n">
        <x:f>'浓度设置'!S12</x:f>
        <x:v>1735.828970588235</x:v>
      </x:c>
      <x:c r="AM50" s="9" t="n">
        <x:f>'浓度设置'!S15</x:f>
        <x:v>7385.813644067793</x:v>
      </x:c>
      <x:c r="AN50" s="9" t="n">
        <x:f>'浓度设置'!S19</x:f>
        <x:v>27722.03097701148</x:v>
      </x:c>
      <x:c r="AO50" s="9" t="n">
        <x:f>'浓度设置'!S22</x:f>
        <x:v>44345.55047619048</x:v>
      </x:c>
      <x:c r="AP50" s="9" t="n">
        <x:f>'浓度设置'!S26</x:f>
        <x:v>153318.30499999996</x:v>
      </x:c>
      <x:c r="AQ50" s="9" t="n">
        <x:f>'浓度设置'!S29</x:f>
        <x:v>312.7970588235294</x:v>
      </x:c>
      <x:c r="AR50" s="9" t="n">
        <x:f>'浓度设置'!S30</x:f>
        <x:v>104175.5097553192</x:v>
      </x:c>
      <x:c r="AS50" s="9" t="n">
        <x:f>'浓度设置'!S35</x:f>
        <x:v>405974.90656785714</x:v>
      </x:c>
    </x:row>
    <x:row r="51" ht="24" customHeight="1">
      <x:c r="A51" s="3" t="str">
        <x:f>'350配方'!A51</x:f>
        <x:v>T046</x:v>
      </x:c>
      <x:c r="B51" s="3" t="str">
        <x:f>'350配方'!B51</x:f>
        <x:v>拟合</x:v>
      </x:c>
      <x:c r="C51" s="3" t="n">
        <x:f>IF(B51="拟合",1,0)</x:f>
        <x:v>1</x:v>
      </x:c>
      <x:c r="D51" s="3" t="n">
        <x:f>'350配方'!AC51</x:f>
        <x:v>1</x:v>
      </x:c>
      <x:c r="E51" s="9" t="n">
        <x:f>SUMIFS('350配方'!$M51:$P51,'350配方'!$Y51:$AB51,7)</x:f>
        <x:v>0</x:v>
      </x:c>
      <x:c r="F51" s="9" t="n">
        <x:f>SUMIFS('350配方'!$M51:$P51,'350配方'!$Y51:$AB51,11)</x:f>
        <x:v>0</x:v>
      </x:c>
      <x:c r="G51" s="9" t="n">
        <x:f>SUMIFS('350配方'!$M51:$P51,'350配方'!$Y51:$AB51,18)</x:f>
        <x:v>0</x:v>
      </x:c>
      <x:c r="H51" s="9" t="n">
        <x:f>SUMIFS('350配方'!$M51:$P51,'350配方'!$Y51:$AB51,32)</x:f>
        <x:v>0</x:v>
      </x:c>
      <x:c r="I51" s="9" t="n">
        <x:f>SUMIFS('350配方'!$M51:$P51,'350配方'!$Y51:$AB51,40)</x:f>
        <x:v>0</x:v>
      </x:c>
      <x:c r="J51" s="9" t="n">
        <x:f>SUMIFS('350配方'!$M51:$P51,'350配方'!$Y51:$AB51,52)</x:f>
        <x:v>0</x:v>
      </x:c>
      <x:c r="K51" s="9" t="n">
        <x:f>SUMIFS('350配方'!$M51:$P51,'350配方'!$Y51:$AB51,53)</x:f>
        <x:v>0</x:v>
      </x:c>
      <x:c r="L51" s="9" t="n">
        <x:f>SUMIFS('350配方'!$M51:$P51,'350配方'!$Y51:$AB51,56)</x:f>
        <x:v>0</x:v>
      </x:c>
      <x:c r="M51" s="9" t="n">
        <x:f>SUMIFS('350配方'!$M51:$P51,'350配方'!$Y51:$AB51,58)</x:f>
        <x:v>0</x:v>
      </x:c>
      <x:c r="N51" s="9" t="n">
        <x:f>SUMIFS('350配方'!$M51:$P51,'350配方'!$Y51:$AB51,61)</x:f>
        <x:v>0</x:v>
      </x:c>
      <x:c r="O51" s="9" t="n">
        <x:f>SUMIFS('350配方'!$M51:$P51,'350配方'!$Y51:$AB51,69)</x:f>
        <x:v>0</x:v>
      </x:c>
      <x:c r="P51" s="9" t="n">
        <x:f>SUMIFS('350配方'!$M51:$P51,'350配方'!$Y51:$AB51,75)</x:f>
        <x:v>0</x:v>
      </x:c>
      <x:c r="Q51" s="9" t="n">
        <x:f>SUMIFS('350配方'!$M51:$P51,'350配方'!$Y51:$AB51,79)</x:f>
        <x:v>0</x:v>
      </x:c>
      <x:c r="R51" s="9" t="n">
        <x:f>SUMIFS('350配方'!$M51:$P51,'350配方'!$Y51:$AB51,90)</x:f>
        <x:v>0</x:v>
      </x:c>
      <x:c r="S51" s="9" t="n">
        <x:f>SUMIFS('350配方'!$M51:$P51,'350配方'!$Y51:$AB51,105)</x:f>
        <x:v>0</x:v>
      </x:c>
      <x:c r="T51" s="9" t="n">
        <x:f>SUMIFS('350配方'!$M51:$P51,'350配方'!$Y51:$AB51,111)</x:f>
        <x:v>9622120</x:v>
      </x:c>
      <x:c r="U51" s="9" t="n">
        <x:f>SUMIFS('350配方'!$M51:$P51,'350配方'!$Y51:$AB51,114)</x:f>
        <x:v>0</x:v>
      </x:c>
      <x:c r="V51" s="9" t="n">
        <x:f>SUMIFS('350配方'!$M51:$P51,'350配方'!$Y51:$AB51,115)</x:f>
        <x:v>0</x:v>
      </x:c>
      <x:c r="W51" s="9" t="n">
        <x:f>SUMIFS('350配方'!$M51:$P51,'350配方'!$Y51:$AB51,117)</x:f>
        <x:v>0</x:v>
      </x:c>
      <x:c r="X51" s="9" t="n">
        <x:f>SUMIFS('350配方'!$M51:$P51,'350配方'!$Y51:$AB51,126)</x:f>
        <x:v>0</x:v>
      </x:c>
      <x:c r="Y51" s="9" t="n">
        <x:f>SUMIFS('350配方'!$M51:$P51,'350配方'!$Y51:$AB51,136)</x:f>
        <x:v>0</x:v>
      </x:c>
      <x:c r="Z51" s="9" t="n">
        <x:f>SUMIFS('350配方'!$M51:$P51,'350配方'!$Y51:$AB51,141)</x:f>
        <x:v>0</x:v>
      </x:c>
      <x:c r="AA51" s="9" t="n">
        <x:f>SUMIFS('350配方'!$M51:$P51,'350配方'!$Y51:$AB51,152)</x:f>
        <x:v>0</x:v>
      </x:c>
      <x:c r="AB51" s="9" t="n">
        <x:f>SUMIFS('350配方'!$M51:$P51,'350配方'!$Y51:$AB51,165)</x:f>
        <x:v>0</x:v>
      </x:c>
      <x:c r="AC51" s="9" t="n">
        <x:f>SUMIFS('350配方'!$M51:$P51,'350配方'!$Y51:$AB51,186)</x:f>
        <x:v>0</x:v>
      </x:c>
      <x:c r="AD51" s="9" t="n">
        <x:f>SUMIFS('350配方'!$M51:$P51,'350配方'!$Y51:$AB51,207)</x:f>
        <x:v>0</x:v>
      </x:c>
      <x:c r="AE51" s="9" t="n">
        <x:f>SUMIFS('350配方'!$M51:$P51,'350配方'!$Y51:$AB51,209)</x:f>
        <x:v>0</x:v>
      </x:c>
      <x:c r="AF51" s="9" t="n">
        <x:f>SUMIFS('350配方'!$M51:$P51,'350配方'!$Y51:$AB51,227)</x:f>
        <x:v>0</x:v>
      </x:c>
      <x:c r="AG51" s="9" t="n">
        <x:f>SUMIFS('350配方'!$M51:$P51,'350配方'!$Y51:$AB51,232)</x:f>
        <x:v>0</x:v>
      </x:c>
      <x:c r="AH51" s="9" t="n">
        <x:f>SUMIFS('350配方'!$M51:$P51,'350配方'!$Y51:$AB51,255)</x:f>
        <x:v>0</x:v>
      </x:c>
      <x:c r="AI51" s="9" t="n">
        <x:f>'浓度设置'!S6</x:f>
        <x:v>219125.9626344086</x:v>
      </x:c>
      <x:c r="AJ51" s="9" t="n">
        <x:f>'浓度设置'!S8</x:f>
        <x:v>92796.92267241378</x:v>
      </x:c>
      <x:c r="AK51" s="9" t="n">
        <x:f>'浓度设置'!S10</x:f>
        <x:v>30556.797802197798</x:v>
      </x:c>
      <x:c r="AL51" s="9" t="n">
        <x:f>'浓度设置'!S12</x:f>
        <x:v>1735.828970588235</x:v>
      </x:c>
      <x:c r="AM51" s="9" t="n">
        <x:f>'浓度设置'!S15</x:f>
        <x:v>7385.813644067793</x:v>
      </x:c>
      <x:c r="AN51" s="9" t="n">
        <x:f>'浓度设置'!S19</x:f>
        <x:v>27722.03097701148</x:v>
      </x:c>
      <x:c r="AO51" s="9" t="n">
        <x:f>'浓度设置'!S22</x:f>
        <x:v>44345.55047619048</x:v>
      </x:c>
      <x:c r="AP51" s="9" t="n">
        <x:f>'浓度设置'!S26</x:f>
        <x:v>153318.30499999996</x:v>
      </x:c>
      <x:c r="AQ51" s="9" t="n">
        <x:f>'浓度设置'!S29</x:f>
        <x:v>312.7970588235294</x:v>
      </x:c>
      <x:c r="AR51" s="9" t="n">
        <x:f>'浓度设置'!S30</x:f>
        <x:v>104175.5097553192</x:v>
      </x:c>
      <x:c r="AS51" s="9" t="n">
        <x:f>'浓度设置'!S35</x:f>
        <x:v>405974.90656785714</x:v>
      </x:c>
    </x:row>
    <x:row r="52" ht="24" customHeight="1">
      <x:c r="A52" s="3" t="str">
        <x:f>'350配方'!A52</x:f>
        <x:v>T047</x:v>
      </x:c>
      <x:c r="B52" s="3" t="str">
        <x:f>'350配方'!B52</x:f>
        <x:v>拟合</x:v>
      </x:c>
      <x:c r="C52" s="3" t="n">
        <x:f>IF(B52="拟合",1,0)</x:f>
        <x:v>1</x:v>
      </x:c>
      <x:c r="D52" s="3" t="n">
        <x:f>'350配方'!AC52</x:f>
        <x:v>1</x:v>
      </x:c>
      <x:c r="E52" s="9" t="n">
        <x:f>SUMIFS('350配方'!$M52:$P52,'350配方'!$Y52:$AB52,7)</x:f>
        <x:v>0</x:v>
      </x:c>
      <x:c r="F52" s="9" t="n">
        <x:f>SUMIFS('350配方'!$M52:$P52,'350配方'!$Y52:$AB52,11)</x:f>
        <x:v>0</x:v>
      </x:c>
      <x:c r="G52" s="9" t="n">
        <x:f>SUMIFS('350配方'!$M52:$P52,'350配方'!$Y52:$AB52,18)</x:f>
        <x:v>0</x:v>
      </x:c>
      <x:c r="H52" s="9" t="n">
        <x:f>SUMIFS('350配方'!$M52:$P52,'350配方'!$Y52:$AB52,32)</x:f>
        <x:v>0</x:v>
      </x:c>
      <x:c r="I52" s="9" t="n">
        <x:f>SUMIFS('350配方'!$M52:$P52,'350配方'!$Y52:$AB52,40)</x:f>
        <x:v>0</x:v>
      </x:c>
      <x:c r="J52" s="9" t="n">
        <x:f>SUMIFS('350配方'!$M52:$P52,'350配方'!$Y52:$AB52,52)</x:f>
        <x:v>0</x:v>
      </x:c>
      <x:c r="K52" s="9" t="n">
        <x:f>SUMIFS('350配方'!$M52:$P52,'350配方'!$Y52:$AB52,53)</x:f>
        <x:v>0</x:v>
      </x:c>
      <x:c r="L52" s="9" t="n">
        <x:f>SUMIFS('350配方'!$M52:$P52,'350配方'!$Y52:$AB52,56)</x:f>
        <x:v>0</x:v>
      </x:c>
      <x:c r="M52" s="9" t="n">
        <x:f>SUMIFS('350配方'!$M52:$P52,'350配方'!$Y52:$AB52,58)</x:f>
        <x:v>0</x:v>
      </x:c>
      <x:c r="N52" s="9" t="n">
        <x:f>SUMIFS('350配方'!$M52:$P52,'350配方'!$Y52:$AB52,61)</x:f>
        <x:v>0</x:v>
      </x:c>
      <x:c r="O52" s="9" t="n">
        <x:f>SUMIFS('350配方'!$M52:$P52,'350配方'!$Y52:$AB52,69)</x:f>
        <x:v>0</x:v>
      </x:c>
      <x:c r="P52" s="9" t="n">
        <x:f>SUMIFS('350配方'!$M52:$P52,'350配方'!$Y52:$AB52,75)</x:f>
        <x:v>0</x:v>
      </x:c>
      <x:c r="Q52" s="9" t="n">
        <x:f>SUMIFS('350配方'!$M52:$P52,'350配方'!$Y52:$AB52,79)</x:f>
        <x:v>0</x:v>
      </x:c>
      <x:c r="R52" s="9" t="n">
        <x:f>SUMIFS('350配方'!$M52:$P52,'350配方'!$Y52:$AB52,90)</x:f>
        <x:v>0</x:v>
      </x:c>
      <x:c r="S52" s="9" t="n">
        <x:f>SUMIFS('350配方'!$M52:$P52,'350配方'!$Y52:$AB52,105)</x:f>
        <x:v>0</x:v>
      </x:c>
      <x:c r="T52" s="9" t="n">
        <x:f>SUMIFS('350配方'!$M52:$P52,'350配方'!$Y52:$AB52,111)</x:f>
        <x:v>0</x:v>
      </x:c>
      <x:c r="U52" s="9" t="n">
        <x:f>SUMIFS('350配方'!$M52:$P52,'350配方'!$Y52:$AB52,114)</x:f>
        <x:v>3147.945</x:v>
      </x:c>
      <x:c r="V52" s="9" t="n">
        <x:f>SUMIFS('350配方'!$M52:$P52,'350配方'!$Y52:$AB52,115)</x:f>
        <x:v>0</x:v>
      </x:c>
      <x:c r="W52" s="9" t="n">
        <x:f>SUMIFS('350配方'!$M52:$P52,'350配方'!$Y52:$AB52,117)</x:f>
        <x:v>0</x:v>
      </x:c>
      <x:c r="X52" s="9" t="n">
        <x:f>SUMIFS('350配方'!$M52:$P52,'350配方'!$Y52:$AB52,126)</x:f>
        <x:v>0</x:v>
      </x:c>
      <x:c r="Y52" s="9" t="n">
        <x:f>SUMIFS('350配方'!$M52:$P52,'350配方'!$Y52:$AB52,136)</x:f>
        <x:v>0</x:v>
      </x:c>
      <x:c r="Z52" s="9" t="n">
        <x:f>SUMIFS('350配方'!$M52:$P52,'350配方'!$Y52:$AB52,141)</x:f>
        <x:v>0</x:v>
      </x:c>
      <x:c r="AA52" s="9" t="n">
        <x:f>SUMIFS('350配方'!$M52:$P52,'350配方'!$Y52:$AB52,152)</x:f>
        <x:v>0</x:v>
      </x:c>
      <x:c r="AB52" s="9" t="n">
        <x:f>SUMIFS('350配方'!$M52:$P52,'350配方'!$Y52:$AB52,165)</x:f>
        <x:v>0</x:v>
      </x:c>
      <x:c r="AC52" s="9" t="n">
        <x:f>SUMIFS('350配方'!$M52:$P52,'350配方'!$Y52:$AB52,186)</x:f>
        <x:v>0</x:v>
      </x:c>
      <x:c r="AD52" s="9" t="n">
        <x:f>SUMIFS('350配方'!$M52:$P52,'350配方'!$Y52:$AB52,207)</x:f>
        <x:v>0</x:v>
      </x:c>
      <x:c r="AE52" s="9" t="n">
        <x:f>SUMIFS('350配方'!$M52:$P52,'350配方'!$Y52:$AB52,209)</x:f>
        <x:v>0</x:v>
      </x:c>
      <x:c r="AF52" s="9" t="n">
        <x:f>SUMIFS('350配方'!$M52:$P52,'350配方'!$Y52:$AB52,227)</x:f>
        <x:v>0</x:v>
      </x:c>
      <x:c r="AG52" s="9" t="n">
        <x:f>SUMIFS('350配方'!$M52:$P52,'350配方'!$Y52:$AB52,232)</x:f>
        <x:v>0</x:v>
      </x:c>
      <x:c r="AH52" s="9" t="n">
        <x:f>SUMIFS('350配方'!$M52:$P52,'350配方'!$Y52:$AB52,255)</x:f>
        <x:v>0</x:v>
      </x:c>
      <x:c r="AI52" s="9" t="n">
        <x:f>'浓度设置'!S6</x:f>
        <x:v>219125.9626344086</x:v>
      </x:c>
      <x:c r="AJ52" s="9" t="n">
        <x:f>'浓度设置'!S8</x:f>
        <x:v>92796.92267241378</x:v>
      </x:c>
      <x:c r="AK52" s="9" t="n">
        <x:f>'浓度设置'!S10</x:f>
        <x:v>30556.797802197798</x:v>
      </x:c>
      <x:c r="AL52" s="9" t="n">
        <x:f>'浓度设置'!S12</x:f>
        <x:v>1735.828970588235</x:v>
      </x:c>
      <x:c r="AM52" s="9" t="n">
        <x:f>'浓度设置'!S15</x:f>
        <x:v>7385.813644067793</x:v>
      </x:c>
      <x:c r="AN52" s="9" t="n">
        <x:f>'浓度设置'!S19</x:f>
        <x:v>27722.03097701148</x:v>
      </x:c>
      <x:c r="AO52" s="9" t="n">
        <x:f>'浓度设置'!S22</x:f>
        <x:v>44345.55047619048</x:v>
      </x:c>
      <x:c r="AP52" s="9" t="n">
        <x:f>'浓度设置'!S26</x:f>
        <x:v>153318.30499999996</x:v>
      </x:c>
      <x:c r="AQ52" s="9" t="n">
        <x:f>'浓度设置'!S29</x:f>
        <x:v>312.7970588235294</x:v>
      </x:c>
      <x:c r="AR52" s="9" t="n">
        <x:f>'浓度设置'!S30</x:f>
        <x:v>104175.5097553192</x:v>
      </x:c>
      <x:c r="AS52" s="9" t="n">
        <x:f>'浓度设置'!S35</x:f>
        <x:v>405974.90656785714</x:v>
      </x:c>
    </x:row>
    <x:row r="53" ht="24" customHeight="1">
      <x:c r="A53" s="3" t="str">
        <x:f>'350配方'!A53</x:f>
        <x:v>T048</x:v>
      </x:c>
      <x:c r="B53" s="3" t="str">
        <x:f>'350配方'!B53</x:f>
        <x:v>拟合</x:v>
      </x:c>
      <x:c r="C53" s="3" t="n">
        <x:f>IF(B53="拟合",1,0)</x:f>
        <x:v>1</x:v>
      </x:c>
      <x:c r="D53" s="3" t="n">
        <x:f>'350配方'!AC53</x:f>
        <x:v>1</x:v>
      </x:c>
      <x:c r="E53" s="9" t="n">
        <x:f>SUMIFS('350配方'!$M53:$P53,'350配方'!$Y53:$AB53,7)</x:f>
        <x:v>0</x:v>
      </x:c>
      <x:c r="F53" s="9" t="n">
        <x:f>SUMIFS('350配方'!$M53:$P53,'350配方'!$Y53:$AB53,11)</x:f>
        <x:v>0</x:v>
      </x:c>
      <x:c r="G53" s="9" t="n">
        <x:f>SUMIFS('350配方'!$M53:$P53,'350配方'!$Y53:$AB53,18)</x:f>
        <x:v>0</x:v>
      </x:c>
      <x:c r="H53" s="9" t="n">
        <x:f>SUMIFS('350配方'!$M53:$P53,'350配方'!$Y53:$AB53,32)</x:f>
        <x:v>0</x:v>
      </x:c>
      <x:c r="I53" s="9" t="n">
        <x:f>SUMIFS('350配方'!$M53:$P53,'350配方'!$Y53:$AB53,40)</x:f>
        <x:v>0</x:v>
      </x:c>
      <x:c r="J53" s="9" t="n">
        <x:f>SUMIFS('350配方'!$M53:$P53,'350配方'!$Y53:$AB53,52)</x:f>
        <x:v>0</x:v>
      </x:c>
      <x:c r="K53" s="9" t="n">
        <x:f>SUMIFS('350配方'!$M53:$P53,'350配方'!$Y53:$AB53,53)</x:f>
        <x:v>0</x:v>
      </x:c>
      <x:c r="L53" s="9" t="n">
        <x:f>SUMIFS('350配方'!$M53:$P53,'350配方'!$Y53:$AB53,56)</x:f>
        <x:v>0</x:v>
      </x:c>
      <x:c r="M53" s="9" t="n">
        <x:f>SUMIFS('350配方'!$M53:$P53,'350配方'!$Y53:$AB53,58)</x:f>
        <x:v>0</x:v>
      </x:c>
      <x:c r="N53" s="9" t="n">
        <x:f>SUMIFS('350配方'!$M53:$P53,'350配方'!$Y53:$AB53,61)</x:f>
        <x:v>0</x:v>
      </x:c>
      <x:c r="O53" s="9" t="n">
        <x:f>SUMIFS('350配方'!$M53:$P53,'350配方'!$Y53:$AB53,69)</x:f>
        <x:v>0</x:v>
      </x:c>
      <x:c r="P53" s="9" t="n">
        <x:f>SUMIFS('350配方'!$M53:$P53,'350配方'!$Y53:$AB53,75)</x:f>
        <x:v>0</x:v>
      </x:c>
      <x:c r="Q53" s="9" t="n">
        <x:f>SUMIFS('350配方'!$M53:$P53,'350配方'!$Y53:$AB53,79)</x:f>
        <x:v>0</x:v>
      </x:c>
      <x:c r="R53" s="9" t="n">
        <x:f>SUMIFS('350配方'!$M53:$P53,'350配方'!$Y53:$AB53,90)</x:f>
        <x:v>0</x:v>
      </x:c>
      <x:c r="S53" s="9" t="n">
        <x:f>SUMIFS('350配方'!$M53:$P53,'350配方'!$Y53:$AB53,105)</x:f>
        <x:v>0</x:v>
      </x:c>
      <x:c r="T53" s="9" t="n">
        <x:f>SUMIFS('350配方'!$M53:$P53,'350配方'!$Y53:$AB53,111)</x:f>
        <x:v>0</x:v>
      </x:c>
      <x:c r="U53" s="9" t="n">
        <x:f>SUMIFS('350配方'!$M53:$P53,'350配方'!$Y53:$AB53,114)</x:f>
        <x:v>47100</x:v>
      </x:c>
      <x:c r="V53" s="9" t="n">
        <x:f>SUMIFS('350配方'!$M53:$P53,'350配方'!$Y53:$AB53,115)</x:f>
        <x:v>0</x:v>
      </x:c>
      <x:c r="W53" s="9" t="n">
        <x:f>SUMIFS('350配方'!$M53:$P53,'350配方'!$Y53:$AB53,117)</x:f>
        <x:v>0</x:v>
      </x:c>
      <x:c r="X53" s="9" t="n">
        <x:f>SUMIFS('350配方'!$M53:$P53,'350配方'!$Y53:$AB53,126)</x:f>
        <x:v>0</x:v>
      </x:c>
      <x:c r="Y53" s="9" t="n">
        <x:f>SUMIFS('350配方'!$M53:$P53,'350配方'!$Y53:$AB53,136)</x:f>
        <x:v>0</x:v>
      </x:c>
      <x:c r="Z53" s="9" t="n">
        <x:f>SUMIFS('350配方'!$M53:$P53,'350配方'!$Y53:$AB53,141)</x:f>
        <x:v>0</x:v>
      </x:c>
      <x:c r="AA53" s="9" t="n">
        <x:f>SUMIFS('350配方'!$M53:$P53,'350配方'!$Y53:$AB53,152)</x:f>
        <x:v>0</x:v>
      </x:c>
      <x:c r="AB53" s="9" t="n">
        <x:f>SUMIFS('350配方'!$M53:$P53,'350配方'!$Y53:$AB53,165)</x:f>
        <x:v>0</x:v>
      </x:c>
      <x:c r="AC53" s="9" t="n">
        <x:f>SUMIFS('350配方'!$M53:$P53,'350配方'!$Y53:$AB53,186)</x:f>
        <x:v>0</x:v>
      </x:c>
      <x:c r="AD53" s="9" t="n">
        <x:f>SUMIFS('350配方'!$M53:$P53,'350配方'!$Y53:$AB53,207)</x:f>
        <x:v>0</x:v>
      </x:c>
      <x:c r="AE53" s="9" t="n">
        <x:f>SUMIFS('350配方'!$M53:$P53,'350配方'!$Y53:$AB53,209)</x:f>
        <x:v>0</x:v>
      </x:c>
      <x:c r="AF53" s="9" t="n">
        <x:f>SUMIFS('350配方'!$M53:$P53,'350配方'!$Y53:$AB53,227)</x:f>
        <x:v>0</x:v>
      </x:c>
      <x:c r="AG53" s="9" t="n">
        <x:f>SUMIFS('350配方'!$M53:$P53,'350配方'!$Y53:$AB53,232)</x:f>
        <x:v>0</x:v>
      </x:c>
      <x:c r="AH53" s="9" t="n">
        <x:f>SUMIFS('350配方'!$M53:$P53,'350配方'!$Y53:$AB53,255)</x:f>
        <x:v>0</x:v>
      </x:c>
      <x:c r="AI53" s="9" t="n">
        <x:f>'浓度设置'!S6</x:f>
        <x:v>219125.9626344086</x:v>
      </x:c>
      <x:c r="AJ53" s="9" t="n">
        <x:f>'浓度设置'!S8</x:f>
        <x:v>92796.92267241378</x:v>
      </x:c>
      <x:c r="AK53" s="9" t="n">
        <x:f>'浓度设置'!S10</x:f>
        <x:v>30556.797802197798</x:v>
      </x:c>
      <x:c r="AL53" s="9" t="n">
        <x:f>'浓度设置'!S12</x:f>
        <x:v>1735.828970588235</x:v>
      </x:c>
      <x:c r="AM53" s="9" t="n">
        <x:f>'浓度设置'!S15</x:f>
        <x:v>7385.813644067793</x:v>
      </x:c>
      <x:c r="AN53" s="9" t="n">
        <x:f>'浓度设置'!S19</x:f>
        <x:v>27722.03097701148</x:v>
      </x:c>
      <x:c r="AO53" s="9" t="n">
        <x:f>'浓度设置'!S22</x:f>
        <x:v>44345.55047619048</x:v>
      </x:c>
      <x:c r="AP53" s="9" t="n">
        <x:f>'浓度设置'!S26</x:f>
        <x:v>153318.30499999996</x:v>
      </x:c>
      <x:c r="AQ53" s="9" t="n">
        <x:f>'浓度设置'!S29</x:f>
        <x:v>312.7970588235294</x:v>
      </x:c>
      <x:c r="AR53" s="9" t="n">
        <x:f>'浓度设置'!S30</x:f>
        <x:v>104175.5097553192</x:v>
      </x:c>
      <x:c r="AS53" s="9" t="n">
        <x:f>'浓度设置'!S35</x:f>
        <x:v>405974.90656785714</x:v>
      </x:c>
    </x:row>
    <x:row r="54" ht="24" customHeight="1">
      <x:c r="A54" s="3" t="str">
        <x:f>'350配方'!A54</x:f>
        <x:v>T049</x:v>
      </x:c>
      <x:c r="B54" s="3" t="str">
        <x:f>'350配方'!B54</x:f>
        <x:v>拟合</x:v>
      </x:c>
      <x:c r="C54" s="3" t="n">
        <x:f>IF(B54="拟合",1,0)</x:f>
        <x:v>1</x:v>
      </x:c>
      <x:c r="D54" s="3" t="n">
        <x:f>'350配方'!AC54</x:f>
        <x:v>1</x:v>
      </x:c>
      <x:c r="E54" s="9" t="n">
        <x:f>SUMIFS('350配方'!$M54:$P54,'350配方'!$Y54:$AB54,7)</x:f>
        <x:v>0</x:v>
      </x:c>
      <x:c r="F54" s="9" t="n">
        <x:f>SUMIFS('350配方'!$M54:$P54,'350配方'!$Y54:$AB54,11)</x:f>
        <x:v>0</x:v>
      </x:c>
      <x:c r="G54" s="9" t="n">
        <x:f>SUMIFS('350配方'!$M54:$P54,'350配方'!$Y54:$AB54,18)</x:f>
        <x:v>0</x:v>
      </x:c>
      <x:c r="H54" s="9" t="n">
        <x:f>SUMIFS('350配方'!$M54:$P54,'350配方'!$Y54:$AB54,32)</x:f>
        <x:v>0</x:v>
      </x:c>
      <x:c r="I54" s="9" t="n">
        <x:f>SUMIFS('350配方'!$M54:$P54,'350配方'!$Y54:$AB54,40)</x:f>
        <x:v>0</x:v>
      </x:c>
      <x:c r="J54" s="9" t="n">
        <x:f>SUMIFS('350配方'!$M54:$P54,'350配方'!$Y54:$AB54,52)</x:f>
        <x:v>0</x:v>
      </x:c>
      <x:c r="K54" s="9" t="n">
        <x:f>SUMIFS('350配方'!$M54:$P54,'350配方'!$Y54:$AB54,53)</x:f>
        <x:v>0</x:v>
      </x:c>
      <x:c r="L54" s="9" t="n">
        <x:f>SUMIFS('350配方'!$M54:$P54,'350配方'!$Y54:$AB54,56)</x:f>
        <x:v>0</x:v>
      </x:c>
      <x:c r="M54" s="9" t="n">
        <x:f>SUMIFS('350配方'!$M54:$P54,'350配方'!$Y54:$AB54,58)</x:f>
        <x:v>0</x:v>
      </x:c>
      <x:c r="N54" s="9" t="n">
        <x:f>SUMIFS('350配方'!$M54:$P54,'350配方'!$Y54:$AB54,61)</x:f>
        <x:v>0</x:v>
      </x:c>
      <x:c r="O54" s="9" t="n">
        <x:f>SUMIFS('350配方'!$M54:$P54,'350配方'!$Y54:$AB54,69)</x:f>
        <x:v>0</x:v>
      </x:c>
      <x:c r="P54" s="9" t="n">
        <x:f>SUMIFS('350配方'!$M54:$P54,'350配方'!$Y54:$AB54,75)</x:f>
        <x:v>0</x:v>
      </x:c>
      <x:c r="Q54" s="9" t="n">
        <x:f>SUMIFS('350配方'!$M54:$P54,'350配方'!$Y54:$AB54,79)</x:f>
        <x:v>0</x:v>
      </x:c>
      <x:c r="R54" s="9" t="n">
        <x:f>SUMIFS('350配方'!$M54:$P54,'350配方'!$Y54:$AB54,90)</x:f>
        <x:v>0</x:v>
      </x:c>
      <x:c r="S54" s="9" t="n">
        <x:f>SUMIFS('350配方'!$M54:$P54,'350配方'!$Y54:$AB54,105)</x:f>
        <x:v>0</x:v>
      </x:c>
      <x:c r="T54" s="9" t="n">
        <x:f>SUMIFS('350配方'!$M54:$P54,'350配方'!$Y54:$AB54,111)</x:f>
        <x:v>0</x:v>
      </x:c>
      <x:c r="U54" s="9" t="n">
        <x:f>SUMIFS('350配方'!$M54:$P54,'350配方'!$Y54:$AB54,114)</x:f>
        <x:v>0</x:v>
      </x:c>
      <x:c r="V54" s="9" t="n">
        <x:f>SUMIFS('350配方'!$M54:$P54,'350配方'!$Y54:$AB54,115)</x:f>
        <x:v>1.44</x:v>
      </x:c>
      <x:c r="W54" s="9" t="n">
        <x:f>SUMIFS('350配方'!$M54:$P54,'350配方'!$Y54:$AB54,117)</x:f>
        <x:v>0</x:v>
      </x:c>
      <x:c r="X54" s="9" t="n">
        <x:f>SUMIFS('350配方'!$M54:$P54,'350配方'!$Y54:$AB54,126)</x:f>
        <x:v>0</x:v>
      </x:c>
      <x:c r="Y54" s="9" t="n">
        <x:f>SUMIFS('350配方'!$M54:$P54,'350配方'!$Y54:$AB54,136)</x:f>
        <x:v>0</x:v>
      </x:c>
      <x:c r="Z54" s="9" t="n">
        <x:f>SUMIFS('350配方'!$M54:$P54,'350配方'!$Y54:$AB54,141)</x:f>
        <x:v>0</x:v>
      </x:c>
      <x:c r="AA54" s="9" t="n">
        <x:f>SUMIFS('350配方'!$M54:$P54,'350配方'!$Y54:$AB54,152)</x:f>
        <x:v>0</x:v>
      </x:c>
      <x:c r="AB54" s="9" t="n">
        <x:f>SUMIFS('350配方'!$M54:$P54,'350配方'!$Y54:$AB54,165)</x:f>
        <x:v>0</x:v>
      </x:c>
      <x:c r="AC54" s="9" t="n">
        <x:f>SUMIFS('350配方'!$M54:$P54,'350配方'!$Y54:$AB54,186)</x:f>
        <x:v>0</x:v>
      </x:c>
      <x:c r="AD54" s="9" t="n">
        <x:f>SUMIFS('350配方'!$M54:$P54,'350配方'!$Y54:$AB54,207)</x:f>
        <x:v>0</x:v>
      </x:c>
      <x:c r="AE54" s="9" t="n">
        <x:f>SUMIFS('350配方'!$M54:$P54,'350配方'!$Y54:$AB54,209)</x:f>
        <x:v>0</x:v>
      </x:c>
      <x:c r="AF54" s="9" t="n">
        <x:f>SUMIFS('350配方'!$M54:$P54,'350配方'!$Y54:$AB54,227)</x:f>
        <x:v>0</x:v>
      </x:c>
      <x:c r="AG54" s="9" t="n">
        <x:f>SUMIFS('350配方'!$M54:$P54,'350配方'!$Y54:$AB54,232)</x:f>
        <x:v>0</x:v>
      </x:c>
      <x:c r="AH54" s="9" t="n">
        <x:f>SUMIFS('350配方'!$M54:$P54,'350配方'!$Y54:$AB54,255)</x:f>
        <x:v>0</x:v>
      </x:c>
      <x:c r="AI54" s="9" t="n">
        <x:f>'浓度设置'!S6</x:f>
        <x:v>219125.9626344086</x:v>
      </x:c>
      <x:c r="AJ54" s="9" t="n">
        <x:f>'浓度设置'!S8</x:f>
        <x:v>92796.92267241378</x:v>
      </x:c>
      <x:c r="AK54" s="9" t="n">
        <x:f>'浓度设置'!S10</x:f>
        <x:v>30556.797802197798</x:v>
      </x:c>
      <x:c r="AL54" s="9" t="n">
        <x:f>'浓度设置'!S12</x:f>
        <x:v>1735.828970588235</x:v>
      </x:c>
      <x:c r="AM54" s="9" t="n">
        <x:f>'浓度设置'!S15</x:f>
        <x:v>7385.813644067793</x:v>
      </x:c>
      <x:c r="AN54" s="9" t="n">
        <x:f>'浓度设置'!S19</x:f>
        <x:v>27722.03097701148</x:v>
      </x:c>
      <x:c r="AO54" s="9" t="n">
        <x:f>'浓度设置'!S22</x:f>
        <x:v>44345.55047619048</x:v>
      </x:c>
      <x:c r="AP54" s="9" t="n">
        <x:f>'浓度设置'!S26</x:f>
        <x:v>153318.30499999996</x:v>
      </x:c>
      <x:c r="AQ54" s="9" t="n">
        <x:f>'浓度设置'!S29</x:f>
        <x:v>312.7970588235294</x:v>
      </x:c>
      <x:c r="AR54" s="9" t="n">
        <x:f>'浓度设置'!S30</x:f>
        <x:v>104175.5097553192</x:v>
      </x:c>
      <x:c r="AS54" s="9" t="n">
        <x:f>'浓度设置'!S35</x:f>
        <x:v>405974.90656785714</x:v>
      </x:c>
    </x:row>
    <x:row r="55" ht="24" customHeight="1">
      <x:c r="A55" s="3" t="str">
        <x:f>'350配方'!A55</x:f>
        <x:v>T050</x:v>
      </x:c>
      <x:c r="B55" s="3" t="str">
        <x:f>'350配方'!B55</x:f>
        <x:v>拟合</x:v>
      </x:c>
      <x:c r="C55" s="3" t="n">
        <x:f>IF(B55="拟合",1,0)</x:f>
        <x:v>1</x:v>
      </x:c>
      <x:c r="D55" s="3" t="n">
        <x:f>'350配方'!AC55</x:f>
        <x:v>1</x:v>
      </x:c>
      <x:c r="E55" s="9" t="n">
        <x:f>SUMIFS('350配方'!$M55:$P55,'350配方'!$Y55:$AB55,7)</x:f>
        <x:v>0</x:v>
      </x:c>
      <x:c r="F55" s="9" t="n">
        <x:f>SUMIFS('350配方'!$M55:$P55,'350配方'!$Y55:$AB55,11)</x:f>
        <x:v>0</x:v>
      </x:c>
      <x:c r="G55" s="9" t="n">
        <x:f>SUMIFS('350配方'!$M55:$P55,'350配方'!$Y55:$AB55,18)</x:f>
        <x:v>0</x:v>
      </x:c>
      <x:c r="H55" s="9" t="n">
        <x:f>SUMIFS('350配方'!$M55:$P55,'350配方'!$Y55:$AB55,32)</x:f>
        <x:v>0</x:v>
      </x:c>
      <x:c r="I55" s="9" t="n">
        <x:f>SUMIFS('350配方'!$M55:$P55,'350配方'!$Y55:$AB55,40)</x:f>
        <x:v>0</x:v>
      </x:c>
      <x:c r="J55" s="9" t="n">
        <x:f>SUMIFS('350配方'!$M55:$P55,'350配方'!$Y55:$AB55,52)</x:f>
        <x:v>0</x:v>
      </x:c>
      <x:c r="K55" s="9" t="n">
        <x:f>SUMIFS('350配方'!$M55:$P55,'350配方'!$Y55:$AB55,53)</x:f>
        <x:v>0</x:v>
      </x:c>
      <x:c r="L55" s="9" t="n">
        <x:f>SUMIFS('350配方'!$M55:$P55,'350配方'!$Y55:$AB55,56)</x:f>
        <x:v>0</x:v>
      </x:c>
      <x:c r="M55" s="9" t="n">
        <x:f>SUMIFS('350配方'!$M55:$P55,'350配方'!$Y55:$AB55,58)</x:f>
        <x:v>0</x:v>
      </x:c>
      <x:c r="N55" s="9" t="n">
        <x:f>SUMIFS('350配方'!$M55:$P55,'350配方'!$Y55:$AB55,61)</x:f>
        <x:v>0</x:v>
      </x:c>
      <x:c r="O55" s="9" t="n">
        <x:f>SUMIFS('350配方'!$M55:$P55,'350配方'!$Y55:$AB55,69)</x:f>
        <x:v>0</x:v>
      </x:c>
      <x:c r="P55" s="9" t="n">
        <x:f>SUMIFS('350配方'!$M55:$P55,'350配方'!$Y55:$AB55,75)</x:f>
        <x:v>0</x:v>
      </x:c>
      <x:c r="Q55" s="9" t="n">
        <x:f>SUMIFS('350配方'!$M55:$P55,'350配方'!$Y55:$AB55,79)</x:f>
        <x:v>0</x:v>
      </x:c>
      <x:c r="R55" s="9" t="n">
        <x:f>SUMIFS('350配方'!$M55:$P55,'350配方'!$Y55:$AB55,90)</x:f>
        <x:v>0</x:v>
      </x:c>
      <x:c r="S55" s="9" t="n">
        <x:f>SUMIFS('350配方'!$M55:$P55,'350配方'!$Y55:$AB55,105)</x:f>
        <x:v>0</x:v>
      </x:c>
      <x:c r="T55" s="9" t="n">
        <x:f>SUMIFS('350配方'!$M55:$P55,'350配方'!$Y55:$AB55,111)</x:f>
        <x:v>0</x:v>
      </x:c>
      <x:c r="U55" s="9" t="n">
        <x:f>SUMIFS('350配方'!$M55:$P55,'350配方'!$Y55:$AB55,114)</x:f>
        <x:v>0</x:v>
      </x:c>
      <x:c r="V55" s="9" t="n">
        <x:f>SUMIFS('350配方'!$M55:$P55,'350配方'!$Y55:$AB55,115)</x:f>
        <x:v>96.86609313893071</x:v>
      </x:c>
      <x:c r="W55" s="9" t="n">
        <x:f>SUMIFS('350配方'!$M55:$P55,'350配方'!$Y55:$AB55,117)</x:f>
        <x:v>0</x:v>
      </x:c>
      <x:c r="X55" s="9" t="n">
        <x:f>SUMIFS('350配方'!$M55:$P55,'350配方'!$Y55:$AB55,126)</x:f>
        <x:v>0</x:v>
      </x:c>
      <x:c r="Y55" s="9" t="n">
        <x:f>SUMIFS('350配方'!$M55:$P55,'350配方'!$Y55:$AB55,136)</x:f>
        <x:v>0</x:v>
      </x:c>
      <x:c r="Z55" s="9" t="n">
        <x:f>SUMIFS('350配方'!$M55:$P55,'350配方'!$Y55:$AB55,141)</x:f>
        <x:v>0</x:v>
      </x:c>
      <x:c r="AA55" s="9" t="n">
        <x:f>SUMIFS('350配方'!$M55:$P55,'350配方'!$Y55:$AB55,152)</x:f>
        <x:v>0</x:v>
      </x:c>
      <x:c r="AB55" s="9" t="n">
        <x:f>SUMIFS('350配方'!$M55:$P55,'350配方'!$Y55:$AB55,165)</x:f>
        <x:v>0</x:v>
      </x:c>
      <x:c r="AC55" s="9" t="n">
        <x:f>SUMIFS('350配方'!$M55:$P55,'350配方'!$Y55:$AB55,186)</x:f>
        <x:v>0</x:v>
      </x:c>
      <x:c r="AD55" s="9" t="n">
        <x:f>SUMIFS('350配方'!$M55:$P55,'350配方'!$Y55:$AB55,207)</x:f>
        <x:v>0</x:v>
      </x:c>
      <x:c r="AE55" s="9" t="n">
        <x:f>SUMIFS('350配方'!$M55:$P55,'350配方'!$Y55:$AB55,209)</x:f>
        <x:v>0</x:v>
      </x:c>
      <x:c r="AF55" s="9" t="n">
        <x:f>SUMIFS('350配方'!$M55:$P55,'350配方'!$Y55:$AB55,227)</x:f>
        <x:v>0</x:v>
      </x:c>
      <x:c r="AG55" s="9" t="n">
        <x:f>SUMIFS('350配方'!$M55:$P55,'350配方'!$Y55:$AB55,232)</x:f>
        <x:v>0</x:v>
      </x:c>
      <x:c r="AH55" s="9" t="n">
        <x:f>SUMIFS('350配方'!$M55:$P55,'350配方'!$Y55:$AB55,255)</x:f>
        <x:v>0</x:v>
      </x:c>
      <x:c r="AI55" s="9" t="n">
        <x:f>'浓度设置'!S6</x:f>
        <x:v>219125.9626344086</x:v>
      </x:c>
      <x:c r="AJ55" s="9" t="n">
        <x:f>'浓度设置'!S8</x:f>
        <x:v>92796.92267241378</x:v>
      </x:c>
      <x:c r="AK55" s="9" t="n">
        <x:f>'浓度设置'!S10</x:f>
        <x:v>30556.797802197798</x:v>
      </x:c>
      <x:c r="AL55" s="9" t="n">
        <x:f>'浓度设置'!S12</x:f>
        <x:v>1735.828970588235</x:v>
      </x:c>
      <x:c r="AM55" s="9" t="n">
        <x:f>'浓度设置'!S15</x:f>
        <x:v>7385.813644067793</x:v>
      </x:c>
      <x:c r="AN55" s="9" t="n">
        <x:f>'浓度设置'!S19</x:f>
        <x:v>27722.03097701148</x:v>
      </x:c>
      <x:c r="AO55" s="9" t="n">
        <x:f>'浓度设置'!S22</x:f>
        <x:v>44345.55047619048</x:v>
      </x:c>
      <x:c r="AP55" s="9" t="n">
        <x:f>'浓度设置'!S26</x:f>
        <x:v>153318.30499999996</x:v>
      </x:c>
      <x:c r="AQ55" s="9" t="n">
        <x:f>'浓度设置'!S29</x:f>
        <x:v>312.7970588235294</x:v>
      </x:c>
      <x:c r="AR55" s="9" t="n">
        <x:f>'浓度设置'!S30</x:f>
        <x:v>104175.5097553192</x:v>
      </x:c>
      <x:c r="AS55" s="9" t="n">
        <x:f>'浓度设置'!S35</x:f>
        <x:v>405974.90656785714</x:v>
      </x:c>
    </x:row>
    <x:row r="56" ht="24" customHeight="1">
      <x:c r="A56" s="3" t="str">
        <x:f>'350配方'!A56</x:f>
        <x:v>T051</x:v>
      </x:c>
      <x:c r="B56" s="3" t="str">
        <x:f>'350配方'!B56</x:f>
        <x:v>拟合</x:v>
      </x:c>
      <x:c r="C56" s="3" t="n">
        <x:f>IF(B56="拟合",1,0)</x:f>
        <x:v>1</x:v>
      </x:c>
      <x:c r="D56" s="3" t="n">
        <x:f>'350配方'!AC56</x:f>
        <x:v>1</x:v>
      </x:c>
      <x:c r="E56" s="9" t="n">
        <x:f>SUMIFS('350配方'!$M56:$P56,'350配方'!$Y56:$AB56,7)</x:f>
        <x:v>0</x:v>
      </x:c>
      <x:c r="F56" s="9" t="n">
        <x:f>SUMIFS('350配方'!$M56:$P56,'350配方'!$Y56:$AB56,11)</x:f>
        <x:v>0</x:v>
      </x:c>
      <x:c r="G56" s="9" t="n">
        <x:f>SUMIFS('350配方'!$M56:$P56,'350配方'!$Y56:$AB56,18)</x:f>
        <x:v>0</x:v>
      </x:c>
      <x:c r="H56" s="9" t="n">
        <x:f>SUMIFS('350配方'!$M56:$P56,'350配方'!$Y56:$AB56,32)</x:f>
        <x:v>0</x:v>
      </x:c>
      <x:c r="I56" s="9" t="n">
        <x:f>SUMIFS('350配方'!$M56:$P56,'350配方'!$Y56:$AB56,40)</x:f>
        <x:v>0</x:v>
      </x:c>
      <x:c r="J56" s="9" t="n">
        <x:f>SUMIFS('350配方'!$M56:$P56,'350配方'!$Y56:$AB56,52)</x:f>
        <x:v>0</x:v>
      </x:c>
      <x:c r="K56" s="9" t="n">
        <x:f>SUMIFS('350配方'!$M56:$P56,'350配方'!$Y56:$AB56,53)</x:f>
        <x:v>0</x:v>
      </x:c>
      <x:c r="L56" s="9" t="n">
        <x:f>SUMIFS('350配方'!$M56:$P56,'350配方'!$Y56:$AB56,56)</x:f>
        <x:v>0</x:v>
      </x:c>
      <x:c r="M56" s="9" t="n">
        <x:f>SUMIFS('350配方'!$M56:$P56,'350配方'!$Y56:$AB56,58)</x:f>
        <x:v>0</x:v>
      </x:c>
      <x:c r="N56" s="9" t="n">
        <x:f>SUMIFS('350配方'!$M56:$P56,'350配方'!$Y56:$AB56,61)</x:f>
        <x:v>0</x:v>
      </x:c>
      <x:c r="O56" s="9" t="n">
        <x:f>SUMIFS('350配方'!$M56:$P56,'350配方'!$Y56:$AB56,69)</x:f>
        <x:v>0</x:v>
      </x:c>
      <x:c r="P56" s="9" t="n">
        <x:f>SUMIFS('350配方'!$M56:$P56,'350配方'!$Y56:$AB56,75)</x:f>
        <x:v>0</x:v>
      </x:c>
      <x:c r="Q56" s="9" t="n">
        <x:f>SUMIFS('350配方'!$M56:$P56,'350配方'!$Y56:$AB56,79)</x:f>
        <x:v>0</x:v>
      </x:c>
      <x:c r="R56" s="9" t="n">
        <x:f>SUMIFS('350配方'!$M56:$P56,'350配方'!$Y56:$AB56,90)</x:f>
        <x:v>0</x:v>
      </x:c>
      <x:c r="S56" s="9" t="n">
        <x:f>SUMIFS('350配方'!$M56:$P56,'350配方'!$Y56:$AB56,105)</x:f>
        <x:v>0</x:v>
      </x:c>
      <x:c r="T56" s="9" t="n">
        <x:f>SUMIFS('350配方'!$M56:$P56,'350配方'!$Y56:$AB56,111)</x:f>
        <x:v>0</x:v>
      </x:c>
      <x:c r="U56" s="9" t="n">
        <x:f>SUMIFS('350配方'!$M56:$P56,'350配方'!$Y56:$AB56,114)</x:f>
        <x:v>0</x:v>
      </x:c>
      <x:c r="V56" s="9" t="n">
        <x:f>SUMIFS('350配方'!$M56:$P56,'350配方'!$Y56:$AB56,115)</x:f>
        <x:v>6516</x:v>
      </x:c>
      <x:c r="W56" s="9" t="n">
        <x:f>SUMIFS('350配方'!$M56:$P56,'350配方'!$Y56:$AB56,117)</x:f>
        <x:v>0</x:v>
      </x:c>
      <x:c r="X56" s="9" t="n">
        <x:f>SUMIFS('350配方'!$M56:$P56,'350配方'!$Y56:$AB56,126)</x:f>
        <x:v>0</x:v>
      </x:c>
      <x:c r="Y56" s="9" t="n">
        <x:f>SUMIFS('350配方'!$M56:$P56,'350配方'!$Y56:$AB56,136)</x:f>
        <x:v>0</x:v>
      </x:c>
      <x:c r="Z56" s="9" t="n">
        <x:f>SUMIFS('350配方'!$M56:$P56,'350配方'!$Y56:$AB56,141)</x:f>
        <x:v>0</x:v>
      </x:c>
      <x:c r="AA56" s="9" t="n">
        <x:f>SUMIFS('350配方'!$M56:$P56,'350配方'!$Y56:$AB56,152)</x:f>
        <x:v>0</x:v>
      </x:c>
      <x:c r="AB56" s="9" t="n">
        <x:f>SUMIFS('350配方'!$M56:$P56,'350配方'!$Y56:$AB56,165)</x:f>
        <x:v>0</x:v>
      </x:c>
      <x:c r="AC56" s="9" t="n">
        <x:f>SUMIFS('350配方'!$M56:$P56,'350配方'!$Y56:$AB56,186)</x:f>
        <x:v>0</x:v>
      </x:c>
      <x:c r="AD56" s="9" t="n">
        <x:f>SUMIFS('350配方'!$M56:$P56,'350配方'!$Y56:$AB56,207)</x:f>
        <x:v>0</x:v>
      </x:c>
      <x:c r="AE56" s="9" t="n">
        <x:f>SUMIFS('350配方'!$M56:$P56,'350配方'!$Y56:$AB56,209)</x:f>
        <x:v>0</x:v>
      </x:c>
      <x:c r="AF56" s="9" t="n">
        <x:f>SUMIFS('350配方'!$M56:$P56,'350配方'!$Y56:$AB56,227)</x:f>
        <x:v>0</x:v>
      </x:c>
      <x:c r="AG56" s="9" t="n">
        <x:f>SUMIFS('350配方'!$M56:$P56,'350配方'!$Y56:$AB56,232)</x:f>
        <x:v>0</x:v>
      </x:c>
      <x:c r="AH56" s="9" t="n">
        <x:f>SUMIFS('350配方'!$M56:$P56,'350配方'!$Y56:$AB56,255)</x:f>
        <x:v>0</x:v>
      </x:c>
      <x:c r="AI56" s="9" t="n">
        <x:f>'浓度设置'!S6</x:f>
        <x:v>219125.9626344086</x:v>
      </x:c>
      <x:c r="AJ56" s="9" t="n">
        <x:f>'浓度设置'!S8</x:f>
        <x:v>92796.92267241378</x:v>
      </x:c>
      <x:c r="AK56" s="9" t="n">
        <x:f>'浓度设置'!S10</x:f>
        <x:v>30556.797802197798</x:v>
      </x:c>
      <x:c r="AL56" s="9" t="n">
        <x:f>'浓度设置'!S12</x:f>
        <x:v>1735.828970588235</x:v>
      </x:c>
      <x:c r="AM56" s="9" t="n">
        <x:f>'浓度设置'!S15</x:f>
        <x:v>7385.813644067793</x:v>
      </x:c>
      <x:c r="AN56" s="9" t="n">
        <x:f>'浓度设置'!S19</x:f>
        <x:v>27722.03097701148</x:v>
      </x:c>
      <x:c r="AO56" s="9" t="n">
        <x:f>'浓度设置'!S22</x:f>
        <x:v>44345.55047619048</x:v>
      </x:c>
      <x:c r="AP56" s="9" t="n">
        <x:f>'浓度设置'!S26</x:f>
        <x:v>153318.30499999996</x:v>
      </x:c>
      <x:c r="AQ56" s="9" t="n">
        <x:f>'浓度设置'!S29</x:f>
        <x:v>312.7970588235294</x:v>
      </x:c>
      <x:c r="AR56" s="9" t="n">
        <x:f>'浓度设置'!S30</x:f>
        <x:v>104175.5097553192</x:v>
      </x:c>
      <x:c r="AS56" s="9" t="n">
        <x:f>'浓度设置'!S35</x:f>
        <x:v>405974.90656785714</x:v>
      </x:c>
    </x:row>
    <x:row r="57" ht="24" customHeight="1">
      <x:c r="A57" s="3" t="str">
        <x:f>'350配方'!A57</x:f>
        <x:v>T052</x:v>
      </x:c>
      <x:c r="B57" s="3" t="str">
        <x:f>'350配方'!B57</x:f>
        <x:v>拟合</x:v>
      </x:c>
      <x:c r="C57" s="3" t="n">
        <x:f>IF(B57="拟合",1,0)</x:f>
        <x:v>1</x:v>
      </x:c>
      <x:c r="D57" s="3" t="n">
        <x:f>'350配方'!AC57</x:f>
        <x:v>1</x:v>
      </x:c>
      <x:c r="E57" s="9" t="n">
        <x:f>SUMIFS('350配方'!$M57:$P57,'350配方'!$Y57:$AB57,7)</x:f>
        <x:v>0</x:v>
      </x:c>
      <x:c r="F57" s="9" t="n">
        <x:f>SUMIFS('350配方'!$M57:$P57,'350配方'!$Y57:$AB57,11)</x:f>
        <x:v>0</x:v>
      </x:c>
      <x:c r="G57" s="9" t="n">
        <x:f>SUMIFS('350配方'!$M57:$P57,'350配方'!$Y57:$AB57,18)</x:f>
        <x:v>0</x:v>
      </x:c>
      <x:c r="H57" s="9" t="n">
        <x:f>SUMIFS('350配方'!$M57:$P57,'350配方'!$Y57:$AB57,32)</x:f>
        <x:v>0</x:v>
      </x:c>
      <x:c r="I57" s="9" t="n">
        <x:f>SUMIFS('350配方'!$M57:$P57,'350配方'!$Y57:$AB57,40)</x:f>
        <x:v>0</x:v>
      </x:c>
      <x:c r="J57" s="9" t="n">
        <x:f>SUMIFS('350配方'!$M57:$P57,'350配方'!$Y57:$AB57,52)</x:f>
        <x:v>0</x:v>
      </x:c>
      <x:c r="K57" s="9" t="n">
        <x:f>SUMIFS('350配方'!$M57:$P57,'350配方'!$Y57:$AB57,53)</x:f>
        <x:v>0</x:v>
      </x:c>
      <x:c r="L57" s="9" t="n">
        <x:f>SUMIFS('350配方'!$M57:$P57,'350配方'!$Y57:$AB57,56)</x:f>
        <x:v>0</x:v>
      </x:c>
      <x:c r="M57" s="9" t="n">
        <x:f>SUMIFS('350配方'!$M57:$P57,'350配方'!$Y57:$AB57,58)</x:f>
        <x:v>0</x:v>
      </x:c>
      <x:c r="N57" s="9" t="n">
        <x:f>SUMIFS('350配方'!$M57:$P57,'350配方'!$Y57:$AB57,61)</x:f>
        <x:v>0</x:v>
      </x:c>
      <x:c r="O57" s="9" t="n">
        <x:f>SUMIFS('350配方'!$M57:$P57,'350配方'!$Y57:$AB57,69)</x:f>
        <x:v>0</x:v>
      </x:c>
      <x:c r="P57" s="9" t="n">
        <x:f>SUMIFS('350配方'!$M57:$P57,'350配方'!$Y57:$AB57,75)</x:f>
        <x:v>0</x:v>
      </x:c>
      <x:c r="Q57" s="9" t="n">
        <x:f>SUMIFS('350配方'!$M57:$P57,'350配方'!$Y57:$AB57,79)</x:f>
        <x:v>0</x:v>
      </x:c>
      <x:c r="R57" s="9" t="n">
        <x:f>SUMIFS('350配方'!$M57:$P57,'350配方'!$Y57:$AB57,90)</x:f>
        <x:v>0</x:v>
      </x:c>
      <x:c r="S57" s="9" t="n">
        <x:f>SUMIFS('350配方'!$M57:$P57,'350配方'!$Y57:$AB57,105)</x:f>
        <x:v>0</x:v>
      </x:c>
      <x:c r="T57" s="9" t="n">
        <x:f>SUMIFS('350配方'!$M57:$P57,'350配方'!$Y57:$AB57,111)</x:f>
        <x:v>0</x:v>
      </x:c>
      <x:c r="U57" s="9" t="n">
        <x:f>SUMIFS('350配方'!$M57:$P57,'350配方'!$Y57:$AB57,114)</x:f>
        <x:v>0</x:v>
      </x:c>
      <x:c r="V57" s="9" t="n">
        <x:f>SUMIFS('350配方'!$M57:$P57,'350配方'!$Y57:$AB57,115)</x:f>
        <x:v>0</x:v>
      </x:c>
      <x:c r="W57" s="9" t="n">
        <x:f>SUMIFS('350配方'!$M57:$P57,'350配方'!$Y57:$AB57,117)</x:f>
        <x:v>1.875</x:v>
      </x:c>
      <x:c r="X57" s="9" t="n">
        <x:f>SUMIFS('350配方'!$M57:$P57,'350配方'!$Y57:$AB57,126)</x:f>
        <x:v>0</x:v>
      </x:c>
      <x:c r="Y57" s="9" t="n">
        <x:f>SUMIFS('350配方'!$M57:$P57,'350配方'!$Y57:$AB57,136)</x:f>
        <x:v>0</x:v>
      </x:c>
      <x:c r="Z57" s="9" t="n">
        <x:f>SUMIFS('350配方'!$M57:$P57,'350配方'!$Y57:$AB57,141)</x:f>
        <x:v>0</x:v>
      </x:c>
      <x:c r="AA57" s="9" t="n">
        <x:f>SUMIFS('350配方'!$M57:$P57,'350配方'!$Y57:$AB57,152)</x:f>
        <x:v>0</x:v>
      </x:c>
      <x:c r="AB57" s="9" t="n">
        <x:f>SUMIFS('350配方'!$M57:$P57,'350配方'!$Y57:$AB57,165)</x:f>
        <x:v>0</x:v>
      </x:c>
      <x:c r="AC57" s="9" t="n">
        <x:f>SUMIFS('350配方'!$M57:$P57,'350配方'!$Y57:$AB57,186)</x:f>
        <x:v>0</x:v>
      </x:c>
      <x:c r="AD57" s="9" t="n">
        <x:f>SUMIFS('350配方'!$M57:$P57,'350配方'!$Y57:$AB57,207)</x:f>
        <x:v>0</x:v>
      </x:c>
      <x:c r="AE57" s="9" t="n">
        <x:f>SUMIFS('350配方'!$M57:$P57,'350配方'!$Y57:$AB57,209)</x:f>
        <x:v>0</x:v>
      </x:c>
      <x:c r="AF57" s="9" t="n">
        <x:f>SUMIFS('350配方'!$M57:$P57,'350配方'!$Y57:$AB57,227)</x:f>
        <x:v>0</x:v>
      </x:c>
      <x:c r="AG57" s="9" t="n">
        <x:f>SUMIFS('350配方'!$M57:$P57,'350配方'!$Y57:$AB57,232)</x:f>
        <x:v>0</x:v>
      </x:c>
      <x:c r="AH57" s="9" t="n">
        <x:f>SUMIFS('350配方'!$M57:$P57,'350配方'!$Y57:$AB57,255)</x:f>
        <x:v>0</x:v>
      </x:c>
      <x:c r="AI57" s="9" t="n">
        <x:f>'浓度设置'!S6</x:f>
        <x:v>219125.9626344086</x:v>
      </x:c>
      <x:c r="AJ57" s="9" t="n">
        <x:f>'浓度设置'!S8</x:f>
        <x:v>92796.92267241378</x:v>
      </x:c>
      <x:c r="AK57" s="9" t="n">
        <x:f>'浓度设置'!S10</x:f>
        <x:v>30556.797802197798</x:v>
      </x:c>
      <x:c r="AL57" s="9" t="n">
        <x:f>'浓度设置'!S12</x:f>
        <x:v>1735.828970588235</x:v>
      </x:c>
      <x:c r="AM57" s="9" t="n">
        <x:f>'浓度设置'!S15</x:f>
        <x:v>7385.813644067793</x:v>
      </x:c>
      <x:c r="AN57" s="9" t="n">
        <x:f>'浓度设置'!S19</x:f>
        <x:v>27722.03097701148</x:v>
      </x:c>
      <x:c r="AO57" s="9" t="n">
        <x:f>'浓度设置'!S22</x:f>
        <x:v>44345.55047619048</x:v>
      </x:c>
      <x:c r="AP57" s="9" t="n">
        <x:f>'浓度设置'!S26</x:f>
        <x:v>153318.30499999996</x:v>
      </x:c>
      <x:c r="AQ57" s="9" t="n">
        <x:f>'浓度设置'!S29</x:f>
        <x:v>312.7970588235294</x:v>
      </x:c>
      <x:c r="AR57" s="9" t="n">
        <x:f>'浓度设置'!S30</x:f>
        <x:v>104175.5097553192</x:v>
      </x:c>
      <x:c r="AS57" s="9" t="n">
        <x:f>'浓度设置'!S35</x:f>
        <x:v>405974.90656785714</x:v>
      </x:c>
    </x:row>
    <x:row r="58" ht="24" customHeight="1">
      <x:c r="A58" s="3" t="str">
        <x:f>'350配方'!A58</x:f>
        <x:v>T053</x:v>
      </x:c>
      <x:c r="B58" s="3" t="str">
        <x:f>'350配方'!B58</x:f>
        <x:v>拟合</x:v>
      </x:c>
      <x:c r="C58" s="3" t="n">
        <x:f>IF(B58="拟合",1,0)</x:f>
        <x:v>1</x:v>
      </x:c>
      <x:c r="D58" s="3" t="n">
        <x:f>'350配方'!AC58</x:f>
        <x:v>1</x:v>
      </x:c>
      <x:c r="E58" s="9" t="n">
        <x:f>SUMIFS('350配方'!$M58:$P58,'350配方'!$Y58:$AB58,7)</x:f>
        <x:v>0</x:v>
      </x:c>
      <x:c r="F58" s="9" t="n">
        <x:f>SUMIFS('350配方'!$M58:$P58,'350配方'!$Y58:$AB58,11)</x:f>
        <x:v>0</x:v>
      </x:c>
      <x:c r="G58" s="9" t="n">
        <x:f>SUMIFS('350配方'!$M58:$P58,'350配方'!$Y58:$AB58,18)</x:f>
        <x:v>0</x:v>
      </x:c>
      <x:c r="H58" s="9" t="n">
        <x:f>SUMIFS('350配方'!$M58:$P58,'350配方'!$Y58:$AB58,32)</x:f>
        <x:v>0</x:v>
      </x:c>
      <x:c r="I58" s="9" t="n">
        <x:f>SUMIFS('350配方'!$M58:$P58,'350配方'!$Y58:$AB58,40)</x:f>
        <x:v>0</x:v>
      </x:c>
      <x:c r="J58" s="9" t="n">
        <x:f>SUMIFS('350配方'!$M58:$P58,'350配方'!$Y58:$AB58,52)</x:f>
        <x:v>0</x:v>
      </x:c>
      <x:c r="K58" s="9" t="n">
        <x:f>SUMIFS('350配方'!$M58:$P58,'350配方'!$Y58:$AB58,53)</x:f>
        <x:v>0</x:v>
      </x:c>
      <x:c r="L58" s="9" t="n">
        <x:f>SUMIFS('350配方'!$M58:$P58,'350配方'!$Y58:$AB58,56)</x:f>
        <x:v>0</x:v>
      </x:c>
      <x:c r="M58" s="9" t="n">
        <x:f>SUMIFS('350配方'!$M58:$P58,'350配方'!$Y58:$AB58,58)</x:f>
        <x:v>0</x:v>
      </x:c>
      <x:c r="N58" s="9" t="n">
        <x:f>SUMIFS('350配方'!$M58:$P58,'350配方'!$Y58:$AB58,61)</x:f>
        <x:v>0</x:v>
      </x:c>
      <x:c r="O58" s="9" t="n">
        <x:f>SUMIFS('350配方'!$M58:$P58,'350配方'!$Y58:$AB58,69)</x:f>
        <x:v>0</x:v>
      </x:c>
      <x:c r="P58" s="9" t="n">
        <x:f>SUMIFS('350配方'!$M58:$P58,'350配方'!$Y58:$AB58,75)</x:f>
        <x:v>0</x:v>
      </x:c>
      <x:c r="Q58" s="9" t="n">
        <x:f>SUMIFS('350配方'!$M58:$P58,'350配方'!$Y58:$AB58,79)</x:f>
        <x:v>0</x:v>
      </x:c>
      <x:c r="R58" s="9" t="n">
        <x:f>SUMIFS('350配方'!$M58:$P58,'350配方'!$Y58:$AB58,90)</x:f>
        <x:v>0</x:v>
      </x:c>
      <x:c r="S58" s="9" t="n">
        <x:f>SUMIFS('350配方'!$M58:$P58,'350配方'!$Y58:$AB58,105)</x:f>
        <x:v>0</x:v>
      </x:c>
      <x:c r="T58" s="9" t="n">
        <x:f>SUMIFS('350配方'!$M58:$P58,'350配方'!$Y58:$AB58,111)</x:f>
        <x:v>0</x:v>
      </x:c>
      <x:c r="U58" s="9" t="n">
        <x:f>SUMIFS('350配方'!$M58:$P58,'350配方'!$Y58:$AB58,114)</x:f>
        <x:v>0</x:v>
      </x:c>
      <x:c r="V58" s="9" t="n">
        <x:f>SUMIFS('350配方'!$M58:$P58,'350配方'!$Y58:$AB58,115)</x:f>
        <x:v>0</x:v>
      </x:c>
      <x:c r="W58" s="9" t="n">
        <x:f>SUMIFS('350配方'!$M58:$P58,'350配方'!$Y58:$AB58,117)</x:f>
        <x:v>274.54883445390914</x:v>
      </x:c>
      <x:c r="X58" s="9" t="n">
        <x:f>SUMIFS('350配方'!$M58:$P58,'350配方'!$Y58:$AB58,126)</x:f>
        <x:v>0</x:v>
      </x:c>
      <x:c r="Y58" s="9" t="n">
        <x:f>SUMIFS('350配方'!$M58:$P58,'350配方'!$Y58:$AB58,136)</x:f>
        <x:v>0</x:v>
      </x:c>
      <x:c r="Z58" s="9" t="n">
        <x:f>SUMIFS('350配方'!$M58:$P58,'350配方'!$Y58:$AB58,141)</x:f>
        <x:v>0</x:v>
      </x:c>
      <x:c r="AA58" s="9" t="n">
        <x:f>SUMIFS('350配方'!$M58:$P58,'350配方'!$Y58:$AB58,152)</x:f>
        <x:v>0</x:v>
      </x:c>
      <x:c r="AB58" s="9" t="n">
        <x:f>SUMIFS('350配方'!$M58:$P58,'350配方'!$Y58:$AB58,165)</x:f>
        <x:v>0</x:v>
      </x:c>
      <x:c r="AC58" s="9" t="n">
        <x:f>SUMIFS('350配方'!$M58:$P58,'350配方'!$Y58:$AB58,186)</x:f>
        <x:v>0</x:v>
      </x:c>
      <x:c r="AD58" s="9" t="n">
        <x:f>SUMIFS('350配方'!$M58:$P58,'350配方'!$Y58:$AB58,207)</x:f>
        <x:v>0</x:v>
      </x:c>
      <x:c r="AE58" s="9" t="n">
        <x:f>SUMIFS('350配方'!$M58:$P58,'350配方'!$Y58:$AB58,209)</x:f>
        <x:v>0</x:v>
      </x:c>
      <x:c r="AF58" s="9" t="n">
        <x:f>SUMIFS('350配方'!$M58:$P58,'350配方'!$Y58:$AB58,227)</x:f>
        <x:v>0</x:v>
      </x:c>
      <x:c r="AG58" s="9" t="n">
        <x:f>SUMIFS('350配方'!$M58:$P58,'350配方'!$Y58:$AB58,232)</x:f>
        <x:v>0</x:v>
      </x:c>
      <x:c r="AH58" s="9" t="n">
        <x:f>SUMIFS('350配方'!$M58:$P58,'350配方'!$Y58:$AB58,255)</x:f>
        <x:v>0</x:v>
      </x:c>
      <x:c r="AI58" s="9" t="n">
        <x:f>'浓度设置'!S6</x:f>
        <x:v>219125.9626344086</x:v>
      </x:c>
      <x:c r="AJ58" s="9" t="n">
        <x:f>'浓度设置'!S8</x:f>
        <x:v>92796.92267241378</x:v>
      </x:c>
      <x:c r="AK58" s="9" t="n">
        <x:f>'浓度设置'!S10</x:f>
        <x:v>30556.797802197798</x:v>
      </x:c>
      <x:c r="AL58" s="9" t="n">
        <x:f>'浓度设置'!S12</x:f>
        <x:v>1735.828970588235</x:v>
      </x:c>
      <x:c r="AM58" s="9" t="n">
        <x:f>'浓度设置'!S15</x:f>
        <x:v>7385.813644067793</x:v>
      </x:c>
      <x:c r="AN58" s="9" t="n">
        <x:f>'浓度设置'!S19</x:f>
        <x:v>27722.03097701148</x:v>
      </x:c>
      <x:c r="AO58" s="9" t="n">
        <x:f>'浓度设置'!S22</x:f>
        <x:v>44345.55047619048</x:v>
      </x:c>
      <x:c r="AP58" s="9" t="n">
        <x:f>'浓度设置'!S26</x:f>
        <x:v>153318.30499999996</x:v>
      </x:c>
      <x:c r="AQ58" s="9" t="n">
        <x:f>'浓度设置'!S29</x:f>
        <x:v>312.7970588235294</x:v>
      </x:c>
      <x:c r="AR58" s="9" t="n">
        <x:f>'浓度设置'!S30</x:f>
        <x:v>104175.5097553192</x:v>
      </x:c>
      <x:c r="AS58" s="9" t="n">
        <x:f>'浓度设置'!S35</x:f>
        <x:v>405974.90656785714</x:v>
      </x:c>
    </x:row>
    <x:row r="59" ht="24" customHeight="1">
      <x:c r="A59" s="3" t="str">
        <x:f>'350配方'!A59</x:f>
        <x:v>T054</x:v>
      </x:c>
      <x:c r="B59" s="3" t="str">
        <x:f>'350配方'!B59</x:f>
        <x:v>拟合</x:v>
      </x:c>
      <x:c r="C59" s="3" t="n">
        <x:f>IF(B59="拟合",1,0)</x:f>
        <x:v>1</x:v>
      </x:c>
      <x:c r="D59" s="3" t="n">
        <x:f>'350配方'!AC59</x:f>
        <x:v>1</x:v>
      </x:c>
      <x:c r="E59" s="9" t="n">
        <x:f>SUMIFS('350配方'!$M59:$P59,'350配方'!$Y59:$AB59,7)</x:f>
        <x:v>0</x:v>
      </x:c>
      <x:c r="F59" s="9" t="n">
        <x:f>SUMIFS('350配方'!$M59:$P59,'350配方'!$Y59:$AB59,11)</x:f>
        <x:v>0</x:v>
      </x:c>
      <x:c r="G59" s="9" t="n">
        <x:f>SUMIFS('350配方'!$M59:$P59,'350配方'!$Y59:$AB59,18)</x:f>
        <x:v>0</x:v>
      </x:c>
      <x:c r="H59" s="9" t="n">
        <x:f>SUMIFS('350配方'!$M59:$P59,'350配方'!$Y59:$AB59,32)</x:f>
        <x:v>0</x:v>
      </x:c>
      <x:c r="I59" s="9" t="n">
        <x:f>SUMIFS('350配方'!$M59:$P59,'350配方'!$Y59:$AB59,40)</x:f>
        <x:v>0</x:v>
      </x:c>
      <x:c r="J59" s="9" t="n">
        <x:f>SUMIFS('350配方'!$M59:$P59,'350配方'!$Y59:$AB59,52)</x:f>
        <x:v>0</x:v>
      </x:c>
      <x:c r="K59" s="9" t="n">
        <x:f>SUMIFS('350配方'!$M59:$P59,'350配方'!$Y59:$AB59,53)</x:f>
        <x:v>0</x:v>
      </x:c>
      <x:c r="L59" s="9" t="n">
        <x:f>SUMIFS('350配方'!$M59:$P59,'350配方'!$Y59:$AB59,56)</x:f>
        <x:v>0</x:v>
      </x:c>
      <x:c r="M59" s="9" t="n">
        <x:f>SUMIFS('350配方'!$M59:$P59,'350配方'!$Y59:$AB59,58)</x:f>
        <x:v>0</x:v>
      </x:c>
      <x:c r="N59" s="9" t="n">
        <x:f>SUMIFS('350配方'!$M59:$P59,'350配方'!$Y59:$AB59,61)</x:f>
        <x:v>0</x:v>
      </x:c>
      <x:c r="O59" s="9" t="n">
        <x:f>SUMIFS('350配方'!$M59:$P59,'350配方'!$Y59:$AB59,69)</x:f>
        <x:v>0</x:v>
      </x:c>
      <x:c r="P59" s="9" t="n">
        <x:f>SUMIFS('350配方'!$M59:$P59,'350配方'!$Y59:$AB59,75)</x:f>
        <x:v>0</x:v>
      </x:c>
      <x:c r="Q59" s="9" t="n">
        <x:f>SUMIFS('350配方'!$M59:$P59,'350配方'!$Y59:$AB59,79)</x:f>
        <x:v>0</x:v>
      </x:c>
      <x:c r="R59" s="9" t="n">
        <x:f>SUMIFS('350配方'!$M59:$P59,'350配方'!$Y59:$AB59,90)</x:f>
        <x:v>0</x:v>
      </x:c>
      <x:c r="S59" s="9" t="n">
        <x:f>SUMIFS('350配方'!$M59:$P59,'350配方'!$Y59:$AB59,105)</x:f>
        <x:v>0</x:v>
      </x:c>
      <x:c r="T59" s="9" t="n">
        <x:f>SUMIFS('350配方'!$M59:$P59,'350配方'!$Y59:$AB59,111)</x:f>
        <x:v>0</x:v>
      </x:c>
      <x:c r="U59" s="9" t="n">
        <x:f>SUMIFS('350配方'!$M59:$P59,'350配方'!$Y59:$AB59,114)</x:f>
        <x:v>0</x:v>
      </x:c>
      <x:c r="V59" s="9" t="n">
        <x:f>SUMIFS('350配方'!$M59:$P59,'350配方'!$Y59:$AB59,115)</x:f>
        <x:v>0</x:v>
      </x:c>
      <x:c r="W59" s="9" t="n">
        <x:f>SUMIFS('350配方'!$M59:$P59,'350配方'!$Y59:$AB59,117)</x:f>
        <x:v>40201.1</x:v>
      </x:c>
      <x:c r="X59" s="9" t="n">
        <x:f>SUMIFS('350配方'!$M59:$P59,'350配方'!$Y59:$AB59,126)</x:f>
        <x:v>0</x:v>
      </x:c>
      <x:c r="Y59" s="9" t="n">
        <x:f>SUMIFS('350配方'!$M59:$P59,'350配方'!$Y59:$AB59,136)</x:f>
        <x:v>0</x:v>
      </x:c>
      <x:c r="Z59" s="9" t="n">
        <x:f>SUMIFS('350配方'!$M59:$P59,'350配方'!$Y59:$AB59,141)</x:f>
        <x:v>0</x:v>
      </x:c>
      <x:c r="AA59" s="9" t="n">
        <x:f>SUMIFS('350配方'!$M59:$P59,'350配方'!$Y59:$AB59,152)</x:f>
        <x:v>0</x:v>
      </x:c>
      <x:c r="AB59" s="9" t="n">
        <x:f>SUMIFS('350配方'!$M59:$P59,'350配方'!$Y59:$AB59,165)</x:f>
        <x:v>0</x:v>
      </x:c>
      <x:c r="AC59" s="9" t="n">
        <x:f>SUMIFS('350配方'!$M59:$P59,'350配方'!$Y59:$AB59,186)</x:f>
        <x:v>0</x:v>
      </x:c>
      <x:c r="AD59" s="9" t="n">
        <x:f>SUMIFS('350配方'!$M59:$P59,'350配方'!$Y59:$AB59,207)</x:f>
        <x:v>0</x:v>
      </x:c>
      <x:c r="AE59" s="9" t="n">
        <x:f>SUMIFS('350配方'!$M59:$P59,'350配方'!$Y59:$AB59,209)</x:f>
        <x:v>0</x:v>
      </x:c>
      <x:c r="AF59" s="9" t="n">
        <x:f>SUMIFS('350配方'!$M59:$P59,'350配方'!$Y59:$AB59,227)</x:f>
        <x:v>0</x:v>
      </x:c>
      <x:c r="AG59" s="9" t="n">
        <x:f>SUMIFS('350配方'!$M59:$P59,'350配方'!$Y59:$AB59,232)</x:f>
        <x:v>0</x:v>
      </x:c>
      <x:c r="AH59" s="9" t="n">
        <x:f>SUMIFS('350配方'!$M59:$P59,'350配方'!$Y59:$AB59,255)</x:f>
        <x:v>0</x:v>
      </x:c>
      <x:c r="AI59" s="9" t="n">
        <x:f>'浓度设置'!S6</x:f>
        <x:v>219125.9626344086</x:v>
      </x:c>
      <x:c r="AJ59" s="9" t="n">
        <x:f>'浓度设置'!S8</x:f>
        <x:v>92796.92267241378</x:v>
      </x:c>
      <x:c r="AK59" s="9" t="n">
        <x:f>'浓度设置'!S10</x:f>
        <x:v>30556.797802197798</x:v>
      </x:c>
      <x:c r="AL59" s="9" t="n">
        <x:f>'浓度设置'!S12</x:f>
        <x:v>1735.828970588235</x:v>
      </x:c>
      <x:c r="AM59" s="9" t="n">
        <x:f>'浓度设置'!S15</x:f>
        <x:v>7385.813644067793</x:v>
      </x:c>
      <x:c r="AN59" s="9" t="n">
        <x:f>'浓度设置'!S19</x:f>
        <x:v>27722.03097701148</x:v>
      </x:c>
      <x:c r="AO59" s="9" t="n">
        <x:f>'浓度设置'!S22</x:f>
        <x:v>44345.55047619048</x:v>
      </x:c>
      <x:c r="AP59" s="9" t="n">
        <x:f>'浓度设置'!S26</x:f>
        <x:v>153318.30499999996</x:v>
      </x:c>
      <x:c r="AQ59" s="9" t="n">
        <x:f>'浓度设置'!S29</x:f>
        <x:v>312.7970588235294</x:v>
      </x:c>
      <x:c r="AR59" s="9" t="n">
        <x:f>'浓度设置'!S30</x:f>
        <x:v>104175.5097553192</x:v>
      </x:c>
      <x:c r="AS59" s="9" t="n">
        <x:f>'浓度设置'!S35</x:f>
        <x:v>405974.90656785714</x:v>
      </x:c>
    </x:row>
    <x:row r="60" ht="24" customHeight="1">
      <x:c r="A60" s="3" t="str">
        <x:f>'350配方'!A60</x:f>
        <x:v>T055</x:v>
      </x:c>
      <x:c r="B60" s="3" t="str">
        <x:f>'350配方'!B60</x:f>
        <x:v>拟合</x:v>
      </x:c>
      <x:c r="C60" s="3" t="n">
        <x:f>IF(B60="拟合",1,0)</x:f>
        <x:v>1</x:v>
      </x:c>
      <x:c r="D60" s="3" t="n">
        <x:f>'350配方'!AC60</x:f>
        <x:v>1</x:v>
      </x:c>
      <x:c r="E60" s="9" t="n">
        <x:f>SUMIFS('350配方'!$M60:$P60,'350配方'!$Y60:$AB60,7)</x:f>
        <x:v>0</x:v>
      </x:c>
      <x:c r="F60" s="9" t="n">
        <x:f>SUMIFS('350配方'!$M60:$P60,'350配方'!$Y60:$AB60,11)</x:f>
        <x:v>0</x:v>
      </x:c>
      <x:c r="G60" s="9" t="n">
        <x:f>SUMIFS('350配方'!$M60:$P60,'350配方'!$Y60:$AB60,18)</x:f>
        <x:v>0</x:v>
      </x:c>
      <x:c r="H60" s="9" t="n">
        <x:f>SUMIFS('350配方'!$M60:$P60,'350配方'!$Y60:$AB60,32)</x:f>
        <x:v>0</x:v>
      </x:c>
      <x:c r="I60" s="9" t="n">
        <x:f>SUMIFS('350配方'!$M60:$P60,'350配方'!$Y60:$AB60,40)</x:f>
        <x:v>0</x:v>
      </x:c>
      <x:c r="J60" s="9" t="n">
        <x:f>SUMIFS('350配方'!$M60:$P60,'350配方'!$Y60:$AB60,52)</x:f>
        <x:v>0</x:v>
      </x:c>
      <x:c r="K60" s="9" t="n">
        <x:f>SUMIFS('350配方'!$M60:$P60,'350配方'!$Y60:$AB60,53)</x:f>
        <x:v>0</x:v>
      </x:c>
      <x:c r="L60" s="9" t="n">
        <x:f>SUMIFS('350配方'!$M60:$P60,'350配方'!$Y60:$AB60,56)</x:f>
        <x:v>0</x:v>
      </x:c>
      <x:c r="M60" s="9" t="n">
        <x:f>SUMIFS('350配方'!$M60:$P60,'350配方'!$Y60:$AB60,58)</x:f>
        <x:v>0</x:v>
      </x:c>
      <x:c r="N60" s="9" t="n">
        <x:f>SUMIFS('350配方'!$M60:$P60,'350配方'!$Y60:$AB60,61)</x:f>
        <x:v>0</x:v>
      </x:c>
      <x:c r="O60" s="9" t="n">
        <x:f>SUMIFS('350配方'!$M60:$P60,'350配方'!$Y60:$AB60,69)</x:f>
        <x:v>0</x:v>
      </x:c>
      <x:c r="P60" s="9" t="n">
        <x:f>SUMIFS('350配方'!$M60:$P60,'350配方'!$Y60:$AB60,75)</x:f>
        <x:v>0</x:v>
      </x:c>
      <x:c r="Q60" s="9" t="n">
        <x:f>SUMIFS('350配方'!$M60:$P60,'350配方'!$Y60:$AB60,79)</x:f>
        <x:v>0</x:v>
      </x:c>
      <x:c r="R60" s="9" t="n">
        <x:f>SUMIFS('350配方'!$M60:$P60,'350配方'!$Y60:$AB60,90)</x:f>
        <x:v>0</x:v>
      </x:c>
      <x:c r="S60" s="9" t="n">
        <x:f>SUMIFS('350配方'!$M60:$P60,'350配方'!$Y60:$AB60,105)</x:f>
        <x:v>0</x:v>
      </x:c>
      <x:c r="T60" s="9" t="n">
        <x:f>SUMIFS('350配方'!$M60:$P60,'350配方'!$Y60:$AB60,111)</x:f>
        <x:v>0</x:v>
      </x:c>
      <x:c r="U60" s="9" t="n">
        <x:f>SUMIFS('350配方'!$M60:$P60,'350配方'!$Y60:$AB60,114)</x:f>
        <x:v>0</x:v>
      </x:c>
      <x:c r="V60" s="9" t="n">
        <x:f>SUMIFS('350配方'!$M60:$P60,'350配方'!$Y60:$AB60,115)</x:f>
        <x:v>0</x:v>
      </x:c>
      <x:c r="W60" s="9" t="n">
        <x:f>SUMIFS('350配方'!$M60:$P60,'350配方'!$Y60:$AB60,117)</x:f>
        <x:v>0</x:v>
      </x:c>
      <x:c r="X60" s="9" t="n">
        <x:f>SUMIFS('350配方'!$M60:$P60,'350配方'!$Y60:$AB60,126)</x:f>
        <x:v>2.125</x:v>
      </x:c>
      <x:c r="Y60" s="9" t="n">
        <x:f>SUMIFS('350配方'!$M60:$P60,'350配方'!$Y60:$AB60,136)</x:f>
        <x:v>0</x:v>
      </x:c>
      <x:c r="Z60" s="9" t="n">
        <x:f>SUMIFS('350配方'!$M60:$P60,'350配方'!$Y60:$AB60,141)</x:f>
        <x:v>0</x:v>
      </x:c>
      <x:c r="AA60" s="9" t="n">
        <x:f>SUMIFS('350配方'!$M60:$P60,'350配方'!$Y60:$AB60,152)</x:f>
        <x:v>0</x:v>
      </x:c>
      <x:c r="AB60" s="9" t="n">
        <x:f>SUMIFS('350配方'!$M60:$P60,'350配方'!$Y60:$AB60,165)</x:f>
        <x:v>0</x:v>
      </x:c>
      <x:c r="AC60" s="9" t="n">
        <x:f>SUMIFS('350配方'!$M60:$P60,'350配方'!$Y60:$AB60,186)</x:f>
        <x:v>0</x:v>
      </x:c>
      <x:c r="AD60" s="9" t="n">
        <x:f>SUMIFS('350配方'!$M60:$P60,'350配方'!$Y60:$AB60,207)</x:f>
        <x:v>0</x:v>
      </x:c>
      <x:c r="AE60" s="9" t="n">
        <x:f>SUMIFS('350配方'!$M60:$P60,'350配方'!$Y60:$AB60,209)</x:f>
        <x:v>0</x:v>
      </x:c>
      <x:c r="AF60" s="9" t="n">
        <x:f>SUMIFS('350配方'!$M60:$P60,'350配方'!$Y60:$AB60,227)</x:f>
        <x:v>0</x:v>
      </x:c>
      <x:c r="AG60" s="9" t="n">
        <x:f>SUMIFS('350配方'!$M60:$P60,'350配方'!$Y60:$AB60,232)</x:f>
        <x:v>0</x:v>
      </x:c>
      <x:c r="AH60" s="9" t="n">
        <x:f>SUMIFS('350配方'!$M60:$P60,'350配方'!$Y60:$AB60,255)</x:f>
        <x:v>0</x:v>
      </x:c>
      <x:c r="AI60" s="9" t="n">
        <x:f>'浓度设置'!S6</x:f>
        <x:v>219125.9626344086</x:v>
      </x:c>
      <x:c r="AJ60" s="9" t="n">
        <x:f>'浓度设置'!S8</x:f>
        <x:v>92796.92267241378</x:v>
      </x:c>
      <x:c r="AK60" s="9" t="n">
        <x:f>'浓度设置'!S10</x:f>
        <x:v>30556.797802197798</x:v>
      </x:c>
      <x:c r="AL60" s="9" t="n">
        <x:f>'浓度设置'!S12</x:f>
        <x:v>1735.828970588235</x:v>
      </x:c>
      <x:c r="AM60" s="9" t="n">
        <x:f>'浓度设置'!S15</x:f>
        <x:v>7385.813644067793</x:v>
      </x:c>
      <x:c r="AN60" s="9" t="n">
        <x:f>'浓度设置'!S19</x:f>
        <x:v>27722.03097701148</x:v>
      </x:c>
      <x:c r="AO60" s="9" t="n">
        <x:f>'浓度设置'!S22</x:f>
        <x:v>44345.55047619048</x:v>
      </x:c>
      <x:c r="AP60" s="9" t="n">
        <x:f>'浓度设置'!S26</x:f>
        <x:v>153318.30499999996</x:v>
      </x:c>
      <x:c r="AQ60" s="9" t="n">
        <x:f>'浓度设置'!S29</x:f>
        <x:v>312.7970588235294</x:v>
      </x:c>
      <x:c r="AR60" s="9" t="n">
        <x:f>'浓度设置'!S30</x:f>
        <x:v>104175.5097553192</x:v>
      </x:c>
      <x:c r="AS60" s="9" t="n">
        <x:f>'浓度设置'!S35</x:f>
        <x:v>405974.90656785714</x:v>
      </x:c>
    </x:row>
    <x:row r="61" ht="24" customHeight="1">
      <x:c r="A61" s="3" t="str">
        <x:f>'350配方'!A61</x:f>
        <x:v>T056</x:v>
      </x:c>
      <x:c r="B61" s="3" t="str">
        <x:f>'350配方'!B61</x:f>
        <x:v>拟合</x:v>
      </x:c>
      <x:c r="C61" s="3" t="n">
        <x:f>IF(B61="拟合",1,0)</x:f>
        <x:v>1</x:v>
      </x:c>
      <x:c r="D61" s="3" t="n">
        <x:f>'350配方'!AC61</x:f>
        <x:v>1</x:v>
      </x:c>
      <x:c r="E61" s="9" t="n">
        <x:f>SUMIFS('350配方'!$M61:$P61,'350配方'!$Y61:$AB61,7)</x:f>
        <x:v>0</x:v>
      </x:c>
      <x:c r="F61" s="9" t="n">
        <x:f>SUMIFS('350配方'!$M61:$P61,'350配方'!$Y61:$AB61,11)</x:f>
        <x:v>0</x:v>
      </x:c>
      <x:c r="G61" s="9" t="n">
        <x:f>SUMIFS('350配方'!$M61:$P61,'350配方'!$Y61:$AB61,18)</x:f>
        <x:v>0</x:v>
      </x:c>
      <x:c r="H61" s="9" t="n">
        <x:f>SUMIFS('350配方'!$M61:$P61,'350配方'!$Y61:$AB61,32)</x:f>
        <x:v>0</x:v>
      </x:c>
      <x:c r="I61" s="9" t="n">
        <x:f>SUMIFS('350配方'!$M61:$P61,'350配方'!$Y61:$AB61,40)</x:f>
        <x:v>0</x:v>
      </x:c>
      <x:c r="J61" s="9" t="n">
        <x:f>SUMIFS('350配方'!$M61:$P61,'350配方'!$Y61:$AB61,52)</x:f>
        <x:v>0</x:v>
      </x:c>
      <x:c r="K61" s="9" t="n">
        <x:f>SUMIFS('350配方'!$M61:$P61,'350配方'!$Y61:$AB61,53)</x:f>
        <x:v>0</x:v>
      </x:c>
      <x:c r="L61" s="9" t="n">
        <x:f>SUMIFS('350配方'!$M61:$P61,'350配方'!$Y61:$AB61,56)</x:f>
        <x:v>0</x:v>
      </x:c>
      <x:c r="M61" s="9" t="n">
        <x:f>SUMIFS('350配方'!$M61:$P61,'350配方'!$Y61:$AB61,58)</x:f>
        <x:v>0</x:v>
      </x:c>
      <x:c r="N61" s="9" t="n">
        <x:f>SUMIFS('350配方'!$M61:$P61,'350配方'!$Y61:$AB61,61)</x:f>
        <x:v>0</x:v>
      </x:c>
      <x:c r="O61" s="9" t="n">
        <x:f>SUMIFS('350配方'!$M61:$P61,'350配方'!$Y61:$AB61,69)</x:f>
        <x:v>0</x:v>
      </x:c>
      <x:c r="P61" s="9" t="n">
        <x:f>SUMIFS('350配方'!$M61:$P61,'350配方'!$Y61:$AB61,75)</x:f>
        <x:v>0</x:v>
      </x:c>
      <x:c r="Q61" s="9" t="n">
        <x:f>SUMIFS('350配方'!$M61:$P61,'350配方'!$Y61:$AB61,79)</x:f>
        <x:v>0</x:v>
      </x:c>
      <x:c r="R61" s="9" t="n">
        <x:f>SUMIFS('350配方'!$M61:$P61,'350配方'!$Y61:$AB61,90)</x:f>
        <x:v>0</x:v>
      </x:c>
      <x:c r="S61" s="9" t="n">
        <x:f>SUMIFS('350配方'!$M61:$P61,'350配方'!$Y61:$AB61,105)</x:f>
        <x:v>0</x:v>
      </x:c>
      <x:c r="T61" s="9" t="n">
        <x:f>SUMIFS('350配方'!$M61:$P61,'350配方'!$Y61:$AB61,111)</x:f>
        <x:v>0</x:v>
      </x:c>
      <x:c r="U61" s="9" t="n">
        <x:f>SUMIFS('350配方'!$M61:$P61,'350配方'!$Y61:$AB61,114)</x:f>
        <x:v>0</x:v>
      </x:c>
      <x:c r="V61" s="9" t="n">
        <x:f>SUMIFS('350配方'!$M61:$P61,'350配方'!$Y61:$AB61,115)</x:f>
        <x:v>0</x:v>
      </x:c>
      <x:c r="W61" s="9" t="n">
        <x:f>SUMIFS('350配方'!$M61:$P61,'350配方'!$Y61:$AB61,117)</x:f>
        <x:v>0</x:v>
      </x:c>
      <x:c r="X61" s="9" t="n">
        <x:f>SUMIFS('350配方'!$M61:$P61,'350配方'!$Y61:$AB61,126)</x:f>
        <x:v>1815.6539083757125</x:v>
      </x:c>
      <x:c r="Y61" s="9" t="n">
        <x:f>SUMIFS('350配方'!$M61:$P61,'350配方'!$Y61:$AB61,136)</x:f>
        <x:v>0</x:v>
      </x:c>
      <x:c r="Z61" s="9" t="n">
        <x:f>SUMIFS('350配方'!$M61:$P61,'350配方'!$Y61:$AB61,141)</x:f>
        <x:v>0</x:v>
      </x:c>
      <x:c r="AA61" s="9" t="n">
        <x:f>SUMIFS('350配方'!$M61:$P61,'350配方'!$Y61:$AB61,152)</x:f>
        <x:v>0</x:v>
      </x:c>
      <x:c r="AB61" s="9" t="n">
        <x:f>SUMIFS('350配方'!$M61:$P61,'350配方'!$Y61:$AB61,165)</x:f>
        <x:v>0</x:v>
      </x:c>
      <x:c r="AC61" s="9" t="n">
        <x:f>SUMIFS('350配方'!$M61:$P61,'350配方'!$Y61:$AB61,186)</x:f>
        <x:v>0</x:v>
      </x:c>
      <x:c r="AD61" s="9" t="n">
        <x:f>SUMIFS('350配方'!$M61:$P61,'350配方'!$Y61:$AB61,207)</x:f>
        <x:v>0</x:v>
      </x:c>
      <x:c r="AE61" s="9" t="n">
        <x:f>SUMIFS('350配方'!$M61:$P61,'350配方'!$Y61:$AB61,209)</x:f>
        <x:v>0</x:v>
      </x:c>
      <x:c r="AF61" s="9" t="n">
        <x:f>SUMIFS('350配方'!$M61:$P61,'350配方'!$Y61:$AB61,227)</x:f>
        <x:v>0</x:v>
      </x:c>
      <x:c r="AG61" s="9" t="n">
        <x:f>SUMIFS('350配方'!$M61:$P61,'350配方'!$Y61:$AB61,232)</x:f>
        <x:v>0</x:v>
      </x:c>
      <x:c r="AH61" s="9" t="n">
        <x:f>SUMIFS('350配方'!$M61:$P61,'350配方'!$Y61:$AB61,255)</x:f>
        <x:v>0</x:v>
      </x:c>
      <x:c r="AI61" s="9" t="n">
        <x:f>'浓度设置'!S6</x:f>
        <x:v>219125.9626344086</x:v>
      </x:c>
      <x:c r="AJ61" s="9" t="n">
        <x:f>'浓度设置'!S8</x:f>
        <x:v>92796.92267241378</x:v>
      </x:c>
      <x:c r="AK61" s="9" t="n">
        <x:f>'浓度设置'!S10</x:f>
        <x:v>30556.797802197798</x:v>
      </x:c>
      <x:c r="AL61" s="9" t="n">
        <x:f>'浓度设置'!S12</x:f>
        <x:v>1735.828970588235</x:v>
      </x:c>
      <x:c r="AM61" s="9" t="n">
        <x:f>'浓度设置'!S15</x:f>
        <x:v>7385.813644067793</x:v>
      </x:c>
      <x:c r="AN61" s="9" t="n">
        <x:f>'浓度设置'!S19</x:f>
        <x:v>27722.03097701148</x:v>
      </x:c>
      <x:c r="AO61" s="9" t="n">
        <x:f>'浓度设置'!S22</x:f>
        <x:v>44345.55047619048</x:v>
      </x:c>
      <x:c r="AP61" s="9" t="n">
        <x:f>'浓度设置'!S26</x:f>
        <x:v>153318.30499999996</x:v>
      </x:c>
      <x:c r="AQ61" s="9" t="n">
        <x:f>'浓度设置'!S29</x:f>
        <x:v>312.7970588235294</x:v>
      </x:c>
      <x:c r="AR61" s="9" t="n">
        <x:f>'浓度设置'!S30</x:f>
        <x:v>104175.5097553192</x:v>
      </x:c>
      <x:c r="AS61" s="9" t="n">
        <x:f>'浓度设置'!S35</x:f>
        <x:v>405974.90656785714</x:v>
      </x:c>
    </x:row>
    <x:row r="62" ht="24" customHeight="1">
      <x:c r="A62" s="3" t="str">
        <x:f>'350配方'!A62</x:f>
        <x:v>T057</x:v>
      </x:c>
      <x:c r="B62" s="3" t="str">
        <x:f>'350配方'!B62</x:f>
        <x:v>拟合</x:v>
      </x:c>
      <x:c r="C62" s="3" t="n">
        <x:f>IF(B62="拟合",1,0)</x:f>
        <x:v>1</x:v>
      </x:c>
      <x:c r="D62" s="3" t="n">
        <x:f>'350配方'!AC62</x:f>
        <x:v>1</x:v>
      </x:c>
      <x:c r="E62" s="9" t="n">
        <x:f>SUMIFS('350配方'!$M62:$P62,'350配方'!$Y62:$AB62,7)</x:f>
        <x:v>0</x:v>
      </x:c>
      <x:c r="F62" s="9" t="n">
        <x:f>SUMIFS('350配方'!$M62:$P62,'350配方'!$Y62:$AB62,11)</x:f>
        <x:v>0</x:v>
      </x:c>
      <x:c r="G62" s="9" t="n">
        <x:f>SUMIFS('350配方'!$M62:$P62,'350配方'!$Y62:$AB62,18)</x:f>
        <x:v>0</x:v>
      </x:c>
      <x:c r="H62" s="9" t="n">
        <x:f>SUMIFS('350配方'!$M62:$P62,'350配方'!$Y62:$AB62,32)</x:f>
        <x:v>0</x:v>
      </x:c>
      <x:c r="I62" s="9" t="n">
        <x:f>SUMIFS('350配方'!$M62:$P62,'350配方'!$Y62:$AB62,40)</x:f>
        <x:v>0</x:v>
      </x:c>
      <x:c r="J62" s="9" t="n">
        <x:f>SUMIFS('350配方'!$M62:$P62,'350配方'!$Y62:$AB62,52)</x:f>
        <x:v>0</x:v>
      </x:c>
      <x:c r="K62" s="9" t="n">
        <x:f>SUMIFS('350配方'!$M62:$P62,'350配方'!$Y62:$AB62,53)</x:f>
        <x:v>0</x:v>
      </x:c>
      <x:c r="L62" s="9" t="n">
        <x:f>SUMIFS('350配方'!$M62:$P62,'350配方'!$Y62:$AB62,56)</x:f>
        <x:v>0</x:v>
      </x:c>
      <x:c r="M62" s="9" t="n">
        <x:f>SUMIFS('350配方'!$M62:$P62,'350配方'!$Y62:$AB62,58)</x:f>
        <x:v>0</x:v>
      </x:c>
      <x:c r="N62" s="9" t="n">
        <x:f>SUMIFS('350配方'!$M62:$P62,'350配方'!$Y62:$AB62,61)</x:f>
        <x:v>0</x:v>
      </x:c>
      <x:c r="O62" s="9" t="n">
        <x:f>SUMIFS('350配方'!$M62:$P62,'350配方'!$Y62:$AB62,69)</x:f>
        <x:v>0</x:v>
      </x:c>
      <x:c r="P62" s="9" t="n">
        <x:f>SUMIFS('350配方'!$M62:$P62,'350配方'!$Y62:$AB62,75)</x:f>
        <x:v>0</x:v>
      </x:c>
      <x:c r="Q62" s="9" t="n">
        <x:f>SUMIFS('350配方'!$M62:$P62,'350配方'!$Y62:$AB62,79)</x:f>
        <x:v>0</x:v>
      </x:c>
      <x:c r="R62" s="9" t="n">
        <x:f>SUMIFS('350配方'!$M62:$P62,'350配方'!$Y62:$AB62,90)</x:f>
        <x:v>0</x:v>
      </x:c>
      <x:c r="S62" s="9" t="n">
        <x:f>SUMIFS('350配方'!$M62:$P62,'350配方'!$Y62:$AB62,105)</x:f>
        <x:v>0</x:v>
      </x:c>
      <x:c r="T62" s="9" t="n">
        <x:f>SUMIFS('350配方'!$M62:$P62,'350配方'!$Y62:$AB62,111)</x:f>
        <x:v>0</x:v>
      </x:c>
      <x:c r="U62" s="9" t="n">
        <x:f>SUMIFS('350配方'!$M62:$P62,'350配方'!$Y62:$AB62,114)</x:f>
        <x:v>0</x:v>
      </x:c>
      <x:c r="V62" s="9" t="n">
        <x:f>SUMIFS('350配方'!$M62:$P62,'350配方'!$Y62:$AB62,115)</x:f>
        <x:v>0</x:v>
      </x:c>
      <x:c r="W62" s="9" t="n">
        <x:f>SUMIFS('350配方'!$M62:$P62,'350配方'!$Y62:$AB62,117)</x:f>
        <x:v>0</x:v>
      </x:c>
      <x:c r="X62" s="9" t="n">
        <x:f>SUMIFS('350配方'!$M62:$P62,'350配方'!$Y62:$AB62,126)</x:f>
        <x:v>1551340.76</x:v>
      </x:c>
      <x:c r="Y62" s="9" t="n">
        <x:f>SUMIFS('350配方'!$M62:$P62,'350配方'!$Y62:$AB62,136)</x:f>
        <x:v>0</x:v>
      </x:c>
      <x:c r="Z62" s="9" t="n">
        <x:f>SUMIFS('350配方'!$M62:$P62,'350配方'!$Y62:$AB62,141)</x:f>
        <x:v>0</x:v>
      </x:c>
      <x:c r="AA62" s="9" t="n">
        <x:f>SUMIFS('350配方'!$M62:$P62,'350配方'!$Y62:$AB62,152)</x:f>
        <x:v>0</x:v>
      </x:c>
      <x:c r="AB62" s="9" t="n">
        <x:f>SUMIFS('350配方'!$M62:$P62,'350配方'!$Y62:$AB62,165)</x:f>
        <x:v>0</x:v>
      </x:c>
      <x:c r="AC62" s="9" t="n">
        <x:f>SUMIFS('350配方'!$M62:$P62,'350配方'!$Y62:$AB62,186)</x:f>
        <x:v>0</x:v>
      </x:c>
      <x:c r="AD62" s="9" t="n">
        <x:f>SUMIFS('350配方'!$M62:$P62,'350配方'!$Y62:$AB62,207)</x:f>
        <x:v>0</x:v>
      </x:c>
      <x:c r="AE62" s="9" t="n">
        <x:f>SUMIFS('350配方'!$M62:$P62,'350配方'!$Y62:$AB62,209)</x:f>
        <x:v>0</x:v>
      </x:c>
      <x:c r="AF62" s="9" t="n">
        <x:f>SUMIFS('350配方'!$M62:$P62,'350配方'!$Y62:$AB62,227)</x:f>
        <x:v>0</x:v>
      </x:c>
      <x:c r="AG62" s="9" t="n">
        <x:f>SUMIFS('350配方'!$M62:$P62,'350配方'!$Y62:$AB62,232)</x:f>
        <x:v>0</x:v>
      </x:c>
      <x:c r="AH62" s="9" t="n">
        <x:f>SUMIFS('350配方'!$M62:$P62,'350配方'!$Y62:$AB62,255)</x:f>
        <x:v>0</x:v>
      </x:c>
      <x:c r="AI62" s="9" t="n">
        <x:f>'浓度设置'!S6</x:f>
        <x:v>219125.9626344086</x:v>
      </x:c>
      <x:c r="AJ62" s="9" t="n">
        <x:f>'浓度设置'!S8</x:f>
        <x:v>92796.92267241378</x:v>
      </x:c>
      <x:c r="AK62" s="9" t="n">
        <x:f>'浓度设置'!S10</x:f>
        <x:v>30556.797802197798</x:v>
      </x:c>
      <x:c r="AL62" s="9" t="n">
        <x:f>'浓度设置'!S12</x:f>
        <x:v>1735.828970588235</x:v>
      </x:c>
      <x:c r="AM62" s="9" t="n">
        <x:f>'浓度设置'!S15</x:f>
        <x:v>7385.813644067793</x:v>
      </x:c>
      <x:c r="AN62" s="9" t="n">
        <x:f>'浓度设置'!S19</x:f>
        <x:v>27722.03097701148</x:v>
      </x:c>
      <x:c r="AO62" s="9" t="n">
        <x:f>'浓度设置'!S22</x:f>
        <x:v>44345.55047619048</x:v>
      </x:c>
      <x:c r="AP62" s="9" t="n">
        <x:f>'浓度设置'!S26</x:f>
        <x:v>153318.30499999996</x:v>
      </x:c>
      <x:c r="AQ62" s="9" t="n">
        <x:f>'浓度设置'!S29</x:f>
        <x:v>312.7970588235294</x:v>
      </x:c>
      <x:c r="AR62" s="9" t="n">
        <x:f>'浓度设置'!S30</x:f>
        <x:v>104175.5097553192</x:v>
      </x:c>
      <x:c r="AS62" s="9" t="n">
        <x:f>'浓度设置'!S35</x:f>
        <x:v>405974.90656785714</x:v>
      </x:c>
    </x:row>
    <x:row r="63" ht="24" customHeight="1">
      <x:c r="A63" s="3" t="str">
        <x:f>'350配方'!A63</x:f>
        <x:v>T058</x:v>
      </x:c>
      <x:c r="B63" s="3" t="str">
        <x:f>'350配方'!B63</x:f>
        <x:v>拟合</x:v>
      </x:c>
      <x:c r="C63" s="3" t="n">
        <x:f>IF(B63="拟合",1,0)</x:f>
        <x:v>1</x:v>
      </x:c>
      <x:c r="D63" s="3" t="n">
        <x:f>'350配方'!AC63</x:f>
        <x:v>1</x:v>
      </x:c>
      <x:c r="E63" s="9" t="n">
        <x:f>SUMIFS('350配方'!$M63:$P63,'350配方'!$Y63:$AB63,7)</x:f>
        <x:v>0</x:v>
      </x:c>
      <x:c r="F63" s="9" t="n">
        <x:f>SUMIFS('350配方'!$M63:$P63,'350配方'!$Y63:$AB63,11)</x:f>
        <x:v>0</x:v>
      </x:c>
      <x:c r="G63" s="9" t="n">
        <x:f>SUMIFS('350配方'!$M63:$P63,'350配方'!$Y63:$AB63,18)</x:f>
        <x:v>0</x:v>
      </x:c>
      <x:c r="H63" s="9" t="n">
        <x:f>SUMIFS('350配方'!$M63:$P63,'350配方'!$Y63:$AB63,32)</x:f>
        <x:v>0</x:v>
      </x:c>
      <x:c r="I63" s="9" t="n">
        <x:f>SUMIFS('350配方'!$M63:$P63,'350配方'!$Y63:$AB63,40)</x:f>
        <x:v>0</x:v>
      </x:c>
      <x:c r="J63" s="9" t="n">
        <x:f>SUMIFS('350配方'!$M63:$P63,'350配方'!$Y63:$AB63,52)</x:f>
        <x:v>0</x:v>
      </x:c>
      <x:c r="K63" s="9" t="n">
        <x:f>SUMIFS('350配方'!$M63:$P63,'350配方'!$Y63:$AB63,53)</x:f>
        <x:v>0</x:v>
      </x:c>
      <x:c r="L63" s="9" t="n">
        <x:f>SUMIFS('350配方'!$M63:$P63,'350配方'!$Y63:$AB63,56)</x:f>
        <x:v>0</x:v>
      </x:c>
      <x:c r="M63" s="9" t="n">
        <x:f>SUMIFS('350配方'!$M63:$P63,'350配方'!$Y63:$AB63,58)</x:f>
        <x:v>0</x:v>
      </x:c>
      <x:c r="N63" s="9" t="n">
        <x:f>SUMIFS('350配方'!$M63:$P63,'350配方'!$Y63:$AB63,61)</x:f>
        <x:v>0</x:v>
      </x:c>
      <x:c r="O63" s="9" t="n">
        <x:f>SUMIFS('350配方'!$M63:$P63,'350配方'!$Y63:$AB63,69)</x:f>
        <x:v>0</x:v>
      </x:c>
      <x:c r="P63" s="9" t="n">
        <x:f>SUMIFS('350配方'!$M63:$P63,'350配方'!$Y63:$AB63,75)</x:f>
        <x:v>0</x:v>
      </x:c>
      <x:c r="Q63" s="9" t="n">
        <x:f>SUMIFS('350配方'!$M63:$P63,'350配方'!$Y63:$AB63,79)</x:f>
        <x:v>0</x:v>
      </x:c>
      <x:c r="R63" s="9" t="n">
        <x:f>SUMIFS('350配方'!$M63:$P63,'350配方'!$Y63:$AB63,90)</x:f>
        <x:v>0</x:v>
      </x:c>
      <x:c r="S63" s="9" t="n">
        <x:f>SUMIFS('350配方'!$M63:$P63,'350配方'!$Y63:$AB63,105)</x:f>
        <x:v>0</x:v>
      </x:c>
      <x:c r="T63" s="9" t="n">
        <x:f>SUMIFS('350配方'!$M63:$P63,'350配方'!$Y63:$AB63,111)</x:f>
        <x:v>0</x:v>
      </x:c>
      <x:c r="U63" s="9" t="n">
        <x:f>SUMIFS('350配方'!$M63:$P63,'350配方'!$Y63:$AB63,114)</x:f>
        <x:v>0</x:v>
      </x:c>
      <x:c r="V63" s="9" t="n">
        <x:f>SUMIFS('350配方'!$M63:$P63,'350配方'!$Y63:$AB63,115)</x:f>
        <x:v>0</x:v>
      </x:c>
      <x:c r="W63" s="9" t="n">
        <x:f>SUMIFS('350配方'!$M63:$P63,'350配方'!$Y63:$AB63,117)</x:f>
        <x:v>0</x:v>
      </x:c>
      <x:c r="X63" s="9" t="n">
        <x:f>SUMIFS('350配方'!$M63:$P63,'350配方'!$Y63:$AB63,126)</x:f>
        <x:v>0</x:v>
      </x:c>
      <x:c r="Y63" s="9" t="n">
        <x:f>SUMIFS('350配方'!$M63:$P63,'350配方'!$Y63:$AB63,136)</x:f>
        <x:v>1.1875</x:v>
      </x:c>
      <x:c r="Z63" s="9" t="n">
        <x:f>SUMIFS('350配方'!$M63:$P63,'350配方'!$Y63:$AB63,141)</x:f>
        <x:v>0</x:v>
      </x:c>
      <x:c r="AA63" s="9" t="n">
        <x:f>SUMIFS('350配方'!$M63:$P63,'350配方'!$Y63:$AB63,152)</x:f>
        <x:v>0</x:v>
      </x:c>
      <x:c r="AB63" s="9" t="n">
        <x:f>SUMIFS('350配方'!$M63:$P63,'350配方'!$Y63:$AB63,165)</x:f>
        <x:v>0</x:v>
      </x:c>
      <x:c r="AC63" s="9" t="n">
        <x:f>SUMIFS('350配方'!$M63:$P63,'350配方'!$Y63:$AB63,186)</x:f>
        <x:v>0</x:v>
      </x:c>
      <x:c r="AD63" s="9" t="n">
        <x:f>SUMIFS('350配方'!$M63:$P63,'350配方'!$Y63:$AB63,207)</x:f>
        <x:v>0</x:v>
      </x:c>
      <x:c r="AE63" s="9" t="n">
        <x:f>SUMIFS('350配方'!$M63:$P63,'350配方'!$Y63:$AB63,209)</x:f>
        <x:v>0</x:v>
      </x:c>
      <x:c r="AF63" s="9" t="n">
        <x:f>SUMIFS('350配方'!$M63:$P63,'350配方'!$Y63:$AB63,227)</x:f>
        <x:v>0</x:v>
      </x:c>
      <x:c r="AG63" s="9" t="n">
        <x:f>SUMIFS('350配方'!$M63:$P63,'350配方'!$Y63:$AB63,232)</x:f>
        <x:v>0</x:v>
      </x:c>
      <x:c r="AH63" s="9" t="n">
        <x:f>SUMIFS('350配方'!$M63:$P63,'350配方'!$Y63:$AB63,255)</x:f>
        <x:v>0</x:v>
      </x:c>
      <x:c r="AI63" s="9" t="n">
        <x:f>'浓度设置'!S6</x:f>
        <x:v>219125.9626344086</x:v>
      </x:c>
      <x:c r="AJ63" s="9" t="n">
        <x:f>'浓度设置'!S8</x:f>
        <x:v>92796.92267241378</x:v>
      </x:c>
      <x:c r="AK63" s="9" t="n">
        <x:f>'浓度设置'!S10</x:f>
        <x:v>30556.797802197798</x:v>
      </x:c>
      <x:c r="AL63" s="9" t="n">
        <x:f>'浓度设置'!S12</x:f>
        <x:v>1735.828970588235</x:v>
      </x:c>
      <x:c r="AM63" s="9" t="n">
        <x:f>'浓度设置'!S15</x:f>
        <x:v>7385.813644067793</x:v>
      </x:c>
      <x:c r="AN63" s="9" t="n">
        <x:f>'浓度设置'!S19</x:f>
        <x:v>27722.03097701148</x:v>
      </x:c>
      <x:c r="AO63" s="9" t="n">
        <x:f>'浓度设置'!S22</x:f>
        <x:v>44345.55047619048</x:v>
      </x:c>
      <x:c r="AP63" s="9" t="n">
        <x:f>'浓度设置'!S26</x:f>
        <x:v>153318.30499999996</x:v>
      </x:c>
      <x:c r="AQ63" s="9" t="n">
        <x:f>'浓度设置'!S29</x:f>
        <x:v>312.7970588235294</x:v>
      </x:c>
      <x:c r="AR63" s="9" t="n">
        <x:f>'浓度设置'!S30</x:f>
        <x:v>104175.5097553192</x:v>
      </x:c>
      <x:c r="AS63" s="9" t="n">
        <x:f>'浓度设置'!S35</x:f>
        <x:v>405974.90656785714</x:v>
      </x:c>
    </x:row>
    <x:row r="64" ht="24" customHeight="1">
      <x:c r="A64" s="3" t="str">
        <x:f>'350配方'!A64</x:f>
        <x:v>T059</x:v>
      </x:c>
      <x:c r="B64" s="3" t="str">
        <x:f>'350配方'!B64</x:f>
        <x:v>拟合</x:v>
      </x:c>
      <x:c r="C64" s="3" t="n">
        <x:f>IF(B64="拟合",1,0)</x:f>
        <x:v>1</x:v>
      </x:c>
      <x:c r="D64" s="3" t="n">
        <x:f>'350配方'!AC64</x:f>
        <x:v>1</x:v>
      </x:c>
      <x:c r="E64" s="9" t="n">
        <x:f>SUMIFS('350配方'!$M64:$P64,'350配方'!$Y64:$AB64,7)</x:f>
        <x:v>0</x:v>
      </x:c>
      <x:c r="F64" s="9" t="n">
        <x:f>SUMIFS('350配方'!$M64:$P64,'350配方'!$Y64:$AB64,11)</x:f>
        <x:v>0</x:v>
      </x:c>
      <x:c r="G64" s="9" t="n">
        <x:f>SUMIFS('350配方'!$M64:$P64,'350配方'!$Y64:$AB64,18)</x:f>
        <x:v>0</x:v>
      </x:c>
      <x:c r="H64" s="9" t="n">
        <x:f>SUMIFS('350配方'!$M64:$P64,'350配方'!$Y64:$AB64,32)</x:f>
        <x:v>0</x:v>
      </x:c>
      <x:c r="I64" s="9" t="n">
        <x:f>SUMIFS('350配方'!$M64:$P64,'350配方'!$Y64:$AB64,40)</x:f>
        <x:v>0</x:v>
      </x:c>
      <x:c r="J64" s="9" t="n">
        <x:f>SUMIFS('350配方'!$M64:$P64,'350配方'!$Y64:$AB64,52)</x:f>
        <x:v>0</x:v>
      </x:c>
      <x:c r="K64" s="9" t="n">
        <x:f>SUMIFS('350配方'!$M64:$P64,'350配方'!$Y64:$AB64,53)</x:f>
        <x:v>0</x:v>
      </x:c>
      <x:c r="L64" s="9" t="n">
        <x:f>SUMIFS('350配方'!$M64:$P64,'350配方'!$Y64:$AB64,56)</x:f>
        <x:v>0</x:v>
      </x:c>
      <x:c r="M64" s="9" t="n">
        <x:f>SUMIFS('350配方'!$M64:$P64,'350配方'!$Y64:$AB64,58)</x:f>
        <x:v>0</x:v>
      </x:c>
      <x:c r="N64" s="9" t="n">
        <x:f>SUMIFS('350配方'!$M64:$P64,'350配方'!$Y64:$AB64,61)</x:f>
        <x:v>0</x:v>
      </x:c>
      <x:c r="O64" s="9" t="n">
        <x:f>SUMIFS('350配方'!$M64:$P64,'350配方'!$Y64:$AB64,69)</x:f>
        <x:v>0</x:v>
      </x:c>
      <x:c r="P64" s="9" t="n">
        <x:f>SUMIFS('350配方'!$M64:$P64,'350配方'!$Y64:$AB64,75)</x:f>
        <x:v>0</x:v>
      </x:c>
      <x:c r="Q64" s="9" t="n">
        <x:f>SUMIFS('350配方'!$M64:$P64,'350配方'!$Y64:$AB64,79)</x:f>
        <x:v>0</x:v>
      </x:c>
      <x:c r="R64" s="9" t="n">
        <x:f>SUMIFS('350配方'!$M64:$P64,'350配方'!$Y64:$AB64,90)</x:f>
        <x:v>0</x:v>
      </x:c>
      <x:c r="S64" s="9" t="n">
        <x:f>SUMIFS('350配方'!$M64:$P64,'350配方'!$Y64:$AB64,105)</x:f>
        <x:v>0</x:v>
      </x:c>
      <x:c r="T64" s="9" t="n">
        <x:f>SUMIFS('350配方'!$M64:$P64,'350配方'!$Y64:$AB64,111)</x:f>
        <x:v>0</x:v>
      </x:c>
      <x:c r="U64" s="9" t="n">
        <x:f>SUMIFS('350配方'!$M64:$P64,'350配方'!$Y64:$AB64,114)</x:f>
        <x:v>0</x:v>
      </x:c>
      <x:c r="V64" s="9" t="n">
        <x:f>SUMIFS('350配方'!$M64:$P64,'350配方'!$Y64:$AB64,115)</x:f>
        <x:v>0</x:v>
      </x:c>
      <x:c r="W64" s="9" t="n">
        <x:f>SUMIFS('350配方'!$M64:$P64,'350配方'!$Y64:$AB64,117)</x:f>
        <x:v>0</x:v>
      </x:c>
      <x:c r="X64" s="9" t="n">
        <x:f>SUMIFS('350配方'!$M64:$P64,'350配方'!$Y64:$AB64,126)</x:f>
        <x:v>0</x:v>
      </x:c>
      <x:c r="Y64" s="9" t="n">
        <x:f>SUMIFS('350配方'!$M64:$P64,'350配方'!$Y64:$AB64,136)</x:f>
        <x:v>228.58258901324922</x:v>
      </x:c>
      <x:c r="Z64" s="9" t="n">
        <x:f>SUMIFS('350配方'!$M64:$P64,'350配方'!$Y64:$AB64,141)</x:f>
        <x:v>0</x:v>
      </x:c>
      <x:c r="AA64" s="9" t="n">
        <x:f>SUMIFS('350配方'!$M64:$P64,'350配方'!$Y64:$AB64,152)</x:f>
        <x:v>0</x:v>
      </x:c>
      <x:c r="AB64" s="9" t="n">
        <x:f>SUMIFS('350配方'!$M64:$P64,'350配方'!$Y64:$AB64,165)</x:f>
        <x:v>0</x:v>
      </x:c>
      <x:c r="AC64" s="9" t="n">
        <x:f>SUMIFS('350配方'!$M64:$P64,'350配方'!$Y64:$AB64,186)</x:f>
        <x:v>0</x:v>
      </x:c>
      <x:c r="AD64" s="9" t="n">
        <x:f>SUMIFS('350配方'!$M64:$P64,'350配方'!$Y64:$AB64,207)</x:f>
        <x:v>0</x:v>
      </x:c>
      <x:c r="AE64" s="9" t="n">
        <x:f>SUMIFS('350配方'!$M64:$P64,'350配方'!$Y64:$AB64,209)</x:f>
        <x:v>0</x:v>
      </x:c>
      <x:c r="AF64" s="9" t="n">
        <x:f>SUMIFS('350配方'!$M64:$P64,'350配方'!$Y64:$AB64,227)</x:f>
        <x:v>0</x:v>
      </x:c>
      <x:c r="AG64" s="9" t="n">
        <x:f>SUMIFS('350配方'!$M64:$P64,'350配方'!$Y64:$AB64,232)</x:f>
        <x:v>0</x:v>
      </x:c>
      <x:c r="AH64" s="9" t="n">
        <x:f>SUMIFS('350配方'!$M64:$P64,'350配方'!$Y64:$AB64,255)</x:f>
        <x:v>0</x:v>
      </x:c>
      <x:c r="AI64" s="9" t="n">
        <x:f>'浓度设置'!S6</x:f>
        <x:v>219125.9626344086</x:v>
      </x:c>
      <x:c r="AJ64" s="9" t="n">
        <x:f>'浓度设置'!S8</x:f>
        <x:v>92796.92267241378</x:v>
      </x:c>
      <x:c r="AK64" s="9" t="n">
        <x:f>'浓度设置'!S10</x:f>
        <x:v>30556.797802197798</x:v>
      </x:c>
      <x:c r="AL64" s="9" t="n">
        <x:f>'浓度设置'!S12</x:f>
        <x:v>1735.828970588235</x:v>
      </x:c>
      <x:c r="AM64" s="9" t="n">
        <x:f>'浓度设置'!S15</x:f>
        <x:v>7385.813644067793</x:v>
      </x:c>
      <x:c r="AN64" s="9" t="n">
        <x:f>'浓度设置'!S19</x:f>
        <x:v>27722.03097701148</x:v>
      </x:c>
      <x:c r="AO64" s="9" t="n">
        <x:f>'浓度设置'!S22</x:f>
        <x:v>44345.55047619048</x:v>
      </x:c>
      <x:c r="AP64" s="9" t="n">
        <x:f>'浓度设置'!S26</x:f>
        <x:v>153318.30499999996</x:v>
      </x:c>
      <x:c r="AQ64" s="9" t="n">
        <x:f>'浓度设置'!S29</x:f>
        <x:v>312.7970588235294</x:v>
      </x:c>
      <x:c r="AR64" s="9" t="n">
        <x:f>'浓度设置'!S30</x:f>
        <x:v>104175.5097553192</x:v>
      </x:c>
      <x:c r="AS64" s="9" t="n">
        <x:f>'浓度设置'!S35</x:f>
        <x:v>405974.90656785714</x:v>
      </x:c>
    </x:row>
    <x:row r="65" ht="24" customHeight="1">
      <x:c r="A65" s="3" t="str">
        <x:f>'350配方'!A65</x:f>
        <x:v>T060</x:v>
      </x:c>
      <x:c r="B65" s="3" t="str">
        <x:f>'350配方'!B65</x:f>
        <x:v>拟合</x:v>
      </x:c>
      <x:c r="C65" s="3" t="n">
        <x:f>IF(B65="拟合",1,0)</x:f>
        <x:v>1</x:v>
      </x:c>
      <x:c r="D65" s="3" t="n">
        <x:f>'350配方'!AC65</x:f>
        <x:v>1</x:v>
      </x:c>
      <x:c r="E65" s="9" t="n">
        <x:f>SUMIFS('350配方'!$M65:$P65,'350配方'!$Y65:$AB65,7)</x:f>
        <x:v>0</x:v>
      </x:c>
      <x:c r="F65" s="9" t="n">
        <x:f>SUMIFS('350配方'!$M65:$P65,'350配方'!$Y65:$AB65,11)</x:f>
        <x:v>0</x:v>
      </x:c>
      <x:c r="G65" s="9" t="n">
        <x:f>SUMIFS('350配方'!$M65:$P65,'350配方'!$Y65:$AB65,18)</x:f>
        <x:v>0</x:v>
      </x:c>
      <x:c r="H65" s="9" t="n">
        <x:f>SUMIFS('350配方'!$M65:$P65,'350配方'!$Y65:$AB65,32)</x:f>
        <x:v>0</x:v>
      </x:c>
      <x:c r="I65" s="9" t="n">
        <x:f>SUMIFS('350配方'!$M65:$P65,'350配方'!$Y65:$AB65,40)</x:f>
        <x:v>0</x:v>
      </x:c>
      <x:c r="J65" s="9" t="n">
        <x:f>SUMIFS('350配方'!$M65:$P65,'350配方'!$Y65:$AB65,52)</x:f>
        <x:v>0</x:v>
      </x:c>
      <x:c r="K65" s="9" t="n">
        <x:f>SUMIFS('350配方'!$M65:$P65,'350配方'!$Y65:$AB65,53)</x:f>
        <x:v>0</x:v>
      </x:c>
      <x:c r="L65" s="9" t="n">
        <x:f>SUMIFS('350配方'!$M65:$P65,'350配方'!$Y65:$AB65,56)</x:f>
        <x:v>0</x:v>
      </x:c>
      <x:c r="M65" s="9" t="n">
        <x:f>SUMIFS('350配方'!$M65:$P65,'350配方'!$Y65:$AB65,58)</x:f>
        <x:v>0</x:v>
      </x:c>
      <x:c r="N65" s="9" t="n">
        <x:f>SUMIFS('350配方'!$M65:$P65,'350配方'!$Y65:$AB65,61)</x:f>
        <x:v>0</x:v>
      </x:c>
      <x:c r="O65" s="9" t="n">
        <x:f>SUMIFS('350配方'!$M65:$P65,'350配方'!$Y65:$AB65,69)</x:f>
        <x:v>0</x:v>
      </x:c>
      <x:c r="P65" s="9" t="n">
        <x:f>SUMIFS('350配方'!$M65:$P65,'350配方'!$Y65:$AB65,75)</x:f>
        <x:v>0</x:v>
      </x:c>
      <x:c r="Q65" s="9" t="n">
        <x:f>SUMIFS('350配方'!$M65:$P65,'350配方'!$Y65:$AB65,79)</x:f>
        <x:v>0</x:v>
      </x:c>
      <x:c r="R65" s="9" t="n">
        <x:f>SUMIFS('350配方'!$M65:$P65,'350配方'!$Y65:$AB65,90)</x:f>
        <x:v>0</x:v>
      </x:c>
      <x:c r="S65" s="9" t="n">
        <x:f>SUMIFS('350配方'!$M65:$P65,'350配方'!$Y65:$AB65,105)</x:f>
        <x:v>0</x:v>
      </x:c>
      <x:c r="T65" s="9" t="n">
        <x:f>SUMIFS('350配方'!$M65:$P65,'350配方'!$Y65:$AB65,111)</x:f>
        <x:v>0</x:v>
      </x:c>
      <x:c r="U65" s="9" t="n">
        <x:f>SUMIFS('350配方'!$M65:$P65,'350配方'!$Y65:$AB65,114)</x:f>
        <x:v>0</x:v>
      </x:c>
      <x:c r="V65" s="9" t="n">
        <x:f>SUMIFS('350配方'!$M65:$P65,'350配方'!$Y65:$AB65,115)</x:f>
        <x:v>0</x:v>
      </x:c>
      <x:c r="W65" s="9" t="n">
        <x:f>SUMIFS('350配方'!$M65:$P65,'350配方'!$Y65:$AB65,117)</x:f>
        <x:v>0</x:v>
      </x:c>
      <x:c r="X65" s="9" t="n">
        <x:f>SUMIFS('350配方'!$M65:$P65,'350配方'!$Y65:$AB65,126)</x:f>
        <x:v>0</x:v>
      </x:c>
      <x:c r="Y65" s="9" t="n">
        <x:f>SUMIFS('350配方'!$M65:$P65,'350配方'!$Y65:$AB65,136)</x:f>
        <x:v>44000</x:v>
      </x:c>
      <x:c r="Z65" s="9" t="n">
        <x:f>SUMIFS('350配方'!$M65:$P65,'350配方'!$Y65:$AB65,141)</x:f>
        <x:v>0</x:v>
      </x:c>
      <x:c r="AA65" s="9" t="n">
        <x:f>SUMIFS('350配方'!$M65:$P65,'350配方'!$Y65:$AB65,152)</x:f>
        <x:v>0</x:v>
      </x:c>
      <x:c r="AB65" s="9" t="n">
        <x:f>SUMIFS('350配方'!$M65:$P65,'350配方'!$Y65:$AB65,165)</x:f>
        <x:v>0</x:v>
      </x:c>
      <x:c r="AC65" s="9" t="n">
        <x:f>SUMIFS('350配方'!$M65:$P65,'350配方'!$Y65:$AB65,186)</x:f>
        <x:v>0</x:v>
      </x:c>
      <x:c r="AD65" s="9" t="n">
        <x:f>SUMIFS('350配方'!$M65:$P65,'350配方'!$Y65:$AB65,207)</x:f>
        <x:v>0</x:v>
      </x:c>
      <x:c r="AE65" s="9" t="n">
        <x:f>SUMIFS('350配方'!$M65:$P65,'350配方'!$Y65:$AB65,209)</x:f>
        <x:v>0</x:v>
      </x:c>
      <x:c r="AF65" s="9" t="n">
        <x:f>SUMIFS('350配方'!$M65:$P65,'350配方'!$Y65:$AB65,227)</x:f>
        <x:v>0</x:v>
      </x:c>
      <x:c r="AG65" s="9" t="n">
        <x:f>SUMIFS('350配方'!$M65:$P65,'350配方'!$Y65:$AB65,232)</x:f>
        <x:v>0</x:v>
      </x:c>
      <x:c r="AH65" s="9" t="n">
        <x:f>SUMIFS('350配方'!$M65:$P65,'350配方'!$Y65:$AB65,255)</x:f>
        <x:v>0</x:v>
      </x:c>
      <x:c r="AI65" s="9" t="n">
        <x:f>'浓度设置'!S6</x:f>
        <x:v>219125.9626344086</x:v>
      </x:c>
      <x:c r="AJ65" s="9" t="n">
        <x:f>'浓度设置'!S8</x:f>
        <x:v>92796.92267241378</x:v>
      </x:c>
      <x:c r="AK65" s="9" t="n">
        <x:f>'浓度设置'!S10</x:f>
        <x:v>30556.797802197798</x:v>
      </x:c>
      <x:c r="AL65" s="9" t="n">
        <x:f>'浓度设置'!S12</x:f>
        <x:v>1735.828970588235</x:v>
      </x:c>
      <x:c r="AM65" s="9" t="n">
        <x:f>'浓度设置'!S15</x:f>
        <x:v>7385.813644067793</x:v>
      </x:c>
      <x:c r="AN65" s="9" t="n">
        <x:f>'浓度设置'!S19</x:f>
        <x:v>27722.03097701148</x:v>
      </x:c>
      <x:c r="AO65" s="9" t="n">
        <x:f>'浓度设置'!S22</x:f>
        <x:v>44345.55047619048</x:v>
      </x:c>
      <x:c r="AP65" s="9" t="n">
        <x:f>'浓度设置'!S26</x:f>
        <x:v>153318.30499999996</x:v>
      </x:c>
      <x:c r="AQ65" s="9" t="n">
        <x:f>'浓度设置'!S29</x:f>
        <x:v>312.7970588235294</x:v>
      </x:c>
      <x:c r="AR65" s="9" t="n">
        <x:f>'浓度设置'!S30</x:f>
        <x:v>104175.5097553192</x:v>
      </x:c>
      <x:c r="AS65" s="9" t="n">
        <x:f>'浓度设置'!S35</x:f>
        <x:v>405974.90656785714</x:v>
      </x:c>
    </x:row>
    <x:row r="66" ht="24" customHeight="1">
      <x:c r="A66" s="3" t="str">
        <x:f>'350配方'!A66</x:f>
        <x:v>T061</x:v>
      </x:c>
      <x:c r="B66" s="3" t="str">
        <x:f>'350配方'!B66</x:f>
        <x:v>拟合</x:v>
      </x:c>
      <x:c r="C66" s="3" t="n">
        <x:f>IF(B66="拟合",1,0)</x:f>
        <x:v>1</x:v>
      </x:c>
      <x:c r="D66" s="3" t="n">
        <x:f>'350配方'!AC66</x:f>
        <x:v>1</x:v>
      </x:c>
      <x:c r="E66" s="9" t="n">
        <x:f>SUMIFS('350配方'!$M66:$P66,'350配方'!$Y66:$AB66,7)</x:f>
        <x:v>0</x:v>
      </x:c>
      <x:c r="F66" s="9" t="n">
        <x:f>SUMIFS('350配方'!$M66:$P66,'350配方'!$Y66:$AB66,11)</x:f>
        <x:v>0</x:v>
      </x:c>
      <x:c r="G66" s="9" t="n">
        <x:f>SUMIFS('350配方'!$M66:$P66,'350配方'!$Y66:$AB66,18)</x:f>
        <x:v>0</x:v>
      </x:c>
      <x:c r="H66" s="9" t="n">
        <x:f>SUMIFS('350配方'!$M66:$P66,'350配方'!$Y66:$AB66,32)</x:f>
        <x:v>0</x:v>
      </x:c>
      <x:c r="I66" s="9" t="n">
        <x:f>SUMIFS('350配方'!$M66:$P66,'350配方'!$Y66:$AB66,40)</x:f>
        <x:v>0</x:v>
      </x:c>
      <x:c r="J66" s="9" t="n">
        <x:f>SUMIFS('350配方'!$M66:$P66,'350配方'!$Y66:$AB66,52)</x:f>
        <x:v>0</x:v>
      </x:c>
      <x:c r="K66" s="9" t="n">
        <x:f>SUMIFS('350配方'!$M66:$P66,'350配方'!$Y66:$AB66,53)</x:f>
        <x:v>0</x:v>
      </x:c>
      <x:c r="L66" s="9" t="n">
        <x:f>SUMIFS('350配方'!$M66:$P66,'350配方'!$Y66:$AB66,56)</x:f>
        <x:v>0</x:v>
      </x:c>
      <x:c r="M66" s="9" t="n">
        <x:f>SUMIFS('350配方'!$M66:$P66,'350配方'!$Y66:$AB66,58)</x:f>
        <x:v>0</x:v>
      </x:c>
      <x:c r="N66" s="9" t="n">
        <x:f>SUMIFS('350配方'!$M66:$P66,'350配方'!$Y66:$AB66,61)</x:f>
        <x:v>0</x:v>
      </x:c>
      <x:c r="O66" s="9" t="n">
        <x:f>SUMIFS('350配方'!$M66:$P66,'350配方'!$Y66:$AB66,69)</x:f>
        <x:v>0</x:v>
      </x:c>
      <x:c r="P66" s="9" t="n">
        <x:f>SUMIFS('350配方'!$M66:$P66,'350配方'!$Y66:$AB66,75)</x:f>
        <x:v>0</x:v>
      </x:c>
      <x:c r="Q66" s="9" t="n">
        <x:f>SUMIFS('350配方'!$M66:$P66,'350配方'!$Y66:$AB66,79)</x:f>
        <x:v>0</x:v>
      </x:c>
      <x:c r="R66" s="9" t="n">
        <x:f>SUMIFS('350配方'!$M66:$P66,'350配方'!$Y66:$AB66,90)</x:f>
        <x:v>0</x:v>
      </x:c>
      <x:c r="S66" s="9" t="n">
        <x:f>SUMIFS('350配方'!$M66:$P66,'350配方'!$Y66:$AB66,105)</x:f>
        <x:v>0</x:v>
      </x:c>
      <x:c r="T66" s="9" t="n">
        <x:f>SUMIFS('350配方'!$M66:$P66,'350配方'!$Y66:$AB66,111)</x:f>
        <x:v>0</x:v>
      </x:c>
      <x:c r="U66" s="9" t="n">
        <x:f>SUMIFS('350配方'!$M66:$P66,'350配方'!$Y66:$AB66,114)</x:f>
        <x:v>0</x:v>
      </x:c>
      <x:c r="V66" s="9" t="n">
        <x:f>SUMIFS('350配方'!$M66:$P66,'350配方'!$Y66:$AB66,115)</x:f>
        <x:v>0</x:v>
      </x:c>
      <x:c r="W66" s="9" t="n">
        <x:f>SUMIFS('350配方'!$M66:$P66,'350配方'!$Y66:$AB66,117)</x:f>
        <x:v>0</x:v>
      </x:c>
      <x:c r="X66" s="9" t="n">
        <x:f>SUMIFS('350配方'!$M66:$P66,'350配方'!$Y66:$AB66,126)</x:f>
        <x:v>0</x:v>
      </x:c>
      <x:c r="Y66" s="9" t="n">
        <x:f>SUMIFS('350配方'!$M66:$P66,'350配方'!$Y66:$AB66,136)</x:f>
        <x:v>0</x:v>
      </x:c>
      <x:c r="Z66" s="9" t="n">
        <x:f>SUMIFS('350配方'!$M66:$P66,'350配方'!$Y66:$AB66,141)</x:f>
        <x:v>2.2</x:v>
      </x:c>
      <x:c r="AA66" s="9" t="n">
        <x:f>SUMIFS('350配方'!$M66:$P66,'350配方'!$Y66:$AB66,152)</x:f>
        <x:v>0</x:v>
      </x:c>
      <x:c r="AB66" s="9" t="n">
        <x:f>SUMIFS('350配方'!$M66:$P66,'350配方'!$Y66:$AB66,165)</x:f>
        <x:v>0</x:v>
      </x:c>
      <x:c r="AC66" s="9" t="n">
        <x:f>SUMIFS('350配方'!$M66:$P66,'350配方'!$Y66:$AB66,186)</x:f>
        <x:v>0</x:v>
      </x:c>
      <x:c r="AD66" s="9" t="n">
        <x:f>SUMIFS('350配方'!$M66:$P66,'350配方'!$Y66:$AB66,207)</x:f>
        <x:v>0</x:v>
      </x:c>
      <x:c r="AE66" s="9" t="n">
        <x:f>SUMIFS('350配方'!$M66:$P66,'350配方'!$Y66:$AB66,209)</x:f>
        <x:v>0</x:v>
      </x:c>
      <x:c r="AF66" s="9" t="n">
        <x:f>SUMIFS('350配方'!$M66:$P66,'350配方'!$Y66:$AB66,227)</x:f>
        <x:v>0</x:v>
      </x:c>
      <x:c r="AG66" s="9" t="n">
        <x:f>SUMIFS('350配方'!$M66:$P66,'350配方'!$Y66:$AB66,232)</x:f>
        <x:v>0</x:v>
      </x:c>
      <x:c r="AH66" s="9" t="n">
        <x:f>SUMIFS('350配方'!$M66:$P66,'350配方'!$Y66:$AB66,255)</x:f>
        <x:v>0</x:v>
      </x:c>
      <x:c r="AI66" s="9" t="n">
        <x:f>'浓度设置'!S6</x:f>
        <x:v>219125.9626344086</x:v>
      </x:c>
      <x:c r="AJ66" s="9" t="n">
        <x:f>'浓度设置'!S8</x:f>
        <x:v>92796.92267241378</x:v>
      </x:c>
      <x:c r="AK66" s="9" t="n">
        <x:f>'浓度设置'!S10</x:f>
        <x:v>30556.797802197798</x:v>
      </x:c>
      <x:c r="AL66" s="9" t="n">
        <x:f>'浓度设置'!S12</x:f>
        <x:v>1735.828970588235</x:v>
      </x:c>
      <x:c r="AM66" s="9" t="n">
        <x:f>'浓度设置'!S15</x:f>
        <x:v>7385.813644067793</x:v>
      </x:c>
      <x:c r="AN66" s="9" t="n">
        <x:f>'浓度设置'!S19</x:f>
        <x:v>27722.03097701148</x:v>
      </x:c>
      <x:c r="AO66" s="9" t="n">
        <x:f>'浓度设置'!S22</x:f>
        <x:v>44345.55047619048</x:v>
      </x:c>
      <x:c r="AP66" s="9" t="n">
        <x:f>'浓度设置'!S26</x:f>
        <x:v>153318.30499999996</x:v>
      </x:c>
      <x:c r="AQ66" s="9" t="n">
        <x:f>'浓度设置'!S29</x:f>
        <x:v>312.7970588235294</x:v>
      </x:c>
      <x:c r="AR66" s="9" t="n">
        <x:f>'浓度设置'!S30</x:f>
        <x:v>104175.5097553192</x:v>
      </x:c>
      <x:c r="AS66" s="9" t="n">
        <x:f>'浓度设置'!S35</x:f>
        <x:v>405974.90656785714</x:v>
      </x:c>
    </x:row>
    <x:row r="67" ht="24" customHeight="1">
      <x:c r="A67" s="3" t="str">
        <x:f>'350配方'!A67</x:f>
        <x:v>T062</x:v>
      </x:c>
      <x:c r="B67" s="3" t="str">
        <x:f>'350配方'!B67</x:f>
        <x:v>拟合</x:v>
      </x:c>
      <x:c r="C67" s="3" t="n">
        <x:f>IF(B67="拟合",1,0)</x:f>
        <x:v>1</x:v>
      </x:c>
      <x:c r="D67" s="3" t="n">
        <x:f>'350配方'!AC67</x:f>
        <x:v>1</x:v>
      </x:c>
      <x:c r="E67" s="9" t="n">
        <x:f>SUMIFS('350配方'!$M67:$P67,'350配方'!$Y67:$AB67,7)</x:f>
        <x:v>0</x:v>
      </x:c>
      <x:c r="F67" s="9" t="n">
        <x:f>SUMIFS('350配方'!$M67:$P67,'350配方'!$Y67:$AB67,11)</x:f>
        <x:v>0</x:v>
      </x:c>
      <x:c r="G67" s="9" t="n">
        <x:f>SUMIFS('350配方'!$M67:$P67,'350配方'!$Y67:$AB67,18)</x:f>
        <x:v>0</x:v>
      </x:c>
      <x:c r="H67" s="9" t="n">
        <x:f>SUMIFS('350配方'!$M67:$P67,'350配方'!$Y67:$AB67,32)</x:f>
        <x:v>0</x:v>
      </x:c>
      <x:c r="I67" s="9" t="n">
        <x:f>SUMIFS('350配方'!$M67:$P67,'350配方'!$Y67:$AB67,40)</x:f>
        <x:v>0</x:v>
      </x:c>
      <x:c r="J67" s="9" t="n">
        <x:f>SUMIFS('350配方'!$M67:$P67,'350配方'!$Y67:$AB67,52)</x:f>
        <x:v>0</x:v>
      </x:c>
      <x:c r="K67" s="9" t="n">
        <x:f>SUMIFS('350配方'!$M67:$P67,'350配方'!$Y67:$AB67,53)</x:f>
        <x:v>0</x:v>
      </x:c>
      <x:c r="L67" s="9" t="n">
        <x:f>SUMIFS('350配方'!$M67:$P67,'350配方'!$Y67:$AB67,56)</x:f>
        <x:v>0</x:v>
      </x:c>
      <x:c r="M67" s="9" t="n">
        <x:f>SUMIFS('350配方'!$M67:$P67,'350配方'!$Y67:$AB67,58)</x:f>
        <x:v>0</x:v>
      </x:c>
      <x:c r="N67" s="9" t="n">
        <x:f>SUMIFS('350配方'!$M67:$P67,'350配方'!$Y67:$AB67,61)</x:f>
        <x:v>0</x:v>
      </x:c>
      <x:c r="O67" s="9" t="n">
        <x:f>SUMIFS('350配方'!$M67:$P67,'350配方'!$Y67:$AB67,69)</x:f>
        <x:v>0</x:v>
      </x:c>
      <x:c r="P67" s="9" t="n">
        <x:f>SUMIFS('350配方'!$M67:$P67,'350配方'!$Y67:$AB67,75)</x:f>
        <x:v>0</x:v>
      </x:c>
      <x:c r="Q67" s="9" t="n">
        <x:f>SUMIFS('350配方'!$M67:$P67,'350配方'!$Y67:$AB67,79)</x:f>
        <x:v>0</x:v>
      </x:c>
      <x:c r="R67" s="9" t="n">
        <x:f>SUMIFS('350配方'!$M67:$P67,'350配方'!$Y67:$AB67,90)</x:f>
        <x:v>0</x:v>
      </x:c>
      <x:c r="S67" s="9" t="n">
        <x:f>SUMIFS('350配方'!$M67:$P67,'350配方'!$Y67:$AB67,105)</x:f>
        <x:v>0</x:v>
      </x:c>
      <x:c r="T67" s="9" t="n">
        <x:f>SUMIFS('350配方'!$M67:$P67,'350配方'!$Y67:$AB67,111)</x:f>
        <x:v>0</x:v>
      </x:c>
      <x:c r="U67" s="9" t="n">
        <x:f>SUMIFS('350配方'!$M67:$P67,'350配方'!$Y67:$AB67,114)</x:f>
        <x:v>0</x:v>
      </x:c>
      <x:c r="V67" s="9" t="n">
        <x:f>SUMIFS('350配方'!$M67:$P67,'350配方'!$Y67:$AB67,115)</x:f>
        <x:v>0</x:v>
      </x:c>
      <x:c r="W67" s="9" t="n">
        <x:f>SUMIFS('350配方'!$M67:$P67,'350配方'!$Y67:$AB67,117)</x:f>
        <x:v>0</x:v>
      </x:c>
      <x:c r="X67" s="9" t="n">
        <x:f>SUMIFS('350配方'!$M67:$P67,'350配方'!$Y67:$AB67,126)</x:f>
        <x:v>0</x:v>
      </x:c>
      <x:c r="Y67" s="9" t="n">
        <x:f>SUMIFS('350配方'!$M67:$P67,'350配方'!$Y67:$AB67,136)</x:f>
        <x:v>0</x:v>
      </x:c>
      <x:c r="Z67" s="9" t="n">
        <x:f>SUMIFS('350配方'!$M67:$P67,'350配方'!$Y67:$AB67,141)</x:f>
        <x:v>1512.497272724814</x:v>
      </x:c>
      <x:c r="AA67" s="9" t="n">
        <x:f>SUMIFS('350配方'!$M67:$P67,'350配方'!$Y67:$AB67,152)</x:f>
        <x:v>0</x:v>
      </x:c>
      <x:c r="AB67" s="9" t="n">
        <x:f>SUMIFS('350配方'!$M67:$P67,'350配方'!$Y67:$AB67,165)</x:f>
        <x:v>0</x:v>
      </x:c>
      <x:c r="AC67" s="9" t="n">
        <x:f>SUMIFS('350配方'!$M67:$P67,'350配方'!$Y67:$AB67,186)</x:f>
        <x:v>0</x:v>
      </x:c>
      <x:c r="AD67" s="9" t="n">
        <x:f>SUMIFS('350配方'!$M67:$P67,'350配方'!$Y67:$AB67,207)</x:f>
        <x:v>0</x:v>
      </x:c>
      <x:c r="AE67" s="9" t="n">
        <x:f>SUMIFS('350配方'!$M67:$P67,'350配方'!$Y67:$AB67,209)</x:f>
        <x:v>0</x:v>
      </x:c>
      <x:c r="AF67" s="9" t="n">
        <x:f>SUMIFS('350配方'!$M67:$P67,'350配方'!$Y67:$AB67,227)</x:f>
        <x:v>0</x:v>
      </x:c>
      <x:c r="AG67" s="9" t="n">
        <x:f>SUMIFS('350配方'!$M67:$P67,'350配方'!$Y67:$AB67,232)</x:f>
        <x:v>0</x:v>
      </x:c>
      <x:c r="AH67" s="9" t="n">
        <x:f>SUMIFS('350配方'!$M67:$P67,'350配方'!$Y67:$AB67,255)</x:f>
        <x:v>0</x:v>
      </x:c>
      <x:c r="AI67" s="9" t="n">
        <x:f>'浓度设置'!S6</x:f>
        <x:v>219125.9626344086</x:v>
      </x:c>
      <x:c r="AJ67" s="9" t="n">
        <x:f>'浓度设置'!S8</x:f>
        <x:v>92796.92267241378</x:v>
      </x:c>
      <x:c r="AK67" s="9" t="n">
        <x:f>'浓度设置'!S10</x:f>
        <x:v>30556.797802197798</x:v>
      </x:c>
      <x:c r="AL67" s="9" t="n">
        <x:f>'浓度设置'!S12</x:f>
        <x:v>1735.828970588235</x:v>
      </x:c>
      <x:c r="AM67" s="9" t="n">
        <x:f>'浓度设置'!S15</x:f>
        <x:v>7385.813644067793</x:v>
      </x:c>
      <x:c r="AN67" s="9" t="n">
        <x:f>'浓度设置'!S19</x:f>
        <x:v>27722.03097701148</x:v>
      </x:c>
      <x:c r="AO67" s="9" t="n">
        <x:f>'浓度设置'!S22</x:f>
        <x:v>44345.55047619048</x:v>
      </x:c>
      <x:c r="AP67" s="9" t="n">
        <x:f>'浓度设置'!S26</x:f>
        <x:v>153318.30499999996</x:v>
      </x:c>
      <x:c r="AQ67" s="9" t="n">
        <x:f>'浓度设置'!S29</x:f>
        <x:v>312.7970588235294</x:v>
      </x:c>
      <x:c r="AR67" s="9" t="n">
        <x:f>'浓度设置'!S30</x:f>
        <x:v>104175.5097553192</x:v>
      </x:c>
      <x:c r="AS67" s="9" t="n">
        <x:f>'浓度设置'!S35</x:f>
        <x:v>405974.90656785714</x:v>
      </x:c>
    </x:row>
    <x:row r="68" ht="24" customHeight="1">
      <x:c r="A68" s="3" t="str">
        <x:f>'350配方'!A68</x:f>
        <x:v>T063</x:v>
      </x:c>
      <x:c r="B68" s="3" t="str">
        <x:f>'350配方'!B68</x:f>
        <x:v>拟合</x:v>
      </x:c>
      <x:c r="C68" s="3" t="n">
        <x:f>IF(B68="拟合",1,0)</x:f>
        <x:v>1</x:v>
      </x:c>
      <x:c r="D68" s="3" t="n">
        <x:f>'350配方'!AC68</x:f>
        <x:v>1</x:v>
      </x:c>
      <x:c r="E68" s="9" t="n">
        <x:f>SUMIFS('350配方'!$M68:$P68,'350配方'!$Y68:$AB68,7)</x:f>
        <x:v>0</x:v>
      </x:c>
      <x:c r="F68" s="9" t="n">
        <x:f>SUMIFS('350配方'!$M68:$P68,'350配方'!$Y68:$AB68,11)</x:f>
        <x:v>0</x:v>
      </x:c>
      <x:c r="G68" s="9" t="n">
        <x:f>SUMIFS('350配方'!$M68:$P68,'350配方'!$Y68:$AB68,18)</x:f>
        <x:v>0</x:v>
      </x:c>
      <x:c r="H68" s="9" t="n">
        <x:f>SUMIFS('350配方'!$M68:$P68,'350配方'!$Y68:$AB68,32)</x:f>
        <x:v>0</x:v>
      </x:c>
      <x:c r="I68" s="9" t="n">
        <x:f>SUMIFS('350配方'!$M68:$P68,'350配方'!$Y68:$AB68,40)</x:f>
        <x:v>0</x:v>
      </x:c>
      <x:c r="J68" s="9" t="n">
        <x:f>SUMIFS('350配方'!$M68:$P68,'350配方'!$Y68:$AB68,52)</x:f>
        <x:v>0</x:v>
      </x:c>
      <x:c r="K68" s="9" t="n">
        <x:f>SUMIFS('350配方'!$M68:$P68,'350配方'!$Y68:$AB68,53)</x:f>
        <x:v>0</x:v>
      </x:c>
      <x:c r="L68" s="9" t="n">
        <x:f>SUMIFS('350配方'!$M68:$P68,'350配方'!$Y68:$AB68,56)</x:f>
        <x:v>0</x:v>
      </x:c>
      <x:c r="M68" s="9" t="n">
        <x:f>SUMIFS('350配方'!$M68:$P68,'350配方'!$Y68:$AB68,58)</x:f>
        <x:v>0</x:v>
      </x:c>
      <x:c r="N68" s="9" t="n">
        <x:f>SUMIFS('350配方'!$M68:$P68,'350配方'!$Y68:$AB68,61)</x:f>
        <x:v>0</x:v>
      </x:c>
      <x:c r="O68" s="9" t="n">
        <x:f>SUMIFS('350配方'!$M68:$P68,'350配方'!$Y68:$AB68,69)</x:f>
        <x:v>0</x:v>
      </x:c>
      <x:c r="P68" s="9" t="n">
        <x:f>SUMIFS('350配方'!$M68:$P68,'350配方'!$Y68:$AB68,75)</x:f>
        <x:v>0</x:v>
      </x:c>
      <x:c r="Q68" s="9" t="n">
        <x:f>SUMIFS('350配方'!$M68:$P68,'350配方'!$Y68:$AB68,79)</x:f>
        <x:v>0</x:v>
      </x:c>
      <x:c r="R68" s="9" t="n">
        <x:f>SUMIFS('350配方'!$M68:$P68,'350配方'!$Y68:$AB68,90)</x:f>
        <x:v>0</x:v>
      </x:c>
      <x:c r="S68" s="9" t="n">
        <x:f>SUMIFS('350配方'!$M68:$P68,'350配方'!$Y68:$AB68,105)</x:f>
        <x:v>0</x:v>
      </x:c>
      <x:c r="T68" s="9" t="n">
        <x:f>SUMIFS('350配方'!$M68:$P68,'350配方'!$Y68:$AB68,111)</x:f>
        <x:v>0</x:v>
      </x:c>
      <x:c r="U68" s="9" t="n">
        <x:f>SUMIFS('350配方'!$M68:$P68,'350配方'!$Y68:$AB68,114)</x:f>
        <x:v>0</x:v>
      </x:c>
      <x:c r="V68" s="9" t="n">
        <x:f>SUMIFS('350配方'!$M68:$P68,'350配方'!$Y68:$AB68,115)</x:f>
        <x:v>0</x:v>
      </x:c>
      <x:c r="W68" s="9" t="n">
        <x:f>SUMIFS('350配方'!$M68:$P68,'350配方'!$Y68:$AB68,117)</x:f>
        <x:v>0</x:v>
      </x:c>
      <x:c r="X68" s="9" t="n">
        <x:f>SUMIFS('350配方'!$M68:$P68,'350配方'!$Y68:$AB68,126)</x:f>
        <x:v>0</x:v>
      </x:c>
      <x:c r="Y68" s="9" t="n">
        <x:f>SUMIFS('350配方'!$M68:$P68,'350配方'!$Y68:$AB68,136)</x:f>
        <x:v>0</x:v>
      </x:c>
      <x:c r="Z68" s="9" t="n">
        <x:f>SUMIFS('350配方'!$M68:$P68,'350配方'!$Y68:$AB68,141)</x:f>
        <x:v>1039840</x:v>
      </x:c>
      <x:c r="AA68" s="9" t="n">
        <x:f>SUMIFS('350配方'!$M68:$P68,'350配方'!$Y68:$AB68,152)</x:f>
        <x:v>0</x:v>
      </x:c>
      <x:c r="AB68" s="9" t="n">
        <x:f>SUMIFS('350配方'!$M68:$P68,'350配方'!$Y68:$AB68,165)</x:f>
        <x:v>0</x:v>
      </x:c>
      <x:c r="AC68" s="9" t="n">
        <x:f>SUMIFS('350配方'!$M68:$P68,'350配方'!$Y68:$AB68,186)</x:f>
        <x:v>0</x:v>
      </x:c>
      <x:c r="AD68" s="9" t="n">
        <x:f>SUMIFS('350配方'!$M68:$P68,'350配方'!$Y68:$AB68,207)</x:f>
        <x:v>0</x:v>
      </x:c>
      <x:c r="AE68" s="9" t="n">
        <x:f>SUMIFS('350配方'!$M68:$P68,'350配方'!$Y68:$AB68,209)</x:f>
        <x:v>0</x:v>
      </x:c>
      <x:c r="AF68" s="9" t="n">
        <x:f>SUMIFS('350配方'!$M68:$P68,'350配方'!$Y68:$AB68,227)</x:f>
        <x:v>0</x:v>
      </x:c>
      <x:c r="AG68" s="9" t="n">
        <x:f>SUMIFS('350配方'!$M68:$P68,'350配方'!$Y68:$AB68,232)</x:f>
        <x:v>0</x:v>
      </x:c>
      <x:c r="AH68" s="9" t="n">
        <x:f>SUMIFS('350配方'!$M68:$P68,'350配方'!$Y68:$AB68,255)</x:f>
        <x:v>0</x:v>
      </x:c>
      <x:c r="AI68" s="9" t="n">
        <x:f>'浓度设置'!S6</x:f>
        <x:v>219125.9626344086</x:v>
      </x:c>
      <x:c r="AJ68" s="9" t="n">
        <x:f>'浓度设置'!S8</x:f>
        <x:v>92796.92267241378</x:v>
      </x:c>
      <x:c r="AK68" s="9" t="n">
        <x:f>'浓度设置'!S10</x:f>
        <x:v>30556.797802197798</x:v>
      </x:c>
      <x:c r="AL68" s="9" t="n">
        <x:f>'浓度设置'!S12</x:f>
        <x:v>1735.828970588235</x:v>
      </x:c>
      <x:c r="AM68" s="9" t="n">
        <x:f>'浓度设置'!S15</x:f>
        <x:v>7385.813644067793</x:v>
      </x:c>
      <x:c r="AN68" s="9" t="n">
        <x:f>'浓度设置'!S19</x:f>
        <x:v>27722.03097701148</x:v>
      </x:c>
      <x:c r="AO68" s="9" t="n">
        <x:f>'浓度设置'!S22</x:f>
        <x:v>44345.55047619048</x:v>
      </x:c>
      <x:c r="AP68" s="9" t="n">
        <x:f>'浓度设置'!S26</x:f>
        <x:v>153318.30499999996</x:v>
      </x:c>
      <x:c r="AQ68" s="9" t="n">
        <x:f>'浓度设置'!S29</x:f>
        <x:v>312.7970588235294</x:v>
      </x:c>
      <x:c r="AR68" s="9" t="n">
        <x:f>'浓度设置'!S30</x:f>
        <x:v>104175.5097553192</x:v>
      </x:c>
      <x:c r="AS68" s="9" t="n">
        <x:f>'浓度设置'!S35</x:f>
        <x:v>405974.90656785714</x:v>
      </x:c>
    </x:row>
    <x:row r="69" ht="24" customHeight="1">
      <x:c r="A69" s="3" t="str">
        <x:f>'350配方'!A69</x:f>
        <x:v>T064</x:v>
      </x:c>
      <x:c r="B69" s="3" t="str">
        <x:f>'350配方'!B69</x:f>
        <x:v>拟合</x:v>
      </x:c>
      <x:c r="C69" s="3" t="n">
        <x:f>IF(B69="拟合",1,0)</x:f>
        <x:v>1</x:v>
      </x:c>
      <x:c r="D69" s="3" t="n">
        <x:f>'350配方'!AC69</x:f>
        <x:v>1</x:v>
      </x:c>
      <x:c r="E69" s="9" t="n">
        <x:f>SUMIFS('350配方'!$M69:$P69,'350配方'!$Y69:$AB69,7)</x:f>
        <x:v>0</x:v>
      </x:c>
      <x:c r="F69" s="9" t="n">
        <x:f>SUMIFS('350配方'!$M69:$P69,'350配方'!$Y69:$AB69,11)</x:f>
        <x:v>0</x:v>
      </x:c>
      <x:c r="G69" s="9" t="n">
        <x:f>SUMIFS('350配方'!$M69:$P69,'350配方'!$Y69:$AB69,18)</x:f>
        <x:v>0</x:v>
      </x:c>
      <x:c r="H69" s="9" t="n">
        <x:f>SUMIFS('350配方'!$M69:$P69,'350配方'!$Y69:$AB69,32)</x:f>
        <x:v>0</x:v>
      </x:c>
      <x:c r="I69" s="9" t="n">
        <x:f>SUMIFS('350配方'!$M69:$P69,'350配方'!$Y69:$AB69,40)</x:f>
        <x:v>0</x:v>
      </x:c>
      <x:c r="J69" s="9" t="n">
        <x:f>SUMIFS('350配方'!$M69:$P69,'350配方'!$Y69:$AB69,52)</x:f>
        <x:v>0</x:v>
      </x:c>
      <x:c r="K69" s="9" t="n">
        <x:f>SUMIFS('350配方'!$M69:$P69,'350配方'!$Y69:$AB69,53)</x:f>
        <x:v>0</x:v>
      </x:c>
      <x:c r="L69" s="9" t="n">
        <x:f>SUMIFS('350配方'!$M69:$P69,'350配方'!$Y69:$AB69,56)</x:f>
        <x:v>0</x:v>
      </x:c>
      <x:c r="M69" s="9" t="n">
        <x:f>SUMIFS('350配方'!$M69:$P69,'350配方'!$Y69:$AB69,58)</x:f>
        <x:v>0</x:v>
      </x:c>
      <x:c r="N69" s="9" t="n">
        <x:f>SUMIFS('350配方'!$M69:$P69,'350配方'!$Y69:$AB69,61)</x:f>
        <x:v>0</x:v>
      </x:c>
      <x:c r="O69" s="9" t="n">
        <x:f>SUMIFS('350配方'!$M69:$P69,'350配方'!$Y69:$AB69,69)</x:f>
        <x:v>0</x:v>
      </x:c>
      <x:c r="P69" s="9" t="n">
        <x:f>SUMIFS('350配方'!$M69:$P69,'350配方'!$Y69:$AB69,75)</x:f>
        <x:v>0</x:v>
      </x:c>
      <x:c r="Q69" s="9" t="n">
        <x:f>SUMIFS('350配方'!$M69:$P69,'350配方'!$Y69:$AB69,79)</x:f>
        <x:v>0</x:v>
      </x:c>
      <x:c r="R69" s="9" t="n">
        <x:f>SUMIFS('350配方'!$M69:$P69,'350配方'!$Y69:$AB69,90)</x:f>
        <x:v>0</x:v>
      </x:c>
      <x:c r="S69" s="9" t="n">
        <x:f>SUMIFS('350配方'!$M69:$P69,'350配方'!$Y69:$AB69,105)</x:f>
        <x:v>0</x:v>
      </x:c>
      <x:c r="T69" s="9" t="n">
        <x:f>SUMIFS('350配方'!$M69:$P69,'350配方'!$Y69:$AB69,111)</x:f>
        <x:v>0</x:v>
      </x:c>
      <x:c r="U69" s="9" t="n">
        <x:f>SUMIFS('350配方'!$M69:$P69,'350配方'!$Y69:$AB69,114)</x:f>
        <x:v>0</x:v>
      </x:c>
      <x:c r="V69" s="9" t="n">
        <x:f>SUMIFS('350配方'!$M69:$P69,'350配方'!$Y69:$AB69,115)</x:f>
        <x:v>0</x:v>
      </x:c>
      <x:c r="W69" s="9" t="n">
        <x:f>SUMIFS('350配方'!$M69:$P69,'350配方'!$Y69:$AB69,117)</x:f>
        <x:v>0</x:v>
      </x:c>
      <x:c r="X69" s="9" t="n">
        <x:f>SUMIFS('350配方'!$M69:$P69,'350配方'!$Y69:$AB69,126)</x:f>
        <x:v>0</x:v>
      </x:c>
      <x:c r="Y69" s="9" t="n">
        <x:f>SUMIFS('350配方'!$M69:$P69,'350配方'!$Y69:$AB69,136)</x:f>
        <x:v>0</x:v>
      </x:c>
      <x:c r="Z69" s="9" t="n">
        <x:f>SUMIFS('350配方'!$M69:$P69,'350配方'!$Y69:$AB69,141)</x:f>
        <x:v>0</x:v>
      </x:c>
      <x:c r="AA69" s="9" t="n">
        <x:f>SUMIFS('350配方'!$M69:$P69,'350配方'!$Y69:$AB69,152)</x:f>
        <x:v>4.84</x:v>
      </x:c>
      <x:c r="AB69" s="9" t="n">
        <x:f>SUMIFS('350配方'!$M69:$P69,'350配方'!$Y69:$AB69,165)</x:f>
        <x:v>0</x:v>
      </x:c>
      <x:c r="AC69" s="9" t="n">
        <x:f>SUMIFS('350配方'!$M69:$P69,'350配方'!$Y69:$AB69,186)</x:f>
        <x:v>0</x:v>
      </x:c>
      <x:c r="AD69" s="9" t="n">
        <x:f>SUMIFS('350配方'!$M69:$P69,'350配方'!$Y69:$AB69,207)</x:f>
        <x:v>0</x:v>
      </x:c>
      <x:c r="AE69" s="9" t="n">
        <x:f>SUMIFS('350配方'!$M69:$P69,'350配方'!$Y69:$AB69,209)</x:f>
        <x:v>0</x:v>
      </x:c>
      <x:c r="AF69" s="9" t="n">
        <x:f>SUMIFS('350配方'!$M69:$P69,'350配方'!$Y69:$AB69,227)</x:f>
        <x:v>0</x:v>
      </x:c>
      <x:c r="AG69" s="9" t="n">
        <x:f>SUMIFS('350配方'!$M69:$P69,'350配方'!$Y69:$AB69,232)</x:f>
        <x:v>0</x:v>
      </x:c>
      <x:c r="AH69" s="9" t="n">
        <x:f>SUMIFS('350配方'!$M69:$P69,'350配方'!$Y69:$AB69,255)</x:f>
        <x:v>0</x:v>
      </x:c>
      <x:c r="AI69" s="9" t="n">
        <x:f>'浓度设置'!S6</x:f>
        <x:v>219125.9626344086</x:v>
      </x:c>
      <x:c r="AJ69" s="9" t="n">
        <x:f>'浓度设置'!S8</x:f>
        <x:v>92796.92267241378</x:v>
      </x:c>
      <x:c r="AK69" s="9" t="n">
        <x:f>'浓度设置'!S10</x:f>
        <x:v>30556.797802197798</x:v>
      </x:c>
      <x:c r="AL69" s="9" t="n">
        <x:f>'浓度设置'!S12</x:f>
        <x:v>1735.828970588235</x:v>
      </x:c>
      <x:c r="AM69" s="9" t="n">
        <x:f>'浓度设置'!S15</x:f>
        <x:v>7385.813644067793</x:v>
      </x:c>
      <x:c r="AN69" s="9" t="n">
        <x:f>'浓度设置'!S19</x:f>
        <x:v>27722.03097701148</x:v>
      </x:c>
      <x:c r="AO69" s="9" t="n">
        <x:f>'浓度设置'!S22</x:f>
        <x:v>44345.55047619048</x:v>
      </x:c>
      <x:c r="AP69" s="9" t="n">
        <x:f>'浓度设置'!S26</x:f>
        <x:v>153318.30499999996</x:v>
      </x:c>
      <x:c r="AQ69" s="9" t="n">
        <x:f>'浓度设置'!S29</x:f>
        <x:v>312.7970588235294</x:v>
      </x:c>
      <x:c r="AR69" s="9" t="n">
        <x:f>'浓度设置'!S30</x:f>
        <x:v>104175.5097553192</x:v>
      </x:c>
      <x:c r="AS69" s="9" t="n">
        <x:f>'浓度设置'!S35</x:f>
        <x:v>405974.90656785714</x:v>
      </x:c>
    </x:row>
    <x:row r="70" ht="24" customHeight="1">
      <x:c r="A70" s="3" t="str">
        <x:f>'350配方'!A70</x:f>
        <x:v>T065</x:v>
      </x:c>
      <x:c r="B70" s="3" t="str">
        <x:f>'350配方'!B70</x:f>
        <x:v>拟合</x:v>
      </x:c>
      <x:c r="C70" s="3" t="n">
        <x:f>IF(B70="拟合",1,0)</x:f>
        <x:v>1</x:v>
      </x:c>
      <x:c r="D70" s="3" t="n">
        <x:f>'350配方'!AC70</x:f>
        <x:v>1</x:v>
      </x:c>
      <x:c r="E70" s="9" t="n">
        <x:f>SUMIFS('350配方'!$M70:$P70,'350配方'!$Y70:$AB70,7)</x:f>
        <x:v>0</x:v>
      </x:c>
      <x:c r="F70" s="9" t="n">
        <x:f>SUMIFS('350配方'!$M70:$P70,'350配方'!$Y70:$AB70,11)</x:f>
        <x:v>0</x:v>
      </x:c>
      <x:c r="G70" s="9" t="n">
        <x:f>SUMIFS('350配方'!$M70:$P70,'350配方'!$Y70:$AB70,18)</x:f>
        <x:v>0</x:v>
      </x:c>
      <x:c r="H70" s="9" t="n">
        <x:f>SUMIFS('350配方'!$M70:$P70,'350配方'!$Y70:$AB70,32)</x:f>
        <x:v>0</x:v>
      </x:c>
      <x:c r="I70" s="9" t="n">
        <x:f>SUMIFS('350配方'!$M70:$P70,'350配方'!$Y70:$AB70,40)</x:f>
        <x:v>0</x:v>
      </x:c>
      <x:c r="J70" s="9" t="n">
        <x:f>SUMIFS('350配方'!$M70:$P70,'350配方'!$Y70:$AB70,52)</x:f>
        <x:v>0</x:v>
      </x:c>
      <x:c r="K70" s="9" t="n">
        <x:f>SUMIFS('350配方'!$M70:$P70,'350配方'!$Y70:$AB70,53)</x:f>
        <x:v>0</x:v>
      </x:c>
      <x:c r="L70" s="9" t="n">
        <x:f>SUMIFS('350配方'!$M70:$P70,'350配方'!$Y70:$AB70,56)</x:f>
        <x:v>0</x:v>
      </x:c>
      <x:c r="M70" s="9" t="n">
        <x:f>SUMIFS('350配方'!$M70:$P70,'350配方'!$Y70:$AB70,58)</x:f>
        <x:v>0</x:v>
      </x:c>
      <x:c r="N70" s="9" t="n">
        <x:f>SUMIFS('350配方'!$M70:$P70,'350配方'!$Y70:$AB70,61)</x:f>
        <x:v>0</x:v>
      </x:c>
      <x:c r="O70" s="9" t="n">
        <x:f>SUMIFS('350配方'!$M70:$P70,'350配方'!$Y70:$AB70,69)</x:f>
        <x:v>0</x:v>
      </x:c>
      <x:c r="P70" s="9" t="n">
        <x:f>SUMIFS('350配方'!$M70:$P70,'350配方'!$Y70:$AB70,75)</x:f>
        <x:v>0</x:v>
      </x:c>
      <x:c r="Q70" s="9" t="n">
        <x:f>SUMIFS('350配方'!$M70:$P70,'350配方'!$Y70:$AB70,79)</x:f>
        <x:v>0</x:v>
      </x:c>
      <x:c r="R70" s="9" t="n">
        <x:f>SUMIFS('350配方'!$M70:$P70,'350配方'!$Y70:$AB70,90)</x:f>
        <x:v>0</x:v>
      </x:c>
      <x:c r="S70" s="9" t="n">
        <x:f>SUMIFS('350配方'!$M70:$P70,'350配方'!$Y70:$AB70,105)</x:f>
        <x:v>0</x:v>
      </x:c>
      <x:c r="T70" s="9" t="n">
        <x:f>SUMIFS('350配方'!$M70:$P70,'350配方'!$Y70:$AB70,111)</x:f>
        <x:v>0</x:v>
      </x:c>
      <x:c r="U70" s="9" t="n">
        <x:f>SUMIFS('350配方'!$M70:$P70,'350配方'!$Y70:$AB70,114)</x:f>
        <x:v>0</x:v>
      </x:c>
      <x:c r="V70" s="9" t="n">
        <x:f>SUMIFS('350配方'!$M70:$P70,'350配方'!$Y70:$AB70,115)</x:f>
        <x:v>0</x:v>
      </x:c>
      <x:c r="W70" s="9" t="n">
        <x:f>SUMIFS('350配方'!$M70:$P70,'350配方'!$Y70:$AB70,117)</x:f>
        <x:v>0</x:v>
      </x:c>
      <x:c r="X70" s="9" t="n">
        <x:f>SUMIFS('350配方'!$M70:$P70,'350配方'!$Y70:$AB70,126)</x:f>
        <x:v>0</x:v>
      </x:c>
      <x:c r="Y70" s="9" t="n">
        <x:f>SUMIFS('350配方'!$M70:$P70,'350配方'!$Y70:$AB70,136)</x:f>
        <x:v>0</x:v>
      </x:c>
      <x:c r="Z70" s="9" t="n">
        <x:f>SUMIFS('350配方'!$M70:$P70,'350配方'!$Y70:$AB70,141)</x:f>
        <x:v>0</x:v>
      </x:c>
      <x:c r="AA70" s="9" t="n">
        <x:f>SUMIFS('350配方'!$M70:$P70,'350配方'!$Y70:$AB70,152)</x:f>
        <x:v>1048.6410253275426</x:v>
      </x:c>
      <x:c r="AB70" s="9" t="n">
        <x:f>SUMIFS('350配方'!$M70:$P70,'350配方'!$Y70:$AB70,165)</x:f>
        <x:v>0</x:v>
      </x:c>
      <x:c r="AC70" s="9" t="n">
        <x:f>SUMIFS('350配方'!$M70:$P70,'350配方'!$Y70:$AB70,186)</x:f>
        <x:v>0</x:v>
      </x:c>
      <x:c r="AD70" s="9" t="n">
        <x:f>SUMIFS('350配方'!$M70:$P70,'350配方'!$Y70:$AB70,207)</x:f>
        <x:v>0</x:v>
      </x:c>
      <x:c r="AE70" s="9" t="n">
        <x:f>SUMIFS('350配方'!$M70:$P70,'350配方'!$Y70:$AB70,209)</x:f>
        <x:v>0</x:v>
      </x:c>
      <x:c r="AF70" s="9" t="n">
        <x:f>SUMIFS('350配方'!$M70:$P70,'350配方'!$Y70:$AB70,227)</x:f>
        <x:v>0</x:v>
      </x:c>
      <x:c r="AG70" s="9" t="n">
        <x:f>SUMIFS('350配方'!$M70:$P70,'350配方'!$Y70:$AB70,232)</x:f>
        <x:v>0</x:v>
      </x:c>
      <x:c r="AH70" s="9" t="n">
        <x:f>SUMIFS('350配方'!$M70:$P70,'350配方'!$Y70:$AB70,255)</x:f>
        <x:v>0</x:v>
      </x:c>
      <x:c r="AI70" s="9" t="n">
        <x:f>'浓度设置'!S6</x:f>
        <x:v>219125.9626344086</x:v>
      </x:c>
      <x:c r="AJ70" s="9" t="n">
        <x:f>'浓度设置'!S8</x:f>
        <x:v>92796.92267241378</x:v>
      </x:c>
      <x:c r="AK70" s="9" t="n">
        <x:f>'浓度设置'!S10</x:f>
        <x:v>30556.797802197798</x:v>
      </x:c>
      <x:c r="AL70" s="9" t="n">
        <x:f>'浓度设置'!S12</x:f>
        <x:v>1735.828970588235</x:v>
      </x:c>
      <x:c r="AM70" s="9" t="n">
        <x:f>'浓度设置'!S15</x:f>
        <x:v>7385.813644067793</x:v>
      </x:c>
      <x:c r="AN70" s="9" t="n">
        <x:f>'浓度设置'!S19</x:f>
        <x:v>27722.03097701148</x:v>
      </x:c>
      <x:c r="AO70" s="9" t="n">
        <x:f>'浓度设置'!S22</x:f>
        <x:v>44345.55047619048</x:v>
      </x:c>
      <x:c r="AP70" s="9" t="n">
        <x:f>'浓度设置'!S26</x:f>
        <x:v>153318.30499999996</x:v>
      </x:c>
      <x:c r="AQ70" s="9" t="n">
        <x:f>'浓度设置'!S29</x:f>
        <x:v>312.7970588235294</x:v>
      </x:c>
      <x:c r="AR70" s="9" t="n">
        <x:f>'浓度设置'!S30</x:f>
        <x:v>104175.5097553192</x:v>
      </x:c>
      <x:c r="AS70" s="9" t="n">
        <x:f>'浓度设置'!S35</x:f>
        <x:v>405974.90656785714</x:v>
      </x:c>
    </x:row>
    <x:row r="71" ht="24" customHeight="1">
      <x:c r="A71" s="3" t="str">
        <x:f>'350配方'!A71</x:f>
        <x:v>T066</x:v>
      </x:c>
      <x:c r="B71" s="3" t="str">
        <x:f>'350配方'!B71</x:f>
        <x:v>拟合</x:v>
      </x:c>
      <x:c r="C71" s="3" t="n">
        <x:f>IF(B71="拟合",1,0)</x:f>
        <x:v>1</x:v>
      </x:c>
      <x:c r="D71" s="3" t="n">
        <x:f>'350配方'!AC71</x:f>
        <x:v>1</x:v>
      </x:c>
      <x:c r="E71" s="9" t="n">
        <x:f>SUMIFS('350配方'!$M71:$P71,'350配方'!$Y71:$AB71,7)</x:f>
        <x:v>0</x:v>
      </x:c>
      <x:c r="F71" s="9" t="n">
        <x:f>SUMIFS('350配方'!$M71:$P71,'350配方'!$Y71:$AB71,11)</x:f>
        <x:v>0</x:v>
      </x:c>
      <x:c r="G71" s="9" t="n">
        <x:f>SUMIFS('350配方'!$M71:$P71,'350配方'!$Y71:$AB71,18)</x:f>
        <x:v>0</x:v>
      </x:c>
      <x:c r="H71" s="9" t="n">
        <x:f>SUMIFS('350配方'!$M71:$P71,'350配方'!$Y71:$AB71,32)</x:f>
        <x:v>0</x:v>
      </x:c>
      <x:c r="I71" s="9" t="n">
        <x:f>SUMIFS('350配方'!$M71:$P71,'350配方'!$Y71:$AB71,40)</x:f>
        <x:v>0</x:v>
      </x:c>
      <x:c r="J71" s="9" t="n">
        <x:f>SUMIFS('350配方'!$M71:$P71,'350配方'!$Y71:$AB71,52)</x:f>
        <x:v>0</x:v>
      </x:c>
      <x:c r="K71" s="9" t="n">
        <x:f>SUMIFS('350配方'!$M71:$P71,'350配方'!$Y71:$AB71,53)</x:f>
        <x:v>0</x:v>
      </x:c>
      <x:c r="L71" s="9" t="n">
        <x:f>SUMIFS('350配方'!$M71:$P71,'350配方'!$Y71:$AB71,56)</x:f>
        <x:v>0</x:v>
      </x:c>
      <x:c r="M71" s="9" t="n">
        <x:f>SUMIFS('350配方'!$M71:$P71,'350配方'!$Y71:$AB71,58)</x:f>
        <x:v>0</x:v>
      </x:c>
      <x:c r="N71" s="9" t="n">
        <x:f>SUMIFS('350配方'!$M71:$P71,'350配方'!$Y71:$AB71,61)</x:f>
        <x:v>0</x:v>
      </x:c>
      <x:c r="O71" s="9" t="n">
        <x:f>SUMIFS('350配方'!$M71:$P71,'350配方'!$Y71:$AB71,69)</x:f>
        <x:v>0</x:v>
      </x:c>
      <x:c r="P71" s="9" t="n">
        <x:f>SUMIFS('350配方'!$M71:$P71,'350配方'!$Y71:$AB71,75)</x:f>
        <x:v>0</x:v>
      </x:c>
      <x:c r="Q71" s="9" t="n">
        <x:f>SUMIFS('350配方'!$M71:$P71,'350配方'!$Y71:$AB71,79)</x:f>
        <x:v>0</x:v>
      </x:c>
      <x:c r="R71" s="9" t="n">
        <x:f>SUMIFS('350配方'!$M71:$P71,'350配方'!$Y71:$AB71,90)</x:f>
        <x:v>0</x:v>
      </x:c>
      <x:c r="S71" s="9" t="n">
        <x:f>SUMIFS('350配方'!$M71:$P71,'350配方'!$Y71:$AB71,105)</x:f>
        <x:v>0</x:v>
      </x:c>
      <x:c r="T71" s="9" t="n">
        <x:f>SUMIFS('350配方'!$M71:$P71,'350配方'!$Y71:$AB71,111)</x:f>
        <x:v>0</x:v>
      </x:c>
      <x:c r="U71" s="9" t="n">
        <x:f>SUMIFS('350配方'!$M71:$P71,'350配方'!$Y71:$AB71,114)</x:f>
        <x:v>0</x:v>
      </x:c>
      <x:c r="V71" s="9" t="n">
        <x:f>SUMIFS('350配方'!$M71:$P71,'350配方'!$Y71:$AB71,115)</x:f>
        <x:v>0</x:v>
      </x:c>
      <x:c r="W71" s="9" t="n">
        <x:f>SUMIFS('350配方'!$M71:$P71,'350配方'!$Y71:$AB71,117)</x:f>
        <x:v>0</x:v>
      </x:c>
      <x:c r="X71" s="9" t="n">
        <x:f>SUMIFS('350配方'!$M71:$P71,'350配方'!$Y71:$AB71,126)</x:f>
        <x:v>0</x:v>
      </x:c>
      <x:c r="Y71" s="9" t="n">
        <x:f>SUMIFS('350配方'!$M71:$P71,'350配方'!$Y71:$AB71,136)</x:f>
        <x:v>0</x:v>
      </x:c>
      <x:c r="Z71" s="9" t="n">
        <x:f>SUMIFS('350配方'!$M71:$P71,'350配方'!$Y71:$AB71,141)</x:f>
        <x:v>0</x:v>
      </x:c>
      <x:c r="AA71" s="9" t="n">
        <x:f>SUMIFS('350配方'!$M71:$P71,'350配方'!$Y71:$AB71,152)</x:f>
        <x:v>227200</x:v>
      </x:c>
      <x:c r="AB71" s="9" t="n">
        <x:f>SUMIFS('350配方'!$M71:$P71,'350配方'!$Y71:$AB71,165)</x:f>
        <x:v>0</x:v>
      </x:c>
      <x:c r="AC71" s="9" t="n">
        <x:f>SUMIFS('350配方'!$M71:$P71,'350配方'!$Y71:$AB71,186)</x:f>
        <x:v>0</x:v>
      </x:c>
      <x:c r="AD71" s="9" t="n">
        <x:f>SUMIFS('350配方'!$M71:$P71,'350配方'!$Y71:$AB71,207)</x:f>
        <x:v>0</x:v>
      </x:c>
      <x:c r="AE71" s="9" t="n">
        <x:f>SUMIFS('350配方'!$M71:$P71,'350配方'!$Y71:$AB71,209)</x:f>
        <x:v>0</x:v>
      </x:c>
      <x:c r="AF71" s="9" t="n">
        <x:f>SUMIFS('350配方'!$M71:$P71,'350配方'!$Y71:$AB71,227)</x:f>
        <x:v>0</x:v>
      </x:c>
      <x:c r="AG71" s="9" t="n">
        <x:f>SUMIFS('350配方'!$M71:$P71,'350配方'!$Y71:$AB71,232)</x:f>
        <x:v>0</x:v>
      </x:c>
      <x:c r="AH71" s="9" t="n">
        <x:f>SUMIFS('350配方'!$M71:$P71,'350配方'!$Y71:$AB71,255)</x:f>
        <x:v>0</x:v>
      </x:c>
      <x:c r="AI71" s="9" t="n">
        <x:f>'浓度设置'!S6</x:f>
        <x:v>219125.9626344086</x:v>
      </x:c>
      <x:c r="AJ71" s="9" t="n">
        <x:f>'浓度设置'!S8</x:f>
        <x:v>92796.92267241378</x:v>
      </x:c>
      <x:c r="AK71" s="9" t="n">
        <x:f>'浓度设置'!S10</x:f>
        <x:v>30556.797802197798</x:v>
      </x:c>
      <x:c r="AL71" s="9" t="n">
        <x:f>'浓度设置'!S12</x:f>
        <x:v>1735.828970588235</x:v>
      </x:c>
      <x:c r="AM71" s="9" t="n">
        <x:f>'浓度设置'!S15</x:f>
        <x:v>7385.813644067793</x:v>
      </x:c>
      <x:c r="AN71" s="9" t="n">
        <x:f>'浓度设置'!S19</x:f>
        <x:v>27722.03097701148</x:v>
      </x:c>
      <x:c r="AO71" s="9" t="n">
        <x:f>'浓度设置'!S22</x:f>
        <x:v>44345.55047619048</x:v>
      </x:c>
      <x:c r="AP71" s="9" t="n">
        <x:f>'浓度设置'!S26</x:f>
        <x:v>153318.30499999996</x:v>
      </x:c>
      <x:c r="AQ71" s="9" t="n">
        <x:f>'浓度设置'!S29</x:f>
        <x:v>312.7970588235294</x:v>
      </x:c>
      <x:c r="AR71" s="9" t="n">
        <x:f>'浓度设置'!S30</x:f>
        <x:v>104175.5097553192</x:v>
      </x:c>
      <x:c r="AS71" s="9" t="n">
        <x:f>'浓度设置'!S35</x:f>
        <x:v>405974.90656785714</x:v>
      </x:c>
    </x:row>
    <x:row r="72" ht="24" customHeight="1">
      <x:c r="A72" s="3" t="str">
        <x:f>'350配方'!A72</x:f>
        <x:v>T067</x:v>
      </x:c>
      <x:c r="B72" s="3" t="str">
        <x:f>'350配方'!B72</x:f>
        <x:v>拟合</x:v>
      </x:c>
      <x:c r="C72" s="3" t="n">
        <x:f>IF(B72="拟合",1,0)</x:f>
        <x:v>1</x:v>
      </x:c>
      <x:c r="D72" s="3" t="n">
        <x:f>'350配方'!AC72</x:f>
        <x:v>1</x:v>
      </x:c>
      <x:c r="E72" s="9" t="n">
        <x:f>SUMIFS('350配方'!$M72:$P72,'350配方'!$Y72:$AB72,7)</x:f>
        <x:v>0</x:v>
      </x:c>
      <x:c r="F72" s="9" t="n">
        <x:f>SUMIFS('350配方'!$M72:$P72,'350配方'!$Y72:$AB72,11)</x:f>
        <x:v>0</x:v>
      </x:c>
      <x:c r="G72" s="9" t="n">
        <x:f>SUMIFS('350配方'!$M72:$P72,'350配方'!$Y72:$AB72,18)</x:f>
        <x:v>0</x:v>
      </x:c>
      <x:c r="H72" s="9" t="n">
        <x:f>SUMIFS('350配方'!$M72:$P72,'350配方'!$Y72:$AB72,32)</x:f>
        <x:v>0</x:v>
      </x:c>
      <x:c r="I72" s="9" t="n">
        <x:f>SUMIFS('350配方'!$M72:$P72,'350配方'!$Y72:$AB72,40)</x:f>
        <x:v>0</x:v>
      </x:c>
      <x:c r="J72" s="9" t="n">
        <x:f>SUMIFS('350配方'!$M72:$P72,'350配方'!$Y72:$AB72,52)</x:f>
        <x:v>0</x:v>
      </x:c>
      <x:c r="K72" s="9" t="n">
        <x:f>SUMIFS('350配方'!$M72:$P72,'350配方'!$Y72:$AB72,53)</x:f>
        <x:v>0</x:v>
      </x:c>
      <x:c r="L72" s="9" t="n">
        <x:f>SUMIFS('350配方'!$M72:$P72,'350配方'!$Y72:$AB72,56)</x:f>
        <x:v>0</x:v>
      </x:c>
      <x:c r="M72" s="9" t="n">
        <x:f>SUMIFS('350配方'!$M72:$P72,'350配方'!$Y72:$AB72,58)</x:f>
        <x:v>0</x:v>
      </x:c>
      <x:c r="N72" s="9" t="n">
        <x:f>SUMIFS('350配方'!$M72:$P72,'350配方'!$Y72:$AB72,61)</x:f>
        <x:v>0</x:v>
      </x:c>
      <x:c r="O72" s="9" t="n">
        <x:f>SUMIFS('350配方'!$M72:$P72,'350配方'!$Y72:$AB72,69)</x:f>
        <x:v>0</x:v>
      </x:c>
      <x:c r="P72" s="9" t="n">
        <x:f>SUMIFS('350配方'!$M72:$P72,'350配方'!$Y72:$AB72,75)</x:f>
        <x:v>0</x:v>
      </x:c>
      <x:c r="Q72" s="9" t="n">
        <x:f>SUMIFS('350配方'!$M72:$P72,'350配方'!$Y72:$AB72,79)</x:f>
        <x:v>0</x:v>
      </x:c>
      <x:c r="R72" s="9" t="n">
        <x:f>SUMIFS('350配方'!$M72:$P72,'350配方'!$Y72:$AB72,90)</x:f>
        <x:v>0</x:v>
      </x:c>
      <x:c r="S72" s="9" t="n">
        <x:f>SUMIFS('350配方'!$M72:$P72,'350配方'!$Y72:$AB72,105)</x:f>
        <x:v>0</x:v>
      </x:c>
      <x:c r="T72" s="9" t="n">
        <x:f>SUMIFS('350配方'!$M72:$P72,'350配方'!$Y72:$AB72,111)</x:f>
        <x:v>0</x:v>
      </x:c>
      <x:c r="U72" s="9" t="n">
        <x:f>SUMIFS('350配方'!$M72:$P72,'350配方'!$Y72:$AB72,114)</x:f>
        <x:v>0</x:v>
      </x:c>
      <x:c r="V72" s="9" t="n">
        <x:f>SUMIFS('350配方'!$M72:$P72,'350配方'!$Y72:$AB72,115)</x:f>
        <x:v>0</x:v>
      </x:c>
      <x:c r="W72" s="9" t="n">
        <x:f>SUMIFS('350配方'!$M72:$P72,'350配方'!$Y72:$AB72,117)</x:f>
        <x:v>0</x:v>
      </x:c>
      <x:c r="X72" s="9" t="n">
        <x:f>SUMIFS('350配方'!$M72:$P72,'350配方'!$Y72:$AB72,126)</x:f>
        <x:v>0</x:v>
      </x:c>
      <x:c r="Y72" s="9" t="n">
        <x:f>SUMIFS('350配方'!$M72:$P72,'350配方'!$Y72:$AB72,136)</x:f>
        <x:v>0</x:v>
      </x:c>
      <x:c r="Z72" s="9" t="n">
        <x:f>SUMIFS('350配方'!$M72:$P72,'350配方'!$Y72:$AB72,141)</x:f>
        <x:v>0</x:v>
      </x:c>
      <x:c r="AA72" s="9" t="n">
        <x:f>SUMIFS('350配方'!$M72:$P72,'350配方'!$Y72:$AB72,152)</x:f>
        <x:v>0</x:v>
      </x:c>
      <x:c r="AB72" s="9" t="n">
        <x:f>SUMIFS('350配方'!$M72:$P72,'350配方'!$Y72:$AB72,165)</x:f>
        <x:v>823.735</x:v>
      </x:c>
      <x:c r="AC72" s="9" t="n">
        <x:f>SUMIFS('350配方'!$M72:$P72,'350配方'!$Y72:$AB72,186)</x:f>
        <x:v>0</x:v>
      </x:c>
      <x:c r="AD72" s="9" t="n">
        <x:f>SUMIFS('350配方'!$M72:$P72,'350配方'!$Y72:$AB72,207)</x:f>
        <x:v>0</x:v>
      </x:c>
      <x:c r="AE72" s="9" t="n">
        <x:f>SUMIFS('350配方'!$M72:$P72,'350配方'!$Y72:$AB72,209)</x:f>
        <x:v>0</x:v>
      </x:c>
      <x:c r="AF72" s="9" t="n">
        <x:f>SUMIFS('350配方'!$M72:$P72,'350配方'!$Y72:$AB72,227)</x:f>
        <x:v>0</x:v>
      </x:c>
      <x:c r="AG72" s="9" t="n">
        <x:f>SUMIFS('350配方'!$M72:$P72,'350配方'!$Y72:$AB72,232)</x:f>
        <x:v>0</x:v>
      </x:c>
      <x:c r="AH72" s="9" t="n">
        <x:f>SUMIFS('350配方'!$M72:$P72,'350配方'!$Y72:$AB72,255)</x:f>
        <x:v>0</x:v>
      </x:c>
      <x:c r="AI72" s="9" t="n">
        <x:f>'浓度设置'!S6</x:f>
        <x:v>219125.9626344086</x:v>
      </x:c>
      <x:c r="AJ72" s="9" t="n">
        <x:f>'浓度设置'!S8</x:f>
        <x:v>92796.92267241378</x:v>
      </x:c>
      <x:c r="AK72" s="9" t="n">
        <x:f>'浓度设置'!S10</x:f>
        <x:v>30556.797802197798</x:v>
      </x:c>
      <x:c r="AL72" s="9" t="n">
        <x:f>'浓度设置'!S12</x:f>
        <x:v>1735.828970588235</x:v>
      </x:c>
      <x:c r="AM72" s="9" t="n">
        <x:f>'浓度设置'!S15</x:f>
        <x:v>7385.813644067793</x:v>
      </x:c>
      <x:c r="AN72" s="9" t="n">
        <x:f>'浓度设置'!S19</x:f>
        <x:v>27722.03097701148</x:v>
      </x:c>
      <x:c r="AO72" s="9" t="n">
        <x:f>'浓度设置'!S22</x:f>
        <x:v>44345.55047619048</x:v>
      </x:c>
      <x:c r="AP72" s="9" t="n">
        <x:f>'浓度设置'!S26</x:f>
        <x:v>153318.30499999996</x:v>
      </x:c>
      <x:c r="AQ72" s="9" t="n">
        <x:f>'浓度设置'!S29</x:f>
        <x:v>312.7970588235294</x:v>
      </x:c>
      <x:c r="AR72" s="9" t="n">
        <x:f>'浓度设置'!S30</x:f>
        <x:v>104175.5097553192</x:v>
      </x:c>
      <x:c r="AS72" s="9" t="n">
        <x:f>'浓度设置'!S35</x:f>
        <x:v>405974.90656785714</x:v>
      </x:c>
    </x:row>
    <x:row r="73" ht="24" customHeight="1">
      <x:c r="A73" s="3" t="str">
        <x:f>'350配方'!A73</x:f>
        <x:v>T068</x:v>
      </x:c>
      <x:c r="B73" s="3" t="str">
        <x:f>'350配方'!B73</x:f>
        <x:v>拟合</x:v>
      </x:c>
      <x:c r="C73" s="3" t="n">
        <x:f>IF(B73="拟合",1,0)</x:f>
        <x:v>1</x:v>
      </x:c>
      <x:c r="D73" s="3" t="n">
        <x:f>'350配方'!AC73</x:f>
        <x:v>1</x:v>
      </x:c>
      <x:c r="E73" s="9" t="n">
        <x:f>SUMIFS('350配方'!$M73:$P73,'350配方'!$Y73:$AB73,7)</x:f>
        <x:v>0</x:v>
      </x:c>
      <x:c r="F73" s="9" t="n">
        <x:f>SUMIFS('350配方'!$M73:$P73,'350配方'!$Y73:$AB73,11)</x:f>
        <x:v>0</x:v>
      </x:c>
      <x:c r="G73" s="9" t="n">
        <x:f>SUMIFS('350配方'!$M73:$P73,'350配方'!$Y73:$AB73,18)</x:f>
        <x:v>0</x:v>
      </x:c>
      <x:c r="H73" s="9" t="n">
        <x:f>SUMIFS('350配方'!$M73:$P73,'350配方'!$Y73:$AB73,32)</x:f>
        <x:v>0</x:v>
      </x:c>
      <x:c r="I73" s="9" t="n">
        <x:f>SUMIFS('350配方'!$M73:$P73,'350配方'!$Y73:$AB73,40)</x:f>
        <x:v>0</x:v>
      </x:c>
      <x:c r="J73" s="9" t="n">
        <x:f>SUMIFS('350配方'!$M73:$P73,'350配方'!$Y73:$AB73,52)</x:f>
        <x:v>0</x:v>
      </x:c>
      <x:c r="K73" s="9" t="n">
        <x:f>SUMIFS('350配方'!$M73:$P73,'350配方'!$Y73:$AB73,53)</x:f>
        <x:v>0</x:v>
      </x:c>
      <x:c r="L73" s="9" t="n">
        <x:f>SUMIFS('350配方'!$M73:$P73,'350配方'!$Y73:$AB73,56)</x:f>
        <x:v>0</x:v>
      </x:c>
      <x:c r="M73" s="9" t="n">
        <x:f>SUMIFS('350配方'!$M73:$P73,'350配方'!$Y73:$AB73,58)</x:f>
        <x:v>0</x:v>
      </x:c>
      <x:c r="N73" s="9" t="n">
        <x:f>SUMIFS('350配方'!$M73:$P73,'350配方'!$Y73:$AB73,61)</x:f>
        <x:v>0</x:v>
      </x:c>
      <x:c r="O73" s="9" t="n">
        <x:f>SUMIFS('350配方'!$M73:$P73,'350配方'!$Y73:$AB73,69)</x:f>
        <x:v>0</x:v>
      </x:c>
      <x:c r="P73" s="9" t="n">
        <x:f>SUMIFS('350配方'!$M73:$P73,'350配方'!$Y73:$AB73,75)</x:f>
        <x:v>0</x:v>
      </x:c>
      <x:c r="Q73" s="9" t="n">
        <x:f>SUMIFS('350配方'!$M73:$P73,'350配方'!$Y73:$AB73,79)</x:f>
        <x:v>0</x:v>
      </x:c>
      <x:c r="R73" s="9" t="n">
        <x:f>SUMIFS('350配方'!$M73:$P73,'350配方'!$Y73:$AB73,90)</x:f>
        <x:v>0</x:v>
      </x:c>
      <x:c r="S73" s="9" t="n">
        <x:f>SUMIFS('350配方'!$M73:$P73,'350配方'!$Y73:$AB73,105)</x:f>
        <x:v>0</x:v>
      </x:c>
      <x:c r="T73" s="9" t="n">
        <x:f>SUMIFS('350配方'!$M73:$P73,'350配方'!$Y73:$AB73,111)</x:f>
        <x:v>0</x:v>
      </x:c>
      <x:c r="U73" s="9" t="n">
        <x:f>SUMIFS('350配方'!$M73:$P73,'350配方'!$Y73:$AB73,114)</x:f>
        <x:v>0</x:v>
      </x:c>
      <x:c r="V73" s="9" t="n">
        <x:f>SUMIFS('350配方'!$M73:$P73,'350配方'!$Y73:$AB73,115)</x:f>
        <x:v>0</x:v>
      </x:c>
      <x:c r="W73" s="9" t="n">
        <x:f>SUMIFS('350配方'!$M73:$P73,'350配方'!$Y73:$AB73,117)</x:f>
        <x:v>0</x:v>
      </x:c>
      <x:c r="X73" s="9" t="n">
        <x:f>SUMIFS('350配方'!$M73:$P73,'350配方'!$Y73:$AB73,126)</x:f>
        <x:v>0</x:v>
      </x:c>
      <x:c r="Y73" s="9" t="n">
        <x:f>SUMIFS('350配方'!$M73:$P73,'350配方'!$Y73:$AB73,136)</x:f>
        <x:v>0</x:v>
      </x:c>
      <x:c r="Z73" s="9" t="n">
        <x:f>SUMIFS('350配方'!$M73:$P73,'350配方'!$Y73:$AB73,141)</x:f>
        <x:v>0</x:v>
      </x:c>
      <x:c r="AA73" s="9" t="n">
        <x:f>SUMIFS('350配方'!$M73:$P73,'350配方'!$Y73:$AB73,152)</x:f>
        <x:v>0</x:v>
      </x:c>
      <x:c r="AB73" s="9" t="n">
        <x:f>SUMIFS('350配方'!$M73:$P73,'350配方'!$Y73:$AB73,165)</x:f>
        <x:v>86300</x:v>
      </x:c>
      <x:c r="AC73" s="9" t="n">
        <x:f>SUMIFS('350配方'!$M73:$P73,'350配方'!$Y73:$AB73,186)</x:f>
        <x:v>0</x:v>
      </x:c>
      <x:c r="AD73" s="9" t="n">
        <x:f>SUMIFS('350配方'!$M73:$P73,'350配方'!$Y73:$AB73,207)</x:f>
        <x:v>0</x:v>
      </x:c>
      <x:c r="AE73" s="9" t="n">
        <x:f>SUMIFS('350配方'!$M73:$P73,'350配方'!$Y73:$AB73,209)</x:f>
        <x:v>0</x:v>
      </x:c>
      <x:c r="AF73" s="9" t="n">
        <x:f>SUMIFS('350配方'!$M73:$P73,'350配方'!$Y73:$AB73,227)</x:f>
        <x:v>0</x:v>
      </x:c>
      <x:c r="AG73" s="9" t="n">
        <x:f>SUMIFS('350配方'!$M73:$P73,'350配方'!$Y73:$AB73,232)</x:f>
        <x:v>0</x:v>
      </x:c>
      <x:c r="AH73" s="9" t="n">
        <x:f>SUMIFS('350配方'!$M73:$P73,'350配方'!$Y73:$AB73,255)</x:f>
        <x:v>0</x:v>
      </x:c>
      <x:c r="AI73" s="9" t="n">
        <x:f>'浓度设置'!S6</x:f>
        <x:v>219125.9626344086</x:v>
      </x:c>
      <x:c r="AJ73" s="9" t="n">
        <x:f>'浓度设置'!S8</x:f>
        <x:v>92796.92267241378</x:v>
      </x:c>
      <x:c r="AK73" s="9" t="n">
        <x:f>'浓度设置'!S10</x:f>
        <x:v>30556.797802197798</x:v>
      </x:c>
      <x:c r="AL73" s="9" t="n">
        <x:f>'浓度设置'!S12</x:f>
        <x:v>1735.828970588235</x:v>
      </x:c>
      <x:c r="AM73" s="9" t="n">
        <x:f>'浓度设置'!S15</x:f>
        <x:v>7385.813644067793</x:v>
      </x:c>
      <x:c r="AN73" s="9" t="n">
        <x:f>'浓度设置'!S19</x:f>
        <x:v>27722.03097701148</x:v>
      </x:c>
      <x:c r="AO73" s="9" t="n">
        <x:f>'浓度设置'!S22</x:f>
        <x:v>44345.55047619048</x:v>
      </x:c>
      <x:c r="AP73" s="9" t="n">
        <x:f>'浓度设置'!S26</x:f>
        <x:v>153318.30499999996</x:v>
      </x:c>
      <x:c r="AQ73" s="9" t="n">
        <x:f>'浓度设置'!S29</x:f>
        <x:v>312.7970588235294</x:v>
      </x:c>
      <x:c r="AR73" s="9" t="n">
        <x:f>'浓度设置'!S30</x:f>
        <x:v>104175.5097553192</x:v>
      </x:c>
      <x:c r="AS73" s="9" t="n">
        <x:f>'浓度设置'!S35</x:f>
        <x:v>405974.90656785714</x:v>
      </x:c>
    </x:row>
    <x:row r="74" ht="24" customHeight="1">
      <x:c r="A74" s="3" t="str">
        <x:f>'350配方'!A74</x:f>
        <x:v>T069</x:v>
      </x:c>
      <x:c r="B74" s="3" t="str">
        <x:f>'350配方'!B74</x:f>
        <x:v>拟合</x:v>
      </x:c>
      <x:c r="C74" s="3" t="n">
        <x:f>IF(B74="拟合",1,0)</x:f>
        <x:v>1</x:v>
      </x:c>
      <x:c r="D74" s="3" t="n">
        <x:f>'350配方'!AC74</x:f>
        <x:v>1</x:v>
      </x:c>
      <x:c r="E74" s="9" t="n">
        <x:f>SUMIFS('350配方'!$M74:$P74,'350配方'!$Y74:$AB74,7)</x:f>
        <x:v>0</x:v>
      </x:c>
      <x:c r="F74" s="9" t="n">
        <x:f>SUMIFS('350配方'!$M74:$P74,'350配方'!$Y74:$AB74,11)</x:f>
        <x:v>0</x:v>
      </x:c>
      <x:c r="G74" s="9" t="n">
        <x:f>SUMIFS('350配方'!$M74:$P74,'350配方'!$Y74:$AB74,18)</x:f>
        <x:v>0</x:v>
      </x:c>
      <x:c r="H74" s="9" t="n">
        <x:f>SUMIFS('350配方'!$M74:$P74,'350配方'!$Y74:$AB74,32)</x:f>
        <x:v>0</x:v>
      </x:c>
      <x:c r="I74" s="9" t="n">
        <x:f>SUMIFS('350配方'!$M74:$P74,'350配方'!$Y74:$AB74,40)</x:f>
        <x:v>0</x:v>
      </x:c>
      <x:c r="J74" s="9" t="n">
        <x:f>SUMIFS('350配方'!$M74:$P74,'350配方'!$Y74:$AB74,52)</x:f>
        <x:v>0</x:v>
      </x:c>
      <x:c r="K74" s="9" t="n">
        <x:f>SUMIFS('350配方'!$M74:$P74,'350配方'!$Y74:$AB74,53)</x:f>
        <x:v>0</x:v>
      </x:c>
      <x:c r="L74" s="9" t="n">
        <x:f>SUMIFS('350配方'!$M74:$P74,'350配方'!$Y74:$AB74,56)</x:f>
        <x:v>0</x:v>
      </x:c>
      <x:c r="M74" s="9" t="n">
        <x:f>SUMIFS('350配方'!$M74:$P74,'350配方'!$Y74:$AB74,58)</x:f>
        <x:v>0</x:v>
      </x:c>
      <x:c r="N74" s="9" t="n">
        <x:f>SUMIFS('350配方'!$M74:$P74,'350配方'!$Y74:$AB74,61)</x:f>
        <x:v>0</x:v>
      </x:c>
      <x:c r="O74" s="9" t="n">
        <x:f>SUMIFS('350配方'!$M74:$P74,'350配方'!$Y74:$AB74,69)</x:f>
        <x:v>0</x:v>
      </x:c>
      <x:c r="P74" s="9" t="n">
        <x:f>SUMIFS('350配方'!$M74:$P74,'350配方'!$Y74:$AB74,75)</x:f>
        <x:v>0</x:v>
      </x:c>
      <x:c r="Q74" s="9" t="n">
        <x:f>SUMIFS('350配方'!$M74:$P74,'350配方'!$Y74:$AB74,79)</x:f>
        <x:v>0</x:v>
      </x:c>
      <x:c r="R74" s="9" t="n">
        <x:f>SUMIFS('350配方'!$M74:$P74,'350配方'!$Y74:$AB74,90)</x:f>
        <x:v>0</x:v>
      </x:c>
      <x:c r="S74" s="9" t="n">
        <x:f>SUMIFS('350配方'!$M74:$P74,'350配方'!$Y74:$AB74,105)</x:f>
        <x:v>0</x:v>
      </x:c>
      <x:c r="T74" s="9" t="n">
        <x:f>SUMIFS('350配方'!$M74:$P74,'350配方'!$Y74:$AB74,111)</x:f>
        <x:v>0</x:v>
      </x:c>
      <x:c r="U74" s="9" t="n">
        <x:f>SUMIFS('350配方'!$M74:$P74,'350配方'!$Y74:$AB74,114)</x:f>
        <x:v>0</x:v>
      </x:c>
      <x:c r="V74" s="9" t="n">
        <x:f>SUMIFS('350配方'!$M74:$P74,'350配方'!$Y74:$AB74,115)</x:f>
        <x:v>0</x:v>
      </x:c>
      <x:c r="W74" s="9" t="n">
        <x:f>SUMIFS('350配方'!$M74:$P74,'350配方'!$Y74:$AB74,117)</x:f>
        <x:v>0</x:v>
      </x:c>
      <x:c r="X74" s="9" t="n">
        <x:f>SUMIFS('350配方'!$M74:$P74,'350配方'!$Y74:$AB74,126)</x:f>
        <x:v>0</x:v>
      </x:c>
      <x:c r="Y74" s="9" t="n">
        <x:f>SUMIFS('350配方'!$M74:$P74,'350配方'!$Y74:$AB74,136)</x:f>
        <x:v>0</x:v>
      </x:c>
      <x:c r="Z74" s="9" t="n">
        <x:f>SUMIFS('350配方'!$M74:$P74,'350配方'!$Y74:$AB74,141)</x:f>
        <x:v>0</x:v>
      </x:c>
      <x:c r="AA74" s="9" t="n">
        <x:f>SUMIFS('350配方'!$M74:$P74,'350配方'!$Y74:$AB74,152)</x:f>
        <x:v>0</x:v>
      </x:c>
      <x:c r="AB74" s="9" t="n">
        <x:f>SUMIFS('350配方'!$M74:$P74,'350配方'!$Y74:$AB74,165)</x:f>
        <x:v>0</x:v>
      </x:c>
      <x:c r="AC74" s="9" t="n">
        <x:f>SUMIFS('350配方'!$M74:$P74,'350配方'!$Y74:$AB74,186)</x:f>
        <x:v>1.56</x:v>
      </x:c>
      <x:c r="AD74" s="9" t="n">
        <x:f>SUMIFS('350配方'!$M74:$P74,'350配方'!$Y74:$AB74,207)</x:f>
        <x:v>0</x:v>
      </x:c>
      <x:c r="AE74" s="9" t="n">
        <x:f>SUMIFS('350配方'!$M74:$P74,'350配方'!$Y74:$AB74,209)</x:f>
        <x:v>0</x:v>
      </x:c>
      <x:c r="AF74" s="9" t="n">
        <x:f>SUMIFS('350配方'!$M74:$P74,'350配方'!$Y74:$AB74,227)</x:f>
        <x:v>0</x:v>
      </x:c>
      <x:c r="AG74" s="9" t="n">
        <x:f>SUMIFS('350配方'!$M74:$P74,'350配方'!$Y74:$AB74,232)</x:f>
        <x:v>0</x:v>
      </x:c>
      <x:c r="AH74" s="9" t="n">
        <x:f>SUMIFS('350配方'!$M74:$P74,'350配方'!$Y74:$AB74,255)</x:f>
        <x:v>0</x:v>
      </x:c>
      <x:c r="AI74" s="9" t="n">
        <x:f>'浓度设置'!S6</x:f>
        <x:v>219125.9626344086</x:v>
      </x:c>
      <x:c r="AJ74" s="9" t="n">
        <x:f>'浓度设置'!S8</x:f>
        <x:v>92796.92267241378</x:v>
      </x:c>
      <x:c r="AK74" s="9" t="n">
        <x:f>'浓度设置'!S10</x:f>
        <x:v>30556.797802197798</x:v>
      </x:c>
      <x:c r="AL74" s="9" t="n">
        <x:f>'浓度设置'!S12</x:f>
        <x:v>1735.828970588235</x:v>
      </x:c>
      <x:c r="AM74" s="9" t="n">
        <x:f>'浓度设置'!S15</x:f>
        <x:v>7385.813644067793</x:v>
      </x:c>
      <x:c r="AN74" s="9" t="n">
        <x:f>'浓度设置'!S19</x:f>
        <x:v>27722.03097701148</x:v>
      </x:c>
      <x:c r="AO74" s="9" t="n">
        <x:f>'浓度设置'!S22</x:f>
        <x:v>44345.55047619048</x:v>
      </x:c>
      <x:c r="AP74" s="9" t="n">
        <x:f>'浓度设置'!S26</x:f>
        <x:v>153318.30499999996</x:v>
      </x:c>
      <x:c r="AQ74" s="9" t="n">
        <x:f>'浓度设置'!S29</x:f>
        <x:v>312.7970588235294</x:v>
      </x:c>
      <x:c r="AR74" s="9" t="n">
        <x:f>'浓度设置'!S30</x:f>
        <x:v>104175.5097553192</x:v>
      </x:c>
      <x:c r="AS74" s="9" t="n">
        <x:f>'浓度设置'!S35</x:f>
        <x:v>405974.90656785714</x:v>
      </x:c>
    </x:row>
    <x:row r="75" ht="24" customHeight="1">
      <x:c r="A75" s="3" t="str">
        <x:f>'350配方'!A75</x:f>
        <x:v>T070</x:v>
      </x:c>
      <x:c r="B75" s="3" t="str">
        <x:f>'350配方'!B75</x:f>
        <x:v>拟合</x:v>
      </x:c>
      <x:c r="C75" s="3" t="n">
        <x:f>IF(B75="拟合",1,0)</x:f>
        <x:v>1</x:v>
      </x:c>
      <x:c r="D75" s="3" t="n">
        <x:f>'350配方'!AC75</x:f>
        <x:v>1</x:v>
      </x:c>
      <x:c r="E75" s="9" t="n">
        <x:f>SUMIFS('350配方'!$M75:$P75,'350配方'!$Y75:$AB75,7)</x:f>
        <x:v>0</x:v>
      </x:c>
      <x:c r="F75" s="9" t="n">
        <x:f>SUMIFS('350配方'!$M75:$P75,'350配方'!$Y75:$AB75,11)</x:f>
        <x:v>0</x:v>
      </x:c>
      <x:c r="G75" s="9" t="n">
        <x:f>SUMIFS('350配方'!$M75:$P75,'350配方'!$Y75:$AB75,18)</x:f>
        <x:v>0</x:v>
      </x:c>
      <x:c r="H75" s="9" t="n">
        <x:f>SUMIFS('350配方'!$M75:$P75,'350配方'!$Y75:$AB75,32)</x:f>
        <x:v>0</x:v>
      </x:c>
      <x:c r="I75" s="9" t="n">
        <x:f>SUMIFS('350配方'!$M75:$P75,'350配方'!$Y75:$AB75,40)</x:f>
        <x:v>0</x:v>
      </x:c>
      <x:c r="J75" s="9" t="n">
        <x:f>SUMIFS('350配方'!$M75:$P75,'350配方'!$Y75:$AB75,52)</x:f>
        <x:v>0</x:v>
      </x:c>
      <x:c r="K75" s="9" t="n">
        <x:f>SUMIFS('350配方'!$M75:$P75,'350配方'!$Y75:$AB75,53)</x:f>
        <x:v>0</x:v>
      </x:c>
      <x:c r="L75" s="9" t="n">
        <x:f>SUMIFS('350配方'!$M75:$P75,'350配方'!$Y75:$AB75,56)</x:f>
        <x:v>0</x:v>
      </x:c>
      <x:c r="M75" s="9" t="n">
        <x:f>SUMIFS('350配方'!$M75:$P75,'350配方'!$Y75:$AB75,58)</x:f>
        <x:v>0</x:v>
      </x:c>
      <x:c r="N75" s="9" t="n">
        <x:f>SUMIFS('350配方'!$M75:$P75,'350配方'!$Y75:$AB75,61)</x:f>
        <x:v>0</x:v>
      </x:c>
      <x:c r="O75" s="9" t="n">
        <x:f>SUMIFS('350配方'!$M75:$P75,'350配方'!$Y75:$AB75,69)</x:f>
        <x:v>0</x:v>
      </x:c>
      <x:c r="P75" s="9" t="n">
        <x:f>SUMIFS('350配方'!$M75:$P75,'350配方'!$Y75:$AB75,75)</x:f>
        <x:v>0</x:v>
      </x:c>
      <x:c r="Q75" s="9" t="n">
        <x:f>SUMIFS('350配方'!$M75:$P75,'350配方'!$Y75:$AB75,79)</x:f>
        <x:v>0</x:v>
      </x:c>
      <x:c r="R75" s="9" t="n">
        <x:f>SUMIFS('350配方'!$M75:$P75,'350配方'!$Y75:$AB75,90)</x:f>
        <x:v>0</x:v>
      </x:c>
      <x:c r="S75" s="9" t="n">
        <x:f>SUMIFS('350配方'!$M75:$P75,'350配方'!$Y75:$AB75,105)</x:f>
        <x:v>0</x:v>
      </x:c>
      <x:c r="T75" s="9" t="n">
        <x:f>SUMIFS('350配方'!$M75:$P75,'350配方'!$Y75:$AB75,111)</x:f>
        <x:v>0</x:v>
      </x:c>
      <x:c r="U75" s="9" t="n">
        <x:f>SUMIFS('350配方'!$M75:$P75,'350配方'!$Y75:$AB75,114)</x:f>
        <x:v>0</x:v>
      </x:c>
      <x:c r="V75" s="9" t="n">
        <x:f>SUMIFS('350配方'!$M75:$P75,'350配方'!$Y75:$AB75,115)</x:f>
        <x:v>0</x:v>
      </x:c>
      <x:c r="W75" s="9" t="n">
        <x:f>SUMIFS('350配方'!$M75:$P75,'350配方'!$Y75:$AB75,117)</x:f>
        <x:v>0</x:v>
      </x:c>
      <x:c r="X75" s="9" t="n">
        <x:f>SUMIFS('350配方'!$M75:$P75,'350配方'!$Y75:$AB75,126)</x:f>
        <x:v>0</x:v>
      </x:c>
      <x:c r="Y75" s="9" t="n">
        <x:f>SUMIFS('350配方'!$M75:$P75,'350配方'!$Y75:$AB75,136)</x:f>
        <x:v>0</x:v>
      </x:c>
      <x:c r="Z75" s="9" t="n">
        <x:f>SUMIFS('350配方'!$M75:$P75,'350配方'!$Y75:$AB75,141)</x:f>
        <x:v>0</x:v>
      </x:c>
      <x:c r="AA75" s="9" t="n">
        <x:f>SUMIFS('350配方'!$M75:$P75,'350配方'!$Y75:$AB75,152)</x:f>
        <x:v>0</x:v>
      </x:c>
      <x:c r="AB75" s="9" t="n">
        <x:f>SUMIFS('350配方'!$M75:$P75,'350配方'!$Y75:$AB75,165)</x:f>
        <x:v>0</x:v>
      </x:c>
      <x:c r="AC75" s="9" t="n">
        <x:f>SUMIFS('350配方'!$M75:$P75,'350配方'!$Y75:$AB75,186)</x:f>
        <x:v>4262.731518639193</x:v>
      </x:c>
      <x:c r="AD75" s="9" t="n">
        <x:f>SUMIFS('350配方'!$M75:$P75,'350配方'!$Y75:$AB75,207)</x:f>
        <x:v>0</x:v>
      </x:c>
      <x:c r="AE75" s="9" t="n">
        <x:f>SUMIFS('350配方'!$M75:$P75,'350配方'!$Y75:$AB75,209)</x:f>
        <x:v>0</x:v>
      </x:c>
      <x:c r="AF75" s="9" t="n">
        <x:f>SUMIFS('350配方'!$M75:$P75,'350配方'!$Y75:$AB75,227)</x:f>
        <x:v>0</x:v>
      </x:c>
      <x:c r="AG75" s="9" t="n">
        <x:f>SUMIFS('350配方'!$M75:$P75,'350配方'!$Y75:$AB75,232)</x:f>
        <x:v>0</x:v>
      </x:c>
      <x:c r="AH75" s="9" t="n">
        <x:f>SUMIFS('350配方'!$M75:$P75,'350配方'!$Y75:$AB75,255)</x:f>
        <x:v>0</x:v>
      </x:c>
      <x:c r="AI75" s="9" t="n">
        <x:f>'浓度设置'!S6</x:f>
        <x:v>219125.9626344086</x:v>
      </x:c>
      <x:c r="AJ75" s="9" t="n">
        <x:f>'浓度设置'!S8</x:f>
        <x:v>92796.92267241378</x:v>
      </x:c>
      <x:c r="AK75" s="9" t="n">
        <x:f>'浓度设置'!S10</x:f>
        <x:v>30556.797802197798</x:v>
      </x:c>
      <x:c r="AL75" s="9" t="n">
        <x:f>'浓度设置'!S12</x:f>
        <x:v>1735.828970588235</x:v>
      </x:c>
      <x:c r="AM75" s="9" t="n">
        <x:f>'浓度设置'!S15</x:f>
        <x:v>7385.813644067793</x:v>
      </x:c>
      <x:c r="AN75" s="9" t="n">
        <x:f>'浓度设置'!S19</x:f>
        <x:v>27722.03097701148</x:v>
      </x:c>
      <x:c r="AO75" s="9" t="n">
        <x:f>'浓度设置'!S22</x:f>
        <x:v>44345.55047619048</x:v>
      </x:c>
      <x:c r="AP75" s="9" t="n">
        <x:f>'浓度设置'!S26</x:f>
        <x:v>153318.30499999996</x:v>
      </x:c>
      <x:c r="AQ75" s="9" t="n">
        <x:f>'浓度设置'!S29</x:f>
        <x:v>312.7970588235294</x:v>
      </x:c>
      <x:c r="AR75" s="9" t="n">
        <x:f>'浓度设置'!S30</x:f>
        <x:v>104175.5097553192</x:v>
      </x:c>
      <x:c r="AS75" s="9" t="n">
        <x:f>'浓度设置'!S35</x:f>
        <x:v>405974.90656785714</x:v>
      </x:c>
    </x:row>
    <x:row r="76" ht="24" customHeight="1">
      <x:c r="A76" s="3" t="str">
        <x:f>'350配方'!A76</x:f>
        <x:v>T071</x:v>
      </x:c>
      <x:c r="B76" s="3" t="str">
        <x:f>'350配方'!B76</x:f>
        <x:v>拟合</x:v>
      </x:c>
      <x:c r="C76" s="3" t="n">
        <x:f>IF(B76="拟合",1,0)</x:f>
        <x:v>1</x:v>
      </x:c>
      <x:c r="D76" s="3" t="n">
        <x:f>'350配方'!AC76</x:f>
        <x:v>1</x:v>
      </x:c>
      <x:c r="E76" s="9" t="n">
        <x:f>SUMIFS('350配方'!$M76:$P76,'350配方'!$Y76:$AB76,7)</x:f>
        <x:v>0</x:v>
      </x:c>
      <x:c r="F76" s="9" t="n">
        <x:f>SUMIFS('350配方'!$M76:$P76,'350配方'!$Y76:$AB76,11)</x:f>
        <x:v>0</x:v>
      </x:c>
      <x:c r="G76" s="9" t="n">
        <x:f>SUMIFS('350配方'!$M76:$P76,'350配方'!$Y76:$AB76,18)</x:f>
        <x:v>0</x:v>
      </x:c>
      <x:c r="H76" s="9" t="n">
        <x:f>SUMIFS('350配方'!$M76:$P76,'350配方'!$Y76:$AB76,32)</x:f>
        <x:v>0</x:v>
      </x:c>
      <x:c r="I76" s="9" t="n">
        <x:f>SUMIFS('350配方'!$M76:$P76,'350配方'!$Y76:$AB76,40)</x:f>
        <x:v>0</x:v>
      </x:c>
      <x:c r="J76" s="9" t="n">
        <x:f>SUMIFS('350配方'!$M76:$P76,'350配方'!$Y76:$AB76,52)</x:f>
        <x:v>0</x:v>
      </x:c>
      <x:c r="K76" s="9" t="n">
        <x:f>SUMIFS('350配方'!$M76:$P76,'350配方'!$Y76:$AB76,53)</x:f>
        <x:v>0</x:v>
      </x:c>
      <x:c r="L76" s="9" t="n">
        <x:f>SUMIFS('350配方'!$M76:$P76,'350配方'!$Y76:$AB76,56)</x:f>
        <x:v>0</x:v>
      </x:c>
      <x:c r="M76" s="9" t="n">
        <x:f>SUMIFS('350配方'!$M76:$P76,'350配方'!$Y76:$AB76,58)</x:f>
        <x:v>0</x:v>
      </x:c>
      <x:c r="N76" s="9" t="n">
        <x:f>SUMIFS('350配方'!$M76:$P76,'350配方'!$Y76:$AB76,61)</x:f>
        <x:v>0</x:v>
      </x:c>
      <x:c r="O76" s="9" t="n">
        <x:f>SUMIFS('350配方'!$M76:$P76,'350配方'!$Y76:$AB76,69)</x:f>
        <x:v>0</x:v>
      </x:c>
      <x:c r="P76" s="9" t="n">
        <x:f>SUMIFS('350配方'!$M76:$P76,'350配方'!$Y76:$AB76,75)</x:f>
        <x:v>0</x:v>
      </x:c>
      <x:c r="Q76" s="9" t="n">
        <x:f>SUMIFS('350配方'!$M76:$P76,'350配方'!$Y76:$AB76,79)</x:f>
        <x:v>0</x:v>
      </x:c>
      <x:c r="R76" s="9" t="n">
        <x:f>SUMIFS('350配方'!$M76:$P76,'350配方'!$Y76:$AB76,90)</x:f>
        <x:v>0</x:v>
      </x:c>
      <x:c r="S76" s="9" t="n">
        <x:f>SUMIFS('350配方'!$M76:$P76,'350配方'!$Y76:$AB76,105)</x:f>
        <x:v>0</x:v>
      </x:c>
      <x:c r="T76" s="9" t="n">
        <x:f>SUMIFS('350配方'!$M76:$P76,'350配方'!$Y76:$AB76,111)</x:f>
        <x:v>0</x:v>
      </x:c>
      <x:c r="U76" s="9" t="n">
        <x:f>SUMIFS('350配方'!$M76:$P76,'350配方'!$Y76:$AB76,114)</x:f>
        <x:v>0</x:v>
      </x:c>
      <x:c r="V76" s="9" t="n">
        <x:f>SUMIFS('350配方'!$M76:$P76,'350配方'!$Y76:$AB76,115)</x:f>
        <x:v>0</x:v>
      </x:c>
      <x:c r="W76" s="9" t="n">
        <x:f>SUMIFS('350配方'!$M76:$P76,'350配方'!$Y76:$AB76,117)</x:f>
        <x:v>0</x:v>
      </x:c>
      <x:c r="X76" s="9" t="n">
        <x:f>SUMIFS('350配方'!$M76:$P76,'350配方'!$Y76:$AB76,126)</x:f>
        <x:v>0</x:v>
      </x:c>
      <x:c r="Y76" s="9" t="n">
        <x:f>SUMIFS('350配方'!$M76:$P76,'350配方'!$Y76:$AB76,136)</x:f>
        <x:v>0</x:v>
      </x:c>
      <x:c r="Z76" s="9" t="n">
        <x:f>SUMIFS('350配方'!$M76:$P76,'350配方'!$Y76:$AB76,141)</x:f>
        <x:v>0</x:v>
      </x:c>
      <x:c r="AA76" s="9" t="n">
        <x:f>SUMIFS('350配方'!$M76:$P76,'350配方'!$Y76:$AB76,152)</x:f>
        <x:v>0</x:v>
      </x:c>
      <x:c r="AB76" s="9" t="n">
        <x:f>SUMIFS('350配方'!$M76:$P76,'350配方'!$Y76:$AB76,165)</x:f>
        <x:v>0</x:v>
      </x:c>
      <x:c r="AC76" s="9" t="n">
        <x:f>SUMIFS('350配方'!$M76:$P76,'350配方'!$Y76:$AB76,186)</x:f>
        <x:v>11648000</x:v>
      </x:c>
      <x:c r="AD76" s="9" t="n">
        <x:f>SUMIFS('350配方'!$M76:$P76,'350配方'!$Y76:$AB76,207)</x:f>
        <x:v>0</x:v>
      </x:c>
      <x:c r="AE76" s="9" t="n">
        <x:f>SUMIFS('350配方'!$M76:$P76,'350配方'!$Y76:$AB76,209)</x:f>
        <x:v>0</x:v>
      </x:c>
      <x:c r="AF76" s="9" t="n">
        <x:f>SUMIFS('350配方'!$M76:$P76,'350配方'!$Y76:$AB76,227)</x:f>
        <x:v>0</x:v>
      </x:c>
      <x:c r="AG76" s="9" t="n">
        <x:f>SUMIFS('350配方'!$M76:$P76,'350配方'!$Y76:$AB76,232)</x:f>
        <x:v>0</x:v>
      </x:c>
      <x:c r="AH76" s="9" t="n">
        <x:f>SUMIFS('350配方'!$M76:$P76,'350配方'!$Y76:$AB76,255)</x:f>
        <x:v>0</x:v>
      </x:c>
      <x:c r="AI76" s="9" t="n">
        <x:f>'浓度设置'!S6</x:f>
        <x:v>219125.9626344086</x:v>
      </x:c>
      <x:c r="AJ76" s="9" t="n">
        <x:f>'浓度设置'!S8</x:f>
        <x:v>92796.92267241378</x:v>
      </x:c>
      <x:c r="AK76" s="9" t="n">
        <x:f>'浓度设置'!S10</x:f>
        <x:v>30556.797802197798</x:v>
      </x:c>
      <x:c r="AL76" s="9" t="n">
        <x:f>'浓度设置'!S12</x:f>
        <x:v>1735.828970588235</x:v>
      </x:c>
      <x:c r="AM76" s="9" t="n">
        <x:f>'浓度设置'!S15</x:f>
        <x:v>7385.813644067793</x:v>
      </x:c>
      <x:c r="AN76" s="9" t="n">
        <x:f>'浓度设置'!S19</x:f>
        <x:v>27722.03097701148</x:v>
      </x:c>
      <x:c r="AO76" s="9" t="n">
        <x:f>'浓度设置'!S22</x:f>
        <x:v>44345.55047619048</x:v>
      </x:c>
      <x:c r="AP76" s="9" t="n">
        <x:f>'浓度设置'!S26</x:f>
        <x:v>153318.30499999996</x:v>
      </x:c>
      <x:c r="AQ76" s="9" t="n">
        <x:f>'浓度设置'!S29</x:f>
        <x:v>312.7970588235294</x:v>
      </x:c>
      <x:c r="AR76" s="9" t="n">
        <x:f>'浓度设置'!S30</x:f>
        <x:v>104175.5097553192</x:v>
      </x:c>
      <x:c r="AS76" s="9" t="n">
        <x:f>'浓度设置'!S35</x:f>
        <x:v>405974.90656785714</x:v>
      </x:c>
    </x:row>
    <x:row r="77" ht="24" customHeight="1">
      <x:c r="A77" s="3" t="str">
        <x:f>'350配方'!A77</x:f>
        <x:v>T072</x:v>
      </x:c>
      <x:c r="B77" s="3" t="str">
        <x:f>'350配方'!B77</x:f>
        <x:v>拟合</x:v>
      </x:c>
      <x:c r="C77" s="3" t="n">
        <x:f>IF(B77="拟合",1,0)</x:f>
        <x:v>1</x:v>
      </x:c>
      <x:c r="D77" s="3" t="n">
        <x:f>'350配方'!AC77</x:f>
        <x:v>1</x:v>
      </x:c>
      <x:c r="E77" s="9" t="n">
        <x:f>SUMIFS('350配方'!$M77:$P77,'350配方'!$Y77:$AB77,7)</x:f>
        <x:v>0</x:v>
      </x:c>
      <x:c r="F77" s="9" t="n">
        <x:f>SUMIFS('350配方'!$M77:$P77,'350配方'!$Y77:$AB77,11)</x:f>
        <x:v>0</x:v>
      </x:c>
      <x:c r="G77" s="9" t="n">
        <x:f>SUMIFS('350配方'!$M77:$P77,'350配方'!$Y77:$AB77,18)</x:f>
        <x:v>0</x:v>
      </x:c>
      <x:c r="H77" s="9" t="n">
        <x:f>SUMIFS('350配方'!$M77:$P77,'350配方'!$Y77:$AB77,32)</x:f>
        <x:v>0</x:v>
      </x:c>
      <x:c r="I77" s="9" t="n">
        <x:f>SUMIFS('350配方'!$M77:$P77,'350配方'!$Y77:$AB77,40)</x:f>
        <x:v>0</x:v>
      </x:c>
      <x:c r="J77" s="9" t="n">
        <x:f>SUMIFS('350配方'!$M77:$P77,'350配方'!$Y77:$AB77,52)</x:f>
        <x:v>0</x:v>
      </x:c>
      <x:c r="K77" s="9" t="n">
        <x:f>SUMIFS('350配方'!$M77:$P77,'350配方'!$Y77:$AB77,53)</x:f>
        <x:v>0</x:v>
      </x:c>
      <x:c r="L77" s="9" t="n">
        <x:f>SUMIFS('350配方'!$M77:$P77,'350配方'!$Y77:$AB77,56)</x:f>
        <x:v>0</x:v>
      </x:c>
      <x:c r="M77" s="9" t="n">
        <x:f>SUMIFS('350配方'!$M77:$P77,'350配方'!$Y77:$AB77,58)</x:f>
        <x:v>0</x:v>
      </x:c>
      <x:c r="N77" s="9" t="n">
        <x:f>SUMIFS('350配方'!$M77:$P77,'350配方'!$Y77:$AB77,61)</x:f>
        <x:v>0</x:v>
      </x:c>
      <x:c r="O77" s="9" t="n">
        <x:f>SUMIFS('350配方'!$M77:$P77,'350配方'!$Y77:$AB77,69)</x:f>
        <x:v>0</x:v>
      </x:c>
      <x:c r="P77" s="9" t="n">
        <x:f>SUMIFS('350配方'!$M77:$P77,'350配方'!$Y77:$AB77,75)</x:f>
        <x:v>0</x:v>
      </x:c>
      <x:c r="Q77" s="9" t="n">
        <x:f>SUMIFS('350配方'!$M77:$P77,'350配方'!$Y77:$AB77,79)</x:f>
        <x:v>0</x:v>
      </x:c>
      <x:c r="R77" s="9" t="n">
        <x:f>SUMIFS('350配方'!$M77:$P77,'350配方'!$Y77:$AB77,90)</x:f>
        <x:v>0</x:v>
      </x:c>
      <x:c r="S77" s="9" t="n">
        <x:f>SUMIFS('350配方'!$M77:$P77,'350配方'!$Y77:$AB77,105)</x:f>
        <x:v>0</x:v>
      </x:c>
      <x:c r="T77" s="9" t="n">
        <x:f>SUMIFS('350配方'!$M77:$P77,'350配方'!$Y77:$AB77,111)</x:f>
        <x:v>0</x:v>
      </x:c>
      <x:c r="U77" s="9" t="n">
        <x:f>SUMIFS('350配方'!$M77:$P77,'350配方'!$Y77:$AB77,114)</x:f>
        <x:v>0</x:v>
      </x:c>
      <x:c r="V77" s="9" t="n">
        <x:f>SUMIFS('350配方'!$M77:$P77,'350配方'!$Y77:$AB77,115)</x:f>
        <x:v>0</x:v>
      </x:c>
      <x:c r="W77" s="9" t="n">
        <x:f>SUMIFS('350配方'!$M77:$P77,'350配方'!$Y77:$AB77,117)</x:f>
        <x:v>0</x:v>
      </x:c>
      <x:c r="X77" s="9" t="n">
        <x:f>SUMIFS('350配方'!$M77:$P77,'350配方'!$Y77:$AB77,126)</x:f>
        <x:v>0</x:v>
      </x:c>
      <x:c r="Y77" s="9" t="n">
        <x:f>SUMIFS('350配方'!$M77:$P77,'350配方'!$Y77:$AB77,136)</x:f>
        <x:v>0</x:v>
      </x:c>
      <x:c r="Z77" s="9" t="n">
        <x:f>SUMIFS('350配方'!$M77:$P77,'350配方'!$Y77:$AB77,141)</x:f>
        <x:v>0</x:v>
      </x:c>
      <x:c r="AA77" s="9" t="n">
        <x:f>SUMIFS('350配方'!$M77:$P77,'350配方'!$Y77:$AB77,152)</x:f>
        <x:v>0</x:v>
      </x:c>
      <x:c r="AB77" s="9" t="n">
        <x:f>SUMIFS('350配方'!$M77:$P77,'350配方'!$Y77:$AB77,165)</x:f>
        <x:v>0</x:v>
      </x:c>
      <x:c r="AC77" s="9" t="n">
        <x:f>SUMIFS('350配方'!$M77:$P77,'350配方'!$Y77:$AB77,186)</x:f>
        <x:v>0</x:v>
      </x:c>
      <x:c r="AD77" s="9" t="n">
        <x:f>SUMIFS('350配方'!$M77:$P77,'350配方'!$Y77:$AB77,207)</x:f>
        <x:v>1</x:v>
      </x:c>
      <x:c r="AE77" s="9" t="n">
        <x:f>SUMIFS('350配方'!$M77:$P77,'350配方'!$Y77:$AB77,209)</x:f>
        <x:v>0</x:v>
      </x:c>
      <x:c r="AF77" s="9" t="n">
        <x:f>SUMIFS('350配方'!$M77:$P77,'350配方'!$Y77:$AB77,227)</x:f>
        <x:v>0</x:v>
      </x:c>
      <x:c r="AG77" s="9" t="n">
        <x:f>SUMIFS('350配方'!$M77:$P77,'350配方'!$Y77:$AB77,232)</x:f>
        <x:v>0</x:v>
      </x:c>
      <x:c r="AH77" s="9" t="n">
        <x:f>SUMIFS('350配方'!$M77:$P77,'350配方'!$Y77:$AB77,255)</x:f>
        <x:v>0</x:v>
      </x:c>
      <x:c r="AI77" s="9" t="n">
        <x:f>'浓度设置'!S6</x:f>
        <x:v>219125.9626344086</x:v>
      </x:c>
      <x:c r="AJ77" s="9" t="n">
        <x:f>'浓度设置'!S8</x:f>
        <x:v>92796.92267241378</x:v>
      </x:c>
      <x:c r="AK77" s="9" t="n">
        <x:f>'浓度设置'!S10</x:f>
        <x:v>30556.797802197798</x:v>
      </x:c>
      <x:c r="AL77" s="9" t="n">
        <x:f>'浓度设置'!S12</x:f>
        <x:v>1735.828970588235</x:v>
      </x:c>
      <x:c r="AM77" s="9" t="n">
        <x:f>'浓度设置'!S15</x:f>
        <x:v>7385.813644067793</x:v>
      </x:c>
      <x:c r="AN77" s="9" t="n">
        <x:f>'浓度设置'!S19</x:f>
        <x:v>27722.03097701148</x:v>
      </x:c>
      <x:c r="AO77" s="9" t="n">
        <x:f>'浓度设置'!S22</x:f>
        <x:v>44345.55047619048</x:v>
      </x:c>
      <x:c r="AP77" s="9" t="n">
        <x:f>'浓度设置'!S26</x:f>
        <x:v>153318.30499999996</x:v>
      </x:c>
      <x:c r="AQ77" s="9" t="n">
        <x:f>'浓度设置'!S29</x:f>
        <x:v>312.7970588235294</x:v>
      </x:c>
      <x:c r="AR77" s="9" t="n">
        <x:f>'浓度设置'!S30</x:f>
        <x:v>104175.5097553192</x:v>
      </x:c>
      <x:c r="AS77" s="9" t="n">
        <x:f>'浓度设置'!S35</x:f>
        <x:v>405974.90656785714</x:v>
      </x:c>
    </x:row>
    <x:row r="78" ht="24" customHeight="1">
      <x:c r="A78" s="3" t="str">
        <x:f>'350配方'!A78</x:f>
        <x:v>T073</x:v>
      </x:c>
      <x:c r="B78" s="3" t="str">
        <x:f>'350配方'!B78</x:f>
        <x:v>拟合</x:v>
      </x:c>
      <x:c r="C78" s="3" t="n">
        <x:f>IF(B78="拟合",1,0)</x:f>
        <x:v>1</x:v>
      </x:c>
      <x:c r="D78" s="3" t="n">
        <x:f>'350配方'!AC78</x:f>
        <x:v>1</x:v>
      </x:c>
      <x:c r="E78" s="9" t="n">
        <x:f>SUMIFS('350配方'!$M78:$P78,'350配方'!$Y78:$AB78,7)</x:f>
        <x:v>0</x:v>
      </x:c>
      <x:c r="F78" s="9" t="n">
        <x:f>SUMIFS('350配方'!$M78:$P78,'350配方'!$Y78:$AB78,11)</x:f>
        <x:v>0</x:v>
      </x:c>
      <x:c r="G78" s="9" t="n">
        <x:f>SUMIFS('350配方'!$M78:$P78,'350配方'!$Y78:$AB78,18)</x:f>
        <x:v>0</x:v>
      </x:c>
      <x:c r="H78" s="9" t="n">
        <x:f>SUMIFS('350配方'!$M78:$P78,'350配方'!$Y78:$AB78,32)</x:f>
        <x:v>0</x:v>
      </x:c>
      <x:c r="I78" s="9" t="n">
        <x:f>SUMIFS('350配方'!$M78:$P78,'350配方'!$Y78:$AB78,40)</x:f>
        <x:v>0</x:v>
      </x:c>
      <x:c r="J78" s="9" t="n">
        <x:f>SUMIFS('350配方'!$M78:$P78,'350配方'!$Y78:$AB78,52)</x:f>
        <x:v>0</x:v>
      </x:c>
      <x:c r="K78" s="9" t="n">
        <x:f>SUMIFS('350配方'!$M78:$P78,'350配方'!$Y78:$AB78,53)</x:f>
        <x:v>0</x:v>
      </x:c>
      <x:c r="L78" s="9" t="n">
        <x:f>SUMIFS('350配方'!$M78:$P78,'350配方'!$Y78:$AB78,56)</x:f>
        <x:v>0</x:v>
      </x:c>
      <x:c r="M78" s="9" t="n">
        <x:f>SUMIFS('350配方'!$M78:$P78,'350配方'!$Y78:$AB78,58)</x:f>
        <x:v>0</x:v>
      </x:c>
      <x:c r="N78" s="9" t="n">
        <x:f>SUMIFS('350配方'!$M78:$P78,'350配方'!$Y78:$AB78,61)</x:f>
        <x:v>0</x:v>
      </x:c>
      <x:c r="O78" s="9" t="n">
        <x:f>SUMIFS('350配方'!$M78:$P78,'350配方'!$Y78:$AB78,69)</x:f>
        <x:v>0</x:v>
      </x:c>
      <x:c r="P78" s="9" t="n">
        <x:f>SUMIFS('350配方'!$M78:$P78,'350配方'!$Y78:$AB78,75)</x:f>
        <x:v>0</x:v>
      </x:c>
      <x:c r="Q78" s="9" t="n">
        <x:f>SUMIFS('350配方'!$M78:$P78,'350配方'!$Y78:$AB78,79)</x:f>
        <x:v>0</x:v>
      </x:c>
      <x:c r="R78" s="9" t="n">
        <x:f>SUMIFS('350配方'!$M78:$P78,'350配方'!$Y78:$AB78,90)</x:f>
        <x:v>0</x:v>
      </x:c>
      <x:c r="S78" s="9" t="n">
        <x:f>SUMIFS('350配方'!$M78:$P78,'350配方'!$Y78:$AB78,105)</x:f>
        <x:v>0</x:v>
      </x:c>
      <x:c r="T78" s="9" t="n">
        <x:f>SUMIFS('350配方'!$M78:$P78,'350配方'!$Y78:$AB78,111)</x:f>
        <x:v>0</x:v>
      </x:c>
      <x:c r="U78" s="9" t="n">
        <x:f>SUMIFS('350配方'!$M78:$P78,'350配方'!$Y78:$AB78,114)</x:f>
        <x:v>0</x:v>
      </x:c>
      <x:c r="V78" s="9" t="n">
        <x:f>SUMIFS('350配方'!$M78:$P78,'350配方'!$Y78:$AB78,115)</x:f>
        <x:v>0</x:v>
      </x:c>
      <x:c r="W78" s="9" t="n">
        <x:f>SUMIFS('350配方'!$M78:$P78,'350配方'!$Y78:$AB78,117)</x:f>
        <x:v>0</x:v>
      </x:c>
      <x:c r="X78" s="9" t="n">
        <x:f>SUMIFS('350配方'!$M78:$P78,'350配方'!$Y78:$AB78,126)</x:f>
        <x:v>0</x:v>
      </x:c>
      <x:c r="Y78" s="9" t="n">
        <x:f>SUMIFS('350配方'!$M78:$P78,'350配方'!$Y78:$AB78,136)</x:f>
        <x:v>0</x:v>
      </x:c>
      <x:c r="Z78" s="9" t="n">
        <x:f>SUMIFS('350配方'!$M78:$P78,'350配方'!$Y78:$AB78,141)</x:f>
        <x:v>0</x:v>
      </x:c>
      <x:c r="AA78" s="9" t="n">
        <x:f>SUMIFS('350配方'!$M78:$P78,'350配方'!$Y78:$AB78,152)</x:f>
        <x:v>0</x:v>
      </x:c>
      <x:c r="AB78" s="9" t="n">
        <x:f>SUMIFS('350配方'!$M78:$P78,'350配方'!$Y78:$AB78,165)</x:f>
        <x:v>0</x:v>
      </x:c>
      <x:c r="AC78" s="9" t="n">
        <x:f>SUMIFS('350配方'!$M78:$P78,'350配方'!$Y78:$AB78,186)</x:f>
        <x:v>0</x:v>
      </x:c>
      <x:c r="AD78" s="9" t="n">
        <x:f>SUMIFS('350配方'!$M78:$P78,'350配方'!$Y78:$AB78,207)</x:f>
        <x:v>16.47573974060042</x:v>
      </x:c>
      <x:c r="AE78" s="9" t="n">
        <x:f>SUMIFS('350配方'!$M78:$P78,'350配方'!$Y78:$AB78,209)</x:f>
        <x:v>0</x:v>
      </x:c>
      <x:c r="AF78" s="9" t="n">
        <x:f>SUMIFS('350配方'!$M78:$P78,'350配方'!$Y78:$AB78,227)</x:f>
        <x:v>0</x:v>
      </x:c>
      <x:c r="AG78" s="9" t="n">
        <x:f>SUMIFS('350配方'!$M78:$P78,'350配方'!$Y78:$AB78,232)</x:f>
        <x:v>0</x:v>
      </x:c>
      <x:c r="AH78" s="9" t="n">
        <x:f>SUMIFS('350配方'!$M78:$P78,'350配方'!$Y78:$AB78,255)</x:f>
        <x:v>0</x:v>
      </x:c>
      <x:c r="AI78" s="9" t="n">
        <x:f>'浓度设置'!S6</x:f>
        <x:v>219125.9626344086</x:v>
      </x:c>
      <x:c r="AJ78" s="9" t="n">
        <x:f>'浓度设置'!S8</x:f>
        <x:v>92796.92267241378</x:v>
      </x:c>
      <x:c r="AK78" s="9" t="n">
        <x:f>'浓度设置'!S10</x:f>
        <x:v>30556.797802197798</x:v>
      </x:c>
      <x:c r="AL78" s="9" t="n">
        <x:f>'浓度设置'!S12</x:f>
        <x:v>1735.828970588235</x:v>
      </x:c>
      <x:c r="AM78" s="9" t="n">
        <x:f>'浓度设置'!S15</x:f>
        <x:v>7385.813644067793</x:v>
      </x:c>
      <x:c r="AN78" s="9" t="n">
        <x:f>'浓度设置'!S19</x:f>
        <x:v>27722.03097701148</x:v>
      </x:c>
      <x:c r="AO78" s="9" t="n">
        <x:f>'浓度设置'!S22</x:f>
        <x:v>44345.55047619048</x:v>
      </x:c>
      <x:c r="AP78" s="9" t="n">
        <x:f>'浓度设置'!S26</x:f>
        <x:v>153318.30499999996</x:v>
      </x:c>
      <x:c r="AQ78" s="9" t="n">
        <x:f>'浓度设置'!S29</x:f>
        <x:v>312.7970588235294</x:v>
      </x:c>
      <x:c r="AR78" s="9" t="n">
        <x:f>'浓度设置'!S30</x:f>
        <x:v>104175.5097553192</x:v>
      </x:c>
      <x:c r="AS78" s="9" t="n">
        <x:f>'浓度设置'!S35</x:f>
        <x:v>405974.90656785714</x:v>
      </x:c>
    </x:row>
    <x:row r="79" ht="24" customHeight="1">
      <x:c r="A79" s="3" t="str">
        <x:f>'350配方'!A79</x:f>
        <x:v>T074</x:v>
      </x:c>
      <x:c r="B79" s="3" t="str">
        <x:f>'350配方'!B79</x:f>
        <x:v>拟合</x:v>
      </x:c>
      <x:c r="C79" s="3" t="n">
        <x:f>IF(B79="拟合",1,0)</x:f>
        <x:v>1</x:v>
      </x:c>
      <x:c r="D79" s="3" t="n">
        <x:f>'350配方'!AC79</x:f>
        <x:v>1</x:v>
      </x:c>
      <x:c r="E79" s="9" t="n">
        <x:f>SUMIFS('350配方'!$M79:$P79,'350配方'!$Y79:$AB79,7)</x:f>
        <x:v>0</x:v>
      </x:c>
      <x:c r="F79" s="9" t="n">
        <x:f>SUMIFS('350配方'!$M79:$P79,'350配方'!$Y79:$AB79,11)</x:f>
        <x:v>0</x:v>
      </x:c>
      <x:c r="G79" s="9" t="n">
        <x:f>SUMIFS('350配方'!$M79:$P79,'350配方'!$Y79:$AB79,18)</x:f>
        <x:v>0</x:v>
      </x:c>
      <x:c r="H79" s="9" t="n">
        <x:f>SUMIFS('350配方'!$M79:$P79,'350配方'!$Y79:$AB79,32)</x:f>
        <x:v>0</x:v>
      </x:c>
      <x:c r="I79" s="9" t="n">
        <x:f>SUMIFS('350配方'!$M79:$P79,'350配方'!$Y79:$AB79,40)</x:f>
        <x:v>0</x:v>
      </x:c>
      <x:c r="J79" s="9" t="n">
        <x:f>SUMIFS('350配方'!$M79:$P79,'350配方'!$Y79:$AB79,52)</x:f>
        <x:v>0</x:v>
      </x:c>
      <x:c r="K79" s="9" t="n">
        <x:f>SUMIFS('350配方'!$M79:$P79,'350配方'!$Y79:$AB79,53)</x:f>
        <x:v>0</x:v>
      </x:c>
      <x:c r="L79" s="9" t="n">
        <x:f>SUMIFS('350配方'!$M79:$P79,'350配方'!$Y79:$AB79,56)</x:f>
        <x:v>0</x:v>
      </x:c>
      <x:c r="M79" s="9" t="n">
        <x:f>SUMIFS('350配方'!$M79:$P79,'350配方'!$Y79:$AB79,58)</x:f>
        <x:v>0</x:v>
      </x:c>
      <x:c r="N79" s="9" t="n">
        <x:f>SUMIFS('350配方'!$M79:$P79,'350配方'!$Y79:$AB79,61)</x:f>
        <x:v>0</x:v>
      </x:c>
      <x:c r="O79" s="9" t="n">
        <x:f>SUMIFS('350配方'!$M79:$P79,'350配方'!$Y79:$AB79,69)</x:f>
        <x:v>0</x:v>
      </x:c>
      <x:c r="P79" s="9" t="n">
        <x:f>SUMIFS('350配方'!$M79:$P79,'350配方'!$Y79:$AB79,75)</x:f>
        <x:v>0</x:v>
      </x:c>
      <x:c r="Q79" s="9" t="n">
        <x:f>SUMIFS('350配方'!$M79:$P79,'350配方'!$Y79:$AB79,79)</x:f>
        <x:v>0</x:v>
      </x:c>
      <x:c r="R79" s="9" t="n">
        <x:f>SUMIFS('350配方'!$M79:$P79,'350配方'!$Y79:$AB79,90)</x:f>
        <x:v>0</x:v>
      </x:c>
      <x:c r="S79" s="9" t="n">
        <x:f>SUMIFS('350配方'!$M79:$P79,'350配方'!$Y79:$AB79,105)</x:f>
        <x:v>0</x:v>
      </x:c>
      <x:c r="T79" s="9" t="n">
        <x:f>SUMIFS('350配方'!$M79:$P79,'350配方'!$Y79:$AB79,111)</x:f>
        <x:v>0</x:v>
      </x:c>
      <x:c r="U79" s="9" t="n">
        <x:f>SUMIFS('350配方'!$M79:$P79,'350配方'!$Y79:$AB79,114)</x:f>
        <x:v>0</x:v>
      </x:c>
      <x:c r="V79" s="9" t="n">
        <x:f>SUMIFS('350配方'!$M79:$P79,'350配方'!$Y79:$AB79,115)</x:f>
        <x:v>0</x:v>
      </x:c>
      <x:c r="W79" s="9" t="n">
        <x:f>SUMIFS('350配方'!$M79:$P79,'350配方'!$Y79:$AB79,117)</x:f>
        <x:v>0</x:v>
      </x:c>
      <x:c r="X79" s="9" t="n">
        <x:f>SUMIFS('350配方'!$M79:$P79,'350配方'!$Y79:$AB79,126)</x:f>
        <x:v>0</x:v>
      </x:c>
      <x:c r="Y79" s="9" t="n">
        <x:f>SUMIFS('350配方'!$M79:$P79,'350配方'!$Y79:$AB79,136)</x:f>
        <x:v>0</x:v>
      </x:c>
      <x:c r="Z79" s="9" t="n">
        <x:f>SUMIFS('350配方'!$M79:$P79,'350配方'!$Y79:$AB79,141)</x:f>
        <x:v>0</x:v>
      </x:c>
      <x:c r="AA79" s="9" t="n">
        <x:f>SUMIFS('350配方'!$M79:$P79,'350配方'!$Y79:$AB79,152)</x:f>
        <x:v>0</x:v>
      </x:c>
      <x:c r="AB79" s="9" t="n">
        <x:f>SUMIFS('350配方'!$M79:$P79,'350配方'!$Y79:$AB79,165)</x:f>
        <x:v>0</x:v>
      </x:c>
      <x:c r="AC79" s="9" t="n">
        <x:f>SUMIFS('350配方'!$M79:$P79,'350配方'!$Y79:$AB79,186)</x:f>
        <x:v>0</x:v>
      </x:c>
      <x:c r="AD79" s="9" t="n">
        <x:f>SUMIFS('350配方'!$M79:$P79,'350配方'!$Y79:$AB79,207)</x:f>
        <x:v>271.45</x:v>
      </x:c>
      <x:c r="AE79" s="9" t="n">
        <x:f>SUMIFS('350配方'!$M79:$P79,'350配方'!$Y79:$AB79,209)</x:f>
        <x:v>0</x:v>
      </x:c>
      <x:c r="AF79" s="9" t="n">
        <x:f>SUMIFS('350配方'!$M79:$P79,'350配方'!$Y79:$AB79,227)</x:f>
        <x:v>0</x:v>
      </x:c>
      <x:c r="AG79" s="9" t="n">
        <x:f>SUMIFS('350配方'!$M79:$P79,'350配方'!$Y79:$AB79,232)</x:f>
        <x:v>0</x:v>
      </x:c>
      <x:c r="AH79" s="9" t="n">
        <x:f>SUMIFS('350配方'!$M79:$P79,'350配方'!$Y79:$AB79,255)</x:f>
        <x:v>0</x:v>
      </x:c>
      <x:c r="AI79" s="9" t="n">
        <x:f>'浓度设置'!S6</x:f>
        <x:v>219125.9626344086</x:v>
      </x:c>
      <x:c r="AJ79" s="9" t="n">
        <x:f>'浓度设置'!S8</x:f>
        <x:v>92796.92267241378</x:v>
      </x:c>
      <x:c r="AK79" s="9" t="n">
        <x:f>'浓度设置'!S10</x:f>
        <x:v>30556.797802197798</x:v>
      </x:c>
      <x:c r="AL79" s="9" t="n">
        <x:f>'浓度设置'!S12</x:f>
        <x:v>1735.828970588235</x:v>
      </x:c>
      <x:c r="AM79" s="9" t="n">
        <x:f>'浓度设置'!S15</x:f>
        <x:v>7385.813644067793</x:v>
      </x:c>
      <x:c r="AN79" s="9" t="n">
        <x:f>'浓度设置'!S19</x:f>
        <x:v>27722.03097701148</x:v>
      </x:c>
      <x:c r="AO79" s="9" t="n">
        <x:f>'浓度设置'!S22</x:f>
        <x:v>44345.55047619048</x:v>
      </x:c>
      <x:c r="AP79" s="9" t="n">
        <x:f>'浓度设置'!S26</x:f>
        <x:v>153318.30499999996</x:v>
      </x:c>
      <x:c r="AQ79" s="9" t="n">
        <x:f>'浓度设置'!S29</x:f>
        <x:v>312.7970588235294</x:v>
      </x:c>
      <x:c r="AR79" s="9" t="n">
        <x:f>'浓度设置'!S30</x:f>
        <x:v>104175.5097553192</x:v>
      </x:c>
      <x:c r="AS79" s="9" t="n">
        <x:f>'浓度设置'!S35</x:f>
        <x:v>405974.90656785714</x:v>
      </x:c>
    </x:row>
    <x:row r="80" ht="24" customHeight="1">
      <x:c r="A80" s="3" t="str">
        <x:f>'350配方'!A80</x:f>
        <x:v>T075</x:v>
      </x:c>
      <x:c r="B80" s="3" t="str">
        <x:f>'350配方'!B80</x:f>
        <x:v>拟合</x:v>
      </x:c>
      <x:c r="C80" s="3" t="n">
        <x:f>IF(B80="拟合",1,0)</x:f>
        <x:v>1</x:v>
      </x:c>
      <x:c r="D80" s="3" t="n">
        <x:f>'350配方'!AC80</x:f>
        <x:v>1</x:v>
      </x:c>
      <x:c r="E80" s="9" t="n">
        <x:f>SUMIFS('350配方'!$M80:$P80,'350配方'!$Y80:$AB80,7)</x:f>
        <x:v>0</x:v>
      </x:c>
      <x:c r="F80" s="9" t="n">
        <x:f>SUMIFS('350配方'!$M80:$P80,'350配方'!$Y80:$AB80,11)</x:f>
        <x:v>0</x:v>
      </x:c>
      <x:c r="G80" s="9" t="n">
        <x:f>SUMIFS('350配方'!$M80:$P80,'350配方'!$Y80:$AB80,18)</x:f>
        <x:v>0</x:v>
      </x:c>
      <x:c r="H80" s="9" t="n">
        <x:f>SUMIFS('350配方'!$M80:$P80,'350配方'!$Y80:$AB80,32)</x:f>
        <x:v>0</x:v>
      </x:c>
      <x:c r="I80" s="9" t="n">
        <x:f>SUMIFS('350配方'!$M80:$P80,'350配方'!$Y80:$AB80,40)</x:f>
        <x:v>0</x:v>
      </x:c>
      <x:c r="J80" s="9" t="n">
        <x:f>SUMIFS('350配方'!$M80:$P80,'350配方'!$Y80:$AB80,52)</x:f>
        <x:v>0</x:v>
      </x:c>
      <x:c r="K80" s="9" t="n">
        <x:f>SUMIFS('350配方'!$M80:$P80,'350配方'!$Y80:$AB80,53)</x:f>
        <x:v>0</x:v>
      </x:c>
      <x:c r="L80" s="9" t="n">
        <x:f>SUMIFS('350配方'!$M80:$P80,'350配方'!$Y80:$AB80,56)</x:f>
        <x:v>0</x:v>
      </x:c>
      <x:c r="M80" s="9" t="n">
        <x:f>SUMIFS('350配方'!$M80:$P80,'350配方'!$Y80:$AB80,58)</x:f>
        <x:v>0</x:v>
      </x:c>
      <x:c r="N80" s="9" t="n">
        <x:f>SUMIFS('350配方'!$M80:$P80,'350配方'!$Y80:$AB80,61)</x:f>
        <x:v>0</x:v>
      </x:c>
      <x:c r="O80" s="9" t="n">
        <x:f>SUMIFS('350配方'!$M80:$P80,'350配方'!$Y80:$AB80,69)</x:f>
        <x:v>0</x:v>
      </x:c>
      <x:c r="P80" s="9" t="n">
        <x:f>SUMIFS('350配方'!$M80:$P80,'350配方'!$Y80:$AB80,75)</x:f>
        <x:v>0</x:v>
      </x:c>
      <x:c r="Q80" s="9" t="n">
        <x:f>SUMIFS('350配方'!$M80:$P80,'350配方'!$Y80:$AB80,79)</x:f>
        <x:v>0</x:v>
      </x:c>
      <x:c r="R80" s="9" t="n">
        <x:f>SUMIFS('350配方'!$M80:$P80,'350配方'!$Y80:$AB80,90)</x:f>
        <x:v>0</x:v>
      </x:c>
      <x:c r="S80" s="9" t="n">
        <x:f>SUMIFS('350配方'!$M80:$P80,'350配方'!$Y80:$AB80,105)</x:f>
        <x:v>0</x:v>
      </x:c>
      <x:c r="T80" s="9" t="n">
        <x:f>SUMIFS('350配方'!$M80:$P80,'350配方'!$Y80:$AB80,111)</x:f>
        <x:v>0</x:v>
      </x:c>
      <x:c r="U80" s="9" t="n">
        <x:f>SUMIFS('350配方'!$M80:$P80,'350配方'!$Y80:$AB80,114)</x:f>
        <x:v>0</x:v>
      </x:c>
      <x:c r="V80" s="9" t="n">
        <x:f>SUMIFS('350配方'!$M80:$P80,'350配方'!$Y80:$AB80,115)</x:f>
        <x:v>0</x:v>
      </x:c>
      <x:c r="W80" s="9" t="n">
        <x:f>SUMIFS('350配方'!$M80:$P80,'350配方'!$Y80:$AB80,117)</x:f>
        <x:v>0</x:v>
      </x:c>
      <x:c r="X80" s="9" t="n">
        <x:f>SUMIFS('350配方'!$M80:$P80,'350配方'!$Y80:$AB80,126)</x:f>
        <x:v>0</x:v>
      </x:c>
      <x:c r="Y80" s="9" t="n">
        <x:f>SUMIFS('350配方'!$M80:$P80,'350配方'!$Y80:$AB80,136)</x:f>
        <x:v>0</x:v>
      </x:c>
      <x:c r="Z80" s="9" t="n">
        <x:f>SUMIFS('350配方'!$M80:$P80,'350配方'!$Y80:$AB80,141)</x:f>
        <x:v>0</x:v>
      </x:c>
      <x:c r="AA80" s="9" t="n">
        <x:f>SUMIFS('350配方'!$M80:$P80,'350配方'!$Y80:$AB80,152)</x:f>
        <x:v>0</x:v>
      </x:c>
      <x:c r="AB80" s="9" t="n">
        <x:f>SUMIFS('350配方'!$M80:$P80,'350配方'!$Y80:$AB80,165)</x:f>
        <x:v>0</x:v>
      </x:c>
      <x:c r="AC80" s="9" t="n">
        <x:f>SUMIFS('350配方'!$M80:$P80,'350配方'!$Y80:$AB80,186)</x:f>
        <x:v>0</x:v>
      </x:c>
      <x:c r="AD80" s="9" t="n">
        <x:f>SUMIFS('350配方'!$M80:$P80,'350配方'!$Y80:$AB80,207)</x:f>
        <x:v>0</x:v>
      </x:c>
      <x:c r="AE80" s="9" t="n">
        <x:f>SUMIFS('350配方'!$M80:$P80,'350配方'!$Y80:$AB80,209)</x:f>
        <x:v>0.28</x:v>
      </x:c>
      <x:c r="AF80" s="9" t="n">
        <x:f>SUMIFS('350配方'!$M80:$P80,'350配方'!$Y80:$AB80,227)</x:f>
        <x:v>0</x:v>
      </x:c>
      <x:c r="AG80" s="9" t="n">
        <x:f>SUMIFS('350配方'!$M80:$P80,'350配方'!$Y80:$AB80,232)</x:f>
        <x:v>0</x:v>
      </x:c>
      <x:c r="AH80" s="9" t="n">
        <x:f>SUMIFS('350配方'!$M80:$P80,'350配方'!$Y80:$AB80,255)</x:f>
        <x:v>0</x:v>
      </x:c>
      <x:c r="AI80" s="9" t="n">
        <x:f>'浓度设置'!S6</x:f>
        <x:v>219125.9626344086</x:v>
      </x:c>
      <x:c r="AJ80" s="9" t="n">
        <x:f>'浓度设置'!S8</x:f>
        <x:v>92796.92267241378</x:v>
      </x:c>
      <x:c r="AK80" s="9" t="n">
        <x:f>'浓度设置'!S10</x:f>
        <x:v>30556.797802197798</x:v>
      </x:c>
      <x:c r="AL80" s="9" t="n">
        <x:f>'浓度设置'!S12</x:f>
        <x:v>1735.828970588235</x:v>
      </x:c>
      <x:c r="AM80" s="9" t="n">
        <x:f>'浓度设置'!S15</x:f>
        <x:v>7385.813644067793</x:v>
      </x:c>
      <x:c r="AN80" s="9" t="n">
        <x:f>'浓度设置'!S19</x:f>
        <x:v>27722.03097701148</x:v>
      </x:c>
      <x:c r="AO80" s="9" t="n">
        <x:f>'浓度设置'!S22</x:f>
        <x:v>44345.55047619048</x:v>
      </x:c>
      <x:c r="AP80" s="9" t="n">
        <x:f>'浓度设置'!S26</x:f>
        <x:v>153318.30499999996</x:v>
      </x:c>
      <x:c r="AQ80" s="9" t="n">
        <x:f>'浓度设置'!S29</x:f>
        <x:v>312.7970588235294</x:v>
      </x:c>
      <x:c r="AR80" s="9" t="n">
        <x:f>'浓度设置'!S30</x:f>
        <x:v>104175.5097553192</x:v>
      </x:c>
      <x:c r="AS80" s="9" t="n">
        <x:f>'浓度设置'!S35</x:f>
        <x:v>405974.90656785714</x:v>
      </x:c>
    </x:row>
    <x:row r="81" ht="24" customHeight="1">
      <x:c r="A81" s="3" t="str">
        <x:f>'350配方'!A81</x:f>
        <x:v>T076</x:v>
      </x:c>
      <x:c r="B81" s="3" t="str">
        <x:f>'350配方'!B81</x:f>
        <x:v>拟合</x:v>
      </x:c>
      <x:c r="C81" s="3" t="n">
        <x:f>IF(B81="拟合",1,0)</x:f>
        <x:v>1</x:v>
      </x:c>
      <x:c r="D81" s="3" t="n">
        <x:f>'350配方'!AC81</x:f>
        <x:v>1</x:v>
      </x:c>
      <x:c r="E81" s="9" t="n">
        <x:f>SUMIFS('350配方'!$M81:$P81,'350配方'!$Y81:$AB81,7)</x:f>
        <x:v>0</x:v>
      </x:c>
      <x:c r="F81" s="9" t="n">
        <x:f>SUMIFS('350配方'!$M81:$P81,'350配方'!$Y81:$AB81,11)</x:f>
        <x:v>0</x:v>
      </x:c>
      <x:c r="G81" s="9" t="n">
        <x:f>SUMIFS('350配方'!$M81:$P81,'350配方'!$Y81:$AB81,18)</x:f>
        <x:v>0</x:v>
      </x:c>
      <x:c r="H81" s="9" t="n">
        <x:f>SUMIFS('350配方'!$M81:$P81,'350配方'!$Y81:$AB81,32)</x:f>
        <x:v>0</x:v>
      </x:c>
      <x:c r="I81" s="9" t="n">
        <x:f>SUMIFS('350配方'!$M81:$P81,'350配方'!$Y81:$AB81,40)</x:f>
        <x:v>0</x:v>
      </x:c>
      <x:c r="J81" s="9" t="n">
        <x:f>SUMIFS('350配方'!$M81:$P81,'350配方'!$Y81:$AB81,52)</x:f>
        <x:v>0</x:v>
      </x:c>
      <x:c r="K81" s="9" t="n">
        <x:f>SUMIFS('350配方'!$M81:$P81,'350配方'!$Y81:$AB81,53)</x:f>
        <x:v>0</x:v>
      </x:c>
      <x:c r="L81" s="9" t="n">
        <x:f>SUMIFS('350配方'!$M81:$P81,'350配方'!$Y81:$AB81,56)</x:f>
        <x:v>0</x:v>
      </x:c>
      <x:c r="M81" s="9" t="n">
        <x:f>SUMIFS('350配方'!$M81:$P81,'350配方'!$Y81:$AB81,58)</x:f>
        <x:v>0</x:v>
      </x:c>
      <x:c r="N81" s="9" t="n">
        <x:f>SUMIFS('350配方'!$M81:$P81,'350配方'!$Y81:$AB81,61)</x:f>
        <x:v>0</x:v>
      </x:c>
      <x:c r="O81" s="9" t="n">
        <x:f>SUMIFS('350配方'!$M81:$P81,'350配方'!$Y81:$AB81,69)</x:f>
        <x:v>0</x:v>
      </x:c>
      <x:c r="P81" s="9" t="n">
        <x:f>SUMIFS('350配方'!$M81:$P81,'350配方'!$Y81:$AB81,75)</x:f>
        <x:v>0</x:v>
      </x:c>
      <x:c r="Q81" s="9" t="n">
        <x:f>SUMIFS('350配方'!$M81:$P81,'350配方'!$Y81:$AB81,79)</x:f>
        <x:v>0</x:v>
      </x:c>
      <x:c r="R81" s="9" t="n">
        <x:f>SUMIFS('350配方'!$M81:$P81,'350配方'!$Y81:$AB81,90)</x:f>
        <x:v>0</x:v>
      </x:c>
      <x:c r="S81" s="9" t="n">
        <x:f>SUMIFS('350配方'!$M81:$P81,'350配方'!$Y81:$AB81,105)</x:f>
        <x:v>0</x:v>
      </x:c>
      <x:c r="T81" s="9" t="n">
        <x:f>SUMIFS('350配方'!$M81:$P81,'350配方'!$Y81:$AB81,111)</x:f>
        <x:v>0</x:v>
      </x:c>
      <x:c r="U81" s="9" t="n">
        <x:f>SUMIFS('350配方'!$M81:$P81,'350配方'!$Y81:$AB81,114)</x:f>
        <x:v>0</x:v>
      </x:c>
      <x:c r="V81" s="9" t="n">
        <x:f>SUMIFS('350配方'!$M81:$P81,'350配方'!$Y81:$AB81,115)</x:f>
        <x:v>0</x:v>
      </x:c>
      <x:c r="W81" s="9" t="n">
        <x:f>SUMIFS('350配方'!$M81:$P81,'350配方'!$Y81:$AB81,117)</x:f>
        <x:v>0</x:v>
      </x:c>
      <x:c r="X81" s="9" t="n">
        <x:f>SUMIFS('350配方'!$M81:$P81,'350配方'!$Y81:$AB81,126)</x:f>
        <x:v>0</x:v>
      </x:c>
      <x:c r="Y81" s="9" t="n">
        <x:f>SUMIFS('350配方'!$M81:$P81,'350配方'!$Y81:$AB81,136)</x:f>
        <x:v>0</x:v>
      </x:c>
      <x:c r="Z81" s="9" t="n">
        <x:f>SUMIFS('350配方'!$M81:$P81,'350配方'!$Y81:$AB81,141)</x:f>
        <x:v>0</x:v>
      </x:c>
      <x:c r="AA81" s="9" t="n">
        <x:f>SUMIFS('350配方'!$M81:$P81,'350配方'!$Y81:$AB81,152)</x:f>
        <x:v>0</x:v>
      </x:c>
      <x:c r="AB81" s="9" t="n">
        <x:f>SUMIFS('350配方'!$M81:$P81,'350配方'!$Y81:$AB81,165)</x:f>
        <x:v>0</x:v>
      </x:c>
      <x:c r="AC81" s="9" t="n">
        <x:f>SUMIFS('350配方'!$M81:$P81,'350配方'!$Y81:$AB81,186)</x:f>
        <x:v>0</x:v>
      </x:c>
      <x:c r="AD81" s="9" t="n">
        <x:f>SUMIFS('350配方'!$M81:$P81,'350配方'!$Y81:$AB81,207)</x:f>
        <x:v>0</x:v>
      </x:c>
      <x:c r="AE81" s="9" t="n">
        <x:f>SUMIFS('350配方'!$M81:$P81,'350配方'!$Y81:$AB81,209)</x:f>
        <x:v>34.2987346705385</x:v>
      </x:c>
      <x:c r="AF81" s="9" t="n">
        <x:f>SUMIFS('350配方'!$M81:$P81,'350配方'!$Y81:$AB81,227)</x:f>
        <x:v>0</x:v>
      </x:c>
      <x:c r="AG81" s="9" t="n">
        <x:f>SUMIFS('350配方'!$M81:$P81,'350配方'!$Y81:$AB81,232)</x:f>
        <x:v>0</x:v>
      </x:c>
      <x:c r="AH81" s="9" t="n">
        <x:f>SUMIFS('350配方'!$M81:$P81,'350配方'!$Y81:$AB81,255)</x:f>
        <x:v>0</x:v>
      </x:c>
      <x:c r="AI81" s="9" t="n">
        <x:f>'浓度设置'!S6</x:f>
        <x:v>219125.9626344086</x:v>
      </x:c>
      <x:c r="AJ81" s="9" t="n">
        <x:f>'浓度设置'!S8</x:f>
        <x:v>92796.92267241378</x:v>
      </x:c>
      <x:c r="AK81" s="9" t="n">
        <x:f>'浓度设置'!S10</x:f>
        <x:v>30556.797802197798</x:v>
      </x:c>
      <x:c r="AL81" s="9" t="n">
        <x:f>'浓度设置'!S12</x:f>
        <x:v>1735.828970588235</x:v>
      </x:c>
      <x:c r="AM81" s="9" t="n">
        <x:f>'浓度设置'!S15</x:f>
        <x:v>7385.813644067793</x:v>
      </x:c>
      <x:c r="AN81" s="9" t="n">
        <x:f>'浓度设置'!S19</x:f>
        <x:v>27722.03097701148</x:v>
      </x:c>
      <x:c r="AO81" s="9" t="n">
        <x:f>'浓度设置'!S22</x:f>
        <x:v>44345.55047619048</x:v>
      </x:c>
      <x:c r="AP81" s="9" t="n">
        <x:f>'浓度设置'!S26</x:f>
        <x:v>153318.30499999996</x:v>
      </x:c>
      <x:c r="AQ81" s="9" t="n">
        <x:f>'浓度设置'!S29</x:f>
        <x:v>312.7970588235294</x:v>
      </x:c>
      <x:c r="AR81" s="9" t="n">
        <x:f>'浓度设置'!S30</x:f>
        <x:v>104175.5097553192</x:v>
      </x:c>
      <x:c r="AS81" s="9" t="n">
        <x:f>'浓度设置'!S35</x:f>
        <x:v>405974.90656785714</x:v>
      </x:c>
    </x:row>
    <x:row r="82" ht="24" customHeight="1">
      <x:c r="A82" s="3" t="str">
        <x:f>'350配方'!A82</x:f>
        <x:v>T077</x:v>
      </x:c>
      <x:c r="B82" s="3" t="str">
        <x:f>'350配方'!B82</x:f>
        <x:v>拟合</x:v>
      </x:c>
      <x:c r="C82" s="3" t="n">
        <x:f>IF(B82="拟合",1,0)</x:f>
        <x:v>1</x:v>
      </x:c>
      <x:c r="D82" s="3" t="n">
        <x:f>'350配方'!AC82</x:f>
        <x:v>1</x:v>
      </x:c>
      <x:c r="E82" s="9" t="n">
        <x:f>SUMIFS('350配方'!$M82:$P82,'350配方'!$Y82:$AB82,7)</x:f>
        <x:v>0</x:v>
      </x:c>
      <x:c r="F82" s="9" t="n">
        <x:f>SUMIFS('350配方'!$M82:$P82,'350配方'!$Y82:$AB82,11)</x:f>
        <x:v>0</x:v>
      </x:c>
      <x:c r="G82" s="9" t="n">
        <x:f>SUMIFS('350配方'!$M82:$P82,'350配方'!$Y82:$AB82,18)</x:f>
        <x:v>0</x:v>
      </x:c>
      <x:c r="H82" s="9" t="n">
        <x:f>SUMIFS('350配方'!$M82:$P82,'350配方'!$Y82:$AB82,32)</x:f>
        <x:v>0</x:v>
      </x:c>
      <x:c r="I82" s="9" t="n">
        <x:f>SUMIFS('350配方'!$M82:$P82,'350配方'!$Y82:$AB82,40)</x:f>
        <x:v>0</x:v>
      </x:c>
      <x:c r="J82" s="9" t="n">
        <x:f>SUMIFS('350配方'!$M82:$P82,'350配方'!$Y82:$AB82,52)</x:f>
        <x:v>0</x:v>
      </x:c>
      <x:c r="K82" s="9" t="n">
        <x:f>SUMIFS('350配方'!$M82:$P82,'350配方'!$Y82:$AB82,53)</x:f>
        <x:v>0</x:v>
      </x:c>
      <x:c r="L82" s="9" t="n">
        <x:f>SUMIFS('350配方'!$M82:$P82,'350配方'!$Y82:$AB82,56)</x:f>
        <x:v>0</x:v>
      </x:c>
      <x:c r="M82" s="9" t="n">
        <x:f>SUMIFS('350配方'!$M82:$P82,'350配方'!$Y82:$AB82,58)</x:f>
        <x:v>0</x:v>
      </x:c>
      <x:c r="N82" s="9" t="n">
        <x:f>SUMIFS('350配方'!$M82:$P82,'350配方'!$Y82:$AB82,61)</x:f>
        <x:v>0</x:v>
      </x:c>
      <x:c r="O82" s="9" t="n">
        <x:f>SUMIFS('350配方'!$M82:$P82,'350配方'!$Y82:$AB82,69)</x:f>
        <x:v>0</x:v>
      </x:c>
      <x:c r="P82" s="9" t="n">
        <x:f>SUMIFS('350配方'!$M82:$P82,'350配方'!$Y82:$AB82,75)</x:f>
        <x:v>0</x:v>
      </x:c>
      <x:c r="Q82" s="9" t="n">
        <x:f>SUMIFS('350配方'!$M82:$P82,'350配方'!$Y82:$AB82,79)</x:f>
        <x:v>0</x:v>
      </x:c>
      <x:c r="R82" s="9" t="n">
        <x:f>SUMIFS('350配方'!$M82:$P82,'350配方'!$Y82:$AB82,90)</x:f>
        <x:v>0</x:v>
      </x:c>
      <x:c r="S82" s="9" t="n">
        <x:f>SUMIFS('350配方'!$M82:$P82,'350配方'!$Y82:$AB82,105)</x:f>
        <x:v>0</x:v>
      </x:c>
      <x:c r="T82" s="9" t="n">
        <x:f>SUMIFS('350配方'!$M82:$P82,'350配方'!$Y82:$AB82,111)</x:f>
        <x:v>0</x:v>
      </x:c>
      <x:c r="U82" s="9" t="n">
        <x:f>SUMIFS('350配方'!$M82:$P82,'350配方'!$Y82:$AB82,114)</x:f>
        <x:v>0</x:v>
      </x:c>
      <x:c r="V82" s="9" t="n">
        <x:f>SUMIFS('350配方'!$M82:$P82,'350配方'!$Y82:$AB82,115)</x:f>
        <x:v>0</x:v>
      </x:c>
      <x:c r="W82" s="9" t="n">
        <x:f>SUMIFS('350配方'!$M82:$P82,'350配方'!$Y82:$AB82,117)</x:f>
        <x:v>0</x:v>
      </x:c>
      <x:c r="X82" s="9" t="n">
        <x:f>SUMIFS('350配方'!$M82:$P82,'350配方'!$Y82:$AB82,126)</x:f>
        <x:v>0</x:v>
      </x:c>
      <x:c r="Y82" s="9" t="n">
        <x:f>SUMIFS('350配方'!$M82:$P82,'350配方'!$Y82:$AB82,136)</x:f>
        <x:v>0</x:v>
      </x:c>
      <x:c r="Z82" s="9" t="n">
        <x:f>SUMIFS('350配方'!$M82:$P82,'350配方'!$Y82:$AB82,141)</x:f>
        <x:v>0</x:v>
      </x:c>
      <x:c r="AA82" s="9" t="n">
        <x:f>SUMIFS('350配方'!$M82:$P82,'350配方'!$Y82:$AB82,152)</x:f>
        <x:v>0</x:v>
      </x:c>
      <x:c r="AB82" s="9" t="n">
        <x:f>SUMIFS('350配方'!$M82:$P82,'350配方'!$Y82:$AB82,165)</x:f>
        <x:v>0</x:v>
      </x:c>
      <x:c r="AC82" s="9" t="n">
        <x:f>SUMIFS('350配方'!$M82:$P82,'350配方'!$Y82:$AB82,186)</x:f>
        <x:v>0</x:v>
      </x:c>
      <x:c r="AD82" s="9" t="n">
        <x:f>SUMIFS('350配方'!$M82:$P82,'350配方'!$Y82:$AB82,207)</x:f>
        <x:v>0</x:v>
      </x:c>
      <x:c r="AE82" s="9" t="n">
        <x:f>SUMIFS('350配方'!$M82:$P82,'350配方'!$Y82:$AB82,209)</x:f>
        <x:v>4201.44</x:v>
      </x:c>
      <x:c r="AF82" s="9" t="n">
        <x:f>SUMIFS('350配方'!$M82:$P82,'350配方'!$Y82:$AB82,227)</x:f>
        <x:v>0</x:v>
      </x:c>
      <x:c r="AG82" s="9" t="n">
        <x:f>SUMIFS('350配方'!$M82:$P82,'350配方'!$Y82:$AB82,232)</x:f>
        <x:v>0</x:v>
      </x:c>
      <x:c r="AH82" s="9" t="n">
        <x:f>SUMIFS('350配方'!$M82:$P82,'350配方'!$Y82:$AB82,255)</x:f>
        <x:v>0</x:v>
      </x:c>
      <x:c r="AI82" s="9" t="n">
        <x:f>'浓度设置'!S6</x:f>
        <x:v>219125.9626344086</x:v>
      </x:c>
      <x:c r="AJ82" s="9" t="n">
        <x:f>'浓度设置'!S8</x:f>
        <x:v>92796.92267241378</x:v>
      </x:c>
      <x:c r="AK82" s="9" t="n">
        <x:f>'浓度设置'!S10</x:f>
        <x:v>30556.797802197798</x:v>
      </x:c>
      <x:c r="AL82" s="9" t="n">
        <x:f>'浓度设置'!S12</x:f>
        <x:v>1735.828970588235</x:v>
      </x:c>
      <x:c r="AM82" s="9" t="n">
        <x:f>'浓度设置'!S15</x:f>
        <x:v>7385.813644067793</x:v>
      </x:c>
      <x:c r="AN82" s="9" t="n">
        <x:f>'浓度设置'!S19</x:f>
        <x:v>27722.03097701148</x:v>
      </x:c>
      <x:c r="AO82" s="9" t="n">
        <x:f>'浓度设置'!S22</x:f>
        <x:v>44345.55047619048</x:v>
      </x:c>
      <x:c r="AP82" s="9" t="n">
        <x:f>'浓度设置'!S26</x:f>
        <x:v>153318.30499999996</x:v>
      </x:c>
      <x:c r="AQ82" s="9" t="n">
        <x:f>'浓度设置'!S29</x:f>
        <x:v>312.7970588235294</x:v>
      </x:c>
      <x:c r="AR82" s="9" t="n">
        <x:f>'浓度设置'!S30</x:f>
        <x:v>104175.5097553192</x:v>
      </x:c>
      <x:c r="AS82" s="9" t="n">
        <x:f>'浓度设置'!S35</x:f>
        <x:v>405974.90656785714</x:v>
      </x:c>
    </x:row>
    <x:row r="83" ht="24" customHeight="1">
      <x:c r="A83" s="3" t="str">
        <x:f>'350配方'!A83</x:f>
        <x:v>T078</x:v>
      </x:c>
      <x:c r="B83" s="3" t="str">
        <x:f>'350配方'!B83</x:f>
        <x:v>拟合</x:v>
      </x:c>
      <x:c r="C83" s="3" t="n">
        <x:f>IF(B83="拟合",1,0)</x:f>
        <x:v>1</x:v>
      </x:c>
      <x:c r="D83" s="3" t="n">
        <x:f>'350配方'!AC83</x:f>
        <x:v>1</x:v>
      </x:c>
      <x:c r="E83" s="9" t="n">
        <x:f>SUMIFS('350配方'!$M83:$P83,'350配方'!$Y83:$AB83,7)</x:f>
        <x:v>0</x:v>
      </x:c>
      <x:c r="F83" s="9" t="n">
        <x:f>SUMIFS('350配方'!$M83:$P83,'350配方'!$Y83:$AB83,11)</x:f>
        <x:v>0</x:v>
      </x:c>
      <x:c r="G83" s="9" t="n">
        <x:f>SUMIFS('350配方'!$M83:$P83,'350配方'!$Y83:$AB83,18)</x:f>
        <x:v>0</x:v>
      </x:c>
      <x:c r="H83" s="9" t="n">
        <x:f>SUMIFS('350配方'!$M83:$P83,'350配方'!$Y83:$AB83,32)</x:f>
        <x:v>0</x:v>
      </x:c>
      <x:c r="I83" s="9" t="n">
        <x:f>SUMIFS('350配方'!$M83:$P83,'350配方'!$Y83:$AB83,40)</x:f>
        <x:v>0</x:v>
      </x:c>
      <x:c r="J83" s="9" t="n">
        <x:f>SUMIFS('350配方'!$M83:$P83,'350配方'!$Y83:$AB83,52)</x:f>
        <x:v>0</x:v>
      </x:c>
      <x:c r="K83" s="9" t="n">
        <x:f>SUMIFS('350配方'!$M83:$P83,'350配方'!$Y83:$AB83,53)</x:f>
        <x:v>0</x:v>
      </x:c>
      <x:c r="L83" s="9" t="n">
        <x:f>SUMIFS('350配方'!$M83:$P83,'350配方'!$Y83:$AB83,56)</x:f>
        <x:v>0</x:v>
      </x:c>
      <x:c r="M83" s="9" t="n">
        <x:f>SUMIFS('350配方'!$M83:$P83,'350配方'!$Y83:$AB83,58)</x:f>
        <x:v>0</x:v>
      </x:c>
      <x:c r="N83" s="9" t="n">
        <x:f>SUMIFS('350配方'!$M83:$P83,'350配方'!$Y83:$AB83,61)</x:f>
        <x:v>0</x:v>
      </x:c>
      <x:c r="O83" s="9" t="n">
        <x:f>SUMIFS('350配方'!$M83:$P83,'350配方'!$Y83:$AB83,69)</x:f>
        <x:v>0</x:v>
      </x:c>
      <x:c r="P83" s="9" t="n">
        <x:f>SUMIFS('350配方'!$M83:$P83,'350配方'!$Y83:$AB83,75)</x:f>
        <x:v>0</x:v>
      </x:c>
      <x:c r="Q83" s="9" t="n">
        <x:f>SUMIFS('350配方'!$M83:$P83,'350配方'!$Y83:$AB83,79)</x:f>
        <x:v>0</x:v>
      </x:c>
      <x:c r="R83" s="9" t="n">
        <x:f>SUMIFS('350配方'!$M83:$P83,'350配方'!$Y83:$AB83,90)</x:f>
        <x:v>0</x:v>
      </x:c>
      <x:c r="S83" s="9" t="n">
        <x:f>SUMIFS('350配方'!$M83:$P83,'350配方'!$Y83:$AB83,105)</x:f>
        <x:v>0</x:v>
      </x:c>
      <x:c r="T83" s="9" t="n">
        <x:f>SUMIFS('350配方'!$M83:$P83,'350配方'!$Y83:$AB83,111)</x:f>
        <x:v>0</x:v>
      </x:c>
      <x:c r="U83" s="9" t="n">
        <x:f>SUMIFS('350配方'!$M83:$P83,'350配方'!$Y83:$AB83,114)</x:f>
        <x:v>0</x:v>
      </x:c>
      <x:c r="V83" s="9" t="n">
        <x:f>SUMIFS('350配方'!$M83:$P83,'350配方'!$Y83:$AB83,115)</x:f>
        <x:v>0</x:v>
      </x:c>
      <x:c r="W83" s="9" t="n">
        <x:f>SUMIFS('350配方'!$M83:$P83,'350配方'!$Y83:$AB83,117)</x:f>
        <x:v>0</x:v>
      </x:c>
      <x:c r="X83" s="9" t="n">
        <x:f>SUMIFS('350配方'!$M83:$P83,'350配方'!$Y83:$AB83,126)</x:f>
        <x:v>0</x:v>
      </x:c>
      <x:c r="Y83" s="9" t="n">
        <x:f>SUMIFS('350配方'!$M83:$P83,'350配方'!$Y83:$AB83,136)</x:f>
        <x:v>0</x:v>
      </x:c>
      <x:c r="Z83" s="9" t="n">
        <x:f>SUMIFS('350配方'!$M83:$P83,'350配方'!$Y83:$AB83,141)</x:f>
        <x:v>0</x:v>
      </x:c>
      <x:c r="AA83" s="9" t="n">
        <x:f>SUMIFS('350配方'!$M83:$P83,'350配方'!$Y83:$AB83,152)</x:f>
        <x:v>0</x:v>
      </x:c>
      <x:c r="AB83" s="9" t="n">
        <x:f>SUMIFS('350配方'!$M83:$P83,'350配方'!$Y83:$AB83,165)</x:f>
        <x:v>0</x:v>
      </x:c>
      <x:c r="AC83" s="9" t="n">
        <x:f>SUMIFS('350配方'!$M83:$P83,'350配方'!$Y83:$AB83,186)</x:f>
        <x:v>0</x:v>
      </x:c>
      <x:c r="AD83" s="9" t="n">
        <x:f>SUMIFS('350配方'!$M83:$P83,'350配方'!$Y83:$AB83,207)</x:f>
        <x:v>0</x:v>
      </x:c>
      <x:c r="AE83" s="9" t="n">
        <x:f>SUMIFS('350配方'!$M83:$P83,'350配方'!$Y83:$AB83,209)</x:f>
        <x:v>0</x:v>
      </x:c>
      <x:c r="AF83" s="9" t="n">
        <x:f>SUMIFS('350配方'!$M83:$P83,'350配方'!$Y83:$AB83,227)</x:f>
        <x:v>2.5</x:v>
      </x:c>
      <x:c r="AG83" s="9" t="n">
        <x:f>SUMIFS('350配方'!$M83:$P83,'350配方'!$Y83:$AB83,232)</x:f>
        <x:v>0</x:v>
      </x:c>
      <x:c r="AH83" s="9" t="n">
        <x:f>SUMIFS('350配方'!$M83:$P83,'350配方'!$Y83:$AB83,255)</x:f>
        <x:v>0</x:v>
      </x:c>
      <x:c r="AI83" s="9" t="n">
        <x:f>'浓度设置'!S6</x:f>
        <x:v>219125.9626344086</x:v>
      </x:c>
      <x:c r="AJ83" s="9" t="n">
        <x:f>'浓度设置'!S8</x:f>
        <x:v>92796.92267241378</x:v>
      </x:c>
      <x:c r="AK83" s="9" t="n">
        <x:f>'浓度设置'!S10</x:f>
        <x:v>30556.797802197798</x:v>
      </x:c>
      <x:c r="AL83" s="9" t="n">
        <x:f>'浓度设置'!S12</x:f>
        <x:v>1735.828970588235</x:v>
      </x:c>
      <x:c r="AM83" s="9" t="n">
        <x:f>'浓度设置'!S15</x:f>
        <x:v>7385.813644067793</x:v>
      </x:c>
      <x:c r="AN83" s="9" t="n">
        <x:f>'浓度设置'!S19</x:f>
        <x:v>27722.03097701148</x:v>
      </x:c>
      <x:c r="AO83" s="9" t="n">
        <x:f>'浓度设置'!S22</x:f>
        <x:v>44345.55047619048</x:v>
      </x:c>
      <x:c r="AP83" s="9" t="n">
        <x:f>'浓度设置'!S26</x:f>
        <x:v>153318.30499999996</x:v>
      </x:c>
      <x:c r="AQ83" s="9" t="n">
        <x:f>'浓度设置'!S29</x:f>
        <x:v>312.7970588235294</x:v>
      </x:c>
      <x:c r="AR83" s="9" t="n">
        <x:f>'浓度设置'!S30</x:f>
        <x:v>104175.5097553192</x:v>
      </x:c>
      <x:c r="AS83" s="9" t="n">
        <x:f>'浓度设置'!S35</x:f>
        <x:v>405974.90656785714</x:v>
      </x:c>
    </x:row>
    <x:row r="84" ht="24" customHeight="1">
      <x:c r="A84" s="3" t="str">
        <x:f>'350配方'!A84</x:f>
        <x:v>T079</x:v>
      </x:c>
      <x:c r="B84" s="3" t="str">
        <x:f>'350配方'!B84</x:f>
        <x:v>拟合</x:v>
      </x:c>
      <x:c r="C84" s="3" t="n">
        <x:f>IF(B84="拟合",1,0)</x:f>
        <x:v>1</x:v>
      </x:c>
      <x:c r="D84" s="3" t="n">
        <x:f>'350配方'!AC84</x:f>
        <x:v>1</x:v>
      </x:c>
      <x:c r="E84" s="9" t="n">
        <x:f>SUMIFS('350配方'!$M84:$P84,'350配方'!$Y84:$AB84,7)</x:f>
        <x:v>0</x:v>
      </x:c>
      <x:c r="F84" s="9" t="n">
        <x:f>SUMIFS('350配方'!$M84:$P84,'350配方'!$Y84:$AB84,11)</x:f>
        <x:v>0</x:v>
      </x:c>
      <x:c r="G84" s="9" t="n">
        <x:f>SUMIFS('350配方'!$M84:$P84,'350配方'!$Y84:$AB84,18)</x:f>
        <x:v>0</x:v>
      </x:c>
      <x:c r="H84" s="9" t="n">
        <x:f>SUMIFS('350配方'!$M84:$P84,'350配方'!$Y84:$AB84,32)</x:f>
        <x:v>0</x:v>
      </x:c>
      <x:c r="I84" s="9" t="n">
        <x:f>SUMIFS('350配方'!$M84:$P84,'350配方'!$Y84:$AB84,40)</x:f>
        <x:v>0</x:v>
      </x:c>
      <x:c r="J84" s="9" t="n">
        <x:f>SUMIFS('350配方'!$M84:$P84,'350配方'!$Y84:$AB84,52)</x:f>
        <x:v>0</x:v>
      </x:c>
      <x:c r="K84" s="9" t="n">
        <x:f>SUMIFS('350配方'!$M84:$P84,'350配方'!$Y84:$AB84,53)</x:f>
        <x:v>0</x:v>
      </x:c>
      <x:c r="L84" s="9" t="n">
        <x:f>SUMIFS('350配方'!$M84:$P84,'350配方'!$Y84:$AB84,56)</x:f>
        <x:v>0</x:v>
      </x:c>
      <x:c r="M84" s="9" t="n">
        <x:f>SUMIFS('350配方'!$M84:$P84,'350配方'!$Y84:$AB84,58)</x:f>
        <x:v>0</x:v>
      </x:c>
      <x:c r="N84" s="9" t="n">
        <x:f>SUMIFS('350配方'!$M84:$P84,'350配方'!$Y84:$AB84,61)</x:f>
        <x:v>0</x:v>
      </x:c>
      <x:c r="O84" s="9" t="n">
        <x:f>SUMIFS('350配方'!$M84:$P84,'350配方'!$Y84:$AB84,69)</x:f>
        <x:v>0</x:v>
      </x:c>
      <x:c r="P84" s="9" t="n">
        <x:f>SUMIFS('350配方'!$M84:$P84,'350配方'!$Y84:$AB84,75)</x:f>
        <x:v>0</x:v>
      </x:c>
      <x:c r="Q84" s="9" t="n">
        <x:f>SUMIFS('350配方'!$M84:$P84,'350配方'!$Y84:$AB84,79)</x:f>
        <x:v>0</x:v>
      </x:c>
      <x:c r="R84" s="9" t="n">
        <x:f>SUMIFS('350配方'!$M84:$P84,'350配方'!$Y84:$AB84,90)</x:f>
        <x:v>0</x:v>
      </x:c>
      <x:c r="S84" s="9" t="n">
        <x:f>SUMIFS('350配方'!$M84:$P84,'350配方'!$Y84:$AB84,105)</x:f>
        <x:v>0</x:v>
      </x:c>
      <x:c r="T84" s="9" t="n">
        <x:f>SUMIFS('350配方'!$M84:$P84,'350配方'!$Y84:$AB84,111)</x:f>
        <x:v>0</x:v>
      </x:c>
      <x:c r="U84" s="9" t="n">
        <x:f>SUMIFS('350配方'!$M84:$P84,'350配方'!$Y84:$AB84,114)</x:f>
        <x:v>0</x:v>
      </x:c>
      <x:c r="V84" s="9" t="n">
        <x:f>SUMIFS('350配方'!$M84:$P84,'350配方'!$Y84:$AB84,115)</x:f>
        <x:v>0</x:v>
      </x:c>
      <x:c r="W84" s="9" t="n">
        <x:f>SUMIFS('350配方'!$M84:$P84,'350配方'!$Y84:$AB84,117)</x:f>
        <x:v>0</x:v>
      </x:c>
      <x:c r="X84" s="9" t="n">
        <x:f>SUMIFS('350配方'!$M84:$P84,'350配方'!$Y84:$AB84,126)</x:f>
        <x:v>0</x:v>
      </x:c>
      <x:c r="Y84" s="9" t="n">
        <x:f>SUMIFS('350配方'!$M84:$P84,'350配方'!$Y84:$AB84,136)</x:f>
        <x:v>0</x:v>
      </x:c>
      <x:c r="Z84" s="9" t="n">
        <x:f>SUMIFS('350配方'!$M84:$P84,'350配方'!$Y84:$AB84,141)</x:f>
        <x:v>0</x:v>
      </x:c>
      <x:c r="AA84" s="9" t="n">
        <x:f>SUMIFS('350配方'!$M84:$P84,'350配方'!$Y84:$AB84,152)</x:f>
        <x:v>0</x:v>
      </x:c>
      <x:c r="AB84" s="9" t="n">
        <x:f>SUMIFS('350配方'!$M84:$P84,'350配方'!$Y84:$AB84,165)</x:f>
        <x:v>0</x:v>
      </x:c>
      <x:c r="AC84" s="9" t="n">
        <x:f>SUMIFS('350配方'!$M84:$P84,'350配方'!$Y84:$AB84,186)</x:f>
        <x:v>0</x:v>
      </x:c>
      <x:c r="AD84" s="9" t="n">
        <x:f>SUMIFS('350配方'!$M84:$P84,'350配方'!$Y84:$AB84,207)</x:f>
        <x:v>0</x:v>
      </x:c>
      <x:c r="AE84" s="9" t="n">
        <x:f>SUMIFS('350配方'!$M84:$P84,'350配方'!$Y84:$AB84,209)</x:f>
        <x:v>0</x:v>
      </x:c>
      <x:c r="AF84" s="9" t="n">
        <x:f>SUMIFS('350配方'!$M84:$P84,'350配方'!$Y84:$AB84,227)</x:f>
        <x:v>695.986709643223</x:v>
      </x:c>
      <x:c r="AG84" s="9" t="n">
        <x:f>SUMIFS('350配方'!$M84:$P84,'350配方'!$Y84:$AB84,232)</x:f>
        <x:v>0</x:v>
      </x:c>
      <x:c r="AH84" s="9" t="n">
        <x:f>SUMIFS('350配方'!$M84:$P84,'350配方'!$Y84:$AB84,255)</x:f>
        <x:v>0</x:v>
      </x:c>
      <x:c r="AI84" s="9" t="n">
        <x:f>'浓度设置'!S6</x:f>
        <x:v>219125.9626344086</x:v>
      </x:c>
      <x:c r="AJ84" s="9" t="n">
        <x:f>'浓度设置'!S8</x:f>
        <x:v>92796.92267241378</x:v>
      </x:c>
      <x:c r="AK84" s="9" t="n">
        <x:f>'浓度设置'!S10</x:f>
        <x:v>30556.797802197798</x:v>
      </x:c>
      <x:c r="AL84" s="9" t="n">
        <x:f>'浓度设置'!S12</x:f>
        <x:v>1735.828970588235</x:v>
      </x:c>
      <x:c r="AM84" s="9" t="n">
        <x:f>'浓度设置'!S15</x:f>
        <x:v>7385.813644067793</x:v>
      </x:c>
      <x:c r="AN84" s="9" t="n">
        <x:f>'浓度设置'!S19</x:f>
        <x:v>27722.03097701148</x:v>
      </x:c>
      <x:c r="AO84" s="9" t="n">
        <x:f>'浓度设置'!S22</x:f>
        <x:v>44345.55047619048</x:v>
      </x:c>
      <x:c r="AP84" s="9" t="n">
        <x:f>'浓度设置'!S26</x:f>
        <x:v>153318.30499999996</x:v>
      </x:c>
      <x:c r="AQ84" s="9" t="n">
        <x:f>'浓度设置'!S29</x:f>
        <x:v>312.7970588235294</x:v>
      </x:c>
      <x:c r="AR84" s="9" t="n">
        <x:f>'浓度设置'!S30</x:f>
        <x:v>104175.5097553192</x:v>
      </x:c>
      <x:c r="AS84" s="9" t="n">
        <x:f>'浓度设置'!S35</x:f>
        <x:v>405974.90656785714</x:v>
      </x:c>
    </x:row>
    <x:row r="85" ht="24" customHeight="1">
      <x:c r="A85" s="3" t="str">
        <x:f>'350配方'!A85</x:f>
        <x:v>T080</x:v>
      </x:c>
      <x:c r="B85" s="3" t="str">
        <x:f>'350配方'!B85</x:f>
        <x:v>拟合</x:v>
      </x:c>
      <x:c r="C85" s="3" t="n">
        <x:f>IF(B85="拟合",1,0)</x:f>
        <x:v>1</x:v>
      </x:c>
      <x:c r="D85" s="3" t="n">
        <x:f>'350配方'!AC85</x:f>
        <x:v>1</x:v>
      </x:c>
      <x:c r="E85" s="9" t="n">
        <x:f>SUMIFS('350配方'!$M85:$P85,'350配方'!$Y85:$AB85,7)</x:f>
        <x:v>0</x:v>
      </x:c>
      <x:c r="F85" s="9" t="n">
        <x:f>SUMIFS('350配方'!$M85:$P85,'350配方'!$Y85:$AB85,11)</x:f>
        <x:v>0</x:v>
      </x:c>
      <x:c r="G85" s="9" t="n">
        <x:f>SUMIFS('350配方'!$M85:$P85,'350配方'!$Y85:$AB85,18)</x:f>
        <x:v>0</x:v>
      </x:c>
      <x:c r="H85" s="9" t="n">
        <x:f>SUMIFS('350配方'!$M85:$P85,'350配方'!$Y85:$AB85,32)</x:f>
        <x:v>0</x:v>
      </x:c>
      <x:c r="I85" s="9" t="n">
        <x:f>SUMIFS('350配方'!$M85:$P85,'350配方'!$Y85:$AB85,40)</x:f>
        <x:v>0</x:v>
      </x:c>
      <x:c r="J85" s="9" t="n">
        <x:f>SUMIFS('350配方'!$M85:$P85,'350配方'!$Y85:$AB85,52)</x:f>
        <x:v>0</x:v>
      </x:c>
      <x:c r="K85" s="9" t="n">
        <x:f>SUMIFS('350配方'!$M85:$P85,'350配方'!$Y85:$AB85,53)</x:f>
        <x:v>0</x:v>
      </x:c>
      <x:c r="L85" s="9" t="n">
        <x:f>SUMIFS('350配方'!$M85:$P85,'350配方'!$Y85:$AB85,56)</x:f>
        <x:v>0</x:v>
      </x:c>
      <x:c r="M85" s="9" t="n">
        <x:f>SUMIFS('350配方'!$M85:$P85,'350配方'!$Y85:$AB85,58)</x:f>
        <x:v>0</x:v>
      </x:c>
      <x:c r="N85" s="9" t="n">
        <x:f>SUMIFS('350配方'!$M85:$P85,'350配方'!$Y85:$AB85,61)</x:f>
        <x:v>0</x:v>
      </x:c>
      <x:c r="O85" s="9" t="n">
        <x:f>SUMIFS('350配方'!$M85:$P85,'350配方'!$Y85:$AB85,69)</x:f>
        <x:v>0</x:v>
      </x:c>
      <x:c r="P85" s="9" t="n">
        <x:f>SUMIFS('350配方'!$M85:$P85,'350配方'!$Y85:$AB85,75)</x:f>
        <x:v>0</x:v>
      </x:c>
      <x:c r="Q85" s="9" t="n">
        <x:f>SUMIFS('350配方'!$M85:$P85,'350配方'!$Y85:$AB85,79)</x:f>
        <x:v>0</x:v>
      </x:c>
      <x:c r="R85" s="9" t="n">
        <x:f>SUMIFS('350配方'!$M85:$P85,'350配方'!$Y85:$AB85,90)</x:f>
        <x:v>0</x:v>
      </x:c>
      <x:c r="S85" s="9" t="n">
        <x:f>SUMIFS('350配方'!$M85:$P85,'350配方'!$Y85:$AB85,105)</x:f>
        <x:v>0</x:v>
      </x:c>
      <x:c r="T85" s="9" t="n">
        <x:f>SUMIFS('350配方'!$M85:$P85,'350配方'!$Y85:$AB85,111)</x:f>
        <x:v>0</x:v>
      </x:c>
      <x:c r="U85" s="9" t="n">
        <x:f>SUMIFS('350配方'!$M85:$P85,'350配方'!$Y85:$AB85,114)</x:f>
        <x:v>0</x:v>
      </x:c>
      <x:c r="V85" s="9" t="n">
        <x:f>SUMIFS('350配方'!$M85:$P85,'350配方'!$Y85:$AB85,115)</x:f>
        <x:v>0</x:v>
      </x:c>
      <x:c r="W85" s="9" t="n">
        <x:f>SUMIFS('350配方'!$M85:$P85,'350配方'!$Y85:$AB85,117)</x:f>
        <x:v>0</x:v>
      </x:c>
      <x:c r="X85" s="9" t="n">
        <x:f>SUMIFS('350配方'!$M85:$P85,'350配方'!$Y85:$AB85,126)</x:f>
        <x:v>0</x:v>
      </x:c>
      <x:c r="Y85" s="9" t="n">
        <x:f>SUMIFS('350配方'!$M85:$P85,'350配方'!$Y85:$AB85,136)</x:f>
        <x:v>0</x:v>
      </x:c>
      <x:c r="Z85" s="9" t="n">
        <x:f>SUMIFS('350配方'!$M85:$P85,'350配方'!$Y85:$AB85,141)</x:f>
        <x:v>0</x:v>
      </x:c>
      <x:c r="AA85" s="9" t="n">
        <x:f>SUMIFS('350配方'!$M85:$P85,'350配方'!$Y85:$AB85,152)</x:f>
        <x:v>0</x:v>
      </x:c>
      <x:c r="AB85" s="9" t="n">
        <x:f>SUMIFS('350配方'!$M85:$P85,'350配方'!$Y85:$AB85,165)</x:f>
        <x:v>0</x:v>
      </x:c>
      <x:c r="AC85" s="9" t="n">
        <x:f>SUMIFS('350配方'!$M85:$P85,'350配方'!$Y85:$AB85,186)</x:f>
        <x:v>0</x:v>
      </x:c>
      <x:c r="AD85" s="9" t="n">
        <x:f>SUMIFS('350配方'!$M85:$P85,'350配方'!$Y85:$AB85,207)</x:f>
        <x:v>0</x:v>
      </x:c>
      <x:c r="AE85" s="9" t="n">
        <x:f>SUMIFS('350配方'!$M85:$P85,'350配方'!$Y85:$AB85,209)</x:f>
        <x:v>0</x:v>
      </x:c>
      <x:c r="AF85" s="9" t="n">
        <x:f>SUMIFS('350配方'!$M85:$P85,'350配方'!$Y85:$AB85,227)</x:f>
        <x:v>193759</x:v>
      </x:c>
      <x:c r="AG85" s="9" t="n">
        <x:f>SUMIFS('350配方'!$M85:$P85,'350配方'!$Y85:$AB85,232)</x:f>
        <x:v>0</x:v>
      </x:c>
      <x:c r="AH85" s="9" t="n">
        <x:f>SUMIFS('350配方'!$M85:$P85,'350配方'!$Y85:$AB85,255)</x:f>
        <x:v>0</x:v>
      </x:c>
      <x:c r="AI85" s="9" t="n">
        <x:f>'浓度设置'!S6</x:f>
        <x:v>219125.9626344086</x:v>
      </x:c>
      <x:c r="AJ85" s="9" t="n">
        <x:f>'浓度设置'!S8</x:f>
        <x:v>92796.92267241378</x:v>
      </x:c>
      <x:c r="AK85" s="9" t="n">
        <x:f>'浓度设置'!S10</x:f>
        <x:v>30556.797802197798</x:v>
      </x:c>
      <x:c r="AL85" s="9" t="n">
        <x:f>'浓度设置'!S12</x:f>
        <x:v>1735.828970588235</x:v>
      </x:c>
      <x:c r="AM85" s="9" t="n">
        <x:f>'浓度设置'!S15</x:f>
        <x:v>7385.813644067793</x:v>
      </x:c>
      <x:c r="AN85" s="9" t="n">
        <x:f>'浓度设置'!S19</x:f>
        <x:v>27722.03097701148</x:v>
      </x:c>
      <x:c r="AO85" s="9" t="n">
        <x:f>'浓度设置'!S22</x:f>
        <x:v>44345.55047619048</x:v>
      </x:c>
      <x:c r="AP85" s="9" t="n">
        <x:f>'浓度设置'!S26</x:f>
        <x:v>153318.30499999996</x:v>
      </x:c>
      <x:c r="AQ85" s="9" t="n">
        <x:f>'浓度设置'!S29</x:f>
        <x:v>312.7970588235294</x:v>
      </x:c>
      <x:c r="AR85" s="9" t="n">
        <x:f>'浓度设置'!S30</x:f>
        <x:v>104175.5097553192</x:v>
      </x:c>
      <x:c r="AS85" s="9" t="n">
        <x:f>'浓度设置'!S35</x:f>
        <x:v>405974.90656785714</x:v>
      </x:c>
    </x:row>
    <x:row r="86" ht="24" customHeight="1">
      <x:c r="A86" s="3" t="str">
        <x:f>'350配方'!A86</x:f>
        <x:v>T081</x:v>
      </x:c>
      <x:c r="B86" s="3" t="str">
        <x:f>'350配方'!B86</x:f>
        <x:v>拟合</x:v>
      </x:c>
      <x:c r="C86" s="3" t="n">
        <x:f>IF(B86="拟合",1,0)</x:f>
        <x:v>1</x:v>
      </x:c>
      <x:c r="D86" s="3" t="n">
        <x:f>'350配方'!AC86</x:f>
        <x:v>1</x:v>
      </x:c>
      <x:c r="E86" s="9" t="n">
        <x:f>SUMIFS('350配方'!$M86:$P86,'350配方'!$Y86:$AB86,7)</x:f>
        <x:v>0</x:v>
      </x:c>
      <x:c r="F86" s="9" t="n">
        <x:f>SUMIFS('350配方'!$M86:$P86,'350配方'!$Y86:$AB86,11)</x:f>
        <x:v>0</x:v>
      </x:c>
      <x:c r="G86" s="9" t="n">
        <x:f>SUMIFS('350配方'!$M86:$P86,'350配方'!$Y86:$AB86,18)</x:f>
        <x:v>0</x:v>
      </x:c>
      <x:c r="H86" s="9" t="n">
        <x:f>SUMIFS('350配方'!$M86:$P86,'350配方'!$Y86:$AB86,32)</x:f>
        <x:v>0</x:v>
      </x:c>
      <x:c r="I86" s="9" t="n">
        <x:f>SUMIFS('350配方'!$M86:$P86,'350配方'!$Y86:$AB86,40)</x:f>
        <x:v>0</x:v>
      </x:c>
      <x:c r="J86" s="9" t="n">
        <x:f>SUMIFS('350配方'!$M86:$P86,'350配方'!$Y86:$AB86,52)</x:f>
        <x:v>0</x:v>
      </x:c>
      <x:c r="K86" s="9" t="n">
        <x:f>SUMIFS('350配方'!$M86:$P86,'350配方'!$Y86:$AB86,53)</x:f>
        <x:v>0</x:v>
      </x:c>
      <x:c r="L86" s="9" t="n">
        <x:f>SUMIFS('350配方'!$M86:$P86,'350配方'!$Y86:$AB86,56)</x:f>
        <x:v>0</x:v>
      </x:c>
      <x:c r="M86" s="9" t="n">
        <x:f>SUMIFS('350配方'!$M86:$P86,'350配方'!$Y86:$AB86,58)</x:f>
        <x:v>0</x:v>
      </x:c>
      <x:c r="N86" s="9" t="n">
        <x:f>SUMIFS('350配方'!$M86:$P86,'350配方'!$Y86:$AB86,61)</x:f>
        <x:v>0</x:v>
      </x:c>
      <x:c r="O86" s="9" t="n">
        <x:f>SUMIFS('350配方'!$M86:$P86,'350配方'!$Y86:$AB86,69)</x:f>
        <x:v>0</x:v>
      </x:c>
      <x:c r="P86" s="9" t="n">
        <x:f>SUMIFS('350配方'!$M86:$P86,'350配方'!$Y86:$AB86,75)</x:f>
        <x:v>0</x:v>
      </x:c>
      <x:c r="Q86" s="9" t="n">
        <x:f>SUMIFS('350配方'!$M86:$P86,'350配方'!$Y86:$AB86,79)</x:f>
        <x:v>0</x:v>
      </x:c>
      <x:c r="R86" s="9" t="n">
        <x:f>SUMIFS('350配方'!$M86:$P86,'350配方'!$Y86:$AB86,90)</x:f>
        <x:v>0</x:v>
      </x:c>
      <x:c r="S86" s="9" t="n">
        <x:f>SUMIFS('350配方'!$M86:$P86,'350配方'!$Y86:$AB86,105)</x:f>
        <x:v>0</x:v>
      </x:c>
      <x:c r="T86" s="9" t="n">
        <x:f>SUMIFS('350配方'!$M86:$P86,'350配方'!$Y86:$AB86,111)</x:f>
        <x:v>0</x:v>
      </x:c>
      <x:c r="U86" s="9" t="n">
        <x:f>SUMIFS('350配方'!$M86:$P86,'350配方'!$Y86:$AB86,114)</x:f>
        <x:v>0</x:v>
      </x:c>
      <x:c r="V86" s="9" t="n">
        <x:f>SUMIFS('350配方'!$M86:$P86,'350配方'!$Y86:$AB86,115)</x:f>
        <x:v>0</x:v>
      </x:c>
      <x:c r="W86" s="9" t="n">
        <x:f>SUMIFS('350配方'!$M86:$P86,'350配方'!$Y86:$AB86,117)</x:f>
        <x:v>0</x:v>
      </x:c>
      <x:c r="X86" s="9" t="n">
        <x:f>SUMIFS('350配方'!$M86:$P86,'350配方'!$Y86:$AB86,126)</x:f>
        <x:v>0</x:v>
      </x:c>
      <x:c r="Y86" s="9" t="n">
        <x:f>SUMIFS('350配方'!$M86:$P86,'350配方'!$Y86:$AB86,136)</x:f>
        <x:v>0</x:v>
      </x:c>
      <x:c r="Z86" s="9" t="n">
        <x:f>SUMIFS('350配方'!$M86:$P86,'350配方'!$Y86:$AB86,141)</x:f>
        <x:v>0</x:v>
      </x:c>
      <x:c r="AA86" s="9" t="n">
        <x:f>SUMIFS('350配方'!$M86:$P86,'350配方'!$Y86:$AB86,152)</x:f>
        <x:v>0</x:v>
      </x:c>
      <x:c r="AB86" s="9" t="n">
        <x:f>SUMIFS('350配方'!$M86:$P86,'350配方'!$Y86:$AB86,165)</x:f>
        <x:v>0</x:v>
      </x:c>
      <x:c r="AC86" s="9" t="n">
        <x:f>SUMIFS('350配方'!$M86:$P86,'350配方'!$Y86:$AB86,186)</x:f>
        <x:v>0</x:v>
      </x:c>
      <x:c r="AD86" s="9" t="n">
        <x:f>SUMIFS('350配方'!$M86:$P86,'350配方'!$Y86:$AB86,207)</x:f>
        <x:v>0</x:v>
      </x:c>
      <x:c r="AE86" s="9" t="n">
        <x:f>SUMIFS('350配方'!$M86:$P86,'350配方'!$Y86:$AB86,209)</x:f>
        <x:v>0</x:v>
      </x:c>
      <x:c r="AF86" s="9" t="n">
        <x:f>SUMIFS('350配方'!$M86:$P86,'350配方'!$Y86:$AB86,227)</x:f>
        <x:v>0</x:v>
      </x:c>
      <x:c r="AG86" s="9" t="n">
        <x:f>SUMIFS('350配方'!$M86:$P86,'350配方'!$Y86:$AB86,232)</x:f>
        <x:v>0.97</x:v>
      </x:c>
      <x:c r="AH86" s="9" t="n">
        <x:f>SUMIFS('350配方'!$M86:$P86,'350配方'!$Y86:$AB86,255)</x:f>
        <x:v>0</x:v>
      </x:c>
      <x:c r="AI86" s="9" t="n">
        <x:f>'浓度设置'!S6</x:f>
        <x:v>219125.9626344086</x:v>
      </x:c>
      <x:c r="AJ86" s="9" t="n">
        <x:f>'浓度设置'!S8</x:f>
        <x:v>92796.92267241378</x:v>
      </x:c>
      <x:c r="AK86" s="9" t="n">
        <x:f>'浓度设置'!S10</x:f>
        <x:v>30556.797802197798</x:v>
      </x:c>
      <x:c r="AL86" s="9" t="n">
        <x:f>'浓度设置'!S12</x:f>
        <x:v>1735.828970588235</x:v>
      </x:c>
      <x:c r="AM86" s="9" t="n">
        <x:f>'浓度设置'!S15</x:f>
        <x:v>7385.813644067793</x:v>
      </x:c>
      <x:c r="AN86" s="9" t="n">
        <x:f>'浓度设置'!S19</x:f>
        <x:v>27722.03097701148</x:v>
      </x:c>
      <x:c r="AO86" s="9" t="n">
        <x:f>'浓度设置'!S22</x:f>
        <x:v>44345.55047619048</x:v>
      </x:c>
      <x:c r="AP86" s="9" t="n">
        <x:f>'浓度设置'!S26</x:f>
        <x:v>153318.30499999996</x:v>
      </x:c>
      <x:c r="AQ86" s="9" t="n">
        <x:f>'浓度设置'!S29</x:f>
        <x:v>312.7970588235294</x:v>
      </x:c>
      <x:c r="AR86" s="9" t="n">
        <x:f>'浓度设置'!S30</x:f>
        <x:v>104175.5097553192</x:v>
      </x:c>
      <x:c r="AS86" s="9" t="n">
        <x:f>'浓度设置'!S35</x:f>
        <x:v>405974.90656785714</x:v>
      </x:c>
    </x:row>
    <x:row r="87" ht="24" customHeight="1">
      <x:c r="A87" s="3" t="str">
        <x:f>'350配方'!A87</x:f>
        <x:v>T082</x:v>
      </x:c>
      <x:c r="B87" s="3" t="str">
        <x:f>'350配方'!B87</x:f>
        <x:v>拟合</x:v>
      </x:c>
      <x:c r="C87" s="3" t="n">
        <x:f>IF(B87="拟合",1,0)</x:f>
        <x:v>1</x:v>
      </x:c>
      <x:c r="D87" s="3" t="n">
        <x:f>'350配方'!AC87</x:f>
        <x:v>1</x:v>
      </x:c>
      <x:c r="E87" s="9" t="n">
        <x:f>SUMIFS('350配方'!$M87:$P87,'350配方'!$Y87:$AB87,7)</x:f>
        <x:v>0</x:v>
      </x:c>
      <x:c r="F87" s="9" t="n">
        <x:f>SUMIFS('350配方'!$M87:$P87,'350配方'!$Y87:$AB87,11)</x:f>
        <x:v>0</x:v>
      </x:c>
      <x:c r="G87" s="9" t="n">
        <x:f>SUMIFS('350配方'!$M87:$P87,'350配方'!$Y87:$AB87,18)</x:f>
        <x:v>0</x:v>
      </x:c>
      <x:c r="H87" s="9" t="n">
        <x:f>SUMIFS('350配方'!$M87:$P87,'350配方'!$Y87:$AB87,32)</x:f>
        <x:v>0</x:v>
      </x:c>
      <x:c r="I87" s="9" t="n">
        <x:f>SUMIFS('350配方'!$M87:$P87,'350配方'!$Y87:$AB87,40)</x:f>
        <x:v>0</x:v>
      </x:c>
      <x:c r="J87" s="9" t="n">
        <x:f>SUMIFS('350配方'!$M87:$P87,'350配方'!$Y87:$AB87,52)</x:f>
        <x:v>0</x:v>
      </x:c>
      <x:c r="K87" s="9" t="n">
        <x:f>SUMIFS('350配方'!$M87:$P87,'350配方'!$Y87:$AB87,53)</x:f>
        <x:v>0</x:v>
      </x:c>
      <x:c r="L87" s="9" t="n">
        <x:f>SUMIFS('350配方'!$M87:$P87,'350配方'!$Y87:$AB87,56)</x:f>
        <x:v>0</x:v>
      </x:c>
      <x:c r="M87" s="9" t="n">
        <x:f>SUMIFS('350配方'!$M87:$P87,'350配方'!$Y87:$AB87,58)</x:f>
        <x:v>0</x:v>
      </x:c>
      <x:c r="N87" s="9" t="n">
        <x:f>SUMIFS('350配方'!$M87:$P87,'350配方'!$Y87:$AB87,61)</x:f>
        <x:v>0</x:v>
      </x:c>
      <x:c r="O87" s="9" t="n">
        <x:f>SUMIFS('350配方'!$M87:$P87,'350配方'!$Y87:$AB87,69)</x:f>
        <x:v>0</x:v>
      </x:c>
      <x:c r="P87" s="9" t="n">
        <x:f>SUMIFS('350配方'!$M87:$P87,'350配方'!$Y87:$AB87,75)</x:f>
        <x:v>0</x:v>
      </x:c>
      <x:c r="Q87" s="9" t="n">
        <x:f>SUMIFS('350配方'!$M87:$P87,'350配方'!$Y87:$AB87,79)</x:f>
        <x:v>0</x:v>
      </x:c>
      <x:c r="R87" s="9" t="n">
        <x:f>SUMIFS('350配方'!$M87:$P87,'350配方'!$Y87:$AB87,90)</x:f>
        <x:v>0</x:v>
      </x:c>
      <x:c r="S87" s="9" t="n">
        <x:f>SUMIFS('350配方'!$M87:$P87,'350配方'!$Y87:$AB87,105)</x:f>
        <x:v>0</x:v>
      </x:c>
      <x:c r="T87" s="9" t="n">
        <x:f>SUMIFS('350配方'!$M87:$P87,'350配方'!$Y87:$AB87,111)</x:f>
        <x:v>0</x:v>
      </x:c>
      <x:c r="U87" s="9" t="n">
        <x:f>SUMIFS('350配方'!$M87:$P87,'350配方'!$Y87:$AB87,114)</x:f>
        <x:v>0</x:v>
      </x:c>
      <x:c r="V87" s="9" t="n">
        <x:f>SUMIFS('350配方'!$M87:$P87,'350配方'!$Y87:$AB87,115)</x:f>
        <x:v>0</x:v>
      </x:c>
      <x:c r="W87" s="9" t="n">
        <x:f>SUMIFS('350配方'!$M87:$P87,'350配方'!$Y87:$AB87,117)</x:f>
        <x:v>0</x:v>
      </x:c>
      <x:c r="X87" s="9" t="n">
        <x:f>SUMIFS('350配方'!$M87:$P87,'350配方'!$Y87:$AB87,126)</x:f>
        <x:v>0</x:v>
      </x:c>
      <x:c r="Y87" s="9" t="n">
        <x:f>SUMIFS('350配方'!$M87:$P87,'350配方'!$Y87:$AB87,136)</x:f>
        <x:v>0</x:v>
      </x:c>
      <x:c r="Z87" s="9" t="n">
        <x:f>SUMIFS('350配方'!$M87:$P87,'350配方'!$Y87:$AB87,141)</x:f>
        <x:v>0</x:v>
      </x:c>
      <x:c r="AA87" s="9" t="n">
        <x:f>SUMIFS('350配方'!$M87:$P87,'350配方'!$Y87:$AB87,152)</x:f>
        <x:v>0</x:v>
      </x:c>
      <x:c r="AB87" s="9" t="n">
        <x:f>SUMIFS('350配方'!$M87:$P87,'350配方'!$Y87:$AB87,165)</x:f>
        <x:v>0</x:v>
      </x:c>
      <x:c r="AC87" s="9" t="n">
        <x:f>SUMIFS('350配方'!$M87:$P87,'350配方'!$Y87:$AB87,186)</x:f>
        <x:v>0</x:v>
      </x:c>
      <x:c r="AD87" s="9" t="n">
        <x:f>SUMIFS('350配方'!$M87:$P87,'350配方'!$Y87:$AB87,207)</x:f>
        <x:v>0</x:v>
      </x:c>
      <x:c r="AE87" s="9" t="n">
        <x:f>SUMIFS('350配方'!$M87:$P87,'350配方'!$Y87:$AB87,209)</x:f>
        <x:v>0</x:v>
      </x:c>
      <x:c r="AF87" s="9" t="n">
        <x:f>SUMIFS('350配方'!$M87:$P87,'350配方'!$Y87:$AB87,227)</x:f>
        <x:v>0</x:v>
      </x:c>
      <x:c r="AG87" s="9" t="n">
        <x:f>SUMIFS('350配方'!$M87:$P87,'350配方'!$Y87:$AB87,232)</x:f>
        <x:v>39.53062104242735</x:v>
      </x:c>
      <x:c r="AH87" s="9" t="n">
        <x:f>SUMIFS('350配方'!$M87:$P87,'350配方'!$Y87:$AB87,255)</x:f>
        <x:v>0</x:v>
      </x:c>
      <x:c r="AI87" s="9" t="n">
        <x:f>'浓度设置'!S6</x:f>
        <x:v>219125.9626344086</x:v>
      </x:c>
      <x:c r="AJ87" s="9" t="n">
        <x:f>'浓度设置'!S8</x:f>
        <x:v>92796.92267241378</x:v>
      </x:c>
      <x:c r="AK87" s="9" t="n">
        <x:f>'浓度设置'!S10</x:f>
        <x:v>30556.797802197798</x:v>
      </x:c>
      <x:c r="AL87" s="9" t="n">
        <x:f>'浓度设置'!S12</x:f>
        <x:v>1735.828970588235</x:v>
      </x:c>
      <x:c r="AM87" s="9" t="n">
        <x:f>'浓度设置'!S15</x:f>
        <x:v>7385.813644067793</x:v>
      </x:c>
      <x:c r="AN87" s="9" t="n">
        <x:f>'浓度设置'!S19</x:f>
        <x:v>27722.03097701148</x:v>
      </x:c>
      <x:c r="AO87" s="9" t="n">
        <x:f>'浓度设置'!S22</x:f>
        <x:v>44345.55047619048</x:v>
      </x:c>
      <x:c r="AP87" s="9" t="n">
        <x:f>'浓度设置'!S26</x:f>
        <x:v>153318.30499999996</x:v>
      </x:c>
      <x:c r="AQ87" s="9" t="n">
        <x:f>'浓度设置'!S29</x:f>
        <x:v>312.7970588235294</x:v>
      </x:c>
      <x:c r="AR87" s="9" t="n">
        <x:f>'浓度设置'!S30</x:f>
        <x:v>104175.5097553192</x:v>
      </x:c>
      <x:c r="AS87" s="9" t="n">
        <x:f>'浓度设置'!S35</x:f>
        <x:v>405974.90656785714</x:v>
      </x:c>
    </x:row>
    <x:row r="88" ht="24" customHeight="1">
      <x:c r="A88" s="3" t="str">
        <x:f>'350配方'!A88</x:f>
        <x:v>T083</x:v>
      </x:c>
      <x:c r="B88" s="3" t="str">
        <x:f>'350配方'!B88</x:f>
        <x:v>拟合</x:v>
      </x:c>
      <x:c r="C88" s="3" t="n">
        <x:f>IF(B88="拟合",1,0)</x:f>
        <x:v>1</x:v>
      </x:c>
      <x:c r="D88" s="3" t="n">
        <x:f>'350配方'!AC88</x:f>
        <x:v>1</x:v>
      </x:c>
      <x:c r="E88" s="9" t="n">
        <x:f>SUMIFS('350配方'!$M88:$P88,'350配方'!$Y88:$AB88,7)</x:f>
        <x:v>0</x:v>
      </x:c>
      <x:c r="F88" s="9" t="n">
        <x:f>SUMIFS('350配方'!$M88:$P88,'350配方'!$Y88:$AB88,11)</x:f>
        <x:v>0</x:v>
      </x:c>
      <x:c r="G88" s="9" t="n">
        <x:f>SUMIFS('350配方'!$M88:$P88,'350配方'!$Y88:$AB88,18)</x:f>
        <x:v>0</x:v>
      </x:c>
      <x:c r="H88" s="9" t="n">
        <x:f>SUMIFS('350配方'!$M88:$P88,'350配方'!$Y88:$AB88,32)</x:f>
        <x:v>0</x:v>
      </x:c>
      <x:c r="I88" s="9" t="n">
        <x:f>SUMIFS('350配方'!$M88:$P88,'350配方'!$Y88:$AB88,40)</x:f>
        <x:v>0</x:v>
      </x:c>
      <x:c r="J88" s="9" t="n">
        <x:f>SUMIFS('350配方'!$M88:$P88,'350配方'!$Y88:$AB88,52)</x:f>
        <x:v>0</x:v>
      </x:c>
      <x:c r="K88" s="9" t="n">
        <x:f>SUMIFS('350配方'!$M88:$P88,'350配方'!$Y88:$AB88,53)</x:f>
        <x:v>0</x:v>
      </x:c>
      <x:c r="L88" s="9" t="n">
        <x:f>SUMIFS('350配方'!$M88:$P88,'350配方'!$Y88:$AB88,56)</x:f>
        <x:v>0</x:v>
      </x:c>
      <x:c r="M88" s="9" t="n">
        <x:f>SUMIFS('350配方'!$M88:$P88,'350配方'!$Y88:$AB88,58)</x:f>
        <x:v>0</x:v>
      </x:c>
      <x:c r="N88" s="9" t="n">
        <x:f>SUMIFS('350配方'!$M88:$P88,'350配方'!$Y88:$AB88,61)</x:f>
        <x:v>0</x:v>
      </x:c>
      <x:c r="O88" s="9" t="n">
        <x:f>SUMIFS('350配方'!$M88:$P88,'350配方'!$Y88:$AB88,69)</x:f>
        <x:v>0</x:v>
      </x:c>
      <x:c r="P88" s="9" t="n">
        <x:f>SUMIFS('350配方'!$M88:$P88,'350配方'!$Y88:$AB88,75)</x:f>
        <x:v>0</x:v>
      </x:c>
      <x:c r="Q88" s="9" t="n">
        <x:f>SUMIFS('350配方'!$M88:$P88,'350配方'!$Y88:$AB88,79)</x:f>
        <x:v>0</x:v>
      </x:c>
      <x:c r="R88" s="9" t="n">
        <x:f>SUMIFS('350配方'!$M88:$P88,'350配方'!$Y88:$AB88,90)</x:f>
        <x:v>0</x:v>
      </x:c>
      <x:c r="S88" s="9" t="n">
        <x:f>SUMIFS('350配方'!$M88:$P88,'350配方'!$Y88:$AB88,105)</x:f>
        <x:v>0</x:v>
      </x:c>
      <x:c r="T88" s="9" t="n">
        <x:f>SUMIFS('350配方'!$M88:$P88,'350配方'!$Y88:$AB88,111)</x:f>
        <x:v>0</x:v>
      </x:c>
      <x:c r="U88" s="9" t="n">
        <x:f>SUMIFS('350配方'!$M88:$P88,'350配方'!$Y88:$AB88,114)</x:f>
        <x:v>0</x:v>
      </x:c>
      <x:c r="V88" s="9" t="n">
        <x:f>SUMIFS('350配方'!$M88:$P88,'350配方'!$Y88:$AB88,115)</x:f>
        <x:v>0</x:v>
      </x:c>
      <x:c r="W88" s="9" t="n">
        <x:f>SUMIFS('350配方'!$M88:$P88,'350配方'!$Y88:$AB88,117)</x:f>
        <x:v>0</x:v>
      </x:c>
      <x:c r="X88" s="9" t="n">
        <x:f>SUMIFS('350配方'!$M88:$P88,'350配方'!$Y88:$AB88,126)</x:f>
        <x:v>0</x:v>
      </x:c>
      <x:c r="Y88" s="9" t="n">
        <x:f>SUMIFS('350配方'!$M88:$P88,'350配方'!$Y88:$AB88,136)</x:f>
        <x:v>0</x:v>
      </x:c>
      <x:c r="Z88" s="9" t="n">
        <x:f>SUMIFS('350配方'!$M88:$P88,'350配方'!$Y88:$AB88,141)</x:f>
        <x:v>0</x:v>
      </x:c>
      <x:c r="AA88" s="9" t="n">
        <x:f>SUMIFS('350配方'!$M88:$P88,'350配方'!$Y88:$AB88,152)</x:f>
        <x:v>0</x:v>
      </x:c>
      <x:c r="AB88" s="9" t="n">
        <x:f>SUMIFS('350配方'!$M88:$P88,'350配方'!$Y88:$AB88,165)</x:f>
        <x:v>0</x:v>
      </x:c>
      <x:c r="AC88" s="9" t="n">
        <x:f>SUMIFS('350配方'!$M88:$P88,'350配方'!$Y88:$AB88,186)</x:f>
        <x:v>0</x:v>
      </x:c>
      <x:c r="AD88" s="9" t="n">
        <x:f>SUMIFS('350配方'!$M88:$P88,'350配方'!$Y88:$AB88,207)</x:f>
        <x:v>0</x:v>
      </x:c>
      <x:c r="AE88" s="9" t="n">
        <x:f>SUMIFS('350配方'!$M88:$P88,'350配方'!$Y88:$AB88,209)</x:f>
        <x:v>0</x:v>
      </x:c>
      <x:c r="AF88" s="9" t="n">
        <x:f>SUMIFS('350配方'!$M88:$P88,'350配方'!$Y88:$AB88,227)</x:f>
        <x:v>0</x:v>
      </x:c>
      <x:c r="AG88" s="9" t="n">
        <x:f>SUMIFS('350配方'!$M88:$P88,'350配方'!$Y88:$AB88,232)</x:f>
        <x:v>1611</x:v>
      </x:c>
      <x:c r="AH88" s="9" t="n">
        <x:f>SUMIFS('350配方'!$M88:$P88,'350配方'!$Y88:$AB88,255)</x:f>
        <x:v>0</x:v>
      </x:c>
      <x:c r="AI88" s="9" t="n">
        <x:f>'浓度设置'!S6</x:f>
        <x:v>219125.9626344086</x:v>
      </x:c>
      <x:c r="AJ88" s="9" t="n">
        <x:f>'浓度设置'!S8</x:f>
        <x:v>92796.92267241378</x:v>
      </x:c>
      <x:c r="AK88" s="9" t="n">
        <x:f>'浓度设置'!S10</x:f>
        <x:v>30556.797802197798</x:v>
      </x:c>
      <x:c r="AL88" s="9" t="n">
        <x:f>'浓度设置'!S12</x:f>
        <x:v>1735.828970588235</x:v>
      </x:c>
      <x:c r="AM88" s="9" t="n">
        <x:f>'浓度设置'!S15</x:f>
        <x:v>7385.813644067793</x:v>
      </x:c>
      <x:c r="AN88" s="9" t="n">
        <x:f>'浓度设置'!S19</x:f>
        <x:v>27722.03097701148</x:v>
      </x:c>
      <x:c r="AO88" s="9" t="n">
        <x:f>'浓度设置'!S22</x:f>
        <x:v>44345.55047619048</x:v>
      </x:c>
      <x:c r="AP88" s="9" t="n">
        <x:f>'浓度设置'!S26</x:f>
        <x:v>153318.30499999996</x:v>
      </x:c>
      <x:c r="AQ88" s="9" t="n">
        <x:f>'浓度设置'!S29</x:f>
        <x:v>312.7970588235294</x:v>
      </x:c>
      <x:c r="AR88" s="9" t="n">
        <x:f>'浓度设置'!S30</x:f>
        <x:v>104175.5097553192</x:v>
      </x:c>
      <x:c r="AS88" s="9" t="n">
        <x:f>'浓度设置'!S35</x:f>
        <x:v>405974.90656785714</x:v>
      </x:c>
    </x:row>
    <x:row r="89" ht="24" customHeight="1">
      <x:c r="A89" s="3" t="str">
        <x:f>'350配方'!A89</x:f>
        <x:v>T084</x:v>
      </x:c>
      <x:c r="B89" s="3" t="str">
        <x:f>'350配方'!B89</x:f>
        <x:v>拟合</x:v>
      </x:c>
      <x:c r="C89" s="3" t="n">
        <x:f>IF(B89="拟合",1,0)</x:f>
        <x:v>1</x:v>
      </x:c>
      <x:c r="D89" s="3" t="n">
        <x:f>'350配方'!AC89</x:f>
        <x:v>1</x:v>
      </x:c>
      <x:c r="E89" s="9" t="n">
        <x:f>SUMIFS('350配方'!$M89:$P89,'350配方'!$Y89:$AB89,7)</x:f>
        <x:v>0</x:v>
      </x:c>
      <x:c r="F89" s="9" t="n">
        <x:f>SUMIFS('350配方'!$M89:$P89,'350配方'!$Y89:$AB89,11)</x:f>
        <x:v>0</x:v>
      </x:c>
      <x:c r="G89" s="9" t="n">
        <x:f>SUMIFS('350配方'!$M89:$P89,'350配方'!$Y89:$AB89,18)</x:f>
        <x:v>0</x:v>
      </x:c>
      <x:c r="H89" s="9" t="n">
        <x:f>SUMIFS('350配方'!$M89:$P89,'350配方'!$Y89:$AB89,32)</x:f>
        <x:v>0</x:v>
      </x:c>
      <x:c r="I89" s="9" t="n">
        <x:f>SUMIFS('350配方'!$M89:$P89,'350配方'!$Y89:$AB89,40)</x:f>
        <x:v>0</x:v>
      </x:c>
      <x:c r="J89" s="9" t="n">
        <x:f>SUMIFS('350配方'!$M89:$P89,'350配方'!$Y89:$AB89,52)</x:f>
        <x:v>0</x:v>
      </x:c>
      <x:c r="K89" s="9" t="n">
        <x:f>SUMIFS('350配方'!$M89:$P89,'350配方'!$Y89:$AB89,53)</x:f>
        <x:v>0</x:v>
      </x:c>
      <x:c r="L89" s="9" t="n">
        <x:f>SUMIFS('350配方'!$M89:$P89,'350配方'!$Y89:$AB89,56)</x:f>
        <x:v>0</x:v>
      </x:c>
      <x:c r="M89" s="9" t="n">
        <x:f>SUMIFS('350配方'!$M89:$P89,'350配方'!$Y89:$AB89,58)</x:f>
        <x:v>0</x:v>
      </x:c>
      <x:c r="N89" s="9" t="n">
        <x:f>SUMIFS('350配方'!$M89:$P89,'350配方'!$Y89:$AB89,61)</x:f>
        <x:v>0</x:v>
      </x:c>
      <x:c r="O89" s="9" t="n">
        <x:f>SUMIFS('350配方'!$M89:$P89,'350配方'!$Y89:$AB89,69)</x:f>
        <x:v>0</x:v>
      </x:c>
      <x:c r="P89" s="9" t="n">
        <x:f>SUMIFS('350配方'!$M89:$P89,'350配方'!$Y89:$AB89,75)</x:f>
        <x:v>0</x:v>
      </x:c>
      <x:c r="Q89" s="9" t="n">
        <x:f>SUMIFS('350配方'!$M89:$P89,'350配方'!$Y89:$AB89,79)</x:f>
        <x:v>0</x:v>
      </x:c>
      <x:c r="R89" s="9" t="n">
        <x:f>SUMIFS('350配方'!$M89:$P89,'350配方'!$Y89:$AB89,90)</x:f>
        <x:v>0</x:v>
      </x:c>
      <x:c r="S89" s="9" t="n">
        <x:f>SUMIFS('350配方'!$M89:$P89,'350配方'!$Y89:$AB89,105)</x:f>
        <x:v>0</x:v>
      </x:c>
      <x:c r="T89" s="9" t="n">
        <x:f>SUMIFS('350配方'!$M89:$P89,'350配方'!$Y89:$AB89,111)</x:f>
        <x:v>0</x:v>
      </x:c>
      <x:c r="U89" s="9" t="n">
        <x:f>SUMIFS('350配方'!$M89:$P89,'350配方'!$Y89:$AB89,114)</x:f>
        <x:v>0</x:v>
      </x:c>
      <x:c r="V89" s="9" t="n">
        <x:f>SUMIFS('350配方'!$M89:$P89,'350配方'!$Y89:$AB89,115)</x:f>
        <x:v>0</x:v>
      </x:c>
      <x:c r="W89" s="9" t="n">
        <x:f>SUMIFS('350配方'!$M89:$P89,'350配方'!$Y89:$AB89,117)</x:f>
        <x:v>0</x:v>
      </x:c>
      <x:c r="X89" s="9" t="n">
        <x:f>SUMIFS('350配方'!$M89:$P89,'350配方'!$Y89:$AB89,126)</x:f>
        <x:v>0</x:v>
      </x:c>
      <x:c r="Y89" s="9" t="n">
        <x:f>SUMIFS('350配方'!$M89:$P89,'350配方'!$Y89:$AB89,136)</x:f>
        <x:v>0</x:v>
      </x:c>
      <x:c r="Z89" s="9" t="n">
        <x:f>SUMIFS('350配方'!$M89:$P89,'350配方'!$Y89:$AB89,141)</x:f>
        <x:v>0</x:v>
      </x:c>
      <x:c r="AA89" s="9" t="n">
        <x:f>SUMIFS('350配方'!$M89:$P89,'350配方'!$Y89:$AB89,152)</x:f>
        <x:v>0</x:v>
      </x:c>
      <x:c r="AB89" s="9" t="n">
        <x:f>SUMIFS('350配方'!$M89:$P89,'350配方'!$Y89:$AB89,165)</x:f>
        <x:v>0</x:v>
      </x:c>
      <x:c r="AC89" s="9" t="n">
        <x:f>SUMIFS('350配方'!$M89:$P89,'350配方'!$Y89:$AB89,186)</x:f>
        <x:v>0</x:v>
      </x:c>
      <x:c r="AD89" s="9" t="n">
        <x:f>SUMIFS('350配方'!$M89:$P89,'350配方'!$Y89:$AB89,207)</x:f>
        <x:v>0</x:v>
      </x:c>
      <x:c r="AE89" s="9" t="n">
        <x:f>SUMIFS('350配方'!$M89:$P89,'350配方'!$Y89:$AB89,209)</x:f>
        <x:v>0</x:v>
      </x:c>
      <x:c r="AF89" s="9" t="n">
        <x:f>SUMIFS('350配方'!$M89:$P89,'350配方'!$Y89:$AB89,227)</x:f>
        <x:v>0</x:v>
      </x:c>
      <x:c r="AG89" s="9" t="n">
        <x:f>SUMIFS('350配方'!$M89:$P89,'350配方'!$Y89:$AB89,232)</x:f>
        <x:v>0</x:v>
      </x:c>
      <x:c r="AH89" s="9" t="n">
        <x:f>SUMIFS('350配方'!$M89:$P89,'350配方'!$Y89:$AB89,255)</x:f>
        <x:v>1.5</x:v>
      </x:c>
      <x:c r="AI89" s="9" t="n">
        <x:f>'浓度设置'!S6</x:f>
        <x:v>219125.9626344086</x:v>
      </x:c>
      <x:c r="AJ89" s="9" t="n">
        <x:f>'浓度设置'!S8</x:f>
        <x:v>92796.92267241378</x:v>
      </x:c>
      <x:c r="AK89" s="9" t="n">
        <x:f>'浓度设置'!S10</x:f>
        <x:v>30556.797802197798</x:v>
      </x:c>
      <x:c r="AL89" s="9" t="n">
        <x:f>'浓度设置'!S12</x:f>
        <x:v>1735.828970588235</x:v>
      </x:c>
      <x:c r="AM89" s="9" t="n">
        <x:f>'浓度设置'!S15</x:f>
        <x:v>7385.813644067793</x:v>
      </x:c>
      <x:c r="AN89" s="9" t="n">
        <x:f>'浓度设置'!S19</x:f>
        <x:v>27722.03097701148</x:v>
      </x:c>
      <x:c r="AO89" s="9" t="n">
        <x:f>'浓度设置'!S22</x:f>
        <x:v>44345.55047619048</x:v>
      </x:c>
      <x:c r="AP89" s="9" t="n">
        <x:f>'浓度设置'!S26</x:f>
        <x:v>153318.30499999996</x:v>
      </x:c>
      <x:c r="AQ89" s="9" t="n">
        <x:f>'浓度设置'!S29</x:f>
        <x:v>312.7970588235294</x:v>
      </x:c>
      <x:c r="AR89" s="9" t="n">
        <x:f>'浓度设置'!S30</x:f>
        <x:v>104175.5097553192</x:v>
      </x:c>
      <x:c r="AS89" s="9" t="n">
        <x:f>'浓度设置'!S35</x:f>
        <x:v>405974.90656785714</x:v>
      </x:c>
    </x:row>
    <x:row r="90" ht="24" customHeight="1">
      <x:c r="A90" s="3" t="str">
        <x:f>'350配方'!A90</x:f>
        <x:v>T085</x:v>
      </x:c>
      <x:c r="B90" s="3" t="str">
        <x:f>'350配方'!B90</x:f>
        <x:v>拟合</x:v>
      </x:c>
      <x:c r="C90" s="3" t="n">
        <x:f>IF(B90="拟合",1,0)</x:f>
        <x:v>1</x:v>
      </x:c>
      <x:c r="D90" s="3" t="n">
        <x:f>'350配方'!AC90</x:f>
        <x:v>1</x:v>
      </x:c>
      <x:c r="E90" s="9" t="n">
        <x:f>SUMIFS('350配方'!$M90:$P90,'350配方'!$Y90:$AB90,7)</x:f>
        <x:v>0</x:v>
      </x:c>
      <x:c r="F90" s="9" t="n">
        <x:f>SUMIFS('350配方'!$M90:$P90,'350配方'!$Y90:$AB90,11)</x:f>
        <x:v>0</x:v>
      </x:c>
      <x:c r="G90" s="9" t="n">
        <x:f>SUMIFS('350配方'!$M90:$P90,'350配方'!$Y90:$AB90,18)</x:f>
        <x:v>0</x:v>
      </x:c>
      <x:c r="H90" s="9" t="n">
        <x:f>SUMIFS('350配方'!$M90:$P90,'350配方'!$Y90:$AB90,32)</x:f>
        <x:v>0</x:v>
      </x:c>
      <x:c r="I90" s="9" t="n">
        <x:f>SUMIFS('350配方'!$M90:$P90,'350配方'!$Y90:$AB90,40)</x:f>
        <x:v>0</x:v>
      </x:c>
      <x:c r="J90" s="9" t="n">
        <x:f>SUMIFS('350配方'!$M90:$P90,'350配方'!$Y90:$AB90,52)</x:f>
        <x:v>0</x:v>
      </x:c>
      <x:c r="K90" s="9" t="n">
        <x:f>SUMIFS('350配方'!$M90:$P90,'350配方'!$Y90:$AB90,53)</x:f>
        <x:v>0</x:v>
      </x:c>
      <x:c r="L90" s="9" t="n">
        <x:f>SUMIFS('350配方'!$M90:$P90,'350配方'!$Y90:$AB90,56)</x:f>
        <x:v>0</x:v>
      </x:c>
      <x:c r="M90" s="9" t="n">
        <x:f>SUMIFS('350配方'!$M90:$P90,'350配方'!$Y90:$AB90,58)</x:f>
        <x:v>0</x:v>
      </x:c>
      <x:c r="N90" s="9" t="n">
        <x:f>SUMIFS('350配方'!$M90:$P90,'350配方'!$Y90:$AB90,61)</x:f>
        <x:v>0</x:v>
      </x:c>
      <x:c r="O90" s="9" t="n">
        <x:f>SUMIFS('350配方'!$M90:$P90,'350配方'!$Y90:$AB90,69)</x:f>
        <x:v>0</x:v>
      </x:c>
      <x:c r="P90" s="9" t="n">
        <x:f>SUMIFS('350配方'!$M90:$P90,'350配方'!$Y90:$AB90,75)</x:f>
        <x:v>0</x:v>
      </x:c>
      <x:c r="Q90" s="9" t="n">
        <x:f>SUMIFS('350配方'!$M90:$P90,'350配方'!$Y90:$AB90,79)</x:f>
        <x:v>0</x:v>
      </x:c>
      <x:c r="R90" s="9" t="n">
        <x:f>SUMIFS('350配方'!$M90:$P90,'350配方'!$Y90:$AB90,90)</x:f>
        <x:v>0</x:v>
      </x:c>
      <x:c r="S90" s="9" t="n">
        <x:f>SUMIFS('350配方'!$M90:$P90,'350配方'!$Y90:$AB90,105)</x:f>
        <x:v>0</x:v>
      </x:c>
      <x:c r="T90" s="9" t="n">
        <x:f>SUMIFS('350配方'!$M90:$P90,'350配方'!$Y90:$AB90,111)</x:f>
        <x:v>0</x:v>
      </x:c>
      <x:c r="U90" s="9" t="n">
        <x:f>SUMIFS('350配方'!$M90:$P90,'350配方'!$Y90:$AB90,114)</x:f>
        <x:v>0</x:v>
      </x:c>
      <x:c r="V90" s="9" t="n">
        <x:f>SUMIFS('350配方'!$M90:$P90,'350配方'!$Y90:$AB90,115)</x:f>
        <x:v>0</x:v>
      </x:c>
      <x:c r="W90" s="9" t="n">
        <x:f>SUMIFS('350配方'!$M90:$P90,'350配方'!$Y90:$AB90,117)</x:f>
        <x:v>0</x:v>
      </x:c>
      <x:c r="X90" s="9" t="n">
        <x:f>SUMIFS('350配方'!$M90:$P90,'350配方'!$Y90:$AB90,126)</x:f>
        <x:v>0</x:v>
      </x:c>
      <x:c r="Y90" s="9" t="n">
        <x:f>SUMIFS('350配方'!$M90:$P90,'350配方'!$Y90:$AB90,136)</x:f>
        <x:v>0</x:v>
      </x:c>
      <x:c r="Z90" s="9" t="n">
        <x:f>SUMIFS('350配方'!$M90:$P90,'350配方'!$Y90:$AB90,141)</x:f>
        <x:v>0</x:v>
      </x:c>
      <x:c r="AA90" s="9" t="n">
        <x:f>SUMIFS('350配方'!$M90:$P90,'350配方'!$Y90:$AB90,152)</x:f>
        <x:v>0</x:v>
      </x:c>
      <x:c r="AB90" s="9" t="n">
        <x:f>SUMIFS('350配方'!$M90:$P90,'350配方'!$Y90:$AB90,165)</x:f>
        <x:v>0</x:v>
      </x:c>
      <x:c r="AC90" s="9" t="n">
        <x:f>SUMIFS('350配方'!$M90:$P90,'350配方'!$Y90:$AB90,186)</x:f>
        <x:v>0</x:v>
      </x:c>
      <x:c r="AD90" s="9" t="n">
        <x:f>SUMIFS('350配方'!$M90:$P90,'350配方'!$Y90:$AB90,207)</x:f>
        <x:v>0</x:v>
      </x:c>
      <x:c r="AE90" s="9" t="n">
        <x:f>SUMIFS('350配方'!$M90:$P90,'350配方'!$Y90:$AB90,209)</x:f>
        <x:v>0</x:v>
      </x:c>
      <x:c r="AF90" s="9" t="n">
        <x:f>SUMIFS('350配方'!$M90:$P90,'350配方'!$Y90:$AB90,227)</x:f>
        <x:v>0</x:v>
      </x:c>
      <x:c r="AG90" s="9" t="n">
        <x:f>SUMIFS('350配方'!$M90:$P90,'350配方'!$Y90:$AB90,232)</x:f>
        <x:v>0</x:v>
      </x:c>
      <x:c r="AH90" s="9" t="n">
        <x:f>SUMIFS('350配方'!$M90:$P90,'350配方'!$Y90:$AB90,255)</x:f>
        <x:v>9.546727187890099</x:v>
      </x:c>
      <x:c r="AI90" s="9" t="n">
        <x:f>'浓度设置'!S6</x:f>
        <x:v>219125.9626344086</x:v>
      </x:c>
      <x:c r="AJ90" s="9" t="n">
        <x:f>'浓度设置'!S8</x:f>
        <x:v>92796.92267241378</x:v>
      </x:c>
      <x:c r="AK90" s="9" t="n">
        <x:f>'浓度设置'!S10</x:f>
        <x:v>30556.797802197798</x:v>
      </x:c>
      <x:c r="AL90" s="9" t="n">
        <x:f>'浓度设置'!S12</x:f>
        <x:v>1735.828970588235</x:v>
      </x:c>
      <x:c r="AM90" s="9" t="n">
        <x:f>'浓度设置'!S15</x:f>
        <x:v>7385.813644067793</x:v>
      </x:c>
      <x:c r="AN90" s="9" t="n">
        <x:f>'浓度设置'!S19</x:f>
        <x:v>27722.03097701148</x:v>
      </x:c>
      <x:c r="AO90" s="9" t="n">
        <x:f>'浓度设置'!S22</x:f>
        <x:v>44345.55047619048</x:v>
      </x:c>
      <x:c r="AP90" s="9" t="n">
        <x:f>'浓度设置'!S26</x:f>
        <x:v>153318.30499999996</x:v>
      </x:c>
      <x:c r="AQ90" s="9" t="n">
        <x:f>'浓度设置'!S29</x:f>
        <x:v>312.7970588235294</x:v>
      </x:c>
      <x:c r="AR90" s="9" t="n">
        <x:f>'浓度设置'!S30</x:f>
        <x:v>104175.5097553192</x:v>
      </x:c>
      <x:c r="AS90" s="9" t="n">
        <x:f>'浓度设置'!S35</x:f>
        <x:v>405974.90656785714</x:v>
      </x:c>
    </x:row>
    <x:row r="91" ht="24" customHeight="1">
      <x:c r="A91" s="3" t="str">
        <x:f>'350配方'!A91</x:f>
        <x:v>T086</x:v>
      </x:c>
      <x:c r="B91" s="3" t="str">
        <x:f>'350配方'!B91</x:f>
        <x:v>拟合</x:v>
      </x:c>
      <x:c r="C91" s="3" t="n">
        <x:f>IF(B91="拟合",1,0)</x:f>
        <x:v>1</x:v>
      </x:c>
      <x:c r="D91" s="3" t="n">
        <x:f>'350配方'!AC91</x:f>
        <x:v>1</x:v>
      </x:c>
      <x:c r="E91" s="9" t="n">
        <x:f>SUMIFS('350配方'!$M91:$P91,'350配方'!$Y91:$AB91,7)</x:f>
        <x:v>0</x:v>
      </x:c>
      <x:c r="F91" s="9" t="n">
        <x:f>SUMIFS('350配方'!$M91:$P91,'350配方'!$Y91:$AB91,11)</x:f>
        <x:v>0</x:v>
      </x:c>
      <x:c r="G91" s="9" t="n">
        <x:f>SUMIFS('350配方'!$M91:$P91,'350配方'!$Y91:$AB91,18)</x:f>
        <x:v>0</x:v>
      </x:c>
      <x:c r="H91" s="9" t="n">
        <x:f>SUMIFS('350配方'!$M91:$P91,'350配方'!$Y91:$AB91,32)</x:f>
        <x:v>0</x:v>
      </x:c>
      <x:c r="I91" s="9" t="n">
        <x:f>SUMIFS('350配方'!$M91:$P91,'350配方'!$Y91:$AB91,40)</x:f>
        <x:v>0</x:v>
      </x:c>
      <x:c r="J91" s="9" t="n">
        <x:f>SUMIFS('350配方'!$M91:$P91,'350配方'!$Y91:$AB91,52)</x:f>
        <x:v>0</x:v>
      </x:c>
      <x:c r="K91" s="9" t="n">
        <x:f>SUMIFS('350配方'!$M91:$P91,'350配方'!$Y91:$AB91,53)</x:f>
        <x:v>0</x:v>
      </x:c>
      <x:c r="L91" s="9" t="n">
        <x:f>SUMIFS('350配方'!$M91:$P91,'350配方'!$Y91:$AB91,56)</x:f>
        <x:v>0</x:v>
      </x:c>
      <x:c r="M91" s="9" t="n">
        <x:f>SUMIFS('350配方'!$M91:$P91,'350配方'!$Y91:$AB91,58)</x:f>
        <x:v>0</x:v>
      </x:c>
      <x:c r="N91" s="9" t="n">
        <x:f>SUMIFS('350配方'!$M91:$P91,'350配方'!$Y91:$AB91,61)</x:f>
        <x:v>0</x:v>
      </x:c>
      <x:c r="O91" s="9" t="n">
        <x:f>SUMIFS('350配方'!$M91:$P91,'350配方'!$Y91:$AB91,69)</x:f>
        <x:v>0</x:v>
      </x:c>
      <x:c r="P91" s="9" t="n">
        <x:f>SUMIFS('350配方'!$M91:$P91,'350配方'!$Y91:$AB91,75)</x:f>
        <x:v>0</x:v>
      </x:c>
      <x:c r="Q91" s="9" t="n">
        <x:f>SUMIFS('350配方'!$M91:$P91,'350配方'!$Y91:$AB91,79)</x:f>
        <x:v>0</x:v>
      </x:c>
      <x:c r="R91" s="9" t="n">
        <x:f>SUMIFS('350配方'!$M91:$P91,'350配方'!$Y91:$AB91,90)</x:f>
        <x:v>0</x:v>
      </x:c>
      <x:c r="S91" s="9" t="n">
        <x:f>SUMIFS('350配方'!$M91:$P91,'350配方'!$Y91:$AB91,105)</x:f>
        <x:v>0</x:v>
      </x:c>
      <x:c r="T91" s="9" t="n">
        <x:f>SUMIFS('350配方'!$M91:$P91,'350配方'!$Y91:$AB91,111)</x:f>
        <x:v>0</x:v>
      </x:c>
      <x:c r="U91" s="9" t="n">
        <x:f>SUMIFS('350配方'!$M91:$P91,'350配方'!$Y91:$AB91,114)</x:f>
        <x:v>0</x:v>
      </x:c>
      <x:c r="V91" s="9" t="n">
        <x:f>SUMIFS('350配方'!$M91:$P91,'350配方'!$Y91:$AB91,115)</x:f>
        <x:v>0</x:v>
      </x:c>
      <x:c r="W91" s="9" t="n">
        <x:f>SUMIFS('350配方'!$M91:$P91,'350配方'!$Y91:$AB91,117)</x:f>
        <x:v>0</x:v>
      </x:c>
      <x:c r="X91" s="9" t="n">
        <x:f>SUMIFS('350配方'!$M91:$P91,'350配方'!$Y91:$AB91,126)</x:f>
        <x:v>0</x:v>
      </x:c>
      <x:c r="Y91" s="9" t="n">
        <x:f>SUMIFS('350配方'!$M91:$P91,'350配方'!$Y91:$AB91,136)</x:f>
        <x:v>0</x:v>
      </x:c>
      <x:c r="Z91" s="9" t="n">
        <x:f>SUMIFS('350配方'!$M91:$P91,'350配方'!$Y91:$AB91,141)</x:f>
        <x:v>0</x:v>
      </x:c>
      <x:c r="AA91" s="9" t="n">
        <x:f>SUMIFS('350配方'!$M91:$P91,'350配方'!$Y91:$AB91,152)</x:f>
        <x:v>0</x:v>
      </x:c>
      <x:c r="AB91" s="9" t="n">
        <x:f>SUMIFS('350配方'!$M91:$P91,'350配方'!$Y91:$AB91,165)</x:f>
        <x:v>0</x:v>
      </x:c>
      <x:c r="AC91" s="9" t="n">
        <x:f>SUMIFS('350配方'!$M91:$P91,'350配方'!$Y91:$AB91,186)</x:f>
        <x:v>0</x:v>
      </x:c>
      <x:c r="AD91" s="9" t="n">
        <x:f>SUMIFS('350配方'!$M91:$P91,'350配方'!$Y91:$AB91,207)</x:f>
        <x:v>0</x:v>
      </x:c>
      <x:c r="AE91" s="9" t="n">
        <x:f>SUMIFS('350配方'!$M91:$P91,'350配方'!$Y91:$AB91,209)</x:f>
        <x:v>0</x:v>
      </x:c>
      <x:c r="AF91" s="9" t="n">
        <x:f>SUMIFS('350配方'!$M91:$P91,'350配方'!$Y91:$AB91,227)</x:f>
        <x:v>0</x:v>
      </x:c>
      <x:c r="AG91" s="9" t="n">
        <x:f>SUMIFS('350配方'!$M91:$P91,'350配方'!$Y91:$AB91,232)</x:f>
        <x:v>0</x:v>
      </x:c>
      <x:c r="AH91" s="9" t="n">
        <x:f>SUMIFS('350配方'!$M91:$P91,'350配方'!$Y91:$AB91,255)</x:f>
        <x:v>60.76</x:v>
      </x:c>
      <x:c r="AI91" s="9" t="n">
        <x:f>'浓度设置'!S6</x:f>
        <x:v>219125.9626344086</x:v>
      </x:c>
      <x:c r="AJ91" s="9" t="n">
        <x:f>'浓度设置'!S8</x:f>
        <x:v>92796.92267241378</x:v>
      </x:c>
      <x:c r="AK91" s="9" t="n">
        <x:f>'浓度设置'!S10</x:f>
        <x:v>30556.797802197798</x:v>
      </x:c>
      <x:c r="AL91" s="9" t="n">
        <x:f>'浓度设置'!S12</x:f>
        <x:v>1735.828970588235</x:v>
      </x:c>
      <x:c r="AM91" s="9" t="n">
        <x:f>'浓度设置'!S15</x:f>
        <x:v>7385.813644067793</x:v>
      </x:c>
      <x:c r="AN91" s="9" t="n">
        <x:f>'浓度设置'!S19</x:f>
        <x:v>27722.03097701148</x:v>
      </x:c>
      <x:c r="AO91" s="9" t="n">
        <x:f>'浓度设置'!S22</x:f>
        <x:v>44345.55047619048</x:v>
      </x:c>
      <x:c r="AP91" s="9" t="n">
        <x:f>'浓度设置'!S26</x:f>
        <x:v>153318.30499999996</x:v>
      </x:c>
      <x:c r="AQ91" s="9" t="n">
        <x:f>'浓度设置'!S29</x:f>
        <x:v>312.7970588235294</x:v>
      </x:c>
      <x:c r="AR91" s="9" t="n">
        <x:f>'浓度设置'!S30</x:f>
        <x:v>104175.5097553192</x:v>
      </x:c>
      <x:c r="AS91" s="9" t="n">
        <x:f>'浓度设置'!S35</x:f>
        <x:v>405974.90656785714</x:v>
      </x:c>
    </x:row>
    <x:row r="92" ht="24" customHeight="1">
      <x:c r="A92" s="3" t="str">
        <x:f>'350配方'!A92</x:f>
        <x:v>T087</x:v>
      </x:c>
      <x:c r="B92" s="3" t="str">
        <x:f>'350配方'!B92</x:f>
        <x:v>拟合</x:v>
      </x:c>
      <x:c r="C92" s="3" t="n">
        <x:f>IF(B92="拟合",1,0)</x:f>
        <x:v>1</x:v>
      </x:c>
      <x:c r="D92" s="3" t="n">
        <x:f>'350配方'!AC92</x:f>
        <x:v>4</x:v>
      </x:c>
      <x:c r="E92" s="9" t="n">
        <x:f>SUMIFS('350配方'!$M92:$P92,'350配方'!$Y92:$AB92,7)</x:f>
        <x:v>0</x:v>
      </x:c>
      <x:c r="F92" s="9" t="n">
        <x:f>SUMIFS('350配方'!$M92:$P92,'350配方'!$Y92:$AB92,11)</x:f>
        <x:v>0</x:v>
      </x:c>
      <x:c r="G92" s="9" t="n">
        <x:f>SUMIFS('350配方'!$M92:$P92,'350配方'!$Y92:$AB92,18)</x:f>
        <x:v>35900</x:v>
      </x:c>
      <x:c r="H92" s="9" t="n">
        <x:f>SUMIFS('350配方'!$M92:$P92,'350配方'!$Y92:$AB92,32)</x:f>
        <x:v>0</x:v>
      </x:c>
      <x:c r="I92" s="9" t="n">
        <x:f>SUMIFS('350配方'!$M92:$P92,'350配方'!$Y92:$AB92,40)</x:f>
        <x:v>0</x:v>
      </x:c>
      <x:c r="J92" s="9" t="n">
        <x:f>SUMIFS('350配方'!$M92:$P92,'350配方'!$Y92:$AB92,52)</x:f>
        <x:v>0</x:v>
      </x:c>
      <x:c r="K92" s="9" t="n">
        <x:f>SUMIFS('350配方'!$M92:$P92,'350配方'!$Y92:$AB92,53)</x:f>
        <x:v>0</x:v>
      </x:c>
      <x:c r="L92" s="9" t="n">
        <x:f>SUMIFS('350配方'!$M92:$P92,'350配方'!$Y92:$AB92,56)</x:f>
        <x:v>0</x:v>
      </x:c>
      <x:c r="M92" s="9" t="n">
        <x:f>SUMIFS('350配方'!$M92:$P92,'350配方'!$Y92:$AB92,58)</x:f>
        <x:v>0</x:v>
      </x:c>
      <x:c r="N92" s="9" t="n">
        <x:f>SUMIFS('350配方'!$M92:$P92,'350配方'!$Y92:$AB92,61)</x:f>
        <x:v>0</x:v>
      </x:c>
      <x:c r="O92" s="9" t="n">
        <x:f>SUMIFS('350配方'!$M92:$P92,'350配方'!$Y92:$AB92,69)</x:f>
        <x:v>0</x:v>
      </x:c>
      <x:c r="P92" s="9" t="n">
        <x:f>SUMIFS('350配方'!$M92:$P92,'350配方'!$Y92:$AB92,75)</x:f>
        <x:v>0</x:v>
      </x:c>
      <x:c r="Q92" s="9" t="n">
        <x:f>SUMIFS('350配方'!$M92:$P92,'350配方'!$Y92:$AB92,79)</x:f>
        <x:v>1288.255</x:v>
      </x:c>
      <x:c r="R92" s="9" t="n">
        <x:f>SUMIFS('350配方'!$M92:$P92,'350配方'!$Y92:$AB92,90)</x:f>
        <x:v>0</x:v>
      </x:c>
      <x:c r="S92" s="9" t="n">
        <x:f>SUMIFS('350配方'!$M92:$P92,'350配方'!$Y92:$AB92,105)</x:f>
        <x:v>0</x:v>
      </x:c>
      <x:c r="T92" s="9" t="n">
        <x:f>SUMIFS('350配方'!$M92:$P92,'350配方'!$Y92:$AB92,111)</x:f>
        <x:v>0</x:v>
      </x:c>
      <x:c r="U92" s="9" t="n">
        <x:f>SUMIFS('350配方'!$M92:$P92,'350配方'!$Y92:$AB92,114)</x:f>
        <x:v>0</x:v>
      </x:c>
      <x:c r="V92" s="9" t="n">
        <x:f>SUMIFS('350配方'!$M92:$P92,'350配方'!$Y92:$AB92,115)</x:f>
        <x:v>0</x:v>
      </x:c>
      <x:c r="W92" s="9" t="n">
        <x:f>SUMIFS('350配方'!$M92:$P92,'350配方'!$Y92:$AB92,117)</x:f>
        <x:v>0</x:v>
      </x:c>
      <x:c r="X92" s="9" t="n">
        <x:f>SUMIFS('350配方'!$M92:$P92,'350配方'!$Y92:$AB92,126)</x:f>
        <x:v>0</x:v>
      </x:c>
      <x:c r="Y92" s="9" t="n">
        <x:f>SUMIFS('350配方'!$M92:$P92,'350配方'!$Y92:$AB92,136)</x:f>
        <x:v>0</x:v>
      </x:c>
      <x:c r="Z92" s="9" t="n">
        <x:f>SUMIFS('350配方'!$M92:$P92,'350配方'!$Y92:$AB92,141)</x:f>
        <x:v>0</x:v>
      </x:c>
      <x:c r="AA92" s="9" t="n">
        <x:f>SUMIFS('350配方'!$M92:$P92,'350配方'!$Y92:$AB92,152)</x:f>
        <x:v>4.84</x:v>
      </x:c>
      <x:c r="AB92" s="9" t="n">
        <x:f>SUMIFS('350配方'!$M92:$P92,'350配方'!$Y92:$AB92,165)</x:f>
        <x:v>0</x:v>
      </x:c>
      <x:c r="AC92" s="9" t="n">
        <x:f>SUMIFS('350配方'!$M92:$P92,'350配方'!$Y92:$AB92,186)</x:f>
        <x:v>1.56</x:v>
      </x:c>
      <x:c r="AD92" s="9" t="n">
        <x:f>SUMIFS('350配方'!$M92:$P92,'350配方'!$Y92:$AB92,207)</x:f>
        <x:v>0</x:v>
      </x:c>
      <x:c r="AE92" s="9" t="n">
        <x:f>SUMIFS('350配方'!$M92:$P92,'350配方'!$Y92:$AB92,209)</x:f>
        <x:v>0</x:v>
      </x:c>
      <x:c r="AF92" s="9" t="n">
        <x:f>SUMIFS('350配方'!$M92:$P92,'350配方'!$Y92:$AB92,227)</x:f>
        <x:v>0</x:v>
      </x:c>
      <x:c r="AG92" s="9" t="n">
        <x:f>SUMIFS('350配方'!$M92:$P92,'350配方'!$Y92:$AB92,232)</x:f>
        <x:v>0</x:v>
      </x:c>
      <x:c r="AH92" s="9" t="n">
        <x:f>SUMIFS('350配方'!$M92:$P92,'350配方'!$Y92:$AB92,255)</x:f>
        <x:v>0</x:v>
      </x:c>
      <x:c r="AI92" s="9" t="n">
        <x:f>'浓度设置'!S6</x:f>
        <x:v>219125.9626344086</x:v>
      </x:c>
      <x:c r="AJ92" s="9" t="n">
        <x:f>'浓度设置'!S8</x:f>
        <x:v>92796.92267241378</x:v>
      </x:c>
      <x:c r="AK92" s="9" t="n">
        <x:f>'浓度设置'!S10</x:f>
        <x:v>30556.797802197798</x:v>
      </x:c>
      <x:c r="AL92" s="9" t="n">
        <x:f>'浓度设置'!S12</x:f>
        <x:v>1735.828970588235</x:v>
      </x:c>
      <x:c r="AM92" s="9" t="n">
        <x:f>'浓度设置'!S15</x:f>
        <x:v>7385.813644067793</x:v>
      </x:c>
      <x:c r="AN92" s="9" t="n">
        <x:f>'浓度设置'!S19</x:f>
        <x:v>27722.03097701148</x:v>
      </x:c>
      <x:c r="AO92" s="9" t="n">
        <x:f>'浓度设置'!S22</x:f>
        <x:v>44345.55047619048</x:v>
      </x:c>
      <x:c r="AP92" s="9" t="n">
        <x:f>'浓度设置'!S26</x:f>
        <x:v>153318.30499999996</x:v>
      </x:c>
      <x:c r="AQ92" s="9" t="n">
        <x:f>'浓度设置'!S29</x:f>
        <x:v>312.7970588235294</x:v>
      </x:c>
      <x:c r="AR92" s="9" t="n">
        <x:f>'浓度设置'!S30</x:f>
        <x:v>104175.5097553192</x:v>
      </x:c>
      <x:c r="AS92" s="9" t="n">
        <x:f>'浓度设置'!S35</x:f>
        <x:v>405974.90656785714</x:v>
      </x:c>
    </x:row>
    <x:row r="93" ht="24" customHeight="1">
      <x:c r="A93" s="3" t="str">
        <x:f>'350配方'!A93</x:f>
        <x:v>T088</x:v>
      </x:c>
      <x:c r="B93" s="3" t="str">
        <x:f>'350配方'!B93</x:f>
        <x:v>拟合</x:v>
      </x:c>
      <x:c r="C93" s="3" t="n">
        <x:f>IF(B93="拟合",1,0)</x:f>
        <x:v>1</x:v>
      </x:c>
      <x:c r="D93" s="3" t="n">
        <x:f>'350配方'!AC93</x:f>
        <x:v>4</x:v>
      </x:c>
      <x:c r="E93" s="9" t="n">
        <x:f>SUMIFS('350配方'!$M93:$P93,'350配方'!$Y93:$AB93,7)</x:f>
        <x:v>0</x:v>
      </x:c>
      <x:c r="F93" s="9" t="n">
        <x:f>SUMIFS('350配方'!$M93:$P93,'350配方'!$Y93:$AB93,11)</x:f>
        <x:v>0</x:v>
      </x:c>
      <x:c r="G93" s="9" t="n">
        <x:f>SUMIFS('350配方'!$M93:$P93,'350配方'!$Y93:$AB93,18)</x:f>
        <x:v>0</x:v>
      </x:c>
      <x:c r="H93" s="9" t="n">
        <x:f>SUMIFS('350配方'!$M93:$P93,'350配方'!$Y93:$AB93,32)</x:f>
        <x:v>0</x:v>
      </x:c>
      <x:c r="I93" s="9" t="n">
        <x:f>SUMIFS('350配方'!$M93:$P93,'350配方'!$Y93:$AB93,40)</x:f>
        <x:v>0</x:v>
      </x:c>
      <x:c r="J93" s="9" t="n">
        <x:f>SUMIFS('350配方'!$M93:$P93,'350配方'!$Y93:$AB93,52)</x:f>
        <x:v>0</x:v>
      </x:c>
      <x:c r="K93" s="9" t="n">
        <x:f>SUMIFS('350配方'!$M93:$P93,'350配方'!$Y93:$AB93,53)</x:f>
        <x:v>0</x:v>
      </x:c>
      <x:c r="L93" s="9" t="n">
        <x:f>SUMIFS('350配方'!$M93:$P93,'350配方'!$Y93:$AB93,56)</x:f>
        <x:v>0</x:v>
      </x:c>
      <x:c r="M93" s="9" t="n">
        <x:f>SUMIFS('350配方'!$M93:$P93,'350配方'!$Y93:$AB93,58)</x:f>
        <x:v>0</x:v>
      </x:c>
      <x:c r="N93" s="9" t="n">
        <x:f>SUMIFS('350配方'!$M93:$P93,'350配方'!$Y93:$AB93,61)</x:f>
        <x:v>0</x:v>
      </x:c>
      <x:c r="O93" s="9" t="n">
        <x:f>SUMIFS('350配方'!$M93:$P93,'350配方'!$Y93:$AB93,69)</x:f>
        <x:v>0.83</x:v>
      </x:c>
      <x:c r="P93" s="9" t="n">
        <x:f>SUMIFS('350配方'!$M93:$P93,'350配方'!$Y93:$AB93,75)</x:f>
        <x:v>0</x:v>
      </x:c>
      <x:c r="Q93" s="9" t="n">
        <x:f>SUMIFS('350配方'!$M93:$P93,'350配方'!$Y93:$AB93,79)</x:f>
        <x:v>0</x:v>
      </x:c>
      <x:c r="R93" s="9" t="n">
        <x:f>SUMIFS('350配方'!$M93:$P93,'350配方'!$Y93:$AB93,90)</x:f>
        <x:v>25642.45</x:v>
      </x:c>
      <x:c r="S93" s="9" t="n">
        <x:f>SUMIFS('350配方'!$M93:$P93,'350配方'!$Y93:$AB93,105)</x:f>
        <x:v>0</x:v>
      </x:c>
      <x:c r="T93" s="9" t="n">
        <x:f>SUMIFS('350配方'!$M93:$P93,'350配方'!$Y93:$AB93,111)</x:f>
        <x:v>0</x:v>
      </x:c>
      <x:c r="U93" s="9" t="n">
        <x:f>SUMIFS('350配方'!$M93:$P93,'350配方'!$Y93:$AB93,114)</x:f>
        <x:v>0</x:v>
      </x:c>
      <x:c r="V93" s="9" t="n">
        <x:f>SUMIFS('350配方'!$M93:$P93,'350配方'!$Y93:$AB93,115)</x:f>
        <x:v>0</x:v>
      </x:c>
      <x:c r="W93" s="9" t="n">
        <x:f>SUMIFS('350配方'!$M93:$P93,'350配方'!$Y93:$AB93,117)</x:f>
        <x:v>0</x:v>
      </x:c>
      <x:c r="X93" s="9" t="n">
        <x:f>SUMIFS('350配方'!$M93:$P93,'350配方'!$Y93:$AB93,126)</x:f>
        <x:v>0</x:v>
      </x:c>
      <x:c r="Y93" s="9" t="n">
        <x:f>SUMIFS('350配方'!$M93:$P93,'350配方'!$Y93:$AB93,136)</x:f>
        <x:v>44000</x:v>
      </x:c>
      <x:c r="Z93" s="9" t="n">
        <x:f>SUMIFS('350配方'!$M93:$P93,'350配方'!$Y93:$AB93,141)</x:f>
        <x:v>0</x:v>
      </x:c>
      <x:c r="AA93" s="9" t="n">
        <x:f>SUMIFS('350配方'!$M93:$P93,'350配方'!$Y93:$AB93,152)</x:f>
        <x:v>0</x:v>
      </x:c>
      <x:c r="AB93" s="9" t="n">
        <x:f>SUMIFS('350配方'!$M93:$P93,'350配方'!$Y93:$AB93,165)</x:f>
        <x:v>823.735</x:v>
      </x:c>
      <x:c r="AC93" s="9" t="n">
        <x:f>SUMIFS('350配方'!$M93:$P93,'350配方'!$Y93:$AB93,186)</x:f>
        <x:v>0</x:v>
      </x:c>
      <x:c r="AD93" s="9" t="n">
        <x:f>SUMIFS('350配方'!$M93:$P93,'350配方'!$Y93:$AB93,207)</x:f>
        <x:v>0</x:v>
      </x:c>
      <x:c r="AE93" s="9" t="n">
        <x:f>SUMIFS('350配方'!$M93:$P93,'350配方'!$Y93:$AB93,209)</x:f>
        <x:v>0</x:v>
      </x:c>
      <x:c r="AF93" s="9" t="n">
        <x:f>SUMIFS('350配方'!$M93:$P93,'350配方'!$Y93:$AB93,227)</x:f>
        <x:v>0</x:v>
      </x:c>
      <x:c r="AG93" s="9" t="n">
        <x:f>SUMIFS('350配方'!$M93:$P93,'350配方'!$Y93:$AB93,232)</x:f>
        <x:v>0</x:v>
      </x:c>
      <x:c r="AH93" s="9" t="n">
        <x:f>SUMIFS('350配方'!$M93:$P93,'350配方'!$Y93:$AB93,255)</x:f>
        <x:v>0</x:v>
      </x:c>
      <x:c r="AI93" s="9" t="n">
        <x:f>'浓度设置'!S6</x:f>
        <x:v>219125.9626344086</x:v>
      </x:c>
      <x:c r="AJ93" s="9" t="n">
        <x:f>'浓度设置'!S8</x:f>
        <x:v>92796.92267241378</x:v>
      </x:c>
      <x:c r="AK93" s="9" t="n">
        <x:f>'浓度设置'!S10</x:f>
        <x:v>30556.797802197798</x:v>
      </x:c>
      <x:c r="AL93" s="9" t="n">
        <x:f>'浓度设置'!S12</x:f>
        <x:v>1735.828970588235</x:v>
      </x:c>
      <x:c r="AM93" s="9" t="n">
        <x:f>'浓度设置'!S15</x:f>
        <x:v>7385.813644067793</x:v>
      </x:c>
      <x:c r="AN93" s="9" t="n">
        <x:f>'浓度设置'!S19</x:f>
        <x:v>27722.03097701148</x:v>
      </x:c>
      <x:c r="AO93" s="9" t="n">
        <x:f>'浓度设置'!S22</x:f>
        <x:v>44345.55047619048</x:v>
      </x:c>
      <x:c r="AP93" s="9" t="n">
        <x:f>'浓度设置'!S26</x:f>
        <x:v>153318.30499999996</x:v>
      </x:c>
      <x:c r="AQ93" s="9" t="n">
        <x:f>'浓度设置'!S29</x:f>
        <x:v>312.7970588235294</x:v>
      </x:c>
      <x:c r="AR93" s="9" t="n">
        <x:f>'浓度设置'!S30</x:f>
        <x:v>104175.5097553192</x:v>
      </x:c>
      <x:c r="AS93" s="9" t="n">
        <x:f>'浓度设置'!S35</x:f>
        <x:v>405974.90656785714</x:v>
      </x:c>
    </x:row>
    <x:row r="94" ht="24" customHeight="1">
      <x:c r="A94" s="3" t="str">
        <x:f>'350配方'!A94</x:f>
        <x:v>T089</x:v>
      </x:c>
      <x:c r="B94" s="3" t="str">
        <x:f>'350配方'!B94</x:f>
        <x:v>拟合</x:v>
      </x:c>
      <x:c r="C94" s="3" t="n">
        <x:f>IF(B94="拟合",1,0)</x:f>
        <x:v>1</x:v>
      </x:c>
      <x:c r="D94" s="3" t="n">
        <x:f>'350配方'!AC94</x:f>
        <x:v>4</x:v>
      </x:c>
      <x:c r="E94" s="9" t="n">
        <x:f>SUMIFS('350配方'!$M94:$P94,'350配方'!$Y94:$AB94,7)</x:f>
        <x:v>0</x:v>
      </x:c>
      <x:c r="F94" s="9" t="n">
        <x:f>SUMIFS('350配方'!$M94:$P94,'350配方'!$Y94:$AB94,11)</x:f>
        <x:v>0</x:v>
      </x:c>
      <x:c r="G94" s="9" t="n">
        <x:f>SUMIFS('350配方'!$M94:$P94,'350配方'!$Y94:$AB94,18)</x:f>
        <x:v>0</x:v>
      </x:c>
      <x:c r="H94" s="9" t="n">
        <x:f>SUMIFS('350配方'!$M94:$P94,'350配方'!$Y94:$AB94,32)</x:f>
        <x:v>0</x:v>
      </x:c>
      <x:c r="I94" s="9" t="n">
        <x:f>SUMIFS('350配方'!$M94:$P94,'350配方'!$Y94:$AB94,40)</x:f>
        <x:v>0</x:v>
      </x:c>
      <x:c r="J94" s="9" t="n">
        <x:f>SUMIFS('350配方'!$M94:$P94,'350配方'!$Y94:$AB94,52)</x:f>
        <x:v>0</x:v>
      </x:c>
      <x:c r="K94" s="9" t="n">
        <x:f>SUMIFS('350配方'!$M94:$P94,'350配方'!$Y94:$AB94,53)</x:f>
        <x:v>0</x:v>
      </x:c>
      <x:c r="L94" s="9" t="n">
        <x:f>SUMIFS('350配方'!$M94:$P94,'350配方'!$Y94:$AB94,56)</x:f>
        <x:v>0</x:v>
      </x:c>
      <x:c r="M94" s="9" t="n">
        <x:f>SUMIFS('350配方'!$M94:$P94,'350配方'!$Y94:$AB94,58)</x:f>
        <x:v>0</x:v>
      </x:c>
      <x:c r="N94" s="9" t="n">
        <x:f>SUMIFS('350配方'!$M94:$P94,'350配方'!$Y94:$AB94,61)</x:f>
        <x:v>0</x:v>
      </x:c>
      <x:c r="O94" s="9" t="n">
        <x:f>SUMIFS('350配方'!$M94:$P94,'350配方'!$Y94:$AB94,69)</x:f>
        <x:v>0</x:v>
      </x:c>
      <x:c r="P94" s="9" t="n">
        <x:f>SUMIFS('350配方'!$M94:$P94,'350配方'!$Y94:$AB94,75)</x:f>
        <x:v>1.75</x:v>
      </x:c>
      <x:c r="Q94" s="9" t="n">
        <x:f>SUMIFS('350配方'!$M94:$P94,'350配方'!$Y94:$AB94,79)</x:f>
        <x:v>0</x:v>
      </x:c>
      <x:c r="R94" s="9" t="n">
        <x:f>SUMIFS('350配方'!$M94:$P94,'350配方'!$Y94:$AB94,90)</x:f>
        <x:v>0</x:v>
      </x:c>
      <x:c r="S94" s="9" t="n">
        <x:f>SUMIFS('350配方'!$M94:$P94,'350配方'!$Y94:$AB94,105)</x:f>
        <x:v>0</x:v>
      </x:c>
      <x:c r="T94" s="9" t="n">
        <x:f>SUMIFS('350配方'!$M94:$P94,'350配方'!$Y94:$AB94,111)</x:f>
        <x:v>0</x:v>
      </x:c>
      <x:c r="U94" s="9" t="n">
        <x:f>SUMIFS('350配方'!$M94:$P94,'350配方'!$Y94:$AB94,114)</x:f>
        <x:v>0</x:v>
      </x:c>
      <x:c r="V94" s="9" t="n">
        <x:f>SUMIFS('350配方'!$M94:$P94,'350配方'!$Y94:$AB94,115)</x:f>
        <x:v>1.44</x:v>
      </x:c>
      <x:c r="W94" s="9" t="n">
        <x:f>SUMIFS('350配方'!$M94:$P94,'350配方'!$Y94:$AB94,117)</x:f>
        <x:v>0</x:v>
      </x:c>
      <x:c r="X94" s="9" t="n">
        <x:f>SUMIFS('350配方'!$M94:$P94,'350配方'!$Y94:$AB94,126)</x:f>
        <x:v>0</x:v>
      </x:c>
      <x:c r="Y94" s="9" t="n">
        <x:f>SUMIFS('350配方'!$M94:$P94,'350配方'!$Y94:$AB94,136)</x:f>
        <x:v>0</x:v>
      </x:c>
      <x:c r="Z94" s="9" t="n">
        <x:f>SUMIFS('350配方'!$M94:$P94,'350配方'!$Y94:$AB94,141)</x:f>
        <x:v>1039840</x:v>
      </x:c>
      <x:c r="AA94" s="9" t="n">
        <x:f>SUMIFS('350配方'!$M94:$P94,'350配方'!$Y94:$AB94,152)</x:f>
        <x:v>0</x:v>
      </x:c>
      <x:c r="AB94" s="9" t="n">
        <x:f>SUMIFS('350配方'!$M94:$P94,'350配方'!$Y94:$AB94,165)</x:f>
        <x:v>0</x:v>
      </x:c>
      <x:c r="AC94" s="9" t="n">
        <x:f>SUMIFS('350配方'!$M94:$P94,'350配方'!$Y94:$AB94,186)</x:f>
        <x:v>0</x:v>
      </x:c>
      <x:c r="AD94" s="9" t="n">
        <x:f>SUMIFS('350配方'!$M94:$P94,'350配方'!$Y94:$AB94,207)</x:f>
        <x:v>16.47573974060042</x:v>
      </x:c>
      <x:c r="AE94" s="9" t="n">
        <x:f>SUMIFS('350配方'!$M94:$P94,'350配方'!$Y94:$AB94,209)</x:f>
        <x:v>0</x:v>
      </x:c>
      <x:c r="AF94" s="9" t="n">
        <x:f>SUMIFS('350配方'!$M94:$P94,'350配方'!$Y94:$AB94,227)</x:f>
        <x:v>0</x:v>
      </x:c>
      <x:c r="AG94" s="9" t="n">
        <x:f>SUMIFS('350配方'!$M94:$P94,'350配方'!$Y94:$AB94,232)</x:f>
        <x:v>0</x:v>
      </x:c>
      <x:c r="AH94" s="9" t="n">
        <x:f>SUMIFS('350配方'!$M94:$P94,'350配方'!$Y94:$AB94,255)</x:f>
        <x:v>0</x:v>
      </x:c>
      <x:c r="AI94" s="9" t="n">
        <x:f>'浓度设置'!S6</x:f>
        <x:v>219125.9626344086</x:v>
      </x:c>
      <x:c r="AJ94" s="9" t="n">
        <x:f>'浓度设置'!S8</x:f>
        <x:v>92796.92267241378</x:v>
      </x:c>
      <x:c r="AK94" s="9" t="n">
        <x:f>'浓度设置'!S10</x:f>
        <x:v>30556.797802197798</x:v>
      </x:c>
      <x:c r="AL94" s="9" t="n">
        <x:f>'浓度设置'!S12</x:f>
        <x:v>1735.828970588235</x:v>
      </x:c>
      <x:c r="AM94" s="9" t="n">
        <x:f>'浓度设置'!S15</x:f>
        <x:v>7385.813644067793</x:v>
      </x:c>
      <x:c r="AN94" s="9" t="n">
        <x:f>'浓度设置'!S19</x:f>
        <x:v>27722.03097701148</x:v>
      </x:c>
      <x:c r="AO94" s="9" t="n">
        <x:f>'浓度设置'!S22</x:f>
        <x:v>44345.55047619048</x:v>
      </x:c>
      <x:c r="AP94" s="9" t="n">
        <x:f>'浓度设置'!S26</x:f>
        <x:v>153318.30499999996</x:v>
      </x:c>
      <x:c r="AQ94" s="9" t="n">
        <x:f>'浓度设置'!S29</x:f>
        <x:v>312.7970588235294</x:v>
      </x:c>
      <x:c r="AR94" s="9" t="n">
        <x:f>'浓度设置'!S30</x:f>
        <x:v>104175.5097553192</x:v>
      </x:c>
      <x:c r="AS94" s="9" t="n">
        <x:f>'浓度设置'!S35</x:f>
        <x:v>405974.90656785714</x:v>
      </x:c>
    </x:row>
    <x:row r="95" ht="24" customHeight="1">
      <x:c r="A95" s="3" t="str">
        <x:f>'350配方'!A95</x:f>
        <x:v>T090</x:v>
      </x:c>
      <x:c r="B95" s="3" t="str">
        <x:f>'350配方'!B95</x:f>
        <x:v>拟合</x:v>
      </x:c>
      <x:c r="C95" s="3" t="n">
        <x:f>IF(B95="拟合",1,0)</x:f>
        <x:v>1</x:v>
      </x:c>
      <x:c r="D95" s="3" t="n">
        <x:f>'350配方'!AC95</x:f>
        <x:v>4</x:v>
      </x:c>
      <x:c r="E95" s="9" t="n">
        <x:f>SUMIFS('350配方'!$M95:$P95,'350配方'!$Y95:$AB95,7)</x:f>
        <x:v>0</x:v>
      </x:c>
      <x:c r="F95" s="9" t="n">
        <x:f>SUMIFS('350配方'!$M95:$P95,'350配方'!$Y95:$AB95,11)</x:f>
        <x:v>4198.825192836682</x:v>
      </x:c>
      <x:c r="G95" s="9" t="n">
        <x:f>SUMIFS('350配方'!$M95:$P95,'350配方'!$Y95:$AB95,18)</x:f>
        <x:v>0</x:v>
      </x:c>
      <x:c r="H95" s="9" t="n">
        <x:f>SUMIFS('350配方'!$M95:$P95,'350配方'!$Y95:$AB95,32)</x:f>
        <x:v>836.8360173893091</x:v>
      </x:c>
      <x:c r="I95" s="9" t="n">
        <x:f>SUMIFS('350配方'!$M95:$P95,'350配方'!$Y95:$AB95,40)</x:f>
        <x:v>0</x:v>
      </x:c>
      <x:c r="J95" s="9" t="n">
        <x:f>SUMIFS('350配方'!$M95:$P95,'350配方'!$Y95:$AB95,52)</x:f>
        <x:v>0</x:v>
      </x:c>
      <x:c r="K95" s="9" t="n">
        <x:f>SUMIFS('350配方'!$M95:$P95,'350配方'!$Y95:$AB95,53)</x:f>
        <x:v>0</x:v>
      </x:c>
      <x:c r="L95" s="9" t="n">
        <x:f>SUMIFS('350配方'!$M95:$P95,'350配方'!$Y95:$AB95,56)</x:f>
        <x:v>0</x:v>
      </x:c>
      <x:c r="M95" s="9" t="n">
        <x:f>SUMIFS('350配方'!$M95:$P95,'350配方'!$Y95:$AB95,58)</x:f>
        <x:v>0</x:v>
      </x:c>
      <x:c r="N95" s="9" t="n">
        <x:f>SUMIFS('350配方'!$M95:$P95,'350配方'!$Y95:$AB95,61)</x:f>
        <x:v>0</x:v>
      </x:c>
      <x:c r="O95" s="9" t="n">
        <x:f>SUMIFS('350配方'!$M95:$P95,'350配方'!$Y95:$AB95,69)</x:f>
        <x:v>0</x:v>
      </x:c>
      <x:c r="P95" s="9" t="n">
        <x:f>SUMIFS('350配方'!$M95:$P95,'350配方'!$Y95:$AB95,75)</x:f>
        <x:v>0</x:v>
      </x:c>
      <x:c r="Q95" s="9" t="n">
        <x:f>SUMIFS('350配方'!$M95:$P95,'350配方'!$Y95:$AB95,79)</x:f>
        <x:v>0</x:v>
      </x:c>
      <x:c r="R95" s="9" t="n">
        <x:f>SUMIFS('350配方'!$M95:$P95,'350配方'!$Y95:$AB95,90)</x:f>
        <x:v>0</x:v>
      </x:c>
      <x:c r="S95" s="9" t="n">
        <x:f>SUMIFS('350配方'!$M95:$P95,'350配方'!$Y95:$AB95,105)</x:f>
        <x:v>0</x:v>
      </x:c>
      <x:c r="T95" s="9" t="n">
        <x:f>SUMIFS('350配方'!$M95:$P95,'350配方'!$Y95:$AB95,111)</x:f>
        <x:v>9622120</x:v>
      </x:c>
      <x:c r="U95" s="9" t="n">
        <x:f>SUMIFS('350配方'!$M95:$P95,'350配方'!$Y95:$AB95,114)</x:f>
        <x:v>0</x:v>
      </x:c>
      <x:c r="V95" s="9" t="n">
        <x:f>SUMIFS('350配方'!$M95:$P95,'350配方'!$Y95:$AB95,115)</x:f>
        <x:v>0</x:v>
      </x:c>
      <x:c r="W95" s="9" t="n">
        <x:f>SUMIFS('350配方'!$M95:$P95,'350配方'!$Y95:$AB95,117)</x:f>
        <x:v>0</x:v>
      </x:c>
      <x:c r="X95" s="9" t="n">
        <x:f>SUMIFS('350配方'!$M95:$P95,'350配方'!$Y95:$AB95,126)</x:f>
        <x:v>0</x:v>
      </x:c>
      <x:c r="Y95" s="9" t="n">
        <x:f>SUMIFS('350配方'!$M95:$P95,'350配方'!$Y95:$AB95,136)</x:f>
        <x:v>0</x:v>
      </x:c>
      <x:c r="Z95" s="9" t="n">
        <x:f>SUMIFS('350配方'!$M95:$P95,'350配方'!$Y95:$AB95,141)</x:f>
        <x:v>0</x:v>
      </x:c>
      <x:c r="AA95" s="9" t="n">
        <x:f>SUMIFS('350配方'!$M95:$P95,'350配方'!$Y95:$AB95,152)</x:f>
        <x:v>0</x:v>
      </x:c>
      <x:c r="AB95" s="9" t="n">
        <x:f>SUMIFS('350配方'!$M95:$P95,'350配方'!$Y95:$AB95,165)</x:f>
        <x:v>0</x:v>
      </x:c>
      <x:c r="AC95" s="9" t="n">
        <x:f>SUMIFS('350配方'!$M95:$P95,'350配方'!$Y95:$AB95,186)</x:f>
        <x:v>0</x:v>
      </x:c>
      <x:c r="AD95" s="9" t="n">
        <x:f>SUMIFS('350配方'!$M95:$P95,'350配方'!$Y95:$AB95,207)</x:f>
        <x:v>0</x:v>
      </x:c>
      <x:c r="AE95" s="9" t="n">
        <x:f>SUMIFS('350配方'!$M95:$P95,'350配方'!$Y95:$AB95,209)</x:f>
        <x:v>0</x:v>
      </x:c>
      <x:c r="AF95" s="9" t="n">
        <x:f>SUMIFS('350配方'!$M95:$P95,'350配方'!$Y95:$AB95,227)</x:f>
        <x:v>0</x:v>
      </x:c>
      <x:c r="AG95" s="9" t="n">
        <x:f>SUMIFS('350配方'!$M95:$P95,'350配方'!$Y95:$AB95,232)</x:f>
        <x:v>0.97</x:v>
      </x:c>
      <x:c r="AH95" s="9" t="n">
        <x:f>SUMIFS('350配方'!$M95:$P95,'350配方'!$Y95:$AB95,255)</x:f>
        <x:v>0</x:v>
      </x:c>
      <x:c r="AI95" s="9" t="n">
        <x:f>'浓度设置'!S6</x:f>
        <x:v>219125.9626344086</x:v>
      </x:c>
      <x:c r="AJ95" s="9" t="n">
        <x:f>'浓度设置'!S8</x:f>
        <x:v>92796.92267241378</x:v>
      </x:c>
      <x:c r="AK95" s="9" t="n">
        <x:f>'浓度设置'!S10</x:f>
        <x:v>30556.797802197798</x:v>
      </x:c>
      <x:c r="AL95" s="9" t="n">
        <x:f>'浓度设置'!S12</x:f>
        <x:v>1735.828970588235</x:v>
      </x:c>
      <x:c r="AM95" s="9" t="n">
        <x:f>'浓度设置'!S15</x:f>
        <x:v>7385.813644067793</x:v>
      </x:c>
      <x:c r="AN95" s="9" t="n">
        <x:f>'浓度设置'!S19</x:f>
        <x:v>27722.03097701148</x:v>
      </x:c>
      <x:c r="AO95" s="9" t="n">
        <x:f>'浓度设置'!S22</x:f>
        <x:v>44345.55047619048</x:v>
      </x:c>
      <x:c r="AP95" s="9" t="n">
        <x:f>'浓度设置'!S26</x:f>
        <x:v>153318.30499999996</x:v>
      </x:c>
      <x:c r="AQ95" s="9" t="n">
        <x:f>'浓度设置'!S29</x:f>
        <x:v>312.7970588235294</x:v>
      </x:c>
      <x:c r="AR95" s="9" t="n">
        <x:f>'浓度设置'!S30</x:f>
        <x:v>104175.5097553192</x:v>
      </x:c>
      <x:c r="AS95" s="9" t="n">
        <x:f>'浓度设置'!S35</x:f>
        <x:v>405974.90656785714</x:v>
      </x:c>
    </x:row>
    <x:row r="96" ht="24" customHeight="1">
      <x:c r="A96" s="3" t="str">
        <x:f>'350配方'!A96</x:f>
        <x:v>T091</x:v>
      </x:c>
      <x:c r="B96" s="3" t="str">
        <x:f>'350配方'!B96</x:f>
        <x:v>拟合</x:v>
      </x:c>
      <x:c r="C96" s="3" t="n">
        <x:f>IF(B96="拟合",1,0)</x:f>
        <x:v>1</x:v>
      </x:c>
      <x:c r="D96" s="3" t="n">
        <x:f>'350配方'!AC96</x:f>
        <x:v>4</x:v>
      </x:c>
      <x:c r="E96" s="9" t="n">
        <x:f>SUMIFS('350配方'!$M96:$P96,'350配方'!$Y96:$AB96,7)</x:f>
        <x:v>0</x:v>
      </x:c>
      <x:c r="F96" s="9" t="n">
        <x:f>SUMIFS('350配方'!$M96:$P96,'350配方'!$Y96:$AB96,11)</x:f>
        <x:v>0</x:v>
      </x:c>
      <x:c r="G96" s="9" t="n">
        <x:f>SUMIFS('350配方'!$M96:$P96,'350配方'!$Y96:$AB96,18)</x:f>
        <x:v>0</x:v>
      </x:c>
      <x:c r="H96" s="9" t="n">
        <x:f>SUMIFS('350配方'!$M96:$P96,'350配方'!$Y96:$AB96,32)</x:f>
        <x:v>0</x:v>
      </x:c>
      <x:c r="I96" s="9" t="n">
        <x:f>SUMIFS('350配方'!$M96:$P96,'350配方'!$Y96:$AB96,40)</x:f>
        <x:v>21400</x:v>
      </x:c>
      <x:c r="J96" s="9" t="n">
        <x:f>SUMIFS('350配方'!$M96:$P96,'350配方'!$Y96:$AB96,52)</x:f>
        <x:v>0</x:v>
      </x:c>
      <x:c r="K96" s="9" t="n">
        <x:f>SUMIFS('350配方'!$M96:$P96,'350配方'!$Y96:$AB96,53)</x:f>
        <x:v>0</x:v>
      </x:c>
      <x:c r="L96" s="9" t="n">
        <x:f>SUMIFS('350配方'!$M96:$P96,'350配方'!$Y96:$AB96,56)</x:f>
        <x:v>0</x:v>
      </x:c>
      <x:c r="M96" s="9" t="n">
        <x:f>SUMIFS('350配方'!$M96:$P96,'350配方'!$Y96:$AB96,58)</x:f>
        <x:v>0</x:v>
      </x:c>
      <x:c r="N96" s="9" t="n">
        <x:f>SUMIFS('350配方'!$M96:$P96,'350配方'!$Y96:$AB96,61)</x:f>
        <x:v>0.51</x:v>
      </x:c>
      <x:c r="O96" s="9" t="n">
        <x:f>SUMIFS('350配方'!$M96:$P96,'350配方'!$Y96:$AB96,69)</x:f>
        <x:v>0</x:v>
      </x:c>
      <x:c r="P96" s="9" t="n">
        <x:f>SUMIFS('350配方'!$M96:$P96,'350配方'!$Y96:$AB96,75)</x:f>
        <x:v>0</x:v>
      </x:c>
      <x:c r="Q96" s="9" t="n">
        <x:f>SUMIFS('350配方'!$M96:$P96,'350配方'!$Y96:$AB96,79)</x:f>
        <x:v>0</x:v>
      </x:c>
      <x:c r="R96" s="9" t="n">
        <x:f>SUMIFS('350配方'!$M96:$P96,'350配方'!$Y96:$AB96,90)</x:f>
        <x:v>0</x:v>
      </x:c>
      <x:c r="S96" s="9" t="n">
        <x:f>SUMIFS('350配方'!$M96:$P96,'350配方'!$Y96:$AB96,105)</x:f>
        <x:v>0</x:v>
      </x:c>
      <x:c r="T96" s="9" t="n">
        <x:f>SUMIFS('350配方'!$M96:$P96,'350配方'!$Y96:$AB96,111)</x:f>
        <x:v>0</x:v>
      </x:c>
      <x:c r="U96" s="9" t="n">
        <x:f>SUMIFS('350配方'!$M96:$P96,'350配方'!$Y96:$AB96,114)</x:f>
        <x:v>0</x:v>
      </x:c>
      <x:c r="V96" s="9" t="n">
        <x:f>SUMIFS('350配方'!$M96:$P96,'350配方'!$Y96:$AB96,115)</x:f>
        <x:v>0</x:v>
      </x:c>
      <x:c r="W96" s="9" t="n">
        <x:f>SUMIFS('350配方'!$M96:$P96,'350配方'!$Y96:$AB96,117)</x:f>
        <x:v>0</x:v>
      </x:c>
      <x:c r="X96" s="9" t="n">
        <x:f>SUMIFS('350配方'!$M96:$P96,'350配方'!$Y96:$AB96,126)</x:f>
        <x:v>1551340.76</x:v>
      </x:c>
      <x:c r="Y96" s="9" t="n">
        <x:f>SUMIFS('350配方'!$M96:$P96,'350配方'!$Y96:$AB96,136)</x:f>
        <x:v>0</x:v>
      </x:c>
      <x:c r="Z96" s="9" t="n">
        <x:f>SUMIFS('350配方'!$M96:$P96,'350配方'!$Y96:$AB96,141)</x:f>
        <x:v>0</x:v>
      </x:c>
      <x:c r="AA96" s="9" t="n">
        <x:f>SUMIFS('350配方'!$M96:$P96,'350配方'!$Y96:$AB96,152)</x:f>
        <x:v>0</x:v>
      </x:c>
      <x:c r="AB96" s="9" t="n">
        <x:f>SUMIFS('350配方'!$M96:$P96,'350配方'!$Y96:$AB96,165)</x:f>
        <x:v>0</x:v>
      </x:c>
      <x:c r="AC96" s="9" t="n">
        <x:f>SUMIFS('350配方'!$M96:$P96,'350配方'!$Y96:$AB96,186)</x:f>
        <x:v>0</x:v>
      </x:c>
      <x:c r="AD96" s="9" t="n">
        <x:f>SUMIFS('350配方'!$M96:$P96,'350配方'!$Y96:$AB96,207)</x:f>
        <x:v>0</x:v>
      </x:c>
      <x:c r="AE96" s="9" t="n">
        <x:f>SUMIFS('350配方'!$M96:$P96,'350配方'!$Y96:$AB96,209)</x:f>
        <x:v>0</x:v>
      </x:c>
      <x:c r="AF96" s="9" t="n">
        <x:f>SUMIFS('350配方'!$M96:$P96,'350配方'!$Y96:$AB96,227)</x:f>
        <x:v>193759</x:v>
      </x:c>
      <x:c r="AG96" s="9" t="n">
        <x:f>SUMIFS('350配方'!$M96:$P96,'350配方'!$Y96:$AB96,232)</x:f>
        <x:v>0</x:v>
      </x:c>
      <x:c r="AH96" s="9" t="n">
        <x:f>SUMIFS('350配方'!$M96:$P96,'350配方'!$Y96:$AB96,255)</x:f>
        <x:v>0</x:v>
      </x:c>
      <x:c r="AI96" s="9" t="n">
        <x:f>'浓度设置'!S6</x:f>
        <x:v>219125.9626344086</x:v>
      </x:c>
      <x:c r="AJ96" s="9" t="n">
        <x:f>'浓度设置'!S8</x:f>
        <x:v>92796.92267241378</x:v>
      </x:c>
      <x:c r="AK96" s="9" t="n">
        <x:f>'浓度设置'!S10</x:f>
        <x:v>30556.797802197798</x:v>
      </x:c>
      <x:c r="AL96" s="9" t="n">
        <x:f>'浓度设置'!S12</x:f>
        <x:v>1735.828970588235</x:v>
      </x:c>
      <x:c r="AM96" s="9" t="n">
        <x:f>'浓度设置'!S15</x:f>
        <x:v>7385.813644067793</x:v>
      </x:c>
      <x:c r="AN96" s="9" t="n">
        <x:f>'浓度设置'!S19</x:f>
        <x:v>27722.03097701148</x:v>
      </x:c>
      <x:c r="AO96" s="9" t="n">
        <x:f>'浓度设置'!S22</x:f>
        <x:v>44345.55047619048</x:v>
      </x:c>
      <x:c r="AP96" s="9" t="n">
        <x:f>'浓度设置'!S26</x:f>
        <x:v>153318.30499999996</x:v>
      </x:c>
      <x:c r="AQ96" s="9" t="n">
        <x:f>'浓度设置'!S29</x:f>
        <x:v>312.7970588235294</x:v>
      </x:c>
      <x:c r="AR96" s="9" t="n">
        <x:f>'浓度设置'!S30</x:f>
        <x:v>104175.5097553192</x:v>
      </x:c>
      <x:c r="AS96" s="9" t="n">
        <x:f>'浓度设置'!S35</x:f>
        <x:v>405974.90656785714</x:v>
      </x:c>
    </x:row>
    <x:row r="97" ht="24" customHeight="1">
      <x:c r="A97" s="3" t="str">
        <x:f>'350配方'!A97</x:f>
        <x:v>T092</x:v>
      </x:c>
      <x:c r="B97" s="3" t="str">
        <x:f>'350配方'!B97</x:f>
        <x:v>拟合</x:v>
      </x:c>
      <x:c r="C97" s="3" t="n">
        <x:f>IF(B97="拟合",1,0)</x:f>
        <x:v>1</x:v>
      </x:c>
      <x:c r="D97" s="3" t="n">
        <x:f>'350配方'!AC97</x:f>
        <x:v>4</x:v>
      </x:c>
      <x:c r="E97" s="9" t="n">
        <x:f>SUMIFS('350配方'!$M97:$P97,'350配方'!$Y97:$AB97,7)</x:f>
        <x:v>3075.94</x:v>
      </x:c>
      <x:c r="F97" s="9" t="n">
        <x:f>SUMIFS('350配方'!$M97:$P97,'350配方'!$Y97:$AB97,11)</x:f>
        <x:v>0</x:v>
      </x:c>
      <x:c r="G97" s="9" t="n">
        <x:f>SUMIFS('350配方'!$M97:$P97,'350配方'!$Y97:$AB97,18)</x:f>
        <x:v>0</x:v>
      </x:c>
      <x:c r="H97" s="9" t="n">
        <x:f>SUMIFS('350配方'!$M97:$P97,'350配方'!$Y97:$AB97,32)</x:f>
        <x:v>0</x:v>
      </x:c>
      <x:c r="I97" s="9" t="n">
        <x:f>SUMIFS('350配方'!$M97:$P97,'350配方'!$Y97:$AB97,40)</x:f>
        <x:v>0</x:v>
      </x:c>
      <x:c r="J97" s="9" t="n">
        <x:f>SUMIFS('350配方'!$M97:$P97,'350配方'!$Y97:$AB97,52)</x:f>
        <x:v>0</x:v>
      </x:c>
      <x:c r="K97" s="9" t="n">
        <x:f>SUMIFS('350配方'!$M97:$P97,'350配方'!$Y97:$AB97,53)</x:f>
        <x:v>0</x:v>
      </x:c>
      <x:c r="L97" s="9" t="n">
        <x:f>SUMIFS('350配方'!$M97:$P97,'350配方'!$Y97:$AB97,56)</x:f>
        <x:v>0</x:v>
      </x:c>
      <x:c r="M97" s="9" t="n">
        <x:f>SUMIFS('350配方'!$M97:$P97,'350配方'!$Y97:$AB97,58)</x:f>
        <x:v>0</x:v>
      </x:c>
      <x:c r="N97" s="9" t="n">
        <x:f>SUMIFS('350配方'!$M97:$P97,'350配方'!$Y97:$AB97,61)</x:f>
        <x:v>0</x:v>
      </x:c>
      <x:c r="O97" s="9" t="n">
        <x:f>SUMIFS('350配方'!$M97:$P97,'350配方'!$Y97:$AB97,69)</x:f>
        <x:v>0</x:v>
      </x:c>
      <x:c r="P97" s="9" t="n">
        <x:f>SUMIFS('350配方'!$M97:$P97,'350配方'!$Y97:$AB97,75)</x:f>
        <x:v>0</x:v>
      </x:c>
      <x:c r="Q97" s="9" t="n">
        <x:f>SUMIFS('350配方'!$M97:$P97,'350配方'!$Y97:$AB97,79)</x:f>
        <x:v>0</x:v>
      </x:c>
      <x:c r="R97" s="9" t="n">
        <x:f>SUMIFS('350配方'!$M97:$P97,'350配方'!$Y97:$AB97,90)</x:f>
        <x:v>0</x:v>
      </x:c>
      <x:c r="S97" s="9" t="n">
        <x:f>SUMIFS('350配方'!$M97:$P97,'350配方'!$Y97:$AB97,105)</x:f>
        <x:v>0</x:v>
      </x:c>
      <x:c r="T97" s="9" t="n">
        <x:f>SUMIFS('350配方'!$M97:$P97,'350配方'!$Y97:$AB97,111)</x:f>
        <x:v>0</x:v>
      </x:c>
      <x:c r="U97" s="9" t="n">
        <x:f>SUMIFS('350配方'!$M97:$P97,'350配方'!$Y97:$AB97,114)</x:f>
        <x:v>3147.945</x:v>
      </x:c>
      <x:c r="V97" s="9" t="n">
        <x:f>SUMIFS('350配方'!$M97:$P97,'350配方'!$Y97:$AB97,115)</x:f>
        <x:v>0</x:v>
      </x:c>
      <x:c r="W97" s="9" t="n">
        <x:f>SUMIFS('350配方'!$M97:$P97,'350配方'!$Y97:$AB97,117)</x:f>
        <x:v>0</x:v>
      </x:c>
      <x:c r="X97" s="9" t="n">
        <x:f>SUMIFS('350配方'!$M97:$P97,'350配方'!$Y97:$AB97,126)</x:f>
        <x:v>0</x:v>
      </x:c>
      <x:c r="Y97" s="9" t="n">
        <x:f>SUMIFS('350配方'!$M97:$P97,'350配方'!$Y97:$AB97,136)</x:f>
        <x:v>0</x:v>
      </x:c>
      <x:c r="Z97" s="9" t="n">
        <x:f>SUMIFS('350配方'!$M97:$P97,'350配方'!$Y97:$AB97,141)</x:f>
        <x:v>0</x:v>
      </x:c>
      <x:c r="AA97" s="9" t="n">
        <x:f>SUMIFS('350配方'!$M97:$P97,'350配方'!$Y97:$AB97,152)</x:f>
        <x:v>0</x:v>
      </x:c>
      <x:c r="AB97" s="9" t="n">
        <x:f>SUMIFS('350配方'!$M97:$P97,'350配方'!$Y97:$AB97,165)</x:f>
        <x:v>0</x:v>
      </x:c>
      <x:c r="AC97" s="9" t="n">
        <x:f>SUMIFS('350配方'!$M97:$P97,'350配方'!$Y97:$AB97,186)</x:f>
        <x:v>0</x:v>
      </x:c>
      <x:c r="AD97" s="9" t="n">
        <x:f>SUMIFS('350配方'!$M97:$P97,'350配方'!$Y97:$AB97,207)</x:f>
        <x:v>0</x:v>
      </x:c>
      <x:c r="AE97" s="9" t="n">
        <x:f>SUMIFS('350配方'!$M97:$P97,'350配方'!$Y97:$AB97,209)</x:f>
        <x:v>4201.44</x:v>
      </x:c>
      <x:c r="AF97" s="9" t="n">
        <x:f>SUMIFS('350配方'!$M97:$P97,'350配方'!$Y97:$AB97,227)</x:f>
        <x:v>0</x:v>
      </x:c>
      <x:c r="AG97" s="9" t="n">
        <x:f>SUMIFS('350配方'!$M97:$P97,'350配方'!$Y97:$AB97,232)</x:f>
        <x:v>0</x:v>
      </x:c>
      <x:c r="AH97" s="9" t="n">
        <x:f>SUMIFS('350配方'!$M97:$P97,'350配方'!$Y97:$AB97,255)</x:f>
        <x:v>1.5</x:v>
      </x:c>
      <x:c r="AI97" s="9" t="n">
        <x:f>'浓度设置'!S6</x:f>
        <x:v>219125.9626344086</x:v>
      </x:c>
      <x:c r="AJ97" s="9" t="n">
        <x:f>'浓度设置'!S8</x:f>
        <x:v>92796.92267241378</x:v>
      </x:c>
      <x:c r="AK97" s="9" t="n">
        <x:f>'浓度设置'!S10</x:f>
        <x:v>30556.797802197798</x:v>
      </x:c>
      <x:c r="AL97" s="9" t="n">
        <x:f>'浓度设置'!S12</x:f>
        <x:v>1735.828970588235</x:v>
      </x:c>
      <x:c r="AM97" s="9" t="n">
        <x:f>'浓度设置'!S15</x:f>
        <x:v>7385.813644067793</x:v>
      </x:c>
      <x:c r="AN97" s="9" t="n">
        <x:f>'浓度设置'!S19</x:f>
        <x:v>27722.03097701148</x:v>
      </x:c>
      <x:c r="AO97" s="9" t="n">
        <x:f>'浓度设置'!S22</x:f>
        <x:v>44345.55047619048</x:v>
      </x:c>
      <x:c r="AP97" s="9" t="n">
        <x:f>'浓度设置'!S26</x:f>
        <x:v>153318.30499999996</x:v>
      </x:c>
      <x:c r="AQ97" s="9" t="n">
        <x:f>'浓度设置'!S29</x:f>
        <x:v>312.7970588235294</x:v>
      </x:c>
      <x:c r="AR97" s="9" t="n">
        <x:f>'浓度设置'!S30</x:f>
        <x:v>104175.5097553192</x:v>
      </x:c>
      <x:c r="AS97" s="9" t="n">
        <x:f>'浓度设置'!S35</x:f>
        <x:v>405974.90656785714</x:v>
      </x:c>
    </x:row>
    <x:row r="98" ht="24" customHeight="1">
      <x:c r="A98" s="3" t="str">
        <x:f>'350配方'!A98</x:f>
        <x:v>T093</x:v>
      </x:c>
      <x:c r="B98" s="3" t="str">
        <x:f>'350配方'!B98</x:f>
        <x:v>拟合</x:v>
      </x:c>
      <x:c r="C98" s="3" t="n">
        <x:f>IF(B98="拟合",1,0)</x:f>
        <x:v>1</x:v>
      </x:c>
      <x:c r="D98" s="3" t="n">
        <x:f>'350配方'!AC98</x:f>
        <x:v>4</x:v>
      </x:c>
      <x:c r="E98" s="9" t="n">
        <x:f>SUMIFS('350配方'!$M98:$P98,'350配方'!$Y98:$AB98,7)</x:f>
        <x:v>0</x:v>
      </x:c>
      <x:c r="F98" s="9" t="n">
        <x:f>SUMIFS('350配方'!$M98:$P98,'350配方'!$Y98:$AB98,11)</x:f>
        <x:v>0</x:v>
      </x:c>
      <x:c r="G98" s="9" t="n">
        <x:f>SUMIFS('350配方'!$M98:$P98,'350配方'!$Y98:$AB98,18)</x:f>
        <x:v>0</x:v>
      </x:c>
      <x:c r="H98" s="9" t="n">
        <x:f>SUMIFS('350配方'!$M98:$P98,'350配方'!$Y98:$AB98,32)</x:f>
        <x:v>0</x:v>
      </x:c>
      <x:c r="I98" s="9" t="n">
        <x:f>SUMIFS('350配方'!$M98:$P98,'350配方'!$Y98:$AB98,40)</x:f>
        <x:v>0</x:v>
      </x:c>
      <x:c r="J98" s="9" t="n">
        <x:f>SUMIFS('350配方'!$M98:$P98,'350配方'!$Y98:$AB98,52)</x:f>
        <x:v>4.24</x:v>
      </x:c>
      <x:c r="K98" s="9" t="n">
        <x:f>SUMIFS('350配方'!$M98:$P98,'350配方'!$Y98:$AB98,53)</x:f>
        <x:v>0</x:v>
      </x:c>
      <x:c r="L98" s="9" t="n">
        <x:f>SUMIFS('350配方'!$M98:$P98,'350配方'!$Y98:$AB98,56)</x:f>
        <x:v>0</x:v>
      </x:c>
      <x:c r="M98" s="9" t="n">
        <x:f>SUMIFS('350配方'!$M98:$P98,'350配方'!$Y98:$AB98,58)</x:f>
        <x:v>3072.731960324558</x:v>
      </x:c>
      <x:c r="N98" s="9" t="n">
        <x:f>SUMIFS('350配方'!$M98:$P98,'350配方'!$Y98:$AB98,61)</x:f>
        <x:v>0</x:v>
      </x:c>
      <x:c r="O98" s="9" t="n">
        <x:f>SUMIFS('350配方'!$M98:$P98,'350配方'!$Y98:$AB98,69)</x:f>
        <x:v>0</x:v>
      </x:c>
      <x:c r="P98" s="9" t="n">
        <x:f>SUMIFS('350配方'!$M98:$P98,'350配方'!$Y98:$AB98,75)</x:f>
        <x:v>0</x:v>
      </x:c>
      <x:c r="Q98" s="9" t="n">
        <x:f>SUMIFS('350配方'!$M98:$P98,'350配方'!$Y98:$AB98,79)</x:f>
        <x:v>0</x:v>
      </x:c>
      <x:c r="R98" s="9" t="n">
        <x:f>SUMIFS('350配方'!$M98:$P98,'350配方'!$Y98:$AB98,90)</x:f>
        <x:v>0</x:v>
      </x:c>
      <x:c r="S98" s="9" t="n">
        <x:f>SUMIFS('350配方'!$M98:$P98,'350配方'!$Y98:$AB98,105)</x:f>
        <x:v>0.05</x:v>
      </x:c>
      <x:c r="T98" s="9" t="n">
        <x:f>SUMIFS('350配方'!$M98:$P98,'350配方'!$Y98:$AB98,111)</x:f>
        <x:v>0</x:v>
      </x:c>
      <x:c r="U98" s="9" t="n">
        <x:f>SUMIFS('350配方'!$M98:$P98,'350配方'!$Y98:$AB98,114)</x:f>
        <x:v>0</x:v>
      </x:c>
      <x:c r="V98" s="9" t="n">
        <x:f>SUMIFS('350配方'!$M98:$P98,'350配方'!$Y98:$AB98,115)</x:f>
        <x:v>0</x:v>
      </x:c>
      <x:c r="W98" s="9" t="n">
        <x:f>SUMIFS('350配方'!$M98:$P98,'350配方'!$Y98:$AB98,117)</x:f>
        <x:v>40201.1</x:v>
      </x:c>
      <x:c r="X98" s="9" t="n">
        <x:f>SUMIFS('350配方'!$M98:$P98,'350配方'!$Y98:$AB98,126)</x:f>
        <x:v>0</x:v>
      </x:c>
      <x:c r="Y98" s="9" t="n">
        <x:f>SUMIFS('350配方'!$M98:$P98,'350配方'!$Y98:$AB98,136)</x:f>
        <x:v>0</x:v>
      </x:c>
      <x:c r="Z98" s="9" t="n">
        <x:f>SUMIFS('350配方'!$M98:$P98,'350配方'!$Y98:$AB98,141)</x:f>
        <x:v>0</x:v>
      </x:c>
      <x:c r="AA98" s="9" t="n">
        <x:f>SUMIFS('350配方'!$M98:$P98,'350配方'!$Y98:$AB98,152)</x:f>
        <x:v>0</x:v>
      </x:c>
      <x:c r="AB98" s="9" t="n">
        <x:f>SUMIFS('350配方'!$M98:$P98,'350配方'!$Y98:$AB98,165)</x:f>
        <x:v>0</x:v>
      </x:c>
      <x:c r="AC98" s="9" t="n">
        <x:f>SUMIFS('350配方'!$M98:$P98,'350配方'!$Y98:$AB98,186)</x:f>
        <x:v>0</x:v>
      </x:c>
      <x:c r="AD98" s="9" t="n">
        <x:f>SUMIFS('350配方'!$M98:$P98,'350配方'!$Y98:$AB98,207)</x:f>
        <x:v>0</x:v>
      </x:c>
      <x:c r="AE98" s="9" t="n">
        <x:f>SUMIFS('350配方'!$M98:$P98,'350配方'!$Y98:$AB98,209)</x:f>
        <x:v>0</x:v>
      </x:c>
      <x:c r="AF98" s="9" t="n">
        <x:f>SUMIFS('350配方'!$M98:$P98,'350配方'!$Y98:$AB98,227)</x:f>
        <x:v>0</x:v>
      </x:c>
      <x:c r="AG98" s="9" t="n">
        <x:f>SUMIFS('350配方'!$M98:$P98,'350配方'!$Y98:$AB98,232)</x:f>
        <x:v>0</x:v>
      </x:c>
      <x:c r="AH98" s="9" t="n">
        <x:f>SUMIFS('350配方'!$M98:$P98,'350配方'!$Y98:$AB98,255)</x:f>
        <x:v>0</x:v>
      </x:c>
      <x:c r="AI98" s="9" t="n">
        <x:f>'浓度设置'!S6</x:f>
        <x:v>219125.9626344086</x:v>
      </x:c>
      <x:c r="AJ98" s="9" t="n">
        <x:f>'浓度设置'!S8</x:f>
        <x:v>92796.92267241378</x:v>
      </x:c>
      <x:c r="AK98" s="9" t="n">
        <x:f>'浓度设置'!S10</x:f>
        <x:v>30556.797802197798</x:v>
      </x:c>
      <x:c r="AL98" s="9" t="n">
        <x:f>'浓度设置'!S12</x:f>
        <x:v>1735.828970588235</x:v>
      </x:c>
      <x:c r="AM98" s="9" t="n">
        <x:f>'浓度设置'!S15</x:f>
        <x:v>7385.813644067793</x:v>
      </x:c>
      <x:c r="AN98" s="9" t="n">
        <x:f>'浓度设置'!S19</x:f>
        <x:v>27722.03097701148</x:v>
      </x:c>
      <x:c r="AO98" s="9" t="n">
        <x:f>'浓度设置'!S22</x:f>
        <x:v>44345.55047619048</x:v>
      </x:c>
      <x:c r="AP98" s="9" t="n">
        <x:f>'浓度设置'!S26</x:f>
        <x:v>153318.30499999996</x:v>
      </x:c>
      <x:c r="AQ98" s="9" t="n">
        <x:f>'浓度设置'!S29</x:f>
        <x:v>312.7970588235294</x:v>
      </x:c>
      <x:c r="AR98" s="9" t="n">
        <x:f>'浓度设置'!S30</x:f>
        <x:v>104175.5097553192</x:v>
      </x:c>
      <x:c r="AS98" s="9" t="n">
        <x:f>'浓度设置'!S35</x:f>
        <x:v>405974.90656785714</x:v>
      </x:c>
    </x:row>
    <x:row r="99" ht="24" customHeight="1">
      <x:c r="A99" s="3" t="str">
        <x:f>'350配方'!A99</x:f>
        <x:v>T094</x:v>
      </x:c>
      <x:c r="B99" s="3" t="str">
        <x:f>'350配方'!B99</x:f>
        <x:v>拟合</x:v>
      </x:c>
      <x:c r="C99" s="3" t="n">
        <x:f>IF(B99="拟合",1,0)</x:f>
        <x:v>1</x:v>
      </x:c>
      <x:c r="D99" s="3" t="n">
        <x:f>'350配方'!AC99</x:f>
        <x:v>4</x:v>
      </x:c>
      <x:c r="E99" s="9" t="n">
        <x:f>SUMIFS('350配方'!$M99:$P99,'350配方'!$Y99:$AB99,7)</x:f>
        <x:v>0</x:v>
      </x:c>
      <x:c r="F99" s="9" t="n">
        <x:f>SUMIFS('350配方'!$M99:$P99,'350配方'!$Y99:$AB99,11)</x:f>
        <x:v>0</x:v>
      </x:c>
      <x:c r="G99" s="9" t="n">
        <x:f>SUMIFS('350配方'!$M99:$P99,'350配方'!$Y99:$AB99,18)</x:f>
        <x:v>0</x:v>
      </x:c>
      <x:c r="H99" s="9" t="n">
        <x:f>SUMIFS('350配方'!$M99:$P99,'350配方'!$Y99:$AB99,32)</x:f>
        <x:v>0</x:v>
      </x:c>
      <x:c r="I99" s="9" t="n">
        <x:f>SUMIFS('350配方'!$M99:$P99,'350配方'!$Y99:$AB99,40)</x:f>
        <x:v>0</x:v>
      </x:c>
      <x:c r="J99" s="9" t="n">
        <x:f>SUMIFS('350配方'!$M99:$P99,'350配方'!$Y99:$AB99,52)</x:f>
        <x:v>0</x:v>
      </x:c>
      <x:c r="K99" s="9" t="n">
        <x:f>SUMIFS('350配方'!$M99:$P99,'350配方'!$Y99:$AB99,53)</x:f>
        <x:v>9.61</x:v>
      </x:c>
      <x:c r="L99" s="9" t="n">
        <x:f>SUMIFS('350配方'!$M99:$P99,'350配方'!$Y99:$AB99,56)</x:f>
        <x:v>1041.8500000000001</x:v>
      </x:c>
      <x:c r="M99" s="9" t="n">
        <x:f>SUMIFS('350配方'!$M99:$P99,'350配方'!$Y99:$AB99,58)</x:f>
        <x:v>0</x:v>
      </x:c>
      <x:c r="N99" s="9" t="n">
        <x:f>SUMIFS('350配方'!$M99:$P99,'350配方'!$Y99:$AB99,61)</x:f>
        <x:v>0</x:v>
      </x:c>
      <x:c r="O99" s="9" t="n">
        <x:f>SUMIFS('350配方'!$M99:$P99,'350配方'!$Y99:$AB99,69)</x:f>
        <x:v>12022.2</x:v>
      </x:c>
      <x:c r="P99" s="9" t="n">
        <x:f>SUMIFS('350配方'!$M99:$P99,'350配方'!$Y99:$AB99,75)</x:f>
        <x:v>0</x:v>
      </x:c>
      <x:c r="Q99" s="9" t="n">
        <x:f>SUMIFS('350配方'!$M99:$P99,'350配方'!$Y99:$AB99,79)</x:f>
        <x:v>0</x:v>
      </x:c>
      <x:c r="R99" s="9" t="n">
        <x:f>SUMIFS('350配方'!$M99:$P99,'350配方'!$Y99:$AB99,90)</x:f>
        <x:v>0</x:v>
      </x:c>
      <x:c r="S99" s="9" t="n">
        <x:f>SUMIFS('350配方'!$M99:$P99,'350配方'!$Y99:$AB99,105)</x:f>
        <x:v>0</x:v>
      </x:c>
      <x:c r="T99" s="9" t="n">
        <x:f>SUMIFS('350配方'!$M99:$P99,'350配方'!$Y99:$AB99,111)</x:f>
        <x:v>0</x:v>
      </x:c>
      <x:c r="U99" s="9" t="n">
        <x:f>SUMIFS('350配方'!$M99:$P99,'350配方'!$Y99:$AB99,114)</x:f>
        <x:v>0</x:v>
      </x:c>
      <x:c r="V99" s="9" t="n">
        <x:f>SUMIFS('350配方'!$M99:$P99,'350配方'!$Y99:$AB99,115)</x:f>
        <x:v>0</x:v>
      </x:c>
      <x:c r="W99" s="9" t="n">
        <x:f>SUMIFS('350配方'!$M99:$P99,'350配方'!$Y99:$AB99,117)</x:f>
        <x:v>0</x:v>
      </x:c>
      <x:c r="X99" s="9" t="n">
        <x:f>SUMIFS('350配方'!$M99:$P99,'350配方'!$Y99:$AB99,126)</x:f>
        <x:v>0</x:v>
      </x:c>
      <x:c r="Y99" s="9" t="n">
        <x:f>SUMIFS('350配方'!$M99:$P99,'350配方'!$Y99:$AB99,136)</x:f>
        <x:v>0</x:v>
      </x:c>
      <x:c r="Z99" s="9" t="n">
        <x:f>SUMIFS('350配方'!$M99:$P99,'350配方'!$Y99:$AB99,141)</x:f>
        <x:v>0</x:v>
      </x:c>
      <x:c r="AA99" s="9" t="n">
        <x:f>SUMIFS('350配方'!$M99:$P99,'350配方'!$Y99:$AB99,152)</x:f>
        <x:v>0</x:v>
      </x:c>
      <x:c r="AB99" s="9" t="n">
        <x:f>SUMIFS('350配方'!$M99:$P99,'350配方'!$Y99:$AB99,165)</x:f>
        <x:v>0</x:v>
      </x:c>
      <x:c r="AC99" s="9" t="n">
        <x:f>SUMIFS('350配方'!$M99:$P99,'350配方'!$Y99:$AB99,186)</x:f>
        <x:v>0</x:v>
      </x:c>
      <x:c r="AD99" s="9" t="n">
        <x:f>SUMIFS('350配方'!$M99:$P99,'350配方'!$Y99:$AB99,207)</x:f>
        <x:v>16.47573974060042</x:v>
      </x:c>
      <x:c r="AE99" s="9" t="n">
        <x:f>SUMIFS('350配方'!$M99:$P99,'350配方'!$Y99:$AB99,209)</x:f>
        <x:v>0</x:v>
      </x:c>
      <x:c r="AF99" s="9" t="n">
        <x:f>SUMIFS('350配方'!$M99:$P99,'350配方'!$Y99:$AB99,227)</x:f>
        <x:v>0</x:v>
      </x:c>
      <x:c r="AG99" s="9" t="n">
        <x:f>SUMIFS('350配方'!$M99:$P99,'350配方'!$Y99:$AB99,232)</x:f>
        <x:v>0</x:v>
      </x:c>
      <x:c r="AH99" s="9" t="n">
        <x:f>SUMIFS('350配方'!$M99:$P99,'350配方'!$Y99:$AB99,255)</x:f>
        <x:v>0</x:v>
      </x:c>
      <x:c r="AI99" s="9" t="n">
        <x:f>'浓度设置'!S6</x:f>
        <x:v>219125.9626344086</x:v>
      </x:c>
      <x:c r="AJ99" s="9" t="n">
        <x:f>'浓度设置'!S8</x:f>
        <x:v>92796.92267241378</x:v>
      </x:c>
      <x:c r="AK99" s="9" t="n">
        <x:f>'浓度设置'!S10</x:f>
        <x:v>30556.797802197798</x:v>
      </x:c>
      <x:c r="AL99" s="9" t="n">
        <x:f>'浓度设置'!S12</x:f>
        <x:v>1735.828970588235</x:v>
      </x:c>
      <x:c r="AM99" s="9" t="n">
        <x:f>'浓度设置'!S15</x:f>
        <x:v>7385.813644067793</x:v>
      </x:c>
      <x:c r="AN99" s="9" t="n">
        <x:f>'浓度设置'!S19</x:f>
        <x:v>27722.03097701148</x:v>
      </x:c>
      <x:c r="AO99" s="9" t="n">
        <x:f>'浓度设置'!S22</x:f>
        <x:v>44345.55047619048</x:v>
      </x:c>
      <x:c r="AP99" s="9" t="n">
        <x:f>'浓度设置'!S26</x:f>
        <x:v>153318.30499999996</x:v>
      </x:c>
      <x:c r="AQ99" s="9" t="n">
        <x:f>'浓度设置'!S29</x:f>
        <x:v>312.7970588235294</x:v>
      </x:c>
      <x:c r="AR99" s="9" t="n">
        <x:f>'浓度设置'!S30</x:f>
        <x:v>104175.5097553192</x:v>
      </x:c>
      <x:c r="AS99" s="9" t="n">
        <x:f>'浓度设置'!S35</x:f>
        <x:v>405974.90656785714</x:v>
      </x:c>
    </x:row>
    <x:row r="100" ht="24" customHeight="1">
      <x:c r="A100" s="3" t="str">
        <x:f>'350配方'!A100</x:f>
        <x:v>T095</x:v>
      </x:c>
      <x:c r="B100" s="3" t="str">
        <x:f>'350配方'!B100</x:f>
        <x:v>拟合</x:v>
      </x:c>
      <x:c r="C100" s="3" t="n">
        <x:f>IF(B100="拟合",1,0)</x:f>
        <x:v>1</x:v>
      </x:c>
      <x:c r="D100" s="3" t="n">
        <x:f>'350配方'!AC100</x:f>
        <x:v>4</x:v>
      </x:c>
      <x:c r="E100" s="9" t="n">
        <x:f>SUMIFS('350配方'!$M100:$P100,'350配方'!$Y100:$AB100,7)</x:f>
        <x:v>0</x:v>
      </x:c>
      <x:c r="F100" s="9" t="n">
        <x:f>SUMIFS('350配方'!$M100:$P100,'350配方'!$Y100:$AB100,11)</x:f>
        <x:v>0</x:v>
      </x:c>
      <x:c r="G100" s="9" t="n">
        <x:f>SUMIFS('350配方'!$M100:$P100,'350配方'!$Y100:$AB100,18)</x:f>
        <x:v>0</x:v>
      </x:c>
      <x:c r="H100" s="9" t="n">
        <x:f>SUMIFS('350配方'!$M100:$P100,'350配方'!$Y100:$AB100,32)</x:f>
        <x:v>0</x:v>
      </x:c>
      <x:c r="I100" s="9" t="n">
        <x:f>SUMIFS('350配方'!$M100:$P100,'350配方'!$Y100:$AB100,40)</x:f>
        <x:v>0</x:v>
      </x:c>
      <x:c r="J100" s="9" t="n">
        <x:f>SUMIFS('350配方'!$M100:$P100,'350配方'!$Y100:$AB100,52)</x:f>
        <x:v>0</x:v>
      </x:c>
      <x:c r="K100" s="9" t="n">
        <x:f>SUMIFS('350配方'!$M100:$P100,'350配方'!$Y100:$AB100,53)</x:f>
        <x:v>0</x:v>
      </x:c>
      <x:c r="L100" s="9" t="n">
        <x:f>SUMIFS('350配方'!$M100:$P100,'350配方'!$Y100:$AB100,56)</x:f>
        <x:v>0</x:v>
      </x:c>
      <x:c r="M100" s="9" t="n">
        <x:f>SUMIFS('350配方'!$M100:$P100,'350配方'!$Y100:$AB100,58)</x:f>
        <x:v>0</x:v>
      </x:c>
      <x:c r="N100" s="9" t="n">
        <x:f>SUMIFS('350配方'!$M100:$P100,'350配方'!$Y100:$AB100,61)</x:f>
        <x:v>6914</x:v>
      </x:c>
      <x:c r="O100" s="9" t="n">
        <x:f>SUMIFS('350配方'!$M100:$P100,'350配方'!$Y100:$AB100,69)</x:f>
        <x:v>0</x:v>
      </x:c>
      <x:c r="P100" s="9" t="n">
        <x:f>SUMIFS('350配方'!$M100:$P100,'350配方'!$Y100:$AB100,75)</x:f>
        <x:v>0</x:v>
      </x:c>
      <x:c r="Q100" s="9" t="n">
        <x:f>SUMIFS('350配方'!$M100:$P100,'350配方'!$Y100:$AB100,79)</x:f>
        <x:v>0</x:v>
      </x:c>
      <x:c r="R100" s="9" t="n">
        <x:f>SUMIFS('350配方'!$M100:$P100,'350配方'!$Y100:$AB100,90)</x:f>
        <x:v>0</x:v>
      </x:c>
      <x:c r="S100" s="9" t="n">
        <x:f>SUMIFS('350配方'!$M100:$P100,'350配方'!$Y100:$AB100,105)</x:f>
        <x:v>0</x:v>
      </x:c>
      <x:c r="T100" s="9" t="n">
        <x:f>SUMIFS('350配方'!$M100:$P100,'350配方'!$Y100:$AB100,111)</x:f>
        <x:v>0</x:v>
      </x:c>
      <x:c r="U100" s="9" t="n">
        <x:f>SUMIFS('350配方'!$M100:$P100,'350配方'!$Y100:$AB100,114)</x:f>
        <x:v>0</x:v>
      </x:c>
      <x:c r="V100" s="9" t="n">
        <x:f>SUMIFS('350配方'!$M100:$P100,'350配方'!$Y100:$AB100,115)</x:f>
        <x:v>6516</x:v>
      </x:c>
      <x:c r="W100" s="9" t="n">
        <x:f>SUMIFS('350配方'!$M100:$P100,'350配方'!$Y100:$AB100,117)</x:f>
        <x:v>40201.1</x:v>
      </x:c>
      <x:c r="X100" s="9" t="n">
        <x:f>SUMIFS('350配方'!$M100:$P100,'350配方'!$Y100:$AB100,126)</x:f>
        <x:v>0</x:v>
      </x:c>
      <x:c r="Y100" s="9" t="n">
        <x:f>SUMIFS('350配方'!$M100:$P100,'350配方'!$Y100:$AB100,136)</x:f>
        <x:v>0</x:v>
      </x:c>
      <x:c r="Z100" s="9" t="n">
        <x:f>SUMIFS('350配方'!$M100:$P100,'350配方'!$Y100:$AB100,141)</x:f>
        <x:v>0</x:v>
      </x:c>
      <x:c r="AA100" s="9" t="n">
        <x:f>SUMIFS('350配方'!$M100:$P100,'350配方'!$Y100:$AB100,152)</x:f>
        <x:v>0</x:v>
      </x:c>
      <x:c r="AB100" s="9" t="n">
        <x:f>SUMIFS('350配方'!$M100:$P100,'350配方'!$Y100:$AB100,165)</x:f>
        <x:v>0</x:v>
      </x:c>
      <x:c r="AC100" s="9" t="n">
        <x:f>SUMIFS('350配方'!$M100:$P100,'350配方'!$Y100:$AB100,186)</x:f>
        <x:v>0</x:v>
      </x:c>
      <x:c r="AD100" s="9" t="n">
        <x:f>SUMIFS('350配方'!$M100:$P100,'350配方'!$Y100:$AB100,207)</x:f>
        <x:v>0</x:v>
      </x:c>
      <x:c r="AE100" s="9" t="n">
        <x:f>SUMIFS('350配方'!$M100:$P100,'350配方'!$Y100:$AB100,209)</x:f>
        <x:v>0</x:v>
      </x:c>
      <x:c r="AF100" s="9" t="n">
        <x:f>SUMIFS('350配方'!$M100:$P100,'350配方'!$Y100:$AB100,227)</x:f>
        <x:v>0</x:v>
      </x:c>
      <x:c r="AG100" s="9" t="n">
        <x:f>SUMIFS('350配方'!$M100:$P100,'350配方'!$Y100:$AB100,232)</x:f>
        <x:v>0</x:v>
      </x:c>
      <x:c r="AH100" s="9" t="n">
        <x:f>SUMIFS('350配方'!$M100:$P100,'350配方'!$Y100:$AB100,255)</x:f>
        <x:v>1.5</x:v>
      </x:c>
      <x:c r="AI100" s="9" t="n">
        <x:f>'浓度设置'!S6</x:f>
        <x:v>219125.9626344086</x:v>
      </x:c>
      <x:c r="AJ100" s="9" t="n">
        <x:f>'浓度设置'!S8</x:f>
        <x:v>92796.92267241378</x:v>
      </x:c>
      <x:c r="AK100" s="9" t="n">
        <x:f>'浓度设置'!S10</x:f>
        <x:v>30556.797802197798</x:v>
      </x:c>
      <x:c r="AL100" s="9" t="n">
        <x:f>'浓度设置'!S12</x:f>
        <x:v>1735.828970588235</x:v>
      </x:c>
      <x:c r="AM100" s="9" t="n">
        <x:f>'浓度设置'!S15</x:f>
        <x:v>7385.813644067793</x:v>
      </x:c>
      <x:c r="AN100" s="9" t="n">
        <x:f>'浓度设置'!S19</x:f>
        <x:v>27722.03097701148</x:v>
      </x:c>
      <x:c r="AO100" s="9" t="n">
        <x:f>'浓度设置'!S22</x:f>
        <x:v>44345.55047619048</x:v>
      </x:c>
      <x:c r="AP100" s="9" t="n">
        <x:f>'浓度设置'!S26</x:f>
        <x:v>153318.30499999996</x:v>
      </x:c>
      <x:c r="AQ100" s="9" t="n">
        <x:f>'浓度设置'!S29</x:f>
        <x:v>312.7970588235294</x:v>
      </x:c>
      <x:c r="AR100" s="9" t="n">
        <x:f>'浓度设置'!S30</x:f>
        <x:v>104175.5097553192</x:v>
      </x:c>
      <x:c r="AS100" s="9" t="n">
        <x:f>'浓度设置'!S35</x:f>
        <x:v>405974.90656785714</x:v>
      </x:c>
    </x:row>
    <x:row r="101" ht="24" customHeight="1">
      <x:c r="A101" s="3" t="str">
        <x:f>'350配方'!A101</x:f>
        <x:v>T096</x:v>
      </x:c>
      <x:c r="B101" s="3" t="str">
        <x:f>'350配方'!B101</x:f>
        <x:v>拟合</x:v>
      </x:c>
      <x:c r="C101" s="3" t="n">
        <x:f>IF(B101="拟合",1,0)</x:f>
        <x:v>1</x:v>
      </x:c>
      <x:c r="D101" s="3" t="n">
        <x:f>'350配方'!AC101</x:f>
        <x:v>4</x:v>
      </x:c>
      <x:c r="E101" s="9" t="n">
        <x:f>SUMIFS('350配方'!$M101:$P101,'350配方'!$Y101:$AB101,7)</x:f>
        <x:v>0</x:v>
      </x:c>
      <x:c r="F101" s="9" t="n">
        <x:f>SUMIFS('350配方'!$M101:$P101,'350配方'!$Y101:$AB101,11)</x:f>
        <x:v>0</x:v>
      </x:c>
      <x:c r="G101" s="9" t="n">
        <x:f>SUMIFS('350配方'!$M101:$P101,'350配方'!$Y101:$AB101,18)</x:f>
        <x:v>0</x:v>
      </x:c>
      <x:c r="H101" s="9" t="n">
        <x:f>SUMIFS('350配方'!$M101:$P101,'350配方'!$Y101:$AB101,32)</x:f>
        <x:v>0</x:v>
      </x:c>
      <x:c r="I101" s="9" t="n">
        <x:f>SUMIFS('350配方'!$M101:$P101,'350配方'!$Y101:$AB101,40)</x:f>
        <x:v>0</x:v>
      </x:c>
      <x:c r="J101" s="9" t="n">
        <x:f>SUMIFS('350配方'!$M101:$P101,'350配方'!$Y101:$AB101,52)</x:f>
        <x:v>0</x:v>
      </x:c>
      <x:c r="K101" s="9" t="n">
        <x:f>SUMIFS('350配方'!$M101:$P101,'350配方'!$Y101:$AB101,53)</x:f>
        <x:v>9.61</x:v>
      </x:c>
      <x:c r="L101" s="9" t="n">
        <x:f>SUMIFS('350配方'!$M101:$P101,'350配方'!$Y101:$AB101,56)</x:f>
        <x:v>0</x:v>
      </x:c>
      <x:c r="M101" s="9" t="n">
        <x:f>SUMIFS('350配方'!$M101:$P101,'350配方'!$Y101:$AB101,58)</x:f>
        <x:v>1865945</x:v>
      </x:c>
      <x:c r="N101" s="9" t="n">
        <x:f>SUMIFS('350配方'!$M101:$P101,'350配方'!$Y101:$AB101,61)</x:f>
        <x:v>0</x:v>
      </x:c>
      <x:c r="O101" s="9" t="n">
        <x:f>SUMIFS('350配方'!$M101:$P101,'350配方'!$Y101:$AB101,69)</x:f>
        <x:v>0</x:v>
      </x:c>
      <x:c r="P101" s="9" t="n">
        <x:f>SUMIFS('350配方'!$M101:$P101,'350配方'!$Y101:$AB101,75)</x:f>
        <x:v>0</x:v>
      </x:c>
      <x:c r="Q101" s="9" t="n">
        <x:f>SUMIFS('350配方'!$M101:$P101,'350配方'!$Y101:$AB101,79)</x:f>
        <x:v>0</x:v>
      </x:c>
      <x:c r="R101" s="9" t="n">
        <x:f>SUMIFS('350配方'!$M101:$P101,'350配方'!$Y101:$AB101,90)</x:f>
        <x:v>0</x:v>
      </x:c>
      <x:c r="S101" s="9" t="n">
        <x:f>SUMIFS('350配方'!$M101:$P101,'350配方'!$Y101:$AB101,105)</x:f>
        <x:v>0</x:v>
      </x:c>
      <x:c r="T101" s="9" t="n">
        <x:f>SUMIFS('350配方'!$M101:$P101,'350配方'!$Y101:$AB101,111)</x:f>
        <x:v>0</x:v>
      </x:c>
      <x:c r="U101" s="9" t="n">
        <x:f>SUMIFS('350配方'!$M101:$P101,'350配方'!$Y101:$AB101,114)</x:f>
        <x:v>0</x:v>
      </x:c>
      <x:c r="V101" s="9" t="n">
        <x:f>SUMIFS('350配方'!$M101:$P101,'350配方'!$Y101:$AB101,115)</x:f>
        <x:v>0</x:v>
      </x:c>
      <x:c r="W101" s="9" t="n">
        <x:f>SUMIFS('350配方'!$M101:$P101,'350配方'!$Y101:$AB101,117)</x:f>
        <x:v>0</x:v>
      </x:c>
      <x:c r="X101" s="9" t="n">
        <x:f>SUMIFS('350配方'!$M101:$P101,'350配方'!$Y101:$AB101,126)</x:f>
        <x:v>0</x:v>
      </x:c>
      <x:c r="Y101" s="9" t="n">
        <x:f>SUMIFS('350配方'!$M101:$P101,'350配方'!$Y101:$AB101,136)</x:f>
        <x:v>0</x:v>
      </x:c>
      <x:c r="Z101" s="9" t="n">
        <x:f>SUMIFS('350配方'!$M101:$P101,'350配方'!$Y101:$AB101,141)</x:f>
        <x:v>2.2</x:v>
      </x:c>
      <x:c r="AA101" s="9" t="n">
        <x:f>SUMIFS('350配方'!$M101:$P101,'350配方'!$Y101:$AB101,152)</x:f>
        <x:v>0</x:v>
      </x:c>
      <x:c r="AB101" s="9" t="n">
        <x:f>SUMIFS('350配方'!$M101:$P101,'350配方'!$Y101:$AB101,165)</x:f>
        <x:v>823.735</x:v>
      </x:c>
      <x:c r="AC101" s="9" t="n">
        <x:f>SUMIFS('350配方'!$M101:$P101,'350配方'!$Y101:$AB101,186)</x:f>
        <x:v>0</x:v>
      </x:c>
      <x:c r="AD101" s="9" t="n">
        <x:f>SUMIFS('350配方'!$M101:$P101,'350配方'!$Y101:$AB101,207)</x:f>
        <x:v>0</x:v>
      </x:c>
      <x:c r="AE101" s="9" t="n">
        <x:f>SUMIFS('350配方'!$M101:$P101,'350配方'!$Y101:$AB101,209)</x:f>
        <x:v>0</x:v>
      </x:c>
      <x:c r="AF101" s="9" t="n">
        <x:f>SUMIFS('350配方'!$M101:$P101,'350配方'!$Y101:$AB101,227)</x:f>
        <x:v>0</x:v>
      </x:c>
      <x:c r="AG101" s="9" t="n">
        <x:f>SUMIFS('350配方'!$M101:$P101,'350配方'!$Y101:$AB101,232)</x:f>
        <x:v>0</x:v>
      </x:c>
      <x:c r="AH101" s="9" t="n">
        <x:f>SUMIFS('350配方'!$M101:$P101,'350配方'!$Y101:$AB101,255)</x:f>
        <x:v>0</x:v>
      </x:c>
      <x:c r="AI101" s="9" t="n">
        <x:f>'浓度设置'!S6</x:f>
        <x:v>219125.9626344086</x:v>
      </x:c>
      <x:c r="AJ101" s="9" t="n">
        <x:f>'浓度设置'!S8</x:f>
        <x:v>92796.92267241378</x:v>
      </x:c>
      <x:c r="AK101" s="9" t="n">
        <x:f>'浓度设置'!S10</x:f>
        <x:v>30556.797802197798</x:v>
      </x:c>
      <x:c r="AL101" s="9" t="n">
        <x:f>'浓度设置'!S12</x:f>
        <x:v>1735.828970588235</x:v>
      </x:c>
      <x:c r="AM101" s="9" t="n">
        <x:f>'浓度设置'!S15</x:f>
        <x:v>7385.813644067793</x:v>
      </x:c>
      <x:c r="AN101" s="9" t="n">
        <x:f>'浓度设置'!S19</x:f>
        <x:v>27722.03097701148</x:v>
      </x:c>
      <x:c r="AO101" s="9" t="n">
        <x:f>'浓度设置'!S22</x:f>
        <x:v>44345.55047619048</x:v>
      </x:c>
      <x:c r="AP101" s="9" t="n">
        <x:f>'浓度设置'!S26</x:f>
        <x:v>153318.30499999996</x:v>
      </x:c>
      <x:c r="AQ101" s="9" t="n">
        <x:f>'浓度设置'!S29</x:f>
        <x:v>312.7970588235294</x:v>
      </x:c>
      <x:c r="AR101" s="9" t="n">
        <x:f>'浓度设置'!S30</x:f>
        <x:v>104175.5097553192</x:v>
      </x:c>
      <x:c r="AS101" s="9" t="n">
        <x:f>'浓度设置'!S35</x:f>
        <x:v>405974.90656785714</x:v>
      </x:c>
    </x:row>
    <x:row r="102" ht="24" customHeight="1">
      <x:c r="A102" s="3" t="str">
        <x:f>'350配方'!A102</x:f>
        <x:v>T097</x:v>
      </x:c>
      <x:c r="B102" s="3" t="str">
        <x:f>'350配方'!B102</x:f>
        <x:v>拟合</x:v>
      </x:c>
      <x:c r="C102" s="3" t="n">
        <x:f>IF(B102="拟合",1,0)</x:f>
        <x:v>1</x:v>
      </x:c>
      <x:c r="D102" s="3" t="n">
        <x:f>'350配方'!AC102</x:f>
        <x:v>4</x:v>
      </x:c>
      <x:c r="E102" s="9" t="n">
        <x:f>SUMIFS('350配方'!$M102:$P102,'350配方'!$Y102:$AB102,7)</x:f>
        <x:v>0</x:v>
      </x:c>
      <x:c r="F102" s="9" t="n">
        <x:f>SUMIFS('350配方'!$M102:$P102,'350配方'!$Y102:$AB102,11)</x:f>
        <x:v>1038900</x:v>
      </x:c>
      <x:c r="G102" s="9" t="n">
        <x:f>SUMIFS('350配方'!$M102:$P102,'350配方'!$Y102:$AB102,18)</x:f>
        <x:v>0</x:v>
      </x:c>
      <x:c r="H102" s="9" t="n">
        <x:f>SUMIFS('350配方'!$M102:$P102,'350配方'!$Y102:$AB102,32)</x:f>
        <x:v>0</x:v>
      </x:c>
      <x:c r="I102" s="9" t="n">
        <x:f>SUMIFS('350配方'!$M102:$P102,'350配方'!$Y102:$AB102,40)</x:f>
        <x:v>0</x:v>
      </x:c>
      <x:c r="J102" s="9" t="n">
        <x:f>SUMIFS('350配方'!$M102:$P102,'350配方'!$Y102:$AB102,52)</x:f>
        <x:v>0</x:v>
      </x:c>
      <x:c r="K102" s="9" t="n">
        <x:f>SUMIFS('350配方'!$M102:$P102,'350配方'!$Y102:$AB102,53)</x:f>
        <x:v>0</x:v>
      </x:c>
      <x:c r="L102" s="9" t="n">
        <x:f>SUMIFS('350配方'!$M102:$P102,'350配方'!$Y102:$AB102,56)</x:f>
        <x:v>4105</x:v>
      </x:c>
      <x:c r="M102" s="9" t="n">
        <x:f>SUMIFS('350配方'!$M102:$P102,'350配方'!$Y102:$AB102,58)</x:f>
        <x:v>0</x:v>
      </x:c>
      <x:c r="N102" s="9" t="n">
        <x:f>SUMIFS('350配方'!$M102:$P102,'350配方'!$Y102:$AB102,61)</x:f>
        <x:v>0</x:v>
      </x:c>
      <x:c r="O102" s="9" t="n">
        <x:f>SUMIFS('350配方'!$M102:$P102,'350配方'!$Y102:$AB102,69)</x:f>
        <x:v>0</x:v>
      </x:c>
      <x:c r="P102" s="9" t="n">
        <x:f>SUMIFS('350配方'!$M102:$P102,'350配方'!$Y102:$AB102,75)</x:f>
        <x:v>0</x:v>
      </x:c>
      <x:c r="Q102" s="9" t="n">
        <x:f>SUMIFS('350配方'!$M102:$P102,'350配方'!$Y102:$AB102,79)</x:f>
        <x:v>0</x:v>
      </x:c>
      <x:c r="R102" s="9" t="n">
        <x:f>SUMIFS('350配方'!$M102:$P102,'350配方'!$Y102:$AB102,90)</x:f>
        <x:v>25642.45</x:v>
      </x:c>
      <x:c r="S102" s="9" t="n">
        <x:f>SUMIFS('350配方'!$M102:$P102,'350配方'!$Y102:$AB102,105)</x:f>
        <x:v>0</x:v>
      </x:c>
      <x:c r="T102" s="9" t="n">
        <x:f>SUMIFS('350配方'!$M102:$P102,'350配方'!$Y102:$AB102,111)</x:f>
        <x:v>0</x:v>
      </x:c>
      <x:c r="U102" s="9" t="n">
        <x:f>SUMIFS('350配方'!$M102:$P102,'350配方'!$Y102:$AB102,114)</x:f>
        <x:v>0</x:v>
      </x:c>
      <x:c r="V102" s="9" t="n">
        <x:f>SUMIFS('350配方'!$M102:$P102,'350配方'!$Y102:$AB102,115)</x:f>
        <x:v>0</x:v>
      </x:c>
      <x:c r="W102" s="9" t="n">
        <x:f>SUMIFS('350配方'!$M102:$P102,'350配方'!$Y102:$AB102,117)</x:f>
        <x:v>0</x:v>
      </x:c>
      <x:c r="X102" s="9" t="n">
        <x:f>SUMIFS('350配方'!$M102:$P102,'350配方'!$Y102:$AB102,126)</x:f>
        <x:v>0</x:v>
      </x:c>
      <x:c r="Y102" s="9" t="n">
        <x:f>SUMIFS('350配方'!$M102:$P102,'350配方'!$Y102:$AB102,136)</x:f>
        <x:v>0</x:v>
      </x:c>
      <x:c r="Z102" s="9" t="n">
        <x:f>SUMIFS('350配方'!$M102:$P102,'350配方'!$Y102:$AB102,141)</x:f>
        <x:v>0</x:v>
      </x:c>
      <x:c r="AA102" s="9" t="n">
        <x:f>SUMIFS('350配方'!$M102:$P102,'350配方'!$Y102:$AB102,152)</x:f>
        <x:v>0</x:v>
      </x:c>
      <x:c r="AB102" s="9" t="n">
        <x:f>SUMIFS('350配方'!$M102:$P102,'350配方'!$Y102:$AB102,165)</x:f>
        <x:v>0</x:v>
      </x:c>
      <x:c r="AC102" s="9" t="n">
        <x:f>SUMIFS('350配方'!$M102:$P102,'350配方'!$Y102:$AB102,186)</x:f>
        <x:v>0</x:v>
      </x:c>
      <x:c r="AD102" s="9" t="n">
        <x:f>SUMIFS('350配方'!$M102:$P102,'350配方'!$Y102:$AB102,207)</x:f>
        <x:v>0</x:v>
      </x:c>
      <x:c r="AE102" s="9" t="n">
        <x:f>SUMIFS('350配方'!$M102:$P102,'350配方'!$Y102:$AB102,209)</x:f>
        <x:v>0</x:v>
      </x:c>
      <x:c r="AF102" s="9" t="n">
        <x:f>SUMIFS('350配方'!$M102:$P102,'350配方'!$Y102:$AB102,227)</x:f>
        <x:v>2.5</x:v>
      </x:c>
      <x:c r="AG102" s="9" t="n">
        <x:f>SUMIFS('350配方'!$M102:$P102,'350配方'!$Y102:$AB102,232)</x:f>
        <x:v>0</x:v>
      </x:c>
      <x:c r="AH102" s="9" t="n">
        <x:f>SUMIFS('350配方'!$M102:$P102,'350配方'!$Y102:$AB102,255)</x:f>
        <x:v>0</x:v>
      </x:c>
      <x:c r="AI102" s="9" t="n">
        <x:f>'浓度设置'!S6</x:f>
        <x:v>219125.9626344086</x:v>
      </x:c>
      <x:c r="AJ102" s="9" t="n">
        <x:f>'浓度设置'!S8</x:f>
        <x:v>92796.92267241378</x:v>
      </x:c>
      <x:c r="AK102" s="9" t="n">
        <x:f>'浓度设置'!S10</x:f>
        <x:v>30556.797802197798</x:v>
      </x:c>
      <x:c r="AL102" s="9" t="n">
        <x:f>'浓度设置'!S12</x:f>
        <x:v>1735.828970588235</x:v>
      </x:c>
      <x:c r="AM102" s="9" t="n">
        <x:f>'浓度设置'!S15</x:f>
        <x:v>7385.813644067793</x:v>
      </x:c>
      <x:c r="AN102" s="9" t="n">
        <x:f>'浓度设置'!S19</x:f>
        <x:v>27722.03097701148</x:v>
      </x:c>
      <x:c r="AO102" s="9" t="n">
        <x:f>'浓度设置'!S22</x:f>
        <x:v>44345.55047619048</x:v>
      </x:c>
      <x:c r="AP102" s="9" t="n">
        <x:f>'浓度设置'!S26</x:f>
        <x:v>153318.30499999996</x:v>
      </x:c>
      <x:c r="AQ102" s="9" t="n">
        <x:f>'浓度设置'!S29</x:f>
        <x:v>312.7970588235294</x:v>
      </x:c>
      <x:c r="AR102" s="9" t="n">
        <x:f>'浓度设置'!S30</x:f>
        <x:v>104175.5097553192</x:v>
      </x:c>
      <x:c r="AS102" s="9" t="n">
        <x:f>'浓度设置'!S35</x:f>
        <x:v>405974.90656785714</x:v>
      </x:c>
    </x:row>
    <x:row r="103" ht="24" customHeight="1">
      <x:c r="A103" s="3" t="str">
        <x:f>'350配方'!A103</x:f>
        <x:v>T098</x:v>
      </x:c>
      <x:c r="B103" s="3" t="str">
        <x:f>'350配方'!B103</x:f>
        <x:v>拟合</x:v>
      </x:c>
      <x:c r="C103" s="3" t="n">
        <x:f>IF(B103="拟合",1,0)</x:f>
        <x:v>1</x:v>
      </x:c>
      <x:c r="D103" s="3" t="n">
        <x:f>'350配方'!AC103</x:f>
        <x:v>4</x:v>
      </x:c>
      <x:c r="E103" s="9" t="n">
        <x:f>SUMIFS('350配方'!$M103:$P103,'350配方'!$Y103:$AB103,7)</x:f>
        <x:v>0</x:v>
      </x:c>
      <x:c r="F103" s="9" t="n">
        <x:f>SUMIFS('350配方'!$M103:$P103,'350配方'!$Y103:$AB103,11)</x:f>
        <x:v>0</x:v>
      </x:c>
      <x:c r="G103" s="9" t="n">
        <x:f>SUMIFS('350配方'!$M103:$P103,'350配方'!$Y103:$AB103,18)</x:f>
        <x:v>0</x:v>
      </x:c>
      <x:c r="H103" s="9" t="n">
        <x:f>SUMIFS('350配方'!$M103:$P103,'350配方'!$Y103:$AB103,32)</x:f>
        <x:v>0</x:v>
      </x:c>
      <x:c r="I103" s="9" t="n">
        <x:f>SUMIFS('350配方'!$M103:$P103,'350配方'!$Y103:$AB103,40)</x:f>
        <x:v>0</x:v>
      </x:c>
      <x:c r="J103" s="9" t="n">
        <x:f>SUMIFS('350配方'!$M103:$P103,'350配方'!$Y103:$AB103,52)</x:f>
        <x:v>0</x:v>
      </x:c>
      <x:c r="K103" s="9" t="n">
        <x:f>SUMIFS('350配方'!$M103:$P103,'350配方'!$Y103:$AB103,53)</x:f>
        <x:v>0</x:v>
      </x:c>
      <x:c r="L103" s="9" t="n">
        <x:f>SUMIFS('350配方'!$M103:$P103,'350配方'!$Y103:$AB103,56)</x:f>
        <x:v>0</x:v>
      </x:c>
      <x:c r="M103" s="9" t="n">
        <x:f>SUMIFS('350配方'!$M103:$P103,'350配方'!$Y103:$AB103,58)</x:f>
        <x:v>0</x:v>
      </x:c>
      <x:c r="N103" s="9" t="n">
        <x:f>SUMIFS('350配方'!$M103:$P103,'350配方'!$Y103:$AB103,61)</x:f>
        <x:v>0</x:v>
      </x:c>
      <x:c r="O103" s="9" t="n">
        <x:f>SUMIFS('350配方'!$M103:$P103,'350配方'!$Y103:$AB103,69)</x:f>
        <x:v>0</x:v>
      </x:c>
      <x:c r="P103" s="9" t="n">
        <x:f>SUMIFS('350配方'!$M103:$P103,'350配方'!$Y103:$AB103,75)</x:f>
        <x:v>0</x:v>
      </x:c>
      <x:c r="Q103" s="9" t="n">
        <x:f>SUMIFS('350配方'!$M103:$P103,'350配方'!$Y103:$AB103,79)</x:f>
        <x:v>56115</x:v>
      </x:c>
      <x:c r="R103" s="9" t="n">
        <x:f>SUMIFS('350配方'!$M103:$P103,'350配方'!$Y103:$AB103,90)</x:f>
        <x:v>0</x:v>
      </x:c>
      <x:c r="S103" s="9" t="n">
        <x:f>SUMIFS('350配方'!$M103:$P103,'350配方'!$Y103:$AB103,105)</x:f>
        <x:v>0.05</x:v>
      </x:c>
      <x:c r="T103" s="9" t="n">
        <x:f>SUMIFS('350配方'!$M103:$P103,'350配方'!$Y103:$AB103,111)</x:f>
        <x:v>0</x:v>
      </x:c>
      <x:c r="U103" s="9" t="n">
        <x:f>SUMIFS('350配方'!$M103:$P103,'350配方'!$Y103:$AB103,114)</x:f>
        <x:v>0</x:v>
      </x:c>
      <x:c r="V103" s="9" t="n">
        <x:f>SUMIFS('350配方'!$M103:$P103,'350配方'!$Y103:$AB103,115)</x:f>
        <x:v>0</x:v>
      </x:c>
      <x:c r="W103" s="9" t="n">
        <x:f>SUMIFS('350配方'!$M103:$P103,'350配方'!$Y103:$AB103,117)</x:f>
        <x:v>0</x:v>
      </x:c>
      <x:c r="X103" s="9" t="n">
        <x:f>SUMIFS('350配方'!$M103:$P103,'350配方'!$Y103:$AB103,126)</x:f>
        <x:v>2.125</x:v>
      </x:c>
      <x:c r="Y103" s="9" t="n">
        <x:f>SUMIFS('350配方'!$M103:$P103,'350配方'!$Y103:$AB103,136)</x:f>
        <x:v>0</x:v>
      </x:c>
      <x:c r="Z103" s="9" t="n">
        <x:f>SUMIFS('350配方'!$M103:$P103,'350配方'!$Y103:$AB103,141)</x:f>
        <x:v>0</x:v>
      </x:c>
      <x:c r="AA103" s="9" t="n">
        <x:f>SUMIFS('350配方'!$M103:$P103,'350配方'!$Y103:$AB103,152)</x:f>
        <x:v>0</x:v>
      </x:c>
      <x:c r="AB103" s="9" t="n">
        <x:f>SUMIFS('350配方'!$M103:$P103,'350配方'!$Y103:$AB103,165)</x:f>
        <x:v>0</x:v>
      </x:c>
      <x:c r="AC103" s="9" t="n">
        <x:f>SUMIFS('350配方'!$M103:$P103,'350配方'!$Y103:$AB103,186)</x:f>
        <x:v>0</x:v>
      </x:c>
      <x:c r="AD103" s="9" t="n">
        <x:f>SUMIFS('350配方'!$M103:$P103,'350配方'!$Y103:$AB103,207)</x:f>
        <x:v>0</x:v>
      </x:c>
      <x:c r="AE103" s="9" t="n">
        <x:f>SUMIFS('350配方'!$M103:$P103,'350配方'!$Y103:$AB103,209)</x:f>
        <x:v>0</x:v>
      </x:c>
      <x:c r="AF103" s="9" t="n">
        <x:f>SUMIFS('350配方'!$M103:$P103,'350配方'!$Y103:$AB103,227)</x:f>
        <x:v>0</x:v>
      </x:c>
      <x:c r="AG103" s="9" t="n">
        <x:f>SUMIFS('350配方'!$M103:$P103,'350配方'!$Y103:$AB103,232)</x:f>
        <x:v>1611</x:v>
      </x:c>
      <x:c r="AH103" s="9" t="n">
        <x:f>SUMIFS('350配方'!$M103:$P103,'350配方'!$Y103:$AB103,255)</x:f>
        <x:v>0</x:v>
      </x:c>
      <x:c r="AI103" s="9" t="n">
        <x:f>'浓度设置'!S6</x:f>
        <x:v>219125.9626344086</x:v>
      </x:c>
      <x:c r="AJ103" s="9" t="n">
        <x:f>'浓度设置'!S8</x:f>
        <x:v>92796.92267241378</x:v>
      </x:c>
      <x:c r="AK103" s="9" t="n">
        <x:f>'浓度设置'!S10</x:f>
        <x:v>30556.797802197798</x:v>
      </x:c>
      <x:c r="AL103" s="9" t="n">
        <x:f>'浓度设置'!S12</x:f>
        <x:v>1735.828970588235</x:v>
      </x:c>
      <x:c r="AM103" s="9" t="n">
        <x:f>'浓度设置'!S15</x:f>
        <x:v>7385.813644067793</x:v>
      </x:c>
      <x:c r="AN103" s="9" t="n">
        <x:f>'浓度设置'!S19</x:f>
        <x:v>27722.03097701148</x:v>
      </x:c>
      <x:c r="AO103" s="9" t="n">
        <x:f>'浓度设置'!S22</x:f>
        <x:v>44345.55047619048</x:v>
      </x:c>
      <x:c r="AP103" s="9" t="n">
        <x:f>'浓度设置'!S26</x:f>
        <x:v>153318.30499999996</x:v>
      </x:c>
      <x:c r="AQ103" s="9" t="n">
        <x:f>'浓度设置'!S29</x:f>
        <x:v>312.7970588235294</x:v>
      </x:c>
      <x:c r="AR103" s="9" t="n">
        <x:f>'浓度设置'!S30</x:f>
        <x:v>104175.5097553192</x:v>
      </x:c>
      <x:c r="AS103" s="9" t="n">
        <x:f>'浓度设置'!S35</x:f>
        <x:v>405974.90656785714</x:v>
      </x:c>
    </x:row>
    <x:row r="104" ht="24" customHeight="1">
      <x:c r="A104" s="3" t="str">
        <x:f>'350配方'!A104</x:f>
        <x:v>T099</x:v>
      </x:c>
      <x:c r="B104" s="3" t="str">
        <x:f>'350配方'!B104</x:f>
        <x:v>拟合</x:v>
      </x:c>
      <x:c r="C104" s="3" t="n">
        <x:f>IF(B104="拟合",1,0)</x:f>
        <x:v>1</x:v>
      </x:c>
      <x:c r="D104" s="3" t="n">
        <x:f>'350配方'!AC104</x:f>
        <x:v>4</x:v>
      </x:c>
      <x:c r="E104" s="9" t="n">
        <x:f>SUMIFS('350配方'!$M104:$P104,'350配方'!$Y104:$AB104,7)</x:f>
        <x:v>729.4776350238574</x:v>
      </x:c>
      <x:c r="F104" s="9" t="n">
        <x:f>SUMIFS('350配方'!$M104:$P104,'350配方'!$Y104:$AB104,11)</x:f>
        <x:v>0</x:v>
      </x:c>
      <x:c r="G104" s="9" t="n">
        <x:f>SUMIFS('350配方'!$M104:$P104,'350配方'!$Y104:$AB104,18)</x:f>
        <x:v>0</x:v>
      </x:c>
      <x:c r="H104" s="9" t="n">
        <x:f>SUMIFS('350配方'!$M104:$P104,'350配方'!$Y104:$AB104,32)</x:f>
        <x:v>0</x:v>
      </x:c>
      <x:c r="I104" s="9" t="n">
        <x:f>SUMIFS('350配方'!$M104:$P104,'350配方'!$Y104:$AB104,40)</x:f>
        <x:v>0</x:v>
      </x:c>
      <x:c r="J104" s="9" t="n">
        <x:f>SUMIFS('350配方'!$M104:$P104,'350配方'!$Y104:$AB104,52)</x:f>
        <x:v>1290235</x:v>
      </x:c>
      <x:c r="K104" s="9" t="n">
        <x:f>SUMIFS('350配方'!$M104:$P104,'350配方'!$Y104:$AB104,53)</x:f>
        <x:v>0</x:v>
      </x:c>
      <x:c r="L104" s="9" t="n">
        <x:f>SUMIFS('350配方'!$M104:$P104,'350配方'!$Y104:$AB104,56)</x:f>
        <x:v>0</x:v>
      </x:c>
      <x:c r="M104" s="9" t="n">
        <x:f>SUMIFS('350配方'!$M104:$P104,'350配方'!$Y104:$AB104,58)</x:f>
        <x:v>0</x:v>
      </x:c>
      <x:c r="N104" s="9" t="n">
        <x:f>SUMIFS('350配方'!$M104:$P104,'350配方'!$Y104:$AB104,61)</x:f>
        <x:v>0</x:v>
      </x:c>
      <x:c r="O104" s="9" t="n">
        <x:f>SUMIFS('350配方'!$M104:$P104,'350配方'!$Y104:$AB104,69)</x:f>
        <x:v>0</x:v>
      </x:c>
      <x:c r="P104" s="9" t="n">
        <x:f>SUMIFS('350配方'!$M104:$P104,'350配方'!$Y104:$AB104,75)</x:f>
        <x:v>62700</x:v>
      </x:c>
      <x:c r="Q104" s="9" t="n">
        <x:f>SUMIFS('350配方'!$M104:$P104,'350配方'!$Y104:$AB104,79)</x:f>
        <x:v>0</x:v>
      </x:c>
      <x:c r="R104" s="9" t="n">
        <x:f>SUMIFS('350配方'!$M104:$P104,'350配方'!$Y104:$AB104,90)</x:f>
        <x:v>0</x:v>
      </x:c>
      <x:c r="S104" s="9" t="n">
        <x:f>SUMIFS('350配方'!$M104:$P104,'350配方'!$Y104:$AB104,105)</x:f>
        <x:v>0</x:v>
      </x:c>
      <x:c r="T104" s="9" t="n">
        <x:f>SUMIFS('350配方'!$M104:$P104,'350配方'!$Y104:$AB104,111)</x:f>
        <x:v>9622120</x:v>
      </x:c>
      <x:c r="U104" s="9" t="n">
        <x:f>SUMIFS('350配方'!$M104:$P104,'350配方'!$Y104:$AB104,114)</x:f>
        <x:v>0</x:v>
      </x:c>
      <x:c r="V104" s="9" t="n">
        <x:f>SUMIFS('350配方'!$M104:$P104,'350配方'!$Y104:$AB104,115)</x:f>
        <x:v>0</x:v>
      </x:c>
      <x:c r="W104" s="9" t="n">
        <x:f>SUMIFS('350配方'!$M104:$P104,'350配方'!$Y104:$AB104,117)</x:f>
        <x:v>0</x:v>
      </x:c>
      <x:c r="X104" s="9" t="n">
        <x:f>SUMIFS('350配方'!$M104:$P104,'350配方'!$Y104:$AB104,126)</x:f>
        <x:v>0</x:v>
      </x:c>
      <x:c r="Y104" s="9" t="n">
        <x:f>SUMIFS('350配方'!$M104:$P104,'350配方'!$Y104:$AB104,136)</x:f>
        <x:v>0</x:v>
      </x:c>
      <x:c r="Z104" s="9" t="n">
        <x:f>SUMIFS('350配方'!$M104:$P104,'350配方'!$Y104:$AB104,141)</x:f>
        <x:v>0</x:v>
      </x:c>
      <x:c r="AA104" s="9" t="n">
        <x:f>SUMIFS('350配方'!$M104:$P104,'350配方'!$Y104:$AB104,152)</x:f>
        <x:v>0</x:v>
      </x:c>
      <x:c r="AB104" s="9" t="n">
        <x:f>SUMIFS('350配方'!$M104:$P104,'350配方'!$Y104:$AB104,165)</x:f>
        <x:v>0</x:v>
      </x:c>
      <x:c r="AC104" s="9" t="n">
        <x:f>SUMIFS('350配方'!$M104:$P104,'350配方'!$Y104:$AB104,186)</x:f>
        <x:v>0</x:v>
      </x:c>
      <x:c r="AD104" s="9" t="n">
        <x:f>SUMIFS('350配方'!$M104:$P104,'350配方'!$Y104:$AB104,207)</x:f>
        <x:v>0</x:v>
      </x:c>
      <x:c r="AE104" s="9" t="n">
        <x:f>SUMIFS('350配方'!$M104:$P104,'350配方'!$Y104:$AB104,209)</x:f>
        <x:v>0</x:v>
      </x:c>
      <x:c r="AF104" s="9" t="n">
        <x:f>SUMIFS('350配方'!$M104:$P104,'350配方'!$Y104:$AB104,227)</x:f>
        <x:v>0</x:v>
      </x:c>
      <x:c r="AG104" s="9" t="n">
        <x:f>SUMIFS('350配方'!$M104:$P104,'350配方'!$Y104:$AB104,232)</x:f>
        <x:v>0</x:v>
      </x:c>
      <x:c r="AH104" s="9" t="n">
        <x:f>SUMIFS('350配方'!$M104:$P104,'350配方'!$Y104:$AB104,255)</x:f>
        <x:v>0</x:v>
      </x:c>
      <x:c r="AI104" s="9" t="n">
        <x:f>'浓度设置'!S6</x:f>
        <x:v>219125.9626344086</x:v>
      </x:c>
      <x:c r="AJ104" s="9" t="n">
        <x:f>'浓度设置'!S8</x:f>
        <x:v>92796.92267241378</x:v>
      </x:c>
      <x:c r="AK104" s="9" t="n">
        <x:f>'浓度设置'!S10</x:f>
        <x:v>30556.797802197798</x:v>
      </x:c>
      <x:c r="AL104" s="9" t="n">
        <x:f>'浓度设置'!S12</x:f>
        <x:v>1735.828970588235</x:v>
      </x:c>
      <x:c r="AM104" s="9" t="n">
        <x:f>'浓度设置'!S15</x:f>
        <x:v>7385.813644067793</x:v>
      </x:c>
      <x:c r="AN104" s="9" t="n">
        <x:f>'浓度设置'!S19</x:f>
        <x:v>27722.03097701148</x:v>
      </x:c>
      <x:c r="AO104" s="9" t="n">
        <x:f>'浓度设置'!S22</x:f>
        <x:v>44345.55047619048</x:v>
      </x:c>
      <x:c r="AP104" s="9" t="n">
        <x:f>'浓度设置'!S26</x:f>
        <x:v>153318.30499999996</x:v>
      </x:c>
      <x:c r="AQ104" s="9" t="n">
        <x:f>'浓度设置'!S29</x:f>
        <x:v>312.7970588235294</x:v>
      </x:c>
      <x:c r="AR104" s="9" t="n">
        <x:f>'浓度设置'!S30</x:f>
        <x:v>104175.5097553192</x:v>
      </x:c>
      <x:c r="AS104" s="9" t="n">
        <x:f>'浓度设置'!S35</x:f>
        <x:v>405974.90656785714</x:v>
      </x:c>
    </x:row>
    <x:row r="105" ht="24" customHeight="1">
      <x:c r="A105" s="3" t="str">
        <x:f>'350配方'!A105</x:f>
        <x:v>T100</x:v>
      </x:c>
      <x:c r="B105" s="3" t="str">
        <x:f>'350配方'!B105</x:f>
        <x:v>拟合</x:v>
      </x:c>
      <x:c r="C105" s="3" t="n">
        <x:f>IF(B105="拟合",1,0)</x:f>
        <x:v>1</x:v>
      </x:c>
      <x:c r="D105" s="3" t="n">
        <x:f>'350配方'!AC105</x:f>
        <x:v>4</x:v>
      </x:c>
      <x:c r="E105" s="9" t="n">
        <x:f>SUMIFS('350配方'!$M105:$P105,'350配方'!$Y105:$AB105,7)</x:f>
        <x:v>0</x:v>
      </x:c>
      <x:c r="F105" s="9" t="n">
        <x:f>SUMIFS('350配方'!$M105:$P105,'350配方'!$Y105:$AB105,11)</x:f>
        <x:v>0</x:v>
      </x:c>
      <x:c r="G105" s="9" t="n">
        <x:f>SUMIFS('350配方'!$M105:$P105,'350配方'!$Y105:$AB105,18)</x:f>
        <x:v>39</x:v>
      </x:c>
      <x:c r="H105" s="9" t="n">
        <x:f>SUMIFS('350配方'!$M105:$P105,'350配方'!$Y105:$AB105,32)</x:f>
        <x:v>0</x:v>
      </x:c>
      <x:c r="I105" s="9" t="n">
        <x:f>SUMIFS('350配方'!$M105:$P105,'350配方'!$Y105:$AB105,40)</x:f>
        <x:v>1.875</x:v>
      </x:c>
      <x:c r="J105" s="9" t="n">
        <x:f>SUMIFS('350配方'!$M105:$P105,'350配方'!$Y105:$AB105,52)</x:f>
        <x:v>0</x:v>
      </x:c>
      <x:c r="K105" s="9" t="n">
        <x:f>SUMIFS('350配方'!$M105:$P105,'350配方'!$Y105:$AB105,53)</x:f>
        <x:v>0</x:v>
      </x:c>
      <x:c r="L105" s="9" t="n">
        <x:f>SUMIFS('350配方'!$M105:$P105,'350配方'!$Y105:$AB105,56)</x:f>
        <x:v>0</x:v>
      </x:c>
      <x:c r="M105" s="9" t="n">
        <x:f>SUMIFS('350配方'!$M105:$P105,'350配方'!$Y105:$AB105,58)</x:f>
        <x:v>0</x:v>
      </x:c>
      <x:c r="N105" s="9" t="n">
        <x:f>SUMIFS('350配方'!$M105:$P105,'350配方'!$Y105:$AB105,61)</x:f>
        <x:v>0</x:v>
      </x:c>
      <x:c r="O105" s="9" t="n">
        <x:f>SUMIFS('350配方'!$M105:$P105,'350配方'!$Y105:$AB105,69)</x:f>
        <x:v>0</x:v>
      </x:c>
      <x:c r="P105" s="9" t="n">
        <x:f>SUMIFS('350配方'!$M105:$P105,'350配方'!$Y105:$AB105,75)</x:f>
        <x:v>0</x:v>
      </x:c>
      <x:c r="Q105" s="9" t="n">
        <x:f>SUMIFS('350配方'!$M105:$P105,'350配方'!$Y105:$AB105,79)</x:f>
        <x:v>0</x:v>
      </x:c>
      <x:c r="R105" s="9" t="n">
        <x:f>SUMIFS('350配方'!$M105:$P105,'350配方'!$Y105:$AB105,90)</x:f>
        <x:v>0</x:v>
      </x:c>
      <x:c r="S105" s="9" t="n">
        <x:f>SUMIFS('350配方'!$M105:$P105,'350配方'!$Y105:$AB105,105)</x:f>
        <x:v>0</x:v>
      </x:c>
      <x:c r="T105" s="9" t="n">
        <x:f>SUMIFS('350配方'!$M105:$P105,'350配方'!$Y105:$AB105,111)</x:f>
        <x:v>0</x:v>
      </x:c>
      <x:c r="U105" s="9" t="n">
        <x:f>SUMIFS('350配方'!$M105:$P105,'350配方'!$Y105:$AB105,114)</x:f>
        <x:v>0</x:v>
      </x:c>
      <x:c r="V105" s="9" t="n">
        <x:f>SUMIFS('350配方'!$M105:$P105,'350配方'!$Y105:$AB105,115)</x:f>
        <x:v>0</x:v>
      </x:c>
      <x:c r="W105" s="9" t="n">
        <x:f>SUMIFS('350配方'!$M105:$P105,'350配方'!$Y105:$AB105,117)</x:f>
        <x:v>0</x:v>
      </x:c>
      <x:c r="X105" s="9" t="n">
        <x:f>SUMIFS('350配方'!$M105:$P105,'350配方'!$Y105:$AB105,126)</x:f>
        <x:v>0</x:v>
      </x:c>
      <x:c r="Y105" s="9" t="n">
        <x:f>SUMIFS('350配方'!$M105:$P105,'350配方'!$Y105:$AB105,136)</x:f>
        <x:v>44000</x:v>
      </x:c>
      <x:c r="Z105" s="9" t="n">
        <x:f>SUMIFS('350配方'!$M105:$P105,'350配方'!$Y105:$AB105,141)</x:f>
        <x:v>0</x:v>
      </x:c>
      <x:c r="AA105" s="9" t="n">
        <x:f>SUMIFS('350配方'!$M105:$P105,'350配方'!$Y105:$AB105,152)</x:f>
        <x:v>0</x:v>
      </x:c>
      <x:c r="AB105" s="9" t="n">
        <x:f>SUMIFS('350配方'!$M105:$P105,'350配方'!$Y105:$AB105,165)</x:f>
        <x:v>0</x:v>
      </x:c>
      <x:c r="AC105" s="9" t="n">
        <x:f>SUMIFS('350配方'!$M105:$P105,'350配方'!$Y105:$AB105,186)</x:f>
        <x:v>0</x:v>
      </x:c>
      <x:c r="AD105" s="9" t="n">
        <x:f>SUMIFS('350配方'!$M105:$P105,'350配方'!$Y105:$AB105,207)</x:f>
        <x:v>0</x:v>
      </x:c>
      <x:c r="AE105" s="9" t="n">
        <x:f>SUMIFS('350配方'!$M105:$P105,'350配方'!$Y105:$AB105,209)</x:f>
        <x:v>0.28</x:v>
      </x:c>
      <x:c r="AF105" s="9" t="n">
        <x:f>SUMIFS('350配方'!$M105:$P105,'350配方'!$Y105:$AB105,227)</x:f>
        <x:v>0</x:v>
      </x:c>
      <x:c r="AG105" s="9" t="n">
        <x:f>SUMIFS('350配方'!$M105:$P105,'350配方'!$Y105:$AB105,232)</x:f>
        <x:v>0</x:v>
      </x:c>
      <x:c r="AH105" s="9" t="n">
        <x:f>SUMIFS('350配方'!$M105:$P105,'350配方'!$Y105:$AB105,255)</x:f>
        <x:v>0</x:v>
      </x:c>
      <x:c r="AI105" s="9" t="n">
        <x:f>'浓度设置'!S6</x:f>
        <x:v>219125.9626344086</x:v>
      </x:c>
      <x:c r="AJ105" s="9" t="n">
        <x:f>'浓度设置'!S8</x:f>
        <x:v>92796.92267241378</x:v>
      </x:c>
      <x:c r="AK105" s="9" t="n">
        <x:f>'浓度设置'!S10</x:f>
        <x:v>30556.797802197798</x:v>
      </x:c>
      <x:c r="AL105" s="9" t="n">
        <x:f>'浓度设置'!S12</x:f>
        <x:v>1735.828970588235</x:v>
      </x:c>
      <x:c r="AM105" s="9" t="n">
        <x:f>'浓度设置'!S15</x:f>
        <x:v>7385.813644067793</x:v>
      </x:c>
      <x:c r="AN105" s="9" t="n">
        <x:f>'浓度设置'!S19</x:f>
        <x:v>27722.03097701148</x:v>
      </x:c>
      <x:c r="AO105" s="9" t="n">
        <x:f>'浓度设置'!S22</x:f>
        <x:v>44345.55047619048</x:v>
      </x:c>
      <x:c r="AP105" s="9" t="n">
        <x:f>'浓度设置'!S26</x:f>
        <x:v>153318.30499999996</x:v>
      </x:c>
      <x:c r="AQ105" s="9" t="n">
        <x:f>'浓度设置'!S29</x:f>
        <x:v>312.7970588235294</x:v>
      </x:c>
      <x:c r="AR105" s="9" t="n">
        <x:f>'浓度设置'!S30</x:f>
        <x:v>104175.5097553192</x:v>
      </x:c>
      <x:c r="AS105" s="9" t="n">
        <x:f>'浓度设置'!S35</x:f>
        <x:v>405974.90656785714</x:v>
      </x:c>
    </x:row>
    <x:row r="106" ht="24" customHeight="1">
      <x:c r="A106" s="3" t="str">
        <x:f>'350配方'!A106</x:f>
        <x:v>T101</x:v>
      </x:c>
      <x:c r="B106" s="3" t="str">
        <x:f>'350配方'!B106</x:f>
        <x:v>拟合</x:v>
      </x:c>
      <x:c r="C106" s="3" t="n">
        <x:f>IF(B106="拟合",1,0)</x:f>
        <x:v>1</x:v>
      </x:c>
      <x:c r="D106" s="3" t="n">
        <x:f>'350配方'!AC106</x:f>
        <x:v>4</x:v>
      </x:c>
      <x:c r="E106" s="9" t="n">
        <x:f>SUMIFS('350配方'!$M106:$P106,'350配方'!$Y106:$AB106,7)</x:f>
        <x:v>0</x:v>
      </x:c>
      <x:c r="F106" s="9" t="n">
        <x:f>SUMIFS('350配方'!$M106:$P106,'350配方'!$Y106:$AB106,11)</x:f>
        <x:v>0</x:v>
      </x:c>
      <x:c r="G106" s="9" t="n">
        <x:f>SUMIFS('350配方'!$M106:$P106,'350配方'!$Y106:$AB106,18)</x:f>
        <x:v>0</x:v>
      </x:c>
      <x:c r="H106" s="9" t="n">
        <x:f>SUMIFS('350配方'!$M106:$P106,'350配方'!$Y106:$AB106,32)</x:f>
        <x:v>18.68</x:v>
      </x:c>
      <x:c r="I106" s="9" t="n">
        <x:f>SUMIFS('350配方'!$M106:$P106,'350配方'!$Y106:$AB106,40)</x:f>
        <x:v>0</x:v>
      </x:c>
      <x:c r="J106" s="9" t="n">
        <x:f>SUMIFS('350配方'!$M106:$P106,'350配方'!$Y106:$AB106,52)</x:f>
        <x:v>0</x:v>
      </x:c>
      <x:c r="K106" s="9" t="n">
        <x:f>SUMIFS('350配方'!$M106:$P106,'350配方'!$Y106:$AB106,53)</x:f>
        <x:v>0</x:v>
      </x:c>
      <x:c r="L106" s="9" t="n">
        <x:f>SUMIFS('350配方'!$M106:$P106,'350配方'!$Y106:$AB106,56)</x:f>
        <x:v>0</x:v>
      </x:c>
      <x:c r="M106" s="9" t="n">
        <x:f>SUMIFS('350配方'!$M106:$P106,'350配方'!$Y106:$AB106,58)</x:f>
        <x:v>0</x:v>
      </x:c>
      <x:c r="N106" s="9" t="n">
        <x:f>SUMIFS('350配方'!$M106:$P106,'350配方'!$Y106:$AB106,61)</x:f>
        <x:v>0</x:v>
      </x:c>
      <x:c r="O106" s="9" t="n">
        <x:f>SUMIFS('350配方'!$M106:$P106,'350配方'!$Y106:$AB106,69)</x:f>
        <x:v>0</x:v>
      </x:c>
      <x:c r="P106" s="9" t="n">
        <x:f>SUMIFS('350配方'!$M106:$P106,'350配方'!$Y106:$AB106,75)</x:f>
        <x:v>0</x:v>
      </x:c>
      <x:c r="Q106" s="9" t="n">
        <x:f>SUMIFS('350配方'!$M106:$P106,'350配方'!$Y106:$AB106,79)</x:f>
        <x:v>0</x:v>
      </x:c>
      <x:c r="R106" s="9" t="n">
        <x:f>SUMIFS('350配方'!$M106:$P106,'350配方'!$Y106:$AB106,90)</x:f>
        <x:v>0</x:v>
      </x:c>
      <x:c r="S106" s="9" t="n">
        <x:f>SUMIFS('350配方'!$M106:$P106,'350配方'!$Y106:$AB106,105)</x:f>
        <x:v>0</x:v>
      </x:c>
      <x:c r="T106" s="9" t="n">
        <x:f>SUMIFS('350配方'!$M106:$P106,'350配方'!$Y106:$AB106,111)</x:f>
        <x:v>0</x:v>
      </x:c>
      <x:c r="U106" s="9" t="n">
        <x:f>SUMIFS('350配方'!$M106:$P106,'350配方'!$Y106:$AB106,114)</x:f>
        <x:v>47100</x:v>
      </x:c>
      <x:c r="V106" s="9" t="n">
        <x:f>SUMIFS('350配方'!$M106:$P106,'350配方'!$Y106:$AB106,115)</x:f>
        <x:v>0</x:v>
      </x:c>
      <x:c r="W106" s="9" t="n">
        <x:f>SUMIFS('350配方'!$M106:$P106,'350配方'!$Y106:$AB106,117)</x:f>
        <x:v>0</x:v>
      </x:c>
      <x:c r="X106" s="9" t="n">
        <x:f>SUMIFS('350配方'!$M106:$P106,'350配方'!$Y106:$AB106,126)</x:f>
        <x:v>0</x:v>
      </x:c>
      <x:c r="Y106" s="9" t="n">
        <x:f>SUMIFS('350配方'!$M106:$P106,'350配方'!$Y106:$AB106,136)</x:f>
        <x:v>228.58258901324922</x:v>
      </x:c>
      <x:c r="Z106" s="9" t="n">
        <x:f>SUMIFS('350配方'!$M106:$P106,'350配方'!$Y106:$AB106,141)</x:f>
        <x:v>0</x:v>
      </x:c>
      <x:c r="AA106" s="9" t="n">
        <x:f>SUMIFS('350配方'!$M106:$P106,'350配方'!$Y106:$AB106,152)</x:f>
        <x:v>0</x:v>
      </x:c>
      <x:c r="AB106" s="9" t="n">
        <x:f>SUMIFS('350配方'!$M106:$P106,'350配方'!$Y106:$AB106,165)</x:f>
        <x:v>0</x:v>
      </x:c>
      <x:c r="AC106" s="9" t="n">
        <x:f>SUMIFS('350配方'!$M106:$P106,'350配方'!$Y106:$AB106,186)</x:f>
        <x:v>4262.731518639193</x:v>
      </x:c>
      <x:c r="AD106" s="9" t="n">
        <x:f>SUMIFS('350配方'!$M106:$P106,'350配方'!$Y106:$AB106,207)</x:f>
        <x:v>0</x:v>
      </x:c>
      <x:c r="AE106" s="9" t="n">
        <x:f>SUMIFS('350配方'!$M106:$P106,'350配方'!$Y106:$AB106,209)</x:f>
        <x:v>0</x:v>
      </x:c>
      <x:c r="AF106" s="9" t="n">
        <x:f>SUMIFS('350配方'!$M106:$P106,'350配方'!$Y106:$AB106,227)</x:f>
        <x:v>0</x:v>
      </x:c>
      <x:c r="AG106" s="9" t="n">
        <x:f>SUMIFS('350配方'!$M106:$P106,'350配方'!$Y106:$AB106,232)</x:f>
        <x:v>0</x:v>
      </x:c>
      <x:c r="AH106" s="9" t="n">
        <x:f>SUMIFS('350配方'!$M106:$P106,'350配方'!$Y106:$AB106,255)</x:f>
        <x:v>0</x:v>
      </x:c>
      <x:c r="AI106" s="9" t="n">
        <x:f>'浓度设置'!S6</x:f>
        <x:v>219125.9626344086</x:v>
      </x:c>
      <x:c r="AJ106" s="9" t="n">
        <x:f>'浓度设置'!S8</x:f>
        <x:v>92796.92267241378</x:v>
      </x:c>
      <x:c r="AK106" s="9" t="n">
        <x:f>'浓度设置'!S10</x:f>
        <x:v>30556.797802197798</x:v>
      </x:c>
      <x:c r="AL106" s="9" t="n">
        <x:f>'浓度设置'!S12</x:f>
        <x:v>1735.828970588235</x:v>
      </x:c>
      <x:c r="AM106" s="9" t="n">
        <x:f>'浓度设置'!S15</x:f>
        <x:v>7385.813644067793</x:v>
      </x:c>
      <x:c r="AN106" s="9" t="n">
        <x:f>'浓度设置'!S19</x:f>
        <x:v>27722.03097701148</x:v>
      </x:c>
      <x:c r="AO106" s="9" t="n">
        <x:f>'浓度设置'!S22</x:f>
        <x:v>44345.55047619048</x:v>
      </x:c>
      <x:c r="AP106" s="9" t="n">
        <x:f>'浓度设置'!S26</x:f>
        <x:v>153318.30499999996</x:v>
      </x:c>
      <x:c r="AQ106" s="9" t="n">
        <x:f>'浓度设置'!S29</x:f>
        <x:v>312.7970588235294</x:v>
      </x:c>
      <x:c r="AR106" s="9" t="n">
        <x:f>'浓度设置'!S30</x:f>
        <x:v>104175.5097553192</x:v>
      </x:c>
      <x:c r="AS106" s="9" t="n">
        <x:f>'浓度设置'!S35</x:f>
        <x:v>405974.90656785714</x:v>
      </x:c>
    </x:row>
    <x:row r="107" ht="24" customHeight="1">
      <x:c r="A107" s="3" t="str">
        <x:f>'350配方'!A107</x:f>
        <x:v>T102</x:v>
      </x:c>
      <x:c r="B107" s="3" t="str">
        <x:f>'350配方'!B107</x:f>
        <x:v>拟合</x:v>
      </x:c>
      <x:c r="C107" s="3" t="n">
        <x:f>IF(B107="拟合",1,0)</x:f>
        <x:v>1</x:v>
      </x:c>
      <x:c r="D107" s="3" t="n">
        <x:f>'350配方'!AC107</x:f>
        <x:v>4</x:v>
      </x:c>
      <x:c r="E107" s="9" t="n">
        <x:f>SUMIFS('350配方'!$M107:$P107,'350配方'!$Y107:$AB107,7)</x:f>
        <x:v>729.4776350238574</x:v>
      </x:c>
      <x:c r="F107" s="9" t="n">
        <x:f>SUMIFS('350配方'!$M107:$P107,'350配方'!$Y107:$AB107,11)</x:f>
        <x:v>0</x:v>
      </x:c>
      <x:c r="G107" s="9" t="n">
        <x:f>SUMIFS('350配方'!$M107:$P107,'350配方'!$Y107:$AB107,18)</x:f>
        <x:v>0</x:v>
      </x:c>
      <x:c r="H107" s="9" t="n">
        <x:f>SUMIFS('350配方'!$M107:$P107,'350配方'!$Y107:$AB107,32)</x:f>
        <x:v>0</x:v>
      </x:c>
      <x:c r="I107" s="9" t="n">
        <x:f>SUMIFS('350配方'!$M107:$P107,'350配方'!$Y107:$AB107,40)</x:f>
        <x:v>1.875</x:v>
      </x:c>
      <x:c r="J107" s="9" t="n">
        <x:f>SUMIFS('350配方'!$M107:$P107,'350配方'!$Y107:$AB107,52)</x:f>
        <x:v>0</x:v>
      </x:c>
      <x:c r="K107" s="9" t="n">
        <x:f>SUMIFS('350配方'!$M107:$P107,'350配方'!$Y107:$AB107,53)</x:f>
        <x:v>0</x:v>
      </x:c>
      <x:c r="L107" s="9" t="n">
        <x:f>SUMIFS('350配方'!$M107:$P107,'350配方'!$Y107:$AB107,56)</x:f>
        <x:v>0</x:v>
      </x:c>
      <x:c r="M107" s="9" t="n">
        <x:f>SUMIFS('350配方'!$M107:$P107,'350配方'!$Y107:$AB107,58)</x:f>
        <x:v>0</x:v>
      </x:c>
      <x:c r="N107" s="9" t="n">
        <x:f>SUMIFS('350配方'!$M107:$P107,'350配方'!$Y107:$AB107,61)</x:f>
        <x:v>0</x:v>
      </x:c>
      <x:c r="O107" s="9" t="n">
        <x:f>SUMIFS('350配方'!$M107:$P107,'350配方'!$Y107:$AB107,69)</x:f>
        <x:v>0</x:v>
      </x:c>
      <x:c r="P107" s="9" t="n">
        <x:f>SUMIFS('350配方'!$M107:$P107,'350配方'!$Y107:$AB107,75)</x:f>
        <x:v>0</x:v>
      </x:c>
      <x:c r="Q107" s="9" t="n">
        <x:f>SUMIFS('350配方'!$M107:$P107,'350配方'!$Y107:$AB107,79)</x:f>
        <x:v>0</x:v>
      </x:c>
      <x:c r="R107" s="9" t="n">
        <x:f>SUMIFS('350配方'!$M107:$P107,'350配方'!$Y107:$AB107,90)</x:f>
        <x:v>0</x:v>
      </x:c>
      <x:c r="S107" s="9" t="n">
        <x:f>SUMIFS('350配方'!$M107:$P107,'350配方'!$Y107:$AB107,105)</x:f>
        <x:v>0</x:v>
      </x:c>
      <x:c r="T107" s="9" t="n">
        <x:f>SUMIFS('350配方'!$M107:$P107,'350配方'!$Y107:$AB107,111)</x:f>
        <x:v>0</x:v>
      </x:c>
      <x:c r="U107" s="9" t="n">
        <x:f>SUMIFS('350配方'!$M107:$P107,'350配方'!$Y107:$AB107,114)</x:f>
        <x:v>0</x:v>
      </x:c>
      <x:c r="V107" s="9" t="n">
        <x:f>SUMIFS('350配方'!$M107:$P107,'350配方'!$Y107:$AB107,115)</x:f>
        <x:v>0</x:v>
      </x:c>
      <x:c r="W107" s="9" t="n">
        <x:f>SUMIFS('350配方'!$M107:$P107,'350配方'!$Y107:$AB107,117)</x:f>
        <x:v>0</x:v>
      </x:c>
      <x:c r="X107" s="9" t="n">
        <x:f>SUMIFS('350配方'!$M107:$P107,'350配方'!$Y107:$AB107,126)</x:f>
        <x:v>0</x:v>
      </x:c>
      <x:c r="Y107" s="9" t="n">
        <x:f>SUMIFS('350配方'!$M107:$P107,'350配方'!$Y107:$AB107,136)</x:f>
        <x:v>0</x:v>
      </x:c>
      <x:c r="Z107" s="9" t="n">
        <x:f>SUMIFS('350配方'!$M107:$P107,'350配方'!$Y107:$AB107,141)</x:f>
        <x:v>0</x:v>
      </x:c>
      <x:c r="AA107" s="9" t="n">
        <x:f>SUMIFS('350配方'!$M107:$P107,'350配方'!$Y107:$AB107,152)</x:f>
        <x:v>1048.6410253275426</x:v>
      </x:c>
      <x:c r="AB107" s="9" t="n">
        <x:f>SUMIFS('350配方'!$M107:$P107,'350配方'!$Y107:$AB107,165)</x:f>
        <x:v>0</x:v>
      </x:c>
      <x:c r="AC107" s="9" t="n">
        <x:f>SUMIFS('350配方'!$M107:$P107,'350配方'!$Y107:$AB107,186)</x:f>
        <x:v>0</x:v>
      </x:c>
      <x:c r="AD107" s="9" t="n">
        <x:f>SUMIFS('350配方'!$M107:$P107,'350配方'!$Y107:$AB107,207)</x:f>
        <x:v>271.45</x:v>
      </x:c>
      <x:c r="AE107" s="9" t="n">
        <x:f>SUMIFS('350配方'!$M107:$P107,'350配方'!$Y107:$AB107,209)</x:f>
        <x:v>0</x:v>
      </x:c>
      <x:c r="AF107" s="9" t="n">
        <x:f>SUMIFS('350配方'!$M107:$P107,'350配方'!$Y107:$AB107,227)</x:f>
        <x:v>0</x:v>
      </x:c>
      <x:c r="AG107" s="9" t="n">
        <x:f>SUMIFS('350配方'!$M107:$P107,'350配方'!$Y107:$AB107,232)</x:f>
        <x:v>0</x:v>
      </x:c>
      <x:c r="AH107" s="9" t="n">
        <x:f>SUMIFS('350配方'!$M107:$P107,'350配方'!$Y107:$AB107,255)</x:f>
        <x:v>0</x:v>
      </x:c>
      <x:c r="AI107" s="9" t="n">
        <x:f>'浓度设置'!S6</x:f>
        <x:v>219125.9626344086</x:v>
      </x:c>
      <x:c r="AJ107" s="9" t="n">
        <x:f>'浓度设置'!S8</x:f>
        <x:v>92796.92267241378</x:v>
      </x:c>
      <x:c r="AK107" s="9" t="n">
        <x:f>'浓度设置'!S10</x:f>
        <x:v>30556.797802197798</x:v>
      </x:c>
      <x:c r="AL107" s="9" t="n">
        <x:f>'浓度设置'!S12</x:f>
        <x:v>1735.828970588235</x:v>
      </x:c>
      <x:c r="AM107" s="9" t="n">
        <x:f>'浓度设置'!S15</x:f>
        <x:v>7385.813644067793</x:v>
      </x:c>
      <x:c r="AN107" s="9" t="n">
        <x:f>'浓度设置'!S19</x:f>
        <x:v>27722.03097701148</x:v>
      </x:c>
      <x:c r="AO107" s="9" t="n">
        <x:f>'浓度设置'!S22</x:f>
        <x:v>44345.55047619048</x:v>
      </x:c>
      <x:c r="AP107" s="9" t="n">
        <x:f>'浓度设置'!S26</x:f>
        <x:v>153318.30499999996</x:v>
      </x:c>
      <x:c r="AQ107" s="9" t="n">
        <x:f>'浓度设置'!S29</x:f>
        <x:v>312.7970588235294</x:v>
      </x:c>
      <x:c r="AR107" s="9" t="n">
        <x:f>'浓度设置'!S30</x:f>
        <x:v>104175.5097553192</x:v>
      </x:c>
      <x:c r="AS107" s="9" t="n">
        <x:f>'浓度设置'!S35</x:f>
        <x:v>405974.90656785714</x:v>
      </x:c>
    </x:row>
    <x:row r="108" ht="24" customHeight="1">
      <x:c r="A108" s="3" t="str">
        <x:f>'350配方'!A108</x:f>
        <x:v>T103</x:v>
      </x:c>
      <x:c r="B108" s="3" t="str">
        <x:f>'350配方'!B108</x:f>
        <x:v>拟合</x:v>
      </x:c>
      <x:c r="C108" s="3" t="n">
        <x:f>IF(B108="拟合",1,0)</x:f>
        <x:v>1</x:v>
      </x:c>
      <x:c r="D108" s="3" t="n">
        <x:f>'350配方'!AC108</x:f>
        <x:v>4</x:v>
      </x:c>
      <x:c r="E108" s="9" t="n">
        <x:f>SUMIFS('350配方'!$M108:$P108,'350配方'!$Y108:$AB108,7)</x:f>
        <x:v>0</x:v>
      </x:c>
      <x:c r="F108" s="9" t="n">
        <x:f>SUMIFS('350配方'!$M108:$P108,'350配方'!$Y108:$AB108,11)</x:f>
        <x:v>16.97</x:v>
      </x:c>
      <x:c r="G108" s="9" t="n">
        <x:f>SUMIFS('350配方'!$M108:$P108,'350配方'!$Y108:$AB108,18)</x:f>
        <x:v>0</x:v>
      </x:c>
      <x:c r="H108" s="9" t="n">
        <x:f>SUMIFS('350配方'!$M108:$P108,'350配方'!$Y108:$AB108,32)</x:f>
        <x:v>0</x:v>
      </x:c>
      <x:c r="I108" s="9" t="n">
        <x:f>SUMIFS('350配方'!$M108:$P108,'350配方'!$Y108:$AB108,40)</x:f>
        <x:v>0</x:v>
      </x:c>
      <x:c r="J108" s="9" t="n">
        <x:f>SUMIFS('350配方'!$M108:$P108,'350配方'!$Y108:$AB108,52)</x:f>
        <x:v>0</x:v>
      </x:c>
      <x:c r="K108" s="9" t="n">
        <x:f>SUMIFS('350配方'!$M108:$P108,'350配方'!$Y108:$AB108,53)</x:f>
        <x:v>9.61</x:v>
      </x:c>
      <x:c r="L108" s="9" t="n">
        <x:f>SUMIFS('350配方'!$M108:$P108,'350配方'!$Y108:$AB108,56)</x:f>
        <x:v>0</x:v>
      </x:c>
      <x:c r="M108" s="9" t="n">
        <x:f>SUMIFS('350配方'!$M108:$P108,'350配方'!$Y108:$AB108,58)</x:f>
        <x:v>0</x:v>
      </x:c>
      <x:c r="N108" s="9" t="n">
        <x:f>SUMIFS('350配方'!$M108:$P108,'350配方'!$Y108:$AB108,61)</x:f>
        <x:v>0</x:v>
      </x:c>
      <x:c r="O108" s="9" t="n">
        <x:f>SUMIFS('350配方'!$M108:$P108,'350配方'!$Y108:$AB108,69)</x:f>
        <x:v>0</x:v>
      </x:c>
      <x:c r="P108" s="9" t="n">
        <x:f>SUMIFS('350配方'!$M108:$P108,'350配方'!$Y108:$AB108,75)</x:f>
        <x:v>0</x:v>
      </x:c>
      <x:c r="Q108" s="9" t="n">
        <x:f>SUMIFS('350配方'!$M108:$P108,'350配方'!$Y108:$AB108,79)</x:f>
        <x:v>0</x:v>
      </x:c>
      <x:c r="R108" s="9" t="n">
        <x:f>SUMIFS('350配方'!$M108:$P108,'350配方'!$Y108:$AB108,90)</x:f>
        <x:v>0</x:v>
      </x:c>
      <x:c r="S108" s="9" t="n">
        <x:f>SUMIFS('350配方'!$M108:$P108,'350配方'!$Y108:$AB108,105)</x:f>
        <x:v>0.05</x:v>
      </x:c>
      <x:c r="T108" s="9" t="n">
        <x:f>SUMIFS('350配方'!$M108:$P108,'350配方'!$Y108:$AB108,111)</x:f>
        <x:v>0</x:v>
      </x:c>
      <x:c r="U108" s="9" t="n">
        <x:f>SUMIFS('350配方'!$M108:$P108,'350配方'!$Y108:$AB108,114)</x:f>
        <x:v>0</x:v>
      </x:c>
      <x:c r="V108" s="9" t="n">
        <x:f>SUMIFS('350配方'!$M108:$P108,'350配方'!$Y108:$AB108,115)</x:f>
        <x:v>6516</x:v>
      </x:c>
      <x:c r="W108" s="9" t="n">
        <x:f>SUMIFS('350配方'!$M108:$P108,'350配方'!$Y108:$AB108,117)</x:f>
        <x:v>0</x:v>
      </x:c>
      <x:c r="X108" s="9" t="n">
        <x:f>SUMIFS('350配方'!$M108:$P108,'350配方'!$Y108:$AB108,126)</x:f>
        <x:v>0</x:v>
      </x:c>
      <x:c r="Y108" s="9" t="n">
        <x:f>SUMIFS('350配方'!$M108:$P108,'350配方'!$Y108:$AB108,136)</x:f>
        <x:v>0</x:v>
      </x:c>
      <x:c r="Z108" s="9" t="n">
        <x:f>SUMIFS('350配方'!$M108:$P108,'350配方'!$Y108:$AB108,141)</x:f>
        <x:v>0</x:v>
      </x:c>
      <x:c r="AA108" s="9" t="n">
        <x:f>SUMIFS('350配方'!$M108:$P108,'350配方'!$Y108:$AB108,152)</x:f>
        <x:v>0</x:v>
      </x:c>
      <x:c r="AB108" s="9" t="n">
        <x:f>SUMIFS('350配方'!$M108:$P108,'350配方'!$Y108:$AB108,165)</x:f>
        <x:v>0</x:v>
      </x:c>
      <x:c r="AC108" s="9" t="n">
        <x:f>SUMIFS('350配方'!$M108:$P108,'350配方'!$Y108:$AB108,186)</x:f>
        <x:v>0</x:v>
      </x:c>
      <x:c r="AD108" s="9" t="n">
        <x:f>SUMIFS('350配方'!$M108:$P108,'350配方'!$Y108:$AB108,207)</x:f>
        <x:v>0</x:v>
      </x:c>
      <x:c r="AE108" s="9" t="n">
        <x:f>SUMIFS('350配方'!$M108:$P108,'350配方'!$Y108:$AB108,209)</x:f>
        <x:v>0</x:v>
      </x:c>
      <x:c r="AF108" s="9" t="n">
        <x:f>SUMIFS('350配方'!$M108:$P108,'350配方'!$Y108:$AB108,227)</x:f>
        <x:v>0</x:v>
      </x:c>
      <x:c r="AG108" s="9" t="n">
        <x:f>SUMIFS('350配方'!$M108:$P108,'350配方'!$Y108:$AB108,232)</x:f>
        <x:v>0</x:v>
      </x:c>
      <x:c r="AH108" s="9" t="n">
        <x:f>SUMIFS('350配方'!$M108:$P108,'350配方'!$Y108:$AB108,255)</x:f>
        <x:v>0</x:v>
      </x:c>
      <x:c r="AI108" s="9" t="n">
        <x:f>'浓度设置'!S6</x:f>
        <x:v>219125.9626344086</x:v>
      </x:c>
      <x:c r="AJ108" s="9" t="n">
        <x:f>'浓度设置'!S8</x:f>
        <x:v>92796.92267241378</x:v>
      </x:c>
      <x:c r="AK108" s="9" t="n">
        <x:f>'浓度设置'!S10</x:f>
        <x:v>30556.797802197798</x:v>
      </x:c>
      <x:c r="AL108" s="9" t="n">
        <x:f>'浓度设置'!S12</x:f>
        <x:v>1735.828970588235</x:v>
      </x:c>
      <x:c r="AM108" s="9" t="n">
        <x:f>'浓度设置'!S15</x:f>
        <x:v>7385.813644067793</x:v>
      </x:c>
      <x:c r="AN108" s="9" t="n">
        <x:f>'浓度设置'!S19</x:f>
        <x:v>27722.03097701148</x:v>
      </x:c>
      <x:c r="AO108" s="9" t="n">
        <x:f>'浓度设置'!S22</x:f>
        <x:v>44345.55047619048</x:v>
      </x:c>
      <x:c r="AP108" s="9" t="n">
        <x:f>'浓度设置'!S26</x:f>
        <x:v>153318.30499999996</x:v>
      </x:c>
      <x:c r="AQ108" s="9" t="n">
        <x:f>'浓度设置'!S29</x:f>
        <x:v>312.7970588235294</x:v>
      </x:c>
      <x:c r="AR108" s="9" t="n">
        <x:f>'浓度设置'!S30</x:f>
        <x:v>104175.5097553192</x:v>
      </x:c>
      <x:c r="AS108" s="9" t="n">
        <x:f>'浓度设置'!S35</x:f>
        <x:v>405974.90656785714</x:v>
      </x:c>
    </x:row>
    <x:row r="109" ht="24" customHeight="1">
      <x:c r="A109" s="3" t="str">
        <x:f>'350配方'!A109</x:f>
        <x:v>T104</x:v>
      </x:c>
      <x:c r="B109" s="3" t="str">
        <x:f>'350配方'!B109</x:f>
        <x:v>拟合</x:v>
      </x:c>
      <x:c r="C109" s="3" t="n">
        <x:f>IF(B109="拟合",1,0)</x:f>
        <x:v>1</x:v>
      </x:c>
      <x:c r="D109" s="3" t="n">
        <x:f>'350配方'!AC109</x:f>
        <x:v>4</x:v>
      </x:c>
      <x:c r="E109" s="9" t="n">
        <x:f>SUMIFS('350配方'!$M109:$P109,'350配方'!$Y109:$AB109,7)</x:f>
        <x:v>0</x:v>
      </x:c>
      <x:c r="F109" s="9" t="n">
        <x:f>SUMIFS('350配方'!$M109:$P109,'350配方'!$Y109:$AB109,11)</x:f>
        <x:v>0</x:v>
      </x:c>
      <x:c r="G109" s="9" t="n">
        <x:f>SUMIFS('350配方'!$M109:$P109,'350配方'!$Y109:$AB109,18)</x:f>
        <x:v>0</x:v>
      </x:c>
      <x:c r="H109" s="9" t="n">
        <x:f>SUMIFS('350配方'!$M109:$P109,'350配方'!$Y109:$AB109,32)</x:f>
        <x:v>0</x:v>
      </x:c>
      <x:c r="I109" s="9" t="n">
        <x:f>SUMIFS('350配方'!$M109:$P109,'350配方'!$Y109:$AB109,40)</x:f>
        <x:v>0</x:v>
      </x:c>
      <x:c r="J109" s="9" t="n">
        <x:f>SUMIFS('350配方'!$M109:$P109,'350配方'!$Y109:$AB109,52)</x:f>
        <x:v>0</x:v>
      </x:c>
      <x:c r="K109" s="9" t="n">
        <x:f>SUMIFS('350配方'!$M109:$P109,'350配方'!$Y109:$AB109,53)</x:f>
        <x:v>0</x:v>
      </x:c>
      <x:c r="L109" s="9" t="n">
        <x:f>SUMIFS('350配方'!$M109:$P109,'350配方'!$Y109:$AB109,56)</x:f>
        <x:v>4105</x:v>
      </x:c>
      <x:c r="M109" s="9" t="n">
        <x:f>SUMIFS('350配方'!$M109:$P109,'350配方'!$Y109:$AB109,58)</x:f>
        <x:v>0</x:v>
      </x:c>
      <x:c r="N109" s="9" t="n">
        <x:f>SUMIFS('350配方'!$M109:$P109,'350配方'!$Y109:$AB109,61)</x:f>
        <x:v>0</x:v>
      </x:c>
      <x:c r="O109" s="9" t="n">
        <x:f>SUMIFS('350配方'!$M109:$P109,'350配方'!$Y109:$AB109,69)</x:f>
        <x:v>0</x:v>
      </x:c>
      <x:c r="P109" s="9" t="n">
        <x:f>SUMIFS('350配方'!$M109:$P109,'350配方'!$Y109:$AB109,75)</x:f>
        <x:v>0</x:v>
      </x:c>
      <x:c r="Q109" s="9" t="n">
        <x:f>SUMIFS('350配方'!$M109:$P109,'350配方'!$Y109:$AB109,79)</x:f>
        <x:v>0</x:v>
      </x:c>
      <x:c r="R109" s="9" t="n">
        <x:f>SUMIFS('350配方'!$M109:$P109,'350配方'!$Y109:$AB109,90)</x:f>
        <x:v>0</x:v>
      </x:c>
      <x:c r="S109" s="9" t="n">
        <x:f>SUMIFS('350配方'!$M109:$P109,'350配方'!$Y109:$AB109,105)</x:f>
        <x:v>0</x:v>
      </x:c>
      <x:c r="T109" s="9" t="n">
        <x:f>SUMIFS('350配方'!$M109:$P109,'350配方'!$Y109:$AB109,111)</x:f>
        <x:v>0</x:v>
      </x:c>
      <x:c r="U109" s="9" t="n">
        <x:f>SUMIFS('350配方'!$M109:$P109,'350配方'!$Y109:$AB109,114)</x:f>
        <x:v>0</x:v>
      </x:c>
      <x:c r="V109" s="9" t="n">
        <x:f>SUMIFS('350配方'!$M109:$P109,'350配方'!$Y109:$AB109,115)</x:f>
        <x:v>0</x:v>
      </x:c>
      <x:c r="W109" s="9" t="n">
        <x:f>SUMIFS('350配方'!$M109:$P109,'350配方'!$Y109:$AB109,117)</x:f>
        <x:v>0</x:v>
      </x:c>
      <x:c r="X109" s="9" t="n">
        <x:f>SUMIFS('350配方'!$M109:$P109,'350配方'!$Y109:$AB109,126)</x:f>
        <x:v>1551340.76</x:v>
      </x:c>
      <x:c r="Y109" s="9" t="n">
        <x:f>SUMIFS('350配方'!$M109:$P109,'350配方'!$Y109:$AB109,136)</x:f>
        <x:v>0</x:v>
      </x:c>
      <x:c r="Z109" s="9" t="n">
        <x:f>SUMIFS('350配方'!$M109:$P109,'350配方'!$Y109:$AB109,141)</x:f>
        <x:v>1512.497272724814</x:v>
      </x:c>
      <x:c r="AA109" s="9" t="n">
        <x:f>SUMIFS('350配方'!$M109:$P109,'350配方'!$Y109:$AB109,152)</x:f>
        <x:v>0</x:v>
      </x:c>
      <x:c r="AB109" s="9" t="n">
        <x:f>SUMIFS('350配方'!$M109:$P109,'350配方'!$Y109:$AB109,165)</x:f>
        <x:v>0</x:v>
      </x:c>
      <x:c r="AC109" s="9" t="n">
        <x:f>SUMIFS('350配方'!$M109:$P109,'350配方'!$Y109:$AB109,186)</x:f>
        <x:v>0</x:v>
      </x:c>
      <x:c r="AD109" s="9" t="n">
        <x:f>SUMIFS('350配方'!$M109:$P109,'350配方'!$Y109:$AB109,207)</x:f>
        <x:v>0</x:v>
      </x:c>
      <x:c r="AE109" s="9" t="n">
        <x:f>SUMIFS('350配方'!$M109:$P109,'350配方'!$Y109:$AB109,209)</x:f>
        <x:v>0.28</x:v>
      </x:c>
      <x:c r="AF109" s="9" t="n">
        <x:f>SUMIFS('350配方'!$M109:$P109,'350配方'!$Y109:$AB109,227)</x:f>
        <x:v>0</x:v>
      </x:c>
      <x:c r="AG109" s="9" t="n">
        <x:f>SUMIFS('350配方'!$M109:$P109,'350配方'!$Y109:$AB109,232)</x:f>
        <x:v>0</x:v>
      </x:c>
      <x:c r="AH109" s="9" t="n">
        <x:f>SUMIFS('350配方'!$M109:$P109,'350配方'!$Y109:$AB109,255)</x:f>
        <x:v>0</x:v>
      </x:c>
      <x:c r="AI109" s="9" t="n">
        <x:f>'浓度设置'!S6</x:f>
        <x:v>219125.9626344086</x:v>
      </x:c>
      <x:c r="AJ109" s="9" t="n">
        <x:f>'浓度设置'!S8</x:f>
        <x:v>92796.92267241378</x:v>
      </x:c>
      <x:c r="AK109" s="9" t="n">
        <x:f>'浓度设置'!S10</x:f>
        <x:v>30556.797802197798</x:v>
      </x:c>
      <x:c r="AL109" s="9" t="n">
        <x:f>'浓度设置'!S12</x:f>
        <x:v>1735.828970588235</x:v>
      </x:c>
      <x:c r="AM109" s="9" t="n">
        <x:f>'浓度设置'!S15</x:f>
        <x:v>7385.813644067793</x:v>
      </x:c>
      <x:c r="AN109" s="9" t="n">
        <x:f>'浓度设置'!S19</x:f>
        <x:v>27722.03097701148</x:v>
      </x:c>
      <x:c r="AO109" s="9" t="n">
        <x:f>'浓度设置'!S22</x:f>
        <x:v>44345.55047619048</x:v>
      </x:c>
      <x:c r="AP109" s="9" t="n">
        <x:f>'浓度设置'!S26</x:f>
        <x:v>153318.30499999996</x:v>
      </x:c>
      <x:c r="AQ109" s="9" t="n">
        <x:f>'浓度设置'!S29</x:f>
        <x:v>312.7970588235294</x:v>
      </x:c>
      <x:c r="AR109" s="9" t="n">
        <x:f>'浓度设置'!S30</x:f>
        <x:v>104175.5097553192</x:v>
      </x:c>
      <x:c r="AS109" s="9" t="n">
        <x:f>'浓度设置'!S35</x:f>
        <x:v>405974.90656785714</x:v>
      </x:c>
    </x:row>
    <x:row r="110" ht="24" customHeight="1">
      <x:c r="A110" s="3" t="str">
        <x:f>'350配方'!A110</x:f>
        <x:v>T105</x:v>
      </x:c>
      <x:c r="B110" s="3" t="str">
        <x:f>'350配方'!B110</x:f>
        <x:v>拟合</x:v>
      </x:c>
      <x:c r="C110" s="3" t="n">
        <x:f>IF(B110="拟合",1,0)</x:f>
        <x:v>1</x:v>
      </x:c>
      <x:c r="D110" s="3" t="n">
        <x:f>'350配方'!AC110</x:f>
        <x:v>4</x:v>
      </x:c>
      <x:c r="E110" s="9" t="n">
        <x:f>SUMIFS('350配方'!$M110:$P110,'350配方'!$Y110:$AB110,7)</x:f>
        <x:v>0</x:v>
      </x:c>
      <x:c r="F110" s="9" t="n">
        <x:f>SUMIFS('350配方'!$M110:$P110,'350配方'!$Y110:$AB110,11)</x:f>
        <x:v>0</x:v>
      </x:c>
      <x:c r="G110" s="9" t="n">
        <x:f>SUMIFS('350配方'!$M110:$P110,'350配方'!$Y110:$AB110,18)</x:f>
        <x:v>0</x:v>
      </x:c>
      <x:c r="H110" s="9" t="n">
        <x:f>SUMIFS('350配方'!$M110:$P110,'350配方'!$Y110:$AB110,32)</x:f>
        <x:v>0</x:v>
      </x:c>
      <x:c r="I110" s="9" t="n">
        <x:f>SUMIFS('350配方'!$M110:$P110,'350配方'!$Y110:$AB110,40)</x:f>
        <x:v>0</x:v>
      </x:c>
      <x:c r="J110" s="9" t="n">
        <x:f>SUMIFS('350配方'!$M110:$P110,'350配方'!$Y110:$AB110,52)</x:f>
        <x:v>4.24</x:v>
      </x:c>
      <x:c r="K110" s="9" t="n">
        <x:f>SUMIFS('350配方'!$M110:$P110,'350配方'!$Y110:$AB110,53)</x:f>
        <x:v>0</x:v>
      </x:c>
      <x:c r="L110" s="9" t="n">
        <x:f>SUMIFS('350配方'!$M110:$P110,'350配方'!$Y110:$AB110,56)</x:f>
        <x:v>0</x:v>
      </x:c>
      <x:c r="M110" s="9" t="n">
        <x:f>SUMIFS('350配方'!$M110:$P110,'350配方'!$Y110:$AB110,58)</x:f>
        <x:v>0</x:v>
      </x:c>
      <x:c r="N110" s="9" t="n">
        <x:f>SUMIFS('350配方'!$M110:$P110,'350配方'!$Y110:$AB110,61)</x:f>
        <x:v>0.51</x:v>
      </x:c>
      <x:c r="O110" s="9" t="n">
        <x:f>SUMIFS('350配方'!$M110:$P110,'350配方'!$Y110:$AB110,69)</x:f>
        <x:v>0.83</x:v>
      </x:c>
      <x:c r="P110" s="9" t="n">
        <x:f>SUMIFS('350配方'!$M110:$P110,'350配方'!$Y110:$AB110,75)</x:f>
        <x:v>0</x:v>
      </x:c>
      <x:c r="Q110" s="9" t="n">
        <x:f>SUMIFS('350配方'!$M110:$P110,'350配方'!$Y110:$AB110,79)</x:f>
        <x:v>0</x:v>
      </x:c>
      <x:c r="R110" s="9" t="n">
        <x:f>SUMIFS('350配方'!$M110:$P110,'350配方'!$Y110:$AB110,90)</x:f>
        <x:v>0</x:v>
      </x:c>
      <x:c r="S110" s="9" t="n">
        <x:f>SUMIFS('350配方'!$M110:$P110,'350配方'!$Y110:$AB110,105)</x:f>
        <x:v>0</x:v>
      </x:c>
      <x:c r="T110" s="9" t="n">
        <x:f>SUMIFS('350配方'!$M110:$P110,'350配方'!$Y110:$AB110,111)</x:f>
        <x:v>0</x:v>
      </x:c>
      <x:c r="U110" s="9" t="n">
        <x:f>SUMIFS('350配方'!$M110:$P110,'350配方'!$Y110:$AB110,114)</x:f>
        <x:v>0</x:v>
      </x:c>
      <x:c r="V110" s="9" t="n">
        <x:f>SUMIFS('350配方'!$M110:$P110,'350配方'!$Y110:$AB110,115)</x:f>
        <x:v>0</x:v>
      </x:c>
      <x:c r="W110" s="9" t="n">
        <x:f>SUMIFS('350配方'!$M110:$P110,'350配方'!$Y110:$AB110,117)</x:f>
        <x:v>0</x:v>
      </x:c>
      <x:c r="X110" s="9" t="n">
        <x:f>SUMIFS('350配方'!$M110:$P110,'350配方'!$Y110:$AB110,126)</x:f>
        <x:v>0</x:v>
      </x:c>
      <x:c r="Y110" s="9" t="n">
        <x:f>SUMIFS('350配方'!$M110:$P110,'350配方'!$Y110:$AB110,136)</x:f>
        <x:v>0</x:v>
      </x:c>
      <x:c r="Z110" s="9" t="n">
        <x:f>SUMIFS('350配方'!$M110:$P110,'350配方'!$Y110:$AB110,141)</x:f>
        <x:v>0</x:v>
      </x:c>
      <x:c r="AA110" s="9" t="n">
        <x:f>SUMIFS('350配方'!$M110:$P110,'350配方'!$Y110:$AB110,152)</x:f>
        <x:v>0</x:v>
      </x:c>
      <x:c r="AB110" s="9" t="n">
        <x:f>SUMIFS('350配方'!$M110:$P110,'350配方'!$Y110:$AB110,165)</x:f>
        <x:v>0</x:v>
      </x:c>
      <x:c r="AC110" s="9" t="n">
        <x:f>SUMIFS('350配方'!$M110:$P110,'350配方'!$Y110:$AB110,186)</x:f>
        <x:v>1.56</x:v>
      </x:c>
      <x:c r="AD110" s="9" t="n">
        <x:f>SUMIFS('350配方'!$M110:$P110,'350配方'!$Y110:$AB110,207)</x:f>
        <x:v>0</x:v>
      </x:c>
      <x:c r="AE110" s="9" t="n">
        <x:f>SUMIFS('350配方'!$M110:$P110,'350配方'!$Y110:$AB110,209)</x:f>
        <x:v>0</x:v>
      </x:c>
      <x:c r="AF110" s="9" t="n">
        <x:f>SUMIFS('350配方'!$M110:$P110,'350配方'!$Y110:$AB110,227)</x:f>
        <x:v>0</x:v>
      </x:c>
      <x:c r="AG110" s="9" t="n">
        <x:f>SUMIFS('350配方'!$M110:$P110,'350配方'!$Y110:$AB110,232)</x:f>
        <x:v>0</x:v>
      </x:c>
      <x:c r="AH110" s="9" t="n">
        <x:f>SUMIFS('350配方'!$M110:$P110,'350配方'!$Y110:$AB110,255)</x:f>
        <x:v>0</x:v>
      </x:c>
      <x:c r="AI110" s="9" t="n">
        <x:f>'浓度设置'!S6</x:f>
        <x:v>219125.9626344086</x:v>
      </x:c>
      <x:c r="AJ110" s="9" t="n">
        <x:f>'浓度设置'!S8</x:f>
        <x:v>92796.92267241378</x:v>
      </x:c>
      <x:c r="AK110" s="9" t="n">
        <x:f>'浓度设置'!S10</x:f>
        <x:v>30556.797802197798</x:v>
      </x:c>
      <x:c r="AL110" s="9" t="n">
        <x:f>'浓度设置'!S12</x:f>
        <x:v>1735.828970588235</x:v>
      </x:c>
      <x:c r="AM110" s="9" t="n">
        <x:f>'浓度设置'!S15</x:f>
        <x:v>7385.813644067793</x:v>
      </x:c>
      <x:c r="AN110" s="9" t="n">
        <x:f>'浓度设置'!S19</x:f>
        <x:v>27722.03097701148</x:v>
      </x:c>
      <x:c r="AO110" s="9" t="n">
        <x:f>'浓度设置'!S22</x:f>
        <x:v>44345.55047619048</x:v>
      </x:c>
      <x:c r="AP110" s="9" t="n">
        <x:f>'浓度设置'!S26</x:f>
        <x:v>153318.30499999996</x:v>
      </x:c>
      <x:c r="AQ110" s="9" t="n">
        <x:f>'浓度设置'!S29</x:f>
        <x:v>312.7970588235294</x:v>
      </x:c>
      <x:c r="AR110" s="9" t="n">
        <x:f>'浓度设置'!S30</x:f>
        <x:v>104175.5097553192</x:v>
      </x:c>
      <x:c r="AS110" s="9" t="n">
        <x:f>'浓度设置'!S35</x:f>
        <x:v>405974.90656785714</x:v>
      </x:c>
    </x:row>
    <x:row r="111" ht="24" customHeight="1">
      <x:c r="A111" s="3" t="str">
        <x:f>'350配方'!A111</x:f>
        <x:v>T106</x:v>
      </x:c>
      <x:c r="B111" s="3" t="str">
        <x:f>'350配方'!B111</x:f>
        <x:v>拟合</x:v>
      </x:c>
      <x:c r="C111" s="3" t="n">
        <x:f>IF(B111="拟合",1,0)</x:f>
        <x:v>1</x:v>
      </x:c>
      <x:c r="D111" s="3" t="n">
        <x:f>'350配方'!AC111</x:f>
        <x:v>4</x:v>
      </x:c>
      <x:c r="E111" s="9" t="n">
        <x:f>SUMIFS('350配方'!$M111:$P111,'350配方'!$Y111:$AB111,7)</x:f>
        <x:v>0</x:v>
      </x:c>
      <x:c r="F111" s="9" t="n">
        <x:f>SUMIFS('350配方'!$M111:$P111,'350配方'!$Y111:$AB111,11)</x:f>
        <x:v>0</x:v>
      </x:c>
      <x:c r="G111" s="9" t="n">
        <x:f>SUMIFS('350配方'!$M111:$P111,'350配方'!$Y111:$AB111,18)</x:f>
        <x:v>1183.2582135780847</x:v>
      </x:c>
      <x:c r="H111" s="9" t="n">
        <x:f>SUMIFS('350配方'!$M111:$P111,'350配方'!$Y111:$AB111,32)</x:f>
        <x:v>0</x:v>
      </x:c>
      <x:c r="I111" s="9" t="n">
        <x:f>SUMIFS('350配方'!$M111:$P111,'350配方'!$Y111:$AB111,40)</x:f>
        <x:v>0</x:v>
      </x:c>
      <x:c r="J111" s="9" t="n">
        <x:f>SUMIFS('350配方'!$M111:$P111,'350配方'!$Y111:$AB111,52)</x:f>
        <x:v>0</x:v>
      </x:c>
      <x:c r="K111" s="9" t="n">
        <x:f>SUMIFS('350配方'!$M111:$P111,'350配方'!$Y111:$AB111,53)</x:f>
        <x:v>0</x:v>
      </x:c>
      <x:c r="L111" s="9" t="n">
        <x:f>SUMIFS('350配方'!$M111:$P111,'350配方'!$Y111:$AB111,56)</x:f>
        <x:v>0</x:v>
      </x:c>
      <x:c r="M111" s="9" t="n">
        <x:f>SUMIFS('350配方'!$M111:$P111,'350配方'!$Y111:$AB111,58)</x:f>
        <x:v>0</x:v>
      </x:c>
      <x:c r="N111" s="9" t="n">
        <x:f>SUMIFS('350配方'!$M111:$P111,'350配方'!$Y111:$AB111,61)</x:f>
        <x:v>0</x:v>
      </x:c>
      <x:c r="O111" s="9" t="n">
        <x:f>SUMIFS('350配方'!$M111:$P111,'350配方'!$Y111:$AB111,69)</x:f>
        <x:v>0</x:v>
      </x:c>
      <x:c r="P111" s="9" t="n">
        <x:f>SUMIFS('350配方'!$M111:$P111,'350配方'!$Y111:$AB111,75)</x:f>
        <x:v>0</x:v>
      </x:c>
      <x:c r="Q111" s="9" t="n">
        <x:f>SUMIFS('350配方'!$M111:$P111,'350配方'!$Y111:$AB111,79)</x:f>
        <x:v>0</x:v>
      </x:c>
      <x:c r="R111" s="9" t="n">
        <x:f>SUMIFS('350配方'!$M111:$P111,'350配方'!$Y111:$AB111,90)</x:f>
        <x:v>0</x:v>
      </x:c>
      <x:c r="S111" s="9" t="n">
        <x:f>SUMIFS('350配方'!$M111:$P111,'350配方'!$Y111:$AB111,105)</x:f>
        <x:v>0</x:v>
      </x:c>
      <x:c r="T111" s="9" t="n">
        <x:f>SUMIFS('350配方'!$M111:$P111,'350配方'!$Y111:$AB111,111)</x:f>
        <x:v>0</x:v>
      </x:c>
      <x:c r="U111" s="9" t="n">
        <x:f>SUMIFS('350配方'!$M111:$P111,'350配方'!$Y111:$AB111,114)</x:f>
        <x:v>3147.945</x:v>
      </x:c>
      <x:c r="V111" s="9" t="n">
        <x:f>SUMIFS('350配方'!$M111:$P111,'350配方'!$Y111:$AB111,115)</x:f>
        <x:v>0</x:v>
      </x:c>
      <x:c r="W111" s="9" t="n">
        <x:f>SUMIFS('350配方'!$M111:$P111,'350配方'!$Y111:$AB111,117)</x:f>
        <x:v>40201.1</x:v>
      </x:c>
      <x:c r="X111" s="9" t="n">
        <x:f>SUMIFS('350配方'!$M111:$P111,'350配方'!$Y111:$AB111,126)</x:f>
        <x:v>0</x:v>
      </x:c>
      <x:c r="Y111" s="9" t="n">
        <x:f>SUMIFS('350配方'!$M111:$P111,'350配方'!$Y111:$AB111,136)</x:f>
        <x:v>0</x:v>
      </x:c>
      <x:c r="Z111" s="9" t="n">
        <x:f>SUMIFS('350配方'!$M111:$P111,'350配方'!$Y111:$AB111,141)</x:f>
        <x:v>0</x:v>
      </x:c>
      <x:c r="AA111" s="9" t="n">
        <x:f>SUMIFS('350配方'!$M111:$P111,'350配方'!$Y111:$AB111,152)</x:f>
        <x:v>0</x:v>
      </x:c>
      <x:c r="AB111" s="9" t="n">
        <x:f>SUMIFS('350配方'!$M111:$P111,'350配方'!$Y111:$AB111,165)</x:f>
        <x:v>0</x:v>
      </x:c>
      <x:c r="AC111" s="9" t="n">
        <x:f>SUMIFS('350配方'!$M111:$P111,'350配方'!$Y111:$AB111,186)</x:f>
        <x:v>0</x:v>
      </x:c>
      <x:c r="AD111" s="9" t="n">
        <x:f>SUMIFS('350配方'!$M111:$P111,'350配方'!$Y111:$AB111,207)</x:f>
        <x:v>0</x:v>
      </x:c>
      <x:c r="AE111" s="9" t="n">
        <x:f>SUMIFS('350配方'!$M111:$P111,'350配方'!$Y111:$AB111,209)</x:f>
        <x:v>0</x:v>
      </x:c>
      <x:c r="AF111" s="9" t="n">
        <x:f>SUMIFS('350配方'!$M111:$P111,'350配方'!$Y111:$AB111,227)</x:f>
        <x:v>0</x:v>
      </x:c>
      <x:c r="AG111" s="9" t="n">
        <x:f>SUMIFS('350配方'!$M111:$P111,'350配方'!$Y111:$AB111,232)</x:f>
        <x:v>39.53062104242735</x:v>
      </x:c>
      <x:c r="AH111" s="9" t="n">
        <x:f>SUMIFS('350配方'!$M111:$P111,'350配方'!$Y111:$AB111,255)</x:f>
        <x:v>0</x:v>
      </x:c>
      <x:c r="AI111" s="9" t="n">
        <x:f>'浓度设置'!S6</x:f>
        <x:v>219125.9626344086</x:v>
      </x:c>
      <x:c r="AJ111" s="9" t="n">
        <x:f>'浓度设置'!S8</x:f>
        <x:v>92796.92267241378</x:v>
      </x:c>
      <x:c r="AK111" s="9" t="n">
        <x:f>'浓度设置'!S10</x:f>
        <x:v>30556.797802197798</x:v>
      </x:c>
      <x:c r="AL111" s="9" t="n">
        <x:f>'浓度设置'!S12</x:f>
        <x:v>1735.828970588235</x:v>
      </x:c>
      <x:c r="AM111" s="9" t="n">
        <x:f>'浓度设置'!S15</x:f>
        <x:v>7385.813644067793</x:v>
      </x:c>
      <x:c r="AN111" s="9" t="n">
        <x:f>'浓度设置'!S19</x:f>
        <x:v>27722.03097701148</x:v>
      </x:c>
      <x:c r="AO111" s="9" t="n">
        <x:f>'浓度设置'!S22</x:f>
        <x:v>44345.55047619048</x:v>
      </x:c>
      <x:c r="AP111" s="9" t="n">
        <x:f>'浓度设置'!S26</x:f>
        <x:v>153318.30499999996</x:v>
      </x:c>
      <x:c r="AQ111" s="9" t="n">
        <x:f>'浓度设置'!S29</x:f>
        <x:v>312.7970588235294</x:v>
      </x:c>
      <x:c r="AR111" s="9" t="n">
        <x:f>'浓度设置'!S30</x:f>
        <x:v>104175.5097553192</x:v>
      </x:c>
      <x:c r="AS111" s="9" t="n">
        <x:f>'浓度设置'!S35</x:f>
        <x:v>405974.90656785714</x:v>
      </x:c>
    </x:row>
    <x:row r="112" ht="24" customHeight="1">
      <x:c r="A112" s="3" t="str">
        <x:f>'350配方'!A112</x:f>
        <x:v>T107</x:v>
      </x:c>
      <x:c r="B112" s="3" t="str">
        <x:f>'350配方'!B112</x:f>
        <x:v>拟合</x:v>
      </x:c>
      <x:c r="C112" s="3" t="n">
        <x:f>IF(B112="拟合",1,0)</x:f>
        <x:v>1</x:v>
      </x:c>
      <x:c r="D112" s="3" t="n">
        <x:f>'350配方'!AC112</x:f>
        <x:v>4</x:v>
      </x:c>
      <x:c r="E112" s="9" t="n">
        <x:f>SUMIFS('350配方'!$M112:$P112,'350配方'!$Y112:$AB112,7)</x:f>
        <x:v>0</x:v>
      </x:c>
      <x:c r="F112" s="9" t="n">
        <x:f>SUMIFS('350配方'!$M112:$P112,'350配方'!$Y112:$AB112,11)</x:f>
        <x:v>0</x:v>
      </x:c>
      <x:c r="G112" s="9" t="n">
        <x:f>SUMIFS('350配方'!$M112:$P112,'350配方'!$Y112:$AB112,18)</x:f>
        <x:v>0</x:v>
      </x:c>
      <x:c r="H112" s="9" t="n">
        <x:f>SUMIFS('350配方'!$M112:$P112,'350配方'!$Y112:$AB112,32)</x:f>
        <x:v>0</x:v>
      </x:c>
      <x:c r="I112" s="9" t="n">
        <x:f>SUMIFS('350配方'!$M112:$P112,'350配方'!$Y112:$AB112,40)</x:f>
        <x:v>0</x:v>
      </x:c>
      <x:c r="J112" s="9" t="n">
        <x:f>SUMIFS('350配方'!$M112:$P112,'350配方'!$Y112:$AB112,52)</x:f>
        <x:v>0</x:v>
      </x:c>
      <x:c r="K112" s="9" t="n">
        <x:f>SUMIFS('350配方'!$M112:$P112,'350配方'!$Y112:$AB112,53)</x:f>
        <x:v>0</x:v>
      </x:c>
      <x:c r="L112" s="9" t="n">
        <x:f>SUMIFS('350配方'!$M112:$P112,'350配方'!$Y112:$AB112,56)</x:f>
        <x:v>0</x:v>
      </x:c>
      <x:c r="M112" s="9" t="n">
        <x:f>SUMIFS('350配方'!$M112:$P112,'350配方'!$Y112:$AB112,58)</x:f>
        <x:v>0</x:v>
      </x:c>
      <x:c r="N112" s="9" t="n">
        <x:f>SUMIFS('350配方'!$M112:$P112,'350配方'!$Y112:$AB112,61)</x:f>
        <x:v>0</x:v>
      </x:c>
      <x:c r="O112" s="9" t="n">
        <x:f>SUMIFS('350配方'!$M112:$P112,'350配方'!$Y112:$AB112,69)</x:f>
        <x:v>0</x:v>
      </x:c>
      <x:c r="P112" s="9" t="n">
        <x:f>SUMIFS('350配方'!$M112:$P112,'350配方'!$Y112:$AB112,75)</x:f>
        <x:v>62700</x:v>
      </x:c>
      <x:c r="Q112" s="9" t="n">
        <x:f>SUMIFS('350配方'!$M112:$P112,'350配方'!$Y112:$AB112,79)</x:f>
        <x:v>0</x:v>
      </x:c>
      <x:c r="R112" s="9" t="n">
        <x:f>SUMIFS('350配方'!$M112:$P112,'350配方'!$Y112:$AB112,90)</x:f>
        <x:v>0</x:v>
      </x:c>
      <x:c r="S112" s="9" t="n">
        <x:f>SUMIFS('350配方'!$M112:$P112,'350配方'!$Y112:$AB112,105)</x:f>
        <x:v>0</x:v>
      </x:c>
      <x:c r="T112" s="9" t="n">
        <x:f>SUMIFS('350配方'!$M112:$P112,'350配方'!$Y112:$AB112,111)</x:f>
        <x:v>0</x:v>
      </x:c>
      <x:c r="U112" s="9" t="n">
        <x:f>SUMIFS('350配方'!$M112:$P112,'350配方'!$Y112:$AB112,114)</x:f>
        <x:v>0</x:v>
      </x:c>
      <x:c r="V112" s="9" t="n">
        <x:f>SUMIFS('350配方'!$M112:$P112,'350配方'!$Y112:$AB112,115)</x:f>
        <x:v>0</x:v>
      </x:c>
      <x:c r="W112" s="9" t="n">
        <x:f>SUMIFS('350配方'!$M112:$P112,'350配方'!$Y112:$AB112,117)</x:f>
        <x:v>0</x:v>
      </x:c>
      <x:c r="X112" s="9" t="n">
        <x:f>SUMIFS('350配方'!$M112:$P112,'350配方'!$Y112:$AB112,126)</x:f>
        <x:v>0</x:v>
      </x:c>
      <x:c r="Y112" s="9" t="n">
        <x:f>SUMIFS('350配方'!$M112:$P112,'350配方'!$Y112:$AB112,136)</x:f>
        <x:v>0</x:v>
      </x:c>
      <x:c r="Z112" s="9" t="n">
        <x:f>SUMIFS('350配方'!$M112:$P112,'350配方'!$Y112:$AB112,141)</x:f>
        <x:v>0</x:v>
      </x:c>
      <x:c r="AA112" s="9" t="n">
        <x:f>SUMIFS('350配方'!$M112:$P112,'350配方'!$Y112:$AB112,152)</x:f>
        <x:v>0</x:v>
      </x:c>
      <x:c r="AB112" s="9" t="n">
        <x:f>SUMIFS('350配方'!$M112:$P112,'350配方'!$Y112:$AB112,165)</x:f>
        <x:v>86300</x:v>
      </x:c>
      <x:c r="AC112" s="9" t="n">
        <x:f>SUMIFS('350配方'!$M112:$P112,'350配方'!$Y112:$AB112,186)</x:f>
        <x:v>0</x:v>
      </x:c>
      <x:c r="AD112" s="9" t="n">
        <x:f>SUMIFS('350配方'!$M112:$P112,'350配方'!$Y112:$AB112,207)</x:f>
        <x:v>0</x:v>
      </x:c>
      <x:c r="AE112" s="9" t="n">
        <x:f>SUMIFS('350配方'!$M112:$P112,'350配方'!$Y112:$AB112,209)</x:f>
        <x:v>0</x:v>
      </x:c>
      <x:c r="AF112" s="9" t="n">
        <x:f>SUMIFS('350配方'!$M112:$P112,'350配方'!$Y112:$AB112,227)</x:f>
        <x:v>193759</x:v>
      </x:c>
      <x:c r="AG112" s="9" t="n">
        <x:f>SUMIFS('350配方'!$M112:$P112,'350配方'!$Y112:$AB112,232)</x:f>
        <x:v>0</x:v>
      </x:c>
      <x:c r="AH112" s="9" t="n">
        <x:f>SUMIFS('350配方'!$M112:$P112,'350配方'!$Y112:$AB112,255)</x:f>
        <x:v>60.76</x:v>
      </x:c>
      <x:c r="AI112" s="9" t="n">
        <x:f>'浓度设置'!S6</x:f>
        <x:v>219125.9626344086</x:v>
      </x:c>
      <x:c r="AJ112" s="9" t="n">
        <x:f>'浓度设置'!S8</x:f>
        <x:v>92796.92267241378</x:v>
      </x:c>
      <x:c r="AK112" s="9" t="n">
        <x:f>'浓度设置'!S10</x:f>
        <x:v>30556.797802197798</x:v>
      </x:c>
      <x:c r="AL112" s="9" t="n">
        <x:f>'浓度设置'!S12</x:f>
        <x:v>1735.828970588235</x:v>
      </x:c>
      <x:c r="AM112" s="9" t="n">
        <x:f>'浓度设置'!S15</x:f>
        <x:v>7385.813644067793</x:v>
      </x:c>
      <x:c r="AN112" s="9" t="n">
        <x:f>'浓度设置'!S19</x:f>
        <x:v>27722.03097701148</x:v>
      </x:c>
      <x:c r="AO112" s="9" t="n">
        <x:f>'浓度设置'!S22</x:f>
        <x:v>44345.55047619048</x:v>
      </x:c>
      <x:c r="AP112" s="9" t="n">
        <x:f>'浓度设置'!S26</x:f>
        <x:v>153318.30499999996</x:v>
      </x:c>
      <x:c r="AQ112" s="9" t="n">
        <x:f>'浓度设置'!S29</x:f>
        <x:v>312.7970588235294</x:v>
      </x:c>
      <x:c r="AR112" s="9" t="n">
        <x:f>'浓度设置'!S30</x:f>
        <x:v>104175.5097553192</x:v>
      </x:c>
      <x:c r="AS112" s="9" t="n">
        <x:f>'浓度设置'!S35</x:f>
        <x:v>405974.90656785714</x:v>
      </x:c>
    </x:row>
    <x:row r="113" ht="24" customHeight="1">
      <x:c r="A113" s="3" t="str">
        <x:f>'350配方'!A113</x:f>
        <x:v>T108</x:v>
      </x:c>
      <x:c r="B113" s="3" t="str">
        <x:f>'350配方'!B113</x:f>
        <x:v>拟合</x:v>
      </x:c>
      <x:c r="C113" s="3" t="n">
        <x:f>IF(B113="拟合",1,0)</x:f>
        <x:v>1</x:v>
      </x:c>
      <x:c r="D113" s="3" t="n">
        <x:f>'350配方'!AC113</x:f>
        <x:v>4</x:v>
      </x:c>
      <x:c r="E113" s="9" t="n">
        <x:f>SUMIFS('350配方'!$M113:$P113,'350配方'!$Y113:$AB113,7)</x:f>
        <x:v>0</x:v>
      </x:c>
      <x:c r="F113" s="9" t="n">
        <x:f>SUMIFS('350配方'!$M113:$P113,'350配方'!$Y113:$AB113,11)</x:f>
        <x:v>0</x:v>
      </x:c>
      <x:c r="G113" s="9" t="n">
        <x:f>SUMIFS('350配方'!$M113:$P113,'350配方'!$Y113:$AB113,18)</x:f>
        <x:v>0</x:v>
      </x:c>
      <x:c r="H113" s="9" t="n">
        <x:f>SUMIFS('350配方'!$M113:$P113,'350配方'!$Y113:$AB113,32)</x:f>
        <x:v>18.68</x:v>
      </x:c>
      <x:c r="I113" s="9" t="n">
        <x:f>SUMIFS('350配方'!$M113:$P113,'350配方'!$Y113:$AB113,40)</x:f>
        <x:v>0</x:v>
      </x:c>
      <x:c r="J113" s="9" t="n">
        <x:f>SUMIFS('350配方'!$M113:$P113,'350配方'!$Y113:$AB113,52)</x:f>
        <x:v>0</x:v>
      </x:c>
      <x:c r="K113" s="9" t="n">
        <x:f>SUMIFS('350配方'!$M113:$P113,'350配方'!$Y113:$AB113,53)</x:f>
        <x:v>0</x:v>
      </x:c>
      <x:c r="L113" s="9" t="n">
        <x:f>SUMIFS('350配方'!$M113:$P113,'350配方'!$Y113:$AB113,56)</x:f>
        <x:v>0</x:v>
      </x:c>
      <x:c r="M113" s="9" t="n">
        <x:f>SUMIFS('350配方'!$M113:$P113,'350配方'!$Y113:$AB113,58)</x:f>
        <x:v>5.06</x:v>
      </x:c>
      <x:c r="N113" s="9" t="n">
        <x:f>SUMIFS('350配方'!$M113:$P113,'350配方'!$Y113:$AB113,61)</x:f>
        <x:v>0</x:v>
      </x:c>
      <x:c r="O113" s="9" t="n">
        <x:f>SUMIFS('350配方'!$M113:$P113,'350配方'!$Y113:$AB113,69)</x:f>
        <x:v>0</x:v>
      </x:c>
      <x:c r="P113" s="9" t="n">
        <x:f>SUMIFS('350配方'!$M113:$P113,'350配方'!$Y113:$AB113,75)</x:f>
        <x:v>0</x:v>
      </x:c>
      <x:c r="Q113" s="9" t="n">
        <x:f>SUMIFS('350配方'!$M113:$P113,'350配方'!$Y113:$AB113,79)</x:f>
        <x:v>0</x:v>
      </x:c>
      <x:c r="R113" s="9" t="n">
        <x:f>SUMIFS('350配方'!$M113:$P113,'350配方'!$Y113:$AB113,90)</x:f>
        <x:v>1232.25</x:v>
      </x:c>
      <x:c r="S113" s="9" t="n">
        <x:f>SUMIFS('350配方'!$M113:$P113,'350配方'!$Y113:$AB113,105)</x:f>
        <x:v>0</x:v>
      </x:c>
      <x:c r="T113" s="9" t="n">
        <x:f>SUMIFS('350配方'!$M113:$P113,'350配方'!$Y113:$AB113,111)</x:f>
        <x:v>0</x:v>
      </x:c>
      <x:c r="U113" s="9" t="n">
        <x:f>SUMIFS('350配方'!$M113:$P113,'350配方'!$Y113:$AB113,114)</x:f>
        <x:v>0</x:v>
      </x:c>
      <x:c r="V113" s="9" t="n">
        <x:f>SUMIFS('350配方'!$M113:$P113,'350配方'!$Y113:$AB113,115)</x:f>
        <x:v>0</x:v>
      </x:c>
      <x:c r="W113" s="9" t="n">
        <x:f>SUMIFS('350配方'!$M113:$P113,'350配方'!$Y113:$AB113,117)</x:f>
        <x:v>0</x:v>
      </x:c>
      <x:c r="X113" s="9" t="n">
        <x:f>SUMIFS('350配方'!$M113:$P113,'350配方'!$Y113:$AB113,126)</x:f>
        <x:v>0</x:v>
      </x:c>
      <x:c r="Y113" s="9" t="n">
        <x:f>SUMIFS('350配方'!$M113:$P113,'350配方'!$Y113:$AB113,136)</x:f>
        <x:v>0</x:v>
      </x:c>
      <x:c r="Z113" s="9" t="n">
        <x:f>SUMIFS('350配方'!$M113:$P113,'350配方'!$Y113:$AB113,141)</x:f>
        <x:v>0</x:v>
      </x:c>
      <x:c r="AA113" s="9" t="n">
        <x:f>SUMIFS('350配方'!$M113:$P113,'350配方'!$Y113:$AB113,152)</x:f>
        <x:v>1048.6410253275426</x:v>
      </x:c>
      <x:c r="AB113" s="9" t="n">
        <x:f>SUMIFS('350配方'!$M113:$P113,'350配方'!$Y113:$AB113,165)</x:f>
        <x:v>0</x:v>
      </x:c>
      <x:c r="AC113" s="9" t="n">
        <x:f>SUMIFS('350配方'!$M113:$P113,'350配方'!$Y113:$AB113,186)</x:f>
        <x:v>0</x:v>
      </x:c>
      <x:c r="AD113" s="9" t="n">
        <x:f>SUMIFS('350配方'!$M113:$P113,'350配方'!$Y113:$AB113,207)</x:f>
        <x:v>0</x:v>
      </x:c>
      <x:c r="AE113" s="9" t="n">
        <x:f>SUMIFS('350配方'!$M113:$P113,'350配方'!$Y113:$AB113,209)</x:f>
        <x:v>0</x:v>
      </x:c>
      <x:c r="AF113" s="9" t="n">
        <x:f>SUMIFS('350配方'!$M113:$P113,'350配方'!$Y113:$AB113,227)</x:f>
        <x:v>0</x:v>
      </x:c>
      <x:c r="AG113" s="9" t="n">
        <x:f>SUMIFS('350配方'!$M113:$P113,'350配方'!$Y113:$AB113,232)</x:f>
        <x:v>0</x:v>
      </x:c>
      <x:c r="AH113" s="9" t="n">
        <x:f>SUMIFS('350配方'!$M113:$P113,'350配方'!$Y113:$AB113,255)</x:f>
        <x:v>0</x:v>
      </x:c>
      <x:c r="AI113" s="9" t="n">
        <x:f>'浓度设置'!S6</x:f>
        <x:v>219125.9626344086</x:v>
      </x:c>
      <x:c r="AJ113" s="9" t="n">
        <x:f>'浓度设置'!S8</x:f>
        <x:v>92796.92267241378</x:v>
      </x:c>
      <x:c r="AK113" s="9" t="n">
        <x:f>'浓度设置'!S10</x:f>
        <x:v>30556.797802197798</x:v>
      </x:c>
      <x:c r="AL113" s="9" t="n">
        <x:f>'浓度设置'!S12</x:f>
        <x:v>1735.828970588235</x:v>
      </x:c>
      <x:c r="AM113" s="9" t="n">
        <x:f>'浓度设置'!S15</x:f>
        <x:v>7385.813644067793</x:v>
      </x:c>
      <x:c r="AN113" s="9" t="n">
        <x:f>'浓度设置'!S19</x:f>
        <x:v>27722.03097701148</x:v>
      </x:c>
      <x:c r="AO113" s="9" t="n">
        <x:f>'浓度设置'!S22</x:f>
        <x:v>44345.55047619048</x:v>
      </x:c>
      <x:c r="AP113" s="9" t="n">
        <x:f>'浓度设置'!S26</x:f>
        <x:v>153318.30499999996</x:v>
      </x:c>
      <x:c r="AQ113" s="9" t="n">
        <x:f>'浓度设置'!S29</x:f>
        <x:v>312.7970588235294</x:v>
      </x:c>
      <x:c r="AR113" s="9" t="n">
        <x:f>'浓度设置'!S30</x:f>
        <x:v>104175.5097553192</x:v>
      </x:c>
      <x:c r="AS113" s="9" t="n">
        <x:f>'浓度设置'!S35</x:f>
        <x:v>405974.90656785714</x:v>
      </x:c>
    </x:row>
    <x:row r="114" ht="24" customHeight="1">
      <x:c r="A114" s="3" t="str">
        <x:f>'350配方'!A114</x:f>
        <x:v>T109</x:v>
      </x:c>
      <x:c r="B114" s="3" t="str">
        <x:f>'350配方'!B114</x:f>
        <x:v>拟合</x:v>
      </x:c>
      <x:c r="C114" s="3" t="n">
        <x:f>IF(B114="拟合",1,0)</x:f>
        <x:v>1</x:v>
      </x:c>
      <x:c r="D114" s="3" t="n">
        <x:f>'350配方'!AC114</x:f>
        <x:v>4</x:v>
      </x:c>
      <x:c r="E114" s="9" t="n">
        <x:f>SUMIFS('350配方'!$M114:$P114,'350配方'!$Y114:$AB114,7)</x:f>
        <x:v>0</x:v>
      </x:c>
      <x:c r="F114" s="9" t="n">
        <x:f>SUMIFS('350配方'!$M114:$P114,'350配方'!$Y114:$AB114,11)</x:f>
        <x:v>0</x:v>
      </x:c>
      <x:c r="G114" s="9" t="n">
        <x:f>SUMIFS('350配方'!$M114:$P114,'350配方'!$Y114:$AB114,18)</x:f>
        <x:v>0</x:v>
      </x:c>
      <x:c r="H114" s="9" t="n">
        <x:f>SUMIFS('350配方'!$M114:$P114,'350配方'!$Y114:$AB114,32)</x:f>
        <x:v>0</x:v>
      </x:c>
      <x:c r="I114" s="9" t="n">
        <x:f>SUMIFS('350配方'!$M114:$P114,'350配方'!$Y114:$AB114,40)</x:f>
        <x:v>0</x:v>
      </x:c>
      <x:c r="J114" s="9" t="n">
        <x:f>SUMIFS('350配方'!$M114:$P114,'350配方'!$Y114:$AB114,52)</x:f>
        <x:v>0</x:v>
      </x:c>
      <x:c r="K114" s="9" t="n">
        <x:f>SUMIFS('350配方'!$M114:$P114,'350配方'!$Y114:$AB114,53)</x:f>
        <x:v>0</x:v>
      </x:c>
      <x:c r="L114" s="9" t="n">
        <x:f>SUMIFS('350配方'!$M114:$P114,'350配方'!$Y114:$AB114,56)</x:f>
        <x:v>0</x:v>
      </x:c>
      <x:c r="M114" s="9" t="n">
        <x:f>SUMIFS('350配方'!$M114:$P114,'350配方'!$Y114:$AB114,58)</x:f>
        <x:v>0</x:v>
      </x:c>
      <x:c r="N114" s="9" t="n">
        <x:f>SUMIFS('350配方'!$M114:$P114,'350配方'!$Y114:$AB114,61)</x:f>
        <x:v>59.381310191002015</x:v>
      </x:c>
      <x:c r="O114" s="9" t="n">
        <x:f>SUMIFS('350配方'!$M114:$P114,'350配方'!$Y114:$AB114,69)</x:f>
        <x:v>0</x:v>
      </x:c>
      <x:c r="P114" s="9" t="n">
        <x:f>SUMIFS('350配方'!$M114:$P114,'350配方'!$Y114:$AB114,75)</x:f>
        <x:v>0</x:v>
      </x:c>
      <x:c r="Q114" s="9" t="n">
        <x:f>SUMIFS('350配方'!$M114:$P114,'350配方'!$Y114:$AB114,79)</x:f>
        <x:v>1288.255</x:v>
      </x:c>
      <x:c r="R114" s="9" t="n">
        <x:f>SUMIFS('350配方'!$M114:$P114,'350配方'!$Y114:$AB114,90)</x:f>
        <x:v>0</x:v>
      </x:c>
      <x:c r="S114" s="9" t="n">
        <x:f>SUMIFS('350配方'!$M114:$P114,'350配方'!$Y114:$AB114,105)</x:f>
        <x:v>0</x:v>
      </x:c>
      <x:c r="T114" s="9" t="n">
        <x:f>SUMIFS('350配方'!$M114:$P114,'350配方'!$Y114:$AB114,111)</x:f>
        <x:v>89562.18016998023</x:v>
      </x:c>
      <x:c r="U114" s="9" t="n">
        <x:f>SUMIFS('350配方'!$M114:$P114,'350配方'!$Y114:$AB114,114)</x:f>
        <x:v>0</x:v>
      </x:c>
      <x:c r="V114" s="9" t="n">
        <x:f>SUMIFS('350配方'!$M114:$P114,'350配方'!$Y114:$AB114,115)</x:f>
        <x:v>0</x:v>
      </x:c>
      <x:c r="W114" s="9" t="n">
        <x:f>SUMIFS('350配方'!$M114:$P114,'350配方'!$Y114:$AB114,117)</x:f>
        <x:v>0</x:v>
      </x:c>
      <x:c r="X114" s="9" t="n">
        <x:f>SUMIFS('350配方'!$M114:$P114,'350配方'!$Y114:$AB114,126)</x:f>
        <x:v>0</x:v>
      </x:c>
      <x:c r="Y114" s="9" t="n">
        <x:f>SUMIFS('350配方'!$M114:$P114,'350配方'!$Y114:$AB114,136)</x:f>
        <x:v>0</x:v>
      </x:c>
      <x:c r="Z114" s="9" t="n">
        <x:f>SUMIFS('350配方'!$M114:$P114,'350配方'!$Y114:$AB114,141)</x:f>
        <x:v>0</x:v>
      </x:c>
      <x:c r="AA114" s="9" t="n">
        <x:f>SUMIFS('350配方'!$M114:$P114,'350配方'!$Y114:$AB114,152)</x:f>
        <x:v>0</x:v>
      </x:c>
      <x:c r="AB114" s="9" t="n">
        <x:f>SUMIFS('350配方'!$M114:$P114,'350配方'!$Y114:$AB114,165)</x:f>
        <x:v>0</x:v>
      </x:c>
      <x:c r="AC114" s="9" t="n">
        <x:f>SUMIFS('350配方'!$M114:$P114,'350配方'!$Y114:$AB114,186)</x:f>
        <x:v>0</x:v>
      </x:c>
      <x:c r="AD114" s="9" t="n">
        <x:f>SUMIFS('350配方'!$M114:$P114,'350配方'!$Y114:$AB114,207)</x:f>
        <x:v>0</x:v>
      </x:c>
      <x:c r="AE114" s="9" t="n">
        <x:f>SUMIFS('350配方'!$M114:$P114,'350配方'!$Y114:$AB114,209)</x:f>
        <x:v>34.2987346705385</x:v>
      </x:c>
      <x:c r="AF114" s="9" t="n">
        <x:f>SUMIFS('350配方'!$M114:$P114,'350配方'!$Y114:$AB114,227)</x:f>
        <x:v>0</x:v>
      </x:c>
      <x:c r="AG114" s="9" t="n">
        <x:f>SUMIFS('350配方'!$M114:$P114,'350配方'!$Y114:$AB114,232)</x:f>
        <x:v>0</x:v>
      </x:c>
      <x:c r="AH114" s="9" t="n">
        <x:f>SUMIFS('350配方'!$M114:$P114,'350配方'!$Y114:$AB114,255)</x:f>
        <x:v>0</x:v>
      </x:c>
      <x:c r="AI114" s="9" t="n">
        <x:f>'浓度设置'!S6</x:f>
        <x:v>219125.9626344086</x:v>
      </x:c>
      <x:c r="AJ114" s="9" t="n">
        <x:f>'浓度设置'!S8</x:f>
        <x:v>92796.92267241378</x:v>
      </x:c>
      <x:c r="AK114" s="9" t="n">
        <x:f>'浓度设置'!S10</x:f>
        <x:v>30556.797802197798</x:v>
      </x:c>
      <x:c r="AL114" s="9" t="n">
        <x:f>'浓度设置'!S12</x:f>
        <x:v>1735.828970588235</x:v>
      </x:c>
      <x:c r="AM114" s="9" t="n">
        <x:f>'浓度设置'!S15</x:f>
        <x:v>7385.813644067793</x:v>
      </x:c>
      <x:c r="AN114" s="9" t="n">
        <x:f>'浓度设置'!S19</x:f>
        <x:v>27722.03097701148</x:v>
      </x:c>
      <x:c r="AO114" s="9" t="n">
        <x:f>'浓度设置'!S22</x:f>
        <x:v>44345.55047619048</x:v>
      </x:c>
      <x:c r="AP114" s="9" t="n">
        <x:f>'浓度设置'!S26</x:f>
        <x:v>153318.30499999996</x:v>
      </x:c>
      <x:c r="AQ114" s="9" t="n">
        <x:f>'浓度设置'!S29</x:f>
        <x:v>312.7970588235294</x:v>
      </x:c>
      <x:c r="AR114" s="9" t="n">
        <x:f>'浓度设置'!S30</x:f>
        <x:v>104175.5097553192</x:v>
      </x:c>
      <x:c r="AS114" s="9" t="n">
        <x:f>'浓度设置'!S35</x:f>
        <x:v>405974.90656785714</x:v>
      </x:c>
    </x:row>
    <x:row r="115" ht="24" customHeight="1">
      <x:c r="A115" s="3" t="str">
        <x:f>'350配方'!A115</x:f>
        <x:v>T110</x:v>
      </x:c>
      <x:c r="B115" s="3" t="str">
        <x:f>'350配方'!B115</x:f>
        <x:v>拟合</x:v>
      </x:c>
      <x:c r="C115" s="3" t="n">
        <x:f>IF(B115="拟合",1,0)</x:f>
        <x:v>1</x:v>
      </x:c>
      <x:c r="D115" s="3" t="n">
        <x:f>'350配方'!AC115</x:f>
        <x:v>4</x:v>
      </x:c>
      <x:c r="E115" s="9" t="n">
        <x:f>SUMIFS('350配方'!$M115:$P115,'350配方'!$Y115:$AB115,7)</x:f>
        <x:v>0</x:v>
      </x:c>
      <x:c r="F115" s="9" t="n">
        <x:f>SUMIFS('350配方'!$M115:$P115,'350配方'!$Y115:$AB115,11)</x:f>
        <x:v>0</x:v>
      </x:c>
      <x:c r="G115" s="9" t="n">
        <x:f>SUMIFS('350配方'!$M115:$P115,'350配方'!$Y115:$AB115,18)</x:f>
        <x:v>0</x:v>
      </x:c>
      <x:c r="H115" s="9" t="n">
        <x:f>SUMIFS('350配方'!$M115:$P115,'350配方'!$Y115:$AB115,32)</x:f>
        <x:v>0</x:v>
      </x:c>
      <x:c r="I115" s="9" t="n">
        <x:f>SUMIFS('350配方'!$M115:$P115,'350配方'!$Y115:$AB115,40)</x:f>
        <x:v>0</x:v>
      </x:c>
      <x:c r="J115" s="9" t="n">
        <x:f>SUMIFS('350配方'!$M115:$P115,'350配方'!$Y115:$AB115,52)</x:f>
        <x:v>0</x:v>
      </x:c>
      <x:c r="K115" s="9" t="n">
        <x:f>SUMIFS('350配方'!$M115:$P115,'350配方'!$Y115:$AB115,53)</x:f>
        <x:v>0</x:v>
      </x:c>
      <x:c r="L115" s="9" t="n">
        <x:f>SUMIFS('350配方'!$M115:$P115,'350配方'!$Y115:$AB115,56)</x:f>
        <x:v>0</x:v>
      </x:c>
      <x:c r="M115" s="9" t="n">
        <x:f>SUMIFS('350配方'!$M115:$P115,'350配方'!$Y115:$AB115,58)</x:f>
        <x:v>0</x:v>
      </x:c>
      <x:c r="N115" s="9" t="n">
        <x:f>SUMIFS('350配方'!$M115:$P115,'350配方'!$Y115:$AB115,61)</x:f>
        <x:v>0</x:v>
      </x:c>
      <x:c r="O115" s="9" t="n">
        <x:f>SUMIFS('350配方'!$M115:$P115,'350配方'!$Y115:$AB115,69)</x:f>
        <x:v>0</x:v>
      </x:c>
      <x:c r="P115" s="9" t="n">
        <x:f>SUMIFS('350配方'!$M115:$P115,'350配方'!$Y115:$AB115,75)</x:f>
        <x:v>0</x:v>
      </x:c>
      <x:c r="Q115" s="9" t="n">
        <x:f>SUMIFS('350配方'!$M115:$P115,'350配方'!$Y115:$AB115,79)</x:f>
        <x:v>0</x:v>
      </x:c>
      <x:c r="R115" s="9" t="n">
        <x:f>SUMIFS('350配方'!$M115:$P115,'350配方'!$Y115:$AB115,90)</x:f>
        <x:v>0</x:v>
      </x:c>
      <x:c r="S115" s="9" t="n">
        <x:f>SUMIFS('350配方'!$M115:$P115,'350配方'!$Y115:$AB115,105)</x:f>
        <x:v>0</x:v>
      </x:c>
      <x:c r="T115" s="9" t="n">
        <x:f>SUMIFS('350配方'!$M115:$P115,'350配方'!$Y115:$AB115,111)</x:f>
        <x:v>0</x:v>
      </x:c>
      <x:c r="U115" s="9" t="n">
        <x:f>SUMIFS('350配方'!$M115:$P115,'350配方'!$Y115:$AB115,114)</x:f>
        <x:v>0</x:v>
      </x:c>
      <x:c r="V115" s="9" t="n">
        <x:f>SUMIFS('350配方'!$M115:$P115,'350配方'!$Y115:$AB115,115)</x:f>
        <x:v>0</x:v>
      </x:c>
      <x:c r="W115" s="9" t="n">
        <x:f>SUMIFS('350配方'!$M115:$P115,'350配方'!$Y115:$AB115,117)</x:f>
        <x:v>1.875</x:v>
      </x:c>
      <x:c r="X115" s="9" t="n">
        <x:f>SUMIFS('350配方'!$M115:$P115,'350配方'!$Y115:$AB115,126)</x:f>
        <x:v>2.125</x:v>
      </x:c>
      <x:c r="Y115" s="9" t="n">
        <x:f>SUMIFS('350配方'!$M115:$P115,'350配方'!$Y115:$AB115,136)</x:f>
        <x:v>44000</x:v>
      </x:c>
      <x:c r="Z115" s="9" t="n">
        <x:f>SUMIFS('350配方'!$M115:$P115,'350配方'!$Y115:$AB115,141)</x:f>
        <x:v>0</x:v>
      </x:c>
      <x:c r="AA115" s="9" t="n">
        <x:f>SUMIFS('350配方'!$M115:$P115,'350配方'!$Y115:$AB115,152)</x:f>
        <x:v>0</x:v>
      </x:c>
      <x:c r="AB115" s="9" t="n">
        <x:f>SUMIFS('350配方'!$M115:$P115,'350配方'!$Y115:$AB115,165)</x:f>
        <x:v>0</x:v>
      </x:c>
      <x:c r="AC115" s="9" t="n">
        <x:f>SUMIFS('350配方'!$M115:$P115,'350配方'!$Y115:$AB115,186)</x:f>
        <x:v>0</x:v>
      </x:c>
      <x:c r="AD115" s="9" t="n">
        <x:f>SUMIFS('350配方'!$M115:$P115,'350配方'!$Y115:$AB115,207)</x:f>
        <x:v>1</x:v>
      </x:c>
      <x:c r="AE115" s="9" t="n">
        <x:f>SUMIFS('350配方'!$M115:$P115,'350配方'!$Y115:$AB115,209)</x:f>
        <x:v>0</x:v>
      </x:c>
      <x:c r="AF115" s="9" t="n">
        <x:f>SUMIFS('350配方'!$M115:$P115,'350配方'!$Y115:$AB115,227)</x:f>
        <x:v>0</x:v>
      </x:c>
      <x:c r="AG115" s="9" t="n">
        <x:f>SUMIFS('350配方'!$M115:$P115,'350配方'!$Y115:$AB115,232)</x:f>
        <x:v>0</x:v>
      </x:c>
      <x:c r="AH115" s="9" t="n">
        <x:f>SUMIFS('350配方'!$M115:$P115,'350配方'!$Y115:$AB115,255)</x:f>
        <x:v>0</x:v>
      </x:c>
      <x:c r="AI115" s="9" t="n">
        <x:f>'浓度设置'!S6</x:f>
        <x:v>219125.9626344086</x:v>
      </x:c>
      <x:c r="AJ115" s="9" t="n">
        <x:f>'浓度设置'!S8</x:f>
        <x:v>92796.92267241378</x:v>
      </x:c>
      <x:c r="AK115" s="9" t="n">
        <x:f>'浓度设置'!S10</x:f>
        <x:v>30556.797802197798</x:v>
      </x:c>
      <x:c r="AL115" s="9" t="n">
        <x:f>'浓度设置'!S12</x:f>
        <x:v>1735.828970588235</x:v>
      </x:c>
      <x:c r="AM115" s="9" t="n">
        <x:f>'浓度设置'!S15</x:f>
        <x:v>7385.813644067793</x:v>
      </x:c>
      <x:c r="AN115" s="9" t="n">
        <x:f>'浓度设置'!S19</x:f>
        <x:v>27722.03097701148</x:v>
      </x:c>
      <x:c r="AO115" s="9" t="n">
        <x:f>'浓度设置'!S22</x:f>
        <x:v>44345.55047619048</x:v>
      </x:c>
      <x:c r="AP115" s="9" t="n">
        <x:f>'浓度设置'!S26</x:f>
        <x:v>153318.30499999996</x:v>
      </x:c>
      <x:c r="AQ115" s="9" t="n">
        <x:f>'浓度设置'!S29</x:f>
        <x:v>312.7970588235294</x:v>
      </x:c>
      <x:c r="AR115" s="9" t="n">
        <x:f>'浓度设置'!S30</x:f>
        <x:v>104175.5097553192</x:v>
      </x:c>
      <x:c r="AS115" s="9" t="n">
        <x:f>'浓度设置'!S35</x:f>
        <x:v>405974.90656785714</x:v>
      </x:c>
    </x:row>
    <x:row r="116" ht="24" customHeight="1">
      <x:c r="A116" s="3" t="str">
        <x:f>'350配方'!A116</x:f>
        <x:v>T111</x:v>
      </x:c>
      <x:c r="B116" s="3" t="str">
        <x:f>'350配方'!B116</x:f>
        <x:v>拟合</x:v>
      </x:c>
      <x:c r="C116" s="3" t="n">
        <x:f>IF(B116="拟合",1,0)</x:f>
        <x:v>1</x:v>
      </x:c>
      <x:c r="D116" s="3" t="n">
        <x:f>'350配方'!AC116</x:f>
        <x:v>4</x:v>
      </x:c>
      <x:c r="E116" s="9" t="n">
        <x:f>SUMIFS('350配方'!$M116:$P116,'350配方'!$Y116:$AB116,7)</x:f>
        <x:v>0</x:v>
      </x:c>
      <x:c r="F116" s="9" t="n">
        <x:f>SUMIFS('350配方'!$M116:$P116,'350配方'!$Y116:$AB116,11)</x:f>
        <x:v>0</x:v>
      </x:c>
      <x:c r="G116" s="9" t="n">
        <x:f>SUMIFS('350配方'!$M116:$P116,'350配方'!$Y116:$AB116,18)</x:f>
        <x:v>0</x:v>
      </x:c>
      <x:c r="H116" s="9" t="n">
        <x:f>SUMIFS('350配方'!$M116:$P116,'350配方'!$Y116:$AB116,32)</x:f>
        <x:v>836.8360173893091</x:v>
      </x:c>
      <x:c r="I116" s="9" t="n">
        <x:f>SUMIFS('350配方'!$M116:$P116,'350配方'!$Y116:$AB116,40)</x:f>
        <x:v>21400</x:v>
      </x:c>
      <x:c r="J116" s="9" t="n">
        <x:f>SUMIFS('350配方'!$M116:$P116,'350配方'!$Y116:$AB116,52)</x:f>
        <x:v>0</x:v>
      </x:c>
      <x:c r="K116" s="9" t="n">
        <x:f>SUMIFS('350配方'!$M116:$P116,'350配方'!$Y116:$AB116,53)</x:f>
        <x:v>2745.3821227654266</x:v>
      </x:c>
      <x:c r="L116" s="9" t="n">
        <x:f>SUMIFS('350配方'!$M116:$P116,'350配方'!$Y116:$AB116,56)</x:f>
        <x:v>0</x:v>
      </x:c>
      <x:c r="M116" s="9" t="n">
        <x:f>SUMIFS('350配方'!$M116:$P116,'350配方'!$Y116:$AB116,58)</x:f>
        <x:v>0</x:v>
      </x:c>
      <x:c r="N116" s="9" t="n">
        <x:f>SUMIFS('350配方'!$M116:$P116,'350配方'!$Y116:$AB116,61)</x:f>
        <x:v>0</x:v>
      </x:c>
      <x:c r="O116" s="9" t="n">
        <x:f>SUMIFS('350配方'!$M116:$P116,'350配方'!$Y116:$AB116,69)</x:f>
        <x:v>0</x:v>
      </x:c>
      <x:c r="P116" s="9" t="n">
        <x:f>SUMIFS('350配方'!$M116:$P116,'350配方'!$Y116:$AB116,75)</x:f>
        <x:v>0</x:v>
      </x:c>
      <x:c r="Q116" s="9" t="n">
        <x:f>SUMIFS('350配方'!$M116:$P116,'350配方'!$Y116:$AB116,79)</x:f>
        <x:v>56115</x:v>
      </x:c>
      <x:c r="R116" s="9" t="n">
        <x:f>SUMIFS('350配方'!$M116:$P116,'350配方'!$Y116:$AB116,90)</x:f>
        <x:v>0</x:v>
      </x:c>
      <x:c r="S116" s="9" t="n">
        <x:f>SUMIFS('350配方'!$M116:$P116,'350配方'!$Y116:$AB116,105)</x:f>
        <x:v>0</x:v>
      </x:c>
      <x:c r="T116" s="9" t="n">
        <x:f>SUMIFS('350配方'!$M116:$P116,'350配方'!$Y116:$AB116,111)</x:f>
        <x:v>0</x:v>
      </x:c>
      <x:c r="U116" s="9" t="n">
        <x:f>SUMIFS('350配方'!$M116:$P116,'350配方'!$Y116:$AB116,114)</x:f>
        <x:v>0</x:v>
      </x:c>
      <x:c r="V116" s="9" t="n">
        <x:f>SUMIFS('350配方'!$M116:$P116,'350配方'!$Y116:$AB116,115)</x:f>
        <x:v>0</x:v>
      </x:c>
      <x:c r="W116" s="9" t="n">
        <x:f>SUMIFS('350配方'!$M116:$P116,'350配方'!$Y116:$AB116,117)</x:f>
        <x:v>0</x:v>
      </x:c>
      <x:c r="X116" s="9" t="n">
        <x:f>SUMIFS('350配方'!$M116:$P116,'350配方'!$Y116:$AB116,126)</x:f>
        <x:v>0</x:v>
      </x:c>
      <x:c r="Y116" s="9" t="n">
        <x:f>SUMIFS('350配方'!$M116:$P116,'350配方'!$Y116:$AB116,136)</x:f>
        <x:v>0</x:v>
      </x:c>
      <x:c r="Z116" s="9" t="n">
        <x:f>SUMIFS('350配方'!$M116:$P116,'350配方'!$Y116:$AB116,141)</x:f>
        <x:v>0</x:v>
      </x:c>
      <x:c r="AA116" s="9" t="n">
        <x:f>SUMIFS('350配方'!$M116:$P116,'350配方'!$Y116:$AB116,152)</x:f>
        <x:v>0</x:v>
      </x:c>
      <x:c r="AB116" s="9" t="n">
        <x:f>SUMIFS('350配方'!$M116:$P116,'350配方'!$Y116:$AB116,165)</x:f>
        <x:v>0</x:v>
      </x:c>
      <x:c r="AC116" s="9" t="n">
        <x:f>SUMIFS('350配方'!$M116:$P116,'350配方'!$Y116:$AB116,186)</x:f>
        <x:v>0</x:v>
      </x:c>
      <x:c r="AD116" s="9" t="n">
        <x:f>SUMIFS('350配方'!$M116:$P116,'350配方'!$Y116:$AB116,207)</x:f>
        <x:v>0</x:v>
      </x:c>
      <x:c r="AE116" s="9" t="n">
        <x:f>SUMIFS('350配方'!$M116:$P116,'350配方'!$Y116:$AB116,209)</x:f>
        <x:v>0</x:v>
      </x:c>
      <x:c r="AF116" s="9" t="n">
        <x:f>SUMIFS('350配方'!$M116:$P116,'350配方'!$Y116:$AB116,227)</x:f>
        <x:v>0</x:v>
      </x:c>
      <x:c r="AG116" s="9" t="n">
        <x:f>SUMIFS('350配方'!$M116:$P116,'350配方'!$Y116:$AB116,232)</x:f>
        <x:v>0</x:v>
      </x:c>
      <x:c r="AH116" s="9" t="n">
        <x:f>SUMIFS('350配方'!$M116:$P116,'350配方'!$Y116:$AB116,255)</x:f>
        <x:v>0</x:v>
      </x:c>
      <x:c r="AI116" s="9" t="n">
        <x:f>'浓度设置'!S6</x:f>
        <x:v>219125.9626344086</x:v>
      </x:c>
      <x:c r="AJ116" s="9" t="n">
        <x:f>'浓度设置'!S8</x:f>
        <x:v>92796.92267241378</x:v>
      </x:c>
      <x:c r="AK116" s="9" t="n">
        <x:f>'浓度设置'!S10</x:f>
        <x:v>30556.797802197798</x:v>
      </x:c>
      <x:c r="AL116" s="9" t="n">
        <x:f>'浓度设置'!S12</x:f>
        <x:v>1735.828970588235</x:v>
      </x:c>
      <x:c r="AM116" s="9" t="n">
        <x:f>'浓度设置'!S15</x:f>
        <x:v>7385.813644067793</x:v>
      </x:c>
      <x:c r="AN116" s="9" t="n">
        <x:f>'浓度设置'!S19</x:f>
        <x:v>27722.03097701148</x:v>
      </x:c>
      <x:c r="AO116" s="9" t="n">
        <x:f>'浓度设置'!S22</x:f>
        <x:v>44345.55047619048</x:v>
      </x:c>
      <x:c r="AP116" s="9" t="n">
        <x:f>'浓度设置'!S26</x:f>
        <x:v>153318.30499999996</x:v>
      </x:c>
      <x:c r="AQ116" s="9" t="n">
        <x:f>'浓度设置'!S29</x:f>
        <x:v>312.7970588235294</x:v>
      </x:c>
      <x:c r="AR116" s="9" t="n">
        <x:f>'浓度设置'!S30</x:f>
        <x:v>104175.5097553192</x:v>
      </x:c>
      <x:c r="AS116" s="9" t="n">
        <x:f>'浓度设置'!S35</x:f>
        <x:v>405974.90656785714</x:v>
      </x:c>
    </x:row>
    <x:row r="117" ht="24" customHeight="1">
      <x:c r="A117" s="3" t="str">
        <x:f>'350配方'!A117</x:f>
        <x:v>T112</x:v>
      </x:c>
      <x:c r="B117" s="3" t="str">
        <x:f>'350配方'!B117</x:f>
        <x:v>拟合</x:v>
      </x:c>
      <x:c r="C117" s="3" t="n">
        <x:f>IF(B117="拟合",1,0)</x:f>
        <x:v>1</x:v>
      </x:c>
      <x:c r="D117" s="3" t="n">
        <x:f>'350配方'!AC117</x:f>
        <x:v>4</x:v>
      </x:c>
      <x:c r="E117" s="9" t="n">
        <x:f>SUMIFS('350配方'!$M117:$P117,'350配方'!$Y117:$AB117,7)</x:f>
        <x:v>0</x:v>
      </x:c>
      <x:c r="F117" s="9" t="n">
        <x:f>SUMIFS('350配方'!$M117:$P117,'350配方'!$Y117:$AB117,11)</x:f>
        <x:v>0</x:v>
      </x:c>
      <x:c r="G117" s="9" t="n">
        <x:f>SUMIFS('350配方'!$M117:$P117,'350配方'!$Y117:$AB117,18)</x:f>
        <x:v>0</x:v>
      </x:c>
      <x:c r="H117" s="9" t="n">
        <x:f>SUMIFS('350配方'!$M117:$P117,'350配方'!$Y117:$AB117,32)</x:f>
        <x:v>0</x:v>
      </x:c>
      <x:c r="I117" s="9" t="n">
        <x:f>SUMIFS('350配方'!$M117:$P117,'350配方'!$Y117:$AB117,40)</x:f>
        <x:v>0</x:v>
      </x:c>
      <x:c r="J117" s="9" t="n">
        <x:f>SUMIFS('350配方'!$M117:$P117,'350配方'!$Y117:$AB117,52)</x:f>
        <x:v>2338.9306103431118</x:v>
      </x:c>
      <x:c r="K117" s="9" t="n">
        <x:f>SUMIFS('350配方'!$M117:$P117,'350配方'!$Y117:$AB117,53)</x:f>
        <x:v>0</x:v>
      </x:c>
      <x:c r="L117" s="9" t="n">
        <x:f>SUMIFS('350配方'!$M117:$P117,'350配方'!$Y117:$AB117,56)</x:f>
        <x:v>0</x:v>
      </x:c>
      <x:c r="M117" s="9" t="n">
        <x:f>SUMIFS('350配方'!$M117:$P117,'350配方'!$Y117:$AB117,58)</x:f>
        <x:v>0</x:v>
      </x:c>
      <x:c r="N117" s="9" t="n">
        <x:f>SUMIFS('350配方'!$M117:$P117,'350配方'!$Y117:$AB117,61)</x:f>
        <x:v>0</x:v>
      </x:c>
      <x:c r="O117" s="9" t="n">
        <x:f>SUMIFS('350配方'!$M117:$P117,'350配方'!$Y117:$AB117,69)</x:f>
        <x:v>0</x:v>
      </x:c>
      <x:c r="P117" s="9" t="n">
        <x:f>SUMIFS('350配方'!$M117:$P117,'350配方'!$Y117:$AB117,75)</x:f>
        <x:v>0</x:v>
      </x:c>
      <x:c r="Q117" s="9" t="n">
        <x:f>SUMIFS('350配方'!$M117:$P117,'350配方'!$Y117:$AB117,79)</x:f>
        <x:v>0</x:v>
      </x:c>
      <x:c r="R117" s="9" t="n">
        <x:f>SUMIFS('350配方'!$M117:$P117,'350配方'!$Y117:$AB117,90)</x:f>
        <x:v>0</x:v>
      </x:c>
      <x:c r="S117" s="9" t="n">
        <x:f>SUMIFS('350配方'!$M117:$P117,'350配方'!$Y117:$AB117,105)</x:f>
        <x:v>0</x:v>
      </x:c>
      <x:c r="T117" s="9" t="n">
        <x:f>SUMIFS('350配方'!$M117:$P117,'350配方'!$Y117:$AB117,111)</x:f>
        <x:v>0</x:v>
      </x:c>
      <x:c r="U117" s="9" t="n">
        <x:f>SUMIFS('350配方'!$M117:$P117,'350配方'!$Y117:$AB117,114)</x:f>
        <x:v>3147.945</x:v>
      </x:c>
      <x:c r="V117" s="9" t="n">
        <x:f>SUMIFS('350配方'!$M117:$P117,'350配方'!$Y117:$AB117,115)</x:f>
        <x:v>0</x:v>
      </x:c>
      <x:c r="W117" s="9" t="n">
        <x:f>SUMIFS('350配方'!$M117:$P117,'350配方'!$Y117:$AB117,117)</x:f>
        <x:v>0</x:v>
      </x:c>
      <x:c r="X117" s="9" t="n">
        <x:f>SUMIFS('350配方'!$M117:$P117,'350配方'!$Y117:$AB117,126)</x:f>
        <x:v>0</x:v>
      </x:c>
      <x:c r="Y117" s="9" t="n">
        <x:f>SUMIFS('350配方'!$M117:$P117,'350配方'!$Y117:$AB117,136)</x:f>
        <x:v>0</x:v>
      </x:c>
      <x:c r="Z117" s="9" t="n">
        <x:f>SUMIFS('350配方'!$M117:$P117,'350配方'!$Y117:$AB117,141)</x:f>
        <x:v>2.2</x:v>
      </x:c>
      <x:c r="AA117" s="9" t="n">
        <x:f>SUMIFS('350配方'!$M117:$P117,'350配方'!$Y117:$AB117,152)</x:f>
        <x:v>227200</x:v>
      </x:c>
      <x:c r="AB117" s="9" t="n">
        <x:f>SUMIFS('350配方'!$M117:$P117,'350配方'!$Y117:$AB117,165)</x:f>
        <x:v>0</x:v>
      </x:c>
      <x:c r="AC117" s="9" t="n">
        <x:f>SUMIFS('350配方'!$M117:$P117,'350配方'!$Y117:$AB117,186)</x:f>
        <x:v>0</x:v>
      </x:c>
      <x:c r="AD117" s="9" t="n">
        <x:f>SUMIFS('350配方'!$M117:$P117,'350配方'!$Y117:$AB117,207)</x:f>
        <x:v>0</x:v>
      </x:c>
      <x:c r="AE117" s="9" t="n">
        <x:f>SUMIFS('350配方'!$M117:$P117,'350配方'!$Y117:$AB117,209)</x:f>
        <x:v>0</x:v>
      </x:c>
      <x:c r="AF117" s="9" t="n">
        <x:f>SUMIFS('350配方'!$M117:$P117,'350配方'!$Y117:$AB117,227)</x:f>
        <x:v>0</x:v>
      </x:c>
      <x:c r="AG117" s="9" t="n">
        <x:f>SUMIFS('350配方'!$M117:$P117,'350配方'!$Y117:$AB117,232)</x:f>
        <x:v>0</x:v>
      </x:c>
      <x:c r="AH117" s="9" t="n">
        <x:f>SUMIFS('350配方'!$M117:$P117,'350配方'!$Y117:$AB117,255)</x:f>
        <x:v>0</x:v>
      </x:c>
      <x:c r="AI117" s="9" t="n">
        <x:f>'浓度设置'!S6</x:f>
        <x:v>219125.9626344086</x:v>
      </x:c>
      <x:c r="AJ117" s="9" t="n">
        <x:f>'浓度设置'!S8</x:f>
        <x:v>92796.92267241378</x:v>
      </x:c>
      <x:c r="AK117" s="9" t="n">
        <x:f>'浓度设置'!S10</x:f>
        <x:v>30556.797802197798</x:v>
      </x:c>
      <x:c r="AL117" s="9" t="n">
        <x:f>'浓度设置'!S12</x:f>
        <x:v>1735.828970588235</x:v>
      </x:c>
      <x:c r="AM117" s="9" t="n">
        <x:f>'浓度设置'!S15</x:f>
        <x:v>7385.813644067793</x:v>
      </x:c>
      <x:c r="AN117" s="9" t="n">
        <x:f>'浓度设置'!S19</x:f>
        <x:v>27722.03097701148</x:v>
      </x:c>
      <x:c r="AO117" s="9" t="n">
        <x:f>'浓度设置'!S22</x:f>
        <x:v>44345.55047619048</x:v>
      </x:c>
      <x:c r="AP117" s="9" t="n">
        <x:f>'浓度设置'!S26</x:f>
        <x:v>153318.30499999996</x:v>
      </x:c>
      <x:c r="AQ117" s="9" t="n">
        <x:f>'浓度设置'!S29</x:f>
        <x:v>312.7970588235294</x:v>
      </x:c>
      <x:c r="AR117" s="9" t="n">
        <x:f>'浓度设置'!S30</x:f>
        <x:v>104175.5097553192</x:v>
      </x:c>
      <x:c r="AS117" s="9" t="n">
        <x:f>'浓度设置'!S35</x:f>
        <x:v>405974.90656785714</x:v>
      </x:c>
    </x:row>
    <x:row r="118" ht="24" customHeight="1">
      <x:c r="A118" s="3" t="str">
        <x:f>'350配方'!A118</x:f>
        <x:v>T113</x:v>
      </x:c>
      <x:c r="B118" s="3" t="str">
        <x:f>'350配方'!B118</x:f>
        <x:v>拟合</x:v>
      </x:c>
      <x:c r="C118" s="3" t="n">
        <x:f>IF(B118="拟合",1,0)</x:f>
        <x:v>1</x:v>
      </x:c>
      <x:c r="D118" s="3" t="n">
        <x:f>'350配方'!AC118</x:f>
        <x:v>4</x:v>
      </x:c>
      <x:c r="E118" s="9" t="n">
        <x:f>SUMIFS('350配方'!$M118:$P118,'350配方'!$Y118:$AB118,7)</x:f>
        <x:v>0</x:v>
      </x:c>
      <x:c r="F118" s="9" t="n">
        <x:f>SUMIFS('350配方'!$M118:$P118,'350配方'!$Y118:$AB118,11)</x:f>
        <x:v>0</x:v>
      </x:c>
      <x:c r="G118" s="9" t="n">
        <x:f>SUMIFS('350配方'!$M118:$P118,'350配方'!$Y118:$AB118,18)</x:f>
        <x:v>0</x:v>
      </x:c>
      <x:c r="H118" s="9" t="n">
        <x:f>SUMIFS('350配方'!$M118:$P118,'350配方'!$Y118:$AB118,32)</x:f>
        <x:v>0</x:v>
      </x:c>
      <x:c r="I118" s="9" t="n">
        <x:f>SUMIFS('350配方'!$M118:$P118,'350配方'!$Y118:$AB118,40)</x:f>
        <x:v>0</x:v>
      </x:c>
      <x:c r="J118" s="9" t="n">
        <x:f>SUMIFS('350配方'!$M118:$P118,'350配方'!$Y118:$AB118,52)</x:f>
        <x:v>0</x:v>
      </x:c>
      <x:c r="K118" s="9" t="n">
        <x:f>SUMIFS('350配方'!$M118:$P118,'350配方'!$Y118:$AB118,53)</x:f>
        <x:v>0</x:v>
      </x:c>
      <x:c r="L118" s="9" t="n">
        <x:f>SUMIFS('350配方'!$M118:$P118,'350配方'!$Y118:$AB118,56)</x:f>
        <x:v>1041.8500000000001</x:v>
      </x:c>
      <x:c r="M118" s="9" t="n">
        <x:f>SUMIFS('350配方'!$M118:$P118,'350配方'!$Y118:$AB118,58)</x:f>
        <x:v>0</x:v>
      </x:c>
      <x:c r="N118" s="9" t="n">
        <x:f>SUMIFS('350配方'!$M118:$P118,'350配方'!$Y118:$AB118,61)</x:f>
        <x:v>0</x:v>
      </x:c>
      <x:c r="O118" s="9" t="n">
        <x:f>SUMIFS('350配方'!$M118:$P118,'350配方'!$Y118:$AB118,69)</x:f>
        <x:v>0</x:v>
      </x:c>
      <x:c r="P118" s="9" t="n">
        <x:f>SUMIFS('350配方'!$M118:$P118,'350配方'!$Y118:$AB118,75)</x:f>
        <x:v>331.2476415010377</x:v>
      </x:c>
      <x:c r="Q118" s="9" t="n">
        <x:f>SUMIFS('350配方'!$M118:$P118,'350配方'!$Y118:$AB118,79)</x:f>
        <x:v>0</x:v>
      </x:c>
      <x:c r="R118" s="9" t="n">
        <x:f>SUMIFS('350配方'!$M118:$P118,'350配方'!$Y118:$AB118,90)</x:f>
        <x:v>0</x:v>
      </x:c>
      <x:c r="S118" s="9" t="n">
        <x:f>SUMIFS('350配方'!$M118:$P118,'350配方'!$Y118:$AB118,105)</x:f>
        <x:v>0.05</x:v>
      </x:c>
      <x:c r="T118" s="9" t="n">
        <x:f>SUMIFS('350配方'!$M118:$P118,'350配方'!$Y118:$AB118,111)</x:f>
        <x:v>0</x:v>
      </x:c>
      <x:c r="U118" s="9" t="n">
        <x:f>SUMIFS('350配方'!$M118:$P118,'350配方'!$Y118:$AB118,114)</x:f>
        <x:v>0</x:v>
      </x:c>
      <x:c r="V118" s="9" t="n">
        <x:f>SUMIFS('350配方'!$M118:$P118,'350配方'!$Y118:$AB118,115)</x:f>
        <x:v>0</x:v>
      </x:c>
      <x:c r="W118" s="9" t="n">
        <x:f>SUMIFS('350配方'!$M118:$P118,'350配方'!$Y118:$AB118,117)</x:f>
        <x:v>0</x:v>
      </x:c>
      <x:c r="X118" s="9" t="n">
        <x:f>SUMIFS('350配方'!$M118:$P118,'350配方'!$Y118:$AB118,126)</x:f>
        <x:v>0</x:v>
      </x:c>
      <x:c r="Y118" s="9" t="n">
        <x:f>SUMIFS('350配方'!$M118:$P118,'350配方'!$Y118:$AB118,136)</x:f>
        <x:v>0</x:v>
      </x:c>
      <x:c r="Z118" s="9" t="n">
        <x:f>SUMIFS('350配方'!$M118:$P118,'350配方'!$Y118:$AB118,141)</x:f>
        <x:v>0</x:v>
      </x:c>
      <x:c r="AA118" s="9" t="n">
        <x:f>SUMIFS('350配方'!$M118:$P118,'350配方'!$Y118:$AB118,152)</x:f>
        <x:v>0</x:v>
      </x:c>
      <x:c r="AB118" s="9" t="n">
        <x:f>SUMIFS('350配方'!$M118:$P118,'350配方'!$Y118:$AB118,165)</x:f>
        <x:v>0</x:v>
      </x:c>
      <x:c r="AC118" s="9" t="n">
        <x:f>SUMIFS('350配方'!$M118:$P118,'350配方'!$Y118:$AB118,186)</x:f>
        <x:v>11648000</x:v>
      </x:c>
      <x:c r="AD118" s="9" t="n">
        <x:f>SUMIFS('350配方'!$M118:$P118,'350配方'!$Y118:$AB118,207)</x:f>
        <x:v>0</x:v>
      </x:c>
      <x:c r="AE118" s="9" t="n">
        <x:f>SUMIFS('350配方'!$M118:$P118,'350配方'!$Y118:$AB118,209)</x:f>
        <x:v>0</x:v>
      </x:c>
      <x:c r="AF118" s="9" t="n">
        <x:f>SUMIFS('350配方'!$M118:$P118,'350配方'!$Y118:$AB118,227)</x:f>
        <x:v>0</x:v>
      </x:c>
      <x:c r="AG118" s="9" t="n">
        <x:f>SUMIFS('350配方'!$M118:$P118,'350配方'!$Y118:$AB118,232)</x:f>
        <x:v>0</x:v>
      </x:c>
      <x:c r="AH118" s="9" t="n">
        <x:f>SUMIFS('350配方'!$M118:$P118,'350配方'!$Y118:$AB118,255)</x:f>
        <x:v>0</x:v>
      </x:c>
      <x:c r="AI118" s="9" t="n">
        <x:f>'浓度设置'!S6</x:f>
        <x:v>219125.9626344086</x:v>
      </x:c>
      <x:c r="AJ118" s="9" t="n">
        <x:f>'浓度设置'!S8</x:f>
        <x:v>92796.92267241378</x:v>
      </x:c>
      <x:c r="AK118" s="9" t="n">
        <x:f>'浓度设置'!S10</x:f>
        <x:v>30556.797802197798</x:v>
      </x:c>
      <x:c r="AL118" s="9" t="n">
        <x:f>'浓度设置'!S12</x:f>
        <x:v>1735.828970588235</x:v>
      </x:c>
      <x:c r="AM118" s="9" t="n">
        <x:f>'浓度设置'!S15</x:f>
        <x:v>7385.813644067793</x:v>
      </x:c>
      <x:c r="AN118" s="9" t="n">
        <x:f>'浓度设置'!S19</x:f>
        <x:v>27722.03097701148</x:v>
      </x:c>
      <x:c r="AO118" s="9" t="n">
        <x:f>'浓度设置'!S22</x:f>
        <x:v>44345.55047619048</x:v>
      </x:c>
      <x:c r="AP118" s="9" t="n">
        <x:f>'浓度设置'!S26</x:f>
        <x:v>153318.30499999996</x:v>
      </x:c>
      <x:c r="AQ118" s="9" t="n">
        <x:f>'浓度设置'!S29</x:f>
        <x:v>312.7970588235294</x:v>
      </x:c>
      <x:c r="AR118" s="9" t="n">
        <x:f>'浓度设置'!S30</x:f>
        <x:v>104175.5097553192</x:v>
      </x:c>
      <x:c r="AS118" s="9" t="n">
        <x:f>'浓度设置'!S35</x:f>
        <x:v>405974.90656785714</x:v>
      </x:c>
    </x:row>
    <x:row r="119" ht="24" customHeight="1">
      <x:c r="A119" s="3" t="str">
        <x:f>'350配方'!A119</x:f>
        <x:v>T114</x:v>
      </x:c>
      <x:c r="B119" s="3" t="str">
        <x:f>'350配方'!B119</x:f>
        <x:v>拟合</x:v>
      </x:c>
      <x:c r="C119" s="3" t="n">
        <x:f>IF(B119="拟合",1,0)</x:f>
        <x:v>1</x:v>
      </x:c>
      <x:c r="D119" s="3" t="n">
        <x:f>'350配方'!AC119</x:f>
        <x:v>4</x:v>
      </x:c>
      <x:c r="E119" s="9" t="n">
        <x:f>SUMIFS('350配方'!$M119:$P119,'350配方'!$Y119:$AB119,7)</x:f>
        <x:v>0</x:v>
      </x:c>
      <x:c r="F119" s="9" t="n">
        <x:f>SUMIFS('350配方'!$M119:$P119,'350配方'!$Y119:$AB119,11)</x:f>
        <x:v>0</x:v>
      </x:c>
      <x:c r="G119" s="9" t="n">
        <x:f>SUMIFS('350配方'!$M119:$P119,'350配方'!$Y119:$AB119,18)</x:f>
        <x:v>0</x:v>
      </x:c>
      <x:c r="H119" s="9" t="n">
        <x:f>SUMIFS('350配方'!$M119:$P119,'350配方'!$Y119:$AB119,32)</x:f>
        <x:v>0</x:v>
      </x:c>
      <x:c r="I119" s="9" t="n">
        <x:f>SUMIFS('350配方'!$M119:$P119,'350配方'!$Y119:$AB119,40)</x:f>
        <x:v>0</x:v>
      </x:c>
      <x:c r="J119" s="9" t="n">
        <x:f>SUMIFS('350配方'!$M119:$P119,'350配方'!$Y119:$AB119,52)</x:f>
        <x:v>0</x:v>
      </x:c>
      <x:c r="K119" s="9" t="n">
        <x:f>SUMIFS('350配方'!$M119:$P119,'350配方'!$Y119:$AB119,53)</x:f>
        <x:v>0</x:v>
      </x:c>
      <x:c r="L119" s="9" t="n">
        <x:f>SUMIFS('350配方'!$M119:$P119,'350配方'!$Y119:$AB119,56)</x:f>
        <x:v>0</x:v>
      </x:c>
      <x:c r="M119" s="9" t="n">
        <x:f>SUMIFS('350配方'!$M119:$P119,'350配方'!$Y119:$AB119,58)</x:f>
        <x:v>5.06</x:v>
      </x:c>
      <x:c r="N119" s="9" t="n">
        <x:f>SUMIFS('350配方'!$M119:$P119,'350配方'!$Y119:$AB119,61)</x:f>
        <x:v>0</x:v>
      </x:c>
      <x:c r="O119" s="9" t="n">
        <x:f>SUMIFS('350配方'!$M119:$P119,'350配方'!$Y119:$AB119,69)</x:f>
        <x:v>0</x:v>
      </x:c>
      <x:c r="P119" s="9" t="n">
        <x:f>SUMIFS('350配方'!$M119:$P119,'350配方'!$Y119:$AB119,75)</x:f>
        <x:v>0</x:v>
      </x:c>
      <x:c r="Q119" s="9" t="n">
        <x:f>SUMIFS('350配方'!$M119:$P119,'350配方'!$Y119:$AB119,79)</x:f>
        <x:v>0</x:v>
      </x:c>
      <x:c r="R119" s="9" t="n">
        <x:f>SUMIFS('350配方'!$M119:$P119,'350配方'!$Y119:$AB119,90)</x:f>
        <x:v>0</x:v>
      </x:c>
      <x:c r="S119" s="9" t="n">
        <x:f>SUMIFS('350配方'!$M119:$P119,'350配方'!$Y119:$AB119,105)</x:f>
        <x:v>0</x:v>
      </x:c>
      <x:c r="T119" s="9" t="n">
        <x:f>SUMIFS('350配方'!$M119:$P119,'350配方'!$Y119:$AB119,111)</x:f>
        <x:v>9622120</x:v>
      </x:c>
      <x:c r="U119" s="9" t="n">
        <x:f>SUMIFS('350配方'!$M119:$P119,'350配方'!$Y119:$AB119,114)</x:f>
        <x:v>0</x:v>
      </x:c>
      <x:c r="V119" s="9" t="n">
        <x:f>SUMIFS('350配方'!$M119:$P119,'350配方'!$Y119:$AB119,115)</x:f>
        <x:v>96.86609313893071</x:v>
      </x:c>
      <x:c r="W119" s="9" t="n">
        <x:f>SUMIFS('350配方'!$M119:$P119,'350配方'!$Y119:$AB119,117)</x:f>
        <x:v>0</x:v>
      </x:c>
      <x:c r="X119" s="9" t="n">
        <x:f>SUMIFS('350配方'!$M119:$P119,'350配方'!$Y119:$AB119,126)</x:f>
        <x:v>0</x:v>
      </x:c>
      <x:c r="Y119" s="9" t="n">
        <x:f>SUMIFS('350配方'!$M119:$P119,'350配方'!$Y119:$AB119,136)</x:f>
        <x:v>0</x:v>
      </x:c>
      <x:c r="Z119" s="9" t="n">
        <x:f>SUMIFS('350配方'!$M119:$P119,'350配方'!$Y119:$AB119,141)</x:f>
        <x:v>0</x:v>
      </x:c>
      <x:c r="AA119" s="9" t="n">
        <x:f>SUMIFS('350配方'!$M119:$P119,'350配方'!$Y119:$AB119,152)</x:f>
        <x:v>0</x:v>
      </x:c>
      <x:c r="AB119" s="9" t="n">
        <x:f>SUMIFS('350配方'!$M119:$P119,'350配方'!$Y119:$AB119,165)</x:f>
        <x:v>0</x:v>
      </x:c>
      <x:c r="AC119" s="9" t="n">
        <x:f>SUMIFS('350配方'!$M119:$P119,'350配方'!$Y119:$AB119,186)</x:f>
        <x:v>0</x:v>
      </x:c>
      <x:c r="AD119" s="9" t="n">
        <x:f>SUMIFS('350配方'!$M119:$P119,'350配方'!$Y119:$AB119,207)</x:f>
        <x:v>0</x:v>
      </x:c>
      <x:c r="AE119" s="9" t="n">
        <x:f>SUMIFS('350配方'!$M119:$P119,'350配方'!$Y119:$AB119,209)</x:f>
        <x:v>0</x:v>
      </x:c>
      <x:c r="AF119" s="9" t="n">
        <x:f>SUMIFS('350配方'!$M119:$P119,'350配方'!$Y119:$AB119,227)</x:f>
        <x:v>695.986709643223</x:v>
      </x:c>
      <x:c r="AG119" s="9" t="n">
        <x:f>SUMIFS('350配方'!$M119:$P119,'350配方'!$Y119:$AB119,232)</x:f>
        <x:v>0</x:v>
      </x:c>
      <x:c r="AH119" s="9" t="n">
        <x:f>SUMIFS('350配方'!$M119:$P119,'350配方'!$Y119:$AB119,255)</x:f>
        <x:v>0</x:v>
      </x:c>
      <x:c r="AI119" s="9" t="n">
        <x:f>'浓度设置'!S6</x:f>
        <x:v>219125.9626344086</x:v>
      </x:c>
      <x:c r="AJ119" s="9" t="n">
        <x:f>'浓度设置'!S8</x:f>
        <x:v>92796.92267241378</x:v>
      </x:c>
      <x:c r="AK119" s="9" t="n">
        <x:f>'浓度设置'!S10</x:f>
        <x:v>30556.797802197798</x:v>
      </x:c>
      <x:c r="AL119" s="9" t="n">
        <x:f>'浓度设置'!S12</x:f>
        <x:v>1735.828970588235</x:v>
      </x:c>
      <x:c r="AM119" s="9" t="n">
        <x:f>'浓度设置'!S15</x:f>
        <x:v>7385.813644067793</x:v>
      </x:c>
      <x:c r="AN119" s="9" t="n">
        <x:f>'浓度设置'!S19</x:f>
        <x:v>27722.03097701148</x:v>
      </x:c>
      <x:c r="AO119" s="9" t="n">
        <x:f>'浓度设置'!S22</x:f>
        <x:v>44345.55047619048</x:v>
      </x:c>
      <x:c r="AP119" s="9" t="n">
        <x:f>'浓度设置'!S26</x:f>
        <x:v>153318.30499999996</x:v>
      </x:c>
      <x:c r="AQ119" s="9" t="n">
        <x:f>'浓度设置'!S29</x:f>
        <x:v>312.7970588235294</x:v>
      </x:c>
      <x:c r="AR119" s="9" t="n">
        <x:f>'浓度设置'!S30</x:f>
        <x:v>104175.5097553192</x:v>
      </x:c>
      <x:c r="AS119" s="9" t="n">
        <x:f>'浓度设置'!S35</x:f>
        <x:v>405974.90656785714</x:v>
      </x:c>
    </x:row>
    <x:row r="120" ht="24" customHeight="1">
      <x:c r="A120" s="3" t="str">
        <x:f>'350配方'!A120</x:f>
        <x:v>T115</x:v>
      </x:c>
      <x:c r="B120" s="3" t="str">
        <x:f>'350配方'!B120</x:f>
        <x:v>拟合</x:v>
      </x:c>
      <x:c r="C120" s="3" t="n">
        <x:f>IF(B120="拟合",1,0)</x:f>
        <x:v>1</x:v>
      </x:c>
      <x:c r="D120" s="3" t="n">
        <x:f>'350配方'!AC120</x:f>
        <x:v>4</x:v>
      </x:c>
      <x:c r="E120" s="9" t="n">
        <x:f>SUMIFS('350配方'!$M120:$P120,'350配方'!$Y120:$AB120,7)</x:f>
        <x:v>173</x:v>
      </x:c>
      <x:c r="F120" s="9" t="n">
        <x:f>SUMIFS('350配方'!$M120:$P120,'350配方'!$Y120:$AB120,11)</x:f>
        <x:v>1038900</x:v>
      </x:c>
      <x:c r="G120" s="9" t="n">
        <x:f>SUMIFS('350配方'!$M120:$P120,'350配方'!$Y120:$AB120,18)</x:f>
        <x:v>35900</x:v>
      </x:c>
      <x:c r="H120" s="9" t="n">
        <x:f>SUMIFS('350配方'!$M120:$P120,'350配方'!$Y120:$AB120,32)</x:f>
        <x:v>0</x:v>
      </x:c>
      <x:c r="I120" s="9" t="n">
        <x:f>SUMIFS('350配方'!$M120:$P120,'350配方'!$Y120:$AB120,40)</x:f>
        <x:v>0</x:v>
      </x:c>
      <x:c r="J120" s="9" t="n">
        <x:f>SUMIFS('350配方'!$M120:$P120,'350配方'!$Y120:$AB120,52)</x:f>
        <x:v>0</x:v>
      </x:c>
      <x:c r="K120" s="9" t="n">
        <x:f>SUMIFS('350配方'!$M120:$P120,'350配方'!$Y120:$AB120,53)</x:f>
        <x:v>0</x:v>
      </x:c>
      <x:c r="L120" s="9" t="n">
        <x:f>SUMIFS('350配方'!$M120:$P120,'350配方'!$Y120:$AB120,56)</x:f>
        <x:v>0</x:v>
      </x:c>
      <x:c r="M120" s="9" t="n">
        <x:f>SUMIFS('350配方'!$M120:$P120,'350配方'!$Y120:$AB120,58)</x:f>
        <x:v>0</x:v>
      </x:c>
      <x:c r="N120" s="9" t="n">
        <x:f>SUMIFS('350配方'!$M120:$P120,'350配方'!$Y120:$AB120,61)</x:f>
        <x:v>0</x:v>
      </x:c>
      <x:c r="O120" s="9" t="n">
        <x:f>SUMIFS('350配方'!$M120:$P120,'350配方'!$Y120:$AB120,69)</x:f>
        <x:v>99.89207175747232</x:v>
      </x:c>
      <x:c r="P120" s="9" t="n">
        <x:f>SUMIFS('350配方'!$M120:$P120,'350配方'!$Y120:$AB120,75)</x:f>
        <x:v>0</x:v>
      </x:c>
      <x:c r="Q120" s="9" t="n">
        <x:f>SUMIFS('350配方'!$M120:$P120,'350配方'!$Y120:$AB120,79)</x:f>
        <x:v>0</x:v>
      </x:c>
      <x:c r="R120" s="9" t="n">
        <x:f>SUMIFS('350配方'!$M120:$P120,'350配方'!$Y120:$AB120,90)</x:f>
        <x:v>0</x:v>
      </x:c>
      <x:c r="S120" s="9" t="n">
        <x:f>SUMIFS('350配方'!$M120:$P120,'350配方'!$Y120:$AB120,105)</x:f>
        <x:v>0</x:v>
      </x:c>
      <x:c r="T120" s="9" t="n">
        <x:f>SUMIFS('350配方'!$M120:$P120,'350配方'!$Y120:$AB120,111)</x:f>
        <x:v>0</x:v>
      </x:c>
      <x:c r="U120" s="9" t="n">
        <x:f>SUMIFS('350配方'!$M120:$P120,'350配方'!$Y120:$AB120,114)</x:f>
        <x:v>0</x:v>
      </x:c>
      <x:c r="V120" s="9" t="n">
        <x:f>SUMIFS('350配方'!$M120:$P120,'350配方'!$Y120:$AB120,115)</x:f>
        <x:v>0</x:v>
      </x:c>
      <x:c r="W120" s="9" t="n">
        <x:f>SUMIFS('350配方'!$M120:$P120,'350配方'!$Y120:$AB120,117)</x:f>
        <x:v>0</x:v>
      </x:c>
      <x:c r="X120" s="9" t="n">
        <x:f>SUMIFS('350配方'!$M120:$P120,'350配方'!$Y120:$AB120,126)</x:f>
        <x:v>0</x:v>
      </x:c>
      <x:c r="Y120" s="9" t="n">
        <x:f>SUMIFS('350配方'!$M120:$P120,'350配方'!$Y120:$AB120,136)</x:f>
        <x:v>0</x:v>
      </x:c>
      <x:c r="Z120" s="9" t="n">
        <x:f>SUMIFS('350配方'!$M120:$P120,'350配方'!$Y120:$AB120,141)</x:f>
        <x:v>0</x:v>
      </x:c>
      <x:c r="AA120" s="9" t="n">
        <x:f>SUMIFS('350配方'!$M120:$P120,'350配方'!$Y120:$AB120,152)</x:f>
        <x:v>0</x:v>
      </x:c>
      <x:c r="AB120" s="9" t="n">
        <x:f>SUMIFS('350配方'!$M120:$P120,'350配方'!$Y120:$AB120,165)</x:f>
        <x:v>0</x:v>
      </x:c>
      <x:c r="AC120" s="9" t="n">
        <x:f>SUMIFS('350配方'!$M120:$P120,'350配方'!$Y120:$AB120,186)</x:f>
        <x:v>0</x:v>
      </x:c>
      <x:c r="AD120" s="9" t="n">
        <x:f>SUMIFS('350配方'!$M120:$P120,'350配方'!$Y120:$AB120,207)</x:f>
        <x:v>0</x:v>
      </x:c>
      <x:c r="AE120" s="9" t="n">
        <x:f>SUMIFS('350配方'!$M120:$P120,'350配方'!$Y120:$AB120,209)</x:f>
        <x:v>0</x:v>
      </x:c>
      <x:c r="AF120" s="9" t="n">
        <x:f>SUMIFS('350配方'!$M120:$P120,'350配方'!$Y120:$AB120,227)</x:f>
        <x:v>0</x:v>
      </x:c>
      <x:c r="AG120" s="9" t="n">
        <x:f>SUMIFS('350配方'!$M120:$P120,'350配方'!$Y120:$AB120,232)</x:f>
        <x:v>0</x:v>
      </x:c>
      <x:c r="AH120" s="9" t="n">
        <x:f>SUMIFS('350配方'!$M120:$P120,'350配方'!$Y120:$AB120,255)</x:f>
        <x:v>0</x:v>
      </x:c>
      <x:c r="AI120" s="9" t="n">
        <x:f>'浓度设置'!S6</x:f>
        <x:v>219125.9626344086</x:v>
      </x:c>
      <x:c r="AJ120" s="9" t="n">
        <x:f>'浓度设置'!S8</x:f>
        <x:v>92796.92267241378</x:v>
      </x:c>
      <x:c r="AK120" s="9" t="n">
        <x:f>'浓度设置'!S10</x:f>
        <x:v>30556.797802197798</x:v>
      </x:c>
      <x:c r="AL120" s="9" t="n">
        <x:f>'浓度设置'!S12</x:f>
        <x:v>1735.828970588235</x:v>
      </x:c>
      <x:c r="AM120" s="9" t="n">
        <x:f>'浓度设置'!S15</x:f>
        <x:v>7385.813644067793</x:v>
      </x:c>
      <x:c r="AN120" s="9" t="n">
        <x:f>'浓度设置'!S19</x:f>
        <x:v>27722.03097701148</x:v>
      </x:c>
      <x:c r="AO120" s="9" t="n">
        <x:f>'浓度设置'!S22</x:f>
        <x:v>44345.55047619048</x:v>
      </x:c>
      <x:c r="AP120" s="9" t="n">
        <x:f>'浓度设置'!S26</x:f>
        <x:v>153318.30499999996</x:v>
      </x:c>
      <x:c r="AQ120" s="9" t="n">
        <x:f>'浓度设置'!S29</x:f>
        <x:v>312.7970588235294</x:v>
      </x:c>
      <x:c r="AR120" s="9" t="n">
        <x:f>'浓度设置'!S30</x:f>
        <x:v>104175.5097553192</x:v>
      </x:c>
      <x:c r="AS120" s="9" t="n">
        <x:f>'浓度设置'!S35</x:f>
        <x:v>405974.90656785714</x:v>
      </x:c>
    </x:row>
    <x:row r="121" ht="24" customHeight="1">
      <x:c r="A121" s="3" t="str">
        <x:f>'350配方'!A121</x:f>
        <x:v>T116</x:v>
      </x:c>
      <x:c r="B121" s="3" t="str">
        <x:f>'350配方'!B121</x:f>
        <x:v>拟合</x:v>
      </x:c>
      <x:c r="C121" s="3" t="n">
        <x:f>IF(B121="拟合",1,0)</x:f>
        <x:v>1</x:v>
      </x:c>
      <x:c r="D121" s="3" t="n">
        <x:f>'350配方'!AC121</x:f>
        <x:v>4</x:v>
      </x:c>
      <x:c r="E121" s="9" t="n">
        <x:f>SUMIFS('350配方'!$M121:$P121,'350配方'!$Y121:$AB121,7)</x:f>
        <x:v>0</x:v>
      </x:c>
      <x:c r="F121" s="9" t="n">
        <x:f>SUMIFS('350配方'!$M121:$P121,'350配方'!$Y121:$AB121,11)</x:f>
        <x:v>0</x:v>
      </x:c>
      <x:c r="G121" s="9" t="n">
        <x:f>SUMIFS('350配方'!$M121:$P121,'350配方'!$Y121:$AB121,18)</x:f>
        <x:v>0</x:v>
      </x:c>
      <x:c r="H121" s="9" t="n">
        <x:f>SUMIFS('350配方'!$M121:$P121,'350配方'!$Y121:$AB121,32)</x:f>
        <x:v>0</x:v>
      </x:c>
      <x:c r="I121" s="9" t="n">
        <x:f>SUMIFS('350配方'!$M121:$P121,'350配方'!$Y121:$AB121,40)</x:f>
        <x:v>0</x:v>
      </x:c>
      <x:c r="J121" s="9" t="n">
        <x:f>SUMIFS('350配方'!$M121:$P121,'350配方'!$Y121:$AB121,52)</x:f>
        <x:v>0</x:v>
      </x:c>
      <x:c r="K121" s="9" t="n">
        <x:f>SUMIFS('350配方'!$M121:$P121,'350配方'!$Y121:$AB121,53)</x:f>
        <x:v>0</x:v>
      </x:c>
      <x:c r="L121" s="9" t="n">
        <x:f>SUMIFS('350配方'!$M121:$P121,'350配方'!$Y121:$AB121,56)</x:f>
        <x:v>0</x:v>
      </x:c>
      <x:c r="M121" s="9" t="n">
        <x:f>SUMIFS('350配方'!$M121:$P121,'350配方'!$Y121:$AB121,58)</x:f>
        <x:v>0</x:v>
      </x:c>
      <x:c r="N121" s="9" t="n">
        <x:f>SUMIFS('350配方'!$M121:$P121,'350配方'!$Y121:$AB121,61)</x:f>
        <x:v>0</x:v>
      </x:c>
      <x:c r="O121" s="9" t="n">
        <x:f>SUMIFS('350配方'!$M121:$P121,'350配方'!$Y121:$AB121,69)</x:f>
        <x:v>0</x:v>
      </x:c>
      <x:c r="P121" s="9" t="n">
        <x:f>SUMIFS('350配方'!$M121:$P121,'350配方'!$Y121:$AB121,75)</x:f>
        <x:v>0</x:v>
      </x:c>
      <x:c r="Q121" s="9" t="n">
        <x:f>SUMIFS('350配方'!$M121:$P121,'350配方'!$Y121:$AB121,79)</x:f>
        <x:v>0</x:v>
      </x:c>
      <x:c r="R121" s="9" t="n">
        <x:f>SUMIFS('350配方'!$M121:$P121,'350配方'!$Y121:$AB121,90)</x:f>
        <x:v>25642.45</x:v>
      </x:c>
      <x:c r="S121" s="9" t="n">
        <x:f>SUMIFS('350配方'!$M121:$P121,'350配方'!$Y121:$AB121,105)</x:f>
        <x:v>0</x:v>
      </x:c>
      <x:c r="T121" s="9" t="n">
        <x:f>SUMIFS('350配方'!$M121:$P121,'350配方'!$Y121:$AB121,111)</x:f>
        <x:v>0</x:v>
      </x:c>
      <x:c r="U121" s="9" t="n">
        <x:f>SUMIFS('350配方'!$M121:$P121,'350配方'!$Y121:$AB121,114)</x:f>
        <x:v>0</x:v>
      </x:c>
      <x:c r="V121" s="9" t="n">
        <x:f>SUMIFS('350配方'!$M121:$P121,'350配方'!$Y121:$AB121,115)</x:f>
        <x:v>0</x:v>
      </x:c>
      <x:c r="W121" s="9" t="n">
        <x:f>SUMIFS('350配方'!$M121:$P121,'350配方'!$Y121:$AB121,117)</x:f>
        <x:v>0</x:v>
      </x:c>
      <x:c r="X121" s="9" t="n">
        <x:f>SUMIFS('350配方'!$M121:$P121,'350配方'!$Y121:$AB121,126)</x:f>
        <x:v>0</x:v>
      </x:c>
      <x:c r="Y121" s="9" t="n">
        <x:f>SUMIFS('350配方'!$M121:$P121,'350配方'!$Y121:$AB121,136)</x:f>
        <x:v>0</x:v>
      </x:c>
      <x:c r="Z121" s="9" t="n">
        <x:f>SUMIFS('350配方'!$M121:$P121,'350配方'!$Y121:$AB121,141)</x:f>
        <x:v>0</x:v>
      </x:c>
      <x:c r="AA121" s="9" t="n">
        <x:f>SUMIFS('350配方'!$M121:$P121,'350配方'!$Y121:$AB121,152)</x:f>
        <x:v>0</x:v>
      </x:c>
      <x:c r="AB121" s="9" t="n">
        <x:f>SUMIFS('350配方'!$M121:$P121,'350配方'!$Y121:$AB121,165)</x:f>
        <x:v>0</x:v>
      </x:c>
      <x:c r="AC121" s="9" t="n">
        <x:f>SUMIFS('350配方'!$M121:$P121,'350配方'!$Y121:$AB121,186)</x:f>
        <x:v>0</x:v>
      </x:c>
      <x:c r="AD121" s="9" t="n">
        <x:f>SUMIFS('350配方'!$M121:$P121,'350配方'!$Y121:$AB121,207)</x:f>
        <x:v>271.45</x:v>
      </x:c>
      <x:c r="AE121" s="9" t="n">
        <x:f>SUMIFS('350配方'!$M121:$P121,'350配方'!$Y121:$AB121,209)</x:f>
        <x:v>0</x:v>
      </x:c>
      <x:c r="AF121" s="9" t="n">
        <x:f>SUMIFS('350配方'!$M121:$P121,'350配方'!$Y121:$AB121,227)</x:f>
        <x:v>0</x:v>
      </x:c>
      <x:c r="AG121" s="9" t="n">
        <x:f>SUMIFS('350配方'!$M121:$P121,'350配方'!$Y121:$AB121,232)</x:f>
        <x:v>39.53062104242735</x:v>
      </x:c>
      <x:c r="AH121" s="9" t="n">
        <x:f>SUMIFS('350配方'!$M121:$P121,'350配方'!$Y121:$AB121,255)</x:f>
        <x:v>9.546727187890099</x:v>
      </x:c>
      <x:c r="AI121" s="9" t="n">
        <x:f>'浓度设置'!S6</x:f>
        <x:v>219125.9626344086</x:v>
      </x:c>
      <x:c r="AJ121" s="9" t="n">
        <x:f>'浓度设置'!S8</x:f>
        <x:v>92796.92267241378</x:v>
      </x:c>
      <x:c r="AK121" s="9" t="n">
        <x:f>'浓度设置'!S10</x:f>
        <x:v>30556.797802197798</x:v>
      </x:c>
      <x:c r="AL121" s="9" t="n">
        <x:f>'浓度设置'!S12</x:f>
        <x:v>1735.828970588235</x:v>
      </x:c>
      <x:c r="AM121" s="9" t="n">
        <x:f>'浓度设置'!S15</x:f>
        <x:v>7385.813644067793</x:v>
      </x:c>
      <x:c r="AN121" s="9" t="n">
        <x:f>'浓度设置'!S19</x:f>
        <x:v>27722.03097701148</x:v>
      </x:c>
      <x:c r="AO121" s="9" t="n">
        <x:f>'浓度设置'!S22</x:f>
        <x:v>44345.55047619048</x:v>
      </x:c>
      <x:c r="AP121" s="9" t="n">
        <x:f>'浓度设置'!S26</x:f>
        <x:v>153318.30499999996</x:v>
      </x:c>
      <x:c r="AQ121" s="9" t="n">
        <x:f>'浓度设置'!S29</x:f>
        <x:v>312.7970588235294</x:v>
      </x:c>
      <x:c r="AR121" s="9" t="n">
        <x:f>'浓度设置'!S30</x:f>
        <x:v>104175.5097553192</x:v>
      </x:c>
      <x:c r="AS121" s="9" t="n">
        <x:f>'浓度设置'!S35</x:f>
        <x:v>405974.90656785714</x:v>
      </x:c>
    </x:row>
    <x:row r="122" ht="24" customHeight="1">
      <x:c r="A122" s="3" t="str">
        <x:f>'350配方'!A122</x:f>
        <x:v>T117</x:v>
      </x:c>
      <x:c r="B122" s="3" t="str">
        <x:f>'350配方'!B122</x:f>
        <x:v>拟合</x:v>
      </x:c>
      <x:c r="C122" s="3" t="n">
        <x:f>IF(B122="拟合",1,0)</x:f>
        <x:v>1</x:v>
      </x:c>
      <x:c r="D122" s="3" t="n">
        <x:f>'350配方'!AC122</x:f>
        <x:v>4</x:v>
      </x:c>
      <x:c r="E122" s="9" t="n">
        <x:f>SUMIFS('350配方'!$M122:$P122,'350配方'!$Y122:$AB122,7)</x:f>
        <x:v>0</x:v>
      </x:c>
      <x:c r="F122" s="9" t="n">
        <x:f>SUMIFS('350配方'!$M122:$P122,'350配方'!$Y122:$AB122,11)</x:f>
        <x:v>0</x:v>
      </x:c>
      <x:c r="G122" s="9" t="n">
        <x:f>SUMIFS('350配方'!$M122:$P122,'350配方'!$Y122:$AB122,18)</x:f>
        <x:v>0</x:v>
      </x:c>
      <x:c r="H122" s="9" t="n">
        <x:f>SUMIFS('350配方'!$M122:$P122,'350配方'!$Y122:$AB122,32)</x:f>
        <x:v>0</x:v>
      </x:c>
      <x:c r="I122" s="9" t="n">
        <x:f>SUMIFS('350配方'!$M122:$P122,'350配方'!$Y122:$AB122,40)</x:f>
        <x:v>0</x:v>
      </x:c>
      <x:c r="J122" s="9" t="n">
        <x:f>SUMIFS('350配方'!$M122:$P122,'350配方'!$Y122:$AB122,52)</x:f>
        <x:v>1290235</x:v>
      </x:c>
      <x:c r="K122" s="9" t="n">
        <x:f>SUMIFS('350配方'!$M122:$P122,'350配方'!$Y122:$AB122,53)</x:f>
        <x:v>0</x:v>
      </x:c>
      <x:c r="L122" s="9" t="n">
        <x:f>SUMIFS('350配方'!$M122:$P122,'350配方'!$Y122:$AB122,56)</x:f>
        <x:v>0</x:v>
      </x:c>
      <x:c r="M122" s="9" t="n">
        <x:f>SUMIFS('350配方'!$M122:$P122,'350配方'!$Y122:$AB122,58)</x:f>
        <x:v>0</x:v>
      </x:c>
      <x:c r="N122" s="9" t="n">
        <x:f>SUMIFS('350配方'!$M122:$P122,'350配方'!$Y122:$AB122,61)</x:f>
        <x:v>0</x:v>
      </x:c>
      <x:c r="O122" s="9" t="n">
        <x:f>SUMIFS('350配方'!$M122:$P122,'350配方'!$Y122:$AB122,69)</x:f>
        <x:v>0</x:v>
      </x:c>
      <x:c r="P122" s="9" t="n">
        <x:f>SUMIFS('350配方'!$M122:$P122,'350配方'!$Y122:$AB122,75)</x:f>
        <x:v>0</x:v>
      </x:c>
      <x:c r="Q122" s="9" t="n">
        <x:f>SUMIFS('350配方'!$M122:$P122,'350配方'!$Y122:$AB122,79)</x:f>
        <x:v>0</x:v>
      </x:c>
      <x:c r="R122" s="9" t="n">
        <x:f>SUMIFS('350配方'!$M122:$P122,'350配方'!$Y122:$AB122,90)</x:f>
        <x:v>0</x:v>
      </x:c>
      <x:c r="S122" s="9" t="n">
        <x:f>SUMIFS('350配方'!$M122:$P122,'350配方'!$Y122:$AB122,105)</x:f>
        <x:v>0</x:v>
      </x:c>
      <x:c r="T122" s="9" t="n">
        <x:f>SUMIFS('350配方'!$M122:$P122,'350配方'!$Y122:$AB122,111)</x:f>
        <x:v>0</x:v>
      </x:c>
      <x:c r="U122" s="9" t="n">
        <x:f>SUMIFS('350配方'!$M122:$P122,'350配方'!$Y122:$AB122,114)</x:f>
        <x:v>0</x:v>
      </x:c>
      <x:c r="V122" s="9" t="n">
        <x:f>SUMIFS('350配方'!$M122:$P122,'350配方'!$Y122:$AB122,115)</x:f>
        <x:v>0</x:v>
      </x:c>
      <x:c r="W122" s="9" t="n">
        <x:f>SUMIFS('350配方'!$M122:$P122,'350配方'!$Y122:$AB122,117)</x:f>
        <x:v>0</x:v>
      </x:c>
      <x:c r="X122" s="9" t="n">
        <x:f>SUMIFS('350配方'!$M122:$P122,'350配方'!$Y122:$AB122,126)</x:f>
        <x:v>0</x:v>
      </x:c>
      <x:c r="Y122" s="9" t="n">
        <x:f>SUMIFS('350配方'!$M122:$P122,'350配方'!$Y122:$AB122,136)</x:f>
        <x:v>0</x:v>
      </x:c>
      <x:c r="Z122" s="9" t="n">
        <x:f>SUMIFS('350配方'!$M122:$P122,'350配方'!$Y122:$AB122,141)</x:f>
        <x:v>0</x:v>
      </x:c>
      <x:c r="AA122" s="9" t="n">
        <x:f>SUMIFS('350配方'!$M122:$P122,'350配方'!$Y122:$AB122,152)</x:f>
        <x:v>0</x:v>
      </x:c>
      <x:c r="AB122" s="9" t="n">
        <x:f>SUMIFS('350配方'!$M122:$P122,'350配方'!$Y122:$AB122,165)</x:f>
        <x:v>86300</x:v>
      </x:c>
      <x:c r="AC122" s="9" t="n">
        <x:f>SUMIFS('350配方'!$M122:$P122,'350配方'!$Y122:$AB122,186)</x:f>
        <x:v>0</x:v>
      </x:c>
      <x:c r="AD122" s="9" t="n">
        <x:f>SUMIFS('350配方'!$M122:$P122,'350配方'!$Y122:$AB122,207)</x:f>
        <x:v>0</x:v>
      </x:c>
      <x:c r="AE122" s="9" t="n">
        <x:f>SUMIFS('350配方'!$M122:$P122,'350配方'!$Y122:$AB122,209)</x:f>
        <x:v>4201.44</x:v>
      </x:c>
      <x:c r="AF122" s="9" t="n">
        <x:f>SUMIFS('350配方'!$M122:$P122,'350配方'!$Y122:$AB122,227)</x:f>
        <x:v>0</x:v>
      </x:c>
      <x:c r="AG122" s="9" t="n">
        <x:f>SUMIFS('350配方'!$M122:$P122,'350配方'!$Y122:$AB122,232)</x:f>
        <x:v>39.53062104242735</x:v>
      </x:c>
      <x:c r="AH122" s="9" t="n">
        <x:f>SUMIFS('350配方'!$M122:$P122,'350配方'!$Y122:$AB122,255)</x:f>
        <x:v>0</x:v>
      </x:c>
      <x:c r="AI122" s="9" t="n">
        <x:f>'浓度设置'!S6</x:f>
        <x:v>219125.9626344086</x:v>
      </x:c>
      <x:c r="AJ122" s="9" t="n">
        <x:f>'浓度设置'!S8</x:f>
        <x:v>92796.92267241378</x:v>
      </x:c>
      <x:c r="AK122" s="9" t="n">
        <x:f>'浓度设置'!S10</x:f>
        <x:v>30556.797802197798</x:v>
      </x:c>
      <x:c r="AL122" s="9" t="n">
        <x:f>'浓度设置'!S12</x:f>
        <x:v>1735.828970588235</x:v>
      </x:c>
      <x:c r="AM122" s="9" t="n">
        <x:f>'浓度设置'!S15</x:f>
        <x:v>7385.813644067793</x:v>
      </x:c>
      <x:c r="AN122" s="9" t="n">
        <x:f>'浓度设置'!S19</x:f>
        <x:v>27722.03097701148</x:v>
      </x:c>
      <x:c r="AO122" s="9" t="n">
        <x:f>'浓度设置'!S22</x:f>
        <x:v>44345.55047619048</x:v>
      </x:c>
      <x:c r="AP122" s="9" t="n">
        <x:f>'浓度设置'!S26</x:f>
        <x:v>153318.30499999996</x:v>
      </x:c>
      <x:c r="AQ122" s="9" t="n">
        <x:f>'浓度设置'!S29</x:f>
        <x:v>312.7970588235294</x:v>
      </x:c>
      <x:c r="AR122" s="9" t="n">
        <x:f>'浓度设置'!S30</x:f>
        <x:v>104175.5097553192</x:v>
      </x:c>
      <x:c r="AS122" s="9" t="n">
        <x:f>'浓度设置'!S35</x:f>
        <x:v>405974.90656785714</x:v>
      </x:c>
    </x:row>
    <x:row r="123" ht="24" customHeight="1">
      <x:c r="A123" s="3" t="str">
        <x:f>'350配方'!A123</x:f>
        <x:v>T118</x:v>
      </x:c>
      <x:c r="B123" s="3" t="str">
        <x:f>'350配方'!B123</x:f>
        <x:v>拟合</x:v>
      </x:c>
      <x:c r="C123" s="3" t="n">
        <x:f>IF(B123="拟合",1,0)</x:f>
        <x:v>1</x:v>
      </x:c>
      <x:c r="D123" s="3" t="n">
        <x:f>'350配方'!AC123</x:f>
        <x:v>4</x:v>
      </x:c>
      <x:c r="E123" s="9" t="n">
        <x:f>SUMIFS('350配方'!$M123:$P123,'350配方'!$Y123:$AB123,7)</x:f>
        <x:v>0</x:v>
      </x:c>
      <x:c r="F123" s="9" t="n">
        <x:f>SUMIFS('350配方'!$M123:$P123,'350配方'!$Y123:$AB123,11)</x:f>
        <x:v>0</x:v>
      </x:c>
      <x:c r="G123" s="9" t="n">
        <x:f>SUMIFS('350配方'!$M123:$P123,'350配方'!$Y123:$AB123,18)</x:f>
        <x:v>0</x:v>
      </x:c>
      <x:c r="H123" s="9" t="n">
        <x:f>SUMIFS('350配方'!$M123:$P123,'350配方'!$Y123:$AB123,32)</x:f>
        <x:v>836.8360173893091</x:v>
      </x:c>
      <x:c r="I123" s="9" t="n">
        <x:f>SUMIFS('350配方'!$M123:$P123,'350配方'!$Y123:$AB123,40)</x:f>
        <x:v>0</x:v>
      </x:c>
      <x:c r="J123" s="9" t="n">
        <x:f>SUMIFS('350配方'!$M123:$P123,'350配方'!$Y123:$AB123,52)</x:f>
        <x:v>0</x:v>
      </x:c>
      <x:c r="K123" s="9" t="n">
        <x:f>SUMIFS('350配方'!$M123:$P123,'350配方'!$Y123:$AB123,53)</x:f>
        <x:v>0</x:v>
      </x:c>
      <x:c r="L123" s="9" t="n">
        <x:f>SUMIFS('350配方'!$M123:$P123,'350配方'!$Y123:$AB123,56)</x:f>
        <x:v>0</x:v>
      </x:c>
      <x:c r="M123" s="9" t="n">
        <x:f>SUMIFS('350配方'!$M123:$P123,'350配方'!$Y123:$AB123,58)</x:f>
        <x:v>0</x:v>
      </x:c>
      <x:c r="N123" s="9" t="n">
        <x:f>SUMIFS('350配方'!$M123:$P123,'350配方'!$Y123:$AB123,61)</x:f>
        <x:v>0</x:v>
      </x:c>
      <x:c r="O123" s="9" t="n">
        <x:f>SUMIFS('350配方'!$M123:$P123,'350配方'!$Y123:$AB123,69)</x:f>
        <x:v>12022.2</x:v>
      </x:c>
      <x:c r="P123" s="9" t="n">
        <x:f>SUMIFS('350配方'!$M123:$P123,'350配方'!$Y123:$AB123,75)</x:f>
        <x:v>0</x:v>
      </x:c>
      <x:c r="Q123" s="9" t="n">
        <x:f>SUMIFS('350配方'!$M123:$P123,'350配方'!$Y123:$AB123,79)</x:f>
        <x:v>0</x:v>
      </x:c>
      <x:c r="R123" s="9" t="n">
        <x:f>SUMIFS('350配方'!$M123:$P123,'350配方'!$Y123:$AB123,90)</x:f>
        <x:v>0</x:v>
      </x:c>
      <x:c r="S123" s="9" t="n">
        <x:f>SUMIFS('350配方'!$M123:$P123,'350配方'!$Y123:$AB123,105)</x:f>
        <x:v>0</x:v>
      </x:c>
      <x:c r="T123" s="9" t="n">
        <x:f>SUMIFS('350配方'!$M123:$P123,'350配方'!$Y123:$AB123,111)</x:f>
        <x:v>0</x:v>
      </x:c>
      <x:c r="U123" s="9" t="n">
        <x:f>SUMIFS('350配方'!$M123:$P123,'350配方'!$Y123:$AB123,114)</x:f>
        <x:v>0</x:v>
      </x:c>
      <x:c r="V123" s="9" t="n">
        <x:f>SUMIFS('350配方'!$M123:$P123,'350配方'!$Y123:$AB123,115)</x:f>
        <x:v>0</x:v>
      </x:c>
      <x:c r="W123" s="9" t="n">
        <x:f>SUMIFS('350配方'!$M123:$P123,'350配方'!$Y123:$AB123,117)</x:f>
        <x:v>0</x:v>
      </x:c>
      <x:c r="X123" s="9" t="n">
        <x:f>SUMIFS('350配方'!$M123:$P123,'350配方'!$Y123:$AB123,126)</x:f>
        <x:v>1815.6539083757125</x:v>
      </x:c>
      <x:c r="Y123" s="9" t="n">
        <x:f>SUMIFS('350配方'!$M123:$P123,'350配方'!$Y123:$AB123,136)</x:f>
        <x:v>0</x:v>
      </x:c>
      <x:c r="Z123" s="9" t="n">
        <x:f>SUMIFS('350配方'!$M123:$P123,'350配方'!$Y123:$AB123,141)</x:f>
        <x:v>0</x:v>
      </x:c>
      <x:c r="AA123" s="9" t="n">
        <x:f>SUMIFS('350配方'!$M123:$P123,'350配方'!$Y123:$AB123,152)</x:f>
        <x:v>0</x:v>
      </x:c>
      <x:c r="AB123" s="9" t="n">
        <x:f>SUMIFS('350配方'!$M123:$P123,'350配方'!$Y123:$AB123,165)</x:f>
        <x:v>0</x:v>
      </x:c>
      <x:c r="AC123" s="9" t="n">
        <x:f>SUMIFS('350配方'!$M123:$P123,'350配方'!$Y123:$AB123,186)</x:f>
        <x:v>0</x:v>
      </x:c>
      <x:c r="AD123" s="9" t="n">
        <x:f>SUMIFS('350配方'!$M123:$P123,'350配方'!$Y123:$AB123,207)</x:f>
        <x:v>0</x:v>
      </x:c>
      <x:c r="AE123" s="9" t="n">
        <x:f>SUMIFS('350配方'!$M123:$P123,'350配方'!$Y123:$AB123,209)</x:f>
        <x:v>0</x:v>
      </x:c>
      <x:c r="AF123" s="9" t="n">
        <x:f>SUMIFS('350配方'!$M123:$P123,'350配方'!$Y123:$AB123,227)</x:f>
        <x:v>0</x:v>
      </x:c>
      <x:c r="AG123" s="9" t="n">
        <x:f>SUMIFS('350配方'!$M123:$P123,'350配方'!$Y123:$AB123,232)</x:f>
        <x:v>0</x:v>
      </x:c>
      <x:c r="AH123" s="9" t="n">
        <x:f>SUMIFS('350配方'!$M123:$P123,'350配方'!$Y123:$AB123,255)</x:f>
        <x:v>9.546727187890099</x:v>
      </x:c>
      <x:c r="AI123" s="9" t="n">
        <x:f>'浓度设置'!S6</x:f>
        <x:v>219125.9626344086</x:v>
      </x:c>
      <x:c r="AJ123" s="9" t="n">
        <x:f>'浓度设置'!S8</x:f>
        <x:v>92796.92267241378</x:v>
      </x:c>
      <x:c r="AK123" s="9" t="n">
        <x:f>'浓度设置'!S10</x:f>
        <x:v>30556.797802197798</x:v>
      </x:c>
      <x:c r="AL123" s="9" t="n">
        <x:f>'浓度设置'!S12</x:f>
        <x:v>1735.828970588235</x:v>
      </x:c>
      <x:c r="AM123" s="9" t="n">
        <x:f>'浓度设置'!S15</x:f>
        <x:v>7385.813644067793</x:v>
      </x:c>
      <x:c r="AN123" s="9" t="n">
        <x:f>'浓度设置'!S19</x:f>
        <x:v>27722.03097701148</x:v>
      </x:c>
      <x:c r="AO123" s="9" t="n">
        <x:f>'浓度设置'!S22</x:f>
        <x:v>44345.55047619048</x:v>
      </x:c>
      <x:c r="AP123" s="9" t="n">
        <x:f>'浓度设置'!S26</x:f>
        <x:v>153318.30499999996</x:v>
      </x:c>
      <x:c r="AQ123" s="9" t="n">
        <x:f>'浓度设置'!S29</x:f>
        <x:v>312.7970588235294</x:v>
      </x:c>
      <x:c r="AR123" s="9" t="n">
        <x:f>'浓度设置'!S30</x:f>
        <x:v>104175.5097553192</x:v>
      </x:c>
      <x:c r="AS123" s="9" t="n">
        <x:f>'浓度设置'!S35</x:f>
        <x:v>405974.90656785714</x:v>
      </x:c>
    </x:row>
    <x:row r="124" ht="24" customHeight="1">
      <x:c r="A124" s="3" t="str">
        <x:f>'350配方'!A124</x:f>
        <x:v>T119</x:v>
      </x:c>
      <x:c r="B124" s="3" t="str">
        <x:f>'350配方'!B124</x:f>
        <x:v>拟合</x:v>
      </x:c>
      <x:c r="C124" s="3" t="n">
        <x:f>IF(B124="拟合",1,0)</x:f>
        <x:v>1</x:v>
      </x:c>
      <x:c r="D124" s="3" t="n">
        <x:f>'350配方'!AC124</x:f>
        <x:v>4</x:v>
      </x:c>
      <x:c r="E124" s="9" t="n">
        <x:f>SUMIFS('350配方'!$M124:$P124,'350配方'!$Y124:$AB124,7)</x:f>
        <x:v>0</x:v>
      </x:c>
      <x:c r="F124" s="9" t="n">
        <x:f>SUMIFS('350配方'!$M124:$P124,'350配方'!$Y124:$AB124,11)</x:f>
        <x:v>0</x:v>
      </x:c>
      <x:c r="G124" s="9" t="n">
        <x:f>SUMIFS('350配方'!$M124:$P124,'350配方'!$Y124:$AB124,18)</x:f>
        <x:v>0</x:v>
      </x:c>
      <x:c r="H124" s="9" t="n">
        <x:f>SUMIFS('350配方'!$M124:$P124,'350配方'!$Y124:$AB124,32)</x:f>
        <x:v>0</x:v>
      </x:c>
      <x:c r="I124" s="9" t="n">
        <x:f>SUMIFS('350配方'!$M124:$P124,'350配方'!$Y124:$AB124,40)</x:f>
        <x:v>0</x:v>
      </x:c>
      <x:c r="J124" s="9" t="n">
        <x:f>SUMIFS('350配方'!$M124:$P124,'350配方'!$Y124:$AB124,52)</x:f>
        <x:v>0</x:v>
      </x:c>
      <x:c r="K124" s="9" t="n">
        <x:f>SUMIFS('350配方'!$M124:$P124,'350配方'!$Y124:$AB124,53)</x:f>
        <x:v>784300</x:v>
      </x:c>
      <x:c r="L124" s="9" t="n">
        <x:f>SUMIFS('350配方'!$M124:$P124,'350配方'!$Y124:$AB124,56)</x:f>
        <x:v>0</x:v>
      </x:c>
      <x:c r="M124" s="9" t="n">
        <x:f>SUMIFS('350配方'!$M124:$P124,'350配方'!$Y124:$AB124,58)</x:f>
        <x:v>0</x:v>
      </x:c>
      <x:c r="N124" s="9" t="n">
        <x:f>SUMIFS('350配方'!$M124:$P124,'350配方'!$Y124:$AB124,61)</x:f>
        <x:v>0.51</x:v>
      </x:c>
      <x:c r="O124" s="9" t="n">
        <x:f>SUMIFS('350配方'!$M124:$P124,'350配方'!$Y124:$AB124,69)</x:f>
        <x:v>0</x:v>
      </x:c>
      <x:c r="P124" s="9" t="n">
        <x:f>SUMIFS('350配方'!$M124:$P124,'350配方'!$Y124:$AB124,75)</x:f>
        <x:v>1.75</x:v>
      </x:c>
      <x:c r="Q124" s="9" t="n">
        <x:f>SUMIFS('350配方'!$M124:$P124,'350配方'!$Y124:$AB124,79)</x:f>
        <x:v>0</x:v>
      </x:c>
      <x:c r="R124" s="9" t="n">
        <x:f>SUMIFS('350配方'!$M124:$P124,'350配方'!$Y124:$AB124,90)</x:f>
        <x:v>0</x:v>
      </x:c>
      <x:c r="S124" s="9" t="n">
        <x:f>SUMIFS('350配方'!$M124:$P124,'350配方'!$Y124:$AB124,105)</x:f>
        <x:v>0</x:v>
      </x:c>
      <x:c r="T124" s="9" t="n">
        <x:f>SUMIFS('350配方'!$M124:$P124,'350配方'!$Y124:$AB124,111)</x:f>
        <x:v>0</x:v>
      </x:c>
      <x:c r="U124" s="9" t="n">
        <x:f>SUMIFS('350配方'!$M124:$P124,'350配方'!$Y124:$AB124,114)</x:f>
        <x:v>47100</x:v>
      </x:c>
      <x:c r="V124" s="9" t="n">
        <x:f>SUMIFS('350配方'!$M124:$P124,'350配方'!$Y124:$AB124,115)</x:f>
        <x:v>0</x:v>
      </x:c>
      <x:c r="W124" s="9" t="n">
        <x:f>SUMIFS('350配方'!$M124:$P124,'350配方'!$Y124:$AB124,117)</x:f>
        <x:v>0</x:v>
      </x:c>
      <x:c r="X124" s="9" t="n">
        <x:f>SUMIFS('350配方'!$M124:$P124,'350配方'!$Y124:$AB124,126)</x:f>
        <x:v>0</x:v>
      </x:c>
      <x:c r="Y124" s="9" t="n">
        <x:f>SUMIFS('350配方'!$M124:$P124,'350配方'!$Y124:$AB124,136)</x:f>
        <x:v>0</x:v>
      </x:c>
      <x:c r="Z124" s="9" t="n">
        <x:f>SUMIFS('350配方'!$M124:$P124,'350配方'!$Y124:$AB124,141)</x:f>
        <x:v>0</x:v>
      </x:c>
      <x:c r="AA124" s="9" t="n">
        <x:f>SUMIFS('350配方'!$M124:$P124,'350配方'!$Y124:$AB124,152)</x:f>
        <x:v>0</x:v>
      </x:c>
      <x:c r="AB124" s="9" t="n">
        <x:f>SUMIFS('350配方'!$M124:$P124,'350配方'!$Y124:$AB124,165)</x:f>
        <x:v>0</x:v>
      </x:c>
      <x:c r="AC124" s="9" t="n">
        <x:f>SUMIFS('350配方'!$M124:$P124,'350配方'!$Y124:$AB124,186)</x:f>
        <x:v>0</x:v>
      </x:c>
      <x:c r="AD124" s="9" t="n">
        <x:f>SUMIFS('350配方'!$M124:$P124,'350配方'!$Y124:$AB124,207)</x:f>
        <x:v>0</x:v>
      </x:c>
      <x:c r="AE124" s="9" t="n">
        <x:f>SUMIFS('350配方'!$M124:$P124,'350配方'!$Y124:$AB124,209)</x:f>
        <x:v>0</x:v>
      </x:c>
      <x:c r="AF124" s="9" t="n">
        <x:f>SUMIFS('350配方'!$M124:$P124,'350配方'!$Y124:$AB124,227)</x:f>
        <x:v>0</x:v>
      </x:c>
      <x:c r="AG124" s="9" t="n">
        <x:f>SUMIFS('350配方'!$M124:$P124,'350配方'!$Y124:$AB124,232)</x:f>
        <x:v>0</x:v>
      </x:c>
      <x:c r="AH124" s="9" t="n">
        <x:f>SUMIFS('350配方'!$M124:$P124,'350配方'!$Y124:$AB124,255)</x:f>
        <x:v>0</x:v>
      </x:c>
      <x:c r="AI124" s="9" t="n">
        <x:f>'浓度设置'!S6</x:f>
        <x:v>219125.9626344086</x:v>
      </x:c>
      <x:c r="AJ124" s="9" t="n">
        <x:f>'浓度设置'!S8</x:f>
        <x:v>92796.92267241378</x:v>
      </x:c>
      <x:c r="AK124" s="9" t="n">
        <x:f>'浓度设置'!S10</x:f>
        <x:v>30556.797802197798</x:v>
      </x:c>
      <x:c r="AL124" s="9" t="n">
        <x:f>'浓度设置'!S12</x:f>
        <x:v>1735.828970588235</x:v>
      </x:c>
      <x:c r="AM124" s="9" t="n">
        <x:f>'浓度设置'!S15</x:f>
        <x:v>7385.813644067793</x:v>
      </x:c>
      <x:c r="AN124" s="9" t="n">
        <x:f>'浓度设置'!S19</x:f>
        <x:v>27722.03097701148</x:v>
      </x:c>
      <x:c r="AO124" s="9" t="n">
        <x:f>'浓度设置'!S22</x:f>
        <x:v>44345.55047619048</x:v>
      </x:c>
      <x:c r="AP124" s="9" t="n">
        <x:f>'浓度设置'!S26</x:f>
        <x:v>153318.30499999996</x:v>
      </x:c>
      <x:c r="AQ124" s="9" t="n">
        <x:f>'浓度设置'!S29</x:f>
        <x:v>312.7970588235294</x:v>
      </x:c>
      <x:c r="AR124" s="9" t="n">
        <x:f>'浓度设置'!S30</x:f>
        <x:v>104175.5097553192</x:v>
      </x:c>
      <x:c r="AS124" s="9" t="n">
        <x:f>'浓度设置'!S35</x:f>
        <x:v>405974.90656785714</x:v>
      </x:c>
    </x:row>
    <x:row r="125" ht="24" customHeight="1">
      <x:c r="A125" s="3" t="str">
        <x:f>'350配方'!A125</x:f>
        <x:v>T120</x:v>
      </x:c>
      <x:c r="B125" s="3" t="str">
        <x:f>'350配方'!B125</x:f>
        <x:v>拟合</x:v>
      </x:c>
      <x:c r="C125" s="3" t="n">
        <x:f>IF(B125="拟合",1,0)</x:f>
        <x:v>1</x:v>
      </x:c>
      <x:c r="D125" s="3" t="n">
        <x:f>'350配方'!AC125</x:f>
        <x:v>4</x:v>
      </x:c>
      <x:c r="E125" s="9" t="n">
        <x:f>SUMIFS('350配方'!$M125:$P125,'350配方'!$Y125:$AB125,7)</x:f>
        <x:v>0</x:v>
      </x:c>
      <x:c r="F125" s="9" t="n">
        <x:f>SUMIFS('350配方'!$M125:$P125,'350配方'!$Y125:$AB125,11)</x:f>
        <x:v>0</x:v>
      </x:c>
      <x:c r="G125" s="9" t="n">
        <x:f>SUMIFS('350配方'!$M125:$P125,'350配方'!$Y125:$AB125,18)</x:f>
        <x:v>39</x:v>
      </x:c>
      <x:c r="H125" s="9" t="n">
        <x:f>SUMIFS('350配方'!$M125:$P125,'350配方'!$Y125:$AB125,32)</x:f>
        <x:v>0</x:v>
      </x:c>
      <x:c r="I125" s="9" t="n">
        <x:f>SUMIFS('350配方'!$M125:$P125,'350配方'!$Y125:$AB125,40)</x:f>
        <x:v>0</x:v>
      </x:c>
      <x:c r="J125" s="9" t="n">
        <x:f>SUMIFS('350配方'!$M125:$P125,'350配方'!$Y125:$AB125,52)</x:f>
        <x:v>0</x:v>
      </x:c>
      <x:c r="K125" s="9" t="n">
        <x:f>SUMIFS('350配方'!$M125:$P125,'350配方'!$Y125:$AB125,53)</x:f>
        <x:v>0</x:v>
      </x:c>
      <x:c r="L125" s="9" t="n">
        <x:f>SUMIFS('350配方'!$M125:$P125,'350配方'!$Y125:$AB125,56)</x:f>
        <x:v>0</x:v>
      </x:c>
      <x:c r="M125" s="9" t="n">
        <x:f>SUMIFS('350配方'!$M125:$P125,'350配方'!$Y125:$AB125,58)</x:f>
        <x:v>0</x:v>
      </x:c>
      <x:c r="N125" s="9" t="n">
        <x:f>SUMIFS('350配方'!$M125:$P125,'350配方'!$Y125:$AB125,61)</x:f>
        <x:v>0</x:v>
      </x:c>
      <x:c r="O125" s="9" t="n">
        <x:f>SUMIFS('350配方'!$M125:$P125,'350配方'!$Y125:$AB125,69)</x:f>
        <x:v>0</x:v>
      </x:c>
      <x:c r="P125" s="9" t="n">
        <x:f>SUMIFS('350配方'!$M125:$P125,'350配方'!$Y125:$AB125,75)</x:f>
        <x:v>0</x:v>
      </x:c>
      <x:c r="Q125" s="9" t="n">
        <x:f>SUMIFS('350配方'!$M125:$P125,'350配方'!$Y125:$AB125,79)</x:f>
        <x:v>0</x:v>
      </x:c>
      <x:c r="R125" s="9" t="n">
        <x:f>SUMIFS('350配方'!$M125:$P125,'350配方'!$Y125:$AB125,90)</x:f>
        <x:v>25642.45</x:v>
      </x:c>
      <x:c r="S125" s="9" t="n">
        <x:f>SUMIFS('350配方'!$M125:$P125,'350配方'!$Y125:$AB125,105)</x:f>
        <x:v>28.044607324760317</x:v>
      </x:c>
      <x:c r="T125" s="9" t="n">
        <x:f>SUMIFS('350配方'!$M125:$P125,'350配方'!$Y125:$AB125,111)</x:f>
        <x:v>89562.18016998023</x:v>
      </x:c>
      <x:c r="U125" s="9" t="n">
        <x:f>SUMIFS('350配方'!$M125:$P125,'350配方'!$Y125:$AB125,114)</x:f>
        <x:v>0</x:v>
      </x:c>
      <x:c r="V125" s="9" t="n">
        <x:f>SUMIFS('350配方'!$M125:$P125,'350配方'!$Y125:$AB125,115)</x:f>
        <x:v>0</x:v>
      </x:c>
      <x:c r="W125" s="9" t="n">
        <x:f>SUMIFS('350配方'!$M125:$P125,'350配方'!$Y125:$AB125,117)</x:f>
        <x:v>0</x:v>
      </x:c>
      <x:c r="X125" s="9" t="n">
        <x:f>SUMIFS('350配方'!$M125:$P125,'350配方'!$Y125:$AB125,126)</x:f>
        <x:v>0</x:v>
      </x:c>
      <x:c r="Y125" s="9" t="n">
        <x:f>SUMIFS('350配方'!$M125:$P125,'350配方'!$Y125:$AB125,136)</x:f>
        <x:v>0</x:v>
      </x:c>
      <x:c r="Z125" s="9" t="n">
        <x:f>SUMIFS('350配方'!$M125:$P125,'350配方'!$Y125:$AB125,141)</x:f>
        <x:v>0</x:v>
      </x:c>
      <x:c r="AA125" s="9" t="n">
        <x:f>SUMIFS('350配方'!$M125:$P125,'350配方'!$Y125:$AB125,152)</x:f>
        <x:v>0</x:v>
      </x:c>
      <x:c r="AB125" s="9" t="n">
        <x:f>SUMIFS('350配方'!$M125:$P125,'350配方'!$Y125:$AB125,165)</x:f>
        <x:v>0</x:v>
      </x:c>
      <x:c r="AC125" s="9" t="n">
        <x:f>SUMIFS('350配方'!$M125:$P125,'350配方'!$Y125:$AB125,186)</x:f>
        <x:v>0</x:v>
      </x:c>
      <x:c r="AD125" s="9" t="n">
        <x:f>SUMIFS('350配方'!$M125:$P125,'350配方'!$Y125:$AB125,207)</x:f>
        <x:v>0</x:v>
      </x:c>
      <x:c r="AE125" s="9" t="n">
        <x:f>SUMIFS('350配方'!$M125:$P125,'350配方'!$Y125:$AB125,209)</x:f>
        <x:v>0</x:v>
      </x:c>
      <x:c r="AF125" s="9" t="n">
        <x:f>SUMIFS('350配方'!$M125:$P125,'350配方'!$Y125:$AB125,227)</x:f>
        <x:v>0</x:v>
      </x:c>
      <x:c r="AG125" s="9" t="n">
        <x:f>SUMIFS('350配方'!$M125:$P125,'350配方'!$Y125:$AB125,232)</x:f>
        <x:v>0</x:v>
      </x:c>
      <x:c r="AH125" s="9" t="n">
        <x:f>SUMIFS('350配方'!$M125:$P125,'350配方'!$Y125:$AB125,255)</x:f>
        <x:v>0</x:v>
      </x:c>
      <x:c r="AI125" s="9" t="n">
        <x:f>'浓度设置'!S6</x:f>
        <x:v>219125.9626344086</x:v>
      </x:c>
      <x:c r="AJ125" s="9" t="n">
        <x:f>'浓度设置'!S8</x:f>
        <x:v>92796.92267241378</x:v>
      </x:c>
      <x:c r="AK125" s="9" t="n">
        <x:f>'浓度设置'!S10</x:f>
        <x:v>30556.797802197798</x:v>
      </x:c>
      <x:c r="AL125" s="9" t="n">
        <x:f>'浓度设置'!S12</x:f>
        <x:v>1735.828970588235</x:v>
      </x:c>
      <x:c r="AM125" s="9" t="n">
        <x:f>'浓度设置'!S15</x:f>
        <x:v>7385.813644067793</x:v>
      </x:c>
      <x:c r="AN125" s="9" t="n">
        <x:f>'浓度设置'!S19</x:f>
        <x:v>27722.03097701148</x:v>
      </x:c>
      <x:c r="AO125" s="9" t="n">
        <x:f>'浓度设置'!S22</x:f>
        <x:v>44345.55047619048</x:v>
      </x:c>
      <x:c r="AP125" s="9" t="n">
        <x:f>'浓度设置'!S26</x:f>
        <x:v>153318.30499999996</x:v>
      </x:c>
      <x:c r="AQ125" s="9" t="n">
        <x:f>'浓度设置'!S29</x:f>
        <x:v>312.7970588235294</x:v>
      </x:c>
      <x:c r="AR125" s="9" t="n">
        <x:f>'浓度设置'!S30</x:f>
        <x:v>104175.5097553192</x:v>
      </x:c>
      <x:c r="AS125" s="9" t="n">
        <x:f>'浓度设置'!S35</x:f>
        <x:v>405974.90656785714</x:v>
      </x:c>
    </x:row>
    <x:row r="126" ht="24" customHeight="1">
      <x:c r="A126" s="3" t="str">
        <x:f>'350配方'!A126</x:f>
        <x:v>T121</x:v>
      </x:c>
      <x:c r="B126" s="3" t="str">
        <x:f>'350配方'!B126</x:f>
        <x:v>拟合</x:v>
      </x:c>
      <x:c r="C126" s="3" t="n">
        <x:f>IF(B126="拟合",1,0)</x:f>
        <x:v>1</x:v>
      </x:c>
      <x:c r="D126" s="3" t="n">
        <x:f>'350配方'!AC126</x:f>
        <x:v>4</x:v>
      </x:c>
      <x:c r="E126" s="9" t="n">
        <x:f>SUMIFS('350配方'!$M126:$P126,'350配方'!$Y126:$AB126,7)</x:f>
        <x:v>173</x:v>
      </x:c>
      <x:c r="F126" s="9" t="n">
        <x:f>SUMIFS('350配方'!$M126:$P126,'350配方'!$Y126:$AB126,11)</x:f>
        <x:v>0</x:v>
      </x:c>
      <x:c r="G126" s="9" t="n">
        <x:f>SUMIFS('350配方'!$M126:$P126,'350配方'!$Y126:$AB126,18)</x:f>
        <x:v>0</x:v>
      </x:c>
      <x:c r="H126" s="9" t="n">
        <x:f>SUMIFS('350配方'!$M126:$P126,'350配方'!$Y126:$AB126,32)</x:f>
        <x:v>0</x:v>
      </x:c>
      <x:c r="I126" s="9" t="n">
        <x:f>SUMIFS('350配方'!$M126:$P126,'350配方'!$Y126:$AB126,40)</x:f>
        <x:v>0</x:v>
      </x:c>
      <x:c r="J126" s="9" t="n">
        <x:f>SUMIFS('350配方'!$M126:$P126,'350配方'!$Y126:$AB126,52)</x:f>
        <x:v>0</x:v>
      </x:c>
      <x:c r="K126" s="9" t="n">
        <x:f>SUMIFS('350配方'!$M126:$P126,'350配方'!$Y126:$AB126,53)</x:f>
        <x:v>0</x:v>
      </x:c>
      <x:c r="L126" s="9" t="n">
        <x:f>SUMIFS('350配方'!$M126:$P126,'350配方'!$Y126:$AB126,56)</x:f>
        <x:v>1041.8500000000001</x:v>
      </x:c>
      <x:c r="M126" s="9" t="n">
        <x:f>SUMIFS('350配方'!$M126:$P126,'350配方'!$Y126:$AB126,58)</x:f>
        <x:v>5.06</x:v>
      </x:c>
      <x:c r="N126" s="9" t="n">
        <x:f>SUMIFS('350配方'!$M126:$P126,'350配方'!$Y126:$AB126,61)</x:f>
        <x:v>0</x:v>
      </x:c>
      <x:c r="O126" s="9" t="n">
        <x:f>SUMIFS('350配方'!$M126:$P126,'350配方'!$Y126:$AB126,69)</x:f>
        <x:v>0</x:v>
      </x:c>
      <x:c r="P126" s="9" t="n">
        <x:f>SUMIFS('350配方'!$M126:$P126,'350配方'!$Y126:$AB126,75)</x:f>
        <x:v>0</x:v>
      </x:c>
      <x:c r="Q126" s="9" t="n">
        <x:f>SUMIFS('350配方'!$M126:$P126,'350配方'!$Y126:$AB126,79)</x:f>
        <x:v>0</x:v>
      </x:c>
      <x:c r="R126" s="9" t="n">
        <x:f>SUMIFS('350配方'!$M126:$P126,'350配方'!$Y126:$AB126,90)</x:f>
        <x:v>0</x:v>
      </x:c>
      <x:c r="S126" s="9" t="n">
        <x:f>SUMIFS('350配方'!$M126:$P126,'350配方'!$Y126:$AB126,105)</x:f>
        <x:v>0</x:v>
      </x:c>
      <x:c r="T126" s="9" t="n">
        <x:f>SUMIFS('350配方'!$M126:$P126,'350配方'!$Y126:$AB126,111)</x:f>
        <x:v>0</x:v>
      </x:c>
      <x:c r="U126" s="9" t="n">
        <x:f>SUMIFS('350配方'!$M126:$P126,'350配方'!$Y126:$AB126,114)</x:f>
        <x:v>0</x:v>
      </x:c>
      <x:c r="V126" s="9" t="n">
        <x:f>SUMIFS('350配方'!$M126:$P126,'350配方'!$Y126:$AB126,115)</x:f>
        <x:v>0</x:v>
      </x:c>
      <x:c r="W126" s="9" t="n">
        <x:f>SUMIFS('350配方'!$M126:$P126,'350配方'!$Y126:$AB126,117)</x:f>
        <x:v>0</x:v>
      </x:c>
      <x:c r="X126" s="9" t="n">
        <x:f>SUMIFS('350配方'!$M126:$P126,'350配方'!$Y126:$AB126,126)</x:f>
        <x:v>0</x:v>
      </x:c>
      <x:c r="Y126" s="9" t="n">
        <x:f>SUMIFS('350配方'!$M126:$P126,'350配方'!$Y126:$AB126,136)</x:f>
        <x:v>228.58258901324922</x:v>
      </x:c>
      <x:c r="Z126" s="9" t="n">
        <x:f>SUMIFS('350配方'!$M126:$P126,'350配方'!$Y126:$AB126,141)</x:f>
        <x:v>0</x:v>
      </x:c>
      <x:c r="AA126" s="9" t="n">
        <x:f>SUMIFS('350配方'!$M126:$P126,'350配方'!$Y126:$AB126,152)</x:f>
        <x:v>0</x:v>
      </x:c>
      <x:c r="AB126" s="9" t="n">
        <x:f>SUMIFS('350配方'!$M126:$P126,'350配方'!$Y126:$AB126,165)</x:f>
        <x:v>0</x:v>
      </x:c>
      <x:c r="AC126" s="9" t="n">
        <x:f>SUMIFS('350配方'!$M126:$P126,'350配方'!$Y126:$AB126,186)</x:f>
        <x:v>0</x:v>
      </x:c>
      <x:c r="AD126" s="9" t="n">
        <x:f>SUMIFS('350配方'!$M126:$P126,'350配方'!$Y126:$AB126,207)</x:f>
        <x:v>0</x:v>
      </x:c>
      <x:c r="AE126" s="9" t="n">
        <x:f>SUMIFS('350配方'!$M126:$P126,'350配方'!$Y126:$AB126,209)</x:f>
        <x:v>0</x:v>
      </x:c>
      <x:c r="AF126" s="9" t="n">
        <x:f>SUMIFS('350配方'!$M126:$P126,'350配方'!$Y126:$AB126,227)</x:f>
        <x:v>0</x:v>
      </x:c>
      <x:c r="AG126" s="9" t="n">
        <x:f>SUMIFS('350配方'!$M126:$P126,'350配方'!$Y126:$AB126,232)</x:f>
        <x:v>0</x:v>
      </x:c>
      <x:c r="AH126" s="9" t="n">
        <x:f>SUMIFS('350配方'!$M126:$P126,'350配方'!$Y126:$AB126,255)</x:f>
        <x:v>0</x:v>
      </x:c>
      <x:c r="AI126" s="9" t="n">
        <x:f>'浓度设置'!S6</x:f>
        <x:v>219125.9626344086</x:v>
      </x:c>
      <x:c r="AJ126" s="9" t="n">
        <x:f>'浓度设置'!S8</x:f>
        <x:v>92796.92267241378</x:v>
      </x:c>
      <x:c r="AK126" s="9" t="n">
        <x:f>'浓度设置'!S10</x:f>
        <x:v>30556.797802197798</x:v>
      </x:c>
      <x:c r="AL126" s="9" t="n">
        <x:f>'浓度设置'!S12</x:f>
        <x:v>1735.828970588235</x:v>
      </x:c>
      <x:c r="AM126" s="9" t="n">
        <x:f>'浓度设置'!S15</x:f>
        <x:v>7385.813644067793</x:v>
      </x:c>
      <x:c r="AN126" s="9" t="n">
        <x:f>'浓度设置'!S19</x:f>
        <x:v>27722.03097701148</x:v>
      </x:c>
      <x:c r="AO126" s="9" t="n">
        <x:f>'浓度设置'!S22</x:f>
        <x:v>44345.55047619048</x:v>
      </x:c>
      <x:c r="AP126" s="9" t="n">
        <x:f>'浓度设置'!S26</x:f>
        <x:v>153318.30499999996</x:v>
      </x:c>
      <x:c r="AQ126" s="9" t="n">
        <x:f>'浓度设置'!S29</x:f>
        <x:v>312.7970588235294</x:v>
      </x:c>
      <x:c r="AR126" s="9" t="n">
        <x:f>'浓度设置'!S30</x:f>
        <x:v>104175.5097553192</x:v>
      </x:c>
      <x:c r="AS126" s="9" t="n">
        <x:f>'浓度设置'!S35</x:f>
        <x:v>405974.90656785714</x:v>
      </x:c>
    </x:row>
    <x:row r="127" ht="24" customHeight="1">
      <x:c r="A127" s="3" t="str">
        <x:f>'350配方'!A127</x:f>
        <x:v>T122</x:v>
      </x:c>
      <x:c r="B127" s="3" t="str">
        <x:f>'350配方'!B127</x:f>
        <x:v>拟合</x:v>
      </x:c>
      <x:c r="C127" s="3" t="n">
        <x:f>IF(B127="拟合",1,0)</x:f>
        <x:v>1</x:v>
      </x:c>
      <x:c r="D127" s="3" t="n">
        <x:f>'350配方'!AC127</x:f>
        <x:v>4</x:v>
      </x:c>
      <x:c r="E127" s="9" t="n">
        <x:f>SUMIFS('350配方'!$M127:$P127,'350配方'!$Y127:$AB127,7)</x:f>
        <x:v>0</x:v>
      </x:c>
      <x:c r="F127" s="9" t="n">
        <x:f>SUMIFS('350配方'!$M127:$P127,'350配方'!$Y127:$AB127,11)</x:f>
        <x:v>16.97</x:v>
      </x:c>
      <x:c r="G127" s="9" t="n">
        <x:f>SUMIFS('350配方'!$M127:$P127,'350配方'!$Y127:$AB127,18)</x:f>
        <x:v>0</x:v>
      </x:c>
      <x:c r="H127" s="9" t="n">
        <x:f>SUMIFS('350配方'!$M127:$P127,'350配方'!$Y127:$AB127,32)</x:f>
        <x:v>0</x:v>
      </x:c>
      <x:c r="I127" s="9" t="n">
        <x:f>SUMIFS('350配方'!$M127:$P127,'350配方'!$Y127:$AB127,40)</x:f>
        <x:v>1.875</x:v>
      </x:c>
      <x:c r="J127" s="9" t="n">
        <x:f>SUMIFS('350配方'!$M127:$P127,'350配方'!$Y127:$AB127,52)</x:f>
        <x:v>0</x:v>
      </x:c>
      <x:c r="K127" s="9" t="n">
        <x:f>SUMIFS('350配方'!$M127:$P127,'350配方'!$Y127:$AB127,53)</x:f>
        <x:v>0</x:v>
      </x:c>
      <x:c r="L127" s="9" t="n">
        <x:f>SUMIFS('350配方'!$M127:$P127,'350配方'!$Y127:$AB127,56)</x:f>
        <x:v>0</x:v>
      </x:c>
      <x:c r="M127" s="9" t="n">
        <x:f>SUMIFS('350配方'!$M127:$P127,'350配方'!$Y127:$AB127,58)</x:f>
        <x:v>0</x:v>
      </x:c>
      <x:c r="N127" s="9" t="n">
        <x:f>SUMIFS('350配方'!$M127:$P127,'350配方'!$Y127:$AB127,61)</x:f>
        <x:v>0</x:v>
      </x:c>
      <x:c r="O127" s="9" t="n">
        <x:f>SUMIFS('350配方'!$M127:$P127,'350配方'!$Y127:$AB127,69)</x:f>
        <x:v>0</x:v>
      </x:c>
      <x:c r="P127" s="9" t="n">
        <x:f>SUMIFS('350配方'!$M127:$P127,'350配方'!$Y127:$AB127,75)</x:f>
        <x:v>0</x:v>
      </x:c>
      <x:c r="Q127" s="9" t="n">
        <x:f>SUMIFS('350配方'!$M127:$P127,'350配方'!$Y127:$AB127,79)</x:f>
        <x:v>0</x:v>
      </x:c>
      <x:c r="R127" s="9" t="n">
        <x:f>SUMIFS('350配方'!$M127:$P127,'350配方'!$Y127:$AB127,90)</x:f>
        <x:v>0</x:v>
      </x:c>
      <x:c r="S127" s="9" t="n">
        <x:f>SUMIFS('350配方'!$M127:$P127,'350配方'!$Y127:$AB127,105)</x:f>
        <x:v>0</x:v>
      </x:c>
      <x:c r="T127" s="9" t="n">
        <x:f>SUMIFS('350配方'!$M127:$P127,'350配方'!$Y127:$AB127,111)</x:f>
        <x:v>0</x:v>
      </x:c>
      <x:c r="U127" s="9" t="n">
        <x:f>SUMIFS('350配方'!$M127:$P127,'350配方'!$Y127:$AB127,114)</x:f>
        <x:v>0</x:v>
      </x:c>
      <x:c r="V127" s="9" t="n">
        <x:f>SUMIFS('350配方'!$M127:$P127,'350配方'!$Y127:$AB127,115)</x:f>
        <x:v>0</x:v>
      </x:c>
      <x:c r="W127" s="9" t="n">
        <x:f>SUMIFS('350配方'!$M127:$P127,'350配方'!$Y127:$AB127,117)</x:f>
        <x:v>1.875</x:v>
      </x:c>
      <x:c r="X127" s="9" t="n">
        <x:f>SUMIFS('350配方'!$M127:$P127,'350配方'!$Y127:$AB127,126)</x:f>
        <x:v>0</x:v>
      </x:c>
      <x:c r="Y127" s="9" t="n">
        <x:f>SUMIFS('350配方'!$M127:$P127,'350配方'!$Y127:$AB127,136)</x:f>
        <x:v>0</x:v>
      </x:c>
      <x:c r="Z127" s="9" t="n">
        <x:f>SUMIFS('350配方'!$M127:$P127,'350配方'!$Y127:$AB127,141)</x:f>
        <x:v>0</x:v>
      </x:c>
      <x:c r="AA127" s="9" t="n">
        <x:f>SUMIFS('350配方'!$M127:$P127,'350配方'!$Y127:$AB127,152)</x:f>
        <x:v>0</x:v>
      </x:c>
      <x:c r="AB127" s="9" t="n">
        <x:f>SUMIFS('350配方'!$M127:$P127,'350配方'!$Y127:$AB127,165)</x:f>
        <x:v>0</x:v>
      </x:c>
      <x:c r="AC127" s="9" t="n">
        <x:f>SUMIFS('350配方'!$M127:$P127,'350配方'!$Y127:$AB127,186)</x:f>
        <x:v>1.56</x:v>
      </x:c>
      <x:c r="AD127" s="9" t="n">
        <x:f>SUMIFS('350配方'!$M127:$P127,'350配方'!$Y127:$AB127,207)</x:f>
        <x:v>0</x:v>
      </x:c>
      <x:c r="AE127" s="9" t="n">
        <x:f>SUMIFS('350配方'!$M127:$P127,'350配方'!$Y127:$AB127,209)</x:f>
        <x:v>0</x:v>
      </x:c>
      <x:c r="AF127" s="9" t="n">
        <x:f>SUMIFS('350配方'!$M127:$P127,'350配方'!$Y127:$AB127,227)</x:f>
        <x:v>0</x:v>
      </x:c>
      <x:c r="AG127" s="9" t="n">
        <x:f>SUMIFS('350配方'!$M127:$P127,'350配方'!$Y127:$AB127,232)</x:f>
        <x:v>0</x:v>
      </x:c>
      <x:c r="AH127" s="9" t="n">
        <x:f>SUMIFS('350配方'!$M127:$P127,'350配方'!$Y127:$AB127,255)</x:f>
        <x:v>0</x:v>
      </x:c>
      <x:c r="AI127" s="9" t="n">
        <x:f>'浓度设置'!S6</x:f>
        <x:v>219125.9626344086</x:v>
      </x:c>
      <x:c r="AJ127" s="9" t="n">
        <x:f>'浓度设置'!S8</x:f>
        <x:v>92796.92267241378</x:v>
      </x:c>
      <x:c r="AK127" s="9" t="n">
        <x:f>'浓度设置'!S10</x:f>
        <x:v>30556.797802197798</x:v>
      </x:c>
      <x:c r="AL127" s="9" t="n">
        <x:f>'浓度设置'!S12</x:f>
        <x:v>1735.828970588235</x:v>
      </x:c>
      <x:c r="AM127" s="9" t="n">
        <x:f>'浓度设置'!S15</x:f>
        <x:v>7385.813644067793</x:v>
      </x:c>
      <x:c r="AN127" s="9" t="n">
        <x:f>'浓度设置'!S19</x:f>
        <x:v>27722.03097701148</x:v>
      </x:c>
      <x:c r="AO127" s="9" t="n">
        <x:f>'浓度设置'!S22</x:f>
        <x:v>44345.55047619048</x:v>
      </x:c>
      <x:c r="AP127" s="9" t="n">
        <x:f>'浓度设置'!S26</x:f>
        <x:v>153318.30499999996</x:v>
      </x:c>
      <x:c r="AQ127" s="9" t="n">
        <x:f>'浓度设置'!S29</x:f>
        <x:v>312.7970588235294</x:v>
      </x:c>
      <x:c r="AR127" s="9" t="n">
        <x:f>'浓度设置'!S30</x:f>
        <x:v>104175.5097553192</x:v>
      </x:c>
      <x:c r="AS127" s="9" t="n">
        <x:f>'浓度设置'!S35</x:f>
        <x:v>405974.90656785714</x:v>
      </x:c>
    </x:row>
    <x:row r="128" ht="24" customHeight="1">
      <x:c r="A128" s="3" t="str">
        <x:f>'350配方'!A128</x:f>
        <x:v>T123</x:v>
      </x:c>
      <x:c r="B128" s="3" t="str">
        <x:f>'350配方'!B128</x:f>
        <x:v>拟合</x:v>
      </x:c>
      <x:c r="C128" s="3" t="n">
        <x:f>IF(B128="拟合",1,0)</x:f>
        <x:v>1</x:v>
      </x:c>
      <x:c r="D128" s="3" t="n">
        <x:f>'350配方'!AC128</x:f>
        <x:v>4</x:v>
      </x:c>
      <x:c r="E128" s="9" t="n">
        <x:f>SUMIFS('350配方'!$M128:$P128,'350配方'!$Y128:$AB128,7)</x:f>
        <x:v>0</x:v>
      </x:c>
      <x:c r="F128" s="9" t="n">
        <x:f>SUMIFS('350配方'!$M128:$P128,'350配方'!$Y128:$AB128,11)</x:f>
        <x:v>0</x:v>
      </x:c>
      <x:c r="G128" s="9" t="n">
        <x:f>SUMIFS('350配方'!$M128:$P128,'350配方'!$Y128:$AB128,18)</x:f>
        <x:v>0</x:v>
      </x:c>
      <x:c r="H128" s="9" t="n">
        <x:f>SUMIFS('350配方'!$M128:$P128,'350配方'!$Y128:$AB128,32)</x:f>
        <x:v>0</x:v>
      </x:c>
      <x:c r="I128" s="9" t="n">
        <x:f>SUMIFS('350配方'!$M128:$P128,'350配方'!$Y128:$AB128,40)</x:f>
        <x:v>0</x:v>
      </x:c>
      <x:c r="J128" s="9" t="n">
        <x:f>SUMIFS('350配方'!$M128:$P128,'350配方'!$Y128:$AB128,52)</x:f>
        <x:v>0</x:v>
      </x:c>
      <x:c r="K128" s="9" t="n">
        <x:f>SUMIFS('350配方'!$M128:$P128,'350配方'!$Y128:$AB128,53)</x:f>
        <x:v>0</x:v>
      </x:c>
      <x:c r="L128" s="9" t="n">
        <x:f>SUMIFS('350配方'!$M128:$P128,'350配方'!$Y128:$AB128,56)</x:f>
        <x:v>0</x:v>
      </x:c>
      <x:c r="M128" s="9" t="n">
        <x:f>SUMIFS('350配方'!$M128:$P128,'350配方'!$Y128:$AB128,58)</x:f>
        <x:v>0</x:v>
      </x:c>
      <x:c r="N128" s="9" t="n">
        <x:f>SUMIFS('350配方'!$M128:$P128,'350配方'!$Y128:$AB128,61)</x:f>
        <x:v>0</x:v>
      </x:c>
      <x:c r="O128" s="9" t="n">
        <x:f>SUMIFS('350配方'!$M128:$P128,'350配方'!$Y128:$AB128,69)</x:f>
        <x:v>0</x:v>
      </x:c>
      <x:c r="P128" s="9" t="n">
        <x:f>SUMIFS('350配方'!$M128:$P128,'350配方'!$Y128:$AB128,75)</x:f>
        <x:v>0</x:v>
      </x:c>
      <x:c r="Q128" s="9" t="n">
        <x:f>SUMIFS('350配方'!$M128:$P128,'350配方'!$Y128:$AB128,79)</x:f>
        <x:v>56115</x:v>
      </x:c>
      <x:c r="R128" s="9" t="n">
        <x:f>SUMIFS('350配方'!$M128:$P128,'350配方'!$Y128:$AB128,90)</x:f>
        <x:v>0</x:v>
      </x:c>
      <x:c r="S128" s="9" t="n">
        <x:f>SUMIFS('350配方'!$M128:$P128,'350配方'!$Y128:$AB128,105)</x:f>
        <x:v>0</x:v>
      </x:c>
      <x:c r="T128" s="9" t="n">
        <x:f>SUMIFS('350配方'!$M128:$P128,'350配方'!$Y128:$AB128,111)</x:f>
        <x:v>0</x:v>
      </x:c>
      <x:c r="U128" s="9" t="n">
        <x:f>SUMIFS('350配方'!$M128:$P128,'350配方'!$Y128:$AB128,114)</x:f>
        <x:v>0</x:v>
      </x:c>
      <x:c r="V128" s="9" t="n">
        <x:f>SUMIFS('350配方'!$M128:$P128,'350配方'!$Y128:$AB128,115)</x:f>
        <x:v>0</x:v>
      </x:c>
      <x:c r="W128" s="9" t="n">
        <x:f>SUMIFS('350配方'!$M128:$P128,'350配方'!$Y128:$AB128,117)</x:f>
        <x:v>1.875</x:v>
      </x:c>
      <x:c r="X128" s="9" t="n">
        <x:f>SUMIFS('350配方'!$M128:$P128,'350配方'!$Y128:$AB128,126)</x:f>
        <x:v>0</x:v>
      </x:c>
      <x:c r="Y128" s="9" t="n">
        <x:f>SUMIFS('350配方'!$M128:$P128,'350配方'!$Y128:$AB128,136)</x:f>
        <x:v>0</x:v>
      </x:c>
      <x:c r="Z128" s="9" t="n">
        <x:f>SUMIFS('350配方'!$M128:$P128,'350配方'!$Y128:$AB128,141)</x:f>
        <x:v>1039840</x:v>
      </x:c>
      <x:c r="AA128" s="9" t="n">
        <x:f>SUMIFS('350配方'!$M128:$P128,'350配方'!$Y128:$AB128,152)</x:f>
        <x:v>0</x:v>
      </x:c>
      <x:c r="AB128" s="9" t="n">
        <x:f>SUMIFS('350配方'!$M128:$P128,'350配方'!$Y128:$AB128,165)</x:f>
        <x:v>0</x:v>
      </x:c>
      <x:c r="AC128" s="9" t="n">
        <x:f>SUMIFS('350配方'!$M128:$P128,'350配方'!$Y128:$AB128,186)</x:f>
        <x:v>0</x:v>
      </x:c>
      <x:c r="AD128" s="9" t="n">
        <x:f>SUMIFS('350配方'!$M128:$P128,'350配方'!$Y128:$AB128,207)</x:f>
        <x:v>0</x:v>
      </x:c>
      <x:c r="AE128" s="9" t="n">
        <x:f>SUMIFS('350配方'!$M128:$P128,'350配方'!$Y128:$AB128,209)</x:f>
        <x:v>0</x:v>
      </x:c>
      <x:c r="AF128" s="9" t="n">
        <x:f>SUMIFS('350配方'!$M128:$P128,'350配方'!$Y128:$AB128,227)</x:f>
        <x:v>695.986709643223</x:v>
      </x:c>
      <x:c r="AG128" s="9" t="n">
        <x:f>SUMIFS('350配方'!$M128:$P128,'350配方'!$Y128:$AB128,232)</x:f>
        <x:v>0</x:v>
      </x:c>
      <x:c r="AH128" s="9" t="n">
        <x:f>SUMIFS('350配方'!$M128:$P128,'350配方'!$Y128:$AB128,255)</x:f>
        <x:v>0</x:v>
      </x:c>
      <x:c r="AI128" s="9" t="n">
        <x:f>'浓度设置'!S6</x:f>
        <x:v>219125.9626344086</x:v>
      </x:c>
      <x:c r="AJ128" s="9" t="n">
        <x:f>'浓度设置'!S8</x:f>
        <x:v>92796.92267241378</x:v>
      </x:c>
      <x:c r="AK128" s="9" t="n">
        <x:f>'浓度设置'!S10</x:f>
        <x:v>30556.797802197798</x:v>
      </x:c>
      <x:c r="AL128" s="9" t="n">
        <x:f>'浓度设置'!S12</x:f>
        <x:v>1735.828970588235</x:v>
      </x:c>
      <x:c r="AM128" s="9" t="n">
        <x:f>'浓度设置'!S15</x:f>
        <x:v>7385.813644067793</x:v>
      </x:c>
      <x:c r="AN128" s="9" t="n">
        <x:f>'浓度设置'!S19</x:f>
        <x:v>27722.03097701148</x:v>
      </x:c>
      <x:c r="AO128" s="9" t="n">
        <x:f>'浓度设置'!S22</x:f>
        <x:v>44345.55047619048</x:v>
      </x:c>
      <x:c r="AP128" s="9" t="n">
        <x:f>'浓度设置'!S26</x:f>
        <x:v>153318.30499999996</x:v>
      </x:c>
      <x:c r="AQ128" s="9" t="n">
        <x:f>'浓度设置'!S29</x:f>
        <x:v>312.7970588235294</x:v>
      </x:c>
      <x:c r="AR128" s="9" t="n">
        <x:f>'浓度设置'!S30</x:f>
        <x:v>104175.5097553192</x:v>
      </x:c>
      <x:c r="AS128" s="9" t="n">
        <x:f>'浓度设置'!S35</x:f>
        <x:v>405974.90656785714</x:v>
      </x:c>
    </x:row>
    <x:row r="129" ht="24" customHeight="1">
      <x:c r="A129" s="3" t="str">
        <x:f>'350配方'!A129</x:f>
        <x:v>T124</x:v>
      </x:c>
      <x:c r="B129" s="3" t="str">
        <x:f>'350配方'!B129</x:f>
        <x:v>拟合</x:v>
      </x:c>
      <x:c r="C129" s="3" t="n">
        <x:f>IF(B129="拟合",1,0)</x:f>
        <x:v>1</x:v>
      </x:c>
      <x:c r="D129" s="3" t="n">
        <x:f>'350配方'!AC129</x:f>
        <x:v>4</x:v>
      </x:c>
      <x:c r="E129" s="9" t="n">
        <x:f>SUMIFS('350配方'!$M129:$P129,'350配方'!$Y129:$AB129,7)</x:f>
        <x:v>0</x:v>
      </x:c>
      <x:c r="F129" s="9" t="n">
        <x:f>SUMIFS('350配方'!$M129:$P129,'350配方'!$Y129:$AB129,11)</x:f>
        <x:v>0</x:v>
      </x:c>
      <x:c r="G129" s="9" t="n">
        <x:f>SUMIFS('350配方'!$M129:$P129,'350配方'!$Y129:$AB129,18)</x:f>
        <x:v>0</x:v>
      </x:c>
      <x:c r="H129" s="9" t="n">
        <x:f>SUMIFS('350配方'!$M129:$P129,'350配方'!$Y129:$AB129,32)</x:f>
        <x:v>0</x:v>
      </x:c>
      <x:c r="I129" s="9" t="n">
        <x:f>SUMIFS('350配方'!$M129:$P129,'350配方'!$Y129:$AB129,40)</x:f>
        <x:v>0</x:v>
      </x:c>
      <x:c r="J129" s="9" t="n">
        <x:f>SUMIFS('350配方'!$M129:$P129,'350配方'!$Y129:$AB129,52)</x:f>
        <x:v>0</x:v>
      </x:c>
      <x:c r="K129" s="9" t="n">
        <x:f>SUMIFS('350配方'!$M129:$P129,'350配方'!$Y129:$AB129,53)</x:f>
        <x:v>0</x:v>
      </x:c>
      <x:c r="L129" s="9" t="n">
        <x:f>SUMIFS('350配方'!$M129:$P129,'350配方'!$Y129:$AB129,56)</x:f>
        <x:v>1041.8500000000001</x:v>
      </x:c>
      <x:c r="M129" s="9" t="n">
        <x:f>SUMIFS('350配方'!$M129:$P129,'350配方'!$Y129:$AB129,58)</x:f>
        <x:v>0</x:v>
      </x:c>
      <x:c r="N129" s="9" t="n">
        <x:f>SUMIFS('350配方'!$M129:$P129,'350配方'!$Y129:$AB129,61)</x:f>
        <x:v>0</x:v>
      </x:c>
      <x:c r="O129" s="9" t="n">
        <x:f>SUMIFS('350配方'!$M129:$P129,'350配方'!$Y129:$AB129,69)</x:f>
        <x:v>0</x:v>
      </x:c>
      <x:c r="P129" s="9" t="n">
        <x:f>SUMIFS('350配方'!$M129:$P129,'350配方'!$Y129:$AB129,75)</x:f>
        <x:v>0</x:v>
      </x:c>
      <x:c r="Q129" s="9" t="n">
        <x:f>SUMIFS('350配方'!$M129:$P129,'350配方'!$Y129:$AB129,79)</x:f>
        <x:v>0</x:v>
      </x:c>
      <x:c r="R129" s="9" t="n">
        <x:f>SUMIFS('350配方'!$M129:$P129,'350配方'!$Y129:$AB129,90)</x:f>
        <x:v>0</x:v>
      </x:c>
      <x:c r="S129" s="9" t="n">
        <x:f>SUMIFS('350配方'!$M129:$P129,'350配方'!$Y129:$AB129,105)</x:f>
        <x:v>0</x:v>
      </x:c>
      <x:c r="T129" s="9" t="n">
        <x:f>SUMIFS('350配方'!$M129:$P129,'350配方'!$Y129:$AB129,111)</x:f>
        <x:v>0</x:v>
      </x:c>
      <x:c r="U129" s="9" t="n">
        <x:f>SUMIFS('350配方'!$M129:$P129,'350配方'!$Y129:$AB129,114)</x:f>
        <x:v>0</x:v>
      </x:c>
      <x:c r="V129" s="9" t="n">
        <x:f>SUMIFS('350配方'!$M129:$P129,'350配方'!$Y129:$AB129,115)</x:f>
        <x:v>6516</x:v>
      </x:c>
      <x:c r="W129" s="9" t="n">
        <x:f>SUMIFS('350配方'!$M129:$P129,'350配方'!$Y129:$AB129,117)</x:f>
        <x:v>0</x:v>
      </x:c>
      <x:c r="X129" s="9" t="n">
        <x:f>SUMIFS('350配方'!$M129:$P129,'350配方'!$Y129:$AB129,126)</x:f>
        <x:v>0</x:v>
      </x:c>
      <x:c r="Y129" s="9" t="n">
        <x:f>SUMIFS('350配方'!$M129:$P129,'350配方'!$Y129:$AB129,136)</x:f>
        <x:v>0</x:v>
      </x:c>
      <x:c r="Z129" s="9" t="n">
        <x:f>SUMIFS('350配方'!$M129:$P129,'350配方'!$Y129:$AB129,141)</x:f>
        <x:v>0</x:v>
      </x:c>
      <x:c r="AA129" s="9" t="n">
        <x:f>SUMIFS('350配方'!$M129:$P129,'350配方'!$Y129:$AB129,152)</x:f>
        <x:v>227200</x:v>
      </x:c>
      <x:c r="AB129" s="9" t="n">
        <x:f>SUMIFS('350配方'!$M129:$P129,'350配方'!$Y129:$AB129,165)</x:f>
        <x:v>86300</x:v>
      </x:c>
      <x:c r="AC129" s="9" t="n">
        <x:f>SUMIFS('350配方'!$M129:$P129,'350配方'!$Y129:$AB129,186)</x:f>
        <x:v>0</x:v>
      </x:c>
      <x:c r="AD129" s="9" t="n">
        <x:f>SUMIFS('350配方'!$M129:$P129,'350配方'!$Y129:$AB129,207)</x:f>
        <x:v>0</x:v>
      </x:c>
      <x:c r="AE129" s="9" t="n">
        <x:f>SUMIFS('350配方'!$M129:$P129,'350配方'!$Y129:$AB129,209)</x:f>
        <x:v>0</x:v>
      </x:c>
      <x:c r="AF129" s="9" t="n">
        <x:f>SUMIFS('350配方'!$M129:$P129,'350配方'!$Y129:$AB129,227)</x:f>
        <x:v>0</x:v>
      </x:c>
      <x:c r="AG129" s="9" t="n">
        <x:f>SUMIFS('350配方'!$M129:$P129,'350配方'!$Y129:$AB129,232)</x:f>
        <x:v>0</x:v>
      </x:c>
      <x:c r="AH129" s="9" t="n">
        <x:f>SUMIFS('350配方'!$M129:$P129,'350配方'!$Y129:$AB129,255)</x:f>
        <x:v>0</x:v>
      </x:c>
      <x:c r="AI129" s="9" t="n">
        <x:f>'浓度设置'!S6</x:f>
        <x:v>219125.9626344086</x:v>
      </x:c>
      <x:c r="AJ129" s="9" t="n">
        <x:f>'浓度设置'!S8</x:f>
        <x:v>92796.92267241378</x:v>
      </x:c>
      <x:c r="AK129" s="9" t="n">
        <x:f>'浓度设置'!S10</x:f>
        <x:v>30556.797802197798</x:v>
      </x:c>
      <x:c r="AL129" s="9" t="n">
        <x:f>'浓度设置'!S12</x:f>
        <x:v>1735.828970588235</x:v>
      </x:c>
      <x:c r="AM129" s="9" t="n">
        <x:f>'浓度设置'!S15</x:f>
        <x:v>7385.813644067793</x:v>
      </x:c>
      <x:c r="AN129" s="9" t="n">
        <x:f>'浓度设置'!S19</x:f>
        <x:v>27722.03097701148</x:v>
      </x:c>
      <x:c r="AO129" s="9" t="n">
        <x:f>'浓度设置'!S22</x:f>
        <x:v>44345.55047619048</x:v>
      </x:c>
      <x:c r="AP129" s="9" t="n">
        <x:f>'浓度设置'!S26</x:f>
        <x:v>153318.30499999996</x:v>
      </x:c>
      <x:c r="AQ129" s="9" t="n">
        <x:f>'浓度设置'!S29</x:f>
        <x:v>312.7970588235294</x:v>
      </x:c>
      <x:c r="AR129" s="9" t="n">
        <x:f>'浓度设置'!S30</x:f>
        <x:v>104175.5097553192</x:v>
      </x:c>
      <x:c r="AS129" s="9" t="n">
        <x:f>'浓度设置'!S35</x:f>
        <x:v>405974.90656785714</x:v>
      </x:c>
    </x:row>
    <x:row r="130" ht="24" customHeight="1">
      <x:c r="A130" s="3" t="str">
        <x:f>'350配方'!A130</x:f>
        <x:v>T125</x:v>
      </x:c>
      <x:c r="B130" s="3" t="str">
        <x:f>'350配方'!B130</x:f>
        <x:v>拟合</x:v>
      </x:c>
      <x:c r="C130" s="3" t="n">
        <x:f>IF(B130="拟合",1,0)</x:f>
        <x:v>1</x:v>
      </x:c>
      <x:c r="D130" s="3" t="n">
        <x:f>'350配方'!AC130</x:f>
        <x:v>4</x:v>
      </x:c>
      <x:c r="E130" s="9" t="n">
        <x:f>SUMIFS('350配方'!$M130:$P130,'350配方'!$Y130:$AB130,7)</x:f>
        <x:v>3075.94</x:v>
      </x:c>
      <x:c r="F130" s="9" t="n">
        <x:f>SUMIFS('350配方'!$M130:$P130,'350配方'!$Y130:$AB130,11)</x:f>
        <x:v>0</x:v>
      </x:c>
      <x:c r="G130" s="9" t="n">
        <x:f>SUMIFS('350配方'!$M130:$P130,'350配方'!$Y130:$AB130,18)</x:f>
        <x:v>0</x:v>
      </x:c>
      <x:c r="H130" s="9" t="n">
        <x:f>SUMIFS('350配方'!$M130:$P130,'350配方'!$Y130:$AB130,32)</x:f>
        <x:v>37489</x:v>
      </x:c>
      <x:c r="I130" s="9" t="n">
        <x:f>SUMIFS('350配方'!$M130:$P130,'350配方'!$Y130:$AB130,40)</x:f>
        <x:v>0</x:v>
      </x:c>
      <x:c r="J130" s="9" t="n">
        <x:f>SUMIFS('350配方'!$M130:$P130,'350配方'!$Y130:$AB130,52)</x:f>
        <x:v>0</x:v>
      </x:c>
      <x:c r="K130" s="9" t="n">
        <x:f>SUMIFS('350配方'!$M130:$P130,'350配方'!$Y130:$AB130,53)</x:f>
        <x:v>0</x:v>
      </x:c>
      <x:c r="L130" s="9" t="n">
        <x:f>SUMIFS('350配方'!$M130:$P130,'350配方'!$Y130:$AB130,56)</x:f>
        <x:v>0</x:v>
      </x:c>
      <x:c r="M130" s="9" t="n">
        <x:f>SUMIFS('350配方'!$M130:$P130,'350配方'!$Y130:$AB130,58)</x:f>
        <x:v>0</x:v>
      </x:c>
      <x:c r="N130" s="9" t="n">
        <x:f>SUMIFS('350配方'!$M130:$P130,'350配方'!$Y130:$AB130,61)</x:f>
        <x:v>0</x:v>
      </x:c>
      <x:c r="O130" s="9" t="n">
        <x:f>SUMIFS('350配方'!$M130:$P130,'350配方'!$Y130:$AB130,69)</x:f>
        <x:v>0</x:v>
      </x:c>
      <x:c r="P130" s="9" t="n">
        <x:f>SUMIFS('350配方'!$M130:$P130,'350配方'!$Y130:$AB130,75)</x:f>
        <x:v>0</x:v>
      </x:c>
      <x:c r="Q130" s="9" t="n">
        <x:f>SUMIFS('350配方'!$M130:$P130,'350配方'!$Y130:$AB130,79)</x:f>
        <x:v>0</x:v>
      </x:c>
      <x:c r="R130" s="9" t="n">
        <x:f>SUMIFS('350配方'!$M130:$P130,'350配方'!$Y130:$AB130,90)</x:f>
        <x:v>0</x:v>
      </x:c>
      <x:c r="S130" s="9" t="n">
        <x:f>SUMIFS('350配方'!$M130:$P130,'350配方'!$Y130:$AB130,105)</x:f>
        <x:v>0.05</x:v>
      </x:c>
      <x:c r="T130" s="9" t="n">
        <x:f>SUMIFS('350配方'!$M130:$P130,'350配方'!$Y130:$AB130,111)</x:f>
        <x:v>0</x:v>
      </x:c>
      <x:c r="U130" s="9" t="n">
        <x:f>SUMIFS('350配方'!$M130:$P130,'350配方'!$Y130:$AB130,114)</x:f>
        <x:v>0</x:v>
      </x:c>
      <x:c r="V130" s="9" t="n">
        <x:f>SUMIFS('350配方'!$M130:$P130,'350配方'!$Y130:$AB130,115)</x:f>
        <x:v>0</x:v>
      </x:c>
      <x:c r="W130" s="9" t="n">
        <x:f>SUMIFS('350配方'!$M130:$P130,'350配方'!$Y130:$AB130,117)</x:f>
        <x:v>0</x:v>
      </x:c>
      <x:c r="X130" s="9" t="n">
        <x:f>SUMIFS('350配方'!$M130:$P130,'350配方'!$Y130:$AB130,126)</x:f>
        <x:v>0</x:v>
      </x:c>
      <x:c r="Y130" s="9" t="n">
        <x:f>SUMIFS('350配方'!$M130:$P130,'350配方'!$Y130:$AB130,136)</x:f>
        <x:v>0</x:v>
      </x:c>
      <x:c r="Z130" s="9" t="n">
        <x:f>SUMIFS('350配方'!$M130:$P130,'350配方'!$Y130:$AB130,141)</x:f>
        <x:v>1039840</x:v>
      </x:c>
      <x:c r="AA130" s="9" t="n">
        <x:f>SUMIFS('350配方'!$M130:$P130,'350配方'!$Y130:$AB130,152)</x:f>
        <x:v>0</x:v>
      </x:c>
      <x:c r="AB130" s="9" t="n">
        <x:f>SUMIFS('350配方'!$M130:$P130,'350配方'!$Y130:$AB130,165)</x:f>
        <x:v>0</x:v>
      </x:c>
      <x:c r="AC130" s="9" t="n">
        <x:f>SUMIFS('350配方'!$M130:$P130,'350配方'!$Y130:$AB130,186)</x:f>
        <x:v>0</x:v>
      </x:c>
      <x:c r="AD130" s="9" t="n">
        <x:f>SUMIFS('350配方'!$M130:$P130,'350配方'!$Y130:$AB130,207)</x:f>
        <x:v>0</x:v>
      </x:c>
      <x:c r="AE130" s="9" t="n">
        <x:f>SUMIFS('350配方'!$M130:$P130,'350配方'!$Y130:$AB130,209)</x:f>
        <x:v>0</x:v>
      </x:c>
      <x:c r="AF130" s="9" t="n">
        <x:f>SUMIFS('350配方'!$M130:$P130,'350配方'!$Y130:$AB130,227)</x:f>
        <x:v>0</x:v>
      </x:c>
      <x:c r="AG130" s="9" t="n">
        <x:f>SUMIFS('350配方'!$M130:$P130,'350配方'!$Y130:$AB130,232)</x:f>
        <x:v>0</x:v>
      </x:c>
      <x:c r="AH130" s="9" t="n">
        <x:f>SUMIFS('350配方'!$M130:$P130,'350配方'!$Y130:$AB130,255)</x:f>
        <x:v>0</x:v>
      </x:c>
      <x:c r="AI130" s="9" t="n">
        <x:f>'浓度设置'!S6</x:f>
        <x:v>219125.9626344086</x:v>
      </x:c>
      <x:c r="AJ130" s="9" t="n">
        <x:f>'浓度设置'!S8</x:f>
        <x:v>92796.92267241378</x:v>
      </x:c>
      <x:c r="AK130" s="9" t="n">
        <x:f>'浓度设置'!S10</x:f>
        <x:v>30556.797802197798</x:v>
      </x:c>
      <x:c r="AL130" s="9" t="n">
        <x:f>'浓度设置'!S12</x:f>
        <x:v>1735.828970588235</x:v>
      </x:c>
      <x:c r="AM130" s="9" t="n">
        <x:f>'浓度设置'!S15</x:f>
        <x:v>7385.813644067793</x:v>
      </x:c>
      <x:c r="AN130" s="9" t="n">
        <x:f>'浓度设置'!S19</x:f>
        <x:v>27722.03097701148</x:v>
      </x:c>
      <x:c r="AO130" s="9" t="n">
        <x:f>'浓度设置'!S22</x:f>
        <x:v>44345.55047619048</x:v>
      </x:c>
      <x:c r="AP130" s="9" t="n">
        <x:f>'浓度设置'!S26</x:f>
        <x:v>153318.30499999996</x:v>
      </x:c>
      <x:c r="AQ130" s="9" t="n">
        <x:f>'浓度设置'!S29</x:f>
        <x:v>312.7970588235294</x:v>
      </x:c>
      <x:c r="AR130" s="9" t="n">
        <x:f>'浓度设置'!S30</x:f>
        <x:v>104175.5097553192</x:v>
      </x:c>
      <x:c r="AS130" s="9" t="n">
        <x:f>'浓度设置'!S35</x:f>
        <x:v>405974.90656785714</x:v>
      </x:c>
    </x:row>
    <x:row r="131" ht="24" customHeight="1">
      <x:c r="A131" s="3" t="str">
        <x:f>'350配方'!A131</x:f>
        <x:v>T126</x:v>
      </x:c>
      <x:c r="B131" s="3" t="str">
        <x:f>'350配方'!B131</x:f>
        <x:v>拟合</x:v>
      </x:c>
      <x:c r="C131" s="3" t="n">
        <x:f>IF(B131="拟合",1,0)</x:f>
        <x:v>1</x:v>
      </x:c>
      <x:c r="D131" s="3" t="n">
        <x:f>'350配方'!AC131</x:f>
        <x:v>4</x:v>
      </x:c>
      <x:c r="E131" s="9" t="n">
        <x:f>SUMIFS('350配方'!$M131:$P131,'350配方'!$Y131:$AB131,7)</x:f>
        <x:v>0</x:v>
      </x:c>
      <x:c r="F131" s="9" t="n">
        <x:f>SUMIFS('350配方'!$M131:$P131,'350配方'!$Y131:$AB131,11)</x:f>
        <x:v>4198.825192836682</x:v>
      </x:c>
      <x:c r="G131" s="9" t="n">
        <x:f>SUMIFS('350配方'!$M131:$P131,'350配方'!$Y131:$AB131,18)</x:f>
        <x:v>0</x:v>
      </x:c>
      <x:c r="H131" s="9" t="n">
        <x:f>SUMIFS('350配方'!$M131:$P131,'350配方'!$Y131:$AB131,32)</x:f>
        <x:v>0</x:v>
      </x:c>
      <x:c r="I131" s="9" t="n">
        <x:f>SUMIFS('350配方'!$M131:$P131,'350配方'!$Y131:$AB131,40)</x:f>
        <x:v>0</x:v>
      </x:c>
      <x:c r="J131" s="9" t="n">
        <x:f>SUMIFS('350配方'!$M131:$P131,'350配方'!$Y131:$AB131,52)</x:f>
        <x:v>0</x:v>
      </x:c>
      <x:c r="K131" s="9" t="n">
        <x:f>SUMIFS('350配方'!$M131:$P131,'350配方'!$Y131:$AB131,53)</x:f>
        <x:v>0</x:v>
      </x:c>
      <x:c r="L131" s="9" t="n">
        <x:f>SUMIFS('350配方'!$M131:$P131,'350配方'!$Y131:$AB131,56)</x:f>
        <x:v>0</x:v>
      </x:c>
      <x:c r="M131" s="9" t="n">
        <x:f>SUMIFS('350配方'!$M131:$P131,'350配方'!$Y131:$AB131,58)</x:f>
        <x:v>0</x:v>
      </x:c>
      <x:c r="N131" s="9" t="n">
        <x:f>SUMIFS('350配方'!$M131:$P131,'350配方'!$Y131:$AB131,61)</x:f>
        <x:v>0</x:v>
      </x:c>
      <x:c r="O131" s="9" t="n">
        <x:f>SUMIFS('350配方'!$M131:$P131,'350配方'!$Y131:$AB131,69)</x:f>
        <x:v>0</x:v>
      </x:c>
      <x:c r="P131" s="9" t="n">
        <x:f>SUMIFS('350配方'!$M131:$P131,'350配方'!$Y131:$AB131,75)</x:f>
        <x:v>0</x:v>
      </x:c>
      <x:c r="Q131" s="9" t="n">
        <x:f>SUMIFS('350配方'!$M131:$P131,'350配方'!$Y131:$AB131,79)</x:f>
        <x:v>56115</x:v>
      </x:c>
      <x:c r="R131" s="9" t="n">
        <x:f>SUMIFS('350配方'!$M131:$P131,'350配方'!$Y131:$AB131,90)</x:f>
        <x:v>0</x:v>
      </x:c>
      <x:c r="S131" s="9" t="n">
        <x:f>SUMIFS('350配方'!$M131:$P131,'350配方'!$Y131:$AB131,105)</x:f>
        <x:v>0</x:v>
      </x:c>
      <x:c r="T131" s="9" t="n">
        <x:f>SUMIFS('350配方'!$M131:$P131,'350配方'!$Y131:$AB131,111)</x:f>
        <x:v>0</x:v>
      </x:c>
      <x:c r="U131" s="9" t="n">
        <x:f>SUMIFS('350配方'!$M131:$P131,'350配方'!$Y131:$AB131,114)</x:f>
        <x:v>47100</x:v>
      </x:c>
      <x:c r="V131" s="9" t="n">
        <x:f>SUMIFS('350配方'!$M131:$P131,'350配方'!$Y131:$AB131,115)</x:f>
        <x:v>0</x:v>
      </x:c>
      <x:c r="W131" s="9" t="n">
        <x:f>SUMIFS('350配方'!$M131:$P131,'350配方'!$Y131:$AB131,117)</x:f>
        <x:v>0</x:v>
      </x:c>
      <x:c r="X131" s="9" t="n">
        <x:f>SUMIFS('350配方'!$M131:$P131,'350配方'!$Y131:$AB131,126)</x:f>
        <x:v>0</x:v>
      </x:c>
      <x:c r="Y131" s="9" t="n">
        <x:f>SUMIFS('350配方'!$M131:$P131,'350配方'!$Y131:$AB131,136)</x:f>
        <x:v>0</x:v>
      </x:c>
      <x:c r="Z131" s="9" t="n">
        <x:f>SUMIFS('350配方'!$M131:$P131,'350配方'!$Y131:$AB131,141)</x:f>
        <x:v>0</x:v>
      </x:c>
      <x:c r="AA131" s="9" t="n">
        <x:f>SUMIFS('350配方'!$M131:$P131,'350配方'!$Y131:$AB131,152)</x:f>
        <x:v>0</x:v>
      </x:c>
      <x:c r="AB131" s="9" t="n">
        <x:f>SUMIFS('350配方'!$M131:$P131,'350配方'!$Y131:$AB131,165)</x:f>
        <x:v>823.735</x:v>
      </x:c>
      <x:c r="AC131" s="9" t="n">
        <x:f>SUMIFS('350配方'!$M131:$P131,'350配方'!$Y131:$AB131,186)</x:f>
        <x:v>0</x:v>
      </x:c>
      <x:c r="AD131" s="9" t="n">
        <x:f>SUMIFS('350配方'!$M131:$P131,'350配方'!$Y131:$AB131,207)</x:f>
        <x:v>0</x:v>
      </x:c>
      <x:c r="AE131" s="9" t="n">
        <x:f>SUMIFS('350配方'!$M131:$P131,'350配方'!$Y131:$AB131,209)</x:f>
        <x:v>0</x:v>
      </x:c>
      <x:c r="AF131" s="9" t="n">
        <x:f>SUMIFS('350配方'!$M131:$P131,'350配方'!$Y131:$AB131,227)</x:f>
        <x:v>0</x:v>
      </x:c>
      <x:c r="AG131" s="9" t="n">
        <x:f>SUMIFS('350配方'!$M131:$P131,'350配方'!$Y131:$AB131,232)</x:f>
        <x:v>0</x:v>
      </x:c>
      <x:c r="AH131" s="9" t="n">
        <x:f>SUMIFS('350配方'!$M131:$P131,'350配方'!$Y131:$AB131,255)</x:f>
        <x:v>0</x:v>
      </x:c>
      <x:c r="AI131" s="9" t="n">
        <x:f>'浓度设置'!S6</x:f>
        <x:v>219125.9626344086</x:v>
      </x:c>
      <x:c r="AJ131" s="9" t="n">
        <x:f>'浓度设置'!S8</x:f>
        <x:v>92796.92267241378</x:v>
      </x:c>
      <x:c r="AK131" s="9" t="n">
        <x:f>'浓度设置'!S10</x:f>
        <x:v>30556.797802197798</x:v>
      </x:c>
      <x:c r="AL131" s="9" t="n">
        <x:f>'浓度设置'!S12</x:f>
        <x:v>1735.828970588235</x:v>
      </x:c>
      <x:c r="AM131" s="9" t="n">
        <x:f>'浓度设置'!S15</x:f>
        <x:v>7385.813644067793</x:v>
      </x:c>
      <x:c r="AN131" s="9" t="n">
        <x:f>'浓度设置'!S19</x:f>
        <x:v>27722.03097701148</x:v>
      </x:c>
      <x:c r="AO131" s="9" t="n">
        <x:f>'浓度设置'!S22</x:f>
        <x:v>44345.55047619048</x:v>
      </x:c>
      <x:c r="AP131" s="9" t="n">
        <x:f>'浓度设置'!S26</x:f>
        <x:v>153318.30499999996</x:v>
      </x:c>
      <x:c r="AQ131" s="9" t="n">
        <x:f>'浓度设置'!S29</x:f>
        <x:v>312.7970588235294</x:v>
      </x:c>
      <x:c r="AR131" s="9" t="n">
        <x:f>'浓度设置'!S30</x:f>
        <x:v>104175.5097553192</x:v>
      </x:c>
      <x:c r="AS131" s="9" t="n">
        <x:f>'浓度设置'!S35</x:f>
        <x:v>405974.90656785714</x:v>
      </x:c>
    </x:row>
    <x:row r="132" ht="24" customHeight="1">
      <x:c r="A132" s="3" t="str">
        <x:f>'350配方'!A132</x:f>
        <x:v>T127</x:v>
      </x:c>
      <x:c r="B132" s="3" t="str">
        <x:f>'350配方'!B132</x:f>
        <x:v>拟合</x:v>
      </x:c>
      <x:c r="C132" s="3" t="n">
        <x:f>IF(B132="拟合",1,0)</x:f>
        <x:v>1</x:v>
      </x:c>
      <x:c r="D132" s="3" t="n">
        <x:f>'350配方'!AC132</x:f>
        <x:v>4</x:v>
      </x:c>
      <x:c r="E132" s="9" t="n">
        <x:f>SUMIFS('350配方'!$M132:$P132,'350配方'!$Y132:$AB132,7)</x:f>
        <x:v>0</x:v>
      </x:c>
      <x:c r="F132" s="9" t="n">
        <x:f>SUMIFS('350配方'!$M132:$P132,'350配方'!$Y132:$AB132,11)</x:f>
        <x:v>0</x:v>
      </x:c>
      <x:c r="G132" s="9" t="n">
        <x:f>SUMIFS('350配方'!$M132:$P132,'350配方'!$Y132:$AB132,18)</x:f>
        <x:v>0</x:v>
      </x:c>
      <x:c r="H132" s="9" t="n">
        <x:f>SUMIFS('350配方'!$M132:$P132,'350配方'!$Y132:$AB132,32)</x:f>
        <x:v>0</x:v>
      </x:c>
      <x:c r="I132" s="9" t="n">
        <x:f>SUMIFS('350配方'!$M132:$P132,'350配方'!$Y132:$AB132,40)</x:f>
        <x:v>0</x:v>
      </x:c>
      <x:c r="J132" s="9" t="n">
        <x:f>SUMIFS('350配方'!$M132:$P132,'350配方'!$Y132:$AB132,52)</x:f>
        <x:v>0</x:v>
      </x:c>
      <x:c r="K132" s="9" t="n">
        <x:f>SUMIFS('350配方'!$M132:$P132,'350配方'!$Y132:$AB132,53)</x:f>
        <x:v>2745.3821227654266</x:v>
      </x:c>
      <x:c r="L132" s="9" t="n">
        <x:f>SUMIFS('350配方'!$M132:$P132,'350配方'!$Y132:$AB132,56)</x:f>
        <x:v>0</x:v>
      </x:c>
      <x:c r="M132" s="9" t="n">
        <x:f>SUMIFS('350配方'!$M132:$P132,'350配方'!$Y132:$AB132,58)</x:f>
        <x:v>0</x:v>
      </x:c>
      <x:c r="N132" s="9" t="n">
        <x:f>SUMIFS('350配方'!$M132:$P132,'350配方'!$Y132:$AB132,61)</x:f>
        <x:v>0</x:v>
      </x:c>
      <x:c r="O132" s="9" t="n">
        <x:f>SUMIFS('350配方'!$M132:$P132,'350配方'!$Y132:$AB132,69)</x:f>
        <x:v>0</x:v>
      </x:c>
      <x:c r="P132" s="9" t="n">
        <x:f>SUMIFS('350配方'!$M132:$P132,'350配方'!$Y132:$AB132,75)</x:f>
        <x:v>0</x:v>
      </x:c>
      <x:c r="Q132" s="9" t="n">
        <x:f>SUMIFS('350配方'!$M132:$P132,'350配方'!$Y132:$AB132,79)</x:f>
        <x:v>0</x:v>
      </x:c>
      <x:c r="R132" s="9" t="n">
        <x:f>SUMIFS('350配方'!$M132:$P132,'350配方'!$Y132:$AB132,90)</x:f>
        <x:v>1232.25</x:v>
      </x:c>
      <x:c r="S132" s="9" t="n">
        <x:f>SUMIFS('350配方'!$M132:$P132,'350配方'!$Y132:$AB132,105)</x:f>
        <x:v>0</x:v>
      </x:c>
      <x:c r="T132" s="9" t="n">
        <x:f>SUMIFS('350配方'!$M132:$P132,'350配方'!$Y132:$AB132,111)</x:f>
        <x:v>0</x:v>
      </x:c>
      <x:c r="U132" s="9" t="n">
        <x:f>SUMIFS('350配方'!$M132:$P132,'350配方'!$Y132:$AB132,114)</x:f>
        <x:v>0</x:v>
      </x:c>
      <x:c r="V132" s="9" t="n">
        <x:f>SUMIFS('350配方'!$M132:$P132,'350配方'!$Y132:$AB132,115)</x:f>
        <x:v>0</x:v>
      </x:c>
      <x:c r="W132" s="9" t="n">
        <x:f>SUMIFS('350配方'!$M132:$P132,'350配方'!$Y132:$AB132,117)</x:f>
        <x:v>0</x:v>
      </x:c>
      <x:c r="X132" s="9" t="n">
        <x:f>SUMIFS('350配方'!$M132:$P132,'350配方'!$Y132:$AB132,126)</x:f>
        <x:v>0</x:v>
      </x:c>
      <x:c r="Y132" s="9" t="n">
        <x:f>SUMIFS('350配方'!$M132:$P132,'350配方'!$Y132:$AB132,136)</x:f>
        <x:v>0</x:v>
      </x:c>
      <x:c r="Z132" s="9" t="n">
        <x:f>SUMIFS('350配方'!$M132:$P132,'350配方'!$Y132:$AB132,141)</x:f>
        <x:v>0</x:v>
      </x:c>
      <x:c r="AA132" s="9" t="n">
        <x:f>SUMIFS('350配方'!$M132:$P132,'350配方'!$Y132:$AB132,152)</x:f>
        <x:v>0</x:v>
      </x:c>
      <x:c r="AB132" s="9" t="n">
        <x:f>SUMIFS('350配方'!$M132:$P132,'350配方'!$Y132:$AB132,165)</x:f>
        <x:v>0</x:v>
      </x:c>
      <x:c r="AC132" s="9" t="n">
        <x:f>SUMIFS('350配方'!$M132:$P132,'350配方'!$Y132:$AB132,186)</x:f>
        <x:v>11648000</x:v>
      </x:c>
      <x:c r="AD132" s="9" t="n">
        <x:f>SUMIFS('350配方'!$M132:$P132,'350配方'!$Y132:$AB132,207)</x:f>
        <x:v>0</x:v>
      </x:c>
      <x:c r="AE132" s="9" t="n">
        <x:f>SUMIFS('350配方'!$M132:$P132,'350配方'!$Y132:$AB132,209)</x:f>
        <x:v>34.2987346705385</x:v>
      </x:c>
      <x:c r="AF132" s="9" t="n">
        <x:f>SUMIFS('350配方'!$M132:$P132,'350配方'!$Y132:$AB132,227)</x:f>
        <x:v>0</x:v>
      </x:c>
      <x:c r="AG132" s="9" t="n">
        <x:f>SUMIFS('350配方'!$M132:$P132,'350配方'!$Y132:$AB132,232)</x:f>
        <x:v>0</x:v>
      </x:c>
      <x:c r="AH132" s="9" t="n">
        <x:f>SUMIFS('350配方'!$M132:$P132,'350配方'!$Y132:$AB132,255)</x:f>
        <x:v>0</x:v>
      </x:c>
      <x:c r="AI132" s="9" t="n">
        <x:f>'浓度设置'!S6</x:f>
        <x:v>219125.9626344086</x:v>
      </x:c>
      <x:c r="AJ132" s="9" t="n">
        <x:f>'浓度设置'!S8</x:f>
        <x:v>92796.92267241378</x:v>
      </x:c>
      <x:c r="AK132" s="9" t="n">
        <x:f>'浓度设置'!S10</x:f>
        <x:v>30556.797802197798</x:v>
      </x:c>
      <x:c r="AL132" s="9" t="n">
        <x:f>'浓度设置'!S12</x:f>
        <x:v>1735.828970588235</x:v>
      </x:c>
      <x:c r="AM132" s="9" t="n">
        <x:f>'浓度设置'!S15</x:f>
        <x:v>7385.813644067793</x:v>
      </x:c>
      <x:c r="AN132" s="9" t="n">
        <x:f>'浓度设置'!S19</x:f>
        <x:v>27722.03097701148</x:v>
      </x:c>
      <x:c r="AO132" s="9" t="n">
        <x:f>'浓度设置'!S22</x:f>
        <x:v>44345.55047619048</x:v>
      </x:c>
      <x:c r="AP132" s="9" t="n">
        <x:f>'浓度设置'!S26</x:f>
        <x:v>153318.30499999996</x:v>
      </x:c>
      <x:c r="AQ132" s="9" t="n">
        <x:f>'浓度设置'!S29</x:f>
        <x:v>312.7970588235294</x:v>
      </x:c>
      <x:c r="AR132" s="9" t="n">
        <x:f>'浓度设置'!S30</x:f>
        <x:v>104175.5097553192</x:v>
      </x:c>
      <x:c r="AS132" s="9" t="n">
        <x:f>'浓度设置'!S35</x:f>
        <x:v>405974.90656785714</x:v>
      </x:c>
    </x:row>
    <x:row r="133" ht="24" customHeight="1">
      <x:c r="A133" s="3" t="str">
        <x:f>'350配方'!A133</x:f>
        <x:v>T128</x:v>
      </x:c>
      <x:c r="B133" s="3" t="str">
        <x:f>'350配方'!B133</x:f>
        <x:v>拟合</x:v>
      </x:c>
      <x:c r="C133" s="3" t="n">
        <x:f>IF(B133="拟合",1,0)</x:f>
        <x:v>1</x:v>
      </x:c>
      <x:c r="D133" s="3" t="n">
        <x:f>'350配方'!AC133</x:f>
        <x:v>4</x:v>
      </x:c>
      <x:c r="E133" s="9" t="n">
        <x:f>SUMIFS('350配方'!$M133:$P133,'350配方'!$Y133:$AB133,7)</x:f>
        <x:v>0</x:v>
      </x:c>
      <x:c r="F133" s="9" t="n">
        <x:f>SUMIFS('350配方'!$M133:$P133,'350配方'!$Y133:$AB133,11)</x:f>
        <x:v>0</x:v>
      </x:c>
      <x:c r="G133" s="9" t="n">
        <x:f>SUMIFS('350配方'!$M133:$P133,'350配方'!$Y133:$AB133,18)</x:f>
        <x:v>0</x:v>
      </x:c>
      <x:c r="H133" s="9" t="n">
        <x:f>SUMIFS('350配方'!$M133:$P133,'350配方'!$Y133:$AB133,32)</x:f>
        <x:v>0</x:v>
      </x:c>
      <x:c r="I133" s="9" t="n">
        <x:f>SUMIFS('350配方'!$M133:$P133,'350配方'!$Y133:$AB133,40)</x:f>
        <x:v>21400</x:v>
      </x:c>
      <x:c r="J133" s="9" t="n">
        <x:f>SUMIFS('350配方'!$M133:$P133,'350配方'!$Y133:$AB133,52)</x:f>
        <x:v>0</x:v>
      </x:c>
      <x:c r="K133" s="9" t="n">
        <x:f>SUMIFS('350配方'!$M133:$P133,'350配方'!$Y133:$AB133,53)</x:f>
        <x:v>0</x:v>
      </x:c>
      <x:c r="L133" s="9" t="n">
        <x:f>SUMIFS('350配方'!$M133:$P133,'350配方'!$Y133:$AB133,56)</x:f>
        <x:v>0</x:v>
      </x:c>
      <x:c r="M133" s="9" t="n">
        <x:f>SUMIFS('350配方'!$M133:$P133,'350配方'!$Y133:$AB133,58)</x:f>
        <x:v>5.06</x:v>
      </x:c>
      <x:c r="N133" s="9" t="n">
        <x:f>SUMIFS('350配方'!$M133:$P133,'350配方'!$Y133:$AB133,61)</x:f>
        <x:v>0</x:v>
      </x:c>
      <x:c r="O133" s="9" t="n">
        <x:f>SUMIFS('350配方'!$M133:$P133,'350配方'!$Y133:$AB133,69)</x:f>
        <x:v>0.83</x:v>
      </x:c>
      <x:c r="P133" s="9" t="n">
        <x:f>SUMIFS('350配方'!$M133:$P133,'350配方'!$Y133:$AB133,75)</x:f>
        <x:v>62700</x:v>
      </x:c>
      <x:c r="Q133" s="9" t="n">
        <x:f>SUMIFS('350配方'!$M133:$P133,'350配方'!$Y133:$AB133,79)</x:f>
        <x:v>0</x:v>
      </x:c>
      <x:c r="R133" s="9" t="n">
        <x:f>SUMIFS('350配方'!$M133:$P133,'350配方'!$Y133:$AB133,90)</x:f>
        <x:v>0</x:v>
      </x:c>
      <x:c r="S133" s="9" t="n">
        <x:f>SUMIFS('350配方'!$M133:$P133,'350配方'!$Y133:$AB133,105)</x:f>
        <x:v>0</x:v>
      </x:c>
      <x:c r="T133" s="9" t="n">
        <x:f>SUMIFS('350配方'!$M133:$P133,'350配方'!$Y133:$AB133,111)</x:f>
        <x:v>0</x:v>
      </x:c>
      <x:c r="U133" s="9" t="n">
        <x:f>SUMIFS('350配方'!$M133:$P133,'350配方'!$Y133:$AB133,114)</x:f>
        <x:v>0</x:v>
      </x:c>
      <x:c r="V133" s="9" t="n">
        <x:f>SUMIFS('350配方'!$M133:$P133,'350配方'!$Y133:$AB133,115)</x:f>
        <x:v>0</x:v>
      </x:c>
      <x:c r="W133" s="9" t="n">
        <x:f>SUMIFS('350配方'!$M133:$P133,'350配方'!$Y133:$AB133,117)</x:f>
        <x:v>0</x:v>
      </x:c>
      <x:c r="X133" s="9" t="n">
        <x:f>SUMIFS('350配方'!$M133:$P133,'350配方'!$Y133:$AB133,126)</x:f>
        <x:v>0</x:v>
      </x:c>
      <x:c r="Y133" s="9" t="n">
        <x:f>SUMIFS('350配方'!$M133:$P133,'350配方'!$Y133:$AB133,136)</x:f>
        <x:v>0</x:v>
      </x:c>
      <x:c r="Z133" s="9" t="n">
        <x:f>SUMIFS('350配方'!$M133:$P133,'350配方'!$Y133:$AB133,141)</x:f>
        <x:v>0</x:v>
      </x:c>
      <x:c r="AA133" s="9" t="n">
        <x:f>SUMIFS('350配方'!$M133:$P133,'350配方'!$Y133:$AB133,152)</x:f>
        <x:v>0</x:v>
      </x:c>
      <x:c r="AB133" s="9" t="n">
        <x:f>SUMIFS('350配方'!$M133:$P133,'350配方'!$Y133:$AB133,165)</x:f>
        <x:v>0</x:v>
      </x:c>
      <x:c r="AC133" s="9" t="n">
        <x:f>SUMIFS('350配方'!$M133:$P133,'350配方'!$Y133:$AB133,186)</x:f>
        <x:v>0</x:v>
      </x:c>
      <x:c r="AD133" s="9" t="n">
        <x:f>SUMIFS('350配方'!$M133:$P133,'350配方'!$Y133:$AB133,207)</x:f>
        <x:v>0</x:v>
      </x:c>
      <x:c r="AE133" s="9" t="n">
        <x:f>SUMIFS('350配方'!$M133:$P133,'350配方'!$Y133:$AB133,209)</x:f>
        <x:v>0</x:v>
      </x:c>
      <x:c r="AF133" s="9" t="n">
        <x:f>SUMIFS('350配方'!$M133:$P133,'350配方'!$Y133:$AB133,227)</x:f>
        <x:v>0</x:v>
      </x:c>
      <x:c r="AG133" s="9" t="n">
        <x:f>SUMIFS('350配方'!$M133:$P133,'350配方'!$Y133:$AB133,232)</x:f>
        <x:v>0</x:v>
      </x:c>
      <x:c r="AH133" s="9" t="n">
        <x:f>SUMIFS('350配方'!$M133:$P133,'350配方'!$Y133:$AB133,255)</x:f>
        <x:v>0</x:v>
      </x:c>
      <x:c r="AI133" s="9" t="n">
        <x:f>'浓度设置'!S6</x:f>
        <x:v>219125.9626344086</x:v>
      </x:c>
      <x:c r="AJ133" s="9" t="n">
        <x:f>'浓度设置'!S8</x:f>
        <x:v>92796.92267241378</x:v>
      </x:c>
      <x:c r="AK133" s="9" t="n">
        <x:f>'浓度设置'!S10</x:f>
        <x:v>30556.797802197798</x:v>
      </x:c>
      <x:c r="AL133" s="9" t="n">
        <x:f>'浓度设置'!S12</x:f>
        <x:v>1735.828970588235</x:v>
      </x:c>
      <x:c r="AM133" s="9" t="n">
        <x:f>'浓度设置'!S15</x:f>
        <x:v>7385.813644067793</x:v>
      </x:c>
      <x:c r="AN133" s="9" t="n">
        <x:f>'浓度设置'!S19</x:f>
        <x:v>27722.03097701148</x:v>
      </x:c>
      <x:c r="AO133" s="9" t="n">
        <x:f>'浓度设置'!S22</x:f>
        <x:v>44345.55047619048</x:v>
      </x:c>
      <x:c r="AP133" s="9" t="n">
        <x:f>'浓度设置'!S26</x:f>
        <x:v>153318.30499999996</x:v>
      </x:c>
      <x:c r="AQ133" s="9" t="n">
        <x:f>'浓度设置'!S29</x:f>
        <x:v>312.7970588235294</x:v>
      </x:c>
      <x:c r="AR133" s="9" t="n">
        <x:f>'浓度设置'!S30</x:f>
        <x:v>104175.5097553192</x:v>
      </x:c>
      <x:c r="AS133" s="9" t="n">
        <x:f>'浓度设置'!S35</x:f>
        <x:v>405974.90656785714</x:v>
      </x:c>
    </x:row>
    <x:row r="134" ht="24" customHeight="1">
      <x:c r="A134" s="3" t="str">
        <x:f>'350配方'!A134</x:f>
        <x:v>T129</x:v>
      </x:c>
      <x:c r="B134" s="3" t="str">
        <x:f>'350配方'!B134</x:f>
        <x:v>拟合</x:v>
      </x:c>
      <x:c r="C134" s="3" t="n">
        <x:f>IF(B134="拟合",1,0)</x:f>
        <x:v>1</x:v>
      </x:c>
      <x:c r="D134" s="3" t="n">
        <x:f>'350配方'!AC134</x:f>
        <x:v>4</x:v>
      </x:c>
      <x:c r="E134" s="9" t="n">
        <x:f>SUMIFS('350配方'!$M134:$P134,'350配方'!$Y134:$AB134,7)</x:f>
        <x:v>0</x:v>
      </x:c>
      <x:c r="F134" s="9" t="n">
        <x:f>SUMIFS('350配方'!$M134:$P134,'350配方'!$Y134:$AB134,11)</x:f>
        <x:v>0</x:v>
      </x:c>
      <x:c r="G134" s="9" t="n">
        <x:f>SUMIFS('350配方'!$M134:$P134,'350配方'!$Y134:$AB134,18)</x:f>
        <x:v>0</x:v>
      </x:c>
      <x:c r="H134" s="9" t="n">
        <x:f>SUMIFS('350配方'!$M134:$P134,'350配方'!$Y134:$AB134,32)</x:f>
        <x:v>0</x:v>
      </x:c>
      <x:c r="I134" s="9" t="n">
        <x:f>SUMIFS('350配方'!$M134:$P134,'350配方'!$Y134:$AB134,40)</x:f>
        <x:v>0</x:v>
      </x:c>
      <x:c r="J134" s="9" t="n">
        <x:f>SUMIFS('350配方'!$M134:$P134,'350配方'!$Y134:$AB134,52)</x:f>
        <x:v>0</x:v>
      </x:c>
      <x:c r="K134" s="9" t="n">
        <x:f>SUMIFS('350配方'!$M134:$P134,'350配方'!$Y134:$AB134,53)</x:f>
        <x:v>0</x:v>
      </x:c>
      <x:c r="L134" s="9" t="n">
        <x:f>SUMIFS('350配方'!$M134:$P134,'350配方'!$Y134:$AB134,56)</x:f>
        <x:v>0</x:v>
      </x:c>
      <x:c r="M134" s="9" t="n">
        <x:f>SUMIFS('350配方'!$M134:$P134,'350配方'!$Y134:$AB134,58)</x:f>
        <x:v>0</x:v>
      </x:c>
      <x:c r="N134" s="9" t="n">
        <x:f>SUMIFS('350配方'!$M134:$P134,'350配方'!$Y134:$AB134,61)</x:f>
        <x:v>0</x:v>
      </x:c>
      <x:c r="O134" s="9" t="n">
        <x:f>SUMIFS('350配方'!$M134:$P134,'350配方'!$Y134:$AB134,69)</x:f>
        <x:v>0</x:v>
      </x:c>
      <x:c r="P134" s="9" t="n">
        <x:f>SUMIFS('350配方'!$M134:$P134,'350配方'!$Y134:$AB134,75)</x:f>
        <x:v>0</x:v>
      </x:c>
      <x:c r="Q134" s="9" t="n">
        <x:f>SUMIFS('350配方'!$M134:$P134,'350配方'!$Y134:$AB134,79)</x:f>
        <x:v>0</x:v>
      </x:c>
      <x:c r="R134" s="9" t="n">
        <x:f>SUMIFS('350配方'!$M134:$P134,'350配方'!$Y134:$AB134,90)</x:f>
        <x:v>0</x:v>
      </x:c>
      <x:c r="S134" s="9" t="n">
        <x:f>SUMIFS('350配方'!$M134:$P134,'350配方'!$Y134:$AB134,105)</x:f>
        <x:v>0</x:v>
      </x:c>
      <x:c r="T134" s="9" t="n">
        <x:f>SUMIFS('350配方'!$M134:$P134,'350配方'!$Y134:$AB134,111)</x:f>
        <x:v>0</x:v>
      </x:c>
      <x:c r="U134" s="9" t="n">
        <x:f>SUMIFS('350配方'!$M134:$P134,'350配方'!$Y134:$AB134,114)</x:f>
        <x:v>0</x:v>
      </x:c>
      <x:c r="V134" s="9" t="n">
        <x:f>SUMIFS('350配方'!$M134:$P134,'350配方'!$Y134:$AB134,115)</x:f>
        <x:v>0</x:v>
      </x:c>
      <x:c r="W134" s="9" t="n">
        <x:f>SUMIFS('350配方'!$M134:$P134,'350配方'!$Y134:$AB134,117)</x:f>
        <x:v>0</x:v>
      </x:c>
      <x:c r="X134" s="9" t="n">
        <x:f>SUMIFS('350配方'!$M134:$P134,'350配方'!$Y134:$AB134,126)</x:f>
        <x:v>0</x:v>
      </x:c>
      <x:c r="Y134" s="9" t="n">
        <x:f>SUMIFS('350配方'!$M134:$P134,'350配方'!$Y134:$AB134,136)</x:f>
        <x:v>228.58258901324922</x:v>
      </x:c>
      <x:c r="Z134" s="9" t="n">
        <x:f>SUMIFS('350配方'!$M134:$P134,'350配方'!$Y134:$AB134,141)</x:f>
        <x:v>0</x:v>
      </x:c>
      <x:c r="AA134" s="9" t="n">
        <x:f>SUMIFS('350配方'!$M134:$P134,'350配方'!$Y134:$AB134,152)</x:f>
        <x:v>227200</x:v>
      </x:c>
      <x:c r="AB134" s="9" t="n">
        <x:f>SUMIFS('350配方'!$M134:$P134,'350配方'!$Y134:$AB134,165)</x:f>
        <x:v>0</x:v>
      </x:c>
      <x:c r="AC134" s="9" t="n">
        <x:f>SUMIFS('350配方'!$M134:$P134,'350配方'!$Y134:$AB134,186)</x:f>
        <x:v>0</x:v>
      </x:c>
      <x:c r="AD134" s="9" t="n">
        <x:f>SUMIFS('350配方'!$M134:$P134,'350配方'!$Y134:$AB134,207)</x:f>
        <x:v>0</x:v>
      </x:c>
      <x:c r="AE134" s="9" t="n">
        <x:f>SUMIFS('350配方'!$M134:$P134,'350配方'!$Y134:$AB134,209)</x:f>
        <x:v>0</x:v>
      </x:c>
      <x:c r="AF134" s="9" t="n">
        <x:f>SUMIFS('350配方'!$M134:$P134,'350配方'!$Y134:$AB134,227)</x:f>
        <x:v>2.5</x:v>
      </x:c>
      <x:c r="AG134" s="9" t="n">
        <x:f>SUMIFS('350配方'!$M134:$P134,'350配方'!$Y134:$AB134,232)</x:f>
        <x:v>39.53062104242735</x:v>
      </x:c>
      <x:c r="AH134" s="9" t="n">
        <x:f>SUMIFS('350配方'!$M134:$P134,'350配方'!$Y134:$AB134,255)</x:f>
        <x:v>0</x:v>
      </x:c>
      <x:c r="AI134" s="9" t="n">
        <x:f>'浓度设置'!S6</x:f>
        <x:v>219125.9626344086</x:v>
      </x:c>
      <x:c r="AJ134" s="9" t="n">
        <x:f>'浓度设置'!S8</x:f>
        <x:v>92796.92267241378</x:v>
      </x:c>
      <x:c r="AK134" s="9" t="n">
        <x:f>'浓度设置'!S10</x:f>
        <x:v>30556.797802197798</x:v>
      </x:c>
      <x:c r="AL134" s="9" t="n">
        <x:f>'浓度设置'!S12</x:f>
        <x:v>1735.828970588235</x:v>
      </x:c>
      <x:c r="AM134" s="9" t="n">
        <x:f>'浓度设置'!S15</x:f>
        <x:v>7385.813644067793</x:v>
      </x:c>
      <x:c r="AN134" s="9" t="n">
        <x:f>'浓度设置'!S19</x:f>
        <x:v>27722.03097701148</x:v>
      </x:c>
      <x:c r="AO134" s="9" t="n">
        <x:f>'浓度设置'!S22</x:f>
        <x:v>44345.55047619048</x:v>
      </x:c>
      <x:c r="AP134" s="9" t="n">
        <x:f>'浓度设置'!S26</x:f>
        <x:v>153318.30499999996</x:v>
      </x:c>
      <x:c r="AQ134" s="9" t="n">
        <x:f>'浓度设置'!S29</x:f>
        <x:v>312.7970588235294</x:v>
      </x:c>
      <x:c r="AR134" s="9" t="n">
        <x:f>'浓度设置'!S30</x:f>
        <x:v>104175.5097553192</x:v>
      </x:c>
      <x:c r="AS134" s="9" t="n">
        <x:f>'浓度设置'!S35</x:f>
        <x:v>405974.90656785714</x:v>
      </x:c>
    </x:row>
    <x:row r="135" ht="24" customHeight="1">
      <x:c r="A135" s="3" t="str">
        <x:f>'350配方'!A135</x:f>
        <x:v>T130</x:v>
      </x:c>
      <x:c r="B135" s="3" t="str">
        <x:f>'350配方'!B135</x:f>
        <x:v>拟合</x:v>
      </x:c>
      <x:c r="C135" s="3" t="n">
        <x:f>IF(B135="拟合",1,0)</x:f>
        <x:v>1</x:v>
      </x:c>
      <x:c r="D135" s="3" t="n">
        <x:f>'350配方'!AC135</x:f>
        <x:v>4</x:v>
      </x:c>
      <x:c r="E135" s="9" t="n">
        <x:f>SUMIFS('350配方'!$M135:$P135,'350配方'!$Y135:$AB135,7)</x:f>
        <x:v>0</x:v>
      </x:c>
      <x:c r="F135" s="9" t="n">
        <x:f>SUMIFS('350配方'!$M135:$P135,'350配方'!$Y135:$AB135,11)</x:f>
        <x:v>0</x:v>
      </x:c>
      <x:c r="G135" s="9" t="n">
        <x:f>SUMIFS('350配方'!$M135:$P135,'350配方'!$Y135:$AB135,18)</x:f>
        <x:v>1183.2582135780847</x:v>
      </x:c>
      <x:c r="H135" s="9" t="n">
        <x:f>SUMIFS('350配方'!$M135:$P135,'350配方'!$Y135:$AB135,32)</x:f>
        <x:v>0</x:v>
      </x:c>
      <x:c r="I135" s="9" t="n">
        <x:f>SUMIFS('350配方'!$M135:$P135,'350配方'!$Y135:$AB135,40)</x:f>
        <x:v>0</x:v>
      </x:c>
      <x:c r="J135" s="9" t="n">
        <x:f>SUMIFS('350配方'!$M135:$P135,'350配方'!$Y135:$AB135,52)</x:f>
        <x:v>1290235</x:v>
      </x:c>
      <x:c r="K135" s="9" t="n">
        <x:f>SUMIFS('350配方'!$M135:$P135,'350配方'!$Y135:$AB135,53)</x:f>
        <x:v>0</x:v>
      </x:c>
      <x:c r="L135" s="9" t="n">
        <x:f>SUMIFS('350配方'!$M135:$P135,'350配方'!$Y135:$AB135,56)</x:f>
        <x:v>0</x:v>
      </x:c>
      <x:c r="M135" s="9" t="n">
        <x:f>SUMIFS('350配方'!$M135:$P135,'350配方'!$Y135:$AB135,58)</x:f>
        <x:v>0</x:v>
      </x:c>
      <x:c r="N135" s="9" t="n">
        <x:f>SUMIFS('350配方'!$M135:$P135,'350配方'!$Y135:$AB135,61)</x:f>
        <x:v>0</x:v>
      </x:c>
      <x:c r="O135" s="9" t="n">
        <x:f>SUMIFS('350配方'!$M135:$P135,'350配方'!$Y135:$AB135,69)</x:f>
        <x:v>0</x:v>
      </x:c>
      <x:c r="P135" s="9" t="n">
        <x:f>SUMIFS('350配方'!$M135:$P135,'350配方'!$Y135:$AB135,75)</x:f>
        <x:v>0</x:v>
      </x:c>
      <x:c r="Q135" s="9" t="n">
        <x:f>SUMIFS('350配方'!$M135:$P135,'350配方'!$Y135:$AB135,79)</x:f>
        <x:v>0</x:v>
      </x:c>
      <x:c r="R135" s="9" t="n">
        <x:f>SUMIFS('350配方'!$M135:$P135,'350配方'!$Y135:$AB135,90)</x:f>
        <x:v>0</x:v>
      </x:c>
      <x:c r="S135" s="9" t="n">
        <x:f>SUMIFS('350配方'!$M135:$P135,'350配方'!$Y135:$AB135,105)</x:f>
        <x:v>0</x:v>
      </x:c>
      <x:c r="T135" s="9" t="n">
        <x:f>SUMIFS('350配方'!$M135:$P135,'350配方'!$Y135:$AB135,111)</x:f>
        <x:v>0</x:v>
      </x:c>
      <x:c r="U135" s="9" t="n">
        <x:f>SUMIFS('350配方'!$M135:$P135,'350配方'!$Y135:$AB135,114)</x:f>
        <x:v>0</x:v>
      </x:c>
      <x:c r="V135" s="9" t="n">
        <x:f>SUMIFS('350配方'!$M135:$P135,'350配方'!$Y135:$AB135,115)</x:f>
        <x:v>96.86609313893071</x:v>
      </x:c>
      <x:c r="W135" s="9" t="n">
        <x:f>SUMIFS('350配方'!$M135:$P135,'350配方'!$Y135:$AB135,117)</x:f>
        <x:v>0</x:v>
      </x:c>
      <x:c r="X135" s="9" t="n">
        <x:f>SUMIFS('350配方'!$M135:$P135,'350配方'!$Y135:$AB135,126)</x:f>
        <x:v>1551340.76</x:v>
      </x:c>
      <x:c r="Y135" s="9" t="n">
        <x:f>SUMIFS('350配方'!$M135:$P135,'350配方'!$Y135:$AB135,136)</x:f>
        <x:v>0</x:v>
      </x:c>
      <x:c r="Z135" s="9" t="n">
        <x:f>SUMIFS('350配方'!$M135:$P135,'350配方'!$Y135:$AB135,141)</x:f>
        <x:v>0</x:v>
      </x:c>
      <x:c r="AA135" s="9" t="n">
        <x:f>SUMIFS('350配方'!$M135:$P135,'350配方'!$Y135:$AB135,152)</x:f>
        <x:v>0</x:v>
      </x:c>
      <x:c r="AB135" s="9" t="n">
        <x:f>SUMIFS('350配方'!$M135:$P135,'350配方'!$Y135:$AB135,165)</x:f>
        <x:v>0</x:v>
      </x:c>
      <x:c r="AC135" s="9" t="n">
        <x:f>SUMIFS('350配方'!$M135:$P135,'350配方'!$Y135:$AB135,186)</x:f>
        <x:v>0</x:v>
      </x:c>
      <x:c r="AD135" s="9" t="n">
        <x:f>SUMIFS('350配方'!$M135:$P135,'350配方'!$Y135:$AB135,207)</x:f>
        <x:v>0</x:v>
      </x:c>
      <x:c r="AE135" s="9" t="n">
        <x:f>SUMIFS('350配方'!$M135:$P135,'350配方'!$Y135:$AB135,209)</x:f>
        <x:v>0</x:v>
      </x:c>
      <x:c r="AF135" s="9" t="n">
        <x:f>SUMIFS('350配方'!$M135:$P135,'350配方'!$Y135:$AB135,227)</x:f>
        <x:v>0</x:v>
      </x:c>
      <x:c r="AG135" s="9" t="n">
        <x:f>SUMIFS('350配方'!$M135:$P135,'350配方'!$Y135:$AB135,232)</x:f>
        <x:v>0</x:v>
      </x:c>
      <x:c r="AH135" s="9" t="n">
        <x:f>SUMIFS('350配方'!$M135:$P135,'350配方'!$Y135:$AB135,255)</x:f>
        <x:v>0</x:v>
      </x:c>
      <x:c r="AI135" s="9" t="n">
        <x:f>'浓度设置'!S6</x:f>
        <x:v>219125.9626344086</x:v>
      </x:c>
      <x:c r="AJ135" s="9" t="n">
        <x:f>'浓度设置'!S8</x:f>
        <x:v>92796.92267241378</x:v>
      </x:c>
      <x:c r="AK135" s="9" t="n">
        <x:f>'浓度设置'!S10</x:f>
        <x:v>30556.797802197798</x:v>
      </x:c>
      <x:c r="AL135" s="9" t="n">
        <x:f>'浓度设置'!S12</x:f>
        <x:v>1735.828970588235</x:v>
      </x:c>
      <x:c r="AM135" s="9" t="n">
        <x:f>'浓度设置'!S15</x:f>
        <x:v>7385.813644067793</x:v>
      </x:c>
      <x:c r="AN135" s="9" t="n">
        <x:f>'浓度设置'!S19</x:f>
        <x:v>27722.03097701148</x:v>
      </x:c>
      <x:c r="AO135" s="9" t="n">
        <x:f>'浓度设置'!S22</x:f>
        <x:v>44345.55047619048</x:v>
      </x:c>
      <x:c r="AP135" s="9" t="n">
        <x:f>'浓度设置'!S26</x:f>
        <x:v>153318.30499999996</x:v>
      </x:c>
      <x:c r="AQ135" s="9" t="n">
        <x:f>'浓度设置'!S29</x:f>
        <x:v>312.7970588235294</x:v>
      </x:c>
      <x:c r="AR135" s="9" t="n">
        <x:f>'浓度设置'!S30</x:f>
        <x:v>104175.5097553192</x:v>
      </x:c>
      <x:c r="AS135" s="9" t="n">
        <x:f>'浓度设置'!S35</x:f>
        <x:v>405974.90656785714</x:v>
      </x:c>
    </x:row>
    <x:row r="136" ht="24" customHeight="1">
      <x:c r="A136" s="3" t="str">
        <x:f>'350配方'!A136</x:f>
        <x:v>T131</x:v>
      </x:c>
      <x:c r="B136" s="3" t="str">
        <x:f>'350配方'!B136</x:f>
        <x:v>拟合</x:v>
      </x:c>
      <x:c r="C136" s="3" t="n">
        <x:f>IF(B136="拟合",1,0)</x:f>
        <x:v>1</x:v>
      </x:c>
      <x:c r="D136" s="3" t="n">
        <x:f>'350配方'!AC136</x:f>
        <x:v>4</x:v>
      </x:c>
      <x:c r="E136" s="9" t="n">
        <x:f>SUMIFS('350配方'!$M136:$P136,'350配方'!$Y136:$AB136,7)</x:f>
        <x:v>0</x:v>
      </x:c>
      <x:c r="F136" s="9" t="n">
        <x:f>SUMIFS('350配方'!$M136:$P136,'350配方'!$Y136:$AB136,11)</x:f>
        <x:v>0</x:v>
      </x:c>
      <x:c r="G136" s="9" t="n">
        <x:f>SUMIFS('350配方'!$M136:$P136,'350配方'!$Y136:$AB136,18)</x:f>
        <x:v>0</x:v>
      </x:c>
      <x:c r="H136" s="9" t="n">
        <x:f>SUMIFS('350配方'!$M136:$P136,'350配方'!$Y136:$AB136,32)</x:f>
        <x:v>0</x:v>
      </x:c>
      <x:c r="I136" s="9" t="n">
        <x:f>SUMIFS('350配方'!$M136:$P136,'350配方'!$Y136:$AB136,40)</x:f>
        <x:v>200.3122562401013</x:v>
      </x:c>
      <x:c r="J136" s="9" t="n">
        <x:f>SUMIFS('350配方'!$M136:$P136,'350配方'!$Y136:$AB136,52)</x:f>
        <x:v>0</x:v>
      </x:c>
      <x:c r="K136" s="9" t="n">
        <x:f>SUMIFS('350配方'!$M136:$P136,'350配方'!$Y136:$AB136,53)</x:f>
        <x:v>0</x:v>
      </x:c>
      <x:c r="L136" s="9" t="n">
        <x:f>SUMIFS('350配方'!$M136:$P136,'350配方'!$Y136:$AB136,56)</x:f>
        <x:v>0</x:v>
      </x:c>
      <x:c r="M136" s="9" t="n">
        <x:f>SUMIFS('350配方'!$M136:$P136,'350配方'!$Y136:$AB136,58)</x:f>
        <x:v>0</x:v>
      </x:c>
      <x:c r="N136" s="9" t="n">
        <x:f>SUMIFS('350配方'!$M136:$P136,'350配方'!$Y136:$AB136,61)</x:f>
        <x:v>0</x:v>
      </x:c>
      <x:c r="O136" s="9" t="n">
        <x:f>SUMIFS('350配方'!$M136:$P136,'350配方'!$Y136:$AB136,69)</x:f>
        <x:v>0</x:v>
      </x:c>
      <x:c r="P136" s="9" t="n">
        <x:f>SUMIFS('350配方'!$M136:$P136,'350配方'!$Y136:$AB136,75)</x:f>
        <x:v>0</x:v>
      </x:c>
      <x:c r="Q136" s="9" t="n">
        <x:f>SUMIFS('350配方'!$M136:$P136,'350配方'!$Y136:$AB136,79)</x:f>
        <x:v>0</x:v>
      </x:c>
      <x:c r="R136" s="9" t="n">
        <x:f>SUMIFS('350配方'!$M136:$P136,'350配方'!$Y136:$AB136,90)</x:f>
        <x:v>0</x:v>
      </x:c>
      <x:c r="S136" s="9" t="n">
        <x:f>SUMIFS('350配方'!$M136:$P136,'350配方'!$Y136:$AB136,105)</x:f>
        <x:v>0</x:v>
      </x:c>
      <x:c r="T136" s="9" t="n">
        <x:f>SUMIFS('350配方'!$M136:$P136,'350配方'!$Y136:$AB136,111)</x:f>
        <x:v>89562.18016998023</x:v>
      </x:c>
      <x:c r="U136" s="9" t="n">
        <x:f>SUMIFS('350配方'!$M136:$P136,'350配方'!$Y136:$AB136,114)</x:f>
        <x:v>0</x:v>
      </x:c>
      <x:c r="V136" s="9" t="n">
        <x:f>SUMIFS('350配方'!$M136:$P136,'350配方'!$Y136:$AB136,115)</x:f>
        <x:v>0</x:v>
      </x:c>
      <x:c r="W136" s="9" t="n">
        <x:f>SUMIFS('350配方'!$M136:$P136,'350配方'!$Y136:$AB136,117)</x:f>
        <x:v>0</x:v>
      </x:c>
      <x:c r="X136" s="9" t="n">
        <x:f>SUMIFS('350配方'!$M136:$P136,'350配方'!$Y136:$AB136,126)</x:f>
        <x:v>0</x:v>
      </x:c>
      <x:c r="Y136" s="9" t="n">
        <x:f>SUMIFS('350配方'!$M136:$P136,'350配方'!$Y136:$AB136,136)</x:f>
        <x:v>0</x:v>
      </x:c>
      <x:c r="Z136" s="9" t="n">
        <x:f>SUMIFS('350配方'!$M136:$P136,'350配方'!$Y136:$AB136,141)</x:f>
        <x:v>1039840</x:v>
      </x:c>
      <x:c r="AA136" s="9" t="n">
        <x:f>SUMIFS('350配方'!$M136:$P136,'350配方'!$Y136:$AB136,152)</x:f>
        <x:v>0</x:v>
      </x:c>
      <x:c r="AB136" s="9" t="n">
        <x:f>SUMIFS('350配方'!$M136:$P136,'350配方'!$Y136:$AB136,165)</x:f>
        <x:v>0</x:v>
      </x:c>
      <x:c r="AC136" s="9" t="n">
        <x:f>SUMIFS('350配方'!$M136:$P136,'350配方'!$Y136:$AB136,186)</x:f>
        <x:v>0</x:v>
      </x:c>
      <x:c r="AD136" s="9" t="n">
        <x:f>SUMIFS('350配方'!$M136:$P136,'350配方'!$Y136:$AB136,207)</x:f>
        <x:v>0</x:v>
      </x:c>
      <x:c r="AE136" s="9" t="n">
        <x:f>SUMIFS('350配方'!$M136:$P136,'350配方'!$Y136:$AB136,209)</x:f>
        <x:v>0</x:v>
      </x:c>
      <x:c r="AF136" s="9" t="n">
        <x:f>SUMIFS('350配方'!$M136:$P136,'350配方'!$Y136:$AB136,227)</x:f>
        <x:v>0</x:v>
      </x:c>
      <x:c r="AG136" s="9" t="n">
        <x:f>SUMIFS('350配方'!$M136:$P136,'350配方'!$Y136:$AB136,232)</x:f>
        <x:v>0</x:v>
      </x:c>
      <x:c r="AH136" s="9" t="n">
        <x:f>SUMIFS('350配方'!$M136:$P136,'350配方'!$Y136:$AB136,255)</x:f>
        <x:v>1.5</x:v>
      </x:c>
      <x:c r="AI136" s="9" t="n">
        <x:f>'浓度设置'!S6</x:f>
        <x:v>219125.9626344086</x:v>
      </x:c>
      <x:c r="AJ136" s="9" t="n">
        <x:f>'浓度设置'!S8</x:f>
        <x:v>92796.92267241378</x:v>
      </x:c>
      <x:c r="AK136" s="9" t="n">
        <x:f>'浓度设置'!S10</x:f>
        <x:v>30556.797802197798</x:v>
      </x:c>
      <x:c r="AL136" s="9" t="n">
        <x:f>'浓度设置'!S12</x:f>
        <x:v>1735.828970588235</x:v>
      </x:c>
      <x:c r="AM136" s="9" t="n">
        <x:f>'浓度设置'!S15</x:f>
        <x:v>7385.813644067793</x:v>
      </x:c>
      <x:c r="AN136" s="9" t="n">
        <x:f>'浓度设置'!S19</x:f>
        <x:v>27722.03097701148</x:v>
      </x:c>
      <x:c r="AO136" s="9" t="n">
        <x:f>'浓度设置'!S22</x:f>
        <x:v>44345.55047619048</x:v>
      </x:c>
      <x:c r="AP136" s="9" t="n">
        <x:f>'浓度设置'!S26</x:f>
        <x:v>153318.30499999996</x:v>
      </x:c>
      <x:c r="AQ136" s="9" t="n">
        <x:f>'浓度设置'!S29</x:f>
        <x:v>312.7970588235294</x:v>
      </x:c>
      <x:c r="AR136" s="9" t="n">
        <x:f>'浓度设置'!S30</x:f>
        <x:v>104175.5097553192</x:v>
      </x:c>
      <x:c r="AS136" s="9" t="n">
        <x:f>'浓度设置'!S35</x:f>
        <x:v>405974.90656785714</x:v>
      </x:c>
    </x:row>
    <x:row r="137" ht="24" customHeight="1">
      <x:c r="A137" s="3" t="str">
        <x:f>'350配方'!A137</x:f>
        <x:v>T132</x:v>
      </x:c>
      <x:c r="B137" s="3" t="str">
        <x:f>'350配方'!B137</x:f>
        <x:v>拟合</x:v>
      </x:c>
      <x:c r="C137" s="3" t="n">
        <x:f>IF(B137="拟合",1,0)</x:f>
        <x:v>1</x:v>
      </x:c>
      <x:c r="D137" s="3" t="n">
        <x:f>'350配方'!AC137</x:f>
        <x:v>4</x:v>
      </x:c>
      <x:c r="E137" s="9" t="n">
        <x:f>SUMIFS('350配方'!$M137:$P137,'350配方'!$Y137:$AB137,7)</x:f>
        <x:v>0</x:v>
      </x:c>
      <x:c r="F137" s="9" t="n">
        <x:f>SUMIFS('350配方'!$M137:$P137,'350配方'!$Y137:$AB137,11)</x:f>
        <x:v>0</x:v>
      </x:c>
      <x:c r="G137" s="9" t="n">
        <x:f>SUMIFS('350配方'!$M137:$P137,'350配方'!$Y137:$AB137,18)</x:f>
        <x:v>39</x:v>
      </x:c>
      <x:c r="H137" s="9" t="n">
        <x:f>SUMIFS('350配方'!$M137:$P137,'350配方'!$Y137:$AB137,32)</x:f>
        <x:v>0</x:v>
      </x:c>
      <x:c r="I137" s="9" t="n">
        <x:f>SUMIFS('350配方'!$M137:$P137,'350配方'!$Y137:$AB137,40)</x:f>
        <x:v>0</x:v>
      </x:c>
      <x:c r="J137" s="9" t="n">
        <x:f>SUMIFS('350配方'!$M137:$P137,'350配方'!$Y137:$AB137,52)</x:f>
        <x:v>0</x:v>
      </x:c>
      <x:c r="K137" s="9" t="n">
        <x:f>SUMIFS('350配方'!$M137:$P137,'350配方'!$Y137:$AB137,53)</x:f>
        <x:v>0</x:v>
      </x:c>
      <x:c r="L137" s="9" t="n">
        <x:f>SUMIFS('350配方'!$M137:$P137,'350配方'!$Y137:$AB137,56)</x:f>
        <x:v>0</x:v>
      </x:c>
      <x:c r="M137" s="9" t="n">
        <x:f>SUMIFS('350配方'!$M137:$P137,'350配方'!$Y137:$AB137,58)</x:f>
        <x:v>1865945</x:v>
      </x:c>
      <x:c r="N137" s="9" t="n">
        <x:f>SUMIFS('350配方'!$M137:$P137,'350配方'!$Y137:$AB137,61)</x:f>
        <x:v>0.51</x:v>
      </x:c>
      <x:c r="O137" s="9" t="n">
        <x:f>SUMIFS('350配方'!$M137:$P137,'350配方'!$Y137:$AB137,69)</x:f>
        <x:v>0</x:v>
      </x:c>
      <x:c r="P137" s="9" t="n">
        <x:f>SUMIFS('350配方'!$M137:$P137,'350配方'!$Y137:$AB137,75)</x:f>
        <x:v>0</x:v>
      </x:c>
      <x:c r="Q137" s="9" t="n">
        <x:f>SUMIFS('350配方'!$M137:$P137,'350配方'!$Y137:$AB137,79)</x:f>
        <x:v>0</x:v>
      </x:c>
      <x:c r="R137" s="9" t="n">
        <x:f>SUMIFS('350配方'!$M137:$P137,'350配方'!$Y137:$AB137,90)</x:f>
        <x:v>0</x:v>
      </x:c>
      <x:c r="S137" s="9" t="n">
        <x:f>SUMIFS('350配方'!$M137:$P137,'350配方'!$Y137:$AB137,105)</x:f>
        <x:v>0</x:v>
      </x:c>
      <x:c r="T137" s="9" t="n">
        <x:f>SUMIFS('350配方'!$M137:$P137,'350配方'!$Y137:$AB137,111)</x:f>
        <x:v>0</x:v>
      </x:c>
      <x:c r="U137" s="9" t="n">
        <x:f>SUMIFS('350配方'!$M137:$P137,'350配方'!$Y137:$AB137,114)</x:f>
        <x:v>0</x:v>
      </x:c>
      <x:c r="V137" s="9" t="n">
        <x:f>SUMIFS('350配方'!$M137:$P137,'350配方'!$Y137:$AB137,115)</x:f>
        <x:v>0</x:v>
      </x:c>
      <x:c r="W137" s="9" t="n">
        <x:f>SUMIFS('350配方'!$M137:$P137,'350配方'!$Y137:$AB137,117)</x:f>
        <x:v>0</x:v>
      </x:c>
      <x:c r="X137" s="9" t="n">
        <x:f>SUMIFS('350配方'!$M137:$P137,'350配方'!$Y137:$AB137,126)</x:f>
        <x:v>0</x:v>
      </x:c>
      <x:c r="Y137" s="9" t="n">
        <x:f>SUMIFS('350配方'!$M137:$P137,'350配方'!$Y137:$AB137,136)</x:f>
        <x:v>0</x:v>
      </x:c>
      <x:c r="Z137" s="9" t="n">
        <x:f>SUMIFS('350配方'!$M137:$P137,'350配方'!$Y137:$AB137,141)</x:f>
        <x:v>0</x:v>
      </x:c>
      <x:c r="AA137" s="9" t="n">
        <x:f>SUMIFS('350配方'!$M137:$P137,'350配方'!$Y137:$AB137,152)</x:f>
        <x:v>0</x:v>
      </x:c>
      <x:c r="AB137" s="9" t="n">
        <x:f>SUMIFS('350配方'!$M137:$P137,'350配方'!$Y137:$AB137,165)</x:f>
        <x:v>0</x:v>
      </x:c>
      <x:c r="AC137" s="9" t="n">
        <x:f>SUMIFS('350配方'!$M137:$P137,'350配方'!$Y137:$AB137,186)</x:f>
        <x:v>0</x:v>
      </x:c>
      <x:c r="AD137" s="9" t="n">
        <x:f>SUMIFS('350配方'!$M137:$P137,'350配方'!$Y137:$AB137,207)</x:f>
        <x:v>1</x:v>
      </x:c>
      <x:c r="AE137" s="9" t="n">
        <x:f>SUMIFS('350配方'!$M137:$P137,'350配方'!$Y137:$AB137,209)</x:f>
        <x:v>0</x:v>
      </x:c>
      <x:c r="AF137" s="9" t="n">
        <x:f>SUMIFS('350配方'!$M137:$P137,'350配方'!$Y137:$AB137,227)</x:f>
        <x:v>0</x:v>
      </x:c>
      <x:c r="AG137" s="9" t="n">
        <x:f>SUMIFS('350配方'!$M137:$P137,'350配方'!$Y137:$AB137,232)</x:f>
        <x:v>0</x:v>
      </x:c>
      <x:c r="AH137" s="9" t="n">
        <x:f>SUMIFS('350配方'!$M137:$P137,'350配方'!$Y137:$AB137,255)</x:f>
        <x:v>0</x:v>
      </x:c>
      <x:c r="AI137" s="9" t="n">
        <x:f>'浓度设置'!S6</x:f>
        <x:v>219125.9626344086</x:v>
      </x:c>
      <x:c r="AJ137" s="9" t="n">
        <x:f>'浓度设置'!S8</x:f>
        <x:v>92796.92267241378</x:v>
      </x:c>
      <x:c r="AK137" s="9" t="n">
        <x:f>'浓度设置'!S10</x:f>
        <x:v>30556.797802197798</x:v>
      </x:c>
      <x:c r="AL137" s="9" t="n">
        <x:f>'浓度设置'!S12</x:f>
        <x:v>1735.828970588235</x:v>
      </x:c>
      <x:c r="AM137" s="9" t="n">
        <x:f>'浓度设置'!S15</x:f>
        <x:v>7385.813644067793</x:v>
      </x:c>
      <x:c r="AN137" s="9" t="n">
        <x:f>'浓度设置'!S19</x:f>
        <x:v>27722.03097701148</x:v>
      </x:c>
      <x:c r="AO137" s="9" t="n">
        <x:f>'浓度设置'!S22</x:f>
        <x:v>44345.55047619048</x:v>
      </x:c>
      <x:c r="AP137" s="9" t="n">
        <x:f>'浓度设置'!S26</x:f>
        <x:v>153318.30499999996</x:v>
      </x:c>
      <x:c r="AQ137" s="9" t="n">
        <x:f>'浓度设置'!S29</x:f>
        <x:v>312.7970588235294</x:v>
      </x:c>
      <x:c r="AR137" s="9" t="n">
        <x:f>'浓度设置'!S30</x:f>
        <x:v>104175.5097553192</x:v>
      </x:c>
      <x:c r="AS137" s="9" t="n">
        <x:f>'浓度设置'!S35</x:f>
        <x:v>405974.90656785714</x:v>
      </x:c>
    </x:row>
    <x:row r="138" ht="24" customHeight="1">
      <x:c r="A138" s="3" t="str">
        <x:f>'350配方'!A138</x:f>
        <x:v>T133</x:v>
      </x:c>
      <x:c r="B138" s="3" t="str">
        <x:f>'350配方'!B138</x:f>
        <x:v>拟合</x:v>
      </x:c>
      <x:c r="C138" s="3" t="n">
        <x:f>IF(B138="拟合",1,0)</x:f>
        <x:v>1</x:v>
      </x:c>
      <x:c r="D138" s="3" t="n">
        <x:f>'350配方'!AC138</x:f>
        <x:v>4</x:v>
      </x:c>
      <x:c r="E138" s="9" t="n">
        <x:f>SUMIFS('350配方'!$M138:$P138,'350配方'!$Y138:$AB138,7)</x:f>
        <x:v>0</x:v>
      </x:c>
      <x:c r="F138" s="9" t="n">
        <x:f>SUMIFS('350配方'!$M138:$P138,'350配方'!$Y138:$AB138,11)</x:f>
        <x:v>16.97</x:v>
      </x:c>
      <x:c r="G138" s="9" t="n">
        <x:f>SUMIFS('350配方'!$M138:$P138,'350配方'!$Y138:$AB138,18)</x:f>
        <x:v>0</x:v>
      </x:c>
      <x:c r="H138" s="9" t="n">
        <x:f>SUMIFS('350配方'!$M138:$P138,'350配方'!$Y138:$AB138,32)</x:f>
        <x:v>0</x:v>
      </x:c>
      <x:c r="I138" s="9" t="n">
        <x:f>SUMIFS('350配方'!$M138:$P138,'350配方'!$Y138:$AB138,40)</x:f>
        <x:v>0</x:v>
      </x:c>
      <x:c r="J138" s="9" t="n">
        <x:f>SUMIFS('350配方'!$M138:$P138,'350配方'!$Y138:$AB138,52)</x:f>
        <x:v>4.24</x:v>
      </x:c>
      <x:c r="K138" s="9" t="n">
        <x:f>SUMIFS('350配方'!$M138:$P138,'350配方'!$Y138:$AB138,53)</x:f>
        <x:v>0</x:v>
      </x:c>
      <x:c r="L138" s="9" t="n">
        <x:f>SUMIFS('350配方'!$M138:$P138,'350配方'!$Y138:$AB138,56)</x:f>
        <x:v>0</x:v>
      </x:c>
      <x:c r="M138" s="9" t="n">
        <x:f>SUMIFS('350配方'!$M138:$P138,'350配方'!$Y138:$AB138,58)</x:f>
        <x:v>0</x:v>
      </x:c>
      <x:c r="N138" s="9" t="n">
        <x:f>SUMIFS('350配方'!$M138:$P138,'350配方'!$Y138:$AB138,61)</x:f>
        <x:v>0</x:v>
      </x:c>
      <x:c r="O138" s="9" t="n">
        <x:f>SUMIFS('350配方'!$M138:$P138,'350配方'!$Y138:$AB138,69)</x:f>
        <x:v>0</x:v>
      </x:c>
      <x:c r="P138" s="9" t="n">
        <x:f>SUMIFS('350配方'!$M138:$P138,'350配方'!$Y138:$AB138,75)</x:f>
        <x:v>0</x:v>
      </x:c>
      <x:c r="Q138" s="9" t="n">
        <x:f>SUMIFS('350配方'!$M138:$P138,'350配方'!$Y138:$AB138,79)</x:f>
        <x:v>0</x:v>
      </x:c>
      <x:c r="R138" s="9" t="n">
        <x:f>SUMIFS('350配方'!$M138:$P138,'350配方'!$Y138:$AB138,90)</x:f>
        <x:v>0</x:v>
      </x:c>
      <x:c r="S138" s="9" t="n">
        <x:f>SUMIFS('350配方'!$M138:$P138,'350配方'!$Y138:$AB138,105)</x:f>
        <x:v>0</x:v>
      </x:c>
      <x:c r="T138" s="9" t="n">
        <x:f>SUMIFS('350配方'!$M138:$P138,'350配方'!$Y138:$AB138,111)</x:f>
        <x:v>0</x:v>
      </x:c>
      <x:c r="U138" s="9" t="n">
        <x:f>SUMIFS('350配方'!$M138:$P138,'350配方'!$Y138:$AB138,114)</x:f>
        <x:v>0</x:v>
      </x:c>
      <x:c r="V138" s="9" t="n">
        <x:f>SUMIFS('350配方'!$M138:$P138,'350配方'!$Y138:$AB138,115)</x:f>
        <x:v>0</x:v>
      </x:c>
      <x:c r="W138" s="9" t="n">
        <x:f>SUMIFS('350配方'!$M138:$P138,'350配方'!$Y138:$AB138,117)</x:f>
        <x:v>0</x:v>
      </x:c>
      <x:c r="X138" s="9" t="n">
        <x:f>SUMIFS('350配方'!$M138:$P138,'350配方'!$Y138:$AB138,126)</x:f>
        <x:v>0</x:v>
      </x:c>
      <x:c r="Y138" s="9" t="n">
        <x:f>SUMIFS('350配方'!$M138:$P138,'350配方'!$Y138:$AB138,136)</x:f>
        <x:v>1.1875</x:v>
      </x:c>
      <x:c r="Z138" s="9" t="n">
        <x:f>SUMIFS('350配方'!$M138:$P138,'350配方'!$Y138:$AB138,141)</x:f>
        <x:v>0</x:v>
      </x:c>
      <x:c r="AA138" s="9" t="n">
        <x:f>SUMIFS('350配方'!$M138:$P138,'350配方'!$Y138:$AB138,152)</x:f>
        <x:v>0</x:v>
      </x:c>
      <x:c r="AB138" s="9" t="n">
        <x:f>SUMIFS('350配方'!$M138:$P138,'350配方'!$Y138:$AB138,165)</x:f>
        <x:v>0</x:v>
      </x:c>
      <x:c r="AC138" s="9" t="n">
        <x:f>SUMIFS('350配方'!$M138:$P138,'350配方'!$Y138:$AB138,186)</x:f>
        <x:v>0</x:v>
      </x:c>
      <x:c r="AD138" s="9" t="n">
        <x:f>SUMIFS('350配方'!$M138:$P138,'350配方'!$Y138:$AB138,207)</x:f>
        <x:v>0</x:v>
      </x:c>
      <x:c r="AE138" s="9" t="n">
        <x:f>SUMIFS('350配方'!$M138:$P138,'350配方'!$Y138:$AB138,209)</x:f>
        <x:v>0</x:v>
      </x:c>
      <x:c r="AF138" s="9" t="n">
        <x:f>SUMIFS('350配方'!$M138:$P138,'350配方'!$Y138:$AB138,227)</x:f>
        <x:v>0</x:v>
      </x:c>
      <x:c r="AG138" s="9" t="n">
        <x:f>SUMIFS('350配方'!$M138:$P138,'350配方'!$Y138:$AB138,232)</x:f>
        <x:v>0</x:v>
      </x:c>
      <x:c r="AH138" s="9" t="n">
        <x:f>SUMIFS('350配方'!$M138:$P138,'350配方'!$Y138:$AB138,255)</x:f>
        <x:v>9.546727187890099</x:v>
      </x:c>
      <x:c r="AI138" s="9" t="n">
        <x:f>'浓度设置'!S6</x:f>
        <x:v>219125.9626344086</x:v>
      </x:c>
      <x:c r="AJ138" s="9" t="n">
        <x:f>'浓度设置'!S8</x:f>
        <x:v>92796.92267241378</x:v>
      </x:c>
      <x:c r="AK138" s="9" t="n">
        <x:f>'浓度设置'!S10</x:f>
        <x:v>30556.797802197798</x:v>
      </x:c>
      <x:c r="AL138" s="9" t="n">
        <x:f>'浓度设置'!S12</x:f>
        <x:v>1735.828970588235</x:v>
      </x:c>
      <x:c r="AM138" s="9" t="n">
        <x:f>'浓度设置'!S15</x:f>
        <x:v>7385.813644067793</x:v>
      </x:c>
      <x:c r="AN138" s="9" t="n">
        <x:f>'浓度设置'!S19</x:f>
        <x:v>27722.03097701148</x:v>
      </x:c>
      <x:c r="AO138" s="9" t="n">
        <x:f>'浓度设置'!S22</x:f>
        <x:v>44345.55047619048</x:v>
      </x:c>
      <x:c r="AP138" s="9" t="n">
        <x:f>'浓度设置'!S26</x:f>
        <x:v>153318.30499999996</x:v>
      </x:c>
      <x:c r="AQ138" s="9" t="n">
        <x:f>'浓度设置'!S29</x:f>
        <x:v>312.7970588235294</x:v>
      </x:c>
      <x:c r="AR138" s="9" t="n">
        <x:f>'浓度设置'!S30</x:f>
        <x:v>104175.5097553192</x:v>
      </x:c>
      <x:c r="AS138" s="9" t="n">
        <x:f>'浓度设置'!S35</x:f>
        <x:v>405974.90656785714</x:v>
      </x:c>
    </x:row>
    <x:row r="139" ht="24" customHeight="1">
      <x:c r="A139" s="3" t="str">
        <x:f>'350配方'!A139</x:f>
        <x:v>T134</x:v>
      </x:c>
      <x:c r="B139" s="3" t="str">
        <x:f>'350配方'!B139</x:f>
        <x:v>拟合</x:v>
      </x:c>
      <x:c r="C139" s="3" t="n">
        <x:f>IF(B139="拟合",1,0)</x:f>
        <x:v>1</x:v>
      </x:c>
      <x:c r="D139" s="3" t="n">
        <x:f>'350配方'!AC139</x:f>
        <x:v>4</x:v>
      </x:c>
      <x:c r="E139" s="9" t="n">
        <x:f>SUMIFS('350配方'!$M139:$P139,'350配方'!$Y139:$AB139,7)</x:f>
        <x:v>0</x:v>
      </x:c>
      <x:c r="F139" s="9" t="n">
        <x:f>SUMIFS('350配方'!$M139:$P139,'350配方'!$Y139:$AB139,11)</x:f>
        <x:v>0</x:v>
      </x:c>
      <x:c r="G139" s="9" t="n">
        <x:f>SUMIFS('350配方'!$M139:$P139,'350配方'!$Y139:$AB139,18)</x:f>
        <x:v>0</x:v>
      </x:c>
      <x:c r="H139" s="9" t="n">
        <x:f>SUMIFS('350配方'!$M139:$P139,'350配方'!$Y139:$AB139,32)</x:f>
        <x:v>0</x:v>
      </x:c>
      <x:c r="I139" s="9" t="n">
        <x:f>SUMIFS('350配方'!$M139:$P139,'350配方'!$Y139:$AB139,40)</x:f>
        <x:v>0</x:v>
      </x:c>
      <x:c r="J139" s="9" t="n">
        <x:f>SUMIFS('350配方'!$M139:$P139,'350配方'!$Y139:$AB139,52)</x:f>
        <x:v>0</x:v>
      </x:c>
      <x:c r="K139" s="9" t="n">
        <x:f>SUMIFS('350配方'!$M139:$P139,'350配方'!$Y139:$AB139,53)</x:f>
        <x:v>0</x:v>
      </x:c>
      <x:c r="L139" s="9" t="n">
        <x:f>SUMIFS('350配方'!$M139:$P139,'350配方'!$Y139:$AB139,56)</x:f>
        <x:v>0</x:v>
      </x:c>
      <x:c r="M139" s="9" t="n">
        <x:f>SUMIFS('350配方'!$M139:$P139,'350配方'!$Y139:$AB139,58)</x:f>
        <x:v>0</x:v>
      </x:c>
      <x:c r="N139" s="9" t="n">
        <x:f>SUMIFS('350配方'!$M139:$P139,'350配方'!$Y139:$AB139,61)</x:f>
        <x:v>0</x:v>
      </x:c>
      <x:c r="O139" s="9" t="n">
        <x:f>SUMIFS('350配方'!$M139:$P139,'350配方'!$Y139:$AB139,69)</x:f>
        <x:v>0</x:v>
      </x:c>
      <x:c r="P139" s="9" t="n">
        <x:f>SUMIFS('350配方'!$M139:$P139,'350配方'!$Y139:$AB139,75)</x:f>
        <x:v>62700</x:v>
      </x:c>
      <x:c r="Q139" s="9" t="n">
        <x:f>SUMIFS('350配方'!$M139:$P139,'350配方'!$Y139:$AB139,79)</x:f>
        <x:v>0</x:v>
      </x:c>
      <x:c r="R139" s="9" t="n">
        <x:f>SUMIFS('350配方'!$M139:$P139,'350配方'!$Y139:$AB139,90)</x:f>
        <x:v>0</x:v>
      </x:c>
      <x:c r="S139" s="9" t="n">
        <x:f>SUMIFS('350配方'!$M139:$P139,'350配方'!$Y139:$AB139,105)</x:f>
        <x:v>0</x:v>
      </x:c>
      <x:c r="T139" s="9" t="n">
        <x:f>SUMIFS('350配方'!$M139:$P139,'350配方'!$Y139:$AB139,111)</x:f>
        <x:v>0</x:v>
      </x:c>
      <x:c r="U139" s="9" t="n">
        <x:f>SUMIFS('350配方'!$M139:$P139,'350配方'!$Y139:$AB139,114)</x:f>
        <x:v>0</x:v>
      </x:c>
      <x:c r="V139" s="9" t="n">
        <x:f>SUMIFS('350配方'!$M139:$P139,'350配方'!$Y139:$AB139,115)</x:f>
        <x:v>0</x:v>
      </x:c>
      <x:c r="W139" s="9" t="n">
        <x:f>SUMIFS('350配方'!$M139:$P139,'350配方'!$Y139:$AB139,117)</x:f>
        <x:v>274.54883445390914</x:v>
      </x:c>
      <x:c r="X139" s="9" t="n">
        <x:f>SUMIFS('350配方'!$M139:$P139,'350配方'!$Y139:$AB139,126)</x:f>
        <x:v>0</x:v>
      </x:c>
      <x:c r="Y139" s="9" t="n">
        <x:f>SUMIFS('350配方'!$M139:$P139,'350配方'!$Y139:$AB139,136)</x:f>
        <x:v>0</x:v>
      </x:c>
      <x:c r="Z139" s="9" t="n">
        <x:f>SUMIFS('350配方'!$M139:$P139,'350配方'!$Y139:$AB139,141)</x:f>
        <x:v>0</x:v>
      </x:c>
      <x:c r="AA139" s="9" t="n">
        <x:f>SUMIFS('350配方'!$M139:$P139,'350配方'!$Y139:$AB139,152)</x:f>
        <x:v>227200</x:v>
      </x:c>
      <x:c r="AB139" s="9" t="n">
        <x:f>SUMIFS('350配方'!$M139:$P139,'350配方'!$Y139:$AB139,165)</x:f>
        <x:v>0</x:v>
      </x:c>
      <x:c r="AC139" s="9" t="n">
        <x:f>SUMIFS('350配方'!$M139:$P139,'350配方'!$Y139:$AB139,186)</x:f>
        <x:v>0</x:v>
      </x:c>
      <x:c r="AD139" s="9" t="n">
        <x:f>SUMIFS('350配方'!$M139:$P139,'350配方'!$Y139:$AB139,207)</x:f>
        <x:v>0</x:v>
      </x:c>
      <x:c r="AE139" s="9" t="n">
        <x:f>SUMIFS('350配方'!$M139:$P139,'350配方'!$Y139:$AB139,209)</x:f>
        <x:v>34.2987346705385</x:v>
      </x:c>
      <x:c r="AF139" s="9" t="n">
        <x:f>SUMIFS('350配方'!$M139:$P139,'350配方'!$Y139:$AB139,227)</x:f>
        <x:v>0</x:v>
      </x:c>
      <x:c r="AG139" s="9" t="n">
        <x:f>SUMIFS('350配方'!$M139:$P139,'350配方'!$Y139:$AB139,232)</x:f>
        <x:v>0</x:v>
      </x:c>
      <x:c r="AH139" s="9" t="n">
        <x:f>SUMIFS('350配方'!$M139:$P139,'350配方'!$Y139:$AB139,255)</x:f>
        <x:v>0</x:v>
      </x:c>
      <x:c r="AI139" s="9" t="n">
        <x:f>'浓度设置'!S6</x:f>
        <x:v>219125.9626344086</x:v>
      </x:c>
      <x:c r="AJ139" s="9" t="n">
        <x:f>'浓度设置'!S8</x:f>
        <x:v>92796.92267241378</x:v>
      </x:c>
      <x:c r="AK139" s="9" t="n">
        <x:f>'浓度设置'!S10</x:f>
        <x:v>30556.797802197798</x:v>
      </x:c>
      <x:c r="AL139" s="9" t="n">
        <x:f>'浓度设置'!S12</x:f>
        <x:v>1735.828970588235</x:v>
      </x:c>
      <x:c r="AM139" s="9" t="n">
        <x:f>'浓度设置'!S15</x:f>
        <x:v>7385.813644067793</x:v>
      </x:c>
      <x:c r="AN139" s="9" t="n">
        <x:f>'浓度设置'!S19</x:f>
        <x:v>27722.03097701148</x:v>
      </x:c>
      <x:c r="AO139" s="9" t="n">
        <x:f>'浓度设置'!S22</x:f>
        <x:v>44345.55047619048</x:v>
      </x:c>
      <x:c r="AP139" s="9" t="n">
        <x:f>'浓度设置'!S26</x:f>
        <x:v>153318.30499999996</x:v>
      </x:c>
      <x:c r="AQ139" s="9" t="n">
        <x:f>'浓度设置'!S29</x:f>
        <x:v>312.7970588235294</x:v>
      </x:c>
      <x:c r="AR139" s="9" t="n">
        <x:f>'浓度设置'!S30</x:f>
        <x:v>104175.5097553192</x:v>
      </x:c>
      <x:c r="AS139" s="9" t="n">
        <x:f>'浓度设置'!S35</x:f>
        <x:v>405974.90656785714</x:v>
      </x:c>
    </x:row>
    <x:row r="140" ht="24" customHeight="1">
      <x:c r="A140" s="3" t="str">
        <x:f>'350配方'!A140</x:f>
        <x:v>T135</x:v>
      </x:c>
      <x:c r="B140" s="3" t="str">
        <x:f>'350配方'!B140</x:f>
        <x:v>拟合</x:v>
      </x:c>
      <x:c r="C140" s="3" t="n">
        <x:f>IF(B140="拟合",1,0)</x:f>
        <x:v>1</x:v>
      </x:c>
      <x:c r="D140" s="3" t="n">
        <x:f>'350配方'!AC140</x:f>
        <x:v>4</x:v>
      </x:c>
      <x:c r="E140" s="9" t="n">
        <x:f>SUMIFS('350配方'!$M140:$P140,'350配方'!$Y140:$AB140,7)</x:f>
        <x:v>3075.94</x:v>
      </x:c>
      <x:c r="F140" s="9" t="n">
        <x:f>SUMIFS('350配方'!$M140:$P140,'350配方'!$Y140:$AB140,11)</x:f>
        <x:v>0</x:v>
      </x:c>
      <x:c r="G140" s="9" t="n">
        <x:f>SUMIFS('350配方'!$M140:$P140,'350配方'!$Y140:$AB140,18)</x:f>
        <x:v>0</x:v>
      </x:c>
      <x:c r="H140" s="9" t="n">
        <x:f>SUMIFS('350配方'!$M140:$P140,'350配方'!$Y140:$AB140,32)</x:f>
        <x:v>0</x:v>
      </x:c>
      <x:c r="I140" s="9" t="n">
        <x:f>SUMIFS('350配方'!$M140:$P140,'350配方'!$Y140:$AB140,40)</x:f>
        <x:v>0</x:v>
      </x:c>
      <x:c r="J140" s="9" t="n">
        <x:f>SUMIFS('350配方'!$M140:$P140,'350配方'!$Y140:$AB140,52)</x:f>
        <x:v>0</x:v>
      </x:c>
      <x:c r="K140" s="9" t="n">
        <x:f>SUMIFS('350配方'!$M140:$P140,'350配方'!$Y140:$AB140,53)</x:f>
        <x:v>0</x:v>
      </x:c>
      <x:c r="L140" s="9" t="n">
        <x:f>SUMIFS('350配方'!$M140:$P140,'350配方'!$Y140:$AB140,56)</x:f>
        <x:v>0</x:v>
      </x:c>
      <x:c r="M140" s="9" t="n">
        <x:f>SUMIFS('350配方'!$M140:$P140,'350配方'!$Y140:$AB140,58)</x:f>
        <x:v>0</x:v>
      </x:c>
      <x:c r="N140" s="9" t="n">
        <x:f>SUMIFS('350配方'!$M140:$P140,'350配方'!$Y140:$AB140,61)</x:f>
        <x:v>0</x:v>
      </x:c>
      <x:c r="O140" s="9" t="n">
        <x:f>SUMIFS('350配方'!$M140:$P140,'350配方'!$Y140:$AB140,69)</x:f>
        <x:v>0</x:v>
      </x:c>
      <x:c r="P140" s="9" t="n">
        <x:f>SUMIFS('350配方'!$M140:$P140,'350配方'!$Y140:$AB140,75)</x:f>
        <x:v>0</x:v>
      </x:c>
      <x:c r="Q140" s="9" t="n">
        <x:f>SUMIFS('350配方'!$M140:$P140,'350配方'!$Y140:$AB140,79)</x:f>
        <x:v>0</x:v>
      </x:c>
      <x:c r="R140" s="9" t="n">
        <x:f>SUMIFS('350配方'!$M140:$P140,'350配方'!$Y140:$AB140,90)</x:f>
        <x:v>0</x:v>
      </x:c>
      <x:c r="S140" s="9" t="n">
        <x:f>SUMIFS('350配方'!$M140:$P140,'350配方'!$Y140:$AB140,105)</x:f>
        <x:v>0</x:v>
      </x:c>
      <x:c r="T140" s="9" t="n">
        <x:f>SUMIFS('350配方'!$M140:$P140,'350配方'!$Y140:$AB140,111)</x:f>
        <x:v>0</x:v>
      </x:c>
      <x:c r="U140" s="9" t="n">
        <x:f>SUMIFS('350配方'!$M140:$P140,'350配方'!$Y140:$AB140,114)</x:f>
        <x:v>0</x:v>
      </x:c>
      <x:c r="V140" s="9" t="n">
        <x:f>SUMIFS('350配方'!$M140:$P140,'350配方'!$Y140:$AB140,115)</x:f>
        <x:v>1.44</x:v>
      </x:c>
      <x:c r="W140" s="9" t="n">
        <x:f>SUMIFS('350配方'!$M140:$P140,'350配方'!$Y140:$AB140,117)</x:f>
        <x:v>0</x:v>
      </x:c>
      <x:c r="X140" s="9" t="n">
        <x:f>SUMIFS('350配方'!$M140:$P140,'350配方'!$Y140:$AB140,126)</x:f>
        <x:v>0</x:v>
      </x:c>
      <x:c r="Y140" s="9" t="n">
        <x:f>SUMIFS('350配方'!$M140:$P140,'350配方'!$Y140:$AB140,136)</x:f>
        <x:v>0</x:v>
      </x:c>
      <x:c r="Z140" s="9" t="n">
        <x:f>SUMIFS('350配方'!$M140:$P140,'350配方'!$Y140:$AB140,141)</x:f>
        <x:v>0</x:v>
      </x:c>
      <x:c r="AA140" s="9" t="n">
        <x:f>SUMIFS('350配方'!$M140:$P140,'350配方'!$Y140:$AB140,152)</x:f>
        <x:v>0</x:v>
      </x:c>
      <x:c r="AB140" s="9" t="n">
        <x:f>SUMIFS('350配方'!$M140:$P140,'350配方'!$Y140:$AB140,165)</x:f>
        <x:v>0</x:v>
      </x:c>
      <x:c r="AC140" s="9" t="n">
        <x:f>SUMIFS('350配方'!$M140:$P140,'350配方'!$Y140:$AB140,186)</x:f>
        <x:v>11648000</x:v>
      </x:c>
      <x:c r="AD140" s="9" t="n">
        <x:f>SUMIFS('350配方'!$M140:$P140,'350配方'!$Y140:$AB140,207)</x:f>
        <x:v>0</x:v>
      </x:c>
      <x:c r="AE140" s="9" t="n">
        <x:f>SUMIFS('350配方'!$M140:$P140,'350配方'!$Y140:$AB140,209)</x:f>
        <x:v>0</x:v>
      </x:c>
      <x:c r="AF140" s="9" t="n">
        <x:f>SUMIFS('350配方'!$M140:$P140,'350配方'!$Y140:$AB140,227)</x:f>
        <x:v>0</x:v>
      </x:c>
      <x:c r="AG140" s="9" t="n">
        <x:f>SUMIFS('350配方'!$M140:$P140,'350配方'!$Y140:$AB140,232)</x:f>
        <x:v>0.97</x:v>
      </x:c>
      <x:c r="AH140" s="9" t="n">
        <x:f>SUMIFS('350配方'!$M140:$P140,'350配方'!$Y140:$AB140,255)</x:f>
        <x:v>0</x:v>
      </x:c>
      <x:c r="AI140" s="9" t="n">
        <x:f>'浓度设置'!S6</x:f>
        <x:v>219125.9626344086</x:v>
      </x:c>
      <x:c r="AJ140" s="9" t="n">
        <x:f>'浓度设置'!S8</x:f>
        <x:v>92796.92267241378</x:v>
      </x:c>
      <x:c r="AK140" s="9" t="n">
        <x:f>'浓度设置'!S10</x:f>
        <x:v>30556.797802197798</x:v>
      </x:c>
      <x:c r="AL140" s="9" t="n">
        <x:f>'浓度设置'!S12</x:f>
        <x:v>1735.828970588235</x:v>
      </x:c>
      <x:c r="AM140" s="9" t="n">
        <x:f>'浓度设置'!S15</x:f>
        <x:v>7385.813644067793</x:v>
      </x:c>
      <x:c r="AN140" s="9" t="n">
        <x:f>'浓度设置'!S19</x:f>
        <x:v>27722.03097701148</x:v>
      </x:c>
      <x:c r="AO140" s="9" t="n">
        <x:f>'浓度设置'!S22</x:f>
        <x:v>44345.55047619048</x:v>
      </x:c>
      <x:c r="AP140" s="9" t="n">
        <x:f>'浓度设置'!S26</x:f>
        <x:v>153318.30499999996</x:v>
      </x:c>
      <x:c r="AQ140" s="9" t="n">
        <x:f>'浓度设置'!S29</x:f>
        <x:v>312.7970588235294</x:v>
      </x:c>
      <x:c r="AR140" s="9" t="n">
        <x:f>'浓度设置'!S30</x:f>
        <x:v>104175.5097553192</x:v>
      </x:c>
      <x:c r="AS140" s="9" t="n">
        <x:f>'浓度设置'!S35</x:f>
        <x:v>405974.90656785714</x:v>
      </x:c>
    </x:row>
    <x:row r="141" ht="24" customHeight="1">
      <x:c r="A141" s="3" t="str">
        <x:f>'350配方'!A141</x:f>
        <x:v>T136</x:v>
      </x:c>
      <x:c r="B141" s="3" t="str">
        <x:f>'350配方'!B141</x:f>
        <x:v>拟合</x:v>
      </x:c>
      <x:c r="C141" s="3" t="n">
        <x:f>IF(B141="拟合",1,0)</x:f>
        <x:v>1</x:v>
      </x:c>
      <x:c r="D141" s="3" t="n">
        <x:f>'350配方'!AC141</x:f>
        <x:v>4</x:v>
      </x:c>
      <x:c r="E141" s="9" t="n">
        <x:f>SUMIFS('350配方'!$M141:$P141,'350配方'!$Y141:$AB141,7)</x:f>
        <x:v>0</x:v>
      </x:c>
      <x:c r="F141" s="9" t="n">
        <x:f>SUMIFS('350配方'!$M141:$P141,'350配方'!$Y141:$AB141,11)</x:f>
        <x:v>0</x:v>
      </x:c>
      <x:c r="G141" s="9" t="n">
        <x:f>SUMIFS('350配方'!$M141:$P141,'350配方'!$Y141:$AB141,18)</x:f>
        <x:v>0</x:v>
      </x:c>
      <x:c r="H141" s="9" t="n">
        <x:f>SUMIFS('350配方'!$M141:$P141,'350配方'!$Y141:$AB141,32)</x:f>
        <x:v>0</x:v>
      </x:c>
      <x:c r="I141" s="9" t="n">
        <x:f>SUMIFS('350配方'!$M141:$P141,'350配方'!$Y141:$AB141,40)</x:f>
        <x:v>0</x:v>
      </x:c>
      <x:c r="J141" s="9" t="n">
        <x:f>SUMIFS('350配方'!$M141:$P141,'350配方'!$Y141:$AB141,52)</x:f>
        <x:v>0</x:v>
      </x:c>
      <x:c r="K141" s="9" t="n">
        <x:f>SUMIFS('350配方'!$M141:$P141,'350配方'!$Y141:$AB141,53)</x:f>
        <x:v>0</x:v>
      </x:c>
      <x:c r="L141" s="9" t="n">
        <x:f>SUMIFS('350配方'!$M141:$P141,'350配方'!$Y141:$AB141,56)</x:f>
        <x:v>0</x:v>
      </x:c>
      <x:c r="M141" s="9" t="n">
        <x:f>SUMIFS('350配方'!$M141:$P141,'350配方'!$Y141:$AB141,58)</x:f>
        <x:v>0</x:v>
      </x:c>
      <x:c r="N141" s="9" t="n">
        <x:f>SUMIFS('350配方'!$M141:$P141,'350配方'!$Y141:$AB141,61)</x:f>
        <x:v>0</x:v>
      </x:c>
      <x:c r="O141" s="9" t="n">
        <x:f>SUMIFS('350配方'!$M141:$P141,'350配方'!$Y141:$AB141,69)</x:f>
        <x:v>0.83</x:v>
      </x:c>
      <x:c r="P141" s="9" t="n">
        <x:f>SUMIFS('350配方'!$M141:$P141,'350配方'!$Y141:$AB141,75)</x:f>
        <x:v>0</x:v>
      </x:c>
      <x:c r="Q141" s="9" t="n">
        <x:f>SUMIFS('350配方'!$M141:$P141,'350配方'!$Y141:$AB141,79)</x:f>
        <x:v>0</x:v>
      </x:c>
      <x:c r="R141" s="9" t="n">
        <x:f>SUMIFS('350配方'!$M141:$P141,'350配方'!$Y141:$AB141,90)</x:f>
        <x:v>0</x:v>
      </x:c>
      <x:c r="S141" s="9" t="n">
        <x:f>SUMIFS('350配方'!$M141:$P141,'350配方'!$Y141:$AB141,105)</x:f>
        <x:v>15730</x:v>
      </x:c>
      <x:c r="T141" s="9" t="n">
        <x:f>SUMIFS('350配方'!$M141:$P141,'350配方'!$Y141:$AB141,111)</x:f>
        <x:v>0</x:v>
      </x:c>
      <x:c r="U141" s="9" t="n">
        <x:f>SUMIFS('350配方'!$M141:$P141,'350配方'!$Y141:$AB141,114)</x:f>
        <x:v>47100</x:v>
      </x:c>
      <x:c r="V141" s="9" t="n">
        <x:f>SUMIFS('350配方'!$M141:$P141,'350配方'!$Y141:$AB141,115)</x:f>
        <x:v>0</x:v>
      </x:c>
      <x:c r="W141" s="9" t="n">
        <x:f>SUMIFS('350配方'!$M141:$P141,'350配方'!$Y141:$AB141,117)</x:f>
        <x:v>0</x:v>
      </x:c>
      <x:c r="X141" s="9" t="n">
        <x:f>SUMIFS('350配方'!$M141:$P141,'350配方'!$Y141:$AB141,126)</x:f>
        <x:v>0</x:v>
      </x:c>
      <x:c r="Y141" s="9" t="n">
        <x:f>SUMIFS('350配方'!$M141:$P141,'350配方'!$Y141:$AB141,136)</x:f>
        <x:v>0</x:v>
      </x:c>
      <x:c r="Z141" s="9" t="n">
        <x:f>SUMIFS('350配方'!$M141:$P141,'350配方'!$Y141:$AB141,141)</x:f>
        <x:v>0</x:v>
      </x:c>
      <x:c r="AA141" s="9" t="n">
        <x:f>SUMIFS('350配方'!$M141:$P141,'350配方'!$Y141:$AB141,152)</x:f>
        <x:v>0</x:v>
      </x:c>
      <x:c r="AB141" s="9" t="n">
        <x:f>SUMIFS('350配方'!$M141:$P141,'350配方'!$Y141:$AB141,165)</x:f>
        <x:v>0</x:v>
      </x:c>
      <x:c r="AC141" s="9" t="n">
        <x:f>SUMIFS('350配方'!$M141:$P141,'350配方'!$Y141:$AB141,186)</x:f>
        <x:v>0</x:v>
      </x:c>
      <x:c r="AD141" s="9" t="n">
        <x:f>SUMIFS('350配方'!$M141:$P141,'350配方'!$Y141:$AB141,207)</x:f>
        <x:v>0</x:v>
      </x:c>
      <x:c r="AE141" s="9" t="n">
        <x:f>SUMIFS('350配方'!$M141:$P141,'350配方'!$Y141:$AB141,209)</x:f>
        <x:v>0</x:v>
      </x:c>
      <x:c r="AF141" s="9" t="n">
        <x:f>SUMIFS('350配方'!$M141:$P141,'350配方'!$Y141:$AB141,227)</x:f>
        <x:v>695.986709643223</x:v>
      </x:c>
      <x:c r="AG141" s="9" t="n">
        <x:f>SUMIFS('350配方'!$M141:$P141,'350配方'!$Y141:$AB141,232)</x:f>
        <x:v>0</x:v>
      </x:c>
      <x:c r="AH141" s="9" t="n">
        <x:f>SUMIFS('350配方'!$M141:$P141,'350配方'!$Y141:$AB141,255)</x:f>
        <x:v>0</x:v>
      </x:c>
      <x:c r="AI141" s="9" t="n">
        <x:f>'浓度设置'!S6</x:f>
        <x:v>219125.9626344086</x:v>
      </x:c>
      <x:c r="AJ141" s="9" t="n">
        <x:f>'浓度设置'!S8</x:f>
        <x:v>92796.92267241378</x:v>
      </x:c>
      <x:c r="AK141" s="9" t="n">
        <x:f>'浓度设置'!S10</x:f>
        <x:v>30556.797802197798</x:v>
      </x:c>
      <x:c r="AL141" s="9" t="n">
        <x:f>'浓度设置'!S12</x:f>
        <x:v>1735.828970588235</x:v>
      </x:c>
      <x:c r="AM141" s="9" t="n">
        <x:f>'浓度设置'!S15</x:f>
        <x:v>7385.813644067793</x:v>
      </x:c>
      <x:c r="AN141" s="9" t="n">
        <x:f>'浓度设置'!S19</x:f>
        <x:v>27722.03097701148</x:v>
      </x:c>
      <x:c r="AO141" s="9" t="n">
        <x:f>'浓度设置'!S22</x:f>
        <x:v>44345.55047619048</x:v>
      </x:c>
      <x:c r="AP141" s="9" t="n">
        <x:f>'浓度设置'!S26</x:f>
        <x:v>153318.30499999996</x:v>
      </x:c>
      <x:c r="AQ141" s="9" t="n">
        <x:f>'浓度设置'!S29</x:f>
        <x:v>312.7970588235294</x:v>
      </x:c>
      <x:c r="AR141" s="9" t="n">
        <x:f>'浓度设置'!S30</x:f>
        <x:v>104175.5097553192</x:v>
      </x:c>
      <x:c r="AS141" s="9" t="n">
        <x:f>'浓度设置'!S35</x:f>
        <x:v>405974.90656785714</x:v>
      </x:c>
    </x:row>
    <x:row r="142" ht="24" customHeight="1">
      <x:c r="A142" s="3" t="str">
        <x:f>'350配方'!A142</x:f>
        <x:v>T137</x:v>
      </x:c>
      <x:c r="B142" s="3" t="str">
        <x:f>'350配方'!B142</x:f>
        <x:v>拟合</x:v>
      </x:c>
      <x:c r="C142" s="3" t="n">
        <x:f>IF(B142="拟合",1,0)</x:f>
        <x:v>1</x:v>
      </x:c>
      <x:c r="D142" s="3" t="n">
        <x:f>'350配方'!AC142</x:f>
        <x:v>4</x:v>
      </x:c>
      <x:c r="E142" s="9" t="n">
        <x:f>SUMIFS('350配方'!$M142:$P142,'350配方'!$Y142:$AB142,7)</x:f>
        <x:v>0</x:v>
      </x:c>
      <x:c r="F142" s="9" t="n">
        <x:f>SUMIFS('350配方'!$M142:$P142,'350配方'!$Y142:$AB142,11)</x:f>
        <x:v>0</x:v>
      </x:c>
      <x:c r="G142" s="9" t="n">
        <x:f>SUMIFS('350配方'!$M142:$P142,'350配方'!$Y142:$AB142,18)</x:f>
        <x:v>0</x:v>
      </x:c>
      <x:c r="H142" s="9" t="n">
        <x:f>SUMIFS('350配方'!$M142:$P142,'350配方'!$Y142:$AB142,32)</x:f>
        <x:v>0</x:v>
      </x:c>
      <x:c r="I142" s="9" t="n">
        <x:f>SUMIFS('350配方'!$M142:$P142,'350配方'!$Y142:$AB142,40)</x:f>
        <x:v>0</x:v>
      </x:c>
      <x:c r="J142" s="9" t="n">
        <x:f>SUMIFS('350配方'!$M142:$P142,'350配方'!$Y142:$AB142,52)</x:f>
        <x:v>0</x:v>
      </x:c>
      <x:c r="K142" s="9" t="n">
        <x:f>SUMIFS('350配方'!$M142:$P142,'350配方'!$Y142:$AB142,53)</x:f>
        <x:v>0</x:v>
      </x:c>
      <x:c r="L142" s="9" t="n">
        <x:f>SUMIFS('350配方'!$M142:$P142,'350配方'!$Y142:$AB142,56)</x:f>
        <x:v>0</x:v>
      </x:c>
      <x:c r="M142" s="9" t="n">
        <x:f>SUMIFS('350配方'!$M142:$P142,'350配方'!$Y142:$AB142,58)</x:f>
        <x:v>0</x:v>
      </x:c>
      <x:c r="N142" s="9" t="n">
        <x:f>SUMIFS('350配方'!$M142:$P142,'350配方'!$Y142:$AB142,61)</x:f>
        <x:v>0</x:v>
      </x:c>
      <x:c r="O142" s="9" t="n">
        <x:f>SUMIFS('350配方'!$M142:$P142,'350配方'!$Y142:$AB142,69)</x:f>
        <x:v>0</x:v>
      </x:c>
      <x:c r="P142" s="9" t="n">
        <x:f>SUMIFS('350配方'!$M142:$P142,'350配方'!$Y142:$AB142,75)</x:f>
        <x:v>0</x:v>
      </x:c>
      <x:c r="Q142" s="9" t="n">
        <x:f>SUMIFS('350配方'!$M142:$P142,'350配方'!$Y142:$AB142,79)</x:f>
        <x:v>0</x:v>
      </x:c>
      <x:c r="R142" s="9" t="n">
        <x:f>SUMIFS('350配方'!$M142:$P142,'350配方'!$Y142:$AB142,90)</x:f>
        <x:v>0</x:v>
      </x:c>
      <x:c r="S142" s="9" t="n">
        <x:f>SUMIFS('350配方'!$M142:$P142,'350配方'!$Y142:$AB142,105)</x:f>
        <x:v>0</x:v>
      </x:c>
      <x:c r="T142" s="9" t="n">
        <x:f>SUMIFS('350配方'!$M142:$P142,'350配方'!$Y142:$AB142,111)</x:f>
        <x:v>89562.18016998023</x:v>
      </x:c>
      <x:c r="U142" s="9" t="n">
        <x:f>SUMIFS('350配方'!$M142:$P142,'350配方'!$Y142:$AB142,114)</x:f>
        <x:v>0</x:v>
      </x:c>
      <x:c r="V142" s="9" t="n">
        <x:f>SUMIFS('350配方'!$M142:$P142,'350配方'!$Y142:$AB142,115)</x:f>
        <x:v>0</x:v>
      </x:c>
      <x:c r="W142" s="9" t="n">
        <x:f>SUMIFS('350配方'!$M142:$P142,'350配方'!$Y142:$AB142,117)</x:f>
        <x:v>0</x:v>
      </x:c>
      <x:c r="X142" s="9" t="n">
        <x:f>SUMIFS('350配方'!$M142:$P142,'350配方'!$Y142:$AB142,126)</x:f>
        <x:v>0</x:v>
      </x:c>
      <x:c r="Y142" s="9" t="n">
        <x:f>SUMIFS('350配方'!$M142:$P142,'350配方'!$Y142:$AB142,136)</x:f>
        <x:v>0</x:v>
      </x:c>
      <x:c r="Z142" s="9" t="n">
        <x:f>SUMIFS('350配方'!$M142:$P142,'350配方'!$Y142:$AB142,141)</x:f>
        <x:v>0</x:v>
      </x:c>
      <x:c r="AA142" s="9" t="n">
        <x:f>SUMIFS('350配方'!$M142:$P142,'350配方'!$Y142:$AB142,152)</x:f>
        <x:v>0</x:v>
      </x:c>
      <x:c r="AB142" s="9" t="n">
        <x:f>SUMIFS('350配方'!$M142:$P142,'350配方'!$Y142:$AB142,165)</x:f>
        <x:v>86300</x:v>
      </x:c>
      <x:c r="AC142" s="9" t="n">
        <x:f>SUMIFS('350配方'!$M142:$P142,'350配方'!$Y142:$AB142,186)</x:f>
        <x:v>1.56</x:v>
      </x:c>
      <x:c r="AD142" s="9" t="n">
        <x:f>SUMIFS('350配方'!$M142:$P142,'350配方'!$Y142:$AB142,207)</x:f>
        <x:v>271.45</x:v>
      </x:c>
      <x:c r="AE142" s="9" t="n">
        <x:f>SUMIFS('350配方'!$M142:$P142,'350配方'!$Y142:$AB142,209)</x:f>
        <x:v>0</x:v>
      </x:c>
      <x:c r="AF142" s="9" t="n">
        <x:f>SUMIFS('350配方'!$M142:$P142,'350配方'!$Y142:$AB142,227)</x:f>
        <x:v>0</x:v>
      </x:c>
      <x:c r="AG142" s="9" t="n">
        <x:f>SUMIFS('350配方'!$M142:$P142,'350配方'!$Y142:$AB142,232)</x:f>
        <x:v>0</x:v>
      </x:c>
      <x:c r="AH142" s="9" t="n">
        <x:f>SUMIFS('350配方'!$M142:$P142,'350配方'!$Y142:$AB142,255)</x:f>
        <x:v>0</x:v>
      </x:c>
      <x:c r="AI142" s="9" t="n">
        <x:f>'浓度设置'!S6</x:f>
        <x:v>219125.9626344086</x:v>
      </x:c>
      <x:c r="AJ142" s="9" t="n">
        <x:f>'浓度设置'!S8</x:f>
        <x:v>92796.92267241378</x:v>
      </x:c>
      <x:c r="AK142" s="9" t="n">
        <x:f>'浓度设置'!S10</x:f>
        <x:v>30556.797802197798</x:v>
      </x:c>
      <x:c r="AL142" s="9" t="n">
        <x:f>'浓度设置'!S12</x:f>
        <x:v>1735.828970588235</x:v>
      </x:c>
      <x:c r="AM142" s="9" t="n">
        <x:f>'浓度设置'!S15</x:f>
        <x:v>7385.813644067793</x:v>
      </x:c>
      <x:c r="AN142" s="9" t="n">
        <x:f>'浓度设置'!S19</x:f>
        <x:v>27722.03097701148</x:v>
      </x:c>
      <x:c r="AO142" s="9" t="n">
        <x:f>'浓度设置'!S22</x:f>
        <x:v>44345.55047619048</x:v>
      </x:c>
      <x:c r="AP142" s="9" t="n">
        <x:f>'浓度设置'!S26</x:f>
        <x:v>153318.30499999996</x:v>
      </x:c>
      <x:c r="AQ142" s="9" t="n">
        <x:f>'浓度设置'!S29</x:f>
        <x:v>312.7970588235294</x:v>
      </x:c>
      <x:c r="AR142" s="9" t="n">
        <x:f>'浓度设置'!S30</x:f>
        <x:v>104175.5097553192</x:v>
      </x:c>
      <x:c r="AS142" s="9" t="n">
        <x:f>'浓度设置'!S35</x:f>
        <x:v>405974.90656785714</x:v>
      </x:c>
    </x:row>
    <x:row r="143" ht="24" customHeight="1">
      <x:c r="A143" s="3" t="str">
        <x:f>'350配方'!A143</x:f>
        <x:v>T138</x:v>
      </x:c>
      <x:c r="B143" s="3" t="str">
        <x:f>'350配方'!B143</x:f>
        <x:v>拟合</x:v>
      </x:c>
      <x:c r="C143" s="3" t="n">
        <x:f>IF(B143="拟合",1,0)</x:f>
        <x:v>1</x:v>
      </x:c>
      <x:c r="D143" s="3" t="n">
        <x:f>'350配方'!AC143</x:f>
        <x:v>4</x:v>
      </x:c>
      <x:c r="E143" s="9" t="n">
        <x:f>SUMIFS('350配方'!$M143:$P143,'350配方'!$Y143:$AB143,7)</x:f>
        <x:v>0</x:v>
      </x:c>
      <x:c r="F143" s="9" t="n">
        <x:f>SUMIFS('350配方'!$M143:$P143,'350配方'!$Y143:$AB143,11)</x:f>
        <x:v>0</x:v>
      </x:c>
      <x:c r="G143" s="9" t="n">
        <x:f>SUMIFS('350配方'!$M143:$P143,'350配方'!$Y143:$AB143,18)</x:f>
        <x:v>0</x:v>
      </x:c>
      <x:c r="H143" s="9" t="n">
        <x:f>SUMIFS('350配方'!$M143:$P143,'350配方'!$Y143:$AB143,32)</x:f>
        <x:v>0</x:v>
      </x:c>
      <x:c r="I143" s="9" t="n">
        <x:f>SUMIFS('350配方'!$M143:$P143,'350配方'!$Y143:$AB143,40)</x:f>
        <x:v>0</x:v>
      </x:c>
      <x:c r="J143" s="9" t="n">
        <x:f>SUMIFS('350配方'!$M143:$P143,'350配方'!$Y143:$AB143,52)</x:f>
        <x:v>0</x:v>
      </x:c>
      <x:c r="K143" s="9" t="n">
        <x:f>SUMIFS('350配方'!$M143:$P143,'350配方'!$Y143:$AB143,53)</x:f>
        <x:v>9.61</x:v>
      </x:c>
      <x:c r="L143" s="9" t="n">
        <x:f>SUMIFS('350配方'!$M143:$P143,'350配方'!$Y143:$AB143,56)</x:f>
        <x:v>0</x:v>
      </x:c>
      <x:c r="M143" s="9" t="n">
        <x:f>SUMIFS('350配方'!$M143:$P143,'350配方'!$Y143:$AB143,58)</x:f>
        <x:v>0</x:v>
      </x:c>
      <x:c r="N143" s="9" t="n">
        <x:f>SUMIFS('350配方'!$M143:$P143,'350配方'!$Y143:$AB143,61)</x:f>
        <x:v>0</x:v>
      </x:c>
      <x:c r="O143" s="9" t="n">
        <x:f>SUMIFS('350配方'!$M143:$P143,'350配方'!$Y143:$AB143,69)</x:f>
        <x:v>0</x:v>
      </x:c>
      <x:c r="P143" s="9" t="n">
        <x:f>SUMIFS('350配方'!$M143:$P143,'350配方'!$Y143:$AB143,75)</x:f>
        <x:v>0</x:v>
      </x:c>
      <x:c r="Q143" s="9" t="n">
        <x:f>SUMIFS('350配方'!$M143:$P143,'350配方'!$Y143:$AB143,79)</x:f>
        <x:v>0</x:v>
      </x:c>
      <x:c r="R143" s="9" t="n">
        <x:f>SUMIFS('350配方'!$M143:$P143,'350配方'!$Y143:$AB143,90)</x:f>
        <x:v>0</x:v>
      </x:c>
      <x:c r="S143" s="9" t="n">
        <x:f>SUMIFS('350配方'!$M143:$P143,'350配方'!$Y143:$AB143,105)</x:f>
        <x:v>0</x:v>
      </x:c>
      <x:c r="T143" s="9" t="n">
        <x:f>SUMIFS('350配方'!$M143:$P143,'350配方'!$Y143:$AB143,111)</x:f>
        <x:v>833.64</x:v>
      </x:c>
      <x:c r="U143" s="9" t="n">
        <x:f>SUMIFS('350配方'!$M143:$P143,'350配方'!$Y143:$AB143,114)</x:f>
        <x:v>0</x:v>
      </x:c>
      <x:c r="V143" s="9" t="n">
        <x:f>SUMIFS('350配方'!$M143:$P143,'350配方'!$Y143:$AB143,115)</x:f>
        <x:v>0</x:v>
      </x:c>
      <x:c r="W143" s="9" t="n">
        <x:f>SUMIFS('350配方'!$M143:$P143,'350配方'!$Y143:$AB143,117)</x:f>
        <x:v>0</x:v>
      </x:c>
      <x:c r="X143" s="9" t="n">
        <x:f>SUMIFS('350配方'!$M143:$P143,'350配方'!$Y143:$AB143,126)</x:f>
        <x:v>1815.6539083757125</x:v>
      </x:c>
      <x:c r="Y143" s="9" t="n">
        <x:f>SUMIFS('350配方'!$M143:$P143,'350配方'!$Y143:$AB143,136)</x:f>
        <x:v>0</x:v>
      </x:c>
      <x:c r="Z143" s="9" t="n">
        <x:f>SUMIFS('350配方'!$M143:$P143,'350配方'!$Y143:$AB143,141)</x:f>
        <x:v>0</x:v>
      </x:c>
      <x:c r="AA143" s="9" t="n">
        <x:f>SUMIFS('350配方'!$M143:$P143,'350配方'!$Y143:$AB143,152)</x:f>
        <x:v>1048.6410253275426</x:v>
      </x:c>
      <x:c r="AB143" s="9" t="n">
        <x:f>SUMIFS('350配方'!$M143:$P143,'350配方'!$Y143:$AB143,165)</x:f>
        <x:v>0</x:v>
      </x:c>
      <x:c r="AC143" s="9" t="n">
        <x:f>SUMIFS('350配方'!$M143:$P143,'350配方'!$Y143:$AB143,186)</x:f>
        <x:v>0</x:v>
      </x:c>
      <x:c r="AD143" s="9" t="n">
        <x:f>SUMIFS('350配方'!$M143:$P143,'350配方'!$Y143:$AB143,207)</x:f>
        <x:v>0</x:v>
      </x:c>
      <x:c r="AE143" s="9" t="n">
        <x:f>SUMIFS('350配方'!$M143:$P143,'350配方'!$Y143:$AB143,209)</x:f>
        <x:v>0</x:v>
      </x:c>
      <x:c r="AF143" s="9" t="n">
        <x:f>SUMIFS('350配方'!$M143:$P143,'350配方'!$Y143:$AB143,227)</x:f>
        <x:v>0</x:v>
      </x:c>
      <x:c r="AG143" s="9" t="n">
        <x:f>SUMIFS('350配方'!$M143:$P143,'350配方'!$Y143:$AB143,232)</x:f>
        <x:v>0</x:v>
      </x:c>
      <x:c r="AH143" s="9" t="n">
        <x:f>SUMIFS('350配方'!$M143:$P143,'350配方'!$Y143:$AB143,255)</x:f>
        <x:v>0</x:v>
      </x:c>
      <x:c r="AI143" s="9" t="n">
        <x:f>'浓度设置'!S6</x:f>
        <x:v>219125.9626344086</x:v>
      </x:c>
      <x:c r="AJ143" s="9" t="n">
        <x:f>'浓度设置'!S8</x:f>
        <x:v>92796.92267241378</x:v>
      </x:c>
      <x:c r="AK143" s="9" t="n">
        <x:f>'浓度设置'!S10</x:f>
        <x:v>30556.797802197798</x:v>
      </x:c>
      <x:c r="AL143" s="9" t="n">
        <x:f>'浓度设置'!S12</x:f>
        <x:v>1735.828970588235</x:v>
      </x:c>
      <x:c r="AM143" s="9" t="n">
        <x:f>'浓度设置'!S15</x:f>
        <x:v>7385.813644067793</x:v>
      </x:c>
      <x:c r="AN143" s="9" t="n">
        <x:f>'浓度设置'!S19</x:f>
        <x:v>27722.03097701148</x:v>
      </x:c>
      <x:c r="AO143" s="9" t="n">
        <x:f>'浓度设置'!S22</x:f>
        <x:v>44345.55047619048</x:v>
      </x:c>
      <x:c r="AP143" s="9" t="n">
        <x:f>'浓度设置'!S26</x:f>
        <x:v>153318.30499999996</x:v>
      </x:c>
      <x:c r="AQ143" s="9" t="n">
        <x:f>'浓度设置'!S29</x:f>
        <x:v>312.7970588235294</x:v>
      </x:c>
      <x:c r="AR143" s="9" t="n">
        <x:f>'浓度设置'!S30</x:f>
        <x:v>104175.5097553192</x:v>
      </x:c>
      <x:c r="AS143" s="9" t="n">
        <x:f>'浓度设置'!S35</x:f>
        <x:v>405974.90656785714</x:v>
      </x:c>
    </x:row>
    <x:row r="144" ht="24" customHeight="1">
      <x:c r="A144" s="3" t="str">
        <x:f>'350配方'!A144</x:f>
        <x:v>T139</x:v>
      </x:c>
      <x:c r="B144" s="3" t="str">
        <x:f>'350配方'!B144</x:f>
        <x:v>拟合</x:v>
      </x:c>
      <x:c r="C144" s="3" t="n">
        <x:f>IF(B144="拟合",1,0)</x:f>
        <x:v>1</x:v>
      </x:c>
      <x:c r="D144" s="3" t="n">
        <x:f>'350配方'!AC144</x:f>
        <x:v>4</x:v>
      </x:c>
      <x:c r="E144" s="9" t="n">
        <x:f>SUMIFS('350配方'!$M144:$P144,'350配方'!$Y144:$AB144,7)</x:f>
        <x:v>0</x:v>
      </x:c>
      <x:c r="F144" s="9" t="n">
        <x:f>SUMIFS('350配方'!$M144:$P144,'350配方'!$Y144:$AB144,11)</x:f>
        <x:v>0</x:v>
      </x:c>
      <x:c r="G144" s="9" t="n">
        <x:f>SUMIFS('350配方'!$M144:$P144,'350配方'!$Y144:$AB144,18)</x:f>
        <x:v>0</x:v>
      </x:c>
      <x:c r="H144" s="9" t="n">
        <x:f>SUMIFS('350配方'!$M144:$P144,'350配方'!$Y144:$AB144,32)</x:f>
        <x:v>18.68</x:v>
      </x:c>
      <x:c r="I144" s="9" t="n">
        <x:f>SUMIFS('350配方'!$M144:$P144,'350配方'!$Y144:$AB144,40)</x:f>
        <x:v>0</x:v>
      </x:c>
      <x:c r="J144" s="9" t="n">
        <x:f>SUMIFS('350配方'!$M144:$P144,'350配方'!$Y144:$AB144,52)</x:f>
        <x:v>0</x:v>
      </x:c>
      <x:c r="K144" s="9" t="n">
        <x:f>SUMIFS('350配方'!$M144:$P144,'350配方'!$Y144:$AB144,53)</x:f>
        <x:v>0</x:v>
      </x:c>
      <x:c r="L144" s="9" t="n">
        <x:f>SUMIFS('350配方'!$M144:$P144,'350配方'!$Y144:$AB144,56)</x:f>
        <x:v>0</x:v>
      </x:c>
      <x:c r="M144" s="9" t="n">
        <x:f>SUMIFS('350配方'!$M144:$P144,'350配方'!$Y144:$AB144,58)</x:f>
        <x:v>0</x:v>
      </x:c>
      <x:c r="N144" s="9" t="n">
        <x:f>SUMIFS('350配方'!$M144:$P144,'350配方'!$Y144:$AB144,61)</x:f>
        <x:v>0</x:v>
      </x:c>
      <x:c r="O144" s="9" t="n">
        <x:f>SUMIFS('350配方'!$M144:$P144,'350配方'!$Y144:$AB144,69)</x:f>
        <x:v>0</x:v>
      </x:c>
      <x:c r="P144" s="9" t="n">
        <x:f>SUMIFS('350配方'!$M144:$P144,'350配方'!$Y144:$AB144,75)</x:f>
        <x:v>0</x:v>
      </x:c>
      <x:c r="Q144" s="9" t="n">
        <x:f>SUMIFS('350配方'!$M144:$P144,'350配方'!$Y144:$AB144,79)</x:f>
        <x:v>0</x:v>
      </x:c>
      <x:c r="R144" s="9" t="n">
        <x:f>SUMIFS('350配方'!$M144:$P144,'350配方'!$Y144:$AB144,90)</x:f>
        <x:v>0</x:v>
      </x:c>
      <x:c r="S144" s="9" t="n">
        <x:f>SUMIFS('350配方'!$M144:$P144,'350配方'!$Y144:$AB144,105)</x:f>
        <x:v>0</x:v>
      </x:c>
      <x:c r="T144" s="9" t="n">
        <x:f>SUMIFS('350配方'!$M144:$P144,'350配方'!$Y144:$AB144,111)</x:f>
        <x:v>0</x:v>
      </x:c>
      <x:c r="U144" s="9" t="n">
        <x:f>SUMIFS('350配方'!$M144:$P144,'350配方'!$Y144:$AB144,114)</x:f>
        <x:v>0</x:v>
      </x:c>
      <x:c r="V144" s="9" t="n">
        <x:f>SUMIFS('350配方'!$M144:$P144,'350配方'!$Y144:$AB144,115)</x:f>
        <x:v>0</x:v>
      </x:c>
      <x:c r="W144" s="9" t="n">
        <x:f>SUMIFS('350配方'!$M144:$P144,'350配方'!$Y144:$AB144,117)</x:f>
        <x:v>0</x:v>
      </x:c>
      <x:c r="X144" s="9" t="n">
        <x:f>SUMIFS('350配方'!$M144:$P144,'350配方'!$Y144:$AB144,126)</x:f>
        <x:v>0</x:v>
      </x:c>
      <x:c r="Y144" s="9" t="n">
        <x:f>SUMIFS('350配方'!$M144:$P144,'350配方'!$Y144:$AB144,136)</x:f>
        <x:v>0</x:v>
      </x:c>
      <x:c r="Z144" s="9" t="n">
        <x:f>SUMIFS('350配方'!$M144:$P144,'350配方'!$Y144:$AB144,141)</x:f>
        <x:v>0</x:v>
      </x:c>
      <x:c r="AA144" s="9" t="n">
        <x:f>SUMIFS('350配方'!$M144:$P144,'350配方'!$Y144:$AB144,152)</x:f>
        <x:v>0</x:v>
      </x:c>
      <x:c r="AB144" s="9" t="n">
        <x:f>SUMIFS('350配方'!$M144:$P144,'350配方'!$Y144:$AB144,165)</x:f>
        <x:v>0</x:v>
      </x:c>
      <x:c r="AC144" s="9" t="n">
        <x:f>SUMIFS('350配方'!$M144:$P144,'350配方'!$Y144:$AB144,186)</x:f>
        <x:v>0</x:v>
      </x:c>
      <x:c r="AD144" s="9" t="n">
        <x:f>SUMIFS('350配方'!$M144:$P144,'350配方'!$Y144:$AB144,207)</x:f>
        <x:v>16.47573974060042</x:v>
      </x:c>
      <x:c r="AE144" s="9" t="n">
        <x:f>SUMIFS('350配方'!$M144:$P144,'350配方'!$Y144:$AB144,209)</x:f>
        <x:v>34.2987346705385</x:v>
      </x:c>
      <x:c r="AF144" s="9" t="n">
        <x:f>SUMIFS('350配方'!$M144:$P144,'350配方'!$Y144:$AB144,227)</x:f>
        <x:v>695.986709643223</x:v>
      </x:c>
      <x:c r="AG144" s="9" t="n">
        <x:f>SUMIFS('350配方'!$M144:$P144,'350配方'!$Y144:$AB144,232)</x:f>
        <x:v>0</x:v>
      </x:c>
      <x:c r="AH144" s="9" t="n">
        <x:f>SUMIFS('350配方'!$M144:$P144,'350配方'!$Y144:$AB144,255)</x:f>
        <x:v>0</x:v>
      </x:c>
      <x:c r="AI144" s="9" t="n">
        <x:f>'浓度设置'!S6</x:f>
        <x:v>219125.9626344086</x:v>
      </x:c>
      <x:c r="AJ144" s="9" t="n">
        <x:f>'浓度设置'!S8</x:f>
        <x:v>92796.92267241378</x:v>
      </x:c>
      <x:c r="AK144" s="9" t="n">
        <x:f>'浓度设置'!S10</x:f>
        <x:v>30556.797802197798</x:v>
      </x:c>
      <x:c r="AL144" s="9" t="n">
        <x:f>'浓度设置'!S12</x:f>
        <x:v>1735.828970588235</x:v>
      </x:c>
      <x:c r="AM144" s="9" t="n">
        <x:f>'浓度设置'!S15</x:f>
        <x:v>7385.813644067793</x:v>
      </x:c>
      <x:c r="AN144" s="9" t="n">
        <x:f>'浓度设置'!S19</x:f>
        <x:v>27722.03097701148</x:v>
      </x:c>
      <x:c r="AO144" s="9" t="n">
        <x:f>'浓度设置'!S22</x:f>
        <x:v>44345.55047619048</x:v>
      </x:c>
      <x:c r="AP144" s="9" t="n">
        <x:f>'浓度设置'!S26</x:f>
        <x:v>153318.30499999996</x:v>
      </x:c>
      <x:c r="AQ144" s="9" t="n">
        <x:f>'浓度设置'!S29</x:f>
        <x:v>312.7970588235294</x:v>
      </x:c>
      <x:c r="AR144" s="9" t="n">
        <x:f>'浓度设置'!S30</x:f>
        <x:v>104175.5097553192</x:v>
      </x:c>
      <x:c r="AS144" s="9" t="n">
        <x:f>'浓度设置'!S35</x:f>
        <x:v>405974.90656785714</x:v>
      </x:c>
    </x:row>
    <x:row r="145" ht="24" customHeight="1">
      <x:c r="A145" s="3" t="str">
        <x:f>'350配方'!A145</x:f>
        <x:v>T140</x:v>
      </x:c>
      <x:c r="B145" s="3" t="str">
        <x:f>'350配方'!B145</x:f>
        <x:v>拟合</x:v>
      </x:c>
      <x:c r="C145" s="3" t="n">
        <x:f>IF(B145="拟合",1,0)</x:f>
        <x:v>1</x:v>
      </x:c>
      <x:c r="D145" s="3" t="n">
        <x:f>'350配方'!AC145</x:f>
        <x:v>4</x:v>
      </x:c>
      <x:c r="E145" s="9" t="n">
        <x:f>SUMIFS('350配方'!$M145:$P145,'350配方'!$Y145:$AB145,7)</x:f>
        <x:v>0</x:v>
      </x:c>
      <x:c r="F145" s="9" t="n">
        <x:f>SUMIFS('350配方'!$M145:$P145,'350配方'!$Y145:$AB145,11)</x:f>
        <x:v>0</x:v>
      </x:c>
      <x:c r="G145" s="9" t="n">
        <x:f>SUMIFS('350配方'!$M145:$P145,'350配方'!$Y145:$AB145,18)</x:f>
        <x:v>0</x:v>
      </x:c>
      <x:c r="H145" s="9" t="n">
        <x:f>SUMIFS('350配方'!$M145:$P145,'350配方'!$Y145:$AB145,32)</x:f>
        <x:v>0</x:v>
      </x:c>
      <x:c r="I145" s="9" t="n">
        <x:f>SUMIFS('350配方'!$M145:$P145,'350配方'!$Y145:$AB145,40)</x:f>
        <x:v>200.3122562401013</x:v>
      </x:c>
      <x:c r="J145" s="9" t="n">
        <x:f>SUMIFS('350配方'!$M145:$P145,'350配方'!$Y145:$AB145,52)</x:f>
        <x:v>0</x:v>
      </x:c>
      <x:c r="K145" s="9" t="n">
        <x:f>SUMIFS('350配方'!$M145:$P145,'350配方'!$Y145:$AB145,53)</x:f>
        <x:v>0</x:v>
      </x:c>
      <x:c r="L145" s="9" t="n">
        <x:f>SUMIFS('350配方'!$M145:$P145,'350配方'!$Y145:$AB145,56)</x:f>
        <x:v>0</x:v>
      </x:c>
      <x:c r="M145" s="9" t="n">
        <x:f>SUMIFS('350配方'!$M145:$P145,'350配方'!$Y145:$AB145,58)</x:f>
        <x:v>0</x:v>
      </x:c>
      <x:c r="N145" s="9" t="n">
        <x:f>SUMIFS('350配方'!$M145:$P145,'350配方'!$Y145:$AB145,61)</x:f>
        <x:v>0</x:v>
      </x:c>
      <x:c r="O145" s="9" t="n">
        <x:f>SUMIFS('350配方'!$M145:$P145,'350配方'!$Y145:$AB145,69)</x:f>
        <x:v>0</x:v>
      </x:c>
      <x:c r="P145" s="9" t="n">
        <x:f>SUMIFS('350配方'!$M145:$P145,'350配方'!$Y145:$AB145,75)</x:f>
        <x:v>0</x:v>
      </x:c>
      <x:c r="Q145" s="9" t="n">
        <x:f>SUMIFS('350配方'!$M145:$P145,'350配方'!$Y145:$AB145,79)</x:f>
        <x:v>0</x:v>
      </x:c>
      <x:c r="R145" s="9" t="n">
        <x:f>SUMIFS('350配方'!$M145:$P145,'350配方'!$Y145:$AB145,90)</x:f>
        <x:v>25642.45</x:v>
      </x:c>
      <x:c r="S145" s="9" t="n">
        <x:f>SUMIFS('350配方'!$M145:$P145,'350配方'!$Y145:$AB145,105)</x:f>
        <x:v>0</x:v>
      </x:c>
      <x:c r="T145" s="9" t="n">
        <x:f>SUMIFS('350配方'!$M145:$P145,'350配方'!$Y145:$AB145,111)</x:f>
        <x:v>0</x:v>
      </x:c>
      <x:c r="U145" s="9" t="n">
        <x:f>SUMIFS('350配方'!$M145:$P145,'350配方'!$Y145:$AB145,114)</x:f>
        <x:v>47100</x:v>
      </x:c>
      <x:c r="V145" s="9" t="n">
        <x:f>SUMIFS('350配方'!$M145:$P145,'350配方'!$Y145:$AB145,115)</x:f>
        <x:v>1.44</x:v>
      </x:c>
      <x:c r="W145" s="9" t="n">
        <x:f>SUMIFS('350配方'!$M145:$P145,'350配方'!$Y145:$AB145,117)</x:f>
        <x:v>0</x:v>
      </x:c>
      <x:c r="X145" s="9" t="n">
        <x:f>SUMIFS('350配方'!$M145:$P145,'350配方'!$Y145:$AB145,126)</x:f>
        <x:v>0</x:v>
      </x:c>
      <x:c r="Y145" s="9" t="n">
        <x:f>SUMIFS('350配方'!$M145:$P145,'350配方'!$Y145:$AB145,136)</x:f>
        <x:v>0</x:v>
      </x:c>
      <x:c r="Z145" s="9" t="n">
        <x:f>SUMIFS('350配方'!$M145:$P145,'350配方'!$Y145:$AB145,141)</x:f>
        <x:v>0</x:v>
      </x:c>
      <x:c r="AA145" s="9" t="n">
        <x:f>SUMIFS('350配方'!$M145:$P145,'350配方'!$Y145:$AB145,152)</x:f>
        <x:v>0</x:v>
      </x:c>
      <x:c r="AB145" s="9" t="n">
        <x:f>SUMIFS('350配方'!$M145:$P145,'350配方'!$Y145:$AB145,165)</x:f>
        <x:v>0</x:v>
      </x:c>
      <x:c r="AC145" s="9" t="n">
        <x:f>SUMIFS('350配方'!$M145:$P145,'350配方'!$Y145:$AB145,186)</x:f>
        <x:v>0</x:v>
      </x:c>
      <x:c r="AD145" s="9" t="n">
        <x:f>SUMIFS('350配方'!$M145:$P145,'350配方'!$Y145:$AB145,207)</x:f>
        <x:v>0</x:v>
      </x:c>
      <x:c r="AE145" s="9" t="n">
        <x:f>SUMIFS('350配方'!$M145:$P145,'350配方'!$Y145:$AB145,209)</x:f>
        <x:v>0</x:v>
      </x:c>
      <x:c r="AF145" s="9" t="n">
        <x:f>SUMIFS('350配方'!$M145:$P145,'350配方'!$Y145:$AB145,227)</x:f>
        <x:v>0</x:v>
      </x:c>
      <x:c r="AG145" s="9" t="n">
        <x:f>SUMIFS('350配方'!$M145:$P145,'350配方'!$Y145:$AB145,232)</x:f>
        <x:v>0</x:v>
      </x:c>
      <x:c r="AH145" s="9" t="n">
        <x:f>SUMIFS('350配方'!$M145:$P145,'350配方'!$Y145:$AB145,255)</x:f>
        <x:v>0</x:v>
      </x:c>
      <x:c r="AI145" s="9" t="n">
        <x:f>'浓度设置'!S6</x:f>
        <x:v>219125.9626344086</x:v>
      </x:c>
      <x:c r="AJ145" s="9" t="n">
        <x:f>'浓度设置'!S8</x:f>
        <x:v>92796.92267241378</x:v>
      </x:c>
      <x:c r="AK145" s="9" t="n">
        <x:f>'浓度设置'!S10</x:f>
        <x:v>30556.797802197798</x:v>
      </x:c>
      <x:c r="AL145" s="9" t="n">
        <x:f>'浓度设置'!S12</x:f>
        <x:v>1735.828970588235</x:v>
      </x:c>
      <x:c r="AM145" s="9" t="n">
        <x:f>'浓度设置'!S15</x:f>
        <x:v>7385.813644067793</x:v>
      </x:c>
      <x:c r="AN145" s="9" t="n">
        <x:f>'浓度设置'!S19</x:f>
        <x:v>27722.03097701148</x:v>
      </x:c>
      <x:c r="AO145" s="9" t="n">
        <x:f>'浓度设置'!S22</x:f>
        <x:v>44345.55047619048</x:v>
      </x:c>
      <x:c r="AP145" s="9" t="n">
        <x:f>'浓度设置'!S26</x:f>
        <x:v>153318.30499999996</x:v>
      </x:c>
      <x:c r="AQ145" s="9" t="n">
        <x:f>'浓度设置'!S29</x:f>
        <x:v>312.7970588235294</x:v>
      </x:c>
      <x:c r="AR145" s="9" t="n">
        <x:f>'浓度设置'!S30</x:f>
        <x:v>104175.5097553192</x:v>
      </x:c>
      <x:c r="AS145" s="9" t="n">
        <x:f>'浓度设置'!S35</x:f>
        <x:v>405974.90656785714</x:v>
      </x:c>
    </x:row>
    <x:row r="146" ht="24" customHeight="1">
      <x:c r="A146" s="3" t="str">
        <x:f>'350配方'!A146</x:f>
        <x:v>T141</x:v>
      </x:c>
      <x:c r="B146" s="3" t="str">
        <x:f>'350配方'!B146</x:f>
        <x:v>拟合</x:v>
      </x:c>
      <x:c r="C146" s="3" t="n">
        <x:f>IF(B146="拟合",1,0)</x:f>
        <x:v>1</x:v>
      </x:c>
      <x:c r="D146" s="3" t="n">
        <x:f>'350配方'!AC146</x:f>
        <x:v>4</x:v>
      </x:c>
      <x:c r="E146" s="9" t="n">
        <x:f>SUMIFS('350配方'!$M146:$P146,'350配方'!$Y146:$AB146,7)</x:f>
        <x:v>0</x:v>
      </x:c>
      <x:c r="F146" s="9" t="n">
        <x:f>SUMIFS('350配方'!$M146:$P146,'350配方'!$Y146:$AB146,11)</x:f>
        <x:v>0</x:v>
      </x:c>
      <x:c r="G146" s="9" t="n">
        <x:f>SUMIFS('350配方'!$M146:$P146,'350配方'!$Y146:$AB146,18)</x:f>
        <x:v>0</x:v>
      </x:c>
      <x:c r="H146" s="9" t="n">
        <x:f>SUMIFS('350配方'!$M146:$P146,'350配方'!$Y146:$AB146,32)</x:f>
        <x:v>37489</x:v>
      </x:c>
      <x:c r="I146" s="9" t="n">
        <x:f>SUMIFS('350配方'!$M146:$P146,'350配方'!$Y146:$AB146,40)</x:f>
        <x:v>0</x:v>
      </x:c>
      <x:c r="J146" s="9" t="n">
        <x:f>SUMIFS('350配方'!$M146:$P146,'350配方'!$Y146:$AB146,52)</x:f>
        <x:v>0</x:v>
      </x:c>
      <x:c r="K146" s="9" t="n">
        <x:f>SUMIFS('350配方'!$M146:$P146,'350配方'!$Y146:$AB146,53)</x:f>
        <x:v>0</x:v>
      </x:c>
      <x:c r="L146" s="9" t="n">
        <x:f>SUMIFS('350配方'!$M146:$P146,'350配方'!$Y146:$AB146,56)</x:f>
        <x:v>4105</x:v>
      </x:c>
      <x:c r="M146" s="9" t="n">
        <x:f>SUMIFS('350配方'!$M146:$P146,'350配方'!$Y146:$AB146,58)</x:f>
        <x:v>0</x:v>
      </x:c>
      <x:c r="N146" s="9" t="n">
        <x:f>SUMIFS('350配方'!$M146:$P146,'350配方'!$Y146:$AB146,61)</x:f>
        <x:v>6914</x:v>
      </x:c>
      <x:c r="O146" s="9" t="n">
        <x:f>SUMIFS('350配方'!$M146:$P146,'350配方'!$Y146:$AB146,69)</x:f>
        <x:v>0</x:v>
      </x:c>
      <x:c r="P146" s="9" t="n">
        <x:f>SUMIFS('350配方'!$M146:$P146,'350配方'!$Y146:$AB146,75)</x:f>
        <x:v>0</x:v>
      </x:c>
      <x:c r="Q146" s="9" t="n">
        <x:f>SUMIFS('350配方'!$M146:$P146,'350配方'!$Y146:$AB146,79)</x:f>
        <x:v>0</x:v>
      </x:c>
      <x:c r="R146" s="9" t="n">
        <x:f>SUMIFS('350配方'!$M146:$P146,'350配方'!$Y146:$AB146,90)</x:f>
        <x:v>0</x:v>
      </x:c>
      <x:c r="S146" s="9" t="n">
        <x:f>SUMIFS('350配方'!$M146:$P146,'350配方'!$Y146:$AB146,105)</x:f>
        <x:v>0</x:v>
      </x:c>
      <x:c r="T146" s="9" t="n">
        <x:f>SUMIFS('350配方'!$M146:$P146,'350配方'!$Y146:$AB146,111)</x:f>
        <x:v>0</x:v>
      </x:c>
      <x:c r="U146" s="9" t="n">
        <x:f>SUMIFS('350配方'!$M146:$P146,'350配方'!$Y146:$AB146,114)</x:f>
        <x:v>0</x:v>
      </x:c>
      <x:c r="V146" s="9" t="n">
        <x:f>SUMIFS('350配方'!$M146:$P146,'350配方'!$Y146:$AB146,115)</x:f>
        <x:v>0</x:v>
      </x:c>
      <x:c r="W146" s="9" t="n">
        <x:f>SUMIFS('350配方'!$M146:$P146,'350配方'!$Y146:$AB146,117)</x:f>
        <x:v>1.875</x:v>
      </x:c>
      <x:c r="X146" s="9" t="n">
        <x:f>SUMIFS('350配方'!$M146:$P146,'350配方'!$Y146:$AB146,126)</x:f>
        <x:v>0</x:v>
      </x:c>
      <x:c r="Y146" s="9" t="n">
        <x:f>SUMIFS('350配方'!$M146:$P146,'350配方'!$Y146:$AB146,136)</x:f>
        <x:v>0</x:v>
      </x:c>
      <x:c r="Z146" s="9" t="n">
        <x:f>SUMIFS('350配方'!$M146:$P146,'350配方'!$Y146:$AB146,141)</x:f>
        <x:v>0</x:v>
      </x:c>
      <x:c r="AA146" s="9" t="n">
        <x:f>SUMIFS('350配方'!$M146:$P146,'350配方'!$Y146:$AB146,152)</x:f>
        <x:v>0</x:v>
      </x:c>
      <x:c r="AB146" s="9" t="n">
        <x:f>SUMIFS('350配方'!$M146:$P146,'350配方'!$Y146:$AB146,165)</x:f>
        <x:v>0</x:v>
      </x:c>
      <x:c r="AC146" s="9" t="n">
        <x:f>SUMIFS('350配方'!$M146:$P146,'350配方'!$Y146:$AB146,186)</x:f>
        <x:v>0</x:v>
      </x:c>
      <x:c r="AD146" s="9" t="n">
        <x:f>SUMIFS('350配方'!$M146:$P146,'350配方'!$Y146:$AB146,207)</x:f>
        <x:v>0</x:v>
      </x:c>
      <x:c r="AE146" s="9" t="n">
        <x:f>SUMIFS('350配方'!$M146:$P146,'350配方'!$Y146:$AB146,209)</x:f>
        <x:v>0</x:v>
      </x:c>
      <x:c r="AF146" s="9" t="n">
        <x:f>SUMIFS('350配方'!$M146:$P146,'350配方'!$Y146:$AB146,227)</x:f>
        <x:v>0</x:v>
      </x:c>
      <x:c r="AG146" s="9" t="n">
        <x:f>SUMIFS('350配方'!$M146:$P146,'350配方'!$Y146:$AB146,232)</x:f>
        <x:v>0</x:v>
      </x:c>
      <x:c r="AH146" s="9" t="n">
        <x:f>SUMIFS('350配方'!$M146:$P146,'350配方'!$Y146:$AB146,255)</x:f>
        <x:v>0</x:v>
      </x:c>
      <x:c r="AI146" s="9" t="n">
        <x:f>'浓度设置'!S6</x:f>
        <x:v>219125.9626344086</x:v>
      </x:c>
      <x:c r="AJ146" s="9" t="n">
        <x:f>'浓度设置'!S8</x:f>
        <x:v>92796.92267241378</x:v>
      </x:c>
      <x:c r="AK146" s="9" t="n">
        <x:f>'浓度设置'!S10</x:f>
        <x:v>30556.797802197798</x:v>
      </x:c>
      <x:c r="AL146" s="9" t="n">
        <x:f>'浓度设置'!S12</x:f>
        <x:v>1735.828970588235</x:v>
      </x:c>
      <x:c r="AM146" s="9" t="n">
        <x:f>'浓度设置'!S15</x:f>
        <x:v>7385.813644067793</x:v>
      </x:c>
      <x:c r="AN146" s="9" t="n">
        <x:f>'浓度设置'!S19</x:f>
        <x:v>27722.03097701148</x:v>
      </x:c>
      <x:c r="AO146" s="9" t="n">
        <x:f>'浓度设置'!S22</x:f>
        <x:v>44345.55047619048</x:v>
      </x:c>
      <x:c r="AP146" s="9" t="n">
        <x:f>'浓度设置'!S26</x:f>
        <x:v>153318.30499999996</x:v>
      </x:c>
      <x:c r="AQ146" s="9" t="n">
        <x:f>'浓度设置'!S29</x:f>
        <x:v>312.7970588235294</x:v>
      </x:c>
      <x:c r="AR146" s="9" t="n">
        <x:f>'浓度设置'!S30</x:f>
        <x:v>104175.5097553192</x:v>
      </x:c>
      <x:c r="AS146" s="9" t="n">
        <x:f>'浓度设置'!S35</x:f>
        <x:v>405974.90656785714</x:v>
      </x:c>
    </x:row>
    <x:row r="147" ht="24" customHeight="1">
      <x:c r="A147" s="3" t="str">
        <x:f>'350配方'!A147</x:f>
        <x:v>T142</x:v>
      </x:c>
      <x:c r="B147" s="3" t="str">
        <x:f>'350配方'!B147</x:f>
        <x:v>拟合</x:v>
      </x:c>
      <x:c r="C147" s="3" t="n">
        <x:f>IF(B147="拟合",1,0)</x:f>
        <x:v>1</x:v>
      </x:c>
      <x:c r="D147" s="3" t="n">
        <x:f>'350配方'!AC147</x:f>
        <x:v>4</x:v>
      </x:c>
      <x:c r="E147" s="9" t="n">
        <x:f>SUMIFS('350配方'!$M147:$P147,'350配方'!$Y147:$AB147,7)</x:f>
        <x:v>729.4776350238574</x:v>
      </x:c>
      <x:c r="F147" s="9" t="n">
        <x:f>SUMIFS('350配方'!$M147:$P147,'350配方'!$Y147:$AB147,11)</x:f>
        <x:v>0</x:v>
      </x:c>
      <x:c r="G147" s="9" t="n">
        <x:f>SUMIFS('350配方'!$M147:$P147,'350配方'!$Y147:$AB147,18)</x:f>
        <x:v>0</x:v>
      </x:c>
      <x:c r="H147" s="9" t="n">
        <x:f>SUMIFS('350配方'!$M147:$P147,'350配方'!$Y147:$AB147,32)</x:f>
        <x:v>0</x:v>
      </x:c>
      <x:c r="I147" s="9" t="n">
        <x:f>SUMIFS('350配方'!$M147:$P147,'350配方'!$Y147:$AB147,40)</x:f>
        <x:v>0</x:v>
      </x:c>
      <x:c r="J147" s="9" t="n">
        <x:f>SUMIFS('350配方'!$M147:$P147,'350配方'!$Y147:$AB147,52)</x:f>
        <x:v>0</x:v>
      </x:c>
      <x:c r="K147" s="9" t="n">
        <x:f>SUMIFS('350配方'!$M147:$P147,'350配方'!$Y147:$AB147,53)</x:f>
        <x:v>0</x:v>
      </x:c>
      <x:c r="L147" s="9" t="n">
        <x:f>SUMIFS('350配方'!$M147:$P147,'350配方'!$Y147:$AB147,56)</x:f>
        <x:v>0</x:v>
      </x:c>
      <x:c r="M147" s="9" t="n">
        <x:f>SUMIFS('350配方'!$M147:$P147,'350配方'!$Y147:$AB147,58)</x:f>
        <x:v>0</x:v>
      </x:c>
      <x:c r="N147" s="9" t="n">
        <x:f>SUMIFS('350配方'!$M147:$P147,'350配方'!$Y147:$AB147,61)</x:f>
        <x:v>0</x:v>
      </x:c>
      <x:c r="O147" s="9" t="n">
        <x:f>SUMIFS('350配方'!$M147:$P147,'350配方'!$Y147:$AB147,69)</x:f>
        <x:v>0</x:v>
      </x:c>
      <x:c r="P147" s="9" t="n">
        <x:f>SUMIFS('350配方'!$M147:$P147,'350配方'!$Y147:$AB147,75)</x:f>
        <x:v>0</x:v>
      </x:c>
      <x:c r="Q147" s="9" t="n">
        <x:f>SUMIFS('350配方'!$M147:$P147,'350配方'!$Y147:$AB147,79)</x:f>
        <x:v>1288.255</x:v>
      </x:c>
      <x:c r="R147" s="9" t="n">
        <x:f>SUMIFS('350配方'!$M147:$P147,'350配方'!$Y147:$AB147,90)</x:f>
        <x:v>1232.25</x:v>
      </x:c>
      <x:c r="S147" s="9" t="n">
        <x:f>SUMIFS('350配方'!$M147:$P147,'350配方'!$Y147:$AB147,105)</x:f>
        <x:v>0</x:v>
      </x:c>
      <x:c r="T147" s="9" t="n">
        <x:f>SUMIFS('350配方'!$M147:$P147,'350配方'!$Y147:$AB147,111)</x:f>
        <x:v>0</x:v>
      </x:c>
      <x:c r="U147" s="9" t="n">
        <x:f>SUMIFS('350配方'!$M147:$P147,'350配方'!$Y147:$AB147,114)</x:f>
        <x:v>0</x:v>
      </x:c>
      <x:c r="V147" s="9" t="n">
        <x:f>SUMIFS('350配方'!$M147:$P147,'350配方'!$Y147:$AB147,115)</x:f>
        <x:v>0</x:v>
      </x:c>
      <x:c r="W147" s="9" t="n">
        <x:f>SUMIFS('350配方'!$M147:$P147,'350配方'!$Y147:$AB147,117)</x:f>
        <x:v>0</x:v>
      </x:c>
      <x:c r="X147" s="9" t="n">
        <x:f>SUMIFS('350配方'!$M147:$P147,'350配方'!$Y147:$AB147,126)</x:f>
        <x:v>1551340.76</x:v>
      </x:c>
      <x:c r="Y147" s="9" t="n">
        <x:f>SUMIFS('350配方'!$M147:$P147,'350配方'!$Y147:$AB147,136)</x:f>
        <x:v>0</x:v>
      </x:c>
      <x:c r="Z147" s="9" t="n">
        <x:f>SUMIFS('350配方'!$M147:$P147,'350配方'!$Y147:$AB147,141)</x:f>
        <x:v>0</x:v>
      </x:c>
      <x:c r="AA147" s="9" t="n">
        <x:f>SUMIFS('350配方'!$M147:$P147,'350配方'!$Y147:$AB147,152)</x:f>
        <x:v>0</x:v>
      </x:c>
      <x:c r="AB147" s="9" t="n">
        <x:f>SUMIFS('350配方'!$M147:$P147,'350配方'!$Y147:$AB147,165)</x:f>
        <x:v>0</x:v>
      </x:c>
      <x:c r="AC147" s="9" t="n">
        <x:f>SUMIFS('350配方'!$M147:$P147,'350配方'!$Y147:$AB147,186)</x:f>
        <x:v>0</x:v>
      </x:c>
      <x:c r="AD147" s="9" t="n">
        <x:f>SUMIFS('350配方'!$M147:$P147,'350配方'!$Y147:$AB147,207)</x:f>
        <x:v>0</x:v>
      </x:c>
      <x:c r="AE147" s="9" t="n">
        <x:f>SUMIFS('350配方'!$M147:$P147,'350配方'!$Y147:$AB147,209)</x:f>
        <x:v>0</x:v>
      </x:c>
      <x:c r="AF147" s="9" t="n">
        <x:f>SUMIFS('350配方'!$M147:$P147,'350配方'!$Y147:$AB147,227)</x:f>
        <x:v>0</x:v>
      </x:c>
      <x:c r="AG147" s="9" t="n">
        <x:f>SUMIFS('350配方'!$M147:$P147,'350配方'!$Y147:$AB147,232)</x:f>
        <x:v>0</x:v>
      </x:c>
      <x:c r="AH147" s="9" t="n">
        <x:f>SUMIFS('350配方'!$M147:$P147,'350配方'!$Y147:$AB147,255)</x:f>
        <x:v>0</x:v>
      </x:c>
      <x:c r="AI147" s="9" t="n">
        <x:f>'浓度设置'!S6</x:f>
        <x:v>219125.9626344086</x:v>
      </x:c>
      <x:c r="AJ147" s="9" t="n">
        <x:f>'浓度设置'!S8</x:f>
        <x:v>92796.92267241378</x:v>
      </x:c>
      <x:c r="AK147" s="9" t="n">
        <x:f>'浓度设置'!S10</x:f>
        <x:v>30556.797802197798</x:v>
      </x:c>
      <x:c r="AL147" s="9" t="n">
        <x:f>'浓度设置'!S12</x:f>
        <x:v>1735.828970588235</x:v>
      </x:c>
      <x:c r="AM147" s="9" t="n">
        <x:f>'浓度设置'!S15</x:f>
        <x:v>7385.813644067793</x:v>
      </x:c>
      <x:c r="AN147" s="9" t="n">
        <x:f>'浓度设置'!S19</x:f>
        <x:v>27722.03097701148</x:v>
      </x:c>
      <x:c r="AO147" s="9" t="n">
        <x:f>'浓度设置'!S22</x:f>
        <x:v>44345.55047619048</x:v>
      </x:c>
      <x:c r="AP147" s="9" t="n">
        <x:f>'浓度设置'!S26</x:f>
        <x:v>153318.30499999996</x:v>
      </x:c>
      <x:c r="AQ147" s="9" t="n">
        <x:f>'浓度设置'!S29</x:f>
        <x:v>312.7970588235294</x:v>
      </x:c>
      <x:c r="AR147" s="9" t="n">
        <x:f>'浓度设置'!S30</x:f>
        <x:v>104175.5097553192</x:v>
      </x:c>
      <x:c r="AS147" s="9" t="n">
        <x:f>'浓度设置'!S35</x:f>
        <x:v>405974.90656785714</x:v>
      </x:c>
    </x:row>
    <x:row r="148" ht="24" customHeight="1">
      <x:c r="A148" s="3" t="str">
        <x:f>'350配方'!A148</x:f>
        <x:v>T143</x:v>
      </x:c>
      <x:c r="B148" s="3" t="str">
        <x:f>'350配方'!B148</x:f>
        <x:v>拟合</x:v>
      </x:c>
      <x:c r="C148" s="3" t="n">
        <x:f>IF(B148="拟合",1,0)</x:f>
        <x:v>1</x:v>
      </x:c>
      <x:c r="D148" s="3" t="n">
        <x:f>'350配方'!AC148</x:f>
        <x:v>4</x:v>
      </x:c>
      <x:c r="E148" s="9" t="n">
        <x:f>SUMIFS('350配方'!$M148:$P148,'350配方'!$Y148:$AB148,7)</x:f>
        <x:v>0</x:v>
      </x:c>
      <x:c r="F148" s="9" t="n">
        <x:f>SUMIFS('350配方'!$M148:$P148,'350配方'!$Y148:$AB148,11)</x:f>
        <x:v>16.97</x:v>
      </x:c>
      <x:c r="G148" s="9" t="n">
        <x:f>SUMIFS('350配方'!$M148:$P148,'350配方'!$Y148:$AB148,18)</x:f>
        <x:v>0</x:v>
      </x:c>
      <x:c r="H148" s="9" t="n">
        <x:f>SUMIFS('350配方'!$M148:$P148,'350配方'!$Y148:$AB148,32)</x:f>
        <x:v>0</x:v>
      </x:c>
      <x:c r="I148" s="9" t="n">
        <x:f>SUMIFS('350配方'!$M148:$P148,'350配方'!$Y148:$AB148,40)</x:f>
        <x:v>0</x:v>
      </x:c>
      <x:c r="J148" s="9" t="n">
        <x:f>SUMIFS('350配方'!$M148:$P148,'350配方'!$Y148:$AB148,52)</x:f>
        <x:v>0</x:v>
      </x:c>
      <x:c r="K148" s="9" t="n">
        <x:f>SUMIFS('350配方'!$M148:$P148,'350配方'!$Y148:$AB148,53)</x:f>
        <x:v>0</x:v>
      </x:c>
      <x:c r="L148" s="9" t="n">
        <x:f>SUMIFS('350配方'!$M148:$P148,'350配方'!$Y148:$AB148,56)</x:f>
        <x:v>0</x:v>
      </x:c>
      <x:c r="M148" s="9" t="n">
        <x:f>SUMIFS('350配方'!$M148:$P148,'350配方'!$Y148:$AB148,58)</x:f>
        <x:v>0</x:v>
      </x:c>
      <x:c r="N148" s="9" t="n">
        <x:f>SUMIFS('350配方'!$M148:$P148,'350配方'!$Y148:$AB148,61)</x:f>
        <x:v>59.381310191002015</x:v>
      </x:c>
      <x:c r="O148" s="9" t="n">
        <x:f>SUMIFS('350配方'!$M148:$P148,'350配方'!$Y148:$AB148,69)</x:f>
        <x:v>0</x:v>
      </x:c>
      <x:c r="P148" s="9" t="n">
        <x:f>SUMIFS('350配方'!$M148:$P148,'350配方'!$Y148:$AB148,75)</x:f>
        <x:v>0</x:v>
      </x:c>
      <x:c r="Q148" s="9" t="n">
        <x:f>SUMIFS('350配方'!$M148:$P148,'350配方'!$Y148:$AB148,79)</x:f>
        <x:v>0</x:v>
      </x:c>
      <x:c r="R148" s="9" t="n">
        <x:f>SUMIFS('350配方'!$M148:$P148,'350配方'!$Y148:$AB148,90)</x:f>
        <x:v>0</x:v>
      </x:c>
      <x:c r="S148" s="9" t="n">
        <x:f>SUMIFS('350配方'!$M148:$P148,'350配方'!$Y148:$AB148,105)</x:f>
        <x:v>0</x:v>
      </x:c>
      <x:c r="T148" s="9" t="n">
        <x:f>SUMIFS('350配方'!$M148:$P148,'350配方'!$Y148:$AB148,111)</x:f>
        <x:v>0</x:v>
      </x:c>
      <x:c r="U148" s="9" t="n">
        <x:f>SUMIFS('350配方'!$M148:$P148,'350配方'!$Y148:$AB148,114)</x:f>
        <x:v>0</x:v>
      </x:c>
      <x:c r="V148" s="9" t="n">
        <x:f>SUMIFS('350配方'!$M148:$P148,'350配方'!$Y148:$AB148,115)</x:f>
        <x:v>0</x:v>
      </x:c>
      <x:c r="W148" s="9" t="n">
        <x:f>SUMIFS('350配方'!$M148:$P148,'350配方'!$Y148:$AB148,117)</x:f>
        <x:v>0</x:v>
      </x:c>
      <x:c r="X148" s="9" t="n">
        <x:f>SUMIFS('350配方'!$M148:$P148,'350配方'!$Y148:$AB148,126)</x:f>
        <x:v>0</x:v>
      </x:c>
      <x:c r="Y148" s="9" t="n">
        <x:f>SUMIFS('350配方'!$M148:$P148,'350配方'!$Y148:$AB148,136)</x:f>
        <x:v>0</x:v>
      </x:c>
      <x:c r="Z148" s="9" t="n">
        <x:f>SUMIFS('350配方'!$M148:$P148,'350配方'!$Y148:$AB148,141)</x:f>
        <x:v>1039840</x:v>
      </x:c>
      <x:c r="AA148" s="9" t="n">
        <x:f>SUMIFS('350配方'!$M148:$P148,'350配方'!$Y148:$AB148,152)</x:f>
        <x:v>0</x:v>
      </x:c>
      <x:c r="AB148" s="9" t="n">
        <x:f>SUMIFS('350配方'!$M148:$P148,'350配方'!$Y148:$AB148,165)</x:f>
        <x:v>0</x:v>
      </x:c>
      <x:c r="AC148" s="9" t="n">
        <x:f>SUMIFS('350配方'!$M148:$P148,'350配方'!$Y148:$AB148,186)</x:f>
        <x:v>0</x:v>
      </x:c>
      <x:c r="AD148" s="9" t="n">
        <x:f>SUMIFS('350配方'!$M148:$P148,'350配方'!$Y148:$AB148,207)</x:f>
        <x:v>0</x:v>
      </x:c>
      <x:c r="AE148" s="9" t="n">
        <x:f>SUMIFS('350配方'!$M148:$P148,'350配方'!$Y148:$AB148,209)</x:f>
        <x:v>0</x:v>
      </x:c>
      <x:c r="AF148" s="9" t="n">
        <x:f>SUMIFS('350配方'!$M148:$P148,'350配方'!$Y148:$AB148,227)</x:f>
        <x:v>0</x:v>
      </x:c>
      <x:c r="AG148" s="9" t="n">
        <x:f>SUMIFS('350配方'!$M148:$P148,'350配方'!$Y148:$AB148,232)</x:f>
        <x:v>1611</x:v>
      </x:c>
      <x:c r="AH148" s="9" t="n">
        <x:f>SUMIFS('350配方'!$M148:$P148,'350配方'!$Y148:$AB148,255)</x:f>
        <x:v>0</x:v>
      </x:c>
      <x:c r="AI148" s="9" t="n">
        <x:f>'浓度设置'!S6</x:f>
        <x:v>219125.9626344086</x:v>
      </x:c>
      <x:c r="AJ148" s="9" t="n">
        <x:f>'浓度设置'!S8</x:f>
        <x:v>92796.92267241378</x:v>
      </x:c>
      <x:c r="AK148" s="9" t="n">
        <x:f>'浓度设置'!S10</x:f>
        <x:v>30556.797802197798</x:v>
      </x:c>
      <x:c r="AL148" s="9" t="n">
        <x:f>'浓度设置'!S12</x:f>
        <x:v>1735.828970588235</x:v>
      </x:c>
      <x:c r="AM148" s="9" t="n">
        <x:f>'浓度设置'!S15</x:f>
        <x:v>7385.813644067793</x:v>
      </x:c>
      <x:c r="AN148" s="9" t="n">
        <x:f>'浓度设置'!S19</x:f>
        <x:v>27722.03097701148</x:v>
      </x:c>
      <x:c r="AO148" s="9" t="n">
        <x:f>'浓度设置'!S22</x:f>
        <x:v>44345.55047619048</x:v>
      </x:c>
      <x:c r="AP148" s="9" t="n">
        <x:f>'浓度设置'!S26</x:f>
        <x:v>153318.30499999996</x:v>
      </x:c>
      <x:c r="AQ148" s="9" t="n">
        <x:f>'浓度设置'!S29</x:f>
        <x:v>312.7970588235294</x:v>
      </x:c>
      <x:c r="AR148" s="9" t="n">
        <x:f>'浓度设置'!S30</x:f>
        <x:v>104175.5097553192</x:v>
      </x:c>
      <x:c r="AS148" s="9" t="n">
        <x:f>'浓度设置'!S35</x:f>
        <x:v>405974.90656785714</x:v>
      </x:c>
    </x:row>
    <x:row r="149" ht="24" customHeight="1">
      <x:c r="A149" s="3" t="str">
        <x:f>'350配方'!A149</x:f>
        <x:v>T144</x:v>
      </x:c>
      <x:c r="B149" s="3" t="str">
        <x:f>'350配方'!B149</x:f>
        <x:v>拟合</x:v>
      </x:c>
      <x:c r="C149" s="3" t="n">
        <x:f>IF(B149="拟合",1,0)</x:f>
        <x:v>1</x:v>
      </x:c>
      <x:c r="D149" s="3" t="n">
        <x:f>'350配方'!AC149</x:f>
        <x:v>4</x:v>
      </x:c>
      <x:c r="E149" s="9" t="n">
        <x:f>SUMIFS('350配方'!$M149:$P149,'350配方'!$Y149:$AB149,7)</x:f>
        <x:v>0</x:v>
      </x:c>
      <x:c r="F149" s="9" t="n">
        <x:f>SUMIFS('350配方'!$M149:$P149,'350配方'!$Y149:$AB149,11)</x:f>
        <x:v>0</x:v>
      </x:c>
      <x:c r="G149" s="9" t="n">
        <x:f>SUMIFS('350配方'!$M149:$P149,'350配方'!$Y149:$AB149,18)</x:f>
        <x:v>0</x:v>
      </x:c>
      <x:c r="H149" s="9" t="n">
        <x:f>SUMIFS('350配方'!$M149:$P149,'350配方'!$Y149:$AB149,32)</x:f>
        <x:v>0</x:v>
      </x:c>
      <x:c r="I149" s="9" t="n">
        <x:f>SUMIFS('350配方'!$M149:$P149,'350配方'!$Y149:$AB149,40)</x:f>
        <x:v>0</x:v>
      </x:c>
      <x:c r="J149" s="9" t="n">
        <x:f>SUMIFS('350配方'!$M149:$P149,'350配方'!$Y149:$AB149,52)</x:f>
        <x:v>2338.9306103431118</x:v>
      </x:c>
      <x:c r="K149" s="9" t="n">
        <x:f>SUMIFS('350配方'!$M149:$P149,'350配方'!$Y149:$AB149,53)</x:f>
        <x:v>0</x:v>
      </x:c>
      <x:c r="L149" s="9" t="n">
        <x:f>SUMIFS('350配方'!$M149:$P149,'350配方'!$Y149:$AB149,56)</x:f>
        <x:v>1041.8500000000001</x:v>
      </x:c>
      <x:c r="M149" s="9" t="n">
        <x:f>SUMIFS('350配方'!$M149:$P149,'350配方'!$Y149:$AB149,58)</x:f>
        <x:v>0</x:v>
      </x:c>
      <x:c r="N149" s="9" t="n">
        <x:f>SUMIFS('350配方'!$M149:$P149,'350配方'!$Y149:$AB149,61)</x:f>
        <x:v>0</x:v>
      </x:c>
      <x:c r="O149" s="9" t="n">
        <x:f>SUMIFS('350配方'!$M149:$P149,'350配方'!$Y149:$AB149,69)</x:f>
        <x:v>0</x:v>
      </x:c>
      <x:c r="P149" s="9" t="n">
        <x:f>SUMIFS('350配方'!$M149:$P149,'350配方'!$Y149:$AB149,75)</x:f>
        <x:v>0</x:v>
      </x:c>
      <x:c r="Q149" s="9" t="n">
        <x:f>SUMIFS('350配方'!$M149:$P149,'350配方'!$Y149:$AB149,79)</x:f>
        <x:v>56115</x:v>
      </x:c>
      <x:c r="R149" s="9" t="n">
        <x:f>SUMIFS('350配方'!$M149:$P149,'350配方'!$Y149:$AB149,90)</x:f>
        <x:v>0</x:v>
      </x:c>
      <x:c r="S149" s="9" t="n">
        <x:f>SUMIFS('350配方'!$M149:$P149,'350配方'!$Y149:$AB149,105)</x:f>
        <x:v>0</x:v>
      </x:c>
      <x:c r="T149" s="9" t="n">
        <x:f>SUMIFS('350配方'!$M149:$P149,'350配方'!$Y149:$AB149,111)</x:f>
        <x:v>0</x:v>
      </x:c>
      <x:c r="U149" s="9" t="n">
        <x:f>SUMIFS('350配方'!$M149:$P149,'350配方'!$Y149:$AB149,114)</x:f>
        <x:v>0</x:v>
      </x:c>
      <x:c r="V149" s="9" t="n">
        <x:f>SUMIFS('350配方'!$M149:$P149,'350配方'!$Y149:$AB149,115)</x:f>
        <x:v>0</x:v>
      </x:c>
      <x:c r="W149" s="9" t="n">
        <x:f>SUMIFS('350配方'!$M149:$P149,'350配方'!$Y149:$AB149,117)</x:f>
        <x:v>0</x:v>
      </x:c>
      <x:c r="X149" s="9" t="n">
        <x:f>SUMIFS('350配方'!$M149:$P149,'350配方'!$Y149:$AB149,126)</x:f>
        <x:v>0</x:v>
      </x:c>
      <x:c r="Y149" s="9" t="n">
        <x:f>SUMIFS('350配方'!$M149:$P149,'350配方'!$Y149:$AB149,136)</x:f>
        <x:v>0</x:v>
      </x:c>
      <x:c r="Z149" s="9" t="n">
        <x:f>SUMIFS('350配方'!$M149:$P149,'350配方'!$Y149:$AB149,141)</x:f>
        <x:v>0</x:v>
      </x:c>
      <x:c r="AA149" s="9" t="n">
        <x:f>SUMIFS('350配方'!$M149:$P149,'350配方'!$Y149:$AB149,152)</x:f>
        <x:v>0</x:v>
      </x:c>
      <x:c r="AB149" s="9" t="n">
        <x:f>SUMIFS('350配方'!$M149:$P149,'350配方'!$Y149:$AB149,165)</x:f>
        <x:v>0</x:v>
      </x:c>
      <x:c r="AC149" s="9" t="n">
        <x:f>SUMIFS('350配方'!$M149:$P149,'350配方'!$Y149:$AB149,186)</x:f>
        <x:v>0</x:v>
      </x:c>
      <x:c r="AD149" s="9" t="n">
        <x:f>SUMIFS('350配方'!$M149:$P149,'350配方'!$Y149:$AB149,207)</x:f>
        <x:v>0</x:v>
      </x:c>
      <x:c r="AE149" s="9" t="n">
        <x:f>SUMIFS('350配方'!$M149:$P149,'350配方'!$Y149:$AB149,209)</x:f>
        <x:v>0</x:v>
      </x:c>
      <x:c r="AF149" s="9" t="n">
        <x:f>SUMIFS('350配方'!$M149:$P149,'350配方'!$Y149:$AB149,227)</x:f>
        <x:v>0</x:v>
      </x:c>
      <x:c r="AG149" s="9" t="n">
        <x:f>SUMIFS('350配方'!$M149:$P149,'350配方'!$Y149:$AB149,232)</x:f>
        <x:v>0</x:v>
      </x:c>
      <x:c r="AH149" s="9" t="n">
        <x:f>SUMIFS('350配方'!$M149:$P149,'350配方'!$Y149:$AB149,255)</x:f>
        <x:v>60.76</x:v>
      </x:c>
      <x:c r="AI149" s="9" t="n">
        <x:f>'浓度设置'!S6</x:f>
        <x:v>219125.9626344086</x:v>
      </x:c>
      <x:c r="AJ149" s="9" t="n">
        <x:f>'浓度设置'!S8</x:f>
        <x:v>92796.92267241378</x:v>
      </x:c>
      <x:c r="AK149" s="9" t="n">
        <x:f>'浓度设置'!S10</x:f>
        <x:v>30556.797802197798</x:v>
      </x:c>
      <x:c r="AL149" s="9" t="n">
        <x:f>'浓度设置'!S12</x:f>
        <x:v>1735.828970588235</x:v>
      </x:c>
      <x:c r="AM149" s="9" t="n">
        <x:f>'浓度设置'!S15</x:f>
        <x:v>7385.813644067793</x:v>
      </x:c>
      <x:c r="AN149" s="9" t="n">
        <x:f>'浓度设置'!S19</x:f>
        <x:v>27722.03097701148</x:v>
      </x:c>
      <x:c r="AO149" s="9" t="n">
        <x:f>'浓度设置'!S22</x:f>
        <x:v>44345.55047619048</x:v>
      </x:c>
      <x:c r="AP149" s="9" t="n">
        <x:f>'浓度设置'!S26</x:f>
        <x:v>153318.30499999996</x:v>
      </x:c>
      <x:c r="AQ149" s="9" t="n">
        <x:f>'浓度设置'!S29</x:f>
        <x:v>312.7970588235294</x:v>
      </x:c>
      <x:c r="AR149" s="9" t="n">
        <x:f>'浓度设置'!S30</x:f>
        <x:v>104175.5097553192</x:v>
      </x:c>
      <x:c r="AS149" s="9" t="n">
        <x:f>'浓度设置'!S35</x:f>
        <x:v>405974.90656785714</x:v>
      </x:c>
    </x:row>
    <x:row r="150" ht="24" customHeight="1">
      <x:c r="A150" s="3" t="str">
        <x:f>'350配方'!A150</x:f>
        <x:v>T145</x:v>
      </x:c>
      <x:c r="B150" s="3" t="str">
        <x:f>'350配方'!B150</x:f>
        <x:v>拟合</x:v>
      </x:c>
      <x:c r="C150" s="3" t="n">
        <x:f>IF(B150="拟合",1,0)</x:f>
        <x:v>1</x:v>
      </x:c>
      <x:c r="D150" s="3" t="n">
        <x:f>'350配方'!AC150</x:f>
        <x:v>4</x:v>
      </x:c>
      <x:c r="E150" s="9" t="n">
        <x:f>SUMIFS('350配方'!$M150:$P150,'350配方'!$Y150:$AB150,7)</x:f>
        <x:v>0</x:v>
      </x:c>
      <x:c r="F150" s="9" t="n">
        <x:f>SUMIFS('350配方'!$M150:$P150,'350配方'!$Y150:$AB150,11)</x:f>
        <x:v>0</x:v>
      </x:c>
      <x:c r="G150" s="9" t="n">
        <x:f>SUMIFS('350配方'!$M150:$P150,'350配方'!$Y150:$AB150,18)</x:f>
        <x:v>0</x:v>
      </x:c>
      <x:c r="H150" s="9" t="n">
        <x:f>SUMIFS('350配方'!$M150:$P150,'350配方'!$Y150:$AB150,32)</x:f>
        <x:v>0</x:v>
      </x:c>
      <x:c r="I150" s="9" t="n">
        <x:f>SUMIFS('350配方'!$M150:$P150,'350配方'!$Y150:$AB150,40)</x:f>
        <x:v>0</x:v>
      </x:c>
      <x:c r="J150" s="9" t="n">
        <x:f>SUMIFS('350配方'!$M150:$P150,'350配方'!$Y150:$AB150,52)</x:f>
        <x:v>0</x:v>
      </x:c>
      <x:c r="K150" s="9" t="n">
        <x:f>SUMIFS('350配方'!$M150:$P150,'350配方'!$Y150:$AB150,53)</x:f>
        <x:v>0</x:v>
      </x:c>
      <x:c r="L150" s="9" t="n">
        <x:f>SUMIFS('350配方'!$M150:$P150,'350配方'!$Y150:$AB150,56)</x:f>
        <x:v>0</x:v>
      </x:c>
      <x:c r="M150" s="9" t="n">
        <x:f>SUMIFS('350配方'!$M150:$P150,'350配方'!$Y150:$AB150,58)</x:f>
        <x:v>0</x:v>
      </x:c>
      <x:c r="N150" s="9" t="n">
        <x:f>SUMIFS('350配方'!$M150:$P150,'350配方'!$Y150:$AB150,61)</x:f>
        <x:v>59.381310191002015</x:v>
      </x:c>
      <x:c r="O150" s="9" t="n">
        <x:f>SUMIFS('350配方'!$M150:$P150,'350配方'!$Y150:$AB150,69)</x:f>
        <x:v>0</x:v>
      </x:c>
      <x:c r="P150" s="9" t="n">
        <x:f>SUMIFS('350配方'!$M150:$P150,'350配方'!$Y150:$AB150,75)</x:f>
        <x:v>0</x:v>
      </x:c>
      <x:c r="Q150" s="9" t="n">
        <x:f>SUMIFS('350配方'!$M150:$P150,'350配方'!$Y150:$AB150,79)</x:f>
        <x:v>0</x:v>
      </x:c>
      <x:c r="R150" s="9" t="n">
        <x:f>SUMIFS('350配方'!$M150:$P150,'350配方'!$Y150:$AB150,90)</x:f>
        <x:v>0</x:v>
      </x:c>
      <x:c r="S150" s="9" t="n">
        <x:f>SUMIFS('350配方'!$M150:$P150,'350配方'!$Y150:$AB150,105)</x:f>
        <x:v>0.05</x:v>
      </x:c>
      <x:c r="T150" s="9" t="n">
        <x:f>SUMIFS('350配方'!$M150:$P150,'350配方'!$Y150:$AB150,111)</x:f>
        <x:v>0</x:v>
      </x:c>
      <x:c r="U150" s="9" t="n">
        <x:f>SUMIFS('350配方'!$M150:$P150,'350配方'!$Y150:$AB150,114)</x:f>
        <x:v>0</x:v>
      </x:c>
      <x:c r="V150" s="9" t="n">
        <x:f>SUMIFS('350配方'!$M150:$P150,'350配方'!$Y150:$AB150,115)</x:f>
        <x:v>0</x:v>
      </x:c>
      <x:c r="W150" s="9" t="n">
        <x:f>SUMIFS('350配方'!$M150:$P150,'350配方'!$Y150:$AB150,117)</x:f>
        <x:v>0</x:v>
      </x:c>
      <x:c r="X150" s="9" t="n">
        <x:f>SUMIFS('350配方'!$M150:$P150,'350配方'!$Y150:$AB150,126)</x:f>
        <x:v>0</x:v>
      </x:c>
      <x:c r="Y150" s="9" t="n">
        <x:f>SUMIFS('350配方'!$M150:$P150,'350配方'!$Y150:$AB150,136)</x:f>
        <x:v>44000</x:v>
      </x:c>
      <x:c r="Z150" s="9" t="n">
        <x:f>SUMIFS('350配方'!$M150:$P150,'350配方'!$Y150:$AB150,141)</x:f>
        <x:v>0</x:v>
      </x:c>
      <x:c r="AA150" s="9" t="n">
        <x:f>SUMIFS('350配方'!$M150:$P150,'350配方'!$Y150:$AB150,152)</x:f>
        <x:v>0</x:v>
      </x:c>
      <x:c r="AB150" s="9" t="n">
        <x:f>SUMIFS('350配方'!$M150:$P150,'350配方'!$Y150:$AB150,165)</x:f>
        <x:v>86300</x:v>
      </x:c>
      <x:c r="AC150" s="9" t="n">
        <x:f>SUMIFS('350配方'!$M150:$P150,'350配方'!$Y150:$AB150,186)</x:f>
        <x:v>0</x:v>
      </x:c>
      <x:c r="AD150" s="9" t="n">
        <x:f>SUMIFS('350配方'!$M150:$P150,'350配方'!$Y150:$AB150,207)</x:f>
        <x:v>0</x:v>
      </x:c>
      <x:c r="AE150" s="9" t="n">
        <x:f>SUMIFS('350配方'!$M150:$P150,'350配方'!$Y150:$AB150,209)</x:f>
        <x:v>0</x:v>
      </x:c>
      <x:c r="AF150" s="9" t="n">
        <x:f>SUMIFS('350配方'!$M150:$P150,'350配方'!$Y150:$AB150,227)</x:f>
        <x:v>0</x:v>
      </x:c>
      <x:c r="AG150" s="9" t="n">
        <x:f>SUMIFS('350配方'!$M150:$P150,'350配方'!$Y150:$AB150,232)</x:f>
        <x:v>0</x:v>
      </x:c>
      <x:c r="AH150" s="9" t="n">
        <x:f>SUMIFS('350配方'!$M150:$P150,'350配方'!$Y150:$AB150,255)</x:f>
        <x:v>0</x:v>
      </x:c>
      <x:c r="AI150" s="9" t="n">
        <x:f>'浓度设置'!S6</x:f>
        <x:v>219125.9626344086</x:v>
      </x:c>
      <x:c r="AJ150" s="9" t="n">
        <x:f>'浓度设置'!S8</x:f>
        <x:v>92796.92267241378</x:v>
      </x:c>
      <x:c r="AK150" s="9" t="n">
        <x:f>'浓度设置'!S10</x:f>
        <x:v>30556.797802197798</x:v>
      </x:c>
      <x:c r="AL150" s="9" t="n">
        <x:f>'浓度设置'!S12</x:f>
        <x:v>1735.828970588235</x:v>
      </x:c>
      <x:c r="AM150" s="9" t="n">
        <x:f>'浓度设置'!S15</x:f>
        <x:v>7385.813644067793</x:v>
      </x:c>
      <x:c r="AN150" s="9" t="n">
        <x:f>'浓度设置'!S19</x:f>
        <x:v>27722.03097701148</x:v>
      </x:c>
      <x:c r="AO150" s="9" t="n">
        <x:f>'浓度设置'!S22</x:f>
        <x:v>44345.55047619048</x:v>
      </x:c>
      <x:c r="AP150" s="9" t="n">
        <x:f>'浓度设置'!S26</x:f>
        <x:v>153318.30499999996</x:v>
      </x:c>
      <x:c r="AQ150" s="9" t="n">
        <x:f>'浓度设置'!S29</x:f>
        <x:v>312.7970588235294</x:v>
      </x:c>
      <x:c r="AR150" s="9" t="n">
        <x:f>'浓度设置'!S30</x:f>
        <x:v>104175.5097553192</x:v>
      </x:c>
      <x:c r="AS150" s="9" t="n">
        <x:f>'浓度设置'!S35</x:f>
        <x:v>405974.90656785714</x:v>
      </x:c>
    </x:row>
    <x:row r="151" ht="24" customHeight="1">
      <x:c r="A151" s="3" t="str">
        <x:f>'350配方'!A151</x:f>
        <x:v>T146</x:v>
      </x:c>
      <x:c r="B151" s="3" t="str">
        <x:f>'350配方'!B151</x:f>
        <x:v>拟合</x:v>
      </x:c>
      <x:c r="C151" s="3" t="n">
        <x:f>IF(B151="拟合",1,0)</x:f>
        <x:v>1</x:v>
      </x:c>
      <x:c r="D151" s="3" t="n">
        <x:f>'350配方'!AC151</x:f>
        <x:v>4</x:v>
      </x:c>
      <x:c r="E151" s="9" t="n">
        <x:f>SUMIFS('350配方'!$M151:$P151,'350配方'!$Y151:$AB151,7)</x:f>
        <x:v>0</x:v>
      </x:c>
      <x:c r="F151" s="9" t="n">
        <x:f>SUMIFS('350配方'!$M151:$P151,'350配方'!$Y151:$AB151,11)</x:f>
        <x:v>0</x:v>
      </x:c>
      <x:c r="G151" s="9" t="n">
        <x:f>SUMIFS('350配方'!$M151:$P151,'350配方'!$Y151:$AB151,18)</x:f>
        <x:v>35900</x:v>
      </x:c>
      <x:c r="H151" s="9" t="n">
        <x:f>SUMIFS('350配方'!$M151:$P151,'350配方'!$Y151:$AB151,32)</x:f>
        <x:v>0</x:v>
      </x:c>
      <x:c r="I151" s="9" t="n">
        <x:f>SUMIFS('350配方'!$M151:$P151,'350配方'!$Y151:$AB151,40)</x:f>
        <x:v>0</x:v>
      </x:c>
      <x:c r="J151" s="9" t="n">
        <x:f>SUMIFS('350配方'!$M151:$P151,'350配方'!$Y151:$AB151,52)</x:f>
        <x:v>4.24</x:v>
      </x:c>
      <x:c r="K151" s="9" t="n">
        <x:f>SUMIFS('350配方'!$M151:$P151,'350配方'!$Y151:$AB151,53)</x:f>
        <x:v>9.61</x:v>
      </x:c>
      <x:c r="L151" s="9" t="n">
        <x:f>SUMIFS('350配方'!$M151:$P151,'350配方'!$Y151:$AB151,56)</x:f>
        <x:v>0</x:v>
      </x:c>
      <x:c r="M151" s="9" t="n">
        <x:f>SUMIFS('350配方'!$M151:$P151,'350配方'!$Y151:$AB151,58)</x:f>
        <x:v>0</x:v>
      </x:c>
      <x:c r="N151" s="9" t="n">
        <x:f>SUMIFS('350配方'!$M151:$P151,'350配方'!$Y151:$AB151,61)</x:f>
        <x:v>0</x:v>
      </x:c>
      <x:c r="O151" s="9" t="n">
        <x:f>SUMIFS('350配方'!$M151:$P151,'350配方'!$Y151:$AB151,69)</x:f>
        <x:v>0</x:v>
      </x:c>
      <x:c r="P151" s="9" t="n">
        <x:f>SUMIFS('350配方'!$M151:$P151,'350配方'!$Y151:$AB151,75)</x:f>
        <x:v>0</x:v>
      </x:c>
      <x:c r="Q151" s="9" t="n">
        <x:f>SUMIFS('350配方'!$M151:$P151,'350配方'!$Y151:$AB151,79)</x:f>
        <x:v>0</x:v>
      </x:c>
      <x:c r="R151" s="9" t="n">
        <x:f>SUMIFS('350配方'!$M151:$P151,'350配方'!$Y151:$AB151,90)</x:f>
        <x:v>0</x:v>
      </x:c>
      <x:c r="S151" s="9" t="n">
        <x:f>SUMIFS('350配方'!$M151:$P151,'350配方'!$Y151:$AB151,105)</x:f>
        <x:v>0</x:v>
      </x:c>
      <x:c r="T151" s="9" t="n">
        <x:f>SUMIFS('350配方'!$M151:$P151,'350配方'!$Y151:$AB151,111)</x:f>
        <x:v>0</x:v>
      </x:c>
      <x:c r="U151" s="9" t="n">
        <x:f>SUMIFS('350配方'!$M151:$P151,'350配方'!$Y151:$AB151,114)</x:f>
        <x:v>0</x:v>
      </x:c>
      <x:c r="V151" s="9" t="n">
        <x:f>SUMIFS('350配方'!$M151:$P151,'350配方'!$Y151:$AB151,115)</x:f>
        <x:v>0</x:v>
      </x:c>
      <x:c r="W151" s="9" t="n">
        <x:f>SUMIFS('350配方'!$M151:$P151,'350配方'!$Y151:$AB151,117)</x:f>
        <x:v>0</x:v>
      </x:c>
      <x:c r="X151" s="9" t="n">
        <x:f>SUMIFS('350配方'!$M151:$P151,'350配方'!$Y151:$AB151,126)</x:f>
        <x:v>0</x:v>
      </x:c>
      <x:c r="Y151" s="9" t="n">
        <x:f>SUMIFS('350配方'!$M151:$P151,'350配方'!$Y151:$AB151,136)</x:f>
        <x:v>0</x:v>
      </x:c>
      <x:c r="Z151" s="9" t="n">
        <x:f>SUMIFS('350配方'!$M151:$P151,'350配方'!$Y151:$AB151,141)</x:f>
        <x:v>0</x:v>
      </x:c>
      <x:c r="AA151" s="9" t="n">
        <x:f>SUMIFS('350配方'!$M151:$P151,'350配方'!$Y151:$AB151,152)</x:f>
        <x:v>0</x:v>
      </x:c>
      <x:c r="AB151" s="9" t="n">
        <x:f>SUMIFS('350配方'!$M151:$P151,'350配方'!$Y151:$AB151,165)</x:f>
        <x:v>0</x:v>
      </x:c>
      <x:c r="AC151" s="9" t="n">
        <x:f>SUMIFS('350配方'!$M151:$P151,'350配方'!$Y151:$AB151,186)</x:f>
        <x:v>0</x:v>
      </x:c>
      <x:c r="AD151" s="9" t="n">
        <x:f>SUMIFS('350配方'!$M151:$P151,'350配方'!$Y151:$AB151,207)</x:f>
        <x:v>0</x:v>
      </x:c>
      <x:c r="AE151" s="9" t="n">
        <x:f>SUMIFS('350配方'!$M151:$P151,'350配方'!$Y151:$AB151,209)</x:f>
        <x:v>0</x:v>
      </x:c>
      <x:c r="AF151" s="9" t="n">
        <x:f>SUMIFS('350配方'!$M151:$P151,'350配方'!$Y151:$AB151,227)</x:f>
        <x:v>695.986709643223</x:v>
      </x:c>
      <x:c r="AG151" s="9" t="n">
        <x:f>SUMIFS('350配方'!$M151:$P151,'350配方'!$Y151:$AB151,232)</x:f>
        <x:v>0</x:v>
      </x:c>
      <x:c r="AH151" s="9" t="n">
        <x:f>SUMIFS('350配方'!$M151:$P151,'350配方'!$Y151:$AB151,255)</x:f>
        <x:v>0</x:v>
      </x:c>
      <x:c r="AI151" s="9" t="n">
        <x:f>'浓度设置'!S6</x:f>
        <x:v>219125.9626344086</x:v>
      </x:c>
      <x:c r="AJ151" s="9" t="n">
        <x:f>'浓度设置'!S8</x:f>
        <x:v>92796.92267241378</x:v>
      </x:c>
      <x:c r="AK151" s="9" t="n">
        <x:f>'浓度设置'!S10</x:f>
        <x:v>30556.797802197798</x:v>
      </x:c>
      <x:c r="AL151" s="9" t="n">
        <x:f>'浓度设置'!S12</x:f>
        <x:v>1735.828970588235</x:v>
      </x:c>
      <x:c r="AM151" s="9" t="n">
        <x:f>'浓度设置'!S15</x:f>
        <x:v>7385.813644067793</x:v>
      </x:c>
      <x:c r="AN151" s="9" t="n">
        <x:f>'浓度设置'!S19</x:f>
        <x:v>27722.03097701148</x:v>
      </x:c>
      <x:c r="AO151" s="9" t="n">
        <x:f>'浓度设置'!S22</x:f>
        <x:v>44345.55047619048</x:v>
      </x:c>
      <x:c r="AP151" s="9" t="n">
        <x:f>'浓度设置'!S26</x:f>
        <x:v>153318.30499999996</x:v>
      </x:c>
      <x:c r="AQ151" s="9" t="n">
        <x:f>'浓度设置'!S29</x:f>
        <x:v>312.7970588235294</x:v>
      </x:c>
      <x:c r="AR151" s="9" t="n">
        <x:f>'浓度设置'!S30</x:f>
        <x:v>104175.5097553192</x:v>
      </x:c>
      <x:c r="AS151" s="9" t="n">
        <x:f>'浓度设置'!S35</x:f>
        <x:v>405974.90656785714</x:v>
      </x:c>
    </x:row>
    <x:row r="152" ht="24" customHeight="1">
      <x:c r="A152" s="3" t="str">
        <x:f>'350配方'!A152</x:f>
        <x:v>T147</x:v>
      </x:c>
      <x:c r="B152" s="3" t="str">
        <x:f>'350配方'!B152</x:f>
        <x:v>拟合</x:v>
      </x:c>
      <x:c r="C152" s="3" t="n">
        <x:f>IF(B152="拟合",1,0)</x:f>
        <x:v>1</x:v>
      </x:c>
      <x:c r="D152" s="3" t="n">
        <x:f>'350配方'!AC152</x:f>
        <x:v>4</x:v>
      </x:c>
      <x:c r="E152" s="9" t="n">
        <x:f>SUMIFS('350配方'!$M152:$P152,'350配方'!$Y152:$AB152,7)</x:f>
        <x:v>0</x:v>
      </x:c>
      <x:c r="F152" s="9" t="n">
        <x:f>SUMIFS('350配方'!$M152:$P152,'350配方'!$Y152:$AB152,11)</x:f>
        <x:v>16.97</x:v>
      </x:c>
      <x:c r="G152" s="9" t="n">
        <x:f>SUMIFS('350配方'!$M152:$P152,'350配方'!$Y152:$AB152,18)</x:f>
        <x:v>0</x:v>
      </x:c>
      <x:c r="H152" s="9" t="n">
        <x:f>SUMIFS('350配方'!$M152:$P152,'350配方'!$Y152:$AB152,32)</x:f>
        <x:v>0</x:v>
      </x:c>
      <x:c r="I152" s="9" t="n">
        <x:f>SUMIFS('350配方'!$M152:$P152,'350配方'!$Y152:$AB152,40)</x:f>
        <x:v>0</x:v>
      </x:c>
      <x:c r="J152" s="9" t="n">
        <x:f>SUMIFS('350配方'!$M152:$P152,'350配方'!$Y152:$AB152,52)</x:f>
        <x:v>0</x:v>
      </x:c>
      <x:c r="K152" s="9" t="n">
        <x:f>SUMIFS('350配方'!$M152:$P152,'350配方'!$Y152:$AB152,53)</x:f>
        <x:v>0</x:v>
      </x:c>
      <x:c r="L152" s="9" t="n">
        <x:f>SUMIFS('350配方'!$M152:$P152,'350配方'!$Y152:$AB152,56)</x:f>
        <x:v>0</x:v>
      </x:c>
      <x:c r="M152" s="9" t="n">
        <x:f>SUMIFS('350配方'!$M152:$P152,'350配方'!$Y152:$AB152,58)</x:f>
        <x:v>1865945</x:v>
      </x:c>
      <x:c r="N152" s="9" t="n">
        <x:f>SUMIFS('350配方'!$M152:$P152,'350配方'!$Y152:$AB152,61)</x:f>
        <x:v>0</x:v>
      </x:c>
      <x:c r="O152" s="9" t="n">
        <x:f>SUMIFS('350配方'!$M152:$P152,'350配方'!$Y152:$AB152,69)</x:f>
        <x:v>0</x:v>
      </x:c>
      <x:c r="P152" s="9" t="n">
        <x:f>SUMIFS('350配方'!$M152:$P152,'350配方'!$Y152:$AB152,75)</x:f>
        <x:v>331.2476415010377</x:v>
      </x:c>
      <x:c r="Q152" s="9" t="n">
        <x:f>SUMIFS('350配方'!$M152:$P152,'350配方'!$Y152:$AB152,79)</x:f>
        <x:v>0</x:v>
      </x:c>
      <x:c r="R152" s="9" t="n">
        <x:f>SUMIFS('350配方'!$M152:$P152,'350配方'!$Y152:$AB152,90)</x:f>
        <x:v>0</x:v>
      </x:c>
      <x:c r="S152" s="9" t="n">
        <x:f>SUMIFS('350配方'!$M152:$P152,'350配方'!$Y152:$AB152,105)</x:f>
        <x:v>0</x:v>
      </x:c>
      <x:c r="T152" s="9" t="n">
        <x:f>SUMIFS('350配方'!$M152:$P152,'350配方'!$Y152:$AB152,111)</x:f>
        <x:v>0</x:v>
      </x:c>
      <x:c r="U152" s="9" t="n">
        <x:f>SUMIFS('350配方'!$M152:$P152,'350配方'!$Y152:$AB152,114)</x:f>
        <x:v>0</x:v>
      </x:c>
      <x:c r="V152" s="9" t="n">
        <x:f>SUMIFS('350配方'!$M152:$P152,'350配方'!$Y152:$AB152,115)</x:f>
        <x:v>0</x:v>
      </x:c>
      <x:c r="W152" s="9" t="n">
        <x:f>SUMIFS('350配方'!$M152:$P152,'350配方'!$Y152:$AB152,117)</x:f>
        <x:v>0</x:v>
      </x:c>
      <x:c r="X152" s="9" t="n">
        <x:f>SUMIFS('350配方'!$M152:$P152,'350配方'!$Y152:$AB152,126)</x:f>
        <x:v>1815.6539083757125</x:v>
      </x:c>
      <x:c r="Y152" s="9" t="n">
        <x:f>SUMIFS('350配方'!$M152:$P152,'350配方'!$Y152:$AB152,136)</x:f>
        <x:v>0</x:v>
      </x:c>
      <x:c r="Z152" s="9" t="n">
        <x:f>SUMIFS('350配方'!$M152:$P152,'350配方'!$Y152:$AB152,141)</x:f>
        <x:v>0</x:v>
      </x:c>
      <x:c r="AA152" s="9" t="n">
        <x:f>SUMIFS('350配方'!$M152:$P152,'350配方'!$Y152:$AB152,152)</x:f>
        <x:v>0</x:v>
      </x:c>
      <x:c r="AB152" s="9" t="n">
        <x:f>SUMIFS('350配方'!$M152:$P152,'350配方'!$Y152:$AB152,165)</x:f>
        <x:v>0</x:v>
      </x:c>
      <x:c r="AC152" s="9" t="n">
        <x:f>SUMIFS('350配方'!$M152:$P152,'350配方'!$Y152:$AB152,186)</x:f>
        <x:v>0</x:v>
      </x:c>
      <x:c r="AD152" s="9" t="n">
        <x:f>SUMIFS('350配方'!$M152:$P152,'350配方'!$Y152:$AB152,207)</x:f>
        <x:v>0</x:v>
      </x:c>
      <x:c r="AE152" s="9" t="n">
        <x:f>SUMIFS('350配方'!$M152:$P152,'350配方'!$Y152:$AB152,209)</x:f>
        <x:v>0</x:v>
      </x:c>
      <x:c r="AF152" s="9" t="n">
        <x:f>SUMIFS('350配方'!$M152:$P152,'350配方'!$Y152:$AB152,227)</x:f>
        <x:v>0</x:v>
      </x:c>
      <x:c r="AG152" s="9" t="n">
        <x:f>SUMIFS('350配方'!$M152:$P152,'350配方'!$Y152:$AB152,232)</x:f>
        <x:v>0</x:v>
      </x:c>
      <x:c r="AH152" s="9" t="n">
        <x:f>SUMIFS('350配方'!$M152:$P152,'350配方'!$Y152:$AB152,255)</x:f>
        <x:v>0</x:v>
      </x:c>
      <x:c r="AI152" s="9" t="n">
        <x:f>'浓度设置'!S6</x:f>
        <x:v>219125.9626344086</x:v>
      </x:c>
      <x:c r="AJ152" s="9" t="n">
        <x:f>'浓度设置'!S8</x:f>
        <x:v>92796.92267241378</x:v>
      </x:c>
      <x:c r="AK152" s="9" t="n">
        <x:f>'浓度设置'!S10</x:f>
        <x:v>30556.797802197798</x:v>
      </x:c>
      <x:c r="AL152" s="9" t="n">
        <x:f>'浓度设置'!S12</x:f>
        <x:v>1735.828970588235</x:v>
      </x:c>
      <x:c r="AM152" s="9" t="n">
        <x:f>'浓度设置'!S15</x:f>
        <x:v>7385.813644067793</x:v>
      </x:c>
      <x:c r="AN152" s="9" t="n">
        <x:f>'浓度设置'!S19</x:f>
        <x:v>27722.03097701148</x:v>
      </x:c>
      <x:c r="AO152" s="9" t="n">
        <x:f>'浓度设置'!S22</x:f>
        <x:v>44345.55047619048</x:v>
      </x:c>
      <x:c r="AP152" s="9" t="n">
        <x:f>'浓度设置'!S26</x:f>
        <x:v>153318.30499999996</x:v>
      </x:c>
      <x:c r="AQ152" s="9" t="n">
        <x:f>'浓度设置'!S29</x:f>
        <x:v>312.7970588235294</x:v>
      </x:c>
      <x:c r="AR152" s="9" t="n">
        <x:f>'浓度设置'!S30</x:f>
        <x:v>104175.5097553192</x:v>
      </x:c>
      <x:c r="AS152" s="9" t="n">
        <x:f>'浓度设置'!S35</x:f>
        <x:v>405974.90656785714</x:v>
      </x:c>
    </x:row>
    <x:row r="153" ht="24" customHeight="1">
      <x:c r="A153" s="3" t="str">
        <x:f>'350配方'!A153</x:f>
        <x:v>T148</x:v>
      </x:c>
      <x:c r="B153" s="3" t="str">
        <x:f>'350配方'!B153</x:f>
        <x:v>拟合</x:v>
      </x:c>
      <x:c r="C153" s="3" t="n">
        <x:f>IF(B153="拟合",1,0)</x:f>
        <x:v>1</x:v>
      </x:c>
      <x:c r="D153" s="3" t="n">
        <x:f>'350配方'!AC153</x:f>
        <x:v>4</x:v>
      </x:c>
      <x:c r="E153" s="9" t="n">
        <x:f>SUMIFS('350配方'!$M153:$P153,'350配方'!$Y153:$AB153,7)</x:f>
        <x:v>0</x:v>
      </x:c>
      <x:c r="F153" s="9" t="n">
        <x:f>SUMIFS('350配方'!$M153:$P153,'350配方'!$Y153:$AB153,11)</x:f>
        <x:v>0</x:v>
      </x:c>
      <x:c r="G153" s="9" t="n">
        <x:f>SUMIFS('350配方'!$M153:$P153,'350配方'!$Y153:$AB153,18)</x:f>
        <x:v>0</x:v>
      </x:c>
      <x:c r="H153" s="9" t="n">
        <x:f>SUMIFS('350配方'!$M153:$P153,'350配方'!$Y153:$AB153,32)</x:f>
        <x:v>0</x:v>
      </x:c>
      <x:c r="I153" s="9" t="n">
        <x:f>SUMIFS('350配方'!$M153:$P153,'350配方'!$Y153:$AB153,40)</x:f>
        <x:v>0</x:v>
      </x:c>
      <x:c r="J153" s="9" t="n">
        <x:f>SUMIFS('350配方'!$M153:$P153,'350配方'!$Y153:$AB153,52)</x:f>
        <x:v>0</x:v>
      </x:c>
      <x:c r="K153" s="9" t="n">
        <x:f>SUMIFS('350配方'!$M153:$P153,'350配方'!$Y153:$AB153,53)</x:f>
        <x:v>0</x:v>
      </x:c>
      <x:c r="L153" s="9" t="n">
        <x:f>SUMIFS('350配方'!$M153:$P153,'350配方'!$Y153:$AB153,56)</x:f>
        <x:v>0</x:v>
      </x:c>
      <x:c r="M153" s="9" t="n">
        <x:f>SUMIFS('350配方'!$M153:$P153,'350配方'!$Y153:$AB153,58)</x:f>
        <x:v>0</x:v>
      </x:c>
      <x:c r="N153" s="9" t="n">
        <x:f>SUMIFS('350配方'!$M153:$P153,'350配方'!$Y153:$AB153,61)</x:f>
        <x:v>0</x:v>
      </x:c>
      <x:c r="O153" s="9" t="n">
        <x:f>SUMIFS('350配方'!$M153:$P153,'350配方'!$Y153:$AB153,69)</x:f>
        <x:v>12022.2</x:v>
      </x:c>
      <x:c r="P153" s="9" t="n">
        <x:f>SUMIFS('350配方'!$M153:$P153,'350配方'!$Y153:$AB153,75)</x:f>
        <x:v>0</x:v>
      </x:c>
      <x:c r="Q153" s="9" t="n">
        <x:f>SUMIFS('350配方'!$M153:$P153,'350配方'!$Y153:$AB153,79)</x:f>
        <x:v>1288.255</x:v>
      </x:c>
      <x:c r="R153" s="9" t="n">
        <x:f>SUMIFS('350配方'!$M153:$P153,'350配方'!$Y153:$AB153,90)</x:f>
        <x:v>0</x:v>
      </x:c>
      <x:c r="S153" s="9" t="n">
        <x:f>SUMIFS('350配方'!$M153:$P153,'350配方'!$Y153:$AB153,105)</x:f>
        <x:v>0</x:v>
      </x:c>
      <x:c r="T153" s="9" t="n">
        <x:f>SUMIFS('350配方'!$M153:$P153,'350配方'!$Y153:$AB153,111)</x:f>
        <x:v>0</x:v>
      </x:c>
      <x:c r="U153" s="9" t="n">
        <x:f>SUMIFS('350配方'!$M153:$P153,'350配方'!$Y153:$AB153,114)</x:f>
        <x:v>0</x:v>
      </x:c>
      <x:c r="V153" s="9" t="n">
        <x:f>SUMIFS('350配方'!$M153:$P153,'350配方'!$Y153:$AB153,115)</x:f>
        <x:v>1.44</x:v>
      </x:c>
      <x:c r="W153" s="9" t="n">
        <x:f>SUMIFS('350配方'!$M153:$P153,'350配方'!$Y153:$AB153,117)</x:f>
        <x:v>0</x:v>
      </x:c>
      <x:c r="X153" s="9" t="n">
        <x:f>SUMIFS('350配方'!$M153:$P153,'350配方'!$Y153:$AB153,126)</x:f>
        <x:v>0</x:v>
      </x:c>
      <x:c r="Y153" s="9" t="n">
        <x:f>SUMIFS('350配方'!$M153:$P153,'350配方'!$Y153:$AB153,136)</x:f>
        <x:v>1.1875</x:v>
      </x:c>
      <x:c r="Z153" s="9" t="n">
        <x:f>SUMIFS('350配方'!$M153:$P153,'350配方'!$Y153:$AB153,141)</x:f>
        <x:v>0</x:v>
      </x:c>
      <x:c r="AA153" s="9" t="n">
        <x:f>SUMIFS('350配方'!$M153:$P153,'350配方'!$Y153:$AB153,152)</x:f>
        <x:v>0</x:v>
      </x:c>
      <x:c r="AB153" s="9" t="n">
        <x:f>SUMIFS('350配方'!$M153:$P153,'350配方'!$Y153:$AB153,165)</x:f>
        <x:v>0</x:v>
      </x:c>
      <x:c r="AC153" s="9" t="n">
        <x:f>SUMIFS('350配方'!$M153:$P153,'350配方'!$Y153:$AB153,186)</x:f>
        <x:v>0</x:v>
      </x:c>
      <x:c r="AD153" s="9" t="n">
        <x:f>SUMIFS('350配方'!$M153:$P153,'350配方'!$Y153:$AB153,207)</x:f>
        <x:v>0</x:v>
      </x:c>
      <x:c r="AE153" s="9" t="n">
        <x:f>SUMIFS('350配方'!$M153:$P153,'350配方'!$Y153:$AB153,209)</x:f>
        <x:v>0</x:v>
      </x:c>
      <x:c r="AF153" s="9" t="n">
        <x:f>SUMIFS('350配方'!$M153:$P153,'350配方'!$Y153:$AB153,227)</x:f>
        <x:v>0</x:v>
      </x:c>
      <x:c r="AG153" s="9" t="n">
        <x:f>SUMIFS('350配方'!$M153:$P153,'350配方'!$Y153:$AB153,232)</x:f>
        <x:v>0</x:v>
      </x:c>
      <x:c r="AH153" s="9" t="n">
        <x:f>SUMIFS('350配方'!$M153:$P153,'350配方'!$Y153:$AB153,255)</x:f>
        <x:v>0</x:v>
      </x:c>
      <x:c r="AI153" s="9" t="n">
        <x:f>'浓度设置'!S6</x:f>
        <x:v>219125.9626344086</x:v>
      </x:c>
      <x:c r="AJ153" s="9" t="n">
        <x:f>'浓度设置'!S8</x:f>
        <x:v>92796.92267241378</x:v>
      </x:c>
      <x:c r="AK153" s="9" t="n">
        <x:f>'浓度设置'!S10</x:f>
        <x:v>30556.797802197798</x:v>
      </x:c>
      <x:c r="AL153" s="9" t="n">
        <x:f>'浓度设置'!S12</x:f>
        <x:v>1735.828970588235</x:v>
      </x:c>
      <x:c r="AM153" s="9" t="n">
        <x:f>'浓度设置'!S15</x:f>
        <x:v>7385.813644067793</x:v>
      </x:c>
      <x:c r="AN153" s="9" t="n">
        <x:f>'浓度设置'!S19</x:f>
        <x:v>27722.03097701148</x:v>
      </x:c>
      <x:c r="AO153" s="9" t="n">
        <x:f>'浓度设置'!S22</x:f>
        <x:v>44345.55047619048</x:v>
      </x:c>
      <x:c r="AP153" s="9" t="n">
        <x:f>'浓度设置'!S26</x:f>
        <x:v>153318.30499999996</x:v>
      </x:c>
      <x:c r="AQ153" s="9" t="n">
        <x:f>'浓度设置'!S29</x:f>
        <x:v>312.7970588235294</x:v>
      </x:c>
      <x:c r="AR153" s="9" t="n">
        <x:f>'浓度设置'!S30</x:f>
        <x:v>104175.5097553192</x:v>
      </x:c>
      <x:c r="AS153" s="9" t="n">
        <x:f>'浓度设置'!S35</x:f>
        <x:v>405974.90656785714</x:v>
      </x:c>
    </x:row>
    <x:row r="154" ht="24" customHeight="1">
      <x:c r="A154" s="3" t="str">
        <x:f>'350配方'!A154</x:f>
        <x:v>T149</x:v>
      </x:c>
      <x:c r="B154" s="3" t="str">
        <x:f>'350配方'!B154</x:f>
        <x:v>拟合</x:v>
      </x:c>
      <x:c r="C154" s="3" t="n">
        <x:f>IF(B154="拟合",1,0)</x:f>
        <x:v>1</x:v>
      </x:c>
      <x:c r="D154" s="3" t="n">
        <x:f>'350配方'!AC154</x:f>
        <x:v>4</x:v>
      </x:c>
      <x:c r="E154" s="9" t="n">
        <x:f>SUMIFS('350配方'!$M154:$P154,'350配方'!$Y154:$AB154,7)</x:f>
        <x:v>729.4776350238574</x:v>
      </x:c>
      <x:c r="F154" s="9" t="n">
        <x:f>SUMIFS('350配方'!$M154:$P154,'350配方'!$Y154:$AB154,11)</x:f>
        <x:v>0</x:v>
      </x:c>
      <x:c r="G154" s="9" t="n">
        <x:f>SUMIFS('350配方'!$M154:$P154,'350配方'!$Y154:$AB154,18)</x:f>
        <x:v>0</x:v>
      </x:c>
      <x:c r="H154" s="9" t="n">
        <x:f>SUMIFS('350配方'!$M154:$P154,'350配方'!$Y154:$AB154,32)</x:f>
        <x:v>0</x:v>
      </x:c>
      <x:c r="I154" s="9" t="n">
        <x:f>SUMIFS('350配方'!$M154:$P154,'350配方'!$Y154:$AB154,40)</x:f>
        <x:v>0</x:v>
      </x:c>
      <x:c r="J154" s="9" t="n">
        <x:f>SUMIFS('350配方'!$M154:$P154,'350配方'!$Y154:$AB154,52)</x:f>
        <x:v>0</x:v>
      </x:c>
      <x:c r="K154" s="9" t="n">
        <x:f>SUMIFS('350配方'!$M154:$P154,'350配方'!$Y154:$AB154,53)</x:f>
        <x:v>2745.3821227654266</x:v>
      </x:c>
      <x:c r="L154" s="9" t="n">
        <x:f>SUMIFS('350配方'!$M154:$P154,'350配方'!$Y154:$AB154,56)</x:f>
        <x:v>0</x:v>
      </x:c>
      <x:c r="M154" s="9" t="n">
        <x:f>SUMIFS('350配方'!$M154:$P154,'350配方'!$Y154:$AB154,58)</x:f>
        <x:v>0</x:v>
      </x:c>
      <x:c r="N154" s="9" t="n">
        <x:f>SUMIFS('350配方'!$M154:$P154,'350配方'!$Y154:$AB154,61)</x:f>
        <x:v>0</x:v>
      </x:c>
      <x:c r="O154" s="9" t="n">
        <x:f>SUMIFS('350配方'!$M154:$P154,'350配方'!$Y154:$AB154,69)</x:f>
        <x:v>0</x:v>
      </x:c>
      <x:c r="P154" s="9" t="n">
        <x:f>SUMIFS('350配方'!$M154:$P154,'350配方'!$Y154:$AB154,75)</x:f>
        <x:v>0</x:v>
      </x:c>
      <x:c r="Q154" s="9" t="n">
        <x:f>SUMIFS('350配方'!$M154:$P154,'350配方'!$Y154:$AB154,79)</x:f>
        <x:v>0</x:v>
      </x:c>
      <x:c r="R154" s="9" t="n">
        <x:f>SUMIFS('350配方'!$M154:$P154,'350配方'!$Y154:$AB154,90)</x:f>
        <x:v>0</x:v>
      </x:c>
      <x:c r="S154" s="9" t="n">
        <x:f>SUMIFS('350配方'!$M154:$P154,'350配方'!$Y154:$AB154,105)</x:f>
        <x:v>0</x:v>
      </x:c>
      <x:c r="T154" s="9" t="n">
        <x:f>SUMIFS('350配方'!$M154:$P154,'350配方'!$Y154:$AB154,111)</x:f>
        <x:v>0</x:v>
      </x:c>
      <x:c r="U154" s="9" t="n">
        <x:f>SUMIFS('350配方'!$M154:$P154,'350配方'!$Y154:$AB154,114)</x:f>
        <x:v>0</x:v>
      </x:c>
      <x:c r="V154" s="9" t="n">
        <x:f>SUMIFS('350配方'!$M154:$P154,'350配方'!$Y154:$AB154,115)</x:f>
        <x:v>0</x:v>
      </x:c>
      <x:c r="W154" s="9" t="n">
        <x:f>SUMIFS('350配方'!$M154:$P154,'350配方'!$Y154:$AB154,117)</x:f>
        <x:v>1.875</x:v>
      </x:c>
      <x:c r="X154" s="9" t="n">
        <x:f>SUMIFS('350配方'!$M154:$P154,'350配方'!$Y154:$AB154,126)</x:f>
        <x:v>0</x:v>
      </x:c>
      <x:c r="Y154" s="9" t="n">
        <x:f>SUMIFS('350配方'!$M154:$P154,'350配方'!$Y154:$AB154,136)</x:f>
        <x:v>0</x:v>
      </x:c>
      <x:c r="Z154" s="9" t="n">
        <x:f>SUMIFS('350配方'!$M154:$P154,'350配方'!$Y154:$AB154,141)</x:f>
        <x:v>0</x:v>
      </x:c>
      <x:c r="AA154" s="9" t="n">
        <x:f>SUMIFS('350配方'!$M154:$P154,'350配方'!$Y154:$AB154,152)</x:f>
        <x:v>0</x:v>
      </x:c>
      <x:c r="AB154" s="9" t="n">
        <x:f>SUMIFS('350配方'!$M154:$P154,'350配方'!$Y154:$AB154,165)</x:f>
        <x:v>823.735</x:v>
      </x:c>
      <x:c r="AC154" s="9" t="n">
        <x:f>SUMIFS('350配方'!$M154:$P154,'350配方'!$Y154:$AB154,186)</x:f>
        <x:v>0</x:v>
      </x:c>
      <x:c r="AD154" s="9" t="n">
        <x:f>SUMIFS('350配方'!$M154:$P154,'350配方'!$Y154:$AB154,207)</x:f>
        <x:v>0</x:v>
      </x:c>
      <x:c r="AE154" s="9" t="n">
        <x:f>SUMIFS('350配方'!$M154:$P154,'350配方'!$Y154:$AB154,209)</x:f>
        <x:v>0</x:v>
      </x:c>
      <x:c r="AF154" s="9" t="n">
        <x:f>SUMIFS('350配方'!$M154:$P154,'350配方'!$Y154:$AB154,227)</x:f>
        <x:v>0</x:v>
      </x:c>
      <x:c r="AG154" s="9" t="n">
        <x:f>SUMIFS('350配方'!$M154:$P154,'350配方'!$Y154:$AB154,232)</x:f>
        <x:v>0</x:v>
      </x:c>
      <x:c r="AH154" s="9" t="n">
        <x:f>SUMIFS('350配方'!$M154:$P154,'350配方'!$Y154:$AB154,255)</x:f>
        <x:v>0</x:v>
      </x:c>
      <x:c r="AI154" s="9" t="n">
        <x:f>'浓度设置'!S6</x:f>
        <x:v>219125.9626344086</x:v>
      </x:c>
      <x:c r="AJ154" s="9" t="n">
        <x:f>'浓度设置'!S8</x:f>
        <x:v>92796.92267241378</x:v>
      </x:c>
      <x:c r="AK154" s="9" t="n">
        <x:f>'浓度设置'!S10</x:f>
        <x:v>30556.797802197798</x:v>
      </x:c>
      <x:c r="AL154" s="9" t="n">
        <x:f>'浓度设置'!S12</x:f>
        <x:v>1735.828970588235</x:v>
      </x:c>
      <x:c r="AM154" s="9" t="n">
        <x:f>'浓度设置'!S15</x:f>
        <x:v>7385.813644067793</x:v>
      </x:c>
      <x:c r="AN154" s="9" t="n">
        <x:f>'浓度设置'!S19</x:f>
        <x:v>27722.03097701148</x:v>
      </x:c>
      <x:c r="AO154" s="9" t="n">
        <x:f>'浓度设置'!S22</x:f>
        <x:v>44345.55047619048</x:v>
      </x:c>
      <x:c r="AP154" s="9" t="n">
        <x:f>'浓度设置'!S26</x:f>
        <x:v>153318.30499999996</x:v>
      </x:c>
      <x:c r="AQ154" s="9" t="n">
        <x:f>'浓度设置'!S29</x:f>
        <x:v>312.7970588235294</x:v>
      </x:c>
      <x:c r="AR154" s="9" t="n">
        <x:f>'浓度设置'!S30</x:f>
        <x:v>104175.5097553192</x:v>
      </x:c>
      <x:c r="AS154" s="9" t="n">
        <x:f>'浓度设置'!S35</x:f>
        <x:v>405974.90656785714</x:v>
      </x:c>
    </x:row>
    <x:row r="155" ht="24" customHeight="1">
      <x:c r="A155" s="3" t="str">
        <x:f>'350配方'!A155</x:f>
        <x:v>T150</x:v>
      </x:c>
      <x:c r="B155" s="3" t="str">
        <x:f>'350配方'!B155</x:f>
        <x:v>拟合</x:v>
      </x:c>
      <x:c r="C155" s="3" t="n">
        <x:f>IF(B155="拟合",1,0)</x:f>
        <x:v>1</x:v>
      </x:c>
      <x:c r="D155" s="3" t="n">
        <x:f>'350配方'!AC155</x:f>
        <x:v>4</x:v>
      </x:c>
      <x:c r="E155" s="9" t="n">
        <x:f>SUMIFS('350配方'!$M155:$P155,'350配方'!$Y155:$AB155,7)</x:f>
        <x:v>0</x:v>
      </x:c>
      <x:c r="F155" s="9" t="n">
        <x:f>SUMIFS('350配方'!$M155:$P155,'350配方'!$Y155:$AB155,11)</x:f>
        <x:v>0</x:v>
      </x:c>
      <x:c r="G155" s="9" t="n">
        <x:f>SUMIFS('350配方'!$M155:$P155,'350配方'!$Y155:$AB155,18)</x:f>
        <x:v>1183.2582135780847</x:v>
      </x:c>
      <x:c r="H155" s="9" t="n">
        <x:f>SUMIFS('350配方'!$M155:$P155,'350配方'!$Y155:$AB155,32)</x:f>
        <x:v>18.68</x:v>
      </x:c>
      <x:c r="I155" s="9" t="n">
        <x:f>SUMIFS('350配方'!$M155:$P155,'350配方'!$Y155:$AB155,40)</x:f>
        <x:v>0</x:v>
      </x:c>
      <x:c r="J155" s="9" t="n">
        <x:f>SUMIFS('350配方'!$M155:$P155,'350配方'!$Y155:$AB155,52)</x:f>
        <x:v>0</x:v>
      </x:c>
      <x:c r="K155" s="9" t="n">
        <x:f>SUMIFS('350配方'!$M155:$P155,'350配方'!$Y155:$AB155,53)</x:f>
        <x:v>0</x:v>
      </x:c>
      <x:c r="L155" s="9" t="n">
        <x:f>SUMIFS('350配方'!$M155:$P155,'350配方'!$Y155:$AB155,56)</x:f>
        <x:v>0</x:v>
      </x:c>
      <x:c r="M155" s="9" t="n">
        <x:f>SUMIFS('350配方'!$M155:$P155,'350配方'!$Y155:$AB155,58)</x:f>
        <x:v>0</x:v>
      </x:c>
      <x:c r="N155" s="9" t="n">
        <x:f>SUMIFS('350配方'!$M155:$P155,'350配方'!$Y155:$AB155,61)</x:f>
        <x:v>0</x:v>
      </x:c>
      <x:c r="O155" s="9" t="n">
        <x:f>SUMIFS('350配方'!$M155:$P155,'350配方'!$Y155:$AB155,69)</x:f>
        <x:v>0</x:v>
      </x:c>
      <x:c r="P155" s="9" t="n">
        <x:f>SUMIFS('350配方'!$M155:$P155,'350配方'!$Y155:$AB155,75)</x:f>
        <x:v>1.75</x:v>
      </x:c>
      <x:c r="Q155" s="9" t="n">
        <x:f>SUMIFS('350配方'!$M155:$P155,'350配方'!$Y155:$AB155,79)</x:f>
        <x:v>0</x:v>
      </x:c>
      <x:c r="R155" s="9" t="n">
        <x:f>SUMIFS('350配方'!$M155:$P155,'350配方'!$Y155:$AB155,90)</x:f>
        <x:v>0</x:v>
      </x:c>
      <x:c r="S155" s="9" t="n">
        <x:f>SUMIFS('350配方'!$M155:$P155,'350配方'!$Y155:$AB155,105)</x:f>
        <x:v>0</x:v>
      </x:c>
      <x:c r="T155" s="9" t="n">
        <x:f>SUMIFS('350配方'!$M155:$P155,'350配方'!$Y155:$AB155,111)</x:f>
        <x:v>0</x:v>
      </x:c>
      <x:c r="U155" s="9" t="n">
        <x:f>SUMIFS('350配方'!$M155:$P155,'350配方'!$Y155:$AB155,114)</x:f>
        <x:v>0</x:v>
      </x:c>
      <x:c r="V155" s="9" t="n">
        <x:f>SUMIFS('350配方'!$M155:$P155,'350配方'!$Y155:$AB155,115)</x:f>
        <x:v>0</x:v>
      </x:c>
      <x:c r="W155" s="9" t="n">
        <x:f>SUMIFS('350配方'!$M155:$P155,'350配方'!$Y155:$AB155,117)</x:f>
        <x:v>0</x:v>
      </x:c>
      <x:c r="X155" s="9" t="n">
        <x:f>SUMIFS('350配方'!$M155:$P155,'350配方'!$Y155:$AB155,126)</x:f>
        <x:v>0</x:v>
      </x:c>
      <x:c r="Y155" s="9" t="n">
        <x:f>SUMIFS('350配方'!$M155:$P155,'350配方'!$Y155:$AB155,136)</x:f>
        <x:v>0</x:v>
      </x:c>
      <x:c r="Z155" s="9" t="n">
        <x:f>SUMIFS('350配方'!$M155:$P155,'350配方'!$Y155:$AB155,141)</x:f>
        <x:v>0</x:v>
      </x:c>
      <x:c r="AA155" s="9" t="n">
        <x:f>SUMIFS('350配方'!$M155:$P155,'350配方'!$Y155:$AB155,152)</x:f>
        <x:v>0</x:v>
      </x:c>
      <x:c r="AB155" s="9" t="n">
        <x:f>SUMIFS('350配方'!$M155:$P155,'350配方'!$Y155:$AB155,165)</x:f>
        <x:v>823.735</x:v>
      </x:c>
      <x:c r="AC155" s="9" t="n">
        <x:f>SUMIFS('350配方'!$M155:$P155,'350配方'!$Y155:$AB155,186)</x:f>
        <x:v>0</x:v>
      </x:c>
      <x:c r="AD155" s="9" t="n">
        <x:f>SUMIFS('350配方'!$M155:$P155,'350配方'!$Y155:$AB155,207)</x:f>
        <x:v>0</x:v>
      </x:c>
      <x:c r="AE155" s="9" t="n">
        <x:f>SUMIFS('350配方'!$M155:$P155,'350配方'!$Y155:$AB155,209)</x:f>
        <x:v>0</x:v>
      </x:c>
      <x:c r="AF155" s="9" t="n">
        <x:f>SUMIFS('350配方'!$M155:$P155,'350配方'!$Y155:$AB155,227)</x:f>
        <x:v>0</x:v>
      </x:c>
      <x:c r="AG155" s="9" t="n">
        <x:f>SUMIFS('350配方'!$M155:$P155,'350配方'!$Y155:$AB155,232)</x:f>
        <x:v>0</x:v>
      </x:c>
      <x:c r="AH155" s="9" t="n">
        <x:f>SUMIFS('350配方'!$M155:$P155,'350配方'!$Y155:$AB155,255)</x:f>
        <x:v>0</x:v>
      </x:c>
      <x:c r="AI155" s="9" t="n">
        <x:f>'浓度设置'!S6</x:f>
        <x:v>219125.9626344086</x:v>
      </x:c>
      <x:c r="AJ155" s="9" t="n">
        <x:f>'浓度设置'!S8</x:f>
        <x:v>92796.92267241378</x:v>
      </x:c>
      <x:c r="AK155" s="9" t="n">
        <x:f>'浓度设置'!S10</x:f>
        <x:v>30556.797802197798</x:v>
      </x:c>
      <x:c r="AL155" s="9" t="n">
        <x:f>'浓度设置'!S12</x:f>
        <x:v>1735.828970588235</x:v>
      </x:c>
      <x:c r="AM155" s="9" t="n">
        <x:f>'浓度设置'!S15</x:f>
        <x:v>7385.813644067793</x:v>
      </x:c>
      <x:c r="AN155" s="9" t="n">
        <x:f>'浓度设置'!S19</x:f>
        <x:v>27722.03097701148</x:v>
      </x:c>
      <x:c r="AO155" s="9" t="n">
        <x:f>'浓度设置'!S22</x:f>
        <x:v>44345.55047619048</x:v>
      </x:c>
      <x:c r="AP155" s="9" t="n">
        <x:f>'浓度设置'!S26</x:f>
        <x:v>153318.30499999996</x:v>
      </x:c>
      <x:c r="AQ155" s="9" t="n">
        <x:f>'浓度设置'!S29</x:f>
        <x:v>312.7970588235294</x:v>
      </x:c>
      <x:c r="AR155" s="9" t="n">
        <x:f>'浓度设置'!S30</x:f>
        <x:v>104175.5097553192</x:v>
      </x:c>
      <x:c r="AS155" s="9" t="n">
        <x:f>'浓度设置'!S35</x:f>
        <x:v>405974.90656785714</x:v>
      </x:c>
    </x:row>
    <x:row r="156" ht="24" customHeight="1">
      <x:c r="A156" s="3" t="str">
        <x:f>'350配方'!A156</x:f>
        <x:v>T151</x:v>
      </x:c>
      <x:c r="B156" s="3" t="str">
        <x:f>'350配方'!B156</x:f>
        <x:v>拟合</x:v>
      </x:c>
      <x:c r="C156" s="3" t="n">
        <x:f>IF(B156="拟合",1,0)</x:f>
        <x:v>1</x:v>
      </x:c>
      <x:c r="D156" s="3" t="n">
        <x:f>'350配方'!AC156</x:f>
        <x:v>4</x:v>
      </x:c>
      <x:c r="E156" s="9" t="n">
        <x:f>SUMIFS('350配方'!$M156:$P156,'350配方'!$Y156:$AB156,7)</x:f>
        <x:v>0</x:v>
      </x:c>
      <x:c r="F156" s="9" t="n">
        <x:f>SUMIFS('350配方'!$M156:$P156,'350配方'!$Y156:$AB156,11)</x:f>
        <x:v>0</x:v>
      </x:c>
      <x:c r="G156" s="9" t="n">
        <x:f>SUMIFS('350配方'!$M156:$P156,'350配方'!$Y156:$AB156,18)</x:f>
        <x:v>0</x:v>
      </x:c>
      <x:c r="H156" s="9" t="n">
        <x:f>SUMIFS('350配方'!$M156:$P156,'350配方'!$Y156:$AB156,32)</x:f>
        <x:v>0</x:v>
      </x:c>
      <x:c r="I156" s="9" t="n">
        <x:f>SUMIFS('350配方'!$M156:$P156,'350配方'!$Y156:$AB156,40)</x:f>
        <x:v>21400</x:v>
      </x:c>
      <x:c r="J156" s="9" t="n">
        <x:f>SUMIFS('350配方'!$M156:$P156,'350配方'!$Y156:$AB156,52)</x:f>
        <x:v>0</x:v>
      </x:c>
      <x:c r="K156" s="9" t="n">
        <x:f>SUMIFS('350配方'!$M156:$P156,'350配方'!$Y156:$AB156,53)</x:f>
        <x:v>0</x:v>
      </x:c>
      <x:c r="L156" s="9" t="n">
        <x:f>SUMIFS('350配方'!$M156:$P156,'350配方'!$Y156:$AB156,56)</x:f>
        <x:v>4105</x:v>
      </x:c>
      <x:c r="M156" s="9" t="n">
        <x:f>SUMIFS('350配方'!$M156:$P156,'350配方'!$Y156:$AB156,58)</x:f>
        <x:v>0</x:v>
      </x:c>
      <x:c r="N156" s="9" t="n">
        <x:f>SUMIFS('350配方'!$M156:$P156,'350配方'!$Y156:$AB156,61)</x:f>
        <x:v>0</x:v>
      </x:c>
      <x:c r="O156" s="9" t="n">
        <x:f>SUMIFS('350配方'!$M156:$P156,'350配方'!$Y156:$AB156,69)</x:f>
        <x:v>0</x:v>
      </x:c>
      <x:c r="P156" s="9" t="n">
        <x:f>SUMIFS('350配方'!$M156:$P156,'350配方'!$Y156:$AB156,75)</x:f>
        <x:v>0</x:v>
      </x:c>
      <x:c r="Q156" s="9" t="n">
        <x:f>SUMIFS('350配方'!$M156:$P156,'350配方'!$Y156:$AB156,79)</x:f>
        <x:v>0</x:v>
      </x:c>
      <x:c r="R156" s="9" t="n">
        <x:f>SUMIFS('350配方'!$M156:$P156,'350配方'!$Y156:$AB156,90)</x:f>
        <x:v>0</x:v>
      </x:c>
      <x:c r="S156" s="9" t="n">
        <x:f>SUMIFS('350配方'!$M156:$P156,'350配方'!$Y156:$AB156,105)</x:f>
        <x:v>0</x:v>
      </x:c>
      <x:c r="T156" s="9" t="n">
        <x:f>SUMIFS('350配方'!$M156:$P156,'350配方'!$Y156:$AB156,111)</x:f>
        <x:v>9622120</x:v>
      </x:c>
      <x:c r="U156" s="9" t="n">
        <x:f>SUMIFS('350配方'!$M156:$P156,'350配方'!$Y156:$AB156,114)</x:f>
        <x:v>3147.945</x:v>
      </x:c>
      <x:c r="V156" s="9" t="n">
        <x:f>SUMIFS('350配方'!$M156:$P156,'350配方'!$Y156:$AB156,115)</x:f>
        <x:v>0</x:v>
      </x:c>
      <x:c r="W156" s="9" t="n">
        <x:f>SUMIFS('350配方'!$M156:$P156,'350配方'!$Y156:$AB156,117)</x:f>
        <x:v>0</x:v>
      </x:c>
      <x:c r="X156" s="9" t="n">
        <x:f>SUMIFS('350配方'!$M156:$P156,'350配方'!$Y156:$AB156,126)</x:f>
        <x:v>0</x:v>
      </x:c>
      <x:c r="Y156" s="9" t="n">
        <x:f>SUMIFS('350配方'!$M156:$P156,'350配方'!$Y156:$AB156,136)</x:f>
        <x:v>0</x:v>
      </x:c>
      <x:c r="Z156" s="9" t="n">
        <x:f>SUMIFS('350配方'!$M156:$P156,'350配方'!$Y156:$AB156,141)</x:f>
        <x:v>0</x:v>
      </x:c>
      <x:c r="AA156" s="9" t="n">
        <x:f>SUMIFS('350配方'!$M156:$P156,'350配方'!$Y156:$AB156,152)</x:f>
        <x:v>0</x:v>
      </x:c>
      <x:c r="AB156" s="9" t="n">
        <x:f>SUMIFS('350配方'!$M156:$P156,'350配方'!$Y156:$AB156,165)</x:f>
        <x:v>0</x:v>
      </x:c>
      <x:c r="AC156" s="9" t="n">
        <x:f>SUMIFS('350配方'!$M156:$P156,'350配方'!$Y156:$AB156,186)</x:f>
        <x:v>0</x:v>
      </x:c>
      <x:c r="AD156" s="9" t="n">
        <x:f>SUMIFS('350配方'!$M156:$P156,'350配方'!$Y156:$AB156,207)</x:f>
        <x:v>0</x:v>
      </x:c>
      <x:c r="AE156" s="9" t="n">
        <x:f>SUMIFS('350配方'!$M156:$P156,'350配方'!$Y156:$AB156,209)</x:f>
        <x:v>0</x:v>
      </x:c>
      <x:c r="AF156" s="9" t="n">
        <x:f>SUMIFS('350配方'!$M156:$P156,'350配方'!$Y156:$AB156,227)</x:f>
        <x:v>0</x:v>
      </x:c>
      <x:c r="AG156" s="9" t="n">
        <x:f>SUMIFS('350配方'!$M156:$P156,'350配方'!$Y156:$AB156,232)</x:f>
        <x:v>0</x:v>
      </x:c>
      <x:c r="AH156" s="9" t="n">
        <x:f>SUMIFS('350配方'!$M156:$P156,'350配方'!$Y156:$AB156,255)</x:f>
        <x:v>0</x:v>
      </x:c>
      <x:c r="AI156" s="9" t="n">
        <x:f>'浓度设置'!S6</x:f>
        <x:v>219125.9626344086</x:v>
      </x:c>
      <x:c r="AJ156" s="9" t="n">
        <x:f>'浓度设置'!S8</x:f>
        <x:v>92796.92267241378</x:v>
      </x:c>
      <x:c r="AK156" s="9" t="n">
        <x:f>'浓度设置'!S10</x:f>
        <x:v>30556.797802197798</x:v>
      </x:c>
      <x:c r="AL156" s="9" t="n">
        <x:f>'浓度设置'!S12</x:f>
        <x:v>1735.828970588235</x:v>
      </x:c>
      <x:c r="AM156" s="9" t="n">
        <x:f>'浓度设置'!S15</x:f>
        <x:v>7385.813644067793</x:v>
      </x:c>
      <x:c r="AN156" s="9" t="n">
        <x:f>'浓度设置'!S19</x:f>
        <x:v>27722.03097701148</x:v>
      </x:c>
      <x:c r="AO156" s="9" t="n">
        <x:f>'浓度设置'!S22</x:f>
        <x:v>44345.55047619048</x:v>
      </x:c>
      <x:c r="AP156" s="9" t="n">
        <x:f>'浓度设置'!S26</x:f>
        <x:v>153318.30499999996</x:v>
      </x:c>
      <x:c r="AQ156" s="9" t="n">
        <x:f>'浓度设置'!S29</x:f>
        <x:v>312.7970588235294</x:v>
      </x:c>
      <x:c r="AR156" s="9" t="n">
        <x:f>'浓度设置'!S30</x:f>
        <x:v>104175.5097553192</x:v>
      </x:c>
      <x:c r="AS156" s="9" t="n">
        <x:f>'浓度设置'!S35</x:f>
        <x:v>405974.90656785714</x:v>
      </x:c>
    </x:row>
    <x:row r="157" ht="24" customHeight="1">
      <x:c r="A157" s="3" t="str">
        <x:f>'350配方'!A157</x:f>
        <x:v>T152</x:v>
      </x:c>
      <x:c r="B157" s="3" t="str">
        <x:f>'350配方'!B157</x:f>
        <x:v>拟合</x:v>
      </x:c>
      <x:c r="C157" s="3" t="n">
        <x:f>IF(B157="拟合",1,0)</x:f>
        <x:v>1</x:v>
      </x:c>
      <x:c r="D157" s="3" t="n">
        <x:f>'350配方'!AC157</x:f>
        <x:v>4</x:v>
      </x:c>
      <x:c r="E157" s="9" t="n">
        <x:f>SUMIFS('350配方'!$M157:$P157,'350配方'!$Y157:$AB157,7)</x:f>
        <x:v>0</x:v>
      </x:c>
      <x:c r="F157" s="9" t="n">
        <x:f>SUMIFS('350配方'!$M157:$P157,'350配方'!$Y157:$AB157,11)</x:f>
        <x:v>0</x:v>
      </x:c>
      <x:c r="G157" s="9" t="n">
        <x:f>SUMIFS('350配方'!$M157:$P157,'350配方'!$Y157:$AB157,18)</x:f>
        <x:v>0</x:v>
      </x:c>
      <x:c r="H157" s="9" t="n">
        <x:f>SUMIFS('350配方'!$M157:$P157,'350配方'!$Y157:$AB157,32)</x:f>
        <x:v>0</x:v>
      </x:c>
      <x:c r="I157" s="9" t="n">
        <x:f>SUMIFS('350配方'!$M157:$P157,'350配方'!$Y157:$AB157,40)</x:f>
        <x:v>0</x:v>
      </x:c>
      <x:c r="J157" s="9" t="n">
        <x:f>SUMIFS('350配方'!$M157:$P157,'350配方'!$Y157:$AB157,52)</x:f>
        <x:v>0</x:v>
      </x:c>
      <x:c r="K157" s="9" t="n">
        <x:f>SUMIFS('350配方'!$M157:$P157,'350配方'!$Y157:$AB157,53)</x:f>
        <x:v>0</x:v>
      </x:c>
      <x:c r="L157" s="9" t="n">
        <x:f>SUMIFS('350配方'!$M157:$P157,'350配方'!$Y157:$AB157,56)</x:f>
        <x:v>0</x:v>
      </x:c>
      <x:c r="M157" s="9" t="n">
        <x:f>SUMIFS('350配方'!$M157:$P157,'350配方'!$Y157:$AB157,58)</x:f>
        <x:v>0</x:v>
      </x:c>
      <x:c r="N157" s="9" t="n">
        <x:f>SUMIFS('350配方'!$M157:$P157,'350配方'!$Y157:$AB157,61)</x:f>
        <x:v>0</x:v>
      </x:c>
      <x:c r="O157" s="9" t="n">
        <x:f>SUMIFS('350配方'!$M157:$P157,'350配方'!$Y157:$AB157,69)</x:f>
        <x:v>0.83</x:v>
      </x:c>
      <x:c r="P157" s="9" t="n">
        <x:f>SUMIFS('350配方'!$M157:$P157,'350配方'!$Y157:$AB157,75)</x:f>
        <x:v>0</x:v>
      </x:c>
      <x:c r="Q157" s="9" t="n">
        <x:f>SUMIFS('350配方'!$M157:$P157,'350配方'!$Y157:$AB157,79)</x:f>
        <x:v>0</x:v>
      </x:c>
      <x:c r="R157" s="9" t="n">
        <x:f>SUMIFS('350配方'!$M157:$P157,'350配方'!$Y157:$AB157,90)</x:f>
        <x:v>0</x:v>
      </x:c>
      <x:c r="S157" s="9" t="n">
        <x:f>SUMIFS('350配方'!$M157:$P157,'350配方'!$Y157:$AB157,105)</x:f>
        <x:v>28.044607324760317</x:v>
      </x:c>
      <x:c r="T157" s="9" t="n">
        <x:f>SUMIFS('350配方'!$M157:$P157,'350配方'!$Y157:$AB157,111)</x:f>
        <x:v>0</x:v>
      </x:c>
      <x:c r="U157" s="9" t="n">
        <x:f>SUMIFS('350配方'!$M157:$P157,'350配方'!$Y157:$AB157,114)</x:f>
        <x:v>0</x:v>
      </x:c>
      <x:c r="V157" s="9" t="n">
        <x:f>SUMIFS('350配方'!$M157:$P157,'350配方'!$Y157:$AB157,115)</x:f>
        <x:v>0</x:v>
      </x:c>
      <x:c r="W157" s="9" t="n">
        <x:f>SUMIFS('350配方'!$M157:$P157,'350配方'!$Y157:$AB157,117)</x:f>
        <x:v>0</x:v>
      </x:c>
      <x:c r="X157" s="9" t="n">
        <x:f>SUMIFS('350配方'!$M157:$P157,'350配方'!$Y157:$AB157,126)</x:f>
        <x:v>0</x:v>
      </x:c>
      <x:c r="Y157" s="9" t="n">
        <x:f>SUMIFS('350配方'!$M157:$P157,'350配方'!$Y157:$AB157,136)</x:f>
        <x:v>0</x:v>
      </x:c>
      <x:c r="Z157" s="9" t="n">
        <x:f>SUMIFS('350配方'!$M157:$P157,'350配方'!$Y157:$AB157,141)</x:f>
        <x:v>0</x:v>
      </x:c>
      <x:c r="AA157" s="9" t="n">
        <x:f>SUMIFS('350配方'!$M157:$P157,'350配方'!$Y157:$AB157,152)</x:f>
        <x:v>1048.6410253275426</x:v>
      </x:c>
      <x:c r="AB157" s="9" t="n">
        <x:f>SUMIFS('350配方'!$M157:$P157,'350配方'!$Y157:$AB157,165)</x:f>
        <x:v>0</x:v>
      </x:c>
      <x:c r="AC157" s="9" t="n">
        <x:f>SUMIFS('350配方'!$M157:$P157,'350配方'!$Y157:$AB157,186)</x:f>
        <x:v>0</x:v>
      </x:c>
      <x:c r="AD157" s="9" t="n">
        <x:f>SUMIFS('350配方'!$M157:$P157,'350配方'!$Y157:$AB157,207)</x:f>
        <x:v>0</x:v>
      </x:c>
      <x:c r="AE157" s="9" t="n">
        <x:f>SUMIFS('350配方'!$M157:$P157,'350配方'!$Y157:$AB157,209)</x:f>
        <x:v>4201.44</x:v>
      </x:c>
      <x:c r="AF157" s="9" t="n">
        <x:f>SUMIFS('350配方'!$M157:$P157,'350配方'!$Y157:$AB157,227)</x:f>
        <x:v>0</x:v>
      </x:c>
      <x:c r="AG157" s="9" t="n">
        <x:f>SUMIFS('350配方'!$M157:$P157,'350配方'!$Y157:$AB157,232)</x:f>
        <x:v>0</x:v>
      </x:c>
      <x:c r="AH157" s="9" t="n">
        <x:f>SUMIFS('350配方'!$M157:$P157,'350配方'!$Y157:$AB157,255)</x:f>
        <x:v>0</x:v>
      </x:c>
      <x:c r="AI157" s="9" t="n">
        <x:f>'浓度设置'!S6</x:f>
        <x:v>219125.9626344086</x:v>
      </x:c>
      <x:c r="AJ157" s="9" t="n">
        <x:f>'浓度设置'!S8</x:f>
        <x:v>92796.92267241378</x:v>
      </x:c>
      <x:c r="AK157" s="9" t="n">
        <x:f>'浓度设置'!S10</x:f>
        <x:v>30556.797802197798</x:v>
      </x:c>
      <x:c r="AL157" s="9" t="n">
        <x:f>'浓度设置'!S12</x:f>
        <x:v>1735.828970588235</x:v>
      </x:c>
      <x:c r="AM157" s="9" t="n">
        <x:f>'浓度设置'!S15</x:f>
        <x:v>7385.813644067793</x:v>
      </x:c>
      <x:c r="AN157" s="9" t="n">
        <x:f>'浓度设置'!S19</x:f>
        <x:v>27722.03097701148</x:v>
      </x:c>
      <x:c r="AO157" s="9" t="n">
        <x:f>'浓度设置'!S22</x:f>
        <x:v>44345.55047619048</x:v>
      </x:c>
      <x:c r="AP157" s="9" t="n">
        <x:f>'浓度设置'!S26</x:f>
        <x:v>153318.30499999996</x:v>
      </x:c>
      <x:c r="AQ157" s="9" t="n">
        <x:f>'浓度设置'!S29</x:f>
        <x:v>312.7970588235294</x:v>
      </x:c>
      <x:c r="AR157" s="9" t="n">
        <x:f>'浓度设置'!S30</x:f>
        <x:v>104175.5097553192</x:v>
      </x:c>
      <x:c r="AS157" s="9" t="n">
        <x:f>'浓度设置'!S35</x:f>
        <x:v>405974.90656785714</x:v>
      </x:c>
    </x:row>
    <x:row r="158" ht="24" customHeight="1">
      <x:c r="A158" s="3" t="str">
        <x:f>'350配方'!A158</x:f>
        <x:v>T153</x:v>
      </x:c>
      <x:c r="B158" s="3" t="str">
        <x:f>'350配方'!B158</x:f>
        <x:v>拟合</x:v>
      </x:c>
      <x:c r="C158" s="3" t="n">
        <x:f>IF(B158="拟合",1,0)</x:f>
        <x:v>1</x:v>
      </x:c>
      <x:c r="D158" s="3" t="n">
        <x:f>'350配方'!AC158</x:f>
        <x:v>4</x:v>
      </x:c>
      <x:c r="E158" s="9" t="n">
        <x:f>SUMIFS('350配方'!$M158:$P158,'350配方'!$Y158:$AB158,7)</x:f>
        <x:v>0</x:v>
      </x:c>
      <x:c r="F158" s="9" t="n">
        <x:f>SUMIFS('350配方'!$M158:$P158,'350配方'!$Y158:$AB158,11)</x:f>
        <x:v>0</x:v>
      </x:c>
      <x:c r="G158" s="9" t="n">
        <x:f>SUMIFS('350配方'!$M158:$P158,'350配方'!$Y158:$AB158,18)</x:f>
        <x:v>0</x:v>
      </x:c>
      <x:c r="H158" s="9" t="n">
        <x:f>SUMIFS('350配方'!$M158:$P158,'350配方'!$Y158:$AB158,32)</x:f>
        <x:v>0</x:v>
      </x:c>
      <x:c r="I158" s="9" t="n">
        <x:f>SUMIFS('350配方'!$M158:$P158,'350配方'!$Y158:$AB158,40)</x:f>
        <x:v>0</x:v>
      </x:c>
      <x:c r="J158" s="9" t="n">
        <x:f>SUMIFS('350配方'!$M158:$P158,'350配方'!$Y158:$AB158,52)</x:f>
        <x:v>0</x:v>
      </x:c>
      <x:c r="K158" s="9" t="n">
        <x:f>SUMIFS('350配方'!$M158:$P158,'350配方'!$Y158:$AB158,53)</x:f>
        <x:v>0</x:v>
      </x:c>
      <x:c r="L158" s="9" t="n">
        <x:f>SUMIFS('350配方'!$M158:$P158,'350配方'!$Y158:$AB158,56)</x:f>
        <x:v>0</x:v>
      </x:c>
      <x:c r="M158" s="9" t="n">
        <x:f>SUMIFS('350配方'!$M158:$P158,'350配方'!$Y158:$AB158,58)</x:f>
        <x:v>3072.731960324558</x:v>
      </x:c>
      <x:c r="N158" s="9" t="n">
        <x:f>SUMIFS('350配方'!$M158:$P158,'350配方'!$Y158:$AB158,61)</x:f>
        <x:v>0</x:v>
      </x:c>
      <x:c r="O158" s="9" t="n">
        <x:f>SUMIFS('350配方'!$M158:$P158,'350配方'!$Y158:$AB158,69)</x:f>
        <x:v>0</x:v>
      </x:c>
      <x:c r="P158" s="9" t="n">
        <x:f>SUMIFS('350配方'!$M158:$P158,'350配方'!$Y158:$AB158,75)</x:f>
        <x:v>0</x:v>
      </x:c>
      <x:c r="Q158" s="9" t="n">
        <x:f>SUMIFS('350配方'!$M158:$P158,'350配方'!$Y158:$AB158,79)</x:f>
        <x:v>0</x:v>
      </x:c>
      <x:c r="R158" s="9" t="n">
        <x:f>SUMIFS('350配方'!$M158:$P158,'350配方'!$Y158:$AB158,90)</x:f>
        <x:v>0</x:v>
      </x:c>
      <x:c r="S158" s="9" t="n">
        <x:f>SUMIFS('350配方'!$M158:$P158,'350配方'!$Y158:$AB158,105)</x:f>
        <x:v>0</x:v>
      </x:c>
      <x:c r="T158" s="9" t="n">
        <x:f>SUMIFS('350配方'!$M158:$P158,'350配方'!$Y158:$AB158,111)</x:f>
        <x:v>0</x:v>
      </x:c>
      <x:c r="U158" s="9" t="n">
        <x:f>SUMIFS('350配方'!$M158:$P158,'350配方'!$Y158:$AB158,114)</x:f>
        <x:v>0</x:v>
      </x:c>
      <x:c r="V158" s="9" t="n">
        <x:f>SUMIFS('350配方'!$M158:$P158,'350配方'!$Y158:$AB158,115)</x:f>
        <x:v>0</x:v>
      </x:c>
      <x:c r="W158" s="9" t="n">
        <x:f>SUMIFS('350配方'!$M158:$P158,'350配方'!$Y158:$AB158,117)</x:f>
        <x:v>0</x:v>
      </x:c>
      <x:c r="X158" s="9" t="n">
        <x:f>SUMIFS('350配方'!$M158:$P158,'350配方'!$Y158:$AB158,126)</x:f>
        <x:v>0</x:v>
      </x:c>
      <x:c r="Y158" s="9" t="n">
        <x:f>SUMIFS('350配方'!$M158:$P158,'350配方'!$Y158:$AB158,136)</x:f>
        <x:v>0</x:v>
      </x:c>
      <x:c r="Z158" s="9" t="n">
        <x:f>SUMIFS('350配方'!$M158:$P158,'350配方'!$Y158:$AB158,141)</x:f>
        <x:v>0</x:v>
      </x:c>
      <x:c r="AA158" s="9" t="n">
        <x:f>SUMIFS('350配方'!$M158:$P158,'350配方'!$Y158:$AB158,152)</x:f>
        <x:v>0</x:v>
      </x:c>
      <x:c r="AB158" s="9" t="n">
        <x:f>SUMIFS('350配方'!$M158:$P158,'350配方'!$Y158:$AB158,165)</x:f>
        <x:v>0</x:v>
      </x:c>
      <x:c r="AC158" s="9" t="n">
        <x:f>SUMIFS('350配方'!$M158:$P158,'350配方'!$Y158:$AB158,186)</x:f>
        <x:v>4262.731518639193</x:v>
      </x:c>
      <x:c r="AD158" s="9" t="n">
        <x:f>SUMIFS('350配方'!$M158:$P158,'350配方'!$Y158:$AB158,207)</x:f>
        <x:v>0</x:v>
      </x:c>
      <x:c r="AE158" s="9" t="n">
        <x:f>SUMIFS('350配方'!$M158:$P158,'350配方'!$Y158:$AB158,209)</x:f>
        <x:v>0</x:v>
      </x:c>
      <x:c r="AF158" s="9" t="n">
        <x:f>SUMIFS('350配方'!$M158:$P158,'350配方'!$Y158:$AB158,227)</x:f>
        <x:v>0</x:v>
      </x:c>
      <x:c r="AG158" s="9" t="n">
        <x:f>SUMIFS('350配方'!$M158:$P158,'350配方'!$Y158:$AB158,232)</x:f>
        <x:v>39.53062104242735</x:v>
      </x:c>
      <x:c r="AH158" s="9" t="n">
        <x:f>SUMIFS('350配方'!$M158:$P158,'350配方'!$Y158:$AB158,255)</x:f>
        <x:v>1.5</x:v>
      </x:c>
      <x:c r="AI158" s="9" t="n">
        <x:f>'浓度设置'!S6</x:f>
        <x:v>219125.9626344086</x:v>
      </x:c>
      <x:c r="AJ158" s="9" t="n">
        <x:f>'浓度设置'!S8</x:f>
        <x:v>92796.92267241378</x:v>
      </x:c>
      <x:c r="AK158" s="9" t="n">
        <x:f>'浓度设置'!S10</x:f>
        <x:v>30556.797802197798</x:v>
      </x:c>
      <x:c r="AL158" s="9" t="n">
        <x:f>'浓度设置'!S12</x:f>
        <x:v>1735.828970588235</x:v>
      </x:c>
      <x:c r="AM158" s="9" t="n">
        <x:f>'浓度设置'!S15</x:f>
        <x:v>7385.813644067793</x:v>
      </x:c>
      <x:c r="AN158" s="9" t="n">
        <x:f>'浓度设置'!S19</x:f>
        <x:v>27722.03097701148</x:v>
      </x:c>
      <x:c r="AO158" s="9" t="n">
        <x:f>'浓度设置'!S22</x:f>
        <x:v>44345.55047619048</x:v>
      </x:c>
      <x:c r="AP158" s="9" t="n">
        <x:f>'浓度设置'!S26</x:f>
        <x:v>153318.30499999996</x:v>
      </x:c>
      <x:c r="AQ158" s="9" t="n">
        <x:f>'浓度设置'!S29</x:f>
        <x:v>312.7970588235294</x:v>
      </x:c>
      <x:c r="AR158" s="9" t="n">
        <x:f>'浓度设置'!S30</x:f>
        <x:v>104175.5097553192</x:v>
      </x:c>
      <x:c r="AS158" s="9" t="n">
        <x:f>'浓度设置'!S35</x:f>
        <x:v>405974.90656785714</x:v>
      </x:c>
    </x:row>
    <x:row r="159" ht="24" customHeight="1">
      <x:c r="A159" s="3" t="str">
        <x:f>'350配方'!A159</x:f>
        <x:v>T154</x:v>
      </x:c>
      <x:c r="B159" s="3" t="str">
        <x:f>'350配方'!B159</x:f>
        <x:v>拟合</x:v>
      </x:c>
      <x:c r="C159" s="3" t="n">
        <x:f>IF(B159="拟合",1,0)</x:f>
        <x:v>1</x:v>
      </x:c>
      <x:c r="D159" s="3" t="n">
        <x:f>'350配方'!AC159</x:f>
        <x:v>4</x:v>
      </x:c>
      <x:c r="E159" s="9" t="n">
        <x:f>SUMIFS('350配方'!$M159:$P159,'350配方'!$Y159:$AB159,7)</x:f>
        <x:v>0</x:v>
      </x:c>
      <x:c r="F159" s="9" t="n">
        <x:f>SUMIFS('350配方'!$M159:$P159,'350配方'!$Y159:$AB159,11)</x:f>
        <x:v>0</x:v>
      </x:c>
      <x:c r="G159" s="9" t="n">
        <x:f>SUMIFS('350配方'!$M159:$P159,'350配方'!$Y159:$AB159,18)</x:f>
        <x:v>0</x:v>
      </x:c>
      <x:c r="H159" s="9" t="n">
        <x:f>SUMIFS('350配方'!$M159:$P159,'350配方'!$Y159:$AB159,32)</x:f>
        <x:v>0</x:v>
      </x:c>
      <x:c r="I159" s="9" t="n">
        <x:f>SUMIFS('350配方'!$M159:$P159,'350配方'!$Y159:$AB159,40)</x:f>
        <x:v>0</x:v>
      </x:c>
      <x:c r="J159" s="9" t="n">
        <x:f>SUMIFS('350配方'!$M159:$P159,'350配方'!$Y159:$AB159,52)</x:f>
        <x:v>0</x:v>
      </x:c>
      <x:c r="K159" s="9" t="n">
        <x:f>SUMIFS('350配方'!$M159:$P159,'350配方'!$Y159:$AB159,53)</x:f>
        <x:v>0</x:v>
      </x:c>
      <x:c r="L159" s="9" t="n">
        <x:f>SUMIFS('350配方'!$M159:$P159,'350配方'!$Y159:$AB159,56)</x:f>
        <x:v>0</x:v>
      </x:c>
      <x:c r="M159" s="9" t="n">
        <x:f>SUMIFS('350配方'!$M159:$P159,'350配方'!$Y159:$AB159,58)</x:f>
        <x:v>0</x:v>
      </x:c>
      <x:c r="N159" s="9" t="n">
        <x:f>SUMIFS('350配方'!$M159:$P159,'350配方'!$Y159:$AB159,61)</x:f>
        <x:v>0</x:v>
      </x:c>
      <x:c r="O159" s="9" t="n">
        <x:f>SUMIFS('350配方'!$M159:$P159,'350配方'!$Y159:$AB159,69)</x:f>
        <x:v>99.89207175747232</x:v>
      </x:c>
      <x:c r="P159" s="9" t="n">
        <x:f>SUMIFS('350配方'!$M159:$P159,'350配方'!$Y159:$AB159,75)</x:f>
        <x:v>0</x:v>
      </x:c>
      <x:c r="Q159" s="9" t="n">
        <x:f>SUMIFS('350配方'!$M159:$P159,'350配方'!$Y159:$AB159,79)</x:f>
        <x:v>0</x:v>
      </x:c>
      <x:c r="R159" s="9" t="n">
        <x:f>SUMIFS('350配方'!$M159:$P159,'350配方'!$Y159:$AB159,90)</x:f>
        <x:v>25642.45</x:v>
      </x:c>
      <x:c r="S159" s="9" t="n">
        <x:f>SUMIFS('350配方'!$M159:$P159,'350配方'!$Y159:$AB159,105)</x:f>
        <x:v>0</x:v>
      </x:c>
      <x:c r="T159" s="9" t="n">
        <x:f>SUMIFS('350配方'!$M159:$P159,'350配方'!$Y159:$AB159,111)</x:f>
        <x:v>0</x:v>
      </x:c>
      <x:c r="U159" s="9" t="n">
        <x:f>SUMIFS('350配方'!$M159:$P159,'350配方'!$Y159:$AB159,114)</x:f>
        <x:v>0</x:v>
      </x:c>
      <x:c r="V159" s="9" t="n">
        <x:f>SUMIFS('350配方'!$M159:$P159,'350配方'!$Y159:$AB159,115)</x:f>
        <x:v>0</x:v>
      </x:c>
      <x:c r="W159" s="9" t="n">
        <x:f>SUMIFS('350配方'!$M159:$P159,'350配方'!$Y159:$AB159,117)</x:f>
        <x:v>1.875</x:v>
      </x:c>
      <x:c r="X159" s="9" t="n">
        <x:f>SUMIFS('350配方'!$M159:$P159,'350配方'!$Y159:$AB159,126)</x:f>
        <x:v>0</x:v>
      </x:c>
      <x:c r="Y159" s="9" t="n">
        <x:f>SUMIFS('350配方'!$M159:$P159,'350配方'!$Y159:$AB159,136)</x:f>
        <x:v>0</x:v>
      </x:c>
      <x:c r="Z159" s="9" t="n">
        <x:f>SUMIFS('350配方'!$M159:$P159,'350配方'!$Y159:$AB159,141)</x:f>
        <x:v>1512.497272724814</x:v>
      </x:c>
      <x:c r="AA159" s="9" t="n">
        <x:f>SUMIFS('350配方'!$M159:$P159,'350配方'!$Y159:$AB159,152)</x:f>
        <x:v>0</x:v>
      </x:c>
      <x:c r="AB159" s="9" t="n">
        <x:f>SUMIFS('350配方'!$M159:$P159,'350配方'!$Y159:$AB159,165)</x:f>
        <x:v>0</x:v>
      </x:c>
      <x:c r="AC159" s="9" t="n">
        <x:f>SUMIFS('350配方'!$M159:$P159,'350配方'!$Y159:$AB159,186)</x:f>
        <x:v>0</x:v>
      </x:c>
      <x:c r="AD159" s="9" t="n">
        <x:f>SUMIFS('350配方'!$M159:$P159,'350配方'!$Y159:$AB159,207)</x:f>
        <x:v>0</x:v>
      </x:c>
      <x:c r="AE159" s="9" t="n">
        <x:f>SUMIFS('350配方'!$M159:$P159,'350配方'!$Y159:$AB159,209)</x:f>
        <x:v>0</x:v>
      </x:c>
      <x:c r="AF159" s="9" t="n">
        <x:f>SUMIFS('350配方'!$M159:$P159,'350配方'!$Y159:$AB159,227)</x:f>
        <x:v>0</x:v>
      </x:c>
      <x:c r="AG159" s="9" t="n">
        <x:f>SUMIFS('350配方'!$M159:$P159,'350配方'!$Y159:$AB159,232)</x:f>
        <x:v>0</x:v>
      </x:c>
      <x:c r="AH159" s="9" t="n">
        <x:f>SUMIFS('350配方'!$M159:$P159,'350配方'!$Y159:$AB159,255)</x:f>
        <x:v>0</x:v>
      </x:c>
      <x:c r="AI159" s="9" t="n">
        <x:f>'浓度设置'!S6</x:f>
        <x:v>219125.9626344086</x:v>
      </x:c>
      <x:c r="AJ159" s="9" t="n">
        <x:f>'浓度设置'!S8</x:f>
        <x:v>92796.92267241378</x:v>
      </x:c>
      <x:c r="AK159" s="9" t="n">
        <x:f>'浓度设置'!S10</x:f>
        <x:v>30556.797802197798</x:v>
      </x:c>
      <x:c r="AL159" s="9" t="n">
        <x:f>'浓度设置'!S12</x:f>
        <x:v>1735.828970588235</x:v>
      </x:c>
      <x:c r="AM159" s="9" t="n">
        <x:f>'浓度设置'!S15</x:f>
        <x:v>7385.813644067793</x:v>
      </x:c>
      <x:c r="AN159" s="9" t="n">
        <x:f>'浓度设置'!S19</x:f>
        <x:v>27722.03097701148</x:v>
      </x:c>
      <x:c r="AO159" s="9" t="n">
        <x:f>'浓度设置'!S22</x:f>
        <x:v>44345.55047619048</x:v>
      </x:c>
      <x:c r="AP159" s="9" t="n">
        <x:f>'浓度设置'!S26</x:f>
        <x:v>153318.30499999996</x:v>
      </x:c>
      <x:c r="AQ159" s="9" t="n">
        <x:f>'浓度设置'!S29</x:f>
        <x:v>312.7970588235294</x:v>
      </x:c>
      <x:c r="AR159" s="9" t="n">
        <x:f>'浓度设置'!S30</x:f>
        <x:v>104175.5097553192</x:v>
      </x:c>
      <x:c r="AS159" s="9" t="n">
        <x:f>'浓度设置'!S35</x:f>
        <x:v>405974.90656785714</x:v>
      </x:c>
    </x:row>
    <x:row r="160" ht="24" customHeight="1">
      <x:c r="A160" s="3" t="str">
        <x:f>'350配方'!A160</x:f>
        <x:v>T155</x:v>
      </x:c>
      <x:c r="B160" s="3" t="str">
        <x:f>'350配方'!B160</x:f>
        <x:v>拟合</x:v>
      </x:c>
      <x:c r="C160" s="3" t="n">
        <x:f>IF(B160="拟合",1,0)</x:f>
        <x:v>1</x:v>
      </x:c>
      <x:c r="D160" s="3" t="n">
        <x:f>'350配方'!AC160</x:f>
        <x:v>4</x:v>
      </x:c>
      <x:c r="E160" s="9" t="n">
        <x:f>SUMIFS('350配方'!$M160:$P160,'350配方'!$Y160:$AB160,7)</x:f>
        <x:v>0</x:v>
      </x:c>
      <x:c r="F160" s="9" t="n">
        <x:f>SUMIFS('350配方'!$M160:$P160,'350配方'!$Y160:$AB160,11)</x:f>
        <x:v>0</x:v>
      </x:c>
      <x:c r="G160" s="9" t="n">
        <x:f>SUMIFS('350配方'!$M160:$P160,'350配方'!$Y160:$AB160,18)</x:f>
        <x:v>0</x:v>
      </x:c>
      <x:c r="H160" s="9" t="n">
        <x:f>SUMIFS('350配方'!$M160:$P160,'350配方'!$Y160:$AB160,32)</x:f>
        <x:v>0</x:v>
      </x:c>
      <x:c r="I160" s="9" t="n">
        <x:f>SUMIFS('350配方'!$M160:$P160,'350配方'!$Y160:$AB160,40)</x:f>
        <x:v>1.875</x:v>
      </x:c>
      <x:c r="J160" s="9" t="n">
        <x:f>SUMIFS('350配方'!$M160:$P160,'350配方'!$Y160:$AB160,52)</x:f>
        <x:v>4.24</x:v>
      </x:c>
      <x:c r="K160" s="9" t="n">
        <x:f>SUMIFS('350配方'!$M160:$P160,'350配方'!$Y160:$AB160,53)</x:f>
        <x:v>0</x:v>
      </x:c>
      <x:c r="L160" s="9" t="n">
        <x:f>SUMIFS('350配方'!$M160:$P160,'350配方'!$Y160:$AB160,56)</x:f>
        <x:v>0</x:v>
      </x:c>
      <x:c r="M160" s="9" t="n">
        <x:f>SUMIFS('350配方'!$M160:$P160,'350配方'!$Y160:$AB160,58)</x:f>
        <x:v>0</x:v>
      </x:c>
      <x:c r="N160" s="9" t="n">
        <x:f>SUMIFS('350配方'!$M160:$P160,'350配方'!$Y160:$AB160,61)</x:f>
        <x:v>0</x:v>
      </x:c>
      <x:c r="O160" s="9" t="n">
        <x:f>SUMIFS('350配方'!$M160:$P160,'350配方'!$Y160:$AB160,69)</x:f>
        <x:v>0</x:v>
      </x:c>
      <x:c r="P160" s="9" t="n">
        <x:f>SUMIFS('350配方'!$M160:$P160,'350配方'!$Y160:$AB160,75)</x:f>
        <x:v>0</x:v>
      </x:c>
      <x:c r="Q160" s="9" t="n">
        <x:f>SUMIFS('350配方'!$M160:$P160,'350配方'!$Y160:$AB160,79)</x:f>
        <x:v>0</x:v>
      </x:c>
      <x:c r="R160" s="9" t="n">
        <x:f>SUMIFS('350配方'!$M160:$P160,'350配方'!$Y160:$AB160,90)</x:f>
        <x:v>0</x:v>
      </x:c>
      <x:c r="S160" s="9" t="n">
        <x:f>SUMIFS('350配方'!$M160:$P160,'350配方'!$Y160:$AB160,105)</x:f>
        <x:v>28.044607324760317</x:v>
      </x:c>
      <x:c r="T160" s="9" t="n">
        <x:f>SUMIFS('350配方'!$M160:$P160,'350配方'!$Y160:$AB160,111)</x:f>
        <x:v>0</x:v>
      </x:c>
      <x:c r="U160" s="9" t="n">
        <x:f>SUMIFS('350配方'!$M160:$P160,'350配方'!$Y160:$AB160,114)</x:f>
        <x:v>0</x:v>
      </x:c>
      <x:c r="V160" s="9" t="n">
        <x:f>SUMIFS('350配方'!$M160:$P160,'350配方'!$Y160:$AB160,115)</x:f>
        <x:v>0</x:v>
      </x:c>
      <x:c r="W160" s="9" t="n">
        <x:f>SUMIFS('350配方'!$M160:$P160,'350配方'!$Y160:$AB160,117)</x:f>
        <x:v>0</x:v>
      </x:c>
      <x:c r="X160" s="9" t="n">
        <x:f>SUMIFS('350配方'!$M160:$P160,'350配方'!$Y160:$AB160,126)</x:f>
        <x:v>0</x:v>
      </x:c>
      <x:c r="Y160" s="9" t="n">
        <x:f>SUMIFS('350配方'!$M160:$P160,'350配方'!$Y160:$AB160,136)</x:f>
        <x:v>0</x:v>
      </x:c>
      <x:c r="Z160" s="9" t="n">
        <x:f>SUMIFS('350配方'!$M160:$P160,'350配方'!$Y160:$AB160,141)</x:f>
        <x:v>0</x:v>
      </x:c>
      <x:c r="AA160" s="9" t="n">
        <x:f>SUMIFS('350配方'!$M160:$P160,'350配方'!$Y160:$AB160,152)</x:f>
        <x:v>0</x:v>
      </x:c>
      <x:c r="AB160" s="9" t="n">
        <x:f>SUMIFS('350配方'!$M160:$P160,'350配方'!$Y160:$AB160,165)</x:f>
        <x:v>0</x:v>
      </x:c>
      <x:c r="AC160" s="9" t="n">
        <x:f>SUMIFS('350配方'!$M160:$P160,'350配方'!$Y160:$AB160,186)</x:f>
        <x:v>0</x:v>
      </x:c>
      <x:c r="AD160" s="9" t="n">
        <x:f>SUMIFS('350配方'!$M160:$P160,'350配方'!$Y160:$AB160,207)</x:f>
        <x:v>16.47573974060042</x:v>
      </x:c>
      <x:c r="AE160" s="9" t="n">
        <x:f>SUMIFS('350配方'!$M160:$P160,'350配方'!$Y160:$AB160,209)</x:f>
        <x:v>0</x:v>
      </x:c>
      <x:c r="AF160" s="9" t="n">
        <x:f>SUMIFS('350配方'!$M160:$P160,'350配方'!$Y160:$AB160,227)</x:f>
        <x:v>0</x:v>
      </x:c>
      <x:c r="AG160" s="9" t="n">
        <x:f>SUMIFS('350配方'!$M160:$P160,'350配方'!$Y160:$AB160,232)</x:f>
        <x:v>0</x:v>
      </x:c>
      <x:c r="AH160" s="9" t="n">
        <x:f>SUMIFS('350配方'!$M160:$P160,'350配方'!$Y160:$AB160,255)</x:f>
        <x:v>0</x:v>
      </x:c>
      <x:c r="AI160" s="9" t="n">
        <x:f>'浓度设置'!S6</x:f>
        <x:v>219125.9626344086</x:v>
      </x:c>
      <x:c r="AJ160" s="9" t="n">
        <x:f>'浓度设置'!S8</x:f>
        <x:v>92796.92267241378</x:v>
      </x:c>
      <x:c r="AK160" s="9" t="n">
        <x:f>'浓度设置'!S10</x:f>
        <x:v>30556.797802197798</x:v>
      </x:c>
      <x:c r="AL160" s="9" t="n">
        <x:f>'浓度设置'!S12</x:f>
        <x:v>1735.828970588235</x:v>
      </x:c>
      <x:c r="AM160" s="9" t="n">
        <x:f>'浓度设置'!S15</x:f>
        <x:v>7385.813644067793</x:v>
      </x:c>
      <x:c r="AN160" s="9" t="n">
        <x:f>'浓度设置'!S19</x:f>
        <x:v>27722.03097701148</x:v>
      </x:c>
      <x:c r="AO160" s="9" t="n">
        <x:f>'浓度设置'!S22</x:f>
        <x:v>44345.55047619048</x:v>
      </x:c>
      <x:c r="AP160" s="9" t="n">
        <x:f>'浓度设置'!S26</x:f>
        <x:v>153318.30499999996</x:v>
      </x:c>
      <x:c r="AQ160" s="9" t="n">
        <x:f>'浓度设置'!S29</x:f>
        <x:v>312.7970588235294</x:v>
      </x:c>
      <x:c r="AR160" s="9" t="n">
        <x:f>'浓度设置'!S30</x:f>
        <x:v>104175.5097553192</x:v>
      </x:c>
      <x:c r="AS160" s="9" t="n">
        <x:f>'浓度设置'!S35</x:f>
        <x:v>405974.90656785714</x:v>
      </x:c>
    </x:row>
    <x:row r="161" ht="24" customHeight="1">
      <x:c r="A161" s="3" t="str">
        <x:f>'350配方'!A161</x:f>
        <x:v>T156</x:v>
      </x:c>
      <x:c r="B161" s="3" t="str">
        <x:f>'350配方'!B161</x:f>
        <x:v>拟合</x:v>
      </x:c>
      <x:c r="C161" s="3" t="n">
        <x:f>IF(B161="拟合",1,0)</x:f>
        <x:v>1</x:v>
      </x:c>
      <x:c r="D161" s="3" t="n">
        <x:f>'350配方'!AC161</x:f>
        <x:v>4</x:v>
      </x:c>
      <x:c r="E161" s="9" t="n">
        <x:f>SUMIFS('350配方'!$M161:$P161,'350配方'!$Y161:$AB161,7)</x:f>
        <x:v>0</x:v>
      </x:c>
      <x:c r="F161" s="9" t="n">
        <x:f>SUMIFS('350配方'!$M161:$P161,'350配方'!$Y161:$AB161,11)</x:f>
        <x:v>0</x:v>
      </x:c>
      <x:c r="G161" s="9" t="n">
        <x:f>SUMIFS('350配方'!$M161:$P161,'350配方'!$Y161:$AB161,18)</x:f>
        <x:v>0</x:v>
      </x:c>
      <x:c r="H161" s="9" t="n">
        <x:f>SUMIFS('350配方'!$M161:$P161,'350配方'!$Y161:$AB161,32)</x:f>
        <x:v>0</x:v>
      </x:c>
      <x:c r="I161" s="9" t="n">
        <x:f>SUMIFS('350配方'!$M161:$P161,'350配方'!$Y161:$AB161,40)</x:f>
        <x:v>0</x:v>
      </x:c>
      <x:c r="J161" s="9" t="n">
        <x:f>SUMIFS('350配方'!$M161:$P161,'350配方'!$Y161:$AB161,52)</x:f>
        <x:v>0</x:v>
      </x:c>
      <x:c r="K161" s="9" t="n">
        <x:f>SUMIFS('350配方'!$M161:$P161,'350配方'!$Y161:$AB161,53)</x:f>
        <x:v>0</x:v>
      </x:c>
      <x:c r="L161" s="9" t="n">
        <x:f>SUMIFS('350配方'!$M161:$P161,'350配方'!$Y161:$AB161,56)</x:f>
        <x:v>0</x:v>
      </x:c>
      <x:c r="M161" s="9" t="n">
        <x:f>SUMIFS('350配方'!$M161:$P161,'350配方'!$Y161:$AB161,58)</x:f>
        <x:v>5.06</x:v>
      </x:c>
      <x:c r="N161" s="9" t="n">
        <x:f>SUMIFS('350配方'!$M161:$P161,'350配方'!$Y161:$AB161,61)</x:f>
        <x:v>0</x:v>
      </x:c>
      <x:c r="O161" s="9" t="n">
        <x:f>SUMIFS('350配方'!$M161:$P161,'350配方'!$Y161:$AB161,69)</x:f>
        <x:v>0</x:v>
      </x:c>
      <x:c r="P161" s="9" t="n">
        <x:f>SUMIFS('350配方'!$M161:$P161,'350配方'!$Y161:$AB161,75)</x:f>
        <x:v>0</x:v>
      </x:c>
      <x:c r="Q161" s="9" t="n">
        <x:f>SUMIFS('350配方'!$M161:$P161,'350配方'!$Y161:$AB161,79)</x:f>
        <x:v>56115</x:v>
      </x:c>
      <x:c r="R161" s="9" t="n">
        <x:f>SUMIFS('350配方'!$M161:$P161,'350配方'!$Y161:$AB161,90)</x:f>
        <x:v>0</x:v>
      </x:c>
      <x:c r="S161" s="9" t="n">
        <x:f>SUMIFS('350配方'!$M161:$P161,'350配方'!$Y161:$AB161,105)</x:f>
        <x:v>0</x:v>
      </x:c>
      <x:c r="T161" s="9" t="n">
        <x:f>SUMIFS('350配方'!$M161:$P161,'350配方'!$Y161:$AB161,111)</x:f>
        <x:v>0</x:v>
      </x:c>
      <x:c r="U161" s="9" t="n">
        <x:f>SUMIFS('350配方'!$M161:$P161,'350配方'!$Y161:$AB161,114)</x:f>
        <x:v>3147.945</x:v>
      </x:c>
      <x:c r="V161" s="9" t="n">
        <x:f>SUMIFS('350配方'!$M161:$P161,'350配方'!$Y161:$AB161,115)</x:f>
        <x:v>0</x:v>
      </x:c>
      <x:c r="W161" s="9" t="n">
        <x:f>SUMIFS('350配方'!$M161:$P161,'350配方'!$Y161:$AB161,117)</x:f>
        <x:v>0</x:v>
      </x:c>
      <x:c r="X161" s="9" t="n">
        <x:f>SUMIFS('350配方'!$M161:$P161,'350配方'!$Y161:$AB161,126)</x:f>
        <x:v>0</x:v>
      </x:c>
      <x:c r="Y161" s="9" t="n">
        <x:f>SUMIFS('350配方'!$M161:$P161,'350配方'!$Y161:$AB161,136)</x:f>
        <x:v>0</x:v>
      </x:c>
      <x:c r="Z161" s="9" t="n">
        <x:f>SUMIFS('350配方'!$M161:$P161,'350配方'!$Y161:$AB161,141)</x:f>
        <x:v>0</x:v>
      </x:c>
      <x:c r="AA161" s="9" t="n">
        <x:f>SUMIFS('350配方'!$M161:$P161,'350配方'!$Y161:$AB161,152)</x:f>
        <x:v>0</x:v>
      </x:c>
      <x:c r="AB161" s="9" t="n">
        <x:f>SUMIFS('350配方'!$M161:$P161,'350配方'!$Y161:$AB161,165)</x:f>
        <x:v>0</x:v>
      </x:c>
      <x:c r="AC161" s="9" t="n">
        <x:f>SUMIFS('350配方'!$M161:$P161,'350配方'!$Y161:$AB161,186)</x:f>
        <x:v>0</x:v>
      </x:c>
      <x:c r="AD161" s="9" t="n">
        <x:f>SUMIFS('350配方'!$M161:$P161,'350配方'!$Y161:$AB161,207)</x:f>
        <x:v>16.47573974060042</x:v>
      </x:c>
      <x:c r="AE161" s="9" t="n">
        <x:f>SUMIFS('350配方'!$M161:$P161,'350配方'!$Y161:$AB161,209)</x:f>
        <x:v>0</x:v>
      </x:c>
      <x:c r="AF161" s="9" t="n">
        <x:f>SUMIFS('350配方'!$M161:$P161,'350配方'!$Y161:$AB161,227)</x:f>
        <x:v>0</x:v>
      </x:c>
      <x:c r="AG161" s="9" t="n">
        <x:f>SUMIFS('350配方'!$M161:$P161,'350配方'!$Y161:$AB161,232)</x:f>
        <x:v>0</x:v>
      </x:c>
      <x:c r="AH161" s="9" t="n">
        <x:f>SUMIFS('350配方'!$M161:$P161,'350配方'!$Y161:$AB161,255)</x:f>
        <x:v>0</x:v>
      </x:c>
      <x:c r="AI161" s="9" t="n">
        <x:f>'浓度设置'!S6</x:f>
        <x:v>219125.9626344086</x:v>
      </x:c>
      <x:c r="AJ161" s="9" t="n">
        <x:f>'浓度设置'!S8</x:f>
        <x:v>92796.92267241378</x:v>
      </x:c>
      <x:c r="AK161" s="9" t="n">
        <x:f>'浓度设置'!S10</x:f>
        <x:v>30556.797802197798</x:v>
      </x:c>
      <x:c r="AL161" s="9" t="n">
        <x:f>'浓度设置'!S12</x:f>
        <x:v>1735.828970588235</x:v>
      </x:c>
      <x:c r="AM161" s="9" t="n">
        <x:f>'浓度设置'!S15</x:f>
        <x:v>7385.813644067793</x:v>
      </x:c>
      <x:c r="AN161" s="9" t="n">
        <x:f>'浓度设置'!S19</x:f>
        <x:v>27722.03097701148</x:v>
      </x:c>
      <x:c r="AO161" s="9" t="n">
        <x:f>'浓度设置'!S22</x:f>
        <x:v>44345.55047619048</x:v>
      </x:c>
      <x:c r="AP161" s="9" t="n">
        <x:f>'浓度设置'!S26</x:f>
        <x:v>153318.30499999996</x:v>
      </x:c>
      <x:c r="AQ161" s="9" t="n">
        <x:f>'浓度设置'!S29</x:f>
        <x:v>312.7970588235294</x:v>
      </x:c>
      <x:c r="AR161" s="9" t="n">
        <x:f>'浓度设置'!S30</x:f>
        <x:v>104175.5097553192</x:v>
      </x:c>
      <x:c r="AS161" s="9" t="n">
        <x:f>'浓度设置'!S35</x:f>
        <x:v>405974.90656785714</x:v>
      </x:c>
    </x:row>
    <x:row r="162" ht="24" customHeight="1">
      <x:c r="A162" s="3" t="str">
        <x:f>'350配方'!A162</x:f>
        <x:v>T157</x:v>
      </x:c>
      <x:c r="B162" s="3" t="str">
        <x:f>'350配方'!B162</x:f>
        <x:v>拟合</x:v>
      </x:c>
      <x:c r="C162" s="3" t="n">
        <x:f>IF(B162="拟合",1,0)</x:f>
        <x:v>1</x:v>
      </x:c>
      <x:c r="D162" s="3" t="n">
        <x:f>'350配方'!AC162</x:f>
        <x:v>4</x:v>
      </x:c>
      <x:c r="E162" s="9" t="n">
        <x:f>SUMIFS('350配方'!$M162:$P162,'350配方'!$Y162:$AB162,7)</x:f>
        <x:v>0</x:v>
      </x:c>
      <x:c r="F162" s="9" t="n">
        <x:f>SUMIFS('350配方'!$M162:$P162,'350配方'!$Y162:$AB162,11)</x:f>
        <x:v>0</x:v>
      </x:c>
      <x:c r="G162" s="9" t="n">
        <x:f>SUMIFS('350配方'!$M162:$P162,'350配方'!$Y162:$AB162,18)</x:f>
        <x:v>0</x:v>
      </x:c>
      <x:c r="H162" s="9" t="n">
        <x:f>SUMIFS('350配方'!$M162:$P162,'350配方'!$Y162:$AB162,32)</x:f>
        <x:v>0</x:v>
      </x:c>
      <x:c r="I162" s="9" t="n">
        <x:f>SUMIFS('350配方'!$M162:$P162,'350配方'!$Y162:$AB162,40)</x:f>
        <x:v>0</x:v>
      </x:c>
      <x:c r="J162" s="9" t="n">
        <x:f>SUMIFS('350配方'!$M162:$P162,'350配方'!$Y162:$AB162,52)</x:f>
        <x:v>0</x:v>
      </x:c>
      <x:c r="K162" s="9" t="n">
        <x:f>SUMIFS('350配方'!$M162:$P162,'350配方'!$Y162:$AB162,53)</x:f>
        <x:v>2745.3821227654266</x:v>
      </x:c>
      <x:c r="L162" s="9" t="n">
        <x:f>SUMIFS('350配方'!$M162:$P162,'350配方'!$Y162:$AB162,56)</x:f>
        <x:v>0</x:v>
      </x:c>
      <x:c r="M162" s="9" t="n">
        <x:f>SUMIFS('350配方'!$M162:$P162,'350配方'!$Y162:$AB162,58)</x:f>
        <x:v>0</x:v>
      </x:c>
      <x:c r="N162" s="9" t="n">
        <x:f>SUMIFS('350配方'!$M162:$P162,'350配方'!$Y162:$AB162,61)</x:f>
        <x:v>0</x:v>
      </x:c>
      <x:c r="O162" s="9" t="n">
        <x:f>SUMIFS('350配方'!$M162:$P162,'350配方'!$Y162:$AB162,69)</x:f>
        <x:v>0</x:v>
      </x:c>
      <x:c r="P162" s="9" t="n">
        <x:f>SUMIFS('350配方'!$M162:$P162,'350配方'!$Y162:$AB162,75)</x:f>
        <x:v>62700</x:v>
      </x:c>
      <x:c r="Q162" s="9" t="n">
        <x:f>SUMIFS('350配方'!$M162:$P162,'350配方'!$Y162:$AB162,79)</x:f>
        <x:v>0</x:v>
      </x:c>
      <x:c r="R162" s="9" t="n">
        <x:f>SUMIFS('350配方'!$M162:$P162,'350配方'!$Y162:$AB162,90)</x:f>
        <x:v>0</x:v>
      </x:c>
      <x:c r="S162" s="9" t="n">
        <x:f>SUMIFS('350配方'!$M162:$P162,'350配方'!$Y162:$AB162,105)</x:f>
        <x:v>0</x:v>
      </x:c>
      <x:c r="T162" s="9" t="n">
        <x:f>SUMIFS('350配方'!$M162:$P162,'350配方'!$Y162:$AB162,111)</x:f>
        <x:v>0</x:v>
      </x:c>
      <x:c r="U162" s="9" t="n">
        <x:f>SUMIFS('350配方'!$M162:$P162,'350配方'!$Y162:$AB162,114)</x:f>
        <x:v>0</x:v>
      </x:c>
      <x:c r="V162" s="9" t="n">
        <x:f>SUMIFS('350配方'!$M162:$P162,'350配方'!$Y162:$AB162,115)</x:f>
        <x:v>0</x:v>
      </x:c>
      <x:c r="W162" s="9" t="n">
        <x:f>SUMIFS('350配方'!$M162:$P162,'350配方'!$Y162:$AB162,117)</x:f>
        <x:v>0</x:v>
      </x:c>
      <x:c r="X162" s="9" t="n">
        <x:f>SUMIFS('350配方'!$M162:$P162,'350配方'!$Y162:$AB162,126)</x:f>
        <x:v>0</x:v>
      </x:c>
      <x:c r="Y162" s="9" t="n">
        <x:f>SUMIFS('350配方'!$M162:$P162,'350配方'!$Y162:$AB162,136)</x:f>
        <x:v>44000</x:v>
      </x:c>
      <x:c r="Z162" s="9" t="n">
        <x:f>SUMIFS('350配方'!$M162:$P162,'350配方'!$Y162:$AB162,141)</x:f>
        <x:v>0</x:v>
      </x:c>
      <x:c r="AA162" s="9" t="n">
        <x:f>SUMIFS('350配方'!$M162:$P162,'350配方'!$Y162:$AB162,152)</x:f>
        <x:v>0</x:v>
      </x:c>
      <x:c r="AB162" s="9" t="n">
        <x:f>SUMIFS('350配方'!$M162:$P162,'350配方'!$Y162:$AB162,165)</x:f>
        <x:v>0</x:v>
      </x:c>
      <x:c r="AC162" s="9" t="n">
        <x:f>SUMIFS('350配方'!$M162:$P162,'350配方'!$Y162:$AB162,186)</x:f>
        <x:v>0</x:v>
      </x:c>
      <x:c r="AD162" s="9" t="n">
        <x:f>SUMIFS('350配方'!$M162:$P162,'350配方'!$Y162:$AB162,207)</x:f>
        <x:v>0</x:v>
      </x:c>
      <x:c r="AE162" s="9" t="n">
        <x:f>SUMIFS('350配方'!$M162:$P162,'350配方'!$Y162:$AB162,209)</x:f>
        <x:v>0</x:v>
      </x:c>
      <x:c r="AF162" s="9" t="n">
        <x:f>SUMIFS('350配方'!$M162:$P162,'350配方'!$Y162:$AB162,227)</x:f>
        <x:v>0</x:v>
      </x:c>
      <x:c r="AG162" s="9" t="n">
        <x:f>SUMIFS('350配方'!$M162:$P162,'350配方'!$Y162:$AB162,232)</x:f>
        <x:v>0.97</x:v>
      </x:c>
      <x:c r="AH162" s="9" t="n">
        <x:f>SUMIFS('350配方'!$M162:$P162,'350配方'!$Y162:$AB162,255)</x:f>
        <x:v>0</x:v>
      </x:c>
      <x:c r="AI162" s="9" t="n">
        <x:f>'浓度设置'!S6</x:f>
        <x:v>219125.9626344086</x:v>
      </x:c>
      <x:c r="AJ162" s="9" t="n">
        <x:f>'浓度设置'!S8</x:f>
        <x:v>92796.92267241378</x:v>
      </x:c>
      <x:c r="AK162" s="9" t="n">
        <x:f>'浓度设置'!S10</x:f>
        <x:v>30556.797802197798</x:v>
      </x:c>
      <x:c r="AL162" s="9" t="n">
        <x:f>'浓度设置'!S12</x:f>
        <x:v>1735.828970588235</x:v>
      </x:c>
      <x:c r="AM162" s="9" t="n">
        <x:f>'浓度设置'!S15</x:f>
        <x:v>7385.813644067793</x:v>
      </x:c>
      <x:c r="AN162" s="9" t="n">
        <x:f>'浓度设置'!S19</x:f>
        <x:v>27722.03097701148</x:v>
      </x:c>
      <x:c r="AO162" s="9" t="n">
        <x:f>'浓度设置'!S22</x:f>
        <x:v>44345.55047619048</x:v>
      </x:c>
      <x:c r="AP162" s="9" t="n">
        <x:f>'浓度设置'!S26</x:f>
        <x:v>153318.30499999996</x:v>
      </x:c>
      <x:c r="AQ162" s="9" t="n">
        <x:f>'浓度设置'!S29</x:f>
        <x:v>312.7970588235294</x:v>
      </x:c>
      <x:c r="AR162" s="9" t="n">
        <x:f>'浓度设置'!S30</x:f>
        <x:v>104175.5097553192</x:v>
      </x:c>
      <x:c r="AS162" s="9" t="n">
        <x:f>'浓度设置'!S35</x:f>
        <x:v>405974.90656785714</x:v>
      </x:c>
    </x:row>
    <x:row r="163" ht="24" customHeight="1">
      <x:c r="A163" s="3" t="str">
        <x:f>'350配方'!A163</x:f>
        <x:v>T158</x:v>
      </x:c>
      <x:c r="B163" s="3" t="str">
        <x:f>'350配方'!B163</x:f>
        <x:v>拟合</x:v>
      </x:c>
      <x:c r="C163" s="3" t="n">
        <x:f>IF(B163="拟合",1,0)</x:f>
        <x:v>1</x:v>
      </x:c>
      <x:c r="D163" s="3" t="n">
        <x:f>'350配方'!AC163</x:f>
        <x:v>4</x:v>
      </x:c>
      <x:c r="E163" s="9" t="n">
        <x:f>SUMIFS('350配方'!$M163:$P163,'350配方'!$Y163:$AB163,7)</x:f>
        <x:v>173</x:v>
      </x:c>
      <x:c r="F163" s="9" t="n">
        <x:f>SUMIFS('350配方'!$M163:$P163,'350配方'!$Y163:$AB163,11)</x:f>
        <x:v>0</x:v>
      </x:c>
      <x:c r="G163" s="9" t="n">
        <x:f>SUMIFS('350配方'!$M163:$P163,'350配方'!$Y163:$AB163,18)</x:f>
        <x:v>0</x:v>
      </x:c>
      <x:c r="H163" s="9" t="n">
        <x:f>SUMIFS('350配方'!$M163:$P163,'350配方'!$Y163:$AB163,32)</x:f>
        <x:v>0</x:v>
      </x:c>
      <x:c r="I163" s="9" t="n">
        <x:f>SUMIFS('350配方'!$M163:$P163,'350配方'!$Y163:$AB163,40)</x:f>
        <x:v>0</x:v>
      </x:c>
      <x:c r="J163" s="9" t="n">
        <x:f>SUMIFS('350配方'!$M163:$P163,'350配方'!$Y163:$AB163,52)</x:f>
        <x:v>0</x:v>
      </x:c>
      <x:c r="K163" s="9" t="n">
        <x:f>SUMIFS('350配方'!$M163:$P163,'350配方'!$Y163:$AB163,53)</x:f>
        <x:v>0</x:v>
      </x:c>
      <x:c r="L163" s="9" t="n">
        <x:f>SUMIFS('350配方'!$M163:$P163,'350配方'!$Y163:$AB163,56)</x:f>
        <x:v>0</x:v>
      </x:c>
      <x:c r="M163" s="9" t="n">
        <x:f>SUMIFS('350配方'!$M163:$P163,'350配方'!$Y163:$AB163,58)</x:f>
        <x:v>0</x:v>
      </x:c>
      <x:c r="N163" s="9" t="n">
        <x:f>SUMIFS('350配方'!$M163:$P163,'350配方'!$Y163:$AB163,61)</x:f>
        <x:v>0</x:v>
      </x:c>
      <x:c r="O163" s="9" t="n">
        <x:f>SUMIFS('350配方'!$M163:$P163,'350配方'!$Y163:$AB163,69)</x:f>
        <x:v>0</x:v>
      </x:c>
      <x:c r="P163" s="9" t="n">
        <x:f>SUMIFS('350配方'!$M163:$P163,'350配方'!$Y163:$AB163,75)</x:f>
        <x:v>0</x:v>
      </x:c>
      <x:c r="Q163" s="9" t="n">
        <x:f>SUMIFS('350配方'!$M163:$P163,'350配方'!$Y163:$AB163,79)</x:f>
        <x:v>0</x:v>
      </x:c>
      <x:c r="R163" s="9" t="n">
        <x:f>SUMIFS('350配方'!$M163:$P163,'350配方'!$Y163:$AB163,90)</x:f>
        <x:v>0</x:v>
      </x:c>
      <x:c r="S163" s="9" t="n">
        <x:f>SUMIFS('350配方'!$M163:$P163,'350配方'!$Y163:$AB163,105)</x:f>
        <x:v>0</x:v>
      </x:c>
      <x:c r="T163" s="9" t="n">
        <x:f>SUMIFS('350配方'!$M163:$P163,'350配方'!$Y163:$AB163,111)</x:f>
        <x:v>0</x:v>
      </x:c>
      <x:c r="U163" s="9" t="n">
        <x:f>SUMIFS('350配方'!$M163:$P163,'350配方'!$Y163:$AB163,114)</x:f>
        <x:v>0</x:v>
      </x:c>
      <x:c r="V163" s="9" t="n">
        <x:f>SUMIFS('350配方'!$M163:$P163,'350配方'!$Y163:$AB163,115)</x:f>
        <x:v>0</x:v>
      </x:c>
      <x:c r="W163" s="9" t="n">
        <x:f>SUMIFS('350配方'!$M163:$P163,'350配方'!$Y163:$AB163,117)</x:f>
        <x:v>0</x:v>
      </x:c>
      <x:c r="X163" s="9" t="n">
        <x:f>SUMIFS('350配方'!$M163:$P163,'350配方'!$Y163:$AB163,126)</x:f>
        <x:v>0</x:v>
      </x:c>
      <x:c r="Y163" s="9" t="n">
        <x:f>SUMIFS('350配方'!$M163:$P163,'350配方'!$Y163:$AB163,136)</x:f>
        <x:v>0</x:v>
      </x:c>
      <x:c r="Z163" s="9" t="n">
        <x:f>SUMIFS('350配方'!$M163:$P163,'350配方'!$Y163:$AB163,141)</x:f>
        <x:v>1039840</x:v>
      </x:c>
      <x:c r="AA163" s="9" t="n">
        <x:f>SUMIFS('350配方'!$M163:$P163,'350配方'!$Y163:$AB163,152)</x:f>
        <x:v>0</x:v>
      </x:c>
      <x:c r="AB163" s="9" t="n">
        <x:f>SUMIFS('350配方'!$M163:$P163,'350配方'!$Y163:$AB163,165)</x:f>
        <x:v>0</x:v>
      </x:c>
      <x:c r="AC163" s="9" t="n">
        <x:f>SUMIFS('350配方'!$M163:$P163,'350配方'!$Y163:$AB163,186)</x:f>
        <x:v>11648000</x:v>
      </x:c>
      <x:c r="AD163" s="9" t="n">
        <x:f>SUMIFS('350配方'!$M163:$P163,'350配方'!$Y163:$AB163,207)</x:f>
        <x:v>0</x:v>
      </x:c>
      <x:c r="AE163" s="9" t="n">
        <x:f>SUMIFS('350配方'!$M163:$P163,'350配方'!$Y163:$AB163,209)</x:f>
        <x:v>0</x:v>
      </x:c>
      <x:c r="AF163" s="9" t="n">
        <x:f>SUMIFS('350配方'!$M163:$P163,'350配方'!$Y163:$AB163,227)</x:f>
        <x:v>193759</x:v>
      </x:c>
      <x:c r="AG163" s="9" t="n">
        <x:f>SUMIFS('350配方'!$M163:$P163,'350配方'!$Y163:$AB163,232)</x:f>
        <x:v>0</x:v>
      </x:c>
      <x:c r="AH163" s="9" t="n">
        <x:f>SUMIFS('350配方'!$M163:$P163,'350配方'!$Y163:$AB163,255)</x:f>
        <x:v>0</x:v>
      </x:c>
      <x:c r="AI163" s="9" t="n">
        <x:f>'浓度设置'!S6</x:f>
        <x:v>219125.9626344086</x:v>
      </x:c>
      <x:c r="AJ163" s="9" t="n">
        <x:f>'浓度设置'!S8</x:f>
        <x:v>92796.92267241378</x:v>
      </x:c>
      <x:c r="AK163" s="9" t="n">
        <x:f>'浓度设置'!S10</x:f>
        <x:v>30556.797802197798</x:v>
      </x:c>
      <x:c r="AL163" s="9" t="n">
        <x:f>'浓度设置'!S12</x:f>
        <x:v>1735.828970588235</x:v>
      </x:c>
      <x:c r="AM163" s="9" t="n">
        <x:f>'浓度设置'!S15</x:f>
        <x:v>7385.813644067793</x:v>
      </x:c>
      <x:c r="AN163" s="9" t="n">
        <x:f>'浓度设置'!S19</x:f>
        <x:v>27722.03097701148</x:v>
      </x:c>
      <x:c r="AO163" s="9" t="n">
        <x:f>'浓度设置'!S22</x:f>
        <x:v>44345.55047619048</x:v>
      </x:c>
      <x:c r="AP163" s="9" t="n">
        <x:f>'浓度设置'!S26</x:f>
        <x:v>153318.30499999996</x:v>
      </x:c>
      <x:c r="AQ163" s="9" t="n">
        <x:f>'浓度设置'!S29</x:f>
        <x:v>312.7970588235294</x:v>
      </x:c>
      <x:c r="AR163" s="9" t="n">
        <x:f>'浓度设置'!S30</x:f>
        <x:v>104175.5097553192</x:v>
      </x:c>
      <x:c r="AS163" s="9" t="n">
        <x:f>'浓度设置'!S35</x:f>
        <x:v>405974.90656785714</x:v>
      </x:c>
    </x:row>
    <x:row r="164" ht="24" customHeight="1">
      <x:c r="A164" s="3" t="str">
        <x:f>'350配方'!A164</x:f>
        <x:v>T159</x:v>
      </x:c>
      <x:c r="B164" s="3" t="str">
        <x:f>'350配方'!B164</x:f>
        <x:v>拟合</x:v>
      </x:c>
      <x:c r="C164" s="3" t="n">
        <x:f>IF(B164="拟合",1,0)</x:f>
        <x:v>1</x:v>
      </x:c>
      <x:c r="D164" s="3" t="n">
        <x:f>'350配方'!AC164</x:f>
        <x:v>4</x:v>
      </x:c>
      <x:c r="E164" s="9" t="n">
        <x:f>SUMIFS('350配方'!$M164:$P164,'350配方'!$Y164:$AB164,7)</x:f>
        <x:v>0</x:v>
      </x:c>
      <x:c r="F164" s="9" t="n">
        <x:f>SUMIFS('350配方'!$M164:$P164,'350配方'!$Y164:$AB164,11)</x:f>
        <x:v>16.97</x:v>
      </x:c>
      <x:c r="G164" s="9" t="n">
        <x:f>SUMIFS('350配方'!$M164:$P164,'350配方'!$Y164:$AB164,18)</x:f>
        <x:v>0</x:v>
      </x:c>
      <x:c r="H164" s="9" t="n">
        <x:f>SUMIFS('350配方'!$M164:$P164,'350配方'!$Y164:$AB164,32)</x:f>
        <x:v>0</x:v>
      </x:c>
      <x:c r="I164" s="9" t="n">
        <x:f>SUMIFS('350配方'!$M164:$P164,'350配方'!$Y164:$AB164,40)</x:f>
        <x:v>0</x:v>
      </x:c>
      <x:c r="J164" s="9" t="n">
        <x:f>SUMIFS('350配方'!$M164:$P164,'350配方'!$Y164:$AB164,52)</x:f>
        <x:v>0</x:v>
      </x:c>
      <x:c r="K164" s="9" t="n">
        <x:f>SUMIFS('350配方'!$M164:$P164,'350配方'!$Y164:$AB164,53)</x:f>
        <x:v>0</x:v>
      </x:c>
      <x:c r="L164" s="9" t="n">
        <x:f>SUMIFS('350配方'!$M164:$P164,'350配方'!$Y164:$AB164,56)</x:f>
        <x:v>0</x:v>
      </x:c>
      <x:c r="M164" s="9" t="n">
        <x:f>SUMIFS('350配方'!$M164:$P164,'350配方'!$Y164:$AB164,58)</x:f>
        <x:v>0</x:v>
      </x:c>
      <x:c r="N164" s="9" t="n">
        <x:f>SUMIFS('350配方'!$M164:$P164,'350配方'!$Y164:$AB164,61)</x:f>
        <x:v>0.51</x:v>
      </x:c>
      <x:c r="O164" s="9" t="n">
        <x:f>SUMIFS('350配方'!$M164:$P164,'350配方'!$Y164:$AB164,69)</x:f>
        <x:v>0</x:v>
      </x:c>
      <x:c r="P164" s="9" t="n">
        <x:f>SUMIFS('350配方'!$M164:$P164,'350配方'!$Y164:$AB164,75)</x:f>
        <x:v>0</x:v>
      </x:c>
      <x:c r="Q164" s="9" t="n">
        <x:f>SUMIFS('350配方'!$M164:$P164,'350配方'!$Y164:$AB164,79)</x:f>
        <x:v>0</x:v>
      </x:c>
      <x:c r="R164" s="9" t="n">
        <x:f>SUMIFS('350配方'!$M164:$P164,'350配方'!$Y164:$AB164,90)</x:f>
        <x:v>25642.45</x:v>
      </x:c>
      <x:c r="S164" s="9" t="n">
        <x:f>SUMIFS('350配方'!$M164:$P164,'350配方'!$Y164:$AB164,105)</x:f>
        <x:v>0</x:v>
      </x:c>
      <x:c r="T164" s="9" t="n">
        <x:f>SUMIFS('350配方'!$M164:$P164,'350配方'!$Y164:$AB164,111)</x:f>
        <x:v>0</x:v>
      </x:c>
      <x:c r="U164" s="9" t="n">
        <x:f>SUMIFS('350配方'!$M164:$P164,'350配方'!$Y164:$AB164,114)</x:f>
        <x:v>0</x:v>
      </x:c>
      <x:c r="V164" s="9" t="n">
        <x:f>SUMIFS('350配方'!$M164:$P164,'350配方'!$Y164:$AB164,115)</x:f>
        <x:v>0</x:v>
      </x:c>
      <x:c r="W164" s="9" t="n">
        <x:f>SUMIFS('350配方'!$M164:$P164,'350配方'!$Y164:$AB164,117)</x:f>
        <x:v>0</x:v>
      </x:c>
      <x:c r="X164" s="9" t="n">
        <x:f>SUMIFS('350配方'!$M164:$P164,'350配方'!$Y164:$AB164,126)</x:f>
        <x:v>0</x:v>
      </x:c>
      <x:c r="Y164" s="9" t="n">
        <x:f>SUMIFS('350配方'!$M164:$P164,'350配方'!$Y164:$AB164,136)</x:f>
        <x:v>0</x:v>
      </x:c>
      <x:c r="Z164" s="9" t="n">
        <x:f>SUMIFS('350配方'!$M164:$P164,'350配方'!$Y164:$AB164,141)</x:f>
        <x:v>0</x:v>
      </x:c>
      <x:c r="AA164" s="9" t="n">
        <x:f>SUMIFS('350配方'!$M164:$P164,'350配方'!$Y164:$AB164,152)</x:f>
        <x:v>1048.6410253275426</x:v>
      </x:c>
      <x:c r="AB164" s="9" t="n">
        <x:f>SUMIFS('350配方'!$M164:$P164,'350配方'!$Y164:$AB164,165)</x:f>
        <x:v>0</x:v>
      </x:c>
      <x:c r="AC164" s="9" t="n">
        <x:f>SUMIFS('350配方'!$M164:$P164,'350配方'!$Y164:$AB164,186)</x:f>
        <x:v>0</x:v>
      </x:c>
      <x:c r="AD164" s="9" t="n">
        <x:f>SUMIFS('350配方'!$M164:$P164,'350配方'!$Y164:$AB164,207)</x:f>
        <x:v>0</x:v>
      </x:c>
      <x:c r="AE164" s="9" t="n">
        <x:f>SUMIFS('350配方'!$M164:$P164,'350配方'!$Y164:$AB164,209)</x:f>
        <x:v>0</x:v>
      </x:c>
      <x:c r="AF164" s="9" t="n">
        <x:f>SUMIFS('350配方'!$M164:$P164,'350配方'!$Y164:$AB164,227)</x:f>
        <x:v>0</x:v>
      </x:c>
      <x:c r="AG164" s="9" t="n">
        <x:f>SUMIFS('350配方'!$M164:$P164,'350配方'!$Y164:$AB164,232)</x:f>
        <x:v>0</x:v>
      </x:c>
      <x:c r="AH164" s="9" t="n">
        <x:f>SUMIFS('350配方'!$M164:$P164,'350配方'!$Y164:$AB164,255)</x:f>
        <x:v>0</x:v>
      </x:c>
      <x:c r="AI164" s="9" t="n">
        <x:f>'浓度设置'!S6</x:f>
        <x:v>219125.9626344086</x:v>
      </x:c>
      <x:c r="AJ164" s="9" t="n">
        <x:f>'浓度设置'!S8</x:f>
        <x:v>92796.92267241378</x:v>
      </x:c>
      <x:c r="AK164" s="9" t="n">
        <x:f>'浓度设置'!S10</x:f>
        <x:v>30556.797802197798</x:v>
      </x:c>
      <x:c r="AL164" s="9" t="n">
        <x:f>'浓度设置'!S12</x:f>
        <x:v>1735.828970588235</x:v>
      </x:c>
      <x:c r="AM164" s="9" t="n">
        <x:f>'浓度设置'!S15</x:f>
        <x:v>7385.813644067793</x:v>
      </x:c>
      <x:c r="AN164" s="9" t="n">
        <x:f>'浓度设置'!S19</x:f>
        <x:v>27722.03097701148</x:v>
      </x:c>
      <x:c r="AO164" s="9" t="n">
        <x:f>'浓度设置'!S22</x:f>
        <x:v>44345.55047619048</x:v>
      </x:c>
      <x:c r="AP164" s="9" t="n">
        <x:f>'浓度设置'!S26</x:f>
        <x:v>153318.30499999996</x:v>
      </x:c>
      <x:c r="AQ164" s="9" t="n">
        <x:f>'浓度设置'!S29</x:f>
        <x:v>312.7970588235294</x:v>
      </x:c>
      <x:c r="AR164" s="9" t="n">
        <x:f>'浓度设置'!S30</x:f>
        <x:v>104175.5097553192</x:v>
      </x:c>
      <x:c r="AS164" s="9" t="n">
        <x:f>'浓度设置'!S35</x:f>
        <x:v>405974.90656785714</x:v>
      </x:c>
    </x:row>
    <x:row r="165" ht="24" customHeight="1">
      <x:c r="A165" s="3" t="str">
        <x:f>'350配方'!A165</x:f>
        <x:v>T160</x:v>
      </x:c>
      <x:c r="B165" s="3" t="str">
        <x:f>'350配方'!B165</x:f>
        <x:v>拟合</x:v>
      </x:c>
      <x:c r="C165" s="3" t="n">
        <x:f>IF(B165="拟合",1,0)</x:f>
        <x:v>1</x:v>
      </x:c>
      <x:c r="D165" s="3" t="n">
        <x:f>'350配方'!AC165</x:f>
        <x:v>4</x:v>
      </x:c>
      <x:c r="E165" s="9" t="n">
        <x:f>SUMIFS('350配方'!$M165:$P165,'350配方'!$Y165:$AB165,7)</x:f>
        <x:v>0</x:v>
      </x:c>
      <x:c r="F165" s="9" t="n">
        <x:f>SUMIFS('350配方'!$M165:$P165,'350配方'!$Y165:$AB165,11)</x:f>
        <x:v>0</x:v>
      </x:c>
      <x:c r="G165" s="9" t="n">
        <x:f>SUMIFS('350配方'!$M165:$P165,'350配方'!$Y165:$AB165,18)</x:f>
        <x:v>1183.2582135780847</x:v>
      </x:c>
      <x:c r="H165" s="9" t="n">
        <x:f>SUMIFS('350配方'!$M165:$P165,'350配方'!$Y165:$AB165,32)</x:f>
        <x:v>0</x:v>
      </x:c>
      <x:c r="I165" s="9" t="n">
        <x:f>SUMIFS('350配方'!$M165:$P165,'350配方'!$Y165:$AB165,40)</x:f>
        <x:v>0</x:v>
      </x:c>
      <x:c r="J165" s="9" t="n">
        <x:f>SUMIFS('350配方'!$M165:$P165,'350配方'!$Y165:$AB165,52)</x:f>
        <x:v>0</x:v>
      </x:c>
      <x:c r="K165" s="9" t="n">
        <x:f>SUMIFS('350配方'!$M165:$P165,'350配方'!$Y165:$AB165,53)</x:f>
        <x:v>0</x:v>
      </x:c>
      <x:c r="L165" s="9" t="n">
        <x:f>SUMIFS('350配方'!$M165:$P165,'350配方'!$Y165:$AB165,56)</x:f>
        <x:v>1041.8500000000001</x:v>
      </x:c>
      <x:c r="M165" s="9" t="n">
        <x:f>SUMIFS('350配方'!$M165:$P165,'350配方'!$Y165:$AB165,58)</x:f>
        <x:v>0</x:v>
      </x:c>
      <x:c r="N165" s="9" t="n">
        <x:f>SUMIFS('350配方'!$M165:$P165,'350配方'!$Y165:$AB165,61)</x:f>
        <x:v>0</x:v>
      </x:c>
      <x:c r="O165" s="9" t="n">
        <x:f>SUMIFS('350配方'!$M165:$P165,'350配方'!$Y165:$AB165,69)</x:f>
        <x:v>0</x:v>
      </x:c>
      <x:c r="P165" s="9" t="n">
        <x:f>SUMIFS('350配方'!$M165:$P165,'350配方'!$Y165:$AB165,75)</x:f>
        <x:v>0</x:v>
      </x:c>
      <x:c r="Q165" s="9" t="n">
        <x:f>SUMIFS('350配方'!$M165:$P165,'350配方'!$Y165:$AB165,79)</x:f>
        <x:v>0</x:v>
      </x:c>
      <x:c r="R165" s="9" t="n">
        <x:f>SUMIFS('350配方'!$M165:$P165,'350配方'!$Y165:$AB165,90)</x:f>
        <x:v>0</x:v>
      </x:c>
      <x:c r="S165" s="9" t="n">
        <x:f>SUMIFS('350配方'!$M165:$P165,'350配方'!$Y165:$AB165,105)</x:f>
        <x:v>0</x:v>
      </x:c>
      <x:c r="T165" s="9" t="n">
        <x:f>SUMIFS('350配方'!$M165:$P165,'350配方'!$Y165:$AB165,111)</x:f>
        <x:v>0</x:v>
      </x:c>
      <x:c r="U165" s="9" t="n">
        <x:f>SUMIFS('350配方'!$M165:$P165,'350配方'!$Y165:$AB165,114)</x:f>
        <x:v>0</x:v>
      </x:c>
      <x:c r="V165" s="9" t="n">
        <x:f>SUMIFS('350配方'!$M165:$P165,'350配方'!$Y165:$AB165,115)</x:f>
        <x:v>0</x:v>
      </x:c>
      <x:c r="W165" s="9" t="n">
        <x:f>SUMIFS('350配方'!$M165:$P165,'350配方'!$Y165:$AB165,117)</x:f>
        <x:v>0</x:v>
      </x:c>
      <x:c r="X165" s="9" t="n">
        <x:f>SUMIFS('350配方'!$M165:$P165,'350配方'!$Y165:$AB165,126)</x:f>
        <x:v>0</x:v>
      </x:c>
      <x:c r="Y165" s="9" t="n">
        <x:f>SUMIFS('350配方'!$M165:$P165,'350配方'!$Y165:$AB165,136)</x:f>
        <x:v>0</x:v>
      </x:c>
      <x:c r="Z165" s="9" t="n">
        <x:f>SUMIFS('350配方'!$M165:$P165,'350配方'!$Y165:$AB165,141)</x:f>
        <x:v>0</x:v>
      </x:c>
      <x:c r="AA165" s="9" t="n">
        <x:f>SUMIFS('350配方'!$M165:$P165,'350配方'!$Y165:$AB165,152)</x:f>
        <x:v>1048.6410253275426</x:v>
      </x:c>
      <x:c r="AB165" s="9" t="n">
        <x:f>SUMIFS('350配方'!$M165:$P165,'350配方'!$Y165:$AB165,165)</x:f>
        <x:v>0</x:v>
      </x:c>
      <x:c r="AC165" s="9" t="n">
        <x:f>SUMIFS('350配方'!$M165:$P165,'350配方'!$Y165:$AB165,186)</x:f>
        <x:v>0</x:v>
      </x:c>
      <x:c r="AD165" s="9" t="n">
        <x:f>SUMIFS('350配方'!$M165:$P165,'350配方'!$Y165:$AB165,207)</x:f>
        <x:v>0</x:v>
      </x:c>
      <x:c r="AE165" s="9" t="n">
        <x:f>SUMIFS('350配方'!$M165:$P165,'350配方'!$Y165:$AB165,209)</x:f>
        <x:v>0</x:v>
      </x:c>
      <x:c r="AF165" s="9" t="n">
        <x:f>SUMIFS('350配方'!$M165:$P165,'350配方'!$Y165:$AB165,227)</x:f>
        <x:v>0</x:v>
      </x:c>
      <x:c r="AG165" s="9" t="n">
        <x:f>SUMIFS('350配方'!$M165:$P165,'350配方'!$Y165:$AB165,232)</x:f>
        <x:v>0</x:v>
      </x:c>
      <x:c r="AH165" s="9" t="n">
        <x:f>SUMIFS('350配方'!$M165:$P165,'350配方'!$Y165:$AB165,255)</x:f>
        <x:v>9.546727187890099</x:v>
      </x:c>
      <x:c r="AI165" s="9" t="n">
        <x:f>'浓度设置'!S6</x:f>
        <x:v>219125.9626344086</x:v>
      </x:c>
      <x:c r="AJ165" s="9" t="n">
        <x:f>'浓度设置'!S8</x:f>
        <x:v>92796.92267241378</x:v>
      </x:c>
      <x:c r="AK165" s="9" t="n">
        <x:f>'浓度设置'!S10</x:f>
        <x:v>30556.797802197798</x:v>
      </x:c>
      <x:c r="AL165" s="9" t="n">
        <x:f>'浓度设置'!S12</x:f>
        <x:v>1735.828970588235</x:v>
      </x:c>
      <x:c r="AM165" s="9" t="n">
        <x:f>'浓度设置'!S15</x:f>
        <x:v>7385.813644067793</x:v>
      </x:c>
      <x:c r="AN165" s="9" t="n">
        <x:f>'浓度设置'!S19</x:f>
        <x:v>27722.03097701148</x:v>
      </x:c>
      <x:c r="AO165" s="9" t="n">
        <x:f>'浓度设置'!S22</x:f>
        <x:v>44345.55047619048</x:v>
      </x:c>
      <x:c r="AP165" s="9" t="n">
        <x:f>'浓度设置'!S26</x:f>
        <x:v>153318.30499999996</x:v>
      </x:c>
      <x:c r="AQ165" s="9" t="n">
        <x:f>'浓度设置'!S29</x:f>
        <x:v>312.7970588235294</x:v>
      </x:c>
      <x:c r="AR165" s="9" t="n">
        <x:f>'浓度设置'!S30</x:f>
        <x:v>104175.5097553192</x:v>
      </x:c>
      <x:c r="AS165" s="9" t="n">
        <x:f>'浓度设置'!S35</x:f>
        <x:v>405974.90656785714</x:v>
      </x:c>
    </x:row>
    <x:row r="166" ht="24" customHeight="1">
      <x:c r="A166" s="3" t="str">
        <x:f>'350配方'!A166</x:f>
        <x:v>T161</x:v>
      </x:c>
      <x:c r="B166" s="3" t="str">
        <x:f>'350配方'!B166</x:f>
        <x:v>拟合</x:v>
      </x:c>
      <x:c r="C166" s="3" t="n">
        <x:f>IF(B166="拟合",1,0)</x:f>
        <x:v>1</x:v>
      </x:c>
      <x:c r="D166" s="3" t="n">
        <x:f>'350配方'!AC166</x:f>
        <x:v>4</x:v>
      </x:c>
      <x:c r="E166" s="9" t="n">
        <x:f>SUMIFS('350配方'!$M166:$P166,'350配方'!$Y166:$AB166,7)</x:f>
        <x:v>0</x:v>
      </x:c>
      <x:c r="F166" s="9" t="n">
        <x:f>SUMIFS('350配方'!$M166:$P166,'350配方'!$Y166:$AB166,11)</x:f>
        <x:v>0</x:v>
      </x:c>
      <x:c r="G166" s="9" t="n">
        <x:f>SUMIFS('350配方'!$M166:$P166,'350配方'!$Y166:$AB166,18)</x:f>
        <x:v>0</x:v>
      </x:c>
      <x:c r="H166" s="9" t="n">
        <x:f>SUMIFS('350配方'!$M166:$P166,'350配方'!$Y166:$AB166,32)</x:f>
        <x:v>18.68</x:v>
      </x:c>
      <x:c r="I166" s="9" t="n">
        <x:f>SUMIFS('350配方'!$M166:$P166,'350配方'!$Y166:$AB166,40)</x:f>
        <x:v>0</x:v>
      </x:c>
      <x:c r="J166" s="9" t="n">
        <x:f>SUMIFS('350配方'!$M166:$P166,'350配方'!$Y166:$AB166,52)</x:f>
        <x:v>2338.9306103431118</x:v>
      </x:c>
      <x:c r="K166" s="9" t="n">
        <x:f>SUMIFS('350配方'!$M166:$P166,'350配方'!$Y166:$AB166,53)</x:f>
        <x:v>0</x:v>
      </x:c>
      <x:c r="L166" s="9" t="n">
        <x:f>SUMIFS('350配方'!$M166:$P166,'350配方'!$Y166:$AB166,56)</x:f>
        <x:v>0</x:v>
      </x:c>
      <x:c r="M166" s="9" t="n">
        <x:f>SUMIFS('350配方'!$M166:$P166,'350配方'!$Y166:$AB166,58)</x:f>
        <x:v>0</x:v>
      </x:c>
      <x:c r="N166" s="9" t="n">
        <x:f>SUMIFS('350配方'!$M166:$P166,'350配方'!$Y166:$AB166,61)</x:f>
        <x:v>0</x:v>
      </x:c>
      <x:c r="O166" s="9" t="n">
        <x:f>SUMIFS('350配方'!$M166:$P166,'350配方'!$Y166:$AB166,69)</x:f>
        <x:v>0</x:v>
      </x:c>
      <x:c r="P166" s="9" t="n">
        <x:f>SUMIFS('350配方'!$M166:$P166,'350配方'!$Y166:$AB166,75)</x:f>
        <x:v>0</x:v>
      </x:c>
      <x:c r="Q166" s="9" t="n">
        <x:f>SUMIFS('350配方'!$M166:$P166,'350配方'!$Y166:$AB166,79)</x:f>
        <x:v>0</x:v>
      </x:c>
      <x:c r="R166" s="9" t="n">
        <x:f>SUMIFS('350配方'!$M166:$P166,'350配方'!$Y166:$AB166,90)</x:f>
        <x:v>0</x:v>
      </x:c>
      <x:c r="S166" s="9" t="n">
        <x:f>SUMIFS('350配方'!$M166:$P166,'350配方'!$Y166:$AB166,105)</x:f>
        <x:v>0</x:v>
      </x:c>
      <x:c r="T166" s="9" t="n">
        <x:f>SUMIFS('350配方'!$M166:$P166,'350配方'!$Y166:$AB166,111)</x:f>
        <x:v>0</x:v>
      </x:c>
      <x:c r="U166" s="9" t="n">
        <x:f>SUMIFS('350配方'!$M166:$P166,'350配方'!$Y166:$AB166,114)</x:f>
        <x:v>0</x:v>
      </x:c>
      <x:c r="V166" s="9" t="n">
        <x:f>SUMIFS('350配方'!$M166:$P166,'350配方'!$Y166:$AB166,115)</x:f>
        <x:v>96.86609313893071</x:v>
      </x:c>
      <x:c r="W166" s="9" t="n">
        <x:f>SUMIFS('350配方'!$M166:$P166,'350配方'!$Y166:$AB166,117)</x:f>
        <x:v>0</x:v>
      </x:c>
      <x:c r="X166" s="9" t="n">
        <x:f>SUMIFS('350配方'!$M166:$P166,'350配方'!$Y166:$AB166,126)</x:f>
        <x:v>0</x:v>
      </x:c>
      <x:c r="Y166" s="9" t="n">
        <x:f>SUMIFS('350配方'!$M166:$P166,'350配方'!$Y166:$AB166,136)</x:f>
        <x:v>0</x:v>
      </x:c>
      <x:c r="Z166" s="9" t="n">
        <x:f>SUMIFS('350配方'!$M166:$P166,'350配方'!$Y166:$AB166,141)</x:f>
        <x:v>0</x:v>
      </x:c>
      <x:c r="AA166" s="9" t="n">
        <x:f>SUMIFS('350配方'!$M166:$P166,'350配方'!$Y166:$AB166,152)</x:f>
        <x:v>0</x:v>
      </x:c>
      <x:c r="AB166" s="9" t="n">
        <x:f>SUMIFS('350配方'!$M166:$P166,'350配方'!$Y166:$AB166,165)</x:f>
        <x:v>0</x:v>
      </x:c>
      <x:c r="AC166" s="9" t="n">
        <x:f>SUMIFS('350配方'!$M166:$P166,'350配方'!$Y166:$AB166,186)</x:f>
        <x:v>0</x:v>
      </x:c>
      <x:c r="AD166" s="9" t="n">
        <x:f>SUMIFS('350配方'!$M166:$P166,'350配方'!$Y166:$AB166,207)</x:f>
        <x:v>0</x:v>
      </x:c>
      <x:c r="AE166" s="9" t="n">
        <x:f>SUMIFS('350配方'!$M166:$P166,'350配方'!$Y166:$AB166,209)</x:f>
        <x:v>4201.44</x:v>
      </x:c>
      <x:c r="AF166" s="9" t="n">
        <x:f>SUMIFS('350配方'!$M166:$P166,'350配方'!$Y166:$AB166,227)</x:f>
        <x:v>0</x:v>
      </x:c>
      <x:c r="AG166" s="9" t="n">
        <x:f>SUMIFS('350配方'!$M166:$P166,'350配方'!$Y166:$AB166,232)</x:f>
        <x:v>0</x:v>
      </x:c>
      <x:c r="AH166" s="9" t="n">
        <x:f>SUMIFS('350配方'!$M166:$P166,'350配方'!$Y166:$AB166,255)</x:f>
        <x:v>0</x:v>
      </x:c>
      <x:c r="AI166" s="9" t="n">
        <x:f>'浓度设置'!S6</x:f>
        <x:v>219125.9626344086</x:v>
      </x:c>
      <x:c r="AJ166" s="9" t="n">
        <x:f>'浓度设置'!S8</x:f>
        <x:v>92796.92267241378</x:v>
      </x:c>
      <x:c r="AK166" s="9" t="n">
        <x:f>'浓度设置'!S10</x:f>
        <x:v>30556.797802197798</x:v>
      </x:c>
      <x:c r="AL166" s="9" t="n">
        <x:f>'浓度设置'!S12</x:f>
        <x:v>1735.828970588235</x:v>
      </x:c>
      <x:c r="AM166" s="9" t="n">
        <x:f>'浓度设置'!S15</x:f>
        <x:v>7385.813644067793</x:v>
      </x:c>
      <x:c r="AN166" s="9" t="n">
        <x:f>'浓度设置'!S19</x:f>
        <x:v>27722.03097701148</x:v>
      </x:c>
      <x:c r="AO166" s="9" t="n">
        <x:f>'浓度设置'!S22</x:f>
        <x:v>44345.55047619048</x:v>
      </x:c>
      <x:c r="AP166" s="9" t="n">
        <x:f>'浓度设置'!S26</x:f>
        <x:v>153318.30499999996</x:v>
      </x:c>
      <x:c r="AQ166" s="9" t="n">
        <x:f>'浓度设置'!S29</x:f>
        <x:v>312.7970588235294</x:v>
      </x:c>
      <x:c r="AR166" s="9" t="n">
        <x:f>'浓度设置'!S30</x:f>
        <x:v>104175.5097553192</x:v>
      </x:c>
      <x:c r="AS166" s="9" t="n">
        <x:f>'浓度设置'!S35</x:f>
        <x:v>405974.90656785714</x:v>
      </x:c>
    </x:row>
    <x:row r="167" ht="24" customHeight="1">
      <x:c r="A167" s="3" t="str">
        <x:f>'350配方'!A167</x:f>
        <x:v>T162</x:v>
      </x:c>
      <x:c r="B167" s="3" t="str">
        <x:f>'350配方'!B167</x:f>
        <x:v>拟合</x:v>
      </x:c>
      <x:c r="C167" s="3" t="n">
        <x:f>IF(B167="拟合",1,0)</x:f>
        <x:v>1</x:v>
      </x:c>
      <x:c r="D167" s="3" t="n">
        <x:f>'350配方'!AC167</x:f>
        <x:v>4</x:v>
      </x:c>
      <x:c r="E167" s="9" t="n">
        <x:f>SUMIFS('350配方'!$M167:$P167,'350配方'!$Y167:$AB167,7)</x:f>
        <x:v>0</x:v>
      </x:c>
      <x:c r="F167" s="9" t="n">
        <x:f>SUMIFS('350配方'!$M167:$P167,'350配方'!$Y167:$AB167,11)</x:f>
        <x:v>0</x:v>
      </x:c>
      <x:c r="G167" s="9" t="n">
        <x:f>SUMIFS('350配方'!$M167:$P167,'350配方'!$Y167:$AB167,18)</x:f>
        <x:v>0</x:v>
      </x:c>
      <x:c r="H167" s="9" t="n">
        <x:f>SUMIFS('350配方'!$M167:$P167,'350配方'!$Y167:$AB167,32)</x:f>
        <x:v>0</x:v>
      </x:c>
      <x:c r="I167" s="9" t="n">
        <x:f>SUMIFS('350配方'!$M167:$P167,'350配方'!$Y167:$AB167,40)</x:f>
        <x:v>0</x:v>
      </x:c>
      <x:c r="J167" s="9" t="n">
        <x:f>SUMIFS('350配方'!$M167:$P167,'350配方'!$Y167:$AB167,52)</x:f>
        <x:v>0</x:v>
      </x:c>
      <x:c r="K167" s="9" t="n">
        <x:f>SUMIFS('350配方'!$M167:$P167,'350配方'!$Y167:$AB167,53)</x:f>
        <x:v>0</x:v>
      </x:c>
      <x:c r="L167" s="9" t="n">
        <x:f>SUMIFS('350配方'!$M167:$P167,'350配方'!$Y167:$AB167,56)</x:f>
        <x:v>0</x:v>
      </x:c>
      <x:c r="M167" s="9" t="n">
        <x:f>SUMIFS('350配方'!$M167:$P167,'350配方'!$Y167:$AB167,58)</x:f>
        <x:v>0</x:v>
      </x:c>
      <x:c r="N167" s="9" t="n">
        <x:f>SUMIFS('350配方'!$M167:$P167,'350配方'!$Y167:$AB167,61)</x:f>
        <x:v>0</x:v>
      </x:c>
      <x:c r="O167" s="9" t="n">
        <x:f>SUMIFS('350配方'!$M167:$P167,'350配方'!$Y167:$AB167,69)</x:f>
        <x:v>0</x:v>
      </x:c>
      <x:c r="P167" s="9" t="n">
        <x:f>SUMIFS('350配方'!$M167:$P167,'350配方'!$Y167:$AB167,75)</x:f>
        <x:v>0</x:v>
      </x:c>
      <x:c r="Q167" s="9" t="n">
        <x:f>SUMIFS('350配方'!$M167:$P167,'350配方'!$Y167:$AB167,79)</x:f>
        <x:v>0</x:v>
      </x:c>
      <x:c r="R167" s="9" t="n">
        <x:f>SUMIFS('350配方'!$M167:$P167,'350配方'!$Y167:$AB167,90)</x:f>
        <x:v>0</x:v>
      </x:c>
      <x:c r="S167" s="9" t="n">
        <x:f>SUMIFS('350配方'!$M167:$P167,'350配方'!$Y167:$AB167,105)</x:f>
        <x:v>0</x:v>
      </x:c>
      <x:c r="T167" s="9" t="n">
        <x:f>SUMIFS('350配方'!$M167:$P167,'350配方'!$Y167:$AB167,111)</x:f>
        <x:v>0</x:v>
      </x:c>
      <x:c r="U167" s="9" t="n">
        <x:f>SUMIFS('350配方'!$M167:$P167,'350配方'!$Y167:$AB167,114)</x:f>
        <x:v>47100</x:v>
      </x:c>
      <x:c r="V167" s="9" t="n">
        <x:f>SUMIFS('350配方'!$M167:$P167,'350配方'!$Y167:$AB167,115)</x:f>
        <x:v>0</x:v>
      </x:c>
      <x:c r="W167" s="9" t="n">
        <x:f>SUMIFS('350配方'!$M167:$P167,'350配方'!$Y167:$AB167,117)</x:f>
        <x:v>0</x:v>
      </x:c>
      <x:c r="X167" s="9" t="n">
        <x:f>SUMIFS('350配方'!$M167:$P167,'350配方'!$Y167:$AB167,126)</x:f>
        <x:v>1815.6539083757125</x:v>
      </x:c>
      <x:c r="Y167" s="9" t="n">
        <x:f>SUMIFS('350配方'!$M167:$P167,'350配方'!$Y167:$AB167,136)</x:f>
        <x:v>0</x:v>
      </x:c>
      <x:c r="Z167" s="9" t="n">
        <x:f>SUMIFS('350配方'!$M167:$P167,'350配方'!$Y167:$AB167,141)</x:f>
        <x:v>0</x:v>
      </x:c>
      <x:c r="AA167" s="9" t="n">
        <x:f>SUMIFS('350配方'!$M167:$P167,'350配方'!$Y167:$AB167,152)</x:f>
        <x:v>0</x:v>
      </x:c>
      <x:c r="AB167" s="9" t="n">
        <x:f>SUMIFS('350配方'!$M167:$P167,'350配方'!$Y167:$AB167,165)</x:f>
        <x:v>823.735</x:v>
      </x:c>
      <x:c r="AC167" s="9" t="n">
        <x:f>SUMIFS('350配方'!$M167:$P167,'350配方'!$Y167:$AB167,186)</x:f>
        <x:v>1.56</x:v>
      </x:c>
      <x:c r="AD167" s="9" t="n">
        <x:f>SUMIFS('350配方'!$M167:$P167,'350配方'!$Y167:$AB167,207)</x:f>
        <x:v>0</x:v>
      </x:c>
      <x:c r="AE167" s="9" t="n">
        <x:f>SUMIFS('350配方'!$M167:$P167,'350配方'!$Y167:$AB167,209)</x:f>
        <x:v>0</x:v>
      </x:c>
      <x:c r="AF167" s="9" t="n">
        <x:f>SUMIFS('350配方'!$M167:$P167,'350配方'!$Y167:$AB167,227)</x:f>
        <x:v>0</x:v>
      </x:c>
      <x:c r="AG167" s="9" t="n">
        <x:f>SUMIFS('350配方'!$M167:$P167,'350配方'!$Y167:$AB167,232)</x:f>
        <x:v>0</x:v>
      </x:c>
      <x:c r="AH167" s="9" t="n">
        <x:f>SUMIFS('350配方'!$M167:$P167,'350配方'!$Y167:$AB167,255)</x:f>
        <x:v>0</x:v>
      </x:c>
      <x:c r="AI167" s="9" t="n">
        <x:f>'浓度设置'!S6</x:f>
        <x:v>219125.9626344086</x:v>
      </x:c>
      <x:c r="AJ167" s="9" t="n">
        <x:f>'浓度设置'!S8</x:f>
        <x:v>92796.92267241378</x:v>
      </x:c>
      <x:c r="AK167" s="9" t="n">
        <x:f>'浓度设置'!S10</x:f>
        <x:v>30556.797802197798</x:v>
      </x:c>
      <x:c r="AL167" s="9" t="n">
        <x:f>'浓度设置'!S12</x:f>
        <x:v>1735.828970588235</x:v>
      </x:c>
      <x:c r="AM167" s="9" t="n">
        <x:f>'浓度设置'!S15</x:f>
        <x:v>7385.813644067793</x:v>
      </x:c>
      <x:c r="AN167" s="9" t="n">
        <x:f>'浓度设置'!S19</x:f>
        <x:v>27722.03097701148</x:v>
      </x:c>
      <x:c r="AO167" s="9" t="n">
        <x:f>'浓度设置'!S22</x:f>
        <x:v>44345.55047619048</x:v>
      </x:c>
      <x:c r="AP167" s="9" t="n">
        <x:f>'浓度设置'!S26</x:f>
        <x:v>153318.30499999996</x:v>
      </x:c>
      <x:c r="AQ167" s="9" t="n">
        <x:f>'浓度设置'!S29</x:f>
        <x:v>312.7970588235294</x:v>
      </x:c>
      <x:c r="AR167" s="9" t="n">
        <x:f>'浓度设置'!S30</x:f>
        <x:v>104175.5097553192</x:v>
      </x:c>
      <x:c r="AS167" s="9" t="n">
        <x:f>'浓度设置'!S35</x:f>
        <x:v>405974.90656785714</x:v>
      </x:c>
    </x:row>
    <x:row r="168" ht="24" customHeight="1">
      <x:c r="A168" s="3" t="str">
        <x:f>'350配方'!A168</x:f>
        <x:v>T163</x:v>
      </x:c>
      <x:c r="B168" s="3" t="str">
        <x:f>'350配方'!B168</x:f>
        <x:v>拟合</x:v>
      </x:c>
      <x:c r="C168" s="3" t="n">
        <x:f>IF(B168="拟合",1,0)</x:f>
        <x:v>1</x:v>
      </x:c>
      <x:c r="D168" s="3" t="n">
        <x:f>'350配方'!AC168</x:f>
        <x:v>4</x:v>
      </x:c>
      <x:c r="E168" s="9" t="n">
        <x:f>SUMIFS('350配方'!$M168:$P168,'350配方'!$Y168:$AB168,7)</x:f>
        <x:v>0</x:v>
      </x:c>
      <x:c r="F168" s="9" t="n">
        <x:f>SUMIFS('350配方'!$M168:$P168,'350配方'!$Y168:$AB168,11)</x:f>
        <x:v>0</x:v>
      </x:c>
      <x:c r="G168" s="9" t="n">
        <x:f>SUMIFS('350配方'!$M168:$P168,'350配方'!$Y168:$AB168,18)</x:f>
        <x:v>0</x:v>
      </x:c>
      <x:c r="H168" s="9" t="n">
        <x:f>SUMIFS('350配方'!$M168:$P168,'350配方'!$Y168:$AB168,32)</x:f>
        <x:v>0</x:v>
      </x:c>
      <x:c r="I168" s="9" t="n">
        <x:f>SUMIFS('350配方'!$M168:$P168,'350配方'!$Y168:$AB168,40)</x:f>
        <x:v>0</x:v>
      </x:c>
      <x:c r="J168" s="9" t="n">
        <x:f>SUMIFS('350配方'!$M168:$P168,'350配方'!$Y168:$AB168,52)</x:f>
        <x:v>0</x:v>
      </x:c>
      <x:c r="K168" s="9" t="n">
        <x:f>SUMIFS('350配方'!$M168:$P168,'350配方'!$Y168:$AB168,53)</x:f>
        <x:v>0</x:v>
      </x:c>
      <x:c r="L168" s="9" t="n">
        <x:f>SUMIFS('350配方'!$M168:$P168,'350配方'!$Y168:$AB168,56)</x:f>
        <x:v>0</x:v>
      </x:c>
      <x:c r="M168" s="9" t="n">
        <x:f>SUMIFS('350配方'!$M168:$P168,'350配方'!$Y168:$AB168,58)</x:f>
        <x:v>0</x:v>
      </x:c>
      <x:c r="N168" s="9" t="n">
        <x:f>SUMIFS('350配方'!$M168:$P168,'350配方'!$Y168:$AB168,61)</x:f>
        <x:v>0</x:v>
      </x:c>
      <x:c r="O168" s="9" t="n">
        <x:f>SUMIFS('350配方'!$M168:$P168,'350配方'!$Y168:$AB168,69)</x:f>
        <x:v>12022.2</x:v>
      </x:c>
      <x:c r="P168" s="9" t="n">
        <x:f>SUMIFS('350配方'!$M168:$P168,'350配方'!$Y168:$AB168,75)</x:f>
        <x:v>0</x:v>
      </x:c>
      <x:c r="Q168" s="9" t="n">
        <x:f>SUMIFS('350配方'!$M168:$P168,'350配方'!$Y168:$AB168,79)</x:f>
        <x:v>0</x:v>
      </x:c>
      <x:c r="R168" s="9" t="n">
        <x:f>SUMIFS('350配方'!$M168:$P168,'350配方'!$Y168:$AB168,90)</x:f>
        <x:v>0</x:v>
      </x:c>
      <x:c r="S168" s="9" t="n">
        <x:f>SUMIFS('350配方'!$M168:$P168,'350配方'!$Y168:$AB168,105)</x:f>
        <x:v>0</x:v>
      </x:c>
      <x:c r="T168" s="9" t="n">
        <x:f>SUMIFS('350配方'!$M168:$P168,'350配方'!$Y168:$AB168,111)</x:f>
        <x:v>833.64</x:v>
      </x:c>
      <x:c r="U168" s="9" t="n">
        <x:f>SUMIFS('350配方'!$M168:$P168,'350配方'!$Y168:$AB168,114)</x:f>
        <x:v>0</x:v>
      </x:c>
      <x:c r="V168" s="9" t="n">
        <x:f>SUMIFS('350配方'!$M168:$P168,'350配方'!$Y168:$AB168,115)</x:f>
        <x:v>0</x:v>
      </x:c>
      <x:c r="W168" s="9" t="n">
        <x:f>SUMIFS('350配方'!$M168:$P168,'350配方'!$Y168:$AB168,117)</x:f>
        <x:v>40201.1</x:v>
      </x:c>
      <x:c r="X168" s="9" t="n">
        <x:f>SUMIFS('350配方'!$M168:$P168,'350配方'!$Y168:$AB168,126)</x:f>
        <x:v>0</x:v>
      </x:c>
      <x:c r="Y168" s="9" t="n">
        <x:f>SUMIFS('350配方'!$M168:$P168,'350配方'!$Y168:$AB168,136)</x:f>
        <x:v>0</x:v>
      </x:c>
      <x:c r="Z168" s="9" t="n">
        <x:f>SUMIFS('350配方'!$M168:$P168,'350配方'!$Y168:$AB168,141)</x:f>
        <x:v>0</x:v>
      </x:c>
      <x:c r="AA168" s="9" t="n">
        <x:f>SUMIFS('350配方'!$M168:$P168,'350配方'!$Y168:$AB168,152)</x:f>
        <x:v>0</x:v>
      </x:c>
      <x:c r="AB168" s="9" t="n">
        <x:f>SUMIFS('350配方'!$M168:$P168,'350配方'!$Y168:$AB168,165)</x:f>
        <x:v>0</x:v>
      </x:c>
      <x:c r="AC168" s="9" t="n">
        <x:f>SUMIFS('350配方'!$M168:$P168,'350配方'!$Y168:$AB168,186)</x:f>
        <x:v>0</x:v>
      </x:c>
      <x:c r="AD168" s="9" t="n">
        <x:f>SUMIFS('350配方'!$M168:$P168,'350配方'!$Y168:$AB168,207)</x:f>
        <x:v>0</x:v>
      </x:c>
      <x:c r="AE168" s="9" t="n">
        <x:f>SUMIFS('350配方'!$M168:$P168,'350配方'!$Y168:$AB168,209)</x:f>
        <x:v>0</x:v>
      </x:c>
      <x:c r="AF168" s="9" t="n">
        <x:f>SUMIFS('350配方'!$M168:$P168,'350配方'!$Y168:$AB168,227)</x:f>
        <x:v>0</x:v>
      </x:c>
      <x:c r="AG168" s="9" t="n">
        <x:f>SUMIFS('350配方'!$M168:$P168,'350配方'!$Y168:$AB168,232)</x:f>
        <x:v>1611</x:v>
      </x:c>
      <x:c r="AH168" s="9" t="n">
        <x:f>SUMIFS('350配方'!$M168:$P168,'350配方'!$Y168:$AB168,255)</x:f>
        <x:v>0</x:v>
      </x:c>
      <x:c r="AI168" s="9" t="n">
        <x:f>'浓度设置'!S6</x:f>
        <x:v>219125.9626344086</x:v>
      </x:c>
      <x:c r="AJ168" s="9" t="n">
        <x:f>'浓度设置'!S8</x:f>
        <x:v>92796.92267241378</x:v>
      </x:c>
      <x:c r="AK168" s="9" t="n">
        <x:f>'浓度设置'!S10</x:f>
        <x:v>30556.797802197798</x:v>
      </x:c>
      <x:c r="AL168" s="9" t="n">
        <x:f>'浓度设置'!S12</x:f>
        <x:v>1735.828970588235</x:v>
      </x:c>
      <x:c r="AM168" s="9" t="n">
        <x:f>'浓度设置'!S15</x:f>
        <x:v>7385.813644067793</x:v>
      </x:c>
      <x:c r="AN168" s="9" t="n">
        <x:f>'浓度设置'!S19</x:f>
        <x:v>27722.03097701148</x:v>
      </x:c>
      <x:c r="AO168" s="9" t="n">
        <x:f>'浓度设置'!S22</x:f>
        <x:v>44345.55047619048</x:v>
      </x:c>
      <x:c r="AP168" s="9" t="n">
        <x:f>'浓度设置'!S26</x:f>
        <x:v>153318.30499999996</x:v>
      </x:c>
      <x:c r="AQ168" s="9" t="n">
        <x:f>'浓度设置'!S29</x:f>
        <x:v>312.7970588235294</x:v>
      </x:c>
      <x:c r="AR168" s="9" t="n">
        <x:f>'浓度设置'!S30</x:f>
        <x:v>104175.5097553192</x:v>
      </x:c>
      <x:c r="AS168" s="9" t="n">
        <x:f>'浓度设置'!S35</x:f>
        <x:v>405974.90656785714</x:v>
      </x:c>
    </x:row>
    <x:row r="169" ht="24" customHeight="1">
      <x:c r="A169" s="3" t="str">
        <x:f>'350配方'!A169</x:f>
        <x:v>T164</x:v>
      </x:c>
      <x:c r="B169" s="3" t="str">
        <x:f>'350配方'!B169</x:f>
        <x:v>拟合</x:v>
      </x:c>
      <x:c r="C169" s="3" t="n">
        <x:f>IF(B169="拟合",1,0)</x:f>
        <x:v>1</x:v>
      </x:c>
      <x:c r="D169" s="3" t="n">
        <x:f>'350配方'!AC169</x:f>
        <x:v>4</x:v>
      </x:c>
      <x:c r="E169" s="9" t="n">
        <x:f>SUMIFS('350配方'!$M169:$P169,'350配方'!$Y169:$AB169,7)</x:f>
        <x:v>0</x:v>
      </x:c>
      <x:c r="F169" s="9" t="n">
        <x:f>SUMIFS('350配方'!$M169:$P169,'350配方'!$Y169:$AB169,11)</x:f>
        <x:v>0</x:v>
      </x:c>
      <x:c r="G169" s="9" t="n">
        <x:f>SUMIFS('350配方'!$M169:$P169,'350配方'!$Y169:$AB169,18)</x:f>
        <x:v>35900</x:v>
      </x:c>
      <x:c r="H169" s="9" t="n">
        <x:f>SUMIFS('350配方'!$M169:$P169,'350配方'!$Y169:$AB169,32)</x:f>
        <x:v>0</x:v>
      </x:c>
      <x:c r="I169" s="9" t="n">
        <x:f>SUMIFS('350配方'!$M169:$P169,'350配方'!$Y169:$AB169,40)</x:f>
        <x:v>0</x:v>
      </x:c>
      <x:c r="J169" s="9" t="n">
        <x:f>SUMIFS('350配方'!$M169:$P169,'350配方'!$Y169:$AB169,52)</x:f>
        <x:v>0</x:v>
      </x:c>
      <x:c r="K169" s="9" t="n">
        <x:f>SUMIFS('350配方'!$M169:$P169,'350配方'!$Y169:$AB169,53)</x:f>
        <x:v>0</x:v>
      </x:c>
      <x:c r="L169" s="9" t="n">
        <x:f>SUMIFS('350配方'!$M169:$P169,'350配方'!$Y169:$AB169,56)</x:f>
        <x:v>0</x:v>
      </x:c>
      <x:c r="M169" s="9" t="n">
        <x:f>SUMIFS('350配方'!$M169:$P169,'350配方'!$Y169:$AB169,58)</x:f>
        <x:v>0</x:v>
      </x:c>
      <x:c r="N169" s="9" t="n">
        <x:f>SUMIFS('350配方'!$M169:$P169,'350配方'!$Y169:$AB169,61)</x:f>
        <x:v>0</x:v>
      </x:c>
      <x:c r="O169" s="9" t="n">
        <x:f>SUMIFS('350配方'!$M169:$P169,'350配方'!$Y169:$AB169,69)</x:f>
        <x:v>0</x:v>
      </x:c>
      <x:c r="P169" s="9" t="n">
        <x:f>SUMIFS('350配方'!$M169:$P169,'350配方'!$Y169:$AB169,75)</x:f>
        <x:v>0</x:v>
      </x:c>
      <x:c r="Q169" s="9" t="n">
        <x:f>SUMIFS('350配方'!$M169:$P169,'350配方'!$Y169:$AB169,79)</x:f>
        <x:v>0</x:v>
      </x:c>
      <x:c r="R169" s="9" t="n">
        <x:f>SUMIFS('350配方'!$M169:$P169,'350配方'!$Y169:$AB169,90)</x:f>
        <x:v>0</x:v>
      </x:c>
      <x:c r="S169" s="9" t="n">
        <x:f>SUMIFS('350配方'!$M169:$P169,'350配方'!$Y169:$AB169,105)</x:f>
        <x:v>0</x:v>
      </x:c>
      <x:c r="T169" s="9" t="n">
        <x:f>SUMIFS('350配方'!$M169:$P169,'350配方'!$Y169:$AB169,111)</x:f>
        <x:v>833.64</x:v>
      </x:c>
      <x:c r="U169" s="9" t="n">
        <x:f>SUMIFS('350配方'!$M169:$P169,'350配方'!$Y169:$AB169,114)</x:f>
        <x:v>0</x:v>
      </x:c>
      <x:c r="V169" s="9" t="n">
        <x:f>SUMIFS('350配方'!$M169:$P169,'350配方'!$Y169:$AB169,115)</x:f>
        <x:v>0</x:v>
      </x:c>
      <x:c r="W169" s="9" t="n">
        <x:f>SUMIFS('350配方'!$M169:$P169,'350配方'!$Y169:$AB169,117)</x:f>
        <x:v>0</x:v>
      </x:c>
      <x:c r="X169" s="9" t="n">
        <x:f>SUMIFS('350配方'!$M169:$P169,'350配方'!$Y169:$AB169,126)</x:f>
        <x:v>0</x:v>
      </x:c>
      <x:c r="Y169" s="9" t="n">
        <x:f>SUMIFS('350配方'!$M169:$P169,'350配方'!$Y169:$AB169,136)</x:f>
        <x:v>1.1875</x:v>
      </x:c>
      <x:c r="Z169" s="9" t="n">
        <x:f>SUMIFS('350配方'!$M169:$P169,'350配方'!$Y169:$AB169,141)</x:f>
        <x:v>1512.497272724814</x:v>
      </x:c>
      <x:c r="AA169" s="9" t="n">
        <x:f>SUMIFS('350配方'!$M169:$P169,'350配方'!$Y169:$AB169,152)</x:f>
        <x:v>0</x:v>
      </x:c>
      <x:c r="AB169" s="9" t="n">
        <x:f>SUMIFS('350配方'!$M169:$P169,'350配方'!$Y169:$AB169,165)</x:f>
        <x:v>0</x:v>
      </x:c>
      <x:c r="AC169" s="9" t="n">
        <x:f>SUMIFS('350配方'!$M169:$P169,'350配方'!$Y169:$AB169,186)</x:f>
        <x:v>0</x:v>
      </x:c>
      <x:c r="AD169" s="9" t="n">
        <x:f>SUMIFS('350配方'!$M169:$P169,'350配方'!$Y169:$AB169,207)</x:f>
        <x:v>0</x:v>
      </x:c>
      <x:c r="AE169" s="9" t="n">
        <x:f>SUMIFS('350配方'!$M169:$P169,'350配方'!$Y169:$AB169,209)</x:f>
        <x:v>0</x:v>
      </x:c>
      <x:c r="AF169" s="9" t="n">
        <x:f>SUMIFS('350配方'!$M169:$P169,'350配方'!$Y169:$AB169,227)</x:f>
        <x:v>0</x:v>
      </x:c>
      <x:c r="AG169" s="9" t="n">
        <x:f>SUMIFS('350配方'!$M169:$P169,'350配方'!$Y169:$AB169,232)</x:f>
        <x:v>0</x:v>
      </x:c>
      <x:c r="AH169" s="9" t="n">
        <x:f>SUMIFS('350配方'!$M169:$P169,'350配方'!$Y169:$AB169,255)</x:f>
        <x:v>0</x:v>
      </x:c>
      <x:c r="AI169" s="9" t="n">
        <x:f>'浓度设置'!S6</x:f>
        <x:v>219125.9626344086</x:v>
      </x:c>
      <x:c r="AJ169" s="9" t="n">
        <x:f>'浓度设置'!S8</x:f>
        <x:v>92796.92267241378</x:v>
      </x:c>
      <x:c r="AK169" s="9" t="n">
        <x:f>'浓度设置'!S10</x:f>
        <x:v>30556.797802197798</x:v>
      </x:c>
      <x:c r="AL169" s="9" t="n">
        <x:f>'浓度设置'!S12</x:f>
        <x:v>1735.828970588235</x:v>
      </x:c>
      <x:c r="AM169" s="9" t="n">
        <x:f>'浓度设置'!S15</x:f>
        <x:v>7385.813644067793</x:v>
      </x:c>
      <x:c r="AN169" s="9" t="n">
        <x:f>'浓度设置'!S19</x:f>
        <x:v>27722.03097701148</x:v>
      </x:c>
      <x:c r="AO169" s="9" t="n">
        <x:f>'浓度设置'!S22</x:f>
        <x:v>44345.55047619048</x:v>
      </x:c>
      <x:c r="AP169" s="9" t="n">
        <x:f>'浓度设置'!S26</x:f>
        <x:v>153318.30499999996</x:v>
      </x:c>
      <x:c r="AQ169" s="9" t="n">
        <x:f>'浓度设置'!S29</x:f>
        <x:v>312.7970588235294</x:v>
      </x:c>
      <x:c r="AR169" s="9" t="n">
        <x:f>'浓度设置'!S30</x:f>
        <x:v>104175.5097553192</x:v>
      </x:c>
      <x:c r="AS169" s="9" t="n">
        <x:f>'浓度设置'!S35</x:f>
        <x:v>405974.90656785714</x:v>
      </x:c>
    </x:row>
    <x:row r="170" ht="24" customHeight="1">
      <x:c r="A170" s="3" t="str">
        <x:f>'350配方'!A170</x:f>
        <x:v>T165</x:v>
      </x:c>
      <x:c r="B170" s="3" t="str">
        <x:f>'350配方'!B170</x:f>
        <x:v>拟合</x:v>
      </x:c>
      <x:c r="C170" s="3" t="n">
        <x:f>IF(B170="拟合",1,0)</x:f>
        <x:v>1</x:v>
      </x:c>
      <x:c r="D170" s="3" t="n">
        <x:f>'350配方'!AC170</x:f>
        <x:v>4</x:v>
      </x:c>
      <x:c r="E170" s="9" t="n">
        <x:f>SUMIFS('350配方'!$M170:$P170,'350配方'!$Y170:$AB170,7)</x:f>
        <x:v>0</x:v>
      </x:c>
      <x:c r="F170" s="9" t="n">
        <x:f>SUMIFS('350配方'!$M170:$P170,'350配方'!$Y170:$AB170,11)</x:f>
        <x:v>4198.825192836682</x:v>
      </x:c>
      <x:c r="G170" s="9" t="n">
        <x:f>SUMIFS('350配方'!$M170:$P170,'350配方'!$Y170:$AB170,18)</x:f>
        <x:v>0</x:v>
      </x:c>
      <x:c r="H170" s="9" t="n">
        <x:f>SUMIFS('350配方'!$M170:$P170,'350配方'!$Y170:$AB170,32)</x:f>
        <x:v>0</x:v>
      </x:c>
      <x:c r="I170" s="9" t="n">
        <x:f>SUMIFS('350配方'!$M170:$P170,'350配方'!$Y170:$AB170,40)</x:f>
        <x:v>0</x:v>
      </x:c>
      <x:c r="J170" s="9" t="n">
        <x:f>SUMIFS('350配方'!$M170:$P170,'350配方'!$Y170:$AB170,52)</x:f>
        <x:v>0</x:v>
      </x:c>
      <x:c r="K170" s="9" t="n">
        <x:f>SUMIFS('350配方'!$M170:$P170,'350配方'!$Y170:$AB170,53)</x:f>
        <x:v>0</x:v>
      </x:c>
      <x:c r="L170" s="9" t="n">
        <x:f>SUMIFS('350配方'!$M170:$P170,'350配方'!$Y170:$AB170,56)</x:f>
        <x:v>0</x:v>
      </x:c>
      <x:c r="M170" s="9" t="n">
        <x:f>SUMIFS('350配方'!$M170:$P170,'350配方'!$Y170:$AB170,58)</x:f>
        <x:v>1865945</x:v>
      </x:c>
      <x:c r="N170" s="9" t="n">
        <x:f>SUMIFS('350配方'!$M170:$P170,'350配方'!$Y170:$AB170,61)</x:f>
        <x:v>0</x:v>
      </x:c>
      <x:c r="O170" s="9" t="n">
        <x:f>SUMIFS('350配方'!$M170:$P170,'350配方'!$Y170:$AB170,69)</x:f>
        <x:v>0</x:v>
      </x:c>
      <x:c r="P170" s="9" t="n">
        <x:f>SUMIFS('350配方'!$M170:$P170,'350配方'!$Y170:$AB170,75)</x:f>
        <x:v>0</x:v>
      </x:c>
      <x:c r="Q170" s="9" t="n">
        <x:f>SUMIFS('350配方'!$M170:$P170,'350配方'!$Y170:$AB170,79)</x:f>
        <x:v>0</x:v>
      </x:c>
      <x:c r="R170" s="9" t="n">
        <x:f>SUMIFS('350配方'!$M170:$P170,'350配方'!$Y170:$AB170,90)</x:f>
        <x:v>0</x:v>
      </x:c>
      <x:c r="S170" s="9" t="n">
        <x:f>SUMIFS('350配方'!$M170:$P170,'350配方'!$Y170:$AB170,105)</x:f>
        <x:v>0</x:v>
      </x:c>
      <x:c r="T170" s="9" t="n">
        <x:f>SUMIFS('350配方'!$M170:$P170,'350配方'!$Y170:$AB170,111)</x:f>
        <x:v>0</x:v>
      </x:c>
      <x:c r="U170" s="9" t="n">
        <x:f>SUMIFS('350配方'!$M170:$P170,'350配方'!$Y170:$AB170,114)</x:f>
        <x:v>0</x:v>
      </x:c>
      <x:c r="V170" s="9" t="n">
        <x:f>SUMIFS('350配方'!$M170:$P170,'350配方'!$Y170:$AB170,115)</x:f>
        <x:v>0</x:v>
      </x:c>
      <x:c r="W170" s="9" t="n">
        <x:f>SUMIFS('350配方'!$M170:$P170,'350配方'!$Y170:$AB170,117)</x:f>
        <x:v>0</x:v>
      </x:c>
      <x:c r="X170" s="9" t="n">
        <x:f>SUMIFS('350配方'!$M170:$P170,'350配方'!$Y170:$AB170,126)</x:f>
        <x:v>0</x:v>
      </x:c>
      <x:c r="Y170" s="9" t="n">
        <x:f>SUMIFS('350配方'!$M170:$P170,'350配方'!$Y170:$AB170,136)</x:f>
        <x:v>0</x:v>
      </x:c>
      <x:c r="Z170" s="9" t="n">
        <x:f>SUMIFS('350配方'!$M170:$P170,'350配方'!$Y170:$AB170,141)</x:f>
        <x:v>0</x:v>
      </x:c>
      <x:c r="AA170" s="9" t="n">
        <x:f>SUMIFS('350配方'!$M170:$P170,'350配方'!$Y170:$AB170,152)</x:f>
        <x:v>0</x:v>
      </x:c>
      <x:c r="AB170" s="9" t="n">
        <x:f>SUMIFS('350配方'!$M170:$P170,'350配方'!$Y170:$AB170,165)</x:f>
        <x:v>0</x:v>
      </x:c>
      <x:c r="AC170" s="9" t="n">
        <x:f>SUMIFS('350配方'!$M170:$P170,'350配方'!$Y170:$AB170,186)</x:f>
        <x:v>0</x:v>
      </x:c>
      <x:c r="AD170" s="9" t="n">
        <x:f>SUMIFS('350配方'!$M170:$P170,'350配方'!$Y170:$AB170,207)</x:f>
        <x:v>271.45</x:v>
      </x:c>
      <x:c r="AE170" s="9" t="n">
        <x:f>SUMIFS('350配方'!$M170:$P170,'350配方'!$Y170:$AB170,209)</x:f>
        <x:v>4201.44</x:v>
      </x:c>
      <x:c r="AF170" s="9" t="n">
        <x:f>SUMIFS('350配方'!$M170:$P170,'350配方'!$Y170:$AB170,227)</x:f>
        <x:v>0</x:v>
      </x:c>
      <x:c r="AG170" s="9" t="n">
        <x:f>SUMIFS('350配方'!$M170:$P170,'350配方'!$Y170:$AB170,232)</x:f>
        <x:v>0</x:v>
      </x:c>
      <x:c r="AH170" s="9" t="n">
        <x:f>SUMIFS('350配方'!$M170:$P170,'350配方'!$Y170:$AB170,255)</x:f>
        <x:v>0</x:v>
      </x:c>
      <x:c r="AI170" s="9" t="n">
        <x:f>'浓度设置'!S6</x:f>
        <x:v>219125.9626344086</x:v>
      </x:c>
      <x:c r="AJ170" s="9" t="n">
        <x:f>'浓度设置'!S8</x:f>
        <x:v>92796.92267241378</x:v>
      </x:c>
      <x:c r="AK170" s="9" t="n">
        <x:f>'浓度设置'!S10</x:f>
        <x:v>30556.797802197798</x:v>
      </x:c>
      <x:c r="AL170" s="9" t="n">
        <x:f>'浓度设置'!S12</x:f>
        <x:v>1735.828970588235</x:v>
      </x:c>
      <x:c r="AM170" s="9" t="n">
        <x:f>'浓度设置'!S15</x:f>
        <x:v>7385.813644067793</x:v>
      </x:c>
      <x:c r="AN170" s="9" t="n">
        <x:f>'浓度设置'!S19</x:f>
        <x:v>27722.03097701148</x:v>
      </x:c>
      <x:c r="AO170" s="9" t="n">
        <x:f>'浓度设置'!S22</x:f>
        <x:v>44345.55047619048</x:v>
      </x:c>
      <x:c r="AP170" s="9" t="n">
        <x:f>'浓度设置'!S26</x:f>
        <x:v>153318.30499999996</x:v>
      </x:c>
      <x:c r="AQ170" s="9" t="n">
        <x:f>'浓度设置'!S29</x:f>
        <x:v>312.7970588235294</x:v>
      </x:c>
      <x:c r="AR170" s="9" t="n">
        <x:f>'浓度设置'!S30</x:f>
        <x:v>104175.5097553192</x:v>
      </x:c>
      <x:c r="AS170" s="9" t="n">
        <x:f>'浓度设置'!S35</x:f>
        <x:v>405974.90656785714</x:v>
      </x:c>
    </x:row>
    <x:row r="171" ht="24" customHeight="1">
      <x:c r="A171" s="3" t="str">
        <x:f>'350配方'!A171</x:f>
        <x:v>T166</x:v>
      </x:c>
      <x:c r="B171" s="3" t="str">
        <x:f>'350配方'!B171</x:f>
        <x:v>拟合</x:v>
      </x:c>
      <x:c r="C171" s="3" t="n">
        <x:f>IF(B171="拟合",1,0)</x:f>
        <x:v>1</x:v>
      </x:c>
      <x:c r="D171" s="3" t="n">
        <x:f>'350配方'!AC171</x:f>
        <x:v>4</x:v>
      </x:c>
      <x:c r="E171" s="9" t="n">
        <x:f>SUMIFS('350配方'!$M171:$P171,'350配方'!$Y171:$AB171,7)</x:f>
        <x:v>0</x:v>
      </x:c>
      <x:c r="F171" s="9" t="n">
        <x:f>SUMIFS('350配方'!$M171:$P171,'350配方'!$Y171:$AB171,11)</x:f>
        <x:v>0</x:v>
      </x:c>
      <x:c r="G171" s="9" t="n">
        <x:f>SUMIFS('350配方'!$M171:$P171,'350配方'!$Y171:$AB171,18)</x:f>
        <x:v>0</x:v>
      </x:c>
      <x:c r="H171" s="9" t="n">
        <x:f>SUMIFS('350配方'!$M171:$P171,'350配方'!$Y171:$AB171,32)</x:f>
        <x:v>0</x:v>
      </x:c>
      <x:c r="I171" s="9" t="n">
        <x:f>SUMIFS('350配方'!$M171:$P171,'350配方'!$Y171:$AB171,40)</x:f>
        <x:v>0</x:v>
      </x:c>
      <x:c r="J171" s="9" t="n">
        <x:f>SUMIFS('350配方'!$M171:$P171,'350配方'!$Y171:$AB171,52)</x:f>
        <x:v>4.24</x:v>
      </x:c>
      <x:c r="K171" s="9" t="n">
        <x:f>SUMIFS('350配方'!$M171:$P171,'350配方'!$Y171:$AB171,53)</x:f>
        <x:v>0</x:v>
      </x:c>
      <x:c r="L171" s="9" t="n">
        <x:f>SUMIFS('350配方'!$M171:$P171,'350配方'!$Y171:$AB171,56)</x:f>
        <x:v>0</x:v>
      </x:c>
      <x:c r="M171" s="9" t="n">
        <x:f>SUMIFS('350配方'!$M171:$P171,'350配方'!$Y171:$AB171,58)</x:f>
        <x:v>0</x:v>
      </x:c>
      <x:c r="N171" s="9" t="n">
        <x:f>SUMIFS('350配方'!$M171:$P171,'350配方'!$Y171:$AB171,61)</x:f>
        <x:v>0</x:v>
      </x:c>
      <x:c r="O171" s="9" t="n">
        <x:f>SUMIFS('350配方'!$M171:$P171,'350配方'!$Y171:$AB171,69)</x:f>
        <x:v>0</x:v>
      </x:c>
      <x:c r="P171" s="9" t="n">
        <x:f>SUMIFS('350配方'!$M171:$P171,'350配方'!$Y171:$AB171,75)</x:f>
        <x:v>1.75</x:v>
      </x:c>
      <x:c r="Q171" s="9" t="n">
        <x:f>SUMIFS('350配方'!$M171:$P171,'350配方'!$Y171:$AB171,79)</x:f>
        <x:v>1288.255</x:v>
      </x:c>
      <x:c r="R171" s="9" t="n">
        <x:f>SUMIFS('350配方'!$M171:$P171,'350配方'!$Y171:$AB171,90)</x:f>
        <x:v>25642.45</x:v>
      </x:c>
      <x:c r="S171" s="9" t="n">
        <x:f>SUMIFS('350配方'!$M171:$P171,'350配方'!$Y171:$AB171,105)</x:f>
        <x:v>0</x:v>
      </x:c>
      <x:c r="T171" s="9" t="n">
        <x:f>SUMIFS('350配方'!$M171:$P171,'350配方'!$Y171:$AB171,111)</x:f>
        <x:v>0</x:v>
      </x:c>
      <x:c r="U171" s="9" t="n">
        <x:f>SUMIFS('350配方'!$M171:$P171,'350配方'!$Y171:$AB171,114)</x:f>
        <x:v>0</x:v>
      </x:c>
      <x:c r="V171" s="9" t="n">
        <x:f>SUMIFS('350配方'!$M171:$P171,'350配方'!$Y171:$AB171,115)</x:f>
        <x:v>0</x:v>
      </x:c>
      <x:c r="W171" s="9" t="n">
        <x:f>SUMIFS('350配方'!$M171:$P171,'350配方'!$Y171:$AB171,117)</x:f>
        <x:v>0</x:v>
      </x:c>
      <x:c r="X171" s="9" t="n">
        <x:f>SUMIFS('350配方'!$M171:$P171,'350配方'!$Y171:$AB171,126)</x:f>
        <x:v>0</x:v>
      </x:c>
      <x:c r="Y171" s="9" t="n">
        <x:f>SUMIFS('350配方'!$M171:$P171,'350配方'!$Y171:$AB171,136)</x:f>
        <x:v>0</x:v>
      </x:c>
      <x:c r="Z171" s="9" t="n">
        <x:f>SUMIFS('350配方'!$M171:$P171,'350配方'!$Y171:$AB171,141)</x:f>
        <x:v>0</x:v>
      </x:c>
      <x:c r="AA171" s="9" t="n">
        <x:f>SUMIFS('350配方'!$M171:$P171,'350配方'!$Y171:$AB171,152)</x:f>
        <x:v>0</x:v>
      </x:c>
      <x:c r="AB171" s="9" t="n">
        <x:f>SUMIFS('350配方'!$M171:$P171,'350配方'!$Y171:$AB171,165)</x:f>
        <x:v>0</x:v>
      </x:c>
      <x:c r="AC171" s="9" t="n">
        <x:f>SUMIFS('350配方'!$M171:$P171,'350配方'!$Y171:$AB171,186)</x:f>
        <x:v>0</x:v>
      </x:c>
      <x:c r="AD171" s="9" t="n">
        <x:f>SUMIFS('350配方'!$M171:$P171,'350配方'!$Y171:$AB171,207)</x:f>
        <x:v>0</x:v>
      </x:c>
      <x:c r="AE171" s="9" t="n">
        <x:f>SUMIFS('350配方'!$M171:$P171,'350配方'!$Y171:$AB171,209)</x:f>
        <x:v>0</x:v>
      </x:c>
      <x:c r="AF171" s="9" t="n">
        <x:f>SUMIFS('350配方'!$M171:$P171,'350配方'!$Y171:$AB171,227)</x:f>
        <x:v>0</x:v>
      </x:c>
      <x:c r="AG171" s="9" t="n">
        <x:f>SUMIFS('350配方'!$M171:$P171,'350配方'!$Y171:$AB171,232)</x:f>
        <x:v>0</x:v>
      </x:c>
      <x:c r="AH171" s="9" t="n">
        <x:f>SUMIFS('350配方'!$M171:$P171,'350配方'!$Y171:$AB171,255)</x:f>
        <x:v>0</x:v>
      </x:c>
      <x:c r="AI171" s="9" t="n">
        <x:f>'浓度设置'!S6</x:f>
        <x:v>219125.9626344086</x:v>
      </x:c>
      <x:c r="AJ171" s="9" t="n">
        <x:f>'浓度设置'!S8</x:f>
        <x:v>92796.92267241378</x:v>
      </x:c>
      <x:c r="AK171" s="9" t="n">
        <x:f>'浓度设置'!S10</x:f>
        <x:v>30556.797802197798</x:v>
      </x:c>
      <x:c r="AL171" s="9" t="n">
        <x:f>'浓度设置'!S12</x:f>
        <x:v>1735.828970588235</x:v>
      </x:c>
      <x:c r="AM171" s="9" t="n">
        <x:f>'浓度设置'!S15</x:f>
        <x:v>7385.813644067793</x:v>
      </x:c>
      <x:c r="AN171" s="9" t="n">
        <x:f>'浓度设置'!S19</x:f>
        <x:v>27722.03097701148</x:v>
      </x:c>
      <x:c r="AO171" s="9" t="n">
        <x:f>'浓度设置'!S22</x:f>
        <x:v>44345.55047619048</x:v>
      </x:c>
      <x:c r="AP171" s="9" t="n">
        <x:f>'浓度设置'!S26</x:f>
        <x:v>153318.30499999996</x:v>
      </x:c>
      <x:c r="AQ171" s="9" t="n">
        <x:f>'浓度设置'!S29</x:f>
        <x:v>312.7970588235294</x:v>
      </x:c>
      <x:c r="AR171" s="9" t="n">
        <x:f>'浓度设置'!S30</x:f>
        <x:v>104175.5097553192</x:v>
      </x:c>
      <x:c r="AS171" s="9" t="n">
        <x:f>'浓度设置'!S35</x:f>
        <x:v>405974.90656785714</x:v>
      </x:c>
    </x:row>
    <x:row r="172" ht="24" customHeight="1">
      <x:c r="A172" s="3" t="str">
        <x:f>'350配方'!A172</x:f>
        <x:v>T167</x:v>
      </x:c>
      <x:c r="B172" s="3" t="str">
        <x:f>'350配方'!B172</x:f>
        <x:v>拟合</x:v>
      </x:c>
      <x:c r="C172" s="3" t="n">
        <x:f>IF(B172="拟合",1,0)</x:f>
        <x:v>1</x:v>
      </x:c>
      <x:c r="D172" s="3" t="n">
        <x:f>'350配方'!AC172</x:f>
        <x:v>4</x:v>
      </x:c>
      <x:c r="E172" s="9" t="n">
        <x:f>SUMIFS('350配方'!$M172:$P172,'350配方'!$Y172:$AB172,7)</x:f>
        <x:v>0</x:v>
      </x:c>
      <x:c r="F172" s="9" t="n">
        <x:f>SUMIFS('350配方'!$M172:$P172,'350配方'!$Y172:$AB172,11)</x:f>
        <x:v>0</x:v>
      </x:c>
      <x:c r="G172" s="9" t="n">
        <x:f>SUMIFS('350配方'!$M172:$P172,'350配方'!$Y172:$AB172,18)</x:f>
        <x:v>0</x:v>
      </x:c>
      <x:c r="H172" s="9" t="n">
        <x:f>SUMIFS('350配方'!$M172:$P172,'350配方'!$Y172:$AB172,32)</x:f>
        <x:v>0</x:v>
      </x:c>
      <x:c r="I172" s="9" t="n">
        <x:f>SUMIFS('350配方'!$M172:$P172,'350配方'!$Y172:$AB172,40)</x:f>
        <x:v>200.3122562401013</x:v>
      </x:c>
      <x:c r="J172" s="9" t="n">
        <x:f>SUMIFS('350配方'!$M172:$P172,'350配方'!$Y172:$AB172,52)</x:f>
        <x:v>0</x:v>
      </x:c>
      <x:c r="K172" s="9" t="n">
        <x:f>SUMIFS('350配方'!$M172:$P172,'350配方'!$Y172:$AB172,53)</x:f>
        <x:v>0</x:v>
      </x:c>
      <x:c r="L172" s="9" t="n">
        <x:f>SUMIFS('350配方'!$M172:$P172,'350配方'!$Y172:$AB172,56)</x:f>
        <x:v>4105</x:v>
      </x:c>
      <x:c r="M172" s="9" t="n">
        <x:f>SUMIFS('350配方'!$M172:$P172,'350配方'!$Y172:$AB172,58)</x:f>
        <x:v>0</x:v>
      </x:c>
      <x:c r="N172" s="9" t="n">
        <x:f>SUMIFS('350配方'!$M172:$P172,'350配方'!$Y172:$AB172,61)</x:f>
        <x:v>0</x:v>
      </x:c>
      <x:c r="O172" s="9" t="n">
        <x:f>SUMIFS('350配方'!$M172:$P172,'350配方'!$Y172:$AB172,69)</x:f>
        <x:v>0</x:v>
      </x:c>
      <x:c r="P172" s="9" t="n">
        <x:f>SUMIFS('350配方'!$M172:$P172,'350配方'!$Y172:$AB172,75)</x:f>
        <x:v>0</x:v>
      </x:c>
      <x:c r="Q172" s="9" t="n">
        <x:f>SUMIFS('350配方'!$M172:$P172,'350配方'!$Y172:$AB172,79)</x:f>
        <x:v>0</x:v>
      </x:c>
      <x:c r="R172" s="9" t="n">
        <x:f>SUMIFS('350配方'!$M172:$P172,'350配方'!$Y172:$AB172,90)</x:f>
        <x:v>0</x:v>
      </x:c>
      <x:c r="S172" s="9" t="n">
        <x:f>SUMIFS('350配方'!$M172:$P172,'350配方'!$Y172:$AB172,105)</x:f>
        <x:v>0</x:v>
      </x:c>
      <x:c r="T172" s="9" t="n">
        <x:f>SUMIFS('350配方'!$M172:$P172,'350配方'!$Y172:$AB172,111)</x:f>
        <x:v>0</x:v>
      </x:c>
      <x:c r="U172" s="9" t="n">
        <x:f>SUMIFS('350配方'!$M172:$P172,'350配方'!$Y172:$AB172,114)</x:f>
        <x:v>0</x:v>
      </x:c>
      <x:c r="V172" s="9" t="n">
        <x:f>SUMIFS('350配方'!$M172:$P172,'350配方'!$Y172:$AB172,115)</x:f>
        <x:v>0</x:v>
      </x:c>
      <x:c r="W172" s="9" t="n">
        <x:f>SUMIFS('350配方'!$M172:$P172,'350配方'!$Y172:$AB172,117)</x:f>
        <x:v>0</x:v>
      </x:c>
      <x:c r="X172" s="9" t="n">
        <x:f>SUMIFS('350配方'!$M172:$P172,'350配方'!$Y172:$AB172,126)</x:f>
        <x:v>0</x:v>
      </x:c>
      <x:c r="Y172" s="9" t="n">
        <x:f>SUMIFS('350配方'!$M172:$P172,'350配方'!$Y172:$AB172,136)</x:f>
        <x:v>0</x:v>
      </x:c>
      <x:c r="Z172" s="9" t="n">
        <x:f>SUMIFS('350配方'!$M172:$P172,'350配方'!$Y172:$AB172,141)</x:f>
        <x:v>0</x:v>
      </x:c>
      <x:c r="AA172" s="9" t="n">
        <x:f>SUMIFS('350配方'!$M172:$P172,'350配方'!$Y172:$AB172,152)</x:f>
        <x:v>0</x:v>
      </x:c>
      <x:c r="AB172" s="9" t="n">
        <x:f>SUMIFS('350配方'!$M172:$P172,'350配方'!$Y172:$AB172,165)</x:f>
        <x:v>823.735</x:v>
      </x:c>
      <x:c r="AC172" s="9" t="n">
        <x:f>SUMIFS('350配方'!$M172:$P172,'350配方'!$Y172:$AB172,186)</x:f>
        <x:v>0</x:v>
      </x:c>
      <x:c r="AD172" s="9" t="n">
        <x:f>SUMIFS('350配方'!$M172:$P172,'350配方'!$Y172:$AB172,207)</x:f>
        <x:v>0</x:v>
      </x:c>
      <x:c r="AE172" s="9" t="n">
        <x:f>SUMIFS('350配方'!$M172:$P172,'350配方'!$Y172:$AB172,209)</x:f>
        <x:v>0</x:v>
      </x:c>
      <x:c r="AF172" s="9" t="n">
        <x:f>SUMIFS('350配方'!$M172:$P172,'350配方'!$Y172:$AB172,227)</x:f>
        <x:v>0</x:v>
      </x:c>
      <x:c r="AG172" s="9" t="n">
        <x:f>SUMIFS('350配方'!$M172:$P172,'350配方'!$Y172:$AB172,232)</x:f>
        <x:v>39.53062104242735</x:v>
      </x:c>
      <x:c r="AH172" s="9" t="n">
        <x:f>SUMIFS('350配方'!$M172:$P172,'350配方'!$Y172:$AB172,255)</x:f>
        <x:v>0</x:v>
      </x:c>
      <x:c r="AI172" s="9" t="n">
        <x:f>'浓度设置'!S6</x:f>
        <x:v>219125.9626344086</x:v>
      </x:c>
      <x:c r="AJ172" s="9" t="n">
        <x:f>'浓度设置'!S8</x:f>
        <x:v>92796.92267241378</x:v>
      </x:c>
      <x:c r="AK172" s="9" t="n">
        <x:f>'浓度设置'!S10</x:f>
        <x:v>30556.797802197798</x:v>
      </x:c>
      <x:c r="AL172" s="9" t="n">
        <x:f>'浓度设置'!S12</x:f>
        <x:v>1735.828970588235</x:v>
      </x:c>
      <x:c r="AM172" s="9" t="n">
        <x:f>'浓度设置'!S15</x:f>
        <x:v>7385.813644067793</x:v>
      </x:c>
      <x:c r="AN172" s="9" t="n">
        <x:f>'浓度设置'!S19</x:f>
        <x:v>27722.03097701148</x:v>
      </x:c>
      <x:c r="AO172" s="9" t="n">
        <x:f>'浓度设置'!S22</x:f>
        <x:v>44345.55047619048</x:v>
      </x:c>
      <x:c r="AP172" s="9" t="n">
        <x:f>'浓度设置'!S26</x:f>
        <x:v>153318.30499999996</x:v>
      </x:c>
      <x:c r="AQ172" s="9" t="n">
        <x:f>'浓度设置'!S29</x:f>
        <x:v>312.7970588235294</x:v>
      </x:c>
      <x:c r="AR172" s="9" t="n">
        <x:f>'浓度设置'!S30</x:f>
        <x:v>104175.5097553192</x:v>
      </x:c>
      <x:c r="AS172" s="9" t="n">
        <x:f>'浓度设置'!S35</x:f>
        <x:v>405974.90656785714</x:v>
      </x:c>
    </x:row>
    <x:row r="173" ht="24" customHeight="1">
      <x:c r="A173" s="3" t="str">
        <x:f>'350配方'!A173</x:f>
        <x:v>T168</x:v>
      </x:c>
      <x:c r="B173" s="3" t="str">
        <x:f>'350配方'!B173</x:f>
        <x:v>拟合</x:v>
      </x:c>
      <x:c r="C173" s="3" t="n">
        <x:f>IF(B173="拟合",1,0)</x:f>
        <x:v>1</x:v>
      </x:c>
      <x:c r="D173" s="3" t="n">
        <x:f>'350配方'!AC173</x:f>
        <x:v>4</x:v>
      </x:c>
      <x:c r="E173" s="9" t="n">
        <x:f>SUMIFS('350配方'!$M173:$P173,'350配方'!$Y173:$AB173,7)</x:f>
        <x:v>0</x:v>
      </x:c>
      <x:c r="F173" s="9" t="n">
        <x:f>SUMIFS('350配方'!$M173:$P173,'350配方'!$Y173:$AB173,11)</x:f>
        <x:v>0</x:v>
      </x:c>
      <x:c r="G173" s="9" t="n">
        <x:f>SUMIFS('350配方'!$M173:$P173,'350配方'!$Y173:$AB173,18)</x:f>
        <x:v>0</x:v>
      </x:c>
      <x:c r="H173" s="9" t="n">
        <x:f>SUMIFS('350配方'!$M173:$P173,'350配方'!$Y173:$AB173,32)</x:f>
        <x:v>0</x:v>
      </x:c>
      <x:c r="I173" s="9" t="n">
        <x:f>SUMIFS('350配方'!$M173:$P173,'350配方'!$Y173:$AB173,40)</x:f>
        <x:v>0</x:v>
      </x:c>
      <x:c r="J173" s="9" t="n">
        <x:f>SUMIFS('350配方'!$M173:$P173,'350配方'!$Y173:$AB173,52)</x:f>
        <x:v>0</x:v>
      </x:c>
      <x:c r="K173" s="9" t="n">
        <x:f>SUMIFS('350配方'!$M173:$P173,'350配方'!$Y173:$AB173,53)</x:f>
        <x:v>784300</x:v>
      </x:c>
      <x:c r="L173" s="9" t="n">
        <x:f>SUMIFS('350配方'!$M173:$P173,'350配方'!$Y173:$AB173,56)</x:f>
        <x:v>0</x:v>
      </x:c>
      <x:c r="M173" s="9" t="n">
        <x:f>SUMIFS('350配方'!$M173:$P173,'350配方'!$Y173:$AB173,58)</x:f>
        <x:v>0</x:v>
      </x:c>
      <x:c r="N173" s="9" t="n">
        <x:f>SUMIFS('350配方'!$M173:$P173,'350配方'!$Y173:$AB173,61)</x:f>
        <x:v>0</x:v>
      </x:c>
      <x:c r="O173" s="9" t="n">
        <x:f>SUMIFS('350配方'!$M173:$P173,'350配方'!$Y173:$AB173,69)</x:f>
        <x:v>0</x:v>
      </x:c>
      <x:c r="P173" s="9" t="n">
        <x:f>SUMIFS('350配方'!$M173:$P173,'350配方'!$Y173:$AB173,75)</x:f>
        <x:v>0</x:v>
      </x:c>
      <x:c r="Q173" s="9" t="n">
        <x:f>SUMIFS('350配方'!$M173:$P173,'350配方'!$Y173:$AB173,79)</x:f>
        <x:v>0</x:v>
      </x:c>
      <x:c r="R173" s="9" t="n">
        <x:f>SUMIFS('350配方'!$M173:$P173,'350配方'!$Y173:$AB173,90)</x:f>
        <x:v>0</x:v>
      </x:c>
      <x:c r="S173" s="9" t="n">
        <x:f>SUMIFS('350配方'!$M173:$P173,'350配方'!$Y173:$AB173,105)</x:f>
        <x:v>28.044607324760317</x:v>
      </x:c>
      <x:c r="T173" s="9" t="n">
        <x:f>SUMIFS('350配方'!$M173:$P173,'350配方'!$Y173:$AB173,111)</x:f>
        <x:v>0</x:v>
      </x:c>
      <x:c r="U173" s="9" t="n">
        <x:f>SUMIFS('350配方'!$M173:$P173,'350配方'!$Y173:$AB173,114)</x:f>
        <x:v>0</x:v>
      </x:c>
      <x:c r="V173" s="9" t="n">
        <x:f>SUMIFS('350配方'!$M173:$P173,'350配方'!$Y173:$AB173,115)</x:f>
        <x:v>0</x:v>
      </x:c>
      <x:c r="W173" s="9" t="n">
        <x:f>SUMIFS('350配方'!$M173:$P173,'350配方'!$Y173:$AB173,117)</x:f>
        <x:v>0</x:v>
      </x:c>
      <x:c r="X173" s="9" t="n">
        <x:f>SUMIFS('350配方'!$M173:$P173,'350配方'!$Y173:$AB173,126)</x:f>
        <x:v>0</x:v>
      </x:c>
      <x:c r="Y173" s="9" t="n">
        <x:f>SUMIFS('350配方'!$M173:$P173,'350配方'!$Y173:$AB173,136)</x:f>
        <x:v>0</x:v>
      </x:c>
      <x:c r="Z173" s="9" t="n">
        <x:f>SUMIFS('350配方'!$M173:$P173,'350配方'!$Y173:$AB173,141)</x:f>
        <x:v>0</x:v>
      </x:c>
      <x:c r="AA173" s="9" t="n">
        <x:f>SUMIFS('350配方'!$M173:$P173,'350配方'!$Y173:$AB173,152)</x:f>
        <x:v>0</x:v>
      </x:c>
      <x:c r="AB173" s="9" t="n">
        <x:f>SUMIFS('350配方'!$M173:$P173,'350配方'!$Y173:$AB173,165)</x:f>
        <x:v>0</x:v>
      </x:c>
      <x:c r="AC173" s="9" t="n">
        <x:f>SUMIFS('350配方'!$M173:$P173,'350配方'!$Y173:$AB173,186)</x:f>
        <x:v>0</x:v>
      </x:c>
      <x:c r="AD173" s="9" t="n">
        <x:f>SUMIFS('350配方'!$M173:$P173,'350配方'!$Y173:$AB173,207)</x:f>
        <x:v>0</x:v>
      </x:c>
      <x:c r="AE173" s="9" t="n">
        <x:f>SUMIFS('350配方'!$M173:$P173,'350配方'!$Y173:$AB173,209)</x:f>
        <x:v>0</x:v>
      </x:c>
      <x:c r="AF173" s="9" t="n">
        <x:f>SUMIFS('350配方'!$M173:$P173,'350配方'!$Y173:$AB173,227)</x:f>
        <x:v>695.986709643223</x:v>
      </x:c>
      <x:c r="AG173" s="9" t="n">
        <x:f>SUMIFS('350配方'!$M173:$P173,'350配方'!$Y173:$AB173,232)</x:f>
        <x:v>0</x:v>
      </x:c>
      <x:c r="AH173" s="9" t="n">
        <x:f>SUMIFS('350配方'!$M173:$P173,'350配方'!$Y173:$AB173,255)</x:f>
        <x:v>1.5</x:v>
      </x:c>
      <x:c r="AI173" s="9" t="n">
        <x:f>'浓度设置'!S6</x:f>
        <x:v>219125.9626344086</x:v>
      </x:c>
      <x:c r="AJ173" s="9" t="n">
        <x:f>'浓度设置'!S8</x:f>
        <x:v>92796.92267241378</x:v>
      </x:c>
      <x:c r="AK173" s="9" t="n">
        <x:f>'浓度设置'!S10</x:f>
        <x:v>30556.797802197798</x:v>
      </x:c>
      <x:c r="AL173" s="9" t="n">
        <x:f>'浓度设置'!S12</x:f>
        <x:v>1735.828970588235</x:v>
      </x:c>
      <x:c r="AM173" s="9" t="n">
        <x:f>'浓度设置'!S15</x:f>
        <x:v>7385.813644067793</x:v>
      </x:c>
      <x:c r="AN173" s="9" t="n">
        <x:f>'浓度设置'!S19</x:f>
        <x:v>27722.03097701148</x:v>
      </x:c>
      <x:c r="AO173" s="9" t="n">
        <x:f>'浓度设置'!S22</x:f>
        <x:v>44345.55047619048</x:v>
      </x:c>
      <x:c r="AP173" s="9" t="n">
        <x:f>'浓度设置'!S26</x:f>
        <x:v>153318.30499999996</x:v>
      </x:c>
      <x:c r="AQ173" s="9" t="n">
        <x:f>'浓度设置'!S29</x:f>
        <x:v>312.7970588235294</x:v>
      </x:c>
      <x:c r="AR173" s="9" t="n">
        <x:f>'浓度设置'!S30</x:f>
        <x:v>104175.5097553192</x:v>
      </x:c>
      <x:c r="AS173" s="9" t="n">
        <x:f>'浓度设置'!S35</x:f>
        <x:v>405974.90656785714</x:v>
      </x:c>
    </x:row>
    <x:row r="174" ht="24" customHeight="1">
      <x:c r="A174" s="3" t="str">
        <x:f>'350配方'!A174</x:f>
        <x:v>T169</x:v>
      </x:c>
      <x:c r="B174" s="3" t="str">
        <x:f>'350配方'!B174</x:f>
        <x:v>拟合</x:v>
      </x:c>
      <x:c r="C174" s="3" t="n">
        <x:f>IF(B174="拟合",1,0)</x:f>
        <x:v>1</x:v>
      </x:c>
      <x:c r="D174" s="3" t="n">
        <x:f>'350配方'!AC174</x:f>
        <x:v>4</x:v>
      </x:c>
      <x:c r="E174" s="9" t="n">
        <x:f>SUMIFS('350配方'!$M174:$P174,'350配方'!$Y174:$AB174,7)</x:f>
        <x:v>173</x:v>
      </x:c>
      <x:c r="F174" s="9" t="n">
        <x:f>SUMIFS('350配方'!$M174:$P174,'350配方'!$Y174:$AB174,11)</x:f>
        <x:v>0</x:v>
      </x:c>
      <x:c r="G174" s="9" t="n">
        <x:f>SUMIFS('350配方'!$M174:$P174,'350配方'!$Y174:$AB174,18)</x:f>
        <x:v>0</x:v>
      </x:c>
      <x:c r="H174" s="9" t="n">
        <x:f>SUMIFS('350配方'!$M174:$P174,'350配方'!$Y174:$AB174,32)</x:f>
        <x:v>0</x:v>
      </x:c>
      <x:c r="I174" s="9" t="n">
        <x:f>SUMIFS('350配方'!$M174:$P174,'350配方'!$Y174:$AB174,40)</x:f>
        <x:v>0</x:v>
      </x:c>
      <x:c r="J174" s="9" t="n">
        <x:f>SUMIFS('350配方'!$M174:$P174,'350配方'!$Y174:$AB174,52)</x:f>
        <x:v>0</x:v>
      </x:c>
      <x:c r="K174" s="9" t="n">
        <x:f>SUMIFS('350配方'!$M174:$P174,'350配方'!$Y174:$AB174,53)</x:f>
        <x:v>0</x:v>
      </x:c>
      <x:c r="L174" s="9" t="n">
        <x:f>SUMIFS('350配方'!$M174:$P174,'350配方'!$Y174:$AB174,56)</x:f>
        <x:v>0</x:v>
      </x:c>
      <x:c r="M174" s="9" t="n">
        <x:f>SUMIFS('350配方'!$M174:$P174,'350配方'!$Y174:$AB174,58)</x:f>
        <x:v>0</x:v>
      </x:c>
      <x:c r="N174" s="9" t="n">
        <x:f>SUMIFS('350配方'!$M174:$P174,'350配方'!$Y174:$AB174,61)</x:f>
        <x:v>6914</x:v>
      </x:c>
      <x:c r="O174" s="9" t="n">
        <x:f>SUMIFS('350配方'!$M174:$P174,'350配方'!$Y174:$AB174,69)</x:f>
        <x:v>0</x:v>
      </x:c>
      <x:c r="P174" s="9" t="n">
        <x:f>SUMIFS('350配方'!$M174:$P174,'350配方'!$Y174:$AB174,75)</x:f>
        <x:v>0</x:v>
      </x:c>
      <x:c r="Q174" s="9" t="n">
        <x:f>SUMIFS('350配方'!$M174:$P174,'350配方'!$Y174:$AB174,79)</x:f>
        <x:v>0</x:v>
      </x:c>
      <x:c r="R174" s="9" t="n">
        <x:f>SUMIFS('350配方'!$M174:$P174,'350配方'!$Y174:$AB174,90)</x:f>
        <x:v>0</x:v>
      </x:c>
      <x:c r="S174" s="9" t="n">
        <x:f>SUMIFS('350配方'!$M174:$P174,'350配方'!$Y174:$AB174,105)</x:f>
        <x:v>0</x:v>
      </x:c>
      <x:c r="T174" s="9" t="n">
        <x:f>SUMIFS('350配方'!$M174:$P174,'350配方'!$Y174:$AB174,111)</x:f>
        <x:v>0</x:v>
      </x:c>
      <x:c r="U174" s="9" t="n">
        <x:f>SUMIFS('350配方'!$M174:$P174,'350配方'!$Y174:$AB174,114)</x:f>
        <x:v>0</x:v>
      </x:c>
      <x:c r="V174" s="9" t="n">
        <x:f>SUMIFS('350配方'!$M174:$P174,'350配方'!$Y174:$AB174,115)</x:f>
        <x:v>96.86609313893071</x:v>
      </x:c>
      <x:c r="W174" s="9" t="n">
        <x:f>SUMIFS('350配方'!$M174:$P174,'350配方'!$Y174:$AB174,117)</x:f>
        <x:v>0</x:v>
      </x:c>
      <x:c r="X174" s="9" t="n">
        <x:f>SUMIFS('350配方'!$M174:$P174,'350配方'!$Y174:$AB174,126)</x:f>
        <x:v>1815.6539083757125</x:v>
      </x:c>
      <x:c r="Y174" s="9" t="n">
        <x:f>SUMIFS('350配方'!$M174:$P174,'350配方'!$Y174:$AB174,136)</x:f>
        <x:v>0</x:v>
      </x:c>
      <x:c r="Z174" s="9" t="n">
        <x:f>SUMIFS('350配方'!$M174:$P174,'350配方'!$Y174:$AB174,141)</x:f>
        <x:v>0</x:v>
      </x:c>
      <x:c r="AA174" s="9" t="n">
        <x:f>SUMIFS('350配方'!$M174:$P174,'350配方'!$Y174:$AB174,152)</x:f>
        <x:v>0</x:v>
      </x:c>
      <x:c r="AB174" s="9" t="n">
        <x:f>SUMIFS('350配方'!$M174:$P174,'350配方'!$Y174:$AB174,165)</x:f>
        <x:v>0</x:v>
      </x:c>
      <x:c r="AC174" s="9" t="n">
        <x:f>SUMIFS('350配方'!$M174:$P174,'350配方'!$Y174:$AB174,186)</x:f>
        <x:v>0</x:v>
      </x:c>
      <x:c r="AD174" s="9" t="n">
        <x:f>SUMIFS('350配方'!$M174:$P174,'350配方'!$Y174:$AB174,207)</x:f>
        <x:v>0</x:v>
      </x:c>
      <x:c r="AE174" s="9" t="n">
        <x:f>SUMIFS('350配方'!$M174:$P174,'350配方'!$Y174:$AB174,209)</x:f>
        <x:v>0</x:v>
      </x:c>
      <x:c r="AF174" s="9" t="n">
        <x:f>SUMIFS('350配方'!$M174:$P174,'350配方'!$Y174:$AB174,227)</x:f>
        <x:v>0</x:v>
      </x:c>
      <x:c r="AG174" s="9" t="n">
        <x:f>SUMIFS('350配方'!$M174:$P174,'350配方'!$Y174:$AB174,232)</x:f>
        <x:v>0</x:v>
      </x:c>
      <x:c r="AH174" s="9" t="n">
        <x:f>SUMIFS('350配方'!$M174:$P174,'350配方'!$Y174:$AB174,255)</x:f>
        <x:v>0</x:v>
      </x:c>
      <x:c r="AI174" s="9" t="n">
        <x:f>'浓度设置'!S6</x:f>
        <x:v>219125.9626344086</x:v>
      </x:c>
      <x:c r="AJ174" s="9" t="n">
        <x:f>'浓度设置'!S8</x:f>
        <x:v>92796.92267241378</x:v>
      </x:c>
      <x:c r="AK174" s="9" t="n">
        <x:f>'浓度设置'!S10</x:f>
        <x:v>30556.797802197798</x:v>
      </x:c>
      <x:c r="AL174" s="9" t="n">
        <x:f>'浓度设置'!S12</x:f>
        <x:v>1735.828970588235</x:v>
      </x:c>
      <x:c r="AM174" s="9" t="n">
        <x:f>'浓度设置'!S15</x:f>
        <x:v>7385.813644067793</x:v>
      </x:c>
      <x:c r="AN174" s="9" t="n">
        <x:f>'浓度设置'!S19</x:f>
        <x:v>27722.03097701148</x:v>
      </x:c>
      <x:c r="AO174" s="9" t="n">
        <x:f>'浓度设置'!S22</x:f>
        <x:v>44345.55047619048</x:v>
      </x:c>
      <x:c r="AP174" s="9" t="n">
        <x:f>'浓度设置'!S26</x:f>
        <x:v>153318.30499999996</x:v>
      </x:c>
      <x:c r="AQ174" s="9" t="n">
        <x:f>'浓度设置'!S29</x:f>
        <x:v>312.7970588235294</x:v>
      </x:c>
      <x:c r="AR174" s="9" t="n">
        <x:f>'浓度设置'!S30</x:f>
        <x:v>104175.5097553192</x:v>
      </x:c>
      <x:c r="AS174" s="9" t="n">
        <x:f>'浓度设置'!S35</x:f>
        <x:v>405974.90656785714</x:v>
      </x:c>
    </x:row>
    <x:row r="175" ht="24" customHeight="1">
      <x:c r="A175" s="3" t="str">
        <x:f>'350配方'!A175</x:f>
        <x:v>T170</x:v>
      </x:c>
      <x:c r="B175" s="3" t="str">
        <x:f>'350配方'!B175</x:f>
        <x:v>拟合</x:v>
      </x:c>
      <x:c r="C175" s="3" t="n">
        <x:f>IF(B175="拟合",1,0)</x:f>
        <x:v>1</x:v>
      </x:c>
      <x:c r="D175" s="3" t="n">
        <x:f>'350配方'!AC175</x:f>
        <x:v>4</x:v>
      </x:c>
      <x:c r="E175" s="9" t="n">
        <x:f>SUMIFS('350配方'!$M175:$P175,'350配方'!$Y175:$AB175,7)</x:f>
        <x:v>0</x:v>
      </x:c>
      <x:c r="F175" s="9" t="n">
        <x:f>SUMIFS('350配方'!$M175:$P175,'350配方'!$Y175:$AB175,11)</x:f>
        <x:v>1038900</x:v>
      </x:c>
      <x:c r="G175" s="9" t="n">
        <x:f>SUMIFS('350配方'!$M175:$P175,'350配方'!$Y175:$AB175,18)</x:f>
        <x:v>0</x:v>
      </x:c>
      <x:c r="H175" s="9" t="n">
        <x:f>SUMIFS('350配方'!$M175:$P175,'350配方'!$Y175:$AB175,32)</x:f>
        <x:v>37489</x:v>
      </x:c>
      <x:c r="I175" s="9" t="n">
        <x:f>SUMIFS('350配方'!$M175:$P175,'350配方'!$Y175:$AB175,40)</x:f>
        <x:v>0</x:v>
      </x:c>
      <x:c r="J175" s="9" t="n">
        <x:f>SUMIFS('350配方'!$M175:$P175,'350配方'!$Y175:$AB175,52)</x:f>
        <x:v>0</x:v>
      </x:c>
      <x:c r="K175" s="9" t="n">
        <x:f>SUMIFS('350配方'!$M175:$P175,'350配方'!$Y175:$AB175,53)</x:f>
        <x:v>0</x:v>
      </x:c>
      <x:c r="L175" s="9" t="n">
        <x:f>SUMIFS('350配方'!$M175:$P175,'350配方'!$Y175:$AB175,56)</x:f>
        <x:v>0</x:v>
      </x:c>
      <x:c r="M175" s="9" t="n">
        <x:f>SUMIFS('350配方'!$M175:$P175,'350配方'!$Y175:$AB175,58)</x:f>
        <x:v>0</x:v>
      </x:c>
      <x:c r="N175" s="9" t="n">
        <x:f>SUMIFS('350配方'!$M175:$P175,'350配方'!$Y175:$AB175,61)</x:f>
        <x:v>0</x:v>
      </x:c>
      <x:c r="O175" s="9" t="n">
        <x:f>SUMIFS('350配方'!$M175:$P175,'350配方'!$Y175:$AB175,69)</x:f>
        <x:v>0</x:v>
      </x:c>
      <x:c r="P175" s="9" t="n">
        <x:f>SUMIFS('350配方'!$M175:$P175,'350配方'!$Y175:$AB175,75)</x:f>
        <x:v>0</x:v>
      </x:c>
      <x:c r="Q175" s="9" t="n">
        <x:f>SUMIFS('350配方'!$M175:$P175,'350配方'!$Y175:$AB175,79)</x:f>
        <x:v>0</x:v>
      </x:c>
      <x:c r="R175" s="9" t="n">
        <x:f>SUMIFS('350配方'!$M175:$P175,'350配方'!$Y175:$AB175,90)</x:f>
        <x:v>0</x:v>
      </x:c>
      <x:c r="S175" s="9" t="n">
        <x:f>SUMIFS('350配方'!$M175:$P175,'350配方'!$Y175:$AB175,105)</x:f>
        <x:v>0</x:v>
      </x:c>
      <x:c r="T175" s="9" t="n">
        <x:f>SUMIFS('350配方'!$M175:$P175,'350配方'!$Y175:$AB175,111)</x:f>
        <x:v>833.64</x:v>
      </x:c>
      <x:c r="U175" s="9" t="n">
        <x:f>SUMIFS('350配方'!$M175:$P175,'350配方'!$Y175:$AB175,114)</x:f>
        <x:v>0</x:v>
      </x:c>
      <x:c r="V175" s="9" t="n">
        <x:f>SUMIFS('350配方'!$M175:$P175,'350配方'!$Y175:$AB175,115)</x:f>
        <x:v>0</x:v>
      </x:c>
      <x:c r="W175" s="9" t="n">
        <x:f>SUMIFS('350配方'!$M175:$P175,'350配方'!$Y175:$AB175,117)</x:f>
        <x:v>0</x:v>
      </x:c>
      <x:c r="X175" s="9" t="n">
        <x:f>SUMIFS('350配方'!$M175:$P175,'350配方'!$Y175:$AB175,126)</x:f>
        <x:v>0</x:v>
      </x:c>
      <x:c r="Y175" s="9" t="n">
        <x:f>SUMIFS('350配方'!$M175:$P175,'350配方'!$Y175:$AB175,136)</x:f>
        <x:v>0</x:v>
      </x:c>
      <x:c r="Z175" s="9" t="n">
        <x:f>SUMIFS('350配方'!$M175:$P175,'350配方'!$Y175:$AB175,141)</x:f>
        <x:v>0</x:v>
      </x:c>
      <x:c r="AA175" s="9" t="n">
        <x:f>SUMIFS('350配方'!$M175:$P175,'350配方'!$Y175:$AB175,152)</x:f>
        <x:v>227200</x:v>
      </x:c>
      <x:c r="AB175" s="9" t="n">
        <x:f>SUMIFS('350配方'!$M175:$P175,'350配方'!$Y175:$AB175,165)</x:f>
        <x:v>0</x:v>
      </x:c>
      <x:c r="AC175" s="9" t="n">
        <x:f>SUMIFS('350配方'!$M175:$P175,'350配方'!$Y175:$AB175,186)</x:f>
        <x:v>0</x:v>
      </x:c>
      <x:c r="AD175" s="9" t="n">
        <x:f>SUMIFS('350配方'!$M175:$P175,'350配方'!$Y175:$AB175,207)</x:f>
        <x:v>0</x:v>
      </x:c>
      <x:c r="AE175" s="9" t="n">
        <x:f>SUMIFS('350配方'!$M175:$P175,'350配方'!$Y175:$AB175,209)</x:f>
        <x:v>0</x:v>
      </x:c>
      <x:c r="AF175" s="9" t="n">
        <x:f>SUMIFS('350配方'!$M175:$P175,'350配方'!$Y175:$AB175,227)</x:f>
        <x:v>0</x:v>
      </x:c>
      <x:c r="AG175" s="9" t="n">
        <x:f>SUMIFS('350配方'!$M175:$P175,'350配方'!$Y175:$AB175,232)</x:f>
        <x:v>0</x:v>
      </x:c>
      <x:c r="AH175" s="9" t="n">
        <x:f>SUMIFS('350配方'!$M175:$P175,'350配方'!$Y175:$AB175,255)</x:f>
        <x:v>0</x:v>
      </x:c>
      <x:c r="AI175" s="9" t="n">
        <x:f>'浓度设置'!S6</x:f>
        <x:v>219125.9626344086</x:v>
      </x:c>
      <x:c r="AJ175" s="9" t="n">
        <x:f>'浓度设置'!S8</x:f>
        <x:v>92796.92267241378</x:v>
      </x:c>
      <x:c r="AK175" s="9" t="n">
        <x:f>'浓度设置'!S10</x:f>
        <x:v>30556.797802197798</x:v>
      </x:c>
      <x:c r="AL175" s="9" t="n">
        <x:f>'浓度设置'!S12</x:f>
        <x:v>1735.828970588235</x:v>
      </x:c>
      <x:c r="AM175" s="9" t="n">
        <x:f>'浓度设置'!S15</x:f>
        <x:v>7385.813644067793</x:v>
      </x:c>
      <x:c r="AN175" s="9" t="n">
        <x:f>'浓度设置'!S19</x:f>
        <x:v>27722.03097701148</x:v>
      </x:c>
      <x:c r="AO175" s="9" t="n">
        <x:f>'浓度设置'!S22</x:f>
        <x:v>44345.55047619048</x:v>
      </x:c>
      <x:c r="AP175" s="9" t="n">
        <x:f>'浓度设置'!S26</x:f>
        <x:v>153318.30499999996</x:v>
      </x:c>
      <x:c r="AQ175" s="9" t="n">
        <x:f>'浓度设置'!S29</x:f>
        <x:v>312.7970588235294</x:v>
      </x:c>
      <x:c r="AR175" s="9" t="n">
        <x:f>'浓度设置'!S30</x:f>
        <x:v>104175.5097553192</x:v>
      </x:c>
      <x:c r="AS175" s="9" t="n">
        <x:f>'浓度设置'!S35</x:f>
        <x:v>405974.90656785714</x:v>
      </x:c>
    </x:row>
    <x:row r="176" ht="24" customHeight="1">
      <x:c r="A176" s="3" t="str">
        <x:f>'350配方'!A176</x:f>
        <x:v>T171</x:v>
      </x:c>
      <x:c r="B176" s="3" t="str">
        <x:f>'350配方'!B176</x:f>
        <x:v>拟合</x:v>
      </x:c>
      <x:c r="C176" s="3" t="n">
        <x:f>IF(B176="拟合",1,0)</x:f>
        <x:v>1</x:v>
      </x:c>
      <x:c r="D176" s="3" t="n">
        <x:f>'350配方'!AC176</x:f>
        <x:v>4</x:v>
      </x:c>
      <x:c r="E176" s="9" t="n">
        <x:f>SUMIFS('350配方'!$M176:$P176,'350配方'!$Y176:$AB176,7)</x:f>
        <x:v>0</x:v>
      </x:c>
      <x:c r="F176" s="9" t="n">
        <x:f>SUMIFS('350配方'!$M176:$P176,'350配方'!$Y176:$AB176,11)</x:f>
        <x:v>0</x:v>
      </x:c>
      <x:c r="G176" s="9" t="n">
        <x:f>SUMIFS('350配方'!$M176:$P176,'350配方'!$Y176:$AB176,18)</x:f>
        <x:v>0</x:v>
      </x:c>
      <x:c r="H176" s="9" t="n">
        <x:f>SUMIFS('350配方'!$M176:$P176,'350配方'!$Y176:$AB176,32)</x:f>
        <x:v>0</x:v>
      </x:c>
      <x:c r="I176" s="9" t="n">
        <x:f>SUMIFS('350配方'!$M176:$P176,'350配方'!$Y176:$AB176,40)</x:f>
        <x:v>0</x:v>
      </x:c>
      <x:c r="J176" s="9" t="n">
        <x:f>SUMIFS('350配方'!$M176:$P176,'350配方'!$Y176:$AB176,52)</x:f>
        <x:v>0</x:v>
      </x:c>
      <x:c r="K176" s="9" t="n">
        <x:f>SUMIFS('350配方'!$M176:$P176,'350配方'!$Y176:$AB176,53)</x:f>
        <x:v>784300</x:v>
      </x:c>
      <x:c r="L176" s="9" t="n">
        <x:f>SUMIFS('350配方'!$M176:$P176,'350配方'!$Y176:$AB176,56)</x:f>
        <x:v>0</x:v>
      </x:c>
      <x:c r="M176" s="9" t="n">
        <x:f>SUMIFS('350配方'!$M176:$P176,'350配方'!$Y176:$AB176,58)</x:f>
        <x:v>0</x:v>
      </x:c>
      <x:c r="N176" s="9" t="n">
        <x:f>SUMIFS('350配方'!$M176:$P176,'350配方'!$Y176:$AB176,61)</x:f>
        <x:v>6914</x:v>
      </x:c>
      <x:c r="O176" s="9" t="n">
        <x:f>SUMIFS('350配方'!$M176:$P176,'350配方'!$Y176:$AB176,69)</x:f>
        <x:v>0.83</x:v>
      </x:c>
      <x:c r="P176" s="9" t="n">
        <x:f>SUMIFS('350配方'!$M176:$P176,'350配方'!$Y176:$AB176,75)</x:f>
        <x:v>0</x:v>
      </x:c>
      <x:c r="Q176" s="9" t="n">
        <x:f>SUMIFS('350配方'!$M176:$P176,'350配方'!$Y176:$AB176,79)</x:f>
        <x:v>0</x:v>
      </x:c>
      <x:c r="R176" s="9" t="n">
        <x:f>SUMIFS('350配方'!$M176:$P176,'350配方'!$Y176:$AB176,90)</x:f>
        <x:v>0</x:v>
      </x:c>
      <x:c r="S176" s="9" t="n">
        <x:f>SUMIFS('350配方'!$M176:$P176,'350配方'!$Y176:$AB176,105)</x:f>
        <x:v>0</x:v>
      </x:c>
      <x:c r="T176" s="9" t="n">
        <x:f>SUMIFS('350配方'!$M176:$P176,'350配方'!$Y176:$AB176,111)</x:f>
        <x:v>0</x:v>
      </x:c>
      <x:c r="U176" s="9" t="n">
        <x:f>SUMIFS('350配方'!$M176:$P176,'350配方'!$Y176:$AB176,114)</x:f>
        <x:v>0</x:v>
      </x:c>
      <x:c r="V176" s="9" t="n">
        <x:f>SUMIFS('350配方'!$M176:$P176,'350配方'!$Y176:$AB176,115)</x:f>
        <x:v>0</x:v>
      </x:c>
      <x:c r="W176" s="9" t="n">
        <x:f>SUMIFS('350配方'!$M176:$P176,'350配方'!$Y176:$AB176,117)</x:f>
        <x:v>0</x:v>
      </x:c>
      <x:c r="X176" s="9" t="n">
        <x:f>SUMIFS('350配方'!$M176:$P176,'350配方'!$Y176:$AB176,126)</x:f>
        <x:v>0</x:v>
      </x:c>
      <x:c r="Y176" s="9" t="n">
        <x:f>SUMIFS('350配方'!$M176:$P176,'350配方'!$Y176:$AB176,136)</x:f>
        <x:v>0</x:v>
      </x:c>
      <x:c r="Z176" s="9" t="n">
        <x:f>SUMIFS('350配方'!$M176:$P176,'350配方'!$Y176:$AB176,141)</x:f>
        <x:v>0</x:v>
      </x:c>
      <x:c r="AA176" s="9" t="n">
        <x:f>SUMIFS('350配方'!$M176:$P176,'350配方'!$Y176:$AB176,152)</x:f>
        <x:v>0</x:v>
      </x:c>
      <x:c r="AB176" s="9" t="n">
        <x:f>SUMIFS('350配方'!$M176:$P176,'350配方'!$Y176:$AB176,165)</x:f>
        <x:v>0</x:v>
      </x:c>
      <x:c r="AC176" s="9" t="n">
        <x:f>SUMIFS('350配方'!$M176:$P176,'350配方'!$Y176:$AB176,186)</x:f>
        <x:v>0</x:v>
      </x:c>
      <x:c r="AD176" s="9" t="n">
        <x:f>SUMIFS('350配方'!$M176:$P176,'350配方'!$Y176:$AB176,207)</x:f>
        <x:v>0</x:v>
      </x:c>
      <x:c r="AE176" s="9" t="n">
        <x:f>SUMIFS('350配方'!$M176:$P176,'350配方'!$Y176:$AB176,209)</x:f>
        <x:v>0</x:v>
      </x:c>
      <x:c r="AF176" s="9" t="n">
        <x:f>SUMIFS('350配方'!$M176:$P176,'350配方'!$Y176:$AB176,227)</x:f>
        <x:v>0</x:v>
      </x:c>
      <x:c r="AG176" s="9" t="n">
        <x:f>SUMIFS('350配方'!$M176:$P176,'350配方'!$Y176:$AB176,232)</x:f>
        <x:v>0</x:v>
      </x:c>
      <x:c r="AH176" s="9" t="n">
        <x:f>SUMIFS('350配方'!$M176:$P176,'350配方'!$Y176:$AB176,255)</x:f>
        <x:v>9.546727187890099</x:v>
      </x:c>
      <x:c r="AI176" s="9" t="n">
        <x:f>'浓度设置'!S6</x:f>
        <x:v>219125.9626344086</x:v>
      </x:c>
      <x:c r="AJ176" s="9" t="n">
        <x:f>'浓度设置'!S8</x:f>
        <x:v>92796.92267241378</x:v>
      </x:c>
      <x:c r="AK176" s="9" t="n">
        <x:f>'浓度设置'!S10</x:f>
        <x:v>30556.797802197798</x:v>
      </x:c>
      <x:c r="AL176" s="9" t="n">
        <x:f>'浓度设置'!S12</x:f>
        <x:v>1735.828970588235</x:v>
      </x:c>
      <x:c r="AM176" s="9" t="n">
        <x:f>'浓度设置'!S15</x:f>
        <x:v>7385.813644067793</x:v>
      </x:c>
      <x:c r="AN176" s="9" t="n">
        <x:f>'浓度设置'!S19</x:f>
        <x:v>27722.03097701148</x:v>
      </x:c>
      <x:c r="AO176" s="9" t="n">
        <x:f>'浓度设置'!S22</x:f>
        <x:v>44345.55047619048</x:v>
      </x:c>
      <x:c r="AP176" s="9" t="n">
        <x:f>'浓度设置'!S26</x:f>
        <x:v>153318.30499999996</x:v>
      </x:c>
      <x:c r="AQ176" s="9" t="n">
        <x:f>'浓度设置'!S29</x:f>
        <x:v>312.7970588235294</x:v>
      </x:c>
      <x:c r="AR176" s="9" t="n">
        <x:f>'浓度设置'!S30</x:f>
        <x:v>104175.5097553192</x:v>
      </x:c>
      <x:c r="AS176" s="9" t="n">
        <x:f>'浓度设置'!S35</x:f>
        <x:v>405974.90656785714</x:v>
      </x:c>
    </x:row>
    <x:row r="177" ht="24" customHeight="1">
      <x:c r="A177" s="3" t="str">
        <x:f>'350配方'!A177</x:f>
        <x:v>T172</x:v>
      </x:c>
      <x:c r="B177" s="3" t="str">
        <x:f>'350配方'!B177</x:f>
        <x:v>拟合</x:v>
      </x:c>
      <x:c r="C177" s="3" t="n">
        <x:f>IF(B177="拟合",1,0)</x:f>
        <x:v>1</x:v>
      </x:c>
      <x:c r="D177" s="3" t="n">
        <x:f>'350配方'!AC177</x:f>
        <x:v>4</x:v>
      </x:c>
      <x:c r="E177" s="9" t="n">
        <x:f>SUMIFS('350配方'!$M177:$P177,'350配方'!$Y177:$AB177,7)</x:f>
        <x:v>0</x:v>
      </x:c>
      <x:c r="F177" s="9" t="n">
        <x:f>SUMIFS('350配方'!$M177:$P177,'350配方'!$Y177:$AB177,11)</x:f>
        <x:v>0</x:v>
      </x:c>
      <x:c r="G177" s="9" t="n">
        <x:f>SUMIFS('350配方'!$M177:$P177,'350配方'!$Y177:$AB177,18)</x:f>
        <x:v>0</x:v>
      </x:c>
      <x:c r="H177" s="9" t="n">
        <x:f>SUMIFS('350配方'!$M177:$P177,'350配方'!$Y177:$AB177,32)</x:f>
        <x:v>0</x:v>
      </x:c>
      <x:c r="I177" s="9" t="n">
        <x:f>SUMIFS('350配方'!$M177:$P177,'350配方'!$Y177:$AB177,40)</x:f>
        <x:v>0</x:v>
      </x:c>
      <x:c r="J177" s="9" t="n">
        <x:f>SUMIFS('350配方'!$M177:$P177,'350配方'!$Y177:$AB177,52)</x:f>
        <x:v>0</x:v>
      </x:c>
      <x:c r="K177" s="9" t="n">
        <x:f>SUMIFS('350配方'!$M177:$P177,'350配方'!$Y177:$AB177,53)</x:f>
        <x:v>0</x:v>
      </x:c>
      <x:c r="L177" s="9" t="n">
        <x:f>SUMIFS('350配方'!$M177:$P177,'350配方'!$Y177:$AB177,56)</x:f>
        <x:v>0</x:v>
      </x:c>
      <x:c r="M177" s="9" t="n">
        <x:f>SUMIFS('350配方'!$M177:$P177,'350配方'!$Y177:$AB177,58)</x:f>
        <x:v>0</x:v>
      </x:c>
      <x:c r="N177" s="9" t="n">
        <x:f>SUMIFS('350配方'!$M177:$P177,'350配方'!$Y177:$AB177,61)</x:f>
        <x:v>0</x:v>
      </x:c>
      <x:c r="O177" s="9" t="n">
        <x:f>SUMIFS('350配方'!$M177:$P177,'350配方'!$Y177:$AB177,69)</x:f>
        <x:v>0</x:v>
      </x:c>
      <x:c r="P177" s="9" t="n">
        <x:f>SUMIFS('350配方'!$M177:$P177,'350配方'!$Y177:$AB177,75)</x:f>
        <x:v>1.75</x:v>
      </x:c>
      <x:c r="Q177" s="9" t="n">
        <x:f>SUMIFS('350配方'!$M177:$P177,'350配方'!$Y177:$AB177,79)</x:f>
        <x:v>0</x:v>
      </x:c>
      <x:c r="R177" s="9" t="n">
        <x:f>SUMIFS('350配方'!$M177:$P177,'350配方'!$Y177:$AB177,90)</x:f>
        <x:v>1232.25</x:v>
      </x:c>
      <x:c r="S177" s="9" t="n">
        <x:f>SUMIFS('350配方'!$M177:$P177,'350配方'!$Y177:$AB177,105)</x:f>
        <x:v>0.05</x:v>
      </x:c>
      <x:c r="T177" s="9" t="n">
        <x:f>SUMIFS('350配方'!$M177:$P177,'350配方'!$Y177:$AB177,111)</x:f>
        <x:v>0</x:v>
      </x:c>
      <x:c r="U177" s="9" t="n">
        <x:f>SUMIFS('350配方'!$M177:$P177,'350配方'!$Y177:$AB177,114)</x:f>
        <x:v>0</x:v>
      </x:c>
      <x:c r="V177" s="9" t="n">
        <x:f>SUMIFS('350配方'!$M177:$P177,'350配方'!$Y177:$AB177,115)</x:f>
        <x:v>0</x:v>
      </x:c>
      <x:c r="W177" s="9" t="n">
        <x:f>SUMIFS('350配方'!$M177:$P177,'350配方'!$Y177:$AB177,117)</x:f>
        <x:v>0</x:v>
      </x:c>
      <x:c r="X177" s="9" t="n">
        <x:f>SUMIFS('350配方'!$M177:$P177,'350配方'!$Y177:$AB177,126)</x:f>
        <x:v>0</x:v>
      </x:c>
      <x:c r="Y177" s="9" t="n">
        <x:f>SUMIFS('350配方'!$M177:$P177,'350配方'!$Y177:$AB177,136)</x:f>
        <x:v>0</x:v>
      </x:c>
      <x:c r="Z177" s="9" t="n">
        <x:f>SUMIFS('350配方'!$M177:$P177,'350配方'!$Y177:$AB177,141)</x:f>
        <x:v>0</x:v>
      </x:c>
      <x:c r="AA177" s="9" t="n">
        <x:f>SUMIFS('350配方'!$M177:$P177,'350配方'!$Y177:$AB177,152)</x:f>
        <x:v>0</x:v>
      </x:c>
      <x:c r="AB177" s="9" t="n">
        <x:f>SUMIFS('350配方'!$M177:$P177,'350配方'!$Y177:$AB177,165)</x:f>
        <x:v>0</x:v>
      </x:c>
      <x:c r="AC177" s="9" t="n">
        <x:f>SUMIFS('350配方'!$M177:$P177,'350配方'!$Y177:$AB177,186)</x:f>
        <x:v>0</x:v>
      </x:c>
      <x:c r="AD177" s="9" t="n">
        <x:f>SUMIFS('350配方'!$M177:$P177,'350配方'!$Y177:$AB177,207)</x:f>
        <x:v>0</x:v>
      </x:c>
      <x:c r="AE177" s="9" t="n">
        <x:f>SUMIFS('350配方'!$M177:$P177,'350配方'!$Y177:$AB177,209)</x:f>
        <x:v>0.28</x:v>
      </x:c>
      <x:c r="AF177" s="9" t="n">
        <x:f>SUMIFS('350配方'!$M177:$P177,'350配方'!$Y177:$AB177,227)</x:f>
        <x:v>0</x:v>
      </x:c>
      <x:c r="AG177" s="9" t="n">
        <x:f>SUMIFS('350配方'!$M177:$P177,'350配方'!$Y177:$AB177,232)</x:f>
        <x:v>0</x:v>
      </x:c>
      <x:c r="AH177" s="9" t="n">
        <x:f>SUMIFS('350配方'!$M177:$P177,'350配方'!$Y177:$AB177,255)</x:f>
        <x:v>0</x:v>
      </x:c>
      <x:c r="AI177" s="9" t="n">
        <x:f>'浓度设置'!S6</x:f>
        <x:v>219125.9626344086</x:v>
      </x:c>
      <x:c r="AJ177" s="9" t="n">
        <x:f>'浓度设置'!S8</x:f>
        <x:v>92796.92267241378</x:v>
      </x:c>
      <x:c r="AK177" s="9" t="n">
        <x:f>'浓度设置'!S10</x:f>
        <x:v>30556.797802197798</x:v>
      </x:c>
      <x:c r="AL177" s="9" t="n">
        <x:f>'浓度设置'!S12</x:f>
        <x:v>1735.828970588235</x:v>
      </x:c>
      <x:c r="AM177" s="9" t="n">
        <x:f>'浓度设置'!S15</x:f>
        <x:v>7385.813644067793</x:v>
      </x:c>
      <x:c r="AN177" s="9" t="n">
        <x:f>'浓度设置'!S19</x:f>
        <x:v>27722.03097701148</x:v>
      </x:c>
      <x:c r="AO177" s="9" t="n">
        <x:f>'浓度设置'!S22</x:f>
        <x:v>44345.55047619048</x:v>
      </x:c>
      <x:c r="AP177" s="9" t="n">
        <x:f>'浓度设置'!S26</x:f>
        <x:v>153318.30499999996</x:v>
      </x:c>
      <x:c r="AQ177" s="9" t="n">
        <x:f>'浓度设置'!S29</x:f>
        <x:v>312.7970588235294</x:v>
      </x:c>
      <x:c r="AR177" s="9" t="n">
        <x:f>'浓度设置'!S30</x:f>
        <x:v>104175.5097553192</x:v>
      </x:c>
      <x:c r="AS177" s="9" t="n">
        <x:f>'浓度设置'!S35</x:f>
        <x:v>405974.90656785714</x:v>
      </x:c>
    </x:row>
    <x:row r="178" ht="24" customHeight="1">
      <x:c r="A178" s="3" t="str">
        <x:f>'350配方'!A178</x:f>
        <x:v>T173</x:v>
      </x:c>
      <x:c r="B178" s="3" t="str">
        <x:f>'350配方'!B178</x:f>
        <x:v>拟合</x:v>
      </x:c>
      <x:c r="C178" s="3" t="n">
        <x:f>IF(B178="拟合",1,0)</x:f>
        <x:v>1</x:v>
      </x:c>
      <x:c r="D178" s="3" t="n">
        <x:f>'350配方'!AC178</x:f>
        <x:v>4</x:v>
      </x:c>
      <x:c r="E178" s="9" t="n">
        <x:f>SUMIFS('350配方'!$M178:$P178,'350配方'!$Y178:$AB178,7)</x:f>
        <x:v>0</x:v>
      </x:c>
      <x:c r="F178" s="9" t="n">
        <x:f>SUMIFS('350配方'!$M178:$P178,'350配方'!$Y178:$AB178,11)</x:f>
        <x:v>0</x:v>
      </x:c>
      <x:c r="G178" s="9" t="n">
        <x:f>SUMIFS('350配方'!$M178:$P178,'350配方'!$Y178:$AB178,18)</x:f>
        <x:v>0</x:v>
      </x:c>
      <x:c r="H178" s="9" t="n">
        <x:f>SUMIFS('350配方'!$M178:$P178,'350配方'!$Y178:$AB178,32)</x:f>
        <x:v>0</x:v>
      </x:c>
      <x:c r="I178" s="9" t="n">
        <x:f>SUMIFS('350配方'!$M178:$P178,'350配方'!$Y178:$AB178,40)</x:f>
        <x:v>0</x:v>
      </x:c>
      <x:c r="J178" s="9" t="n">
        <x:f>SUMIFS('350配方'!$M178:$P178,'350配方'!$Y178:$AB178,52)</x:f>
        <x:v>0</x:v>
      </x:c>
      <x:c r="K178" s="9" t="n">
        <x:f>SUMIFS('350配方'!$M178:$P178,'350配方'!$Y178:$AB178,53)</x:f>
        <x:v>0</x:v>
      </x:c>
      <x:c r="L178" s="9" t="n">
        <x:f>SUMIFS('350配方'!$M178:$P178,'350配方'!$Y178:$AB178,56)</x:f>
        <x:v>4105</x:v>
      </x:c>
      <x:c r="M178" s="9" t="n">
        <x:f>SUMIFS('350配方'!$M178:$P178,'350配方'!$Y178:$AB178,58)</x:f>
        <x:v>0</x:v>
      </x:c>
      <x:c r="N178" s="9" t="n">
        <x:f>SUMIFS('350配方'!$M178:$P178,'350配方'!$Y178:$AB178,61)</x:f>
        <x:v>0</x:v>
      </x:c>
      <x:c r="O178" s="9" t="n">
        <x:f>SUMIFS('350配方'!$M178:$P178,'350配方'!$Y178:$AB178,69)</x:f>
        <x:v>0</x:v>
      </x:c>
      <x:c r="P178" s="9" t="n">
        <x:f>SUMIFS('350配方'!$M178:$P178,'350配方'!$Y178:$AB178,75)</x:f>
        <x:v>0</x:v>
      </x:c>
      <x:c r="Q178" s="9" t="n">
        <x:f>SUMIFS('350配方'!$M178:$P178,'350配方'!$Y178:$AB178,79)</x:f>
        <x:v>0</x:v>
      </x:c>
      <x:c r="R178" s="9" t="n">
        <x:f>SUMIFS('350配方'!$M178:$P178,'350配方'!$Y178:$AB178,90)</x:f>
        <x:v>0</x:v>
      </x:c>
      <x:c r="S178" s="9" t="n">
        <x:f>SUMIFS('350配方'!$M178:$P178,'350配方'!$Y178:$AB178,105)</x:f>
        <x:v>0</x:v>
      </x:c>
      <x:c r="T178" s="9" t="n">
        <x:f>SUMIFS('350配方'!$M178:$P178,'350配方'!$Y178:$AB178,111)</x:f>
        <x:v>0</x:v>
      </x:c>
      <x:c r="U178" s="9" t="n">
        <x:f>SUMIFS('350配方'!$M178:$P178,'350配方'!$Y178:$AB178,114)</x:f>
        <x:v>0</x:v>
      </x:c>
      <x:c r="V178" s="9" t="n">
        <x:f>SUMIFS('350配方'!$M178:$P178,'350配方'!$Y178:$AB178,115)</x:f>
        <x:v>96.86609313893071</x:v>
      </x:c>
      <x:c r="W178" s="9" t="n">
        <x:f>SUMIFS('350配方'!$M178:$P178,'350配方'!$Y178:$AB178,117)</x:f>
        <x:v>0</x:v>
      </x:c>
      <x:c r="X178" s="9" t="n">
        <x:f>SUMIFS('350配方'!$M178:$P178,'350配方'!$Y178:$AB178,126)</x:f>
        <x:v>0</x:v>
      </x:c>
      <x:c r="Y178" s="9" t="n">
        <x:f>SUMIFS('350配方'!$M178:$P178,'350配方'!$Y178:$AB178,136)</x:f>
        <x:v>0</x:v>
      </x:c>
      <x:c r="Z178" s="9" t="n">
        <x:f>SUMIFS('350配方'!$M178:$P178,'350配方'!$Y178:$AB178,141)</x:f>
        <x:v>0</x:v>
      </x:c>
      <x:c r="AA178" s="9" t="n">
        <x:f>SUMIFS('350配方'!$M178:$P178,'350配方'!$Y178:$AB178,152)</x:f>
        <x:v>0</x:v>
      </x:c>
      <x:c r="AB178" s="9" t="n">
        <x:f>SUMIFS('350配方'!$M178:$P178,'350配方'!$Y178:$AB178,165)</x:f>
        <x:v>0</x:v>
      </x:c>
      <x:c r="AC178" s="9" t="n">
        <x:f>SUMIFS('350配方'!$M178:$P178,'350配方'!$Y178:$AB178,186)</x:f>
        <x:v>0</x:v>
      </x:c>
      <x:c r="AD178" s="9" t="n">
        <x:f>SUMIFS('350配方'!$M178:$P178,'350配方'!$Y178:$AB178,207)</x:f>
        <x:v>16.47573974060042</x:v>
      </x:c>
      <x:c r="AE178" s="9" t="n">
        <x:f>SUMIFS('350配方'!$M178:$P178,'350配方'!$Y178:$AB178,209)</x:f>
        <x:v>0</x:v>
      </x:c>
      <x:c r="AF178" s="9" t="n">
        <x:f>SUMIFS('350配方'!$M178:$P178,'350配方'!$Y178:$AB178,227)</x:f>
        <x:v>193759</x:v>
      </x:c>
      <x:c r="AG178" s="9" t="n">
        <x:f>SUMIFS('350配方'!$M178:$P178,'350配方'!$Y178:$AB178,232)</x:f>
        <x:v>0</x:v>
      </x:c>
      <x:c r="AH178" s="9" t="n">
        <x:f>SUMIFS('350配方'!$M178:$P178,'350配方'!$Y178:$AB178,255)</x:f>
        <x:v>0</x:v>
      </x:c>
      <x:c r="AI178" s="9" t="n">
        <x:f>'浓度设置'!S6</x:f>
        <x:v>219125.9626344086</x:v>
      </x:c>
      <x:c r="AJ178" s="9" t="n">
        <x:f>'浓度设置'!S8</x:f>
        <x:v>92796.92267241378</x:v>
      </x:c>
      <x:c r="AK178" s="9" t="n">
        <x:f>'浓度设置'!S10</x:f>
        <x:v>30556.797802197798</x:v>
      </x:c>
      <x:c r="AL178" s="9" t="n">
        <x:f>'浓度设置'!S12</x:f>
        <x:v>1735.828970588235</x:v>
      </x:c>
      <x:c r="AM178" s="9" t="n">
        <x:f>'浓度设置'!S15</x:f>
        <x:v>7385.813644067793</x:v>
      </x:c>
      <x:c r="AN178" s="9" t="n">
        <x:f>'浓度设置'!S19</x:f>
        <x:v>27722.03097701148</x:v>
      </x:c>
      <x:c r="AO178" s="9" t="n">
        <x:f>'浓度设置'!S22</x:f>
        <x:v>44345.55047619048</x:v>
      </x:c>
      <x:c r="AP178" s="9" t="n">
        <x:f>'浓度设置'!S26</x:f>
        <x:v>153318.30499999996</x:v>
      </x:c>
      <x:c r="AQ178" s="9" t="n">
        <x:f>'浓度设置'!S29</x:f>
        <x:v>312.7970588235294</x:v>
      </x:c>
      <x:c r="AR178" s="9" t="n">
        <x:f>'浓度设置'!S30</x:f>
        <x:v>104175.5097553192</x:v>
      </x:c>
      <x:c r="AS178" s="9" t="n">
        <x:f>'浓度设置'!S35</x:f>
        <x:v>405974.90656785714</x:v>
      </x:c>
    </x:row>
    <x:row r="179" ht="24" customHeight="1">
      <x:c r="A179" s="3" t="str">
        <x:f>'350配方'!A179</x:f>
        <x:v>T174</x:v>
      </x:c>
      <x:c r="B179" s="3" t="str">
        <x:f>'350配方'!B179</x:f>
        <x:v>拟合</x:v>
      </x:c>
      <x:c r="C179" s="3" t="n">
        <x:f>IF(B179="拟合",1,0)</x:f>
        <x:v>1</x:v>
      </x:c>
      <x:c r="D179" s="3" t="n">
        <x:f>'350配方'!AC179</x:f>
        <x:v>4</x:v>
      </x:c>
      <x:c r="E179" s="9" t="n">
        <x:f>SUMIFS('350配方'!$M179:$P179,'350配方'!$Y179:$AB179,7)</x:f>
        <x:v>0</x:v>
      </x:c>
      <x:c r="F179" s="9" t="n">
        <x:f>SUMIFS('350配方'!$M179:$P179,'350配方'!$Y179:$AB179,11)</x:f>
        <x:v>0</x:v>
      </x:c>
      <x:c r="G179" s="9" t="n">
        <x:f>SUMIFS('350配方'!$M179:$P179,'350配方'!$Y179:$AB179,18)</x:f>
        <x:v>35900</x:v>
      </x:c>
      <x:c r="H179" s="9" t="n">
        <x:f>SUMIFS('350配方'!$M179:$P179,'350配方'!$Y179:$AB179,32)</x:f>
        <x:v>0</x:v>
      </x:c>
      <x:c r="I179" s="9" t="n">
        <x:f>SUMIFS('350配方'!$M179:$P179,'350配方'!$Y179:$AB179,40)</x:f>
        <x:v>200.3122562401013</x:v>
      </x:c>
      <x:c r="J179" s="9" t="n">
        <x:f>SUMIFS('350配方'!$M179:$P179,'350配方'!$Y179:$AB179,52)</x:f>
        <x:v>0</x:v>
      </x:c>
      <x:c r="K179" s="9" t="n">
        <x:f>SUMIFS('350配方'!$M179:$P179,'350配方'!$Y179:$AB179,53)</x:f>
        <x:v>0</x:v>
      </x:c>
      <x:c r="L179" s="9" t="n">
        <x:f>SUMIFS('350配方'!$M179:$P179,'350配方'!$Y179:$AB179,56)</x:f>
        <x:v>0</x:v>
      </x:c>
      <x:c r="M179" s="9" t="n">
        <x:f>SUMIFS('350配方'!$M179:$P179,'350配方'!$Y179:$AB179,58)</x:f>
        <x:v>0</x:v>
      </x:c>
      <x:c r="N179" s="9" t="n">
        <x:f>SUMIFS('350配方'!$M179:$P179,'350配方'!$Y179:$AB179,61)</x:f>
        <x:v>0</x:v>
      </x:c>
      <x:c r="O179" s="9" t="n">
        <x:f>SUMIFS('350配方'!$M179:$P179,'350配方'!$Y179:$AB179,69)</x:f>
        <x:v>0</x:v>
      </x:c>
      <x:c r="P179" s="9" t="n">
        <x:f>SUMIFS('350配方'!$M179:$P179,'350配方'!$Y179:$AB179,75)</x:f>
        <x:v>0</x:v>
      </x:c>
      <x:c r="Q179" s="9" t="n">
        <x:f>SUMIFS('350配方'!$M179:$P179,'350配方'!$Y179:$AB179,79)</x:f>
        <x:v>0</x:v>
      </x:c>
      <x:c r="R179" s="9" t="n">
        <x:f>SUMIFS('350配方'!$M179:$P179,'350配方'!$Y179:$AB179,90)</x:f>
        <x:v>0</x:v>
      </x:c>
      <x:c r="S179" s="9" t="n">
        <x:f>SUMIFS('350配方'!$M179:$P179,'350配方'!$Y179:$AB179,105)</x:f>
        <x:v>0</x:v>
      </x:c>
      <x:c r="T179" s="9" t="n">
        <x:f>SUMIFS('350配方'!$M179:$P179,'350配方'!$Y179:$AB179,111)</x:f>
        <x:v>0</x:v>
      </x:c>
      <x:c r="U179" s="9" t="n">
        <x:f>SUMIFS('350配方'!$M179:$P179,'350配方'!$Y179:$AB179,114)</x:f>
        <x:v>0</x:v>
      </x:c>
      <x:c r="V179" s="9" t="n">
        <x:f>SUMIFS('350配方'!$M179:$P179,'350配方'!$Y179:$AB179,115)</x:f>
        <x:v>0</x:v>
      </x:c>
      <x:c r="W179" s="9" t="n">
        <x:f>SUMIFS('350配方'!$M179:$P179,'350配方'!$Y179:$AB179,117)</x:f>
        <x:v>1.875</x:v>
      </x:c>
      <x:c r="X179" s="9" t="n">
        <x:f>SUMIFS('350配方'!$M179:$P179,'350配方'!$Y179:$AB179,126)</x:f>
        <x:v>0</x:v>
      </x:c>
      <x:c r="Y179" s="9" t="n">
        <x:f>SUMIFS('350配方'!$M179:$P179,'350配方'!$Y179:$AB179,136)</x:f>
        <x:v>0</x:v>
      </x:c>
      <x:c r="Z179" s="9" t="n">
        <x:f>SUMIFS('350配方'!$M179:$P179,'350配方'!$Y179:$AB179,141)</x:f>
        <x:v>0</x:v>
      </x:c>
      <x:c r="AA179" s="9" t="n">
        <x:f>SUMIFS('350配方'!$M179:$P179,'350配方'!$Y179:$AB179,152)</x:f>
        <x:v>0</x:v>
      </x:c>
      <x:c r="AB179" s="9" t="n">
        <x:f>SUMIFS('350配方'!$M179:$P179,'350配方'!$Y179:$AB179,165)</x:f>
        <x:v>0</x:v>
      </x:c>
      <x:c r="AC179" s="9" t="n">
        <x:f>SUMIFS('350配方'!$M179:$P179,'350配方'!$Y179:$AB179,186)</x:f>
        <x:v>4262.731518639193</x:v>
      </x:c>
      <x:c r="AD179" s="9" t="n">
        <x:f>SUMIFS('350配方'!$M179:$P179,'350配方'!$Y179:$AB179,207)</x:f>
        <x:v>0</x:v>
      </x:c>
      <x:c r="AE179" s="9" t="n">
        <x:f>SUMIFS('350配方'!$M179:$P179,'350配方'!$Y179:$AB179,209)</x:f>
        <x:v>0</x:v>
      </x:c>
      <x:c r="AF179" s="9" t="n">
        <x:f>SUMIFS('350配方'!$M179:$P179,'350配方'!$Y179:$AB179,227)</x:f>
        <x:v>0</x:v>
      </x:c>
      <x:c r="AG179" s="9" t="n">
        <x:f>SUMIFS('350配方'!$M179:$P179,'350配方'!$Y179:$AB179,232)</x:f>
        <x:v>0</x:v>
      </x:c>
      <x:c r="AH179" s="9" t="n">
        <x:f>SUMIFS('350配方'!$M179:$P179,'350配方'!$Y179:$AB179,255)</x:f>
        <x:v>0</x:v>
      </x:c>
      <x:c r="AI179" s="9" t="n">
        <x:f>'浓度设置'!S6</x:f>
        <x:v>219125.9626344086</x:v>
      </x:c>
      <x:c r="AJ179" s="9" t="n">
        <x:f>'浓度设置'!S8</x:f>
        <x:v>92796.92267241378</x:v>
      </x:c>
      <x:c r="AK179" s="9" t="n">
        <x:f>'浓度设置'!S10</x:f>
        <x:v>30556.797802197798</x:v>
      </x:c>
      <x:c r="AL179" s="9" t="n">
        <x:f>'浓度设置'!S12</x:f>
        <x:v>1735.828970588235</x:v>
      </x:c>
      <x:c r="AM179" s="9" t="n">
        <x:f>'浓度设置'!S15</x:f>
        <x:v>7385.813644067793</x:v>
      </x:c>
      <x:c r="AN179" s="9" t="n">
        <x:f>'浓度设置'!S19</x:f>
        <x:v>27722.03097701148</x:v>
      </x:c>
      <x:c r="AO179" s="9" t="n">
        <x:f>'浓度设置'!S22</x:f>
        <x:v>44345.55047619048</x:v>
      </x:c>
      <x:c r="AP179" s="9" t="n">
        <x:f>'浓度设置'!S26</x:f>
        <x:v>153318.30499999996</x:v>
      </x:c>
      <x:c r="AQ179" s="9" t="n">
        <x:f>'浓度设置'!S29</x:f>
        <x:v>312.7970588235294</x:v>
      </x:c>
      <x:c r="AR179" s="9" t="n">
        <x:f>'浓度设置'!S30</x:f>
        <x:v>104175.5097553192</x:v>
      </x:c>
      <x:c r="AS179" s="9" t="n">
        <x:f>'浓度设置'!S35</x:f>
        <x:v>405974.90656785714</x:v>
      </x:c>
    </x:row>
    <x:row r="180" ht="24" customHeight="1">
      <x:c r="A180" s="3" t="str">
        <x:f>'350配方'!A180</x:f>
        <x:v>T175</x:v>
      </x:c>
      <x:c r="B180" s="3" t="str">
        <x:f>'350配方'!B180</x:f>
        <x:v>拟合</x:v>
      </x:c>
      <x:c r="C180" s="3" t="n">
        <x:f>IF(B180="拟合",1,0)</x:f>
        <x:v>1</x:v>
      </x:c>
      <x:c r="D180" s="3" t="n">
        <x:f>'350配方'!AC180</x:f>
        <x:v>4</x:v>
      </x:c>
      <x:c r="E180" s="9" t="n">
        <x:f>SUMIFS('350配方'!$M180:$P180,'350配方'!$Y180:$AB180,7)</x:f>
        <x:v>0</x:v>
      </x:c>
      <x:c r="F180" s="9" t="n">
        <x:f>SUMIFS('350配方'!$M180:$P180,'350配方'!$Y180:$AB180,11)</x:f>
        <x:v>0</x:v>
      </x:c>
      <x:c r="G180" s="9" t="n">
        <x:f>SUMIFS('350配方'!$M180:$P180,'350配方'!$Y180:$AB180,18)</x:f>
        <x:v>0</x:v>
      </x:c>
      <x:c r="H180" s="9" t="n">
        <x:f>SUMIFS('350配方'!$M180:$P180,'350配方'!$Y180:$AB180,32)</x:f>
        <x:v>836.8360173893091</x:v>
      </x:c>
      <x:c r="I180" s="9" t="n">
        <x:f>SUMIFS('350配方'!$M180:$P180,'350配方'!$Y180:$AB180,40)</x:f>
        <x:v>0</x:v>
      </x:c>
      <x:c r="J180" s="9" t="n">
        <x:f>SUMIFS('350配方'!$M180:$P180,'350配方'!$Y180:$AB180,52)</x:f>
        <x:v>0</x:v>
      </x:c>
      <x:c r="K180" s="9" t="n">
        <x:f>SUMIFS('350配方'!$M180:$P180,'350配方'!$Y180:$AB180,53)</x:f>
        <x:v>0</x:v>
      </x:c>
      <x:c r="L180" s="9" t="n">
        <x:f>SUMIFS('350配方'!$M180:$P180,'350配方'!$Y180:$AB180,56)</x:f>
        <x:v>0</x:v>
      </x:c>
      <x:c r="M180" s="9" t="n">
        <x:f>SUMIFS('350配方'!$M180:$P180,'350配方'!$Y180:$AB180,58)</x:f>
        <x:v>0</x:v>
      </x:c>
      <x:c r="N180" s="9" t="n">
        <x:f>SUMIFS('350配方'!$M180:$P180,'350配方'!$Y180:$AB180,61)</x:f>
        <x:v>0</x:v>
      </x:c>
      <x:c r="O180" s="9" t="n">
        <x:f>SUMIFS('350配方'!$M180:$P180,'350配方'!$Y180:$AB180,69)</x:f>
        <x:v>0</x:v>
      </x:c>
      <x:c r="P180" s="9" t="n">
        <x:f>SUMIFS('350配方'!$M180:$P180,'350配方'!$Y180:$AB180,75)</x:f>
        <x:v>0</x:v>
      </x:c>
      <x:c r="Q180" s="9" t="n">
        <x:f>SUMIFS('350配方'!$M180:$P180,'350配方'!$Y180:$AB180,79)</x:f>
        <x:v>0</x:v>
      </x:c>
      <x:c r="R180" s="9" t="n">
        <x:f>SUMIFS('350配方'!$M180:$P180,'350配方'!$Y180:$AB180,90)</x:f>
        <x:v>0</x:v>
      </x:c>
      <x:c r="S180" s="9" t="n">
        <x:f>SUMIFS('350配方'!$M180:$P180,'350配方'!$Y180:$AB180,105)</x:f>
        <x:v>0</x:v>
      </x:c>
      <x:c r="T180" s="9" t="n">
        <x:f>SUMIFS('350配方'!$M180:$P180,'350配方'!$Y180:$AB180,111)</x:f>
        <x:v>0</x:v>
      </x:c>
      <x:c r="U180" s="9" t="n">
        <x:f>SUMIFS('350配方'!$M180:$P180,'350配方'!$Y180:$AB180,114)</x:f>
        <x:v>3147.945</x:v>
      </x:c>
      <x:c r="V180" s="9" t="n">
        <x:f>SUMIFS('350配方'!$M180:$P180,'350配方'!$Y180:$AB180,115)</x:f>
        <x:v>0</x:v>
      </x:c>
      <x:c r="W180" s="9" t="n">
        <x:f>SUMIFS('350配方'!$M180:$P180,'350配方'!$Y180:$AB180,117)</x:f>
        <x:v>0</x:v>
      </x:c>
      <x:c r="X180" s="9" t="n">
        <x:f>SUMIFS('350配方'!$M180:$P180,'350配方'!$Y180:$AB180,126)</x:f>
        <x:v>1551340.76</x:v>
      </x:c>
      <x:c r="Y180" s="9" t="n">
        <x:f>SUMIFS('350配方'!$M180:$P180,'350配方'!$Y180:$AB180,136)</x:f>
        <x:v>1.1875</x:v>
      </x:c>
      <x:c r="Z180" s="9" t="n">
        <x:f>SUMIFS('350配方'!$M180:$P180,'350配方'!$Y180:$AB180,141)</x:f>
        <x:v>0</x:v>
      </x:c>
      <x:c r="AA180" s="9" t="n">
        <x:f>SUMIFS('350配方'!$M180:$P180,'350配方'!$Y180:$AB180,152)</x:f>
        <x:v>0</x:v>
      </x:c>
      <x:c r="AB180" s="9" t="n">
        <x:f>SUMIFS('350配方'!$M180:$P180,'350配方'!$Y180:$AB180,165)</x:f>
        <x:v>0</x:v>
      </x:c>
      <x:c r="AC180" s="9" t="n">
        <x:f>SUMIFS('350配方'!$M180:$P180,'350配方'!$Y180:$AB180,186)</x:f>
        <x:v>0</x:v>
      </x:c>
      <x:c r="AD180" s="9" t="n">
        <x:f>SUMIFS('350配方'!$M180:$P180,'350配方'!$Y180:$AB180,207)</x:f>
        <x:v>0</x:v>
      </x:c>
      <x:c r="AE180" s="9" t="n">
        <x:f>SUMIFS('350配方'!$M180:$P180,'350配方'!$Y180:$AB180,209)</x:f>
        <x:v>0</x:v>
      </x:c>
      <x:c r="AF180" s="9" t="n">
        <x:f>SUMIFS('350配方'!$M180:$P180,'350配方'!$Y180:$AB180,227)</x:f>
        <x:v>0</x:v>
      </x:c>
      <x:c r="AG180" s="9" t="n">
        <x:f>SUMIFS('350配方'!$M180:$P180,'350配方'!$Y180:$AB180,232)</x:f>
        <x:v>0</x:v>
      </x:c>
      <x:c r="AH180" s="9" t="n">
        <x:f>SUMIFS('350配方'!$M180:$P180,'350配方'!$Y180:$AB180,255)</x:f>
        <x:v>0</x:v>
      </x:c>
      <x:c r="AI180" s="9" t="n">
        <x:f>'浓度设置'!S6</x:f>
        <x:v>219125.9626344086</x:v>
      </x:c>
      <x:c r="AJ180" s="9" t="n">
        <x:f>'浓度设置'!S8</x:f>
        <x:v>92796.92267241378</x:v>
      </x:c>
      <x:c r="AK180" s="9" t="n">
        <x:f>'浓度设置'!S10</x:f>
        <x:v>30556.797802197798</x:v>
      </x:c>
      <x:c r="AL180" s="9" t="n">
        <x:f>'浓度设置'!S12</x:f>
        <x:v>1735.828970588235</x:v>
      </x:c>
      <x:c r="AM180" s="9" t="n">
        <x:f>'浓度设置'!S15</x:f>
        <x:v>7385.813644067793</x:v>
      </x:c>
      <x:c r="AN180" s="9" t="n">
        <x:f>'浓度设置'!S19</x:f>
        <x:v>27722.03097701148</x:v>
      </x:c>
      <x:c r="AO180" s="9" t="n">
        <x:f>'浓度设置'!S22</x:f>
        <x:v>44345.55047619048</x:v>
      </x:c>
      <x:c r="AP180" s="9" t="n">
        <x:f>'浓度设置'!S26</x:f>
        <x:v>153318.30499999996</x:v>
      </x:c>
      <x:c r="AQ180" s="9" t="n">
        <x:f>'浓度设置'!S29</x:f>
        <x:v>312.7970588235294</x:v>
      </x:c>
      <x:c r="AR180" s="9" t="n">
        <x:f>'浓度设置'!S30</x:f>
        <x:v>104175.5097553192</x:v>
      </x:c>
      <x:c r="AS180" s="9" t="n">
        <x:f>'浓度设置'!S35</x:f>
        <x:v>405974.90656785714</x:v>
      </x:c>
    </x:row>
    <x:row r="181" ht="24" customHeight="1">
      <x:c r="A181" s="3" t="str">
        <x:f>'350配方'!A181</x:f>
        <x:v>T176</x:v>
      </x:c>
      <x:c r="B181" s="3" t="str">
        <x:f>'350配方'!B181</x:f>
        <x:v>拟合</x:v>
      </x:c>
      <x:c r="C181" s="3" t="n">
        <x:f>IF(B181="拟合",1,0)</x:f>
        <x:v>1</x:v>
      </x:c>
      <x:c r="D181" s="3" t="n">
        <x:f>'350配方'!AC181</x:f>
        <x:v>4</x:v>
      </x:c>
      <x:c r="E181" s="9" t="n">
        <x:f>SUMIFS('350配方'!$M181:$P181,'350配方'!$Y181:$AB181,7)</x:f>
        <x:v>173</x:v>
      </x:c>
      <x:c r="F181" s="9" t="n">
        <x:f>SUMIFS('350配方'!$M181:$P181,'350配方'!$Y181:$AB181,11)</x:f>
        <x:v>0</x:v>
      </x:c>
      <x:c r="G181" s="9" t="n">
        <x:f>SUMIFS('350配方'!$M181:$P181,'350配方'!$Y181:$AB181,18)</x:f>
        <x:v>0</x:v>
      </x:c>
      <x:c r="H181" s="9" t="n">
        <x:f>SUMIFS('350配方'!$M181:$P181,'350配方'!$Y181:$AB181,32)</x:f>
        <x:v>0</x:v>
      </x:c>
      <x:c r="I181" s="9" t="n">
        <x:f>SUMIFS('350配方'!$M181:$P181,'350配方'!$Y181:$AB181,40)</x:f>
        <x:v>0</x:v>
      </x:c>
      <x:c r="J181" s="9" t="n">
        <x:f>SUMIFS('350配方'!$M181:$P181,'350配方'!$Y181:$AB181,52)</x:f>
        <x:v>0</x:v>
      </x:c>
      <x:c r="K181" s="9" t="n">
        <x:f>SUMIFS('350配方'!$M181:$P181,'350配方'!$Y181:$AB181,53)</x:f>
        <x:v>0</x:v>
      </x:c>
      <x:c r="L181" s="9" t="n">
        <x:f>SUMIFS('350配方'!$M181:$P181,'350配方'!$Y181:$AB181,56)</x:f>
        <x:v>0</x:v>
      </x:c>
      <x:c r="M181" s="9" t="n">
        <x:f>SUMIFS('350配方'!$M181:$P181,'350配方'!$Y181:$AB181,58)</x:f>
        <x:v>1865945</x:v>
      </x:c>
      <x:c r="N181" s="9" t="n">
        <x:f>SUMIFS('350配方'!$M181:$P181,'350配方'!$Y181:$AB181,61)</x:f>
        <x:v>0</x:v>
      </x:c>
      <x:c r="O181" s="9" t="n">
        <x:f>SUMIFS('350配方'!$M181:$P181,'350配方'!$Y181:$AB181,69)</x:f>
        <x:v>0</x:v>
      </x:c>
      <x:c r="P181" s="9" t="n">
        <x:f>SUMIFS('350配方'!$M181:$P181,'350配方'!$Y181:$AB181,75)</x:f>
        <x:v>0</x:v>
      </x:c>
      <x:c r="Q181" s="9" t="n">
        <x:f>SUMIFS('350配方'!$M181:$P181,'350配方'!$Y181:$AB181,79)</x:f>
        <x:v>56115</x:v>
      </x:c>
      <x:c r="R181" s="9" t="n">
        <x:f>SUMIFS('350配方'!$M181:$P181,'350配方'!$Y181:$AB181,90)</x:f>
        <x:v>0</x:v>
      </x:c>
      <x:c r="S181" s="9" t="n">
        <x:f>SUMIFS('350配方'!$M181:$P181,'350配方'!$Y181:$AB181,105)</x:f>
        <x:v>0</x:v>
      </x:c>
      <x:c r="T181" s="9" t="n">
        <x:f>SUMIFS('350配方'!$M181:$P181,'350配方'!$Y181:$AB181,111)</x:f>
        <x:v>89562.18016998023</x:v>
      </x:c>
      <x:c r="U181" s="9" t="n">
        <x:f>SUMIFS('350配方'!$M181:$P181,'350配方'!$Y181:$AB181,114)</x:f>
        <x:v>0</x:v>
      </x:c>
      <x:c r="V181" s="9" t="n">
        <x:f>SUMIFS('350配方'!$M181:$P181,'350配方'!$Y181:$AB181,115)</x:f>
        <x:v>0</x:v>
      </x:c>
      <x:c r="W181" s="9" t="n">
        <x:f>SUMIFS('350配方'!$M181:$P181,'350配方'!$Y181:$AB181,117)</x:f>
        <x:v>0</x:v>
      </x:c>
      <x:c r="X181" s="9" t="n">
        <x:f>SUMIFS('350配方'!$M181:$P181,'350配方'!$Y181:$AB181,126)</x:f>
        <x:v>0</x:v>
      </x:c>
      <x:c r="Y181" s="9" t="n">
        <x:f>SUMIFS('350配方'!$M181:$P181,'350配方'!$Y181:$AB181,136)</x:f>
        <x:v>0</x:v>
      </x:c>
      <x:c r="Z181" s="9" t="n">
        <x:f>SUMIFS('350配方'!$M181:$P181,'350配方'!$Y181:$AB181,141)</x:f>
        <x:v>0</x:v>
      </x:c>
      <x:c r="AA181" s="9" t="n">
        <x:f>SUMIFS('350配方'!$M181:$P181,'350配方'!$Y181:$AB181,152)</x:f>
        <x:v>0</x:v>
      </x:c>
      <x:c r="AB181" s="9" t="n">
        <x:f>SUMIFS('350配方'!$M181:$P181,'350配方'!$Y181:$AB181,165)</x:f>
        <x:v>0</x:v>
      </x:c>
      <x:c r="AC181" s="9" t="n">
        <x:f>SUMIFS('350配方'!$M181:$P181,'350配方'!$Y181:$AB181,186)</x:f>
        <x:v>0</x:v>
      </x:c>
      <x:c r="AD181" s="9" t="n">
        <x:f>SUMIFS('350配方'!$M181:$P181,'350配方'!$Y181:$AB181,207)</x:f>
        <x:v>0</x:v>
      </x:c>
      <x:c r="AE181" s="9" t="n">
        <x:f>SUMIFS('350配方'!$M181:$P181,'350配方'!$Y181:$AB181,209)</x:f>
        <x:v>0</x:v>
      </x:c>
      <x:c r="AF181" s="9" t="n">
        <x:f>SUMIFS('350配方'!$M181:$P181,'350配方'!$Y181:$AB181,227)</x:f>
        <x:v>0</x:v>
      </x:c>
      <x:c r="AG181" s="9" t="n">
        <x:f>SUMIFS('350配方'!$M181:$P181,'350配方'!$Y181:$AB181,232)</x:f>
        <x:v>0</x:v>
      </x:c>
      <x:c r="AH181" s="9" t="n">
        <x:f>SUMIFS('350配方'!$M181:$P181,'350配方'!$Y181:$AB181,255)</x:f>
        <x:v>0</x:v>
      </x:c>
      <x:c r="AI181" s="9" t="n">
        <x:f>'浓度设置'!S6</x:f>
        <x:v>219125.9626344086</x:v>
      </x:c>
      <x:c r="AJ181" s="9" t="n">
        <x:f>'浓度设置'!S8</x:f>
        <x:v>92796.92267241378</x:v>
      </x:c>
      <x:c r="AK181" s="9" t="n">
        <x:f>'浓度设置'!S10</x:f>
        <x:v>30556.797802197798</x:v>
      </x:c>
      <x:c r="AL181" s="9" t="n">
        <x:f>'浓度设置'!S12</x:f>
        <x:v>1735.828970588235</x:v>
      </x:c>
      <x:c r="AM181" s="9" t="n">
        <x:f>'浓度设置'!S15</x:f>
        <x:v>7385.813644067793</x:v>
      </x:c>
      <x:c r="AN181" s="9" t="n">
        <x:f>'浓度设置'!S19</x:f>
        <x:v>27722.03097701148</x:v>
      </x:c>
      <x:c r="AO181" s="9" t="n">
        <x:f>'浓度设置'!S22</x:f>
        <x:v>44345.55047619048</x:v>
      </x:c>
      <x:c r="AP181" s="9" t="n">
        <x:f>'浓度设置'!S26</x:f>
        <x:v>153318.30499999996</x:v>
      </x:c>
      <x:c r="AQ181" s="9" t="n">
        <x:f>'浓度设置'!S29</x:f>
        <x:v>312.7970588235294</x:v>
      </x:c>
      <x:c r="AR181" s="9" t="n">
        <x:f>'浓度设置'!S30</x:f>
        <x:v>104175.5097553192</x:v>
      </x:c>
      <x:c r="AS181" s="9" t="n">
        <x:f>'浓度设置'!S35</x:f>
        <x:v>405974.90656785714</x:v>
      </x:c>
    </x:row>
    <x:row r="182" ht="24" customHeight="1">
      <x:c r="A182" s="3" t="str">
        <x:f>'350配方'!A182</x:f>
        <x:v>T177</x:v>
      </x:c>
      <x:c r="B182" s="3" t="str">
        <x:f>'350配方'!B182</x:f>
        <x:v>拟合</x:v>
      </x:c>
      <x:c r="C182" s="3" t="n">
        <x:f>IF(B182="拟合",1,0)</x:f>
        <x:v>1</x:v>
      </x:c>
      <x:c r="D182" s="3" t="n">
        <x:f>'350配方'!AC182</x:f>
        <x:v>4</x:v>
      </x:c>
      <x:c r="E182" s="9" t="n">
        <x:f>SUMIFS('350配方'!$M182:$P182,'350配方'!$Y182:$AB182,7)</x:f>
        <x:v>0</x:v>
      </x:c>
      <x:c r="F182" s="9" t="n">
        <x:f>SUMIFS('350配方'!$M182:$P182,'350配方'!$Y182:$AB182,11)</x:f>
        <x:v>0</x:v>
      </x:c>
      <x:c r="G182" s="9" t="n">
        <x:f>SUMIFS('350配方'!$M182:$P182,'350配方'!$Y182:$AB182,18)</x:f>
        <x:v>0</x:v>
      </x:c>
      <x:c r="H182" s="9" t="n">
        <x:f>SUMIFS('350配方'!$M182:$P182,'350配方'!$Y182:$AB182,32)</x:f>
        <x:v>0</x:v>
      </x:c>
      <x:c r="I182" s="9" t="n">
        <x:f>SUMIFS('350配方'!$M182:$P182,'350配方'!$Y182:$AB182,40)</x:f>
        <x:v>0</x:v>
      </x:c>
      <x:c r="J182" s="9" t="n">
        <x:f>SUMIFS('350配方'!$M182:$P182,'350配方'!$Y182:$AB182,52)</x:f>
        <x:v>0</x:v>
      </x:c>
      <x:c r="K182" s="9" t="n">
        <x:f>SUMIFS('350配方'!$M182:$P182,'350配方'!$Y182:$AB182,53)</x:f>
        <x:v>0</x:v>
      </x:c>
      <x:c r="L182" s="9" t="n">
        <x:f>SUMIFS('350配方'!$M182:$P182,'350配方'!$Y182:$AB182,56)</x:f>
        <x:v>0</x:v>
      </x:c>
      <x:c r="M182" s="9" t="n">
        <x:f>SUMIFS('350配方'!$M182:$P182,'350配方'!$Y182:$AB182,58)</x:f>
        <x:v>0</x:v>
      </x:c>
      <x:c r="N182" s="9" t="n">
        <x:f>SUMIFS('350配方'!$M182:$P182,'350配方'!$Y182:$AB182,61)</x:f>
        <x:v>0</x:v>
      </x:c>
      <x:c r="O182" s="9" t="n">
        <x:f>SUMIFS('350配方'!$M182:$P182,'350配方'!$Y182:$AB182,69)</x:f>
        <x:v>0</x:v>
      </x:c>
      <x:c r="P182" s="9" t="n">
        <x:f>SUMIFS('350配方'!$M182:$P182,'350配方'!$Y182:$AB182,75)</x:f>
        <x:v>1.75</x:v>
      </x:c>
      <x:c r="Q182" s="9" t="n">
        <x:f>SUMIFS('350配方'!$M182:$P182,'350配方'!$Y182:$AB182,79)</x:f>
        <x:v>0</x:v>
      </x:c>
      <x:c r="R182" s="9" t="n">
        <x:f>SUMIFS('350配方'!$M182:$P182,'350配方'!$Y182:$AB182,90)</x:f>
        <x:v>0</x:v>
      </x:c>
      <x:c r="S182" s="9" t="n">
        <x:f>SUMIFS('350配方'!$M182:$P182,'350配方'!$Y182:$AB182,105)</x:f>
        <x:v>0</x:v>
      </x:c>
      <x:c r="T182" s="9" t="n">
        <x:f>SUMIFS('350配方'!$M182:$P182,'350配方'!$Y182:$AB182,111)</x:f>
        <x:v>0</x:v>
      </x:c>
      <x:c r="U182" s="9" t="n">
        <x:f>SUMIFS('350配方'!$M182:$P182,'350配方'!$Y182:$AB182,114)</x:f>
        <x:v>0</x:v>
      </x:c>
      <x:c r="V182" s="9" t="n">
        <x:f>SUMIFS('350配方'!$M182:$P182,'350配方'!$Y182:$AB182,115)</x:f>
        <x:v>6516</x:v>
      </x:c>
      <x:c r="W182" s="9" t="n">
        <x:f>SUMIFS('350配方'!$M182:$P182,'350配方'!$Y182:$AB182,117)</x:f>
        <x:v>0</x:v>
      </x:c>
      <x:c r="X182" s="9" t="n">
        <x:f>SUMIFS('350配方'!$M182:$P182,'350配方'!$Y182:$AB182,126)</x:f>
        <x:v>0</x:v>
      </x:c>
      <x:c r="Y182" s="9" t="n">
        <x:f>SUMIFS('350配方'!$M182:$P182,'350配方'!$Y182:$AB182,136)</x:f>
        <x:v>0</x:v>
      </x:c>
      <x:c r="Z182" s="9" t="n">
        <x:f>SUMIFS('350配方'!$M182:$P182,'350配方'!$Y182:$AB182,141)</x:f>
        <x:v>1512.497272724814</x:v>
      </x:c>
      <x:c r="AA182" s="9" t="n">
        <x:f>SUMIFS('350配方'!$M182:$P182,'350配方'!$Y182:$AB182,152)</x:f>
        <x:v>0</x:v>
      </x:c>
      <x:c r="AB182" s="9" t="n">
        <x:f>SUMIFS('350配方'!$M182:$P182,'350配方'!$Y182:$AB182,165)</x:f>
        <x:v>0</x:v>
      </x:c>
      <x:c r="AC182" s="9" t="n">
        <x:f>SUMIFS('350配方'!$M182:$P182,'350配方'!$Y182:$AB182,186)</x:f>
        <x:v>0</x:v>
      </x:c>
      <x:c r="AD182" s="9" t="n">
        <x:f>SUMIFS('350配方'!$M182:$P182,'350配方'!$Y182:$AB182,207)</x:f>
        <x:v>0</x:v>
      </x:c>
      <x:c r="AE182" s="9" t="n">
        <x:f>SUMIFS('350配方'!$M182:$P182,'350配方'!$Y182:$AB182,209)</x:f>
        <x:v>0</x:v>
      </x:c>
      <x:c r="AF182" s="9" t="n">
        <x:f>SUMIFS('350配方'!$M182:$P182,'350配方'!$Y182:$AB182,227)</x:f>
        <x:v>0</x:v>
      </x:c>
      <x:c r="AG182" s="9" t="n">
        <x:f>SUMIFS('350配方'!$M182:$P182,'350配方'!$Y182:$AB182,232)</x:f>
        <x:v>1611</x:v>
      </x:c>
      <x:c r="AH182" s="9" t="n">
        <x:f>SUMIFS('350配方'!$M182:$P182,'350配方'!$Y182:$AB182,255)</x:f>
        <x:v>0</x:v>
      </x:c>
      <x:c r="AI182" s="9" t="n">
        <x:f>'浓度设置'!S6</x:f>
        <x:v>219125.9626344086</x:v>
      </x:c>
      <x:c r="AJ182" s="9" t="n">
        <x:f>'浓度设置'!S8</x:f>
        <x:v>92796.92267241378</x:v>
      </x:c>
      <x:c r="AK182" s="9" t="n">
        <x:f>'浓度设置'!S10</x:f>
        <x:v>30556.797802197798</x:v>
      </x:c>
      <x:c r="AL182" s="9" t="n">
        <x:f>'浓度设置'!S12</x:f>
        <x:v>1735.828970588235</x:v>
      </x:c>
      <x:c r="AM182" s="9" t="n">
        <x:f>'浓度设置'!S15</x:f>
        <x:v>7385.813644067793</x:v>
      </x:c>
      <x:c r="AN182" s="9" t="n">
        <x:f>'浓度设置'!S19</x:f>
        <x:v>27722.03097701148</x:v>
      </x:c>
      <x:c r="AO182" s="9" t="n">
        <x:f>'浓度设置'!S22</x:f>
        <x:v>44345.55047619048</x:v>
      </x:c>
      <x:c r="AP182" s="9" t="n">
        <x:f>'浓度设置'!S26</x:f>
        <x:v>153318.30499999996</x:v>
      </x:c>
      <x:c r="AQ182" s="9" t="n">
        <x:f>'浓度设置'!S29</x:f>
        <x:v>312.7970588235294</x:v>
      </x:c>
      <x:c r="AR182" s="9" t="n">
        <x:f>'浓度设置'!S30</x:f>
        <x:v>104175.5097553192</x:v>
      </x:c>
      <x:c r="AS182" s="9" t="n">
        <x:f>'浓度设置'!S35</x:f>
        <x:v>405974.90656785714</x:v>
      </x:c>
    </x:row>
    <x:row r="183" ht="24" customHeight="1">
      <x:c r="A183" s="3" t="str">
        <x:f>'350配方'!A183</x:f>
        <x:v>T178</x:v>
      </x:c>
      <x:c r="B183" s="3" t="str">
        <x:f>'350配方'!B183</x:f>
        <x:v>拟合</x:v>
      </x:c>
      <x:c r="C183" s="3" t="n">
        <x:f>IF(B183="拟合",1,0)</x:f>
        <x:v>1</x:v>
      </x:c>
      <x:c r="D183" s="3" t="n">
        <x:f>'350配方'!AC183</x:f>
        <x:v>4</x:v>
      </x:c>
      <x:c r="E183" s="9" t="n">
        <x:f>SUMIFS('350配方'!$M183:$P183,'350配方'!$Y183:$AB183,7)</x:f>
        <x:v>0</x:v>
      </x:c>
      <x:c r="F183" s="9" t="n">
        <x:f>SUMIFS('350配方'!$M183:$P183,'350配方'!$Y183:$AB183,11)</x:f>
        <x:v>0</x:v>
      </x:c>
      <x:c r="G183" s="9" t="n">
        <x:f>SUMIFS('350配方'!$M183:$P183,'350配方'!$Y183:$AB183,18)</x:f>
        <x:v>39</x:v>
      </x:c>
      <x:c r="H183" s="9" t="n">
        <x:f>SUMIFS('350配方'!$M183:$P183,'350配方'!$Y183:$AB183,32)</x:f>
        <x:v>0</x:v>
      </x:c>
      <x:c r="I183" s="9" t="n">
        <x:f>SUMIFS('350配方'!$M183:$P183,'350配方'!$Y183:$AB183,40)</x:f>
        <x:v>0</x:v>
      </x:c>
      <x:c r="J183" s="9" t="n">
        <x:f>SUMIFS('350配方'!$M183:$P183,'350配方'!$Y183:$AB183,52)</x:f>
        <x:v>0</x:v>
      </x:c>
      <x:c r="K183" s="9" t="n">
        <x:f>SUMIFS('350配方'!$M183:$P183,'350配方'!$Y183:$AB183,53)</x:f>
        <x:v>0</x:v>
      </x:c>
      <x:c r="L183" s="9" t="n">
        <x:f>SUMIFS('350配方'!$M183:$P183,'350配方'!$Y183:$AB183,56)</x:f>
        <x:v>0</x:v>
      </x:c>
      <x:c r="M183" s="9" t="n">
        <x:f>SUMIFS('350配方'!$M183:$P183,'350配方'!$Y183:$AB183,58)</x:f>
        <x:v>0</x:v>
      </x:c>
      <x:c r="N183" s="9" t="n">
        <x:f>SUMIFS('350配方'!$M183:$P183,'350配方'!$Y183:$AB183,61)</x:f>
        <x:v>6914</x:v>
      </x:c>
      <x:c r="O183" s="9" t="n">
        <x:f>SUMIFS('350配方'!$M183:$P183,'350配方'!$Y183:$AB183,69)</x:f>
        <x:v>0</x:v>
      </x:c>
      <x:c r="P183" s="9" t="n">
        <x:f>SUMIFS('350配方'!$M183:$P183,'350配方'!$Y183:$AB183,75)</x:f>
        <x:v>0</x:v>
      </x:c>
      <x:c r="Q183" s="9" t="n">
        <x:f>SUMIFS('350配方'!$M183:$P183,'350配方'!$Y183:$AB183,79)</x:f>
        <x:v>0</x:v>
      </x:c>
      <x:c r="R183" s="9" t="n">
        <x:f>SUMIFS('350配方'!$M183:$P183,'350配方'!$Y183:$AB183,90)</x:f>
        <x:v>0</x:v>
      </x:c>
      <x:c r="S183" s="9" t="n">
        <x:f>SUMIFS('350配方'!$M183:$P183,'350配方'!$Y183:$AB183,105)</x:f>
        <x:v>0.05</x:v>
      </x:c>
      <x:c r="T183" s="9" t="n">
        <x:f>SUMIFS('350配方'!$M183:$P183,'350配方'!$Y183:$AB183,111)</x:f>
        <x:v>0</x:v>
      </x:c>
      <x:c r="U183" s="9" t="n">
        <x:f>SUMIFS('350配方'!$M183:$P183,'350配方'!$Y183:$AB183,114)</x:f>
        <x:v>0</x:v>
      </x:c>
      <x:c r="V183" s="9" t="n">
        <x:f>SUMIFS('350配方'!$M183:$P183,'350配方'!$Y183:$AB183,115)</x:f>
        <x:v>0</x:v>
      </x:c>
      <x:c r="W183" s="9" t="n">
        <x:f>SUMIFS('350配方'!$M183:$P183,'350配方'!$Y183:$AB183,117)</x:f>
        <x:v>0</x:v>
      </x:c>
      <x:c r="X183" s="9" t="n">
        <x:f>SUMIFS('350配方'!$M183:$P183,'350配方'!$Y183:$AB183,126)</x:f>
        <x:v>0</x:v>
      </x:c>
      <x:c r="Y183" s="9" t="n">
        <x:f>SUMIFS('350配方'!$M183:$P183,'350配方'!$Y183:$AB183,136)</x:f>
        <x:v>0</x:v>
      </x:c>
      <x:c r="Z183" s="9" t="n">
        <x:f>SUMIFS('350配方'!$M183:$P183,'350配方'!$Y183:$AB183,141)</x:f>
        <x:v>0</x:v>
      </x:c>
      <x:c r="AA183" s="9" t="n">
        <x:f>SUMIFS('350配方'!$M183:$P183,'350配方'!$Y183:$AB183,152)</x:f>
        <x:v>0</x:v>
      </x:c>
      <x:c r="AB183" s="9" t="n">
        <x:f>SUMIFS('350配方'!$M183:$P183,'350配方'!$Y183:$AB183,165)</x:f>
        <x:v>0</x:v>
      </x:c>
      <x:c r="AC183" s="9" t="n">
        <x:f>SUMIFS('350配方'!$M183:$P183,'350配方'!$Y183:$AB183,186)</x:f>
        <x:v>0</x:v>
      </x:c>
      <x:c r="AD183" s="9" t="n">
        <x:f>SUMIFS('350配方'!$M183:$P183,'350配方'!$Y183:$AB183,207)</x:f>
        <x:v>16.47573974060042</x:v>
      </x:c>
      <x:c r="AE183" s="9" t="n">
        <x:f>SUMIFS('350配方'!$M183:$P183,'350配方'!$Y183:$AB183,209)</x:f>
        <x:v>0</x:v>
      </x:c>
      <x:c r="AF183" s="9" t="n">
        <x:f>SUMIFS('350配方'!$M183:$P183,'350配方'!$Y183:$AB183,227)</x:f>
        <x:v>0</x:v>
      </x:c>
      <x:c r="AG183" s="9" t="n">
        <x:f>SUMIFS('350配方'!$M183:$P183,'350配方'!$Y183:$AB183,232)</x:f>
        <x:v>0</x:v>
      </x:c>
      <x:c r="AH183" s="9" t="n">
        <x:f>SUMIFS('350配方'!$M183:$P183,'350配方'!$Y183:$AB183,255)</x:f>
        <x:v>0</x:v>
      </x:c>
      <x:c r="AI183" s="9" t="n">
        <x:f>'浓度设置'!S6</x:f>
        <x:v>219125.9626344086</x:v>
      </x:c>
      <x:c r="AJ183" s="9" t="n">
        <x:f>'浓度设置'!S8</x:f>
        <x:v>92796.92267241378</x:v>
      </x:c>
      <x:c r="AK183" s="9" t="n">
        <x:f>'浓度设置'!S10</x:f>
        <x:v>30556.797802197798</x:v>
      </x:c>
      <x:c r="AL183" s="9" t="n">
        <x:f>'浓度设置'!S12</x:f>
        <x:v>1735.828970588235</x:v>
      </x:c>
      <x:c r="AM183" s="9" t="n">
        <x:f>'浓度设置'!S15</x:f>
        <x:v>7385.813644067793</x:v>
      </x:c>
      <x:c r="AN183" s="9" t="n">
        <x:f>'浓度设置'!S19</x:f>
        <x:v>27722.03097701148</x:v>
      </x:c>
      <x:c r="AO183" s="9" t="n">
        <x:f>'浓度设置'!S22</x:f>
        <x:v>44345.55047619048</x:v>
      </x:c>
      <x:c r="AP183" s="9" t="n">
        <x:f>'浓度设置'!S26</x:f>
        <x:v>153318.30499999996</x:v>
      </x:c>
      <x:c r="AQ183" s="9" t="n">
        <x:f>'浓度设置'!S29</x:f>
        <x:v>312.7970588235294</x:v>
      </x:c>
      <x:c r="AR183" s="9" t="n">
        <x:f>'浓度设置'!S30</x:f>
        <x:v>104175.5097553192</x:v>
      </x:c>
      <x:c r="AS183" s="9" t="n">
        <x:f>'浓度设置'!S35</x:f>
        <x:v>405974.90656785714</x:v>
      </x:c>
    </x:row>
    <x:row r="184" ht="24" customHeight="1">
      <x:c r="A184" s="3" t="str">
        <x:f>'350配方'!A184</x:f>
        <x:v>T179</x:v>
      </x:c>
      <x:c r="B184" s="3" t="str">
        <x:f>'350配方'!B184</x:f>
        <x:v>拟合</x:v>
      </x:c>
      <x:c r="C184" s="3" t="n">
        <x:f>IF(B184="拟合",1,0)</x:f>
        <x:v>1</x:v>
      </x:c>
      <x:c r="D184" s="3" t="n">
        <x:f>'350配方'!AC184</x:f>
        <x:v>4</x:v>
      </x:c>
      <x:c r="E184" s="9" t="n">
        <x:f>SUMIFS('350配方'!$M184:$P184,'350配方'!$Y184:$AB184,7)</x:f>
        <x:v>173</x:v>
      </x:c>
      <x:c r="F184" s="9" t="n">
        <x:f>SUMIFS('350配方'!$M184:$P184,'350配方'!$Y184:$AB184,11)</x:f>
        <x:v>0</x:v>
      </x:c>
      <x:c r="G184" s="9" t="n">
        <x:f>SUMIFS('350配方'!$M184:$P184,'350配方'!$Y184:$AB184,18)</x:f>
        <x:v>0</x:v>
      </x:c>
      <x:c r="H184" s="9" t="n">
        <x:f>SUMIFS('350配方'!$M184:$P184,'350配方'!$Y184:$AB184,32)</x:f>
        <x:v>0</x:v>
      </x:c>
      <x:c r="I184" s="9" t="n">
        <x:f>SUMIFS('350配方'!$M184:$P184,'350配方'!$Y184:$AB184,40)</x:f>
        <x:v>1.875</x:v>
      </x:c>
      <x:c r="J184" s="9" t="n">
        <x:f>SUMIFS('350配方'!$M184:$P184,'350配方'!$Y184:$AB184,52)</x:f>
        <x:v>1290235</x:v>
      </x:c>
      <x:c r="K184" s="9" t="n">
        <x:f>SUMIFS('350配方'!$M184:$P184,'350配方'!$Y184:$AB184,53)</x:f>
        <x:v>0</x:v>
      </x:c>
      <x:c r="L184" s="9" t="n">
        <x:f>SUMIFS('350配方'!$M184:$P184,'350配方'!$Y184:$AB184,56)</x:f>
        <x:v>0</x:v>
      </x:c>
      <x:c r="M184" s="9" t="n">
        <x:f>SUMIFS('350配方'!$M184:$P184,'350配方'!$Y184:$AB184,58)</x:f>
        <x:v>0</x:v>
      </x:c>
      <x:c r="N184" s="9" t="n">
        <x:f>SUMIFS('350配方'!$M184:$P184,'350配方'!$Y184:$AB184,61)</x:f>
        <x:v>0</x:v>
      </x:c>
      <x:c r="O184" s="9" t="n">
        <x:f>SUMIFS('350配方'!$M184:$P184,'350配方'!$Y184:$AB184,69)</x:f>
        <x:v>0</x:v>
      </x:c>
      <x:c r="P184" s="9" t="n">
        <x:f>SUMIFS('350配方'!$M184:$P184,'350配方'!$Y184:$AB184,75)</x:f>
        <x:v>0</x:v>
      </x:c>
      <x:c r="Q184" s="9" t="n">
        <x:f>SUMIFS('350配方'!$M184:$P184,'350配方'!$Y184:$AB184,79)</x:f>
        <x:v>0</x:v>
      </x:c>
      <x:c r="R184" s="9" t="n">
        <x:f>SUMIFS('350配方'!$M184:$P184,'350配方'!$Y184:$AB184,90)</x:f>
        <x:v>25642.45</x:v>
      </x:c>
      <x:c r="S184" s="9" t="n">
        <x:f>SUMIFS('350配方'!$M184:$P184,'350配方'!$Y184:$AB184,105)</x:f>
        <x:v>0</x:v>
      </x:c>
      <x:c r="T184" s="9" t="n">
        <x:f>SUMIFS('350配方'!$M184:$P184,'350配方'!$Y184:$AB184,111)</x:f>
        <x:v>0</x:v>
      </x:c>
      <x:c r="U184" s="9" t="n">
        <x:f>SUMIFS('350配方'!$M184:$P184,'350配方'!$Y184:$AB184,114)</x:f>
        <x:v>0</x:v>
      </x:c>
      <x:c r="V184" s="9" t="n">
        <x:f>SUMIFS('350配方'!$M184:$P184,'350配方'!$Y184:$AB184,115)</x:f>
        <x:v>0</x:v>
      </x:c>
      <x:c r="W184" s="9" t="n">
        <x:f>SUMIFS('350配方'!$M184:$P184,'350配方'!$Y184:$AB184,117)</x:f>
        <x:v>0</x:v>
      </x:c>
      <x:c r="X184" s="9" t="n">
        <x:f>SUMIFS('350配方'!$M184:$P184,'350配方'!$Y184:$AB184,126)</x:f>
        <x:v>0</x:v>
      </x:c>
      <x:c r="Y184" s="9" t="n">
        <x:f>SUMIFS('350配方'!$M184:$P184,'350配方'!$Y184:$AB184,136)</x:f>
        <x:v>0</x:v>
      </x:c>
      <x:c r="Z184" s="9" t="n">
        <x:f>SUMIFS('350配方'!$M184:$P184,'350配方'!$Y184:$AB184,141)</x:f>
        <x:v>0</x:v>
      </x:c>
      <x:c r="AA184" s="9" t="n">
        <x:f>SUMIFS('350配方'!$M184:$P184,'350配方'!$Y184:$AB184,152)</x:f>
        <x:v>0</x:v>
      </x:c>
      <x:c r="AB184" s="9" t="n">
        <x:f>SUMIFS('350配方'!$M184:$P184,'350配方'!$Y184:$AB184,165)</x:f>
        <x:v>0</x:v>
      </x:c>
      <x:c r="AC184" s="9" t="n">
        <x:f>SUMIFS('350配方'!$M184:$P184,'350配方'!$Y184:$AB184,186)</x:f>
        <x:v>0</x:v>
      </x:c>
      <x:c r="AD184" s="9" t="n">
        <x:f>SUMIFS('350配方'!$M184:$P184,'350配方'!$Y184:$AB184,207)</x:f>
        <x:v>0</x:v>
      </x:c>
      <x:c r="AE184" s="9" t="n">
        <x:f>SUMIFS('350配方'!$M184:$P184,'350配方'!$Y184:$AB184,209)</x:f>
        <x:v>0</x:v>
      </x:c>
      <x:c r="AF184" s="9" t="n">
        <x:f>SUMIFS('350配方'!$M184:$P184,'350配方'!$Y184:$AB184,227)</x:f>
        <x:v>0</x:v>
      </x:c>
      <x:c r="AG184" s="9" t="n">
        <x:f>SUMIFS('350配方'!$M184:$P184,'350配方'!$Y184:$AB184,232)</x:f>
        <x:v>0</x:v>
      </x:c>
      <x:c r="AH184" s="9" t="n">
        <x:f>SUMIFS('350配方'!$M184:$P184,'350配方'!$Y184:$AB184,255)</x:f>
        <x:v>0</x:v>
      </x:c>
      <x:c r="AI184" s="9" t="n">
        <x:f>'浓度设置'!S6</x:f>
        <x:v>219125.9626344086</x:v>
      </x:c>
      <x:c r="AJ184" s="9" t="n">
        <x:f>'浓度设置'!S8</x:f>
        <x:v>92796.92267241378</x:v>
      </x:c>
      <x:c r="AK184" s="9" t="n">
        <x:f>'浓度设置'!S10</x:f>
        <x:v>30556.797802197798</x:v>
      </x:c>
      <x:c r="AL184" s="9" t="n">
        <x:f>'浓度设置'!S12</x:f>
        <x:v>1735.828970588235</x:v>
      </x:c>
      <x:c r="AM184" s="9" t="n">
        <x:f>'浓度设置'!S15</x:f>
        <x:v>7385.813644067793</x:v>
      </x:c>
      <x:c r="AN184" s="9" t="n">
        <x:f>'浓度设置'!S19</x:f>
        <x:v>27722.03097701148</x:v>
      </x:c>
      <x:c r="AO184" s="9" t="n">
        <x:f>'浓度设置'!S22</x:f>
        <x:v>44345.55047619048</x:v>
      </x:c>
      <x:c r="AP184" s="9" t="n">
        <x:f>'浓度设置'!S26</x:f>
        <x:v>153318.30499999996</x:v>
      </x:c>
      <x:c r="AQ184" s="9" t="n">
        <x:f>'浓度设置'!S29</x:f>
        <x:v>312.7970588235294</x:v>
      </x:c>
      <x:c r="AR184" s="9" t="n">
        <x:f>'浓度设置'!S30</x:f>
        <x:v>104175.5097553192</x:v>
      </x:c>
      <x:c r="AS184" s="9" t="n">
        <x:f>'浓度设置'!S35</x:f>
        <x:v>405974.90656785714</x:v>
      </x:c>
    </x:row>
    <x:row r="185" ht="24" customHeight="1">
      <x:c r="A185" s="3" t="str">
        <x:f>'350配方'!A185</x:f>
        <x:v>T180</x:v>
      </x:c>
      <x:c r="B185" s="3" t="str">
        <x:f>'350配方'!B185</x:f>
        <x:v>拟合</x:v>
      </x:c>
      <x:c r="C185" s="3" t="n">
        <x:f>IF(B185="拟合",1,0)</x:f>
        <x:v>1</x:v>
      </x:c>
      <x:c r="D185" s="3" t="n">
        <x:f>'350配方'!AC185</x:f>
        <x:v>4</x:v>
      </x:c>
      <x:c r="E185" s="9" t="n">
        <x:f>SUMIFS('350配方'!$M185:$P185,'350配方'!$Y185:$AB185,7)</x:f>
        <x:v>0</x:v>
      </x:c>
      <x:c r="F185" s="9" t="n">
        <x:f>SUMIFS('350配方'!$M185:$P185,'350配方'!$Y185:$AB185,11)</x:f>
        <x:v>0</x:v>
      </x:c>
      <x:c r="G185" s="9" t="n">
        <x:f>SUMIFS('350配方'!$M185:$P185,'350配方'!$Y185:$AB185,18)</x:f>
        <x:v>0</x:v>
      </x:c>
      <x:c r="H185" s="9" t="n">
        <x:f>SUMIFS('350配方'!$M185:$P185,'350配方'!$Y185:$AB185,32)</x:f>
        <x:v>0</x:v>
      </x:c>
      <x:c r="I185" s="9" t="n">
        <x:f>SUMIFS('350配方'!$M185:$P185,'350配方'!$Y185:$AB185,40)</x:f>
        <x:v>0</x:v>
      </x:c>
      <x:c r="J185" s="9" t="n">
        <x:f>SUMIFS('350配方'!$M185:$P185,'350配方'!$Y185:$AB185,52)</x:f>
        <x:v>0</x:v>
      </x:c>
      <x:c r="K185" s="9" t="n">
        <x:f>SUMIFS('350配方'!$M185:$P185,'350配方'!$Y185:$AB185,53)</x:f>
        <x:v>0</x:v>
      </x:c>
      <x:c r="L185" s="9" t="n">
        <x:f>SUMIFS('350配方'!$M185:$P185,'350配方'!$Y185:$AB185,56)</x:f>
        <x:v>0</x:v>
      </x:c>
      <x:c r="M185" s="9" t="n">
        <x:f>SUMIFS('350配方'!$M185:$P185,'350配方'!$Y185:$AB185,58)</x:f>
        <x:v>5.06</x:v>
      </x:c>
      <x:c r="N185" s="9" t="n">
        <x:f>SUMIFS('350配方'!$M185:$P185,'350配方'!$Y185:$AB185,61)</x:f>
        <x:v>0</x:v>
      </x:c>
      <x:c r="O185" s="9" t="n">
        <x:f>SUMIFS('350配方'!$M185:$P185,'350配方'!$Y185:$AB185,69)</x:f>
        <x:v>0</x:v>
      </x:c>
      <x:c r="P185" s="9" t="n">
        <x:f>SUMIFS('350配方'!$M185:$P185,'350配方'!$Y185:$AB185,75)</x:f>
        <x:v>0</x:v>
      </x:c>
      <x:c r="Q185" s="9" t="n">
        <x:f>SUMIFS('350配方'!$M185:$P185,'350配方'!$Y185:$AB185,79)</x:f>
        <x:v>0</x:v>
      </x:c>
      <x:c r="R185" s="9" t="n">
        <x:f>SUMIFS('350配方'!$M185:$P185,'350配方'!$Y185:$AB185,90)</x:f>
        <x:v>0</x:v>
      </x:c>
      <x:c r="S185" s="9" t="n">
        <x:f>SUMIFS('350配方'!$M185:$P185,'350配方'!$Y185:$AB185,105)</x:f>
        <x:v>0</x:v>
      </x:c>
      <x:c r="T185" s="9" t="n">
        <x:f>SUMIFS('350配方'!$M185:$P185,'350配方'!$Y185:$AB185,111)</x:f>
        <x:v>0</x:v>
      </x:c>
      <x:c r="U185" s="9" t="n">
        <x:f>SUMIFS('350配方'!$M185:$P185,'350配方'!$Y185:$AB185,114)</x:f>
        <x:v>0</x:v>
      </x:c>
      <x:c r="V185" s="9" t="n">
        <x:f>SUMIFS('350配方'!$M185:$P185,'350配方'!$Y185:$AB185,115)</x:f>
        <x:v>0</x:v>
      </x:c>
      <x:c r="W185" s="9" t="n">
        <x:f>SUMIFS('350配方'!$M185:$P185,'350配方'!$Y185:$AB185,117)</x:f>
        <x:v>0</x:v>
      </x:c>
      <x:c r="X185" s="9" t="n">
        <x:f>SUMIFS('350配方'!$M185:$P185,'350配方'!$Y185:$AB185,126)</x:f>
        <x:v>0</x:v>
      </x:c>
      <x:c r="Y185" s="9" t="n">
        <x:f>SUMIFS('350配方'!$M185:$P185,'350配方'!$Y185:$AB185,136)</x:f>
        <x:v>0</x:v>
      </x:c>
      <x:c r="Z185" s="9" t="n">
        <x:f>SUMIFS('350配方'!$M185:$P185,'350配方'!$Y185:$AB185,141)</x:f>
        <x:v>0</x:v>
      </x:c>
      <x:c r="AA185" s="9" t="n">
        <x:f>SUMIFS('350配方'!$M185:$P185,'350配方'!$Y185:$AB185,152)</x:f>
        <x:v>227200</x:v>
      </x:c>
      <x:c r="AB185" s="9" t="n">
        <x:f>SUMIFS('350配方'!$M185:$P185,'350配方'!$Y185:$AB185,165)</x:f>
        <x:v>0</x:v>
      </x:c>
      <x:c r="AC185" s="9" t="n">
        <x:f>SUMIFS('350配方'!$M185:$P185,'350配方'!$Y185:$AB185,186)</x:f>
        <x:v>11648000</x:v>
      </x:c>
      <x:c r="AD185" s="9" t="n">
        <x:f>SUMIFS('350配方'!$M185:$P185,'350配方'!$Y185:$AB185,207)</x:f>
        <x:v>0</x:v>
      </x:c>
      <x:c r="AE185" s="9" t="n">
        <x:f>SUMIFS('350配方'!$M185:$P185,'350配方'!$Y185:$AB185,209)</x:f>
        <x:v>0</x:v>
      </x:c>
      <x:c r="AF185" s="9" t="n">
        <x:f>SUMIFS('350配方'!$M185:$P185,'350配方'!$Y185:$AB185,227)</x:f>
        <x:v>0</x:v>
      </x:c>
      <x:c r="AG185" s="9" t="n">
        <x:f>SUMIFS('350配方'!$M185:$P185,'350配方'!$Y185:$AB185,232)</x:f>
        <x:v>0</x:v>
      </x:c>
      <x:c r="AH185" s="9" t="n">
        <x:f>SUMIFS('350配方'!$M185:$P185,'350配方'!$Y185:$AB185,255)</x:f>
        <x:v>9.546727187890099</x:v>
      </x:c>
      <x:c r="AI185" s="9" t="n">
        <x:f>'浓度设置'!S6</x:f>
        <x:v>219125.9626344086</x:v>
      </x:c>
      <x:c r="AJ185" s="9" t="n">
        <x:f>'浓度设置'!S8</x:f>
        <x:v>92796.92267241378</x:v>
      </x:c>
      <x:c r="AK185" s="9" t="n">
        <x:f>'浓度设置'!S10</x:f>
        <x:v>30556.797802197798</x:v>
      </x:c>
      <x:c r="AL185" s="9" t="n">
        <x:f>'浓度设置'!S12</x:f>
        <x:v>1735.828970588235</x:v>
      </x:c>
      <x:c r="AM185" s="9" t="n">
        <x:f>'浓度设置'!S15</x:f>
        <x:v>7385.813644067793</x:v>
      </x:c>
      <x:c r="AN185" s="9" t="n">
        <x:f>'浓度设置'!S19</x:f>
        <x:v>27722.03097701148</x:v>
      </x:c>
      <x:c r="AO185" s="9" t="n">
        <x:f>'浓度设置'!S22</x:f>
        <x:v>44345.55047619048</x:v>
      </x:c>
      <x:c r="AP185" s="9" t="n">
        <x:f>'浓度设置'!S26</x:f>
        <x:v>153318.30499999996</x:v>
      </x:c>
      <x:c r="AQ185" s="9" t="n">
        <x:f>'浓度设置'!S29</x:f>
        <x:v>312.7970588235294</x:v>
      </x:c>
      <x:c r="AR185" s="9" t="n">
        <x:f>'浓度设置'!S30</x:f>
        <x:v>104175.5097553192</x:v>
      </x:c>
      <x:c r="AS185" s="9" t="n">
        <x:f>'浓度设置'!S35</x:f>
        <x:v>405974.90656785714</x:v>
      </x:c>
    </x:row>
    <x:row r="186" ht="24" customHeight="1">
      <x:c r="A186" s="3" t="str">
        <x:f>'350配方'!A186</x:f>
        <x:v>T181</x:v>
      </x:c>
      <x:c r="B186" s="3" t="str">
        <x:f>'350配方'!B186</x:f>
        <x:v>拟合</x:v>
      </x:c>
      <x:c r="C186" s="3" t="n">
        <x:f>IF(B186="拟合",1,0)</x:f>
        <x:v>1</x:v>
      </x:c>
      <x:c r="D186" s="3" t="n">
        <x:f>'350配方'!AC186</x:f>
        <x:v>4</x:v>
      </x:c>
      <x:c r="E186" s="9" t="n">
        <x:f>SUMIFS('350配方'!$M186:$P186,'350配方'!$Y186:$AB186,7)</x:f>
        <x:v>0</x:v>
      </x:c>
      <x:c r="F186" s="9" t="n">
        <x:f>SUMIFS('350配方'!$M186:$P186,'350配方'!$Y186:$AB186,11)</x:f>
        <x:v>1038900</x:v>
      </x:c>
      <x:c r="G186" s="9" t="n">
        <x:f>SUMIFS('350配方'!$M186:$P186,'350配方'!$Y186:$AB186,18)</x:f>
        <x:v>0</x:v>
      </x:c>
      <x:c r="H186" s="9" t="n">
        <x:f>SUMIFS('350配方'!$M186:$P186,'350配方'!$Y186:$AB186,32)</x:f>
        <x:v>0</x:v>
      </x:c>
      <x:c r="I186" s="9" t="n">
        <x:f>SUMIFS('350配方'!$M186:$P186,'350配方'!$Y186:$AB186,40)</x:f>
        <x:v>0</x:v>
      </x:c>
      <x:c r="J186" s="9" t="n">
        <x:f>SUMIFS('350配方'!$M186:$P186,'350配方'!$Y186:$AB186,52)</x:f>
        <x:v>0</x:v>
      </x:c>
      <x:c r="K186" s="9" t="n">
        <x:f>SUMIFS('350配方'!$M186:$P186,'350配方'!$Y186:$AB186,53)</x:f>
        <x:v>9.61</x:v>
      </x:c>
      <x:c r="L186" s="9" t="n">
        <x:f>SUMIFS('350配方'!$M186:$P186,'350配方'!$Y186:$AB186,56)</x:f>
        <x:v>0</x:v>
      </x:c>
      <x:c r="M186" s="9" t="n">
        <x:f>SUMIFS('350配方'!$M186:$P186,'350配方'!$Y186:$AB186,58)</x:f>
        <x:v>0</x:v>
      </x:c>
      <x:c r="N186" s="9" t="n">
        <x:f>SUMIFS('350配方'!$M186:$P186,'350配方'!$Y186:$AB186,61)</x:f>
        <x:v>0</x:v>
      </x:c>
      <x:c r="O186" s="9" t="n">
        <x:f>SUMIFS('350配方'!$M186:$P186,'350配方'!$Y186:$AB186,69)</x:f>
        <x:v>0</x:v>
      </x:c>
      <x:c r="P186" s="9" t="n">
        <x:f>SUMIFS('350配方'!$M186:$P186,'350配方'!$Y186:$AB186,75)</x:f>
        <x:v>0</x:v>
      </x:c>
      <x:c r="Q186" s="9" t="n">
        <x:f>SUMIFS('350配方'!$M186:$P186,'350配方'!$Y186:$AB186,79)</x:f>
        <x:v>1288.255</x:v>
      </x:c>
      <x:c r="R186" s="9" t="n">
        <x:f>SUMIFS('350配方'!$M186:$P186,'350配方'!$Y186:$AB186,90)</x:f>
        <x:v>0</x:v>
      </x:c>
      <x:c r="S186" s="9" t="n">
        <x:f>SUMIFS('350配方'!$M186:$P186,'350配方'!$Y186:$AB186,105)</x:f>
        <x:v>0</x:v>
      </x:c>
      <x:c r="T186" s="9" t="n">
        <x:f>SUMIFS('350配方'!$M186:$P186,'350配方'!$Y186:$AB186,111)</x:f>
        <x:v>0</x:v>
      </x:c>
      <x:c r="U186" s="9" t="n">
        <x:f>SUMIFS('350配方'!$M186:$P186,'350配方'!$Y186:$AB186,114)</x:f>
        <x:v>0</x:v>
      </x:c>
      <x:c r="V186" s="9" t="n">
        <x:f>SUMIFS('350配方'!$M186:$P186,'350配方'!$Y186:$AB186,115)</x:f>
        <x:v>0</x:v>
      </x:c>
      <x:c r="W186" s="9" t="n">
        <x:f>SUMIFS('350配方'!$M186:$P186,'350配方'!$Y186:$AB186,117)</x:f>
        <x:v>0</x:v>
      </x:c>
      <x:c r="X186" s="9" t="n">
        <x:f>SUMIFS('350配方'!$M186:$P186,'350配方'!$Y186:$AB186,126)</x:f>
        <x:v>0</x:v>
      </x:c>
      <x:c r="Y186" s="9" t="n">
        <x:f>SUMIFS('350配方'!$M186:$P186,'350配方'!$Y186:$AB186,136)</x:f>
        <x:v>0</x:v>
      </x:c>
      <x:c r="Z186" s="9" t="n">
        <x:f>SUMIFS('350配方'!$M186:$P186,'350配方'!$Y186:$AB186,141)</x:f>
        <x:v>0</x:v>
      </x:c>
      <x:c r="AA186" s="9" t="n">
        <x:f>SUMIFS('350配方'!$M186:$P186,'350配方'!$Y186:$AB186,152)</x:f>
        <x:v>0</x:v>
      </x:c>
      <x:c r="AB186" s="9" t="n">
        <x:f>SUMIFS('350配方'!$M186:$P186,'350配方'!$Y186:$AB186,165)</x:f>
        <x:v>0</x:v>
      </x:c>
      <x:c r="AC186" s="9" t="n">
        <x:f>SUMIFS('350配方'!$M186:$P186,'350配方'!$Y186:$AB186,186)</x:f>
        <x:v>0</x:v>
      </x:c>
      <x:c r="AD186" s="9" t="n">
        <x:f>SUMIFS('350配方'!$M186:$P186,'350配方'!$Y186:$AB186,207)</x:f>
        <x:v>0</x:v>
      </x:c>
      <x:c r="AE186" s="9" t="n">
        <x:f>SUMIFS('350配方'!$M186:$P186,'350配方'!$Y186:$AB186,209)</x:f>
        <x:v>4201.44</x:v>
      </x:c>
      <x:c r="AF186" s="9" t="n">
        <x:f>SUMIFS('350配方'!$M186:$P186,'350配方'!$Y186:$AB186,227)</x:f>
        <x:v>0</x:v>
      </x:c>
      <x:c r="AG186" s="9" t="n">
        <x:f>SUMIFS('350配方'!$M186:$P186,'350配方'!$Y186:$AB186,232)</x:f>
        <x:v>0</x:v>
      </x:c>
      <x:c r="AH186" s="9" t="n">
        <x:f>SUMIFS('350配方'!$M186:$P186,'350配方'!$Y186:$AB186,255)</x:f>
        <x:v>0</x:v>
      </x:c>
      <x:c r="AI186" s="9" t="n">
        <x:f>'浓度设置'!S6</x:f>
        <x:v>219125.9626344086</x:v>
      </x:c>
      <x:c r="AJ186" s="9" t="n">
        <x:f>'浓度设置'!S8</x:f>
        <x:v>92796.92267241378</x:v>
      </x:c>
      <x:c r="AK186" s="9" t="n">
        <x:f>'浓度设置'!S10</x:f>
        <x:v>30556.797802197798</x:v>
      </x:c>
      <x:c r="AL186" s="9" t="n">
        <x:f>'浓度设置'!S12</x:f>
        <x:v>1735.828970588235</x:v>
      </x:c>
      <x:c r="AM186" s="9" t="n">
        <x:f>'浓度设置'!S15</x:f>
        <x:v>7385.813644067793</x:v>
      </x:c>
      <x:c r="AN186" s="9" t="n">
        <x:f>'浓度设置'!S19</x:f>
        <x:v>27722.03097701148</x:v>
      </x:c>
      <x:c r="AO186" s="9" t="n">
        <x:f>'浓度设置'!S22</x:f>
        <x:v>44345.55047619048</x:v>
      </x:c>
      <x:c r="AP186" s="9" t="n">
        <x:f>'浓度设置'!S26</x:f>
        <x:v>153318.30499999996</x:v>
      </x:c>
      <x:c r="AQ186" s="9" t="n">
        <x:f>'浓度设置'!S29</x:f>
        <x:v>312.7970588235294</x:v>
      </x:c>
      <x:c r="AR186" s="9" t="n">
        <x:f>'浓度设置'!S30</x:f>
        <x:v>104175.5097553192</x:v>
      </x:c>
      <x:c r="AS186" s="9" t="n">
        <x:f>'浓度设置'!S35</x:f>
        <x:v>405974.90656785714</x:v>
      </x:c>
    </x:row>
    <x:row r="187" ht="24" customHeight="1">
      <x:c r="A187" s="3" t="str">
        <x:f>'350配方'!A187</x:f>
        <x:v>T182</x:v>
      </x:c>
      <x:c r="B187" s="3" t="str">
        <x:f>'350配方'!B187</x:f>
        <x:v>拟合</x:v>
      </x:c>
      <x:c r="C187" s="3" t="n">
        <x:f>IF(B187="拟合",1,0)</x:f>
        <x:v>1</x:v>
      </x:c>
      <x:c r="D187" s="3" t="n">
        <x:f>'350配方'!AC187</x:f>
        <x:v>4</x:v>
      </x:c>
      <x:c r="E187" s="9" t="n">
        <x:f>SUMIFS('350配方'!$M187:$P187,'350配方'!$Y187:$AB187,7)</x:f>
        <x:v>0</x:v>
      </x:c>
      <x:c r="F187" s="9" t="n">
        <x:f>SUMIFS('350配方'!$M187:$P187,'350配方'!$Y187:$AB187,11)</x:f>
        <x:v>0</x:v>
      </x:c>
      <x:c r="G187" s="9" t="n">
        <x:f>SUMIFS('350配方'!$M187:$P187,'350配方'!$Y187:$AB187,18)</x:f>
        <x:v>0</x:v>
      </x:c>
      <x:c r="H187" s="9" t="n">
        <x:f>SUMIFS('350配方'!$M187:$P187,'350配方'!$Y187:$AB187,32)</x:f>
        <x:v>0</x:v>
      </x:c>
      <x:c r="I187" s="9" t="n">
        <x:f>SUMIFS('350配方'!$M187:$P187,'350配方'!$Y187:$AB187,40)</x:f>
        <x:v>0</x:v>
      </x:c>
      <x:c r="J187" s="9" t="n">
        <x:f>SUMIFS('350配方'!$M187:$P187,'350配方'!$Y187:$AB187,52)</x:f>
        <x:v>0</x:v>
      </x:c>
      <x:c r="K187" s="9" t="n">
        <x:f>SUMIFS('350配方'!$M187:$P187,'350配方'!$Y187:$AB187,53)</x:f>
        <x:v>0</x:v>
      </x:c>
      <x:c r="L187" s="9" t="n">
        <x:f>SUMIFS('350配方'!$M187:$P187,'350配方'!$Y187:$AB187,56)</x:f>
        <x:v>0</x:v>
      </x:c>
      <x:c r="M187" s="9" t="n">
        <x:f>SUMIFS('350配方'!$M187:$P187,'350配方'!$Y187:$AB187,58)</x:f>
        <x:v>0</x:v>
      </x:c>
      <x:c r="N187" s="9" t="n">
        <x:f>SUMIFS('350配方'!$M187:$P187,'350配方'!$Y187:$AB187,61)</x:f>
        <x:v>0</x:v>
      </x:c>
      <x:c r="O187" s="9" t="n">
        <x:f>SUMIFS('350配方'!$M187:$P187,'350配方'!$Y187:$AB187,69)</x:f>
        <x:v>99.89207175747232</x:v>
      </x:c>
      <x:c r="P187" s="9" t="n">
        <x:f>SUMIFS('350配方'!$M187:$P187,'350配方'!$Y187:$AB187,75)</x:f>
        <x:v>0</x:v>
      </x:c>
      <x:c r="Q187" s="9" t="n">
        <x:f>SUMIFS('350配方'!$M187:$P187,'350配方'!$Y187:$AB187,79)</x:f>
        <x:v>0</x:v>
      </x:c>
      <x:c r="R187" s="9" t="n">
        <x:f>SUMIFS('350配方'!$M187:$P187,'350配方'!$Y187:$AB187,90)</x:f>
        <x:v>0</x:v>
      </x:c>
      <x:c r="S187" s="9" t="n">
        <x:f>SUMIFS('350配方'!$M187:$P187,'350配方'!$Y187:$AB187,105)</x:f>
        <x:v>0</x:v>
      </x:c>
      <x:c r="T187" s="9" t="n">
        <x:f>SUMIFS('350配方'!$M187:$P187,'350配方'!$Y187:$AB187,111)</x:f>
        <x:v>0</x:v>
      </x:c>
      <x:c r="U187" s="9" t="n">
        <x:f>SUMIFS('350配方'!$M187:$P187,'350配方'!$Y187:$AB187,114)</x:f>
        <x:v>0</x:v>
      </x:c>
      <x:c r="V187" s="9" t="n">
        <x:f>SUMIFS('350配方'!$M187:$P187,'350配方'!$Y187:$AB187,115)</x:f>
        <x:v>0</x:v>
      </x:c>
      <x:c r="W187" s="9" t="n">
        <x:f>SUMIFS('350配方'!$M187:$P187,'350配方'!$Y187:$AB187,117)</x:f>
        <x:v>0</x:v>
      </x:c>
      <x:c r="X187" s="9" t="n">
        <x:f>SUMIFS('350配方'!$M187:$P187,'350配方'!$Y187:$AB187,126)</x:f>
        <x:v>2.125</x:v>
      </x:c>
      <x:c r="Y187" s="9" t="n">
        <x:f>SUMIFS('350配方'!$M187:$P187,'350配方'!$Y187:$AB187,136)</x:f>
        <x:v>0</x:v>
      </x:c>
      <x:c r="Z187" s="9" t="n">
        <x:f>SUMIFS('350配方'!$M187:$P187,'350配方'!$Y187:$AB187,141)</x:f>
        <x:v>0</x:v>
      </x:c>
      <x:c r="AA187" s="9" t="n">
        <x:f>SUMIFS('350配方'!$M187:$P187,'350配方'!$Y187:$AB187,152)</x:f>
        <x:v>0</x:v>
      </x:c>
      <x:c r="AB187" s="9" t="n">
        <x:f>SUMIFS('350配方'!$M187:$P187,'350配方'!$Y187:$AB187,165)</x:f>
        <x:v>86300</x:v>
      </x:c>
      <x:c r="AC187" s="9" t="n">
        <x:f>SUMIFS('350配方'!$M187:$P187,'350配方'!$Y187:$AB187,186)</x:f>
        <x:v>0</x:v>
      </x:c>
      <x:c r="AD187" s="9" t="n">
        <x:f>SUMIFS('350配方'!$M187:$P187,'350配方'!$Y187:$AB187,207)</x:f>
        <x:v>0</x:v>
      </x:c>
      <x:c r="AE187" s="9" t="n">
        <x:f>SUMIFS('350配方'!$M187:$P187,'350配方'!$Y187:$AB187,209)</x:f>
        <x:v>0</x:v>
      </x:c>
      <x:c r="AF187" s="9" t="n">
        <x:f>SUMIFS('350配方'!$M187:$P187,'350配方'!$Y187:$AB187,227)</x:f>
        <x:v>2.5</x:v>
      </x:c>
      <x:c r="AG187" s="9" t="n">
        <x:f>SUMIFS('350配方'!$M187:$P187,'350配方'!$Y187:$AB187,232)</x:f>
        <x:v>0</x:v>
      </x:c>
      <x:c r="AH187" s="9" t="n">
        <x:f>SUMIFS('350配方'!$M187:$P187,'350配方'!$Y187:$AB187,255)</x:f>
        <x:v>0</x:v>
      </x:c>
      <x:c r="AI187" s="9" t="n">
        <x:f>'浓度设置'!S6</x:f>
        <x:v>219125.9626344086</x:v>
      </x:c>
      <x:c r="AJ187" s="9" t="n">
        <x:f>'浓度设置'!S8</x:f>
        <x:v>92796.92267241378</x:v>
      </x:c>
      <x:c r="AK187" s="9" t="n">
        <x:f>'浓度设置'!S10</x:f>
        <x:v>30556.797802197798</x:v>
      </x:c>
      <x:c r="AL187" s="9" t="n">
        <x:f>'浓度设置'!S12</x:f>
        <x:v>1735.828970588235</x:v>
      </x:c>
      <x:c r="AM187" s="9" t="n">
        <x:f>'浓度设置'!S15</x:f>
        <x:v>7385.813644067793</x:v>
      </x:c>
      <x:c r="AN187" s="9" t="n">
        <x:f>'浓度设置'!S19</x:f>
        <x:v>27722.03097701148</x:v>
      </x:c>
      <x:c r="AO187" s="9" t="n">
        <x:f>'浓度设置'!S22</x:f>
        <x:v>44345.55047619048</x:v>
      </x:c>
      <x:c r="AP187" s="9" t="n">
        <x:f>'浓度设置'!S26</x:f>
        <x:v>153318.30499999996</x:v>
      </x:c>
      <x:c r="AQ187" s="9" t="n">
        <x:f>'浓度设置'!S29</x:f>
        <x:v>312.7970588235294</x:v>
      </x:c>
      <x:c r="AR187" s="9" t="n">
        <x:f>'浓度设置'!S30</x:f>
        <x:v>104175.5097553192</x:v>
      </x:c>
      <x:c r="AS187" s="9" t="n">
        <x:f>'浓度设置'!S35</x:f>
        <x:v>405974.90656785714</x:v>
      </x:c>
    </x:row>
    <x:row r="188" ht="24" customHeight="1">
      <x:c r="A188" s="3" t="str">
        <x:f>'350配方'!A188</x:f>
        <x:v>T183</x:v>
      </x:c>
      <x:c r="B188" s="3" t="str">
        <x:f>'350配方'!B188</x:f>
        <x:v>拟合</x:v>
      </x:c>
      <x:c r="C188" s="3" t="n">
        <x:f>IF(B188="拟合",1,0)</x:f>
        <x:v>1</x:v>
      </x:c>
      <x:c r="D188" s="3" t="n">
        <x:f>'350配方'!AC188</x:f>
        <x:v>4</x:v>
      </x:c>
      <x:c r="E188" s="9" t="n">
        <x:f>SUMIFS('350配方'!$M188:$P188,'350配方'!$Y188:$AB188,7)</x:f>
        <x:v>0</x:v>
      </x:c>
      <x:c r="F188" s="9" t="n">
        <x:f>SUMIFS('350配方'!$M188:$P188,'350配方'!$Y188:$AB188,11)</x:f>
        <x:v>0</x:v>
      </x:c>
      <x:c r="G188" s="9" t="n">
        <x:f>SUMIFS('350配方'!$M188:$P188,'350配方'!$Y188:$AB188,18)</x:f>
        <x:v>0</x:v>
      </x:c>
      <x:c r="H188" s="9" t="n">
        <x:f>SUMIFS('350配方'!$M188:$P188,'350配方'!$Y188:$AB188,32)</x:f>
        <x:v>0</x:v>
      </x:c>
      <x:c r="I188" s="9" t="n">
        <x:f>SUMIFS('350配方'!$M188:$P188,'350配方'!$Y188:$AB188,40)</x:f>
        <x:v>0</x:v>
      </x:c>
      <x:c r="J188" s="9" t="n">
        <x:f>SUMIFS('350配方'!$M188:$P188,'350配方'!$Y188:$AB188,52)</x:f>
        <x:v>0</x:v>
      </x:c>
      <x:c r="K188" s="9" t="n">
        <x:f>SUMIFS('350配方'!$M188:$P188,'350配方'!$Y188:$AB188,53)</x:f>
        <x:v>0</x:v>
      </x:c>
      <x:c r="L188" s="9" t="n">
        <x:f>SUMIFS('350配方'!$M188:$P188,'350配方'!$Y188:$AB188,56)</x:f>
        <x:v>4105</x:v>
      </x:c>
      <x:c r="M188" s="9" t="n">
        <x:f>SUMIFS('350配方'!$M188:$P188,'350配方'!$Y188:$AB188,58)</x:f>
        <x:v>1865945</x:v>
      </x:c>
      <x:c r="N188" s="9" t="n">
        <x:f>SUMIFS('350配方'!$M188:$P188,'350配方'!$Y188:$AB188,61)</x:f>
        <x:v>0</x:v>
      </x:c>
      <x:c r="O188" s="9" t="n">
        <x:f>SUMIFS('350配方'!$M188:$P188,'350配方'!$Y188:$AB188,69)</x:f>
        <x:v>0</x:v>
      </x:c>
      <x:c r="P188" s="9" t="n">
        <x:f>SUMIFS('350配方'!$M188:$P188,'350配方'!$Y188:$AB188,75)</x:f>
        <x:v>0</x:v>
      </x:c>
      <x:c r="Q188" s="9" t="n">
        <x:f>SUMIFS('350配方'!$M188:$P188,'350配方'!$Y188:$AB188,79)</x:f>
        <x:v>0</x:v>
      </x:c>
      <x:c r="R188" s="9" t="n">
        <x:f>SUMIFS('350配方'!$M188:$P188,'350配方'!$Y188:$AB188,90)</x:f>
        <x:v>0</x:v>
      </x:c>
      <x:c r="S188" s="9" t="n">
        <x:f>SUMIFS('350配方'!$M188:$P188,'350配方'!$Y188:$AB188,105)</x:f>
        <x:v>0</x:v>
      </x:c>
      <x:c r="T188" s="9" t="n">
        <x:f>SUMIFS('350配方'!$M188:$P188,'350配方'!$Y188:$AB188,111)</x:f>
        <x:v>0</x:v>
      </x:c>
      <x:c r="U188" s="9" t="n">
        <x:f>SUMIFS('350配方'!$M188:$P188,'350配方'!$Y188:$AB188,114)</x:f>
        <x:v>0</x:v>
      </x:c>
      <x:c r="V188" s="9" t="n">
        <x:f>SUMIFS('350配方'!$M188:$P188,'350配方'!$Y188:$AB188,115)</x:f>
        <x:v>0</x:v>
      </x:c>
      <x:c r="W188" s="9" t="n">
        <x:f>SUMIFS('350配方'!$M188:$P188,'350配方'!$Y188:$AB188,117)</x:f>
        <x:v>40201.1</x:v>
      </x:c>
      <x:c r="X188" s="9" t="n">
        <x:f>SUMIFS('350配方'!$M188:$P188,'350配方'!$Y188:$AB188,126)</x:f>
        <x:v>0</x:v>
      </x:c>
      <x:c r="Y188" s="9" t="n">
        <x:f>SUMIFS('350配方'!$M188:$P188,'350配方'!$Y188:$AB188,136)</x:f>
        <x:v>1.1875</x:v>
      </x:c>
      <x:c r="Z188" s="9" t="n">
        <x:f>SUMIFS('350配方'!$M188:$P188,'350配方'!$Y188:$AB188,141)</x:f>
        <x:v>0</x:v>
      </x:c>
      <x:c r="AA188" s="9" t="n">
        <x:f>SUMIFS('350配方'!$M188:$P188,'350配方'!$Y188:$AB188,152)</x:f>
        <x:v>0</x:v>
      </x:c>
      <x:c r="AB188" s="9" t="n">
        <x:f>SUMIFS('350配方'!$M188:$P188,'350配方'!$Y188:$AB188,165)</x:f>
        <x:v>0</x:v>
      </x:c>
      <x:c r="AC188" s="9" t="n">
        <x:f>SUMIFS('350配方'!$M188:$P188,'350配方'!$Y188:$AB188,186)</x:f>
        <x:v>0</x:v>
      </x:c>
      <x:c r="AD188" s="9" t="n">
        <x:f>SUMIFS('350配方'!$M188:$P188,'350配方'!$Y188:$AB188,207)</x:f>
        <x:v>0</x:v>
      </x:c>
      <x:c r="AE188" s="9" t="n">
        <x:f>SUMIFS('350配方'!$M188:$P188,'350配方'!$Y188:$AB188,209)</x:f>
        <x:v>0</x:v>
      </x:c>
      <x:c r="AF188" s="9" t="n">
        <x:f>SUMIFS('350配方'!$M188:$P188,'350配方'!$Y188:$AB188,227)</x:f>
        <x:v>0</x:v>
      </x:c>
      <x:c r="AG188" s="9" t="n">
        <x:f>SUMIFS('350配方'!$M188:$P188,'350配方'!$Y188:$AB188,232)</x:f>
        <x:v>0</x:v>
      </x:c>
      <x:c r="AH188" s="9" t="n">
        <x:f>SUMIFS('350配方'!$M188:$P188,'350配方'!$Y188:$AB188,255)</x:f>
        <x:v>0</x:v>
      </x:c>
      <x:c r="AI188" s="9" t="n">
        <x:f>'浓度设置'!S6</x:f>
        <x:v>219125.9626344086</x:v>
      </x:c>
      <x:c r="AJ188" s="9" t="n">
        <x:f>'浓度设置'!S8</x:f>
        <x:v>92796.92267241378</x:v>
      </x:c>
      <x:c r="AK188" s="9" t="n">
        <x:f>'浓度设置'!S10</x:f>
        <x:v>30556.797802197798</x:v>
      </x:c>
      <x:c r="AL188" s="9" t="n">
        <x:f>'浓度设置'!S12</x:f>
        <x:v>1735.828970588235</x:v>
      </x:c>
      <x:c r="AM188" s="9" t="n">
        <x:f>'浓度设置'!S15</x:f>
        <x:v>7385.813644067793</x:v>
      </x:c>
      <x:c r="AN188" s="9" t="n">
        <x:f>'浓度设置'!S19</x:f>
        <x:v>27722.03097701148</x:v>
      </x:c>
      <x:c r="AO188" s="9" t="n">
        <x:f>'浓度设置'!S22</x:f>
        <x:v>44345.55047619048</x:v>
      </x:c>
      <x:c r="AP188" s="9" t="n">
        <x:f>'浓度设置'!S26</x:f>
        <x:v>153318.30499999996</x:v>
      </x:c>
      <x:c r="AQ188" s="9" t="n">
        <x:f>'浓度设置'!S29</x:f>
        <x:v>312.7970588235294</x:v>
      </x:c>
      <x:c r="AR188" s="9" t="n">
        <x:f>'浓度设置'!S30</x:f>
        <x:v>104175.5097553192</x:v>
      </x:c>
      <x:c r="AS188" s="9" t="n">
        <x:f>'浓度设置'!S35</x:f>
        <x:v>405974.90656785714</x:v>
      </x:c>
    </x:row>
    <x:row r="189" ht="24" customHeight="1">
      <x:c r="A189" s="3" t="str">
        <x:f>'350配方'!A189</x:f>
        <x:v>T184</x:v>
      </x:c>
      <x:c r="B189" s="3" t="str">
        <x:f>'350配方'!B189</x:f>
        <x:v>拟合</x:v>
      </x:c>
      <x:c r="C189" s="3" t="n">
        <x:f>IF(B189="拟合",1,0)</x:f>
        <x:v>1</x:v>
      </x:c>
      <x:c r="D189" s="3" t="n">
        <x:f>'350配方'!AC189</x:f>
        <x:v>4</x:v>
      </x:c>
      <x:c r="E189" s="9" t="n">
        <x:f>SUMIFS('350配方'!$M189:$P189,'350配方'!$Y189:$AB189,7)</x:f>
        <x:v>0</x:v>
      </x:c>
      <x:c r="F189" s="9" t="n">
        <x:f>SUMIFS('350配方'!$M189:$P189,'350配方'!$Y189:$AB189,11)</x:f>
        <x:v>0</x:v>
      </x:c>
      <x:c r="G189" s="9" t="n">
        <x:f>SUMIFS('350配方'!$M189:$P189,'350配方'!$Y189:$AB189,18)</x:f>
        <x:v>0</x:v>
      </x:c>
      <x:c r="H189" s="9" t="n">
        <x:f>SUMIFS('350配方'!$M189:$P189,'350配方'!$Y189:$AB189,32)</x:f>
        <x:v>836.8360173893091</x:v>
      </x:c>
      <x:c r="I189" s="9" t="n">
        <x:f>SUMIFS('350配方'!$M189:$P189,'350配方'!$Y189:$AB189,40)</x:f>
        <x:v>0</x:v>
      </x:c>
      <x:c r="J189" s="9" t="n">
        <x:f>SUMIFS('350配方'!$M189:$P189,'350配方'!$Y189:$AB189,52)</x:f>
        <x:v>0</x:v>
      </x:c>
      <x:c r="K189" s="9" t="n">
        <x:f>SUMIFS('350配方'!$M189:$P189,'350配方'!$Y189:$AB189,53)</x:f>
        <x:v>0</x:v>
      </x:c>
      <x:c r="L189" s="9" t="n">
        <x:f>SUMIFS('350配方'!$M189:$P189,'350配方'!$Y189:$AB189,56)</x:f>
        <x:v>0</x:v>
      </x:c>
      <x:c r="M189" s="9" t="n">
        <x:f>SUMIFS('350配方'!$M189:$P189,'350配方'!$Y189:$AB189,58)</x:f>
        <x:v>0</x:v>
      </x:c>
      <x:c r="N189" s="9" t="n">
        <x:f>SUMIFS('350配方'!$M189:$P189,'350配方'!$Y189:$AB189,61)</x:f>
        <x:v>0</x:v>
      </x:c>
      <x:c r="O189" s="9" t="n">
        <x:f>SUMIFS('350配方'!$M189:$P189,'350配方'!$Y189:$AB189,69)</x:f>
        <x:v>0</x:v>
      </x:c>
      <x:c r="P189" s="9" t="n">
        <x:f>SUMIFS('350配方'!$M189:$P189,'350配方'!$Y189:$AB189,75)</x:f>
        <x:v>0</x:v>
      </x:c>
      <x:c r="Q189" s="9" t="n">
        <x:f>SUMIFS('350配方'!$M189:$P189,'350配方'!$Y189:$AB189,79)</x:f>
        <x:v>1288.255</x:v>
      </x:c>
      <x:c r="R189" s="9" t="n">
        <x:f>SUMIFS('350配方'!$M189:$P189,'350配方'!$Y189:$AB189,90)</x:f>
        <x:v>0</x:v>
      </x:c>
      <x:c r="S189" s="9" t="n">
        <x:f>SUMIFS('350配方'!$M189:$P189,'350配方'!$Y189:$AB189,105)</x:f>
        <x:v>0</x:v>
      </x:c>
      <x:c r="T189" s="9" t="n">
        <x:f>SUMIFS('350配方'!$M189:$P189,'350配方'!$Y189:$AB189,111)</x:f>
        <x:v>0</x:v>
      </x:c>
      <x:c r="U189" s="9" t="n">
        <x:f>SUMIFS('350配方'!$M189:$P189,'350配方'!$Y189:$AB189,114)</x:f>
        <x:v>0</x:v>
      </x:c>
      <x:c r="V189" s="9" t="n">
        <x:f>SUMIFS('350配方'!$M189:$P189,'350配方'!$Y189:$AB189,115)</x:f>
        <x:v>0</x:v>
      </x:c>
      <x:c r="W189" s="9" t="n">
        <x:f>SUMIFS('350配方'!$M189:$P189,'350配方'!$Y189:$AB189,117)</x:f>
        <x:v>0</x:v>
      </x:c>
      <x:c r="X189" s="9" t="n">
        <x:f>SUMIFS('350配方'!$M189:$P189,'350配方'!$Y189:$AB189,126)</x:f>
        <x:v>0</x:v>
      </x:c>
      <x:c r="Y189" s="9" t="n">
        <x:f>SUMIFS('350配方'!$M189:$P189,'350配方'!$Y189:$AB189,136)</x:f>
        <x:v>0</x:v>
      </x:c>
      <x:c r="Z189" s="9" t="n">
        <x:f>SUMIFS('350配方'!$M189:$P189,'350配方'!$Y189:$AB189,141)</x:f>
        <x:v>2.2</x:v>
      </x:c>
      <x:c r="AA189" s="9" t="n">
        <x:f>SUMIFS('350配方'!$M189:$P189,'350配方'!$Y189:$AB189,152)</x:f>
        <x:v>0</x:v>
      </x:c>
      <x:c r="AB189" s="9" t="n">
        <x:f>SUMIFS('350配方'!$M189:$P189,'350配方'!$Y189:$AB189,165)</x:f>
        <x:v>0</x:v>
      </x:c>
      <x:c r="AC189" s="9" t="n">
        <x:f>SUMIFS('350配方'!$M189:$P189,'350配方'!$Y189:$AB189,186)</x:f>
        <x:v>0</x:v>
      </x:c>
      <x:c r="AD189" s="9" t="n">
        <x:f>SUMIFS('350配方'!$M189:$P189,'350配方'!$Y189:$AB189,207)</x:f>
        <x:v>0</x:v>
      </x:c>
      <x:c r="AE189" s="9" t="n">
        <x:f>SUMIFS('350配方'!$M189:$P189,'350配方'!$Y189:$AB189,209)</x:f>
        <x:v>0</x:v>
      </x:c>
      <x:c r="AF189" s="9" t="n">
        <x:f>SUMIFS('350配方'!$M189:$P189,'350配方'!$Y189:$AB189,227)</x:f>
        <x:v>0</x:v>
      </x:c>
      <x:c r="AG189" s="9" t="n">
        <x:f>SUMIFS('350配方'!$M189:$P189,'350配方'!$Y189:$AB189,232)</x:f>
        <x:v>0</x:v>
      </x:c>
      <x:c r="AH189" s="9" t="n">
        <x:f>SUMIFS('350配方'!$M189:$P189,'350配方'!$Y189:$AB189,255)</x:f>
        <x:v>60.76</x:v>
      </x:c>
      <x:c r="AI189" s="9" t="n">
        <x:f>'浓度设置'!S6</x:f>
        <x:v>219125.9626344086</x:v>
      </x:c>
      <x:c r="AJ189" s="9" t="n">
        <x:f>'浓度设置'!S8</x:f>
        <x:v>92796.92267241378</x:v>
      </x:c>
      <x:c r="AK189" s="9" t="n">
        <x:f>'浓度设置'!S10</x:f>
        <x:v>30556.797802197798</x:v>
      </x:c>
      <x:c r="AL189" s="9" t="n">
        <x:f>'浓度设置'!S12</x:f>
        <x:v>1735.828970588235</x:v>
      </x:c>
      <x:c r="AM189" s="9" t="n">
        <x:f>'浓度设置'!S15</x:f>
        <x:v>7385.813644067793</x:v>
      </x:c>
      <x:c r="AN189" s="9" t="n">
        <x:f>'浓度设置'!S19</x:f>
        <x:v>27722.03097701148</x:v>
      </x:c>
      <x:c r="AO189" s="9" t="n">
        <x:f>'浓度设置'!S22</x:f>
        <x:v>44345.55047619048</x:v>
      </x:c>
      <x:c r="AP189" s="9" t="n">
        <x:f>'浓度设置'!S26</x:f>
        <x:v>153318.30499999996</x:v>
      </x:c>
      <x:c r="AQ189" s="9" t="n">
        <x:f>'浓度设置'!S29</x:f>
        <x:v>312.7970588235294</x:v>
      </x:c>
      <x:c r="AR189" s="9" t="n">
        <x:f>'浓度设置'!S30</x:f>
        <x:v>104175.5097553192</x:v>
      </x:c>
      <x:c r="AS189" s="9" t="n">
        <x:f>'浓度设置'!S35</x:f>
        <x:v>405974.90656785714</x:v>
      </x:c>
    </x:row>
    <x:row r="190" ht="24" customHeight="1">
      <x:c r="A190" s="3" t="str">
        <x:f>'350配方'!A190</x:f>
        <x:v>T185</x:v>
      </x:c>
      <x:c r="B190" s="3" t="str">
        <x:f>'350配方'!B190</x:f>
        <x:v>拟合</x:v>
      </x:c>
      <x:c r="C190" s="3" t="n">
        <x:f>IF(B190="拟合",1,0)</x:f>
        <x:v>1</x:v>
      </x:c>
      <x:c r="D190" s="3" t="n">
        <x:f>'350配方'!AC190</x:f>
        <x:v>4</x:v>
      </x:c>
      <x:c r="E190" s="9" t="n">
        <x:f>SUMIFS('350配方'!$M190:$P190,'350配方'!$Y190:$AB190,7)</x:f>
        <x:v>0</x:v>
      </x:c>
      <x:c r="F190" s="9" t="n">
        <x:f>SUMIFS('350配方'!$M190:$P190,'350配方'!$Y190:$AB190,11)</x:f>
        <x:v>0</x:v>
      </x:c>
      <x:c r="G190" s="9" t="n">
        <x:f>SUMIFS('350配方'!$M190:$P190,'350配方'!$Y190:$AB190,18)</x:f>
        <x:v>0</x:v>
      </x:c>
      <x:c r="H190" s="9" t="n">
        <x:f>SUMIFS('350配方'!$M190:$P190,'350配方'!$Y190:$AB190,32)</x:f>
        <x:v>0</x:v>
      </x:c>
      <x:c r="I190" s="9" t="n">
        <x:f>SUMIFS('350配方'!$M190:$P190,'350配方'!$Y190:$AB190,40)</x:f>
        <x:v>0</x:v>
      </x:c>
      <x:c r="J190" s="9" t="n">
        <x:f>SUMIFS('350配方'!$M190:$P190,'350配方'!$Y190:$AB190,52)</x:f>
        <x:v>2338.9306103431118</x:v>
      </x:c>
      <x:c r="K190" s="9" t="n">
        <x:f>SUMIFS('350配方'!$M190:$P190,'350配方'!$Y190:$AB190,53)</x:f>
        <x:v>2745.3821227654266</x:v>
      </x:c>
      <x:c r="L190" s="9" t="n">
        <x:f>SUMIFS('350配方'!$M190:$P190,'350配方'!$Y190:$AB190,56)</x:f>
        <x:v>0</x:v>
      </x:c>
      <x:c r="M190" s="9" t="n">
        <x:f>SUMIFS('350配方'!$M190:$P190,'350配方'!$Y190:$AB190,58)</x:f>
        <x:v>0</x:v>
      </x:c>
      <x:c r="N190" s="9" t="n">
        <x:f>SUMIFS('350配方'!$M190:$P190,'350配方'!$Y190:$AB190,61)</x:f>
        <x:v>0</x:v>
      </x:c>
      <x:c r="O190" s="9" t="n">
        <x:f>SUMIFS('350配方'!$M190:$P190,'350配方'!$Y190:$AB190,69)</x:f>
        <x:v>0</x:v>
      </x:c>
      <x:c r="P190" s="9" t="n">
        <x:f>SUMIFS('350配方'!$M190:$P190,'350配方'!$Y190:$AB190,75)</x:f>
        <x:v>0</x:v>
      </x:c>
      <x:c r="Q190" s="9" t="n">
        <x:f>SUMIFS('350配方'!$M190:$P190,'350配方'!$Y190:$AB190,79)</x:f>
        <x:v>0</x:v>
      </x:c>
      <x:c r="R190" s="9" t="n">
        <x:f>SUMIFS('350配方'!$M190:$P190,'350配方'!$Y190:$AB190,90)</x:f>
        <x:v>0</x:v>
      </x:c>
      <x:c r="S190" s="9" t="n">
        <x:f>SUMIFS('350配方'!$M190:$P190,'350配方'!$Y190:$AB190,105)</x:f>
        <x:v>0</x:v>
      </x:c>
      <x:c r="T190" s="9" t="n">
        <x:f>SUMIFS('350配方'!$M190:$P190,'350配方'!$Y190:$AB190,111)</x:f>
        <x:v>0</x:v>
      </x:c>
      <x:c r="U190" s="9" t="n">
        <x:f>SUMIFS('350配方'!$M190:$P190,'350配方'!$Y190:$AB190,114)</x:f>
        <x:v>47100</x:v>
      </x:c>
      <x:c r="V190" s="9" t="n">
        <x:f>SUMIFS('350配方'!$M190:$P190,'350配方'!$Y190:$AB190,115)</x:f>
        <x:v>0</x:v>
      </x:c>
      <x:c r="W190" s="9" t="n">
        <x:f>SUMIFS('350配方'!$M190:$P190,'350配方'!$Y190:$AB190,117)</x:f>
        <x:v>0</x:v>
      </x:c>
      <x:c r="X190" s="9" t="n">
        <x:f>SUMIFS('350配方'!$M190:$P190,'350配方'!$Y190:$AB190,126)</x:f>
        <x:v>0</x:v>
      </x:c>
      <x:c r="Y190" s="9" t="n">
        <x:f>SUMIFS('350配方'!$M190:$P190,'350配方'!$Y190:$AB190,136)</x:f>
        <x:v>0</x:v>
      </x:c>
      <x:c r="Z190" s="9" t="n">
        <x:f>SUMIFS('350配方'!$M190:$P190,'350配方'!$Y190:$AB190,141)</x:f>
        <x:v>0</x:v>
      </x:c>
      <x:c r="AA190" s="9" t="n">
        <x:f>SUMIFS('350配方'!$M190:$P190,'350配方'!$Y190:$AB190,152)</x:f>
        <x:v>4.84</x:v>
      </x:c>
      <x:c r="AB190" s="9" t="n">
        <x:f>SUMIFS('350配方'!$M190:$P190,'350配方'!$Y190:$AB190,165)</x:f>
        <x:v>0</x:v>
      </x:c>
      <x:c r="AC190" s="9" t="n">
        <x:f>SUMIFS('350配方'!$M190:$P190,'350配方'!$Y190:$AB190,186)</x:f>
        <x:v>0</x:v>
      </x:c>
      <x:c r="AD190" s="9" t="n">
        <x:f>SUMIFS('350配方'!$M190:$P190,'350配方'!$Y190:$AB190,207)</x:f>
        <x:v>0</x:v>
      </x:c>
      <x:c r="AE190" s="9" t="n">
        <x:f>SUMIFS('350配方'!$M190:$P190,'350配方'!$Y190:$AB190,209)</x:f>
        <x:v>0</x:v>
      </x:c>
      <x:c r="AF190" s="9" t="n">
        <x:f>SUMIFS('350配方'!$M190:$P190,'350配方'!$Y190:$AB190,227)</x:f>
        <x:v>0</x:v>
      </x:c>
      <x:c r="AG190" s="9" t="n">
        <x:f>SUMIFS('350配方'!$M190:$P190,'350配方'!$Y190:$AB190,232)</x:f>
        <x:v>0</x:v>
      </x:c>
      <x:c r="AH190" s="9" t="n">
        <x:f>SUMIFS('350配方'!$M190:$P190,'350配方'!$Y190:$AB190,255)</x:f>
        <x:v>0</x:v>
      </x:c>
      <x:c r="AI190" s="9" t="n">
        <x:f>'浓度设置'!S6</x:f>
        <x:v>219125.9626344086</x:v>
      </x:c>
      <x:c r="AJ190" s="9" t="n">
        <x:f>'浓度设置'!S8</x:f>
        <x:v>92796.92267241378</x:v>
      </x:c>
      <x:c r="AK190" s="9" t="n">
        <x:f>'浓度设置'!S10</x:f>
        <x:v>30556.797802197798</x:v>
      </x:c>
      <x:c r="AL190" s="9" t="n">
        <x:f>'浓度设置'!S12</x:f>
        <x:v>1735.828970588235</x:v>
      </x:c>
      <x:c r="AM190" s="9" t="n">
        <x:f>'浓度设置'!S15</x:f>
        <x:v>7385.813644067793</x:v>
      </x:c>
      <x:c r="AN190" s="9" t="n">
        <x:f>'浓度设置'!S19</x:f>
        <x:v>27722.03097701148</x:v>
      </x:c>
      <x:c r="AO190" s="9" t="n">
        <x:f>'浓度设置'!S22</x:f>
        <x:v>44345.55047619048</x:v>
      </x:c>
      <x:c r="AP190" s="9" t="n">
        <x:f>'浓度设置'!S26</x:f>
        <x:v>153318.30499999996</x:v>
      </x:c>
      <x:c r="AQ190" s="9" t="n">
        <x:f>'浓度设置'!S29</x:f>
        <x:v>312.7970588235294</x:v>
      </x:c>
      <x:c r="AR190" s="9" t="n">
        <x:f>'浓度设置'!S30</x:f>
        <x:v>104175.5097553192</x:v>
      </x:c>
      <x:c r="AS190" s="9" t="n">
        <x:f>'浓度设置'!S35</x:f>
        <x:v>405974.90656785714</x:v>
      </x:c>
    </x:row>
    <x:row r="191" ht="24" customHeight="1">
      <x:c r="A191" s="3" t="str">
        <x:f>'350配方'!A191</x:f>
        <x:v>T186</x:v>
      </x:c>
      <x:c r="B191" s="3" t="str">
        <x:f>'350配方'!B191</x:f>
        <x:v>拟合</x:v>
      </x:c>
      <x:c r="C191" s="3" t="n">
        <x:f>IF(B191="拟合",1,0)</x:f>
        <x:v>1</x:v>
      </x:c>
      <x:c r="D191" s="3" t="n">
        <x:f>'350配方'!AC191</x:f>
        <x:v>4</x:v>
      </x:c>
      <x:c r="E191" s="9" t="n">
        <x:f>SUMIFS('350配方'!$M191:$P191,'350配方'!$Y191:$AB191,7)</x:f>
        <x:v>0</x:v>
      </x:c>
      <x:c r="F191" s="9" t="n">
        <x:f>SUMIFS('350配方'!$M191:$P191,'350配方'!$Y191:$AB191,11)</x:f>
        <x:v>4198.825192836682</x:v>
      </x:c>
      <x:c r="G191" s="9" t="n">
        <x:f>SUMIFS('350配方'!$M191:$P191,'350配方'!$Y191:$AB191,18)</x:f>
        <x:v>0</x:v>
      </x:c>
      <x:c r="H191" s="9" t="n">
        <x:f>SUMIFS('350配方'!$M191:$P191,'350配方'!$Y191:$AB191,32)</x:f>
        <x:v>0</x:v>
      </x:c>
      <x:c r="I191" s="9" t="n">
        <x:f>SUMIFS('350配方'!$M191:$P191,'350配方'!$Y191:$AB191,40)</x:f>
        <x:v>1.875</x:v>
      </x:c>
      <x:c r="J191" s="9" t="n">
        <x:f>SUMIFS('350配方'!$M191:$P191,'350配方'!$Y191:$AB191,52)</x:f>
        <x:v>0</x:v>
      </x:c>
      <x:c r="K191" s="9" t="n">
        <x:f>SUMIFS('350配方'!$M191:$P191,'350配方'!$Y191:$AB191,53)</x:f>
        <x:v>0</x:v>
      </x:c>
      <x:c r="L191" s="9" t="n">
        <x:f>SUMIFS('350配方'!$M191:$P191,'350配方'!$Y191:$AB191,56)</x:f>
        <x:v>0</x:v>
      </x:c>
      <x:c r="M191" s="9" t="n">
        <x:f>SUMIFS('350配方'!$M191:$P191,'350配方'!$Y191:$AB191,58)</x:f>
        <x:v>0</x:v>
      </x:c>
      <x:c r="N191" s="9" t="n">
        <x:f>SUMIFS('350配方'!$M191:$P191,'350配方'!$Y191:$AB191,61)</x:f>
        <x:v>0</x:v>
      </x:c>
      <x:c r="O191" s="9" t="n">
        <x:f>SUMIFS('350配方'!$M191:$P191,'350配方'!$Y191:$AB191,69)</x:f>
        <x:v>0.83</x:v>
      </x:c>
      <x:c r="P191" s="9" t="n">
        <x:f>SUMIFS('350配方'!$M191:$P191,'350配方'!$Y191:$AB191,75)</x:f>
        <x:v>0</x:v>
      </x:c>
      <x:c r="Q191" s="9" t="n">
        <x:f>SUMIFS('350配方'!$M191:$P191,'350配方'!$Y191:$AB191,79)</x:f>
        <x:v>0</x:v>
      </x:c>
      <x:c r="R191" s="9" t="n">
        <x:f>SUMIFS('350配方'!$M191:$P191,'350配方'!$Y191:$AB191,90)</x:f>
        <x:v>0</x:v>
      </x:c>
      <x:c r="S191" s="9" t="n">
        <x:f>SUMIFS('350配方'!$M191:$P191,'350配方'!$Y191:$AB191,105)</x:f>
        <x:v>0</x:v>
      </x:c>
      <x:c r="T191" s="9" t="n">
        <x:f>SUMIFS('350配方'!$M191:$P191,'350配方'!$Y191:$AB191,111)</x:f>
        <x:v>0</x:v>
      </x:c>
      <x:c r="U191" s="9" t="n">
        <x:f>SUMIFS('350配方'!$M191:$P191,'350配方'!$Y191:$AB191,114)</x:f>
        <x:v>0</x:v>
      </x:c>
      <x:c r="V191" s="9" t="n">
        <x:f>SUMIFS('350配方'!$M191:$P191,'350配方'!$Y191:$AB191,115)</x:f>
        <x:v>6516</x:v>
      </x:c>
      <x:c r="W191" s="9" t="n">
        <x:f>SUMIFS('350配方'!$M191:$P191,'350配方'!$Y191:$AB191,117)</x:f>
        <x:v>0</x:v>
      </x:c>
      <x:c r="X191" s="9" t="n">
        <x:f>SUMIFS('350配方'!$M191:$P191,'350配方'!$Y191:$AB191,126)</x:f>
        <x:v>0</x:v>
      </x:c>
      <x:c r="Y191" s="9" t="n">
        <x:f>SUMIFS('350配方'!$M191:$P191,'350配方'!$Y191:$AB191,136)</x:f>
        <x:v>0</x:v>
      </x:c>
      <x:c r="Z191" s="9" t="n">
        <x:f>SUMIFS('350配方'!$M191:$P191,'350配方'!$Y191:$AB191,141)</x:f>
        <x:v>0</x:v>
      </x:c>
      <x:c r="AA191" s="9" t="n">
        <x:f>SUMIFS('350配方'!$M191:$P191,'350配方'!$Y191:$AB191,152)</x:f>
        <x:v>0</x:v>
      </x:c>
      <x:c r="AB191" s="9" t="n">
        <x:f>SUMIFS('350配方'!$M191:$P191,'350配方'!$Y191:$AB191,165)</x:f>
        <x:v>0</x:v>
      </x:c>
      <x:c r="AC191" s="9" t="n">
        <x:f>SUMIFS('350配方'!$M191:$P191,'350配方'!$Y191:$AB191,186)</x:f>
        <x:v>0</x:v>
      </x:c>
      <x:c r="AD191" s="9" t="n">
        <x:f>SUMIFS('350配方'!$M191:$P191,'350配方'!$Y191:$AB191,207)</x:f>
        <x:v>0</x:v>
      </x:c>
      <x:c r="AE191" s="9" t="n">
        <x:f>SUMIFS('350配方'!$M191:$P191,'350配方'!$Y191:$AB191,209)</x:f>
        <x:v>0</x:v>
      </x:c>
      <x:c r="AF191" s="9" t="n">
        <x:f>SUMIFS('350配方'!$M191:$P191,'350配方'!$Y191:$AB191,227)</x:f>
        <x:v>0</x:v>
      </x:c>
      <x:c r="AG191" s="9" t="n">
        <x:f>SUMIFS('350配方'!$M191:$P191,'350配方'!$Y191:$AB191,232)</x:f>
        <x:v>0</x:v>
      </x:c>
      <x:c r="AH191" s="9" t="n">
        <x:f>SUMIFS('350配方'!$M191:$P191,'350配方'!$Y191:$AB191,255)</x:f>
        <x:v>0</x:v>
      </x:c>
      <x:c r="AI191" s="9" t="n">
        <x:f>'浓度设置'!S6</x:f>
        <x:v>219125.9626344086</x:v>
      </x:c>
      <x:c r="AJ191" s="9" t="n">
        <x:f>'浓度设置'!S8</x:f>
        <x:v>92796.92267241378</x:v>
      </x:c>
      <x:c r="AK191" s="9" t="n">
        <x:f>'浓度设置'!S10</x:f>
        <x:v>30556.797802197798</x:v>
      </x:c>
      <x:c r="AL191" s="9" t="n">
        <x:f>'浓度设置'!S12</x:f>
        <x:v>1735.828970588235</x:v>
      </x:c>
      <x:c r="AM191" s="9" t="n">
        <x:f>'浓度设置'!S15</x:f>
        <x:v>7385.813644067793</x:v>
      </x:c>
      <x:c r="AN191" s="9" t="n">
        <x:f>'浓度设置'!S19</x:f>
        <x:v>27722.03097701148</x:v>
      </x:c>
      <x:c r="AO191" s="9" t="n">
        <x:f>'浓度设置'!S22</x:f>
        <x:v>44345.55047619048</x:v>
      </x:c>
      <x:c r="AP191" s="9" t="n">
        <x:f>'浓度设置'!S26</x:f>
        <x:v>153318.30499999996</x:v>
      </x:c>
      <x:c r="AQ191" s="9" t="n">
        <x:f>'浓度设置'!S29</x:f>
        <x:v>312.7970588235294</x:v>
      </x:c>
      <x:c r="AR191" s="9" t="n">
        <x:f>'浓度设置'!S30</x:f>
        <x:v>104175.5097553192</x:v>
      </x:c>
      <x:c r="AS191" s="9" t="n">
        <x:f>'浓度设置'!S35</x:f>
        <x:v>405974.90656785714</x:v>
      </x:c>
    </x:row>
    <x:row r="192" ht="24" customHeight="1">
      <x:c r="A192" s="3" t="str">
        <x:f>'350配方'!A192</x:f>
        <x:v>T187</x:v>
      </x:c>
      <x:c r="B192" s="3" t="str">
        <x:f>'350配方'!B192</x:f>
        <x:v>拟合</x:v>
      </x:c>
      <x:c r="C192" s="3" t="n">
        <x:f>IF(B192="拟合",1,0)</x:f>
        <x:v>1</x:v>
      </x:c>
      <x:c r="D192" s="3" t="n">
        <x:f>'350配方'!AC192</x:f>
        <x:v>4</x:v>
      </x:c>
      <x:c r="E192" s="9" t="n">
        <x:f>SUMIFS('350配方'!$M192:$P192,'350配方'!$Y192:$AB192,7)</x:f>
        <x:v>0</x:v>
      </x:c>
      <x:c r="F192" s="9" t="n">
        <x:f>SUMIFS('350配方'!$M192:$P192,'350配方'!$Y192:$AB192,11)</x:f>
        <x:v>0</x:v>
      </x:c>
      <x:c r="G192" s="9" t="n">
        <x:f>SUMIFS('350配方'!$M192:$P192,'350配方'!$Y192:$AB192,18)</x:f>
        <x:v>0</x:v>
      </x:c>
      <x:c r="H192" s="9" t="n">
        <x:f>SUMIFS('350配方'!$M192:$P192,'350配方'!$Y192:$AB192,32)</x:f>
        <x:v>0</x:v>
      </x:c>
      <x:c r="I192" s="9" t="n">
        <x:f>SUMIFS('350配方'!$M192:$P192,'350配方'!$Y192:$AB192,40)</x:f>
        <x:v>0</x:v>
      </x:c>
      <x:c r="J192" s="9" t="n">
        <x:f>SUMIFS('350配方'!$M192:$P192,'350配方'!$Y192:$AB192,52)</x:f>
        <x:v>0</x:v>
      </x:c>
      <x:c r="K192" s="9" t="n">
        <x:f>SUMIFS('350配方'!$M192:$P192,'350配方'!$Y192:$AB192,53)</x:f>
        <x:v>0</x:v>
      </x:c>
      <x:c r="L192" s="9" t="n">
        <x:f>SUMIFS('350配方'!$M192:$P192,'350配方'!$Y192:$AB192,56)</x:f>
        <x:v>0</x:v>
      </x:c>
      <x:c r="M192" s="9" t="n">
        <x:f>SUMIFS('350配方'!$M192:$P192,'350配方'!$Y192:$AB192,58)</x:f>
        <x:v>0</x:v>
      </x:c>
      <x:c r="N192" s="9" t="n">
        <x:f>SUMIFS('350配方'!$M192:$P192,'350配方'!$Y192:$AB192,61)</x:f>
        <x:v>0</x:v>
      </x:c>
      <x:c r="O192" s="9" t="n">
        <x:f>SUMIFS('350配方'!$M192:$P192,'350配方'!$Y192:$AB192,69)</x:f>
        <x:v>0</x:v>
      </x:c>
      <x:c r="P192" s="9" t="n">
        <x:f>SUMIFS('350配方'!$M192:$P192,'350配方'!$Y192:$AB192,75)</x:f>
        <x:v>0</x:v>
      </x:c>
      <x:c r="Q192" s="9" t="n">
        <x:f>SUMIFS('350配方'!$M192:$P192,'350配方'!$Y192:$AB192,79)</x:f>
        <x:v>0</x:v>
      </x:c>
      <x:c r="R192" s="9" t="n">
        <x:f>SUMIFS('350配方'!$M192:$P192,'350配方'!$Y192:$AB192,90)</x:f>
        <x:v>25642.45</x:v>
      </x:c>
      <x:c r="S192" s="9" t="n">
        <x:f>SUMIFS('350配方'!$M192:$P192,'350配方'!$Y192:$AB192,105)</x:f>
        <x:v>0</x:v>
      </x:c>
      <x:c r="T192" s="9" t="n">
        <x:f>SUMIFS('350配方'!$M192:$P192,'350配方'!$Y192:$AB192,111)</x:f>
        <x:v>0</x:v>
      </x:c>
      <x:c r="U192" s="9" t="n">
        <x:f>SUMIFS('350配方'!$M192:$P192,'350配方'!$Y192:$AB192,114)</x:f>
        <x:v>0</x:v>
      </x:c>
      <x:c r="V192" s="9" t="n">
        <x:f>SUMIFS('350配方'!$M192:$P192,'350配方'!$Y192:$AB192,115)</x:f>
        <x:v>0</x:v>
      </x:c>
      <x:c r="W192" s="9" t="n">
        <x:f>SUMIFS('350配方'!$M192:$P192,'350配方'!$Y192:$AB192,117)</x:f>
        <x:v>274.54883445390914</x:v>
      </x:c>
      <x:c r="X192" s="9" t="n">
        <x:f>SUMIFS('350配方'!$M192:$P192,'350配方'!$Y192:$AB192,126)</x:f>
        <x:v>0</x:v>
      </x:c>
      <x:c r="Y192" s="9" t="n">
        <x:f>SUMIFS('350配方'!$M192:$P192,'350配方'!$Y192:$AB192,136)</x:f>
        <x:v>0</x:v>
      </x:c>
      <x:c r="Z192" s="9" t="n">
        <x:f>SUMIFS('350配方'!$M192:$P192,'350配方'!$Y192:$AB192,141)</x:f>
        <x:v>0</x:v>
      </x:c>
      <x:c r="AA192" s="9" t="n">
        <x:f>SUMIFS('350配方'!$M192:$P192,'350配方'!$Y192:$AB192,152)</x:f>
        <x:v>0</x:v>
      </x:c>
      <x:c r="AB192" s="9" t="n">
        <x:f>SUMIFS('350配方'!$M192:$P192,'350配方'!$Y192:$AB192,165)</x:f>
        <x:v>86300</x:v>
      </x:c>
      <x:c r="AC192" s="9" t="n">
        <x:f>SUMIFS('350配方'!$M192:$P192,'350配方'!$Y192:$AB192,186)</x:f>
        <x:v>0</x:v>
      </x:c>
      <x:c r="AD192" s="9" t="n">
        <x:f>SUMIFS('350配方'!$M192:$P192,'350配方'!$Y192:$AB192,207)</x:f>
        <x:v>1</x:v>
      </x:c>
      <x:c r="AE192" s="9" t="n">
        <x:f>SUMIFS('350配方'!$M192:$P192,'350配方'!$Y192:$AB192,209)</x:f>
        <x:v>0</x:v>
      </x:c>
      <x:c r="AF192" s="9" t="n">
        <x:f>SUMIFS('350配方'!$M192:$P192,'350配方'!$Y192:$AB192,227)</x:f>
        <x:v>0</x:v>
      </x:c>
      <x:c r="AG192" s="9" t="n">
        <x:f>SUMIFS('350配方'!$M192:$P192,'350配方'!$Y192:$AB192,232)</x:f>
        <x:v>0</x:v>
      </x:c>
      <x:c r="AH192" s="9" t="n">
        <x:f>SUMIFS('350配方'!$M192:$P192,'350配方'!$Y192:$AB192,255)</x:f>
        <x:v>0</x:v>
      </x:c>
      <x:c r="AI192" s="9" t="n">
        <x:f>'浓度设置'!S6</x:f>
        <x:v>219125.9626344086</x:v>
      </x:c>
      <x:c r="AJ192" s="9" t="n">
        <x:f>'浓度设置'!S8</x:f>
        <x:v>92796.92267241378</x:v>
      </x:c>
      <x:c r="AK192" s="9" t="n">
        <x:f>'浓度设置'!S10</x:f>
        <x:v>30556.797802197798</x:v>
      </x:c>
      <x:c r="AL192" s="9" t="n">
        <x:f>'浓度设置'!S12</x:f>
        <x:v>1735.828970588235</x:v>
      </x:c>
      <x:c r="AM192" s="9" t="n">
        <x:f>'浓度设置'!S15</x:f>
        <x:v>7385.813644067793</x:v>
      </x:c>
      <x:c r="AN192" s="9" t="n">
        <x:f>'浓度设置'!S19</x:f>
        <x:v>27722.03097701148</x:v>
      </x:c>
      <x:c r="AO192" s="9" t="n">
        <x:f>'浓度设置'!S22</x:f>
        <x:v>44345.55047619048</x:v>
      </x:c>
      <x:c r="AP192" s="9" t="n">
        <x:f>'浓度设置'!S26</x:f>
        <x:v>153318.30499999996</x:v>
      </x:c>
      <x:c r="AQ192" s="9" t="n">
        <x:f>'浓度设置'!S29</x:f>
        <x:v>312.7970588235294</x:v>
      </x:c>
      <x:c r="AR192" s="9" t="n">
        <x:f>'浓度设置'!S30</x:f>
        <x:v>104175.5097553192</x:v>
      </x:c>
      <x:c r="AS192" s="9" t="n">
        <x:f>'浓度设置'!S35</x:f>
        <x:v>405974.90656785714</x:v>
      </x:c>
    </x:row>
    <x:row r="193" ht="24" customHeight="1">
      <x:c r="A193" s="3" t="str">
        <x:f>'350配方'!A193</x:f>
        <x:v>T188</x:v>
      </x:c>
      <x:c r="B193" s="3" t="str">
        <x:f>'350配方'!B193</x:f>
        <x:v>拟合</x:v>
      </x:c>
      <x:c r="C193" s="3" t="n">
        <x:f>IF(B193="拟合",1,0)</x:f>
        <x:v>1</x:v>
      </x:c>
      <x:c r="D193" s="3" t="n">
        <x:f>'350配方'!AC193</x:f>
        <x:v>4</x:v>
      </x:c>
      <x:c r="E193" s="9" t="n">
        <x:f>SUMIFS('350配方'!$M193:$P193,'350配方'!$Y193:$AB193,7)</x:f>
        <x:v>0</x:v>
      </x:c>
      <x:c r="F193" s="9" t="n">
        <x:f>SUMIFS('350配方'!$M193:$P193,'350配方'!$Y193:$AB193,11)</x:f>
        <x:v>0</x:v>
      </x:c>
      <x:c r="G193" s="9" t="n">
        <x:f>SUMIFS('350配方'!$M193:$P193,'350配方'!$Y193:$AB193,18)</x:f>
        <x:v>0</x:v>
      </x:c>
      <x:c r="H193" s="9" t="n">
        <x:f>SUMIFS('350配方'!$M193:$P193,'350配方'!$Y193:$AB193,32)</x:f>
        <x:v>37489</x:v>
      </x:c>
      <x:c r="I193" s="9" t="n">
        <x:f>SUMIFS('350配方'!$M193:$P193,'350配方'!$Y193:$AB193,40)</x:f>
        <x:v>0</x:v>
      </x:c>
      <x:c r="J193" s="9" t="n">
        <x:f>SUMIFS('350配方'!$M193:$P193,'350配方'!$Y193:$AB193,52)</x:f>
        <x:v>0</x:v>
      </x:c>
      <x:c r="K193" s="9" t="n">
        <x:f>SUMIFS('350配方'!$M193:$P193,'350配方'!$Y193:$AB193,53)</x:f>
        <x:v>0</x:v>
      </x:c>
      <x:c r="L193" s="9" t="n">
        <x:f>SUMIFS('350配方'!$M193:$P193,'350配方'!$Y193:$AB193,56)</x:f>
        <x:v>1041.8500000000001</x:v>
      </x:c>
      <x:c r="M193" s="9" t="n">
        <x:f>SUMIFS('350配方'!$M193:$P193,'350配方'!$Y193:$AB193,58)</x:f>
        <x:v>0</x:v>
      </x:c>
      <x:c r="N193" s="9" t="n">
        <x:f>SUMIFS('350配方'!$M193:$P193,'350配方'!$Y193:$AB193,61)</x:f>
        <x:v>59.381310191002015</x:v>
      </x:c>
      <x:c r="O193" s="9" t="n">
        <x:f>SUMIFS('350配方'!$M193:$P193,'350配方'!$Y193:$AB193,69)</x:f>
        <x:v>0</x:v>
      </x:c>
      <x:c r="P193" s="9" t="n">
        <x:f>SUMIFS('350配方'!$M193:$P193,'350配方'!$Y193:$AB193,75)</x:f>
        <x:v>0</x:v>
      </x:c>
      <x:c r="Q193" s="9" t="n">
        <x:f>SUMIFS('350配方'!$M193:$P193,'350配方'!$Y193:$AB193,79)</x:f>
        <x:v>0</x:v>
      </x:c>
      <x:c r="R193" s="9" t="n">
        <x:f>SUMIFS('350配方'!$M193:$P193,'350配方'!$Y193:$AB193,90)</x:f>
        <x:v>0</x:v>
      </x:c>
      <x:c r="S193" s="9" t="n">
        <x:f>SUMIFS('350配方'!$M193:$P193,'350配方'!$Y193:$AB193,105)</x:f>
        <x:v>0</x:v>
      </x:c>
      <x:c r="T193" s="9" t="n">
        <x:f>SUMIFS('350配方'!$M193:$P193,'350配方'!$Y193:$AB193,111)</x:f>
        <x:v>0</x:v>
      </x:c>
      <x:c r="U193" s="9" t="n">
        <x:f>SUMIFS('350配方'!$M193:$P193,'350配方'!$Y193:$AB193,114)</x:f>
        <x:v>0</x:v>
      </x:c>
      <x:c r="V193" s="9" t="n">
        <x:f>SUMIFS('350配方'!$M193:$P193,'350配方'!$Y193:$AB193,115)</x:f>
        <x:v>0</x:v>
      </x:c>
      <x:c r="W193" s="9" t="n">
        <x:f>SUMIFS('350配方'!$M193:$P193,'350配方'!$Y193:$AB193,117)</x:f>
        <x:v>0</x:v>
      </x:c>
      <x:c r="X193" s="9" t="n">
        <x:f>SUMIFS('350配方'!$M193:$P193,'350配方'!$Y193:$AB193,126)</x:f>
        <x:v>0</x:v>
      </x:c>
      <x:c r="Y193" s="9" t="n">
        <x:f>SUMIFS('350配方'!$M193:$P193,'350配方'!$Y193:$AB193,136)</x:f>
        <x:v>0</x:v>
      </x:c>
      <x:c r="Z193" s="9" t="n">
        <x:f>SUMIFS('350配方'!$M193:$P193,'350配方'!$Y193:$AB193,141)</x:f>
        <x:v>0</x:v>
      </x:c>
      <x:c r="AA193" s="9" t="n">
        <x:f>SUMIFS('350配方'!$M193:$P193,'350配方'!$Y193:$AB193,152)</x:f>
        <x:v>0</x:v>
      </x:c>
      <x:c r="AB193" s="9" t="n">
        <x:f>SUMIFS('350配方'!$M193:$P193,'350配方'!$Y193:$AB193,165)</x:f>
        <x:v>0</x:v>
      </x:c>
      <x:c r="AC193" s="9" t="n">
        <x:f>SUMIFS('350配方'!$M193:$P193,'350配方'!$Y193:$AB193,186)</x:f>
        <x:v>4262.731518639193</x:v>
      </x:c>
      <x:c r="AD193" s="9" t="n">
        <x:f>SUMIFS('350配方'!$M193:$P193,'350配方'!$Y193:$AB193,207)</x:f>
        <x:v>0</x:v>
      </x:c>
      <x:c r="AE193" s="9" t="n">
        <x:f>SUMIFS('350配方'!$M193:$P193,'350配方'!$Y193:$AB193,209)</x:f>
        <x:v>0</x:v>
      </x:c>
      <x:c r="AF193" s="9" t="n">
        <x:f>SUMIFS('350配方'!$M193:$P193,'350配方'!$Y193:$AB193,227)</x:f>
        <x:v>0</x:v>
      </x:c>
      <x:c r="AG193" s="9" t="n">
        <x:f>SUMIFS('350配方'!$M193:$P193,'350配方'!$Y193:$AB193,232)</x:f>
        <x:v>0</x:v>
      </x:c>
      <x:c r="AH193" s="9" t="n">
        <x:f>SUMIFS('350配方'!$M193:$P193,'350配方'!$Y193:$AB193,255)</x:f>
        <x:v>0</x:v>
      </x:c>
      <x:c r="AI193" s="9" t="n">
        <x:f>'浓度设置'!S6</x:f>
        <x:v>219125.9626344086</x:v>
      </x:c>
      <x:c r="AJ193" s="9" t="n">
        <x:f>'浓度设置'!S8</x:f>
        <x:v>92796.92267241378</x:v>
      </x:c>
      <x:c r="AK193" s="9" t="n">
        <x:f>'浓度设置'!S10</x:f>
        <x:v>30556.797802197798</x:v>
      </x:c>
      <x:c r="AL193" s="9" t="n">
        <x:f>'浓度设置'!S12</x:f>
        <x:v>1735.828970588235</x:v>
      </x:c>
      <x:c r="AM193" s="9" t="n">
        <x:f>'浓度设置'!S15</x:f>
        <x:v>7385.813644067793</x:v>
      </x:c>
      <x:c r="AN193" s="9" t="n">
        <x:f>'浓度设置'!S19</x:f>
        <x:v>27722.03097701148</x:v>
      </x:c>
      <x:c r="AO193" s="9" t="n">
        <x:f>'浓度设置'!S22</x:f>
        <x:v>44345.55047619048</x:v>
      </x:c>
      <x:c r="AP193" s="9" t="n">
        <x:f>'浓度设置'!S26</x:f>
        <x:v>153318.30499999996</x:v>
      </x:c>
      <x:c r="AQ193" s="9" t="n">
        <x:f>'浓度设置'!S29</x:f>
        <x:v>312.7970588235294</x:v>
      </x:c>
      <x:c r="AR193" s="9" t="n">
        <x:f>'浓度设置'!S30</x:f>
        <x:v>104175.5097553192</x:v>
      </x:c>
      <x:c r="AS193" s="9" t="n">
        <x:f>'浓度设置'!S35</x:f>
        <x:v>405974.90656785714</x:v>
      </x:c>
    </x:row>
    <x:row r="194" ht="24" customHeight="1">
      <x:c r="A194" s="3" t="str">
        <x:f>'350配方'!A194</x:f>
        <x:v>T189</x:v>
      </x:c>
      <x:c r="B194" s="3" t="str">
        <x:f>'350配方'!B194</x:f>
        <x:v>拟合</x:v>
      </x:c>
      <x:c r="C194" s="3" t="n">
        <x:f>IF(B194="拟合",1,0)</x:f>
        <x:v>1</x:v>
      </x:c>
      <x:c r="D194" s="3" t="n">
        <x:f>'350配方'!AC194</x:f>
        <x:v>4</x:v>
      </x:c>
      <x:c r="E194" s="9" t="n">
        <x:f>SUMIFS('350配方'!$M194:$P194,'350配方'!$Y194:$AB194,7)</x:f>
        <x:v>729.4776350238574</x:v>
      </x:c>
      <x:c r="F194" s="9" t="n">
        <x:f>SUMIFS('350配方'!$M194:$P194,'350配方'!$Y194:$AB194,11)</x:f>
        <x:v>0</x:v>
      </x:c>
      <x:c r="G194" s="9" t="n">
        <x:f>SUMIFS('350配方'!$M194:$P194,'350配方'!$Y194:$AB194,18)</x:f>
        <x:v>35900</x:v>
      </x:c>
      <x:c r="H194" s="9" t="n">
        <x:f>SUMIFS('350配方'!$M194:$P194,'350配方'!$Y194:$AB194,32)</x:f>
        <x:v>0</x:v>
      </x:c>
      <x:c r="I194" s="9" t="n">
        <x:f>SUMIFS('350配方'!$M194:$P194,'350配方'!$Y194:$AB194,40)</x:f>
        <x:v>0</x:v>
      </x:c>
      <x:c r="J194" s="9" t="n">
        <x:f>SUMIFS('350配方'!$M194:$P194,'350配方'!$Y194:$AB194,52)</x:f>
        <x:v>0</x:v>
      </x:c>
      <x:c r="K194" s="9" t="n">
        <x:f>SUMIFS('350配方'!$M194:$P194,'350配方'!$Y194:$AB194,53)</x:f>
        <x:v>0</x:v>
      </x:c>
      <x:c r="L194" s="9" t="n">
        <x:f>SUMIFS('350配方'!$M194:$P194,'350配方'!$Y194:$AB194,56)</x:f>
        <x:v>0</x:v>
      </x:c>
      <x:c r="M194" s="9" t="n">
        <x:f>SUMIFS('350配方'!$M194:$P194,'350配方'!$Y194:$AB194,58)</x:f>
        <x:v>0</x:v>
      </x:c>
      <x:c r="N194" s="9" t="n">
        <x:f>SUMIFS('350配方'!$M194:$P194,'350配方'!$Y194:$AB194,61)</x:f>
        <x:v>0</x:v>
      </x:c>
      <x:c r="O194" s="9" t="n">
        <x:f>SUMIFS('350配方'!$M194:$P194,'350配方'!$Y194:$AB194,69)</x:f>
        <x:v>0</x:v>
      </x:c>
      <x:c r="P194" s="9" t="n">
        <x:f>SUMIFS('350配方'!$M194:$P194,'350配方'!$Y194:$AB194,75)</x:f>
        <x:v>0</x:v>
      </x:c>
      <x:c r="Q194" s="9" t="n">
        <x:f>SUMIFS('350配方'!$M194:$P194,'350配方'!$Y194:$AB194,79)</x:f>
        <x:v>0</x:v>
      </x:c>
      <x:c r="R194" s="9" t="n">
        <x:f>SUMIFS('350配方'!$M194:$P194,'350配方'!$Y194:$AB194,90)</x:f>
        <x:v>0</x:v>
      </x:c>
      <x:c r="S194" s="9" t="n">
        <x:f>SUMIFS('350配方'!$M194:$P194,'350配方'!$Y194:$AB194,105)</x:f>
        <x:v>0</x:v>
      </x:c>
      <x:c r="T194" s="9" t="n">
        <x:f>SUMIFS('350配方'!$M194:$P194,'350配方'!$Y194:$AB194,111)</x:f>
        <x:v>0</x:v>
      </x:c>
      <x:c r="U194" s="9" t="n">
        <x:f>SUMIFS('350配方'!$M194:$P194,'350配方'!$Y194:$AB194,114)</x:f>
        <x:v>47100</x:v>
      </x:c>
      <x:c r="V194" s="9" t="n">
        <x:f>SUMIFS('350配方'!$M194:$P194,'350配方'!$Y194:$AB194,115)</x:f>
        <x:v>0</x:v>
      </x:c>
      <x:c r="W194" s="9" t="n">
        <x:f>SUMIFS('350配方'!$M194:$P194,'350配方'!$Y194:$AB194,117)</x:f>
        <x:v>0</x:v>
      </x:c>
      <x:c r="X194" s="9" t="n">
        <x:f>SUMIFS('350配方'!$M194:$P194,'350配方'!$Y194:$AB194,126)</x:f>
        <x:v>0</x:v>
      </x:c>
      <x:c r="Y194" s="9" t="n">
        <x:f>SUMIFS('350配方'!$M194:$P194,'350配方'!$Y194:$AB194,136)</x:f>
        <x:v>0</x:v>
      </x:c>
      <x:c r="Z194" s="9" t="n">
        <x:f>SUMIFS('350配方'!$M194:$P194,'350配方'!$Y194:$AB194,141)</x:f>
        <x:v>0</x:v>
      </x:c>
      <x:c r="AA194" s="9" t="n">
        <x:f>SUMIFS('350配方'!$M194:$P194,'350配方'!$Y194:$AB194,152)</x:f>
        <x:v>0</x:v>
      </x:c>
      <x:c r="AB194" s="9" t="n">
        <x:f>SUMIFS('350配方'!$M194:$P194,'350配方'!$Y194:$AB194,165)</x:f>
        <x:v>0</x:v>
      </x:c>
      <x:c r="AC194" s="9" t="n">
        <x:f>SUMIFS('350配方'!$M194:$P194,'350配方'!$Y194:$AB194,186)</x:f>
        <x:v>0</x:v>
      </x:c>
      <x:c r="AD194" s="9" t="n">
        <x:f>SUMIFS('350配方'!$M194:$P194,'350配方'!$Y194:$AB194,207)</x:f>
        <x:v>0</x:v>
      </x:c>
      <x:c r="AE194" s="9" t="n">
        <x:f>SUMIFS('350配方'!$M194:$P194,'350配方'!$Y194:$AB194,209)</x:f>
        <x:v>0.28</x:v>
      </x:c>
      <x:c r="AF194" s="9" t="n">
        <x:f>SUMIFS('350配方'!$M194:$P194,'350配方'!$Y194:$AB194,227)</x:f>
        <x:v>0</x:v>
      </x:c>
      <x:c r="AG194" s="9" t="n">
        <x:f>SUMIFS('350配方'!$M194:$P194,'350配方'!$Y194:$AB194,232)</x:f>
        <x:v>0</x:v>
      </x:c>
      <x:c r="AH194" s="9" t="n">
        <x:f>SUMIFS('350配方'!$M194:$P194,'350配方'!$Y194:$AB194,255)</x:f>
        <x:v>0</x:v>
      </x:c>
      <x:c r="AI194" s="9" t="n">
        <x:f>'浓度设置'!S6</x:f>
        <x:v>219125.9626344086</x:v>
      </x:c>
      <x:c r="AJ194" s="9" t="n">
        <x:f>'浓度设置'!S8</x:f>
        <x:v>92796.92267241378</x:v>
      </x:c>
      <x:c r="AK194" s="9" t="n">
        <x:f>'浓度设置'!S10</x:f>
        <x:v>30556.797802197798</x:v>
      </x:c>
      <x:c r="AL194" s="9" t="n">
        <x:f>'浓度设置'!S12</x:f>
        <x:v>1735.828970588235</x:v>
      </x:c>
      <x:c r="AM194" s="9" t="n">
        <x:f>'浓度设置'!S15</x:f>
        <x:v>7385.813644067793</x:v>
      </x:c>
      <x:c r="AN194" s="9" t="n">
        <x:f>'浓度设置'!S19</x:f>
        <x:v>27722.03097701148</x:v>
      </x:c>
      <x:c r="AO194" s="9" t="n">
        <x:f>'浓度设置'!S22</x:f>
        <x:v>44345.55047619048</x:v>
      </x:c>
      <x:c r="AP194" s="9" t="n">
        <x:f>'浓度设置'!S26</x:f>
        <x:v>153318.30499999996</x:v>
      </x:c>
      <x:c r="AQ194" s="9" t="n">
        <x:f>'浓度设置'!S29</x:f>
        <x:v>312.7970588235294</x:v>
      </x:c>
      <x:c r="AR194" s="9" t="n">
        <x:f>'浓度设置'!S30</x:f>
        <x:v>104175.5097553192</x:v>
      </x:c>
      <x:c r="AS194" s="9" t="n">
        <x:f>'浓度设置'!S35</x:f>
        <x:v>405974.90656785714</x:v>
      </x:c>
    </x:row>
    <x:row r="195" ht="24" customHeight="1">
      <x:c r="A195" s="3" t="str">
        <x:f>'350配方'!A195</x:f>
        <x:v>T190</x:v>
      </x:c>
      <x:c r="B195" s="3" t="str">
        <x:f>'350配方'!B195</x:f>
        <x:v>拟合</x:v>
      </x:c>
      <x:c r="C195" s="3" t="n">
        <x:f>IF(B195="拟合",1,0)</x:f>
        <x:v>1</x:v>
      </x:c>
      <x:c r="D195" s="3" t="n">
        <x:f>'350配方'!AC195</x:f>
        <x:v>4</x:v>
      </x:c>
      <x:c r="E195" s="9" t="n">
        <x:f>SUMIFS('350配方'!$M195:$P195,'350配方'!$Y195:$AB195,7)</x:f>
        <x:v>0</x:v>
      </x:c>
      <x:c r="F195" s="9" t="n">
        <x:f>SUMIFS('350配方'!$M195:$P195,'350配方'!$Y195:$AB195,11)</x:f>
        <x:v>0</x:v>
      </x:c>
      <x:c r="G195" s="9" t="n">
        <x:f>SUMIFS('350配方'!$M195:$P195,'350配方'!$Y195:$AB195,18)</x:f>
        <x:v>0</x:v>
      </x:c>
      <x:c r="H195" s="9" t="n">
        <x:f>SUMIFS('350配方'!$M195:$P195,'350配方'!$Y195:$AB195,32)</x:f>
        <x:v>0</x:v>
      </x:c>
      <x:c r="I195" s="9" t="n">
        <x:f>SUMIFS('350配方'!$M195:$P195,'350配方'!$Y195:$AB195,40)</x:f>
        <x:v>0</x:v>
      </x:c>
      <x:c r="J195" s="9" t="n">
        <x:f>SUMIFS('350配方'!$M195:$P195,'350配方'!$Y195:$AB195,52)</x:f>
        <x:v>0</x:v>
      </x:c>
      <x:c r="K195" s="9" t="n">
        <x:f>SUMIFS('350配方'!$M195:$P195,'350配方'!$Y195:$AB195,53)</x:f>
        <x:v>0</x:v>
      </x:c>
      <x:c r="L195" s="9" t="n">
        <x:f>SUMIFS('350配方'!$M195:$P195,'350配方'!$Y195:$AB195,56)</x:f>
        <x:v>0</x:v>
      </x:c>
      <x:c r="M195" s="9" t="n">
        <x:f>SUMIFS('350配方'!$M195:$P195,'350配方'!$Y195:$AB195,58)</x:f>
        <x:v>0</x:v>
      </x:c>
      <x:c r="N195" s="9" t="n">
        <x:f>SUMIFS('350配方'!$M195:$P195,'350配方'!$Y195:$AB195,61)</x:f>
        <x:v>0</x:v>
      </x:c>
      <x:c r="O195" s="9" t="n">
        <x:f>SUMIFS('350配方'!$M195:$P195,'350配方'!$Y195:$AB195,69)</x:f>
        <x:v>0</x:v>
      </x:c>
      <x:c r="P195" s="9" t="n">
        <x:f>SUMIFS('350配方'!$M195:$P195,'350配方'!$Y195:$AB195,75)</x:f>
        <x:v>331.2476415010377</x:v>
      </x:c>
      <x:c r="Q195" s="9" t="n">
        <x:f>SUMIFS('350配方'!$M195:$P195,'350配方'!$Y195:$AB195,79)</x:f>
        <x:v>0</x:v>
      </x:c>
      <x:c r="R195" s="9" t="n">
        <x:f>SUMIFS('350配方'!$M195:$P195,'350配方'!$Y195:$AB195,90)</x:f>
        <x:v>0</x:v>
      </x:c>
      <x:c r="S195" s="9" t="n">
        <x:f>SUMIFS('350配方'!$M195:$P195,'350配方'!$Y195:$AB195,105)</x:f>
        <x:v>0</x:v>
      </x:c>
      <x:c r="T195" s="9" t="n">
        <x:f>SUMIFS('350配方'!$M195:$P195,'350配方'!$Y195:$AB195,111)</x:f>
        <x:v>89562.18016998023</x:v>
      </x:c>
      <x:c r="U195" s="9" t="n">
        <x:f>SUMIFS('350配方'!$M195:$P195,'350配方'!$Y195:$AB195,114)</x:f>
        <x:v>0</x:v>
      </x:c>
      <x:c r="V195" s="9" t="n">
        <x:f>SUMIFS('350配方'!$M195:$P195,'350配方'!$Y195:$AB195,115)</x:f>
        <x:v>0</x:v>
      </x:c>
      <x:c r="W195" s="9" t="n">
        <x:f>SUMIFS('350配方'!$M195:$P195,'350配方'!$Y195:$AB195,117)</x:f>
        <x:v>0</x:v>
      </x:c>
      <x:c r="X195" s="9" t="n">
        <x:f>SUMIFS('350配方'!$M195:$P195,'350配方'!$Y195:$AB195,126)</x:f>
        <x:v>0</x:v>
      </x:c>
      <x:c r="Y195" s="9" t="n">
        <x:f>SUMIFS('350配方'!$M195:$P195,'350配方'!$Y195:$AB195,136)</x:f>
        <x:v>1.1875</x:v>
      </x:c>
      <x:c r="Z195" s="9" t="n">
        <x:f>SUMIFS('350配方'!$M195:$P195,'350配方'!$Y195:$AB195,141)</x:f>
        <x:v>0</x:v>
      </x:c>
      <x:c r="AA195" s="9" t="n">
        <x:f>SUMIFS('350配方'!$M195:$P195,'350配方'!$Y195:$AB195,152)</x:f>
        <x:v>0</x:v>
      </x:c>
      <x:c r="AB195" s="9" t="n">
        <x:f>SUMIFS('350配方'!$M195:$P195,'350配方'!$Y195:$AB195,165)</x:f>
        <x:v>0</x:v>
      </x:c>
      <x:c r="AC195" s="9" t="n">
        <x:f>SUMIFS('350配方'!$M195:$P195,'350配方'!$Y195:$AB195,186)</x:f>
        <x:v>0</x:v>
      </x:c>
      <x:c r="AD195" s="9" t="n">
        <x:f>SUMIFS('350配方'!$M195:$P195,'350配方'!$Y195:$AB195,207)</x:f>
        <x:v>0</x:v>
      </x:c>
      <x:c r="AE195" s="9" t="n">
        <x:f>SUMIFS('350配方'!$M195:$P195,'350配方'!$Y195:$AB195,209)</x:f>
        <x:v>0</x:v>
      </x:c>
      <x:c r="AF195" s="9" t="n">
        <x:f>SUMIFS('350配方'!$M195:$P195,'350配方'!$Y195:$AB195,227)</x:f>
        <x:v>2.5</x:v>
      </x:c>
      <x:c r="AG195" s="9" t="n">
        <x:f>SUMIFS('350配方'!$M195:$P195,'350配方'!$Y195:$AB195,232)</x:f>
        <x:v>0</x:v>
      </x:c>
      <x:c r="AH195" s="9" t="n">
        <x:f>SUMIFS('350配方'!$M195:$P195,'350配方'!$Y195:$AB195,255)</x:f>
        <x:v>0</x:v>
      </x:c>
      <x:c r="AI195" s="9" t="n">
        <x:f>'浓度设置'!S6</x:f>
        <x:v>219125.9626344086</x:v>
      </x:c>
      <x:c r="AJ195" s="9" t="n">
        <x:f>'浓度设置'!S8</x:f>
        <x:v>92796.92267241378</x:v>
      </x:c>
      <x:c r="AK195" s="9" t="n">
        <x:f>'浓度设置'!S10</x:f>
        <x:v>30556.797802197798</x:v>
      </x:c>
      <x:c r="AL195" s="9" t="n">
        <x:f>'浓度设置'!S12</x:f>
        <x:v>1735.828970588235</x:v>
      </x:c>
      <x:c r="AM195" s="9" t="n">
        <x:f>'浓度设置'!S15</x:f>
        <x:v>7385.813644067793</x:v>
      </x:c>
      <x:c r="AN195" s="9" t="n">
        <x:f>'浓度设置'!S19</x:f>
        <x:v>27722.03097701148</x:v>
      </x:c>
      <x:c r="AO195" s="9" t="n">
        <x:f>'浓度设置'!S22</x:f>
        <x:v>44345.55047619048</x:v>
      </x:c>
      <x:c r="AP195" s="9" t="n">
        <x:f>'浓度设置'!S26</x:f>
        <x:v>153318.30499999996</x:v>
      </x:c>
      <x:c r="AQ195" s="9" t="n">
        <x:f>'浓度设置'!S29</x:f>
        <x:v>312.7970588235294</x:v>
      </x:c>
      <x:c r="AR195" s="9" t="n">
        <x:f>'浓度设置'!S30</x:f>
        <x:v>104175.5097553192</x:v>
      </x:c>
      <x:c r="AS195" s="9" t="n">
        <x:f>'浓度设置'!S35</x:f>
        <x:v>405974.90656785714</x:v>
      </x:c>
    </x:row>
    <x:row r="196" ht="24" customHeight="1">
      <x:c r="A196" s="3" t="str">
        <x:f>'350配方'!A196</x:f>
        <x:v>T191</x:v>
      </x:c>
      <x:c r="B196" s="3" t="str">
        <x:f>'350配方'!B196</x:f>
        <x:v>拟合</x:v>
      </x:c>
      <x:c r="C196" s="3" t="n">
        <x:f>IF(B196="拟合",1,0)</x:f>
        <x:v>1</x:v>
      </x:c>
      <x:c r="D196" s="3" t="n">
        <x:f>'350配方'!AC196</x:f>
        <x:v>4</x:v>
      </x:c>
      <x:c r="E196" s="9" t="n">
        <x:f>SUMIFS('350配方'!$M196:$P196,'350配方'!$Y196:$AB196,7)</x:f>
        <x:v>0</x:v>
      </x:c>
      <x:c r="F196" s="9" t="n">
        <x:f>SUMIFS('350配方'!$M196:$P196,'350配方'!$Y196:$AB196,11)</x:f>
        <x:v>0</x:v>
      </x:c>
      <x:c r="G196" s="9" t="n">
        <x:f>SUMIFS('350配方'!$M196:$P196,'350配方'!$Y196:$AB196,18)</x:f>
        <x:v>0</x:v>
      </x:c>
      <x:c r="H196" s="9" t="n">
        <x:f>SUMIFS('350配方'!$M196:$P196,'350配方'!$Y196:$AB196,32)</x:f>
        <x:v>0</x:v>
      </x:c>
      <x:c r="I196" s="9" t="n">
        <x:f>SUMIFS('350配方'!$M196:$P196,'350配方'!$Y196:$AB196,40)</x:f>
        <x:v>200.3122562401013</x:v>
      </x:c>
      <x:c r="J196" s="9" t="n">
        <x:f>SUMIFS('350配方'!$M196:$P196,'350配方'!$Y196:$AB196,52)</x:f>
        <x:v>0</x:v>
      </x:c>
      <x:c r="K196" s="9" t="n">
        <x:f>SUMIFS('350配方'!$M196:$P196,'350配方'!$Y196:$AB196,53)</x:f>
        <x:v>0</x:v>
      </x:c>
      <x:c r="L196" s="9" t="n">
        <x:f>SUMIFS('350配方'!$M196:$P196,'350配方'!$Y196:$AB196,56)</x:f>
        <x:v>0</x:v>
      </x:c>
      <x:c r="M196" s="9" t="n">
        <x:f>SUMIFS('350配方'!$M196:$P196,'350配方'!$Y196:$AB196,58)</x:f>
        <x:v>0</x:v>
      </x:c>
      <x:c r="N196" s="9" t="n">
        <x:f>SUMIFS('350配方'!$M196:$P196,'350配方'!$Y196:$AB196,61)</x:f>
        <x:v>0</x:v>
      </x:c>
      <x:c r="O196" s="9" t="n">
        <x:f>SUMIFS('350配方'!$M196:$P196,'350配方'!$Y196:$AB196,69)</x:f>
        <x:v>0</x:v>
      </x:c>
      <x:c r="P196" s="9" t="n">
        <x:f>SUMIFS('350配方'!$M196:$P196,'350配方'!$Y196:$AB196,75)</x:f>
        <x:v>0</x:v>
      </x:c>
      <x:c r="Q196" s="9" t="n">
        <x:f>SUMIFS('350配方'!$M196:$P196,'350配方'!$Y196:$AB196,79)</x:f>
        <x:v>0</x:v>
      </x:c>
      <x:c r="R196" s="9" t="n">
        <x:f>SUMIFS('350配方'!$M196:$P196,'350配方'!$Y196:$AB196,90)</x:f>
        <x:v>0</x:v>
      </x:c>
      <x:c r="S196" s="9" t="n">
        <x:f>SUMIFS('350配方'!$M196:$P196,'350配方'!$Y196:$AB196,105)</x:f>
        <x:v>28.044607324760317</x:v>
      </x:c>
      <x:c r="T196" s="9" t="n">
        <x:f>SUMIFS('350配方'!$M196:$P196,'350配方'!$Y196:$AB196,111)</x:f>
        <x:v>0</x:v>
      </x:c>
      <x:c r="U196" s="9" t="n">
        <x:f>SUMIFS('350配方'!$M196:$P196,'350配方'!$Y196:$AB196,114)</x:f>
        <x:v>0</x:v>
      </x:c>
      <x:c r="V196" s="9" t="n">
        <x:f>SUMIFS('350配方'!$M196:$P196,'350配方'!$Y196:$AB196,115)</x:f>
        <x:v>0</x:v>
      </x:c>
      <x:c r="W196" s="9" t="n">
        <x:f>SUMIFS('350配方'!$M196:$P196,'350配方'!$Y196:$AB196,117)</x:f>
        <x:v>0</x:v>
      </x:c>
      <x:c r="X196" s="9" t="n">
        <x:f>SUMIFS('350配方'!$M196:$P196,'350配方'!$Y196:$AB196,126)</x:f>
        <x:v>1551340.76</x:v>
      </x:c>
      <x:c r="Y196" s="9" t="n">
        <x:f>SUMIFS('350配方'!$M196:$P196,'350配方'!$Y196:$AB196,136)</x:f>
        <x:v>0</x:v>
      </x:c>
      <x:c r="Z196" s="9" t="n">
        <x:f>SUMIFS('350配方'!$M196:$P196,'350配方'!$Y196:$AB196,141)</x:f>
        <x:v>0</x:v>
      </x:c>
      <x:c r="AA196" s="9" t="n">
        <x:f>SUMIFS('350配方'!$M196:$P196,'350配方'!$Y196:$AB196,152)</x:f>
        <x:v>0</x:v>
      </x:c>
      <x:c r="AB196" s="9" t="n">
        <x:f>SUMIFS('350配方'!$M196:$P196,'350配方'!$Y196:$AB196,165)</x:f>
        <x:v>0</x:v>
      </x:c>
      <x:c r="AC196" s="9" t="n">
        <x:f>SUMIFS('350配方'!$M196:$P196,'350配方'!$Y196:$AB196,186)</x:f>
        <x:v>0</x:v>
      </x:c>
      <x:c r="AD196" s="9" t="n">
        <x:f>SUMIFS('350配方'!$M196:$P196,'350配方'!$Y196:$AB196,207)</x:f>
        <x:v>0</x:v>
      </x:c>
      <x:c r="AE196" s="9" t="n">
        <x:f>SUMIFS('350配方'!$M196:$P196,'350配方'!$Y196:$AB196,209)</x:f>
        <x:v>0</x:v>
      </x:c>
      <x:c r="AF196" s="9" t="n">
        <x:f>SUMIFS('350配方'!$M196:$P196,'350配方'!$Y196:$AB196,227)</x:f>
        <x:v>0</x:v>
      </x:c>
      <x:c r="AG196" s="9" t="n">
        <x:f>SUMIFS('350配方'!$M196:$P196,'350配方'!$Y196:$AB196,232)</x:f>
        <x:v>1611</x:v>
      </x:c>
      <x:c r="AH196" s="9" t="n">
        <x:f>SUMIFS('350配方'!$M196:$P196,'350配方'!$Y196:$AB196,255)</x:f>
        <x:v>0</x:v>
      </x:c>
      <x:c r="AI196" s="9" t="n">
        <x:f>'浓度设置'!S6</x:f>
        <x:v>219125.9626344086</x:v>
      </x:c>
      <x:c r="AJ196" s="9" t="n">
        <x:f>'浓度设置'!S8</x:f>
        <x:v>92796.92267241378</x:v>
      </x:c>
      <x:c r="AK196" s="9" t="n">
        <x:f>'浓度设置'!S10</x:f>
        <x:v>30556.797802197798</x:v>
      </x:c>
      <x:c r="AL196" s="9" t="n">
        <x:f>'浓度设置'!S12</x:f>
        <x:v>1735.828970588235</x:v>
      </x:c>
      <x:c r="AM196" s="9" t="n">
        <x:f>'浓度设置'!S15</x:f>
        <x:v>7385.813644067793</x:v>
      </x:c>
      <x:c r="AN196" s="9" t="n">
        <x:f>'浓度设置'!S19</x:f>
        <x:v>27722.03097701148</x:v>
      </x:c>
      <x:c r="AO196" s="9" t="n">
        <x:f>'浓度设置'!S22</x:f>
        <x:v>44345.55047619048</x:v>
      </x:c>
      <x:c r="AP196" s="9" t="n">
        <x:f>'浓度设置'!S26</x:f>
        <x:v>153318.30499999996</x:v>
      </x:c>
      <x:c r="AQ196" s="9" t="n">
        <x:f>'浓度设置'!S29</x:f>
        <x:v>312.7970588235294</x:v>
      </x:c>
      <x:c r="AR196" s="9" t="n">
        <x:f>'浓度设置'!S30</x:f>
        <x:v>104175.5097553192</x:v>
      </x:c>
      <x:c r="AS196" s="9" t="n">
        <x:f>'浓度设置'!S35</x:f>
        <x:v>405974.90656785714</x:v>
      </x:c>
    </x:row>
    <x:row r="197" ht="24" customHeight="1">
      <x:c r="A197" s="3" t="str">
        <x:f>'350配方'!A197</x:f>
        <x:v>T192</x:v>
      </x:c>
      <x:c r="B197" s="3" t="str">
        <x:f>'350配方'!B197</x:f>
        <x:v>拟合</x:v>
      </x:c>
      <x:c r="C197" s="3" t="n">
        <x:f>IF(B197="拟合",1,0)</x:f>
        <x:v>1</x:v>
      </x:c>
      <x:c r="D197" s="3" t="n">
        <x:f>'350配方'!AC197</x:f>
        <x:v>4</x:v>
      </x:c>
      <x:c r="E197" s="9" t="n">
        <x:f>SUMIFS('350配方'!$M197:$P197,'350配方'!$Y197:$AB197,7)</x:f>
        <x:v>0</x:v>
      </x:c>
      <x:c r="F197" s="9" t="n">
        <x:f>SUMIFS('350配方'!$M197:$P197,'350配方'!$Y197:$AB197,11)</x:f>
        <x:v>1038900</x:v>
      </x:c>
      <x:c r="G197" s="9" t="n">
        <x:f>SUMIFS('350配方'!$M197:$P197,'350配方'!$Y197:$AB197,18)</x:f>
        <x:v>0</x:v>
      </x:c>
      <x:c r="H197" s="9" t="n">
        <x:f>SUMIFS('350配方'!$M197:$P197,'350配方'!$Y197:$AB197,32)</x:f>
        <x:v>0</x:v>
      </x:c>
      <x:c r="I197" s="9" t="n">
        <x:f>SUMIFS('350配方'!$M197:$P197,'350配方'!$Y197:$AB197,40)</x:f>
        <x:v>0</x:v>
      </x:c>
      <x:c r="J197" s="9" t="n">
        <x:f>SUMIFS('350配方'!$M197:$P197,'350配方'!$Y197:$AB197,52)</x:f>
        <x:v>1290235</x:v>
      </x:c>
      <x:c r="K197" s="9" t="n">
        <x:f>SUMIFS('350配方'!$M197:$P197,'350配方'!$Y197:$AB197,53)</x:f>
        <x:v>0</x:v>
      </x:c>
      <x:c r="L197" s="9" t="n">
        <x:f>SUMIFS('350配方'!$M197:$P197,'350配方'!$Y197:$AB197,56)</x:f>
        <x:v>0</x:v>
      </x:c>
      <x:c r="M197" s="9" t="n">
        <x:f>SUMIFS('350配方'!$M197:$P197,'350配方'!$Y197:$AB197,58)</x:f>
        <x:v>0</x:v>
      </x:c>
      <x:c r="N197" s="9" t="n">
        <x:f>SUMIFS('350配方'!$M197:$P197,'350配方'!$Y197:$AB197,61)</x:f>
        <x:v>0</x:v>
      </x:c>
      <x:c r="O197" s="9" t="n">
        <x:f>SUMIFS('350配方'!$M197:$P197,'350配方'!$Y197:$AB197,69)</x:f>
        <x:v>0</x:v>
      </x:c>
      <x:c r="P197" s="9" t="n">
        <x:f>SUMIFS('350配方'!$M197:$P197,'350配方'!$Y197:$AB197,75)</x:f>
        <x:v>0</x:v>
      </x:c>
      <x:c r="Q197" s="9" t="n">
        <x:f>SUMIFS('350配方'!$M197:$P197,'350配方'!$Y197:$AB197,79)</x:f>
        <x:v>0</x:v>
      </x:c>
      <x:c r="R197" s="9" t="n">
        <x:f>SUMIFS('350配方'!$M197:$P197,'350配方'!$Y197:$AB197,90)</x:f>
        <x:v>0</x:v>
      </x:c>
      <x:c r="S197" s="9" t="n">
        <x:f>SUMIFS('350配方'!$M197:$P197,'350配方'!$Y197:$AB197,105)</x:f>
        <x:v>0</x:v>
      </x:c>
      <x:c r="T197" s="9" t="n">
        <x:f>SUMIFS('350配方'!$M197:$P197,'350配方'!$Y197:$AB197,111)</x:f>
        <x:v>0</x:v>
      </x:c>
      <x:c r="U197" s="9" t="n">
        <x:f>SUMIFS('350配方'!$M197:$P197,'350配方'!$Y197:$AB197,114)</x:f>
        <x:v>0</x:v>
      </x:c>
      <x:c r="V197" s="9" t="n">
        <x:f>SUMIFS('350配方'!$M197:$P197,'350配方'!$Y197:$AB197,115)</x:f>
        <x:v>0</x:v>
      </x:c>
      <x:c r="W197" s="9" t="n">
        <x:f>SUMIFS('350配方'!$M197:$P197,'350配方'!$Y197:$AB197,117)</x:f>
        <x:v>0</x:v>
      </x:c>
      <x:c r="X197" s="9" t="n">
        <x:f>SUMIFS('350配方'!$M197:$P197,'350配方'!$Y197:$AB197,126)</x:f>
        <x:v>0</x:v>
      </x:c>
      <x:c r="Y197" s="9" t="n">
        <x:f>SUMIFS('350配方'!$M197:$P197,'350配方'!$Y197:$AB197,136)</x:f>
        <x:v>0</x:v>
      </x:c>
      <x:c r="Z197" s="9" t="n">
        <x:f>SUMIFS('350配方'!$M197:$P197,'350配方'!$Y197:$AB197,141)</x:f>
        <x:v>1512.497272724814</x:v>
      </x:c>
      <x:c r="AA197" s="9" t="n">
        <x:f>SUMIFS('350配方'!$M197:$P197,'350配方'!$Y197:$AB197,152)</x:f>
        <x:v>0</x:v>
      </x:c>
      <x:c r="AB197" s="9" t="n">
        <x:f>SUMIFS('350配方'!$M197:$P197,'350配方'!$Y197:$AB197,165)</x:f>
        <x:v>0</x:v>
      </x:c>
      <x:c r="AC197" s="9" t="n">
        <x:f>SUMIFS('350配方'!$M197:$P197,'350配方'!$Y197:$AB197,186)</x:f>
        <x:v>1.56</x:v>
      </x:c>
      <x:c r="AD197" s="9" t="n">
        <x:f>SUMIFS('350配方'!$M197:$P197,'350配方'!$Y197:$AB197,207)</x:f>
        <x:v>0</x:v>
      </x:c>
      <x:c r="AE197" s="9" t="n">
        <x:f>SUMIFS('350配方'!$M197:$P197,'350配方'!$Y197:$AB197,209)</x:f>
        <x:v>0</x:v>
      </x:c>
      <x:c r="AF197" s="9" t="n">
        <x:f>SUMIFS('350配方'!$M197:$P197,'350配方'!$Y197:$AB197,227)</x:f>
        <x:v>0</x:v>
      </x:c>
      <x:c r="AG197" s="9" t="n">
        <x:f>SUMIFS('350配方'!$M197:$P197,'350配方'!$Y197:$AB197,232)</x:f>
        <x:v>0</x:v>
      </x:c>
      <x:c r="AH197" s="9" t="n">
        <x:f>SUMIFS('350配方'!$M197:$P197,'350配方'!$Y197:$AB197,255)</x:f>
        <x:v>0</x:v>
      </x:c>
      <x:c r="AI197" s="9" t="n">
        <x:f>'浓度设置'!S6</x:f>
        <x:v>219125.9626344086</x:v>
      </x:c>
      <x:c r="AJ197" s="9" t="n">
        <x:f>'浓度设置'!S8</x:f>
        <x:v>92796.92267241378</x:v>
      </x:c>
      <x:c r="AK197" s="9" t="n">
        <x:f>'浓度设置'!S10</x:f>
        <x:v>30556.797802197798</x:v>
      </x:c>
      <x:c r="AL197" s="9" t="n">
        <x:f>'浓度设置'!S12</x:f>
        <x:v>1735.828970588235</x:v>
      </x:c>
      <x:c r="AM197" s="9" t="n">
        <x:f>'浓度设置'!S15</x:f>
        <x:v>7385.813644067793</x:v>
      </x:c>
      <x:c r="AN197" s="9" t="n">
        <x:f>'浓度设置'!S19</x:f>
        <x:v>27722.03097701148</x:v>
      </x:c>
      <x:c r="AO197" s="9" t="n">
        <x:f>'浓度设置'!S22</x:f>
        <x:v>44345.55047619048</x:v>
      </x:c>
      <x:c r="AP197" s="9" t="n">
        <x:f>'浓度设置'!S26</x:f>
        <x:v>153318.30499999996</x:v>
      </x:c>
      <x:c r="AQ197" s="9" t="n">
        <x:f>'浓度设置'!S29</x:f>
        <x:v>312.7970588235294</x:v>
      </x:c>
      <x:c r="AR197" s="9" t="n">
        <x:f>'浓度设置'!S30</x:f>
        <x:v>104175.5097553192</x:v>
      </x:c>
      <x:c r="AS197" s="9" t="n">
        <x:f>'浓度设置'!S35</x:f>
        <x:v>405974.90656785714</x:v>
      </x:c>
    </x:row>
    <x:row r="198" ht="24" customHeight="1">
      <x:c r="A198" s="3" t="str">
        <x:f>'350配方'!A198</x:f>
        <x:v>T193</x:v>
      </x:c>
      <x:c r="B198" s="3" t="str">
        <x:f>'350配方'!B198</x:f>
        <x:v>拟合</x:v>
      </x:c>
      <x:c r="C198" s="3" t="n">
        <x:f>IF(B198="拟合",1,0)</x:f>
        <x:v>1</x:v>
      </x:c>
      <x:c r="D198" s="3" t="n">
        <x:f>'350配方'!AC198</x:f>
        <x:v>4</x:v>
      </x:c>
      <x:c r="E198" s="9" t="n">
        <x:f>SUMIFS('350配方'!$M198:$P198,'350配方'!$Y198:$AB198,7)</x:f>
        <x:v>0</x:v>
      </x:c>
      <x:c r="F198" s="9" t="n">
        <x:f>SUMIFS('350配方'!$M198:$P198,'350配方'!$Y198:$AB198,11)</x:f>
        <x:v>0</x:v>
      </x:c>
      <x:c r="G198" s="9" t="n">
        <x:f>SUMIFS('350配方'!$M198:$P198,'350配方'!$Y198:$AB198,18)</x:f>
        <x:v>0</x:v>
      </x:c>
      <x:c r="H198" s="9" t="n">
        <x:f>SUMIFS('350配方'!$M198:$P198,'350配方'!$Y198:$AB198,32)</x:f>
        <x:v>0</x:v>
      </x:c>
      <x:c r="I198" s="9" t="n">
        <x:f>SUMIFS('350配方'!$M198:$P198,'350配方'!$Y198:$AB198,40)</x:f>
        <x:v>0</x:v>
      </x:c>
      <x:c r="J198" s="9" t="n">
        <x:f>SUMIFS('350配方'!$M198:$P198,'350配方'!$Y198:$AB198,52)</x:f>
        <x:v>0</x:v>
      </x:c>
      <x:c r="K198" s="9" t="n">
        <x:f>SUMIFS('350配方'!$M198:$P198,'350配方'!$Y198:$AB198,53)</x:f>
        <x:v>0</x:v>
      </x:c>
      <x:c r="L198" s="9" t="n">
        <x:f>SUMIFS('350配方'!$M198:$P198,'350配方'!$Y198:$AB198,56)</x:f>
        <x:v>0</x:v>
      </x:c>
      <x:c r="M198" s="9" t="n">
        <x:f>SUMIFS('350配方'!$M198:$P198,'350配方'!$Y198:$AB198,58)</x:f>
        <x:v>3072.731960324558</x:v>
      </x:c>
      <x:c r="N198" s="9" t="n">
        <x:f>SUMIFS('350配方'!$M198:$P198,'350配方'!$Y198:$AB198,61)</x:f>
        <x:v>0</x:v>
      </x:c>
      <x:c r="O198" s="9" t="n">
        <x:f>SUMIFS('350配方'!$M198:$P198,'350配方'!$Y198:$AB198,69)</x:f>
        <x:v>0</x:v>
      </x:c>
      <x:c r="P198" s="9" t="n">
        <x:f>SUMIFS('350配方'!$M198:$P198,'350配方'!$Y198:$AB198,75)</x:f>
        <x:v>0</x:v>
      </x:c>
      <x:c r="Q198" s="9" t="n">
        <x:f>SUMIFS('350配方'!$M198:$P198,'350配方'!$Y198:$AB198,79)</x:f>
        <x:v>0</x:v>
      </x:c>
      <x:c r="R198" s="9" t="n">
        <x:f>SUMIFS('350配方'!$M198:$P198,'350配方'!$Y198:$AB198,90)</x:f>
        <x:v>0</x:v>
      </x:c>
      <x:c r="S198" s="9" t="n">
        <x:f>SUMIFS('350配方'!$M198:$P198,'350配方'!$Y198:$AB198,105)</x:f>
        <x:v>0</x:v>
      </x:c>
      <x:c r="T198" s="9" t="n">
        <x:f>SUMIFS('350配方'!$M198:$P198,'350配方'!$Y198:$AB198,111)</x:f>
        <x:v>0</x:v>
      </x:c>
      <x:c r="U198" s="9" t="n">
        <x:f>SUMIFS('350配方'!$M198:$P198,'350配方'!$Y198:$AB198,114)</x:f>
        <x:v>0</x:v>
      </x:c>
      <x:c r="V198" s="9" t="n">
        <x:f>SUMIFS('350配方'!$M198:$P198,'350配方'!$Y198:$AB198,115)</x:f>
        <x:v>0</x:v>
      </x:c>
      <x:c r="W198" s="9" t="n">
        <x:f>SUMIFS('350配方'!$M198:$P198,'350配方'!$Y198:$AB198,117)</x:f>
        <x:v>0</x:v>
      </x:c>
      <x:c r="X198" s="9" t="n">
        <x:f>SUMIFS('350配方'!$M198:$P198,'350配方'!$Y198:$AB198,126)</x:f>
        <x:v>2.125</x:v>
      </x:c>
      <x:c r="Y198" s="9" t="n">
        <x:f>SUMIFS('350配方'!$M198:$P198,'350配方'!$Y198:$AB198,136)</x:f>
        <x:v>0</x:v>
      </x:c>
      <x:c r="Z198" s="9" t="n">
        <x:f>SUMIFS('350配方'!$M198:$P198,'350配方'!$Y198:$AB198,141)</x:f>
        <x:v>1039840</x:v>
      </x:c>
      <x:c r="AA198" s="9" t="n">
        <x:f>SUMIFS('350配方'!$M198:$P198,'350配方'!$Y198:$AB198,152)</x:f>
        <x:v>0</x:v>
      </x:c>
      <x:c r="AB198" s="9" t="n">
        <x:f>SUMIFS('350配方'!$M198:$P198,'350配方'!$Y198:$AB198,165)</x:f>
        <x:v>0</x:v>
      </x:c>
      <x:c r="AC198" s="9" t="n">
        <x:f>SUMIFS('350配方'!$M198:$P198,'350配方'!$Y198:$AB198,186)</x:f>
        <x:v>0</x:v>
      </x:c>
      <x:c r="AD198" s="9" t="n">
        <x:f>SUMIFS('350配方'!$M198:$P198,'350配方'!$Y198:$AB198,207)</x:f>
        <x:v>0</x:v>
      </x:c>
      <x:c r="AE198" s="9" t="n">
        <x:f>SUMIFS('350配方'!$M198:$P198,'350配方'!$Y198:$AB198,209)</x:f>
        <x:v>34.2987346705385</x:v>
      </x:c>
      <x:c r="AF198" s="9" t="n">
        <x:f>SUMIFS('350配方'!$M198:$P198,'350配方'!$Y198:$AB198,227)</x:f>
        <x:v>0</x:v>
      </x:c>
      <x:c r="AG198" s="9" t="n">
        <x:f>SUMIFS('350配方'!$M198:$P198,'350配方'!$Y198:$AB198,232)</x:f>
        <x:v>0</x:v>
      </x:c>
      <x:c r="AH198" s="9" t="n">
        <x:f>SUMIFS('350配方'!$M198:$P198,'350配方'!$Y198:$AB198,255)</x:f>
        <x:v>0</x:v>
      </x:c>
      <x:c r="AI198" s="9" t="n">
        <x:f>'浓度设置'!S6</x:f>
        <x:v>219125.9626344086</x:v>
      </x:c>
      <x:c r="AJ198" s="9" t="n">
        <x:f>'浓度设置'!S8</x:f>
        <x:v>92796.92267241378</x:v>
      </x:c>
      <x:c r="AK198" s="9" t="n">
        <x:f>'浓度设置'!S10</x:f>
        <x:v>30556.797802197798</x:v>
      </x:c>
      <x:c r="AL198" s="9" t="n">
        <x:f>'浓度设置'!S12</x:f>
        <x:v>1735.828970588235</x:v>
      </x:c>
      <x:c r="AM198" s="9" t="n">
        <x:f>'浓度设置'!S15</x:f>
        <x:v>7385.813644067793</x:v>
      </x:c>
      <x:c r="AN198" s="9" t="n">
        <x:f>'浓度设置'!S19</x:f>
        <x:v>27722.03097701148</x:v>
      </x:c>
      <x:c r="AO198" s="9" t="n">
        <x:f>'浓度设置'!S22</x:f>
        <x:v>44345.55047619048</x:v>
      </x:c>
      <x:c r="AP198" s="9" t="n">
        <x:f>'浓度设置'!S26</x:f>
        <x:v>153318.30499999996</x:v>
      </x:c>
      <x:c r="AQ198" s="9" t="n">
        <x:f>'浓度设置'!S29</x:f>
        <x:v>312.7970588235294</x:v>
      </x:c>
      <x:c r="AR198" s="9" t="n">
        <x:f>'浓度设置'!S30</x:f>
        <x:v>104175.5097553192</x:v>
      </x:c>
      <x:c r="AS198" s="9" t="n">
        <x:f>'浓度设置'!S35</x:f>
        <x:v>405974.90656785714</x:v>
      </x:c>
    </x:row>
    <x:row r="199" ht="24" customHeight="1">
      <x:c r="A199" s="3" t="str">
        <x:f>'350配方'!A199</x:f>
        <x:v>T194</x:v>
      </x:c>
      <x:c r="B199" s="3" t="str">
        <x:f>'350配方'!B199</x:f>
        <x:v>拟合</x:v>
      </x:c>
      <x:c r="C199" s="3" t="n">
        <x:f>IF(B199="拟合",1,0)</x:f>
        <x:v>1</x:v>
      </x:c>
      <x:c r="D199" s="3" t="n">
        <x:f>'350配方'!AC199</x:f>
        <x:v>4</x:v>
      </x:c>
      <x:c r="E199" s="9" t="n">
        <x:f>SUMIFS('350配方'!$M199:$P199,'350配方'!$Y199:$AB199,7)</x:f>
        <x:v>0</x:v>
      </x:c>
      <x:c r="F199" s="9" t="n">
        <x:f>SUMIFS('350配方'!$M199:$P199,'350配方'!$Y199:$AB199,11)</x:f>
        <x:v>0</x:v>
      </x:c>
      <x:c r="G199" s="9" t="n">
        <x:f>SUMIFS('350配方'!$M199:$P199,'350配方'!$Y199:$AB199,18)</x:f>
        <x:v>0</x:v>
      </x:c>
      <x:c r="H199" s="9" t="n">
        <x:f>SUMIFS('350配方'!$M199:$P199,'350配方'!$Y199:$AB199,32)</x:f>
        <x:v>0</x:v>
      </x:c>
      <x:c r="I199" s="9" t="n">
        <x:f>SUMIFS('350配方'!$M199:$P199,'350配方'!$Y199:$AB199,40)</x:f>
        <x:v>0</x:v>
      </x:c>
      <x:c r="J199" s="9" t="n">
        <x:f>SUMIFS('350配方'!$M199:$P199,'350配方'!$Y199:$AB199,52)</x:f>
        <x:v>0</x:v>
      </x:c>
      <x:c r="K199" s="9" t="n">
        <x:f>SUMIFS('350配方'!$M199:$P199,'350配方'!$Y199:$AB199,53)</x:f>
        <x:v>0</x:v>
      </x:c>
      <x:c r="L199" s="9" t="n">
        <x:f>SUMIFS('350配方'!$M199:$P199,'350配方'!$Y199:$AB199,56)</x:f>
        <x:v>0</x:v>
      </x:c>
      <x:c r="M199" s="9" t="n">
        <x:f>SUMIFS('350配方'!$M199:$P199,'350配方'!$Y199:$AB199,58)</x:f>
        <x:v>0</x:v>
      </x:c>
      <x:c r="N199" s="9" t="n">
        <x:f>SUMIFS('350配方'!$M199:$P199,'350配方'!$Y199:$AB199,61)</x:f>
        <x:v>0</x:v>
      </x:c>
      <x:c r="O199" s="9" t="n">
        <x:f>SUMIFS('350配方'!$M199:$P199,'350配方'!$Y199:$AB199,69)</x:f>
        <x:v>0.83</x:v>
      </x:c>
      <x:c r="P199" s="9" t="n">
        <x:f>SUMIFS('350配方'!$M199:$P199,'350配方'!$Y199:$AB199,75)</x:f>
        <x:v>0</x:v>
      </x:c>
      <x:c r="Q199" s="9" t="n">
        <x:f>SUMIFS('350配方'!$M199:$P199,'350配方'!$Y199:$AB199,79)</x:f>
        <x:v>1288.255</x:v>
      </x:c>
      <x:c r="R199" s="9" t="n">
        <x:f>SUMIFS('350配方'!$M199:$P199,'350配方'!$Y199:$AB199,90)</x:f>
        <x:v>0</x:v>
      </x:c>
      <x:c r="S199" s="9" t="n">
        <x:f>SUMIFS('350配方'!$M199:$P199,'350配方'!$Y199:$AB199,105)</x:f>
        <x:v>0</x:v>
      </x:c>
      <x:c r="T199" s="9" t="n">
        <x:f>SUMIFS('350配方'!$M199:$P199,'350配方'!$Y199:$AB199,111)</x:f>
        <x:v>0</x:v>
      </x:c>
      <x:c r="U199" s="9" t="n">
        <x:f>SUMIFS('350配方'!$M199:$P199,'350配方'!$Y199:$AB199,114)</x:f>
        <x:v>0</x:v>
      </x:c>
      <x:c r="V199" s="9" t="n">
        <x:f>SUMIFS('350配方'!$M199:$P199,'350配方'!$Y199:$AB199,115)</x:f>
        <x:v>0</x:v>
      </x:c>
      <x:c r="W199" s="9" t="n">
        <x:f>SUMIFS('350配方'!$M199:$P199,'350配方'!$Y199:$AB199,117)</x:f>
        <x:v>0</x:v>
      </x:c>
      <x:c r="X199" s="9" t="n">
        <x:f>SUMIFS('350配方'!$M199:$P199,'350配方'!$Y199:$AB199,126)</x:f>
        <x:v>0</x:v>
      </x:c>
      <x:c r="Y199" s="9" t="n">
        <x:f>SUMIFS('350配方'!$M199:$P199,'350配方'!$Y199:$AB199,136)</x:f>
        <x:v>0</x:v>
      </x:c>
      <x:c r="Z199" s="9" t="n">
        <x:f>SUMIFS('350配方'!$M199:$P199,'350配方'!$Y199:$AB199,141)</x:f>
        <x:v>0</x:v>
      </x:c>
      <x:c r="AA199" s="9" t="n">
        <x:f>SUMIFS('350配方'!$M199:$P199,'350配方'!$Y199:$AB199,152)</x:f>
        <x:v>0</x:v>
      </x:c>
      <x:c r="AB199" s="9" t="n">
        <x:f>SUMIFS('350配方'!$M199:$P199,'350配方'!$Y199:$AB199,165)</x:f>
        <x:v>0</x:v>
      </x:c>
      <x:c r="AC199" s="9" t="n">
        <x:f>SUMIFS('350配方'!$M199:$P199,'350配方'!$Y199:$AB199,186)</x:f>
        <x:v>0</x:v>
      </x:c>
      <x:c r="AD199" s="9" t="n">
        <x:f>SUMIFS('350配方'!$M199:$P199,'350配方'!$Y199:$AB199,207)</x:f>
        <x:v>271.45</x:v>
      </x:c>
      <x:c r="AE199" s="9" t="n">
        <x:f>SUMIFS('350配方'!$M199:$P199,'350配方'!$Y199:$AB199,209)</x:f>
        <x:v>0</x:v>
      </x:c>
      <x:c r="AF199" s="9" t="n">
        <x:f>SUMIFS('350配方'!$M199:$P199,'350配方'!$Y199:$AB199,227)</x:f>
        <x:v>0</x:v>
      </x:c>
      <x:c r="AG199" s="9" t="n">
        <x:f>SUMIFS('350配方'!$M199:$P199,'350配方'!$Y199:$AB199,232)</x:f>
        <x:v>0.97</x:v>
      </x:c>
      <x:c r="AH199" s="9" t="n">
        <x:f>SUMIFS('350配方'!$M199:$P199,'350配方'!$Y199:$AB199,255)</x:f>
        <x:v>0</x:v>
      </x:c>
      <x:c r="AI199" s="9" t="n">
        <x:f>'浓度设置'!S6</x:f>
        <x:v>219125.9626344086</x:v>
      </x:c>
      <x:c r="AJ199" s="9" t="n">
        <x:f>'浓度设置'!S8</x:f>
        <x:v>92796.92267241378</x:v>
      </x:c>
      <x:c r="AK199" s="9" t="n">
        <x:f>'浓度设置'!S10</x:f>
        <x:v>30556.797802197798</x:v>
      </x:c>
      <x:c r="AL199" s="9" t="n">
        <x:f>'浓度设置'!S12</x:f>
        <x:v>1735.828970588235</x:v>
      </x:c>
      <x:c r="AM199" s="9" t="n">
        <x:f>'浓度设置'!S15</x:f>
        <x:v>7385.813644067793</x:v>
      </x:c>
      <x:c r="AN199" s="9" t="n">
        <x:f>'浓度设置'!S19</x:f>
        <x:v>27722.03097701148</x:v>
      </x:c>
      <x:c r="AO199" s="9" t="n">
        <x:f>'浓度设置'!S22</x:f>
        <x:v>44345.55047619048</x:v>
      </x:c>
      <x:c r="AP199" s="9" t="n">
        <x:f>'浓度设置'!S26</x:f>
        <x:v>153318.30499999996</x:v>
      </x:c>
      <x:c r="AQ199" s="9" t="n">
        <x:f>'浓度设置'!S29</x:f>
        <x:v>312.7970588235294</x:v>
      </x:c>
      <x:c r="AR199" s="9" t="n">
        <x:f>'浓度设置'!S30</x:f>
        <x:v>104175.5097553192</x:v>
      </x:c>
      <x:c r="AS199" s="9" t="n">
        <x:f>'浓度设置'!S35</x:f>
        <x:v>405974.90656785714</x:v>
      </x:c>
    </x:row>
    <x:row r="200" ht="24" customHeight="1">
      <x:c r="A200" s="3" t="str">
        <x:f>'350配方'!A200</x:f>
        <x:v>T195</x:v>
      </x:c>
      <x:c r="B200" s="3" t="str">
        <x:f>'350配方'!B200</x:f>
        <x:v>拟合</x:v>
      </x:c>
      <x:c r="C200" s="3" t="n">
        <x:f>IF(B200="拟合",1,0)</x:f>
        <x:v>1</x:v>
      </x:c>
      <x:c r="D200" s="3" t="n">
        <x:f>'350配方'!AC200</x:f>
        <x:v>4</x:v>
      </x:c>
      <x:c r="E200" s="9" t="n">
        <x:f>SUMIFS('350配方'!$M200:$P200,'350配方'!$Y200:$AB200,7)</x:f>
        <x:v>729.4776350238574</x:v>
      </x:c>
      <x:c r="F200" s="9" t="n">
        <x:f>SUMIFS('350配方'!$M200:$P200,'350配方'!$Y200:$AB200,11)</x:f>
        <x:v>0</x:v>
      </x:c>
      <x:c r="G200" s="9" t="n">
        <x:f>SUMIFS('350配方'!$M200:$P200,'350配方'!$Y200:$AB200,18)</x:f>
        <x:v>0</x:v>
      </x:c>
      <x:c r="H200" s="9" t="n">
        <x:f>SUMIFS('350配方'!$M200:$P200,'350配方'!$Y200:$AB200,32)</x:f>
        <x:v>0</x:v>
      </x:c>
      <x:c r="I200" s="9" t="n">
        <x:f>SUMIFS('350配方'!$M200:$P200,'350配方'!$Y200:$AB200,40)</x:f>
        <x:v>0</x:v>
      </x:c>
      <x:c r="J200" s="9" t="n">
        <x:f>SUMIFS('350配方'!$M200:$P200,'350配方'!$Y200:$AB200,52)</x:f>
        <x:v>0</x:v>
      </x:c>
      <x:c r="K200" s="9" t="n">
        <x:f>SUMIFS('350配方'!$M200:$P200,'350配方'!$Y200:$AB200,53)</x:f>
        <x:v>0</x:v>
      </x:c>
      <x:c r="L200" s="9" t="n">
        <x:f>SUMIFS('350配方'!$M200:$P200,'350配方'!$Y200:$AB200,56)</x:f>
        <x:v>0</x:v>
      </x:c>
      <x:c r="M200" s="9" t="n">
        <x:f>SUMIFS('350配方'!$M200:$P200,'350配方'!$Y200:$AB200,58)</x:f>
        <x:v>0</x:v>
      </x:c>
      <x:c r="N200" s="9" t="n">
        <x:f>SUMIFS('350配方'!$M200:$P200,'350配方'!$Y200:$AB200,61)</x:f>
        <x:v>0</x:v>
      </x:c>
      <x:c r="O200" s="9" t="n">
        <x:f>SUMIFS('350配方'!$M200:$P200,'350配方'!$Y200:$AB200,69)</x:f>
        <x:v>0</x:v>
      </x:c>
      <x:c r="P200" s="9" t="n">
        <x:f>SUMIFS('350配方'!$M200:$P200,'350配方'!$Y200:$AB200,75)</x:f>
        <x:v>0</x:v>
      </x:c>
      <x:c r="Q200" s="9" t="n">
        <x:f>SUMIFS('350配方'!$M200:$P200,'350配方'!$Y200:$AB200,79)</x:f>
        <x:v>0</x:v>
      </x:c>
      <x:c r="R200" s="9" t="n">
        <x:f>SUMIFS('350配方'!$M200:$P200,'350配方'!$Y200:$AB200,90)</x:f>
        <x:v>0</x:v>
      </x:c>
      <x:c r="S200" s="9" t="n">
        <x:f>SUMIFS('350配方'!$M200:$P200,'350配方'!$Y200:$AB200,105)</x:f>
        <x:v>28.044607324760317</x:v>
      </x:c>
      <x:c r="T200" s="9" t="n">
        <x:f>SUMIFS('350配方'!$M200:$P200,'350配方'!$Y200:$AB200,111)</x:f>
        <x:v>0</x:v>
      </x:c>
      <x:c r="U200" s="9" t="n">
        <x:f>SUMIFS('350配方'!$M200:$P200,'350配方'!$Y200:$AB200,114)</x:f>
        <x:v>0</x:v>
      </x:c>
      <x:c r="V200" s="9" t="n">
        <x:f>SUMIFS('350配方'!$M200:$P200,'350配方'!$Y200:$AB200,115)</x:f>
        <x:v>0</x:v>
      </x:c>
      <x:c r="W200" s="9" t="n">
        <x:f>SUMIFS('350配方'!$M200:$P200,'350配方'!$Y200:$AB200,117)</x:f>
        <x:v>274.54883445390914</x:v>
      </x:c>
      <x:c r="X200" s="9" t="n">
        <x:f>SUMIFS('350配方'!$M200:$P200,'350配方'!$Y200:$AB200,126)</x:f>
        <x:v>0</x:v>
      </x:c>
      <x:c r="Y200" s="9" t="n">
        <x:f>SUMIFS('350配方'!$M200:$P200,'350配方'!$Y200:$AB200,136)</x:f>
        <x:v>0</x:v>
      </x:c>
      <x:c r="Z200" s="9" t="n">
        <x:f>SUMIFS('350配方'!$M200:$P200,'350配方'!$Y200:$AB200,141)</x:f>
        <x:v>0</x:v>
      </x:c>
      <x:c r="AA200" s="9" t="n">
        <x:f>SUMIFS('350配方'!$M200:$P200,'350配方'!$Y200:$AB200,152)</x:f>
        <x:v>0</x:v>
      </x:c>
      <x:c r="AB200" s="9" t="n">
        <x:f>SUMIFS('350配方'!$M200:$P200,'350配方'!$Y200:$AB200,165)</x:f>
        <x:v>0</x:v>
      </x:c>
      <x:c r="AC200" s="9" t="n">
        <x:f>SUMIFS('350配方'!$M200:$P200,'350配方'!$Y200:$AB200,186)</x:f>
        <x:v>0</x:v>
      </x:c>
      <x:c r="AD200" s="9" t="n">
        <x:f>SUMIFS('350配方'!$M200:$P200,'350配方'!$Y200:$AB200,207)</x:f>
        <x:v>0</x:v>
      </x:c>
      <x:c r="AE200" s="9" t="n">
        <x:f>SUMIFS('350配方'!$M200:$P200,'350配方'!$Y200:$AB200,209)</x:f>
        <x:v>0</x:v>
      </x:c>
      <x:c r="AF200" s="9" t="n">
        <x:f>SUMIFS('350配方'!$M200:$P200,'350配方'!$Y200:$AB200,227)</x:f>
        <x:v>0</x:v>
      </x:c>
      <x:c r="AG200" s="9" t="n">
        <x:f>SUMIFS('350配方'!$M200:$P200,'350配方'!$Y200:$AB200,232)</x:f>
        <x:v>0</x:v>
      </x:c>
      <x:c r="AH200" s="9" t="n">
        <x:f>SUMIFS('350配方'!$M200:$P200,'350配方'!$Y200:$AB200,255)</x:f>
        <x:v>60.76</x:v>
      </x:c>
      <x:c r="AI200" s="9" t="n">
        <x:f>'浓度设置'!S6</x:f>
        <x:v>219125.9626344086</x:v>
      </x:c>
      <x:c r="AJ200" s="9" t="n">
        <x:f>'浓度设置'!S8</x:f>
        <x:v>92796.92267241378</x:v>
      </x:c>
      <x:c r="AK200" s="9" t="n">
        <x:f>'浓度设置'!S10</x:f>
        <x:v>30556.797802197798</x:v>
      </x:c>
      <x:c r="AL200" s="9" t="n">
        <x:f>'浓度设置'!S12</x:f>
        <x:v>1735.828970588235</x:v>
      </x:c>
      <x:c r="AM200" s="9" t="n">
        <x:f>'浓度设置'!S15</x:f>
        <x:v>7385.813644067793</x:v>
      </x:c>
      <x:c r="AN200" s="9" t="n">
        <x:f>'浓度设置'!S19</x:f>
        <x:v>27722.03097701148</x:v>
      </x:c>
      <x:c r="AO200" s="9" t="n">
        <x:f>'浓度设置'!S22</x:f>
        <x:v>44345.55047619048</x:v>
      </x:c>
      <x:c r="AP200" s="9" t="n">
        <x:f>'浓度设置'!S26</x:f>
        <x:v>153318.30499999996</x:v>
      </x:c>
      <x:c r="AQ200" s="9" t="n">
        <x:f>'浓度设置'!S29</x:f>
        <x:v>312.7970588235294</x:v>
      </x:c>
      <x:c r="AR200" s="9" t="n">
        <x:f>'浓度设置'!S30</x:f>
        <x:v>104175.5097553192</x:v>
      </x:c>
      <x:c r="AS200" s="9" t="n">
        <x:f>'浓度设置'!S35</x:f>
        <x:v>405974.90656785714</x:v>
      </x:c>
    </x:row>
    <x:row r="201" ht="24" customHeight="1">
      <x:c r="A201" s="3" t="str">
        <x:f>'350配方'!A201</x:f>
        <x:v>T196</x:v>
      </x:c>
      <x:c r="B201" s="3" t="str">
        <x:f>'350配方'!B201</x:f>
        <x:v>拟合</x:v>
      </x:c>
      <x:c r="C201" s="3" t="n">
        <x:f>IF(B201="拟合",1,0)</x:f>
        <x:v>1</x:v>
      </x:c>
      <x:c r="D201" s="3" t="n">
        <x:f>'350配方'!AC201</x:f>
        <x:v>4</x:v>
      </x:c>
      <x:c r="E201" s="9" t="n">
        <x:f>SUMIFS('350配方'!$M201:$P201,'350配方'!$Y201:$AB201,7)</x:f>
        <x:v>0</x:v>
      </x:c>
      <x:c r="F201" s="9" t="n">
        <x:f>SUMIFS('350配方'!$M201:$P201,'350配方'!$Y201:$AB201,11)</x:f>
        <x:v>0</x:v>
      </x:c>
      <x:c r="G201" s="9" t="n">
        <x:f>SUMIFS('350配方'!$M201:$P201,'350配方'!$Y201:$AB201,18)</x:f>
        <x:v>0</x:v>
      </x:c>
      <x:c r="H201" s="9" t="n">
        <x:f>SUMIFS('350配方'!$M201:$P201,'350配方'!$Y201:$AB201,32)</x:f>
        <x:v>0</x:v>
      </x:c>
      <x:c r="I201" s="9" t="n">
        <x:f>SUMIFS('350配方'!$M201:$P201,'350配方'!$Y201:$AB201,40)</x:f>
        <x:v>0</x:v>
      </x:c>
      <x:c r="J201" s="9" t="n">
        <x:f>SUMIFS('350配方'!$M201:$P201,'350配方'!$Y201:$AB201,52)</x:f>
        <x:v>0</x:v>
      </x:c>
      <x:c r="K201" s="9" t="n">
        <x:f>SUMIFS('350配方'!$M201:$P201,'350配方'!$Y201:$AB201,53)</x:f>
        <x:v>0</x:v>
      </x:c>
      <x:c r="L201" s="9" t="n">
        <x:f>SUMIFS('350配方'!$M201:$P201,'350配方'!$Y201:$AB201,56)</x:f>
        <x:v>1041.8500000000001</x:v>
      </x:c>
      <x:c r="M201" s="9" t="n">
        <x:f>SUMIFS('350配方'!$M201:$P201,'350配方'!$Y201:$AB201,58)</x:f>
        <x:v>0</x:v>
      </x:c>
      <x:c r="N201" s="9" t="n">
        <x:f>SUMIFS('350配方'!$M201:$P201,'350配方'!$Y201:$AB201,61)</x:f>
        <x:v>0</x:v>
      </x:c>
      <x:c r="O201" s="9" t="n">
        <x:f>SUMIFS('350配方'!$M201:$P201,'350配方'!$Y201:$AB201,69)</x:f>
        <x:v>0</x:v>
      </x:c>
      <x:c r="P201" s="9" t="n">
        <x:f>SUMIFS('350配方'!$M201:$P201,'350配方'!$Y201:$AB201,75)</x:f>
        <x:v>0</x:v>
      </x:c>
      <x:c r="Q201" s="9" t="n">
        <x:f>SUMIFS('350配方'!$M201:$P201,'350配方'!$Y201:$AB201,79)</x:f>
        <x:v>0</x:v>
      </x:c>
      <x:c r="R201" s="9" t="n">
        <x:f>SUMIFS('350配方'!$M201:$P201,'350配方'!$Y201:$AB201,90)</x:f>
        <x:v>1232.25</x:v>
      </x:c>
      <x:c r="S201" s="9" t="n">
        <x:f>SUMIFS('350配方'!$M201:$P201,'350配方'!$Y201:$AB201,105)</x:f>
        <x:v>0</x:v>
      </x:c>
      <x:c r="T201" s="9" t="n">
        <x:f>SUMIFS('350配方'!$M201:$P201,'350配方'!$Y201:$AB201,111)</x:f>
        <x:v>833.64</x:v>
      </x:c>
      <x:c r="U201" s="9" t="n">
        <x:f>SUMIFS('350配方'!$M201:$P201,'350配方'!$Y201:$AB201,114)</x:f>
        <x:v>3147.945</x:v>
      </x:c>
      <x:c r="V201" s="9" t="n">
        <x:f>SUMIFS('350配方'!$M201:$P201,'350配方'!$Y201:$AB201,115)</x:f>
        <x:v>0</x:v>
      </x:c>
      <x:c r="W201" s="9" t="n">
        <x:f>SUMIFS('350配方'!$M201:$P201,'350配方'!$Y201:$AB201,117)</x:f>
        <x:v>0</x:v>
      </x:c>
      <x:c r="X201" s="9" t="n">
        <x:f>SUMIFS('350配方'!$M201:$P201,'350配方'!$Y201:$AB201,126)</x:f>
        <x:v>0</x:v>
      </x:c>
      <x:c r="Y201" s="9" t="n">
        <x:f>SUMIFS('350配方'!$M201:$P201,'350配方'!$Y201:$AB201,136)</x:f>
        <x:v>0</x:v>
      </x:c>
      <x:c r="Z201" s="9" t="n">
        <x:f>SUMIFS('350配方'!$M201:$P201,'350配方'!$Y201:$AB201,141)</x:f>
        <x:v>0</x:v>
      </x:c>
      <x:c r="AA201" s="9" t="n">
        <x:f>SUMIFS('350配方'!$M201:$P201,'350配方'!$Y201:$AB201,152)</x:f>
        <x:v>0</x:v>
      </x:c>
      <x:c r="AB201" s="9" t="n">
        <x:f>SUMIFS('350配方'!$M201:$P201,'350配方'!$Y201:$AB201,165)</x:f>
        <x:v>0</x:v>
      </x:c>
      <x:c r="AC201" s="9" t="n">
        <x:f>SUMIFS('350配方'!$M201:$P201,'350配方'!$Y201:$AB201,186)</x:f>
        <x:v>0</x:v>
      </x:c>
      <x:c r="AD201" s="9" t="n">
        <x:f>SUMIFS('350配方'!$M201:$P201,'350配方'!$Y201:$AB201,207)</x:f>
        <x:v>0</x:v>
      </x:c>
      <x:c r="AE201" s="9" t="n">
        <x:f>SUMIFS('350配方'!$M201:$P201,'350配方'!$Y201:$AB201,209)</x:f>
        <x:v>0</x:v>
      </x:c>
      <x:c r="AF201" s="9" t="n">
        <x:f>SUMIFS('350配方'!$M201:$P201,'350配方'!$Y201:$AB201,227)</x:f>
        <x:v>0</x:v>
      </x:c>
      <x:c r="AG201" s="9" t="n">
        <x:f>SUMIFS('350配方'!$M201:$P201,'350配方'!$Y201:$AB201,232)</x:f>
        <x:v>0</x:v>
      </x:c>
      <x:c r="AH201" s="9" t="n">
        <x:f>SUMIFS('350配方'!$M201:$P201,'350配方'!$Y201:$AB201,255)</x:f>
        <x:v>0</x:v>
      </x:c>
      <x:c r="AI201" s="9" t="n">
        <x:f>'浓度设置'!S6</x:f>
        <x:v>219125.9626344086</x:v>
      </x:c>
      <x:c r="AJ201" s="9" t="n">
        <x:f>'浓度设置'!S8</x:f>
        <x:v>92796.92267241378</x:v>
      </x:c>
      <x:c r="AK201" s="9" t="n">
        <x:f>'浓度设置'!S10</x:f>
        <x:v>30556.797802197798</x:v>
      </x:c>
      <x:c r="AL201" s="9" t="n">
        <x:f>'浓度设置'!S12</x:f>
        <x:v>1735.828970588235</x:v>
      </x:c>
      <x:c r="AM201" s="9" t="n">
        <x:f>'浓度设置'!S15</x:f>
        <x:v>7385.813644067793</x:v>
      </x:c>
      <x:c r="AN201" s="9" t="n">
        <x:f>'浓度设置'!S19</x:f>
        <x:v>27722.03097701148</x:v>
      </x:c>
      <x:c r="AO201" s="9" t="n">
        <x:f>'浓度设置'!S22</x:f>
        <x:v>44345.55047619048</x:v>
      </x:c>
      <x:c r="AP201" s="9" t="n">
        <x:f>'浓度设置'!S26</x:f>
        <x:v>153318.30499999996</x:v>
      </x:c>
      <x:c r="AQ201" s="9" t="n">
        <x:f>'浓度设置'!S29</x:f>
        <x:v>312.7970588235294</x:v>
      </x:c>
      <x:c r="AR201" s="9" t="n">
        <x:f>'浓度设置'!S30</x:f>
        <x:v>104175.5097553192</x:v>
      </x:c>
      <x:c r="AS201" s="9" t="n">
        <x:f>'浓度设置'!S35</x:f>
        <x:v>405974.90656785714</x:v>
      </x:c>
    </x:row>
    <x:row r="202" ht="24" customHeight="1">
      <x:c r="A202" s="3" t="str">
        <x:f>'350配方'!A202</x:f>
        <x:v>T197</x:v>
      </x:c>
      <x:c r="B202" s="3" t="str">
        <x:f>'350配方'!B202</x:f>
        <x:v>拟合</x:v>
      </x:c>
      <x:c r="C202" s="3" t="n">
        <x:f>IF(B202="拟合",1,0)</x:f>
        <x:v>1</x:v>
      </x:c>
      <x:c r="D202" s="3" t="n">
        <x:f>'350配方'!AC202</x:f>
        <x:v>4</x:v>
      </x:c>
      <x:c r="E202" s="9" t="n">
        <x:f>SUMIFS('350配方'!$M202:$P202,'350配方'!$Y202:$AB202,7)</x:f>
        <x:v>0</x:v>
      </x:c>
      <x:c r="F202" s="9" t="n">
        <x:f>SUMIFS('350配方'!$M202:$P202,'350配方'!$Y202:$AB202,11)</x:f>
        <x:v>0</x:v>
      </x:c>
      <x:c r="G202" s="9" t="n">
        <x:f>SUMIFS('350配方'!$M202:$P202,'350配方'!$Y202:$AB202,18)</x:f>
        <x:v>35900</x:v>
      </x:c>
      <x:c r="H202" s="9" t="n">
        <x:f>SUMIFS('350配方'!$M202:$P202,'350配方'!$Y202:$AB202,32)</x:f>
        <x:v>836.8360173893091</x:v>
      </x:c>
      <x:c r="I202" s="9" t="n">
        <x:f>SUMIFS('350配方'!$M202:$P202,'350配方'!$Y202:$AB202,40)</x:f>
        <x:v>0</x:v>
      </x:c>
      <x:c r="J202" s="9" t="n">
        <x:f>SUMIFS('350配方'!$M202:$P202,'350配方'!$Y202:$AB202,52)</x:f>
        <x:v>0</x:v>
      </x:c>
      <x:c r="K202" s="9" t="n">
        <x:f>SUMIFS('350配方'!$M202:$P202,'350配方'!$Y202:$AB202,53)</x:f>
        <x:v>0</x:v>
      </x:c>
      <x:c r="L202" s="9" t="n">
        <x:f>SUMIFS('350配方'!$M202:$P202,'350配方'!$Y202:$AB202,56)</x:f>
        <x:v>0</x:v>
      </x:c>
      <x:c r="M202" s="9" t="n">
        <x:f>SUMIFS('350配方'!$M202:$P202,'350配方'!$Y202:$AB202,58)</x:f>
        <x:v>0</x:v>
      </x:c>
      <x:c r="N202" s="9" t="n">
        <x:f>SUMIFS('350配方'!$M202:$P202,'350配方'!$Y202:$AB202,61)</x:f>
        <x:v>0</x:v>
      </x:c>
      <x:c r="O202" s="9" t="n">
        <x:f>SUMIFS('350配方'!$M202:$P202,'350配方'!$Y202:$AB202,69)</x:f>
        <x:v>0</x:v>
      </x:c>
      <x:c r="P202" s="9" t="n">
        <x:f>SUMIFS('350配方'!$M202:$P202,'350配方'!$Y202:$AB202,75)</x:f>
        <x:v>0</x:v>
      </x:c>
      <x:c r="Q202" s="9" t="n">
        <x:f>SUMIFS('350配方'!$M202:$P202,'350配方'!$Y202:$AB202,79)</x:f>
        <x:v>0</x:v>
      </x:c>
      <x:c r="R202" s="9" t="n">
        <x:f>SUMIFS('350配方'!$M202:$P202,'350配方'!$Y202:$AB202,90)</x:f>
        <x:v>0</x:v>
      </x:c>
      <x:c r="S202" s="9" t="n">
        <x:f>SUMIFS('350配方'!$M202:$P202,'350配方'!$Y202:$AB202,105)</x:f>
        <x:v>0</x:v>
      </x:c>
      <x:c r="T202" s="9" t="n">
        <x:f>SUMIFS('350配方'!$M202:$P202,'350配方'!$Y202:$AB202,111)</x:f>
        <x:v>0</x:v>
      </x:c>
      <x:c r="U202" s="9" t="n">
        <x:f>SUMIFS('350配方'!$M202:$P202,'350配方'!$Y202:$AB202,114)</x:f>
        <x:v>0</x:v>
      </x:c>
      <x:c r="V202" s="9" t="n">
        <x:f>SUMIFS('350配方'!$M202:$P202,'350配方'!$Y202:$AB202,115)</x:f>
        <x:v>1.44</x:v>
      </x:c>
      <x:c r="W202" s="9" t="n">
        <x:f>SUMIFS('350配方'!$M202:$P202,'350配方'!$Y202:$AB202,117)</x:f>
        <x:v>0</x:v>
      </x:c>
      <x:c r="X202" s="9" t="n">
        <x:f>SUMIFS('350配方'!$M202:$P202,'350配方'!$Y202:$AB202,126)</x:f>
        <x:v>0</x:v>
      </x:c>
      <x:c r="Y202" s="9" t="n">
        <x:f>SUMIFS('350配方'!$M202:$P202,'350配方'!$Y202:$AB202,136)</x:f>
        <x:v>0</x:v>
      </x:c>
      <x:c r="Z202" s="9" t="n">
        <x:f>SUMIFS('350配方'!$M202:$P202,'350配方'!$Y202:$AB202,141)</x:f>
        <x:v>0</x:v>
      </x:c>
      <x:c r="AA202" s="9" t="n">
        <x:f>SUMIFS('350配方'!$M202:$P202,'350配方'!$Y202:$AB202,152)</x:f>
        <x:v>0</x:v>
      </x:c>
      <x:c r="AB202" s="9" t="n">
        <x:f>SUMIFS('350配方'!$M202:$P202,'350配方'!$Y202:$AB202,165)</x:f>
        <x:v>823.735</x:v>
      </x:c>
      <x:c r="AC202" s="9" t="n">
        <x:f>SUMIFS('350配方'!$M202:$P202,'350配方'!$Y202:$AB202,186)</x:f>
        <x:v>0</x:v>
      </x:c>
      <x:c r="AD202" s="9" t="n">
        <x:f>SUMIFS('350配方'!$M202:$P202,'350配方'!$Y202:$AB202,207)</x:f>
        <x:v>0</x:v>
      </x:c>
      <x:c r="AE202" s="9" t="n">
        <x:f>SUMIFS('350配方'!$M202:$P202,'350配方'!$Y202:$AB202,209)</x:f>
        <x:v>0</x:v>
      </x:c>
      <x:c r="AF202" s="9" t="n">
        <x:f>SUMIFS('350配方'!$M202:$P202,'350配方'!$Y202:$AB202,227)</x:f>
        <x:v>0</x:v>
      </x:c>
      <x:c r="AG202" s="9" t="n">
        <x:f>SUMIFS('350配方'!$M202:$P202,'350配方'!$Y202:$AB202,232)</x:f>
        <x:v>0</x:v>
      </x:c>
      <x:c r="AH202" s="9" t="n">
        <x:f>SUMIFS('350配方'!$M202:$P202,'350配方'!$Y202:$AB202,255)</x:f>
        <x:v>0</x:v>
      </x:c>
      <x:c r="AI202" s="9" t="n">
        <x:f>'浓度设置'!S6</x:f>
        <x:v>219125.9626344086</x:v>
      </x:c>
      <x:c r="AJ202" s="9" t="n">
        <x:f>'浓度设置'!S8</x:f>
        <x:v>92796.92267241378</x:v>
      </x:c>
      <x:c r="AK202" s="9" t="n">
        <x:f>'浓度设置'!S10</x:f>
        <x:v>30556.797802197798</x:v>
      </x:c>
      <x:c r="AL202" s="9" t="n">
        <x:f>'浓度设置'!S12</x:f>
        <x:v>1735.828970588235</x:v>
      </x:c>
      <x:c r="AM202" s="9" t="n">
        <x:f>'浓度设置'!S15</x:f>
        <x:v>7385.813644067793</x:v>
      </x:c>
      <x:c r="AN202" s="9" t="n">
        <x:f>'浓度设置'!S19</x:f>
        <x:v>27722.03097701148</x:v>
      </x:c>
      <x:c r="AO202" s="9" t="n">
        <x:f>'浓度设置'!S22</x:f>
        <x:v>44345.55047619048</x:v>
      </x:c>
      <x:c r="AP202" s="9" t="n">
        <x:f>'浓度设置'!S26</x:f>
        <x:v>153318.30499999996</x:v>
      </x:c>
      <x:c r="AQ202" s="9" t="n">
        <x:f>'浓度设置'!S29</x:f>
        <x:v>312.7970588235294</x:v>
      </x:c>
      <x:c r="AR202" s="9" t="n">
        <x:f>'浓度设置'!S30</x:f>
        <x:v>104175.5097553192</x:v>
      </x:c>
      <x:c r="AS202" s="9" t="n">
        <x:f>'浓度设置'!S35</x:f>
        <x:v>405974.90656785714</x:v>
      </x:c>
    </x:row>
    <x:row r="203" ht="24" customHeight="1">
      <x:c r="A203" s="3" t="str">
        <x:f>'350配方'!A203</x:f>
        <x:v>T198</x:v>
      </x:c>
      <x:c r="B203" s="3" t="str">
        <x:f>'350配方'!B203</x:f>
        <x:v>拟合</x:v>
      </x:c>
      <x:c r="C203" s="3" t="n">
        <x:f>IF(B203="拟合",1,0)</x:f>
        <x:v>1</x:v>
      </x:c>
      <x:c r="D203" s="3" t="n">
        <x:f>'350配方'!AC203</x:f>
        <x:v>4</x:v>
      </x:c>
      <x:c r="E203" s="9" t="n">
        <x:f>SUMIFS('350配方'!$M203:$P203,'350配方'!$Y203:$AB203,7)</x:f>
        <x:v>3075.94</x:v>
      </x:c>
      <x:c r="F203" s="9" t="n">
        <x:f>SUMIFS('350配方'!$M203:$P203,'350配方'!$Y203:$AB203,11)</x:f>
        <x:v>0</x:v>
      </x:c>
      <x:c r="G203" s="9" t="n">
        <x:f>SUMIFS('350配方'!$M203:$P203,'350配方'!$Y203:$AB203,18)</x:f>
        <x:v>0</x:v>
      </x:c>
      <x:c r="H203" s="9" t="n">
        <x:f>SUMIFS('350配方'!$M203:$P203,'350配方'!$Y203:$AB203,32)</x:f>
        <x:v>0</x:v>
      </x:c>
      <x:c r="I203" s="9" t="n">
        <x:f>SUMIFS('350配方'!$M203:$P203,'350配方'!$Y203:$AB203,40)</x:f>
        <x:v>0</x:v>
      </x:c>
      <x:c r="J203" s="9" t="n">
        <x:f>SUMIFS('350配方'!$M203:$P203,'350配方'!$Y203:$AB203,52)</x:f>
        <x:v>0</x:v>
      </x:c>
      <x:c r="K203" s="9" t="n">
        <x:f>SUMIFS('350配方'!$M203:$P203,'350配方'!$Y203:$AB203,53)</x:f>
        <x:v>0</x:v>
      </x:c>
      <x:c r="L203" s="9" t="n">
        <x:f>SUMIFS('350配方'!$M203:$P203,'350配方'!$Y203:$AB203,56)</x:f>
        <x:v>0</x:v>
      </x:c>
      <x:c r="M203" s="9" t="n">
        <x:f>SUMIFS('350配方'!$M203:$P203,'350配方'!$Y203:$AB203,58)</x:f>
        <x:v>0</x:v>
      </x:c>
      <x:c r="N203" s="9" t="n">
        <x:f>SUMIFS('350配方'!$M203:$P203,'350配方'!$Y203:$AB203,61)</x:f>
        <x:v>6914</x:v>
      </x:c>
      <x:c r="O203" s="9" t="n">
        <x:f>SUMIFS('350配方'!$M203:$P203,'350配方'!$Y203:$AB203,69)</x:f>
        <x:v>0</x:v>
      </x:c>
      <x:c r="P203" s="9" t="n">
        <x:f>SUMIFS('350配方'!$M203:$P203,'350配方'!$Y203:$AB203,75)</x:f>
        <x:v>0</x:v>
      </x:c>
      <x:c r="Q203" s="9" t="n">
        <x:f>SUMIFS('350配方'!$M203:$P203,'350配方'!$Y203:$AB203,79)</x:f>
        <x:v>0</x:v>
      </x:c>
      <x:c r="R203" s="9" t="n">
        <x:f>SUMIFS('350配方'!$M203:$P203,'350配方'!$Y203:$AB203,90)</x:f>
        <x:v>0</x:v>
      </x:c>
      <x:c r="S203" s="9" t="n">
        <x:f>SUMIFS('350配方'!$M203:$P203,'350配方'!$Y203:$AB203,105)</x:f>
        <x:v>0</x:v>
      </x:c>
      <x:c r="T203" s="9" t="n">
        <x:f>SUMIFS('350配方'!$M203:$P203,'350配方'!$Y203:$AB203,111)</x:f>
        <x:v>0</x:v>
      </x:c>
      <x:c r="U203" s="9" t="n">
        <x:f>SUMIFS('350配方'!$M203:$P203,'350配方'!$Y203:$AB203,114)</x:f>
        <x:v>0</x:v>
      </x:c>
      <x:c r="V203" s="9" t="n">
        <x:f>SUMIFS('350配方'!$M203:$P203,'350配方'!$Y203:$AB203,115)</x:f>
        <x:v>0</x:v>
      </x:c>
      <x:c r="W203" s="9" t="n">
        <x:f>SUMIFS('350配方'!$M203:$P203,'350配方'!$Y203:$AB203,117)</x:f>
        <x:v>0</x:v>
      </x:c>
      <x:c r="X203" s="9" t="n">
        <x:f>SUMIFS('350配方'!$M203:$P203,'350配方'!$Y203:$AB203,126)</x:f>
        <x:v>0</x:v>
      </x:c>
      <x:c r="Y203" s="9" t="n">
        <x:f>SUMIFS('350配方'!$M203:$P203,'350配方'!$Y203:$AB203,136)</x:f>
        <x:v>44000</x:v>
      </x:c>
      <x:c r="Z203" s="9" t="n">
        <x:f>SUMIFS('350配方'!$M203:$P203,'350配方'!$Y203:$AB203,141)</x:f>
        <x:v>0</x:v>
      </x:c>
      <x:c r="AA203" s="9" t="n">
        <x:f>SUMIFS('350配方'!$M203:$P203,'350配方'!$Y203:$AB203,152)</x:f>
        <x:v>227200</x:v>
      </x:c>
      <x:c r="AB203" s="9" t="n">
        <x:f>SUMIFS('350配方'!$M203:$P203,'350配方'!$Y203:$AB203,165)</x:f>
        <x:v>0</x:v>
      </x:c>
      <x:c r="AC203" s="9" t="n">
        <x:f>SUMIFS('350配方'!$M203:$P203,'350配方'!$Y203:$AB203,186)</x:f>
        <x:v>0</x:v>
      </x:c>
      <x:c r="AD203" s="9" t="n">
        <x:f>SUMIFS('350配方'!$M203:$P203,'350配方'!$Y203:$AB203,207)</x:f>
        <x:v>0</x:v>
      </x:c>
      <x:c r="AE203" s="9" t="n">
        <x:f>SUMIFS('350配方'!$M203:$P203,'350配方'!$Y203:$AB203,209)</x:f>
        <x:v>0</x:v>
      </x:c>
      <x:c r="AF203" s="9" t="n">
        <x:f>SUMIFS('350配方'!$M203:$P203,'350配方'!$Y203:$AB203,227)</x:f>
        <x:v>0</x:v>
      </x:c>
      <x:c r="AG203" s="9" t="n">
        <x:f>SUMIFS('350配方'!$M203:$P203,'350配方'!$Y203:$AB203,232)</x:f>
        <x:v>0</x:v>
      </x:c>
      <x:c r="AH203" s="9" t="n">
        <x:f>SUMIFS('350配方'!$M203:$P203,'350配方'!$Y203:$AB203,255)</x:f>
        <x:v>0</x:v>
      </x:c>
      <x:c r="AI203" s="9" t="n">
        <x:f>'浓度设置'!S6</x:f>
        <x:v>219125.9626344086</x:v>
      </x:c>
      <x:c r="AJ203" s="9" t="n">
        <x:f>'浓度设置'!S8</x:f>
        <x:v>92796.92267241378</x:v>
      </x:c>
      <x:c r="AK203" s="9" t="n">
        <x:f>'浓度设置'!S10</x:f>
        <x:v>30556.797802197798</x:v>
      </x:c>
      <x:c r="AL203" s="9" t="n">
        <x:f>'浓度设置'!S12</x:f>
        <x:v>1735.828970588235</x:v>
      </x:c>
      <x:c r="AM203" s="9" t="n">
        <x:f>'浓度设置'!S15</x:f>
        <x:v>7385.813644067793</x:v>
      </x:c>
      <x:c r="AN203" s="9" t="n">
        <x:f>'浓度设置'!S19</x:f>
        <x:v>27722.03097701148</x:v>
      </x:c>
      <x:c r="AO203" s="9" t="n">
        <x:f>'浓度设置'!S22</x:f>
        <x:v>44345.55047619048</x:v>
      </x:c>
      <x:c r="AP203" s="9" t="n">
        <x:f>'浓度设置'!S26</x:f>
        <x:v>153318.30499999996</x:v>
      </x:c>
      <x:c r="AQ203" s="9" t="n">
        <x:f>'浓度设置'!S29</x:f>
        <x:v>312.7970588235294</x:v>
      </x:c>
      <x:c r="AR203" s="9" t="n">
        <x:f>'浓度设置'!S30</x:f>
        <x:v>104175.5097553192</x:v>
      </x:c>
      <x:c r="AS203" s="9" t="n">
        <x:f>'浓度设置'!S35</x:f>
        <x:v>405974.90656785714</x:v>
      </x:c>
    </x:row>
    <x:row r="204" ht="24" customHeight="1">
      <x:c r="A204" s="3" t="str">
        <x:f>'350配方'!A204</x:f>
        <x:v>T199</x:v>
      </x:c>
      <x:c r="B204" s="3" t="str">
        <x:f>'350配方'!B204</x:f>
        <x:v>拟合</x:v>
      </x:c>
      <x:c r="C204" s="3" t="n">
        <x:f>IF(B204="拟合",1,0)</x:f>
        <x:v>1</x:v>
      </x:c>
      <x:c r="D204" s="3" t="n">
        <x:f>'350配方'!AC204</x:f>
        <x:v>4</x:v>
      </x:c>
      <x:c r="E204" s="9" t="n">
        <x:f>SUMIFS('350配方'!$M204:$P204,'350配方'!$Y204:$AB204,7)</x:f>
        <x:v>0</x:v>
      </x:c>
      <x:c r="F204" s="9" t="n">
        <x:f>SUMIFS('350配方'!$M204:$P204,'350配方'!$Y204:$AB204,11)</x:f>
        <x:v>0</x:v>
      </x:c>
      <x:c r="G204" s="9" t="n">
        <x:f>SUMIFS('350配方'!$M204:$P204,'350配方'!$Y204:$AB204,18)</x:f>
        <x:v>0</x:v>
      </x:c>
      <x:c r="H204" s="9" t="n">
        <x:f>SUMIFS('350配方'!$M204:$P204,'350配方'!$Y204:$AB204,32)</x:f>
        <x:v>0</x:v>
      </x:c>
      <x:c r="I204" s="9" t="n">
        <x:f>SUMIFS('350配方'!$M204:$P204,'350配方'!$Y204:$AB204,40)</x:f>
        <x:v>0</x:v>
      </x:c>
      <x:c r="J204" s="9" t="n">
        <x:f>SUMIFS('350配方'!$M204:$P204,'350配方'!$Y204:$AB204,52)</x:f>
        <x:v>0</x:v>
      </x:c>
      <x:c r="K204" s="9" t="n">
        <x:f>SUMIFS('350配方'!$M204:$P204,'350配方'!$Y204:$AB204,53)</x:f>
        <x:v>784300</x:v>
      </x:c>
      <x:c r="L204" s="9" t="n">
        <x:f>SUMIFS('350配方'!$M204:$P204,'350配方'!$Y204:$AB204,56)</x:f>
        <x:v>0</x:v>
      </x:c>
      <x:c r="M204" s="9" t="n">
        <x:f>SUMIFS('350配方'!$M204:$P204,'350配方'!$Y204:$AB204,58)</x:f>
        <x:v>1865945</x:v>
      </x:c>
      <x:c r="N204" s="9" t="n">
        <x:f>SUMIFS('350配方'!$M204:$P204,'350配方'!$Y204:$AB204,61)</x:f>
        <x:v>0</x:v>
      </x:c>
      <x:c r="O204" s="9" t="n">
        <x:f>SUMIFS('350配方'!$M204:$P204,'350配方'!$Y204:$AB204,69)</x:f>
        <x:v>0</x:v>
      </x:c>
      <x:c r="P204" s="9" t="n">
        <x:f>SUMIFS('350配方'!$M204:$P204,'350配方'!$Y204:$AB204,75)</x:f>
        <x:v>0</x:v>
      </x:c>
      <x:c r="Q204" s="9" t="n">
        <x:f>SUMIFS('350配方'!$M204:$P204,'350配方'!$Y204:$AB204,79)</x:f>
        <x:v>0</x:v>
      </x:c>
      <x:c r="R204" s="9" t="n">
        <x:f>SUMIFS('350配方'!$M204:$P204,'350配方'!$Y204:$AB204,90)</x:f>
        <x:v>1232.25</x:v>
      </x:c>
      <x:c r="S204" s="9" t="n">
        <x:f>SUMIFS('350配方'!$M204:$P204,'350配方'!$Y204:$AB204,105)</x:f>
        <x:v>0</x:v>
      </x:c>
      <x:c r="T204" s="9" t="n">
        <x:f>SUMIFS('350配方'!$M204:$P204,'350配方'!$Y204:$AB204,111)</x:f>
        <x:v>0</x:v>
      </x:c>
      <x:c r="U204" s="9" t="n">
        <x:f>SUMIFS('350配方'!$M204:$P204,'350配方'!$Y204:$AB204,114)</x:f>
        <x:v>0</x:v>
      </x:c>
      <x:c r="V204" s="9" t="n">
        <x:f>SUMIFS('350配方'!$M204:$P204,'350配方'!$Y204:$AB204,115)</x:f>
        <x:v>6516</x:v>
      </x:c>
      <x:c r="W204" s="9" t="n">
        <x:f>SUMIFS('350配方'!$M204:$P204,'350配方'!$Y204:$AB204,117)</x:f>
        <x:v>0</x:v>
      </x:c>
      <x:c r="X204" s="9" t="n">
        <x:f>SUMIFS('350配方'!$M204:$P204,'350配方'!$Y204:$AB204,126)</x:f>
        <x:v>0</x:v>
      </x:c>
      <x:c r="Y204" s="9" t="n">
        <x:f>SUMIFS('350配方'!$M204:$P204,'350配方'!$Y204:$AB204,136)</x:f>
        <x:v>0</x:v>
      </x:c>
      <x:c r="Z204" s="9" t="n">
        <x:f>SUMIFS('350配方'!$M204:$P204,'350配方'!$Y204:$AB204,141)</x:f>
        <x:v>0</x:v>
      </x:c>
      <x:c r="AA204" s="9" t="n">
        <x:f>SUMIFS('350配方'!$M204:$P204,'350配方'!$Y204:$AB204,152)</x:f>
        <x:v>0</x:v>
      </x:c>
      <x:c r="AB204" s="9" t="n">
        <x:f>SUMIFS('350配方'!$M204:$P204,'350配方'!$Y204:$AB204,165)</x:f>
        <x:v>0</x:v>
      </x:c>
      <x:c r="AC204" s="9" t="n">
        <x:f>SUMIFS('350配方'!$M204:$P204,'350配方'!$Y204:$AB204,186)</x:f>
        <x:v>0</x:v>
      </x:c>
      <x:c r="AD204" s="9" t="n">
        <x:f>SUMIFS('350配方'!$M204:$P204,'350配方'!$Y204:$AB204,207)</x:f>
        <x:v>0</x:v>
      </x:c>
      <x:c r="AE204" s="9" t="n">
        <x:f>SUMIFS('350配方'!$M204:$P204,'350配方'!$Y204:$AB204,209)</x:f>
        <x:v>0</x:v>
      </x:c>
      <x:c r="AF204" s="9" t="n">
        <x:f>SUMIFS('350配方'!$M204:$P204,'350配方'!$Y204:$AB204,227)</x:f>
        <x:v>0</x:v>
      </x:c>
      <x:c r="AG204" s="9" t="n">
        <x:f>SUMIFS('350配方'!$M204:$P204,'350配方'!$Y204:$AB204,232)</x:f>
        <x:v>0</x:v>
      </x:c>
      <x:c r="AH204" s="9" t="n">
        <x:f>SUMIFS('350配方'!$M204:$P204,'350配方'!$Y204:$AB204,255)</x:f>
        <x:v>0</x:v>
      </x:c>
      <x:c r="AI204" s="9" t="n">
        <x:f>'浓度设置'!S6</x:f>
        <x:v>219125.9626344086</x:v>
      </x:c>
      <x:c r="AJ204" s="9" t="n">
        <x:f>'浓度设置'!S8</x:f>
        <x:v>92796.92267241378</x:v>
      </x:c>
      <x:c r="AK204" s="9" t="n">
        <x:f>'浓度设置'!S10</x:f>
        <x:v>30556.797802197798</x:v>
      </x:c>
      <x:c r="AL204" s="9" t="n">
        <x:f>'浓度设置'!S12</x:f>
        <x:v>1735.828970588235</x:v>
      </x:c>
      <x:c r="AM204" s="9" t="n">
        <x:f>'浓度设置'!S15</x:f>
        <x:v>7385.813644067793</x:v>
      </x:c>
      <x:c r="AN204" s="9" t="n">
        <x:f>'浓度设置'!S19</x:f>
        <x:v>27722.03097701148</x:v>
      </x:c>
      <x:c r="AO204" s="9" t="n">
        <x:f>'浓度设置'!S22</x:f>
        <x:v>44345.55047619048</x:v>
      </x:c>
      <x:c r="AP204" s="9" t="n">
        <x:f>'浓度设置'!S26</x:f>
        <x:v>153318.30499999996</x:v>
      </x:c>
      <x:c r="AQ204" s="9" t="n">
        <x:f>'浓度设置'!S29</x:f>
        <x:v>312.7970588235294</x:v>
      </x:c>
      <x:c r="AR204" s="9" t="n">
        <x:f>'浓度设置'!S30</x:f>
        <x:v>104175.5097553192</x:v>
      </x:c>
      <x:c r="AS204" s="9" t="n">
        <x:f>'浓度设置'!S35</x:f>
        <x:v>405974.90656785714</x:v>
      </x:c>
    </x:row>
    <x:row r="205" ht="24" customHeight="1">
      <x:c r="A205" s="3" t="str">
        <x:f>'350配方'!A205</x:f>
        <x:v>T200</x:v>
      </x:c>
      <x:c r="B205" s="3" t="str">
        <x:f>'350配方'!B205</x:f>
        <x:v>拟合</x:v>
      </x:c>
      <x:c r="C205" s="3" t="n">
        <x:f>IF(B205="拟合",1,0)</x:f>
        <x:v>1</x:v>
      </x:c>
      <x:c r="D205" s="3" t="n">
        <x:f>'350配方'!AC205</x:f>
        <x:v>4</x:v>
      </x:c>
      <x:c r="E205" s="9" t="n">
        <x:f>SUMIFS('350配方'!$M205:$P205,'350配方'!$Y205:$AB205,7)</x:f>
        <x:v>0</x:v>
      </x:c>
      <x:c r="F205" s="9" t="n">
        <x:f>SUMIFS('350配方'!$M205:$P205,'350配方'!$Y205:$AB205,11)</x:f>
        <x:v>16.97</x:v>
      </x:c>
      <x:c r="G205" s="9" t="n">
        <x:f>SUMIFS('350配方'!$M205:$P205,'350配方'!$Y205:$AB205,18)</x:f>
        <x:v>39</x:v>
      </x:c>
      <x:c r="H205" s="9" t="n">
        <x:f>SUMIFS('350配方'!$M205:$P205,'350配方'!$Y205:$AB205,32)</x:f>
        <x:v>0</x:v>
      </x:c>
      <x:c r="I205" s="9" t="n">
        <x:f>SUMIFS('350配方'!$M205:$P205,'350配方'!$Y205:$AB205,40)</x:f>
        <x:v>0</x:v>
      </x:c>
      <x:c r="J205" s="9" t="n">
        <x:f>SUMIFS('350配方'!$M205:$P205,'350配方'!$Y205:$AB205,52)</x:f>
        <x:v>0</x:v>
      </x:c>
      <x:c r="K205" s="9" t="n">
        <x:f>SUMIFS('350配方'!$M205:$P205,'350配方'!$Y205:$AB205,53)</x:f>
        <x:v>0</x:v>
      </x:c>
      <x:c r="L205" s="9" t="n">
        <x:f>SUMIFS('350配方'!$M205:$P205,'350配方'!$Y205:$AB205,56)</x:f>
        <x:v>1041.8500000000001</x:v>
      </x:c>
      <x:c r="M205" s="9" t="n">
        <x:f>SUMIFS('350配方'!$M205:$P205,'350配方'!$Y205:$AB205,58)</x:f>
        <x:v>0</x:v>
      </x:c>
      <x:c r="N205" s="9" t="n">
        <x:f>SUMIFS('350配方'!$M205:$P205,'350配方'!$Y205:$AB205,61)</x:f>
        <x:v>0</x:v>
      </x:c>
      <x:c r="O205" s="9" t="n">
        <x:f>SUMIFS('350配方'!$M205:$P205,'350配方'!$Y205:$AB205,69)</x:f>
        <x:v>0</x:v>
      </x:c>
      <x:c r="P205" s="9" t="n">
        <x:f>SUMIFS('350配方'!$M205:$P205,'350配方'!$Y205:$AB205,75)</x:f>
        <x:v>1.75</x:v>
      </x:c>
      <x:c r="Q205" s="9" t="n">
        <x:f>SUMIFS('350配方'!$M205:$P205,'350配方'!$Y205:$AB205,79)</x:f>
        <x:v>0</x:v>
      </x:c>
      <x:c r="R205" s="9" t="n">
        <x:f>SUMIFS('350配方'!$M205:$P205,'350配方'!$Y205:$AB205,90)</x:f>
        <x:v>0</x:v>
      </x:c>
      <x:c r="S205" s="9" t="n">
        <x:f>SUMIFS('350配方'!$M205:$P205,'350配方'!$Y205:$AB205,105)</x:f>
        <x:v>0</x:v>
      </x:c>
      <x:c r="T205" s="9" t="n">
        <x:f>SUMIFS('350配方'!$M205:$P205,'350配方'!$Y205:$AB205,111)</x:f>
        <x:v>0</x:v>
      </x:c>
      <x:c r="U205" s="9" t="n">
        <x:f>SUMIFS('350配方'!$M205:$P205,'350配方'!$Y205:$AB205,114)</x:f>
        <x:v>0</x:v>
      </x:c>
      <x:c r="V205" s="9" t="n">
        <x:f>SUMIFS('350配方'!$M205:$P205,'350配方'!$Y205:$AB205,115)</x:f>
        <x:v>0</x:v>
      </x:c>
      <x:c r="W205" s="9" t="n">
        <x:f>SUMIFS('350配方'!$M205:$P205,'350配方'!$Y205:$AB205,117)</x:f>
        <x:v>0</x:v>
      </x:c>
      <x:c r="X205" s="9" t="n">
        <x:f>SUMIFS('350配方'!$M205:$P205,'350配方'!$Y205:$AB205,126)</x:f>
        <x:v>0</x:v>
      </x:c>
      <x:c r="Y205" s="9" t="n">
        <x:f>SUMIFS('350配方'!$M205:$P205,'350配方'!$Y205:$AB205,136)</x:f>
        <x:v>0</x:v>
      </x:c>
      <x:c r="Z205" s="9" t="n">
        <x:f>SUMIFS('350配方'!$M205:$P205,'350配方'!$Y205:$AB205,141)</x:f>
        <x:v>0</x:v>
      </x:c>
      <x:c r="AA205" s="9" t="n">
        <x:f>SUMIFS('350配方'!$M205:$P205,'350配方'!$Y205:$AB205,152)</x:f>
        <x:v>0</x:v>
      </x:c>
      <x:c r="AB205" s="9" t="n">
        <x:f>SUMIFS('350配方'!$M205:$P205,'350配方'!$Y205:$AB205,165)</x:f>
        <x:v>0</x:v>
      </x:c>
      <x:c r="AC205" s="9" t="n">
        <x:f>SUMIFS('350配方'!$M205:$P205,'350配方'!$Y205:$AB205,186)</x:f>
        <x:v>0</x:v>
      </x:c>
      <x:c r="AD205" s="9" t="n">
        <x:f>SUMIFS('350配方'!$M205:$P205,'350配方'!$Y205:$AB205,207)</x:f>
        <x:v>0</x:v>
      </x:c>
      <x:c r="AE205" s="9" t="n">
        <x:f>SUMIFS('350配方'!$M205:$P205,'350配方'!$Y205:$AB205,209)</x:f>
        <x:v>0</x:v>
      </x:c>
      <x:c r="AF205" s="9" t="n">
        <x:f>SUMIFS('350配方'!$M205:$P205,'350配方'!$Y205:$AB205,227)</x:f>
        <x:v>0</x:v>
      </x:c>
      <x:c r="AG205" s="9" t="n">
        <x:f>SUMIFS('350配方'!$M205:$P205,'350配方'!$Y205:$AB205,232)</x:f>
        <x:v>0</x:v>
      </x:c>
      <x:c r="AH205" s="9" t="n">
        <x:f>SUMIFS('350配方'!$M205:$P205,'350配方'!$Y205:$AB205,255)</x:f>
        <x:v>0</x:v>
      </x:c>
      <x:c r="AI205" s="9" t="n">
        <x:f>'浓度设置'!S6</x:f>
        <x:v>219125.9626344086</x:v>
      </x:c>
      <x:c r="AJ205" s="9" t="n">
        <x:f>'浓度设置'!S8</x:f>
        <x:v>92796.92267241378</x:v>
      </x:c>
      <x:c r="AK205" s="9" t="n">
        <x:f>'浓度设置'!S10</x:f>
        <x:v>30556.797802197798</x:v>
      </x:c>
      <x:c r="AL205" s="9" t="n">
        <x:f>'浓度设置'!S12</x:f>
        <x:v>1735.828970588235</x:v>
      </x:c>
      <x:c r="AM205" s="9" t="n">
        <x:f>'浓度设置'!S15</x:f>
        <x:v>7385.813644067793</x:v>
      </x:c>
      <x:c r="AN205" s="9" t="n">
        <x:f>'浓度设置'!S19</x:f>
        <x:v>27722.03097701148</x:v>
      </x:c>
      <x:c r="AO205" s="9" t="n">
        <x:f>'浓度设置'!S22</x:f>
        <x:v>44345.55047619048</x:v>
      </x:c>
      <x:c r="AP205" s="9" t="n">
        <x:f>'浓度设置'!S26</x:f>
        <x:v>153318.30499999996</x:v>
      </x:c>
      <x:c r="AQ205" s="9" t="n">
        <x:f>'浓度设置'!S29</x:f>
        <x:v>312.7970588235294</x:v>
      </x:c>
      <x:c r="AR205" s="9" t="n">
        <x:f>'浓度设置'!S30</x:f>
        <x:v>104175.5097553192</x:v>
      </x:c>
      <x:c r="AS205" s="9" t="n">
        <x:f>'浓度设置'!S35</x:f>
        <x:v>405974.90656785714</x:v>
      </x:c>
    </x:row>
    <x:row r="206" ht="24" customHeight="1">
      <x:c r="A206" s="3" t="str">
        <x:f>'350配方'!A206</x:f>
        <x:v>T201</x:v>
      </x:c>
      <x:c r="B206" s="3" t="str">
        <x:f>'350配方'!B206</x:f>
        <x:v>拟合</x:v>
      </x:c>
      <x:c r="C206" s="3" t="n">
        <x:f>IF(B206="拟合",1,0)</x:f>
        <x:v>1</x:v>
      </x:c>
      <x:c r="D206" s="3" t="n">
        <x:f>'350配方'!AC206</x:f>
        <x:v>4</x:v>
      </x:c>
      <x:c r="E206" s="9" t="n">
        <x:f>SUMIFS('350配方'!$M206:$P206,'350配方'!$Y206:$AB206,7)</x:f>
        <x:v>0</x:v>
      </x:c>
      <x:c r="F206" s="9" t="n">
        <x:f>SUMIFS('350配方'!$M206:$P206,'350配方'!$Y206:$AB206,11)</x:f>
        <x:v>0</x:v>
      </x:c>
      <x:c r="G206" s="9" t="n">
        <x:f>SUMIFS('350配方'!$M206:$P206,'350配方'!$Y206:$AB206,18)</x:f>
        <x:v>0</x:v>
      </x:c>
      <x:c r="H206" s="9" t="n">
        <x:f>SUMIFS('350配方'!$M206:$P206,'350配方'!$Y206:$AB206,32)</x:f>
        <x:v>0</x:v>
      </x:c>
      <x:c r="I206" s="9" t="n">
        <x:f>SUMIFS('350配方'!$M206:$P206,'350配方'!$Y206:$AB206,40)</x:f>
        <x:v>0</x:v>
      </x:c>
      <x:c r="J206" s="9" t="n">
        <x:f>SUMIFS('350配方'!$M206:$P206,'350配方'!$Y206:$AB206,52)</x:f>
        <x:v>0</x:v>
      </x:c>
      <x:c r="K206" s="9" t="n">
        <x:f>SUMIFS('350配方'!$M206:$P206,'350配方'!$Y206:$AB206,53)</x:f>
        <x:v>0</x:v>
      </x:c>
      <x:c r="L206" s="9" t="n">
        <x:f>SUMIFS('350配方'!$M206:$P206,'350配方'!$Y206:$AB206,56)</x:f>
        <x:v>0</x:v>
      </x:c>
      <x:c r="M206" s="9" t="n">
        <x:f>SUMIFS('350配方'!$M206:$P206,'350配方'!$Y206:$AB206,58)</x:f>
        <x:v>0</x:v>
      </x:c>
      <x:c r="N206" s="9" t="n">
        <x:f>SUMIFS('350配方'!$M206:$P206,'350配方'!$Y206:$AB206,61)</x:f>
        <x:v>0.51</x:v>
      </x:c>
      <x:c r="O206" s="9" t="n">
        <x:f>SUMIFS('350配方'!$M206:$P206,'350配方'!$Y206:$AB206,69)</x:f>
        <x:v>0</x:v>
      </x:c>
      <x:c r="P206" s="9" t="n">
        <x:f>SUMIFS('350配方'!$M206:$P206,'350配方'!$Y206:$AB206,75)</x:f>
        <x:v>0</x:v>
      </x:c>
      <x:c r="Q206" s="9" t="n">
        <x:f>SUMIFS('350配方'!$M206:$P206,'350配方'!$Y206:$AB206,79)</x:f>
        <x:v>0</x:v>
      </x:c>
      <x:c r="R206" s="9" t="n">
        <x:f>SUMIFS('350配方'!$M206:$P206,'350配方'!$Y206:$AB206,90)</x:f>
        <x:v>0</x:v>
      </x:c>
      <x:c r="S206" s="9" t="n">
        <x:f>SUMIFS('350配方'!$M206:$P206,'350配方'!$Y206:$AB206,105)</x:f>
        <x:v>0</x:v>
      </x:c>
      <x:c r="T206" s="9" t="n">
        <x:f>SUMIFS('350配方'!$M206:$P206,'350配方'!$Y206:$AB206,111)</x:f>
        <x:v>0</x:v>
      </x:c>
      <x:c r="U206" s="9" t="n">
        <x:f>SUMIFS('350配方'!$M206:$P206,'350配方'!$Y206:$AB206,114)</x:f>
        <x:v>3147.945</x:v>
      </x:c>
      <x:c r="V206" s="9" t="n">
        <x:f>SUMIFS('350配方'!$M206:$P206,'350配方'!$Y206:$AB206,115)</x:f>
        <x:v>0</x:v>
      </x:c>
      <x:c r="W206" s="9" t="n">
        <x:f>SUMIFS('350配方'!$M206:$P206,'350配方'!$Y206:$AB206,117)</x:f>
        <x:v>0</x:v>
      </x:c>
      <x:c r="X206" s="9" t="n">
        <x:f>SUMIFS('350配方'!$M206:$P206,'350配方'!$Y206:$AB206,126)</x:f>
        <x:v>0</x:v>
      </x:c>
      <x:c r="Y206" s="9" t="n">
        <x:f>SUMIFS('350配方'!$M206:$P206,'350配方'!$Y206:$AB206,136)</x:f>
        <x:v>0</x:v>
      </x:c>
      <x:c r="Z206" s="9" t="n">
        <x:f>SUMIFS('350配方'!$M206:$P206,'350配方'!$Y206:$AB206,141)</x:f>
        <x:v>0</x:v>
      </x:c>
      <x:c r="AA206" s="9" t="n">
        <x:f>SUMIFS('350配方'!$M206:$P206,'350配方'!$Y206:$AB206,152)</x:f>
        <x:v>0</x:v>
      </x:c>
      <x:c r="AB206" s="9" t="n">
        <x:f>SUMIFS('350配方'!$M206:$P206,'350配方'!$Y206:$AB206,165)</x:f>
        <x:v>0</x:v>
      </x:c>
      <x:c r="AC206" s="9" t="n">
        <x:f>SUMIFS('350配方'!$M206:$P206,'350配方'!$Y206:$AB206,186)</x:f>
        <x:v>0</x:v>
      </x:c>
      <x:c r="AD206" s="9" t="n">
        <x:f>SUMIFS('350配方'!$M206:$P206,'350配方'!$Y206:$AB206,207)</x:f>
        <x:v>0</x:v>
      </x:c>
      <x:c r="AE206" s="9" t="n">
        <x:f>SUMIFS('350配方'!$M206:$P206,'350配方'!$Y206:$AB206,209)</x:f>
        <x:v>0</x:v>
      </x:c>
      <x:c r="AF206" s="9" t="n">
        <x:f>SUMIFS('350配方'!$M206:$P206,'350配方'!$Y206:$AB206,227)</x:f>
        <x:v>695.986709643223</x:v>
      </x:c>
      <x:c r="AG206" s="9" t="n">
        <x:f>SUMIFS('350配方'!$M206:$P206,'350配方'!$Y206:$AB206,232)</x:f>
        <x:v>0.97</x:v>
      </x:c>
      <x:c r="AH206" s="9" t="n">
        <x:f>SUMIFS('350配方'!$M206:$P206,'350配方'!$Y206:$AB206,255)</x:f>
        <x:v>0</x:v>
      </x:c>
      <x:c r="AI206" s="9" t="n">
        <x:f>'浓度设置'!S6</x:f>
        <x:v>219125.9626344086</x:v>
      </x:c>
      <x:c r="AJ206" s="9" t="n">
        <x:f>'浓度设置'!S8</x:f>
        <x:v>92796.92267241378</x:v>
      </x:c>
      <x:c r="AK206" s="9" t="n">
        <x:f>'浓度设置'!S10</x:f>
        <x:v>30556.797802197798</x:v>
      </x:c>
      <x:c r="AL206" s="9" t="n">
        <x:f>'浓度设置'!S12</x:f>
        <x:v>1735.828970588235</x:v>
      </x:c>
      <x:c r="AM206" s="9" t="n">
        <x:f>'浓度设置'!S15</x:f>
        <x:v>7385.813644067793</x:v>
      </x:c>
      <x:c r="AN206" s="9" t="n">
        <x:f>'浓度设置'!S19</x:f>
        <x:v>27722.03097701148</x:v>
      </x:c>
      <x:c r="AO206" s="9" t="n">
        <x:f>'浓度设置'!S22</x:f>
        <x:v>44345.55047619048</x:v>
      </x:c>
      <x:c r="AP206" s="9" t="n">
        <x:f>'浓度设置'!S26</x:f>
        <x:v>153318.30499999996</x:v>
      </x:c>
      <x:c r="AQ206" s="9" t="n">
        <x:f>'浓度设置'!S29</x:f>
        <x:v>312.7970588235294</x:v>
      </x:c>
      <x:c r="AR206" s="9" t="n">
        <x:f>'浓度设置'!S30</x:f>
        <x:v>104175.5097553192</x:v>
      </x:c>
      <x:c r="AS206" s="9" t="n">
        <x:f>'浓度设置'!S35</x:f>
        <x:v>405974.90656785714</x:v>
      </x:c>
    </x:row>
    <x:row r="207" ht="24" customHeight="1">
      <x:c r="A207" s="3" t="str">
        <x:f>'350配方'!A207</x:f>
        <x:v>T202</x:v>
      </x:c>
      <x:c r="B207" s="3" t="str">
        <x:f>'350配方'!B207</x:f>
        <x:v>拟合</x:v>
      </x:c>
      <x:c r="C207" s="3" t="n">
        <x:f>IF(B207="拟合",1,0)</x:f>
        <x:v>1</x:v>
      </x:c>
      <x:c r="D207" s="3" t="n">
        <x:f>'350配方'!AC207</x:f>
        <x:v>4</x:v>
      </x:c>
      <x:c r="E207" s="9" t="n">
        <x:f>SUMIFS('350配方'!$M207:$P207,'350配方'!$Y207:$AB207,7)</x:f>
        <x:v>0</x:v>
      </x:c>
      <x:c r="F207" s="9" t="n">
        <x:f>SUMIFS('350配方'!$M207:$P207,'350配方'!$Y207:$AB207,11)</x:f>
        <x:v>0</x:v>
      </x:c>
      <x:c r="G207" s="9" t="n">
        <x:f>SUMIFS('350配方'!$M207:$P207,'350配方'!$Y207:$AB207,18)</x:f>
        <x:v>0</x:v>
      </x:c>
      <x:c r="H207" s="9" t="n">
        <x:f>SUMIFS('350配方'!$M207:$P207,'350配方'!$Y207:$AB207,32)</x:f>
        <x:v>0</x:v>
      </x:c>
      <x:c r="I207" s="9" t="n">
        <x:f>SUMIFS('350配方'!$M207:$P207,'350配方'!$Y207:$AB207,40)</x:f>
        <x:v>0</x:v>
      </x:c>
      <x:c r="J207" s="9" t="n">
        <x:f>SUMIFS('350配方'!$M207:$P207,'350配方'!$Y207:$AB207,52)</x:f>
        <x:v>0</x:v>
      </x:c>
      <x:c r="K207" s="9" t="n">
        <x:f>SUMIFS('350配方'!$M207:$P207,'350配方'!$Y207:$AB207,53)</x:f>
        <x:v>784300</x:v>
      </x:c>
      <x:c r="L207" s="9" t="n">
        <x:f>SUMIFS('350配方'!$M207:$P207,'350配方'!$Y207:$AB207,56)</x:f>
        <x:v>0</x:v>
      </x:c>
      <x:c r="M207" s="9" t="n">
        <x:f>SUMIFS('350配方'!$M207:$P207,'350配方'!$Y207:$AB207,58)</x:f>
        <x:v>0</x:v>
      </x:c>
      <x:c r="N207" s="9" t="n">
        <x:f>SUMIFS('350配方'!$M207:$P207,'350配方'!$Y207:$AB207,61)</x:f>
        <x:v>0</x:v>
      </x:c>
      <x:c r="O207" s="9" t="n">
        <x:f>SUMIFS('350配方'!$M207:$P207,'350配方'!$Y207:$AB207,69)</x:f>
        <x:v>0</x:v>
      </x:c>
      <x:c r="P207" s="9" t="n">
        <x:f>SUMIFS('350配方'!$M207:$P207,'350配方'!$Y207:$AB207,75)</x:f>
        <x:v>0</x:v>
      </x:c>
      <x:c r="Q207" s="9" t="n">
        <x:f>SUMIFS('350配方'!$M207:$P207,'350配方'!$Y207:$AB207,79)</x:f>
        <x:v>0</x:v>
      </x:c>
      <x:c r="R207" s="9" t="n">
        <x:f>SUMIFS('350配方'!$M207:$P207,'350配方'!$Y207:$AB207,90)</x:f>
        <x:v>0</x:v>
      </x:c>
      <x:c r="S207" s="9" t="n">
        <x:f>SUMIFS('350配方'!$M207:$P207,'350配方'!$Y207:$AB207,105)</x:f>
        <x:v>0</x:v>
      </x:c>
      <x:c r="T207" s="9" t="n">
        <x:f>SUMIFS('350配方'!$M207:$P207,'350配方'!$Y207:$AB207,111)</x:f>
        <x:v>9622120</x:v>
      </x:c>
      <x:c r="U207" s="9" t="n">
        <x:f>SUMIFS('350配方'!$M207:$P207,'350配方'!$Y207:$AB207,114)</x:f>
        <x:v>0</x:v>
      </x:c>
      <x:c r="V207" s="9" t="n">
        <x:f>SUMIFS('350配方'!$M207:$P207,'350配方'!$Y207:$AB207,115)</x:f>
        <x:v>0</x:v>
      </x:c>
      <x:c r="W207" s="9" t="n">
        <x:f>SUMIFS('350配方'!$M207:$P207,'350配方'!$Y207:$AB207,117)</x:f>
        <x:v>0</x:v>
      </x:c>
      <x:c r="X207" s="9" t="n">
        <x:f>SUMIFS('350配方'!$M207:$P207,'350配方'!$Y207:$AB207,126)</x:f>
        <x:v>1551340.76</x:v>
      </x:c>
      <x:c r="Y207" s="9" t="n">
        <x:f>SUMIFS('350配方'!$M207:$P207,'350配方'!$Y207:$AB207,136)</x:f>
        <x:v>0</x:v>
      </x:c>
      <x:c r="Z207" s="9" t="n">
        <x:f>SUMIFS('350配方'!$M207:$P207,'350配方'!$Y207:$AB207,141)</x:f>
        <x:v>0</x:v>
      </x:c>
      <x:c r="AA207" s="9" t="n">
        <x:f>SUMIFS('350配方'!$M207:$P207,'350配方'!$Y207:$AB207,152)</x:f>
        <x:v>0</x:v>
      </x:c>
      <x:c r="AB207" s="9" t="n">
        <x:f>SUMIFS('350配方'!$M207:$P207,'350配方'!$Y207:$AB207,165)</x:f>
        <x:v>0</x:v>
      </x:c>
      <x:c r="AC207" s="9" t="n">
        <x:f>SUMIFS('350配方'!$M207:$P207,'350配方'!$Y207:$AB207,186)</x:f>
        <x:v>0</x:v>
      </x:c>
      <x:c r="AD207" s="9" t="n">
        <x:f>SUMIFS('350配方'!$M207:$P207,'350配方'!$Y207:$AB207,207)</x:f>
        <x:v>1</x:v>
      </x:c>
      <x:c r="AE207" s="9" t="n">
        <x:f>SUMIFS('350配方'!$M207:$P207,'350配方'!$Y207:$AB207,209)</x:f>
        <x:v>0</x:v>
      </x:c>
      <x:c r="AF207" s="9" t="n">
        <x:f>SUMIFS('350配方'!$M207:$P207,'350配方'!$Y207:$AB207,227)</x:f>
        <x:v>0</x:v>
      </x:c>
      <x:c r="AG207" s="9" t="n">
        <x:f>SUMIFS('350配方'!$M207:$P207,'350配方'!$Y207:$AB207,232)</x:f>
        <x:v>0</x:v>
      </x:c>
      <x:c r="AH207" s="9" t="n">
        <x:f>SUMIFS('350配方'!$M207:$P207,'350配方'!$Y207:$AB207,255)</x:f>
        <x:v>0</x:v>
      </x:c>
      <x:c r="AI207" s="9" t="n">
        <x:f>'浓度设置'!S6</x:f>
        <x:v>219125.9626344086</x:v>
      </x:c>
      <x:c r="AJ207" s="9" t="n">
        <x:f>'浓度设置'!S8</x:f>
        <x:v>92796.92267241378</x:v>
      </x:c>
      <x:c r="AK207" s="9" t="n">
        <x:f>'浓度设置'!S10</x:f>
        <x:v>30556.797802197798</x:v>
      </x:c>
      <x:c r="AL207" s="9" t="n">
        <x:f>'浓度设置'!S12</x:f>
        <x:v>1735.828970588235</x:v>
      </x:c>
      <x:c r="AM207" s="9" t="n">
        <x:f>'浓度设置'!S15</x:f>
        <x:v>7385.813644067793</x:v>
      </x:c>
      <x:c r="AN207" s="9" t="n">
        <x:f>'浓度设置'!S19</x:f>
        <x:v>27722.03097701148</x:v>
      </x:c>
      <x:c r="AO207" s="9" t="n">
        <x:f>'浓度设置'!S22</x:f>
        <x:v>44345.55047619048</x:v>
      </x:c>
      <x:c r="AP207" s="9" t="n">
        <x:f>'浓度设置'!S26</x:f>
        <x:v>153318.30499999996</x:v>
      </x:c>
      <x:c r="AQ207" s="9" t="n">
        <x:f>'浓度设置'!S29</x:f>
        <x:v>312.7970588235294</x:v>
      </x:c>
      <x:c r="AR207" s="9" t="n">
        <x:f>'浓度设置'!S30</x:f>
        <x:v>104175.5097553192</x:v>
      </x:c>
      <x:c r="AS207" s="9" t="n">
        <x:f>'浓度设置'!S35</x:f>
        <x:v>405974.90656785714</x:v>
      </x:c>
    </x:row>
    <x:row r="208" ht="24" customHeight="1">
      <x:c r="A208" s="3" t="str">
        <x:f>'350配方'!A208</x:f>
        <x:v>T203</x:v>
      </x:c>
      <x:c r="B208" s="3" t="str">
        <x:f>'350配方'!B208</x:f>
        <x:v>拟合</x:v>
      </x:c>
      <x:c r="C208" s="3" t="n">
        <x:f>IF(B208="拟合",1,0)</x:f>
        <x:v>1</x:v>
      </x:c>
      <x:c r="D208" s="3" t="n">
        <x:f>'350配方'!AC208</x:f>
        <x:v>4</x:v>
      </x:c>
      <x:c r="E208" s="9" t="n">
        <x:f>SUMIFS('350配方'!$M208:$P208,'350配方'!$Y208:$AB208,7)</x:f>
        <x:v>0</x:v>
      </x:c>
      <x:c r="F208" s="9" t="n">
        <x:f>SUMIFS('350配方'!$M208:$P208,'350配方'!$Y208:$AB208,11)</x:f>
        <x:v>0</x:v>
      </x:c>
      <x:c r="G208" s="9" t="n">
        <x:f>SUMIFS('350配方'!$M208:$P208,'350配方'!$Y208:$AB208,18)</x:f>
        <x:v>0</x:v>
      </x:c>
      <x:c r="H208" s="9" t="n">
        <x:f>SUMIFS('350配方'!$M208:$P208,'350配方'!$Y208:$AB208,32)</x:f>
        <x:v>18.68</x:v>
      </x:c>
      <x:c r="I208" s="9" t="n">
        <x:f>SUMIFS('350配方'!$M208:$P208,'350配方'!$Y208:$AB208,40)</x:f>
        <x:v>0</x:v>
      </x:c>
      <x:c r="J208" s="9" t="n">
        <x:f>SUMIFS('350配方'!$M208:$P208,'350配方'!$Y208:$AB208,52)</x:f>
        <x:v>1290235</x:v>
      </x:c>
      <x:c r="K208" s="9" t="n">
        <x:f>SUMIFS('350配方'!$M208:$P208,'350配方'!$Y208:$AB208,53)</x:f>
        <x:v>0</x:v>
      </x:c>
      <x:c r="L208" s="9" t="n">
        <x:f>SUMIFS('350配方'!$M208:$P208,'350配方'!$Y208:$AB208,56)</x:f>
        <x:v>0</x:v>
      </x:c>
      <x:c r="M208" s="9" t="n">
        <x:f>SUMIFS('350配方'!$M208:$P208,'350配方'!$Y208:$AB208,58)</x:f>
        <x:v>0</x:v>
      </x:c>
      <x:c r="N208" s="9" t="n">
        <x:f>SUMIFS('350配方'!$M208:$P208,'350配方'!$Y208:$AB208,61)</x:f>
        <x:v>0</x:v>
      </x:c>
      <x:c r="O208" s="9" t="n">
        <x:f>SUMIFS('350配方'!$M208:$P208,'350配方'!$Y208:$AB208,69)</x:f>
        <x:v>0</x:v>
      </x:c>
      <x:c r="P208" s="9" t="n">
        <x:f>SUMIFS('350配方'!$M208:$P208,'350配方'!$Y208:$AB208,75)</x:f>
        <x:v>0</x:v>
      </x:c>
      <x:c r="Q208" s="9" t="n">
        <x:f>SUMIFS('350配方'!$M208:$P208,'350配方'!$Y208:$AB208,79)</x:f>
        <x:v>0</x:v>
      </x:c>
      <x:c r="R208" s="9" t="n">
        <x:f>SUMIFS('350配方'!$M208:$P208,'350配方'!$Y208:$AB208,90)</x:f>
        <x:v>0</x:v>
      </x:c>
      <x:c r="S208" s="9" t="n">
        <x:f>SUMIFS('350配方'!$M208:$P208,'350配方'!$Y208:$AB208,105)</x:f>
        <x:v>0</x:v>
      </x:c>
      <x:c r="T208" s="9" t="n">
        <x:f>SUMIFS('350配方'!$M208:$P208,'350配方'!$Y208:$AB208,111)</x:f>
        <x:v>0</x:v>
      </x:c>
      <x:c r="U208" s="9" t="n">
        <x:f>SUMIFS('350配方'!$M208:$P208,'350配方'!$Y208:$AB208,114)</x:f>
        <x:v>0</x:v>
      </x:c>
      <x:c r="V208" s="9" t="n">
        <x:f>SUMIFS('350配方'!$M208:$P208,'350配方'!$Y208:$AB208,115)</x:f>
        <x:v>0</x:v>
      </x:c>
      <x:c r="W208" s="9" t="n">
        <x:f>SUMIFS('350配方'!$M208:$P208,'350配方'!$Y208:$AB208,117)</x:f>
        <x:v>274.54883445390914</x:v>
      </x:c>
      <x:c r="X208" s="9" t="n">
        <x:f>SUMIFS('350配方'!$M208:$P208,'350配方'!$Y208:$AB208,126)</x:f>
        <x:v>0</x:v>
      </x:c>
      <x:c r="Y208" s="9" t="n">
        <x:f>SUMIFS('350配方'!$M208:$P208,'350配方'!$Y208:$AB208,136)</x:f>
        <x:v>0</x:v>
      </x:c>
      <x:c r="Z208" s="9" t="n">
        <x:f>SUMIFS('350配方'!$M208:$P208,'350配方'!$Y208:$AB208,141)</x:f>
        <x:v>0</x:v>
      </x:c>
      <x:c r="AA208" s="9" t="n">
        <x:f>SUMIFS('350配方'!$M208:$P208,'350配方'!$Y208:$AB208,152)</x:f>
        <x:v>0</x:v>
      </x:c>
      <x:c r="AB208" s="9" t="n">
        <x:f>SUMIFS('350配方'!$M208:$P208,'350配方'!$Y208:$AB208,165)</x:f>
        <x:v>0</x:v>
      </x:c>
      <x:c r="AC208" s="9" t="n">
        <x:f>SUMIFS('350配方'!$M208:$P208,'350配方'!$Y208:$AB208,186)</x:f>
        <x:v>0</x:v>
      </x:c>
      <x:c r="AD208" s="9" t="n">
        <x:f>SUMIFS('350配方'!$M208:$P208,'350配方'!$Y208:$AB208,207)</x:f>
        <x:v>0</x:v>
      </x:c>
      <x:c r="AE208" s="9" t="n">
        <x:f>SUMIFS('350配方'!$M208:$P208,'350配方'!$Y208:$AB208,209)</x:f>
        <x:v>0</x:v>
      </x:c>
      <x:c r="AF208" s="9" t="n">
        <x:f>SUMIFS('350配方'!$M208:$P208,'350配方'!$Y208:$AB208,227)</x:f>
        <x:v>193759</x:v>
      </x:c>
      <x:c r="AG208" s="9" t="n">
        <x:f>SUMIFS('350配方'!$M208:$P208,'350配方'!$Y208:$AB208,232)</x:f>
        <x:v>0</x:v>
      </x:c>
      <x:c r="AH208" s="9" t="n">
        <x:f>SUMIFS('350配方'!$M208:$P208,'350配方'!$Y208:$AB208,255)</x:f>
        <x:v>0</x:v>
      </x:c>
      <x:c r="AI208" s="9" t="n">
        <x:f>'浓度设置'!S6</x:f>
        <x:v>219125.9626344086</x:v>
      </x:c>
      <x:c r="AJ208" s="9" t="n">
        <x:f>'浓度设置'!S8</x:f>
        <x:v>92796.92267241378</x:v>
      </x:c>
      <x:c r="AK208" s="9" t="n">
        <x:f>'浓度设置'!S10</x:f>
        <x:v>30556.797802197798</x:v>
      </x:c>
      <x:c r="AL208" s="9" t="n">
        <x:f>'浓度设置'!S12</x:f>
        <x:v>1735.828970588235</x:v>
      </x:c>
      <x:c r="AM208" s="9" t="n">
        <x:f>'浓度设置'!S15</x:f>
        <x:v>7385.813644067793</x:v>
      </x:c>
      <x:c r="AN208" s="9" t="n">
        <x:f>'浓度设置'!S19</x:f>
        <x:v>27722.03097701148</x:v>
      </x:c>
      <x:c r="AO208" s="9" t="n">
        <x:f>'浓度设置'!S22</x:f>
        <x:v>44345.55047619048</x:v>
      </x:c>
      <x:c r="AP208" s="9" t="n">
        <x:f>'浓度设置'!S26</x:f>
        <x:v>153318.30499999996</x:v>
      </x:c>
      <x:c r="AQ208" s="9" t="n">
        <x:f>'浓度设置'!S29</x:f>
        <x:v>312.7970588235294</x:v>
      </x:c>
      <x:c r="AR208" s="9" t="n">
        <x:f>'浓度设置'!S30</x:f>
        <x:v>104175.5097553192</x:v>
      </x:c>
      <x:c r="AS208" s="9" t="n">
        <x:f>'浓度设置'!S35</x:f>
        <x:v>405974.90656785714</x:v>
      </x:c>
    </x:row>
    <x:row r="209" ht="24" customHeight="1">
      <x:c r="A209" s="3" t="str">
        <x:f>'350配方'!A209</x:f>
        <x:v>T204</x:v>
      </x:c>
      <x:c r="B209" s="3" t="str">
        <x:f>'350配方'!B209</x:f>
        <x:v>拟合</x:v>
      </x:c>
      <x:c r="C209" s="3" t="n">
        <x:f>IF(B209="拟合",1,0)</x:f>
        <x:v>1</x:v>
      </x:c>
      <x:c r="D209" s="3" t="n">
        <x:f>'350配方'!AC209</x:f>
        <x:v>4</x:v>
      </x:c>
      <x:c r="E209" s="9" t="n">
        <x:f>SUMIFS('350配方'!$M209:$P209,'350配方'!$Y209:$AB209,7)</x:f>
        <x:v>0</x:v>
      </x:c>
      <x:c r="F209" s="9" t="n">
        <x:f>SUMIFS('350配方'!$M209:$P209,'350配方'!$Y209:$AB209,11)</x:f>
        <x:v>0</x:v>
      </x:c>
      <x:c r="G209" s="9" t="n">
        <x:f>SUMIFS('350配方'!$M209:$P209,'350配方'!$Y209:$AB209,18)</x:f>
        <x:v>0</x:v>
      </x:c>
      <x:c r="H209" s="9" t="n">
        <x:f>SUMIFS('350配方'!$M209:$P209,'350配方'!$Y209:$AB209,32)</x:f>
        <x:v>0</x:v>
      </x:c>
      <x:c r="I209" s="9" t="n">
        <x:f>SUMIFS('350配方'!$M209:$P209,'350配方'!$Y209:$AB209,40)</x:f>
        <x:v>21400</x:v>
      </x:c>
      <x:c r="J209" s="9" t="n">
        <x:f>SUMIFS('350配方'!$M209:$P209,'350配方'!$Y209:$AB209,52)</x:f>
        <x:v>0</x:v>
      </x:c>
      <x:c r="K209" s="9" t="n">
        <x:f>SUMIFS('350配方'!$M209:$P209,'350配方'!$Y209:$AB209,53)</x:f>
        <x:v>0</x:v>
      </x:c>
      <x:c r="L209" s="9" t="n">
        <x:f>SUMIFS('350配方'!$M209:$P209,'350配方'!$Y209:$AB209,56)</x:f>
        <x:v>0</x:v>
      </x:c>
      <x:c r="M209" s="9" t="n">
        <x:f>SUMIFS('350配方'!$M209:$P209,'350配方'!$Y209:$AB209,58)</x:f>
        <x:v>0</x:v>
      </x:c>
      <x:c r="N209" s="9" t="n">
        <x:f>SUMIFS('350配方'!$M209:$P209,'350配方'!$Y209:$AB209,61)</x:f>
        <x:v>0</x:v>
      </x:c>
      <x:c r="O209" s="9" t="n">
        <x:f>SUMIFS('350配方'!$M209:$P209,'350配方'!$Y209:$AB209,69)</x:f>
        <x:v>0</x:v>
      </x:c>
      <x:c r="P209" s="9" t="n">
        <x:f>SUMIFS('350配方'!$M209:$P209,'350配方'!$Y209:$AB209,75)</x:f>
        <x:v>0</x:v>
      </x:c>
      <x:c r="Q209" s="9" t="n">
        <x:f>SUMIFS('350配方'!$M209:$P209,'350配方'!$Y209:$AB209,79)</x:f>
        <x:v>0</x:v>
      </x:c>
      <x:c r="R209" s="9" t="n">
        <x:f>SUMIFS('350配方'!$M209:$P209,'350配方'!$Y209:$AB209,90)</x:f>
        <x:v>0</x:v>
      </x:c>
      <x:c r="S209" s="9" t="n">
        <x:f>SUMIFS('350配方'!$M209:$P209,'350配方'!$Y209:$AB209,105)</x:f>
        <x:v>0</x:v>
      </x:c>
      <x:c r="T209" s="9" t="n">
        <x:f>SUMIFS('350配方'!$M209:$P209,'350配方'!$Y209:$AB209,111)</x:f>
        <x:v>0</x:v>
      </x:c>
      <x:c r="U209" s="9" t="n">
        <x:f>SUMIFS('350配方'!$M209:$P209,'350配方'!$Y209:$AB209,114)</x:f>
        <x:v>0</x:v>
      </x:c>
      <x:c r="V209" s="9" t="n">
        <x:f>SUMIFS('350配方'!$M209:$P209,'350配方'!$Y209:$AB209,115)</x:f>
        <x:v>0</x:v>
      </x:c>
      <x:c r="W209" s="9" t="n">
        <x:f>SUMIFS('350配方'!$M209:$P209,'350配方'!$Y209:$AB209,117)</x:f>
        <x:v>0</x:v>
      </x:c>
      <x:c r="X209" s="9" t="n">
        <x:f>SUMIFS('350配方'!$M209:$P209,'350配方'!$Y209:$AB209,126)</x:f>
        <x:v>0</x:v>
      </x:c>
      <x:c r="Y209" s="9" t="n">
        <x:f>SUMIFS('350配方'!$M209:$P209,'350配方'!$Y209:$AB209,136)</x:f>
        <x:v>0</x:v>
      </x:c>
      <x:c r="Z209" s="9" t="n">
        <x:f>SUMIFS('350配方'!$M209:$P209,'350配方'!$Y209:$AB209,141)</x:f>
        <x:v>0</x:v>
      </x:c>
      <x:c r="AA209" s="9" t="n">
        <x:f>SUMIFS('350配方'!$M209:$P209,'350配方'!$Y209:$AB209,152)</x:f>
        <x:v>0</x:v>
      </x:c>
      <x:c r="AB209" s="9" t="n">
        <x:f>SUMIFS('350配方'!$M209:$P209,'350配方'!$Y209:$AB209,165)</x:f>
        <x:v>823.735</x:v>
      </x:c>
      <x:c r="AC209" s="9" t="n">
        <x:f>SUMIFS('350配方'!$M209:$P209,'350配方'!$Y209:$AB209,186)</x:f>
        <x:v>0</x:v>
      </x:c>
      <x:c r="AD209" s="9" t="n">
        <x:f>SUMIFS('350配方'!$M209:$P209,'350配方'!$Y209:$AB209,207)</x:f>
        <x:v>0</x:v>
      </x:c>
      <x:c r="AE209" s="9" t="n">
        <x:f>SUMIFS('350配方'!$M209:$P209,'350配方'!$Y209:$AB209,209)</x:f>
        <x:v>0.28</x:v>
      </x:c>
      <x:c r="AF209" s="9" t="n">
        <x:f>SUMIFS('350配方'!$M209:$P209,'350配方'!$Y209:$AB209,227)</x:f>
        <x:v>0</x:v>
      </x:c>
      <x:c r="AG209" s="9" t="n">
        <x:f>SUMIFS('350配方'!$M209:$P209,'350配方'!$Y209:$AB209,232)</x:f>
        <x:v>0</x:v>
      </x:c>
      <x:c r="AH209" s="9" t="n">
        <x:f>SUMIFS('350配方'!$M209:$P209,'350配方'!$Y209:$AB209,255)</x:f>
        <x:v>60.76</x:v>
      </x:c>
      <x:c r="AI209" s="9" t="n">
        <x:f>'浓度设置'!S6</x:f>
        <x:v>219125.9626344086</x:v>
      </x:c>
      <x:c r="AJ209" s="9" t="n">
        <x:f>'浓度设置'!S8</x:f>
        <x:v>92796.92267241378</x:v>
      </x:c>
      <x:c r="AK209" s="9" t="n">
        <x:f>'浓度设置'!S10</x:f>
        <x:v>30556.797802197798</x:v>
      </x:c>
      <x:c r="AL209" s="9" t="n">
        <x:f>'浓度设置'!S12</x:f>
        <x:v>1735.828970588235</x:v>
      </x:c>
      <x:c r="AM209" s="9" t="n">
        <x:f>'浓度设置'!S15</x:f>
        <x:v>7385.813644067793</x:v>
      </x:c>
      <x:c r="AN209" s="9" t="n">
        <x:f>'浓度设置'!S19</x:f>
        <x:v>27722.03097701148</x:v>
      </x:c>
      <x:c r="AO209" s="9" t="n">
        <x:f>'浓度设置'!S22</x:f>
        <x:v>44345.55047619048</x:v>
      </x:c>
      <x:c r="AP209" s="9" t="n">
        <x:f>'浓度设置'!S26</x:f>
        <x:v>153318.30499999996</x:v>
      </x:c>
      <x:c r="AQ209" s="9" t="n">
        <x:f>'浓度设置'!S29</x:f>
        <x:v>312.7970588235294</x:v>
      </x:c>
      <x:c r="AR209" s="9" t="n">
        <x:f>'浓度设置'!S30</x:f>
        <x:v>104175.5097553192</x:v>
      </x:c>
      <x:c r="AS209" s="9" t="n">
        <x:f>'浓度设置'!S35</x:f>
        <x:v>405974.90656785714</x:v>
      </x:c>
    </x:row>
    <x:row r="210" ht="24" customHeight="1">
      <x:c r="A210" s="3" t="str">
        <x:f>'350配方'!A210</x:f>
        <x:v>T205</x:v>
      </x:c>
      <x:c r="B210" s="3" t="str">
        <x:f>'350配方'!B210</x:f>
        <x:v>拟合</x:v>
      </x:c>
      <x:c r="C210" s="3" t="n">
        <x:f>IF(B210="拟合",1,0)</x:f>
        <x:v>1</x:v>
      </x:c>
      <x:c r="D210" s="3" t="n">
        <x:f>'350配方'!AC210</x:f>
        <x:v>4</x:v>
      </x:c>
      <x:c r="E210" s="9" t="n">
        <x:f>SUMIFS('350配方'!$M210:$P210,'350配方'!$Y210:$AB210,7)</x:f>
        <x:v>0</x:v>
      </x:c>
      <x:c r="F210" s="9" t="n">
        <x:f>SUMIFS('350配方'!$M210:$P210,'350配方'!$Y210:$AB210,11)</x:f>
        <x:v>0</x:v>
      </x:c>
      <x:c r="G210" s="9" t="n">
        <x:f>SUMIFS('350配方'!$M210:$P210,'350配方'!$Y210:$AB210,18)</x:f>
        <x:v>0</x:v>
      </x:c>
      <x:c r="H210" s="9" t="n">
        <x:f>SUMIFS('350配方'!$M210:$P210,'350配方'!$Y210:$AB210,32)</x:f>
        <x:v>0</x:v>
      </x:c>
      <x:c r="I210" s="9" t="n">
        <x:f>SUMIFS('350配方'!$M210:$P210,'350配方'!$Y210:$AB210,40)</x:f>
        <x:v>0</x:v>
      </x:c>
      <x:c r="J210" s="9" t="n">
        <x:f>SUMIFS('350配方'!$M210:$P210,'350配方'!$Y210:$AB210,52)</x:f>
        <x:v>0</x:v>
      </x:c>
      <x:c r="K210" s="9" t="n">
        <x:f>SUMIFS('350配方'!$M210:$P210,'350配方'!$Y210:$AB210,53)</x:f>
        <x:v>0</x:v>
      </x:c>
      <x:c r="L210" s="9" t="n">
        <x:f>SUMIFS('350配方'!$M210:$P210,'350配方'!$Y210:$AB210,56)</x:f>
        <x:v>0</x:v>
      </x:c>
      <x:c r="M210" s="9" t="n">
        <x:f>SUMIFS('350配方'!$M210:$P210,'350配方'!$Y210:$AB210,58)</x:f>
        <x:v>0</x:v>
      </x:c>
      <x:c r="N210" s="9" t="n">
        <x:f>SUMIFS('350配方'!$M210:$P210,'350配方'!$Y210:$AB210,61)</x:f>
        <x:v>0</x:v>
      </x:c>
      <x:c r="O210" s="9" t="n">
        <x:f>SUMIFS('350配方'!$M210:$P210,'350配方'!$Y210:$AB210,69)</x:f>
        <x:v>0</x:v>
      </x:c>
      <x:c r="P210" s="9" t="n">
        <x:f>SUMIFS('350配方'!$M210:$P210,'350配方'!$Y210:$AB210,75)</x:f>
        <x:v>0</x:v>
      </x:c>
      <x:c r="Q210" s="9" t="n">
        <x:f>SUMIFS('350配方'!$M210:$P210,'350配方'!$Y210:$AB210,79)</x:f>
        <x:v>56115</x:v>
      </x:c>
      <x:c r="R210" s="9" t="n">
        <x:f>SUMIFS('350配方'!$M210:$P210,'350配方'!$Y210:$AB210,90)</x:f>
        <x:v>0</x:v>
      </x:c>
      <x:c r="S210" s="9" t="n">
        <x:f>SUMIFS('350配方'!$M210:$P210,'350配方'!$Y210:$AB210,105)</x:f>
        <x:v>15730</x:v>
      </x:c>
      <x:c r="T210" s="9" t="n">
        <x:f>SUMIFS('350配方'!$M210:$P210,'350配方'!$Y210:$AB210,111)</x:f>
        <x:v>0</x:v>
      </x:c>
      <x:c r="U210" s="9" t="n">
        <x:f>SUMIFS('350配方'!$M210:$P210,'350配方'!$Y210:$AB210,114)</x:f>
        <x:v>0</x:v>
      </x:c>
      <x:c r="V210" s="9" t="n">
        <x:f>SUMIFS('350配方'!$M210:$P210,'350配方'!$Y210:$AB210,115)</x:f>
        <x:v>0</x:v>
      </x:c>
      <x:c r="W210" s="9" t="n">
        <x:f>SUMIFS('350配方'!$M210:$P210,'350配方'!$Y210:$AB210,117)</x:f>
        <x:v>0</x:v>
      </x:c>
      <x:c r="X210" s="9" t="n">
        <x:f>SUMIFS('350配方'!$M210:$P210,'350配方'!$Y210:$AB210,126)</x:f>
        <x:v>0</x:v>
      </x:c>
      <x:c r="Y210" s="9" t="n">
        <x:f>SUMIFS('350配方'!$M210:$P210,'350配方'!$Y210:$AB210,136)</x:f>
        <x:v>228.58258901324922</x:v>
      </x:c>
      <x:c r="Z210" s="9" t="n">
        <x:f>SUMIFS('350配方'!$M210:$P210,'350配方'!$Y210:$AB210,141)</x:f>
        <x:v>0</x:v>
      </x:c>
      <x:c r="AA210" s="9" t="n">
        <x:f>SUMIFS('350配方'!$M210:$P210,'350配方'!$Y210:$AB210,152)</x:f>
        <x:v>0</x:v>
      </x:c>
      <x:c r="AB210" s="9" t="n">
        <x:f>SUMIFS('350配方'!$M210:$P210,'350配方'!$Y210:$AB210,165)</x:f>
        <x:v>0</x:v>
      </x:c>
      <x:c r="AC210" s="9" t="n">
        <x:f>SUMIFS('350配方'!$M210:$P210,'350配方'!$Y210:$AB210,186)</x:f>
        <x:v>11648000</x:v>
      </x:c>
      <x:c r="AD210" s="9" t="n">
        <x:f>SUMIFS('350配方'!$M210:$P210,'350配方'!$Y210:$AB210,207)</x:f>
        <x:v>0</x:v>
      </x:c>
      <x:c r="AE210" s="9" t="n">
        <x:f>SUMIFS('350配方'!$M210:$P210,'350配方'!$Y210:$AB210,209)</x:f>
        <x:v>0</x:v>
      </x:c>
      <x:c r="AF210" s="9" t="n">
        <x:f>SUMIFS('350配方'!$M210:$P210,'350配方'!$Y210:$AB210,227)</x:f>
        <x:v>0</x:v>
      </x:c>
      <x:c r="AG210" s="9" t="n">
        <x:f>SUMIFS('350配方'!$M210:$P210,'350配方'!$Y210:$AB210,232)</x:f>
        <x:v>0</x:v>
      </x:c>
      <x:c r="AH210" s="9" t="n">
        <x:f>SUMIFS('350配方'!$M210:$P210,'350配方'!$Y210:$AB210,255)</x:f>
        <x:v>0</x:v>
      </x:c>
      <x:c r="AI210" s="9" t="n">
        <x:f>'浓度设置'!S6</x:f>
        <x:v>219125.9626344086</x:v>
      </x:c>
      <x:c r="AJ210" s="9" t="n">
        <x:f>'浓度设置'!S8</x:f>
        <x:v>92796.92267241378</x:v>
      </x:c>
      <x:c r="AK210" s="9" t="n">
        <x:f>'浓度设置'!S10</x:f>
        <x:v>30556.797802197798</x:v>
      </x:c>
      <x:c r="AL210" s="9" t="n">
        <x:f>'浓度设置'!S12</x:f>
        <x:v>1735.828970588235</x:v>
      </x:c>
      <x:c r="AM210" s="9" t="n">
        <x:f>'浓度设置'!S15</x:f>
        <x:v>7385.813644067793</x:v>
      </x:c>
      <x:c r="AN210" s="9" t="n">
        <x:f>'浓度设置'!S19</x:f>
        <x:v>27722.03097701148</x:v>
      </x:c>
      <x:c r="AO210" s="9" t="n">
        <x:f>'浓度设置'!S22</x:f>
        <x:v>44345.55047619048</x:v>
      </x:c>
      <x:c r="AP210" s="9" t="n">
        <x:f>'浓度设置'!S26</x:f>
        <x:v>153318.30499999996</x:v>
      </x:c>
      <x:c r="AQ210" s="9" t="n">
        <x:f>'浓度设置'!S29</x:f>
        <x:v>312.7970588235294</x:v>
      </x:c>
      <x:c r="AR210" s="9" t="n">
        <x:f>'浓度设置'!S30</x:f>
        <x:v>104175.5097553192</x:v>
      </x:c>
      <x:c r="AS210" s="9" t="n">
        <x:f>'浓度设置'!S35</x:f>
        <x:v>405974.90656785714</x:v>
      </x:c>
    </x:row>
    <x:row r="211" ht="24" customHeight="1">
      <x:c r="A211" s="3" t="str">
        <x:f>'350配方'!A211</x:f>
        <x:v>T206</x:v>
      </x:c>
      <x:c r="B211" s="3" t="str">
        <x:f>'350配方'!B211</x:f>
        <x:v>拟合</x:v>
      </x:c>
      <x:c r="C211" s="3" t="n">
        <x:f>IF(B211="拟合",1,0)</x:f>
        <x:v>1</x:v>
      </x:c>
      <x:c r="D211" s="3" t="n">
        <x:f>'350配方'!AC211</x:f>
        <x:v>4</x:v>
      </x:c>
      <x:c r="E211" s="9" t="n">
        <x:f>SUMIFS('350配方'!$M211:$P211,'350配方'!$Y211:$AB211,7)</x:f>
        <x:v>0</x:v>
      </x:c>
      <x:c r="F211" s="9" t="n">
        <x:f>SUMIFS('350配方'!$M211:$P211,'350配方'!$Y211:$AB211,11)</x:f>
        <x:v>0</x:v>
      </x:c>
      <x:c r="G211" s="9" t="n">
        <x:f>SUMIFS('350配方'!$M211:$P211,'350配方'!$Y211:$AB211,18)</x:f>
        <x:v>0</x:v>
      </x:c>
      <x:c r="H211" s="9" t="n">
        <x:f>SUMIFS('350配方'!$M211:$P211,'350配方'!$Y211:$AB211,32)</x:f>
        <x:v>0</x:v>
      </x:c>
      <x:c r="I211" s="9" t="n">
        <x:f>SUMIFS('350配方'!$M211:$P211,'350配方'!$Y211:$AB211,40)</x:f>
        <x:v>0</x:v>
      </x:c>
      <x:c r="J211" s="9" t="n">
        <x:f>SUMIFS('350配方'!$M211:$P211,'350配方'!$Y211:$AB211,52)</x:f>
        <x:v>0</x:v>
      </x:c>
      <x:c r="K211" s="9" t="n">
        <x:f>SUMIFS('350配方'!$M211:$P211,'350配方'!$Y211:$AB211,53)</x:f>
        <x:v>0</x:v>
      </x:c>
      <x:c r="L211" s="9" t="n">
        <x:f>SUMIFS('350配方'!$M211:$P211,'350配方'!$Y211:$AB211,56)</x:f>
        <x:v>0</x:v>
      </x:c>
      <x:c r="M211" s="9" t="n">
        <x:f>SUMIFS('350配方'!$M211:$P211,'350配方'!$Y211:$AB211,58)</x:f>
        <x:v>0</x:v>
      </x:c>
      <x:c r="N211" s="9" t="n">
        <x:f>SUMIFS('350配方'!$M211:$P211,'350配方'!$Y211:$AB211,61)</x:f>
        <x:v>0</x:v>
      </x:c>
      <x:c r="O211" s="9" t="n">
        <x:f>SUMIFS('350配方'!$M211:$P211,'350配方'!$Y211:$AB211,69)</x:f>
        <x:v>0</x:v>
      </x:c>
      <x:c r="P211" s="9" t="n">
        <x:f>SUMIFS('350配方'!$M211:$P211,'350配方'!$Y211:$AB211,75)</x:f>
        <x:v>331.2476415010377</x:v>
      </x:c>
      <x:c r="Q211" s="9" t="n">
        <x:f>SUMIFS('350配方'!$M211:$P211,'350配方'!$Y211:$AB211,79)</x:f>
        <x:v>56115</x:v>
      </x:c>
      <x:c r="R211" s="9" t="n">
        <x:f>SUMIFS('350配方'!$M211:$P211,'350配方'!$Y211:$AB211,90)</x:f>
        <x:v>0</x:v>
      </x:c>
      <x:c r="S211" s="9" t="n">
        <x:f>SUMIFS('350配方'!$M211:$P211,'350配方'!$Y211:$AB211,105)</x:f>
        <x:v>0</x:v>
      </x:c>
      <x:c r="T211" s="9" t="n">
        <x:f>SUMIFS('350配方'!$M211:$P211,'350配方'!$Y211:$AB211,111)</x:f>
        <x:v>0</x:v>
      </x:c>
      <x:c r="U211" s="9" t="n">
        <x:f>SUMIFS('350配方'!$M211:$P211,'350配方'!$Y211:$AB211,114)</x:f>
        <x:v>0</x:v>
      </x:c>
      <x:c r="V211" s="9" t="n">
        <x:f>SUMIFS('350配方'!$M211:$P211,'350配方'!$Y211:$AB211,115)</x:f>
        <x:v>0</x:v>
      </x:c>
      <x:c r="W211" s="9" t="n">
        <x:f>SUMIFS('350配方'!$M211:$P211,'350配方'!$Y211:$AB211,117)</x:f>
        <x:v>40201.1</x:v>
      </x:c>
      <x:c r="X211" s="9" t="n">
        <x:f>SUMIFS('350配方'!$M211:$P211,'350配方'!$Y211:$AB211,126)</x:f>
        <x:v>0</x:v>
      </x:c>
      <x:c r="Y211" s="9" t="n">
        <x:f>SUMIFS('350配方'!$M211:$P211,'350配方'!$Y211:$AB211,136)</x:f>
        <x:v>0</x:v>
      </x:c>
      <x:c r="Z211" s="9" t="n">
        <x:f>SUMIFS('350配方'!$M211:$P211,'350配方'!$Y211:$AB211,141)</x:f>
        <x:v>0</x:v>
      </x:c>
      <x:c r="AA211" s="9" t="n">
        <x:f>SUMIFS('350配方'!$M211:$P211,'350配方'!$Y211:$AB211,152)</x:f>
        <x:v>227200</x:v>
      </x:c>
      <x:c r="AB211" s="9" t="n">
        <x:f>SUMIFS('350配方'!$M211:$P211,'350配方'!$Y211:$AB211,165)</x:f>
        <x:v>0</x:v>
      </x:c>
      <x:c r="AC211" s="9" t="n">
        <x:f>SUMIFS('350配方'!$M211:$P211,'350配方'!$Y211:$AB211,186)</x:f>
        <x:v>0</x:v>
      </x:c>
      <x:c r="AD211" s="9" t="n">
        <x:f>SUMIFS('350配方'!$M211:$P211,'350配方'!$Y211:$AB211,207)</x:f>
        <x:v>0</x:v>
      </x:c>
      <x:c r="AE211" s="9" t="n">
        <x:f>SUMIFS('350配方'!$M211:$P211,'350配方'!$Y211:$AB211,209)</x:f>
        <x:v>0</x:v>
      </x:c>
      <x:c r="AF211" s="9" t="n">
        <x:f>SUMIFS('350配方'!$M211:$P211,'350配方'!$Y211:$AB211,227)</x:f>
        <x:v>0</x:v>
      </x:c>
      <x:c r="AG211" s="9" t="n">
        <x:f>SUMIFS('350配方'!$M211:$P211,'350配方'!$Y211:$AB211,232)</x:f>
        <x:v>0</x:v>
      </x:c>
      <x:c r="AH211" s="9" t="n">
        <x:f>SUMIFS('350配方'!$M211:$P211,'350配方'!$Y211:$AB211,255)</x:f>
        <x:v>0</x:v>
      </x:c>
      <x:c r="AI211" s="9" t="n">
        <x:f>'浓度设置'!S6</x:f>
        <x:v>219125.9626344086</x:v>
      </x:c>
      <x:c r="AJ211" s="9" t="n">
        <x:f>'浓度设置'!S8</x:f>
        <x:v>92796.92267241378</x:v>
      </x:c>
      <x:c r="AK211" s="9" t="n">
        <x:f>'浓度设置'!S10</x:f>
        <x:v>30556.797802197798</x:v>
      </x:c>
      <x:c r="AL211" s="9" t="n">
        <x:f>'浓度设置'!S12</x:f>
        <x:v>1735.828970588235</x:v>
      </x:c>
      <x:c r="AM211" s="9" t="n">
        <x:f>'浓度设置'!S15</x:f>
        <x:v>7385.813644067793</x:v>
      </x:c>
      <x:c r="AN211" s="9" t="n">
        <x:f>'浓度设置'!S19</x:f>
        <x:v>27722.03097701148</x:v>
      </x:c>
      <x:c r="AO211" s="9" t="n">
        <x:f>'浓度设置'!S22</x:f>
        <x:v>44345.55047619048</x:v>
      </x:c>
      <x:c r="AP211" s="9" t="n">
        <x:f>'浓度设置'!S26</x:f>
        <x:v>153318.30499999996</x:v>
      </x:c>
      <x:c r="AQ211" s="9" t="n">
        <x:f>'浓度设置'!S29</x:f>
        <x:v>312.7970588235294</x:v>
      </x:c>
      <x:c r="AR211" s="9" t="n">
        <x:f>'浓度设置'!S30</x:f>
        <x:v>104175.5097553192</x:v>
      </x:c>
      <x:c r="AS211" s="9" t="n">
        <x:f>'浓度设置'!S35</x:f>
        <x:v>405974.90656785714</x:v>
      </x:c>
    </x:row>
    <x:row r="212" ht="24" customHeight="1">
      <x:c r="A212" s="3" t="str">
        <x:f>'350配方'!A212</x:f>
        <x:v>T207</x:v>
      </x:c>
      <x:c r="B212" s="3" t="str">
        <x:f>'350配方'!B212</x:f>
        <x:v>拟合</x:v>
      </x:c>
      <x:c r="C212" s="3" t="n">
        <x:f>IF(B212="拟合",1,0)</x:f>
        <x:v>1</x:v>
      </x:c>
      <x:c r="D212" s="3" t="n">
        <x:f>'350配方'!AC212</x:f>
        <x:v>4</x:v>
      </x:c>
      <x:c r="E212" s="9" t="n">
        <x:f>SUMIFS('350配方'!$M212:$P212,'350配方'!$Y212:$AB212,7)</x:f>
        <x:v>729.4776350238574</x:v>
      </x:c>
      <x:c r="F212" s="9" t="n">
        <x:f>SUMIFS('350配方'!$M212:$P212,'350配方'!$Y212:$AB212,11)</x:f>
        <x:v>0</x:v>
      </x:c>
      <x:c r="G212" s="9" t="n">
        <x:f>SUMIFS('350配方'!$M212:$P212,'350配方'!$Y212:$AB212,18)</x:f>
        <x:v>0</x:v>
      </x:c>
      <x:c r="H212" s="9" t="n">
        <x:f>SUMIFS('350配方'!$M212:$P212,'350配方'!$Y212:$AB212,32)</x:f>
        <x:v>37489</x:v>
      </x:c>
      <x:c r="I212" s="9" t="n">
        <x:f>SUMIFS('350配方'!$M212:$P212,'350配方'!$Y212:$AB212,40)</x:f>
        <x:v>0</x:v>
      </x:c>
      <x:c r="J212" s="9" t="n">
        <x:f>SUMIFS('350配方'!$M212:$P212,'350配方'!$Y212:$AB212,52)</x:f>
        <x:v>0</x:v>
      </x:c>
      <x:c r="K212" s="9" t="n">
        <x:f>SUMIFS('350配方'!$M212:$P212,'350配方'!$Y212:$AB212,53)</x:f>
        <x:v>0</x:v>
      </x:c>
      <x:c r="L212" s="9" t="n">
        <x:f>SUMIFS('350配方'!$M212:$P212,'350配方'!$Y212:$AB212,56)</x:f>
        <x:v>0</x:v>
      </x:c>
      <x:c r="M212" s="9" t="n">
        <x:f>SUMIFS('350配方'!$M212:$P212,'350配方'!$Y212:$AB212,58)</x:f>
        <x:v>0</x:v>
      </x:c>
      <x:c r="N212" s="9" t="n">
        <x:f>SUMIFS('350配方'!$M212:$P212,'350配方'!$Y212:$AB212,61)</x:f>
        <x:v>0</x:v>
      </x:c>
      <x:c r="O212" s="9" t="n">
        <x:f>SUMIFS('350配方'!$M212:$P212,'350配方'!$Y212:$AB212,69)</x:f>
        <x:v>99.89207175747232</x:v>
      </x:c>
      <x:c r="P212" s="9" t="n">
        <x:f>SUMIFS('350配方'!$M212:$P212,'350配方'!$Y212:$AB212,75)</x:f>
        <x:v>1.75</x:v>
      </x:c>
      <x:c r="Q212" s="9" t="n">
        <x:f>SUMIFS('350配方'!$M212:$P212,'350配方'!$Y212:$AB212,79)</x:f>
        <x:v>0</x:v>
      </x:c>
      <x:c r="R212" s="9" t="n">
        <x:f>SUMIFS('350配方'!$M212:$P212,'350配方'!$Y212:$AB212,90)</x:f>
        <x:v>0</x:v>
      </x:c>
      <x:c r="S212" s="9" t="n">
        <x:f>SUMIFS('350配方'!$M212:$P212,'350配方'!$Y212:$AB212,105)</x:f>
        <x:v>0</x:v>
      </x:c>
      <x:c r="T212" s="9" t="n">
        <x:f>SUMIFS('350配方'!$M212:$P212,'350配方'!$Y212:$AB212,111)</x:f>
        <x:v>0</x:v>
      </x:c>
      <x:c r="U212" s="9" t="n">
        <x:f>SUMIFS('350配方'!$M212:$P212,'350配方'!$Y212:$AB212,114)</x:f>
        <x:v>0</x:v>
      </x:c>
      <x:c r="V212" s="9" t="n">
        <x:f>SUMIFS('350配方'!$M212:$P212,'350配方'!$Y212:$AB212,115)</x:f>
        <x:v>0</x:v>
      </x:c>
      <x:c r="W212" s="9" t="n">
        <x:f>SUMIFS('350配方'!$M212:$P212,'350配方'!$Y212:$AB212,117)</x:f>
        <x:v>0</x:v>
      </x:c>
      <x:c r="X212" s="9" t="n">
        <x:f>SUMIFS('350配方'!$M212:$P212,'350配方'!$Y212:$AB212,126)</x:f>
        <x:v>0</x:v>
      </x:c>
      <x:c r="Y212" s="9" t="n">
        <x:f>SUMIFS('350配方'!$M212:$P212,'350配方'!$Y212:$AB212,136)</x:f>
        <x:v>0</x:v>
      </x:c>
      <x:c r="Z212" s="9" t="n">
        <x:f>SUMIFS('350配方'!$M212:$P212,'350配方'!$Y212:$AB212,141)</x:f>
        <x:v>0</x:v>
      </x:c>
      <x:c r="AA212" s="9" t="n">
        <x:f>SUMIFS('350配方'!$M212:$P212,'350配方'!$Y212:$AB212,152)</x:f>
        <x:v>0</x:v>
      </x:c>
      <x:c r="AB212" s="9" t="n">
        <x:f>SUMIFS('350配方'!$M212:$P212,'350配方'!$Y212:$AB212,165)</x:f>
        <x:v>0</x:v>
      </x:c>
      <x:c r="AC212" s="9" t="n">
        <x:f>SUMIFS('350配方'!$M212:$P212,'350配方'!$Y212:$AB212,186)</x:f>
        <x:v>0</x:v>
      </x:c>
      <x:c r="AD212" s="9" t="n">
        <x:f>SUMIFS('350配方'!$M212:$P212,'350配方'!$Y212:$AB212,207)</x:f>
        <x:v>0</x:v>
      </x:c>
      <x:c r="AE212" s="9" t="n">
        <x:f>SUMIFS('350配方'!$M212:$P212,'350配方'!$Y212:$AB212,209)</x:f>
        <x:v>0</x:v>
      </x:c>
      <x:c r="AF212" s="9" t="n">
        <x:f>SUMIFS('350配方'!$M212:$P212,'350配方'!$Y212:$AB212,227)</x:f>
        <x:v>0</x:v>
      </x:c>
      <x:c r="AG212" s="9" t="n">
        <x:f>SUMIFS('350配方'!$M212:$P212,'350配方'!$Y212:$AB212,232)</x:f>
        <x:v>0</x:v>
      </x:c>
      <x:c r="AH212" s="9" t="n">
        <x:f>SUMIFS('350配方'!$M212:$P212,'350配方'!$Y212:$AB212,255)</x:f>
        <x:v>0</x:v>
      </x:c>
      <x:c r="AI212" s="9" t="n">
        <x:f>'浓度设置'!S6</x:f>
        <x:v>219125.9626344086</x:v>
      </x:c>
      <x:c r="AJ212" s="9" t="n">
        <x:f>'浓度设置'!S8</x:f>
        <x:v>92796.92267241378</x:v>
      </x:c>
      <x:c r="AK212" s="9" t="n">
        <x:f>'浓度设置'!S10</x:f>
        <x:v>30556.797802197798</x:v>
      </x:c>
      <x:c r="AL212" s="9" t="n">
        <x:f>'浓度设置'!S12</x:f>
        <x:v>1735.828970588235</x:v>
      </x:c>
      <x:c r="AM212" s="9" t="n">
        <x:f>'浓度设置'!S15</x:f>
        <x:v>7385.813644067793</x:v>
      </x:c>
      <x:c r="AN212" s="9" t="n">
        <x:f>'浓度设置'!S19</x:f>
        <x:v>27722.03097701148</x:v>
      </x:c>
      <x:c r="AO212" s="9" t="n">
        <x:f>'浓度设置'!S22</x:f>
        <x:v>44345.55047619048</x:v>
      </x:c>
      <x:c r="AP212" s="9" t="n">
        <x:f>'浓度设置'!S26</x:f>
        <x:v>153318.30499999996</x:v>
      </x:c>
      <x:c r="AQ212" s="9" t="n">
        <x:f>'浓度设置'!S29</x:f>
        <x:v>312.7970588235294</x:v>
      </x:c>
      <x:c r="AR212" s="9" t="n">
        <x:f>'浓度设置'!S30</x:f>
        <x:v>104175.5097553192</x:v>
      </x:c>
      <x:c r="AS212" s="9" t="n">
        <x:f>'浓度设置'!S35</x:f>
        <x:v>405974.90656785714</x:v>
      </x:c>
    </x:row>
    <x:row r="213" ht="24" customHeight="1">
      <x:c r="A213" s="3" t="str">
        <x:f>'350配方'!A213</x:f>
        <x:v>T208</x:v>
      </x:c>
      <x:c r="B213" s="3" t="str">
        <x:f>'350配方'!B213</x:f>
        <x:v>拟合</x:v>
      </x:c>
      <x:c r="C213" s="3" t="n">
        <x:f>IF(B213="拟合",1,0)</x:f>
        <x:v>1</x:v>
      </x:c>
      <x:c r="D213" s="3" t="n">
        <x:f>'350配方'!AC213</x:f>
        <x:v>4</x:v>
      </x:c>
      <x:c r="E213" s="9" t="n">
        <x:f>SUMIFS('350配方'!$M213:$P213,'350配方'!$Y213:$AB213,7)</x:f>
        <x:v>0</x:v>
      </x:c>
      <x:c r="F213" s="9" t="n">
        <x:f>SUMIFS('350配方'!$M213:$P213,'350配方'!$Y213:$AB213,11)</x:f>
        <x:v>0</x:v>
      </x:c>
      <x:c r="G213" s="9" t="n">
        <x:f>SUMIFS('350配方'!$M213:$P213,'350配方'!$Y213:$AB213,18)</x:f>
        <x:v>0</x:v>
      </x:c>
      <x:c r="H213" s="9" t="n">
        <x:f>SUMIFS('350配方'!$M213:$P213,'350配方'!$Y213:$AB213,32)</x:f>
        <x:v>0</x:v>
      </x:c>
      <x:c r="I213" s="9" t="n">
        <x:f>SUMIFS('350配方'!$M213:$P213,'350配方'!$Y213:$AB213,40)</x:f>
        <x:v>21400</x:v>
      </x:c>
      <x:c r="J213" s="9" t="n">
        <x:f>SUMIFS('350配方'!$M213:$P213,'350配方'!$Y213:$AB213,52)</x:f>
        <x:v>0</x:v>
      </x:c>
      <x:c r="K213" s="9" t="n">
        <x:f>SUMIFS('350配方'!$M213:$P213,'350配方'!$Y213:$AB213,53)</x:f>
        <x:v>9.61</x:v>
      </x:c>
      <x:c r="L213" s="9" t="n">
        <x:f>SUMIFS('350配方'!$M213:$P213,'350配方'!$Y213:$AB213,56)</x:f>
        <x:v>0</x:v>
      </x:c>
      <x:c r="M213" s="9" t="n">
        <x:f>SUMIFS('350配方'!$M213:$P213,'350配方'!$Y213:$AB213,58)</x:f>
        <x:v>0</x:v>
      </x:c>
      <x:c r="N213" s="9" t="n">
        <x:f>SUMIFS('350配方'!$M213:$P213,'350配方'!$Y213:$AB213,61)</x:f>
        <x:v>0</x:v>
      </x:c>
      <x:c r="O213" s="9" t="n">
        <x:f>SUMIFS('350配方'!$M213:$P213,'350配方'!$Y213:$AB213,69)</x:f>
        <x:v>0</x:v>
      </x:c>
      <x:c r="P213" s="9" t="n">
        <x:f>SUMIFS('350配方'!$M213:$P213,'350配方'!$Y213:$AB213,75)</x:f>
        <x:v>0</x:v>
      </x:c>
      <x:c r="Q213" s="9" t="n">
        <x:f>SUMIFS('350配方'!$M213:$P213,'350配方'!$Y213:$AB213,79)</x:f>
        <x:v>0</x:v>
      </x:c>
      <x:c r="R213" s="9" t="n">
        <x:f>SUMIFS('350配方'!$M213:$P213,'350配方'!$Y213:$AB213,90)</x:f>
        <x:v>0</x:v>
      </x:c>
      <x:c r="S213" s="9" t="n">
        <x:f>SUMIFS('350配方'!$M213:$P213,'350配方'!$Y213:$AB213,105)</x:f>
        <x:v>0</x:v>
      </x:c>
      <x:c r="T213" s="9" t="n">
        <x:f>SUMIFS('350配方'!$M213:$P213,'350配方'!$Y213:$AB213,111)</x:f>
        <x:v>0</x:v>
      </x:c>
      <x:c r="U213" s="9" t="n">
        <x:f>SUMIFS('350配方'!$M213:$P213,'350配方'!$Y213:$AB213,114)</x:f>
        <x:v>0</x:v>
      </x:c>
      <x:c r="V213" s="9" t="n">
        <x:f>SUMIFS('350配方'!$M213:$P213,'350配方'!$Y213:$AB213,115)</x:f>
        <x:v>0</x:v>
      </x:c>
      <x:c r="W213" s="9" t="n">
        <x:f>SUMIFS('350配方'!$M213:$P213,'350配方'!$Y213:$AB213,117)</x:f>
        <x:v>0</x:v>
      </x:c>
      <x:c r="X213" s="9" t="n">
        <x:f>SUMIFS('350配方'!$M213:$P213,'350配方'!$Y213:$AB213,126)</x:f>
        <x:v>0</x:v>
      </x:c>
      <x:c r="Y213" s="9" t="n">
        <x:f>SUMIFS('350配方'!$M213:$P213,'350配方'!$Y213:$AB213,136)</x:f>
        <x:v>44000</x:v>
      </x:c>
      <x:c r="Z213" s="9" t="n">
        <x:f>SUMIFS('350配方'!$M213:$P213,'350配方'!$Y213:$AB213,141)</x:f>
        <x:v>1039840</x:v>
      </x:c>
      <x:c r="AA213" s="9" t="n">
        <x:f>SUMIFS('350配方'!$M213:$P213,'350配方'!$Y213:$AB213,152)</x:f>
        <x:v>0</x:v>
      </x:c>
      <x:c r="AB213" s="9" t="n">
        <x:f>SUMIFS('350配方'!$M213:$P213,'350配方'!$Y213:$AB213,165)</x:f>
        <x:v>0</x:v>
      </x:c>
      <x:c r="AC213" s="9" t="n">
        <x:f>SUMIFS('350配方'!$M213:$P213,'350配方'!$Y213:$AB213,186)</x:f>
        <x:v>0</x:v>
      </x:c>
      <x:c r="AD213" s="9" t="n">
        <x:f>SUMIFS('350配方'!$M213:$P213,'350配方'!$Y213:$AB213,207)</x:f>
        <x:v>0</x:v>
      </x:c>
      <x:c r="AE213" s="9" t="n">
        <x:f>SUMIFS('350配方'!$M213:$P213,'350配方'!$Y213:$AB213,209)</x:f>
        <x:v>0</x:v>
      </x:c>
      <x:c r="AF213" s="9" t="n">
        <x:f>SUMIFS('350配方'!$M213:$P213,'350配方'!$Y213:$AB213,227)</x:f>
        <x:v>0</x:v>
      </x:c>
      <x:c r="AG213" s="9" t="n">
        <x:f>SUMIFS('350配方'!$M213:$P213,'350配方'!$Y213:$AB213,232)</x:f>
        <x:v>0</x:v>
      </x:c>
      <x:c r="AH213" s="9" t="n">
        <x:f>SUMIFS('350配方'!$M213:$P213,'350配方'!$Y213:$AB213,255)</x:f>
        <x:v>0</x:v>
      </x:c>
      <x:c r="AI213" s="9" t="n">
        <x:f>'浓度设置'!S6</x:f>
        <x:v>219125.9626344086</x:v>
      </x:c>
      <x:c r="AJ213" s="9" t="n">
        <x:f>'浓度设置'!S8</x:f>
        <x:v>92796.92267241378</x:v>
      </x:c>
      <x:c r="AK213" s="9" t="n">
        <x:f>'浓度设置'!S10</x:f>
        <x:v>30556.797802197798</x:v>
      </x:c>
      <x:c r="AL213" s="9" t="n">
        <x:f>'浓度设置'!S12</x:f>
        <x:v>1735.828970588235</x:v>
      </x:c>
      <x:c r="AM213" s="9" t="n">
        <x:f>'浓度设置'!S15</x:f>
        <x:v>7385.813644067793</x:v>
      </x:c>
      <x:c r="AN213" s="9" t="n">
        <x:f>'浓度设置'!S19</x:f>
        <x:v>27722.03097701148</x:v>
      </x:c>
      <x:c r="AO213" s="9" t="n">
        <x:f>'浓度设置'!S22</x:f>
        <x:v>44345.55047619048</x:v>
      </x:c>
      <x:c r="AP213" s="9" t="n">
        <x:f>'浓度设置'!S26</x:f>
        <x:v>153318.30499999996</x:v>
      </x:c>
      <x:c r="AQ213" s="9" t="n">
        <x:f>'浓度设置'!S29</x:f>
        <x:v>312.7970588235294</x:v>
      </x:c>
      <x:c r="AR213" s="9" t="n">
        <x:f>'浓度设置'!S30</x:f>
        <x:v>104175.5097553192</x:v>
      </x:c>
      <x:c r="AS213" s="9" t="n">
        <x:f>'浓度设置'!S35</x:f>
        <x:v>405974.90656785714</x:v>
      </x:c>
    </x:row>
    <x:row r="214" ht="24" customHeight="1">
      <x:c r="A214" s="3" t="str">
        <x:f>'350配方'!A214</x:f>
        <x:v>T209</x:v>
      </x:c>
      <x:c r="B214" s="3" t="str">
        <x:f>'350配方'!B214</x:f>
        <x:v>拟合</x:v>
      </x:c>
      <x:c r="C214" s="3" t="n">
        <x:f>IF(B214="拟合",1,0)</x:f>
        <x:v>1</x:v>
      </x:c>
      <x:c r="D214" s="3" t="n">
        <x:f>'350配方'!AC214</x:f>
        <x:v>4</x:v>
      </x:c>
      <x:c r="E214" s="9" t="n">
        <x:f>SUMIFS('350配方'!$M214:$P214,'350配方'!$Y214:$AB214,7)</x:f>
        <x:v>0</x:v>
      </x:c>
      <x:c r="F214" s="9" t="n">
        <x:f>SUMIFS('350配方'!$M214:$P214,'350配方'!$Y214:$AB214,11)</x:f>
        <x:v>0</x:v>
      </x:c>
      <x:c r="G214" s="9" t="n">
        <x:f>SUMIFS('350配方'!$M214:$P214,'350配方'!$Y214:$AB214,18)</x:f>
        <x:v>0</x:v>
      </x:c>
      <x:c r="H214" s="9" t="n">
        <x:f>SUMIFS('350配方'!$M214:$P214,'350配方'!$Y214:$AB214,32)</x:f>
        <x:v>0</x:v>
      </x:c>
      <x:c r="I214" s="9" t="n">
        <x:f>SUMIFS('350配方'!$M214:$P214,'350配方'!$Y214:$AB214,40)</x:f>
        <x:v>0</x:v>
      </x:c>
      <x:c r="J214" s="9" t="n">
        <x:f>SUMIFS('350配方'!$M214:$P214,'350配方'!$Y214:$AB214,52)</x:f>
        <x:v>0</x:v>
      </x:c>
      <x:c r="K214" s="9" t="n">
        <x:f>SUMIFS('350配方'!$M214:$P214,'350配方'!$Y214:$AB214,53)</x:f>
        <x:v>0</x:v>
      </x:c>
      <x:c r="L214" s="9" t="n">
        <x:f>SUMIFS('350配方'!$M214:$P214,'350配方'!$Y214:$AB214,56)</x:f>
        <x:v>0</x:v>
      </x:c>
      <x:c r="M214" s="9" t="n">
        <x:f>SUMIFS('350配方'!$M214:$P214,'350配方'!$Y214:$AB214,58)</x:f>
        <x:v>0</x:v>
      </x:c>
      <x:c r="N214" s="9" t="n">
        <x:f>SUMIFS('350配方'!$M214:$P214,'350配方'!$Y214:$AB214,61)</x:f>
        <x:v>0</x:v>
      </x:c>
      <x:c r="O214" s="9" t="n">
        <x:f>SUMIFS('350配方'!$M214:$P214,'350配方'!$Y214:$AB214,69)</x:f>
        <x:v>0</x:v>
      </x:c>
      <x:c r="P214" s="9" t="n">
        <x:f>SUMIFS('350配方'!$M214:$P214,'350配方'!$Y214:$AB214,75)</x:f>
        <x:v>0</x:v>
      </x:c>
      <x:c r="Q214" s="9" t="n">
        <x:f>SUMIFS('350配方'!$M214:$P214,'350配方'!$Y214:$AB214,79)</x:f>
        <x:v>0</x:v>
      </x:c>
      <x:c r="R214" s="9" t="n">
        <x:f>SUMIFS('350配方'!$M214:$P214,'350配方'!$Y214:$AB214,90)</x:f>
        <x:v>0</x:v>
      </x:c>
      <x:c r="S214" s="9" t="n">
        <x:f>SUMIFS('350配方'!$M214:$P214,'350配方'!$Y214:$AB214,105)</x:f>
        <x:v>15730</x:v>
      </x:c>
      <x:c r="T214" s="9" t="n">
        <x:f>SUMIFS('350配方'!$M214:$P214,'350配方'!$Y214:$AB214,111)</x:f>
        <x:v>0</x:v>
      </x:c>
      <x:c r="U214" s="9" t="n">
        <x:f>SUMIFS('350配方'!$M214:$P214,'350配方'!$Y214:$AB214,114)</x:f>
        <x:v>0</x:v>
      </x:c>
      <x:c r="V214" s="9" t="n">
        <x:f>SUMIFS('350配方'!$M214:$P214,'350配方'!$Y214:$AB214,115)</x:f>
        <x:v>0</x:v>
      </x:c>
      <x:c r="W214" s="9" t="n">
        <x:f>SUMIFS('350配方'!$M214:$P214,'350配方'!$Y214:$AB214,117)</x:f>
        <x:v>0</x:v>
      </x:c>
      <x:c r="X214" s="9" t="n">
        <x:f>SUMIFS('350配方'!$M214:$P214,'350配方'!$Y214:$AB214,126)</x:f>
        <x:v>0</x:v>
      </x:c>
      <x:c r="Y214" s="9" t="n">
        <x:f>SUMIFS('350配方'!$M214:$P214,'350配方'!$Y214:$AB214,136)</x:f>
        <x:v>0</x:v>
      </x:c>
      <x:c r="Z214" s="9" t="n">
        <x:f>SUMIFS('350配方'!$M214:$P214,'350配方'!$Y214:$AB214,141)</x:f>
        <x:v>1039840</x:v>
      </x:c>
      <x:c r="AA214" s="9" t="n">
        <x:f>SUMIFS('350配方'!$M214:$P214,'350配方'!$Y214:$AB214,152)</x:f>
        <x:v>4.84</x:v>
      </x:c>
      <x:c r="AB214" s="9" t="n">
        <x:f>SUMIFS('350配方'!$M214:$P214,'350配方'!$Y214:$AB214,165)</x:f>
        <x:v>823.735</x:v>
      </x:c>
      <x:c r="AC214" s="9" t="n">
        <x:f>SUMIFS('350配方'!$M214:$P214,'350配方'!$Y214:$AB214,186)</x:f>
        <x:v>0</x:v>
      </x:c>
      <x:c r="AD214" s="9" t="n">
        <x:f>SUMIFS('350配方'!$M214:$P214,'350配方'!$Y214:$AB214,207)</x:f>
        <x:v>0</x:v>
      </x:c>
      <x:c r="AE214" s="9" t="n">
        <x:f>SUMIFS('350配方'!$M214:$P214,'350配方'!$Y214:$AB214,209)</x:f>
        <x:v>0</x:v>
      </x:c>
      <x:c r="AF214" s="9" t="n">
        <x:f>SUMIFS('350配方'!$M214:$P214,'350配方'!$Y214:$AB214,227)</x:f>
        <x:v>0</x:v>
      </x:c>
      <x:c r="AG214" s="9" t="n">
        <x:f>SUMIFS('350配方'!$M214:$P214,'350配方'!$Y214:$AB214,232)</x:f>
        <x:v>0</x:v>
      </x:c>
      <x:c r="AH214" s="9" t="n">
        <x:f>SUMIFS('350配方'!$M214:$P214,'350配方'!$Y214:$AB214,255)</x:f>
        <x:v>0</x:v>
      </x:c>
      <x:c r="AI214" s="9" t="n">
        <x:f>'浓度设置'!S6</x:f>
        <x:v>219125.9626344086</x:v>
      </x:c>
      <x:c r="AJ214" s="9" t="n">
        <x:f>'浓度设置'!S8</x:f>
        <x:v>92796.92267241378</x:v>
      </x:c>
      <x:c r="AK214" s="9" t="n">
        <x:f>'浓度设置'!S10</x:f>
        <x:v>30556.797802197798</x:v>
      </x:c>
      <x:c r="AL214" s="9" t="n">
        <x:f>'浓度设置'!S12</x:f>
        <x:v>1735.828970588235</x:v>
      </x:c>
      <x:c r="AM214" s="9" t="n">
        <x:f>'浓度设置'!S15</x:f>
        <x:v>7385.813644067793</x:v>
      </x:c>
      <x:c r="AN214" s="9" t="n">
        <x:f>'浓度设置'!S19</x:f>
        <x:v>27722.03097701148</x:v>
      </x:c>
      <x:c r="AO214" s="9" t="n">
        <x:f>'浓度设置'!S22</x:f>
        <x:v>44345.55047619048</x:v>
      </x:c>
      <x:c r="AP214" s="9" t="n">
        <x:f>'浓度设置'!S26</x:f>
        <x:v>153318.30499999996</x:v>
      </x:c>
      <x:c r="AQ214" s="9" t="n">
        <x:f>'浓度设置'!S29</x:f>
        <x:v>312.7970588235294</x:v>
      </x:c>
      <x:c r="AR214" s="9" t="n">
        <x:f>'浓度设置'!S30</x:f>
        <x:v>104175.5097553192</x:v>
      </x:c>
      <x:c r="AS214" s="9" t="n">
        <x:f>'浓度设置'!S35</x:f>
        <x:v>405974.90656785714</x:v>
      </x:c>
    </x:row>
    <x:row r="215" ht="24" customHeight="1">
      <x:c r="A215" s="3" t="str">
        <x:f>'350配方'!A215</x:f>
        <x:v>T210</x:v>
      </x:c>
      <x:c r="B215" s="3" t="str">
        <x:f>'350配方'!B215</x:f>
        <x:v>拟合</x:v>
      </x:c>
      <x:c r="C215" s="3" t="n">
        <x:f>IF(B215="拟合",1,0)</x:f>
        <x:v>1</x:v>
      </x:c>
      <x:c r="D215" s="3" t="n">
        <x:f>'350配方'!AC215</x:f>
        <x:v>4</x:v>
      </x:c>
      <x:c r="E215" s="9" t="n">
        <x:f>SUMIFS('350配方'!$M215:$P215,'350配方'!$Y215:$AB215,7)</x:f>
        <x:v>0</x:v>
      </x:c>
      <x:c r="F215" s="9" t="n">
        <x:f>SUMIFS('350配方'!$M215:$P215,'350配方'!$Y215:$AB215,11)</x:f>
        <x:v>0</x:v>
      </x:c>
      <x:c r="G215" s="9" t="n">
        <x:f>SUMIFS('350配方'!$M215:$P215,'350配方'!$Y215:$AB215,18)</x:f>
        <x:v>0</x:v>
      </x:c>
      <x:c r="H215" s="9" t="n">
        <x:f>SUMIFS('350配方'!$M215:$P215,'350配方'!$Y215:$AB215,32)</x:f>
        <x:v>0</x:v>
      </x:c>
      <x:c r="I215" s="9" t="n">
        <x:f>SUMIFS('350配方'!$M215:$P215,'350配方'!$Y215:$AB215,40)</x:f>
        <x:v>0</x:v>
      </x:c>
      <x:c r="J215" s="9" t="n">
        <x:f>SUMIFS('350配方'!$M215:$P215,'350配方'!$Y215:$AB215,52)</x:f>
        <x:v>0</x:v>
      </x:c>
      <x:c r="K215" s="9" t="n">
        <x:f>SUMIFS('350配方'!$M215:$P215,'350配方'!$Y215:$AB215,53)</x:f>
        <x:v>0</x:v>
      </x:c>
      <x:c r="L215" s="9" t="n">
        <x:f>SUMIFS('350配方'!$M215:$P215,'350配方'!$Y215:$AB215,56)</x:f>
        <x:v>0</x:v>
      </x:c>
      <x:c r="M215" s="9" t="n">
        <x:f>SUMIFS('350配方'!$M215:$P215,'350配方'!$Y215:$AB215,58)</x:f>
        <x:v>0</x:v>
      </x:c>
      <x:c r="N215" s="9" t="n">
        <x:f>SUMIFS('350配方'!$M215:$P215,'350配方'!$Y215:$AB215,61)</x:f>
        <x:v>0</x:v>
      </x:c>
      <x:c r="O215" s="9" t="n">
        <x:f>SUMIFS('350配方'!$M215:$P215,'350配方'!$Y215:$AB215,69)</x:f>
        <x:v>0</x:v>
      </x:c>
      <x:c r="P215" s="9" t="n">
        <x:f>SUMIFS('350配方'!$M215:$P215,'350配方'!$Y215:$AB215,75)</x:f>
        <x:v>0</x:v>
      </x:c>
      <x:c r="Q215" s="9" t="n">
        <x:f>SUMIFS('350配方'!$M215:$P215,'350配方'!$Y215:$AB215,79)</x:f>
        <x:v>0</x:v>
      </x:c>
      <x:c r="R215" s="9" t="n">
        <x:f>SUMIFS('350配方'!$M215:$P215,'350配方'!$Y215:$AB215,90)</x:f>
        <x:v>0</x:v>
      </x:c>
      <x:c r="S215" s="9" t="n">
        <x:f>SUMIFS('350配方'!$M215:$P215,'350配方'!$Y215:$AB215,105)</x:f>
        <x:v>0</x:v>
      </x:c>
      <x:c r="T215" s="9" t="n">
        <x:f>SUMIFS('350配方'!$M215:$P215,'350配方'!$Y215:$AB215,111)</x:f>
        <x:v>833.64</x:v>
      </x:c>
      <x:c r="U215" s="9" t="n">
        <x:f>SUMIFS('350配方'!$M215:$P215,'350配方'!$Y215:$AB215,114)</x:f>
        <x:v>0</x:v>
      </x:c>
      <x:c r="V215" s="9" t="n">
        <x:f>SUMIFS('350配方'!$M215:$P215,'350配方'!$Y215:$AB215,115)</x:f>
        <x:v>6516</x:v>
      </x:c>
      <x:c r="W215" s="9" t="n">
        <x:f>SUMIFS('350配方'!$M215:$P215,'350配方'!$Y215:$AB215,117)</x:f>
        <x:v>0</x:v>
      </x:c>
      <x:c r="X215" s="9" t="n">
        <x:f>SUMIFS('350配方'!$M215:$P215,'350配方'!$Y215:$AB215,126)</x:f>
        <x:v>0</x:v>
      </x:c>
      <x:c r="Y215" s="9" t="n">
        <x:f>SUMIFS('350配方'!$M215:$P215,'350配方'!$Y215:$AB215,136)</x:f>
        <x:v>0</x:v>
      </x:c>
      <x:c r="Z215" s="9" t="n">
        <x:f>SUMIFS('350配方'!$M215:$P215,'350配方'!$Y215:$AB215,141)</x:f>
        <x:v>0</x:v>
      </x:c>
      <x:c r="AA215" s="9" t="n">
        <x:f>SUMIFS('350配方'!$M215:$P215,'350配方'!$Y215:$AB215,152)</x:f>
        <x:v>0</x:v>
      </x:c>
      <x:c r="AB215" s="9" t="n">
        <x:f>SUMIFS('350配方'!$M215:$P215,'350配方'!$Y215:$AB215,165)</x:f>
        <x:v>0</x:v>
      </x:c>
      <x:c r="AC215" s="9" t="n">
        <x:f>SUMIFS('350配方'!$M215:$P215,'350配方'!$Y215:$AB215,186)</x:f>
        <x:v>1.56</x:v>
      </x:c>
      <x:c r="AD215" s="9" t="n">
        <x:f>SUMIFS('350配方'!$M215:$P215,'350配方'!$Y215:$AB215,207)</x:f>
        <x:v>0</x:v>
      </x:c>
      <x:c r="AE215" s="9" t="n">
        <x:f>SUMIFS('350配方'!$M215:$P215,'350配方'!$Y215:$AB215,209)</x:f>
        <x:v>4201.44</x:v>
      </x:c>
      <x:c r="AF215" s="9" t="n">
        <x:f>SUMIFS('350配方'!$M215:$P215,'350配方'!$Y215:$AB215,227)</x:f>
        <x:v>0</x:v>
      </x:c>
      <x:c r="AG215" s="9" t="n">
        <x:f>SUMIFS('350配方'!$M215:$P215,'350配方'!$Y215:$AB215,232)</x:f>
        <x:v>0</x:v>
      </x:c>
      <x:c r="AH215" s="9" t="n">
        <x:f>SUMIFS('350配方'!$M215:$P215,'350配方'!$Y215:$AB215,255)</x:f>
        <x:v>0</x:v>
      </x:c>
      <x:c r="AI215" s="9" t="n">
        <x:f>'浓度设置'!S6</x:f>
        <x:v>219125.9626344086</x:v>
      </x:c>
      <x:c r="AJ215" s="9" t="n">
        <x:f>'浓度设置'!S8</x:f>
        <x:v>92796.92267241378</x:v>
      </x:c>
      <x:c r="AK215" s="9" t="n">
        <x:f>'浓度设置'!S10</x:f>
        <x:v>30556.797802197798</x:v>
      </x:c>
      <x:c r="AL215" s="9" t="n">
        <x:f>'浓度设置'!S12</x:f>
        <x:v>1735.828970588235</x:v>
      </x:c>
      <x:c r="AM215" s="9" t="n">
        <x:f>'浓度设置'!S15</x:f>
        <x:v>7385.813644067793</x:v>
      </x:c>
      <x:c r="AN215" s="9" t="n">
        <x:f>'浓度设置'!S19</x:f>
        <x:v>27722.03097701148</x:v>
      </x:c>
      <x:c r="AO215" s="9" t="n">
        <x:f>'浓度设置'!S22</x:f>
        <x:v>44345.55047619048</x:v>
      </x:c>
      <x:c r="AP215" s="9" t="n">
        <x:f>'浓度设置'!S26</x:f>
        <x:v>153318.30499999996</x:v>
      </x:c>
      <x:c r="AQ215" s="9" t="n">
        <x:f>'浓度设置'!S29</x:f>
        <x:v>312.7970588235294</x:v>
      </x:c>
      <x:c r="AR215" s="9" t="n">
        <x:f>'浓度设置'!S30</x:f>
        <x:v>104175.5097553192</x:v>
      </x:c>
      <x:c r="AS215" s="9" t="n">
        <x:f>'浓度设置'!S35</x:f>
        <x:v>405974.90656785714</x:v>
      </x:c>
    </x:row>
    <x:row r="216" ht="24" customHeight="1">
      <x:c r="A216" s="3" t="str">
        <x:f>'350配方'!A216</x:f>
        <x:v>T211</x:v>
      </x:c>
      <x:c r="B216" s="3" t="str">
        <x:f>'350配方'!B216</x:f>
        <x:v>拟合</x:v>
      </x:c>
      <x:c r="C216" s="3" t="n">
        <x:f>IF(B216="拟合",1,0)</x:f>
        <x:v>1</x:v>
      </x:c>
      <x:c r="D216" s="3" t="n">
        <x:f>'350配方'!AC216</x:f>
        <x:v>4</x:v>
      </x:c>
      <x:c r="E216" s="9" t="n">
        <x:f>SUMIFS('350配方'!$M216:$P216,'350配方'!$Y216:$AB216,7)</x:f>
        <x:v>0</x:v>
      </x:c>
      <x:c r="F216" s="9" t="n">
        <x:f>SUMIFS('350配方'!$M216:$P216,'350配方'!$Y216:$AB216,11)</x:f>
        <x:v>0</x:v>
      </x:c>
      <x:c r="G216" s="9" t="n">
        <x:f>SUMIFS('350配方'!$M216:$P216,'350配方'!$Y216:$AB216,18)</x:f>
        <x:v>35900</x:v>
      </x:c>
      <x:c r="H216" s="9" t="n">
        <x:f>SUMIFS('350配方'!$M216:$P216,'350配方'!$Y216:$AB216,32)</x:f>
        <x:v>0</x:v>
      </x:c>
      <x:c r="I216" s="9" t="n">
        <x:f>SUMIFS('350配方'!$M216:$P216,'350配方'!$Y216:$AB216,40)</x:f>
        <x:v>0</x:v>
      </x:c>
      <x:c r="J216" s="9" t="n">
        <x:f>SUMIFS('350配方'!$M216:$P216,'350配方'!$Y216:$AB216,52)</x:f>
        <x:v>0</x:v>
      </x:c>
      <x:c r="K216" s="9" t="n">
        <x:f>SUMIFS('350配方'!$M216:$P216,'350配方'!$Y216:$AB216,53)</x:f>
        <x:v>0</x:v>
      </x:c>
      <x:c r="L216" s="9" t="n">
        <x:f>SUMIFS('350配方'!$M216:$P216,'350配方'!$Y216:$AB216,56)</x:f>
        <x:v>0</x:v>
      </x:c>
      <x:c r="M216" s="9" t="n">
        <x:f>SUMIFS('350配方'!$M216:$P216,'350配方'!$Y216:$AB216,58)</x:f>
        <x:v>0</x:v>
      </x:c>
      <x:c r="N216" s="9" t="n">
        <x:f>SUMIFS('350配方'!$M216:$P216,'350配方'!$Y216:$AB216,61)</x:f>
        <x:v>0</x:v>
      </x:c>
      <x:c r="O216" s="9" t="n">
        <x:f>SUMIFS('350配方'!$M216:$P216,'350配方'!$Y216:$AB216,69)</x:f>
        <x:v>0</x:v>
      </x:c>
      <x:c r="P216" s="9" t="n">
        <x:f>SUMIFS('350配方'!$M216:$P216,'350配方'!$Y216:$AB216,75)</x:f>
        <x:v>0</x:v>
      </x:c>
      <x:c r="Q216" s="9" t="n">
        <x:f>SUMIFS('350配方'!$M216:$P216,'350配方'!$Y216:$AB216,79)</x:f>
        <x:v>0</x:v>
      </x:c>
      <x:c r="R216" s="9" t="n">
        <x:f>SUMIFS('350配方'!$M216:$P216,'350配方'!$Y216:$AB216,90)</x:f>
        <x:v>25642.45</x:v>
      </x:c>
      <x:c r="S216" s="9" t="n">
        <x:f>SUMIFS('350配方'!$M216:$P216,'350配方'!$Y216:$AB216,105)</x:f>
        <x:v>0</x:v>
      </x:c>
      <x:c r="T216" s="9" t="n">
        <x:f>SUMIFS('350配方'!$M216:$P216,'350配方'!$Y216:$AB216,111)</x:f>
        <x:v>0</x:v>
      </x:c>
      <x:c r="U216" s="9" t="n">
        <x:f>SUMIFS('350配方'!$M216:$P216,'350配方'!$Y216:$AB216,114)</x:f>
        <x:v>0</x:v>
      </x:c>
      <x:c r="V216" s="9" t="n">
        <x:f>SUMIFS('350配方'!$M216:$P216,'350配方'!$Y216:$AB216,115)</x:f>
        <x:v>0</x:v>
      </x:c>
      <x:c r="W216" s="9" t="n">
        <x:f>SUMIFS('350配方'!$M216:$P216,'350配方'!$Y216:$AB216,117)</x:f>
        <x:v>0</x:v>
      </x:c>
      <x:c r="X216" s="9" t="n">
        <x:f>SUMIFS('350配方'!$M216:$P216,'350配方'!$Y216:$AB216,126)</x:f>
        <x:v>2.125</x:v>
      </x:c>
      <x:c r="Y216" s="9" t="n">
        <x:f>SUMIFS('350配方'!$M216:$P216,'350配方'!$Y216:$AB216,136)</x:f>
        <x:v>0</x:v>
      </x:c>
      <x:c r="Z216" s="9" t="n">
        <x:f>SUMIFS('350配方'!$M216:$P216,'350配方'!$Y216:$AB216,141)</x:f>
        <x:v>0</x:v>
      </x:c>
      <x:c r="AA216" s="9" t="n">
        <x:f>SUMIFS('350配方'!$M216:$P216,'350配方'!$Y216:$AB216,152)</x:f>
        <x:v>0</x:v>
      </x:c>
      <x:c r="AB216" s="9" t="n">
        <x:f>SUMIFS('350配方'!$M216:$P216,'350配方'!$Y216:$AB216,165)</x:f>
        <x:v>0</x:v>
      </x:c>
      <x:c r="AC216" s="9" t="n">
        <x:f>SUMIFS('350配方'!$M216:$P216,'350配方'!$Y216:$AB216,186)</x:f>
        <x:v>0</x:v>
      </x:c>
      <x:c r="AD216" s="9" t="n">
        <x:f>SUMIFS('350配方'!$M216:$P216,'350配方'!$Y216:$AB216,207)</x:f>
        <x:v>0</x:v>
      </x:c>
      <x:c r="AE216" s="9" t="n">
        <x:f>SUMIFS('350配方'!$M216:$P216,'350配方'!$Y216:$AB216,209)</x:f>
        <x:v>0</x:v>
      </x:c>
      <x:c r="AF216" s="9" t="n">
        <x:f>SUMIFS('350配方'!$M216:$P216,'350配方'!$Y216:$AB216,227)</x:f>
        <x:v>0</x:v>
      </x:c>
      <x:c r="AG216" s="9" t="n">
        <x:f>SUMIFS('350配方'!$M216:$P216,'350配方'!$Y216:$AB216,232)</x:f>
        <x:v>0</x:v>
      </x:c>
      <x:c r="AH216" s="9" t="n">
        <x:f>SUMIFS('350配方'!$M216:$P216,'350配方'!$Y216:$AB216,255)</x:f>
        <x:v>1.5</x:v>
      </x:c>
      <x:c r="AI216" s="9" t="n">
        <x:f>'浓度设置'!S6</x:f>
        <x:v>219125.9626344086</x:v>
      </x:c>
      <x:c r="AJ216" s="9" t="n">
        <x:f>'浓度设置'!S8</x:f>
        <x:v>92796.92267241378</x:v>
      </x:c>
      <x:c r="AK216" s="9" t="n">
        <x:f>'浓度设置'!S10</x:f>
        <x:v>30556.797802197798</x:v>
      </x:c>
      <x:c r="AL216" s="9" t="n">
        <x:f>'浓度设置'!S12</x:f>
        <x:v>1735.828970588235</x:v>
      </x:c>
      <x:c r="AM216" s="9" t="n">
        <x:f>'浓度设置'!S15</x:f>
        <x:v>7385.813644067793</x:v>
      </x:c>
      <x:c r="AN216" s="9" t="n">
        <x:f>'浓度设置'!S19</x:f>
        <x:v>27722.03097701148</x:v>
      </x:c>
      <x:c r="AO216" s="9" t="n">
        <x:f>'浓度设置'!S22</x:f>
        <x:v>44345.55047619048</x:v>
      </x:c>
      <x:c r="AP216" s="9" t="n">
        <x:f>'浓度设置'!S26</x:f>
        <x:v>153318.30499999996</x:v>
      </x:c>
      <x:c r="AQ216" s="9" t="n">
        <x:f>'浓度设置'!S29</x:f>
        <x:v>312.7970588235294</x:v>
      </x:c>
      <x:c r="AR216" s="9" t="n">
        <x:f>'浓度设置'!S30</x:f>
        <x:v>104175.5097553192</x:v>
      </x:c>
      <x:c r="AS216" s="9" t="n">
        <x:f>'浓度设置'!S35</x:f>
        <x:v>405974.90656785714</x:v>
      </x:c>
    </x:row>
    <x:row r="217" ht="24" customHeight="1">
      <x:c r="A217" s="3" t="str">
        <x:f>'350配方'!A217</x:f>
        <x:v>T212</x:v>
      </x:c>
      <x:c r="B217" s="3" t="str">
        <x:f>'350配方'!B217</x:f>
        <x:v>拟合</x:v>
      </x:c>
      <x:c r="C217" s="3" t="n">
        <x:f>IF(B217="拟合",1,0)</x:f>
        <x:v>1</x:v>
      </x:c>
      <x:c r="D217" s="3" t="n">
        <x:f>'350配方'!AC217</x:f>
        <x:v>4</x:v>
      </x:c>
      <x:c r="E217" s="9" t="n">
        <x:f>SUMIFS('350配方'!$M217:$P217,'350配方'!$Y217:$AB217,7)</x:f>
        <x:v>0</x:v>
      </x:c>
      <x:c r="F217" s="9" t="n">
        <x:f>SUMIFS('350配方'!$M217:$P217,'350配方'!$Y217:$AB217,11)</x:f>
        <x:v>1038900</x:v>
      </x:c>
      <x:c r="G217" s="9" t="n">
        <x:f>SUMIFS('350配方'!$M217:$P217,'350配方'!$Y217:$AB217,18)</x:f>
        <x:v>0</x:v>
      </x:c>
      <x:c r="H217" s="9" t="n">
        <x:f>SUMIFS('350配方'!$M217:$P217,'350配方'!$Y217:$AB217,32)</x:f>
        <x:v>0</x:v>
      </x:c>
      <x:c r="I217" s="9" t="n">
        <x:f>SUMIFS('350配方'!$M217:$P217,'350配方'!$Y217:$AB217,40)</x:f>
        <x:v>0</x:v>
      </x:c>
      <x:c r="J217" s="9" t="n">
        <x:f>SUMIFS('350配方'!$M217:$P217,'350配方'!$Y217:$AB217,52)</x:f>
        <x:v>0</x:v>
      </x:c>
      <x:c r="K217" s="9" t="n">
        <x:f>SUMIFS('350配方'!$M217:$P217,'350配方'!$Y217:$AB217,53)</x:f>
        <x:v>0</x:v>
      </x:c>
      <x:c r="L217" s="9" t="n">
        <x:f>SUMIFS('350配方'!$M217:$P217,'350配方'!$Y217:$AB217,56)</x:f>
        <x:v>0</x:v>
      </x:c>
      <x:c r="M217" s="9" t="n">
        <x:f>SUMIFS('350配方'!$M217:$P217,'350配方'!$Y217:$AB217,58)</x:f>
        <x:v>0</x:v>
      </x:c>
      <x:c r="N217" s="9" t="n">
        <x:f>SUMIFS('350配方'!$M217:$P217,'350配方'!$Y217:$AB217,61)</x:f>
        <x:v>0</x:v>
      </x:c>
      <x:c r="O217" s="9" t="n">
        <x:f>SUMIFS('350配方'!$M217:$P217,'350配方'!$Y217:$AB217,69)</x:f>
        <x:v>0</x:v>
      </x:c>
      <x:c r="P217" s="9" t="n">
        <x:f>SUMIFS('350配方'!$M217:$P217,'350配方'!$Y217:$AB217,75)</x:f>
        <x:v>0</x:v>
      </x:c>
      <x:c r="Q217" s="9" t="n">
        <x:f>SUMIFS('350配方'!$M217:$P217,'350配方'!$Y217:$AB217,79)</x:f>
        <x:v>0</x:v>
      </x:c>
      <x:c r="R217" s="9" t="n">
        <x:f>SUMIFS('350配方'!$M217:$P217,'350配方'!$Y217:$AB217,90)</x:f>
        <x:v>0</x:v>
      </x:c>
      <x:c r="S217" s="9" t="n">
        <x:f>SUMIFS('350配方'!$M217:$P217,'350配方'!$Y217:$AB217,105)</x:f>
        <x:v>0</x:v>
      </x:c>
      <x:c r="T217" s="9" t="n">
        <x:f>SUMIFS('350配方'!$M217:$P217,'350配方'!$Y217:$AB217,111)</x:f>
        <x:v>0</x:v>
      </x:c>
      <x:c r="U217" s="9" t="n">
        <x:f>SUMIFS('350配方'!$M217:$P217,'350配方'!$Y217:$AB217,114)</x:f>
        <x:v>47100</x:v>
      </x:c>
      <x:c r="V217" s="9" t="n">
        <x:f>SUMIFS('350配方'!$M217:$P217,'350配方'!$Y217:$AB217,115)</x:f>
        <x:v>0</x:v>
      </x:c>
      <x:c r="W217" s="9" t="n">
        <x:f>SUMIFS('350配方'!$M217:$P217,'350配方'!$Y217:$AB217,117)</x:f>
        <x:v>0</x:v>
      </x:c>
      <x:c r="X217" s="9" t="n">
        <x:f>SUMIFS('350配方'!$M217:$P217,'350配方'!$Y217:$AB217,126)</x:f>
        <x:v>0</x:v>
      </x:c>
      <x:c r="Y217" s="9" t="n">
        <x:f>SUMIFS('350配方'!$M217:$P217,'350配方'!$Y217:$AB217,136)</x:f>
        <x:v>0</x:v>
      </x:c>
      <x:c r="Z217" s="9" t="n">
        <x:f>SUMIFS('350配方'!$M217:$P217,'350配方'!$Y217:$AB217,141)</x:f>
        <x:v>0</x:v>
      </x:c>
      <x:c r="AA217" s="9" t="n">
        <x:f>SUMIFS('350配方'!$M217:$P217,'350配方'!$Y217:$AB217,152)</x:f>
        <x:v>0</x:v>
      </x:c>
      <x:c r="AB217" s="9" t="n">
        <x:f>SUMIFS('350配方'!$M217:$P217,'350配方'!$Y217:$AB217,165)</x:f>
        <x:v>0</x:v>
      </x:c>
      <x:c r="AC217" s="9" t="n">
        <x:f>SUMIFS('350配方'!$M217:$P217,'350配方'!$Y217:$AB217,186)</x:f>
        <x:v>0</x:v>
      </x:c>
      <x:c r="AD217" s="9" t="n">
        <x:f>SUMIFS('350配方'!$M217:$P217,'350配方'!$Y217:$AB217,207)</x:f>
        <x:v>1</x:v>
      </x:c>
      <x:c r="AE217" s="9" t="n">
        <x:f>SUMIFS('350配方'!$M217:$P217,'350配方'!$Y217:$AB217,209)</x:f>
        <x:v>0</x:v>
      </x:c>
      <x:c r="AF217" s="9" t="n">
        <x:f>SUMIFS('350配方'!$M217:$P217,'350配方'!$Y217:$AB217,227)</x:f>
        <x:v>0</x:v>
      </x:c>
      <x:c r="AG217" s="9" t="n">
        <x:f>SUMIFS('350配方'!$M217:$P217,'350配方'!$Y217:$AB217,232)</x:f>
        <x:v>0</x:v>
      </x:c>
      <x:c r="AH217" s="9" t="n">
        <x:f>SUMIFS('350配方'!$M217:$P217,'350配方'!$Y217:$AB217,255)</x:f>
        <x:v>60.76</x:v>
      </x:c>
      <x:c r="AI217" s="9" t="n">
        <x:f>'浓度设置'!S6</x:f>
        <x:v>219125.9626344086</x:v>
      </x:c>
      <x:c r="AJ217" s="9" t="n">
        <x:f>'浓度设置'!S8</x:f>
        <x:v>92796.92267241378</x:v>
      </x:c>
      <x:c r="AK217" s="9" t="n">
        <x:f>'浓度设置'!S10</x:f>
        <x:v>30556.797802197798</x:v>
      </x:c>
      <x:c r="AL217" s="9" t="n">
        <x:f>'浓度设置'!S12</x:f>
        <x:v>1735.828970588235</x:v>
      </x:c>
      <x:c r="AM217" s="9" t="n">
        <x:f>'浓度设置'!S15</x:f>
        <x:v>7385.813644067793</x:v>
      </x:c>
      <x:c r="AN217" s="9" t="n">
        <x:f>'浓度设置'!S19</x:f>
        <x:v>27722.03097701148</x:v>
      </x:c>
      <x:c r="AO217" s="9" t="n">
        <x:f>'浓度设置'!S22</x:f>
        <x:v>44345.55047619048</x:v>
      </x:c>
      <x:c r="AP217" s="9" t="n">
        <x:f>'浓度设置'!S26</x:f>
        <x:v>153318.30499999996</x:v>
      </x:c>
      <x:c r="AQ217" s="9" t="n">
        <x:f>'浓度设置'!S29</x:f>
        <x:v>312.7970588235294</x:v>
      </x:c>
      <x:c r="AR217" s="9" t="n">
        <x:f>'浓度设置'!S30</x:f>
        <x:v>104175.5097553192</x:v>
      </x:c>
      <x:c r="AS217" s="9" t="n">
        <x:f>'浓度设置'!S35</x:f>
        <x:v>405974.90656785714</x:v>
      </x:c>
    </x:row>
    <x:row r="218" ht="24" customHeight="1">
      <x:c r="A218" s="3" t="str">
        <x:f>'350配方'!A218</x:f>
        <x:v>T213</x:v>
      </x:c>
      <x:c r="B218" s="3" t="str">
        <x:f>'350配方'!B218</x:f>
        <x:v>拟合</x:v>
      </x:c>
      <x:c r="C218" s="3" t="n">
        <x:f>IF(B218="拟合",1,0)</x:f>
        <x:v>1</x:v>
      </x:c>
      <x:c r="D218" s="3" t="n">
        <x:f>'350配方'!AC218</x:f>
        <x:v>4</x:v>
      </x:c>
      <x:c r="E218" s="9" t="n">
        <x:f>SUMIFS('350配方'!$M218:$P218,'350配方'!$Y218:$AB218,7)</x:f>
        <x:v>0</x:v>
      </x:c>
      <x:c r="F218" s="9" t="n">
        <x:f>SUMIFS('350配方'!$M218:$P218,'350配方'!$Y218:$AB218,11)</x:f>
        <x:v>0</x:v>
      </x:c>
      <x:c r="G218" s="9" t="n">
        <x:f>SUMIFS('350配方'!$M218:$P218,'350配方'!$Y218:$AB218,18)</x:f>
        <x:v>0</x:v>
      </x:c>
      <x:c r="H218" s="9" t="n">
        <x:f>SUMIFS('350配方'!$M218:$P218,'350配方'!$Y218:$AB218,32)</x:f>
        <x:v>0</x:v>
      </x:c>
      <x:c r="I218" s="9" t="n">
        <x:f>SUMIFS('350配方'!$M218:$P218,'350配方'!$Y218:$AB218,40)</x:f>
        <x:v>0</x:v>
      </x:c>
      <x:c r="J218" s="9" t="n">
        <x:f>SUMIFS('350配方'!$M218:$P218,'350配方'!$Y218:$AB218,52)</x:f>
        <x:v>2338.9306103431118</x:v>
      </x:c>
      <x:c r="K218" s="9" t="n">
        <x:f>SUMIFS('350配方'!$M218:$P218,'350配方'!$Y218:$AB218,53)</x:f>
        <x:v>0</x:v>
      </x:c>
      <x:c r="L218" s="9" t="n">
        <x:f>SUMIFS('350配方'!$M218:$P218,'350配方'!$Y218:$AB218,56)</x:f>
        <x:v>0</x:v>
      </x:c>
      <x:c r="M218" s="9" t="n">
        <x:f>SUMIFS('350配方'!$M218:$P218,'350配方'!$Y218:$AB218,58)</x:f>
        <x:v>1865945</x:v>
      </x:c>
      <x:c r="N218" s="9" t="n">
        <x:f>SUMIFS('350配方'!$M218:$P218,'350配方'!$Y218:$AB218,61)</x:f>
        <x:v>6914</x:v>
      </x:c>
      <x:c r="O218" s="9" t="n">
        <x:f>SUMIFS('350配方'!$M218:$P218,'350配方'!$Y218:$AB218,69)</x:f>
        <x:v>0</x:v>
      </x:c>
      <x:c r="P218" s="9" t="n">
        <x:f>SUMIFS('350配方'!$M218:$P218,'350配方'!$Y218:$AB218,75)</x:f>
        <x:v>0</x:v>
      </x:c>
      <x:c r="Q218" s="9" t="n">
        <x:f>SUMIFS('350配方'!$M218:$P218,'350配方'!$Y218:$AB218,79)</x:f>
        <x:v>0</x:v>
      </x:c>
      <x:c r="R218" s="9" t="n">
        <x:f>SUMIFS('350配方'!$M218:$P218,'350配方'!$Y218:$AB218,90)</x:f>
        <x:v>0</x:v>
      </x:c>
      <x:c r="S218" s="9" t="n">
        <x:f>SUMIFS('350配方'!$M218:$P218,'350配方'!$Y218:$AB218,105)</x:f>
        <x:v>0</x:v>
      </x:c>
      <x:c r="T218" s="9" t="n">
        <x:f>SUMIFS('350配方'!$M218:$P218,'350配方'!$Y218:$AB218,111)</x:f>
        <x:v>0</x:v>
      </x:c>
      <x:c r="U218" s="9" t="n">
        <x:f>SUMIFS('350配方'!$M218:$P218,'350配方'!$Y218:$AB218,114)</x:f>
        <x:v>0</x:v>
      </x:c>
      <x:c r="V218" s="9" t="n">
        <x:f>SUMIFS('350配方'!$M218:$P218,'350配方'!$Y218:$AB218,115)</x:f>
        <x:v>0</x:v>
      </x:c>
      <x:c r="W218" s="9" t="n">
        <x:f>SUMIFS('350配方'!$M218:$P218,'350配方'!$Y218:$AB218,117)</x:f>
        <x:v>0</x:v>
      </x:c>
      <x:c r="X218" s="9" t="n">
        <x:f>SUMIFS('350配方'!$M218:$P218,'350配方'!$Y218:$AB218,126)</x:f>
        <x:v>0</x:v>
      </x:c>
      <x:c r="Y218" s="9" t="n">
        <x:f>SUMIFS('350配方'!$M218:$P218,'350配方'!$Y218:$AB218,136)</x:f>
        <x:v>0</x:v>
      </x:c>
      <x:c r="Z218" s="9" t="n">
        <x:f>SUMIFS('350配方'!$M218:$P218,'350配方'!$Y218:$AB218,141)</x:f>
        <x:v>0</x:v>
      </x:c>
      <x:c r="AA218" s="9" t="n">
        <x:f>SUMIFS('350配方'!$M218:$P218,'350配方'!$Y218:$AB218,152)</x:f>
        <x:v>0</x:v>
      </x:c>
      <x:c r="AB218" s="9" t="n">
        <x:f>SUMIFS('350配方'!$M218:$P218,'350配方'!$Y218:$AB218,165)</x:f>
        <x:v>86300</x:v>
      </x:c>
      <x:c r="AC218" s="9" t="n">
        <x:f>SUMIFS('350配方'!$M218:$P218,'350配方'!$Y218:$AB218,186)</x:f>
        <x:v>0</x:v>
      </x:c>
      <x:c r="AD218" s="9" t="n">
        <x:f>SUMIFS('350配方'!$M218:$P218,'350配方'!$Y218:$AB218,207)</x:f>
        <x:v>0</x:v>
      </x:c>
      <x:c r="AE218" s="9" t="n">
        <x:f>SUMIFS('350配方'!$M218:$P218,'350配方'!$Y218:$AB218,209)</x:f>
        <x:v>0</x:v>
      </x:c>
      <x:c r="AF218" s="9" t="n">
        <x:f>SUMIFS('350配方'!$M218:$P218,'350配方'!$Y218:$AB218,227)</x:f>
        <x:v>0</x:v>
      </x:c>
      <x:c r="AG218" s="9" t="n">
        <x:f>SUMIFS('350配方'!$M218:$P218,'350配方'!$Y218:$AB218,232)</x:f>
        <x:v>0</x:v>
      </x:c>
      <x:c r="AH218" s="9" t="n">
        <x:f>SUMIFS('350配方'!$M218:$P218,'350配方'!$Y218:$AB218,255)</x:f>
        <x:v>0</x:v>
      </x:c>
      <x:c r="AI218" s="9" t="n">
        <x:f>'浓度设置'!S6</x:f>
        <x:v>219125.9626344086</x:v>
      </x:c>
      <x:c r="AJ218" s="9" t="n">
        <x:f>'浓度设置'!S8</x:f>
        <x:v>92796.92267241378</x:v>
      </x:c>
      <x:c r="AK218" s="9" t="n">
        <x:f>'浓度设置'!S10</x:f>
        <x:v>30556.797802197798</x:v>
      </x:c>
      <x:c r="AL218" s="9" t="n">
        <x:f>'浓度设置'!S12</x:f>
        <x:v>1735.828970588235</x:v>
      </x:c>
      <x:c r="AM218" s="9" t="n">
        <x:f>'浓度设置'!S15</x:f>
        <x:v>7385.813644067793</x:v>
      </x:c>
      <x:c r="AN218" s="9" t="n">
        <x:f>'浓度设置'!S19</x:f>
        <x:v>27722.03097701148</x:v>
      </x:c>
      <x:c r="AO218" s="9" t="n">
        <x:f>'浓度设置'!S22</x:f>
        <x:v>44345.55047619048</x:v>
      </x:c>
      <x:c r="AP218" s="9" t="n">
        <x:f>'浓度设置'!S26</x:f>
        <x:v>153318.30499999996</x:v>
      </x:c>
      <x:c r="AQ218" s="9" t="n">
        <x:f>'浓度设置'!S29</x:f>
        <x:v>312.7970588235294</x:v>
      </x:c>
      <x:c r="AR218" s="9" t="n">
        <x:f>'浓度设置'!S30</x:f>
        <x:v>104175.5097553192</x:v>
      </x:c>
      <x:c r="AS218" s="9" t="n">
        <x:f>'浓度设置'!S35</x:f>
        <x:v>405974.90656785714</x:v>
      </x:c>
    </x:row>
    <x:row r="219" ht="24" customHeight="1">
      <x:c r="A219" s="3" t="str">
        <x:f>'350配方'!A219</x:f>
        <x:v>T214</x:v>
      </x:c>
      <x:c r="B219" s="3" t="str">
        <x:f>'350配方'!B219</x:f>
        <x:v>拟合</x:v>
      </x:c>
      <x:c r="C219" s="3" t="n">
        <x:f>IF(B219="拟合",1,0)</x:f>
        <x:v>1</x:v>
      </x:c>
      <x:c r="D219" s="3" t="n">
        <x:f>'350配方'!AC219</x:f>
        <x:v>4</x:v>
      </x:c>
      <x:c r="E219" s="9" t="n">
        <x:f>SUMIFS('350配方'!$M219:$P219,'350配方'!$Y219:$AB219,7)</x:f>
        <x:v>3075.94</x:v>
      </x:c>
      <x:c r="F219" s="9" t="n">
        <x:f>SUMIFS('350配方'!$M219:$P219,'350配方'!$Y219:$AB219,11)</x:f>
        <x:v>0</x:v>
      </x:c>
      <x:c r="G219" s="9" t="n">
        <x:f>SUMIFS('350配方'!$M219:$P219,'350配方'!$Y219:$AB219,18)</x:f>
        <x:v>0</x:v>
      </x:c>
      <x:c r="H219" s="9" t="n">
        <x:f>SUMIFS('350配方'!$M219:$P219,'350配方'!$Y219:$AB219,32)</x:f>
        <x:v>0</x:v>
      </x:c>
      <x:c r="I219" s="9" t="n">
        <x:f>SUMIFS('350配方'!$M219:$P219,'350配方'!$Y219:$AB219,40)</x:f>
        <x:v>0</x:v>
      </x:c>
      <x:c r="J219" s="9" t="n">
        <x:f>SUMIFS('350配方'!$M219:$P219,'350配方'!$Y219:$AB219,52)</x:f>
        <x:v>0</x:v>
      </x:c>
      <x:c r="K219" s="9" t="n">
        <x:f>SUMIFS('350配方'!$M219:$P219,'350配方'!$Y219:$AB219,53)</x:f>
        <x:v>784300</x:v>
      </x:c>
      <x:c r="L219" s="9" t="n">
        <x:f>SUMIFS('350配方'!$M219:$P219,'350配方'!$Y219:$AB219,56)</x:f>
        <x:v>1041.8500000000001</x:v>
      </x:c>
      <x:c r="M219" s="9" t="n">
        <x:f>SUMIFS('350配方'!$M219:$P219,'350配方'!$Y219:$AB219,58)</x:f>
        <x:v>0</x:v>
      </x:c>
      <x:c r="N219" s="9" t="n">
        <x:f>SUMIFS('350配方'!$M219:$P219,'350配方'!$Y219:$AB219,61)</x:f>
        <x:v>0</x:v>
      </x:c>
      <x:c r="O219" s="9" t="n">
        <x:f>SUMIFS('350配方'!$M219:$P219,'350配方'!$Y219:$AB219,69)</x:f>
        <x:v>0</x:v>
      </x:c>
      <x:c r="P219" s="9" t="n">
        <x:f>SUMIFS('350配方'!$M219:$P219,'350配方'!$Y219:$AB219,75)</x:f>
        <x:v>0</x:v>
      </x:c>
      <x:c r="Q219" s="9" t="n">
        <x:f>SUMIFS('350配方'!$M219:$P219,'350配方'!$Y219:$AB219,79)</x:f>
        <x:v>0</x:v>
      </x:c>
      <x:c r="R219" s="9" t="n">
        <x:f>SUMIFS('350配方'!$M219:$P219,'350配方'!$Y219:$AB219,90)</x:f>
        <x:v>0</x:v>
      </x:c>
      <x:c r="S219" s="9" t="n">
        <x:f>SUMIFS('350配方'!$M219:$P219,'350配方'!$Y219:$AB219,105)</x:f>
        <x:v>0</x:v>
      </x:c>
      <x:c r="T219" s="9" t="n">
        <x:f>SUMIFS('350配方'!$M219:$P219,'350配方'!$Y219:$AB219,111)</x:f>
        <x:v>0</x:v>
      </x:c>
      <x:c r="U219" s="9" t="n">
        <x:f>SUMIFS('350配方'!$M219:$P219,'350配方'!$Y219:$AB219,114)</x:f>
        <x:v>0</x:v>
      </x:c>
      <x:c r="V219" s="9" t="n">
        <x:f>SUMIFS('350配方'!$M219:$P219,'350配方'!$Y219:$AB219,115)</x:f>
        <x:v>0</x:v>
      </x:c>
      <x:c r="W219" s="9" t="n">
        <x:f>SUMIFS('350配方'!$M219:$P219,'350配方'!$Y219:$AB219,117)</x:f>
        <x:v>0</x:v>
      </x:c>
      <x:c r="X219" s="9" t="n">
        <x:f>SUMIFS('350配方'!$M219:$P219,'350配方'!$Y219:$AB219,126)</x:f>
        <x:v>0</x:v>
      </x:c>
      <x:c r="Y219" s="9" t="n">
        <x:f>SUMIFS('350配方'!$M219:$P219,'350配方'!$Y219:$AB219,136)</x:f>
        <x:v>0</x:v>
      </x:c>
      <x:c r="Z219" s="9" t="n">
        <x:f>SUMIFS('350配方'!$M219:$P219,'350配方'!$Y219:$AB219,141)</x:f>
        <x:v>0</x:v>
      </x:c>
      <x:c r="AA219" s="9" t="n">
        <x:f>SUMIFS('350配方'!$M219:$P219,'350配方'!$Y219:$AB219,152)</x:f>
        <x:v>0</x:v>
      </x:c>
      <x:c r="AB219" s="9" t="n">
        <x:f>SUMIFS('350配方'!$M219:$P219,'350配方'!$Y219:$AB219,165)</x:f>
        <x:v>0</x:v>
      </x:c>
      <x:c r="AC219" s="9" t="n">
        <x:f>SUMIFS('350配方'!$M219:$P219,'350配方'!$Y219:$AB219,186)</x:f>
        <x:v>0</x:v>
      </x:c>
      <x:c r="AD219" s="9" t="n">
        <x:f>SUMIFS('350配方'!$M219:$P219,'350配方'!$Y219:$AB219,207)</x:f>
        <x:v>0</x:v>
      </x:c>
      <x:c r="AE219" s="9" t="n">
        <x:f>SUMIFS('350配方'!$M219:$P219,'350配方'!$Y219:$AB219,209)</x:f>
        <x:v>0</x:v>
      </x:c>
      <x:c r="AF219" s="9" t="n">
        <x:f>SUMIFS('350配方'!$M219:$P219,'350配方'!$Y219:$AB219,227)</x:f>
        <x:v>0</x:v>
      </x:c>
      <x:c r="AG219" s="9" t="n">
        <x:f>SUMIFS('350配方'!$M219:$P219,'350配方'!$Y219:$AB219,232)</x:f>
        <x:v>39.53062104242735</x:v>
      </x:c>
      <x:c r="AH219" s="9" t="n">
        <x:f>SUMIFS('350配方'!$M219:$P219,'350配方'!$Y219:$AB219,255)</x:f>
        <x:v>0</x:v>
      </x:c>
      <x:c r="AI219" s="9" t="n">
        <x:f>'浓度设置'!S6</x:f>
        <x:v>219125.9626344086</x:v>
      </x:c>
      <x:c r="AJ219" s="9" t="n">
        <x:f>'浓度设置'!S8</x:f>
        <x:v>92796.92267241378</x:v>
      </x:c>
      <x:c r="AK219" s="9" t="n">
        <x:f>'浓度设置'!S10</x:f>
        <x:v>30556.797802197798</x:v>
      </x:c>
      <x:c r="AL219" s="9" t="n">
        <x:f>'浓度设置'!S12</x:f>
        <x:v>1735.828970588235</x:v>
      </x:c>
      <x:c r="AM219" s="9" t="n">
        <x:f>'浓度设置'!S15</x:f>
        <x:v>7385.813644067793</x:v>
      </x:c>
      <x:c r="AN219" s="9" t="n">
        <x:f>'浓度设置'!S19</x:f>
        <x:v>27722.03097701148</x:v>
      </x:c>
      <x:c r="AO219" s="9" t="n">
        <x:f>'浓度设置'!S22</x:f>
        <x:v>44345.55047619048</x:v>
      </x:c>
      <x:c r="AP219" s="9" t="n">
        <x:f>'浓度设置'!S26</x:f>
        <x:v>153318.30499999996</x:v>
      </x:c>
      <x:c r="AQ219" s="9" t="n">
        <x:f>'浓度设置'!S29</x:f>
        <x:v>312.7970588235294</x:v>
      </x:c>
      <x:c r="AR219" s="9" t="n">
        <x:f>'浓度设置'!S30</x:f>
        <x:v>104175.5097553192</x:v>
      </x:c>
      <x:c r="AS219" s="9" t="n">
        <x:f>'浓度设置'!S35</x:f>
        <x:v>405974.90656785714</x:v>
      </x:c>
    </x:row>
    <x:row r="220" ht="24" customHeight="1">
      <x:c r="A220" s="3" t="str">
        <x:f>'350配方'!A220</x:f>
        <x:v>T215</x:v>
      </x:c>
      <x:c r="B220" s="3" t="str">
        <x:f>'350配方'!B220</x:f>
        <x:v>拟合</x:v>
      </x:c>
      <x:c r="C220" s="3" t="n">
        <x:f>IF(B220="拟合",1,0)</x:f>
        <x:v>1</x:v>
      </x:c>
      <x:c r="D220" s="3" t="n">
        <x:f>'350配方'!AC220</x:f>
        <x:v>4</x:v>
      </x:c>
      <x:c r="E220" s="9" t="n">
        <x:f>SUMIFS('350配方'!$M220:$P220,'350配方'!$Y220:$AB220,7)</x:f>
        <x:v>0</x:v>
      </x:c>
      <x:c r="F220" s="9" t="n">
        <x:f>SUMIFS('350配方'!$M220:$P220,'350配方'!$Y220:$AB220,11)</x:f>
        <x:v>0</x:v>
      </x:c>
      <x:c r="G220" s="9" t="n">
        <x:f>SUMIFS('350配方'!$M220:$P220,'350配方'!$Y220:$AB220,18)</x:f>
        <x:v>35900</x:v>
      </x:c>
      <x:c r="H220" s="9" t="n">
        <x:f>SUMIFS('350配方'!$M220:$P220,'350配方'!$Y220:$AB220,32)</x:f>
        <x:v>0</x:v>
      </x:c>
      <x:c r="I220" s="9" t="n">
        <x:f>SUMIFS('350配方'!$M220:$P220,'350配方'!$Y220:$AB220,40)</x:f>
        <x:v>0</x:v>
      </x:c>
      <x:c r="J220" s="9" t="n">
        <x:f>SUMIFS('350配方'!$M220:$P220,'350配方'!$Y220:$AB220,52)</x:f>
        <x:v>0</x:v>
      </x:c>
      <x:c r="K220" s="9" t="n">
        <x:f>SUMIFS('350配方'!$M220:$P220,'350配方'!$Y220:$AB220,53)</x:f>
        <x:v>0</x:v>
      </x:c>
      <x:c r="L220" s="9" t="n">
        <x:f>SUMIFS('350配方'!$M220:$P220,'350配方'!$Y220:$AB220,56)</x:f>
        <x:v>0</x:v>
      </x:c>
      <x:c r="M220" s="9" t="n">
        <x:f>SUMIFS('350配方'!$M220:$P220,'350配方'!$Y220:$AB220,58)</x:f>
        <x:v>5.06</x:v>
      </x:c>
      <x:c r="N220" s="9" t="n">
        <x:f>SUMIFS('350配方'!$M220:$P220,'350配方'!$Y220:$AB220,61)</x:f>
        <x:v>0</x:v>
      </x:c>
      <x:c r="O220" s="9" t="n">
        <x:f>SUMIFS('350配方'!$M220:$P220,'350配方'!$Y220:$AB220,69)</x:f>
        <x:v>12022.2</x:v>
      </x:c>
      <x:c r="P220" s="9" t="n">
        <x:f>SUMIFS('350配方'!$M220:$P220,'350配方'!$Y220:$AB220,75)</x:f>
        <x:v>0</x:v>
      </x:c>
      <x:c r="Q220" s="9" t="n">
        <x:f>SUMIFS('350配方'!$M220:$P220,'350配方'!$Y220:$AB220,79)</x:f>
        <x:v>0</x:v>
      </x:c>
      <x:c r="R220" s="9" t="n">
        <x:f>SUMIFS('350配方'!$M220:$P220,'350配方'!$Y220:$AB220,90)</x:f>
        <x:v>0</x:v>
      </x:c>
      <x:c r="S220" s="9" t="n">
        <x:f>SUMIFS('350配方'!$M220:$P220,'350配方'!$Y220:$AB220,105)</x:f>
        <x:v>0</x:v>
      </x:c>
      <x:c r="T220" s="9" t="n">
        <x:f>SUMIFS('350配方'!$M220:$P220,'350配方'!$Y220:$AB220,111)</x:f>
        <x:v>0</x:v>
      </x:c>
      <x:c r="U220" s="9" t="n">
        <x:f>SUMIFS('350配方'!$M220:$P220,'350配方'!$Y220:$AB220,114)</x:f>
        <x:v>0</x:v>
      </x:c>
      <x:c r="V220" s="9" t="n">
        <x:f>SUMIFS('350配方'!$M220:$P220,'350配方'!$Y220:$AB220,115)</x:f>
        <x:v>0</x:v>
      </x:c>
      <x:c r="W220" s="9" t="n">
        <x:f>SUMIFS('350配方'!$M220:$P220,'350配方'!$Y220:$AB220,117)</x:f>
        <x:v>0</x:v>
      </x:c>
      <x:c r="X220" s="9" t="n">
        <x:f>SUMIFS('350配方'!$M220:$P220,'350配方'!$Y220:$AB220,126)</x:f>
        <x:v>0</x:v>
      </x:c>
      <x:c r="Y220" s="9" t="n">
        <x:f>SUMIFS('350配方'!$M220:$P220,'350配方'!$Y220:$AB220,136)</x:f>
        <x:v>0</x:v>
      </x:c>
      <x:c r="Z220" s="9" t="n">
        <x:f>SUMIFS('350配方'!$M220:$P220,'350配方'!$Y220:$AB220,141)</x:f>
        <x:v>0</x:v>
      </x:c>
      <x:c r="AA220" s="9" t="n">
        <x:f>SUMIFS('350配方'!$M220:$P220,'350配方'!$Y220:$AB220,152)</x:f>
        <x:v>0</x:v>
      </x:c>
      <x:c r="AB220" s="9" t="n">
        <x:f>SUMIFS('350配方'!$M220:$P220,'350配方'!$Y220:$AB220,165)</x:f>
        <x:v>0</x:v>
      </x:c>
      <x:c r="AC220" s="9" t="n">
        <x:f>SUMIFS('350配方'!$M220:$P220,'350配方'!$Y220:$AB220,186)</x:f>
        <x:v>0</x:v>
      </x:c>
      <x:c r="AD220" s="9" t="n">
        <x:f>SUMIFS('350配方'!$M220:$P220,'350配方'!$Y220:$AB220,207)</x:f>
        <x:v>0</x:v>
      </x:c>
      <x:c r="AE220" s="9" t="n">
        <x:f>SUMIFS('350配方'!$M220:$P220,'350配方'!$Y220:$AB220,209)</x:f>
        <x:v>0</x:v>
      </x:c>
      <x:c r="AF220" s="9" t="n">
        <x:f>SUMIFS('350配方'!$M220:$P220,'350配方'!$Y220:$AB220,227)</x:f>
        <x:v>2.5</x:v>
      </x:c>
      <x:c r="AG220" s="9" t="n">
        <x:f>SUMIFS('350配方'!$M220:$P220,'350配方'!$Y220:$AB220,232)</x:f>
        <x:v>0</x:v>
      </x:c>
      <x:c r="AH220" s="9" t="n">
        <x:f>SUMIFS('350配方'!$M220:$P220,'350配方'!$Y220:$AB220,255)</x:f>
        <x:v>0</x:v>
      </x:c>
      <x:c r="AI220" s="9" t="n">
        <x:f>'浓度设置'!S6</x:f>
        <x:v>219125.9626344086</x:v>
      </x:c>
      <x:c r="AJ220" s="9" t="n">
        <x:f>'浓度设置'!S8</x:f>
        <x:v>92796.92267241378</x:v>
      </x:c>
      <x:c r="AK220" s="9" t="n">
        <x:f>'浓度设置'!S10</x:f>
        <x:v>30556.797802197798</x:v>
      </x:c>
      <x:c r="AL220" s="9" t="n">
        <x:f>'浓度设置'!S12</x:f>
        <x:v>1735.828970588235</x:v>
      </x:c>
      <x:c r="AM220" s="9" t="n">
        <x:f>'浓度设置'!S15</x:f>
        <x:v>7385.813644067793</x:v>
      </x:c>
      <x:c r="AN220" s="9" t="n">
        <x:f>'浓度设置'!S19</x:f>
        <x:v>27722.03097701148</x:v>
      </x:c>
      <x:c r="AO220" s="9" t="n">
        <x:f>'浓度设置'!S22</x:f>
        <x:v>44345.55047619048</x:v>
      </x:c>
      <x:c r="AP220" s="9" t="n">
        <x:f>'浓度设置'!S26</x:f>
        <x:v>153318.30499999996</x:v>
      </x:c>
      <x:c r="AQ220" s="9" t="n">
        <x:f>'浓度设置'!S29</x:f>
        <x:v>312.7970588235294</x:v>
      </x:c>
      <x:c r="AR220" s="9" t="n">
        <x:f>'浓度设置'!S30</x:f>
        <x:v>104175.5097553192</x:v>
      </x:c>
      <x:c r="AS220" s="9" t="n">
        <x:f>'浓度设置'!S35</x:f>
        <x:v>405974.90656785714</x:v>
      </x:c>
    </x:row>
    <x:row r="221" ht="24" customHeight="1">
      <x:c r="A221" s="3" t="str">
        <x:f>'350配方'!A221</x:f>
        <x:v>T216</x:v>
      </x:c>
      <x:c r="B221" s="3" t="str">
        <x:f>'350配方'!B221</x:f>
        <x:v>拟合</x:v>
      </x:c>
      <x:c r="C221" s="3" t="n">
        <x:f>IF(B221="拟合",1,0)</x:f>
        <x:v>1</x:v>
      </x:c>
      <x:c r="D221" s="3" t="n">
        <x:f>'350配方'!AC221</x:f>
        <x:v>4</x:v>
      </x:c>
      <x:c r="E221" s="9" t="n">
        <x:f>SUMIFS('350配方'!$M221:$P221,'350配方'!$Y221:$AB221,7)</x:f>
        <x:v>0</x:v>
      </x:c>
      <x:c r="F221" s="9" t="n">
        <x:f>SUMIFS('350配方'!$M221:$P221,'350配方'!$Y221:$AB221,11)</x:f>
        <x:v>0</x:v>
      </x:c>
      <x:c r="G221" s="9" t="n">
        <x:f>SUMIFS('350配方'!$M221:$P221,'350配方'!$Y221:$AB221,18)</x:f>
        <x:v>0</x:v>
      </x:c>
      <x:c r="H221" s="9" t="n">
        <x:f>SUMIFS('350配方'!$M221:$P221,'350配方'!$Y221:$AB221,32)</x:f>
        <x:v>0</x:v>
      </x:c>
      <x:c r="I221" s="9" t="n">
        <x:f>SUMIFS('350配方'!$M221:$P221,'350配方'!$Y221:$AB221,40)</x:f>
        <x:v>200.3122562401013</x:v>
      </x:c>
      <x:c r="J221" s="9" t="n">
        <x:f>SUMIFS('350配方'!$M221:$P221,'350配方'!$Y221:$AB221,52)</x:f>
        <x:v>0</x:v>
      </x:c>
      <x:c r="K221" s="9" t="n">
        <x:f>SUMIFS('350配方'!$M221:$P221,'350配方'!$Y221:$AB221,53)</x:f>
        <x:v>0</x:v>
      </x:c>
      <x:c r="L221" s="9" t="n">
        <x:f>SUMIFS('350配方'!$M221:$P221,'350配方'!$Y221:$AB221,56)</x:f>
        <x:v>0</x:v>
      </x:c>
      <x:c r="M221" s="9" t="n">
        <x:f>SUMIFS('350配方'!$M221:$P221,'350配方'!$Y221:$AB221,58)</x:f>
        <x:v>0</x:v>
      </x:c>
      <x:c r="N221" s="9" t="n">
        <x:f>SUMIFS('350配方'!$M221:$P221,'350配方'!$Y221:$AB221,61)</x:f>
        <x:v>0</x:v>
      </x:c>
      <x:c r="O221" s="9" t="n">
        <x:f>SUMIFS('350配方'!$M221:$P221,'350配方'!$Y221:$AB221,69)</x:f>
        <x:v>0</x:v>
      </x:c>
      <x:c r="P221" s="9" t="n">
        <x:f>SUMIFS('350配方'!$M221:$P221,'350配方'!$Y221:$AB221,75)</x:f>
        <x:v>0</x:v>
      </x:c>
      <x:c r="Q221" s="9" t="n">
        <x:f>SUMIFS('350配方'!$M221:$P221,'350配方'!$Y221:$AB221,79)</x:f>
        <x:v>56115</x:v>
      </x:c>
      <x:c r="R221" s="9" t="n">
        <x:f>SUMIFS('350配方'!$M221:$P221,'350配方'!$Y221:$AB221,90)</x:f>
        <x:v>0</x:v>
      </x:c>
      <x:c r="S221" s="9" t="n">
        <x:f>SUMIFS('350配方'!$M221:$P221,'350配方'!$Y221:$AB221,105)</x:f>
        <x:v>0</x:v>
      </x:c>
      <x:c r="T221" s="9" t="n">
        <x:f>SUMIFS('350配方'!$M221:$P221,'350配方'!$Y221:$AB221,111)</x:f>
        <x:v>0</x:v>
      </x:c>
      <x:c r="U221" s="9" t="n">
        <x:f>SUMIFS('350配方'!$M221:$P221,'350配方'!$Y221:$AB221,114)</x:f>
        <x:v>0</x:v>
      </x:c>
      <x:c r="V221" s="9" t="n">
        <x:f>SUMIFS('350配方'!$M221:$P221,'350配方'!$Y221:$AB221,115)</x:f>
        <x:v>0</x:v>
      </x:c>
      <x:c r="W221" s="9" t="n">
        <x:f>SUMIFS('350配方'!$M221:$P221,'350配方'!$Y221:$AB221,117)</x:f>
        <x:v>0</x:v>
      </x:c>
      <x:c r="X221" s="9" t="n">
        <x:f>SUMIFS('350配方'!$M221:$P221,'350配方'!$Y221:$AB221,126)</x:f>
        <x:v>0</x:v>
      </x:c>
      <x:c r="Y221" s="9" t="n">
        <x:f>SUMIFS('350配方'!$M221:$P221,'350配方'!$Y221:$AB221,136)</x:f>
        <x:v>0</x:v>
      </x:c>
      <x:c r="Z221" s="9" t="n">
        <x:f>SUMIFS('350配方'!$M221:$P221,'350配方'!$Y221:$AB221,141)</x:f>
        <x:v>0</x:v>
      </x:c>
      <x:c r="AA221" s="9" t="n">
        <x:f>SUMIFS('350配方'!$M221:$P221,'350配方'!$Y221:$AB221,152)</x:f>
        <x:v>4.84</x:v>
      </x:c>
      <x:c r="AB221" s="9" t="n">
        <x:f>SUMIFS('350配方'!$M221:$P221,'350配方'!$Y221:$AB221,165)</x:f>
        <x:v>0</x:v>
      </x:c>
      <x:c r="AC221" s="9" t="n">
        <x:f>SUMIFS('350配方'!$M221:$P221,'350配方'!$Y221:$AB221,186)</x:f>
        <x:v>0</x:v>
      </x:c>
      <x:c r="AD221" s="9" t="n">
        <x:f>SUMIFS('350配方'!$M221:$P221,'350配方'!$Y221:$AB221,207)</x:f>
        <x:v>0</x:v>
      </x:c>
      <x:c r="AE221" s="9" t="n">
        <x:f>SUMIFS('350配方'!$M221:$P221,'350配方'!$Y221:$AB221,209)</x:f>
        <x:v>0</x:v>
      </x:c>
      <x:c r="AF221" s="9" t="n">
        <x:f>SUMIFS('350配方'!$M221:$P221,'350配方'!$Y221:$AB221,227)</x:f>
        <x:v>2.5</x:v>
      </x:c>
      <x:c r="AG221" s="9" t="n">
        <x:f>SUMIFS('350配方'!$M221:$P221,'350配方'!$Y221:$AB221,232)</x:f>
        <x:v>0</x:v>
      </x:c>
      <x:c r="AH221" s="9" t="n">
        <x:f>SUMIFS('350配方'!$M221:$P221,'350配方'!$Y221:$AB221,255)</x:f>
        <x:v>0</x:v>
      </x:c>
      <x:c r="AI221" s="9" t="n">
        <x:f>'浓度设置'!S6</x:f>
        <x:v>219125.9626344086</x:v>
      </x:c>
      <x:c r="AJ221" s="9" t="n">
        <x:f>'浓度设置'!S8</x:f>
        <x:v>92796.92267241378</x:v>
      </x:c>
      <x:c r="AK221" s="9" t="n">
        <x:f>'浓度设置'!S10</x:f>
        <x:v>30556.797802197798</x:v>
      </x:c>
      <x:c r="AL221" s="9" t="n">
        <x:f>'浓度设置'!S12</x:f>
        <x:v>1735.828970588235</x:v>
      </x:c>
      <x:c r="AM221" s="9" t="n">
        <x:f>'浓度设置'!S15</x:f>
        <x:v>7385.813644067793</x:v>
      </x:c>
      <x:c r="AN221" s="9" t="n">
        <x:f>'浓度设置'!S19</x:f>
        <x:v>27722.03097701148</x:v>
      </x:c>
      <x:c r="AO221" s="9" t="n">
        <x:f>'浓度设置'!S22</x:f>
        <x:v>44345.55047619048</x:v>
      </x:c>
      <x:c r="AP221" s="9" t="n">
        <x:f>'浓度设置'!S26</x:f>
        <x:v>153318.30499999996</x:v>
      </x:c>
      <x:c r="AQ221" s="9" t="n">
        <x:f>'浓度设置'!S29</x:f>
        <x:v>312.7970588235294</x:v>
      </x:c>
      <x:c r="AR221" s="9" t="n">
        <x:f>'浓度设置'!S30</x:f>
        <x:v>104175.5097553192</x:v>
      </x:c>
      <x:c r="AS221" s="9" t="n">
        <x:f>'浓度设置'!S35</x:f>
        <x:v>405974.90656785714</x:v>
      </x:c>
    </x:row>
    <x:row r="222" ht="24" customHeight="1">
      <x:c r="A222" s="3" t="str">
        <x:f>'350配方'!A222</x:f>
        <x:v>T217</x:v>
      </x:c>
      <x:c r="B222" s="3" t="str">
        <x:f>'350配方'!B222</x:f>
        <x:v>拟合</x:v>
      </x:c>
      <x:c r="C222" s="3" t="n">
        <x:f>IF(B222="拟合",1,0)</x:f>
        <x:v>1</x:v>
      </x:c>
      <x:c r="D222" s="3" t="n">
        <x:f>'350配方'!AC222</x:f>
        <x:v>4</x:v>
      </x:c>
      <x:c r="E222" s="9" t="n">
        <x:f>SUMIFS('350配方'!$M222:$P222,'350配方'!$Y222:$AB222,7)</x:f>
        <x:v>0</x:v>
      </x:c>
      <x:c r="F222" s="9" t="n">
        <x:f>SUMIFS('350配方'!$M222:$P222,'350配方'!$Y222:$AB222,11)</x:f>
        <x:v>0</x:v>
      </x:c>
      <x:c r="G222" s="9" t="n">
        <x:f>SUMIFS('350配方'!$M222:$P222,'350配方'!$Y222:$AB222,18)</x:f>
        <x:v>0</x:v>
      </x:c>
      <x:c r="H222" s="9" t="n">
        <x:f>SUMIFS('350配方'!$M222:$P222,'350配方'!$Y222:$AB222,32)</x:f>
        <x:v>0</x:v>
      </x:c>
      <x:c r="I222" s="9" t="n">
        <x:f>SUMIFS('350配方'!$M222:$P222,'350配方'!$Y222:$AB222,40)</x:f>
        <x:v>0</x:v>
      </x:c>
      <x:c r="J222" s="9" t="n">
        <x:f>SUMIFS('350配方'!$M222:$P222,'350配方'!$Y222:$AB222,52)</x:f>
        <x:v>1290235</x:v>
      </x:c>
      <x:c r="K222" s="9" t="n">
        <x:f>SUMIFS('350配方'!$M222:$P222,'350配方'!$Y222:$AB222,53)</x:f>
        <x:v>0</x:v>
      </x:c>
      <x:c r="L222" s="9" t="n">
        <x:f>SUMIFS('350配方'!$M222:$P222,'350配方'!$Y222:$AB222,56)</x:f>
        <x:v>4105</x:v>
      </x:c>
      <x:c r="M222" s="9" t="n">
        <x:f>SUMIFS('350配方'!$M222:$P222,'350配方'!$Y222:$AB222,58)</x:f>
        <x:v>0</x:v>
      </x:c>
      <x:c r="N222" s="9" t="n">
        <x:f>SUMIFS('350配方'!$M222:$P222,'350配方'!$Y222:$AB222,61)</x:f>
        <x:v>0</x:v>
      </x:c>
      <x:c r="O222" s="9" t="n">
        <x:f>SUMIFS('350配方'!$M222:$P222,'350配方'!$Y222:$AB222,69)</x:f>
        <x:v>99.89207175747232</x:v>
      </x:c>
      <x:c r="P222" s="9" t="n">
        <x:f>SUMIFS('350配方'!$M222:$P222,'350配方'!$Y222:$AB222,75)</x:f>
        <x:v>0</x:v>
      </x:c>
      <x:c r="Q222" s="9" t="n">
        <x:f>SUMIFS('350配方'!$M222:$P222,'350配方'!$Y222:$AB222,79)</x:f>
        <x:v>0</x:v>
      </x:c>
      <x:c r="R222" s="9" t="n">
        <x:f>SUMIFS('350配方'!$M222:$P222,'350配方'!$Y222:$AB222,90)</x:f>
        <x:v>0</x:v>
      </x:c>
      <x:c r="S222" s="9" t="n">
        <x:f>SUMIFS('350配方'!$M222:$P222,'350配方'!$Y222:$AB222,105)</x:f>
        <x:v>0</x:v>
      </x:c>
      <x:c r="T222" s="9" t="n">
        <x:f>SUMIFS('350配方'!$M222:$P222,'350配方'!$Y222:$AB222,111)</x:f>
        <x:v>0</x:v>
      </x:c>
      <x:c r="U222" s="9" t="n">
        <x:f>SUMIFS('350配方'!$M222:$P222,'350配方'!$Y222:$AB222,114)</x:f>
        <x:v>0</x:v>
      </x:c>
      <x:c r="V222" s="9" t="n">
        <x:f>SUMIFS('350配方'!$M222:$P222,'350配方'!$Y222:$AB222,115)</x:f>
        <x:v>0</x:v>
      </x:c>
      <x:c r="W222" s="9" t="n">
        <x:f>SUMIFS('350配方'!$M222:$P222,'350配方'!$Y222:$AB222,117)</x:f>
        <x:v>0</x:v>
      </x:c>
      <x:c r="X222" s="9" t="n">
        <x:f>SUMIFS('350配方'!$M222:$P222,'350配方'!$Y222:$AB222,126)</x:f>
        <x:v>1815.6539083757125</x:v>
      </x:c>
      <x:c r="Y222" s="9" t="n">
        <x:f>SUMIFS('350配方'!$M222:$P222,'350配方'!$Y222:$AB222,136)</x:f>
        <x:v>0</x:v>
      </x:c>
      <x:c r="Z222" s="9" t="n">
        <x:f>SUMIFS('350配方'!$M222:$P222,'350配方'!$Y222:$AB222,141)</x:f>
        <x:v>0</x:v>
      </x:c>
      <x:c r="AA222" s="9" t="n">
        <x:f>SUMIFS('350配方'!$M222:$P222,'350配方'!$Y222:$AB222,152)</x:f>
        <x:v>0</x:v>
      </x:c>
      <x:c r="AB222" s="9" t="n">
        <x:f>SUMIFS('350配方'!$M222:$P222,'350配方'!$Y222:$AB222,165)</x:f>
        <x:v>0</x:v>
      </x:c>
      <x:c r="AC222" s="9" t="n">
        <x:f>SUMIFS('350配方'!$M222:$P222,'350配方'!$Y222:$AB222,186)</x:f>
        <x:v>0</x:v>
      </x:c>
      <x:c r="AD222" s="9" t="n">
        <x:f>SUMIFS('350配方'!$M222:$P222,'350配方'!$Y222:$AB222,207)</x:f>
        <x:v>0</x:v>
      </x:c>
      <x:c r="AE222" s="9" t="n">
        <x:f>SUMIFS('350配方'!$M222:$P222,'350配方'!$Y222:$AB222,209)</x:f>
        <x:v>0</x:v>
      </x:c>
      <x:c r="AF222" s="9" t="n">
        <x:f>SUMIFS('350配方'!$M222:$P222,'350配方'!$Y222:$AB222,227)</x:f>
        <x:v>0</x:v>
      </x:c>
      <x:c r="AG222" s="9" t="n">
        <x:f>SUMIFS('350配方'!$M222:$P222,'350配方'!$Y222:$AB222,232)</x:f>
        <x:v>0</x:v>
      </x:c>
      <x:c r="AH222" s="9" t="n">
        <x:f>SUMIFS('350配方'!$M222:$P222,'350配方'!$Y222:$AB222,255)</x:f>
        <x:v>0</x:v>
      </x:c>
      <x:c r="AI222" s="9" t="n">
        <x:f>'浓度设置'!S6</x:f>
        <x:v>219125.9626344086</x:v>
      </x:c>
      <x:c r="AJ222" s="9" t="n">
        <x:f>'浓度设置'!S8</x:f>
        <x:v>92796.92267241378</x:v>
      </x:c>
      <x:c r="AK222" s="9" t="n">
        <x:f>'浓度设置'!S10</x:f>
        <x:v>30556.797802197798</x:v>
      </x:c>
      <x:c r="AL222" s="9" t="n">
        <x:f>'浓度设置'!S12</x:f>
        <x:v>1735.828970588235</x:v>
      </x:c>
      <x:c r="AM222" s="9" t="n">
        <x:f>'浓度设置'!S15</x:f>
        <x:v>7385.813644067793</x:v>
      </x:c>
      <x:c r="AN222" s="9" t="n">
        <x:f>'浓度设置'!S19</x:f>
        <x:v>27722.03097701148</x:v>
      </x:c>
      <x:c r="AO222" s="9" t="n">
        <x:f>'浓度设置'!S22</x:f>
        <x:v>44345.55047619048</x:v>
      </x:c>
      <x:c r="AP222" s="9" t="n">
        <x:f>'浓度设置'!S26</x:f>
        <x:v>153318.30499999996</x:v>
      </x:c>
      <x:c r="AQ222" s="9" t="n">
        <x:f>'浓度设置'!S29</x:f>
        <x:v>312.7970588235294</x:v>
      </x:c>
      <x:c r="AR222" s="9" t="n">
        <x:f>'浓度设置'!S30</x:f>
        <x:v>104175.5097553192</x:v>
      </x:c>
      <x:c r="AS222" s="9" t="n">
        <x:f>'浓度设置'!S35</x:f>
        <x:v>405974.90656785714</x:v>
      </x:c>
    </x:row>
    <x:row r="223" ht="24" customHeight="1">
      <x:c r="A223" s="3" t="str">
        <x:f>'350配方'!A223</x:f>
        <x:v>T218</x:v>
      </x:c>
      <x:c r="B223" s="3" t="str">
        <x:f>'350配方'!B223</x:f>
        <x:v>拟合</x:v>
      </x:c>
      <x:c r="C223" s="3" t="n">
        <x:f>IF(B223="拟合",1,0)</x:f>
        <x:v>1</x:v>
      </x:c>
      <x:c r="D223" s="3" t="n">
        <x:f>'350配方'!AC223</x:f>
        <x:v>4</x:v>
      </x:c>
      <x:c r="E223" s="9" t="n">
        <x:f>SUMIFS('350配方'!$M223:$P223,'350配方'!$Y223:$AB223,7)</x:f>
        <x:v>0</x:v>
      </x:c>
      <x:c r="F223" s="9" t="n">
        <x:f>SUMIFS('350配方'!$M223:$P223,'350配方'!$Y223:$AB223,11)</x:f>
        <x:v>0</x:v>
      </x:c>
      <x:c r="G223" s="9" t="n">
        <x:f>SUMIFS('350配方'!$M223:$P223,'350配方'!$Y223:$AB223,18)</x:f>
        <x:v>0</x:v>
      </x:c>
      <x:c r="H223" s="9" t="n">
        <x:f>SUMIFS('350配方'!$M223:$P223,'350配方'!$Y223:$AB223,32)</x:f>
        <x:v>0</x:v>
      </x:c>
      <x:c r="I223" s="9" t="n">
        <x:f>SUMIFS('350配方'!$M223:$P223,'350配方'!$Y223:$AB223,40)</x:f>
        <x:v>0</x:v>
      </x:c>
      <x:c r="J223" s="9" t="n">
        <x:f>SUMIFS('350配方'!$M223:$P223,'350配方'!$Y223:$AB223,52)</x:f>
        <x:v>0</x:v>
      </x:c>
      <x:c r="K223" s="9" t="n">
        <x:f>SUMIFS('350配方'!$M223:$P223,'350配方'!$Y223:$AB223,53)</x:f>
        <x:v>0</x:v>
      </x:c>
      <x:c r="L223" s="9" t="n">
        <x:f>SUMIFS('350配方'!$M223:$P223,'350配方'!$Y223:$AB223,56)</x:f>
        <x:v>0</x:v>
      </x:c>
      <x:c r="M223" s="9" t="n">
        <x:f>SUMIFS('350配方'!$M223:$P223,'350配方'!$Y223:$AB223,58)</x:f>
        <x:v>0</x:v>
      </x:c>
      <x:c r="N223" s="9" t="n">
        <x:f>SUMIFS('350配方'!$M223:$P223,'350配方'!$Y223:$AB223,61)</x:f>
        <x:v>0</x:v>
      </x:c>
      <x:c r="O223" s="9" t="n">
        <x:f>SUMIFS('350配方'!$M223:$P223,'350配方'!$Y223:$AB223,69)</x:f>
        <x:v>0</x:v>
      </x:c>
      <x:c r="P223" s="9" t="n">
        <x:f>SUMIFS('350配方'!$M223:$P223,'350配方'!$Y223:$AB223,75)</x:f>
        <x:v>0</x:v>
      </x:c>
      <x:c r="Q223" s="9" t="n">
        <x:f>SUMIFS('350配方'!$M223:$P223,'350配方'!$Y223:$AB223,79)</x:f>
        <x:v>0</x:v>
      </x:c>
      <x:c r="R223" s="9" t="n">
        <x:f>SUMIFS('350配方'!$M223:$P223,'350配方'!$Y223:$AB223,90)</x:f>
        <x:v>0</x:v>
      </x:c>
      <x:c r="S223" s="9" t="n">
        <x:f>SUMIFS('350配方'!$M223:$P223,'350配方'!$Y223:$AB223,105)</x:f>
        <x:v>15730</x:v>
      </x:c>
      <x:c r="T223" s="9" t="n">
        <x:f>SUMIFS('350配方'!$M223:$P223,'350配方'!$Y223:$AB223,111)</x:f>
        <x:v>0</x:v>
      </x:c>
      <x:c r="U223" s="9" t="n">
        <x:f>SUMIFS('350配方'!$M223:$P223,'350配方'!$Y223:$AB223,114)</x:f>
        <x:v>3147.945</x:v>
      </x:c>
      <x:c r="V223" s="9" t="n">
        <x:f>SUMIFS('350配方'!$M223:$P223,'350配方'!$Y223:$AB223,115)</x:f>
        <x:v>1.44</x:v>
      </x:c>
      <x:c r="W223" s="9" t="n">
        <x:f>SUMIFS('350配方'!$M223:$P223,'350配方'!$Y223:$AB223,117)</x:f>
        <x:v>1.875</x:v>
      </x:c>
      <x:c r="X223" s="9" t="n">
        <x:f>SUMIFS('350配方'!$M223:$P223,'350配方'!$Y223:$AB223,126)</x:f>
        <x:v>0</x:v>
      </x:c>
      <x:c r="Y223" s="9" t="n">
        <x:f>SUMIFS('350配方'!$M223:$P223,'350配方'!$Y223:$AB223,136)</x:f>
        <x:v>0</x:v>
      </x:c>
      <x:c r="Z223" s="9" t="n">
        <x:f>SUMIFS('350配方'!$M223:$P223,'350配方'!$Y223:$AB223,141)</x:f>
        <x:v>0</x:v>
      </x:c>
      <x:c r="AA223" s="9" t="n">
        <x:f>SUMIFS('350配方'!$M223:$P223,'350配方'!$Y223:$AB223,152)</x:f>
        <x:v>0</x:v>
      </x:c>
      <x:c r="AB223" s="9" t="n">
        <x:f>SUMIFS('350配方'!$M223:$P223,'350配方'!$Y223:$AB223,165)</x:f>
        <x:v>0</x:v>
      </x:c>
      <x:c r="AC223" s="9" t="n">
        <x:f>SUMIFS('350配方'!$M223:$P223,'350配方'!$Y223:$AB223,186)</x:f>
        <x:v>0</x:v>
      </x:c>
      <x:c r="AD223" s="9" t="n">
        <x:f>SUMIFS('350配方'!$M223:$P223,'350配方'!$Y223:$AB223,207)</x:f>
        <x:v>0</x:v>
      </x:c>
      <x:c r="AE223" s="9" t="n">
        <x:f>SUMIFS('350配方'!$M223:$P223,'350配方'!$Y223:$AB223,209)</x:f>
        <x:v>0</x:v>
      </x:c>
      <x:c r="AF223" s="9" t="n">
        <x:f>SUMIFS('350配方'!$M223:$P223,'350配方'!$Y223:$AB223,227)</x:f>
        <x:v>0</x:v>
      </x:c>
      <x:c r="AG223" s="9" t="n">
        <x:f>SUMIFS('350配方'!$M223:$P223,'350配方'!$Y223:$AB223,232)</x:f>
        <x:v>0</x:v>
      </x:c>
      <x:c r="AH223" s="9" t="n">
        <x:f>SUMIFS('350配方'!$M223:$P223,'350配方'!$Y223:$AB223,255)</x:f>
        <x:v>0</x:v>
      </x:c>
      <x:c r="AI223" s="9" t="n">
        <x:f>'浓度设置'!S6</x:f>
        <x:v>219125.9626344086</x:v>
      </x:c>
      <x:c r="AJ223" s="9" t="n">
        <x:f>'浓度设置'!S8</x:f>
        <x:v>92796.92267241378</x:v>
      </x:c>
      <x:c r="AK223" s="9" t="n">
        <x:f>'浓度设置'!S10</x:f>
        <x:v>30556.797802197798</x:v>
      </x:c>
      <x:c r="AL223" s="9" t="n">
        <x:f>'浓度设置'!S12</x:f>
        <x:v>1735.828970588235</x:v>
      </x:c>
      <x:c r="AM223" s="9" t="n">
        <x:f>'浓度设置'!S15</x:f>
        <x:v>7385.813644067793</x:v>
      </x:c>
      <x:c r="AN223" s="9" t="n">
        <x:f>'浓度设置'!S19</x:f>
        <x:v>27722.03097701148</x:v>
      </x:c>
      <x:c r="AO223" s="9" t="n">
        <x:f>'浓度设置'!S22</x:f>
        <x:v>44345.55047619048</x:v>
      </x:c>
      <x:c r="AP223" s="9" t="n">
        <x:f>'浓度设置'!S26</x:f>
        <x:v>153318.30499999996</x:v>
      </x:c>
      <x:c r="AQ223" s="9" t="n">
        <x:f>'浓度设置'!S29</x:f>
        <x:v>312.7970588235294</x:v>
      </x:c>
      <x:c r="AR223" s="9" t="n">
        <x:f>'浓度设置'!S30</x:f>
        <x:v>104175.5097553192</x:v>
      </x:c>
      <x:c r="AS223" s="9" t="n">
        <x:f>'浓度设置'!S35</x:f>
        <x:v>405974.90656785714</x:v>
      </x:c>
    </x:row>
    <x:row r="224" ht="24" customHeight="1">
      <x:c r="A224" s="3" t="str">
        <x:f>'350配方'!A224</x:f>
        <x:v>T219</x:v>
      </x:c>
      <x:c r="B224" s="3" t="str">
        <x:f>'350配方'!B224</x:f>
        <x:v>拟合</x:v>
      </x:c>
      <x:c r="C224" s="3" t="n">
        <x:f>IF(B224="拟合",1,0)</x:f>
        <x:v>1</x:v>
      </x:c>
      <x:c r="D224" s="3" t="n">
        <x:f>'350配方'!AC224</x:f>
        <x:v>4</x:v>
      </x:c>
      <x:c r="E224" s="9" t="n">
        <x:f>SUMIFS('350配方'!$M224:$P224,'350配方'!$Y224:$AB224,7)</x:f>
        <x:v>0</x:v>
      </x:c>
      <x:c r="F224" s="9" t="n">
        <x:f>SUMIFS('350配方'!$M224:$P224,'350配方'!$Y224:$AB224,11)</x:f>
        <x:v>0</x:v>
      </x:c>
      <x:c r="G224" s="9" t="n">
        <x:f>SUMIFS('350配方'!$M224:$P224,'350配方'!$Y224:$AB224,18)</x:f>
        <x:v>0</x:v>
      </x:c>
      <x:c r="H224" s="9" t="n">
        <x:f>SUMIFS('350配方'!$M224:$P224,'350配方'!$Y224:$AB224,32)</x:f>
        <x:v>0</x:v>
      </x:c>
      <x:c r="I224" s="9" t="n">
        <x:f>SUMIFS('350配方'!$M224:$P224,'350配方'!$Y224:$AB224,40)</x:f>
        <x:v>0</x:v>
      </x:c>
      <x:c r="J224" s="9" t="n">
        <x:f>SUMIFS('350配方'!$M224:$P224,'350配方'!$Y224:$AB224,52)</x:f>
        <x:v>0</x:v>
      </x:c>
      <x:c r="K224" s="9" t="n">
        <x:f>SUMIFS('350配方'!$M224:$P224,'350配方'!$Y224:$AB224,53)</x:f>
        <x:v>0</x:v>
      </x:c>
      <x:c r="L224" s="9" t="n">
        <x:f>SUMIFS('350配方'!$M224:$P224,'350配方'!$Y224:$AB224,56)</x:f>
        <x:v>0</x:v>
      </x:c>
      <x:c r="M224" s="9" t="n">
        <x:f>SUMIFS('350配方'!$M224:$P224,'350配方'!$Y224:$AB224,58)</x:f>
        <x:v>0</x:v>
      </x:c>
      <x:c r="N224" s="9" t="n">
        <x:f>SUMIFS('350配方'!$M224:$P224,'350配方'!$Y224:$AB224,61)</x:f>
        <x:v>0</x:v>
      </x:c>
      <x:c r="O224" s="9" t="n">
        <x:f>SUMIFS('350配方'!$M224:$P224,'350配方'!$Y224:$AB224,69)</x:f>
        <x:v>0</x:v>
      </x:c>
      <x:c r="P224" s="9" t="n">
        <x:f>SUMIFS('350配方'!$M224:$P224,'350配方'!$Y224:$AB224,75)</x:f>
        <x:v>62700</x:v>
      </x:c>
      <x:c r="Q224" s="9" t="n">
        <x:f>SUMIFS('350配方'!$M224:$P224,'350配方'!$Y224:$AB224,79)</x:f>
        <x:v>0</x:v>
      </x:c>
      <x:c r="R224" s="9" t="n">
        <x:f>SUMIFS('350配方'!$M224:$P224,'350配方'!$Y224:$AB224,90)</x:f>
        <x:v>0</x:v>
      </x:c>
      <x:c r="S224" s="9" t="n">
        <x:f>SUMIFS('350配方'!$M224:$P224,'350配方'!$Y224:$AB224,105)</x:f>
        <x:v>0</x:v>
      </x:c>
      <x:c r="T224" s="9" t="n">
        <x:f>SUMIFS('350配方'!$M224:$P224,'350配方'!$Y224:$AB224,111)</x:f>
        <x:v>0</x:v>
      </x:c>
      <x:c r="U224" s="9" t="n">
        <x:f>SUMIFS('350配方'!$M224:$P224,'350配方'!$Y224:$AB224,114)</x:f>
        <x:v>0</x:v>
      </x:c>
      <x:c r="V224" s="9" t="n">
        <x:f>SUMIFS('350配方'!$M224:$P224,'350配方'!$Y224:$AB224,115)</x:f>
        <x:v>0</x:v>
      </x:c>
      <x:c r="W224" s="9" t="n">
        <x:f>SUMIFS('350配方'!$M224:$P224,'350配方'!$Y224:$AB224,117)</x:f>
        <x:v>0</x:v>
      </x:c>
      <x:c r="X224" s="9" t="n">
        <x:f>SUMIFS('350配方'!$M224:$P224,'350配方'!$Y224:$AB224,126)</x:f>
        <x:v>1815.6539083757125</x:v>
      </x:c>
      <x:c r="Y224" s="9" t="n">
        <x:f>SUMIFS('350配方'!$M224:$P224,'350配方'!$Y224:$AB224,136)</x:f>
        <x:v>0</x:v>
      </x:c>
      <x:c r="Z224" s="9" t="n">
        <x:f>SUMIFS('350配方'!$M224:$P224,'350配方'!$Y224:$AB224,141)</x:f>
        <x:v>0</x:v>
      </x:c>
      <x:c r="AA224" s="9" t="n">
        <x:f>SUMIFS('350配方'!$M224:$P224,'350配方'!$Y224:$AB224,152)</x:f>
        <x:v>0</x:v>
      </x:c>
      <x:c r="AB224" s="9" t="n">
        <x:f>SUMIFS('350配方'!$M224:$P224,'350配方'!$Y224:$AB224,165)</x:f>
        <x:v>0</x:v>
      </x:c>
      <x:c r="AC224" s="9" t="n">
        <x:f>SUMIFS('350配方'!$M224:$P224,'350配方'!$Y224:$AB224,186)</x:f>
        <x:v>11648000</x:v>
      </x:c>
      <x:c r="AD224" s="9" t="n">
        <x:f>SUMIFS('350配方'!$M224:$P224,'350配方'!$Y224:$AB224,207)</x:f>
        <x:v>271.45</x:v>
      </x:c>
      <x:c r="AE224" s="9" t="n">
        <x:f>SUMIFS('350配方'!$M224:$P224,'350配方'!$Y224:$AB224,209)</x:f>
        <x:v>0</x:v>
      </x:c>
      <x:c r="AF224" s="9" t="n">
        <x:f>SUMIFS('350配方'!$M224:$P224,'350配方'!$Y224:$AB224,227)</x:f>
        <x:v>0</x:v>
      </x:c>
      <x:c r="AG224" s="9" t="n">
        <x:f>SUMIFS('350配方'!$M224:$P224,'350配方'!$Y224:$AB224,232)</x:f>
        <x:v>0</x:v>
      </x:c>
      <x:c r="AH224" s="9" t="n">
        <x:f>SUMIFS('350配方'!$M224:$P224,'350配方'!$Y224:$AB224,255)</x:f>
        <x:v>0</x:v>
      </x:c>
      <x:c r="AI224" s="9" t="n">
        <x:f>'浓度设置'!S6</x:f>
        <x:v>219125.9626344086</x:v>
      </x:c>
      <x:c r="AJ224" s="9" t="n">
        <x:f>'浓度设置'!S8</x:f>
        <x:v>92796.92267241378</x:v>
      </x:c>
      <x:c r="AK224" s="9" t="n">
        <x:f>'浓度设置'!S10</x:f>
        <x:v>30556.797802197798</x:v>
      </x:c>
      <x:c r="AL224" s="9" t="n">
        <x:f>'浓度设置'!S12</x:f>
        <x:v>1735.828970588235</x:v>
      </x:c>
      <x:c r="AM224" s="9" t="n">
        <x:f>'浓度设置'!S15</x:f>
        <x:v>7385.813644067793</x:v>
      </x:c>
      <x:c r="AN224" s="9" t="n">
        <x:f>'浓度设置'!S19</x:f>
        <x:v>27722.03097701148</x:v>
      </x:c>
      <x:c r="AO224" s="9" t="n">
        <x:f>'浓度设置'!S22</x:f>
        <x:v>44345.55047619048</x:v>
      </x:c>
      <x:c r="AP224" s="9" t="n">
        <x:f>'浓度设置'!S26</x:f>
        <x:v>153318.30499999996</x:v>
      </x:c>
      <x:c r="AQ224" s="9" t="n">
        <x:f>'浓度设置'!S29</x:f>
        <x:v>312.7970588235294</x:v>
      </x:c>
      <x:c r="AR224" s="9" t="n">
        <x:f>'浓度设置'!S30</x:f>
        <x:v>104175.5097553192</x:v>
      </x:c>
      <x:c r="AS224" s="9" t="n">
        <x:f>'浓度设置'!S35</x:f>
        <x:v>405974.90656785714</x:v>
      </x:c>
    </x:row>
    <x:row r="225" ht="24" customHeight="1">
      <x:c r="A225" s="3" t="str">
        <x:f>'350配方'!A225</x:f>
        <x:v>T220</x:v>
      </x:c>
      <x:c r="B225" s="3" t="str">
        <x:f>'350配方'!B225</x:f>
        <x:v>拟合</x:v>
      </x:c>
      <x:c r="C225" s="3" t="n">
        <x:f>IF(B225="拟合",1,0)</x:f>
        <x:v>1</x:v>
      </x:c>
      <x:c r="D225" s="3" t="n">
        <x:f>'350配方'!AC225</x:f>
        <x:v>4</x:v>
      </x:c>
      <x:c r="E225" s="9" t="n">
        <x:f>SUMIFS('350配方'!$M225:$P225,'350配方'!$Y225:$AB225,7)</x:f>
        <x:v>0</x:v>
      </x:c>
      <x:c r="F225" s="9" t="n">
        <x:f>SUMIFS('350配方'!$M225:$P225,'350配方'!$Y225:$AB225,11)</x:f>
        <x:v>0</x:v>
      </x:c>
      <x:c r="G225" s="9" t="n">
        <x:f>SUMIFS('350配方'!$M225:$P225,'350配方'!$Y225:$AB225,18)</x:f>
        <x:v>0</x:v>
      </x:c>
      <x:c r="H225" s="9" t="n">
        <x:f>SUMIFS('350配方'!$M225:$P225,'350配方'!$Y225:$AB225,32)</x:f>
        <x:v>37489</x:v>
      </x:c>
      <x:c r="I225" s="9" t="n">
        <x:f>SUMIFS('350配方'!$M225:$P225,'350配方'!$Y225:$AB225,40)</x:f>
        <x:v>0</x:v>
      </x:c>
      <x:c r="J225" s="9" t="n">
        <x:f>SUMIFS('350配方'!$M225:$P225,'350配方'!$Y225:$AB225,52)</x:f>
        <x:v>0</x:v>
      </x:c>
      <x:c r="K225" s="9" t="n">
        <x:f>SUMIFS('350配方'!$M225:$P225,'350配方'!$Y225:$AB225,53)</x:f>
        <x:v>0</x:v>
      </x:c>
      <x:c r="L225" s="9" t="n">
        <x:f>SUMIFS('350配方'!$M225:$P225,'350配方'!$Y225:$AB225,56)</x:f>
        <x:v>0</x:v>
      </x:c>
      <x:c r="M225" s="9" t="n">
        <x:f>SUMIFS('350配方'!$M225:$P225,'350配方'!$Y225:$AB225,58)</x:f>
        <x:v>3072.731960324558</x:v>
      </x:c>
      <x:c r="N225" s="9" t="n">
        <x:f>SUMIFS('350配方'!$M225:$P225,'350配方'!$Y225:$AB225,61)</x:f>
        <x:v>0</x:v>
      </x:c>
      <x:c r="O225" s="9" t="n">
        <x:f>SUMIFS('350配方'!$M225:$P225,'350配方'!$Y225:$AB225,69)</x:f>
        <x:v>0</x:v>
      </x:c>
      <x:c r="P225" s="9" t="n">
        <x:f>SUMIFS('350配方'!$M225:$P225,'350配方'!$Y225:$AB225,75)</x:f>
        <x:v>0</x:v>
      </x:c>
      <x:c r="Q225" s="9" t="n">
        <x:f>SUMIFS('350配方'!$M225:$P225,'350配方'!$Y225:$AB225,79)</x:f>
        <x:v>0</x:v>
      </x:c>
      <x:c r="R225" s="9" t="n">
        <x:f>SUMIFS('350配方'!$M225:$P225,'350配方'!$Y225:$AB225,90)</x:f>
        <x:v>1232.25</x:v>
      </x:c>
      <x:c r="S225" s="9" t="n">
        <x:f>SUMIFS('350配方'!$M225:$P225,'350配方'!$Y225:$AB225,105)</x:f>
        <x:v>0</x:v>
      </x:c>
      <x:c r="T225" s="9" t="n">
        <x:f>SUMIFS('350配方'!$M225:$P225,'350配方'!$Y225:$AB225,111)</x:f>
        <x:v>0</x:v>
      </x:c>
      <x:c r="U225" s="9" t="n">
        <x:f>SUMIFS('350配方'!$M225:$P225,'350配方'!$Y225:$AB225,114)</x:f>
        <x:v>0</x:v>
      </x:c>
      <x:c r="V225" s="9" t="n">
        <x:f>SUMIFS('350配方'!$M225:$P225,'350配方'!$Y225:$AB225,115)</x:f>
        <x:v>0</x:v>
      </x:c>
      <x:c r="W225" s="9" t="n">
        <x:f>SUMIFS('350配方'!$M225:$P225,'350配方'!$Y225:$AB225,117)</x:f>
        <x:v>0</x:v>
      </x:c>
      <x:c r="X225" s="9" t="n">
        <x:f>SUMIFS('350配方'!$M225:$P225,'350配方'!$Y225:$AB225,126)</x:f>
        <x:v>0</x:v>
      </x:c>
      <x:c r="Y225" s="9" t="n">
        <x:f>SUMIFS('350配方'!$M225:$P225,'350配方'!$Y225:$AB225,136)</x:f>
        <x:v>0</x:v>
      </x:c>
      <x:c r="Z225" s="9" t="n">
        <x:f>SUMIFS('350配方'!$M225:$P225,'350配方'!$Y225:$AB225,141)</x:f>
        <x:v>0</x:v>
      </x:c>
      <x:c r="AA225" s="9" t="n">
        <x:f>SUMIFS('350配方'!$M225:$P225,'350配方'!$Y225:$AB225,152)</x:f>
        <x:v>0</x:v>
      </x:c>
      <x:c r="AB225" s="9" t="n">
        <x:f>SUMIFS('350配方'!$M225:$P225,'350配方'!$Y225:$AB225,165)</x:f>
        <x:v>0</x:v>
      </x:c>
      <x:c r="AC225" s="9" t="n">
        <x:f>SUMIFS('350配方'!$M225:$P225,'350配方'!$Y225:$AB225,186)</x:f>
        <x:v>0</x:v>
      </x:c>
      <x:c r="AD225" s="9" t="n">
        <x:f>SUMIFS('350配方'!$M225:$P225,'350配方'!$Y225:$AB225,207)</x:f>
        <x:v>0</x:v>
      </x:c>
      <x:c r="AE225" s="9" t="n">
        <x:f>SUMIFS('350配方'!$M225:$P225,'350配方'!$Y225:$AB225,209)</x:f>
        <x:v>0</x:v>
      </x:c>
      <x:c r="AF225" s="9" t="n">
        <x:f>SUMIFS('350配方'!$M225:$P225,'350配方'!$Y225:$AB225,227)</x:f>
        <x:v>0</x:v>
      </x:c>
      <x:c r="AG225" s="9" t="n">
        <x:f>SUMIFS('350配方'!$M225:$P225,'350配方'!$Y225:$AB225,232)</x:f>
        <x:v>0.97</x:v>
      </x:c>
      <x:c r="AH225" s="9" t="n">
        <x:f>SUMIFS('350配方'!$M225:$P225,'350配方'!$Y225:$AB225,255)</x:f>
        <x:v>0</x:v>
      </x:c>
      <x:c r="AI225" s="9" t="n">
        <x:f>'浓度设置'!S6</x:f>
        <x:v>219125.9626344086</x:v>
      </x:c>
      <x:c r="AJ225" s="9" t="n">
        <x:f>'浓度设置'!S8</x:f>
        <x:v>92796.92267241378</x:v>
      </x:c>
      <x:c r="AK225" s="9" t="n">
        <x:f>'浓度设置'!S10</x:f>
        <x:v>30556.797802197798</x:v>
      </x:c>
      <x:c r="AL225" s="9" t="n">
        <x:f>'浓度设置'!S12</x:f>
        <x:v>1735.828970588235</x:v>
      </x:c>
      <x:c r="AM225" s="9" t="n">
        <x:f>'浓度设置'!S15</x:f>
        <x:v>7385.813644067793</x:v>
      </x:c>
      <x:c r="AN225" s="9" t="n">
        <x:f>'浓度设置'!S19</x:f>
        <x:v>27722.03097701148</x:v>
      </x:c>
      <x:c r="AO225" s="9" t="n">
        <x:f>'浓度设置'!S22</x:f>
        <x:v>44345.55047619048</x:v>
      </x:c>
      <x:c r="AP225" s="9" t="n">
        <x:f>'浓度设置'!S26</x:f>
        <x:v>153318.30499999996</x:v>
      </x:c>
      <x:c r="AQ225" s="9" t="n">
        <x:f>'浓度设置'!S29</x:f>
        <x:v>312.7970588235294</x:v>
      </x:c>
      <x:c r="AR225" s="9" t="n">
        <x:f>'浓度设置'!S30</x:f>
        <x:v>104175.5097553192</x:v>
      </x:c>
      <x:c r="AS225" s="9" t="n">
        <x:f>'浓度设置'!S35</x:f>
        <x:v>405974.90656785714</x:v>
      </x:c>
    </x:row>
    <x:row r="226" ht="24" customHeight="1">
      <x:c r="A226" s="3" t="str">
        <x:f>'350配方'!A226</x:f>
        <x:v>T221</x:v>
      </x:c>
      <x:c r="B226" s="3" t="str">
        <x:f>'350配方'!B226</x:f>
        <x:v>拟合</x:v>
      </x:c>
      <x:c r="C226" s="3" t="n">
        <x:f>IF(B226="拟合",1,0)</x:f>
        <x:v>1</x:v>
      </x:c>
      <x:c r="D226" s="3" t="n">
        <x:f>'350配方'!AC226</x:f>
        <x:v>4</x:v>
      </x:c>
      <x:c r="E226" s="9" t="n">
        <x:f>SUMIFS('350配方'!$M226:$P226,'350配方'!$Y226:$AB226,7)</x:f>
        <x:v>173</x:v>
      </x:c>
      <x:c r="F226" s="9" t="n">
        <x:f>SUMIFS('350配方'!$M226:$P226,'350配方'!$Y226:$AB226,11)</x:f>
        <x:v>16.97</x:v>
      </x:c>
      <x:c r="G226" s="9" t="n">
        <x:f>SUMIFS('350配方'!$M226:$P226,'350配方'!$Y226:$AB226,18)</x:f>
        <x:v>0</x:v>
      </x:c>
      <x:c r="H226" s="9" t="n">
        <x:f>SUMIFS('350配方'!$M226:$P226,'350配方'!$Y226:$AB226,32)</x:f>
        <x:v>0</x:v>
      </x:c>
      <x:c r="I226" s="9" t="n">
        <x:f>SUMIFS('350配方'!$M226:$P226,'350配方'!$Y226:$AB226,40)</x:f>
        <x:v>0</x:v>
      </x:c>
      <x:c r="J226" s="9" t="n">
        <x:f>SUMIFS('350配方'!$M226:$P226,'350配方'!$Y226:$AB226,52)</x:f>
        <x:v>0</x:v>
      </x:c>
      <x:c r="K226" s="9" t="n">
        <x:f>SUMIFS('350配方'!$M226:$P226,'350配方'!$Y226:$AB226,53)</x:f>
        <x:v>0</x:v>
      </x:c>
      <x:c r="L226" s="9" t="n">
        <x:f>SUMIFS('350配方'!$M226:$P226,'350配方'!$Y226:$AB226,56)</x:f>
        <x:v>0</x:v>
      </x:c>
      <x:c r="M226" s="9" t="n">
        <x:f>SUMIFS('350配方'!$M226:$P226,'350配方'!$Y226:$AB226,58)</x:f>
        <x:v>0</x:v>
      </x:c>
      <x:c r="N226" s="9" t="n">
        <x:f>SUMIFS('350配方'!$M226:$P226,'350配方'!$Y226:$AB226,61)</x:f>
        <x:v>0</x:v>
      </x:c>
      <x:c r="O226" s="9" t="n">
        <x:f>SUMIFS('350配方'!$M226:$P226,'350配方'!$Y226:$AB226,69)</x:f>
        <x:v>0</x:v>
      </x:c>
      <x:c r="P226" s="9" t="n">
        <x:f>SUMIFS('350配方'!$M226:$P226,'350配方'!$Y226:$AB226,75)</x:f>
        <x:v>0</x:v>
      </x:c>
      <x:c r="Q226" s="9" t="n">
        <x:f>SUMIFS('350配方'!$M226:$P226,'350配方'!$Y226:$AB226,79)</x:f>
        <x:v>0</x:v>
      </x:c>
      <x:c r="R226" s="9" t="n">
        <x:f>SUMIFS('350配方'!$M226:$P226,'350配方'!$Y226:$AB226,90)</x:f>
        <x:v>0</x:v>
      </x:c>
      <x:c r="S226" s="9" t="n">
        <x:f>SUMIFS('350配方'!$M226:$P226,'350配方'!$Y226:$AB226,105)</x:f>
        <x:v>0</x:v>
      </x:c>
      <x:c r="T226" s="9" t="n">
        <x:f>SUMIFS('350配方'!$M226:$P226,'350配方'!$Y226:$AB226,111)</x:f>
        <x:v>0</x:v>
      </x:c>
      <x:c r="U226" s="9" t="n">
        <x:f>SUMIFS('350配方'!$M226:$P226,'350配方'!$Y226:$AB226,114)</x:f>
        <x:v>0</x:v>
      </x:c>
      <x:c r="V226" s="9" t="n">
        <x:f>SUMIFS('350配方'!$M226:$P226,'350配方'!$Y226:$AB226,115)</x:f>
        <x:v>0</x:v>
      </x:c>
      <x:c r="W226" s="9" t="n">
        <x:f>SUMIFS('350配方'!$M226:$P226,'350配方'!$Y226:$AB226,117)</x:f>
        <x:v>0</x:v>
      </x:c>
      <x:c r="X226" s="9" t="n">
        <x:f>SUMIFS('350配方'!$M226:$P226,'350配方'!$Y226:$AB226,126)</x:f>
        <x:v>0</x:v>
      </x:c>
      <x:c r="Y226" s="9" t="n">
        <x:f>SUMIFS('350配方'!$M226:$P226,'350配方'!$Y226:$AB226,136)</x:f>
        <x:v>0</x:v>
      </x:c>
      <x:c r="Z226" s="9" t="n">
        <x:f>SUMIFS('350配方'!$M226:$P226,'350配方'!$Y226:$AB226,141)</x:f>
        <x:v>0</x:v>
      </x:c>
      <x:c r="AA226" s="9" t="n">
        <x:f>SUMIFS('350配方'!$M226:$P226,'350配方'!$Y226:$AB226,152)</x:f>
        <x:v>0</x:v>
      </x:c>
      <x:c r="AB226" s="9" t="n">
        <x:f>SUMIFS('350配方'!$M226:$P226,'350配方'!$Y226:$AB226,165)</x:f>
        <x:v>823.735</x:v>
      </x:c>
      <x:c r="AC226" s="9" t="n">
        <x:f>SUMIFS('350配方'!$M226:$P226,'350配方'!$Y226:$AB226,186)</x:f>
        <x:v>0</x:v>
      </x:c>
      <x:c r="AD226" s="9" t="n">
        <x:f>SUMIFS('350配方'!$M226:$P226,'350配方'!$Y226:$AB226,207)</x:f>
        <x:v>0</x:v>
      </x:c>
      <x:c r="AE226" s="9" t="n">
        <x:f>SUMIFS('350配方'!$M226:$P226,'350配方'!$Y226:$AB226,209)</x:f>
        <x:v>0</x:v>
      </x:c>
      <x:c r="AF226" s="9" t="n">
        <x:f>SUMIFS('350配方'!$M226:$P226,'350配方'!$Y226:$AB226,227)</x:f>
        <x:v>695.986709643223</x:v>
      </x:c>
      <x:c r="AG226" s="9" t="n">
        <x:f>SUMIFS('350配方'!$M226:$P226,'350配方'!$Y226:$AB226,232)</x:f>
        <x:v>0</x:v>
      </x:c>
      <x:c r="AH226" s="9" t="n">
        <x:f>SUMIFS('350配方'!$M226:$P226,'350配方'!$Y226:$AB226,255)</x:f>
        <x:v>0</x:v>
      </x:c>
      <x:c r="AI226" s="9" t="n">
        <x:f>'浓度设置'!S6</x:f>
        <x:v>219125.9626344086</x:v>
      </x:c>
      <x:c r="AJ226" s="9" t="n">
        <x:f>'浓度设置'!S8</x:f>
        <x:v>92796.92267241378</x:v>
      </x:c>
      <x:c r="AK226" s="9" t="n">
        <x:f>'浓度设置'!S10</x:f>
        <x:v>30556.797802197798</x:v>
      </x:c>
      <x:c r="AL226" s="9" t="n">
        <x:f>'浓度设置'!S12</x:f>
        <x:v>1735.828970588235</x:v>
      </x:c>
      <x:c r="AM226" s="9" t="n">
        <x:f>'浓度设置'!S15</x:f>
        <x:v>7385.813644067793</x:v>
      </x:c>
      <x:c r="AN226" s="9" t="n">
        <x:f>'浓度设置'!S19</x:f>
        <x:v>27722.03097701148</x:v>
      </x:c>
      <x:c r="AO226" s="9" t="n">
        <x:f>'浓度设置'!S22</x:f>
        <x:v>44345.55047619048</x:v>
      </x:c>
      <x:c r="AP226" s="9" t="n">
        <x:f>'浓度设置'!S26</x:f>
        <x:v>153318.30499999996</x:v>
      </x:c>
      <x:c r="AQ226" s="9" t="n">
        <x:f>'浓度设置'!S29</x:f>
        <x:v>312.7970588235294</x:v>
      </x:c>
      <x:c r="AR226" s="9" t="n">
        <x:f>'浓度设置'!S30</x:f>
        <x:v>104175.5097553192</x:v>
      </x:c>
      <x:c r="AS226" s="9" t="n">
        <x:f>'浓度设置'!S35</x:f>
        <x:v>405974.90656785714</x:v>
      </x:c>
    </x:row>
    <x:row r="227" ht="24" customHeight="1">
      <x:c r="A227" s="3" t="str">
        <x:f>'350配方'!A227</x:f>
        <x:v>T222</x:v>
      </x:c>
      <x:c r="B227" s="3" t="str">
        <x:f>'350配方'!B227</x:f>
        <x:v>拟合</x:v>
      </x:c>
      <x:c r="C227" s="3" t="n">
        <x:f>IF(B227="拟合",1,0)</x:f>
        <x:v>1</x:v>
      </x:c>
      <x:c r="D227" s="3" t="n">
        <x:f>'350配方'!AC227</x:f>
        <x:v>4</x:v>
      </x:c>
      <x:c r="E227" s="9" t="n">
        <x:f>SUMIFS('350配方'!$M227:$P227,'350配方'!$Y227:$AB227,7)</x:f>
        <x:v>0</x:v>
      </x:c>
      <x:c r="F227" s="9" t="n">
        <x:f>SUMIFS('350配方'!$M227:$P227,'350配方'!$Y227:$AB227,11)</x:f>
        <x:v>0</x:v>
      </x:c>
      <x:c r="G227" s="9" t="n">
        <x:f>SUMIFS('350配方'!$M227:$P227,'350配方'!$Y227:$AB227,18)</x:f>
        <x:v>0</x:v>
      </x:c>
      <x:c r="H227" s="9" t="n">
        <x:f>SUMIFS('350配方'!$M227:$P227,'350配方'!$Y227:$AB227,32)</x:f>
        <x:v>0</x:v>
      </x:c>
      <x:c r="I227" s="9" t="n">
        <x:f>SUMIFS('350配方'!$M227:$P227,'350配方'!$Y227:$AB227,40)</x:f>
        <x:v>0</x:v>
      </x:c>
      <x:c r="J227" s="9" t="n">
        <x:f>SUMIFS('350配方'!$M227:$P227,'350配方'!$Y227:$AB227,52)</x:f>
        <x:v>0</x:v>
      </x:c>
      <x:c r="K227" s="9" t="n">
        <x:f>SUMIFS('350配方'!$M227:$P227,'350配方'!$Y227:$AB227,53)</x:f>
        <x:v>0</x:v>
      </x:c>
      <x:c r="L227" s="9" t="n">
        <x:f>SUMIFS('350配方'!$M227:$P227,'350配方'!$Y227:$AB227,56)</x:f>
        <x:v>0</x:v>
      </x:c>
      <x:c r="M227" s="9" t="n">
        <x:f>SUMIFS('350配方'!$M227:$P227,'350配方'!$Y227:$AB227,58)</x:f>
        <x:v>0</x:v>
      </x:c>
      <x:c r="N227" s="9" t="n">
        <x:f>SUMIFS('350配方'!$M227:$P227,'350配方'!$Y227:$AB227,61)</x:f>
        <x:v>6914</x:v>
      </x:c>
      <x:c r="O227" s="9" t="n">
        <x:f>SUMIFS('350配方'!$M227:$P227,'350配方'!$Y227:$AB227,69)</x:f>
        <x:v>0</x:v>
      </x:c>
      <x:c r="P227" s="9" t="n">
        <x:f>SUMIFS('350配方'!$M227:$P227,'350配方'!$Y227:$AB227,75)</x:f>
        <x:v>0</x:v>
      </x:c>
      <x:c r="Q227" s="9" t="n">
        <x:f>SUMIFS('350配方'!$M227:$P227,'350配方'!$Y227:$AB227,79)</x:f>
        <x:v>0</x:v>
      </x:c>
      <x:c r="R227" s="9" t="n">
        <x:f>SUMIFS('350配方'!$M227:$P227,'350配方'!$Y227:$AB227,90)</x:f>
        <x:v>25642.45</x:v>
      </x:c>
      <x:c r="S227" s="9" t="n">
        <x:f>SUMIFS('350配方'!$M227:$P227,'350配方'!$Y227:$AB227,105)</x:f>
        <x:v>0</x:v>
      </x:c>
      <x:c r="T227" s="9" t="n">
        <x:f>SUMIFS('350配方'!$M227:$P227,'350配方'!$Y227:$AB227,111)</x:f>
        <x:v>0</x:v>
      </x:c>
      <x:c r="U227" s="9" t="n">
        <x:f>SUMIFS('350配方'!$M227:$P227,'350配方'!$Y227:$AB227,114)</x:f>
        <x:v>0</x:v>
      </x:c>
      <x:c r="V227" s="9" t="n">
        <x:f>SUMIFS('350配方'!$M227:$P227,'350配方'!$Y227:$AB227,115)</x:f>
        <x:v>0</x:v>
      </x:c>
      <x:c r="W227" s="9" t="n">
        <x:f>SUMIFS('350配方'!$M227:$P227,'350配方'!$Y227:$AB227,117)</x:f>
        <x:v>0</x:v>
      </x:c>
      <x:c r="X227" s="9" t="n">
        <x:f>SUMIFS('350配方'!$M227:$P227,'350配方'!$Y227:$AB227,126)</x:f>
        <x:v>0</x:v>
      </x:c>
      <x:c r="Y227" s="9" t="n">
        <x:f>SUMIFS('350配方'!$M227:$P227,'350配方'!$Y227:$AB227,136)</x:f>
        <x:v>1.1875</x:v>
      </x:c>
      <x:c r="Z227" s="9" t="n">
        <x:f>SUMIFS('350配方'!$M227:$P227,'350配方'!$Y227:$AB227,141)</x:f>
        <x:v>2.2</x:v>
      </x:c>
      <x:c r="AA227" s="9" t="n">
        <x:f>SUMIFS('350配方'!$M227:$P227,'350配方'!$Y227:$AB227,152)</x:f>
        <x:v>0</x:v>
      </x:c>
      <x:c r="AB227" s="9" t="n">
        <x:f>SUMIFS('350配方'!$M227:$P227,'350配方'!$Y227:$AB227,165)</x:f>
        <x:v>0</x:v>
      </x:c>
      <x:c r="AC227" s="9" t="n">
        <x:f>SUMIFS('350配方'!$M227:$P227,'350配方'!$Y227:$AB227,186)</x:f>
        <x:v>0</x:v>
      </x:c>
      <x:c r="AD227" s="9" t="n">
        <x:f>SUMIFS('350配方'!$M227:$P227,'350配方'!$Y227:$AB227,207)</x:f>
        <x:v>0</x:v>
      </x:c>
      <x:c r="AE227" s="9" t="n">
        <x:f>SUMIFS('350配方'!$M227:$P227,'350配方'!$Y227:$AB227,209)</x:f>
        <x:v>0</x:v>
      </x:c>
      <x:c r="AF227" s="9" t="n">
        <x:f>SUMIFS('350配方'!$M227:$P227,'350配方'!$Y227:$AB227,227)</x:f>
        <x:v>0</x:v>
      </x:c>
      <x:c r="AG227" s="9" t="n">
        <x:f>SUMIFS('350配方'!$M227:$P227,'350配方'!$Y227:$AB227,232)</x:f>
        <x:v>0</x:v>
      </x:c>
      <x:c r="AH227" s="9" t="n">
        <x:f>SUMIFS('350配方'!$M227:$P227,'350配方'!$Y227:$AB227,255)</x:f>
        <x:v>0</x:v>
      </x:c>
      <x:c r="AI227" s="9" t="n">
        <x:f>'浓度设置'!S6</x:f>
        <x:v>219125.9626344086</x:v>
      </x:c>
      <x:c r="AJ227" s="9" t="n">
        <x:f>'浓度设置'!S8</x:f>
        <x:v>92796.92267241378</x:v>
      </x:c>
      <x:c r="AK227" s="9" t="n">
        <x:f>'浓度设置'!S10</x:f>
        <x:v>30556.797802197798</x:v>
      </x:c>
      <x:c r="AL227" s="9" t="n">
        <x:f>'浓度设置'!S12</x:f>
        <x:v>1735.828970588235</x:v>
      </x:c>
      <x:c r="AM227" s="9" t="n">
        <x:f>'浓度设置'!S15</x:f>
        <x:v>7385.813644067793</x:v>
      </x:c>
      <x:c r="AN227" s="9" t="n">
        <x:f>'浓度设置'!S19</x:f>
        <x:v>27722.03097701148</x:v>
      </x:c>
      <x:c r="AO227" s="9" t="n">
        <x:f>'浓度设置'!S22</x:f>
        <x:v>44345.55047619048</x:v>
      </x:c>
      <x:c r="AP227" s="9" t="n">
        <x:f>'浓度设置'!S26</x:f>
        <x:v>153318.30499999996</x:v>
      </x:c>
      <x:c r="AQ227" s="9" t="n">
        <x:f>'浓度设置'!S29</x:f>
        <x:v>312.7970588235294</x:v>
      </x:c>
      <x:c r="AR227" s="9" t="n">
        <x:f>'浓度设置'!S30</x:f>
        <x:v>104175.5097553192</x:v>
      </x:c>
      <x:c r="AS227" s="9" t="n">
        <x:f>'浓度设置'!S35</x:f>
        <x:v>405974.90656785714</x:v>
      </x:c>
    </x:row>
    <x:row r="228" ht="24" customHeight="1">
      <x:c r="A228" s="3" t="str">
        <x:f>'350配方'!A228</x:f>
        <x:v>T223</x:v>
      </x:c>
      <x:c r="B228" s="3" t="str">
        <x:f>'350配方'!B228</x:f>
        <x:v>拟合</x:v>
      </x:c>
      <x:c r="C228" s="3" t="n">
        <x:f>IF(B228="拟合",1,0)</x:f>
        <x:v>1</x:v>
      </x:c>
      <x:c r="D228" s="3" t="n">
        <x:f>'350配方'!AC228</x:f>
        <x:v>4</x:v>
      </x:c>
      <x:c r="E228" s="9" t="n">
        <x:f>SUMIFS('350配方'!$M228:$P228,'350配方'!$Y228:$AB228,7)</x:f>
        <x:v>0</x:v>
      </x:c>
      <x:c r="F228" s="9" t="n">
        <x:f>SUMIFS('350配方'!$M228:$P228,'350配方'!$Y228:$AB228,11)</x:f>
        <x:v>0</x:v>
      </x:c>
      <x:c r="G228" s="9" t="n">
        <x:f>SUMIFS('350配方'!$M228:$P228,'350配方'!$Y228:$AB228,18)</x:f>
        <x:v>0</x:v>
      </x:c>
      <x:c r="H228" s="9" t="n">
        <x:f>SUMIFS('350配方'!$M228:$P228,'350配方'!$Y228:$AB228,32)</x:f>
        <x:v>0</x:v>
      </x:c>
      <x:c r="I228" s="9" t="n">
        <x:f>SUMIFS('350配方'!$M228:$P228,'350配方'!$Y228:$AB228,40)</x:f>
        <x:v>0</x:v>
      </x:c>
      <x:c r="J228" s="9" t="n">
        <x:f>SUMIFS('350配方'!$M228:$P228,'350配方'!$Y228:$AB228,52)</x:f>
        <x:v>0</x:v>
      </x:c>
      <x:c r="K228" s="9" t="n">
        <x:f>SUMIFS('350配方'!$M228:$P228,'350配方'!$Y228:$AB228,53)</x:f>
        <x:v>0</x:v>
      </x:c>
      <x:c r="L228" s="9" t="n">
        <x:f>SUMIFS('350配方'!$M228:$P228,'350配方'!$Y228:$AB228,56)</x:f>
        <x:v>0</x:v>
      </x:c>
      <x:c r="M228" s="9" t="n">
        <x:f>SUMIFS('350配方'!$M228:$P228,'350配方'!$Y228:$AB228,58)</x:f>
        <x:v>0</x:v>
      </x:c>
      <x:c r="N228" s="9" t="n">
        <x:f>SUMIFS('350配方'!$M228:$P228,'350配方'!$Y228:$AB228,61)</x:f>
        <x:v>0.51</x:v>
      </x:c>
      <x:c r="O228" s="9" t="n">
        <x:f>SUMIFS('350配方'!$M228:$P228,'350配方'!$Y228:$AB228,69)</x:f>
        <x:v>0</x:v>
      </x:c>
      <x:c r="P228" s="9" t="n">
        <x:f>SUMIFS('350配方'!$M228:$P228,'350配方'!$Y228:$AB228,75)</x:f>
        <x:v>0</x:v>
      </x:c>
      <x:c r="Q228" s="9" t="n">
        <x:f>SUMIFS('350配方'!$M228:$P228,'350配方'!$Y228:$AB228,79)</x:f>
        <x:v>0</x:v>
      </x:c>
      <x:c r="R228" s="9" t="n">
        <x:f>SUMIFS('350配方'!$M228:$P228,'350配方'!$Y228:$AB228,90)</x:f>
        <x:v>0</x:v>
      </x:c>
      <x:c r="S228" s="9" t="n">
        <x:f>SUMIFS('350配方'!$M228:$P228,'350配方'!$Y228:$AB228,105)</x:f>
        <x:v>0</x:v>
      </x:c>
      <x:c r="T228" s="9" t="n">
        <x:f>SUMIFS('350配方'!$M228:$P228,'350配方'!$Y228:$AB228,111)</x:f>
        <x:v>89562.18016998023</x:v>
      </x:c>
      <x:c r="U228" s="9" t="n">
        <x:f>SUMIFS('350配方'!$M228:$P228,'350配方'!$Y228:$AB228,114)</x:f>
        <x:v>0</x:v>
      </x:c>
      <x:c r="V228" s="9" t="n">
        <x:f>SUMIFS('350配方'!$M228:$P228,'350配方'!$Y228:$AB228,115)</x:f>
        <x:v>0</x:v>
      </x:c>
      <x:c r="W228" s="9" t="n">
        <x:f>SUMIFS('350配方'!$M228:$P228,'350配方'!$Y228:$AB228,117)</x:f>
        <x:v>274.54883445390914</x:v>
      </x:c>
      <x:c r="X228" s="9" t="n">
        <x:f>SUMIFS('350配方'!$M228:$P228,'350配方'!$Y228:$AB228,126)</x:f>
        <x:v>0</x:v>
      </x:c>
      <x:c r="Y228" s="9" t="n">
        <x:f>SUMIFS('350配方'!$M228:$P228,'350配方'!$Y228:$AB228,136)</x:f>
        <x:v>0</x:v>
      </x:c>
      <x:c r="Z228" s="9" t="n">
        <x:f>SUMIFS('350配方'!$M228:$P228,'350配方'!$Y228:$AB228,141)</x:f>
        <x:v>0</x:v>
      </x:c>
      <x:c r="AA228" s="9" t="n">
        <x:f>SUMIFS('350配方'!$M228:$P228,'350配方'!$Y228:$AB228,152)</x:f>
        <x:v>0</x:v>
      </x:c>
      <x:c r="AB228" s="9" t="n">
        <x:f>SUMIFS('350配方'!$M228:$P228,'350配方'!$Y228:$AB228,165)</x:f>
        <x:v>0</x:v>
      </x:c>
      <x:c r="AC228" s="9" t="n">
        <x:f>SUMIFS('350配方'!$M228:$P228,'350配方'!$Y228:$AB228,186)</x:f>
        <x:v>0</x:v>
      </x:c>
      <x:c r="AD228" s="9" t="n">
        <x:f>SUMIFS('350配方'!$M228:$P228,'350配方'!$Y228:$AB228,207)</x:f>
        <x:v>0</x:v>
      </x:c>
      <x:c r="AE228" s="9" t="n">
        <x:f>SUMIFS('350配方'!$M228:$P228,'350配方'!$Y228:$AB228,209)</x:f>
        <x:v>4201.44</x:v>
      </x:c>
      <x:c r="AF228" s="9" t="n">
        <x:f>SUMIFS('350配方'!$M228:$P228,'350配方'!$Y228:$AB228,227)</x:f>
        <x:v>0</x:v>
      </x:c>
      <x:c r="AG228" s="9" t="n">
        <x:f>SUMIFS('350配方'!$M228:$P228,'350配方'!$Y228:$AB228,232)</x:f>
        <x:v>0</x:v>
      </x:c>
      <x:c r="AH228" s="9" t="n">
        <x:f>SUMIFS('350配方'!$M228:$P228,'350配方'!$Y228:$AB228,255)</x:f>
        <x:v>0</x:v>
      </x:c>
      <x:c r="AI228" s="9" t="n">
        <x:f>'浓度设置'!S6</x:f>
        <x:v>219125.9626344086</x:v>
      </x:c>
      <x:c r="AJ228" s="9" t="n">
        <x:f>'浓度设置'!S8</x:f>
        <x:v>92796.92267241378</x:v>
      </x:c>
      <x:c r="AK228" s="9" t="n">
        <x:f>'浓度设置'!S10</x:f>
        <x:v>30556.797802197798</x:v>
      </x:c>
      <x:c r="AL228" s="9" t="n">
        <x:f>'浓度设置'!S12</x:f>
        <x:v>1735.828970588235</x:v>
      </x:c>
      <x:c r="AM228" s="9" t="n">
        <x:f>'浓度设置'!S15</x:f>
        <x:v>7385.813644067793</x:v>
      </x:c>
      <x:c r="AN228" s="9" t="n">
        <x:f>'浓度设置'!S19</x:f>
        <x:v>27722.03097701148</x:v>
      </x:c>
      <x:c r="AO228" s="9" t="n">
        <x:f>'浓度设置'!S22</x:f>
        <x:v>44345.55047619048</x:v>
      </x:c>
      <x:c r="AP228" s="9" t="n">
        <x:f>'浓度设置'!S26</x:f>
        <x:v>153318.30499999996</x:v>
      </x:c>
      <x:c r="AQ228" s="9" t="n">
        <x:f>'浓度设置'!S29</x:f>
        <x:v>312.7970588235294</x:v>
      </x:c>
      <x:c r="AR228" s="9" t="n">
        <x:f>'浓度设置'!S30</x:f>
        <x:v>104175.5097553192</x:v>
      </x:c>
      <x:c r="AS228" s="9" t="n">
        <x:f>'浓度设置'!S35</x:f>
        <x:v>405974.90656785714</x:v>
      </x:c>
    </x:row>
    <x:row r="229" ht="24" customHeight="1">
      <x:c r="A229" s="3" t="str">
        <x:f>'350配方'!A229</x:f>
        <x:v>T224</x:v>
      </x:c>
      <x:c r="B229" s="3" t="str">
        <x:f>'350配方'!B229</x:f>
        <x:v>拟合</x:v>
      </x:c>
      <x:c r="C229" s="3" t="n">
        <x:f>IF(B229="拟合",1,0)</x:f>
        <x:v>1</x:v>
      </x:c>
      <x:c r="D229" s="3" t="n">
        <x:f>'350配方'!AC229</x:f>
        <x:v>4</x:v>
      </x:c>
      <x:c r="E229" s="9" t="n">
        <x:f>SUMIFS('350配方'!$M229:$P229,'350配方'!$Y229:$AB229,7)</x:f>
        <x:v>0</x:v>
      </x:c>
      <x:c r="F229" s="9" t="n">
        <x:f>SUMIFS('350配方'!$M229:$P229,'350配方'!$Y229:$AB229,11)</x:f>
        <x:v>0</x:v>
      </x:c>
      <x:c r="G229" s="9" t="n">
        <x:f>SUMIFS('350配方'!$M229:$P229,'350配方'!$Y229:$AB229,18)</x:f>
        <x:v>0</x:v>
      </x:c>
      <x:c r="H229" s="9" t="n">
        <x:f>SUMIFS('350配方'!$M229:$P229,'350配方'!$Y229:$AB229,32)</x:f>
        <x:v>0</x:v>
      </x:c>
      <x:c r="I229" s="9" t="n">
        <x:f>SUMIFS('350配方'!$M229:$P229,'350配方'!$Y229:$AB229,40)</x:f>
        <x:v>0</x:v>
      </x:c>
      <x:c r="J229" s="9" t="n">
        <x:f>SUMIFS('350配方'!$M229:$P229,'350配方'!$Y229:$AB229,52)</x:f>
        <x:v>0</x:v>
      </x:c>
      <x:c r="K229" s="9" t="n">
        <x:f>SUMIFS('350配方'!$M229:$P229,'350配方'!$Y229:$AB229,53)</x:f>
        <x:v>0</x:v>
      </x:c>
      <x:c r="L229" s="9" t="n">
        <x:f>SUMIFS('350配方'!$M229:$P229,'350配方'!$Y229:$AB229,56)</x:f>
        <x:v>0</x:v>
      </x:c>
      <x:c r="M229" s="9" t="n">
        <x:f>SUMIFS('350配方'!$M229:$P229,'350配方'!$Y229:$AB229,58)</x:f>
        <x:v>0</x:v>
      </x:c>
      <x:c r="N229" s="9" t="n">
        <x:f>SUMIFS('350配方'!$M229:$P229,'350配方'!$Y229:$AB229,61)</x:f>
        <x:v>0</x:v>
      </x:c>
      <x:c r="O229" s="9" t="n">
        <x:f>SUMIFS('350配方'!$M229:$P229,'350配方'!$Y229:$AB229,69)</x:f>
        <x:v>0</x:v>
      </x:c>
      <x:c r="P229" s="9" t="n">
        <x:f>SUMIFS('350配方'!$M229:$P229,'350配方'!$Y229:$AB229,75)</x:f>
        <x:v>0</x:v>
      </x:c>
      <x:c r="Q229" s="9" t="n">
        <x:f>SUMIFS('350配方'!$M229:$P229,'350配方'!$Y229:$AB229,79)</x:f>
        <x:v>0</x:v>
      </x:c>
      <x:c r="R229" s="9" t="n">
        <x:f>SUMIFS('350配方'!$M229:$P229,'350配方'!$Y229:$AB229,90)</x:f>
        <x:v>0</x:v>
      </x:c>
      <x:c r="S229" s="9" t="n">
        <x:f>SUMIFS('350配方'!$M229:$P229,'350配方'!$Y229:$AB229,105)</x:f>
        <x:v>0</x:v>
      </x:c>
      <x:c r="T229" s="9" t="n">
        <x:f>SUMIFS('350配方'!$M229:$P229,'350配方'!$Y229:$AB229,111)</x:f>
        <x:v>833.64</x:v>
      </x:c>
      <x:c r="U229" s="9" t="n">
        <x:f>SUMIFS('350配方'!$M229:$P229,'350配方'!$Y229:$AB229,114)</x:f>
        <x:v>0</x:v>
      </x:c>
      <x:c r="V229" s="9" t="n">
        <x:f>SUMIFS('350配方'!$M229:$P229,'350配方'!$Y229:$AB229,115)</x:f>
        <x:v>96.86609313893071</x:v>
      </x:c>
      <x:c r="W229" s="9" t="n">
        <x:f>SUMIFS('350配方'!$M229:$P229,'350配方'!$Y229:$AB229,117)</x:f>
        <x:v>0</x:v>
      </x:c>
      <x:c r="X229" s="9" t="n">
        <x:f>SUMIFS('350配方'!$M229:$P229,'350配方'!$Y229:$AB229,126)</x:f>
        <x:v>0</x:v>
      </x:c>
      <x:c r="Y229" s="9" t="n">
        <x:f>SUMIFS('350配方'!$M229:$P229,'350配方'!$Y229:$AB229,136)</x:f>
        <x:v>228.58258901324922</x:v>
      </x:c>
      <x:c r="Z229" s="9" t="n">
        <x:f>SUMIFS('350配方'!$M229:$P229,'350配方'!$Y229:$AB229,141)</x:f>
        <x:v>0</x:v>
      </x:c>
      <x:c r="AA229" s="9" t="n">
        <x:f>SUMIFS('350配方'!$M229:$P229,'350配方'!$Y229:$AB229,152)</x:f>
        <x:v>0</x:v>
      </x:c>
      <x:c r="AB229" s="9" t="n">
        <x:f>SUMIFS('350配方'!$M229:$P229,'350配方'!$Y229:$AB229,165)</x:f>
        <x:v>0</x:v>
      </x:c>
      <x:c r="AC229" s="9" t="n">
        <x:f>SUMIFS('350配方'!$M229:$P229,'350配方'!$Y229:$AB229,186)</x:f>
        <x:v>0</x:v>
      </x:c>
      <x:c r="AD229" s="9" t="n">
        <x:f>SUMIFS('350配方'!$M229:$P229,'350配方'!$Y229:$AB229,207)</x:f>
        <x:v>0</x:v>
      </x:c>
      <x:c r="AE229" s="9" t="n">
        <x:f>SUMIFS('350配方'!$M229:$P229,'350配方'!$Y229:$AB229,209)</x:f>
        <x:v>0</x:v>
      </x:c>
      <x:c r="AF229" s="9" t="n">
        <x:f>SUMIFS('350配方'!$M229:$P229,'350配方'!$Y229:$AB229,227)</x:f>
        <x:v>0</x:v>
      </x:c>
      <x:c r="AG229" s="9" t="n">
        <x:f>SUMIFS('350配方'!$M229:$P229,'350配方'!$Y229:$AB229,232)</x:f>
        <x:v>0</x:v>
      </x:c>
      <x:c r="AH229" s="9" t="n">
        <x:f>SUMIFS('350配方'!$M229:$P229,'350配方'!$Y229:$AB229,255)</x:f>
        <x:v>1.5</x:v>
      </x:c>
      <x:c r="AI229" s="9" t="n">
        <x:f>'浓度设置'!S6</x:f>
        <x:v>219125.9626344086</x:v>
      </x:c>
      <x:c r="AJ229" s="9" t="n">
        <x:f>'浓度设置'!S8</x:f>
        <x:v>92796.92267241378</x:v>
      </x:c>
      <x:c r="AK229" s="9" t="n">
        <x:f>'浓度设置'!S10</x:f>
        <x:v>30556.797802197798</x:v>
      </x:c>
      <x:c r="AL229" s="9" t="n">
        <x:f>'浓度设置'!S12</x:f>
        <x:v>1735.828970588235</x:v>
      </x:c>
      <x:c r="AM229" s="9" t="n">
        <x:f>'浓度设置'!S15</x:f>
        <x:v>7385.813644067793</x:v>
      </x:c>
      <x:c r="AN229" s="9" t="n">
        <x:f>'浓度设置'!S19</x:f>
        <x:v>27722.03097701148</x:v>
      </x:c>
      <x:c r="AO229" s="9" t="n">
        <x:f>'浓度设置'!S22</x:f>
        <x:v>44345.55047619048</x:v>
      </x:c>
      <x:c r="AP229" s="9" t="n">
        <x:f>'浓度设置'!S26</x:f>
        <x:v>153318.30499999996</x:v>
      </x:c>
      <x:c r="AQ229" s="9" t="n">
        <x:f>'浓度设置'!S29</x:f>
        <x:v>312.7970588235294</x:v>
      </x:c>
      <x:c r="AR229" s="9" t="n">
        <x:f>'浓度设置'!S30</x:f>
        <x:v>104175.5097553192</x:v>
      </x:c>
      <x:c r="AS229" s="9" t="n">
        <x:f>'浓度设置'!S35</x:f>
        <x:v>405974.90656785714</x:v>
      </x:c>
    </x:row>
    <x:row r="230" ht="24" customHeight="1">
      <x:c r="A230" s="3" t="str">
        <x:f>'350配方'!A230</x:f>
        <x:v>T225</x:v>
      </x:c>
      <x:c r="B230" s="3" t="str">
        <x:f>'350配方'!B230</x:f>
        <x:v>拟合</x:v>
      </x:c>
      <x:c r="C230" s="3" t="n">
        <x:f>IF(B230="拟合",1,0)</x:f>
        <x:v>1</x:v>
      </x:c>
      <x:c r="D230" s="3" t="n">
        <x:f>'350配方'!AC230</x:f>
        <x:v>4</x:v>
      </x:c>
      <x:c r="E230" s="9" t="n">
        <x:f>SUMIFS('350配方'!$M230:$P230,'350配方'!$Y230:$AB230,7)</x:f>
        <x:v>0</x:v>
      </x:c>
      <x:c r="F230" s="9" t="n">
        <x:f>SUMIFS('350配方'!$M230:$P230,'350配方'!$Y230:$AB230,11)</x:f>
        <x:v>0</x:v>
      </x:c>
      <x:c r="G230" s="9" t="n">
        <x:f>SUMIFS('350配方'!$M230:$P230,'350配方'!$Y230:$AB230,18)</x:f>
        <x:v>0</x:v>
      </x:c>
      <x:c r="H230" s="9" t="n">
        <x:f>SUMIFS('350配方'!$M230:$P230,'350配方'!$Y230:$AB230,32)</x:f>
        <x:v>0</x:v>
      </x:c>
      <x:c r="I230" s="9" t="n">
        <x:f>SUMIFS('350配方'!$M230:$P230,'350配方'!$Y230:$AB230,40)</x:f>
        <x:v>0</x:v>
      </x:c>
      <x:c r="J230" s="9" t="n">
        <x:f>SUMIFS('350配方'!$M230:$P230,'350配方'!$Y230:$AB230,52)</x:f>
        <x:v>0</x:v>
      </x:c>
      <x:c r="K230" s="9" t="n">
        <x:f>SUMIFS('350配方'!$M230:$P230,'350配方'!$Y230:$AB230,53)</x:f>
        <x:v>0</x:v>
      </x:c>
      <x:c r="L230" s="9" t="n">
        <x:f>SUMIFS('350配方'!$M230:$P230,'350配方'!$Y230:$AB230,56)</x:f>
        <x:v>0</x:v>
      </x:c>
      <x:c r="M230" s="9" t="n">
        <x:f>SUMIFS('350配方'!$M230:$P230,'350配方'!$Y230:$AB230,58)</x:f>
        <x:v>0</x:v>
      </x:c>
      <x:c r="N230" s="9" t="n">
        <x:f>SUMIFS('350配方'!$M230:$P230,'350配方'!$Y230:$AB230,61)</x:f>
        <x:v>0</x:v>
      </x:c>
      <x:c r="O230" s="9" t="n">
        <x:f>SUMIFS('350配方'!$M230:$P230,'350配方'!$Y230:$AB230,69)</x:f>
        <x:v>99.89207175747232</x:v>
      </x:c>
      <x:c r="P230" s="9" t="n">
        <x:f>SUMIFS('350配方'!$M230:$P230,'350配方'!$Y230:$AB230,75)</x:f>
        <x:v>0</x:v>
      </x:c>
      <x:c r="Q230" s="9" t="n">
        <x:f>SUMIFS('350配方'!$M230:$P230,'350配方'!$Y230:$AB230,79)</x:f>
        <x:v>0</x:v>
      </x:c>
      <x:c r="R230" s="9" t="n">
        <x:f>SUMIFS('350配方'!$M230:$P230,'350配方'!$Y230:$AB230,90)</x:f>
        <x:v>0</x:v>
      </x:c>
      <x:c r="S230" s="9" t="n">
        <x:f>SUMIFS('350配方'!$M230:$P230,'350配方'!$Y230:$AB230,105)</x:f>
        <x:v>0</x:v>
      </x:c>
      <x:c r="T230" s="9" t="n">
        <x:f>SUMIFS('350配方'!$M230:$P230,'350配方'!$Y230:$AB230,111)</x:f>
        <x:v>0</x:v>
      </x:c>
      <x:c r="U230" s="9" t="n">
        <x:f>SUMIFS('350配方'!$M230:$P230,'350配方'!$Y230:$AB230,114)</x:f>
        <x:v>3147.945</x:v>
      </x:c>
      <x:c r="V230" s="9" t="n">
        <x:f>SUMIFS('350配方'!$M230:$P230,'350配方'!$Y230:$AB230,115)</x:f>
        <x:v>0</x:v>
      </x:c>
      <x:c r="W230" s="9" t="n">
        <x:f>SUMIFS('350配方'!$M230:$P230,'350配方'!$Y230:$AB230,117)</x:f>
        <x:v>0</x:v>
      </x:c>
      <x:c r="X230" s="9" t="n">
        <x:f>SUMIFS('350配方'!$M230:$P230,'350配方'!$Y230:$AB230,126)</x:f>
        <x:v>0</x:v>
      </x:c>
      <x:c r="Y230" s="9" t="n">
        <x:f>SUMIFS('350配方'!$M230:$P230,'350配方'!$Y230:$AB230,136)</x:f>
        <x:v>0</x:v>
      </x:c>
      <x:c r="Z230" s="9" t="n">
        <x:f>SUMIFS('350配方'!$M230:$P230,'350配方'!$Y230:$AB230,141)</x:f>
        <x:v>1039840</x:v>
      </x:c>
      <x:c r="AA230" s="9" t="n">
        <x:f>SUMIFS('350配方'!$M230:$P230,'350配方'!$Y230:$AB230,152)</x:f>
        <x:v>0</x:v>
      </x:c>
      <x:c r="AB230" s="9" t="n">
        <x:f>SUMIFS('350配方'!$M230:$P230,'350配方'!$Y230:$AB230,165)</x:f>
        <x:v>0</x:v>
      </x:c>
      <x:c r="AC230" s="9" t="n">
        <x:f>SUMIFS('350配方'!$M230:$P230,'350配方'!$Y230:$AB230,186)</x:f>
        <x:v>0</x:v>
      </x:c>
      <x:c r="AD230" s="9" t="n">
        <x:f>SUMIFS('350配方'!$M230:$P230,'350配方'!$Y230:$AB230,207)</x:f>
        <x:v>0</x:v>
      </x:c>
      <x:c r="AE230" s="9" t="n">
        <x:f>SUMIFS('350配方'!$M230:$P230,'350配方'!$Y230:$AB230,209)</x:f>
        <x:v>0.28</x:v>
      </x:c>
      <x:c r="AF230" s="9" t="n">
        <x:f>SUMIFS('350配方'!$M230:$P230,'350配方'!$Y230:$AB230,227)</x:f>
        <x:v>0</x:v>
      </x:c>
      <x:c r="AG230" s="9" t="n">
        <x:f>SUMIFS('350配方'!$M230:$P230,'350配方'!$Y230:$AB230,232)</x:f>
        <x:v>0</x:v>
      </x:c>
      <x:c r="AH230" s="9" t="n">
        <x:f>SUMIFS('350配方'!$M230:$P230,'350配方'!$Y230:$AB230,255)</x:f>
        <x:v>0</x:v>
      </x:c>
      <x:c r="AI230" s="9" t="n">
        <x:f>'浓度设置'!S6</x:f>
        <x:v>219125.9626344086</x:v>
      </x:c>
      <x:c r="AJ230" s="9" t="n">
        <x:f>'浓度设置'!S8</x:f>
        <x:v>92796.92267241378</x:v>
      </x:c>
      <x:c r="AK230" s="9" t="n">
        <x:f>'浓度设置'!S10</x:f>
        <x:v>30556.797802197798</x:v>
      </x:c>
      <x:c r="AL230" s="9" t="n">
        <x:f>'浓度设置'!S12</x:f>
        <x:v>1735.828970588235</x:v>
      </x:c>
      <x:c r="AM230" s="9" t="n">
        <x:f>'浓度设置'!S15</x:f>
        <x:v>7385.813644067793</x:v>
      </x:c>
      <x:c r="AN230" s="9" t="n">
        <x:f>'浓度设置'!S19</x:f>
        <x:v>27722.03097701148</x:v>
      </x:c>
      <x:c r="AO230" s="9" t="n">
        <x:f>'浓度设置'!S22</x:f>
        <x:v>44345.55047619048</x:v>
      </x:c>
      <x:c r="AP230" s="9" t="n">
        <x:f>'浓度设置'!S26</x:f>
        <x:v>153318.30499999996</x:v>
      </x:c>
      <x:c r="AQ230" s="9" t="n">
        <x:f>'浓度设置'!S29</x:f>
        <x:v>312.7970588235294</x:v>
      </x:c>
      <x:c r="AR230" s="9" t="n">
        <x:f>'浓度设置'!S30</x:f>
        <x:v>104175.5097553192</x:v>
      </x:c>
      <x:c r="AS230" s="9" t="n">
        <x:f>'浓度设置'!S35</x:f>
        <x:v>405974.90656785714</x:v>
      </x:c>
    </x:row>
    <x:row r="231" ht="24" customHeight="1">
      <x:c r="A231" s="3" t="str">
        <x:f>'350配方'!A231</x:f>
        <x:v>T226</x:v>
      </x:c>
      <x:c r="B231" s="3" t="str">
        <x:f>'350配方'!B231</x:f>
        <x:v>拟合</x:v>
      </x:c>
      <x:c r="C231" s="3" t="n">
        <x:f>IF(B231="拟合",1,0)</x:f>
        <x:v>1</x:v>
      </x:c>
      <x:c r="D231" s="3" t="n">
        <x:f>'350配方'!AC231</x:f>
        <x:v>4</x:v>
      </x:c>
      <x:c r="E231" s="9" t="n">
        <x:f>SUMIFS('350配方'!$M231:$P231,'350配方'!$Y231:$AB231,7)</x:f>
        <x:v>0</x:v>
      </x:c>
      <x:c r="F231" s="9" t="n">
        <x:f>SUMIFS('350配方'!$M231:$P231,'350配方'!$Y231:$AB231,11)</x:f>
        <x:v>0</x:v>
      </x:c>
      <x:c r="G231" s="9" t="n">
        <x:f>SUMIFS('350配方'!$M231:$P231,'350配方'!$Y231:$AB231,18)</x:f>
        <x:v>0</x:v>
      </x:c>
      <x:c r="H231" s="9" t="n">
        <x:f>SUMIFS('350配方'!$M231:$P231,'350配方'!$Y231:$AB231,32)</x:f>
        <x:v>0</x:v>
      </x:c>
      <x:c r="I231" s="9" t="n">
        <x:f>SUMIFS('350配方'!$M231:$P231,'350配方'!$Y231:$AB231,40)</x:f>
        <x:v>0</x:v>
      </x:c>
      <x:c r="J231" s="9" t="n">
        <x:f>SUMIFS('350配方'!$M231:$P231,'350配方'!$Y231:$AB231,52)</x:f>
        <x:v>1290235</x:v>
      </x:c>
      <x:c r="K231" s="9" t="n">
        <x:f>SUMIFS('350配方'!$M231:$P231,'350配方'!$Y231:$AB231,53)</x:f>
        <x:v>0</x:v>
      </x:c>
      <x:c r="L231" s="9" t="n">
        <x:f>SUMIFS('350配方'!$M231:$P231,'350配方'!$Y231:$AB231,56)</x:f>
        <x:v>0</x:v>
      </x:c>
      <x:c r="M231" s="9" t="n">
        <x:f>SUMIFS('350配方'!$M231:$P231,'350配方'!$Y231:$AB231,58)</x:f>
        <x:v>0</x:v>
      </x:c>
      <x:c r="N231" s="9" t="n">
        <x:f>SUMIFS('350配方'!$M231:$P231,'350配方'!$Y231:$AB231,61)</x:f>
        <x:v>0</x:v>
      </x:c>
      <x:c r="O231" s="9" t="n">
        <x:f>SUMIFS('350配方'!$M231:$P231,'350配方'!$Y231:$AB231,69)</x:f>
        <x:v>0</x:v>
      </x:c>
      <x:c r="P231" s="9" t="n">
        <x:f>SUMIFS('350配方'!$M231:$P231,'350配方'!$Y231:$AB231,75)</x:f>
        <x:v>0</x:v>
      </x:c>
      <x:c r="Q231" s="9" t="n">
        <x:f>SUMIFS('350配方'!$M231:$P231,'350配方'!$Y231:$AB231,79)</x:f>
        <x:v>0</x:v>
      </x:c>
      <x:c r="R231" s="9" t="n">
        <x:f>SUMIFS('350配方'!$M231:$P231,'350配方'!$Y231:$AB231,90)</x:f>
        <x:v>0</x:v>
      </x:c>
      <x:c r="S231" s="9" t="n">
        <x:f>SUMIFS('350配方'!$M231:$P231,'350配方'!$Y231:$AB231,105)</x:f>
        <x:v>0</x:v>
      </x:c>
      <x:c r="T231" s="9" t="n">
        <x:f>SUMIFS('350配方'!$M231:$P231,'350配方'!$Y231:$AB231,111)</x:f>
        <x:v>0</x:v>
      </x:c>
      <x:c r="U231" s="9" t="n">
        <x:f>SUMIFS('350配方'!$M231:$P231,'350配方'!$Y231:$AB231,114)</x:f>
        <x:v>0</x:v>
      </x:c>
      <x:c r="V231" s="9" t="n">
        <x:f>SUMIFS('350配方'!$M231:$P231,'350配方'!$Y231:$AB231,115)</x:f>
        <x:v>0</x:v>
      </x:c>
      <x:c r="W231" s="9" t="n">
        <x:f>SUMIFS('350配方'!$M231:$P231,'350配方'!$Y231:$AB231,117)</x:f>
        <x:v>0</x:v>
      </x:c>
      <x:c r="X231" s="9" t="n">
        <x:f>SUMIFS('350配方'!$M231:$P231,'350配方'!$Y231:$AB231,126)</x:f>
        <x:v>0</x:v>
      </x:c>
      <x:c r="Y231" s="9" t="n">
        <x:f>SUMIFS('350配方'!$M231:$P231,'350配方'!$Y231:$AB231,136)</x:f>
        <x:v>0</x:v>
      </x:c>
      <x:c r="Z231" s="9" t="n">
        <x:f>SUMIFS('350配方'!$M231:$P231,'350配方'!$Y231:$AB231,141)</x:f>
        <x:v>0</x:v>
      </x:c>
      <x:c r="AA231" s="9" t="n">
        <x:f>SUMIFS('350配方'!$M231:$P231,'350配方'!$Y231:$AB231,152)</x:f>
        <x:v>1048.6410253275426</x:v>
      </x:c>
      <x:c r="AB231" s="9" t="n">
        <x:f>SUMIFS('350配方'!$M231:$P231,'350配方'!$Y231:$AB231,165)</x:f>
        <x:v>0</x:v>
      </x:c>
      <x:c r="AC231" s="9" t="n">
        <x:f>SUMIFS('350配方'!$M231:$P231,'350配方'!$Y231:$AB231,186)</x:f>
        <x:v>0</x:v>
      </x:c>
      <x:c r="AD231" s="9" t="n">
        <x:f>SUMIFS('350配方'!$M231:$P231,'350配方'!$Y231:$AB231,207)</x:f>
        <x:v>1</x:v>
      </x:c>
      <x:c r="AE231" s="9" t="n">
        <x:f>SUMIFS('350配方'!$M231:$P231,'350配方'!$Y231:$AB231,209)</x:f>
        <x:v>0</x:v>
      </x:c>
      <x:c r="AF231" s="9" t="n">
        <x:f>SUMIFS('350配方'!$M231:$P231,'350配方'!$Y231:$AB231,227)</x:f>
        <x:v>0</x:v>
      </x:c>
      <x:c r="AG231" s="9" t="n">
        <x:f>SUMIFS('350配方'!$M231:$P231,'350配方'!$Y231:$AB231,232)</x:f>
        <x:v>0.97</x:v>
      </x:c>
      <x:c r="AH231" s="9" t="n">
        <x:f>SUMIFS('350配方'!$M231:$P231,'350配方'!$Y231:$AB231,255)</x:f>
        <x:v>0</x:v>
      </x:c>
      <x:c r="AI231" s="9" t="n">
        <x:f>'浓度设置'!S6</x:f>
        <x:v>219125.9626344086</x:v>
      </x:c>
      <x:c r="AJ231" s="9" t="n">
        <x:f>'浓度设置'!S8</x:f>
        <x:v>92796.92267241378</x:v>
      </x:c>
      <x:c r="AK231" s="9" t="n">
        <x:f>'浓度设置'!S10</x:f>
        <x:v>30556.797802197798</x:v>
      </x:c>
      <x:c r="AL231" s="9" t="n">
        <x:f>'浓度设置'!S12</x:f>
        <x:v>1735.828970588235</x:v>
      </x:c>
      <x:c r="AM231" s="9" t="n">
        <x:f>'浓度设置'!S15</x:f>
        <x:v>7385.813644067793</x:v>
      </x:c>
      <x:c r="AN231" s="9" t="n">
        <x:f>'浓度设置'!S19</x:f>
        <x:v>27722.03097701148</x:v>
      </x:c>
      <x:c r="AO231" s="9" t="n">
        <x:f>'浓度设置'!S22</x:f>
        <x:v>44345.55047619048</x:v>
      </x:c>
      <x:c r="AP231" s="9" t="n">
        <x:f>'浓度设置'!S26</x:f>
        <x:v>153318.30499999996</x:v>
      </x:c>
      <x:c r="AQ231" s="9" t="n">
        <x:f>'浓度设置'!S29</x:f>
        <x:v>312.7970588235294</x:v>
      </x:c>
      <x:c r="AR231" s="9" t="n">
        <x:f>'浓度设置'!S30</x:f>
        <x:v>104175.5097553192</x:v>
      </x:c>
      <x:c r="AS231" s="9" t="n">
        <x:f>'浓度设置'!S35</x:f>
        <x:v>405974.90656785714</x:v>
      </x:c>
    </x:row>
    <x:row r="232" ht="24" customHeight="1">
      <x:c r="A232" s="3" t="str">
        <x:f>'350配方'!A232</x:f>
        <x:v>T227</x:v>
      </x:c>
      <x:c r="B232" s="3" t="str">
        <x:f>'350配方'!B232</x:f>
        <x:v>拟合</x:v>
      </x:c>
      <x:c r="C232" s="3" t="n">
        <x:f>IF(B232="拟合",1,0)</x:f>
        <x:v>1</x:v>
      </x:c>
      <x:c r="D232" s="3" t="n">
        <x:f>'350配方'!AC232</x:f>
        <x:v>4</x:v>
      </x:c>
      <x:c r="E232" s="9" t="n">
        <x:f>SUMIFS('350配方'!$M232:$P232,'350配方'!$Y232:$AB232,7)</x:f>
        <x:v>0</x:v>
      </x:c>
      <x:c r="F232" s="9" t="n">
        <x:f>SUMIFS('350配方'!$M232:$P232,'350配方'!$Y232:$AB232,11)</x:f>
        <x:v>0</x:v>
      </x:c>
      <x:c r="G232" s="9" t="n">
        <x:f>SUMIFS('350配方'!$M232:$P232,'350配方'!$Y232:$AB232,18)</x:f>
        <x:v>0</x:v>
      </x:c>
      <x:c r="H232" s="9" t="n">
        <x:f>SUMIFS('350配方'!$M232:$P232,'350配方'!$Y232:$AB232,32)</x:f>
        <x:v>836.8360173893091</x:v>
      </x:c>
      <x:c r="I232" s="9" t="n">
        <x:f>SUMIFS('350配方'!$M232:$P232,'350配方'!$Y232:$AB232,40)</x:f>
        <x:v>200.3122562401013</x:v>
      </x:c>
      <x:c r="J232" s="9" t="n">
        <x:f>SUMIFS('350配方'!$M232:$P232,'350配方'!$Y232:$AB232,52)</x:f>
        <x:v>0</x:v>
      </x:c>
      <x:c r="K232" s="9" t="n">
        <x:f>SUMIFS('350配方'!$M232:$P232,'350配方'!$Y232:$AB232,53)</x:f>
        <x:v>0</x:v>
      </x:c>
      <x:c r="L232" s="9" t="n">
        <x:f>SUMIFS('350配方'!$M232:$P232,'350配方'!$Y232:$AB232,56)</x:f>
        <x:v>0</x:v>
      </x:c>
      <x:c r="M232" s="9" t="n">
        <x:f>SUMIFS('350配方'!$M232:$P232,'350配方'!$Y232:$AB232,58)</x:f>
        <x:v>5.06</x:v>
      </x:c>
      <x:c r="N232" s="9" t="n">
        <x:f>SUMIFS('350配方'!$M232:$P232,'350配方'!$Y232:$AB232,61)</x:f>
        <x:v>0</x:v>
      </x:c>
      <x:c r="O232" s="9" t="n">
        <x:f>SUMIFS('350配方'!$M232:$P232,'350配方'!$Y232:$AB232,69)</x:f>
        <x:v>0</x:v>
      </x:c>
      <x:c r="P232" s="9" t="n">
        <x:f>SUMIFS('350配方'!$M232:$P232,'350配方'!$Y232:$AB232,75)</x:f>
        <x:v>0</x:v>
      </x:c>
      <x:c r="Q232" s="9" t="n">
        <x:f>SUMIFS('350配方'!$M232:$P232,'350配方'!$Y232:$AB232,79)</x:f>
        <x:v>0</x:v>
      </x:c>
      <x:c r="R232" s="9" t="n">
        <x:f>SUMIFS('350配方'!$M232:$P232,'350配方'!$Y232:$AB232,90)</x:f>
        <x:v>0</x:v>
      </x:c>
      <x:c r="S232" s="9" t="n">
        <x:f>SUMIFS('350配方'!$M232:$P232,'350配方'!$Y232:$AB232,105)</x:f>
        <x:v>15730</x:v>
      </x:c>
      <x:c r="T232" s="9" t="n">
        <x:f>SUMIFS('350配方'!$M232:$P232,'350配方'!$Y232:$AB232,111)</x:f>
        <x:v>0</x:v>
      </x:c>
      <x:c r="U232" s="9" t="n">
        <x:f>SUMIFS('350配方'!$M232:$P232,'350配方'!$Y232:$AB232,114)</x:f>
        <x:v>0</x:v>
      </x:c>
      <x:c r="V232" s="9" t="n">
        <x:f>SUMIFS('350配方'!$M232:$P232,'350配方'!$Y232:$AB232,115)</x:f>
        <x:v>0</x:v>
      </x:c>
      <x:c r="W232" s="9" t="n">
        <x:f>SUMIFS('350配方'!$M232:$P232,'350配方'!$Y232:$AB232,117)</x:f>
        <x:v>0</x:v>
      </x:c>
      <x:c r="X232" s="9" t="n">
        <x:f>SUMIFS('350配方'!$M232:$P232,'350配方'!$Y232:$AB232,126)</x:f>
        <x:v>0</x:v>
      </x:c>
      <x:c r="Y232" s="9" t="n">
        <x:f>SUMIFS('350配方'!$M232:$P232,'350配方'!$Y232:$AB232,136)</x:f>
        <x:v>0</x:v>
      </x:c>
      <x:c r="Z232" s="9" t="n">
        <x:f>SUMIFS('350配方'!$M232:$P232,'350配方'!$Y232:$AB232,141)</x:f>
        <x:v>0</x:v>
      </x:c>
      <x:c r="AA232" s="9" t="n">
        <x:f>SUMIFS('350配方'!$M232:$P232,'350配方'!$Y232:$AB232,152)</x:f>
        <x:v>0</x:v>
      </x:c>
      <x:c r="AB232" s="9" t="n">
        <x:f>SUMIFS('350配方'!$M232:$P232,'350配方'!$Y232:$AB232,165)</x:f>
        <x:v>0</x:v>
      </x:c>
      <x:c r="AC232" s="9" t="n">
        <x:f>SUMIFS('350配方'!$M232:$P232,'350配方'!$Y232:$AB232,186)</x:f>
        <x:v>0</x:v>
      </x:c>
      <x:c r="AD232" s="9" t="n">
        <x:f>SUMIFS('350配方'!$M232:$P232,'350配方'!$Y232:$AB232,207)</x:f>
        <x:v>0</x:v>
      </x:c>
      <x:c r="AE232" s="9" t="n">
        <x:f>SUMIFS('350配方'!$M232:$P232,'350配方'!$Y232:$AB232,209)</x:f>
        <x:v>0</x:v>
      </x:c>
      <x:c r="AF232" s="9" t="n">
        <x:f>SUMIFS('350配方'!$M232:$P232,'350配方'!$Y232:$AB232,227)</x:f>
        <x:v>0</x:v>
      </x:c>
      <x:c r="AG232" s="9" t="n">
        <x:f>SUMIFS('350配方'!$M232:$P232,'350配方'!$Y232:$AB232,232)</x:f>
        <x:v>0</x:v>
      </x:c>
      <x:c r="AH232" s="9" t="n">
        <x:f>SUMIFS('350配方'!$M232:$P232,'350配方'!$Y232:$AB232,255)</x:f>
        <x:v>0</x:v>
      </x:c>
      <x:c r="AI232" s="9" t="n">
        <x:f>'浓度设置'!S6</x:f>
        <x:v>219125.9626344086</x:v>
      </x:c>
      <x:c r="AJ232" s="9" t="n">
        <x:f>'浓度设置'!S8</x:f>
        <x:v>92796.92267241378</x:v>
      </x:c>
      <x:c r="AK232" s="9" t="n">
        <x:f>'浓度设置'!S10</x:f>
        <x:v>30556.797802197798</x:v>
      </x:c>
      <x:c r="AL232" s="9" t="n">
        <x:f>'浓度设置'!S12</x:f>
        <x:v>1735.828970588235</x:v>
      </x:c>
      <x:c r="AM232" s="9" t="n">
        <x:f>'浓度设置'!S15</x:f>
        <x:v>7385.813644067793</x:v>
      </x:c>
      <x:c r="AN232" s="9" t="n">
        <x:f>'浓度设置'!S19</x:f>
        <x:v>27722.03097701148</x:v>
      </x:c>
      <x:c r="AO232" s="9" t="n">
        <x:f>'浓度设置'!S22</x:f>
        <x:v>44345.55047619048</x:v>
      </x:c>
      <x:c r="AP232" s="9" t="n">
        <x:f>'浓度设置'!S26</x:f>
        <x:v>153318.30499999996</x:v>
      </x:c>
      <x:c r="AQ232" s="9" t="n">
        <x:f>'浓度设置'!S29</x:f>
        <x:v>312.7970588235294</x:v>
      </x:c>
      <x:c r="AR232" s="9" t="n">
        <x:f>'浓度设置'!S30</x:f>
        <x:v>104175.5097553192</x:v>
      </x:c>
      <x:c r="AS232" s="9" t="n">
        <x:f>'浓度设置'!S35</x:f>
        <x:v>405974.90656785714</x:v>
      </x:c>
    </x:row>
    <x:row r="233" ht="24" customHeight="1">
      <x:c r="A233" s="3" t="str">
        <x:f>'350配方'!A233</x:f>
        <x:v>T228</x:v>
      </x:c>
      <x:c r="B233" s="3" t="str">
        <x:f>'350配方'!B233</x:f>
        <x:v>拟合</x:v>
      </x:c>
      <x:c r="C233" s="3" t="n">
        <x:f>IF(B233="拟合",1,0)</x:f>
        <x:v>1</x:v>
      </x:c>
      <x:c r="D233" s="3" t="n">
        <x:f>'350配方'!AC233</x:f>
        <x:v>4</x:v>
      </x:c>
      <x:c r="E233" s="9" t="n">
        <x:f>SUMIFS('350配方'!$M233:$P233,'350配方'!$Y233:$AB233,7)</x:f>
        <x:v>0</x:v>
      </x:c>
      <x:c r="F233" s="9" t="n">
        <x:f>SUMIFS('350配方'!$M233:$P233,'350配方'!$Y233:$AB233,11)</x:f>
        <x:v>0</x:v>
      </x:c>
      <x:c r="G233" s="9" t="n">
        <x:f>SUMIFS('350配方'!$M233:$P233,'350配方'!$Y233:$AB233,18)</x:f>
        <x:v>35900</x:v>
      </x:c>
      <x:c r="H233" s="9" t="n">
        <x:f>SUMIFS('350配方'!$M233:$P233,'350配方'!$Y233:$AB233,32)</x:f>
        <x:v>0</x:v>
      </x:c>
      <x:c r="I233" s="9" t="n">
        <x:f>SUMIFS('350配方'!$M233:$P233,'350配方'!$Y233:$AB233,40)</x:f>
        <x:v>0</x:v>
      </x:c>
      <x:c r="J233" s="9" t="n">
        <x:f>SUMIFS('350配方'!$M233:$P233,'350配方'!$Y233:$AB233,52)</x:f>
        <x:v>0</x:v>
      </x:c>
      <x:c r="K233" s="9" t="n">
        <x:f>SUMIFS('350配方'!$M233:$P233,'350配方'!$Y233:$AB233,53)</x:f>
        <x:v>0</x:v>
      </x:c>
      <x:c r="L233" s="9" t="n">
        <x:f>SUMIFS('350配方'!$M233:$P233,'350配方'!$Y233:$AB233,56)</x:f>
        <x:v>4105</x:v>
      </x:c>
      <x:c r="M233" s="9" t="n">
        <x:f>SUMIFS('350配方'!$M233:$P233,'350配方'!$Y233:$AB233,58)</x:f>
        <x:v>0</x:v>
      </x:c>
      <x:c r="N233" s="9" t="n">
        <x:f>SUMIFS('350配方'!$M233:$P233,'350配方'!$Y233:$AB233,61)</x:f>
        <x:v>0</x:v>
      </x:c>
      <x:c r="O233" s="9" t="n">
        <x:f>SUMIFS('350配方'!$M233:$P233,'350配方'!$Y233:$AB233,69)</x:f>
        <x:v>0</x:v>
      </x:c>
      <x:c r="P233" s="9" t="n">
        <x:f>SUMIFS('350配方'!$M233:$P233,'350配方'!$Y233:$AB233,75)</x:f>
        <x:v>0</x:v>
      </x:c>
      <x:c r="Q233" s="9" t="n">
        <x:f>SUMIFS('350配方'!$M233:$P233,'350配方'!$Y233:$AB233,79)</x:f>
        <x:v>56115</x:v>
      </x:c>
      <x:c r="R233" s="9" t="n">
        <x:f>SUMIFS('350配方'!$M233:$P233,'350配方'!$Y233:$AB233,90)</x:f>
        <x:v>0</x:v>
      </x:c>
      <x:c r="S233" s="9" t="n">
        <x:f>SUMIFS('350配方'!$M233:$P233,'350配方'!$Y233:$AB233,105)</x:f>
        <x:v>0</x:v>
      </x:c>
      <x:c r="T233" s="9" t="n">
        <x:f>SUMIFS('350配方'!$M233:$P233,'350配方'!$Y233:$AB233,111)</x:f>
        <x:v>0</x:v>
      </x:c>
      <x:c r="U233" s="9" t="n">
        <x:f>SUMIFS('350配方'!$M233:$P233,'350配方'!$Y233:$AB233,114)</x:f>
        <x:v>0</x:v>
      </x:c>
      <x:c r="V233" s="9" t="n">
        <x:f>SUMIFS('350配方'!$M233:$P233,'350配方'!$Y233:$AB233,115)</x:f>
        <x:v>0</x:v>
      </x:c>
      <x:c r="W233" s="9" t="n">
        <x:f>SUMIFS('350配方'!$M233:$P233,'350配方'!$Y233:$AB233,117)</x:f>
        <x:v>0</x:v>
      </x:c>
      <x:c r="X233" s="9" t="n">
        <x:f>SUMIFS('350配方'!$M233:$P233,'350配方'!$Y233:$AB233,126)</x:f>
        <x:v>0</x:v>
      </x:c>
      <x:c r="Y233" s="9" t="n">
        <x:f>SUMIFS('350配方'!$M233:$P233,'350配方'!$Y233:$AB233,136)</x:f>
        <x:v>0</x:v>
      </x:c>
      <x:c r="Z233" s="9" t="n">
        <x:f>SUMIFS('350配方'!$M233:$P233,'350配方'!$Y233:$AB233,141)</x:f>
        <x:v>2.2</x:v>
      </x:c>
      <x:c r="AA233" s="9" t="n">
        <x:f>SUMIFS('350配方'!$M233:$P233,'350配方'!$Y233:$AB233,152)</x:f>
        <x:v>0</x:v>
      </x:c>
      <x:c r="AB233" s="9" t="n">
        <x:f>SUMIFS('350配方'!$M233:$P233,'350配方'!$Y233:$AB233,165)</x:f>
        <x:v>0</x:v>
      </x:c>
      <x:c r="AC233" s="9" t="n">
        <x:f>SUMIFS('350配方'!$M233:$P233,'350配方'!$Y233:$AB233,186)</x:f>
        <x:v>0</x:v>
      </x:c>
      <x:c r="AD233" s="9" t="n">
        <x:f>SUMIFS('350配方'!$M233:$P233,'350配方'!$Y233:$AB233,207)</x:f>
        <x:v>0</x:v>
      </x:c>
      <x:c r="AE233" s="9" t="n">
        <x:f>SUMIFS('350配方'!$M233:$P233,'350配方'!$Y233:$AB233,209)</x:f>
        <x:v>0</x:v>
      </x:c>
      <x:c r="AF233" s="9" t="n">
        <x:f>SUMIFS('350配方'!$M233:$P233,'350配方'!$Y233:$AB233,227)</x:f>
        <x:v>0</x:v>
      </x:c>
      <x:c r="AG233" s="9" t="n">
        <x:f>SUMIFS('350配方'!$M233:$P233,'350配方'!$Y233:$AB233,232)</x:f>
        <x:v>0</x:v>
      </x:c>
      <x:c r="AH233" s="9" t="n">
        <x:f>SUMIFS('350配方'!$M233:$P233,'350配方'!$Y233:$AB233,255)</x:f>
        <x:v>0</x:v>
      </x:c>
      <x:c r="AI233" s="9" t="n">
        <x:f>'浓度设置'!S6</x:f>
        <x:v>219125.9626344086</x:v>
      </x:c>
      <x:c r="AJ233" s="9" t="n">
        <x:f>'浓度设置'!S8</x:f>
        <x:v>92796.92267241378</x:v>
      </x:c>
      <x:c r="AK233" s="9" t="n">
        <x:f>'浓度设置'!S10</x:f>
        <x:v>30556.797802197798</x:v>
      </x:c>
      <x:c r="AL233" s="9" t="n">
        <x:f>'浓度设置'!S12</x:f>
        <x:v>1735.828970588235</x:v>
      </x:c>
      <x:c r="AM233" s="9" t="n">
        <x:f>'浓度设置'!S15</x:f>
        <x:v>7385.813644067793</x:v>
      </x:c>
      <x:c r="AN233" s="9" t="n">
        <x:f>'浓度设置'!S19</x:f>
        <x:v>27722.03097701148</x:v>
      </x:c>
      <x:c r="AO233" s="9" t="n">
        <x:f>'浓度设置'!S22</x:f>
        <x:v>44345.55047619048</x:v>
      </x:c>
      <x:c r="AP233" s="9" t="n">
        <x:f>'浓度设置'!S26</x:f>
        <x:v>153318.30499999996</x:v>
      </x:c>
      <x:c r="AQ233" s="9" t="n">
        <x:f>'浓度设置'!S29</x:f>
        <x:v>312.7970588235294</x:v>
      </x:c>
      <x:c r="AR233" s="9" t="n">
        <x:f>'浓度设置'!S30</x:f>
        <x:v>104175.5097553192</x:v>
      </x:c>
      <x:c r="AS233" s="9" t="n">
        <x:f>'浓度设置'!S35</x:f>
        <x:v>405974.90656785714</x:v>
      </x:c>
    </x:row>
    <x:row r="234" ht="24" customHeight="1">
      <x:c r="A234" s="3" t="str">
        <x:f>'350配方'!A234</x:f>
        <x:v>T229</x:v>
      </x:c>
      <x:c r="B234" s="3" t="str">
        <x:f>'350配方'!B234</x:f>
        <x:v>拟合</x:v>
      </x:c>
      <x:c r="C234" s="3" t="n">
        <x:f>IF(B234="拟合",1,0)</x:f>
        <x:v>1</x:v>
      </x:c>
      <x:c r="D234" s="3" t="n">
        <x:f>'350配方'!AC234</x:f>
        <x:v>4</x:v>
      </x:c>
      <x:c r="E234" s="9" t="n">
        <x:f>SUMIFS('350配方'!$M234:$P234,'350配方'!$Y234:$AB234,7)</x:f>
        <x:v>0</x:v>
      </x:c>
      <x:c r="F234" s="9" t="n">
        <x:f>SUMIFS('350配方'!$M234:$P234,'350配方'!$Y234:$AB234,11)</x:f>
        <x:v>0</x:v>
      </x:c>
      <x:c r="G234" s="9" t="n">
        <x:f>SUMIFS('350配方'!$M234:$P234,'350配方'!$Y234:$AB234,18)</x:f>
        <x:v>0</x:v>
      </x:c>
      <x:c r="H234" s="9" t="n">
        <x:f>SUMIFS('350配方'!$M234:$P234,'350配方'!$Y234:$AB234,32)</x:f>
        <x:v>0</x:v>
      </x:c>
      <x:c r="I234" s="9" t="n">
        <x:f>SUMIFS('350配方'!$M234:$P234,'350配方'!$Y234:$AB234,40)</x:f>
        <x:v>0</x:v>
      </x:c>
      <x:c r="J234" s="9" t="n">
        <x:f>SUMIFS('350配方'!$M234:$P234,'350配方'!$Y234:$AB234,52)</x:f>
        <x:v>0</x:v>
      </x:c>
      <x:c r="K234" s="9" t="n">
        <x:f>SUMIFS('350配方'!$M234:$P234,'350配方'!$Y234:$AB234,53)</x:f>
        <x:v>2745.3821227654266</x:v>
      </x:c>
      <x:c r="L234" s="9" t="n">
        <x:f>SUMIFS('350配方'!$M234:$P234,'350配方'!$Y234:$AB234,56)</x:f>
        <x:v>0</x:v>
      </x:c>
      <x:c r="M234" s="9" t="n">
        <x:f>SUMIFS('350配方'!$M234:$P234,'350配方'!$Y234:$AB234,58)</x:f>
        <x:v>0</x:v>
      </x:c>
      <x:c r="N234" s="9" t="n">
        <x:f>SUMIFS('350配方'!$M234:$P234,'350配方'!$Y234:$AB234,61)</x:f>
        <x:v>0</x:v>
      </x:c>
      <x:c r="O234" s="9" t="n">
        <x:f>SUMIFS('350配方'!$M234:$P234,'350配方'!$Y234:$AB234,69)</x:f>
        <x:v>0</x:v>
      </x:c>
      <x:c r="P234" s="9" t="n">
        <x:f>SUMIFS('350配方'!$M234:$P234,'350配方'!$Y234:$AB234,75)</x:f>
        <x:v>0</x:v>
      </x:c>
      <x:c r="Q234" s="9" t="n">
        <x:f>SUMIFS('350配方'!$M234:$P234,'350配方'!$Y234:$AB234,79)</x:f>
        <x:v>0</x:v>
      </x:c>
      <x:c r="R234" s="9" t="n">
        <x:f>SUMIFS('350配方'!$M234:$P234,'350配方'!$Y234:$AB234,90)</x:f>
        <x:v>25642.45</x:v>
      </x:c>
      <x:c r="S234" s="9" t="n">
        <x:f>SUMIFS('350配方'!$M234:$P234,'350配方'!$Y234:$AB234,105)</x:f>
        <x:v>0</x:v>
      </x:c>
      <x:c r="T234" s="9" t="n">
        <x:f>SUMIFS('350配方'!$M234:$P234,'350配方'!$Y234:$AB234,111)</x:f>
        <x:v>0</x:v>
      </x:c>
      <x:c r="U234" s="9" t="n">
        <x:f>SUMIFS('350配方'!$M234:$P234,'350配方'!$Y234:$AB234,114)</x:f>
        <x:v>0</x:v>
      </x:c>
      <x:c r="V234" s="9" t="n">
        <x:f>SUMIFS('350配方'!$M234:$P234,'350配方'!$Y234:$AB234,115)</x:f>
        <x:v>0</x:v>
      </x:c>
      <x:c r="W234" s="9" t="n">
        <x:f>SUMIFS('350配方'!$M234:$P234,'350配方'!$Y234:$AB234,117)</x:f>
        <x:v>0</x:v>
      </x:c>
      <x:c r="X234" s="9" t="n">
        <x:f>SUMIFS('350配方'!$M234:$P234,'350配方'!$Y234:$AB234,126)</x:f>
        <x:v>0</x:v>
      </x:c>
      <x:c r="Y234" s="9" t="n">
        <x:f>SUMIFS('350配方'!$M234:$P234,'350配方'!$Y234:$AB234,136)</x:f>
        <x:v>0</x:v>
      </x:c>
      <x:c r="Z234" s="9" t="n">
        <x:f>SUMIFS('350配方'!$M234:$P234,'350配方'!$Y234:$AB234,141)</x:f>
        <x:v>0</x:v>
      </x:c>
      <x:c r="AA234" s="9" t="n">
        <x:f>SUMIFS('350配方'!$M234:$P234,'350配方'!$Y234:$AB234,152)</x:f>
        <x:v>0</x:v>
      </x:c>
      <x:c r="AB234" s="9" t="n">
        <x:f>SUMIFS('350配方'!$M234:$P234,'350配方'!$Y234:$AB234,165)</x:f>
        <x:v>0</x:v>
      </x:c>
      <x:c r="AC234" s="9" t="n">
        <x:f>SUMIFS('350配方'!$M234:$P234,'350配方'!$Y234:$AB234,186)</x:f>
        <x:v>1.56</x:v>
      </x:c>
      <x:c r="AD234" s="9" t="n">
        <x:f>SUMIFS('350配方'!$M234:$P234,'350配方'!$Y234:$AB234,207)</x:f>
        <x:v>0</x:v>
      </x:c>
      <x:c r="AE234" s="9" t="n">
        <x:f>SUMIFS('350配方'!$M234:$P234,'350配方'!$Y234:$AB234,209)</x:f>
        <x:v>0</x:v>
      </x:c>
      <x:c r="AF234" s="9" t="n">
        <x:f>SUMIFS('350配方'!$M234:$P234,'350配方'!$Y234:$AB234,227)</x:f>
        <x:v>695.986709643223</x:v>
      </x:c>
      <x:c r="AG234" s="9" t="n">
        <x:f>SUMIFS('350配方'!$M234:$P234,'350配方'!$Y234:$AB234,232)</x:f>
        <x:v>0</x:v>
      </x:c>
      <x:c r="AH234" s="9" t="n">
        <x:f>SUMIFS('350配方'!$M234:$P234,'350配方'!$Y234:$AB234,255)</x:f>
        <x:v>0</x:v>
      </x:c>
      <x:c r="AI234" s="9" t="n">
        <x:f>'浓度设置'!S6</x:f>
        <x:v>219125.9626344086</x:v>
      </x:c>
      <x:c r="AJ234" s="9" t="n">
        <x:f>'浓度设置'!S8</x:f>
        <x:v>92796.92267241378</x:v>
      </x:c>
      <x:c r="AK234" s="9" t="n">
        <x:f>'浓度设置'!S10</x:f>
        <x:v>30556.797802197798</x:v>
      </x:c>
      <x:c r="AL234" s="9" t="n">
        <x:f>'浓度设置'!S12</x:f>
        <x:v>1735.828970588235</x:v>
      </x:c>
      <x:c r="AM234" s="9" t="n">
        <x:f>'浓度设置'!S15</x:f>
        <x:v>7385.813644067793</x:v>
      </x:c>
      <x:c r="AN234" s="9" t="n">
        <x:f>'浓度设置'!S19</x:f>
        <x:v>27722.03097701148</x:v>
      </x:c>
      <x:c r="AO234" s="9" t="n">
        <x:f>'浓度设置'!S22</x:f>
        <x:v>44345.55047619048</x:v>
      </x:c>
      <x:c r="AP234" s="9" t="n">
        <x:f>'浓度设置'!S26</x:f>
        <x:v>153318.30499999996</x:v>
      </x:c>
      <x:c r="AQ234" s="9" t="n">
        <x:f>'浓度设置'!S29</x:f>
        <x:v>312.7970588235294</x:v>
      </x:c>
      <x:c r="AR234" s="9" t="n">
        <x:f>'浓度设置'!S30</x:f>
        <x:v>104175.5097553192</x:v>
      </x:c>
      <x:c r="AS234" s="9" t="n">
        <x:f>'浓度设置'!S35</x:f>
        <x:v>405974.90656785714</x:v>
      </x:c>
    </x:row>
    <x:row r="235" ht="24" customHeight="1">
      <x:c r="A235" s="3" t="str">
        <x:f>'350配方'!A235</x:f>
        <x:v>T230</x:v>
      </x:c>
      <x:c r="B235" s="3" t="str">
        <x:f>'350配方'!B235</x:f>
        <x:v>拟合</x:v>
      </x:c>
      <x:c r="C235" s="3" t="n">
        <x:f>IF(B235="拟合",1,0)</x:f>
        <x:v>1</x:v>
      </x:c>
      <x:c r="D235" s="3" t="n">
        <x:f>'350配方'!AC235</x:f>
        <x:v>4</x:v>
      </x:c>
      <x:c r="E235" s="9" t="n">
        <x:f>SUMIFS('350配方'!$M235:$P235,'350配方'!$Y235:$AB235,7)</x:f>
        <x:v>0</x:v>
      </x:c>
      <x:c r="F235" s="9" t="n">
        <x:f>SUMIFS('350配方'!$M235:$P235,'350配方'!$Y235:$AB235,11)</x:f>
        <x:v>0</x:v>
      </x:c>
      <x:c r="G235" s="9" t="n">
        <x:f>SUMIFS('350配方'!$M235:$P235,'350配方'!$Y235:$AB235,18)</x:f>
        <x:v>0</x:v>
      </x:c>
      <x:c r="H235" s="9" t="n">
        <x:f>SUMIFS('350配方'!$M235:$P235,'350配方'!$Y235:$AB235,32)</x:f>
        <x:v>0</x:v>
      </x:c>
      <x:c r="I235" s="9" t="n">
        <x:f>SUMIFS('350配方'!$M235:$P235,'350配方'!$Y235:$AB235,40)</x:f>
        <x:v>1.875</x:v>
      </x:c>
      <x:c r="J235" s="9" t="n">
        <x:f>SUMIFS('350配方'!$M235:$P235,'350配方'!$Y235:$AB235,52)</x:f>
        <x:v>0</x:v>
      </x:c>
      <x:c r="K235" s="9" t="n">
        <x:f>SUMIFS('350配方'!$M235:$P235,'350配方'!$Y235:$AB235,53)</x:f>
        <x:v>0</x:v>
      </x:c>
      <x:c r="L235" s="9" t="n">
        <x:f>SUMIFS('350配方'!$M235:$P235,'350配方'!$Y235:$AB235,56)</x:f>
        <x:v>0</x:v>
      </x:c>
      <x:c r="M235" s="9" t="n">
        <x:f>SUMIFS('350配方'!$M235:$P235,'350配方'!$Y235:$AB235,58)</x:f>
        <x:v>0</x:v>
      </x:c>
      <x:c r="N235" s="9" t="n">
        <x:f>SUMIFS('350配方'!$M235:$P235,'350配方'!$Y235:$AB235,61)</x:f>
        <x:v>59.381310191002015</x:v>
      </x:c>
      <x:c r="O235" s="9" t="n">
        <x:f>SUMIFS('350配方'!$M235:$P235,'350配方'!$Y235:$AB235,69)</x:f>
        <x:v>0</x:v>
      </x:c>
      <x:c r="P235" s="9" t="n">
        <x:f>SUMIFS('350配方'!$M235:$P235,'350配方'!$Y235:$AB235,75)</x:f>
        <x:v>331.2476415010377</x:v>
      </x:c>
      <x:c r="Q235" s="9" t="n">
        <x:f>SUMIFS('350配方'!$M235:$P235,'350配方'!$Y235:$AB235,79)</x:f>
        <x:v>0</x:v>
      </x:c>
      <x:c r="R235" s="9" t="n">
        <x:f>SUMIFS('350配方'!$M235:$P235,'350配方'!$Y235:$AB235,90)</x:f>
        <x:v>0</x:v>
      </x:c>
      <x:c r="S235" s="9" t="n">
        <x:f>SUMIFS('350配方'!$M235:$P235,'350配方'!$Y235:$AB235,105)</x:f>
        <x:v>0</x:v>
      </x:c>
      <x:c r="T235" s="9" t="n">
        <x:f>SUMIFS('350配方'!$M235:$P235,'350配方'!$Y235:$AB235,111)</x:f>
        <x:v>0</x:v>
      </x:c>
      <x:c r="U235" s="9" t="n">
        <x:f>SUMIFS('350配方'!$M235:$P235,'350配方'!$Y235:$AB235,114)</x:f>
        <x:v>0</x:v>
      </x:c>
      <x:c r="V235" s="9" t="n">
        <x:f>SUMIFS('350配方'!$M235:$P235,'350配方'!$Y235:$AB235,115)</x:f>
        <x:v>0</x:v>
      </x:c>
      <x:c r="W235" s="9" t="n">
        <x:f>SUMIFS('350配方'!$M235:$P235,'350配方'!$Y235:$AB235,117)</x:f>
        <x:v>0</x:v>
      </x:c>
      <x:c r="X235" s="9" t="n">
        <x:f>SUMIFS('350配方'!$M235:$P235,'350配方'!$Y235:$AB235,126)</x:f>
        <x:v>0</x:v>
      </x:c>
      <x:c r="Y235" s="9" t="n">
        <x:f>SUMIFS('350配方'!$M235:$P235,'350配方'!$Y235:$AB235,136)</x:f>
        <x:v>0</x:v>
      </x:c>
      <x:c r="Z235" s="9" t="n">
        <x:f>SUMIFS('350配方'!$M235:$P235,'350配方'!$Y235:$AB235,141)</x:f>
        <x:v>0</x:v>
      </x:c>
      <x:c r="AA235" s="9" t="n">
        <x:f>SUMIFS('350配方'!$M235:$P235,'350配方'!$Y235:$AB235,152)</x:f>
        <x:v>0</x:v>
      </x:c>
      <x:c r="AB235" s="9" t="n">
        <x:f>SUMIFS('350配方'!$M235:$P235,'350配方'!$Y235:$AB235,165)</x:f>
        <x:v>0</x:v>
      </x:c>
      <x:c r="AC235" s="9" t="n">
        <x:f>SUMIFS('350配方'!$M235:$P235,'350配方'!$Y235:$AB235,186)</x:f>
        <x:v>0</x:v>
      </x:c>
      <x:c r="AD235" s="9" t="n">
        <x:f>SUMIFS('350配方'!$M235:$P235,'350配方'!$Y235:$AB235,207)</x:f>
        <x:v>0</x:v>
      </x:c>
      <x:c r="AE235" s="9" t="n">
        <x:f>SUMIFS('350配方'!$M235:$P235,'350配方'!$Y235:$AB235,209)</x:f>
        <x:v>0</x:v>
      </x:c>
      <x:c r="AF235" s="9" t="n">
        <x:f>SUMIFS('350配方'!$M235:$P235,'350配方'!$Y235:$AB235,227)</x:f>
        <x:v>0</x:v>
      </x:c>
      <x:c r="AG235" s="9" t="n">
        <x:f>SUMIFS('350配方'!$M235:$P235,'350配方'!$Y235:$AB235,232)</x:f>
        <x:v>0</x:v>
      </x:c>
      <x:c r="AH235" s="9" t="n">
        <x:f>SUMIFS('350配方'!$M235:$P235,'350配方'!$Y235:$AB235,255)</x:f>
        <x:v>9.546727187890099</x:v>
      </x:c>
      <x:c r="AI235" s="9" t="n">
        <x:f>'浓度设置'!S6</x:f>
        <x:v>219125.9626344086</x:v>
      </x:c>
      <x:c r="AJ235" s="9" t="n">
        <x:f>'浓度设置'!S8</x:f>
        <x:v>92796.92267241378</x:v>
      </x:c>
      <x:c r="AK235" s="9" t="n">
        <x:f>'浓度设置'!S10</x:f>
        <x:v>30556.797802197798</x:v>
      </x:c>
      <x:c r="AL235" s="9" t="n">
        <x:f>'浓度设置'!S12</x:f>
        <x:v>1735.828970588235</x:v>
      </x:c>
      <x:c r="AM235" s="9" t="n">
        <x:f>'浓度设置'!S15</x:f>
        <x:v>7385.813644067793</x:v>
      </x:c>
      <x:c r="AN235" s="9" t="n">
        <x:f>'浓度设置'!S19</x:f>
        <x:v>27722.03097701148</x:v>
      </x:c>
      <x:c r="AO235" s="9" t="n">
        <x:f>'浓度设置'!S22</x:f>
        <x:v>44345.55047619048</x:v>
      </x:c>
      <x:c r="AP235" s="9" t="n">
        <x:f>'浓度设置'!S26</x:f>
        <x:v>153318.30499999996</x:v>
      </x:c>
      <x:c r="AQ235" s="9" t="n">
        <x:f>'浓度设置'!S29</x:f>
        <x:v>312.7970588235294</x:v>
      </x:c>
      <x:c r="AR235" s="9" t="n">
        <x:f>'浓度设置'!S30</x:f>
        <x:v>104175.5097553192</x:v>
      </x:c>
      <x:c r="AS235" s="9" t="n">
        <x:f>'浓度设置'!S35</x:f>
        <x:v>405974.90656785714</x:v>
      </x:c>
    </x:row>
    <x:row r="236" ht="24" customHeight="1">
      <x:c r="A236" s="3" t="str">
        <x:f>'350配方'!A236</x:f>
        <x:v>T231</x:v>
      </x:c>
      <x:c r="B236" s="3" t="str">
        <x:f>'350配方'!B236</x:f>
        <x:v>拟合</x:v>
      </x:c>
      <x:c r="C236" s="3" t="n">
        <x:f>IF(B236="拟合",1,0)</x:f>
        <x:v>1</x:v>
      </x:c>
      <x:c r="D236" s="3" t="n">
        <x:f>'350配方'!AC236</x:f>
        <x:v>4</x:v>
      </x:c>
      <x:c r="E236" s="9" t="n">
        <x:f>SUMIFS('350配方'!$M236:$P236,'350配方'!$Y236:$AB236,7)</x:f>
        <x:v>0</x:v>
      </x:c>
      <x:c r="F236" s="9" t="n">
        <x:f>SUMIFS('350配方'!$M236:$P236,'350配方'!$Y236:$AB236,11)</x:f>
        <x:v>4198.825192836682</x:v>
      </x:c>
      <x:c r="G236" s="9" t="n">
        <x:f>SUMIFS('350配方'!$M236:$P236,'350配方'!$Y236:$AB236,18)</x:f>
        <x:v>0</x:v>
      </x:c>
      <x:c r="H236" s="9" t="n">
        <x:f>SUMIFS('350配方'!$M236:$P236,'350配方'!$Y236:$AB236,32)</x:f>
        <x:v>0</x:v>
      </x:c>
      <x:c r="I236" s="9" t="n">
        <x:f>SUMIFS('350配方'!$M236:$P236,'350配方'!$Y236:$AB236,40)</x:f>
        <x:v>0</x:v>
      </x:c>
      <x:c r="J236" s="9" t="n">
        <x:f>SUMIFS('350配方'!$M236:$P236,'350配方'!$Y236:$AB236,52)</x:f>
        <x:v>0</x:v>
      </x:c>
      <x:c r="K236" s="9" t="n">
        <x:f>SUMIFS('350配方'!$M236:$P236,'350配方'!$Y236:$AB236,53)</x:f>
        <x:v>0</x:v>
      </x:c>
      <x:c r="L236" s="9" t="n">
        <x:f>SUMIFS('350配方'!$M236:$P236,'350配方'!$Y236:$AB236,56)</x:f>
        <x:v>0</x:v>
      </x:c>
      <x:c r="M236" s="9" t="n">
        <x:f>SUMIFS('350配方'!$M236:$P236,'350配方'!$Y236:$AB236,58)</x:f>
        <x:v>0</x:v>
      </x:c>
      <x:c r="N236" s="9" t="n">
        <x:f>SUMIFS('350配方'!$M236:$P236,'350配方'!$Y236:$AB236,61)</x:f>
        <x:v>0</x:v>
      </x:c>
      <x:c r="O236" s="9" t="n">
        <x:f>SUMIFS('350配方'!$M236:$P236,'350配方'!$Y236:$AB236,69)</x:f>
        <x:v>0</x:v>
      </x:c>
      <x:c r="P236" s="9" t="n">
        <x:f>SUMIFS('350配方'!$M236:$P236,'350配方'!$Y236:$AB236,75)</x:f>
        <x:v>0</x:v>
      </x:c>
      <x:c r="Q236" s="9" t="n">
        <x:f>SUMIFS('350配方'!$M236:$P236,'350配方'!$Y236:$AB236,79)</x:f>
        <x:v>0</x:v>
      </x:c>
      <x:c r="R236" s="9" t="n">
        <x:f>SUMIFS('350配方'!$M236:$P236,'350配方'!$Y236:$AB236,90)</x:f>
        <x:v>0</x:v>
      </x:c>
      <x:c r="S236" s="9" t="n">
        <x:f>SUMIFS('350配方'!$M236:$P236,'350配方'!$Y236:$AB236,105)</x:f>
        <x:v>0</x:v>
      </x:c>
      <x:c r="T236" s="9" t="n">
        <x:f>SUMIFS('350配方'!$M236:$P236,'350配方'!$Y236:$AB236,111)</x:f>
        <x:v>0</x:v>
      </x:c>
      <x:c r="U236" s="9" t="n">
        <x:f>SUMIFS('350配方'!$M236:$P236,'350配方'!$Y236:$AB236,114)</x:f>
        <x:v>0</x:v>
      </x:c>
      <x:c r="V236" s="9" t="n">
        <x:f>SUMIFS('350配方'!$M236:$P236,'350配方'!$Y236:$AB236,115)</x:f>
        <x:v>0</x:v>
      </x:c>
      <x:c r="W236" s="9" t="n">
        <x:f>SUMIFS('350配方'!$M236:$P236,'350配方'!$Y236:$AB236,117)</x:f>
        <x:v>274.54883445390914</x:v>
      </x:c>
      <x:c r="X236" s="9" t="n">
        <x:f>SUMIFS('350配方'!$M236:$P236,'350配方'!$Y236:$AB236,126)</x:f>
        <x:v>1551340.76</x:v>
      </x:c>
      <x:c r="Y236" s="9" t="n">
        <x:f>SUMIFS('350配方'!$M236:$P236,'350配方'!$Y236:$AB236,136)</x:f>
        <x:v>0</x:v>
      </x:c>
      <x:c r="Z236" s="9" t="n">
        <x:f>SUMIFS('350配方'!$M236:$P236,'350配方'!$Y236:$AB236,141)</x:f>
        <x:v>0</x:v>
      </x:c>
      <x:c r="AA236" s="9" t="n">
        <x:f>SUMIFS('350配方'!$M236:$P236,'350配方'!$Y236:$AB236,152)</x:f>
        <x:v>1048.6410253275426</x:v>
      </x:c>
      <x:c r="AB236" s="9" t="n">
        <x:f>SUMIFS('350配方'!$M236:$P236,'350配方'!$Y236:$AB236,165)</x:f>
        <x:v>0</x:v>
      </x:c>
      <x:c r="AC236" s="9" t="n">
        <x:f>SUMIFS('350配方'!$M236:$P236,'350配方'!$Y236:$AB236,186)</x:f>
        <x:v>0</x:v>
      </x:c>
      <x:c r="AD236" s="9" t="n">
        <x:f>SUMIFS('350配方'!$M236:$P236,'350配方'!$Y236:$AB236,207)</x:f>
        <x:v>0</x:v>
      </x:c>
      <x:c r="AE236" s="9" t="n">
        <x:f>SUMIFS('350配方'!$M236:$P236,'350配方'!$Y236:$AB236,209)</x:f>
        <x:v>0</x:v>
      </x:c>
      <x:c r="AF236" s="9" t="n">
        <x:f>SUMIFS('350配方'!$M236:$P236,'350配方'!$Y236:$AB236,227)</x:f>
        <x:v>0</x:v>
      </x:c>
      <x:c r="AG236" s="9" t="n">
        <x:f>SUMIFS('350配方'!$M236:$P236,'350配方'!$Y236:$AB236,232)</x:f>
        <x:v>0</x:v>
      </x:c>
      <x:c r="AH236" s="9" t="n">
        <x:f>SUMIFS('350配方'!$M236:$P236,'350配方'!$Y236:$AB236,255)</x:f>
        <x:v>0</x:v>
      </x:c>
      <x:c r="AI236" s="9" t="n">
        <x:f>'浓度设置'!S6</x:f>
        <x:v>219125.9626344086</x:v>
      </x:c>
      <x:c r="AJ236" s="9" t="n">
        <x:f>'浓度设置'!S8</x:f>
        <x:v>92796.92267241378</x:v>
      </x:c>
      <x:c r="AK236" s="9" t="n">
        <x:f>'浓度设置'!S10</x:f>
        <x:v>30556.797802197798</x:v>
      </x:c>
      <x:c r="AL236" s="9" t="n">
        <x:f>'浓度设置'!S12</x:f>
        <x:v>1735.828970588235</x:v>
      </x:c>
      <x:c r="AM236" s="9" t="n">
        <x:f>'浓度设置'!S15</x:f>
        <x:v>7385.813644067793</x:v>
      </x:c>
      <x:c r="AN236" s="9" t="n">
        <x:f>'浓度设置'!S19</x:f>
        <x:v>27722.03097701148</x:v>
      </x:c>
      <x:c r="AO236" s="9" t="n">
        <x:f>'浓度设置'!S22</x:f>
        <x:v>44345.55047619048</x:v>
      </x:c>
      <x:c r="AP236" s="9" t="n">
        <x:f>'浓度设置'!S26</x:f>
        <x:v>153318.30499999996</x:v>
      </x:c>
      <x:c r="AQ236" s="9" t="n">
        <x:f>'浓度设置'!S29</x:f>
        <x:v>312.7970588235294</x:v>
      </x:c>
      <x:c r="AR236" s="9" t="n">
        <x:f>'浓度设置'!S30</x:f>
        <x:v>104175.5097553192</x:v>
      </x:c>
      <x:c r="AS236" s="9" t="n">
        <x:f>'浓度设置'!S35</x:f>
        <x:v>405974.90656785714</x:v>
      </x:c>
    </x:row>
    <x:row r="237" ht="24" customHeight="1">
      <x:c r="A237" s="3" t="str">
        <x:f>'350配方'!A237</x:f>
        <x:v>T232</x:v>
      </x:c>
      <x:c r="B237" s="3" t="str">
        <x:f>'350配方'!B237</x:f>
        <x:v>拟合</x:v>
      </x:c>
      <x:c r="C237" s="3" t="n">
        <x:f>IF(B237="拟合",1,0)</x:f>
        <x:v>1</x:v>
      </x:c>
      <x:c r="D237" s="3" t="n">
        <x:f>'350配方'!AC237</x:f>
        <x:v>4</x:v>
      </x:c>
      <x:c r="E237" s="9" t="n">
        <x:f>SUMIFS('350配方'!$M237:$P237,'350配方'!$Y237:$AB237,7)</x:f>
        <x:v>0</x:v>
      </x:c>
      <x:c r="F237" s="9" t="n">
        <x:f>SUMIFS('350配方'!$M237:$P237,'350配方'!$Y237:$AB237,11)</x:f>
        <x:v>0</x:v>
      </x:c>
      <x:c r="G237" s="9" t="n">
        <x:f>SUMIFS('350配方'!$M237:$P237,'350配方'!$Y237:$AB237,18)</x:f>
        <x:v>0</x:v>
      </x:c>
      <x:c r="H237" s="9" t="n">
        <x:f>SUMIFS('350配方'!$M237:$P237,'350配方'!$Y237:$AB237,32)</x:f>
        <x:v>0</x:v>
      </x:c>
      <x:c r="I237" s="9" t="n">
        <x:f>SUMIFS('350配方'!$M237:$P237,'350配方'!$Y237:$AB237,40)</x:f>
        <x:v>0</x:v>
      </x:c>
      <x:c r="J237" s="9" t="n">
        <x:f>SUMIFS('350配方'!$M237:$P237,'350配方'!$Y237:$AB237,52)</x:f>
        <x:v>0</x:v>
      </x:c>
      <x:c r="K237" s="9" t="n">
        <x:f>SUMIFS('350配方'!$M237:$P237,'350配方'!$Y237:$AB237,53)</x:f>
        <x:v>0</x:v>
      </x:c>
      <x:c r="L237" s="9" t="n">
        <x:f>SUMIFS('350配方'!$M237:$P237,'350配方'!$Y237:$AB237,56)</x:f>
        <x:v>0</x:v>
      </x:c>
      <x:c r="M237" s="9" t="n">
        <x:f>SUMIFS('350配方'!$M237:$P237,'350配方'!$Y237:$AB237,58)</x:f>
        <x:v>0</x:v>
      </x:c>
      <x:c r="N237" s="9" t="n">
        <x:f>SUMIFS('350配方'!$M237:$P237,'350配方'!$Y237:$AB237,61)</x:f>
        <x:v>0</x:v>
      </x:c>
      <x:c r="O237" s="9" t="n">
        <x:f>SUMIFS('350配方'!$M237:$P237,'350配方'!$Y237:$AB237,69)</x:f>
        <x:v>99.89207175747232</x:v>
      </x:c>
      <x:c r="P237" s="9" t="n">
        <x:f>SUMIFS('350配方'!$M237:$P237,'350配方'!$Y237:$AB237,75)</x:f>
        <x:v>0</x:v>
      </x:c>
      <x:c r="Q237" s="9" t="n">
        <x:f>SUMIFS('350配方'!$M237:$P237,'350配方'!$Y237:$AB237,79)</x:f>
        <x:v>0</x:v>
      </x:c>
      <x:c r="R237" s="9" t="n">
        <x:f>SUMIFS('350配方'!$M237:$P237,'350配方'!$Y237:$AB237,90)</x:f>
        <x:v>0</x:v>
      </x:c>
      <x:c r="S237" s="9" t="n">
        <x:f>SUMIFS('350配方'!$M237:$P237,'350配方'!$Y237:$AB237,105)</x:f>
        <x:v>0</x:v>
      </x:c>
      <x:c r="T237" s="9" t="n">
        <x:f>SUMIFS('350配方'!$M237:$P237,'350配方'!$Y237:$AB237,111)</x:f>
        <x:v>833.64</x:v>
      </x:c>
      <x:c r="U237" s="9" t="n">
        <x:f>SUMIFS('350配方'!$M237:$P237,'350配方'!$Y237:$AB237,114)</x:f>
        <x:v>0</x:v>
      </x:c>
      <x:c r="V237" s="9" t="n">
        <x:f>SUMIFS('350配方'!$M237:$P237,'350配方'!$Y237:$AB237,115)</x:f>
        <x:v>0</x:v>
      </x:c>
      <x:c r="W237" s="9" t="n">
        <x:f>SUMIFS('350配方'!$M237:$P237,'350配方'!$Y237:$AB237,117)</x:f>
        <x:v>0</x:v>
      </x:c>
      <x:c r="X237" s="9" t="n">
        <x:f>SUMIFS('350配方'!$M237:$P237,'350配方'!$Y237:$AB237,126)</x:f>
        <x:v>0</x:v>
      </x:c>
      <x:c r="Y237" s="9" t="n">
        <x:f>SUMIFS('350配方'!$M237:$P237,'350配方'!$Y237:$AB237,136)</x:f>
        <x:v>0</x:v>
      </x:c>
      <x:c r="Z237" s="9" t="n">
        <x:f>SUMIFS('350配方'!$M237:$P237,'350配方'!$Y237:$AB237,141)</x:f>
        <x:v>0</x:v>
      </x:c>
      <x:c r="AA237" s="9" t="n">
        <x:f>SUMIFS('350配方'!$M237:$P237,'350配方'!$Y237:$AB237,152)</x:f>
        <x:v>0</x:v>
      </x:c>
      <x:c r="AB237" s="9" t="n">
        <x:f>SUMIFS('350配方'!$M237:$P237,'350配方'!$Y237:$AB237,165)</x:f>
        <x:v>823.735</x:v>
      </x:c>
      <x:c r="AC237" s="9" t="n">
        <x:f>SUMIFS('350配方'!$M237:$P237,'350配方'!$Y237:$AB237,186)</x:f>
        <x:v>4262.731518639193</x:v>
      </x:c>
      <x:c r="AD237" s="9" t="n">
        <x:f>SUMIFS('350配方'!$M237:$P237,'350配方'!$Y237:$AB237,207)</x:f>
        <x:v>0</x:v>
      </x:c>
      <x:c r="AE237" s="9" t="n">
        <x:f>SUMIFS('350配方'!$M237:$P237,'350配方'!$Y237:$AB237,209)</x:f>
        <x:v>0</x:v>
      </x:c>
      <x:c r="AF237" s="9" t="n">
        <x:f>SUMIFS('350配方'!$M237:$P237,'350配方'!$Y237:$AB237,227)</x:f>
        <x:v>0</x:v>
      </x:c>
      <x:c r="AG237" s="9" t="n">
        <x:f>SUMIFS('350配方'!$M237:$P237,'350配方'!$Y237:$AB237,232)</x:f>
        <x:v>0</x:v>
      </x:c>
      <x:c r="AH237" s="9" t="n">
        <x:f>SUMIFS('350配方'!$M237:$P237,'350配方'!$Y237:$AB237,255)</x:f>
        <x:v>0</x:v>
      </x:c>
      <x:c r="AI237" s="9" t="n">
        <x:f>'浓度设置'!S6</x:f>
        <x:v>219125.9626344086</x:v>
      </x:c>
      <x:c r="AJ237" s="9" t="n">
        <x:f>'浓度设置'!S8</x:f>
        <x:v>92796.92267241378</x:v>
      </x:c>
      <x:c r="AK237" s="9" t="n">
        <x:f>'浓度设置'!S10</x:f>
        <x:v>30556.797802197798</x:v>
      </x:c>
      <x:c r="AL237" s="9" t="n">
        <x:f>'浓度设置'!S12</x:f>
        <x:v>1735.828970588235</x:v>
      </x:c>
      <x:c r="AM237" s="9" t="n">
        <x:f>'浓度设置'!S15</x:f>
        <x:v>7385.813644067793</x:v>
      </x:c>
      <x:c r="AN237" s="9" t="n">
        <x:f>'浓度设置'!S19</x:f>
        <x:v>27722.03097701148</x:v>
      </x:c>
      <x:c r="AO237" s="9" t="n">
        <x:f>'浓度设置'!S22</x:f>
        <x:v>44345.55047619048</x:v>
      </x:c>
      <x:c r="AP237" s="9" t="n">
        <x:f>'浓度设置'!S26</x:f>
        <x:v>153318.30499999996</x:v>
      </x:c>
      <x:c r="AQ237" s="9" t="n">
        <x:f>'浓度设置'!S29</x:f>
        <x:v>312.7970588235294</x:v>
      </x:c>
      <x:c r="AR237" s="9" t="n">
        <x:f>'浓度设置'!S30</x:f>
        <x:v>104175.5097553192</x:v>
      </x:c>
      <x:c r="AS237" s="9" t="n">
        <x:f>'浓度设置'!S35</x:f>
        <x:v>405974.90656785714</x:v>
      </x:c>
    </x:row>
    <x:row r="238" ht="24" customHeight="1">
      <x:c r="A238" s="3" t="str">
        <x:f>'350配方'!A238</x:f>
        <x:v>T233</x:v>
      </x:c>
      <x:c r="B238" s="3" t="str">
        <x:f>'350配方'!B238</x:f>
        <x:v>拟合</x:v>
      </x:c>
      <x:c r="C238" s="3" t="n">
        <x:f>IF(B238="拟合",1,0)</x:f>
        <x:v>1</x:v>
      </x:c>
      <x:c r="D238" s="3" t="n">
        <x:f>'350配方'!AC238</x:f>
        <x:v>4</x:v>
      </x:c>
      <x:c r="E238" s="9" t="n">
        <x:f>SUMIFS('350配方'!$M238:$P238,'350配方'!$Y238:$AB238,7)</x:f>
        <x:v>0</x:v>
      </x:c>
      <x:c r="F238" s="9" t="n">
        <x:f>SUMIFS('350配方'!$M238:$P238,'350配方'!$Y238:$AB238,11)</x:f>
        <x:v>0</x:v>
      </x:c>
      <x:c r="G238" s="9" t="n">
        <x:f>SUMIFS('350配方'!$M238:$P238,'350配方'!$Y238:$AB238,18)</x:f>
        <x:v>0</x:v>
      </x:c>
      <x:c r="H238" s="9" t="n">
        <x:f>SUMIFS('350配方'!$M238:$P238,'350配方'!$Y238:$AB238,32)</x:f>
        <x:v>0</x:v>
      </x:c>
      <x:c r="I238" s="9" t="n">
        <x:f>SUMIFS('350配方'!$M238:$P238,'350配方'!$Y238:$AB238,40)</x:f>
        <x:v>0</x:v>
      </x:c>
      <x:c r="J238" s="9" t="n">
        <x:f>SUMIFS('350配方'!$M238:$P238,'350配方'!$Y238:$AB238,52)</x:f>
        <x:v>4.24</x:v>
      </x:c>
      <x:c r="K238" s="9" t="n">
        <x:f>SUMIFS('350配方'!$M238:$P238,'350配方'!$Y238:$AB238,53)</x:f>
        <x:v>0</x:v>
      </x:c>
      <x:c r="L238" s="9" t="n">
        <x:f>SUMIFS('350配方'!$M238:$P238,'350配方'!$Y238:$AB238,56)</x:f>
        <x:v>1041.8500000000001</x:v>
      </x:c>
      <x:c r="M238" s="9" t="n">
        <x:f>SUMIFS('350配方'!$M238:$P238,'350配方'!$Y238:$AB238,58)</x:f>
        <x:v>0</x:v>
      </x:c>
      <x:c r="N238" s="9" t="n">
        <x:f>SUMIFS('350配方'!$M238:$P238,'350配方'!$Y238:$AB238,61)</x:f>
        <x:v>0</x:v>
      </x:c>
      <x:c r="O238" s="9" t="n">
        <x:f>SUMIFS('350配方'!$M238:$P238,'350配方'!$Y238:$AB238,69)</x:f>
        <x:v>0</x:v>
      </x:c>
      <x:c r="P238" s="9" t="n">
        <x:f>SUMIFS('350配方'!$M238:$P238,'350配方'!$Y238:$AB238,75)</x:f>
        <x:v>0</x:v>
      </x:c>
      <x:c r="Q238" s="9" t="n">
        <x:f>SUMIFS('350配方'!$M238:$P238,'350配方'!$Y238:$AB238,79)</x:f>
        <x:v>0</x:v>
      </x:c>
      <x:c r="R238" s="9" t="n">
        <x:f>SUMIFS('350配方'!$M238:$P238,'350配方'!$Y238:$AB238,90)</x:f>
        <x:v>0</x:v>
      </x:c>
      <x:c r="S238" s="9" t="n">
        <x:f>SUMIFS('350配方'!$M238:$P238,'350配方'!$Y238:$AB238,105)</x:f>
        <x:v>0</x:v>
      </x:c>
      <x:c r="T238" s="9" t="n">
        <x:f>SUMIFS('350配方'!$M238:$P238,'350配方'!$Y238:$AB238,111)</x:f>
        <x:v>0</x:v>
      </x:c>
      <x:c r="U238" s="9" t="n">
        <x:f>SUMIFS('350配方'!$M238:$P238,'350配方'!$Y238:$AB238,114)</x:f>
        <x:v>0</x:v>
      </x:c>
      <x:c r="V238" s="9" t="n">
        <x:f>SUMIFS('350配方'!$M238:$P238,'350配方'!$Y238:$AB238,115)</x:f>
        <x:v>0</x:v>
      </x:c>
      <x:c r="W238" s="9" t="n">
        <x:f>SUMIFS('350配方'!$M238:$P238,'350配方'!$Y238:$AB238,117)</x:f>
        <x:v>0</x:v>
      </x:c>
      <x:c r="X238" s="9" t="n">
        <x:f>SUMIFS('350配方'!$M238:$P238,'350配方'!$Y238:$AB238,126)</x:f>
        <x:v>0</x:v>
      </x:c>
      <x:c r="Y238" s="9" t="n">
        <x:f>SUMIFS('350配方'!$M238:$P238,'350配方'!$Y238:$AB238,136)</x:f>
        <x:v>44000</x:v>
      </x:c>
      <x:c r="Z238" s="9" t="n">
        <x:f>SUMIFS('350配方'!$M238:$P238,'350配方'!$Y238:$AB238,141)</x:f>
        <x:v>0</x:v>
      </x:c>
      <x:c r="AA238" s="9" t="n">
        <x:f>SUMIFS('350配方'!$M238:$P238,'350配方'!$Y238:$AB238,152)</x:f>
        <x:v>0</x:v>
      </x:c>
      <x:c r="AB238" s="9" t="n">
        <x:f>SUMIFS('350配方'!$M238:$P238,'350配方'!$Y238:$AB238,165)</x:f>
        <x:v>0</x:v>
      </x:c>
      <x:c r="AC238" s="9" t="n">
        <x:f>SUMIFS('350配方'!$M238:$P238,'350配方'!$Y238:$AB238,186)</x:f>
        <x:v>0</x:v>
      </x:c>
      <x:c r="AD238" s="9" t="n">
        <x:f>SUMIFS('350配方'!$M238:$P238,'350配方'!$Y238:$AB238,207)</x:f>
        <x:v>0</x:v>
      </x:c>
      <x:c r="AE238" s="9" t="n">
        <x:f>SUMIFS('350配方'!$M238:$P238,'350配方'!$Y238:$AB238,209)</x:f>
        <x:v>34.2987346705385</x:v>
      </x:c>
      <x:c r="AF238" s="9" t="n">
        <x:f>SUMIFS('350配方'!$M238:$P238,'350配方'!$Y238:$AB238,227)</x:f>
        <x:v>0</x:v>
      </x:c>
      <x:c r="AG238" s="9" t="n">
        <x:f>SUMIFS('350配方'!$M238:$P238,'350配方'!$Y238:$AB238,232)</x:f>
        <x:v>0</x:v>
      </x:c>
      <x:c r="AH238" s="9" t="n">
        <x:f>SUMIFS('350配方'!$M238:$P238,'350配方'!$Y238:$AB238,255)</x:f>
        <x:v>0</x:v>
      </x:c>
      <x:c r="AI238" s="9" t="n">
        <x:f>'浓度设置'!S6</x:f>
        <x:v>219125.9626344086</x:v>
      </x:c>
      <x:c r="AJ238" s="9" t="n">
        <x:f>'浓度设置'!S8</x:f>
        <x:v>92796.92267241378</x:v>
      </x:c>
      <x:c r="AK238" s="9" t="n">
        <x:f>'浓度设置'!S10</x:f>
        <x:v>30556.797802197798</x:v>
      </x:c>
      <x:c r="AL238" s="9" t="n">
        <x:f>'浓度设置'!S12</x:f>
        <x:v>1735.828970588235</x:v>
      </x:c>
      <x:c r="AM238" s="9" t="n">
        <x:f>'浓度设置'!S15</x:f>
        <x:v>7385.813644067793</x:v>
      </x:c>
      <x:c r="AN238" s="9" t="n">
        <x:f>'浓度设置'!S19</x:f>
        <x:v>27722.03097701148</x:v>
      </x:c>
      <x:c r="AO238" s="9" t="n">
        <x:f>'浓度设置'!S22</x:f>
        <x:v>44345.55047619048</x:v>
      </x:c>
      <x:c r="AP238" s="9" t="n">
        <x:f>'浓度设置'!S26</x:f>
        <x:v>153318.30499999996</x:v>
      </x:c>
      <x:c r="AQ238" s="9" t="n">
        <x:f>'浓度设置'!S29</x:f>
        <x:v>312.7970588235294</x:v>
      </x:c>
      <x:c r="AR238" s="9" t="n">
        <x:f>'浓度设置'!S30</x:f>
        <x:v>104175.5097553192</x:v>
      </x:c>
      <x:c r="AS238" s="9" t="n">
        <x:f>'浓度设置'!S35</x:f>
        <x:v>405974.90656785714</x:v>
      </x:c>
    </x:row>
    <x:row r="239" ht="24" customHeight="1">
      <x:c r="A239" s="3" t="str">
        <x:f>'350配方'!A239</x:f>
        <x:v>T234</x:v>
      </x:c>
      <x:c r="B239" s="3" t="str">
        <x:f>'350配方'!B239</x:f>
        <x:v>拟合</x:v>
      </x:c>
      <x:c r="C239" s="3" t="n">
        <x:f>IF(B239="拟合",1,0)</x:f>
        <x:v>1</x:v>
      </x:c>
      <x:c r="D239" s="3" t="n">
        <x:f>'350配方'!AC239</x:f>
        <x:v>4</x:v>
      </x:c>
      <x:c r="E239" s="9" t="n">
        <x:f>SUMIFS('350配方'!$M239:$P239,'350配方'!$Y239:$AB239,7)</x:f>
        <x:v>3075.94</x:v>
      </x:c>
      <x:c r="F239" s="9" t="n">
        <x:f>SUMIFS('350配方'!$M239:$P239,'350配方'!$Y239:$AB239,11)</x:f>
        <x:v>0</x:v>
      </x:c>
      <x:c r="G239" s="9" t="n">
        <x:f>SUMIFS('350配方'!$M239:$P239,'350配方'!$Y239:$AB239,18)</x:f>
        <x:v>0</x:v>
      </x:c>
      <x:c r="H239" s="9" t="n">
        <x:f>SUMIFS('350配方'!$M239:$P239,'350配方'!$Y239:$AB239,32)</x:f>
        <x:v>18.68</x:v>
      </x:c>
      <x:c r="I239" s="9" t="n">
        <x:f>SUMIFS('350配方'!$M239:$P239,'350配方'!$Y239:$AB239,40)</x:f>
        <x:v>0</x:v>
      </x:c>
      <x:c r="J239" s="9" t="n">
        <x:f>SUMIFS('350配方'!$M239:$P239,'350配方'!$Y239:$AB239,52)</x:f>
        <x:v>0</x:v>
      </x:c>
      <x:c r="K239" s="9" t="n">
        <x:f>SUMIFS('350配方'!$M239:$P239,'350配方'!$Y239:$AB239,53)</x:f>
        <x:v>2745.3821227654266</x:v>
      </x:c>
      <x:c r="L239" s="9" t="n">
        <x:f>SUMIFS('350配方'!$M239:$P239,'350配方'!$Y239:$AB239,56)</x:f>
        <x:v>0</x:v>
      </x:c>
      <x:c r="M239" s="9" t="n">
        <x:f>SUMIFS('350配方'!$M239:$P239,'350配方'!$Y239:$AB239,58)</x:f>
        <x:v>0</x:v>
      </x:c>
      <x:c r="N239" s="9" t="n">
        <x:f>SUMIFS('350配方'!$M239:$P239,'350配方'!$Y239:$AB239,61)</x:f>
        <x:v>0</x:v>
      </x:c>
      <x:c r="O239" s="9" t="n">
        <x:f>SUMIFS('350配方'!$M239:$P239,'350配方'!$Y239:$AB239,69)</x:f>
        <x:v>0</x:v>
      </x:c>
      <x:c r="P239" s="9" t="n">
        <x:f>SUMIFS('350配方'!$M239:$P239,'350配方'!$Y239:$AB239,75)</x:f>
        <x:v>0</x:v>
      </x:c>
      <x:c r="Q239" s="9" t="n">
        <x:f>SUMIFS('350配方'!$M239:$P239,'350配方'!$Y239:$AB239,79)</x:f>
        <x:v>0</x:v>
      </x:c>
      <x:c r="R239" s="9" t="n">
        <x:f>SUMIFS('350配方'!$M239:$P239,'350配方'!$Y239:$AB239,90)</x:f>
        <x:v>0</x:v>
      </x:c>
      <x:c r="S239" s="9" t="n">
        <x:f>SUMIFS('350配方'!$M239:$P239,'350配方'!$Y239:$AB239,105)</x:f>
        <x:v>0</x:v>
      </x:c>
      <x:c r="T239" s="9" t="n">
        <x:f>SUMIFS('350配方'!$M239:$P239,'350配方'!$Y239:$AB239,111)</x:f>
        <x:v>0</x:v>
      </x:c>
      <x:c r="U239" s="9" t="n">
        <x:f>SUMIFS('350配方'!$M239:$P239,'350配方'!$Y239:$AB239,114)</x:f>
        <x:v>0</x:v>
      </x:c>
      <x:c r="V239" s="9" t="n">
        <x:f>SUMIFS('350配方'!$M239:$P239,'350配方'!$Y239:$AB239,115)</x:f>
        <x:v>0</x:v>
      </x:c>
      <x:c r="W239" s="9" t="n">
        <x:f>SUMIFS('350配方'!$M239:$P239,'350配方'!$Y239:$AB239,117)</x:f>
        <x:v>0</x:v>
      </x:c>
      <x:c r="X239" s="9" t="n">
        <x:f>SUMIFS('350配方'!$M239:$P239,'350配方'!$Y239:$AB239,126)</x:f>
        <x:v>0</x:v>
      </x:c>
      <x:c r="Y239" s="9" t="n">
        <x:f>SUMIFS('350配方'!$M239:$P239,'350配方'!$Y239:$AB239,136)</x:f>
        <x:v>0</x:v>
      </x:c>
      <x:c r="Z239" s="9" t="n">
        <x:f>SUMIFS('350配方'!$M239:$P239,'350配方'!$Y239:$AB239,141)</x:f>
        <x:v>0</x:v>
      </x:c>
      <x:c r="AA239" s="9" t="n">
        <x:f>SUMIFS('350配方'!$M239:$P239,'350配方'!$Y239:$AB239,152)</x:f>
        <x:v>0</x:v>
      </x:c>
      <x:c r="AB239" s="9" t="n">
        <x:f>SUMIFS('350配方'!$M239:$P239,'350配方'!$Y239:$AB239,165)</x:f>
        <x:v>0</x:v>
      </x:c>
      <x:c r="AC239" s="9" t="n">
        <x:f>SUMIFS('350配方'!$M239:$P239,'350配方'!$Y239:$AB239,186)</x:f>
        <x:v>0</x:v>
      </x:c>
      <x:c r="AD239" s="9" t="n">
        <x:f>SUMIFS('350配方'!$M239:$P239,'350配方'!$Y239:$AB239,207)</x:f>
        <x:v>1</x:v>
      </x:c>
      <x:c r="AE239" s="9" t="n">
        <x:f>SUMIFS('350配方'!$M239:$P239,'350配方'!$Y239:$AB239,209)</x:f>
        <x:v>0</x:v>
      </x:c>
      <x:c r="AF239" s="9" t="n">
        <x:f>SUMIFS('350配方'!$M239:$P239,'350配方'!$Y239:$AB239,227)</x:f>
        <x:v>0</x:v>
      </x:c>
      <x:c r="AG239" s="9" t="n">
        <x:f>SUMIFS('350配方'!$M239:$P239,'350配方'!$Y239:$AB239,232)</x:f>
        <x:v>0</x:v>
      </x:c>
      <x:c r="AH239" s="9" t="n">
        <x:f>SUMIFS('350配方'!$M239:$P239,'350配方'!$Y239:$AB239,255)</x:f>
        <x:v>0</x:v>
      </x:c>
      <x:c r="AI239" s="9" t="n">
        <x:f>'浓度设置'!S6</x:f>
        <x:v>219125.9626344086</x:v>
      </x:c>
      <x:c r="AJ239" s="9" t="n">
        <x:f>'浓度设置'!S8</x:f>
        <x:v>92796.92267241378</x:v>
      </x:c>
      <x:c r="AK239" s="9" t="n">
        <x:f>'浓度设置'!S10</x:f>
        <x:v>30556.797802197798</x:v>
      </x:c>
      <x:c r="AL239" s="9" t="n">
        <x:f>'浓度设置'!S12</x:f>
        <x:v>1735.828970588235</x:v>
      </x:c>
      <x:c r="AM239" s="9" t="n">
        <x:f>'浓度设置'!S15</x:f>
        <x:v>7385.813644067793</x:v>
      </x:c>
      <x:c r="AN239" s="9" t="n">
        <x:f>'浓度设置'!S19</x:f>
        <x:v>27722.03097701148</x:v>
      </x:c>
      <x:c r="AO239" s="9" t="n">
        <x:f>'浓度设置'!S22</x:f>
        <x:v>44345.55047619048</x:v>
      </x:c>
      <x:c r="AP239" s="9" t="n">
        <x:f>'浓度设置'!S26</x:f>
        <x:v>153318.30499999996</x:v>
      </x:c>
      <x:c r="AQ239" s="9" t="n">
        <x:f>'浓度设置'!S29</x:f>
        <x:v>312.7970588235294</x:v>
      </x:c>
      <x:c r="AR239" s="9" t="n">
        <x:f>'浓度设置'!S30</x:f>
        <x:v>104175.5097553192</x:v>
      </x:c>
      <x:c r="AS239" s="9" t="n">
        <x:f>'浓度设置'!S35</x:f>
        <x:v>405974.90656785714</x:v>
      </x:c>
    </x:row>
    <x:row r="240" ht="24" customHeight="1">
      <x:c r="A240" s="3" t="str">
        <x:f>'350配方'!A240</x:f>
        <x:v>T235</x:v>
      </x:c>
      <x:c r="B240" s="3" t="str">
        <x:f>'350配方'!B240</x:f>
        <x:v>拟合</x:v>
      </x:c>
      <x:c r="C240" s="3" t="n">
        <x:f>IF(B240="拟合",1,0)</x:f>
        <x:v>1</x:v>
      </x:c>
      <x:c r="D240" s="3" t="n">
        <x:f>'350配方'!AC240</x:f>
        <x:v>4</x:v>
      </x:c>
      <x:c r="E240" s="9" t="n">
        <x:f>SUMIFS('350配方'!$M240:$P240,'350配方'!$Y240:$AB240,7)</x:f>
        <x:v>0</x:v>
      </x:c>
      <x:c r="F240" s="9" t="n">
        <x:f>SUMIFS('350配方'!$M240:$P240,'350配方'!$Y240:$AB240,11)</x:f>
        <x:v>0</x:v>
      </x:c>
      <x:c r="G240" s="9" t="n">
        <x:f>SUMIFS('350配方'!$M240:$P240,'350配方'!$Y240:$AB240,18)</x:f>
        <x:v>39</x:v>
      </x:c>
      <x:c r="H240" s="9" t="n">
        <x:f>SUMIFS('350配方'!$M240:$P240,'350配方'!$Y240:$AB240,32)</x:f>
        <x:v>0</x:v>
      </x:c>
      <x:c r="I240" s="9" t="n">
        <x:f>SUMIFS('350配方'!$M240:$P240,'350配方'!$Y240:$AB240,40)</x:f>
        <x:v>0</x:v>
      </x:c>
      <x:c r="J240" s="9" t="n">
        <x:f>SUMIFS('350配方'!$M240:$P240,'350配方'!$Y240:$AB240,52)</x:f>
        <x:v>0</x:v>
      </x:c>
      <x:c r="K240" s="9" t="n">
        <x:f>SUMIFS('350配方'!$M240:$P240,'350配方'!$Y240:$AB240,53)</x:f>
        <x:v>784300</x:v>
      </x:c>
      <x:c r="L240" s="9" t="n">
        <x:f>SUMIFS('350配方'!$M240:$P240,'350配方'!$Y240:$AB240,56)</x:f>
        <x:v>0</x:v>
      </x:c>
      <x:c r="M240" s="9" t="n">
        <x:f>SUMIFS('350配方'!$M240:$P240,'350配方'!$Y240:$AB240,58)</x:f>
        <x:v>0</x:v>
      </x:c>
      <x:c r="N240" s="9" t="n">
        <x:f>SUMIFS('350配方'!$M240:$P240,'350配方'!$Y240:$AB240,61)</x:f>
        <x:v>0</x:v>
      </x:c>
      <x:c r="O240" s="9" t="n">
        <x:f>SUMIFS('350配方'!$M240:$P240,'350配方'!$Y240:$AB240,69)</x:f>
        <x:v>0</x:v>
      </x:c>
      <x:c r="P240" s="9" t="n">
        <x:f>SUMIFS('350配方'!$M240:$P240,'350配方'!$Y240:$AB240,75)</x:f>
        <x:v>0</x:v>
      </x:c>
      <x:c r="Q240" s="9" t="n">
        <x:f>SUMIFS('350配方'!$M240:$P240,'350配方'!$Y240:$AB240,79)</x:f>
        <x:v>0</x:v>
      </x:c>
      <x:c r="R240" s="9" t="n">
        <x:f>SUMIFS('350配方'!$M240:$P240,'350配方'!$Y240:$AB240,90)</x:f>
        <x:v>0</x:v>
      </x:c>
      <x:c r="S240" s="9" t="n">
        <x:f>SUMIFS('350配方'!$M240:$P240,'350配方'!$Y240:$AB240,105)</x:f>
        <x:v>0</x:v>
      </x:c>
      <x:c r="T240" s="9" t="n">
        <x:f>SUMIFS('350配方'!$M240:$P240,'350配方'!$Y240:$AB240,111)</x:f>
        <x:v>0</x:v>
      </x:c>
      <x:c r="U240" s="9" t="n">
        <x:f>SUMIFS('350配方'!$M240:$P240,'350配方'!$Y240:$AB240,114)</x:f>
        <x:v>0</x:v>
      </x:c>
      <x:c r="V240" s="9" t="n">
        <x:f>SUMIFS('350配方'!$M240:$P240,'350配方'!$Y240:$AB240,115)</x:f>
        <x:v>0</x:v>
      </x:c>
      <x:c r="W240" s="9" t="n">
        <x:f>SUMIFS('350配方'!$M240:$P240,'350配方'!$Y240:$AB240,117)</x:f>
        <x:v>0</x:v>
      </x:c>
      <x:c r="X240" s="9" t="n">
        <x:f>SUMIFS('350配方'!$M240:$P240,'350配方'!$Y240:$AB240,126)</x:f>
        <x:v>0</x:v>
      </x:c>
      <x:c r="Y240" s="9" t="n">
        <x:f>SUMIFS('350配方'!$M240:$P240,'350配方'!$Y240:$AB240,136)</x:f>
        <x:v>0</x:v>
      </x:c>
      <x:c r="Z240" s="9" t="n">
        <x:f>SUMIFS('350配方'!$M240:$P240,'350配方'!$Y240:$AB240,141)</x:f>
        <x:v>0</x:v>
      </x:c>
      <x:c r="AA240" s="9" t="n">
        <x:f>SUMIFS('350配方'!$M240:$P240,'350配方'!$Y240:$AB240,152)</x:f>
        <x:v>0</x:v>
      </x:c>
      <x:c r="AB240" s="9" t="n">
        <x:f>SUMIFS('350配方'!$M240:$P240,'350配方'!$Y240:$AB240,165)</x:f>
        <x:v>0</x:v>
      </x:c>
      <x:c r="AC240" s="9" t="n">
        <x:f>SUMIFS('350配方'!$M240:$P240,'350配方'!$Y240:$AB240,186)</x:f>
        <x:v>0</x:v>
      </x:c>
      <x:c r="AD240" s="9" t="n">
        <x:f>SUMIFS('350配方'!$M240:$P240,'350配方'!$Y240:$AB240,207)</x:f>
        <x:v>0</x:v>
      </x:c>
      <x:c r="AE240" s="9" t="n">
        <x:f>SUMIFS('350配方'!$M240:$P240,'350配方'!$Y240:$AB240,209)</x:f>
        <x:v>4201.44</x:v>
      </x:c>
      <x:c r="AF240" s="9" t="n">
        <x:f>SUMIFS('350配方'!$M240:$P240,'350配方'!$Y240:$AB240,227)</x:f>
        <x:v>0</x:v>
      </x:c>
      <x:c r="AG240" s="9" t="n">
        <x:f>SUMIFS('350配方'!$M240:$P240,'350配方'!$Y240:$AB240,232)</x:f>
        <x:v>0.97</x:v>
      </x:c>
      <x:c r="AH240" s="9" t="n">
        <x:f>SUMIFS('350配方'!$M240:$P240,'350配方'!$Y240:$AB240,255)</x:f>
        <x:v>0</x:v>
      </x:c>
      <x:c r="AI240" s="9" t="n">
        <x:f>'浓度设置'!S6</x:f>
        <x:v>219125.9626344086</x:v>
      </x:c>
      <x:c r="AJ240" s="9" t="n">
        <x:f>'浓度设置'!S8</x:f>
        <x:v>92796.92267241378</x:v>
      </x:c>
      <x:c r="AK240" s="9" t="n">
        <x:f>'浓度设置'!S10</x:f>
        <x:v>30556.797802197798</x:v>
      </x:c>
      <x:c r="AL240" s="9" t="n">
        <x:f>'浓度设置'!S12</x:f>
        <x:v>1735.828970588235</x:v>
      </x:c>
      <x:c r="AM240" s="9" t="n">
        <x:f>'浓度设置'!S15</x:f>
        <x:v>7385.813644067793</x:v>
      </x:c>
      <x:c r="AN240" s="9" t="n">
        <x:f>'浓度设置'!S19</x:f>
        <x:v>27722.03097701148</x:v>
      </x:c>
      <x:c r="AO240" s="9" t="n">
        <x:f>'浓度设置'!S22</x:f>
        <x:v>44345.55047619048</x:v>
      </x:c>
      <x:c r="AP240" s="9" t="n">
        <x:f>'浓度设置'!S26</x:f>
        <x:v>153318.30499999996</x:v>
      </x:c>
      <x:c r="AQ240" s="9" t="n">
        <x:f>'浓度设置'!S29</x:f>
        <x:v>312.7970588235294</x:v>
      </x:c>
      <x:c r="AR240" s="9" t="n">
        <x:f>'浓度设置'!S30</x:f>
        <x:v>104175.5097553192</x:v>
      </x:c>
      <x:c r="AS240" s="9" t="n">
        <x:f>'浓度设置'!S35</x:f>
        <x:v>405974.90656785714</x:v>
      </x:c>
    </x:row>
    <x:row r="241" ht="24" customHeight="1">
      <x:c r="A241" s="3" t="str">
        <x:f>'350配方'!A241</x:f>
        <x:v>T236</x:v>
      </x:c>
      <x:c r="B241" s="3" t="str">
        <x:f>'350配方'!B241</x:f>
        <x:v>拟合</x:v>
      </x:c>
      <x:c r="C241" s="3" t="n">
        <x:f>IF(B241="拟合",1,0)</x:f>
        <x:v>1</x:v>
      </x:c>
      <x:c r="D241" s="3" t="n">
        <x:f>'350配方'!AC241</x:f>
        <x:v>4</x:v>
      </x:c>
      <x:c r="E241" s="9" t="n">
        <x:f>SUMIFS('350配方'!$M241:$P241,'350配方'!$Y241:$AB241,7)</x:f>
        <x:v>0</x:v>
      </x:c>
      <x:c r="F241" s="9" t="n">
        <x:f>SUMIFS('350配方'!$M241:$P241,'350配方'!$Y241:$AB241,11)</x:f>
        <x:v>4198.825192836682</x:v>
      </x:c>
      <x:c r="G241" s="9" t="n">
        <x:f>SUMIFS('350配方'!$M241:$P241,'350配方'!$Y241:$AB241,18)</x:f>
        <x:v>0</x:v>
      </x:c>
      <x:c r="H241" s="9" t="n">
        <x:f>SUMIFS('350配方'!$M241:$P241,'350配方'!$Y241:$AB241,32)</x:f>
        <x:v>0</x:v>
      </x:c>
      <x:c r="I241" s="9" t="n">
        <x:f>SUMIFS('350配方'!$M241:$P241,'350配方'!$Y241:$AB241,40)</x:f>
        <x:v>0</x:v>
      </x:c>
      <x:c r="J241" s="9" t="n">
        <x:f>SUMIFS('350配方'!$M241:$P241,'350配方'!$Y241:$AB241,52)</x:f>
        <x:v>0</x:v>
      </x:c>
      <x:c r="K241" s="9" t="n">
        <x:f>SUMIFS('350配方'!$M241:$P241,'350配方'!$Y241:$AB241,53)</x:f>
        <x:v>0</x:v>
      </x:c>
      <x:c r="L241" s="9" t="n">
        <x:f>SUMIFS('350配方'!$M241:$P241,'350配方'!$Y241:$AB241,56)</x:f>
        <x:v>1041.8500000000001</x:v>
      </x:c>
      <x:c r="M241" s="9" t="n">
        <x:f>SUMIFS('350配方'!$M241:$P241,'350配方'!$Y241:$AB241,58)</x:f>
        <x:v>0</x:v>
      </x:c>
      <x:c r="N241" s="9" t="n">
        <x:f>SUMIFS('350配方'!$M241:$P241,'350配方'!$Y241:$AB241,61)</x:f>
        <x:v>0</x:v>
      </x:c>
      <x:c r="O241" s="9" t="n">
        <x:f>SUMIFS('350配方'!$M241:$P241,'350配方'!$Y241:$AB241,69)</x:f>
        <x:v>0</x:v>
      </x:c>
      <x:c r="P241" s="9" t="n">
        <x:f>SUMIFS('350配方'!$M241:$P241,'350配方'!$Y241:$AB241,75)</x:f>
        <x:v>0</x:v>
      </x:c>
      <x:c r="Q241" s="9" t="n">
        <x:f>SUMIFS('350配方'!$M241:$P241,'350配方'!$Y241:$AB241,79)</x:f>
        <x:v>0</x:v>
      </x:c>
      <x:c r="R241" s="9" t="n">
        <x:f>SUMIFS('350配方'!$M241:$P241,'350配方'!$Y241:$AB241,90)</x:f>
        <x:v>0</x:v>
      </x:c>
      <x:c r="S241" s="9" t="n">
        <x:f>SUMIFS('350配方'!$M241:$P241,'350配方'!$Y241:$AB241,105)</x:f>
        <x:v>15730</x:v>
      </x:c>
      <x:c r="T241" s="9" t="n">
        <x:f>SUMIFS('350配方'!$M241:$P241,'350配方'!$Y241:$AB241,111)</x:f>
        <x:v>89562.18016998023</x:v>
      </x:c>
      <x:c r="U241" s="9" t="n">
        <x:f>SUMIFS('350配方'!$M241:$P241,'350配方'!$Y241:$AB241,114)</x:f>
        <x:v>0</x:v>
      </x:c>
      <x:c r="V241" s="9" t="n">
        <x:f>SUMIFS('350配方'!$M241:$P241,'350配方'!$Y241:$AB241,115)</x:f>
        <x:v>0</x:v>
      </x:c>
      <x:c r="W241" s="9" t="n">
        <x:f>SUMIFS('350配方'!$M241:$P241,'350配方'!$Y241:$AB241,117)</x:f>
        <x:v>0</x:v>
      </x:c>
      <x:c r="X241" s="9" t="n">
        <x:f>SUMIFS('350配方'!$M241:$P241,'350配方'!$Y241:$AB241,126)</x:f>
        <x:v>0</x:v>
      </x:c>
      <x:c r="Y241" s="9" t="n">
        <x:f>SUMIFS('350配方'!$M241:$P241,'350配方'!$Y241:$AB241,136)</x:f>
        <x:v>0</x:v>
      </x:c>
      <x:c r="Z241" s="9" t="n">
        <x:f>SUMIFS('350配方'!$M241:$P241,'350配方'!$Y241:$AB241,141)</x:f>
        <x:v>0</x:v>
      </x:c>
      <x:c r="AA241" s="9" t="n">
        <x:f>SUMIFS('350配方'!$M241:$P241,'350配方'!$Y241:$AB241,152)</x:f>
        <x:v>0</x:v>
      </x:c>
      <x:c r="AB241" s="9" t="n">
        <x:f>SUMIFS('350配方'!$M241:$P241,'350配方'!$Y241:$AB241,165)</x:f>
        <x:v>0</x:v>
      </x:c>
      <x:c r="AC241" s="9" t="n">
        <x:f>SUMIFS('350配方'!$M241:$P241,'350配方'!$Y241:$AB241,186)</x:f>
        <x:v>0</x:v>
      </x:c>
      <x:c r="AD241" s="9" t="n">
        <x:f>SUMIFS('350配方'!$M241:$P241,'350配方'!$Y241:$AB241,207)</x:f>
        <x:v>0</x:v>
      </x:c>
      <x:c r="AE241" s="9" t="n">
        <x:f>SUMIFS('350配方'!$M241:$P241,'350配方'!$Y241:$AB241,209)</x:f>
        <x:v>0</x:v>
      </x:c>
      <x:c r="AF241" s="9" t="n">
        <x:f>SUMIFS('350配方'!$M241:$P241,'350配方'!$Y241:$AB241,227)</x:f>
        <x:v>0</x:v>
      </x:c>
      <x:c r="AG241" s="9" t="n">
        <x:f>SUMIFS('350配方'!$M241:$P241,'350配方'!$Y241:$AB241,232)</x:f>
        <x:v>0</x:v>
      </x:c>
      <x:c r="AH241" s="9" t="n">
        <x:f>SUMIFS('350配方'!$M241:$P241,'350配方'!$Y241:$AB241,255)</x:f>
        <x:v>0</x:v>
      </x:c>
      <x:c r="AI241" s="9" t="n">
        <x:f>'浓度设置'!S6</x:f>
        <x:v>219125.9626344086</x:v>
      </x:c>
      <x:c r="AJ241" s="9" t="n">
        <x:f>'浓度设置'!S8</x:f>
        <x:v>92796.92267241378</x:v>
      </x:c>
      <x:c r="AK241" s="9" t="n">
        <x:f>'浓度设置'!S10</x:f>
        <x:v>30556.797802197798</x:v>
      </x:c>
      <x:c r="AL241" s="9" t="n">
        <x:f>'浓度设置'!S12</x:f>
        <x:v>1735.828970588235</x:v>
      </x:c>
      <x:c r="AM241" s="9" t="n">
        <x:f>'浓度设置'!S15</x:f>
        <x:v>7385.813644067793</x:v>
      </x:c>
      <x:c r="AN241" s="9" t="n">
        <x:f>'浓度设置'!S19</x:f>
        <x:v>27722.03097701148</x:v>
      </x:c>
      <x:c r="AO241" s="9" t="n">
        <x:f>'浓度设置'!S22</x:f>
        <x:v>44345.55047619048</x:v>
      </x:c>
      <x:c r="AP241" s="9" t="n">
        <x:f>'浓度设置'!S26</x:f>
        <x:v>153318.30499999996</x:v>
      </x:c>
      <x:c r="AQ241" s="9" t="n">
        <x:f>'浓度设置'!S29</x:f>
        <x:v>312.7970588235294</x:v>
      </x:c>
      <x:c r="AR241" s="9" t="n">
        <x:f>'浓度设置'!S30</x:f>
        <x:v>104175.5097553192</x:v>
      </x:c>
      <x:c r="AS241" s="9" t="n">
        <x:f>'浓度设置'!S35</x:f>
        <x:v>405974.90656785714</x:v>
      </x:c>
    </x:row>
    <x:row r="242" ht="24" customHeight="1">
      <x:c r="A242" s="3" t="str">
        <x:f>'350配方'!A242</x:f>
        <x:v>T237</x:v>
      </x:c>
      <x:c r="B242" s="3" t="str">
        <x:f>'350配方'!B242</x:f>
        <x:v>拟合</x:v>
      </x:c>
      <x:c r="C242" s="3" t="n">
        <x:f>IF(B242="拟合",1,0)</x:f>
        <x:v>1</x:v>
      </x:c>
      <x:c r="D242" s="3" t="n">
        <x:f>'350配方'!AC242</x:f>
        <x:v>4</x:v>
      </x:c>
      <x:c r="E242" s="9" t="n">
        <x:f>SUMIFS('350配方'!$M242:$P242,'350配方'!$Y242:$AB242,7)</x:f>
        <x:v>0</x:v>
      </x:c>
      <x:c r="F242" s="9" t="n">
        <x:f>SUMIFS('350配方'!$M242:$P242,'350配方'!$Y242:$AB242,11)</x:f>
        <x:v>0</x:v>
      </x:c>
      <x:c r="G242" s="9" t="n">
        <x:f>SUMIFS('350配方'!$M242:$P242,'350配方'!$Y242:$AB242,18)</x:f>
        <x:v>0</x:v>
      </x:c>
      <x:c r="H242" s="9" t="n">
        <x:f>SUMIFS('350配方'!$M242:$P242,'350配方'!$Y242:$AB242,32)</x:f>
        <x:v>0</x:v>
      </x:c>
      <x:c r="I242" s="9" t="n">
        <x:f>SUMIFS('350配方'!$M242:$P242,'350配方'!$Y242:$AB242,40)</x:f>
        <x:v>0</x:v>
      </x:c>
      <x:c r="J242" s="9" t="n">
        <x:f>SUMIFS('350配方'!$M242:$P242,'350配方'!$Y242:$AB242,52)</x:f>
        <x:v>0</x:v>
      </x:c>
      <x:c r="K242" s="9" t="n">
        <x:f>SUMIFS('350配方'!$M242:$P242,'350配方'!$Y242:$AB242,53)</x:f>
        <x:v>0</x:v>
      </x:c>
      <x:c r="L242" s="9" t="n">
        <x:f>SUMIFS('350配方'!$M242:$P242,'350配方'!$Y242:$AB242,56)</x:f>
        <x:v>0</x:v>
      </x:c>
      <x:c r="M242" s="9" t="n">
        <x:f>SUMIFS('350配方'!$M242:$P242,'350配方'!$Y242:$AB242,58)</x:f>
        <x:v>0</x:v>
      </x:c>
      <x:c r="N242" s="9" t="n">
        <x:f>SUMIFS('350配方'!$M242:$P242,'350配方'!$Y242:$AB242,61)</x:f>
        <x:v>0.51</x:v>
      </x:c>
      <x:c r="O242" s="9" t="n">
        <x:f>SUMIFS('350配方'!$M242:$P242,'350配方'!$Y242:$AB242,69)</x:f>
        <x:v>0</x:v>
      </x:c>
      <x:c r="P242" s="9" t="n">
        <x:f>SUMIFS('350配方'!$M242:$P242,'350配方'!$Y242:$AB242,75)</x:f>
        <x:v>0</x:v>
      </x:c>
      <x:c r="Q242" s="9" t="n">
        <x:f>SUMIFS('350配方'!$M242:$P242,'350配方'!$Y242:$AB242,79)</x:f>
        <x:v>1288.255</x:v>
      </x:c>
      <x:c r="R242" s="9" t="n">
        <x:f>SUMIFS('350配方'!$M242:$P242,'350配方'!$Y242:$AB242,90)</x:f>
        <x:v>0</x:v>
      </x:c>
      <x:c r="S242" s="9" t="n">
        <x:f>SUMIFS('350配方'!$M242:$P242,'350配方'!$Y242:$AB242,105)</x:f>
        <x:v>0</x:v>
      </x:c>
      <x:c r="T242" s="9" t="n">
        <x:f>SUMIFS('350配方'!$M242:$P242,'350配方'!$Y242:$AB242,111)</x:f>
        <x:v>0</x:v>
      </x:c>
      <x:c r="U242" s="9" t="n">
        <x:f>SUMIFS('350配方'!$M242:$P242,'350配方'!$Y242:$AB242,114)</x:f>
        <x:v>0</x:v>
      </x:c>
      <x:c r="V242" s="9" t="n">
        <x:f>SUMIFS('350配方'!$M242:$P242,'350配方'!$Y242:$AB242,115)</x:f>
        <x:v>96.86609313893071</x:v>
      </x:c>
      <x:c r="W242" s="9" t="n">
        <x:f>SUMIFS('350配方'!$M242:$P242,'350配方'!$Y242:$AB242,117)</x:f>
        <x:v>0</x:v>
      </x:c>
      <x:c r="X242" s="9" t="n">
        <x:f>SUMIFS('350配方'!$M242:$P242,'350配方'!$Y242:$AB242,126)</x:f>
        <x:v>0</x:v>
      </x:c>
      <x:c r="Y242" s="9" t="n">
        <x:f>SUMIFS('350配方'!$M242:$P242,'350配方'!$Y242:$AB242,136)</x:f>
        <x:v>0</x:v>
      </x:c>
      <x:c r="Z242" s="9" t="n">
        <x:f>SUMIFS('350配方'!$M242:$P242,'350配方'!$Y242:$AB242,141)</x:f>
        <x:v>0</x:v>
      </x:c>
      <x:c r="AA242" s="9" t="n">
        <x:f>SUMIFS('350配方'!$M242:$P242,'350配方'!$Y242:$AB242,152)</x:f>
        <x:v>0</x:v>
      </x:c>
      <x:c r="AB242" s="9" t="n">
        <x:f>SUMIFS('350配方'!$M242:$P242,'350配方'!$Y242:$AB242,165)</x:f>
        <x:v>86300</x:v>
      </x:c>
      <x:c r="AC242" s="9" t="n">
        <x:f>SUMIFS('350配方'!$M242:$P242,'350配方'!$Y242:$AB242,186)</x:f>
        <x:v>0</x:v>
      </x:c>
      <x:c r="AD242" s="9" t="n">
        <x:f>SUMIFS('350配方'!$M242:$P242,'350配方'!$Y242:$AB242,207)</x:f>
        <x:v>0</x:v>
      </x:c>
      <x:c r="AE242" s="9" t="n">
        <x:f>SUMIFS('350配方'!$M242:$P242,'350配方'!$Y242:$AB242,209)</x:f>
        <x:v>0</x:v>
      </x:c>
      <x:c r="AF242" s="9" t="n">
        <x:f>SUMIFS('350配方'!$M242:$P242,'350配方'!$Y242:$AB242,227)</x:f>
        <x:v>0</x:v>
      </x:c>
      <x:c r="AG242" s="9" t="n">
        <x:f>SUMIFS('350配方'!$M242:$P242,'350配方'!$Y242:$AB242,232)</x:f>
        <x:v>0</x:v>
      </x:c>
      <x:c r="AH242" s="9" t="n">
        <x:f>SUMIFS('350配方'!$M242:$P242,'350配方'!$Y242:$AB242,255)</x:f>
        <x:v>0</x:v>
      </x:c>
      <x:c r="AI242" s="9" t="n">
        <x:f>'浓度设置'!S6</x:f>
        <x:v>219125.9626344086</x:v>
      </x:c>
      <x:c r="AJ242" s="9" t="n">
        <x:f>'浓度设置'!S8</x:f>
        <x:v>92796.92267241378</x:v>
      </x:c>
      <x:c r="AK242" s="9" t="n">
        <x:f>'浓度设置'!S10</x:f>
        <x:v>30556.797802197798</x:v>
      </x:c>
      <x:c r="AL242" s="9" t="n">
        <x:f>'浓度设置'!S12</x:f>
        <x:v>1735.828970588235</x:v>
      </x:c>
      <x:c r="AM242" s="9" t="n">
        <x:f>'浓度设置'!S15</x:f>
        <x:v>7385.813644067793</x:v>
      </x:c>
      <x:c r="AN242" s="9" t="n">
        <x:f>'浓度设置'!S19</x:f>
        <x:v>27722.03097701148</x:v>
      </x:c>
      <x:c r="AO242" s="9" t="n">
        <x:f>'浓度设置'!S22</x:f>
        <x:v>44345.55047619048</x:v>
      </x:c>
      <x:c r="AP242" s="9" t="n">
        <x:f>'浓度设置'!S26</x:f>
        <x:v>153318.30499999996</x:v>
      </x:c>
      <x:c r="AQ242" s="9" t="n">
        <x:f>'浓度设置'!S29</x:f>
        <x:v>312.7970588235294</x:v>
      </x:c>
      <x:c r="AR242" s="9" t="n">
        <x:f>'浓度设置'!S30</x:f>
        <x:v>104175.5097553192</x:v>
      </x:c>
      <x:c r="AS242" s="9" t="n">
        <x:f>'浓度设置'!S35</x:f>
        <x:v>405974.90656785714</x:v>
      </x:c>
    </x:row>
    <x:row r="243" ht="24" customHeight="1">
      <x:c r="A243" s="3" t="str">
        <x:f>'350配方'!A243</x:f>
        <x:v>T238</x:v>
      </x:c>
      <x:c r="B243" s="3" t="str">
        <x:f>'350配方'!B243</x:f>
        <x:v>拟合</x:v>
      </x:c>
      <x:c r="C243" s="3" t="n">
        <x:f>IF(B243="拟合",1,0)</x:f>
        <x:v>1</x:v>
      </x:c>
      <x:c r="D243" s="3" t="n">
        <x:f>'350配方'!AC243</x:f>
        <x:v>4</x:v>
      </x:c>
      <x:c r="E243" s="9" t="n">
        <x:f>SUMIFS('350配方'!$M243:$P243,'350配方'!$Y243:$AB243,7)</x:f>
        <x:v>0</x:v>
      </x:c>
      <x:c r="F243" s="9" t="n">
        <x:f>SUMIFS('350配方'!$M243:$P243,'350配方'!$Y243:$AB243,11)</x:f>
        <x:v>16.97</x:v>
      </x:c>
      <x:c r="G243" s="9" t="n">
        <x:f>SUMIFS('350配方'!$M243:$P243,'350配方'!$Y243:$AB243,18)</x:f>
        <x:v>0</x:v>
      </x:c>
      <x:c r="H243" s="9" t="n">
        <x:f>SUMIFS('350配方'!$M243:$P243,'350配方'!$Y243:$AB243,32)</x:f>
        <x:v>0</x:v>
      </x:c>
      <x:c r="I243" s="9" t="n">
        <x:f>SUMIFS('350配方'!$M243:$P243,'350配方'!$Y243:$AB243,40)</x:f>
        <x:v>0</x:v>
      </x:c>
      <x:c r="J243" s="9" t="n">
        <x:f>SUMIFS('350配方'!$M243:$P243,'350配方'!$Y243:$AB243,52)</x:f>
        <x:v>0</x:v>
      </x:c>
      <x:c r="K243" s="9" t="n">
        <x:f>SUMIFS('350配方'!$M243:$P243,'350配方'!$Y243:$AB243,53)</x:f>
        <x:v>0</x:v>
      </x:c>
      <x:c r="L243" s="9" t="n">
        <x:f>SUMIFS('350配方'!$M243:$P243,'350配方'!$Y243:$AB243,56)</x:f>
        <x:v>0</x:v>
      </x:c>
      <x:c r="M243" s="9" t="n">
        <x:f>SUMIFS('350配方'!$M243:$P243,'350配方'!$Y243:$AB243,58)</x:f>
        <x:v>0</x:v>
      </x:c>
      <x:c r="N243" s="9" t="n">
        <x:f>SUMIFS('350配方'!$M243:$P243,'350配方'!$Y243:$AB243,61)</x:f>
        <x:v>0</x:v>
      </x:c>
      <x:c r="O243" s="9" t="n">
        <x:f>SUMIFS('350配方'!$M243:$P243,'350配方'!$Y243:$AB243,69)</x:f>
        <x:v>0</x:v>
      </x:c>
      <x:c r="P243" s="9" t="n">
        <x:f>SUMIFS('350配方'!$M243:$P243,'350配方'!$Y243:$AB243,75)</x:f>
        <x:v>0</x:v>
      </x:c>
      <x:c r="Q243" s="9" t="n">
        <x:f>SUMIFS('350配方'!$M243:$P243,'350配方'!$Y243:$AB243,79)</x:f>
        <x:v>0</x:v>
      </x:c>
      <x:c r="R243" s="9" t="n">
        <x:f>SUMIFS('350配方'!$M243:$P243,'350配方'!$Y243:$AB243,90)</x:f>
        <x:v>0</x:v>
      </x:c>
      <x:c r="S243" s="9" t="n">
        <x:f>SUMIFS('350配方'!$M243:$P243,'350配方'!$Y243:$AB243,105)</x:f>
        <x:v>0</x:v>
      </x:c>
      <x:c r="T243" s="9" t="n">
        <x:f>SUMIFS('350配方'!$M243:$P243,'350配方'!$Y243:$AB243,111)</x:f>
        <x:v>0</x:v>
      </x:c>
      <x:c r="U243" s="9" t="n">
        <x:f>SUMIFS('350配方'!$M243:$P243,'350配方'!$Y243:$AB243,114)</x:f>
        <x:v>0</x:v>
      </x:c>
      <x:c r="V243" s="9" t="n">
        <x:f>SUMIFS('350配方'!$M243:$P243,'350配方'!$Y243:$AB243,115)</x:f>
        <x:v>0</x:v>
      </x:c>
      <x:c r="W243" s="9" t="n">
        <x:f>SUMIFS('350配方'!$M243:$P243,'350配方'!$Y243:$AB243,117)</x:f>
        <x:v>0</x:v>
      </x:c>
      <x:c r="X243" s="9" t="n">
        <x:f>SUMIFS('350配方'!$M243:$P243,'350配方'!$Y243:$AB243,126)</x:f>
        <x:v>0</x:v>
      </x:c>
      <x:c r="Y243" s="9" t="n">
        <x:f>SUMIFS('350配方'!$M243:$P243,'350配方'!$Y243:$AB243,136)</x:f>
        <x:v>44000</x:v>
      </x:c>
      <x:c r="Z243" s="9" t="n">
        <x:f>SUMIFS('350配方'!$M243:$P243,'350配方'!$Y243:$AB243,141)</x:f>
        <x:v>2.2</x:v>
      </x:c>
      <x:c r="AA243" s="9" t="n">
        <x:f>SUMIFS('350配方'!$M243:$P243,'350配方'!$Y243:$AB243,152)</x:f>
        <x:v>0</x:v>
      </x:c>
      <x:c r="AB243" s="9" t="n">
        <x:f>SUMIFS('350配方'!$M243:$P243,'350配方'!$Y243:$AB243,165)</x:f>
        <x:v>0</x:v>
      </x:c>
      <x:c r="AC243" s="9" t="n">
        <x:f>SUMIFS('350配方'!$M243:$P243,'350配方'!$Y243:$AB243,186)</x:f>
        <x:v>0</x:v>
      </x:c>
      <x:c r="AD243" s="9" t="n">
        <x:f>SUMIFS('350配方'!$M243:$P243,'350配方'!$Y243:$AB243,207)</x:f>
        <x:v>16.47573974060042</x:v>
      </x:c>
      <x:c r="AE243" s="9" t="n">
        <x:f>SUMIFS('350配方'!$M243:$P243,'350配方'!$Y243:$AB243,209)</x:f>
        <x:v>0</x:v>
      </x:c>
      <x:c r="AF243" s="9" t="n">
        <x:f>SUMIFS('350配方'!$M243:$P243,'350配方'!$Y243:$AB243,227)</x:f>
        <x:v>0</x:v>
      </x:c>
      <x:c r="AG243" s="9" t="n">
        <x:f>SUMIFS('350配方'!$M243:$P243,'350配方'!$Y243:$AB243,232)</x:f>
        <x:v>0</x:v>
      </x:c>
      <x:c r="AH243" s="9" t="n">
        <x:f>SUMIFS('350配方'!$M243:$P243,'350配方'!$Y243:$AB243,255)</x:f>
        <x:v>0</x:v>
      </x:c>
      <x:c r="AI243" s="9" t="n">
        <x:f>'浓度设置'!S6</x:f>
        <x:v>219125.9626344086</x:v>
      </x:c>
      <x:c r="AJ243" s="9" t="n">
        <x:f>'浓度设置'!S8</x:f>
        <x:v>92796.92267241378</x:v>
      </x:c>
      <x:c r="AK243" s="9" t="n">
        <x:f>'浓度设置'!S10</x:f>
        <x:v>30556.797802197798</x:v>
      </x:c>
      <x:c r="AL243" s="9" t="n">
        <x:f>'浓度设置'!S12</x:f>
        <x:v>1735.828970588235</x:v>
      </x:c>
      <x:c r="AM243" s="9" t="n">
        <x:f>'浓度设置'!S15</x:f>
        <x:v>7385.813644067793</x:v>
      </x:c>
      <x:c r="AN243" s="9" t="n">
        <x:f>'浓度设置'!S19</x:f>
        <x:v>27722.03097701148</x:v>
      </x:c>
      <x:c r="AO243" s="9" t="n">
        <x:f>'浓度设置'!S22</x:f>
        <x:v>44345.55047619048</x:v>
      </x:c>
      <x:c r="AP243" s="9" t="n">
        <x:f>'浓度设置'!S26</x:f>
        <x:v>153318.30499999996</x:v>
      </x:c>
      <x:c r="AQ243" s="9" t="n">
        <x:f>'浓度设置'!S29</x:f>
        <x:v>312.7970588235294</x:v>
      </x:c>
      <x:c r="AR243" s="9" t="n">
        <x:f>'浓度设置'!S30</x:f>
        <x:v>104175.5097553192</x:v>
      </x:c>
      <x:c r="AS243" s="9" t="n">
        <x:f>'浓度设置'!S35</x:f>
        <x:v>405974.90656785714</x:v>
      </x:c>
    </x:row>
    <x:row r="244" ht="24" customHeight="1">
      <x:c r="A244" s="3" t="str">
        <x:f>'350配方'!A244</x:f>
        <x:v>T239</x:v>
      </x:c>
      <x:c r="B244" s="3" t="str">
        <x:f>'350配方'!B244</x:f>
        <x:v>拟合</x:v>
      </x:c>
      <x:c r="C244" s="3" t="n">
        <x:f>IF(B244="拟合",1,0)</x:f>
        <x:v>1</x:v>
      </x:c>
      <x:c r="D244" s="3" t="n">
        <x:f>'350配方'!AC244</x:f>
        <x:v>4</x:v>
      </x:c>
      <x:c r="E244" s="9" t="n">
        <x:f>SUMIFS('350配方'!$M244:$P244,'350配方'!$Y244:$AB244,7)</x:f>
        <x:v>0</x:v>
      </x:c>
      <x:c r="F244" s="9" t="n">
        <x:f>SUMIFS('350配方'!$M244:$P244,'350配方'!$Y244:$AB244,11)</x:f>
        <x:v>0</x:v>
      </x:c>
      <x:c r="G244" s="9" t="n">
        <x:f>SUMIFS('350配方'!$M244:$P244,'350配方'!$Y244:$AB244,18)</x:f>
        <x:v>0</x:v>
      </x:c>
      <x:c r="H244" s="9" t="n">
        <x:f>SUMIFS('350配方'!$M244:$P244,'350配方'!$Y244:$AB244,32)</x:f>
        <x:v>0</x:v>
      </x:c>
      <x:c r="I244" s="9" t="n">
        <x:f>SUMIFS('350配方'!$M244:$P244,'350配方'!$Y244:$AB244,40)</x:f>
        <x:v>0</x:v>
      </x:c>
      <x:c r="J244" s="9" t="n">
        <x:f>SUMIFS('350配方'!$M244:$P244,'350配方'!$Y244:$AB244,52)</x:f>
        <x:v>0</x:v>
      </x:c>
      <x:c r="K244" s="9" t="n">
        <x:f>SUMIFS('350配方'!$M244:$P244,'350配方'!$Y244:$AB244,53)</x:f>
        <x:v>0</x:v>
      </x:c>
      <x:c r="L244" s="9" t="n">
        <x:f>SUMIFS('350配方'!$M244:$P244,'350配方'!$Y244:$AB244,56)</x:f>
        <x:v>0</x:v>
      </x:c>
      <x:c r="M244" s="9" t="n">
        <x:f>SUMIFS('350配方'!$M244:$P244,'350配方'!$Y244:$AB244,58)</x:f>
        <x:v>1865945</x:v>
      </x:c>
      <x:c r="N244" s="9" t="n">
        <x:f>SUMIFS('350配方'!$M244:$P244,'350配方'!$Y244:$AB244,61)</x:f>
        <x:v>0</x:v>
      </x:c>
      <x:c r="O244" s="9" t="n">
        <x:f>SUMIFS('350配方'!$M244:$P244,'350配方'!$Y244:$AB244,69)</x:f>
        <x:v>0</x:v>
      </x:c>
      <x:c r="P244" s="9" t="n">
        <x:f>SUMIFS('350配方'!$M244:$P244,'350配方'!$Y244:$AB244,75)</x:f>
        <x:v>62700</x:v>
      </x:c>
      <x:c r="Q244" s="9" t="n">
        <x:f>SUMIFS('350配方'!$M244:$P244,'350配方'!$Y244:$AB244,79)</x:f>
        <x:v>0</x:v>
      </x:c>
      <x:c r="R244" s="9" t="n">
        <x:f>SUMIFS('350配方'!$M244:$P244,'350配方'!$Y244:$AB244,90)</x:f>
        <x:v>0</x:v>
      </x:c>
      <x:c r="S244" s="9" t="n">
        <x:f>SUMIFS('350配方'!$M244:$P244,'350配方'!$Y244:$AB244,105)</x:f>
        <x:v>0</x:v>
      </x:c>
      <x:c r="T244" s="9" t="n">
        <x:f>SUMIFS('350配方'!$M244:$P244,'350配方'!$Y244:$AB244,111)</x:f>
        <x:v>0</x:v>
      </x:c>
      <x:c r="U244" s="9" t="n">
        <x:f>SUMIFS('350配方'!$M244:$P244,'350配方'!$Y244:$AB244,114)</x:f>
        <x:v>3147.945</x:v>
      </x:c>
      <x:c r="V244" s="9" t="n">
        <x:f>SUMIFS('350配方'!$M244:$P244,'350配方'!$Y244:$AB244,115)</x:f>
        <x:v>0</x:v>
      </x:c>
      <x:c r="W244" s="9" t="n">
        <x:f>SUMIFS('350配方'!$M244:$P244,'350配方'!$Y244:$AB244,117)</x:f>
        <x:v>0</x:v>
      </x:c>
      <x:c r="X244" s="9" t="n">
        <x:f>SUMIFS('350配方'!$M244:$P244,'350配方'!$Y244:$AB244,126)</x:f>
        <x:v>0</x:v>
      </x:c>
      <x:c r="Y244" s="9" t="n">
        <x:f>SUMIFS('350配方'!$M244:$P244,'350配方'!$Y244:$AB244,136)</x:f>
        <x:v>0</x:v>
      </x:c>
      <x:c r="Z244" s="9" t="n">
        <x:f>SUMIFS('350配方'!$M244:$P244,'350配方'!$Y244:$AB244,141)</x:f>
        <x:v>0</x:v>
      </x:c>
      <x:c r="AA244" s="9" t="n">
        <x:f>SUMIFS('350配方'!$M244:$P244,'350配方'!$Y244:$AB244,152)</x:f>
        <x:v>0</x:v>
      </x:c>
      <x:c r="AB244" s="9" t="n">
        <x:f>SUMIFS('350配方'!$M244:$P244,'350配方'!$Y244:$AB244,165)</x:f>
        <x:v>0</x:v>
      </x:c>
      <x:c r="AC244" s="9" t="n">
        <x:f>SUMIFS('350配方'!$M244:$P244,'350配方'!$Y244:$AB244,186)</x:f>
        <x:v>1.56</x:v>
      </x:c>
      <x:c r="AD244" s="9" t="n">
        <x:f>SUMIFS('350配方'!$M244:$P244,'350配方'!$Y244:$AB244,207)</x:f>
        <x:v>0</x:v>
      </x:c>
      <x:c r="AE244" s="9" t="n">
        <x:f>SUMIFS('350配方'!$M244:$P244,'350配方'!$Y244:$AB244,209)</x:f>
        <x:v>0</x:v>
      </x:c>
      <x:c r="AF244" s="9" t="n">
        <x:f>SUMIFS('350配方'!$M244:$P244,'350配方'!$Y244:$AB244,227)</x:f>
        <x:v>0</x:v>
      </x:c>
      <x:c r="AG244" s="9" t="n">
        <x:f>SUMIFS('350配方'!$M244:$P244,'350配方'!$Y244:$AB244,232)</x:f>
        <x:v>0</x:v>
      </x:c>
      <x:c r="AH244" s="9" t="n">
        <x:f>SUMIFS('350配方'!$M244:$P244,'350配方'!$Y244:$AB244,255)</x:f>
        <x:v>0</x:v>
      </x:c>
      <x:c r="AI244" s="9" t="n">
        <x:f>'浓度设置'!S6</x:f>
        <x:v>219125.9626344086</x:v>
      </x:c>
      <x:c r="AJ244" s="9" t="n">
        <x:f>'浓度设置'!S8</x:f>
        <x:v>92796.92267241378</x:v>
      </x:c>
      <x:c r="AK244" s="9" t="n">
        <x:f>'浓度设置'!S10</x:f>
        <x:v>30556.797802197798</x:v>
      </x:c>
      <x:c r="AL244" s="9" t="n">
        <x:f>'浓度设置'!S12</x:f>
        <x:v>1735.828970588235</x:v>
      </x:c>
      <x:c r="AM244" s="9" t="n">
        <x:f>'浓度设置'!S15</x:f>
        <x:v>7385.813644067793</x:v>
      </x:c>
      <x:c r="AN244" s="9" t="n">
        <x:f>'浓度设置'!S19</x:f>
        <x:v>27722.03097701148</x:v>
      </x:c>
      <x:c r="AO244" s="9" t="n">
        <x:f>'浓度设置'!S22</x:f>
        <x:v>44345.55047619048</x:v>
      </x:c>
      <x:c r="AP244" s="9" t="n">
        <x:f>'浓度设置'!S26</x:f>
        <x:v>153318.30499999996</x:v>
      </x:c>
      <x:c r="AQ244" s="9" t="n">
        <x:f>'浓度设置'!S29</x:f>
        <x:v>312.7970588235294</x:v>
      </x:c>
      <x:c r="AR244" s="9" t="n">
        <x:f>'浓度设置'!S30</x:f>
        <x:v>104175.5097553192</x:v>
      </x:c>
      <x:c r="AS244" s="9" t="n">
        <x:f>'浓度设置'!S35</x:f>
        <x:v>405974.90656785714</x:v>
      </x:c>
    </x:row>
    <x:row r="245" ht="24" customHeight="1">
      <x:c r="A245" s="3" t="str">
        <x:f>'350配方'!A245</x:f>
        <x:v>T240</x:v>
      </x:c>
      <x:c r="B245" s="3" t="str">
        <x:f>'350配方'!B245</x:f>
        <x:v>拟合</x:v>
      </x:c>
      <x:c r="C245" s="3" t="n">
        <x:f>IF(B245="拟合",1,0)</x:f>
        <x:v>1</x:v>
      </x:c>
      <x:c r="D245" s="3" t="n">
        <x:f>'350配方'!AC245</x:f>
        <x:v>4</x:v>
      </x:c>
      <x:c r="E245" s="9" t="n">
        <x:f>SUMIFS('350配方'!$M245:$P245,'350配方'!$Y245:$AB245,7)</x:f>
        <x:v>0</x:v>
      </x:c>
      <x:c r="F245" s="9" t="n">
        <x:f>SUMIFS('350配方'!$M245:$P245,'350配方'!$Y245:$AB245,11)</x:f>
        <x:v>0</x:v>
      </x:c>
      <x:c r="G245" s="9" t="n">
        <x:f>SUMIFS('350配方'!$M245:$P245,'350配方'!$Y245:$AB245,18)</x:f>
        <x:v>0</x:v>
      </x:c>
      <x:c r="H245" s="9" t="n">
        <x:f>SUMIFS('350配方'!$M245:$P245,'350配方'!$Y245:$AB245,32)</x:f>
        <x:v>0</x:v>
      </x:c>
      <x:c r="I245" s="9" t="n">
        <x:f>SUMIFS('350配方'!$M245:$P245,'350配方'!$Y245:$AB245,40)</x:f>
        <x:v>0</x:v>
      </x:c>
      <x:c r="J245" s="9" t="n">
        <x:f>SUMIFS('350配方'!$M245:$P245,'350配方'!$Y245:$AB245,52)</x:f>
        <x:v>0</x:v>
      </x:c>
      <x:c r="K245" s="9" t="n">
        <x:f>SUMIFS('350配方'!$M245:$P245,'350配方'!$Y245:$AB245,53)</x:f>
        <x:v>0</x:v>
      </x:c>
      <x:c r="L245" s="9" t="n">
        <x:f>SUMIFS('350配方'!$M245:$P245,'350配方'!$Y245:$AB245,56)</x:f>
        <x:v>0</x:v>
      </x:c>
      <x:c r="M245" s="9" t="n">
        <x:f>SUMIFS('350配方'!$M245:$P245,'350配方'!$Y245:$AB245,58)</x:f>
        <x:v>0</x:v>
      </x:c>
      <x:c r="N245" s="9" t="n">
        <x:f>SUMIFS('350配方'!$M245:$P245,'350配方'!$Y245:$AB245,61)</x:f>
        <x:v>0</x:v>
      </x:c>
      <x:c r="O245" s="9" t="n">
        <x:f>SUMIFS('350配方'!$M245:$P245,'350配方'!$Y245:$AB245,69)</x:f>
        <x:v>12022.2</x:v>
      </x:c>
      <x:c r="P245" s="9" t="n">
        <x:f>SUMIFS('350配方'!$M245:$P245,'350配方'!$Y245:$AB245,75)</x:f>
        <x:v>331.2476415010377</x:v>
      </x:c>
      <x:c r="Q245" s="9" t="n">
        <x:f>SUMIFS('350配方'!$M245:$P245,'350配方'!$Y245:$AB245,79)</x:f>
        <x:v>0</x:v>
      </x:c>
      <x:c r="R245" s="9" t="n">
        <x:f>SUMIFS('350配方'!$M245:$P245,'350配方'!$Y245:$AB245,90)</x:f>
        <x:v>0</x:v>
      </x:c>
      <x:c r="S245" s="9" t="n">
        <x:f>SUMIFS('350配方'!$M245:$P245,'350配方'!$Y245:$AB245,105)</x:f>
        <x:v>0</x:v>
      </x:c>
      <x:c r="T245" s="9" t="n">
        <x:f>SUMIFS('350配方'!$M245:$P245,'350配方'!$Y245:$AB245,111)</x:f>
        <x:v>0</x:v>
      </x:c>
      <x:c r="U245" s="9" t="n">
        <x:f>SUMIFS('350配方'!$M245:$P245,'350配方'!$Y245:$AB245,114)</x:f>
        <x:v>0</x:v>
      </x:c>
      <x:c r="V245" s="9" t="n">
        <x:f>SUMIFS('350配方'!$M245:$P245,'350配方'!$Y245:$AB245,115)</x:f>
        <x:v>6516</x:v>
      </x:c>
      <x:c r="W245" s="9" t="n">
        <x:f>SUMIFS('350配方'!$M245:$P245,'350配方'!$Y245:$AB245,117)</x:f>
        <x:v>0</x:v>
      </x:c>
      <x:c r="X245" s="9" t="n">
        <x:f>SUMIFS('350配方'!$M245:$P245,'350配方'!$Y245:$AB245,126)</x:f>
        <x:v>0</x:v>
      </x:c>
      <x:c r="Y245" s="9" t="n">
        <x:f>SUMIFS('350配方'!$M245:$P245,'350配方'!$Y245:$AB245,136)</x:f>
        <x:v>0</x:v>
      </x:c>
      <x:c r="Z245" s="9" t="n">
        <x:f>SUMIFS('350配方'!$M245:$P245,'350配方'!$Y245:$AB245,141)</x:f>
        <x:v>0</x:v>
      </x:c>
      <x:c r="AA245" s="9" t="n">
        <x:f>SUMIFS('350配方'!$M245:$P245,'350配方'!$Y245:$AB245,152)</x:f>
        <x:v>1048.6410253275426</x:v>
      </x:c>
      <x:c r="AB245" s="9" t="n">
        <x:f>SUMIFS('350配方'!$M245:$P245,'350配方'!$Y245:$AB245,165)</x:f>
        <x:v>0</x:v>
      </x:c>
      <x:c r="AC245" s="9" t="n">
        <x:f>SUMIFS('350配方'!$M245:$P245,'350配方'!$Y245:$AB245,186)</x:f>
        <x:v>0</x:v>
      </x:c>
      <x:c r="AD245" s="9" t="n">
        <x:f>SUMIFS('350配方'!$M245:$P245,'350配方'!$Y245:$AB245,207)</x:f>
        <x:v>0</x:v>
      </x:c>
      <x:c r="AE245" s="9" t="n">
        <x:f>SUMIFS('350配方'!$M245:$P245,'350配方'!$Y245:$AB245,209)</x:f>
        <x:v>0</x:v>
      </x:c>
      <x:c r="AF245" s="9" t="n">
        <x:f>SUMIFS('350配方'!$M245:$P245,'350配方'!$Y245:$AB245,227)</x:f>
        <x:v>0</x:v>
      </x:c>
      <x:c r="AG245" s="9" t="n">
        <x:f>SUMIFS('350配方'!$M245:$P245,'350配方'!$Y245:$AB245,232)</x:f>
        <x:v>0</x:v>
      </x:c>
      <x:c r="AH245" s="9" t="n">
        <x:f>SUMIFS('350配方'!$M245:$P245,'350配方'!$Y245:$AB245,255)</x:f>
        <x:v>0</x:v>
      </x:c>
      <x:c r="AI245" s="9" t="n">
        <x:f>'浓度设置'!S6</x:f>
        <x:v>219125.9626344086</x:v>
      </x:c>
      <x:c r="AJ245" s="9" t="n">
        <x:f>'浓度设置'!S8</x:f>
        <x:v>92796.92267241378</x:v>
      </x:c>
      <x:c r="AK245" s="9" t="n">
        <x:f>'浓度设置'!S10</x:f>
        <x:v>30556.797802197798</x:v>
      </x:c>
      <x:c r="AL245" s="9" t="n">
        <x:f>'浓度设置'!S12</x:f>
        <x:v>1735.828970588235</x:v>
      </x:c>
      <x:c r="AM245" s="9" t="n">
        <x:f>'浓度设置'!S15</x:f>
        <x:v>7385.813644067793</x:v>
      </x:c>
      <x:c r="AN245" s="9" t="n">
        <x:f>'浓度设置'!S19</x:f>
        <x:v>27722.03097701148</x:v>
      </x:c>
      <x:c r="AO245" s="9" t="n">
        <x:f>'浓度设置'!S22</x:f>
        <x:v>44345.55047619048</x:v>
      </x:c>
      <x:c r="AP245" s="9" t="n">
        <x:f>'浓度设置'!S26</x:f>
        <x:v>153318.30499999996</x:v>
      </x:c>
      <x:c r="AQ245" s="9" t="n">
        <x:f>'浓度设置'!S29</x:f>
        <x:v>312.7970588235294</x:v>
      </x:c>
      <x:c r="AR245" s="9" t="n">
        <x:f>'浓度设置'!S30</x:f>
        <x:v>104175.5097553192</x:v>
      </x:c>
      <x:c r="AS245" s="9" t="n">
        <x:f>'浓度设置'!S35</x:f>
        <x:v>405974.90656785714</x:v>
      </x:c>
    </x:row>
    <x:row r="246" ht="24" customHeight="1">
      <x:c r="A246" s="3" t="str">
        <x:f>'350配方'!A246</x:f>
        <x:v>T241</x:v>
      </x:c>
      <x:c r="B246" s="3" t="str">
        <x:f>'350配方'!B246</x:f>
        <x:v>拟合</x:v>
      </x:c>
      <x:c r="C246" s="3" t="n">
        <x:f>IF(B246="拟合",1,0)</x:f>
        <x:v>1</x:v>
      </x:c>
      <x:c r="D246" s="3" t="n">
        <x:f>'350配方'!AC246</x:f>
        <x:v>4</x:v>
      </x:c>
      <x:c r="E246" s="9" t="n">
        <x:f>SUMIFS('350配方'!$M246:$P246,'350配方'!$Y246:$AB246,7)</x:f>
        <x:v>0</x:v>
      </x:c>
      <x:c r="F246" s="9" t="n">
        <x:f>SUMIFS('350配方'!$M246:$P246,'350配方'!$Y246:$AB246,11)</x:f>
        <x:v>0</x:v>
      </x:c>
      <x:c r="G246" s="9" t="n">
        <x:f>SUMIFS('350配方'!$M246:$P246,'350配方'!$Y246:$AB246,18)</x:f>
        <x:v>0</x:v>
      </x:c>
      <x:c r="H246" s="9" t="n">
        <x:f>SUMIFS('350配方'!$M246:$P246,'350配方'!$Y246:$AB246,32)</x:f>
        <x:v>0</x:v>
      </x:c>
      <x:c r="I246" s="9" t="n">
        <x:f>SUMIFS('350配方'!$M246:$P246,'350配方'!$Y246:$AB246,40)</x:f>
        <x:v>0</x:v>
      </x:c>
      <x:c r="J246" s="9" t="n">
        <x:f>SUMIFS('350配方'!$M246:$P246,'350配方'!$Y246:$AB246,52)</x:f>
        <x:v>4.24</x:v>
      </x:c>
      <x:c r="K246" s="9" t="n">
        <x:f>SUMIFS('350配方'!$M246:$P246,'350配方'!$Y246:$AB246,53)</x:f>
        <x:v>2745.3821227654266</x:v>
      </x:c>
      <x:c r="L246" s="9" t="n">
        <x:f>SUMIFS('350配方'!$M246:$P246,'350配方'!$Y246:$AB246,56)</x:f>
        <x:v>0</x:v>
      </x:c>
      <x:c r="M246" s="9" t="n">
        <x:f>SUMIFS('350配方'!$M246:$P246,'350配方'!$Y246:$AB246,58)</x:f>
        <x:v>0</x:v>
      </x:c>
      <x:c r="N246" s="9" t="n">
        <x:f>SUMIFS('350配方'!$M246:$P246,'350配方'!$Y246:$AB246,61)</x:f>
        <x:v>0</x:v>
      </x:c>
      <x:c r="O246" s="9" t="n">
        <x:f>SUMIFS('350配方'!$M246:$P246,'350配方'!$Y246:$AB246,69)</x:f>
        <x:v>0</x:v>
      </x:c>
      <x:c r="P246" s="9" t="n">
        <x:f>SUMIFS('350配方'!$M246:$P246,'350配方'!$Y246:$AB246,75)</x:f>
        <x:v>0</x:v>
      </x:c>
      <x:c r="Q246" s="9" t="n">
        <x:f>SUMIFS('350配方'!$M246:$P246,'350配方'!$Y246:$AB246,79)</x:f>
        <x:v>0</x:v>
      </x:c>
      <x:c r="R246" s="9" t="n">
        <x:f>SUMIFS('350配方'!$M246:$P246,'350配方'!$Y246:$AB246,90)</x:f>
        <x:v>0</x:v>
      </x:c>
      <x:c r="S246" s="9" t="n">
        <x:f>SUMIFS('350配方'!$M246:$P246,'350配方'!$Y246:$AB246,105)</x:f>
        <x:v>0</x:v>
      </x:c>
      <x:c r="T246" s="9" t="n">
        <x:f>SUMIFS('350配方'!$M246:$P246,'350配方'!$Y246:$AB246,111)</x:f>
        <x:v>9622120</x:v>
      </x:c>
      <x:c r="U246" s="9" t="n">
        <x:f>SUMIFS('350配方'!$M246:$P246,'350配方'!$Y246:$AB246,114)</x:f>
        <x:v>0</x:v>
      </x:c>
      <x:c r="V246" s="9" t="n">
        <x:f>SUMIFS('350配方'!$M246:$P246,'350配方'!$Y246:$AB246,115)</x:f>
        <x:v>0</x:v>
      </x:c>
      <x:c r="W246" s="9" t="n">
        <x:f>SUMIFS('350配方'!$M246:$P246,'350配方'!$Y246:$AB246,117)</x:f>
        <x:v>274.54883445390914</x:v>
      </x:c>
      <x:c r="X246" s="9" t="n">
        <x:f>SUMIFS('350配方'!$M246:$P246,'350配方'!$Y246:$AB246,126)</x:f>
        <x:v>0</x:v>
      </x:c>
      <x:c r="Y246" s="9" t="n">
        <x:f>SUMIFS('350配方'!$M246:$P246,'350配方'!$Y246:$AB246,136)</x:f>
        <x:v>0</x:v>
      </x:c>
      <x:c r="Z246" s="9" t="n">
        <x:f>SUMIFS('350配方'!$M246:$P246,'350配方'!$Y246:$AB246,141)</x:f>
        <x:v>0</x:v>
      </x:c>
      <x:c r="AA246" s="9" t="n">
        <x:f>SUMIFS('350配方'!$M246:$P246,'350配方'!$Y246:$AB246,152)</x:f>
        <x:v>0</x:v>
      </x:c>
      <x:c r="AB246" s="9" t="n">
        <x:f>SUMIFS('350配方'!$M246:$P246,'350配方'!$Y246:$AB246,165)</x:f>
        <x:v>0</x:v>
      </x:c>
      <x:c r="AC246" s="9" t="n">
        <x:f>SUMIFS('350配方'!$M246:$P246,'350配方'!$Y246:$AB246,186)</x:f>
        <x:v>0</x:v>
      </x:c>
      <x:c r="AD246" s="9" t="n">
        <x:f>SUMIFS('350配方'!$M246:$P246,'350配方'!$Y246:$AB246,207)</x:f>
        <x:v>0</x:v>
      </x:c>
      <x:c r="AE246" s="9" t="n">
        <x:f>SUMIFS('350配方'!$M246:$P246,'350配方'!$Y246:$AB246,209)</x:f>
        <x:v>0</x:v>
      </x:c>
      <x:c r="AF246" s="9" t="n">
        <x:f>SUMIFS('350配方'!$M246:$P246,'350配方'!$Y246:$AB246,227)</x:f>
        <x:v>0</x:v>
      </x:c>
      <x:c r="AG246" s="9" t="n">
        <x:f>SUMIFS('350配方'!$M246:$P246,'350配方'!$Y246:$AB246,232)</x:f>
        <x:v>0</x:v>
      </x:c>
      <x:c r="AH246" s="9" t="n">
        <x:f>SUMIFS('350配方'!$M246:$P246,'350配方'!$Y246:$AB246,255)</x:f>
        <x:v>0</x:v>
      </x:c>
      <x:c r="AI246" s="9" t="n">
        <x:f>'浓度设置'!S6</x:f>
        <x:v>219125.9626344086</x:v>
      </x:c>
      <x:c r="AJ246" s="9" t="n">
        <x:f>'浓度设置'!S8</x:f>
        <x:v>92796.92267241378</x:v>
      </x:c>
      <x:c r="AK246" s="9" t="n">
        <x:f>'浓度设置'!S10</x:f>
        <x:v>30556.797802197798</x:v>
      </x:c>
      <x:c r="AL246" s="9" t="n">
        <x:f>'浓度设置'!S12</x:f>
        <x:v>1735.828970588235</x:v>
      </x:c>
      <x:c r="AM246" s="9" t="n">
        <x:f>'浓度设置'!S15</x:f>
        <x:v>7385.813644067793</x:v>
      </x:c>
      <x:c r="AN246" s="9" t="n">
        <x:f>'浓度设置'!S19</x:f>
        <x:v>27722.03097701148</x:v>
      </x:c>
      <x:c r="AO246" s="9" t="n">
        <x:f>'浓度设置'!S22</x:f>
        <x:v>44345.55047619048</x:v>
      </x:c>
      <x:c r="AP246" s="9" t="n">
        <x:f>'浓度设置'!S26</x:f>
        <x:v>153318.30499999996</x:v>
      </x:c>
      <x:c r="AQ246" s="9" t="n">
        <x:f>'浓度设置'!S29</x:f>
        <x:v>312.7970588235294</x:v>
      </x:c>
      <x:c r="AR246" s="9" t="n">
        <x:f>'浓度设置'!S30</x:f>
        <x:v>104175.5097553192</x:v>
      </x:c>
      <x:c r="AS246" s="9" t="n">
        <x:f>'浓度设置'!S35</x:f>
        <x:v>405974.90656785714</x:v>
      </x:c>
    </x:row>
    <x:row r="247" ht="24" customHeight="1">
      <x:c r="A247" s="3" t="str">
        <x:f>'350配方'!A247</x:f>
        <x:v>T242</x:v>
      </x:c>
      <x:c r="B247" s="3" t="str">
        <x:f>'350配方'!B247</x:f>
        <x:v>拟合</x:v>
      </x:c>
      <x:c r="C247" s="3" t="n">
        <x:f>IF(B247="拟合",1,0)</x:f>
        <x:v>1</x:v>
      </x:c>
      <x:c r="D247" s="3" t="n">
        <x:f>'350配方'!AC247</x:f>
        <x:v>4</x:v>
      </x:c>
      <x:c r="E247" s="9" t="n">
        <x:f>SUMIFS('350配方'!$M247:$P247,'350配方'!$Y247:$AB247,7)</x:f>
        <x:v>173</x:v>
      </x:c>
      <x:c r="F247" s="9" t="n">
        <x:f>SUMIFS('350配方'!$M247:$P247,'350配方'!$Y247:$AB247,11)</x:f>
        <x:v>0</x:v>
      </x:c>
      <x:c r="G247" s="9" t="n">
        <x:f>SUMIFS('350配方'!$M247:$P247,'350配方'!$Y247:$AB247,18)</x:f>
        <x:v>0</x:v>
      </x:c>
      <x:c r="H247" s="9" t="n">
        <x:f>SUMIFS('350配方'!$M247:$P247,'350配方'!$Y247:$AB247,32)</x:f>
        <x:v>0</x:v>
      </x:c>
      <x:c r="I247" s="9" t="n">
        <x:f>SUMIFS('350配方'!$M247:$P247,'350配方'!$Y247:$AB247,40)</x:f>
        <x:v>0</x:v>
      </x:c>
      <x:c r="J247" s="9" t="n">
        <x:f>SUMIFS('350配方'!$M247:$P247,'350配方'!$Y247:$AB247,52)</x:f>
        <x:v>0</x:v>
      </x:c>
      <x:c r="K247" s="9" t="n">
        <x:f>SUMIFS('350配方'!$M247:$P247,'350配方'!$Y247:$AB247,53)</x:f>
        <x:v>0</x:v>
      </x:c>
      <x:c r="L247" s="9" t="n">
        <x:f>SUMIFS('350配方'!$M247:$P247,'350配方'!$Y247:$AB247,56)</x:f>
        <x:v>0</x:v>
      </x:c>
      <x:c r="M247" s="9" t="n">
        <x:f>SUMIFS('350配方'!$M247:$P247,'350配方'!$Y247:$AB247,58)</x:f>
        <x:v>0</x:v>
      </x:c>
      <x:c r="N247" s="9" t="n">
        <x:f>SUMIFS('350配方'!$M247:$P247,'350配方'!$Y247:$AB247,61)</x:f>
        <x:v>0</x:v>
      </x:c>
      <x:c r="O247" s="9" t="n">
        <x:f>SUMIFS('350配方'!$M247:$P247,'350配方'!$Y247:$AB247,69)</x:f>
        <x:v>0</x:v>
      </x:c>
      <x:c r="P247" s="9" t="n">
        <x:f>SUMIFS('350配方'!$M247:$P247,'350配方'!$Y247:$AB247,75)</x:f>
        <x:v>0</x:v>
      </x:c>
      <x:c r="Q247" s="9" t="n">
        <x:f>SUMIFS('350配方'!$M247:$P247,'350配方'!$Y247:$AB247,79)</x:f>
        <x:v>0</x:v>
      </x:c>
      <x:c r="R247" s="9" t="n">
        <x:f>SUMIFS('350配方'!$M247:$P247,'350配方'!$Y247:$AB247,90)</x:f>
        <x:v>0</x:v>
      </x:c>
      <x:c r="S247" s="9" t="n">
        <x:f>SUMIFS('350配方'!$M247:$P247,'350配方'!$Y247:$AB247,105)</x:f>
        <x:v>0</x:v>
      </x:c>
      <x:c r="T247" s="9" t="n">
        <x:f>SUMIFS('350配方'!$M247:$P247,'350配方'!$Y247:$AB247,111)</x:f>
        <x:v>0</x:v>
      </x:c>
      <x:c r="U247" s="9" t="n">
        <x:f>SUMIFS('350配方'!$M247:$P247,'350配方'!$Y247:$AB247,114)</x:f>
        <x:v>0</x:v>
      </x:c>
      <x:c r="V247" s="9" t="n">
        <x:f>SUMIFS('350配方'!$M247:$P247,'350配方'!$Y247:$AB247,115)</x:f>
        <x:v>0</x:v>
      </x:c>
      <x:c r="W247" s="9" t="n">
        <x:f>SUMIFS('350配方'!$M247:$P247,'350配方'!$Y247:$AB247,117)</x:f>
        <x:v>0</x:v>
      </x:c>
      <x:c r="X247" s="9" t="n">
        <x:f>SUMIFS('350配方'!$M247:$P247,'350配方'!$Y247:$AB247,126)</x:f>
        <x:v>0</x:v>
      </x:c>
      <x:c r="Y247" s="9" t="n">
        <x:f>SUMIFS('350配方'!$M247:$P247,'350配方'!$Y247:$AB247,136)</x:f>
        <x:v>0</x:v>
      </x:c>
      <x:c r="Z247" s="9" t="n">
        <x:f>SUMIFS('350配方'!$M247:$P247,'350配方'!$Y247:$AB247,141)</x:f>
        <x:v>0</x:v>
      </x:c>
      <x:c r="AA247" s="9" t="n">
        <x:f>SUMIFS('350配方'!$M247:$P247,'350配方'!$Y247:$AB247,152)</x:f>
        <x:v>0</x:v>
      </x:c>
      <x:c r="AB247" s="9" t="n">
        <x:f>SUMIFS('350配方'!$M247:$P247,'350配方'!$Y247:$AB247,165)</x:f>
        <x:v>0</x:v>
      </x:c>
      <x:c r="AC247" s="9" t="n">
        <x:f>SUMIFS('350配方'!$M247:$P247,'350配方'!$Y247:$AB247,186)</x:f>
        <x:v>0</x:v>
      </x:c>
      <x:c r="AD247" s="9" t="n">
        <x:f>SUMIFS('350配方'!$M247:$P247,'350配方'!$Y247:$AB247,207)</x:f>
        <x:v>0</x:v>
      </x:c>
      <x:c r="AE247" s="9" t="n">
        <x:f>SUMIFS('350配方'!$M247:$P247,'350配方'!$Y247:$AB247,209)</x:f>
        <x:v>34.2987346705385</x:v>
      </x:c>
      <x:c r="AF247" s="9" t="n">
        <x:f>SUMIFS('350配方'!$M247:$P247,'350配方'!$Y247:$AB247,227)</x:f>
        <x:v>2.5</x:v>
      </x:c>
      <x:c r="AG247" s="9" t="n">
        <x:f>SUMIFS('350配方'!$M247:$P247,'350配方'!$Y247:$AB247,232)</x:f>
        <x:v>0</x:v>
      </x:c>
      <x:c r="AH247" s="9" t="n">
        <x:f>SUMIFS('350配方'!$M247:$P247,'350配方'!$Y247:$AB247,255)</x:f>
        <x:v>9.546727187890099</x:v>
      </x:c>
      <x:c r="AI247" s="9" t="n">
        <x:f>'浓度设置'!S6</x:f>
        <x:v>219125.9626344086</x:v>
      </x:c>
      <x:c r="AJ247" s="9" t="n">
        <x:f>'浓度设置'!S8</x:f>
        <x:v>92796.92267241378</x:v>
      </x:c>
      <x:c r="AK247" s="9" t="n">
        <x:f>'浓度设置'!S10</x:f>
        <x:v>30556.797802197798</x:v>
      </x:c>
      <x:c r="AL247" s="9" t="n">
        <x:f>'浓度设置'!S12</x:f>
        <x:v>1735.828970588235</x:v>
      </x:c>
      <x:c r="AM247" s="9" t="n">
        <x:f>'浓度设置'!S15</x:f>
        <x:v>7385.813644067793</x:v>
      </x:c>
      <x:c r="AN247" s="9" t="n">
        <x:f>'浓度设置'!S19</x:f>
        <x:v>27722.03097701148</x:v>
      </x:c>
      <x:c r="AO247" s="9" t="n">
        <x:f>'浓度设置'!S22</x:f>
        <x:v>44345.55047619048</x:v>
      </x:c>
      <x:c r="AP247" s="9" t="n">
        <x:f>'浓度设置'!S26</x:f>
        <x:v>153318.30499999996</x:v>
      </x:c>
      <x:c r="AQ247" s="9" t="n">
        <x:f>'浓度设置'!S29</x:f>
        <x:v>312.7970588235294</x:v>
      </x:c>
      <x:c r="AR247" s="9" t="n">
        <x:f>'浓度设置'!S30</x:f>
        <x:v>104175.5097553192</x:v>
      </x:c>
      <x:c r="AS247" s="9" t="n">
        <x:f>'浓度设置'!S35</x:f>
        <x:v>405974.90656785714</x:v>
      </x:c>
    </x:row>
    <x:row r="248" ht="24" customHeight="1">
      <x:c r="A248" s="3" t="str">
        <x:f>'350配方'!A248</x:f>
        <x:v>T243</x:v>
      </x:c>
      <x:c r="B248" s="3" t="str">
        <x:f>'350配方'!B248</x:f>
        <x:v>拟合</x:v>
      </x:c>
      <x:c r="C248" s="3" t="n">
        <x:f>IF(B248="拟合",1,0)</x:f>
        <x:v>1</x:v>
      </x:c>
      <x:c r="D248" s="3" t="n">
        <x:f>'350配方'!AC248</x:f>
        <x:v>4</x:v>
      </x:c>
      <x:c r="E248" s="9" t="n">
        <x:f>SUMIFS('350配方'!$M248:$P248,'350配方'!$Y248:$AB248,7)</x:f>
        <x:v>0</x:v>
      </x:c>
      <x:c r="F248" s="9" t="n">
        <x:f>SUMIFS('350配方'!$M248:$P248,'350配方'!$Y248:$AB248,11)</x:f>
        <x:v>0</x:v>
      </x:c>
      <x:c r="G248" s="9" t="n">
        <x:f>SUMIFS('350配方'!$M248:$P248,'350配方'!$Y248:$AB248,18)</x:f>
        <x:v>0</x:v>
      </x:c>
      <x:c r="H248" s="9" t="n">
        <x:f>SUMIFS('350配方'!$M248:$P248,'350配方'!$Y248:$AB248,32)</x:f>
        <x:v>37489</x:v>
      </x:c>
      <x:c r="I248" s="9" t="n">
        <x:f>SUMIFS('350配方'!$M248:$P248,'350配方'!$Y248:$AB248,40)</x:f>
        <x:v>0</x:v>
      </x:c>
      <x:c r="J248" s="9" t="n">
        <x:f>SUMIFS('350配方'!$M248:$P248,'350配方'!$Y248:$AB248,52)</x:f>
        <x:v>0</x:v>
      </x:c>
      <x:c r="K248" s="9" t="n">
        <x:f>SUMIFS('350配方'!$M248:$P248,'350配方'!$Y248:$AB248,53)</x:f>
        <x:v>0</x:v>
      </x:c>
      <x:c r="L248" s="9" t="n">
        <x:f>SUMIFS('350配方'!$M248:$P248,'350配方'!$Y248:$AB248,56)</x:f>
        <x:v>0</x:v>
      </x:c>
      <x:c r="M248" s="9" t="n">
        <x:f>SUMIFS('350配方'!$M248:$P248,'350配方'!$Y248:$AB248,58)</x:f>
        <x:v>0</x:v>
      </x:c>
      <x:c r="N248" s="9" t="n">
        <x:f>SUMIFS('350配方'!$M248:$P248,'350配方'!$Y248:$AB248,61)</x:f>
        <x:v>0</x:v>
      </x:c>
      <x:c r="O248" s="9" t="n">
        <x:f>SUMIFS('350配方'!$M248:$P248,'350配方'!$Y248:$AB248,69)</x:f>
        <x:v>0</x:v>
      </x:c>
      <x:c r="P248" s="9" t="n">
        <x:f>SUMIFS('350配方'!$M248:$P248,'350配方'!$Y248:$AB248,75)</x:f>
        <x:v>0</x:v>
      </x:c>
      <x:c r="Q248" s="9" t="n">
        <x:f>SUMIFS('350配方'!$M248:$P248,'350配方'!$Y248:$AB248,79)</x:f>
        <x:v>0</x:v>
      </x:c>
      <x:c r="R248" s="9" t="n">
        <x:f>SUMIFS('350配方'!$M248:$P248,'350配方'!$Y248:$AB248,90)</x:f>
        <x:v>25642.45</x:v>
      </x:c>
      <x:c r="S248" s="9" t="n">
        <x:f>SUMIFS('350配方'!$M248:$P248,'350配方'!$Y248:$AB248,105)</x:f>
        <x:v>15730</x:v>
      </x:c>
      <x:c r="T248" s="9" t="n">
        <x:f>SUMIFS('350配方'!$M248:$P248,'350配方'!$Y248:$AB248,111)</x:f>
        <x:v>0</x:v>
      </x:c>
      <x:c r="U248" s="9" t="n">
        <x:f>SUMIFS('350配方'!$M248:$P248,'350配方'!$Y248:$AB248,114)</x:f>
        <x:v>0</x:v>
      </x:c>
      <x:c r="V248" s="9" t="n">
        <x:f>SUMIFS('350配方'!$M248:$P248,'350配方'!$Y248:$AB248,115)</x:f>
        <x:v>0</x:v>
      </x:c>
      <x:c r="W248" s="9" t="n">
        <x:f>SUMIFS('350配方'!$M248:$P248,'350配方'!$Y248:$AB248,117)</x:f>
        <x:v>0</x:v>
      </x:c>
      <x:c r="X248" s="9" t="n">
        <x:f>SUMIFS('350配方'!$M248:$P248,'350配方'!$Y248:$AB248,126)</x:f>
        <x:v>0</x:v>
      </x:c>
      <x:c r="Y248" s="9" t="n">
        <x:f>SUMIFS('350配方'!$M248:$P248,'350配方'!$Y248:$AB248,136)</x:f>
        <x:v>0</x:v>
      </x:c>
      <x:c r="Z248" s="9" t="n">
        <x:f>SUMIFS('350配方'!$M248:$P248,'350配方'!$Y248:$AB248,141)</x:f>
        <x:v>0</x:v>
      </x:c>
      <x:c r="AA248" s="9" t="n">
        <x:f>SUMIFS('350配方'!$M248:$P248,'350配方'!$Y248:$AB248,152)</x:f>
        <x:v>0</x:v>
      </x:c>
      <x:c r="AB248" s="9" t="n">
        <x:f>SUMIFS('350配方'!$M248:$P248,'350配方'!$Y248:$AB248,165)</x:f>
        <x:v>0</x:v>
      </x:c>
      <x:c r="AC248" s="9" t="n">
        <x:f>SUMIFS('350配方'!$M248:$P248,'350配方'!$Y248:$AB248,186)</x:f>
        <x:v>0</x:v>
      </x:c>
      <x:c r="AD248" s="9" t="n">
        <x:f>SUMIFS('350配方'!$M248:$P248,'350配方'!$Y248:$AB248,207)</x:f>
        <x:v>0</x:v>
      </x:c>
      <x:c r="AE248" s="9" t="n">
        <x:f>SUMIFS('350配方'!$M248:$P248,'350配方'!$Y248:$AB248,209)</x:f>
        <x:v>0</x:v>
      </x:c>
      <x:c r="AF248" s="9" t="n">
        <x:f>SUMIFS('350配方'!$M248:$P248,'350配方'!$Y248:$AB248,227)</x:f>
        <x:v>0</x:v>
      </x:c>
      <x:c r="AG248" s="9" t="n">
        <x:f>SUMIFS('350配方'!$M248:$P248,'350配方'!$Y248:$AB248,232)</x:f>
        <x:v>1611</x:v>
      </x:c>
      <x:c r="AH248" s="9" t="n">
        <x:f>SUMIFS('350配方'!$M248:$P248,'350配方'!$Y248:$AB248,255)</x:f>
        <x:v>0</x:v>
      </x:c>
      <x:c r="AI248" s="9" t="n">
        <x:f>'浓度设置'!S6</x:f>
        <x:v>219125.9626344086</x:v>
      </x:c>
      <x:c r="AJ248" s="9" t="n">
        <x:f>'浓度设置'!S8</x:f>
        <x:v>92796.92267241378</x:v>
      </x:c>
      <x:c r="AK248" s="9" t="n">
        <x:f>'浓度设置'!S10</x:f>
        <x:v>30556.797802197798</x:v>
      </x:c>
      <x:c r="AL248" s="9" t="n">
        <x:f>'浓度设置'!S12</x:f>
        <x:v>1735.828970588235</x:v>
      </x:c>
      <x:c r="AM248" s="9" t="n">
        <x:f>'浓度设置'!S15</x:f>
        <x:v>7385.813644067793</x:v>
      </x:c>
      <x:c r="AN248" s="9" t="n">
        <x:f>'浓度设置'!S19</x:f>
        <x:v>27722.03097701148</x:v>
      </x:c>
      <x:c r="AO248" s="9" t="n">
        <x:f>'浓度设置'!S22</x:f>
        <x:v>44345.55047619048</x:v>
      </x:c>
      <x:c r="AP248" s="9" t="n">
        <x:f>'浓度设置'!S26</x:f>
        <x:v>153318.30499999996</x:v>
      </x:c>
      <x:c r="AQ248" s="9" t="n">
        <x:f>'浓度设置'!S29</x:f>
        <x:v>312.7970588235294</x:v>
      </x:c>
      <x:c r="AR248" s="9" t="n">
        <x:f>'浓度设置'!S30</x:f>
        <x:v>104175.5097553192</x:v>
      </x:c>
      <x:c r="AS248" s="9" t="n">
        <x:f>'浓度设置'!S35</x:f>
        <x:v>405974.90656785714</x:v>
      </x:c>
    </x:row>
    <x:row r="249" ht="24" customHeight="1">
      <x:c r="A249" s="3" t="str">
        <x:f>'350配方'!A249</x:f>
        <x:v>T244</x:v>
      </x:c>
      <x:c r="B249" s="3" t="str">
        <x:f>'350配方'!B249</x:f>
        <x:v>拟合</x:v>
      </x:c>
      <x:c r="C249" s="3" t="n">
        <x:f>IF(B249="拟合",1,0)</x:f>
        <x:v>1</x:v>
      </x:c>
      <x:c r="D249" s="3" t="n">
        <x:f>'350配方'!AC249</x:f>
        <x:v>4</x:v>
      </x:c>
      <x:c r="E249" s="9" t="n">
        <x:f>SUMIFS('350配方'!$M249:$P249,'350配方'!$Y249:$AB249,7)</x:f>
        <x:v>0</x:v>
      </x:c>
      <x:c r="F249" s="9" t="n">
        <x:f>SUMIFS('350配方'!$M249:$P249,'350配方'!$Y249:$AB249,11)</x:f>
        <x:v>0</x:v>
      </x:c>
      <x:c r="G249" s="9" t="n">
        <x:f>SUMIFS('350配方'!$M249:$P249,'350配方'!$Y249:$AB249,18)</x:f>
        <x:v>1183.2582135780847</x:v>
      </x:c>
      <x:c r="H249" s="9" t="n">
        <x:f>SUMIFS('350配方'!$M249:$P249,'350配方'!$Y249:$AB249,32)</x:f>
        <x:v>0</x:v>
      </x:c>
      <x:c r="I249" s="9" t="n">
        <x:f>SUMIFS('350配方'!$M249:$P249,'350配方'!$Y249:$AB249,40)</x:f>
        <x:v>1.875</x:v>
      </x:c>
      <x:c r="J249" s="9" t="n">
        <x:f>SUMIFS('350配方'!$M249:$P249,'350配方'!$Y249:$AB249,52)</x:f>
        <x:v>0</x:v>
      </x:c>
      <x:c r="K249" s="9" t="n">
        <x:f>SUMIFS('350配方'!$M249:$P249,'350配方'!$Y249:$AB249,53)</x:f>
        <x:v>0</x:v>
      </x:c>
      <x:c r="L249" s="9" t="n">
        <x:f>SUMIFS('350配方'!$M249:$P249,'350配方'!$Y249:$AB249,56)</x:f>
        <x:v>0</x:v>
      </x:c>
      <x:c r="M249" s="9" t="n">
        <x:f>SUMIFS('350配方'!$M249:$P249,'350配方'!$Y249:$AB249,58)</x:f>
        <x:v>0</x:v>
      </x:c>
      <x:c r="N249" s="9" t="n">
        <x:f>SUMIFS('350配方'!$M249:$P249,'350配方'!$Y249:$AB249,61)</x:f>
        <x:v>0</x:v>
      </x:c>
      <x:c r="O249" s="9" t="n">
        <x:f>SUMIFS('350配方'!$M249:$P249,'350配方'!$Y249:$AB249,69)</x:f>
        <x:v>0</x:v>
      </x:c>
      <x:c r="P249" s="9" t="n">
        <x:f>SUMIFS('350配方'!$M249:$P249,'350配方'!$Y249:$AB249,75)</x:f>
        <x:v>0</x:v>
      </x:c>
      <x:c r="Q249" s="9" t="n">
        <x:f>SUMIFS('350配方'!$M249:$P249,'350配方'!$Y249:$AB249,79)</x:f>
        <x:v>1288.255</x:v>
      </x:c>
      <x:c r="R249" s="9" t="n">
        <x:f>SUMIFS('350配方'!$M249:$P249,'350配方'!$Y249:$AB249,90)</x:f>
        <x:v>0</x:v>
      </x:c>
      <x:c r="S249" s="9" t="n">
        <x:f>SUMIFS('350配方'!$M249:$P249,'350配方'!$Y249:$AB249,105)</x:f>
        <x:v>0</x:v>
      </x:c>
      <x:c r="T249" s="9" t="n">
        <x:f>SUMIFS('350配方'!$M249:$P249,'350配方'!$Y249:$AB249,111)</x:f>
        <x:v>0</x:v>
      </x:c>
      <x:c r="U249" s="9" t="n">
        <x:f>SUMIFS('350配方'!$M249:$P249,'350配方'!$Y249:$AB249,114)</x:f>
        <x:v>47100</x:v>
      </x:c>
      <x:c r="V249" s="9" t="n">
        <x:f>SUMIFS('350配方'!$M249:$P249,'350配方'!$Y249:$AB249,115)</x:f>
        <x:v>0</x:v>
      </x:c>
      <x:c r="W249" s="9" t="n">
        <x:f>SUMIFS('350配方'!$M249:$P249,'350配方'!$Y249:$AB249,117)</x:f>
        <x:v>0</x:v>
      </x:c>
      <x:c r="X249" s="9" t="n">
        <x:f>SUMIFS('350配方'!$M249:$P249,'350配方'!$Y249:$AB249,126)</x:f>
        <x:v>0</x:v>
      </x:c>
      <x:c r="Y249" s="9" t="n">
        <x:f>SUMIFS('350配方'!$M249:$P249,'350配方'!$Y249:$AB249,136)</x:f>
        <x:v>0</x:v>
      </x:c>
      <x:c r="Z249" s="9" t="n">
        <x:f>SUMIFS('350配方'!$M249:$P249,'350配方'!$Y249:$AB249,141)</x:f>
        <x:v>0</x:v>
      </x:c>
      <x:c r="AA249" s="9" t="n">
        <x:f>SUMIFS('350配方'!$M249:$P249,'350配方'!$Y249:$AB249,152)</x:f>
        <x:v>0</x:v>
      </x:c>
      <x:c r="AB249" s="9" t="n">
        <x:f>SUMIFS('350配方'!$M249:$P249,'350配方'!$Y249:$AB249,165)</x:f>
        <x:v>0</x:v>
      </x:c>
      <x:c r="AC249" s="9" t="n">
        <x:f>SUMIFS('350配方'!$M249:$P249,'350配方'!$Y249:$AB249,186)</x:f>
        <x:v>0</x:v>
      </x:c>
      <x:c r="AD249" s="9" t="n">
        <x:f>SUMIFS('350配方'!$M249:$P249,'350配方'!$Y249:$AB249,207)</x:f>
        <x:v>0</x:v>
      </x:c>
      <x:c r="AE249" s="9" t="n">
        <x:f>SUMIFS('350配方'!$M249:$P249,'350配方'!$Y249:$AB249,209)</x:f>
        <x:v>0</x:v>
      </x:c>
      <x:c r="AF249" s="9" t="n">
        <x:f>SUMIFS('350配方'!$M249:$P249,'350配方'!$Y249:$AB249,227)</x:f>
        <x:v>0</x:v>
      </x:c>
      <x:c r="AG249" s="9" t="n">
        <x:f>SUMIFS('350配方'!$M249:$P249,'350配方'!$Y249:$AB249,232)</x:f>
        <x:v>0</x:v>
      </x:c>
      <x:c r="AH249" s="9" t="n">
        <x:f>SUMIFS('350配方'!$M249:$P249,'350配方'!$Y249:$AB249,255)</x:f>
        <x:v>0</x:v>
      </x:c>
      <x:c r="AI249" s="9" t="n">
        <x:f>'浓度设置'!S6</x:f>
        <x:v>219125.9626344086</x:v>
      </x:c>
      <x:c r="AJ249" s="9" t="n">
        <x:f>'浓度设置'!S8</x:f>
        <x:v>92796.92267241378</x:v>
      </x:c>
      <x:c r="AK249" s="9" t="n">
        <x:f>'浓度设置'!S10</x:f>
        <x:v>30556.797802197798</x:v>
      </x:c>
      <x:c r="AL249" s="9" t="n">
        <x:f>'浓度设置'!S12</x:f>
        <x:v>1735.828970588235</x:v>
      </x:c>
      <x:c r="AM249" s="9" t="n">
        <x:f>'浓度设置'!S15</x:f>
        <x:v>7385.813644067793</x:v>
      </x:c>
      <x:c r="AN249" s="9" t="n">
        <x:f>'浓度设置'!S19</x:f>
        <x:v>27722.03097701148</x:v>
      </x:c>
      <x:c r="AO249" s="9" t="n">
        <x:f>'浓度设置'!S22</x:f>
        <x:v>44345.55047619048</x:v>
      </x:c>
      <x:c r="AP249" s="9" t="n">
        <x:f>'浓度设置'!S26</x:f>
        <x:v>153318.30499999996</x:v>
      </x:c>
      <x:c r="AQ249" s="9" t="n">
        <x:f>'浓度设置'!S29</x:f>
        <x:v>312.7970588235294</x:v>
      </x:c>
      <x:c r="AR249" s="9" t="n">
        <x:f>'浓度设置'!S30</x:f>
        <x:v>104175.5097553192</x:v>
      </x:c>
      <x:c r="AS249" s="9" t="n">
        <x:f>'浓度设置'!S35</x:f>
        <x:v>405974.90656785714</x:v>
      </x:c>
    </x:row>
    <x:row r="250" ht="24" customHeight="1">
      <x:c r="A250" s="3" t="str">
        <x:f>'350配方'!A250</x:f>
        <x:v>T245</x:v>
      </x:c>
      <x:c r="B250" s="3" t="str">
        <x:f>'350配方'!B250</x:f>
        <x:v>拟合</x:v>
      </x:c>
      <x:c r="C250" s="3" t="n">
        <x:f>IF(B250="拟合",1,0)</x:f>
        <x:v>1</x:v>
      </x:c>
      <x:c r="D250" s="3" t="n">
        <x:f>'350配方'!AC250</x:f>
        <x:v>4</x:v>
      </x:c>
      <x:c r="E250" s="9" t="n">
        <x:f>SUMIFS('350配方'!$M250:$P250,'350配方'!$Y250:$AB250,7)</x:f>
        <x:v>0</x:v>
      </x:c>
      <x:c r="F250" s="9" t="n">
        <x:f>SUMIFS('350配方'!$M250:$P250,'350配方'!$Y250:$AB250,11)</x:f>
        <x:v>4198.825192836682</x:v>
      </x:c>
      <x:c r="G250" s="9" t="n">
        <x:f>SUMIFS('350配方'!$M250:$P250,'350配方'!$Y250:$AB250,18)</x:f>
        <x:v>1183.2582135780847</x:v>
      </x:c>
      <x:c r="H250" s="9" t="n">
        <x:f>SUMIFS('350配方'!$M250:$P250,'350配方'!$Y250:$AB250,32)</x:f>
        <x:v>0</x:v>
      </x:c>
      <x:c r="I250" s="9" t="n">
        <x:f>SUMIFS('350配方'!$M250:$P250,'350配方'!$Y250:$AB250,40)</x:f>
        <x:v>0</x:v>
      </x:c>
      <x:c r="J250" s="9" t="n">
        <x:f>SUMIFS('350配方'!$M250:$P250,'350配方'!$Y250:$AB250,52)</x:f>
        <x:v>0</x:v>
      </x:c>
      <x:c r="K250" s="9" t="n">
        <x:f>SUMIFS('350配方'!$M250:$P250,'350配方'!$Y250:$AB250,53)</x:f>
        <x:v>0</x:v>
      </x:c>
      <x:c r="L250" s="9" t="n">
        <x:f>SUMIFS('350配方'!$M250:$P250,'350配方'!$Y250:$AB250,56)</x:f>
        <x:v>0</x:v>
      </x:c>
      <x:c r="M250" s="9" t="n">
        <x:f>SUMIFS('350配方'!$M250:$P250,'350配方'!$Y250:$AB250,58)</x:f>
        <x:v>5.06</x:v>
      </x:c>
      <x:c r="N250" s="9" t="n">
        <x:f>SUMIFS('350配方'!$M250:$P250,'350配方'!$Y250:$AB250,61)</x:f>
        <x:v>0</x:v>
      </x:c>
      <x:c r="O250" s="9" t="n">
        <x:f>SUMIFS('350配方'!$M250:$P250,'350配方'!$Y250:$AB250,69)</x:f>
        <x:v>0</x:v>
      </x:c>
      <x:c r="P250" s="9" t="n">
        <x:f>SUMIFS('350配方'!$M250:$P250,'350配方'!$Y250:$AB250,75)</x:f>
        <x:v>0</x:v>
      </x:c>
      <x:c r="Q250" s="9" t="n">
        <x:f>SUMIFS('350配方'!$M250:$P250,'350配方'!$Y250:$AB250,79)</x:f>
        <x:v>0</x:v>
      </x:c>
      <x:c r="R250" s="9" t="n">
        <x:f>SUMIFS('350配方'!$M250:$P250,'350配方'!$Y250:$AB250,90)</x:f>
        <x:v>0</x:v>
      </x:c>
      <x:c r="S250" s="9" t="n">
        <x:f>SUMIFS('350配方'!$M250:$P250,'350配方'!$Y250:$AB250,105)</x:f>
        <x:v>0</x:v>
      </x:c>
      <x:c r="T250" s="9" t="n">
        <x:f>SUMIFS('350配方'!$M250:$P250,'350配方'!$Y250:$AB250,111)</x:f>
        <x:v>0</x:v>
      </x:c>
      <x:c r="U250" s="9" t="n">
        <x:f>SUMIFS('350配方'!$M250:$P250,'350配方'!$Y250:$AB250,114)</x:f>
        <x:v>0</x:v>
      </x:c>
      <x:c r="V250" s="9" t="n">
        <x:f>SUMIFS('350配方'!$M250:$P250,'350配方'!$Y250:$AB250,115)</x:f>
        <x:v>0</x:v>
      </x:c>
      <x:c r="W250" s="9" t="n">
        <x:f>SUMIFS('350配方'!$M250:$P250,'350配方'!$Y250:$AB250,117)</x:f>
        <x:v>0</x:v>
      </x:c>
      <x:c r="X250" s="9" t="n">
        <x:f>SUMIFS('350配方'!$M250:$P250,'350配方'!$Y250:$AB250,126)</x:f>
        <x:v>1815.6539083757125</x:v>
      </x:c>
      <x:c r="Y250" s="9" t="n">
        <x:f>SUMIFS('350配方'!$M250:$P250,'350配方'!$Y250:$AB250,136)</x:f>
        <x:v>0</x:v>
      </x:c>
      <x:c r="Z250" s="9" t="n">
        <x:f>SUMIFS('350配方'!$M250:$P250,'350配方'!$Y250:$AB250,141)</x:f>
        <x:v>0</x:v>
      </x:c>
      <x:c r="AA250" s="9" t="n">
        <x:f>SUMIFS('350配方'!$M250:$P250,'350配方'!$Y250:$AB250,152)</x:f>
        <x:v>0</x:v>
      </x:c>
      <x:c r="AB250" s="9" t="n">
        <x:f>SUMIFS('350配方'!$M250:$P250,'350配方'!$Y250:$AB250,165)</x:f>
        <x:v>0</x:v>
      </x:c>
      <x:c r="AC250" s="9" t="n">
        <x:f>SUMIFS('350配方'!$M250:$P250,'350配方'!$Y250:$AB250,186)</x:f>
        <x:v>0</x:v>
      </x:c>
      <x:c r="AD250" s="9" t="n">
        <x:f>SUMIFS('350配方'!$M250:$P250,'350配方'!$Y250:$AB250,207)</x:f>
        <x:v>0</x:v>
      </x:c>
      <x:c r="AE250" s="9" t="n">
        <x:f>SUMIFS('350配方'!$M250:$P250,'350配方'!$Y250:$AB250,209)</x:f>
        <x:v>0</x:v>
      </x:c>
      <x:c r="AF250" s="9" t="n">
        <x:f>SUMIFS('350配方'!$M250:$P250,'350配方'!$Y250:$AB250,227)</x:f>
        <x:v>0</x:v>
      </x:c>
      <x:c r="AG250" s="9" t="n">
        <x:f>SUMIFS('350配方'!$M250:$P250,'350配方'!$Y250:$AB250,232)</x:f>
        <x:v>0</x:v>
      </x:c>
      <x:c r="AH250" s="9" t="n">
        <x:f>SUMIFS('350配方'!$M250:$P250,'350配方'!$Y250:$AB250,255)</x:f>
        <x:v>0</x:v>
      </x:c>
      <x:c r="AI250" s="9" t="n">
        <x:f>'浓度设置'!S6</x:f>
        <x:v>219125.9626344086</x:v>
      </x:c>
      <x:c r="AJ250" s="9" t="n">
        <x:f>'浓度设置'!S8</x:f>
        <x:v>92796.92267241378</x:v>
      </x:c>
      <x:c r="AK250" s="9" t="n">
        <x:f>'浓度设置'!S10</x:f>
        <x:v>30556.797802197798</x:v>
      </x:c>
      <x:c r="AL250" s="9" t="n">
        <x:f>'浓度设置'!S12</x:f>
        <x:v>1735.828970588235</x:v>
      </x:c>
      <x:c r="AM250" s="9" t="n">
        <x:f>'浓度设置'!S15</x:f>
        <x:v>7385.813644067793</x:v>
      </x:c>
      <x:c r="AN250" s="9" t="n">
        <x:f>'浓度设置'!S19</x:f>
        <x:v>27722.03097701148</x:v>
      </x:c>
      <x:c r="AO250" s="9" t="n">
        <x:f>'浓度设置'!S22</x:f>
        <x:v>44345.55047619048</x:v>
      </x:c>
      <x:c r="AP250" s="9" t="n">
        <x:f>'浓度设置'!S26</x:f>
        <x:v>153318.30499999996</x:v>
      </x:c>
      <x:c r="AQ250" s="9" t="n">
        <x:f>'浓度设置'!S29</x:f>
        <x:v>312.7970588235294</x:v>
      </x:c>
      <x:c r="AR250" s="9" t="n">
        <x:f>'浓度设置'!S30</x:f>
        <x:v>104175.5097553192</x:v>
      </x:c>
      <x:c r="AS250" s="9" t="n">
        <x:f>'浓度设置'!S35</x:f>
        <x:v>405974.90656785714</x:v>
      </x:c>
    </x:row>
    <x:row r="251" ht="24" customHeight="1">
      <x:c r="A251" s="3" t="str">
        <x:f>'350配方'!A251</x:f>
        <x:v>T246</x:v>
      </x:c>
      <x:c r="B251" s="3" t="str">
        <x:f>'350配方'!B251</x:f>
        <x:v>拟合</x:v>
      </x:c>
      <x:c r="C251" s="3" t="n">
        <x:f>IF(B251="拟合",1,0)</x:f>
        <x:v>1</x:v>
      </x:c>
      <x:c r="D251" s="3" t="n">
        <x:f>'350配方'!AC251</x:f>
        <x:v>4</x:v>
      </x:c>
      <x:c r="E251" s="9" t="n">
        <x:f>SUMIFS('350配方'!$M251:$P251,'350配方'!$Y251:$AB251,7)</x:f>
        <x:v>0</x:v>
      </x:c>
      <x:c r="F251" s="9" t="n">
        <x:f>SUMIFS('350配方'!$M251:$P251,'350配方'!$Y251:$AB251,11)</x:f>
        <x:v>0</x:v>
      </x:c>
      <x:c r="G251" s="9" t="n">
        <x:f>SUMIFS('350配方'!$M251:$P251,'350配方'!$Y251:$AB251,18)</x:f>
        <x:v>0</x:v>
      </x:c>
      <x:c r="H251" s="9" t="n">
        <x:f>SUMIFS('350配方'!$M251:$P251,'350配方'!$Y251:$AB251,32)</x:f>
        <x:v>0</x:v>
      </x:c>
      <x:c r="I251" s="9" t="n">
        <x:f>SUMIFS('350配方'!$M251:$P251,'350配方'!$Y251:$AB251,40)</x:f>
        <x:v>0</x:v>
      </x:c>
      <x:c r="J251" s="9" t="n">
        <x:f>SUMIFS('350配方'!$M251:$P251,'350配方'!$Y251:$AB251,52)</x:f>
        <x:v>4.24</x:v>
      </x:c>
      <x:c r="K251" s="9" t="n">
        <x:f>SUMIFS('350配方'!$M251:$P251,'350配方'!$Y251:$AB251,53)</x:f>
        <x:v>0</x:v>
      </x:c>
      <x:c r="L251" s="9" t="n">
        <x:f>SUMIFS('350配方'!$M251:$P251,'350配方'!$Y251:$AB251,56)</x:f>
        <x:v>0</x:v>
      </x:c>
      <x:c r="M251" s="9" t="n">
        <x:f>SUMIFS('350配方'!$M251:$P251,'350配方'!$Y251:$AB251,58)</x:f>
        <x:v>0</x:v>
      </x:c>
      <x:c r="N251" s="9" t="n">
        <x:f>SUMIFS('350配方'!$M251:$P251,'350配方'!$Y251:$AB251,61)</x:f>
        <x:v>6914</x:v>
      </x:c>
      <x:c r="O251" s="9" t="n">
        <x:f>SUMIFS('350配方'!$M251:$P251,'350配方'!$Y251:$AB251,69)</x:f>
        <x:v>99.89207175747232</x:v>
      </x:c>
      <x:c r="P251" s="9" t="n">
        <x:f>SUMIFS('350配方'!$M251:$P251,'350配方'!$Y251:$AB251,75)</x:f>
        <x:v>0</x:v>
      </x:c>
      <x:c r="Q251" s="9" t="n">
        <x:f>SUMIFS('350配方'!$M251:$P251,'350配方'!$Y251:$AB251,79)</x:f>
        <x:v>0</x:v>
      </x:c>
      <x:c r="R251" s="9" t="n">
        <x:f>SUMIFS('350配方'!$M251:$P251,'350配方'!$Y251:$AB251,90)</x:f>
        <x:v>0</x:v>
      </x:c>
      <x:c r="S251" s="9" t="n">
        <x:f>SUMIFS('350配方'!$M251:$P251,'350配方'!$Y251:$AB251,105)</x:f>
        <x:v>0</x:v>
      </x:c>
      <x:c r="T251" s="9" t="n">
        <x:f>SUMIFS('350配方'!$M251:$P251,'350配方'!$Y251:$AB251,111)</x:f>
        <x:v>0</x:v>
      </x:c>
      <x:c r="U251" s="9" t="n">
        <x:f>SUMIFS('350配方'!$M251:$P251,'350配方'!$Y251:$AB251,114)</x:f>
        <x:v>0</x:v>
      </x:c>
      <x:c r="V251" s="9" t="n">
        <x:f>SUMIFS('350配方'!$M251:$P251,'350配方'!$Y251:$AB251,115)</x:f>
        <x:v>0</x:v>
      </x:c>
      <x:c r="W251" s="9" t="n">
        <x:f>SUMIFS('350配方'!$M251:$P251,'350配方'!$Y251:$AB251,117)</x:f>
        <x:v>0</x:v>
      </x:c>
      <x:c r="X251" s="9" t="n">
        <x:f>SUMIFS('350配方'!$M251:$P251,'350配方'!$Y251:$AB251,126)</x:f>
        <x:v>0</x:v>
      </x:c>
      <x:c r="Y251" s="9" t="n">
        <x:f>SUMIFS('350配方'!$M251:$P251,'350配方'!$Y251:$AB251,136)</x:f>
        <x:v>0</x:v>
      </x:c>
      <x:c r="Z251" s="9" t="n">
        <x:f>SUMIFS('350配方'!$M251:$P251,'350配方'!$Y251:$AB251,141)</x:f>
        <x:v>0</x:v>
      </x:c>
      <x:c r="AA251" s="9" t="n">
        <x:f>SUMIFS('350配方'!$M251:$P251,'350配方'!$Y251:$AB251,152)</x:f>
        <x:v>0</x:v>
      </x:c>
      <x:c r="AB251" s="9" t="n">
        <x:f>SUMIFS('350配方'!$M251:$P251,'350配方'!$Y251:$AB251,165)</x:f>
        <x:v>0</x:v>
      </x:c>
      <x:c r="AC251" s="9" t="n">
        <x:f>SUMIFS('350配方'!$M251:$P251,'350配方'!$Y251:$AB251,186)</x:f>
        <x:v>0</x:v>
      </x:c>
      <x:c r="AD251" s="9" t="n">
        <x:f>SUMIFS('350配方'!$M251:$P251,'350配方'!$Y251:$AB251,207)</x:f>
        <x:v>0</x:v>
      </x:c>
      <x:c r="AE251" s="9" t="n">
        <x:f>SUMIFS('350配方'!$M251:$P251,'350配方'!$Y251:$AB251,209)</x:f>
        <x:v>0</x:v>
      </x:c>
      <x:c r="AF251" s="9" t="n">
        <x:f>SUMIFS('350配方'!$M251:$P251,'350配方'!$Y251:$AB251,227)</x:f>
        <x:v>0</x:v>
      </x:c>
      <x:c r="AG251" s="9" t="n">
        <x:f>SUMIFS('350配方'!$M251:$P251,'350配方'!$Y251:$AB251,232)</x:f>
        <x:v>39.53062104242735</x:v>
      </x:c>
      <x:c r="AH251" s="9" t="n">
        <x:f>SUMIFS('350配方'!$M251:$P251,'350配方'!$Y251:$AB251,255)</x:f>
        <x:v>0</x:v>
      </x:c>
      <x:c r="AI251" s="9" t="n">
        <x:f>'浓度设置'!S6</x:f>
        <x:v>219125.9626344086</x:v>
      </x:c>
      <x:c r="AJ251" s="9" t="n">
        <x:f>'浓度设置'!S8</x:f>
        <x:v>92796.92267241378</x:v>
      </x:c>
      <x:c r="AK251" s="9" t="n">
        <x:f>'浓度设置'!S10</x:f>
        <x:v>30556.797802197798</x:v>
      </x:c>
      <x:c r="AL251" s="9" t="n">
        <x:f>'浓度设置'!S12</x:f>
        <x:v>1735.828970588235</x:v>
      </x:c>
      <x:c r="AM251" s="9" t="n">
        <x:f>'浓度设置'!S15</x:f>
        <x:v>7385.813644067793</x:v>
      </x:c>
      <x:c r="AN251" s="9" t="n">
        <x:f>'浓度设置'!S19</x:f>
        <x:v>27722.03097701148</x:v>
      </x:c>
      <x:c r="AO251" s="9" t="n">
        <x:f>'浓度设置'!S22</x:f>
        <x:v>44345.55047619048</x:v>
      </x:c>
      <x:c r="AP251" s="9" t="n">
        <x:f>'浓度设置'!S26</x:f>
        <x:v>153318.30499999996</x:v>
      </x:c>
      <x:c r="AQ251" s="9" t="n">
        <x:f>'浓度设置'!S29</x:f>
        <x:v>312.7970588235294</x:v>
      </x:c>
      <x:c r="AR251" s="9" t="n">
        <x:f>'浓度设置'!S30</x:f>
        <x:v>104175.5097553192</x:v>
      </x:c>
      <x:c r="AS251" s="9" t="n">
        <x:f>'浓度设置'!S35</x:f>
        <x:v>405974.90656785714</x:v>
      </x:c>
    </x:row>
    <x:row r="252" ht="24" customHeight="1">
      <x:c r="A252" s="3" t="str">
        <x:f>'350配方'!A252</x:f>
        <x:v>T247</x:v>
      </x:c>
      <x:c r="B252" s="3" t="str">
        <x:f>'350配方'!B252</x:f>
        <x:v>拟合</x:v>
      </x:c>
      <x:c r="C252" s="3" t="n">
        <x:f>IF(B252="拟合",1,0)</x:f>
        <x:v>1</x:v>
      </x:c>
      <x:c r="D252" s="3" t="n">
        <x:f>'350配方'!AC252</x:f>
        <x:v>4</x:v>
      </x:c>
      <x:c r="E252" s="9" t="n">
        <x:f>SUMIFS('350配方'!$M252:$P252,'350配方'!$Y252:$AB252,7)</x:f>
        <x:v>0</x:v>
      </x:c>
      <x:c r="F252" s="9" t="n">
        <x:f>SUMIFS('350配方'!$M252:$P252,'350配方'!$Y252:$AB252,11)</x:f>
        <x:v>0</x:v>
      </x:c>
      <x:c r="G252" s="9" t="n">
        <x:f>SUMIFS('350配方'!$M252:$P252,'350配方'!$Y252:$AB252,18)</x:f>
        <x:v>0</x:v>
      </x:c>
      <x:c r="H252" s="9" t="n">
        <x:f>SUMIFS('350配方'!$M252:$P252,'350配方'!$Y252:$AB252,32)</x:f>
        <x:v>37489</x:v>
      </x:c>
      <x:c r="I252" s="9" t="n">
        <x:f>SUMIFS('350配方'!$M252:$P252,'350配方'!$Y252:$AB252,40)</x:f>
        <x:v>0</x:v>
      </x:c>
      <x:c r="J252" s="9" t="n">
        <x:f>SUMIFS('350配方'!$M252:$P252,'350配方'!$Y252:$AB252,52)</x:f>
        <x:v>0</x:v>
      </x:c>
      <x:c r="K252" s="9" t="n">
        <x:f>SUMIFS('350配方'!$M252:$P252,'350配方'!$Y252:$AB252,53)</x:f>
        <x:v>0</x:v>
      </x:c>
      <x:c r="L252" s="9" t="n">
        <x:f>SUMIFS('350配方'!$M252:$P252,'350配方'!$Y252:$AB252,56)</x:f>
        <x:v>0</x:v>
      </x:c>
      <x:c r="M252" s="9" t="n">
        <x:f>SUMIFS('350配方'!$M252:$P252,'350配方'!$Y252:$AB252,58)</x:f>
        <x:v>0</x:v>
      </x:c>
      <x:c r="N252" s="9" t="n">
        <x:f>SUMIFS('350配方'!$M252:$P252,'350配方'!$Y252:$AB252,61)</x:f>
        <x:v>0</x:v>
      </x:c>
      <x:c r="O252" s="9" t="n">
        <x:f>SUMIFS('350配方'!$M252:$P252,'350配方'!$Y252:$AB252,69)</x:f>
        <x:v>0</x:v>
      </x:c>
      <x:c r="P252" s="9" t="n">
        <x:f>SUMIFS('350配方'!$M252:$P252,'350配方'!$Y252:$AB252,75)</x:f>
        <x:v>0</x:v>
      </x:c>
      <x:c r="Q252" s="9" t="n">
        <x:f>SUMIFS('350配方'!$M252:$P252,'350配方'!$Y252:$AB252,79)</x:f>
        <x:v>0</x:v>
      </x:c>
      <x:c r="R252" s="9" t="n">
        <x:f>SUMIFS('350配方'!$M252:$P252,'350配方'!$Y252:$AB252,90)</x:f>
        <x:v>0</x:v>
      </x:c>
      <x:c r="S252" s="9" t="n">
        <x:f>SUMIFS('350配方'!$M252:$P252,'350配方'!$Y252:$AB252,105)</x:f>
        <x:v>0</x:v>
      </x:c>
      <x:c r="T252" s="9" t="n">
        <x:f>SUMIFS('350配方'!$M252:$P252,'350配方'!$Y252:$AB252,111)</x:f>
        <x:v>0</x:v>
      </x:c>
      <x:c r="U252" s="9" t="n">
        <x:f>SUMIFS('350配方'!$M252:$P252,'350配方'!$Y252:$AB252,114)</x:f>
        <x:v>0</x:v>
      </x:c>
      <x:c r="V252" s="9" t="n">
        <x:f>SUMIFS('350配方'!$M252:$P252,'350配方'!$Y252:$AB252,115)</x:f>
        <x:v>1.44</x:v>
      </x:c>
      <x:c r="W252" s="9" t="n">
        <x:f>SUMIFS('350配方'!$M252:$P252,'350配方'!$Y252:$AB252,117)</x:f>
        <x:v>0</x:v>
      </x:c>
      <x:c r="X252" s="9" t="n">
        <x:f>SUMIFS('350配方'!$M252:$P252,'350配方'!$Y252:$AB252,126)</x:f>
        <x:v>0</x:v>
      </x:c>
      <x:c r="Y252" s="9" t="n">
        <x:f>SUMIFS('350配方'!$M252:$P252,'350配方'!$Y252:$AB252,136)</x:f>
        <x:v>0</x:v>
      </x:c>
      <x:c r="Z252" s="9" t="n">
        <x:f>SUMIFS('350配方'!$M252:$P252,'350配方'!$Y252:$AB252,141)</x:f>
        <x:v>1512.497272724814</x:v>
      </x:c>
      <x:c r="AA252" s="9" t="n">
        <x:f>SUMIFS('350配方'!$M252:$P252,'350配方'!$Y252:$AB252,152)</x:f>
        <x:v>0</x:v>
      </x:c>
      <x:c r="AB252" s="9" t="n">
        <x:f>SUMIFS('350配方'!$M252:$P252,'350配方'!$Y252:$AB252,165)</x:f>
        <x:v>0</x:v>
      </x:c>
      <x:c r="AC252" s="9" t="n">
        <x:f>SUMIFS('350配方'!$M252:$P252,'350配方'!$Y252:$AB252,186)</x:f>
        <x:v>0</x:v>
      </x:c>
      <x:c r="AD252" s="9" t="n">
        <x:f>SUMIFS('350配方'!$M252:$P252,'350配方'!$Y252:$AB252,207)</x:f>
        <x:v>0</x:v>
      </x:c>
      <x:c r="AE252" s="9" t="n">
        <x:f>SUMIFS('350配方'!$M252:$P252,'350配方'!$Y252:$AB252,209)</x:f>
        <x:v>0</x:v>
      </x:c>
      <x:c r="AF252" s="9" t="n">
        <x:f>SUMIFS('350配方'!$M252:$P252,'350配方'!$Y252:$AB252,227)</x:f>
        <x:v>0</x:v>
      </x:c>
      <x:c r="AG252" s="9" t="n">
        <x:f>SUMIFS('350配方'!$M252:$P252,'350配方'!$Y252:$AB252,232)</x:f>
        <x:v>0</x:v>
      </x:c>
      <x:c r="AH252" s="9" t="n">
        <x:f>SUMIFS('350配方'!$M252:$P252,'350配方'!$Y252:$AB252,255)</x:f>
        <x:v>1.5</x:v>
      </x:c>
      <x:c r="AI252" s="9" t="n">
        <x:f>'浓度设置'!S6</x:f>
        <x:v>219125.9626344086</x:v>
      </x:c>
      <x:c r="AJ252" s="9" t="n">
        <x:f>'浓度设置'!S8</x:f>
        <x:v>92796.92267241378</x:v>
      </x:c>
      <x:c r="AK252" s="9" t="n">
        <x:f>'浓度设置'!S10</x:f>
        <x:v>30556.797802197798</x:v>
      </x:c>
      <x:c r="AL252" s="9" t="n">
        <x:f>'浓度设置'!S12</x:f>
        <x:v>1735.828970588235</x:v>
      </x:c>
      <x:c r="AM252" s="9" t="n">
        <x:f>'浓度设置'!S15</x:f>
        <x:v>7385.813644067793</x:v>
      </x:c>
      <x:c r="AN252" s="9" t="n">
        <x:f>'浓度设置'!S19</x:f>
        <x:v>27722.03097701148</x:v>
      </x:c>
      <x:c r="AO252" s="9" t="n">
        <x:f>'浓度设置'!S22</x:f>
        <x:v>44345.55047619048</x:v>
      </x:c>
      <x:c r="AP252" s="9" t="n">
        <x:f>'浓度设置'!S26</x:f>
        <x:v>153318.30499999996</x:v>
      </x:c>
      <x:c r="AQ252" s="9" t="n">
        <x:f>'浓度设置'!S29</x:f>
        <x:v>312.7970588235294</x:v>
      </x:c>
      <x:c r="AR252" s="9" t="n">
        <x:f>'浓度设置'!S30</x:f>
        <x:v>104175.5097553192</x:v>
      </x:c>
      <x:c r="AS252" s="9" t="n">
        <x:f>'浓度设置'!S35</x:f>
        <x:v>405974.90656785714</x:v>
      </x:c>
    </x:row>
    <x:row r="253" ht="24" customHeight="1">
      <x:c r="A253" s="3" t="str">
        <x:f>'350配方'!A253</x:f>
        <x:v>T248</x:v>
      </x:c>
      <x:c r="B253" s="3" t="str">
        <x:f>'350配方'!B253</x:f>
        <x:v>拟合</x:v>
      </x:c>
      <x:c r="C253" s="3" t="n">
        <x:f>IF(B253="拟合",1,0)</x:f>
        <x:v>1</x:v>
      </x:c>
      <x:c r="D253" s="3" t="n">
        <x:f>'350配方'!AC253</x:f>
        <x:v>4</x:v>
      </x:c>
      <x:c r="E253" s="9" t="n">
        <x:f>SUMIFS('350配方'!$M253:$P253,'350配方'!$Y253:$AB253,7)</x:f>
        <x:v>0</x:v>
      </x:c>
      <x:c r="F253" s="9" t="n">
        <x:f>SUMIFS('350配方'!$M253:$P253,'350配方'!$Y253:$AB253,11)</x:f>
        <x:v>0</x:v>
      </x:c>
      <x:c r="G253" s="9" t="n">
        <x:f>SUMIFS('350配方'!$M253:$P253,'350配方'!$Y253:$AB253,18)</x:f>
        <x:v>0</x:v>
      </x:c>
      <x:c r="H253" s="9" t="n">
        <x:f>SUMIFS('350配方'!$M253:$P253,'350配方'!$Y253:$AB253,32)</x:f>
        <x:v>0</x:v>
      </x:c>
      <x:c r="I253" s="9" t="n">
        <x:f>SUMIFS('350配方'!$M253:$P253,'350配方'!$Y253:$AB253,40)</x:f>
        <x:v>1.875</x:v>
      </x:c>
      <x:c r="J253" s="9" t="n">
        <x:f>SUMIFS('350配方'!$M253:$P253,'350配方'!$Y253:$AB253,52)</x:f>
        <x:v>0</x:v>
      </x:c>
      <x:c r="K253" s="9" t="n">
        <x:f>SUMIFS('350配方'!$M253:$P253,'350配方'!$Y253:$AB253,53)</x:f>
        <x:v>0</x:v>
      </x:c>
      <x:c r="L253" s="9" t="n">
        <x:f>SUMIFS('350配方'!$M253:$P253,'350配方'!$Y253:$AB253,56)</x:f>
        <x:v>0</x:v>
      </x:c>
      <x:c r="M253" s="9" t="n">
        <x:f>SUMIFS('350配方'!$M253:$P253,'350配方'!$Y253:$AB253,58)</x:f>
        <x:v>0</x:v>
      </x:c>
      <x:c r="N253" s="9" t="n">
        <x:f>SUMIFS('350配方'!$M253:$P253,'350配方'!$Y253:$AB253,61)</x:f>
        <x:v>0</x:v>
      </x:c>
      <x:c r="O253" s="9" t="n">
        <x:f>SUMIFS('350配方'!$M253:$P253,'350配方'!$Y253:$AB253,69)</x:f>
        <x:v>0</x:v>
      </x:c>
      <x:c r="P253" s="9" t="n">
        <x:f>SUMIFS('350配方'!$M253:$P253,'350配方'!$Y253:$AB253,75)</x:f>
        <x:v>1.75</x:v>
      </x:c>
      <x:c r="Q253" s="9" t="n">
        <x:f>SUMIFS('350配方'!$M253:$P253,'350配方'!$Y253:$AB253,79)</x:f>
        <x:v>0</x:v>
      </x:c>
      <x:c r="R253" s="9" t="n">
        <x:f>SUMIFS('350配方'!$M253:$P253,'350配方'!$Y253:$AB253,90)</x:f>
        <x:v>0</x:v>
      </x:c>
      <x:c r="S253" s="9" t="n">
        <x:f>SUMIFS('350配方'!$M253:$P253,'350配方'!$Y253:$AB253,105)</x:f>
        <x:v>0</x:v>
      </x:c>
      <x:c r="T253" s="9" t="n">
        <x:f>SUMIFS('350配方'!$M253:$P253,'350配方'!$Y253:$AB253,111)</x:f>
        <x:v>0</x:v>
      </x:c>
      <x:c r="U253" s="9" t="n">
        <x:f>SUMIFS('350配方'!$M253:$P253,'350配方'!$Y253:$AB253,114)</x:f>
        <x:v>0</x:v>
      </x:c>
      <x:c r="V253" s="9" t="n">
        <x:f>SUMIFS('350配方'!$M253:$P253,'350配方'!$Y253:$AB253,115)</x:f>
        <x:v>0</x:v>
      </x:c>
      <x:c r="W253" s="9" t="n">
        <x:f>SUMIFS('350配方'!$M253:$P253,'350配方'!$Y253:$AB253,117)</x:f>
        <x:v>40201.1</x:v>
      </x:c>
      <x:c r="X253" s="9" t="n">
        <x:f>SUMIFS('350配方'!$M253:$P253,'350配方'!$Y253:$AB253,126)</x:f>
        <x:v>1551340.76</x:v>
      </x:c>
      <x:c r="Y253" s="9" t="n">
        <x:f>SUMIFS('350配方'!$M253:$P253,'350配方'!$Y253:$AB253,136)</x:f>
        <x:v>0</x:v>
      </x:c>
      <x:c r="Z253" s="9" t="n">
        <x:f>SUMIFS('350配方'!$M253:$P253,'350配方'!$Y253:$AB253,141)</x:f>
        <x:v>0</x:v>
      </x:c>
      <x:c r="AA253" s="9" t="n">
        <x:f>SUMIFS('350配方'!$M253:$P253,'350配方'!$Y253:$AB253,152)</x:f>
        <x:v>0</x:v>
      </x:c>
      <x:c r="AB253" s="9" t="n">
        <x:f>SUMIFS('350配方'!$M253:$P253,'350配方'!$Y253:$AB253,165)</x:f>
        <x:v>0</x:v>
      </x:c>
      <x:c r="AC253" s="9" t="n">
        <x:f>SUMIFS('350配方'!$M253:$P253,'350配方'!$Y253:$AB253,186)</x:f>
        <x:v>0</x:v>
      </x:c>
      <x:c r="AD253" s="9" t="n">
        <x:f>SUMIFS('350配方'!$M253:$P253,'350配方'!$Y253:$AB253,207)</x:f>
        <x:v>0</x:v>
      </x:c>
      <x:c r="AE253" s="9" t="n">
        <x:f>SUMIFS('350配方'!$M253:$P253,'350配方'!$Y253:$AB253,209)</x:f>
        <x:v>0</x:v>
      </x:c>
      <x:c r="AF253" s="9" t="n">
        <x:f>SUMIFS('350配方'!$M253:$P253,'350配方'!$Y253:$AB253,227)</x:f>
        <x:v>0</x:v>
      </x:c>
      <x:c r="AG253" s="9" t="n">
        <x:f>SUMIFS('350配方'!$M253:$P253,'350配方'!$Y253:$AB253,232)</x:f>
        <x:v>0</x:v>
      </x:c>
      <x:c r="AH253" s="9" t="n">
        <x:f>SUMIFS('350配方'!$M253:$P253,'350配方'!$Y253:$AB253,255)</x:f>
        <x:v>0</x:v>
      </x:c>
      <x:c r="AI253" s="9" t="n">
        <x:f>'浓度设置'!S6</x:f>
        <x:v>219125.9626344086</x:v>
      </x:c>
      <x:c r="AJ253" s="9" t="n">
        <x:f>'浓度设置'!S8</x:f>
        <x:v>92796.92267241378</x:v>
      </x:c>
      <x:c r="AK253" s="9" t="n">
        <x:f>'浓度设置'!S10</x:f>
        <x:v>30556.797802197798</x:v>
      </x:c>
      <x:c r="AL253" s="9" t="n">
        <x:f>'浓度设置'!S12</x:f>
        <x:v>1735.828970588235</x:v>
      </x:c>
      <x:c r="AM253" s="9" t="n">
        <x:f>'浓度设置'!S15</x:f>
        <x:v>7385.813644067793</x:v>
      </x:c>
      <x:c r="AN253" s="9" t="n">
        <x:f>'浓度设置'!S19</x:f>
        <x:v>27722.03097701148</x:v>
      </x:c>
      <x:c r="AO253" s="9" t="n">
        <x:f>'浓度设置'!S22</x:f>
        <x:v>44345.55047619048</x:v>
      </x:c>
      <x:c r="AP253" s="9" t="n">
        <x:f>'浓度设置'!S26</x:f>
        <x:v>153318.30499999996</x:v>
      </x:c>
      <x:c r="AQ253" s="9" t="n">
        <x:f>'浓度设置'!S29</x:f>
        <x:v>312.7970588235294</x:v>
      </x:c>
      <x:c r="AR253" s="9" t="n">
        <x:f>'浓度设置'!S30</x:f>
        <x:v>104175.5097553192</x:v>
      </x:c>
      <x:c r="AS253" s="9" t="n">
        <x:f>'浓度设置'!S35</x:f>
        <x:v>405974.90656785714</x:v>
      </x:c>
    </x:row>
    <x:row r="254" ht="24" customHeight="1">
      <x:c r="A254" s="3" t="str">
        <x:f>'350配方'!A254</x:f>
        <x:v>T249</x:v>
      </x:c>
      <x:c r="B254" s="3" t="str">
        <x:f>'350配方'!B254</x:f>
        <x:v>拟合</x:v>
      </x:c>
      <x:c r="C254" s="3" t="n">
        <x:f>IF(B254="拟合",1,0)</x:f>
        <x:v>1</x:v>
      </x:c>
      <x:c r="D254" s="3" t="n">
        <x:f>'350配方'!AC254</x:f>
        <x:v>4</x:v>
      </x:c>
      <x:c r="E254" s="9" t="n">
        <x:f>SUMIFS('350配方'!$M254:$P254,'350配方'!$Y254:$AB254,7)</x:f>
        <x:v>0</x:v>
      </x:c>
      <x:c r="F254" s="9" t="n">
        <x:f>SUMIFS('350配方'!$M254:$P254,'350配方'!$Y254:$AB254,11)</x:f>
        <x:v>0</x:v>
      </x:c>
      <x:c r="G254" s="9" t="n">
        <x:f>SUMIFS('350配方'!$M254:$P254,'350配方'!$Y254:$AB254,18)</x:f>
        <x:v>0</x:v>
      </x:c>
      <x:c r="H254" s="9" t="n">
        <x:f>SUMIFS('350配方'!$M254:$P254,'350配方'!$Y254:$AB254,32)</x:f>
        <x:v>0</x:v>
      </x:c>
      <x:c r="I254" s="9" t="n">
        <x:f>SUMIFS('350配方'!$M254:$P254,'350配方'!$Y254:$AB254,40)</x:f>
        <x:v>0</x:v>
      </x:c>
      <x:c r="J254" s="9" t="n">
        <x:f>SUMIFS('350配方'!$M254:$P254,'350配方'!$Y254:$AB254,52)</x:f>
        <x:v>0</x:v>
      </x:c>
      <x:c r="K254" s="9" t="n">
        <x:f>SUMIFS('350配方'!$M254:$P254,'350配方'!$Y254:$AB254,53)</x:f>
        <x:v>0</x:v>
      </x:c>
      <x:c r="L254" s="9" t="n">
        <x:f>SUMIFS('350配方'!$M254:$P254,'350配方'!$Y254:$AB254,56)</x:f>
        <x:v>0</x:v>
      </x:c>
      <x:c r="M254" s="9" t="n">
        <x:f>SUMIFS('350配方'!$M254:$P254,'350配方'!$Y254:$AB254,58)</x:f>
        <x:v>0</x:v>
      </x:c>
      <x:c r="N254" s="9" t="n">
        <x:f>SUMIFS('350配方'!$M254:$P254,'350配方'!$Y254:$AB254,61)</x:f>
        <x:v>0</x:v>
      </x:c>
      <x:c r="O254" s="9" t="n">
        <x:f>SUMIFS('350配方'!$M254:$P254,'350配方'!$Y254:$AB254,69)</x:f>
        <x:v>0</x:v>
      </x:c>
      <x:c r="P254" s="9" t="n">
        <x:f>SUMIFS('350配方'!$M254:$P254,'350配方'!$Y254:$AB254,75)</x:f>
        <x:v>0</x:v>
      </x:c>
      <x:c r="Q254" s="9" t="n">
        <x:f>SUMIFS('350配方'!$M254:$P254,'350配方'!$Y254:$AB254,79)</x:f>
        <x:v>56115</x:v>
      </x:c>
      <x:c r="R254" s="9" t="n">
        <x:f>SUMIFS('350配方'!$M254:$P254,'350配方'!$Y254:$AB254,90)</x:f>
        <x:v>1232.25</x:v>
      </x:c>
      <x:c r="S254" s="9" t="n">
        <x:f>SUMIFS('350配方'!$M254:$P254,'350配方'!$Y254:$AB254,105)</x:f>
        <x:v>0</x:v>
      </x:c>
      <x:c r="T254" s="9" t="n">
        <x:f>SUMIFS('350配方'!$M254:$P254,'350配方'!$Y254:$AB254,111)</x:f>
        <x:v>0</x:v>
      </x:c>
      <x:c r="U254" s="9" t="n">
        <x:f>SUMIFS('350配方'!$M254:$P254,'350配方'!$Y254:$AB254,114)</x:f>
        <x:v>0</x:v>
      </x:c>
      <x:c r="V254" s="9" t="n">
        <x:f>SUMIFS('350配方'!$M254:$P254,'350配方'!$Y254:$AB254,115)</x:f>
        <x:v>0</x:v>
      </x:c>
      <x:c r="W254" s="9" t="n">
        <x:f>SUMIFS('350配方'!$M254:$P254,'350配方'!$Y254:$AB254,117)</x:f>
        <x:v>0</x:v>
      </x:c>
      <x:c r="X254" s="9" t="n">
        <x:f>SUMIFS('350配方'!$M254:$P254,'350配方'!$Y254:$AB254,126)</x:f>
        <x:v>0</x:v>
      </x:c>
      <x:c r="Y254" s="9" t="n">
        <x:f>SUMIFS('350配方'!$M254:$P254,'350配方'!$Y254:$AB254,136)</x:f>
        <x:v>0</x:v>
      </x:c>
      <x:c r="Z254" s="9" t="n">
        <x:f>SUMIFS('350配方'!$M254:$P254,'350配方'!$Y254:$AB254,141)</x:f>
        <x:v>0</x:v>
      </x:c>
      <x:c r="AA254" s="9" t="n">
        <x:f>SUMIFS('350配方'!$M254:$P254,'350配方'!$Y254:$AB254,152)</x:f>
        <x:v>0</x:v>
      </x:c>
      <x:c r="AB254" s="9" t="n">
        <x:f>SUMIFS('350配方'!$M254:$P254,'350配方'!$Y254:$AB254,165)</x:f>
        <x:v>0</x:v>
      </x:c>
      <x:c r="AC254" s="9" t="n">
        <x:f>SUMIFS('350配方'!$M254:$P254,'350配方'!$Y254:$AB254,186)</x:f>
        <x:v>0</x:v>
      </x:c>
      <x:c r="AD254" s="9" t="n">
        <x:f>SUMIFS('350配方'!$M254:$P254,'350配方'!$Y254:$AB254,207)</x:f>
        <x:v>1</x:v>
      </x:c>
      <x:c r="AE254" s="9" t="n">
        <x:f>SUMIFS('350配方'!$M254:$P254,'350配方'!$Y254:$AB254,209)</x:f>
        <x:v>0</x:v>
      </x:c>
      <x:c r="AF254" s="9" t="n">
        <x:f>SUMIFS('350配方'!$M254:$P254,'350配方'!$Y254:$AB254,227)</x:f>
        <x:v>193759</x:v>
      </x:c>
      <x:c r="AG254" s="9" t="n">
        <x:f>SUMIFS('350配方'!$M254:$P254,'350配方'!$Y254:$AB254,232)</x:f>
        <x:v>0</x:v>
      </x:c>
      <x:c r="AH254" s="9" t="n">
        <x:f>SUMIFS('350配方'!$M254:$P254,'350配方'!$Y254:$AB254,255)</x:f>
        <x:v>0</x:v>
      </x:c>
      <x:c r="AI254" s="9" t="n">
        <x:f>'浓度设置'!S6</x:f>
        <x:v>219125.9626344086</x:v>
      </x:c>
      <x:c r="AJ254" s="9" t="n">
        <x:f>'浓度设置'!S8</x:f>
        <x:v>92796.92267241378</x:v>
      </x:c>
      <x:c r="AK254" s="9" t="n">
        <x:f>'浓度设置'!S10</x:f>
        <x:v>30556.797802197798</x:v>
      </x:c>
      <x:c r="AL254" s="9" t="n">
        <x:f>'浓度设置'!S12</x:f>
        <x:v>1735.828970588235</x:v>
      </x:c>
      <x:c r="AM254" s="9" t="n">
        <x:f>'浓度设置'!S15</x:f>
        <x:v>7385.813644067793</x:v>
      </x:c>
      <x:c r="AN254" s="9" t="n">
        <x:f>'浓度设置'!S19</x:f>
        <x:v>27722.03097701148</x:v>
      </x:c>
      <x:c r="AO254" s="9" t="n">
        <x:f>'浓度设置'!S22</x:f>
        <x:v>44345.55047619048</x:v>
      </x:c>
      <x:c r="AP254" s="9" t="n">
        <x:f>'浓度设置'!S26</x:f>
        <x:v>153318.30499999996</x:v>
      </x:c>
      <x:c r="AQ254" s="9" t="n">
        <x:f>'浓度设置'!S29</x:f>
        <x:v>312.7970588235294</x:v>
      </x:c>
      <x:c r="AR254" s="9" t="n">
        <x:f>'浓度设置'!S30</x:f>
        <x:v>104175.5097553192</x:v>
      </x:c>
      <x:c r="AS254" s="9" t="n">
        <x:f>'浓度设置'!S35</x:f>
        <x:v>405974.90656785714</x:v>
      </x:c>
    </x:row>
    <x:row r="255" ht="24" customHeight="1">
      <x:c r="A255" s="3" t="str">
        <x:f>'350配方'!A255</x:f>
        <x:v>T250</x:v>
      </x:c>
      <x:c r="B255" s="3" t="str">
        <x:f>'350配方'!B255</x:f>
        <x:v>拟合</x:v>
      </x:c>
      <x:c r="C255" s="3" t="n">
        <x:f>IF(B255="拟合",1,0)</x:f>
        <x:v>1</x:v>
      </x:c>
      <x:c r="D255" s="3" t="n">
        <x:f>'350配方'!AC255</x:f>
        <x:v>4</x:v>
      </x:c>
      <x:c r="E255" s="9" t="n">
        <x:f>SUMIFS('350配方'!$M255:$P255,'350配方'!$Y255:$AB255,7)</x:f>
        <x:v>729.4776350238574</x:v>
      </x:c>
      <x:c r="F255" s="9" t="n">
        <x:f>SUMIFS('350配方'!$M255:$P255,'350配方'!$Y255:$AB255,11)</x:f>
        <x:v>0</x:v>
      </x:c>
      <x:c r="G255" s="9" t="n">
        <x:f>SUMIFS('350配方'!$M255:$P255,'350配方'!$Y255:$AB255,18)</x:f>
        <x:v>0</x:v>
      </x:c>
      <x:c r="H255" s="9" t="n">
        <x:f>SUMIFS('350配方'!$M255:$P255,'350配方'!$Y255:$AB255,32)</x:f>
        <x:v>0</x:v>
      </x:c>
      <x:c r="I255" s="9" t="n">
        <x:f>SUMIFS('350配方'!$M255:$P255,'350配方'!$Y255:$AB255,40)</x:f>
        <x:v>0</x:v>
      </x:c>
      <x:c r="J255" s="9" t="n">
        <x:f>SUMIFS('350配方'!$M255:$P255,'350配方'!$Y255:$AB255,52)</x:f>
        <x:v>0</x:v>
      </x:c>
      <x:c r="K255" s="9" t="n">
        <x:f>SUMIFS('350配方'!$M255:$P255,'350配方'!$Y255:$AB255,53)</x:f>
        <x:v>0</x:v>
      </x:c>
      <x:c r="L255" s="9" t="n">
        <x:f>SUMIFS('350配方'!$M255:$P255,'350配方'!$Y255:$AB255,56)</x:f>
        <x:v>4105</x:v>
      </x:c>
      <x:c r="M255" s="9" t="n">
        <x:f>SUMIFS('350配方'!$M255:$P255,'350配方'!$Y255:$AB255,58)</x:f>
        <x:v>0</x:v>
      </x:c>
      <x:c r="N255" s="9" t="n">
        <x:f>SUMIFS('350配方'!$M255:$P255,'350配方'!$Y255:$AB255,61)</x:f>
        <x:v>0</x:v>
      </x:c>
      <x:c r="O255" s="9" t="n">
        <x:f>SUMIFS('350配方'!$M255:$P255,'350配方'!$Y255:$AB255,69)</x:f>
        <x:v>0</x:v>
      </x:c>
      <x:c r="P255" s="9" t="n">
        <x:f>SUMIFS('350配方'!$M255:$P255,'350配方'!$Y255:$AB255,75)</x:f>
        <x:v>0</x:v>
      </x:c>
      <x:c r="Q255" s="9" t="n">
        <x:f>SUMIFS('350配方'!$M255:$P255,'350配方'!$Y255:$AB255,79)</x:f>
        <x:v>0</x:v>
      </x:c>
      <x:c r="R255" s="9" t="n">
        <x:f>SUMIFS('350配方'!$M255:$P255,'350配方'!$Y255:$AB255,90)</x:f>
        <x:v>0</x:v>
      </x:c>
      <x:c r="S255" s="9" t="n">
        <x:f>SUMIFS('350配方'!$M255:$P255,'350配方'!$Y255:$AB255,105)</x:f>
        <x:v>0</x:v>
      </x:c>
      <x:c r="T255" s="9" t="n">
        <x:f>SUMIFS('350配方'!$M255:$P255,'350配方'!$Y255:$AB255,111)</x:f>
        <x:v>0</x:v>
      </x:c>
      <x:c r="U255" s="9" t="n">
        <x:f>SUMIFS('350配方'!$M255:$P255,'350配方'!$Y255:$AB255,114)</x:f>
        <x:v>0</x:v>
      </x:c>
      <x:c r="V255" s="9" t="n">
        <x:f>SUMIFS('350配方'!$M255:$P255,'350配方'!$Y255:$AB255,115)</x:f>
        <x:v>0</x:v>
      </x:c>
      <x:c r="W255" s="9" t="n">
        <x:f>SUMIFS('350配方'!$M255:$P255,'350配方'!$Y255:$AB255,117)</x:f>
        <x:v>0</x:v>
      </x:c>
      <x:c r="X255" s="9" t="n">
        <x:f>SUMIFS('350配方'!$M255:$P255,'350配方'!$Y255:$AB255,126)</x:f>
        <x:v>0</x:v>
      </x:c>
      <x:c r="Y255" s="9" t="n">
        <x:f>SUMIFS('350配方'!$M255:$P255,'350配方'!$Y255:$AB255,136)</x:f>
        <x:v>0</x:v>
      </x:c>
      <x:c r="Z255" s="9" t="n">
        <x:f>SUMIFS('350配方'!$M255:$P255,'350配方'!$Y255:$AB255,141)</x:f>
        <x:v>0</x:v>
      </x:c>
      <x:c r="AA255" s="9" t="n">
        <x:f>SUMIFS('350配方'!$M255:$P255,'350配方'!$Y255:$AB255,152)</x:f>
        <x:v>4.84</x:v>
      </x:c>
      <x:c r="AB255" s="9" t="n">
        <x:f>SUMIFS('350配方'!$M255:$P255,'350配方'!$Y255:$AB255,165)</x:f>
        <x:v>86300</x:v>
      </x:c>
      <x:c r="AC255" s="9" t="n">
        <x:f>SUMIFS('350配方'!$M255:$P255,'350配方'!$Y255:$AB255,186)</x:f>
        <x:v>0</x:v>
      </x:c>
      <x:c r="AD255" s="9" t="n">
        <x:f>SUMIFS('350配方'!$M255:$P255,'350配方'!$Y255:$AB255,207)</x:f>
        <x:v>0</x:v>
      </x:c>
      <x:c r="AE255" s="9" t="n">
        <x:f>SUMIFS('350配方'!$M255:$P255,'350配方'!$Y255:$AB255,209)</x:f>
        <x:v>0</x:v>
      </x:c>
      <x:c r="AF255" s="9" t="n">
        <x:f>SUMIFS('350配方'!$M255:$P255,'350配方'!$Y255:$AB255,227)</x:f>
        <x:v>0</x:v>
      </x:c>
      <x:c r="AG255" s="9" t="n">
        <x:f>SUMIFS('350配方'!$M255:$P255,'350配方'!$Y255:$AB255,232)</x:f>
        <x:v>0</x:v>
      </x:c>
      <x:c r="AH255" s="9" t="n">
        <x:f>SUMIFS('350配方'!$M255:$P255,'350配方'!$Y255:$AB255,255)</x:f>
        <x:v>0</x:v>
      </x:c>
      <x:c r="AI255" s="9" t="n">
        <x:f>'浓度设置'!S6</x:f>
        <x:v>219125.9626344086</x:v>
      </x:c>
      <x:c r="AJ255" s="9" t="n">
        <x:f>'浓度设置'!S8</x:f>
        <x:v>92796.92267241378</x:v>
      </x:c>
      <x:c r="AK255" s="9" t="n">
        <x:f>'浓度设置'!S10</x:f>
        <x:v>30556.797802197798</x:v>
      </x:c>
      <x:c r="AL255" s="9" t="n">
        <x:f>'浓度设置'!S12</x:f>
        <x:v>1735.828970588235</x:v>
      </x:c>
      <x:c r="AM255" s="9" t="n">
        <x:f>'浓度设置'!S15</x:f>
        <x:v>7385.813644067793</x:v>
      </x:c>
      <x:c r="AN255" s="9" t="n">
        <x:f>'浓度设置'!S19</x:f>
        <x:v>27722.03097701148</x:v>
      </x:c>
      <x:c r="AO255" s="9" t="n">
        <x:f>'浓度设置'!S22</x:f>
        <x:v>44345.55047619048</x:v>
      </x:c>
      <x:c r="AP255" s="9" t="n">
        <x:f>'浓度设置'!S26</x:f>
        <x:v>153318.30499999996</x:v>
      </x:c>
      <x:c r="AQ255" s="9" t="n">
        <x:f>'浓度设置'!S29</x:f>
        <x:v>312.7970588235294</x:v>
      </x:c>
      <x:c r="AR255" s="9" t="n">
        <x:f>'浓度设置'!S30</x:f>
        <x:v>104175.5097553192</x:v>
      </x:c>
      <x:c r="AS255" s="9" t="n">
        <x:f>'浓度设置'!S35</x:f>
        <x:v>405974.90656785714</x:v>
      </x:c>
    </x:row>
    <x:row r="256" ht="24" customHeight="1">
      <x:c r="A256" s="3" t="str">
        <x:f>'350配方'!A256</x:f>
        <x:v>T251</x:v>
      </x:c>
      <x:c r="B256" s="3" t="str">
        <x:f>'350配方'!B256</x:f>
        <x:v>拟合</x:v>
      </x:c>
      <x:c r="C256" s="3" t="n">
        <x:f>IF(B256="拟合",1,0)</x:f>
        <x:v>1</x:v>
      </x:c>
      <x:c r="D256" s="3" t="n">
        <x:f>'350配方'!AC256</x:f>
        <x:v>4</x:v>
      </x:c>
      <x:c r="E256" s="9" t="n">
        <x:f>SUMIFS('350配方'!$M256:$P256,'350配方'!$Y256:$AB256,7)</x:f>
        <x:v>0</x:v>
      </x:c>
      <x:c r="F256" s="9" t="n">
        <x:f>SUMIFS('350配方'!$M256:$P256,'350配方'!$Y256:$AB256,11)</x:f>
        <x:v>0</x:v>
      </x:c>
      <x:c r="G256" s="9" t="n">
        <x:f>SUMIFS('350配方'!$M256:$P256,'350配方'!$Y256:$AB256,18)</x:f>
        <x:v>0</x:v>
      </x:c>
      <x:c r="H256" s="9" t="n">
        <x:f>SUMIFS('350配方'!$M256:$P256,'350配方'!$Y256:$AB256,32)</x:f>
        <x:v>0</x:v>
      </x:c>
      <x:c r="I256" s="9" t="n">
        <x:f>SUMIFS('350配方'!$M256:$P256,'350配方'!$Y256:$AB256,40)</x:f>
        <x:v>0</x:v>
      </x:c>
      <x:c r="J256" s="9" t="n">
        <x:f>SUMIFS('350配方'!$M256:$P256,'350配方'!$Y256:$AB256,52)</x:f>
        <x:v>0</x:v>
      </x:c>
      <x:c r="K256" s="9" t="n">
        <x:f>SUMIFS('350配方'!$M256:$P256,'350配方'!$Y256:$AB256,53)</x:f>
        <x:v>2745.3821227654266</x:v>
      </x:c>
      <x:c r="L256" s="9" t="n">
        <x:f>SUMIFS('350配方'!$M256:$P256,'350配方'!$Y256:$AB256,56)</x:f>
        <x:v>0</x:v>
      </x:c>
      <x:c r="M256" s="9" t="n">
        <x:f>SUMIFS('350配方'!$M256:$P256,'350配方'!$Y256:$AB256,58)</x:f>
        <x:v>0</x:v>
      </x:c>
      <x:c r="N256" s="9" t="n">
        <x:f>SUMIFS('350配方'!$M256:$P256,'350配方'!$Y256:$AB256,61)</x:f>
        <x:v>0</x:v>
      </x:c>
      <x:c r="O256" s="9" t="n">
        <x:f>SUMIFS('350配方'!$M256:$P256,'350配方'!$Y256:$AB256,69)</x:f>
        <x:v>0</x:v>
      </x:c>
      <x:c r="P256" s="9" t="n">
        <x:f>SUMIFS('350配方'!$M256:$P256,'350配方'!$Y256:$AB256,75)</x:f>
        <x:v>0</x:v>
      </x:c>
      <x:c r="Q256" s="9" t="n">
        <x:f>SUMIFS('350配方'!$M256:$P256,'350配方'!$Y256:$AB256,79)</x:f>
        <x:v>0</x:v>
      </x:c>
      <x:c r="R256" s="9" t="n">
        <x:f>SUMIFS('350配方'!$M256:$P256,'350配方'!$Y256:$AB256,90)</x:f>
        <x:v>0</x:v>
      </x:c>
      <x:c r="S256" s="9" t="n">
        <x:f>SUMIFS('350配方'!$M256:$P256,'350配方'!$Y256:$AB256,105)</x:f>
        <x:v>0.05</x:v>
      </x:c>
      <x:c r="T256" s="9" t="n">
        <x:f>SUMIFS('350配方'!$M256:$P256,'350配方'!$Y256:$AB256,111)</x:f>
        <x:v>0</x:v>
      </x:c>
      <x:c r="U256" s="9" t="n">
        <x:f>SUMIFS('350配方'!$M256:$P256,'350配方'!$Y256:$AB256,114)</x:f>
        <x:v>3147.945</x:v>
      </x:c>
      <x:c r="V256" s="9" t="n">
        <x:f>SUMIFS('350配方'!$M256:$P256,'350配方'!$Y256:$AB256,115)</x:f>
        <x:v>0</x:v>
      </x:c>
      <x:c r="W256" s="9" t="n">
        <x:f>SUMIFS('350配方'!$M256:$P256,'350配方'!$Y256:$AB256,117)</x:f>
        <x:v>0</x:v>
      </x:c>
      <x:c r="X256" s="9" t="n">
        <x:f>SUMIFS('350配方'!$M256:$P256,'350配方'!$Y256:$AB256,126)</x:f>
        <x:v>0</x:v>
      </x:c>
      <x:c r="Y256" s="9" t="n">
        <x:f>SUMIFS('350配方'!$M256:$P256,'350配方'!$Y256:$AB256,136)</x:f>
        <x:v>228.58258901324922</x:v>
      </x:c>
      <x:c r="Z256" s="9" t="n">
        <x:f>SUMIFS('350配方'!$M256:$P256,'350配方'!$Y256:$AB256,141)</x:f>
        <x:v>0</x:v>
      </x:c>
      <x:c r="AA256" s="9" t="n">
        <x:f>SUMIFS('350配方'!$M256:$P256,'350配方'!$Y256:$AB256,152)</x:f>
        <x:v>0</x:v>
      </x:c>
      <x:c r="AB256" s="9" t="n">
        <x:f>SUMIFS('350配方'!$M256:$P256,'350配方'!$Y256:$AB256,165)</x:f>
        <x:v>0</x:v>
      </x:c>
      <x:c r="AC256" s="9" t="n">
        <x:f>SUMIFS('350配方'!$M256:$P256,'350配方'!$Y256:$AB256,186)</x:f>
        <x:v>0</x:v>
      </x:c>
      <x:c r="AD256" s="9" t="n">
        <x:f>SUMIFS('350配方'!$M256:$P256,'350配方'!$Y256:$AB256,207)</x:f>
        <x:v>0</x:v>
      </x:c>
      <x:c r="AE256" s="9" t="n">
        <x:f>SUMIFS('350配方'!$M256:$P256,'350配方'!$Y256:$AB256,209)</x:f>
        <x:v>0</x:v>
      </x:c>
      <x:c r="AF256" s="9" t="n">
        <x:f>SUMIFS('350配方'!$M256:$P256,'350配方'!$Y256:$AB256,227)</x:f>
        <x:v>0</x:v>
      </x:c>
      <x:c r="AG256" s="9" t="n">
        <x:f>SUMIFS('350配方'!$M256:$P256,'350配方'!$Y256:$AB256,232)</x:f>
        <x:v>0</x:v>
      </x:c>
      <x:c r="AH256" s="9" t="n">
        <x:f>SUMIFS('350配方'!$M256:$P256,'350配方'!$Y256:$AB256,255)</x:f>
        <x:v>0</x:v>
      </x:c>
      <x:c r="AI256" s="9" t="n">
        <x:f>'浓度设置'!S6</x:f>
        <x:v>219125.9626344086</x:v>
      </x:c>
      <x:c r="AJ256" s="9" t="n">
        <x:f>'浓度设置'!S8</x:f>
        <x:v>92796.92267241378</x:v>
      </x:c>
      <x:c r="AK256" s="9" t="n">
        <x:f>'浓度设置'!S10</x:f>
        <x:v>30556.797802197798</x:v>
      </x:c>
      <x:c r="AL256" s="9" t="n">
        <x:f>'浓度设置'!S12</x:f>
        <x:v>1735.828970588235</x:v>
      </x:c>
      <x:c r="AM256" s="9" t="n">
        <x:f>'浓度设置'!S15</x:f>
        <x:v>7385.813644067793</x:v>
      </x:c>
      <x:c r="AN256" s="9" t="n">
        <x:f>'浓度设置'!S19</x:f>
        <x:v>27722.03097701148</x:v>
      </x:c>
      <x:c r="AO256" s="9" t="n">
        <x:f>'浓度设置'!S22</x:f>
        <x:v>44345.55047619048</x:v>
      </x:c>
      <x:c r="AP256" s="9" t="n">
        <x:f>'浓度设置'!S26</x:f>
        <x:v>153318.30499999996</x:v>
      </x:c>
      <x:c r="AQ256" s="9" t="n">
        <x:f>'浓度设置'!S29</x:f>
        <x:v>312.7970588235294</x:v>
      </x:c>
      <x:c r="AR256" s="9" t="n">
        <x:f>'浓度设置'!S30</x:f>
        <x:v>104175.5097553192</x:v>
      </x:c>
      <x:c r="AS256" s="9" t="n">
        <x:f>'浓度设置'!S35</x:f>
        <x:v>405974.90656785714</x:v>
      </x:c>
    </x:row>
    <x:row r="257" ht="24" customHeight="1">
      <x:c r="A257" s="3" t="str">
        <x:f>'350配方'!A257</x:f>
        <x:v>T252</x:v>
      </x:c>
      <x:c r="B257" s="3" t="str">
        <x:f>'350配方'!B257</x:f>
        <x:v>拟合</x:v>
      </x:c>
      <x:c r="C257" s="3" t="n">
        <x:f>IF(B257="拟合",1,0)</x:f>
        <x:v>1</x:v>
      </x:c>
      <x:c r="D257" s="3" t="n">
        <x:f>'350配方'!AC257</x:f>
        <x:v>4</x:v>
      </x:c>
      <x:c r="E257" s="9" t="n">
        <x:f>SUMIFS('350配方'!$M257:$P257,'350配方'!$Y257:$AB257,7)</x:f>
        <x:v>0</x:v>
      </x:c>
      <x:c r="F257" s="9" t="n">
        <x:f>SUMIFS('350配方'!$M257:$P257,'350配方'!$Y257:$AB257,11)</x:f>
        <x:v>0</x:v>
      </x:c>
      <x:c r="G257" s="9" t="n">
        <x:f>SUMIFS('350配方'!$M257:$P257,'350配方'!$Y257:$AB257,18)</x:f>
        <x:v>1183.2582135780847</x:v>
      </x:c>
      <x:c r="H257" s="9" t="n">
        <x:f>SUMIFS('350配方'!$M257:$P257,'350配方'!$Y257:$AB257,32)</x:f>
        <x:v>0</x:v>
      </x:c>
      <x:c r="I257" s="9" t="n">
        <x:f>SUMIFS('350配方'!$M257:$P257,'350配方'!$Y257:$AB257,40)</x:f>
        <x:v>0</x:v>
      </x:c>
      <x:c r="J257" s="9" t="n">
        <x:f>SUMIFS('350配方'!$M257:$P257,'350配方'!$Y257:$AB257,52)</x:f>
        <x:v>0</x:v>
      </x:c>
      <x:c r="K257" s="9" t="n">
        <x:f>SUMIFS('350配方'!$M257:$P257,'350配方'!$Y257:$AB257,53)</x:f>
        <x:v>0</x:v>
      </x:c>
      <x:c r="L257" s="9" t="n">
        <x:f>SUMIFS('350配方'!$M257:$P257,'350配方'!$Y257:$AB257,56)</x:f>
        <x:v>0</x:v>
      </x:c>
      <x:c r="M257" s="9" t="n">
        <x:f>SUMIFS('350配方'!$M257:$P257,'350配方'!$Y257:$AB257,58)</x:f>
        <x:v>0</x:v>
      </x:c>
      <x:c r="N257" s="9" t="n">
        <x:f>SUMIFS('350配方'!$M257:$P257,'350配方'!$Y257:$AB257,61)</x:f>
        <x:v>59.381310191002015</x:v>
      </x:c>
      <x:c r="O257" s="9" t="n">
        <x:f>SUMIFS('350配方'!$M257:$P257,'350配方'!$Y257:$AB257,69)</x:f>
        <x:v>0</x:v>
      </x:c>
      <x:c r="P257" s="9" t="n">
        <x:f>SUMIFS('350配方'!$M257:$P257,'350配方'!$Y257:$AB257,75)</x:f>
        <x:v>0</x:v>
      </x:c>
      <x:c r="Q257" s="9" t="n">
        <x:f>SUMIFS('350配方'!$M257:$P257,'350配方'!$Y257:$AB257,79)</x:f>
        <x:v>0</x:v>
      </x:c>
      <x:c r="R257" s="9" t="n">
        <x:f>SUMIFS('350配方'!$M257:$P257,'350配方'!$Y257:$AB257,90)</x:f>
        <x:v>0</x:v>
      </x:c>
      <x:c r="S257" s="9" t="n">
        <x:f>SUMIFS('350配方'!$M257:$P257,'350配方'!$Y257:$AB257,105)</x:f>
        <x:v>0</x:v>
      </x:c>
      <x:c r="T257" s="9" t="n">
        <x:f>SUMIFS('350配方'!$M257:$P257,'350配方'!$Y257:$AB257,111)</x:f>
        <x:v>0</x:v>
      </x:c>
      <x:c r="U257" s="9" t="n">
        <x:f>SUMIFS('350配方'!$M257:$P257,'350配方'!$Y257:$AB257,114)</x:f>
        <x:v>0</x:v>
      </x:c>
      <x:c r="V257" s="9" t="n">
        <x:f>SUMIFS('350配方'!$M257:$P257,'350配方'!$Y257:$AB257,115)</x:f>
        <x:v>0</x:v>
      </x:c>
      <x:c r="W257" s="9" t="n">
        <x:f>SUMIFS('350配方'!$M257:$P257,'350配方'!$Y257:$AB257,117)</x:f>
        <x:v>0</x:v>
      </x:c>
      <x:c r="X257" s="9" t="n">
        <x:f>SUMIFS('350配方'!$M257:$P257,'350配方'!$Y257:$AB257,126)</x:f>
        <x:v>0</x:v>
      </x:c>
      <x:c r="Y257" s="9" t="n">
        <x:f>SUMIFS('350配方'!$M257:$P257,'350配方'!$Y257:$AB257,136)</x:f>
        <x:v>0</x:v>
      </x:c>
      <x:c r="Z257" s="9" t="n">
        <x:f>SUMIFS('350配方'!$M257:$P257,'350配方'!$Y257:$AB257,141)</x:f>
        <x:v>0</x:v>
      </x:c>
      <x:c r="AA257" s="9" t="n">
        <x:f>SUMIFS('350配方'!$M257:$P257,'350配方'!$Y257:$AB257,152)</x:f>
        <x:v>0</x:v>
      </x:c>
      <x:c r="AB257" s="9" t="n">
        <x:f>SUMIFS('350配方'!$M257:$P257,'350配方'!$Y257:$AB257,165)</x:f>
        <x:v>0</x:v>
      </x:c>
      <x:c r="AC257" s="9" t="n">
        <x:f>SUMIFS('350配方'!$M257:$P257,'350配方'!$Y257:$AB257,186)</x:f>
        <x:v>11648000</x:v>
      </x:c>
      <x:c r="AD257" s="9" t="n">
        <x:f>SUMIFS('350配方'!$M257:$P257,'350配方'!$Y257:$AB257,207)</x:f>
        <x:v>0</x:v>
      </x:c>
      <x:c r="AE257" s="9" t="n">
        <x:f>SUMIFS('350配方'!$M257:$P257,'350配方'!$Y257:$AB257,209)</x:f>
        <x:v>0</x:v>
      </x:c>
      <x:c r="AF257" s="9" t="n">
        <x:f>SUMIFS('350配方'!$M257:$P257,'350配方'!$Y257:$AB257,227)</x:f>
        <x:v>2.5</x:v>
      </x:c>
      <x:c r="AG257" s="9" t="n">
        <x:f>SUMIFS('350配方'!$M257:$P257,'350配方'!$Y257:$AB257,232)</x:f>
        <x:v>0</x:v>
      </x:c>
      <x:c r="AH257" s="9" t="n">
        <x:f>SUMIFS('350配方'!$M257:$P257,'350配方'!$Y257:$AB257,255)</x:f>
        <x:v>0</x:v>
      </x:c>
      <x:c r="AI257" s="9" t="n">
        <x:f>'浓度设置'!S6</x:f>
        <x:v>219125.9626344086</x:v>
      </x:c>
      <x:c r="AJ257" s="9" t="n">
        <x:f>'浓度设置'!S8</x:f>
        <x:v>92796.92267241378</x:v>
      </x:c>
      <x:c r="AK257" s="9" t="n">
        <x:f>'浓度设置'!S10</x:f>
        <x:v>30556.797802197798</x:v>
      </x:c>
      <x:c r="AL257" s="9" t="n">
        <x:f>'浓度设置'!S12</x:f>
        <x:v>1735.828970588235</x:v>
      </x:c>
      <x:c r="AM257" s="9" t="n">
        <x:f>'浓度设置'!S15</x:f>
        <x:v>7385.813644067793</x:v>
      </x:c>
      <x:c r="AN257" s="9" t="n">
        <x:f>'浓度设置'!S19</x:f>
        <x:v>27722.03097701148</x:v>
      </x:c>
      <x:c r="AO257" s="9" t="n">
        <x:f>'浓度设置'!S22</x:f>
        <x:v>44345.55047619048</x:v>
      </x:c>
      <x:c r="AP257" s="9" t="n">
        <x:f>'浓度设置'!S26</x:f>
        <x:v>153318.30499999996</x:v>
      </x:c>
      <x:c r="AQ257" s="9" t="n">
        <x:f>'浓度设置'!S29</x:f>
        <x:v>312.7970588235294</x:v>
      </x:c>
      <x:c r="AR257" s="9" t="n">
        <x:f>'浓度设置'!S30</x:f>
        <x:v>104175.5097553192</x:v>
      </x:c>
      <x:c r="AS257" s="9" t="n">
        <x:f>'浓度设置'!S35</x:f>
        <x:v>405974.90656785714</x:v>
      </x:c>
    </x:row>
    <x:row r="258" ht="24" customHeight="1">
      <x:c r="A258" s="3" t="str">
        <x:f>'350配方'!A258</x:f>
        <x:v>T253</x:v>
      </x:c>
      <x:c r="B258" s="3" t="str">
        <x:f>'350配方'!B258</x:f>
        <x:v>拟合</x:v>
      </x:c>
      <x:c r="C258" s="3" t="n">
        <x:f>IF(B258="拟合",1,0)</x:f>
        <x:v>1</x:v>
      </x:c>
      <x:c r="D258" s="3" t="n">
        <x:f>'350配方'!AC258</x:f>
        <x:v>4</x:v>
      </x:c>
      <x:c r="E258" s="9" t="n">
        <x:f>SUMIFS('350配方'!$M258:$P258,'350配方'!$Y258:$AB258,7)</x:f>
        <x:v>0</x:v>
      </x:c>
      <x:c r="F258" s="9" t="n">
        <x:f>SUMIFS('350配方'!$M258:$P258,'350配方'!$Y258:$AB258,11)</x:f>
        <x:v>0</x:v>
      </x:c>
      <x:c r="G258" s="9" t="n">
        <x:f>SUMIFS('350配方'!$M258:$P258,'350配方'!$Y258:$AB258,18)</x:f>
        <x:v>0</x:v>
      </x:c>
      <x:c r="H258" s="9" t="n">
        <x:f>SUMIFS('350配方'!$M258:$P258,'350配方'!$Y258:$AB258,32)</x:f>
        <x:v>0</x:v>
      </x:c>
      <x:c r="I258" s="9" t="n">
        <x:f>SUMIFS('350配方'!$M258:$P258,'350配方'!$Y258:$AB258,40)</x:f>
        <x:v>1.875</x:v>
      </x:c>
      <x:c r="J258" s="9" t="n">
        <x:f>SUMIFS('350配方'!$M258:$P258,'350配方'!$Y258:$AB258,52)</x:f>
        <x:v>0</x:v>
      </x:c>
      <x:c r="K258" s="9" t="n">
        <x:f>SUMIFS('350配方'!$M258:$P258,'350配方'!$Y258:$AB258,53)</x:f>
        <x:v>0</x:v>
      </x:c>
      <x:c r="L258" s="9" t="n">
        <x:f>SUMIFS('350配方'!$M258:$P258,'350配方'!$Y258:$AB258,56)</x:f>
        <x:v>0</x:v>
      </x:c>
      <x:c r="M258" s="9" t="n">
        <x:f>SUMIFS('350配方'!$M258:$P258,'350配方'!$Y258:$AB258,58)</x:f>
        <x:v>0</x:v>
      </x:c>
      <x:c r="N258" s="9" t="n">
        <x:f>SUMIFS('350配方'!$M258:$P258,'350配方'!$Y258:$AB258,61)</x:f>
        <x:v>0</x:v>
      </x:c>
      <x:c r="O258" s="9" t="n">
        <x:f>SUMIFS('350配方'!$M258:$P258,'350配方'!$Y258:$AB258,69)</x:f>
        <x:v>12022.2</x:v>
      </x:c>
      <x:c r="P258" s="9" t="n">
        <x:f>SUMIFS('350配方'!$M258:$P258,'350配方'!$Y258:$AB258,75)</x:f>
        <x:v>0</x:v>
      </x:c>
      <x:c r="Q258" s="9" t="n">
        <x:f>SUMIFS('350配方'!$M258:$P258,'350配方'!$Y258:$AB258,79)</x:f>
        <x:v>0</x:v>
      </x:c>
      <x:c r="R258" s="9" t="n">
        <x:f>SUMIFS('350配方'!$M258:$P258,'350配方'!$Y258:$AB258,90)</x:f>
        <x:v>0</x:v>
      </x:c>
      <x:c r="S258" s="9" t="n">
        <x:f>SUMIFS('350配方'!$M258:$P258,'350配方'!$Y258:$AB258,105)</x:f>
        <x:v>0</x:v>
      </x:c>
      <x:c r="T258" s="9" t="n">
        <x:f>SUMIFS('350配方'!$M258:$P258,'350配方'!$Y258:$AB258,111)</x:f>
        <x:v>0</x:v>
      </x:c>
      <x:c r="U258" s="9" t="n">
        <x:f>SUMIFS('350配方'!$M258:$P258,'350配方'!$Y258:$AB258,114)</x:f>
        <x:v>0</x:v>
      </x:c>
      <x:c r="V258" s="9" t="n">
        <x:f>SUMIFS('350配方'!$M258:$P258,'350配方'!$Y258:$AB258,115)</x:f>
        <x:v>0</x:v>
      </x:c>
      <x:c r="W258" s="9" t="n">
        <x:f>SUMIFS('350配方'!$M258:$P258,'350配方'!$Y258:$AB258,117)</x:f>
        <x:v>0</x:v>
      </x:c>
      <x:c r="X258" s="9" t="n">
        <x:f>SUMIFS('350配方'!$M258:$P258,'350配方'!$Y258:$AB258,126)</x:f>
        <x:v>0</x:v>
      </x:c>
      <x:c r="Y258" s="9" t="n">
        <x:f>SUMIFS('350配方'!$M258:$P258,'350配方'!$Y258:$AB258,136)</x:f>
        <x:v>0</x:v>
      </x:c>
      <x:c r="Z258" s="9" t="n">
        <x:f>SUMIFS('350配方'!$M258:$P258,'350配方'!$Y258:$AB258,141)</x:f>
        <x:v>0</x:v>
      </x:c>
      <x:c r="AA258" s="9" t="n">
        <x:f>SUMIFS('350配方'!$M258:$P258,'350配方'!$Y258:$AB258,152)</x:f>
        <x:v>0</x:v>
      </x:c>
      <x:c r="AB258" s="9" t="n">
        <x:f>SUMIFS('350配方'!$M258:$P258,'350配方'!$Y258:$AB258,165)</x:f>
        <x:v>0</x:v>
      </x:c>
      <x:c r="AC258" s="9" t="n">
        <x:f>SUMIFS('350配方'!$M258:$P258,'350配方'!$Y258:$AB258,186)</x:f>
        <x:v>11648000</x:v>
      </x:c>
      <x:c r="AD258" s="9" t="n">
        <x:f>SUMIFS('350配方'!$M258:$P258,'350配方'!$Y258:$AB258,207)</x:f>
        <x:v>1</x:v>
      </x:c>
      <x:c r="AE258" s="9" t="n">
        <x:f>SUMIFS('350配方'!$M258:$P258,'350配方'!$Y258:$AB258,209)</x:f>
        <x:v>0</x:v>
      </x:c>
      <x:c r="AF258" s="9" t="n">
        <x:f>SUMIFS('350配方'!$M258:$P258,'350配方'!$Y258:$AB258,227)</x:f>
        <x:v>0</x:v>
      </x:c>
      <x:c r="AG258" s="9" t="n">
        <x:f>SUMIFS('350配方'!$M258:$P258,'350配方'!$Y258:$AB258,232)</x:f>
        <x:v>0</x:v>
      </x:c>
      <x:c r="AH258" s="9" t="n">
        <x:f>SUMIFS('350配方'!$M258:$P258,'350配方'!$Y258:$AB258,255)</x:f>
        <x:v>0</x:v>
      </x:c>
      <x:c r="AI258" s="9" t="n">
        <x:f>'浓度设置'!S6</x:f>
        <x:v>219125.9626344086</x:v>
      </x:c>
      <x:c r="AJ258" s="9" t="n">
        <x:f>'浓度设置'!S8</x:f>
        <x:v>92796.92267241378</x:v>
      </x:c>
      <x:c r="AK258" s="9" t="n">
        <x:f>'浓度设置'!S10</x:f>
        <x:v>30556.797802197798</x:v>
      </x:c>
      <x:c r="AL258" s="9" t="n">
        <x:f>'浓度设置'!S12</x:f>
        <x:v>1735.828970588235</x:v>
      </x:c>
      <x:c r="AM258" s="9" t="n">
        <x:f>'浓度设置'!S15</x:f>
        <x:v>7385.813644067793</x:v>
      </x:c>
      <x:c r="AN258" s="9" t="n">
        <x:f>'浓度设置'!S19</x:f>
        <x:v>27722.03097701148</x:v>
      </x:c>
      <x:c r="AO258" s="9" t="n">
        <x:f>'浓度设置'!S22</x:f>
        <x:v>44345.55047619048</x:v>
      </x:c>
      <x:c r="AP258" s="9" t="n">
        <x:f>'浓度设置'!S26</x:f>
        <x:v>153318.30499999996</x:v>
      </x:c>
      <x:c r="AQ258" s="9" t="n">
        <x:f>'浓度设置'!S29</x:f>
        <x:v>312.7970588235294</x:v>
      </x:c>
      <x:c r="AR258" s="9" t="n">
        <x:f>'浓度设置'!S30</x:f>
        <x:v>104175.5097553192</x:v>
      </x:c>
      <x:c r="AS258" s="9" t="n">
        <x:f>'浓度设置'!S35</x:f>
        <x:v>405974.90656785714</x:v>
      </x:c>
    </x:row>
    <x:row r="259" ht="24" customHeight="1">
      <x:c r="A259" s="3" t="str">
        <x:f>'350配方'!A259</x:f>
        <x:v>T254</x:v>
      </x:c>
      <x:c r="B259" s="3" t="str">
        <x:f>'350配方'!B259</x:f>
        <x:v>拟合</x:v>
      </x:c>
      <x:c r="C259" s="3" t="n">
        <x:f>IF(B259="拟合",1,0)</x:f>
        <x:v>1</x:v>
      </x:c>
      <x:c r="D259" s="3" t="n">
        <x:f>'350配方'!AC259</x:f>
        <x:v>4</x:v>
      </x:c>
      <x:c r="E259" s="9" t="n">
        <x:f>SUMIFS('350配方'!$M259:$P259,'350配方'!$Y259:$AB259,7)</x:f>
        <x:v>0</x:v>
      </x:c>
      <x:c r="F259" s="9" t="n">
        <x:f>SUMIFS('350配方'!$M259:$P259,'350配方'!$Y259:$AB259,11)</x:f>
        <x:v>0</x:v>
      </x:c>
      <x:c r="G259" s="9" t="n">
        <x:f>SUMIFS('350配方'!$M259:$P259,'350配方'!$Y259:$AB259,18)</x:f>
        <x:v>0</x:v>
      </x:c>
      <x:c r="H259" s="9" t="n">
        <x:f>SUMIFS('350配方'!$M259:$P259,'350配方'!$Y259:$AB259,32)</x:f>
        <x:v>0</x:v>
      </x:c>
      <x:c r="I259" s="9" t="n">
        <x:f>SUMIFS('350配方'!$M259:$P259,'350配方'!$Y259:$AB259,40)</x:f>
        <x:v>0</x:v>
      </x:c>
      <x:c r="J259" s="9" t="n">
        <x:f>SUMIFS('350配方'!$M259:$P259,'350配方'!$Y259:$AB259,52)</x:f>
        <x:v>0</x:v>
      </x:c>
      <x:c r="K259" s="9" t="n">
        <x:f>SUMIFS('350配方'!$M259:$P259,'350配方'!$Y259:$AB259,53)</x:f>
        <x:v>0</x:v>
      </x:c>
      <x:c r="L259" s="9" t="n">
        <x:f>SUMIFS('350配方'!$M259:$P259,'350配方'!$Y259:$AB259,56)</x:f>
        <x:v>0</x:v>
      </x:c>
      <x:c r="M259" s="9" t="n">
        <x:f>SUMIFS('350配方'!$M259:$P259,'350配方'!$Y259:$AB259,58)</x:f>
        <x:v>0</x:v>
      </x:c>
      <x:c r="N259" s="9" t="n">
        <x:f>SUMIFS('350配方'!$M259:$P259,'350配方'!$Y259:$AB259,61)</x:f>
        <x:v>0</x:v>
      </x:c>
      <x:c r="O259" s="9" t="n">
        <x:f>SUMIFS('350配方'!$M259:$P259,'350配方'!$Y259:$AB259,69)</x:f>
        <x:v>0</x:v>
      </x:c>
      <x:c r="P259" s="9" t="n">
        <x:f>SUMIFS('350配方'!$M259:$P259,'350配方'!$Y259:$AB259,75)</x:f>
        <x:v>1.75</x:v>
      </x:c>
      <x:c r="Q259" s="9" t="n">
        <x:f>SUMIFS('350配方'!$M259:$P259,'350配方'!$Y259:$AB259,79)</x:f>
        <x:v>56115</x:v>
      </x:c>
      <x:c r="R259" s="9" t="n">
        <x:f>SUMIFS('350配方'!$M259:$P259,'350配方'!$Y259:$AB259,90)</x:f>
        <x:v>0</x:v>
      </x:c>
      <x:c r="S259" s="9" t="n">
        <x:f>SUMIFS('350配方'!$M259:$P259,'350配方'!$Y259:$AB259,105)</x:f>
        <x:v>0</x:v>
      </x:c>
      <x:c r="T259" s="9" t="n">
        <x:f>SUMIFS('350配方'!$M259:$P259,'350配方'!$Y259:$AB259,111)</x:f>
        <x:v>0</x:v>
      </x:c>
      <x:c r="U259" s="9" t="n">
        <x:f>SUMIFS('350配方'!$M259:$P259,'350配方'!$Y259:$AB259,114)</x:f>
        <x:v>0</x:v>
      </x:c>
      <x:c r="V259" s="9" t="n">
        <x:f>SUMIFS('350配方'!$M259:$P259,'350配方'!$Y259:$AB259,115)</x:f>
        <x:v>0</x:v>
      </x:c>
      <x:c r="W259" s="9" t="n">
        <x:f>SUMIFS('350配方'!$M259:$P259,'350配方'!$Y259:$AB259,117)</x:f>
        <x:v>0</x:v>
      </x:c>
      <x:c r="X259" s="9" t="n">
        <x:f>SUMIFS('350配方'!$M259:$P259,'350配方'!$Y259:$AB259,126)</x:f>
        <x:v>0</x:v>
      </x:c>
      <x:c r="Y259" s="9" t="n">
        <x:f>SUMIFS('350配方'!$M259:$P259,'350配方'!$Y259:$AB259,136)</x:f>
        <x:v>1.1875</x:v>
      </x:c>
      <x:c r="Z259" s="9" t="n">
        <x:f>SUMIFS('350配方'!$M259:$P259,'350配方'!$Y259:$AB259,141)</x:f>
        <x:v>0</x:v>
      </x:c>
      <x:c r="AA259" s="9" t="n">
        <x:f>SUMIFS('350配方'!$M259:$P259,'350配方'!$Y259:$AB259,152)</x:f>
        <x:v>0</x:v>
      </x:c>
      <x:c r="AB259" s="9" t="n">
        <x:f>SUMIFS('350配方'!$M259:$P259,'350配方'!$Y259:$AB259,165)</x:f>
        <x:v>86300</x:v>
      </x:c>
      <x:c r="AC259" s="9" t="n">
        <x:f>SUMIFS('350配方'!$M259:$P259,'350配方'!$Y259:$AB259,186)</x:f>
        <x:v>0</x:v>
      </x:c>
      <x:c r="AD259" s="9" t="n">
        <x:f>SUMIFS('350配方'!$M259:$P259,'350配方'!$Y259:$AB259,207)</x:f>
        <x:v>0</x:v>
      </x:c>
      <x:c r="AE259" s="9" t="n">
        <x:f>SUMIFS('350配方'!$M259:$P259,'350配方'!$Y259:$AB259,209)</x:f>
        <x:v>0</x:v>
      </x:c>
      <x:c r="AF259" s="9" t="n">
        <x:f>SUMIFS('350配方'!$M259:$P259,'350配方'!$Y259:$AB259,227)</x:f>
        <x:v>0</x:v>
      </x:c>
      <x:c r="AG259" s="9" t="n">
        <x:f>SUMIFS('350配方'!$M259:$P259,'350配方'!$Y259:$AB259,232)</x:f>
        <x:v>0</x:v>
      </x:c>
      <x:c r="AH259" s="9" t="n">
        <x:f>SUMIFS('350配方'!$M259:$P259,'350配方'!$Y259:$AB259,255)</x:f>
        <x:v>0</x:v>
      </x:c>
      <x:c r="AI259" s="9" t="n">
        <x:f>'浓度设置'!S6</x:f>
        <x:v>219125.9626344086</x:v>
      </x:c>
      <x:c r="AJ259" s="9" t="n">
        <x:f>'浓度设置'!S8</x:f>
        <x:v>92796.92267241378</x:v>
      </x:c>
      <x:c r="AK259" s="9" t="n">
        <x:f>'浓度设置'!S10</x:f>
        <x:v>30556.797802197798</x:v>
      </x:c>
      <x:c r="AL259" s="9" t="n">
        <x:f>'浓度设置'!S12</x:f>
        <x:v>1735.828970588235</x:v>
      </x:c>
      <x:c r="AM259" s="9" t="n">
        <x:f>'浓度设置'!S15</x:f>
        <x:v>7385.813644067793</x:v>
      </x:c>
      <x:c r="AN259" s="9" t="n">
        <x:f>'浓度设置'!S19</x:f>
        <x:v>27722.03097701148</x:v>
      </x:c>
      <x:c r="AO259" s="9" t="n">
        <x:f>'浓度设置'!S22</x:f>
        <x:v>44345.55047619048</x:v>
      </x:c>
      <x:c r="AP259" s="9" t="n">
        <x:f>'浓度设置'!S26</x:f>
        <x:v>153318.30499999996</x:v>
      </x:c>
      <x:c r="AQ259" s="9" t="n">
        <x:f>'浓度设置'!S29</x:f>
        <x:v>312.7970588235294</x:v>
      </x:c>
      <x:c r="AR259" s="9" t="n">
        <x:f>'浓度设置'!S30</x:f>
        <x:v>104175.5097553192</x:v>
      </x:c>
      <x:c r="AS259" s="9" t="n">
        <x:f>'浓度设置'!S35</x:f>
        <x:v>405974.90656785714</x:v>
      </x:c>
    </x:row>
    <x:row r="260" ht="24" customHeight="1">
      <x:c r="A260" s="3" t="str">
        <x:f>'350配方'!A260</x:f>
        <x:v>T255</x:v>
      </x:c>
      <x:c r="B260" s="3" t="str">
        <x:f>'350配方'!B260</x:f>
        <x:v>拟合</x:v>
      </x:c>
      <x:c r="C260" s="3" t="n">
        <x:f>IF(B260="拟合",1,0)</x:f>
        <x:v>1</x:v>
      </x:c>
      <x:c r="D260" s="3" t="n">
        <x:f>'350配方'!AC260</x:f>
        <x:v>4</x:v>
      </x:c>
      <x:c r="E260" s="9" t="n">
        <x:f>SUMIFS('350配方'!$M260:$P260,'350配方'!$Y260:$AB260,7)</x:f>
        <x:v>0</x:v>
      </x:c>
      <x:c r="F260" s="9" t="n">
        <x:f>SUMIFS('350配方'!$M260:$P260,'350配方'!$Y260:$AB260,11)</x:f>
        <x:v>0</x:v>
      </x:c>
      <x:c r="G260" s="9" t="n">
        <x:f>SUMIFS('350配方'!$M260:$P260,'350配方'!$Y260:$AB260,18)</x:f>
        <x:v>0</x:v>
      </x:c>
      <x:c r="H260" s="9" t="n">
        <x:f>SUMIFS('350配方'!$M260:$P260,'350配方'!$Y260:$AB260,32)</x:f>
        <x:v>836.8360173893091</x:v>
      </x:c>
      <x:c r="I260" s="9" t="n">
        <x:f>SUMIFS('350配方'!$M260:$P260,'350配方'!$Y260:$AB260,40)</x:f>
        <x:v>0</x:v>
      </x:c>
      <x:c r="J260" s="9" t="n">
        <x:f>SUMIFS('350配方'!$M260:$P260,'350配方'!$Y260:$AB260,52)</x:f>
        <x:v>1290235</x:v>
      </x:c>
      <x:c r="K260" s="9" t="n">
        <x:f>SUMIFS('350配方'!$M260:$P260,'350配方'!$Y260:$AB260,53)</x:f>
        <x:v>0</x:v>
      </x:c>
      <x:c r="L260" s="9" t="n">
        <x:f>SUMIFS('350配方'!$M260:$P260,'350配方'!$Y260:$AB260,56)</x:f>
        <x:v>0</x:v>
      </x:c>
      <x:c r="M260" s="9" t="n">
        <x:f>SUMIFS('350配方'!$M260:$P260,'350配方'!$Y260:$AB260,58)</x:f>
        <x:v>0</x:v>
      </x:c>
      <x:c r="N260" s="9" t="n">
        <x:f>SUMIFS('350配方'!$M260:$P260,'350配方'!$Y260:$AB260,61)</x:f>
        <x:v>0</x:v>
      </x:c>
      <x:c r="O260" s="9" t="n">
        <x:f>SUMIFS('350配方'!$M260:$P260,'350配方'!$Y260:$AB260,69)</x:f>
        <x:v>0</x:v>
      </x:c>
      <x:c r="P260" s="9" t="n">
        <x:f>SUMIFS('350配方'!$M260:$P260,'350配方'!$Y260:$AB260,75)</x:f>
        <x:v>0</x:v>
      </x:c>
      <x:c r="Q260" s="9" t="n">
        <x:f>SUMIFS('350配方'!$M260:$P260,'350配方'!$Y260:$AB260,79)</x:f>
        <x:v>0</x:v>
      </x:c>
      <x:c r="R260" s="9" t="n">
        <x:f>SUMIFS('350配方'!$M260:$P260,'350配方'!$Y260:$AB260,90)</x:f>
        <x:v>0</x:v>
      </x:c>
      <x:c r="S260" s="9" t="n">
        <x:f>SUMIFS('350配方'!$M260:$P260,'350配方'!$Y260:$AB260,105)</x:f>
        <x:v>0</x:v>
      </x:c>
      <x:c r="T260" s="9" t="n">
        <x:f>SUMIFS('350配方'!$M260:$P260,'350配方'!$Y260:$AB260,111)</x:f>
        <x:v>89562.18016998023</x:v>
      </x:c>
      <x:c r="U260" s="9" t="n">
        <x:f>SUMIFS('350配方'!$M260:$P260,'350配方'!$Y260:$AB260,114)</x:f>
        <x:v>47100</x:v>
      </x:c>
      <x:c r="V260" s="9" t="n">
        <x:f>SUMIFS('350配方'!$M260:$P260,'350配方'!$Y260:$AB260,115)</x:f>
        <x:v>0</x:v>
      </x:c>
      <x:c r="W260" s="9" t="n">
        <x:f>SUMIFS('350配方'!$M260:$P260,'350配方'!$Y260:$AB260,117)</x:f>
        <x:v>0</x:v>
      </x:c>
      <x:c r="X260" s="9" t="n">
        <x:f>SUMIFS('350配方'!$M260:$P260,'350配方'!$Y260:$AB260,126)</x:f>
        <x:v>0</x:v>
      </x:c>
      <x:c r="Y260" s="9" t="n">
        <x:f>SUMIFS('350配方'!$M260:$P260,'350配方'!$Y260:$AB260,136)</x:f>
        <x:v>0</x:v>
      </x:c>
      <x:c r="Z260" s="9" t="n">
        <x:f>SUMIFS('350配方'!$M260:$P260,'350配方'!$Y260:$AB260,141)</x:f>
        <x:v>0</x:v>
      </x:c>
      <x:c r="AA260" s="9" t="n">
        <x:f>SUMIFS('350配方'!$M260:$P260,'350配方'!$Y260:$AB260,152)</x:f>
        <x:v>0</x:v>
      </x:c>
      <x:c r="AB260" s="9" t="n">
        <x:f>SUMIFS('350配方'!$M260:$P260,'350配方'!$Y260:$AB260,165)</x:f>
        <x:v>0</x:v>
      </x:c>
      <x:c r="AC260" s="9" t="n">
        <x:f>SUMIFS('350配方'!$M260:$P260,'350配方'!$Y260:$AB260,186)</x:f>
        <x:v>0</x:v>
      </x:c>
      <x:c r="AD260" s="9" t="n">
        <x:f>SUMIFS('350配方'!$M260:$P260,'350配方'!$Y260:$AB260,207)</x:f>
        <x:v>0</x:v>
      </x:c>
      <x:c r="AE260" s="9" t="n">
        <x:f>SUMIFS('350配方'!$M260:$P260,'350配方'!$Y260:$AB260,209)</x:f>
        <x:v>0</x:v>
      </x:c>
      <x:c r="AF260" s="9" t="n">
        <x:f>SUMIFS('350配方'!$M260:$P260,'350配方'!$Y260:$AB260,227)</x:f>
        <x:v>0</x:v>
      </x:c>
      <x:c r="AG260" s="9" t="n">
        <x:f>SUMIFS('350配方'!$M260:$P260,'350配方'!$Y260:$AB260,232)</x:f>
        <x:v>0</x:v>
      </x:c>
      <x:c r="AH260" s="9" t="n">
        <x:f>SUMIFS('350配方'!$M260:$P260,'350配方'!$Y260:$AB260,255)</x:f>
        <x:v>0</x:v>
      </x:c>
      <x:c r="AI260" s="9" t="n">
        <x:f>'浓度设置'!S6</x:f>
        <x:v>219125.9626344086</x:v>
      </x:c>
      <x:c r="AJ260" s="9" t="n">
        <x:f>'浓度设置'!S8</x:f>
        <x:v>92796.92267241378</x:v>
      </x:c>
      <x:c r="AK260" s="9" t="n">
        <x:f>'浓度设置'!S10</x:f>
        <x:v>30556.797802197798</x:v>
      </x:c>
      <x:c r="AL260" s="9" t="n">
        <x:f>'浓度设置'!S12</x:f>
        <x:v>1735.828970588235</x:v>
      </x:c>
      <x:c r="AM260" s="9" t="n">
        <x:f>'浓度设置'!S15</x:f>
        <x:v>7385.813644067793</x:v>
      </x:c>
      <x:c r="AN260" s="9" t="n">
        <x:f>'浓度设置'!S19</x:f>
        <x:v>27722.03097701148</x:v>
      </x:c>
      <x:c r="AO260" s="9" t="n">
        <x:f>'浓度设置'!S22</x:f>
        <x:v>44345.55047619048</x:v>
      </x:c>
      <x:c r="AP260" s="9" t="n">
        <x:f>'浓度设置'!S26</x:f>
        <x:v>153318.30499999996</x:v>
      </x:c>
      <x:c r="AQ260" s="9" t="n">
        <x:f>'浓度设置'!S29</x:f>
        <x:v>312.7970588235294</x:v>
      </x:c>
      <x:c r="AR260" s="9" t="n">
        <x:f>'浓度设置'!S30</x:f>
        <x:v>104175.5097553192</x:v>
      </x:c>
      <x:c r="AS260" s="9" t="n">
        <x:f>'浓度设置'!S35</x:f>
        <x:v>405974.90656785714</x:v>
      </x:c>
    </x:row>
    <x:row r="261" ht="24" customHeight="1">
      <x:c r="A261" s="3" t="str">
        <x:f>'350配方'!A261</x:f>
        <x:v>T256</x:v>
      </x:c>
      <x:c r="B261" s="3" t="str">
        <x:f>'350配方'!B261</x:f>
        <x:v>拟合</x:v>
      </x:c>
      <x:c r="C261" s="3" t="n">
        <x:f>IF(B261="拟合",1,0)</x:f>
        <x:v>1</x:v>
      </x:c>
      <x:c r="D261" s="3" t="n">
        <x:f>'350配方'!AC261</x:f>
        <x:v>4</x:v>
      </x:c>
      <x:c r="E261" s="9" t="n">
        <x:f>SUMIFS('350配方'!$M261:$P261,'350配方'!$Y261:$AB261,7)</x:f>
        <x:v>0</x:v>
      </x:c>
      <x:c r="F261" s="9" t="n">
        <x:f>SUMIFS('350配方'!$M261:$P261,'350配方'!$Y261:$AB261,11)</x:f>
        <x:v>0</x:v>
      </x:c>
      <x:c r="G261" s="9" t="n">
        <x:f>SUMIFS('350配方'!$M261:$P261,'350配方'!$Y261:$AB261,18)</x:f>
        <x:v>0</x:v>
      </x:c>
      <x:c r="H261" s="9" t="n">
        <x:f>SUMIFS('350配方'!$M261:$P261,'350配方'!$Y261:$AB261,32)</x:f>
        <x:v>0</x:v>
      </x:c>
      <x:c r="I261" s="9" t="n">
        <x:f>SUMIFS('350配方'!$M261:$P261,'350配方'!$Y261:$AB261,40)</x:f>
        <x:v>0</x:v>
      </x:c>
      <x:c r="J261" s="9" t="n">
        <x:f>SUMIFS('350配方'!$M261:$P261,'350配方'!$Y261:$AB261,52)</x:f>
        <x:v>0</x:v>
      </x:c>
      <x:c r="K261" s="9" t="n">
        <x:f>SUMIFS('350配方'!$M261:$P261,'350配方'!$Y261:$AB261,53)</x:f>
        <x:v>0</x:v>
      </x:c>
      <x:c r="L261" s="9" t="n">
        <x:f>SUMIFS('350配方'!$M261:$P261,'350配方'!$Y261:$AB261,56)</x:f>
        <x:v>0</x:v>
      </x:c>
      <x:c r="M261" s="9" t="n">
        <x:f>SUMIFS('350配方'!$M261:$P261,'350配方'!$Y261:$AB261,58)</x:f>
        <x:v>0</x:v>
      </x:c>
      <x:c r="N261" s="9" t="n">
        <x:f>SUMIFS('350配方'!$M261:$P261,'350配方'!$Y261:$AB261,61)</x:f>
        <x:v>0</x:v>
      </x:c>
      <x:c r="O261" s="9" t="n">
        <x:f>SUMIFS('350配方'!$M261:$P261,'350配方'!$Y261:$AB261,69)</x:f>
        <x:v>0</x:v>
      </x:c>
      <x:c r="P261" s="9" t="n">
        <x:f>SUMIFS('350配方'!$M261:$P261,'350配方'!$Y261:$AB261,75)</x:f>
        <x:v>0</x:v>
      </x:c>
      <x:c r="Q261" s="9" t="n">
        <x:f>SUMIFS('350配方'!$M261:$P261,'350配方'!$Y261:$AB261,79)</x:f>
        <x:v>0</x:v>
      </x:c>
      <x:c r="R261" s="9" t="n">
        <x:f>SUMIFS('350配方'!$M261:$P261,'350配方'!$Y261:$AB261,90)</x:f>
        <x:v>0</x:v>
      </x:c>
      <x:c r="S261" s="9" t="n">
        <x:f>SUMIFS('350配方'!$M261:$P261,'350配方'!$Y261:$AB261,105)</x:f>
        <x:v>28.044607324760317</x:v>
      </x:c>
      <x:c r="T261" s="9" t="n">
        <x:f>SUMIFS('350配方'!$M261:$P261,'350配方'!$Y261:$AB261,111)</x:f>
        <x:v>0</x:v>
      </x:c>
      <x:c r="U261" s="9" t="n">
        <x:f>SUMIFS('350配方'!$M261:$P261,'350配方'!$Y261:$AB261,114)</x:f>
        <x:v>0</x:v>
      </x:c>
      <x:c r="V261" s="9" t="n">
        <x:f>SUMIFS('350配方'!$M261:$P261,'350配方'!$Y261:$AB261,115)</x:f>
        <x:v>0</x:v>
      </x:c>
      <x:c r="W261" s="9" t="n">
        <x:f>SUMIFS('350配方'!$M261:$P261,'350配方'!$Y261:$AB261,117)</x:f>
        <x:v>0</x:v>
      </x:c>
      <x:c r="X261" s="9" t="n">
        <x:f>SUMIFS('350配方'!$M261:$P261,'350配方'!$Y261:$AB261,126)</x:f>
        <x:v>2.125</x:v>
      </x:c>
      <x:c r="Y261" s="9" t="n">
        <x:f>SUMIFS('350配方'!$M261:$P261,'350配方'!$Y261:$AB261,136)</x:f>
        <x:v>0</x:v>
      </x:c>
      <x:c r="Z261" s="9" t="n">
        <x:f>SUMIFS('350配方'!$M261:$P261,'350配方'!$Y261:$AB261,141)</x:f>
        <x:v>2.2</x:v>
      </x:c>
      <x:c r="AA261" s="9" t="n">
        <x:f>SUMIFS('350配方'!$M261:$P261,'350配方'!$Y261:$AB261,152)</x:f>
        <x:v>4.84</x:v>
      </x:c>
      <x:c r="AB261" s="9" t="n">
        <x:f>SUMIFS('350配方'!$M261:$P261,'350配方'!$Y261:$AB261,165)</x:f>
        <x:v>0</x:v>
      </x:c>
      <x:c r="AC261" s="9" t="n">
        <x:f>SUMIFS('350配方'!$M261:$P261,'350配方'!$Y261:$AB261,186)</x:f>
        <x:v>0</x:v>
      </x:c>
      <x:c r="AD261" s="9" t="n">
        <x:f>SUMIFS('350配方'!$M261:$P261,'350配方'!$Y261:$AB261,207)</x:f>
        <x:v>0</x:v>
      </x:c>
      <x:c r="AE261" s="9" t="n">
        <x:f>SUMIFS('350配方'!$M261:$P261,'350配方'!$Y261:$AB261,209)</x:f>
        <x:v>0</x:v>
      </x:c>
      <x:c r="AF261" s="9" t="n">
        <x:f>SUMIFS('350配方'!$M261:$P261,'350配方'!$Y261:$AB261,227)</x:f>
        <x:v>0</x:v>
      </x:c>
      <x:c r="AG261" s="9" t="n">
        <x:f>SUMIFS('350配方'!$M261:$P261,'350配方'!$Y261:$AB261,232)</x:f>
        <x:v>0</x:v>
      </x:c>
      <x:c r="AH261" s="9" t="n">
        <x:f>SUMIFS('350配方'!$M261:$P261,'350配方'!$Y261:$AB261,255)</x:f>
        <x:v>0</x:v>
      </x:c>
      <x:c r="AI261" s="9" t="n">
        <x:f>'浓度设置'!S6</x:f>
        <x:v>219125.9626344086</x:v>
      </x:c>
      <x:c r="AJ261" s="9" t="n">
        <x:f>'浓度设置'!S8</x:f>
        <x:v>92796.92267241378</x:v>
      </x:c>
      <x:c r="AK261" s="9" t="n">
        <x:f>'浓度设置'!S10</x:f>
        <x:v>30556.797802197798</x:v>
      </x:c>
      <x:c r="AL261" s="9" t="n">
        <x:f>'浓度设置'!S12</x:f>
        <x:v>1735.828970588235</x:v>
      </x:c>
      <x:c r="AM261" s="9" t="n">
        <x:f>'浓度设置'!S15</x:f>
        <x:v>7385.813644067793</x:v>
      </x:c>
      <x:c r="AN261" s="9" t="n">
        <x:f>'浓度设置'!S19</x:f>
        <x:v>27722.03097701148</x:v>
      </x:c>
      <x:c r="AO261" s="9" t="n">
        <x:f>'浓度设置'!S22</x:f>
        <x:v>44345.55047619048</x:v>
      </x:c>
      <x:c r="AP261" s="9" t="n">
        <x:f>'浓度设置'!S26</x:f>
        <x:v>153318.30499999996</x:v>
      </x:c>
      <x:c r="AQ261" s="9" t="n">
        <x:f>'浓度设置'!S29</x:f>
        <x:v>312.7970588235294</x:v>
      </x:c>
      <x:c r="AR261" s="9" t="n">
        <x:f>'浓度设置'!S30</x:f>
        <x:v>104175.5097553192</x:v>
      </x:c>
      <x:c r="AS261" s="9" t="n">
        <x:f>'浓度设置'!S35</x:f>
        <x:v>405974.90656785714</x:v>
      </x:c>
    </x:row>
    <x:row r="262" ht="24" customHeight="1">
      <x:c r="A262" s="3" t="str">
        <x:f>'350配方'!A262</x:f>
        <x:v>T257</x:v>
      </x:c>
      <x:c r="B262" s="3" t="str">
        <x:f>'350配方'!B262</x:f>
        <x:v>拟合</x:v>
      </x:c>
      <x:c r="C262" s="3" t="n">
        <x:f>IF(B262="拟合",1,0)</x:f>
        <x:v>1</x:v>
      </x:c>
      <x:c r="D262" s="3" t="n">
        <x:f>'350配方'!AC262</x:f>
        <x:v>4</x:v>
      </x:c>
      <x:c r="E262" s="9" t="n">
        <x:f>SUMIFS('350配方'!$M262:$P262,'350配方'!$Y262:$AB262,7)</x:f>
        <x:v>0</x:v>
      </x:c>
      <x:c r="F262" s="9" t="n">
        <x:f>SUMIFS('350配方'!$M262:$P262,'350配方'!$Y262:$AB262,11)</x:f>
        <x:v>0</x:v>
      </x:c>
      <x:c r="G262" s="9" t="n">
        <x:f>SUMIFS('350配方'!$M262:$P262,'350配方'!$Y262:$AB262,18)</x:f>
        <x:v>0</x:v>
      </x:c>
      <x:c r="H262" s="9" t="n">
        <x:f>SUMIFS('350配方'!$M262:$P262,'350配方'!$Y262:$AB262,32)</x:f>
        <x:v>0</x:v>
      </x:c>
      <x:c r="I262" s="9" t="n">
        <x:f>SUMIFS('350配方'!$M262:$P262,'350配方'!$Y262:$AB262,40)</x:f>
        <x:v>0</x:v>
      </x:c>
      <x:c r="J262" s="9" t="n">
        <x:f>SUMIFS('350配方'!$M262:$P262,'350配方'!$Y262:$AB262,52)</x:f>
        <x:v>0</x:v>
      </x:c>
      <x:c r="K262" s="9" t="n">
        <x:f>SUMIFS('350配方'!$M262:$P262,'350配方'!$Y262:$AB262,53)</x:f>
        <x:v>0</x:v>
      </x:c>
      <x:c r="L262" s="9" t="n">
        <x:f>SUMIFS('350配方'!$M262:$P262,'350配方'!$Y262:$AB262,56)</x:f>
        <x:v>4105</x:v>
      </x:c>
      <x:c r="M262" s="9" t="n">
        <x:f>SUMIFS('350配方'!$M262:$P262,'350配方'!$Y262:$AB262,58)</x:f>
        <x:v>3072.731960324558</x:v>
      </x:c>
      <x:c r="N262" s="9" t="n">
        <x:f>SUMIFS('350配方'!$M262:$P262,'350配方'!$Y262:$AB262,61)</x:f>
        <x:v>0</x:v>
      </x:c>
      <x:c r="O262" s="9" t="n">
        <x:f>SUMIFS('350配方'!$M262:$P262,'350配方'!$Y262:$AB262,69)</x:f>
        <x:v>0</x:v>
      </x:c>
      <x:c r="P262" s="9" t="n">
        <x:f>SUMIFS('350配方'!$M262:$P262,'350配方'!$Y262:$AB262,75)</x:f>
        <x:v>0</x:v>
      </x:c>
      <x:c r="Q262" s="9" t="n">
        <x:f>SUMIFS('350配方'!$M262:$P262,'350配方'!$Y262:$AB262,79)</x:f>
        <x:v>0</x:v>
      </x:c>
      <x:c r="R262" s="9" t="n">
        <x:f>SUMIFS('350配方'!$M262:$P262,'350配方'!$Y262:$AB262,90)</x:f>
        <x:v>0</x:v>
      </x:c>
      <x:c r="S262" s="9" t="n">
        <x:f>SUMIFS('350配方'!$M262:$P262,'350配方'!$Y262:$AB262,105)</x:f>
        <x:v>0</x:v>
      </x:c>
      <x:c r="T262" s="9" t="n">
        <x:f>SUMIFS('350配方'!$M262:$P262,'350配方'!$Y262:$AB262,111)</x:f>
        <x:v>0</x:v>
      </x:c>
      <x:c r="U262" s="9" t="n">
        <x:f>SUMIFS('350配方'!$M262:$P262,'350配方'!$Y262:$AB262,114)</x:f>
        <x:v>0</x:v>
      </x:c>
      <x:c r="V262" s="9" t="n">
        <x:f>SUMIFS('350配方'!$M262:$P262,'350配方'!$Y262:$AB262,115)</x:f>
        <x:v>1.44</x:v>
      </x:c>
      <x:c r="W262" s="9" t="n">
        <x:f>SUMIFS('350配方'!$M262:$P262,'350配方'!$Y262:$AB262,117)</x:f>
        <x:v>0</x:v>
      </x:c>
      <x:c r="X262" s="9" t="n">
        <x:f>SUMIFS('350配方'!$M262:$P262,'350配方'!$Y262:$AB262,126)</x:f>
        <x:v>0</x:v>
      </x:c>
      <x:c r="Y262" s="9" t="n">
        <x:f>SUMIFS('350配方'!$M262:$P262,'350配方'!$Y262:$AB262,136)</x:f>
        <x:v>0</x:v>
      </x:c>
      <x:c r="Z262" s="9" t="n">
        <x:f>SUMIFS('350配方'!$M262:$P262,'350配方'!$Y262:$AB262,141)</x:f>
        <x:v>0</x:v>
      </x:c>
      <x:c r="AA262" s="9" t="n">
        <x:f>SUMIFS('350配方'!$M262:$P262,'350配方'!$Y262:$AB262,152)</x:f>
        <x:v>0</x:v>
      </x:c>
      <x:c r="AB262" s="9" t="n">
        <x:f>SUMIFS('350配方'!$M262:$P262,'350配方'!$Y262:$AB262,165)</x:f>
        <x:v>0</x:v>
      </x:c>
      <x:c r="AC262" s="9" t="n">
        <x:f>SUMIFS('350配方'!$M262:$P262,'350配方'!$Y262:$AB262,186)</x:f>
        <x:v>0</x:v>
      </x:c>
      <x:c r="AD262" s="9" t="n">
        <x:f>SUMIFS('350配方'!$M262:$P262,'350配方'!$Y262:$AB262,207)</x:f>
        <x:v>0</x:v>
      </x:c>
      <x:c r="AE262" s="9" t="n">
        <x:f>SUMIFS('350配方'!$M262:$P262,'350配方'!$Y262:$AB262,209)</x:f>
        <x:v>0</x:v>
      </x:c>
      <x:c r="AF262" s="9" t="n">
        <x:f>SUMIFS('350配方'!$M262:$P262,'350配方'!$Y262:$AB262,227)</x:f>
        <x:v>0</x:v>
      </x:c>
      <x:c r="AG262" s="9" t="n">
        <x:f>SUMIFS('350配方'!$M262:$P262,'350配方'!$Y262:$AB262,232)</x:f>
        <x:v>1611</x:v>
      </x:c>
      <x:c r="AH262" s="9" t="n">
        <x:f>SUMIFS('350配方'!$M262:$P262,'350配方'!$Y262:$AB262,255)</x:f>
        <x:v>0</x:v>
      </x:c>
      <x:c r="AI262" s="9" t="n">
        <x:f>'浓度设置'!S6</x:f>
        <x:v>219125.9626344086</x:v>
      </x:c>
      <x:c r="AJ262" s="9" t="n">
        <x:f>'浓度设置'!S8</x:f>
        <x:v>92796.92267241378</x:v>
      </x:c>
      <x:c r="AK262" s="9" t="n">
        <x:f>'浓度设置'!S10</x:f>
        <x:v>30556.797802197798</x:v>
      </x:c>
      <x:c r="AL262" s="9" t="n">
        <x:f>'浓度设置'!S12</x:f>
        <x:v>1735.828970588235</x:v>
      </x:c>
      <x:c r="AM262" s="9" t="n">
        <x:f>'浓度设置'!S15</x:f>
        <x:v>7385.813644067793</x:v>
      </x:c>
      <x:c r="AN262" s="9" t="n">
        <x:f>'浓度设置'!S19</x:f>
        <x:v>27722.03097701148</x:v>
      </x:c>
      <x:c r="AO262" s="9" t="n">
        <x:f>'浓度设置'!S22</x:f>
        <x:v>44345.55047619048</x:v>
      </x:c>
      <x:c r="AP262" s="9" t="n">
        <x:f>'浓度设置'!S26</x:f>
        <x:v>153318.30499999996</x:v>
      </x:c>
      <x:c r="AQ262" s="9" t="n">
        <x:f>'浓度设置'!S29</x:f>
        <x:v>312.7970588235294</x:v>
      </x:c>
      <x:c r="AR262" s="9" t="n">
        <x:f>'浓度设置'!S30</x:f>
        <x:v>104175.5097553192</x:v>
      </x:c>
      <x:c r="AS262" s="9" t="n">
        <x:f>'浓度设置'!S35</x:f>
        <x:v>405974.90656785714</x:v>
      </x:c>
    </x:row>
    <x:row r="263" ht="24" customHeight="1">
      <x:c r="A263" s="3" t="str">
        <x:f>'350配方'!A263</x:f>
        <x:v>T258</x:v>
      </x:c>
      <x:c r="B263" s="3" t="str">
        <x:f>'350配方'!B263</x:f>
        <x:v>拟合</x:v>
      </x:c>
      <x:c r="C263" s="3" t="n">
        <x:f>IF(B263="拟合",1,0)</x:f>
        <x:v>1</x:v>
      </x:c>
      <x:c r="D263" s="3" t="n">
        <x:f>'350配方'!AC263</x:f>
        <x:v>4</x:v>
      </x:c>
      <x:c r="E263" s="9" t="n">
        <x:f>SUMIFS('350配方'!$M263:$P263,'350配方'!$Y263:$AB263,7)</x:f>
        <x:v>3075.94</x:v>
      </x:c>
      <x:c r="F263" s="9" t="n">
        <x:f>SUMIFS('350配方'!$M263:$P263,'350配方'!$Y263:$AB263,11)</x:f>
        <x:v>1038900</x:v>
      </x:c>
      <x:c r="G263" s="9" t="n">
        <x:f>SUMIFS('350配方'!$M263:$P263,'350配方'!$Y263:$AB263,18)</x:f>
        <x:v>0</x:v>
      </x:c>
      <x:c r="H263" s="9" t="n">
        <x:f>SUMIFS('350配方'!$M263:$P263,'350配方'!$Y263:$AB263,32)</x:f>
        <x:v>0</x:v>
      </x:c>
      <x:c r="I263" s="9" t="n">
        <x:f>SUMIFS('350配方'!$M263:$P263,'350配方'!$Y263:$AB263,40)</x:f>
        <x:v>0</x:v>
      </x:c>
      <x:c r="J263" s="9" t="n">
        <x:f>SUMIFS('350配方'!$M263:$P263,'350配方'!$Y263:$AB263,52)</x:f>
        <x:v>0</x:v>
      </x:c>
      <x:c r="K263" s="9" t="n">
        <x:f>SUMIFS('350配方'!$M263:$P263,'350配方'!$Y263:$AB263,53)</x:f>
        <x:v>0</x:v>
      </x:c>
      <x:c r="L263" s="9" t="n">
        <x:f>SUMIFS('350配方'!$M263:$P263,'350配方'!$Y263:$AB263,56)</x:f>
        <x:v>0</x:v>
      </x:c>
      <x:c r="M263" s="9" t="n">
        <x:f>SUMIFS('350配方'!$M263:$P263,'350配方'!$Y263:$AB263,58)</x:f>
        <x:v>0</x:v>
      </x:c>
      <x:c r="N263" s="9" t="n">
        <x:f>SUMIFS('350配方'!$M263:$P263,'350配方'!$Y263:$AB263,61)</x:f>
        <x:v>0</x:v>
      </x:c>
      <x:c r="O263" s="9" t="n">
        <x:f>SUMIFS('350配方'!$M263:$P263,'350配方'!$Y263:$AB263,69)</x:f>
        <x:v>0</x:v>
      </x:c>
      <x:c r="P263" s="9" t="n">
        <x:f>SUMIFS('350配方'!$M263:$P263,'350配方'!$Y263:$AB263,75)</x:f>
        <x:v>0</x:v>
      </x:c>
      <x:c r="Q263" s="9" t="n">
        <x:f>SUMIFS('350配方'!$M263:$P263,'350配方'!$Y263:$AB263,79)</x:f>
        <x:v>0</x:v>
      </x:c>
      <x:c r="R263" s="9" t="n">
        <x:f>SUMIFS('350配方'!$M263:$P263,'350配方'!$Y263:$AB263,90)</x:f>
        <x:v>1232.25</x:v>
      </x:c>
      <x:c r="S263" s="9" t="n">
        <x:f>SUMIFS('350配方'!$M263:$P263,'350配方'!$Y263:$AB263,105)</x:f>
        <x:v>0</x:v>
      </x:c>
      <x:c r="T263" s="9" t="n">
        <x:f>SUMIFS('350配方'!$M263:$P263,'350配方'!$Y263:$AB263,111)</x:f>
        <x:v>0</x:v>
      </x:c>
      <x:c r="U263" s="9" t="n">
        <x:f>SUMIFS('350配方'!$M263:$P263,'350配方'!$Y263:$AB263,114)</x:f>
        <x:v>0</x:v>
      </x:c>
      <x:c r="V263" s="9" t="n">
        <x:f>SUMIFS('350配方'!$M263:$P263,'350配方'!$Y263:$AB263,115)</x:f>
        <x:v>0</x:v>
      </x:c>
      <x:c r="W263" s="9" t="n">
        <x:f>SUMIFS('350配方'!$M263:$P263,'350配方'!$Y263:$AB263,117)</x:f>
        <x:v>274.54883445390914</x:v>
      </x:c>
      <x:c r="X263" s="9" t="n">
        <x:f>SUMIFS('350配方'!$M263:$P263,'350配方'!$Y263:$AB263,126)</x:f>
        <x:v>0</x:v>
      </x:c>
      <x:c r="Y263" s="9" t="n">
        <x:f>SUMIFS('350配方'!$M263:$P263,'350配方'!$Y263:$AB263,136)</x:f>
        <x:v>0</x:v>
      </x:c>
      <x:c r="Z263" s="9" t="n">
        <x:f>SUMIFS('350配方'!$M263:$P263,'350配方'!$Y263:$AB263,141)</x:f>
        <x:v>0</x:v>
      </x:c>
      <x:c r="AA263" s="9" t="n">
        <x:f>SUMIFS('350配方'!$M263:$P263,'350配方'!$Y263:$AB263,152)</x:f>
        <x:v>0</x:v>
      </x:c>
      <x:c r="AB263" s="9" t="n">
        <x:f>SUMIFS('350配方'!$M263:$P263,'350配方'!$Y263:$AB263,165)</x:f>
        <x:v>0</x:v>
      </x:c>
      <x:c r="AC263" s="9" t="n">
        <x:f>SUMIFS('350配方'!$M263:$P263,'350配方'!$Y263:$AB263,186)</x:f>
        <x:v>0</x:v>
      </x:c>
      <x:c r="AD263" s="9" t="n">
        <x:f>SUMIFS('350配方'!$M263:$P263,'350配方'!$Y263:$AB263,207)</x:f>
        <x:v>0</x:v>
      </x:c>
      <x:c r="AE263" s="9" t="n">
        <x:f>SUMIFS('350配方'!$M263:$P263,'350配方'!$Y263:$AB263,209)</x:f>
        <x:v>0</x:v>
      </x:c>
      <x:c r="AF263" s="9" t="n">
        <x:f>SUMIFS('350配方'!$M263:$P263,'350配方'!$Y263:$AB263,227)</x:f>
        <x:v>0</x:v>
      </x:c>
      <x:c r="AG263" s="9" t="n">
        <x:f>SUMIFS('350配方'!$M263:$P263,'350配方'!$Y263:$AB263,232)</x:f>
        <x:v>0</x:v>
      </x:c>
      <x:c r="AH263" s="9" t="n">
        <x:f>SUMIFS('350配方'!$M263:$P263,'350配方'!$Y263:$AB263,255)</x:f>
        <x:v>0</x:v>
      </x:c>
      <x:c r="AI263" s="9" t="n">
        <x:f>'浓度设置'!S6</x:f>
        <x:v>219125.9626344086</x:v>
      </x:c>
      <x:c r="AJ263" s="9" t="n">
        <x:f>'浓度设置'!S8</x:f>
        <x:v>92796.92267241378</x:v>
      </x:c>
      <x:c r="AK263" s="9" t="n">
        <x:f>'浓度设置'!S10</x:f>
        <x:v>30556.797802197798</x:v>
      </x:c>
      <x:c r="AL263" s="9" t="n">
        <x:f>'浓度设置'!S12</x:f>
        <x:v>1735.828970588235</x:v>
      </x:c>
      <x:c r="AM263" s="9" t="n">
        <x:f>'浓度设置'!S15</x:f>
        <x:v>7385.813644067793</x:v>
      </x:c>
      <x:c r="AN263" s="9" t="n">
        <x:f>'浓度设置'!S19</x:f>
        <x:v>27722.03097701148</x:v>
      </x:c>
      <x:c r="AO263" s="9" t="n">
        <x:f>'浓度设置'!S22</x:f>
        <x:v>44345.55047619048</x:v>
      </x:c>
      <x:c r="AP263" s="9" t="n">
        <x:f>'浓度设置'!S26</x:f>
        <x:v>153318.30499999996</x:v>
      </x:c>
      <x:c r="AQ263" s="9" t="n">
        <x:f>'浓度设置'!S29</x:f>
        <x:v>312.7970588235294</x:v>
      </x:c>
      <x:c r="AR263" s="9" t="n">
        <x:f>'浓度设置'!S30</x:f>
        <x:v>104175.5097553192</x:v>
      </x:c>
      <x:c r="AS263" s="9" t="n">
        <x:f>'浓度设置'!S35</x:f>
        <x:v>405974.90656785714</x:v>
      </x:c>
    </x:row>
    <x:row r="264" ht="24" customHeight="1">
      <x:c r="A264" s="3" t="str">
        <x:f>'350配方'!A264</x:f>
        <x:v>T259</x:v>
      </x:c>
      <x:c r="B264" s="3" t="str">
        <x:f>'350配方'!B264</x:f>
        <x:v>拟合</x:v>
      </x:c>
      <x:c r="C264" s="3" t="n">
        <x:f>IF(B264="拟合",1,0)</x:f>
        <x:v>1</x:v>
      </x:c>
      <x:c r="D264" s="3" t="n">
        <x:f>'350配方'!AC264</x:f>
        <x:v>4</x:v>
      </x:c>
      <x:c r="E264" s="9" t="n">
        <x:f>SUMIFS('350配方'!$M264:$P264,'350配方'!$Y264:$AB264,7)</x:f>
        <x:v>0</x:v>
      </x:c>
      <x:c r="F264" s="9" t="n">
        <x:f>SUMIFS('350配方'!$M264:$P264,'350配方'!$Y264:$AB264,11)</x:f>
        <x:v>0</x:v>
      </x:c>
      <x:c r="G264" s="9" t="n">
        <x:f>SUMIFS('350配方'!$M264:$P264,'350配方'!$Y264:$AB264,18)</x:f>
        <x:v>0</x:v>
      </x:c>
      <x:c r="H264" s="9" t="n">
        <x:f>SUMIFS('350配方'!$M264:$P264,'350配方'!$Y264:$AB264,32)</x:f>
        <x:v>37489</x:v>
      </x:c>
      <x:c r="I264" s="9" t="n">
        <x:f>SUMIFS('350配方'!$M264:$P264,'350配方'!$Y264:$AB264,40)</x:f>
        <x:v>0</x:v>
      </x:c>
      <x:c r="J264" s="9" t="n">
        <x:f>SUMIFS('350配方'!$M264:$P264,'350配方'!$Y264:$AB264,52)</x:f>
        <x:v>0</x:v>
      </x:c>
      <x:c r="K264" s="9" t="n">
        <x:f>SUMIFS('350配方'!$M264:$P264,'350配方'!$Y264:$AB264,53)</x:f>
        <x:v>0</x:v>
      </x:c>
      <x:c r="L264" s="9" t="n">
        <x:f>SUMIFS('350配方'!$M264:$P264,'350配方'!$Y264:$AB264,56)</x:f>
        <x:v>0</x:v>
      </x:c>
      <x:c r="M264" s="9" t="n">
        <x:f>SUMIFS('350配方'!$M264:$P264,'350配方'!$Y264:$AB264,58)</x:f>
        <x:v>0</x:v>
      </x:c>
      <x:c r="N264" s="9" t="n">
        <x:f>SUMIFS('350配方'!$M264:$P264,'350配方'!$Y264:$AB264,61)</x:f>
        <x:v>0</x:v>
      </x:c>
      <x:c r="O264" s="9" t="n">
        <x:f>SUMIFS('350配方'!$M264:$P264,'350配方'!$Y264:$AB264,69)</x:f>
        <x:v>0</x:v>
      </x:c>
      <x:c r="P264" s="9" t="n">
        <x:f>SUMIFS('350配方'!$M264:$P264,'350配方'!$Y264:$AB264,75)</x:f>
        <x:v>0</x:v>
      </x:c>
      <x:c r="Q264" s="9" t="n">
        <x:f>SUMIFS('350配方'!$M264:$P264,'350配方'!$Y264:$AB264,79)</x:f>
        <x:v>0</x:v>
      </x:c>
      <x:c r="R264" s="9" t="n">
        <x:f>SUMIFS('350配方'!$M264:$P264,'350配方'!$Y264:$AB264,90)</x:f>
        <x:v>0</x:v>
      </x:c>
      <x:c r="S264" s="9" t="n">
        <x:f>SUMIFS('350配方'!$M264:$P264,'350配方'!$Y264:$AB264,105)</x:f>
        <x:v>0</x:v>
      </x:c>
      <x:c r="T264" s="9" t="n">
        <x:f>SUMIFS('350配方'!$M264:$P264,'350配方'!$Y264:$AB264,111)</x:f>
        <x:v>0</x:v>
      </x:c>
      <x:c r="U264" s="9" t="n">
        <x:f>SUMIFS('350配方'!$M264:$P264,'350配方'!$Y264:$AB264,114)</x:f>
        <x:v>0</x:v>
      </x:c>
      <x:c r="V264" s="9" t="n">
        <x:f>SUMIFS('350配方'!$M264:$P264,'350配方'!$Y264:$AB264,115)</x:f>
        <x:v>0</x:v>
      </x:c>
      <x:c r="W264" s="9" t="n">
        <x:f>SUMIFS('350配方'!$M264:$P264,'350配方'!$Y264:$AB264,117)</x:f>
        <x:v>0</x:v>
      </x:c>
      <x:c r="X264" s="9" t="n">
        <x:f>SUMIFS('350配方'!$M264:$P264,'350配方'!$Y264:$AB264,126)</x:f>
        <x:v>2.125</x:v>
      </x:c>
      <x:c r="Y264" s="9" t="n">
        <x:f>SUMIFS('350配方'!$M264:$P264,'350配方'!$Y264:$AB264,136)</x:f>
        <x:v>0</x:v>
      </x:c>
      <x:c r="Z264" s="9" t="n">
        <x:f>SUMIFS('350配方'!$M264:$P264,'350配方'!$Y264:$AB264,141)</x:f>
        <x:v>0</x:v>
      </x:c>
      <x:c r="AA264" s="9" t="n">
        <x:f>SUMIFS('350配方'!$M264:$P264,'350配方'!$Y264:$AB264,152)</x:f>
        <x:v>0</x:v>
      </x:c>
      <x:c r="AB264" s="9" t="n">
        <x:f>SUMIFS('350配方'!$M264:$P264,'350配方'!$Y264:$AB264,165)</x:f>
        <x:v>0</x:v>
      </x:c>
      <x:c r="AC264" s="9" t="n">
        <x:f>SUMIFS('350配方'!$M264:$P264,'350配方'!$Y264:$AB264,186)</x:f>
        <x:v>11648000</x:v>
      </x:c>
      <x:c r="AD264" s="9" t="n">
        <x:f>SUMIFS('350配方'!$M264:$P264,'350配方'!$Y264:$AB264,207)</x:f>
        <x:v>0</x:v>
      </x:c>
      <x:c r="AE264" s="9" t="n">
        <x:f>SUMIFS('350配方'!$M264:$P264,'350配方'!$Y264:$AB264,209)</x:f>
        <x:v>0.28</x:v>
      </x:c>
      <x:c r="AF264" s="9" t="n">
        <x:f>SUMIFS('350配方'!$M264:$P264,'350配方'!$Y264:$AB264,227)</x:f>
        <x:v>0</x:v>
      </x:c>
      <x:c r="AG264" s="9" t="n">
        <x:f>SUMIFS('350配方'!$M264:$P264,'350配方'!$Y264:$AB264,232)</x:f>
        <x:v>0</x:v>
      </x:c>
      <x:c r="AH264" s="9" t="n">
        <x:f>SUMIFS('350配方'!$M264:$P264,'350配方'!$Y264:$AB264,255)</x:f>
        <x:v>0</x:v>
      </x:c>
      <x:c r="AI264" s="9" t="n">
        <x:f>'浓度设置'!S6</x:f>
        <x:v>219125.9626344086</x:v>
      </x:c>
      <x:c r="AJ264" s="9" t="n">
        <x:f>'浓度设置'!S8</x:f>
        <x:v>92796.92267241378</x:v>
      </x:c>
      <x:c r="AK264" s="9" t="n">
        <x:f>'浓度设置'!S10</x:f>
        <x:v>30556.797802197798</x:v>
      </x:c>
      <x:c r="AL264" s="9" t="n">
        <x:f>'浓度设置'!S12</x:f>
        <x:v>1735.828970588235</x:v>
      </x:c>
      <x:c r="AM264" s="9" t="n">
        <x:f>'浓度设置'!S15</x:f>
        <x:v>7385.813644067793</x:v>
      </x:c>
      <x:c r="AN264" s="9" t="n">
        <x:f>'浓度设置'!S19</x:f>
        <x:v>27722.03097701148</x:v>
      </x:c>
      <x:c r="AO264" s="9" t="n">
        <x:f>'浓度设置'!S22</x:f>
        <x:v>44345.55047619048</x:v>
      </x:c>
      <x:c r="AP264" s="9" t="n">
        <x:f>'浓度设置'!S26</x:f>
        <x:v>153318.30499999996</x:v>
      </x:c>
      <x:c r="AQ264" s="9" t="n">
        <x:f>'浓度设置'!S29</x:f>
        <x:v>312.7970588235294</x:v>
      </x:c>
      <x:c r="AR264" s="9" t="n">
        <x:f>'浓度设置'!S30</x:f>
        <x:v>104175.5097553192</x:v>
      </x:c>
      <x:c r="AS264" s="9" t="n">
        <x:f>'浓度设置'!S35</x:f>
        <x:v>405974.90656785714</x:v>
      </x:c>
    </x:row>
    <x:row r="265" ht="24" customHeight="1">
      <x:c r="A265" s="3" t="str">
        <x:f>'350配方'!A265</x:f>
        <x:v>T260</x:v>
      </x:c>
      <x:c r="B265" s="3" t="str">
        <x:f>'350配方'!B265</x:f>
        <x:v>拟合</x:v>
      </x:c>
      <x:c r="C265" s="3" t="n">
        <x:f>IF(B265="拟合",1,0)</x:f>
        <x:v>1</x:v>
      </x:c>
      <x:c r="D265" s="3" t="n">
        <x:f>'350配方'!AC265</x:f>
        <x:v>4</x:v>
      </x:c>
      <x:c r="E265" s="9" t="n">
        <x:f>SUMIFS('350配方'!$M265:$P265,'350配方'!$Y265:$AB265,7)</x:f>
        <x:v>0</x:v>
      </x:c>
      <x:c r="F265" s="9" t="n">
        <x:f>SUMIFS('350配方'!$M265:$P265,'350配方'!$Y265:$AB265,11)</x:f>
        <x:v>0</x:v>
      </x:c>
      <x:c r="G265" s="9" t="n">
        <x:f>SUMIFS('350配方'!$M265:$P265,'350配方'!$Y265:$AB265,18)</x:f>
        <x:v>0</x:v>
      </x:c>
      <x:c r="H265" s="9" t="n">
        <x:f>SUMIFS('350配方'!$M265:$P265,'350配方'!$Y265:$AB265,32)</x:f>
        <x:v>0</x:v>
      </x:c>
      <x:c r="I265" s="9" t="n">
        <x:f>SUMIFS('350配方'!$M265:$P265,'350配方'!$Y265:$AB265,40)</x:f>
        <x:v>0</x:v>
      </x:c>
      <x:c r="J265" s="9" t="n">
        <x:f>SUMIFS('350配方'!$M265:$P265,'350配方'!$Y265:$AB265,52)</x:f>
        <x:v>0</x:v>
      </x:c>
      <x:c r="K265" s="9" t="n">
        <x:f>SUMIFS('350配方'!$M265:$P265,'350配方'!$Y265:$AB265,53)</x:f>
        <x:v>0</x:v>
      </x:c>
      <x:c r="L265" s="9" t="n">
        <x:f>SUMIFS('350配方'!$M265:$P265,'350配方'!$Y265:$AB265,56)</x:f>
        <x:v>0</x:v>
      </x:c>
      <x:c r="M265" s="9" t="n">
        <x:f>SUMIFS('350配方'!$M265:$P265,'350配方'!$Y265:$AB265,58)</x:f>
        <x:v>0</x:v>
      </x:c>
      <x:c r="N265" s="9" t="n">
        <x:f>SUMIFS('350配方'!$M265:$P265,'350配方'!$Y265:$AB265,61)</x:f>
        <x:v>0</x:v>
      </x:c>
      <x:c r="O265" s="9" t="n">
        <x:f>SUMIFS('350配方'!$M265:$P265,'350配方'!$Y265:$AB265,69)</x:f>
        <x:v>0.83</x:v>
      </x:c>
      <x:c r="P265" s="9" t="n">
        <x:f>SUMIFS('350配方'!$M265:$P265,'350配方'!$Y265:$AB265,75)</x:f>
        <x:v>0</x:v>
      </x:c>
      <x:c r="Q265" s="9" t="n">
        <x:f>SUMIFS('350配方'!$M265:$P265,'350配方'!$Y265:$AB265,79)</x:f>
        <x:v>0</x:v>
      </x:c>
      <x:c r="R265" s="9" t="n">
        <x:f>SUMIFS('350配方'!$M265:$P265,'350配方'!$Y265:$AB265,90)</x:f>
        <x:v>1232.25</x:v>
      </x:c>
      <x:c r="S265" s="9" t="n">
        <x:f>SUMIFS('350配方'!$M265:$P265,'350配方'!$Y265:$AB265,105)</x:f>
        <x:v>0</x:v>
      </x:c>
      <x:c r="T265" s="9" t="n">
        <x:f>SUMIFS('350配方'!$M265:$P265,'350配方'!$Y265:$AB265,111)</x:f>
        <x:v>9622120</x:v>
      </x:c>
      <x:c r="U265" s="9" t="n">
        <x:f>SUMIFS('350配方'!$M265:$P265,'350配方'!$Y265:$AB265,114)</x:f>
        <x:v>0</x:v>
      </x:c>
      <x:c r="V265" s="9" t="n">
        <x:f>SUMIFS('350配方'!$M265:$P265,'350配方'!$Y265:$AB265,115)</x:f>
        <x:v>0</x:v>
      </x:c>
      <x:c r="W265" s="9" t="n">
        <x:f>SUMIFS('350配方'!$M265:$P265,'350配方'!$Y265:$AB265,117)</x:f>
        <x:v>0</x:v>
      </x:c>
      <x:c r="X265" s="9" t="n">
        <x:f>SUMIFS('350配方'!$M265:$P265,'350配方'!$Y265:$AB265,126)</x:f>
        <x:v>0</x:v>
      </x:c>
      <x:c r="Y265" s="9" t="n">
        <x:f>SUMIFS('350配方'!$M265:$P265,'350配方'!$Y265:$AB265,136)</x:f>
        <x:v>0</x:v>
      </x:c>
      <x:c r="Z265" s="9" t="n">
        <x:f>SUMIFS('350配方'!$M265:$P265,'350配方'!$Y265:$AB265,141)</x:f>
        <x:v>0</x:v>
      </x:c>
      <x:c r="AA265" s="9" t="n">
        <x:f>SUMIFS('350配方'!$M265:$P265,'350配方'!$Y265:$AB265,152)</x:f>
        <x:v>0</x:v>
      </x:c>
      <x:c r="AB265" s="9" t="n">
        <x:f>SUMIFS('350配方'!$M265:$P265,'350配方'!$Y265:$AB265,165)</x:f>
        <x:v>0</x:v>
      </x:c>
      <x:c r="AC265" s="9" t="n">
        <x:f>SUMIFS('350配方'!$M265:$P265,'350配方'!$Y265:$AB265,186)</x:f>
        <x:v>0</x:v>
      </x:c>
      <x:c r="AD265" s="9" t="n">
        <x:f>SUMIFS('350配方'!$M265:$P265,'350配方'!$Y265:$AB265,207)</x:f>
        <x:v>0</x:v>
      </x:c>
      <x:c r="AE265" s="9" t="n">
        <x:f>SUMIFS('350配方'!$M265:$P265,'350配方'!$Y265:$AB265,209)</x:f>
        <x:v>0</x:v>
      </x:c>
      <x:c r="AF265" s="9" t="n">
        <x:f>SUMIFS('350配方'!$M265:$P265,'350配方'!$Y265:$AB265,227)</x:f>
        <x:v>0</x:v>
      </x:c>
      <x:c r="AG265" s="9" t="n">
        <x:f>SUMIFS('350配方'!$M265:$P265,'350配方'!$Y265:$AB265,232)</x:f>
        <x:v>0</x:v>
      </x:c>
      <x:c r="AH265" s="9" t="n">
        <x:f>SUMIFS('350配方'!$M265:$P265,'350配方'!$Y265:$AB265,255)</x:f>
        <x:v>60.76</x:v>
      </x:c>
      <x:c r="AI265" s="9" t="n">
        <x:f>'浓度设置'!S6</x:f>
        <x:v>219125.9626344086</x:v>
      </x:c>
      <x:c r="AJ265" s="9" t="n">
        <x:f>'浓度设置'!S8</x:f>
        <x:v>92796.92267241378</x:v>
      </x:c>
      <x:c r="AK265" s="9" t="n">
        <x:f>'浓度设置'!S10</x:f>
        <x:v>30556.797802197798</x:v>
      </x:c>
      <x:c r="AL265" s="9" t="n">
        <x:f>'浓度设置'!S12</x:f>
        <x:v>1735.828970588235</x:v>
      </x:c>
      <x:c r="AM265" s="9" t="n">
        <x:f>'浓度设置'!S15</x:f>
        <x:v>7385.813644067793</x:v>
      </x:c>
      <x:c r="AN265" s="9" t="n">
        <x:f>'浓度设置'!S19</x:f>
        <x:v>27722.03097701148</x:v>
      </x:c>
      <x:c r="AO265" s="9" t="n">
        <x:f>'浓度设置'!S22</x:f>
        <x:v>44345.55047619048</x:v>
      </x:c>
      <x:c r="AP265" s="9" t="n">
        <x:f>'浓度设置'!S26</x:f>
        <x:v>153318.30499999996</x:v>
      </x:c>
      <x:c r="AQ265" s="9" t="n">
        <x:f>'浓度设置'!S29</x:f>
        <x:v>312.7970588235294</x:v>
      </x:c>
      <x:c r="AR265" s="9" t="n">
        <x:f>'浓度设置'!S30</x:f>
        <x:v>104175.5097553192</x:v>
      </x:c>
      <x:c r="AS265" s="9" t="n">
        <x:f>'浓度设置'!S35</x:f>
        <x:v>405974.90656785714</x:v>
      </x:c>
    </x:row>
    <x:row r="266" ht="24" customHeight="1">
      <x:c r="A266" s="3" t="str">
        <x:f>'350配方'!A266</x:f>
        <x:v>T261</x:v>
      </x:c>
      <x:c r="B266" s="3" t="str">
        <x:f>'350配方'!B266</x:f>
        <x:v>拟合</x:v>
      </x:c>
      <x:c r="C266" s="3" t="n">
        <x:f>IF(B266="拟合",1,0)</x:f>
        <x:v>1</x:v>
      </x:c>
      <x:c r="D266" s="3" t="n">
        <x:f>'350配方'!AC266</x:f>
        <x:v>4</x:v>
      </x:c>
      <x:c r="E266" s="9" t="n">
        <x:f>SUMIFS('350配方'!$M266:$P266,'350配方'!$Y266:$AB266,7)</x:f>
        <x:v>173</x:v>
      </x:c>
      <x:c r="F266" s="9" t="n">
        <x:f>SUMIFS('350配方'!$M266:$P266,'350配方'!$Y266:$AB266,11)</x:f>
        <x:v>0</x:v>
      </x:c>
      <x:c r="G266" s="9" t="n">
        <x:f>SUMIFS('350配方'!$M266:$P266,'350配方'!$Y266:$AB266,18)</x:f>
        <x:v>1183.2582135780847</x:v>
      </x:c>
      <x:c r="H266" s="9" t="n">
        <x:f>SUMIFS('350配方'!$M266:$P266,'350配方'!$Y266:$AB266,32)</x:f>
        <x:v>0</x:v>
      </x:c>
      <x:c r="I266" s="9" t="n">
        <x:f>SUMIFS('350配方'!$M266:$P266,'350配方'!$Y266:$AB266,40)</x:f>
        <x:v>0</x:v>
      </x:c>
      <x:c r="J266" s="9" t="n">
        <x:f>SUMIFS('350配方'!$M266:$P266,'350配方'!$Y266:$AB266,52)</x:f>
        <x:v>0</x:v>
      </x:c>
      <x:c r="K266" s="9" t="n">
        <x:f>SUMIFS('350配方'!$M266:$P266,'350配方'!$Y266:$AB266,53)</x:f>
        <x:v>0</x:v>
      </x:c>
      <x:c r="L266" s="9" t="n">
        <x:f>SUMIFS('350配方'!$M266:$P266,'350配方'!$Y266:$AB266,56)</x:f>
        <x:v>0</x:v>
      </x:c>
      <x:c r="M266" s="9" t="n">
        <x:f>SUMIFS('350配方'!$M266:$P266,'350配方'!$Y266:$AB266,58)</x:f>
        <x:v>0</x:v>
      </x:c>
      <x:c r="N266" s="9" t="n">
        <x:f>SUMIFS('350配方'!$M266:$P266,'350配方'!$Y266:$AB266,61)</x:f>
        <x:v>0</x:v>
      </x:c>
      <x:c r="O266" s="9" t="n">
        <x:f>SUMIFS('350配方'!$M266:$P266,'350配方'!$Y266:$AB266,69)</x:f>
        <x:v>0</x:v>
      </x:c>
      <x:c r="P266" s="9" t="n">
        <x:f>SUMIFS('350配方'!$M266:$P266,'350配方'!$Y266:$AB266,75)</x:f>
        <x:v>331.2476415010377</x:v>
      </x:c>
      <x:c r="Q266" s="9" t="n">
        <x:f>SUMIFS('350配方'!$M266:$P266,'350配方'!$Y266:$AB266,79)</x:f>
        <x:v>0</x:v>
      </x:c>
      <x:c r="R266" s="9" t="n">
        <x:f>SUMIFS('350配方'!$M266:$P266,'350配方'!$Y266:$AB266,90)</x:f>
        <x:v>0</x:v>
      </x:c>
      <x:c r="S266" s="9" t="n">
        <x:f>SUMIFS('350配方'!$M266:$P266,'350配方'!$Y266:$AB266,105)</x:f>
        <x:v>15730</x:v>
      </x:c>
      <x:c r="T266" s="9" t="n">
        <x:f>SUMIFS('350配方'!$M266:$P266,'350配方'!$Y266:$AB266,111)</x:f>
        <x:v>0</x:v>
      </x:c>
      <x:c r="U266" s="9" t="n">
        <x:f>SUMIFS('350配方'!$M266:$P266,'350配方'!$Y266:$AB266,114)</x:f>
        <x:v>0</x:v>
      </x:c>
      <x:c r="V266" s="9" t="n">
        <x:f>SUMIFS('350配方'!$M266:$P266,'350配方'!$Y266:$AB266,115)</x:f>
        <x:v>0</x:v>
      </x:c>
      <x:c r="W266" s="9" t="n">
        <x:f>SUMIFS('350配方'!$M266:$P266,'350配方'!$Y266:$AB266,117)</x:f>
        <x:v>0</x:v>
      </x:c>
      <x:c r="X266" s="9" t="n">
        <x:f>SUMIFS('350配方'!$M266:$P266,'350配方'!$Y266:$AB266,126)</x:f>
        <x:v>0</x:v>
      </x:c>
      <x:c r="Y266" s="9" t="n">
        <x:f>SUMIFS('350配方'!$M266:$P266,'350配方'!$Y266:$AB266,136)</x:f>
        <x:v>0</x:v>
      </x:c>
      <x:c r="Z266" s="9" t="n">
        <x:f>SUMIFS('350配方'!$M266:$P266,'350配方'!$Y266:$AB266,141)</x:f>
        <x:v>0</x:v>
      </x:c>
      <x:c r="AA266" s="9" t="n">
        <x:f>SUMIFS('350配方'!$M266:$P266,'350配方'!$Y266:$AB266,152)</x:f>
        <x:v>0</x:v>
      </x:c>
      <x:c r="AB266" s="9" t="n">
        <x:f>SUMIFS('350配方'!$M266:$P266,'350配方'!$Y266:$AB266,165)</x:f>
        <x:v>0</x:v>
      </x:c>
      <x:c r="AC266" s="9" t="n">
        <x:f>SUMIFS('350配方'!$M266:$P266,'350配方'!$Y266:$AB266,186)</x:f>
        <x:v>0</x:v>
      </x:c>
      <x:c r="AD266" s="9" t="n">
        <x:f>SUMIFS('350配方'!$M266:$P266,'350配方'!$Y266:$AB266,207)</x:f>
        <x:v>0</x:v>
      </x:c>
      <x:c r="AE266" s="9" t="n">
        <x:f>SUMIFS('350配方'!$M266:$P266,'350配方'!$Y266:$AB266,209)</x:f>
        <x:v>0</x:v>
      </x:c>
      <x:c r="AF266" s="9" t="n">
        <x:f>SUMIFS('350配方'!$M266:$P266,'350配方'!$Y266:$AB266,227)</x:f>
        <x:v>0</x:v>
      </x:c>
      <x:c r="AG266" s="9" t="n">
        <x:f>SUMIFS('350配方'!$M266:$P266,'350配方'!$Y266:$AB266,232)</x:f>
        <x:v>0</x:v>
      </x:c>
      <x:c r="AH266" s="9" t="n">
        <x:f>SUMIFS('350配方'!$M266:$P266,'350配方'!$Y266:$AB266,255)</x:f>
        <x:v>0</x:v>
      </x:c>
      <x:c r="AI266" s="9" t="n">
        <x:f>'浓度设置'!S6</x:f>
        <x:v>219125.9626344086</x:v>
      </x:c>
      <x:c r="AJ266" s="9" t="n">
        <x:f>'浓度设置'!S8</x:f>
        <x:v>92796.92267241378</x:v>
      </x:c>
      <x:c r="AK266" s="9" t="n">
        <x:f>'浓度设置'!S10</x:f>
        <x:v>30556.797802197798</x:v>
      </x:c>
      <x:c r="AL266" s="9" t="n">
        <x:f>'浓度设置'!S12</x:f>
        <x:v>1735.828970588235</x:v>
      </x:c>
      <x:c r="AM266" s="9" t="n">
        <x:f>'浓度设置'!S15</x:f>
        <x:v>7385.813644067793</x:v>
      </x:c>
      <x:c r="AN266" s="9" t="n">
        <x:f>'浓度设置'!S19</x:f>
        <x:v>27722.03097701148</x:v>
      </x:c>
      <x:c r="AO266" s="9" t="n">
        <x:f>'浓度设置'!S22</x:f>
        <x:v>44345.55047619048</x:v>
      </x:c>
      <x:c r="AP266" s="9" t="n">
        <x:f>'浓度设置'!S26</x:f>
        <x:v>153318.30499999996</x:v>
      </x:c>
      <x:c r="AQ266" s="9" t="n">
        <x:f>'浓度设置'!S29</x:f>
        <x:v>312.7970588235294</x:v>
      </x:c>
      <x:c r="AR266" s="9" t="n">
        <x:f>'浓度设置'!S30</x:f>
        <x:v>104175.5097553192</x:v>
      </x:c>
      <x:c r="AS266" s="9" t="n">
        <x:f>'浓度设置'!S35</x:f>
        <x:v>405974.90656785714</x:v>
      </x:c>
    </x:row>
    <x:row r="267" ht="24" customHeight="1">
      <x:c r="A267" s="3" t="str">
        <x:f>'350配方'!A267</x:f>
        <x:v>T262</x:v>
      </x:c>
      <x:c r="B267" s="3" t="str">
        <x:f>'350配方'!B267</x:f>
        <x:v>拟合</x:v>
      </x:c>
      <x:c r="C267" s="3" t="n">
        <x:f>IF(B267="拟合",1,0)</x:f>
        <x:v>1</x:v>
      </x:c>
      <x:c r="D267" s="3" t="n">
        <x:f>'350配方'!AC267</x:f>
        <x:v>4</x:v>
      </x:c>
      <x:c r="E267" s="9" t="n">
        <x:f>SUMIFS('350配方'!$M267:$P267,'350配方'!$Y267:$AB267,7)</x:f>
        <x:v>0</x:v>
      </x:c>
      <x:c r="F267" s="9" t="n">
        <x:f>SUMIFS('350配方'!$M267:$P267,'350配方'!$Y267:$AB267,11)</x:f>
        <x:v>1038900</x:v>
      </x:c>
      <x:c r="G267" s="9" t="n">
        <x:f>SUMIFS('350配方'!$M267:$P267,'350配方'!$Y267:$AB267,18)</x:f>
        <x:v>0</x:v>
      </x:c>
      <x:c r="H267" s="9" t="n">
        <x:f>SUMIFS('350配方'!$M267:$P267,'350配方'!$Y267:$AB267,32)</x:f>
        <x:v>0</x:v>
      </x:c>
      <x:c r="I267" s="9" t="n">
        <x:f>SUMIFS('350配方'!$M267:$P267,'350配方'!$Y267:$AB267,40)</x:f>
        <x:v>0</x:v>
      </x:c>
      <x:c r="J267" s="9" t="n">
        <x:f>SUMIFS('350配方'!$M267:$P267,'350配方'!$Y267:$AB267,52)</x:f>
        <x:v>0</x:v>
      </x:c>
      <x:c r="K267" s="9" t="n">
        <x:f>SUMIFS('350配方'!$M267:$P267,'350配方'!$Y267:$AB267,53)</x:f>
        <x:v>0</x:v>
      </x:c>
      <x:c r="L267" s="9" t="n">
        <x:f>SUMIFS('350配方'!$M267:$P267,'350配方'!$Y267:$AB267,56)</x:f>
        <x:v>0</x:v>
      </x:c>
      <x:c r="M267" s="9" t="n">
        <x:f>SUMIFS('350配方'!$M267:$P267,'350配方'!$Y267:$AB267,58)</x:f>
        <x:v>0</x:v>
      </x:c>
      <x:c r="N267" s="9" t="n">
        <x:f>SUMIFS('350配方'!$M267:$P267,'350配方'!$Y267:$AB267,61)</x:f>
        <x:v>0</x:v>
      </x:c>
      <x:c r="O267" s="9" t="n">
        <x:f>SUMIFS('350配方'!$M267:$P267,'350配方'!$Y267:$AB267,69)</x:f>
        <x:v>0</x:v>
      </x:c>
      <x:c r="P267" s="9" t="n">
        <x:f>SUMIFS('350配方'!$M267:$P267,'350配方'!$Y267:$AB267,75)</x:f>
        <x:v>0</x:v>
      </x:c>
      <x:c r="Q267" s="9" t="n">
        <x:f>SUMIFS('350配方'!$M267:$P267,'350配方'!$Y267:$AB267,79)</x:f>
        <x:v>0</x:v>
      </x:c>
      <x:c r="R267" s="9" t="n">
        <x:f>SUMIFS('350配方'!$M267:$P267,'350配方'!$Y267:$AB267,90)</x:f>
        <x:v>0</x:v>
      </x:c>
      <x:c r="S267" s="9" t="n">
        <x:f>SUMIFS('350配方'!$M267:$P267,'350配方'!$Y267:$AB267,105)</x:f>
        <x:v>0</x:v>
      </x:c>
      <x:c r="T267" s="9" t="n">
        <x:f>SUMIFS('350配方'!$M267:$P267,'350配方'!$Y267:$AB267,111)</x:f>
        <x:v>0</x:v>
      </x:c>
      <x:c r="U267" s="9" t="n">
        <x:f>SUMIFS('350配方'!$M267:$P267,'350配方'!$Y267:$AB267,114)</x:f>
        <x:v>0</x:v>
      </x:c>
      <x:c r="V267" s="9" t="n">
        <x:f>SUMIFS('350配方'!$M267:$P267,'350配方'!$Y267:$AB267,115)</x:f>
        <x:v>0</x:v>
      </x:c>
      <x:c r="W267" s="9" t="n">
        <x:f>SUMIFS('350配方'!$M267:$P267,'350配方'!$Y267:$AB267,117)</x:f>
        <x:v>0</x:v>
      </x:c>
      <x:c r="X267" s="9" t="n">
        <x:f>SUMIFS('350配方'!$M267:$P267,'350配方'!$Y267:$AB267,126)</x:f>
        <x:v>0</x:v>
      </x:c>
      <x:c r="Y267" s="9" t="n">
        <x:f>SUMIFS('350配方'!$M267:$P267,'350配方'!$Y267:$AB267,136)</x:f>
        <x:v>0</x:v>
      </x:c>
      <x:c r="Z267" s="9" t="n">
        <x:f>SUMIFS('350配方'!$M267:$P267,'350配方'!$Y267:$AB267,141)</x:f>
        <x:v>0</x:v>
      </x:c>
      <x:c r="AA267" s="9" t="n">
        <x:f>SUMIFS('350配方'!$M267:$P267,'350配方'!$Y267:$AB267,152)</x:f>
        <x:v>0</x:v>
      </x:c>
      <x:c r="AB267" s="9" t="n">
        <x:f>SUMIFS('350配方'!$M267:$P267,'350配方'!$Y267:$AB267,165)</x:f>
        <x:v>823.735</x:v>
      </x:c>
      <x:c r="AC267" s="9" t="n">
        <x:f>SUMIFS('350配方'!$M267:$P267,'350配方'!$Y267:$AB267,186)</x:f>
        <x:v>0</x:v>
      </x:c>
      <x:c r="AD267" s="9" t="n">
        <x:f>SUMIFS('350配方'!$M267:$P267,'350配方'!$Y267:$AB267,207)</x:f>
        <x:v>0</x:v>
      </x:c>
      <x:c r="AE267" s="9" t="n">
        <x:f>SUMIFS('350配方'!$M267:$P267,'350配方'!$Y267:$AB267,209)</x:f>
        <x:v>0</x:v>
      </x:c>
      <x:c r="AF267" s="9" t="n">
        <x:f>SUMIFS('350配方'!$M267:$P267,'350配方'!$Y267:$AB267,227)</x:f>
        <x:v>0</x:v>
      </x:c>
      <x:c r="AG267" s="9" t="n">
        <x:f>SUMIFS('350配方'!$M267:$P267,'350配方'!$Y267:$AB267,232)</x:f>
        <x:v>1611</x:v>
      </x:c>
      <x:c r="AH267" s="9" t="n">
        <x:f>SUMIFS('350配方'!$M267:$P267,'350配方'!$Y267:$AB267,255)</x:f>
        <x:v>1.5</x:v>
      </x:c>
      <x:c r="AI267" s="9" t="n">
        <x:f>'浓度设置'!S6</x:f>
        <x:v>219125.9626344086</x:v>
      </x:c>
      <x:c r="AJ267" s="9" t="n">
        <x:f>'浓度设置'!S8</x:f>
        <x:v>92796.92267241378</x:v>
      </x:c>
      <x:c r="AK267" s="9" t="n">
        <x:f>'浓度设置'!S10</x:f>
        <x:v>30556.797802197798</x:v>
      </x:c>
      <x:c r="AL267" s="9" t="n">
        <x:f>'浓度设置'!S12</x:f>
        <x:v>1735.828970588235</x:v>
      </x:c>
      <x:c r="AM267" s="9" t="n">
        <x:f>'浓度设置'!S15</x:f>
        <x:v>7385.813644067793</x:v>
      </x:c>
      <x:c r="AN267" s="9" t="n">
        <x:f>'浓度设置'!S19</x:f>
        <x:v>27722.03097701148</x:v>
      </x:c>
      <x:c r="AO267" s="9" t="n">
        <x:f>'浓度设置'!S22</x:f>
        <x:v>44345.55047619048</x:v>
      </x:c>
      <x:c r="AP267" s="9" t="n">
        <x:f>'浓度设置'!S26</x:f>
        <x:v>153318.30499999996</x:v>
      </x:c>
      <x:c r="AQ267" s="9" t="n">
        <x:f>'浓度设置'!S29</x:f>
        <x:v>312.7970588235294</x:v>
      </x:c>
      <x:c r="AR267" s="9" t="n">
        <x:f>'浓度设置'!S30</x:f>
        <x:v>104175.5097553192</x:v>
      </x:c>
      <x:c r="AS267" s="9" t="n">
        <x:f>'浓度设置'!S35</x:f>
        <x:v>405974.90656785714</x:v>
      </x:c>
    </x:row>
    <x:row r="268" ht="24" customHeight="1">
      <x:c r="A268" s="3" t="str">
        <x:f>'350配方'!A268</x:f>
        <x:v>T263</x:v>
      </x:c>
      <x:c r="B268" s="3" t="str">
        <x:f>'350配方'!B268</x:f>
        <x:v>拟合</x:v>
      </x:c>
      <x:c r="C268" s="3" t="n">
        <x:f>IF(B268="拟合",1,0)</x:f>
        <x:v>1</x:v>
      </x:c>
      <x:c r="D268" s="3" t="n">
        <x:f>'350配方'!AC268</x:f>
        <x:v>4</x:v>
      </x:c>
      <x:c r="E268" s="9" t="n">
        <x:f>SUMIFS('350配方'!$M268:$P268,'350配方'!$Y268:$AB268,7)</x:f>
        <x:v>0</x:v>
      </x:c>
      <x:c r="F268" s="9" t="n">
        <x:f>SUMIFS('350配方'!$M268:$P268,'350配方'!$Y268:$AB268,11)</x:f>
        <x:v>0</x:v>
      </x:c>
      <x:c r="G268" s="9" t="n">
        <x:f>SUMIFS('350配方'!$M268:$P268,'350配方'!$Y268:$AB268,18)</x:f>
        <x:v>0</x:v>
      </x:c>
      <x:c r="H268" s="9" t="n">
        <x:f>SUMIFS('350配方'!$M268:$P268,'350配方'!$Y268:$AB268,32)</x:f>
        <x:v>0</x:v>
      </x:c>
      <x:c r="I268" s="9" t="n">
        <x:f>SUMIFS('350配方'!$M268:$P268,'350配方'!$Y268:$AB268,40)</x:f>
        <x:v>0</x:v>
      </x:c>
      <x:c r="J268" s="9" t="n">
        <x:f>SUMIFS('350配方'!$M268:$P268,'350配方'!$Y268:$AB268,52)</x:f>
        <x:v>0</x:v>
      </x:c>
      <x:c r="K268" s="9" t="n">
        <x:f>SUMIFS('350配方'!$M268:$P268,'350配方'!$Y268:$AB268,53)</x:f>
        <x:v>0</x:v>
      </x:c>
      <x:c r="L268" s="9" t="n">
        <x:f>SUMIFS('350配方'!$M268:$P268,'350配方'!$Y268:$AB268,56)</x:f>
        <x:v>0</x:v>
      </x:c>
      <x:c r="M268" s="9" t="n">
        <x:f>SUMIFS('350配方'!$M268:$P268,'350配方'!$Y268:$AB268,58)</x:f>
        <x:v>1865945</x:v>
      </x:c>
      <x:c r="N268" s="9" t="n">
        <x:f>SUMIFS('350配方'!$M268:$P268,'350配方'!$Y268:$AB268,61)</x:f>
        <x:v>0</x:v>
      </x:c>
      <x:c r="O268" s="9" t="n">
        <x:f>SUMIFS('350配方'!$M268:$P268,'350配方'!$Y268:$AB268,69)</x:f>
        <x:v>0</x:v>
      </x:c>
      <x:c r="P268" s="9" t="n">
        <x:f>SUMIFS('350配方'!$M268:$P268,'350配方'!$Y268:$AB268,75)</x:f>
        <x:v>0</x:v>
      </x:c>
      <x:c r="Q268" s="9" t="n">
        <x:f>SUMIFS('350配方'!$M268:$P268,'350配方'!$Y268:$AB268,79)</x:f>
        <x:v>0</x:v>
      </x:c>
      <x:c r="R268" s="9" t="n">
        <x:f>SUMIFS('350配方'!$M268:$P268,'350配方'!$Y268:$AB268,90)</x:f>
        <x:v>0</x:v>
      </x:c>
      <x:c r="S268" s="9" t="n">
        <x:f>SUMIFS('350配方'!$M268:$P268,'350配方'!$Y268:$AB268,105)</x:f>
        <x:v>0</x:v>
      </x:c>
      <x:c r="T268" s="9" t="n">
        <x:f>SUMIFS('350配方'!$M268:$P268,'350配方'!$Y268:$AB268,111)</x:f>
        <x:v>0</x:v>
      </x:c>
      <x:c r="U268" s="9" t="n">
        <x:f>SUMIFS('350配方'!$M268:$P268,'350配方'!$Y268:$AB268,114)</x:f>
        <x:v>47100</x:v>
      </x:c>
      <x:c r="V268" s="9" t="n">
        <x:f>SUMIFS('350配方'!$M268:$P268,'350配方'!$Y268:$AB268,115)</x:f>
        <x:v>0</x:v>
      </x:c>
      <x:c r="W268" s="9" t="n">
        <x:f>SUMIFS('350配方'!$M268:$P268,'350配方'!$Y268:$AB268,117)</x:f>
        <x:v>0</x:v>
      </x:c>
      <x:c r="X268" s="9" t="n">
        <x:f>SUMIFS('350配方'!$M268:$P268,'350配方'!$Y268:$AB268,126)</x:f>
        <x:v>0</x:v>
      </x:c>
      <x:c r="Y268" s="9" t="n">
        <x:f>SUMIFS('350配方'!$M268:$P268,'350配方'!$Y268:$AB268,136)</x:f>
        <x:v>0</x:v>
      </x:c>
      <x:c r="Z268" s="9" t="n">
        <x:f>SUMIFS('350配方'!$M268:$P268,'350配方'!$Y268:$AB268,141)</x:f>
        <x:v>1512.497272724814</x:v>
      </x:c>
      <x:c r="AA268" s="9" t="n">
        <x:f>SUMIFS('350配方'!$M268:$P268,'350配方'!$Y268:$AB268,152)</x:f>
        <x:v>0</x:v>
      </x:c>
      <x:c r="AB268" s="9" t="n">
        <x:f>SUMIFS('350配方'!$M268:$P268,'350配方'!$Y268:$AB268,165)</x:f>
        <x:v>0</x:v>
      </x:c>
      <x:c r="AC268" s="9" t="n">
        <x:f>SUMIFS('350配方'!$M268:$P268,'350配方'!$Y268:$AB268,186)</x:f>
        <x:v>0</x:v>
      </x:c>
      <x:c r="AD268" s="9" t="n">
        <x:f>SUMIFS('350配方'!$M268:$P268,'350配方'!$Y268:$AB268,207)</x:f>
        <x:v>0</x:v>
      </x:c>
      <x:c r="AE268" s="9" t="n">
        <x:f>SUMIFS('350配方'!$M268:$P268,'350配方'!$Y268:$AB268,209)</x:f>
        <x:v>0</x:v>
      </x:c>
      <x:c r="AF268" s="9" t="n">
        <x:f>SUMIFS('350配方'!$M268:$P268,'350配方'!$Y268:$AB268,227)</x:f>
        <x:v>193759</x:v>
      </x:c>
      <x:c r="AG268" s="9" t="n">
        <x:f>SUMIFS('350配方'!$M268:$P268,'350配方'!$Y268:$AB268,232)</x:f>
        <x:v>0</x:v>
      </x:c>
      <x:c r="AH268" s="9" t="n">
        <x:f>SUMIFS('350配方'!$M268:$P268,'350配方'!$Y268:$AB268,255)</x:f>
        <x:v>0</x:v>
      </x:c>
      <x:c r="AI268" s="9" t="n">
        <x:f>'浓度设置'!S6</x:f>
        <x:v>219125.9626344086</x:v>
      </x:c>
      <x:c r="AJ268" s="9" t="n">
        <x:f>'浓度设置'!S8</x:f>
        <x:v>92796.92267241378</x:v>
      </x:c>
      <x:c r="AK268" s="9" t="n">
        <x:f>'浓度设置'!S10</x:f>
        <x:v>30556.797802197798</x:v>
      </x:c>
      <x:c r="AL268" s="9" t="n">
        <x:f>'浓度设置'!S12</x:f>
        <x:v>1735.828970588235</x:v>
      </x:c>
      <x:c r="AM268" s="9" t="n">
        <x:f>'浓度设置'!S15</x:f>
        <x:v>7385.813644067793</x:v>
      </x:c>
      <x:c r="AN268" s="9" t="n">
        <x:f>'浓度设置'!S19</x:f>
        <x:v>27722.03097701148</x:v>
      </x:c>
      <x:c r="AO268" s="9" t="n">
        <x:f>'浓度设置'!S22</x:f>
        <x:v>44345.55047619048</x:v>
      </x:c>
      <x:c r="AP268" s="9" t="n">
        <x:f>'浓度设置'!S26</x:f>
        <x:v>153318.30499999996</x:v>
      </x:c>
      <x:c r="AQ268" s="9" t="n">
        <x:f>'浓度设置'!S29</x:f>
        <x:v>312.7970588235294</x:v>
      </x:c>
      <x:c r="AR268" s="9" t="n">
        <x:f>'浓度设置'!S30</x:f>
        <x:v>104175.5097553192</x:v>
      </x:c>
      <x:c r="AS268" s="9" t="n">
        <x:f>'浓度设置'!S35</x:f>
        <x:v>405974.90656785714</x:v>
      </x:c>
    </x:row>
    <x:row r="269" ht="24" customHeight="1">
      <x:c r="A269" s="3" t="str">
        <x:f>'350配方'!A269</x:f>
        <x:v>T264</x:v>
      </x:c>
      <x:c r="B269" s="3" t="str">
        <x:f>'350配方'!B269</x:f>
        <x:v>拟合</x:v>
      </x:c>
      <x:c r="C269" s="3" t="n">
        <x:f>IF(B269="拟合",1,0)</x:f>
        <x:v>1</x:v>
      </x:c>
      <x:c r="D269" s="3" t="n">
        <x:f>'350配方'!AC269</x:f>
        <x:v>4</x:v>
      </x:c>
      <x:c r="E269" s="9" t="n">
        <x:f>SUMIFS('350配方'!$M269:$P269,'350配方'!$Y269:$AB269,7)</x:f>
        <x:v>0</x:v>
      </x:c>
      <x:c r="F269" s="9" t="n">
        <x:f>SUMIFS('350配方'!$M269:$P269,'350配方'!$Y269:$AB269,11)</x:f>
        <x:v>0</x:v>
      </x:c>
      <x:c r="G269" s="9" t="n">
        <x:f>SUMIFS('350配方'!$M269:$P269,'350配方'!$Y269:$AB269,18)</x:f>
        <x:v>0</x:v>
      </x:c>
      <x:c r="H269" s="9" t="n">
        <x:f>SUMIFS('350配方'!$M269:$P269,'350配方'!$Y269:$AB269,32)</x:f>
        <x:v>0</x:v>
      </x:c>
      <x:c r="I269" s="9" t="n">
        <x:f>SUMIFS('350配方'!$M269:$P269,'350配方'!$Y269:$AB269,40)</x:f>
        <x:v>200.3122562401013</x:v>
      </x:c>
      <x:c r="J269" s="9" t="n">
        <x:f>SUMIFS('350配方'!$M269:$P269,'350配方'!$Y269:$AB269,52)</x:f>
        <x:v>0</x:v>
      </x:c>
      <x:c r="K269" s="9" t="n">
        <x:f>SUMIFS('350配方'!$M269:$P269,'350配方'!$Y269:$AB269,53)</x:f>
        <x:v>0</x:v>
      </x:c>
      <x:c r="L269" s="9" t="n">
        <x:f>SUMIFS('350配方'!$M269:$P269,'350配方'!$Y269:$AB269,56)</x:f>
        <x:v>1041.8500000000001</x:v>
      </x:c>
      <x:c r="M269" s="9" t="n">
        <x:f>SUMIFS('350配方'!$M269:$P269,'350配方'!$Y269:$AB269,58)</x:f>
        <x:v>0</x:v>
      </x:c>
      <x:c r="N269" s="9" t="n">
        <x:f>SUMIFS('350配方'!$M269:$P269,'350配方'!$Y269:$AB269,61)</x:f>
        <x:v>6914</x:v>
      </x:c>
      <x:c r="O269" s="9" t="n">
        <x:f>SUMIFS('350配方'!$M269:$P269,'350配方'!$Y269:$AB269,69)</x:f>
        <x:v>0</x:v>
      </x:c>
      <x:c r="P269" s="9" t="n">
        <x:f>SUMIFS('350配方'!$M269:$P269,'350配方'!$Y269:$AB269,75)</x:f>
        <x:v>0</x:v>
      </x:c>
      <x:c r="Q269" s="9" t="n">
        <x:f>SUMIFS('350配方'!$M269:$P269,'350配方'!$Y269:$AB269,79)</x:f>
        <x:v>0</x:v>
      </x:c>
      <x:c r="R269" s="9" t="n">
        <x:f>SUMIFS('350配方'!$M269:$P269,'350配方'!$Y269:$AB269,90)</x:f>
        <x:v>0</x:v>
      </x:c>
      <x:c r="S269" s="9" t="n">
        <x:f>SUMIFS('350配方'!$M269:$P269,'350配方'!$Y269:$AB269,105)</x:f>
        <x:v>0</x:v>
      </x:c>
      <x:c r="T269" s="9" t="n">
        <x:f>SUMIFS('350配方'!$M269:$P269,'350配方'!$Y269:$AB269,111)</x:f>
        <x:v>0</x:v>
      </x:c>
      <x:c r="U269" s="9" t="n">
        <x:f>SUMIFS('350配方'!$M269:$P269,'350配方'!$Y269:$AB269,114)</x:f>
        <x:v>0</x:v>
      </x:c>
      <x:c r="V269" s="9" t="n">
        <x:f>SUMIFS('350配方'!$M269:$P269,'350配方'!$Y269:$AB269,115)</x:f>
        <x:v>0</x:v>
      </x:c>
      <x:c r="W269" s="9" t="n">
        <x:f>SUMIFS('350配方'!$M269:$P269,'350配方'!$Y269:$AB269,117)</x:f>
        <x:v>0</x:v>
      </x:c>
      <x:c r="X269" s="9" t="n">
        <x:f>SUMIFS('350配方'!$M269:$P269,'350配方'!$Y269:$AB269,126)</x:f>
        <x:v>0</x:v>
      </x:c>
      <x:c r="Y269" s="9" t="n">
        <x:f>SUMIFS('350配方'!$M269:$P269,'350配方'!$Y269:$AB269,136)</x:f>
        <x:v>0</x:v>
      </x:c>
      <x:c r="Z269" s="9" t="n">
        <x:f>SUMIFS('350配方'!$M269:$P269,'350配方'!$Y269:$AB269,141)</x:f>
        <x:v>0</x:v>
      </x:c>
      <x:c r="AA269" s="9" t="n">
        <x:f>SUMIFS('350配方'!$M269:$P269,'350配方'!$Y269:$AB269,152)</x:f>
        <x:v>0</x:v>
      </x:c>
      <x:c r="AB269" s="9" t="n">
        <x:f>SUMIFS('350配方'!$M269:$P269,'350配方'!$Y269:$AB269,165)</x:f>
        <x:v>0</x:v>
      </x:c>
      <x:c r="AC269" s="9" t="n">
        <x:f>SUMIFS('350配方'!$M269:$P269,'350配方'!$Y269:$AB269,186)</x:f>
        <x:v>0</x:v>
      </x:c>
      <x:c r="AD269" s="9" t="n">
        <x:f>SUMIFS('350配方'!$M269:$P269,'350配方'!$Y269:$AB269,207)</x:f>
        <x:v>0</x:v>
      </x:c>
      <x:c r="AE269" s="9" t="n">
        <x:f>SUMIFS('350配方'!$M269:$P269,'350配方'!$Y269:$AB269,209)</x:f>
        <x:v>4201.44</x:v>
      </x:c>
      <x:c r="AF269" s="9" t="n">
        <x:f>SUMIFS('350配方'!$M269:$P269,'350配方'!$Y269:$AB269,227)</x:f>
        <x:v>0</x:v>
      </x:c>
      <x:c r="AG269" s="9" t="n">
        <x:f>SUMIFS('350配方'!$M269:$P269,'350配方'!$Y269:$AB269,232)</x:f>
        <x:v>0</x:v>
      </x:c>
      <x:c r="AH269" s="9" t="n">
        <x:f>SUMIFS('350配方'!$M269:$P269,'350配方'!$Y269:$AB269,255)</x:f>
        <x:v>0</x:v>
      </x:c>
      <x:c r="AI269" s="9" t="n">
        <x:f>'浓度设置'!S6</x:f>
        <x:v>219125.9626344086</x:v>
      </x:c>
      <x:c r="AJ269" s="9" t="n">
        <x:f>'浓度设置'!S8</x:f>
        <x:v>92796.92267241378</x:v>
      </x:c>
      <x:c r="AK269" s="9" t="n">
        <x:f>'浓度设置'!S10</x:f>
        <x:v>30556.797802197798</x:v>
      </x:c>
      <x:c r="AL269" s="9" t="n">
        <x:f>'浓度设置'!S12</x:f>
        <x:v>1735.828970588235</x:v>
      </x:c>
      <x:c r="AM269" s="9" t="n">
        <x:f>'浓度设置'!S15</x:f>
        <x:v>7385.813644067793</x:v>
      </x:c>
      <x:c r="AN269" s="9" t="n">
        <x:f>'浓度设置'!S19</x:f>
        <x:v>27722.03097701148</x:v>
      </x:c>
      <x:c r="AO269" s="9" t="n">
        <x:f>'浓度设置'!S22</x:f>
        <x:v>44345.55047619048</x:v>
      </x:c>
      <x:c r="AP269" s="9" t="n">
        <x:f>'浓度设置'!S26</x:f>
        <x:v>153318.30499999996</x:v>
      </x:c>
      <x:c r="AQ269" s="9" t="n">
        <x:f>'浓度设置'!S29</x:f>
        <x:v>312.7970588235294</x:v>
      </x:c>
      <x:c r="AR269" s="9" t="n">
        <x:f>'浓度设置'!S30</x:f>
        <x:v>104175.5097553192</x:v>
      </x:c>
      <x:c r="AS269" s="9" t="n">
        <x:f>'浓度设置'!S35</x:f>
        <x:v>405974.90656785714</x:v>
      </x:c>
    </x:row>
    <x:row r="270" ht="24" customHeight="1">
      <x:c r="A270" s="3" t="str">
        <x:f>'350配方'!A270</x:f>
        <x:v>T265</x:v>
      </x:c>
      <x:c r="B270" s="3" t="str">
        <x:f>'350配方'!B270</x:f>
        <x:v>拟合</x:v>
      </x:c>
      <x:c r="C270" s="3" t="n">
        <x:f>IF(B270="拟合",1,0)</x:f>
        <x:v>1</x:v>
      </x:c>
      <x:c r="D270" s="3" t="n">
        <x:f>'350配方'!AC270</x:f>
        <x:v>4</x:v>
      </x:c>
      <x:c r="E270" s="9" t="n">
        <x:f>SUMIFS('350配方'!$M270:$P270,'350配方'!$Y270:$AB270,7)</x:f>
        <x:v>0</x:v>
      </x:c>
      <x:c r="F270" s="9" t="n">
        <x:f>SUMIFS('350配方'!$M270:$P270,'350配方'!$Y270:$AB270,11)</x:f>
        <x:v>0</x:v>
      </x:c>
      <x:c r="G270" s="9" t="n">
        <x:f>SUMIFS('350配方'!$M270:$P270,'350配方'!$Y270:$AB270,18)</x:f>
        <x:v>0</x:v>
      </x:c>
      <x:c r="H270" s="9" t="n">
        <x:f>SUMIFS('350配方'!$M270:$P270,'350配方'!$Y270:$AB270,32)</x:f>
        <x:v>0</x:v>
      </x:c>
      <x:c r="I270" s="9" t="n">
        <x:f>SUMIFS('350配方'!$M270:$P270,'350配方'!$Y270:$AB270,40)</x:f>
        <x:v>0</x:v>
      </x:c>
      <x:c r="J270" s="9" t="n">
        <x:f>SUMIFS('350配方'!$M270:$P270,'350配方'!$Y270:$AB270,52)</x:f>
        <x:v>2338.9306103431118</x:v>
      </x:c>
      <x:c r="K270" s="9" t="n">
        <x:f>SUMIFS('350配方'!$M270:$P270,'350配方'!$Y270:$AB270,53)</x:f>
        <x:v>0</x:v>
      </x:c>
      <x:c r="L270" s="9" t="n">
        <x:f>SUMIFS('350配方'!$M270:$P270,'350配方'!$Y270:$AB270,56)</x:f>
        <x:v>0</x:v>
      </x:c>
      <x:c r="M270" s="9" t="n">
        <x:f>SUMIFS('350配方'!$M270:$P270,'350配方'!$Y270:$AB270,58)</x:f>
        <x:v>0</x:v>
      </x:c>
      <x:c r="N270" s="9" t="n">
        <x:f>SUMIFS('350配方'!$M270:$P270,'350配方'!$Y270:$AB270,61)</x:f>
        <x:v>0</x:v>
      </x:c>
      <x:c r="O270" s="9" t="n">
        <x:f>SUMIFS('350配方'!$M270:$P270,'350配方'!$Y270:$AB270,69)</x:f>
        <x:v>0</x:v>
      </x:c>
      <x:c r="P270" s="9" t="n">
        <x:f>SUMIFS('350配方'!$M270:$P270,'350配方'!$Y270:$AB270,75)</x:f>
        <x:v>0</x:v>
      </x:c>
      <x:c r="Q270" s="9" t="n">
        <x:f>SUMIFS('350配方'!$M270:$P270,'350配方'!$Y270:$AB270,79)</x:f>
        <x:v>0</x:v>
      </x:c>
      <x:c r="R270" s="9" t="n">
        <x:f>SUMIFS('350配方'!$M270:$P270,'350配方'!$Y270:$AB270,90)</x:f>
        <x:v>0</x:v>
      </x:c>
      <x:c r="S270" s="9" t="n">
        <x:f>SUMIFS('350配方'!$M270:$P270,'350配方'!$Y270:$AB270,105)</x:f>
        <x:v>0</x:v>
      </x:c>
      <x:c r="T270" s="9" t="n">
        <x:f>SUMIFS('350配方'!$M270:$P270,'350配方'!$Y270:$AB270,111)</x:f>
        <x:v>0</x:v>
      </x:c>
      <x:c r="U270" s="9" t="n">
        <x:f>SUMIFS('350配方'!$M270:$P270,'350配方'!$Y270:$AB270,114)</x:f>
        <x:v>0</x:v>
      </x:c>
      <x:c r="V270" s="9" t="n">
        <x:f>SUMIFS('350配方'!$M270:$P270,'350配方'!$Y270:$AB270,115)</x:f>
        <x:v>6516</x:v>
      </x:c>
      <x:c r="W270" s="9" t="n">
        <x:f>SUMIFS('350配方'!$M270:$P270,'350配方'!$Y270:$AB270,117)</x:f>
        <x:v>0</x:v>
      </x:c>
      <x:c r="X270" s="9" t="n">
        <x:f>SUMIFS('350配方'!$M270:$P270,'350配方'!$Y270:$AB270,126)</x:f>
        <x:v>0</x:v>
      </x:c>
      <x:c r="Y270" s="9" t="n">
        <x:f>SUMIFS('350配方'!$M270:$P270,'350配方'!$Y270:$AB270,136)</x:f>
        <x:v>1.1875</x:v>
      </x:c>
      <x:c r="Z270" s="9" t="n">
        <x:f>SUMIFS('350配方'!$M270:$P270,'350配方'!$Y270:$AB270,141)</x:f>
        <x:v>0</x:v>
      </x:c>
      <x:c r="AA270" s="9" t="n">
        <x:f>SUMIFS('350配方'!$M270:$P270,'350配方'!$Y270:$AB270,152)</x:f>
        <x:v>0</x:v>
      </x:c>
      <x:c r="AB270" s="9" t="n">
        <x:f>SUMIFS('350配方'!$M270:$P270,'350配方'!$Y270:$AB270,165)</x:f>
        <x:v>0</x:v>
      </x:c>
      <x:c r="AC270" s="9" t="n">
        <x:f>SUMIFS('350配方'!$M270:$P270,'350配方'!$Y270:$AB270,186)</x:f>
        <x:v>0</x:v>
      </x:c>
      <x:c r="AD270" s="9" t="n">
        <x:f>SUMIFS('350配方'!$M270:$P270,'350配方'!$Y270:$AB270,207)</x:f>
        <x:v>16.47573974060042</x:v>
      </x:c>
      <x:c r="AE270" s="9" t="n">
        <x:f>SUMIFS('350配方'!$M270:$P270,'350配方'!$Y270:$AB270,209)</x:f>
        <x:v>0</x:v>
      </x:c>
      <x:c r="AF270" s="9" t="n">
        <x:f>SUMIFS('350配方'!$M270:$P270,'350配方'!$Y270:$AB270,227)</x:f>
        <x:v>0</x:v>
      </x:c>
      <x:c r="AG270" s="9" t="n">
        <x:f>SUMIFS('350配方'!$M270:$P270,'350配方'!$Y270:$AB270,232)</x:f>
        <x:v>0</x:v>
      </x:c>
      <x:c r="AH270" s="9" t="n">
        <x:f>SUMIFS('350配方'!$M270:$P270,'350配方'!$Y270:$AB270,255)</x:f>
        <x:v>0</x:v>
      </x:c>
      <x:c r="AI270" s="9" t="n">
        <x:f>'浓度设置'!S6</x:f>
        <x:v>219125.9626344086</x:v>
      </x:c>
      <x:c r="AJ270" s="9" t="n">
        <x:f>'浓度设置'!S8</x:f>
        <x:v>92796.92267241378</x:v>
      </x:c>
      <x:c r="AK270" s="9" t="n">
        <x:f>'浓度设置'!S10</x:f>
        <x:v>30556.797802197798</x:v>
      </x:c>
      <x:c r="AL270" s="9" t="n">
        <x:f>'浓度设置'!S12</x:f>
        <x:v>1735.828970588235</x:v>
      </x:c>
      <x:c r="AM270" s="9" t="n">
        <x:f>'浓度设置'!S15</x:f>
        <x:v>7385.813644067793</x:v>
      </x:c>
      <x:c r="AN270" s="9" t="n">
        <x:f>'浓度设置'!S19</x:f>
        <x:v>27722.03097701148</x:v>
      </x:c>
      <x:c r="AO270" s="9" t="n">
        <x:f>'浓度设置'!S22</x:f>
        <x:v>44345.55047619048</x:v>
      </x:c>
      <x:c r="AP270" s="9" t="n">
        <x:f>'浓度设置'!S26</x:f>
        <x:v>153318.30499999996</x:v>
      </x:c>
      <x:c r="AQ270" s="9" t="n">
        <x:f>'浓度设置'!S29</x:f>
        <x:v>312.7970588235294</x:v>
      </x:c>
      <x:c r="AR270" s="9" t="n">
        <x:f>'浓度设置'!S30</x:f>
        <x:v>104175.5097553192</x:v>
      </x:c>
      <x:c r="AS270" s="9" t="n">
        <x:f>'浓度设置'!S35</x:f>
        <x:v>405974.90656785714</x:v>
      </x:c>
    </x:row>
    <x:row r="271" ht="24" customHeight="1">
      <x:c r="A271" s="3" t="str">
        <x:f>'350配方'!A271</x:f>
        <x:v>T266</x:v>
      </x:c>
      <x:c r="B271" s="3" t="str">
        <x:f>'350配方'!B271</x:f>
        <x:v>拟合</x:v>
      </x:c>
      <x:c r="C271" s="3" t="n">
        <x:f>IF(B271="拟合",1,0)</x:f>
        <x:v>1</x:v>
      </x:c>
      <x:c r="D271" s="3" t="n">
        <x:f>'350配方'!AC271</x:f>
        <x:v>4</x:v>
      </x:c>
      <x:c r="E271" s="9" t="n">
        <x:f>SUMIFS('350配方'!$M271:$P271,'350配方'!$Y271:$AB271,7)</x:f>
        <x:v>0</x:v>
      </x:c>
      <x:c r="F271" s="9" t="n">
        <x:f>SUMIFS('350配方'!$M271:$P271,'350配方'!$Y271:$AB271,11)</x:f>
        <x:v>0</x:v>
      </x:c>
      <x:c r="G271" s="9" t="n">
        <x:f>SUMIFS('350配方'!$M271:$P271,'350配方'!$Y271:$AB271,18)</x:f>
        <x:v>0</x:v>
      </x:c>
      <x:c r="H271" s="9" t="n">
        <x:f>SUMIFS('350配方'!$M271:$P271,'350配方'!$Y271:$AB271,32)</x:f>
        <x:v>0</x:v>
      </x:c>
      <x:c r="I271" s="9" t="n">
        <x:f>SUMIFS('350配方'!$M271:$P271,'350配方'!$Y271:$AB271,40)</x:f>
        <x:v>0</x:v>
      </x:c>
      <x:c r="J271" s="9" t="n">
        <x:f>SUMIFS('350配方'!$M271:$P271,'350配方'!$Y271:$AB271,52)</x:f>
        <x:v>0</x:v>
      </x:c>
      <x:c r="K271" s="9" t="n">
        <x:f>SUMIFS('350配方'!$M271:$P271,'350配方'!$Y271:$AB271,53)</x:f>
        <x:v>784300</x:v>
      </x:c>
      <x:c r="L271" s="9" t="n">
        <x:f>SUMIFS('350配方'!$M271:$P271,'350配方'!$Y271:$AB271,56)</x:f>
        <x:v>0</x:v>
      </x:c>
      <x:c r="M271" s="9" t="n">
        <x:f>SUMIFS('350配方'!$M271:$P271,'350配方'!$Y271:$AB271,58)</x:f>
        <x:v>0</x:v>
      </x:c>
      <x:c r="N271" s="9" t="n">
        <x:f>SUMIFS('350配方'!$M271:$P271,'350配方'!$Y271:$AB271,61)</x:f>
        <x:v>0</x:v>
      </x:c>
      <x:c r="O271" s="9" t="n">
        <x:f>SUMIFS('350配方'!$M271:$P271,'350配方'!$Y271:$AB271,69)</x:f>
        <x:v>0</x:v>
      </x:c>
      <x:c r="P271" s="9" t="n">
        <x:f>SUMIFS('350配方'!$M271:$P271,'350配方'!$Y271:$AB271,75)</x:f>
        <x:v>0</x:v>
      </x:c>
      <x:c r="Q271" s="9" t="n">
        <x:f>SUMIFS('350配方'!$M271:$P271,'350配方'!$Y271:$AB271,79)</x:f>
        <x:v>1288.255</x:v>
      </x:c>
      <x:c r="R271" s="9" t="n">
        <x:f>SUMIFS('350配方'!$M271:$P271,'350配方'!$Y271:$AB271,90)</x:f>
        <x:v>0</x:v>
      </x:c>
      <x:c r="S271" s="9" t="n">
        <x:f>SUMIFS('350配方'!$M271:$P271,'350配方'!$Y271:$AB271,105)</x:f>
        <x:v>0</x:v>
      </x:c>
      <x:c r="T271" s="9" t="n">
        <x:f>SUMIFS('350配方'!$M271:$P271,'350配方'!$Y271:$AB271,111)</x:f>
        <x:v>0</x:v>
      </x:c>
      <x:c r="U271" s="9" t="n">
        <x:f>SUMIFS('350配方'!$M271:$P271,'350配方'!$Y271:$AB271,114)</x:f>
        <x:v>0</x:v>
      </x:c>
      <x:c r="V271" s="9" t="n">
        <x:f>SUMIFS('350配方'!$M271:$P271,'350配方'!$Y271:$AB271,115)</x:f>
        <x:v>0</x:v>
      </x:c>
      <x:c r="W271" s="9" t="n">
        <x:f>SUMIFS('350配方'!$M271:$P271,'350配方'!$Y271:$AB271,117)</x:f>
        <x:v>40201.1</x:v>
      </x:c>
      <x:c r="X271" s="9" t="n">
        <x:f>SUMIFS('350配方'!$M271:$P271,'350配方'!$Y271:$AB271,126)</x:f>
        <x:v>0</x:v>
      </x:c>
      <x:c r="Y271" s="9" t="n">
        <x:f>SUMIFS('350配方'!$M271:$P271,'350配方'!$Y271:$AB271,136)</x:f>
        <x:v>0</x:v>
      </x:c>
      <x:c r="Z271" s="9" t="n">
        <x:f>SUMIFS('350配方'!$M271:$P271,'350配方'!$Y271:$AB271,141)</x:f>
        <x:v>0</x:v>
      </x:c>
      <x:c r="AA271" s="9" t="n">
        <x:f>SUMIFS('350配方'!$M271:$P271,'350配方'!$Y271:$AB271,152)</x:f>
        <x:v>0</x:v>
      </x:c>
      <x:c r="AB271" s="9" t="n">
        <x:f>SUMIFS('350配方'!$M271:$P271,'350配方'!$Y271:$AB271,165)</x:f>
        <x:v>0</x:v>
      </x:c>
      <x:c r="AC271" s="9" t="n">
        <x:f>SUMIFS('350配方'!$M271:$P271,'350配方'!$Y271:$AB271,186)</x:f>
        <x:v>4262.731518639193</x:v>
      </x:c>
      <x:c r="AD271" s="9" t="n">
        <x:f>SUMIFS('350配方'!$M271:$P271,'350配方'!$Y271:$AB271,207)</x:f>
        <x:v>0</x:v>
      </x:c>
      <x:c r="AE271" s="9" t="n">
        <x:f>SUMIFS('350配方'!$M271:$P271,'350配方'!$Y271:$AB271,209)</x:f>
        <x:v>0</x:v>
      </x:c>
      <x:c r="AF271" s="9" t="n">
        <x:f>SUMIFS('350配方'!$M271:$P271,'350配方'!$Y271:$AB271,227)</x:f>
        <x:v>0</x:v>
      </x:c>
      <x:c r="AG271" s="9" t="n">
        <x:f>SUMIFS('350配方'!$M271:$P271,'350配方'!$Y271:$AB271,232)</x:f>
        <x:v>0</x:v>
      </x:c>
      <x:c r="AH271" s="9" t="n">
        <x:f>SUMIFS('350配方'!$M271:$P271,'350配方'!$Y271:$AB271,255)</x:f>
        <x:v>0</x:v>
      </x:c>
      <x:c r="AI271" s="9" t="n">
        <x:f>'浓度设置'!S6</x:f>
        <x:v>219125.9626344086</x:v>
      </x:c>
      <x:c r="AJ271" s="9" t="n">
        <x:f>'浓度设置'!S8</x:f>
        <x:v>92796.92267241378</x:v>
      </x:c>
      <x:c r="AK271" s="9" t="n">
        <x:f>'浓度设置'!S10</x:f>
        <x:v>30556.797802197798</x:v>
      </x:c>
      <x:c r="AL271" s="9" t="n">
        <x:f>'浓度设置'!S12</x:f>
        <x:v>1735.828970588235</x:v>
      </x:c>
      <x:c r="AM271" s="9" t="n">
        <x:f>'浓度设置'!S15</x:f>
        <x:v>7385.813644067793</x:v>
      </x:c>
      <x:c r="AN271" s="9" t="n">
        <x:f>'浓度设置'!S19</x:f>
        <x:v>27722.03097701148</x:v>
      </x:c>
      <x:c r="AO271" s="9" t="n">
        <x:f>'浓度设置'!S22</x:f>
        <x:v>44345.55047619048</x:v>
      </x:c>
      <x:c r="AP271" s="9" t="n">
        <x:f>'浓度设置'!S26</x:f>
        <x:v>153318.30499999996</x:v>
      </x:c>
      <x:c r="AQ271" s="9" t="n">
        <x:f>'浓度设置'!S29</x:f>
        <x:v>312.7970588235294</x:v>
      </x:c>
      <x:c r="AR271" s="9" t="n">
        <x:f>'浓度设置'!S30</x:f>
        <x:v>104175.5097553192</x:v>
      </x:c>
      <x:c r="AS271" s="9" t="n">
        <x:f>'浓度设置'!S35</x:f>
        <x:v>405974.90656785714</x:v>
      </x:c>
    </x:row>
    <x:row r="272" ht="24" customHeight="1">
      <x:c r="A272" s="3" t="str">
        <x:f>'350配方'!A272</x:f>
        <x:v>T267</x:v>
      </x:c>
      <x:c r="B272" s="3" t="str">
        <x:f>'350配方'!B272</x:f>
        <x:v>拟合</x:v>
      </x:c>
      <x:c r="C272" s="3" t="n">
        <x:f>IF(B272="拟合",1,0)</x:f>
        <x:v>1</x:v>
      </x:c>
      <x:c r="D272" s="3" t="n">
        <x:f>'350配方'!AC272</x:f>
        <x:v>4</x:v>
      </x:c>
      <x:c r="E272" s="9" t="n">
        <x:f>SUMIFS('350配方'!$M272:$P272,'350配方'!$Y272:$AB272,7)</x:f>
        <x:v>0</x:v>
      </x:c>
      <x:c r="F272" s="9" t="n">
        <x:f>SUMIFS('350配方'!$M272:$P272,'350配方'!$Y272:$AB272,11)</x:f>
        <x:v>0</x:v>
      </x:c>
      <x:c r="G272" s="9" t="n">
        <x:f>SUMIFS('350配方'!$M272:$P272,'350配方'!$Y272:$AB272,18)</x:f>
        <x:v>0</x:v>
      </x:c>
      <x:c r="H272" s="9" t="n">
        <x:f>SUMIFS('350配方'!$M272:$P272,'350配方'!$Y272:$AB272,32)</x:f>
        <x:v>0</x:v>
      </x:c>
      <x:c r="I272" s="9" t="n">
        <x:f>SUMIFS('350配方'!$M272:$P272,'350配方'!$Y272:$AB272,40)</x:f>
        <x:v>0</x:v>
      </x:c>
      <x:c r="J272" s="9" t="n">
        <x:f>SUMIFS('350配方'!$M272:$P272,'350配方'!$Y272:$AB272,52)</x:f>
        <x:v>0</x:v>
      </x:c>
      <x:c r="K272" s="9" t="n">
        <x:f>SUMIFS('350配方'!$M272:$P272,'350配方'!$Y272:$AB272,53)</x:f>
        <x:v>0</x:v>
      </x:c>
      <x:c r="L272" s="9" t="n">
        <x:f>SUMIFS('350配方'!$M272:$P272,'350配方'!$Y272:$AB272,56)</x:f>
        <x:v>0</x:v>
      </x:c>
      <x:c r="M272" s="9" t="n">
        <x:f>SUMIFS('350配方'!$M272:$P272,'350配方'!$Y272:$AB272,58)</x:f>
        <x:v>3072.731960324558</x:v>
      </x:c>
      <x:c r="N272" s="9" t="n">
        <x:f>SUMIFS('350配方'!$M272:$P272,'350配方'!$Y272:$AB272,61)</x:f>
        <x:v>0</x:v>
      </x:c>
      <x:c r="O272" s="9" t="n">
        <x:f>SUMIFS('350配方'!$M272:$P272,'350配方'!$Y272:$AB272,69)</x:f>
        <x:v>99.89207175747232</x:v>
      </x:c>
      <x:c r="P272" s="9" t="n">
        <x:f>SUMIFS('350配方'!$M272:$P272,'350配方'!$Y272:$AB272,75)</x:f>
        <x:v>0</x:v>
      </x:c>
      <x:c r="Q272" s="9" t="n">
        <x:f>SUMIFS('350配方'!$M272:$P272,'350配方'!$Y272:$AB272,79)</x:f>
        <x:v>0</x:v>
      </x:c>
      <x:c r="R272" s="9" t="n">
        <x:f>SUMIFS('350配方'!$M272:$P272,'350配方'!$Y272:$AB272,90)</x:f>
        <x:v>0</x:v>
      </x:c>
      <x:c r="S272" s="9" t="n">
        <x:f>SUMIFS('350配方'!$M272:$P272,'350配方'!$Y272:$AB272,105)</x:f>
        <x:v>0</x:v>
      </x:c>
      <x:c r="T272" s="9" t="n">
        <x:f>SUMIFS('350配方'!$M272:$P272,'350配方'!$Y272:$AB272,111)</x:f>
        <x:v>0</x:v>
      </x:c>
      <x:c r="U272" s="9" t="n">
        <x:f>SUMIFS('350配方'!$M272:$P272,'350配方'!$Y272:$AB272,114)</x:f>
        <x:v>0</x:v>
      </x:c>
      <x:c r="V272" s="9" t="n">
        <x:f>SUMIFS('350配方'!$M272:$P272,'350配方'!$Y272:$AB272,115)</x:f>
        <x:v>0</x:v>
      </x:c>
      <x:c r="W272" s="9" t="n">
        <x:f>SUMIFS('350配方'!$M272:$P272,'350配方'!$Y272:$AB272,117)</x:f>
        <x:v>0</x:v>
      </x:c>
      <x:c r="X272" s="9" t="n">
        <x:f>SUMIFS('350配方'!$M272:$P272,'350配方'!$Y272:$AB272,126)</x:f>
        <x:v>0</x:v>
      </x:c>
      <x:c r="Y272" s="9" t="n">
        <x:f>SUMIFS('350配方'!$M272:$P272,'350配方'!$Y272:$AB272,136)</x:f>
        <x:v>1.1875</x:v>
      </x:c>
      <x:c r="Z272" s="9" t="n">
        <x:f>SUMIFS('350配方'!$M272:$P272,'350配方'!$Y272:$AB272,141)</x:f>
        <x:v>0</x:v>
      </x:c>
      <x:c r="AA272" s="9" t="n">
        <x:f>SUMIFS('350配方'!$M272:$P272,'350配方'!$Y272:$AB272,152)</x:f>
        <x:v>4.84</x:v>
      </x:c>
      <x:c r="AB272" s="9" t="n">
        <x:f>SUMIFS('350配方'!$M272:$P272,'350配方'!$Y272:$AB272,165)</x:f>
        <x:v>0</x:v>
      </x:c>
      <x:c r="AC272" s="9" t="n">
        <x:f>SUMIFS('350配方'!$M272:$P272,'350配方'!$Y272:$AB272,186)</x:f>
        <x:v>0</x:v>
      </x:c>
      <x:c r="AD272" s="9" t="n">
        <x:f>SUMIFS('350配方'!$M272:$P272,'350配方'!$Y272:$AB272,207)</x:f>
        <x:v>0</x:v>
      </x:c>
      <x:c r="AE272" s="9" t="n">
        <x:f>SUMIFS('350配方'!$M272:$P272,'350配方'!$Y272:$AB272,209)</x:f>
        <x:v>0</x:v>
      </x:c>
      <x:c r="AF272" s="9" t="n">
        <x:f>SUMIFS('350配方'!$M272:$P272,'350配方'!$Y272:$AB272,227)</x:f>
        <x:v>0</x:v>
      </x:c>
      <x:c r="AG272" s="9" t="n">
        <x:f>SUMIFS('350配方'!$M272:$P272,'350配方'!$Y272:$AB272,232)</x:f>
        <x:v>0</x:v>
      </x:c>
      <x:c r="AH272" s="9" t="n">
        <x:f>SUMIFS('350配方'!$M272:$P272,'350配方'!$Y272:$AB272,255)</x:f>
        <x:v>0</x:v>
      </x:c>
      <x:c r="AI272" s="9" t="n">
        <x:f>'浓度设置'!S6</x:f>
        <x:v>219125.9626344086</x:v>
      </x:c>
      <x:c r="AJ272" s="9" t="n">
        <x:f>'浓度设置'!S8</x:f>
        <x:v>92796.92267241378</x:v>
      </x:c>
      <x:c r="AK272" s="9" t="n">
        <x:f>'浓度设置'!S10</x:f>
        <x:v>30556.797802197798</x:v>
      </x:c>
      <x:c r="AL272" s="9" t="n">
        <x:f>'浓度设置'!S12</x:f>
        <x:v>1735.828970588235</x:v>
      </x:c>
      <x:c r="AM272" s="9" t="n">
        <x:f>'浓度设置'!S15</x:f>
        <x:v>7385.813644067793</x:v>
      </x:c>
      <x:c r="AN272" s="9" t="n">
        <x:f>'浓度设置'!S19</x:f>
        <x:v>27722.03097701148</x:v>
      </x:c>
      <x:c r="AO272" s="9" t="n">
        <x:f>'浓度设置'!S22</x:f>
        <x:v>44345.55047619048</x:v>
      </x:c>
      <x:c r="AP272" s="9" t="n">
        <x:f>'浓度设置'!S26</x:f>
        <x:v>153318.30499999996</x:v>
      </x:c>
      <x:c r="AQ272" s="9" t="n">
        <x:f>'浓度设置'!S29</x:f>
        <x:v>312.7970588235294</x:v>
      </x:c>
      <x:c r="AR272" s="9" t="n">
        <x:f>'浓度设置'!S30</x:f>
        <x:v>104175.5097553192</x:v>
      </x:c>
      <x:c r="AS272" s="9" t="n">
        <x:f>'浓度设置'!S35</x:f>
        <x:v>405974.90656785714</x:v>
      </x:c>
    </x:row>
    <x:row r="273" ht="24" customHeight="1">
      <x:c r="A273" s="3" t="str">
        <x:f>'350配方'!A273</x:f>
        <x:v>T268</x:v>
      </x:c>
      <x:c r="B273" s="3" t="str">
        <x:f>'350配方'!B273</x:f>
        <x:v>拟合</x:v>
      </x:c>
      <x:c r="C273" s="3" t="n">
        <x:f>IF(B273="拟合",1,0)</x:f>
        <x:v>1</x:v>
      </x:c>
      <x:c r="D273" s="3" t="n">
        <x:f>'350配方'!AC273</x:f>
        <x:v>4</x:v>
      </x:c>
      <x:c r="E273" s="9" t="n">
        <x:f>SUMIFS('350配方'!$M273:$P273,'350配方'!$Y273:$AB273,7)</x:f>
        <x:v>0</x:v>
      </x:c>
      <x:c r="F273" s="9" t="n">
        <x:f>SUMIFS('350配方'!$M273:$P273,'350配方'!$Y273:$AB273,11)</x:f>
        <x:v>0</x:v>
      </x:c>
      <x:c r="G273" s="9" t="n">
        <x:f>SUMIFS('350配方'!$M273:$P273,'350配方'!$Y273:$AB273,18)</x:f>
        <x:v>0</x:v>
      </x:c>
      <x:c r="H273" s="9" t="n">
        <x:f>SUMIFS('350配方'!$M273:$P273,'350配方'!$Y273:$AB273,32)</x:f>
        <x:v>0</x:v>
      </x:c>
      <x:c r="I273" s="9" t="n">
        <x:f>SUMIFS('350配方'!$M273:$P273,'350配方'!$Y273:$AB273,40)</x:f>
        <x:v>21400</x:v>
      </x:c>
      <x:c r="J273" s="9" t="n">
        <x:f>SUMIFS('350配方'!$M273:$P273,'350配方'!$Y273:$AB273,52)</x:f>
        <x:v>0</x:v>
      </x:c>
      <x:c r="K273" s="9" t="n">
        <x:f>SUMIFS('350配方'!$M273:$P273,'350配方'!$Y273:$AB273,53)</x:f>
        <x:v>784300</x:v>
      </x:c>
      <x:c r="L273" s="9" t="n">
        <x:f>SUMIFS('350配方'!$M273:$P273,'350配方'!$Y273:$AB273,56)</x:f>
        <x:v>0</x:v>
      </x:c>
      <x:c r="M273" s="9" t="n">
        <x:f>SUMIFS('350配方'!$M273:$P273,'350配方'!$Y273:$AB273,58)</x:f>
        <x:v>0</x:v>
      </x:c>
      <x:c r="N273" s="9" t="n">
        <x:f>SUMIFS('350配方'!$M273:$P273,'350配方'!$Y273:$AB273,61)</x:f>
        <x:v>0</x:v>
      </x:c>
      <x:c r="O273" s="9" t="n">
        <x:f>SUMIFS('350配方'!$M273:$P273,'350配方'!$Y273:$AB273,69)</x:f>
        <x:v>0</x:v>
      </x:c>
      <x:c r="P273" s="9" t="n">
        <x:f>SUMIFS('350配方'!$M273:$P273,'350配方'!$Y273:$AB273,75)</x:f>
        <x:v>0</x:v>
      </x:c>
      <x:c r="Q273" s="9" t="n">
        <x:f>SUMIFS('350配方'!$M273:$P273,'350配方'!$Y273:$AB273,79)</x:f>
        <x:v>0</x:v>
      </x:c>
      <x:c r="R273" s="9" t="n">
        <x:f>SUMIFS('350配方'!$M273:$P273,'350配方'!$Y273:$AB273,90)</x:f>
        <x:v>0</x:v>
      </x:c>
      <x:c r="S273" s="9" t="n">
        <x:f>SUMIFS('350配方'!$M273:$P273,'350配方'!$Y273:$AB273,105)</x:f>
        <x:v>0</x:v>
      </x:c>
      <x:c r="T273" s="9" t="n">
        <x:f>SUMIFS('350配方'!$M273:$P273,'350配方'!$Y273:$AB273,111)</x:f>
        <x:v>0</x:v>
      </x:c>
      <x:c r="U273" s="9" t="n">
        <x:f>SUMIFS('350配方'!$M273:$P273,'350配方'!$Y273:$AB273,114)</x:f>
        <x:v>0</x:v>
      </x:c>
      <x:c r="V273" s="9" t="n">
        <x:f>SUMIFS('350配方'!$M273:$P273,'350配方'!$Y273:$AB273,115)</x:f>
        <x:v>0</x:v>
      </x:c>
      <x:c r="W273" s="9" t="n">
        <x:f>SUMIFS('350配方'!$M273:$P273,'350配方'!$Y273:$AB273,117)</x:f>
        <x:v>0</x:v>
      </x:c>
      <x:c r="X273" s="9" t="n">
        <x:f>SUMIFS('350配方'!$M273:$P273,'350配方'!$Y273:$AB273,126)</x:f>
        <x:v>0</x:v>
      </x:c>
      <x:c r="Y273" s="9" t="n">
        <x:f>SUMIFS('350配方'!$M273:$P273,'350配方'!$Y273:$AB273,136)</x:f>
        <x:v>0</x:v>
      </x:c>
      <x:c r="Z273" s="9" t="n">
        <x:f>SUMIFS('350配方'!$M273:$P273,'350配方'!$Y273:$AB273,141)</x:f>
        <x:v>1512.497272724814</x:v>
      </x:c>
      <x:c r="AA273" s="9" t="n">
        <x:f>SUMIFS('350配方'!$M273:$P273,'350配方'!$Y273:$AB273,152)</x:f>
        <x:v>0</x:v>
      </x:c>
      <x:c r="AB273" s="9" t="n">
        <x:f>SUMIFS('350配方'!$M273:$P273,'350配方'!$Y273:$AB273,165)</x:f>
        <x:v>86300</x:v>
      </x:c>
      <x:c r="AC273" s="9" t="n">
        <x:f>SUMIFS('350配方'!$M273:$P273,'350配方'!$Y273:$AB273,186)</x:f>
        <x:v>0</x:v>
      </x:c>
      <x:c r="AD273" s="9" t="n">
        <x:f>SUMIFS('350配方'!$M273:$P273,'350配方'!$Y273:$AB273,207)</x:f>
        <x:v>0</x:v>
      </x:c>
      <x:c r="AE273" s="9" t="n">
        <x:f>SUMIFS('350配方'!$M273:$P273,'350配方'!$Y273:$AB273,209)</x:f>
        <x:v>0</x:v>
      </x:c>
      <x:c r="AF273" s="9" t="n">
        <x:f>SUMIFS('350配方'!$M273:$P273,'350配方'!$Y273:$AB273,227)</x:f>
        <x:v>0</x:v>
      </x:c>
      <x:c r="AG273" s="9" t="n">
        <x:f>SUMIFS('350配方'!$M273:$P273,'350配方'!$Y273:$AB273,232)</x:f>
        <x:v>0</x:v>
      </x:c>
      <x:c r="AH273" s="9" t="n">
        <x:f>SUMIFS('350配方'!$M273:$P273,'350配方'!$Y273:$AB273,255)</x:f>
        <x:v>0</x:v>
      </x:c>
      <x:c r="AI273" s="9" t="n">
        <x:f>'浓度设置'!S6</x:f>
        <x:v>219125.9626344086</x:v>
      </x:c>
      <x:c r="AJ273" s="9" t="n">
        <x:f>'浓度设置'!S8</x:f>
        <x:v>92796.92267241378</x:v>
      </x:c>
      <x:c r="AK273" s="9" t="n">
        <x:f>'浓度设置'!S10</x:f>
        <x:v>30556.797802197798</x:v>
      </x:c>
      <x:c r="AL273" s="9" t="n">
        <x:f>'浓度设置'!S12</x:f>
        <x:v>1735.828970588235</x:v>
      </x:c>
      <x:c r="AM273" s="9" t="n">
        <x:f>'浓度设置'!S15</x:f>
        <x:v>7385.813644067793</x:v>
      </x:c>
      <x:c r="AN273" s="9" t="n">
        <x:f>'浓度设置'!S19</x:f>
        <x:v>27722.03097701148</x:v>
      </x:c>
      <x:c r="AO273" s="9" t="n">
        <x:f>'浓度设置'!S22</x:f>
        <x:v>44345.55047619048</x:v>
      </x:c>
      <x:c r="AP273" s="9" t="n">
        <x:f>'浓度设置'!S26</x:f>
        <x:v>153318.30499999996</x:v>
      </x:c>
      <x:c r="AQ273" s="9" t="n">
        <x:f>'浓度设置'!S29</x:f>
        <x:v>312.7970588235294</x:v>
      </x:c>
      <x:c r="AR273" s="9" t="n">
        <x:f>'浓度设置'!S30</x:f>
        <x:v>104175.5097553192</x:v>
      </x:c>
      <x:c r="AS273" s="9" t="n">
        <x:f>'浓度设置'!S35</x:f>
        <x:v>405974.90656785714</x:v>
      </x:c>
    </x:row>
    <x:row r="274" ht="24" customHeight="1">
      <x:c r="A274" s="3" t="str">
        <x:f>'350配方'!A274</x:f>
        <x:v>T269</x:v>
      </x:c>
      <x:c r="B274" s="3" t="str">
        <x:f>'350配方'!B274</x:f>
        <x:v>拟合</x:v>
      </x:c>
      <x:c r="C274" s="3" t="n">
        <x:f>IF(B274="拟合",1,0)</x:f>
        <x:v>1</x:v>
      </x:c>
      <x:c r="D274" s="3" t="n">
        <x:f>'350配方'!AC274</x:f>
        <x:v>4</x:v>
      </x:c>
      <x:c r="E274" s="9" t="n">
        <x:f>SUMIFS('350配方'!$M274:$P274,'350配方'!$Y274:$AB274,7)</x:f>
        <x:v>0</x:v>
      </x:c>
      <x:c r="F274" s="9" t="n">
        <x:f>SUMIFS('350配方'!$M274:$P274,'350配方'!$Y274:$AB274,11)</x:f>
        <x:v>0</x:v>
      </x:c>
      <x:c r="G274" s="9" t="n">
        <x:f>SUMIFS('350配方'!$M274:$P274,'350配方'!$Y274:$AB274,18)</x:f>
        <x:v>0</x:v>
      </x:c>
      <x:c r="H274" s="9" t="n">
        <x:f>SUMIFS('350配方'!$M274:$P274,'350配方'!$Y274:$AB274,32)</x:f>
        <x:v>836.8360173893091</x:v>
      </x:c>
      <x:c r="I274" s="9" t="n">
        <x:f>SUMIFS('350配方'!$M274:$P274,'350配方'!$Y274:$AB274,40)</x:f>
        <x:v>0</x:v>
      </x:c>
      <x:c r="J274" s="9" t="n">
        <x:f>SUMIFS('350配方'!$M274:$P274,'350配方'!$Y274:$AB274,52)</x:f>
        <x:v>0</x:v>
      </x:c>
      <x:c r="K274" s="9" t="n">
        <x:f>SUMIFS('350配方'!$M274:$P274,'350配方'!$Y274:$AB274,53)</x:f>
        <x:v>0</x:v>
      </x:c>
      <x:c r="L274" s="9" t="n">
        <x:f>SUMIFS('350配方'!$M274:$P274,'350配方'!$Y274:$AB274,56)</x:f>
        <x:v>4105</x:v>
      </x:c>
      <x:c r="M274" s="9" t="n">
        <x:f>SUMIFS('350配方'!$M274:$P274,'350配方'!$Y274:$AB274,58)</x:f>
        <x:v>0</x:v>
      </x:c>
      <x:c r="N274" s="9" t="n">
        <x:f>SUMIFS('350配方'!$M274:$P274,'350配方'!$Y274:$AB274,61)</x:f>
        <x:v>0</x:v>
      </x:c>
      <x:c r="O274" s="9" t="n">
        <x:f>SUMIFS('350配方'!$M274:$P274,'350配方'!$Y274:$AB274,69)</x:f>
        <x:v>0</x:v>
      </x:c>
      <x:c r="P274" s="9" t="n">
        <x:f>SUMIFS('350配方'!$M274:$P274,'350配方'!$Y274:$AB274,75)</x:f>
        <x:v>62700</x:v>
      </x:c>
      <x:c r="Q274" s="9" t="n">
        <x:f>SUMIFS('350配方'!$M274:$P274,'350配方'!$Y274:$AB274,79)</x:f>
        <x:v>0</x:v>
      </x:c>
      <x:c r="R274" s="9" t="n">
        <x:f>SUMIFS('350配方'!$M274:$P274,'350配方'!$Y274:$AB274,90)</x:f>
        <x:v>0</x:v>
      </x:c>
      <x:c r="S274" s="9" t="n">
        <x:f>SUMIFS('350配方'!$M274:$P274,'350配方'!$Y274:$AB274,105)</x:f>
        <x:v>0</x:v>
      </x:c>
      <x:c r="T274" s="9" t="n">
        <x:f>SUMIFS('350配方'!$M274:$P274,'350配方'!$Y274:$AB274,111)</x:f>
        <x:v>0</x:v>
      </x:c>
      <x:c r="U274" s="9" t="n">
        <x:f>SUMIFS('350配方'!$M274:$P274,'350配方'!$Y274:$AB274,114)</x:f>
        <x:v>0</x:v>
      </x:c>
      <x:c r="V274" s="9" t="n">
        <x:f>SUMIFS('350配方'!$M274:$P274,'350配方'!$Y274:$AB274,115)</x:f>
        <x:v>0</x:v>
      </x:c>
      <x:c r="W274" s="9" t="n">
        <x:f>SUMIFS('350配方'!$M274:$P274,'350配方'!$Y274:$AB274,117)</x:f>
        <x:v>0</x:v>
      </x:c>
      <x:c r="X274" s="9" t="n">
        <x:f>SUMIFS('350配方'!$M274:$P274,'350配方'!$Y274:$AB274,126)</x:f>
        <x:v>0</x:v>
      </x:c>
      <x:c r="Y274" s="9" t="n">
        <x:f>SUMIFS('350配方'!$M274:$P274,'350配方'!$Y274:$AB274,136)</x:f>
        <x:v>0</x:v>
      </x:c>
      <x:c r="Z274" s="9" t="n">
        <x:f>SUMIFS('350配方'!$M274:$P274,'350配方'!$Y274:$AB274,141)</x:f>
        <x:v>0</x:v>
      </x:c>
      <x:c r="AA274" s="9" t="n">
        <x:f>SUMIFS('350配方'!$M274:$P274,'350配方'!$Y274:$AB274,152)</x:f>
        <x:v>0</x:v>
      </x:c>
      <x:c r="AB274" s="9" t="n">
        <x:f>SUMIFS('350配方'!$M274:$P274,'350配方'!$Y274:$AB274,165)</x:f>
        <x:v>0</x:v>
      </x:c>
      <x:c r="AC274" s="9" t="n">
        <x:f>SUMIFS('350配方'!$M274:$P274,'350配方'!$Y274:$AB274,186)</x:f>
        <x:v>0</x:v>
      </x:c>
      <x:c r="AD274" s="9" t="n">
        <x:f>SUMIFS('350配方'!$M274:$P274,'350配方'!$Y274:$AB274,207)</x:f>
        <x:v>1</x:v>
      </x:c>
      <x:c r="AE274" s="9" t="n">
        <x:f>SUMIFS('350配方'!$M274:$P274,'350配方'!$Y274:$AB274,209)</x:f>
        <x:v>0</x:v>
      </x:c>
      <x:c r="AF274" s="9" t="n">
        <x:f>SUMIFS('350配方'!$M274:$P274,'350配方'!$Y274:$AB274,227)</x:f>
        <x:v>0</x:v>
      </x:c>
      <x:c r="AG274" s="9" t="n">
        <x:f>SUMIFS('350配方'!$M274:$P274,'350配方'!$Y274:$AB274,232)</x:f>
        <x:v>0</x:v>
      </x:c>
      <x:c r="AH274" s="9" t="n">
        <x:f>SUMIFS('350配方'!$M274:$P274,'350配方'!$Y274:$AB274,255)</x:f>
        <x:v>0</x:v>
      </x:c>
      <x:c r="AI274" s="9" t="n">
        <x:f>'浓度设置'!S6</x:f>
        <x:v>219125.9626344086</x:v>
      </x:c>
      <x:c r="AJ274" s="9" t="n">
        <x:f>'浓度设置'!S8</x:f>
        <x:v>92796.92267241378</x:v>
      </x:c>
      <x:c r="AK274" s="9" t="n">
        <x:f>'浓度设置'!S10</x:f>
        <x:v>30556.797802197798</x:v>
      </x:c>
      <x:c r="AL274" s="9" t="n">
        <x:f>'浓度设置'!S12</x:f>
        <x:v>1735.828970588235</x:v>
      </x:c>
      <x:c r="AM274" s="9" t="n">
        <x:f>'浓度设置'!S15</x:f>
        <x:v>7385.813644067793</x:v>
      </x:c>
      <x:c r="AN274" s="9" t="n">
        <x:f>'浓度设置'!S19</x:f>
        <x:v>27722.03097701148</x:v>
      </x:c>
      <x:c r="AO274" s="9" t="n">
        <x:f>'浓度设置'!S22</x:f>
        <x:v>44345.55047619048</x:v>
      </x:c>
      <x:c r="AP274" s="9" t="n">
        <x:f>'浓度设置'!S26</x:f>
        <x:v>153318.30499999996</x:v>
      </x:c>
      <x:c r="AQ274" s="9" t="n">
        <x:f>'浓度设置'!S29</x:f>
        <x:v>312.7970588235294</x:v>
      </x:c>
      <x:c r="AR274" s="9" t="n">
        <x:f>'浓度设置'!S30</x:f>
        <x:v>104175.5097553192</x:v>
      </x:c>
      <x:c r="AS274" s="9" t="n">
        <x:f>'浓度设置'!S35</x:f>
        <x:v>405974.90656785714</x:v>
      </x:c>
    </x:row>
    <x:row r="275" ht="24" customHeight="1">
      <x:c r="A275" s="3" t="str">
        <x:f>'350配方'!A275</x:f>
        <x:v>T270</x:v>
      </x:c>
      <x:c r="B275" s="3" t="str">
        <x:f>'350配方'!B275</x:f>
        <x:v>拟合</x:v>
      </x:c>
      <x:c r="C275" s="3" t="n">
        <x:f>IF(B275="拟合",1,0)</x:f>
        <x:v>1</x:v>
      </x:c>
      <x:c r="D275" s="3" t="n">
        <x:f>'350配方'!AC275</x:f>
        <x:v>4</x:v>
      </x:c>
      <x:c r="E275" s="9" t="n">
        <x:f>SUMIFS('350配方'!$M275:$P275,'350配方'!$Y275:$AB275,7)</x:f>
        <x:v>173</x:v>
      </x:c>
      <x:c r="F275" s="9" t="n">
        <x:f>SUMIFS('350配方'!$M275:$P275,'350配方'!$Y275:$AB275,11)</x:f>
        <x:v>0</x:v>
      </x:c>
      <x:c r="G275" s="9" t="n">
        <x:f>SUMIFS('350配方'!$M275:$P275,'350配方'!$Y275:$AB275,18)</x:f>
        <x:v>0</x:v>
      </x:c>
      <x:c r="H275" s="9" t="n">
        <x:f>SUMIFS('350配方'!$M275:$P275,'350配方'!$Y275:$AB275,32)</x:f>
        <x:v>0</x:v>
      </x:c>
      <x:c r="I275" s="9" t="n">
        <x:f>SUMIFS('350配方'!$M275:$P275,'350配方'!$Y275:$AB275,40)</x:f>
        <x:v>0</x:v>
      </x:c>
      <x:c r="J275" s="9" t="n">
        <x:f>SUMIFS('350配方'!$M275:$P275,'350配方'!$Y275:$AB275,52)</x:f>
        <x:v>0</x:v>
      </x:c>
      <x:c r="K275" s="9" t="n">
        <x:f>SUMIFS('350配方'!$M275:$P275,'350配方'!$Y275:$AB275,53)</x:f>
        <x:v>0</x:v>
      </x:c>
      <x:c r="L275" s="9" t="n">
        <x:f>SUMIFS('350配方'!$M275:$P275,'350配方'!$Y275:$AB275,56)</x:f>
        <x:v>0</x:v>
      </x:c>
      <x:c r="M275" s="9" t="n">
        <x:f>SUMIFS('350配方'!$M275:$P275,'350配方'!$Y275:$AB275,58)</x:f>
        <x:v>0</x:v>
      </x:c>
      <x:c r="N275" s="9" t="n">
        <x:f>SUMIFS('350配方'!$M275:$P275,'350配方'!$Y275:$AB275,61)</x:f>
        <x:v>59.381310191002015</x:v>
      </x:c>
      <x:c r="O275" s="9" t="n">
        <x:f>SUMIFS('350配方'!$M275:$P275,'350配方'!$Y275:$AB275,69)</x:f>
        <x:v>0</x:v>
      </x:c>
      <x:c r="P275" s="9" t="n">
        <x:f>SUMIFS('350配方'!$M275:$P275,'350配方'!$Y275:$AB275,75)</x:f>
        <x:v>0</x:v>
      </x:c>
      <x:c r="Q275" s="9" t="n">
        <x:f>SUMIFS('350配方'!$M275:$P275,'350配方'!$Y275:$AB275,79)</x:f>
        <x:v>0</x:v>
      </x:c>
      <x:c r="R275" s="9" t="n">
        <x:f>SUMIFS('350配方'!$M275:$P275,'350配方'!$Y275:$AB275,90)</x:f>
        <x:v>0</x:v>
      </x:c>
      <x:c r="S275" s="9" t="n">
        <x:f>SUMIFS('350配方'!$M275:$P275,'350配方'!$Y275:$AB275,105)</x:f>
        <x:v>0</x:v>
      </x:c>
      <x:c r="T275" s="9" t="n">
        <x:f>SUMIFS('350配方'!$M275:$P275,'350配方'!$Y275:$AB275,111)</x:f>
        <x:v>0</x:v>
      </x:c>
      <x:c r="U275" s="9" t="n">
        <x:f>SUMIFS('350配方'!$M275:$P275,'350配方'!$Y275:$AB275,114)</x:f>
        <x:v>47100</x:v>
      </x:c>
      <x:c r="V275" s="9" t="n">
        <x:f>SUMIFS('350配方'!$M275:$P275,'350配方'!$Y275:$AB275,115)</x:f>
        <x:v>0</x:v>
      </x:c>
      <x:c r="W275" s="9" t="n">
        <x:f>SUMIFS('350配方'!$M275:$P275,'350配方'!$Y275:$AB275,117)</x:f>
        <x:v>0</x:v>
      </x:c>
      <x:c r="X275" s="9" t="n">
        <x:f>SUMIFS('350配方'!$M275:$P275,'350配方'!$Y275:$AB275,126)</x:f>
        <x:v>2.125</x:v>
      </x:c>
      <x:c r="Y275" s="9" t="n">
        <x:f>SUMIFS('350配方'!$M275:$P275,'350配方'!$Y275:$AB275,136)</x:f>
        <x:v>0</x:v>
      </x:c>
      <x:c r="Z275" s="9" t="n">
        <x:f>SUMIFS('350配方'!$M275:$P275,'350配方'!$Y275:$AB275,141)</x:f>
        <x:v>0</x:v>
      </x:c>
      <x:c r="AA275" s="9" t="n">
        <x:f>SUMIFS('350配方'!$M275:$P275,'350配方'!$Y275:$AB275,152)</x:f>
        <x:v>0</x:v>
      </x:c>
      <x:c r="AB275" s="9" t="n">
        <x:f>SUMIFS('350配方'!$M275:$P275,'350配方'!$Y275:$AB275,165)</x:f>
        <x:v>0</x:v>
      </x:c>
      <x:c r="AC275" s="9" t="n">
        <x:f>SUMIFS('350配方'!$M275:$P275,'350配方'!$Y275:$AB275,186)</x:f>
        <x:v>0</x:v>
      </x:c>
      <x:c r="AD275" s="9" t="n">
        <x:f>SUMIFS('350配方'!$M275:$P275,'350配方'!$Y275:$AB275,207)</x:f>
        <x:v>0</x:v>
      </x:c>
      <x:c r="AE275" s="9" t="n">
        <x:f>SUMIFS('350配方'!$M275:$P275,'350配方'!$Y275:$AB275,209)</x:f>
        <x:v>0</x:v>
      </x:c>
      <x:c r="AF275" s="9" t="n">
        <x:f>SUMIFS('350配方'!$M275:$P275,'350配方'!$Y275:$AB275,227)</x:f>
        <x:v>0</x:v>
      </x:c>
      <x:c r="AG275" s="9" t="n">
        <x:f>SUMIFS('350配方'!$M275:$P275,'350配方'!$Y275:$AB275,232)</x:f>
        <x:v>0</x:v>
      </x:c>
      <x:c r="AH275" s="9" t="n">
        <x:f>SUMIFS('350配方'!$M275:$P275,'350配方'!$Y275:$AB275,255)</x:f>
        <x:v>0</x:v>
      </x:c>
      <x:c r="AI275" s="9" t="n">
        <x:f>'浓度设置'!S6</x:f>
        <x:v>219125.9626344086</x:v>
      </x:c>
      <x:c r="AJ275" s="9" t="n">
        <x:f>'浓度设置'!S8</x:f>
        <x:v>92796.92267241378</x:v>
      </x:c>
      <x:c r="AK275" s="9" t="n">
        <x:f>'浓度设置'!S10</x:f>
        <x:v>30556.797802197798</x:v>
      </x:c>
      <x:c r="AL275" s="9" t="n">
        <x:f>'浓度设置'!S12</x:f>
        <x:v>1735.828970588235</x:v>
      </x:c>
      <x:c r="AM275" s="9" t="n">
        <x:f>'浓度设置'!S15</x:f>
        <x:v>7385.813644067793</x:v>
      </x:c>
      <x:c r="AN275" s="9" t="n">
        <x:f>'浓度设置'!S19</x:f>
        <x:v>27722.03097701148</x:v>
      </x:c>
      <x:c r="AO275" s="9" t="n">
        <x:f>'浓度设置'!S22</x:f>
        <x:v>44345.55047619048</x:v>
      </x:c>
      <x:c r="AP275" s="9" t="n">
        <x:f>'浓度设置'!S26</x:f>
        <x:v>153318.30499999996</x:v>
      </x:c>
      <x:c r="AQ275" s="9" t="n">
        <x:f>'浓度设置'!S29</x:f>
        <x:v>312.7970588235294</x:v>
      </x:c>
      <x:c r="AR275" s="9" t="n">
        <x:f>'浓度设置'!S30</x:f>
        <x:v>104175.5097553192</x:v>
      </x:c>
      <x:c r="AS275" s="9" t="n">
        <x:f>'浓度设置'!S35</x:f>
        <x:v>405974.90656785714</x:v>
      </x:c>
    </x:row>
    <x:row r="276" ht="24" customHeight="1">
      <x:c r="A276" s="3" t="str">
        <x:f>'350配方'!A276</x:f>
        <x:v>T271</x:v>
      </x:c>
      <x:c r="B276" s="3" t="str">
        <x:f>'350配方'!B276</x:f>
        <x:v>拟合</x:v>
      </x:c>
      <x:c r="C276" s="3" t="n">
        <x:f>IF(B276="拟合",1,0)</x:f>
        <x:v>1</x:v>
      </x:c>
      <x:c r="D276" s="3" t="n">
        <x:f>'350配方'!AC276</x:f>
        <x:v>4</x:v>
      </x:c>
      <x:c r="E276" s="9" t="n">
        <x:f>SUMIFS('350配方'!$M276:$P276,'350配方'!$Y276:$AB276,7)</x:f>
        <x:v>0</x:v>
      </x:c>
      <x:c r="F276" s="9" t="n">
        <x:f>SUMIFS('350配方'!$M276:$P276,'350配方'!$Y276:$AB276,11)</x:f>
        <x:v>16.97</x:v>
      </x:c>
      <x:c r="G276" s="9" t="n">
        <x:f>SUMIFS('350配方'!$M276:$P276,'350配方'!$Y276:$AB276,18)</x:f>
        <x:v>0</x:v>
      </x:c>
      <x:c r="H276" s="9" t="n">
        <x:f>SUMIFS('350配方'!$M276:$P276,'350配方'!$Y276:$AB276,32)</x:f>
        <x:v>0</x:v>
      </x:c>
      <x:c r="I276" s="9" t="n">
        <x:f>SUMIFS('350配方'!$M276:$P276,'350配方'!$Y276:$AB276,40)</x:f>
        <x:v>0</x:v>
      </x:c>
      <x:c r="J276" s="9" t="n">
        <x:f>SUMIFS('350配方'!$M276:$P276,'350配方'!$Y276:$AB276,52)</x:f>
        <x:v>0</x:v>
      </x:c>
      <x:c r="K276" s="9" t="n">
        <x:f>SUMIFS('350配方'!$M276:$P276,'350配方'!$Y276:$AB276,53)</x:f>
        <x:v>0</x:v>
      </x:c>
      <x:c r="L276" s="9" t="n">
        <x:f>SUMIFS('350配方'!$M276:$P276,'350配方'!$Y276:$AB276,56)</x:f>
        <x:v>0</x:v>
      </x:c>
      <x:c r="M276" s="9" t="n">
        <x:f>SUMIFS('350配方'!$M276:$P276,'350配方'!$Y276:$AB276,58)</x:f>
        <x:v>0</x:v>
      </x:c>
      <x:c r="N276" s="9" t="n">
        <x:f>SUMIFS('350配方'!$M276:$P276,'350配方'!$Y276:$AB276,61)</x:f>
        <x:v>0</x:v>
      </x:c>
      <x:c r="O276" s="9" t="n">
        <x:f>SUMIFS('350配方'!$M276:$P276,'350配方'!$Y276:$AB276,69)</x:f>
        <x:v>0</x:v>
      </x:c>
      <x:c r="P276" s="9" t="n">
        <x:f>SUMIFS('350配方'!$M276:$P276,'350配方'!$Y276:$AB276,75)</x:f>
        <x:v>0</x:v>
      </x:c>
      <x:c r="Q276" s="9" t="n">
        <x:f>SUMIFS('350配方'!$M276:$P276,'350配方'!$Y276:$AB276,79)</x:f>
        <x:v>0</x:v>
      </x:c>
      <x:c r="R276" s="9" t="n">
        <x:f>SUMIFS('350配方'!$M276:$P276,'350配方'!$Y276:$AB276,90)</x:f>
        <x:v>0</x:v>
      </x:c>
      <x:c r="S276" s="9" t="n">
        <x:f>SUMIFS('350配方'!$M276:$P276,'350配方'!$Y276:$AB276,105)</x:f>
        <x:v>28.044607324760317</x:v>
      </x:c>
      <x:c r="T276" s="9" t="n">
        <x:f>SUMIFS('350配方'!$M276:$P276,'350配方'!$Y276:$AB276,111)</x:f>
        <x:v>0</x:v>
      </x:c>
      <x:c r="U276" s="9" t="n">
        <x:f>SUMIFS('350配方'!$M276:$P276,'350配方'!$Y276:$AB276,114)</x:f>
        <x:v>0</x:v>
      </x:c>
      <x:c r="V276" s="9" t="n">
        <x:f>SUMIFS('350配方'!$M276:$P276,'350配方'!$Y276:$AB276,115)</x:f>
        <x:v>1.44</x:v>
      </x:c>
      <x:c r="W276" s="9" t="n">
        <x:f>SUMIFS('350配方'!$M276:$P276,'350配方'!$Y276:$AB276,117)</x:f>
        <x:v>0</x:v>
      </x:c>
      <x:c r="X276" s="9" t="n">
        <x:f>SUMIFS('350配方'!$M276:$P276,'350配方'!$Y276:$AB276,126)</x:f>
        <x:v>0</x:v>
      </x:c>
      <x:c r="Y276" s="9" t="n">
        <x:f>SUMIFS('350配方'!$M276:$P276,'350配方'!$Y276:$AB276,136)</x:f>
        <x:v>0</x:v>
      </x:c>
      <x:c r="Z276" s="9" t="n">
        <x:f>SUMIFS('350配方'!$M276:$P276,'350配方'!$Y276:$AB276,141)</x:f>
        <x:v>0</x:v>
      </x:c>
      <x:c r="AA276" s="9" t="n">
        <x:f>SUMIFS('350配方'!$M276:$P276,'350配方'!$Y276:$AB276,152)</x:f>
        <x:v>0</x:v>
      </x:c>
      <x:c r="AB276" s="9" t="n">
        <x:f>SUMIFS('350配方'!$M276:$P276,'350配方'!$Y276:$AB276,165)</x:f>
        <x:v>0</x:v>
      </x:c>
      <x:c r="AC276" s="9" t="n">
        <x:f>SUMIFS('350配方'!$M276:$P276,'350配方'!$Y276:$AB276,186)</x:f>
        <x:v>0</x:v>
      </x:c>
      <x:c r="AD276" s="9" t="n">
        <x:f>SUMIFS('350配方'!$M276:$P276,'350配方'!$Y276:$AB276,207)</x:f>
        <x:v>0</x:v>
      </x:c>
      <x:c r="AE276" s="9" t="n">
        <x:f>SUMIFS('350配方'!$M276:$P276,'350配方'!$Y276:$AB276,209)</x:f>
        <x:v>0.28</x:v>
      </x:c>
      <x:c r="AF276" s="9" t="n">
        <x:f>SUMIFS('350配方'!$M276:$P276,'350配方'!$Y276:$AB276,227)</x:f>
        <x:v>0</x:v>
      </x:c>
      <x:c r="AG276" s="9" t="n">
        <x:f>SUMIFS('350配方'!$M276:$P276,'350配方'!$Y276:$AB276,232)</x:f>
        <x:v>0</x:v>
      </x:c>
      <x:c r="AH276" s="9" t="n">
        <x:f>SUMIFS('350配方'!$M276:$P276,'350配方'!$Y276:$AB276,255)</x:f>
        <x:v>0</x:v>
      </x:c>
      <x:c r="AI276" s="9" t="n">
        <x:f>'浓度设置'!S6</x:f>
        <x:v>219125.9626344086</x:v>
      </x:c>
      <x:c r="AJ276" s="9" t="n">
        <x:f>'浓度设置'!S8</x:f>
        <x:v>92796.92267241378</x:v>
      </x:c>
      <x:c r="AK276" s="9" t="n">
        <x:f>'浓度设置'!S10</x:f>
        <x:v>30556.797802197798</x:v>
      </x:c>
      <x:c r="AL276" s="9" t="n">
        <x:f>'浓度设置'!S12</x:f>
        <x:v>1735.828970588235</x:v>
      </x:c>
      <x:c r="AM276" s="9" t="n">
        <x:f>'浓度设置'!S15</x:f>
        <x:v>7385.813644067793</x:v>
      </x:c>
      <x:c r="AN276" s="9" t="n">
        <x:f>'浓度设置'!S19</x:f>
        <x:v>27722.03097701148</x:v>
      </x:c>
      <x:c r="AO276" s="9" t="n">
        <x:f>'浓度设置'!S22</x:f>
        <x:v>44345.55047619048</x:v>
      </x:c>
      <x:c r="AP276" s="9" t="n">
        <x:f>'浓度设置'!S26</x:f>
        <x:v>153318.30499999996</x:v>
      </x:c>
      <x:c r="AQ276" s="9" t="n">
        <x:f>'浓度设置'!S29</x:f>
        <x:v>312.7970588235294</x:v>
      </x:c>
      <x:c r="AR276" s="9" t="n">
        <x:f>'浓度设置'!S30</x:f>
        <x:v>104175.5097553192</x:v>
      </x:c>
      <x:c r="AS276" s="9" t="n">
        <x:f>'浓度设置'!S35</x:f>
        <x:v>405974.90656785714</x:v>
      </x:c>
    </x:row>
    <x:row r="277" ht="24" customHeight="1">
      <x:c r="A277" s="3" t="str">
        <x:f>'350配方'!A277</x:f>
        <x:v>T272</x:v>
      </x:c>
      <x:c r="B277" s="3" t="str">
        <x:f>'350配方'!B277</x:f>
        <x:v>拟合</x:v>
      </x:c>
      <x:c r="C277" s="3" t="n">
        <x:f>IF(B277="拟合",1,0)</x:f>
        <x:v>1</x:v>
      </x:c>
      <x:c r="D277" s="3" t="n">
        <x:f>'350配方'!AC277</x:f>
        <x:v>4</x:v>
      </x:c>
      <x:c r="E277" s="9" t="n">
        <x:f>SUMIFS('350配方'!$M277:$P277,'350配方'!$Y277:$AB277,7)</x:f>
        <x:v>0</x:v>
      </x:c>
      <x:c r="F277" s="9" t="n">
        <x:f>SUMIFS('350配方'!$M277:$P277,'350配方'!$Y277:$AB277,11)</x:f>
        <x:v>0</x:v>
      </x:c>
      <x:c r="G277" s="9" t="n">
        <x:f>SUMIFS('350配方'!$M277:$P277,'350配方'!$Y277:$AB277,18)</x:f>
        <x:v>39</x:v>
      </x:c>
      <x:c r="H277" s="9" t="n">
        <x:f>SUMIFS('350配方'!$M277:$P277,'350配方'!$Y277:$AB277,32)</x:f>
        <x:v>0</x:v>
      </x:c>
      <x:c r="I277" s="9" t="n">
        <x:f>SUMIFS('350配方'!$M277:$P277,'350配方'!$Y277:$AB277,40)</x:f>
        <x:v>0</x:v>
      </x:c>
      <x:c r="J277" s="9" t="n">
        <x:f>SUMIFS('350配方'!$M277:$P277,'350配方'!$Y277:$AB277,52)</x:f>
        <x:v>0</x:v>
      </x:c>
      <x:c r="K277" s="9" t="n">
        <x:f>SUMIFS('350配方'!$M277:$P277,'350配方'!$Y277:$AB277,53)</x:f>
        <x:v>0</x:v>
      </x:c>
      <x:c r="L277" s="9" t="n">
        <x:f>SUMIFS('350配方'!$M277:$P277,'350配方'!$Y277:$AB277,56)</x:f>
        <x:v>0</x:v>
      </x:c>
      <x:c r="M277" s="9" t="n">
        <x:f>SUMIFS('350配方'!$M277:$P277,'350配方'!$Y277:$AB277,58)</x:f>
        <x:v>0</x:v>
      </x:c>
      <x:c r="N277" s="9" t="n">
        <x:f>SUMIFS('350配方'!$M277:$P277,'350配方'!$Y277:$AB277,61)</x:f>
        <x:v>0</x:v>
      </x:c>
      <x:c r="O277" s="9" t="n">
        <x:f>SUMIFS('350配方'!$M277:$P277,'350配方'!$Y277:$AB277,69)</x:f>
        <x:v>0</x:v>
      </x:c>
      <x:c r="P277" s="9" t="n">
        <x:f>SUMIFS('350配方'!$M277:$P277,'350配方'!$Y277:$AB277,75)</x:f>
        <x:v>0</x:v>
      </x:c>
      <x:c r="Q277" s="9" t="n">
        <x:f>SUMIFS('350配方'!$M277:$P277,'350配方'!$Y277:$AB277,79)</x:f>
        <x:v>0</x:v>
      </x:c>
      <x:c r="R277" s="9" t="n">
        <x:f>SUMIFS('350配方'!$M277:$P277,'350配方'!$Y277:$AB277,90)</x:f>
        <x:v>0</x:v>
      </x:c>
      <x:c r="S277" s="9" t="n">
        <x:f>SUMIFS('350配方'!$M277:$P277,'350配方'!$Y277:$AB277,105)</x:f>
        <x:v>0</x:v>
      </x:c>
      <x:c r="T277" s="9" t="n">
        <x:f>SUMIFS('350配方'!$M277:$P277,'350配方'!$Y277:$AB277,111)</x:f>
        <x:v>9622120</x:v>
      </x:c>
      <x:c r="U277" s="9" t="n">
        <x:f>SUMIFS('350配方'!$M277:$P277,'350配方'!$Y277:$AB277,114)</x:f>
        <x:v>0</x:v>
      </x:c>
      <x:c r="V277" s="9" t="n">
        <x:f>SUMIFS('350配方'!$M277:$P277,'350配方'!$Y277:$AB277,115)</x:f>
        <x:v>0</x:v>
      </x:c>
      <x:c r="W277" s="9" t="n">
        <x:f>SUMIFS('350配方'!$M277:$P277,'350配方'!$Y277:$AB277,117)</x:f>
        <x:v>0</x:v>
      </x:c>
      <x:c r="X277" s="9" t="n">
        <x:f>SUMIFS('350配方'!$M277:$P277,'350配方'!$Y277:$AB277,126)</x:f>
        <x:v>0</x:v>
      </x:c>
      <x:c r="Y277" s="9" t="n">
        <x:f>SUMIFS('350配方'!$M277:$P277,'350配方'!$Y277:$AB277,136)</x:f>
        <x:v>0</x:v>
      </x:c>
      <x:c r="Z277" s="9" t="n">
        <x:f>SUMIFS('350配方'!$M277:$P277,'350配方'!$Y277:$AB277,141)</x:f>
        <x:v>0</x:v>
      </x:c>
      <x:c r="AA277" s="9" t="n">
        <x:f>SUMIFS('350配方'!$M277:$P277,'350配方'!$Y277:$AB277,152)</x:f>
        <x:v>1048.6410253275426</x:v>
      </x:c>
      <x:c r="AB277" s="9" t="n">
        <x:f>SUMIFS('350配方'!$M277:$P277,'350配方'!$Y277:$AB277,165)</x:f>
        <x:v>0</x:v>
      </x:c>
      <x:c r="AC277" s="9" t="n">
        <x:f>SUMIFS('350配方'!$M277:$P277,'350配方'!$Y277:$AB277,186)</x:f>
        <x:v>0</x:v>
      </x:c>
      <x:c r="AD277" s="9" t="n">
        <x:f>SUMIFS('350配方'!$M277:$P277,'350配方'!$Y277:$AB277,207)</x:f>
        <x:v>0</x:v>
      </x:c>
      <x:c r="AE277" s="9" t="n">
        <x:f>SUMIFS('350配方'!$M277:$P277,'350配方'!$Y277:$AB277,209)</x:f>
        <x:v>0</x:v>
      </x:c>
      <x:c r="AF277" s="9" t="n">
        <x:f>SUMIFS('350配方'!$M277:$P277,'350配方'!$Y277:$AB277,227)</x:f>
        <x:v>0</x:v>
      </x:c>
      <x:c r="AG277" s="9" t="n">
        <x:f>SUMIFS('350配方'!$M277:$P277,'350配方'!$Y277:$AB277,232)</x:f>
        <x:v>39.53062104242735</x:v>
      </x:c>
      <x:c r="AH277" s="9" t="n">
        <x:f>SUMIFS('350配方'!$M277:$P277,'350配方'!$Y277:$AB277,255)</x:f>
        <x:v>0</x:v>
      </x:c>
      <x:c r="AI277" s="9" t="n">
        <x:f>'浓度设置'!S6</x:f>
        <x:v>219125.9626344086</x:v>
      </x:c>
      <x:c r="AJ277" s="9" t="n">
        <x:f>'浓度设置'!S8</x:f>
        <x:v>92796.92267241378</x:v>
      </x:c>
      <x:c r="AK277" s="9" t="n">
        <x:f>'浓度设置'!S10</x:f>
        <x:v>30556.797802197798</x:v>
      </x:c>
      <x:c r="AL277" s="9" t="n">
        <x:f>'浓度设置'!S12</x:f>
        <x:v>1735.828970588235</x:v>
      </x:c>
      <x:c r="AM277" s="9" t="n">
        <x:f>'浓度设置'!S15</x:f>
        <x:v>7385.813644067793</x:v>
      </x:c>
      <x:c r="AN277" s="9" t="n">
        <x:f>'浓度设置'!S19</x:f>
        <x:v>27722.03097701148</x:v>
      </x:c>
      <x:c r="AO277" s="9" t="n">
        <x:f>'浓度设置'!S22</x:f>
        <x:v>44345.55047619048</x:v>
      </x:c>
      <x:c r="AP277" s="9" t="n">
        <x:f>'浓度设置'!S26</x:f>
        <x:v>153318.30499999996</x:v>
      </x:c>
      <x:c r="AQ277" s="9" t="n">
        <x:f>'浓度设置'!S29</x:f>
        <x:v>312.7970588235294</x:v>
      </x:c>
      <x:c r="AR277" s="9" t="n">
        <x:f>'浓度设置'!S30</x:f>
        <x:v>104175.5097553192</x:v>
      </x:c>
      <x:c r="AS277" s="9" t="n">
        <x:f>'浓度设置'!S35</x:f>
        <x:v>405974.90656785714</x:v>
      </x:c>
    </x:row>
    <x:row r="278" ht="24" customHeight="1">
      <x:c r="A278" s="3" t="str">
        <x:f>'350配方'!A278</x:f>
        <x:v>T273</x:v>
      </x:c>
      <x:c r="B278" s="3" t="str">
        <x:f>'350配方'!B278</x:f>
        <x:v>拟合</x:v>
      </x:c>
      <x:c r="C278" s="3" t="n">
        <x:f>IF(B278="拟合",1,0)</x:f>
        <x:v>1</x:v>
      </x:c>
      <x:c r="D278" s="3" t="n">
        <x:f>'350配方'!AC278</x:f>
        <x:v>4</x:v>
      </x:c>
      <x:c r="E278" s="9" t="n">
        <x:f>SUMIFS('350配方'!$M278:$P278,'350配方'!$Y278:$AB278,7)</x:f>
        <x:v>0</x:v>
      </x:c>
      <x:c r="F278" s="9" t="n">
        <x:f>SUMIFS('350配方'!$M278:$P278,'350配方'!$Y278:$AB278,11)</x:f>
        <x:v>0</x:v>
      </x:c>
      <x:c r="G278" s="9" t="n">
        <x:f>SUMIFS('350配方'!$M278:$P278,'350配方'!$Y278:$AB278,18)</x:f>
        <x:v>0</x:v>
      </x:c>
      <x:c r="H278" s="9" t="n">
        <x:f>SUMIFS('350配方'!$M278:$P278,'350配方'!$Y278:$AB278,32)</x:f>
        <x:v>0</x:v>
      </x:c>
      <x:c r="I278" s="9" t="n">
        <x:f>SUMIFS('350配方'!$M278:$P278,'350配方'!$Y278:$AB278,40)</x:f>
        <x:v>0</x:v>
      </x:c>
      <x:c r="J278" s="9" t="n">
        <x:f>SUMIFS('350配方'!$M278:$P278,'350配方'!$Y278:$AB278,52)</x:f>
        <x:v>2338.9306103431118</x:v>
      </x:c>
      <x:c r="K278" s="9" t="n">
        <x:f>SUMIFS('350配方'!$M278:$P278,'350配方'!$Y278:$AB278,53)</x:f>
        <x:v>0</x:v>
      </x:c>
      <x:c r="L278" s="9" t="n">
        <x:f>SUMIFS('350配方'!$M278:$P278,'350配方'!$Y278:$AB278,56)</x:f>
        <x:v>0</x:v>
      </x:c>
      <x:c r="M278" s="9" t="n">
        <x:f>SUMIFS('350配方'!$M278:$P278,'350配方'!$Y278:$AB278,58)</x:f>
        <x:v>0</x:v>
      </x:c>
      <x:c r="N278" s="9" t="n">
        <x:f>SUMIFS('350配方'!$M278:$P278,'350配方'!$Y278:$AB278,61)</x:f>
        <x:v>0</x:v>
      </x:c>
      <x:c r="O278" s="9" t="n">
        <x:f>SUMIFS('350配方'!$M278:$P278,'350配方'!$Y278:$AB278,69)</x:f>
        <x:v>0</x:v>
      </x:c>
      <x:c r="P278" s="9" t="n">
        <x:f>SUMIFS('350配方'!$M278:$P278,'350配方'!$Y278:$AB278,75)</x:f>
        <x:v>0</x:v>
      </x:c>
      <x:c r="Q278" s="9" t="n">
        <x:f>SUMIFS('350配方'!$M278:$P278,'350配方'!$Y278:$AB278,79)</x:f>
        <x:v>1288.255</x:v>
      </x:c>
      <x:c r="R278" s="9" t="n">
        <x:f>SUMIFS('350配方'!$M278:$P278,'350配方'!$Y278:$AB278,90)</x:f>
        <x:v>0</x:v>
      </x:c>
      <x:c r="S278" s="9" t="n">
        <x:f>SUMIFS('350配方'!$M278:$P278,'350配方'!$Y278:$AB278,105)</x:f>
        <x:v>0.05</x:v>
      </x:c>
      <x:c r="T278" s="9" t="n">
        <x:f>SUMIFS('350配方'!$M278:$P278,'350配方'!$Y278:$AB278,111)</x:f>
        <x:v>0</x:v>
      </x:c>
      <x:c r="U278" s="9" t="n">
        <x:f>SUMIFS('350配方'!$M278:$P278,'350配方'!$Y278:$AB278,114)</x:f>
        <x:v>0</x:v>
      </x:c>
      <x:c r="V278" s="9" t="n">
        <x:f>SUMIFS('350配方'!$M278:$P278,'350配方'!$Y278:$AB278,115)</x:f>
        <x:v>0</x:v>
      </x:c>
      <x:c r="W278" s="9" t="n">
        <x:f>SUMIFS('350配方'!$M278:$P278,'350配方'!$Y278:$AB278,117)</x:f>
        <x:v>0</x:v>
      </x:c>
      <x:c r="X278" s="9" t="n">
        <x:f>SUMIFS('350配方'!$M278:$P278,'350配方'!$Y278:$AB278,126)</x:f>
        <x:v>0</x:v>
      </x:c>
      <x:c r="Y278" s="9" t="n">
        <x:f>SUMIFS('350配方'!$M278:$P278,'350配方'!$Y278:$AB278,136)</x:f>
        <x:v>0</x:v>
      </x:c>
      <x:c r="Z278" s="9" t="n">
        <x:f>SUMIFS('350配方'!$M278:$P278,'350配方'!$Y278:$AB278,141)</x:f>
        <x:v>0</x:v>
      </x:c>
      <x:c r="AA278" s="9" t="n">
        <x:f>SUMIFS('350配方'!$M278:$P278,'350配方'!$Y278:$AB278,152)</x:f>
        <x:v>0</x:v>
      </x:c>
      <x:c r="AB278" s="9" t="n">
        <x:f>SUMIFS('350配方'!$M278:$P278,'350配方'!$Y278:$AB278,165)</x:f>
        <x:v>0</x:v>
      </x:c>
      <x:c r="AC278" s="9" t="n">
        <x:f>SUMIFS('350配方'!$M278:$P278,'350配方'!$Y278:$AB278,186)</x:f>
        <x:v>0</x:v>
      </x:c>
      <x:c r="AD278" s="9" t="n">
        <x:f>SUMIFS('350配方'!$M278:$P278,'350配方'!$Y278:$AB278,207)</x:f>
        <x:v>0</x:v>
      </x:c>
      <x:c r="AE278" s="9" t="n">
        <x:f>SUMIFS('350配方'!$M278:$P278,'350配方'!$Y278:$AB278,209)</x:f>
        <x:v>0</x:v>
      </x:c>
      <x:c r="AF278" s="9" t="n">
        <x:f>SUMIFS('350配方'!$M278:$P278,'350配方'!$Y278:$AB278,227)</x:f>
        <x:v>0</x:v>
      </x:c>
      <x:c r="AG278" s="9" t="n">
        <x:f>SUMIFS('350配方'!$M278:$P278,'350配方'!$Y278:$AB278,232)</x:f>
        <x:v>0</x:v>
      </x:c>
      <x:c r="AH278" s="9" t="n">
        <x:f>SUMIFS('350配方'!$M278:$P278,'350配方'!$Y278:$AB278,255)</x:f>
        <x:v>1.5</x:v>
      </x:c>
      <x:c r="AI278" s="9" t="n">
        <x:f>'浓度设置'!S6</x:f>
        <x:v>219125.9626344086</x:v>
      </x:c>
      <x:c r="AJ278" s="9" t="n">
        <x:f>'浓度设置'!S8</x:f>
        <x:v>92796.92267241378</x:v>
      </x:c>
      <x:c r="AK278" s="9" t="n">
        <x:f>'浓度设置'!S10</x:f>
        <x:v>30556.797802197798</x:v>
      </x:c>
      <x:c r="AL278" s="9" t="n">
        <x:f>'浓度设置'!S12</x:f>
        <x:v>1735.828970588235</x:v>
      </x:c>
      <x:c r="AM278" s="9" t="n">
        <x:f>'浓度设置'!S15</x:f>
        <x:v>7385.813644067793</x:v>
      </x:c>
      <x:c r="AN278" s="9" t="n">
        <x:f>'浓度设置'!S19</x:f>
        <x:v>27722.03097701148</x:v>
      </x:c>
      <x:c r="AO278" s="9" t="n">
        <x:f>'浓度设置'!S22</x:f>
        <x:v>44345.55047619048</x:v>
      </x:c>
      <x:c r="AP278" s="9" t="n">
        <x:f>'浓度设置'!S26</x:f>
        <x:v>153318.30499999996</x:v>
      </x:c>
      <x:c r="AQ278" s="9" t="n">
        <x:f>'浓度设置'!S29</x:f>
        <x:v>312.7970588235294</x:v>
      </x:c>
      <x:c r="AR278" s="9" t="n">
        <x:f>'浓度设置'!S30</x:f>
        <x:v>104175.5097553192</x:v>
      </x:c>
      <x:c r="AS278" s="9" t="n">
        <x:f>'浓度设置'!S35</x:f>
        <x:v>405974.90656785714</x:v>
      </x:c>
    </x:row>
    <x:row r="279" ht="24" customHeight="1">
      <x:c r="A279" s="3" t="str">
        <x:f>'350配方'!A279</x:f>
        <x:v>T274</x:v>
      </x:c>
      <x:c r="B279" s="3" t="str">
        <x:f>'350配方'!B279</x:f>
        <x:v>拟合</x:v>
      </x:c>
      <x:c r="C279" s="3" t="n">
        <x:f>IF(B279="拟合",1,0)</x:f>
        <x:v>1</x:v>
      </x:c>
      <x:c r="D279" s="3" t="n">
        <x:f>'350配方'!AC279</x:f>
        <x:v>4</x:v>
      </x:c>
      <x:c r="E279" s="9" t="n">
        <x:f>SUMIFS('350配方'!$M279:$P279,'350配方'!$Y279:$AB279,7)</x:f>
        <x:v>0</x:v>
      </x:c>
      <x:c r="F279" s="9" t="n">
        <x:f>SUMIFS('350配方'!$M279:$P279,'350配方'!$Y279:$AB279,11)</x:f>
        <x:v>0</x:v>
      </x:c>
      <x:c r="G279" s="9" t="n">
        <x:f>SUMIFS('350配方'!$M279:$P279,'350配方'!$Y279:$AB279,18)</x:f>
        <x:v>0</x:v>
      </x:c>
      <x:c r="H279" s="9" t="n">
        <x:f>SUMIFS('350配方'!$M279:$P279,'350配方'!$Y279:$AB279,32)</x:f>
        <x:v>37489</x:v>
      </x:c>
      <x:c r="I279" s="9" t="n">
        <x:f>SUMIFS('350配方'!$M279:$P279,'350配方'!$Y279:$AB279,40)</x:f>
        <x:v>0</x:v>
      </x:c>
      <x:c r="J279" s="9" t="n">
        <x:f>SUMIFS('350配方'!$M279:$P279,'350配方'!$Y279:$AB279,52)</x:f>
        <x:v>0</x:v>
      </x:c>
      <x:c r="K279" s="9" t="n">
        <x:f>SUMIFS('350配方'!$M279:$P279,'350配方'!$Y279:$AB279,53)</x:f>
        <x:v>0</x:v>
      </x:c>
      <x:c r="L279" s="9" t="n">
        <x:f>SUMIFS('350配方'!$M279:$P279,'350配方'!$Y279:$AB279,56)</x:f>
        <x:v>0</x:v>
      </x:c>
      <x:c r="M279" s="9" t="n">
        <x:f>SUMIFS('350配方'!$M279:$P279,'350配方'!$Y279:$AB279,58)</x:f>
        <x:v>0</x:v>
      </x:c>
      <x:c r="N279" s="9" t="n">
        <x:f>SUMIFS('350配方'!$M279:$P279,'350配方'!$Y279:$AB279,61)</x:f>
        <x:v>0</x:v>
      </x:c>
      <x:c r="O279" s="9" t="n">
        <x:f>SUMIFS('350配方'!$M279:$P279,'350配方'!$Y279:$AB279,69)</x:f>
        <x:v>0</x:v>
      </x:c>
      <x:c r="P279" s="9" t="n">
        <x:f>SUMIFS('350配方'!$M279:$P279,'350配方'!$Y279:$AB279,75)</x:f>
        <x:v>0</x:v>
      </x:c>
      <x:c r="Q279" s="9" t="n">
        <x:f>SUMIFS('350配方'!$M279:$P279,'350配方'!$Y279:$AB279,79)</x:f>
        <x:v>0</x:v>
      </x:c>
      <x:c r="R279" s="9" t="n">
        <x:f>SUMIFS('350配方'!$M279:$P279,'350配方'!$Y279:$AB279,90)</x:f>
        <x:v>0</x:v>
      </x:c>
      <x:c r="S279" s="9" t="n">
        <x:f>SUMIFS('350配方'!$M279:$P279,'350配方'!$Y279:$AB279,105)</x:f>
        <x:v>0</x:v>
      </x:c>
      <x:c r="T279" s="9" t="n">
        <x:f>SUMIFS('350配方'!$M279:$P279,'350配方'!$Y279:$AB279,111)</x:f>
        <x:v>0</x:v>
      </x:c>
      <x:c r="U279" s="9" t="n">
        <x:f>SUMIFS('350配方'!$M279:$P279,'350配方'!$Y279:$AB279,114)</x:f>
        <x:v>0</x:v>
      </x:c>
      <x:c r="V279" s="9" t="n">
        <x:f>SUMIFS('350配方'!$M279:$P279,'350配方'!$Y279:$AB279,115)</x:f>
        <x:v>0</x:v>
      </x:c>
      <x:c r="W279" s="9" t="n">
        <x:f>SUMIFS('350配方'!$M279:$P279,'350配方'!$Y279:$AB279,117)</x:f>
        <x:v>274.54883445390914</x:v>
      </x:c>
      <x:c r="X279" s="9" t="n">
        <x:f>SUMIFS('350配方'!$M279:$P279,'350配方'!$Y279:$AB279,126)</x:f>
        <x:v>0</x:v>
      </x:c>
      <x:c r="Y279" s="9" t="n">
        <x:f>SUMIFS('350配方'!$M279:$P279,'350配方'!$Y279:$AB279,136)</x:f>
        <x:v>228.58258901324922</x:v>
      </x:c>
      <x:c r="Z279" s="9" t="n">
        <x:f>SUMIFS('350配方'!$M279:$P279,'350配方'!$Y279:$AB279,141)</x:f>
        <x:v>0</x:v>
      </x:c>
      <x:c r="AA279" s="9" t="n">
        <x:f>SUMIFS('350配方'!$M279:$P279,'350配方'!$Y279:$AB279,152)</x:f>
        <x:v>0</x:v>
      </x:c>
      <x:c r="AB279" s="9" t="n">
        <x:f>SUMIFS('350配方'!$M279:$P279,'350配方'!$Y279:$AB279,165)</x:f>
        <x:v>0</x:v>
      </x:c>
      <x:c r="AC279" s="9" t="n">
        <x:f>SUMIFS('350配方'!$M279:$P279,'350配方'!$Y279:$AB279,186)</x:f>
        <x:v>0</x:v>
      </x:c>
      <x:c r="AD279" s="9" t="n">
        <x:f>SUMIFS('350配方'!$M279:$P279,'350配方'!$Y279:$AB279,207)</x:f>
        <x:v>0</x:v>
      </x:c>
      <x:c r="AE279" s="9" t="n">
        <x:f>SUMIFS('350配方'!$M279:$P279,'350配方'!$Y279:$AB279,209)</x:f>
        <x:v>0</x:v>
      </x:c>
      <x:c r="AF279" s="9" t="n">
        <x:f>SUMIFS('350配方'!$M279:$P279,'350配方'!$Y279:$AB279,227)</x:f>
        <x:v>695.986709643223</x:v>
      </x:c>
      <x:c r="AG279" s="9" t="n">
        <x:f>SUMIFS('350配方'!$M279:$P279,'350配方'!$Y279:$AB279,232)</x:f>
        <x:v>0</x:v>
      </x:c>
      <x:c r="AH279" s="9" t="n">
        <x:f>SUMIFS('350配方'!$M279:$P279,'350配方'!$Y279:$AB279,255)</x:f>
        <x:v>0</x:v>
      </x:c>
      <x:c r="AI279" s="9" t="n">
        <x:f>'浓度设置'!S6</x:f>
        <x:v>219125.9626344086</x:v>
      </x:c>
      <x:c r="AJ279" s="9" t="n">
        <x:f>'浓度设置'!S8</x:f>
        <x:v>92796.92267241378</x:v>
      </x:c>
      <x:c r="AK279" s="9" t="n">
        <x:f>'浓度设置'!S10</x:f>
        <x:v>30556.797802197798</x:v>
      </x:c>
      <x:c r="AL279" s="9" t="n">
        <x:f>'浓度设置'!S12</x:f>
        <x:v>1735.828970588235</x:v>
      </x:c>
      <x:c r="AM279" s="9" t="n">
        <x:f>'浓度设置'!S15</x:f>
        <x:v>7385.813644067793</x:v>
      </x:c>
      <x:c r="AN279" s="9" t="n">
        <x:f>'浓度设置'!S19</x:f>
        <x:v>27722.03097701148</x:v>
      </x:c>
      <x:c r="AO279" s="9" t="n">
        <x:f>'浓度设置'!S22</x:f>
        <x:v>44345.55047619048</x:v>
      </x:c>
      <x:c r="AP279" s="9" t="n">
        <x:f>'浓度设置'!S26</x:f>
        <x:v>153318.30499999996</x:v>
      </x:c>
      <x:c r="AQ279" s="9" t="n">
        <x:f>'浓度设置'!S29</x:f>
        <x:v>312.7970588235294</x:v>
      </x:c>
      <x:c r="AR279" s="9" t="n">
        <x:f>'浓度设置'!S30</x:f>
        <x:v>104175.5097553192</x:v>
      </x:c>
      <x:c r="AS279" s="9" t="n">
        <x:f>'浓度设置'!S35</x:f>
        <x:v>405974.90656785714</x:v>
      </x:c>
    </x:row>
    <x:row r="280" ht="24" customHeight="1">
      <x:c r="A280" s="3" t="str">
        <x:f>'350配方'!A280</x:f>
        <x:v>T275</x:v>
      </x:c>
      <x:c r="B280" s="3" t="str">
        <x:f>'350配方'!B280</x:f>
        <x:v>拟合</x:v>
      </x:c>
      <x:c r="C280" s="3" t="n">
        <x:f>IF(B280="拟合",1,0)</x:f>
        <x:v>1</x:v>
      </x:c>
      <x:c r="D280" s="3" t="n">
        <x:f>'350配方'!AC280</x:f>
        <x:v>4</x:v>
      </x:c>
      <x:c r="E280" s="9" t="n">
        <x:f>SUMIFS('350配方'!$M280:$P280,'350配方'!$Y280:$AB280,7)</x:f>
        <x:v>0</x:v>
      </x:c>
      <x:c r="F280" s="9" t="n">
        <x:f>SUMIFS('350配方'!$M280:$P280,'350配方'!$Y280:$AB280,11)</x:f>
        <x:v>0</x:v>
      </x:c>
      <x:c r="G280" s="9" t="n">
        <x:f>SUMIFS('350配方'!$M280:$P280,'350配方'!$Y280:$AB280,18)</x:f>
        <x:v>0</x:v>
      </x:c>
      <x:c r="H280" s="9" t="n">
        <x:f>SUMIFS('350配方'!$M280:$P280,'350配方'!$Y280:$AB280,32)</x:f>
        <x:v>0</x:v>
      </x:c>
      <x:c r="I280" s="9" t="n">
        <x:f>SUMIFS('350配方'!$M280:$P280,'350配方'!$Y280:$AB280,40)</x:f>
        <x:v>0</x:v>
      </x:c>
      <x:c r="J280" s="9" t="n">
        <x:f>SUMIFS('350配方'!$M280:$P280,'350配方'!$Y280:$AB280,52)</x:f>
        <x:v>0</x:v>
      </x:c>
      <x:c r="K280" s="9" t="n">
        <x:f>SUMIFS('350配方'!$M280:$P280,'350配方'!$Y280:$AB280,53)</x:f>
        <x:v>0</x:v>
      </x:c>
      <x:c r="L280" s="9" t="n">
        <x:f>SUMIFS('350配方'!$M280:$P280,'350配方'!$Y280:$AB280,56)</x:f>
        <x:v>0</x:v>
      </x:c>
      <x:c r="M280" s="9" t="n">
        <x:f>SUMIFS('350配方'!$M280:$P280,'350配方'!$Y280:$AB280,58)</x:f>
        <x:v>0</x:v>
      </x:c>
      <x:c r="N280" s="9" t="n">
        <x:f>SUMIFS('350配方'!$M280:$P280,'350配方'!$Y280:$AB280,61)</x:f>
        <x:v>0.51</x:v>
      </x:c>
      <x:c r="O280" s="9" t="n">
        <x:f>SUMIFS('350配方'!$M280:$P280,'350配方'!$Y280:$AB280,69)</x:f>
        <x:v>0</x:v>
      </x:c>
      <x:c r="P280" s="9" t="n">
        <x:f>SUMIFS('350配方'!$M280:$P280,'350配方'!$Y280:$AB280,75)</x:f>
        <x:v>62700</x:v>
      </x:c>
      <x:c r="Q280" s="9" t="n">
        <x:f>SUMIFS('350配方'!$M280:$P280,'350配方'!$Y280:$AB280,79)</x:f>
        <x:v>0</x:v>
      </x:c>
      <x:c r="R280" s="9" t="n">
        <x:f>SUMIFS('350配方'!$M280:$P280,'350配方'!$Y280:$AB280,90)</x:f>
        <x:v>1232.25</x:v>
      </x:c>
      <x:c r="S280" s="9" t="n">
        <x:f>SUMIFS('350配方'!$M280:$P280,'350配方'!$Y280:$AB280,105)</x:f>
        <x:v>0</x:v>
      </x:c>
      <x:c r="T280" s="9" t="n">
        <x:f>SUMIFS('350配方'!$M280:$P280,'350配方'!$Y280:$AB280,111)</x:f>
        <x:v>0</x:v>
      </x:c>
      <x:c r="U280" s="9" t="n">
        <x:f>SUMIFS('350配方'!$M280:$P280,'350配方'!$Y280:$AB280,114)</x:f>
        <x:v>0</x:v>
      </x:c>
      <x:c r="V280" s="9" t="n">
        <x:f>SUMIFS('350配方'!$M280:$P280,'350配方'!$Y280:$AB280,115)</x:f>
        <x:v>0</x:v>
      </x:c>
      <x:c r="W280" s="9" t="n">
        <x:f>SUMIFS('350配方'!$M280:$P280,'350配方'!$Y280:$AB280,117)</x:f>
        <x:v>0</x:v>
      </x:c>
      <x:c r="X280" s="9" t="n">
        <x:f>SUMIFS('350配方'!$M280:$P280,'350配方'!$Y280:$AB280,126)</x:f>
        <x:v>0</x:v>
      </x:c>
      <x:c r="Y280" s="9" t="n">
        <x:f>SUMIFS('350配方'!$M280:$P280,'350配方'!$Y280:$AB280,136)</x:f>
        <x:v>0</x:v>
      </x:c>
      <x:c r="Z280" s="9" t="n">
        <x:f>SUMIFS('350配方'!$M280:$P280,'350配方'!$Y280:$AB280,141)</x:f>
        <x:v>1512.497272724814</x:v>
      </x:c>
      <x:c r="AA280" s="9" t="n">
        <x:f>SUMIFS('350配方'!$M280:$P280,'350配方'!$Y280:$AB280,152)</x:f>
        <x:v>0</x:v>
      </x:c>
      <x:c r="AB280" s="9" t="n">
        <x:f>SUMIFS('350配方'!$M280:$P280,'350配方'!$Y280:$AB280,165)</x:f>
        <x:v>0</x:v>
      </x:c>
      <x:c r="AC280" s="9" t="n">
        <x:f>SUMIFS('350配方'!$M280:$P280,'350配方'!$Y280:$AB280,186)</x:f>
        <x:v>0</x:v>
      </x:c>
      <x:c r="AD280" s="9" t="n">
        <x:f>SUMIFS('350配方'!$M280:$P280,'350配方'!$Y280:$AB280,207)</x:f>
        <x:v>0</x:v>
      </x:c>
      <x:c r="AE280" s="9" t="n">
        <x:f>SUMIFS('350配方'!$M280:$P280,'350配方'!$Y280:$AB280,209)</x:f>
        <x:v>0</x:v>
      </x:c>
      <x:c r="AF280" s="9" t="n">
        <x:f>SUMIFS('350配方'!$M280:$P280,'350配方'!$Y280:$AB280,227)</x:f>
        <x:v>0</x:v>
      </x:c>
      <x:c r="AG280" s="9" t="n">
        <x:f>SUMIFS('350配方'!$M280:$P280,'350配方'!$Y280:$AB280,232)</x:f>
        <x:v>0</x:v>
      </x:c>
      <x:c r="AH280" s="9" t="n">
        <x:f>SUMIFS('350配方'!$M280:$P280,'350配方'!$Y280:$AB280,255)</x:f>
        <x:v>0</x:v>
      </x:c>
      <x:c r="AI280" s="9" t="n">
        <x:f>'浓度设置'!S6</x:f>
        <x:v>219125.9626344086</x:v>
      </x:c>
      <x:c r="AJ280" s="9" t="n">
        <x:f>'浓度设置'!S8</x:f>
        <x:v>92796.92267241378</x:v>
      </x:c>
      <x:c r="AK280" s="9" t="n">
        <x:f>'浓度设置'!S10</x:f>
        <x:v>30556.797802197798</x:v>
      </x:c>
      <x:c r="AL280" s="9" t="n">
        <x:f>'浓度设置'!S12</x:f>
        <x:v>1735.828970588235</x:v>
      </x:c>
      <x:c r="AM280" s="9" t="n">
        <x:f>'浓度设置'!S15</x:f>
        <x:v>7385.813644067793</x:v>
      </x:c>
      <x:c r="AN280" s="9" t="n">
        <x:f>'浓度设置'!S19</x:f>
        <x:v>27722.03097701148</x:v>
      </x:c>
      <x:c r="AO280" s="9" t="n">
        <x:f>'浓度设置'!S22</x:f>
        <x:v>44345.55047619048</x:v>
      </x:c>
      <x:c r="AP280" s="9" t="n">
        <x:f>'浓度设置'!S26</x:f>
        <x:v>153318.30499999996</x:v>
      </x:c>
      <x:c r="AQ280" s="9" t="n">
        <x:f>'浓度设置'!S29</x:f>
        <x:v>312.7970588235294</x:v>
      </x:c>
      <x:c r="AR280" s="9" t="n">
        <x:f>'浓度设置'!S30</x:f>
        <x:v>104175.5097553192</x:v>
      </x:c>
      <x:c r="AS280" s="9" t="n">
        <x:f>'浓度设置'!S35</x:f>
        <x:v>405974.90656785714</x:v>
      </x:c>
    </x:row>
    <x:row r="281" ht="24" customHeight="1">
      <x:c r="A281" s="3" t="str">
        <x:f>'350配方'!A281</x:f>
        <x:v>T276</x:v>
      </x:c>
      <x:c r="B281" s="3" t="str">
        <x:f>'350配方'!B281</x:f>
        <x:v>拟合</x:v>
      </x:c>
      <x:c r="C281" s="3" t="n">
        <x:f>IF(B281="拟合",1,0)</x:f>
        <x:v>1</x:v>
      </x:c>
      <x:c r="D281" s="3" t="n">
        <x:f>'350配方'!AC281</x:f>
        <x:v>4</x:v>
      </x:c>
      <x:c r="E281" s="9" t="n">
        <x:f>SUMIFS('350配方'!$M281:$P281,'350配方'!$Y281:$AB281,7)</x:f>
        <x:v>0</x:v>
      </x:c>
      <x:c r="F281" s="9" t="n">
        <x:f>SUMIFS('350配方'!$M281:$P281,'350配方'!$Y281:$AB281,11)</x:f>
        <x:v>0</x:v>
      </x:c>
      <x:c r="G281" s="9" t="n">
        <x:f>SUMIFS('350配方'!$M281:$P281,'350配方'!$Y281:$AB281,18)</x:f>
        <x:v>0</x:v>
      </x:c>
      <x:c r="H281" s="9" t="n">
        <x:f>SUMIFS('350配方'!$M281:$P281,'350配方'!$Y281:$AB281,32)</x:f>
        <x:v>0</x:v>
      </x:c>
      <x:c r="I281" s="9" t="n">
        <x:f>SUMIFS('350配方'!$M281:$P281,'350配方'!$Y281:$AB281,40)</x:f>
        <x:v>0</x:v>
      </x:c>
      <x:c r="J281" s="9" t="n">
        <x:f>SUMIFS('350配方'!$M281:$P281,'350配方'!$Y281:$AB281,52)</x:f>
        <x:v>0</x:v>
      </x:c>
      <x:c r="K281" s="9" t="n">
        <x:f>SUMIFS('350配方'!$M281:$P281,'350配方'!$Y281:$AB281,53)</x:f>
        <x:v>0</x:v>
      </x:c>
      <x:c r="L281" s="9" t="n">
        <x:f>SUMIFS('350配方'!$M281:$P281,'350配方'!$Y281:$AB281,56)</x:f>
        <x:v>0</x:v>
      </x:c>
      <x:c r="M281" s="9" t="n">
        <x:f>SUMIFS('350配方'!$M281:$P281,'350配方'!$Y281:$AB281,58)</x:f>
        <x:v>0</x:v>
      </x:c>
      <x:c r="N281" s="9" t="n">
        <x:f>SUMIFS('350配方'!$M281:$P281,'350配方'!$Y281:$AB281,61)</x:f>
        <x:v>0</x:v>
      </x:c>
      <x:c r="O281" s="9" t="n">
        <x:f>SUMIFS('350配方'!$M281:$P281,'350配方'!$Y281:$AB281,69)</x:f>
        <x:v>0</x:v>
      </x:c>
      <x:c r="P281" s="9" t="n">
        <x:f>SUMIFS('350配方'!$M281:$P281,'350配方'!$Y281:$AB281,75)</x:f>
        <x:v>0</x:v>
      </x:c>
      <x:c r="Q281" s="9" t="n">
        <x:f>SUMIFS('350配方'!$M281:$P281,'350配方'!$Y281:$AB281,79)</x:f>
        <x:v>0</x:v>
      </x:c>
      <x:c r="R281" s="9" t="n">
        <x:f>SUMIFS('350配方'!$M281:$P281,'350配方'!$Y281:$AB281,90)</x:f>
        <x:v>0</x:v>
      </x:c>
      <x:c r="S281" s="9" t="n">
        <x:f>SUMIFS('350配方'!$M281:$P281,'350配方'!$Y281:$AB281,105)</x:f>
        <x:v>0</x:v>
      </x:c>
      <x:c r="T281" s="9" t="n">
        <x:f>SUMIFS('350配方'!$M281:$P281,'350配方'!$Y281:$AB281,111)</x:f>
        <x:v>0</x:v>
      </x:c>
      <x:c r="U281" s="9" t="n">
        <x:f>SUMIFS('350配方'!$M281:$P281,'350配方'!$Y281:$AB281,114)</x:f>
        <x:v>0</x:v>
      </x:c>
      <x:c r="V281" s="9" t="n">
        <x:f>SUMIFS('350配方'!$M281:$P281,'350配方'!$Y281:$AB281,115)</x:f>
        <x:v>0</x:v>
      </x:c>
      <x:c r="W281" s="9" t="n">
        <x:f>SUMIFS('350配方'!$M281:$P281,'350配方'!$Y281:$AB281,117)</x:f>
        <x:v>1.875</x:v>
      </x:c>
      <x:c r="X281" s="9" t="n">
        <x:f>SUMIFS('350配方'!$M281:$P281,'350配方'!$Y281:$AB281,126)</x:f>
        <x:v>0</x:v>
      </x:c>
      <x:c r="Y281" s="9" t="n">
        <x:f>SUMIFS('350配方'!$M281:$P281,'350配方'!$Y281:$AB281,136)</x:f>
        <x:v>0</x:v>
      </x:c>
      <x:c r="Z281" s="9" t="n">
        <x:f>SUMIFS('350配方'!$M281:$P281,'350配方'!$Y281:$AB281,141)</x:f>
        <x:v>0</x:v>
      </x:c>
      <x:c r="AA281" s="9" t="n">
        <x:f>SUMIFS('350配方'!$M281:$P281,'350配方'!$Y281:$AB281,152)</x:f>
        <x:v>0</x:v>
      </x:c>
      <x:c r="AB281" s="9" t="n">
        <x:f>SUMIFS('350配方'!$M281:$P281,'350配方'!$Y281:$AB281,165)</x:f>
        <x:v>86300</x:v>
      </x:c>
      <x:c r="AC281" s="9" t="n">
        <x:f>SUMIFS('350配方'!$M281:$P281,'350配方'!$Y281:$AB281,186)</x:f>
        <x:v>0</x:v>
      </x:c>
      <x:c r="AD281" s="9" t="n">
        <x:f>SUMIFS('350配方'!$M281:$P281,'350配方'!$Y281:$AB281,207)</x:f>
        <x:v>16.47573974060042</x:v>
      </x:c>
      <x:c r="AE281" s="9" t="n">
        <x:f>SUMIFS('350配方'!$M281:$P281,'350配方'!$Y281:$AB281,209)</x:f>
        <x:v>0.28</x:v>
      </x:c>
      <x:c r="AF281" s="9" t="n">
        <x:f>SUMIFS('350配方'!$M281:$P281,'350配方'!$Y281:$AB281,227)</x:f>
        <x:v>0</x:v>
      </x:c>
      <x:c r="AG281" s="9" t="n">
        <x:f>SUMIFS('350配方'!$M281:$P281,'350配方'!$Y281:$AB281,232)</x:f>
        <x:v>0</x:v>
      </x:c>
      <x:c r="AH281" s="9" t="n">
        <x:f>SUMIFS('350配方'!$M281:$P281,'350配方'!$Y281:$AB281,255)</x:f>
        <x:v>0</x:v>
      </x:c>
      <x:c r="AI281" s="9" t="n">
        <x:f>'浓度设置'!S6</x:f>
        <x:v>219125.9626344086</x:v>
      </x:c>
      <x:c r="AJ281" s="9" t="n">
        <x:f>'浓度设置'!S8</x:f>
        <x:v>92796.92267241378</x:v>
      </x:c>
      <x:c r="AK281" s="9" t="n">
        <x:f>'浓度设置'!S10</x:f>
        <x:v>30556.797802197798</x:v>
      </x:c>
      <x:c r="AL281" s="9" t="n">
        <x:f>'浓度设置'!S12</x:f>
        <x:v>1735.828970588235</x:v>
      </x:c>
      <x:c r="AM281" s="9" t="n">
        <x:f>'浓度设置'!S15</x:f>
        <x:v>7385.813644067793</x:v>
      </x:c>
      <x:c r="AN281" s="9" t="n">
        <x:f>'浓度设置'!S19</x:f>
        <x:v>27722.03097701148</x:v>
      </x:c>
      <x:c r="AO281" s="9" t="n">
        <x:f>'浓度设置'!S22</x:f>
        <x:v>44345.55047619048</x:v>
      </x:c>
      <x:c r="AP281" s="9" t="n">
        <x:f>'浓度设置'!S26</x:f>
        <x:v>153318.30499999996</x:v>
      </x:c>
      <x:c r="AQ281" s="9" t="n">
        <x:f>'浓度设置'!S29</x:f>
        <x:v>312.7970588235294</x:v>
      </x:c>
      <x:c r="AR281" s="9" t="n">
        <x:f>'浓度设置'!S30</x:f>
        <x:v>104175.5097553192</x:v>
      </x:c>
      <x:c r="AS281" s="9" t="n">
        <x:f>'浓度设置'!S35</x:f>
        <x:v>405974.90656785714</x:v>
      </x:c>
    </x:row>
    <x:row r="282" ht="24" customHeight="1">
      <x:c r="A282" s="3" t="str">
        <x:f>'350配方'!A282</x:f>
        <x:v>T277</x:v>
      </x:c>
      <x:c r="B282" s="3" t="str">
        <x:f>'350配方'!B282</x:f>
        <x:v>拟合</x:v>
      </x:c>
      <x:c r="C282" s="3" t="n">
        <x:f>IF(B282="拟合",1,0)</x:f>
        <x:v>1</x:v>
      </x:c>
      <x:c r="D282" s="3" t="n">
        <x:f>'350配方'!AC282</x:f>
        <x:v>4</x:v>
      </x:c>
      <x:c r="E282" s="9" t="n">
        <x:f>SUMIFS('350配方'!$M282:$P282,'350配方'!$Y282:$AB282,7)</x:f>
        <x:v>0</x:v>
      </x:c>
      <x:c r="F282" s="9" t="n">
        <x:f>SUMIFS('350配方'!$M282:$P282,'350配方'!$Y282:$AB282,11)</x:f>
        <x:v>0</x:v>
      </x:c>
      <x:c r="G282" s="9" t="n">
        <x:f>SUMIFS('350配方'!$M282:$P282,'350配方'!$Y282:$AB282,18)</x:f>
        <x:v>0</x:v>
      </x:c>
      <x:c r="H282" s="9" t="n">
        <x:f>SUMIFS('350配方'!$M282:$P282,'350配方'!$Y282:$AB282,32)</x:f>
        <x:v>0</x:v>
      </x:c>
      <x:c r="I282" s="9" t="n">
        <x:f>SUMIFS('350配方'!$M282:$P282,'350配方'!$Y282:$AB282,40)</x:f>
        <x:v>21400</x:v>
      </x:c>
      <x:c r="J282" s="9" t="n">
        <x:f>SUMIFS('350配方'!$M282:$P282,'350配方'!$Y282:$AB282,52)</x:f>
        <x:v>0</x:v>
      </x:c>
      <x:c r="K282" s="9" t="n">
        <x:f>SUMIFS('350配方'!$M282:$P282,'350配方'!$Y282:$AB282,53)</x:f>
        <x:v>0</x:v>
      </x:c>
      <x:c r="L282" s="9" t="n">
        <x:f>SUMIFS('350配方'!$M282:$P282,'350配方'!$Y282:$AB282,56)</x:f>
        <x:v>0</x:v>
      </x:c>
      <x:c r="M282" s="9" t="n">
        <x:f>SUMIFS('350配方'!$M282:$P282,'350配方'!$Y282:$AB282,58)</x:f>
        <x:v>0</x:v>
      </x:c>
      <x:c r="N282" s="9" t="n">
        <x:f>SUMIFS('350配方'!$M282:$P282,'350配方'!$Y282:$AB282,61)</x:f>
        <x:v>0</x:v>
      </x:c>
      <x:c r="O282" s="9" t="n">
        <x:f>SUMIFS('350配方'!$M282:$P282,'350配方'!$Y282:$AB282,69)</x:f>
        <x:v>0</x:v>
      </x:c>
      <x:c r="P282" s="9" t="n">
        <x:f>SUMIFS('350配方'!$M282:$P282,'350配方'!$Y282:$AB282,75)</x:f>
        <x:v>0</x:v>
      </x:c>
      <x:c r="Q282" s="9" t="n">
        <x:f>SUMIFS('350配方'!$M282:$P282,'350配方'!$Y282:$AB282,79)</x:f>
        <x:v>0</x:v>
      </x:c>
      <x:c r="R282" s="9" t="n">
        <x:f>SUMIFS('350配方'!$M282:$P282,'350配方'!$Y282:$AB282,90)</x:f>
        <x:v>1232.25</x:v>
      </x:c>
      <x:c r="S282" s="9" t="n">
        <x:f>SUMIFS('350配方'!$M282:$P282,'350配方'!$Y282:$AB282,105)</x:f>
        <x:v>0</x:v>
      </x:c>
      <x:c r="T282" s="9" t="n">
        <x:f>SUMIFS('350配方'!$M282:$P282,'350配方'!$Y282:$AB282,111)</x:f>
        <x:v>0</x:v>
      </x:c>
      <x:c r="U282" s="9" t="n">
        <x:f>SUMIFS('350配方'!$M282:$P282,'350配方'!$Y282:$AB282,114)</x:f>
        <x:v>0</x:v>
      </x:c>
      <x:c r="V282" s="9" t="n">
        <x:f>SUMIFS('350配方'!$M282:$P282,'350配方'!$Y282:$AB282,115)</x:f>
        <x:v>96.86609313893071</x:v>
      </x:c>
      <x:c r="W282" s="9" t="n">
        <x:f>SUMIFS('350配方'!$M282:$P282,'350配方'!$Y282:$AB282,117)</x:f>
        <x:v>0</x:v>
      </x:c>
      <x:c r="X282" s="9" t="n">
        <x:f>SUMIFS('350配方'!$M282:$P282,'350配方'!$Y282:$AB282,126)</x:f>
        <x:v>0</x:v>
      </x:c>
      <x:c r="Y282" s="9" t="n">
        <x:f>SUMIFS('350配方'!$M282:$P282,'350配方'!$Y282:$AB282,136)</x:f>
        <x:v>0</x:v>
      </x:c>
      <x:c r="Z282" s="9" t="n">
        <x:f>SUMIFS('350配方'!$M282:$P282,'350配方'!$Y282:$AB282,141)</x:f>
        <x:v>0</x:v>
      </x:c>
      <x:c r="AA282" s="9" t="n">
        <x:f>SUMIFS('350配方'!$M282:$P282,'350配方'!$Y282:$AB282,152)</x:f>
        <x:v>227200</x:v>
      </x:c>
      <x:c r="AB282" s="9" t="n">
        <x:f>SUMIFS('350配方'!$M282:$P282,'350配方'!$Y282:$AB282,165)</x:f>
        <x:v>0</x:v>
      </x:c>
      <x:c r="AC282" s="9" t="n">
        <x:f>SUMIFS('350配方'!$M282:$P282,'350配方'!$Y282:$AB282,186)</x:f>
        <x:v>0</x:v>
      </x:c>
      <x:c r="AD282" s="9" t="n">
        <x:f>SUMIFS('350配方'!$M282:$P282,'350配方'!$Y282:$AB282,207)</x:f>
        <x:v>0</x:v>
      </x:c>
      <x:c r="AE282" s="9" t="n">
        <x:f>SUMIFS('350配方'!$M282:$P282,'350配方'!$Y282:$AB282,209)</x:f>
        <x:v>0</x:v>
      </x:c>
      <x:c r="AF282" s="9" t="n">
        <x:f>SUMIFS('350配方'!$M282:$P282,'350配方'!$Y282:$AB282,227)</x:f>
        <x:v>0</x:v>
      </x:c>
      <x:c r="AG282" s="9" t="n">
        <x:f>SUMIFS('350配方'!$M282:$P282,'350配方'!$Y282:$AB282,232)</x:f>
        <x:v>0</x:v>
      </x:c>
      <x:c r="AH282" s="9" t="n">
        <x:f>SUMIFS('350配方'!$M282:$P282,'350配方'!$Y282:$AB282,255)</x:f>
        <x:v>0</x:v>
      </x:c>
      <x:c r="AI282" s="9" t="n">
        <x:f>'浓度设置'!S6</x:f>
        <x:v>219125.9626344086</x:v>
      </x:c>
      <x:c r="AJ282" s="9" t="n">
        <x:f>'浓度设置'!S8</x:f>
        <x:v>92796.92267241378</x:v>
      </x:c>
      <x:c r="AK282" s="9" t="n">
        <x:f>'浓度设置'!S10</x:f>
        <x:v>30556.797802197798</x:v>
      </x:c>
      <x:c r="AL282" s="9" t="n">
        <x:f>'浓度设置'!S12</x:f>
        <x:v>1735.828970588235</x:v>
      </x:c>
      <x:c r="AM282" s="9" t="n">
        <x:f>'浓度设置'!S15</x:f>
        <x:v>7385.813644067793</x:v>
      </x:c>
      <x:c r="AN282" s="9" t="n">
        <x:f>'浓度设置'!S19</x:f>
        <x:v>27722.03097701148</x:v>
      </x:c>
      <x:c r="AO282" s="9" t="n">
        <x:f>'浓度设置'!S22</x:f>
        <x:v>44345.55047619048</x:v>
      </x:c>
      <x:c r="AP282" s="9" t="n">
        <x:f>'浓度设置'!S26</x:f>
        <x:v>153318.30499999996</x:v>
      </x:c>
      <x:c r="AQ282" s="9" t="n">
        <x:f>'浓度设置'!S29</x:f>
        <x:v>312.7970588235294</x:v>
      </x:c>
      <x:c r="AR282" s="9" t="n">
        <x:f>'浓度设置'!S30</x:f>
        <x:v>104175.5097553192</x:v>
      </x:c>
      <x:c r="AS282" s="9" t="n">
        <x:f>'浓度设置'!S35</x:f>
        <x:v>405974.90656785714</x:v>
      </x:c>
    </x:row>
    <x:row r="283" ht="24" customHeight="1">
      <x:c r="A283" s="3" t="str">
        <x:f>'350配方'!A283</x:f>
        <x:v>T278</x:v>
      </x:c>
      <x:c r="B283" s="3" t="str">
        <x:f>'350配方'!B283</x:f>
        <x:v>拟合</x:v>
      </x:c>
      <x:c r="C283" s="3" t="n">
        <x:f>IF(B283="拟合",1,0)</x:f>
        <x:v>1</x:v>
      </x:c>
      <x:c r="D283" s="3" t="n">
        <x:f>'350配方'!AC283</x:f>
        <x:v>4</x:v>
      </x:c>
      <x:c r="E283" s="9" t="n">
        <x:f>SUMIFS('350配方'!$M283:$P283,'350配方'!$Y283:$AB283,7)</x:f>
        <x:v>0</x:v>
      </x:c>
      <x:c r="F283" s="9" t="n">
        <x:f>SUMIFS('350配方'!$M283:$P283,'350配方'!$Y283:$AB283,11)</x:f>
        <x:v>0</x:v>
      </x:c>
      <x:c r="G283" s="9" t="n">
        <x:f>SUMIFS('350配方'!$M283:$P283,'350配方'!$Y283:$AB283,18)</x:f>
        <x:v>0</x:v>
      </x:c>
      <x:c r="H283" s="9" t="n">
        <x:f>SUMIFS('350配方'!$M283:$P283,'350配方'!$Y283:$AB283,32)</x:f>
        <x:v>0</x:v>
      </x:c>
      <x:c r="I283" s="9" t="n">
        <x:f>SUMIFS('350配方'!$M283:$P283,'350配方'!$Y283:$AB283,40)</x:f>
        <x:v>0</x:v>
      </x:c>
      <x:c r="J283" s="9" t="n">
        <x:f>SUMIFS('350配方'!$M283:$P283,'350配方'!$Y283:$AB283,52)</x:f>
        <x:v>0</x:v>
      </x:c>
      <x:c r="K283" s="9" t="n">
        <x:f>SUMIFS('350配方'!$M283:$P283,'350配方'!$Y283:$AB283,53)</x:f>
        <x:v>2745.3821227654266</x:v>
      </x:c>
      <x:c r="L283" s="9" t="n">
        <x:f>SUMIFS('350配方'!$M283:$P283,'350配方'!$Y283:$AB283,56)</x:f>
        <x:v>4105</x:v>
      </x:c>
      <x:c r="M283" s="9" t="n">
        <x:f>SUMIFS('350配方'!$M283:$P283,'350配方'!$Y283:$AB283,58)</x:f>
        <x:v>0</x:v>
      </x:c>
      <x:c r="N283" s="9" t="n">
        <x:f>SUMIFS('350配方'!$M283:$P283,'350配方'!$Y283:$AB283,61)</x:f>
        <x:v>0</x:v>
      </x:c>
      <x:c r="O283" s="9" t="n">
        <x:f>SUMIFS('350配方'!$M283:$P283,'350配方'!$Y283:$AB283,69)</x:f>
        <x:v>0</x:v>
      </x:c>
      <x:c r="P283" s="9" t="n">
        <x:f>SUMIFS('350配方'!$M283:$P283,'350配方'!$Y283:$AB283,75)</x:f>
        <x:v>0</x:v>
      </x:c>
      <x:c r="Q283" s="9" t="n">
        <x:f>SUMIFS('350配方'!$M283:$P283,'350配方'!$Y283:$AB283,79)</x:f>
        <x:v>0</x:v>
      </x:c>
      <x:c r="R283" s="9" t="n">
        <x:f>SUMIFS('350配方'!$M283:$P283,'350配方'!$Y283:$AB283,90)</x:f>
        <x:v>0</x:v>
      </x:c>
      <x:c r="S283" s="9" t="n">
        <x:f>SUMIFS('350配方'!$M283:$P283,'350配方'!$Y283:$AB283,105)</x:f>
        <x:v>0</x:v>
      </x:c>
      <x:c r="T283" s="9" t="n">
        <x:f>SUMIFS('350配方'!$M283:$P283,'350配方'!$Y283:$AB283,111)</x:f>
        <x:v>0</x:v>
      </x:c>
      <x:c r="U283" s="9" t="n">
        <x:f>SUMIFS('350配方'!$M283:$P283,'350配方'!$Y283:$AB283,114)</x:f>
        <x:v>0</x:v>
      </x:c>
      <x:c r="V283" s="9" t="n">
        <x:f>SUMIFS('350配方'!$M283:$P283,'350配方'!$Y283:$AB283,115)</x:f>
        <x:v>0</x:v>
      </x:c>
      <x:c r="W283" s="9" t="n">
        <x:f>SUMIFS('350配方'!$M283:$P283,'350配方'!$Y283:$AB283,117)</x:f>
        <x:v>0</x:v>
      </x:c>
      <x:c r="X283" s="9" t="n">
        <x:f>SUMIFS('350配方'!$M283:$P283,'350配方'!$Y283:$AB283,126)</x:f>
        <x:v>2.125</x:v>
      </x:c>
      <x:c r="Y283" s="9" t="n">
        <x:f>SUMIFS('350配方'!$M283:$P283,'350配方'!$Y283:$AB283,136)</x:f>
        <x:v>0</x:v>
      </x:c>
      <x:c r="Z283" s="9" t="n">
        <x:f>SUMIFS('350配方'!$M283:$P283,'350配方'!$Y283:$AB283,141)</x:f>
        <x:v>0</x:v>
      </x:c>
      <x:c r="AA283" s="9" t="n">
        <x:f>SUMIFS('350配方'!$M283:$P283,'350配方'!$Y283:$AB283,152)</x:f>
        <x:v>0</x:v>
      </x:c>
      <x:c r="AB283" s="9" t="n">
        <x:f>SUMIFS('350配方'!$M283:$P283,'350配方'!$Y283:$AB283,165)</x:f>
        <x:v>0</x:v>
      </x:c>
      <x:c r="AC283" s="9" t="n">
        <x:f>SUMIFS('350配方'!$M283:$P283,'350配方'!$Y283:$AB283,186)</x:f>
        <x:v>0</x:v>
      </x:c>
      <x:c r="AD283" s="9" t="n">
        <x:f>SUMIFS('350配方'!$M283:$P283,'350配方'!$Y283:$AB283,207)</x:f>
        <x:v>0</x:v>
      </x:c>
      <x:c r="AE283" s="9" t="n">
        <x:f>SUMIFS('350配方'!$M283:$P283,'350配方'!$Y283:$AB283,209)</x:f>
        <x:v>0</x:v>
      </x:c>
      <x:c r="AF283" s="9" t="n">
        <x:f>SUMIFS('350配方'!$M283:$P283,'350配方'!$Y283:$AB283,227)</x:f>
        <x:v>0</x:v>
      </x:c>
      <x:c r="AG283" s="9" t="n">
        <x:f>SUMIFS('350配方'!$M283:$P283,'350配方'!$Y283:$AB283,232)</x:f>
        <x:v>0</x:v>
      </x:c>
      <x:c r="AH283" s="9" t="n">
        <x:f>SUMIFS('350配方'!$M283:$P283,'350配方'!$Y283:$AB283,255)</x:f>
        <x:v>60.76</x:v>
      </x:c>
      <x:c r="AI283" s="9" t="n">
        <x:f>'浓度设置'!S6</x:f>
        <x:v>219125.9626344086</x:v>
      </x:c>
      <x:c r="AJ283" s="9" t="n">
        <x:f>'浓度设置'!S8</x:f>
        <x:v>92796.92267241378</x:v>
      </x:c>
      <x:c r="AK283" s="9" t="n">
        <x:f>'浓度设置'!S10</x:f>
        <x:v>30556.797802197798</x:v>
      </x:c>
      <x:c r="AL283" s="9" t="n">
        <x:f>'浓度设置'!S12</x:f>
        <x:v>1735.828970588235</x:v>
      </x:c>
      <x:c r="AM283" s="9" t="n">
        <x:f>'浓度设置'!S15</x:f>
        <x:v>7385.813644067793</x:v>
      </x:c>
      <x:c r="AN283" s="9" t="n">
        <x:f>'浓度设置'!S19</x:f>
        <x:v>27722.03097701148</x:v>
      </x:c>
      <x:c r="AO283" s="9" t="n">
        <x:f>'浓度设置'!S22</x:f>
        <x:v>44345.55047619048</x:v>
      </x:c>
      <x:c r="AP283" s="9" t="n">
        <x:f>'浓度设置'!S26</x:f>
        <x:v>153318.30499999996</x:v>
      </x:c>
      <x:c r="AQ283" s="9" t="n">
        <x:f>'浓度设置'!S29</x:f>
        <x:v>312.7970588235294</x:v>
      </x:c>
      <x:c r="AR283" s="9" t="n">
        <x:f>'浓度设置'!S30</x:f>
        <x:v>104175.5097553192</x:v>
      </x:c>
      <x:c r="AS283" s="9" t="n">
        <x:f>'浓度设置'!S35</x:f>
        <x:v>405974.90656785714</x:v>
      </x:c>
    </x:row>
    <x:row r="284" ht="24" customHeight="1">
      <x:c r="A284" s="3" t="str">
        <x:f>'350配方'!A284</x:f>
        <x:v>T279</x:v>
      </x:c>
      <x:c r="B284" s="3" t="str">
        <x:f>'350配方'!B284</x:f>
        <x:v>拟合</x:v>
      </x:c>
      <x:c r="C284" s="3" t="n">
        <x:f>IF(B284="拟合",1,0)</x:f>
        <x:v>1</x:v>
      </x:c>
      <x:c r="D284" s="3" t="n">
        <x:f>'350配方'!AC284</x:f>
        <x:v>4</x:v>
      </x:c>
      <x:c r="E284" s="9" t="n">
        <x:f>SUMIFS('350配方'!$M284:$P284,'350配方'!$Y284:$AB284,7)</x:f>
        <x:v>729.4776350238574</x:v>
      </x:c>
      <x:c r="F284" s="9" t="n">
        <x:f>SUMIFS('350配方'!$M284:$P284,'350配方'!$Y284:$AB284,11)</x:f>
        <x:v>0</x:v>
      </x:c>
      <x:c r="G284" s="9" t="n">
        <x:f>SUMIFS('350配方'!$M284:$P284,'350配方'!$Y284:$AB284,18)</x:f>
        <x:v>0</x:v>
      </x:c>
      <x:c r="H284" s="9" t="n">
        <x:f>SUMIFS('350配方'!$M284:$P284,'350配方'!$Y284:$AB284,32)</x:f>
        <x:v>0</x:v>
      </x:c>
      <x:c r="I284" s="9" t="n">
        <x:f>SUMIFS('350配方'!$M284:$P284,'350配方'!$Y284:$AB284,40)</x:f>
        <x:v>0</x:v>
      </x:c>
      <x:c r="J284" s="9" t="n">
        <x:f>SUMIFS('350配方'!$M284:$P284,'350配方'!$Y284:$AB284,52)</x:f>
        <x:v>0</x:v>
      </x:c>
      <x:c r="K284" s="9" t="n">
        <x:f>SUMIFS('350配方'!$M284:$P284,'350配方'!$Y284:$AB284,53)</x:f>
        <x:v>0</x:v>
      </x:c>
      <x:c r="L284" s="9" t="n">
        <x:f>SUMIFS('350配方'!$M284:$P284,'350配方'!$Y284:$AB284,56)</x:f>
        <x:v>0</x:v>
      </x:c>
      <x:c r="M284" s="9" t="n">
        <x:f>SUMIFS('350配方'!$M284:$P284,'350配方'!$Y284:$AB284,58)</x:f>
        <x:v>0</x:v>
      </x:c>
      <x:c r="N284" s="9" t="n">
        <x:f>SUMIFS('350配方'!$M284:$P284,'350配方'!$Y284:$AB284,61)</x:f>
        <x:v>0</x:v>
      </x:c>
      <x:c r="O284" s="9" t="n">
        <x:f>SUMIFS('350配方'!$M284:$P284,'350配方'!$Y284:$AB284,69)</x:f>
        <x:v>0</x:v>
      </x:c>
      <x:c r="P284" s="9" t="n">
        <x:f>SUMIFS('350配方'!$M284:$P284,'350配方'!$Y284:$AB284,75)</x:f>
        <x:v>0</x:v>
      </x:c>
      <x:c r="Q284" s="9" t="n">
        <x:f>SUMIFS('350配方'!$M284:$P284,'350配方'!$Y284:$AB284,79)</x:f>
        <x:v>0</x:v>
      </x:c>
      <x:c r="R284" s="9" t="n">
        <x:f>SUMIFS('350配方'!$M284:$P284,'350配方'!$Y284:$AB284,90)</x:f>
        <x:v>0</x:v>
      </x:c>
      <x:c r="S284" s="9" t="n">
        <x:f>SUMIFS('350配方'!$M284:$P284,'350配方'!$Y284:$AB284,105)</x:f>
        <x:v>0</x:v>
      </x:c>
      <x:c r="T284" s="9" t="n">
        <x:f>SUMIFS('350配方'!$M284:$P284,'350配方'!$Y284:$AB284,111)</x:f>
        <x:v>0</x:v>
      </x:c>
      <x:c r="U284" s="9" t="n">
        <x:f>SUMIFS('350配方'!$M284:$P284,'350配方'!$Y284:$AB284,114)</x:f>
        <x:v>0</x:v>
      </x:c>
      <x:c r="V284" s="9" t="n">
        <x:f>SUMIFS('350配方'!$M284:$P284,'350配方'!$Y284:$AB284,115)</x:f>
        <x:v>0</x:v>
      </x:c>
      <x:c r="W284" s="9" t="n">
        <x:f>SUMIFS('350配方'!$M284:$P284,'350配方'!$Y284:$AB284,117)</x:f>
        <x:v>0</x:v>
      </x:c>
      <x:c r="X284" s="9" t="n">
        <x:f>SUMIFS('350配方'!$M284:$P284,'350配方'!$Y284:$AB284,126)</x:f>
        <x:v>0</x:v>
      </x:c>
      <x:c r="Y284" s="9" t="n">
        <x:f>SUMIFS('350配方'!$M284:$P284,'350配方'!$Y284:$AB284,136)</x:f>
        <x:v>0</x:v>
      </x:c>
      <x:c r="Z284" s="9" t="n">
        <x:f>SUMIFS('350配方'!$M284:$P284,'350配方'!$Y284:$AB284,141)</x:f>
        <x:v>1512.497272724814</x:v>
      </x:c>
      <x:c r="AA284" s="9" t="n">
        <x:f>SUMIFS('350配方'!$M284:$P284,'350配方'!$Y284:$AB284,152)</x:f>
        <x:v>0</x:v>
      </x:c>
      <x:c r="AB284" s="9" t="n">
        <x:f>SUMIFS('350配方'!$M284:$P284,'350配方'!$Y284:$AB284,165)</x:f>
        <x:v>0</x:v>
      </x:c>
      <x:c r="AC284" s="9" t="n">
        <x:f>SUMIFS('350配方'!$M284:$P284,'350配方'!$Y284:$AB284,186)</x:f>
        <x:v>4262.731518639193</x:v>
      </x:c>
      <x:c r="AD284" s="9" t="n">
        <x:f>SUMIFS('350配方'!$M284:$P284,'350配方'!$Y284:$AB284,207)</x:f>
        <x:v>0</x:v>
      </x:c>
      <x:c r="AE284" s="9" t="n">
        <x:f>SUMIFS('350配方'!$M284:$P284,'350配方'!$Y284:$AB284,209)</x:f>
        <x:v>0</x:v>
      </x:c>
      <x:c r="AF284" s="9" t="n">
        <x:f>SUMIFS('350配方'!$M284:$P284,'350配方'!$Y284:$AB284,227)</x:f>
        <x:v>0</x:v>
      </x:c>
      <x:c r="AG284" s="9" t="n">
        <x:f>SUMIFS('350配方'!$M284:$P284,'350配方'!$Y284:$AB284,232)</x:f>
        <x:v>0.97</x:v>
      </x:c>
      <x:c r="AH284" s="9" t="n">
        <x:f>SUMIFS('350配方'!$M284:$P284,'350配方'!$Y284:$AB284,255)</x:f>
        <x:v>0</x:v>
      </x:c>
      <x:c r="AI284" s="9" t="n">
        <x:f>'浓度设置'!S6</x:f>
        <x:v>219125.9626344086</x:v>
      </x:c>
      <x:c r="AJ284" s="9" t="n">
        <x:f>'浓度设置'!S8</x:f>
        <x:v>92796.92267241378</x:v>
      </x:c>
      <x:c r="AK284" s="9" t="n">
        <x:f>'浓度设置'!S10</x:f>
        <x:v>30556.797802197798</x:v>
      </x:c>
      <x:c r="AL284" s="9" t="n">
        <x:f>'浓度设置'!S12</x:f>
        <x:v>1735.828970588235</x:v>
      </x:c>
      <x:c r="AM284" s="9" t="n">
        <x:f>'浓度设置'!S15</x:f>
        <x:v>7385.813644067793</x:v>
      </x:c>
      <x:c r="AN284" s="9" t="n">
        <x:f>'浓度设置'!S19</x:f>
        <x:v>27722.03097701148</x:v>
      </x:c>
      <x:c r="AO284" s="9" t="n">
        <x:f>'浓度设置'!S22</x:f>
        <x:v>44345.55047619048</x:v>
      </x:c>
      <x:c r="AP284" s="9" t="n">
        <x:f>'浓度设置'!S26</x:f>
        <x:v>153318.30499999996</x:v>
      </x:c>
      <x:c r="AQ284" s="9" t="n">
        <x:f>'浓度设置'!S29</x:f>
        <x:v>312.7970588235294</x:v>
      </x:c>
      <x:c r="AR284" s="9" t="n">
        <x:f>'浓度设置'!S30</x:f>
        <x:v>104175.5097553192</x:v>
      </x:c>
      <x:c r="AS284" s="9" t="n">
        <x:f>'浓度设置'!S35</x:f>
        <x:v>405974.90656785714</x:v>
      </x:c>
    </x:row>
    <x:row r="285" ht="24" customHeight="1">
      <x:c r="A285" s="3" t="str">
        <x:f>'350配方'!A285</x:f>
        <x:v>T280</x:v>
      </x:c>
      <x:c r="B285" s="3" t="str">
        <x:f>'350配方'!B285</x:f>
        <x:v>拟合</x:v>
      </x:c>
      <x:c r="C285" s="3" t="n">
        <x:f>IF(B285="拟合",1,0)</x:f>
        <x:v>1</x:v>
      </x:c>
      <x:c r="D285" s="3" t="n">
        <x:f>'350配方'!AC285</x:f>
        <x:v>4</x:v>
      </x:c>
      <x:c r="E285" s="9" t="n">
        <x:f>SUMIFS('350配方'!$M285:$P285,'350配方'!$Y285:$AB285,7)</x:f>
        <x:v>0</x:v>
      </x:c>
      <x:c r="F285" s="9" t="n">
        <x:f>SUMIFS('350配方'!$M285:$P285,'350配方'!$Y285:$AB285,11)</x:f>
        <x:v>4198.825192836682</x:v>
      </x:c>
      <x:c r="G285" s="9" t="n">
        <x:f>SUMIFS('350配方'!$M285:$P285,'350配方'!$Y285:$AB285,18)</x:f>
        <x:v>0</x:v>
      </x:c>
      <x:c r="H285" s="9" t="n">
        <x:f>SUMIFS('350配方'!$M285:$P285,'350配方'!$Y285:$AB285,32)</x:f>
        <x:v>0</x:v>
      </x:c>
      <x:c r="I285" s="9" t="n">
        <x:f>SUMIFS('350配方'!$M285:$P285,'350配方'!$Y285:$AB285,40)</x:f>
        <x:v>0</x:v>
      </x:c>
      <x:c r="J285" s="9" t="n">
        <x:f>SUMIFS('350配方'!$M285:$P285,'350配方'!$Y285:$AB285,52)</x:f>
        <x:v>2338.9306103431118</x:v>
      </x:c>
      <x:c r="K285" s="9" t="n">
        <x:f>SUMIFS('350配方'!$M285:$P285,'350配方'!$Y285:$AB285,53)</x:f>
        <x:v>0</x:v>
      </x:c>
      <x:c r="L285" s="9" t="n">
        <x:f>SUMIFS('350配方'!$M285:$P285,'350配方'!$Y285:$AB285,56)</x:f>
        <x:v>0</x:v>
      </x:c>
      <x:c r="M285" s="9" t="n">
        <x:f>SUMIFS('350配方'!$M285:$P285,'350配方'!$Y285:$AB285,58)</x:f>
        <x:v>0</x:v>
      </x:c>
      <x:c r="N285" s="9" t="n">
        <x:f>SUMIFS('350配方'!$M285:$P285,'350配方'!$Y285:$AB285,61)</x:f>
        <x:v>0</x:v>
      </x:c>
      <x:c r="O285" s="9" t="n">
        <x:f>SUMIFS('350配方'!$M285:$P285,'350配方'!$Y285:$AB285,69)</x:f>
        <x:v>0</x:v>
      </x:c>
      <x:c r="P285" s="9" t="n">
        <x:f>SUMIFS('350配方'!$M285:$P285,'350配方'!$Y285:$AB285,75)</x:f>
        <x:v>331.2476415010377</x:v>
      </x:c>
      <x:c r="Q285" s="9" t="n">
        <x:f>SUMIFS('350配方'!$M285:$P285,'350配方'!$Y285:$AB285,79)</x:f>
        <x:v>0</x:v>
      </x:c>
      <x:c r="R285" s="9" t="n">
        <x:f>SUMIFS('350配方'!$M285:$P285,'350配方'!$Y285:$AB285,90)</x:f>
        <x:v>0</x:v>
      </x:c>
      <x:c r="S285" s="9" t="n">
        <x:f>SUMIFS('350配方'!$M285:$P285,'350配方'!$Y285:$AB285,105)</x:f>
        <x:v>0</x:v>
      </x:c>
      <x:c r="T285" s="9" t="n">
        <x:f>SUMIFS('350配方'!$M285:$P285,'350配方'!$Y285:$AB285,111)</x:f>
        <x:v>0</x:v>
      </x:c>
      <x:c r="U285" s="9" t="n">
        <x:f>SUMIFS('350配方'!$M285:$P285,'350配方'!$Y285:$AB285,114)</x:f>
        <x:v>0</x:v>
      </x:c>
      <x:c r="V285" s="9" t="n">
        <x:f>SUMIFS('350配方'!$M285:$P285,'350配方'!$Y285:$AB285,115)</x:f>
        <x:v>0</x:v>
      </x:c>
      <x:c r="W285" s="9" t="n">
        <x:f>SUMIFS('350配方'!$M285:$P285,'350配方'!$Y285:$AB285,117)</x:f>
        <x:v>0</x:v>
      </x:c>
      <x:c r="X285" s="9" t="n">
        <x:f>SUMIFS('350配方'!$M285:$P285,'350配方'!$Y285:$AB285,126)</x:f>
        <x:v>0</x:v>
      </x:c>
      <x:c r="Y285" s="9" t="n">
        <x:f>SUMIFS('350配方'!$M285:$P285,'350配方'!$Y285:$AB285,136)</x:f>
        <x:v>0</x:v>
      </x:c>
      <x:c r="Z285" s="9" t="n">
        <x:f>SUMIFS('350配方'!$M285:$P285,'350配方'!$Y285:$AB285,141)</x:f>
        <x:v>0</x:v>
      </x:c>
      <x:c r="AA285" s="9" t="n">
        <x:f>SUMIFS('350配方'!$M285:$P285,'350配方'!$Y285:$AB285,152)</x:f>
        <x:v>0</x:v>
      </x:c>
      <x:c r="AB285" s="9" t="n">
        <x:f>SUMIFS('350配方'!$M285:$P285,'350配方'!$Y285:$AB285,165)</x:f>
        <x:v>0</x:v>
      </x:c>
      <x:c r="AC285" s="9" t="n">
        <x:f>SUMIFS('350配方'!$M285:$P285,'350配方'!$Y285:$AB285,186)</x:f>
        <x:v>0</x:v>
      </x:c>
      <x:c r="AD285" s="9" t="n">
        <x:f>SUMIFS('350配方'!$M285:$P285,'350配方'!$Y285:$AB285,207)</x:f>
        <x:v>0</x:v>
      </x:c>
      <x:c r="AE285" s="9" t="n">
        <x:f>SUMIFS('350配方'!$M285:$P285,'350配方'!$Y285:$AB285,209)</x:f>
        <x:v>0</x:v>
      </x:c>
      <x:c r="AF285" s="9" t="n">
        <x:f>SUMIFS('350配方'!$M285:$P285,'350配方'!$Y285:$AB285,227)</x:f>
        <x:v>193759</x:v>
      </x:c>
      <x:c r="AG285" s="9" t="n">
        <x:f>SUMIFS('350配方'!$M285:$P285,'350配方'!$Y285:$AB285,232)</x:f>
        <x:v>0</x:v>
      </x:c>
      <x:c r="AH285" s="9" t="n">
        <x:f>SUMIFS('350配方'!$M285:$P285,'350配方'!$Y285:$AB285,255)</x:f>
        <x:v>0</x:v>
      </x:c>
      <x:c r="AI285" s="9" t="n">
        <x:f>'浓度设置'!S6</x:f>
        <x:v>219125.9626344086</x:v>
      </x:c>
      <x:c r="AJ285" s="9" t="n">
        <x:f>'浓度设置'!S8</x:f>
        <x:v>92796.92267241378</x:v>
      </x:c>
      <x:c r="AK285" s="9" t="n">
        <x:f>'浓度设置'!S10</x:f>
        <x:v>30556.797802197798</x:v>
      </x:c>
      <x:c r="AL285" s="9" t="n">
        <x:f>'浓度设置'!S12</x:f>
        <x:v>1735.828970588235</x:v>
      </x:c>
      <x:c r="AM285" s="9" t="n">
        <x:f>'浓度设置'!S15</x:f>
        <x:v>7385.813644067793</x:v>
      </x:c>
      <x:c r="AN285" s="9" t="n">
        <x:f>'浓度设置'!S19</x:f>
        <x:v>27722.03097701148</x:v>
      </x:c>
      <x:c r="AO285" s="9" t="n">
        <x:f>'浓度设置'!S22</x:f>
        <x:v>44345.55047619048</x:v>
      </x:c>
      <x:c r="AP285" s="9" t="n">
        <x:f>'浓度设置'!S26</x:f>
        <x:v>153318.30499999996</x:v>
      </x:c>
      <x:c r="AQ285" s="9" t="n">
        <x:f>'浓度设置'!S29</x:f>
        <x:v>312.7970588235294</x:v>
      </x:c>
      <x:c r="AR285" s="9" t="n">
        <x:f>'浓度设置'!S30</x:f>
        <x:v>104175.5097553192</x:v>
      </x:c>
      <x:c r="AS285" s="9" t="n">
        <x:f>'浓度设置'!S35</x:f>
        <x:v>405974.90656785714</x:v>
      </x:c>
    </x:row>
    <x:row r="286" ht="24" customHeight="1">
      <x:c r="A286" s="3" t="str">
        <x:f>'350配方'!A286</x:f>
        <x:v>T281</x:v>
      </x:c>
      <x:c r="B286" s="3" t="str">
        <x:f>'350配方'!B286</x:f>
        <x:v>拟合</x:v>
      </x:c>
      <x:c r="C286" s="3" t="n">
        <x:f>IF(B286="拟合",1,0)</x:f>
        <x:v>1</x:v>
      </x:c>
      <x:c r="D286" s="3" t="n">
        <x:f>'350配方'!AC286</x:f>
        <x:v>4</x:v>
      </x:c>
      <x:c r="E286" s="9" t="n">
        <x:f>SUMIFS('350配方'!$M286:$P286,'350配方'!$Y286:$AB286,7)</x:f>
        <x:v>0</x:v>
      </x:c>
      <x:c r="F286" s="9" t="n">
        <x:f>SUMIFS('350配方'!$M286:$P286,'350配方'!$Y286:$AB286,11)</x:f>
        <x:v>0</x:v>
      </x:c>
      <x:c r="G286" s="9" t="n">
        <x:f>SUMIFS('350配方'!$M286:$P286,'350配方'!$Y286:$AB286,18)</x:f>
        <x:v>0</x:v>
      </x:c>
      <x:c r="H286" s="9" t="n">
        <x:f>SUMIFS('350配方'!$M286:$P286,'350配方'!$Y286:$AB286,32)</x:f>
        <x:v>0</x:v>
      </x:c>
      <x:c r="I286" s="9" t="n">
        <x:f>SUMIFS('350配方'!$M286:$P286,'350配方'!$Y286:$AB286,40)</x:f>
        <x:v>0</x:v>
      </x:c>
      <x:c r="J286" s="9" t="n">
        <x:f>SUMIFS('350配方'!$M286:$P286,'350配方'!$Y286:$AB286,52)</x:f>
        <x:v>0</x:v>
      </x:c>
      <x:c r="K286" s="9" t="n">
        <x:f>SUMIFS('350配方'!$M286:$P286,'350配方'!$Y286:$AB286,53)</x:f>
        <x:v>0</x:v>
      </x:c>
      <x:c r="L286" s="9" t="n">
        <x:f>SUMIFS('350配方'!$M286:$P286,'350配方'!$Y286:$AB286,56)</x:f>
        <x:v>0</x:v>
      </x:c>
      <x:c r="M286" s="9" t="n">
        <x:f>SUMIFS('350配方'!$M286:$P286,'350配方'!$Y286:$AB286,58)</x:f>
        <x:v>3072.731960324558</x:v>
      </x:c>
      <x:c r="N286" s="9" t="n">
        <x:f>SUMIFS('350配方'!$M286:$P286,'350配方'!$Y286:$AB286,61)</x:f>
        <x:v>59.381310191002015</x:v>
      </x:c>
      <x:c r="O286" s="9" t="n">
        <x:f>SUMIFS('350配方'!$M286:$P286,'350配方'!$Y286:$AB286,69)</x:f>
        <x:v>0</x:v>
      </x:c>
      <x:c r="P286" s="9" t="n">
        <x:f>SUMIFS('350配方'!$M286:$P286,'350配方'!$Y286:$AB286,75)</x:f>
        <x:v>0</x:v>
      </x:c>
      <x:c r="Q286" s="9" t="n">
        <x:f>SUMIFS('350配方'!$M286:$P286,'350配方'!$Y286:$AB286,79)</x:f>
        <x:v>1288.255</x:v>
      </x:c>
      <x:c r="R286" s="9" t="n">
        <x:f>SUMIFS('350配方'!$M286:$P286,'350配方'!$Y286:$AB286,90)</x:f>
        <x:v>0</x:v>
      </x:c>
      <x:c r="S286" s="9" t="n">
        <x:f>SUMIFS('350配方'!$M286:$P286,'350配方'!$Y286:$AB286,105)</x:f>
        <x:v>0</x:v>
      </x:c>
      <x:c r="T286" s="9" t="n">
        <x:f>SUMIFS('350配方'!$M286:$P286,'350配方'!$Y286:$AB286,111)</x:f>
        <x:v>833.64</x:v>
      </x:c>
      <x:c r="U286" s="9" t="n">
        <x:f>SUMIFS('350配方'!$M286:$P286,'350配方'!$Y286:$AB286,114)</x:f>
        <x:v>0</x:v>
      </x:c>
      <x:c r="V286" s="9" t="n">
        <x:f>SUMIFS('350配方'!$M286:$P286,'350配方'!$Y286:$AB286,115)</x:f>
        <x:v>0</x:v>
      </x:c>
      <x:c r="W286" s="9" t="n">
        <x:f>SUMIFS('350配方'!$M286:$P286,'350配方'!$Y286:$AB286,117)</x:f>
        <x:v>0</x:v>
      </x:c>
      <x:c r="X286" s="9" t="n">
        <x:f>SUMIFS('350配方'!$M286:$P286,'350配方'!$Y286:$AB286,126)</x:f>
        <x:v>0</x:v>
      </x:c>
      <x:c r="Y286" s="9" t="n">
        <x:f>SUMIFS('350配方'!$M286:$P286,'350配方'!$Y286:$AB286,136)</x:f>
        <x:v>0</x:v>
      </x:c>
      <x:c r="Z286" s="9" t="n">
        <x:f>SUMIFS('350配方'!$M286:$P286,'350配方'!$Y286:$AB286,141)</x:f>
        <x:v>0</x:v>
      </x:c>
      <x:c r="AA286" s="9" t="n">
        <x:f>SUMIFS('350配方'!$M286:$P286,'350配方'!$Y286:$AB286,152)</x:f>
        <x:v>0</x:v>
      </x:c>
      <x:c r="AB286" s="9" t="n">
        <x:f>SUMIFS('350配方'!$M286:$P286,'350配方'!$Y286:$AB286,165)</x:f>
        <x:v>0</x:v>
      </x:c>
      <x:c r="AC286" s="9" t="n">
        <x:f>SUMIFS('350配方'!$M286:$P286,'350配方'!$Y286:$AB286,186)</x:f>
        <x:v>0</x:v>
      </x:c>
      <x:c r="AD286" s="9" t="n">
        <x:f>SUMIFS('350配方'!$M286:$P286,'350配方'!$Y286:$AB286,207)</x:f>
        <x:v>0</x:v>
      </x:c>
      <x:c r="AE286" s="9" t="n">
        <x:f>SUMIFS('350配方'!$M286:$P286,'350配方'!$Y286:$AB286,209)</x:f>
        <x:v>0</x:v>
      </x:c>
      <x:c r="AF286" s="9" t="n">
        <x:f>SUMIFS('350配方'!$M286:$P286,'350配方'!$Y286:$AB286,227)</x:f>
        <x:v>0</x:v>
      </x:c>
      <x:c r="AG286" s="9" t="n">
        <x:f>SUMIFS('350配方'!$M286:$P286,'350配方'!$Y286:$AB286,232)</x:f>
        <x:v>0</x:v>
      </x:c>
      <x:c r="AH286" s="9" t="n">
        <x:f>SUMIFS('350配方'!$M286:$P286,'350配方'!$Y286:$AB286,255)</x:f>
        <x:v>0</x:v>
      </x:c>
      <x:c r="AI286" s="9" t="n">
        <x:f>'浓度设置'!S6</x:f>
        <x:v>219125.9626344086</x:v>
      </x:c>
      <x:c r="AJ286" s="9" t="n">
        <x:f>'浓度设置'!S8</x:f>
        <x:v>92796.92267241378</x:v>
      </x:c>
      <x:c r="AK286" s="9" t="n">
        <x:f>'浓度设置'!S10</x:f>
        <x:v>30556.797802197798</x:v>
      </x:c>
      <x:c r="AL286" s="9" t="n">
        <x:f>'浓度设置'!S12</x:f>
        <x:v>1735.828970588235</x:v>
      </x:c>
      <x:c r="AM286" s="9" t="n">
        <x:f>'浓度设置'!S15</x:f>
        <x:v>7385.813644067793</x:v>
      </x:c>
      <x:c r="AN286" s="9" t="n">
        <x:f>'浓度设置'!S19</x:f>
        <x:v>27722.03097701148</x:v>
      </x:c>
      <x:c r="AO286" s="9" t="n">
        <x:f>'浓度设置'!S22</x:f>
        <x:v>44345.55047619048</x:v>
      </x:c>
      <x:c r="AP286" s="9" t="n">
        <x:f>'浓度设置'!S26</x:f>
        <x:v>153318.30499999996</x:v>
      </x:c>
      <x:c r="AQ286" s="9" t="n">
        <x:f>'浓度设置'!S29</x:f>
        <x:v>312.7970588235294</x:v>
      </x:c>
      <x:c r="AR286" s="9" t="n">
        <x:f>'浓度设置'!S30</x:f>
        <x:v>104175.5097553192</x:v>
      </x:c>
      <x:c r="AS286" s="9" t="n">
        <x:f>'浓度设置'!S35</x:f>
        <x:v>405974.90656785714</x:v>
      </x:c>
    </x:row>
    <x:row r="287" ht="24" customHeight="1">
      <x:c r="A287" s="3" t="str">
        <x:f>'350配方'!A287</x:f>
        <x:v>T282</x:v>
      </x:c>
      <x:c r="B287" s="3" t="str">
        <x:f>'350配方'!B287</x:f>
        <x:v>拟合</x:v>
      </x:c>
      <x:c r="C287" s="3" t="n">
        <x:f>IF(B287="拟合",1,0)</x:f>
        <x:v>1</x:v>
      </x:c>
      <x:c r="D287" s="3" t="n">
        <x:f>'350配方'!AC287</x:f>
        <x:v>4</x:v>
      </x:c>
      <x:c r="E287" s="9" t="n">
        <x:f>SUMIFS('350配方'!$M287:$P287,'350配方'!$Y287:$AB287,7)</x:f>
        <x:v>0</x:v>
      </x:c>
      <x:c r="F287" s="9" t="n">
        <x:f>SUMIFS('350配方'!$M287:$P287,'350配方'!$Y287:$AB287,11)</x:f>
        <x:v>0</x:v>
      </x:c>
      <x:c r="G287" s="9" t="n">
        <x:f>SUMIFS('350配方'!$M287:$P287,'350配方'!$Y287:$AB287,18)</x:f>
        <x:v>39</x:v>
      </x:c>
      <x:c r="H287" s="9" t="n">
        <x:f>SUMIFS('350配方'!$M287:$P287,'350配方'!$Y287:$AB287,32)</x:f>
        <x:v>836.8360173893091</x:v>
      </x:c>
      <x:c r="I287" s="9" t="n">
        <x:f>SUMIFS('350配方'!$M287:$P287,'350配方'!$Y287:$AB287,40)</x:f>
        <x:v>0</x:v>
      </x:c>
      <x:c r="J287" s="9" t="n">
        <x:f>SUMIFS('350配方'!$M287:$P287,'350配方'!$Y287:$AB287,52)</x:f>
        <x:v>0</x:v>
      </x:c>
      <x:c r="K287" s="9" t="n">
        <x:f>SUMIFS('350配方'!$M287:$P287,'350配方'!$Y287:$AB287,53)</x:f>
        <x:v>9.61</x:v>
      </x:c>
      <x:c r="L287" s="9" t="n">
        <x:f>SUMIFS('350配方'!$M287:$P287,'350配方'!$Y287:$AB287,56)</x:f>
        <x:v>0</x:v>
      </x:c>
      <x:c r="M287" s="9" t="n">
        <x:f>SUMIFS('350配方'!$M287:$P287,'350配方'!$Y287:$AB287,58)</x:f>
        <x:v>0</x:v>
      </x:c>
      <x:c r="N287" s="9" t="n">
        <x:f>SUMIFS('350配方'!$M287:$P287,'350配方'!$Y287:$AB287,61)</x:f>
        <x:v>0</x:v>
      </x:c>
      <x:c r="O287" s="9" t="n">
        <x:f>SUMIFS('350配方'!$M287:$P287,'350配方'!$Y287:$AB287,69)</x:f>
        <x:v>0.83</x:v>
      </x:c>
      <x:c r="P287" s="9" t="n">
        <x:f>SUMIFS('350配方'!$M287:$P287,'350配方'!$Y287:$AB287,75)</x:f>
        <x:v>0</x:v>
      </x:c>
      <x:c r="Q287" s="9" t="n">
        <x:f>SUMIFS('350配方'!$M287:$P287,'350配方'!$Y287:$AB287,79)</x:f>
        <x:v>0</x:v>
      </x:c>
      <x:c r="R287" s="9" t="n">
        <x:f>SUMIFS('350配方'!$M287:$P287,'350配方'!$Y287:$AB287,90)</x:f>
        <x:v>0</x:v>
      </x:c>
      <x:c r="S287" s="9" t="n">
        <x:f>SUMIFS('350配方'!$M287:$P287,'350配方'!$Y287:$AB287,105)</x:f>
        <x:v>0</x:v>
      </x:c>
      <x:c r="T287" s="9" t="n">
        <x:f>SUMIFS('350配方'!$M287:$P287,'350配方'!$Y287:$AB287,111)</x:f>
        <x:v>0</x:v>
      </x:c>
      <x:c r="U287" s="9" t="n">
        <x:f>SUMIFS('350配方'!$M287:$P287,'350配方'!$Y287:$AB287,114)</x:f>
        <x:v>0</x:v>
      </x:c>
      <x:c r="V287" s="9" t="n">
        <x:f>SUMIFS('350配方'!$M287:$P287,'350配方'!$Y287:$AB287,115)</x:f>
        <x:v>0</x:v>
      </x:c>
      <x:c r="W287" s="9" t="n">
        <x:f>SUMIFS('350配方'!$M287:$P287,'350配方'!$Y287:$AB287,117)</x:f>
        <x:v>0</x:v>
      </x:c>
      <x:c r="X287" s="9" t="n">
        <x:f>SUMIFS('350配方'!$M287:$P287,'350配方'!$Y287:$AB287,126)</x:f>
        <x:v>0</x:v>
      </x:c>
      <x:c r="Y287" s="9" t="n">
        <x:f>SUMIFS('350配方'!$M287:$P287,'350配方'!$Y287:$AB287,136)</x:f>
        <x:v>0</x:v>
      </x:c>
      <x:c r="Z287" s="9" t="n">
        <x:f>SUMIFS('350配方'!$M287:$P287,'350配方'!$Y287:$AB287,141)</x:f>
        <x:v>0</x:v>
      </x:c>
      <x:c r="AA287" s="9" t="n">
        <x:f>SUMIFS('350配方'!$M287:$P287,'350配方'!$Y287:$AB287,152)</x:f>
        <x:v>0</x:v>
      </x:c>
      <x:c r="AB287" s="9" t="n">
        <x:f>SUMIFS('350配方'!$M287:$P287,'350配方'!$Y287:$AB287,165)</x:f>
        <x:v>0</x:v>
      </x:c>
      <x:c r="AC287" s="9" t="n">
        <x:f>SUMIFS('350配方'!$M287:$P287,'350配方'!$Y287:$AB287,186)</x:f>
        <x:v>0</x:v>
      </x:c>
      <x:c r="AD287" s="9" t="n">
        <x:f>SUMIFS('350配方'!$M287:$P287,'350配方'!$Y287:$AB287,207)</x:f>
        <x:v>0</x:v>
      </x:c>
      <x:c r="AE287" s="9" t="n">
        <x:f>SUMIFS('350配方'!$M287:$P287,'350配方'!$Y287:$AB287,209)</x:f>
        <x:v>0</x:v>
      </x:c>
      <x:c r="AF287" s="9" t="n">
        <x:f>SUMIFS('350配方'!$M287:$P287,'350配方'!$Y287:$AB287,227)</x:f>
        <x:v>0</x:v>
      </x:c>
      <x:c r="AG287" s="9" t="n">
        <x:f>SUMIFS('350配方'!$M287:$P287,'350配方'!$Y287:$AB287,232)</x:f>
        <x:v>0</x:v>
      </x:c>
      <x:c r="AH287" s="9" t="n">
        <x:f>SUMIFS('350配方'!$M287:$P287,'350配方'!$Y287:$AB287,255)</x:f>
        <x:v>0</x:v>
      </x:c>
      <x:c r="AI287" s="9" t="n">
        <x:f>'浓度设置'!S6</x:f>
        <x:v>219125.9626344086</x:v>
      </x:c>
      <x:c r="AJ287" s="9" t="n">
        <x:f>'浓度设置'!S8</x:f>
        <x:v>92796.92267241378</x:v>
      </x:c>
      <x:c r="AK287" s="9" t="n">
        <x:f>'浓度设置'!S10</x:f>
        <x:v>30556.797802197798</x:v>
      </x:c>
      <x:c r="AL287" s="9" t="n">
        <x:f>'浓度设置'!S12</x:f>
        <x:v>1735.828970588235</x:v>
      </x:c>
      <x:c r="AM287" s="9" t="n">
        <x:f>'浓度设置'!S15</x:f>
        <x:v>7385.813644067793</x:v>
      </x:c>
      <x:c r="AN287" s="9" t="n">
        <x:f>'浓度设置'!S19</x:f>
        <x:v>27722.03097701148</x:v>
      </x:c>
      <x:c r="AO287" s="9" t="n">
        <x:f>'浓度设置'!S22</x:f>
        <x:v>44345.55047619048</x:v>
      </x:c>
      <x:c r="AP287" s="9" t="n">
        <x:f>'浓度设置'!S26</x:f>
        <x:v>153318.30499999996</x:v>
      </x:c>
      <x:c r="AQ287" s="9" t="n">
        <x:f>'浓度设置'!S29</x:f>
        <x:v>312.7970588235294</x:v>
      </x:c>
      <x:c r="AR287" s="9" t="n">
        <x:f>'浓度设置'!S30</x:f>
        <x:v>104175.5097553192</x:v>
      </x:c>
      <x:c r="AS287" s="9" t="n">
        <x:f>'浓度设置'!S35</x:f>
        <x:v>405974.90656785714</x:v>
      </x:c>
    </x:row>
    <x:row r="288" ht="24" customHeight="1">
      <x:c r="A288" s="3" t="str">
        <x:f>'350配方'!A288</x:f>
        <x:v>T283</x:v>
      </x:c>
      <x:c r="B288" s="3" t="str">
        <x:f>'350配方'!B288</x:f>
        <x:v>拟合</x:v>
      </x:c>
      <x:c r="C288" s="3" t="n">
        <x:f>IF(B288="拟合",1,0)</x:f>
        <x:v>1</x:v>
      </x:c>
      <x:c r="D288" s="3" t="n">
        <x:f>'350配方'!AC288</x:f>
        <x:v>4</x:v>
      </x:c>
      <x:c r="E288" s="9" t="n">
        <x:f>SUMIFS('350配方'!$M288:$P288,'350配方'!$Y288:$AB288,7)</x:f>
        <x:v>0</x:v>
      </x:c>
      <x:c r="F288" s="9" t="n">
        <x:f>SUMIFS('350配方'!$M288:$P288,'350配方'!$Y288:$AB288,11)</x:f>
        <x:v>0</x:v>
      </x:c>
      <x:c r="G288" s="9" t="n">
        <x:f>SUMIFS('350配方'!$M288:$P288,'350配方'!$Y288:$AB288,18)</x:f>
        <x:v>0</x:v>
      </x:c>
      <x:c r="H288" s="9" t="n">
        <x:f>SUMIFS('350配方'!$M288:$P288,'350配方'!$Y288:$AB288,32)</x:f>
        <x:v>0</x:v>
      </x:c>
      <x:c r="I288" s="9" t="n">
        <x:f>SUMIFS('350配方'!$M288:$P288,'350配方'!$Y288:$AB288,40)</x:f>
        <x:v>0</x:v>
      </x:c>
      <x:c r="J288" s="9" t="n">
        <x:f>SUMIFS('350配方'!$M288:$P288,'350配方'!$Y288:$AB288,52)</x:f>
        <x:v>0</x:v>
      </x:c>
      <x:c r="K288" s="9" t="n">
        <x:f>SUMIFS('350配方'!$M288:$P288,'350配方'!$Y288:$AB288,53)</x:f>
        <x:v>0</x:v>
      </x:c>
      <x:c r="L288" s="9" t="n">
        <x:f>SUMIFS('350配方'!$M288:$P288,'350配方'!$Y288:$AB288,56)</x:f>
        <x:v>0</x:v>
      </x:c>
      <x:c r="M288" s="9" t="n">
        <x:f>SUMIFS('350配方'!$M288:$P288,'350配方'!$Y288:$AB288,58)</x:f>
        <x:v>0</x:v>
      </x:c>
      <x:c r="N288" s="9" t="n">
        <x:f>SUMIFS('350配方'!$M288:$P288,'350配方'!$Y288:$AB288,61)</x:f>
        <x:v>0</x:v>
      </x:c>
      <x:c r="O288" s="9" t="n">
        <x:f>SUMIFS('350配方'!$M288:$P288,'350配方'!$Y288:$AB288,69)</x:f>
        <x:v>0</x:v>
      </x:c>
      <x:c r="P288" s="9" t="n">
        <x:f>SUMIFS('350配方'!$M288:$P288,'350配方'!$Y288:$AB288,75)</x:f>
        <x:v>0</x:v>
      </x:c>
      <x:c r="Q288" s="9" t="n">
        <x:f>SUMIFS('350配方'!$M288:$P288,'350配方'!$Y288:$AB288,79)</x:f>
        <x:v>0</x:v>
      </x:c>
      <x:c r="R288" s="9" t="n">
        <x:f>SUMIFS('350配方'!$M288:$P288,'350配方'!$Y288:$AB288,90)</x:f>
        <x:v>0</x:v>
      </x:c>
      <x:c r="S288" s="9" t="n">
        <x:f>SUMIFS('350配方'!$M288:$P288,'350配方'!$Y288:$AB288,105)</x:f>
        <x:v>0</x:v>
      </x:c>
      <x:c r="T288" s="9" t="n">
        <x:f>SUMIFS('350配方'!$M288:$P288,'350配方'!$Y288:$AB288,111)</x:f>
        <x:v>0</x:v>
      </x:c>
      <x:c r="U288" s="9" t="n">
        <x:f>SUMIFS('350配方'!$M288:$P288,'350配方'!$Y288:$AB288,114)</x:f>
        <x:v>3147.945</x:v>
      </x:c>
      <x:c r="V288" s="9" t="n">
        <x:f>SUMIFS('350配方'!$M288:$P288,'350配方'!$Y288:$AB288,115)</x:f>
        <x:v>0</x:v>
      </x:c>
      <x:c r="W288" s="9" t="n">
        <x:f>SUMIFS('350配方'!$M288:$P288,'350配方'!$Y288:$AB288,117)</x:f>
        <x:v>0</x:v>
      </x:c>
      <x:c r="X288" s="9" t="n">
        <x:f>SUMIFS('350配方'!$M288:$P288,'350配方'!$Y288:$AB288,126)</x:f>
        <x:v>0</x:v>
      </x:c>
      <x:c r="Y288" s="9" t="n">
        <x:f>SUMIFS('350配方'!$M288:$P288,'350配方'!$Y288:$AB288,136)</x:f>
        <x:v>0</x:v>
      </x:c>
      <x:c r="Z288" s="9" t="n">
        <x:f>SUMIFS('350配方'!$M288:$P288,'350配方'!$Y288:$AB288,141)</x:f>
        <x:v>0</x:v>
      </x:c>
      <x:c r="AA288" s="9" t="n">
        <x:f>SUMIFS('350配方'!$M288:$P288,'350配方'!$Y288:$AB288,152)</x:f>
        <x:v>4.84</x:v>
      </x:c>
      <x:c r="AB288" s="9" t="n">
        <x:f>SUMIFS('350配方'!$M288:$P288,'350配方'!$Y288:$AB288,165)</x:f>
        <x:v>0</x:v>
      </x:c>
      <x:c r="AC288" s="9" t="n">
        <x:f>SUMIFS('350配方'!$M288:$P288,'350配方'!$Y288:$AB288,186)</x:f>
        <x:v>0</x:v>
      </x:c>
      <x:c r="AD288" s="9" t="n">
        <x:f>SUMIFS('350配方'!$M288:$P288,'350配方'!$Y288:$AB288,207)</x:f>
        <x:v>271.45</x:v>
      </x:c>
      <x:c r="AE288" s="9" t="n">
        <x:f>SUMIFS('350配方'!$M288:$P288,'350配方'!$Y288:$AB288,209)</x:f>
        <x:v>0</x:v>
      </x:c>
      <x:c r="AF288" s="9" t="n">
        <x:f>SUMIFS('350配方'!$M288:$P288,'350配方'!$Y288:$AB288,227)</x:f>
        <x:v>0</x:v>
      </x:c>
      <x:c r="AG288" s="9" t="n">
        <x:f>SUMIFS('350配方'!$M288:$P288,'350配方'!$Y288:$AB288,232)</x:f>
        <x:v>0</x:v>
      </x:c>
      <x:c r="AH288" s="9" t="n">
        <x:f>SUMIFS('350配方'!$M288:$P288,'350配方'!$Y288:$AB288,255)</x:f>
        <x:v>60.76</x:v>
      </x:c>
      <x:c r="AI288" s="9" t="n">
        <x:f>'浓度设置'!S6</x:f>
        <x:v>219125.9626344086</x:v>
      </x:c>
      <x:c r="AJ288" s="9" t="n">
        <x:f>'浓度设置'!S8</x:f>
        <x:v>92796.92267241378</x:v>
      </x:c>
      <x:c r="AK288" s="9" t="n">
        <x:f>'浓度设置'!S10</x:f>
        <x:v>30556.797802197798</x:v>
      </x:c>
      <x:c r="AL288" s="9" t="n">
        <x:f>'浓度设置'!S12</x:f>
        <x:v>1735.828970588235</x:v>
      </x:c>
      <x:c r="AM288" s="9" t="n">
        <x:f>'浓度设置'!S15</x:f>
        <x:v>7385.813644067793</x:v>
      </x:c>
      <x:c r="AN288" s="9" t="n">
        <x:f>'浓度设置'!S19</x:f>
        <x:v>27722.03097701148</x:v>
      </x:c>
      <x:c r="AO288" s="9" t="n">
        <x:f>'浓度设置'!S22</x:f>
        <x:v>44345.55047619048</x:v>
      </x:c>
      <x:c r="AP288" s="9" t="n">
        <x:f>'浓度设置'!S26</x:f>
        <x:v>153318.30499999996</x:v>
      </x:c>
      <x:c r="AQ288" s="9" t="n">
        <x:f>'浓度设置'!S29</x:f>
        <x:v>312.7970588235294</x:v>
      </x:c>
      <x:c r="AR288" s="9" t="n">
        <x:f>'浓度设置'!S30</x:f>
        <x:v>104175.5097553192</x:v>
      </x:c>
      <x:c r="AS288" s="9" t="n">
        <x:f>'浓度设置'!S35</x:f>
        <x:v>405974.90656785714</x:v>
      </x:c>
    </x:row>
    <x:row r="289" ht="24" customHeight="1">
      <x:c r="A289" s="3" t="str">
        <x:f>'350配方'!A289</x:f>
        <x:v>T284</x:v>
      </x:c>
      <x:c r="B289" s="3" t="str">
        <x:f>'350配方'!B289</x:f>
        <x:v>拟合</x:v>
      </x:c>
      <x:c r="C289" s="3" t="n">
        <x:f>IF(B289="拟合",1,0)</x:f>
        <x:v>1</x:v>
      </x:c>
      <x:c r="D289" s="3" t="n">
        <x:f>'350配方'!AC289</x:f>
        <x:v>4</x:v>
      </x:c>
      <x:c r="E289" s="9" t="n">
        <x:f>SUMIFS('350配方'!$M289:$P289,'350配方'!$Y289:$AB289,7)</x:f>
        <x:v>0</x:v>
      </x:c>
      <x:c r="F289" s="9" t="n">
        <x:f>SUMIFS('350配方'!$M289:$P289,'350配方'!$Y289:$AB289,11)</x:f>
        <x:v>0</x:v>
      </x:c>
      <x:c r="G289" s="9" t="n">
        <x:f>SUMIFS('350配方'!$M289:$P289,'350配方'!$Y289:$AB289,18)</x:f>
        <x:v>0</x:v>
      </x:c>
      <x:c r="H289" s="9" t="n">
        <x:f>SUMIFS('350配方'!$M289:$P289,'350配方'!$Y289:$AB289,32)</x:f>
        <x:v>0</x:v>
      </x:c>
      <x:c r="I289" s="9" t="n">
        <x:f>SUMIFS('350配方'!$M289:$P289,'350配方'!$Y289:$AB289,40)</x:f>
        <x:v>0</x:v>
      </x:c>
      <x:c r="J289" s="9" t="n">
        <x:f>SUMIFS('350配方'!$M289:$P289,'350配方'!$Y289:$AB289,52)</x:f>
        <x:v>0</x:v>
      </x:c>
      <x:c r="K289" s="9" t="n">
        <x:f>SUMIFS('350配方'!$M289:$P289,'350配方'!$Y289:$AB289,53)</x:f>
        <x:v>0</x:v>
      </x:c>
      <x:c r="L289" s="9" t="n">
        <x:f>SUMIFS('350配方'!$M289:$P289,'350配方'!$Y289:$AB289,56)</x:f>
        <x:v>4105</x:v>
      </x:c>
      <x:c r="M289" s="9" t="n">
        <x:f>SUMIFS('350配方'!$M289:$P289,'350配方'!$Y289:$AB289,58)</x:f>
        <x:v>0</x:v>
      </x:c>
      <x:c r="N289" s="9" t="n">
        <x:f>SUMIFS('350配方'!$M289:$P289,'350配方'!$Y289:$AB289,61)</x:f>
        <x:v>0</x:v>
      </x:c>
      <x:c r="O289" s="9" t="n">
        <x:f>SUMIFS('350配方'!$M289:$P289,'350配方'!$Y289:$AB289,69)</x:f>
        <x:v>12022.2</x:v>
      </x:c>
      <x:c r="P289" s="9" t="n">
        <x:f>SUMIFS('350配方'!$M289:$P289,'350配方'!$Y289:$AB289,75)</x:f>
        <x:v>0</x:v>
      </x:c>
      <x:c r="Q289" s="9" t="n">
        <x:f>SUMIFS('350配方'!$M289:$P289,'350配方'!$Y289:$AB289,79)</x:f>
        <x:v>0</x:v>
      </x:c>
      <x:c r="R289" s="9" t="n">
        <x:f>SUMIFS('350配方'!$M289:$P289,'350配方'!$Y289:$AB289,90)</x:f>
        <x:v>0</x:v>
      </x:c>
      <x:c r="S289" s="9" t="n">
        <x:f>SUMIFS('350配方'!$M289:$P289,'350配方'!$Y289:$AB289,105)</x:f>
        <x:v>0</x:v>
      </x:c>
      <x:c r="T289" s="9" t="n">
        <x:f>SUMIFS('350配方'!$M289:$P289,'350配方'!$Y289:$AB289,111)</x:f>
        <x:v>0</x:v>
      </x:c>
      <x:c r="U289" s="9" t="n">
        <x:f>SUMIFS('350配方'!$M289:$P289,'350配方'!$Y289:$AB289,114)</x:f>
        <x:v>47100</x:v>
      </x:c>
      <x:c r="V289" s="9" t="n">
        <x:f>SUMIFS('350配方'!$M289:$P289,'350配方'!$Y289:$AB289,115)</x:f>
        <x:v>0</x:v>
      </x:c>
      <x:c r="W289" s="9" t="n">
        <x:f>SUMIFS('350配方'!$M289:$P289,'350配方'!$Y289:$AB289,117)</x:f>
        <x:v>274.54883445390914</x:v>
      </x:c>
      <x:c r="X289" s="9" t="n">
        <x:f>SUMIFS('350配方'!$M289:$P289,'350配方'!$Y289:$AB289,126)</x:f>
        <x:v>0</x:v>
      </x:c>
      <x:c r="Y289" s="9" t="n">
        <x:f>SUMIFS('350配方'!$M289:$P289,'350配方'!$Y289:$AB289,136)</x:f>
        <x:v>0</x:v>
      </x:c>
      <x:c r="Z289" s="9" t="n">
        <x:f>SUMIFS('350配方'!$M289:$P289,'350配方'!$Y289:$AB289,141)</x:f>
        <x:v>0</x:v>
      </x:c>
      <x:c r="AA289" s="9" t="n">
        <x:f>SUMIFS('350配方'!$M289:$P289,'350配方'!$Y289:$AB289,152)</x:f>
        <x:v>0</x:v>
      </x:c>
      <x:c r="AB289" s="9" t="n">
        <x:f>SUMIFS('350配方'!$M289:$P289,'350配方'!$Y289:$AB289,165)</x:f>
        <x:v>0</x:v>
      </x:c>
      <x:c r="AC289" s="9" t="n">
        <x:f>SUMIFS('350配方'!$M289:$P289,'350配方'!$Y289:$AB289,186)</x:f>
        <x:v>0</x:v>
      </x:c>
      <x:c r="AD289" s="9" t="n">
        <x:f>SUMIFS('350配方'!$M289:$P289,'350配方'!$Y289:$AB289,207)</x:f>
        <x:v>0</x:v>
      </x:c>
      <x:c r="AE289" s="9" t="n">
        <x:f>SUMIFS('350配方'!$M289:$P289,'350配方'!$Y289:$AB289,209)</x:f>
        <x:v>0</x:v>
      </x:c>
      <x:c r="AF289" s="9" t="n">
        <x:f>SUMIFS('350配方'!$M289:$P289,'350配方'!$Y289:$AB289,227)</x:f>
        <x:v>0</x:v>
      </x:c>
      <x:c r="AG289" s="9" t="n">
        <x:f>SUMIFS('350配方'!$M289:$P289,'350配方'!$Y289:$AB289,232)</x:f>
        <x:v>0</x:v>
      </x:c>
      <x:c r="AH289" s="9" t="n">
        <x:f>SUMIFS('350配方'!$M289:$P289,'350配方'!$Y289:$AB289,255)</x:f>
        <x:v>0</x:v>
      </x:c>
      <x:c r="AI289" s="9" t="n">
        <x:f>'浓度设置'!S6</x:f>
        <x:v>219125.9626344086</x:v>
      </x:c>
      <x:c r="AJ289" s="9" t="n">
        <x:f>'浓度设置'!S8</x:f>
        <x:v>92796.92267241378</x:v>
      </x:c>
      <x:c r="AK289" s="9" t="n">
        <x:f>'浓度设置'!S10</x:f>
        <x:v>30556.797802197798</x:v>
      </x:c>
      <x:c r="AL289" s="9" t="n">
        <x:f>'浓度设置'!S12</x:f>
        <x:v>1735.828970588235</x:v>
      </x:c>
      <x:c r="AM289" s="9" t="n">
        <x:f>'浓度设置'!S15</x:f>
        <x:v>7385.813644067793</x:v>
      </x:c>
      <x:c r="AN289" s="9" t="n">
        <x:f>'浓度设置'!S19</x:f>
        <x:v>27722.03097701148</x:v>
      </x:c>
      <x:c r="AO289" s="9" t="n">
        <x:f>'浓度设置'!S22</x:f>
        <x:v>44345.55047619048</x:v>
      </x:c>
      <x:c r="AP289" s="9" t="n">
        <x:f>'浓度设置'!S26</x:f>
        <x:v>153318.30499999996</x:v>
      </x:c>
      <x:c r="AQ289" s="9" t="n">
        <x:f>'浓度设置'!S29</x:f>
        <x:v>312.7970588235294</x:v>
      </x:c>
      <x:c r="AR289" s="9" t="n">
        <x:f>'浓度设置'!S30</x:f>
        <x:v>104175.5097553192</x:v>
      </x:c>
      <x:c r="AS289" s="9" t="n">
        <x:f>'浓度设置'!S35</x:f>
        <x:v>405974.90656785714</x:v>
      </x:c>
    </x:row>
    <x:row r="290" ht="24" customHeight="1">
      <x:c r="A290" s="3" t="str">
        <x:f>'350配方'!A290</x:f>
        <x:v>T285</x:v>
      </x:c>
      <x:c r="B290" s="3" t="str">
        <x:f>'350配方'!B290</x:f>
        <x:v>拟合</x:v>
      </x:c>
      <x:c r="C290" s="3" t="n">
        <x:f>IF(B290="拟合",1,0)</x:f>
        <x:v>1</x:v>
      </x:c>
      <x:c r="D290" s="3" t="n">
        <x:f>'350配方'!AC290</x:f>
        <x:v>4</x:v>
      </x:c>
      <x:c r="E290" s="9" t="n">
        <x:f>SUMIFS('350配方'!$M290:$P290,'350配方'!$Y290:$AB290,7)</x:f>
        <x:v>3075.94</x:v>
      </x:c>
      <x:c r="F290" s="9" t="n">
        <x:f>SUMIFS('350配方'!$M290:$P290,'350配方'!$Y290:$AB290,11)</x:f>
        <x:v>0</x:v>
      </x:c>
      <x:c r="G290" s="9" t="n">
        <x:f>SUMIFS('350配方'!$M290:$P290,'350配方'!$Y290:$AB290,18)</x:f>
        <x:v>0</x:v>
      </x:c>
      <x:c r="H290" s="9" t="n">
        <x:f>SUMIFS('350配方'!$M290:$P290,'350配方'!$Y290:$AB290,32)</x:f>
        <x:v>0</x:v>
      </x:c>
      <x:c r="I290" s="9" t="n">
        <x:f>SUMIFS('350配方'!$M290:$P290,'350配方'!$Y290:$AB290,40)</x:f>
        <x:v>200.3122562401013</x:v>
      </x:c>
      <x:c r="J290" s="9" t="n">
        <x:f>SUMIFS('350配方'!$M290:$P290,'350配方'!$Y290:$AB290,52)</x:f>
        <x:v>1290235</x:v>
      </x:c>
      <x:c r="K290" s="9" t="n">
        <x:f>SUMIFS('350配方'!$M290:$P290,'350配方'!$Y290:$AB290,53)</x:f>
        <x:v>0</x:v>
      </x:c>
      <x:c r="L290" s="9" t="n">
        <x:f>SUMIFS('350配方'!$M290:$P290,'350配方'!$Y290:$AB290,56)</x:f>
        <x:v>0</x:v>
      </x:c>
      <x:c r="M290" s="9" t="n">
        <x:f>SUMIFS('350配方'!$M290:$P290,'350配方'!$Y290:$AB290,58)</x:f>
        <x:v>3072.731960324558</x:v>
      </x:c>
      <x:c r="N290" s="9" t="n">
        <x:f>SUMIFS('350配方'!$M290:$P290,'350配方'!$Y290:$AB290,61)</x:f>
        <x:v>0</x:v>
      </x:c>
      <x:c r="O290" s="9" t="n">
        <x:f>SUMIFS('350配方'!$M290:$P290,'350配方'!$Y290:$AB290,69)</x:f>
        <x:v>0</x:v>
      </x:c>
      <x:c r="P290" s="9" t="n">
        <x:f>SUMIFS('350配方'!$M290:$P290,'350配方'!$Y290:$AB290,75)</x:f>
        <x:v>0</x:v>
      </x:c>
      <x:c r="Q290" s="9" t="n">
        <x:f>SUMIFS('350配方'!$M290:$P290,'350配方'!$Y290:$AB290,79)</x:f>
        <x:v>0</x:v>
      </x:c>
      <x:c r="R290" s="9" t="n">
        <x:f>SUMIFS('350配方'!$M290:$P290,'350配方'!$Y290:$AB290,90)</x:f>
        <x:v>0</x:v>
      </x:c>
      <x:c r="S290" s="9" t="n">
        <x:f>SUMIFS('350配方'!$M290:$P290,'350配方'!$Y290:$AB290,105)</x:f>
        <x:v>0</x:v>
      </x:c>
      <x:c r="T290" s="9" t="n">
        <x:f>SUMIFS('350配方'!$M290:$P290,'350配方'!$Y290:$AB290,111)</x:f>
        <x:v>0</x:v>
      </x:c>
      <x:c r="U290" s="9" t="n">
        <x:f>SUMIFS('350配方'!$M290:$P290,'350配方'!$Y290:$AB290,114)</x:f>
        <x:v>0</x:v>
      </x:c>
      <x:c r="V290" s="9" t="n">
        <x:f>SUMIFS('350配方'!$M290:$P290,'350配方'!$Y290:$AB290,115)</x:f>
        <x:v>0</x:v>
      </x:c>
      <x:c r="W290" s="9" t="n">
        <x:f>SUMIFS('350配方'!$M290:$P290,'350配方'!$Y290:$AB290,117)</x:f>
        <x:v>0</x:v>
      </x:c>
      <x:c r="X290" s="9" t="n">
        <x:f>SUMIFS('350配方'!$M290:$P290,'350配方'!$Y290:$AB290,126)</x:f>
        <x:v>0</x:v>
      </x:c>
      <x:c r="Y290" s="9" t="n">
        <x:f>SUMIFS('350配方'!$M290:$P290,'350配方'!$Y290:$AB290,136)</x:f>
        <x:v>0</x:v>
      </x:c>
      <x:c r="Z290" s="9" t="n">
        <x:f>SUMIFS('350配方'!$M290:$P290,'350配方'!$Y290:$AB290,141)</x:f>
        <x:v>0</x:v>
      </x:c>
      <x:c r="AA290" s="9" t="n">
        <x:f>SUMIFS('350配方'!$M290:$P290,'350配方'!$Y290:$AB290,152)</x:f>
        <x:v>0</x:v>
      </x:c>
      <x:c r="AB290" s="9" t="n">
        <x:f>SUMIFS('350配方'!$M290:$P290,'350配方'!$Y290:$AB290,165)</x:f>
        <x:v>0</x:v>
      </x:c>
      <x:c r="AC290" s="9" t="n">
        <x:f>SUMIFS('350配方'!$M290:$P290,'350配方'!$Y290:$AB290,186)</x:f>
        <x:v>0</x:v>
      </x:c>
      <x:c r="AD290" s="9" t="n">
        <x:f>SUMIFS('350配方'!$M290:$P290,'350配方'!$Y290:$AB290,207)</x:f>
        <x:v>0</x:v>
      </x:c>
      <x:c r="AE290" s="9" t="n">
        <x:f>SUMIFS('350配方'!$M290:$P290,'350配方'!$Y290:$AB290,209)</x:f>
        <x:v>0</x:v>
      </x:c>
      <x:c r="AF290" s="9" t="n">
        <x:f>SUMIFS('350配方'!$M290:$P290,'350配方'!$Y290:$AB290,227)</x:f>
        <x:v>0</x:v>
      </x:c>
      <x:c r="AG290" s="9" t="n">
        <x:f>SUMIFS('350配方'!$M290:$P290,'350配方'!$Y290:$AB290,232)</x:f>
        <x:v>0</x:v>
      </x:c>
      <x:c r="AH290" s="9" t="n">
        <x:f>SUMIFS('350配方'!$M290:$P290,'350配方'!$Y290:$AB290,255)</x:f>
        <x:v>0</x:v>
      </x:c>
      <x:c r="AI290" s="9" t="n">
        <x:f>'浓度设置'!S6</x:f>
        <x:v>219125.9626344086</x:v>
      </x:c>
      <x:c r="AJ290" s="9" t="n">
        <x:f>'浓度设置'!S8</x:f>
        <x:v>92796.92267241378</x:v>
      </x:c>
      <x:c r="AK290" s="9" t="n">
        <x:f>'浓度设置'!S10</x:f>
        <x:v>30556.797802197798</x:v>
      </x:c>
      <x:c r="AL290" s="9" t="n">
        <x:f>'浓度设置'!S12</x:f>
        <x:v>1735.828970588235</x:v>
      </x:c>
      <x:c r="AM290" s="9" t="n">
        <x:f>'浓度设置'!S15</x:f>
        <x:v>7385.813644067793</x:v>
      </x:c>
      <x:c r="AN290" s="9" t="n">
        <x:f>'浓度设置'!S19</x:f>
        <x:v>27722.03097701148</x:v>
      </x:c>
      <x:c r="AO290" s="9" t="n">
        <x:f>'浓度设置'!S22</x:f>
        <x:v>44345.55047619048</x:v>
      </x:c>
      <x:c r="AP290" s="9" t="n">
        <x:f>'浓度设置'!S26</x:f>
        <x:v>153318.30499999996</x:v>
      </x:c>
      <x:c r="AQ290" s="9" t="n">
        <x:f>'浓度设置'!S29</x:f>
        <x:v>312.7970588235294</x:v>
      </x:c>
      <x:c r="AR290" s="9" t="n">
        <x:f>'浓度设置'!S30</x:f>
        <x:v>104175.5097553192</x:v>
      </x:c>
      <x:c r="AS290" s="9" t="n">
        <x:f>'浓度设置'!S35</x:f>
        <x:v>405974.90656785714</x:v>
      </x:c>
    </x:row>
    <x:row r="291" ht="24" customHeight="1">
      <x:c r="A291" s="3" t="str">
        <x:f>'350配方'!A291</x:f>
        <x:v>T286</x:v>
      </x:c>
      <x:c r="B291" s="3" t="str">
        <x:f>'350配方'!B291</x:f>
        <x:v>拟合</x:v>
      </x:c>
      <x:c r="C291" s="3" t="n">
        <x:f>IF(B291="拟合",1,0)</x:f>
        <x:v>1</x:v>
      </x:c>
      <x:c r="D291" s="3" t="n">
        <x:f>'350配方'!AC291</x:f>
        <x:v>4</x:v>
      </x:c>
      <x:c r="E291" s="9" t="n">
        <x:f>SUMIFS('350配方'!$M291:$P291,'350配方'!$Y291:$AB291,7)</x:f>
        <x:v>0</x:v>
      </x:c>
      <x:c r="F291" s="9" t="n">
        <x:f>SUMIFS('350配方'!$M291:$P291,'350配方'!$Y291:$AB291,11)</x:f>
        <x:v>0</x:v>
      </x:c>
      <x:c r="G291" s="9" t="n">
        <x:f>SUMIFS('350配方'!$M291:$P291,'350配方'!$Y291:$AB291,18)</x:f>
        <x:v>0</x:v>
      </x:c>
      <x:c r="H291" s="9" t="n">
        <x:f>SUMIFS('350配方'!$M291:$P291,'350配方'!$Y291:$AB291,32)</x:f>
        <x:v>0</x:v>
      </x:c>
      <x:c r="I291" s="9" t="n">
        <x:f>SUMIFS('350配方'!$M291:$P291,'350配方'!$Y291:$AB291,40)</x:f>
        <x:v>0</x:v>
      </x:c>
      <x:c r="J291" s="9" t="n">
        <x:f>SUMIFS('350配方'!$M291:$P291,'350配方'!$Y291:$AB291,52)</x:f>
        <x:v>2338.9306103431118</x:v>
      </x:c>
      <x:c r="K291" s="9" t="n">
        <x:f>SUMIFS('350配方'!$M291:$P291,'350配方'!$Y291:$AB291,53)</x:f>
        <x:v>0</x:v>
      </x:c>
      <x:c r="L291" s="9" t="n">
        <x:f>SUMIFS('350配方'!$M291:$P291,'350配方'!$Y291:$AB291,56)</x:f>
        <x:v>0</x:v>
      </x:c>
      <x:c r="M291" s="9" t="n">
        <x:f>SUMIFS('350配方'!$M291:$P291,'350配方'!$Y291:$AB291,58)</x:f>
        <x:v>0</x:v>
      </x:c>
      <x:c r="N291" s="9" t="n">
        <x:f>SUMIFS('350配方'!$M291:$P291,'350配方'!$Y291:$AB291,61)</x:f>
        <x:v>0</x:v>
      </x:c>
      <x:c r="O291" s="9" t="n">
        <x:f>SUMIFS('350配方'!$M291:$P291,'350配方'!$Y291:$AB291,69)</x:f>
        <x:v>0</x:v>
      </x:c>
      <x:c r="P291" s="9" t="n">
        <x:f>SUMIFS('350配方'!$M291:$P291,'350配方'!$Y291:$AB291,75)</x:f>
        <x:v>0</x:v>
      </x:c>
      <x:c r="Q291" s="9" t="n">
        <x:f>SUMIFS('350配方'!$M291:$P291,'350配方'!$Y291:$AB291,79)</x:f>
        <x:v>0</x:v>
      </x:c>
      <x:c r="R291" s="9" t="n">
        <x:f>SUMIFS('350配方'!$M291:$P291,'350配方'!$Y291:$AB291,90)</x:f>
        <x:v>1232.25</x:v>
      </x:c>
      <x:c r="S291" s="9" t="n">
        <x:f>SUMIFS('350配方'!$M291:$P291,'350配方'!$Y291:$AB291,105)</x:f>
        <x:v>0</x:v>
      </x:c>
      <x:c r="T291" s="9" t="n">
        <x:f>SUMIFS('350配方'!$M291:$P291,'350配方'!$Y291:$AB291,111)</x:f>
        <x:v>0</x:v>
      </x:c>
      <x:c r="U291" s="9" t="n">
        <x:f>SUMIFS('350配方'!$M291:$P291,'350配方'!$Y291:$AB291,114)</x:f>
        <x:v>0</x:v>
      </x:c>
      <x:c r="V291" s="9" t="n">
        <x:f>SUMIFS('350配方'!$M291:$P291,'350配方'!$Y291:$AB291,115)</x:f>
        <x:v>0</x:v>
      </x:c>
      <x:c r="W291" s="9" t="n">
        <x:f>SUMIFS('350配方'!$M291:$P291,'350配方'!$Y291:$AB291,117)</x:f>
        <x:v>0</x:v>
      </x:c>
      <x:c r="X291" s="9" t="n">
        <x:f>SUMIFS('350配方'!$M291:$P291,'350配方'!$Y291:$AB291,126)</x:f>
        <x:v>2.125</x:v>
      </x:c>
      <x:c r="Y291" s="9" t="n">
        <x:f>SUMIFS('350配方'!$M291:$P291,'350配方'!$Y291:$AB291,136)</x:f>
        <x:v>0</x:v>
      </x:c>
      <x:c r="Z291" s="9" t="n">
        <x:f>SUMIFS('350配方'!$M291:$P291,'350配方'!$Y291:$AB291,141)</x:f>
        <x:v>0</x:v>
      </x:c>
      <x:c r="AA291" s="9" t="n">
        <x:f>SUMIFS('350配方'!$M291:$P291,'350配方'!$Y291:$AB291,152)</x:f>
        <x:v>0</x:v>
      </x:c>
      <x:c r="AB291" s="9" t="n">
        <x:f>SUMIFS('350配方'!$M291:$P291,'350配方'!$Y291:$AB291,165)</x:f>
        <x:v>823.735</x:v>
      </x:c>
      <x:c r="AC291" s="9" t="n">
        <x:f>SUMIFS('350配方'!$M291:$P291,'350配方'!$Y291:$AB291,186)</x:f>
        <x:v>0</x:v>
      </x:c>
      <x:c r="AD291" s="9" t="n">
        <x:f>SUMIFS('350配方'!$M291:$P291,'350配方'!$Y291:$AB291,207)</x:f>
        <x:v>0</x:v>
      </x:c>
      <x:c r="AE291" s="9" t="n">
        <x:f>SUMIFS('350配方'!$M291:$P291,'350配方'!$Y291:$AB291,209)</x:f>
        <x:v>0</x:v>
      </x:c>
      <x:c r="AF291" s="9" t="n">
        <x:f>SUMIFS('350配方'!$M291:$P291,'350配方'!$Y291:$AB291,227)</x:f>
        <x:v>0</x:v>
      </x:c>
      <x:c r="AG291" s="9" t="n">
        <x:f>SUMIFS('350配方'!$M291:$P291,'350配方'!$Y291:$AB291,232)</x:f>
        <x:v>0</x:v>
      </x:c>
      <x:c r="AH291" s="9" t="n">
        <x:f>SUMIFS('350配方'!$M291:$P291,'350配方'!$Y291:$AB291,255)</x:f>
        <x:v>0</x:v>
      </x:c>
      <x:c r="AI291" s="9" t="n">
        <x:f>'浓度设置'!S6</x:f>
        <x:v>219125.9626344086</x:v>
      </x:c>
      <x:c r="AJ291" s="9" t="n">
        <x:f>'浓度设置'!S8</x:f>
        <x:v>92796.92267241378</x:v>
      </x:c>
      <x:c r="AK291" s="9" t="n">
        <x:f>'浓度设置'!S10</x:f>
        <x:v>30556.797802197798</x:v>
      </x:c>
      <x:c r="AL291" s="9" t="n">
        <x:f>'浓度设置'!S12</x:f>
        <x:v>1735.828970588235</x:v>
      </x:c>
      <x:c r="AM291" s="9" t="n">
        <x:f>'浓度设置'!S15</x:f>
        <x:v>7385.813644067793</x:v>
      </x:c>
      <x:c r="AN291" s="9" t="n">
        <x:f>'浓度设置'!S19</x:f>
        <x:v>27722.03097701148</x:v>
      </x:c>
      <x:c r="AO291" s="9" t="n">
        <x:f>'浓度设置'!S22</x:f>
        <x:v>44345.55047619048</x:v>
      </x:c>
      <x:c r="AP291" s="9" t="n">
        <x:f>'浓度设置'!S26</x:f>
        <x:v>153318.30499999996</x:v>
      </x:c>
      <x:c r="AQ291" s="9" t="n">
        <x:f>'浓度设置'!S29</x:f>
        <x:v>312.7970588235294</x:v>
      </x:c>
      <x:c r="AR291" s="9" t="n">
        <x:f>'浓度设置'!S30</x:f>
        <x:v>104175.5097553192</x:v>
      </x:c>
      <x:c r="AS291" s="9" t="n">
        <x:f>'浓度设置'!S35</x:f>
        <x:v>405974.90656785714</x:v>
      </x:c>
    </x:row>
    <x:row r="292" ht="24" customHeight="1">
      <x:c r="A292" s="3" t="str">
        <x:f>'350配方'!A292</x:f>
        <x:v>T287</x:v>
      </x:c>
      <x:c r="B292" s="3" t="str">
        <x:f>'350配方'!B292</x:f>
        <x:v>拟合</x:v>
      </x:c>
      <x:c r="C292" s="3" t="n">
        <x:f>IF(B292="拟合",1,0)</x:f>
        <x:v>1</x:v>
      </x:c>
      <x:c r="D292" s="3" t="n">
        <x:f>'350配方'!AC292</x:f>
        <x:v>4</x:v>
      </x:c>
      <x:c r="E292" s="9" t="n">
        <x:f>SUMIFS('350配方'!$M292:$P292,'350配方'!$Y292:$AB292,7)</x:f>
        <x:v>0</x:v>
      </x:c>
      <x:c r="F292" s="9" t="n">
        <x:f>SUMIFS('350配方'!$M292:$P292,'350配方'!$Y292:$AB292,11)</x:f>
        <x:v>0</x:v>
      </x:c>
      <x:c r="G292" s="9" t="n">
        <x:f>SUMIFS('350配方'!$M292:$P292,'350配方'!$Y292:$AB292,18)</x:f>
        <x:v>0</x:v>
      </x:c>
      <x:c r="H292" s="9" t="n">
        <x:f>SUMIFS('350配方'!$M292:$P292,'350配方'!$Y292:$AB292,32)</x:f>
        <x:v>0</x:v>
      </x:c>
      <x:c r="I292" s="9" t="n">
        <x:f>SUMIFS('350配方'!$M292:$P292,'350配方'!$Y292:$AB292,40)</x:f>
        <x:v>0</x:v>
      </x:c>
      <x:c r="J292" s="9" t="n">
        <x:f>SUMIFS('350配方'!$M292:$P292,'350配方'!$Y292:$AB292,52)</x:f>
        <x:v>0</x:v>
      </x:c>
      <x:c r="K292" s="9" t="n">
        <x:f>SUMIFS('350配方'!$M292:$P292,'350配方'!$Y292:$AB292,53)</x:f>
        <x:v>0</x:v>
      </x:c>
      <x:c r="L292" s="9" t="n">
        <x:f>SUMIFS('350配方'!$M292:$P292,'350配方'!$Y292:$AB292,56)</x:f>
        <x:v>0</x:v>
      </x:c>
      <x:c r="M292" s="9" t="n">
        <x:f>SUMIFS('350配方'!$M292:$P292,'350配方'!$Y292:$AB292,58)</x:f>
        <x:v>0</x:v>
      </x:c>
      <x:c r="N292" s="9" t="n">
        <x:f>SUMIFS('350配方'!$M292:$P292,'350配方'!$Y292:$AB292,61)</x:f>
        <x:v>0</x:v>
      </x:c>
      <x:c r="O292" s="9" t="n">
        <x:f>SUMIFS('350配方'!$M292:$P292,'350配方'!$Y292:$AB292,69)</x:f>
        <x:v>0</x:v>
      </x:c>
      <x:c r="P292" s="9" t="n">
        <x:f>SUMIFS('350配方'!$M292:$P292,'350配方'!$Y292:$AB292,75)</x:f>
        <x:v>0</x:v>
      </x:c>
      <x:c r="Q292" s="9" t="n">
        <x:f>SUMIFS('350配方'!$M292:$P292,'350配方'!$Y292:$AB292,79)</x:f>
        <x:v>0</x:v>
      </x:c>
      <x:c r="R292" s="9" t="n">
        <x:f>SUMIFS('350配方'!$M292:$P292,'350配方'!$Y292:$AB292,90)</x:f>
        <x:v>0</x:v>
      </x:c>
      <x:c r="S292" s="9" t="n">
        <x:f>SUMIFS('350配方'!$M292:$P292,'350配方'!$Y292:$AB292,105)</x:f>
        <x:v>0</x:v>
      </x:c>
      <x:c r="T292" s="9" t="n">
        <x:f>SUMIFS('350配方'!$M292:$P292,'350配方'!$Y292:$AB292,111)</x:f>
        <x:v>0</x:v>
      </x:c>
      <x:c r="U292" s="9" t="n">
        <x:f>SUMIFS('350配方'!$M292:$P292,'350配方'!$Y292:$AB292,114)</x:f>
        <x:v>0</x:v>
      </x:c>
      <x:c r="V292" s="9" t="n">
        <x:f>SUMIFS('350配方'!$M292:$P292,'350配方'!$Y292:$AB292,115)</x:f>
        <x:v>0</x:v>
      </x:c>
      <x:c r="W292" s="9" t="n">
        <x:f>SUMIFS('350配方'!$M292:$P292,'350配方'!$Y292:$AB292,117)</x:f>
        <x:v>0</x:v>
      </x:c>
      <x:c r="X292" s="9" t="n">
        <x:f>SUMIFS('350配方'!$M292:$P292,'350配方'!$Y292:$AB292,126)</x:f>
        <x:v>0</x:v>
      </x:c>
      <x:c r="Y292" s="9" t="n">
        <x:f>SUMIFS('350配方'!$M292:$P292,'350配方'!$Y292:$AB292,136)</x:f>
        <x:v>1.1875</x:v>
      </x:c>
      <x:c r="Z292" s="9" t="n">
        <x:f>SUMIFS('350配方'!$M292:$P292,'350配方'!$Y292:$AB292,141)</x:f>
        <x:v>0</x:v>
      </x:c>
      <x:c r="AA292" s="9" t="n">
        <x:f>SUMIFS('350配方'!$M292:$P292,'350配方'!$Y292:$AB292,152)</x:f>
        <x:v>0</x:v>
      </x:c>
      <x:c r="AB292" s="9" t="n">
        <x:f>SUMIFS('350配方'!$M292:$P292,'350配方'!$Y292:$AB292,165)</x:f>
        <x:v>0</x:v>
      </x:c>
      <x:c r="AC292" s="9" t="n">
        <x:f>SUMIFS('350配方'!$M292:$P292,'350配方'!$Y292:$AB292,186)</x:f>
        <x:v>0</x:v>
      </x:c>
      <x:c r="AD292" s="9" t="n">
        <x:f>SUMIFS('350配方'!$M292:$P292,'350配方'!$Y292:$AB292,207)</x:f>
        <x:v>0</x:v>
      </x:c>
      <x:c r="AE292" s="9" t="n">
        <x:f>SUMIFS('350配方'!$M292:$P292,'350配方'!$Y292:$AB292,209)</x:f>
        <x:v>0.28</x:v>
      </x:c>
      <x:c r="AF292" s="9" t="n">
        <x:f>SUMIFS('350配方'!$M292:$P292,'350配方'!$Y292:$AB292,227)</x:f>
        <x:v>193759</x:v>
      </x:c>
      <x:c r="AG292" s="9" t="n">
        <x:f>SUMIFS('350配方'!$M292:$P292,'350配方'!$Y292:$AB292,232)</x:f>
        <x:v>1611</x:v>
      </x:c>
      <x:c r="AH292" s="9" t="n">
        <x:f>SUMIFS('350配方'!$M292:$P292,'350配方'!$Y292:$AB292,255)</x:f>
        <x:v>0</x:v>
      </x:c>
      <x:c r="AI292" s="9" t="n">
        <x:f>'浓度设置'!S6</x:f>
        <x:v>219125.9626344086</x:v>
      </x:c>
      <x:c r="AJ292" s="9" t="n">
        <x:f>'浓度设置'!S8</x:f>
        <x:v>92796.92267241378</x:v>
      </x:c>
      <x:c r="AK292" s="9" t="n">
        <x:f>'浓度设置'!S10</x:f>
        <x:v>30556.797802197798</x:v>
      </x:c>
      <x:c r="AL292" s="9" t="n">
        <x:f>'浓度设置'!S12</x:f>
        <x:v>1735.828970588235</x:v>
      </x:c>
      <x:c r="AM292" s="9" t="n">
        <x:f>'浓度设置'!S15</x:f>
        <x:v>7385.813644067793</x:v>
      </x:c>
      <x:c r="AN292" s="9" t="n">
        <x:f>'浓度设置'!S19</x:f>
        <x:v>27722.03097701148</x:v>
      </x:c>
      <x:c r="AO292" s="9" t="n">
        <x:f>'浓度设置'!S22</x:f>
        <x:v>44345.55047619048</x:v>
      </x:c>
      <x:c r="AP292" s="9" t="n">
        <x:f>'浓度设置'!S26</x:f>
        <x:v>153318.30499999996</x:v>
      </x:c>
      <x:c r="AQ292" s="9" t="n">
        <x:f>'浓度设置'!S29</x:f>
        <x:v>312.7970588235294</x:v>
      </x:c>
      <x:c r="AR292" s="9" t="n">
        <x:f>'浓度设置'!S30</x:f>
        <x:v>104175.5097553192</x:v>
      </x:c>
      <x:c r="AS292" s="9" t="n">
        <x:f>'浓度设置'!S35</x:f>
        <x:v>405974.90656785714</x:v>
      </x:c>
    </x:row>
    <x:row r="293" ht="24" customHeight="1">
      <x:c r="A293" s="3" t="str">
        <x:f>'350配方'!A293</x:f>
        <x:v>T288</x:v>
      </x:c>
      <x:c r="B293" s="3" t="str">
        <x:f>'350配方'!B293</x:f>
        <x:v>拟合</x:v>
      </x:c>
      <x:c r="C293" s="3" t="n">
        <x:f>IF(B293="拟合",1,0)</x:f>
        <x:v>1</x:v>
      </x:c>
      <x:c r="D293" s="3" t="n">
        <x:f>'350配方'!AC293</x:f>
        <x:v>4</x:v>
      </x:c>
      <x:c r="E293" s="9" t="n">
        <x:f>SUMIFS('350配方'!$M293:$P293,'350配方'!$Y293:$AB293,7)</x:f>
        <x:v>0</x:v>
      </x:c>
      <x:c r="F293" s="9" t="n">
        <x:f>SUMIFS('350配方'!$M293:$P293,'350配方'!$Y293:$AB293,11)</x:f>
        <x:v>0</x:v>
      </x:c>
      <x:c r="G293" s="9" t="n">
        <x:f>SUMIFS('350配方'!$M293:$P293,'350配方'!$Y293:$AB293,18)</x:f>
        <x:v>0</x:v>
      </x:c>
      <x:c r="H293" s="9" t="n">
        <x:f>SUMIFS('350配方'!$M293:$P293,'350配方'!$Y293:$AB293,32)</x:f>
        <x:v>0</x:v>
      </x:c>
      <x:c r="I293" s="9" t="n">
        <x:f>SUMIFS('350配方'!$M293:$P293,'350配方'!$Y293:$AB293,40)</x:f>
        <x:v>0</x:v>
      </x:c>
      <x:c r="J293" s="9" t="n">
        <x:f>SUMIFS('350配方'!$M293:$P293,'350配方'!$Y293:$AB293,52)</x:f>
        <x:v>0</x:v>
      </x:c>
      <x:c r="K293" s="9" t="n">
        <x:f>SUMIFS('350配方'!$M293:$P293,'350配方'!$Y293:$AB293,53)</x:f>
        <x:v>0</x:v>
      </x:c>
      <x:c r="L293" s="9" t="n">
        <x:f>SUMIFS('350配方'!$M293:$P293,'350配方'!$Y293:$AB293,56)</x:f>
        <x:v>0</x:v>
      </x:c>
      <x:c r="M293" s="9" t="n">
        <x:f>SUMIFS('350配方'!$M293:$P293,'350配方'!$Y293:$AB293,58)</x:f>
        <x:v>0</x:v>
      </x:c>
      <x:c r="N293" s="9" t="n">
        <x:f>SUMIFS('350配方'!$M293:$P293,'350配方'!$Y293:$AB293,61)</x:f>
        <x:v>0.51</x:v>
      </x:c>
      <x:c r="O293" s="9" t="n">
        <x:f>SUMIFS('350配方'!$M293:$P293,'350配方'!$Y293:$AB293,69)</x:f>
        <x:v>0</x:v>
      </x:c>
      <x:c r="P293" s="9" t="n">
        <x:f>SUMIFS('350配方'!$M293:$P293,'350配方'!$Y293:$AB293,75)</x:f>
        <x:v>0</x:v>
      </x:c>
      <x:c r="Q293" s="9" t="n">
        <x:f>SUMIFS('350配方'!$M293:$P293,'350配方'!$Y293:$AB293,79)</x:f>
        <x:v>0</x:v>
      </x:c>
      <x:c r="R293" s="9" t="n">
        <x:f>SUMIFS('350配方'!$M293:$P293,'350配方'!$Y293:$AB293,90)</x:f>
        <x:v>0</x:v>
      </x:c>
      <x:c r="S293" s="9" t="n">
        <x:f>SUMIFS('350配方'!$M293:$P293,'350配方'!$Y293:$AB293,105)</x:f>
        <x:v>28.044607324760317</x:v>
      </x:c>
      <x:c r="T293" s="9" t="n">
        <x:f>SUMIFS('350配方'!$M293:$P293,'350配方'!$Y293:$AB293,111)</x:f>
        <x:v>9622120</x:v>
      </x:c>
      <x:c r="U293" s="9" t="n">
        <x:f>SUMIFS('350配方'!$M293:$P293,'350配方'!$Y293:$AB293,114)</x:f>
        <x:v>0</x:v>
      </x:c>
      <x:c r="V293" s="9" t="n">
        <x:f>SUMIFS('350配方'!$M293:$P293,'350配方'!$Y293:$AB293,115)</x:f>
        <x:v>0</x:v>
      </x:c>
      <x:c r="W293" s="9" t="n">
        <x:f>SUMIFS('350配方'!$M293:$P293,'350配方'!$Y293:$AB293,117)</x:f>
        <x:v>0</x:v>
      </x:c>
      <x:c r="X293" s="9" t="n">
        <x:f>SUMIFS('350配方'!$M293:$P293,'350配方'!$Y293:$AB293,126)</x:f>
        <x:v>0</x:v>
      </x:c>
      <x:c r="Y293" s="9" t="n">
        <x:f>SUMIFS('350配方'!$M293:$P293,'350配方'!$Y293:$AB293,136)</x:f>
        <x:v>0</x:v>
      </x:c>
      <x:c r="Z293" s="9" t="n">
        <x:f>SUMIFS('350配方'!$M293:$P293,'350配方'!$Y293:$AB293,141)</x:f>
        <x:v>0</x:v>
      </x:c>
      <x:c r="AA293" s="9" t="n">
        <x:f>SUMIFS('350配方'!$M293:$P293,'350配方'!$Y293:$AB293,152)</x:f>
        <x:v>0</x:v>
      </x:c>
      <x:c r="AB293" s="9" t="n">
        <x:f>SUMIFS('350配方'!$M293:$P293,'350配方'!$Y293:$AB293,165)</x:f>
        <x:v>0</x:v>
      </x:c>
      <x:c r="AC293" s="9" t="n">
        <x:f>SUMIFS('350配方'!$M293:$P293,'350配方'!$Y293:$AB293,186)</x:f>
        <x:v>0</x:v>
      </x:c>
      <x:c r="AD293" s="9" t="n">
        <x:f>SUMIFS('350配方'!$M293:$P293,'350配方'!$Y293:$AB293,207)</x:f>
        <x:v>271.45</x:v>
      </x:c>
      <x:c r="AE293" s="9" t="n">
        <x:f>SUMIFS('350配方'!$M293:$P293,'350配方'!$Y293:$AB293,209)</x:f>
        <x:v>0</x:v>
      </x:c>
      <x:c r="AF293" s="9" t="n">
        <x:f>SUMIFS('350配方'!$M293:$P293,'350配方'!$Y293:$AB293,227)</x:f>
        <x:v>0</x:v>
      </x:c>
      <x:c r="AG293" s="9" t="n">
        <x:f>SUMIFS('350配方'!$M293:$P293,'350配方'!$Y293:$AB293,232)</x:f>
        <x:v>0</x:v>
      </x:c>
      <x:c r="AH293" s="9" t="n">
        <x:f>SUMIFS('350配方'!$M293:$P293,'350配方'!$Y293:$AB293,255)</x:f>
        <x:v>0</x:v>
      </x:c>
      <x:c r="AI293" s="9" t="n">
        <x:f>'浓度设置'!S6</x:f>
        <x:v>219125.9626344086</x:v>
      </x:c>
      <x:c r="AJ293" s="9" t="n">
        <x:f>'浓度设置'!S8</x:f>
        <x:v>92796.92267241378</x:v>
      </x:c>
      <x:c r="AK293" s="9" t="n">
        <x:f>'浓度设置'!S10</x:f>
        <x:v>30556.797802197798</x:v>
      </x:c>
      <x:c r="AL293" s="9" t="n">
        <x:f>'浓度设置'!S12</x:f>
        <x:v>1735.828970588235</x:v>
      </x:c>
      <x:c r="AM293" s="9" t="n">
        <x:f>'浓度设置'!S15</x:f>
        <x:v>7385.813644067793</x:v>
      </x:c>
      <x:c r="AN293" s="9" t="n">
        <x:f>'浓度设置'!S19</x:f>
        <x:v>27722.03097701148</x:v>
      </x:c>
      <x:c r="AO293" s="9" t="n">
        <x:f>'浓度设置'!S22</x:f>
        <x:v>44345.55047619048</x:v>
      </x:c>
      <x:c r="AP293" s="9" t="n">
        <x:f>'浓度设置'!S26</x:f>
        <x:v>153318.30499999996</x:v>
      </x:c>
      <x:c r="AQ293" s="9" t="n">
        <x:f>'浓度设置'!S29</x:f>
        <x:v>312.7970588235294</x:v>
      </x:c>
      <x:c r="AR293" s="9" t="n">
        <x:f>'浓度设置'!S30</x:f>
        <x:v>104175.5097553192</x:v>
      </x:c>
      <x:c r="AS293" s="9" t="n">
        <x:f>'浓度设置'!S35</x:f>
        <x:v>405974.90656785714</x:v>
      </x:c>
    </x:row>
    <x:row r="294" ht="24" customHeight="1">
      <x:c r="A294" s="3" t="str">
        <x:f>'350配方'!A294</x:f>
        <x:v>T289</x:v>
      </x:c>
      <x:c r="B294" s="3" t="str">
        <x:f>'350配方'!B294</x:f>
        <x:v>拟合</x:v>
      </x:c>
      <x:c r="C294" s="3" t="n">
        <x:f>IF(B294="拟合",1,0)</x:f>
        <x:v>1</x:v>
      </x:c>
      <x:c r="D294" s="3" t="n">
        <x:f>'350配方'!AC294</x:f>
        <x:v>4</x:v>
      </x:c>
      <x:c r="E294" s="9" t="n">
        <x:f>SUMIFS('350配方'!$M294:$P294,'350配方'!$Y294:$AB294,7)</x:f>
        <x:v>0</x:v>
      </x:c>
      <x:c r="F294" s="9" t="n">
        <x:f>SUMIFS('350配方'!$M294:$P294,'350配方'!$Y294:$AB294,11)</x:f>
        <x:v>4198.825192836682</x:v>
      </x:c>
      <x:c r="G294" s="9" t="n">
        <x:f>SUMIFS('350配方'!$M294:$P294,'350配方'!$Y294:$AB294,18)</x:f>
        <x:v>0</x:v>
      </x:c>
      <x:c r="H294" s="9" t="n">
        <x:f>SUMIFS('350配方'!$M294:$P294,'350配方'!$Y294:$AB294,32)</x:f>
        <x:v>18.68</x:v>
      </x:c>
      <x:c r="I294" s="9" t="n">
        <x:f>SUMIFS('350配方'!$M294:$P294,'350配方'!$Y294:$AB294,40)</x:f>
        <x:v>21400</x:v>
      </x:c>
      <x:c r="J294" s="9" t="n">
        <x:f>SUMIFS('350配方'!$M294:$P294,'350配方'!$Y294:$AB294,52)</x:f>
        <x:v>0</x:v>
      </x:c>
      <x:c r="K294" s="9" t="n">
        <x:f>SUMIFS('350配方'!$M294:$P294,'350配方'!$Y294:$AB294,53)</x:f>
        <x:v>0</x:v>
      </x:c>
      <x:c r="L294" s="9" t="n">
        <x:f>SUMIFS('350配方'!$M294:$P294,'350配方'!$Y294:$AB294,56)</x:f>
        <x:v>0</x:v>
      </x:c>
      <x:c r="M294" s="9" t="n">
        <x:f>SUMIFS('350配方'!$M294:$P294,'350配方'!$Y294:$AB294,58)</x:f>
        <x:v>0</x:v>
      </x:c>
      <x:c r="N294" s="9" t="n">
        <x:f>SUMIFS('350配方'!$M294:$P294,'350配方'!$Y294:$AB294,61)</x:f>
        <x:v>0</x:v>
      </x:c>
      <x:c r="O294" s="9" t="n">
        <x:f>SUMIFS('350配方'!$M294:$P294,'350配方'!$Y294:$AB294,69)</x:f>
        <x:v>0</x:v>
      </x:c>
      <x:c r="P294" s="9" t="n">
        <x:f>SUMIFS('350配方'!$M294:$P294,'350配方'!$Y294:$AB294,75)</x:f>
        <x:v>0</x:v>
      </x:c>
      <x:c r="Q294" s="9" t="n">
        <x:f>SUMIFS('350配方'!$M294:$P294,'350配方'!$Y294:$AB294,79)</x:f>
        <x:v>1288.255</x:v>
      </x:c>
      <x:c r="R294" s="9" t="n">
        <x:f>SUMIFS('350配方'!$M294:$P294,'350配方'!$Y294:$AB294,90)</x:f>
        <x:v>0</x:v>
      </x:c>
      <x:c r="S294" s="9" t="n">
        <x:f>SUMIFS('350配方'!$M294:$P294,'350配方'!$Y294:$AB294,105)</x:f>
        <x:v>0</x:v>
      </x:c>
      <x:c r="T294" s="9" t="n">
        <x:f>SUMIFS('350配方'!$M294:$P294,'350配方'!$Y294:$AB294,111)</x:f>
        <x:v>0</x:v>
      </x:c>
      <x:c r="U294" s="9" t="n">
        <x:f>SUMIFS('350配方'!$M294:$P294,'350配方'!$Y294:$AB294,114)</x:f>
        <x:v>0</x:v>
      </x:c>
      <x:c r="V294" s="9" t="n">
        <x:f>SUMIFS('350配方'!$M294:$P294,'350配方'!$Y294:$AB294,115)</x:f>
        <x:v>0</x:v>
      </x:c>
      <x:c r="W294" s="9" t="n">
        <x:f>SUMIFS('350配方'!$M294:$P294,'350配方'!$Y294:$AB294,117)</x:f>
        <x:v>0</x:v>
      </x:c>
      <x:c r="X294" s="9" t="n">
        <x:f>SUMIFS('350配方'!$M294:$P294,'350配方'!$Y294:$AB294,126)</x:f>
        <x:v>0</x:v>
      </x:c>
      <x:c r="Y294" s="9" t="n">
        <x:f>SUMIFS('350配方'!$M294:$P294,'350配方'!$Y294:$AB294,136)</x:f>
        <x:v>0</x:v>
      </x:c>
      <x:c r="Z294" s="9" t="n">
        <x:f>SUMIFS('350配方'!$M294:$P294,'350配方'!$Y294:$AB294,141)</x:f>
        <x:v>0</x:v>
      </x:c>
      <x:c r="AA294" s="9" t="n">
        <x:f>SUMIFS('350配方'!$M294:$P294,'350配方'!$Y294:$AB294,152)</x:f>
        <x:v>0</x:v>
      </x:c>
      <x:c r="AB294" s="9" t="n">
        <x:f>SUMIFS('350配方'!$M294:$P294,'350配方'!$Y294:$AB294,165)</x:f>
        <x:v>0</x:v>
      </x:c>
      <x:c r="AC294" s="9" t="n">
        <x:f>SUMIFS('350配方'!$M294:$P294,'350配方'!$Y294:$AB294,186)</x:f>
        <x:v>0</x:v>
      </x:c>
      <x:c r="AD294" s="9" t="n">
        <x:f>SUMIFS('350配方'!$M294:$P294,'350配方'!$Y294:$AB294,207)</x:f>
        <x:v>0</x:v>
      </x:c>
      <x:c r="AE294" s="9" t="n">
        <x:f>SUMIFS('350配方'!$M294:$P294,'350配方'!$Y294:$AB294,209)</x:f>
        <x:v>0</x:v>
      </x:c>
      <x:c r="AF294" s="9" t="n">
        <x:f>SUMIFS('350配方'!$M294:$P294,'350配方'!$Y294:$AB294,227)</x:f>
        <x:v>0</x:v>
      </x:c>
      <x:c r="AG294" s="9" t="n">
        <x:f>SUMIFS('350配方'!$M294:$P294,'350配方'!$Y294:$AB294,232)</x:f>
        <x:v>0</x:v>
      </x:c>
      <x:c r="AH294" s="9" t="n">
        <x:f>SUMIFS('350配方'!$M294:$P294,'350配方'!$Y294:$AB294,255)</x:f>
        <x:v>0</x:v>
      </x:c>
      <x:c r="AI294" s="9" t="n">
        <x:f>'浓度设置'!S6</x:f>
        <x:v>219125.9626344086</x:v>
      </x:c>
      <x:c r="AJ294" s="9" t="n">
        <x:f>'浓度设置'!S8</x:f>
        <x:v>92796.92267241378</x:v>
      </x:c>
      <x:c r="AK294" s="9" t="n">
        <x:f>'浓度设置'!S10</x:f>
        <x:v>30556.797802197798</x:v>
      </x:c>
      <x:c r="AL294" s="9" t="n">
        <x:f>'浓度设置'!S12</x:f>
        <x:v>1735.828970588235</x:v>
      </x:c>
      <x:c r="AM294" s="9" t="n">
        <x:f>'浓度设置'!S15</x:f>
        <x:v>7385.813644067793</x:v>
      </x:c>
      <x:c r="AN294" s="9" t="n">
        <x:f>'浓度设置'!S19</x:f>
        <x:v>27722.03097701148</x:v>
      </x:c>
      <x:c r="AO294" s="9" t="n">
        <x:f>'浓度设置'!S22</x:f>
        <x:v>44345.55047619048</x:v>
      </x:c>
      <x:c r="AP294" s="9" t="n">
        <x:f>'浓度设置'!S26</x:f>
        <x:v>153318.30499999996</x:v>
      </x:c>
      <x:c r="AQ294" s="9" t="n">
        <x:f>'浓度设置'!S29</x:f>
        <x:v>312.7970588235294</x:v>
      </x:c>
      <x:c r="AR294" s="9" t="n">
        <x:f>'浓度设置'!S30</x:f>
        <x:v>104175.5097553192</x:v>
      </x:c>
      <x:c r="AS294" s="9" t="n">
        <x:f>'浓度设置'!S35</x:f>
        <x:v>405974.90656785714</x:v>
      </x:c>
    </x:row>
    <x:row r="295" ht="24" customHeight="1">
      <x:c r="A295" s="3" t="str">
        <x:f>'350配方'!A295</x:f>
        <x:v>T290</x:v>
      </x:c>
      <x:c r="B295" s="3" t="str">
        <x:f>'350配方'!B295</x:f>
        <x:v>拟合</x:v>
      </x:c>
      <x:c r="C295" s="3" t="n">
        <x:f>IF(B295="拟合",1,0)</x:f>
        <x:v>1</x:v>
      </x:c>
      <x:c r="D295" s="3" t="n">
        <x:f>'350配方'!AC295</x:f>
        <x:v>4</x:v>
      </x:c>
      <x:c r="E295" s="9" t="n">
        <x:f>SUMIFS('350配方'!$M295:$P295,'350配方'!$Y295:$AB295,7)</x:f>
        <x:v>0</x:v>
      </x:c>
      <x:c r="F295" s="9" t="n">
        <x:f>SUMIFS('350配方'!$M295:$P295,'350配方'!$Y295:$AB295,11)</x:f>
        <x:v>0</x:v>
      </x:c>
      <x:c r="G295" s="9" t="n">
        <x:f>SUMIFS('350配方'!$M295:$P295,'350配方'!$Y295:$AB295,18)</x:f>
        <x:v>39</x:v>
      </x:c>
      <x:c r="H295" s="9" t="n">
        <x:f>SUMIFS('350配方'!$M295:$P295,'350配方'!$Y295:$AB295,32)</x:f>
        <x:v>0</x:v>
      </x:c>
      <x:c r="I295" s="9" t="n">
        <x:f>SUMIFS('350配方'!$M295:$P295,'350配方'!$Y295:$AB295,40)</x:f>
        <x:v>0</x:v>
      </x:c>
      <x:c r="J295" s="9" t="n">
        <x:f>SUMIFS('350配方'!$M295:$P295,'350配方'!$Y295:$AB295,52)</x:f>
        <x:v>0</x:v>
      </x:c>
      <x:c r="K295" s="9" t="n">
        <x:f>SUMIFS('350配方'!$M295:$P295,'350配方'!$Y295:$AB295,53)</x:f>
        <x:v>0</x:v>
      </x:c>
      <x:c r="L295" s="9" t="n">
        <x:f>SUMIFS('350配方'!$M295:$P295,'350配方'!$Y295:$AB295,56)</x:f>
        <x:v>0</x:v>
      </x:c>
      <x:c r="M295" s="9" t="n">
        <x:f>SUMIFS('350配方'!$M295:$P295,'350配方'!$Y295:$AB295,58)</x:f>
        <x:v>0</x:v>
      </x:c>
      <x:c r="N295" s="9" t="n">
        <x:f>SUMIFS('350配方'!$M295:$P295,'350配方'!$Y295:$AB295,61)</x:f>
        <x:v>0</x:v>
      </x:c>
      <x:c r="O295" s="9" t="n">
        <x:f>SUMIFS('350配方'!$M295:$P295,'350配方'!$Y295:$AB295,69)</x:f>
        <x:v>0</x:v>
      </x:c>
      <x:c r="P295" s="9" t="n">
        <x:f>SUMIFS('350配方'!$M295:$P295,'350配方'!$Y295:$AB295,75)</x:f>
        <x:v>0</x:v>
      </x:c>
      <x:c r="Q295" s="9" t="n">
        <x:f>SUMIFS('350配方'!$M295:$P295,'350配方'!$Y295:$AB295,79)</x:f>
        <x:v>0</x:v>
      </x:c>
      <x:c r="R295" s="9" t="n">
        <x:f>SUMIFS('350配方'!$M295:$P295,'350配方'!$Y295:$AB295,90)</x:f>
        <x:v>0</x:v>
      </x:c>
      <x:c r="S295" s="9" t="n">
        <x:f>SUMIFS('350配方'!$M295:$P295,'350配方'!$Y295:$AB295,105)</x:f>
        <x:v>0</x:v>
      </x:c>
      <x:c r="T295" s="9" t="n">
        <x:f>SUMIFS('350配方'!$M295:$P295,'350配方'!$Y295:$AB295,111)</x:f>
        <x:v>0</x:v>
      </x:c>
      <x:c r="U295" s="9" t="n">
        <x:f>SUMIFS('350配方'!$M295:$P295,'350配方'!$Y295:$AB295,114)</x:f>
        <x:v>0</x:v>
      </x:c>
      <x:c r="V295" s="9" t="n">
        <x:f>SUMIFS('350配方'!$M295:$P295,'350配方'!$Y295:$AB295,115)</x:f>
        <x:v>96.86609313893071</x:v>
      </x:c>
      <x:c r="W295" s="9" t="n">
        <x:f>SUMIFS('350配方'!$M295:$P295,'350配方'!$Y295:$AB295,117)</x:f>
        <x:v>40201.1</x:v>
      </x:c>
      <x:c r="X295" s="9" t="n">
        <x:f>SUMIFS('350配方'!$M295:$P295,'350配方'!$Y295:$AB295,126)</x:f>
        <x:v>0</x:v>
      </x:c>
      <x:c r="Y295" s="9" t="n">
        <x:f>SUMIFS('350配方'!$M295:$P295,'350配方'!$Y295:$AB295,136)</x:f>
        <x:v>0</x:v>
      </x:c>
      <x:c r="Z295" s="9" t="n">
        <x:f>SUMIFS('350配方'!$M295:$P295,'350配方'!$Y295:$AB295,141)</x:f>
        <x:v>0</x:v>
      </x:c>
      <x:c r="AA295" s="9" t="n">
        <x:f>SUMIFS('350配方'!$M295:$P295,'350配方'!$Y295:$AB295,152)</x:f>
        <x:v>0</x:v>
      </x:c>
      <x:c r="AB295" s="9" t="n">
        <x:f>SUMIFS('350配方'!$M295:$P295,'350配方'!$Y295:$AB295,165)</x:f>
        <x:v>0</x:v>
      </x:c>
      <x:c r="AC295" s="9" t="n">
        <x:f>SUMIFS('350配方'!$M295:$P295,'350配方'!$Y295:$AB295,186)</x:f>
        <x:v>0</x:v>
      </x:c>
      <x:c r="AD295" s="9" t="n">
        <x:f>SUMIFS('350配方'!$M295:$P295,'350配方'!$Y295:$AB295,207)</x:f>
        <x:v>0</x:v>
      </x:c>
      <x:c r="AE295" s="9" t="n">
        <x:f>SUMIFS('350配方'!$M295:$P295,'350配方'!$Y295:$AB295,209)</x:f>
        <x:v>0</x:v>
      </x:c>
      <x:c r="AF295" s="9" t="n">
        <x:f>SUMIFS('350配方'!$M295:$P295,'350配方'!$Y295:$AB295,227)</x:f>
        <x:v>0</x:v>
      </x:c>
      <x:c r="AG295" s="9" t="n">
        <x:f>SUMIFS('350配方'!$M295:$P295,'350配方'!$Y295:$AB295,232)</x:f>
        <x:v>0</x:v>
      </x:c>
      <x:c r="AH295" s="9" t="n">
        <x:f>SUMIFS('350配方'!$M295:$P295,'350配方'!$Y295:$AB295,255)</x:f>
        <x:v>9.546727187890099</x:v>
      </x:c>
      <x:c r="AI295" s="9" t="n">
        <x:f>'浓度设置'!S6</x:f>
        <x:v>219125.9626344086</x:v>
      </x:c>
      <x:c r="AJ295" s="9" t="n">
        <x:f>'浓度设置'!S8</x:f>
        <x:v>92796.92267241378</x:v>
      </x:c>
      <x:c r="AK295" s="9" t="n">
        <x:f>'浓度设置'!S10</x:f>
        <x:v>30556.797802197798</x:v>
      </x:c>
      <x:c r="AL295" s="9" t="n">
        <x:f>'浓度设置'!S12</x:f>
        <x:v>1735.828970588235</x:v>
      </x:c>
      <x:c r="AM295" s="9" t="n">
        <x:f>'浓度设置'!S15</x:f>
        <x:v>7385.813644067793</x:v>
      </x:c>
      <x:c r="AN295" s="9" t="n">
        <x:f>'浓度设置'!S19</x:f>
        <x:v>27722.03097701148</x:v>
      </x:c>
      <x:c r="AO295" s="9" t="n">
        <x:f>'浓度设置'!S22</x:f>
        <x:v>44345.55047619048</x:v>
      </x:c>
      <x:c r="AP295" s="9" t="n">
        <x:f>'浓度设置'!S26</x:f>
        <x:v>153318.30499999996</x:v>
      </x:c>
      <x:c r="AQ295" s="9" t="n">
        <x:f>'浓度设置'!S29</x:f>
        <x:v>312.7970588235294</x:v>
      </x:c>
      <x:c r="AR295" s="9" t="n">
        <x:f>'浓度设置'!S30</x:f>
        <x:v>104175.5097553192</x:v>
      </x:c>
      <x:c r="AS295" s="9" t="n">
        <x:f>'浓度设置'!S35</x:f>
        <x:v>405974.90656785714</x:v>
      </x:c>
    </x:row>
    <x:row r="296" ht="24" customHeight="1">
      <x:c r="A296" s="3" t="str">
        <x:f>'350配方'!A296</x:f>
        <x:v>T291</x:v>
      </x:c>
      <x:c r="B296" s="3" t="str">
        <x:f>'350配方'!B296</x:f>
        <x:v>拟合</x:v>
      </x:c>
      <x:c r="C296" s="3" t="n">
        <x:f>IF(B296="拟合",1,0)</x:f>
        <x:v>1</x:v>
      </x:c>
      <x:c r="D296" s="3" t="n">
        <x:f>'350配方'!AC296</x:f>
        <x:v>4</x:v>
      </x:c>
      <x:c r="E296" s="9" t="n">
        <x:f>SUMIFS('350配方'!$M296:$P296,'350配方'!$Y296:$AB296,7)</x:f>
        <x:v>0</x:v>
      </x:c>
      <x:c r="F296" s="9" t="n">
        <x:f>SUMIFS('350配方'!$M296:$P296,'350配方'!$Y296:$AB296,11)</x:f>
        <x:v>0</x:v>
      </x:c>
      <x:c r="G296" s="9" t="n">
        <x:f>SUMIFS('350配方'!$M296:$P296,'350配方'!$Y296:$AB296,18)</x:f>
        <x:v>0</x:v>
      </x:c>
      <x:c r="H296" s="9" t="n">
        <x:f>SUMIFS('350配方'!$M296:$P296,'350配方'!$Y296:$AB296,32)</x:f>
        <x:v>0</x:v>
      </x:c>
      <x:c r="I296" s="9" t="n">
        <x:f>SUMIFS('350配方'!$M296:$P296,'350配方'!$Y296:$AB296,40)</x:f>
        <x:v>0</x:v>
      </x:c>
      <x:c r="J296" s="9" t="n">
        <x:f>SUMIFS('350配方'!$M296:$P296,'350配方'!$Y296:$AB296,52)</x:f>
        <x:v>0</x:v>
      </x:c>
      <x:c r="K296" s="9" t="n">
        <x:f>SUMIFS('350配方'!$M296:$P296,'350配方'!$Y296:$AB296,53)</x:f>
        <x:v>0</x:v>
      </x:c>
      <x:c r="L296" s="9" t="n">
        <x:f>SUMIFS('350配方'!$M296:$P296,'350配方'!$Y296:$AB296,56)</x:f>
        <x:v>4105</x:v>
      </x:c>
      <x:c r="M296" s="9" t="n">
        <x:f>SUMIFS('350配方'!$M296:$P296,'350配方'!$Y296:$AB296,58)</x:f>
        <x:v>0</x:v>
      </x:c>
      <x:c r="N296" s="9" t="n">
        <x:f>SUMIFS('350配方'!$M296:$P296,'350配方'!$Y296:$AB296,61)</x:f>
        <x:v>0</x:v>
      </x:c>
      <x:c r="O296" s="9" t="n">
        <x:f>SUMIFS('350配方'!$M296:$P296,'350配方'!$Y296:$AB296,69)</x:f>
        <x:v>0</x:v>
      </x:c>
      <x:c r="P296" s="9" t="n">
        <x:f>SUMIFS('350配方'!$M296:$P296,'350配方'!$Y296:$AB296,75)</x:f>
        <x:v>0</x:v>
      </x:c>
      <x:c r="Q296" s="9" t="n">
        <x:f>SUMIFS('350配方'!$M296:$P296,'350配方'!$Y296:$AB296,79)</x:f>
        <x:v>0</x:v>
      </x:c>
      <x:c r="R296" s="9" t="n">
        <x:f>SUMIFS('350配方'!$M296:$P296,'350配方'!$Y296:$AB296,90)</x:f>
        <x:v>1232.25</x:v>
      </x:c>
      <x:c r="S296" s="9" t="n">
        <x:f>SUMIFS('350配方'!$M296:$P296,'350配方'!$Y296:$AB296,105)</x:f>
        <x:v>15730</x:v>
      </x:c>
      <x:c r="T296" s="9" t="n">
        <x:f>SUMIFS('350配方'!$M296:$P296,'350配方'!$Y296:$AB296,111)</x:f>
        <x:v>0</x:v>
      </x:c>
      <x:c r="U296" s="9" t="n">
        <x:f>SUMIFS('350配方'!$M296:$P296,'350配方'!$Y296:$AB296,114)</x:f>
        <x:v>0</x:v>
      </x:c>
      <x:c r="V296" s="9" t="n">
        <x:f>SUMIFS('350配方'!$M296:$P296,'350配方'!$Y296:$AB296,115)</x:f>
        <x:v>0</x:v>
      </x:c>
      <x:c r="W296" s="9" t="n">
        <x:f>SUMIFS('350配方'!$M296:$P296,'350配方'!$Y296:$AB296,117)</x:f>
        <x:v>0</x:v>
      </x:c>
      <x:c r="X296" s="9" t="n">
        <x:f>SUMIFS('350配方'!$M296:$P296,'350配方'!$Y296:$AB296,126)</x:f>
        <x:v>0</x:v>
      </x:c>
      <x:c r="Y296" s="9" t="n">
        <x:f>SUMIFS('350配方'!$M296:$P296,'350配方'!$Y296:$AB296,136)</x:f>
        <x:v>0</x:v>
      </x:c>
      <x:c r="Z296" s="9" t="n">
        <x:f>SUMIFS('350配方'!$M296:$P296,'350配方'!$Y296:$AB296,141)</x:f>
        <x:v>0</x:v>
      </x:c>
      <x:c r="AA296" s="9" t="n">
        <x:f>SUMIFS('350配方'!$M296:$P296,'350配方'!$Y296:$AB296,152)</x:f>
        <x:v>0</x:v>
      </x:c>
      <x:c r="AB296" s="9" t="n">
        <x:f>SUMIFS('350配方'!$M296:$P296,'350配方'!$Y296:$AB296,165)</x:f>
        <x:v>0</x:v>
      </x:c>
      <x:c r="AC296" s="9" t="n">
        <x:f>SUMIFS('350配方'!$M296:$P296,'350配方'!$Y296:$AB296,186)</x:f>
        <x:v>4262.731518639193</x:v>
      </x:c>
      <x:c r="AD296" s="9" t="n">
        <x:f>SUMIFS('350配方'!$M296:$P296,'350配方'!$Y296:$AB296,207)</x:f>
        <x:v>0</x:v>
      </x:c>
      <x:c r="AE296" s="9" t="n">
        <x:f>SUMIFS('350配方'!$M296:$P296,'350配方'!$Y296:$AB296,209)</x:f>
        <x:v>0</x:v>
      </x:c>
      <x:c r="AF296" s="9" t="n">
        <x:f>SUMIFS('350配方'!$M296:$P296,'350配方'!$Y296:$AB296,227)</x:f>
        <x:v>0</x:v>
      </x:c>
      <x:c r="AG296" s="9" t="n">
        <x:f>SUMIFS('350配方'!$M296:$P296,'350配方'!$Y296:$AB296,232)</x:f>
        <x:v>0</x:v>
      </x:c>
      <x:c r="AH296" s="9" t="n">
        <x:f>SUMIFS('350配方'!$M296:$P296,'350配方'!$Y296:$AB296,255)</x:f>
        <x:v>0</x:v>
      </x:c>
      <x:c r="AI296" s="9" t="n">
        <x:f>'浓度设置'!S6</x:f>
        <x:v>219125.9626344086</x:v>
      </x:c>
      <x:c r="AJ296" s="9" t="n">
        <x:f>'浓度设置'!S8</x:f>
        <x:v>92796.92267241378</x:v>
      </x:c>
      <x:c r="AK296" s="9" t="n">
        <x:f>'浓度设置'!S10</x:f>
        <x:v>30556.797802197798</x:v>
      </x:c>
      <x:c r="AL296" s="9" t="n">
        <x:f>'浓度设置'!S12</x:f>
        <x:v>1735.828970588235</x:v>
      </x:c>
      <x:c r="AM296" s="9" t="n">
        <x:f>'浓度设置'!S15</x:f>
        <x:v>7385.813644067793</x:v>
      </x:c>
      <x:c r="AN296" s="9" t="n">
        <x:f>'浓度设置'!S19</x:f>
        <x:v>27722.03097701148</x:v>
      </x:c>
      <x:c r="AO296" s="9" t="n">
        <x:f>'浓度设置'!S22</x:f>
        <x:v>44345.55047619048</x:v>
      </x:c>
      <x:c r="AP296" s="9" t="n">
        <x:f>'浓度设置'!S26</x:f>
        <x:v>153318.30499999996</x:v>
      </x:c>
      <x:c r="AQ296" s="9" t="n">
        <x:f>'浓度设置'!S29</x:f>
        <x:v>312.7970588235294</x:v>
      </x:c>
      <x:c r="AR296" s="9" t="n">
        <x:f>'浓度设置'!S30</x:f>
        <x:v>104175.5097553192</x:v>
      </x:c>
      <x:c r="AS296" s="9" t="n">
        <x:f>'浓度设置'!S35</x:f>
        <x:v>405974.90656785714</x:v>
      </x:c>
    </x:row>
    <x:row r="297" ht="24" customHeight="1">
      <x:c r="A297" s="3" t="str">
        <x:f>'350配方'!A297</x:f>
        <x:v>T292</x:v>
      </x:c>
      <x:c r="B297" s="3" t="str">
        <x:f>'350配方'!B297</x:f>
        <x:v>拟合</x:v>
      </x:c>
      <x:c r="C297" s="3" t="n">
        <x:f>IF(B297="拟合",1,0)</x:f>
        <x:v>1</x:v>
      </x:c>
      <x:c r="D297" s="3" t="n">
        <x:f>'350配方'!AC297</x:f>
        <x:v>4</x:v>
      </x:c>
      <x:c r="E297" s="9" t="n">
        <x:f>SUMIFS('350配方'!$M297:$P297,'350配方'!$Y297:$AB297,7)</x:f>
        <x:v>0</x:v>
      </x:c>
      <x:c r="F297" s="9" t="n">
        <x:f>SUMIFS('350配方'!$M297:$P297,'350配方'!$Y297:$AB297,11)</x:f>
        <x:v>0</x:v>
      </x:c>
      <x:c r="G297" s="9" t="n">
        <x:f>SUMIFS('350配方'!$M297:$P297,'350配方'!$Y297:$AB297,18)</x:f>
        <x:v>0</x:v>
      </x:c>
      <x:c r="H297" s="9" t="n">
        <x:f>SUMIFS('350配方'!$M297:$P297,'350配方'!$Y297:$AB297,32)</x:f>
        <x:v>0</x:v>
      </x:c>
      <x:c r="I297" s="9" t="n">
        <x:f>SUMIFS('350配方'!$M297:$P297,'350配方'!$Y297:$AB297,40)</x:f>
        <x:v>0</x:v>
      </x:c>
      <x:c r="J297" s="9" t="n">
        <x:f>SUMIFS('350配方'!$M297:$P297,'350配方'!$Y297:$AB297,52)</x:f>
        <x:v>0</x:v>
      </x:c>
      <x:c r="K297" s="9" t="n">
        <x:f>SUMIFS('350配方'!$M297:$P297,'350配方'!$Y297:$AB297,53)</x:f>
        <x:v>0</x:v>
      </x:c>
      <x:c r="L297" s="9" t="n">
        <x:f>SUMIFS('350配方'!$M297:$P297,'350配方'!$Y297:$AB297,56)</x:f>
        <x:v>0</x:v>
      </x:c>
      <x:c r="M297" s="9" t="n">
        <x:f>SUMIFS('350配方'!$M297:$P297,'350配方'!$Y297:$AB297,58)</x:f>
        <x:v>0</x:v>
      </x:c>
      <x:c r="N297" s="9" t="n">
        <x:f>SUMIFS('350配方'!$M297:$P297,'350配方'!$Y297:$AB297,61)</x:f>
        <x:v>0</x:v>
      </x:c>
      <x:c r="O297" s="9" t="n">
        <x:f>SUMIFS('350配方'!$M297:$P297,'350配方'!$Y297:$AB297,69)</x:f>
        <x:v>0</x:v>
      </x:c>
      <x:c r="P297" s="9" t="n">
        <x:f>SUMIFS('350配方'!$M297:$P297,'350配方'!$Y297:$AB297,75)</x:f>
        <x:v>0</x:v>
      </x:c>
      <x:c r="Q297" s="9" t="n">
        <x:f>SUMIFS('350配方'!$M297:$P297,'350配方'!$Y297:$AB297,79)</x:f>
        <x:v>56115</x:v>
      </x:c>
      <x:c r="R297" s="9" t="n">
        <x:f>SUMIFS('350配方'!$M297:$P297,'350配方'!$Y297:$AB297,90)</x:f>
        <x:v>0</x:v>
      </x:c>
      <x:c r="S297" s="9" t="n">
        <x:f>SUMIFS('350配方'!$M297:$P297,'350配方'!$Y297:$AB297,105)</x:f>
        <x:v>0</x:v>
      </x:c>
      <x:c r="T297" s="9" t="n">
        <x:f>SUMIFS('350配方'!$M297:$P297,'350配方'!$Y297:$AB297,111)</x:f>
        <x:v>0</x:v>
      </x:c>
      <x:c r="U297" s="9" t="n">
        <x:f>SUMIFS('350配方'!$M297:$P297,'350配方'!$Y297:$AB297,114)</x:f>
        <x:v>0</x:v>
      </x:c>
      <x:c r="V297" s="9" t="n">
        <x:f>SUMIFS('350配方'!$M297:$P297,'350配方'!$Y297:$AB297,115)</x:f>
        <x:v>6516</x:v>
      </x:c>
      <x:c r="W297" s="9" t="n">
        <x:f>SUMIFS('350配方'!$M297:$P297,'350配方'!$Y297:$AB297,117)</x:f>
        <x:v>0</x:v>
      </x:c>
      <x:c r="X297" s="9" t="n">
        <x:f>SUMIFS('350配方'!$M297:$P297,'350配方'!$Y297:$AB297,126)</x:f>
        <x:v>1551340.76</x:v>
      </x:c>
      <x:c r="Y297" s="9" t="n">
        <x:f>SUMIFS('350配方'!$M297:$P297,'350配方'!$Y297:$AB297,136)</x:f>
        <x:v>0</x:v>
      </x:c>
      <x:c r="Z297" s="9" t="n">
        <x:f>SUMIFS('350配方'!$M297:$P297,'350配方'!$Y297:$AB297,141)</x:f>
        <x:v>0</x:v>
      </x:c>
      <x:c r="AA297" s="9" t="n">
        <x:f>SUMIFS('350配方'!$M297:$P297,'350配方'!$Y297:$AB297,152)</x:f>
        <x:v>0</x:v>
      </x:c>
      <x:c r="AB297" s="9" t="n">
        <x:f>SUMIFS('350配方'!$M297:$P297,'350配方'!$Y297:$AB297,165)</x:f>
        <x:v>0</x:v>
      </x:c>
      <x:c r="AC297" s="9" t="n">
        <x:f>SUMIFS('350配方'!$M297:$P297,'350配方'!$Y297:$AB297,186)</x:f>
        <x:v>0</x:v>
      </x:c>
      <x:c r="AD297" s="9" t="n">
        <x:f>SUMIFS('350配方'!$M297:$P297,'350配方'!$Y297:$AB297,207)</x:f>
        <x:v>0</x:v>
      </x:c>
      <x:c r="AE297" s="9" t="n">
        <x:f>SUMIFS('350配方'!$M297:$P297,'350配方'!$Y297:$AB297,209)</x:f>
        <x:v>0</x:v>
      </x:c>
      <x:c r="AF297" s="9" t="n">
        <x:f>SUMIFS('350配方'!$M297:$P297,'350配方'!$Y297:$AB297,227)</x:f>
        <x:v>0</x:v>
      </x:c>
      <x:c r="AG297" s="9" t="n">
        <x:f>SUMIFS('350配方'!$M297:$P297,'350配方'!$Y297:$AB297,232)</x:f>
        <x:v>39.53062104242735</x:v>
      </x:c>
      <x:c r="AH297" s="9" t="n">
        <x:f>SUMIFS('350配方'!$M297:$P297,'350配方'!$Y297:$AB297,255)</x:f>
        <x:v>0</x:v>
      </x:c>
      <x:c r="AI297" s="9" t="n">
        <x:f>'浓度设置'!S6</x:f>
        <x:v>219125.9626344086</x:v>
      </x:c>
      <x:c r="AJ297" s="9" t="n">
        <x:f>'浓度设置'!S8</x:f>
        <x:v>92796.92267241378</x:v>
      </x:c>
      <x:c r="AK297" s="9" t="n">
        <x:f>'浓度设置'!S10</x:f>
        <x:v>30556.797802197798</x:v>
      </x:c>
      <x:c r="AL297" s="9" t="n">
        <x:f>'浓度设置'!S12</x:f>
        <x:v>1735.828970588235</x:v>
      </x:c>
      <x:c r="AM297" s="9" t="n">
        <x:f>'浓度设置'!S15</x:f>
        <x:v>7385.813644067793</x:v>
      </x:c>
      <x:c r="AN297" s="9" t="n">
        <x:f>'浓度设置'!S19</x:f>
        <x:v>27722.03097701148</x:v>
      </x:c>
      <x:c r="AO297" s="9" t="n">
        <x:f>'浓度设置'!S22</x:f>
        <x:v>44345.55047619048</x:v>
      </x:c>
      <x:c r="AP297" s="9" t="n">
        <x:f>'浓度设置'!S26</x:f>
        <x:v>153318.30499999996</x:v>
      </x:c>
      <x:c r="AQ297" s="9" t="n">
        <x:f>'浓度设置'!S29</x:f>
        <x:v>312.7970588235294</x:v>
      </x:c>
      <x:c r="AR297" s="9" t="n">
        <x:f>'浓度设置'!S30</x:f>
        <x:v>104175.5097553192</x:v>
      </x:c>
      <x:c r="AS297" s="9" t="n">
        <x:f>'浓度设置'!S35</x:f>
        <x:v>405974.90656785714</x:v>
      </x:c>
    </x:row>
    <x:row r="298" ht="24" customHeight="1">
      <x:c r="A298" s="3" t="str">
        <x:f>'350配方'!A298</x:f>
        <x:v>T293</x:v>
      </x:c>
      <x:c r="B298" s="3" t="str">
        <x:f>'350配方'!B298</x:f>
        <x:v>拟合</x:v>
      </x:c>
      <x:c r="C298" s="3" t="n">
        <x:f>IF(B298="拟合",1,0)</x:f>
        <x:v>1</x:v>
      </x:c>
      <x:c r="D298" s="3" t="n">
        <x:f>'350配方'!AC298</x:f>
        <x:v>4</x:v>
      </x:c>
      <x:c r="E298" s="9" t="n">
        <x:f>SUMIFS('350配方'!$M298:$P298,'350配方'!$Y298:$AB298,7)</x:f>
        <x:v>0</x:v>
      </x:c>
      <x:c r="F298" s="9" t="n">
        <x:f>SUMIFS('350配方'!$M298:$P298,'350配方'!$Y298:$AB298,11)</x:f>
        <x:v>4198.825192836682</x:v>
      </x:c>
      <x:c r="G298" s="9" t="n">
        <x:f>SUMIFS('350配方'!$M298:$P298,'350配方'!$Y298:$AB298,18)</x:f>
        <x:v>0</x:v>
      </x:c>
      <x:c r="H298" s="9" t="n">
        <x:f>SUMIFS('350配方'!$M298:$P298,'350配方'!$Y298:$AB298,32)</x:f>
        <x:v>0</x:v>
      </x:c>
      <x:c r="I298" s="9" t="n">
        <x:f>SUMIFS('350配方'!$M298:$P298,'350配方'!$Y298:$AB298,40)</x:f>
        <x:v>0</x:v>
      </x:c>
      <x:c r="J298" s="9" t="n">
        <x:f>SUMIFS('350配方'!$M298:$P298,'350配方'!$Y298:$AB298,52)</x:f>
        <x:v>0</x:v>
      </x:c>
      <x:c r="K298" s="9" t="n">
        <x:f>SUMIFS('350配方'!$M298:$P298,'350配方'!$Y298:$AB298,53)</x:f>
        <x:v>0</x:v>
      </x:c>
      <x:c r="L298" s="9" t="n">
        <x:f>SUMIFS('350配方'!$M298:$P298,'350配方'!$Y298:$AB298,56)</x:f>
        <x:v>0</x:v>
      </x:c>
      <x:c r="M298" s="9" t="n">
        <x:f>SUMIFS('350配方'!$M298:$P298,'350配方'!$Y298:$AB298,58)</x:f>
        <x:v>0</x:v>
      </x:c>
      <x:c r="N298" s="9" t="n">
        <x:f>SUMIFS('350配方'!$M298:$P298,'350配方'!$Y298:$AB298,61)</x:f>
        <x:v>0</x:v>
      </x:c>
      <x:c r="O298" s="9" t="n">
        <x:f>SUMIFS('350配方'!$M298:$P298,'350配方'!$Y298:$AB298,69)</x:f>
        <x:v>0</x:v>
      </x:c>
      <x:c r="P298" s="9" t="n">
        <x:f>SUMIFS('350配方'!$M298:$P298,'350配方'!$Y298:$AB298,75)</x:f>
        <x:v>0</x:v>
      </x:c>
      <x:c r="Q298" s="9" t="n">
        <x:f>SUMIFS('350配方'!$M298:$P298,'350配方'!$Y298:$AB298,79)</x:f>
        <x:v>0</x:v>
      </x:c>
      <x:c r="R298" s="9" t="n">
        <x:f>SUMIFS('350配方'!$M298:$P298,'350配方'!$Y298:$AB298,90)</x:f>
        <x:v>0</x:v>
      </x:c>
      <x:c r="S298" s="9" t="n">
        <x:f>SUMIFS('350配方'!$M298:$P298,'350配方'!$Y298:$AB298,105)</x:f>
        <x:v>0</x:v>
      </x:c>
      <x:c r="T298" s="9" t="n">
        <x:f>SUMIFS('350配方'!$M298:$P298,'350配方'!$Y298:$AB298,111)</x:f>
        <x:v>0</x:v>
      </x:c>
      <x:c r="U298" s="9" t="n">
        <x:f>SUMIFS('350配方'!$M298:$P298,'350配方'!$Y298:$AB298,114)</x:f>
        <x:v>0</x:v>
      </x:c>
      <x:c r="V298" s="9" t="n">
        <x:f>SUMIFS('350配方'!$M298:$P298,'350配方'!$Y298:$AB298,115)</x:f>
        <x:v>0</x:v>
      </x:c>
      <x:c r="W298" s="9" t="n">
        <x:f>SUMIFS('350配方'!$M298:$P298,'350配方'!$Y298:$AB298,117)</x:f>
        <x:v>0</x:v>
      </x:c>
      <x:c r="X298" s="9" t="n">
        <x:f>SUMIFS('350配方'!$M298:$P298,'350配方'!$Y298:$AB298,126)</x:f>
        <x:v>0</x:v>
      </x:c>
      <x:c r="Y298" s="9" t="n">
        <x:f>SUMIFS('350配方'!$M298:$P298,'350配方'!$Y298:$AB298,136)</x:f>
        <x:v>44000</x:v>
      </x:c>
      <x:c r="Z298" s="9" t="n">
        <x:f>SUMIFS('350配方'!$M298:$P298,'350配方'!$Y298:$AB298,141)</x:f>
        <x:v>0</x:v>
      </x:c>
      <x:c r="AA298" s="9" t="n">
        <x:f>SUMIFS('350配方'!$M298:$P298,'350配方'!$Y298:$AB298,152)</x:f>
        <x:v>0</x:v>
      </x:c>
      <x:c r="AB298" s="9" t="n">
        <x:f>SUMIFS('350配方'!$M298:$P298,'350配方'!$Y298:$AB298,165)</x:f>
        <x:v>0</x:v>
      </x:c>
      <x:c r="AC298" s="9" t="n">
        <x:f>SUMIFS('350配方'!$M298:$P298,'350配方'!$Y298:$AB298,186)</x:f>
        <x:v>1.56</x:v>
      </x:c>
      <x:c r="AD298" s="9" t="n">
        <x:f>SUMIFS('350配方'!$M298:$P298,'350配方'!$Y298:$AB298,207)</x:f>
        <x:v>0</x:v>
      </x:c>
      <x:c r="AE298" s="9" t="n">
        <x:f>SUMIFS('350配方'!$M298:$P298,'350配方'!$Y298:$AB298,209)</x:f>
        <x:v>0</x:v>
      </x:c>
      <x:c r="AF298" s="9" t="n">
        <x:f>SUMIFS('350配方'!$M298:$P298,'350配方'!$Y298:$AB298,227)</x:f>
        <x:v>0</x:v>
      </x:c>
      <x:c r="AG298" s="9" t="n">
        <x:f>SUMIFS('350配方'!$M298:$P298,'350配方'!$Y298:$AB298,232)</x:f>
        <x:v>0</x:v>
      </x:c>
      <x:c r="AH298" s="9" t="n">
        <x:f>SUMIFS('350配方'!$M298:$P298,'350配方'!$Y298:$AB298,255)</x:f>
        <x:v>60.76</x:v>
      </x:c>
      <x:c r="AI298" s="9" t="n">
        <x:f>'浓度设置'!S6</x:f>
        <x:v>219125.9626344086</x:v>
      </x:c>
      <x:c r="AJ298" s="9" t="n">
        <x:f>'浓度设置'!S8</x:f>
        <x:v>92796.92267241378</x:v>
      </x:c>
      <x:c r="AK298" s="9" t="n">
        <x:f>'浓度设置'!S10</x:f>
        <x:v>30556.797802197798</x:v>
      </x:c>
      <x:c r="AL298" s="9" t="n">
        <x:f>'浓度设置'!S12</x:f>
        <x:v>1735.828970588235</x:v>
      </x:c>
      <x:c r="AM298" s="9" t="n">
        <x:f>'浓度设置'!S15</x:f>
        <x:v>7385.813644067793</x:v>
      </x:c>
      <x:c r="AN298" s="9" t="n">
        <x:f>'浓度设置'!S19</x:f>
        <x:v>27722.03097701148</x:v>
      </x:c>
      <x:c r="AO298" s="9" t="n">
        <x:f>'浓度设置'!S22</x:f>
        <x:v>44345.55047619048</x:v>
      </x:c>
      <x:c r="AP298" s="9" t="n">
        <x:f>'浓度设置'!S26</x:f>
        <x:v>153318.30499999996</x:v>
      </x:c>
      <x:c r="AQ298" s="9" t="n">
        <x:f>'浓度设置'!S29</x:f>
        <x:v>312.7970588235294</x:v>
      </x:c>
      <x:c r="AR298" s="9" t="n">
        <x:f>'浓度设置'!S30</x:f>
        <x:v>104175.5097553192</x:v>
      </x:c>
      <x:c r="AS298" s="9" t="n">
        <x:f>'浓度设置'!S35</x:f>
        <x:v>405974.90656785714</x:v>
      </x:c>
    </x:row>
    <x:row r="299" ht="24" customHeight="1">
      <x:c r="A299" s="3" t="str">
        <x:f>'350配方'!A299</x:f>
        <x:v>T294</x:v>
      </x:c>
      <x:c r="B299" s="3" t="str">
        <x:f>'350配方'!B299</x:f>
        <x:v>拟合</x:v>
      </x:c>
      <x:c r="C299" s="3" t="n">
        <x:f>IF(B299="拟合",1,0)</x:f>
        <x:v>1</x:v>
      </x:c>
      <x:c r="D299" s="3" t="n">
        <x:f>'350配方'!AC299</x:f>
        <x:v>4</x:v>
      </x:c>
      <x:c r="E299" s="9" t="n">
        <x:f>SUMIFS('350配方'!$M299:$P299,'350配方'!$Y299:$AB299,7)</x:f>
        <x:v>3075.94</x:v>
      </x:c>
      <x:c r="F299" s="9" t="n">
        <x:f>SUMIFS('350配方'!$M299:$P299,'350配方'!$Y299:$AB299,11)</x:f>
        <x:v>0</x:v>
      </x:c>
      <x:c r="G299" s="9" t="n">
        <x:f>SUMIFS('350配方'!$M299:$P299,'350配方'!$Y299:$AB299,18)</x:f>
        <x:v>0</x:v>
      </x:c>
      <x:c r="H299" s="9" t="n">
        <x:f>SUMIFS('350配方'!$M299:$P299,'350配方'!$Y299:$AB299,32)</x:f>
        <x:v>0</x:v>
      </x:c>
      <x:c r="I299" s="9" t="n">
        <x:f>SUMIFS('350配方'!$M299:$P299,'350配方'!$Y299:$AB299,40)</x:f>
        <x:v>0</x:v>
      </x:c>
      <x:c r="J299" s="9" t="n">
        <x:f>SUMIFS('350配方'!$M299:$P299,'350配方'!$Y299:$AB299,52)</x:f>
        <x:v>0</x:v>
      </x:c>
      <x:c r="K299" s="9" t="n">
        <x:f>SUMIFS('350配方'!$M299:$P299,'350配方'!$Y299:$AB299,53)</x:f>
        <x:v>0</x:v>
      </x:c>
      <x:c r="L299" s="9" t="n">
        <x:f>SUMIFS('350配方'!$M299:$P299,'350配方'!$Y299:$AB299,56)</x:f>
        <x:v>0</x:v>
      </x:c>
      <x:c r="M299" s="9" t="n">
        <x:f>SUMIFS('350配方'!$M299:$P299,'350配方'!$Y299:$AB299,58)</x:f>
        <x:v>0</x:v>
      </x:c>
      <x:c r="N299" s="9" t="n">
        <x:f>SUMIFS('350配方'!$M299:$P299,'350配方'!$Y299:$AB299,61)</x:f>
        <x:v>0</x:v>
      </x:c>
      <x:c r="O299" s="9" t="n">
        <x:f>SUMIFS('350配方'!$M299:$P299,'350配方'!$Y299:$AB299,69)</x:f>
        <x:v>12022.2</x:v>
      </x:c>
      <x:c r="P299" s="9" t="n">
        <x:f>SUMIFS('350配方'!$M299:$P299,'350配方'!$Y299:$AB299,75)</x:f>
        <x:v>0</x:v>
      </x:c>
      <x:c r="Q299" s="9" t="n">
        <x:f>SUMIFS('350配方'!$M299:$P299,'350配方'!$Y299:$AB299,79)</x:f>
        <x:v>56115</x:v>
      </x:c>
      <x:c r="R299" s="9" t="n">
        <x:f>SUMIFS('350配方'!$M299:$P299,'350配方'!$Y299:$AB299,90)</x:f>
        <x:v>0</x:v>
      </x:c>
      <x:c r="S299" s="9" t="n">
        <x:f>SUMIFS('350配方'!$M299:$P299,'350配方'!$Y299:$AB299,105)</x:f>
        <x:v>0</x:v>
      </x:c>
      <x:c r="T299" s="9" t="n">
        <x:f>SUMIFS('350配方'!$M299:$P299,'350配方'!$Y299:$AB299,111)</x:f>
        <x:v>0</x:v>
      </x:c>
      <x:c r="U299" s="9" t="n">
        <x:f>SUMIFS('350配方'!$M299:$P299,'350配方'!$Y299:$AB299,114)</x:f>
        <x:v>0</x:v>
      </x:c>
      <x:c r="V299" s="9" t="n">
        <x:f>SUMIFS('350配方'!$M299:$P299,'350配方'!$Y299:$AB299,115)</x:f>
        <x:v>0</x:v>
      </x:c>
      <x:c r="W299" s="9" t="n">
        <x:f>SUMIFS('350配方'!$M299:$P299,'350配方'!$Y299:$AB299,117)</x:f>
        <x:v>0</x:v>
      </x:c>
      <x:c r="X299" s="9" t="n">
        <x:f>SUMIFS('350配方'!$M299:$P299,'350配方'!$Y299:$AB299,126)</x:f>
        <x:v>0</x:v>
      </x:c>
      <x:c r="Y299" s="9" t="n">
        <x:f>SUMIFS('350配方'!$M299:$P299,'350配方'!$Y299:$AB299,136)</x:f>
        <x:v>0</x:v>
      </x:c>
      <x:c r="Z299" s="9" t="n">
        <x:f>SUMIFS('350配方'!$M299:$P299,'350配方'!$Y299:$AB299,141)</x:f>
        <x:v>0</x:v>
      </x:c>
      <x:c r="AA299" s="9" t="n">
        <x:f>SUMIFS('350配方'!$M299:$P299,'350配方'!$Y299:$AB299,152)</x:f>
        <x:v>0</x:v>
      </x:c>
      <x:c r="AB299" s="9" t="n">
        <x:f>SUMIFS('350配方'!$M299:$P299,'350配方'!$Y299:$AB299,165)</x:f>
        <x:v>0</x:v>
      </x:c>
      <x:c r="AC299" s="9" t="n">
        <x:f>SUMIFS('350配方'!$M299:$P299,'350配方'!$Y299:$AB299,186)</x:f>
        <x:v>0</x:v>
      </x:c>
      <x:c r="AD299" s="9" t="n">
        <x:f>SUMIFS('350配方'!$M299:$P299,'350配方'!$Y299:$AB299,207)</x:f>
        <x:v>0</x:v>
      </x:c>
      <x:c r="AE299" s="9" t="n">
        <x:f>SUMIFS('350配方'!$M299:$P299,'350配方'!$Y299:$AB299,209)</x:f>
        <x:v>34.2987346705385</x:v>
      </x:c>
      <x:c r="AF299" s="9" t="n">
        <x:f>SUMIFS('350配方'!$M299:$P299,'350配方'!$Y299:$AB299,227)</x:f>
        <x:v>0</x:v>
      </x:c>
      <x:c r="AG299" s="9" t="n">
        <x:f>SUMIFS('350配方'!$M299:$P299,'350配方'!$Y299:$AB299,232)</x:f>
        <x:v>0</x:v>
      </x:c>
      <x:c r="AH299" s="9" t="n">
        <x:f>SUMIFS('350配方'!$M299:$P299,'350配方'!$Y299:$AB299,255)</x:f>
        <x:v>0</x:v>
      </x:c>
      <x:c r="AI299" s="9" t="n">
        <x:f>'浓度设置'!S6</x:f>
        <x:v>219125.9626344086</x:v>
      </x:c>
      <x:c r="AJ299" s="9" t="n">
        <x:f>'浓度设置'!S8</x:f>
        <x:v>92796.92267241378</x:v>
      </x:c>
      <x:c r="AK299" s="9" t="n">
        <x:f>'浓度设置'!S10</x:f>
        <x:v>30556.797802197798</x:v>
      </x:c>
      <x:c r="AL299" s="9" t="n">
        <x:f>'浓度设置'!S12</x:f>
        <x:v>1735.828970588235</x:v>
      </x:c>
      <x:c r="AM299" s="9" t="n">
        <x:f>'浓度设置'!S15</x:f>
        <x:v>7385.813644067793</x:v>
      </x:c>
      <x:c r="AN299" s="9" t="n">
        <x:f>'浓度设置'!S19</x:f>
        <x:v>27722.03097701148</x:v>
      </x:c>
      <x:c r="AO299" s="9" t="n">
        <x:f>'浓度设置'!S22</x:f>
        <x:v>44345.55047619048</x:v>
      </x:c>
      <x:c r="AP299" s="9" t="n">
        <x:f>'浓度设置'!S26</x:f>
        <x:v>153318.30499999996</x:v>
      </x:c>
      <x:c r="AQ299" s="9" t="n">
        <x:f>'浓度设置'!S29</x:f>
        <x:v>312.7970588235294</x:v>
      </x:c>
      <x:c r="AR299" s="9" t="n">
        <x:f>'浓度设置'!S30</x:f>
        <x:v>104175.5097553192</x:v>
      </x:c>
      <x:c r="AS299" s="9" t="n">
        <x:f>'浓度设置'!S35</x:f>
        <x:v>405974.90656785714</x:v>
      </x:c>
    </x:row>
    <x:row r="300" ht="24" customHeight="1">
      <x:c r="A300" s="3" t="str">
        <x:f>'350配方'!A300</x:f>
        <x:v>T295</x:v>
      </x:c>
      <x:c r="B300" s="3" t="str">
        <x:f>'350配方'!B300</x:f>
        <x:v>拟合</x:v>
      </x:c>
      <x:c r="C300" s="3" t="n">
        <x:f>IF(B300="拟合",1,0)</x:f>
        <x:v>1</x:v>
      </x:c>
      <x:c r="D300" s="3" t="n">
        <x:f>'350配方'!AC300</x:f>
        <x:v>4</x:v>
      </x:c>
      <x:c r="E300" s="9" t="n">
        <x:f>SUMIFS('350配方'!$M300:$P300,'350配方'!$Y300:$AB300,7)</x:f>
        <x:v>0</x:v>
      </x:c>
      <x:c r="F300" s="9" t="n">
        <x:f>SUMIFS('350配方'!$M300:$P300,'350配方'!$Y300:$AB300,11)</x:f>
        <x:v>0</x:v>
      </x:c>
      <x:c r="G300" s="9" t="n">
        <x:f>SUMIFS('350配方'!$M300:$P300,'350配方'!$Y300:$AB300,18)</x:f>
        <x:v>0</x:v>
      </x:c>
      <x:c r="H300" s="9" t="n">
        <x:f>SUMIFS('350配方'!$M300:$P300,'350配方'!$Y300:$AB300,32)</x:f>
        <x:v>18.68</x:v>
      </x:c>
      <x:c r="I300" s="9" t="n">
        <x:f>SUMIFS('350配方'!$M300:$P300,'350配方'!$Y300:$AB300,40)</x:f>
        <x:v>0</x:v>
      </x:c>
      <x:c r="J300" s="9" t="n">
        <x:f>SUMIFS('350配方'!$M300:$P300,'350配方'!$Y300:$AB300,52)</x:f>
        <x:v>0</x:v>
      </x:c>
      <x:c r="K300" s="9" t="n">
        <x:f>SUMIFS('350配方'!$M300:$P300,'350配方'!$Y300:$AB300,53)</x:f>
        <x:v>9.61</x:v>
      </x:c>
      <x:c r="L300" s="9" t="n">
        <x:f>SUMIFS('350配方'!$M300:$P300,'350配方'!$Y300:$AB300,56)</x:f>
        <x:v>0</x:v>
      </x:c>
      <x:c r="M300" s="9" t="n">
        <x:f>SUMIFS('350配方'!$M300:$P300,'350配方'!$Y300:$AB300,58)</x:f>
        <x:v>0</x:v>
      </x:c>
      <x:c r="N300" s="9" t="n">
        <x:f>SUMIFS('350配方'!$M300:$P300,'350配方'!$Y300:$AB300,61)</x:f>
        <x:v>59.381310191002015</x:v>
      </x:c>
      <x:c r="O300" s="9" t="n">
        <x:f>SUMIFS('350配方'!$M300:$P300,'350配方'!$Y300:$AB300,69)</x:f>
        <x:v>0</x:v>
      </x:c>
      <x:c r="P300" s="9" t="n">
        <x:f>SUMIFS('350配方'!$M300:$P300,'350配方'!$Y300:$AB300,75)</x:f>
        <x:v>0</x:v>
      </x:c>
      <x:c r="Q300" s="9" t="n">
        <x:f>SUMIFS('350配方'!$M300:$P300,'350配方'!$Y300:$AB300,79)</x:f>
        <x:v>0</x:v>
      </x:c>
      <x:c r="R300" s="9" t="n">
        <x:f>SUMIFS('350配方'!$M300:$P300,'350配方'!$Y300:$AB300,90)</x:f>
        <x:v>0</x:v>
      </x:c>
      <x:c r="S300" s="9" t="n">
        <x:f>SUMIFS('350配方'!$M300:$P300,'350配方'!$Y300:$AB300,105)</x:f>
        <x:v>0</x:v>
      </x:c>
      <x:c r="T300" s="9" t="n">
        <x:f>SUMIFS('350配方'!$M300:$P300,'350配方'!$Y300:$AB300,111)</x:f>
        <x:v>0</x:v>
      </x:c>
      <x:c r="U300" s="9" t="n">
        <x:f>SUMIFS('350配方'!$M300:$P300,'350配方'!$Y300:$AB300,114)</x:f>
        <x:v>0</x:v>
      </x:c>
      <x:c r="V300" s="9" t="n">
        <x:f>SUMIFS('350配方'!$M300:$P300,'350配方'!$Y300:$AB300,115)</x:f>
        <x:v>0</x:v>
      </x:c>
      <x:c r="W300" s="9" t="n">
        <x:f>SUMIFS('350配方'!$M300:$P300,'350配方'!$Y300:$AB300,117)</x:f>
        <x:v>0</x:v>
      </x:c>
      <x:c r="X300" s="9" t="n">
        <x:f>SUMIFS('350配方'!$M300:$P300,'350配方'!$Y300:$AB300,126)</x:f>
        <x:v>0</x:v>
      </x:c>
      <x:c r="Y300" s="9" t="n">
        <x:f>SUMIFS('350配方'!$M300:$P300,'350配方'!$Y300:$AB300,136)</x:f>
        <x:v>0</x:v>
      </x:c>
      <x:c r="Z300" s="9" t="n">
        <x:f>SUMIFS('350配方'!$M300:$P300,'350配方'!$Y300:$AB300,141)</x:f>
        <x:v>0</x:v>
      </x:c>
      <x:c r="AA300" s="9" t="n">
        <x:f>SUMIFS('350配方'!$M300:$P300,'350配方'!$Y300:$AB300,152)</x:f>
        <x:v>227200</x:v>
      </x:c>
      <x:c r="AB300" s="9" t="n">
        <x:f>SUMIFS('350配方'!$M300:$P300,'350配方'!$Y300:$AB300,165)</x:f>
        <x:v>0</x:v>
      </x:c>
      <x:c r="AC300" s="9" t="n">
        <x:f>SUMIFS('350配方'!$M300:$P300,'350配方'!$Y300:$AB300,186)</x:f>
        <x:v>0</x:v>
      </x:c>
      <x:c r="AD300" s="9" t="n">
        <x:f>SUMIFS('350配方'!$M300:$P300,'350配方'!$Y300:$AB300,207)</x:f>
        <x:v>0</x:v>
      </x:c>
      <x:c r="AE300" s="9" t="n">
        <x:f>SUMIFS('350配方'!$M300:$P300,'350配方'!$Y300:$AB300,209)</x:f>
        <x:v>0</x:v>
      </x:c>
      <x:c r="AF300" s="9" t="n">
        <x:f>SUMIFS('350配方'!$M300:$P300,'350配方'!$Y300:$AB300,227)</x:f>
        <x:v>0</x:v>
      </x:c>
      <x:c r="AG300" s="9" t="n">
        <x:f>SUMIFS('350配方'!$M300:$P300,'350配方'!$Y300:$AB300,232)</x:f>
        <x:v>0</x:v>
      </x:c>
      <x:c r="AH300" s="9" t="n">
        <x:f>SUMIFS('350配方'!$M300:$P300,'350配方'!$Y300:$AB300,255)</x:f>
        <x:v>0</x:v>
      </x:c>
      <x:c r="AI300" s="9" t="n">
        <x:f>'浓度设置'!S6</x:f>
        <x:v>219125.9626344086</x:v>
      </x:c>
      <x:c r="AJ300" s="9" t="n">
        <x:f>'浓度设置'!S8</x:f>
        <x:v>92796.92267241378</x:v>
      </x:c>
      <x:c r="AK300" s="9" t="n">
        <x:f>'浓度设置'!S10</x:f>
        <x:v>30556.797802197798</x:v>
      </x:c>
      <x:c r="AL300" s="9" t="n">
        <x:f>'浓度设置'!S12</x:f>
        <x:v>1735.828970588235</x:v>
      </x:c>
      <x:c r="AM300" s="9" t="n">
        <x:f>'浓度设置'!S15</x:f>
        <x:v>7385.813644067793</x:v>
      </x:c>
      <x:c r="AN300" s="9" t="n">
        <x:f>'浓度设置'!S19</x:f>
        <x:v>27722.03097701148</x:v>
      </x:c>
      <x:c r="AO300" s="9" t="n">
        <x:f>'浓度设置'!S22</x:f>
        <x:v>44345.55047619048</x:v>
      </x:c>
      <x:c r="AP300" s="9" t="n">
        <x:f>'浓度设置'!S26</x:f>
        <x:v>153318.30499999996</x:v>
      </x:c>
      <x:c r="AQ300" s="9" t="n">
        <x:f>'浓度设置'!S29</x:f>
        <x:v>312.7970588235294</x:v>
      </x:c>
      <x:c r="AR300" s="9" t="n">
        <x:f>'浓度设置'!S30</x:f>
        <x:v>104175.5097553192</x:v>
      </x:c>
      <x:c r="AS300" s="9" t="n">
        <x:f>'浓度设置'!S35</x:f>
        <x:v>405974.90656785714</x:v>
      </x:c>
    </x:row>
    <x:row r="301" ht="24" customHeight="1">
      <x:c r="A301" s="3" t="str">
        <x:f>'350配方'!A301</x:f>
        <x:v>T296</x:v>
      </x:c>
      <x:c r="B301" s="3" t="str">
        <x:f>'350配方'!B301</x:f>
        <x:v>拟合</x:v>
      </x:c>
      <x:c r="C301" s="3" t="n">
        <x:f>IF(B301="拟合",1,0)</x:f>
        <x:v>1</x:v>
      </x:c>
      <x:c r="D301" s="3" t="n">
        <x:f>'350配方'!AC301</x:f>
        <x:v>4</x:v>
      </x:c>
      <x:c r="E301" s="9" t="n">
        <x:f>SUMIFS('350配方'!$M301:$P301,'350配方'!$Y301:$AB301,7)</x:f>
        <x:v>0</x:v>
      </x:c>
      <x:c r="F301" s="9" t="n">
        <x:f>SUMIFS('350配方'!$M301:$P301,'350配方'!$Y301:$AB301,11)</x:f>
        <x:v>0</x:v>
      </x:c>
      <x:c r="G301" s="9" t="n">
        <x:f>SUMIFS('350配方'!$M301:$P301,'350配方'!$Y301:$AB301,18)</x:f>
        <x:v>39</x:v>
      </x:c>
      <x:c r="H301" s="9" t="n">
        <x:f>SUMIFS('350配方'!$M301:$P301,'350配方'!$Y301:$AB301,32)</x:f>
        <x:v>0</x:v>
      </x:c>
      <x:c r="I301" s="9" t="n">
        <x:f>SUMIFS('350配方'!$M301:$P301,'350配方'!$Y301:$AB301,40)</x:f>
        <x:v>0</x:v>
      </x:c>
      <x:c r="J301" s="9" t="n">
        <x:f>SUMIFS('350配方'!$M301:$P301,'350配方'!$Y301:$AB301,52)</x:f>
        <x:v>4.24</x:v>
      </x:c>
      <x:c r="K301" s="9" t="n">
        <x:f>SUMIFS('350配方'!$M301:$P301,'350配方'!$Y301:$AB301,53)</x:f>
        <x:v>0</x:v>
      </x:c>
      <x:c r="L301" s="9" t="n">
        <x:f>SUMIFS('350配方'!$M301:$P301,'350配方'!$Y301:$AB301,56)</x:f>
        <x:v>0</x:v>
      </x:c>
      <x:c r="M301" s="9" t="n">
        <x:f>SUMIFS('350配方'!$M301:$P301,'350配方'!$Y301:$AB301,58)</x:f>
        <x:v>0</x:v>
      </x:c>
      <x:c r="N301" s="9" t="n">
        <x:f>SUMIFS('350配方'!$M301:$P301,'350配方'!$Y301:$AB301,61)</x:f>
        <x:v>0</x:v>
      </x:c>
      <x:c r="O301" s="9" t="n">
        <x:f>SUMIFS('350配方'!$M301:$P301,'350配方'!$Y301:$AB301,69)</x:f>
        <x:v>0</x:v>
      </x:c>
      <x:c r="P301" s="9" t="n">
        <x:f>SUMIFS('350配方'!$M301:$P301,'350配方'!$Y301:$AB301,75)</x:f>
        <x:v>0</x:v>
      </x:c>
      <x:c r="Q301" s="9" t="n">
        <x:f>SUMIFS('350配方'!$M301:$P301,'350配方'!$Y301:$AB301,79)</x:f>
        <x:v>0</x:v>
      </x:c>
      <x:c r="R301" s="9" t="n">
        <x:f>SUMIFS('350配方'!$M301:$P301,'350配方'!$Y301:$AB301,90)</x:f>
        <x:v>0</x:v>
      </x:c>
      <x:c r="S301" s="9" t="n">
        <x:f>SUMIFS('350配方'!$M301:$P301,'350配方'!$Y301:$AB301,105)</x:f>
        <x:v>0</x:v>
      </x:c>
      <x:c r="T301" s="9" t="n">
        <x:f>SUMIFS('350配方'!$M301:$P301,'350配方'!$Y301:$AB301,111)</x:f>
        <x:v>0</x:v>
      </x:c>
      <x:c r="U301" s="9" t="n">
        <x:f>SUMIFS('350配方'!$M301:$P301,'350配方'!$Y301:$AB301,114)</x:f>
        <x:v>0</x:v>
      </x:c>
      <x:c r="V301" s="9" t="n">
        <x:f>SUMIFS('350配方'!$M301:$P301,'350配方'!$Y301:$AB301,115)</x:f>
        <x:v>0</x:v>
      </x:c>
      <x:c r="W301" s="9" t="n">
        <x:f>SUMIFS('350配方'!$M301:$P301,'350配方'!$Y301:$AB301,117)</x:f>
        <x:v>0</x:v>
      </x:c>
      <x:c r="X301" s="9" t="n">
        <x:f>SUMIFS('350配方'!$M301:$P301,'350配方'!$Y301:$AB301,126)</x:f>
        <x:v>0</x:v>
      </x:c>
      <x:c r="Y301" s="9" t="n">
        <x:f>SUMIFS('350配方'!$M301:$P301,'350配方'!$Y301:$AB301,136)</x:f>
        <x:v>0</x:v>
      </x:c>
      <x:c r="Z301" s="9" t="n">
        <x:f>SUMIFS('350配方'!$M301:$P301,'350配方'!$Y301:$AB301,141)</x:f>
        <x:v>2.2</x:v>
      </x:c>
      <x:c r="AA301" s="9" t="n">
        <x:f>SUMIFS('350配方'!$M301:$P301,'350配方'!$Y301:$AB301,152)</x:f>
        <x:v>0</x:v>
      </x:c>
      <x:c r="AB301" s="9" t="n">
        <x:f>SUMIFS('350配方'!$M301:$P301,'350配方'!$Y301:$AB301,165)</x:f>
        <x:v>0</x:v>
      </x:c>
      <x:c r="AC301" s="9" t="n">
        <x:f>SUMIFS('350配方'!$M301:$P301,'350配方'!$Y301:$AB301,186)</x:f>
        <x:v>0</x:v>
      </x:c>
      <x:c r="AD301" s="9" t="n">
        <x:f>SUMIFS('350配方'!$M301:$P301,'350配方'!$Y301:$AB301,207)</x:f>
        <x:v>271.45</x:v>
      </x:c>
      <x:c r="AE301" s="9" t="n">
        <x:f>SUMIFS('350配方'!$M301:$P301,'350配方'!$Y301:$AB301,209)</x:f>
        <x:v>0</x:v>
      </x:c>
      <x:c r="AF301" s="9" t="n">
        <x:f>SUMIFS('350配方'!$M301:$P301,'350配方'!$Y301:$AB301,227)</x:f>
        <x:v>0</x:v>
      </x:c>
      <x:c r="AG301" s="9" t="n">
        <x:f>SUMIFS('350配方'!$M301:$P301,'350配方'!$Y301:$AB301,232)</x:f>
        <x:v>0</x:v>
      </x:c>
      <x:c r="AH301" s="9" t="n">
        <x:f>SUMIFS('350配方'!$M301:$P301,'350配方'!$Y301:$AB301,255)</x:f>
        <x:v>0</x:v>
      </x:c>
      <x:c r="AI301" s="9" t="n">
        <x:f>'浓度设置'!S6</x:f>
        <x:v>219125.9626344086</x:v>
      </x:c>
      <x:c r="AJ301" s="9" t="n">
        <x:f>'浓度设置'!S8</x:f>
        <x:v>92796.92267241378</x:v>
      </x:c>
      <x:c r="AK301" s="9" t="n">
        <x:f>'浓度设置'!S10</x:f>
        <x:v>30556.797802197798</x:v>
      </x:c>
      <x:c r="AL301" s="9" t="n">
        <x:f>'浓度设置'!S12</x:f>
        <x:v>1735.828970588235</x:v>
      </x:c>
      <x:c r="AM301" s="9" t="n">
        <x:f>'浓度设置'!S15</x:f>
        <x:v>7385.813644067793</x:v>
      </x:c>
      <x:c r="AN301" s="9" t="n">
        <x:f>'浓度设置'!S19</x:f>
        <x:v>27722.03097701148</x:v>
      </x:c>
      <x:c r="AO301" s="9" t="n">
        <x:f>'浓度设置'!S22</x:f>
        <x:v>44345.55047619048</x:v>
      </x:c>
      <x:c r="AP301" s="9" t="n">
        <x:f>'浓度设置'!S26</x:f>
        <x:v>153318.30499999996</x:v>
      </x:c>
      <x:c r="AQ301" s="9" t="n">
        <x:f>'浓度设置'!S29</x:f>
        <x:v>312.7970588235294</x:v>
      </x:c>
      <x:c r="AR301" s="9" t="n">
        <x:f>'浓度设置'!S30</x:f>
        <x:v>104175.5097553192</x:v>
      </x:c>
      <x:c r="AS301" s="9" t="n">
        <x:f>'浓度设置'!S35</x:f>
        <x:v>405974.90656785714</x:v>
      </x:c>
    </x:row>
    <x:row r="302" ht="24" customHeight="1">
      <x:c r="A302" s="3" t="str">
        <x:f>'350配方'!A302</x:f>
        <x:v>T297</x:v>
      </x:c>
      <x:c r="B302" s="3" t="str">
        <x:f>'350配方'!B302</x:f>
        <x:v>拟合</x:v>
      </x:c>
      <x:c r="C302" s="3" t="n">
        <x:f>IF(B302="拟合",1,0)</x:f>
        <x:v>1</x:v>
      </x:c>
      <x:c r="D302" s="3" t="n">
        <x:f>'350配方'!AC302</x:f>
        <x:v>4</x:v>
      </x:c>
      <x:c r="E302" s="9" t="n">
        <x:f>SUMIFS('350配方'!$M302:$P302,'350配方'!$Y302:$AB302,7)</x:f>
        <x:v>0</x:v>
      </x:c>
      <x:c r="F302" s="9" t="n">
        <x:f>SUMIFS('350配方'!$M302:$P302,'350配方'!$Y302:$AB302,11)</x:f>
        <x:v>0</x:v>
      </x:c>
      <x:c r="G302" s="9" t="n">
        <x:f>SUMIFS('350配方'!$M302:$P302,'350配方'!$Y302:$AB302,18)</x:f>
        <x:v>0</x:v>
      </x:c>
      <x:c r="H302" s="9" t="n">
        <x:f>SUMIFS('350配方'!$M302:$P302,'350配方'!$Y302:$AB302,32)</x:f>
        <x:v>0</x:v>
      </x:c>
      <x:c r="I302" s="9" t="n">
        <x:f>SUMIFS('350配方'!$M302:$P302,'350配方'!$Y302:$AB302,40)</x:f>
        <x:v>1.875</x:v>
      </x:c>
      <x:c r="J302" s="9" t="n">
        <x:f>SUMIFS('350配方'!$M302:$P302,'350配方'!$Y302:$AB302,52)</x:f>
        <x:v>0</x:v>
      </x:c>
      <x:c r="K302" s="9" t="n">
        <x:f>SUMIFS('350配方'!$M302:$P302,'350配方'!$Y302:$AB302,53)</x:f>
        <x:v>0</x:v>
      </x:c>
      <x:c r="L302" s="9" t="n">
        <x:f>SUMIFS('350配方'!$M302:$P302,'350配方'!$Y302:$AB302,56)</x:f>
        <x:v>0</x:v>
      </x:c>
      <x:c r="M302" s="9" t="n">
        <x:f>SUMIFS('350配方'!$M302:$P302,'350配方'!$Y302:$AB302,58)</x:f>
        <x:v>0</x:v>
      </x:c>
      <x:c r="N302" s="9" t="n">
        <x:f>SUMIFS('350配方'!$M302:$P302,'350配方'!$Y302:$AB302,61)</x:f>
        <x:v>0</x:v>
      </x:c>
      <x:c r="O302" s="9" t="n">
        <x:f>SUMIFS('350配方'!$M302:$P302,'350配方'!$Y302:$AB302,69)</x:f>
        <x:v>0</x:v>
      </x:c>
      <x:c r="P302" s="9" t="n">
        <x:f>SUMIFS('350配方'!$M302:$P302,'350配方'!$Y302:$AB302,75)</x:f>
        <x:v>0</x:v>
      </x:c>
      <x:c r="Q302" s="9" t="n">
        <x:f>SUMIFS('350配方'!$M302:$P302,'350配方'!$Y302:$AB302,79)</x:f>
        <x:v>0</x:v>
      </x:c>
      <x:c r="R302" s="9" t="n">
        <x:f>SUMIFS('350配方'!$M302:$P302,'350配方'!$Y302:$AB302,90)</x:f>
        <x:v>0</x:v>
      </x:c>
      <x:c r="S302" s="9" t="n">
        <x:f>SUMIFS('350配方'!$M302:$P302,'350配方'!$Y302:$AB302,105)</x:f>
        <x:v>0</x:v>
      </x:c>
      <x:c r="T302" s="9" t="n">
        <x:f>SUMIFS('350配方'!$M302:$P302,'350配方'!$Y302:$AB302,111)</x:f>
        <x:v>89562.18016998023</x:v>
      </x:c>
      <x:c r="U302" s="9" t="n">
        <x:f>SUMIFS('350配方'!$M302:$P302,'350配方'!$Y302:$AB302,114)</x:f>
        <x:v>0</x:v>
      </x:c>
      <x:c r="V302" s="9" t="n">
        <x:f>SUMIFS('350配方'!$M302:$P302,'350配方'!$Y302:$AB302,115)</x:f>
        <x:v>0</x:v>
      </x:c>
      <x:c r="W302" s="9" t="n">
        <x:f>SUMIFS('350配方'!$M302:$P302,'350配方'!$Y302:$AB302,117)</x:f>
        <x:v>0</x:v>
      </x:c>
      <x:c r="X302" s="9" t="n">
        <x:f>SUMIFS('350配方'!$M302:$P302,'350配方'!$Y302:$AB302,126)</x:f>
        <x:v>1815.6539083757125</x:v>
      </x:c>
      <x:c r="Y302" s="9" t="n">
        <x:f>SUMIFS('350配方'!$M302:$P302,'350配方'!$Y302:$AB302,136)</x:f>
        <x:v>0</x:v>
      </x:c>
      <x:c r="Z302" s="9" t="n">
        <x:f>SUMIFS('350配方'!$M302:$P302,'350配方'!$Y302:$AB302,141)</x:f>
        <x:v>0</x:v>
      </x:c>
      <x:c r="AA302" s="9" t="n">
        <x:f>SUMIFS('350配方'!$M302:$P302,'350配方'!$Y302:$AB302,152)</x:f>
        <x:v>0</x:v>
      </x:c>
      <x:c r="AB302" s="9" t="n">
        <x:f>SUMIFS('350配方'!$M302:$P302,'350配方'!$Y302:$AB302,165)</x:f>
        <x:v>0</x:v>
      </x:c>
      <x:c r="AC302" s="9" t="n">
        <x:f>SUMIFS('350配方'!$M302:$P302,'350配方'!$Y302:$AB302,186)</x:f>
        <x:v>0</x:v>
      </x:c>
      <x:c r="AD302" s="9" t="n">
        <x:f>SUMIFS('350配方'!$M302:$P302,'350配方'!$Y302:$AB302,207)</x:f>
        <x:v>0</x:v>
      </x:c>
      <x:c r="AE302" s="9" t="n">
        <x:f>SUMIFS('350配方'!$M302:$P302,'350配方'!$Y302:$AB302,209)</x:f>
        <x:v>0</x:v>
      </x:c>
      <x:c r="AF302" s="9" t="n">
        <x:f>SUMIFS('350配方'!$M302:$P302,'350配方'!$Y302:$AB302,227)</x:f>
        <x:v>193759</x:v>
      </x:c>
      <x:c r="AG302" s="9" t="n">
        <x:f>SUMIFS('350配方'!$M302:$P302,'350配方'!$Y302:$AB302,232)</x:f>
        <x:v>0</x:v>
      </x:c>
      <x:c r="AH302" s="9" t="n">
        <x:f>SUMIFS('350配方'!$M302:$P302,'350配方'!$Y302:$AB302,255)</x:f>
        <x:v>0</x:v>
      </x:c>
      <x:c r="AI302" s="9" t="n">
        <x:f>'浓度设置'!S6</x:f>
        <x:v>219125.9626344086</x:v>
      </x:c>
      <x:c r="AJ302" s="9" t="n">
        <x:f>'浓度设置'!S8</x:f>
        <x:v>92796.92267241378</x:v>
      </x:c>
      <x:c r="AK302" s="9" t="n">
        <x:f>'浓度设置'!S10</x:f>
        <x:v>30556.797802197798</x:v>
      </x:c>
      <x:c r="AL302" s="9" t="n">
        <x:f>'浓度设置'!S12</x:f>
        <x:v>1735.828970588235</x:v>
      </x:c>
      <x:c r="AM302" s="9" t="n">
        <x:f>'浓度设置'!S15</x:f>
        <x:v>7385.813644067793</x:v>
      </x:c>
      <x:c r="AN302" s="9" t="n">
        <x:f>'浓度设置'!S19</x:f>
        <x:v>27722.03097701148</x:v>
      </x:c>
      <x:c r="AO302" s="9" t="n">
        <x:f>'浓度设置'!S22</x:f>
        <x:v>44345.55047619048</x:v>
      </x:c>
      <x:c r="AP302" s="9" t="n">
        <x:f>'浓度设置'!S26</x:f>
        <x:v>153318.30499999996</x:v>
      </x:c>
      <x:c r="AQ302" s="9" t="n">
        <x:f>'浓度设置'!S29</x:f>
        <x:v>312.7970588235294</x:v>
      </x:c>
      <x:c r="AR302" s="9" t="n">
        <x:f>'浓度设置'!S30</x:f>
        <x:v>104175.5097553192</x:v>
      </x:c>
      <x:c r="AS302" s="9" t="n">
        <x:f>'浓度设置'!S35</x:f>
        <x:v>405974.90656785714</x:v>
      </x:c>
    </x:row>
    <x:row r="303" ht="24" customHeight="1">
      <x:c r="A303" s="3" t="str">
        <x:f>'350配方'!A303</x:f>
        <x:v>T298</x:v>
      </x:c>
      <x:c r="B303" s="3" t="str">
        <x:f>'350配方'!B303</x:f>
        <x:v>拟合</x:v>
      </x:c>
      <x:c r="C303" s="3" t="n">
        <x:f>IF(B303="拟合",1,0)</x:f>
        <x:v>1</x:v>
      </x:c>
      <x:c r="D303" s="3" t="n">
        <x:f>'350配方'!AC303</x:f>
        <x:v>4</x:v>
      </x:c>
      <x:c r="E303" s="9" t="n">
        <x:f>SUMIFS('350配方'!$M303:$P303,'350配方'!$Y303:$AB303,7)</x:f>
        <x:v>0</x:v>
      </x:c>
      <x:c r="F303" s="9" t="n">
        <x:f>SUMIFS('350配方'!$M303:$P303,'350配方'!$Y303:$AB303,11)</x:f>
        <x:v>0</x:v>
      </x:c>
      <x:c r="G303" s="9" t="n">
        <x:f>SUMIFS('350配方'!$M303:$P303,'350配方'!$Y303:$AB303,18)</x:f>
        <x:v>0</x:v>
      </x:c>
      <x:c r="H303" s="9" t="n">
        <x:f>SUMIFS('350配方'!$M303:$P303,'350配方'!$Y303:$AB303,32)</x:f>
        <x:v>0</x:v>
      </x:c>
      <x:c r="I303" s="9" t="n">
        <x:f>SUMIFS('350配方'!$M303:$P303,'350配方'!$Y303:$AB303,40)</x:f>
        <x:v>0</x:v>
      </x:c>
      <x:c r="J303" s="9" t="n">
        <x:f>SUMIFS('350配方'!$M303:$P303,'350配方'!$Y303:$AB303,52)</x:f>
        <x:v>0</x:v>
      </x:c>
      <x:c r="K303" s="9" t="n">
        <x:f>SUMIFS('350配方'!$M303:$P303,'350配方'!$Y303:$AB303,53)</x:f>
        <x:v>0</x:v>
      </x:c>
      <x:c r="L303" s="9" t="n">
        <x:f>SUMIFS('350配方'!$M303:$P303,'350配方'!$Y303:$AB303,56)</x:f>
        <x:v>0</x:v>
      </x:c>
      <x:c r="M303" s="9" t="n">
        <x:f>SUMIFS('350配方'!$M303:$P303,'350配方'!$Y303:$AB303,58)</x:f>
        <x:v>3072.731960324558</x:v>
      </x:c>
      <x:c r="N303" s="9" t="n">
        <x:f>SUMIFS('350配方'!$M303:$P303,'350配方'!$Y303:$AB303,61)</x:f>
        <x:v>0</x:v>
      </x:c>
      <x:c r="O303" s="9" t="n">
        <x:f>SUMIFS('350配方'!$M303:$P303,'350配方'!$Y303:$AB303,69)</x:f>
        <x:v>0</x:v>
      </x:c>
      <x:c r="P303" s="9" t="n">
        <x:f>SUMIFS('350配方'!$M303:$P303,'350配方'!$Y303:$AB303,75)</x:f>
        <x:v>0</x:v>
      </x:c>
      <x:c r="Q303" s="9" t="n">
        <x:f>SUMIFS('350配方'!$M303:$P303,'350配方'!$Y303:$AB303,79)</x:f>
        <x:v>0</x:v>
      </x:c>
      <x:c r="R303" s="9" t="n">
        <x:f>SUMIFS('350配方'!$M303:$P303,'350配方'!$Y303:$AB303,90)</x:f>
        <x:v>0</x:v>
      </x:c>
      <x:c r="S303" s="9" t="n">
        <x:f>SUMIFS('350配方'!$M303:$P303,'350配方'!$Y303:$AB303,105)</x:f>
        <x:v>28.044607324760317</x:v>
      </x:c>
      <x:c r="T303" s="9" t="n">
        <x:f>SUMIFS('350配方'!$M303:$P303,'350配方'!$Y303:$AB303,111)</x:f>
        <x:v>0</x:v>
      </x:c>
      <x:c r="U303" s="9" t="n">
        <x:f>SUMIFS('350配方'!$M303:$P303,'350配方'!$Y303:$AB303,114)</x:f>
        <x:v>3147.945</x:v>
      </x:c>
      <x:c r="V303" s="9" t="n">
        <x:f>SUMIFS('350配方'!$M303:$P303,'350配方'!$Y303:$AB303,115)</x:f>
        <x:v>0</x:v>
      </x:c>
      <x:c r="W303" s="9" t="n">
        <x:f>SUMIFS('350配方'!$M303:$P303,'350配方'!$Y303:$AB303,117)</x:f>
        <x:v>0</x:v>
      </x:c>
      <x:c r="X303" s="9" t="n">
        <x:f>SUMIFS('350配方'!$M303:$P303,'350配方'!$Y303:$AB303,126)</x:f>
        <x:v>0</x:v>
      </x:c>
      <x:c r="Y303" s="9" t="n">
        <x:f>SUMIFS('350配方'!$M303:$P303,'350配方'!$Y303:$AB303,136)</x:f>
        <x:v>0</x:v>
      </x:c>
      <x:c r="Z303" s="9" t="n">
        <x:f>SUMIFS('350配方'!$M303:$P303,'350配方'!$Y303:$AB303,141)</x:f>
        <x:v>0</x:v>
      </x:c>
      <x:c r="AA303" s="9" t="n">
        <x:f>SUMIFS('350配方'!$M303:$P303,'350配方'!$Y303:$AB303,152)</x:f>
        <x:v>0</x:v>
      </x:c>
      <x:c r="AB303" s="9" t="n">
        <x:f>SUMIFS('350配方'!$M303:$P303,'350配方'!$Y303:$AB303,165)</x:f>
        <x:v>823.735</x:v>
      </x:c>
      <x:c r="AC303" s="9" t="n">
        <x:f>SUMIFS('350配方'!$M303:$P303,'350配方'!$Y303:$AB303,186)</x:f>
        <x:v>0</x:v>
      </x:c>
      <x:c r="AD303" s="9" t="n">
        <x:f>SUMIFS('350配方'!$M303:$P303,'350配方'!$Y303:$AB303,207)</x:f>
        <x:v>0</x:v>
      </x:c>
      <x:c r="AE303" s="9" t="n">
        <x:f>SUMIFS('350配方'!$M303:$P303,'350配方'!$Y303:$AB303,209)</x:f>
        <x:v>0</x:v>
      </x:c>
      <x:c r="AF303" s="9" t="n">
        <x:f>SUMIFS('350配方'!$M303:$P303,'350配方'!$Y303:$AB303,227)</x:f>
        <x:v>0</x:v>
      </x:c>
      <x:c r="AG303" s="9" t="n">
        <x:f>SUMIFS('350配方'!$M303:$P303,'350配方'!$Y303:$AB303,232)</x:f>
        <x:v>0</x:v>
      </x:c>
      <x:c r="AH303" s="9" t="n">
        <x:f>SUMIFS('350配方'!$M303:$P303,'350配方'!$Y303:$AB303,255)</x:f>
        <x:v>0</x:v>
      </x:c>
      <x:c r="AI303" s="9" t="n">
        <x:f>'浓度设置'!S6</x:f>
        <x:v>219125.9626344086</x:v>
      </x:c>
      <x:c r="AJ303" s="9" t="n">
        <x:f>'浓度设置'!S8</x:f>
        <x:v>92796.92267241378</x:v>
      </x:c>
      <x:c r="AK303" s="9" t="n">
        <x:f>'浓度设置'!S10</x:f>
        <x:v>30556.797802197798</x:v>
      </x:c>
      <x:c r="AL303" s="9" t="n">
        <x:f>'浓度设置'!S12</x:f>
        <x:v>1735.828970588235</x:v>
      </x:c>
      <x:c r="AM303" s="9" t="n">
        <x:f>'浓度设置'!S15</x:f>
        <x:v>7385.813644067793</x:v>
      </x:c>
      <x:c r="AN303" s="9" t="n">
        <x:f>'浓度设置'!S19</x:f>
        <x:v>27722.03097701148</x:v>
      </x:c>
      <x:c r="AO303" s="9" t="n">
        <x:f>'浓度设置'!S22</x:f>
        <x:v>44345.55047619048</x:v>
      </x:c>
      <x:c r="AP303" s="9" t="n">
        <x:f>'浓度设置'!S26</x:f>
        <x:v>153318.30499999996</x:v>
      </x:c>
      <x:c r="AQ303" s="9" t="n">
        <x:f>'浓度设置'!S29</x:f>
        <x:v>312.7970588235294</x:v>
      </x:c>
      <x:c r="AR303" s="9" t="n">
        <x:f>'浓度设置'!S30</x:f>
        <x:v>104175.5097553192</x:v>
      </x:c>
      <x:c r="AS303" s="9" t="n">
        <x:f>'浓度设置'!S35</x:f>
        <x:v>405974.90656785714</x:v>
      </x:c>
    </x:row>
    <x:row r="304" ht="24" customHeight="1">
      <x:c r="A304" s="3" t="str">
        <x:f>'350配方'!A304</x:f>
        <x:v>T299</x:v>
      </x:c>
      <x:c r="B304" s="3" t="str">
        <x:f>'350配方'!B304</x:f>
        <x:v>拟合</x:v>
      </x:c>
      <x:c r="C304" s="3" t="n">
        <x:f>IF(B304="拟合",1,0)</x:f>
        <x:v>1</x:v>
      </x:c>
      <x:c r="D304" s="3" t="n">
        <x:f>'350配方'!AC304</x:f>
        <x:v>4</x:v>
      </x:c>
      <x:c r="E304" s="9" t="n">
        <x:f>SUMIFS('350配方'!$M304:$P304,'350配方'!$Y304:$AB304,7)</x:f>
        <x:v>0</x:v>
      </x:c>
      <x:c r="F304" s="9" t="n">
        <x:f>SUMIFS('350配方'!$M304:$P304,'350配方'!$Y304:$AB304,11)</x:f>
        <x:v>0</x:v>
      </x:c>
      <x:c r="G304" s="9" t="n">
        <x:f>SUMIFS('350配方'!$M304:$P304,'350配方'!$Y304:$AB304,18)</x:f>
        <x:v>0</x:v>
      </x:c>
      <x:c r="H304" s="9" t="n">
        <x:f>SUMIFS('350配方'!$M304:$P304,'350配方'!$Y304:$AB304,32)</x:f>
        <x:v>0</x:v>
      </x:c>
      <x:c r="I304" s="9" t="n">
        <x:f>SUMIFS('350配方'!$M304:$P304,'350配方'!$Y304:$AB304,40)</x:f>
        <x:v>0</x:v>
      </x:c>
      <x:c r="J304" s="9" t="n">
        <x:f>SUMIFS('350配方'!$M304:$P304,'350配方'!$Y304:$AB304,52)</x:f>
        <x:v>0</x:v>
      </x:c>
      <x:c r="K304" s="9" t="n">
        <x:f>SUMIFS('350配方'!$M304:$P304,'350配方'!$Y304:$AB304,53)</x:f>
        <x:v>0</x:v>
      </x:c>
      <x:c r="L304" s="9" t="n">
        <x:f>SUMIFS('350配方'!$M304:$P304,'350配方'!$Y304:$AB304,56)</x:f>
        <x:v>0</x:v>
      </x:c>
      <x:c r="M304" s="9" t="n">
        <x:f>SUMIFS('350配方'!$M304:$P304,'350配方'!$Y304:$AB304,58)</x:f>
        <x:v>0</x:v>
      </x:c>
      <x:c r="N304" s="9" t="n">
        <x:f>SUMIFS('350配方'!$M304:$P304,'350配方'!$Y304:$AB304,61)</x:f>
        <x:v>0</x:v>
      </x:c>
      <x:c r="O304" s="9" t="n">
        <x:f>SUMIFS('350配方'!$M304:$P304,'350配方'!$Y304:$AB304,69)</x:f>
        <x:v>0</x:v>
      </x:c>
      <x:c r="P304" s="9" t="n">
        <x:f>SUMIFS('350配方'!$M304:$P304,'350配方'!$Y304:$AB304,75)</x:f>
        <x:v>331.2476415010377</x:v>
      </x:c>
      <x:c r="Q304" s="9" t="n">
        <x:f>SUMIFS('350配方'!$M304:$P304,'350配方'!$Y304:$AB304,79)</x:f>
        <x:v>0</x:v>
      </x:c>
      <x:c r="R304" s="9" t="n">
        <x:f>SUMIFS('350配方'!$M304:$P304,'350配方'!$Y304:$AB304,90)</x:f>
        <x:v>1232.25</x:v>
      </x:c>
      <x:c r="S304" s="9" t="n">
        <x:f>SUMIFS('350配方'!$M304:$P304,'350配方'!$Y304:$AB304,105)</x:f>
        <x:v>0</x:v>
      </x:c>
      <x:c r="T304" s="9" t="n">
        <x:f>SUMIFS('350配方'!$M304:$P304,'350配方'!$Y304:$AB304,111)</x:f>
        <x:v>0</x:v>
      </x:c>
      <x:c r="U304" s="9" t="n">
        <x:f>SUMIFS('350配方'!$M304:$P304,'350配方'!$Y304:$AB304,114)</x:f>
        <x:v>47100</x:v>
      </x:c>
      <x:c r="V304" s="9" t="n">
        <x:f>SUMIFS('350配方'!$M304:$P304,'350配方'!$Y304:$AB304,115)</x:f>
        <x:v>0</x:v>
      </x:c>
      <x:c r="W304" s="9" t="n">
        <x:f>SUMIFS('350配方'!$M304:$P304,'350配方'!$Y304:$AB304,117)</x:f>
        <x:v>0</x:v>
      </x:c>
      <x:c r="X304" s="9" t="n">
        <x:f>SUMIFS('350配方'!$M304:$P304,'350配方'!$Y304:$AB304,126)</x:f>
        <x:v>0</x:v>
      </x:c>
      <x:c r="Y304" s="9" t="n">
        <x:f>SUMIFS('350配方'!$M304:$P304,'350配方'!$Y304:$AB304,136)</x:f>
        <x:v>0</x:v>
      </x:c>
      <x:c r="Z304" s="9" t="n">
        <x:f>SUMIFS('350配方'!$M304:$P304,'350配方'!$Y304:$AB304,141)</x:f>
        <x:v>0</x:v>
      </x:c>
      <x:c r="AA304" s="9" t="n">
        <x:f>SUMIFS('350配方'!$M304:$P304,'350配方'!$Y304:$AB304,152)</x:f>
        <x:v>0</x:v>
      </x:c>
      <x:c r="AB304" s="9" t="n">
        <x:f>SUMIFS('350配方'!$M304:$P304,'350配方'!$Y304:$AB304,165)</x:f>
        <x:v>0</x:v>
      </x:c>
      <x:c r="AC304" s="9" t="n">
        <x:f>SUMIFS('350配方'!$M304:$P304,'350配方'!$Y304:$AB304,186)</x:f>
        <x:v>0</x:v>
      </x:c>
      <x:c r="AD304" s="9" t="n">
        <x:f>SUMIFS('350配方'!$M304:$P304,'350配方'!$Y304:$AB304,207)</x:f>
        <x:v>0</x:v>
      </x:c>
      <x:c r="AE304" s="9" t="n">
        <x:f>SUMIFS('350配方'!$M304:$P304,'350配方'!$Y304:$AB304,209)</x:f>
        <x:v>0</x:v>
      </x:c>
      <x:c r="AF304" s="9" t="n">
        <x:f>SUMIFS('350配方'!$M304:$P304,'350配方'!$Y304:$AB304,227)</x:f>
        <x:v>0</x:v>
      </x:c>
      <x:c r="AG304" s="9" t="n">
        <x:f>SUMIFS('350配方'!$M304:$P304,'350配方'!$Y304:$AB304,232)</x:f>
        <x:v>1611</x:v>
      </x:c>
      <x:c r="AH304" s="9" t="n">
        <x:f>SUMIFS('350配方'!$M304:$P304,'350配方'!$Y304:$AB304,255)</x:f>
        <x:v>0</x:v>
      </x:c>
      <x:c r="AI304" s="9" t="n">
        <x:f>'浓度设置'!S6</x:f>
        <x:v>219125.9626344086</x:v>
      </x:c>
      <x:c r="AJ304" s="9" t="n">
        <x:f>'浓度设置'!S8</x:f>
        <x:v>92796.92267241378</x:v>
      </x:c>
      <x:c r="AK304" s="9" t="n">
        <x:f>'浓度设置'!S10</x:f>
        <x:v>30556.797802197798</x:v>
      </x:c>
      <x:c r="AL304" s="9" t="n">
        <x:f>'浓度设置'!S12</x:f>
        <x:v>1735.828970588235</x:v>
      </x:c>
      <x:c r="AM304" s="9" t="n">
        <x:f>'浓度设置'!S15</x:f>
        <x:v>7385.813644067793</x:v>
      </x:c>
      <x:c r="AN304" s="9" t="n">
        <x:f>'浓度设置'!S19</x:f>
        <x:v>27722.03097701148</x:v>
      </x:c>
      <x:c r="AO304" s="9" t="n">
        <x:f>'浓度设置'!S22</x:f>
        <x:v>44345.55047619048</x:v>
      </x:c>
      <x:c r="AP304" s="9" t="n">
        <x:f>'浓度设置'!S26</x:f>
        <x:v>153318.30499999996</x:v>
      </x:c>
      <x:c r="AQ304" s="9" t="n">
        <x:f>'浓度设置'!S29</x:f>
        <x:v>312.7970588235294</x:v>
      </x:c>
      <x:c r="AR304" s="9" t="n">
        <x:f>'浓度设置'!S30</x:f>
        <x:v>104175.5097553192</x:v>
      </x:c>
      <x:c r="AS304" s="9" t="n">
        <x:f>'浓度设置'!S35</x:f>
        <x:v>405974.90656785714</x:v>
      </x:c>
    </x:row>
    <x:row r="305" ht="24" customHeight="1">
      <x:c r="A305" s="3" t="str">
        <x:f>'350配方'!A305</x:f>
        <x:v>T300</x:v>
      </x:c>
      <x:c r="B305" s="3" t="str">
        <x:f>'350配方'!B305</x:f>
        <x:v>拟合</x:v>
      </x:c>
      <x:c r="C305" s="3" t="n">
        <x:f>IF(B305="拟合",1,0)</x:f>
        <x:v>1</x:v>
      </x:c>
      <x:c r="D305" s="3" t="n">
        <x:f>'350配方'!AC305</x:f>
        <x:v>4</x:v>
      </x:c>
      <x:c r="E305" s="9" t="n">
        <x:f>SUMIFS('350配方'!$M305:$P305,'350配方'!$Y305:$AB305,7)</x:f>
        <x:v>0</x:v>
      </x:c>
      <x:c r="F305" s="9" t="n">
        <x:f>SUMIFS('350配方'!$M305:$P305,'350配方'!$Y305:$AB305,11)</x:f>
        <x:v>0</x:v>
      </x:c>
      <x:c r="G305" s="9" t="n">
        <x:f>SUMIFS('350配方'!$M305:$P305,'350配方'!$Y305:$AB305,18)</x:f>
        <x:v>0</x:v>
      </x:c>
      <x:c r="H305" s="9" t="n">
        <x:f>SUMIFS('350配方'!$M305:$P305,'350配方'!$Y305:$AB305,32)</x:f>
        <x:v>0</x:v>
      </x:c>
      <x:c r="I305" s="9" t="n">
        <x:f>SUMIFS('350配方'!$M305:$P305,'350配方'!$Y305:$AB305,40)</x:f>
        <x:v>0</x:v>
      </x:c>
      <x:c r="J305" s="9" t="n">
        <x:f>SUMIFS('350配方'!$M305:$P305,'350配方'!$Y305:$AB305,52)</x:f>
        <x:v>0</x:v>
      </x:c>
      <x:c r="K305" s="9" t="n">
        <x:f>SUMIFS('350配方'!$M305:$P305,'350配方'!$Y305:$AB305,53)</x:f>
        <x:v>0</x:v>
      </x:c>
      <x:c r="L305" s="9" t="n">
        <x:f>SUMIFS('350配方'!$M305:$P305,'350配方'!$Y305:$AB305,56)</x:f>
        <x:v>0</x:v>
      </x:c>
      <x:c r="M305" s="9" t="n">
        <x:f>SUMIFS('350配方'!$M305:$P305,'350配方'!$Y305:$AB305,58)</x:f>
        <x:v>0</x:v>
      </x:c>
      <x:c r="N305" s="9" t="n">
        <x:f>SUMIFS('350配方'!$M305:$P305,'350配方'!$Y305:$AB305,61)</x:f>
        <x:v>0</x:v>
      </x:c>
      <x:c r="O305" s="9" t="n">
        <x:f>SUMIFS('350配方'!$M305:$P305,'350配方'!$Y305:$AB305,69)</x:f>
        <x:v>0</x:v>
      </x:c>
      <x:c r="P305" s="9" t="n">
        <x:f>SUMIFS('350配方'!$M305:$P305,'350配方'!$Y305:$AB305,75)</x:f>
        <x:v>0</x:v>
      </x:c>
      <x:c r="Q305" s="9" t="n">
        <x:f>SUMIFS('350配方'!$M305:$P305,'350配方'!$Y305:$AB305,79)</x:f>
        <x:v>0</x:v>
      </x:c>
      <x:c r="R305" s="9" t="n">
        <x:f>SUMIFS('350配方'!$M305:$P305,'350配方'!$Y305:$AB305,90)</x:f>
        <x:v>0</x:v>
      </x:c>
      <x:c r="S305" s="9" t="n">
        <x:f>SUMIFS('350配方'!$M305:$P305,'350配方'!$Y305:$AB305,105)</x:f>
        <x:v>0</x:v>
      </x:c>
      <x:c r="T305" s="9" t="n">
        <x:f>SUMIFS('350配方'!$M305:$P305,'350配方'!$Y305:$AB305,111)</x:f>
        <x:v>0</x:v>
      </x:c>
      <x:c r="U305" s="9" t="n">
        <x:f>SUMIFS('350配方'!$M305:$P305,'350配方'!$Y305:$AB305,114)</x:f>
        <x:v>0</x:v>
      </x:c>
      <x:c r="V305" s="9" t="n">
        <x:f>SUMIFS('350配方'!$M305:$P305,'350配方'!$Y305:$AB305,115)</x:f>
        <x:v>1.44</x:v>
      </x:c>
      <x:c r="W305" s="9" t="n">
        <x:f>SUMIFS('350配方'!$M305:$P305,'350配方'!$Y305:$AB305,117)</x:f>
        <x:v>0</x:v>
      </x:c>
      <x:c r="X305" s="9" t="n">
        <x:f>SUMIFS('350配方'!$M305:$P305,'350配方'!$Y305:$AB305,126)</x:f>
        <x:v>0</x:v>
      </x:c>
      <x:c r="Y305" s="9" t="n">
        <x:f>SUMIFS('350配方'!$M305:$P305,'350配方'!$Y305:$AB305,136)</x:f>
        <x:v>0</x:v>
      </x:c>
      <x:c r="Z305" s="9" t="n">
        <x:f>SUMIFS('350配方'!$M305:$P305,'350配方'!$Y305:$AB305,141)</x:f>
        <x:v>0</x:v>
      </x:c>
      <x:c r="AA305" s="9" t="n">
        <x:f>SUMIFS('350配方'!$M305:$P305,'350配方'!$Y305:$AB305,152)</x:f>
        <x:v>4.84</x:v>
      </x:c>
      <x:c r="AB305" s="9" t="n">
        <x:f>SUMIFS('350配方'!$M305:$P305,'350配方'!$Y305:$AB305,165)</x:f>
        <x:v>0</x:v>
      </x:c>
      <x:c r="AC305" s="9" t="n">
        <x:f>SUMIFS('350配方'!$M305:$P305,'350配方'!$Y305:$AB305,186)</x:f>
        <x:v>4262.731518639193</x:v>
      </x:c>
      <x:c r="AD305" s="9" t="n">
        <x:f>SUMIFS('350配方'!$M305:$P305,'350配方'!$Y305:$AB305,207)</x:f>
        <x:v>0</x:v>
      </x:c>
      <x:c r="AE305" s="9" t="n">
        <x:f>SUMIFS('350配方'!$M305:$P305,'350配方'!$Y305:$AB305,209)</x:f>
        <x:v>0</x:v>
      </x:c>
      <x:c r="AF305" s="9" t="n">
        <x:f>SUMIFS('350配方'!$M305:$P305,'350配方'!$Y305:$AB305,227)</x:f>
        <x:v>695.986709643223</x:v>
      </x:c>
      <x:c r="AG305" s="9" t="n">
        <x:f>SUMIFS('350配方'!$M305:$P305,'350配方'!$Y305:$AB305,232)</x:f>
        <x:v>0</x:v>
      </x:c>
      <x:c r="AH305" s="9" t="n">
        <x:f>SUMIFS('350配方'!$M305:$P305,'350配方'!$Y305:$AB305,255)</x:f>
        <x:v>0</x:v>
      </x:c>
      <x:c r="AI305" s="9" t="n">
        <x:f>'浓度设置'!S6</x:f>
        <x:v>219125.9626344086</x:v>
      </x:c>
      <x:c r="AJ305" s="9" t="n">
        <x:f>'浓度设置'!S8</x:f>
        <x:v>92796.92267241378</x:v>
      </x:c>
      <x:c r="AK305" s="9" t="n">
        <x:f>'浓度设置'!S10</x:f>
        <x:v>30556.797802197798</x:v>
      </x:c>
      <x:c r="AL305" s="9" t="n">
        <x:f>'浓度设置'!S12</x:f>
        <x:v>1735.828970588235</x:v>
      </x:c>
      <x:c r="AM305" s="9" t="n">
        <x:f>'浓度设置'!S15</x:f>
        <x:v>7385.813644067793</x:v>
      </x:c>
      <x:c r="AN305" s="9" t="n">
        <x:f>'浓度设置'!S19</x:f>
        <x:v>27722.03097701148</x:v>
      </x:c>
      <x:c r="AO305" s="9" t="n">
        <x:f>'浓度设置'!S22</x:f>
        <x:v>44345.55047619048</x:v>
      </x:c>
      <x:c r="AP305" s="9" t="n">
        <x:f>'浓度设置'!S26</x:f>
        <x:v>153318.30499999996</x:v>
      </x:c>
      <x:c r="AQ305" s="9" t="n">
        <x:f>'浓度设置'!S29</x:f>
        <x:v>312.7970588235294</x:v>
      </x:c>
      <x:c r="AR305" s="9" t="n">
        <x:f>'浓度设置'!S30</x:f>
        <x:v>104175.5097553192</x:v>
      </x:c>
      <x:c r="AS305" s="9" t="n">
        <x:f>'浓度设置'!S35</x:f>
        <x:v>405974.90656785714</x:v>
      </x:c>
    </x:row>
    <x:row r="306" ht="24" customHeight="1">
      <x:c r="A306" s="3" t="str">
        <x:f>'350配方'!A306</x:f>
        <x:v>T301</x:v>
      </x:c>
      <x:c r="B306" s="3" t="str">
        <x:f>'350配方'!B306</x:f>
        <x:v>拟合</x:v>
      </x:c>
      <x:c r="C306" s="3" t="n">
        <x:f>IF(B306="拟合",1,0)</x:f>
        <x:v>1</x:v>
      </x:c>
      <x:c r="D306" s="3" t="n">
        <x:f>'350配方'!AC306</x:f>
        <x:v>4</x:v>
      </x:c>
      <x:c r="E306" s="9" t="n">
        <x:f>SUMIFS('350配方'!$M306:$P306,'350配方'!$Y306:$AB306,7)</x:f>
        <x:v>0</x:v>
      </x:c>
      <x:c r="F306" s="9" t="n">
        <x:f>SUMIFS('350配方'!$M306:$P306,'350配方'!$Y306:$AB306,11)</x:f>
        <x:v>0</x:v>
      </x:c>
      <x:c r="G306" s="9" t="n">
        <x:f>SUMIFS('350配方'!$M306:$P306,'350配方'!$Y306:$AB306,18)</x:f>
        <x:v>0</x:v>
      </x:c>
      <x:c r="H306" s="9" t="n">
        <x:f>SUMIFS('350配方'!$M306:$P306,'350配方'!$Y306:$AB306,32)</x:f>
        <x:v>0</x:v>
      </x:c>
      <x:c r="I306" s="9" t="n">
        <x:f>SUMIFS('350配方'!$M306:$P306,'350配方'!$Y306:$AB306,40)</x:f>
        <x:v>0</x:v>
      </x:c>
      <x:c r="J306" s="9" t="n">
        <x:f>SUMIFS('350配方'!$M306:$P306,'350配方'!$Y306:$AB306,52)</x:f>
        <x:v>0</x:v>
      </x:c>
      <x:c r="K306" s="9" t="n">
        <x:f>SUMIFS('350配方'!$M306:$P306,'350配方'!$Y306:$AB306,53)</x:f>
        <x:v>9.61</x:v>
      </x:c>
      <x:c r="L306" s="9" t="n">
        <x:f>SUMIFS('350配方'!$M306:$P306,'350配方'!$Y306:$AB306,56)</x:f>
        <x:v>0</x:v>
      </x:c>
      <x:c r="M306" s="9" t="n">
        <x:f>SUMIFS('350配方'!$M306:$P306,'350配方'!$Y306:$AB306,58)</x:f>
        <x:v>5.06</x:v>
      </x:c>
      <x:c r="N306" s="9" t="n">
        <x:f>SUMIFS('350配方'!$M306:$P306,'350配方'!$Y306:$AB306,61)</x:f>
        <x:v>0</x:v>
      </x:c>
      <x:c r="O306" s="9" t="n">
        <x:f>SUMIFS('350配方'!$M306:$P306,'350配方'!$Y306:$AB306,69)</x:f>
        <x:v>0</x:v>
      </x:c>
      <x:c r="P306" s="9" t="n">
        <x:f>SUMIFS('350配方'!$M306:$P306,'350配方'!$Y306:$AB306,75)</x:f>
        <x:v>331.2476415010377</x:v>
      </x:c>
      <x:c r="Q306" s="9" t="n">
        <x:f>SUMIFS('350配方'!$M306:$P306,'350配方'!$Y306:$AB306,79)</x:f>
        <x:v>0</x:v>
      </x:c>
      <x:c r="R306" s="9" t="n">
        <x:f>SUMIFS('350配方'!$M306:$P306,'350配方'!$Y306:$AB306,90)</x:f>
        <x:v>0</x:v>
      </x:c>
      <x:c r="S306" s="9" t="n">
        <x:f>SUMIFS('350配方'!$M306:$P306,'350配方'!$Y306:$AB306,105)</x:f>
        <x:v>0</x:v>
      </x:c>
      <x:c r="T306" s="9" t="n">
        <x:f>SUMIFS('350配方'!$M306:$P306,'350配方'!$Y306:$AB306,111)</x:f>
        <x:v>0</x:v>
      </x:c>
      <x:c r="U306" s="9" t="n">
        <x:f>SUMIFS('350配方'!$M306:$P306,'350配方'!$Y306:$AB306,114)</x:f>
        <x:v>0</x:v>
      </x:c>
      <x:c r="V306" s="9" t="n">
        <x:f>SUMIFS('350配方'!$M306:$P306,'350配方'!$Y306:$AB306,115)</x:f>
        <x:v>0</x:v>
      </x:c>
      <x:c r="W306" s="9" t="n">
        <x:f>SUMIFS('350配方'!$M306:$P306,'350配方'!$Y306:$AB306,117)</x:f>
        <x:v>0</x:v>
      </x:c>
      <x:c r="X306" s="9" t="n">
        <x:f>SUMIFS('350配方'!$M306:$P306,'350配方'!$Y306:$AB306,126)</x:f>
        <x:v>0</x:v>
      </x:c>
      <x:c r="Y306" s="9" t="n">
        <x:f>SUMIFS('350配方'!$M306:$P306,'350配方'!$Y306:$AB306,136)</x:f>
        <x:v>0</x:v>
      </x:c>
      <x:c r="Z306" s="9" t="n">
        <x:f>SUMIFS('350配方'!$M306:$P306,'350配方'!$Y306:$AB306,141)</x:f>
        <x:v>0</x:v>
      </x:c>
      <x:c r="AA306" s="9" t="n">
        <x:f>SUMIFS('350配方'!$M306:$P306,'350配方'!$Y306:$AB306,152)</x:f>
        <x:v>0</x:v>
      </x:c>
      <x:c r="AB306" s="9" t="n">
        <x:f>SUMIFS('350配方'!$M306:$P306,'350配方'!$Y306:$AB306,165)</x:f>
        <x:v>0</x:v>
      </x:c>
      <x:c r="AC306" s="9" t="n">
        <x:f>SUMIFS('350配方'!$M306:$P306,'350配方'!$Y306:$AB306,186)</x:f>
        <x:v>0</x:v>
      </x:c>
      <x:c r="AD306" s="9" t="n">
        <x:f>SUMIFS('350配方'!$M306:$P306,'350配方'!$Y306:$AB306,207)</x:f>
        <x:v>0</x:v>
      </x:c>
      <x:c r="AE306" s="9" t="n">
        <x:f>SUMIFS('350配方'!$M306:$P306,'350配方'!$Y306:$AB306,209)</x:f>
        <x:v>34.2987346705385</x:v>
      </x:c>
      <x:c r="AF306" s="9" t="n">
        <x:f>SUMIFS('350配方'!$M306:$P306,'350配方'!$Y306:$AB306,227)</x:f>
        <x:v>0</x:v>
      </x:c>
      <x:c r="AG306" s="9" t="n">
        <x:f>SUMIFS('350配方'!$M306:$P306,'350配方'!$Y306:$AB306,232)</x:f>
        <x:v>0</x:v>
      </x:c>
      <x:c r="AH306" s="9" t="n">
        <x:f>SUMIFS('350配方'!$M306:$P306,'350配方'!$Y306:$AB306,255)</x:f>
        <x:v>0</x:v>
      </x:c>
      <x:c r="AI306" s="9" t="n">
        <x:f>'浓度设置'!S6</x:f>
        <x:v>219125.9626344086</x:v>
      </x:c>
      <x:c r="AJ306" s="9" t="n">
        <x:f>'浓度设置'!S8</x:f>
        <x:v>92796.92267241378</x:v>
      </x:c>
      <x:c r="AK306" s="9" t="n">
        <x:f>'浓度设置'!S10</x:f>
        <x:v>30556.797802197798</x:v>
      </x:c>
      <x:c r="AL306" s="9" t="n">
        <x:f>'浓度设置'!S12</x:f>
        <x:v>1735.828970588235</x:v>
      </x:c>
      <x:c r="AM306" s="9" t="n">
        <x:f>'浓度设置'!S15</x:f>
        <x:v>7385.813644067793</x:v>
      </x:c>
      <x:c r="AN306" s="9" t="n">
        <x:f>'浓度设置'!S19</x:f>
        <x:v>27722.03097701148</x:v>
      </x:c>
      <x:c r="AO306" s="9" t="n">
        <x:f>'浓度设置'!S22</x:f>
        <x:v>44345.55047619048</x:v>
      </x:c>
      <x:c r="AP306" s="9" t="n">
        <x:f>'浓度设置'!S26</x:f>
        <x:v>153318.30499999996</x:v>
      </x:c>
      <x:c r="AQ306" s="9" t="n">
        <x:f>'浓度设置'!S29</x:f>
        <x:v>312.7970588235294</x:v>
      </x:c>
      <x:c r="AR306" s="9" t="n">
        <x:f>'浓度设置'!S30</x:f>
        <x:v>104175.5097553192</x:v>
      </x:c>
      <x:c r="AS306" s="9" t="n">
        <x:f>'浓度设置'!S35</x:f>
        <x:v>405974.90656785714</x:v>
      </x:c>
    </x:row>
    <x:row r="307" ht="24" customHeight="1">
      <x:c r="A307" s="3" t="str">
        <x:f>'350配方'!A307</x:f>
        <x:v>T302</x:v>
      </x:c>
      <x:c r="B307" s="3" t="str">
        <x:f>'350配方'!B307</x:f>
        <x:v>拟合</x:v>
      </x:c>
      <x:c r="C307" s="3" t="n">
        <x:f>IF(B307="拟合",1,0)</x:f>
        <x:v>1</x:v>
      </x:c>
      <x:c r="D307" s="3" t="n">
        <x:f>'350配方'!AC307</x:f>
        <x:v>4</x:v>
      </x:c>
      <x:c r="E307" s="9" t="n">
        <x:f>SUMIFS('350配方'!$M307:$P307,'350配方'!$Y307:$AB307,7)</x:f>
        <x:v>729.4776350238574</x:v>
      </x:c>
      <x:c r="F307" s="9" t="n">
        <x:f>SUMIFS('350配方'!$M307:$P307,'350配方'!$Y307:$AB307,11)</x:f>
        <x:v>0</x:v>
      </x:c>
      <x:c r="G307" s="9" t="n">
        <x:f>SUMIFS('350配方'!$M307:$P307,'350配方'!$Y307:$AB307,18)</x:f>
        <x:v>1183.2582135780847</x:v>
      </x:c>
      <x:c r="H307" s="9" t="n">
        <x:f>SUMIFS('350配方'!$M307:$P307,'350配方'!$Y307:$AB307,32)</x:f>
        <x:v>0</x:v>
      </x:c>
      <x:c r="I307" s="9" t="n">
        <x:f>SUMIFS('350配方'!$M307:$P307,'350配方'!$Y307:$AB307,40)</x:f>
        <x:v>0</x:v>
      </x:c>
      <x:c r="J307" s="9" t="n">
        <x:f>SUMIFS('350配方'!$M307:$P307,'350配方'!$Y307:$AB307,52)</x:f>
        <x:v>0</x:v>
      </x:c>
      <x:c r="K307" s="9" t="n">
        <x:f>SUMIFS('350配方'!$M307:$P307,'350配方'!$Y307:$AB307,53)</x:f>
        <x:v>0</x:v>
      </x:c>
      <x:c r="L307" s="9" t="n">
        <x:f>SUMIFS('350配方'!$M307:$P307,'350配方'!$Y307:$AB307,56)</x:f>
        <x:v>0</x:v>
      </x:c>
      <x:c r="M307" s="9" t="n">
        <x:f>SUMIFS('350配方'!$M307:$P307,'350配方'!$Y307:$AB307,58)</x:f>
        <x:v>0</x:v>
      </x:c>
      <x:c r="N307" s="9" t="n">
        <x:f>SUMIFS('350配方'!$M307:$P307,'350配方'!$Y307:$AB307,61)</x:f>
        <x:v>0</x:v>
      </x:c>
      <x:c r="O307" s="9" t="n">
        <x:f>SUMIFS('350配方'!$M307:$P307,'350配方'!$Y307:$AB307,69)</x:f>
        <x:v>0</x:v>
      </x:c>
      <x:c r="P307" s="9" t="n">
        <x:f>SUMIFS('350配方'!$M307:$P307,'350配方'!$Y307:$AB307,75)</x:f>
        <x:v>0</x:v>
      </x:c>
      <x:c r="Q307" s="9" t="n">
        <x:f>SUMIFS('350配方'!$M307:$P307,'350配方'!$Y307:$AB307,79)</x:f>
        <x:v>0</x:v>
      </x:c>
      <x:c r="R307" s="9" t="n">
        <x:f>SUMIFS('350配方'!$M307:$P307,'350配方'!$Y307:$AB307,90)</x:f>
        <x:v>25642.45</x:v>
      </x:c>
      <x:c r="S307" s="9" t="n">
        <x:f>SUMIFS('350配方'!$M307:$P307,'350配方'!$Y307:$AB307,105)</x:f>
        <x:v>0</x:v>
      </x:c>
      <x:c r="T307" s="9" t="n">
        <x:f>SUMIFS('350配方'!$M307:$P307,'350配方'!$Y307:$AB307,111)</x:f>
        <x:v>0</x:v>
      </x:c>
      <x:c r="U307" s="9" t="n">
        <x:f>SUMIFS('350配方'!$M307:$P307,'350配方'!$Y307:$AB307,114)</x:f>
        <x:v>0</x:v>
      </x:c>
      <x:c r="V307" s="9" t="n">
        <x:f>SUMIFS('350配方'!$M307:$P307,'350配方'!$Y307:$AB307,115)</x:f>
        <x:v>0</x:v>
      </x:c>
      <x:c r="W307" s="9" t="n">
        <x:f>SUMIFS('350配方'!$M307:$P307,'350配方'!$Y307:$AB307,117)</x:f>
        <x:v>0</x:v>
      </x:c>
      <x:c r="X307" s="9" t="n">
        <x:f>SUMIFS('350配方'!$M307:$P307,'350配方'!$Y307:$AB307,126)</x:f>
        <x:v>0</x:v>
      </x:c>
      <x:c r="Y307" s="9" t="n">
        <x:f>SUMIFS('350配方'!$M307:$P307,'350配方'!$Y307:$AB307,136)</x:f>
        <x:v>228.58258901324922</x:v>
      </x:c>
      <x:c r="Z307" s="9" t="n">
        <x:f>SUMIFS('350配方'!$M307:$P307,'350配方'!$Y307:$AB307,141)</x:f>
        <x:v>0</x:v>
      </x:c>
      <x:c r="AA307" s="9" t="n">
        <x:f>SUMIFS('350配方'!$M307:$P307,'350配方'!$Y307:$AB307,152)</x:f>
        <x:v>0</x:v>
      </x:c>
      <x:c r="AB307" s="9" t="n">
        <x:f>SUMIFS('350配方'!$M307:$P307,'350配方'!$Y307:$AB307,165)</x:f>
        <x:v>0</x:v>
      </x:c>
      <x:c r="AC307" s="9" t="n">
        <x:f>SUMIFS('350配方'!$M307:$P307,'350配方'!$Y307:$AB307,186)</x:f>
        <x:v>0</x:v>
      </x:c>
      <x:c r="AD307" s="9" t="n">
        <x:f>SUMIFS('350配方'!$M307:$P307,'350配方'!$Y307:$AB307,207)</x:f>
        <x:v>0</x:v>
      </x:c>
      <x:c r="AE307" s="9" t="n">
        <x:f>SUMIFS('350配方'!$M307:$P307,'350配方'!$Y307:$AB307,209)</x:f>
        <x:v>0</x:v>
      </x:c>
      <x:c r="AF307" s="9" t="n">
        <x:f>SUMIFS('350配方'!$M307:$P307,'350配方'!$Y307:$AB307,227)</x:f>
        <x:v>0</x:v>
      </x:c>
      <x:c r="AG307" s="9" t="n">
        <x:f>SUMIFS('350配方'!$M307:$P307,'350配方'!$Y307:$AB307,232)</x:f>
        <x:v>0</x:v>
      </x:c>
      <x:c r="AH307" s="9" t="n">
        <x:f>SUMIFS('350配方'!$M307:$P307,'350配方'!$Y307:$AB307,255)</x:f>
        <x:v>0</x:v>
      </x:c>
      <x:c r="AI307" s="9" t="n">
        <x:f>'浓度设置'!S6</x:f>
        <x:v>219125.9626344086</x:v>
      </x:c>
      <x:c r="AJ307" s="9" t="n">
        <x:f>'浓度设置'!S8</x:f>
        <x:v>92796.92267241378</x:v>
      </x:c>
      <x:c r="AK307" s="9" t="n">
        <x:f>'浓度设置'!S10</x:f>
        <x:v>30556.797802197798</x:v>
      </x:c>
      <x:c r="AL307" s="9" t="n">
        <x:f>'浓度设置'!S12</x:f>
        <x:v>1735.828970588235</x:v>
      </x:c>
      <x:c r="AM307" s="9" t="n">
        <x:f>'浓度设置'!S15</x:f>
        <x:v>7385.813644067793</x:v>
      </x:c>
      <x:c r="AN307" s="9" t="n">
        <x:f>'浓度设置'!S19</x:f>
        <x:v>27722.03097701148</x:v>
      </x:c>
      <x:c r="AO307" s="9" t="n">
        <x:f>'浓度设置'!S22</x:f>
        <x:v>44345.55047619048</x:v>
      </x:c>
      <x:c r="AP307" s="9" t="n">
        <x:f>'浓度设置'!S26</x:f>
        <x:v>153318.30499999996</x:v>
      </x:c>
      <x:c r="AQ307" s="9" t="n">
        <x:f>'浓度设置'!S29</x:f>
        <x:v>312.7970588235294</x:v>
      </x:c>
      <x:c r="AR307" s="9" t="n">
        <x:f>'浓度设置'!S30</x:f>
        <x:v>104175.5097553192</x:v>
      </x:c>
      <x:c r="AS307" s="9" t="n">
        <x:f>'浓度设置'!S35</x:f>
        <x:v>405974.90656785714</x:v>
      </x:c>
    </x:row>
    <x:row r="308" ht="24" customHeight="1">
      <x:c r="A308" s="3" t="str">
        <x:f>'350配方'!A308</x:f>
        <x:v>T303</x:v>
      </x:c>
      <x:c r="B308" s="3" t="str">
        <x:f>'350配方'!B308</x:f>
        <x:v>拟合</x:v>
      </x:c>
      <x:c r="C308" s="3" t="n">
        <x:f>IF(B308="拟合",1,0)</x:f>
        <x:v>1</x:v>
      </x:c>
      <x:c r="D308" s="3" t="n">
        <x:f>'350配方'!AC308</x:f>
        <x:v>4</x:v>
      </x:c>
      <x:c r="E308" s="9" t="n">
        <x:f>SUMIFS('350配方'!$M308:$P308,'350配方'!$Y308:$AB308,7)</x:f>
        <x:v>0</x:v>
      </x:c>
      <x:c r="F308" s="9" t="n">
        <x:f>SUMIFS('350配方'!$M308:$P308,'350配方'!$Y308:$AB308,11)</x:f>
        <x:v>1038900</x:v>
      </x:c>
      <x:c r="G308" s="9" t="n">
        <x:f>SUMIFS('350配方'!$M308:$P308,'350配方'!$Y308:$AB308,18)</x:f>
        <x:v>0</x:v>
      </x:c>
      <x:c r="H308" s="9" t="n">
        <x:f>SUMIFS('350配方'!$M308:$P308,'350配方'!$Y308:$AB308,32)</x:f>
        <x:v>0</x:v>
      </x:c>
      <x:c r="I308" s="9" t="n">
        <x:f>SUMIFS('350配方'!$M308:$P308,'350配方'!$Y308:$AB308,40)</x:f>
        <x:v>0</x:v>
      </x:c>
      <x:c r="J308" s="9" t="n">
        <x:f>SUMIFS('350配方'!$M308:$P308,'350配方'!$Y308:$AB308,52)</x:f>
        <x:v>0</x:v>
      </x:c>
      <x:c r="K308" s="9" t="n">
        <x:f>SUMIFS('350配方'!$M308:$P308,'350配方'!$Y308:$AB308,53)</x:f>
        <x:v>784300</x:v>
      </x:c>
      <x:c r="L308" s="9" t="n">
        <x:f>SUMIFS('350配方'!$M308:$P308,'350配方'!$Y308:$AB308,56)</x:f>
        <x:v>0</x:v>
      </x:c>
      <x:c r="M308" s="9" t="n">
        <x:f>SUMIFS('350配方'!$M308:$P308,'350配方'!$Y308:$AB308,58)</x:f>
        <x:v>0</x:v>
      </x:c>
      <x:c r="N308" s="9" t="n">
        <x:f>SUMIFS('350配方'!$M308:$P308,'350配方'!$Y308:$AB308,61)</x:f>
        <x:v>0</x:v>
      </x:c>
      <x:c r="O308" s="9" t="n">
        <x:f>SUMIFS('350配方'!$M308:$P308,'350配方'!$Y308:$AB308,69)</x:f>
        <x:v>0</x:v>
      </x:c>
      <x:c r="P308" s="9" t="n">
        <x:f>SUMIFS('350配方'!$M308:$P308,'350配方'!$Y308:$AB308,75)</x:f>
        <x:v>0</x:v>
      </x:c>
      <x:c r="Q308" s="9" t="n">
        <x:f>SUMIFS('350配方'!$M308:$P308,'350配方'!$Y308:$AB308,79)</x:f>
        <x:v>0</x:v>
      </x:c>
      <x:c r="R308" s="9" t="n">
        <x:f>SUMIFS('350配方'!$M308:$P308,'350配方'!$Y308:$AB308,90)</x:f>
        <x:v>0</x:v>
      </x:c>
      <x:c r="S308" s="9" t="n">
        <x:f>SUMIFS('350配方'!$M308:$P308,'350配方'!$Y308:$AB308,105)</x:f>
        <x:v>0</x:v>
      </x:c>
      <x:c r="T308" s="9" t="n">
        <x:f>SUMIFS('350配方'!$M308:$P308,'350配方'!$Y308:$AB308,111)</x:f>
        <x:v>0</x:v>
      </x:c>
      <x:c r="U308" s="9" t="n">
        <x:f>SUMIFS('350配方'!$M308:$P308,'350配方'!$Y308:$AB308,114)</x:f>
        <x:v>3147.945</x:v>
      </x:c>
      <x:c r="V308" s="9" t="n">
        <x:f>SUMIFS('350配方'!$M308:$P308,'350配方'!$Y308:$AB308,115)</x:f>
        <x:v>96.86609313893071</x:v>
      </x:c>
      <x:c r="W308" s="9" t="n">
        <x:f>SUMIFS('350配方'!$M308:$P308,'350配方'!$Y308:$AB308,117)</x:f>
        <x:v>0</x:v>
      </x:c>
      <x:c r="X308" s="9" t="n">
        <x:f>SUMIFS('350配方'!$M308:$P308,'350配方'!$Y308:$AB308,126)</x:f>
        <x:v>0</x:v>
      </x:c>
      <x:c r="Y308" s="9" t="n">
        <x:f>SUMIFS('350配方'!$M308:$P308,'350配方'!$Y308:$AB308,136)</x:f>
        <x:v>0</x:v>
      </x:c>
      <x:c r="Z308" s="9" t="n">
        <x:f>SUMIFS('350配方'!$M308:$P308,'350配方'!$Y308:$AB308,141)</x:f>
        <x:v>0</x:v>
      </x:c>
      <x:c r="AA308" s="9" t="n">
        <x:f>SUMIFS('350配方'!$M308:$P308,'350配方'!$Y308:$AB308,152)</x:f>
        <x:v>0</x:v>
      </x:c>
      <x:c r="AB308" s="9" t="n">
        <x:f>SUMIFS('350配方'!$M308:$P308,'350配方'!$Y308:$AB308,165)</x:f>
        <x:v>0</x:v>
      </x:c>
      <x:c r="AC308" s="9" t="n">
        <x:f>SUMIFS('350配方'!$M308:$P308,'350配方'!$Y308:$AB308,186)</x:f>
        <x:v>0</x:v>
      </x:c>
      <x:c r="AD308" s="9" t="n">
        <x:f>SUMIFS('350配方'!$M308:$P308,'350配方'!$Y308:$AB308,207)</x:f>
        <x:v>0</x:v>
      </x:c>
      <x:c r="AE308" s="9" t="n">
        <x:f>SUMIFS('350配方'!$M308:$P308,'350配方'!$Y308:$AB308,209)</x:f>
        <x:v>0</x:v>
      </x:c>
      <x:c r="AF308" s="9" t="n">
        <x:f>SUMIFS('350配方'!$M308:$P308,'350配方'!$Y308:$AB308,227)</x:f>
        <x:v>0</x:v>
      </x:c>
      <x:c r="AG308" s="9" t="n">
        <x:f>SUMIFS('350配方'!$M308:$P308,'350配方'!$Y308:$AB308,232)</x:f>
        <x:v>0</x:v>
      </x:c>
      <x:c r="AH308" s="9" t="n">
        <x:f>SUMIFS('350配方'!$M308:$P308,'350配方'!$Y308:$AB308,255)</x:f>
        <x:v>0</x:v>
      </x:c>
      <x:c r="AI308" s="9" t="n">
        <x:f>'浓度设置'!S6</x:f>
        <x:v>219125.9626344086</x:v>
      </x:c>
      <x:c r="AJ308" s="9" t="n">
        <x:f>'浓度设置'!S8</x:f>
        <x:v>92796.92267241378</x:v>
      </x:c>
      <x:c r="AK308" s="9" t="n">
        <x:f>'浓度设置'!S10</x:f>
        <x:v>30556.797802197798</x:v>
      </x:c>
      <x:c r="AL308" s="9" t="n">
        <x:f>'浓度设置'!S12</x:f>
        <x:v>1735.828970588235</x:v>
      </x:c>
      <x:c r="AM308" s="9" t="n">
        <x:f>'浓度设置'!S15</x:f>
        <x:v>7385.813644067793</x:v>
      </x:c>
      <x:c r="AN308" s="9" t="n">
        <x:f>'浓度设置'!S19</x:f>
        <x:v>27722.03097701148</x:v>
      </x:c>
      <x:c r="AO308" s="9" t="n">
        <x:f>'浓度设置'!S22</x:f>
        <x:v>44345.55047619048</x:v>
      </x:c>
      <x:c r="AP308" s="9" t="n">
        <x:f>'浓度设置'!S26</x:f>
        <x:v>153318.30499999996</x:v>
      </x:c>
      <x:c r="AQ308" s="9" t="n">
        <x:f>'浓度设置'!S29</x:f>
        <x:v>312.7970588235294</x:v>
      </x:c>
      <x:c r="AR308" s="9" t="n">
        <x:f>'浓度设置'!S30</x:f>
        <x:v>104175.5097553192</x:v>
      </x:c>
      <x:c r="AS308" s="9" t="n">
        <x:f>'浓度设置'!S35</x:f>
        <x:v>405974.90656785714</x:v>
      </x:c>
    </x:row>
    <x:row r="309" ht="24" customHeight="1">
      <x:c r="A309" s="3" t="str">
        <x:f>'350配方'!A309</x:f>
        <x:v>T304</x:v>
      </x:c>
      <x:c r="B309" s="3" t="str">
        <x:f>'350配方'!B309</x:f>
        <x:v>拟合</x:v>
      </x:c>
      <x:c r="C309" s="3" t="n">
        <x:f>IF(B309="拟合",1,0)</x:f>
        <x:v>1</x:v>
      </x:c>
      <x:c r="D309" s="3" t="n">
        <x:f>'350配方'!AC309</x:f>
        <x:v>4</x:v>
      </x:c>
      <x:c r="E309" s="9" t="n">
        <x:f>SUMIFS('350配方'!$M309:$P309,'350配方'!$Y309:$AB309,7)</x:f>
        <x:v>0</x:v>
      </x:c>
      <x:c r="F309" s="9" t="n">
        <x:f>SUMIFS('350配方'!$M309:$P309,'350配方'!$Y309:$AB309,11)</x:f>
        <x:v>0</x:v>
      </x:c>
      <x:c r="G309" s="9" t="n">
        <x:f>SUMIFS('350配方'!$M309:$P309,'350配方'!$Y309:$AB309,18)</x:f>
        <x:v>0</x:v>
      </x:c>
      <x:c r="H309" s="9" t="n">
        <x:f>SUMIFS('350配方'!$M309:$P309,'350配方'!$Y309:$AB309,32)</x:f>
        <x:v>0</x:v>
      </x:c>
      <x:c r="I309" s="9" t="n">
        <x:f>SUMIFS('350配方'!$M309:$P309,'350配方'!$Y309:$AB309,40)</x:f>
        <x:v>0</x:v>
      </x:c>
      <x:c r="J309" s="9" t="n">
        <x:f>SUMIFS('350配方'!$M309:$P309,'350配方'!$Y309:$AB309,52)</x:f>
        <x:v>0</x:v>
      </x:c>
      <x:c r="K309" s="9" t="n">
        <x:f>SUMIFS('350配方'!$M309:$P309,'350配方'!$Y309:$AB309,53)</x:f>
        <x:v>0</x:v>
      </x:c>
      <x:c r="L309" s="9" t="n">
        <x:f>SUMIFS('350配方'!$M309:$P309,'350配方'!$Y309:$AB309,56)</x:f>
        <x:v>1041.8500000000001</x:v>
      </x:c>
      <x:c r="M309" s="9" t="n">
        <x:f>SUMIFS('350配方'!$M309:$P309,'350配方'!$Y309:$AB309,58)</x:f>
        <x:v>0</x:v>
      </x:c>
      <x:c r="N309" s="9" t="n">
        <x:f>SUMIFS('350配方'!$M309:$P309,'350配方'!$Y309:$AB309,61)</x:f>
        <x:v>0</x:v>
      </x:c>
      <x:c r="O309" s="9" t="n">
        <x:f>SUMIFS('350配方'!$M309:$P309,'350配方'!$Y309:$AB309,69)</x:f>
        <x:v>99.89207175747232</x:v>
      </x:c>
      <x:c r="P309" s="9" t="n">
        <x:f>SUMIFS('350配方'!$M309:$P309,'350配方'!$Y309:$AB309,75)</x:f>
        <x:v>0</x:v>
      </x:c>
      <x:c r="Q309" s="9" t="n">
        <x:f>SUMIFS('350配方'!$M309:$P309,'350配方'!$Y309:$AB309,79)</x:f>
        <x:v>0</x:v>
      </x:c>
      <x:c r="R309" s="9" t="n">
        <x:f>SUMIFS('350配方'!$M309:$P309,'350配方'!$Y309:$AB309,90)</x:f>
        <x:v>0</x:v>
      </x:c>
      <x:c r="S309" s="9" t="n">
        <x:f>SUMIFS('350配方'!$M309:$P309,'350配方'!$Y309:$AB309,105)</x:f>
        <x:v>0</x:v>
      </x:c>
      <x:c r="T309" s="9" t="n">
        <x:f>SUMIFS('350配方'!$M309:$P309,'350配方'!$Y309:$AB309,111)</x:f>
        <x:v>0</x:v>
      </x:c>
      <x:c r="U309" s="9" t="n">
        <x:f>SUMIFS('350配方'!$M309:$P309,'350配方'!$Y309:$AB309,114)</x:f>
        <x:v>0</x:v>
      </x:c>
      <x:c r="V309" s="9" t="n">
        <x:f>SUMIFS('350配方'!$M309:$P309,'350配方'!$Y309:$AB309,115)</x:f>
        <x:v>0</x:v>
      </x:c>
      <x:c r="W309" s="9" t="n">
        <x:f>SUMIFS('350配方'!$M309:$P309,'350配方'!$Y309:$AB309,117)</x:f>
        <x:v>40201.1</x:v>
      </x:c>
      <x:c r="X309" s="9" t="n">
        <x:f>SUMIFS('350配方'!$M309:$P309,'350配方'!$Y309:$AB309,126)</x:f>
        <x:v>0</x:v>
      </x:c>
      <x:c r="Y309" s="9" t="n">
        <x:f>SUMIFS('350配方'!$M309:$P309,'350配方'!$Y309:$AB309,136)</x:f>
        <x:v>0</x:v>
      </x:c>
      <x:c r="Z309" s="9" t="n">
        <x:f>SUMIFS('350配方'!$M309:$P309,'350配方'!$Y309:$AB309,141)</x:f>
        <x:v>2.2</x:v>
      </x:c>
      <x:c r="AA309" s="9" t="n">
        <x:f>SUMIFS('350配方'!$M309:$P309,'350配方'!$Y309:$AB309,152)</x:f>
        <x:v>0</x:v>
      </x:c>
      <x:c r="AB309" s="9" t="n">
        <x:f>SUMIFS('350配方'!$M309:$P309,'350配方'!$Y309:$AB309,165)</x:f>
        <x:v>0</x:v>
      </x:c>
      <x:c r="AC309" s="9" t="n">
        <x:f>SUMIFS('350配方'!$M309:$P309,'350配方'!$Y309:$AB309,186)</x:f>
        <x:v>0</x:v>
      </x:c>
      <x:c r="AD309" s="9" t="n">
        <x:f>SUMIFS('350配方'!$M309:$P309,'350配方'!$Y309:$AB309,207)</x:f>
        <x:v>0</x:v>
      </x:c>
      <x:c r="AE309" s="9" t="n">
        <x:f>SUMIFS('350配方'!$M309:$P309,'350配方'!$Y309:$AB309,209)</x:f>
        <x:v>0</x:v>
      </x:c>
      <x:c r="AF309" s="9" t="n">
        <x:f>SUMIFS('350配方'!$M309:$P309,'350配方'!$Y309:$AB309,227)</x:f>
        <x:v>0</x:v>
      </x:c>
      <x:c r="AG309" s="9" t="n">
        <x:f>SUMIFS('350配方'!$M309:$P309,'350配方'!$Y309:$AB309,232)</x:f>
        <x:v>0</x:v>
      </x:c>
      <x:c r="AH309" s="9" t="n">
        <x:f>SUMIFS('350配方'!$M309:$P309,'350配方'!$Y309:$AB309,255)</x:f>
        <x:v>0</x:v>
      </x:c>
      <x:c r="AI309" s="9" t="n">
        <x:f>'浓度设置'!S6</x:f>
        <x:v>219125.9626344086</x:v>
      </x:c>
      <x:c r="AJ309" s="9" t="n">
        <x:f>'浓度设置'!S8</x:f>
        <x:v>92796.92267241378</x:v>
      </x:c>
      <x:c r="AK309" s="9" t="n">
        <x:f>'浓度设置'!S10</x:f>
        <x:v>30556.797802197798</x:v>
      </x:c>
      <x:c r="AL309" s="9" t="n">
        <x:f>'浓度设置'!S12</x:f>
        <x:v>1735.828970588235</x:v>
      </x:c>
      <x:c r="AM309" s="9" t="n">
        <x:f>'浓度设置'!S15</x:f>
        <x:v>7385.813644067793</x:v>
      </x:c>
      <x:c r="AN309" s="9" t="n">
        <x:f>'浓度设置'!S19</x:f>
        <x:v>27722.03097701148</x:v>
      </x:c>
      <x:c r="AO309" s="9" t="n">
        <x:f>'浓度设置'!S22</x:f>
        <x:v>44345.55047619048</x:v>
      </x:c>
      <x:c r="AP309" s="9" t="n">
        <x:f>'浓度设置'!S26</x:f>
        <x:v>153318.30499999996</x:v>
      </x:c>
      <x:c r="AQ309" s="9" t="n">
        <x:f>'浓度设置'!S29</x:f>
        <x:v>312.7970588235294</x:v>
      </x:c>
      <x:c r="AR309" s="9" t="n">
        <x:f>'浓度设置'!S30</x:f>
        <x:v>104175.5097553192</x:v>
      </x:c>
      <x:c r="AS309" s="9" t="n">
        <x:f>'浓度设置'!S35</x:f>
        <x:v>405974.90656785714</x:v>
      </x:c>
    </x:row>
    <x:row r="310" ht="24" customHeight="1">
      <x:c r="A310" s="3" t="str">
        <x:f>'350配方'!A310</x:f>
        <x:v>T305</x:v>
      </x:c>
      <x:c r="B310" s="3" t="str">
        <x:f>'350配方'!B310</x:f>
        <x:v>拟合</x:v>
      </x:c>
      <x:c r="C310" s="3" t="n">
        <x:f>IF(B310="拟合",1,0)</x:f>
        <x:v>1</x:v>
      </x:c>
      <x:c r="D310" s="3" t="n">
        <x:f>'350配方'!AC310</x:f>
        <x:v>4</x:v>
      </x:c>
      <x:c r="E310" s="9" t="n">
        <x:f>SUMIFS('350配方'!$M310:$P310,'350配方'!$Y310:$AB310,7)</x:f>
        <x:v>0</x:v>
      </x:c>
      <x:c r="F310" s="9" t="n">
        <x:f>SUMIFS('350配方'!$M310:$P310,'350配方'!$Y310:$AB310,11)</x:f>
        <x:v>0</x:v>
      </x:c>
      <x:c r="G310" s="9" t="n">
        <x:f>SUMIFS('350配方'!$M310:$P310,'350配方'!$Y310:$AB310,18)</x:f>
        <x:v>0</x:v>
      </x:c>
      <x:c r="H310" s="9" t="n">
        <x:f>SUMIFS('350配方'!$M310:$P310,'350配方'!$Y310:$AB310,32)</x:f>
        <x:v>18.68</x:v>
      </x:c>
      <x:c r="I310" s="9" t="n">
        <x:f>SUMIFS('350配方'!$M310:$P310,'350配方'!$Y310:$AB310,40)</x:f>
        <x:v>0</x:v>
      </x:c>
      <x:c r="J310" s="9" t="n">
        <x:f>SUMIFS('350配方'!$M310:$P310,'350配方'!$Y310:$AB310,52)</x:f>
        <x:v>0</x:v>
      </x:c>
      <x:c r="K310" s="9" t="n">
        <x:f>SUMIFS('350配方'!$M310:$P310,'350配方'!$Y310:$AB310,53)</x:f>
        <x:v>0</x:v>
      </x:c>
      <x:c r="L310" s="9" t="n">
        <x:f>SUMIFS('350配方'!$M310:$P310,'350配方'!$Y310:$AB310,56)</x:f>
        <x:v>0</x:v>
      </x:c>
      <x:c r="M310" s="9" t="n">
        <x:f>SUMIFS('350配方'!$M310:$P310,'350配方'!$Y310:$AB310,58)</x:f>
        <x:v>0</x:v>
      </x:c>
      <x:c r="N310" s="9" t="n">
        <x:f>SUMIFS('350配方'!$M310:$P310,'350配方'!$Y310:$AB310,61)</x:f>
        <x:v>0</x:v>
      </x:c>
      <x:c r="O310" s="9" t="n">
        <x:f>SUMIFS('350配方'!$M310:$P310,'350配方'!$Y310:$AB310,69)</x:f>
        <x:v>0</x:v>
      </x:c>
      <x:c r="P310" s="9" t="n">
        <x:f>SUMIFS('350配方'!$M310:$P310,'350配方'!$Y310:$AB310,75)</x:f>
        <x:v>0</x:v>
      </x:c>
      <x:c r="Q310" s="9" t="n">
        <x:f>SUMIFS('350配方'!$M310:$P310,'350配方'!$Y310:$AB310,79)</x:f>
        <x:v>0</x:v>
      </x:c>
      <x:c r="R310" s="9" t="n">
        <x:f>SUMIFS('350配方'!$M310:$P310,'350配方'!$Y310:$AB310,90)</x:f>
        <x:v>0</x:v>
      </x:c>
      <x:c r="S310" s="9" t="n">
        <x:f>SUMIFS('350配方'!$M310:$P310,'350配方'!$Y310:$AB310,105)</x:f>
        <x:v>0</x:v>
      </x:c>
      <x:c r="T310" s="9" t="n">
        <x:f>SUMIFS('350配方'!$M310:$P310,'350配方'!$Y310:$AB310,111)</x:f>
        <x:v>833.64</x:v>
      </x:c>
      <x:c r="U310" s="9" t="n">
        <x:f>SUMIFS('350配方'!$M310:$P310,'350配方'!$Y310:$AB310,114)</x:f>
        <x:v>0</x:v>
      </x:c>
      <x:c r="V310" s="9" t="n">
        <x:f>SUMIFS('350配方'!$M310:$P310,'350配方'!$Y310:$AB310,115)</x:f>
        <x:v>0</x:v>
      </x:c>
      <x:c r="W310" s="9" t="n">
        <x:f>SUMIFS('350配方'!$M310:$P310,'350配方'!$Y310:$AB310,117)</x:f>
        <x:v>0</x:v>
      </x:c>
      <x:c r="X310" s="9" t="n">
        <x:f>SUMIFS('350配方'!$M310:$P310,'350配方'!$Y310:$AB310,126)</x:f>
        <x:v>0</x:v>
      </x:c>
      <x:c r="Y310" s="9" t="n">
        <x:f>SUMIFS('350配方'!$M310:$P310,'350配方'!$Y310:$AB310,136)</x:f>
        <x:v>0</x:v>
      </x:c>
      <x:c r="Z310" s="9" t="n">
        <x:f>SUMIFS('350配方'!$M310:$P310,'350配方'!$Y310:$AB310,141)</x:f>
        <x:v>2.2</x:v>
      </x:c>
      <x:c r="AA310" s="9" t="n">
        <x:f>SUMIFS('350配方'!$M310:$P310,'350配方'!$Y310:$AB310,152)</x:f>
        <x:v>0</x:v>
      </x:c>
      <x:c r="AB310" s="9" t="n">
        <x:f>SUMIFS('350配方'!$M310:$P310,'350配方'!$Y310:$AB310,165)</x:f>
        <x:v>86300</x:v>
      </x:c>
      <x:c r="AC310" s="9" t="n">
        <x:f>SUMIFS('350配方'!$M310:$P310,'350配方'!$Y310:$AB310,186)</x:f>
        <x:v>0</x:v>
      </x:c>
      <x:c r="AD310" s="9" t="n">
        <x:f>SUMIFS('350配方'!$M310:$P310,'350配方'!$Y310:$AB310,207)</x:f>
        <x:v>0</x:v>
      </x:c>
      <x:c r="AE310" s="9" t="n">
        <x:f>SUMIFS('350配方'!$M310:$P310,'350配方'!$Y310:$AB310,209)</x:f>
        <x:v>0</x:v>
      </x:c>
      <x:c r="AF310" s="9" t="n">
        <x:f>SUMIFS('350配方'!$M310:$P310,'350配方'!$Y310:$AB310,227)</x:f>
        <x:v>0</x:v>
      </x:c>
      <x:c r="AG310" s="9" t="n">
        <x:f>SUMIFS('350配方'!$M310:$P310,'350配方'!$Y310:$AB310,232)</x:f>
        <x:v>0</x:v>
      </x:c>
      <x:c r="AH310" s="9" t="n">
        <x:f>SUMIFS('350配方'!$M310:$P310,'350配方'!$Y310:$AB310,255)</x:f>
        <x:v>0</x:v>
      </x:c>
      <x:c r="AI310" s="9" t="n">
        <x:f>'浓度设置'!S6</x:f>
        <x:v>219125.9626344086</x:v>
      </x:c>
      <x:c r="AJ310" s="9" t="n">
        <x:f>'浓度设置'!S8</x:f>
        <x:v>92796.92267241378</x:v>
      </x:c>
      <x:c r="AK310" s="9" t="n">
        <x:f>'浓度设置'!S10</x:f>
        <x:v>30556.797802197798</x:v>
      </x:c>
      <x:c r="AL310" s="9" t="n">
        <x:f>'浓度设置'!S12</x:f>
        <x:v>1735.828970588235</x:v>
      </x:c>
      <x:c r="AM310" s="9" t="n">
        <x:f>'浓度设置'!S15</x:f>
        <x:v>7385.813644067793</x:v>
      </x:c>
      <x:c r="AN310" s="9" t="n">
        <x:f>'浓度设置'!S19</x:f>
        <x:v>27722.03097701148</x:v>
      </x:c>
      <x:c r="AO310" s="9" t="n">
        <x:f>'浓度设置'!S22</x:f>
        <x:v>44345.55047619048</x:v>
      </x:c>
      <x:c r="AP310" s="9" t="n">
        <x:f>'浓度设置'!S26</x:f>
        <x:v>153318.30499999996</x:v>
      </x:c>
      <x:c r="AQ310" s="9" t="n">
        <x:f>'浓度设置'!S29</x:f>
        <x:v>312.7970588235294</x:v>
      </x:c>
      <x:c r="AR310" s="9" t="n">
        <x:f>'浓度设置'!S30</x:f>
        <x:v>104175.5097553192</x:v>
      </x:c>
      <x:c r="AS310" s="9" t="n">
        <x:f>'浓度设置'!S35</x:f>
        <x:v>405974.90656785714</x:v>
      </x:c>
    </x:row>
    <x:row r="311" ht="24" customHeight="1">
      <x:c r="A311" s="3" t="str">
        <x:f>'350配方'!A311</x:f>
        <x:v>T306</x:v>
      </x:c>
      <x:c r="B311" s="3" t="str">
        <x:f>'350配方'!B311</x:f>
        <x:v>拟合</x:v>
      </x:c>
      <x:c r="C311" s="3" t="n">
        <x:f>IF(B311="拟合",1,0)</x:f>
        <x:v>1</x:v>
      </x:c>
      <x:c r="D311" s="3" t="n">
        <x:f>'350配方'!AC311</x:f>
        <x:v>4</x:v>
      </x:c>
      <x:c r="E311" s="9" t="n">
        <x:f>SUMIFS('350配方'!$M311:$P311,'350配方'!$Y311:$AB311,7)</x:f>
        <x:v>3075.94</x:v>
      </x:c>
      <x:c r="F311" s="9" t="n">
        <x:f>SUMIFS('350配方'!$M311:$P311,'350配方'!$Y311:$AB311,11)</x:f>
        <x:v>0</x:v>
      </x:c>
      <x:c r="G311" s="9" t="n">
        <x:f>SUMIFS('350配方'!$M311:$P311,'350配方'!$Y311:$AB311,18)</x:f>
        <x:v>0</x:v>
      </x:c>
      <x:c r="H311" s="9" t="n">
        <x:f>SUMIFS('350配方'!$M311:$P311,'350配方'!$Y311:$AB311,32)</x:f>
        <x:v>0</x:v>
      </x:c>
      <x:c r="I311" s="9" t="n">
        <x:f>SUMIFS('350配方'!$M311:$P311,'350配方'!$Y311:$AB311,40)</x:f>
        <x:v>0</x:v>
      </x:c>
      <x:c r="J311" s="9" t="n">
        <x:f>SUMIFS('350配方'!$M311:$P311,'350配方'!$Y311:$AB311,52)</x:f>
        <x:v>0</x:v>
      </x:c>
      <x:c r="K311" s="9" t="n">
        <x:f>SUMIFS('350配方'!$M311:$P311,'350配方'!$Y311:$AB311,53)</x:f>
        <x:v>0</x:v>
      </x:c>
      <x:c r="L311" s="9" t="n">
        <x:f>SUMIFS('350配方'!$M311:$P311,'350配方'!$Y311:$AB311,56)</x:f>
        <x:v>0</x:v>
      </x:c>
      <x:c r="M311" s="9" t="n">
        <x:f>SUMIFS('350配方'!$M311:$P311,'350配方'!$Y311:$AB311,58)</x:f>
        <x:v>0</x:v>
      </x:c>
      <x:c r="N311" s="9" t="n">
        <x:f>SUMIFS('350配方'!$M311:$P311,'350配方'!$Y311:$AB311,61)</x:f>
        <x:v>0</x:v>
      </x:c>
      <x:c r="O311" s="9" t="n">
        <x:f>SUMIFS('350配方'!$M311:$P311,'350配方'!$Y311:$AB311,69)</x:f>
        <x:v>0</x:v>
      </x:c>
      <x:c r="P311" s="9" t="n">
        <x:f>SUMIFS('350配方'!$M311:$P311,'350配方'!$Y311:$AB311,75)</x:f>
        <x:v>62700</x:v>
      </x:c>
      <x:c r="Q311" s="9" t="n">
        <x:f>SUMIFS('350配方'!$M311:$P311,'350配方'!$Y311:$AB311,79)</x:f>
        <x:v>0</x:v>
      </x:c>
      <x:c r="R311" s="9" t="n">
        <x:f>SUMIFS('350配方'!$M311:$P311,'350配方'!$Y311:$AB311,90)</x:f>
        <x:v>0</x:v>
      </x:c>
      <x:c r="S311" s="9" t="n">
        <x:f>SUMIFS('350配方'!$M311:$P311,'350配方'!$Y311:$AB311,105)</x:f>
        <x:v>0</x:v>
      </x:c>
      <x:c r="T311" s="9" t="n">
        <x:f>SUMIFS('350配方'!$M311:$P311,'350配方'!$Y311:$AB311,111)</x:f>
        <x:v>89562.18016998023</x:v>
      </x:c>
      <x:c r="U311" s="9" t="n">
        <x:f>SUMIFS('350配方'!$M311:$P311,'350配方'!$Y311:$AB311,114)</x:f>
        <x:v>0</x:v>
      </x:c>
      <x:c r="V311" s="9" t="n">
        <x:f>SUMIFS('350配方'!$M311:$P311,'350配方'!$Y311:$AB311,115)</x:f>
        <x:v>0</x:v>
      </x:c>
      <x:c r="W311" s="9" t="n">
        <x:f>SUMIFS('350配方'!$M311:$P311,'350配方'!$Y311:$AB311,117)</x:f>
        <x:v>0</x:v>
      </x:c>
      <x:c r="X311" s="9" t="n">
        <x:f>SUMIFS('350配方'!$M311:$P311,'350配方'!$Y311:$AB311,126)</x:f>
        <x:v>0</x:v>
      </x:c>
      <x:c r="Y311" s="9" t="n">
        <x:f>SUMIFS('350配方'!$M311:$P311,'350配方'!$Y311:$AB311,136)</x:f>
        <x:v>0</x:v>
      </x:c>
      <x:c r="Z311" s="9" t="n">
        <x:f>SUMIFS('350配方'!$M311:$P311,'350配方'!$Y311:$AB311,141)</x:f>
        <x:v>0</x:v>
      </x:c>
      <x:c r="AA311" s="9" t="n">
        <x:f>SUMIFS('350配方'!$M311:$P311,'350配方'!$Y311:$AB311,152)</x:f>
        <x:v>0</x:v>
      </x:c>
      <x:c r="AB311" s="9" t="n">
        <x:f>SUMIFS('350配方'!$M311:$P311,'350配方'!$Y311:$AB311,165)</x:f>
        <x:v>0</x:v>
      </x:c>
      <x:c r="AC311" s="9" t="n">
        <x:f>SUMIFS('350配方'!$M311:$P311,'350配方'!$Y311:$AB311,186)</x:f>
        <x:v>0</x:v>
      </x:c>
      <x:c r="AD311" s="9" t="n">
        <x:f>SUMIFS('350配方'!$M311:$P311,'350配方'!$Y311:$AB311,207)</x:f>
        <x:v>0</x:v>
      </x:c>
      <x:c r="AE311" s="9" t="n">
        <x:f>SUMIFS('350配方'!$M311:$P311,'350配方'!$Y311:$AB311,209)</x:f>
        <x:v>0</x:v>
      </x:c>
      <x:c r="AF311" s="9" t="n">
        <x:f>SUMIFS('350配方'!$M311:$P311,'350配方'!$Y311:$AB311,227)</x:f>
        <x:v>0</x:v>
      </x:c>
      <x:c r="AG311" s="9" t="n">
        <x:f>SUMIFS('350配方'!$M311:$P311,'350配方'!$Y311:$AB311,232)</x:f>
        <x:v>0</x:v>
      </x:c>
      <x:c r="AH311" s="9" t="n">
        <x:f>SUMIFS('350配方'!$M311:$P311,'350配方'!$Y311:$AB311,255)</x:f>
        <x:v>9.546727187890099</x:v>
      </x:c>
      <x:c r="AI311" s="9" t="n">
        <x:f>'浓度设置'!S6</x:f>
        <x:v>219125.9626344086</x:v>
      </x:c>
      <x:c r="AJ311" s="9" t="n">
        <x:f>'浓度设置'!S8</x:f>
        <x:v>92796.92267241378</x:v>
      </x:c>
      <x:c r="AK311" s="9" t="n">
        <x:f>'浓度设置'!S10</x:f>
        <x:v>30556.797802197798</x:v>
      </x:c>
      <x:c r="AL311" s="9" t="n">
        <x:f>'浓度设置'!S12</x:f>
        <x:v>1735.828970588235</x:v>
      </x:c>
      <x:c r="AM311" s="9" t="n">
        <x:f>'浓度设置'!S15</x:f>
        <x:v>7385.813644067793</x:v>
      </x:c>
      <x:c r="AN311" s="9" t="n">
        <x:f>'浓度设置'!S19</x:f>
        <x:v>27722.03097701148</x:v>
      </x:c>
      <x:c r="AO311" s="9" t="n">
        <x:f>'浓度设置'!S22</x:f>
        <x:v>44345.55047619048</x:v>
      </x:c>
      <x:c r="AP311" s="9" t="n">
        <x:f>'浓度设置'!S26</x:f>
        <x:v>153318.30499999996</x:v>
      </x:c>
      <x:c r="AQ311" s="9" t="n">
        <x:f>'浓度设置'!S29</x:f>
        <x:v>312.7970588235294</x:v>
      </x:c>
      <x:c r="AR311" s="9" t="n">
        <x:f>'浓度设置'!S30</x:f>
        <x:v>104175.5097553192</x:v>
      </x:c>
      <x:c r="AS311" s="9" t="n">
        <x:f>'浓度设置'!S35</x:f>
        <x:v>405974.90656785714</x:v>
      </x:c>
    </x:row>
    <x:row r="312" ht="24" customHeight="1">
      <x:c r="A312" s="3" t="str">
        <x:f>'350配方'!A312</x:f>
        <x:v>T307</x:v>
      </x:c>
      <x:c r="B312" s="3" t="str">
        <x:f>'350配方'!B312</x:f>
        <x:v>拟合</x:v>
      </x:c>
      <x:c r="C312" s="3" t="n">
        <x:f>IF(B312="拟合",1,0)</x:f>
        <x:v>1</x:v>
      </x:c>
      <x:c r="D312" s="3" t="n">
        <x:f>'350配方'!AC312</x:f>
        <x:v>4</x:v>
      </x:c>
      <x:c r="E312" s="9" t="n">
        <x:f>SUMIFS('350配方'!$M312:$P312,'350配方'!$Y312:$AB312,7)</x:f>
        <x:v>0</x:v>
      </x:c>
      <x:c r="F312" s="9" t="n">
        <x:f>SUMIFS('350配方'!$M312:$P312,'350配方'!$Y312:$AB312,11)</x:f>
        <x:v>0</x:v>
      </x:c>
      <x:c r="G312" s="9" t="n">
        <x:f>SUMIFS('350配方'!$M312:$P312,'350配方'!$Y312:$AB312,18)</x:f>
        <x:v>0</x:v>
      </x:c>
      <x:c r="H312" s="9" t="n">
        <x:f>SUMIFS('350配方'!$M312:$P312,'350配方'!$Y312:$AB312,32)</x:f>
        <x:v>0</x:v>
      </x:c>
      <x:c r="I312" s="9" t="n">
        <x:f>SUMIFS('350配方'!$M312:$P312,'350配方'!$Y312:$AB312,40)</x:f>
        <x:v>0</x:v>
      </x:c>
      <x:c r="J312" s="9" t="n">
        <x:f>SUMIFS('350配方'!$M312:$P312,'350配方'!$Y312:$AB312,52)</x:f>
        <x:v>0</x:v>
      </x:c>
      <x:c r="K312" s="9" t="n">
        <x:f>SUMIFS('350配方'!$M312:$P312,'350配方'!$Y312:$AB312,53)</x:f>
        <x:v>0</x:v>
      </x:c>
      <x:c r="L312" s="9" t="n">
        <x:f>SUMIFS('350配方'!$M312:$P312,'350配方'!$Y312:$AB312,56)</x:f>
        <x:v>1041.8500000000001</x:v>
      </x:c>
      <x:c r="M312" s="9" t="n">
        <x:f>SUMIFS('350配方'!$M312:$P312,'350配方'!$Y312:$AB312,58)</x:f>
        <x:v>0</x:v>
      </x:c>
      <x:c r="N312" s="9" t="n">
        <x:f>SUMIFS('350配方'!$M312:$P312,'350配方'!$Y312:$AB312,61)</x:f>
        <x:v>0</x:v>
      </x:c>
      <x:c r="O312" s="9" t="n">
        <x:f>SUMIFS('350配方'!$M312:$P312,'350配方'!$Y312:$AB312,69)</x:f>
        <x:v>0</x:v>
      </x:c>
      <x:c r="P312" s="9" t="n">
        <x:f>SUMIFS('350配方'!$M312:$P312,'350配方'!$Y312:$AB312,75)</x:f>
        <x:v>0</x:v>
      </x:c>
      <x:c r="Q312" s="9" t="n">
        <x:f>SUMIFS('350配方'!$M312:$P312,'350配方'!$Y312:$AB312,79)</x:f>
        <x:v>1288.255</x:v>
      </x:c>
      <x:c r="R312" s="9" t="n">
        <x:f>SUMIFS('350配方'!$M312:$P312,'350配方'!$Y312:$AB312,90)</x:f>
        <x:v>0</x:v>
      </x:c>
      <x:c r="S312" s="9" t="n">
        <x:f>SUMIFS('350配方'!$M312:$P312,'350配方'!$Y312:$AB312,105)</x:f>
        <x:v>15730</x:v>
      </x:c>
      <x:c r="T312" s="9" t="n">
        <x:f>SUMIFS('350配方'!$M312:$P312,'350配方'!$Y312:$AB312,111)</x:f>
        <x:v>0</x:v>
      </x:c>
      <x:c r="U312" s="9" t="n">
        <x:f>SUMIFS('350配方'!$M312:$P312,'350配方'!$Y312:$AB312,114)</x:f>
        <x:v>0</x:v>
      </x:c>
      <x:c r="V312" s="9" t="n">
        <x:f>SUMIFS('350配方'!$M312:$P312,'350配方'!$Y312:$AB312,115)</x:f>
        <x:v>0</x:v>
      </x:c>
      <x:c r="W312" s="9" t="n">
        <x:f>SUMIFS('350配方'!$M312:$P312,'350配方'!$Y312:$AB312,117)</x:f>
        <x:v>0</x:v>
      </x:c>
      <x:c r="X312" s="9" t="n">
        <x:f>SUMIFS('350配方'!$M312:$P312,'350配方'!$Y312:$AB312,126)</x:f>
        <x:v>0</x:v>
      </x:c>
      <x:c r="Y312" s="9" t="n">
        <x:f>SUMIFS('350配方'!$M312:$P312,'350配方'!$Y312:$AB312,136)</x:f>
        <x:v>0</x:v>
      </x:c>
      <x:c r="Z312" s="9" t="n">
        <x:f>SUMIFS('350配方'!$M312:$P312,'350配方'!$Y312:$AB312,141)</x:f>
        <x:v>0</x:v>
      </x:c>
      <x:c r="AA312" s="9" t="n">
        <x:f>SUMIFS('350配方'!$M312:$P312,'350配方'!$Y312:$AB312,152)</x:f>
        <x:v>0</x:v>
      </x:c>
      <x:c r="AB312" s="9" t="n">
        <x:f>SUMIFS('350配方'!$M312:$P312,'350配方'!$Y312:$AB312,165)</x:f>
        <x:v>0</x:v>
      </x:c>
      <x:c r="AC312" s="9" t="n">
        <x:f>SUMIFS('350配方'!$M312:$P312,'350配方'!$Y312:$AB312,186)</x:f>
        <x:v>0</x:v>
      </x:c>
      <x:c r="AD312" s="9" t="n">
        <x:f>SUMIFS('350配方'!$M312:$P312,'350配方'!$Y312:$AB312,207)</x:f>
        <x:v>0</x:v>
      </x:c>
      <x:c r="AE312" s="9" t="n">
        <x:f>SUMIFS('350配方'!$M312:$P312,'350配方'!$Y312:$AB312,209)</x:f>
        <x:v>0</x:v>
      </x:c>
      <x:c r="AF312" s="9" t="n">
        <x:f>SUMIFS('350配方'!$M312:$P312,'350配方'!$Y312:$AB312,227)</x:f>
        <x:v>2.5</x:v>
      </x:c>
      <x:c r="AG312" s="9" t="n">
        <x:f>SUMIFS('350配方'!$M312:$P312,'350配方'!$Y312:$AB312,232)</x:f>
        <x:v>0</x:v>
      </x:c>
      <x:c r="AH312" s="9" t="n">
        <x:f>SUMIFS('350配方'!$M312:$P312,'350配方'!$Y312:$AB312,255)</x:f>
        <x:v>0</x:v>
      </x:c>
      <x:c r="AI312" s="9" t="n">
        <x:f>'浓度设置'!S6</x:f>
        <x:v>219125.9626344086</x:v>
      </x:c>
      <x:c r="AJ312" s="9" t="n">
        <x:f>'浓度设置'!S8</x:f>
        <x:v>92796.92267241378</x:v>
      </x:c>
      <x:c r="AK312" s="9" t="n">
        <x:f>'浓度设置'!S10</x:f>
        <x:v>30556.797802197798</x:v>
      </x:c>
      <x:c r="AL312" s="9" t="n">
        <x:f>'浓度设置'!S12</x:f>
        <x:v>1735.828970588235</x:v>
      </x:c>
      <x:c r="AM312" s="9" t="n">
        <x:f>'浓度设置'!S15</x:f>
        <x:v>7385.813644067793</x:v>
      </x:c>
      <x:c r="AN312" s="9" t="n">
        <x:f>'浓度设置'!S19</x:f>
        <x:v>27722.03097701148</x:v>
      </x:c>
      <x:c r="AO312" s="9" t="n">
        <x:f>'浓度设置'!S22</x:f>
        <x:v>44345.55047619048</x:v>
      </x:c>
      <x:c r="AP312" s="9" t="n">
        <x:f>'浓度设置'!S26</x:f>
        <x:v>153318.30499999996</x:v>
      </x:c>
      <x:c r="AQ312" s="9" t="n">
        <x:f>'浓度设置'!S29</x:f>
        <x:v>312.7970588235294</x:v>
      </x:c>
      <x:c r="AR312" s="9" t="n">
        <x:f>'浓度设置'!S30</x:f>
        <x:v>104175.5097553192</x:v>
      </x:c>
      <x:c r="AS312" s="9" t="n">
        <x:f>'浓度设置'!S35</x:f>
        <x:v>405974.90656785714</x:v>
      </x:c>
    </x:row>
    <x:row r="313" ht="24" customHeight="1">
      <x:c r="A313" s="3" t="str">
        <x:f>'350配方'!A313</x:f>
        <x:v>T308</x:v>
      </x:c>
      <x:c r="B313" s="3" t="str">
        <x:f>'350配方'!B313</x:f>
        <x:v>拟合</x:v>
      </x:c>
      <x:c r="C313" s="3" t="n">
        <x:f>IF(B313="拟合",1,0)</x:f>
        <x:v>1</x:v>
      </x:c>
      <x:c r="D313" s="3" t="n">
        <x:f>'350配方'!AC313</x:f>
        <x:v>4</x:v>
      </x:c>
      <x:c r="E313" s="9" t="n">
        <x:f>SUMIFS('350配方'!$M313:$P313,'350配方'!$Y313:$AB313,7)</x:f>
        <x:v>0</x:v>
      </x:c>
      <x:c r="F313" s="9" t="n">
        <x:f>SUMIFS('350配方'!$M313:$P313,'350配方'!$Y313:$AB313,11)</x:f>
        <x:v>0</x:v>
      </x:c>
      <x:c r="G313" s="9" t="n">
        <x:f>SUMIFS('350配方'!$M313:$P313,'350配方'!$Y313:$AB313,18)</x:f>
        <x:v>0</x:v>
      </x:c>
      <x:c r="H313" s="9" t="n">
        <x:f>SUMIFS('350配方'!$M313:$P313,'350配方'!$Y313:$AB313,32)</x:f>
        <x:v>0</x:v>
      </x:c>
      <x:c r="I313" s="9" t="n">
        <x:f>SUMIFS('350配方'!$M313:$P313,'350配方'!$Y313:$AB313,40)</x:f>
        <x:v>21400</x:v>
      </x:c>
      <x:c r="J313" s="9" t="n">
        <x:f>SUMIFS('350配方'!$M313:$P313,'350配方'!$Y313:$AB313,52)</x:f>
        <x:v>0</x:v>
      </x:c>
      <x:c r="K313" s="9" t="n">
        <x:f>SUMIFS('350配方'!$M313:$P313,'350配方'!$Y313:$AB313,53)</x:f>
        <x:v>0</x:v>
      </x:c>
      <x:c r="L313" s="9" t="n">
        <x:f>SUMIFS('350配方'!$M313:$P313,'350配方'!$Y313:$AB313,56)</x:f>
        <x:v>0</x:v>
      </x:c>
      <x:c r="M313" s="9" t="n">
        <x:f>SUMIFS('350配方'!$M313:$P313,'350配方'!$Y313:$AB313,58)</x:f>
        <x:v>1865945</x:v>
      </x:c>
      <x:c r="N313" s="9" t="n">
        <x:f>SUMIFS('350配方'!$M313:$P313,'350配方'!$Y313:$AB313,61)</x:f>
        <x:v>0</x:v>
      </x:c>
      <x:c r="O313" s="9" t="n">
        <x:f>SUMIFS('350配方'!$M313:$P313,'350配方'!$Y313:$AB313,69)</x:f>
        <x:v>0</x:v>
      </x:c>
      <x:c r="P313" s="9" t="n">
        <x:f>SUMIFS('350配方'!$M313:$P313,'350配方'!$Y313:$AB313,75)</x:f>
        <x:v>0</x:v>
      </x:c>
      <x:c r="Q313" s="9" t="n">
        <x:f>SUMIFS('350配方'!$M313:$P313,'350配方'!$Y313:$AB313,79)</x:f>
        <x:v>0</x:v>
      </x:c>
      <x:c r="R313" s="9" t="n">
        <x:f>SUMIFS('350配方'!$M313:$P313,'350配方'!$Y313:$AB313,90)</x:f>
        <x:v>0</x:v>
      </x:c>
      <x:c r="S313" s="9" t="n">
        <x:f>SUMIFS('350配方'!$M313:$P313,'350配方'!$Y313:$AB313,105)</x:f>
        <x:v>0</x:v>
      </x:c>
      <x:c r="T313" s="9" t="n">
        <x:f>SUMIFS('350配方'!$M313:$P313,'350配方'!$Y313:$AB313,111)</x:f>
        <x:v>0</x:v>
      </x:c>
      <x:c r="U313" s="9" t="n">
        <x:f>SUMIFS('350配方'!$M313:$P313,'350配方'!$Y313:$AB313,114)</x:f>
        <x:v>0</x:v>
      </x:c>
      <x:c r="V313" s="9" t="n">
        <x:f>SUMIFS('350配方'!$M313:$P313,'350配方'!$Y313:$AB313,115)</x:f>
        <x:v>0</x:v>
      </x:c>
      <x:c r="W313" s="9" t="n">
        <x:f>SUMIFS('350配方'!$M313:$P313,'350配方'!$Y313:$AB313,117)</x:f>
        <x:v>1.875</x:v>
      </x:c>
      <x:c r="X313" s="9" t="n">
        <x:f>SUMIFS('350配方'!$M313:$P313,'350配方'!$Y313:$AB313,126)</x:f>
        <x:v>0</x:v>
      </x:c>
      <x:c r="Y313" s="9" t="n">
        <x:f>SUMIFS('350配方'!$M313:$P313,'350配方'!$Y313:$AB313,136)</x:f>
        <x:v>0</x:v>
      </x:c>
      <x:c r="Z313" s="9" t="n">
        <x:f>SUMIFS('350配方'!$M313:$P313,'350配方'!$Y313:$AB313,141)</x:f>
        <x:v>0</x:v>
      </x:c>
      <x:c r="AA313" s="9" t="n">
        <x:f>SUMIFS('350配方'!$M313:$P313,'350配方'!$Y313:$AB313,152)</x:f>
        <x:v>0</x:v>
      </x:c>
      <x:c r="AB313" s="9" t="n">
        <x:f>SUMIFS('350配方'!$M313:$P313,'350配方'!$Y313:$AB313,165)</x:f>
        <x:v>0</x:v>
      </x:c>
      <x:c r="AC313" s="9" t="n">
        <x:f>SUMIFS('350配方'!$M313:$P313,'350配方'!$Y313:$AB313,186)</x:f>
        <x:v>0</x:v>
      </x:c>
      <x:c r="AD313" s="9" t="n">
        <x:f>SUMIFS('350配方'!$M313:$P313,'350配方'!$Y313:$AB313,207)</x:f>
        <x:v>0</x:v>
      </x:c>
      <x:c r="AE313" s="9" t="n">
        <x:f>SUMIFS('350配方'!$M313:$P313,'350配方'!$Y313:$AB313,209)</x:f>
        <x:v>0</x:v>
      </x:c>
      <x:c r="AF313" s="9" t="n">
        <x:f>SUMIFS('350配方'!$M313:$P313,'350配方'!$Y313:$AB313,227)</x:f>
        <x:v>0</x:v>
      </x:c>
      <x:c r="AG313" s="9" t="n">
        <x:f>SUMIFS('350配方'!$M313:$P313,'350配方'!$Y313:$AB313,232)</x:f>
        <x:v>0.97</x:v>
      </x:c>
      <x:c r="AH313" s="9" t="n">
        <x:f>SUMIFS('350配方'!$M313:$P313,'350配方'!$Y313:$AB313,255)</x:f>
        <x:v>0</x:v>
      </x:c>
      <x:c r="AI313" s="9" t="n">
        <x:f>'浓度设置'!S6</x:f>
        <x:v>219125.9626344086</x:v>
      </x:c>
      <x:c r="AJ313" s="9" t="n">
        <x:f>'浓度设置'!S8</x:f>
        <x:v>92796.92267241378</x:v>
      </x:c>
      <x:c r="AK313" s="9" t="n">
        <x:f>'浓度设置'!S10</x:f>
        <x:v>30556.797802197798</x:v>
      </x:c>
      <x:c r="AL313" s="9" t="n">
        <x:f>'浓度设置'!S12</x:f>
        <x:v>1735.828970588235</x:v>
      </x:c>
      <x:c r="AM313" s="9" t="n">
        <x:f>'浓度设置'!S15</x:f>
        <x:v>7385.813644067793</x:v>
      </x:c>
      <x:c r="AN313" s="9" t="n">
        <x:f>'浓度设置'!S19</x:f>
        <x:v>27722.03097701148</x:v>
      </x:c>
      <x:c r="AO313" s="9" t="n">
        <x:f>'浓度设置'!S22</x:f>
        <x:v>44345.55047619048</x:v>
      </x:c>
      <x:c r="AP313" s="9" t="n">
        <x:f>'浓度设置'!S26</x:f>
        <x:v>153318.30499999996</x:v>
      </x:c>
      <x:c r="AQ313" s="9" t="n">
        <x:f>'浓度设置'!S29</x:f>
        <x:v>312.7970588235294</x:v>
      </x:c>
      <x:c r="AR313" s="9" t="n">
        <x:f>'浓度设置'!S30</x:f>
        <x:v>104175.5097553192</x:v>
      </x:c>
      <x:c r="AS313" s="9" t="n">
        <x:f>'浓度设置'!S35</x:f>
        <x:v>405974.90656785714</x:v>
      </x:c>
    </x:row>
    <x:row r="314" ht="24" customHeight="1">
      <x:c r="A314" s="3" t="str">
        <x:f>'350配方'!A314</x:f>
        <x:v>T309</x:v>
      </x:c>
      <x:c r="B314" s="3" t="str">
        <x:f>'350配方'!B314</x:f>
        <x:v>拟合</x:v>
      </x:c>
      <x:c r="C314" s="3" t="n">
        <x:f>IF(B314="拟合",1,0)</x:f>
        <x:v>1</x:v>
      </x:c>
      <x:c r="D314" s="3" t="n">
        <x:f>'350配方'!AC314</x:f>
        <x:v>4</x:v>
      </x:c>
      <x:c r="E314" s="9" t="n">
        <x:f>SUMIFS('350配方'!$M314:$P314,'350配方'!$Y314:$AB314,7)</x:f>
        <x:v>0</x:v>
      </x:c>
      <x:c r="F314" s="9" t="n">
        <x:f>SUMIFS('350配方'!$M314:$P314,'350配方'!$Y314:$AB314,11)</x:f>
        <x:v>1038900</x:v>
      </x:c>
      <x:c r="G314" s="9" t="n">
        <x:f>SUMIFS('350配方'!$M314:$P314,'350配方'!$Y314:$AB314,18)</x:f>
        <x:v>0</x:v>
      </x:c>
      <x:c r="H314" s="9" t="n">
        <x:f>SUMIFS('350配方'!$M314:$P314,'350配方'!$Y314:$AB314,32)</x:f>
        <x:v>0</x:v>
      </x:c>
      <x:c r="I314" s="9" t="n">
        <x:f>SUMIFS('350配方'!$M314:$P314,'350配方'!$Y314:$AB314,40)</x:f>
        <x:v>0</x:v>
      </x:c>
      <x:c r="J314" s="9" t="n">
        <x:f>SUMIFS('350配方'!$M314:$P314,'350配方'!$Y314:$AB314,52)</x:f>
        <x:v>0</x:v>
      </x:c>
      <x:c r="K314" s="9" t="n">
        <x:f>SUMIFS('350配方'!$M314:$P314,'350配方'!$Y314:$AB314,53)</x:f>
        <x:v>0</x:v>
      </x:c>
      <x:c r="L314" s="9" t="n">
        <x:f>SUMIFS('350配方'!$M314:$P314,'350配方'!$Y314:$AB314,56)</x:f>
        <x:v>0</x:v>
      </x:c>
      <x:c r="M314" s="9" t="n">
        <x:f>SUMIFS('350配方'!$M314:$P314,'350配方'!$Y314:$AB314,58)</x:f>
        <x:v>0</x:v>
      </x:c>
      <x:c r="N314" s="9" t="n">
        <x:f>SUMIFS('350配方'!$M314:$P314,'350配方'!$Y314:$AB314,61)</x:f>
        <x:v>59.381310191002015</x:v>
      </x:c>
      <x:c r="O314" s="9" t="n">
        <x:f>SUMIFS('350配方'!$M314:$P314,'350配方'!$Y314:$AB314,69)</x:f>
        <x:v>12022.2</x:v>
      </x:c>
      <x:c r="P314" s="9" t="n">
        <x:f>SUMIFS('350配方'!$M314:$P314,'350配方'!$Y314:$AB314,75)</x:f>
        <x:v>0</x:v>
      </x:c>
      <x:c r="Q314" s="9" t="n">
        <x:f>SUMIFS('350配方'!$M314:$P314,'350配方'!$Y314:$AB314,79)</x:f>
        <x:v>0</x:v>
      </x:c>
      <x:c r="R314" s="9" t="n">
        <x:f>SUMIFS('350配方'!$M314:$P314,'350配方'!$Y314:$AB314,90)</x:f>
        <x:v>0</x:v>
      </x:c>
      <x:c r="S314" s="9" t="n">
        <x:f>SUMIFS('350配方'!$M314:$P314,'350配方'!$Y314:$AB314,105)</x:f>
        <x:v>15730</x:v>
      </x:c>
      <x:c r="T314" s="9" t="n">
        <x:f>SUMIFS('350配方'!$M314:$P314,'350配方'!$Y314:$AB314,111)</x:f>
        <x:v>0</x:v>
      </x:c>
      <x:c r="U314" s="9" t="n">
        <x:f>SUMIFS('350配方'!$M314:$P314,'350配方'!$Y314:$AB314,114)</x:f>
        <x:v>0</x:v>
      </x:c>
      <x:c r="V314" s="9" t="n">
        <x:f>SUMIFS('350配方'!$M314:$P314,'350配方'!$Y314:$AB314,115)</x:f>
        <x:v>0</x:v>
      </x:c>
      <x:c r="W314" s="9" t="n">
        <x:f>SUMIFS('350配方'!$M314:$P314,'350配方'!$Y314:$AB314,117)</x:f>
        <x:v>0</x:v>
      </x:c>
      <x:c r="X314" s="9" t="n">
        <x:f>SUMIFS('350配方'!$M314:$P314,'350配方'!$Y314:$AB314,126)</x:f>
        <x:v>0</x:v>
      </x:c>
      <x:c r="Y314" s="9" t="n">
        <x:f>SUMIFS('350配方'!$M314:$P314,'350配方'!$Y314:$AB314,136)</x:f>
        <x:v>0</x:v>
      </x:c>
      <x:c r="Z314" s="9" t="n">
        <x:f>SUMIFS('350配方'!$M314:$P314,'350配方'!$Y314:$AB314,141)</x:f>
        <x:v>0</x:v>
      </x:c>
      <x:c r="AA314" s="9" t="n">
        <x:f>SUMIFS('350配方'!$M314:$P314,'350配方'!$Y314:$AB314,152)</x:f>
        <x:v>0</x:v>
      </x:c>
      <x:c r="AB314" s="9" t="n">
        <x:f>SUMIFS('350配方'!$M314:$P314,'350配方'!$Y314:$AB314,165)</x:f>
        <x:v>0</x:v>
      </x:c>
      <x:c r="AC314" s="9" t="n">
        <x:f>SUMIFS('350配方'!$M314:$P314,'350配方'!$Y314:$AB314,186)</x:f>
        <x:v>0</x:v>
      </x:c>
      <x:c r="AD314" s="9" t="n">
        <x:f>SUMIFS('350配方'!$M314:$P314,'350配方'!$Y314:$AB314,207)</x:f>
        <x:v>0</x:v>
      </x:c>
      <x:c r="AE314" s="9" t="n">
        <x:f>SUMIFS('350配方'!$M314:$P314,'350配方'!$Y314:$AB314,209)</x:f>
        <x:v>0</x:v>
      </x:c>
      <x:c r="AF314" s="9" t="n">
        <x:f>SUMIFS('350配方'!$M314:$P314,'350配方'!$Y314:$AB314,227)</x:f>
        <x:v>0</x:v>
      </x:c>
      <x:c r="AG314" s="9" t="n">
        <x:f>SUMIFS('350配方'!$M314:$P314,'350配方'!$Y314:$AB314,232)</x:f>
        <x:v>0</x:v>
      </x:c>
      <x:c r="AH314" s="9" t="n">
        <x:f>SUMIFS('350配方'!$M314:$P314,'350配方'!$Y314:$AB314,255)</x:f>
        <x:v>0</x:v>
      </x:c>
      <x:c r="AI314" s="9" t="n">
        <x:f>'浓度设置'!S6</x:f>
        <x:v>219125.9626344086</x:v>
      </x:c>
      <x:c r="AJ314" s="9" t="n">
        <x:f>'浓度设置'!S8</x:f>
        <x:v>92796.92267241378</x:v>
      </x:c>
      <x:c r="AK314" s="9" t="n">
        <x:f>'浓度设置'!S10</x:f>
        <x:v>30556.797802197798</x:v>
      </x:c>
      <x:c r="AL314" s="9" t="n">
        <x:f>'浓度设置'!S12</x:f>
        <x:v>1735.828970588235</x:v>
      </x:c>
      <x:c r="AM314" s="9" t="n">
        <x:f>'浓度设置'!S15</x:f>
        <x:v>7385.813644067793</x:v>
      </x:c>
      <x:c r="AN314" s="9" t="n">
        <x:f>'浓度设置'!S19</x:f>
        <x:v>27722.03097701148</x:v>
      </x:c>
      <x:c r="AO314" s="9" t="n">
        <x:f>'浓度设置'!S22</x:f>
        <x:v>44345.55047619048</x:v>
      </x:c>
      <x:c r="AP314" s="9" t="n">
        <x:f>'浓度设置'!S26</x:f>
        <x:v>153318.30499999996</x:v>
      </x:c>
      <x:c r="AQ314" s="9" t="n">
        <x:f>'浓度设置'!S29</x:f>
        <x:v>312.7970588235294</x:v>
      </x:c>
      <x:c r="AR314" s="9" t="n">
        <x:f>'浓度设置'!S30</x:f>
        <x:v>104175.5097553192</x:v>
      </x:c>
      <x:c r="AS314" s="9" t="n">
        <x:f>'浓度设置'!S35</x:f>
        <x:v>405974.90656785714</x:v>
      </x:c>
    </x:row>
    <x:row r="315" ht="24" customHeight="1">
      <x:c r="A315" s="3" t="str">
        <x:f>'350配方'!A315</x:f>
        <x:v>T310</x:v>
      </x:c>
      <x:c r="B315" s="3" t="str">
        <x:f>'350配方'!B315</x:f>
        <x:v>拟合</x:v>
      </x:c>
      <x:c r="C315" s="3" t="n">
        <x:f>IF(B315="拟合",1,0)</x:f>
        <x:v>1</x:v>
      </x:c>
      <x:c r="D315" s="3" t="n">
        <x:f>'350配方'!AC315</x:f>
        <x:v>4</x:v>
      </x:c>
      <x:c r="E315" s="9" t="n">
        <x:f>SUMIFS('350配方'!$M315:$P315,'350配方'!$Y315:$AB315,7)</x:f>
        <x:v>0</x:v>
      </x:c>
      <x:c r="F315" s="9" t="n">
        <x:f>SUMIFS('350配方'!$M315:$P315,'350配方'!$Y315:$AB315,11)</x:f>
        <x:v>0</x:v>
      </x:c>
      <x:c r="G315" s="9" t="n">
        <x:f>SUMIFS('350配方'!$M315:$P315,'350配方'!$Y315:$AB315,18)</x:f>
        <x:v>39</x:v>
      </x:c>
      <x:c r="H315" s="9" t="n">
        <x:f>SUMIFS('350配方'!$M315:$P315,'350配方'!$Y315:$AB315,32)</x:f>
        <x:v>0</x:v>
      </x:c>
      <x:c r="I315" s="9" t="n">
        <x:f>SUMIFS('350配方'!$M315:$P315,'350配方'!$Y315:$AB315,40)</x:f>
        <x:v>0</x:v>
      </x:c>
      <x:c r="J315" s="9" t="n">
        <x:f>SUMIFS('350配方'!$M315:$P315,'350配方'!$Y315:$AB315,52)</x:f>
        <x:v>0</x:v>
      </x:c>
      <x:c r="K315" s="9" t="n">
        <x:f>SUMIFS('350配方'!$M315:$P315,'350配方'!$Y315:$AB315,53)</x:f>
        <x:v>0</x:v>
      </x:c>
      <x:c r="L315" s="9" t="n">
        <x:f>SUMIFS('350配方'!$M315:$P315,'350配方'!$Y315:$AB315,56)</x:f>
        <x:v>0</x:v>
      </x:c>
      <x:c r="M315" s="9" t="n">
        <x:f>SUMIFS('350配方'!$M315:$P315,'350配方'!$Y315:$AB315,58)</x:f>
        <x:v>0</x:v>
      </x:c>
      <x:c r="N315" s="9" t="n">
        <x:f>SUMIFS('350配方'!$M315:$P315,'350配方'!$Y315:$AB315,61)</x:f>
        <x:v>0</x:v>
      </x:c>
      <x:c r="O315" s="9" t="n">
        <x:f>SUMIFS('350配方'!$M315:$P315,'350配方'!$Y315:$AB315,69)</x:f>
        <x:v>0</x:v>
      </x:c>
      <x:c r="P315" s="9" t="n">
        <x:f>SUMIFS('350配方'!$M315:$P315,'350配方'!$Y315:$AB315,75)</x:f>
        <x:v>0</x:v>
      </x:c>
      <x:c r="Q315" s="9" t="n">
        <x:f>SUMIFS('350配方'!$M315:$P315,'350配方'!$Y315:$AB315,79)</x:f>
        <x:v>0</x:v>
      </x:c>
      <x:c r="R315" s="9" t="n">
        <x:f>SUMIFS('350配方'!$M315:$P315,'350配方'!$Y315:$AB315,90)</x:f>
        <x:v>0</x:v>
      </x:c>
      <x:c r="S315" s="9" t="n">
        <x:f>SUMIFS('350配方'!$M315:$P315,'350配方'!$Y315:$AB315,105)</x:f>
        <x:v>0</x:v>
      </x:c>
      <x:c r="T315" s="9" t="n">
        <x:f>SUMIFS('350配方'!$M315:$P315,'350配方'!$Y315:$AB315,111)</x:f>
        <x:v>0</x:v>
      </x:c>
      <x:c r="U315" s="9" t="n">
        <x:f>SUMIFS('350配方'!$M315:$P315,'350配方'!$Y315:$AB315,114)</x:f>
        <x:v>0</x:v>
      </x:c>
      <x:c r="V315" s="9" t="n">
        <x:f>SUMIFS('350配方'!$M315:$P315,'350配方'!$Y315:$AB315,115)</x:f>
        <x:v>0</x:v>
      </x:c>
      <x:c r="W315" s="9" t="n">
        <x:f>SUMIFS('350配方'!$M315:$P315,'350配方'!$Y315:$AB315,117)</x:f>
        <x:v>0</x:v>
      </x:c>
      <x:c r="X315" s="9" t="n">
        <x:f>SUMIFS('350配方'!$M315:$P315,'350配方'!$Y315:$AB315,126)</x:f>
        <x:v>1551340.76</x:v>
      </x:c>
      <x:c r="Y315" s="9" t="n">
        <x:f>SUMIFS('350配方'!$M315:$P315,'350配方'!$Y315:$AB315,136)</x:f>
        <x:v>228.58258901324922</x:v>
      </x:c>
      <x:c r="Z315" s="9" t="n">
        <x:f>SUMIFS('350配方'!$M315:$P315,'350配方'!$Y315:$AB315,141)</x:f>
        <x:v>0</x:v>
      </x:c>
      <x:c r="AA315" s="9" t="n">
        <x:f>SUMIFS('350配方'!$M315:$P315,'350配方'!$Y315:$AB315,152)</x:f>
        <x:v>0</x:v>
      </x:c>
      <x:c r="AB315" s="9" t="n">
        <x:f>SUMIFS('350配方'!$M315:$P315,'350配方'!$Y315:$AB315,165)</x:f>
        <x:v>86300</x:v>
      </x:c>
      <x:c r="AC315" s="9" t="n">
        <x:f>SUMIFS('350配方'!$M315:$P315,'350配方'!$Y315:$AB315,186)</x:f>
        <x:v>0</x:v>
      </x:c>
      <x:c r="AD315" s="9" t="n">
        <x:f>SUMIFS('350配方'!$M315:$P315,'350配方'!$Y315:$AB315,207)</x:f>
        <x:v>0</x:v>
      </x:c>
      <x:c r="AE315" s="9" t="n">
        <x:f>SUMIFS('350配方'!$M315:$P315,'350配方'!$Y315:$AB315,209)</x:f>
        <x:v>0</x:v>
      </x:c>
      <x:c r="AF315" s="9" t="n">
        <x:f>SUMIFS('350配方'!$M315:$P315,'350配方'!$Y315:$AB315,227)</x:f>
        <x:v>0</x:v>
      </x:c>
      <x:c r="AG315" s="9" t="n">
        <x:f>SUMIFS('350配方'!$M315:$P315,'350配方'!$Y315:$AB315,232)</x:f>
        <x:v>0</x:v>
      </x:c>
      <x:c r="AH315" s="9" t="n">
        <x:f>SUMIFS('350配方'!$M315:$P315,'350配方'!$Y315:$AB315,255)</x:f>
        <x:v>0</x:v>
      </x:c>
      <x:c r="AI315" s="9" t="n">
        <x:f>'浓度设置'!S6</x:f>
        <x:v>219125.9626344086</x:v>
      </x:c>
      <x:c r="AJ315" s="9" t="n">
        <x:f>'浓度设置'!S8</x:f>
        <x:v>92796.92267241378</x:v>
      </x:c>
      <x:c r="AK315" s="9" t="n">
        <x:f>'浓度设置'!S10</x:f>
        <x:v>30556.797802197798</x:v>
      </x:c>
      <x:c r="AL315" s="9" t="n">
        <x:f>'浓度设置'!S12</x:f>
        <x:v>1735.828970588235</x:v>
      </x:c>
      <x:c r="AM315" s="9" t="n">
        <x:f>'浓度设置'!S15</x:f>
        <x:v>7385.813644067793</x:v>
      </x:c>
      <x:c r="AN315" s="9" t="n">
        <x:f>'浓度设置'!S19</x:f>
        <x:v>27722.03097701148</x:v>
      </x:c>
      <x:c r="AO315" s="9" t="n">
        <x:f>'浓度设置'!S22</x:f>
        <x:v>44345.55047619048</x:v>
      </x:c>
      <x:c r="AP315" s="9" t="n">
        <x:f>'浓度设置'!S26</x:f>
        <x:v>153318.30499999996</x:v>
      </x:c>
      <x:c r="AQ315" s="9" t="n">
        <x:f>'浓度设置'!S29</x:f>
        <x:v>312.7970588235294</x:v>
      </x:c>
      <x:c r="AR315" s="9" t="n">
        <x:f>'浓度设置'!S30</x:f>
        <x:v>104175.5097553192</x:v>
      </x:c>
      <x:c r="AS315" s="9" t="n">
        <x:f>'浓度设置'!S35</x:f>
        <x:v>405974.90656785714</x:v>
      </x:c>
    </x:row>
    <x:row r="316" ht="24" customHeight="1">
      <x:c r="A316" s="3" t="str">
        <x:f>'350配方'!A316</x:f>
        <x:v>R001</x:v>
      </x:c>
      <x:c r="B316" s="3" t="str">
        <x:f>'350配方'!B316</x:f>
        <x:v>独立配制重复</x:v>
      </x:c>
      <x:c r="C316" s="3" t="n">
        <x:f>IF(B316="拟合",1,0)</x:f>
        <x:v>0</x:v>
      </x:c>
      <x:c r="D316" s="3" t="n">
        <x:f>'350配方'!AC316</x:f>
        <x:v>0</x:v>
      </x:c>
      <x:c r="E316" s="9" t="n">
        <x:f>SUMIFS('350配方'!$M316:$P316,'350配方'!$Y316:$AB316,7)</x:f>
        <x:v>0</x:v>
      </x:c>
      <x:c r="F316" s="9" t="n">
        <x:f>SUMIFS('350配方'!$M316:$P316,'350配方'!$Y316:$AB316,11)</x:f>
        <x:v>0</x:v>
      </x:c>
      <x:c r="G316" s="9" t="n">
        <x:f>SUMIFS('350配方'!$M316:$P316,'350配方'!$Y316:$AB316,18)</x:f>
        <x:v>0</x:v>
      </x:c>
      <x:c r="H316" s="9" t="n">
        <x:f>SUMIFS('350配方'!$M316:$P316,'350配方'!$Y316:$AB316,32)</x:f>
        <x:v>0</x:v>
      </x:c>
      <x:c r="I316" s="9" t="n">
        <x:f>SUMIFS('350配方'!$M316:$P316,'350配方'!$Y316:$AB316,40)</x:f>
        <x:v>0</x:v>
      </x:c>
      <x:c r="J316" s="9" t="n">
        <x:f>SUMIFS('350配方'!$M316:$P316,'350配方'!$Y316:$AB316,52)</x:f>
        <x:v>0</x:v>
      </x:c>
      <x:c r="K316" s="9" t="n">
        <x:f>SUMIFS('350配方'!$M316:$P316,'350配方'!$Y316:$AB316,53)</x:f>
        <x:v>0</x:v>
      </x:c>
      <x:c r="L316" s="9" t="n">
        <x:f>SUMIFS('350配方'!$M316:$P316,'350配方'!$Y316:$AB316,56)</x:f>
        <x:v>0</x:v>
      </x:c>
      <x:c r="M316" s="9" t="n">
        <x:f>SUMIFS('350配方'!$M316:$P316,'350配方'!$Y316:$AB316,58)</x:f>
        <x:v>0</x:v>
      </x:c>
      <x:c r="N316" s="9" t="n">
        <x:f>SUMIFS('350配方'!$M316:$P316,'350配方'!$Y316:$AB316,61)</x:f>
        <x:v>0</x:v>
      </x:c>
      <x:c r="O316" s="9" t="n">
        <x:f>SUMIFS('350配方'!$M316:$P316,'350配方'!$Y316:$AB316,69)</x:f>
        <x:v>0</x:v>
      </x:c>
      <x:c r="P316" s="9" t="n">
        <x:f>SUMIFS('350配方'!$M316:$P316,'350配方'!$Y316:$AB316,75)</x:f>
        <x:v>0</x:v>
      </x:c>
      <x:c r="Q316" s="9" t="n">
        <x:f>SUMIFS('350配方'!$M316:$P316,'350配方'!$Y316:$AB316,79)</x:f>
        <x:v>0</x:v>
      </x:c>
      <x:c r="R316" s="9" t="n">
        <x:f>SUMIFS('350配方'!$M316:$P316,'350配方'!$Y316:$AB316,90)</x:f>
        <x:v>0</x:v>
      </x:c>
      <x:c r="S316" s="9" t="n">
        <x:f>SUMIFS('350配方'!$M316:$P316,'350配方'!$Y316:$AB316,105)</x:f>
        <x:v>0</x:v>
      </x:c>
      <x:c r="T316" s="9" t="n">
        <x:f>SUMIFS('350配方'!$M316:$P316,'350配方'!$Y316:$AB316,111)</x:f>
        <x:v>0</x:v>
      </x:c>
      <x:c r="U316" s="9" t="n">
        <x:f>SUMIFS('350配方'!$M316:$P316,'350配方'!$Y316:$AB316,114)</x:f>
        <x:v>0</x:v>
      </x:c>
      <x:c r="V316" s="9" t="n">
        <x:f>SUMIFS('350配方'!$M316:$P316,'350配方'!$Y316:$AB316,115)</x:f>
        <x:v>0</x:v>
      </x:c>
      <x:c r="W316" s="9" t="n">
        <x:f>SUMIFS('350配方'!$M316:$P316,'350配方'!$Y316:$AB316,117)</x:f>
        <x:v>0</x:v>
      </x:c>
      <x:c r="X316" s="9" t="n">
        <x:f>SUMIFS('350配方'!$M316:$P316,'350配方'!$Y316:$AB316,126)</x:f>
        <x:v>0</x:v>
      </x:c>
      <x:c r="Y316" s="9" t="n">
        <x:f>SUMIFS('350配方'!$M316:$P316,'350配方'!$Y316:$AB316,136)</x:f>
        <x:v>0</x:v>
      </x:c>
      <x:c r="Z316" s="9" t="n">
        <x:f>SUMIFS('350配方'!$M316:$P316,'350配方'!$Y316:$AB316,141)</x:f>
        <x:v>0</x:v>
      </x:c>
      <x:c r="AA316" s="9" t="n">
        <x:f>SUMIFS('350配方'!$M316:$P316,'350配方'!$Y316:$AB316,152)</x:f>
        <x:v>0</x:v>
      </x:c>
      <x:c r="AB316" s="9" t="n">
        <x:f>SUMIFS('350配方'!$M316:$P316,'350配方'!$Y316:$AB316,165)</x:f>
        <x:v>0</x:v>
      </x:c>
      <x:c r="AC316" s="9" t="n">
        <x:f>SUMIFS('350配方'!$M316:$P316,'350配方'!$Y316:$AB316,186)</x:f>
        <x:v>0</x:v>
      </x:c>
      <x:c r="AD316" s="9" t="n">
        <x:f>SUMIFS('350配方'!$M316:$P316,'350配方'!$Y316:$AB316,207)</x:f>
        <x:v>0</x:v>
      </x:c>
      <x:c r="AE316" s="9" t="n">
        <x:f>SUMIFS('350配方'!$M316:$P316,'350配方'!$Y316:$AB316,209)</x:f>
        <x:v>0</x:v>
      </x:c>
      <x:c r="AF316" s="9" t="n">
        <x:f>SUMIFS('350配方'!$M316:$P316,'350配方'!$Y316:$AB316,227)</x:f>
        <x:v>0</x:v>
      </x:c>
      <x:c r="AG316" s="9" t="n">
        <x:f>SUMIFS('350配方'!$M316:$P316,'350配方'!$Y316:$AB316,232)</x:f>
        <x:v>0</x:v>
      </x:c>
      <x:c r="AH316" s="9" t="n">
        <x:f>SUMIFS('350配方'!$M316:$P316,'350配方'!$Y316:$AB316,255)</x:f>
        <x:v>0</x:v>
      </x:c>
      <x:c r="AI316" s="9" t="n">
        <x:f>'浓度设置'!S6</x:f>
        <x:v>219125.9626344086</x:v>
      </x:c>
      <x:c r="AJ316" s="9" t="n">
        <x:f>'浓度设置'!S8</x:f>
        <x:v>92796.92267241378</x:v>
      </x:c>
      <x:c r="AK316" s="9" t="n">
        <x:f>'浓度设置'!S10</x:f>
        <x:v>30556.797802197798</x:v>
      </x:c>
      <x:c r="AL316" s="9" t="n">
        <x:f>'浓度设置'!S12</x:f>
        <x:v>1735.828970588235</x:v>
      </x:c>
      <x:c r="AM316" s="9" t="n">
        <x:f>'浓度设置'!S15</x:f>
        <x:v>7385.813644067793</x:v>
      </x:c>
      <x:c r="AN316" s="9" t="n">
        <x:f>'浓度设置'!S19</x:f>
        <x:v>27722.03097701148</x:v>
      </x:c>
      <x:c r="AO316" s="9" t="n">
        <x:f>'浓度设置'!S22</x:f>
        <x:v>44345.55047619048</x:v>
      </x:c>
      <x:c r="AP316" s="9" t="n">
        <x:f>'浓度设置'!S26</x:f>
        <x:v>153318.30499999996</x:v>
      </x:c>
      <x:c r="AQ316" s="9" t="n">
        <x:f>'浓度设置'!S29</x:f>
        <x:v>312.7970588235294</x:v>
      </x:c>
      <x:c r="AR316" s="9" t="n">
        <x:f>'浓度设置'!S30</x:f>
        <x:v>104175.5097553192</x:v>
      </x:c>
      <x:c r="AS316" s="9" t="n">
        <x:f>'浓度设置'!S35</x:f>
        <x:v>405974.90656785714</x:v>
      </x:c>
    </x:row>
    <x:row r="317" ht="24" customHeight="1">
      <x:c r="A317" s="3" t="str">
        <x:f>'350配方'!A317</x:f>
        <x:v>R002</x:v>
      </x:c>
      <x:c r="B317" s="3" t="str">
        <x:f>'350配方'!B317</x:f>
        <x:v>独立配制重复</x:v>
      </x:c>
      <x:c r="C317" s="3" t="n">
        <x:f>IF(B317="拟合",1,0)</x:f>
        <x:v>0</x:v>
      </x:c>
      <x:c r="D317" s="3" t="n">
        <x:f>'350配方'!AC317</x:f>
        <x:v>0</x:v>
      </x:c>
      <x:c r="E317" s="9" t="n">
        <x:f>SUMIFS('350配方'!$M317:$P317,'350配方'!$Y317:$AB317,7)</x:f>
        <x:v>0</x:v>
      </x:c>
      <x:c r="F317" s="9" t="n">
        <x:f>SUMIFS('350配方'!$M317:$P317,'350配方'!$Y317:$AB317,11)</x:f>
        <x:v>0</x:v>
      </x:c>
      <x:c r="G317" s="9" t="n">
        <x:f>SUMIFS('350配方'!$M317:$P317,'350配方'!$Y317:$AB317,18)</x:f>
        <x:v>0</x:v>
      </x:c>
      <x:c r="H317" s="9" t="n">
        <x:f>SUMIFS('350配方'!$M317:$P317,'350配方'!$Y317:$AB317,32)</x:f>
        <x:v>0</x:v>
      </x:c>
      <x:c r="I317" s="9" t="n">
        <x:f>SUMIFS('350配方'!$M317:$P317,'350配方'!$Y317:$AB317,40)</x:f>
        <x:v>0</x:v>
      </x:c>
      <x:c r="J317" s="9" t="n">
        <x:f>SUMIFS('350配方'!$M317:$P317,'350配方'!$Y317:$AB317,52)</x:f>
        <x:v>0</x:v>
      </x:c>
      <x:c r="K317" s="9" t="n">
        <x:f>SUMIFS('350配方'!$M317:$P317,'350配方'!$Y317:$AB317,53)</x:f>
        <x:v>0</x:v>
      </x:c>
      <x:c r="L317" s="9" t="n">
        <x:f>SUMIFS('350配方'!$M317:$P317,'350配方'!$Y317:$AB317,56)</x:f>
        <x:v>0</x:v>
      </x:c>
      <x:c r="M317" s="9" t="n">
        <x:f>SUMIFS('350配方'!$M317:$P317,'350配方'!$Y317:$AB317,58)</x:f>
        <x:v>0</x:v>
      </x:c>
      <x:c r="N317" s="9" t="n">
        <x:f>SUMIFS('350配方'!$M317:$P317,'350配方'!$Y317:$AB317,61)</x:f>
        <x:v>0</x:v>
      </x:c>
      <x:c r="O317" s="9" t="n">
        <x:f>SUMIFS('350配方'!$M317:$P317,'350配方'!$Y317:$AB317,69)</x:f>
        <x:v>0</x:v>
      </x:c>
      <x:c r="P317" s="9" t="n">
        <x:f>SUMIFS('350配方'!$M317:$P317,'350配方'!$Y317:$AB317,75)</x:f>
        <x:v>0</x:v>
      </x:c>
      <x:c r="Q317" s="9" t="n">
        <x:f>SUMIFS('350配方'!$M317:$P317,'350配方'!$Y317:$AB317,79)</x:f>
        <x:v>0</x:v>
      </x:c>
      <x:c r="R317" s="9" t="n">
        <x:f>SUMIFS('350配方'!$M317:$P317,'350配方'!$Y317:$AB317,90)</x:f>
        <x:v>0</x:v>
      </x:c>
      <x:c r="S317" s="9" t="n">
        <x:f>SUMIFS('350配方'!$M317:$P317,'350配方'!$Y317:$AB317,105)</x:f>
        <x:v>0</x:v>
      </x:c>
      <x:c r="T317" s="9" t="n">
        <x:f>SUMIFS('350配方'!$M317:$P317,'350配方'!$Y317:$AB317,111)</x:f>
        <x:v>0</x:v>
      </x:c>
      <x:c r="U317" s="9" t="n">
        <x:f>SUMIFS('350配方'!$M317:$P317,'350配方'!$Y317:$AB317,114)</x:f>
        <x:v>0</x:v>
      </x:c>
      <x:c r="V317" s="9" t="n">
        <x:f>SUMIFS('350配方'!$M317:$P317,'350配方'!$Y317:$AB317,115)</x:f>
        <x:v>0</x:v>
      </x:c>
      <x:c r="W317" s="9" t="n">
        <x:f>SUMIFS('350配方'!$M317:$P317,'350配方'!$Y317:$AB317,117)</x:f>
        <x:v>0</x:v>
      </x:c>
      <x:c r="X317" s="9" t="n">
        <x:f>SUMIFS('350配方'!$M317:$P317,'350配方'!$Y317:$AB317,126)</x:f>
        <x:v>0</x:v>
      </x:c>
      <x:c r="Y317" s="9" t="n">
        <x:f>SUMIFS('350配方'!$M317:$P317,'350配方'!$Y317:$AB317,136)</x:f>
        <x:v>0</x:v>
      </x:c>
      <x:c r="Z317" s="9" t="n">
        <x:f>SUMIFS('350配方'!$M317:$P317,'350配方'!$Y317:$AB317,141)</x:f>
        <x:v>0</x:v>
      </x:c>
      <x:c r="AA317" s="9" t="n">
        <x:f>SUMIFS('350配方'!$M317:$P317,'350配方'!$Y317:$AB317,152)</x:f>
        <x:v>0</x:v>
      </x:c>
      <x:c r="AB317" s="9" t="n">
        <x:f>SUMIFS('350配方'!$M317:$P317,'350配方'!$Y317:$AB317,165)</x:f>
        <x:v>0</x:v>
      </x:c>
      <x:c r="AC317" s="9" t="n">
        <x:f>SUMIFS('350配方'!$M317:$P317,'350配方'!$Y317:$AB317,186)</x:f>
        <x:v>0</x:v>
      </x:c>
      <x:c r="AD317" s="9" t="n">
        <x:f>SUMIFS('350配方'!$M317:$P317,'350配方'!$Y317:$AB317,207)</x:f>
        <x:v>0</x:v>
      </x:c>
      <x:c r="AE317" s="9" t="n">
        <x:f>SUMIFS('350配方'!$M317:$P317,'350配方'!$Y317:$AB317,209)</x:f>
        <x:v>0</x:v>
      </x:c>
      <x:c r="AF317" s="9" t="n">
        <x:f>SUMIFS('350配方'!$M317:$P317,'350配方'!$Y317:$AB317,227)</x:f>
        <x:v>0</x:v>
      </x:c>
      <x:c r="AG317" s="9" t="n">
        <x:f>SUMIFS('350配方'!$M317:$P317,'350配方'!$Y317:$AB317,232)</x:f>
        <x:v>0</x:v>
      </x:c>
      <x:c r="AH317" s="9" t="n">
        <x:f>SUMIFS('350配方'!$M317:$P317,'350配方'!$Y317:$AB317,255)</x:f>
        <x:v>0</x:v>
      </x:c>
      <x:c r="AI317" s="9" t="n">
        <x:f>'浓度设置'!S6</x:f>
        <x:v>219125.9626344086</x:v>
      </x:c>
      <x:c r="AJ317" s="9" t="n">
        <x:f>'浓度设置'!S8</x:f>
        <x:v>92796.92267241378</x:v>
      </x:c>
      <x:c r="AK317" s="9" t="n">
        <x:f>'浓度设置'!S10</x:f>
        <x:v>30556.797802197798</x:v>
      </x:c>
      <x:c r="AL317" s="9" t="n">
        <x:f>'浓度设置'!S12</x:f>
        <x:v>1735.828970588235</x:v>
      </x:c>
      <x:c r="AM317" s="9" t="n">
        <x:f>'浓度设置'!S15</x:f>
        <x:v>7385.813644067793</x:v>
      </x:c>
      <x:c r="AN317" s="9" t="n">
        <x:f>'浓度设置'!S19</x:f>
        <x:v>27722.03097701148</x:v>
      </x:c>
      <x:c r="AO317" s="9" t="n">
        <x:f>'浓度设置'!S22</x:f>
        <x:v>44345.55047619048</x:v>
      </x:c>
      <x:c r="AP317" s="9" t="n">
        <x:f>'浓度设置'!S26</x:f>
        <x:v>153318.30499999996</x:v>
      </x:c>
      <x:c r="AQ317" s="9" t="n">
        <x:f>'浓度设置'!S29</x:f>
        <x:v>312.7970588235294</x:v>
      </x:c>
      <x:c r="AR317" s="9" t="n">
        <x:f>'浓度设置'!S30</x:f>
        <x:v>104175.5097553192</x:v>
      </x:c>
      <x:c r="AS317" s="9" t="n">
        <x:f>'浓度设置'!S35</x:f>
        <x:v>405974.90656785714</x:v>
      </x:c>
    </x:row>
    <x:row r="318" ht="24" customHeight="1">
      <x:c r="A318" s="3" t="str">
        <x:f>'350配方'!A318</x:f>
        <x:v>R003</x:v>
      </x:c>
      <x:c r="B318" s="3" t="str">
        <x:f>'350配方'!B318</x:f>
        <x:v>独立配制重复</x:v>
      </x:c>
      <x:c r="C318" s="3" t="n">
        <x:f>IF(B318="拟合",1,0)</x:f>
        <x:v>0</x:v>
      </x:c>
      <x:c r="D318" s="3" t="n">
        <x:f>'350配方'!AC318</x:f>
        <x:v>4</x:v>
      </x:c>
      <x:c r="E318" s="9" t="n">
        <x:f>SUMIFS('350配方'!$M318:$P318,'350配方'!$Y318:$AB318,7)</x:f>
        <x:v>729.4776350238574</x:v>
      </x:c>
      <x:c r="F318" s="9" t="n">
        <x:f>SUMIFS('350配方'!$M318:$P318,'350配方'!$Y318:$AB318,11)</x:f>
        <x:v>0</x:v>
      </x:c>
      <x:c r="G318" s="9" t="n">
        <x:f>SUMIFS('350配方'!$M318:$P318,'350配方'!$Y318:$AB318,18)</x:f>
        <x:v>0</x:v>
      </x:c>
      <x:c r="H318" s="9" t="n">
        <x:f>SUMIFS('350配方'!$M318:$P318,'350配方'!$Y318:$AB318,32)</x:f>
        <x:v>0</x:v>
      </x:c>
      <x:c r="I318" s="9" t="n">
        <x:f>SUMIFS('350配方'!$M318:$P318,'350配方'!$Y318:$AB318,40)</x:f>
        <x:v>0</x:v>
      </x:c>
      <x:c r="J318" s="9" t="n">
        <x:f>SUMIFS('350配方'!$M318:$P318,'350配方'!$Y318:$AB318,52)</x:f>
        <x:v>0</x:v>
      </x:c>
      <x:c r="K318" s="9" t="n">
        <x:f>SUMIFS('350配方'!$M318:$P318,'350配方'!$Y318:$AB318,53)</x:f>
        <x:v>0</x:v>
      </x:c>
      <x:c r="L318" s="9" t="n">
        <x:f>SUMIFS('350配方'!$M318:$P318,'350配方'!$Y318:$AB318,56)</x:f>
        <x:v>0</x:v>
      </x:c>
      <x:c r="M318" s="9" t="n">
        <x:f>SUMIFS('350配方'!$M318:$P318,'350配方'!$Y318:$AB318,58)</x:f>
        <x:v>0</x:v>
      </x:c>
      <x:c r="N318" s="9" t="n">
        <x:f>SUMIFS('350配方'!$M318:$P318,'350配方'!$Y318:$AB318,61)</x:f>
        <x:v>0</x:v>
      </x:c>
      <x:c r="O318" s="9" t="n">
        <x:f>SUMIFS('350配方'!$M318:$P318,'350配方'!$Y318:$AB318,69)</x:f>
        <x:v>0</x:v>
      </x:c>
      <x:c r="P318" s="9" t="n">
        <x:f>SUMIFS('350配方'!$M318:$P318,'350配方'!$Y318:$AB318,75)</x:f>
        <x:v>0</x:v>
      </x:c>
      <x:c r="Q318" s="9" t="n">
        <x:f>SUMIFS('350配方'!$M318:$P318,'350配方'!$Y318:$AB318,79)</x:f>
        <x:v>0</x:v>
      </x:c>
      <x:c r="R318" s="9" t="n">
        <x:f>SUMIFS('350配方'!$M318:$P318,'350配方'!$Y318:$AB318,90)</x:f>
        <x:v>0</x:v>
      </x:c>
      <x:c r="S318" s="9" t="n">
        <x:f>SUMIFS('350配方'!$M318:$P318,'350配方'!$Y318:$AB318,105)</x:f>
        <x:v>0</x:v>
      </x:c>
      <x:c r="T318" s="9" t="n">
        <x:f>SUMIFS('350配方'!$M318:$P318,'350配方'!$Y318:$AB318,111)</x:f>
        <x:v>0</x:v>
      </x:c>
      <x:c r="U318" s="9" t="n">
        <x:f>SUMIFS('350配方'!$M318:$P318,'350配方'!$Y318:$AB318,114)</x:f>
        <x:v>0</x:v>
      </x:c>
      <x:c r="V318" s="9" t="n">
        <x:f>SUMIFS('350配方'!$M318:$P318,'350配方'!$Y318:$AB318,115)</x:f>
        <x:v>0</x:v>
      </x:c>
      <x:c r="W318" s="9" t="n">
        <x:f>SUMIFS('350配方'!$M318:$P318,'350配方'!$Y318:$AB318,117)</x:f>
        <x:v>0</x:v>
      </x:c>
      <x:c r="X318" s="9" t="n">
        <x:f>SUMIFS('350配方'!$M318:$P318,'350配方'!$Y318:$AB318,126)</x:f>
        <x:v>0</x:v>
      </x:c>
      <x:c r="Y318" s="9" t="n">
        <x:f>SUMIFS('350配方'!$M318:$P318,'350配方'!$Y318:$AB318,136)</x:f>
        <x:v>0</x:v>
      </x:c>
      <x:c r="Z318" s="9" t="n">
        <x:f>SUMIFS('350配方'!$M318:$P318,'350配方'!$Y318:$AB318,141)</x:f>
        <x:v>1512.497272724814</x:v>
      </x:c>
      <x:c r="AA318" s="9" t="n">
        <x:f>SUMIFS('350配方'!$M318:$P318,'350配方'!$Y318:$AB318,152)</x:f>
        <x:v>0</x:v>
      </x:c>
      <x:c r="AB318" s="9" t="n">
        <x:f>SUMIFS('350配方'!$M318:$P318,'350配方'!$Y318:$AB318,165)</x:f>
        <x:v>0</x:v>
      </x:c>
      <x:c r="AC318" s="9" t="n">
        <x:f>SUMIFS('350配方'!$M318:$P318,'350配方'!$Y318:$AB318,186)</x:f>
        <x:v>4262.731518639193</x:v>
      </x:c>
      <x:c r="AD318" s="9" t="n">
        <x:f>SUMIFS('350配方'!$M318:$P318,'350配方'!$Y318:$AB318,207)</x:f>
        <x:v>0</x:v>
      </x:c>
      <x:c r="AE318" s="9" t="n">
        <x:f>SUMIFS('350配方'!$M318:$P318,'350配方'!$Y318:$AB318,209)</x:f>
        <x:v>0</x:v>
      </x:c>
      <x:c r="AF318" s="9" t="n">
        <x:f>SUMIFS('350配方'!$M318:$P318,'350配方'!$Y318:$AB318,227)</x:f>
        <x:v>0</x:v>
      </x:c>
      <x:c r="AG318" s="9" t="n">
        <x:f>SUMIFS('350配方'!$M318:$P318,'350配方'!$Y318:$AB318,232)</x:f>
        <x:v>0.97</x:v>
      </x:c>
      <x:c r="AH318" s="9" t="n">
        <x:f>SUMIFS('350配方'!$M318:$P318,'350配方'!$Y318:$AB318,255)</x:f>
        <x:v>0</x:v>
      </x:c>
      <x:c r="AI318" s="9" t="n">
        <x:f>'浓度设置'!S6</x:f>
        <x:v>219125.9626344086</x:v>
      </x:c>
      <x:c r="AJ318" s="9" t="n">
        <x:f>'浓度设置'!S8</x:f>
        <x:v>92796.92267241378</x:v>
      </x:c>
      <x:c r="AK318" s="9" t="n">
        <x:f>'浓度设置'!S10</x:f>
        <x:v>30556.797802197798</x:v>
      </x:c>
      <x:c r="AL318" s="9" t="n">
        <x:f>'浓度设置'!S12</x:f>
        <x:v>1735.828970588235</x:v>
      </x:c>
      <x:c r="AM318" s="9" t="n">
        <x:f>'浓度设置'!S15</x:f>
        <x:v>7385.813644067793</x:v>
      </x:c>
      <x:c r="AN318" s="9" t="n">
        <x:f>'浓度设置'!S19</x:f>
        <x:v>27722.03097701148</x:v>
      </x:c>
      <x:c r="AO318" s="9" t="n">
        <x:f>'浓度设置'!S22</x:f>
        <x:v>44345.55047619048</x:v>
      </x:c>
      <x:c r="AP318" s="9" t="n">
        <x:f>'浓度设置'!S26</x:f>
        <x:v>153318.30499999996</x:v>
      </x:c>
      <x:c r="AQ318" s="9" t="n">
        <x:f>'浓度设置'!S29</x:f>
        <x:v>312.7970588235294</x:v>
      </x:c>
      <x:c r="AR318" s="9" t="n">
        <x:f>'浓度设置'!S30</x:f>
        <x:v>104175.5097553192</x:v>
      </x:c>
      <x:c r="AS318" s="9" t="n">
        <x:f>'浓度设置'!S35</x:f>
        <x:v>405974.90656785714</x:v>
      </x:c>
    </x:row>
    <x:row r="319" ht="24" customHeight="1">
      <x:c r="A319" s="3" t="str">
        <x:f>'350配方'!A319</x:f>
        <x:v>R004</x:v>
      </x:c>
      <x:c r="B319" s="3" t="str">
        <x:f>'350配方'!B319</x:f>
        <x:v>独立配制重复</x:v>
      </x:c>
      <x:c r="C319" s="3" t="n">
        <x:f>IF(B319="拟合",1,0)</x:f>
        <x:v>0</x:v>
      </x:c>
      <x:c r="D319" s="3" t="n">
        <x:f>'350配方'!AC319</x:f>
        <x:v>4</x:v>
      </x:c>
      <x:c r="E319" s="9" t="n">
        <x:f>SUMIFS('350配方'!$M319:$P319,'350配方'!$Y319:$AB319,7)</x:f>
        <x:v>0</x:v>
      </x:c>
      <x:c r="F319" s="9" t="n">
        <x:f>SUMIFS('350配方'!$M319:$P319,'350配方'!$Y319:$AB319,11)</x:f>
        <x:v>0</x:v>
      </x:c>
      <x:c r="G319" s="9" t="n">
        <x:f>SUMIFS('350配方'!$M319:$P319,'350配方'!$Y319:$AB319,18)</x:f>
        <x:v>35900</x:v>
      </x:c>
      <x:c r="H319" s="9" t="n">
        <x:f>SUMIFS('350配方'!$M319:$P319,'350配方'!$Y319:$AB319,32)</x:f>
        <x:v>0</x:v>
      </x:c>
      <x:c r="I319" s="9" t="n">
        <x:f>SUMIFS('350配方'!$M319:$P319,'350配方'!$Y319:$AB319,40)</x:f>
        <x:v>0</x:v>
      </x:c>
      <x:c r="J319" s="9" t="n">
        <x:f>SUMIFS('350配方'!$M319:$P319,'350配方'!$Y319:$AB319,52)</x:f>
        <x:v>0</x:v>
      </x:c>
      <x:c r="K319" s="9" t="n">
        <x:f>SUMIFS('350配方'!$M319:$P319,'350配方'!$Y319:$AB319,53)</x:f>
        <x:v>0</x:v>
      </x:c>
      <x:c r="L319" s="9" t="n">
        <x:f>SUMIFS('350配方'!$M319:$P319,'350配方'!$Y319:$AB319,56)</x:f>
        <x:v>0</x:v>
      </x:c>
      <x:c r="M319" s="9" t="n">
        <x:f>SUMIFS('350配方'!$M319:$P319,'350配方'!$Y319:$AB319,58)</x:f>
        <x:v>5.06</x:v>
      </x:c>
      <x:c r="N319" s="9" t="n">
        <x:f>SUMIFS('350配方'!$M319:$P319,'350配方'!$Y319:$AB319,61)</x:f>
        <x:v>0</x:v>
      </x:c>
      <x:c r="O319" s="9" t="n">
        <x:f>SUMIFS('350配方'!$M319:$P319,'350配方'!$Y319:$AB319,69)</x:f>
        <x:v>12022.2</x:v>
      </x:c>
      <x:c r="P319" s="9" t="n">
        <x:f>SUMIFS('350配方'!$M319:$P319,'350配方'!$Y319:$AB319,75)</x:f>
        <x:v>0</x:v>
      </x:c>
      <x:c r="Q319" s="9" t="n">
        <x:f>SUMIFS('350配方'!$M319:$P319,'350配方'!$Y319:$AB319,79)</x:f>
        <x:v>0</x:v>
      </x:c>
      <x:c r="R319" s="9" t="n">
        <x:f>SUMIFS('350配方'!$M319:$P319,'350配方'!$Y319:$AB319,90)</x:f>
        <x:v>0</x:v>
      </x:c>
      <x:c r="S319" s="9" t="n">
        <x:f>SUMIFS('350配方'!$M319:$P319,'350配方'!$Y319:$AB319,105)</x:f>
        <x:v>0</x:v>
      </x:c>
      <x:c r="T319" s="9" t="n">
        <x:f>SUMIFS('350配方'!$M319:$P319,'350配方'!$Y319:$AB319,111)</x:f>
        <x:v>0</x:v>
      </x:c>
      <x:c r="U319" s="9" t="n">
        <x:f>SUMIFS('350配方'!$M319:$P319,'350配方'!$Y319:$AB319,114)</x:f>
        <x:v>0</x:v>
      </x:c>
      <x:c r="V319" s="9" t="n">
        <x:f>SUMIFS('350配方'!$M319:$P319,'350配方'!$Y319:$AB319,115)</x:f>
        <x:v>0</x:v>
      </x:c>
      <x:c r="W319" s="9" t="n">
        <x:f>SUMIFS('350配方'!$M319:$P319,'350配方'!$Y319:$AB319,117)</x:f>
        <x:v>0</x:v>
      </x:c>
      <x:c r="X319" s="9" t="n">
        <x:f>SUMIFS('350配方'!$M319:$P319,'350配方'!$Y319:$AB319,126)</x:f>
        <x:v>0</x:v>
      </x:c>
      <x:c r="Y319" s="9" t="n">
        <x:f>SUMIFS('350配方'!$M319:$P319,'350配方'!$Y319:$AB319,136)</x:f>
        <x:v>0</x:v>
      </x:c>
      <x:c r="Z319" s="9" t="n">
        <x:f>SUMIFS('350配方'!$M319:$P319,'350配方'!$Y319:$AB319,141)</x:f>
        <x:v>0</x:v>
      </x:c>
      <x:c r="AA319" s="9" t="n">
        <x:f>SUMIFS('350配方'!$M319:$P319,'350配方'!$Y319:$AB319,152)</x:f>
        <x:v>0</x:v>
      </x:c>
      <x:c r="AB319" s="9" t="n">
        <x:f>SUMIFS('350配方'!$M319:$P319,'350配方'!$Y319:$AB319,165)</x:f>
        <x:v>0</x:v>
      </x:c>
      <x:c r="AC319" s="9" t="n">
        <x:f>SUMIFS('350配方'!$M319:$P319,'350配方'!$Y319:$AB319,186)</x:f>
        <x:v>0</x:v>
      </x:c>
      <x:c r="AD319" s="9" t="n">
        <x:f>SUMIFS('350配方'!$M319:$P319,'350配方'!$Y319:$AB319,207)</x:f>
        <x:v>0</x:v>
      </x:c>
      <x:c r="AE319" s="9" t="n">
        <x:f>SUMIFS('350配方'!$M319:$P319,'350配方'!$Y319:$AB319,209)</x:f>
        <x:v>0</x:v>
      </x:c>
      <x:c r="AF319" s="9" t="n">
        <x:f>SUMIFS('350配方'!$M319:$P319,'350配方'!$Y319:$AB319,227)</x:f>
        <x:v>2.5</x:v>
      </x:c>
      <x:c r="AG319" s="9" t="n">
        <x:f>SUMIFS('350配方'!$M319:$P319,'350配方'!$Y319:$AB319,232)</x:f>
        <x:v>0</x:v>
      </x:c>
      <x:c r="AH319" s="9" t="n">
        <x:f>SUMIFS('350配方'!$M319:$P319,'350配方'!$Y319:$AB319,255)</x:f>
        <x:v>0</x:v>
      </x:c>
      <x:c r="AI319" s="9" t="n">
        <x:f>'浓度设置'!S6</x:f>
        <x:v>219125.9626344086</x:v>
      </x:c>
      <x:c r="AJ319" s="9" t="n">
        <x:f>'浓度设置'!S8</x:f>
        <x:v>92796.92267241378</x:v>
      </x:c>
      <x:c r="AK319" s="9" t="n">
        <x:f>'浓度设置'!S10</x:f>
        <x:v>30556.797802197798</x:v>
      </x:c>
      <x:c r="AL319" s="9" t="n">
        <x:f>'浓度设置'!S12</x:f>
        <x:v>1735.828970588235</x:v>
      </x:c>
      <x:c r="AM319" s="9" t="n">
        <x:f>'浓度设置'!S15</x:f>
        <x:v>7385.813644067793</x:v>
      </x:c>
      <x:c r="AN319" s="9" t="n">
        <x:f>'浓度设置'!S19</x:f>
        <x:v>27722.03097701148</x:v>
      </x:c>
      <x:c r="AO319" s="9" t="n">
        <x:f>'浓度设置'!S22</x:f>
        <x:v>44345.55047619048</x:v>
      </x:c>
      <x:c r="AP319" s="9" t="n">
        <x:f>'浓度设置'!S26</x:f>
        <x:v>153318.30499999996</x:v>
      </x:c>
      <x:c r="AQ319" s="9" t="n">
        <x:f>'浓度设置'!S29</x:f>
        <x:v>312.7970588235294</x:v>
      </x:c>
      <x:c r="AR319" s="9" t="n">
        <x:f>'浓度设置'!S30</x:f>
        <x:v>104175.5097553192</x:v>
      </x:c>
      <x:c r="AS319" s="9" t="n">
        <x:f>'浓度设置'!S35</x:f>
        <x:v>405974.90656785714</x:v>
      </x:c>
    </x:row>
    <x:row r="320" ht="24" customHeight="1">
      <x:c r="A320" s="3" t="str">
        <x:f>'350配方'!A320</x:f>
        <x:v>R005</x:v>
      </x:c>
      <x:c r="B320" s="3" t="str">
        <x:f>'350配方'!B320</x:f>
        <x:v>独立配制重复</x:v>
      </x:c>
      <x:c r="C320" s="3" t="n">
        <x:f>IF(B320="拟合",1,0)</x:f>
        <x:v>0</x:v>
      </x:c>
      <x:c r="D320" s="3" t="n">
        <x:f>'350配方'!AC320</x:f>
        <x:v>4</x:v>
      </x:c>
      <x:c r="E320" s="9" t="n">
        <x:f>SUMIFS('350配方'!$M320:$P320,'350配方'!$Y320:$AB320,7)</x:f>
        <x:v>3075.94</x:v>
      </x:c>
      <x:c r="F320" s="9" t="n">
        <x:f>SUMIFS('350配方'!$M320:$P320,'350配方'!$Y320:$AB320,11)</x:f>
        <x:v>0</x:v>
      </x:c>
      <x:c r="G320" s="9" t="n">
        <x:f>SUMIFS('350配方'!$M320:$P320,'350配方'!$Y320:$AB320,18)</x:f>
        <x:v>0</x:v>
      </x:c>
      <x:c r="H320" s="9" t="n">
        <x:f>SUMIFS('350配方'!$M320:$P320,'350配方'!$Y320:$AB320,32)</x:f>
        <x:v>0</x:v>
      </x:c>
      <x:c r="I320" s="9" t="n">
        <x:f>SUMIFS('350配方'!$M320:$P320,'350配方'!$Y320:$AB320,40)</x:f>
        <x:v>200.3122562401013</x:v>
      </x:c>
      <x:c r="J320" s="9" t="n">
        <x:f>SUMIFS('350配方'!$M320:$P320,'350配方'!$Y320:$AB320,52)</x:f>
        <x:v>1290235</x:v>
      </x:c>
      <x:c r="K320" s="9" t="n">
        <x:f>SUMIFS('350配方'!$M320:$P320,'350配方'!$Y320:$AB320,53)</x:f>
        <x:v>0</x:v>
      </x:c>
      <x:c r="L320" s="9" t="n">
        <x:f>SUMIFS('350配方'!$M320:$P320,'350配方'!$Y320:$AB320,56)</x:f>
        <x:v>0</x:v>
      </x:c>
      <x:c r="M320" s="9" t="n">
        <x:f>SUMIFS('350配方'!$M320:$P320,'350配方'!$Y320:$AB320,58)</x:f>
        <x:v>3072.731960324558</x:v>
      </x:c>
      <x:c r="N320" s="9" t="n">
        <x:f>SUMIFS('350配方'!$M320:$P320,'350配方'!$Y320:$AB320,61)</x:f>
        <x:v>0</x:v>
      </x:c>
      <x:c r="O320" s="9" t="n">
        <x:f>SUMIFS('350配方'!$M320:$P320,'350配方'!$Y320:$AB320,69)</x:f>
        <x:v>0</x:v>
      </x:c>
      <x:c r="P320" s="9" t="n">
        <x:f>SUMIFS('350配方'!$M320:$P320,'350配方'!$Y320:$AB320,75)</x:f>
        <x:v>0</x:v>
      </x:c>
      <x:c r="Q320" s="9" t="n">
        <x:f>SUMIFS('350配方'!$M320:$P320,'350配方'!$Y320:$AB320,79)</x:f>
        <x:v>0</x:v>
      </x:c>
      <x:c r="R320" s="9" t="n">
        <x:f>SUMIFS('350配方'!$M320:$P320,'350配方'!$Y320:$AB320,90)</x:f>
        <x:v>0</x:v>
      </x:c>
      <x:c r="S320" s="9" t="n">
        <x:f>SUMIFS('350配方'!$M320:$P320,'350配方'!$Y320:$AB320,105)</x:f>
        <x:v>0</x:v>
      </x:c>
      <x:c r="T320" s="9" t="n">
        <x:f>SUMIFS('350配方'!$M320:$P320,'350配方'!$Y320:$AB320,111)</x:f>
        <x:v>0</x:v>
      </x:c>
      <x:c r="U320" s="9" t="n">
        <x:f>SUMIFS('350配方'!$M320:$P320,'350配方'!$Y320:$AB320,114)</x:f>
        <x:v>0</x:v>
      </x:c>
      <x:c r="V320" s="9" t="n">
        <x:f>SUMIFS('350配方'!$M320:$P320,'350配方'!$Y320:$AB320,115)</x:f>
        <x:v>0</x:v>
      </x:c>
      <x:c r="W320" s="9" t="n">
        <x:f>SUMIFS('350配方'!$M320:$P320,'350配方'!$Y320:$AB320,117)</x:f>
        <x:v>0</x:v>
      </x:c>
      <x:c r="X320" s="9" t="n">
        <x:f>SUMIFS('350配方'!$M320:$P320,'350配方'!$Y320:$AB320,126)</x:f>
        <x:v>0</x:v>
      </x:c>
      <x:c r="Y320" s="9" t="n">
        <x:f>SUMIFS('350配方'!$M320:$P320,'350配方'!$Y320:$AB320,136)</x:f>
        <x:v>0</x:v>
      </x:c>
      <x:c r="Z320" s="9" t="n">
        <x:f>SUMIFS('350配方'!$M320:$P320,'350配方'!$Y320:$AB320,141)</x:f>
        <x:v>0</x:v>
      </x:c>
      <x:c r="AA320" s="9" t="n">
        <x:f>SUMIFS('350配方'!$M320:$P320,'350配方'!$Y320:$AB320,152)</x:f>
        <x:v>0</x:v>
      </x:c>
      <x:c r="AB320" s="9" t="n">
        <x:f>SUMIFS('350配方'!$M320:$P320,'350配方'!$Y320:$AB320,165)</x:f>
        <x:v>0</x:v>
      </x:c>
      <x:c r="AC320" s="9" t="n">
        <x:f>SUMIFS('350配方'!$M320:$P320,'350配方'!$Y320:$AB320,186)</x:f>
        <x:v>0</x:v>
      </x:c>
      <x:c r="AD320" s="9" t="n">
        <x:f>SUMIFS('350配方'!$M320:$P320,'350配方'!$Y320:$AB320,207)</x:f>
        <x:v>0</x:v>
      </x:c>
      <x:c r="AE320" s="9" t="n">
        <x:f>SUMIFS('350配方'!$M320:$P320,'350配方'!$Y320:$AB320,209)</x:f>
        <x:v>0</x:v>
      </x:c>
      <x:c r="AF320" s="9" t="n">
        <x:f>SUMIFS('350配方'!$M320:$P320,'350配方'!$Y320:$AB320,227)</x:f>
        <x:v>0</x:v>
      </x:c>
      <x:c r="AG320" s="9" t="n">
        <x:f>SUMIFS('350配方'!$M320:$P320,'350配方'!$Y320:$AB320,232)</x:f>
        <x:v>0</x:v>
      </x:c>
      <x:c r="AH320" s="9" t="n">
        <x:f>SUMIFS('350配方'!$M320:$P320,'350配方'!$Y320:$AB320,255)</x:f>
        <x:v>0</x:v>
      </x:c>
      <x:c r="AI320" s="9" t="n">
        <x:f>'浓度设置'!S6</x:f>
        <x:v>219125.9626344086</x:v>
      </x:c>
      <x:c r="AJ320" s="9" t="n">
        <x:f>'浓度设置'!S8</x:f>
        <x:v>92796.92267241378</x:v>
      </x:c>
      <x:c r="AK320" s="9" t="n">
        <x:f>'浓度设置'!S10</x:f>
        <x:v>30556.797802197798</x:v>
      </x:c>
      <x:c r="AL320" s="9" t="n">
        <x:f>'浓度设置'!S12</x:f>
        <x:v>1735.828970588235</x:v>
      </x:c>
      <x:c r="AM320" s="9" t="n">
        <x:f>'浓度设置'!S15</x:f>
        <x:v>7385.813644067793</x:v>
      </x:c>
      <x:c r="AN320" s="9" t="n">
        <x:f>'浓度设置'!S19</x:f>
        <x:v>27722.03097701148</x:v>
      </x:c>
      <x:c r="AO320" s="9" t="n">
        <x:f>'浓度设置'!S22</x:f>
        <x:v>44345.55047619048</x:v>
      </x:c>
      <x:c r="AP320" s="9" t="n">
        <x:f>'浓度设置'!S26</x:f>
        <x:v>153318.30499999996</x:v>
      </x:c>
      <x:c r="AQ320" s="9" t="n">
        <x:f>'浓度设置'!S29</x:f>
        <x:v>312.7970588235294</x:v>
      </x:c>
      <x:c r="AR320" s="9" t="n">
        <x:f>'浓度设置'!S30</x:f>
        <x:v>104175.5097553192</x:v>
      </x:c>
      <x:c r="AS320" s="9" t="n">
        <x:f>'浓度设置'!S35</x:f>
        <x:v>405974.90656785714</x:v>
      </x:c>
    </x:row>
    <x:row r="321" ht="24" customHeight="1">
      <x:c r="A321" s="3" t="str">
        <x:f>'350配方'!A321</x:f>
        <x:v>R006</x:v>
      </x:c>
      <x:c r="B321" s="3" t="str">
        <x:f>'350配方'!B321</x:f>
        <x:v>独立配制重复</x:v>
      </x:c>
      <x:c r="C321" s="3" t="n">
        <x:f>IF(B321="拟合",1,0)</x:f>
        <x:v>0</x:v>
      </x:c>
      <x:c r="D321" s="3" t="n">
        <x:f>'350配方'!AC321</x:f>
        <x:v>4</x:v>
      </x:c>
      <x:c r="E321" s="9" t="n">
        <x:f>SUMIFS('350配方'!$M321:$P321,'350配方'!$Y321:$AB321,7)</x:f>
        <x:v>0</x:v>
      </x:c>
      <x:c r="F321" s="9" t="n">
        <x:f>SUMIFS('350配方'!$M321:$P321,'350配方'!$Y321:$AB321,11)</x:f>
        <x:v>0</x:v>
      </x:c>
      <x:c r="G321" s="9" t="n">
        <x:f>SUMIFS('350配方'!$M321:$P321,'350配方'!$Y321:$AB321,18)</x:f>
        <x:v>35900</x:v>
      </x:c>
      <x:c r="H321" s="9" t="n">
        <x:f>SUMIFS('350配方'!$M321:$P321,'350配方'!$Y321:$AB321,32)</x:f>
        <x:v>0</x:v>
      </x:c>
      <x:c r="I321" s="9" t="n">
        <x:f>SUMIFS('350配方'!$M321:$P321,'350配方'!$Y321:$AB321,40)</x:f>
        <x:v>200.3122562401013</x:v>
      </x:c>
      <x:c r="J321" s="9" t="n">
        <x:f>SUMIFS('350配方'!$M321:$P321,'350配方'!$Y321:$AB321,52)</x:f>
        <x:v>0</x:v>
      </x:c>
      <x:c r="K321" s="9" t="n">
        <x:f>SUMIFS('350配方'!$M321:$P321,'350配方'!$Y321:$AB321,53)</x:f>
        <x:v>0</x:v>
      </x:c>
      <x:c r="L321" s="9" t="n">
        <x:f>SUMIFS('350配方'!$M321:$P321,'350配方'!$Y321:$AB321,56)</x:f>
        <x:v>0</x:v>
      </x:c>
      <x:c r="M321" s="9" t="n">
        <x:f>SUMIFS('350配方'!$M321:$P321,'350配方'!$Y321:$AB321,58)</x:f>
        <x:v>0</x:v>
      </x:c>
      <x:c r="N321" s="9" t="n">
        <x:f>SUMIFS('350配方'!$M321:$P321,'350配方'!$Y321:$AB321,61)</x:f>
        <x:v>0</x:v>
      </x:c>
      <x:c r="O321" s="9" t="n">
        <x:f>SUMIFS('350配方'!$M321:$P321,'350配方'!$Y321:$AB321,69)</x:f>
        <x:v>0</x:v>
      </x:c>
      <x:c r="P321" s="9" t="n">
        <x:f>SUMIFS('350配方'!$M321:$P321,'350配方'!$Y321:$AB321,75)</x:f>
        <x:v>0</x:v>
      </x:c>
      <x:c r="Q321" s="9" t="n">
        <x:f>SUMIFS('350配方'!$M321:$P321,'350配方'!$Y321:$AB321,79)</x:f>
        <x:v>0</x:v>
      </x:c>
      <x:c r="R321" s="9" t="n">
        <x:f>SUMIFS('350配方'!$M321:$P321,'350配方'!$Y321:$AB321,90)</x:f>
        <x:v>0</x:v>
      </x:c>
      <x:c r="S321" s="9" t="n">
        <x:f>SUMIFS('350配方'!$M321:$P321,'350配方'!$Y321:$AB321,105)</x:f>
        <x:v>0</x:v>
      </x:c>
      <x:c r="T321" s="9" t="n">
        <x:f>SUMIFS('350配方'!$M321:$P321,'350配方'!$Y321:$AB321,111)</x:f>
        <x:v>0</x:v>
      </x:c>
      <x:c r="U321" s="9" t="n">
        <x:f>SUMIFS('350配方'!$M321:$P321,'350配方'!$Y321:$AB321,114)</x:f>
        <x:v>0</x:v>
      </x:c>
      <x:c r="V321" s="9" t="n">
        <x:f>SUMIFS('350配方'!$M321:$P321,'350配方'!$Y321:$AB321,115)</x:f>
        <x:v>0</x:v>
      </x:c>
      <x:c r="W321" s="9" t="n">
        <x:f>SUMIFS('350配方'!$M321:$P321,'350配方'!$Y321:$AB321,117)</x:f>
        <x:v>1.875</x:v>
      </x:c>
      <x:c r="X321" s="9" t="n">
        <x:f>SUMIFS('350配方'!$M321:$P321,'350配方'!$Y321:$AB321,126)</x:f>
        <x:v>0</x:v>
      </x:c>
      <x:c r="Y321" s="9" t="n">
        <x:f>SUMIFS('350配方'!$M321:$P321,'350配方'!$Y321:$AB321,136)</x:f>
        <x:v>0</x:v>
      </x:c>
      <x:c r="Z321" s="9" t="n">
        <x:f>SUMIFS('350配方'!$M321:$P321,'350配方'!$Y321:$AB321,141)</x:f>
        <x:v>0</x:v>
      </x:c>
      <x:c r="AA321" s="9" t="n">
        <x:f>SUMIFS('350配方'!$M321:$P321,'350配方'!$Y321:$AB321,152)</x:f>
        <x:v>0</x:v>
      </x:c>
      <x:c r="AB321" s="9" t="n">
        <x:f>SUMIFS('350配方'!$M321:$P321,'350配方'!$Y321:$AB321,165)</x:f>
        <x:v>0</x:v>
      </x:c>
      <x:c r="AC321" s="9" t="n">
        <x:f>SUMIFS('350配方'!$M321:$P321,'350配方'!$Y321:$AB321,186)</x:f>
        <x:v>4262.731518639193</x:v>
      </x:c>
      <x:c r="AD321" s="9" t="n">
        <x:f>SUMIFS('350配方'!$M321:$P321,'350配方'!$Y321:$AB321,207)</x:f>
        <x:v>0</x:v>
      </x:c>
      <x:c r="AE321" s="9" t="n">
        <x:f>SUMIFS('350配方'!$M321:$P321,'350配方'!$Y321:$AB321,209)</x:f>
        <x:v>0</x:v>
      </x:c>
      <x:c r="AF321" s="9" t="n">
        <x:f>SUMIFS('350配方'!$M321:$P321,'350配方'!$Y321:$AB321,227)</x:f>
        <x:v>0</x:v>
      </x:c>
      <x:c r="AG321" s="9" t="n">
        <x:f>SUMIFS('350配方'!$M321:$P321,'350配方'!$Y321:$AB321,232)</x:f>
        <x:v>0</x:v>
      </x:c>
      <x:c r="AH321" s="9" t="n">
        <x:f>SUMIFS('350配方'!$M321:$P321,'350配方'!$Y321:$AB321,255)</x:f>
        <x:v>0</x:v>
      </x:c>
      <x:c r="AI321" s="9" t="n">
        <x:f>'浓度设置'!S6</x:f>
        <x:v>219125.9626344086</x:v>
      </x:c>
      <x:c r="AJ321" s="9" t="n">
        <x:f>'浓度设置'!S8</x:f>
        <x:v>92796.92267241378</x:v>
      </x:c>
      <x:c r="AK321" s="9" t="n">
        <x:f>'浓度设置'!S10</x:f>
        <x:v>30556.797802197798</x:v>
      </x:c>
      <x:c r="AL321" s="9" t="n">
        <x:f>'浓度设置'!S12</x:f>
        <x:v>1735.828970588235</x:v>
      </x:c>
      <x:c r="AM321" s="9" t="n">
        <x:f>'浓度设置'!S15</x:f>
        <x:v>7385.813644067793</x:v>
      </x:c>
      <x:c r="AN321" s="9" t="n">
        <x:f>'浓度设置'!S19</x:f>
        <x:v>27722.03097701148</x:v>
      </x:c>
      <x:c r="AO321" s="9" t="n">
        <x:f>'浓度设置'!S22</x:f>
        <x:v>44345.55047619048</x:v>
      </x:c>
      <x:c r="AP321" s="9" t="n">
        <x:f>'浓度设置'!S26</x:f>
        <x:v>153318.30499999996</x:v>
      </x:c>
      <x:c r="AQ321" s="9" t="n">
        <x:f>'浓度设置'!S29</x:f>
        <x:v>312.7970588235294</x:v>
      </x:c>
      <x:c r="AR321" s="9" t="n">
        <x:f>'浓度设置'!S30</x:f>
        <x:v>104175.5097553192</x:v>
      </x:c>
      <x:c r="AS321" s="9" t="n">
        <x:f>'浓度设置'!S35</x:f>
        <x:v>405974.90656785714</x:v>
      </x:c>
    </x:row>
    <x:row r="322" ht="24" customHeight="1">
      <x:c r="A322" s="3" t="str">
        <x:f>'350配方'!A322</x:f>
        <x:v>R007</x:v>
      </x:c>
      <x:c r="B322" s="3" t="str">
        <x:f>'350配方'!B322</x:f>
        <x:v>独立配制重复</x:v>
      </x:c>
      <x:c r="C322" s="3" t="n">
        <x:f>IF(B322="拟合",1,0)</x:f>
        <x:v>0</x:v>
      </x:c>
      <x:c r="D322" s="3" t="n">
        <x:f>'350配方'!AC322</x:f>
        <x:v>4</x:v>
      </x:c>
      <x:c r="E322" s="9" t="n">
        <x:f>SUMIFS('350配方'!$M322:$P322,'350配方'!$Y322:$AB322,7)</x:f>
        <x:v>0</x:v>
      </x:c>
      <x:c r="F322" s="9" t="n">
        <x:f>SUMIFS('350配方'!$M322:$P322,'350配方'!$Y322:$AB322,11)</x:f>
        <x:v>0</x:v>
      </x:c>
      <x:c r="G322" s="9" t="n">
        <x:f>SUMIFS('350配方'!$M322:$P322,'350配方'!$Y322:$AB322,18)</x:f>
        <x:v>0</x:v>
      </x:c>
      <x:c r="H322" s="9" t="n">
        <x:f>SUMIFS('350配方'!$M322:$P322,'350配方'!$Y322:$AB322,32)</x:f>
        <x:v>0</x:v>
      </x:c>
      <x:c r="I322" s="9" t="n">
        <x:f>SUMIFS('350配方'!$M322:$P322,'350配方'!$Y322:$AB322,40)</x:f>
        <x:v>0</x:v>
      </x:c>
      <x:c r="J322" s="9" t="n">
        <x:f>SUMIFS('350配方'!$M322:$P322,'350配方'!$Y322:$AB322,52)</x:f>
        <x:v>0</x:v>
      </x:c>
      <x:c r="K322" s="9" t="n">
        <x:f>SUMIFS('350配方'!$M322:$P322,'350配方'!$Y322:$AB322,53)</x:f>
        <x:v>0</x:v>
      </x:c>
      <x:c r="L322" s="9" t="n">
        <x:f>SUMIFS('350配方'!$M322:$P322,'350配方'!$Y322:$AB322,56)</x:f>
        <x:v>0</x:v>
      </x:c>
      <x:c r="M322" s="9" t="n">
        <x:f>SUMIFS('350配方'!$M322:$P322,'350配方'!$Y322:$AB322,58)</x:f>
        <x:v>0</x:v>
      </x:c>
      <x:c r="N322" s="9" t="n">
        <x:f>SUMIFS('350配方'!$M322:$P322,'350配方'!$Y322:$AB322,61)</x:f>
        <x:v>0</x:v>
      </x:c>
      <x:c r="O322" s="9" t="n">
        <x:f>SUMIFS('350配方'!$M322:$P322,'350配方'!$Y322:$AB322,69)</x:f>
        <x:v>12022.2</x:v>
      </x:c>
      <x:c r="P322" s="9" t="n">
        <x:f>SUMIFS('350配方'!$M322:$P322,'350配方'!$Y322:$AB322,75)</x:f>
        <x:v>331.2476415010377</x:v>
      </x:c>
      <x:c r="Q322" s="9" t="n">
        <x:f>SUMIFS('350配方'!$M322:$P322,'350配方'!$Y322:$AB322,79)</x:f>
        <x:v>0</x:v>
      </x:c>
      <x:c r="R322" s="9" t="n">
        <x:f>SUMIFS('350配方'!$M322:$P322,'350配方'!$Y322:$AB322,90)</x:f>
        <x:v>0</x:v>
      </x:c>
      <x:c r="S322" s="9" t="n">
        <x:f>SUMIFS('350配方'!$M322:$P322,'350配方'!$Y322:$AB322,105)</x:f>
        <x:v>0</x:v>
      </x:c>
      <x:c r="T322" s="9" t="n">
        <x:f>SUMIFS('350配方'!$M322:$P322,'350配方'!$Y322:$AB322,111)</x:f>
        <x:v>0</x:v>
      </x:c>
      <x:c r="U322" s="9" t="n">
        <x:f>SUMIFS('350配方'!$M322:$P322,'350配方'!$Y322:$AB322,114)</x:f>
        <x:v>0</x:v>
      </x:c>
      <x:c r="V322" s="9" t="n">
        <x:f>SUMIFS('350配方'!$M322:$P322,'350配方'!$Y322:$AB322,115)</x:f>
        <x:v>6516</x:v>
      </x:c>
      <x:c r="W322" s="9" t="n">
        <x:f>SUMIFS('350配方'!$M322:$P322,'350配方'!$Y322:$AB322,117)</x:f>
        <x:v>0</x:v>
      </x:c>
      <x:c r="X322" s="9" t="n">
        <x:f>SUMIFS('350配方'!$M322:$P322,'350配方'!$Y322:$AB322,126)</x:f>
        <x:v>0</x:v>
      </x:c>
      <x:c r="Y322" s="9" t="n">
        <x:f>SUMIFS('350配方'!$M322:$P322,'350配方'!$Y322:$AB322,136)</x:f>
        <x:v>0</x:v>
      </x:c>
      <x:c r="Z322" s="9" t="n">
        <x:f>SUMIFS('350配方'!$M322:$P322,'350配方'!$Y322:$AB322,141)</x:f>
        <x:v>0</x:v>
      </x:c>
      <x:c r="AA322" s="9" t="n">
        <x:f>SUMIFS('350配方'!$M322:$P322,'350配方'!$Y322:$AB322,152)</x:f>
        <x:v>1048.6410253275426</x:v>
      </x:c>
      <x:c r="AB322" s="9" t="n">
        <x:f>SUMIFS('350配方'!$M322:$P322,'350配方'!$Y322:$AB322,165)</x:f>
        <x:v>0</x:v>
      </x:c>
      <x:c r="AC322" s="9" t="n">
        <x:f>SUMIFS('350配方'!$M322:$P322,'350配方'!$Y322:$AB322,186)</x:f>
        <x:v>0</x:v>
      </x:c>
      <x:c r="AD322" s="9" t="n">
        <x:f>SUMIFS('350配方'!$M322:$P322,'350配方'!$Y322:$AB322,207)</x:f>
        <x:v>0</x:v>
      </x:c>
      <x:c r="AE322" s="9" t="n">
        <x:f>SUMIFS('350配方'!$M322:$P322,'350配方'!$Y322:$AB322,209)</x:f>
        <x:v>0</x:v>
      </x:c>
      <x:c r="AF322" s="9" t="n">
        <x:f>SUMIFS('350配方'!$M322:$P322,'350配方'!$Y322:$AB322,227)</x:f>
        <x:v>0</x:v>
      </x:c>
      <x:c r="AG322" s="9" t="n">
        <x:f>SUMIFS('350配方'!$M322:$P322,'350配方'!$Y322:$AB322,232)</x:f>
        <x:v>0</x:v>
      </x:c>
      <x:c r="AH322" s="9" t="n">
        <x:f>SUMIFS('350配方'!$M322:$P322,'350配方'!$Y322:$AB322,255)</x:f>
        <x:v>0</x:v>
      </x:c>
      <x:c r="AI322" s="9" t="n">
        <x:f>'浓度设置'!S6</x:f>
        <x:v>219125.9626344086</x:v>
      </x:c>
      <x:c r="AJ322" s="9" t="n">
        <x:f>'浓度设置'!S8</x:f>
        <x:v>92796.92267241378</x:v>
      </x:c>
      <x:c r="AK322" s="9" t="n">
        <x:f>'浓度设置'!S10</x:f>
        <x:v>30556.797802197798</x:v>
      </x:c>
      <x:c r="AL322" s="9" t="n">
        <x:f>'浓度设置'!S12</x:f>
        <x:v>1735.828970588235</x:v>
      </x:c>
      <x:c r="AM322" s="9" t="n">
        <x:f>'浓度设置'!S15</x:f>
        <x:v>7385.813644067793</x:v>
      </x:c>
      <x:c r="AN322" s="9" t="n">
        <x:f>'浓度设置'!S19</x:f>
        <x:v>27722.03097701148</x:v>
      </x:c>
      <x:c r="AO322" s="9" t="n">
        <x:f>'浓度设置'!S22</x:f>
        <x:v>44345.55047619048</x:v>
      </x:c>
      <x:c r="AP322" s="9" t="n">
        <x:f>'浓度设置'!S26</x:f>
        <x:v>153318.30499999996</x:v>
      </x:c>
      <x:c r="AQ322" s="9" t="n">
        <x:f>'浓度设置'!S29</x:f>
        <x:v>312.7970588235294</x:v>
      </x:c>
      <x:c r="AR322" s="9" t="n">
        <x:f>'浓度设置'!S30</x:f>
        <x:v>104175.5097553192</x:v>
      </x:c>
      <x:c r="AS322" s="9" t="n">
        <x:f>'浓度设置'!S35</x:f>
        <x:v>405974.90656785714</x:v>
      </x:c>
    </x:row>
    <x:row r="323" ht="24" customHeight="1">
      <x:c r="A323" s="3" t="str">
        <x:f>'350配方'!A323</x:f>
        <x:v>R008</x:v>
      </x:c>
      <x:c r="B323" s="3" t="str">
        <x:f>'350配方'!B323</x:f>
        <x:v>独立配制重复</x:v>
      </x:c>
      <x:c r="C323" s="3" t="n">
        <x:f>IF(B323="拟合",1,0)</x:f>
        <x:v>0</x:v>
      </x:c>
      <x:c r="D323" s="3" t="n">
        <x:f>'350配方'!AC323</x:f>
        <x:v>4</x:v>
      </x:c>
      <x:c r="E323" s="9" t="n">
        <x:f>SUMIFS('350配方'!$M323:$P323,'350配方'!$Y323:$AB323,7)</x:f>
        <x:v>0</x:v>
      </x:c>
      <x:c r="F323" s="9" t="n">
        <x:f>SUMIFS('350配方'!$M323:$P323,'350配方'!$Y323:$AB323,11)</x:f>
        <x:v>0</x:v>
      </x:c>
      <x:c r="G323" s="9" t="n">
        <x:f>SUMIFS('350配方'!$M323:$P323,'350配方'!$Y323:$AB323,18)</x:f>
        <x:v>0</x:v>
      </x:c>
      <x:c r="H323" s="9" t="n">
        <x:f>SUMIFS('350配方'!$M323:$P323,'350配方'!$Y323:$AB323,32)</x:f>
        <x:v>0</x:v>
      </x:c>
      <x:c r="I323" s="9" t="n">
        <x:f>SUMIFS('350配方'!$M323:$P323,'350配方'!$Y323:$AB323,40)</x:f>
        <x:v>0</x:v>
      </x:c>
      <x:c r="J323" s="9" t="n">
        <x:f>SUMIFS('350配方'!$M323:$P323,'350配方'!$Y323:$AB323,52)</x:f>
        <x:v>0</x:v>
      </x:c>
      <x:c r="K323" s="9" t="n">
        <x:f>SUMIFS('350配方'!$M323:$P323,'350配方'!$Y323:$AB323,53)</x:f>
        <x:v>0</x:v>
      </x:c>
      <x:c r="L323" s="9" t="n">
        <x:f>SUMIFS('350配方'!$M323:$P323,'350配方'!$Y323:$AB323,56)</x:f>
        <x:v>0</x:v>
      </x:c>
      <x:c r="M323" s="9" t="n">
        <x:f>SUMIFS('350配方'!$M323:$P323,'350配方'!$Y323:$AB323,58)</x:f>
        <x:v>0</x:v>
      </x:c>
      <x:c r="N323" s="9" t="n">
        <x:f>SUMIFS('350配方'!$M323:$P323,'350配方'!$Y323:$AB323,61)</x:f>
        <x:v>0</x:v>
      </x:c>
      <x:c r="O323" s="9" t="n">
        <x:f>SUMIFS('350配方'!$M323:$P323,'350配方'!$Y323:$AB323,69)</x:f>
        <x:v>0</x:v>
      </x:c>
      <x:c r="P323" s="9" t="n">
        <x:f>SUMIFS('350配方'!$M323:$P323,'350配方'!$Y323:$AB323,75)</x:f>
        <x:v>1.75</x:v>
      </x:c>
      <x:c r="Q323" s="9" t="n">
        <x:f>SUMIFS('350配方'!$M323:$P323,'350配方'!$Y323:$AB323,79)</x:f>
        <x:v>0</x:v>
      </x:c>
      <x:c r="R323" s="9" t="n">
        <x:f>SUMIFS('350配方'!$M323:$P323,'350配方'!$Y323:$AB323,90)</x:f>
        <x:v>0</x:v>
      </x:c>
      <x:c r="S323" s="9" t="n">
        <x:f>SUMIFS('350配方'!$M323:$P323,'350配方'!$Y323:$AB323,105)</x:f>
        <x:v>0</x:v>
      </x:c>
      <x:c r="T323" s="9" t="n">
        <x:f>SUMIFS('350配方'!$M323:$P323,'350配方'!$Y323:$AB323,111)</x:f>
        <x:v>0</x:v>
      </x:c>
      <x:c r="U323" s="9" t="n">
        <x:f>SUMIFS('350配方'!$M323:$P323,'350配方'!$Y323:$AB323,114)</x:f>
        <x:v>0</x:v>
      </x:c>
      <x:c r="V323" s="9" t="n">
        <x:f>SUMIFS('350配方'!$M323:$P323,'350配方'!$Y323:$AB323,115)</x:f>
        <x:v>6516</x:v>
      </x:c>
      <x:c r="W323" s="9" t="n">
        <x:f>SUMIFS('350配方'!$M323:$P323,'350配方'!$Y323:$AB323,117)</x:f>
        <x:v>0</x:v>
      </x:c>
      <x:c r="X323" s="9" t="n">
        <x:f>SUMIFS('350配方'!$M323:$P323,'350配方'!$Y323:$AB323,126)</x:f>
        <x:v>0</x:v>
      </x:c>
      <x:c r="Y323" s="9" t="n">
        <x:f>SUMIFS('350配方'!$M323:$P323,'350配方'!$Y323:$AB323,136)</x:f>
        <x:v>0</x:v>
      </x:c>
      <x:c r="Z323" s="9" t="n">
        <x:f>SUMIFS('350配方'!$M323:$P323,'350配方'!$Y323:$AB323,141)</x:f>
        <x:v>1512.497272724814</x:v>
      </x:c>
      <x:c r="AA323" s="9" t="n">
        <x:f>SUMIFS('350配方'!$M323:$P323,'350配方'!$Y323:$AB323,152)</x:f>
        <x:v>0</x:v>
      </x:c>
      <x:c r="AB323" s="9" t="n">
        <x:f>SUMIFS('350配方'!$M323:$P323,'350配方'!$Y323:$AB323,165)</x:f>
        <x:v>0</x:v>
      </x:c>
      <x:c r="AC323" s="9" t="n">
        <x:f>SUMIFS('350配方'!$M323:$P323,'350配方'!$Y323:$AB323,186)</x:f>
        <x:v>0</x:v>
      </x:c>
      <x:c r="AD323" s="9" t="n">
        <x:f>SUMIFS('350配方'!$M323:$P323,'350配方'!$Y323:$AB323,207)</x:f>
        <x:v>0</x:v>
      </x:c>
      <x:c r="AE323" s="9" t="n">
        <x:f>SUMIFS('350配方'!$M323:$P323,'350配方'!$Y323:$AB323,209)</x:f>
        <x:v>0</x:v>
      </x:c>
      <x:c r="AF323" s="9" t="n">
        <x:f>SUMIFS('350配方'!$M323:$P323,'350配方'!$Y323:$AB323,227)</x:f>
        <x:v>0</x:v>
      </x:c>
      <x:c r="AG323" s="9" t="n">
        <x:f>SUMIFS('350配方'!$M323:$P323,'350配方'!$Y323:$AB323,232)</x:f>
        <x:v>1611</x:v>
      </x:c>
      <x:c r="AH323" s="9" t="n">
        <x:f>SUMIFS('350配方'!$M323:$P323,'350配方'!$Y323:$AB323,255)</x:f>
        <x:v>0</x:v>
      </x:c>
      <x:c r="AI323" s="9" t="n">
        <x:f>'浓度设置'!S6</x:f>
        <x:v>219125.9626344086</x:v>
      </x:c>
      <x:c r="AJ323" s="9" t="n">
        <x:f>'浓度设置'!S8</x:f>
        <x:v>92796.92267241378</x:v>
      </x:c>
      <x:c r="AK323" s="9" t="n">
        <x:f>'浓度设置'!S10</x:f>
        <x:v>30556.797802197798</x:v>
      </x:c>
      <x:c r="AL323" s="9" t="n">
        <x:f>'浓度设置'!S12</x:f>
        <x:v>1735.828970588235</x:v>
      </x:c>
      <x:c r="AM323" s="9" t="n">
        <x:f>'浓度设置'!S15</x:f>
        <x:v>7385.813644067793</x:v>
      </x:c>
      <x:c r="AN323" s="9" t="n">
        <x:f>'浓度设置'!S19</x:f>
        <x:v>27722.03097701148</x:v>
      </x:c>
      <x:c r="AO323" s="9" t="n">
        <x:f>'浓度设置'!S22</x:f>
        <x:v>44345.55047619048</x:v>
      </x:c>
      <x:c r="AP323" s="9" t="n">
        <x:f>'浓度设置'!S26</x:f>
        <x:v>153318.30499999996</x:v>
      </x:c>
      <x:c r="AQ323" s="9" t="n">
        <x:f>'浓度设置'!S29</x:f>
        <x:v>312.7970588235294</x:v>
      </x:c>
      <x:c r="AR323" s="9" t="n">
        <x:f>'浓度设置'!S30</x:f>
        <x:v>104175.5097553192</x:v>
      </x:c>
      <x:c r="AS323" s="9" t="n">
        <x:f>'浓度设置'!S35</x:f>
        <x:v>405974.90656785714</x:v>
      </x:c>
    </x:row>
    <x:row r="324" ht="24" customHeight="1">
      <x:c r="A324" s="3" t="str">
        <x:f>'350配方'!A324</x:f>
        <x:v>R009</x:v>
      </x:c>
      <x:c r="B324" s="3" t="str">
        <x:f>'350配方'!B324</x:f>
        <x:v>独立配制重复</x:v>
      </x:c>
      <x:c r="C324" s="3" t="n">
        <x:f>IF(B324="拟合",1,0)</x:f>
        <x:v>0</x:v>
      </x:c>
      <x:c r="D324" s="3" t="n">
        <x:f>'350配方'!AC324</x:f>
        <x:v>4</x:v>
      </x:c>
      <x:c r="E324" s="9" t="n">
        <x:f>SUMIFS('350配方'!$M324:$P324,'350配方'!$Y324:$AB324,7)</x:f>
        <x:v>3075.94</x:v>
      </x:c>
      <x:c r="F324" s="9" t="n">
        <x:f>SUMIFS('350配方'!$M324:$P324,'350配方'!$Y324:$AB324,11)</x:f>
        <x:v>0</x:v>
      </x:c>
      <x:c r="G324" s="9" t="n">
        <x:f>SUMIFS('350配方'!$M324:$P324,'350配方'!$Y324:$AB324,18)</x:f>
        <x:v>0</x:v>
      </x:c>
      <x:c r="H324" s="9" t="n">
        <x:f>SUMIFS('350配方'!$M324:$P324,'350配方'!$Y324:$AB324,32)</x:f>
        <x:v>37489</x:v>
      </x:c>
      <x:c r="I324" s="9" t="n">
        <x:f>SUMIFS('350配方'!$M324:$P324,'350配方'!$Y324:$AB324,40)</x:f>
        <x:v>0</x:v>
      </x:c>
      <x:c r="J324" s="9" t="n">
        <x:f>SUMIFS('350配方'!$M324:$P324,'350配方'!$Y324:$AB324,52)</x:f>
        <x:v>0</x:v>
      </x:c>
      <x:c r="K324" s="9" t="n">
        <x:f>SUMIFS('350配方'!$M324:$P324,'350配方'!$Y324:$AB324,53)</x:f>
        <x:v>0</x:v>
      </x:c>
      <x:c r="L324" s="9" t="n">
        <x:f>SUMIFS('350配方'!$M324:$P324,'350配方'!$Y324:$AB324,56)</x:f>
        <x:v>0</x:v>
      </x:c>
      <x:c r="M324" s="9" t="n">
        <x:f>SUMIFS('350配方'!$M324:$P324,'350配方'!$Y324:$AB324,58)</x:f>
        <x:v>0</x:v>
      </x:c>
      <x:c r="N324" s="9" t="n">
        <x:f>SUMIFS('350配方'!$M324:$P324,'350配方'!$Y324:$AB324,61)</x:f>
        <x:v>0</x:v>
      </x:c>
      <x:c r="O324" s="9" t="n">
        <x:f>SUMIFS('350配方'!$M324:$P324,'350配方'!$Y324:$AB324,69)</x:f>
        <x:v>0</x:v>
      </x:c>
      <x:c r="P324" s="9" t="n">
        <x:f>SUMIFS('350配方'!$M324:$P324,'350配方'!$Y324:$AB324,75)</x:f>
        <x:v>0</x:v>
      </x:c>
      <x:c r="Q324" s="9" t="n">
        <x:f>SUMIFS('350配方'!$M324:$P324,'350配方'!$Y324:$AB324,79)</x:f>
        <x:v>0</x:v>
      </x:c>
      <x:c r="R324" s="9" t="n">
        <x:f>SUMIFS('350配方'!$M324:$P324,'350配方'!$Y324:$AB324,90)</x:f>
        <x:v>0</x:v>
      </x:c>
      <x:c r="S324" s="9" t="n">
        <x:f>SUMIFS('350配方'!$M324:$P324,'350配方'!$Y324:$AB324,105)</x:f>
        <x:v>0.05</x:v>
      </x:c>
      <x:c r="T324" s="9" t="n">
        <x:f>SUMIFS('350配方'!$M324:$P324,'350配方'!$Y324:$AB324,111)</x:f>
        <x:v>0</x:v>
      </x:c>
      <x:c r="U324" s="9" t="n">
        <x:f>SUMIFS('350配方'!$M324:$P324,'350配方'!$Y324:$AB324,114)</x:f>
        <x:v>0</x:v>
      </x:c>
      <x:c r="V324" s="9" t="n">
        <x:f>SUMIFS('350配方'!$M324:$P324,'350配方'!$Y324:$AB324,115)</x:f>
        <x:v>0</x:v>
      </x:c>
      <x:c r="W324" s="9" t="n">
        <x:f>SUMIFS('350配方'!$M324:$P324,'350配方'!$Y324:$AB324,117)</x:f>
        <x:v>0</x:v>
      </x:c>
      <x:c r="X324" s="9" t="n">
        <x:f>SUMIFS('350配方'!$M324:$P324,'350配方'!$Y324:$AB324,126)</x:f>
        <x:v>0</x:v>
      </x:c>
      <x:c r="Y324" s="9" t="n">
        <x:f>SUMIFS('350配方'!$M324:$P324,'350配方'!$Y324:$AB324,136)</x:f>
        <x:v>0</x:v>
      </x:c>
      <x:c r="Z324" s="9" t="n">
        <x:f>SUMIFS('350配方'!$M324:$P324,'350配方'!$Y324:$AB324,141)</x:f>
        <x:v>1039840</x:v>
      </x:c>
      <x:c r="AA324" s="9" t="n">
        <x:f>SUMIFS('350配方'!$M324:$P324,'350配方'!$Y324:$AB324,152)</x:f>
        <x:v>0</x:v>
      </x:c>
      <x:c r="AB324" s="9" t="n">
        <x:f>SUMIFS('350配方'!$M324:$P324,'350配方'!$Y324:$AB324,165)</x:f>
        <x:v>0</x:v>
      </x:c>
      <x:c r="AC324" s="9" t="n">
        <x:f>SUMIFS('350配方'!$M324:$P324,'350配方'!$Y324:$AB324,186)</x:f>
        <x:v>0</x:v>
      </x:c>
      <x:c r="AD324" s="9" t="n">
        <x:f>SUMIFS('350配方'!$M324:$P324,'350配方'!$Y324:$AB324,207)</x:f>
        <x:v>0</x:v>
      </x:c>
      <x:c r="AE324" s="9" t="n">
        <x:f>SUMIFS('350配方'!$M324:$P324,'350配方'!$Y324:$AB324,209)</x:f>
        <x:v>0</x:v>
      </x:c>
      <x:c r="AF324" s="9" t="n">
        <x:f>SUMIFS('350配方'!$M324:$P324,'350配方'!$Y324:$AB324,227)</x:f>
        <x:v>0</x:v>
      </x:c>
      <x:c r="AG324" s="9" t="n">
        <x:f>SUMIFS('350配方'!$M324:$P324,'350配方'!$Y324:$AB324,232)</x:f>
        <x:v>0</x:v>
      </x:c>
      <x:c r="AH324" s="9" t="n">
        <x:f>SUMIFS('350配方'!$M324:$P324,'350配方'!$Y324:$AB324,255)</x:f>
        <x:v>0</x:v>
      </x:c>
      <x:c r="AI324" s="9" t="n">
        <x:f>'浓度设置'!S6</x:f>
        <x:v>219125.9626344086</x:v>
      </x:c>
      <x:c r="AJ324" s="9" t="n">
        <x:f>'浓度设置'!S8</x:f>
        <x:v>92796.92267241378</x:v>
      </x:c>
      <x:c r="AK324" s="9" t="n">
        <x:f>'浓度设置'!S10</x:f>
        <x:v>30556.797802197798</x:v>
      </x:c>
      <x:c r="AL324" s="9" t="n">
        <x:f>'浓度设置'!S12</x:f>
        <x:v>1735.828970588235</x:v>
      </x:c>
      <x:c r="AM324" s="9" t="n">
        <x:f>'浓度设置'!S15</x:f>
        <x:v>7385.813644067793</x:v>
      </x:c>
      <x:c r="AN324" s="9" t="n">
        <x:f>'浓度设置'!S19</x:f>
        <x:v>27722.03097701148</x:v>
      </x:c>
      <x:c r="AO324" s="9" t="n">
        <x:f>'浓度设置'!S22</x:f>
        <x:v>44345.55047619048</x:v>
      </x:c>
      <x:c r="AP324" s="9" t="n">
        <x:f>'浓度设置'!S26</x:f>
        <x:v>153318.30499999996</x:v>
      </x:c>
      <x:c r="AQ324" s="9" t="n">
        <x:f>'浓度设置'!S29</x:f>
        <x:v>312.7970588235294</x:v>
      </x:c>
      <x:c r="AR324" s="9" t="n">
        <x:f>'浓度设置'!S30</x:f>
        <x:v>104175.5097553192</x:v>
      </x:c>
      <x:c r="AS324" s="9" t="n">
        <x:f>'浓度设置'!S35</x:f>
        <x:v>405974.90656785714</x:v>
      </x:c>
    </x:row>
    <x:row r="325" ht="24" customHeight="1">
      <x:c r="A325" s="3" t="str">
        <x:f>'350配方'!A325</x:f>
        <x:v>R010</x:v>
      </x:c>
      <x:c r="B325" s="3" t="str">
        <x:f>'350配方'!B325</x:f>
        <x:v>独立配制重复</x:v>
      </x:c>
      <x:c r="C325" s="3" t="n">
        <x:f>IF(B325="拟合",1,0)</x:f>
        <x:v>0</x:v>
      </x:c>
      <x:c r="D325" s="3" t="n">
        <x:f>'350配方'!AC325</x:f>
        <x:v>4</x:v>
      </x:c>
      <x:c r="E325" s="9" t="n">
        <x:f>SUMIFS('350配方'!$M325:$P325,'350配方'!$Y325:$AB325,7)</x:f>
        <x:v>0</x:v>
      </x:c>
      <x:c r="F325" s="9" t="n">
        <x:f>SUMIFS('350配方'!$M325:$P325,'350配方'!$Y325:$AB325,11)</x:f>
        <x:v>0</x:v>
      </x:c>
      <x:c r="G325" s="9" t="n">
        <x:f>SUMIFS('350配方'!$M325:$P325,'350配方'!$Y325:$AB325,18)</x:f>
        <x:v>0</x:v>
      </x:c>
      <x:c r="H325" s="9" t="n">
        <x:f>SUMIFS('350配方'!$M325:$P325,'350配方'!$Y325:$AB325,32)</x:f>
        <x:v>0</x:v>
      </x:c>
      <x:c r="I325" s="9" t="n">
        <x:f>SUMIFS('350配方'!$M325:$P325,'350配方'!$Y325:$AB325,40)</x:f>
        <x:v>0</x:v>
      </x:c>
      <x:c r="J325" s="9" t="n">
        <x:f>SUMIFS('350配方'!$M325:$P325,'350配方'!$Y325:$AB325,52)</x:f>
        <x:v>0</x:v>
      </x:c>
      <x:c r="K325" s="9" t="n">
        <x:f>SUMIFS('350配方'!$M325:$P325,'350配方'!$Y325:$AB325,53)</x:f>
        <x:v>0</x:v>
      </x:c>
      <x:c r="L325" s="9" t="n">
        <x:f>SUMIFS('350配方'!$M325:$P325,'350配方'!$Y325:$AB325,56)</x:f>
        <x:v>0</x:v>
      </x:c>
      <x:c r="M325" s="9" t="n">
        <x:f>SUMIFS('350配方'!$M325:$P325,'350配方'!$Y325:$AB325,58)</x:f>
        <x:v>0</x:v>
      </x:c>
      <x:c r="N325" s="9" t="n">
        <x:f>SUMIFS('350配方'!$M325:$P325,'350配方'!$Y325:$AB325,61)</x:f>
        <x:v>0</x:v>
      </x:c>
      <x:c r="O325" s="9" t="n">
        <x:f>SUMIFS('350配方'!$M325:$P325,'350配方'!$Y325:$AB325,69)</x:f>
        <x:v>0</x:v>
      </x:c>
      <x:c r="P325" s="9" t="n">
        <x:f>SUMIFS('350配方'!$M325:$P325,'350配方'!$Y325:$AB325,75)</x:f>
        <x:v>0</x:v>
      </x:c>
      <x:c r="Q325" s="9" t="n">
        <x:f>SUMIFS('350配方'!$M325:$P325,'350配方'!$Y325:$AB325,79)</x:f>
        <x:v>0</x:v>
      </x:c>
      <x:c r="R325" s="9" t="n">
        <x:f>SUMIFS('350配方'!$M325:$P325,'350配方'!$Y325:$AB325,90)</x:f>
        <x:v>0</x:v>
      </x:c>
      <x:c r="S325" s="9" t="n">
        <x:f>SUMIFS('350配方'!$M325:$P325,'350配方'!$Y325:$AB325,105)</x:f>
        <x:v>0</x:v>
      </x:c>
      <x:c r="T325" s="9" t="n">
        <x:f>SUMIFS('350配方'!$M325:$P325,'350配方'!$Y325:$AB325,111)</x:f>
        <x:v>0</x:v>
      </x:c>
      <x:c r="U325" s="9" t="n">
        <x:f>SUMIFS('350配方'!$M325:$P325,'350配方'!$Y325:$AB325,114)</x:f>
        <x:v>0</x:v>
      </x:c>
      <x:c r="V325" s="9" t="n">
        <x:f>SUMIFS('350配方'!$M325:$P325,'350配方'!$Y325:$AB325,115)</x:f>
        <x:v>1.44</x:v>
      </x:c>
      <x:c r="W325" s="9" t="n">
        <x:f>SUMIFS('350配方'!$M325:$P325,'350配方'!$Y325:$AB325,117)</x:f>
        <x:v>0</x:v>
      </x:c>
      <x:c r="X325" s="9" t="n">
        <x:f>SUMIFS('350配方'!$M325:$P325,'350配方'!$Y325:$AB325,126)</x:f>
        <x:v>0</x:v>
      </x:c>
      <x:c r="Y325" s="9" t="n">
        <x:f>SUMIFS('350配方'!$M325:$P325,'350配方'!$Y325:$AB325,136)</x:f>
        <x:v>0</x:v>
      </x:c>
      <x:c r="Z325" s="9" t="n">
        <x:f>SUMIFS('350配方'!$M325:$P325,'350配方'!$Y325:$AB325,141)</x:f>
        <x:v>0</x:v>
      </x:c>
      <x:c r="AA325" s="9" t="n">
        <x:f>SUMIFS('350配方'!$M325:$P325,'350配方'!$Y325:$AB325,152)</x:f>
        <x:v>4.84</x:v>
      </x:c>
      <x:c r="AB325" s="9" t="n">
        <x:f>SUMIFS('350配方'!$M325:$P325,'350配方'!$Y325:$AB325,165)</x:f>
        <x:v>0</x:v>
      </x:c>
      <x:c r="AC325" s="9" t="n">
        <x:f>SUMIFS('350配方'!$M325:$P325,'350配方'!$Y325:$AB325,186)</x:f>
        <x:v>4262.731518639193</x:v>
      </x:c>
      <x:c r="AD325" s="9" t="n">
        <x:f>SUMIFS('350配方'!$M325:$P325,'350配方'!$Y325:$AB325,207)</x:f>
        <x:v>0</x:v>
      </x:c>
      <x:c r="AE325" s="9" t="n">
        <x:f>SUMIFS('350配方'!$M325:$P325,'350配方'!$Y325:$AB325,209)</x:f>
        <x:v>0</x:v>
      </x:c>
      <x:c r="AF325" s="9" t="n">
        <x:f>SUMIFS('350配方'!$M325:$P325,'350配方'!$Y325:$AB325,227)</x:f>
        <x:v>695.986709643223</x:v>
      </x:c>
      <x:c r="AG325" s="9" t="n">
        <x:f>SUMIFS('350配方'!$M325:$P325,'350配方'!$Y325:$AB325,232)</x:f>
        <x:v>0</x:v>
      </x:c>
      <x:c r="AH325" s="9" t="n">
        <x:f>SUMIFS('350配方'!$M325:$P325,'350配方'!$Y325:$AB325,255)</x:f>
        <x:v>0</x:v>
      </x:c>
      <x:c r="AI325" s="9" t="n">
        <x:f>'浓度设置'!S6</x:f>
        <x:v>219125.9626344086</x:v>
      </x:c>
      <x:c r="AJ325" s="9" t="n">
        <x:f>'浓度设置'!S8</x:f>
        <x:v>92796.92267241378</x:v>
      </x:c>
      <x:c r="AK325" s="9" t="n">
        <x:f>'浓度设置'!S10</x:f>
        <x:v>30556.797802197798</x:v>
      </x:c>
      <x:c r="AL325" s="9" t="n">
        <x:f>'浓度设置'!S12</x:f>
        <x:v>1735.828970588235</x:v>
      </x:c>
      <x:c r="AM325" s="9" t="n">
        <x:f>'浓度设置'!S15</x:f>
        <x:v>7385.813644067793</x:v>
      </x:c>
      <x:c r="AN325" s="9" t="n">
        <x:f>'浓度设置'!S19</x:f>
        <x:v>27722.03097701148</x:v>
      </x:c>
      <x:c r="AO325" s="9" t="n">
        <x:f>'浓度设置'!S22</x:f>
        <x:v>44345.55047619048</x:v>
      </x:c>
      <x:c r="AP325" s="9" t="n">
        <x:f>'浓度设置'!S26</x:f>
        <x:v>153318.30499999996</x:v>
      </x:c>
      <x:c r="AQ325" s="9" t="n">
        <x:f>'浓度设置'!S29</x:f>
        <x:v>312.7970588235294</x:v>
      </x:c>
      <x:c r="AR325" s="9" t="n">
        <x:f>'浓度设置'!S30</x:f>
        <x:v>104175.5097553192</x:v>
      </x:c>
      <x:c r="AS325" s="9" t="n">
        <x:f>'浓度设置'!S35</x:f>
        <x:v>405974.90656785714</x:v>
      </x:c>
    </x:row>
    <x:row r="326" ht="24" customHeight="1">
      <x:c r="A326" s="3" t="str">
        <x:f>'350配方'!A326</x:f>
        <x:v>R011</x:v>
      </x:c>
      <x:c r="B326" s="3" t="str">
        <x:f>'350配方'!B326</x:f>
        <x:v>独立配制重复</x:v>
      </x:c>
      <x:c r="C326" s="3" t="n">
        <x:f>IF(B326="拟合",1,0)</x:f>
        <x:v>0</x:v>
      </x:c>
      <x:c r="D326" s="3" t="n">
        <x:f>'350配方'!AC326</x:f>
        <x:v>4</x:v>
      </x:c>
      <x:c r="E326" s="9" t="n">
        <x:f>SUMIFS('350配方'!$M326:$P326,'350配方'!$Y326:$AB326,7)</x:f>
        <x:v>0</x:v>
      </x:c>
      <x:c r="F326" s="9" t="n">
        <x:f>SUMIFS('350配方'!$M326:$P326,'350配方'!$Y326:$AB326,11)</x:f>
        <x:v>0</x:v>
      </x:c>
      <x:c r="G326" s="9" t="n">
        <x:f>SUMIFS('350配方'!$M326:$P326,'350配方'!$Y326:$AB326,18)</x:f>
        <x:v>39</x:v>
      </x:c>
      <x:c r="H326" s="9" t="n">
        <x:f>SUMIFS('350配方'!$M326:$P326,'350配方'!$Y326:$AB326,32)</x:f>
        <x:v>0</x:v>
      </x:c>
      <x:c r="I326" s="9" t="n">
        <x:f>SUMIFS('350配方'!$M326:$P326,'350配方'!$Y326:$AB326,40)</x:f>
        <x:v>0</x:v>
      </x:c>
      <x:c r="J326" s="9" t="n">
        <x:f>SUMIFS('350配方'!$M326:$P326,'350配方'!$Y326:$AB326,52)</x:f>
        <x:v>4.24</x:v>
      </x:c>
      <x:c r="K326" s="9" t="n">
        <x:f>SUMIFS('350配方'!$M326:$P326,'350配方'!$Y326:$AB326,53)</x:f>
        <x:v>0</x:v>
      </x:c>
      <x:c r="L326" s="9" t="n">
        <x:f>SUMIFS('350配方'!$M326:$P326,'350配方'!$Y326:$AB326,56)</x:f>
        <x:v>0</x:v>
      </x:c>
      <x:c r="M326" s="9" t="n">
        <x:f>SUMIFS('350配方'!$M326:$P326,'350配方'!$Y326:$AB326,58)</x:f>
        <x:v>0</x:v>
      </x:c>
      <x:c r="N326" s="9" t="n">
        <x:f>SUMIFS('350配方'!$M326:$P326,'350配方'!$Y326:$AB326,61)</x:f>
        <x:v>0</x:v>
      </x:c>
      <x:c r="O326" s="9" t="n">
        <x:f>SUMIFS('350配方'!$M326:$P326,'350配方'!$Y326:$AB326,69)</x:f>
        <x:v>0</x:v>
      </x:c>
      <x:c r="P326" s="9" t="n">
        <x:f>SUMIFS('350配方'!$M326:$P326,'350配方'!$Y326:$AB326,75)</x:f>
        <x:v>0</x:v>
      </x:c>
      <x:c r="Q326" s="9" t="n">
        <x:f>SUMIFS('350配方'!$M326:$P326,'350配方'!$Y326:$AB326,79)</x:f>
        <x:v>0</x:v>
      </x:c>
      <x:c r="R326" s="9" t="n">
        <x:f>SUMIFS('350配方'!$M326:$P326,'350配方'!$Y326:$AB326,90)</x:f>
        <x:v>0</x:v>
      </x:c>
      <x:c r="S326" s="9" t="n">
        <x:f>SUMIFS('350配方'!$M326:$P326,'350配方'!$Y326:$AB326,105)</x:f>
        <x:v>0</x:v>
      </x:c>
      <x:c r="T326" s="9" t="n">
        <x:f>SUMIFS('350配方'!$M326:$P326,'350配方'!$Y326:$AB326,111)</x:f>
        <x:v>0</x:v>
      </x:c>
      <x:c r="U326" s="9" t="n">
        <x:f>SUMIFS('350配方'!$M326:$P326,'350配方'!$Y326:$AB326,114)</x:f>
        <x:v>0</x:v>
      </x:c>
      <x:c r="V326" s="9" t="n">
        <x:f>SUMIFS('350配方'!$M326:$P326,'350配方'!$Y326:$AB326,115)</x:f>
        <x:v>0</x:v>
      </x:c>
      <x:c r="W326" s="9" t="n">
        <x:f>SUMIFS('350配方'!$M326:$P326,'350配方'!$Y326:$AB326,117)</x:f>
        <x:v>0</x:v>
      </x:c>
      <x:c r="X326" s="9" t="n">
        <x:f>SUMIFS('350配方'!$M326:$P326,'350配方'!$Y326:$AB326,126)</x:f>
        <x:v>0</x:v>
      </x:c>
      <x:c r="Y326" s="9" t="n">
        <x:f>SUMIFS('350配方'!$M326:$P326,'350配方'!$Y326:$AB326,136)</x:f>
        <x:v>0</x:v>
      </x:c>
      <x:c r="Z326" s="9" t="n">
        <x:f>SUMIFS('350配方'!$M326:$P326,'350配方'!$Y326:$AB326,141)</x:f>
        <x:v>2.2</x:v>
      </x:c>
      <x:c r="AA326" s="9" t="n">
        <x:f>SUMIFS('350配方'!$M326:$P326,'350配方'!$Y326:$AB326,152)</x:f>
        <x:v>0</x:v>
      </x:c>
      <x:c r="AB326" s="9" t="n">
        <x:f>SUMIFS('350配方'!$M326:$P326,'350配方'!$Y326:$AB326,165)</x:f>
        <x:v>0</x:v>
      </x:c>
      <x:c r="AC326" s="9" t="n">
        <x:f>SUMIFS('350配方'!$M326:$P326,'350配方'!$Y326:$AB326,186)</x:f>
        <x:v>0</x:v>
      </x:c>
      <x:c r="AD326" s="9" t="n">
        <x:f>SUMIFS('350配方'!$M326:$P326,'350配方'!$Y326:$AB326,207)</x:f>
        <x:v>271.45</x:v>
      </x:c>
      <x:c r="AE326" s="9" t="n">
        <x:f>SUMIFS('350配方'!$M326:$P326,'350配方'!$Y326:$AB326,209)</x:f>
        <x:v>0</x:v>
      </x:c>
      <x:c r="AF326" s="9" t="n">
        <x:f>SUMIFS('350配方'!$M326:$P326,'350配方'!$Y326:$AB326,227)</x:f>
        <x:v>0</x:v>
      </x:c>
      <x:c r="AG326" s="9" t="n">
        <x:f>SUMIFS('350配方'!$M326:$P326,'350配方'!$Y326:$AB326,232)</x:f>
        <x:v>0</x:v>
      </x:c>
      <x:c r="AH326" s="9" t="n">
        <x:f>SUMIFS('350配方'!$M326:$P326,'350配方'!$Y326:$AB326,255)</x:f>
        <x:v>0</x:v>
      </x:c>
      <x:c r="AI326" s="9" t="n">
        <x:f>'浓度设置'!S6</x:f>
        <x:v>219125.9626344086</x:v>
      </x:c>
      <x:c r="AJ326" s="9" t="n">
        <x:f>'浓度设置'!S8</x:f>
        <x:v>92796.92267241378</x:v>
      </x:c>
      <x:c r="AK326" s="9" t="n">
        <x:f>'浓度设置'!S10</x:f>
        <x:v>30556.797802197798</x:v>
      </x:c>
      <x:c r="AL326" s="9" t="n">
        <x:f>'浓度设置'!S12</x:f>
        <x:v>1735.828970588235</x:v>
      </x:c>
      <x:c r="AM326" s="9" t="n">
        <x:f>'浓度设置'!S15</x:f>
        <x:v>7385.813644067793</x:v>
      </x:c>
      <x:c r="AN326" s="9" t="n">
        <x:f>'浓度设置'!S19</x:f>
        <x:v>27722.03097701148</x:v>
      </x:c>
      <x:c r="AO326" s="9" t="n">
        <x:f>'浓度设置'!S22</x:f>
        <x:v>44345.55047619048</x:v>
      </x:c>
      <x:c r="AP326" s="9" t="n">
        <x:f>'浓度设置'!S26</x:f>
        <x:v>153318.30499999996</x:v>
      </x:c>
      <x:c r="AQ326" s="9" t="n">
        <x:f>'浓度设置'!S29</x:f>
        <x:v>312.7970588235294</x:v>
      </x:c>
      <x:c r="AR326" s="9" t="n">
        <x:f>'浓度设置'!S30</x:f>
        <x:v>104175.5097553192</x:v>
      </x:c>
      <x:c r="AS326" s="9" t="n">
        <x:f>'浓度设置'!S35</x:f>
        <x:v>405974.90656785714</x:v>
      </x:c>
    </x:row>
    <x:row r="327" ht="24" customHeight="1">
      <x:c r="A327" s="3" t="str">
        <x:f>'350配方'!A327</x:f>
        <x:v>R012</x:v>
      </x:c>
      <x:c r="B327" s="3" t="str">
        <x:f>'350配方'!B327</x:f>
        <x:v>独立配制重复</x:v>
      </x:c>
      <x:c r="C327" s="3" t="n">
        <x:f>IF(B327="拟合",1,0)</x:f>
        <x:v>0</x:v>
      </x:c>
      <x:c r="D327" s="3" t="n">
        <x:f>'350配方'!AC327</x:f>
        <x:v>4</x:v>
      </x:c>
      <x:c r="E327" s="9" t="n">
        <x:f>SUMIFS('350配方'!$M327:$P327,'350配方'!$Y327:$AB327,7)</x:f>
        <x:v>173</x:v>
      </x:c>
      <x:c r="F327" s="9" t="n">
        <x:f>SUMIFS('350配方'!$M327:$P327,'350配方'!$Y327:$AB327,11)</x:f>
        <x:v>0</x:v>
      </x:c>
      <x:c r="G327" s="9" t="n">
        <x:f>SUMIFS('350配方'!$M327:$P327,'350配方'!$Y327:$AB327,18)</x:f>
        <x:v>1183.2582135780847</x:v>
      </x:c>
      <x:c r="H327" s="9" t="n">
        <x:f>SUMIFS('350配方'!$M327:$P327,'350配方'!$Y327:$AB327,32)</x:f>
        <x:v>0</x:v>
      </x:c>
      <x:c r="I327" s="9" t="n">
        <x:f>SUMIFS('350配方'!$M327:$P327,'350配方'!$Y327:$AB327,40)</x:f>
        <x:v>0</x:v>
      </x:c>
      <x:c r="J327" s="9" t="n">
        <x:f>SUMIFS('350配方'!$M327:$P327,'350配方'!$Y327:$AB327,52)</x:f>
        <x:v>0</x:v>
      </x:c>
      <x:c r="K327" s="9" t="n">
        <x:f>SUMIFS('350配方'!$M327:$P327,'350配方'!$Y327:$AB327,53)</x:f>
        <x:v>0</x:v>
      </x:c>
      <x:c r="L327" s="9" t="n">
        <x:f>SUMIFS('350配方'!$M327:$P327,'350配方'!$Y327:$AB327,56)</x:f>
        <x:v>0</x:v>
      </x:c>
      <x:c r="M327" s="9" t="n">
        <x:f>SUMIFS('350配方'!$M327:$P327,'350配方'!$Y327:$AB327,58)</x:f>
        <x:v>0</x:v>
      </x:c>
      <x:c r="N327" s="9" t="n">
        <x:f>SUMIFS('350配方'!$M327:$P327,'350配方'!$Y327:$AB327,61)</x:f>
        <x:v>0</x:v>
      </x:c>
      <x:c r="O327" s="9" t="n">
        <x:f>SUMIFS('350配方'!$M327:$P327,'350配方'!$Y327:$AB327,69)</x:f>
        <x:v>0</x:v>
      </x:c>
      <x:c r="P327" s="9" t="n">
        <x:f>SUMIFS('350配方'!$M327:$P327,'350配方'!$Y327:$AB327,75)</x:f>
        <x:v>331.2476415010377</x:v>
      </x:c>
      <x:c r="Q327" s="9" t="n">
        <x:f>SUMIFS('350配方'!$M327:$P327,'350配方'!$Y327:$AB327,79)</x:f>
        <x:v>0</x:v>
      </x:c>
      <x:c r="R327" s="9" t="n">
        <x:f>SUMIFS('350配方'!$M327:$P327,'350配方'!$Y327:$AB327,90)</x:f>
        <x:v>0</x:v>
      </x:c>
      <x:c r="S327" s="9" t="n">
        <x:f>SUMIFS('350配方'!$M327:$P327,'350配方'!$Y327:$AB327,105)</x:f>
        <x:v>15730</x:v>
      </x:c>
      <x:c r="T327" s="9" t="n">
        <x:f>SUMIFS('350配方'!$M327:$P327,'350配方'!$Y327:$AB327,111)</x:f>
        <x:v>0</x:v>
      </x:c>
      <x:c r="U327" s="9" t="n">
        <x:f>SUMIFS('350配方'!$M327:$P327,'350配方'!$Y327:$AB327,114)</x:f>
        <x:v>0</x:v>
      </x:c>
      <x:c r="V327" s="9" t="n">
        <x:f>SUMIFS('350配方'!$M327:$P327,'350配方'!$Y327:$AB327,115)</x:f>
        <x:v>0</x:v>
      </x:c>
      <x:c r="W327" s="9" t="n">
        <x:f>SUMIFS('350配方'!$M327:$P327,'350配方'!$Y327:$AB327,117)</x:f>
        <x:v>0</x:v>
      </x:c>
      <x:c r="X327" s="9" t="n">
        <x:f>SUMIFS('350配方'!$M327:$P327,'350配方'!$Y327:$AB327,126)</x:f>
        <x:v>0</x:v>
      </x:c>
      <x:c r="Y327" s="9" t="n">
        <x:f>SUMIFS('350配方'!$M327:$P327,'350配方'!$Y327:$AB327,136)</x:f>
        <x:v>0</x:v>
      </x:c>
      <x:c r="Z327" s="9" t="n">
        <x:f>SUMIFS('350配方'!$M327:$P327,'350配方'!$Y327:$AB327,141)</x:f>
        <x:v>0</x:v>
      </x:c>
      <x:c r="AA327" s="9" t="n">
        <x:f>SUMIFS('350配方'!$M327:$P327,'350配方'!$Y327:$AB327,152)</x:f>
        <x:v>0</x:v>
      </x:c>
      <x:c r="AB327" s="9" t="n">
        <x:f>SUMIFS('350配方'!$M327:$P327,'350配方'!$Y327:$AB327,165)</x:f>
        <x:v>0</x:v>
      </x:c>
      <x:c r="AC327" s="9" t="n">
        <x:f>SUMIFS('350配方'!$M327:$P327,'350配方'!$Y327:$AB327,186)</x:f>
        <x:v>0</x:v>
      </x:c>
      <x:c r="AD327" s="9" t="n">
        <x:f>SUMIFS('350配方'!$M327:$P327,'350配方'!$Y327:$AB327,207)</x:f>
        <x:v>0</x:v>
      </x:c>
      <x:c r="AE327" s="9" t="n">
        <x:f>SUMIFS('350配方'!$M327:$P327,'350配方'!$Y327:$AB327,209)</x:f>
        <x:v>0</x:v>
      </x:c>
      <x:c r="AF327" s="9" t="n">
        <x:f>SUMIFS('350配方'!$M327:$P327,'350配方'!$Y327:$AB327,227)</x:f>
        <x:v>0</x:v>
      </x:c>
      <x:c r="AG327" s="9" t="n">
        <x:f>SUMIFS('350配方'!$M327:$P327,'350配方'!$Y327:$AB327,232)</x:f>
        <x:v>0</x:v>
      </x:c>
      <x:c r="AH327" s="9" t="n">
        <x:f>SUMIFS('350配方'!$M327:$P327,'350配方'!$Y327:$AB327,255)</x:f>
        <x:v>0</x:v>
      </x:c>
      <x:c r="AI327" s="9" t="n">
        <x:f>'浓度设置'!S6</x:f>
        <x:v>219125.9626344086</x:v>
      </x:c>
      <x:c r="AJ327" s="9" t="n">
        <x:f>'浓度设置'!S8</x:f>
        <x:v>92796.92267241378</x:v>
      </x:c>
      <x:c r="AK327" s="9" t="n">
        <x:f>'浓度设置'!S10</x:f>
        <x:v>30556.797802197798</x:v>
      </x:c>
      <x:c r="AL327" s="9" t="n">
        <x:f>'浓度设置'!S12</x:f>
        <x:v>1735.828970588235</x:v>
      </x:c>
      <x:c r="AM327" s="9" t="n">
        <x:f>'浓度设置'!S15</x:f>
        <x:v>7385.813644067793</x:v>
      </x:c>
      <x:c r="AN327" s="9" t="n">
        <x:f>'浓度设置'!S19</x:f>
        <x:v>27722.03097701148</x:v>
      </x:c>
      <x:c r="AO327" s="9" t="n">
        <x:f>'浓度设置'!S22</x:f>
        <x:v>44345.55047619048</x:v>
      </x:c>
      <x:c r="AP327" s="9" t="n">
        <x:f>'浓度设置'!S26</x:f>
        <x:v>153318.30499999996</x:v>
      </x:c>
      <x:c r="AQ327" s="9" t="n">
        <x:f>'浓度设置'!S29</x:f>
        <x:v>312.7970588235294</x:v>
      </x:c>
      <x:c r="AR327" s="9" t="n">
        <x:f>'浓度设置'!S30</x:f>
        <x:v>104175.5097553192</x:v>
      </x:c>
      <x:c r="AS327" s="9" t="n">
        <x:f>'浓度设置'!S35</x:f>
        <x:v>405974.90656785714</x:v>
      </x:c>
    </x:row>
    <x:row r="328" ht="24" customHeight="1">
      <x:c r="A328" s="3" t="str">
        <x:f>'350配方'!A328</x:f>
        <x:v>R013</x:v>
      </x:c>
      <x:c r="B328" s="3" t="str">
        <x:f>'350配方'!B328</x:f>
        <x:v>独立配制重复</x:v>
      </x:c>
      <x:c r="C328" s="3" t="n">
        <x:f>IF(B328="拟合",1,0)</x:f>
        <x:v>0</x:v>
      </x:c>
      <x:c r="D328" s="3" t="n">
        <x:f>'350配方'!AC328</x:f>
        <x:v>4</x:v>
      </x:c>
      <x:c r="E328" s="9" t="n">
        <x:f>SUMIFS('350配方'!$M328:$P328,'350配方'!$Y328:$AB328,7)</x:f>
        <x:v>0</x:v>
      </x:c>
      <x:c r="F328" s="9" t="n">
        <x:f>SUMIFS('350配方'!$M328:$P328,'350配方'!$Y328:$AB328,11)</x:f>
        <x:v>0</x:v>
      </x:c>
      <x:c r="G328" s="9" t="n">
        <x:f>SUMIFS('350配方'!$M328:$P328,'350配方'!$Y328:$AB328,18)</x:f>
        <x:v>0</x:v>
      </x:c>
      <x:c r="H328" s="9" t="n">
        <x:f>SUMIFS('350配方'!$M328:$P328,'350配方'!$Y328:$AB328,32)</x:f>
        <x:v>0</x:v>
      </x:c>
      <x:c r="I328" s="9" t="n">
        <x:f>SUMIFS('350配方'!$M328:$P328,'350配方'!$Y328:$AB328,40)</x:f>
        <x:v>0</x:v>
      </x:c>
      <x:c r="J328" s="9" t="n">
        <x:f>SUMIFS('350配方'!$M328:$P328,'350配方'!$Y328:$AB328,52)</x:f>
        <x:v>0</x:v>
      </x:c>
      <x:c r="K328" s="9" t="n">
        <x:f>SUMIFS('350配方'!$M328:$P328,'350配方'!$Y328:$AB328,53)</x:f>
        <x:v>0</x:v>
      </x:c>
      <x:c r="L328" s="9" t="n">
        <x:f>SUMIFS('350配方'!$M328:$P328,'350配方'!$Y328:$AB328,56)</x:f>
        <x:v>0</x:v>
      </x:c>
      <x:c r="M328" s="9" t="n">
        <x:f>SUMIFS('350配方'!$M328:$P328,'350配方'!$Y328:$AB328,58)</x:f>
        <x:v>5.06</x:v>
      </x:c>
      <x:c r="N328" s="9" t="n">
        <x:f>SUMIFS('350配方'!$M328:$P328,'350配方'!$Y328:$AB328,61)</x:f>
        <x:v>0</x:v>
      </x:c>
      <x:c r="O328" s="9" t="n">
        <x:f>SUMIFS('350配方'!$M328:$P328,'350配方'!$Y328:$AB328,69)</x:f>
        <x:v>0</x:v>
      </x:c>
      <x:c r="P328" s="9" t="n">
        <x:f>SUMIFS('350配方'!$M328:$P328,'350配方'!$Y328:$AB328,75)</x:f>
        <x:v>0</x:v>
      </x:c>
      <x:c r="Q328" s="9" t="n">
        <x:f>SUMIFS('350配方'!$M328:$P328,'350配方'!$Y328:$AB328,79)</x:f>
        <x:v>0</x:v>
      </x:c>
      <x:c r="R328" s="9" t="n">
        <x:f>SUMIFS('350配方'!$M328:$P328,'350配方'!$Y328:$AB328,90)</x:f>
        <x:v>0</x:v>
      </x:c>
      <x:c r="S328" s="9" t="n">
        <x:f>SUMIFS('350配方'!$M328:$P328,'350配方'!$Y328:$AB328,105)</x:f>
        <x:v>0</x:v>
      </x:c>
      <x:c r="T328" s="9" t="n">
        <x:f>SUMIFS('350配方'!$M328:$P328,'350配方'!$Y328:$AB328,111)</x:f>
        <x:v>0</x:v>
      </x:c>
      <x:c r="U328" s="9" t="n">
        <x:f>SUMIFS('350配方'!$M328:$P328,'350配方'!$Y328:$AB328,114)</x:f>
        <x:v>0</x:v>
      </x:c>
      <x:c r="V328" s="9" t="n">
        <x:f>SUMIFS('350配方'!$M328:$P328,'350配方'!$Y328:$AB328,115)</x:f>
        <x:v>0</x:v>
      </x:c>
      <x:c r="W328" s="9" t="n">
        <x:f>SUMIFS('350配方'!$M328:$P328,'350配方'!$Y328:$AB328,117)</x:f>
        <x:v>0</x:v>
      </x:c>
      <x:c r="X328" s="9" t="n">
        <x:f>SUMIFS('350配方'!$M328:$P328,'350配方'!$Y328:$AB328,126)</x:f>
        <x:v>0</x:v>
      </x:c>
      <x:c r="Y328" s="9" t="n">
        <x:f>SUMIFS('350配方'!$M328:$P328,'350配方'!$Y328:$AB328,136)</x:f>
        <x:v>0</x:v>
      </x:c>
      <x:c r="Z328" s="9" t="n">
        <x:f>SUMIFS('350配方'!$M328:$P328,'350配方'!$Y328:$AB328,141)</x:f>
        <x:v>0</x:v>
      </x:c>
      <x:c r="AA328" s="9" t="n">
        <x:f>SUMIFS('350配方'!$M328:$P328,'350配方'!$Y328:$AB328,152)</x:f>
        <x:v>227200</x:v>
      </x:c>
      <x:c r="AB328" s="9" t="n">
        <x:f>SUMIFS('350配方'!$M328:$P328,'350配方'!$Y328:$AB328,165)</x:f>
        <x:v>0</x:v>
      </x:c>
      <x:c r="AC328" s="9" t="n">
        <x:f>SUMIFS('350配方'!$M328:$P328,'350配方'!$Y328:$AB328,186)</x:f>
        <x:v>11648000</x:v>
      </x:c>
      <x:c r="AD328" s="9" t="n">
        <x:f>SUMIFS('350配方'!$M328:$P328,'350配方'!$Y328:$AB328,207)</x:f>
        <x:v>0</x:v>
      </x:c>
      <x:c r="AE328" s="9" t="n">
        <x:f>SUMIFS('350配方'!$M328:$P328,'350配方'!$Y328:$AB328,209)</x:f>
        <x:v>0</x:v>
      </x:c>
      <x:c r="AF328" s="9" t="n">
        <x:f>SUMIFS('350配方'!$M328:$P328,'350配方'!$Y328:$AB328,227)</x:f>
        <x:v>0</x:v>
      </x:c>
      <x:c r="AG328" s="9" t="n">
        <x:f>SUMIFS('350配方'!$M328:$P328,'350配方'!$Y328:$AB328,232)</x:f>
        <x:v>0</x:v>
      </x:c>
      <x:c r="AH328" s="9" t="n">
        <x:f>SUMIFS('350配方'!$M328:$P328,'350配方'!$Y328:$AB328,255)</x:f>
        <x:v>9.546727187890099</x:v>
      </x:c>
      <x:c r="AI328" s="9" t="n">
        <x:f>'浓度设置'!S6</x:f>
        <x:v>219125.9626344086</x:v>
      </x:c>
      <x:c r="AJ328" s="9" t="n">
        <x:f>'浓度设置'!S8</x:f>
        <x:v>92796.92267241378</x:v>
      </x:c>
      <x:c r="AK328" s="9" t="n">
        <x:f>'浓度设置'!S10</x:f>
        <x:v>30556.797802197798</x:v>
      </x:c>
      <x:c r="AL328" s="9" t="n">
        <x:f>'浓度设置'!S12</x:f>
        <x:v>1735.828970588235</x:v>
      </x:c>
      <x:c r="AM328" s="9" t="n">
        <x:f>'浓度设置'!S15</x:f>
        <x:v>7385.813644067793</x:v>
      </x:c>
      <x:c r="AN328" s="9" t="n">
        <x:f>'浓度设置'!S19</x:f>
        <x:v>27722.03097701148</x:v>
      </x:c>
      <x:c r="AO328" s="9" t="n">
        <x:f>'浓度设置'!S22</x:f>
        <x:v>44345.55047619048</x:v>
      </x:c>
      <x:c r="AP328" s="9" t="n">
        <x:f>'浓度设置'!S26</x:f>
        <x:v>153318.30499999996</x:v>
      </x:c>
      <x:c r="AQ328" s="9" t="n">
        <x:f>'浓度设置'!S29</x:f>
        <x:v>312.7970588235294</x:v>
      </x:c>
      <x:c r="AR328" s="9" t="n">
        <x:f>'浓度设置'!S30</x:f>
        <x:v>104175.5097553192</x:v>
      </x:c>
      <x:c r="AS328" s="9" t="n">
        <x:f>'浓度设置'!S35</x:f>
        <x:v>405974.90656785714</x:v>
      </x:c>
    </x:row>
    <x:row r="329" ht="24" customHeight="1">
      <x:c r="A329" s="3" t="str">
        <x:f>'350配方'!A329</x:f>
        <x:v>R014</x:v>
      </x:c>
      <x:c r="B329" s="3" t="str">
        <x:f>'350配方'!B329</x:f>
        <x:v>独立配制重复</x:v>
      </x:c>
      <x:c r="C329" s="3" t="n">
        <x:f>IF(B329="拟合",1,0)</x:f>
        <x:v>0</x:v>
      </x:c>
      <x:c r="D329" s="3" t="n">
        <x:f>'350配方'!AC329</x:f>
        <x:v>4</x:v>
      </x:c>
      <x:c r="E329" s="9" t="n">
        <x:f>SUMIFS('350配方'!$M329:$P329,'350配方'!$Y329:$AB329,7)</x:f>
        <x:v>0</x:v>
      </x:c>
      <x:c r="F329" s="9" t="n">
        <x:f>SUMIFS('350配方'!$M329:$P329,'350配方'!$Y329:$AB329,11)</x:f>
        <x:v>0</x:v>
      </x:c>
      <x:c r="G329" s="9" t="n">
        <x:f>SUMIFS('350配方'!$M329:$P329,'350配方'!$Y329:$AB329,18)</x:f>
        <x:v>0</x:v>
      </x:c>
      <x:c r="H329" s="9" t="n">
        <x:f>SUMIFS('350配方'!$M329:$P329,'350配方'!$Y329:$AB329,32)</x:f>
        <x:v>0</x:v>
      </x:c>
      <x:c r="I329" s="9" t="n">
        <x:f>SUMIFS('350配方'!$M329:$P329,'350配方'!$Y329:$AB329,40)</x:f>
        <x:v>0</x:v>
      </x:c>
      <x:c r="J329" s="9" t="n">
        <x:f>SUMIFS('350配方'!$M329:$P329,'350配方'!$Y329:$AB329,52)</x:f>
        <x:v>0</x:v>
      </x:c>
      <x:c r="K329" s="9" t="n">
        <x:f>SUMIFS('350配方'!$M329:$P329,'350配方'!$Y329:$AB329,53)</x:f>
        <x:v>0</x:v>
      </x:c>
      <x:c r="L329" s="9" t="n">
        <x:f>SUMIFS('350配方'!$M329:$P329,'350配方'!$Y329:$AB329,56)</x:f>
        <x:v>0</x:v>
      </x:c>
      <x:c r="M329" s="9" t="n">
        <x:f>SUMIFS('350配方'!$M329:$P329,'350配方'!$Y329:$AB329,58)</x:f>
        <x:v>3072.731960324558</x:v>
      </x:c>
      <x:c r="N329" s="9" t="n">
        <x:f>SUMIFS('350配方'!$M329:$P329,'350配方'!$Y329:$AB329,61)</x:f>
        <x:v>0</x:v>
      </x:c>
      <x:c r="O329" s="9" t="n">
        <x:f>SUMIFS('350配方'!$M329:$P329,'350配方'!$Y329:$AB329,69)</x:f>
        <x:v>0</x:v>
      </x:c>
      <x:c r="P329" s="9" t="n">
        <x:f>SUMIFS('350配方'!$M329:$P329,'350配方'!$Y329:$AB329,75)</x:f>
        <x:v>0</x:v>
      </x:c>
      <x:c r="Q329" s="9" t="n">
        <x:f>SUMIFS('350配方'!$M329:$P329,'350配方'!$Y329:$AB329,79)</x:f>
        <x:v>0</x:v>
      </x:c>
      <x:c r="R329" s="9" t="n">
        <x:f>SUMIFS('350配方'!$M329:$P329,'350配方'!$Y329:$AB329,90)</x:f>
        <x:v>0</x:v>
      </x:c>
      <x:c r="S329" s="9" t="n">
        <x:f>SUMIFS('350配方'!$M329:$P329,'350配方'!$Y329:$AB329,105)</x:f>
        <x:v>0</x:v>
      </x:c>
      <x:c r="T329" s="9" t="n">
        <x:f>SUMIFS('350配方'!$M329:$P329,'350配方'!$Y329:$AB329,111)</x:f>
        <x:v>0</x:v>
      </x:c>
      <x:c r="U329" s="9" t="n">
        <x:f>SUMIFS('350配方'!$M329:$P329,'350配方'!$Y329:$AB329,114)</x:f>
        <x:v>0</x:v>
      </x:c>
      <x:c r="V329" s="9" t="n">
        <x:f>SUMIFS('350配方'!$M329:$P329,'350配方'!$Y329:$AB329,115)</x:f>
        <x:v>0</x:v>
      </x:c>
      <x:c r="W329" s="9" t="n">
        <x:f>SUMIFS('350配方'!$M329:$P329,'350配方'!$Y329:$AB329,117)</x:f>
        <x:v>0</x:v>
      </x:c>
      <x:c r="X329" s="9" t="n">
        <x:f>SUMIFS('350配方'!$M329:$P329,'350配方'!$Y329:$AB329,126)</x:f>
        <x:v>2.125</x:v>
      </x:c>
      <x:c r="Y329" s="9" t="n">
        <x:f>SUMIFS('350配方'!$M329:$P329,'350配方'!$Y329:$AB329,136)</x:f>
        <x:v>0</x:v>
      </x:c>
      <x:c r="Z329" s="9" t="n">
        <x:f>SUMIFS('350配方'!$M329:$P329,'350配方'!$Y329:$AB329,141)</x:f>
        <x:v>1039840</x:v>
      </x:c>
      <x:c r="AA329" s="9" t="n">
        <x:f>SUMIFS('350配方'!$M329:$P329,'350配方'!$Y329:$AB329,152)</x:f>
        <x:v>0</x:v>
      </x:c>
      <x:c r="AB329" s="9" t="n">
        <x:f>SUMIFS('350配方'!$M329:$P329,'350配方'!$Y329:$AB329,165)</x:f>
        <x:v>0</x:v>
      </x:c>
      <x:c r="AC329" s="9" t="n">
        <x:f>SUMIFS('350配方'!$M329:$P329,'350配方'!$Y329:$AB329,186)</x:f>
        <x:v>0</x:v>
      </x:c>
      <x:c r="AD329" s="9" t="n">
        <x:f>SUMIFS('350配方'!$M329:$P329,'350配方'!$Y329:$AB329,207)</x:f>
        <x:v>0</x:v>
      </x:c>
      <x:c r="AE329" s="9" t="n">
        <x:f>SUMIFS('350配方'!$M329:$P329,'350配方'!$Y329:$AB329,209)</x:f>
        <x:v>34.2987346705385</x:v>
      </x:c>
      <x:c r="AF329" s="9" t="n">
        <x:f>SUMIFS('350配方'!$M329:$P329,'350配方'!$Y329:$AB329,227)</x:f>
        <x:v>0</x:v>
      </x:c>
      <x:c r="AG329" s="9" t="n">
        <x:f>SUMIFS('350配方'!$M329:$P329,'350配方'!$Y329:$AB329,232)</x:f>
        <x:v>0</x:v>
      </x:c>
      <x:c r="AH329" s="9" t="n">
        <x:f>SUMIFS('350配方'!$M329:$P329,'350配方'!$Y329:$AB329,255)</x:f>
        <x:v>0</x:v>
      </x:c>
      <x:c r="AI329" s="9" t="n">
        <x:f>'浓度设置'!S6</x:f>
        <x:v>219125.9626344086</x:v>
      </x:c>
      <x:c r="AJ329" s="9" t="n">
        <x:f>'浓度设置'!S8</x:f>
        <x:v>92796.92267241378</x:v>
      </x:c>
      <x:c r="AK329" s="9" t="n">
        <x:f>'浓度设置'!S10</x:f>
        <x:v>30556.797802197798</x:v>
      </x:c>
      <x:c r="AL329" s="9" t="n">
        <x:f>'浓度设置'!S12</x:f>
        <x:v>1735.828970588235</x:v>
      </x:c>
      <x:c r="AM329" s="9" t="n">
        <x:f>'浓度设置'!S15</x:f>
        <x:v>7385.813644067793</x:v>
      </x:c>
      <x:c r="AN329" s="9" t="n">
        <x:f>'浓度设置'!S19</x:f>
        <x:v>27722.03097701148</x:v>
      </x:c>
      <x:c r="AO329" s="9" t="n">
        <x:f>'浓度设置'!S22</x:f>
        <x:v>44345.55047619048</x:v>
      </x:c>
      <x:c r="AP329" s="9" t="n">
        <x:f>'浓度设置'!S26</x:f>
        <x:v>153318.30499999996</x:v>
      </x:c>
      <x:c r="AQ329" s="9" t="n">
        <x:f>'浓度设置'!S29</x:f>
        <x:v>312.7970588235294</x:v>
      </x:c>
      <x:c r="AR329" s="9" t="n">
        <x:f>'浓度设置'!S30</x:f>
        <x:v>104175.5097553192</x:v>
      </x:c>
      <x:c r="AS329" s="9" t="n">
        <x:f>'浓度设置'!S35</x:f>
        <x:v>405974.90656785714</x:v>
      </x:c>
    </x:row>
    <x:row r="330" ht="24" customHeight="1">
      <x:c r="A330" s="3" t="str">
        <x:f>'350配方'!A330</x:f>
        <x:v>R015</x:v>
      </x:c>
      <x:c r="B330" s="3" t="str">
        <x:f>'350配方'!B330</x:f>
        <x:v>独立配制重复</x:v>
      </x:c>
      <x:c r="C330" s="3" t="n">
        <x:f>IF(B330="拟合",1,0)</x:f>
        <x:v>0</x:v>
      </x:c>
      <x:c r="D330" s="3" t="n">
        <x:f>'350配方'!AC330</x:f>
        <x:v>4</x:v>
      </x:c>
      <x:c r="E330" s="9" t="n">
        <x:f>SUMIFS('350配方'!$M330:$P330,'350配方'!$Y330:$AB330,7)</x:f>
        <x:v>0</x:v>
      </x:c>
      <x:c r="F330" s="9" t="n">
        <x:f>SUMIFS('350配方'!$M330:$P330,'350配方'!$Y330:$AB330,11)</x:f>
        <x:v>0</x:v>
      </x:c>
      <x:c r="G330" s="9" t="n">
        <x:f>SUMIFS('350配方'!$M330:$P330,'350配方'!$Y330:$AB330,18)</x:f>
        <x:v>0</x:v>
      </x:c>
      <x:c r="H330" s="9" t="n">
        <x:f>SUMIFS('350配方'!$M330:$P330,'350配方'!$Y330:$AB330,32)</x:f>
        <x:v>0</x:v>
      </x:c>
      <x:c r="I330" s="9" t="n">
        <x:f>SUMIFS('350配方'!$M330:$P330,'350配方'!$Y330:$AB330,40)</x:f>
        <x:v>0</x:v>
      </x:c>
      <x:c r="J330" s="9" t="n">
        <x:f>SUMIFS('350配方'!$M330:$P330,'350配方'!$Y330:$AB330,52)</x:f>
        <x:v>0</x:v>
      </x:c>
      <x:c r="K330" s="9" t="n">
        <x:f>SUMIFS('350配方'!$M330:$P330,'350配方'!$Y330:$AB330,53)</x:f>
        <x:v>9.61</x:v>
      </x:c>
      <x:c r="L330" s="9" t="n">
        <x:f>SUMIFS('350配方'!$M330:$P330,'350配方'!$Y330:$AB330,56)</x:f>
        <x:v>0</x:v>
      </x:c>
      <x:c r="M330" s="9" t="n">
        <x:f>SUMIFS('350配方'!$M330:$P330,'350配方'!$Y330:$AB330,58)</x:f>
        <x:v>5.06</x:v>
      </x:c>
      <x:c r="N330" s="9" t="n">
        <x:f>SUMIFS('350配方'!$M330:$P330,'350配方'!$Y330:$AB330,61)</x:f>
        <x:v>0</x:v>
      </x:c>
      <x:c r="O330" s="9" t="n">
        <x:f>SUMIFS('350配方'!$M330:$P330,'350配方'!$Y330:$AB330,69)</x:f>
        <x:v>0</x:v>
      </x:c>
      <x:c r="P330" s="9" t="n">
        <x:f>SUMIFS('350配方'!$M330:$P330,'350配方'!$Y330:$AB330,75)</x:f>
        <x:v>331.2476415010377</x:v>
      </x:c>
      <x:c r="Q330" s="9" t="n">
        <x:f>SUMIFS('350配方'!$M330:$P330,'350配方'!$Y330:$AB330,79)</x:f>
        <x:v>0</x:v>
      </x:c>
      <x:c r="R330" s="9" t="n">
        <x:f>SUMIFS('350配方'!$M330:$P330,'350配方'!$Y330:$AB330,90)</x:f>
        <x:v>0</x:v>
      </x:c>
      <x:c r="S330" s="9" t="n">
        <x:f>SUMIFS('350配方'!$M330:$P330,'350配方'!$Y330:$AB330,105)</x:f>
        <x:v>0</x:v>
      </x:c>
      <x:c r="T330" s="9" t="n">
        <x:f>SUMIFS('350配方'!$M330:$P330,'350配方'!$Y330:$AB330,111)</x:f>
        <x:v>0</x:v>
      </x:c>
      <x:c r="U330" s="9" t="n">
        <x:f>SUMIFS('350配方'!$M330:$P330,'350配方'!$Y330:$AB330,114)</x:f>
        <x:v>0</x:v>
      </x:c>
      <x:c r="V330" s="9" t="n">
        <x:f>SUMIFS('350配方'!$M330:$P330,'350配方'!$Y330:$AB330,115)</x:f>
        <x:v>0</x:v>
      </x:c>
      <x:c r="W330" s="9" t="n">
        <x:f>SUMIFS('350配方'!$M330:$P330,'350配方'!$Y330:$AB330,117)</x:f>
        <x:v>0</x:v>
      </x:c>
      <x:c r="X330" s="9" t="n">
        <x:f>SUMIFS('350配方'!$M330:$P330,'350配方'!$Y330:$AB330,126)</x:f>
        <x:v>0</x:v>
      </x:c>
      <x:c r="Y330" s="9" t="n">
        <x:f>SUMIFS('350配方'!$M330:$P330,'350配方'!$Y330:$AB330,136)</x:f>
        <x:v>0</x:v>
      </x:c>
      <x:c r="Z330" s="9" t="n">
        <x:f>SUMIFS('350配方'!$M330:$P330,'350配方'!$Y330:$AB330,141)</x:f>
        <x:v>0</x:v>
      </x:c>
      <x:c r="AA330" s="9" t="n">
        <x:f>SUMIFS('350配方'!$M330:$P330,'350配方'!$Y330:$AB330,152)</x:f>
        <x:v>0</x:v>
      </x:c>
      <x:c r="AB330" s="9" t="n">
        <x:f>SUMIFS('350配方'!$M330:$P330,'350配方'!$Y330:$AB330,165)</x:f>
        <x:v>0</x:v>
      </x:c>
      <x:c r="AC330" s="9" t="n">
        <x:f>SUMIFS('350配方'!$M330:$P330,'350配方'!$Y330:$AB330,186)</x:f>
        <x:v>0</x:v>
      </x:c>
      <x:c r="AD330" s="9" t="n">
        <x:f>SUMIFS('350配方'!$M330:$P330,'350配方'!$Y330:$AB330,207)</x:f>
        <x:v>0</x:v>
      </x:c>
      <x:c r="AE330" s="9" t="n">
        <x:f>SUMIFS('350配方'!$M330:$P330,'350配方'!$Y330:$AB330,209)</x:f>
        <x:v>34.2987346705385</x:v>
      </x:c>
      <x:c r="AF330" s="9" t="n">
        <x:f>SUMIFS('350配方'!$M330:$P330,'350配方'!$Y330:$AB330,227)</x:f>
        <x:v>0</x:v>
      </x:c>
      <x:c r="AG330" s="9" t="n">
        <x:f>SUMIFS('350配方'!$M330:$P330,'350配方'!$Y330:$AB330,232)</x:f>
        <x:v>0</x:v>
      </x:c>
      <x:c r="AH330" s="9" t="n">
        <x:f>SUMIFS('350配方'!$M330:$P330,'350配方'!$Y330:$AB330,255)</x:f>
        <x:v>0</x:v>
      </x:c>
      <x:c r="AI330" s="9" t="n">
        <x:f>'浓度设置'!S6</x:f>
        <x:v>219125.9626344086</x:v>
      </x:c>
      <x:c r="AJ330" s="9" t="n">
        <x:f>'浓度设置'!S8</x:f>
        <x:v>92796.92267241378</x:v>
      </x:c>
      <x:c r="AK330" s="9" t="n">
        <x:f>'浓度设置'!S10</x:f>
        <x:v>30556.797802197798</x:v>
      </x:c>
      <x:c r="AL330" s="9" t="n">
        <x:f>'浓度设置'!S12</x:f>
        <x:v>1735.828970588235</x:v>
      </x:c>
      <x:c r="AM330" s="9" t="n">
        <x:f>'浓度设置'!S15</x:f>
        <x:v>7385.813644067793</x:v>
      </x:c>
      <x:c r="AN330" s="9" t="n">
        <x:f>'浓度设置'!S19</x:f>
        <x:v>27722.03097701148</x:v>
      </x:c>
      <x:c r="AO330" s="9" t="n">
        <x:f>'浓度设置'!S22</x:f>
        <x:v>44345.55047619048</x:v>
      </x:c>
      <x:c r="AP330" s="9" t="n">
        <x:f>'浓度设置'!S26</x:f>
        <x:v>153318.30499999996</x:v>
      </x:c>
      <x:c r="AQ330" s="9" t="n">
        <x:f>'浓度设置'!S29</x:f>
        <x:v>312.7970588235294</x:v>
      </x:c>
      <x:c r="AR330" s="9" t="n">
        <x:f>'浓度设置'!S30</x:f>
        <x:v>104175.5097553192</x:v>
      </x:c>
      <x:c r="AS330" s="9" t="n">
        <x:f>'浓度设置'!S35</x:f>
        <x:v>405974.90656785714</x:v>
      </x:c>
    </x:row>
    <x:row r="331" ht="24" customHeight="1">
      <x:c r="A331" s="3" t="str">
        <x:f>'350配方'!A331</x:f>
        <x:v>R016</x:v>
      </x:c>
      <x:c r="B331" s="3" t="str">
        <x:f>'350配方'!B331</x:f>
        <x:v>独立配制重复</x:v>
      </x:c>
      <x:c r="C331" s="3" t="n">
        <x:f>IF(B331="拟合",1,0)</x:f>
        <x:v>0</x:v>
      </x:c>
      <x:c r="D331" s="3" t="n">
        <x:f>'350配方'!AC331</x:f>
        <x:v>4</x:v>
      </x:c>
      <x:c r="E331" s="9" t="n">
        <x:f>SUMIFS('350配方'!$M331:$P331,'350配方'!$Y331:$AB331,7)</x:f>
        <x:v>0</x:v>
      </x:c>
      <x:c r="F331" s="9" t="n">
        <x:f>SUMIFS('350配方'!$M331:$P331,'350配方'!$Y331:$AB331,11)</x:f>
        <x:v>4198.825192836682</x:v>
      </x:c>
      <x:c r="G331" s="9" t="n">
        <x:f>SUMIFS('350配方'!$M331:$P331,'350配方'!$Y331:$AB331,18)</x:f>
        <x:v>1183.2582135780847</x:v>
      </x:c>
      <x:c r="H331" s="9" t="n">
        <x:f>SUMIFS('350配方'!$M331:$P331,'350配方'!$Y331:$AB331,32)</x:f>
        <x:v>0</x:v>
      </x:c>
      <x:c r="I331" s="9" t="n">
        <x:f>SUMIFS('350配方'!$M331:$P331,'350配方'!$Y331:$AB331,40)</x:f>
        <x:v>0</x:v>
      </x:c>
      <x:c r="J331" s="9" t="n">
        <x:f>SUMIFS('350配方'!$M331:$P331,'350配方'!$Y331:$AB331,52)</x:f>
        <x:v>0</x:v>
      </x:c>
      <x:c r="K331" s="9" t="n">
        <x:f>SUMIFS('350配方'!$M331:$P331,'350配方'!$Y331:$AB331,53)</x:f>
        <x:v>0</x:v>
      </x:c>
      <x:c r="L331" s="9" t="n">
        <x:f>SUMIFS('350配方'!$M331:$P331,'350配方'!$Y331:$AB331,56)</x:f>
        <x:v>0</x:v>
      </x:c>
      <x:c r="M331" s="9" t="n">
        <x:f>SUMIFS('350配方'!$M331:$P331,'350配方'!$Y331:$AB331,58)</x:f>
        <x:v>5.06</x:v>
      </x:c>
      <x:c r="N331" s="9" t="n">
        <x:f>SUMIFS('350配方'!$M331:$P331,'350配方'!$Y331:$AB331,61)</x:f>
        <x:v>0</x:v>
      </x:c>
      <x:c r="O331" s="9" t="n">
        <x:f>SUMIFS('350配方'!$M331:$P331,'350配方'!$Y331:$AB331,69)</x:f>
        <x:v>0</x:v>
      </x:c>
      <x:c r="P331" s="9" t="n">
        <x:f>SUMIFS('350配方'!$M331:$P331,'350配方'!$Y331:$AB331,75)</x:f>
        <x:v>0</x:v>
      </x:c>
      <x:c r="Q331" s="9" t="n">
        <x:f>SUMIFS('350配方'!$M331:$P331,'350配方'!$Y331:$AB331,79)</x:f>
        <x:v>0</x:v>
      </x:c>
      <x:c r="R331" s="9" t="n">
        <x:f>SUMIFS('350配方'!$M331:$P331,'350配方'!$Y331:$AB331,90)</x:f>
        <x:v>0</x:v>
      </x:c>
      <x:c r="S331" s="9" t="n">
        <x:f>SUMIFS('350配方'!$M331:$P331,'350配方'!$Y331:$AB331,105)</x:f>
        <x:v>0</x:v>
      </x:c>
      <x:c r="T331" s="9" t="n">
        <x:f>SUMIFS('350配方'!$M331:$P331,'350配方'!$Y331:$AB331,111)</x:f>
        <x:v>0</x:v>
      </x:c>
      <x:c r="U331" s="9" t="n">
        <x:f>SUMIFS('350配方'!$M331:$P331,'350配方'!$Y331:$AB331,114)</x:f>
        <x:v>0</x:v>
      </x:c>
      <x:c r="V331" s="9" t="n">
        <x:f>SUMIFS('350配方'!$M331:$P331,'350配方'!$Y331:$AB331,115)</x:f>
        <x:v>0</x:v>
      </x:c>
      <x:c r="W331" s="9" t="n">
        <x:f>SUMIFS('350配方'!$M331:$P331,'350配方'!$Y331:$AB331,117)</x:f>
        <x:v>0</x:v>
      </x:c>
      <x:c r="X331" s="9" t="n">
        <x:f>SUMIFS('350配方'!$M331:$P331,'350配方'!$Y331:$AB331,126)</x:f>
        <x:v>1815.6539083757125</x:v>
      </x:c>
      <x:c r="Y331" s="9" t="n">
        <x:f>SUMIFS('350配方'!$M331:$P331,'350配方'!$Y331:$AB331,136)</x:f>
        <x:v>0</x:v>
      </x:c>
      <x:c r="Z331" s="9" t="n">
        <x:f>SUMIFS('350配方'!$M331:$P331,'350配方'!$Y331:$AB331,141)</x:f>
        <x:v>0</x:v>
      </x:c>
      <x:c r="AA331" s="9" t="n">
        <x:f>SUMIFS('350配方'!$M331:$P331,'350配方'!$Y331:$AB331,152)</x:f>
        <x:v>0</x:v>
      </x:c>
      <x:c r="AB331" s="9" t="n">
        <x:f>SUMIFS('350配方'!$M331:$P331,'350配方'!$Y331:$AB331,165)</x:f>
        <x:v>0</x:v>
      </x:c>
      <x:c r="AC331" s="9" t="n">
        <x:f>SUMIFS('350配方'!$M331:$P331,'350配方'!$Y331:$AB331,186)</x:f>
        <x:v>0</x:v>
      </x:c>
      <x:c r="AD331" s="9" t="n">
        <x:f>SUMIFS('350配方'!$M331:$P331,'350配方'!$Y331:$AB331,207)</x:f>
        <x:v>0</x:v>
      </x:c>
      <x:c r="AE331" s="9" t="n">
        <x:f>SUMIFS('350配方'!$M331:$P331,'350配方'!$Y331:$AB331,209)</x:f>
        <x:v>0</x:v>
      </x:c>
      <x:c r="AF331" s="9" t="n">
        <x:f>SUMIFS('350配方'!$M331:$P331,'350配方'!$Y331:$AB331,227)</x:f>
        <x:v>0</x:v>
      </x:c>
      <x:c r="AG331" s="9" t="n">
        <x:f>SUMIFS('350配方'!$M331:$P331,'350配方'!$Y331:$AB331,232)</x:f>
        <x:v>0</x:v>
      </x:c>
      <x:c r="AH331" s="9" t="n">
        <x:f>SUMIFS('350配方'!$M331:$P331,'350配方'!$Y331:$AB331,255)</x:f>
        <x:v>0</x:v>
      </x:c>
      <x:c r="AI331" s="9" t="n">
        <x:f>'浓度设置'!S6</x:f>
        <x:v>219125.9626344086</x:v>
      </x:c>
      <x:c r="AJ331" s="9" t="n">
        <x:f>'浓度设置'!S8</x:f>
        <x:v>92796.92267241378</x:v>
      </x:c>
      <x:c r="AK331" s="9" t="n">
        <x:f>'浓度设置'!S10</x:f>
        <x:v>30556.797802197798</x:v>
      </x:c>
      <x:c r="AL331" s="9" t="n">
        <x:f>'浓度设置'!S12</x:f>
        <x:v>1735.828970588235</x:v>
      </x:c>
      <x:c r="AM331" s="9" t="n">
        <x:f>'浓度设置'!S15</x:f>
        <x:v>7385.813644067793</x:v>
      </x:c>
      <x:c r="AN331" s="9" t="n">
        <x:f>'浓度设置'!S19</x:f>
        <x:v>27722.03097701148</x:v>
      </x:c>
      <x:c r="AO331" s="9" t="n">
        <x:f>'浓度设置'!S22</x:f>
        <x:v>44345.55047619048</x:v>
      </x:c>
      <x:c r="AP331" s="9" t="n">
        <x:f>'浓度设置'!S26</x:f>
        <x:v>153318.30499999996</x:v>
      </x:c>
      <x:c r="AQ331" s="9" t="n">
        <x:f>'浓度设置'!S29</x:f>
        <x:v>312.7970588235294</x:v>
      </x:c>
      <x:c r="AR331" s="9" t="n">
        <x:f>'浓度设置'!S30</x:f>
        <x:v>104175.5097553192</x:v>
      </x:c>
      <x:c r="AS331" s="9" t="n">
        <x:f>'浓度设置'!S35</x:f>
        <x:v>405974.90656785714</x:v>
      </x:c>
    </x:row>
    <x:row r="332" ht="24" customHeight="1">
      <x:c r="A332" s="3" t="str">
        <x:f>'350配方'!A332</x:f>
        <x:v>R017</x:v>
      </x:c>
      <x:c r="B332" s="3" t="str">
        <x:f>'350配方'!B332</x:f>
        <x:v>独立配制重复</x:v>
      </x:c>
      <x:c r="C332" s="3" t="n">
        <x:f>IF(B332="拟合",1,0)</x:f>
        <x:v>0</x:v>
      </x:c>
      <x:c r="D332" s="3" t="n">
        <x:f>'350配方'!AC332</x:f>
        <x:v>4</x:v>
      </x:c>
      <x:c r="E332" s="9" t="n">
        <x:f>SUMIFS('350配方'!$M332:$P332,'350配方'!$Y332:$AB332,7)</x:f>
        <x:v>0</x:v>
      </x:c>
      <x:c r="F332" s="9" t="n">
        <x:f>SUMIFS('350配方'!$M332:$P332,'350配方'!$Y332:$AB332,11)</x:f>
        <x:v>0</x:v>
      </x:c>
      <x:c r="G332" s="9" t="n">
        <x:f>SUMIFS('350配方'!$M332:$P332,'350配方'!$Y332:$AB332,18)</x:f>
        <x:v>1183.2582135780847</x:v>
      </x:c>
      <x:c r="H332" s="9" t="n">
        <x:f>SUMIFS('350配方'!$M332:$P332,'350配方'!$Y332:$AB332,32)</x:f>
        <x:v>0</x:v>
      </x:c>
      <x:c r="I332" s="9" t="n">
        <x:f>SUMIFS('350配方'!$M332:$P332,'350配方'!$Y332:$AB332,40)</x:f>
        <x:v>0</x:v>
      </x:c>
      <x:c r="J332" s="9" t="n">
        <x:f>SUMIFS('350配方'!$M332:$P332,'350配方'!$Y332:$AB332,52)</x:f>
        <x:v>0</x:v>
      </x:c>
      <x:c r="K332" s="9" t="n">
        <x:f>SUMIFS('350配方'!$M332:$P332,'350配方'!$Y332:$AB332,53)</x:f>
        <x:v>0</x:v>
      </x:c>
      <x:c r="L332" s="9" t="n">
        <x:f>SUMIFS('350配方'!$M332:$P332,'350配方'!$Y332:$AB332,56)</x:f>
        <x:v>0</x:v>
      </x:c>
      <x:c r="M332" s="9" t="n">
        <x:f>SUMIFS('350配方'!$M332:$P332,'350配方'!$Y332:$AB332,58)</x:f>
        <x:v>0</x:v>
      </x:c>
      <x:c r="N332" s="9" t="n">
        <x:f>SUMIFS('350配方'!$M332:$P332,'350配方'!$Y332:$AB332,61)</x:f>
        <x:v>59.381310191002015</x:v>
      </x:c>
      <x:c r="O332" s="9" t="n">
        <x:f>SUMIFS('350配方'!$M332:$P332,'350配方'!$Y332:$AB332,69)</x:f>
        <x:v>0</x:v>
      </x:c>
      <x:c r="P332" s="9" t="n">
        <x:f>SUMIFS('350配方'!$M332:$P332,'350配方'!$Y332:$AB332,75)</x:f>
        <x:v>0</x:v>
      </x:c>
      <x:c r="Q332" s="9" t="n">
        <x:f>SUMIFS('350配方'!$M332:$P332,'350配方'!$Y332:$AB332,79)</x:f>
        <x:v>0</x:v>
      </x:c>
      <x:c r="R332" s="9" t="n">
        <x:f>SUMIFS('350配方'!$M332:$P332,'350配方'!$Y332:$AB332,90)</x:f>
        <x:v>0</x:v>
      </x:c>
      <x:c r="S332" s="9" t="n">
        <x:f>SUMIFS('350配方'!$M332:$P332,'350配方'!$Y332:$AB332,105)</x:f>
        <x:v>0</x:v>
      </x:c>
      <x:c r="T332" s="9" t="n">
        <x:f>SUMIFS('350配方'!$M332:$P332,'350配方'!$Y332:$AB332,111)</x:f>
        <x:v>0</x:v>
      </x:c>
      <x:c r="U332" s="9" t="n">
        <x:f>SUMIFS('350配方'!$M332:$P332,'350配方'!$Y332:$AB332,114)</x:f>
        <x:v>0</x:v>
      </x:c>
      <x:c r="V332" s="9" t="n">
        <x:f>SUMIFS('350配方'!$M332:$P332,'350配方'!$Y332:$AB332,115)</x:f>
        <x:v>0</x:v>
      </x:c>
      <x:c r="W332" s="9" t="n">
        <x:f>SUMIFS('350配方'!$M332:$P332,'350配方'!$Y332:$AB332,117)</x:f>
        <x:v>0</x:v>
      </x:c>
      <x:c r="X332" s="9" t="n">
        <x:f>SUMIFS('350配方'!$M332:$P332,'350配方'!$Y332:$AB332,126)</x:f>
        <x:v>0</x:v>
      </x:c>
      <x:c r="Y332" s="9" t="n">
        <x:f>SUMIFS('350配方'!$M332:$P332,'350配方'!$Y332:$AB332,136)</x:f>
        <x:v>0</x:v>
      </x:c>
      <x:c r="Z332" s="9" t="n">
        <x:f>SUMIFS('350配方'!$M332:$P332,'350配方'!$Y332:$AB332,141)</x:f>
        <x:v>0</x:v>
      </x:c>
      <x:c r="AA332" s="9" t="n">
        <x:f>SUMIFS('350配方'!$M332:$P332,'350配方'!$Y332:$AB332,152)</x:f>
        <x:v>0</x:v>
      </x:c>
      <x:c r="AB332" s="9" t="n">
        <x:f>SUMIFS('350配方'!$M332:$P332,'350配方'!$Y332:$AB332,165)</x:f>
        <x:v>0</x:v>
      </x:c>
      <x:c r="AC332" s="9" t="n">
        <x:f>SUMIFS('350配方'!$M332:$P332,'350配方'!$Y332:$AB332,186)</x:f>
        <x:v>11648000</x:v>
      </x:c>
      <x:c r="AD332" s="9" t="n">
        <x:f>SUMIFS('350配方'!$M332:$P332,'350配方'!$Y332:$AB332,207)</x:f>
        <x:v>0</x:v>
      </x:c>
      <x:c r="AE332" s="9" t="n">
        <x:f>SUMIFS('350配方'!$M332:$P332,'350配方'!$Y332:$AB332,209)</x:f>
        <x:v>0</x:v>
      </x:c>
      <x:c r="AF332" s="9" t="n">
        <x:f>SUMIFS('350配方'!$M332:$P332,'350配方'!$Y332:$AB332,227)</x:f>
        <x:v>2.5</x:v>
      </x:c>
      <x:c r="AG332" s="9" t="n">
        <x:f>SUMIFS('350配方'!$M332:$P332,'350配方'!$Y332:$AB332,232)</x:f>
        <x:v>0</x:v>
      </x:c>
      <x:c r="AH332" s="9" t="n">
        <x:f>SUMIFS('350配方'!$M332:$P332,'350配方'!$Y332:$AB332,255)</x:f>
        <x:v>0</x:v>
      </x:c>
      <x:c r="AI332" s="9" t="n">
        <x:f>'浓度设置'!S6</x:f>
        <x:v>219125.9626344086</x:v>
      </x:c>
      <x:c r="AJ332" s="9" t="n">
        <x:f>'浓度设置'!S8</x:f>
        <x:v>92796.92267241378</x:v>
      </x:c>
      <x:c r="AK332" s="9" t="n">
        <x:f>'浓度设置'!S10</x:f>
        <x:v>30556.797802197798</x:v>
      </x:c>
      <x:c r="AL332" s="9" t="n">
        <x:f>'浓度设置'!S12</x:f>
        <x:v>1735.828970588235</x:v>
      </x:c>
      <x:c r="AM332" s="9" t="n">
        <x:f>'浓度设置'!S15</x:f>
        <x:v>7385.813644067793</x:v>
      </x:c>
      <x:c r="AN332" s="9" t="n">
        <x:f>'浓度设置'!S19</x:f>
        <x:v>27722.03097701148</x:v>
      </x:c>
      <x:c r="AO332" s="9" t="n">
        <x:f>'浓度设置'!S22</x:f>
        <x:v>44345.55047619048</x:v>
      </x:c>
      <x:c r="AP332" s="9" t="n">
        <x:f>'浓度设置'!S26</x:f>
        <x:v>153318.30499999996</x:v>
      </x:c>
      <x:c r="AQ332" s="9" t="n">
        <x:f>'浓度设置'!S29</x:f>
        <x:v>312.7970588235294</x:v>
      </x:c>
      <x:c r="AR332" s="9" t="n">
        <x:f>'浓度设置'!S30</x:f>
        <x:v>104175.5097553192</x:v>
      </x:c>
      <x:c r="AS332" s="9" t="n">
        <x:f>'浓度设置'!S35</x:f>
        <x:v>405974.90656785714</x:v>
      </x:c>
    </x:row>
    <x:row r="333" ht="24" customHeight="1">
      <x:c r="A333" s="3" t="str">
        <x:f>'350配方'!A333</x:f>
        <x:v>R018</x:v>
      </x:c>
      <x:c r="B333" s="3" t="str">
        <x:f>'350配方'!B333</x:f>
        <x:v>独立配制重复</x:v>
      </x:c>
      <x:c r="C333" s="3" t="n">
        <x:f>IF(B333="拟合",1,0)</x:f>
        <x:v>0</x:v>
      </x:c>
      <x:c r="D333" s="3" t="n">
        <x:f>'350配方'!AC333</x:f>
        <x:v>4</x:v>
      </x:c>
      <x:c r="E333" s="9" t="n">
        <x:f>SUMIFS('350配方'!$M333:$P333,'350配方'!$Y333:$AB333,7)</x:f>
        <x:v>0</x:v>
      </x:c>
      <x:c r="F333" s="9" t="n">
        <x:f>SUMIFS('350配方'!$M333:$P333,'350配方'!$Y333:$AB333,11)</x:f>
        <x:v>0</x:v>
      </x:c>
      <x:c r="G333" s="9" t="n">
        <x:f>SUMIFS('350配方'!$M333:$P333,'350配方'!$Y333:$AB333,18)</x:f>
        <x:v>0</x:v>
      </x:c>
      <x:c r="H333" s="9" t="n">
        <x:f>SUMIFS('350配方'!$M333:$P333,'350配方'!$Y333:$AB333,32)</x:f>
        <x:v>0</x:v>
      </x:c>
      <x:c r="I333" s="9" t="n">
        <x:f>SUMIFS('350配方'!$M333:$P333,'350配方'!$Y333:$AB333,40)</x:f>
        <x:v>0</x:v>
      </x:c>
      <x:c r="J333" s="9" t="n">
        <x:f>SUMIFS('350配方'!$M333:$P333,'350配方'!$Y333:$AB333,52)</x:f>
        <x:v>0</x:v>
      </x:c>
      <x:c r="K333" s="9" t="n">
        <x:f>SUMIFS('350配方'!$M333:$P333,'350配方'!$Y333:$AB333,53)</x:f>
        <x:v>0</x:v>
      </x:c>
      <x:c r="L333" s="9" t="n">
        <x:f>SUMIFS('350配方'!$M333:$P333,'350配方'!$Y333:$AB333,56)</x:f>
        <x:v>0</x:v>
      </x:c>
      <x:c r="M333" s="9" t="n">
        <x:f>SUMIFS('350配方'!$M333:$P333,'350配方'!$Y333:$AB333,58)</x:f>
        <x:v>3072.731960324558</x:v>
      </x:c>
      <x:c r="N333" s="9" t="n">
        <x:f>SUMIFS('350配方'!$M333:$P333,'350配方'!$Y333:$AB333,61)</x:f>
        <x:v>0</x:v>
      </x:c>
      <x:c r="O333" s="9" t="n">
        <x:f>SUMIFS('350配方'!$M333:$P333,'350配方'!$Y333:$AB333,69)</x:f>
        <x:v>0</x:v>
      </x:c>
      <x:c r="P333" s="9" t="n">
        <x:f>SUMIFS('350配方'!$M333:$P333,'350配方'!$Y333:$AB333,75)</x:f>
        <x:v>0</x:v>
      </x:c>
      <x:c r="Q333" s="9" t="n">
        <x:f>SUMIFS('350配方'!$M333:$P333,'350配方'!$Y333:$AB333,79)</x:f>
        <x:v>0</x:v>
      </x:c>
      <x:c r="R333" s="9" t="n">
        <x:f>SUMIFS('350配方'!$M333:$P333,'350配方'!$Y333:$AB333,90)</x:f>
        <x:v>0</x:v>
      </x:c>
      <x:c r="S333" s="9" t="n">
        <x:f>SUMIFS('350配方'!$M333:$P333,'350配方'!$Y333:$AB333,105)</x:f>
        <x:v>0</x:v>
      </x:c>
      <x:c r="T333" s="9" t="n">
        <x:f>SUMIFS('350配方'!$M333:$P333,'350配方'!$Y333:$AB333,111)</x:f>
        <x:v>0</x:v>
      </x:c>
      <x:c r="U333" s="9" t="n">
        <x:f>SUMIFS('350配方'!$M333:$P333,'350配方'!$Y333:$AB333,114)</x:f>
        <x:v>0</x:v>
      </x:c>
      <x:c r="V333" s="9" t="n">
        <x:f>SUMIFS('350配方'!$M333:$P333,'350配方'!$Y333:$AB333,115)</x:f>
        <x:v>0</x:v>
      </x:c>
      <x:c r="W333" s="9" t="n">
        <x:f>SUMIFS('350配方'!$M333:$P333,'350配方'!$Y333:$AB333,117)</x:f>
        <x:v>0</x:v>
      </x:c>
      <x:c r="X333" s="9" t="n">
        <x:f>SUMIFS('350配方'!$M333:$P333,'350配方'!$Y333:$AB333,126)</x:f>
        <x:v>0</x:v>
      </x:c>
      <x:c r="Y333" s="9" t="n">
        <x:f>SUMIFS('350配方'!$M333:$P333,'350配方'!$Y333:$AB333,136)</x:f>
        <x:v>0</x:v>
      </x:c>
      <x:c r="Z333" s="9" t="n">
        <x:f>SUMIFS('350配方'!$M333:$P333,'350配方'!$Y333:$AB333,141)</x:f>
        <x:v>0</x:v>
      </x:c>
      <x:c r="AA333" s="9" t="n">
        <x:f>SUMIFS('350配方'!$M333:$P333,'350配方'!$Y333:$AB333,152)</x:f>
        <x:v>0</x:v>
      </x:c>
      <x:c r="AB333" s="9" t="n">
        <x:f>SUMIFS('350配方'!$M333:$P333,'350配方'!$Y333:$AB333,165)</x:f>
        <x:v>0</x:v>
      </x:c>
      <x:c r="AC333" s="9" t="n">
        <x:f>SUMIFS('350配方'!$M333:$P333,'350配方'!$Y333:$AB333,186)</x:f>
        <x:v>4262.731518639193</x:v>
      </x:c>
      <x:c r="AD333" s="9" t="n">
        <x:f>SUMIFS('350配方'!$M333:$P333,'350配方'!$Y333:$AB333,207)</x:f>
        <x:v>0</x:v>
      </x:c>
      <x:c r="AE333" s="9" t="n">
        <x:f>SUMIFS('350配方'!$M333:$P333,'350配方'!$Y333:$AB333,209)</x:f>
        <x:v>0</x:v>
      </x:c>
      <x:c r="AF333" s="9" t="n">
        <x:f>SUMIFS('350配方'!$M333:$P333,'350配方'!$Y333:$AB333,227)</x:f>
        <x:v>0</x:v>
      </x:c>
      <x:c r="AG333" s="9" t="n">
        <x:f>SUMIFS('350配方'!$M333:$P333,'350配方'!$Y333:$AB333,232)</x:f>
        <x:v>39.53062104242735</x:v>
      </x:c>
      <x:c r="AH333" s="9" t="n">
        <x:f>SUMIFS('350配方'!$M333:$P333,'350配方'!$Y333:$AB333,255)</x:f>
        <x:v>1.5</x:v>
      </x:c>
      <x:c r="AI333" s="9" t="n">
        <x:f>'浓度设置'!S6</x:f>
        <x:v>219125.9626344086</x:v>
      </x:c>
      <x:c r="AJ333" s="9" t="n">
        <x:f>'浓度设置'!S8</x:f>
        <x:v>92796.92267241378</x:v>
      </x:c>
      <x:c r="AK333" s="9" t="n">
        <x:f>'浓度设置'!S10</x:f>
        <x:v>30556.797802197798</x:v>
      </x:c>
      <x:c r="AL333" s="9" t="n">
        <x:f>'浓度设置'!S12</x:f>
        <x:v>1735.828970588235</x:v>
      </x:c>
      <x:c r="AM333" s="9" t="n">
        <x:f>'浓度设置'!S15</x:f>
        <x:v>7385.813644067793</x:v>
      </x:c>
      <x:c r="AN333" s="9" t="n">
        <x:f>'浓度设置'!S19</x:f>
        <x:v>27722.03097701148</x:v>
      </x:c>
      <x:c r="AO333" s="9" t="n">
        <x:f>'浓度设置'!S22</x:f>
        <x:v>44345.55047619048</x:v>
      </x:c>
      <x:c r="AP333" s="9" t="n">
        <x:f>'浓度设置'!S26</x:f>
        <x:v>153318.30499999996</x:v>
      </x:c>
      <x:c r="AQ333" s="9" t="n">
        <x:f>'浓度设置'!S29</x:f>
        <x:v>312.7970588235294</x:v>
      </x:c>
      <x:c r="AR333" s="9" t="n">
        <x:f>'浓度设置'!S30</x:f>
        <x:v>104175.5097553192</x:v>
      </x:c>
      <x:c r="AS333" s="9" t="n">
        <x:f>'浓度设置'!S35</x:f>
        <x:v>405974.90656785714</x:v>
      </x:c>
    </x:row>
    <x:row r="334" ht="24" customHeight="1">
      <x:c r="A334" s="3" t="str">
        <x:f>'350配方'!A334</x:f>
        <x:v>R019</x:v>
      </x:c>
      <x:c r="B334" s="3" t="str">
        <x:f>'350配方'!B334</x:f>
        <x:v>独立配制重复</x:v>
      </x:c>
      <x:c r="C334" s="3" t="n">
        <x:f>IF(B334="拟合",1,0)</x:f>
        <x:v>0</x:v>
      </x:c>
      <x:c r="D334" s="3" t="n">
        <x:f>'350配方'!AC334</x:f>
        <x:v>4</x:v>
      </x:c>
      <x:c r="E334" s="9" t="n">
        <x:f>SUMIFS('350配方'!$M334:$P334,'350配方'!$Y334:$AB334,7)</x:f>
        <x:v>173</x:v>
      </x:c>
      <x:c r="F334" s="9" t="n">
        <x:f>SUMIFS('350配方'!$M334:$P334,'350配方'!$Y334:$AB334,11)</x:f>
        <x:v>0</x:v>
      </x:c>
      <x:c r="G334" s="9" t="n">
        <x:f>SUMIFS('350配方'!$M334:$P334,'350配方'!$Y334:$AB334,18)</x:f>
        <x:v>0</x:v>
      </x:c>
      <x:c r="H334" s="9" t="n">
        <x:f>SUMIFS('350配方'!$M334:$P334,'350配方'!$Y334:$AB334,32)</x:f>
        <x:v>0</x:v>
      </x:c>
      <x:c r="I334" s="9" t="n">
        <x:f>SUMIFS('350配方'!$M334:$P334,'350配方'!$Y334:$AB334,40)</x:f>
        <x:v>0</x:v>
      </x:c>
      <x:c r="J334" s="9" t="n">
        <x:f>SUMIFS('350配方'!$M334:$P334,'350配方'!$Y334:$AB334,52)</x:f>
        <x:v>0</x:v>
      </x:c>
      <x:c r="K334" s="9" t="n">
        <x:f>SUMIFS('350配方'!$M334:$P334,'350配方'!$Y334:$AB334,53)</x:f>
        <x:v>0</x:v>
      </x:c>
      <x:c r="L334" s="9" t="n">
        <x:f>SUMIFS('350配方'!$M334:$P334,'350配方'!$Y334:$AB334,56)</x:f>
        <x:v>0</x:v>
      </x:c>
      <x:c r="M334" s="9" t="n">
        <x:f>SUMIFS('350配方'!$M334:$P334,'350配方'!$Y334:$AB334,58)</x:f>
        <x:v>0</x:v>
      </x:c>
      <x:c r="N334" s="9" t="n">
        <x:f>SUMIFS('350配方'!$M334:$P334,'350配方'!$Y334:$AB334,61)</x:f>
        <x:v>0</x:v>
      </x:c>
      <x:c r="O334" s="9" t="n">
        <x:f>SUMIFS('350配方'!$M334:$P334,'350配方'!$Y334:$AB334,69)</x:f>
        <x:v>0</x:v>
      </x:c>
      <x:c r="P334" s="9" t="n">
        <x:f>SUMIFS('350配方'!$M334:$P334,'350配方'!$Y334:$AB334,75)</x:f>
        <x:v>0</x:v>
      </x:c>
      <x:c r="Q334" s="9" t="n">
        <x:f>SUMIFS('350配方'!$M334:$P334,'350配方'!$Y334:$AB334,79)</x:f>
        <x:v>0</x:v>
      </x:c>
      <x:c r="R334" s="9" t="n">
        <x:f>SUMIFS('350配方'!$M334:$P334,'350配方'!$Y334:$AB334,90)</x:f>
        <x:v>0</x:v>
      </x:c>
      <x:c r="S334" s="9" t="n">
        <x:f>SUMIFS('350配方'!$M334:$P334,'350配方'!$Y334:$AB334,105)</x:f>
        <x:v>0</x:v>
      </x:c>
      <x:c r="T334" s="9" t="n">
        <x:f>SUMIFS('350配方'!$M334:$P334,'350配方'!$Y334:$AB334,111)</x:f>
        <x:v>0</x:v>
      </x:c>
      <x:c r="U334" s="9" t="n">
        <x:f>SUMIFS('350配方'!$M334:$P334,'350配方'!$Y334:$AB334,114)</x:f>
        <x:v>0</x:v>
      </x:c>
      <x:c r="V334" s="9" t="n">
        <x:f>SUMIFS('350配方'!$M334:$P334,'350配方'!$Y334:$AB334,115)</x:f>
        <x:v>0</x:v>
      </x:c>
      <x:c r="W334" s="9" t="n">
        <x:f>SUMIFS('350配方'!$M334:$P334,'350配方'!$Y334:$AB334,117)</x:f>
        <x:v>0</x:v>
      </x:c>
      <x:c r="X334" s="9" t="n">
        <x:f>SUMIFS('350配方'!$M334:$P334,'350配方'!$Y334:$AB334,126)</x:f>
        <x:v>0</x:v>
      </x:c>
      <x:c r="Y334" s="9" t="n">
        <x:f>SUMIFS('350配方'!$M334:$P334,'350配方'!$Y334:$AB334,136)</x:f>
        <x:v>0</x:v>
      </x:c>
      <x:c r="Z334" s="9" t="n">
        <x:f>SUMIFS('350配方'!$M334:$P334,'350配方'!$Y334:$AB334,141)</x:f>
        <x:v>0</x:v>
      </x:c>
      <x:c r="AA334" s="9" t="n">
        <x:f>SUMIFS('350配方'!$M334:$P334,'350配方'!$Y334:$AB334,152)</x:f>
        <x:v>0</x:v>
      </x:c>
      <x:c r="AB334" s="9" t="n">
        <x:f>SUMIFS('350配方'!$M334:$P334,'350配方'!$Y334:$AB334,165)</x:f>
        <x:v>0</x:v>
      </x:c>
      <x:c r="AC334" s="9" t="n">
        <x:f>SUMIFS('350配方'!$M334:$P334,'350配方'!$Y334:$AB334,186)</x:f>
        <x:v>0</x:v>
      </x:c>
      <x:c r="AD334" s="9" t="n">
        <x:f>SUMIFS('350配方'!$M334:$P334,'350配方'!$Y334:$AB334,207)</x:f>
        <x:v>0</x:v>
      </x:c>
      <x:c r="AE334" s="9" t="n">
        <x:f>SUMIFS('350配方'!$M334:$P334,'350配方'!$Y334:$AB334,209)</x:f>
        <x:v>34.2987346705385</x:v>
      </x:c>
      <x:c r="AF334" s="9" t="n">
        <x:f>SUMIFS('350配方'!$M334:$P334,'350配方'!$Y334:$AB334,227)</x:f>
        <x:v>2.5</x:v>
      </x:c>
      <x:c r="AG334" s="9" t="n">
        <x:f>SUMIFS('350配方'!$M334:$P334,'350配方'!$Y334:$AB334,232)</x:f>
        <x:v>0</x:v>
      </x:c>
      <x:c r="AH334" s="9" t="n">
        <x:f>SUMIFS('350配方'!$M334:$P334,'350配方'!$Y334:$AB334,255)</x:f>
        <x:v>9.546727187890099</x:v>
      </x:c>
      <x:c r="AI334" s="9" t="n">
        <x:f>'浓度设置'!S6</x:f>
        <x:v>219125.9626344086</x:v>
      </x:c>
      <x:c r="AJ334" s="9" t="n">
        <x:f>'浓度设置'!S8</x:f>
        <x:v>92796.92267241378</x:v>
      </x:c>
      <x:c r="AK334" s="9" t="n">
        <x:f>'浓度设置'!S10</x:f>
        <x:v>30556.797802197798</x:v>
      </x:c>
      <x:c r="AL334" s="9" t="n">
        <x:f>'浓度设置'!S12</x:f>
        <x:v>1735.828970588235</x:v>
      </x:c>
      <x:c r="AM334" s="9" t="n">
        <x:f>'浓度设置'!S15</x:f>
        <x:v>7385.813644067793</x:v>
      </x:c>
      <x:c r="AN334" s="9" t="n">
        <x:f>'浓度设置'!S19</x:f>
        <x:v>27722.03097701148</x:v>
      </x:c>
      <x:c r="AO334" s="9" t="n">
        <x:f>'浓度设置'!S22</x:f>
        <x:v>44345.55047619048</x:v>
      </x:c>
      <x:c r="AP334" s="9" t="n">
        <x:f>'浓度设置'!S26</x:f>
        <x:v>153318.30499999996</x:v>
      </x:c>
      <x:c r="AQ334" s="9" t="n">
        <x:f>'浓度设置'!S29</x:f>
        <x:v>312.7970588235294</x:v>
      </x:c>
      <x:c r="AR334" s="9" t="n">
        <x:f>'浓度设置'!S30</x:f>
        <x:v>104175.5097553192</x:v>
      </x:c>
      <x:c r="AS334" s="9" t="n">
        <x:f>'浓度设置'!S35</x:f>
        <x:v>405974.90656785714</x:v>
      </x:c>
    </x:row>
    <x:row r="335" ht="24" customHeight="1">
      <x:c r="A335" s="3" t="str">
        <x:f>'350配方'!A335</x:f>
        <x:v>R020</x:v>
      </x:c>
      <x:c r="B335" s="3" t="str">
        <x:f>'350配方'!B335</x:f>
        <x:v>独立配制重复</x:v>
      </x:c>
      <x:c r="C335" s="3" t="n">
        <x:f>IF(B335="拟合",1,0)</x:f>
        <x:v>0</x:v>
      </x:c>
      <x:c r="D335" s="3" t="n">
        <x:f>'350配方'!AC335</x:f>
        <x:v>4</x:v>
      </x:c>
      <x:c r="E335" s="9" t="n">
        <x:f>SUMIFS('350配方'!$M335:$P335,'350配方'!$Y335:$AB335,7)</x:f>
        <x:v>0</x:v>
      </x:c>
      <x:c r="F335" s="9" t="n">
        <x:f>SUMIFS('350配方'!$M335:$P335,'350配方'!$Y335:$AB335,11)</x:f>
        <x:v>0</x:v>
      </x:c>
      <x:c r="G335" s="9" t="n">
        <x:f>SUMIFS('350配方'!$M335:$P335,'350配方'!$Y335:$AB335,18)</x:f>
        <x:v>0</x:v>
      </x:c>
      <x:c r="H335" s="9" t="n">
        <x:f>SUMIFS('350配方'!$M335:$P335,'350配方'!$Y335:$AB335,32)</x:f>
        <x:v>0</x:v>
      </x:c>
      <x:c r="I335" s="9" t="n">
        <x:f>SUMIFS('350配方'!$M335:$P335,'350配方'!$Y335:$AB335,40)</x:f>
        <x:v>0</x:v>
      </x:c>
      <x:c r="J335" s="9" t="n">
        <x:f>SUMIFS('350配方'!$M335:$P335,'350配方'!$Y335:$AB335,52)</x:f>
        <x:v>0</x:v>
      </x:c>
      <x:c r="K335" s="9" t="n">
        <x:f>SUMIFS('350配方'!$M335:$P335,'350配方'!$Y335:$AB335,53)</x:f>
        <x:v>0</x:v>
      </x:c>
      <x:c r="L335" s="9" t="n">
        <x:f>SUMIFS('350配方'!$M335:$P335,'350配方'!$Y335:$AB335,56)</x:f>
        <x:v>0</x:v>
      </x:c>
      <x:c r="M335" s="9" t="n">
        <x:f>SUMIFS('350配方'!$M335:$P335,'350配方'!$Y335:$AB335,58)</x:f>
        <x:v>0</x:v>
      </x:c>
      <x:c r="N335" s="9" t="n">
        <x:f>SUMIFS('350配方'!$M335:$P335,'350配方'!$Y335:$AB335,61)</x:f>
        <x:v>0.51</x:v>
      </x:c>
      <x:c r="O335" s="9" t="n">
        <x:f>SUMIFS('350配方'!$M335:$P335,'350配方'!$Y335:$AB335,69)</x:f>
        <x:v>0</x:v>
      </x:c>
      <x:c r="P335" s="9" t="n">
        <x:f>SUMIFS('350配方'!$M335:$P335,'350配方'!$Y335:$AB335,75)</x:f>
        <x:v>0</x:v>
      </x:c>
      <x:c r="Q335" s="9" t="n">
        <x:f>SUMIFS('350配方'!$M335:$P335,'350配方'!$Y335:$AB335,79)</x:f>
        <x:v>0</x:v>
      </x:c>
      <x:c r="R335" s="9" t="n">
        <x:f>SUMIFS('350配方'!$M335:$P335,'350配方'!$Y335:$AB335,90)</x:f>
        <x:v>0</x:v>
      </x:c>
      <x:c r="S335" s="9" t="n">
        <x:f>SUMIFS('350配方'!$M335:$P335,'350配方'!$Y335:$AB335,105)</x:f>
        <x:v>28.044607324760317</x:v>
      </x:c>
      <x:c r="T335" s="9" t="n">
        <x:f>SUMIFS('350配方'!$M335:$P335,'350配方'!$Y335:$AB335,111)</x:f>
        <x:v>9622120</x:v>
      </x:c>
      <x:c r="U335" s="9" t="n">
        <x:f>SUMIFS('350配方'!$M335:$P335,'350配方'!$Y335:$AB335,114)</x:f>
        <x:v>0</x:v>
      </x:c>
      <x:c r="V335" s="9" t="n">
        <x:f>SUMIFS('350配方'!$M335:$P335,'350配方'!$Y335:$AB335,115)</x:f>
        <x:v>0</x:v>
      </x:c>
      <x:c r="W335" s="9" t="n">
        <x:f>SUMIFS('350配方'!$M335:$P335,'350配方'!$Y335:$AB335,117)</x:f>
        <x:v>0</x:v>
      </x:c>
      <x:c r="X335" s="9" t="n">
        <x:f>SUMIFS('350配方'!$M335:$P335,'350配方'!$Y335:$AB335,126)</x:f>
        <x:v>0</x:v>
      </x:c>
      <x:c r="Y335" s="9" t="n">
        <x:f>SUMIFS('350配方'!$M335:$P335,'350配方'!$Y335:$AB335,136)</x:f>
        <x:v>0</x:v>
      </x:c>
      <x:c r="Z335" s="9" t="n">
        <x:f>SUMIFS('350配方'!$M335:$P335,'350配方'!$Y335:$AB335,141)</x:f>
        <x:v>0</x:v>
      </x:c>
      <x:c r="AA335" s="9" t="n">
        <x:f>SUMIFS('350配方'!$M335:$P335,'350配方'!$Y335:$AB335,152)</x:f>
        <x:v>0</x:v>
      </x:c>
      <x:c r="AB335" s="9" t="n">
        <x:f>SUMIFS('350配方'!$M335:$P335,'350配方'!$Y335:$AB335,165)</x:f>
        <x:v>0</x:v>
      </x:c>
      <x:c r="AC335" s="9" t="n">
        <x:f>SUMIFS('350配方'!$M335:$P335,'350配方'!$Y335:$AB335,186)</x:f>
        <x:v>0</x:v>
      </x:c>
      <x:c r="AD335" s="9" t="n">
        <x:f>SUMIFS('350配方'!$M335:$P335,'350配方'!$Y335:$AB335,207)</x:f>
        <x:v>271.45</x:v>
      </x:c>
      <x:c r="AE335" s="9" t="n">
        <x:f>SUMIFS('350配方'!$M335:$P335,'350配方'!$Y335:$AB335,209)</x:f>
        <x:v>0</x:v>
      </x:c>
      <x:c r="AF335" s="9" t="n">
        <x:f>SUMIFS('350配方'!$M335:$P335,'350配方'!$Y335:$AB335,227)</x:f>
        <x:v>0</x:v>
      </x:c>
      <x:c r="AG335" s="9" t="n">
        <x:f>SUMIFS('350配方'!$M335:$P335,'350配方'!$Y335:$AB335,232)</x:f>
        <x:v>0</x:v>
      </x:c>
      <x:c r="AH335" s="9" t="n">
        <x:f>SUMIFS('350配方'!$M335:$P335,'350配方'!$Y335:$AB335,255)</x:f>
        <x:v>0</x:v>
      </x:c>
      <x:c r="AI335" s="9" t="n">
        <x:f>'浓度设置'!S6</x:f>
        <x:v>219125.9626344086</x:v>
      </x:c>
      <x:c r="AJ335" s="9" t="n">
        <x:f>'浓度设置'!S8</x:f>
        <x:v>92796.92267241378</x:v>
      </x:c>
      <x:c r="AK335" s="9" t="n">
        <x:f>'浓度设置'!S10</x:f>
        <x:v>30556.797802197798</x:v>
      </x:c>
      <x:c r="AL335" s="9" t="n">
        <x:f>'浓度设置'!S12</x:f>
        <x:v>1735.828970588235</x:v>
      </x:c>
      <x:c r="AM335" s="9" t="n">
        <x:f>'浓度设置'!S15</x:f>
        <x:v>7385.813644067793</x:v>
      </x:c>
      <x:c r="AN335" s="9" t="n">
        <x:f>'浓度设置'!S19</x:f>
        <x:v>27722.03097701148</x:v>
      </x:c>
      <x:c r="AO335" s="9" t="n">
        <x:f>'浓度设置'!S22</x:f>
        <x:v>44345.55047619048</x:v>
      </x:c>
      <x:c r="AP335" s="9" t="n">
        <x:f>'浓度设置'!S26</x:f>
        <x:v>153318.30499999996</x:v>
      </x:c>
      <x:c r="AQ335" s="9" t="n">
        <x:f>'浓度设置'!S29</x:f>
        <x:v>312.7970588235294</x:v>
      </x:c>
      <x:c r="AR335" s="9" t="n">
        <x:f>'浓度设置'!S30</x:f>
        <x:v>104175.5097553192</x:v>
      </x:c>
      <x:c r="AS335" s="9" t="n">
        <x:f>'浓度设置'!S35</x:f>
        <x:v>405974.90656785714</x:v>
      </x:c>
    </x:row>
    <x:row r="336" ht="24" customHeight="1">
      <x:c r="A336" s="3" t="str">
        <x:f>'350配方'!A336</x:f>
        <x:v>V001</x:v>
      </x:c>
      <x:c r="B336" s="3" t="str">
        <x:f>'350配方'!B336</x:f>
        <x:v>留出验证</x:v>
      </x:c>
      <x:c r="C336" s="3" t="n">
        <x:f>IF(B336="拟合",1,0)</x:f>
        <x:v>0</x:v>
      </x:c>
      <x:c r="D336" s="3" t="n">
        <x:f>'350配方'!AC336</x:f>
        <x:v>4</x:v>
      </x:c>
      <x:c r="E336" s="9" t="n">
        <x:f>SUMIFS('350配方'!$M336:$P336,'350配方'!$Y336:$AB336,7)</x:f>
        <x:v>173</x:v>
      </x:c>
      <x:c r="F336" s="9" t="n">
        <x:f>SUMIFS('350配方'!$M336:$P336,'350配方'!$Y336:$AB336,11)</x:f>
        <x:v>16.97</x:v>
      </x:c>
      <x:c r="G336" s="9" t="n">
        <x:f>SUMIFS('350配方'!$M336:$P336,'350配方'!$Y336:$AB336,18)</x:f>
        <x:v>0</x:v>
      </x:c>
      <x:c r="H336" s="9" t="n">
        <x:f>SUMIFS('350配方'!$M336:$P336,'350配方'!$Y336:$AB336,32)</x:f>
        <x:v>0</x:v>
      </x:c>
      <x:c r="I336" s="9" t="n">
        <x:f>SUMIFS('350配方'!$M336:$P336,'350配方'!$Y336:$AB336,40)</x:f>
        <x:v>0</x:v>
      </x:c>
      <x:c r="J336" s="9" t="n">
        <x:f>SUMIFS('350配方'!$M336:$P336,'350配方'!$Y336:$AB336,52)</x:f>
        <x:v>0</x:v>
      </x:c>
      <x:c r="K336" s="9" t="n">
        <x:f>SUMIFS('350配方'!$M336:$P336,'350配方'!$Y336:$AB336,53)</x:f>
        <x:v>0</x:v>
      </x:c>
      <x:c r="L336" s="9" t="n">
        <x:f>SUMIFS('350配方'!$M336:$P336,'350配方'!$Y336:$AB336,56)</x:f>
        <x:v>0</x:v>
      </x:c>
      <x:c r="M336" s="9" t="n">
        <x:f>SUMIFS('350配方'!$M336:$P336,'350配方'!$Y336:$AB336,58)</x:f>
        <x:v>0</x:v>
      </x:c>
      <x:c r="N336" s="9" t="n">
        <x:f>SUMIFS('350配方'!$M336:$P336,'350配方'!$Y336:$AB336,61)</x:f>
        <x:v>0</x:v>
      </x:c>
      <x:c r="O336" s="9" t="n">
        <x:f>SUMIFS('350配方'!$M336:$P336,'350配方'!$Y336:$AB336,69)</x:f>
        <x:v>0</x:v>
      </x:c>
      <x:c r="P336" s="9" t="n">
        <x:f>SUMIFS('350配方'!$M336:$P336,'350配方'!$Y336:$AB336,75)</x:f>
        <x:v>0</x:v>
      </x:c>
      <x:c r="Q336" s="9" t="n">
        <x:f>SUMIFS('350配方'!$M336:$P336,'350配方'!$Y336:$AB336,79)</x:f>
        <x:v>0</x:v>
      </x:c>
      <x:c r="R336" s="9" t="n">
        <x:f>SUMIFS('350配方'!$M336:$P336,'350配方'!$Y336:$AB336,90)</x:f>
        <x:v>0</x:v>
      </x:c>
      <x:c r="S336" s="9" t="n">
        <x:f>SUMIFS('350配方'!$M336:$P336,'350配方'!$Y336:$AB336,105)</x:f>
        <x:v>0</x:v>
      </x:c>
      <x:c r="T336" s="9" t="n">
        <x:f>SUMIFS('350配方'!$M336:$P336,'350配方'!$Y336:$AB336,111)</x:f>
        <x:v>0</x:v>
      </x:c>
      <x:c r="U336" s="9" t="n">
        <x:f>SUMIFS('350配方'!$M336:$P336,'350配方'!$Y336:$AB336,114)</x:f>
        <x:v>0</x:v>
      </x:c>
      <x:c r="V336" s="9" t="n">
        <x:f>SUMIFS('350配方'!$M336:$P336,'350配方'!$Y336:$AB336,115)</x:f>
        <x:v>0</x:v>
      </x:c>
      <x:c r="W336" s="9" t="n">
        <x:f>SUMIFS('350配方'!$M336:$P336,'350配方'!$Y336:$AB336,117)</x:f>
        <x:v>0</x:v>
      </x:c>
      <x:c r="X336" s="9" t="n">
        <x:f>SUMIFS('350配方'!$M336:$P336,'350配方'!$Y336:$AB336,126)</x:f>
        <x:v>1815.6539083757125</x:v>
      </x:c>
      <x:c r="Y336" s="9" t="n">
        <x:f>SUMIFS('350配方'!$M336:$P336,'350配方'!$Y336:$AB336,136)</x:f>
        <x:v>0</x:v>
      </x:c>
      <x:c r="Z336" s="9" t="n">
        <x:f>SUMIFS('350配方'!$M336:$P336,'350配方'!$Y336:$AB336,141)</x:f>
        <x:v>0</x:v>
      </x:c>
      <x:c r="AA336" s="9" t="n">
        <x:f>SUMIFS('350配方'!$M336:$P336,'350配方'!$Y336:$AB336,152)</x:f>
        <x:v>0</x:v>
      </x:c>
      <x:c r="AB336" s="9" t="n">
        <x:f>SUMIFS('350配方'!$M336:$P336,'350配方'!$Y336:$AB336,165)</x:f>
        <x:v>0</x:v>
      </x:c>
      <x:c r="AC336" s="9" t="n">
        <x:f>SUMIFS('350配方'!$M336:$P336,'350配方'!$Y336:$AB336,186)</x:f>
        <x:v>0</x:v>
      </x:c>
      <x:c r="AD336" s="9" t="n">
        <x:f>SUMIFS('350配方'!$M336:$P336,'350配方'!$Y336:$AB336,207)</x:f>
        <x:v>0</x:v>
      </x:c>
      <x:c r="AE336" s="9" t="n">
        <x:f>SUMIFS('350配方'!$M336:$P336,'350配方'!$Y336:$AB336,209)</x:f>
        <x:v>0</x:v>
      </x:c>
      <x:c r="AF336" s="9" t="n">
        <x:f>SUMIFS('350配方'!$M336:$P336,'350配方'!$Y336:$AB336,227)</x:f>
        <x:v>0</x:v>
      </x:c>
      <x:c r="AG336" s="9" t="n">
        <x:f>SUMIFS('350配方'!$M336:$P336,'350配方'!$Y336:$AB336,232)</x:f>
        <x:v>0</x:v>
      </x:c>
      <x:c r="AH336" s="9" t="n">
        <x:f>SUMIFS('350配方'!$M336:$P336,'350配方'!$Y336:$AB336,255)</x:f>
        <x:v>9.546727187890099</x:v>
      </x:c>
      <x:c r="AI336" s="9" t="n">
        <x:f>'浓度设置'!S6</x:f>
        <x:v>219125.9626344086</x:v>
      </x:c>
      <x:c r="AJ336" s="9" t="n">
        <x:f>'浓度设置'!S8</x:f>
        <x:v>92796.92267241378</x:v>
      </x:c>
      <x:c r="AK336" s="9" t="n">
        <x:f>'浓度设置'!S10</x:f>
        <x:v>30556.797802197798</x:v>
      </x:c>
      <x:c r="AL336" s="9" t="n">
        <x:f>'浓度设置'!S12</x:f>
        <x:v>1735.828970588235</x:v>
      </x:c>
      <x:c r="AM336" s="9" t="n">
        <x:f>'浓度设置'!S15</x:f>
        <x:v>7385.813644067793</x:v>
      </x:c>
      <x:c r="AN336" s="9" t="n">
        <x:f>'浓度设置'!S19</x:f>
        <x:v>27722.03097701148</x:v>
      </x:c>
      <x:c r="AO336" s="9" t="n">
        <x:f>'浓度设置'!S22</x:f>
        <x:v>44345.55047619048</x:v>
      </x:c>
      <x:c r="AP336" s="9" t="n">
        <x:f>'浓度设置'!S26</x:f>
        <x:v>153318.30499999996</x:v>
      </x:c>
      <x:c r="AQ336" s="9" t="n">
        <x:f>'浓度设置'!S29</x:f>
        <x:v>312.7970588235294</x:v>
      </x:c>
      <x:c r="AR336" s="9" t="n">
        <x:f>'浓度设置'!S30</x:f>
        <x:v>104175.5097553192</x:v>
      </x:c>
      <x:c r="AS336" s="9" t="n">
        <x:f>'浓度设置'!S35</x:f>
        <x:v>405974.90656785714</x:v>
      </x:c>
    </x:row>
    <x:row r="337" ht="24" customHeight="1">
      <x:c r="A337" s="3" t="str">
        <x:f>'350配方'!A337</x:f>
        <x:v>V002</x:v>
      </x:c>
      <x:c r="B337" s="3" t="str">
        <x:f>'350配方'!B337</x:f>
        <x:v>留出验证</x:v>
      </x:c>
      <x:c r="C337" s="3" t="n">
        <x:f>IF(B337="拟合",1,0)</x:f>
        <x:v>0</x:v>
      </x:c>
      <x:c r="D337" s="3" t="n">
        <x:f>'350配方'!AC337</x:f>
        <x:v>4</x:v>
      </x:c>
      <x:c r="E337" s="9" t="n">
        <x:f>SUMIFS('350配方'!$M337:$P337,'350配方'!$Y337:$AB337,7)</x:f>
        <x:v>0</x:v>
      </x:c>
      <x:c r="F337" s="9" t="n">
        <x:f>SUMIFS('350配方'!$M337:$P337,'350配方'!$Y337:$AB337,11)</x:f>
        <x:v>0</x:v>
      </x:c>
      <x:c r="G337" s="9" t="n">
        <x:f>SUMIFS('350配方'!$M337:$P337,'350配方'!$Y337:$AB337,18)</x:f>
        <x:v>0</x:v>
      </x:c>
      <x:c r="H337" s="9" t="n">
        <x:f>SUMIFS('350配方'!$M337:$P337,'350配方'!$Y337:$AB337,32)</x:f>
        <x:v>0</x:v>
      </x:c>
      <x:c r="I337" s="9" t="n">
        <x:f>SUMIFS('350配方'!$M337:$P337,'350配方'!$Y337:$AB337,40)</x:f>
        <x:v>0</x:v>
      </x:c>
      <x:c r="J337" s="9" t="n">
        <x:f>SUMIFS('350配方'!$M337:$P337,'350配方'!$Y337:$AB337,52)</x:f>
        <x:v>0</x:v>
      </x:c>
      <x:c r="K337" s="9" t="n">
        <x:f>SUMIFS('350配方'!$M337:$P337,'350配方'!$Y337:$AB337,53)</x:f>
        <x:v>0</x:v>
      </x:c>
      <x:c r="L337" s="9" t="n">
        <x:f>SUMIFS('350配方'!$M337:$P337,'350配方'!$Y337:$AB337,56)</x:f>
        <x:v>0</x:v>
      </x:c>
      <x:c r="M337" s="9" t="n">
        <x:f>SUMIFS('350配方'!$M337:$P337,'350配方'!$Y337:$AB337,58)</x:f>
        <x:v>0</x:v>
      </x:c>
      <x:c r="N337" s="9" t="n">
        <x:f>SUMIFS('350配方'!$M337:$P337,'350配方'!$Y337:$AB337,61)</x:f>
        <x:v>59.381310191002015</x:v>
      </x:c>
      <x:c r="O337" s="9" t="n">
        <x:f>SUMIFS('350配方'!$M337:$P337,'350配方'!$Y337:$AB337,69)</x:f>
        <x:v>0</x:v>
      </x:c>
      <x:c r="P337" s="9" t="n">
        <x:f>SUMIFS('350配方'!$M337:$P337,'350配方'!$Y337:$AB337,75)</x:f>
        <x:v>0</x:v>
      </x:c>
      <x:c r="Q337" s="9" t="n">
        <x:f>SUMIFS('350配方'!$M337:$P337,'350配方'!$Y337:$AB337,79)</x:f>
        <x:v>0</x:v>
      </x:c>
      <x:c r="R337" s="9" t="n">
        <x:f>SUMIFS('350配方'!$M337:$P337,'350配方'!$Y337:$AB337,90)</x:f>
        <x:v>0</x:v>
      </x:c>
      <x:c r="S337" s="9" t="n">
        <x:f>SUMIFS('350配方'!$M337:$P337,'350配方'!$Y337:$AB337,105)</x:f>
        <x:v>28.044607324760317</x:v>
      </x:c>
      <x:c r="T337" s="9" t="n">
        <x:f>SUMIFS('350配方'!$M337:$P337,'350配方'!$Y337:$AB337,111)</x:f>
        <x:v>0</x:v>
      </x:c>
      <x:c r="U337" s="9" t="n">
        <x:f>SUMIFS('350配方'!$M337:$P337,'350配方'!$Y337:$AB337,114)</x:f>
        <x:v>0</x:v>
      </x:c>
      <x:c r="V337" s="9" t="n">
        <x:f>SUMIFS('350配方'!$M337:$P337,'350配方'!$Y337:$AB337,115)</x:f>
        <x:v>0</x:v>
      </x:c>
      <x:c r="W337" s="9" t="n">
        <x:f>SUMIFS('350配方'!$M337:$P337,'350配方'!$Y337:$AB337,117)</x:f>
        <x:v>1.875</x:v>
      </x:c>
      <x:c r="X337" s="9" t="n">
        <x:f>SUMIFS('350配方'!$M337:$P337,'350配方'!$Y337:$AB337,126)</x:f>
        <x:v>0</x:v>
      </x:c>
      <x:c r="Y337" s="9" t="n">
        <x:f>SUMIFS('350配方'!$M337:$P337,'350配方'!$Y337:$AB337,136)</x:f>
        <x:v>0</x:v>
      </x:c>
      <x:c r="Z337" s="9" t="n">
        <x:f>SUMIFS('350配方'!$M337:$P337,'350配方'!$Y337:$AB337,141)</x:f>
        <x:v>0</x:v>
      </x:c>
      <x:c r="AA337" s="9" t="n">
        <x:f>SUMIFS('350配方'!$M337:$P337,'350配方'!$Y337:$AB337,152)</x:f>
        <x:v>0</x:v>
      </x:c>
      <x:c r="AB337" s="9" t="n">
        <x:f>SUMIFS('350配方'!$M337:$P337,'350配方'!$Y337:$AB337,165)</x:f>
        <x:v>0</x:v>
      </x:c>
      <x:c r="AC337" s="9" t="n">
        <x:f>SUMIFS('350配方'!$M337:$P337,'350配方'!$Y337:$AB337,186)</x:f>
        <x:v>1.56</x:v>
      </x:c>
      <x:c r="AD337" s="9" t="n">
        <x:f>SUMIFS('350配方'!$M337:$P337,'350配方'!$Y337:$AB337,207)</x:f>
        <x:v>0</x:v>
      </x:c>
      <x:c r="AE337" s="9" t="n">
        <x:f>SUMIFS('350配方'!$M337:$P337,'350配方'!$Y337:$AB337,209)</x:f>
        <x:v>0</x:v>
      </x:c>
      <x:c r="AF337" s="9" t="n">
        <x:f>SUMIFS('350配方'!$M337:$P337,'350配方'!$Y337:$AB337,227)</x:f>
        <x:v>0</x:v>
      </x:c>
      <x:c r="AG337" s="9" t="n">
        <x:f>SUMIFS('350配方'!$M337:$P337,'350配方'!$Y337:$AB337,232)</x:f>
        <x:v>0</x:v>
      </x:c>
      <x:c r="AH337" s="9" t="n">
        <x:f>SUMIFS('350配方'!$M337:$P337,'350配方'!$Y337:$AB337,255)</x:f>
        <x:v>0</x:v>
      </x:c>
      <x:c r="AI337" s="9" t="n">
        <x:f>'浓度设置'!S6</x:f>
        <x:v>219125.9626344086</x:v>
      </x:c>
      <x:c r="AJ337" s="9" t="n">
        <x:f>'浓度设置'!S8</x:f>
        <x:v>92796.92267241378</x:v>
      </x:c>
      <x:c r="AK337" s="9" t="n">
        <x:f>'浓度设置'!S10</x:f>
        <x:v>30556.797802197798</x:v>
      </x:c>
      <x:c r="AL337" s="9" t="n">
        <x:f>'浓度设置'!S12</x:f>
        <x:v>1735.828970588235</x:v>
      </x:c>
      <x:c r="AM337" s="9" t="n">
        <x:f>'浓度设置'!S15</x:f>
        <x:v>7385.813644067793</x:v>
      </x:c>
      <x:c r="AN337" s="9" t="n">
        <x:f>'浓度设置'!S19</x:f>
        <x:v>27722.03097701148</x:v>
      </x:c>
      <x:c r="AO337" s="9" t="n">
        <x:f>'浓度设置'!S22</x:f>
        <x:v>44345.55047619048</x:v>
      </x:c>
      <x:c r="AP337" s="9" t="n">
        <x:f>'浓度设置'!S26</x:f>
        <x:v>153318.30499999996</x:v>
      </x:c>
      <x:c r="AQ337" s="9" t="n">
        <x:f>'浓度设置'!S29</x:f>
        <x:v>312.7970588235294</x:v>
      </x:c>
      <x:c r="AR337" s="9" t="n">
        <x:f>'浓度设置'!S30</x:f>
        <x:v>104175.5097553192</x:v>
      </x:c>
      <x:c r="AS337" s="9" t="n">
        <x:f>'浓度设置'!S35</x:f>
        <x:v>405974.90656785714</x:v>
      </x:c>
    </x:row>
    <x:row r="338" ht="24" customHeight="1">
      <x:c r="A338" s="3" t="str">
        <x:f>'350配方'!A338</x:f>
        <x:v>V003</x:v>
      </x:c>
      <x:c r="B338" s="3" t="str">
        <x:f>'350配方'!B338</x:f>
        <x:v>留出验证</x:v>
      </x:c>
      <x:c r="C338" s="3" t="n">
        <x:f>IF(B338="拟合",1,0)</x:f>
        <x:v>0</x:v>
      </x:c>
      <x:c r="D338" s="3" t="n">
        <x:f>'350配方'!AC338</x:f>
        <x:v>4</x:v>
      </x:c>
      <x:c r="E338" s="9" t="n">
        <x:f>SUMIFS('350配方'!$M338:$P338,'350配方'!$Y338:$AB338,7)</x:f>
        <x:v>3075.94</x:v>
      </x:c>
      <x:c r="F338" s="9" t="n">
        <x:f>SUMIFS('350配方'!$M338:$P338,'350配方'!$Y338:$AB338,11)</x:f>
        <x:v>0</x:v>
      </x:c>
      <x:c r="G338" s="9" t="n">
        <x:f>SUMIFS('350配方'!$M338:$P338,'350配方'!$Y338:$AB338,18)</x:f>
        <x:v>0</x:v>
      </x:c>
      <x:c r="H338" s="9" t="n">
        <x:f>SUMIFS('350配方'!$M338:$P338,'350配方'!$Y338:$AB338,32)</x:f>
        <x:v>0</x:v>
      </x:c>
      <x:c r="I338" s="9" t="n">
        <x:f>SUMIFS('350配方'!$M338:$P338,'350配方'!$Y338:$AB338,40)</x:f>
        <x:v>0</x:v>
      </x:c>
      <x:c r="J338" s="9" t="n">
        <x:f>SUMIFS('350配方'!$M338:$P338,'350配方'!$Y338:$AB338,52)</x:f>
        <x:v>0</x:v>
      </x:c>
      <x:c r="K338" s="9" t="n">
        <x:f>SUMIFS('350配方'!$M338:$P338,'350配方'!$Y338:$AB338,53)</x:f>
        <x:v>0</x:v>
      </x:c>
      <x:c r="L338" s="9" t="n">
        <x:f>SUMIFS('350配方'!$M338:$P338,'350配方'!$Y338:$AB338,56)</x:f>
        <x:v>4105</x:v>
      </x:c>
      <x:c r="M338" s="9" t="n">
        <x:f>SUMIFS('350配方'!$M338:$P338,'350配方'!$Y338:$AB338,58)</x:f>
        <x:v>0</x:v>
      </x:c>
      <x:c r="N338" s="9" t="n">
        <x:f>SUMIFS('350配方'!$M338:$P338,'350配方'!$Y338:$AB338,61)</x:f>
        <x:v>0</x:v>
      </x:c>
      <x:c r="O338" s="9" t="n">
        <x:f>SUMIFS('350配方'!$M338:$P338,'350配方'!$Y338:$AB338,69)</x:f>
        <x:v>0</x:v>
      </x:c>
      <x:c r="P338" s="9" t="n">
        <x:f>SUMIFS('350配方'!$M338:$P338,'350配方'!$Y338:$AB338,75)</x:f>
        <x:v>0</x:v>
      </x:c>
      <x:c r="Q338" s="9" t="n">
        <x:f>SUMIFS('350配方'!$M338:$P338,'350配方'!$Y338:$AB338,79)</x:f>
        <x:v>0</x:v>
      </x:c>
      <x:c r="R338" s="9" t="n">
        <x:f>SUMIFS('350配方'!$M338:$P338,'350配方'!$Y338:$AB338,90)</x:f>
        <x:v>0</x:v>
      </x:c>
      <x:c r="S338" s="9" t="n">
        <x:f>SUMIFS('350配方'!$M338:$P338,'350配方'!$Y338:$AB338,105)</x:f>
        <x:v>0</x:v>
      </x:c>
      <x:c r="T338" s="9" t="n">
        <x:f>SUMIFS('350配方'!$M338:$P338,'350配方'!$Y338:$AB338,111)</x:f>
        <x:v>0</x:v>
      </x:c>
      <x:c r="U338" s="9" t="n">
        <x:f>SUMIFS('350配方'!$M338:$P338,'350配方'!$Y338:$AB338,114)</x:f>
        <x:v>0</x:v>
      </x:c>
      <x:c r="V338" s="9" t="n">
        <x:f>SUMIFS('350配方'!$M338:$P338,'350配方'!$Y338:$AB338,115)</x:f>
        <x:v>0</x:v>
      </x:c>
      <x:c r="W338" s="9" t="n">
        <x:f>SUMIFS('350配方'!$M338:$P338,'350配方'!$Y338:$AB338,117)</x:f>
        <x:v>0</x:v>
      </x:c>
      <x:c r="X338" s="9" t="n">
        <x:f>SUMIFS('350配方'!$M338:$P338,'350配方'!$Y338:$AB338,126)</x:f>
        <x:v>0</x:v>
      </x:c>
      <x:c r="Y338" s="9" t="n">
        <x:f>SUMIFS('350配方'!$M338:$P338,'350配方'!$Y338:$AB338,136)</x:f>
        <x:v>0</x:v>
      </x:c>
      <x:c r="Z338" s="9" t="n">
        <x:f>SUMIFS('350配方'!$M338:$P338,'350配方'!$Y338:$AB338,141)</x:f>
        <x:v>0</x:v>
      </x:c>
      <x:c r="AA338" s="9" t="n">
        <x:f>SUMIFS('350配方'!$M338:$P338,'350配方'!$Y338:$AB338,152)</x:f>
        <x:v>0</x:v>
      </x:c>
      <x:c r="AB338" s="9" t="n">
        <x:f>SUMIFS('350配方'!$M338:$P338,'350配方'!$Y338:$AB338,165)</x:f>
        <x:v>0</x:v>
      </x:c>
      <x:c r="AC338" s="9" t="n">
        <x:f>SUMIFS('350配方'!$M338:$P338,'350配方'!$Y338:$AB338,186)</x:f>
        <x:v>0</x:v>
      </x:c>
      <x:c r="AD338" s="9" t="n">
        <x:f>SUMIFS('350配方'!$M338:$P338,'350配方'!$Y338:$AB338,207)</x:f>
        <x:v>0</x:v>
      </x:c>
      <x:c r="AE338" s="9" t="n">
        <x:f>SUMIFS('350配方'!$M338:$P338,'350配方'!$Y338:$AB338,209)</x:f>
        <x:v>4201.44</x:v>
      </x:c>
      <x:c r="AF338" s="9" t="n">
        <x:f>SUMIFS('350配方'!$M338:$P338,'350配方'!$Y338:$AB338,227)</x:f>
        <x:v>695.986709643223</x:v>
      </x:c>
      <x:c r="AG338" s="9" t="n">
        <x:f>SUMIFS('350配方'!$M338:$P338,'350配方'!$Y338:$AB338,232)</x:f>
        <x:v>0</x:v>
      </x:c>
      <x:c r="AH338" s="9" t="n">
        <x:f>SUMIFS('350配方'!$M338:$P338,'350配方'!$Y338:$AB338,255)</x:f>
        <x:v>0</x:v>
      </x:c>
      <x:c r="AI338" s="9" t="n">
        <x:f>'浓度设置'!S6</x:f>
        <x:v>219125.9626344086</x:v>
      </x:c>
      <x:c r="AJ338" s="9" t="n">
        <x:f>'浓度设置'!S8</x:f>
        <x:v>92796.92267241378</x:v>
      </x:c>
      <x:c r="AK338" s="9" t="n">
        <x:f>'浓度设置'!S10</x:f>
        <x:v>30556.797802197798</x:v>
      </x:c>
      <x:c r="AL338" s="9" t="n">
        <x:f>'浓度设置'!S12</x:f>
        <x:v>1735.828970588235</x:v>
      </x:c>
      <x:c r="AM338" s="9" t="n">
        <x:f>'浓度设置'!S15</x:f>
        <x:v>7385.813644067793</x:v>
      </x:c>
      <x:c r="AN338" s="9" t="n">
        <x:f>'浓度设置'!S19</x:f>
        <x:v>27722.03097701148</x:v>
      </x:c>
      <x:c r="AO338" s="9" t="n">
        <x:f>'浓度设置'!S22</x:f>
        <x:v>44345.55047619048</x:v>
      </x:c>
      <x:c r="AP338" s="9" t="n">
        <x:f>'浓度设置'!S26</x:f>
        <x:v>153318.30499999996</x:v>
      </x:c>
      <x:c r="AQ338" s="9" t="n">
        <x:f>'浓度设置'!S29</x:f>
        <x:v>312.7970588235294</x:v>
      </x:c>
      <x:c r="AR338" s="9" t="n">
        <x:f>'浓度设置'!S30</x:f>
        <x:v>104175.5097553192</x:v>
      </x:c>
      <x:c r="AS338" s="9" t="n">
        <x:f>'浓度设置'!S35</x:f>
        <x:v>405974.90656785714</x:v>
      </x:c>
    </x:row>
    <x:row r="339" ht="24" customHeight="1">
      <x:c r="A339" s="3" t="str">
        <x:f>'350配方'!A339</x:f>
        <x:v>V004</x:v>
      </x:c>
      <x:c r="B339" s="3" t="str">
        <x:f>'350配方'!B339</x:f>
        <x:v>留出验证</x:v>
      </x:c>
      <x:c r="C339" s="3" t="n">
        <x:f>IF(B339="拟合",1,0)</x:f>
        <x:v>0</x:v>
      </x:c>
      <x:c r="D339" s="3" t="n">
        <x:f>'350配方'!AC339</x:f>
        <x:v>4</x:v>
      </x:c>
      <x:c r="E339" s="9" t="n">
        <x:f>SUMIFS('350配方'!$M339:$P339,'350配方'!$Y339:$AB339,7)</x:f>
        <x:v>0</x:v>
      </x:c>
      <x:c r="F339" s="9" t="n">
        <x:f>SUMIFS('350配方'!$M339:$P339,'350配方'!$Y339:$AB339,11)</x:f>
        <x:v>0</x:v>
      </x:c>
      <x:c r="G339" s="9" t="n">
        <x:f>SUMIFS('350配方'!$M339:$P339,'350配方'!$Y339:$AB339,18)</x:f>
        <x:v>0</x:v>
      </x:c>
      <x:c r="H339" s="9" t="n">
        <x:f>SUMIFS('350配方'!$M339:$P339,'350配方'!$Y339:$AB339,32)</x:f>
        <x:v>0</x:v>
      </x:c>
      <x:c r="I339" s="9" t="n">
        <x:f>SUMIFS('350配方'!$M339:$P339,'350配方'!$Y339:$AB339,40)</x:f>
        <x:v>0</x:v>
      </x:c>
      <x:c r="J339" s="9" t="n">
        <x:f>SUMIFS('350配方'!$M339:$P339,'350配方'!$Y339:$AB339,52)</x:f>
        <x:v>0</x:v>
      </x:c>
      <x:c r="K339" s="9" t="n">
        <x:f>SUMIFS('350配方'!$M339:$P339,'350配方'!$Y339:$AB339,53)</x:f>
        <x:v>784300</x:v>
      </x:c>
      <x:c r="L339" s="9" t="n">
        <x:f>SUMIFS('350配方'!$M339:$P339,'350配方'!$Y339:$AB339,56)</x:f>
        <x:v>1041.8500000000001</x:v>
      </x:c>
      <x:c r="M339" s="9" t="n">
        <x:f>SUMIFS('350配方'!$M339:$P339,'350配方'!$Y339:$AB339,58)</x:f>
        <x:v>0</x:v>
      </x:c>
      <x:c r="N339" s="9" t="n">
        <x:f>SUMIFS('350配方'!$M339:$P339,'350配方'!$Y339:$AB339,61)</x:f>
        <x:v>0</x:v>
      </x:c>
      <x:c r="O339" s="9" t="n">
        <x:f>SUMIFS('350配方'!$M339:$P339,'350配方'!$Y339:$AB339,69)</x:f>
        <x:v>0</x:v>
      </x:c>
      <x:c r="P339" s="9" t="n">
        <x:f>SUMIFS('350配方'!$M339:$P339,'350配方'!$Y339:$AB339,75)</x:f>
        <x:v>0</x:v>
      </x:c>
      <x:c r="Q339" s="9" t="n">
        <x:f>SUMIFS('350配方'!$M339:$P339,'350配方'!$Y339:$AB339,79)</x:f>
        <x:v>0</x:v>
      </x:c>
      <x:c r="R339" s="9" t="n">
        <x:f>SUMIFS('350配方'!$M339:$P339,'350配方'!$Y339:$AB339,90)</x:f>
        <x:v>0</x:v>
      </x:c>
      <x:c r="S339" s="9" t="n">
        <x:f>SUMIFS('350配方'!$M339:$P339,'350配方'!$Y339:$AB339,105)</x:f>
        <x:v>0</x:v>
      </x:c>
      <x:c r="T339" s="9" t="n">
        <x:f>SUMIFS('350配方'!$M339:$P339,'350配方'!$Y339:$AB339,111)</x:f>
        <x:v>89562.18016998023</x:v>
      </x:c>
      <x:c r="U339" s="9" t="n">
        <x:f>SUMIFS('350配方'!$M339:$P339,'350配方'!$Y339:$AB339,114)</x:f>
        <x:v>0</x:v>
      </x:c>
      <x:c r="V339" s="9" t="n">
        <x:f>SUMIFS('350配方'!$M339:$P339,'350配方'!$Y339:$AB339,115)</x:f>
        <x:v>0</x:v>
      </x:c>
      <x:c r="W339" s="9" t="n">
        <x:f>SUMIFS('350配方'!$M339:$P339,'350配方'!$Y339:$AB339,117)</x:f>
        <x:v>0</x:v>
      </x:c>
      <x:c r="X339" s="9" t="n">
        <x:f>SUMIFS('350配方'!$M339:$P339,'350配方'!$Y339:$AB339,126)</x:f>
        <x:v>0</x:v>
      </x:c>
      <x:c r="Y339" s="9" t="n">
        <x:f>SUMIFS('350配方'!$M339:$P339,'350配方'!$Y339:$AB339,136)</x:f>
        <x:v>0</x:v>
      </x:c>
      <x:c r="Z339" s="9" t="n">
        <x:f>SUMIFS('350配方'!$M339:$P339,'350配方'!$Y339:$AB339,141)</x:f>
        <x:v>0</x:v>
      </x:c>
      <x:c r="AA339" s="9" t="n">
        <x:f>SUMIFS('350配方'!$M339:$P339,'350配方'!$Y339:$AB339,152)</x:f>
        <x:v>0</x:v>
      </x:c>
      <x:c r="AB339" s="9" t="n">
        <x:f>SUMIFS('350配方'!$M339:$P339,'350配方'!$Y339:$AB339,165)</x:f>
        <x:v>0</x:v>
      </x:c>
      <x:c r="AC339" s="9" t="n">
        <x:f>SUMIFS('350配方'!$M339:$P339,'350配方'!$Y339:$AB339,186)</x:f>
        <x:v>1.56</x:v>
      </x:c>
      <x:c r="AD339" s="9" t="n">
        <x:f>SUMIFS('350配方'!$M339:$P339,'350配方'!$Y339:$AB339,207)</x:f>
        <x:v>0</x:v>
      </x:c>
      <x:c r="AE339" s="9" t="n">
        <x:f>SUMIFS('350配方'!$M339:$P339,'350配方'!$Y339:$AB339,209)</x:f>
        <x:v>0</x:v>
      </x:c>
      <x:c r="AF339" s="9" t="n">
        <x:f>SUMIFS('350配方'!$M339:$P339,'350配方'!$Y339:$AB339,227)</x:f>
        <x:v>0</x:v>
      </x:c>
      <x:c r="AG339" s="9" t="n">
        <x:f>SUMIFS('350配方'!$M339:$P339,'350配方'!$Y339:$AB339,232)</x:f>
        <x:v>0</x:v>
      </x:c>
      <x:c r="AH339" s="9" t="n">
        <x:f>SUMIFS('350配方'!$M339:$P339,'350配方'!$Y339:$AB339,255)</x:f>
        <x:v>0</x:v>
      </x:c>
      <x:c r="AI339" s="9" t="n">
        <x:f>'浓度设置'!S6</x:f>
        <x:v>219125.9626344086</x:v>
      </x:c>
      <x:c r="AJ339" s="9" t="n">
        <x:f>'浓度设置'!S8</x:f>
        <x:v>92796.92267241378</x:v>
      </x:c>
      <x:c r="AK339" s="9" t="n">
        <x:f>'浓度设置'!S10</x:f>
        <x:v>30556.797802197798</x:v>
      </x:c>
      <x:c r="AL339" s="9" t="n">
        <x:f>'浓度设置'!S12</x:f>
        <x:v>1735.828970588235</x:v>
      </x:c>
      <x:c r="AM339" s="9" t="n">
        <x:f>'浓度设置'!S15</x:f>
        <x:v>7385.813644067793</x:v>
      </x:c>
      <x:c r="AN339" s="9" t="n">
        <x:f>'浓度设置'!S19</x:f>
        <x:v>27722.03097701148</x:v>
      </x:c>
      <x:c r="AO339" s="9" t="n">
        <x:f>'浓度设置'!S22</x:f>
        <x:v>44345.55047619048</x:v>
      </x:c>
      <x:c r="AP339" s="9" t="n">
        <x:f>'浓度设置'!S26</x:f>
        <x:v>153318.30499999996</x:v>
      </x:c>
      <x:c r="AQ339" s="9" t="n">
        <x:f>'浓度设置'!S29</x:f>
        <x:v>312.7970588235294</x:v>
      </x:c>
      <x:c r="AR339" s="9" t="n">
        <x:f>'浓度设置'!S30</x:f>
        <x:v>104175.5097553192</x:v>
      </x:c>
      <x:c r="AS339" s="9" t="n">
        <x:f>'浓度设置'!S35</x:f>
        <x:v>405974.90656785714</x:v>
      </x:c>
    </x:row>
    <x:row r="340" ht="24" customHeight="1">
      <x:c r="A340" s="3" t="str">
        <x:f>'350配方'!A340</x:f>
        <x:v>V005</x:v>
      </x:c>
      <x:c r="B340" s="3" t="str">
        <x:f>'350配方'!B340</x:f>
        <x:v>留出验证</x:v>
      </x:c>
      <x:c r="C340" s="3" t="n">
        <x:f>IF(B340="拟合",1,0)</x:f>
        <x:v>0</x:v>
      </x:c>
      <x:c r="D340" s="3" t="n">
        <x:f>'350配方'!AC340</x:f>
        <x:v>4</x:v>
      </x:c>
      <x:c r="E340" s="9" t="n">
        <x:f>SUMIFS('350配方'!$M340:$P340,'350配方'!$Y340:$AB340,7)</x:f>
        <x:v>0</x:v>
      </x:c>
      <x:c r="F340" s="9" t="n">
        <x:f>SUMIFS('350配方'!$M340:$P340,'350配方'!$Y340:$AB340,11)</x:f>
        <x:v>0</x:v>
      </x:c>
      <x:c r="G340" s="9" t="n">
        <x:f>SUMIFS('350配方'!$M340:$P340,'350配方'!$Y340:$AB340,18)</x:f>
        <x:v>35900</x:v>
      </x:c>
      <x:c r="H340" s="9" t="n">
        <x:f>SUMIFS('350配方'!$M340:$P340,'350配方'!$Y340:$AB340,32)</x:f>
        <x:v>0</x:v>
      </x:c>
      <x:c r="I340" s="9" t="n">
        <x:f>SUMIFS('350配方'!$M340:$P340,'350配方'!$Y340:$AB340,40)</x:f>
        <x:v>0</x:v>
      </x:c>
      <x:c r="J340" s="9" t="n">
        <x:f>SUMIFS('350配方'!$M340:$P340,'350配方'!$Y340:$AB340,52)</x:f>
        <x:v>0</x:v>
      </x:c>
      <x:c r="K340" s="9" t="n">
        <x:f>SUMIFS('350配方'!$M340:$P340,'350配方'!$Y340:$AB340,53)</x:f>
        <x:v>0</x:v>
      </x:c>
      <x:c r="L340" s="9" t="n">
        <x:f>SUMIFS('350配方'!$M340:$P340,'350配方'!$Y340:$AB340,56)</x:f>
        <x:v>0</x:v>
      </x:c>
      <x:c r="M340" s="9" t="n">
        <x:f>SUMIFS('350配方'!$M340:$P340,'350配方'!$Y340:$AB340,58)</x:f>
        <x:v>0</x:v>
      </x:c>
      <x:c r="N340" s="9" t="n">
        <x:f>SUMIFS('350配方'!$M340:$P340,'350配方'!$Y340:$AB340,61)</x:f>
        <x:v>59.381310191002015</x:v>
      </x:c>
      <x:c r="O340" s="9" t="n">
        <x:f>SUMIFS('350配方'!$M340:$P340,'350配方'!$Y340:$AB340,69)</x:f>
        <x:v>0</x:v>
      </x:c>
      <x:c r="P340" s="9" t="n">
        <x:f>SUMIFS('350配方'!$M340:$P340,'350配方'!$Y340:$AB340,75)</x:f>
        <x:v>0</x:v>
      </x:c>
      <x:c r="Q340" s="9" t="n">
        <x:f>SUMIFS('350配方'!$M340:$P340,'350配方'!$Y340:$AB340,79)</x:f>
        <x:v>0</x:v>
      </x:c>
      <x:c r="R340" s="9" t="n">
        <x:f>SUMIFS('350配方'!$M340:$P340,'350配方'!$Y340:$AB340,90)</x:f>
        <x:v>0</x:v>
      </x:c>
      <x:c r="S340" s="9" t="n">
        <x:f>SUMIFS('350配方'!$M340:$P340,'350配方'!$Y340:$AB340,105)</x:f>
        <x:v>0</x:v>
      </x:c>
      <x:c r="T340" s="9" t="n">
        <x:f>SUMIFS('350配方'!$M340:$P340,'350配方'!$Y340:$AB340,111)</x:f>
        <x:v>0</x:v>
      </x:c>
      <x:c r="U340" s="9" t="n">
        <x:f>SUMIFS('350配方'!$M340:$P340,'350配方'!$Y340:$AB340,114)</x:f>
        <x:v>0</x:v>
      </x:c>
      <x:c r="V340" s="9" t="n">
        <x:f>SUMIFS('350配方'!$M340:$P340,'350配方'!$Y340:$AB340,115)</x:f>
        <x:v>0</x:v>
      </x:c>
      <x:c r="W340" s="9" t="n">
        <x:f>SUMIFS('350配方'!$M340:$P340,'350配方'!$Y340:$AB340,117)</x:f>
        <x:v>0</x:v>
      </x:c>
      <x:c r="X340" s="9" t="n">
        <x:f>SUMIFS('350配方'!$M340:$P340,'350配方'!$Y340:$AB340,126)</x:f>
        <x:v>0</x:v>
      </x:c>
      <x:c r="Y340" s="9" t="n">
        <x:f>SUMIFS('350配方'!$M340:$P340,'350配方'!$Y340:$AB340,136)</x:f>
        <x:v>0</x:v>
      </x:c>
      <x:c r="Z340" s="9" t="n">
        <x:f>SUMIFS('350配方'!$M340:$P340,'350配方'!$Y340:$AB340,141)</x:f>
        <x:v>0</x:v>
      </x:c>
      <x:c r="AA340" s="9" t="n">
        <x:f>SUMIFS('350配方'!$M340:$P340,'350配方'!$Y340:$AB340,152)</x:f>
        <x:v>227200</x:v>
      </x:c>
      <x:c r="AB340" s="9" t="n">
        <x:f>SUMIFS('350配方'!$M340:$P340,'350配方'!$Y340:$AB340,165)</x:f>
        <x:v>823.735</x:v>
      </x:c>
      <x:c r="AC340" s="9" t="n">
        <x:f>SUMIFS('350配方'!$M340:$P340,'350配方'!$Y340:$AB340,186)</x:f>
        <x:v>0</x:v>
      </x:c>
      <x:c r="AD340" s="9" t="n">
        <x:f>SUMIFS('350配方'!$M340:$P340,'350配方'!$Y340:$AB340,207)</x:f>
        <x:v>0</x:v>
      </x:c>
      <x:c r="AE340" s="9" t="n">
        <x:f>SUMIFS('350配方'!$M340:$P340,'350配方'!$Y340:$AB340,209)</x:f>
        <x:v>0</x:v>
      </x:c>
      <x:c r="AF340" s="9" t="n">
        <x:f>SUMIFS('350配方'!$M340:$P340,'350配方'!$Y340:$AB340,227)</x:f>
        <x:v>0</x:v>
      </x:c>
      <x:c r="AG340" s="9" t="n">
        <x:f>SUMIFS('350配方'!$M340:$P340,'350配方'!$Y340:$AB340,232)</x:f>
        <x:v>0</x:v>
      </x:c>
      <x:c r="AH340" s="9" t="n">
        <x:f>SUMIFS('350配方'!$M340:$P340,'350配方'!$Y340:$AB340,255)</x:f>
        <x:v>0</x:v>
      </x:c>
      <x:c r="AI340" s="9" t="n">
        <x:f>'浓度设置'!S6</x:f>
        <x:v>219125.9626344086</x:v>
      </x:c>
      <x:c r="AJ340" s="9" t="n">
        <x:f>'浓度设置'!S8</x:f>
        <x:v>92796.92267241378</x:v>
      </x:c>
      <x:c r="AK340" s="9" t="n">
        <x:f>'浓度设置'!S10</x:f>
        <x:v>30556.797802197798</x:v>
      </x:c>
      <x:c r="AL340" s="9" t="n">
        <x:f>'浓度设置'!S12</x:f>
        <x:v>1735.828970588235</x:v>
      </x:c>
      <x:c r="AM340" s="9" t="n">
        <x:f>'浓度设置'!S15</x:f>
        <x:v>7385.813644067793</x:v>
      </x:c>
      <x:c r="AN340" s="9" t="n">
        <x:f>'浓度设置'!S19</x:f>
        <x:v>27722.03097701148</x:v>
      </x:c>
      <x:c r="AO340" s="9" t="n">
        <x:f>'浓度设置'!S22</x:f>
        <x:v>44345.55047619048</x:v>
      </x:c>
      <x:c r="AP340" s="9" t="n">
        <x:f>'浓度设置'!S26</x:f>
        <x:v>153318.30499999996</x:v>
      </x:c>
      <x:c r="AQ340" s="9" t="n">
        <x:f>'浓度设置'!S29</x:f>
        <x:v>312.7970588235294</x:v>
      </x:c>
      <x:c r="AR340" s="9" t="n">
        <x:f>'浓度设置'!S30</x:f>
        <x:v>104175.5097553192</x:v>
      </x:c>
      <x:c r="AS340" s="9" t="n">
        <x:f>'浓度设置'!S35</x:f>
        <x:v>405974.90656785714</x:v>
      </x:c>
    </x:row>
    <x:row r="341" ht="24" customHeight="1">
      <x:c r="A341" s="3" t="str">
        <x:f>'350配方'!A341</x:f>
        <x:v>V006</x:v>
      </x:c>
      <x:c r="B341" s="3" t="str">
        <x:f>'350配方'!B341</x:f>
        <x:v>留出验证</x:v>
      </x:c>
      <x:c r="C341" s="3" t="n">
        <x:f>IF(B341="拟合",1,0)</x:f>
        <x:v>0</x:v>
      </x:c>
      <x:c r="D341" s="3" t="n">
        <x:f>'350配方'!AC341</x:f>
        <x:v>4</x:v>
      </x:c>
      <x:c r="E341" s="9" t="n">
        <x:f>SUMIFS('350配方'!$M341:$P341,'350配方'!$Y341:$AB341,7)</x:f>
        <x:v>0</x:v>
      </x:c>
      <x:c r="F341" s="9" t="n">
        <x:f>SUMIFS('350配方'!$M341:$P341,'350配方'!$Y341:$AB341,11)</x:f>
        <x:v>16.97</x:v>
      </x:c>
      <x:c r="G341" s="9" t="n">
        <x:f>SUMIFS('350配方'!$M341:$P341,'350配方'!$Y341:$AB341,18)</x:f>
        <x:v>0</x:v>
      </x:c>
      <x:c r="H341" s="9" t="n">
        <x:f>SUMIFS('350配方'!$M341:$P341,'350配方'!$Y341:$AB341,32)</x:f>
        <x:v>0</x:v>
      </x:c>
      <x:c r="I341" s="9" t="n">
        <x:f>SUMIFS('350配方'!$M341:$P341,'350配方'!$Y341:$AB341,40)</x:f>
        <x:v>0</x:v>
      </x:c>
      <x:c r="J341" s="9" t="n">
        <x:f>SUMIFS('350配方'!$M341:$P341,'350配方'!$Y341:$AB341,52)</x:f>
        <x:v>0</x:v>
      </x:c>
      <x:c r="K341" s="9" t="n">
        <x:f>SUMIFS('350配方'!$M341:$P341,'350配方'!$Y341:$AB341,53)</x:f>
        <x:v>0</x:v>
      </x:c>
      <x:c r="L341" s="9" t="n">
        <x:f>SUMIFS('350配方'!$M341:$P341,'350配方'!$Y341:$AB341,56)</x:f>
        <x:v>4105</x:v>
      </x:c>
      <x:c r="M341" s="9" t="n">
        <x:f>SUMIFS('350配方'!$M341:$P341,'350配方'!$Y341:$AB341,58)</x:f>
        <x:v>0</x:v>
      </x:c>
      <x:c r="N341" s="9" t="n">
        <x:f>SUMIFS('350配方'!$M341:$P341,'350配方'!$Y341:$AB341,61)</x:f>
        <x:v>0</x:v>
      </x:c>
      <x:c r="O341" s="9" t="n">
        <x:f>SUMIFS('350配方'!$M341:$P341,'350配方'!$Y341:$AB341,69)</x:f>
        <x:v>12022.2</x:v>
      </x:c>
      <x:c r="P341" s="9" t="n">
        <x:f>SUMIFS('350配方'!$M341:$P341,'350配方'!$Y341:$AB341,75)</x:f>
        <x:v>0</x:v>
      </x:c>
      <x:c r="Q341" s="9" t="n">
        <x:f>SUMIFS('350配方'!$M341:$P341,'350配方'!$Y341:$AB341,79)</x:f>
        <x:v>1288.255</x:v>
      </x:c>
      <x:c r="R341" s="9" t="n">
        <x:f>SUMIFS('350配方'!$M341:$P341,'350配方'!$Y341:$AB341,90)</x:f>
        <x:v>0</x:v>
      </x:c>
      <x:c r="S341" s="9" t="n">
        <x:f>SUMIFS('350配方'!$M341:$P341,'350配方'!$Y341:$AB341,105)</x:f>
        <x:v>0</x:v>
      </x:c>
      <x:c r="T341" s="9" t="n">
        <x:f>SUMIFS('350配方'!$M341:$P341,'350配方'!$Y341:$AB341,111)</x:f>
        <x:v>0</x:v>
      </x:c>
      <x:c r="U341" s="9" t="n">
        <x:f>SUMIFS('350配方'!$M341:$P341,'350配方'!$Y341:$AB341,114)</x:f>
        <x:v>0</x:v>
      </x:c>
      <x:c r="V341" s="9" t="n">
        <x:f>SUMIFS('350配方'!$M341:$P341,'350配方'!$Y341:$AB341,115)</x:f>
        <x:v>0</x:v>
      </x:c>
      <x:c r="W341" s="9" t="n">
        <x:f>SUMIFS('350配方'!$M341:$P341,'350配方'!$Y341:$AB341,117)</x:f>
        <x:v>0</x:v>
      </x:c>
      <x:c r="X341" s="9" t="n">
        <x:f>SUMIFS('350配方'!$M341:$P341,'350配方'!$Y341:$AB341,126)</x:f>
        <x:v>0</x:v>
      </x:c>
      <x:c r="Y341" s="9" t="n">
        <x:f>SUMIFS('350配方'!$M341:$P341,'350配方'!$Y341:$AB341,136)</x:f>
        <x:v>0</x:v>
      </x:c>
      <x:c r="Z341" s="9" t="n">
        <x:f>SUMIFS('350配方'!$M341:$P341,'350配方'!$Y341:$AB341,141)</x:f>
        <x:v>0</x:v>
      </x:c>
      <x:c r="AA341" s="9" t="n">
        <x:f>SUMIFS('350配方'!$M341:$P341,'350配方'!$Y341:$AB341,152)</x:f>
        <x:v>0</x:v>
      </x:c>
      <x:c r="AB341" s="9" t="n">
        <x:f>SUMIFS('350配方'!$M341:$P341,'350配方'!$Y341:$AB341,165)</x:f>
        <x:v>0</x:v>
      </x:c>
      <x:c r="AC341" s="9" t="n">
        <x:f>SUMIFS('350配方'!$M341:$P341,'350配方'!$Y341:$AB341,186)</x:f>
        <x:v>0</x:v>
      </x:c>
      <x:c r="AD341" s="9" t="n">
        <x:f>SUMIFS('350配方'!$M341:$P341,'350配方'!$Y341:$AB341,207)</x:f>
        <x:v>0</x:v>
      </x:c>
      <x:c r="AE341" s="9" t="n">
        <x:f>SUMIFS('350配方'!$M341:$P341,'350配方'!$Y341:$AB341,209)</x:f>
        <x:v>0</x:v>
      </x:c>
      <x:c r="AF341" s="9" t="n">
        <x:f>SUMIFS('350配方'!$M341:$P341,'350配方'!$Y341:$AB341,227)</x:f>
        <x:v>0</x:v>
      </x:c>
      <x:c r="AG341" s="9" t="n">
        <x:f>SUMIFS('350配方'!$M341:$P341,'350配方'!$Y341:$AB341,232)</x:f>
        <x:v>0</x:v>
      </x:c>
      <x:c r="AH341" s="9" t="n">
        <x:f>SUMIFS('350配方'!$M341:$P341,'350配方'!$Y341:$AB341,255)</x:f>
        <x:v>0</x:v>
      </x:c>
      <x:c r="AI341" s="9" t="n">
        <x:f>'浓度设置'!S6</x:f>
        <x:v>219125.9626344086</x:v>
      </x:c>
      <x:c r="AJ341" s="9" t="n">
        <x:f>'浓度设置'!S8</x:f>
        <x:v>92796.92267241378</x:v>
      </x:c>
      <x:c r="AK341" s="9" t="n">
        <x:f>'浓度设置'!S10</x:f>
        <x:v>30556.797802197798</x:v>
      </x:c>
      <x:c r="AL341" s="9" t="n">
        <x:f>'浓度设置'!S12</x:f>
        <x:v>1735.828970588235</x:v>
      </x:c>
      <x:c r="AM341" s="9" t="n">
        <x:f>'浓度设置'!S15</x:f>
        <x:v>7385.813644067793</x:v>
      </x:c>
      <x:c r="AN341" s="9" t="n">
        <x:f>'浓度设置'!S19</x:f>
        <x:v>27722.03097701148</x:v>
      </x:c>
      <x:c r="AO341" s="9" t="n">
        <x:f>'浓度设置'!S22</x:f>
        <x:v>44345.55047619048</x:v>
      </x:c>
      <x:c r="AP341" s="9" t="n">
        <x:f>'浓度设置'!S26</x:f>
        <x:v>153318.30499999996</x:v>
      </x:c>
      <x:c r="AQ341" s="9" t="n">
        <x:f>'浓度设置'!S29</x:f>
        <x:v>312.7970588235294</x:v>
      </x:c>
      <x:c r="AR341" s="9" t="n">
        <x:f>'浓度设置'!S30</x:f>
        <x:v>104175.5097553192</x:v>
      </x:c>
      <x:c r="AS341" s="9" t="n">
        <x:f>'浓度设置'!S35</x:f>
        <x:v>405974.90656785714</x:v>
      </x:c>
    </x:row>
    <x:row r="342" ht="24" customHeight="1">
      <x:c r="A342" s="3" t="str">
        <x:f>'350配方'!A342</x:f>
        <x:v>V007</x:v>
      </x:c>
      <x:c r="B342" s="3" t="str">
        <x:f>'350配方'!B342</x:f>
        <x:v>留出验证</x:v>
      </x:c>
      <x:c r="C342" s="3" t="n">
        <x:f>IF(B342="拟合",1,0)</x:f>
        <x:v>0</x:v>
      </x:c>
      <x:c r="D342" s="3" t="n">
        <x:f>'350配方'!AC342</x:f>
        <x:v>4</x:v>
      </x:c>
      <x:c r="E342" s="9" t="n">
        <x:f>SUMIFS('350配方'!$M342:$P342,'350配方'!$Y342:$AB342,7)</x:f>
        <x:v>0</x:v>
      </x:c>
      <x:c r="F342" s="9" t="n">
        <x:f>SUMIFS('350配方'!$M342:$P342,'350配方'!$Y342:$AB342,11)</x:f>
        <x:v>0</x:v>
      </x:c>
      <x:c r="G342" s="9" t="n">
        <x:f>SUMIFS('350配方'!$M342:$P342,'350配方'!$Y342:$AB342,18)</x:f>
        <x:v>35900</x:v>
      </x:c>
      <x:c r="H342" s="9" t="n">
        <x:f>SUMIFS('350配方'!$M342:$P342,'350配方'!$Y342:$AB342,32)</x:f>
        <x:v>0</x:v>
      </x:c>
      <x:c r="I342" s="9" t="n">
        <x:f>SUMIFS('350配方'!$M342:$P342,'350配方'!$Y342:$AB342,40)</x:f>
        <x:v>0</x:v>
      </x:c>
      <x:c r="J342" s="9" t="n">
        <x:f>SUMIFS('350配方'!$M342:$P342,'350配方'!$Y342:$AB342,52)</x:f>
        <x:v>0</x:v>
      </x:c>
      <x:c r="K342" s="9" t="n">
        <x:f>SUMIFS('350配方'!$M342:$P342,'350配方'!$Y342:$AB342,53)</x:f>
        <x:v>0</x:v>
      </x:c>
      <x:c r="L342" s="9" t="n">
        <x:f>SUMIFS('350配方'!$M342:$P342,'350配方'!$Y342:$AB342,56)</x:f>
        <x:v>0</x:v>
      </x:c>
      <x:c r="M342" s="9" t="n">
        <x:f>SUMIFS('350配方'!$M342:$P342,'350配方'!$Y342:$AB342,58)</x:f>
        <x:v>0</x:v>
      </x:c>
      <x:c r="N342" s="9" t="n">
        <x:f>SUMIFS('350配方'!$M342:$P342,'350配方'!$Y342:$AB342,61)</x:f>
        <x:v>0</x:v>
      </x:c>
      <x:c r="O342" s="9" t="n">
        <x:f>SUMIFS('350配方'!$M342:$P342,'350配方'!$Y342:$AB342,69)</x:f>
        <x:v>0</x:v>
      </x:c>
      <x:c r="P342" s="9" t="n">
        <x:f>SUMIFS('350配方'!$M342:$P342,'350配方'!$Y342:$AB342,75)</x:f>
        <x:v>0</x:v>
      </x:c>
      <x:c r="Q342" s="9" t="n">
        <x:f>SUMIFS('350配方'!$M342:$P342,'350配方'!$Y342:$AB342,79)</x:f>
        <x:v>0</x:v>
      </x:c>
      <x:c r="R342" s="9" t="n">
        <x:f>SUMIFS('350配方'!$M342:$P342,'350配方'!$Y342:$AB342,90)</x:f>
        <x:v>25642.45</x:v>
      </x:c>
      <x:c r="S342" s="9" t="n">
        <x:f>SUMIFS('350配方'!$M342:$P342,'350配方'!$Y342:$AB342,105)</x:f>
        <x:v>0</x:v>
      </x:c>
      <x:c r="T342" s="9" t="n">
        <x:f>SUMIFS('350配方'!$M342:$P342,'350配方'!$Y342:$AB342,111)</x:f>
        <x:v>0</x:v>
      </x:c>
      <x:c r="U342" s="9" t="n">
        <x:f>SUMIFS('350配方'!$M342:$P342,'350配方'!$Y342:$AB342,114)</x:f>
        <x:v>0</x:v>
      </x:c>
      <x:c r="V342" s="9" t="n">
        <x:f>SUMIFS('350配方'!$M342:$P342,'350配方'!$Y342:$AB342,115)</x:f>
        <x:v>0</x:v>
      </x:c>
      <x:c r="W342" s="9" t="n">
        <x:f>SUMIFS('350配方'!$M342:$P342,'350配方'!$Y342:$AB342,117)</x:f>
        <x:v>0</x:v>
      </x:c>
      <x:c r="X342" s="9" t="n">
        <x:f>SUMIFS('350配方'!$M342:$P342,'350配方'!$Y342:$AB342,126)</x:f>
        <x:v>0</x:v>
      </x:c>
      <x:c r="Y342" s="9" t="n">
        <x:f>SUMIFS('350配方'!$M342:$P342,'350配方'!$Y342:$AB342,136)</x:f>
        <x:v>1.1875</x:v>
      </x:c>
      <x:c r="Z342" s="9" t="n">
        <x:f>SUMIFS('350配方'!$M342:$P342,'350配方'!$Y342:$AB342,141)</x:f>
        <x:v>0</x:v>
      </x:c>
      <x:c r="AA342" s="9" t="n">
        <x:f>SUMIFS('350配方'!$M342:$P342,'350配方'!$Y342:$AB342,152)</x:f>
        <x:v>0</x:v>
      </x:c>
      <x:c r="AB342" s="9" t="n">
        <x:f>SUMIFS('350配方'!$M342:$P342,'350配方'!$Y342:$AB342,165)</x:f>
        <x:v>0</x:v>
      </x:c>
      <x:c r="AC342" s="9" t="n">
        <x:f>SUMIFS('350配方'!$M342:$P342,'350配方'!$Y342:$AB342,186)</x:f>
        <x:v>0</x:v>
      </x:c>
      <x:c r="AD342" s="9" t="n">
        <x:f>SUMIFS('350配方'!$M342:$P342,'350配方'!$Y342:$AB342,207)</x:f>
        <x:v>0</x:v>
      </x:c>
      <x:c r="AE342" s="9" t="n">
        <x:f>SUMIFS('350配方'!$M342:$P342,'350配方'!$Y342:$AB342,209)</x:f>
        <x:v>0</x:v>
      </x:c>
      <x:c r="AF342" s="9" t="n">
        <x:f>SUMIFS('350配方'!$M342:$P342,'350配方'!$Y342:$AB342,227)</x:f>
        <x:v>0</x:v>
      </x:c>
      <x:c r="AG342" s="9" t="n">
        <x:f>SUMIFS('350配方'!$M342:$P342,'350配方'!$Y342:$AB342,232)</x:f>
        <x:v>0.97</x:v>
      </x:c>
      <x:c r="AH342" s="9" t="n">
        <x:f>SUMIFS('350配方'!$M342:$P342,'350配方'!$Y342:$AB342,255)</x:f>
        <x:v>0</x:v>
      </x:c>
      <x:c r="AI342" s="9" t="n">
        <x:f>'浓度设置'!S6</x:f>
        <x:v>219125.9626344086</x:v>
      </x:c>
      <x:c r="AJ342" s="9" t="n">
        <x:f>'浓度设置'!S8</x:f>
        <x:v>92796.92267241378</x:v>
      </x:c>
      <x:c r="AK342" s="9" t="n">
        <x:f>'浓度设置'!S10</x:f>
        <x:v>30556.797802197798</x:v>
      </x:c>
      <x:c r="AL342" s="9" t="n">
        <x:f>'浓度设置'!S12</x:f>
        <x:v>1735.828970588235</x:v>
      </x:c>
      <x:c r="AM342" s="9" t="n">
        <x:f>'浓度设置'!S15</x:f>
        <x:v>7385.813644067793</x:v>
      </x:c>
      <x:c r="AN342" s="9" t="n">
        <x:f>'浓度设置'!S19</x:f>
        <x:v>27722.03097701148</x:v>
      </x:c>
      <x:c r="AO342" s="9" t="n">
        <x:f>'浓度设置'!S22</x:f>
        <x:v>44345.55047619048</x:v>
      </x:c>
      <x:c r="AP342" s="9" t="n">
        <x:f>'浓度设置'!S26</x:f>
        <x:v>153318.30499999996</x:v>
      </x:c>
      <x:c r="AQ342" s="9" t="n">
        <x:f>'浓度设置'!S29</x:f>
        <x:v>312.7970588235294</x:v>
      </x:c>
      <x:c r="AR342" s="9" t="n">
        <x:f>'浓度设置'!S30</x:f>
        <x:v>104175.5097553192</x:v>
      </x:c>
      <x:c r="AS342" s="9" t="n">
        <x:f>'浓度设置'!S35</x:f>
        <x:v>405974.90656785714</x:v>
      </x:c>
    </x:row>
    <x:row r="343" ht="24" customHeight="1">
      <x:c r="A343" s="3" t="str">
        <x:f>'350配方'!A343</x:f>
        <x:v>V008</x:v>
      </x:c>
      <x:c r="B343" s="3" t="str">
        <x:f>'350配方'!B343</x:f>
        <x:v>留出验证</x:v>
      </x:c>
      <x:c r="C343" s="3" t="n">
        <x:f>IF(B343="拟合",1,0)</x:f>
        <x:v>0</x:v>
      </x:c>
      <x:c r="D343" s="3" t="n">
        <x:f>'350配方'!AC343</x:f>
        <x:v>4</x:v>
      </x:c>
      <x:c r="E343" s="9" t="n">
        <x:f>SUMIFS('350配方'!$M343:$P343,'350配方'!$Y343:$AB343,7)</x:f>
        <x:v>0</x:v>
      </x:c>
      <x:c r="F343" s="9" t="n">
        <x:f>SUMIFS('350配方'!$M343:$P343,'350配方'!$Y343:$AB343,11)</x:f>
        <x:v>1038900</x:v>
      </x:c>
      <x:c r="G343" s="9" t="n">
        <x:f>SUMIFS('350配方'!$M343:$P343,'350配方'!$Y343:$AB343,18)</x:f>
        <x:v>0</x:v>
      </x:c>
      <x:c r="H343" s="9" t="n">
        <x:f>SUMIFS('350配方'!$M343:$P343,'350配方'!$Y343:$AB343,32)</x:f>
        <x:v>0</x:v>
      </x:c>
      <x:c r="I343" s="9" t="n">
        <x:f>SUMIFS('350配方'!$M343:$P343,'350配方'!$Y343:$AB343,40)</x:f>
        <x:v>0</x:v>
      </x:c>
      <x:c r="J343" s="9" t="n">
        <x:f>SUMIFS('350配方'!$M343:$P343,'350配方'!$Y343:$AB343,52)</x:f>
        <x:v>0</x:v>
      </x:c>
      <x:c r="K343" s="9" t="n">
        <x:f>SUMIFS('350配方'!$M343:$P343,'350配方'!$Y343:$AB343,53)</x:f>
        <x:v>0</x:v>
      </x:c>
      <x:c r="L343" s="9" t="n">
        <x:f>SUMIFS('350配方'!$M343:$P343,'350配方'!$Y343:$AB343,56)</x:f>
        <x:v>0</x:v>
      </x:c>
      <x:c r="M343" s="9" t="n">
        <x:f>SUMIFS('350配方'!$M343:$P343,'350配方'!$Y343:$AB343,58)</x:f>
        <x:v>1865945</x:v>
      </x:c>
      <x:c r="N343" s="9" t="n">
        <x:f>SUMIFS('350配方'!$M343:$P343,'350配方'!$Y343:$AB343,61)</x:f>
        <x:v>6914</x:v>
      </x:c>
      <x:c r="O343" s="9" t="n">
        <x:f>SUMIFS('350配方'!$M343:$P343,'350配方'!$Y343:$AB343,69)</x:f>
        <x:v>0</x:v>
      </x:c>
      <x:c r="P343" s="9" t="n">
        <x:f>SUMIFS('350配方'!$M343:$P343,'350配方'!$Y343:$AB343,75)</x:f>
        <x:v>0</x:v>
      </x:c>
      <x:c r="Q343" s="9" t="n">
        <x:f>SUMIFS('350配方'!$M343:$P343,'350配方'!$Y343:$AB343,79)</x:f>
        <x:v>0</x:v>
      </x:c>
      <x:c r="R343" s="9" t="n">
        <x:f>SUMIFS('350配方'!$M343:$P343,'350配方'!$Y343:$AB343,90)</x:f>
        <x:v>0</x:v>
      </x:c>
      <x:c r="S343" s="9" t="n">
        <x:f>SUMIFS('350配方'!$M343:$P343,'350配方'!$Y343:$AB343,105)</x:f>
        <x:v>0</x:v>
      </x:c>
      <x:c r="T343" s="9" t="n">
        <x:f>SUMIFS('350配方'!$M343:$P343,'350配方'!$Y343:$AB343,111)</x:f>
        <x:v>0</x:v>
      </x:c>
      <x:c r="U343" s="9" t="n">
        <x:f>SUMIFS('350配方'!$M343:$P343,'350配方'!$Y343:$AB343,114)</x:f>
        <x:v>0</x:v>
      </x:c>
      <x:c r="V343" s="9" t="n">
        <x:f>SUMIFS('350配方'!$M343:$P343,'350配方'!$Y343:$AB343,115)</x:f>
        <x:v>0</x:v>
      </x:c>
      <x:c r="W343" s="9" t="n">
        <x:f>SUMIFS('350配方'!$M343:$P343,'350配方'!$Y343:$AB343,117)</x:f>
        <x:v>0</x:v>
      </x:c>
      <x:c r="X343" s="9" t="n">
        <x:f>SUMIFS('350配方'!$M343:$P343,'350配方'!$Y343:$AB343,126)</x:f>
        <x:v>0</x:v>
      </x:c>
      <x:c r="Y343" s="9" t="n">
        <x:f>SUMIFS('350配方'!$M343:$P343,'350配方'!$Y343:$AB343,136)</x:f>
        <x:v>0</x:v>
      </x:c>
      <x:c r="Z343" s="9" t="n">
        <x:f>SUMIFS('350配方'!$M343:$P343,'350配方'!$Y343:$AB343,141)</x:f>
        <x:v>0</x:v>
      </x:c>
      <x:c r="AA343" s="9" t="n">
        <x:f>SUMIFS('350配方'!$M343:$P343,'350配方'!$Y343:$AB343,152)</x:f>
        <x:v>0</x:v>
      </x:c>
      <x:c r="AB343" s="9" t="n">
        <x:f>SUMIFS('350配方'!$M343:$P343,'350配方'!$Y343:$AB343,165)</x:f>
        <x:v>823.735</x:v>
      </x:c>
      <x:c r="AC343" s="9" t="n">
        <x:f>SUMIFS('350配方'!$M343:$P343,'350配方'!$Y343:$AB343,186)</x:f>
        <x:v>0</x:v>
      </x:c>
      <x:c r="AD343" s="9" t="n">
        <x:f>SUMIFS('350配方'!$M343:$P343,'350配方'!$Y343:$AB343,207)</x:f>
        <x:v>0</x:v>
      </x:c>
      <x:c r="AE343" s="9" t="n">
        <x:f>SUMIFS('350配方'!$M343:$P343,'350配方'!$Y343:$AB343,209)</x:f>
        <x:v>0</x:v>
      </x:c>
      <x:c r="AF343" s="9" t="n">
        <x:f>SUMIFS('350配方'!$M343:$P343,'350配方'!$Y343:$AB343,227)</x:f>
        <x:v>0</x:v>
      </x:c>
      <x:c r="AG343" s="9" t="n">
        <x:f>SUMIFS('350配方'!$M343:$P343,'350配方'!$Y343:$AB343,232)</x:f>
        <x:v>0</x:v>
      </x:c>
      <x:c r="AH343" s="9" t="n">
        <x:f>SUMIFS('350配方'!$M343:$P343,'350配方'!$Y343:$AB343,255)</x:f>
        <x:v>0</x:v>
      </x:c>
      <x:c r="AI343" s="9" t="n">
        <x:f>'浓度设置'!S6</x:f>
        <x:v>219125.9626344086</x:v>
      </x:c>
      <x:c r="AJ343" s="9" t="n">
        <x:f>'浓度设置'!S8</x:f>
        <x:v>92796.92267241378</x:v>
      </x:c>
      <x:c r="AK343" s="9" t="n">
        <x:f>'浓度设置'!S10</x:f>
        <x:v>30556.797802197798</x:v>
      </x:c>
      <x:c r="AL343" s="9" t="n">
        <x:f>'浓度设置'!S12</x:f>
        <x:v>1735.828970588235</x:v>
      </x:c>
      <x:c r="AM343" s="9" t="n">
        <x:f>'浓度设置'!S15</x:f>
        <x:v>7385.813644067793</x:v>
      </x:c>
      <x:c r="AN343" s="9" t="n">
        <x:f>'浓度设置'!S19</x:f>
        <x:v>27722.03097701148</x:v>
      </x:c>
      <x:c r="AO343" s="9" t="n">
        <x:f>'浓度设置'!S22</x:f>
        <x:v>44345.55047619048</x:v>
      </x:c>
      <x:c r="AP343" s="9" t="n">
        <x:f>'浓度设置'!S26</x:f>
        <x:v>153318.30499999996</x:v>
      </x:c>
      <x:c r="AQ343" s="9" t="n">
        <x:f>'浓度设置'!S29</x:f>
        <x:v>312.7970588235294</x:v>
      </x:c>
      <x:c r="AR343" s="9" t="n">
        <x:f>'浓度设置'!S30</x:f>
        <x:v>104175.5097553192</x:v>
      </x:c>
      <x:c r="AS343" s="9" t="n">
        <x:f>'浓度设置'!S35</x:f>
        <x:v>405974.90656785714</x:v>
      </x:c>
    </x:row>
    <x:row r="344" ht="24" customHeight="1">
      <x:c r="A344" s="3" t="str">
        <x:f>'350配方'!A344</x:f>
        <x:v>V009</x:v>
      </x:c>
      <x:c r="B344" s="3" t="str">
        <x:f>'350配方'!B344</x:f>
        <x:v>留出验证</x:v>
      </x:c>
      <x:c r="C344" s="3" t="n">
        <x:f>IF(B344="拟合",1,0)</x:f>
        <x:v>0</x:v>
      </x:c>
      <x:c r="D344" s="3" t="n">
        <x:f>'350配方'!AC344</x:f>
        <x:v>4</x:v>
      </x:c>
      <x:c r="E344" s="9" t="n">
        <x:f>SUMIFS('350配方'!$M344:$P344,'350配方'!$Y344:$AB344,7)</x:f>
        <x:v>0</x:v>
      </x:c>
      <x:c r="F344" s="9" t="n">
        <x:f>SUMIFS('350配方'!$M344:$P344,'350配方'!$Y344:$AB344,11)</x:f>
        <x:v>4198.825192836682</x:v>
      </x:c>
      <x:c r="G344" s="9" t="n">
        <x:f>SUMIFS('350配方'!$M344:$P344,'350配方'!$Y344:$AB344,18)</x:f>
        <x:v>39</x:v>
      </x:c>
      <x:c r="H344" s="9" t="n">
        <x:f>SUMIFS('350配方'!$M344:$P344,'350配方'!$Y344:$AB344,32)</x:f>
        <x:v>0</x:v>
      </x:c>
      <x:c r="I344" s="9" t="n">
        <x:f>SUMIFS('350配方'!$M344:$P344,'350配方'!$Y344:$AB344,40)</x:f>
        <x:v>0</x:v>
      </x:c>
      <x:c r="J344" s="9" t="n">
        <x:f>SUMIFS('350配方'!$M344:$P344,'350配方'!$Y344:$AB344,52)</x:f>
        <x:v>0</x:v>
      </x:c>
      <x:c r="K344" s="9" t="n">
        <x:f>SUMIFS('350配方'!$M344:$P344,'350配方'!$Y344:$AB344,53)</x:f>
        <x:v>0</x:v>
      </x:c>
      <x:c r="L344" s="9" t="n">
        <x:f>SUMIFS('350配方'!$M344:$P344,'350配方'!$Y344:$AB344,56)</x:f>
        <x:v>0</x:v>
      </x:c>
      <x:c r="M344" s="9" t="n">
        <x:f>SUMIFS('350配方'!$M344:$P344,'350配方'!$Y344:$AB344,58)</x:f>
        <x:v>0</x:v>
      </x:c>
      <x:c r="N344" s="9" t="n">
        <x:f>SUMIFS('350配方'!$M344:$P344,'350配方'!$Y344:$AB344,61)</x:f>
        <x:v>0</x:v>
      </x:c>
      <x:c r="O344" s="9" t="n">
        <x:f>SUMIFS('350配方'!$M344:$P344,'350配方'!$Y344:$AB344,69)</x:f>
        <x:v>12022.2</x:v>
      </x:c>
      <x:c r="P344" s="9" t="n">
        <x:f>SUMIFS('350配方'!$M344:$P344,'350配方'!$Y344:$AB344,75)</x:f>
        <x:v>0</x:v>
      </x:c>
      <x:c r="Q344" s="9" t="n">
        <x:f>SUMIFS('350配方'!$M344:$P344,'350配方'!$Y344:$AB344,79)</x:f>
        <x:v>0</x:v>
      </x:c>
      <x:c r="R344" s="9" t="n">
        <x:f>SUMIFS('350配方'!$M344:$P344,'350配方'!$Y344:$AB344,90)</x:f>
        <x:v>0</x:v>
      </x:c>
      <x:c r="S344" s="9" t="n">
        <x:f>SUMIFS('350配方'!$M344:$P344,'350配方'!$Y344:$AB344,105)</x:f>
        <x:v>0</x:v>
      </x:c>
      <x:c r="T344" s="9" t="n">
        <x:f>SUMIFS('350配方'!$M344:$P344,'350配方'!$Y344:$AB344,111)</x:f>
        <x:v>0</x:v>
      </x:c>
      <x:c r="U344" s="9" t="n">
        <x:f>SUMIFS('350配方'!$M344:$P344,'350配方'!$Y344:$AB344,114)</x:f>
        <x:v>0</x:v>
      </x:c>
      <x:c r="V344" s="9" t="n">
        <x:f>SUMIFS('350配方'!$M344:$P344,'350配方'!$Y344:$AB344,115)</x:f>
        <x:v>0</x:v>
      </x:c>
      <x:c r="W344" s="9" t="n">
        <x:f>SUMIFS('350配方'!$M344:$P344,'350配方'!$Y344:$AB344,117)</x:f>
        <x:v>40201.1</x:v>
      </x:c>
      <x:c r="X344" s="9" t="n">
        <x:f>SUMIFS('350配方'!$M344:$P344,'350配方'!$Y344:$AB344,126)</x:f>
        <x:v>0</x:v>
      </x:c>
      <x:c r="Y344" s="9" t="n">
        <x:f>SUMIFS('350配方'!$M344:$P344,'350配方'!$Y344:$AB344,136)</x:f>
        <x:v>0</x:v>
      </x:c>
      <x:c r="Z344" s="9" t="n">
        <x:f>SUMIFS('350配方'!$M344:$P344,'350配方'!$Y344:$AB344,141)</x:f>
        <x:v>0</x:v>
      </x:c>
      <x:c r="AA344" s="9" t="n">
        <x:f>SUMIFS('350配方'!$M344:$P344,'350配方'!$Y344:$AB344,152)</x:f>
        <x:v>0</x:v>
      </x:c>
      <x:c r="AB344" s="9" t="n">
        <x:f>SUMIFS('350配方'!$M344:$P344,'350配方'!$Y344:$AB344,165)</x:f>
        <x:v>0</x:v>
      </x:c>
      <x:c r="AC344" s="9" t="n">
        <x:f>SUMIFS('350配方'!$M344:$P344,'350配方'!$Y344:$AB344,186)</x:f>
        <x:v>0</x:v>
      </x:c>
      <x:c r="AD344" s="9" t="n">
        <x:f>SUMIFS('350配方'!$M344:$P344,'350配方'!$Y344:$AB344,207)</x:f>
        <x:v>0</x:v>
      </x:c>
      <x:c r="AE344" s="9" t="n">
        <x:f>SUMIFS('350配方'!$M344:$P344,'350配方'!$Y344:$AB344,209)</x:f>
        <x:v>0</x:v>
      </x:c>
      <x:c r="AF344" s="9" t="n">
        <x:f>SUMIFS('350配方'!$M344:$P344,'350配方'!$Y344:$AB344,227)</x:f>
        <x:v>0</x:v>
      </x:c>
      <x:c r="AG344" s="9" t="n">
        <x:f>SUMIFS('350配方'!$M344:$P344,'350配方'!$Y344:$AB344,232)</x:f>
        <x:v>0</x:v>
      </x:c>
      <x:c r="AH344" s="9" t="n">
        <x:f>SUMIFS('350配方'!$M344:$P344,'350配方'!$Y344:$AB344,255)</x:f>
        <x:v>0</x:v>
      </x:c>
      <x:c r="AI344" s="9" t="n">
        <x:f>'浓度设置'!S6</x:f>
        <x:v>219125.9626344086</x:v>
      </x:c>
      <x:c r="AJ344" s="9" t="n">
        <x:f>'浓度设置'!S8</x:f>
        <x:v>92796.92267241378</x:v>
      </x:c>
      <x:c r="AK344" s="9" t="n">
        <x:f>'浓度设置'!S10</x:f>
        <x:v>30556.797802197798</x:v>
      </x:c>
      <x:c r="AL344" s="9" t="n">
        <x:f>'浓度设置'!S12</x:f>
        <x:v>1735.828970588235</x:v>
      </x:c>
      <x:c r="AM344" s="9" t="n">
        <x:f>'浓度设置'!S15</x:f>
        <x:v>7385.813644067793</x:v>
      </x:c>
      <x:c r="AN344" s="9" t="n">
        <x:f>'浓度设置'!S19</x:f>
        <x:v>27722.03097701148</x:v>
      </x:c>
      <x:c r="AO344" s="9" t="n">
        <x:f>'浓度设置'!S22</x:f>
        <x:v>44345.55047619048</x:v>
      </x:c>
      <x:c r="AP344" s="9" t="n">
        <x:f>'浓度设置'!S26</x:f>
        <x:v>153318.30499999996</x:v>
      </x:c>
      <x:c r="AQ344" s="9" t="n">
        <x:f>'浓度设置'!S29</x:f>
        <x:v>312.7970588235294</x:v>
      </x:c>
      <x:c r="AR344" s="9" t="n">
        <x:f>'浓度设置'!S30</x:f>
        <x:v>104175.5097553192</x:v>
      </x:c>
      <x:c r="AS344" s="9" t="n">
        <x:f>'浓度设置'!S35</x:f>
        <x:v>405974.90656785714</x:v>
      </x:c>
    </x:row>
    <x:row r="345" ht="24" customHeight="1">
      <x:c r="A345" s="3" t="str">
        <x:f>'350配方'!A345</x:f>
        <x:v>V010</x:v>
      </x:c>
      <x:c r="B345" s="3" t="str">
        <x:f>'350配方'!B345</x:f>
        <x:v>留出验证</x:v>
      </x:c>
      <x:c r="C345" s="3" t="n">
        <x:f>IF(B345="拟合",1,0)</x:f>
        <x:v>0</x:v>
      </x:c>
      <x:c r="D345" s="3" t="n">
        <x:f>'350配方'!AC345</x:f>
        <x:v>4</x:v>
      </x:c>
      <x:c r="E345" s="9" t="n">
        <x:f>SUMIFS('350配方'!$M345:$P345,'350配方'!$Y345:$AB345,7)</x:f>
        <x:v>0</x:v>
      </x:c>
      <x:c r="F345" s="9" t="n">
        <x:f>SUMIFS('350配方'!$M345:$P345,'350配方'!$Y345:$AB345,11)</x:f>
        <x:v>1038900</x:v>
      </x:c>
      <x:c r="G345" s="9" t="n">
        <x:f>SUMIFS('350配方'!$M345:$P345,'350配方'!$Y345:$AB345,18)</x:f>
        <x:v>0</x:v>
      </x:c>
      <x:c r="H345" s="9" t="n">
        <x:f>SUMIFS('350配方'!$M345:$P345,'350配方'!$Y345:$AB345,32)</x:f>
        <x:v>0</x:v>
      </x:c>
      <x:c r="I345" s="9" t="n">
        <x:f>SUMIFS('350配方'!$M345:$P345,'350配方'!$Y345:$AB345,40)</x:f>
        <x:v>0</x:v>
      </x:c>
      <x:c r="J345" s="9" t="n">
        <x:f>SUMIFS('350配方'!$M345:$P345,'350配方'!$Y345:$AB345,52)</x:f>
        <x:v>0</x:v>
      </x:c>
      <x:c r="K345" s="9" t="n">
        <x:f>SUMIFS('350配方'!$M345:$P345,'350配方'!$Y345:$AB345,53)</x:f>
        <x:v>0</x:v>
      </x:c>
      <x:c r="L345" s="9" t="n">
        <x:f>SUMIFS('350配方'!$M345:$P345,'350配方'!$Y345:$AB345,56)</x:f>
        <x:v>0</x:v>
      </x:c>
      <x:c r="M345" s="9" t="n">
        <x:f>SUMIFS('350配方'!$M345:$P345,'350配方'!$Y345:$AB345,58)</x:f>
        <x:v>0</x:v>
      </x:c>
      <x:c r="N345" s="9" t="n">
        <x:f>SUMIFS('350配方'!$M345:$P345,'350配方'!$Y345:$AB345,61)</x:f>
        <x:v>0</x:v>
      </x:c>
      <x:c r="O345" s="9" t="n">
        <x:f>SUMIFS('350配方'!$M345:$P345,'350配方'!$Y345:$AB345,69)</x:f>
        <x:v>0</x:v>
      </x:c>
      <x:c r="P345" s="9" t="n">
        <x:f>SUMIFS('350配方'!$M345:$P345,'350配方'!$Y345:$AB345,75)</x:f>
        <x:v>62700</x:v>
      </x:c>
      <x:c r="Q345" s="9" t="n">
        <x:f>SUMIFS('350配方'!$M345:$P345,'350配方'!$Y345:$AB345,79)</x:f>
        <x:v>0</x:v>
      </x:c>
      <x:c r="R345" s="9" t="n">
        <x:f>SUMIFS('350配方'!$M345:$P345,'350配方'!$Y345:$AB345,90)</x:f>
        <x:v>0</x:v>
      </x:c>
      <x:c r="S345" s="9" t="n">
        <x:f>SUMIFS('350配方'!$M345:$P345,'350配方'!$Y345:$AB345,105)</x:f>
        <x:v>28.044607324760317</x:v>
      </x:c>
      <x:c r="T345" s="9" t="n">
        <x:f>SUMIFS('350配方'!$M345:$P345,'350配方'!$Y345:$AB345,111)</x:f>
        <x:v>0</x:v>
      </x:c>
      <x:c r="U345" s="9" t="n">
        <x:f>SUMIFS('350配方'!$M345:$P345,'350配方'!$Y345:$AB345,114)</x:f>
        <x:v>0</x:v>
      </x:c>
      <x:c r="V345" s="9" t="n">
        <x:f>SUMIFS('350配方'!$M345:$P345,'350配方'!$Y345:$AB345,115)</x:f>
        <x:v>0</x:v>
      </x:c>
      <x:c r="W345" s="9" t="n">
        <x:f>SUMIFS('350配方'!$M345:$P345,'350配方'!$Y345:$AB345,117)</x:f>
        <x:v>0</x:v>
      </x:c>
      <x:c r="X345" s="9" t="n">
        <x:f>SUMIFS('350配方'!$M345:$P345,'350配方'!$Y345:$AB345,126)</x:f>
        <x:v>0</x:v>
      </x:c>
      <x:c r="Y345" s="9" t="n">
        <x:f>SUMIFS('350配方'!$M345:$P345,'350配方'!$Y345:$AB345,136)</x:f>
        <x:v>0</x:v>
      </x:c>
      <x:c r="Z345" s="9" t="n">
        <x:f>SUMIFS('350配方'!$M345:$P345,'350配方'!$Y345:$AB345,141)</x:f>
        <x:v>0</x:v>
      </x:c>
      <x:c r="AA345" s="9" t="n">
        <x:f>SUMIFS('350配方'!$M345:$P345,'350配方'!$Y345:$AB345,152)</x:f>
        <x:v>0</x:v>
      </x:c>
      <x:c r="AB345" s="9" t="n">
        <x:f>SUMIFS('350配方'!$M345:$P345,'350配方'!$Y345:$AB345,165)</x:f>
        <x:v>0</x:v>
      </x:c>
      <x:c r="AC345" s="9" t="n">
        <x:f>SUMIFS('350配方'!$M345:$P345,'350配方'!$Y345:$AB345,186)</x:f>
        <x:v>0</x:v>
      </x:c>
      <x:c r="AD345" s="9" t="n">
        <x:f>SUMIFS('350配方'!$M345:$P345,'350配方'!$Y345:$AB345,207)</x:f>
        <x:v>0</x:v>
      </x:c>
      <x:c r="AE345" s="9" t="n">
        <x:f>SUMIFS('350配方'!$M345:$P345,'350配方'!$Y345:$AB345,209)</x:f>
        <x:v>0</x:v>
      </x:c>
      <x:c r="AF345" s="9" t="n">
        <x:f>SUMIFS('350配方'!$M345:$P345,'350配方'!$Y345:$AB345,227)</x:f>
        <x:v>695.986709643223</x:v>
      </x:c>
      <x:c r="AG345" s="9" t="n">
        <x:f>SUMIFS('350配方'!$M345:$P345,'350配方'!$Y345:$AB345,232)</x:f>
        <x:v>0</x:v>
      </x:c>
      <x:c r="AH345" s="9" t="n">
        <x:f>SUMIFS('350配方'!$M345:$P345,'350配方'!$Y345:$AB345,255)</x:f>
        <x:v>0</x:v>
      </x:c>
      <x:c r="AI345" s="9" t="n">
        <x:f>'浓度设置'!S6</x:f>
        <x:v>219125.9626344086</x:v>
      </x:c>
      <x:c r="AJ345" s="9" t="n">
        <x:f>'浓度设置'!S8</x:f>
        <x:v>92796.92267241378</x:v>
      </x:c>
      <x:c r="AK345" s="9" t="n">
        <x:f>'浓度设置'!S10</x:f>
        <x:v>30556.797802197798</x:v>
      </x:c>
      <x:c r="AL345" s="9" t="n">
        <x:f>'浓度设置'!S12</x:f>
        <x:v>1735.828970588235</x:v>
      </x:c>
      <x:c r="AM345" s="9" t="n">
        <x:f>'浓度设置'!S15</x:f>
        <x:v>7385.813644067793</x:v>
      </x:c>
      <x:c r="AN345" s="9" t="n">
        <x:f>'浓度设置'!S19</x:f>
        <x:v>27722.03097701148</x:v>
      </x:c>
      <x:c r="AO345" s="9" t="n">
        <x:f>'浓度设置'!S22</x:f>
        <x:v>44345.55047619048</x:v>
      </x:c>
      <x:c r="AP345" s="9" t="n">
        <x:f>'浓度设置'!S26</x:f>
        <x:v>153318.30499999996</x:v>
      </x:c>
      <x:c r="AQ345" s="9" t="n">
        <x:f>'浓度设置'!S29</x:f>
        <x:v>312.7970588235294</x:v>
      </x:c>
      <x:c r="AR345" s="9" t="n">
        <x:f>'浓度设置'!S30</x:f>
        <x:v>104175.5097553192</x:v>
      </x:c>
      <x:c r="AS345" s="9" t="n">
        <x:f>'浓度设置'!S35</x:f>
        <x:v>405974.90656785714</x:v>
      </x:c>
    </x:row>
    <x:row r="346" ht="24" customHeight="1">
      <x:c r="A346" s="3" t="str">
        <x:f>'350配方'!A346</x:f>
        <x:v>V011</x:v>
      </x:c>
      <x:c r="B346" s="3" t="str">
        <x:f>'350配方'!B346</x:f>
        <x:v>留出验证</x:v>
      </x:c>
      <x:c r="C346" s="3" t="n">
        <x:f>IF(B346="拟合",1,0)</x:f>
        <x:v>0</x:v>
      </x:c>
      <x:c r="D346" s="3" t="n">
        <x:f>'350配方'!AC346</x:f>
        <x:v>4</x:v>
      </x:c>
      <x:c r="E346" s="9" t="n">
        <x:f>SUMIFS('350配方'!$M346:$P346,'350配方'!$Y346:$AB346,7)</x:f>
        <x:v>0</x:v>
      </x:c>
      <x:c r="F346" s="9" t="n">
        <x:f>SUMIFS('350配方'!$M346:$P346,'350配方'!$Y346:$AB346,11)</x:f>
        <x:v>0</x:v>
      </x:c>
      <x:c r="G346" s="9" t="n">
        <x:f>SUMIFS('350配方'!$M346:$P346,'350配方'!$Y346:$AB346,18)</x:f>
        <x:v>0</x:v>
      </x:c>
      <x:c r="H346" s="9" t="n">
        <x:f>SUMIFS('350配方'!$M346:$P346,'350配方'!$Y346:$AB346,32)</x:f>
        <x:v>0</x:v>
      </x:c>
      <x:c r="I346" s="9" t="n">
        <x:f>SUMIFS('350配方'!$M346:$P346,'350配方'!$Y346:$AB346,40)</x:f>
        <x:v>200.3122562401013</x:v>
      </x:c>
      <x:c r="J346" s="9" t="n">
        <x:f>SUMIFS('350配方'!$M346:$P346,'350配方'!$Y346:$AB346,52)</x:f>
        <x:v>0</x:v>
      </x:c>
      <x:c r="K346" s="9" t="n">
        <x:f>SUMIFS('350配方'!$M346:$P346,'350配方'!$Y346:$AB346,53)</x:f>
        <x:v>0</x:v>
      </x:c>
      <x:c r="L346" s="9" t="n">
        <x:f>SUMIFS('350配方'!$M346:$P346,'350配方'!$Y346:$AB346,56)</x:f>
        <x:v>0</x:v>
      </x:c>
      <x:c r="M346" s="9" t="n">
        <x:f>SUMIFS('350配方'!$M346:$P346,'350配方'!$Y346:$AB346,58)</x:f>
        <x:v>0</x:v>
      </x:c>
      <x:c r="N346" s="9" t="n">
        <x:f>SUMIFS('350配方'!$M346:$P346,'350配方'!$Y346:$AB346,61)</x:f>
        <x:v>0</x:v>
      </x:c>
      <x:c r="O346" s="9" t="n">
        <x:f>SUMIFS('350配方'!$M346:$P346,'350配方'!$Y346:$AB346,69)</x:f>
        <x:v>0</x:v>
      </x:c>
      <x:c r="P346" s="9" t="n">
        <x:f>SUMIFS('350配方'!$M346:$P346,'350配方'!$Y346:$AB346,75)</x:f>
        <x:v>0</x:v>
      </x:c>
      <x:c r="Q346" s="9" t="n">
        <x:f>SUMIFS('350配方'!$M346:$P346,'350配方'!$Y346:$AB346,79)</x:f>
        <x:v>0</x:v>
      </x:c>
      <x:c r="R346" s="9" t="n">
        <x:f>SUMIFS('350配方'!$M346:$P346,'350配方'!$Y346:$AB346,90)</x:f>
        <x:v>1232.25</x:v>
      </x:c>
      <x:c r="S346" s="9" t="n">
        <x:f>SUMIFS('350配方'!$M346:$P346,'350配方'!$Y346:$AB346,105)</x:f>
        <x:v>0</x:v>
      </x:c>
      <x:c r="T346" s="9" t="n">
        <x:f>SUMIFS('350配方'!$M346:$P346,'350配方'!$Y346:$AB346,111)</x:f>
        <x:v>0</x:v>
      </x:c>
      <x:c r="U346" s="9" t="n">
        <x:f>SUMIFS('350配方'!$M346:$P346,'350配方'!$Y346:$AB346,114)</x:f>
        <x:v>0</x:v>
      </x:c>
      <x:c r="V346" s="9" t="n">
        <x:f>SUMIFS('350配方'!$M346:$P346,'350配方'!$Y346:$AB346,115)</x:f>
        <x:v>96.86609313893071</x:v>
      </x:c>
      <x:c r="W346" s="9" t="n">
        <x:f>SUMIFS('350配方'!$M346:$P346,'350配方'!$Y346:$AB346,117)</x:f>
        <x:v>1.875</x:v>
      </x:c>
      <x:c r="X346" s="9" t="n">
        <x:f>SUMIFS('350配方'!$M346:$P346,'350配方'!$Y346:$AB346,126)</x:f>
        <x:v>0</x:v>
      </x:c>
      <x:c r="Y346" s="9" t="n">
        <x:f>SUMIFS('350配方'!$M346:$P346,'350配方'!$Y346:$AB346,136)</x:f>
        <x:v>0</x:v>
      </x:c>
      <x:c r="Z346" s="9" t="n">
        <x:f>SUMIFS('350配方'!$M346:$P346,'350配方'!$Y346:$AB346,141)</x:f>
        <x:v>0</x:v>
      </x:c>
      <x:c r="AA346" s="9" t="n">
        <x:f>SUMIFS('350配方'!$M346:$P346,'350配方'!$Y346:$AB346,152)</x:f>
        <x:v>0</x:v>
      </x:c>
      <x:c r="AB346" s="9" t="n">
        <x:f>SUMIFS('350配方'!$M346:$P346,'350配方'!$Y346:$AB346,165)</x:f>
        <x:v>0</x:v>
      </x:c>
      <x:c r="AC346" s="9" t="n">
        <x:f>SUMIFS('350配方'!$M346:$P346,'350配方'!$Y346:$AB346,186)</x:f>
        <x:v>0</x:v>
      </x:c>
      <x:c r="AD346" s="9" t="n">
        <x:f>SUMIFS('350配方'!$M346:$P346,'350配方'!$Y346:$AB346,207)</x:f>
        <x:v>0</x:v>
      </x:c>
      <x:c r="AE346" s="9" t="n">
        <x:f>SUMIFS('350配方'!$M346:$P346,'350配方'!$Y346:$AB346,209)</x:f>
        <x:v>0</x:v>
      </x:c>
      <x:c r="AF346" s="9" t="n">
        <x:f>SUMIFS('350配方'!$M346:$P346,'350配方'!$Y346:$AB346,227)</x:f>
        <x:v>0</x:v>
      </x:c>
      <x:c r="AG346" s="9" t="n">
        <x:f>SUMIFS('350配方'!$M346:$P346,'350配方'!$Y346:$AB346,232)</x:f>
        <x:v>0</x:v>
      </x:c>
      <x:c r="AH346" s="9" t="n">
        <x:f>SUMIFS('350配方'!$M346:$P346,'350配方'!$Y346:$AB346,255)</x:f>
        <x:v>0</x:v>
      </x:c>
      <x:c r="AI346" s="9" t="n">
        <x:f>'浓度设置'!S6</x:f>
        <x:v>219125.9626344086</x:v>
      </x:c>
      <x:c r="AJ346" s="9" t="n">
        <x:f>'浓度设置'!S8</x:f>
        <x:v>92796.92267241378</x:v>
      </x:c>
      <x:c r="AK346" s="9" t="n">
        <x:f>'浓度设置'!S10</x:f>
        <x:v>30556.797802197798</x:v>
      </x:c>
      <x:c r="AL346" s="9" t="n">
        <x:f>'浓度设置'!S12</x:f>
        <x:v>1735.828970588235</x:v>
      </x:c>
      <x:c r="AM346" s="9" t="n">
        <x:f>'浓度设置'!S15</x:f>
        <x:v>7385.813644067793</x:v>
      </x:c>
      <x:c r="AN346" s="9" t="n">
        <x:f>'浓度设置'!S19</x:f>
        <x:v>27722.03097701148</x:v>
      </x:c>
      <x:c r="AO346" s="9" t="n">
        <x:f>'浓度设置'!S22</x:f>
        <x:v>44345.55047619048</x:v>
      </x:c>
      <x:c r="AP346" s="9" t="n">
        <x:f>'浓度设置'!S26</x:f>
        <x:v>153318.30499999996</x:v>
      </x:c>
      <x:c r="AQ346" s="9" t="n">
        <x:f>'浓度设置'!S29</x:f>
        <x:v>312.7970588235294</x:v>
      </x:c>
      <x:c r="AR346" s="9" t="n">
        <x:f>'浓度设置'!S30</x:f>
        <x:v>104175.5097553192</x:v>
      </x:c>
      <x:c r="AS346" s="9" t="n">
        <x:f>'浓度设置'!S35</x:f>
        <x:v>405974.90656785714</x:v>
      </x:c>
    </x:row>
    <x:row r="347" ht="24" customHeight="1">
      <x:c r="A347" s="3" t="str">
        <x:f>'350配方'!A347</x:f>
        <x:v>V012</x:v>
      </x:c>
      <x:c r="B347" s="3" t="str">
        <x:f>'350配方'!B347</x:f>
        <x:v>留出验证</x:v>
      </x:c>
      <x:c r="C347" s="3" t="n">
        <x:f>IF(B347="拟合",1,0)</x:f>
        <x:v>0</x:v>
      </x:c>
      <x:c r="D347" s="3" t="n">
        <x:f>'350配方'!AC347</x:f>
        <x:v>4</x:v>
      </x:c>
      <x:c r="E347" s="9" t="n">
        <x:f>SUMIFS('350配方'!$M347:$P347,'350配方'!$Y347:$AB347,7)</x:f>
        <x:v>0</x:v>
      </x:c>
      <x:c r="F347" s="9" t="n">
        <x:f>SUMIFS('350配方'!$M347:$P347,'350配方'!$Y347:$AB347,11)</x:f>
        <x:v>0</x:v>
      </x:c>
      <x:c r="G347" s="9" t="n">
        <x:f>SUMIFS('350配方'!$M347:$P347,'350配方'!$Y347:$AB347,18)</x:f>
        <x:v>0</x:v>
      </x:c>
      <x:c r="H347" s="9" t="n">
        <x:f>SUMIFS('350配方'!$M347:$P347,'350配方'!$Y347:$AB347,32)</x:f>
        <x:v>0</x:v>
      </x:c>
      <x:c r="I347" s="9" t="n">
        <x:f>SUMIFS('350配方'!$M347:$P347,'350配方'!$Y347:$AB347,40)</x:f>
        <x:v>0</x:v>
      </x:c>
      <x:c r="J347" s="9" t="n">
        <x:f>SUMIFS('350配方'!$M347:$P347,'350配方'!$Y347:$AB347,52)</x:f>
        <x:v>0</x:v>
      </x:c>
      <x:c r="K347" s="9" t="n">
        <x:f>SUMIFS('350配方'!$M347:$P347,'350配方'!$Y347:$AB347,53)</x:f>
        <x:v>0</x:v>
      </x:c>
      <x:c r="L347" s="9" t="n">
        <x:f>SUMIFS('350配方'!$M347:$P347,'350配方'!$Y347:$AB347,56)</x:f>
        <x:v>0</x:v>
      </x:c>
      <x:c r="M347" s="9" t="n">
        <x:f>SUMIFS('350配方'!$M347:$P347,'350配方'!$Y347:$AB347,58)</x:f>
        <x:v>0</x:v>
      </x:c>
      <x:c r="N347" s="9" t="n">
        <x:f>SUMIFS('350配方'!$M347:$P347,'350配方'!$Y347:$AB347,61)</x:f>
        <x:v>0</x:v>
      </x:c>
      <x:c r="O347" s="9" t="n">
        <x:f>SUMIFS('350配方'!$M347:$P347,'350配方'!$Y347:$AB347,69)</x:f>
        <x:v>0</x:v>
      </x:c>
      <x:c r="P347" s="9" t="n">
        <x:f>SUMIFS('350配方'!$M347:$P347,'350配方'!$Y347:$AB347,75)</x:f>
        <x:v>331.2476415010377</x:v>
      </x:c>
      <x:c r="Q347" s="9" t="n">
        <x:f>SUMIFS('350配方'!$M347:$P347,'350配方'!$Y347:$AB347,79)</x:f>
        <x:v>0</x:v>
      </x:c>
      <x:c r="R347" s="9" t="n">
        <x:f>SUMIFS('350配方'!$M347:$P347,'350配方'!$Y347:$AB347,90)</x:f>
        <x:v>0</x:v>
      </x:c>
      <x:c r="S347" s="9" t="n">
        <x:f>SUMIFS('350配方'!$M347:$P347,'350配方'!$Y347:$AB347,105)</x:f>
        <x:v>0.05</x:v>
      </x:c>
      <x:c r="T347" s="9" t="n">
        <x:f>SUMIFS('350配方'!$M347:$P347,'350配方'!$Y347:$AB347,111)</x:f>
        <x:v>0</x:v>
      </x:c>
      <x:c r="U347" s="9" t="n">
        <x:f>SUMIFS('350配方'!$M347:$P347,'350配方'!$Y347:$AB347,114)</x:f>
        <x:v>0</x:v>
      </x:c>
      <x:c r="V347" s="9" t="n">
        <x:f>SUMIFS('350配方'!$M347:$P347,'350配方'!$Y347:$AB347,115)</x:f>
        <x:v>0</x:v>
      </x:c>
      <x:c r="W347" s="9" t="n">
        <x:f>SUMIFS('350配方'!$M347:$P347,'350配方'!$Y347:$AB347,117)</x:f>
        <x:v>0</x:v>
      </x:c>
      <x:c r="X347" s="9" t="n">
        <x:f>SUMIFS('350配方'!$M347:$P347,'350配方'!$Y347:$AB347,126)</x:f>
        <x:v>0</x:v>
      </x:c>
      <x:c r="Y347" s="9" t="n">
        <x:f>SUMIFS('350配方'!$M347:$P347,'350配方'!$Y347:$AB347,136)</x:f>
        <x:v>0</x:v>
      </x:c>
      <x:c r="Z347" s="9" t="n">
        <x:f>SUMIFS('350配方'!$M347:$P347,'350配方'!$Y347:$AB347,141)</x:f>
        <x:v>1039840</x:v>
      </x:c>
      <x:c r="AA347" s="9" t="n">
        <x:f>SUMIFS('350配方'!$M347:$P347,'350配方'!$Y347:$AB347,152)</x:f>
        <x:v>0</x:v>
      </x:c>
      <x:c r="AB347" s="9" t="n">
        <x:f>SUMIFS('350配方'!$M347:$P347,'350配方'!$Y347:$AB347,165)</x:f>
        <x:v>0</x:v>
      </x:c>
      <x:c r="AC347" s="9" t="n">
        <x:f>SUMIFS('350配方'!$M347:$P347,'350配方'!$Y347:$AB347,186)</x:f>
        <x:v>1.56</x:v>
      </x:c>
      <x:c r="AD347" s="9" t="n">
        <x:f>SUMIFS('350配方'!$M347:$P347,'350配方'!$Y347:$AB347,207)</x:f>
        <x:v>0</x:v>
      </x:c>
      <x:c r="AE347" s="9" t="n">
        <x:f>SUMIFS('350配方'!$M347:$P347,'350配方'!$Y347:$AB347,209)</x:f>
        <x:v>0</x:v>
      </x:c>
      <x:c r="AF347" s="9" t="n">
        <x:f>SUMIFS('350配方'!$M347:$P347,'350配方'!$Y347:$AB347,227)</x:f>
        <x:v>0</x:v>
      </x:c>
      <x:c r="AG347" s="9" t="n">
        <x:f>SUMIFS('350配方'!$M347:$P347,'350配方'!$Y347:$AB347,232)</x:f>
        <x:v>0</x:v>
      </x:c>
      <x:c r="AH347" s="9" t="n">
        <x:f>SUMIFS('350配方'!$M347:$P347,'350配方'!$Y347:$AB347,255)</x:f>
        <x:v>0</x:v>
      </x:c>
      <x:c r="AI347" s="9" t="n">
        <x:f>'浓度设置'!S6</x:f>
        <x:v>219125.9626344086</x:v>
      </x:c>
      <x:c r="AJ347" s="9" t="n">
        <x:f>'浓度设置'!S8</x:f>
        <x:v>92796.92267241378</x:v>
      </x:c>
      <x:c r="AK347" s="9" t="n">
        <x:f>'浓度设置'!S10</x:f>
        <x:v>30556.797802197798</x:v>
      </x:c>
      <x:c r="AL347" s="9" t="n">
        <x:f>'浓度设置'!S12</x:f>
        <x:v>1735.828970588235</x:v>
      </x:c>
      <x:c r="AM347" s="9" t="n">
        <x:f>'浓度设置'!S15</x:f>
        <x:v>7385.813644067793</x:v>
      </x:c>
      <x:c r="AN347" s="9" t="n">
        <x:f>'浓度设置'!S19</x:f>
        <x:v>27722.03097701148</x:v>
      </x:c>
      <x:c r="AO347" s="9" t="n">
        <x:f>'浓度设置'!S22</x:f>
        <x:v>44345.55047619048</x:v>
      </x:c>
      <x:c r="AP347" s="9" t="n">
        <x:f>'浓度设置'!S26</x:f>
        <x:v>153318.30499999996</x:v>
      </x:c>
      <x:c r="AQ347" s="9" t="n">
        <x:f>'浓度设置'!S29</x:f>
        <x:v>312.7970588235294</x:v>
      </x:c>
      <x:c r="AR347" s="9" t="n">
        <x:f>'浓度设置'!S30</x:f>
        <x:v>104175.5097553192</x:v>
      </x:c>
      <x:c r="AS347" s="9" t="n">
        <x:f>'浓度设置'!S35</x:f>
        <x:v>405974.90656785714</x:v>
      </x:c>
    </x:row>
    <x:row r="348" ht="24" customHeight="1">
      <x:c r="A348" s="3" t="str">
        <x:f>'350配方'!A348</x:f>
        <x:v>V013</x:v>
      </x:c>
      <x:c r="B348" s="3" t="str">
        <x:f>'350配方'!B348</x:f>
        <x:v>留出验证</x:v>
      </x:c>
      <x:c r="C348" s="3" t="n">
        <x:f>IF(B348="拟合",1,0)</x:f>
        <x:v>0</x:v>
      </x:c>
      <x:c r="D348" s="3" t="n">
        <x:f>'350配方'!AC348</x:f>
        <x:v>4</x:v>
      </x:c>
      <x:c r="E348" s="9" t="n">
        <x:f>SUMIFS('350配方'!$M348:$P348,'350配方'!$Y348:$AB348,7)</x:f>
        <x:v>0</x:v>
      </x:c>
      <x:c r="F348" s="9" t="n">
        <x:f>SUMIFS('350配方'!$M348:$P348,'350配方'!$Y348:$AB348,11)</x:f>
        <x:v>0</x:v>
      </x:c>
      <x:c r="G348" s="9" t="n">
        <x:f>SUMIFS('350配方'!$M348:$P348,'350配方'!$Y348:$AB348,18)</x:f>
        <x:v>0</x:v>
      </x:c>
      <x:c r="H348" s="9" t="n">
        <x:f>SUMIFS('350配方'!$M348:$P348,'350配方'!$Y348:$AB348,32)</x:f>
        <x:v>0</x:v>
      </x:c>
      <x:c r="I348" s="9" t="n">
        <x:f>SUMIFS('350配方'!$M348:$P348,'350配方'!$Y348:$AB348,40)</x:f>
        <x:v>0</x:v>
      </x:c>
      <x:c r="J348" s="9" t="n">
        <x:f>SUMIFS('350配方'!$M348:$P348,'350配方'!$Y348:$AB348,52)</x:f>
        <x:v>0</x:v>
      </x:c>
      <x:c r="K348" s="9" t="n">
        <x:f>SUMIFS('350配方'!$M348:$P348,'350配方'!$Y348:$AB348,53)</x:f>
        <x:v>0</x:v>
      </x:c>
      <x:c r="L348" s="9" t="n">
        <x:f>SUMIFS('350配方'!$M348:$P348,'350配方'!$Y348:$AB348,56)</x:f>
        <x:v>0</x:v>
      </x:c>
      <x:c r="M348" s="9" t="n">
        <x:f>SUMIFS('350配方'!$M348:$P348,'350配方'!$Y348:$AB348,58)</x:f>
        <x:v>0</x:v>
      </x:c>
      <x:c r="N348" s="9" t="n">
        <x:f>SUMIFS('350配方'!$M348:$P348,'350配方'!$Y348:$AB348,61)</x:f>
        <x:v>0</x:v>
      </x:c>
      <x:c r="O348" s="9" t="n">
        <x:f>SUMIFS('350配方'!$M348:$P348,'350配方'!$Y348:$AB348,69)</x:f>
        <x:v>0</x:v>
      </x:c>
      <x:c r="P348" s="9" t="n">
        <x:f>SUMIFS('350配方'!$M348:$P348,'350配方'!$Y348:$AB348,75)</x:f>
        <x:v>0</x:v>
      </x:c>
      <x:c r="Q348" s="9" t="n">
        <x:f>SUMIFS('350配方'!$M348:$P348,'350配方'!$Y348:$AB348,79)</x:f>
        <x:v>0</x:v>
      </x:c>
      <x:c r="R348" s="9" t="n">
        <x:f>SUMIFS('350配方'!$M348:$P348,'350配方'!$Y348:$AB348,90)</x:f>
        <x:v>0</x:v>
      </x:c>
      <x:c r="S348" s="9" t="n">
        <x:f>SUMIFS('350配方'!$M348:$P348,'350配方'!$Y348:$AB348,105)</x:f>
        <x:v>0</x:v>
      </x:c>
      <x:c r="T348" s="9" t="n">
        <x:f>SUMIFS('350配方'!$M348:$P348,'350配方'!$Y348:$AB348,111)</x:f>
        <x:v>0</x:v>
      </x:c>
      <x:c r="U348" s="9" t="n">
        <x:f>SUMIFS('350配方'!$M348:$P348,'350配方'!$Y348:$AB348,114)</x:f>
        <x:v>0</x:v>
      </x:c>
      <x:c r="V348" s="9" t="n">
        <x:f>SUMIFS('350配方'!$M348:$P348,'350配方'!$Y348:$AB348,115)</x:f>
        <x:v>0</x:v>
      </x:c>
      <x:c r="W348" s="9" t="n">
        <x:f>SUMIFS('350配方'!$M348:$P348,'350配方'!$Y348:$AB348,117)</x:f>
        <x:v>1.875</x:v>
      </x:c>
      <x:c r="X348" s="9" t="n">
        <x:f>SUMIFS('350配方'!$M348:$P348,'350配方'!$Y348:$AB348,126)</x:f>
        <x:v>1815.6539083757125</x:v>
      </x:c>
      <x:c r="Y348" s="9" t="n">
        <x:f>SUMIFS('350配方'!$M348:$P348,'350配方'!$Y348:$AB348,136)</x:f>
        <x:v>0</x:v>
      </x:c>
      <x:c r="Z348" s="9" t="n">
        <x:f>SUMIFS('350配方'!$M348:$P348,'350配方'!$Y348:$AB348,141)</x:f>
        <x:v>1512.497272724814</x:v>
      </x:c>
      <x:c r="AA348" s="9" t="n">
        <x:f>SUMIFS('350配方'!$M348:$P348,'350配方'!$Y348:$AB348,152)</x:f>
        <x:v>0</x:v>
      </x:c>
      <x:c r="AB348" s="9" t="n">
        <x:f>SUMIFS('350配方'!$M348:$P348,'350配方'!$Y348:$AB348,165)</x:f>
        <x:v>0</x:v>
      </x:c>
      <x:c r="AC348" s="9" t="n">
        <x:f>SUMIFS('350配方'!$M348:$P348,'350配方'!$Y348:$AB348,186)</x:f>
        <x:v>0</x:v>
      </x:c>
      <x:c r="AD348" s="9" t="n">
        <x:f>SUMIFS('350配方'!$M348:$P348,'350配方'!$Y348:$AB348,207)</x:f>
        <x:v>1</x:v>
      </x:c>
      <x:c r="AE348" s="9" t="n">
        <x:f>SUMIFS('350配方'!$M348:$P348,'350配方'!$Y348:$AB348,209)</x:f>
        <x:v>0</x:v>
      </x:c>
      <x:c r="AF348" s="9" t="n">
        <x:f>SUMIFS('350配方'!$M348:$P348,'350配方'!$Y348:$AB348,227)</x:f>
        <x:v>0</x:v>
      </x:c>
      <x:c r="AG348" s="9" t="n">
        <x:f>SUMIFS('350配方'!$M348:$P348,'350配方'!$Y348:$AB348,232)</x:f>
        <x:v>0</x:v>
      </x:c>
      <x:c r="AH348" s="9" t="n">
        <x:f>SUMIFS('350配方'!$M348:$P348,'350配方'!$Y348:$AB348,255)</x:f>
        <x:v>0</x:v>
      </x:c>
      <x:c r="AI348" s="9" t="n">
        <x:f>'浓度设置'!S6</x:f>
        <x:v>219125.9626344086</x:v>
      </x:c>
      <x:c r="AJ348" s="9" t="n">
        <x:f>'浓度设置'!S8</x:f>
        <x:v>92796.92267241378</x:v>
      </x:c>
      <x:c r="AK348" s="9" t="n">
        <x:f>'浓度设置'!S10</x:f>
        <x:v>30556.797802197798</x:v>
      </x:c>
      <x:c r="AL348" s="9" t="n">
        <x:f>'浓度设置'!S12</x:f>
        <x:v>1735.828970588235</x:v>
      </x:c>
      <x:c r="AM348" s="9" t="n">
        <x:f>'浓度设置'!S15</x:f>
        <x:v>7385.813644067793</x:v>
      </x:c>
      <x:c r="AN348" s="9" t="n">
        <x:f>'浓度设置'!S19</x:f>
        <x:v>27722.03097701148</x:v>
      </x:c>
      <x:c r="AO348" s="9" t="n">
        <x:f>'浓度设置'!S22</x:f>
        <x:v>44345.55047619048</x:v>
      </x:c>
      <x:c r="AP348" s="9" t="n">
        <x:f>'浓度设置'!S26</x:f>
        <x:v>153318.30499999996</x:v>
      </x:c>
      <x:c r="AQ348" s="9" t="n">
        <x:f>'浓度设置'!S29</x:f>
        <x:v>312.7970588235294</x:v>
      </x:c>
      <x:c r="AR348" s="9" t="n">
        <x:f>'浓度设置'!S30</x:f>
        <x:v>104175.5097553192</x:v>
      </x:c>
      <x:c r="AS348" s="9" t="n">
        <x:f>'浓度设置'!S35</x:f>
        <x:v>405974.90656785714</x:v>
      </x:c>
    </x:row>
    <x:row r="349" ht="24" customHeight="1">
      <x:c r="A349" s="3" t="str">
        <x:f>'350配方'!A349</x:f>
        <x:v>V014</x:v>
      </x:c>
      <x:c r="B349" s="3" t="str">
        <x:f>'350配方'!B349</x:f>
        <x:v>留出验证</x:v>
      </x:c>
      <x:c r="C349" s="3" t="n">
        <x:f>IF(B349="拟合",1,0)</x:f>
        <x:v>0</x:v>
      </x:c>
      <x:c r="D349" s="3" t="n">
        <x:f>'350配方'!AC349</x:f>
        <x:v>4</x:v>
      </x:c>
      <x:c r="E349" s="9" t="n">
        <x:f>SUMIFS('350配方'!$M349:$P349,'350配方'!$Y349:$AB349,7)</x:f>
        <x:v>0</x:v>
      </x:c>
      <x:c r="F349" s="9" t="n">
        <x:f>SUMIFS('350配方'!$M349:$P349,'350配方'!$Y349:$AB349,11)</x:f>
        <x:v>0</x:v>
      </x:c>
      <x:c r="G349" s="9" t="n">
        <x:f>SUMIFS('350配方'!$M349:$P349,'350配方'!$Y349:$AB349,18)</x:f>
        <x:v>0</x:v>
      </x:c>
      <x:c r="H349" s="9" t="n">
        <x:f>SUMIFS('350配方'!$M349:$P349,'350配方'!$Y349:$AB349,32)</x:f>
        <x:v>0</x:v>
      </x:c>
      <x:c r="I349" s="9" t="n">
        <x:f>SUMIFS('350配方'!$M349:$P349,'350配方'!$Y349:$AB349,40)</x:f>
        <x:v>0</x:v>
      </x:c>
      <x:c r="J349" s="9" t="n">
        <x:f>SUMIFS('350配方'!$M349:$P349,'350配方'!$Y349:$AB349,52)</x:f>
        <x:v>0</x:v>
      </x:c>
      <x:c r="K349" s="9" t="n">
        <x:f>SUMIFS('350配方'!$M349:$P349,'350配方'!$Y349:$AB349,53)</x:f>
        <x:v>0</x:v>
      </x:c>
      <x:c r="L349" s="9" t="n">
        <x:f>SUMIFS('350配方'!$M349:$P349,'350配方'!$Y349:$AB349,56)</x:f>
        <x:v>1041.8500000000001</x:v>
      </x:c>
      <x:c r="M349" s="9" t="n">
        <x:f>SUMIFS('350配方'!$M349:$P349,'350配方'!$Y349:$AB349,58)</x:f>
        <x:v>0</x:v>
      </x:c>
      <x:c r="N349" s="9" t="n">
        <x:f>SUMIFS('350配方'!$M349:$P349,'350配方'!$Y349:$AB349,61)</x:f>
        <x:v>0</x:v>
      </x:c>
      <x:c r="O349" s="9" t="n">
        <x:f>SUMIFS('350配方'!$M349:$P349,'350配方'!$Y349:$AB349,69)</x:f>
        <x:v>0</x:v>
      </x:c>
      <x:c r="P349" s="9" t="n">
        <x:f>SUMIFS('350配方'!$M349:$P349,'350配方'!$Y349:$AB349,75)</x:f>
        <x:v>0</x:v>
      </x:c>
      <x:c r="Q349" s="9" t="n">
        <x:f>SUMIFS('350配方'!$M349:$P349,'350配方'!$Y349:$AB349,79)</x:f>
        <x:v>56115</x:v>
      </x:c>
      <x:c r="R349" s="9" t="n">
        <x:f>SUMIFS('350配方'!$M349:$P349,'350配方'!$Y349:$AB349,90)</x:f>
        <x:v>0</x:v>
      </x:c>
      <x:c r="S349" s="9" t="n">
        <x:f>SUMIFS('350配方'!$M349:$P349,'350配方'!$Y349:$AB349,105)</x:f>
        <x:v>0</x:v>
      </x:c>
      <x:c r="T349" s="9" t="n">
        <x:f>SUMIFS('350配方'!$M349:$P349,'350配方'!$Y349:$AB349,111)</x:f>
        <x:v>0</x:v>
      </x:c>
      <x:c r="U349" s="9" t="n">
        <x:f>SUMIFS('350配方'!$M349:$P349,'350配方'!$Y349:$AB349,114)</x:f>
        <x:v>0</x:v>
      </x:c>
      <x:c r="V349" s="9" t="n">
        <x:f>SUMIFS('350配方'!$M349:$P349,'350配方'!$Y349:$AB349,115)</x:f>
        <x:v>6516</x:v>
      </x:c>
      <x:c r="W349" s="9" t="n">
        <x:f>SUMIFS('350配方'!$M349:$P349,'350配方'!$Y349:$AB349,117)</x:f>
        <x:v>0</x:v>
      </x:c>
      <x:c r="X349" s="9" t="n">
        <x:f>SUMIFS('350配方'!$M349:$P349,'350配方'!$Y349:$AB349,126)</x:f>
        <x:v>0</x:v>
      </x:c>
      <x:c r="Y349" s="9" t="n">
        <x:f>SUMIFS('350配方'!$M349:$P349,'350配方'!$Y349:$AB349,136)</x:f>
        <x:v>0</x:v>
      </x:c>
      <x:c r="Z349" s="9" t="n">
        <x:f>SUMIFS('350配方'!$M349:$P349,'350配方'!$Y349:$AB349,141)</x:f>
        <x:v>1039840</x:v>
      </x:c>
      <x:c r="AA349" s="9" t="n">
        <x:f>SUMIFS('350配方'!$M349:$P349,'350配方'!$Y349:$AB349,152)</x:f>
        <x:v>0</x:v>
      </x:c>
      <x:c r="AB349" s="9" t="n">
        <x:f>SUMIFS('350配方'!$M349:$P349,'350配方'!$Y349:$AB349,165)</x:f>
        <x:v>0</x:v>
      </x:c>
      <x:c r="AC349" s="9" t="n">
        <x:f>SUMIFS('350配方'!$M349:$P349,'350配方'!$Y349:$AB349,186)</x:f>
        <x:v>0</x:v>
      </x:c>
      <x:c r="AD349" s="9" t="n">
        <x:f>SUMIFS('350配方'!$M349:$P349,'350配方'!$Y349:$AB349,207)</x:f>
        <x:v>0</x:v>
      </x:c>
      <x:c r="AE349" s="9" t="n">
        <x:f>SUMIFS('350配方'!$M349:$P349,'350配方'!$Y349:$AB349,209)</x:f>
        <x:v>0</x:v>
      </x:c>
      <x:c r="AF349" s="9" t="n">
        <x:f>SUMIFS('350配方'!$M349:$P349,'350配方'!$Y349:$AB349,227)</x:f>
        <x:v>0</x:v>
      </x:c>
      <x:c r="AG349" s="9" t="n">
        <x:f>SUMIFS('350配方'!$M349:$P349,'350配方'!$Y349:$AB349,232)</x:f>
        <x:v>0</x:v>
      </x:c>
      <x:c r="AH349" s="9" t="n">
        <x:f>SUMIFS('350配方'!$M349:$P349,'350配方'!$Y349:$AB349,255)</x:f>
        <x:v>0</x:v>
      </x:c>
      <x:c r="AI349" s="9" t="n">
        <x:f>'浓度设置'!S6</x:f>
        <x:v>219125.9626344086</x:v>
      </x:c>
      <x:c r="AJ349" s="9" t="n">
        <x:f>'浓度设置'!S8</x:f>
        <x:v>92796.92267241378</x:v>
      </x:c>
      <x:c r="AK349" s="9" t="n">
        <x:f>'浓度设置'!S10</x:f>
        <x:v>30556.797802197798</x:v>
      </x:c>
      <x:c r="AL349" s="9" t="n">
        <x:f>'浓度设置'!S12</x:f>
        <x:v>1735.828970588235</x:v>
      </x:c>
      <x:c r="AM349" s="9" t="n">
        <x:f>'浓度设置'!S15</x:f>
        <x:v>7385.813644067793</x:v>
      </x:c>
      <x:c r="AN349" s="9" t="n">
        <x:f>'浓度设置'!S19</x:f>
        <x:v>27722.03097701148</x:v>
      </x:c>
      <x:c r="AO349" s="9" t="n">
        <x:f>'浓度设置'!S22</x:f>
        <x:v>44345.55047619048</x:v>
      </x:c>
      <x:c r="AP349" s="9" t="n">
        <x:f>'浓度设置'!S26</x:f>
        <x:v>153318.30499999996</x:v>
      </x:c>
      <x:c r="AQ349" s="9" t="n">
        <x:f>'浓度设置'!S29</x:f>
        <x:v>312.7970588235294</x:v>
      </x:c>
      <x:c r="AR349" s="9" t="n">
        <x:f>'浓度设置'!S30</x:f>
        <x:v>104175.5097553192</x:v>
      </x:c>
      <x:c r="AS349" s="9" t="n">
        <x:f>'浓度设置'!S35</x:f>
        <x:v>405974.90656785714</x:v>
      </x:c>
    </x:row>
    <x:row r="350" ht="24" customHeight="1">
      <x:c r="A350" s="3" t="str">
        <x:f>'350配方'!A350</x:f>
        <x:v>V015</x:v>
      </x:c>
      <x:c r="B350" s="3" t="str">
        <x:f>'350配方'!B350</x:f>
        <x:v>留出验证</x:v>
      </x:c>
      <x:c r="C350" s="3" t="n">
        <x:f>IF(B350="拟合",1,0)</x:f>
        <x:v>0</x:v>
      </x:c>
      <x:c r="D350" s="3" t="n">
        <x:f>'350配方'!AC350</x:f>
        <x:v>4</x:v>
      </x:c>
      <x:c r="E350" s="9" t="n">
        <x:f>SUMIFS('350配方'!$M350:$P350,'350配方'!$Y350:$AB350,7)</x:f>
        <x:v>0</x:v>
      </x:c>
      <x:c r="F350" s="9" t="n">
        <x:f>SUMIFS('350配方'!$M350:$P350,'350配方'!$Y350:$AB350,11)</x:f>
        <x:v>0</x:v>
      </x:c>
      <x:c r="G350" s="9" t="n">
        <x:f>SUMIFS('350配方'!$M350:$P350,'350配方'!$Y350:$AB350,18)</x:f>
        <x:v>0</x:v>
      </x:c>
      <x:c r="H350" s="9" t="n">
        <x:f>SUMIFS('350配方'!$M350:$P350,'350配方'!$Y350:$AB350,32)</x:f>
        <x:v>0</x:v>
      </x:c>
      <x:c r="I350" s="9" t="n">
        <x:f>SUMIFS('350配方'!$M350:$P350,'350配方'!$Y350:$AB350,40)</x:f>
        <x:v>0</x:v>
      </x:c>
      <x:c r="J350" s="9" t="n">
        <x:f>SUMIFS('350配方'!$M350:$P350,'350配方'!$Y350:$AB350,52)</x:f>
        <x:v>0</x:v>
      </x:c>
      <x:c r="K350" s="9" t="n">
        <x:f>SUMIFS('350配方'!$M350:$P350,'350配方'!$Y350:$AB350,53)</x:f>
        <x:v>0</x:v>
      </x:c>
      <x:c r="L350" s="9" t="n">
        <x:f>SUMIFS('350配方'!$M350:$P350,'350配方'!$Y350:$AB350,56)</x:f>
        <x:v>0</x:v>
      </x:c>
      <x:c r="M350" s="9" t="n">
        <x:f>SUMIFS('350配方'!$M350:$P350,'350配方'!$Y350:$AB350,58)</x:f>
        <x:v>0</x:v>
      </x:c>
      <x:c r="N350" s="9" t="n">
        <x:f>SUMIFS('350配方'!$M350:$P350,'350配方'!$Y350:$AB350,61)</x:f>
        <x:v>0</x:v>
      </x:c>
      <x:c r="O350" s="9" t="n">
        <x:f>SUMIFS('350配方'!$M350:$P350,'350配方'!$Y350:$AB350,69)</x:f>
        <x:v>0.83</x:v>
      </x:c>
      <x:c r="P350" s="9" t="n">
        <x:f>SUMIFS('350配方'!$M350:$P350,'350配方'!$Y350:$AB350,75)</x:f>
        <x:v>0</x:v>
      </x:c>
      <x:c r="Q350" s="9" t="n">
        <x:f>SUMIFS('350配方'!$M350:$P350,'350配方'!$Y350:$AB350,79)</x:f>
        <x:v>0</x:v>
      </x:c>
      <x:c r="R350" s="9" t="n">
        <x:f>SUMIFS('350配方'!$M350:$P350,'350配方'!$Y350:$AB350,90)</x:f>
        <x:v>0</x:v>
      </x:c>
      <x:c r="S350" s="9" t="n">
        <x:f>SUMIFS('350配方'!$M350:$P350,'350配方'!$Y350:$AB350,105)</x:f>
        <x:v>0</x:v>
      </x:c>
      <x:c r="T350" s="9" t="n">
        <x:f>SUMIFS('350配方'!$M350:$P350,'350配方'!$Y350:$AB350,111)</x:f>
        <x:v>0</x:v>
      </x:c>
      <x:c r="U350" s="9" t="n">
        <x:f>SUMIFS('350配方'!$M350:$P350,'350配方'!$Y350:$AB350,114)</x:f>
        <x:v>47100</x:v>
      </x:c>
      <x:c r="V350" s="9" t="n">
        <x:f>SUMIFS('350配方'!$M350:$P350,'350配方'!$Y350:$AB350,115)</x:f>
        <x:v>0</x:v>
      </x:c>
      <x:c r="W350" s="9" t="n">
        <x:f>SUMIFS('350配方'!$M350:$P350,'350配方'!$Y350:$AB350,117)</x:f>
        <x:v>0</x:v>
      </x:c>
      <x:c r="X350" s="9" t="n">
        <x:f>SUMIFS('350配方'!$M350:$P350,'350配方'!$Y350:$AB350,126)</x:f>
        <x:v>1815.6539083757125</x:v>
      </x:c>
      <x:c r="Y350" s="9" t="n">
        <x:f>SUMIFS('350配方'!$M350:$P350,'350配方'!$Y350:$AB350,136)</x:f>
        <x:v>0</x:v>
      </x:c>
      <x:c r="Z350" s="9" t="n">
        <x:f>SUMIFS('350配方'!$M350:$P350,'350配方'!$Y350:$AB350,141)</x:f>
        <x:v>0</x:v>
      </x:c>
      <x:c r="AA350" s="9" t="n">
        <x:f>SUMIFS('350配方'!$M350:$P350,'350配方'!$Y350:$AB350,152)</x:f>
        <x:v>0</x:v>
      </x:c>
      <x:c r="AB350" s="9" t="n">
        <x:f>SUMIFS('350配方'!$M350:$P350,'350配方'!$Y350:$AB350,165)</x:f>
        <x:v>0</x:v>
      </x:c>
      <x:c r="AC350" s="9" t="n">
        <x:f>SUMIFS('350配方'!$M350:$P350,'350配方'!$Y350:$AB350,186)</x:f>
        <x:v>0</x:v>
      </x:c>
      <x:c r="AD350" s="9" t="n">
        <x:f>SUMIFS('350配方'!$M350:$P350,'350配方'!$Y350:$AB350,207)</x:f>
        <x:v>0</x:v>
      </x:c>
      <x:c r="AE350" s="9" t="n">
        <x:f>SUMIFS('350配方'!$M350:$P350,'350配方'!$Y350:$AB350,209)</x:f>
        <x:v>0</x:v>
      </x:c>
      <x:c r="AF350" s="9" t="n">
        <x:f>SUMIFS('350配方'!$M350:$P350,'350配方'!$Y350:$AB350,227)</x:f>
        <x:v>0</x:v>
      </x:c>
      <x:c r="AG350" s="9" t="n">
        <x:f>SUMIFS('350配方'!$M350:$P350,'350配方'!$Y350:$AB350,232)</x:f>
        <x:v>0</x:v>
      </x:c>
      <x:c r="AH350" s="9" t="n">
        <x:f>SUMIFS('350配方'!$M350:$P350,'350配方'!$Y350:$AB350,255)</x:f>
        <x:v>1.5</x:v>
      </x:c>
      <x:c r="AI350" s="9" t="n">
        <x:f>'浓度设置'!S6</x:f>
        <x:v>219125.9626344086</x:v>
      </x:c>
      <x:c r="AJ350" s="9" t="n">
        <x:f>'浓度设置'!S8</x:f>
        <x:v>92796.92267241378</x:v>
      </x:c>
      <x:c r="AK350" s="9" t="n">
        <x:f>'浓度设置'!S10</x:f>
        <x:v>30556.797802197798</x:v>
      </x:c>
      <x:c r="AL350" s="9" t="n">
        <x:f>'浓度设置'!S12</x:f>
        <x:v>1735.828970588235</x:v>
      </x:c>
      <x:c r="AM350" s="9" t="n">
        <x:f>'浓度设置'!S15</x:f>
        <x:v>7385.813644067793</x:v>
      </x:c>
      <x:c r="AN350" s="9" t="n">
        <x:f>'浓度设置'!S19</x:f>
        <x:v>27722.03097701148</x:v>
      </x:c>
      <x:c r="AO350" s="9" t="n">
        <x:f>'浓度设置'!S22</x:f>
        <x:v>44345.55047619048</x:v>
      </x:c>
      <x:c r="AP350" s="9" t="n">
        <x:f>'浓度设置'!S26</x:f>
        <x:v>153318.30499999996</x:v>
      </x:c>
      <x:c r="AQ350" s="9" t="n">
        <x:f>'浓度设置'!S29</x:f>
        <x:v>312.7970588235294</x:v>
      </x:c>
      <x:c r="AR350" s="9" t="n">
        <x:f>'浓度设置'!S30</x:f>
        <x:v>104175.5097553192</x:v>
      </x:c>
      <x:c r="AS350" s="9" t="n">
        <x:f>'浓度设置'!S35</x:f>
        <x:v>405974.90656785714</x:v>
      </x:c>
    </x:row>
    <x:row r="351" ht="24" customHeight="1">
      <x:c r="A351" s="3" t="str">
        <x:f>'350配方'!A351</x:f>
        <x:v>V016</x:v>
      </x:c>
      <x:c r="B351" s="3" t="str">
        <x:f>'350配方'!B351</x:f>
        <x:v>留出验证</x:v>
      </x:c>
      <x:c r="C351" s="3" t="n">
        <x:f>IF(B351="拟合",1,0)</x:f>
        <x:v>0</x:v>
      </x:c>
      <x:c r="D351" s="3" t="n">
        <x:f>'350配方'!AC351</x:f>
        <x:v>4</x:v>
      </x:c>
      <x:c r="E351" s="9" t="n">
        <x:f>SUMIFS('350配方'!$M351:$P351,'350配方'!$Y351:$AB351,7)</x:f>
        <x:v>0</x:v>
      </x:c>
      <x:c r="F351" s="9" t="n">
        <x:f>SUMIFS('350配方'!$M351:$P351,'350配方'!$Y351:$AB351,11)</x:f>
        <x:v>1038900</x:v>
      </x:c>
      <x:c r="G351" s="9" t="n">
        <x:f>SUMIFS('350配方'!$M351:$P351,'350配方'!$Y351:$AB351,18)</x:f>
        <x:v>0</x:v>
      </x:c>
      <x:c r="H351" s="9" t="n">
        <x:f>SUMIFS('350配方'!$M351:$P351,'350配方'!$Y351:$AB351,32)</x:f>
        <x:v>0</x:v>
      </x:c>
      <x:c r="I351" s="9" t="n">
        <x:f>SUMIFS('350配方'!$M351:$P351,'350配方'!$Y351:$AB351,40)</x:f>
        <x:v>0</x:v>
      </x:c>
      <x:c r="J351" s="9" t="n">
        <x:f>SUMIFS('350配方'!$M351:$P351,'350配方'!$Y351:$AB351,52)</x:f>
        <x:v>0</x:v>
      </x:c>
      <x:c r="K351" s="9" t="n">
        <x:f>SUMIFS('350配方'!$M351:$P351,'350配方'!$Y351:$AB351,53)</x:f>
        <x:v>0</x:v>
      </x:c>
      <x:c r="L351" s="9" t="n">
        <x:f>SUMIFS('350配方'!$M351:$P351,'350配方'!$Y351:$AB351,56)</x:f>
        <x:v>1041.8500000000001</x:v>
      </x:c>
      <x:c r="M351" s="9" t="n">
        <x:f>SUMIFS('350配方'!$M351:$P351,'350配方'!$Y351:$AB351,58)</x:f>
        <x:v>0</x:v>
      </x:c>
      <x:c r="N351" s="9" t="n">
        <x:f>SUMIFS('350配方'!$M351:$P351,'350配方'!$Y351:$AB351,61)</x:f>
        <x:v>0</x:v>
      </x:c>
      <x:c r="O351" s="9" t="n">
        <x:f>SUMIFS('350配方'!$M351:$P351,'350配方'!$Y351:$AB351,69)</x:f>
        <x:v>0</x:v>
      </x:c>
      <x:c r="P351" s="9" t="n">
        <x:f>SUMIFS('350配方'!$M351:$P351,'350配方'!$Y351:$AB351,75)</x:f>
        <x:v>0</x:v>
      </x:c>
      <x:c r="Q351" s="9" t="n">
        <x:f>SUMIFS('350配方'!$M351:$P351,'350配方'!$Y351:$AB351,79)</x:f>
        <x:v>0</x:v>
      </x:c>
      <x:c r="R351" s="9" t="n">
        <x:f>SUMIFS('350配方'!$M351:$P351,'350配方'!$Y351:$AB351,90)</x:f>
        <x:v>0</x:v>
      </x:c>
      <x:c r="S351" s="9" t="n">
        <x:f>SUMIFS('350配方'!$M351:$P351,'350配方'!$Y351:$AB351,105)</x:f>
        <x:v>0</x:v>
      </x:c>
      <x:c r="T351" s="9" t="n">
        <x:f>SUMIFS('350配方'!$M351:$P351,'350配方'!$Y351:$AB351,111)</x:f>
        <x:v>0</x:v>
      </x:c>
      <x:c r="U351" s="9" t="n">
        <x:f>SUMIFS('350配方'!$M351:$P351,'350配方'!$Y351:$AB351,114)</x:f>
        <x:v>0</x:v>
      </x:c>
      <x:c r="V351" s="9" t="n">
        <x:f>SUMIFS('350配方'!$M351:$P351,'350配方'!$Y351:$AB351,115)</x:f>
        <x:v>0</x:v>
      </x:c>
      <x:c r="W351" s="9" t="n">
        <x:f>SUMIFS('350配方'!$M351:$P351,'350配方'!$Y351:$AB351,117)</x:f>
        <x:v>0</x:v>
      </x:c>
      <x:c r="X351" s="9" t="n">
        <x:f>SUMIFS('350配方'!$M351:$P351,'350配方'!$Y351:$AB351,126)</x:f>
        <x:v>1551340.76</x:v>
      </x:c>
      <x:c r="Y351" s="9" t="n">
        <x:f>SUMIFS('350配方'!$M351:$P351,'350配方'!$Y351:$AB351,136)</x:f>
        <x:v>0</x:v>
      </x:c>
      <x:c r="Z351" s="9" t="n">
        <x:f>SUMIFS('350配方'!$M351:$P351,'350配方'!$Y351:$AB351,141)</x:f>
        <x:v>0</x:v>
      </x:c>
      <x:c r="AA351" s="9" t="n">
        <x:f>SUMIFS('350配方'!$M351:$P351,'350配方'!$Y351:$AB351,152)</x:f>
        <x:v>0</x:v>
      </x:c>
      <x:c r="AB351" s="9" t="n">
        <x:f>SUMIFS('350配方'!$M351:$P351,'350配方'!$Y351:$AB351,165)</x:f>
        <x:v>86300</x:v>
      </x:c>
      <x:c r="AC351" s="9" t="n">
        <x:f>SUMIFS('350配方'!$M351:$P351,'350配方'!$Y351:$AB351,186)</x:f>
        <x:v>0</x:v>
      </x:c>
      <x:c r="AD351" s="9" t="n">
        <x:f>SUMIFS('350配方'!$M351:$P351,'350配方'!$Y351:$AB351,207)</x:f>
        <x:v>0</x:v>
      </x:c>
      <x:c r="AE351" s="9" t="n">
        <x:f>SUMIFS('350配方'!$M351:$P351,'350配方'!$Y351:$AB351,209)</x:f>
        <x:v>0</x:v>
      </x:c>
      <x:c r="AF351" s="9" t="n">
        <x:f>SUMIFS('350配方'!$M351:$P351,'350配方'!$Y351:$AB351,227)</x:f>
        <x:v>0</x:v>
      </x:c>
      <x:c r="AG351" s="9" t="n">
        <x:f>SUMIFS('350配方'!$M351:$P351,'350配方'!$Y351:$AB351,232)</x:f>
        <x:v>0</x:v>
      </x:c>
      <x:c r="AH351" s="9" t="n">
        <x:f>SUMIFS('350配方'!$M351:$P351,'350配方'!$Y351:$AB351,255)</x:f>
        <x:v>0</x:v>
      </x:c>
      <x:c r="AI351" s="9" t="n">
        <x:f>'浓度设置'!S6</x:f>
        <x:v>219125.9626344086</x:v>
      </x:c>
      <x:c r="AJ351" s="9" t="n">
        <x:f>'浓度设置'!S8</x:f>
        <x:v>92796.92267241378</x:v>
      </x:c>
      <x:c r="AK351" s="9" t="n">
        <x:f>'浓度设置'!S10</x:f>
        <x:v>30556.797802197798</x:v>
      </x:c>
      <x:c r="AL351" s="9" t="n">
        <x:f>'浓度设置'!S12</x:f>
        <x:v>1735.828970588235</x:v>
      </x:c>
      <x:c r="AM351" s="9" t="n">
        <x:f>'浓度设置'!S15</x:f>
        <x:v>7385.813644067793</x:v>
      </x:c>
      <x:c r="AN351" s="9" t="n">
        <x:f>'浓度设置'!S19</x:f>
        <x:v>27722.03097701148</x:v>
      </x:c>
      <x:c r="AO351" s="9" t="n">
        <x:f>'浓度设置'!S22</x:f>
        <x:v>44345.55047619048</x:v>
      </x:c>
      <x:c r="AP351" s="9" t="n">
        <x:f>'浓度设置'!S26</x:f>
        <x:v>153318.30499999996</x:v>
      </x:c>
      <x:c r="AQ351" s="9" t="n">
        <x:f>'浓度设置'!S29</x:f>
        <x:v>312.7970588235294</x:v>
      </x:c>
      <x:c r="AR351" s="9" t="n">
        <x:f>'浓度设置'!S30</x:f>
        <x:v>104175.5097553192</x:v>
      </x:c>
      <x:c r="AS351" s="9" t="n">
        <x:f>'浓度设置'!S35</x:f>
        <x:v>405974.90656785714</x:v>
      </x:c>
    </x:row>
    <x:row r="352" ht="24" customHeight="1">
      <x:c r="A352" s="3" t="str">
        <x:f>'350配方'!A352</x:f>
        <x:v>V017</x:v>
      </x:c>
      <x:c r="B352" s="3" t="str">
        <x:f>'350配方'!B352</x:f>
        <x:v>留出验证</x:v>
      </x:c>
      <x:c r="C352" s="3" t="n">
        <x:f>IF(B352="拟合",1,0)</x:f>
        <x:v>0</x:v>
      </x:c>
      <x:c r="D352" s="3" t="n">
        <x:f>'350配方'!AC352</x:f>
        <x:v>4</x:v>
      </x:c>
      <x:c r="E352" s="9" t="n">
        <x:f>SUMIFS('350配方'!$M352:$P352,'350配方'!$Y352:$AB352,7)</x:f>
        <x:v>0</x:v>
      </x:c>
      <x:c r="F352" s="9" t="n">
        <x:f>SUMIFS('350配方'!$M352:$P352,'350配方'!$Y352:$AB352,11)</x:f>
        <x:v>0</x:v>
      </x:c>
      <x:c r="G352" s="9" t="n">
        <x:f>SUMIFS('350配方'!$M352:$P352,'350配方'!$Y352:$AB352,18)</x:f>
        <x:v>0</x:v>
      </x:c>
      <x:c r="H352" s="9" t="n">
        <x:f>SUMIFS('350配方'!$M352:$P352,'350配方'!$Y352:$AB352,32)</x:f>
        <x:v>0</x:v>
      </x:c>
      <x:c r="I352" s="9" t="n">
        <x:f>SUMIFS('350配方'!$M352:$P352,'350配方'!$Y352:$AB352,40)</x:f>
        <x:v>0</x:v>
      </x:c>
      <x:c r="J352" s="9" t="n">
        <x:f>SUMIFS('350配方'!$M352:$P352,'350配方'!$Y352:$AB352,52)</x:f>
        <x:v>0</x:v>
      </x:c>
      <x:c r="K352" s="9" t="n">
        <x:f>SUMIFS('350配方'!$M352:$P352,'350配方'!$Y352:$AB352,53)</x:f>
        <x:v>0</x:v>
      </x:c>
      <x:c r="L352" s="9" t="n">
        <x:f>SUMIFS('350配方'!$M352:$P352,'350配方'!$Y352:$AB352,56)</x:f>
        <x:v>0</x:v>
      </x:c>
      <x:c r="M352" s="9" t="n">
        <x:f>SUMIFS('350配方'!$M352:$P352,'350配方'!$Y352:$AB352,58)</x:f>
        <x:v>0</x:v>
      </x:c>
      <x:c r="N352" s="9" t="n">
        <x:f>SUMIFS('350配方'!$M352:$P352,'350配方'!$Y352:$AB352,61)</x:f>
        <x:v>0</x:v>
      </x:c>
      <x:c r="O352" s="9" t="n">
        <x:f>SUMIFS('350配方'!$M352:$P352,'350配方'!$Y352:$AB352,69)</x:f>
        <x:v>12022.2</x:v>
      </x:c>
      <x:c r="P352" s="9" t="n">
        <x:f>SUMIFS('350配方'!$M352:$P352,'350配方'!$Y352:$AB352,75)</x:f>
        <x:v>0</x:v>
      </x:c>
      <x:c r="Q352" s="9" t="n">
        <x:f>SUMIFS('350配方'!$M352:$P352,'350配方'!$Y352:$AB352,79)</x:f>
        <x:v>0</x:v>
      </x:c>
      <x:c r="R352" s="9" t="n">
        <x:f>SUMIFS('350配方'!$M352:$P352,'350配方'!$Y352:$AB352,90)</x:f>
        <x:v>0</x:v>
      </x:c>
      <x:c r="S352" s="9" t="n">
        <x:f>SUMIFS('350配方'!$M352:$P352,'350配方'!$Y352:$AB352,105)</x:f>
        <x:v>0</x:v>
      </x:c>
      <x:c r="T352" s="9" t="n">
        <x:f>SUMIFS('350配方'!$M352:$P352,'350配方'!$Y352:$AB352,111)</x:f>
        <x:v>0</x:v>
      </x:c>
      <x:c r="U352" s="9" t="n">
        <x:f>SUMIFS('350配方'!$M352:$P352,'350配方'!$Y352:$AB352,114)</x:f>
        <x:v>3147.945</x:v>
      </x:c>
      <x:c r="V352" s="9" t="n">
        <x:f>SUMIFS('350配方'!$M352:$P352,'350配方'!$Y352:$AB352,115)</x:f>
        <x:v>0</x:v>
      </x:c>
      <x:c r="W352" s="9" t="n">
        <x:f>SUMIFS('350配方'!$M352:$P352,'350配方'!$Y352:$AB352,117)</x:f>
        <x:v>0</x:v>
      </x:c>
      <x:c r="X352" s="9" t="n">
        <x:f>SUMIFS('350配方'!$M352:$P352,'350配方'!$Y352:$AB352,126)</x:f>
        <x:v>0</x:v>
      </x:c>
      <x:c r="Y352" s="9" t="n">
        <x:f>SUMIFS('350配方'!$M352:$P352,'350配方'!$Y352:$AB352,136)</x:f>
        <x:v>0</x:v>
      </x:c>
      <x:c r="Z352" s="9" t="n">
        <x:f>SUMIFS('350配方'!$M352:$P352,'350配方'!$Y352:$AB352,141)</x:f>
        <x:v>0</x:v>
      </x:c>
      <x:c r="AA352" s="9" t="n">
        <x:f>SUMIFS('350配方'!$M352:$P352,'350配方'!$Y352:$AB352,152)</x:f>
        <x:v>0</x:v>
      </x:c>
      <x:c r="AB352" s="9" t="n">
        <x:f>SUMIFS('350配方'!$M352:$P352,'350配方'!$Y352:$AB352,165)</x:f>
        <x:v>0</x:v>
      </x:c>
      <x:c r="AC352" s="9" t="n">
        <x:f>SUMIFS('350配方'!$M352:$P352,'350配方'!$Y352:$AB352,186)</x:f>
        <x:v>0</x:v>
      </x:c>
      <x:c r="AD352" s="9" t="n">
        <x:f>SUMIFS('350配方'!$M352:$P352,'350配方'!$Y352:$AB352,207)</x:f>
        <x:v>0</x:v>
      </x:c>
      <x:c r="AE352" s="9" t="n">
        <x:f>SUMIFS('350配方'!$M352:$P352,'350配方'!$Y352:$AB352,209)</x:f>
        <x:v>0</x:v>
      </x:c>
      <x:c r="AF352" s="9" t="n">
        <x:f>SUMIFS('350配方'!$M352:$P352,'350配方'!$Y352:$AB352,227)</x:f>
        <x:v>0</x:v>
      </x:c>
      <x:c r="AG352" s="9" t="n">
        <x:f>SUMIFS('350配方'!$M352:$P352,'350配方'!$Y352:$AB352,232)</x:f>
        <x:v>1611</x:v>
      </x:c>
      <x:c r="AH352" s="9" t="n">
        <x:f>SUMIFS('350配方'!$M352:$P352,'350配方'!$Y352:$AB352,255)</x:f>
        <x:v>60.76</x:v>
      </x:c>
      <x:c r="AI352" s="9" t="n">
        <x:f>'浓度设置'!S6</x:f>
        <x:v>219125.9626344086</x:v>
      </x:c>
      <x:c r="AJ352" s="9" t="n">
        <x:f>'浓度设置'!S8</x:f>
        <x:v>92796.92267241378</x:v>
      </x:c>
      <x:c r="AK352" s="9" t="n">
        <x:f>'浓度设置'!S10</x:f>
        <x:v>30556.797802197798</x:v>
      </x:c>
      <x:c r="AL352" s="9" t="n">
        <x:f>'浓度设置'!S12</x:f>
        <x:v>1735.828970588235</x:v>
      </x:c>
      <x:c r="AM352" s="9" t="n">
        <x:f>'浓度设置'!S15</x:f>
        <x:v>7385.813644067793</x:v>
      </x:c>
      <x:c r="AN352" s="9" t="n">
        <x:f>'浓度设置'!S19</x:f>
        <x:v>27722.03097701148</x:v>
      </x:c>
      <x:c r="AO352" s="9" t="n">
        <x:f>'浓度设置'!S22</x:f>
        <x:v>44345.55047619048</x:v>
      </x:c>
      <x:c r="AP352" s="9" t="n">
        <x:f>'浓度设置'!S26</x:f>
        <x:v>153318.30499999996</x:v>
      </x:c>
      <x:c r="AQ352" s="9" t="n">
        <x:f>'浓度设置'!S29</x:f>
        <x:v>312.7970588235294</x:v>
      </x:c>
      <x:c r="AR352" s="9" t="n">
        <x:f>'浓度设置'!S30</x:f>
        <x:v>104175.5097553192</x:v>
      </x:c>
      <x:c r="AS352" s="9" t="n">
        <x:f>'浓度设置'!S35</x:f>
        <x:v>405974.90656785714</x:v>
      </x:c>
    </x:row>
    <x:row r="353" ht="24" customHeight="1">
      <x:c r="A353" s="3" t="str">
        <x:f>'350配方'!A353</x:f>
        <x:v>V018</x:v>
      </x:c>
      <x:c r="B353" s="3" t="str">
        <x:f>'350配方'!B353</x:f>
        <x:v>留出验证</x:v>
      </x:c>
      <x:c r="C353" s="3" t="n">
        <x:f>IF(B353="拟合",1,0)</x:f>
        <x:v>0</x:v>
      </x:c>
      <x:c r="D353" s="3" t="n">
        <x:f>'350配方'!AC353</x:f>
        <x:v>4</x:v>
      </x:c>
      <x:c r="E353" s="9" t="n">
        <x:f>SUMIFS('350配方'!$M353:$P353,'350配方'!$Y353:$AB353,7)</x:f>
        <x:v>173</x:v>
      </x:c>
      <x:c r="F353" s="9" t="n">
        <x:f>SUMIFS('350配方'!$M353:$P353,'350配方'!$Y353:$AB353,11)</x:f>
        <x:v>0</x:v>
      </x:c>
      <x:c r="G353" s="9" t="n">
        <x:f>SUMIFS('350配方'!$M353:$P353,'350配方'!$Y353:$AB353,18)</x:f>
        <x:v>0</x:v>
      </x:c>
      <x:c r="H353" s="9" t="n">
        <x:f>SUMIFS('350配方'!$M353:$P353,'350配方'!$Y353:$AB353,32)</x:f>
        <x:v>0</x:v>
      </x:c>
      <x:c r="I353" s="9" t="n">
        <x:f>SUMIFS('350配方'!$M353:$P353,'350配方'!$Y353:$AB353,40)</x:f>
        <x:v>0</x:v>
      </x:c>
      <x:c r="J353" s="9" t="n">
        <x:f>SUMIFS('350配方'!$M353:$P353,'350配方'!$Y353:$AB353,52)</x:f>
        <x:v>0</x:v>
      </x:c>
      <x:c r="K353" s="9" t="n">
        <x:f>SUMIFS('350配方'!$M353:$P353,'350配方'!$Y353:$AB353,53)</x:f>
        <x:v>0</x:v>
      </x:c>
      <x:c r="L353" s="9" t="n">
        <x:f>SUMIFS('350配方'!$M353:$P353,'350配方'!$Y353:$AB353,56)</x:f>
        <x:v>0</x:v>
      </x:c>
      <x:c r="M353" s="9" t="n">
        <x:f>SUMIFS('350配方'!$M353:$P353,'350配方'!$Y353:$AB353,58)</x:f>
        <x:v>3072.731960324558</x:v>
      </x:c>
      <x:c r="N353" s="9" t="n">
        <x:f>SUMIFS('350配方'!$M353:$P353,'350配方'!$Y353:$AB353,61)</x:f>
        <x:v>0</x:v>
      </x:c>
      <x:c r="O353" s="9" t="n">
        <x:f>SUMIFS('350配方'!$M353:$P353,'350配方'!$Y353:$AB353,69)</x:f>
        <x:v>0</x:v>
      </x:c>
      <x:c r="P353" s="9" t="n">
        <x:f>SUMIFS('350配方'!$M353:$P353,'350配方'!$Y353:$AB353,75)</x:f>
        <x:v>0</x:v>
      </x:c>
      <x:c r="Q353" s="9" t="n">
        <x:f>SUMIFS('350配方'!$M353:$P353,'350配方'!$Y353:$AB353,79)</x:f>
        <x:v>0</x:v>
      </x:c>
      <x:c r="R353" s="9" t="n">
        <x:f>SUMIFS('350配方'!$M353:$P353,'350配方'!$Y353:$AB353,90)</x:f>
        <x:v>0</x:v>
      </x:c>
      <x:c r="S353" s="9" t="n">
        <x:f>SUMIFS('350配方'!$M353:$P353,'350配方'!$Y353:$AB353,105)</x:f>
        <x:v>0</x:v>
      </x:c>
      <x:c r="T353" s="9" t="n">
        <x:f>SUMIFS('350配方'!$M353:$P353,'350配方'!$Y353:$AB353,111)</x:f>
        <x:v>0</x:v>
      </x:c>
      <x:c r="U353" s="9" t="n">
        <x:f>SUMIFS('350配方'!$M353:$P353,'350配方'!$Y353:$AB353,114)</x:f>
        <x:v>0</x:v>
      </x:c>
      <x:c r="V353" s="9" t="n">
        <x:f>SUMIFS('350配方'!$M353:$P353,'350配方'!$Y353:$AB353,115)</x:f>
        <x:v>0</x:v>
      </x:c>
      <x:c r="W353" s="9" t="n">
        <x:f>SUMIFS('350配方'!$M353:$P353,'350配方'!$Y353:$AB353,117)</x:f>
        <x:v>0</x:v>
      </x:c>
      <x:c r="X353" s="9" t="n">
        <x:f>SUMIFS('350配方'!$M353:$P353,'350配方'!$Y353:$AB353,126)</x:f>
        <x:v>0</x:v>
      </x:c>
      <x:c r="Y353" s="9" t="n">
        <x:f>SUMIFS('350配方'!$M353:$P353,'350配方'!$Y353:$AB353,136)</x:f>
        <x:v>0</x:v>
      </x:c>
      <x:c r="Z353" s="9" t="n">
        <x:f>SUMIFS('350配方'!$M353:$P353,'350配方'!$Y353:$AB353,141)</x:f>
        <x:v>2.2</x:v>
      </x:c>
      <x:c r="AA353" s="9" t="n">
        <x:f>SUMIFS('350配方'!$M353:$P353,'350配方'!$Y353:$AB353,152)</x:f>
        <x:v>0</x:v>
      </x:c>
      <x:c r="AB353" s="9" t="n">
        <x:f>SUMIFS('350配方'!$M353:$P353,'350配方'!$Y353:$AB353,165)</x:f>
        <x:v>0</x:v>
      </x:c>
      <x:c r="AC353" s="9" t="n">
        <x:f>SUMIFS('350配方'!$M353:$P353,'350配方'!$Y353:$AB353,186)</x:f>
        <x:v>0</x:v>
      </x:c>
      <x:c r="AD353" s="9" t="n">
        <x:f>SUMIFS('350配方'!$M353:$P353,'350配方'!$Y353:$AB353,207)</x:f>
        <x:v>0</x:v>
      </x:c>
      <x:c r="AE353" s="9" t="n">
        <x:f>SUMIFS('350配方'!$M353:$P353,'350配方'!$Y353:$AB353,209)</x:f>
        <x:v>0</x:v>
      </x:c>
      <x:c r="AF353" s="9" t="n">
        <x:f>SUMIFS('350配方'!$M353:$P353,'350配方'!$Y353:$AB353,227)</x:f>
        <x:v>0</x:v>
      </x:c>
      <x:c r="AG353" s="9" t="n">
        <x:f>SUMIFS('350配方'!$M353:$P353,'350配方'!$Y353:$AB353,232)</x:f>
        <x:v>39.53062104242735</x:v>
      </x:c>
      <x:c r="AH353" s="9" t="n">
        <x:f>SUMIFS('350配方'!$M353:$P353,'350配方'!$Y353:$AB353,255)</x:f>
        <x:v>0</x:v>
      </x:c>
      <x:c r="AI353" s="9" t="n">
        <x:f>'浓度设置'!S6</x:f>
        <x:v>219125.9626344086</x:v>
      </x:c>
      <x:c r="AJ353" s="9" t="n">
        <x:f>'浓度设置'!S8</x:f>
        <x:v>92796.92267241378</x:v>
      </x:c>
      <x:c r="AK353" s="9" t="n">
        <x:f>'浓度设置'!S10</x:f>
        <x:v>30556.797802197798</x:v>
      </x:c>
      <x:c r="AL353" s="9" t="n">
        <x:f>'浓度设置'!S12</x:f>
        <x:v>1735.828970588235</x:v>
      </x:c>
      <x:c r="AM353" s="9" t="n">
        <x:f>'浓度设置'!S15</x:f>
        <x:v>7385.813644067793</x:v>
      </x:c>
      <x:c r="AN353" s="9" t="n">
        <x:f>'浓度设置'!S19</x:f>
        <x:v>27722.03097701148</x:v>
      </x:c>
      <x:c r="AO353" s="9" t="n">
        <x:f>'浓度设置'!S22</x:f>
        <x:v>44345.55047619048</x:v>
      </x:c>
      <x:c r="AP353" s="9" t="n">
        <x:f>'浓度设置'!S26</x:f>
        <x:v>153318.30499999996</x:v>
      </x:c>
      <x:c r="AQ353" s="9" t="n">
        <x:f>'浓度设置'!S29</x:f>
        <x:v>312.7970588235294</x:v>
      </x:c>
      <x:c r="AR353" s="9" t="n">
        <x:f>'浓度设置'!S30</x:f>
        <x:v>104175.5097553192</x:v>
      </x:c>
      <x:c r="AS353" s="9" t="n">
        <x:f>'浓度设置'!S35</x:f>
        <x:v>405974.90656785714</x:v>
      </x:c>
    </x:row>
    <x:row r="354" ht="24" customHeight="1">
      <x:c r="A354" s="3" t="str">
        <x:f>'350配方'!A354</x:f>
        <x:v>V019</x:v>
      </x:c>
      <x:c r="B354" s="3" t="str">
        <x:f>'350配方'!B354</x:f>
        <x:v>留出验证</x:v>
      </x:c>
      <x:c r="C354" s="3" t="n">
        <x:f>IF(B354="拟合",1,0)</x:f>
        <x:v>0</x:v>
      </x:c>
      <x:c r="D354" s="3" t="n">
        <x:f>'350配方'!AC354</x:f>
        <x:v>4</x:v>
      </x:c>
      <x:c r="E354" s="9" t="n">
        <x:f>SUMIFS('350配方'!$M354:$P354,'350配方'!$Y354:$AB354,7)</x:f>
        <x:v>0</x:v>
      </x:c>
      <x:c r="F354" s="9" t="n">
        <x:f>SUMIFS('350配方'!$M354:$P354,'350配方'!$Y354:$AB354,11)</x:f>
        <x:v>1038900</x:v>
      </x:c>
      <x:c r="G354" s="9" t="n">
        <x:f>SUMIFS('350配方'!$M354:$P354,'350配方'!$Y354:$AB354,18)</x:f>
        <x:v>0</x:v>
      </x:c>
      <x:c r="H354" s="9" t="n">
        <x:f>SUMIFS('350配方'!$M354:$P354,'350配方'!$Y354:$AB354,32)</x:f>
        <x:v>836.8360173893091</x:v>
      </x:c>
      <x:c r="I354" s="9" t="n">
        <x:f>SUMIFS('350配方'!$M354:$P354,'350配方'!$Y354:$AB354,40)</x:f>
        <x:v>0</x:v>
      </x:c>
      <x:c r="J354" s="9" t="n">
        <x:f>SUMIFS('350配方'!$M354:$P354,'350配方'!$Y354:$AB354,52)</x:f>
        <x:v>0</x:v>
      </x:c>
      <x:c r="K354" s="9" t="n">
        <x:f>SUMIFS('350配方'!$M354:$P354,'350配方'!$Y354:$AB354,53)</x:f>
        <x:v>0</x:v>
      </x:c>
      <x:c r="L354" s="9" t="n">
        <x:f>SUMIFS('350配方'!$M354:$P354,'350配方'!$Y354:$AB354,56)</x:f>
        <x:v>0</x:v>
      </x:c>
      <x:c r="M354" s="9" t="n">
        <x:f>SUMIFS('350配方'!$M354:$P354,'350配方'!$Y354:$AB354,58)</x:f>
        <x:v>0</x:v>
      </x:c>
      <x:c r="N354" s="9" t="n">
        <x:f>SUMIFS('350配方'!$M354:$P354,'350配方'!$Y354:$AB354,61)</x:f>
        <x:v>0</x:v>
      </x:c>
      <x:c r="O354" s="9" t="n">
        <x:f>SUMIFS('350配方'!$M354:$P354,'350配方'!$Y354:$AB354,69)</x:f>
        <x:v>0</x:v>
      </x:c>
      <x:c r="P354" s="9" t="n">
        <x:f>SUMIFS('350配方'!$M354:$P354,'350配方'!$Y354:$AB354,75)</x:f>
        <x:v>0</x:v>
      </x:c>
      <x:c r="Q354" s="9" t="n">
        <x:f>SUMIFS('350配方'!$M354:$P354,'350配方'!$Y354:$AB354,79)</x:f>
        <x:v>0</x:v>
      </x:c>
      <x:c r="R354" s="9" t="n">
        <x:f>SUMIFS('350配方'!$M354:$P354,'350配方'!$Y354:$AB354,90)</x:f>
        <x:v>0</x:v>
      </x:c>
      <x:c r="S354" s="9" t="n">
        <x:f>SUMIFS('350配方'!$M354:$P354,'350配方'!$Y354:$AB354,105)</x:f>
        <x:v>0</x:v>
      </x:c>
      <x:c r="T354" s="9" t="n">
        <x:f>SUMIFS('350配方'!$M354:$P354,'350配方'!$Y354:$AB354,111)</x:f>
        <x:v>0</x:v>
      </x:c>
      <x:c r="U354" s="9" t="n">
        <x:f>SUMIFS('350配方'!$M354:$P354,'350配方'!$Y354:$AB354,114)</x:f>
        <x:v>0</x:v>
      </x:c>
      <x:c r="V354" s="9" t="n">
        <x:f>SUMIFS('350配方'!$M354:$P354,'350配方'!$Y354:$AB354,115)</x:f>
        <x:v>6516</x:v>
      </x:c>
      <x:c r="W354" s="9" t="n">
        <x:f>SUMIFS('350配方'!$M354:$P354,'350配方'!$Y354:$AB354,117)</x:f>
        <x:v>274.54883445390914</x:v>
      </x:c>
      <x:c r="X354" s="9" t="n">
        <x:f>SUMIFS('350配方'!$M354:$P354,'350配方'!$Y354:$AB354,126)</x:f>
        <x:v>0</x:v>
      </x:c>
      <x:c r="Y354" s="9" t="n">
        <x:f>SUMIFS('350配方'!$M354:$P354,'350配方'!$Y354:$AB354,136)</x:f>
        <x:v>0</x:v>
      </x:c>
      <x:c r="Z354" s="9" t="n">
        <x:f>SUMIFS('350配方'!$M354:$P354,'350配方'!$Y354:$AB354,141)</x:f>
        <x:v>0</x:v>
      </x:c>
      <x:c r="AA354" s="9" t="n">
        <x:f>SUMIFS('350配方'!$M354:$P354,'350配方'!$Y354:$AB354,152)</x:f>
        <x:v>0</x:v>
      </x:c>
      <x:c r="AB354" s="9" t="n">
        <x:f>SUMIFS('350配方'!$M354:$P354,'350配方'!$Y354:$AB354,165)</x:f>
        <x:v>0</x:v>
      </x:c>
      <x:c r="AC354" s="9" t="n">
        <x:f>SUMIFS('350配方'!$M354:$P354,'350配方'!$Y354:$AB354,186)</x:f>
        <x:v>0</x:v>
      </x:c>
      <x:c r="AD354" s="9" t="n">
        <x:f>SUMIFS('350配方'!$M354:$P354,'350配方'!$Y354:$AB354,207)</x:f>
        <x:v>0</x:v>
      </x:c>
      <x:c r="AE354" s="9" t="n">
        <x:f>SUMIFS('350配方'!$M354:$P354,'350配方'!$Y354:$AB354,209)</x:f>
        <x:v>0</x:v>
      </x:c>
      <x:c r="AF354" s="9" t="n">
        <x:f>SUMIFS('350配方'!$M354:$P354,'350配方'!$Y354:$AB354,227)</x:f>
        <x:v>0</x:v>
      </x:c>
      <x:c r="AG354" s="9" t="n">
        <x:f>SUMIFS('350配方'!$M354:$P354,'350配方'!$Y354:$AB354,232)</x:f>
        <x:v>0</x:v>
      </x:c>
      <x:c r="AH354" s="9" t="n">
        <x:f>SUMIFS('350配方'!$M354:$P354,'350配方'!$Y354:$AB354,255)</x:f>
        <x:v>0</x:v>
      </x:c>
      <x:c r="AI354" s="9" t="n">
        <x:f>'浓度设置'!S6</x:f>
        <x:v>219125.9626344086</x:v>
      </x:c>
      <x:c r="AJ354" s="9" t="n">
        <x:f>'浓度设置'!S8</x:f>
        <x:v>92796.92267241378</x:v>
      </x:c>
      <x:c r="AK354" s="9" t="n">
        <x:f>'浓度设置'!S10</x:f>
        <x:v>30556.797802197798</x:v>
      </x:c>
      <x:c r="AL354" s="9" t="n">
        <x:f>'浓度设置'!S12</x:f>
        <x:v>1735.828970588235</x:v>
      </x:c>
      <x:c r="AM354" s="9" t="n">
        <x:f>'浓度设置'!S15</x:f>
        <x:v>7385.813644067793</x:v>
      </x:c>
      <x:c r="AN354" s="9" t="n">
        <x:f>'浓度设置'!S19</x:f>
        <x:v>27722.03097701148</x:v>
      </x:c>
      <x:c r="AO354" s="9" t="n">
        <x:f>'浓度设置'!S22</x:f>
        <x:v>44345.55047619048</x:v>
      </x:c>
      <x:c r="AP354" s="9" t="n">
        <x:f>'浓度设置'!S26</x:f>
        <x:v>153318.30499999996</x:v>
      </x:c>
      <x:c r="AQ354" s="9" t="n">
        <x:f>'浓度设置'!S29</x:f>
        <x:v>312.7970588235294</x:v>
      </x:c>
      <x:c r="AR354" s="9" t="n">
        <x:f>'浓度设置'!S30</x:f>
        <x:v>104175.5097553192</x:v>
      </x:c>
      <x:c r="AS354" s="9" t="n">
        <x:f>'浓度设置'!S35</x:f>
        <x:v>405974.90656785714</x:v>
      </x:c>
    </x:row>
    <x:row r="355" ht="24" customHeight="1">
      <x:c r="A355" s="3" t="str">
        <x:f>'350配方'!A355</x:f>
        <x:v>V020</x:v>
      </x:c>
      <x:c r="B355" s="3" t="str">
        <x:f>'350配方'!B355</x:f>
        <x:v>留出验证</x:v>
      </x:c>
      <x:c r="C355" s="3" t="n">
        <x:f>IF(B355="拟合",1,0)</x:f>
        <x:v>0</x:v>
      </x:c>
      <x:c r="D355" s="3" t="n">
        <x:f>'350配方'!AC355</x:f>
        <x:v>4</x:v>
      </x:c>
      <x:c r="E355" s="9" t="n">
        <x:f>SUMIFS('350配方'!$M355:$P355,'350配方'!$Y355:$AB355,7)</x:f>
        <x:v>0</x:v>
      </x:c>
      <x:c r="F355" s="9" t="n">
        <x:f>SUMIFS('350配方'!$M355:$P355,'350配方'!$Y355:$AB355,11)</x:f>
        <x:v>0</x:v>
      </x:c>
      <x:c r="G355" s="9" t="n">
        <x:f>SUMIFS('350配方'!$M355:$P355,'350配方'!$Y355:$AB355,18)</x:f>
        <x:v>0</x:v>
      </x:c>
      <x:c r="H355" s="9" t="n">
        <x:f>SUMIFS('350配方'!$M355:$P355,'350配方'!$Y355:$AB355,32)</x:f>
        <x:v>0</x:v>
      </x:c>
      <x:c r="I355" s="9" t="n">
        <x:f>SUMIFS('350配方'!$M355:$P355,'350配方'!$Y355:$AB355,40)</x:f>
        <x:v>0</x:v>
      </x:c>
      <x:c r="J355" s="9" t="n">
        <x:f>SUMIFS('350配方'!$M355:$P355,'350配方'!$Y355:$AB355,52)</x:f>
        <x:v>0</x:v>
      </x:c>
      <x:c r="K355" s="9" t="n">
        <x:f>SUMIFS('350配方'!$M355:$P355,'350配方'!$Y355:$AB355,53)</x:f>
        <x:v>0</x:v>
      </x:c>
      <x:c r="L355" s="9" t="n">
        <x:f>SUMIFS('350配方'!$M355:$P355,'350配方'!$Y355:$AB355,56)</x:f>
        <x:v>0</x:v>
      </x:c>
      <x:c r="M355" s="9" t="n">
        <x:f>SUMIFS('350配方'!$M355:$P355,'350配方'!$Y355:$AB355,58)</x:f>
        <x:v>0</x:v>
      </x:c>
      <x:c r="N355" s="9" t="n">
        <x:f>SUMIFS('350配方'!$M355:$P355,'350配方'!$Y355:$AB355,61)</x:f>
        <x:v>0</x:v>
      </x:c>
      <x:c r="O355" s="9" t="n">
        <x:f>SUMIFS('350配方'!$M355:$P355,'350配方'!$Y355:$AB355,69)</x:f>
        <x:v>0</x:v>
      </x:c>
      <x:c r="P355" s="9" t="n">
        <x:f>SUMIFS('350配方'!$M355:$P355,'350配方'!$Y355:$AB355,75)</x:f>
        <x:v>0</x:v>
      </x:c>
      <x:c r="Q355" s="9" t="n">
        <x:f>SUMIFS('350配方'!$M355:$P355,'350配方'!$Y355:$AB355,79)</x:f>
        <x:v>0</x:v>
      </x:c>
      <x:c r="R355" s="9" t="n">
        <x:f>SUMIFS('350配方'!$M355:$P355,'350配方'!$Y355:$AB355,90)</x:f>
        <x:v>0</x:v>
      </x:c>
      <x:c r="S355" s="9" t="n">
        <x:f>SUMIFS('350配方'!$M355:$P355,'350配方'!$Y355:$AB355,105)</x:f>
        <x:v>0</x:v>
      </x:c>
      <x:c r="T355" s="9" t="n">
        <x:f>SUMIFS('350配方'!$M355:$P355,'350配方'!$Y355:$AB355,111)</x:f>
        <x:v>833.64</x:v>
      </x:c>
      <x:c r="U355" s="9" t="n">
        <x:f>SUMIFS('350配方'!$M355:$P355,'350配方'!$Y355:$AB355,114)</x:f>
        <x:v>0</x:v>
      </x:c>
      <x:c r="V355" s="9" t="n">
        <x:f>SUMIFS('350配方'!$M355:$P355,'350配方'!$Y355:$AB355,115)</x:f>
        <x:v>0</x:v>
      </x:c>
      <x:c r="W355" s="9" t="n">
        <x:f>SUMIFS('350配方'!$M355:$P355,'350配方'!$Y355:$AB355,117)</x:f>
        <x:v>0</x:v>
      </x:c>
      <x:c r="X355" s="9" t="n">
        <x:f>SUMIFS('350配方'!$M355:$P355,'350配方'!$Y355:$AB355,126)</x:f>
        <x:v>0</x:v>
      </x:c>
      <x:c r="Y355" s="9" t="n">
        <x:f>SUMIFS('350配方'!$M355:$P355,'350配方'!$Y355:$AB355,136)</x:f>
        <x:v>0</x:v>
      </x:c>
      <x:c r="Z355" s="9" t="n">
        <x:f>SUMIFS('350配方'!$M355:$P355,'350配方'!$Y355:$AB355,141)</x:f>
        <x:v>1039840</x:v>
      </x:c>
      <x:c r="AA355" s="9" t="n">
        <x:f>SUMIFS('350配方'!$M355:$P355,'350配方'!$Y355:$AB355,152)</x:f>
        <x:v>0</x:v>
      </x:c>
      <x:c r="AB355" s="9" t="n">
        <x:f>SUMIFS('350配方'!$M355:$P355,'350配方'!$Y355:$AB355,165)</x:f>
        <x:v>86300</x:v>
      </x:c>
      <x:c r="AC355" s="9" t="n">
        <x:f>SUMIFS('350配方'!$M355:$P355,'350配方'!$Y355:$AB355,186)</x:f>
        <x:v>0</x:v>
      </x:c>
      <x:c r="AD355" s="9" t="n">
        <x:f>SUMIFS('350配方'!$M355:$P355,'350配方'!$Y355:$AB355,207)</x:f>
        <x:v>0</x:v>
      </x:c>
      <x:c r="AE355" s="9" t="n">
        <x:f>SUMIFS('350配方'!$M355:$P355,'350配方'!$Y355:$AB355,209)</x:f>
        <x:v>0</x:v>
      </x:c>
      <x:c r="AF355" s="9" t="n">
        <x:f>SUMIFS('350配方'!$M355:$P355,'350配方'!$Y355:$AB355,227)</x:f>
        <x:v>0</x:v>
      </x:c>
      <x:c r="AG355" s="9" t="n">
        <x:f>SUMIFS('350配方'!$M355:$P355,'350配方'!$Y355:$AB355,232)</x:f>
        <x:v>0.97</x:v>
      </x:c>
      <x:c r="AH355" s="9" t="n">
        <x:f>SUMIFS('350配方'!$M355:$P355,'350配方'!$Y355:$AB355,255)</x:f>
        <x:v>0</x:v>
      </x:c>
      <x:c r="AI355" s="9" t="n">
        <x:f>'浓度设置'!S6</x:f>
        <x:v>219125.9626344086</x:v>
      </x:c>
      <x:c r="AJ355" s="9" t="n">
        <x:f>'浓度设置'!S8</x:f>
        <x:v>92796.92267241378</x:v>
      </x:c>
      <x:c r="AK355" s="9" t="n">
        <x:f>'浓度设置'!S10</x:f>
        <x:v>30556.797802197798</x:v>
      </x:c>
      <x:c r="AL355" s="9" t="n">
        <x:f>'浓度设置'!S12</x:f>
        <x:v>1735.828970588235</x:v>
      </x:c>
      <x:c r="AM355" s="9" t="n">
        <x:f>'浓度设置'!S15</x:f>
        <x:v>7385.813644067793</x:v>
      </x:c>
      <x:c r="AN355" s="9" t="n">
        <x:f>'浓度设置'!S19</x:f>
        <x:v>27722.03097701148</x:v>
      </x:c>
      <x:c r="AO355" s="9" t="n">
        <x:f>'浓度设置'!S22</x:f>
        <x:v>44345.55047619048</x:v>
      </x:c>
      <x:c r="AP355" s="9" t="n">
        <x:f>'浓度设置'!S26</x:f>
        <x:v>153318.30499999996</x:v>
      </x:c>
      <x:c r="AQ355" s="9" t="n">
        <x:f>'浓度设置'!S29</x:f>
        <x:v>312.7970588235294</x:v>
      </x:c>
      <x:c r="AR355" s="9" t="n">
        <x:f>'浓度设置'!S30</x:f>
        <x:v>104175.5097553192</x:v>
      </x:c>
      <x:c r="AS355" s="9" t="n">
        <x:f>'浓度设置'!S35</x:f>
        <x:v>405974.90656785714</x:v>
      </x:c>
    </x:row>
  </x:sheetData>
  <x:pageMargins left="0.7" right="0.7" top="0.75" bottom="0.75" header="0.3" footer="0.3"/>
  <x:tableParts count="1">
    <x:tablePart xmlns:r="http://schemas.openxmlformats.org/officeDocument/2006/relationships" r:id="Rb95df150009848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35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43" hidden="0" customWidth="1"/>
  </x:cols>
  <x:sheetData>
    <x:row r="2">
      <x:c r="A2" s="1" t="str">
        <x:v>浓度范围与共同基底 / Concentration levels</x:v>
      </x:c>
    </x:row>
    <x:row r="3">
      <x:c r="A3" s="2" t="str">
        <x:v>Three levels: observed positive minimum / geometric midpoint / maximum. Two levels: median / maximum.</x:v>
      </x:c>
    </x:row>
    <x:row r="5" ht="44" customHeight="1">
      <x:c r="A5" s="8" t="str">
        <x:v>ID</x:v>
      </x:c>
      <x:c r="B5" s="8" t="str">
        <x:v>中文名称</x:v>
      </x:c>
      <x:c r="C5" s="8" t="str">
        <x:v>English name</x:v>
      </x:c>
      <x:c r="D5" s="8" t="str">
        <x:v>CAS</x:v>
      </x:c>
      <x:c r="E5" s="8" t="str">
        <x:v>角色 Role</x:v>
      </x:c>
      <x:c r="F5" s="8" t="str">
        <x:v>档数</x:v>
      </x:c>
      <x:c r="G5" s="8" t="str">
        <x:v>有效 n</x:v>
      </x:c>
      <x:c r="H5" s="8" t="str">
        <x:v>原始最小</x:v>
      </x:c>
      <x:c r="I5" s="8" t="str">
        <x:v>最小正值</x:v>
      </x:c>
      <x:c r="J5" s="8" t="str">
        <x:v>原中位值</x:v>
      </x:c>
      <x:c r="K5" s="8" t="str">
        <x:v>最大值</x:v>
      </x:c>
      <x:c r="L5" s="8" t="str">
        <x:v>算术均值</x:v>
      </x:c>
      <x:c r="M5" s="8" t="str">
        <x:v>阈值 ug/L</x:v>
      </x:c>
      <x:c r="N5" s="8" t="str">
        <x:v>中位 OAV</x:v>
      </x:c>
      <x:c r="O5" s="8" t="str">
        <x:v>均值 OAV</x:v>
      </x:c>
      <x:c r="P5" s="8" t="str">
        <x:v>L ug/L</x:v>
      </x:c>
      <x:c r="Q5" s="8" t="str">
        <x:v>M ug/L</x:v>
      </x:c>
      <x:c r="R5" s="8" t="str">
        <x:v>H ug/L</x:v>
      </x:c>
      <x:c r="S5" s="8" t="str">
        <x:v>基底 ug/L</x:v>
      </x:c>
      <x:c r="T5" s="8" t="str">
        <x:v>基底量 ug/瓶</x:v>
      </x:c>
      <x:c r="U5" s="8" t="str">
        <x:v>浓度说明</x:v>
      </x:c>
    </x:row>
    <x:row r="6" ht="24" customHeight="1">
      <x:c r="A6" s="3" t="n">
        <x:v>5</x:v>
      </x:c>
      <x:c r="B6" s="3" t="str">
        <x:v>乙酸</x:v>
      </x:c>
      <x:c r="C6" s="3" t="str">
        <x:v>Acetic acid</x:v>
      </x:c>
      <x:c r="D6" s="3" t="str">
        <x:v>64-19-7</x:v>
      </x:c>
      <x:c r="E6" s="3" t="str">
        <x:v>固定基底</x:v>
      </x:c>
      <x:c r="F6" s="3" t="n">
        <x:v>0</x:v>
      </x:c>
      <x:c r="G6" s="3" t="n">
        <x:f>COUNT('原始浓度'!F6:DN6)</x:f>
        <x:v>93</x:v>
      </x:c>
      <x:c r="H6" s="9" t="n">
        <x:f>MIN('原始浓度'!F6:DN6)</x:f>
        <x:v>1.14</x:v>
      </x:c>
      <x:c r="I6" s="9" t="n">
        <x:f>_xlfn.MINIFS('原始浓度'!F6:DN6,'原始浓度'!F6:DN6,"&gt;0")</x:f>
        <x:v>1.14</x:v>
      </x:c>
      <x:c r="J6" s="9" t="n">
        <x:f>MEDIAN('原始浓度'!F6:DN6)</x:f>
        <x:v>3158</x:v>
      </x:c>
      <x:c r="K6" s="9" t="n">
        <x:f>MAX('原始浓度'!F6:DN6)</x:f>
        <x:v>1800500</x:v>
      </x:c>
      <x:c r="L6" s="9" t="n">
        <x:f>AVERAGE('原始浓度'!F6:DN6)</x:f>
        <x:v>219125.9626344086</x:v>
      </x:c>
      <x:c r="M6" s="9" t="n">
        <x:f>'原始浓度'!E6</x:f>
        <x:v>160000</x:v>
      </x:c>
      <x:c r="N6" s="9" t="n">
        <x:f>J6/M6</x:f>
        <x:v>0.0197375</x:v>
      </x:c>
      <x:c r="O6" s="9" t="n">
        <x:f>L6/M6</x:f>
        <x:v>1.3695372664650538</x:v>
      </x:c>
      <x:c r="P6" s="10" t="str">
        <x:f>IF(AND(E6="可变",F6=3),I6,"")</x:f>
      </x:c>
      <x:c r="Q6" s="10" t="str">
        <x:f>IF(E6="固定基底","",IF(F6=3,SQRT(I6*K6),J6))</x:f>
      </x:c>
      <x:c r="R6" s="10" t="str">
        <x:f>IF(E6="固定基底","",K6)</x:f>
      </x:c>
      <x:c r="S6" s="9" t="n">
        <x:f>IF(E6="固定基底",L6,0)</x:f>
        <x:v>219125.9626344086</x:v>
      </x:c>
      <x:c r="T6" s="9" t="n">
        <x:f>S6*'方案总览'!$B$5/1000</x:f>
        <x:v>4382.519252688172</x:v>
      </x:c>
      <x:c r="U6" s="3" t="str">
        <x:v>所有350瓶固定为均值</x:v>
      </x:c>
    </x:row>
    <x:row r="7" ht="24" customHeight="1">
      <x:c r="A7" s="3" t="n">
        <x:v>7</x:v>
      </x:c>
      <x:c r="B7" s="3" t="str">
        <x:v>己醛</x:v>
      </x:c>
      <x:c r="C7" s="3" t="str">
        <x:v>Hexanal</x:v>
      </x:c>
      <x:c r="D7" s="3" t="str">
        <x:v>66-25-1</x:v>
      </x:c>
      <x:c r="E7" s="3" t="str">
        <x:v>可变</x:v>
      </x:c>
      <x:c r="F7" s="3" t="n">
        <x:v>3</x:v>
      </x:c>
      <x:c r="G7" s="3" t="n">
        <x:f>COUNT('原始浓度'!F7:DN7)</x:f>
        <x:v>29</x:v>
      </x:c>
      <x:c r="H7" s="9" t="n">
        <x:f>MIN('原始浓度'!F7:DN7)</x:f>
        <x:v>173</x:v>
      </x:c>
      <x:c r="I7" s="9" t="n">
        <x:f>_xlfn.MINIFS('原始浓度'!F7:DN7,'原始浓度'!F7:DN7,"&gt;0")</x:f>
        <x:v>173</x:v>
      </x:c>
      <x:c r="J7" s="9" t="n">
        <x:f>MEDIAN('原始浓度'!F7:DN7)</x:f>
        <x:v>788.69</x:v>
      </x:c>
      <x:c r="K7" s="9" t="n">
        <x:f>MAX('原始浓度'!F7:DN7)</x:f>
        <x:v>3075.94</x:v>
      </x:c>
      <x:c r="L7" s="9" t="n">
        <x:f>AVERAGE('原始浓度'!F7:DN7)</x:f>
        <x:v>929.3797689655172</x:v>
      </x:c>
      <x:c r="M7" s="9" t="n">
        <x:f>'原始浓度'!E7</x:f>
        <x:v>25.5</x:v>
      </x:c>
      <x:c r="N7" s="9" t="n">
        <x:f>J7/M7</x:f>
        <x:v>30.929019607843138</x:v>
      </x:c>
      <x:c r="O7" s="9" t="n">
        <x:f>L7/M7</x:f>
        <x:v>36.44626544962813</x:v>
      </x:c>
      <x:c r="P7" s="10" t="n">
        <x:f>IF(AND(E7="可变",F7=3),I7,"")</x:f>
        <x:v>173</x:v>
      </x:c>
      <x:c r="Q7" s="10" t="n">
        <x:f>IF(E7="固定基底","",IF(F7=3,SQRT(I7*K7),J7))</x:f>
        <x:v>729.4776350238574</x:v>
      </x:c>
      <x:c r="R7" s="10" t="n">
        <x:f>IF(E7="固定基底","",K7)</x:f>
        <x:v>3075.94</x:v>
      </x:c>
      <x:c r="S7" s="9" t="n">
        <x:f>IF(E7="固定基底",L7,0)</x:f>
        <x:v>0</x:v>
      </x:c>
      <x:c r="T7" s="9" t="n">
        <x:f>S7*'方案总览'!$B$5/1000</x:f>
        <x:v>0</x:v>
      </x:c>
      <x:c r="U7" s="3" t="str">
        <x:v>M为几何中点，区别于原中位值</x:v>
      </x:c>
    </x:row>
    <x:row r="8" ht="24" customHeight="1">
      <x:c r="A8" s="3" t="n">
        <x:v>10</x:v>
      </x:c>
      <x:c r="B8" s="3" t="str">
        <x:v>1-丙醇</x:v>
      </x:c>
      <x:c r="C8" s="3" t="str">
        <x:v>1-propanol</x:v>
      </x:c>
      <x:c r="D8" s="3" t="str">
        <x:v>71-23-8</x:v>
      </x:c>
      <x:c r="E8" s="3" t="str">
        <x:v>固定基底</x:v>
      </x:c>
      <x:c r="F8" s="3" t="n">
        <x:v>0</x:v>
      </x:c>
      <x:c r="G8" s="3" t="n">
        <x:f>COUNT('原始浓度'!F8:DN8)</x:f>
        <x:v>58</x:v>
      </x:c>
      <x:c r="H8" s="9" t="n">
        <x:f>MIN('原始浓度'!F8:DN8)</x:f>
        <x:v>1</x:v>
      </x:c>
      <x:c r="I8" s="9" t="n">
        <x:f>_xlfn.MINIFS('原始浓度'!F8:DN8,'原始浓度'!F8:DN8,"&gt;0")</x:f>
        <x:v>1</x:v>
      </x:c>
      <x:c r="J8" s="9" t="n">
        <x:f>MEDIAN('原始浓度'!F8:DN8)</x:f>
        <x:v>149.93</x:v>
      </x:c>
      <x:c r="K8" s="9" t="n">
        <x:f>MAX('原始浓度'!F8:DN8)</x:f>
        <x:v>471100</x:v>
      </x:c>
      <x:c r="L8" s="9" t="n">
        <x:f>AVERAGE('原始浓度'!F8:DN8)</x:f>
        <x:v>92796.92267241378</x:v>
      </x:c>
      <x:c r="M8" s="9" t="n">
        <x:f>'原始浓度'!E8</x:f>
        <x:v>109000</x:v>
      </x:c>
      <x:c r="N8" s="9" t="n">
        <x:f>J8/M8</x:f>
        <x:v>0.0013755045871559634</x:v>
      </x:c>
      <x:c r="O8" s="9" t="n">
        <x:f>L8/M8</x:f>
        <x:v>0.8513479144258146</x:v>
      </x:c>
      <x:c r="P8" s="10" t="str">
        <x:f>IF(AND(E8="可变",F8=3),I8,"")</x:f>
      </x:c>
      <x:c r="Q8" s="10" t="str">
        <x:f>IF(E8="固定基底","",IF(F8=3,SQRT(I8*K8),J8))</x:f>
      </x:c>
      <x:c r="R8" s="10" t="str">
        <x:f>IF(E8="固定基底","",K8)</x:f>
      </x:c>
      <x:c r="S8" s="9" t="n">
        <x:f>IF(E8="固定基底",L8,0)</x:f>
        <x:v>92796.92267241378</x:v>
      </x:c>
      <x:c r="T8" s="9" t="n">
        <x:f>S8*'方案总览'!$B$5/1000</x:f>
        <x:v>1855.9384534482756</x:v>
      </x:c>
      <x:c r="U8" s="3" t="str">
        <x:v>所有350瓶固定为均值</x:v>
      </x:c>
    </x:row>
    <x:row r="9" ht="24" customHeight="1">
      <x:c r="A9" s="3" t="n">
        <x:v>11</x:v>
      </x:c>
      <x:c r="B9" s="3" t="str">
        <x:v>1-丁醇</x:v>
      </x:c>
      <x:c r="C9" s="3" t="str">
        <x:v>1-Butanol</x:v>
      </x:c>
      <x:c r="D9" s="3" t="str">
        <x:v>71-36-3</x:v>
      </x:c>
      <x:c r="E9" s="3" t="str">
        <x:v>可变</x:v>
      </x:c>
      <x:c r="F9" s="3" t="n">
        <x:v>3</x:v>
      </x:c>
      <x:c r="G9" s="3" t="n">
        <x:f>COUNT('原始浓度'!F9:DN9)</x:f>
        <x:v>92</x:v>
      </x:c>
      <x:c r="H9" s="9" t="n">
        <x:f>MIN('原始浓度'!F9:DN9)</x:f>
        <x:v>16.97</x:v>
      </x:c>
      <x:c r="I9" s="9" t="n">
        <x:f>_xlfn.MINIFS('原始浓度'!F9:DN9,'原始浓度'!F9:DN9,"&gt;0")</x:f>
        <x:v>16.97</x:v>
      </x:c>
      <x:c r="J9" s="9" t="n">
        <x:f>MEDIAN('原始浓度'!F9:DN9)</x:f>
        <x:v>10974.445</x:v>
      </x:c>
      <x:c r="K9" s="9" t="n">
        <x:f>MAX('原始浓度'!F9:DN9)</x:f>
        <x:v>1038900</x:v>
      </x:c>
      <x:c r="L9" s="9" t="n">
        <x:f>AVERAGE('原始浓度'!F9:DN9)</x:f>
        <x:v>96959.68971086957</x:v>
      </x:c>
      <x:c r="M9" s="9" t="n">
        <x:f>'原始浓度'!E9</x:f>
        <x:v>2733</x:v>
      </x:c>
      <x:c r="N9" s="9" t="n">
        <x:f>J9/M9</x:f>
        <x:v>4.015530552506403</x:v>
      </x:c>
      <x:c r="O9" s="9" t="n">
        <x:f>L9/M9</x:f>
        <x:v>35.477383721503685</x:v>
      </x:c>
      <x:c r="P9" s="10" t="n">
        <x:f>IF(AND(E9="可变",F9=3),I9,"")</x:f>
        <x:v>16.97</x:v>
      </x:c>
      <x:c r="Q9" s="10" t="n">
        <x:f>IF(E9="固定基底","",IF(F9=3,SQRT(I9*K9),J9))</x:f>
        <x:v>4198.825192836682</x:v>
      </x:c>
      <x:c r="R9" s="10" t="n">
        <x:f>IF(E9="固定基底","",K9)</x:f>
        <x:v>1038900</x:v>
      </x:c>
      <x:c r="S9" s="9" t="n">
        <x:f>IF(E9="固定基底",L9,0)</x:f>
        <x:v>0</x:v>
      </x:c>
      <x:c r="T9" s="9" t="n">
        <x:f>S9*'方案总览'!$B$5/1000</x:f>
        <x:v>0</x:v>
      </x:c>
      <x:c r="U9" s="3" t="str">
        <x:v>M为几何中点，区别于原中位值</x:v>
      </x:c>
    </x:row>
    <x:row r="10" ht="24" customHeight="1">
      <x:c r="A10" s="3" t="n">
        <x:v>17</x:v>
      </x:c>
      <x:c r="B10" s="3" t="str">
        <x:v>异丁醇</x:v>
      </x:c>
      <x:c r="C10" s="3" t="str">
        <x:v>Isobutanol</x:v>
      </x:c>
      <x:c r="D10" s="3" t="str">
        <x:v>78-83-1</x:v>
      </x:c>
      <x:c r="E10" s="3" t="str">
        <x:v>固定基底</x:v>
      </x:c>
      <x:c r="F10" s="3" t="n">
        <x:v>0</x:v>
      </x:c>
      <x:c r="G10" s="3" t="n">
        <x:f>COUNT('原始浓度'!F10:DN10)</x:f>
        <x:v>91</x:v>
      </x:c>
      <x:c r="H10" s="9" t="n">
        <x:f>MIN('原始浓度'!F10:DN10)</x:f>
        <x:v>0</x:v>
      </x:c>
      <x:c r="I10" s="9" t="n">
        <x:f>_xlfn.MINIFS('原始浓度'!F10:DN10,'原始浓度'!F10:DN10,"&gt;0")</x:f>
        <x:v>1</x:v>
      </x:c>
      <x:c r="J10" s="9" t="n">
        <x:f>MEDIAN('原始浓度'!F10:DN10)</x:f>
        <x:v>3650</x:v>
      </x:c>
      <x:c r="K10" s="9" t="n">
        <x:f>MAX('原始浓度'!F10:DN10)</x:f>
        <x:v>279260</x:v>
      </x:c>
      <x:c r="L10" s="9" t="n">
        <x:f>AVERAGE('原始浓度'!F10:DN10)</x:f>
        <x:v>30556.797802197798</x:v>
      </x:c>
      <x:c r="M10" s="9" t="n">
        <x:f>'原始浓度'!E10</x:f>
        <x:v>28300</x:v>
      </x:c>
      <x:c r="N10" s="9" t="n">
        <x:f>J10/M10</x:f>
        <x:v>0.12897526501766785</x:v>
      </x:c>
      <x:c r="O10" s="9" t="n">
        <x:f>L10/M10</x:f>
        <x:v>1.079745505378014</x:v>
      </x:c>
      <x:c r="P10" s="10" t="str">
        <x:f>IF(AND(E10="可变",F10=3),I10,"")</x:f>
      </x:c>
      <x:c r="Q10" s="10" t="str">
        <x:f>IF(E10="固定基底","",IF(F10=3,SQRT(I10*K10),J10))</x:f>
      </x:c>
      <x:c r="R10" s="10" t="str">
        <x:f>IF(E10="固定基底","",K10)</x:f>
      </x:c>
      <x:c r="S10" s="9" t="n">
        <x:f>IF(E10="固定基底",L10,0)</x:f>
        <x:v>30556.797802197798</x:v>
      </x:c>
      <x:c r="T10" s="9" t="n">
        <x:f>S10*'方案总览'!$B$5/1000</x:f>
        <x:v>611.135956043956</x:v>
      </x:c>
      <x:c r="U10" s="3" t="str">
        <x:v>所有350瓶固定为均值</x:v>
      </x:c>
    </x:row>
    <x:row r="11" ht="24" customHeight="1">
      <x:c r="A11" s="3" t="n">
        <x:v>18</x:v>
      </x:c>
      <x:c r="B11" s="3" t="str">
        <x:v>2-甲基丙醛</x:v>
      </x:c>
      <x:c r="C11" s="3" t="str">
        <x:v>Isobutyraldehyde</x:v>
      </x:c>
      <x:c r="D11" s="3" t="str">
        <x:v>78-84-2</x:v>
      </x:c>
      <x:c r="E11" s="3" t="str">
        <x:v>可变</x:v>
      </x:c>
      <x:c r="F11" s="3" t="n">
        <x:v>3</x:v>
      </x:c>
      <x:c r="G11" s="3" t="n">
        <x:f>COUNT('原始浓度'!F11:DN11)</x:f>
        <x:v>34</x:v>
      </x:c>
      <x:c r="H11" s="9" t="n">
        <x:f>MIN('原始浓度'!F11:DN11)</x:f>
        <x:v>39</x:v>
      </x:c>
      <x:c r="I11" s="9" t="n">
        <x:f>_xlfn.MINIFS('原始浓度'!F11:DN11,'原始浓度'!F11:DN11,"&gt;0")</x:f>
        <x:v>39</x:v>
      </x:c>
      <x:c r="J11" s="9" t="n">
        <x:f>MEDIAN('原始浓度'!F11:DN11)</x:f>
        <x:v>954.06</x:v>
      </x:c>
      <x:c r="K11" s="9" t="n">
        <x:f>MAX('原始浓度'!F11:DN11)</x:f>
        <x:v>35900</x:v>
      </x:c>
      <x:c r="L11" s="9" t="n">
        <x:f>AVERAGE('原始浓度'!F11:DN11)</x:f>
        <x:v>4698.341470588235</x:v>
      </x:c>
      <x:c r="M11" s="9" t="n">
        <x:f>'原始浓度'!E11</x:f>
        <x:v>5.9</x:v>
      </x:c>
      <x:c r="N11" s="9" t="n">
        <x:f>J11/M11</x:f>
        <x:v>161.7050847457627</x:v>
      </x:c>
      <x:c r="O11" s="9" t="n">
        <x:f>L11/M11</x:f>
        <x:v>796.3290628115652</x:v>
      </x:c>
      <x:c r="P11" s="10" t="n">
        <x:f>IF(AND(E11="可变",F11=3),I11,"")</x:f>
        <x:v>39</x:v>
      </x:c>
      <x:c r="Q11" s="10" t="n">
        <x:f>IF(E11="固定基底","",IF(F11=3,SQRT(I11*K11),J11))</x:f>
        <x:v>1183.2582135780847</x:v>
      </x:c>
      <x:c r="R11" s="10" t="n">
        <x:f>IF(E11="固定基底","",K11)</x:f>
        <x:v>35900</x:v>
      </x:c>
      <x:c r="S11" s="9" t="n">
        <x:f>IF(E11="固定基底",L11,0)</x:f>
        <x:v>0</x:v>
      </x:c>
      <x:c r="T11" s="9" t="n">
        <x:f>S11*'方案总览'!$B$5/1000</x:f>
        <x:v>0</x:v>
      </x:c>
      <x:c r="U11" s="3" t="str">
        <x:v>M为几何中点，区别于原中位值</x:v>
      </x:c>
    </x:row>
    <x:row r="12" ht="24" customHeight="1">
      <x:c r="A12" s="3" t="n">
        <x:v>21</x:v>
      </x:c>
      <x:c r="B12" s="3" t="str">
        <x:v>异丁酸</x:v>
      </x:c>
      <x:c r="C12" s="3" t="str">
        <x:v>2-methylpropionic acid/Isobutyric Acid</x:v>
      </x:c>
      <x:c r="D12" s="3" t="str">
        <x:v>79-31-2</x:v>
      </x:c>
      <x:c r="E12" s="3" t="str">
        <x:v>固定基底</x:v>
      </x:c>
      <x:c r="F12" s="3" t="n">
        <x:v>0</x:v>
      </x:c>
      <x:c r="G12" s="3" t="n">
        <x:f>COUNT('原始浓度'!F12:DN12)</x:f>
        <x:v>68</x:v>
      </x:c>
      <x:c r="H12" s="9" t="n">
        <x:f>MIN('原始浓度'!F12:DN12)</x:f>
        <x:v>0.37</x:v>
      </x:c>
      <x:c r="I12" s="9" t="n">
        <x:f>_xlfn.MINIFS('原始浓度'!F12:DN12,'原始浓度'!F12:DN12,"&gt;0")</x:f>
        <x:v>0.37</x:v>
      </x:c>
      <x:c r="J12" s="9" t="n">
        <x:f>MEDIAN('原始浓度'!F12:DN12)</x:f>
        <x:v>16.76</x:v>
      </x:c>
      <x:c r="K12" s="9" t="n">
        <x:f>MAX('原始浓度'!F12:DN12)</x:f>
        <x:v>11637.33</x:v>
      </x:c>
      <x:c r="L12" s="9" t="n">
        <x:f>AVERAGE('原始浓度'!F12:DN12)</x:f>
        <x:v>1735.828970588235</x:v>
      </x:c>
      <x:c r="M12" s="9" t="n">
        <x:f>'原始浓度'!E12</x:f>
        <x:v>1580</x:v>
      </x:c>
      <x:c r="N12" s="9" t="n">
        <x:f>J12/M12</x:f>
        <x:v>0.010607594936708861</x:v>
      </x:c>
      <x:c r="O12" s="9" t="n">
        <x:f>L12/M12</x:f>
        <x:v>1.0986259307520474</x:v>
      </x:c>
      <x:c r="P12" s="10" t="str">
        <x:f>IF(AND(E12="可变",F12=3),I12,"")</x:f>
      </x:c>
      <x:c r="Q12" s="10" t="str">
        <x:f>IF(E12="固定基底","",IF(F12=3,SQRT(I12*K12),J12))</x:f>
      </x:c>
      <x:c r="R12" s="10" t="str">
        <x:f>IF(E12="固定基底","",K12)</x:f>
      </x:c>
      <x:c r="S12" s="9" t="n">
        <x:f>IF(E12="固定基底",L12,0)</x:f>
        <x:v>1735.828970588235</x:v>
      </x:c>
      <x:c r="T12" s="9" t="n">
        <x:f>S12*'方案总览'!$B$5/1000</x:f>
        <x:v>34.716579411764705</x:v>
      </x:c>
      <x:c r="U12" s="3" t="str">
        <x:v>所有350瓶固定为均值</x:v>
      </x:c>
    </x:row>
    <x:row r="13" ht="24" customHeight="1">
      <x:c r="A13" s="3" t="n">
        <x:v>32</x:v>
      </x:c>
      <x:c r="B13" s="3" t="str">
        <x:v>异丁酸乙酯</x:v>
      </x:c>
      <x:c r="C13" s="3" t="str">
        <x:v>Ethyl isobutyrate</x:v>
      </x:c>
      <x:c r="D13" s="3" t="str">
        <x:v>97-62-1</x:v>
      </x:c>
      <x:c r="E13" s="3" t="str">
        <x:v>可变</x:v>
      </x:c>
      <x:c r="F13" s="3" t="n">
        <x:v>3</x:v>
      </x:c>
      <x:c r="G13" s="3" t="n">
        <x:f>COUNT('原始浓度'!F13:DN13)</x:f>
        <x:v>44</x:v>
      </x:c>
      <x:c r="H13" s="9" t="n">
        <x:f>MIN('原始浓度'!F13:DN13)</x:f>
        <x:v>18.68</x:v>
      </x:c>
      <x:c r="I13" s="9" t="n">
        <x:f>_xlfn.MINIFS('原始浓度'!F13:DN13,'原始浓度'!F13:DN13,"&gt;0")</x:f>
        <x:v>18.68</x:v>
      </x:c>
      <x:c r="J13" s="9" t="n">
        <x:f>MEDIAN('原始浓度'!F13:DN13)</x:f>
        <x:v>2894.4</x:v>
      </x:c>
      <x:c r="K13" s="9" t="n">
        <x:f>MAX('原始浓度'!F13:DN13)</x:f>
        <x:v>37489</x:v>
      </x:c>
      <x:c r="L13" s="9" t="n">
        <x:f>AVERAGE('原始浓度'!F13:DN13)</x:f>
        <x:v>6751.238940909092</x:v>
      </x:c>
      <x:c r="M13" s="9" t="n">
        <x:f>'原始浓度'!E13</x:f>
        <x:v>57.5</x:v>
      </x:c>
      <x:c r="N13" s="9" t="n">
        <x:f>J13/M13</x:f>
        <x:v>50.337391304347825</x:v>
      </x:c>
      <x:c r="O13" s="9" t="n">
        <x:f>L13/M13</x:f>
        <x:v>117.41285114624507</x:v>
      </x:c>
      <x:c r="P13" s="10" t="n">
        <x:f>IF(AND(E13="可变",F13=3),I13,"")</x:f>
        <x:v>18.68</x:v>
      </x:c>
      <x:c r="Q13" s="10" t="n">
        <x:f>IF(E13="固定基底","",IF(F13=3,SQRT(I13*K13),J13))</x:f>
        <x:v>836.8360173893091</x:v>
      </x:c>
      <x:c r="R13" s="10" t="n">
        <x:f>IF(E13="固定基底","",K13)</x:f>
        <x:v>37489</x:v>
      </x:c>
      <x:c r="S13" s="9" t="n">
        <x:f>IF(E13="固定基底",L13,0)</x:f>
        <x:v>0</x:v>
      </x:c>
      <x:c r="T13" s="9" t="n">
        <x:f>S13*'方案总览'!$B$5/1000</x:f>
        <x:v>0</x:v>
      </x:c>
      <x:c r="U13" s="3" t="str">
        <x:v>M为几何中点，区别于原中位值</x:v>
      </x:c>
    </x:row>
    <x:row r="14" ht="24" customHeight="1">
      <x:c r="A14" s="3" t="n">
        <x:v>40</x:v>
      </x:c>
      <x:c r="B14" s="3" t="str">
        <x:v>苯乙酸乙酯</x:v>
      </x:c>
      <x:c r="C14" s="3" t="str">
        <x:v>Ethyl phenylacetate</x:v>
      </x:c>
      <x:c r="D14" s="3" t="str">
        <x:v>101-97-3</x:v>
      </x:c>
      <x:c r="E14" s="3" t="str">
        <x:v>可变</x:v>
      </x:c>
      <x:c r="F14" s="3" t="n">
        <x:v>3</x:v>
      </x:c>
      <x:c r="G14" s="3" t="n">
        <x:f>COUNT('原始浓度'!F14:DN14)</x:f>
        <x:v>85</x:v>
      </x:c>
      <x:c r="H14" s="9" t="n">
        <x:f>MIN('原始浓度'!F14:DN14)</x:f>
        <x:v>1.875</x:v>
      </x:c>
      <x:c r="I14" s="9" t="n">
        <x:f>_xlfn.MINIFS('原始浓度'!F14:DN14,'原始浓度'!F14:DN14,"&gt;0")</x:f>
        <x:v>1.875</x:v>
      </x:c>
      <x:c r="J14" s="9" t="n">
        <x:f>MEDIAN('原始浓度'!F14:DN14)</x:f>
        <x:v>883.62</x:v>
      </x:c>
      <x:c r="K14" s="9" t="n">
        <x:f>MAX('原始浓度'!F14:DN14)</x:f>
        <x:v>21400</x:v>
      </x:c>
      <x:c r="L14" s="9" t="n">
        <x:f>AVERAGE('原始浓度'!F14:DN14)</x:f>
        <x:v>3169.6081176470575</x:v>
      </x:c>
      <x:c r="M14" s="9" t="n">
        <x:f>'原始浓度'!E14</x:f>
        <x:v>407</x:v>
      </x:c>
      <x:c r="N14" s="9" t="n">
        <x:f>J14/M14</x:f>
        <x:v>2.171056511056511</x:v>
      </x:c>
      <x:c r="O14" s="9" t="n">
        <x:f>L14/M14</x:f>
        <x:v>7.787734932793753</x:v>
      </x:c>
      <x:c r="P14" s="10" t="n">
        <x:f>IF(AND(E14="可变",F14=3),I14,"")</x:f>
        <x:v>1.875</x:v>
      </x:c>
      <x:c r="Q14" s="10" t="n">
        <x:f>IF(E14="固定基底","",IF(F14=3,SQRT(I14*K14),J14))</x:f>
        <x:v>200.3122562401013</x:v>
      </x:c>
      <x:c r="R14" s="10" t="n">
        <x:f>IF(E14="固定基底","",K14)</x:f>
        <x:v>21400</x:v>
      </x:c>
      <x:c r="S14" s="9" t="n">
        <x:f>IF(E14="固定基底",L14,0)</x:f>
        <x:v>0</x:v>
      </x:c>
      <x:c r="T14" s="9" t="n">
        <x:f>S14*'方案总览'!$B$5/1000</x:f>
        <x:v>0</x:v>
      </x:c>
      <x:c r="U14" s="3" t="str">
        <x:v>M为几何中点，区别于原中位值</x:v>
      </x:c>
    </x:row>
    <x:row r="15" ht="24" customHeight="1">
      <x:c r="A15" s="3" t="n">
        <x:v>41</x:v>
      </x:c>
      <x:c r="B15" s="3" t="str">
        <x:v>乙酸苯乙酯</x:v>
      </x:c>
      <x:c r="C15" s="3" t="str">
        <x:v>Phenethyl acetate</x:v>
      </x:c>
      <x:c r="D15" s="3" t="str">
        <x:v>103-45-7</x:v>
      </x:c>
      <x:c r="E15" s="3" t="str">
        <x:v>固定基底</x:v>
      </x:c>
      <x:c r="F15" s="3" t="n">
        <x:v>0</x:v>
      </x:c>
      <x:c r="G15" s="3" t="n">
        <x:f>COUNT('原始浓度'!F15:DN15)</x:f>
        <x:v>59</x:v>
      </x:c>
      <x:c r="H15" s="9" t="n">
        <x:f>MIN('原始浓度'!F15:DN15)</x:f>
        <x:v>1</x:v>
      </x:c>
      <x:c r="I15" s="9" t="n">
        <x:f>_xlfn.MINIFS('原始浓度'!F15:DN15,'原始浓度'!F15:DN15,"&gt;0")</x:f>
        <x:v>1</x:v>
      </x:c>
      <x:c r="J15" s="9" t="n">
        <x:f>MEDIAN('原始浓度'!F15:DN15)</x:f>
        <x:v>290</x:v>
      </x:c>
      <x:c r="K15" s="9" t="n">
        <x:f>MAX('原始浓度'!F15:DN15)</x:f>
        <x:v>94600</x:v>
      </x:c>
      <x:c r="L15" s="9" t="n">
        <x:f>AVERAGE('原始浓度'!F15:DN15)</x:f>
        <x:v>7385.813644067793</x:v>
      </x:c>
      <x:c r="M15" s="9" t="n">
        <x:f>'原始浓度'!E15</x:f>
        <x:v>909</x:v>
      </x:c>
      <x:c r="N15" s="9" t="n">
        <x:f>J15/M15</x:f>
        <x:v>0.31903190319031904</x:v>
      </x:c>
      <x:c r="O15" s="9" t="n">
        <x:f>L15/M15</x:f>
        <x:v>8.125207529227495</x:v>
      </x:c>
      <x:c r="P15" s="10" t="str">
        <x:f>IF(AND(E15="可变",F15=3),I15,"")</x:f>
      </x:c>
      <x:c r="Q15" s="10" t="str">
        <x:f>IF(E15="固定基底","",IF(F15=3,SQRT(I15*K15),J15))</x:f>
      </x:c>
      <x:c r="R15" s="10" t="str">
        <x:f>IF(E15="固定基底","",K15)</x:f>
      </x:c>
      <x:c r="S15" s="9" t="n">
        <x:f>IF(E15="固定基底",L15,0)</x:f>
        <x:v>7385.813644067793</x:v>
      </x:c>
      <x:c r="T15" s="9" t="n">
        <x:f>S15*'方案总览'!$B$5/1000</x:f>
        <x:v>147.71627288135588</x:v>
      </x:c>
      <x:c r="U15" s="3" t="str">
        <x:v>所有350瓶固定为均值</x:v>
      </x:c>
    </x:row>
    <x:row r="16" ht="24" customHeight="1">
      <x:c r="A16" s="3" t="n">
        <x:v>52</x:v>
      </x:c>
      <x:c r="B16" s="3" t="str">
        <x:v>丁酸乙酯</x:v>
      </x:c>
      <x:c r="C16" s="3" t="str">
        <x:v>Ethyl butyrate</x:v>
      </x:c>
      <x:c r="D16" s="3" t="str">
        <x:v>105-54-4</x:v>
      </x:c>
      <x:c r="E16" s="3" t="str">
        <x:v>可变</x:v>
      </x:c>
      <x:c r="F16" s="3" t="n">
        <x:v>3</x:v>
      </x:c>
      <x:c r="G16" s="3" t="n">
        <x:f>COUNT('原始浓度'!F16:DN16)</x:f>
        <x:v>97</x:v>
      </x:c>
      <x:c r="H16" s="9" t="n">
        <x:f>MIN('原始浓度'!F16:DN16)</x:f>
        <x:v>4.24</x:v>
      </x:c>
      <x:c r="I16" s="9" t="n">
        <x:f>_xlfn.MINIFS('原始浓度'!F16:DN16,'原始浓度'!F16:DN16,"&gt;0")</x:f>
        <x:v>4.24</x:v>
      </x:c>
      <x:c r="J16" s="9" t="n">
        <x:f>MEDIAN('原始浓度'!F16:DN16)</x:f>
        <x:v>11516</x:v>
      </x:c>
      <x:c r="K16" s="9" t="n">
        <x:f>MAX('原始浓度'!F16:DN16)</x:f>
        <x:v>1290235</x:v>
      </x:c>
      <x:c r="L16" s="9" t="n">
        <x:f>AVERAGE('原始浓度'!F16:DN16)</x:f>
        <x:v>106943.00625463917</x:v>
      </x:c>
      <x:c r="M16" s="9" t="n">
        <x:f>'原始浓度'!E16</x:f>
        <x:v>81.5</x:v>
      </x:c>
      <x:c r="N16" s="9" t="n">
        <x:f>J16/M16</x:f>
        <x:v>141.30061349693253</x:v>
      </x:c>
      <x:c r="O16" s="9" t="n">
        <x:f>L16/M16</x:f>
        <x:v>1312.1841258237935</x:v>
      </x:c>
      <x:c r="P16" s="10" t="n">
        <x:f>IF(AND(E16="可变",F16=3),I16,"")</x:f>
        <x:v>4.24</x:v>
      </x:c>
      <x:c r="Q16" s="10" t="n">
        <x:f>IF(E16="固定基底","",IF(F16=3,SQRT(I16*K16),J16))</x:f>
        <x:v>2338.9306103431118</x:v>
      </x:c>
      <x:c r="R16" s="10" t="n">
        <x:f>IF(E16="固定基底","",K16)</x:f>
        <x:v>1290235</x:v>
      </x:c>
      <x:c r="S16" s="9" t="n">
        <x:f>IF(E16="固定基底",L16,0)</x:f>
        <x:v>0</x:v>
      </x:c>
      <x:c r="T16" s="9" t="n">
        <x:f>S16*'方案总览'!$B$5/1000</x:f>
        <x:v>0</x:v>
      </x:c>
      <x:c r="U16" s="3" t="str">
        <x:v>M为几何中点，区别于原中位值</x:v>
      </x:c>
    </x:row>
    <x:row r="17" ht="24" customHeight="1">
      <x:c r="A17" s="3" t="n">
        <x:v>53</x:v>
      </x:c>
      <x:c r="B17" s="3" t="str">
        <x:v>乙醛二乙缩醛</x:v>
      </x:c>
      <x:c r="C17" s="3" t="str">
        <x:v>Acetal</x:v>
      </x:c>
      <x:c r="D17" s="3" t="str">
        <x:v>105-57-7</x:v>
      </x:c>
      <x:c r="E17" s="3" t="str">
        <x:v>可变</x:v>
      </x:c>
      <x:c r="F17" s="3" t="n">
        <x:v>3</x:v>
      </x:c>
      <x:c r="G17" s="3" t="n">
        <x:f>COUNT('原始浓度'!F17:DN17)</x:f>
        <x:v>63</x:v>
      </x:c>
      <x:c r="H17" s="9" t="n">
        <x:f>MIN('原始浓度'!F17:DN17)</x:f>
        <x:v>9.61</x:v>
      </x:c>
      <x:c r="I17" s="9" t="n">
        <x:f>_xlfn.MINIFS('原始浓度'!F17:DN17,'原始浓度'!F17:DN17,"&gt;0")</x:f>
        <x:v>9.61</x:v>
      </x:c>
      <x:c r="J17" s="9" t="n">
        <x:f>MEDIAN('原始浓度'!F17:DN17)</x:f>
        <x:v>77200</x:v>
      </x:c>
      <x:c r="K17" s="9" t="n">
        <x:f>MAX('原始浓度'!F17:DN17)</x:f>
        <x:v>784300</x:v>
      </x:c>
      <x:c r="L17" s="9" t="n">
        <x:f>AVERAGE('原始浓度'!F17:DN17)</x:f>
        <x:v>98196.77275079368</x:v>
      </x:c>
      <x:c r="M17" s="9" t="n">
        <x:f>'原始浓度'!E17</x:f>
        <x:v>2090</x:v>
      </x:c>
      <x:c r="N17" s="9" t="n">
        <x:f>J17/M17</x:f>
        <x:v>36.9377990430622</x:v>
      </x:c>
      <x:c r="O17" s="9" t="n">
        <x:f>L17/M17</x:f>
        <x:v>46.98410179463812</x:v>
      </x:c>
      <x:c r="P17" s="10" t="n">
        <x:f>IF(AND(E17="可变",F17=3),I17,"")</x:f>
        <x:v>9.61</x:v>
      </x:c>
      <x:c r="Q17" s="10" t="n">
        <x:f>IF(E17="固定基底","",IF(F17=3,SQRT(I17*K17),J17))</x:f>
        <x:v>2745.3821227654266</x:v>
      </x:c>
      <x:c r="R17" s="10" t="n">
        <x:f>IF(E17="固定基底","",K17)</x:f>
        <x:v>784300</x:v>
      </x:c>
      <x:c r="S17" s="9" t="n">
        <x:f>IF(E17="固定基底",L17,0)</x:f>
        <x:v>0</x:v>
      </x:c>
      <x:c r="T17" s="9" t="n">
        <x:f>S17*'方案总览'!$B$5/1000</x:f>
        <x:v>0</x:v>
      </x:c>
      <x:c r="U17" s="3" t="str">
        <x:v>M为几何中点，区别于原中位值</x:v>
      </x:c>
    </x:row>
    <x:row r="18" ht="24" customHeight="1">
      <x:c r="A18" s="3" t="n">
        <x:v>56</x:v>
      </x:c>
      <x:c r="B18" s="3" t="str">
        <x:v>丁酸异戊酯</x:v>
      </x:c>
      <x:c r="C18" s="3" t="str">
        <x:v>Isoamyl butyrate</x:v>
      </x:c>
      <x:c r="D18" s="3" t="str">
        <x:v>106-27-4</x:v>
      </x:c>
      <x:c r="E18" s="3" t="str">
        <x:v>可变</x:v>
      </x:c>
      <x:c r="F18" s="3" t="n">
        <x:v>2</x:v>
      </x:c>
      <x:c r="G18" s="3" t="n">
        <x:f>COUNT('原始浓度'!F18:DN18)</x:f>
        <x:v>56</x:v>
      </x:c>
      <x:c r="H18" s="9" t="n">
        <x:f>MIN('原始浓度'!F18:DN18)</x:f>
        <x:v>0.94</x:v>
      </x:c>
      <x:c r="I18" s="9" t="n">
        <x:f>_xlfn.MINIFS('原始浓度'!F18:DN18,'原始浓度'!F18:DN18,"&gt;0")</x:f>
        <x:v>0.94</x:v>
      </x:c>
      <x:c r="J18" s="9" t="n">
        <x:f>MEDIAN('原始浓度'!F18:DN18)</x:f>
        <x:v>1041.8500000000001</x:v>
      </x:c>
      <x:c r="K18" s="9" t="n">
        <x:f>MAX('原始浓度'!F18:DN18)</x:f>
        <x:v>4105</x:v>
      </x:c>
      <x:c r="L18" s="9" t="n">
        <x:f>AVERAGE('原始浓度'!F18:DN18)</x:f>
        <x:v>1260.4891964285712</x:v>
      </x:c>
      <x:c r="M18" s="9" t="n">
        <x:f>'原始浓度'!E18</x:f>
        <x:v>915</x:v>
      </x:c>
      <x:c r="N18" s="9" t="n">
        <x:f>J18/M18</x:f>
        <x:v>1.1386338797814208</x:v>
      </x:c>
      <x:c r="O18" s="9" t="n">
        <x:f>L18/M18</x:f>
        <x:v>1.377583821233411</x:v>
      </x:c>
      <x:c r="P18" s="10" t="str">
        <x:f>IF(AND(E18="可变",F18=3),I18,"")</x:f>
      </x:c>
      <x:c r="Q18" s="10" t="n">
        <x:f>IF(E18="固定基底","",IF(F18=3,SQRT(I18*K18),J18))</x:f>
        <x:v>1041.8500000000001</x:v>
      </x:c>
      <x:c r="R18" s="10" t="n">
        <x:f>IF(E18="固定基底","",K18)</x:f>
        <x:v>4105</x:v>
      </x:c>
      <x:c r="S18" s="9" t="n">
        <x:f>IF(E18="固定基底",L18,0)</x:f>
        <x:v>0</x:v>
      </x:c>
      <x:c r="T18" s="9" t="n">
        <x:f>S18*'方案总览'!$B$5/1000</x:f>
        <x:v>0</x:v>
      </x:c>
      <x:c r="U18" s="3" t="str">
        <x:v>M为原中位值，H为最大值</x:v>
      </x:c>
    </x:row>
    <x:row r="19" ht="24" customHeight="1">
      <x:c r="A19" s="3" t="n">
        <x:v>57</x:v>
      </x:c>
      <x:c r="B19" s="3" t="str">
        <x:v>庚酸乙酯</x:v>
      </x:c>
      <x:c r="C19" s="3" t="str">
        <x:v>Ethyl heptanoate</x:v>
      </x:c>
      <x:c r="D19" s="3" t="str">
        <x:v>106-30-9</x:v>
      </x:c>
      <x:c r="E19" s="3" t="str">
        <x:v>固定基底</x:v>
      </x:c>
      <x:c r="F19" s="3" t="n">
        <x:v>0</x:v>
      </x:c>
      <x:c r="G19" s="3" t="n">
        <x:f>COUNT('原始浓度'!F19:DN19)</x:f>
        <x:v>87</x:v>
      </x:c>
      <x:c r="H19" s="9" t="n">
        <x:f>MIN('原始浓度'!F19:DN19)</x:f>
        <x:v>0</x:v>
      </x:c>
      <x:c r="I19" s="9" t="n">
        <x:f>_xlfn.MINIFS('原始浓度'!F19:DN19,'原始浓度'!F19:DN19,"&gt;0")</x:f>
        <x:v>2</x:v>
      </x:c>
      <x:c r="J19" s="9" t="n">
        <x:f>MEDIAN('原始浓度'!F19:DN19)</x:f>
        <x:v>1210</x:v>
      </x:c>
      <x:c r="K19" s="9" t="n">
        <x:f>MAX('原始浓度'!F19:DN19)</x:f>
        <x:v>348671</x:v>
      </x:c>
      <x:c r="L19" s="9" t="n">
        <x:f>AVERAGE('原始浓度'!F19:DN19)</x:f>
        <x:v>27722.03097701148</x:v>
      </x:c>
      <x:c r="M19" s="9" t="n">
        <x:f>'原始浓度'!E19</x:f>
        <x:v>13153</x:v>
      </x:c>
      <x:c r="N19" s="9" t="n">
        <x:f>J19/M19</x:f>
        <x:v>0.0919942218505284</x:v>
      </x:c>
      <x:c r="O19" s="9" t="n">
        <x:f>L19/M19</x:f>
        <x:v>2.107658403178855</x:v>
      </x:c>
      <x:c r="P19" s="10" t="str">
        <x:f>IF(AND(E19="可变",F19=3),I19,"")</x:f>
      </x:c>
      <x:c r="Q19" s="10" t="str">
        <x:f>IF(E19="固定基底","",IF(F19=3,SQRT(I19*K19),J19))</x:f>
      </x:c>
      <x:c r="R19" s="10" t="str">
        <x:f>IF(E19="固定基底","",K19)</x:f>
      </x:c>
      <x:c r="S19" s="9" t="n">
        <x:f>IF(E19="固定基底",L19,0)</x:f>
        <x:v>27722.03097701148</x:v>
      </x:c>
      <x:c r="T19" s="9" t="n">
        <x:f>S19*'方案总览'!$B$5/1000</x:f>
        <x:v>554.4406195402296</x:v>
      </x:c>
      <x:c r="U19" s="3" t="str">
        <x:v>所有350瓶固定为均值</x:v>
      </x:c>
    </x:row>
    <x:row r="20" ht="24" customHeight="1">
      <x:c r="A20" s="3" t="n">
        <x:v>58</x:v>
      </x:c>
      <x:c r="B20" s="3" t="str">
        <x:v>辛酸乙酯</x:v>
      </x:c>
      <x:c r="C20" s="3" t="str">
        <x:v>Ethyl caprylate</x:v>
      </x:c>
      <x:c r="D20" s="3" t="str">
        <x:v>106-32-1</x:v>
      </x:c>
      <x:c r="E20" s="3" t="str">
        <x:v>可变</x:v>
      </x:c>
      <x:c r="F20" s="3" t="n">
        <x:v>3</x:v>
      </x:c>
      <x:c r="G20" s="3" t="n">
        <x:f>COUNT('原始浓度'!F20:DN20)</x:f>
        <x:v>100</x:v>
      </x:c>
      <x:c r="H20" s="9" t="n">
        <x:f>MIN('原始浓度'!F20:DN20)</x:f>
        <x:v>0</x:v>
      </x:c>
      <x:c r="I20" s="9" t="n">
        <x:f>_xlfn.MINIFS('原始浓度'!F20:DN20,'原始浓度'!F20:DN20,"&gt;0")</x:f>
        <x:v>5.06</x:v>
      </x:c>
      <x:c r="J20" s="9" t="n">
        <x:f>MEDIAN('原始浓度'!F20:DN20)</x:f>
        <x:v>1601</x:v>
      </x:c>
      <x:c r="K20" s="9" t="n">
        <x:f>MAX('原始浓度'!F20:DN20)</x:f>
        <x:v>1865945</x:v>
      </x:c>
      <x:c r="L20" s="9" t="n">
        <x:f>AVERAGE('原始浓度'!F20:DN20)</x:f>
        <x:v>52698.110949999995</x:v>
      </x:c>
      <x:c r="M20" s="9" t="n">
        <x:f>'原始浓度'!E20</x:f>
        <x:v>12.9</x:v>
      </x:c>
      <x:c r="N20" s="9" t="n">
        <x:f>J20/M20</x:f>
        <x:v>124.10852713178294</x:v>
      </x:c>
      <x:c r="O20" s="9" t="n">
        <x:f>L20/M20</x:f>
        <x:v>4085.1248798449606</x:v>
      </x:c>
      <x:c r="P20" s="10" t="n">
        <x:f>IF(AND(E20="可变",F20=3),I20,"")</x:f>
        <x:v>5.06</x:v>
      </x:c>
      <x:c r="Q20" s="10" t="n">
        <x:f>IF(E20="固定基底","",IF(F20=3,SQRT(I20*K20),J20))</x:f>
        <x:v>3072.731960324558</x:v>
      </x:c>
      <x:c r="R20" s="10" t="n">
        <x:f>IF(E20="固定基底","",K20)</x:f>
        <x:v>1865945</x:v>
      </x:c>
      <x:c r="S20" s="9" t="n">
        <x:f>IF(E20="固定基底",L20,0)</x:f>
        <x:v>0</x:v>
      </x:c>
      <x:c r="T20" s="9" t="n">
        <x:f>S20*'方案总览'!$B$5/1000</x:f>
        <x:v>0</x:v>
      </x:c>
      <x:c r="U20" s="3" t="str">
        <x:v>M为几何中点，区别于原中位值</x:v>
      </x:c>
    </x:row>
    <x:row r="21" ht="24" customHeight="1">
      <x:c r="A21" s="3" t="n">
        <x:v>61</x:v>
      </x:c>
      <x:c r="B21" s="3" t="str">
        <x:v>对甲酚</x:v>
      </x:c>
      <x:c r="C21" s="3" t="str">
        <x:v>p-cresol</x:v>
      </x:c>
      <x:c r="D21" s="3" t="str">
        <x:v>106-44-5</x:v>
      </x:c>
      <x:c r="E21" s="3" t="str">
        <x:v>可变</x:v>
      </x:c>
      <x:c r="F21" s="3" t="n">
        <x:v>3</x:v>
      </x:c>
      <x:c r="G21" s="3" t="n">
        <x:f>COUNT('原始浓度'!F21:DN21)</x:f>
        <x:v>71</x:v>
      </x:c>
      <x:c r="H21" s="9" t="n">
        <x:f>MIN('原始浓度'!F21:DN21)</x:f>
        <x:v>0.51</x:v>
      </x:c>
      <x:c r="I21" s="9" t="n">
        <x:f>_xlfn.MINIFS('原始浓度'!F21:DN21,'原始浓度'!F21:DN21,"&gt;0")</x:f>
        <x:v>0.51</x:v>
      </x:c>
      <x:c r="J21" s="9" t="n">
        <x:f>MEDIAN('原始浓度'!F21:DN21)</x:f>
        <x:v>359.87</x:v>
      </x:c>
      <x:c r="K21" s="9" t="n">
        <x:f>MAX('原始浓度'!F21:DN21)</x:f>
        <x:v>6914</x:v>
      </x:c>
      <x:c r="L21" s="9" t="n">
        <x:f>AVERAGE('原始浓度'!F21:DN21)</x:f>
        <x:v>959.5609154929575</x:v>
      </x:c>
      <x:c r="M21" s="9" t="n">
        <x:f>'原始浓度'!E21</x:f>
        <x:v>167</x:v>
      </x:c>
      <x:c r="N21" s="9" t="n">
        <x:f>J21/M21</x:f>
        <x:v>2.1549101796407184</x:v>
      </x:c>
      <x:c r="O21" s="9" t="n">
        <x:f>L21/M21</x:f>
        <x:v>5.745873745466811</x:v>
      </x:c>
      <x:c r="P21" s="10" t="n">
        <x:f>IF(AND(E21="可变",F21=3),I21,"")</x:f>
        <x:v>0.51</x:v>
      </x:c>
      <x:c r="Q21" s="10" t="n">
        <x:f>IF(E21="固定基底","",IF(F21=3,SQRT(I21*K21),J21))</x:f>
        <x:v>59.381310191002015</x:v>
      </x:c>
      <x:c r="R21" s="10" t="n">
        <x:f>IF(E21="固定基底","",K21)</x:f>
        <x:v>6914</x:v>
      </x:c>
      <x:c r="S21" s="9" t="n">
        <x:f>IF(E21="固定基底",L21,0)</x:f>
        <x:v>0</x:v>
      </x:c>
      <x:c r="T21" s="9" t="n">
        <x:f>S21*'方案总览'!$B$5/1000</x:f>
        <x:v>0</x:v>
      </x:c>
      <x:c r="U21" s="3" t="str">
        <x:v>M为几何中点，区别于原中位值</x:v>
      </x:c>
    </x:row>
    <x:row r="22" ht="24" customHeight="1">
      <x:c r="A22" s="3" t="n">
        <x:v>65</x:v>
      </x:c>
      <x:c r="B22" s="3" t="str">
        <x:v>丁酸</x:v>
      </x:c>
      <x:c r="C22" s="3" t="str">
        <x:v>Butyric Acid</x:v>
      </x:c>
      <x:c r="D22" s="3" t="str">
        <x:v>107-92-6</x:v>
      </x:c>
      <x:c r="E22" s="3" t="str">
        <x:v>固定基底</x:v>
      </x:c>
      <x:c r="F22" s="3" t="n">
        <x:v>0</x:v>
      </x:c>
      <x:c r="G22" s="3" t="n">
        <x:f>COUNT('原始浓度'!F22:DN22)</x:f>
        <x:v>84</x:v>
      </x:c>
      <x:c r="H22" s="9" t="n">
        <x:f>MIN('原始浓度'!F22:DN22)</x:f>
        <x:v>4.16</x:v>
      </x:c>
      <x:c r="I22" s="9" t="n">
        <x:f>_xlfn.MINIFS('原始浓度'!F22:DN22,'原始浓度'!F22:DN22,"&gt;0")</x:f>
        <x:v>4.16</x:v>
      </x:c>
      <x:c r="J22" s="9" t="n">
        <x:f>MEDIAN('原始浓度'!F22:DN22)</x:f>
        <x:v>803.5</x:v>
      </x:c>
      <x:c r="K22" s="9" t="n">
        <x:f>MAX('原始浓度'!F22:DN22)</x:f>
        <x:v>295816</x:v>
      </x:c>
      <x:c r="L22" s="9" t="n">
        <x:f>AVERAGE('原始浓度'!F22:DN22)</x:f>
        <x:v>44345.55047619048</x:v>
      </x:c>
      <x:c r="M22" s="9" t="n">
        <x:f>'原始浓度'!E22</x:f>
        <x:v>965</x:v>
      </x:c>
      <x:c r="N22" s="9" t="n">
        <x:f>J22/M22</x:f>
        <x:v>0.8326424870466321</x:v>
      </x:c>
      <x:c r="O22" s="9" t="n">
        <x:f>L22/M22</x:f>
        <x:v>45.95393831729584</x:v>
      </x:c>
      <x:c r="P22" s="10" t="str">
        <x:f>IF(AND(E22="可变",F22=3),I22,"")</x:f>
      </x:c>
      <x:c r="Q22" s="10" t="str">
        <x:f>IF(E22="固定基底","",IF(F22=3,SQRT(I22*K22),J22))</x:f>
      </x:c>
      <x:c r="R22" s="10" t="str">
        <x:f>IF(E22="固定基底","",K22)</x:f>
      </x:c>
      <x:c r="S22" s="9" t="n">
        <x:f>IF(E22="固定基底",L22,0)</x:f>
        <x:v>44345.55047619048</x:v>
      </x:c>
      <x:c r="T22" s="9" t="n">
        <x:f>S22*'方案总览'!$B$5/1000</x:f>
        <x:v>886.9110095238096</x:v>
      </x:c>
      <x:c r="U22" s="3" t="str">
        <x:v>所有350瓶固定为均值</x:v>
      </x:c>
    </x:row>
    <x:row r="23" ht="24" customHeight="1">
      <x:c r="A23" s="3" t="n">
        <x:v>69</x:v>
      </x:c>
      <x:c r="B23" s="3" t="str">
        <x:v>异戊酸乙酯（3-甲基丁酸乙酯）</x:v>
      </x:c>
      <x:c r="C23" s="3" t="str">
        <x:v>Ethyl isovalerate</x:v>
      </x:c>
      <x:c r="D23" s="3" t="str">
        <x:v>108-64-5</x:v>
      </x:c>
      <x:c r="E23" s="3" t="str">
        <x:v>可变</x:v>
      </x:c>
      <x:c r="F23" s="3" t="n">
        <x:v>3</x:v>
      </x:c>
      <x:c r="G23" s="3" t="n">
        <x:f>COUNT('原始浓度'!F23:DN23)</x:f>
        <x:v>45</x:v>
      </x:c>
      <x:c r="H23" s="9" t="n">
        <x:f>MIN('原始浓度'!F23:DN23)</x:f>
        <x:v>0.83</x:v>
      </x:c>
      <x:c r="I23" s="9" t="n">
        <x:f>_xlfn.MINIFS('原始浓度'!F23:DN23,'原始浓度'!F23:DN23,"&gt;0")</x:f>
        <x:v>0.83</x:v>
      </x:c>
      <x:c r="J23" s="9" t="n">
        <x:f>MEDIAN('原始浓度'!F23:DN23)</x:f>
        <x:v>553</x:v>
      </x:c>
      <x:c r="K23" s="9" t="n">
        <x:f>MAX('原始浓度'!F23:DN23)</x:f>
        <x:v>12022.2</x:v>
      </x:c>
      <x:c r="L23" s="9" t="n">
        <x:f>AVERAGE('原始浓度'!F23:DN23)</x:f>
        <x:v>1755.1405200000002</x:v>
      </x:c>
      <x:c r="M23" s="9" t="n">
        <x:f>'原始浓度'!E23</x:f>
        <x:v>6.89</x:v>
      </x:c>
      <x:c r="N23" s="9" t="n">
        <x:f>J23/M23</x:f>
        <x:v>80.2612481857765</x:v>
      </x:c>
      <x:c r="O23" s="9" t="n">
        <x:f>L23/M23</x:f>
        <x:v>254.73737590711178</x:v>
      </x:c>
      <x:c r="P23" s="10" t="n">
        <x:f>IF(AND(E23="可变",F23=3),I23,"")</x:f>
        <x:v>0.83</x:v>
      </x:c>
      <x:c r="Q23" s="10" t="n">
        <x:f>IF(E23="固定基底","",IF(F23=3,SQRT(I23*K23),J23))</x:f>
        <x:v>99.89207175747232</x:v>
      </x:c>
      <x:c r="R23" s="10" t="n">
        <x:f>IF(E23="固定基底","",K23)</x:f>
        <x:v>12022.2</x:v>
      </x:c>
      <x:c r="S23" s="9" t="n">
        <x:f>IF(E23="固定基底",L23,0)</x:f>
        <x:v>0</x:v>
      </x:c>
      <x:c r="T23" s="9" t="n">
        <x:f>S23*'方案总览'!$B$5/1000</x:f>
        <x:v>0</x:v>
      </x:c>
      <x:c r="U23" s="3" t="str">
        <x:v>M为几何中点，区别于原中位值</x:v>
      </x:c>
    </x:row>
    <x:row r="24" ht="24" customHeight="1">
      <x:c r="A24" s="3" t="n">
        <x:v>75</x:v>
      </x:c>
      <x:c r="B24" s="3" t="str">
        <x:v>戊酸</x:v>
      </x:c>
      <x:c r="C24" s="3" t="str">
        <x:v>Valeric acid</x:v>
      </x:c>
      <x:c r="D24" s="3" t="str">
        <x:v>109-52-4</x:v>
      </x:c>
      <x:c r="E24" s="3" t="str">
        <x:v>可变</x:v>
      </x:c>
      <x:c r="F24" s="3" t="n">
        <x:v>3</x:v>
      </x:c>
      <x:c r="G24" s="3" t="n">
        <x:f>COUNT('原始浓度'!F24:DN24)</x:f>
        <x:v>91</x:v>
      </x:c>
      <x:c r="H24" s="9" t="n">
        <x:f>MIN('原始浓度'!F24:DN24)</x:f>
        <x:v>0</x:v>
      </x:c>
      <x:c r="I24" s="9" t="n">
        <x:f>_xlfn.MINIFS('原始浓度'!F24:DN24,'原始浓度'!F24:DN24,"&gt;0")</x:f>
        <x:v>1.75</x:v>
      </x:c>
      <x:c r="J24" s="9" t="n">
        <x:f>MEDIAN('原始浓度'!F24:DN24)</x:f>
        <x:v>2417</x:v>
      </x:c>
      <x:c r="K24" s="9" t="n">
        <x:f>MAX('原始浓度'!F24:DN24)</x:f>
        <x:v>62700</x:v>
      </x:c>
      <x:c r="L24" s="9" t="n">
        <x:f>AVERAGE('原始浓度'!F24:DN24)</x:f>
        <x:v>12082.561978021977</x:v>
      </x:c>
      <x:c r="M24" s="9" t="n">
        <x:f>'原始浓度'!E24</x:f>
        <x:v>389</x:v>
      </x:c>
      <x:c r="N24" s="9" t="n">
        <x:f>J24/M24</x:f>
        <x:v>6.213367609254499</x:v>
      </x:c>
      <x:c r="O24" s="9" t="n">
        <x:f>L24/M24</x:f>
        <x:v>31.06057063758863</x:v>
      </x:c>
      <x:c r="P24" s="10" t="n">
        <x:f>IF(AND(E24="可变",F24=3),I24,"")</x:f>
        <x:v>1.75</x:v>
      </x:c>
      <x:c r="Q24" s="10" t="n">
        <x:f>IF(E24="固定基底","",IF(F24=3,SQRT(I24*K24),J24))</x:f>
        <x:v>331.2476415010377</x:v>
      </x:c>
      <x:c r="R24" s="10" t="n">
        <x:f>IF(E24="固定基底","",K24)</x:f>
        <x:v>62700</x:v>
      </x:c>
      <x:c r="S24" s="9" t="n">
        <x:f>IF(E24="固定基底",L24,0)</x:f>
        <x:v>0</x:v>
      </x:c>
      <x:c r="T24" s="9" t="n">
        <x:f>S24*'方案总览'!$B$5/1000</x:f>
        <x:v>0</x:v>
      </x:c>
      <x:c r="U24" s="3" t="str">
        <x:v>M为几何中点，区别于原中位值</x:v>
      </x:c>
    </x:row>
    <x:row r="25" ht="24" customHeight="1">
      <x:c r="A25" s="3" t="n">
        <x:v>79</x:v>
      </x:c>
      <x:c r="B25" s="3" t="str">
        <x:v>癸酸乙酯</x:v>
      </x:c>
      <x:c r="C25" s="3" t="str">
        <x:v>Ethyl decanoate</x:v>
      </x:c>
      <x:c r="D25" s="3" t="str">
        <x:v>110-38-3</x:v>
      </x:c>
      <x:c r="E25" s="3" t="str">
        <x:v>可变</x:v>
      </x:c>
      <x:c r="F25" s="3" t="n">
        <x:v>2</x:v>
      </x:c>
      <x:c r="G25" s="3" t="n">
        <x:f>COUNT('原始浓度'!F25:DN25)</x:f>
        <x:v>89</x:v>
      </x:c>
      <x:c r="H25" s="9" t="n">
        <x:f>MIN('原始浓度'!F25:DN25)</x:f>
        <x:v>0</x:v>
      </x:c>
      <x:c r="I25" s="9" t="n">
        <x:f>_xlfn.MINIFS('原始浓度'!F25:DN25,'原始浓度'!F25:DN25,"&gt;0")</x:f>
        <x:v>1.75</x:v>
      </x:c>
      <x:c r="J25" s="9" t="n">
        <x:f>MEDIAN('原始浓度'!F25:DN25)</x:f>
        <x:v>1288.255</x:v>
      </x:c>
      <x:c r="K25" s="9" t="n">
        <x:f>MAX('原始浓度'!F25:DN25)</x:f>
        <x:v>56115</x:v>
      </x:c>
      <x:c r="L25" s="9" t="n">
        <x:f>AVERAGE('原始浓度'!F25:DN25)</x:f>
        <x:v>4700.830561797755</x:v>
      </x:c>
      <x:c r="M25" s="9" t="n">
        <x:f>'原始浓度'!E25</x:f>
        <x:v>1120</x:v>
      </x:c>
      <x:c r="N25" s="9" t="n">
        <x:f>J25/M25</x:f>
        <x:v>1.1502276785714287</x:v>
      </x:c>
      <x:c r="O25" s="9" t="n">
        <x:f>L25/M25</x:f>
        <x:v>4.197170144462281</x:v>
      </x:c>
      <x:c r="P25" s="10" t="str">
        <x:f>IF(AND(E25="可变",F25=3),I25,"")</x:f>
      </x:c>
      <x:c r="Q25" s="10" t="n">
        <x:f>IF(E25="固定基底","",IF(F25=3,SQRT(I25*K25),J25))</x:f>
        <x:v>1288.255</x:v>
      </x:c>
      <x:c r="R25" s="10" t="n">
        <x:f>IF(E25="固定基底","",K25)</x:f>
        <x:v>56115</x:v>
      </x:c>
      <x:c r="S25" s="9" t="n">
        <x:f>IF(E25="固定基底",L25,0)</x:f>
        <x:v>0</x:v>
      </x:c>
      <x:c r="T25" s="9" t="n">
        <x:f>S25*'方案总览'!$B$5/1000</x:f>
        <x:v>0</x:v>
      </x:c>
      <x:c r="U25" s="3" t="str">
        <x:v>M为原中位值，H为最大值</x:v>
      </x:c>
    </x:row>
    <x:row r="26" ht="24" customHeight="1">
      <x:c r="A26" s="3" t="n">
        <x:v>85</x:v>
      </x:c>
      <x:c r="B26" s="3" t="str">
        <x:v>1-己醇</x:v>
      </x:c>
      <x:c r="C26" s="3" t="str">
        <x:v>1-Hexanol</x:v>
      </x:c>
      <x:c r="D26" s="3" t="str">
        <x:v>111-27-3</x:v>
      </x:c>
      <x:c r="E26" s="3" t="str">
        <x:v>固定基底</x:v>
      </x:c>
      <x:c r="F26" s="3" t="n">
        <x:v>0</x:v>
      </x:c>
      <x:c r="G26" s="3" t="n">
        <x:f>COUNT('原始浓度'!F26:DN26)</x:f>
        <x:v>95</x:v>
      </x:c>
      <x:c r="H26" s="9" t="n">
        <x:f>MIN('原始浓度'!F26:DN26)</x:f>
        <x:v>0</x:v>
      </x:c>
      <x:c r="I26" s="9" t="n">
        <x:f>_xlfn.MINIFS('原始浓度'!F26:DN26,'原始浓度'!F26:DN26,"&gt;0")</x:f>
        <x:v>5</x:v>
      </x:c>
      <x:c r="J26" s="9" t="n">
        <x:f>MEDIAN('原始浓度'!F26:DN26)</x:f>
        <x:v>3900</x:v>
      </x:c>
      <x:c r="K26" s="9" t="n">
        <x:f>MAX('原始浓度'!F26:DN26)</x:f>
        <x:v>1869000</x:v>
      </x:c>
      <x:c r="L26" s="9" t="n">
        <x:f>AVERAGE('原始浓度'!F26:DN26)</x:f>
        <x:v>153318.30499999996</x:v>
      </x:c>
      <x:c r="M26" s="9" t="n">
        <x:f>'原始浓度'!E26</x:f>
        <x:v>5370</x:v>
      </x:c>
      <x:c r="N26" s="9" t="n">
        <x:f>J26/M26</x:f>
        <x:v>0.7262569832402235</x:v>
      </x:c>
      <x:c r="O26" s="9" t="n">
        <x:f>L26/M26</x:f>
        <x:v>28.550894785847294</x:v>
      </x:c>
      <x:c r="P26" s="10" t="str">
        <x:f>IF(AND(E26="可变",F26=3),I26,"")</x:f>
      </x:c>
      <x:c r="Q26" s="10" t="str">
        <x:f>IF(E26="固定基底","",IF(F26=3,SQRT(I26*K26),J26))</x:f>
      </x:c>
      <x:c r="R26" s="10" t="str">
        <x:f>IF(E26="固定基底","",K26)</x:f>
      </x:c>
      <x:c r="S26" s="9" t="n">
        <x:f>IF(E26="固定基底",L26,0)</x:f>
        <x:v>153318.30499999996</x:v>
      </x:c>
      <x:c r="T26" s="9" t="n">
        <x:f>S26*'方案总览'!$B$5/1000</x:f>
        <x:v>3066.3660999999993</x:v>
      </x:c>
      <x:c r="U26" s="3" t="str">
        <x:v>所有350瓶固定为均值</x:v>
      </x:c>
    </x:row>
    <x:row r="27" ht="24" customHeight="1">
      <x:c r="A27" s="3" t="n">
        <x:v>90</x:v>
      </x:c>
      <x:c r="B27" s="3" t="str">
        <x:v>1-辛醇</x:v>
      </x:c>
      <x:c r="C27" s="3" t="str">
        <x:v>1-octanol</x:v>
      </x:c>
      <x:c r="D27" s="3" t="str">
        <x:v>111-87-5</x:v>
      </x:c>
      <x:c r="E27" s="3" t="str">
        <x:v>可变</x:v>
      </x:c>
      <x:c r="F27" s="3" t="n">
        <x:v>2</x:v>
      </x:c>
      <x:c r="G27" s="3" t="n">
        <x:f>COUNT('原始浓度'!F27:DN27)</x:f>
        <x:v>53</x:v>
      </x:c>
      <x:c r="H27" s="9" t="n">
        <x:f>MIN('原始浓度'!F27:DN27)</x:f>
        <x:v>0.4</x:v>
      </x:c>
      <x:c r="I27" s="9" t="n">
        <x:f>_xlfn.MINIFS('原始浓度'!F27:DN27,'原始浓度'!F27:DN27,"&gt;0")</x:f>
        <x:v>0.4</x:v>
      </x:c>
      <x:c r="J27" s="9" t="n">
        <x:f>MEDIAN('原始浓度'!F27:DN27)</x:f>
        <x:v>1232.25</x:v>
      </x:c>
      <x:c r="K27" s="9" t="n">
        <x:f>MAX('原始浓度'!F27:DN27)</x:f>
        <x:v>25642.45</x:v>
      </x:c>
      <x:c r="L27" s="9" t="n">
        <x:f>AVERAGE('原始浓度'!F27:DN27)</x:f>
        <x:v>2260.9195283018867</x:v>
      </x:c>
      <x:c r="M27" s="9" t="n">
        <x:f>'原始浓度'!E27</x:f>
        <x:v>1100</x:v>
      </x:c>
      <x:c r="N27" s="9" t="n">
        <x:f>J27/M27</x:f>
        <x:v>1.1202272727272726</x:v>
      </x:c>
      <x:c r="O27" s="9" t="n">
        <x:f>L27/M27</x:f>
        <x:v>2.0553813893653516</x:v>
      </x:c>
      <x:c r="P27" s="10" t="str">
        <x:f>IF(AND(E27="可变",F27=3),I27,"")</x:f>
      </x:c>
      <x:c r="Q27" s="10" t="n">
        <x:f>IF(E27="固定基底","",IF(F27=3,SQRT(I27*K27),J27))</x:f>
        <x:v>1232.25</x:v>
      </x:c>
      <x:c r="R27" s="10" t="n">
        <x:f>IF(E27="固定基底","",K27)</x:f>
        <x:v>25642.45</x:v>
      </x:c>
      <x:c r="S27" s="9" t="n">
        <x:f>IF(E27="固定基底",L27,0)</x:f>
        <x:v>0</x:v>
      </x:c>
      <x:c r="T27" s="9" t="n">
        <x:f>S27*'方案总览'!$B$5/1000</x:f>
        <x:v>0</x:v>
      </x:c>
      <x:c r="U27" s="3" t="str">
        <x:v>M为原中位值，H为最大值</x:v>
      </x:c>
    </x:row>
    <x:row r="28" ht="24" customHeight="1">
      <x:c r="A28" s="3" t="n">
        <x:v>105</x:v>
      </x:c>
      <x:c r="B28" s="3" t="str">
        <x:v>苯乙醛</x:v>
      </x:c>
      <x:c r="C28" s="3" t="str">
        <x:v>Phenylacetaldehyde</x:v>
      </x:c>
      <x:c r="D28" s="3" t="str">
        <x:v>122-78-1</x:v>
      </x:c>
      <x:c r="E28" s="3" t="str">
        <x:v>可变</x:v>
      </x:c>
      <x:c r="F28" s="3" t="n">
        <x:v>3</x:v>
      </x:c>
      <x:c r="G28" s="3" t="n">
        <x:f>COUNT('原始浓度'!F28:DN28)</x:f>
        <x:v>44</x:v>
      </x:c>
      <x:c r="H28" s="9" t="n">
        <x:f>MIN('原始浓度'!F28:DN28)</x:f>
        <x:v>0.05</x:v>
      </x:c>
      <x:c r="I28" s="9" t="n">
        <x:f>_xlfn.MINIFS('原始浓度'!F28:DN28,'原始浓度'!F28:DN28,"&gt;0")</x:f>
        <x:v>0.05</x:v>
      </x:c>
      <x:c r="J28" s="9" t="n">
        <x:f>MEDIAN('原始浓度'!F28:DN28)</x:f>
        <x:v>556.325</x:v>
      </x:c>
      <x:c r="K28" s="9" t="n">
        <x:f>MAX('原始浓度'!F28:DN28)</x:f>
        <x:v>15730</x:v>
      </x:c>
      <x:c r="L28" s="9" t="n">
        <x:f>AVERAGE('原始浓度'!F28:DN28)</x:f>
        <x:v>1623.2574999999995</x:v>
      </x:c>
      <x:c r="M28" s="9" t="n">
        <x:f>'原始浓度'!E28</x:f>
        <x:v>262</x:v>
      </x:c>
      <x:c r="N28" s="9" t="n">
        <x:f>J28/M28</x:f>
        <x:v>2.12337786259542</x:v>
      </x:c>
      <x:c r="O28" s="9" t="n">
        <x:f>L28/M28</x:f>
        <x:v>6.1956393129770975</x:v>
      </x:c>
      <x:c r="P28" s="10" t="n">
        <x:f>IF(AND(E28="可变",F28=3),I28,"")</x:f>
        <x:v>0.05</x:v>
      </x:c>
      <x:c r="Q28" s="10" t="n">
        <x:f>IF(E28="固定基底","",IF(F28=3,SQRT(I28*K28),J28))</x:f>
        <x:v>28.044607324760317</x:v>
      </x:c>
      <x:c r="R28" s="10" t="n">
        <x:f>IF(E28="固定基底","",K28)</x:f>
        <x:v>15730</x:v>
      </x:c>
      <x:c r="S28" s="9" t="n">
        <x:f>IF(E28="固定基底",L28,0)</x:f>
        <x:v>0</x:v>
      </x:c>
      <x:c r="T28" s="9" t="n">
        <x:f>S28*'方案总览'!$B$5/1000</x:f>
        <x:v>0</x:v>
      </x:c>
      <x:c r="U28" s="3" t="str">
        <x:v>M为几何中点，区别于原中位值</x:v>
      </x:c>
    </x:row>
    <x:row r="29" ht="24" customHeight="1">
      <x:c r="A29" s="3" t="n">
        <x:v>106</x:v>
      </x:c>
      <x:c r="B29" s="3" t="str">
        <x:v>4-乙基苯酚</x:v>
      </x:c>
      <x:c r="C29" s="3" t="str">
        <x:v>4-ethylphenol</x:v>
      </x:c>
      <x:c r="D29" s="3" t="str">
        <x:v>123-07-9</x:v>
      </x:c>
      <x:c r="E29" s="3" t="str">
        <x:v>固定基底</x:v>
      </x:c>
      <x:c r="F29" s="3" t="n">
        <x:v>0</x:v>
      </x:c>
      <x:c r="G29" s="3" t="n">
        <x:f>COUNT('原始浓度'!F29:DN29)</x:f>
        <x:v>51</x:v>
      </x:c>
      <x:c r="H29" s="9" t="n">
        <x:f>MIN('原始浓度'!F29:DN29)</x:f>
        <x:v>0.26</x:v>
      </x:c>
      <x:c r="I29" s="9" t="n">
        <x:f>_xlfn.MINIFS('原始浓度'!F29:DN29,'原始浓度'!F29:DN29,"&gt;0")</x:f>
        <x:v>0.26</x:v>
      </x:c>
      <x:c r="J29" s="9" t="n">
        <x:f>MEDIAN('原始浓度'!F29:DN29)</x:f>
        <x:v>73.175</x:v>
      </x:c>
      <x:c r="K29" s="9" t="n">
        <x:f>MAX('原始浓度'!F29:DN29)</x:f>
        <x:v>2501.24</x:v>
      </x:c>
      <x:c r="L29" s="9" t="n">
        <x:f>AVERAGE('原始浓度'!F29:DN29)</x:f>
        <x:v>312.7970588235294</x:v>
      </x:c>
      <x:c r="M29" s="9" t="n">
        <x:f>'原始浓度'!E29</x:f>
        <x:v>123</x:v>
      </x:c>
      <x:c r="N29" s="9" t="n">
        <x:f>J29/M29</x:f>
        <x:v>0.5949186991869918</x:v>
      </x:c>
      <x:c r="O29" s="9" t="n">
        <x:f>L29/M29</x:f>
        <x:v>2.543065518890483</x:v>
      </x:c>
      <x:c r="P29" s="10" t="str">
        <x:f>IF(AND(E29="可变",F29=3),I29,"")</x:f>
      </x:c>
      <x:c r="Q29" s="10" t="str">
        <x:f>IF(E29="固定基底","",IF(F29=3,SQRT(I29*K29),J29))</x:f>
      </x:c>
      <x:c r="R29" s="10" t="str">
        <x:f>IF(E29="固定基底","",K29)</x:f>
      </x:c>
      <x:c r="S29" s="9" t="n">
        <x:f>IF(E29="固定基底",L29,0)</x:f>
        <x:v>312.7970588235294</x:v>
      </x:c>
      <x:c r="T29" s="9" t="n">
        <x:f>S29*'方案总览'!$B$5/1000</x:f>
        <x:v>6.255941176470588</x:v>
      </x:c>
      <x:c r="U29" s="3" t="str">
        <x:v>所有350瓶固定为均值</x:v>
      </x:c>
    </x:row>
    <x:row r="30" ht="24" customHeight="1">
      <x:c r="A30" s="3" t="n">
        <x:v>110</x:v>
      </x:c>
      <x:c r="B30" s="3" t="str">
        <x:v>3-甲基-1-丁醇（异戊醇）</x:v>
      </x:c>
      <x:c r="C30" s="3" t="str">
        <x:v>3-Methyl-1-butanol</x:v>
      </x:c>
      <x:c r="D30" s="3" t="str">
        <x:v>123-51-3</x:v>
      </x:c>
      <x:c r="E30" s="3" t="str">
        <x:v>固定基底</x:v>
      </x:c>
      <x:c r="F30" s="3" t="n">
        <x:v>0</x:v>
      </x:c>
      <x:c r="G30" s="3" t="n">
        <x:f>COUNT('原始浓度'!F30:DN30)</x:f>
        <x:v>94</x:v>
      </x:c>
      <x:c r="H30" s="9" t="n">
        <x:f>MIN('原始浓度'!F30:DN30)</x:f>
        <x:v>0.59</x:v>
      </x:c>
      <x:c r="I30" s="9" t="n">
        <x:f>_xlfn.MINIFS('原始浓度'!F30:DN30,'原始浓度'!F30:DN30,"&gt;0")</x:f>
        <x:v>0.59</x:v>
      </x:c>
      <x:c r="J30" s="9" t="n">
        <x:f>MEDIAN('原始浓度'!F30:DN30)</x:f>
        <x:v>23666.83335</x:v>
      </x:c>
      <x:c r="K30" s="9" t="n">
        <x:f>MAX('原始浓度'!F30:DN30)</x:f>
        <x:v>1132450</x:v>
      </x:c>
      <x:c r="L30" s="9" t="n">
        <x:f>AVERAGE('原始浓度'!F30:DN30)</x:f>
        <x:v>104175.5097553192</x:v>
      </x:c>
      <x:c r="M30" s="9" t="n">
        <x:f>'原始浓度'!E30</x:f>
        <x:v>179191</x:v>
      </x:c>
      <x:c r="N30" s="9" t="n">
        <x:f>J30/M30</x:f>
        <x:v>0.13207601581552644</x:v>
      </x:c>
      <x:c r="O30" s="9" t="n">
        <x:f>L30/M30</x:f>
        <x:v>0.5813657480304212</x:v>
      </x:c>
      <x:c r="P30" s="10" t="str">
        <x:f>IF(AND(E30="可变",F30=3),I30,"")</x:f>
      </x:c>
      <x:c r="Q30" s="10" t="str">
        <x:f>IF(E30="固定基底","",IF(F30=3,SQRT(I30*K30),J30))</x:f>
      </x:c>
      <x:c r="R30" s="10" t="str">
        <x:f>IF(E30="固定基底","",K30)</x:f>
      </x:c>
      <x:c r="S30" s="9" t="n">
        <x:f>IF(E30="固定基底",L30,0)</x:f>
        <x:v>104175.5097553192</x:v>
      </x:c>
      <x:c r="T30" s="9" t="n">
        <x:f>S30*'方案总览'!$B$5/1000</x:f>
        <x:v>2083.510195106384</x:v>
      </x:c>
      <x:c r="U30" s="3" t="str">
        <x:v>所有350瓶固定为均值</x:v>
      </x:c>
    </x:row>
    <x:row r="31" ht="24" customHeight="1">
      <x:c r="A31" s="3" t="n">
        <x:v>111</x:v>
      </x:c>
      <x:c r="B31" s="3" t="str">
        <x:v>己酸乙酯</x:v>
      </x:c>
      <x:c r="C31" s="3" t="str">
        <x:v>Ethyl Hexanoate</x:v>
      </x:c>
      <x:c r="D31" s="3" t="str">
        <x:v>123-66-0</x:v>
      </x:c>
      <x:c r="E31" s="3" t="str">
        <x:v>可变</x:v>
      </x:c>
      <x:c r="F31" s="3" t="n">
        <x:v>3</x:v>
      </x:c>
      <x:c r="G31" s="3" t="n">
        <x:f>COUNT('原始浓度'!F31:DN31)</x:f>
        <x:v>99</x:v>
      </x:c>
      <x:c r="H31" s="9" t="n">
        <x:f>MIN('原始浓度'!F31:DN31)</x:f>
        <x:v>833.64</x:v>
      </x:c>
      <x:c r="I31" s="9" t="n">
        <x:f>_xlfn.MINIFS('原始浓度'!F31:DN31,'原始浓度'!F31:DN31,"&gt;0")</x:f>
        <x:v>833.64</x:v>
      </x:c>
      <x:c r="J31" s="9" t="n">
        <x:f>MEDIAN('原始浓度'!F31:DN31)</x:f>
        <x:v>215340</x:v>
      </x:c>
      <x:c r="K31" s="9" t="n">
        <x:f>MAX('原始浓度'!F31:DN31)</x:f>
        <x:v>9622120</x:v>
      </x:c>
      <x:c r="L31" s="9" t="n">
        <x:f>AVERAGE('原始浓度'!F31:DN31)</x:f>
        <x:v>789273.030487879</x:v>
      </x:c>
      <x:c r="M31" s="9" t="n">
        <x:f>'原始浓度'!E31</x:f>
        <x:v>55.3</x:v>
      </x:c>
      <x:c r="N31" s="9" t="n">
        <x:f>J31/M31</x:f>
        <x:v>3894.0325497287527</x:v>
      </x:c>
      <x:c r="O31" s="9" t="n">
        <x:f>L31/M31</x:f>
        <x:v>14272.568363252785</x:v>
      </x:c>
      <x:c r="P31" s="10" t="n">
        <x:f>IF(AND(E31="可变",F31=3),I31,"")</x:f>
        <x:v>833.64</x:v>
      </x:c>
      <x:c r="Q31" s="10" t="n">
        <x:f>IF(E31="固定基底","",IF(F31=3,SQRT(I31*K31),J31))</x:f>
        <x:v>89562.18016998023</x:v>
      </x:c>
      <x:c r="R31" s="10" t="n">
        <x:f>IF(E31="固定基底","",K31)</x:f>
        <x:v>9622120</x:v>
      </x:c>
      <x:c r="S31" s="9" t="n">
        <x:f>IF(E31="固定基底",L31,0)</x:f>
        <x:v>0</x:v>
      </x:c>
      <x:c r="T31" s="9" t="n">
        <x:f>S31*'方案总览'!$B$5/1000</x:f>
        <x:v>0</x:v>
      </x:c>
      <x:c r="U31" s="3" t="str">
        <x:v>M为几何中点，区别于原中位值</x:v>
      </x:c>
    </x:row>
    <x:row r="32" ht="24" customHeight="1">
      <x:c r="A32" s="3" t="n">
        <x:v>114</x:v>
      </x:c>
      <x:c r="B32" s="3" t="str">
        <x:v>乙酸丁酯</x:v>
      </x:c>
      <x:c r="C32" s="3" t="str">
        <x:v>Butyl acetate</x:v>
      </x:c>
      <x:c r="D32" s="3" t="str">
        <x:v>123-86-4</x:v>
      </x:c>
      <x:c r="E32" s="3" t="str">
        <x:v>可变</x:v>
      </x:c>
      <x:c r="F32" s="3" t="n">
        <x:v>2</x:v>
      </x:c>
      <x:c r="G32" s="3" t="n">
        <x:f>COUNT('原始浓度'!F32:DN32)</x:f>
        <x:v>30</x:v>
      </x:c>
      <x:c r="H32" s="9" t="n">
        <x:f>MIN('原始浓度'!F32:DN32)</x:f>
        <x:v>9.45</x:v>
      </x:c>
      <x:c r="I32" s="9" t="n">
        <x:f>_xlfn.MINIFS('原始浓度'!F32:DN32,'原始浓度'!F32:DN32,"&gt;0")</x:f>
        <x:v>9.45</x:v>
      </x:c>
      <x:c r="J32" s="9" t="n">
        <x:f>MEDIAN('原始浓度'!F32:DN32)</x:f>
        <x:v>3147.945</x:v>
      </x:c>
      <x:c r="K32" s="9" t="n">
        <x:f>MAX('原始浓度'!F32:DN32)</x:f>
        <x:v>47100</x:v>
      </x:c>
      <x:c r="L32" s="9" t="n">
        <x:f>AVERAGE('原始浓度'!F32:DN32)</x:f>
        <x:v>4783.743</x:v>
      </x:c>
      <x:c r="M32" s="9" t="n">
        <x:f>'原始浓度'!E32</x:f>
        <x:v>1800</x:v>
      </x:c>
      <x:c r="N32" s="9" t="n">
        <x:f>J32/M32</x:f>
        <x:v>1.7488583333333334</x:v>
      </x:c>
      <x:c r="O32" s="9" t="n">
        <x:f>L32/M32</x:f>
        <x:v>2.6576350000000004</x:v>
      </x:c>
      <x:c r="P32" s="10" t="str">
        <x:f>IF(AND(E32="可变",F32=3),I32,"")</x:f>
      </x:c>
      <x:c r="Q32" s="10" t="n">
        <x:f>IF(E32="固定基底","",IF(F32=3,SQRT(I32*K32),J32))</x:f>
        <x:v>3147.945</x:v>
      </x:c>
      <x:c r="R32" s="10" t="n">
        <x:f>IF(E32="固定基底","",K32)</x:f>
        <x:v>47100</x:v>
      </x:c>
      <x:c r="S32" s="9" t="n">
        <x:f>IF(E32="固定基底",L32,0)</x:f>
        <x:v>0</x:v>
      </x:c>
      <x:c r="T32" s="9" t="n">
        <x:f>S32*'方案总览'!$B$5/1000</x:f>
        <x:v>0</x:v>
      </x:c>
      <x:c r="U32" s="3" t="str">
        <x:v>M为原中位值，H为最大值</x:v>
      </x:c>
    </x:row>
    <x:row r="33" ht="24" customHeight="1">
      <x:c r="A33" s="3" t="n">
        <x:v>115</x:v>
      </x:c>
      <x:c r="B33" s="3" t="str">
        <x:v>乙酸异戊酯</x:v>
      </x:c>
      <x:c r="C33" s="3" t="str">
        <x:v>Isoamyl acetate</x:v>
      </x:c>
      <x:c r="D33" s="3" t="str">
        <x:v>123-92-2</x:v>
      </x:c>
      <x:c r="E33" s="3" t="str">
        <x:v>可变</x:v>
      </x:c>
      <x:c r="F33" s="3" t="n">
        <x:v>3</x:v>
      </x:c>
      <x:c r="G33" s="3" t="n">
        <x:f>COUNT('原始浓度'!F33:DN33)</x:f>
        <x:v>48</x:v>
      </x:c>
      <x:c r="H33" s="9" t="n">
        <x:f>MIN('原始浓度'!F33:DN33)</x:f>
        <x:v>1.44</x:v>
      </x:c>
      <x:c r="I33" s="9" t="n">
        <x:f>_xlfn.MINIFS('原始浓度'!F33:DN33,'原始浓度'!F33:DN33,"&gt;0")</x:f>
        <x:v>1.44</x:v>
      </x:c>
      <x:c r="J33" s="9" t="n">
        <x:f>MEDIAN('原始浓度'!F33:DN33)</x:f>
        <x:v>443.16499999999996</x:v>
      </x:c>
      <x:c r="K33" s="9" t="n">
        <x:f>MAX('原始浓度'!F33:DN33)</x:f>
        <x:v>6516</x:v>
      </x:c>
      <x:c r="L33" s="9" t="n">
        <x:f>AVERAGE('原始浓度'!F33:DN33)</x:f>
        <x:v>1579.5084729166665</x:v>
      </x:c>
      <x:c r="M33" s="9" t="n">
        <x:f>'原始浓度'!E33</x:f>
        <x:v>93.9</x:v>
      </x:c>
      <x:c r="N33" s="9" t="n">
        <x:f>J33/M33</x:f>
        <x:v>4.719542066027689</x:v>
      </x:c>
      <x:c r="O33" s="9" t="n">
        <x:f>L33/M33</x:f>
        <x:v>16.82117649538516</x:v>
      </x:c>
      <x:c r="P33" s="10" t="n">
        <x:f>IF(AND(E33="可变",F33=3),I33,"")</x:f>
        <x:v>1.44</x:v>
      </x:c>
      <x:c r="Q33" s="10" t="n">
        <x:f>IF(E33="固定基底","",IF(F33=3,SQRT(I33*K33),J33))</x:f>
        <x:v>96.86609313893071</x:v>
      </x:c>
      <x:c r="R33" s="10" t="n">
        <x:f>IF(E33="固定基底","",K33)</x:f>
        <x:v>6516</x:v>
      </x:c>
      <x:c r="S33" s="9" t="n">
        <x:f>IF(E33="固定基底",L33,0)</x:f>
        <x:v>0</x:v>
      </x:c>
      <x:c r="T33" s="9" t="n">
        <x:f>S33*'方案总览'!$B$5/1000</x:f>
        <x:v>0</x:v>
      </x:c>
      <x:c r="U33" s="3" t="str">
        <x:v>M为几何中点，区别于原中位值</x:v>
      </x:c>
    </x:row>
    <x:row r="34" ht="24" customHeight="1">
      <x:c r="A34" s="3" t="n">
        <x:v>117</x:v>
      </x:c>
      <x:c r="B34" s="3" t="str">
        <x:v>辛酸</x:v>
      </x:c>
      <x:c r="C34" s="3" t="str">
        <x:v>Octanoic acid</x:v>
      </x:c>
      <x:c r="D34" s="3" t="str">
        <x:v>124-07-2</x:v>
      </x:c>
      <x:c r="E34" s="3" t="str">
        <x:v>可变</x:v>
      </x:c>
      <x:c r="F34" s="3" t="n">
        <x:v>3</x:v>
      </x:c>
      <x:c r="G34" s="3" t="n">
        <x:f>COUNT('原始浓度'!F34:DN34)</x:f>
        <x:v>79</x:v>
      </x:c>
      <x:c r="H34" s="9" t="n">
        <x:f>MIN('原始浓度'!F34:DN34)</x:f>
        <x:v>0</x:v>
      </x:c>
      <x:c r="I34" s="9" t="n">
        <x:f>_xlfn.MINIFS('原始浓度'!F34:DN34,'原始浓度'!F34:DN34,"&gt;0")</x:f>
        <x:v>1.875</x:v>
      </x:c>
      <x:c r="J34" s="9" t="n">
        <x:f>MEDIAN('原始浓度'!F34:DN34)</x:f>
        <x:v>7200</x:v>
      </x:c>
      <x:c r="K34" s="9" t="n">
        <x:f>MAX('原始浓度'!F34:DN34)</x:f>
        <x:v>40201.1</x:v>
      </x:c>
      <x:c r="L34" s="9" t="n">
        <x:f>AVERAGE('原始浓度'!F34:DN34)</x:f>
        <x:v>9014.793860759495</x:v>
      </x:c>
      <x:c r="M34" s="9" t="n">
        <x:f>'原始浓度'!E34</x:f>
        <x:v>2700</x:v>
      </x:c>
      <x:c r="N34" s="9" t="n">
        <x:f>J34/M34</x:f>
        <x:v>2.6666666666666665</x:v>
      </x:c>
      <x:c r="O34" s="9" t="n">
        <x:f>L34/M34</x:f>
        <x:v>3.338812541022035</x:v>
      </x:c>
      <x:c r="P34" s="10" t="n">
        <x:f>IF(AND(E34="可变",F34=3),I34,"")</x:f>
        <x:v>1.875</x:v>
      </x:c>
      <x:c r="Q34" s="10" t="n">
        <x:f>IF(E34="固定基底","",IF(F34=3,SQRT(I34*K34),J34))</x:f>
        <x:v>274.54883445390914</x:v>
      </x:c>
      <x:c r="R34" s="10" t="n">
        <x:f>IF(E34="固定基底","",K34)</x:f>
        <x:v>40201.1</x:v>
      </x:c>
      <x:c r="S34" s="9" t="n">
        <x:f>IF(E34="固定基底",L34,0)</x:f>
        <x:v>0</x:v>
      </x:c>
      <x:c r="T34" s="9" t="n">
        <x:f>S34*'方案总览'!$B$5/1000</x:f>
        <x:v>0</x:v>
      </x:c>
      <x:c r="U34" s="3" t="str">
        <x:v>M为几何中点，区别于原中位值</x:v>
      </x:c>
    </x:row>
    <x:row r="35" ht="24" customHeight="1">
      <x:c r="A35" s="3" t="n">
        <x:v>124</x:v>
      </x:c>
      <x:c r="B35" s="3" t="str">
        <x:v>乙酸乙酯</x:v>
      </x:c>
      <x:c r="C35" s="3" t="str">
        <x:v>Ethyl acetate</x:v>
      </x:c>
      <x:c r="D35" s="3" t="str">
        <x:v>141-78-6</x:v>
      </x:c>
      <x:c r="E35" s="3" t="str">
        <x:v>固定基底</x:v>
      </x:c>
      <x:c r="F35" s="3" t="n">
        <x:v>0</x:v>
      </x:c>
      <x:c r="G35" s="3" t="n">
        <x:f>COUNT('原始浓度'!F35:DN35)</x:f>
        <x:v>84</x:v>
      </x:c>
      <x:c r="H35" s="9" t="n">
        <x:f>MIN('原始浓度'!F35:DN35)</x:f>
        <x:v>24</x:v>
      </x:c>
      <x:c r="I35" s="9" t="n">
        <x:f>_xlfn.MINIFS('原始浓度'!F35:DN35,'原始浓度'!F35:DN35,"&gt;0")</x:f>
        <x:v>24</x:v>
      </x:c>
      <x:c r="J35" s="9" t="n">
        <x:f>MEDIAN('原始浓度'!F35:DN35)</x:f>
        <x:v>11154</x:v>
      </x:c>
      <x:c r="K35" s="9" t="n">
        <x:f>MAX('原始浓度'!F35:DN35)</x:f>
        <x:v>4021850</x:v>
      </x:c>
      <x:c r="L35" s="9" t="n">
        <x:f>AVERAGE('原始浓度'!F35:DN35)</x:f>
        <x:v>405974.90656785714</x:v>
      </x:c>
      <x:c r="M35" s="9" t="n">
        <x:f>'原始浓度'!E35</x:f>
        <x:v>32552</x:v>
      </x:c>
      <x:c r="N35" s="9" t="n">
        <x:f>J35/M35</x:f>
        <x:v>0.3426517571884984</x:v>
      </x:c>
      <x:c r="O35" s="9" t="n">
        <x:f>L35/M35</x:f>
        <x:v>12.471581057012077</x:v>
      </x:c>
      <x:c r="P35" s="10" t="str">
        <x:f>IF(AND(E35="可变",F35=3),I35,"")</x:f>
      </x:c>
      <x:c r="Q35" s="10" t="str">
        <x:f>IF(E35="固定基底","",IF(F35=3,SQRT(I35*K35),J35))</x:f>
      </x:c>
      <x:c r="R35" s="10" t="str">
        <x:f>IF(E35="固定基底","",K35)</x:f>
      </x:c>
      <x:c r="S35" s="9" t="n">
        <x:f>IF(E35="固定基底",L35,0)</x:f>
        <x:v>405974.90656785714</x:v>
      </x:c>
      <x:c r="T35" s="9" t="n">
        <x:f>S35*'方案总览'!$B$5/1000</x:f>
        <x:v>8119.4981313571425</x:v>
      </x:c>
      <x:c r="U35" s="3" t="str">
        <x:v>所有350瓶固定为均值</x:v>
      </x:c>
    </x:row>
    <x:row r="36" ht="24" customHeight="1">
      <x:c r="A36" s="3" t="n">
        <x:v>126</x:v>
      </x:c>
      <x:c r="B36" s="3" t="str">
        <x:v>己酸</x:v>
      </x:c>
      <x:c r="C36" s="3" t="str">
        <x:v>Hexanole acid</x:v>
      </x:c>
      <x:c r="D36" s="3" t="str">
        <x:v>142-62-1</x:v>
      </x:c>
      <x:c r="E36" s="3" t="str">
        <x:v>可变</x:v>
      </x:c>
      <x:c r="F36" s="3" t="n">
        <x:v>3</x:v>
      </x:c>
      <x:c r="G36" s="3" t="n">
        <x:f>COUNT('原始浓度'!F36:DN36)</x:f>
        <x:v>89</x:v>
      </x:c>
      <x:c r="H36" s="9" t="n">
        <x:f>MIN('原始浓度'!F36:DN36)</x:f>
        <x:v>2.125</x:v>
      </x:c>
      <x:c r="I36" s="9" t="n">
        <x:f>_xlfn.MINIFS('原始浓度'!F36:DN36,'原始浓度'!F36:DN36,"&gt;0")</x:f>
        <x:v>2.125</x:v>
      </x:c>
      <x:c r="J36" s="9" t="n">
        <x:f>MEDIAN('原始浓度'!F36:DN36)</x:f>
        <x:v>21500</x:v>
      </x:c>
      <x:c r="K36" s="9" t="n">
        <x:f>MAX('原始浓度'!F36:DN36)</x:f>
        <x:v>1551340.76</x:v>
      </x:c>
      <x:c r="L36" s="9" t="n">
        <x:f>AVERAGE('原始浓度'!F36:DN36)</x:f>
        <x:v>285035.6582966292</x:v>
      </x:c>
      <x:c r="M36" s="9" t="n">
        <x:f>'原始浓度'!E36</x:f>
        <x:v>2520</x:v>
      </x:c>
      <x:c r="N36" s="9" t="n">
        <x:f>J36/M36</x:f>
        <x:v>8.531746031746032</x:v>
      </x:c>
      <x:c r="O36" s="9" t="n">
        <x:f>L36/M36</x:f>
        <x:v>113.10938821294809</x:v>
      </x:c>
      <x:c r="P36" s="10" t="n">
        <x:f>IF(AND(E36="可变",F36=3),I36,"")</x:f>
        <x:v>2.125</x:v>
      </x:c>
      <x:c r="Q36" s="10" t="n">
        <x:f>IF(E36="固定基底","",IF(F36=3,SQRT(I36*K36),J36))</x:f>
        <x:v>1815.6539083757125</x:v>
      </x:c>
      <x:c r="R36" s="10" t="n">
        <x:f>IF(E36="固定基底","",K36)</x:f>
        <x:v>1551340.76</x:v>
      </x:c>
      <x:c r="S36" s="9" t="n">
        <x:f>IF(E36="固定基底",L36,0)</x:f>
        <x:v>0</x:v>
      </x:c>
      <x:c r="T36" s="9" t="n">
        <x:f>S36*'方案总览'!$B$5/1000</x:f>
        <x:v>0</x:v>
      </x:c>
      <x:c r="U36" s="3" t="str">
        <x:v>M为几何中点，区别于原中位值</x:v>
      </x:c>
    </x:row>
    <x:row r="37" ht="24" customHeight="1">
      <x:c r="A37" s="3" t="n">
        <x:v>136</x:v>
      </x:c>
      <x:c r="B37" s="3" t="str">
        <x:v>异戊酸/3-甲基丁酸</x:v>
      </x:c>
      <x:c r="C37" s="3" t="str">
        <x:v>Isovalenic acid</x:v>
      </x:c>
      <x:c r="D37" s="3" t="str">
        <x:v>503-74-2</x:v>
      </x:c>
      <x:c r="E37" s="3" t="str">
        <x:v>可变</x:v>
      </x:c>
      <x:c r="F37" s="3" t="n">
        <x:v>3</x:v>
      </x:c>
      <x:c r="G37" s="3" t="n">
        <x:f>COUNT('原始浓度'!F37:DN37)</x:f>
        <x:v>73</x:v>
      </x:c>
      <x:c r="H37" s="9" t="n">
        <x:f>MIN('原始浓度'!F37:DN37)</x:f>
        <x:v>0</x:v>
      </x:c>
      <x:c r="I37" s="9" t="n">
        <x:f>_xlfn.MINIFS('原始浓度'!F37:DN37,'原始浓度'!F37:DN37,"&gt;0")</x:f>
        <x:v>1.1875</x:v>
      </x:c>
      <x:c r="J37" s="9" t="n">
        <x:f>MEDIAN('原始浓度'!F37:DN37)</x:f>
        <x:v>3885</x:v>
      </x:c>
      <x:c r="K37" s="9" t="n">
        <x:f>MAX('原始浓度'!F37:DN37)</x:f>
        <x:v>44000</x:v>
      </x:c>
      <x:c r="L37" s="9" t="n">
        <x:f>AVERAGE('原始浓度'!F37:DN37)</x:f>
        <x:v>7411.161910958901</x:v>
      </x:c>
      <x:c r="M37" s="9" t="n">
        <x:f>'原始浓度'!E37</x:f>
        <x:v>1050</x:v>
      </x:c>
      <x:c r="N37" s="9" t="n">
        <x:f>J37/M37</x:f>
        <x:v>3.7</x:v>
      </x:c>
      <x:c r="O37" s="9" t="n">
        <x:f>L37/M37</x:f>
        <x:v>7.058249439008478</x:v>
      </x:c>
      <x:c r="P37" s="10" t="n">
        <x:f>IF(AND(E37="可变",F37=3),I37,"")</x:f>
        <x:v>1.1875</x:v>
      </x:c>
      <x:c r="Q37" s="10" t="n">
        <x:f>IF(E37="固定基底","",IF(F37=3,SQRT(I37*K37),J37))</x:f>
        <x:v>228.58258901324922</x:v>
      </x:c>
      <x:c r="R37" s="10" t="n">
        <x:f>IF(E37="固定基底","",K37)</x:f>
        <x:v>44000</x:v>
      </x:c>
      <x:c r="S37" s="9" t="n">
        <x:f>IF(E37="固定基底",L37,0)</x:f>
        <x:v>0</x:v>
      </x:c>
      <x:c r="T37" s="9" t="n">
        <x:f>S37*'方案总览'!$B$5/1000</x:f>
        <x:v>0</x:v>
      </x:c>
      <x:c r="U37" s="3" t="str">
        <x:v>M为几何中点，区别于原中位值</x:v>
      </x:c>
    </x:row>
    <x:row r="38" ht="24" customHeight="1">
      <x:c r="A38" s="3" t="n">
        <x:v>141</x:v>
      </x:c>
      <x:c r="B38" s="3" t="str">
        <x:v>戊酸乙酯</x:v>
      </x:c>
      <x:c r="C38" s="3" t="str">
        <x:v>Ethyl valerate</x:v>
      </x:c>
      <x:c r="D38" s="3" t="str">
        <x:v>539-82-2</x:v>
      </x:c>
      <x:c r="E38" s="3" t="str">
        <x:v>可变</x:v>
      </x:c>
      <x:c r="F38" s="3" t="n">
        <x:v>3</x:v>
      </x:c>
      <x:c r="G38" s="3" t="n">
        <x:f>COUNT('原始浓度'!F38:DN38)</x:f>
        <x:v>99</x:v>
      </x:c>
      <x:c r="H38" s="9" t="n">
        <x:f>MIN('原始浓度'!F38:DN38)</x:f>
        <x:v>0</x:v>
      </x:c>
      <x:c r="I38" s="9" t="n">
        <x:f>_xlfn.MINIFS('原始浓度'!F38:DN38,'原始浓度'!F38:DN38,"&gt;0")</x:f>
        <x:v>2.2</x:v>
      </x:c>
      <x:c r="J38" s="9" t="n">
        <x:f>MEDIAN('原始浓度'!F38:DN38)</x:f>
        <x:v>6665</x:v>
      </x:c>
      <x:c r="K38" s="9" t="n">
        <x:f>MAX('原始浓度'!F38:DN38)</x:f>
        <x:v>1039840</x:v>
      </x:c>
      <x:c r="L38" s="9" t="n">
        <x:f>AVERAGE('原始浓度'!F38:DN38)</x:f>
        <x:v>33384.87269292928</x:v>
      </x:c>
      <x:c r="M38" s="9" t="n">
        <x:f>'原始浓度'!E38</x:f>
        <x:v>26.8</x:v>
      </x:c>
      <x:c r="N38" s="9" t="n">
        <x:f>J38/M38</x:f>
        <x:v>248.69402985074626</x:v>
      </x:c>
      <x:c r="O38" s="9" t="n">
        <x:f>L38/M38</x:f>
        <x:v>1245.7042049600477</x:v>
      </x:c>
      <x:c r="P38" s="10" t="n">
        <x:f>IF(AND(E38="可变",F38=3),I38,"")</x:f>
        <x:v>2.2</x:v>
      </x:c>
      <x:c r="Q38" s="10" t="n">
        <x:f>IF(E38="固定基底","",IF(F38=3,SQRT(I38*K38),J38))</x:f>
        <x:v>1512.497272724814</x:v>
      </x:c>
      <x:c r="R38" s="10" t="n">
        <x:f>IF(E38="固定基底","",K38)</x:f>
        <x:v>1039840</x:v>
      </x:c>
      <x:c r="S38" s="9" t="n">
        <x:f>IF(E38="固定基底",L38,0)</x:f>
        <x:v>0</x:v>
      </x:c>
      <x:c r="T38" s="9" t="n">
        <x:f>S38*'方案总览'!$B$5/1000</x:f>
        <x:v>0</x:v>
      </x:c>
      <x:c r="U38" s="3" t="str">
        <x:v>M为几何中点，区别于原中位值</x:v>
      </x:c>
    </x:row>
    <x:row r="39" ht="24" customHeight="1">
      <x:c r="A39" s="3" t="n">
        <x:v>152</x:v>
      </x:c>
      <x:c r="B39" s="3" t="str">
        <x:v>异戊醛</x:v>
      </x:c>
      <x:c r="C39" s="3" t="str">
        <x:v>Isovaleraldehyde</x:v>
      </x:c>
      <x:c r="D39" s="3" t="str">
        <x:v>590-86-3</x:v>
      </x:c>
      <x:c r="E39" s="3" t="str">
        <x:v>可变</x:v>
      </x:c>
      <x:c r="F39" s="3" t="n">
        <x:v>3</x:v>
      </x:c>
      <x:c r="G39" s="3" t="n">
        <x:f>COUNT('原始浓度'!F39:DN39)</x:f>
        <x:v>53</x:v>
      </x:c>
      <x:c r="H39" s="9" t="n">
        <x:f>MIN('原始浓度'!F39:DN39)</x:f>
        <x:v>4.84</x:v>
      </x:c>
      <x:c r="I39" s="9" t="n">
        <x:f>_xlfn.MINIFS('原始浓度'!F39:DN39,'原始浓度'!F39:DN39,"&gt;0")</x:f>
        <x:v>4.84</x:v>
      </x:c>
      <x:c r="J39" s="9" t="n">
        <x:f>MEDIAN('原始浓度'!F39:DN39)</x:f>
        <x:v>5545</x:v>
      </x:c>
      <x:c r="K39" s="9" t="n">
        <x:f>MAX('原始浓度'!F39:DN39)</x:f>
        <x:v>227200</x:v>
      </x:c>
      <x:c r="L39" s="9" t="n">
        <x:f>AVERAGE('原始浓度'!F39:DN39)</x:f>
        <x:v>18916.951509433962</x:v>
      </x:c>
      <x:c r="M39" s="9" t="n">
        <x:f>'原始浓度'!E39</x:f>
        <x:v>16.5</x:v>
      </x:c>
      <x:c r="N39" s="9" t="n">
        <x:f>J39/M39</x:f>
        <x:v>336.06060606060606</x:v>
      </x:c>
      <x:c r="O39" s="9" t="n">
        <x:f>L39/M39</x:f>
        <x:v>1146.4819096626643</x:v>
      </x:c>
      <x:c r="P39" s="10" t="n">
        <x:f>IF(AND(E39="可变",F39=3),I39,"")</x:f>
        <x:v>4.84</x:v>
      </x:c>
      <x:c r="Q39" s="10" t="n">
        <x:f>IF(E39="固定基底","",IF(F39=3,SQRT(I39*K39),J39))</x:f>
        <x:v>1048.6410253275426</x:v>
      </x:c>
      <x:c r="R39" s="10" t="n">
        <x:f>IF(E39="固定基底","",K39)</x:f>
        <x:v>227200</x:v>
      </x:c>
      <x:c r="S39" s="9" t="n">
        <x:f>IF(E39="固定基底",L39,0)</x:f>
        <x:v>0</x:v>
      </x:c>
      <x:c r="T39" s="9" t="n">
        <x:f>S39*'方案总览'!$B$5/1000</x:f>
        <x:v>0</x:v>
      </x:c>
      <x:c r="U39" s="3" t="str">
        <x:v>M为几何中点，区别于原中位值</x:v>
      </x:c>
    </x:row>
    <x:row r="40" ht="24" customHeight="1">
      <x:c r="A40" s="3" t="n">
        <x:v>165</x:v>
      </x:c>
      <x:c r="B40" s="3" t="str">
        <x:v>己酸丁酯</x:v>
      </x:c>
      <x:c r="C40" s="3" t="str">
        <x:v>Butyl hexanoate</x:v>
      </x:c>
      <x:c r="D40" s="3" t="str">
        <x:v>626-82-4</x:v>
      </x:c>
      <x:c r="E40" s="3" t="str">
        <x:v>可变</x:v>
      </x:c>
      <x:c r="F40" s="3" t="n">
        <x:v>2</x:v>
      </x:c>
      <x:c r="G40" s="3" t="n">
        <x:f>COUNT('原始浓度'!F40:DN40)</x:f>
        <x:v>68</x:v>
      </x:c>
      <x:c r="H40" s="9" t="n">
        <x:f>MIN('原始浓度'!F40:DN40)</x:f>
        <x:v>2.79</x:v>
      </x:c>
      <x:c r="I40" s="9" t="n">
        <x:f>_xlfn.MINIFS('原始浓度'!F40:DN40,'原始浓度'!F40:DN40,"&gt;0")</x:f>
        <x:v>2.79</x:v>
      </x:c>
      <x:c r="J40" s="9" t="n">
        <x:f>MEDIAN('原始浓度'!F40:DN40)</x:f>
        <x:v>823.735</x:v>
      </x:c>
      <x:c r="K40" s="9" t="n">
        <x:f>MAX('原始浓度'!F40:DN40)</x:f>
        <x:v>86300</x:v>
      </x:c>
      <x:c r="L40" s="9" t="n">
        <x:f>AVERAGE('原始浓度'!F40:DN40)</x:f>
        <x:v>9731.50534264706</x:v>
      </x:c>
      <x:c r="M40" s="9" t="n">
        <x:f>'原始浓度'!E40</x:f>
        <x:v>677.84</x:v>
      </x:c>
      <x:c r="N40" s="9" t="n">
        <x:f>J40/M40</x:f>
        <x:v>1.2152351587395256</x:v>
      </x:c>
      <x:c r="O40" s="9" t="n">
        <x:f>L40/M40</x:f>
        <x:v>14.35664071557751</x:v>
      </x:c>
      <x:c r="P40" s="10" t="str">
        <x:f>IF(AND(E40="可变",F40=3),I40,"")</x:f>
      </x:c>
      <x:c r="Q40" s="10" t="n">
        <x:f>IF(E40="固定基底","",IF(F40=3,SQRT(I40*K40),J40))</x:f>
        <x:v>823.735</x:v>
      </x:c>
      <x:c r="R40" s="10" t="n">
        <x:f>IF(E40="固定基底","",K40)</x:f>
        <x:v>86300</x:v>
      </x:c>
      <x:c r="S40" s="9" t="n">
        <x:f>IF(E40="固定基底",L40,0)</x:f>
        <x:v>0</x:v>
      </x:c>
      <x:c r="T40" s="9" t="n">
        <x:f>S40*'方案总览'!$B$5/1000</x:f>
        <x:v>0</x:v>
      </x:c>
      <x:c r="U40" s="3" t="str">
        <x:v>M为原中位值，H为最大值</x:v>
      </x:c>
    </x:row>
    <x:row r="41" ht="24" customHeight="1">
      <x:c r="A41" s="3" t="n">
        <x:v>186</x:v>
      </x:c>
      <x:c r="B41" s="3" t="str">
        <x:v>3-苯基丙酸乙酯</x:v>
      </x:c>
      <x:c r="C41" s="3" t="str">
        <x:v>Ethyl 3-phenylpropionate</x:v>
      </x:c>
      <x:c r="D41" s="3" t="str">
        <x:v>2021-28-5</x:v>
      </x:c>
      <x:c r="E41" s="3" t="str">
        <x:v>可变</x:v>
      </x:c>
      <x:c r="F41" s="3" t="n">
        <x:v>3</x:v>
      </x:c>
      <x:c r="G41" s="3" t="n">
        <x:f>COUNT('原始浓度'!F41:DN41)</x:f>
        <x:v>81</x:v>
      </x:c>
      <x:c r="H41" s="9" t="n">
        <x:f>MIN('原始浓度'!F41:DN41)</x:f>
        <x:v>0</x:v>
      </x:c>
      <x:c r="I41" s="9" t="n">
        <x:f>_xlfn.MINIFS('原始浓度'!F41:DN41,'原始浓度'!F41:DN41,"&gt;0")</x:f>
        <x:v>1.56</x:v>
      </x:c>
      <x:c r="J41" s="9" t="n">
        <x:f>MEDIAN('原始浓度'!F41:DN41)</x:f>
        <x:v>635</x:v>
      </x:c>
      <x:c r="K41" s="9" t="n">
        <x:f>MAX('原始浓度'!F41:DN41)</x:f>
        <x:v>11648000</x:v>
      </x:c>
      <x:c r="L41" s="9" t="n">
        <x:f>AVERAGE('原始浓度'!F41:DN41)</x:f>
        <x:v>766782.762962963</x:v>
      </x:c>
      <x:c r="M41" s="9" t="n">
        <x:f>'原始浓度'!E41</x:f>
        <x:v>125</x:v>
      </x:c>
      <x:c r="N41" s="9" t="n">
        <x:f>J41/M41</x:f>
        <x:v>5.08</x:v>
      </x:c>
      <x:c r="O41" s="9" t="n">
        <x:f>L41/M41</x:f>
        <x:v>6134.262103703703</x:v>
      </x:c>
      <x:c r="P41" s="10" t="n">
        <x:f>IF(AND(E41="可变",F41=3),I41,"")</x:f>
        <x:v>1.56</x:v>
      </x:c>
      <x:c r="Q41" s="10" t="n">
        <x:f>IF(E41="固定基底","",IF(F41=3,SQRT(I41*K41),J41))</x:f>
        <x:v>4262.731518639193</x:v>
      </x:c>
      <x:c r="R41" s="10" t="n">
        <x:f>IF(E41="固定基底","",K41)</x:f>
        <x:v>11648000</x:v>
      </x:c>
      <x:c r="S41" s="9" t="n">
        <x:f>IF(E41="固定基底",L41,0)</x:f>
        <x:v>0</x:v>
      </x:c>
      <x:c r="T41" s="9" t="n">
        <x:f>S41*'方案总览'!$B$5/1000</x:f>
        <x:v>0</x:v>
      </x:c>
      <x:c r="U41" s="3" t="str">
        <x:v>M为几何中点，区别于原中位值</x:v>
      </x:c>
    </x:row>
    <x:row r="42" ht="24" customHeight="1">
      <x:c r="A42" s="3" t="n">
        <x:v>207</x:v>
      </x:c>
      <x:c r="B42" s="3" t="str">
        <x:v>1-辛烯-3-醇</x:v>
      </x:c>
      <x:c r="C42" s="3" t="str">
        <x:v>1-Octen-3-ol</x:v>
      </x:c>
      <x:c r="D42" s="3" t="str">
        <x:v>3391-86-4</x:v>
      </x:c>
      <x:c r="E42" s="3" t="str">
        <x:v>可变</x:v>
      </x:c>
      <x:c r="F42" s="3" t="n">
        <x:v>3</x:v>
      </x:c>
      <x:c r="G42" s="3" t="n">
        <x:f>COUNT('原始浓度'!F42:DN42)</x:f>
        <x:v>19</x:v>
      </x:c>
      <x:c r="H42" s="9" t="n">
        <x:f>MIN('原始浓度'!F42:DN42)</x:f>
        <x:v>1</x:v>
      </x:c>
      <x:c r="I42" s="9" t="n">
        <x:f>_xlfn.MINIFS('原始浓度'!F42:DN42,'原始浓度'!F42:DN42,"&gt;0")</x:f>
        <x:v>1</x:v>
      </x:c>
      <x:c r="J42" s="9" t="n">
        <x:f>MEDIAN('原始浓度'!F42:DN42)</x:f>
        <x:v>99.18</x:v>
      </x:c>
      <x:c r="K42" s="9" t="n">
        <x:f>MAX('原始浓度'!F42:DN42)</x:f>
        <x:v>271.45</x:v>
      </x:c>
      <x:c r="L42" s="9" t="n">
        <x:f>AVERAGE('原始浓度'!F42:DN42)</x:f>
        <x:v>109.01</x:v>
      </x:c>
      <x:c r="M42" s="9" t="n">
        <x:f>'原始浓度'!E42</x:f>
        <x:v>6.12</x:v>
      </x:c>
      <x:c r="N42" s="9" t="n">
        <x:f>J42/M42</x:f>
        <x:v>16.205882352941178</x:v>
      </x:c>
      <x:c r="O42" s="9" t="n">
        <x:f>L42/M42</x:f>
        <x:v>17.812091503267975</x:v>
      </x:c>
      <x:c r="P42" s="10" t="n">
        <x:f>IF(AND(E42="可变",F42=3),I42,"")</x:f>
        <x:v>1</x:v>
      </x:c>
      <x:c r="Q42" s="10" t="n">
        <x:f>IF(E42="固定基底","",IF(F42=3,SQRT(I42*K42),J42))</x:f>
        <x:v>16.47573974060042</x:v>
      </x:c>
      <x:c r="R42" s="10" t="n">
        <x:f>IF(E42="固定基底","",K42)</x:f>
        <x:v>271.45</x:v>
      </x:c>
      <x:c r="S42" s="9" t="n">
        <x:f>IF(E42="固定基底",L42,0)</x:f>
        <x:v>0</x:v>
      </x:c>
      <x:c r="T42" s="9" t="n">
        <x:f>S42*'方案总览'!$B$5/1000</x:f>
        <x:v>0</x:v>
      </x:c>
      <x:c r="U42" s="3" t="str">
        <x:v>M为几何中点，区别于原中位值</x:v>
      </x:c>
    </x:row>
    <x:row r="43" ht="24" customHeight="1">
      <x:c r="A43" s="3" t="n">
        <x:v>209</x:v>
      </x:c>
      <x:c r="B43" s="3" t="str">
        <x:v>二甲基三硫醚</x:v>
      </x:c>
      <x:c r="C43" s="3" t="str">
        <x:v>Dimethyl Trisulfide</x:v>
      </x:c>
      <x:c r="D43" s="3" t="str">
        <x:v>3658-80-8</x:v>
      </x:c>
      <x:c r="E43" s="3" t="str">
        <x:v>可变</x:v>
      </x:c>
      <x:c r="F43" s="3" t="n">
        <x:v>3</x:v>
      </x:c>
      <x:c r="G43" s="3" t="n">
        <x:f>COUNT('原始浓度'!F43:DN43)</x:f>
        <x:v>28</x:v>
      </x:c>
      <x:c r="H43" s="9" t="n">
        <x:f>MIN('原始浓度'!F43:DN43)</x:f>
        <x:v>0.28</x:v>
      </x:c>
      <x:c r="I43" s="9" t="n">
        <x:f>_xlfn.MINIFS('原始浓度'!F43:DN43,'原始浓度'!F43:DN43,"&gt;0")</x:f>
        <x:v>0.28</x:v>
      </x:c>
      <x:c r="J43" s="9" t="n">
        <x:f>MEDIAN('原始浓度'!F43:DN43)</x:f>
        <x:v>623.375</x:v>
      </x:c>
      <x:c r="K43" s="9" t="n">
        <x:f>MAX('原始浓度'!F43:DN43)</x:f>
        <x:v>4201.44</x:v>
      </x:c>
      <x:c r="L43" s="9" t="n">
        <x:f>AVERAGE('原始浓度'!F43:DN43)</x:f>
        <x:v>1141.1705964285713</x:v>
      </x:c>
      <x:c r="M43" s="9" t="n">
        <x:f>'原始浓度'!E43</x:f>
        <x:v>0.36</x:v>
      </x:c>
      <x:c r="N43" s="9" t="n">
        <x:f>J43/M43</x:f>
        <x:v>1731.5972222222224</x:v>
      </x:c>
      <x:c r="O43" s="9" t="n">
        <x:f>L43/M43</x:f>
        <x:v>3169.918323412698</x:v>
      </x:c>
      <x:c r="P43" s="10" t="n">
        <x:f>IF(AND(E43="可变",F43=3),I43,"")</x:f>
        <x:v>0.28</x:v>
      </x:c>
      <x:c r="Q43" s="10" t="n">
        <x:f>IF(E43="固定基底","",IF(F43=3,SQRT(I43*K43),J43))</x:f>
        <x:v>34.2987346705385</x:v>
      </x:c>
      <x:c r="R43" s="10" t="n">
        <x:f>IF(E43="固定基底","",K43)</x:f>
        <x:v>4201.44</x:v>
      </x:c>
      <x:c r="S43" s="9" t="n">
        <x:f>IF(E43="固定基底",L43,0)</x:f>
        <x:v>0</x:v>
      </x:c>
      <x:c r="T43" s="9" t="n">
        <x:f>S43*'方案总览'!$B$5/1000</x:f>
        <x:v>0</x:v>
      </x:c>
      <x:c r="U43" s="3" t="str">
        <x:v>M为几何中点，区别于原中位值</x:v>
      </x:c>
    </x:row>
    <x:row r="44" ht="24" customHeight="1">
      <x:c r="A44" s="3" t="n">
        <x:v>227</x:v>
      </x:c>
      <x:c r="B44" s="3" t="str">
        <x:v>己酸己酯</x:v>
      </x:c>
      <x:c r="C44" s="3" t="str">
        <x:v>Hexyl hexanoate</x:v>
      </x:c>
      <x:c r="D44" s="3" t="str">
        <x:v>6378-65-0</x:v>
      </x:c>
      <x:c r="E44" s="3" t="str">
        <x:v>可变</x:v>
      </x:c>
      <x:c r="F44" s="3" t="n">
        <x:v>3</x:v>
      </x:c>
      <x:c r="G44" s="3" t="n">
        <x:f>COUNT('原始浓度'!F44:DN44)</x:f>
        <x:v>86</x:v>
      </x:c>
      <x:c r="H44" s="9" t="n">
        <x:f>MIN('原始浓度'!F44:DN44)</x:f>
        <x:v>2.5</x:v>
      </x:c>
      <x:c r="I44" s="9" t="n">
        <x:f>_xlfn.MINIFS('原始浓度'!F44:DN44,'原始浓度'!F44:DN44,"&gt;0")</x:f>
        <x:v>2.5</x:v>
      </x:c>
      <x:c r="J44" s="9" t="n">
        <x:f>MEDIAN('原始浓度'!F44:DN44)</x:f>
        <x:v>6441.62</x:v>
      </x:c>
      <x:c r="K44" s="9" t="n">
        <x:f>MAX('原始浓度'!F44:DN44)</x:f>
        <x:v>193759</x:v>
      </x:c>
      <x:c r="L44" s="9" t="n">
        <x:f>AVERAGE('原始浓度'!F44:DN44)</x:f>
        <x:v>25072.419999999995</x:v>
      </x:c>
      <x:c r="M44" s="9" t="n">
        <x:f>'原始浓度'!E44</x:f>
        <x:v>1891</x:v>
      </x:c>
      <x:c r="N44" s="9" t="n">
        <x:f>J44/M44</x:f>
        <x:v>3.4064621893178213</x:v>
      </x:c>
      <x:c r="O44" s="9" t="n">
        <x:f>L44/M44</x:f>
        <x:v>13.258815441565307</x:v>
      </x:c>
      <x:c r="P44" s="10" t="n">
        <x:f>IF(AND(E44="可变",F44=3),I44,"")</x:f>
        <x:v>2.5</x:v>
      </x:c>
      <x:c r="Q44" s="10" t="n">
        <x:f>IF(E44="固定基底","",IF(F44=3,SQRT(I44*K44),J44))</x:f>
        <x:v>695.986709643223</x:v>
      </x:c>
      <x:c r="R44" s="10" t="n">
        <x:f>IF(E44="固定基底","",K44)</x:f>
        <x:v>193759</x:v>
      </x:c>
      <x:c r="S44" s="9" t="n">
        <x:f>IF(E44="固定基底",L44,0)</x:f>
        <x:v>0</x:v>
      </x:c>
      <x:c r="T44" s="9" t="n">
        <x:f>S44*'方案总览'!$B$5/1000</x:f>
        <x:v>0</x:v>
      </x:c>
      <x:c r="U44" s="3" t="str">
        <x:v>M为几何中点，区别于原中位值</x:v>
      </x:c>
    </x:row>
    <x:row r="45" ht="24" customHeight="1">
      <x:c r="A45" s="3" t="n">
        <x:v>232</x:v>
      </x:c>
      <x:c r="B45" s="3" t="str">
        <x:v>2-甲基丁酸乙酯</x:v>
      </x:c>
      <x:c r="C45" s="3" t="str">
        <x:v>Ethyl 2-methylbutanoate</x:v>
      </x:c>
      <x:c r="D45" s="3" t="str">
        <x:v>7452-79-1</x:v>
      </x:c>
      <x:c r="E45" s="3" t="str">
        <x:v>可变</x:v>
      </x:c>
      <x:c r="F45" s="3" t="n">
        <x:v>3</x:v>
      </x:c>
      <x:c r="G45" s="3" t="n">
        <x:f>COUNT('原始浓度'!F45:DN45)</x:f>
        <x:v>35</x:v>
      </x:c>
      <x:c r="H45" s="9" t="n">
        <x:f>MIN('原始浓度'!F45:DN45)</x:f>
        <x:v>0.97</x:v>
      </x:c>
      <x:c r="I45" s="9" t="n">
        <x:f>_xlfn.MINIFS('原始浓度'!F45:DN45,'原始浓度'!F45:DN45,"&gt;0")</x:f>
        <x:v>0.97</x:v>
      </x:c>
      <x:c r="J45" s="9" t="n">
        <x:f>MEDIAN('原始浓度'!F45:DN45)</x:f>
        <x:v>464</x:v>
      </x:c>
      <x:c r="K45" s="9" t="n">
        <x:f>MAX('原始浓度'!F45:DN45)</x:f>
        <x:v>1611</x:v>
      </x:c>
      <x:c r="L45" s="9" t="n">
        <x:f>AVERAGE('原始浓度'!F45:DN45)</x:f>
        <x:v>553.7311428571429</x:v>
      </x:c>
      <x:c r="M45" s="9" t="n">
        <x:f>'原始浓度'!E45</x:f>
        <x:v>18</x:v>
      </x:c>
      <x:c r="N45" s="9" t="n">
        <x:f>J45/M45</x:f>
        <x:v>25.77777777777778</x:v>
      </x:c>
      <x:c r="O45" s="9" t="n">
        <x:f>L45/M45</x:f>
        <x:v>30.762841269841275</x:v>
      </x:c>
      <x:c r="P45" s="10" t="n">
        <x:f>IF(AND(E45="可变",F45=3),I45,"")</x:f>
        <x:v>0.97</x:v>
      </x:c>
      <x:c r="Q45" s="10" t="n">
        <x:f>IF(E45="固定基底","",IF(F45=3,SQRT(I45*K45),J45))</x:f>
        <x:v>39.53062104242735</x:v>
      </x:c>
      <x:c r="R45" s="10" t="n">
        <x:f>IF(E45="固定基底","",K45)</x:f>
        <x:v>1611</x:v>
      </x:c>
      <x:c r="S45" s="9" t="n">
        <x:f>IF(E45="固定基底",L45,0)</x:f>
        <x:v>0</x:v>
      </x:c>
      <x:c r="T45" s="9" t="n">
        <x:f>S45*'方案总览'!$B$5/1000</x:f>
        <x:v>0</x:v>
      </x:c>
      <x:c r="U45" s="3" t="str">
        <x:v>M为几何中点，区别于原中位值</x:v>
      </x:c>
    </x:row>
    <x:row r="46" ht="24" customHeight="1">
      <x:c r="A46" s="3" t="n">
        <x:v>255</x:v>
      </x:c>
      <x:c r="B46" s="3" t="str">
        <x:v>β-大马酮</x:v>
      </x:c>
      <x:c r="C46" s="3" t="str">
        <x:v>β-damascenone</x:v>
      </x:c>
      <x:c r="D46" s="3" t="str">
        <x:v>23726-93-4</x:v>
      </x:c>
      <x:c r="E46" s="3" t="str">
        <x:v>可变</x:v>
      </x:c>
      <x:c r="F46" s="3" t="n">
        <x:v>3</x:v>
      </x:c>
      <x:c r="G46" s="3" t="n">
        <x:f>COUNT('原始浓度'!F46:DN46)</x:f>
        <x:v>26</x:v>
      </x:c>
      <x:c r="H46" s="9" t="n">
        <x:f>MIN('原始浓度'!F46:DN46)</x:f>
        <x:v>1.5</x:v>
      </x:c>
      <x:c r="I46" s="9" t="n">
        <x:f>_xlfn.MINIFS('原始浓度'!F46:DN46,'原始浓度'!F46:DN46,"&gt;0")</x:f>
        <x:v>1.5</x:v>
      </x:c>
      <x:c r="J46" s="9" t="n">
        <x:f>MEDIAN('原始浓度'!F46:DN46)</x:f>
        <x:v>5.42</x:v>
      </x:c>
      <x:c r="K46" s="9" t="n">
        <x:f>MAX('原始浓度'!F46:DN46)</x:f>
        <x:v>60.76</x:v>
      </x:c>
      <x:c r="L46" s="9" t="n">
        <x:f>AVERAGE('原始浓度'!F46:DN46)</x:f>
        <x:v>10.73141153846154</x:v>
      </x:c>
      <x:c r="M46" s="9" t="n">
        <x:f>'原始浓度'!E46</x:f>
        <x:v>0.12</x:v>
      </x:c>
      <x:c r="N46" s="9" t="n">
        <x:f>J46/M46</x:f>
        <x:v>45.166666666666664</x:v>
      </x:c>
      <x:c r="O46" s="9" t="n">
        <x:f>L46/M46</x:f>
        <x:v>89.4284294871795</x:v>
      </x:c>
      <x:c r="P46" s="10" t="n">
        <x:f>IF(AND(E46="可变",F46=3),I46,"")</x:f>
        <x:v>1.5</x:v>
      </x:c>
      <x:c r="Q46" s="10" t="n">
        <x:f>IF(E46="固定基底","",IF(F46=3,SQRT(I46*K46),J46))</x:f>
        <x:v>9.546727187890099</x:v>
      </x:c>
      <x:c r="R46" s="10" t="n">
        <x:f>IF(E46="固定基底","",K46)</x:f>
        <x:v>60.76</x:v>
      </x:c>
      <x:c r="S46" s="9" t="n">
        <x:f>IF(E46="固定基底",L46,0)</x:f>
        <x:v>0</x:v>
      </x:c>
      <x:c r="T46" s="9" t="n">
        <x:f>S46*'方案总览'!$B$5/1000</x:f>
        <x:v>0</x:v>
      </x:c>
      <x:c r="U46" s="3" t="str">
        <x:v>M为几何中点，区别于原中位值</x:v>
      </x:c>
    </x:row>
  </x:sheetData>
  <x:pageMargins left="0.7" right="0.7" top="0.75" bottom="0.75" header="0.3" footer="0.3"/>
  <x:tableParts count="1">
    <x:tablePart xmlns:r="http://schemas.openxmlformats.org/officeDocument/2006/relationships" r:id="R7802e7979ec146b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0" hidden="0" customWidth="1"/>
    <x:col min="4" max="4" width="3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2">
      <x:c r="A2" s="1" t="str">
        <x:v>435个配对的覆盖 / Pair coverage</x:v>
      </x:c>
    </x:row>
    <x:row r="3">
      <x:c r="A3" s="2" t="str">
        <x:v>Counts describe co-varying compounds, not demonstrated sensory interactions. Level-cell counts are a snapshot of this algorithm run.</x:v>
      </x:c>
    </x:row>
    <x:row r="5" ht="44" customHeight="1">
      <x:c r="A5" s="8" t="str">
        <x:v>ID A</x:v>
      </x:c>
      <x:c r="B5" s="8" t="str">
        <x:v>ID B</x:v>
      </x:c>
      <x:c r="C5" s="8" t="str">
        <x:v>物质 A</x:v>
      </x:c>
      <x:c r="D5" s="8" t="str">
        <x:v>物质 B</x:v>
      </x:c>
      <x:c r="E5" s="8" t="str">
        <x:v>档位类型</x:v>
      </x:c>
      <x:c r="F5" s="8" t="str">
        <x:v>拟合出现次数</x:v>
      </x:c>
      <x:c r="G5" s="8" t="str">
        <x:v>重复出现次数</x:v>
      </x:c>
      <x:c r="H5" s="8" t="str">
        <x:v>验证出现次数</x:v>
      </x:c>
      <x:c r="I5" s="8" t="str">
        <x:v>不同背景数</x:v>
      </x:c>
      <x:c r="J5" s="8" t="str">
        <x:v>已覆盖档位格</x:v>
      </x:c>
      <x:c r="K5" s="8" t="str">
        <x:v>全部档位格</x:v>
      </x:c>
      <x:c r="L5" s="8" t="str">
        <x:v>档位格比例</x:v>
      </x:c>
    </x:row>
    <x:row r="6" ht="24" customHeight="1">
      <x:c r="A6" s="3" t="n">
        <x:v>7</x:v>
      </x:c>
      <x:c r="B6" s="3" t="n">
        <x:v>11</x:v>
      </x:c>
      <x:c r="C6" s="3" t="str">
        <x:v>己醛</x:v>
      </x:c>
      <x:c r="D6" s="3" t="str">
        <x:v>1-丁醇</x:v>
      </x:c>
      <x:c r="E6" s="3" t="str">
        <x:v>3档×3档</x:v>
      </x:c>
      <x:c r="F6" s="3" t="n">
        <x:f>COUNTIFS('浓度矩阵'!$C$6:$C$355,1,'浓度矩阵'!$E$6:$E$355,"&gt;0",'浓度矩阵'!$F$6:$F$355,"&gt;0")</x:f>
        <x:v>3</x:v>
      </x:c>
      <x:c r="G6" s="3" t="n">
        <x:f>COUNTIFS('浓度矩阵'!$B$6:$B$355,"独立配制重复",'浓度矩阵'!$E$6:$E$355,"&gt;0",'浓度矩阵'!$F$6:$F$355,"&gt;0")</x:f>
        <x:v>0</x:v>
      </x:c>
      <x:c r="H6" s="3" t="n">
        <x:f>COUNTIFS('浓度矩阵'!$B$6:$B$355,"留出验证",'浓度矩阵'!$E$6:$E$355,"&gt;0",'浓度矩阵'!$F$6:$F$355,"&gt;0")</x:f>
        <x:v>1</x:v>
      </x:c>
      <x:c r="I6" s="3" t="n">
        <x:v>3</x:v>
      </x:c>
      <x:c r="J6" s="3" t="n">
        <x:v>3</x:v>
      </x:c>
      <x:c r="K6" s="3" t="n">
        <x:v>9</x:v>
      </x:c>
      <x:c r="L6" s="11" t="n">
        <x:f>J6/K6</x:f>
        <x:v>0.3333333333333333</x:v>
      </x:c>
    </x:row>
    <x:row r="7" ht="24" customHeight="1">
      <x:c r="A7" s="3" t="n">
        <x:v>7</x:v>
      </x:c>
      <x:c r="B7" s="3" t="n">
        <x:v>18</x:v>
      </x:c>
      <x:c r="C7" s="3" t="str">
        <x:v>己醛</x:v>
      </x:c>
      <x:c r="D7" s="3" t="str">
        <x:v>2-甲基丙醛</x:v>
      </x:c>
      <x:c r="E7" s="3" t="str">
        <x:v>3档×3档</x:v>
      </x:c>
      <x:c r="F7" s="3" t="n">
        <x:f>COUNTIFS('浓度矩阵'!$C$6:$C$355,1,'浓度矩阵'!$E$6:$E$355,"&gt;0",'浓度矩阵'!$G$6:$G$355,"&gt;0")</x:f>
        <x:v>4</x:v>
      </x:c>
      <x:c r="G7" s="3" t="n">
        <x:f>COUNTIFS('浓度矩阵'!$B$6:$B$355,"独立配制重复",'浓度矩阵'!$E$6:$E$355,"&gt;0",'浓度矩阵'!$G$6:$G$355,"&gt;0")</x:f>
        <x:v>1</x:v>
      </x:c>
      <x:c r="H7" s="3" t="n">
        <x:f>COUNTIFS('浓度矩阵'!$B$6:$B$355,"留出验证",'浓度矩阵'!$E$6:$E$355,"&gt;0",'浓度矩阵'!$G$6:$G$355,"&gt;0")</x:f>
        <x:v>0</x:v>
      </x:c>
      <x:c r="I7" s="3" t="n">
        <x:v>4</x:v>
      </x:c>
      <x:c r="J7" s="3" t="n">
        <x:v>4</x:v>
      </x:c>
      <x:c r="K7" s="3" t="n">
        <x:v>9</x:v>
      </x:c>
      <x:c r="L7" s="11" t="n">
        <x:f>J7/K7</x:f>
        <x:v>0.4444444444444444</x:v>
      </x:c>
    </x:row>
    <x:row r="8" ht="24" customHeight="1">
      <x:c r="A8" s="3" t="n">
        <x:v>7</x:v>
      </x:c>
      <x:c r="B8" s="3" t="n">
        <x:v>32</x:v>
      </x:c>
      <x:c r="C8" s="3" t="str">
        <x:v>己醛</x:v>
      </x:c>
      <x:c r="D8" s="3" t="str">
        <x:v>异丁酸乙酯</x:v>
      </x:c>
      <x:c r="E8" s="3" t="str">
        <x:v>3档×3档</x:v>
      </x:c>
      <x:c r="F8" s="3" t="n">
        <x:f>COUNTIFS('浓度矩阵'!$C$6:$C$355,1,'浓度矩阵'!$E$6:$E$355,"&gt;0",'浓度矩阵'!$H$6:$H$355,"&gt;0")</x:f>
        <x:v>3</x:v>
      </x:c>
      <x:c r="G8" s="3" t="n">
        <x:f>COUNTIFS('浓度矩阵'!$B$6:$B$355,"独立配制重复",'浓度矩阵'!$E$6:$E$355,"&gt;0",'浓度矩阵'!$H$6:$H$355,"&gt;0")</x:f>
        <x:v>1</x:v>
      </x:c>
      <x:c r="H8" s="3" t="n">
        <x:f>COUNTIFS('浓度矩阵'!$B$6:$B$355,"留出验证",'浓度矩阵'!$E$6:$E$355,"&gt;0",'浓度矩阵'!$H$6:$H$355,"&gt;0")</x:f>
        <x:v>0</x:v>
      </x:c>
      <x:c r="I8" s="3" t="n">
        <x:v>3</x:v>
      </x:c>
      <x:c r="J8" s="3" t="n">
        <x:v>3</x:v>
      </x:c>
      <x:c r="K8" s="3" t="n">
        <x:v>9</x:v>
      </x:c>
      <x:c r="L8" s="11" t="n">
        <x:f>J8/K8</x:f>
        <x:v>0.3333333333333333</x:v>
      </x:c>
    </x:row>
    <x:row r="9" ht="24" customHeight="1">
      <x:c r="A9" s="3" t="n">
        <x:v>7</x:v>
      </x:c>
      <x:c r="B9" s="3" t="n">
        <x:v>40</x:v>
      </x:c>
      <x:c r="C9" s="3" t="str">
        <x:v>己醛</x:v>
      </x:c>
      <x:c r="D9" s="3" t="str">
        <x:v>苯乙酸乙酯</x:v>
      </x:c>
      <x:c r="E9" s="3" t="str">
        <x:v>3档×3档</x:v>
      </x:c>
      <x:c r="F9" s="3" t="n">
        <x:f>COUNTIFS('浓度矩阵'!$C$6:$C$355,1,'浓度矩阵'!$E$6:$E$355,"&gt;0",'浓度矩阵'!$I$6:$I$355,"&gt;0")</x:f>
        <x:v>3</x:v>
      </x:c>
      <x:c r="G9" s="3" t="n">
        <x:f>COUNTIFS('浓度矩阵'!$B$6:$B$355,"独立配制重复",'浓度矩阵'!$E$6:$E$355,"&gt;0",'浓度矩阵'!$I$6:$I$355,"&gt;0")</x:f>
        <x:v>1</x:v>
      </x:c>
      <x:c r="H9" s="3" t="n">
        <x:f>COUNTIFS('浓度矩阵'!$B$6:$B$355,"留出验证",'浓度矩阵'!$E$6:$E$355,"&gt;0",'浓度矩阵'!$I$6:$I$355,"&gt;0")</x:f>
        <x:v>0</x:v>
      </x:c>
      <x:c r="I9" s="3" t="n">
        <x:v>3</x:v>
      </x:c>
      <x:c r="J9" s="3" t="n">
        <x:v>3</x:v>
      </x:c>
      <x:c r="K9" s="3" t="n">
        <x:v>9</x:v>
      </x:c>
      <x:c r="L9" s="11" t="n">
        <x:f>J9/K9</x:f>
        <x:v>0.3333333333333333</x:v>
      </x:c>
    </x:row>
    <x:row r="10" ht="24" customHeight="1">
      <x:c r="A10" s="3" t="n">
        <x:v>7</x:v>
      </x:c>
      <x:c r="B10" s="3" t="n">
        <x:v>52</x:v>
      </x:c>
      <x:c r="C10" s="3" t="str">
        <x:v>己醛</x:v>
      </x:c>
      <x:c r="D10" s="3" t="str">
        <x:v>丁酸乙酯</x:v>
      </x:c>
      <x:c r="E10" s="3" t="str">
        <x:v>3档×3档</x:v>
      </x:c>
      <x:c r="F10" s="3" t="n">
        <x:f>COUNTIFS('浓度矩阵'!$C$6:$C$355,1,'浓度矩阵'!$E$6:$E$355,"&gt;0",'浓度矩阵'!$J$6:$J$355,"&gt;0")</x:f>
        <x:v>3</x:v>
      </x:c>
      <x:c r="G10" s="3" t="n">
        <x:f>COUNTIFS('浓度矩阵'!$B$6:$B$355,"独立配制重复",'浓度矩阵'!$E$6:$E$355,"&gt;0",'浓度矩阵'!$J$6:$J$355,"&gt;0")</x:f>
        <x:v>1</x:v>
      </x:c>
      <x:c r="H10" s="3" t="n">
        <x:f>COUNTIFS('浓度矩阵'!$B$6:$B$355,"留出验证",'浓度矩阵'!$E$6:$E$355,"&gt;0",'浓度矩阵'!$J$6:$J$355,"&gt;0")</x:f>
        <x:v>0</x:v>
      </x:c>
      <x:c r="I10" s="3" t="n">
        <x:v>3</x:v>
      </x:c>
      <x:c r="J10" s="3" t="n">
        <x:v>3</x:v>
      </x:c>
      <x:c r="K10" s="3" t="n">
        <x:v>9</x:v>
      </x:c>
      <x:c r="L10" s="11" t="n">
        <x:f>J10/K10</x:f>
        <x:v>0.3333333333333333</x:v>
      </x:c>
    </x:row>
    <x:row r="11" ht="24" customHeight="1">
      <x:c r="A11" s="3" t="n">
        <x:v>7</x:v>
      </x:c>
      <x:c r="B11" s="3" t="n">
        <x:v>53</x:v>
      </x:c>
      <x:c r="C11" s="3" t="str">
        <x:v>己醛</x:v>
      </x:c>
      <x:c r="D11" s="3" t="str">
        <x:v>乙醛二乙缩醛</x:v>
      </x:c>
      <x:c r="E11" s="3" t="str">
        <x:v>3档×3档</x:v>
      </x:c>
      <x:c r="F11" s="3" t="n">
        <x:f>COUNTIFS('浓度矩阵'!$C$6:$C$355,1,'浓度矩阵'!$E$6:$E$355,"&gt;0",'浓度矩阵'!$K$6:$K$355,"&gt;0")</x:f>
        <x:v>3</x:v>
      </x:c>
      <x:c r="G11" s="3" t="n">
        <x:f>COUNTIFS('浓度矩阵'!$B$6:$B$355,"独立配制重复",'浓度矩阵'!$E$6:$E$355,"&gt;0",'浓度矩阵'!$K$6:$K$355,"&gt;0")</x:f>
        <x:v>0</x:v>
      </x:c>
      <x:c r="H11" s="3" t="n">
        <x:f>COUNTIFS('浓度矩阵'!$B$6:$B$355,"留出验证",'浓度矩阵'!$E$6:$E$355,"&gt;0",'浓度矩阵'!$K$6:$K$355,"&gt;0")</x:f>
        <x:v>0</x:v>
      </x:c>
      <x:c r="I11" s="3" t="n">
        <x:v>3</x:v>
      </x:c>
      <x:c r="J11" s="3" t="n">
        <x:v>3</x:v>
      </x:c>
      <x:c r="K11" s="3" t="n">
        <x:v>9</x:v>
      </x:c>
      <x:c r="L11" s="11" t="n">
        <x:f>J11/K11</x:f>
        <x:v>0.3333333333333333</x:v>
      </x:c>
    </x:row>
    <x:row r="12" ht="24" customHeight="1">
      <x:c r="A12" s="3" t="n">
        <x:v>7</x:v>
      </x:c>
      <x:c r="B12" s="3" t="n">
        <x:v>56</x:v>
      </x:c>
      <x:c r="C12" s="3" t="str">
        <x:v>己醛</x:v>
      </x:c>
      <x:c r="D12" s="3" t="str">
        <x:v>丁酸异戊酯</x:v>
      </x:c>
      <x:c r="E12" s="3" t="str">
        <x:v>3档×2档</x:v>
      </x:c>
      <x:c r="F12" s="3" t="n">
        <x:f>COUNTIFS('浓度矩阵'!$C$6:$C$355,1,'浓度矩阵'!$E$6:$E$355,"&gt;0",'浓度矩阵'!$L$6:$L$355,"&gt;0")</x:f>
        <x:v>3</x:v>
      </x:c>
      <x:c r="G12" s="3" t="n">
        <x:f>COUNTIFS('浓度矩阵'!$B$6:$B$355,"独立配制重复",'浓度矩阵'!$E$6:$E$355,"&gt;0",'浓度矩阵'!$L$6:$L$355,"&gt;0")</x:f>
        <x:v>0</x:v>
      </x:c>
      <x:c r="H12" s="3" t="n">
        <x:f>COUNTIFS('浓度矩阵'!$B$6:$B$355,"留出验证",'浓度矩阵'!$E$6:$E$355,"&gt;0",'浓度矩阵'!$L$6:$L$355,"&gt;0")</x:f>
        <x:v>1</x:v>
      </x:c>
      <x:c r="I12" s="3" t="n">
        <x:v>3</x:v>
      </x:c>
      <x:c r="J12" s="3" t="n">
        <x:v>3</x:v>
      </x:c>
      <x:c r="K12" s="3" t="n">
        <x:v>6</x:v>
      </x:c>
      <x:c r="L12" s="11" t="n">
        <x:f>J12/K12</x:f>
        <x:v>0.5</x:v>
      </x:c>
    </x:row>
    <x:row r="13" ht="24" customHeight="1">
      <x:c r="A13" s="3" t="n">
        <x:v>7</x:v>
      </x:c>
      <x:c r="B13" s="3" t="n">
        <x:v>58</x:v>
      </x:c>
      <x:c r="C13" s="3" t="str">
        <x:v>己醛</x:v>
      </x:c>
      <x:c r="D13" s="3" t="str">
        <x:v>辛酸乙酯</x:v>
      </x:c>
      <x:c r="E13" s="3" t="str">
        <x:v>3档×3档</x:v>
      </x:c>
      <x:c r="F13" s="3" t="n">
        <x:f>COUNTIFS('浓度矩阵'!$C$6:$C$355,1,'浓度矩阵'!$E$6:$E$355,"&gt;0",'浓度矩阵'!$M$6:$M$355,"&gt;0")</x:f>
        <x:v>3</x:v>
      </x:c>
      <x:c r="G13" s="3" t="n">
        <x:f>COUNTIFS('浓度矩阵'!$B$6:$B$355,"独立配制重复",'浓度矩阵'!$E$6:$E$355,"&gt;0",'浓度矩阵'!$M$6:$M$355,"&gt;0")</x:f>
        <x:v>1</x:v>
      </x:c>
      <x:c r="H13" s="3" t="n">
        <x:f>COUNTIFS('浓度矩阵'!$B$6:$B$355,"留出验证",'浓度矩阵'!$E$6:$E$355,"&gt;0",'浓度矩阵'!$M$6:$M$355,"&gt;0")</x:f>
        <x:v>1</x:v>
      </x:c>
      <x:c r="I13" s="3" t="n">
        <x:v>3</x:v>
      </x:c>
      <x:c r="J13" s="3" t="n">
        <x:v>3</x:v>
      </x:c>
      <x:c r="K13" s="3" t="n">
        <x:v>9</x:v>
      </x:c>
      <x:c r="L13" s="11" t="n">
        <x:f>J13/K13</x:f>
        <x:v>0.3333333333333333</x:v>
      </x:c>
    </x:row>
    <x:row r="14" ht="24" customHeight="1">
      <x:c r="A14" s="3" t="n">
        <x:v>7</x:v>
      </x:c>
      <x:c r="B14" s="3" t="n">
        <x:v>61</x:v>
      </x:c>
      <x:c r="C14" s="3" t="str">
        <x:v>己醛</x:v>
      </x:c>
      <x:c r="D14" s="3" t="str">
        <x:v>对甲酚</x:v>
      </x:c>
      <x:c r="E14" s="3" t="str">
        <x:v>3档×3档</x:v>
      </x:c>
      <x:c r="F14" s="3" t="n">
        <x:f>COUNTIFS('浓度矩阵'!$C$6:$C$355,1,'浓度矩阵'!$E$6:$E$355,"&gt;0",'浓度矩阵'!$N$6:$N$355,"&gt;0")</x:f>
        <x:v>3</x:v>
      </x:c>
      <x:c r="G14" s="3" t="n">
        <x:f>COUNTIFS('浓度矩阵'!$B$6:$B$355,"独立配制重复",'浓度矩阵'!$E$6:$E$355,"&gt;0",'浓度矩阵'!$N$6:$N$355,"&gt;0")</x:f>
        <x:v>0</x:v>
      </x:c>
      <x:c r="H14" s="3" t="n">
        <x:f>COUNTIFS('浓度矩阵'!$B$6:$B$355,"留出验证",'浓度矩阵'!$E$6:$E$355,"&gt;0",'浓度矩阵'!$N$6:$N$355,"&gt;0")</x:f>
        <x:v>0</x:v>
      </x:c>
      <x:c r="I14" s="3" t="n">
        <x:v>3</x:v>
      </x:c>
      <x:c r="J14" s="3" t="n">
        <x:v>3</x:v>
      </x:c>
      <x:c r="K14" s="3" t="n">
        <x:v>9</x:v>
      </x:c>
      <x:c r="L14" s="11" t="n">
        <x:f>J14/K14</x:f>
        <x:v>0.3333333333333333</x:v>
      </x:c>
    </x:row>
    <x:row r="15" ht="24" customHeight="1">
      <x:c r="A15" s="3" t="n">
        <x:v>7</x:v>
      </x:c>
      <x:c r="B15" s="3" t="n">
        <x:v>69</x:v>
      </x:c>
      <x:c r="C15" s="3" t="str">
        <x:v>己醛</x:v>
      </x:c>
      <x:c r="D15" s="3" t="str">
        <x:v>异戊酸乙酯（3-甲基丁酸乙酯）</x:v>
      </x:c>
      <x:c r="E15" s="3" t="str">
        <x:v>3档×3档</x:v>
      </x:c>
      <x:c r="F15" s="3" t="n">
        <x:f>COUNTIFS('浓度矩阵'!$C$6:$C$355,1,'浓度矩阵'!$E$6:$E$355,"&gt;0",'浓度矩阵'!$O$6:$O$355,"&gt;0")</x:f>
        <x:v>3</x:v>
      </x:c>
      <x:c r="G15" s="3" t="n">
        <x:f>COUNTIFS('浓度矩阵'!$B$6:$B$355,"独立配制重复",'浓度矩阵'!$E$6:$E$355,"&gt;0",'浓度矩阵'!$O$6:$O$355,"&gt;0")</x:f>
        <x:v>0</x:v>
      </x:c>
      <x:c r="H15" s="3" t="n">
        <x:f>COUNTIFS('浓度矩阵'!$B$6:$B$355,"留出验证",'浓度矩阵'!$E$6:$E$355,"&gt;0",'浓度矩阵'!$O$6:$O$355,"&gt;0")</x:f>
        <x:v>0</x:v>
      </x:c>
      <x:c r="I15" s="3" t="n">
        <x:v>3</x:v>
      </x:c>
      <x:c r="J15" s="3" t="n">
        <x:v>3</x:v>
      </x:c>
      <x:c r="K15" s="3" t="n">
        <x:v>9</x:v>
      </x:c>
      <x:c r="L15" s="11" t="n">
        <x:f>J15/K15</x:f>
        <x:v>0.3333333333333333</x:v>
      </x:c>
    </x:row>
    <x:row r="16" ht="24" customHeight="1">
      <x:c r="A16" s="3" t="n">
        <x:v>7</x:v>
      </x:c>
      <x:c r="B16" s="3" t="n">
        <x:v>75</x:v>
      </x:c>
      <x:c r="C16" s="3" t="str">
        <x:v>己醛</x:v>
      </x:c>
      <x:c r="D16" s="3" t="str">
        <x:v>戊酸</x:v>
      </x:c>
      <x:c r="E16" s="3" t="str">
        <x:v>3档×3档</x:v>
      </x:c>
      <x:c r="F16" s="3" t="n">
        <x:f>COUNTIFS('浓度矩阵'!$C$6:$C$355,1,'浓度矩阵'!$E$6:$E$355,"&gt;0",'浓度矩阵'!$P$6:$P$355,"&gt;0")</x:f>
        <x:v>4</x:v>
      </x:c>
      <x:c r="G16" s="3" t="n">
        <x:f>COUNTIFS('浓度矩阵'!$B$6:$B$355,"独立配制重复",'浓度矩阵'!$E$6:$E$355,"&gt;0",'浓度矩阵'!$P$6:$P$355,"&gt;0")</x:f>
        <x:v>1</x:v>
      </x:c>
      <x:c r="H16" s="3" t="n">
        <x:f>COUNTIFS('浓度矩阵'!$B$6:$B$355,"留出验证",'浓度矩阵'!$E$6:$E$355,"&gt;0",'浓度矩阵'!$P$6:$P$355,"&gt;0")</x:f>
        <x:v>0</x:v>
      </x:c>
      <x:c r="I16" s="3" t="n">
        <x:v>4</x:v>
      </x:c>
      <x:c r="J16" s="3" t="n">
        <x:v>4</x:v>
      </x:c>
      <x:c r="K16" s="3" t="n">
        <x:v>9</x:v>
      </x:c>
      <x:c r="L16" s="11" t="n">
        <x:f>J16/K16</x:f>
        <x:v>0.4444444444444444</x:v>
      </x:c>
    </x:row>
    <x:row r="17" ht="24" customHeight="1">
      <x:c r="A17" s="3" t="n">
        <x:v>7</x:v>
      </x:c>
      <x:c r="B17" s="3" t="n">
        <x:v>79</x:v>
      </x:c>
      <x:c r="C17" s="3" t="str">
        <x:v>己醛</x:v>
      </x:c>
      <x:c r="D17" s="3" t="str">
        <x:v>癸酸乙酯</x:v>
      </x:c>
      <x:c r="E17" s="3" t="str">
        <x:v>3档×2档</x:v>
      </x:c>
      <x:c r="F17" s="3" t="n">
        <x:f>COUNTIFS('浓度矩阵'!$C$6:$C$355,1,'浓度矩阵'!$E$6:$E$355,"&gt;0",'浓度矩阵'!$Q$6:$Q$355,"&gt;0")</x:f>
        <x:v>3</x:v>
      </x:c>
      <x:c r="G17" s="3" t="n">
        <x:f>COUNTIFS('浓度矩阵'!$B$6:$B$355,"独立配制重复",'浓度矩阵'!$E$6:$E$355,"&gt;0",'浓度矩阵'!$Q$6:$Q$355,"&gt;0")</x:f>
        <x:v>0</x:v>
      </x:c>
      <x:c r="H17" s="3" t="n">
        <x:f>COUNTIFS('浓度矩阵'!$B$6:$B$355,"留出验证",'浓度矩阵'!$E$6:$E$355,"&gt;0",'浓度矩阵'!$Q$6:$Q$355,"&gt;0")</x:f>
        <x:v>0</x:v>
      </x:c>
      <x:c r="I17" s="3" t="n">
        <x:v>3</x:v>
      </x:c>
      <x:c r="J17" s="3" t="n">
        <x:v>3</x:v>
      </x:c>
      <x:c r="K17" s="3" t="n">
        <x:v>6</x:v>
      </x:c>
      <x:c r="L17" s="11" t="n">
        <x:f>J17/K17</x:f>
        <x:v>0.5</x:v>
      </x:c>
    </x:row>
    <x:row r="18" ht="24" customHeight="1">
      <x:c r="A18" s="3" t="n">
        <x:v>7</x:v>
      </x:c>
      <x:c r="B18" s="3" t="n">
        <x:v>90</x:v>
      </x:c>
      <x:c r="C18" s="3" t="str">
        <x:v>己醛</x:v>
      </x:c>
      <x:c r="D18" s="3" t="str">
        <x:v>1-辛醇</x:v>
      </x:c>
      <x:c r="E18" s="3" t="str">
        <x:v>3档×2档</x:v>
      </x:c>
      <x:c r="F18" s="3" t="n">
        <x:f>COUNTIFS('浓度矩阵'!$C$6:$C$355,1,'浓度矩阵'!$E$6:$E$355,"&gt;0",'浓度矩阵'!$R$6:$R$355,"&gt;0")</x:f>
        <x:v>4</x:v>
      </x:c>
      <x:c r="G18" s="3" t="n">
        <x:f>COUNTIFS('浓度矩阵'!$B$6:$B$355,"独立配制重复",'浓度矩阵'!$E$6:$E$355,"&gt;0",'浓度矩阵'!$R$6:$R$355,"&gt;0")</x:f>
        <x:v>0</x:v>
      </x:c>
      <x:c r="H18" s="3" t="n">
        <x:f>COUNTIFS('浓度矩阵'!$B$6:$B$355,"留出验证",'浓度矩阵'!$E$6:$E$355,"&gt;0",'浓度矩阵'!$R$6:$R$355,"&gt;0")</x:f>
        <x:v>0</x:v>
      </x:c>
      <x:c r="I18" s="3" t="n">
        <x:v>4</x:v>
      </x:c>
      <x:c r="J18" s="3" t="n">
        <x:v>4</x:v>
      </x:c>
      <x:c r="K18" s="3" t="n">
        <x:v>6</x:v>
      </x:c>
      <x:c r="L18" s="11" t="n">
        <x:f>J18/K18</x:f>
        <x:v>0.6666666666666666</x:v>
      </x:c>
    </x:row>
    <x:row r="19" ht="24" customHeight="1">
      <x:c r="A19" s="3" t="n">
        <x:v>7</x:v>
      </x:c>
      <x:c r="B19" s="3" t="n">
        <x:v>105</x:v>
      </x:c>
      <x:c r="C19" s="3" t="str">
        <x:v>己醛</x:v>
      </x:c>
      <x:c r="D19" s="3" t="str">
        <x:v>苯乙醛</x:v>
      </x:c>
      <x:c r="E19" s="3" t="str">
        <x:v>3档×3档</x:v>
      </x:c>
      <x:c r="F19" s="3" t="n">
        <x:f>COUNTIFS('浓度矩阵'!$C$6:$C$355,1,'浓度矩阵'!$E$6:$E$355,"&gt;0",'浓度矩阵'!$S$6:$S$355,"&gt;0")</x:f>
        <x:v>3</x:v>
      </x:c>
      <x:c r="G19" s="3" t="n">
        <x:f>COUNTIFS('浓度矩阵'!$B$6:$B$355,"独立配制重复",'浓度矩阵'!$E$6:$E$355,"&gt;0",'浓度矩阵'!$S$6:$S$355,"&gt;0")</x:f>
        <x:v>2</x:v>
      </x:c>
      <x:c r="H19" s="3" t="n">
        <x:f>COUNTIFS('浓度矩阵'!$B$6:$B$355,"留出验证",'浓度矩阵'!$E$6:$E$355,"&gt;0",'浓度矩阵'!$S$6:$S$355,"&gt;0")</x:f>
        <x:v>0</x:v>
      </x:c>
      <x:c r="I19" s="3" t="n">
        <x:v>3</x:v>
      </x:c>
      <x:c r="J19" s="3" t="n">
        <x:v>3</x:v>
      </x:c>
      <x:c r="K19" s="3" t="n">
        <x:v>9</x:v>
      </x:c>
      <x:c r="L19" s="11" t="n">
        <x:f>J19/K19</x:f>
        <x:v>0.3333333333333333</x:v>
      </x:c>
    </x:row>
    <x:row r="20" ht="24" customHeight="1">
      <x:c r="A20" s="3" t="n">
        <x:v>7</x:v>
      </x:c>
      <x:c r="B20" s="3" t="n">
        <x:v>111</x:v>
      </x:c>
      <x:c r="C20" s="3" t="str">
        <x:v>己醛</x:v>
      </x:c>
      <x:c r="D20" s="3" t="str">
        <x:v>己酸乙酯</x:v>
      </x:c>
      <x:c r="E20" s="3" t="str">
        <x:v>3档×3档</x:v>
      </x:c>
      <x:c r="F20" s="3" t="n">
        <x:f>COUNTIFS('浓度矩阵'!$C$6:$C$355,1,'浓度矩阵'!$E$6:$E$355,"&gt;0",'浓度矩阵'!$T$6:$T$355,"&gt;0")</x:f>
        <x:v>3</x:v>
      </x:c>
      <x:c r="G20" s="3" t="n">
        <x:f>COUNTIFS('浓度矩阵'!$B$6:$B$355,"独立配制重复",'浓度矩阵'!$E$6:$E$355,"&gt;0",'浓度矩阵'!$T$6:$T$355,"&gt;0")</x:f>
        <x:v>0</x:v>
      </x:c>
      <x:c r="H20" s="3" t="n">
        <x:f>COUNTIFS('浓度矩阵'!$B$6:$B$355,"留出验证",'浓度矩阵'!$E$6:$E$355,"&gt;0",'浓度矩阵'!$T$6:$T$355,"&gt;0")</x:f>
        <x:v>0</x:v>
      </x:c>
      <x:c r="I20" s="3" t="n">
        <x:v>3</x:v>
      </x:c>
      <x:c r="J20" s="3" t="n">
        <x:v>3</x:v>
      </x:c>
      <x:c r="K20" s="3" t="n">
        <x:v>9</x:v>
      </x:c>
      <x:c r="L20" s="11" t="n">
        <x:f>J20/K20</x:f>
        <x:v>0.3333333333333333</x:v>
      </x:c>
    </x:row>
    <x:row r="21" ht="24" customHeight="1">
      <x:c r="A21" s="3" t="n">
        <x:v>7</x:v>
      </x:c>
      <x:c r="B21" s="3" t="n">
        <x:v>114</x:v>
      </x:c>
      <x:c r="C21" s="3" t="str">
        <x:v>己醛</x:v>
      </x:c>
      <x:c r="D21" s="3" t="str">
        <x:v>乙酸丁酯</x:v>
      </x:c>
      <x:c r="E21" s="3" t="str">
        <x:v>3档×2档</x:v>
      </x:c>
      <x:c r="F21" s="3" t="n">
        <x:f>COUNTIFS('浓度矩阵'!$C$6:$C$355,1,'浓度矩阵'!$E$6:$E$355,"&gt;0",'浓度矩阵'!$U$6:$U$355,"&gt;0")</x:f>
        <x:v>3</x:v>
      </x:c>
      <x:c r="G21" s="3" t="n">
        <x:f>COUNTIFS('浓度矩阵'!$B$6:$B$355,"独立配制重复",'浓度矩阵'!$E$6:$E$355,"&gt;0",'浓度矩阵'!$U$6:$U$355,"&gt;0")</x:f>
        <x:v>0</x:v>
      </x:c>
      <x:c r="H21" s="3" t="n">
        <x:f>COUNTIFS('浓度矩阵'!$B$6:$B$355,"留出验证",'浓度矩阵'!$E$6:$E$355,"&gt;0",'浓度矩阵'!$U$6:$U$355,"&gt;0")</x:f>
        <x:v>0</x:v>
      </x:c>
      <x:c r="I21" s="3" t="n">
        <x:v>3</x:v>
      </x:c>
      <x:c r="J21" s="3" t="n">
        <x:v>3</x:v>
      </x:c>
      <x:c r="K21" s="3" t="n">
        <x:v>6</x:v>
      </x:c>
      <x:c r="L21" s="11" t="n">
        <x:f>J21/K21</x:f>
        <x:v>0.5</x:v>
      </x:c>
    </x:row>
    <x:row r="22" ht="24" customHeight="1">
      <x:c r="A22" s="3" t="n">
        <x:v>7</x:v>
      </x:c>
      <x:c r="B22" s="3" t="n">
        <x:v>115</x:v>
      </x:c>
      <x:c r="C22" s="3" t="str">
        <x:v>己醛</x:v>
      </x:c>
      <x:c r="D22" s="3" t="str">
        <x:v>乙酸异戊酯</x:v>
      </x:c>
      <x:c r="E22" s="3" t="str">
        <x:v>3档×3档</x:v>
      </x:c>
      <x:c r="F22" s="3" t="n">
        <x:f>COUNTIFS('浓度矩阵'!$C$6:$C$355,1,'浓度矩阵'!$E$6:$E$355,"&gt;0",'浓度矩阵'!$V$6:$V$355,"&gt;0")</x:f>
        <x:v>2</x:v>
      </x:c>
      <x:c r="G22" s="3" t="n">
        <x:f>COUNTIFS('浓度矩阵'!$B$6:$B$355,"独立配制重复",'浓度矩阵'!$E$6:$E$355,"&gt;0",'浓度矩阵'!$V$6:$V$355,"&gt;0")</x:f>
        <x:v>0</x:v>
      </x:c>
      <x:c r="H22" s="3" t="n">
        <x:f>COUNTIFS('浓度矩阵'!$B$6:$B$355,"留出验证",'浓度矩阵'!$E$6:$E$355,"&gt;0",'浓度矩阵'!$V$6:$V$355,"&gt;0")</x:f>
        <x:v>0</x:v>
      </x:c>
      <x:c r="I22" s="3" t="n">
        <x:v>2</x:v>
      </x:c>
      <x:c r="J22" s="3" t="n">
        <x:v>2</x:v>
      </x:c>
      <x:c r="K22" s="3" t="n">
        <x:v>9</x:v>
      </x:c>
      <x:c r="L22" s="11" t="n">
        <x:f>J22/K22</x:f>
        <x:v>0.2222222222222222</x:v>
      </x:c>
    </x:row>
    <x:row r="23" ht="24" customHeight="1">
      <x:c r="A23" s="3" t="n">
        <x:v>7</x:v>
      </x:c>
      <x:c r="B23" s="3" t="n">
        <x:v>117</x:v>
      </x:c>
      <x:c r="C23" s="3" t="str">
        <x:v>己醛</x:v>
      </x:c>
      <x:c r="D23" s="3" t="str">
        <x:v>辛酸</x:v>
      </x:c>
      <x:c r="E23" s="3" t="str">
        <x:v>3档×3档</x:v>
      </x:c>
      <x:c r="F23" s="3" t="n">
        <x:f>COUNTIFS('浓度矩阵'!$C$6:$C$355,1,'浓度矩阵'!$E$6:$E$355,"&gt;0",'浓度矩阵'!$W$6:$W$355,"&gt;0")</x:f>
        <x:v>3</x:v>
      </x:c>
      <x:c r="G23" s="3" t="n">
        <x:f>COUNTIFS('浓度矩阵'!$B$6:$B$355,"独立配制重复",'浓度矩阵'!$E$6:$E$355,"&gt;0",'浓度矩阵'!$W$6:$W$355,"&gt;0")</x:f>
        <x:v>0</x:v>
      </x:c>
      <x:c r="H23" s="3" t="n">
        <x:f>COUNTIFS('浓度矩阵'!$B$6:$B$355,"留出验证",'浓度矩阵'!$E$6:$E$355,"&gt;0",'浓度矩阵'!$W$6:$W$355,"&gt;0")</x:f>
        <x:v>0</x:v>
      </x:c>
      <x:c r="I23" s="3" t="n">
        <x:v>3</x:v>
      </x:c>
      <x:c r="J23" s="3" t="n">
        <x:v>3</x:v>
      </x:c>
      <x:c r="K23" s="3" t="n">
        <x:v>9</x:v>
      </x:c>
      <x:c r="L23" s="11" t="n">
        <x:f>J23/K23</x:f>
        <x:v>0.3333333333333333</x:v>
      </x:c>
    </x:row>
    <x:row r="24" ht="24" customHeight="1">
      <x:c r="A24" s="3" t="n">
        <x:v>7</x:v>
      </x:c>
      <x:c r="B24" s="3" t="n">
        <x:v>126</x:v>
      </x:c>
      <x:c r="C24" s="3" t="str">
        <x:v>己醛</x:v>
      </x:c>
      <x:c r="D24" s="3" t="str">
        <x:v>己酸</x:v>
      </x:c>
      <x:c r="E24" s="3" t="str">
        <x:v>3档×3档</x:v>
      </x:c>
      <x:c r="F24" s="3" t="n">
        <x:f>COUNTIFS('浓度矩阵'!$C$6:$C$355,1,'浓度矩阵'!$E$6:$E$355,"&gt;0",'浓度矩阵'!$X$6:$X$355,"&gt;0")</x:f>
        <x:v>3</x:v>
      </x:c>
      <x:c r="G24" s="3" t="n">
        <x:f>COUNTIFS('浓度矩阵'!$B$6:$B$355,"独立配制重复",'浓度矩阵'!$E$6:$E$355,"&gt;0",'浓度矩阵'!$X$6:$X$355,"&gt;0")</x:f>
        <x:v>0</x:v>
      </x:c>
      <x:c r="H24" s="3" t="n">
        <x:f>COUNTIFS('浓度矩阵'!$B$6:$B$355,"留出验证",'浓度矩阵'!$E$6:$E$355,"&gt;0",'浓度矩阵'!$X$6:$X$355,"&gt;0")</x:f>
        <x:v>1</x:v>
      </x:c>
      <x:c r="I24" s="3" t="n">
        <x:v>3</x:v>
      </x:c>
      <x:c r="J24" s="3" t="n">
        <x:v>3</x:v>
      </x:c>
      <x:c r="K24" s="3" t="n">
        <x:v>9</x:v>
      </x:c>
      <x:c r="L24" s="11" t="n">
        <x:f>J24/K24</x:f>
        <x:v>0.3333333333333333</x:v>
      </x:c>
    </x:row>
    <x:row r="25" ht="24" customHeight="1">
      <x:c r="A25" s="3" t="n">
        <x:v>7</x:v>
      </x:c>
      <x:c r="B25" s="3" t="n">
        <x:v>136</x:v>
      </x:c>
      <x:c r="C25" s="3" t="str">
        <x:v>己醛</x:v>
      </x:c>
      <x:c r="D25" s="3" t="str">
        <x:v>异戊酸/3-甲基丁酸</x:v>
      </x:c>
      <x:c r="E25" s="3" t="str">
        <x:v>3档×3档</x:v>
      </x:c>
      <x:c r="F25" s="3" t="n">
        <x:f>COUNTIFS('浓度矩阵'!$C$6:$C$355,1,'浓度矩阵'!$E$6:$E$355,"&gt;0",'浓度矩阵'!$Y$6:$Y$355,"&gt;0")</x:f>
        <x:v>3</x:v>
      </x:c>
      <x:c r="G25" s="3" t="n">
        <x:f>COUNTIFS('浓度矩阵'!$B$6:$B$355,"独立配制重复",'浓度矩阵'!$E$6:$E$355,"&gt;0",'浓度矩阵'!$Y$6:$Y$355,"&gt;0")</x:f>
        <x:v>0</x:v>
      </x:c>
      <x:c r="H25" s="3" t="n">
        <x:f>COUNTIFS('浓度矩阵'!$B$6:$B$355,"留出验证",'浓度矩阵'!$E$6:$E$355,"&gt;0",'浓度矩阵'!$Y$6:$Y$355,"&gt;0")</x:f>
        <x:v>0</x:v>
      </x:c>
      <x:c r="I25" s="3" t="n">
        <x:v>3</x:v>
      </x:c>
      <x:c r="J25" s="3" t="n">
        <x:v>3</x:v>
      </x:c>
      <x:c r="K25" s="3" t="n">
        <x:v>9</x:v>
      </x:c>
      <x:c r="L25" s="11" t="n">
        <x:f>J25/K25</x:f>
        <x:v>0.3333333333333333</x:v>
      </x:c>
    </x:row>
    <x:row r="26" ht="24" customHeight="1">
      <x:c r="A26" s="3" t="n">
        <x:v>7</x:v>
      </x:c>
      <x:c r="B26" s="3" t="n">
        <x:v>141</x:v>
      </x:c>
      <x:c r="C26" s="3" t="str">
        <x:v>己醛</x:v>
      </x:c>
      <x:c r="D26" s="3" t="str">
        <x:v>戊酸乙酯</x:v>
      </x:c>
      <x:c r="E26" s="3" t="str">
        <x:v>3档×3档</x:v>
      </x:c>
      <x:c r="F26" s="3" t="n">
        <x:f>COUNTIFS('浓度矩阵'!$C$6:$C$355,1,'浓度矩阵'!$E$6:$E$355,"&gt;0",'浓度矩阵'!$Z$6:$Z$355,"&gt;0")</x:f>
        <x:v>3</x:v>
      </x:c>
      <x:c r="G26" s="3" t="n">
        <x:f>COUNTIFS('浓度矩阵'!$B$6:$B$355,"独立配制重复",'浓度矩阵'!$E$6:$E$355,"&gt;0",'浓度矩阵'!$Z$6:$Z$355,"&gt;0")</x:f>
        <x:v>2</x:v>
      </x:c>
      <x:c r="H26" s="3" t="n">
        <x:f>COUNTIFS('浓度矩阵'!$B$6:$B$355,"留出验证",'浓度矩阵'!$E$6:$E$355,"&gt;0",'浓度矩阵'!$Z$6:$Z$355,"&gt;0")</x:f>
        <x:v>1</x:v>
      </x:c>
      <x:c r="I26" s="3" t="n">
        <x:v>3</x:v>
      </x:c>
      <x:c r="J26" s="3" t="n">
        <x:v>3</x:v>
      </x:c>
      <x:c r="K26" s="3" t="n">
        <x:v>9</x:v>
      </x:c>
      <x:c r="L26" s="11" t="n">
        <x:f>J26/K26</x:f>
        <x:v>0.3333333333333333</x:v>
      </x:c>
    </x:row>
    <x:row r="27" ht="24" customHeight="1">
      <x:c r="A27" s="3" t="n">
        <x:v>7</x:v>
      </x:c>
      <x:c r="B27" s="3" t="n">
        <x:v>152</x:v>
      </x:c>
      <x:c r="C27" s="3" t="str">
        <x:v>己醛</x:v>
      </x:c>
      <x:c r="D27" s="3" t="str">
        <x:v>异戊醛</x:v>
      </x:c>
      <x:c r="E27" s="3" t="str">
        <x:v>3档×3档</x:v>
      </x:c>
      <x:c r="F27" s="3" t="n">
        <x:f>COUNTIFS('浓度矩阵'!$C$6:$C$355,1,'浓度矩阵'!$E$6:$E$355,"&gt;0",'浓度矩阵'!$AA$6:$AA$355,"&gt;0")</x:f>
        <x:v>3</x:v>
      </x:c>
      <x:c r="G27" s="3" t="n">
        <x:f>COUNTIFS('浓度矩阵'!$B$6:$B$355,"独立配制重复",'浓度矩阵'!$E$6:$E$355,"&gt;0",'浓度矩阵'!$AA$6:$AA$355,"&gt;0")</x:f>
        <x:v>0</x:v>
      </x:c>
      <x:c r="H27" s="3" t="n">
        <x:f>COUNTIFS('浓度矩阵'!$B$6:$B$355,"留出验证",'浓度矩阵'!$E$6:$E$355,"&gt;0",'浓度矩阵'!$AA$6:$AA$355,"&gt;0")</x:f>
        <x:v>0</x:v>
      </x:c>
      <x:c r="I27" s="3" t="n">
        <x:v>3</x:v>
      </x:c>
      <x:c r="J27" s="3" t="n">
        <x:v>3</x:v>
      </x:c>
      <x:c r="K27" s="3" t="n">
        <x:v>9</x:v>
      </x:c>
      <x:c r="L27" s="11" t="n">
        <x:f>J27/K27</x:f>
        <x:v>0.3333333333333333</x:v>
      </x:c>
    </x:row>
    <x:row r="28" ht="24" customHeight="1">
      <x:c r="A28" s="3" t="n">
        <x:v>7</x:v>
      </x:c>
      <x:c r="B28" s="3" t="n">
        <x:v>165</x:v>
      </x:c>
      <x:c r="C28" s="3" t="str">
        <x:v>己醛</x:v>
      </x:c>
      <x:c r="D28" s="3" t="str">
        <x:v>己酸丁酯</x:v>
      </x:c>
      <x:c r="E28" s="3" t="str">
        <x:v>3档×2档</x:v>
      </x:c>
      <x:c r="F28" s="3" t="n">
        <x:f>COUNTIFS('浓度矩阵'!$C$6:$C$355,1,'浓度矩阵'!$E$6:$E$355,"&gt;0",'浓度矩阵'!$AB$6:$AB$355,"&gt;0")</x:f>
        <x:v>3</x:v>
      </x:c>
      <x:c r="G28" s="3" t="n">
        <x:f>COUNTIFS('浓度矩阵'!$B$6:$B$355,"独立配制重复",'浓度矩阵'!$E$6:$E$355,"&gt;0",'浓度矩阵'!$AB$6:$AB$355,"&gt;0")</x:f>
        <x:v>0</x:v>
      </x:c>
      <x:c r="H28" s="3" t="n">
        <x:f>COUNTIFS('浓度矩阵'!$B$6:$B$355,"留出验证",'浓度矩阵'!$E$6:$E$355,"&gt;0",'浓度矩阵'!$AB$6:$AB$355,"&gt;0")</x:f>
        <x:v>0</x:v>
      </x:c>
      <x:c r="I28" s="3" t="n">
        <x:v>3</x:v>
      </x:c>
      <x:c r="J28" s="3" t="n">
        <x:v>3</x:v>
      </x:c>
      <x:c r="K28" s="3" t="n">
        <x:v>6</x:v>
      </x:c>
      <x:c r="L28" s="11" t="n">
        <x:f>J28/K28</x:f>
        <x:v>0.5</x:v>
      </x:c>
    </x:row>
    <x:row r="29" ht="24" customHeight="1">
      <x:c r="A29" s="3" t="n">
        <x:v>7</x:v>
      </x:c>
      <x:c r="B29" s="3" t="n">
        <x:v>186</x:v>
      </x:c>
      <x:c r="C29" s="3" t="str">
        <x:v>己醛</x:v>
      </x:c>
      <x:c r="D29" s="3" t="str">
        <x:v>3-苯基丙酸乙酯</x:v>
      </x:c>
      <x:c r="E29" s="3" t="str">
        <x:v>3档×3档</x:v>
      </x:c>
      <x:c r="F29" s="3" t="n">
        <x:f>COUNTIFS('浓度矩阵'!$C$6:$C$355,1,'浓度矩阵'!$E$6:$E$355,"&gt;0",'浓度矩阵'!$AC$6:$AC$355,"&gt;0")</x:f>
        <x:v>3</x:v>
      </x:c>
      <x:c r="G29" s="3" t="n">
        <x:f>COUNTIFS('浓度矩阵'!$B$6:$B$355,"独立配制重复",'浓度矩阵'!$E$6:$E$355,"&gt;0",'浓度矩阵'!$AC$6:$AC$355,"&gt;0")</x:f>
        <x:v>1</x:v>
      </x:c>
      <x:c r="H29" s="3" t="n">
        <x:f>COUNTIFS('浓度矩阵'!$B$6:$B$355,"留出验证",'浓度矩阵'!$E$6:$E$355,"&gt;0",'浓度矩阵'!$AC$6:$AC$355,"&gt;0")</x:f>
        <x:v>0</x:v>
      </x:c>
      <x:c r="I29" s="3" t="n">
        <x:v>3</x:v>
      </x:c>
      <x:c r="J29" s="3" t="n">
        <x:v>3</x:v>
      </x:c>
      <x:c r="K29" s="3" t="n">
        <x:v>9</x:v>
      </x:c>
      <x:c r="L29" s="11" t="n">
        <x:f>J29/K29</x:f>
        <x:v>0.3333333333333333</x:v>
      </x:c>
    </x:row>
    <x:row r="30" ht="24" customHeight="1">
      <x:c r="A30" s="3" t="n">
        <x:v>7</x:v>
      </x:c>
      <x:c r="B30" s="3" t="n">
        <x:v>207</x:v>
      </x:c>
      <x:c r="C30" s="3" t="str">
        <x:v>己醛</x:v>
      </x:c>
      <x:c r="D30" s="3" t="str">
        <x:v>1-辛烯-3-醇</x:v>
      </x:c>
      <x:c r="E30" s="3" t="str">
        <x:v>3档×3档</x:v>
      </x:c>
      <x:c r="F30" s="3" t="n">
        <x:f>COUNTIFS('浓度矩阵'!$C$6:$C$355,1,'浓度矩阵'!$E$6:$E$355,"&gt;0",'浓度矩阵'!$AD$6:$AD$355,"&gt;0")</x:f>
        <x:v>2</x:v>
      </x:c>
      <x:c r="G30" s="3" t="n">
        <x:f>COUNTIFS('浓度矩阵'!$B$6:$B$355,"独立配制重复",'浓度矩阵'!$E$6:$E$355,"&gt;0",'浓度矩阵'!$AD$6:$AD$355,"&gt;0")</x:f>
        <x:v>0</x:v>
      </x:c>
      <x:c r="H30" s="3" t="n">
        <x:f>COUNTIFS('浓度矩阵'!$B$6:$B$355,"留出验证",'浓度矩阵'!$E$6:$E$355,"&gt;0",'浓度矩阵'!$AD$6:$AD$355,"&gt;0")</x:f>
        <x:v>0</x:v>
      </x:c>
      <x:c r="I30" s="3" t="n">
        <x:v>2</x:v>
      </x:c>
      <x:c r="J30" s="3" t="n">
        <x:v>2</x:v>
      </x:c>
      <x:c r="K30" s="3" t="n">
        <x:v>9</x:v>
      </x:c>
      <x:c r="L30" s="11" t="n">
        <x:f>J30/K30</x:f>
        <x:v>0.2222222222222222</x:v>
      </x:c>
    </x:row>
    <x:row r="31" ht="24" customHeight="1">
      <x:c r="A31" s="3" t="n">
        <x:v>7</x:v>
      </x:c>
      <x:c r="B31" s="3" t="n">
        <x:v>209</x:v>
      </x:c>
      <x:c r="C31" s="3" t="str">
        <x:v>己醛</x:v>
      </x:c>
      <x:c r="D31" s="3" t="str">
        <x:v>二甲基三硫醚</x:v>
      </x:c>
      <x:c r="E31" s="3" t="str">
        <x:v>3档×3档</x:v>
      </x:c>
      <x:c r="F31" s="3" t="n">
        <x:f>COUNTIFS('浓度矩阵'!$C$6:$C$355,1,'浓度矩阵'!$E$6:$E$355,"&gt;0",'浓度矩阵'!$AE$6:$AE$355,"&gt;0")</x:f>
        <x:v>4</x:v>
      </x:c>
      <x:c r="G31" s="3" t="n">
        <x:f>COUNTIFS('浓度矩阵'!$B$6:$B$355,"独立配制重复",'浓度矩阵'!$E$6:$E$355,"&gt;0",'浓度矩阵'!$AE$6:$AE$355,"&gt;0")</x:f>
        <x:v>1</x:v>
      </x:c>
      <x:c r="H31" s="3" t="n">
        <x:f>COUNTIFS('浓度矩阵'!$B$6:$B$355,"留出验证",'浓度矩阵'!$E$6:$E$355,"&gt;0",'浓度矩阵'!$AE$6:$AE$355,"&gt;0")</x:f>
        <x:v>1</x:v>
      </x:c>
      <x:c r="I31" s="3" t="n">
        <x:v>4</x:v>
      </x:c>
      <x:c r="J31" s="3" t="n">
        <x:v>4</x:v>
      </x:c>
      <x:c r="K31" s="3" t="n">
        <x:v>9</x:v>
      </x:c>
      <x:c r="L31" s="11" t="n">
        <x:f>J31/K31</x:f>
        <x:v>0.4444444444444444</x:v>
      </x:c>
    </x:row>
    <x:row r="32" ht="24" customHeight="1">
      <x:c r="A32" s="3" t="n">
        <x:v>7</x:v>
      </x:c>
      <x:c r="B32" s="3" t="n">
        <x:v>227</x:v>
      </x:c>
      <x:c r="C32" s="3" t="str">
        <x:v>己醛</x:v>
      </x:c>
      <x:c r="D32" s="3" t="str">
        <x:v>己酸己酯</x:v>
      </x:c>
      <x:c r="E32" s="3" t="str">
        <x:v>3档×3档</x:v>
      </x:c>
      <x:c r="F32" s="3" t="n">
        <x:f>COUNTIFS('浓度矩阵'!$C$6:$C$355,1,'浓度矩阵'!$E$6:$E$355,"&gt;0",'浓度矩阵'!$AF$6:$AF$355,"&gt;0")</x:f>
        <x:v>3</x:v>
      </x:c>
      <x:c r="G32" s="3" t="n">
        <x:f>COUNTIFS('浓度矩阵'!$B$6:$B$355,"独立配制重复",'浓度矩阵'!$E$6:$E$355,"&gt;0",'浓度矩阵'!$AF$6:$AF$355,"&gt;0")</x:f>
        <x:v>1</x:v>
      </x:c>
      <x:c r="H32" s="3" t="n">
        <x:f>COUNTIFS('浓度矩阵'!$B$6:$B$355,"留出验证",'浓度矩阵'!$E$6:$E$355,"&gt;0",'浓度矩阵'!$AF$6:$AF$355,"&gt;0")</x:f>
        <x:v>1</x:v>
      </x:c>
      <x:c r="I32" s="3" t="n">
        <x:v>3</x:v>
      </x:c>
      <x:c r="J32" s="3" t="n">
        <x:v>3</x:v>
      </x:c>
      <x:c r="K32" s="3" t="n">
        <x:v>9</x:v>
      </x:c>
      <x:c r="L32" s="11" t="n">
        <x:f>J32/K32</x:f>
        <x:v>0.3333333333333333</x:v>
      </x:c>
    </x:row>
    <x:row r="33" ht="24" customHeight="1">
      <x:c r="A33" s="3" t="n">
        <x:v>7</x:v>
      </x:c>
      <x:c r="B33" s="3" t="n">
        <x:v>232</x:v>
      </x:c>
      <x:c r="C33" s="3" t="str">
        <x:v>己醛</x:v>
      </x:c>
      <x:c r="D33" s="3" t="str">
        <x:v>2-甲基丁酸乙酯</x:v>
      </x:c>
      <x:c r="E33" s="3" t="str">
        <x:v>3档×3档</x:v>
      </x:c>
      <x:c r="F33" s="3" t="n">
        <x:f>COUNTIFS('浓度矩阵'!$C$6:$C$355,1,'浓度矩阵'!$E$6:$E$355,"&gt;0",'浓度矩阵'!$AG$6:$AG$355,"&gt;0")</x:f>
        <x:v>3</x:v>
      </x:c>
      <x:c r="G33" s="3" t="n">
        <x:f>COUNTIFS('浓度矩阵'!$B$6:$B$355,"独立配制重复",'浓度矩阵'!$E$6:$E$355,"&gt;0",'浓度矩阵'!$AG$6:$AG$355,"&gt;0")</x:f>
        <x:v>1</x:v>
      </x:c>
      <x:c r="H33" s="3" t="n">
        <x:f>COUNTIFS('浓度矩阵'!$B$6:$B$355,"留出验证",'浓度矩阵'!$E$6:$E$355,"&gt;0",'浓度矩阵'!$AG$6:$AG$355,"&gt;0")</x:f>
        <x:v>1</x:v>
      </x:c>
      <x:c r="I33" s="3" t="n">
        <x:v>3</x:v>
      </x:c>
      <x:c r="J33" s="3" t="n">
        <x:v>3</x:v>
      </x:c>
      <x:c r="K33" s="3" t="n">
        <x:v>9</x:v>
      </x:c>
      <x:c r="L33" s="11" t="n">
        <x:f>J33/K33</x:f>
        <x:v>0.3333333333333333</x:v>
      </x:c>
    </x:row>
    <x:row r="34" ht="24" customHeight="1">
      <x:c r="A34" s="3" t="n">
        <x:v>7</x:v>
      </x:c>
      <x:c r="B34" s="3" t="n">
        <x:v>255</x:v>
      </x:c>
      <x:c r="C34" s="3" t="str">
        <x:v>己醛</x:v>
      </x:c>
      <x:c r="D34" s="3" t="str">
        <x:v>β-大马酮</x:v>
      </x:c>
      <x:c r="E34" s="3" t="str">
        <x:v>3档×3档</x:v>
      </x:c>
      <x:c r="F34" s="3" t="n">
        <x:f>COUNTIFS('浓度矩阵'!$C$6:$C$355,1,'浓度矩阵'!$E$6:$E$355,"&gt;0",'浓度矩阵'!$AH$6:$AH$355,"&gt;0")</x:f>
        <x:v>4</x:v>
      </x:c>
      <x:c r="G34" s="3" t="n">
        <x:f>COUNTIFS('浓度矩阵'!$B$6:$B$355,"独立配制重复",'浓度矩阵'!$E$6:$E$355,"&gt;0",'浓度矩阵'!$AH$6:$AH$355,"&gt;0")</x:f>
        <x:v>1</x:v>
      </x:c>
      <x:c r="H34" s="3" t="n">
        <x:f>COUNTIFS('浓度矩阵'!$B$6:$B$355,"留出验证",'浓度矩阵'!$E$6:$E$355,"&gt;0",'浓度矩阵'!$AH$6:$AH$355,"&gt;0")</x:f>
        <x:v>1</x:v>
      </x:c>
      <x:c r="I34" s="3" t="n">
        <x:v>4</x:v>
      </x:c>
      <x:c r="J34" s="3" t="n">
        <x:v>4</x:v>
      </x:c>
      <x:c r="K34" s="3" t="n">
        <x:v>9</x:v>
      </x:c>
      <x:c r="L34" s="11" t="n">
        <x:f>J34/K34</x:f>
        <x:v>0.4444444444444444</x:v>
      </x:c>
    </x:row>
    <x:row r="35" ht="24" customHeight="1">
      <x:c r="A35" s="3" t="n">
        <x:v>11</x:v>
      </x:c>
      <x:c r="B35" s="3" t="n">
        <x:v>18</x:v>
      </x:c>
      <x:c r="C35" s="3" t="str">
        <x:v>1-丁醇</x:v>
      </x:c>
      <x:c r="D35" s="3" t="str">
        <x:v>2-甲基丙醛</x:v>
      </x:c>
      <x:c r="E35" s="3" t="str">
        <x:v>3档×3档</x:v>
      </x:c>
      <x:c r="F35" s="3" t="n">
        <x:f>COUNTIFS('浓度矩阵'!$C$6:$C$355,1,'浓度矩阵'!$F$6:$F$355,"&gt;0",'浓度矩阵'!$G$6:$G$355,"&gt;0")</x:f>
        <x:v>3</x:v>
      </x:c>
      <x:c r="G35" s="3" t="n">
        <x:f>COUNTIFS('浓度矩阵'!$B$6:$B$355,"独立配制重复",'浓度矩阵'!$F$6:$F$355,"&gt;0",'浓度矩阵'!$G$6:$G$355,"&gt;0")</x:f>
        <x:v>1</x:v>
      </x:c>
      <x:c r="H35" s="3" t="n">
        <x:f>COUNTIFS('浓度矩阵'!$B$6:$B$355,"留出验证",'浓度矩阵'!$F$6:$F$355,"&gt;0",'浓度矩阵'!$G$6:$G$355,"&gt;0")</x:f>
        <x:v>1</x:v>
      </x:c>
      <x:c r="I35" s="3" t="n">
        <x:v>3</x:v>
      </x:c>
      <x:c r="J35" s="3" t="n">
        <x:v>3</x:v>
      </x:c>
      <x:c r="K35" s="3" t="n">
        <x:v>9</x:v>
      </x:c>
      <x:c r="L35" s="11" t="n">
        <x:f>J35/K35</x:f>
        <x:v>0.3333333333333333</x:v>
      </x:c>
    </x:row>
    <x:row r="36" ht="24" customHeight="1">
      <x:c r="A36" s="3" t="n">
        <x:v>11</x:v>
      </x:c>
      <x:c r="B36" s="3" t="n">
        <x:v>32</x:v>
      </x:c>
      <x:c r="C36" s="3" t="str">
        <x:v>1-丁醇</x:v>
      </x:c>
      <x:c r="D36" s="3" t="str">
        <x:v>异丁酸乙酯</x:v>
      </x:c>
      <x:c r="E36" s="3" t="str">
        <x:v>3档×3档</x:v>
      </x:c>
      <x:c r="F36" s="3" t="n">
        <x:f>COUNTIFS('浓度矩阵'!$C$6:$C$355,1,'浓度矩阵'!$F$6:$F$355,"&gt;0",'浓度矩阵'!$H$6:$H$355,"&gt;0")</x:f>
        <x:v>3</x:v>
      </x:c>
      <x:c r="G36" s="3" t="n">
        <x:f>COUNTIFS('浓度矩阵'!$B$6:$B$355,"独立配制重复",'浓度矩阵'!$F$6:$F$355,"&gt;0",'浓度矩阵'!$H$6:$H$355,"&gt;0")</x:f>
        <x:v>0</x:v>
      </x:c>
      <x:c r="H36" s="3" t="n">
        <x:f>COUNTIFS('浓度矩阵'!$B$6:$B$355,"留出验证",'浓度矩阵'!$F$6:$F$355,"&gt;0",'浓度矩阵'!$H$6:$H$355,"&gt;0")</x:f>
        <x:v>1</x:v>
      </x:c>
      <x:c r="I36" s="3" t="n">
        <x:v>3</x:v>
      </x:c>
      <x:c r="J36" s="3" t="n">
        <x:v>3</x:v>
      </x:c>
      <x:c r="K36" s="3" t="n">
        <x:v>9</x:v>
      </x:c>
      <x:c r="L36" s="11" t="n">
        <x:f>J36/K36</x:f>
        <x:v>0.3333333333333333</x:v>
      </x:c>
    </x:row>
    <x:row r="37" ht="24" customHeight="1">
      <x:c r="A37" s="3" t="n">
        <x:v>11</x:v>
      </x:c>
      <x:c r="B37" s="3" t="n">
        <x:v>40</x:v>
      </x:c>
      <x:c r="C37" s="3" t="str">
        <x:v>1-丁醇</x:v>
      </x:c>
      <x:c r="D37" s="3" t="str">
        <x:v>苯乙酸乙酯</x:v>
      </x:c>
      <x:c r="E37" s="3" t="str">
        <x:v>3档×3档</x:v>
      </x:c>
      <x:c r="F37" s="3" t="n">
        <x:f>COUNTIFS('浓度矩阵'!$C$6:$C$355,1,'浓度矩阵'!$F$6:$F$355,"&gt;0",'浓度矩阵'!$I$6:$I$355,"&gt;0")</x:f>
        <x:v>3</x:v>
      </x:c>
      <x:c r="G37" s="3" t="n">
        <x:f>COUNTIFS('浓度矩阵'!$B$6:$B$355,"独立配制重复",'浓度矩阵'!$F$6:$F$355,"&gt;0",'浓度矩阵'!$I$6:$I$355,"&gt;0")</x:f>
        <x:v>0</x:v>
      </x:c>
      <x:c r="H37" s="3" t="n">
        <x:f>COUNTIFS('浓度矩阵'!$B$6:$B$355,"留出验证",'浓度矩阵'!$F$6:$F$355,"&gt;0",'浓度矩阵'!$I$6:$I$355,"&gt;0")</x:f>
        <x:v>0</x:v>
      </x:c>
      <x:c r="I37" s="3" t="n">
        <x:v>3</x:v>
      </x:c>
      <x:c r="J37" s="3" t="n">
        <x:v>3</x:v>
      </x:c>
      <x:c r="K37" s="3" t="n">
        <x:v>9</x:v>
      </x:c>
      <x:c r="L37" s="11" t="n">
        <x:f>J37/K37</x:f>
        <x:v>0.3333333333333333</x:v>
      </x:c>
    </x:row>
    <x:row r="38" ht="24" customHeight="1">
      <x:c r="A38" s="3" t="n">
        <x:v>11</x:v>
      </x:c>
      <x:c r="B38" s="3" t="n">
        <x:v>52</x:v>
      </x:c>
      <x:c r="C38" s="3" t="str">
        <x:v>1-丁醇</x:v>
      </x:c>
      <x:c r="D38" s="3" t="str">
        <x:v>丁酸乙酯</x:v>
      </x:c>
      <x:c r="E38" s="3" t="str">
        <x:v>3档×3档</x:v>
      </x:c>
      <x:c r="F38" s="3" t="n">
        <x:f>COUNTIFS('浓度矩阵'!$C$6:$C$355,1,'浓度矩阵'!$F$6:$F$355,"&gt;0",'浓度矩阵'!$J$6:$J$355,"&gt;0")</x:f>
        <x:v>3</x:v>
      </x:c>
      <x:c r="G38" s="3" t="n">
        <x:f>COUNTIFS('浓度矩阵'!$B$6:$B$355,"独立配制重复",'浓度矩阵'!$F$6:$F$355,"&gt;0",'浓度矩阵'!$J$6:$J$355,"&gt;0")</x:f>
        <x:v>0</x:v>
      </x:c>
      <x:c r="H38" s="3" t="n">
        <x:f>COUNTIFS('浓度矩阵'!$B$6:$B$355,"留出验证",'浓度矩阵'!$F$6:$F$355,"&gt;0",'浓度矩阵'!$J$6:$J$355,"&gt;0")</x:f>
        <x:v>0</x:v>
      </x:c>
      <x:c r="I38" s="3" t="n">
        <x:v>3</x:v>
      </x:c>
      <x:c r="J38" s="3" t="n">
        <x:v>3</x:v>
      </x:c>
      <x:c r="K38" s="3" t="n">
        <x:v>9</x:v>
      </x:c>
      <x:c r="L38" s="11" t="n">
        <x:f>J38/K38</x:f>
        <x:v>0.3333333333333333</x:v>
      </x:c>
    </x:row>
    <x:row r="39" ht="24" customHeight="1">
      <x:c r="A39" s="3" t="n">
        <x:v>11</x:v>
      </x:c>
      <x:c r="B39" s="3" t="n">
        <x:v>53</x:v>
      </x:c>
      <x:c r="C39" s="3" t="str">
        <x:v>1-丁醇</x:v>
      </x:c>
      <x:c r="D39" s="3" t="str">
        <x:v>乙醛二乙缩醛</x:v>
      </x:c>
      <x:c r="E39" s="3" t="str">
        <x:v>3档×3档</x:v>
      </x:c>
      <x:c r="F39" s="3" t="n">
        <x:f>COUNTIFS('浓度矩阵'!$C$6:$C$355,1,'浓度矩阵'!$F$6:$F$355,"&gt;0",'浓度矩阵'!$K$6:$K$355,"&gt;0")</x:f>
        <x:v>3</x:v>
      </x:c>
      <x:c r="G39" s="3" t="n">
        <x:f>COUNTIFS('浓度矩阵'!$B$6:$B$355,"独立配制重复",'浓度矩阵'!$F$6:$F$355,"&gt;0",'浓度矩阵'!$K$6:$K$355,"&gt;0")</x:f>
        <x:v>0</x:v>
      </x:c>
      <x:c r="H39" s="3" t="n">
        <x:f>COUNTIFS('浓度矩阵'!$B$6:$B$355,"留出验证",'浓度矩阵'!$F$6:$F$355,"&gt;0",'浓度矩阵'!$K$6:$K$355,"&gt;0")</x:f>
        <x:v>0</x:v>
      </x:c>
      <x:c r="I39" s="3" t="n">
        <x:v>3</x:v>
      </x:c>
      <x:c r="J39" s="3" t="n">
        <x:v>3</x:v>
      </x:c>
      <x:c r="K39" s="3" t="n">
        <x:v>9</x:v>
      </x:c>
      <x:c r="L39" s="11" t="n">
        <x:f>J39/K39</x:f>
        <x:v>0.3333333333333333</x:v>
      </x:c>
    </x:row>
    <x:row r="40" ht="24" customHeight="1">
      <x:c r="A40" s="3" t="n">
        <x:v>11</x:v>
      </x:c>
      <x:c r="B40" s="3" t="n">
        <x:v>56</x:v>
      </x:c>
      <x:c r="C40" s="3" t="str">
        <x:v>1-丁醇</x:v>
      </x:c>
      <x:c r="D40" s="3" t="str">
        <x:v>丁酸异戊酯</x:v>
      </x:c>
      <x:c r="E40" s="3" t="str">
        <x:v>3档×2档</x:v>
      </x:c>
      <x:c r="F40" s="3" t="n">
        <x:f>COUNTIFS('浓度矩阵'!$C$6:$C$355,1,'浓度矩阵'!$F$6:$F$355,"&gt;0",'浓度矩阵'!$L$6:$L$355,"&gt;0")</x:f>
        <x:v>3</x:v>
      </x:c>
      <x:c r="G40" s="3" t="n">
        <x:f>COUNTIFS('浓度矩阵'!$B$6:$B$355,"独立配制重复",'浓度矩阵'!$F$6:$F$355,"&gt;0",'浓度矩阵'!$L$6:$L$355,"&gt;0")</x:f>
        <x:v>0</x:v>
      </x:c>
      <x:c r="H40" s="3" t="n">
        <x:f>COUNTIFS('浓度矩阵'!$B$6:$B$355,"留出验证",'浓度矩阵'!$F$6:$F$355,"&gt;0",'浓度矩阵'!$L$6:$L$355,"&gt;0")</x:f>
        <x:v>2</x:v>
      </x:c>
      <x:c r="I40" s="3" t="n">
        <x:v>3</x:v>
      </x:c>
      <x:c r="J40" s="3" t="n">
        <x:v>3</x:v>
      </x:c>
      <x:c r="K40" s="3" t="n">
        <x:v>6</x:v>
      </x:c>
      <x:c r="L40" s="11" t="n">
        <x:f>J40/K40</x:f>
        <x:v>0.5</x:v>
      </x:c>
    </x:row>
    <x:row r="41" ht="24" customHeight="1">
      <x:c r="A41" s="3" t="n">
        <x:v>11</x:v>
      </x:c>
      <x:c r="B41" s="3" t="n">
        <x:v>58</x:v>
      </x:c>
      <x:c r="C41" s="3" t="str">
        <x:v>1-丁醇</x:v>
      </x:c>
      <x:c r="D41" s="3" t="str">
        <x:v>辛酸乙酯</x:v>
      </x:c>
      <x:c r="E41" s="3" t="str">
        <x:v>3档×3档</x:v>
      </x:c>
      <x:c r="F41" s="3" t="n">
        <x:f>COUNTIFS('浓度矩阵'!$C$6:$C$355,1,'浓度矩阵'!$F$6:$F$355,"&gt;0",'浓度矩阵'!$M$6:$M$355,"&gt;0")</x:f>
        <x:v>3</x:v>
      </x:c>
      <x:c r="G41" s="3" t="n">
        <x:f>COUNTIFS('浓度矩阵'!$B$6:$B$355,"独立配制重复",'浓度矩阵'!$F$6:$F$355,"&gt;0",'浓度矩阵'!$M$6:$M$355,"&gt;0")</x:f>
        <x:v>1</x:v>
      </x:c>
      <x:c r="H41" s="3" t="n">
        <x:f>COUNTIFS('浓度矩阵'!$B$6:$B$355,"留出验证",'浓度矩阵'!$F$6:$F$355,"&gt;0",'浓度矩阵'!$M$6:$M$355,"&gt;0")</x:f>
        <x:v>1</x:v>
      </x:c>
      <x:c r="I41" s="3" t="n">
        <x:v>3</x:v>
      </x:c>
      <x:c r="J41" s="3" t="n">
        <x:v>3</x:v>
      </x:c>
      <x:c r="K41" s="3" t="n">
        <x:v>9</x:v>
      </x:c>
      <x:c r="L41" s="11" t="n">
        <x:f>J41/K41</x:f>
        <x:v>0.3333333333333333</x:v>
      </x:c>
    </x:row>
    <x:row r="42" ht="24" customHeight="1">
      <x:c r="A42" s="3" t="n">
        <x:v>11</x:v>
      </x:c>
      <x:c r="B42" s="3" t="n">
        <x:v>61</x:v>
      </x:c>
      <x:c r="C42" s="3" t="str">
        <x:v>1-丁醇</x:v>
      </x:c>
      <x:c r="D42" s="3" t="str">
        <x:v>对甲酚</x:v>
      </x:c>
      <x:c r="E42" s="3" t="str">
        <x:v>3档×3档</x:v>
      </x:c>
      <x:c r="F42" s="3" t="n">
        <x:f>COUNTIFS('浓度矩阵'!$C$6:$C$355,1,'浓度矩阵'!$F$6:$F$355,"&gt;0",'浓度矩阵'!$N$6:$N$355,"&gt;0")</x:f>
        <x:v>3</x:v>
      </x:c>
      <x:c r="G42" s="3" t="n">
        <x:f>COUNTIFS('浓度矩阵'!$B$6:$B$355,"独立配制重复",'浓度矩阵'!$F$6:$F$355,"&gt;0",'浓度矩阵'!$N$6:$N$355,"&gt;0")</x:f>
        <x:v>0</x:v>
      </x:c>
      <x:c r="H42" s="3" t="n">
        <x:f>COUNTIFS('浓度矩阵'!$B$6:$B$355,"留出验证",'浓度矩阵'!$F$6:$F$355,"&gt;0",'浓度矩阵'!$N$6:$N$355,"&gt;0")</x:f>
        <x:v>1</x:v>
      </x:c>
      <x:c r="I42" s="3" t="n">
        <x:v>3</x:v>
      </x:c>
      <x:c r="J42" s="3" t="n">
        <x:v>3</x:v>
      </x:c>
      <x:c r="K42" s="3" t="n">
        <x:v>9</x:v>
      </x:c>
      <x:c r="L42" s="11" t="n">
        <x:f>J42/K42</x:f>
        <x:v>0.3333333333333333</x:v>
      </x:c>
    </x:row>
    <x:row r="43" ht="24" customHeight="1">
      <x:c r="A43" s="3" t="n">
        <x:v>11</x:v>
      </x:c>
      <x:c r="B43" s="3" t="n">
        <x:v>69</x:v>
      </x:c>
      <x:c r="C43" s="3" t="str">
        <x:v>1-丁醇</x:v>
      </x:c>
      <x:c r="D43" s="3" t="str">
        <x:v>异戊酸乙酯（3-甲基丁酸乙酯）</x:v>
      </x:c>
      <x:c r="E43" s="3" t="str">
        <x:v>3档×3档</x:v>
      </x:c>
      <x:c r="F43" s="3" t="n">
        <x:f>COUNTIFS('浓度矩阵'!$C$6:$C$355,1,'浓度矩阵'!$F$6:$F$355,"&gt;0",'浓度矩阵'!$O$6:$O$355,"&gt;0")</x:f>
        <x:v>3</x:v>
      </x:c>
      <x:c r="G43" s="3" t="n">
        <x:f>COUNTIFS('浓度矩阵'!$B$6:$B$355,"独立配制重复",'浓度矩阵'!$F$6:$F$355,"&gt;0",'浓度矩阵'!$O$6:$O$355,"&gt;0")</x:f>
        <x:v>0</x:v>
      </x:c>
      <x:c r="H43" s="3" t="n">
        <x:f>COUNTIFS('浓度矩阵'!$B$6:$B$355,"留出验证",'浓度矩阵'!$F$6:$F$355,"&gt;0",'浓度矩阵'!$O$6:$O$355,"&gt;0")</x:f>
        <x:v>2</x:v>
      </x:c>
      <x:c r="I43" s="3" t="n">
        <x:v>3</x:v>
      </x:c>
      <x:c r="J43" s="3" t="n">
        <x:v>3</x:v>
      </x:c>
      <x:c r="K43" s="3" t="n">
        <x:v>9</x:v>
      </x:c>
      <x:c r="L43" s="11" t="n">
        <x:f>J43/K43</x:f>
        <x:v>0.3333333333333333</x:v>
      </x:c>
    </x:row>
    <x:row r="44" ht="24" customHeight="1">
      <x:c r="A44" s="3" t="n">
        <x:v>11</x:v>
      </x:c>
      <x:c r="B44" s="3" t="n">
        <x:v>75</x:v>
      </x:c>
      <x:c r="C44" s="3" t="str">
        <x:v>1-丁醇</x:v>
      </x:c>
      <x:c r="D44" s="3" t="str">
        <x:v>戊酸</x:v>
      </x:c>
      <x:c r="E44" s="3" t="str">
        <x:v>3档×3档</x:v>
      </x:c>
      <x:c r="F44" s="3" t="n">
        <x:f>COUNTIFS('浓度矩阵'!$C$6:$C$355,1,'浓度矩阵'!$F$6:$F$355,"&gt;0",'浓度矩阵'!$P$6:$P$355,"&gt;0")</x:f>
        <x:v>3</x:v>
      </x:c>
      <x:c r="G44" s="3" t="n">
        <x:f>COUNTIFS('浓度矩阵'!$B$6:$B$355,"独立配制重复",'浓度矩阵'!$F$6:$F$355,"&gt;0",'浓度矩阵'!$P$6:$P$355,"&gt;0")</x:f>
        <x:v>0</x:v>
      </x:c>
      <x:c r="H44" s="3" t="n">
        <x:f>COUNTIFS('浓度矩阵'!$B$6:$B$355,"留出验证",'浓度矩阵'!$F$6:$F$355,"&gt;0",'浓度矩阵'!$P$6:$P$355,"&gt;0")</x:f>
        <x:v>1</x:v>
      </x:c>
      <x:c r="I44" s="3" t="n">
        <x:v>3</x:v>
      </x:c>
      <x:c r="J44" s="3" t="n">
        <x:v>3</x:v>
      </x:c>
      <x:c r="K44" s="3" t="n">
        <x:v>9</x:v>
      </x:c>
      <x:c r="L44" s="11" t="n">
        <x:f>J44/K44</x:f>
        <x:v>0.3333333333333333</x:v>
      </x:c>
    </x:row>
    <x:row r="45" ht="24" customHeight="1">
      <x:c r="A45" s="3" t="n">
        <x:v>11</x:v>
      </x:c>
      <x:c r="B45" s="3" t="n">
        <x:v>79</x:v>
      </x:c>
      <x:c r="C45" s="3" t="str">
        <x:v>1-丁醇</x:v>
      </x:c>
      <x:c r="D45" s="3" t="str">
        <x:v>癸酸乙酯</x:v>
      </x:c>
      <x:c r="E45" s="3" t="str">
        <x:v>3档×2档</x:v>
      </x:c>
      <x:c r="F45" s="3" t="n">
        <x:f>COUNTIFS('浓度矩阵'!$C$6:$C$355,1,'浓度矩阵'!$F$6:$F$355,"&gt;0",'浓度矩阵'!$Q$6:$Q$355,"&gt;0")</x:f>
        <x:v>3</x:v>
      </x:c>
      <x:c r="G45" s="3" t="n">
        <x:f>COUNTIFS('浓度矩阵'!$B$6:$B$355,"独立配制重复",'浓度矩阵'!$F$6:$F$355,"&gt;0",'浓度矩阵'!$Q$6:$Q$355,"&gt;0")</x:f>
        <x:v>0</x:v>
      </x:c>
      <x:c r="H45" s="3" t="n">
        <x:f>COUNTIFS('浓度矩阵'!$B$6:$B$355,"留出验证",'浓度矩阵'!$F$6:$F$355,"&gt;0",'浓度矩阵'!$Q$6:$Q$355,"&gt;0")</x:f>
        <x:v>1</x:v>
      </x:c>
      <x:c r="I45" s="3" t="n">
        <x:v>3</x:v>
      </x:c>
      <x:c r="J45" s="3" t="n">
        <x:v>3</x:v>
      </x:c>
      <x:c r="K45" s="3" t="n">
        <x:v>6</x:v>
      </x:c>
      <x:c r="L45" s="11" t="n">
        <x:f>J45/K45</x:f>
        <x:v>0.5</x:v>
      </x:c>
    </x:row>
    <x:row r="46" ht="24" customHeight="1">
      <x:c r="A46" s="3" t="n">
        <x:v>11</x:v>
      </x:c>
      <x:c r="B46" s="3" t="n">
        <x:v>90</x:v>
      </x:c>
      <x:c r="C46" s="3" t="str">
        <x:v>1-丁醇</x:v>
      </x:c>
      <x:c r="D46" s="3" t="str">
        <x:v>1-辛醇</x:v>
      </x:c>
      <x:c r="E46" s="3" t="str">
        <x:v>3档×2档</x:v>
      </x:c>
      <x:c r="F46" s="3" t="n">
        <x:f>COUNTIFS('浓度矩阵'!$C$6:$C$355,1,'浓度矩阵'!$F$6:$F$355,"&gt;0",'浓度矩阵'!$R$6:$R$355,"&gt;0")</x:f>
        <x:v>3</x:v>
      </x:c>
      <x:c r="G46" s="3" t="n">
        <x:f>COUNTIFS('浓度矩阵'!$B$6:$B$355,"独立配制重复",'浓度矩阵'!$F$6:$F$355,"&gt;0",'浓度矩阵'!$R$6:$R$355,"&gt;0")</x:f>
        <x:v>0</x:v>
      </x:c>
      <x:c r="H46" s="3" t="n">
        <x:f>COUNTIFS('浓度矩阵'!$B$6:$B$355,"留出验证",'浓度矩阵'!$F$6:$F$355,"&gt;0",'浓度矩阵'!$R$6:$R$355,"&gt;0")</x:f>
        <x:v>0</x:v>
      </x:c>
      <x:c r="I46" s="3" t="n">
        <x:v>3</x:v>
      </x:c>
      <x:c r="J46" s="3" t="n">
        <x:v>3</x:v>
      </x:c>
      <x:c r="K46" s="3" t="n">
        <x:v>6</x:v>
      </x:c>
      <x:c r="L46" s="11" t="n">
        <x:f>J46/K46</x:f>
        <x:v>0.5</x:v>
      </x:c>
    </x:row>
    <x:row r="47" ht="24" customHeight="1">
      <x:c r="A47" s="3" t="n">
        <x:v>11</x:v>
      </x:c>
      <x:c r="B47" s="3" t="n">
        <x:v>105</x:v>
      </x:c>
      <x:c r="C47" s="3" t="str">
        <x:v>1-丁醇</x:v>
      </x:c>
      <x:c r="D47" s="3" t="str">
        <x:v>苯乙醛</x:v>
      </x:c>
      <x:c r="E47" s="3" t="str">
        <x:v>3档×3档</x:v>
      </x:c>
      <x:c r="F47" s="3" t="n">
        <x:f>COUNTIFS('浓度矩阵'!$C$6:$C$355,1,'浓度矩阵'!$F$6:$F$355,"&gt;0",'浓度矩阵'!$S$6:$S$355,"&gt;0")</x:f>
        <x:v>4</x:v>
      </x:c>
      <x:c r="G47" s="3" t="n">
        <x:f>COUNTIFS('浓度矩阵'!$B$6:$B$355,"独立配制重复",'浓度矩阵'!$F$6:$F$355,"&gt;0",'浓度矩阵'!$S$6:$S$355,"&gt;0")</x:f>
        <x:v>0</x:v>
      </x:c>
      <x:c r="H47" s="3" t="n">
        <x:f>COUNTIFS('浓度矩阵'!$B$6:$B$355,"留出验证",'浓度矩阵'!$F$6:$F$355,"&gt;0",'浓度矩阵'!$S$6:$S$355,"&gt;0")</x:f>
        <x:v>1</x:v>
      </x:c>
      <x:c r="I47" s="3" t="n">
        <x:v>4</x:v>
      </x:c>
      <x:c r="J47" s="3" t="n">
        <x:v>4</x:v>
      </x:c>
      <x:c r="K47" s="3" t="n">
        <x:v>9</x:v>
      </x:c>
      <x:c r="L47" s="11" t="n">
        <x:f>J47/K47</x:f>
        <x:v>0.4444444444444444</x:v>
      </x:c>
    </x:row>
    <x:row r="48" ht="24" customHeight="1">
      <x:c r="A48" s="3" t="n">
        <x:v>11</x:v>
      </x:c>
      <x:c r="B48" s="3" t="n">
        <x:v>111</x:v>
      </x:c>
      <x:c r="C48" s="3" t="str">
        <x:v>1-丁醇</x:v>
      </x:c>
      <x:c r="D48" s="3" t="str">
        <x:v>己酸乙酯</x:v>
      </x:c>
      <x:c r="E48" s="3" t="str">
        <x:v>3档×3档</x:v>
      </x:c>
      <x:c r="F48" s="3" t="n">
        <x:f>COUNTIFS('浓度矩阵'!$C$6:$C$355,1,'浓度矩阵'!$F$6:$F$355,"&gt;0",'浓度矩阵'!$T$6:$T$355,"&gt;0")</x:f>
        <x:v>3</x:v>
      </x:c>
      <x:c r="G48" s="3" t="n">
        <x:f>COUNTIFS('浓度矩阵'!$B$6:$B$355,"独立配制重复",'浓度矩阵'!$F$6:$F$355,"&gt;0",'浓度矩阵'!$T$6:$T$355,"&gt;0")</x:f>
        <x:v>0</x:v>
      </x:c>
      <x:c r="H48" s="3" t="n">
        <x:f>COUNTIFS('浓度矩阵'!$B$6:$B$355,"留出验证",'浓度矩阵'!$F$6:$F$355,"&gt;0",'浓度矩阵'!$T$6:$T$355,"&gt;0")</x:f>
        <x:v>0</x:v>
      </x:c>
      <x:c r="I48" s="3" t="n">
        <x:v>3</x:v>
      </x:c>
      <x:c r="J48" s="3" t="n">
        <x:v>3</x:v>
      </x:c>
      <x:c r="K48" s="3" t="n">
        <x:v>9</x:v>
      </x:c>
      <x:c r="L48" s="11" t="n">
        <x:f>J48/K48</x:f>
        <x:v>0.3333333333333333</x:v>
      </x:c>
    </x:row>
    <x:row r="49" ht="24" customHeight="1">
      <x:c r="A49" s="3" t="n">
        <x:v>11</x:v>
      </x:c>
      <x:c r="B49" s="3" t="n">
        <x:v>114</x:v>
      </x:c>
      <x:c r="C49" s="3" t="str">
        <x:v>1-丁醇</x:v>
      </x:c>
      <x:c r="D49" s="3" t="str">
        <x:v>乙酸丁酯</x:v>
      </x:c>
      <x:c r="E49" s="3" t="str">
        <x:v>3档×2档</x:v>
      </x:c>
      <x:c r="F49" s="3" t="n">
        <x:f>COUNTIFS('浓度矩阵'!$C$6:$C$355,1,'浓度矩阵'!$F$6:$F$355,"&gt;0",'浓度矩阵'!$U$6:$U$355,"&gt;0")</x:f>
        <x:v>3</x:v>
      </x:c>
      <x:c r="G49" s="3" t="n">
        <x:f>COUNTIFS('浓度矩阵'!$B$6:$B$355,"独立配制重复",'浓度矩阵'!$F$6:$F$355,"&gt;0",'浓度矩阵'!$U$6:$U$355,"&gt;0")</x:f>
        <x:v>0</x:v>
      </x:c>
      <x:c r="H49" s="3" t="n">
        <x:f>COUNTIFS('浓度矩阵'!$B$6:$B$355,"留出验证",'浓度矩阵'!$F$6:$F$355,"&gt;0",'浓度矩阵'!$U$6:$U$355,"&gt;0")</x:f>
        <x:v>0</x:v>
      </x:c>
      <x:c r="I49" s="3" t="n">
        <x:v>3</x:v>
      </x:c>
      <x:c r="J49" s="3" t="n">
        <x:v>3</x:v>
      </x:c>
      <x:c r="K49" s="3" t="n">
        <x:v>6</x:v>
      </x:c>
      <x:c r="L49" s="11" t="n">
        <x:f>J49/K49</x:f>
        <x:v>0.5</x:v>
      </x:c>
    </x:row>
    <x:row r="50" ht="24" customHeight="1">
      <x:c r="A50" s="3" t="n">
        <x:v>11</x:v>
      </x:c>
      <x:c r="B50" s="3" t="n">
        <x:v>115</x:v>
      </x:c>
      <x:c r="C50" s="3" t="str">
        <x:v>1-丁醇</x:v>
      </x:c>
      <x:c r="D50" s="3" t="str">
        <x:v>乙酸异戊酯</x:v>
      </x:c>
      <x:c r="E50" s="3" t="str">
        <x:v>3档×3档</x:v>
      </x:c>
      <x:c r="F50" s="3" t="n">
        <x:f>COUNTIFS('浓度矩阵'!$C$6:$C$355,1,'浓度矩阵'!$F$6:$F$355,"&gt;0",'浓度矩阵'!$V$6:$V$355,"&gt;0")</x:f>
        <x:v>4</x:v>
      </x:c>
      <x:c r="G50" s="3" t="n">
        <x:f>COUNTIFS('浓度矩阵'!$B$6:$B$355,"独立配制重复",'浓度矩阵'!$F$6:$F$355,"&gt;0",'浓度矩阵'!$V$6:$V$355,"&gt;0")</x:f>
        <x:v>0</x:v>
      </x:c>
      <x:c r="H50" s="3" t="n">
        <x:f>COUNTIFS('浓度矩阵'!$B$6:$B$355,"留出验证",'浓度矩阵'!$F$6:$F$355,"&gt;0",'浓度矩阵'!$V$6:$V$355,"&gt;0")</x:f>
        <x:v>1</x:v>
      </x:c>
      <x:c r="I50" s="3" t="n">
        <x:v>4</x:v>
      </x:c>
      <x:c r="J50" s="3" t="n">
        <x:v>4</x:v>
      </x:c>
      <x:c r="K50" s="3" t="n">
        <x:v>9</x:v>
      </x:c>
      <x:c r="L50" s="11" t="n">
        <x:f>J50/K50</x:f>
        <x:v>0.4444444444444444</x:v>
      </x:c>
    </x:row>
    <x:row r="51" ht="24" customHeight="1">
      <x:c r="A51" s="3" t="n">
        <x:v>11</x:v>
      </x:c>
      <x:c r="B51" s="3" t="n">
        <x:v>117</x:v>
      </x:c>
      <x:c r="C51" s="3" t="str">
        <x:v>1-丁醇</x:v>
      </x:c>
      <x:c r="D51" s="3" t="str">
        <x:v>辛酸</x:v>
      </x:c>
      <x:c r="E51" s="3" t="str">
        <x:v>3档×3档</x:v>
      </x:c>
      <x:c r="F51" s="3" t="n">
        <x:f>COUNTIFS('浓度矩阵'!$C$6:$C$355,1,'浓度矩阵'!$F$6:$F$355,"&gt;0",'浓度矩阵'!$W$6:$W$355,"&gt;0")</x:f>
        <x:v>3</x:v>
      </x:c>
      <x:c r="G51" s="3" t="n">
        <x:f>COUNTIFS('浓度矩阵'!$B$6:$B$355,"独立配制重复",'浓度矩阵'!$F$6:$F$355,"&gt;0",'浓度矩阵'!$W$6:$W$355,"&gt;0")</x:f>
        <x:v>0</x:v>
      </x:c>
      <x:c r="H51" s="3" t="n">
        <x:f>COUNTIFS('浓度矩阵'!$B$6:$B$355,"留出验证",'浓度矩阵'!$F$6:$F$355,"&gt;0",'浓度矩阵'!$W$6:$W$355,"&gt;0")</x:f>
        <x:v>2</x:v>
      </x:c>
      <x:c r="I51" s="3" t="n">
        <x:v>3</x:v>
      </x:c>
      <x:c r="J51" s="3" t="n">
        <x:v>3</x:v>
      </x:c>
      <x:c r="K51" s="3" t="n">
        <x:v>9</x:v>
      </x:c>
      <x:c r="L51" s="11" t="n">
        <x:f>J51/K51</x:f>
        <x:v>0.3333333333333333</x:v>
      </x:c>
    </x:row>
    <x:row r="52" ht="24" customHeight="1">
      <x:c r="A52" s="3" t="n">
        <x:v>11</x:v>
      </x:c>
      <x:c r="B52" s="3" t="n">
        <x:v>126</x:v>
      </x:c>
      <x:c r="C52" s="3" t="str">
        <x:v>1-丁醇</x:v>
      </x:c>
      <x:c r="D52" s="3" t="str">
        <x:v>己酸</x:v>
      </x:c>
      <x:c r="E52" s="3" t="str">
        <x:v>3档×3档</x:v>
      </x:c>
      <x:c r="F52" s="3" t="n">
        <x:f>COUNTIFS('浓度矩阵'!$C$6:$C$355,1,'浓度矩阵'!$F$6:$F$355,"&gt;0",'浓度矩阵'!$X$6:$X$355,"&gt;0")</x:f>
        <x:v>3</x:v>
      </x:c>
      <x:c r="G52" s="3" t="n">
        <x:f>COUNTIFS('浓度矩阵'!$B$6:$B$355,"独立配制重复",'浓度矩阵'!$F$6:$F$355,"&gt;0",'浓度矩阵'!$X$6:$X$355,"&gt;0")</x:f>
        <x:v>1</x:v>
      </x:c>
      <x:c r="H52" s="3" t="n">
        <x:f>COUNTIFS('浓度矩阵'!$B$6:$B$355,"留出验证",'浓度矩阵'!$F$6:$F$355,"&gt;0",'浓度矩阵'!$X$6:$X$355,"&gt;0")</x:f>
        <x:v>2</x:v>
      </x:c>
      <x:c r="I52" s="3" t="n">
        <x:v>3</x:v>
      </x:c>
      <x:c r="J52" s="3" t="n">
        <x:v>3</x:v>
      </x:c>
      <x:c r="K52" s="3" t="n">
        <x:v>9</x:v>
      </x:c>
      <x:c r="L52" s="11" t="n">
        <x:f>J52/K52</x:f>
        <x:v>0.3333333333333333</x:v>
      </x:c>
    </x:row>
    <x:row r="53" ht="24" customHeight="1">
      <x:c r="A53" s="3" t="n">
        <x:v>11</x:v>
      </x:c>
      <x:c r="B53" s="3" t="n">
        <x:v>136</x:v>
      </x:c>
      <x:c r="C53" s="3" t="str">
        <x:v>1-丁醇</x:v>
      </x:c>
      <x:c r="D53" s="3" t="str">
        <x:v>异戊酸/3-甲基丁酸</x:v>
      </x:c>
      <x:c r="E53" s="3" t="str">
        <x:v>3档×3档</x:v>
      </x:c>
      <x:c r="F53" s="3" t="n">
        <x:f>COUNTIFS('浓度矩阵'!$C$6:$C$355,1,'浓度矩阵'!$F$6:$F$355,"&gt;0",'浓度矩阵'!$Y$6:$Y$355,"&gt;0")</x:f>
        <x:v>3</x:v>
      </x:c>
      <x:c r="G53" s="3" t="n">
        <x:f>COUNTIFS('浓度矩阵'!$B$6:$B$355,"独立配制重复",'浓度矩阵'!$F$6:$F$355,"&gt;0",'浓度矩阵'!$Y$6:$Y$355,"&gt;0")</x:f>
        <x:v>0</x:v>
      </x:c>
      <x:c r="H53" s="3" t="n">
        <x:f>COUNTIFS('浓度矩阵'!$B$6:$B$355,"留出验证",'浓度矩阵'!$F$6:$F$355,"&gt;0",'浓度矩阵'!$Y$6:$Y$355,"&gt;0")</x:f>
        <x:v>0</x:v>
      </x:c>
      <x:c r="I53" s="3" t="n">
        <x:v>3</x:v>
      </x:c>
      <x:c r="J53" s="3" t="n">
        <x:v>3</x:v>
      </x:c>
      <x:c r="K53" s="3" t="n">
        <x:v>9</x:v>
      </x:c>
      <x:c r="L53" s="11" t="n">
        <x:f>J53/K53</x:f>
        <x:v>0.3333333333333333</x:v>
      </x:c>
    </x:row>
    <x:row r="54" ht="24" customHeight="1">
      <x:c r="A54" s="3" t="n">
        <x:v>11</x:v>
      </x:c>
      <x:c r="B54" s="3" t="n">
        <x:v>141</x:v>
      </x:c>
      <x:c r="C54" s="3" t="str">
        <x:v>1-丁醇</x:v>
      </x:c>
      <x:c r="D54" s="3" t="str">
        <x:v>戊酸乙酯</x:v>
      </x:c>
      <x:c r="E54" s="3" t="str">
        <x:v>3档×3档</x:v>
      </x:c>
      <x:c r="F54" s="3" t="n">
        <x:f>COUNTIFS('浓度矩阵'!$C$6:$C$355,1,'浓度矩阵'!$F$6:$F$355,"&gt;0",'浓度矩阵'!$Z$6:$Z$355,"&gt;0")</x:f>
        <x:v>3</x:v>
      </x:c>
      <x:c r="G54" s="3" t="n">
        <x:f>COUNTIFS('浓度矩阵'!$B$6:$B$355,"独立配制重复",'浓度矩阵'!$F$6:$F$355,"&gt;0",'浓度矩阵'!$Z$6:$Z$355,"&gt;0")</x:f>
        <x:v>0</x:v>
      </x:c>
      <x:c r="H54" s="3" t="n">
        <x:f>COUNTIFS('浓度矩阵'!$B$6:$B$355,"留出验证",'浓度矩阵'!$F$6:$F$355,"&gt;0",'浓度矩阵'!$Z$6:$Z$355,"&gt;0")</x:f>
        <x:v>0</x:v>
      </x:c>
      <x:c r="I54" s="3" t="n">
        <x:v>3</x:v>
      </x:c>
      <x:c r="J54" s="3" t="n">
        <x:v>3</x:v>
      </x:c>
      <x:c r="K54" s="3" t="n">
        <x:v>9</x:v>
      </x:c>
      <x:c r="L54" s="11" t="n">
        <x:f>J54/K54</x:f>
        <x:v>0.3333333333333333</x:v>
      </x:c>
    </x:row>
    <x:row r="55" ht="24" customHeight="1">
      <x:c r="A55" s="3" t="n">
        <x:v>11</x:v>
      </x:c>
      <x:c r="B55" s="3" t="n">
        <x:v>152</x:v>
      </x:c>
      <x:c r="C55" s="3" t="str">
        <x:v>1-丁醇</x:v>
      </x:c>
      <x:c r="D55" s="3" t="str">
        <x:v>异戊醛</x:v>
      </x:c>
      <x:c r="E55" s="3" t="str">
        <x:v>3档×3档</x:v>
      </x:c>
      <x:c r="F55" s="3" t="n">
        <x:f>COUNTIFS('浓度矩阵'!$C$6:$C$355,1,'浓度矩阵'!$F$6:$F$355,"&gt;0",'浓度矩阵'!$AA$6:$AA$355,"&gt;0")</x:f>
        <x:v>3</x:v>
      </x:c>
      <x:c r="G55" s="3" t="n">
        <x:f>COUNTIFS('浓度矩阵'!$B$6:$B$355,"独立配制重复",'浓度矩阵'!$F$6:$F$355,"&gt;0",'浓度矩阵'!$AA$6:$AA$355,"&gt;0")</x:f>
        <x:v>0</x:v>
      </x:c>
      <x:c r="H55" s="3" t="n">
        <x:f>COUNTIFS('浓度矩阵'!$B$6:$B$355,"留出验证",'浓度矩阵'!$F$6:$F$355,"&gt;0",'浓度矩阵'!$AA$6:$AA$355,"&gt;0")</x:f>
        <x:v>0</x:v>
      </x:c>
      <x:c r="I55" s="3" t="n">
        <x:v>3</x:v>
      </x:c>
      <x:c r="J55" s="3" t="n">
        <x:v>3</x:v>
      </x:c>
      <x:c r="K55" s="3" t="n">
        <x:v>9</x:v>
      </x:c>
      <x:c r="L55" s="11" t="n">
        <x:f>J55/K55</x:f>
        <x:v>0.3333333333333333</x:v>
      </x:c>
    </x:row>
    <x:row r="56" ht="24" customHeight="1">
      <x:c r="A56" s="3" t="n">
        <x:v>11</x:v>
      </x:c>
      <x:c r="B56" s="3" t="n">
        <x:v>165</x:v>
      </x:c>
      <x:c r="C56" s="3" t="str">
        <x:v>1-丁醇</x:v>
      </x:c>
      <x:c r="D56" s="3" t="str">
        <x:v>己酸丁酯</x:v>
      </x:c>
      <x:c r="E56" s="3" t="str">
        <x:v>3档×2档</x:v>
      </x:c>
      <x:c r="F56" s="3" t="n">
        <x:f>COUNTIFS('浓度矩阵'!$C$6:$C$355,1,'浓度矩阵'!$F$6:$F$355,"&gt;0",'浓度矩阵'!$AB$6:$AB$355,"&gt;0")</x:f>
        <x:v>3</x:v>
      </x:c>
      <x:c r="G56" s="3" t="n">
        <x:f>COUNTIFS('浓度矩阵'!$B$6:$B$355,"独立配制重复",'浓度矩阵'!$F$6:$F$355,"&gt;0",'浓度矩阵'!$AB$6:$AB$355,"&gt;0")</x:f>
        <x:v>0</x:v>
      </x:c>
      <x:c r="H56" s="3" t="n">
        <x:f>COUNTIFS('浓度矩阵'!$B$6:$B$355,"留出验证",'浓度矩阵'!$F$6:$F$355,"&gt;0",'浓度矩阵'!$AB$6:$AB$355,"&gt;0")</x:f>
        <x:v>2</x:v>
      </x:c>
      <x:c r="I56" s="3" t="n">
        <x:v>3</x:v>
      </x:c>
      <x:c r="J56" s="3" t="n">
        <x:v>3</x:v>
      </x:c>
      <x:c r="K56" s="3" t="n">
        <x:v>6</x:v>
      </x:c>
      <x:c r="L56" s="11" t="n">
        <x:f>J56/K56</x:f>
        <x:v>0.5</x:v>
      </x:c>
    </x:row>
    <x:row r="57" ht="24" customHeight="1">
      <x:c r="A57" s="3" t="n">
        <x:v>11</x:v>
      </x:c>
      <x:c r="B57" s="3" t="n">
        <x:v>186</x:v>
      </x:c>
      <x:c r="C57" s="3" t="str">
        <x:v>1-丁醇</x:v>
      </x:c>
      <x:c r="D57" s="3" t="str">
        <x:v>3-苯基丙酸乙酯</x:v>
      </x:c>
      <x:c r="E57" s="3" t="str">
        <x:v>3档×3档</x:v>
      </x:c>
      <x:c r="F57" s="3" t="n">
        <x:f>COUNTIFS('浓度矩阵'!$C$6:$C$355,1,'浓度矩阵'!$F$6:$F$355,"&gt;0",'浓度矩阵'!$AC$6:$AC$355,"&gt;0")</x:f>
        <x:v>3</x:v>
      </x:c>
      <x:c r="G57" s="3" t="n">
        <x:f>COUNTIFS('浓度矩阵'!$B$6:$B$355,"独立配制重复",'浓度矩阵'!$F$6:$F$355,"&gt;0",'浓度矩阵'!$AC$6:$AC$355,"&gt;0")</x:f>
        <x:v>0</x:v>
      </x:c>
      <x:c r="H57" s="3" t="n">
        <x:f>COUNTIFS('浓度矩阵'!$B$6:$B$355,"留出验证",'浓度矩阵'!$F$6:$F$355,"&gt;0",'浓度矩阵'!$AC$6:$AC$355,"&gt;0")</x:f>
        <x:v>0</x:v>
      </x:c>
      <x:c r="I57" s="3" t="n">
        <x:v>3</x:v>
      </x:c>
      <x:c r="J57" s="3" t="n">
        <x:v>3</x:v>
      </x:c>
      <x:c r="K57" s="3" t="n">
        <x:v>9</x:v>
      </x:c>
      <x:c r="L57" s="11" t="n">
        <x:f>J57/K57</x:f>
        <x:v>0.3333333333333333</x:v>
      </x:c>
    </x:row>
    <x:row r="58" ht="24" customHeight="1">
      <x:c r="A58" s="3" t="n">
        <x:v>11</x:v>
      </x:c>
      <x:c r="B58" s="3" t="n">
        <x:v>207</x:v>
      </x:c>
      <x:c r="C58" s="3" t="str">
        <x:v>1-丁醇</x:v>
      </x:c>
      <x:c r="D58" s="3" t="str">
        <x:v>1-辛烯-3-醇</x:v>
      </x:c>
      <x:c r="E58" s="3" t="str">
        <x:v>3档×3档</x:v>
      </x:c>
      <x:c r="F58" s="3" t="n">
        <x:f>COUNTIFS('浓度矩阵'!$C$6:$C$355,1,'浓度矩阵'!$F$6:$F$355,"&gt;0",'浓度矩阵'!$AD$6:$AD$355,"&gt;0")</x:f>
        <x:v>3</x:v>
      </x:c>
      <x:c r="G58" s="3" t="n">
        <x:f>COUNTIFS('浓度矩阵'!$B$6:$B$355,"独立配制重复",'浓度矩阵'!$F$6:$F$355,"&gt;0",'浓度矩阵'!$AD$6:$AD$355,"&gt;0")</x:f>
        <x:v>0</x:v>
      </x:c>
      <x:c r="H58" s="3" t="n">
        <x:f>COUNTIFS('浓度矩阵'!$B$6:$B$355,"留出验证",'浓度矩阵'!$F$6:$F$355,"&gt;0",'浓度矩阵'!$AD$6:$AD$355,"&gt;0")</x:f>
        <x:v>0</x:v>
      </x:c>
      <x:c r="I58" s="3" t="n">
        <x:v>3</x:v>
      </x:c>
      <x:c r="J58" s="3" t="n">
        <x:v>3</x:v>
      </x:c>
      <x:c r="K58" s="3" t="n">
        <x:v>9</x:v>
      </x:c>
      <x:c r="L58" s="11" t="n">
        <x:f>J58/K58</x:f>
        <x:v>0.3333333333333333</x:v>
      </x:c>
    </x:row>
    <x:row r="59" ht="24" customHeight="1">
      <x:c r="A59" s="3" t="n">
        <x:v>11</x:v>
      </x:c>
      <x:c r="B59" s="3" t="n">
        <x:v>209</x:v>
      </x:c>
      <x:c r="C59" s="3" t="str">
        <x:v>1-丁醇</x:v>
      </x:c>
      <x:c r="D59" s="3" t="str">
        <x:v>二甲基三硫醚</x:v>
      </x:c>
      <x:c r="E59" s="3" t="str">
        <x:v>3档×3档</x:v>
      </x:c>
      <x:c r="F59" s="3" t="n">
        <x:f>COUNTIFS('浓度矩阵'!$C$6:$C$355,1,'浓度矩阵'!$F$6:$F$355,"&gt;0",'浓度矩阵'!$AE$6:$AE$355,"&gt;0")</x:f>
        <x:v>3</x:v>
      </x:c>
      <x:c r="G59" s="3" t="n">
        <x:f>COUNTIFS('浓度矩阵'!$B$6:$B$355,"独立配制重复",'浓度矩阵'!$F$6:$F$355,"&gt;0",'浓度矩阵'!$AE$6:$AE$355,"&gt;0")</x:f>
        <x:v>0</x:v>
      </x:c>
      <x:c r="H59" s="3" t="n">
        <x:f>COUNTIFS('浓度矩阵'!$B$6:$B$355,"留出验证",'浓度矩阵'!$F$6:$F$355,"&gt;0",'浓度矩阵'!$AE$6:$AE$355,"&gt;0")</x:f>
        <x:v>0</x:v>
      </x:c>
      <x:c r="I59" s="3" t="n">
        <x:v>3</x:v>
      </x:c>
      <x:c r="J59" s="3" t="n">
        <x:v>3</x:v>
      </x:c>
      <x:c r="K59" s="3" t="n">
        <x:v>9</x:v>
      </x:c>
      <x:c r="L59" s="11" t="n">
        <x:f>J59/K59</x:f>
        <x:v>0.3333333333333333</x:v>
      </x:c>
    </x:row>
    <x:row r="60" ht="24" customHeight="1">
      <x:c r="A60" s="3" t="n">
        <x:v>11</x:v>
      </x:c>
      <x:c r="B60" s="3" t="n">
        <x:v>227</x:v>
      </x:c>
      <x:c r="C60" s="3" t="str">
        <x:v>1-丁醇</x:v>
      </x:c>
      <x:c r="D60" s="3" t="str">
        <x:v>己酸己酯</x:v>
      </x:c>
      <x:c r="E60" s="3" t="str">
        <x:v>3档×3档</x:v>
      </x:c>
      <x:c r="F60" s="3" t="n">
        <x:f>COUNTIFS('浓度矩阵'!$C$6:$C$355,1,'浓度矩阵'!$F$6:$F$355,"&gt;0",'浓度矩阵'!$AF$6:$AF$355,"&gt;0")</x:f>
        <x:v>3</x:v>
      </x:c>
      <x:c r="G60" s="3" t="n">
        <x:f>COUNTIFS('浓度矩阵'!$B$6:$B$355,"独立配制重复",'浓度矩阵'!$F$6:$F$355,"&gt;0",'浓度矩阵'!$AF$6:$AF$355,"&gt;0")</x:f>
        <x:v>0</x:v>
      </x:c>
      <x:c r="H60" s="3" t="n">
        <x:f>COUNTIFS('浓度矩阵'!$B$6:$B$355,"留出验证",'浓度矩阵'!$F$6:$F$355,"&gt;0",'浓度矩阵'!$AF$6:$AF$355,"&gt;0")</x:f>
        <x:v>1</x:v>
      </x:c>
      <x:c r="I60" s="3" t="n">
        <x:v>3</x:v>
      </x:c>
      <x:c r="J60" s="3" t="n">
        <x:v>3</x:v>
      </x:c>
      <x:c r="K60" s="3" t="n">
        <x:v>9</x:v>
      </x:c>
      <x:c r="L60" s="11" t="n">
        <x:f>J60/K60</x:f>
        <x:v>0.3333333333333333</x:v>
      </x:c>
    </x:row>
    <x:row r="61" ht="24" customHeight="1">
      <x:c r="A61" s="3" t="n">
        <x:v>11</x:v>
      </x:c>
      <x:c r="B61" s="3" t="n">
        <x:v>232</x:v>
      </x:c>
      <x:c r="C61" s="3" t="str">
        <x:v>1-丁醇</x:v>
      </x:c>
      <x:c r="D61" s="3" t="str">
        <x:v>2-甲基丁酸乙酯</x:v>
      </x:c>
      <x:c r="E61" s="3" t="str">
        <x:v>3档×3档</x:v>
      </x:c>
      <x:c r="F61" s="3" t="n">
        <x:f>COUNTIFS('浓度矩阵'!$C$6:$C$355,1,'浓度矩阵'!$F$6:$F$355,"&gt;0",'浓度矩阵'!$AG$6:$AG$355,"&gt;0")</x:f>
        <x:v>3</x:v>
      </x:c>
      <x:c r="G61" s="3" t="n">
        <x:f>COUNTIFS('浓度矩阵'!$B$6:$B$355,"独立配制重复",'浓度矩阵'!$F$6:$F$355,"&gt;0",'浓度矩阵'!$AG$6:$AG$355,"&gt;0")</x:f>
        <x:v>0</x:v>
      </x:c>
      <x:c r="H61" s="3" t="n">
        <x:f>COUNTIFS('浓度矩阵'!$B$6:$B$355,"留出验证",'浓度矩阵'!$F$6:$F$355,"&gt;0",'浓度矩阵'!$AG$6:$AG$355,"&gt;0")</x:f>
        <x:v>0</x:v>
      </x:c>
      <x:c r="I61" s="3" t="n">
        <x:v>3</x:v>
      </x:c>
      <x:c r="J61" s="3" t="n">
        <x:v>3</x:v>
      </x:c>
      <x:c r="K61" s="3" t="n">
        <x:v>9</x:v>
      </x:c>
      <x:c r="L61" s="11" t="n">
        <x:f>J61/K61</x:f>
        <x:v>0.3333333333333333</x:v>
      </x:c>
    </x:row>
    <x:row r="62" ht="24" customHeight="1">
      <x:c r="A62" s="3" t="n">
        <x:v>11</x:v>
      </x:c>
      <x:c r="B62" s="3" t="n">
        <x:v>255</x:v>
      </x:c>
      <x:c r="C62" s="3" t="str">
        <x:v>1-丁醇</x:v>
      </x:c>
      <x:c r="D62" s="3" t="str">
        <x:v>β-大马酮</x:v>
      </x:c>
      <x:c r="E62" s="3" t="str">
        <x:v>3档×3档</x:v>
      </x:c>
      <x:c r="F62" s="3" t="n">
        <x:f>COUNTIFS('浓度矩阵'!$C$6:$C$355,1,'浓度矩阵'!$F$6:$F$355,"&gt;0",'浓度矩阵'!$AH$6:$AH$355,"&gt;0")</x:f>
        <x:v>4</x:v>
      </x:c>
      <x:c r="G62" s="3" t="n">
        <x:f>COUNTIFS('浓度矩阵'!$B$6:$B$355,"独立配制重复",'浓度矩阵'!$F$6:$F$355,"&gt;0",'浓度矩阵'!$AH$6:$AH$355,"&gt;0")</x:f>
        <x:v>0</x:v>
      </x:c>
      <x:c r="H62" s="3" t="n">
        <x:f>COUNTIFS('浓度矩阵'!$B$6:$B$355,"留出验证",'浓度矩阵'!$F$6:$F$355,"&gt;0",'浓度矩阵'!$AH$6:$AH$355,"&gt;0")</x:f>
        <x:v>1</x:v>
      </x:c>
      <x:c r="I62" s="3" t="n">
        <x:v>4</x:v>
      </x:c>
      <x:c r="J62" s="3" t="n">
        <x:v>4</x:v>
      </x:c>
      <x:c r="K62" s="3" t="n">
        <x:v>9</x:v>
      </x:c>
      <x:c r="L62" s="11" t="n">
        <x:f>J62/K62</x:f>
        <x:v>0.4444444444444444</x:v>
      </x:c>
    </x:row>
    <x:row r="63" ht="24" customHeight="1">
      <x:c r="A63" s="3" t="n">
        <x:v>18</x:v>
      </x:c>
      <x:c r="B63" s="3" t="n">
        <x:v>32</x:v>
      </x:c>
      <x:c r="C63" s="3" t="str">
        <x:v>2-甲基丙醛</x:v>
      </x:c>
      <x:c r="D63" s="3" t="str">
        <x:v>异丁酸乙酯</x:v>
      </x:c>
      <x:c r="E63" s="3" t="str">
        <x:v>3档×3档</x:v>
      </x:c>
      <x:c r="F63" s="3" t="n">
        <x:f>COUNTIFS('浓度矩阵'!$C$6:$C$355,1,'浓度矩阵'!$G$6:$G$355,"&gt;0",'浓度矩阵'!$H$6:$H$355,"&gt;0")</x:f>
        <x:v>3</x:v>
      </x:c>
      <x:c r="G63" s="3" t="n">
        <x:f>COUNTIFS('浓度矩阵'!$B$6:$B$355,"独立配制重复",'浓度矩阵'!$G$6:$G$355,"&gt;0",'浓度矩阵'!$H$6:$H$355,"&gt;0")</x:f>
        <x:v>0</x:v>
      </x:c>
      <x:c r="H63" s="3" t="n">
        <x:f>COUNTIFS('浓度矩阵'!$B$6:$B$355,"留出验证",'浓度矩阵'!$G$6:$G$355,"&gt;0",'浓度矩阵'!$H$6:$H$355,"&gt;0")</x:f>
        <x:v>0</x:v>
      </x:c>
      <x:c r="I63" s="3" t="n">
        <x:v>3</x:v>
      </x:c>
      <x:c r="J63" s="3" t="n">
        <x:v>3</x:v>
      </x:c>
      <x:c r="K63" s="3" t="n">
        <x:v>9</x:v>
      </x:c>
      <x:c r="L63" s="11" t="n">
        <x:f>J63/K63</x:f>
        <x:v>0.3333333333333333</x:v>
      </x:c>
    </x:row>
    <x:row r="64" ht="24" customHeight="1">
      <x:c r="A64" s="3" t="n">
        <x:v>18</x:v>
      </x:c>
      <x:c r="B64" s="3" t="n">
        <x:v>40</x:v>
      </x:c>
      <x:c r="C64" s="3" t="str">
        <x:v>2-甲基丙醛</x:v>
      </x:c>
      <x:c r="D64" s="3" t="str">
        <x:v>苯乙酸乙酯</x:v>
      </x:c>
      <x:c r="E64" s="3" t="str">
        <x:v>3档×3档</x:v>
      </x:c>
      <x:c r="F64" s="3" t="n">
        <x:f>COUNTIFS('浓度矩阵'!$C$6:$C$355,1,'浓度矩阵'!$G$6:$G$355,"&gt;0",'浓度矩阵'!$I$6:$I$355,"&gt;0")</x:f>
        <x:v>3</x:v>
      </x:c>
      <x:c r="G64" s="3" t="n">
        <x:f>COUNTIFS('浓度矩阵'!$B$6:$B$355,"独立配制重复",'浓度矩阵'!$G$6:$G$355,"&gt;0",'浓度矩阵'!$I$6:$I$355,"&gt;0")</x:f>
        <x:v>1</x:v>
      </x:c>
      <x:c r="H64" s="3" t="n">
        <x:f>COUNTIFS('浓度矩阵'!$B$6:$B$355,"留出验证",'浓度矩阵'!$G$6:$G$355,"&gt;0",'浓度矩阵'!$I$6:$I$355,"&gt;0")</x:f>
        <x:v>0</x:v>
      </x:c>
      <x:c r="I64" s="3" t="n">
        <x:v>3</x:v>
      </x:c>
      <x:c r="J64" s="3" t="n">
        <x:v>3</x:v>
      </x:c>
      <x:c r="K64" s="3" t="n">
        <x:v>9</x:v>
      </x:c>
      <x:c r="L64" s="11" t="n">
        <x:f>J64/K64</x:f>
        <x:v>0.3333333333333333</x:v>
      </x:c>
    </x:row>
    <x:row r="65" ht="24" customHeight="1">
      <x:c r="A65" s="3" t="n">
        <x:v>18</x:v>
      </x:c>
      <x:c r="B65" s="3" t="n">
        <x:v>52</x:v>
      </x:c>
      <x:c r="C65" s="3" t="str">
        <x:v>2-甲基丙醛</x:v>
      </x:c>
      <x:c r="D65" s="3" t="str">
        <x:v>丁酸乙酯</x:v>
      </x:c>
      <x:c r="E65" s="3" t="str">
        <x:v>3档×3档</x:v>
      </x:c>
      <x:c r="F65" s="3" t="n">
        <x:f>COUNTIFS('浓度矩阵'!$C$6:$C$355,1,'浓度矩阵'!$G$6:$G$355,"&gt;0",'浓度矩阵'!$J$6:$J$355,"&gt;0")</x:f>
        <x:v>3</x:v>
      </x:c>
      <x:c r="G65" s="3" t="n">
        <x:f>COUNTIFS('浓度矩阵'!$B$6:$B$355,"独立配制重复",'浓度矩阵'!$G$6:$G$355,"&gt;0",'浓度矩阵'!$J$6:$J$355,"&gt;0")</x:f>
        <x:v>1</x:v>
      </x:c>
      <x:c r="H65" s="3" t="n">
        <x:f>COUNTIFS('浓度矩阵'!$B$6:$B$355,"留出验证",'浓度矩阵'!$G$6:$G$355,"&gt;0",'浓度矩阵'!$J$6:$J$355,"&gt;0")</x:f>
        <x:v>0</x:v>
      </x:c>
      <x:c r="I65" s="3" t="n">
        <x:v>3</x:v>
      </x:c>
      <x:c r="J65" s="3" t="n">
        <x:v>3</x:v>
      </x:c>
      <x:c r="K65" s="3" t="n">
        <x:v>9</x:v>
      </x:c>
      <x:c r="L65" s="11" t="n">
        <x:f>J65/K65</x:f>
        <x:v>0.3333333333333333</x:v>
      </x:c>
    </x:row>
    <x:row r="66" ht="24" customHeight="1">
      <x:c r="A66" s="3" t="n">
        <x:v>18</x:v>
      </x:c>
      <x:c r="B66" s="3" t="n">
        <x:v>53</x:v>
      </x:c>
      <x:c r="C66" s="3" t="str">
        <x:v>2-甲基丙醛</x:v>
      </x:c>
      <x:c r="D66" s="3" t="str">
        <x:v>乙醛二乙缩醛</x:v>
      </x:c>
      <x:c r="E66" s="3" t="str">
        <x:v>3档×3档</x:v>
      </x:c>
      <x:c r="F66" s="3" t="n">
        <x:f>COUNTIFS('浓度矩阵'!$C$6:$C$355,1,'浓度矩阵'!$G$6:$G$355,"&gt;0",'浓度矩阵'!$K$6:$K$355,"&gt;0")</x:f>
        <x:v>3</x:v>
      </x:c>
      <x:c r="G66" s="3" t="n">
        <x:f>COUNTIFS('浓度矩阵'!$B$6:$B$355,"独立配制重复",'浓度矩阵'!$G$6:$G$355,"&gt;0",'浓度矩阵'!$K$6:$K$355,"&gt;0")</x:f>
        <x:v>0</x:v>
      </x:c>
      <x:c r="H66" s="3" t="n">
        <x:f>COUNTIFS('浓度矩阵'!$B$6:$B$355,"留出验证",'浓度矩阵'!$G$6:$G$355,"&gt;0",'浓度矩阵'!$K$6:$K$355,"&gt;0")</x:f>
        <x:v>0</x:v>
      </x:c>
      <x:c r="I66" s="3" t="n">
        <x:v>3</x:v>
      </x:c>
      <x:c r="J66" s="3" t="n">
        <x:v>3</x:v>
      </x:c>
      <x:c r="K66" s="3" t="n">
        <x:v>9</x:v>
      </x:c>
      <x:c r="L66" s="11" t="n">
        <x:f>J66/K66</x:f>
        <x:v>0.3333333333333333</x:v>
      </x:c>
    </x:row>
    <x:row r="67" ht="24" customHeight="1">
      <x:c r="A67" s="3" t="n">
        <x:v>18</x:v>
      </x:c>
      <x:c r="B67" s="3" t="n">
        <x:v>56</x:v>
      </x:c>
      <x:c r="C67" s="3" t="str">
        <x:v>2-甲基丙醛</x:v>
      </x:c>
      <x:c r="D67" s="3" t="str">
        <x:v>丁酸异戊酯</x:v>
      </x:c>
      <x:c r="E67" s="3" t="str">
        <x:v>3档×2档</x:v>
      </x:c>
      <x:c r="F67" s="3" t="n">
        <x:f>COUNTIFS('浓度矩阵'!$C$6:$C$355,1,'浓度矩阵'!$G$6:$G$355,"&gt;0",'浓度矩阵'!$L$6:$L$355,"&gt;0")</x:f>
        <x:v>3</x:v>
      </x:c>
      <x:c r="G67" s="3" t="n">
        <x:f>COUNTIFS('浓度矩阵'!$B$6:$B$355,"独立配制重复",'浓度矩阵'!$G$6:$G$355,"&gt;0",'浓度矩阵'!$L$6:$L$355,"&gt;0")</x:f>
        <x:v>0</x:v>
      </x:c>
      <x:c r="H67" s="3" t="n">
        <x:f>COUNTIFS('浓度矩阵'!$B$6:$B$355,"留出验证",'浓度矩阵'!$G$6:$G$355,"&gt;0",'浓度矩阵'!$L$6:$L$355,"&gt;0")</x:f>
        <x:v>0</x:v>
      </x:c>
      <x:c r="I67" s="3" t="n">
        <x:v>3</x:v>
      </x:c>
      <x:c r="J67" s="3" t="n">
        <x:v>3</x:v>
      </x:c>
      <x:c r="K67" s="3" t="n">
        <x:v>6</x:v>
      </x:c>
      <x:c r="L67" s="11" t="n">
        <x:f>J67/K67</x:f>
        <x:v>0.5</x:v>
      </x:c>
    </x:row>
    <x:row r="68" ht="24" customHeight="1">
      <x:c r="A68" s="3" t="n">
        <x:v>18</x:v>
      </x:c>
      <x:c r="B68" s="3" t="n">
        <x:v>58</x:v>
      </x:c>
      <x:c r="C68" s="3" t="str">
        <x:v>2-甲基丙醛</x:v>
      </x:c>
      <x:c r="D68" s="3" t="str">
        <x:v>辛酸乙酯</x:v>
      </x:c>
      <x:c r="E68" s="3" t="str">
        <x:v>3档×3档</x:v>
      </x:c>
      <x:c r="F68" s="3" t="n">
        <x:f>COUNTIFS('浓度矩阵'!$C$6:$C$355,1,'浓度矩阵'!$G$6:$G$355,"&gt;0",'浓度矩阵'!$M$6:$M$355,"&gt;0")</x:f>
        <x:v>3</x:v>
      </x:c>
      <x:c r="G68" s="3" t="n">
        <x:f>COUNTIFS('浓度矩阵'!$B$6:$B$355,"独立配制重复",'浓度矩阵'!$G$6:$G$355,"&gt;0",'浓度矩阵'!$M$6:$M$355,"&gt;0")</x:f>
        <x:v>2</x:v>
      </x:c>
      <x:c r="H68" s="3" t="n">
        <x:f>COUNTIFS('浓度矩阵'!$B$6:$B$355,"留出验证",'浓度矩阵'!$G$6:$G$355,"&gt;0",'浓度矩阵'!$M$6:$M$355,"&gt;0")</x:f>
        <x:v>0</x:v>
      </x:c>
      <x:c r="I68" s="3" t="n">
        <x:v>3</x:v>
      </x:c>
      <x:c r="J68" s="3" t="n">
        <x:v>3</x:v>
      </x:c>
      <x:c r="K68" s="3" t="n">
        <x:v>9</x:v>
      </x:c>
      <x:c r="L68" s="11" t="n">
        <x:f>J68/K68</x:f>
        <x:v>0.3333333333333333</x:v>
      </x:c>
    </x:row>
    <x:row r="69" ht="24" customHeight="1">
      <x:c r="A69" s="3" t="n">
        <x:v>18</x:v>
      </x:c>
      <x:c r="B69" s="3" t="n">
        <x:v>61</x:v>
      </x:c>
      <x:c r="C69" s="3" t="str">
        <x:v>2-甲基丙醛</x:v>
      </x:c>
      <x:c r="D69" s="3" t="str">
        <x:v>对甲酚</x:v>
      </x:c>
      <x:c r="E69" s="3" t="str">
        <x:v>3档×3档</x:v>
      </x:c>
      <x:c r="F69" s="3" t="n">
        <x:f>COUNTIFS('浓度矩阵'!$C$6:$C$355,1,'浓度矩阵'!$G$6:$G$355,"&gt;0",'浓度矩阵'!$N$6:$N$355,"&gt;0")</x:f>
        <x:v>3</x:v>
      </x:c>
      <x:c r="G69" s="3" t="n">
        <x:f>COUNTIFS('浓度矩阵'!$B$6:$B$355,"独立配制重复",'浓度矩阵'!$G$6:$G$355,"&gt;0",'浓度矩阵'!$N$6:$N$355,"&gt;0")</x:f>
        <x:v>1</x:v>
      </x:c>
      <x:c r="H69" s="3" t="n">
        <x:f>COUNTIFS('浓度矩阵'!$B$6:$B$355,"留出验证",'浓度矩阵'!$G$6:$G$355,"&gt;0",'浓度矩阵'!$N$6:$N$355,"&gt;0")</x:f>
        <x:v>1</x:v>
      </x:c>
      <x:c r="I69" s="3" t="n">
        <x:v>3</x:v>
      </x:c>
      <x:c r="J69" s="3" t="n">
        <x:v>3</x:v>
      </x:c>
      <x:c r="K69" s="3" t="n">
        <x:v>9</x:v>
      </x:c>
      <x:c r="L69" s="11" t="n">
        <x:f>J69/K69</x:f>
        <x:v>0.3333333333333333</x:v>
      </x:c>
    </x:row>
    <x:row r="70" ht="24" customHeight="1">
      <x:c r="A70" s="3" t="n">
        <x:v>18</x:v>
      </x:c>
      <x:c r="B70" s="3" t="n">
        <x:v>69</x:v>
      </x:c>
      <x:c r="C70" s="3" t="str">
        <x:v>2-甲基丙醛</x:v>
      </x:c>
      <x:c r="D70" s="3" t="str">
        <x:v>异戊酸乙酯（3-甲基丁酸乙酯）</x:v>
      </x:c>
      <x:c r="E70" s="3" t="str">
        <x:v>3档×3档</x:v>
      </x:c>
      <x:c r="F70" s="3" t="n">
        <x:f>COUNTIFS('浓度矩阵'!$C$6:$C$355,1,'浓度矩阵'!$G$6:$G$355,"&gt;0",'浓度矩阵'!$O$6:$O$355,"&gt;0")</x:f>
        <x:v>3</x:v>
      </x:c>
      <x:c r="G70" s="3" t="n">
        <x:f>COUNTIFS('浓度矩阵'!$B$6:$B$355,"独立配制重复",'浓度矩阵'!$G$6:$G$355,"&gt;0",'浓度矩阵'!$O$6:$O$355,"&gt;0")</x:f>
        <x:v>1</x:v>
      </x:c>
      <x:c r="H70" s="3" t="n">
        <x:f>COUNTIFS('浓度矩阵'!$B$6:$B$355,"留出验证",'浓度矩阵'!$G$6:$G$355,"&gt;0",'浓度矩阵'!$O$6:$O$355,"&gt;0")</x:f>
        <x:v>1</x:v>
      </x:c>
      <x:c r="I70" s="3" t="n">
        <x:v>3</x:v>
      </x:c>
      <x:c r="J70" s="3" t="n">
        <x:v>3</x:v>
      </x:c>
      <x:c r="K70" s="3" t="n">
        <x:v>9</x:v>
      </x:c>
      <x:c r="L70" s="11" t="n">
        <x:f>J70/K70</x:f>
        <x:v>0.3333333333333333</x:v>
      </x:c>
    </x:row>
    <x:row r="71" ht="24" customHeight="1">
      <x:c r="A71" s="3" t="n">
        <x:v>18</x:v>
      </x:c>
      <x:c r="B71" s="3" t="n">
        <x:v>75</x:v>
      </x:c>
      <x:c r="C71" s="3" t="str">
        <x:v>2-甲基丙醛</x:v>
      </x:c>
      <x:c r="D71" s="3" t="str">
        <x:v>戊酸</x:v>
      </x:c>
      <x:c r="E71" s="3" t="str">
        <x:v>3档×3档</x:v>
      </x:c>
      <x:c r="F71" s="3" t="n">
        <x:f>COUNTIFS('浓度矩阵'!$C$6:$C$355,1,'浓度矩阵'!$G$6:$G$355,"&gt;0",'浓度矩阵'!$P$6:$P$355,"&gt;0")</x:f>
        <x:v>3</x:v>
      </x:c>
      <x:c r="G71" s="3" t="n">
        <x:f>COUNTIFS('浓度矩阵'!$B$6:$B$355,"独立配制重复",'浓度矩阵'!$G$6:$G$355,"&gt;0",'浓度矩阵'!$P$6:$P$355,"&gt;0")</x:f>
        <x:v>1</x:v>
      </x:c>
      <x:c r="H71" s="3" t="n">
        <x:f>COUNTIFS('浓度矩阵'!$B$6:$B$355,"留出验证",'浓度矩阵'!$G$6:$G$355,"&gt;0",'浓度矩阵'!$P$6:$P$355,"&gt;0")</x:f>
        <x:v>0</x:v>
      </x:c>
      <x:c r="I71" s="3" t="n">
        <x:v>3</x:v>
      </x:c>
      <x:c r="J71" s="3" t="n">
        <x:v>3</x:v>
      </x:c>
      <x:c r="K71" s="3" t="n">
        <x:v>9</x:v>
      </x:c>
      <x:c r="L71" s="11" t="n">
        <x:f>J71/K71</x:f>
        <x:v>0.3333333333333333</x:v>
      </x:c>
    </x:row>
    <x:row r="72" ht="24" customHeight="1">
      <x:c r="A72" s="3" t="n">
        <x:v>18</x:v>
      </x:c>
      <x:c r="B72" s="3" t="n">
        <x:v>79</x:v>
      </x:c>
      <x:c r="C72" s="3" t="str">
        <x:v>2-甲基丙醛</x:v>
      </x:c>
      <x:c r="D72" s="3" t="str">
        <x:v>癸酸乙酯</x:v>
      </x:c>
      <x:c r="E72" s="3" t="str">
        <x:v>3档×2档</x:v>
      </x:c>
      <x:c r="F72" s="3" t="n">
        <x:f>COUNTIFS('浓度矩阵'!$C$6:$C$355,1,'浓度矩阵'!$G$6:$G$355,"&gt;0",'浓度矩阵'!$Q$6:$Q$355,"&gt;0")</x:f>
        <x:v>3</x:v>
      </x:c>
      <x:c r="G72" s="3" t="n">
        <x:f>COUNTIFS('浓度矩阵'!$B$6:$B$355,"独立配制重复",'浓度矩阵'!$G$6:$G$355,"&gt;0",'浓度矩阵'!$Q$6:$Q$355,"&gt;0")</x:f>
        <x:v>0</x:v>
      </x:c>
      <x:c r="H72" s="3" t="n">
        <x:f>COUNTIFS('浓度矩阵'!$B$6:$B$355,"留出验证",'浓度矩阵'!$G$6:$G$355,"&gt;0",'浓度矩阵'!$Q$6:$Q$355,"&gt;0")</x:f>
        <x:v>0</x:v>
      </x:c>
      <x:c r="I72" s="3" t="n">
        <x:v>3</x:v>
      </x:c>
      <x:c r="J72" s="3" t="n">
        <x:v>3</x:v>
      </x:c>
      <x:c r="K72" s="3" t="n">
        <x:v>6</x:v>
      </x:c>
      <x:c r="L72" s="11" t="n">
        <x:f>J72/K72</x:f>
        <x:v>0.5</x:v>
      </x:c>
    </x:row>
    <x:row r="73" ht="24" customHeight="1">
      <x:c r="A73" s="3" t="n">
        <x:v>18</x:v>
      </x:c>
      <x:c r="B73" s="3" t="n">
        <x:v>90</x:v>
      </x:c>
      <x:c r="C73" s="3" t="str">
        <x:v>2-甲基丙醛</x:v>
      </x:c>
      <x:c r="D73" s="3" t="str">
        <x:v>1-辛醇</x:v>
      </x:c>
      <x:c r="E73" s="3" t="str">
        <x:v>3档×2档</x:v>
      </x:c>
      <x:c r="F73" s="3" t="n">
        <x:f>COUNTIFS('浓度矩阵'!$C$6:$C$355,1,'浓度矩阵'!$G$6:$G$355,"&gt;0",'浓度矩阵'!$R$6:$R$355,"&gt;0")</x:f>
        <x:v>3</x:v>
      </x:c>
      <x:c r="G73" s="3" t="n">
        <x:f>COUNTIFS('浓度矩阵'!$B$6:$B$355,"独立配制重复",'浓度矩阵'!$G$6:$G$355,"&gt;0",'浓度矩阵'!$R$6:$R$355,"&gt;0")</x:f>
        <x:v>0</x:v>
      </x:c>
      <x:c r="H73" s="3" t="n">
        <x:f>COUNTIFS('浓度矩阵'!$B$6:$B$355,"留出验证",'浓度矩阵'!$G$6:$G$355,"&gt;0",'浓度矩阵'!$R$6:$R$355,"&gt;0")</x:f>
        <x:v>1</x:v>
      </x:c>
      <x:c r="I73" s="3" t="n">
        <x:v>3</x:v>
      </x:c>
      <x:c r="J73" s="3" t="n">
        <x:v>3</x:v>
      </x:c>
      <x:c r="K73" s="3" t="n">
        <x:v>6</x:v>
      </x:c>
      <x:c r="L73" s="11" t="n">
        <x:f>J73/K73</x:f>
        <x:v>0.5</x:v>
      </x:c>
    </x:row>
    <x:row r="74" ht="24" customHeight="1">
      <x:c r="A74" s="3" t="n">
        <x:v>18</x:v>
      </x:c>
      <x:c r="B74" s="3" t="n">
        <x:v>105</x:v>
      </x:c>
      <x:c r="C74" s="3" t="str">
        <x:v>2-甲基丙醛</x:v>
      </x:c>
      <x:c r="D74" s="3" t="str">
        <x:v>苯乙醛</x:v>
      </x:c>
      <x:c r="E74" s="3" t="str">
        <x:v>3档×3档</x:v>
      </x:c>
      <x:c r="F74" s="3" t="n">
        <x:f>COUNTIFS('浓度矩阵'!$C$6:$C$355,1,'浓度矩阵'!$G$6:$G$355,"&gt;0",'浓度矩阵'!$S$6:$S$355,"&gt;0")</x:f>
        <x:v>3</x:v>
      </x:c>
      <x:c r="G74" s="3" t="n">
        <x:f>COUNTIFS('浓度矩阵'!$B$6:$B$355,"独立配制重复",'浓度矩阵'!$G$6:$G$355,"&gt;0",'浓度矩阵'!$S$6:$S$355,"&gt;0")</x:f>
        <x:v>1</x:v>
      </x:c>
      <x:c r="H74" s="3" t="n">
        <x:f>COUNTIFS('浓度矩阵'!$B$6:$B$355,"留出验证",'浓度矩阵'!$G$6:$G$355,"&gt;0",'浓度矩阵'!$S$6:$S$355,"&gt;0")</x:f>
        <x:v>0</x:v>
      </x:c>
      <x:c r="I74" s="3" t="n">
        <x:v>3</x:v>
      </x:c>
      <x:c r="J74" s="3" t="n">
        <x:v>3</x:v>
      </x:c>
      <x:c r="K74" s="3" t="n">
        <x:v>9</x:v>
      </x:c>
      <x:c r="L74" s="11" t="n">
        <x:f>J74/K74</x:f>
        <x:v>0.3333333333333333</x:v>
      </x:c>
    </x:row>
    <x:row r="75" ht="24" customHeight="1">
      <x:c r="A75" s="3" t="n">
        <x:v>18</x:v>
      </x:c>
      <x:c r="B75" s="3" t="n">
        <x:v>111</x:v>
      </x:c>
      <x:c r="C75" s="3" t="str">
        <x:v>2-甲基丙醛</x:v>
      </x:c>
      <x:c r="D75" s="3" t="str">
        <x:v>己酸乙酯</x:v>
      </x:c>
      <x:c r="E75" s="3" t="str">
        <x:v>3档×3档</x:v>
      </x:c>
      <x:c r="F75" s="3" t="n">
        <x:f>COUNTIFS('浓度矩阵'!$C$6:$C$355,1,'浓度矩阵'!$G$6:$G$355,"&gt;0",'浓度矩阵'!$T$6:$T$355,"&gt;0")</x:f>
        <x:v>3</x:v>
      </x:c>
      <x:c r="G75" s="3" t="n">
        <x:f>COUNTIFS('浓度矩阵'!$B$6:$B$355,"独立配制重复",'浓度矩阵'!$G$6:$G$355,"&gt;0",'浓度矩阵'!$T$6:$T$355,"&gt;0")</x:f>
        <x:v>0</x:v>
      </x:c>
      <x:c r="H75" s="3" t="n">
        <x:f>COUNTIFS('浓度矩阵'!$B$6:$B$355,"留出验证",'浓度矩阵'!$G$6:$G$355,"&gt;0",'浓度矩阵'!$T$6:$T$355,"&gt;0")</x:f>
        <x:v>0</x:v>
      </x:c>
      <x:c r="I75" s="3" t="n">
        <x:v>3</x:v>
      </x:c>
      <x:c r="J75" s="3" t="n">
        <x:v>3</x:v>
      </x:c>
      <x:c r="K75" s="3" t="n">
        <x:v>9</x:v>
      </x:c>
      <x:c r="L75" s="11" t="n">
        <x:f>J75/K75</x:f>
        <x:v>0.3333333333333333</x:v>
      </x:c>
    </x:row>
    <x:row r="76" ht="24" customHeight="1">
      <x:c r="A76" s="3" t="n">
        <x:v>18</x:v>
      </x:c>
      <x:c r="B76" s="3" t="n">
        <x:v>114</x:v>
      </x:c>
      <x:c r="C76" s="3" t="str">
        <x:v>2-甲基丙醛</x:v>
      </x:c>
      <x:c r="D76" s="3" t="str">
        <x:v>乙酸丁酯</x:v>
      </x:c>
      <x:c r="E76" s="3" t="str">
        <x:v>3档×2档</x:v>
      </x:c>
      <x:c r="F76" s="3" t="n">
        <x:f>COUNTIFS('浓度矩阵'!$C$6:$C$355,1,'浓度矩阵'!$G$6:$G$355,"&gt;0",'浓度矩阵'!$U$6:$U$355,"&gt;0")</x:f>
        <x:v>3</x:v>
      </x:c>
      <x:c r="G76" s="3" t="n">
        <x:f>COUNTIFS('浓度矩阵'!$B$6:$B$355,"独立配制重复",'浓度矩阵'!$G$6:$G$355,"&gt;0",'浓度矩阵'!$U$6:$U$355,"&gt;0")</x:f>
        <x:v>0</x:v>
      </x:c>
      <x:c r="H76" s="3" t="n">
        <x:f>COUNTIFS('浓度矩阵'!$B$6:$B$355,"留出验证",'浓度矩阵'!$G$6:$G$355,"&gt;0",'浓度矩阵'!$U$6:$U$355,"&gt;0")</x:f>
        <x:v>0</x:v>
      </x:c>
      <x:c r="I76" s="3" t="n">
        <x:v>3</x:v>
      </x:c>
      <x:c r="J76" s="3" t="n">
        <x:v>3</x:v>
      </x:c>
      <x:c r="K76" s="3" t="n">
        <x:v>6</x:v>
      </x:c>
      <x:c r="L76" s="11" t="n">
        <x:f>J76/K76</x:f>
        <x:v>0.5</x:v>
      </x:c>
    </x:row>
    <x:row r="77" ht="24" customHeight="1">
      <x:c r="A77" s="3" t="n">
        <x:v>18</x:v>
      </x:c>
      <x:c r="B77" s="3" t="n">
        <x:v>115</x:v>
      </x:c>
      <x:c r="C77" s="3" t="str">
        <x:v>2-甲基丙醛</x:v>
      </x:c>
      <x:c r="D77" s="3" t="str">
        <x:v>乙酸异戊酯</x:v>
      </x:c>
      <x:c r="E77" s="3" t="str">
        <x:v>3档×3档</x:v>
      </x:c>
      <x:c r="F77" s="3" t="n">
        <x:f>COUNTIFS('浓度矩阵'!$C$6:$C$355,1,'浓度矩阵'!$G$6:$G$355,"&gt;0",'浓度矩阵'!$V$6:$V$355,"&gt;0")</x:f>
        <x:v>3</x:v>
      </x:c>
      <x:c r="G77" s="3" t="n">
        <x:f>COUNTIFS('浓度矩阵'!$B$6:$B$355,"独立配制重复",'浓度矩阵'!$G$6:$G$355,"&gt;0",'浓度矩阵'!$V$6:$V$355,"&gt;0")</x:f>
        <x:v>0</x:v>
      </x:c>
      <x:c r="H77" s="3" t="n">
        <x:f>COUNTIFS('浓度矩阵'!$B$6:$B$355,"留出验证",'浓度矩阵'!$G$6:$G$355,"&gt;0",'浓度矩阵'!$V$6:$V$355,"&gt;0")</x:f>
        <x:v>0</x:v>
      </x:c>
      <x:c r="I77" s="3" t="n">
        <x:v>3</x:v>
      </x:c>
      <x:c r="J77" s="3" t="n">
        <x:v>3</x:v>
      </x:c>
      <x:c r="K77" s="3" t="n">
        <x:v>9</x:v>
      </x:c>
      <x:c r="L77" s="11" t="n">
        <x:f>J77/K77</x:f>
        <x:v>0.3333333333333333</x:v>
      </x:c>
    </x:row>
    <x:row r="78" ht="24" customHeight="1">
      <x:c r="A78" s="3" t="n">
        <x:v>18</x:v>
      </x:c>
      <x:c r="B78" s="3" t="n">
        <x:v>117</x:v>
      </x:c>
      <x:c r="C78" s="3" t="str">
        <x:v>2-甲基丙醛</x:v>
      </x:c>
      <x:c r="D78" s="3" t="str">
        <x:v>辛酸</x:v>
      </x:c>
      <x:c r="E78" s="3" t="str">
        <x:v>3档×3档</x:v>
      </x:c>
      <x:c r="F78" s="3" t="n">
        <x:f>COUNTIFS('浓度矩阵'!$C$6:$C$355,1,'浓度矩阵'!$G$6:$G$355,"&gt;0",'浓度矩阵'!$W$6:$W$355,"&gt;0")</x:f>
        <x:v>3</x:v>
      </x:c>
      <x:c r="G78" s="3" t="n">
        <x:f>COUNTIFS('浓度矩阵'!$B$6:$B$355,"独立配制重复",'浓度矩阵'!$G$6:$G$355,"&gt;0",'浓度矩阵'!$W$6:$W$355,"&gt;0")</x:f>
        <x:v>1</x:v>
      </x:c>
      <x:c r="H78" s="3" t="n">
        <x:f>COUNTIFS('浓度矩阵'!$B$6:$B$355,"留出验证",'浓度矩阵'!$G$6:$G$355,"&gt;0",'浓度矩阵'!$W$6:$W$355,"&gt;0")</x:f>
        <x:v>1</x:v>
      </x:c>
      <x:c r="I78" s="3" t="n">
        <x:v>3</x:v>
      </x:c>
      <x:c r="J78" s="3" t="n">
        <x:v>3</x:v>
      </x:c>
      <x:c r="K78" s="3" t="n">
        <x:v>9</x:v>
      </x:c>
      <x:c r="L78" s="11" t="n">
        <x:f>J78/K78</x:f>
        <x:v>0.3333333333333333</x:v>
      </x:c>
    </x:row>
    <x:row r="79" ht="24" customHeight="1">
      <x:c r="A79" s="3" t="n">
        <x:v>18</x:v>
      </x:c>
      <x:c r="B79" s="3" t="n">
        <x:v>126</x:v>
      </x:c>
      <x:c r="C79" s="3" t="str">
        <x:v>2-甲基丙醛</x:v>
      </x:c>
      <x:c r="D79" s="3" t="str">
        <x:v>己酸</x:v>
      </x:c>
      <x:c r="E79" s="3" t="str">
        <x:v>3档×3档</x:v>
      </x:c>
      <x:c r="F79" s="3" t="n">
        <x:f>COUNTIFS('浓度矩阵'!$C$6:$C$355,1,'浓度矩阵'!$G$6:$G$355,"&gt;0",'浓度矩阵'!$X$6:$X$355,"&gt;0")</x:f>
        <x:v>4</x:v>
      </x:c>
      <x:c r="G79" s="3" t="n">
        <x:f>COUNTIFS('浓度矩阵'!$B$6:$B$355,"独立配制重复",'浓度矩阵'!$G$6:$G$355,"&gt;0",'浓度矩阵'!$X$6:$X$355,"&gt;0")</x:f>
        <x:v>1</x:v>
      </x:c>
      <x:c r="H79" s="3" t="n">
        <x:f>COUNTIFS('浓度矩阵'!$B$6:$B$355,"留出验证",'浓度矩阵'!$G$6:$G$355,"&gt;0",'浓度矩阵'!$X$6:$X$355,"&gt;0")</x:f>
        <x:v>0</x:v>
      </x:c>
      <x:c r="I79" s="3" t="n">
        <x:v>4</x:v>
      </x:c>
      <x:c r="J79" s="3" t="n">
        <x:v>4</x:v>
      </x:c>
      <x:c r="K79" s="3" t="n">
        <x:v>9</x:v>
      </x:c>
      <x:c r="L79" s="11" t="n">
        <x:f>J79/K79</x:f>
        <x:v>0.4444444444444444</x:v>
      </x:c>
    </x:row>
    <x:row r="80" ht="24" customHeight="1">
      <x:c r="A80" s="3" t="n">
        <x:v>18</x:v>
      </x:c>
      <x:c r="B80" s="3" t="n">
        <x:v>136</x:v>
      </x:c>
      <x:c r="C80" s="3" t="str">
        <x:v>2-甲基丙醛</x:v>
      </x:c>
      <x:c r="D80" s="3" t="str">
        <x:v>异戊酸/3-甲基丁酸</x:v>
      </x:c>
      <x:c r="E80" s="3" t="str">
        <x:v>3档×3档</x:v>
      </x:c>
      <x:c r="F80" s="3" t="n">
        <x:f>COUNTIFS('浓度矩阵'!$C$6:$C$355,1,'浓度矩阵'!$G$6:$G$355,"&gt;0",'浓度矩阵'!$Y$6:$Y$355,"&gt;0")</x:f>
        <x:v>4</x:v>
      </x:c>
      <x:c r="G80" s="3" t="n">
        <x:f>COUNTIFS('浓度矩阵'!$B$6:$B$355,"独立配制重复",'浓度矩阵'!$G$6:$G$355,"&gt;0",'浓度矩阵'!$Y$6:$Y$355,"&gt;0")</x:f>
        <x:v>0</x:v>
      </x:c>
      <x:c r="H80" s="3" t="n">
        <x:f>COUNTIFS('浓度矩阵'!$B$6:$B$355,"留出验证",'浓度矩阵'!$G$6:$G$355,"&gt;0",'浓度矩阵'!$Y$6:$Y$355,"&gt;0")</x:f>
        <x:v>1</x:v>
      </x:c>
      <x:c r="I80" s="3" t="n">
        <x:v>4</x:v>
      </x:c>
      <x:c r="J80" s="3" t="n">
        <x:v>4</x:v>
      </x:c>
      <x:c r="K80" s="3" t="n">
        <x:v>9</x:v>
      </x:c>
      <x:c r="L80" s="11" t="n">
        <x:f>J80/K80</x:f>
        <x:v>0.4444444444444444</x:v>
      </x:c>
    </x:row>
    <x:row r="81" ht="24" customHeight="1">
      <x:c r="A81" s="3" t="n">
        <x:v>18</x:v>
      </x:c>
      <x:c r="B81" s="3" t="n">
        <x:v>141</x:v>
      </x:c>
      <x:c r="C81" s="3" t="str">
        <x:v>2-甲基丙醛</x:v>
      </x:c>
      <x:c r="D81" s="3" t="str">
        <x:v>戊酸乙酯</x:v>
      </x:c>
      <x:c r="E81" s="3" t="str">
        <x:v>3档×3档</x:v>
      </x:c>
      <x:c r="F81" s="3" t="n">
        <x:f>COUNTIFS('浓度矩阵'!$C$6:$C$355,1,'浓度矩阵'!$G$6:$G$355,"&gt;0",'浓度矩阵'!$Z$6:$Z$355,"&gt;0")</x:f>
        <x:v>3</x:v>
      </x:c>
      <x:c r="G81" s="3" t="n">
        <x:f>COUNTIFS('浓度矩阵'!$B$6:$B$355,"独立配制重复",'浓度矩阵'!$G$6:$G$355,"&gt;0",'浓度矩阵'!$Z$6:$Z$355,"&gt;0")</x:f>
        <x:v>1</x:v>
      </x:c>
      <x:c r="H81" s="3" t="n">
        <x:f>COUNTIFS('浓度矩阵'!$B$6:$B$355,"留出验证",'浓度矩阵'!$G$6:$G$355,"&gt;0",'浓度矩阵'!$Z$6:$Z$355,"&gt;0")</x:f>
        <x:v>0</x:v>
      </x:c>
      <x:c r="I81" s="3" t="n">
        <x:v>3</x:v>
      </x:c>
      <x:c r="J81" s="3" t="n">
        <x:v>3</x:v>
      </x:c>
      <x:c r="K81" s="3" t="n">
        <x:v>9</x:v>
      </x:c>
      <x:c r="L81" s="11" t="n">
        <x:f>J81/K81</x:f>
        <x:v>0.3333333333333333</x:v>
      </x:c>
    </x:row>
    <x:row r="82" ht="24" customHeight="1">
      <x:c r="A82" s="3" t="n">
        <x:v>18</x:v>
      </x:c>
      <x:c r="B82" s="3" t="n">
        <x:v>152</x:v>
      </x:c>
      <x:c r="C82" s="3" t="str">
        <x:v>2-甲基丙醛</x:v>
      </x:c>
      <x:c r="D82" s="3" t="str">
        <x:v>异戊醛</x:v>
      </x:c>
      <x:c r="E82" s="3" t="str">
        <x:v>3档×3档</x:v>
      </x:c>
      <x:c r="F82" s="3" t="n">
        <x:f>COUNTIFS('浓度矩阵'!$C$6:$C$355,1,'浓度矩阵'!$G$6:$G$355,"&gt;0",'浓度矩阵'!$AA$6:$AA$355,"&gt;0")</x:f>
        <x:v>3</x:v>
      </x:c>
      <x:c r="G82" s="3" t="n">
        <x:f>COUNTIFS('浓度矩阵'!$B$6:$B$355,"独立配制重复",'浓度矩阵'!$G$6:$G$355,"&gt;0",'浓度矩阵'!$AA$6:$AA$355,"&gt;0")</x:f>
        <x:v>0</x:v>
      </x:c>
      <x:c r="H82" s="3" t="n">
        <x:f>COUNTIFS('浓度矩阵'!$B$6:$B$355,"留出验证",'浓度矩阵'!$G$6:$G$355,"&gt;0",'浓度矩阵'!$AA$6:$AA$355,"&gt;0")</x:f>
        <x:v>1</x:v>
      </x:c>
      <x:c r="I82" s="3" t="n">
        <x:v>3</x:v>
      </x:c>
      <x:c r="J82" s="3" t="n">
        <x:v>3</x:v>
      </x:c>
      <x:c r="K82" s="3" t="n">
        <x:v>9</x:v>
      </x:c>
      <x:c r="L82" s="11" t="n">
        <x:f>J82/K82</x:f>
        <x:v>0.3333333333333333</x:v>
      </x:c>
    </x:row>
    <x:row r="83" ht="24" customHeight="1">
      <x:c r="A83" s="3" t="n">
        <x:v>18</x:v>
      </x:c>
      <x:c r="B83" s="3" t="n">
        <x:v>165</x:v>
      </x:c>
      <x:c r="C83" s="3" t="str">
        <x:v>2-甲基丙醛</x:v>
      </x:c>
      <x:c r="D83" s="3" t="str">
        <x:v>己酸丁酯</x:v>
      </x:c>
      <x:c r="E83" s="3" t="str">
        <x:v>3档×2档</x:v>
      </x:c>
      <x:c r="F83" s="3" t="n">
        <x:f>COUNTIFS('浓度矩阵'!$C$6:$C$355,1,'浓度矩阵'!$G$6:$G$355,"&gt;0",'浓度矩阵'!$AB$6:$AB$355,"&gt;0")</x:f>
        <x:v>3</x:v>
      </x:c>
      <x:c r="G83" s="3" t="n">
        <x:f>COUNTIFS('浓度矩阵'!$B$6:$B$355,"独立配制重复",'浓度矩阵'!$G$6:$G$355,"&gt;0",'浓度矩阵'!$AB$6:$AB$355,"&gt;0")</x:f>
        <x:v>0</x:v>
      </x:c>
      <x:c r="H83" s="3" t="n">
        <x:f>COUNTIFS('浓度矩阵'!$B$6:$B$355,"留出验证",'浓度矩阵'!$G$6:$G$355,"&gt;0",'浓度矩阵'!$AB$6:$AB$355,"&gt;0")</x:f>
        <x:v>1</x:v>
      </x:c>
      <x:c r="I83" s="3" t="n">
        <x:v>3</x:v>
      </x:c>
      <x:c r="J83" s="3" t="n">
        <x:v>3</x:v>
      </x:c>
      <x:c r="K83" s="3" t="n">
        <x:v>6</x:v>
      </x:c>
      <x:c r="L83" s="11" t="n">
        <x:f>J83/K83</x:f>
        <x:v>0.5</x:v>
      </x:c>
    </x:row>
    <x:row r="84" ht="24" customHeight="1">
      <x:c r="A84" s="3" t="n">
        <x:v>18</x:v>
      </x:c>
      <x:c r="B84" s="3" t="n">
        <x:v>186</x:v>
      </x:c>
      <x:c r="C84" s="3" t="str">
        <x:v>2-甲基丙醛</x:v>
      </x:c>
      <x:c r="D84" s="3" t="str">
        <x:v>3-苯基丙酸乙酯</x:v>
      </x:c>
      <x:c r="E84" s="3" t="str">
        <x:v>3档×3档</x:v>
      </x:c>
      <x:c r="F84" s="3" t="n">
        <x:f>COUNTIFS('浓度矩阵'!$C$6:$C$355,1,'浓度矩阵'!$G$6:$G$355,"&gt;0",'浓度矩阵'!$AC$6:$AC$355,"&gt;0")</x:f>
        <x:v>3</x:v>
      </x:c>
      <x:c r="G84" s="3" t="n">
        <x:f>COUNTIFS('浓度矩阵'!$B$6:$B$355,"独立配制重复",'浓度矩阵'!$G$6:$G$355,"&gt;0",'浓度矩阵'!$AC$6:$AC$355,"&gt;0")</x:f>
        <x:v>2</x:v>
      </x:c>
      <x:c r="H84" s="3" t="n">
        <x:f>COUNTIFS('浓度矩阵'!$B$6:$B$355,"留出验证",'浓度矩阵'!$G$6:$G$355,"&gt;0",'浓度矩阵'!$AC$6:$AC$355,"&gt;0")</x:f>
        <x:v>0</x:v>
      </x:c>
      <x:c r="I84" s="3" t="n">
        <x:v>3</x:v>
      </x:c>
      <x:c r="J84" s="3" t="n">
        <x:v>3</x:v>
      </x:c>
      <x:c r="K84" s="3" t="n">
        <x:v>9</x:v>
      </x:c>
      <x:c r="L84" s="11" t="n">
        <x:f>J84/K84</x:f>
        <x:v>0.3333333333333333</x:v>
      </x:c>
    </x:row>
    <x:row r="85" ht="24" customHeight="1">
      <x:c r="A85" s="3" t="n">
        <x:v>18</x:v>
      </x:c>
      <x:c r="B85" s="3" t="n">
        <x:v>207</x:v>
      </x:c>
      <x:c r="C85" s="3" t="str">
        <x:v>2-甲基丙醛</x:v>
      </x:c>
      <x:c r="D85" s="3" t="str">
        <x:v>1-辛烯-3-醇</x:v>
      </x:c>
      <x:c r="E85" s="3" t="str">
        <x:v>3档×3档</x:v>
      </x:c>
      <x:c r="F85" s="3" t="n">
        <x:f>COUNTIFS('浓度矩阵'!$C$6:$C$355,1,'浓度矩阵'!$G$6:$G$355,"&gt;0",'浓度矩阵'!$AD$6:$AD$355,"&gt;0")</x:f>
        <x:v>3</x:v>
      </x:c>
      <x:c r="G85" s="3" t="n">
        <x:f>COUNTIFS('浓度矩阵'!$B$6:$B$355,"独立配制重复",'浓度矩阵'!$G$6:$G$355,"&gt;0",'浓度矩阵'!$AD$6:$AD$355,"&gt;0")</x:f>
        <x:v>1</x:v>
      </x:c>
      <x:c r="H85" s="3" t="n">
        <x:f>COUNTIFS('浓度矩阵'!$B$6:$B$355,"留出验证",'浓度矩阵'!$G$6:$G$355,"&gt;0",'浓度矩阵'!$AD$6:$AD$355,"&gt;0")</x:f>
        <x:v>0</x:v>
      </x:c>
      <x:c r="I85" s="3" t="n">
        <x:v>3</x:v>
      </x:c>
      <x:c r="J85" s="3" t="n">
        <x:v>3</x:v>
      </x:c>
      <x:c r="K85" s="3" t="n">
        <x:v>9</x:v>
      </x:c>
      <x:c r="L85" s="11" t="n">
        <x:f>J85/K85</x:f>
        <x:v>0.3333333333333333</x:v>
      </x:c>
    </x:row>
    <x:row r="86" ht="24" customHeight="1">
      <x:c r="A86" s="3" t="n">
        <x:v>18</x:v>
      </x:c>
      <x:c r="B86" s="3" t="n">
        <x:v>209</x:v>
      </x:c>
      <x:c r="C86" s="3" t="str">
        <x:v>2-甲基丙醛</x:v>
      </x:c>
      <x:c r="D86" s="3" t="str">
        <x:v>二甲基三硫醚</x:v>
      </x:c>
      <x:c r="E86" s="3" t="str">
        <x:v>3档×3档</x:v>
      </x:c>
      <x:c r="F86" s="3" t="n">
        <x:f>COUNTIFS('浓度矩阵'!$C$6:$C$355,1,'浓度矩阵'!$G$6:$G$355,"&gt;0",'浓度矩阵'!$AE$6:$AE$355,"&gt;0")</x:f>
        <x:v>3</x:v>
      </x:c>
      <x:c r="G86" s="3" t="n">
        <x:f>COUNTIFS('浓度矩阵'!$B$6:$B$355,"独立配制重复",'浓度矩阵'!$G$6:$G$355,"&gt;0",'浓度矩阵'!$AE$6:$AE$355,"&gt;0")</x:f>
        <x:v>0</x:v>
      </x:c>
      <x:c r="H86" s="3" t="n">
        <x:f>COUNTIFS('浓度矩阵'!$B$6:$B$355,"留出验证",'浓度矩阵'!$G$6:$G$355,"&gt;0",'浓度矩阵'!$AE$6:$AE$355,"&gt;0")</x:f>
        <x:v>0</x:v>
      </x:c>
      <x:c r="I86" s="3" t="n">
        <x:v>3</x:v>
      </x:c>
      <x:c r="J86" s="3" t="n">
        <x:v>3</x:v>
      </x:c>
      <x:c r="K86" s="3" t="n">
        <x:v>9</x:v>
      </x:c>
      <x:c r="L86" s="11" t="n">
        <x:f>J86/K86</x:f>
        <x:v>0.3333333333333333</x:v>
      </x:c>
    </x:row>
    <x:row r="87" ht="24" customHeight="1">
      <x:c r="A87" s="3" t="n">
        <x:v>18</x:v>
      </x:c>
      <x:c r="B87" s="3" t="n">
        <x:v>227</x:v>
      </x:c>
      <x:c r="C87" s="3" t="str">
        <x:v>2-甲基丙醛</x:v>
      </x:c>
      <x:c r="D87" s="3" t="str">
        <x:v>己酸己酯</x:v>
      </x:c>
      <x:c r="E87" s="3" t="str">
        <x:v>3档×3档</x:v>
      </x:c>
      <x:c r="F87" s="3" t="n">
        <x:f>COUNTIFS('浓度矩阵'!$C$6:$C$355,1,'浓度矩阵'!$G$6:$G$355,"&gt;0",'浓度矩阵'!$AF$6:$AF$355,"&gt;0")</x:f>
        <x:v>3</x:v>
      </x:c>
      <x:c r="G87" s="3" t="n">
        <x:f>COUNTIFS('浓度矩阵'!$B$6:$B$355,"独立配制重复",'浓度矩阵'!$G$6:$G$355,"&gt;0",'浓度矩阵'!$AF$6:$AF$355,"&gt;0")</x:f>
        <x:v>2</x:v>
      </x:c>
      <x:c r="H87" s="3" t="n">
        <x:f>COUNTIFS('浓度矩阵'!$B$6:$B$355,"留出验证",'浓度矩阵'!$G$6:$G$355,"&gt;0",'浓度矩阵'!$AF$6:$AF$355,"&gt;0")</x:f>
        <x:v>0</x:v>
      </x:c>
      <x:c r="I87" s="3" t="n">
        <x:v>3</x:v>
      </x:c>
      <x:c r="J87" s="3" t="n">
        <x:v>3</x:v>
      </x:c>
      <x:c r="K87" s="3" t="n">
        <x:v>9</x:v>
      </x:c>
      <x:c r="L87" s="11" t="n">
        <x:f>J87/K87</x:f>
        <x:v>0.3333333333333333</x:v>
      </x:c>
    </x:row>
    <x:row r="88" ht="24" customHeight="1">
      <x:c r="A88" s="3" t="n">
        <x:v>18</x:v>
      </x:c>
      <x:c r="B88" s="3" t="n">
        <x:v>232</x:v>
      </x:c>
      <x:c r="C88" s="3" t="str">
        <x:v>2-甲基丙醛</x:v>
      </x:c>
      <x:c r="D88" s="3" t="str">
        <x:v>2-甲基丁酸乙酯</x:v>
      </x:c>
      <x:c r="E88" s="3" t="str">
        <x:v>3档×3档</x:v>
      </x:c>
      <x:c r="F88" s="3" t="n">
        <x:f>COUNTIFS('浓度矩阵'!$C$6:$C$355,1,'浓度矩阵'!$G$6:$G$355,"&gt;0",'浓度矩阵'!$AG$6:$AG$355,"&gt;0")</x:f>
        <x:v>3</x:v>
      </x:c>
      <x:c r="G88" s="3" t="n">
        <x:f>COUNTIFS('浓度矩阵'!$B$6:$B$355,"独立配制重复",'浓度矩阵'!$G$6:$G$355,"&gt;0",'浓度矩阵'!$AG$6:$AG$355,"&gt;0")</x:f>
        <x:v>0</x:v>
      </x:c>
      <x:c r="H88" s="3" t="n">
        <x:f>COUNTIFS('浓度矩阵'!$B$6:$B$355,"留出验证",'浓度矩阵'!$G$6:$G$355,"&gt;0",'浓度矩阵'!$AG$6:$AG$355,"&gt;0")</x:f>
        <x:v>1</x:v>
      </x:c>
      <x:c r="I88" s="3" t="n">
        <x:v>3</x:v>
      </x:c>
      <x:c r="J88" s="3" t="n">
        <x:v>3</x:v>
      </x:c>
      <x:c r="K88" s="3" t="n">
        <x:v>9</x:v>
      </x:c>
      <x:c r="L88" s="11" t="n">
        <x:f>J88/K88</x:f>
        <x:v>0.3333333333333333</x:v>
      </x:c>
    </x:row>
    <x:row r="89" ht="24" customHeight="1">
      <x:c r="A89" s="3" t="n">
        <x:v>18</x:v>
      </x:c>
      <x:c r="B89" s="3" t="n">
        <x:v>255</x:v>
      </x:c>
      <x:c r="C89" s="3" t="str">
        <x:v>2-甲基丙醛</x:v>
      </x:c>
      <x:c r="D89" s="3" t="str">
        <x:v>β-大马酮</x:v>
      </x:c>
      <x:c r="E89" s="3" t="str">
        <x:v>3档×3档</x:v>
      </x:c>
      <x:c r="F89" s="3" t="n">
        <x:f>COUNTIFS('浓度矩阵'!$C$6:$C$355,1,'浓度矩阵'!$G$6:$G$355,"&gt;0",'浓度矩阵'!$AH$6:$AH$355,"&gt;0")</x:f>
        <x:v>3</x:v>
      </x:c>
      <x:c r="G89" s="3" t="n">
        <x:f>COUNTIFS('浓度矩阵'!$B$6:$B$355,"独立配制重复",'浓度矩阵'!$G$6:$G$355,"&gt;0",'浓度矩阵'!$AH$6:$AH$355,"&gt;0")</x:f>
        <x:v>0</x:v>
      </x:c>
      <x:c r="H89" s="3" t="n">
        <x:f>COUNTIFS('浓度矩阵'!$B$6:$B$355,"留出验证",'浓度矩阵'!$G$6:$G$355,"&gt;0",'浓度矩阵'!$AH$6:$AH$355,"&gt;0")</x:f>
        <x:v>0</x:v>
      </x:c>
      <x:c r="I89" s="3" t="n">
        <x:v>3</x:v>
      </x:c>
      <x:c r="J89" s="3" t="n">
        <x:v>3</x:v>
      </x:c>
      <x:c r="K89" s="3" t="n">
        <x:v>9</x:v>
      </x:c>
      <x:c r="L89" s="11" t="n">
        <x:f>J89/K89</x:f>
        <x:v>0.3333333333333333</x:v>
      </x:c>
    </x:row>
    <x:row r="90" ht="24" customHeight="1">
      <x:c r="A90" s="3" t="n">
        <x:v>32</x:v>
      </x:c>
      <x:c r="B90" s="3" t="n">
        <x:v>40</x:v>
      </x:c>
      <x:c r="C90" s="3" t="str">
        <x:v>异丁酸乙酯</x:v>
      </x:c>
      <x:c r="D90" s="3" t="str">
        <x:v>苯乙酸乙酯</x:v>
      </x:c>
      <x:c r="E90" s="3" t="str">
        <x:v>3档×3档</x:v>
      </x:c>
      <x:c r="F90" s="3" t="n">
        <x:f>COUNTIFS('浓度矩阵'!$C$6:$C$355,1,'浓度矩阵'!$H$6:$H$355,"&gt;0",'浓度矩阵'!$I$6:$I$355,"&gt;0")</x:f>
        <x:v>3</x:v>
      </x:c>
      <x:c r="G90" s="3" t="n">
        <x:f>COUNTIFS('浓度矩阵'!$B$6:$B$355,"独立配制重复",'浓度矩阵'!$H$6:$H$355,"&gt;0",'浓度矩阵'!$I$6:$I$355,"&gt;0")</x:f>
        <x:v>0</x:v>
      </x:c>
      <x:c r="H90" s="3" t="n">
        <x:f>COUNTIFS('浓度矩阵'!$B$6:$B$355,"留出验证",'浓度矩阵'!$H$6:$H$355,"&gt;0",'浓度矩阵'!$I$6:$I$355,"&gt;0")</x:f>
        <x:v>0</x:v>
      </x:c>
      <x:c r="I90" s="3" t="n">
        <x:v>3</x:v>
      </x:c>
      <x:c r="J90" s="3" t="n">
        <x:v>3</x:v>
      </x:c>
      <x:c r="K90" s="3" t="n">
        <x:v>9</x:v>
      </x:c>
      <x:c r="L90" s="11" t="n">
        <x:f>J90/K90</x:f>
        <x:v>0.3333333333333333</x:v>
      </x:c>
    </x:row>
    <x:row r="91" ht="24" customHeight="1">
      <x:c r="A91" s="3" t="n">
        <x:v>32</x:v>
      </x:c>
      <x:c r="B91" s="3" t="n">
        <x:v>52</x:v>
      </x:c>
      <x:c r="C91" s="3" t="str">
        <x:v>异丁酸乙酯</x:v>
      </x:c>
      <x:c r="D91" s="3" t="str">
        <x:v>丁酸乙酯</x:v>
      </x:c>
      <x:c r="E91" s="3" t="str">
        <x:v>3档×3档</x:v>
      </x:c>
      <x:c r="F91" s="3" t="n">
        <x:f>COUNTIFS('浓度矩阵'!$C$6:$C$355,1,'浓度矩阵'!$H$6:$H$355,"&gt;0",'浓度矩阵'!$J$6:$J$355,"&gt;0")</x:f>
        <x:v>3</x:v>
      </x:c>
      <x:c r="G91" s="3" t="n">
        <x:f>COUNTIFS('浓度矩阵'!$B$6:$B$355,"独立配制重复",'浓度矩阵'!$H$6:$H$355,"&gt;0",'浓度矩阵'!$J$6:$J$355,"&gt;0")</x:f>
        <x:v>0</x:v>
      </x:c>
      <x:c r="H91" s="3" t="n">
        <x:f>COUNTIFS('浓度矩阵'!$B$6:$B$355,"留出验证",'浓度矩阵'!$H$6:$H$355,"&gt;0",'浓度矩阵'!$J$6:$J$355,"&gt;0")</x:f>
        <x:v>0</x:v>
      </x:c>
      <x:c r="I91" s="3" t="n">
        <x:v>3</x:v>
      </x:c>
      <x:c r="J91" s="3" t="n">
        <x:v>3</x:v>
      </x:c>
      <x:c r="K91" s="3" t="n">
        <x:v>9</x:v>
      </x:c>
      <x:c r="L91" s="11" t="n">
        <x:f>J91/K91</x:f>
        <x:v>0.3333333333333333</x:v>
      </x:c>
    </x:row>
    <x:row r="92" ht="24" customHeight="1">
      <x:c r="A92" s="3" t="n">
        <x:v>32</x:v>
      </x:c>
      <x:c r="B92" s="3" t="n">
        <x:v>53</x:v>
      </x:c>
      <x:c r="C92" s="3" t="str">
        <x:v>异丁酸乙酯</x:v>
      </x:c>
      <x:c r="D92" s="3" t="str">
        <x:v>乙醛二乙缩醛</x:v>
      </x:c>
      <x:c r="E92" s="3" t="str">
        <x:v>3档×3档</x:v>
      </x:c>
      <x:c r="F92" s="3" t="n">
        <x:f>COUNTIFS('浓度矩阵'!$C$6:$C$355,1,'浓度矩阵'!$H$6:$H$355,"&gt;0",'浓度矩阵'!$K$6:$K$355,"&gt;0")</x:f>
        <x:v>4</x:v>
      </x:c>
      <x:c r="G92" s="3" t="n">
        <x:f>COUNTIFS('浓度矩阵'!$B$6:$B$355,"独立配制重复",'浓度矩阵'!$H$6:$H$355,"&gt;0",'浓度矩阵'!$K$6:$K$355,"&gt;0")</x:f>
        <x:v>0</x:v>
      </x:c>
      <x:c r="H92" s="3" t="n">
        <x:f>COUNTIFS('浓度矩阵'!$B$6:$B$355,"留出验证",'浓度矩阵'!$H$6:$H$355,"&gt;0",'浓度矩阵'!$K$6:$K$355,"&gt;0")</x:f>
        <x:v>0</x:v>
      </x:c>
      <x:c r="I92" s="3" t="n">
        <x:v>4</x:v>
      </x:c>
      <x:c r="J92" s="3" t="n">
        <x:v>4</x:v>
      </x:c>
      <x:c r="K92" s="3" t="n">
        <x:v>9</x:v>
      </x:c>
      <x:c r="L92" s="11" t="n">
        <x:f>J92/K92</x:f>
        <x:v>0.4444444444444444</x:v>
      </x:c>
    </x:row>
    <x:row r="93" ht="24" customHeight="1">
      <x:c r="A93" s="3" t="n">
        <x:v>32</x:v>
      </x:c>
      <x:c r="B93" s="3" t="n">
        <x:v>56</x:v>
      </x:c>
      <x:c r="C93" s="3" t="str">
        <x:v>异丁酸乙酯</x:v>
      </x:c>
      <x:c r="D93" s="3" t="str">
        <x:v>丁酸异戊酯</x:v>
      </x:c>
      <x:c r="E93" s="3" t="str">
        <x:v>3档×2档</x:v>
      </x:c>
      <x:c r="F93" s="3" t="n">
        <x:f>COUNTIFS('浓度矩阵'!$C$6:$C$355,1,'浓度矩阵'!$H$6:$H$355,"&gt;0",'浓度矩阵'!$L$6:$L$355,"&gt;0")</x:f>
        <x:v>3</x:v>
      </x:c>
      <x:c r="G93" s="3" t="n">
        <x:f>COUNTIFS('浓度矩阵'!$B$6:$B$355,"独立配制重复",'浓度矩阵'!$H$6:$H$355,"&gt;0",'浓度矩阵'!$L$6:$L$355,"&gt;0")</x:f>
        <x:v>0</x:v>
      </x:c>
      <x:c r="H93" s="3" t="n">
        <x:f>COUNTIFS('浓度矩阵'!$B$6:$B$355,"留出验证",'浓度矩阵'!$H$6:$H$355,"&gt;0",'浓度矩阵'!$L$6:$L$355,"&gt;0")</x:f>
        <x:v>0</x:v>
      </x:c>
      <x:c r="I93" s="3" t="n">
        <x:v>3</x:v>
      </x:c>
      <x:c r="J93" s="3" t="n">
        <x:v>3</x:v>
      </x:c>
      <x:c r="K93" s="3" t="n">
        <x:v>6</x:v>
      </x:c>
      <x:c r="L93" s="11" t="n">
        <x:f>J93/K93</x:f>
        <x:v>0.5</x:v>
      </x:c>
    </x:row>
    <x:row r="94" ht="24" customHeight="1">
      <x:c r="A94" s="3" t="n">
        <x:v>32</x:v>
      </x:c>
      <x:c r="B94" s="3" t="n">
        <x:v>58</x:v>
      </x:c>
      <x:c r="C94" s="3" t="str">
        <x:v>异丁酸乙酯</x:v>
      </x:c>
      <x:c r="D94" s="3" t="str">
        <x:v>辛酸乙酯</x:v>
      </x:c>
      <x:c r="E94" s="3" t="str">
        <x:v>3档×3档</x:v>
      </x:c>
      <x:c r="F94" s="3" t="n">
        <x:f>COUNTIFS('浓度矩阵'!$C$6:$C$355,1,'浓度矩阵'!$H$6:$H$355,"&gt;0",'浓度矩阵'!$M$6:$M$355,"&gt;0")</x:f>
        <x:v>3</x:v>
      </x:c>
      <x:c r="G94" s="3" t="n">
        <x:f>COUNTIFS('浓度矩阵'!$B$6:$B$355,"独立配制重复",'浓度矩阵'!$H$6:$H$355,"&gt;0",'浓度矩阵'!$M$6:$M$355,"&gt;0")</x:f>
        <x:v>0</x:v>
      </x:c>
      <x:c r="H94" s="3" t="n">
        <x:f>COUNTIFS('浓度矩阵'!$B$6:$B$355,"留出验证",'浓度矩阵'!$H$6:$H$355,"&gt;0",'浓度矩阵'!$M$6:$M$355,"&gt;0")</x:f>
        <x:v>0</x:v>
      </x:c>
      <x:c r="I94" s="3" t="n">
        <x:v>3</x:v>
      </x:c>
      <x:c r="J94" s="3" t="n">
        <x:v>3</x:v>
      </x:c>
      <x:c r="K94" s="3" t="n">
        <x:v>9</x:v>
      </x:c>
      <x:c r="L94" s="11" t="n">
        <x:f>J94/K94</x:f>
        <x:v>0.3333333333333333</x:v>
      </x:c>
    </x:row>
    <x:row r="95" ht="24" customHeight="1">
      <x:c r="A95" s="3" t="n">
        <x:v>32</x:v>
      </x:c>
      <x:c r="B95" s="3" t="n">
        <x:v>61</x:v>
      </x:c>
      <x:c r="C95" s="3" t="str">
        <x:v>异丁酸乙酯</x:v>
      </x:c>
      <x:c r="D95" s="3" t="str">
        <x:v>对甲酚</x:v>
      </x:c>
      <x:c r="E95" s="3" t="str">
        <x:v>3档×3档</x:v>
      </x:c>
      <x:c r="F95" s="3" t="n">
        <x:f>COUNTIFS('浓度矩阵'!$C$6:$C$355,1,'浓度矩阵'!$H$6:$H$355,"&gt;0",'浓度矩阵'!$N$6:$N$355,"&gt;0")</x:f>
        <x:v>3</x:v>
      </x:c>
      <x:c r="G95" s="3" t="n">
        <x:f>COUNTIFS('浓度矩阵'!$B$6:$B$355,"独立配制重复",'浓度矩阵'!$H$6:$H$355,"&gt;0",'浓度矩阵'!$N$6:$N$355,"&gt;0")</x:f>
        <x:v>0</x:v>
      </x:c>
      <x:c r="H95" s="3" t="n">
        <x:f>COUNTIFS('浓度矩阵'!$B$6:$B$355,"留出验证",'浓度矩阵'!$H$6:$H$355,"&gt;0",'浓度矩阵'!$N$6:$N$355,"&gt;0")</x:f>
        <x:v>0</x:v>
      </x:c>
      <x:c r="I95" s="3" t="n">
        <x:v>3</x:v>
      </x:c>
      <x:c r="J95" s="3" t="n">
        <x:v>3</x:v>
      </x:c>
      <x:c r="K95" s="3" t="n">
        <x:v>9</x:v>
      </x:c>
      <x:c r="L95" s="11" t="n">
        <x:f>J95/K95</x:f>
        <x:v>0.3333333333333333</x:v>
      </x:c>
    </x:row>
    <x:row r="96" ht="24" customHeight="1">
      <x:c r="A96" s="3" t="n">
        <x:v>32</x:v>
      </x:c>
      <x:c r="B96" s="3" t="n">
        <x:v>69</x:v>
      </x:c>
      <x:c r="C96" s="3" t="str">
        <x:v>异丁酸乙酯</x:v>
      </x:c>
      <x:c r="D96" s="3" t="str">
        <x:v>异戊酸乙酯（3-甲基丁酸乙酯）</x:v>
      </x:c>
      <x:c r="E96" s="3" t="str">
        <x:v>3档×3档</x:v>
      </x:c>
      <x:c r="F96" s="3" t="n">
        <x:f>COUNTIFS('浓度矩阵'!$C$6:$C$355,1,'浓度矩阵'!$H$6:$H$355,"&gt;0",'浓度矩阵'!$O$6:$O$355,"&gt;0")</x:f>
        <x:v>3</x:v>
      </x:c>
      <x:c r="G96" s="3" t="n">
        <x:f>COUNTIFS('浓度矩阵'!$B$6:$B$355,"独立配制重复",'浓度矩阵'!$H$6:$H$355,"&gt;0",'浓度矩阵'!$O$6:$O$355,"&gt;0")</x:f>
        <x:v>0</x:v>
      </x:c>
      <x:c r="H96" s="3" t="n">
        <x:f>COUNTIFS('浓度矩阵'!$B$6:$B$355,"留出验证",'浓度矩阵'!$H$6:$H$355,"&gt;0",'浓度矩阵'!$O$6:$O$355,"&gt;0")</x:f>
        <x:v>0</x:v>
      </x:c>
      <x:c r="I96" s="3" t="n">
        <x:v>3</x:v>
      </x:c>
      <x:c r="J96" s="3" t="n">
        <x:v>3</x:v>
      </x:c>
      <x:c r="K96" s="3" t="n">
        <x:v>9</x:v>
      </x:c>
      <x:c r="L96" s="11" t="n">
        <x:f>J96/K96</x:f>
        <x:v>0.3333333333333333</x:v>
      </x:c>
    </x:row>
    <x:row r="97" ht="24" customHeight="1">
      <x:c r="A97" s="3" t="n">
        <x:v>32</x:v>
      </x:c>
      <x:c r="B97" s="3" t="n">
        <x:v>75</x:v>
      </x:c>
      <x:c r="C97" s="3" t="str">
        <x:v>异丁酸乙酯</x:v>
      </x:c>
      <x:c r="D97" s="3" t="str">
        <x:v>戊酸</x:v>
      </x:c>
      <x:c r="E97" s="3" t="str">
        <x:v>3档×3档</x:v>
      </x:c>
      <x:c r="F97" s="3" t="n">
        <x:f>COUNTIFS('浓度矩阵'!$C$6:$C$355,1,'浓度矩阵'!$H$6:$H$355,"&gt;0",'浓度矩阵'!$P$6:$P$355,"&gt;0")</x:f>
        <x:v>3</x:v>
      </x:c>
      <x:c r="G97" s="3" t="n">
        <x:f>COUNTIFS('浓度矩阵'!$B$6:$B$355,"独立配制重复",'浓度矩阵'!$H$6:$H$355,"&gt;0",'浓度矩阵'!$P$6:$P$355,"&gt;0")</x:f>
        <x:v>0</x:v>
      </x:c>
      <x:c r="H97" s="3" t="n">
        <x:f>COUNTIFS('浓度矩阵'!$B$6:$B$355,"留出验证",'浓度矩阵'!$H$6:$H$355,"&gt;0",'浓度矩阵'!$P$6:$P$355,"&gt;0")</x:f>
        <x:v>0</x:v>
      </x:c>
      <x:c r="I97" s="3" t="n">
        <x:v>3</x:v>
      </x:c>
      <x:c r="J97" s="3" t="n">
        <x:v>3</x:v>
      </x:c>
      <x:c r="K97" s="3" t="n">
        <x:v>9</x:v>
      </x:c>
      <x:c r="L97" s="11" t="n">
        <x:f>J97/K97</x:f>
        <x:v>0.3333333333333333</x:v>
      </x:c>
    </x:row>
    <x:row r="98" ht="24" customHeight="1">
      <x:c r="A98" s="3" t="n">
        <x:v>32</x:v>
      </x:c>
      <x:c r="B98" s="3" t="n">
        <x:v>79</x:v>
      </x:c>
      <x:c r="C98" s="3" t="str">
        <x:v>异丁酸乙酯</x:v>
      </x:c>
      <x:c r="D98" s="3" t="str">
        <x:v>癸酸乙酯</x:v>
      </x:c>
      <x:c r="E98" s="3" t="str">
        <x:v>3档×2档</x:v>
      </x:c>
      <x:c r="F98" s="3" t="n">
        <x:f>COUNTIFS('浓度矩阵'!$C$6:$C$355,1,'浓度矩阵'!$H$6:$H$355,"&gt;0",'浓度矩阵'!$Q$6:$Q$355,"&gt;0")</x:f>
        <x:v>3</x:v>
      </x:c>
      <x:c r="G98" s="3" t="n">
        <x:f>COUNTIFS('浓度矩阵'!$B$6:$B$355,"独立配制重复",'浓度矩阵'!$H$6:$H$355,"&gt;0",'浓度矩阵'!$Q$6:$Q$355,"&gt;0")</x:f>
        <x:v>0</x:v>
      </x:c>
      <x:c r="H98" s="3" t="n">
        <x:f>COUNTIFS('浓度矩阵'!$B$6:$B$355,"留出验证",'浓度矩阵'!$H$6:$H$355,"&gt;0",'浓度矩阵'!$Q$6:$Q$355,"&gt;0")</x:f>
        <x:v>0</x:v>
      </x:c>
      <x:c r="I98" s="3" t="n">
        <x:v>3</x:v>
      </x:c>
      <x:c r="J98" s="3" t="n">
        <x:v>3</x:v>
      </x:c>
      <x:c r="K98" s="3" t="n">
        <x:v>6</x:v>
      </x:c>
      <x:c r="L98" s="11" t="n">
        <x:f>J98/K98</x:f>
        <x:v>0.5</x:v>
      </x:c>
    </x:row>
    <x:row r="99" ht="24" customHeight="1">
      <x:c r="A99" s="3" t="n">
        <x:v>32</x:v>
      </x:c>
      <x:c r="B99" s="3" t="n">
        <x:v>90</x:v>
      </x:c>
      <x:c r="C99" s="3" t="str">
        <x:v>异丁酸乙酯</x:v>
      </x:c>
      <x:c r="D99" s="3" t="str">
        <x:v>1-辛醇</x:v>
      </x:c>
      <x:c r="E99" s="3" t="str">
        <x:v>3档×2档</x:v>
      </x:c>
      <x:c r="F99" s="3" t="n">
        <x:f>COUNTIFS('浓度矩阵'!$C$6:$C$355,1,'浓度矩阵'!$H$6:$H$355,"&gt;0",'浓度矩阵'!$R$6:$R$355,"&gt;0")</x:f>
        <x:v>3</x:v>
      </x:c>
      <x:c r="G99" s="3" t="n">
        <x:f>COUNTIFS('浓度矩阵'!$B$6:$B$355,"独立配制重复",'浓度矩阵'!$H$6:$H$355,"&gt;0",'浓度矩阵'!$R$6:$R$355,"&gt;0")</x:f>
        <x:v>0</x:v>
      </x:c>
      <x:c r="H99" s="3" t="n">
        <x:f>COUNTIFS('浓度矩阵'!$B$6:$B$355,"留出验证",'浓度矩阵'!$H$6:$H$355,"&gt;0",'浓度矩阵'!$R$6:$R$355,"&gt;0")</x:f>
        <x:v>0</x:v>
      </x:c>
      <x:c r="I99" s="3" t="n">
        <x:v>3</x:v>
      </x:c>
      <x:c r="J99" s="3" t="n">
        <x:v>3</x:v>
      </x:c>
      <x:c r="K99" s="3" t="n">
        <x:v>6</x:v>
      </x:c>
      <x:c r="L99" s="11" t="n">
        <x:f>J99/K99</x:f>
        <x:v>0.5</x:v>
      </x:c>
    </x:row>
    <x:row r="100" ht="24" customHeight="1">
      <x:c r="A100" s="3" t="n">
        <x:v>32</x:v>
      </x:c>
      <x:c r="B100" s="3" t="n">
        <x:v>105</x:v>
      </x:c>
      <x:c r="C100" s="3" t="str">
        <x:v>异丁酸乙酯</x:v>
      </x:c>
      <x:c r="D100" s="3" t="str">
        <x:v>苯乙醛</x:v>
      </x:c>
      <x:c r="E100" s="3" t="str">
        <x:v>3档×3档</x:v>
      </x:c>
      <x:c r="F100" s="3" t="n">
        <x:f>COUNTIFS('浓度矩阵'!$C$6:$C$355,1,'浓度矩阵'!$H$6:$H$355,"&gt;0",'浓度矩阵'!$S$6:$S$355,"&gt;0")</x:f>
        <x:v>3</x:v>
      </x:c>
      <x:c r="G100" s="3" t="n">
        <x:f>COUNTIFS('浓度矩阵'!$B$6:$B$355,"独立配制重复",'浓度矩阵'!$H$6:$H$355,"&gt;0",'浓度矩阵'!$S$6:$S$355,"&gt;0")</x:f>
        <x:v>1</x:v>
      </x:c>
      <x:c r="H100" s="3" t="n">
        <x:f>COUNTIFS('浓度矩阵'!$B$6:$B$355,"留出验证",'浓度矩阵'!$H$6:$H$355,"&gt;0",'浓度矩阵'!$S$6:$S$355,"&gt;0")</x:f>
        <x:v>0</x:v>
      </x:c>
      <x:c r="I100" s="3" t="n">
        <x:v>3</x:v>
      </x:c>
      <x:c r="J100" s="3" t="n">
        <x:v>3</x:v>
      </x:c>
      <x:c r="K100" s="3" t="n">
        <x:v>9</x:v>
      </x:c>
      <x:c r="L100" s="11" t="n">
        <x:f>J100/K100</x:f>
        <x:v>0.3333333333333333</x:v>
      </x:c>
    </x:row>
    <x:row r="101" ht="24" customHeight="1">
      <x:c r="A101" s="3" t="n">
        <x:v>32</x:v>
      </x:c>
      <x:c r="B101" s="3" t="n">
        <x:v>111</x:v>
      </x:c>
      <x:c r="C101" s="3" t="str">
        <x:v>异丁酸乙酯</x:v>
      </x:c>
      <x:c r="D101" s="3" t="str">
        <x:v>己酸乙酯</x:v>
      </x:c>
      <x:c r="E101" s="3" t="str">
        <x:v>3档×3档</x:v>
      </x:c>
      <x:c r="F101" s="3" t="n">
        <x:f>COUNTIFS('浓度矩阵'!$C$6:$C$355,1,'浓度矩阵'!$H$6:$H$355,"&gt;0",'浓度矩阵'!$T$6:$T$355,"&gt;0")</x:f>
        <x:v>4</x:v>
      </x:c>
      <x:c r="G101" s="3" t="n">
        <x:f>COUNTIFS('浓度矩阵'!$B$6:$B$355,"独立配制重复",'浓度矩阵'!$H$6:$H$355,"&gt;0",'浓度矩阵'!$T$6:$T$355,"&gt;0")</x:f>
        <x:v>0</x:v>
      </x:c>
      <x:c r="H101" s="3" t="n">
        <x:f>COUNTIFS('浓度矩阵'!$B$6:$B$355,"留出验证",'浓度矩阵'!$H$6:$H$355,"&gt;0",'浓度矩阵'!$T$6:$T$355,"&gt;0")</x:f>
        <x:v>0</x:v>
      </x:c>
      <x:c r="I101" s="3" t="n">
        <x:v>4</x:v>
      </x:c>
      <x:c r="J101" s="3" t="n">
        <x:v>4</x:v>
      </x:c>
      <x:c r="K101" s="3" t="n">
        <x:v>9</x:v>
      </x:c>
      <x:c r="L101" s="11" t="n">
        <x:f>J101/K101</x:f>
        <x:v>0.4444444444444444</x:v>
      </x:c>
    </x:row>
    <x:row r="102" ht="24" customHeight="1">
      <x:c r="A102" s="3" t="n">
        <x:v>32</x:v>
      </x:c>
      <x:c r="B102" s="3" t="n">
        <x:v>114</x:v>
      </x:c>
      <x:c r="C102" s="3" t="str">
        <x:v>异丁酸乙酯</x:v>
      </x:c>
      <x:c r="D102" s="3" t="str">
        <x:v>乙酸丁酯</x:v>
      </x:c>
      <x:c r="E102" s="3" t="str">
        <x:v>3档×2档</x:v>
      </x:c>
      <x:c r="F102" s="3" t="n">
        <x:f>COUNTIFS('浓度矩阵'!$C$6:$C$355,1,'浓度矩阵'!$H$6:$H$355,"&gt;0",'浓度矩阵'!$U$6:$U$355,"&gt;0")</x:f>
        <x:v>3</x:v>
      </x:c>
      <x:c r="G102" s="3" t="n">
        <x:f>COUNTIFS('浓度矩阵'!$B$6:$B$355,"独立配制重复",'浓度矩阵'!$H$6:$H$355,"&gt;0",'浓度矩阵'!$U$6:$U$355,"&gt;0")</x:f>
        <x:v>0</x:v>
      </x:c>
      <x:c r="H102" s="3" t="n">
        <x:f>COUNTIFS('浓度矩阵'!$B$6:$B$355,"留出验证",'浓度矩阵'!$H$6:$H$355,"&gt;0",'浓度矩阵'!$U$6:$U$355,"&gt;0")</x:f>
        <x:v>0</x:v>
      </x:c>
      <x:c r="I102" s="3" t="n">
        <x:v>3</x:v>
      </x:c>
      <x:c r="J102" s="3" t="n">
        <x:v>3</x:v>
      </x:c>
      <x:c r="K102" s="3" t="n">
        <x:v>6</x:v>
      </x:c>
      <x:c r="L102" s="11" t="n">
        <x:f>J102/K102</x:f>
        <x:v>0.5</x:v>
      </x:c>
    </x:row>
    <x:row r="103" ht="24" customHeight="1">
      <x:c r="A103" s="3" t="n">
        <x:v>32</x:v>
      </x:c>
      <x:c r="B103" s="3" t="n">
        <x:v>115</x:v>
      </x:c>
      <x:c r="C103" s="3" t="str">
        <x:v>异丁酸乙酯</x:v>
      </x:c>
      <x:c r="D103" s="3" t="str">
        <x:v>乙酸异戊酯</x:v>
      </x:c>
      <x:c r="E103" s="3" t="str">
        <x:v>3档×3档</x:v>
      </x:c>
      <x:c r="F103" s="3" t="n">
        <x:f>COUNTIFS('浓度矩阵'!$C$6:$C$355,1,'浓度矩阵'!$H$6:$H$355,"&gt;0",'浓度矩阵'!$V$6:$V$355,"&gt;0")</x:f>
        <x:v>3</x:v>
      </x:c>
      <x:c r="G103" s="3" t="n">
        <x:f>COUNTIFS('浓度矩阵'!$B$6:$B$355,"独立配制重复",'浓度矩阵'!$H$6:$H$355,"&gt;0",'浓度矩阵'!$V$6:$V$355,"&gt;0")</x:f>
        <x:v>0</x:v>
      </x:c>
      <x:c r="H103" s="3" t="n">
        <x:f>COUNTIFS('浓度矩阵'!$B$6:$B$355,"留出验证",'浓度矩阵'!$H$6:$H$355,"&gt;0",'浓度矩阵'!$V$6:$V$355,"&gt;0")</x:f>
        <x:v>1</x:v>
      </x:c>
      <x:c r="I103" s="3" t="n">
        <x:v>3</x:v>
      </x:c>
      <x:c r="J103" s="3" t="n">
        <x:v>3</x:v>
      </x:c>
      <x:c r="K103" s="3" t="n">
        <x:v>9</x:v>
      </x:c>
      <x:c r="L103" s="11" t="n">
        <x:f>J103/K103</x:f>
        <x:v>0.3333333333333333</x:v>
      </x:c>
    </x:row>
    <x:row r="104" ht="24" customHeight="1">
      <x:c r="A104" s="3" t="n">
        <x:v>32</x:v>
      </x:c>
      <x:c r="B104" s="3" t="n">
        <x:v>117</x:v>
      </x:c>
      <x:c r="C104" s="3" t="str">
        <x:v>异丁酸乙酯</x:v>
      </x:c>
      <x:c r="D104" s="3" t="str">
        <x:v>辛酸</x:v>
      </x:c>
      <x:c r="E104" s="3" t="str">
        <x:v>3档×3档</x:v>
      </x:c>
      <x:c r="F104" s="3" t="n">
        <x:f>COUNTIFS('浓度矩阵'!$C$6:$C$355,1,'浓度矩阵'!$H$6:$H$355,"&gt;0",'浓度矩阵'!$W$6:$W$355,"&gt;0")</x:f>
        <x:v>3</x:v>
      </x:c>
      <x:c r="G104" s="3" t="n">
        <x:f>COUNTIFS('浓度矩阵'!$B$6:$B$355,"独立配制重复",'浓度矩阵'!$H$6:$H$355,"&gt;0",'浓度矩阵'!$W$6:$W$355,"&gt;0")</x:f>
        <x:v>0</x:v>
      </x:c>
      <x:c r="H104" s="3" t="n">
        <x:f>COUNTIFS('浓度矩阵'!$B$6:$B$355,"留出验证",'浓度矩阵'!$H$6:$H$355,"&gt;0",'浓度矩阵'!$W$6:$W$355,"&gt;0")</x:f>
        <x:v>1</x:v>
      </x:c>
      <x:c r="I104" s="3" t="n">
        <x:v>3</x:v>
      </x:c>
      <x:c r="J104" s="3" t="n">
        <x:v>3</x:v>
      </x:c>
      <x:c r="K104" s="3" t="n">
        <x:v>9</x:v>
      </x:c>
      <x:c r="L104" s="11" t="n">
        <x:f>J104/K104</x:f>
        <x:v>0.3333333333333333</x:v>
      </x:c>
    </x:row>
    <x:row r="105" ht="24" customHeight="1">
      <x:c r="A105" s="3" t="n">
        <x:v>32</x:v>
      </x:c>
      <x:c r="B105" s="3" t="n">
        <x:v>126</x:v>
      </x:c>
      <x:c r="C105" s="3" t="str">
        <x:v>异丁酸乙酯</x:v>
      </x:c>
      <x:c r="D105" s="3" t="str">
        <x:v>己酸</x:v>
      </x:c>
      <x:c r="E105" s="3" t="str">
        <x:v>3档×3档</x:v>
      </x:c>
      <x:c r="F105" s="3" t="n">
        <x:f>COUNTIFS('浓度矩阵'!$C$6:$C$355,1,'浓度矩阵'!$H$6:$H$355,"&gt;0",'浓度矩阵'!$X$6:$X$355,"&gt;0")</x:f>
        <x:v>3</x:v>
      </x:c>
      <x:c r="G105" s="3" t="n">
        <x:f>COUNTIFS('浓度矩阵'!$B$6:$B$355,"独立配制重复",'浓度矩阵'!$H$6:$H$355,"&gt;0",'浓度矩阵'!$X$6:$X$355,"&gt;0")</x:f>
        <x:v>0</x:v>
      </x:c>
      <x:c r="H105" s="3" t="n">
        <x:f>COUNTIFS('浓度矩阵'!$B$6:$B$355,"留出验证",'浓度矩阵'!$H$6:$H$355,"&gt;0",'浓度矩阵'!$X$6:$X$355,"&gt;0")</x:f>
        <x:v>0</x:v>
      </x:c>
      <x:c r="I105" s="3" t="n">
        <x:v>3</x:v>
      </x:c>
      <x:c r="J105" s="3" t="n">
        <x:v>3</x:v>
      </x:c>
      <x:c r="K105" s="3" t="n">
        <x:v>9</x:v>
      </x:c>
      <x:c r="L105" s="11" t="n">
        <x:f>J105/K105</x:f>
        <x:v>0.3333333333333333</x:v>
      </x:c>
    </x:row>
    <x:row r="106" ht="24" customHeight="1">
      <x:c r="A106" s="3" t="n">
        <x:v>32</x:v>
      </x:c>
      <x:c r="B106" s="3" t="n">
        <x:v>136</x:v>
      </x:c>
      <x:c r="C106" s="3" t="str">
        <x:v>异丁酸乙酯</x:v>
      </x:c>
      <x:c r="D106" s="3" t="str">
        <x:v>异戊酸/3-甲基丁酸</x:v>
      </x:c>
      <x:c r="E106" s="3" t="str">
        <x:v>3档×3档</x:v>
      </x:c>
      <x:c r="F106" s="3" t="n">
        <x:f>COUNTIFS('浓度矩阵'!$C$6:$C$355,1,'浓度矩阵'!$H$6:$H$355,"&gt;0",'浓度矩阵'!$Y$6:$Y$355,"&gt;0")</x:f>
        <x:v>3</x:v>
      </x:c>
      <x:c r="G106" s="3" t="n">
        <x:f>COUNTIFS('浓度矩阵'!$B$6:$B$355,"独立配制重复",'浓度矩阵'!$H$6:$H$355,"&gt;0",'浓度矩阵'!$Y$6:$Y$355,"&gt;0")</x:f>
        <x:v>0</x:v>
      </x:c>
      <x:c r="H106" s="3" t="n">
        <x:f>COUNTIFS('浓度矩阵'!$B$6:$B$355,"留出验证",'浓度矩阵'!$H$6:$H$355,"&gt;0",'浓度矩阵'!$Y$6:$Y$355,"&gt;0")</x:f>
        <x:v>0</x:v>
      </x:c>
      <x:c r="I106" s="3" t="n">
        <x:v>3</x:v>
      </x:c>
      <x:c r="J106" s="3" t="n">
        <x:v>3</x:v>
      </x:c>
      <x:c r="K106" s="3" t="n">
        <x:v>9</x:v>
      </x:c>
      <x:c r="L106" s="11" t="n">
        <x:f>J106/K106</x:f>
        <x:v>0.3333333333333333</x:v>
      </x:c>
    </x:row>
    <x:row r="107" ht="24" customHeight="1">
      <x:c r="A107" s="3" t="n">
        <x:v>32</x:v>
      </x:c>
      <x:c r="B107" s="3" t="n">
        <x:v>141</x:v>
      </x:c>
      <x:c r="C107" s="3" t="str">
        <x:v>异丁酸乙酯</x:v>
      </x:c>
      <x:c r="D107" s="3" t="str">
        <x:v>戊酸乙酯</x:v>
      </x:c>
      <x:c r="E107" s="3" t="str">
        <x:v>3档×3档</x:v>
      </x:c>
      <x:c r="F107" s="3" t="n">
        <x:f>COUNTIFS('浓度矩阵'!$C$6:$C$355,1,'浓度矩阵'!$H$6:$H$355,"&gt;0",'浓度矩阵'!$Z$6:$Z$355,"&gt;0")</x:f>
        <x:v>4</x:v>
      </x:c>
      <x:c r="G107" s="3" t="n">
        <x:f>COUNTIFS('浓度矩阵'!$B$6:$B$355,"独立配制重复",'浓度矩阵'!$H$6:$H$355,"&gt;0",'浓度矩阵'!$Z$6:$Z$355,"&gt;0")</x:f>
        <x:v>1</x:v>
      </x:c>
      <x:c r="H107" s="3" t="n">
        <x:f>COUNTIFS('浓度矩阵'!$B$6:$B$355,"留出验证",'浓度矩阵'!$H$6:$H$355,"&gt;0",'浓度矩阵'!$Z$6:$Z$355,"&gt;0")</x:f>
        <x:v>0</x:v>
      </x:c>
      <x:c r="I107" s="3" t="n">
        <x:v>4</x:v>
      </x:c>
      <x:c r="J107" s="3" t="n">
        <x:v>4</x:v>
      </x:c>
      <x:c r="K107" s="3" t="n">
        <x:v>9</x:v>
      </x:c>
      <x:c r="L107" s="11" t="n">
        <x:f>J107/K107</x:f>
        <x:v>0.4444444444444444</x:v>
      </x:c>
    </x:row>
    <x:row r="108" ht="24" customHeight="1">
      <x:c r="A108" s="3" t="n">
        <x:v>32</x:v>
      </x:c>
      <x:c r="B108" s="3" t="n">
        <x:v>152</x:v>
      </x:c>
      <x:c r="C108" s="3" t="str">
        <x:v>异丁酸乙酯</x:v>
      </x:c>
      <x:c r="D108" s="3" t="str">
        <x:v>异戊醛</x:v>
      </x:c>
      <x:c r="E108" s="3" t="str">
        <x:v>3档×3档</x:v>
      </x:c>
      <x:c r="F108" s="3" t="n">
        <x:f>COUNTIFS('浓度矩阵'!$C$6:$C$355,1,'浓度矩阵'!$H$6:$H$355,"&gt;0",'浓度矩阵'!$AA$6:$AA$355,"&gt;0")</x:f>
        <x:v>3</x:v>
      </x:c>
      <x:c r="G108" s="3" t="n">
        <x:f>COUNTIFS('浓度矩阵'!$B$6:$B$355,"独立配制重复",'浓度矩阵'!$H$6:$H$355,"&gt;0",'浓度矩阵'!$AA$6:$AA$355,"&gt;0")</x:f>
        <x:v>0</x:v>
      </x:c>
      <x:c r="H108" s="3" t="n">
        <x:f>COUNTIFS('浓度矩阵'!$B$6:$B$355,"留出验证",'浓度矩阵'!$H$6:$H$355,"&gt;0",'浓度矩阵'!$AA$6:$AA$355,"&gt;0")</x:f>
        <x:v>0</x:v>
      </x:c>
      <x:c r="I108" s="3" t="n">
        <x:v>3</x:v>
      </x:c>
      <x:c r="J108" s="3" t="n">
        <x:v>3</x:v>
      </x:c>
      <x:c r="K108" s="3" t="n">
        <x:v>9</x:v>
      </x:c>
      <x:c r="L108" s="11" t="n">
        <x:f>J108/K108</x:f>
        <x:v>0.3333333333333333</x:v>
      </x:c>
    </x:row>
    <x:row r="109" ht="24" customHeight="1">
      <x:c r="A109" s="3" t="n">
        <x:v>32</x:v>
      </x:c>
      <x:c r="B109" s="3" t="n">
        <x:v>165</x:v>
      </x:c>
      <x:c r="C109" s="3" t="str">
        <x:v>异丁酸乙酯</x:v>
      </x:c>
      <x:c r="D109" s="3" t="str">
        <x:v>己酸丁酯</x:v>
      </x:c>
      <x:c r="E109" s="3" t="str">
        <x:v>3档×2档</x:v>
      </x:c>
      <x:c r="F109" s="3" t="n">
        <x:f>COUNTIFS('浓度矩阵'!$C$6:$C$355,1,'浓度矩阵'!$H$6:$H$355,"&gt;0",'浓度矩阵'!$AB$6:$AB$355,"&gt;0")</x:f>
        <x:v>3</x:v>
      </x:c>
      <x:c r="G109" s="3" t="n">
        <x:f>COUNTIFS('浓度矩阵'!$B$6:$B$355,"独立配制重复",'浓度矩阵'!$H$6:$H$355,"&gt;0",'浓度矩阵'!$AB$6:$AB$355,"&gt;0")</x:f>
        <x:v>0</x:v>
      </x:c>
      <x:c r="H109" s="3" t="n">
        <x:f>COUNTIFS('浓度矩阵'!$B$6:$B$355,"留出验证",'浓度矩阵'!$H$6:$H$355,"&gt;0",'浓度矩阵'!$AB$6:$AB$355,"&gt;0")</x:f>
        <x:v>0</x:v>
      </x:c>
      <x:c r="I109" s="3" t="n">
        <x:v>3</x:v>
      </x:c>
      <x:c r="J109" s="3" t="n">
        <x:v>3</x:v>
      </x:c>
      <x:c r="K109" s="3" t="n">
        <x:v>6</x:v>
      </x:c>
      <x:c r="L109" s="11" t="n">
        <x:f>J109/K109</x:f>
        <x:v>0.5</x:v>
      </x:c>
    </x:row>
    <x:row r="110" ht="24" customHeight="1">
      <x:c r="A110" s="3" t="n">
        <x:v>32</x:v>
      </x:c>
      <x:c r="B110" s="3" t="n">
        <x:v>186</x:v>
      </x:c>
      <x:c r="C110" s="3" t="str">
        <x:v>异丁酸乙酯</x:v>
      </x:c>
      <x:c r="D110" s="3" t="str">
        <x:v>3-苯基丙酸乙酯</x:v>
      </x:c>
      <x:c r="E110" s="3" t="str">
        <x:v>3档×3档</x:v>
      </x:c>
      <x:c r="F110" s="3" t="n">
        <x:f>COUNTIFS('浓度矩阵'!$C$6:$C$355,1,'浓度矩阵'!$H$6:$H$355,"&gt;0",'浓度矩阵'!$AC$6:$AC$355,"&gt;0")</x:f>
        <x:v>3</x:v>
      </x:c>
      <x:c r="G110" s="3" t="n">
        <x:f>COUNTIFS('浓度矩阵'!$B$6:$B$355,"独立配制重复",'浓度矩阵'!$H$6:$H$355,"&gt;0",'浓度矩阵'!$AC$6:$AC$355,"&gt;0")</x:f>
        <x:v>0</x:v>
      </x:c>
      <x:c r="H110" s="3" t="n">
        <x:f>COUNTIFS('浓度矩阵'!$B$6:$B$355,"留出验证",'浓度矩阵'!$H$6:$H$355,"&gt;0",'浓度矩阵'!$AC$6:$AC$355,"&gt;0")</x:f>
        <x:v>0</x:v>
      </x:c>
      <x:c r="I110" s="3" t="n">
        <x:v>3</x:v>
      </x:c>
      <x:c r="J110" s="3" t="n">
        <x:v>3</x:v>
      </x:c>
      <x:c r="K110" s="3" t="n">
        <x:v>9</x:v>
      </x:c>
      <x:c r="L110" s="11" t="n">
        <x:f>J110/K110</x:f>
        <x:v>0.3333333333333333</x:v>
      </x:c>
    </x:row>
    <x:row r="111" ht="24" customHeight="1">
      <x:c r="A111" s="3" t="n">
        <x:v>32</x:v>
      </x:c>
      <x:c r="B111" s="3" t="n">
        <x:v>207</x:v>
      </x:c>
      <x:c r="C111" s="3" t="str">
        <x:v>异丁酸乙酯</x:v>
      </x:c>
      <x:c r="D111" s="3" t="str">
        <x:v>1-辛烯-3-醇</x:v>
      </x:c>
      <x:c r="E111" s="3" t="str">
        <x:v>3档×3档</x:v>
      </x:c>
      <x:c r="F111" s="3" t="n">
        <x:f>COUNTIFS('浓度矩阵'!$C$6:$C$355,1,'浓度矩阵'!$H$6:$H$355,"&gt;0",'浓度矩阵'!$AD$6:$AD$355,"&gt;0")</x:f>
        <x:v>3</x:v>
      </x:c>
      <x:c r="G111" s="3" t="n">
        <x:f>COUNTIFS('浓度矩阵'!$B$6:$B$355,"独立配制重复",'浓度矩阵'!$H$6:$H$355,"&gt;0",'浓度矩阵'!$AD$6:$AD$355,"&gt;0")</x:f>
        <x:v>0</x:v>
      </x:c>
      <x:c r="H111" s="3" t="n">
        <x:f>COUNTIFS('浓度矩阵'!$B$6:$B$355,"留出验证",'浓度矩阵'!$H$6:$H$355,"&gt;0",'浓度矩阵'!$AD$6:$AD$355,"&gt;0")</x:f>
        <x:v>0</x:v>
      </x:c>
      <x:c r="I111" s="3" t="n">
        <x:v>3</x:v>
      </x:c>
      <x:c r="J111" s="3" t="n">
        <x:v>3</x:v>
      </x:c>
      <x:c r="K111" s="3" t="n">
        <x:v>9</x:v>
      </x:c>
      <x:c r="L111" s="11" t="n">
        <x:f>J111/K111</x:f>
        <x:v>0.3333333333333333</x:v>
      </x:c>
    </x:row>
    <x:row r="112" ht="24" customHeight="1">
      <x:c r="A112" s="3" t="n">
        <x:v>32</x:v>
      </x:c>
      <x:c r="B112" s="3" t="n">
        <x:v>209</x:v>
      </x:c>
      <x:c r="C112" s="3" t="str">
        <x:v>异丁酸乙酯</x:v>
      </x:c>
      <x:c r="D112" s="3" t="str">
        <x:v>二甲基三硫醚</x:v>
      </x:c>
      <x:c r="E112" s="3" t="str">
        <x:v>3档×3档</x:v>
      </x:c>
      <x:c r="F112" s="3" t="n">
        <x:f>COUNTIFS('浓度矩阵'!$C$6:$C$355,1,'浓度矩阵'!$H$6:$H$355,"&gt;0",'浓度矩阵'!$AE$6:$AE$355,"&gt;0")</x:f>
        <x:v>3</x:v>
      </x:c>
      <x:c r="G112" s="3" t="n">
        <x:f>COUNTIFS('浓度矩阵'!$B$6:$B$355,"独立配制重复",'浓度矩阵'!$H$6:$H$355,"&gt;0",'浓度矩阵'!$AE$6:$AE$355,"&gt;0")</x:f>
        <x:v>0</x:v>
      </x:c>
      <x:c r="H112" s="3" t="n">
        <x:f>COUNTIFS('浓度矩阵'!$B$6:$B$355,"留出验证",'浓度矩阵'!$H$6:$H$355,"&gt;0",'浓度矩阵'!$AE$6:$AE$355,"&gt;0")</x:f>
        <x:v>0</x:v>
      </x:c>
      <x:c r="I112" s="3" t="n">
        <x:v>3</x:v>
      </x:c>
      <x:c r="J112" s="3" t="n">
        <x:v>3</x:v>
      </x:c>
      <x:c r="K112" s="3" t="n">
        <x:v>9</x:v>
      </x:c>
      <x:c r="L112" s="11" t="n">
        <x:f>J112/K112</x:f>
        <x:v>0.3333333333333333</x:v>
      </x:c>
    </x:row>
    <x:row r="113" ht="24" customHeight="1">
      <x:c r="A113" s="3" t="n">
        <x:v>32</x:v>
      </x:c>
      <x:c r="B113" s="3" t="n">
        <x:v>227</x:v>
      </x:c>
      <x:c r="C113" s="3" t="str">
        <x:v>异丁酸乙酯</x:v>
      </x:c>
      <x:c r="D113" s="3" t="str">
        <x:v>己酸己酯</x:v>
      </x:c>
      <x:c r="E113" s="3" t="str">
        <x:v>3档×3档</x:v>
      </x:c>
      <x:c r="F113" s="3" t="n">
        <x:f>COUNTIFS('浓度矩阵'!$C$6:$C$355,1,'浓度矩阵'!$H$6:$H$355,"&gt;0",'浓度矩阵'!$AF$6:$AF$355,"&gt;0")</x:f>
        <x:v>3</x:v>
      </x:c>
      <x:c r="G113" s="3" t="n">
        <x:f>COUNTIFS('浓度矩阵'!$B$6:$B$355,"独立配制重复",'浓度矩阵'!$H$6:$H$355,"&gt;0",'浓度矩阵'!$AF$6:$AF$355,"&gt;0")</x:f>
        <x:v>0</x:v>
      </x:c>
      <x:c r="H113" s="3" t="n">
        <x:f>COUNTIFS('浓度矩阵'!$B$6:$B$355,"留出验证",'浓度矩阵'!$H$6:$H$355,"&gt;0",'浓度矩阵'!$AF$6:$AF$355,"&gt;0")</x:f>
        <x:v>0</x:v>
      </x:c>
      <x:c r="I113" s="3" t="n">
        <x:v>3</x:v>
      </x:c>
      <x:c r="J113" s="3" t="n">
        <x:v>3</x:v>
      </x:c>
      <x:c r="K113" s="3" t="n">
        <x:v>9</x:v>
      </x:c>
      <x:c r="L113" s="11" t="n">
        <x:f>J113/K113</x:f>
        <x:v>0.3333333333333333</x:v>
      </x:c>
    </x:row>
    <x:row r="114" ht="24" customHeight="1">
      <x:c r="A114" s="3" t="n">
        <x:v>32</x:v>
      </x:c>
      <x:c r="B114" s="3" t="n">
        <x:v>232</x:v>
      </x:c>
      <x:c r="C114" s="3" t="str">
        <x:v>异丁酸乙酯</x:v>
      </x:c>
      <x:c r="D114" s="3" t="str">
        <x:v>2-甲基丁酸乙酯</x:v>
      </x:c>
      <x:c r="E114" s="3" t="str">
        <x:v>3档×3档</x:v>
      </x:c>
      <x:c r="F114" s="3" t="n">
        <x:f>COUNTIFS('浓度矩阵'!$C$6:$C$355,1,'浓度矩阵'!$H$6:$H$355,"&gt;0",'浓度矩阵'!$AG$6:$AG$355,"&gt;0")</x:f>
        <x:v>3</x:v>
      </x:c>
      <x:c r="G114" s="3" t="n">
        <x:f>COUNTIFS('浓度矩阵'!$B$6:$B$355,"独立配制重复",'浓度矩阵'!$H$6:$H$355,"&gt;0",'浓度矩阵'!$AG$6:$AG$355,"&gt;0")</x:f>
        <x:v>0</x:v>
      </x:c>
      <x:c r="H114" s="3" t="n">
        <x:f>COUNTIFS('浓度矩阵'!$B$6:$B$355,"留出验证",'浓度矩阵'!$H$6:$H$355,"&gt;0",'浓度矩阵'!$AG$6:$AG$355,"&gt;0")</x:f>
        <x:v>0</x:v>
      </x:c>
      <x:c r="I114" s="3" t="n">
        <x:v>3</x:v>
      </x:c>
      <x:c r="J114" s="3" t="n">
        <x:v>3</x:v>
      </x:c>
      <x:c r="K114" s="3" t="n">
        <x:v>9</x:v>
      </x:c>
      <x:c r="L114" s="11" t="n">
        <x:f>J114/K114</x:f>
        <x:v>0.3333333333333333</x:v>
      </x:c>
    </x:row>
    <x:row r="115" ht="24" customHeight="1">
      <x:c r="A115" s="3" t="n">
        <x:v>32</x:v>
      </x:c>
      <x:c r="B115" s="3" t="n">
        <x:v>255</x:v>
      </x:c>
      <x:c r="C115" s="3" t="str">
        <x:v>异丁酸乙酯</x:v>
      </x:c>
      <x:c r="D115" s="3" t="str">
        <x:v>β-大马酮</x:v>
      </x:c>
      <x:c r="E115" s="3" t="str">
        <x:v>3档×3档</x:v>
      </x:c>
      <x:c r="F115" s="3" t="n">
        <x:f>COUNTIFS('浓度矩阵'!$C$6:$C$355,1,'浓度矩阵'!$H$6:$H$355,"&gt;0",'浓度矩阵'!$AH$6:$AH$355,"&gt;0")</x:f>
        <x:v>3</x:v>
      </x:c>
      <x:c r="G115" s="3" t="n">
        <x:f>COUNTIFS('浓度矩阵'!$B$6:$B$355,"独立配制重复",'浓度矩阵'!$H$6:$H$355,"&gt;0",'浓度矩阵'!$AH$6:$AH$355,"&gt;0")</x:f>
        <x:v>0</x:v>
      </x:c>
      <x:c r="H115" s="3" t="n">
        <x:f>COUNTIFS('浓度矩阵'!$B$6:$B$355,"留出验证",'浓度矩阵'!$H$6:$H$355,"&gt;0",'浓度矩阵'!$AH$6:$AH$355,"&gt;0")</x:f>
        <x:v>0</x:v>
      </x:c>
      <x:c r="I115" s="3" t="n">
        <x:v>3</x:v>
      </x:c>
      <x:c r="J115" s="3" t="n">
        <x:v>3</x:v>
      </x:c>
      <x:c r="K115" s="3" t="n">
        <x:v>9</x:v>
      </x:c>
      <x:c r="L115" s="11" t="n">
        <x:f>J115/K115</x:f>
        <x:v>0.3333333333333333</x:v>
      </x:c>
    </x:row>
    <x:row r="116" ht="24" customHeight="1">
      <x:c r="A116" s="3" t="n">
        <x:v>40</x:v>
      </x:c>
      <x:c r="B116" s="3" t="n">
        <x:v>52</x:v>
      </x:c>
      <x:c r="C116" s="3" t="str">
        <x:v>苯乙酸乙酯</x:v>
      </x:c>
      <x:c r="D116" s="3" t="str">
        <x:v>丁酸乙酯</x:v>
      </x:c>
      <x:c r="E116" s="3" t="str">
        <x:v>3档×3档</x:v>
      </x:c>
      <x:c r="F116" s="3" t="n">
        <x:f>COUNTIFS('浓度矩阵'!$C$6:$C$355,1,'浓度矩阵'!$I$6:$I$355,"&gt;0",'浓度矩阵'!$J$6:$J$355,"&gt;0")</x:f>
        <x:v>3</x:v>
      </x:c>
      <x:c r="G116" s="3" t="n">
        <x:f>COUNTIFS('浓度矩阵'!$B$6:$B$355,"独立配制重复",'浓度矩阵'!$I$6:$I$355,"&gt;0",'浓度矩阵'!$J$6:$J$355,"&gt;0")</x:f>
        <x:v>1</x:v>
      </x:c>
      <x:c r="H116" s="3" t="n">
        <x:f>COUNTIFS('浓度矩阵'!$B$6:$B$355,"留出验证",'浓度矩阵'!$I$6:$I$355,"&gt;0",'浓度矩阵'!$J$6:$J$355,"&gt;0")</x:f>
        <x:v>0</x:v>
      </x:c>
      <x:c r="I116" s="3" t="n">
        <x:v>3</x:v>
      </x:c>
      <x:c r="J116" s="3" t="n">
        <x:v>3</x:v>
      </x:c>
      <x:c r="K116" s="3" t="n">
        <x:v>9</x:v>
      </x:c>
      <x:c r="L116" s="11" t="n">
        <x:f>J116/K116</x:f>
        <x:v>0.3333333333333333</x:v>
      </x:c>
    </x:row>
    <x:row r="117" ht="24" customHeight="1">
      <x:c r="A117" s="3" t="n">
        <x:v>40</x:v>
      </x:c>
      <x:c r="B117" s="3" t="n">
        <x:v>53</x:v>
      </x:c>
      <x:c r="C117" s="3" t="str">
        <x:v>苯乙酸乙酯</x:v>
      </x:c>
      <x:c r="D117" s="3" t="str">
        <x:v>乙醛二乙缩醛</x:v>
      </x:c>
      <x:c r="E117" s="3" t="str">
        <x:v>3档×3档</x:v>
      </x:c>
      <x:c r="F117" s="3" t="n">
        <x:f>COUNTIFS('浓度矩阵'!$C$6:$C$355,1,'浓度矩阵'!$I$6:$I$355,"&gt;0",'浓度矩阵'!$K$6:$K$355,"&gt;0")</x:f>
        <x:v>3</x:v>
      </x:c>
      <x:c r="G117" s="3" t="n">
        <x:f>COUNTIFS('浓度矩阵'!$B$6:$B$355,"独立配制重复",'浓度矩阵'!$I$6:$I$355,"&gt;0",'浓度矩阵'!$K$6:$K$355,"&gt;0")</x:f>
        <x:v>0</x:v>
      </x:c>
      <x:c r="H117" s="3" t="n">
        <x:f>COUNTIFS('浓度矩阵'!$B$6:$B$355,"留出验证",'浓度矩阵'!$I$6:$I$355,"&gt;0",'浓度矩阵'!$K$6:$K$355,"&gt;0")</x:f>
        <x:v>0</x:v>
      </x:c>
      <x:c r="I117" s="3" t="n">
        <x:v>3</x:v>
      </x:c>
      <x:c r="J117" s="3" t="n">
        <x:v>3</x:v>
      </x:c>
      <x:c r="K117" s="3" t="n">
        <x:v>9</x:v>
      </x:c>
      <x:c r="L117" s="11" t="n">
        <x:f>J117/K117</x:f>
        <x:v>0.3333333333333333</x:v>
      </x:c>
    </x:row>
    <x:row r="118" ht="24" customHeight="1">
      <x:c r="A118" s="3" t="n">
        <x:v>40</x:v>
      </x:c>
      <x:c r="B118" s="3" t="n">
        <x:v>56</x:v>
      </x:c>
      <x:c r="C118" s="3" t="str">
        <x:v>苯乙酸乙酯</x:v>
      </x:c>
      <x:c r="D118" s="3" t="str">
        <x:v>丁酸异戊酯</x:v>
      </x:c>
      <x:c r="E118" s="3" t="str">
        <x:v>3档×2档</x:v>
      </x:c>
      <x:c r="F118" s="3" t="n">
        <x:f>COUNTIFS('浓度矩阵'!$C$6:$C$355,1,'浓度矩阵'!$I$6:$I$355,"&gt;0",'浓度矩阵'!$L$6:$L$355,"&gt;0")</x:f>
        <x:v>3</x:v>
      </x:c>
      <x:c r="G118" s="3" t="n">
        <x:f>COUNTIFS('浓度矩阵'!$B$6:$B$355,"独立配制重复",'浓度矩阵'!$I$6:$I$355,"&gt;0",'浓度矩阵'!$L$6:$L$355,"&gt;0")</x:f>
        <x:v>0</x:v>
      </x:c>
      <x:c r="H118" s="3" t="n">
        <x:f>COUNTIFS('浓度矩阵'!$B$6:$B$355,"留出验证",'浓度矩阵'!$I$6:$I$355,"&gt;0",'浓度矩阵'!$L$6:$L$355,"&gt;0")</x:f>
        <x:v>0</x:v>
      </x:c>
      <x:c r="I118" s="3" t="n">
        <x:v>3</x:v>
      </x:c>
      <x:c r="J118" s="3" t="n">
        <x:v>3</x:v>
      </x:c>
      <x:c r="K118" s="3" t="n">
        <x:v>6</x:v>
      </x:c>
      <x:c r="L118" s="11" t="n">
        <x:f>J118/K118</x:f>
        <x:v>0.5</x:v>
      </x:c>
    </x:row>
    <x:row r="119" ht="24" customHeight="1">
      <x:c r="A119" s="3" t="n">
        <x:v>40</x:v>
      </x:c>
      <x:c r="B119" s="3" t="n">
        <x:v>58</x:v>
      </x:c>
      <x:c r="C119" s="3" t="str">
        <x:v>苯乙酸乙酯</x:v>
      </x:c>
      <x:c r="D119" s="3" t="str">
        <x:v>辛酸乙酯</x:v>
      </x:c>
      <x:c r="E119" s="3" t="str">
        <x:v>3档×3档</x:v>
      </x:c>
      <x:c r="F119" s="3" t="n">
        <x:f>COUNTIFS('浓度矩阵'!$C$6:$C$355,1,'浓度矩阵'!$I$6:$I$355,"&gt;0",'浓度矩阵'!$M$6:$M$355,"&gt;0")</x:f>
        <x:v>4</x:v>
      </x:c>
      <x:c r="G119" s="3" t="n">
        <x:f>COUNTIFS('浓度矩阵'!$B$6:$B$355,"独立配制重复",'浓度矩阵'!$I$6:$I$355,"&gt;0",'浓度矩阵'!$M$6:$M$355,"&gt;0")</x:f>
        <x:v>1</x:v>
      </x:c>
      <x:c r="H119" s="3" t="n">
        <x:f>COUNTIFS('浓度矩阵'!$B$6:$B$355,"留出验证",'浓度矩阵'!$I$6:$I$355,"&gt;0",'浓度矩阵'!$M$6:$M$355,"&gt;0")</x:f>
        <x:v>0</x:v>
      </x:c>
      <x:c r="I119" s="3" t="n">
        <x:v>4</x:v>
      </x:c>
      <x:c r="J119" s="3" t="n">
        <x:v>4</x:v>
      </x:c>
      <x:c r="K119" s="3" t="n">
        <x:v>9</x:v>
      </x:c>
      <x:c r="L119" s="11" t="n">
        <x:f>J119/K119</x:f>
        <x:v>0.4444444444444444</x:v>
      </x:c>
    </x:row>
    <x:row r="120" ht="24" customHeight="1">
      <x:c r="A120" s="3" t="n">
        <x:v>40</x:v>
      </x:c>
      <x:c r="B120" s="3" t="n">
        <x:v>61</x:v>
      </x:c>
      <x:c r="C120" s="3" t="str">
        <x:v>苯乙酸乙酯</x:v>
      </x:c>
      <x:c r="D120" s="3" t="str">
        <x:v>对甲酚</x:v>
      </x:c>
      <x:c r="E120" s="3" t="str">
        <x:v>3档×3档</x:v>
      </x:c>
      <x:c r="F120" s="3" t="n">
        <x:f>COUNTIFS('浓度矩阵'!$C$6:$C$355,1,'浓度矩阵'!$I$6:$I$355,"&gt;0",'浓度矩阵'!$N$6:$N$355,"&gt;0")</x:f>
        <x:v>3</x:v>
      </x:c>
      <x:c r="G120" s="3" t="n">
        <x:f>COUNTIFS('浓度矩阵'!$B$6:$B$355,"独立配制重复",'浓度矩阵'!$I$6:$I$355,"&gt;0",'浓度矩阵'!$N$6:$N$355,"&gt;0")</x:f>
        <x:v>0</x:v>
      </x:c>
      <x:c r="H120" s="3" t="n">
        <x:f>COUNTIFS('浓度矩阵'!$B$6:$B$355,"留出验证",'浓度矩阵'!$I$6:$I$355,"&gt;0",'浓度矩阵'!$N$6:$N$355,"&gt;0")</x:f>
        <x:v>0</x:v>
      </x:c>
      <x:c r="I120" s="3" t="n">
        <x:v>3</x:v>
      </x:c>
      <x:c r="J120" s="3" t="n">
        <x:v>3</x:v>
      </x:c>
      <x:c r="K120" s="3" t="n">
        <x:v>9</x:v>
      </x:c>
      <x:c r="L120" s="11" t="n">
        <x:f>J120/K120</x:f>
        <x:v>0.3333333333333333</x:v>
      </x:c>
    </x:row>
    <x:row r="121" ht="24" customHeight="1">
      <x:c r="A121" s="3" t="n">
        <x:v>40</x:v>
      </x:c>
      <x:c r="B121" s="3" t="n">
        <x:v>69</x:v>
      </x:c>
      <x:c r="C121" s="3" t="str">
        <x:v>苯乙酸乙酯</x:v>
      </x:c>
      <x:c r="D121" s="3" t="str">
        <x:v>异戊酸乙酯（3-甲基丁酸乙酯）</x:v>
      </x:c>
      <x:c r="E121" s="3" t="str">
        <x:v>3档×3档</x:v>
      </x:c>
      <x:c r="F121" s="3" t="n">
        <x:f>COUNTIFS('浓度矩阵'!$C$6:$C$355,1,'浓度矩阵'!$I$6:$I$355,"&gt;0",'浓度矩阵'!$O$6:$O$355,"&gt;0")</x:f>
        <x:v>3</x:v>
      </x:c>
      <x:c r="G121" s="3" t="n">
        <x:f>COUNTIFS('浓度矩阵'!$B$6:$B$355,"独立配制重复",'浓度矩阵'!$I$6:$I$355,"&gt;0",'浓度矩阵'!$O$6:$O$355,"&gt;0")</x:f>
        <x:v>0</x:v>
      </x:c>
      <x:c r="H121" s="3" t="n">
        <x:f>COUNTIFS('浓度矩阵'!$B$6:$B$355,"留出验证",'浓度矩阵'!$I$6:$I$355,"&gt;0",'浓度矩阵'!$O$6:$O$355,"&gt;0")</x:f>
        <x:v>0</x:v>
      </x:c>
      <x:c r="I121" s="3" t="n">
        <x:v>3</x:v>
      </x:c>
      <x:c r="J121" s="3" t="n">
        <x:v>3</x:v>
      </x:c>
      <x:c r="K121" s="3" t="n">
        <x:v>9</x:v>
      </x:c>
      <x:c r="L121" s="11" t="n">
        <x:f>J121/K121</x:f>
        <x:v>0.3333333333333333</x:v>
      </x:c>
    </x:row>
    <x:row r="122" ht="24" customHeight="1">
      <x:c r="A122" s="3" t="n">
        <x:v>40</x:v>
      </x:c>
      <x:c r="B122" s="3" t="n">
        <x:v>75</x:v>
      </x:c>
      <x:c r="C122" s="3" t="str">
        <x:v>苯乙酸乙酯</x:v>
      </x:c>
      <x:c r="D122" s="3" t="str">
        <x:v>戊酸</x:v>
      </x:c>
      <x:c r="E122" s="3" t="str">
        <x:v>3档×3档</x:v>
      </x:c>
      <x:c r="F122" s="3" t="n">
        <x:f>COUNTIFS('浓度矩阵'!$C$6:$C$355,1,'浓度矩阵'!$I$6:$I$355,"&gt;0",'浓度矩阵'!$P$6:$P$355,"&gt;0")</x:f>
        <x:v>3</x:v>
      </x:c>
      <x:c r="G122" s="3" t="n">
        <x:f>COUNTIFS('浓度矩阵'!$B$6:$B$355,"独立配制重复",'浓度矩阵'!$I$6:$I$355,"&gt;0",'浓度矩阵'!$P$6:$P$355,"&gt;0")</x:f>
        <x:v>0</x:v>
      </x:c>
      <x:c r="H122" s="3" t="n">
        <x:f>COUNTIFS('浓度矩阵'!$B$6:$B$355,"留出验证",'浓度矩阵'!$I$6:$I$355,"&gt;0",'浓度矩阵'!$P$6:$P$355,"&gt;0")</x:f>
        <x:v>0</x:v>
      </x:c>
      <x:c r="I122" s="3" t="n">
        <x:v>3</x:v>
      </x:c>
      <x:c r="J122" s="3" t="n">
        <x:v>3</x:v>
      </x:c>
      <x:c r="K122" s="3" t="n">
        <x:v>9</x:v>
      </x:c>
      <x:c r="L122" s="11" t="n">
        <x:f>J122/K122</x:f>
        <x:v>0.3333333333333333</x:v>
      </x:c>
    </x:row>
    <x:row r="123" ht="24" customHeight="1">
      <x:c r="A123" s="3" t="n">
        <x:v>40</x:v>
      </x:c>
      <x:c r="B123" s="3" t="n">
        <x:v>79</x:v>
      </x:c>
      <x:c r="C123" s="3" t="str">
        <x:v>苯乙酸乙酯</x:v>
      </x:c>
      <x:c r="D123" s="3" t="str">
        <x:v>癸酸乙酯</x:v>
      </x:c>
      <x:c r="E123" s="3" t="str">
        <x:v>3档×2档</x:v>
      </x:c>
      <x:c r="F123" s="3" t="n">
        <x:f>COUNTIFS('浓度矩阵'!$C$6:$C$355,1,'浓度矩阵'!$I$6:$I$355,"&gt;0",'浓度矩阵'!$Q$6:$Q$355,"&gt;0")</x:f>
        <x:v>4</x:v>
      </x:c>
      <x:c r="G123" s="3" t="n">
        <x:f>COUNTIFS('浓度矩阵'!$B$6:$B$355,"独立配制重复",'浓度矩阵'!$I$6:$I$355,"&gt;0",'浓度矩阵'!$Q$6:$Q$355,"&gt;0")</x:f>
        <x:v>0</x:v>
      </x:c>
      <x:c r="H123" s="3" t="n">
        <x:f>COUNTIFS('浓度矩阵'!$B$6:$B$355,"留出验证",'浓度矩阵'!$I$6:$I$355,"&gt;0",'浓度矩阵'!$Q$6:$Q$355,"&gt;0")</x:f>
        <x:v>0</x:v>
      </x:c>
      <x:c r="I123" s="3" t="n">
        <x:v>4</x:v>
      </x:c>
      <x:c r="J123" s="3" t="n">
        <x:v>4</x:v>
      </x:c>
      <x:c r="K123" s="3" t="n">
        <x:v>6</x:v>
      </x:c>
      <x:c r="L123" s="11" t="n">
        <x:f>J123/K123</x:f>
        <x:v>0.6666666666666666</x:v>
      </x:c>
    </x:row>
    <x:row r="124" ht="24" customHeight="1">
      <x:c r="A124" s="3" t="n">
        <x:v>40</x:v>
      </x:c>
      <x:c r="B124" s="3" t="n">
        <x:v>90</x:v>
      </x:c>
      <x:c r="C124" s="3" t="str">
        <x:v>苯乙酸乙酯</x:v>
      </x:c>
      <x:c r="D124" s="3" t="str">
        <x:v>1-辛醇</x:v>
      </x:c>
      <x:c r="E124" s="3" t="str">
        <x:v>3档×2档</x:v>
      </x:c>
      <x:c r="F124" s="3" t="n">
        <x:f>COUNTIFS('浓度矩阵'!$C$6:$C$355,1,'浓度矩阵'!$I$6:$I$355,"&gt;0",'浓度矩阵'!$R$6:$R$355,"&gt;0")</x:f>
        <x:v>3</x:v>
      </x:c>
      <x:c r="G124" s="3" t="n">
        <x:f>COUNTIFS('浓度矩阵'!$B$6:$B$355,"独立配制重复",'浓度矩阵'!$I$6:$I$355,"&gt;0",'浓度矩阵'!$R$6:$R$355,"&gt;0")</x:f>
        <x:v>0</x:v>
      </x:c>
      <x:c r="H124" s="3" t="n">
        <x:f>COUNTIFS('浓度矩阵'!$B$6:$B$355,"留出验证",'浓度矩阵'!$I$6:$I$355,"&gt;0",'浓度矩阵'!$R$6:$R$355,"&gt;0")</x:f>
        <x:v>1</x:v>
      </x:c>
      <x:c r="I124" s="3" t="n">
        <x:v>3</x:v>
      </x:c>
      <x:c r="J124" s="3" t="n">
        <x:v>3</x:v>
      </x:c>
      <x:c r="K124" s="3" t="n">
        <x:v>6</x:v>
      </x:c>
      <x:c r="L124" s="11" t="n">
        <x:f>J124/K124</x:f>
        <x:v>0.5</x:v>
      </x:c>
    </x:row>
    <x:row r="125" ht="24" customHeight="1">
      <x:c r="A125" s="3" t="n">
        <x:v>40</x:v>
      </x:c>
      <x:c r="B125" s="3" t="n">
        <x:v>105</x:v>
      </x:c>
      <x:c r="C125" s="3" t="str">
        <x:v>苯乙酸乙酯</x:v>
      </x:c>
      <x:c r="D125" s="3" t="str">
        <x:v>苯乙醛</x:v>
      </x:c>
      <x:c r="E125" s="3" t="str">
        <x:v>3档×3档</x:v>
      </x:c>
      <x:c r="F125" s="3" t="n">
        <x:f>COUNTIFS('浓度矩阵'!$C$6:$C$355,1,'浓度矩阵'!$I$6:$I$355,"&gt;0",'浓度矩阵'!$S$6:$S$355,"&gt;0")</x:f>
        <x:v>3</x:v>
      </x:c>
      <x:c r="G125" s="3" t="n">
        <x:f>COUNTIFS('浓度矩阵'!$B$6:$B$355,"独立配制重复",'浓度矩阵'!$I$6:$I$355,"&gt;0",'浓度矩阵'!$S$6:$S$355,"&gt;0")</x:f>
        <x:v>0</x:v>
      </x:c>
      <x:c r="H125" s="3" t="n">
        <x:f>COUNTIFS('浓度矩阵'!$B$6:$B$355,"留出验证",'浓度矩阵'!$I$6:$I$355,"&gt;0",'浓度矩阵'!$S$6:$S$355,"&gt;0")</x:f>
        <x:v>0</x:v>
      </x:c>
      <x:c r="I125" s="3" t="n">
        <x:v>3</x:v>
      </x:c>
      <x:c r="J125" s="3" t="n">
        <x:v>3</x:v>
      </x:c>
      <x:c r="K125" s="3" t="n">
        <x:v>9</x:v>
      </x:c>
      <x:c r="L125" s="11" t="n">
        <x:f>J125/K125</x:f>
        <x:v>0.3333333333333333</x:v>
      </x:c>
    </x:row>
    <x:row r="126" ht="24" customHeight="1">
      <x:c r="A126" s="3" t="n">
        <x:v>40</x:v>
      </x:c>
      <x:c r="B126" s="3" t="n">
        <x:v>111</x:v>
      </x:c>
      <x:c r="C126" s="3" t="str">
        <x:v>苯乙酸乙酯</x:v>
      </x:c>
      <x:c r="D126" s="3" t="str">
        <x:v>己酸乙酯</x:v>
      </x:c>
      <x:c r="E126" s="3" t="str">
        <x:v>3档×3档</x:v>
      </x:c>
      <x:c r="F126" s="3" t="n">
        <x:f>COUNTIFS('浓度矩阵'!$C$6:$C$355,1,'浓度矩阵'!$I$6:$I$355,"&gt;0",'浓度矩阵'!$T$6:$T$355,"&gt;0")</x:f>
        <x:v>3</x:v>
      </x:c>
      <x:c r="G126" s="3" t="n">
        <x:f>COUNTIFS('浓度矩阵'!$B$6:$B$355,"独立配制重复",'浓度矩阵'!$I$6:$I$355,"&gt;0",'浓度矩阵'!$T$6:$T$355,"&gt;0")</x:f>
        <x:v>0</x:v>
      </x:c>
      <x:c r="H126" s="3" t="n">
        <x:f>COUNTIFS('浓度矩阵'!$B$6:$B$355,"留出验证",'浓度矩阵'!$I$6:$I$355,"&gt;0",'浓度矩阵'!$T$6:$T$355,"&gt;0")</x:f>
        <x:v>0</x:v>
      </x:c>
      <x:c r="I126" s="3" t="n">
        <x:v>3</x:v>
      </x:c>
      <x:c r="J126" s="3" t="n">
        <x:v>3</x:v>
      </x:c>
      <x:c r="K126" s="3" t="n">
        <x:v>9</x:v>
      </x:c>
      <x:c r="L126" s="11" t="n">
        <x:f>J126/K126</x:f>
        <x:v>0.3333333333333333</x:v>
      </x:c>
    </x:row>
    <x:row r="127" ht="24" customHeight="1">
      <x:c r="A127" s="3" t="n">
        <x:v>40</x:v>
      </x:c>
      <x:c r="B127" s="3" t="n">
        <x:v>114</x:v>
      </x:c>
      <x:c r="C127" s="3" t="str">
        <x:v>苯乙酸乙酯</x:v>
      </x:c>
      <x:c r="D127" s="3" t="str">
        <x:v>乙酸丁酯</x:v>
      </x:c>
      <x:c r="E127" s="3" t="str">
        <x:v>3档×2档</x:v>
      </x:c>
      <x:c r="F127" s="3" t="n">
        <x:f>COUNTIFS('浓度矩阵'!$C$6:$C$355,1,'浓度矩阵'!$I$6:$I$355,"&gt;0",'浓度矩阵'!$U$6:$U$355,"&gt;0")</x:f>
        <x:v>3</x:v>
      </x:c>
      <x:c r="G127" s="3" t="n">
        <x:f>COUNTIFS('浓度矩阵'!$B$6:$B$355,"独立配制重复",'浓度矩阵'!$I$6:$I$355,"&gt;0",'浓度矩阵'!$U$6:$U$355,"&gt;0")</x:f>
        <x:v>0</x:v>
      </x:c>
      <x:c r="H127" s="3" t="n">
        <x:f>COUNTIFS('浓度矩阵'!$B$6:$B$355,"留出验证",'浓度矩阵'!$I$6:$I$355,"&gt;0",'浓度矩阵'!$U$6:$U$355,"&gt;0")</x:f>
        <x:v>0</x:v>
      </x:c>
      <x:c r="I127" s="3" t="n">
        <x:v>3</x:v>
      </x:c>
      <x:c r="J127" s="3" t="n">
        <x:v>3</x:v>
      </x:c>
      <x:c r="K127" s="3" t="n">
        <x:v>6</x:v>
      </x:c>
      <x:c r="L127" s="11" t="n">
        <x:f>J127/K127</x:f>
        <x:v>0.5</x:v>
      </x:c>
    </x:row>
    <x:row r="128" ht="24" customHeight="1">
      <x:c r="A128" s="3" t="n">
        <x:v>40</x:v>
      </x:c>
      <x:c r="B128" s="3" t="n">
        <x:v>115</x:v>
      </x:c>
      <x:c r="C128" s="3" t="str">
        <x:v>苯乙酸乙酯</x:v>
      </x:c>
      <x:c r="D128" s="3" t="str">
        <x:v>乙酸异戊酯</x:v>
      </x:c>
      <x:c r="E128" s="3" t="str">
        <x:v>3档×3档</x:v>
      </x:c>
      <x:c r="F128" s="3" t="n">
        <x:f>COUNTIFS('浓度矩阵'!$C$6:$C$355,1,'浓度矩阵'!$I$6:$I$355,"&gt;0",'浓度矩阵'!$V$6:$V$355,"&gt;0")</x:f>
        <x:v>3</x:v>
      </x:c>
      <x:c r="G128" s="3" t="n">
        <x:f>COUNTIFS('浓度矩阵'!$B$6:$B$355,"独立配制重复",'浓度矩阵'!$I$6:$I$355,"&gt;0",'浓度矩阵'!$V$6:$V$355,"&gt;0")</x:f>
        <x:v>0</x:v>
      </x:c>
      <x:c r="H128" s="3" t="n">
        <x:f>COUNTIFS('浓度矩阵'!$B$6:$B$355,"留出验证",'浓度矩阵'!$I$6:$I$355,"&gt;0",'浓度矩阵'!$V$6:$V$355,"&gt;0")</x:f>
        <x:v>1</x:v>
      </x:c>
      <x:c r="I128" s="3" t="n">
        <x:v>3</x:v>
      </x:c>
      <x:c r="J128" s="3" t="n">
        <x:v>3</x:v>
      </x:c>
      <x:c r="K128" s="3" t="n">
        <x:v>9</x:v>
      </x:c>
      <x:c r="L128" s="11" t="n">
        <x:f>J128/K128</x:f>
        <x:v>0.3333333333333333</x:v>
      </x:c>
    </x:row>
    <x:row r="129" ht="24" customHeight="1">
      <x:c r="A129" s="3" t="n">
        <x:v>40</x:v>
      </x:c>
      <x:c r="B129" s="3" t="n">
        <x:v>117</x:v>
      </x:c>
      <x:c r="C129" s="3" t="str">
        <x:v>苯乙酸乙酯</x:v>
      </x:c>
      <x:c r="D129" s="3" t="str">
        <x:v>辛酸</x:v>
      </x:c>
      <x:c r="E129" s="3" t="str">
        <x:v>3档×3档</x:v>
      </x:c>
      <x:c r="F129" s="3" t="n">
        <x:f>COUNTIFS('浓度矩阵'!$C$6:$C$355,1,'浓度矩阵'!$I$6:$I$355,"&gt;0",'浓度矩阵'!$W$6:$W$355,"&gt;0")</x:f>
        <x:v>4</x:v>
      </x:c>
      <x:c r="G129" s="3" t="n">
        <x:f>COUNTIFS('浓度矩阵'!$B$6:$B$355,"独立配制重复",'浓度矩阵'!$I$6:$I$355,"&gt;0",'浓度矩阵'!$W$6:$W$355,"&gt;0")</x:f>
        <x:v>1</x:v>
      </x:c>
      <x:c r="H129" s="3" t="n">
        <x:f>COUNTIFS('浓度矩阵'!$B$6:$B$355,"留出验证",'浓度矩阵'!$I$6:$I$355,"&gt;0",'浓度矩阵'!$W$6:$W$355,"&gt;0")</x:f>
        <x:v>1</x:v>
      </x:c>
      <x:c r="I129" s="3" t="n">
        <x:v>4</x:v>
      </x:c>
      <x:c r="J129" s="3" t="n">
        <x:v>4</x:v>
      </x:c>
      <x:c r="K129" s="3" t="n">
        <x:v>9</x:v>
      </x:c>
      <x:c r="L129" s="11" t="n">
        <x:f>J129/K129</x:f>
        <x:v>0.4444444444444444</x:v>
      </x:c>
    </x:row>
    <x:row r="130" ht="24" customHeight="1">
      <x:c r="A130" s="3" t="n">
        <x:v>40</x:v>
      </x:c>
      <x:c r="B130" s="3" t="n">
        <x:v>126</x:v>
      </x:c>
      <x:c r="C130" s="3" t="str">
        <x:v>苯乙酸乙酯</x:v>
      </x:c>
      <x:c r="D130" s="3" t="str">
        <x:v>己酸</x:v>
      </x:c>
      <x:c r="E130" s="3" t="str">
        <x:v>3档×3档</x:v>
      </x:c>
      <x:c r="F130" s="3" t="n">
        <x:f>COUNTIFS('浓度矩阵'!$C$6:$C$355,1,'浓度矩阵'!$I$6:$I$355,"&gt;0",'浓度矩阵'!$X$6:$X$355,"&gt;0")</x:f>
        <x:v>4</x:v>
      </x:c>
      <x:c r="G130" s="3" t="n">
        <x:f>COUNTIFS('浓度矩阵'!$B$6:$B$355,"独立配制重复",'浓度矩阵'!$I$6:$I$355,"&gt;0",'浓度矩阵'!$X$6:$X$355,"&gt;0")</x:f>
        <x:v>0</x:v>
      </x:c>
      <x:c r="H130" s="3" t="n">
        <x:f>COUNTIFS('浓度矩阵'!$B$6:$B$355,"留出验证",'浓度矩阵'!$I$6:$I$355,"&gt;0",'浓度矩阵'!$X$6:$X$355,"&gt;0")</x:f>
        <x:v>0</x:v>
      </x:c>
      <x:c r="I130" s="3" t="n">
        <x:v>4</x:v>
      </x:c>
      <x:c r="J130" s="3" t="n">
        <x:v>4</x:v>
      </x:c>
      <x:c r="K130" s="3" t="n">
        <x:v>9</x:v>
      </x:c>
      <x:c r="L130" s="11" t="n">
        <x:f>J130/K130</x:f>
        <x:v>0.4444444444444444</x:v>
      </x:c>
    </x:row>
    <x:row r="131" ht="24" customHeight="1">
      <x:c r="A131" s="3" t="n">
        <x:v>40</x:v>
      </x:c>
      <x:c r="B131" s="3" t="n">
        <x:v>136</x:v>
      </x:c>
      <x:c r="C131" s="3" t="str">
        <x:v>苯乙酸乙酯</x:v>
      </x:c>
      <x:c r="D131" s="3" t="str">
        <x:v>异戊酸/3-甲基丁酸</x:v>
      </x:c>
      <x:c r="E131" s="3" t="str">
        <x:v>3档×3档</x:v>
      </x:c>
      <x:c r="F131" s="3" t="n">
        <x:f>COUNTIFS('浓度矩阵'!$C$6:$C$355,1,'浓度矩阵'!$I$6:$I$355,"&gt;0",'浓度矩阵'!$Y$6:$Y$355,"&gt;0")</x:f>
        <x:v>2</x:v>
      </x:c>
      <x:c r="G131" s="3" t="n">
        <x:f>COUNTIFS('浓度矩阵'!$B$6:$B$355,"独立配制重复",'浓度矩阵'!$I$6:$I$355,"&gt;0",'浓度矩阵'!$Y$6:$Y$355,"&gt;0")</x:f>
        <x:v>0</x:v>
      </x:c>
      <x:c r="H131" s="3" t="n">
        <x:f>COUNTIFS('浓度矩阵'!$B$6:$B$355,"留出验证",'浓度矩阵'!$I$6:$I$355,"&gt;0",'浓度矩阵'!$Y$6:$Y$355,"&gt;0")</x:f>
        <x:v>0</x:v>
      </x:c>
      <x:c r="I131" s="3" t="n">
        <x:v>2</x:v>
      </x:c>
      <x:c r="J131" s="3" t="n">
        <x:v>2</x:v>
      </x:c>
      <x:c r="K131" s="3" t="n">
        <x:v>9</x:v>
      </x:c>
      <x:c r="L131" s="11" t="n">
        <x:f>J131/K131</x:f>
        <x:v>0.2222222222222222</x:v>
      </x:c>
    </x:row>
    <x:row r="132" ht="24" customHeight="1">
      <x:c r="A132" s="3" t="n">
        <x:v>40</x:v>
      </x:c>
      <x:c r="B132" s="3" t="n">
        <x:v>141</x:v>
      </x:c>
      <x:c r="C132" s="3" t="str">
        <x:v>苯乙酸乙酯</x:v>
      </x:c>
      <x:c r="D132" s="3" t="str">
        <x:v>戊酸乙酯</x:v>
      </x:c>
      <x:c r="E132" s="3" t="str">
        <x:v>3档×3档</x:v>
      </x:c>
      <x:c r="F132" s="3" t="n">
        <x:f>COUNTIFS('浓度矩阵'!$C$6:$C$355,1,'浓度矩阵'!$I$6:$I$355,"&gt;0",'浓度矩阵'!$Z$6:$Z$355,"&gt;0")</x:f>
        <x:v>3</x:v>
      </x:c>
      <x:c r="G132" s="3" t="n">
        <x:f>COUNTIFS('浓度矩阵'!$B$6:$B$355,"独立配制重复",'浓度矩阵'!$I$6:$I$355,"&gt;0",'浓度矩阵'!$Z$6:$Z$355,"&gt;0")</x:f>
        <x:v>0</x:v>
      </x:c>
      <x:c r="H132" s="3" t="n">
        <x:f>COUNTIFS('浓度矩阵'!$B$6:$B$355,"留出验证",'浓度矩阵'!$I$6:$I$355,"&gt;0",'浓度矩阵'!$Z$6:$Z$355,"&gt;0")</x:f>
        <x:v>0</x:v>
      </x:c>
      <x:c r="I132" s="3" t="n">
        <x:v>3</x:v>
      </x:c>
      <x:c r="J132" s="3" t="n">
        <x:v>3</x:v>
      </x:c>
      <x:c r="K132" s="3" t="n">
        <x:v>9</x:v>
      </x:c>
      <x:c r="L132" s="11" t="n">
        <x:f>J132/K132</x:f>
        <x:v>0.3333333333333333</x:v>
      </x:c>
    </x:row>
    <x:row r="133" ht="24" customHeight="1">
      <x:c r="A133" s="3" t="n">
        <x:v>40</x:v>
      </x:c>
      <x:c r="B133" s="3" t="n">
        <x:v>152</x:v>
      </x:c>
      <x:c r="C133" s="3" t="str">
        <x:v>苯乙酸乙酯</x:v>
      </x:c>
      <x:c r="D133" s="3" t="str">
        <x:v>异戊醛</x:v>
      </x:c>
      <x:c r="E133" s="3" t="str">
        <x:v>3档×3档</x:v>
      </x:c>
      <x:c r="F133" s="3" t="n">
        <x:f>COUNTIFS('浓度矩阵'!$C$6:$C$355,1,'浓度矩阵'!$I$6:$I$355,"&gt;0",'浓度矩阵'!$AA$6:$AA$355,"&gt;0")</x:f>
        <x:v>3</x:v>
      </x:c>
      <x:c r="G133" s="3" t="n">
        <x:f>COUNTIFS('浓度矩阵'!$B$6:$B$355,"独立配制重复",'浓度矩阵'!$I$6:$I$355,"&gt;0",'浓度矩阵'!$AA$6:$AA$355,"&gt;0")</x:f>
        <x:v>0</x:v>
      </x:c>
      <x:c r="H133" s="3" t="n">
        <x:f>COUNTIFS('浓度矩阵'!$B$6:$B$355,"留出验证",'浓度矩阵'!$I$6:$I$355,"&gt;0",'浓度矩阵'!$AA$6:$AA$355,"&gt;0")</x:f>
        <x:v>0</x:v>
      </x:c>
      <x:c r="I133" s="3" t="n">
        <x:v>3</x:v>
      </x:c>
      <x:c r="J133" s="3" t="n">
        <x:v>3</x:v>
      </x:c>
      <x:c r="K133" s="3" t="n">
        <x:v>9</x:v>
      </x:c>
      <x:c r="L133" s="11" t="n">
        <x:f>J133/K133</x:f>
        <x:v>0.3333333333333333</x:v>
      </x:c>
    </x:row>
    <x:row r="134" ht="24" customHeight="1">
      <x:c r="A134" s="3" t="n">
        <x:v>40</x:v>
      </x:c>
      <x:c r="B134" s="3" t="n">
        <x:v>165</x:v>
      </x:c>
      <x:c r="C134" s="3" t="str">
        <x:v>苯乙酸乙酯</x:v>
      </x:c>
      <x:c r="D134" s="3" t="str">
        <x:v>己酸丁酯</x:v>
      </x:c>
      <x:c r="E134" s="3" t="str">
        <x:v>3档×2档</x:v>
      </x:c>
      <x:c r="F134" s="3" t="n">
        <x:f>COUNTIFS('浓度矩阵'!$C$6:$C$355,1,'浓度矩阵'!$I$6:$I$355,"&gt;0",'浓度矩阵'!$AB$6:$AB$355,"&gt;0")</x:f>
        <x:v>3</x:v>
      </x:c>
      <x:c r="G134" s="3" t="n">
        <x:f>COUNTIFS('浓度矩阵'!$B$6:$B$355,"独立配制重复",'浓度矩阵'!$I$6:$I$355,"&gt;0",'浓度矩阵'!$AB$6:$AB$355,"&gt;0")</x:f>
        <x:v>0</x:v>
      </x:c>
      <x:c r="H134" s="3" t="n">
        <x:f>COUNTIFS('浓度矩阵'!$B$6:$B$355,"留出验证",'浓度矩阵'!$I$6:$I$355,"&gt;0",'浓度矩阵'!$AB$6:$AB$355,"&gt;0")</x:f>
        <x:v>0</x:v>
      </x:c>
      <x:c r="I134" s="3" t="n">
        <x:v>3</x:v>
      </x:c>
      <x:c r="J134" s="3" t="n">
        <x:v>3</x:v>
      </x:c>
      <x:c r="K134" s="3" t="n">
        <x:v>6</x:v>
      </x:c>
      <x:c r="L134" s="11" t="n">
        <x:f>J134/K134</x:f>
        <x:v>0.5</x:v>
      </x:c>
    </x:row>
    <x:row r="135" ht="24" customHeight="1">
      <x:c r="A135" s="3" t="n">
        <x:v>40</x:v>
      </x:c>
      <x:c r="B135" s="3" t="n">
        <x:v>186</x:v>
      </x:c>
      <x:c r="C135" s="3" t="str">
        <x:v>苯乙酸乙酯</x:v>
      </x:c>
      <x:c r="D135" s="3" t="str">
        <x:v>3-苯基丙酸乙酯</x:v>
      </x:c>
      <x:c r="E135" s="3" t="str">
        <x:v>3档×3档</x:v>
      </x:c>
      <x:c r="F135" s="3" t="n">
        <x:f>COUNTIFS('浓度矩阵'!$C$6:$C$355,1,'浓度矩阵'!$I$6:$I$355,"&gt;0",'浓度矩阵'!$AC$6:$AC$355,"&gt;0")</x:f>
        <x:v>3</x:v>
      </x:c>
      <x:c r="G135" s="3" t="n">
        <x:f>COUNTIFS('浓度矩阵'!$B$6:$B$355,"独立配制重复",'浓度矩阵'!$I$6:$I$355,"&gt;0",'浓度矩阵'!$AC$6:$AC$355,"&gt;0")</x:f>
        <x:v>1</x:v>
      </x:c>
      <x:c r="H135" s="3" t="n">
        <x:f>COUNTIFS('浓度矩阵'!$B$6:$B$355,"留出验证",'浓度矩阵'!$I$6:$I$355,"&gt;0",'浓度矩阵'!$AC$6:$AC$355,"&gt;0")</x:f>
        <x:v>0</x:v>
      </x:c>
      <x:c r="I135" s="3" t="n">
        <x:v>3</x:v>
      </x:c>
      <x:c r="J135" s="3" t="n">
        <x:v>3</x:v>
      </x:c>
      <x:c r="K135" s="3" t="n">
        <x:v>9</x:v>
      </x:c>
      <x:c r="L135" s="11" t="n">
        <x:f>J135/K135</x:f>
        <x:v>0.3333333333333333</x:v>
      </x:c>
    </x:row>
    <x:row r="136" ht="24" customHeight="1">
      <x:c r="A136" s="3" t="n">
        <x:v>40</x:v>
      </x:c>
      <x:c r="B136" s="3" t="n">
        <x:v>207</x:v>
      </x:c>
      <x:c r="C136" s="3" t="str">
        <x:v>苯乙酸乙酯</x:v>
      </x:c>
      <x:c r="D136" s="3" t="str">
        <x:v>1-辛烯-3-醇</x:v>
      </x:c>
      <x:c r="E136" s="3" t="str">
        <x:v>3档×3档</x:v>
      </x:c>
      <x:c r="F136" s="3" t="n">
        <x:f>COUNTIFS('浓度矩阵'!$C$6:$C$355,1,'浓度矩阵'!$I$6:$I$355,"&gt;0",'浓度矩阵'!$AD$6:$AD$355,"&gt;0")</x:f>
        <x:v>3</x:v>
      </x:c>
      <x:c r="G136" s="3" t="n">
        <x:f>COUNTIFS('浓度矩阵'!$B$6:$B$355,"独立配制重复",'浓度矩阵'!$I$6:$I$355,"&gt;0",'浓度矩阵'!$AD$6:$AD$355,"&gt;0")</x:f>
        <x:v>0</x:v>
      </x:c>
      <x:c r="H136" s="3" t="n">
        <x:f>COUNTIFS('浓度矩阵'!$B$6:$B$355,"留出验证",'浓度矩阵'!$I$6:$I$355,"&gt;0",'浓度矩阵'!$AD$6:$AD$355,"&gt;0")</x:f>
        <x:v>0</x:v>
      </x:c>
      <x:c r="I136" s="3" t="n">
        <x:v>3</x:v>
      </x:c>
      <x:c r="J136" s="3" t="n">
        <x:v>3</x:v>
      </x:c>
      <x:c r="K136" s="3" t="n">
        <x:v>9</x:v>
      </x:c>
      <x:c r="L136" s="11" t="n">
        <x:f>J136/K136</x:f>
        <x:v>0.3333333333333333</x:v>
      </x:c>
    </x:row>
    <x:row r="137" ht="24" customHeight="1">
      <x:c r="A137" s="3" t="n">
        <x:v>40</x:v>
      </x:c>
      <x:c r="B137" s="3" t="n">
        <x:v>209</x:v>
      </x:c>
      <x:c r="C137" s="3" t="str">
        <x:v>苯乙酸乙酯</x:v>
      </x:c>
      <x:c r="D137" s="3" t="str">
        <x:v>二甲基三硫醚</x:v>
      </x:c>
      <x:c r="E137" s="3" t="str">
        <x:v>3档×3档</x:v>
      </x:c>
      <x:c r="F137" s="3" t="n">
        <x:f>COUNTIFS('浓度矩阵'!$C$6:$C$355,1,'浓度矩阵'!$I$6:$I$355,"&gt;0",'浓度矩阵'!$AE$6:$AE$355,"&gt;0")</x:f>
        <x:v>3</x:v>
      </x:c>
      <x:c r="G137" s="3" t="n">
        <x:f>COUNTIFS('浓度矩阵'!$B$6:$B$355,"独立配制重复",'浓度矩阵'!$I$6:$I$355,"&gt;0",'浓度矩阵'!$AE$6:$AE$355,"&gt;0")</x:f>
        <x:v>0</x:v>
      </x:c>
      <x:c r="H137" s="3" t="n">
        <x:f>COUNTIFS('浓度矩阵'!$B$6:$B$355,"留出验证",'浓度矩阵'!$I$6:$I$355,"&gt;0",'浓度矩阵'!$AE$6:$AE$355,"&gt;0")</x:f>
        <x:v>0</x:v>
      </x:c>
      <x:c r="I137" s="3" t="n">
        <x:v>3</x:v>
      </x:c>
      <x:c r="J137" s="3" t="n">
        <x:v>3</x:v>
      </x:c>
      <x:c r="K137" s="3" t="n">
        <x:v>9</x:v>
      </x:c>
      <x:c r="L137" s="11" t="n">
        <x:f>J137/K137</x:f>
        <x:v>0.3333333333333333</x:v>
      </x:c>
    </x:row>
    <x:row r="138" ht="24" customHeight="1">
      <x:c r="A138" s="3" t="n">
        <x:v>40</x:v>
      </x:c>
      <x:c r="B138" s="3" t="n">
        <x:v>227</x:v>
      </x:c>
      <x:c r="C138" s="3" t="str">
        <x:v>苯乙酸乙酯</x:v>
      </x:c>
      <x:c r="D138" s="3" t="str">
        <x:v>己酸己酯</x:v>
      </x:c>
      <x:c r="E138" s="3" t="str">
        <x:v>3档×3档</x:v>
      </x:c>
      <x:c r="F138" s="3" t="n">
        <x:f>COUNTIFS('浓度矩阵'!$C$6:$C$355,1,'浓度矩阵'!$I$6:$I$355,"&gt;0",'浓度矩阵'!$AF$6:$AF$355,"&gt;0")</x:f>
        <x:v>3</x:v>
      </x:c>
      <x:c r="G138" s="3" t="n">
        <x:f>COUNTIFS('浓度矩阵'!$B$6:$B$355,"独立配制重复",'浓度矩阵'!$I$6:$I$355,"&gt;0",'浓度矩阵'!$AF$6:$AF$355,"&gt;0")</x:f>
        <x:v>0</x:v>
      </x:c>
      <x:c r="H138" s="3" t="n">
        <x:f>COUNTIFS('浓度矩阵'!$B$6:$B$355,"留出验证",'浓度矩阵'!$I$6:$I$355,"&gt;0",'浓度矩阵'!$AF$6:$AF$355,"&gt;0")</x:f>
        <x:v>0</x:v>
      </x:c>
      <x:c r="I138" s="3" t="n">
        <x:v>3</x:v>
      </x:c>
      <x:c r="J138" s="3" t="n">
        <x:v>3</x:v>
      </x:c>
      <x:c r="K138" s="3" t="n">
        <x:v>9</x:v>
      </x:c>
      <x:c r="L138" s="11" t="n">
        <x:f>J138/K138</x:f>
        <x:v>0.3333333333333333</x:v>
      </x:c>
    </x:row>
    <x:row r="139" ht="24" customHeight="1">
      <x:c r="A139" s="3" t="n">
        <x:v>40</x:v>
      </x:c>
      <x:c r="B139" s="3" t="n">
        <x:v>232</x:v>
      </x:c>
      <x:c r="C139" s="3" t="str">
        <x:v>苯乙酸乙酯</x:v>
      </x:c>
      <x:c r="D139" s="3" t="str">
        <x:v>2-甲基丁酸乙酯</x:v>
      </x:c>
      <x:c r="E139" s="3" t="str">
        <x:v>3档×3档</x:v>
      </x:c>
      <x:c r="F139" s="3" t="n">
        <x:f>COUNTIFS('浓度矩阵'!$C$6:$C$355,1,'浓度矩阵'!$I$6:$I$355,"&gt;0",'浓度矩阵'!$AG$6:$AG$355,"&gt;0")</x:f>
        <x:v>3</x:v>
      </x:c>
      <x:c r="G139" s="3" t="n">
        <x:f>COUNTIFS('浓度矩阵'!$B$6:$B$355,"独立配制重复",'浓度矩阵'!$I$6:$I$355,"&gt;0",'浓度矩阵'!$AG$6:$AG$355,"&gt;0")</x:f>
        <x:v>0</x:v>
      </x:c>
      <x:c r="H139" s="3" t="n">
        <x:f>COUNTIFS('浓度矩阵'!$B$6:$B$355,"留出验证",'浓度矩阵'!$I$6:$I$355,"&gt;0",'浓度矩阵'!$AG$6:$AG$355,"&gt;0")</x:f>
        <x:v>0</x:v>
      </x:c>
      <x:c r="I139" s="3" t="n">
        <x:v>3</x:v>
      </x:c>
      <x:c r="J139" s="3" t="n">
        <x:v>3</x:v>
      </x:c>
      <x:c r="K139" s="3" t="n">
        <x:v>9</x:v>
      </x:c>
      <x:c r="L139" s="11" t="n">
        <x:f>J139/K139</x:f>
        <x:v>0.3333333333333333</x:v>
      </x:c>
    </x:row>
    <x:row r="140" ht="24" customHeight="1">
      <x:c r="A140" s="3" t="n">
        <x:v>40</x:v>
      </x:c>
      <x:c r="B140" s="3" t="n">
        <x:v>255</x:v>
      </x:c>
      <x:c r="C140" s="3" t="str">
        <x:v>苯乙酸乙酯</x:v>
      </x:c>
      <x:c r="D140" s="3" t="str">
        <x:v>β-大马酮</x:v>
      </x:c>
      <x:c r="E140" s="3" t="str">
        <x:v>3档×3档</x:v>
      </x:c>
      <x:c r="F140" s="3" t="n">
        <x:f>COUNTIFS('浓度矩阵'!$C$6:$C$355,1,'浓度矩阵'!$I$6:$I$355,"&gt;0",'浓度矩阵'!$AH$6:$AH$355,"&gt;0")</x:f>
        <x:v>3</x:v>
      </x:c>
      <x:c r="G140" s="3" t="n">
        <x:f>COUNTIFS('浓度矩阵'!$B$6:$B$355,"独立配制重复",'浓度矩阵'!$I$6:$I$355,"&gt;0",'浓度矩阵'!$AH$6:$AH$355,"&gt;0")</x:f>
        <x:v>0</x:v>
      </x:c>
      <x:c r="H140" s="3" t="n">
        <x:f>COUNTIFS('浓度矩阵'!$B$6:$B$355,"留出验证",'浓度矩阵'!$I$6:$I$355,"&gt;0",'浓度矩阵'!$AH$6:$AH$355,"&gt;0")</x:f>
        <x:v>0</x:v>
      </x:c>
      <x:c r="I140" s="3" t="n">
        <x:v>3</x:v>
      </x:c>
      <x:c r="J140" s="3" t="n">
        <x:v>3</x:v>
      </x:c>
      <x:c r="K140" s="3" t="n">
        <x:v>9</x:v>
      </x:c>
      <x:c r="L140" s="11" t="n">
        <x:f>J140/K140</x:f>
        <x:v>0.3333333333333333</x:v>
      </x:c>
    </x:row>
    <x:row r="141" ht="24" customHeight="1">
      <x:c r="A141" s="3" t="n">
        <x:v>52</x:v>
      </x:c>
      <x:c r="B141" s="3" t="n">
        <x:v>53</x:v>
      </x:c>
      <x:c r="C141" s="3" t="str">
        <x:v>丁酸乙酯</x:v>
      </x:c>
      <x:c r="D141" s="3" t="str">
        <x:v>乙醛二乙缩醛</x:v>
      </x:c>
      <x:c r="E141" s="3" t="str">
        <x:v>3档×3档</x:v>
      </x:c>
      <x:c r="F141" s="3" t="n">
        <x:f>COUNTIFS('浓度矩阵'!$C$6:$C$355,1,'浓度矩阵'!$J$6:$J$355,"&gt;0",'浓度矩阵'!$K$6:$K$355,"&gt;0")</x:f>
        <x:v>3</x:v>
      </x:c>
      <x:c r="G141" s="3" t="n">
        <x:f>COUNTIFS('浓度矩阵'!$B$6:$B$355,"独立配制重复",'浓度矩阵'!$J$6:$J$355,"&gt;0",'浓度矩阵'!$K$6:$K$355,"&gt;0")</x:f>
        <x:v>0</x:v>
      </x:c>
      <x:c r="H141" s="3" t="n">
        <x:f>COUNTIFS('浓度矩阵'!$B$6:$B$355,"留出验证",'浓度矩阵'!$J$6:$J$355,"&gt;0",'浓度矩阵'!$K$6:$K$355,"&gt;0")</x:f>
        <x:v>0</x:v>
      </x:c>
      <x:c r="I141" s="3" t="n">
        <x:v>3</x:v>
      </x:c>
      <x:c r="J141" s="3" t="n">
        <x:v>3</x:v>
      </x:c>
      <x:c r="K141" s="3" t="n">
        <x:v>9</x:v>
      </x:c>
      <x:c r="L141" s="11" t="n">
        <x:f>J141/K141</x:f>
        <x:v>0.3333333333333333</x:v>
      </x:c>
    </x:row>
    <x:row r="142" ht="24" customHeight="1">
      <x:c r="A142" s="3" t="n">
        <x:v>52</x:v>
      </x:c>
      <x:c r="B142" s="3" t="n">
        <x:v>56</x:v>
      </x:c>
      <x:c r="C142" s="3" t="str">
        <x:v>丁酸乙酯</x:v>
      </x:c>
      <x:c r="D142" s="3" t="str">
        <x:v>丁酸异戊酯</x:v>
      </x:c>
      <x:c r="E142" s="3" t="str">
        <x:v>3档×2档</x:v>
      </x:c>
      <x:c r="F142" s="3" t="n">
        <x:f>COUNTIFS('浓度矩阵'!$C$6:$C$355,1,'浓度矩阵'!$J$6:$J$355,"&gt;0",'浓度矩阵'!$L$6:$L$355,"&gt;0")</x:f>
        <x:v>3</x:v>
      </x:c>
      <x:c r="G142" s="3" t="n">
        <x:f>COUNTIFS('浓度矩阵'!$B$6:$B$355,"独立配制重复",'浓度矩阵'!$J$6:$J$355,"&gt;0",'浓度矩阵'!$L$6:$L$355,"&gt;0")</x:f>
        <x:v>0</x:v>
      </x:c>
      <x:c r="H142" s="3" t="n">
        <x:f>COUNTIFS('浓度矩阵'!$B$6:$B$355,"留出验证",'浓度矩阵'!$J$6:$J$355,"&gt;0",'浓度矩阵'!$L$6:$L$355,"&gt;0")</x:f>
        <x:v>0</x:v>
      </x:c>
      <x:c r="I142" s="3" t="n">
        <x:v>3</x:v>
      </x:c>
      <x:c r="J142" s="3" t="n">
        <x:v>3</x:v>
      </x:c>
      <x:c r="K142" s="3" t="n">
        <x:v>6</x:v>
      </x:c>
      <x:c r="L142" s="11" t="n">
        <x:f>J142/K142</x:f>
        <x:v>0.5</x:v>
      </x:c>
    </x:row>
    <x:row r="143" ht="24" customHeight="1">
      <x:c r="A143" s="3" t="n">
        <x:v>52</x:v>
      </x:c>
      <x:c r="B143" s="3" t="n">
        <x:v>58</x:v>
      </x:c>
      <x:c r="C143" s="3" t="str">
        <x:v>丁酸乙酯</x:v>
      </x:c>
      <x:c r="D143" s="3" t="str">
        <x:v>辛酸乙酯</x:v>
      </x:c>
      <x:c r="E143" s="3" t="str">
        <x:v>3档×3档</x:v>
      </x:c>
      <x:c r="F143" s="3" t="n">
        <x:f>COUNTIFS('浓度矩阵'!$C$6:$C$355,1,'浓度矩阵'!$J$6:$J$355,"&gt;0",'浓度矩阵'!$M$6:$M$355,"&gt;0")</x:f>
        <x:v>3</x:v>
      </x:c>
      <x:c r="G143" s="3" t="n">
        <x:f>COUNTIFS('浓度矩阵'!$B$6:$B$355,"独立配制重复",'浓度矩阵'!$J$6:$J$355,"&gt;0",'浓度矩阵'!$M$6:$M$355,"&gt;0")</x:f>
        <x:v>1</x:v>
      </x:c>
      <x:c r="H143" s="3" t="n">
        <x:f>COUNTIFS('浓度矩阵'!$B$6:$B$355,"留出验证",'浓度矩阵'!$J$6:$J$355,"&gt;0",'浓度矩阵'!$M$6:$M$355,"&gt;0")</x:f>
        <x:v>0</x:v>
      </x:c>
      <x:c r="I143" s="3" t="n">
        <x:v>3</x:v>
      </x:c>
      <x:c r="J143" s="3" t="n">
        <x:v>3</x:v>
      </x:c>
      <x:c r="K143" s="3" t="n">
        <x:v>9</x:v>
      </x:c>
      <x:c r="L143" s="11" t="n">
        <x:f>J143/K143</x:f>
        <x:v>0.3333333333333333</x:v>
      </x:c>
    </x:row>
    <x:row r="144" ht="24" customHeight="1">
      <x:c r="A144" s="3" t="n">
        <x:v>52</x:v>
      </x:c>
      <x:c r="B144" s="3" t="n">
        <x:v>61</x:v>
      </x:c>
      <x:c r="C144" s="3" t="str">
        <x:v>丁酸乙酯</x:v>
      </x:c>
      <x:c r="D144" s="3" t="str">
        <x:v>对甲酚</x:v>
      </x:c>
      <x:c r="E144" s="3" t="str">
        <x:v>3档×3档</x:v>
      </x:c>
      <x:c r="F144" s="3" t="n">
        <x:f>COUNTIFS('浓度矩阵'!$C$6:$C$355,1,'浓度矩阵'!$J$6:$J$355,"&gt;0",'浓度矩阵'!$N$6:$N$355,"&gt;0")</x:f>
        <x:v>3</x:v>
      </x:c>
      <x:c r="G144" s="3" t="n">
        <x:f>COUNTIFS('浓度矩阵'!$B$6:$B$355,"独立配制重复",'浓度矩阵'!$J$6:$J$355,"&gt;0",'浓度矩阵'!$N$6:$N$355,"&gt;0")</x:f>
        <x:v>0</x:v>
      </x:c>
      <x:c r="H144" s="3" t="n">
        <x:f>COUNTIFS('浓度矩阵'!$B$6:$B$355,"留出验证",'浓度矩阵'!$J$6:$J$355,"&gt;0",'浓度矩阵'!$N$6:$N$355,"&gt;0")</x:f>
        <x:v>0</x:v>
      </x:c>
      <x:c r="I144" s="3" t="n">
        <x:v>3</x:v>
      </x:c>
      <x:c r="J144" s="3" t="n">
        <x:v>3</x:v>
      </x:c>
      <x:c r="K144" s="3" t="n">
        <x:v>9</x:v>
      </x:c>
      <x:c r="L144" s="11" t="n">
        <x:f>J144/K144</x:f>
        <x:v>0.3333333333333333</x:v>
      </x:c>
    </x:row>
    <x:row r="145" ht="24" customHeight="1">
      <x:c r="A145" s="3" t="n">
        <x:v>52</x:v>
      </x:c>
      <x:c r="B145" s="3" t="n">
        <x:v>69</x:v>
      </x:c>
      <x:c r="C145" s="3" t="str">
        <x:v>丁酸乙酯</x:v>
      </x:c>
      <x:c r="D145" s="3" t="str">
        <x:v>异戊酸乙酯（3-甲基丁酸乙酯）</x:v>
      </x:c>
      <x:c r="E145" s="3" t="str">
        <x:v>3档×3档</x:v>
      </x:c>
      <x:c r="F145" s="3" t="n">
        <x:f>COUNTIFS('浓度矩阵'!$C$6:$C$355,1,'浓度矩阵'!$J$6:$J$355,"&gt;0",'浓度矩阵'!$O$6:$O$355,"&gt;0")</x:f>
        <x:v>3</x:v>
      </x:c>
      <x:c r="G145" s="3" t="n">
        <x:f>COUNTIFS('浓度矩阵'!$B$6:$B$355,"独立配制重复",'浓度矩阵'!$J$6:$J$355,"&gt;0",'浓度矩阵'!$O$6:$O$355,"&gt;0")</x:f>
        <x:v>0</x:v>
      </x:c>
      <x:c r="H145" s="3" t="n">
        <x:f>COUNTIFS('浓度矩阵'!$B$6:$B$355,"留出验证",'浓度矩阵'!$J$6:$J$355,"&gt;0",'浓度矩阵'!$O$6:$O$355,"&gt;0")</x:f>
        <x:v>0</x:v>
      </x:c>
      <x:c r="I145" s="3" t="n">
        <x:v>3</x:v>
      </x:c>
      <x:c r="J145" s="3" t="n">
        <x:v>3</x:v>
      </x:c>
      <x:c r="K145" s="3" t="n">
        <x:v>9</x:v>
      </x:c>
      <x:c r="L145" s="11" t="n">
        <x:f>J145/K145</x:f>
        <x:v>0.3333333333333333</x:v>
      </x:c>
    </x:row>
    <x:row r="146" ht="24" customHeight="1">
      <x:c r="A146" s="3" t="n">
        <x:v>52</x:v>
      </x:c>
      <x:c r="B146" s="3" t="n">
        <x:v>75</x:v>
      </x:c>
      <x:c r="C146" s="3" t="str">
        <x:v>丁酸乙酯</x:v>
      </x:c>
      <x:c r="D146" s="3" t="str">
        <x:v>戊酸</x:v>
      </x:c>
      <x:c r="E146" s="3" t="str">
        <x:v>3档×3档</x:v>
      </x:c>
      <x:c r="F146" s="3" t="n">
        <x:f>COUNTIFS('浓度矩阵'!$C$6:$C$355,1,'浓度矩阵'!$J$6:$J$355,"&gt;0",'浓度矩阵'!$P$6:$P$355,"&gt;0")</x:f>
        <x:v>3</x:v>
      </x:c>
      <x:c r="G146" s="3" t="n">
        <x:f>COUNTIFS('浓度矩阵'!$B$6:$B$355,"独立配制重复",'浓度矩阵'!$J$6:$J$355,"&gt;0",'浓度矩阵'!$P$6:$P$355,"&gt;0")</x:f>
        <x:v>0</x:v>
      </x:c>
      <x:c r="H146" s="3" t="n">
        <x:f>COUNTIFS('浓度矩阵'!$B$6:$B$355,"留出验证",'浓度矩阵'!$J$6:$J$355,"&gt;0",'浓度矩阵'!$P$6:$P$355,"&gt;0")</x:f>
        <x:v>0</x:v>
      </x:c>
      <x:c r="I146" s="3" t="n">
        <x:v>3</x:v>
      </x:c>
      <x:c r="J146" s="3" t="n">
        <x:v>3</x:v>
      </x:c>
      <x:c r="K146" s="3" t="n">
        <x:v>9</x:v>
      </x:c>
      <x:c r="L146" s="11" t="n">
        <x:f>J146/K146</x:f>
        <x:v>0.3333333333333333</x:v>
      </x:c>
    </x:row>
    <x:row r="147" ht="24" customHeight="1">
      <x:c r="A147" s="3" t="n">
        <x:v>52</x:v>
      </x:c>
      <x:c r="B147" s="3" t="n">
        <x:v>79</x:v>
      </x:c>
      <x:c r="C147" s="3" t="str">
        <x:v>丁酸乙酯</x:v>
      </x:c>
      <x:c r="D147" s="3" t="str">
        <x:v>癸酸乙酯</x:v>
      </x:c>
      <x:c r="E147" s="3" t="str">
        <x:v>3档×2档</x:v>
      </x:c>
      <x:c r="F147" s="3" t="n">
        <x:f>COUNTIFS('浓度矩阵'!$C$6:$C$355,1,'浓度矩阵'!$J$6:$J$355,"&gt;0",'浓度矩阵'!$Q$6:$Q$355,"&gt;0")</x:f>
        <x:v>3</x:v>
      </x:c>
      <x:c r="G147" s="3" t="n">
        <x:f>COUNTIFS('浓度矩阵'!$B$6:$B$355,"独立配制重复",'浓度矩阵'!$J$6:$J$355,"&gt;0",'浓度矩阵'!$Q$6:$Q$355,"&gt;0")</x:f>
        <x:v>0</x:v>
      </x:c>
      <x:c r="H147" s="3" t="n">
        <x:f>COUNTIFS('浓度矩阵'!$B$6:$B$355,"留出验证",'浓度矩阵'!$J$6:$J$355,"&gt;0",'浓度矩阵'!$Q$6:$Q$355,"&gt;0")</x:f>
        <x:v>0</x:v>
      </x:c>
      <x:c r="I147" s="3" t="n">
        <x:v>3</x:v>
      </x:c>
      <x:c r="J147" s="3" t="n">
        <x:v>3</x:v>
      </x:c>
      <x:c r="K147" s="3" t="n">
        <x:v>6</x:v>
      </x:c>
      <x:c r="L147" s="11" t="n">
        <x:f>J147/K147</x:f>
        <x:v>0.5</x:v>
      </x:c>
    </x:row>
    <x:row r="148" ht="24" customHeight="1">
      <x:c r="A148" s="3" t="n">
        <x:v>52</x:v>
      </x:c>
      <x:c r="B148" s="3" t="n">
        <x:v>90</x:v>
      </x:c>
      <x:c r="C148" s="3" t="str">
        <x:v>丁酸乙酯</x:v>
      </x:c>
      <x:c r="D148" s="3" t="str">
        <x:v>1-辛醇</x:v>
      </x:c>
      <x:c r="E148" s="3" t="str">
        <x:v>3档×2档</x:v>
      </x:c>
      <x:c r="F148" s="3" t="n">
        <x:f>COUNTIFS('浓度矩阵'!$C$6:$C$355,1,'浓度矩阵'!$J$6:$J$355,"&gt;0",'浓度矩阵'!$R$6:$R$355,"&gt;0")</x:f>
        <x:v>3</x:v>
      </x:c>
      <x:c r="G148" s="3" t="n">
        <x:f>COUNTIFS('浓度矩阵'!$B$6:$B$355,"独立配制重复",'浓度矩阵'!$J$6:$J$355,"&gt;0",'浓度矩阵'!$R$6:$R$355,"&gt;0")</x:f>
        <x:v>0</x:v>
      </x:c>
      <x:c r="H148" s="3" t="n">
        <x:f>COUNTIFS('浓度矩阵'!$B$6:$B$355,"留出验证",'浓度矩阵'!$J$6:$J$355,"&gt;0",'浓度矩阵'!$R$6:$R$355,"&gt;0")</x:f>
        <x:v>0</x:v>
      </x:c>
      <x:c r="I148" s="3" t="n">
        <x:v>3</x:v>
      </x:c>
      <x:c r="J148" s="3" t="n">
        <x:v>3</x:v>
      </x:c>
      <x:c r="K148" s="3" t="n">
        <x:v>6</x:v>
      </x:c>
      <x:c r="L148" s="11" t="n">
        <x:f>J148/K148</x:f>
        <x:v>0.5</x:v>
      </x:c>
    </x:row>
    <x:row r="149" ht="24" customHeight="1">
      <x:c r="A149" s="3" t="n">
        <x:v>52</x:v>
      </x:c>
      <x:c r="B149" s="3" t="n">
        <x:v>105</x:v>
      </x:c>
      <x:c r="C149" s="3" t="str">
        <x:v>丁酸乙酯</x:v>
      </x:c>
      <x:c r="D149" s="3" t="str">
        <x:v>苯乙醛</x:v>
      </x:c>
      <x:c r="E149" s="3" t="str">
        <x:v>3档×3档</x:v>
      </x:c>
      <x:c r="F149" s="3" t="n">
        <x:f>COUNTIFS('浓度矩阵'!$C$6:$C$355,1,'浓度矩阵'!$J$6:$J$355,"&gt;0",'浓度矩阵'!$S$6:$S$355,"&gt;0")</x:f>
        <x:v>3</x:v>
      </x:c>
      <x:c r="G149" s="3" t="n">
        <x:f>COUNTIFS('浓度矩阵'!$B$6:$B$355,"独立配制重复",'浓度矩阵'!$J$6:$J$355,"&gt;0",'浓度矩阵'!$S$6:$S$355,"&gt;0")</x:f>
        <x:v>0</x:v>
      </x:c>
      <x:c r="H149" s="3" t="n">
        <x:f>COUNTIFS('浓度矩阵'!$B$6:$B$355,"留出验证",'浓度矩阵'!$J$6:$J$355,"&gt;0",'浓度矩阵'!$S$6:$S$355,"&gt;0")</x:f>
        <x:v>0</x:v>
      </x:c>
      <x:c r="I149" s="3" t="n">
        <x:v>3</x:v>
      </x:c>
      <x:c r="J149" s="3" t="n">
        <x:v>3</x:v>
      </x:c>
      <x:c r="K149" s="3" t="n">
        <x:v>9</x:v>
      </x:c>
      <x:c r="L149" s="11" t="n">
        <x:f>J149/K149</x:f>
        <x:v>0.3333333333333333</x:v>
      </x:c>
    </x:row>
    <x:row r="150" ht="24" customHeight="1">
      <x:c r="A150" s="3" t="n">
        <x:v>52</x:v>
      </x:c>
      <x:c r="B150" s="3" t="n">
        <x:v>111</x:v>
      </x:c>
      <x:c r="C150" s="3" t="str">
        <x:v>丁酸乙酯</x:v>
      </x:c>
      <x:c r="D150" s="3" t="str">
        <x:v>己酸乙酯</x:v>
      </x:c>
      <x:c r="E150" s="3" t="str">
        <x:v>3档×3档</x:v>
      </x:c>
      <x:c r="F150" s="3" t="n">
        <x:f>COUNTIFS('浓度矩阵'!$C$6:$C$355,1,'浓度矩阵'!$J$6:$J$355,"&gt;0",'浓度矩阵'!$T$6:$T$355,"&gt;0")</x:f>
        <x:v>3</x:v>
      </x:c>
      <x:c r="G150" s="3" t="n">
        <x:f>COUNTIFS('浓度矩阵'!$B$6:$B$355,"独立配制重复",'浓度矩阵'!$J$6:$J$355,"&gt;0",'浓度矩阵'!$T$6:$T$355,"&gt;0")</x:f>
        <x:v>0</x:v>
      </x:c>
      <x:c r="H150" s="3" t="n">
        <x:f>COUNTIFS('浓度矩阵'!$B$6:$B$355,"留出验证",'浓度矩阵'!$J$6:$J$355,"&gt;0",'浓度矩阵'!$T$6:$T$355,"&gt;0")</x:f>
        <x:v>0</x:v>
      </x:c>
      <x:c r="I150" s="3" t="n">
        <x:v>3</x:v>
      </x:c>
      <x:c r="J150" s="3" t="n">
        <x:v>3</x:v>
      </x:c>
      <x:c r="K150" s="3" t="n">
        <x:v>9</x:v>
      </x:c>
      <x:c r="L150" s="11" t="n">
        <x:f>J150/K150</x:f>
        <x:v>0.3333333333333333</x:v>
      </x:c>
    </x:row>
    <x:row r="151" ht="24" customHeight="1">
      <x:c r="A151" s="3" t="n">
        <x:v>52</x:v>
      </x:c>
      <x:c r="B151" s="3" t="n">
        <x:v>114</x:v>
      </x:c>
      <x:c r="C151" s="3" t="str">
        <x:v>丁酸乙酯</x:v>
      </x:c>
      <x:c r="D151" s="3" t="str">
        <x:v>乙酸丁酯</x:v>
      </x:c>
      <x:c r="E151" s="3" t="str">
        <x:v>3档×2档</x:v>
      </x:c>
      <x:c r="F151" s="3" t="n">
        <x:f>COUNTIFS('浓度矩阵'!$C$6:$C$355,1,'浓度矩阵'!$J$6:$J$355,"&gt;0",'浓度矩阵'!$U$6:$U$355,"&gt;0")</x:f>
        <x:v>3</x:v>
      </x:c>
      <x:c r="G151" s="3" t="n">
        <x:f>COUNTIFS('浓度矩阵'!$B$6:$B$355,"独立配制重复",'浓度矩阵'!$J$6:$J$355,"&gt;0",'浓度矩阵'!$U$6:$U$355,"&gt;0")</x:f>
        <x:v>0</x:v>
      </x:c>
      <x:c r="H151" s="3" t="n">
        <x:f>COUNTIFS('浓度矩阵'!$B$6:$B$355,"留出验证",'浓度矩阵'!$J$6:$J$355,"&gt;0",'浓度矩阵'!$U$6:$U$355,"&gt;0")</x:f>
        <x:v>0</x:v>
      </x:c>
      <x:c r="I151" s="3" t="n">
        <x:v>3</x:v>
      </x:c>
      <x:c r="J151" s="3" t="n">
        <x:v>3</x:v>
      </x:c>
      <x:c r="K151" s="3" t="n">
        <x:v>6</x:v>
      </x:c>
      <x:c r="L151" s="11" t="n">
        <x:f>J151/K151</x:f>
        <x:v>0.5</x:v>
      </x:c>
    </x:row>
    <x:row r="152" ht="24" customHeight="1">
      <x:c r="A152" s="3" t="n">
        <x:v>52</x:v>
      </x:c>
      <x:c r="B152" s="3" t="n">
        <x:v>115</x:v>
      </x:c>
      <x:c r="C152" s="3" t="str">
        <x:v>丁酸乙酯</x:v>
      </x:c>
      <x:c r="D152" s="3" t="str">
        <x:v>乙酸异戊酯</x:v>
      </x:c>
      <x:c r="E152" s="3" t="str">
        <x:v>3档×3档</x:v>
      </x:c>
      <x:c r="F152" s="3" t="n">
        <x:f>COUNTIFS('浓度矩阵'!$C$6:$C$355,1,'浓度矩阵'!$J$6:$J$355,"&gt;0",'浓度矩阵'!$V$6:$V$355,"&gt;0")</x:f>
        <x:v>3</x:v>
      </x:c>
      <x:c r="G152" s="3" t="n">
        <x:f>COUNTIFS('浓度矩阵'!$B$6:$B$355,"独立配制重复",'浓度矩阵'!$J$6:$J$355,"&gt;0",'浓度矩阵'!$V$6:$V$355,"&gt;0")</x:f>
        <x:v>0</x:v>
      </x:c>
      <x:c r="H152" s="3" t="n">
        <x:f>COUNTIFS('浓度矩阵'!$B$6:$B$355,"留出验证",'浓度矩阵'!$J$6:$J$355,"&gt;0",'浓度矩阵'!$V$6:$V$355,"&gt;0")</x:f>
        <x:v>0</x:v>
      </x:c>
      <x:c r="I152" s="3" t="n">
        <x:v>3</x:v>
      </x:c>
      <x:c r="J152" s="3" t="n">
        <x:v>3</x:v>
      </x:c>
      <x:c r="K152" s="3" t="n">
        <x:v>9</x:v>
      </x:c>
      <x:c r="L152" s="11" t="n">
        <x:f>J152/K152</x:f>
        <x:v>0.3333333333333333</x:v>
      </x:c>
    </x:row>
    <x:row r="153" ht="24" customHeight="1">
      <x:c r="A153" s="3" t="n">
        <x:v>52</x:v>
      </x:c>
      <x:c r="B153" s="3" t="n">
        <x:v>117</x:v>
      </x:c>
      <x:c r="C153" s="3" t="str">
        <x:v>丁酸乙酯</x:v>
      </x:c>
      <x:c r="D153" s="3" t="str">
        <x:v>辛酸</x:v>
      </x:c>
      <x:c r="E153" s="3" t="str">
        <x:v>3档×3档</x:v>
      </x:c>
      <x:c r="F153" s="3" t="n">
        <x:f>COUNTIFS('浓度矩阵'!$C$6:$C$355,1,'浓度矩阵'!$J$6:$J$355,"&gt;0",'浓度矩阵'!$W$6:$W$355,"&gt;0")</x:f>
        <x:v>3</x:v>
      </x:c>
      <x:c r="G153" s="3" t="n">
        <x:f>COUNTIFS('浓度矩阵'!$B$6:$B$355,"独立配制重复",'浓度矩阵'!$J$6:$J$355,"&gt;0",'浓度矩阵'!$W$6:$W$355,"&gt;0")</x:f>
        <x:v>0</x:v>
      </x:c>
      <x:c r="H153" s="3" t="n">
        <x:f>COUNTIFS('浓度矩阵'!$B$6:$B$355,"留出验证",'浓度矩阵'!$J$6:$J$355,"&gt;0",'浓度矩阵'!$W$6:$W$355,"&gt;0")</x:f>
        <x:v>0</x:v>
      </x:c>
      <x:c r="I153" s="3" t="n">
        <x:v>3</x:v>
      </x:c>
      <x:c r="J153" s="3" t="n">
        <x:v>3</x:v>
      </x:c>
      <x:c r="K153" s="3" t="n">
        <x:v>9</x:v>
      </x:c>
      <x:c r="L153" s="11" t="n">
        <x:f>J153/K153</x:f>
        <x:v>0.3333333333333333</x:v>
      </x:c>
    </x:row>
    <x:row r="154" ht="24" customHeight="1">
      <x:c r="A154" s="3" t="n">
        <x:v>52</x:v>
      </x:c>
      <x:c r="B154" s="3" t="n">
        <x:v>126</x:v>
      </x:c>
      <x:c r="C154" s="3" t="str">
        <x:v>丁酸乙酯</x:v>
      </x:c>
      <x:c r="D154" s="3" t="str">
        <x:v>己酸</x:v>
      </x:c>
      <x:c r="E154" s="3" t="str">
        <x:v>3档×3档</x:v>
      </x:c>
      <x:c r="F154" s="3" t="n">
        <x:f>COUNTIFS('浓度矩阵'!$C$6:$C$355,1,'浓度矩阵'!$J$6:$J$355,"&gt;0",'浓度矩阵'!$X$6:$X$355,"&gt;0")</x:f>
        <x:v>3</x:v>
      </x:c>
      <x:c r="G154" s="3" t="n">
        <x:f>COUNTIFS('浓度矩阵'!$B$6:$B$355,"独立配制重复",'浓度矩阵'!$J$6:$J$355,"&gt;0",'浓度矩阵'!$X$6:$X$355,"&gt;0")</x:f>
        <x:v>0</x:v>
      </x:c>
      <x:c r="H154" s="3" t="n">
        <x:f>COUNTIFS('浓度矩阵'!$B$6:$B$355,"留出验证",'浓度矩阵'!$J$6:$J$355,"&gt;0",'浓度矩阵'!$X$6:$X$355,"&gt;0")</x:f>
        <x:v>0</x:v>
      </x:c>
      <x:c r="I154" s="3" t="n">
        <x:v>3</x:v>
      </x:c>
      <x:c r="J154" s="3" t="n">
        <x:v>3</x:v>
      </x:c>
      <x:c r="K154" s="3" t="n">
        <x:v>9</x:v>
      </x:c>
      <x:c r="L154" s="11" t="n">
        <x:f>J154/K154</x:f>
        <x:v>0.3333333333333333</x:v>
      </x:c>
    </x:row>
    <x:row r="155" ht="24" customHeight="1">
      <x:c r="A155" s="3" t="n">
        <x:v>52</x:v>
      </x:c>
      <x:c r="B155" s="3" t="n">
        <x:v>136</x:v>
      </x:c>
      <x:c r="C155" s="3" t="str">
        <x:v>丁酸乙酯</x:v>
      </x:c>
      <x:c r="D155" s="3" t="str">
        <x:v>异戊酸/3-甲基丁酸</x:v>
      </x:c>
      <x:c r="E155" s="3" t="str">
        <x:v>3档×3档</x:v>
      </x:c>
      <x:c r="F155" s="3" t="n">
        <x:f>COUNTIFS('浓度矩阵'!$C$6:$C$355,1,'浓度矩阵'!$J$6:$J$355,"&gt;0",'浓度矩阵'!$Y$6:$Y$355,"&gt;0")</x:f>
        <x:v>3</x:v>
      </x:c>
      <x:c r="G155" s="3" t="n">
        <x:f>COUNTIFS('浓度矩阵'!$B$6:$B$355,"独立配制重复",'浓度矩阵'!$J$6:$J$355,"&gt;0",'浓度矩阵'!$Y$6:$Y$355,"&gt;0")</x:f>
        <x:v>0</x:v>
      </x:c>
      <x:c r="H155" s="3" t="n">
        <x:f>COUNTIFS('浓度矩阵'!$B$6:$B$355,"留出验证",'浓度矩阵'!$J$6:$J$355,"&gt;0",'浓度矩阵'!$Y$6:$Y$355,"&gt;0")</x:f>
        <x:v>0</x:v>
      </x:c>
      <x:c r="I155" s="3" t="n">
        <x:v>3</x:v>
      </x:c>
      <x:c r="J155" s="3" t="n">
        <x:v>3</x:v>
      </x:c>
      <x:c r="K155" s="3" t="n">
        <x:v>9</x:v>
      </x:c>
      <x:c r="L155" s="11" t="n">
        <x:f>J155/K155</x:f>
        <x:v>0.3333333333333333</x:v>
      </x:c>
    </x:row>
    <x:row r="156" ht="24" customHeight="1">
      <x:c r="A156" s="3" t="n">
        <x:v>52</x:v>
      </x:c>
      <x:c r="B156" s="3" t="n">
        <x:v>141</x:v>
      </x:c>
      <x:c r="C156" s="3" t="str">
        <x:v>丁酸乙酯</x:v>
      </x:c>
      <x:c r="D156" s="3" t="str">
        <x:v>戊酸乙酯</x:v>
      </x:c>
      <x:c r="E156" s="3" t="str">
        <x:v>3档×3档</x:v>
      </x:c>
      <x:c r="F156" s="3" t="n">
        <x:f>COUNTIFS('浓度矩阵'!$C$6:$C$355,1,'浓度矩阵'!$J$6:$J$355,"&gt;0",'浓度矩阵'!$Z$6:$Z$355,"&gt;0")</x:f>
        <x:v>3</x:v>
      </x:c>
      <x:c r="G156" s="3" t="n">
        <x:f>COUNTIFS('浓度矩阵'!$B$6:$B$355,"独立配制重复",'浓度矩阵'!$J$6:$J$355,"&gt;0",'浓度矩阵'!$Z$6:$Z$355,"&gt;0")</x:f>
        <x:v>1</x:v>
      </x:c>
      <x:c r="H156" s="3" t="n">
        <x:f>COUNTIFS('浓度矩阵'!$B$6:$B$355,"留出验证",'浓度矩阵'!$J$6:$J$355,"&gt;0",'浓度矩阵'!$Z$6:$Z$355,"&gt;0")</x:f>
        <x:v>0</x:v>
      </x:c>
      <x:c r="I156" s="3" t="n">
        <x:v>3</x:v>
      </x:c>
      <x:c r="J156" s="3" t="n">
        <x:v>3</x:v>
      </x:c>
      <x:c r="K156" s="3" t="n">
        <x:v>9</x:v>
      </x:c>
      <x:c r="L156" s="11" t="n">
        <x:f>J156/K156</x:f>
        <x:v>0.3333333333333333</x:v>
      </x:c>
    </x:row>
    <x:row r="157" ht="24" customHeight="1">
      <x:c r="A157" s="3" t="n">
        <x:v>52</x:v>
      </x:c>
      <x:c r="B157" s="3" t="n">
        <x:v>152</x:v>
      </x:c>
      <x:c r="C157" s="3" t="str">
        <x:v>丁酸乙酯</x:v>
      </x:c>
      <x:c r="D157" s="3" t="str">
        <x:v>异戊醛</x:v>
      </x:c>
      <x:c r="E157" s="3" t="str">
        <x:v>3档×3档</x:v>
      </x:c>
      <x:c r="F157" s="3" t="n">
        <x:f>COUNTIFS('浓度矩阵'!$C$6:$C$355,1,'浓度矩阵'!$J$6:$J$355,"&gt;0",'浓度矩阵'!$AA$6:$AA$355,"&gt;0")</x:f>
        <x:v>3</x:v>
      </x:c>
      <x:c r="G157" s="3" t="n">
        <x:f>COUNTIFS('浓度矩阵'!$B$6:$B$355,"独立配制重复",'浓度矩阵'!$J$6:$J$355,"&gt;0",'浓度矩阵'!$AA$6:$AA$355,"&gt;0")</x:f>
        <x:v>0</x:v>
      </x:c>
      <x:c r="H157" s="3" t="n">
        <x:f>COUNTIFS('浓度矩阵'!$B$6:$B$355,"留出验证",'浓度矩阵'!$J$6:$J$355,"&gt;0",'浓度矩阵'!$AA$6:$AA$355,"&gt;0")</x:f>
        <x:v>0</x:v>
      </x:c>
      <x:c r="I157" s="3" t="n">
        <x:v>3</x:v>
      </x:c>
      <x:c r="J157" s="3" t="n">
        <x:v>3</x:v>
      </x:c>
      <x:c r="K157" s="3" t="n">
        <x:v>9</x:v>
      </x:c>
      <x:c r="L157" s="11" t="n">
        <x:f>J157/K157</x:f>
        <x:v>0.3333333333333333</x:v>
      </x:c>
    </x:row>
    <x:row r="158" ht="24" customHeight="1">
      <x:c r="A158" s="3" t="n">
        <x:v>52</x:v>
      </x:c>
      <x:c r="B158" s="3" t="n">
        <x:v>165</x:v>
      </x:c>
      <x:c r="C158" s="3" t="str">
        <x:v>丁酸乙酯</x:v>
      </x:c>
      <x:c r="D158" s="3" t="str">
        <x:v>己酸丁酯</x:v>
      </x:c>
      <x:c r="E158" s="3" t="str">
        <x:v>3档×2档</x:v>
      </x:c>
      <x:c r="F158" s="3" t="n">
        <x:f>COUNTIFS('浓度矩阵'!$C$6:$C$355,1,'浓度矩阵'!$J$6:$J$355,"&gt;0",'浓度矩阵'!$AB$6:$AB$355,"&gt;0")</x:f>
        <x:v>3</x:v>
      </x:c>
      <x:c r="G158" s="3" t="n">
        <x:f>COUNTIFS('浓度矩阵'!$B$6:$B$355,"独立配制重复",'浓度矩阵'!$J$6:$J$355,"&gt;0",'浓度矩阵'!$AB$6:$AB$355,"&gt;0")</x:f>
        <x:v>0</x:v>
      </x:c>
      <x:c r="H158" s="3" t="n">
        <x:f>COUNTIFS('浓度矩阵'!$B$6:$B$355,"留出验证",'浓度矩阵'!$J$6:$J$355,"&gt;0",'浓度矩阵'!$AB$6:$AB$355,"&gt;0")</x:f>
        <x:v>0</x:v>
      </x:c>
      <x:c r="I158" s="3" t="n">
        <x:v>3</x:v>
      </x:c>
      <x:c r="J158" s="3" t="n">
        <x:v>3</x:v>
      </x:c>
      <x:c r="K158" s="3" t="n">
        <x:v>6</x:v>
      </x:c>
      <x:c r="L158" s="11" t="n">
        <x:f>J158/K158</x:f>
        <x:v>0.5</x:v>
      </x:c>
    </x:row>
    <x:row r="159" ht="24" customHeight="1">
      <x:c r="A159" s="3" t="n">
        <x:v>52</x:v>
      </x:c>
      <x:c r="B159" s="3" t="n">
        <x:v>186</x:v>
      </x:c>
      <x:c r="C159" s="3" t="str">
        <x:v>丁酸乙酯</x:v>
      </x:c>
      <x:c r="D159" s="3" t="str">
        <x:v>3-苯基丙酸乙酯</x:v>
      </x:c>
      <x:c r="E159" s="3" t="str">
        <x:v>3档×3档</x:v>
      </x:c>
      <x:c r="F159" s="3" t="n">
        <x:f>COUNTIFS('浓度矩阵'!$C$6:$C$355,1,'浓度矩阵'!$J$6:$J$355,"&gt;0",'浓度矩阵'!$AC$6:$AC$355,"&gt;0")</x:f>
        <x:v>2</x:v>
      </x:c>
      <x:c r="G159" s="3" t="n">
        <x:f>COUNTIFS('浓度矩阵'!$B$6:$B$355,"独立配制重复",'浓度矩阵'!$J$6:$J$355,"&gt;0",'浓度矩阵'!$AC$6:$AC$355,"&gt;0")</x:f>
        <x:v>0</x:v>
      </x:c>
      <x:c r="H159" s="3" t="n">
        <x:f>COUNTIFS('浓度矩阵'!$B$6:$B$355,"留出验证",'浓度矩阵'!$J$6:$J$355,"&gt;0",'浓度矩阵'!$AC$6:$AC$355,"&gt;0")</x:f>
        <x:v>0</x:v>
      </x:c>
      <x:c r="I159" s="3" t="n">
        <x:v>2</x:v>
      </x:c>
      <x:c r="J159" s="3" t="n">
        <x:v>2</x:v>
      </x:c>
      <x:c r="K159" s="3" t="n">
        <x:v>9</x:v>
      </x:c>
      <x:c r="L159" s="11" t="n">
        <x:f>J159/K159</x:f>
        <x:v>0.2222222222222222</x:v>
      </x:c>
    </x:row>
    <x:row r="160" ht="24" customHeight="1">
      <x:c r="A160" s="3" t="n">
        <x:v>52</x:v>
      </x:c>
      <x:c r="B160" s="3" t="n">
        <x:v>207</x:v>
      </x:c>
      <x:c r="C160" s="3" t="str">
        <x:v>丁酸乙酯</x:v>
      </x:c>
      <x:c r="D160" s="3" t="str">
        <x:v>1-辛烯-3-醇</x:v>
      </x:c>
      <x:c r="E160" s="3" t="str">
        <x:v>3档×3档</x:v>
      </x:c>
      <x:c r="F160" s="3" t="n">
        <x:f>COUNTIFS('浓度矩阵'!$C$6:$C$355,1,'浓度矩阵'!$J$6:$J$355,"&gt;0",'浓度矩阵'!$AD$6:$AD$355,"&gt;0")</x:f>
        <x:v>4</x:v>
      </x:c>
      <x:c r="G160" s="3" t="n">
        <x:f>COUNTIFS('浓度矩阵'!$B$6:$B$355,"独立配制重复",'浓度矩阵'!$J$6:$J$355,"&gt;0",'浓度矩阵'!$AD$6:$AD$355,"&gt;0")</x:f>
        <x:v>1</x:v>
      </x:c>
      <x:c r="H160" s="3" t="n">
        <x:f>COUNTIFS('浓度矩阵'!$B$6:$B$355,"留出验证",'浓度矩阵'!$J$6:$J$355,"&gt;0",'浓度矩阵'!$AD$6:$AD$355,"&gt;0")</x:f>
        <x:v>0</x:v>
      </x:c>
      <x:c r="I160" s="3" t="n">
        <x:v>4</x:v>
      </x:c>
      <x:c r="J160" s="3" t="n">
        <x:v>4</x:v>
      </x:c>
      <x:c r="K160" s="3" t="n">
        <x:v>9</x:v>
      </x:c>
      <x:c r="L160" s="11" t="n">
        <x:f>J160/K160</x:f>
        <x:v>0.4444444444444444</x:v>
      </x:c>
    </x:row>
    <x:row r="161" ht="24" customHeight="1">
      <x:c r="A161" s="3" t="n">
        <x:v>52</x:v>
      </x:c>
      <x:c r="B161" s="3" t="n">
        <x:v>209</x:v>
      </x:c>
      <x:c r="C161" s="3" t="str">
        <x:v>丁酸乙酯</x:v>
      </x:c>
      <x:c r="D161" s="3" t="str">
        <x:v>二甲基三硫醚</x:v>
      </x:c>
      <x:c r="E161" s="3" t="str">
        <x:v>3档×3档</x:v>
      </x:c>
      <x:c r="F161" s="3" t="n">
        <x:f>COUNTIFS('浓度矩阵'!$C$6:$C$355,1,'浓度矩阵'!$J$6:$J$355,"&gt;0",'浓度矩阵'!$AE$6:$AE$355,"&gt;0")</x:f>
        <x:v>3</x:v>
      </x:c>
      <x:c r="G161" s="3" t="n">
        <x:f>COUNTIFS('浓度矩阵'!$B$6:$B$355,"独立配制重复",'浓度矩阵'!$J$6:$J$355,"&gt;0",'浓度矩阵'!$AE$6:$AE$355,"&gt;0")</x:f>
        <x:v>0</x:v>
      </x:c>
      <x:c r="H161" s="3" t="n">
        <x:f>COUNTIFS('浓度矩阵'!$B$6:$B$355,"留出验证",'浓度矩阵'!$J$6:$J$355,"&gt;0",'浓度矩阵'!$AE$6:$AE$355,"&gt;0")</x:f>
        <x:v>0</x:v>
      </x:c>
      <x:c r="I161" s="3" t="n">
        <x:v>3</x:v>
      </x:c>
      <x:c r="J161" s="3" t="n">
        <x:v>3</x:v>
      </x:c>
      <x:c r="K161" s="3" t="n">
        <x:v>9</x:v>
      </x:c>
      <x:c r="L161" s="11" t="n">
        <x:f>J161/K161</x:f>
        <x:v>0.3333333333333333</x:v>
      </x:c>
    </x:row>
    <x:row r="162" ht="24" customHeight="1">
      <x:c r="A162" s="3" t="n">
        <x:v>52</x:v>
      </x:c>
      <x:c r="B162" s="3" t="n">
        <x:v>227</x:v>
      </x:c>
      <x:c r="C162" s="3" t="str">
        <x:v>丁酸乙酯</x:v>
      </x:c>
      <x:c r="D162" s="3" t="str">
        <x:v>己酸己酯</x:v>
      </x:c>
      <x:c r="E162" s="3" t="str">
        <x:v>3档×3档</x:v>
      </x:c>
      <x:c r="F162" s="3" t="n">
        <x:f>COUNTIFS('浓度矩阵'!$C$6:$C$355,1,'浓度矩阵'!$J$6:$J$355,"&gt;0",'浓度矩阵'!$AF$6:$AF$355,"&gt;0")</x:f>
        <x:v>3</x:v>
      </x:c>
      <x:c r="G162" s="3" t="n">
        <x:f>COUNTIFS('浓度矩阵'!$B$6:$B$355,"独立配制重复",'浓度矩阵'!$J$6:$J$355,"&gt;0",'浓度矩阵'!$AF$6:$AF$355,"&gt;0")</x:f>
        <x:v>0</x:v>
      </x:c>
      <x:c r="H162" s="3" t="n">
        <x:f>COUNTIFS('浓度矩阵'!$B$6:$B$355,"留出验证",'浓度矩阵'!$J$6:$J$355,"&gt;0",'浓度矩阵'!$AF$6:$AF$355,"&gt;0")</x:f>
        <x:v>0</x:v>
      </x:c>
      <x:c r="I162" s="3" t="n">
        <x:v>3</x:v>
      </x:c>
      <x:c r="J162" s="3" t="n">
        <x:v>3</x:v>
      </x:c>
      <x:c r="K162" s="3" t="n">
        <x:v>9</x:v>
      </x:c>
      <x:c r="L162" s="11" t="n">
        <x:f>J162/K162</x:f>
        <x:v>0.3333333333333333</x:v>
      </x:c>
    </x:row>
    <x:row r="163" ht="24" customHeight="1">
      <x:c r="A163" s="3" t="n">
        <x:v>52</x:v>
      </x:c>
      <x:c r="B163" s="3" t="n">
        <x:v>232</x:v>
      </x:c>
      <x:c r="C163" s="3" t="str">
        <x:v>丁酸乙酯</x:v>
      </x:c>
      <x:c r="D163" s="3" t="str">
        <x:v>2-甲基丁酸乙酯</x:v>
      </x:c>
      <x:c r="E163" s="3" t="str">
        <x:v>3档×3档</x:v>
      </x:c>
      <x:c r="F163" s="3" t="n">
        <x:f>COUNTIFS('浓度矩阵'!$C$6:$C$355,1,'浓度矩阵'!$J$6:$J$355,"&gt;0",'浓度矩阵'!$AG$6:$AG$355,"&gt;0")</x:f>
        <x:v>3</x:v>
      </x:c>
      <x:c r="G163" s="3" t="n">
        <x:f>COUNTIFS('浓度矩阵'!$B$6:$B$355,"独立配制重复",'浓度矩阵'!$J$6:$J$355,"&gt;0",'浓度矩阵'!$AG$6:$AG$355,"&gt;0")</x:f>
        <x:v>0</x:v>
      </x:c>
      <x:c r="H163" s="3" t="n">
        <x:f>COUNTIFS('浓度矩阵'!$B$6:$B$355,"留出验证",'浓度矩阵'!$J$6:$J$355,"&gt;0",'浓度矩阵'!$AG$6:$AG$355,"&gt;0")</x:f>
        <x:v>0</x:v>
      </x:c>
      <x:c r="I163" s="3" t="n">
        <x:v>3</x:v>
      </x:c>
      <x:c r="J163" s="3" t="n">
        <x:v>3</x:v>
      </x:c>
      <x:c r="K163" s="3" t="n">
        <x:v>9</x:v>
      </x:c>
      <x:c r="L163" s="11" t="n">
        <x:f>J163/K163</x:f>
        <x:v>0.3333333333333333</x:v>
      </x:c>
    </x:row>
    <x:row r="164" ht="24" customHeight="1">
      <x:c r="A164" s="3" t="n">
        <x:v>52</x:v>
      </x:c>
      <x:c r="B164" s="3" t="n">
        <x:v>255</x:v>
      </x:c>
      <x:c r="C164" s="3" t="str">
        <x:v>丁酸乙酯</x:v>
      </x:c>
      <x:c r="D164" s="3" t="str">
        <x:v>β-大马酮</x:v>
      </x:c>
      <x:c r="E164" s="3" t="str">
        <x:v>3档×3档</x:v>
      </x:c>
      <x:c r="F164" s="3" t="n">
        <x:f>COUNTIFS('浓度矩阵'!$C$6:$C$355,1,'浓度矩阵'!$J$6:$J$355,"&gt;0",'浓度矩阵'!$AH$6:$AH$355,"&gt;0")</x:f>
        <x:v>3</x:v>
      </x:c>
      <x:c r="G164" s="3" t="n">
        <x:f>COUNTIFS('浓度矩阵'!$B$6:$B$355,"独立配制重复",'浓度矩阵'!$J$6:$J$355,"&gt;0",'浓度矩阵'!$AH$6:$AH$355,"&gt;0")</x:f>
        <x:v>0</x:v>
      </x:c>
      <x:c r="H164" s="3" t="n">
        <x:f>COUNTIFS('浓度矩阵'!$B$6:$B$355,"留出验证",'浓度矩阵'!$J$6:$J$355,"&gt;0",'浓度矩阵'!$AH$6:$AH$355,"&gt;0")</x:f>
        <x:v>0</x:v>
      </x:c>
      <x:c r="I164" s="3" t="n">
        <x:v>3</x:v>
      </x:c>
      <x:c r="J164" s="3" t="n">
        <x:v>3</x:v>
      </x:c>
      <x:c r="K164" s="3" t="n">
        <x:v>9</x:v>
      </x:c>
      <x:c r="L164" s="11" t="n">
        <x:f>J164/K164</x:f>
        <x:v>0.3333333333333333</x:v>
      </x:c>
    </x:row>
    <x:row r="165" ht="24" customHeight="1">
      <x:c r="A165" s="3" t="n">
        <x:v>53</x:v>
      </x:c>
      <x:c r="B165" s="3" t="n">
        <x:v>56</x:v>
      </x:c>
      <x:c r="C165" s="3" t="str">
        <x:v>乙醛二乙缩醛</x:v>
      </x:c>
      <x:c r="D165" s="3" t="str">
        <x:v>丁酸异戊酯</x:v>
      </x:c>
      <x:c r="E165" s="3" t="str">
        <x:v>3档×2档</x:v>
      </x:c>
      <x:c r="F165" s="3" t="n">
        <x:f>COUNTIFS('浓度矩阵'!$C$6:$C$355,1,'浓度矩阵'!$K$6:$K$355,"&gt;0",'浓度矩阵'!$L$6:$L$355,"&gt;0")</x:f>
        <x:v>3</x:v>
      </x:c>
      <x:c r="G165" s="3" t="n">
        <x:f>COUNTIFS('浓度矩阵'!$B$6:$B$355,"独立配制重复",'浓度矩阵'!$K$6:$K$355,"&gt;0",'浓度矩阵'!$L$6:$L$355,"&gt;0")</x:f>
        <x:v>0</x:v>
      </x:c>
      <x:c r="H165" s="3" t="n">
        <x:f>COUNTIFS('浓度矩阵'!$B$6:$B$355,"留出验证",'浓度矩阵'!$K$6:$K$355,"&gt;0",'浓度矩阵'!$L$6:$L$355,"&gt;0")</x:f>
        <x:v>1</x:v>
      </x:c>
      <x:c r="I165" s="3" t="n">
        <x:v>3</x:v>
      </x:c>
      <x:c r="J165" s="3" t="n">
        <x:v>3</x:v>
      </x:c>
      <x:c r="K165" s="3" t="n">
        <x:v>6</x:v>
      </x:c>
      <x:c r="L165" s="11" t="n">
        <x:f>J165/K165</x:f>
        <x:v>0.5</x:v>
      </x:c>
    </x:row>
    <x:row r="166" ht="24" customHeight="1">
      <x:c r="A166" s="3" t="n">
        <x:v>53</x:v>
      </x:c>
      <x:c r="B166" s="3" t="n">
        <x:v>58</x:v>
      </x:c>
      <x:c r="C166" s="3" t="str">
        <x:v>乙醛二乙缩醛</x:v>
      </x:c>
      <x:c r="D166" s="3" t="str">
        <x:v>辛酸乙酯</x:v>
      </x:c>
      <x:c r="E166" s="3" t="str">
        <x:v>3档×3档</x:v>
      </x:c>
      <x:c r="F166" s="3" t="n">
        <x:f>COUNTIFS('浓度矩阵'!$C$6:$C$355,1,'浓度矩阵'!$K$6:$K$355,"&gt;0",'浓度矩阵'!$M$6:$M$355,"&gt;0")</x:f>
        <x:v>3</x:v>
      </x:c>
      <x:c r="G166" s="3" t="n">
        <x:f>COUNTIFS('浓度矩阵'!$B$6:$B$355,"独立配制重复",'浓度矩阵'!$K$6:$K$355,"&gt;0",'浓度矩阵'!$M$6:$M$355,"&gt;0")</x:f>
        <x:v>1</x:v>
      </x:c>
      <x:c r="H166" s="3" t="n">
        <x:f>COUNTIFS('浓度矩阵'!$B$6:$B$355,"留出验证",'浓度矩阵'!$K$6:$K$355,"&gt;0",'浓度矩阵'!$M$6:$M$355,"&gt;0")</x:f>
        <x:v>0</x:v>
      </x:c>
      <x:c r="I166" s="3" t="n">
        <x:v>3</x:v>
      </x:c>
      <x:c r="J166" s="3" t="n">
        <x:v>3</x:v>
      </x:c>
      <x:c r="K166" s="3" t="n">
        <x:v>9</x:v>
      </x:c>
      <x:c r="L166" s="11" t="n">
        <x:f>J166/K166</x:f>
        <x:v>0.3333333333333333</x:v>
      </x:c>
    </x:row>
    <x:row r="167" ht="24" customHeight="1">
      <x:c r="A167" s="3" t="n">
        <x:v>53</x:v>
      </x:c>
      <x:c r="B167" s="3" t="n">
        <x:v>61</x:v>
      </x:c>
      <x:c r="C167" s="3" t="str">
        <x:v>乙醛二乙缩醛</x:v>
      </x:c>
      <x:c r="D167" s="3" t="str">
        <x:v>对甲酚</x:v>
      </x:c>
      <x:c r="E167" s="3" t="str">
        <x:v>3档×3档</x:v>
      </x:c>
      <x:c r="F167" s="3" t="n">
        <x:f>COUNTIFS('浓度矩阵'!$C$6:$C$355,1,'浓度矩阵'!$K$6:$K$355,"&gt;0",'浓度矩阵'!$N$6:$N$355,"&gt;0")</x:f>
        <x:v>3</x:v>
      </x:c>
      <x:c r="G167" s="3" t="n">
        <x:f>COUNTIFS('浓度矩阵'!$B$6:$B$355,"独立配制重复",'浓度矩阵'!$K$6:$K$355,"&gt;0",'浓度矩阵'!$N$6:$N$355,"&gt;0")</x:f>
        <x:v>0</x:v>
      </x:c>
      <x:c r="H167" s="3" t="n">
        <x:f>COUNTIFS('浓度矩阵'!$B$6:$B$355,"留出验证",'浓度矩阵'!$K$6:$K$355,"&gt;0",'浓度矩阵'!$N$6:$N$355,"&gt;0")</x:f>
        <x:v>0</x:v>
      </x:c>
      <x:c r="I167" s="3" t="n">
        <x:v>3</x:v>
      </x:c>
      <x:c r="J167" s="3" t="n">
        <x:v>3</x:v>
      </x:c>
      <x:c r="K167" s="3" t="n">
        <x:v>9</x:v>
      </x:c>
      <x:c r="L167" s="11" t="n">
        <x:f>J167/K167</x:f>
        <x:v>0.3333333333333333</x:v>
      </x:c>
    </x:row>
    <x:row r="168" ht="24" customHeight="1">
      <x:c r="A168" s="3" t="n">
        <x:v>53</x:v>
      </x:c>
      <x:c r="B168" s="3" t="n">
        <x:v>69</x:v>
      </x:c>
      <x:c r="C168" s="3" t="str">
        <x:v>乙醛二乙缩醛</x:v>
      </x:c>
      <x:c r="D168" s="3" t="str">
        <x:v>异戊酸乙酯（3-甲基丁酸乙酯）</x:v>
      </x:c>
      <x:c r="E168" s="3" t="str">
        <x:v>3档×3档</x:v>
      </x:c>
      <x:c r="F168" s="3" t="n">
        <x:f>COUNTIFS('浓度矩阵'!$C$6:$C$355,1,'浓度矩阵'!$K$6:$K$355,"&gt;0",'浓度矩阵'!$O$6:$O$355,"&gt;0")</x:f>
        <x:v>3</x:v>
      </x:c>
      <x:c r="G168" s="3" t="n">
        <x:f>COUNTIFS('浓度矩阵'!$B$6:$B$355,"独立配制重复",'浓度矩阵'!$K$6:$K$355,"&gt;0",'浓度矩阵'!$O$6:$O$355,"&gt;0")</x:f>
        <x:v>0</x:v>
      </x:c>
      <x:c r="H168" s="3" t="n">
        <x:f>COUNTIFS('浓度矩阵'!$B$6:$B$355,"留出验证",'浓度矩阵'!$K$6:$K$355,"&gt;0",'浓度矩阵'!$O$6:$O$355,"&gt;0")</x:f>
        <x:v>0</x:v>
      </x:c>
      <x:c r="I168" s="3" t="n">
        <x:v>3</x:v>
      </x:c>
      <x:c r="J168" s="3" t="n">
        <x:v>3</x:v>
      </x:c>
      <x:c r="K168" s="3" t="n">
        <x:v>9</x:v>
      </x:c>
      <x:c r="L168" s="11" t="n">
        <x:f>J168/K168</x:f>
        <x:v>0.3333333333333333</x:v>
      </x:c>
    </x:row>
    <x:row r="169" ht="24" customHeight="1">
      <x:c r="A169" s="3" t="n">
        <x:v>53</x:v>
      </x:c>
      <x:c r="B169" s="3" t="n">
        <x:v>75</x:v>
      </x:c>
      <x:c r="C169" s="3" t="str">
        <x:v>乙醛二乙缩醛</x:v>
      </x:c>
      <x:c r="D169" s="3" t="str">
        <x:v>戊酸</x:v>
      </x:c>
      <x:c r="E169" s="3" t="str">
        <x:v>3档×3档</x:v>
      </x:c>
      <x:c r="F169" s="3" t="n">
        <x:f>COUNTIFS('浓度矩阵'!$C$6:$C$355,1,'浓度矩阵'!$K$6:$K$355,"&gt;0",'浓度矩阵'!$P$6:$P$355,"&gt;0")</x:f>
        <x:v>3</x:v>
      </x:c>
      <x:c r="G169" s="3" t="n">
        <x:f>COUNTIFS('浓度矩阵'!$B$6:$B$355,"独立配制重复",'浓度矩阵'!$K$6:$K$355,"&gt;0",'浓度矩阵'!$P$6:$P$355,"&gt;0")</x:f>
        <x:v>1</x:v>
      </x:c>
      <x:c r="H169" s="3" t="n">
        <x:f>COUNTIFS('浓度矩阵'!$B$6:$B$355,"留出验证",'浓度矩阵'!$K$6:$K$355,"&gt;0",'浓度矩阵'!$P$6:$P$355,"&gt;0")</x:f>
        <x:v>0</x:v>
      </x:c>
      <x:c r="I169" s="3" t="n">
        <x:v>3</x:v>
      </x:c>
      <x:c r="J169" s="3" t="n">
        <x:v>3</x:v>
      </x:c>
      <x:c r="K169" s="3" t="n">
        <x:v>9</x:v>
      </x:c>
      <x:c r="L169" s="11" t="n">
        <x:f>J169/K169</x:f>
        <x:v>0.3333333333333333</x:v>
      </x:c>
    </x:row>
    <x:row r="170" ht="24" customHeight="1">
      <x:c r="A170" s="3" t="n">
        <x:v>53</x:v>
      </x:c>
      <x:c r="B170" s="3" t="n">
        <x:v>79</x:v>
      </x:c>
      <x:c r="C170" s="3" t="str">
        <x:v>乙醛二乙缩醛</x:v>
      </x:c>
      <x:c r="D170" s="3" t="str">
        <x:v>癸酸乙酯</x:v>
      </x:c>
      <x:c r="E170" s="3" t="str">
        <x:v>3档×2档</x:v>
      </x:c>
      <x:c r="F170" s="3" t="n">
        <x:f>COUNTIFS('浓度矩阵'!$C$6:$C$355,1,'浓度矩阵'!$K$6:$K$355,"&gt;0",'浓度矩阵'!$Q$6:$Q$355,"&gt;0")</x:f>
        <x:v>3</x:v>
      </x:c>
      <x:c r="G170" s="3" t="n">
        <x:f>COUNTIFS('浓度矩阵'!$B$6:$B$355,"独立配制重复",'浓度矩阵'!$K$6:$K$355,"&gt;0",'浓度矩阵'!$Q$6:$Q$355,"&gt;0")</x:f>
        <x:v>0</x:v>
      </x:c>
      <x:c r="H170" s="3" t="n">
        <x:f>COUNTIFS('浓度矩阵'!$B$6:$B$355,"留出验证",'浓度矩阵'!$K$6:$K$355,"&gt;0",'浓度矩阵'!$Q$6:$Q$355,"&gt;0")</x:f>
        <x:v>0</x:v>
      </x:c>
      <x:c r="I170" s="3" t="n">
        <x:v>3</x:v>
      </x:c>
      <x:c r="J170" s="3" t="n">
        <x:v>3</x:v>
      </x:c>
      <x:c r="K170" s="3" t="n">
        <x:v>6</x:v>
      </x:c>
      <x:c r="L170" s="11" t="n">
        <x:f>J170/K170</x:f>
        <x:v>0.5</x:v>
      </x:c>
    </x:row>
    <x:row r="171" ht="24" customHeight="1">
      <x:c r="A171" s="3" t="n">
        <x:v>53</x:v>
      </x:c>
      <x:c r="B171" s="3" t="n">
        <x:v>90</x:v>
      </x:c>
      <x:c r="C171" s="3" t="str">
        <x:v>乙醛二乙缩醛</x:v>
      </x:c>
      <x:c r="D171" s="3" t="str">
        <x:v>1-辛醇</x:v>
      </x:c>
      <x:c r="E171" s="3" t="str">
        <x:v>3档×2档</x:v>
      </x:c>
      <x:c r="F171" s="3" t="n">
        <x:f>COUNTIFS('浓度矩阵'!$C$6:$C$355,1,'浓度矩阵'!$K$6:$K$355,"&gt;0",'浓度矩阵'!$R$6:$R$355,"&gt;0")</x:f>
        <x:v>3</x:v>
      </x:c>
      <x:c r="G171" s="3" t="n">
        <x:f>COUNTIFS('浓度矩阵'!$B$6:$B$355,"独立配制重复",'浓度矩阵'!$K$6:$K$355,"&gt;0",'浓度矩阵'!$R$6:$R$355,"&gt;0")</x:f>
        <x:v>0</x:v>
      </x:c>
      <x:c r="H171" s="3" t="n">
        <x:f>COUNTIFS('浓度矩阵'!$B$6:$B$355,"留出验证",'浓度矩阵'!$K$6:$K$355,"&gt;0",'浓度矩阵'!$R$6:$R$355,"&gt;0")</x:f>
        <x:v>0</x:v>
      </x:c>
      <x:c r="I171" s="3" t="n">
        <x:v>3</x:v>
      </x:c>
      <x:c r="J171" s="3" t="n">
        <x:v>3</x:v>
      </x:c>
      <x:c r="K171" s="3" t="n">
        <x:v>6</x:v>
      </x:c>
      <x:c r="L171" s="11" t="n">
        <x:f>J171/K171</x:f>
        <x:v>0.5</x:v>
      </x:c>
    </x:row>
    <x:row r="172" ht="24" customHeight="1">
      <x:c r="A172" s="3" t="n">
        <x:v>53</x:v>
      </x:c>
      <x:c r="B172" s="3" t="n">
        <x:v>105</x:v>
      </x:c>
      <x:c r="C172" s="3" t="str">
        <x:v>乙醛二乙缩醛</x:v>
      </x:c>
      <x:c r="D172" s="3" t="str">
        <x:v>苯乙醛</x:v>
      </x:c>
      <x:c r="E172" s="3" t="str">
        <x:v>3档×3档</x:v>
      </x:c>
      <x:c r="F172" s="3" t="n">
        <x:f>COUNTIFS('浓度矩阵'!$C$6:$C$355,1,'浓度矩阵'!$K$6:$K$355,"&gt;0",'浓度矩阵'!$S$6:$S$355,"&gt;0")</x:f>
        <x:v>3</x:v>
      </x:c>
      <x:c r="G172" s="3" t="n">
        <x:f>COUNTIFS('浓度矩阵'!$B$6:$B$355,"独立配制重复",'浓度矩阵'!$K$6:$K$355,"&gt;0",'浓度矩阵'!$S$6:$S$355,"&gt;0")</x:f>
        <x:v>0</x:v>
      </x:c>
      <x:c r="H172" s="3" t="n">
        <x:f>COUNTIFS('浓度矩阵'!$B$6:$B$355,"留出验证",'浓度矩阵'!$K$6:$K$355,"&gt;0",'浓度矩阵'!$S$6:$S$355,"&gt;0")</x:f>
        <x:v>0</x:v>
      </x:c>
      <x:c r="I172" s="3" t="n">
        <x:v>3</x:v>
      </x:c>
      <x:c r="J172" s="3" t="n">
        <x:v>3</x:v>
      </x:c>
      <x:c r="K172" s="3" t="n">
        <x:v>9</x:v>
      </x:c>
      <x:c r="L172" s="11" t="n">
        <x:f>J172/K172</x:f>
        <x:v>0.3333333333333333</x:v>
      </x:c>
    </x:row>
    <x:row r="173" ht="24" customHeight="1">
      <x:c r="A173" s="3" t="n">
        <x:v>53</x:v>
      </x:c>
      <x:c r="B173" s="3" t="n">
        <x:v>111</x:v>
      </x:c>
      <x:c r="C173" s="3" t="str">
        <x:v>乙醛二乙缩醛</x:v>
      </x:c>
      <x:c r="D173" s="3" t="str">
        <x:v>己酸乙酯</x:v>
      </x:c>
      <x:c r="E173" s="3" t="str">
        <x:v>3档×3档</x:v>
      </x:c>
      <x:c r="F173" s="3" t="n">
        <x:f>COUNTIFS('浓度矩阵'!$C$6:$C$355,1,'浓度矩阵'!$K$6:$K$355,"&gt;0",'浓度矩阵'!$T$6:$T$355,"&gt;0")</x:f>
        <x:v>3</x:v>
      </x:c>
      <x:c r="G173" s="3" t="n">
        <x:f>COUNTIFS('浓度矩阵'!$B$6:$B$355,"独立配制重复",'浓度矩阵'!$K$6:$K$355,"&gt;0",'浓度矩阵'!$T$6:$T$355,"&gt;0")</x:f>
        <x:v>0</x:v>
      </x:c>
      <x:c r="H173" s="3" t="n">
        <x:f>COUNTIFS('浓度矩阵'!$B$6:$B$355,"留出验证",'浓度矩阵'!$K$6:$K$355,"&gt;0",'浓度矩阵'!$T$6:$T$355,"&gt;0")</x:f>
        <x:v>1</x:v>
      </x:c>
      <x:c r="I173" s="3" t="n">
        <x:v>3</x:v>
      </x:c>
      <x:c r="J173" s="3" t="n">
        <x:v>3</x:v>
      </x:c>
      <x:c r="K173" s="3" t="n">
        <x:v>9</x:v>
      </x:c>
      <x:c r="L173" s="11" t="n">
        <x:f>J173/K173</x:f>
        <x:v>0.3333333333333333</x:v>
      </x:c>
    </x:row>
    <x:row r="174" ht="24" customHeight="1">
      <x:c r="A174" s="3" t="n">
        <x:v>53</x:v>
      </x:c>
      <x:c r="B174" s="3" t="n">
        <x:v>114</x:v>
      </x:c>
      <x:c r="C174" s="3" t="str">
        <x:v>乙醛二乙缩醛</x:v>
      </x:c>
      <x:c r="D174" s="3" t="str">
        <x:v>乙酸丁酯</x:v>
      </x:c>
      <x:c r="E174" s="3" t="str">
        <x:v>3档×2档</x:v>
      </x:c>
      <x:c r="F174" s="3" t="n">
        <x:f>COUNTIFS('浓度矩阵'!$C$6:$C$355,1,'浓度矩阵'!$K$6:$K$355,"&gt;0",'浓度矩阵'!$U$6:$U$355,"&gt;0")</x:f>
        <x:v>4</x:v>
      </x:c>
      <x:c r="G174" s="3" t="n">
        <x:f>COUNTIFS('浓度矩阵'!$B$6:$B$355,"独立配制重复",'浓度矩阵'!$K$6:$K$355,"&gt;0",'浓度矩阵'!$U$6:$U$355,"&gt;0")</x:f>
        <x:v>0</x:v>
      </x:c>
      <x:c r="H174" s="3" t="n">
        <x:f>COUNTIFS('浓度矩阵'!$B$6:$B$355,"留出验证",'浓度矩阵'!$K$6:$K$355,"&gt;0",'浓度矩阵'!$U$6:$U$355,"&gt;0")</x:f>
        <x:v>0</x:v>
      </x:c>
      <x:c r="I174" s="3" t="n">
        <x:v>4</x:v>
      </x:c>
      <x:c r="J174" s="3" t="n">
        <x:v>4</x:v>
      </x:c>
      <x:c r="K174" s="3" t="n">
        <x:v>6</x:v>
      </x:c>
      <x:c r="L174" s="11" t="n">
        <x:f>J174/K174</x:f>
        <x:v>0.6666666666666666</x:v>
      </x:c>
    </x:row>
    <x:row r="175" ht="24" customHeight="1">
      <x:c r="A175" s="3" t="n">
        <x:v>53</x:v>
      </x:c>
      <x:c r="B175" s="3" t="n">
        <x:v>115</x:v>
      </x:c>
      <x:c r="C175" s="3" t="str">
        <x:v>乙醛二乙缩醛</x:v>
      </x:c>
      <x:c r="D175" s="3" t="str">
        <x:v>乙酸异戊酯</x:v>
      </x:c>
      <x:c r="E175" s="3" t="str">
        <x:v>3档×3档</x:v>
      </x:c>
      <x:c r="F175" s="3" t="n">
        <x:f>COUNTIFS('浓度矩阵'!$C$6:$C$355,1,'浓度矩阵'!$K$6:$K$355,"&gt;0",'浓度矩阵'!$V$6:$V$355,"&gt;0")</x:f>
        <x:v>3</x:v>
      </x:c>
      <x:c r="G175" s="3" t="n">
        <x:f>COUNTIFS('浓度矩阵'!$B$6:$B$355,"独立配制重复",'浓度矩阵'!$K$6:$K$355,"&gt;0",'浓度矩阵'!$V$6:$V$355,"&gt;0")</x:f>
        <x:v>0</x:v>
      </x:c>
      <x:c r="H175" s="3" t="n">
        <x:f>COUNTIFS('浓度矩阵'!$B$6:$B$355,"留出验证",'浓度矩阵'!$K$6:$K$355,"&gt;0",'浓度矩阵'!$V$6:$V$355,"&gt;0")</x:f>
        <x:v>0</x:v>
      </x:c>
      <x:c r="I175" s="3" t="n">
        <x:v>3</x:v>
      </x:c>
      <x:c r="J175" s="3" t="n">
        <x:v>3</x:v>
      </x:c>
      <x:c r="K175" s="3" t="n">
        <x:v>9</x:v>
      </x:c>
      <x:c r="L175" s="11" t="n">
        <x:f>J175/K175</x:f>
        <x:v>0.3333333333333333</x:v>
      </x:c>
    </x:row>
    <x:row r="176" ht="24" customHeight="1">
      <x:c r="A176" s="3" t="n">
        <x:v>53</x:v>
      </x:c>
      <x:c r="B176" s="3" t="n">
        <x:v>117</x:v>
      </x:c>
      <x:c r="C176" s="3" t="str">
        <x:v>乙醛二乙缩醛</x:v>
      </x:c>
      <x:c r="D176" s="3" t="str">
        <x:v>辛酸</x:v>
      </x:c>
      <x:c r="E176" s="3" t="str">
        <x:v>3档×3档</x:v>
      </x:c>
      <x:c r="F176" s="3" t="n">
        <x:f>COUNTIFS('浓度矩阵'!$C$6:$C$355,1,'浓度矩阵'!$K$6:$K$355,"&gt;0",'浓度矩阵'!$W$6:$W$355,"&gt;0")</x:f>
        <x:v>3</x:v>
      </x:c>
      <x:c r="G176" s="3" t="n">
        <x:f>COUNTIFS('浓度矩阵'!$B$6:$B$355,"独立配制重复",'浓度矩阵'!$K$6:$K$355,"&gt;0",'浓度矩阵'!$W$6:$W$355,"&gt;0")</x:f>
        <x:v>0</x:v>
      </x:c>
      <x:c r="H176" s="3" t="n">
        <x:f>COUNTIFS('浓度矩阵'!$B$6:$B$355,"留出验证",'浓度矩阵'!$K$6:$K$355,"&gt;0",'浓度矩阵'!$W$6:$W$355,"&gt;0")</x:f>
        <x:v>0</x:v>
      </x:c>
      <x:c r="I176" s="3" t="n">
        <x:v>3</x:v>
      </x:c>
      <x:c r="J176" s="3" t="n">
        <x:v>3</x:v>
      </x:c>
      <x:c r="K176" s="3" t="n">
        <x:v>9</x:v>
      </x:c>
      <x:c r="L176" s="11" t="n">
        <x:f>J176/K176</x:f>
        <x:v>0.3333333333333333</x:v>
      </x:c>
    </x:row>
    <x:row r="177" ht="24" customHeight="1">
      <x:c r="A177" s="3" t="n">
        <x:v>53</x:v>
      </x:c>
      <x:c r="B177" s="3" t="n">
        <x:v>126</x:v>
      </x:c>
      <x:c r="C177" s="3" t="str">
        <x:v>乙醛二乙缩醛</x:v>
      </x:c>
      <x:c r="D177" s="3" t="str">
        <x:v>己酸</x:v>
      </x:c>
      <x:c r="E177" s="3" t="str">
        <x:v>3档×3档</x:v>
      </x:c>
      <x:c r="F177" s="3" t="n">
        <x:f>COUNTIFS('浓度矩阵'!$C$6:$C$355,1,'浓度矩阵'!$K$6:$K$355,"&gt;0",'浓度矩阵'!$X$6:$X$355,"&gt;0")</x:f>
        <x:v>3</x:v>
      </x:c>
      <x:c r="G177" s="3" t="n">
        <x:f>COUNTIFS('浓度矩阵'!$B$6:$B$355,"独立配制重复",'浓度矩阵'!$K$6:$K$355,"&gt;0",'浓度矩阵'!$X$6:$X$355,"&gt;0")</x:f>
        <x:v>0</x:v>
      </x:c>
      <x:c r="H177" s="3" t="n">
        <x:f>COUNTIFS('浓度矩阵'!$B$6:$B$355,"留出验证",'浓度矩阵'!$K$6:$K$355,"&gt;0",'浓度矩阵'!$X$6:$X$355,"&gt;0")</x:f>
        <x:v>0</x:v>
      </x:c>
      <x:c r="I177" s="3" t="n">
        <x:v>3</x:v>
      </x:c>
      <x:c r="J177" s="3" t="n">
        <x:v>3</x:v>
      </x:c>
      <x:c r="K177" s="3" t="n">
        <x:v>9</x:v>
      </x:c>
      <x:c r="L177" s="11" t="n">
        <x:f>J177/K177</x:f>
        <x:v>0.3333333333333333</x:v>
      </x:c>
    </x:row>
    <x:row r="178" ht="24" customHeight="1">
      <x:c r="A178" s="3" t="n">
        <x:v>53</x:v>
      </x:c>
      <x:c r="B178" s="3" t="n">
        <x:v>136</x:v>
      </x:c>
      <x:c r="C178" s="3" t="str">
        <x:v>乙醛二乙缩醛</x:v>
      </x:c>
      <x:c r="D178" s="3" t="str">
        <x:v>异戊酸/3-甲基丁酸</x:v>
      </x:c>
      <x:c r="E178" s="3" t="str">
        <x:v>3档×3档</x:v>
      </x:c>
      <x:c r="F178" s="3" t="n">
        <x:f>COUNTIFS('浓度矩阵'!$C$6:$C$355,1,'浓度矩阵'!$K$6:$K$355,"&gt;0",'浓度矩阵'!$Y$6:$Y$355,"&gt;0")</x:f>
        <x:v>3</x:v>
      </x:c>
      <x:c r="G178" s="3" t="n">
        <x:f>COUNTIFS('浓度矩阵'!$B$6:$B$355,"独立配制重复",'浓度矩阵'!$K$6:$K$355,"&gt;0",'浓度矩阵'!$Y$6:$Y$355,"&gt;0")</x:f>
        <x:v>0</x:v>
      </x:c>
      <x:c r="H178" s="3" t="n">
        <x:f>COUNTIFS('浓度矩阵'!$B$6:$B$355,"留出验证",'浓度矩阵'!$K$6:$K$355,"&gt;0",'浓度矩阵'!$Y$6:$Y$355,"&gt;0")</x:f>
        <x:v>0</x:v>
      </x:c>
      <x:c r="I178" s="3" t="n">
        <x:v>3</x:v>
      </x:c>
      <x:c r="J178" s="3" t="n">
        <x:v>3</x:v>
      </x:c>
      <x:c r="K178" s="3" t="n">
        <x:v>9</x:v>
      </x:c>
      <x:c r="L178" s="11" t="n">
        <x:f>J178/K178</x:f>
        <x:v>0.3333333333333333</x:v>
      </x:c>
    </x:row>
    <x:row r="179" ht="24" customHeight="1">
      <x:c r="A179" s="3" t="n">
        <x:v>53</x:v>
      </x:c>
      <x:c r="B179" s="3" t="n">
        <x:v>141</x:v>
      </x:c>
      <x:c r="C179" s="3" t="str">
        <x:v>乙醛二乙缩醛</x:v>
      </x:c>
      <x:c r="D179" s="3" t="str">
        <x:v>戊酸乙酯</x:v>
      </x:c>
      <x:c r="E179" s="3" t="str">
        <x:v>3档×3档</x:v>
      </x:c>
      <x:c r="F179" s="3" t="n">
        <x:f>COUNTIFS('浓度矩阵'!$C$6:$C$355,1,'浓度矩阵'!$K$6:$K$355,"&gt;0",'浓度矩阵'!$Z$6:$Z$355,"&gt;0")</x:f>
        <x:v>3</x:v>
      </x:c>
      <x:c r="G179" s="3" t="n">
        <x:f>COUNTIFS('浓度矩阵'!$B$6:$B$355,"独立配制重复",'浓度矩阵'!$K$6:$K$355,"&gt;0",'浓度矩阵'!$Z$6:$Z$355,"&gt;0")</x:f>
        <x:v>0</x:v>
      </x:c>
      <x:c r="H179" s="3" t="n">
        <x:f>COUNTIFS('浓度矩阵'!$B$6:$B$355,"留出验证",'浓度矩阵'!$K$6:$K$355,"&gt;0",'浓度矩阵'!$Z$6:$Z$355,"&gt;0")</x:f>
        <x:v>0</x:v>
      </x:c>
      <x:c r="I179" s="3" t="n">
        <x:v>3</x:v>
      </x:c>
      <x:c r="J179" s="3" t="n">
        <x:v>3</x:v>
      </x:c>
      <x:c r="K179" s="3" t="n">
        <x:v>9</x:v>
      </x:c>
      <x:c r="L179" s="11" t="n">
        <x:f>J179/K179</x:f>
        <x:v>0.3333333333333333</x:v>
      </x:c>
    </x:row>
    <x:row r="180" ht="24" customHeight="1">
      <x:c r="A180" s="3" t="n">
        <x:v>53</x:v>
      </x:c>
      <x:c r="B180" s="3" t="n">
        <x:v>152</x:v>
      </x:c>
      <x:c r="C180" s="3" t="str">
        <x:v>乙醛二乙缩醛</x:v>
      </x:c>
      <x:c r="D180" s="3" t="str">
        <x:v>异戊醛</x:v>
      </x:c>
      <x:c r="E180" s="3" t="str">
        <x:v>3档×3档</x:v>
      </x:c>
      <x:c r="F180" s="3" t="n">
        <x:f>COUNTIFS('浓度矩阵'!$C$6:$C$355,1,'浓度矩阵'!$K$6:$K$355,"&gt;0",'浓度矩阵'!$AA$6:$AA$355,"&gt;0")</x:f>
        <x:v>3</x:v>
      </x:c>
      <x:c r="G180" s="3" t="n">
        <x:f>COUNTIFS('浓度矩阵'!$B$6:$B$355,"独立配制重复",'浓度矩阵'!$K$6:$K$355,"&gt;0",'浓度矩阵'!$AA$6:$AA$355,"&gt;0")</x:f>
        <x:v>0</x:v>
      </x:c>
      <x:c r="H180" s="3" t="n">
        <x:f>COUNTIFS('浓度矩阵'!$B$6:$B$355,"留出验证",'浓度矩阵'!$K$6:$K$355,"&gt;0",'浓度矩阵'!$AA$6:$AA$355,"&gt;0")</x:f>
        <x:v>0</x:v>
      </x:c>
      <x:c r="I180" s="3" t="n">
        <x:v>3</x:v>
      </x:c>
      <x:c r="J180" s="3" t="n">
        <x:v>3</x:v>
      </x:c>
      <x:c r="K180" s="3" t="n">
        <x:v>9</x:v>
      </x:c>
      <x:c r="L180" s="11" t="n">
        <x:f>J180/K180</x:f>
        <x:v>0.3333333333333333</x:v>
      </x:c>
    </x:row>
    <x:row r="181" ht="24" customHeight="1">
      <x:c r="A181" s="3" t="n">
        <x:v>53</x:v>
      </x:c>
      <x:c r="B181" s="3" t="n">
        <x:v>165</x:v>
      </x:c>
      <x:c r="C181" s="3" t="str">
        <x:v>乙醛二乙缩醛</x:v>
      </x:c>
      <x:c r="D181" s="3" t="str">
        <x:v>己酸丁酯</x:v>
      </x:c>
      <x:c r="E181" s="3" t="str">
        <x:v>3档×2档</x:v>
      </x:c>
      <x:c r="F181" s="3" t="n">
        <x:f>COUNTIFS('浓度矩阵'!$C$6:$C$355,1,'浓度矩阵'!$K$6:$K$355,"&gt;0",'浓度矩阵'!$AB$6:$AB$355,"&gt;0")</x:f>
        <x:v>3</x:v>
      </x:c>
      <x:c r="G181" s="3" t="n">
        <x:f>COUNTIFS('浓度矩阵'!$B$6:$B$355,"独立配制重复",'浓度矩阵'!$K$6:$K$355,"&gt;0",'浓度矩阵'!$AB$6:$AB$355,"&gt;0")</x:f>
        <x:v>0</x:v>
      </x:c>
      <x:c r="H181" s="3" t="n">
        <x:f>COUNTIFS('浓度矩阵'!$B$6:$B$355,"留出验证",'浓度矩阵'!$K$6:$K$355,"&gt;0",'浓度矩阵'!$AB$6:$AB$355,"&gt;0")</x:f>
        <x:v>0</x:v>
      </x:c>
      <x:c r="I181" s="3" t="n">
        <x:v>3</x:v>
      </x:c>
      <x:c r="J181" s="3" t="n">
        <x:v>3</x:v>
      </x:c>
      <x:c r="K181" s="3" t="n">
        <x:v>6</x:v>
      </x:c>
      <x:c r="L181" s="11" t="n">
        <x:f>J181/K181</x:f>
        <x:v>0.5</x:v>
      </x:c>
    </x:row>
    <x:row r="182" ht="24" customHeight="1">
      <x:c r="A182" s="3" t="n">
        <x:v>53</x:v>
      </x:c>
      <x:c r="B182" s="3" t="n">
        <x:v>186</x:v>
      </x:c>
      <x:c r="C182" s="3" t="str">
        <x:v>乙醛二乙缩醛</x:v>
      </x:c>
      <x:c r="D182" s="3" t="str">
        <x:v>3-苯基丙酸乙酯</x:v>
      </x:c>
      <x:c r="E182" s="3" t="str">
        <x:v>3档×3档</x:v>
      </x:c>
      <x:c r="F182" s="3" t="n">
        <x:f>COUNTIFS('浓度矩阵'!$C$6:$C$355,1,'浓度矩阵'!$K$6:$K$355,"&gt;0",'浓度矩阵'!$AC$6:$AC$355,"&gt;0")</x:f>
        <x:v>3</x:v>
      </x:c>
      <x:c r="G182" s="3" t="n">
        <x:f>COUNTIFS('浓度矩阵'!$B$6:$B$355,"独立配制重复",'浓度矩阵'!$K$6:$K$355,"&gt;0",'浓度矩阵'!$AC$6:$AC$355,"&gt;0")</x:f>
        <x:v>0</x:v>
      </x:c>
      <x:c r="H182" s="3" t="n">
        <x:f>COUNTIFS('浓度矩阵'!$B$6:$B$355,"留出验证",'浓度矩阵'!$K$6:$K$355,"&gt;0",'浓度矩阵'!$AC$6:$AC$355,"&gt;0")</x:f>
        <x:v>1</x:v>
      </x:c>
      <x:c r="I182" s="3" t="n">
        <x:v>3</x:v>
      </x:c>
      <x:c r="J182" s="3" t="n">
        <x:v>3</x:v>
      </x:c>
      <x:c r="K182" s="3" t="n">
        <x:v>9</x:v>
      </x:c>
      <x:c r="L182" s="11" t="n">
        <x:f>J182/K182</x:f>
        <x:v>0.3333333333333333</x:v>
      </x:c>
    </x:row>
    <x:row r="183" ht="24" customHeight="1">
      <x:c r="A183" s="3" t="n">
        <x:v>53</x:v>
      </x:c>
      <x:c r="B183" s="3" t="n">
        <x:v>207</x:v>
      </x:c>
      <x:c r="C183" s="3" t="str">
        <x:v>乙醛二乙缩醛</x:v>
      </x:c>
      <x:c r="D183" s="3" t="str">
        <x:v>1-辛烯-3-醇</x:v>
      </x:c>
      <x:c r="E183" s="3" t="str">
        <x:v>3档×3档</x:v>
      </x:c>
      <x:c r="F183" s="3" t="n">
        <x:f>COUNTIFS('浓度矩阵'!$C$6:$C$355,1,'浓度矩阵'!$K$6:$K$355,"&gt;0",'浓度矩阵'!$AD$6:$AD$355,"&gt;0")</x:f>
        <x:v>3</x:v>
      </x:c>
      <x:c r="G183" s="3" t="n">
        <x:f>COUNTIFS('浓度矩阵'!$B$6:$B$355,"独立配制重复",'浓度矩阵'!$K$6:$K$355,"&gt;0",'浓度矩阵'!$AD$6:$AD$355,"&gt;0")</x:f>
        <x:v>0</x:v>
      </x:c>
      <x:c r="H183" s="3" t="n">
        <x:f>COUNTIFS('浓度矩阵'!$B$6:$B$355,"留出验证",'浓度矩阵'!$K$6:$K$355,"&gt;0",'浓度矩阵'!$AD$6:$AD$355,"&gt;0")</x:f>
        <x:v>0</x:v>
      </x:c>
      <x:c r="I183" s="3" t="n">
        <x:v>3</x:v>
      </x:c>
      <x:c r="J183" s="3" t="n">
        <x:v>3</x:v>
      </x:c>
      <x:c r="K183" s="3" t="n">
        <x:v>9</x:v>
      </x:c>
      <x:c r="L183" s="11" t="n">
        <x:f>J183/K183</x:f>
        <x:v>0.3333333333333333</x:v>
      </x:c>
    </x:row>
    <x:row r="184" ht="24" customHeight="1">
      <x:c r="A184" s="3" t="n">
        <x:v>53</x:v>
      </x:c>
      <x:c r="B184" s="3" t="n">
        <x:v>209</x:v>
      </x:c>
      <x:c r="C184" s="3" t="str">
        <x:v>乙醛二乙缩醛</x:v>
      </x:c>
      <x:c r="D184" s="3" t="str">
        <x:v>二甲基三硫醚</x:v>
      </x:c>
      <x:c r="E184" s="3" t="str">
        <x:v>3档×3档</x:v>
      </x:c>
      <x:c r="F184" s="3" t="n">
        <x:f>COUNTIFS('浓度矩阵'!$C$6:$C$355,1,'浓度矩阵'!$K$6:$K$355,"&gt;0",'浓度矩阵'!$AE$6:$AE$355,"&gt;0")</x:f>
        <x:v>4</x:v>
      </x:c>
      <x:c r="G184" s="3" t="n">
        <x:f>COUNTIFS('浓度矩阵'!$B$6:$B$355,"独立配制重复",'浓度矩阵'!$K$6:$K$355,"&gt;0",'浓度矩阵'!$AE$6:$AE$355,"&gt;0")</x:f>
        <x:v>1</x:v>
      </x:c>
      <x:c r="H184" s="3" t="n">
        <x:f>COUNTIFS('浓度矩阵'!$B$6:$B$355,"留出验证",'浓度矩阵'!$K$6:$K$355,"&gt;0",'浓度矩阵'!$AE$6:$AE$355,"&gt;0")</x:f>
        <x:v>0</x:v>
      </x:c>
      <x:c r="I184" s="3" t="n">
        <x:v>4</x:v>
      </x:c>
      <x:c r="J184" s="3" t="n">
        <x:v>4</x:v>
      </x:c>
      <x:c r="K184" s="3" t="n">
        <x:v>9</x:v>
      </x:c>
      <x:c r="L184" s="11" t="n">
        <x:f>J184/K184</x:f>
        <x:v>0.4444444444444444</x:v>
      </x:c>
    </x:row>
    <x:row r="185" ht="24" customHeight="1">
      <x:c r="A185" s="3" t="n">
        <x:v>53</x:v>
      </x:c>
      <x:c r="B185" s="3" t="n">
        <x:v>227</x:v>
      </x:c>
      <x:c r="C185" s="3" t="str">
        <x:v>乙醛二乙缩醛</x:v>
      </x:c>
      <x:c r="D185" s="3" t="str">
        <x:v>己酸己酯</x:v>
      </x:c>
      <x:c r="E185" s="3" t="str">
        <x:v>3档×3档</x:v>
      </x:c>
      <x:c r="F185" s="3" t="n">
        <x:f>COUNTIFS('浓度矩阵'!$C$6:$C$355,1,'浓度矩阵'!$K$6:$K$355,"&gt;0",'浓度矩阵'!$AF$6:$AF$355,"&gt;0")</x:f>
        <x:v>3</x:v>
      </x:c>
      <x:c r="G185" s="3" t="n">
        <x:f>COUNTIFS('浓度矩阵'!$B$6:$B$355,"独立配制重复",'浓度矩阵'!$K$6:$K$355,"&gt;0",'浓度矩阵'!$AF$6:$AF$355,"&gt;0")</x:f>
        <x:v>0</x:v>
      </x:c>
      <x:c r="H185" s="3" t="n">
        <x:f>COUNTIFS('浓度矩阵'!$B$6:$B$355,"留出验证",'浓度矩阵'!$K$6:$K$355,"&gt;0",'浓度矩阵'!$AF$6:$AF$355,"&gt;0")</x:f>
        <x:v>0</x:v>
      </x:c>
      <x:c r="I185" s="3" t="n">
        <x:v>3</x:v>
      </x:c>
      <x:c r="J185" s="3" t="n">
        <x:v>3</x:v>
      </x:c>
      <x:c r="K185" s="3" t="n">
        <x:v>9</x:v>
      </x:c>
      <x:c r="L185" s="11" t="n">
        <x:f>J185/K185</x:f>
        <x:v>0.3333333333333333</x:v>
      </x:c>
    </x:row>
    <x:row r="186" ht="24" customHeight="1">
      <x:c r="A186" s="3" t="n">
        <x:v>53</x:v>
      </x:c>
      <x:c r="B186" s="3" t="n">
        <x:v>232</x:v>
      </x:c>
      <x:c r="C186" s="3" t="str">
        <x:v>乙醛二乙缩醛</x:v>
      </x:c>
      <x:c r="D186" s="3" t="str">
        <x:v>2-甲基丁酸乙酯</x:v>
      </x:c>
      <x:c r="E186" s="3" t="str">
        <x:v>3档×3档</x:v>
      </x:c>
      <x:c r="F186" s="3" t="n">
        <x:f>COUNTIFS('浓度矩阵'!$C$6:$C$355,1,'浓度矩阵'!$K$6:$K$355,"&gt;0",'浓度矩阵'!$AG$6:$AG$355,"&gt;0")</x:f>
        <x:v>3</x:v>
      </x:c>
      <x:c r="G186" s="3" t="n">
        <x:f>COUNTIFS('浓度矩阵'!$B$6:$B$355,"独立配制重复",'浓度矩阵'!$K$6:$K$355,"&gt;0",'浓度矩阵'!$AG$6:$AG$355,"&gt;0")</x:f>
        <x:v>0</x:v>
      </x:c>
      <x:c r="H186" s="3" t="n">
        <x:f>COUNTIFS('浓度矩阵'!$B$6:$B$355,"留出验证",'浓度矩阵'!$K$6:$K$355,"&gt;0",'浓度矩阵'!$AG$6:$AG$355,"&gt;0")</x:f>
        <x:v>0</x:v>
      </x:c>
      <x:c r="I186" s="3" t="n">
        <x:v>3</x:v>
      </x:c>
      <x:c r="J186" s="3" t="n">
        <x:v>3</x:v>
      </x:c>
      <x:c r="K186" s="3" t="n">
        <x:v>9</x:v>
      </x:c>
      <x:c r="L186" s="11" t="n">
        <x:f>J186/K186</x:f>
        <x:v>0.3333333333333333</x:v>
      </x:c>
    </x:row>
    <x:row r="187" ht="24" customHeight="1">
      <x:c r="A187" s="3" t="n">
        <x:v>53</x:v>
      </x:c>
      <x:c r="B187" s="3" t="n">
        <x:v>255</x:v>
      </x:c>
      <x:c r="C187" s="3" t="str">
        <x:v>乙醛二乙缩醛</x:v>
      </x:c>
      <x:c r="D187" s="3" t="str">
        <x:v>β-大马酮</x:v>
      </x:c>
      <x:c r="E187" s="3" t="str">
        <x:v>3档×3档</x:v>
      </x:c>
      <x:c r="F187" s="3" t="n">
        <x:f>COUNTIFS('浓度矩阵'!$C$6:$C$355,1,'浓度矩阵'!$K$6:$K$355,"&gt;0",'浓度矩阵'!$AH$6:$AH$355,"&gt;0")</x:f>
        <x:v>3</x:v>
      </x:c>
      <x:c r="G187" s="3" t="n">
        <x:f>COUNTIFS('浓度矩阵'!$B$6:$B$355,"独立配制重复",'浓度矩阵'!$K$6:$K$355,"&gt;0",'浓度矩阵'!$AH$6:$AH$355,"&gt;0")</x:f>
        <x:v>0</x:v>
      </x:c>
      <x:c r="H187" s="3" t="n">
        <x:f>COUNTIFS('浓度矩阵'!$B$6:$B$355,"留出验证",'浓度矩阵'!$K$6:$K$355,"&gt;0",'浓度矩阵'!$AH$6:$AH$355,"&gt;0")</x:f>
        <x:v>0</x:v>
      </x:c>
      <x:c r="I187" s="3" t="n">
        <x:v>3</x:v>
      </x:c>
      <x:c r="J187" s="3" t="n">
        <x:v>3</x:v>
      </x:c>
      <x:c r="K187" s="3" t="n">
        <x:v>9</x:v>
      </x:c>
      <x:c r="L187" s="11" t="n">
        <x:f>J187/K187</x:f>
        <x:v>0.3333333333333333</x:v>
      </x:c>
    </x:row>
    <x:row r="188" ht="24" customHeight="1">
      <x:c r="A188" s="3" t="n">
        <x:v>56</x:v>
      </x:c>
      <x:c r="B188" s="3" t="n">
        <x:v>58</x:v>
      </x:c>
      <x:c r="C188" s="3" t="str">
        <x:v>丁酸异戊酯</x:v>
      </x:c>
      <x:c r="D188" s="3" t="str">
        <x:v>辛酸乙酯</x:v>
      </x:c>
      <x:c r="E188" s="3" t="str">
        <x:v>2档×3档</x:v>
      </x:c>
      <x:c r="F188" s="3" t="n">
        <x:f>COUNTIFS('浓度矩阵'!$C$6:$C$355,1,'浓度矩阵'!$L$6:$L$355,"&gt;0",'浓度矩阵'!$M$6:$M$355,"&gt;0")</x:f>
        <x:v>3</x:v>
      </x:c>
      <x:c r="G188" s="3" t="n">
        <x:f>COUNTIFS('浓度矩阵'!$B$6:$B$355,"独立配制重复",'浓度矩阵'!$L$6:$L$355,"&gt;0",'浓度矩阵'!$M$6:$M$355,"&gt;0")</x:f>
        <x:v>0</x:v>
      </x:c>
      <x:c r="H188" s="3" t="n">
        <x:f>COUNTIFS('浓度矩阵'!$B$6:$B$355,"留出验证",'浓度矩阵'!$L$6:$L$355,"&gt;0",'浓度矩阵'!$M$6:$M$355,"&gt;0")</x:f>
        <x:v>0</x:v>
      </x:c>
      <x:c r="I188" s="3" t="n">
        <x:v>3</x:v>
      </x:c>
      <x:c r="J188" s="3" t="n">
        <x:v>3</x:v>
      </x:c>
      <x:c r="K188" s="3" t="n">
        <x:v>6</x:v>
      </x:c>
      <x:c r="L188" s="11" t="n">
        <x:f>J188/K188</x:f>
        <x:v>0.5</x:v>
      </x:c>
    </x:row>
    <x:row r="189" ht="24" customHeight="1">
      <x:c r="A189" s="3" t="n">
        <x:v>56</x:v>
      </x:c>
      <x:c r="B189" s="3" t="n">
        <x:v>61</x:v>
      </x:c>
      <x:c r="C189" s="3" t="str">
        <x:v>丁酸异戊酯</x:v>
      </x:c>
      <x:c r="D189" s="3" t="str">
        <x:v>对甲酚</x:v>
      </x:c>
      <x:c r="E189" s="3" t="str">
        <x:v>2档×3档</x:v>
      </x:c>
      <x:c r="F189" s="3" t="n">
        <x:f>COUNTIFS('浓度矩阵'!$C$6:$C$355,1,'浓度矩阵'!$L$6:$L$355,"&gt;0",'浓度矩阵'!$N$6:$N$355,"&gt;0")</x:f>
        <x:v>3</x:v>
      </x:c>
      <x:c r="G189" s="3" t="n">
        <x:f>COUNTIFS('浓度矩阵'!$B$6:$B$355,"独立配制重复",'浓度矩阵'!$L$6:$L$355,"&gt;0",'浓度矩阵'!$N$6:$N$355,"&gt;0")</x:f>
        <x:v>0</x:v>
      </x:c>
      <x:c r="H189" s="3" t="n">
        <x:f>COUNTIFS('浓度矩阵'!$B$6:$B$355,"留出验证",'浓度矩阵'!$L$6:$L$355,"&gt;0",'浓度矩阵'!$N$6:$N$355,"&gt;0")</x:f>
        <x:v>0</x:v>
      </x:c>
      <x:c r="I189" s="3" t="n">
        <x:v>3</x:v>
      </x:c>
      <x:c r="J189" s="3" t="n">
        <x:v>3</x:v>
      </x:c>
      <x:c r="K189" s="3" t="n">
        <x:v>6</x:v>
      </x:c>
      <x:c r="L189" s="11" t="n">
        <x:f>J189/K189</x:f>
        <x:v>0.5</x:v>
      </x:c>
    </x:row>
    <x:row r="190" ht="24" customHeight="1">
      <x:c r="A190" s="3" t="n">
        <x:v>56</x:v>
      </x:c>
      <x:c r="B190" s="3" t="n">
        <x:v>69</x:v>
      </x:c>
      <x:c r="C190" s="3" t="str">
        <x:v>丁酸异戊酯</x:v>
      </x:c>
      <x:c r="D190" s="3" t="str">
        <x:v>异戊酸乙酯（3-甲基丁酸乙酯）</x:v>
      </x:c>
      <x:c r="E190" s="3" t="str">
        <x:v>2档×3档</x:v>
      </x:c>
      <x:c r="F190" s="3" t="n">
        <x:f>COUNTIFS('浓度矩阵'!$C$6:$C$355,1,'浓度矩阵'!$L$6:$L$355,"&gt;0",'浓度矩阵'!$O$6:$O$355,"&gt;0")</x:f>
        <x:v>4</x:v>
      </x:c>
      <x:c r="G190" s="3" t="n">
        <x:f>COUNTIFS('浓度矩阵'!$B$6:$B$355,"独立配制重复",'浓度矩阵'!$L$6:$L$355,"&gt;0",'浓度矩阵'!$O$6:$O$355,"&gt;0")</x:f>
        <x:v>0</x:v>
      </x:c>
      <x:c r="H190" s="3" t="n">
        <x:f>COUNTIFS('浓度矩阵'!$B$6:$B$355,"留出验证",'浓度矩阵'!$L$6:$L$355,"&gt;0",'浓度矩阵'!$O$6:$O$355,"&gt;0")</x:f>
        <x:v>1</x:v>
      </x:c>
      <x:c r="I190" s="3" t="n">
        <x:v>4</x:v>
      </x:c>
      <x:c r="J190" s="3" t="n">
        <x:v>4</x:v>
      </x:c>
      <x:c r="K190" s="3" t="n">
        <x:v>6</x:v>
      </x:c>
      <x:c r="L190" s="11" t="n">
        <x:f>J190/K190</x:f>
        <x:v>0.6666666666666666</x:v>
      </x:c>
    </x:row>
    <x:row r="191" ht="24" customHeight="1">
      <x:c r="A191" s="3" t="n">
        <x:v>56</x:v>
      </x:c>
      <x:c r="B191" s="3" t="n">
        <x:v>75</x:v>
      </x:c>
      <x:c r="C191" s="3" t="str">
        <x:v>丁酸异戊酯</x:v>
      </x:c>
      <x:c r="D191" s="3" t="str">
        <x:v>戊酸</x:v>
      </x:c>
      <x:c r="E191" s="3" t="str">
        <x:v>2档×3档</x:v>
      </x:c>
      <x:c r="F191" s="3" t="n">
        <x:f>COUNTIFS('浓度矩阵'!$C$6:$C$355,1,'浓度矩阵'!$L$6:$L$355,"&gt;0",'浓度矩阵'!$P$6:$P$355,"&gt;0")</x:f>
        <x:v>3</x:v>
      </x:c>
      <x:c r="G191" s="3" t="n">
        <x:f>COUNTIFS('浓度矩阵'!$B$6:$B$355,"独立配制重复",'浓度矩阵'!$L$6:$L$355,"&gt;0",'浓度矩阵'!$P$6:$P$355,"&gt;0")</x:f>
        <x:v>0</x:v>
      </x:c>
      <x:c r="H191" s="3" t="n">
        <x:f>COUNTIFS('浓度矩阵'!$B$6:$B$355,"留出验证",'浓度矩阵'!$L$6:$L$355,"&gt;0",'浓度矩阵'!$P$6:$P$355,"&gt;0")</x:f>
        <x:v>0</x:v>
      </x:c>
      <x:c r="I191" s="3" t="n">
        <x:v>3</x:v>
      </x:c>
      <x:c r="J191" s="3" t="n">
        <x:v>3</x:v>
      </x:c>
      <x:c r="K191" s="3" t="n">
        <x:v>6</x:v>
      </x:c>
      <x:c r="L191" s="11" t="n">
        <x:f>J191/K191</x:f>
        <x:v>0.5</x:v>
      </x:c>
    </x:row>
    <x:row r="192" ht="24" customHeight="1">
      <x:c r="A192" s="3" t="n">
        <x:v>56</x:v>
      </x:c>
      <x:c r="B192" s="3" t="n">
        <x:v>79</x:v>
      </x:c>
      <x:c r="C192" s="3" t="str">
        <x:v>丁酸异戊酯</x:v>
      </x:c>
      <x:c r="D192" s="3" t="str">
        <x:v>癸酸乙酯</x:v>
      </x:c>
      <x:c r="E192" s="3" t="str">
        <x:v>2档×2档</x:v>
      </x:c>
      <x:c r="F192" s="3" t="n">
        <x:f>COUNTIFS('浓度矩阵'!$C$6:$C$355,1,'浓度矩阵'!$L$6:$L$355,"&gt;0",'浓度矩阵'!$Q$6:$Q$355,"&gt;0")</x:f>
        <x:v>3</x:v>
      </x:c>
      <x:c r="G192" s="3" t="n">
        <x:f>COUNTIFS('浓度矩阵'!$B$6:$B$355,"独立配制重复",'浓度矩阵'!$L$6:$L$355,"&gt;0",'浓度矩阵'!$Q$6:$Q$355,"&gt;0")</x:f>
        <x:v>0</x:v>
      </x:c>
      <x:c r="H192" s="3" t="n">
        <x:f>COUNTIFS('浓度矩阵'!$B$6:$B$355,"留出验证",'浓度矩阵'!$L$6:$L$355,"&gt;0",'浓度矩阵'!$Q$6:$Q$355,"&gt;0")</x:f>
        <x:v>2</x:v>
      </x:c>
      <x:c r="I192" s="3" t="n">
        <x:v>3</x:v>
      </x:c>
      <x:c r="J192" s="3" t="n">
        <x:v>3</x:v>
      </x:c>
      <x:c r="K192" s="3" t="n">
        <x:v>4</x:v>
      </x:c>
      <x:c r="L192" s="11" t="n">
        <x:f>J192/K192</x:f>
        <x:v>0.75</x:v>
      </x:c>
    </x:row>
    <x:row r="193" ht="24" customHeight="1">
      <x:c r="A193" s="3" t="n">
        <x:v>56</x:v>
      </x:c>
      <x:c r="B193" s="3" t="n">
        <x:v>90</x:v>
      </x:c>
      <x:c r="C193" s="3" t="str">
        <x:v>丁酸异戊酯</x:v>
      </x:c>
      <x:c r="D193" s="3" t="str">
        <x:v>1-辛醇</x:v>
      </x:c>
      <x:c r="E193" s="3" t="str">
        <x:v>2档×2档</x:v>
      </x:c>
      <x:c r="F193" s="3" t="n">
        <x:f>COUNTIFS('浓度矩阵'!$C$6:$C$355,1,'浓度矩阵'!$L$6:$L$355,"&gt;0",'浓度矩阵'!$R$6:$R$355,"&gt;0")</x:f>
        <x:v>3</x:v>
      </x:c>
      <x:c r="G193" s="3" t="n">
        <x:f>COUNTIFS('浓度矩阵'!$B$6:$B$355,"独立配制重复",'浓度矩阵'!$L$6:$L$355,"&gt;0",'浓度矩阵'!$R$6:$R$355,"&gt;0")</x:f>
        <x:v>0</x:v>
      </x:c>
      <x:c r="H193" s="3" t="n">
        <x:f>COUNTIFS('浓度矩阵'!$B$6:$B$355,"留出验证",'浓度矩阵'!$L$6:$L$355,"&gt;0",'浓度矩阵'!$R$6:$R$355,"&gt;0")</x:f>
        <x:v>0</x:v>
      </x:c>
      <x:c r="I193" s="3" t="n">
        <x:v>3</x:v>
      </x:c>
      <x:c r="J193" s="3" t="n">
        <x:v>3</x:v>
      </x:c>
      <x:c r="K193" s="3" t="n">
        <x:v>4</x:v>
      </x:c>
      <x:c r="L193" s="11" t="n">
        <x:f>J193/K193</x:f>
        <x:v>0.75</x:v>
      </x:c>
    </x:row>
    <x:row r="194" ht="24" customHeight="1">
      <x:c r="A194" s="3" t="n">
        <x:v>56</x:v>
      </x:c>
      <x:c r="B194" s="3" t="n">
        <x:v>105</x:v>
      </x:c>
      <x:c r="C194" s="3" t="str">
        <x:v>丁酸异戊酯</x:v>
      </x:c>
      <x:c r="D194" s="3" t="str">
        <x:v>苯乙醛</x:v>
      </x:c>
      <x:c r="E194" s="3" t="str">
        <x:v>2档×3档</x:v>
      </x:c>
      <x:c r="F194" s="3" t="n">
        <x:f>COUNTIFS('浓度矩阵'!$C$6:$C$355,1,'浓度矩阵'!$L$6:$L$355,"&gt;0",'浓度矩阵'!$S$6:$S$355,"&gt;0")</x:f>
        <x:v>4</x:v>
      </x:c>
      <x:c r="G194" s="3" t="n">
        <x:f>COUNTIFS('浓度矩阵'!$B$6:$B$355,"独立配制重复",'浓度矩阵'!$L$6:$L$355,"&gt;0",'浓度矩阵'!$S$6:$S$355,"&gt;0")</x:f>
        <x:v>0</x:v>
      </x:c>
      <x:c r="H194" s="3" t="n">
        <x:f>COUNTIFS('浓度矩阵'!$B$6:$B$355,"留出验证",'浓度矩阵'!$L$6:$L$355,"&gt;0",'浓度矩阵'!$S$6:$S$355,"&gt;0")</x:f>
        <x:v>0</x:v>
      </x:c>
      <x:c r="I194" s="3" t="n">
        <x:v>4</x:v>
      </x:c>
      <x:c r="J194" s="3" t="n">
        <x:v>3</x:v>
      </x:c>
      <x:c r="K194" s="3" t="n">
        <x:v>6</x:v>
      </x:c>
      <x:c r="L194" s="11" t="n">
        <x:f>J194/K194</x:f>
        <x:v>0.5</x:v>
      </x:c>
    </x:row>
    <x:row r="195" ht="24" customHeight="1">
      <x:c r="A195" s="3" t="n">
        <x:v>56</x:v>
      </x:c>
      <x:c r="B195" s="3" t="n">
        <x:v>111</x:v>
      </x:c>
      <x:c r="C195" s="3" t="str">
        <x:v>丁酸异戊酯</x:v>
      </x:c>
      <x:c r="D195" s="3" t="str">
        <x:v>己酸乙酯</x:v>
      </x:c>
      <x:c r="E195" s="3" t="str">
        <x:v>2档×3档</x:v>
      </x:c>
      <x:c r="F195" s="3" t="n">
        <x:f>COUNTIFS('浓度矩阵'!$C$6:$C$355,1,'浓度矩阵'!$L$6:$L$355,"&gt;0",'浓度矩阵'!$T$6:$T$355,"&gt;0")</x:f>
        <x:v>3</x:v>
      </x:c>
      <x:c r="G195" s="3" t="n">
        <x:f>COUNTIFS('浓度矩阵'!$B$6:$B$355,"独立配制重复",'浓度矩阵'!$L$6:$L$355,"&gt;0",'浓度矩阵'!$T$6:$T$355,"&gt;0")</x:f>
        <x:v>0</x:v>
      </x:c>
      <x:c r="H195" s="3" t="n">
        <x:f>COUNTIFS('浓度矩阵'!$B$6:$B$355,"留出验证",'浓度矩阵'!$L$6:$L$355,"&gt;0",'浓度矩阵'!$T$6:$T$355,"&gt;0")</x:f>
        <x:v>1</x:v>
      </x:c>
      <x:c r="I195" s="3" t="n">
        <x:v>3</x:v>
      </x:c>
      <x:c r="J195" s="3" t="n">
        <x:v>3</x:v>
      </x:c>
      <x:c r="K195" s="3" t="n">
        <x:v>6</x:v>
      </x:c>
      <x:c r="L195" s="11" t="n">
        <x:f>J195/K195</x:f>
        <x:v>0.5</x:v>
      </x:c>
    </x:row>
    <x:row r="196" ht="24" customHeight="1">
      <x:c r="A196" s="3" t="n">
        <x:v>56</x:v>
      </x:c>
      <x:c r="B196" s="3" t="n">
        <x:v>114</x:v>
      </x:c>
      <x:c r="C196" s="3" t="str">
        <x:v>丁酸异戊酯</x:v>
      </x:c>
      <x:c r="D196" s="3" t="str">
        <x:v>乙酸丁酯</x:v>
      </x:c>
      <x:c r="E196" s="3" t="str">
        <x:v>2档×2档</x:v>
      </x:c>
      <x:c r="F196" s="3" t="n">
        <x:f>COUNTIFS('浓度矩阵'!$C$6:$C$355,1,'浓度矩阵'!$L$6:$L$355,"&gt;0",'浓度矩阵'!$U$6:$U$355,"&gt;0")</x:f>
        <x:v>3</x:v>
      </x:c>
      <x:c r="G196" s="3" t="n">
        <x:f>COUNTIFS('浓度矩阵'!$B$6:$B$355,"独立配制重复",'浓度矩阵'!$L$6:$L$355,"&gt;0",'浓度矩阵'!$U$6:$U$355,"&gt;0")</x:f>
        <x:v>0</x:v>
      </x:c>
      <x:c r="H196" s="3" t="n">
        <x:f>COUNTIFS('浓度矩阵'!$B$6:$B$355,"留出验证",'浓度矩阵'!$L$6:$L$355,"&gt;0",'浓度矩阵'!$U$6:$U$355,"&gt;0")</x:f>
        <x:v>0</x:v>
      </x:c>
      <x:c r="I196" s="3" t="n">
        <x:v>3</x:v>
      </x:c>
      <x:c r="J196" s="3" t="n">
        <x:v>3</x:v>
      </x:c>
      <x:c r="K196" s="3" t="n">
        <x:v>4</x:v>
      </x:c>
      <x:c r="L196" s="11" t="n">
        <x:f>J196/K196</x:f>
        <x:v>0.75</x:v>
      </x:c>
    </x:row>
    <x:row r="197" ht="24" customHeight="1">
      <x:c r="A197" s="3" t="n">
        <x:v>56</x:v>
      </x:c>
      <x:c r="B197" s="3" t="n">
        <x:v>115</x:v>
      </x:c>
      <x:c r="C197" s="3" t="str">
        <x:v>丁酸异戊酯</x:v>
      </x:c>
      <x:c r="D197" s="3" t="str">
        <x:v>乙酸异戊酯</x:v>
      </x:c>
      <x:c r="E197" s="3" t="str">
        <x:v>2档×3档</x:v>
      </x:c>
      <x:c r="F197" s="3" t="n">
        <x:f>COUNTIFS('浓度矩阵'!$C$6:$C$355,1,'浓度矩阵'!$L$6:$L$355,"&gt;0",'浓度矩阵'!$V$6:$V$355,"&gt;0")</x:f>
        <x:v>3</x:v>
      </x:c>
      <x:c r="G197" s="3" t="n">
        <x:f>COUNTIFS('浓度矩阵'!$B$6:$B$355,"独立配制重复",'浓度矩阵'!$L$6:$L$355,"&gt;0",'浓度矩阵'!$V$6:$V$355,"&gt;0")</x:f>
        <x:v>0</x:v>
      </x:c>
      <x:c r="H197" s="3" t="n">
        <x:f>COUNTIFS('浓度矩阵'!$B$6:$B$355,"留出验证",'浓度矩阵'!$L$6:$L$355,"&gt;0",'浓度矩阵'!$V$6:$V$355,"&gt;0")</x:f>
        <x:v>1</x:v>
      </x:c>
      <x:c r="I197" s="3" t="n">
        <x:v>3</x:v>
      </x:c>
      <x:c r="J197" s="3" t="n">
        <x:v>3</x:v>
      </x:c>
      <x:c r="K197" s="3" t="n">
        <x:v>6</x:v>
      </x:c>
      <x:c r="L197" s="11" t="n">
        <x:f>J197/K197</x:f>
        <x:v>0.5</x:v>
      </x:c>
    </x:row>
    <x:row r="198" ht="24" customHeight="1">
      <x:c r="A198" s="3" t="n">
        <x:v>56</x:v>
      </x:c>
      <x:c r="B198" s="3" t="n">
        <x:v>117</x:v>
      </x:c>
      <x:c r="C198" s="3" t="str">
        <x:v>丁酸异戊酯</x:v>
      </x:c>
      <x:c r="D198" s="3" t="str">
        <x:v>辛酸</x:v>
      </x:c>
      <x:c r="E198" s="3" t="str">
        <x:v>2档×3档</x:v>
      </x:c>
      <x:c r="F198" s="3" t="n">
        <x:f>COUNTIFS('浓度矩阵'!$C$6:$C$355,1,'浓度矩阵'!$L$6:$L$355,"&gt;0",'浓度矩阵'!$W$6:$W$355,"&gt;0")</x:f>
        <x:v>4</x:v>
      </x:c>
      <x:c r="G198" s="3" t="n">
        <x:f>COUNTIFS('浓度矩阵'!$B$6:$B$355,"独立配制重复",'浓度矩阵'!$L$6:$L$355,"&gt;0",'浓度矩阵'!$W$6:$W$355,"&gt;0")</x:f>
        <x:v>0</x:v>
      </x:c>
      <x:c r="H198" s="3" t="n">
        <x:f>COUNTIFS('浓度矩阵'!$B$6:$B$355,"留出验证",'浓度矩阵'!$L$6:$L$355,"&gt;0",'浓度矩阵'!$W$6:$W$355,"&gt;0")</x:f>
        <x:v>0</x:v>
      </x:c>
      <x:c r="I198" s="3" t="n">
        <x:v>4</x:v>
      </x:c>
      <x:c r="J198" s="3" t="n">
        <x:v>4</x:v>
      </x:c>
      <x:c r="K198" s="3" t="n">
        <x:v>6</x:v>
      </x:c>
      <x:c r="L198" s="11" t="n">
        <x:f>J198/K198</x:f>
        <x:v>0.6666666666666666</x:v>
      </x:c>
    </x:row>
    <x:row r="199" ht="24" customHeight="1">
      <x:c r="A199" s="3" t="n">
        <x:v>56</x:v>
      </x:c>
      <x:c r="B199" s="3" t="n">
        <x:v>126</x:v>
      </x:c>
      <x:c r="C199" s="3" t="str">
        <x:v>丁酸异戊酯</x:v>
      </x:c>
      <x:c r="D199" s="3" t="str">
        <x:v>己酸</x:v>
      </x:c>
      <x:c r="E199" s="3" t="str">
        <x:v>2档×3档</x:v>
      </x:c>
      <x:c r="F199" s="3" t="n">
        <x:f>COUNTIFS('浓度矩阵'!$C$6:$C$355,1,'浓度矩阵'!$L$6:$L$355,"&gt;0",'浓度矩阵'!$X$6:$X$355,"&gt;0")</x:f>
        <x:v>3</x:v>
      </x:c>
      <x:c r="G199" s="3" t="n">
        <x:f>COUNTIFS('浓度矩阵'!$B$6:$B$355,"独立配制重复",'浓度矩阵'!$L$6:$L$355,"&gt;0",'浓度矩阵'!$X$6:$X$355,"&gt;0")</x:f>
        <x:v>0</x:v>
      </x:c>
      <x:c r="H199" s="3" t="n">
        <x:f>COUNTIFS('浓度矩阵'!$B$6:$B$355,"留出验证",'浓度矩阵'!$L$6:$L$355,"&gt;0",'浓度矩阵'!$X$6:$X$355,"&gt;0")</x:f>
        <x:v>1</x:v>
      </x:c>
      <x:c r="I199" s="3" t="n">
        <x:v>3</x:v>
      </x:c>
      <x:c r="J199" s="3" t="n">
        <x:v>3</x:v>
      </x:c>
      <x:c r="K199" s="3" t="n">
        <x:v>6</x:v>
      </x:c>
      <x:c r="L199" s="11" t="n">
        <x:f>J199/K199</x:f>
        <x:v>0.5</x:v>
      </x:c>
    </x:row>
    <x:row r="200" ht="24" customHeight="1">
      <x:c r="A200" s="3" t="n">
        <x:v>56</x:v>
      </x:c>
      <x:c r="B200" s="3" t="n">
        <x:v>136</x:v>
      </x:c>
      <x:c r="C200" s="3" t="str">
        <x:v>丁酸异戊酯</x:v>
      </x:c>
      <x:c r="D200" s="3" t="str">
        <x:v>异戊酸/3-甲基丁酸</x:v>
      </x:c>
      <x:c r="E200" s="3" t="str">
        <x:v>2档×3档</x:v>
      </x:c>
      <x:c r="F200" s="3" t="n">
        <x:f>COUNTIFS('浓度矩阵'!$C$6:$C$355,1,'浓度矩阵'!$L$6:$L$355,"&gt;0",'浓度矩阵'!$Y$6:$Y$355,"&gt;0")</x:f>
        <x:v>3</x:v>
      </x:c>
      <x:c r="G200" s="3" t="n">
        <x:f>COUNTIFS('浓度矩阵'!$B$6:$B$355,"独立配制重复",'浓度矩阵'!$L$6:$L$355,"&gt;0",'浓度矩阵'!$Y$6:$Y$355,"&gt;0")</x:f>
        <x:v>0</x:v>
      </x:c>
      <x:c r="H200" s="3" t="n">
        <x:f>COUNTIFS('浓度矩阵'!$B$6:$B$355,"留出验证",'浓度矩阵'!$L$6:$L$355,"&gt;0",'浓度矩阵'!$Y$6:$Y$355,"&gt;0")</x:f>
        <x:v>0</x:v>
      </x:c>
      <x:c r="I200" s="3" t="n">
        <x:v>3</x:v>
      </x:c>
      <x:c r="J200" s="3" t="n">
        <x:v>3</x:v>
      </x:c>
      <x:c r="K200" s="3" t="n">
        <x:v>6</x:v>
      </x:c>
      <x:c r="L200" s="11" t="n">
        <x:f>J200/K200</x:f>
        <x:v>0.5</x:v>
      </x:c>
    </x:row>
    <x:row r="201" ht="24" customHeight="1">
      <x:c r="A201" s="3" t="n">
        <x:v>56</x:v>
      </x:c>
      <x:c r="B201" s="3" t="n">
        <x:v>141</x:v>
      </x:c>
      <x:c r="C201" s="3" t="str">
        <x:v>丁酸异戊酯</x:v>
      </x:c>
      <x:c r="D201" s="3" t="str">
        <x:v>戊酸乙酯</x:v>
      </x:c>
      <x:c r="E201" s="3" t="str">
        <x:v>2档×3档</x:v>
      </x:c>
      <x:c r="F201" s="3" t="n">
        <x:f>COUNTIFS('浓度矩阵'!$C$6:$C$355,1,'浓度矩阵'!$L$6:$L$355,"&gt;0",'浓度矩阵'!$Z$6:$Z$355,"&gt;0")</x:f>
        <x:v>3</x:v>
      </x:c>
      <x:c r="G201" s="3" t="n">
        <x:f>COUNTIFS('浓度矩阵'!$B$6:$B$355,"独立配制重复",'浓度矩阵'!$L$6:$L$355,"&gt;0",'浓度矩阵'!$Z$6:$Z$355,"&gt;0")</x:f>
        <x:v>0</x:v>
      </x:c>
      <x:c r="H201" s="3" t="n">
        <x:f>COUNTIFS('浓度矩阵'!$B$6:$B$355,"留出验证",'浓度矩阵'!$L$6:$L$355,"&gt;0",'浓度矩阵'!$Z$6:$Z$355,"&gt;0")</x:f>
        <x:v>1</x:v>
      </x:c>
      <x:c r="I201" s="3" t="n">
        <x:v>3</x:v>
      </x:c>
      <x:c r="J201" s="3" t="n">
        <x:v>3</x:v>
      </x:c>
      <x:c r="K201" s="3" t="n">
        <x:v>6</x:v>
      </x:c>
      <x:c r="L201" s="11" t="n">
        <x:f>J201/K201</x:f>
        <x:v>0.5</x:v>
      </x:c>
    </x:row>
    <x:row r="202" ht="24" customHeight="1">
      <x:c r="A202" s="3" t="n">
        <x:v>56</x:v>
      </x:c>
      <x:c r="B202" s="3" t="n">
        <x:v>152</x:v>
      </x:c>
      <x:c r="C202" s="3" t="str">
        <x:v>丁酸异戊酯</x:v>
      </x:c>
      <x:c r="D202" s="3" t="str">
        <x:v>异戊醛</x:v>
      </x:c>
      <x:c r="E202" s="3" t="str">
        <x:v>2档×3档</x:v>
      </x:c>
      <x:c r="F202" s="3" t="n">
        <x:f>COUNTIFS('浓度矩阵'!$C$6:$C$355,1,'浓度矩阵'!$L$6:$L$355,"&gt;0",'浓度矩阵'!$AA$6:$AA$355,"&gt;0")</x:f>
        <x:v>3</x:v>
      </x:c>
      <x:c r="G202" s="3" t="n">
        <x:f>COUNTIFS('浓度矩阵'!$B$6:$B$355,"独立配制重复",'浓度矩阵'!$L$6:$L$355,"&gt;0",'浓度矩阵'!$AA$6:$AA$355,"&gt;0")</x:f>
        <x:v>0</x:v>
      </x:c>
      <x:c r="H202" s="3" t="n">
        <x:f>COUNTIFS('浓度矩阵'!$B$6:$B$355,"留出验证",'浓度矩阵'!$L$6:$L$355,"&gt;0",'浓度矩阵'!$AA$6:$AA$355,"&gt;0")</x:f>
        <x:v>0</x:v>
      </x:c>
      <x:c r="I202" s="3" t="n">
        <x:v>3</x:v>
      </x:c>
      <x:c r="J202" s="3" t="n">
        <x:v>3</x:v>
      </x:c>
      <x:c r="K202" s="3" t="n">
        <x:v>6</x:v>
      </x:c>
      <x:c r="L202" s="11" t="n">
        <x:f>J202/K202</x:f>
        <x:v>0.5</x:v>
      </x:c>
    </x:row>
    <x:row r="203" ht="24" customHeight="1">
      <x:c r="A203" s="3" t="n">
        <x:v>56</x:v>
      </x:c>
      <x:c r="B203" s="3" t="n">
        <x:v>165</x:v>
      </x:c>
      <x:c r="C203" s="3" t="str">
        <x:v>丁酸异戊酯</x:v>
      </x:c>
      <x:c r="D203" s="3" t="str">
        <x:v>己酸丁酯</x:v>
      </x:c>
      <x:c r="E203" s="3" t="str">
        <x:v>2档×2档</x:v>
      </x:c>
      <x:c r="F203" s="3" t="n">
        <x:f>COUNTIFS('浓度矩阵'!$C$6:$C$355,1,'浓度矩阵'!$L$6:$L$355,"&gt;0",'浓度矩阵'!$AB$6:$AB$355,"&gt;0")</x:f>
        <x:v>3</x:v>
      </x:c>
      <x:c r="G203" s="3" t="n">
        <x:f>COUNTIFS('浓度矩阵'!$B$6:$B$355,"独立配制重复",'浓度矩阵'!$L$6:$L$355,"&gt;0",'浓度矩阵'!$AB$6:$AB$355,"&gt;0")</x:f>
        <x:v>0</x:v>
      </x:c>
      <x:c r="H203" s="3" t="n">
        <x:f>COUNTIFS('浓度矩阵'!$B$6:$B$355,"留出验证",'浓度矩阵'!$L$6:$L$355,"&gt;0",'浓度矩阵'!$AB$6:$AB$355,"&gt;0")</x:f>
        <x:v>1</x:v>
      </x:c>
      <x:c r="I203" s="3" t="n">
        <x:v>3</x:v>
      </x:c>
      <x:c r="J203" s="3" t="n">
        <x:v>3</x:v>
      </x:c>
      <x:c r="K203" s="3" t="n">
        <x:v>4</x:v>
      </x:c>
      <x:c r="L203" s="11" t="n">
        <x:f>J203/K203</x:f>
        <x:v>0.75</x:v>
      </x:c>
    </x:row>
    <x:row r="204" ht="24" customHeight="1">
      <x:c r="A204" s="3" t="n">
        <x:v>56</x:v>
      </x:c>
      <x:c r="B204" s="3" t="n">
        <x:v>186</x:v>
      </x:c>
      <x:c r="C204" s="3" t="str">
        <x:v>丁酸异戊酯</x:v>
      </x:c>
      <x:c r="D204" s="3" t="str">
        <x:v>3-苯基丙酸乙酯</x:v>
      </x:c>
      <x:c r="E204" s="3" t="str">
        <x:v>2档×3档</x:v>
      </x:c>
      <x:c r="F204" s="3" t="n">
        <x:f>COUNTIFS('浓度矩阵'!$C$6:$C$355,1,'浓度矩阵'!$L$6:$L$355,"&gt;0",'浓度矩阵'!$AC$6:$AC$355,"&gt;0")</x:f>
        <x:v>3</x:v>
      </x:c>
      <x:c r="G204" s="3" t="n">
        <x:f>COUNTIFS('浓度矩阵'!$B$6:$B$355,"独立配制重复",'浓度矩阵'!$L$6:$L$355,"&gt;0",'浓度矩阵'!$AC$6:$AC$355,"&gt;0")</x:f>
        <x:v>0</x:v>
      </x:c>
      <x:c r="H204" s="3" t="n">
        <x:f>COUNTIFS('浓度矩阵'!$B$6:$B$355,"留出验证",'浓度矩阵'!$L$6:$L$355,"&gt;0",'浓度矩阵'!$AC$6:$AC$355,"&gt;0")</x:f>
        <x:v>1</x:v>
      </x:c>
      <x:c r="I204" s="3" t="n">
        <x:v>3</x:v>
      </x:c>
      <x:c r="J204" s="3" t="n">
        <x:v>3</x:v>
      </x:c>
      <x:c r="K204" s="3" t="n">
        <x:v>6</x:v>
      </x:c>
      <x:c r="L204" s="11" t="n">
        <x:f>J204/K204</x:f>
        <x:v>0.5</x:v>
      </x:c>
    </x:row>
    <x:row r="205" ht="24" customHeight="1">
      <x:c r="A205" s="3" t="n">
        <x:v>56</x:v>
      </x:c>
      <x:c r="B205" s="3" t="n">
        <x:v>207</x:v>
      </x:c>
      <x:c r="C205" s="3" t="str">
        <x:v>丁酸异戊酯</x:v>
      </x:c>
      <x:c r="D205" s="3" t="str">
        <x:v>1-辛烯-3-醇</x:v>
      </x:c>
      <x:c r="E205" s="3" t="str">
        <x:v>2档×3档</x:v>
      </x:c>
      <x:c r="F205" s="3" t="n">
        <x:f>COUNTIFS('浓度矩阵'!$C$6:$C$355,1,'浓度矩阵'!$L$6:$L$355,"&gt;0",'浓度矩阵'!$AD$6:$AD$355,"&gt;0")</x:f>
        <x:v>3</x:v>
      </x:c>
      <x:c r="G205" s="3" t="n">
        <x:f>COUNTIFS('浓度矩阵'!$B$6:$B$355,"独立配制重复",'浓度矩阵'!$L$6:$L$355,"&gt;0",'浓度矩阵'!$AD$6:$AD$355,"&gt;0")</x:f>
        <x:v>0</x:v>
      </x:c>
      <x:c r="H205" s="3" t="n">
        <x:f>COUNTIFS('浓度矩阵'!$B$6:$B$355,"留出验证",'浓度矩阵'!$L$6:$L$355,"&gt;0",'浓度矩阵'!$AD$6:$AD$355,"&gt;0")</x:f>
        <x:v>0</x:v>
      </x:c>
      <x:c r="I205" s="3" t="n">
        <x:v>3</x:v>
      </x:c>
      <x:c r="J205" s="3" t="n">
        <x:v>3</x:v>
      </x:c>
      <x:c r="K205" s="3" t="n">
        <x:v>6</x:v>
      </x:c>
      <x:c r="L205" s="11" t="n">
        <x:f>J205/K205</x:f>
        <x:v>0.5</x:v>
      </x:c>
    </x:row>
    <x:row r="206" ht="24" customHeight="1">
      <x:c r="A206" s="3" t="n">
        <x:v>56</x:v>
      </x:c>
      <x:c r="B206" s="3" t="n">
        <x:v>209</x:v>
      </x:c>
      <x:c r="C206" s="3" t="str">
        <x:v>丁酸异戊酯</x:v>
      </x:c>
      <x:c r="D206" s="3" t="str">
        <x:v>二甲基三硫醚</x:v>
      </x:c>
      <x:c r="E206" s="3" t="str">
        <x:v>2档×3档</x:v>
      </x:c>
      <x:c r="F206" s="3" t="n">
        <x:f>COUNTIFS('浓度矩阵'!$C$6:$C$355,1,'浓度矩阵'!$L$6:$L$355,"&gt;0",'浓度矩阵'!$AE$6:$AE$355,"&gt;0")</x:f>
        <x:v>3</x:v>
      </x:c>
      <x:c r="G206" s="3" t="n">
        <x:f>COUNTIFS('浓度矩阵'!$B$6:$B$355,"独立配制重复",'浓度矩阵'!$L$6:$L$355,"&gt;0",'浓度矩阵'!$AE$6:$AE$355,"&gt;0")</x:f>
        <x:v>0</x:v>
      </x:c>
      <x:c r="H206" s="3" t="n">
        <x:f>COUNTIFS('浓度矩阵'!$B$6:$B$355,"留出验证",'浓度矩阵'!$L$6:$L$355,"&gt;0",'浓度矩阵'!$AE$6:$AE$355,"&gt;0")</x:f>
        <x:v>1</x:v>
      </x:c>
      <x:c r="I206" s="3" t="n">
        <x:v>3</x:v>
      </x:c>
      <x:c r="J206" s="3" t="n">
        <x:v>3</x:v>
      </x:c>
      <x:c r="K206" s="3" t="n">
        <x:v>6</x:v>
      </x:c>
      <x:c r="L206" s="11" t="n">
        <x:f>J206/K206</x:f>
        <x:v>0.5</x:v>
      </x:c>
    </x:row>
    <x:row r="207" ht="24" customHeight="1">
      <x:c r="A207" s="3" t="n">
        <x:v>56</x:v>
      </x:c>
      <x:c r="B207" s="3" t="n">
        <x:v>227</x:v>
      </x:c>
      <x:c r="C207" s="3" t="str">
        <x:v>丁酸异戊酯</x:v>
      </x:c>
      <x:c r="D207" s="3" t="str">
        <x:v>己酸己酯</x:v>
      </x:c>
      <x:c r="E207" s="3" t="str">
        <x:v>2档×3档</x:v>
      </x:c>
      <x:c r="F207" s="3" t="n">
        <x:f>COUNTIFS('浓度矩阵'!$C$6:$C$355,1,'浓度矩阵'!$L$6:$L$355,"&gt;0",'浓度矩阵'!$AF$6:$AF$355,"&gt;0")</x:f>
        <x:v>3</x:v>
      </x:c>
      <x:c r="G207" s="3" t="n">
        <x:f>COUNTIFS('浓度矩阵'!$B$6:$B$355,"独立配制重复",'浓度矩阵'!$L$6:$L$355,"&gt;0",'浓度矩阵'!$AF$6:$AF$355,"&gt;0")</x:f>
        <x:v>0</x:v>
      </x:c>
      <x:c r="H207" s="3" t="n">
        <x:f>COUNTIFS('浓度矩阵'!$B$6:$B$355,"留出验证",'浓度矩阵'!$L$6:$L$355,"&gt;0",'浓度矩阵'!$AF$6:$AF$355,"&gt;0")</x:f>
        <x:v>1</x:v>
      </x:c>
      <x:c r="I207" s="3" t="n">
        <x:v>3</x:v>
      </x:c>
      <x:c r="J207" s="3" t="n">
        <x:v>3</x:v>
      </x:c>
      <x:c r="K207" s="3" t="n">
        <x:v>6</x:v>
      </x:c>
      <x:c r="L207" s="11" t="n">
        <x:f>J207/K207</x:f>
        <x:v>0.5</x:v>
      </x:c>
    </x:row>
    <x:row r="208" ht="24" customHeight="1">
      <x:c r="A208" s="3" t="n">
        <x:v>56</x:v>
      </x:c>
      <x:c r="B208" s="3" t="n">
        <x:v>232</x:v>
      </x:c>
      <x:c r="C208" s="3" t="str">
        <x:v>丁酸异戊酯</x:v>
      </x:c>
      <x:c r="D208" s="3" t="str">
        <x:v>2-甲基丁酸乙酯</x:v>
      </x:c>
      <x:c r="E208" s="3" t="str">
        <x:v>2档×3档</x:v>
      </x:c>
      <x:c r="F208" s="3" t="n">
        <x:f>COUNTIFS('浓度矩阵'!$C$6:$C$355,1,'浓度矩阵'!$L$6:$L$355,"&gt;0",'浓度矩阵'!$AG$6:$AG$355,"&gt;0")</x:f>
        <x:v>3</x:v>
      </x:c>
      <x:c r="G208" s="3" t="n">
        <x:f>COUNTIFS('浓度矩阵'!$B$6:$B$355,"独立配制重复",'浓度矩阵'!$L$6:$L$355,"&gt;0",'浓度矩阵'!$AG$6:$AG$355,"&gt;0")</x:f>
        <x:v>0</x:v>
      </x:c>
      <x:c r="H208" s="3" t="n">
        <x:f>COUNTIFS('浓度矩阵'!$B$6:$B$355,"留出验证",'浓度矩阵'!$L$6:$L$355,"&gt;0",'浓度矩阵'!$AG$6:$AG$355,"&gt;0")</x:f>
        <x:v>0</x:v>
      </x:c>
      <x:c r="I208" s="3" t="n">
        <x:v>3</x:v>
      </x:c>
      <x:c r="J208" s="3" t="n">
        <x:v>3</x:v>
      </x:c>
      <x:c r="K208" s="3" t="n">
        <x:v>6</x:v>
      </x:c>
      <x:c r="L208" s="11" t="n">
        <x:f>J208/K208</x:f>
        <x:v>0.5</x:v>
      </x:c>
    </x:row>
    <x:row r="209" ht="24" customHeight="1">
      <x:c r="A209" s="3" t="n">
        <x:v>56</x:v>
      </x:c>
      <x:c r="B209" s="3" t="n">
        <x:v>255</x:v>
      </x:c>
      <x:c r="C209" s="3" t="str">
        <x:v>丁酸异戊酯</x:v>
      </x:c>
      <x:c r="D209" s="3" t="str">
        <x:v>β-大马酮</x:v>
      </x:c>
      <x:c r="E209" s="3" t="str">
        <x:v>2档×3档</x:v>
      </x:c>
      <x:c r="F209" s="3" t="n">
        <x:f>COUNTIFS('浓度矩阵'!$C$6:$C$355,1,'浓度矩阵'!$L$6:$L$355,"&gt;0",'浓度矩阵'!$AH$6:$AH$355,"&gt;0")</x:f>
        <x:v>3</x:v>
      </x:c>
      <x:c r="G209" s="3" t="n">
        <x:f>COUNTIFS('浓度矩阵'!$B$6:$B$355,"独立配制重复",'浓度矩阵'!$L$6:$L$355,"&gt;0",'浓度矩阵'!$AH$6:$AH$355,"&gt;0")</x:f>
        <x:v>0</x:v>
      </x:c>
      <x:c r="H209" s="3" t="n">
        <x:f>COUNTIFS('浓度矩阵'!$B$6:$B$355,"留出验证",'浓度矩阵'!$L$6:$L$355,"&gt;0",'浓度矩阵'!$AH$6:$AH$355,"&gt;0")</x:f>
        <x:v>0</x:v>
      </x:c>
      <x:c r="I209" s="3" t="n">
        <x:v>3</x:v>
      </x:c>
      <x:c r="J209" s="3" t="n">
        <x:v>3</x:v>
      </x:c>
      <x:c r="K209" s="3" t="n">
        <x:v>6</x:v>
      </x:c>
      <x:c r="L209" s="11" t="n">
        <x:f>J209/K209</x:f>
        <x:v>0.5</x:v>
      </x:c>
    </x:row>
    <x:row r="210" ht="24" customHeight="1">
      <x:c r="A210" s="3" t="n">
        <x:v>58</x:v>
      </x:c>
      <x:c r="B210" s="3" t="n">
        <x:v>61</x:v>
      </x:c>
      <x:c r="C210" s="3" t="str">
        <x:v>辛酸乙酯</x:v>
      </x:c>
      <x:c r="D210" s="3" t="str">
        <x:v>对甲酚</x:v>
      </x:c>
      <x:c r="E210" s="3" t="str">
        <x:v>3档×3档</x:v>
      </x:c>
      <x:c r="F210" s="3" t="n">
        <x:f>COUNTIFS('浓度矩阵'!$C$6:$C$355,1,'浓度矩阵'!$M$6:$M$355,"&gt;0",'浓度矩阵'!$N$6:$N$355,"&gt;0")</x:f>
        <x:v>3</x:v>
      </x:c>
      <x:c r="G210" s="3" t="n">
        <x:f>COUNTIFS('浓度矩阵'!$B$6:$B$355,"独立配制重复",'浓度矩阵'!$M$6:$M$355,"&gt;0",'浓度矩阵'!$N$6:$N$355,"&gt;0")</x:f>
        <x:v>0</x:v>
      </x:c>
      <x:c r="H210" s="3" t="n">
        <x:f>COUNTIFS('浓度矩阵'!$B$6:$B$355,"留出验证",'浓度矩阵'!$M$6:$M$355,"&gt;0",'浓度矩阵'!$N$6:$N$355,"&gt;0")</x:f>
        <x:v>1</x:v>
      </x:c>
      <x:c r="I210" s="3" t="n">
        <x:v>3</x:v>
      </x:c>
      <x:c r="J210" s="3" t="n">
        <x:v>3</x:v>
      </x:c>
      <x:c r="K210" s="3" t="n">
        <x:v>9</x:v>
      </x:c>
      <x:c r="L210" s="11" t="n">
        <x:f>J210/K210</x:f>
        <x:v>0.3333333333333333</x:v>
      </x:c>
    </x:row>
    <x:row r="211" ht="24" customHeight="1">
      <x:c r="A211" s="3" t="n">
        <x:v>58</x:v>
      </x:c>
      <x:c r="B211" s="3" t="n">
        <x:v>69</x:v>
      </x:c>
      <x:c r="C211" s="3" t="str">
        <x:v>辛酸乙酯</x:v>
      </x:c>
      <x:c r="D211" s="3" t="str">
        <x:v>异戊酸乙酯（3-甲基丁酸乙酯）</x:v>
      </x:c>
      <x:c r="E211" s="3" t="str">
        <x:v>3档×3档</x:v>
      </x:c>
      <x:c r="F211" s="3" t="n">
        <x:f>COUNTIFS('浓度矩阵'!$C$6:$C$355,1,'浓度矩阵'!$M$6:$M$355,"&gt;0",'浓度矩阵'!$O$6:$O$355,"&gt;0")</x:f>
        <x:v>3</x:v>
      </x:c>
      <x:c r="G211" s="3" t="n">
        <x:f>COUNTIFS('浓度矩阵'!$B$6:$B$355,"独立配制重复",'浓度矩阵'!$M$6:$M$355,"&gt;0",'浓度矩阵'!$O$6:$O$355,"&gt;0")</x:f>
        <x:v>1</x:v>
      </x:c>
      <x:c r="H211" s="3" t="n">
        <x:f>COUNTIFS('浓度矩阵'!$B$6:$B$355,"留出验证",'浓度矩阵'!$M$6:$M$355,"&gt;0",'浓度矩阵'!$O$6:$O$355,"&gt;0")</x:f>
        <x:v>0</x:v>
      </x:c>
      <x:c r="I211" s="3" t="n">
        <x:v>3</x:v>
      </x:c>
      <x:c r="J211" s="3" t="n">
        <x:v>3</x:v>
      </x:c>
      <x:c r="K211" s="3" t="n">
        <x:v>9</x:v>
      </x:c>
      <x:c r="L211" s="11" t="n">
        <x:f>J211/K211</x:f>
        <x:v>0.3333333333333333</x:v>
      </x:c>
    </x:row>
    <x:row r="212" ht="24" customHeight="1">
      <x:c r="A212" s="3" t="n">
        <x:v>58</x:v>
      </x:c>
      <x:c r="B212" s="3" t="n">
        <x:v>75</x:v>
      </x:c>
      <x:c r="C212" s="3" t="str">
        <x:v>辛酸乙酯</x:v>
      </x:c>
      <x:c r="D212" s="3" t="str">
        <x:v>戊酸</x:v>
      </x:c>
      <x:c r="E212" s="3" t="str">
        <x:v>3档×3档</x:v>
      </x:c>
      <x:c r="F212" s="3" t="n">
        <x:f>COUNTIFS('浓度矩阵'!$C$6:$C$355,1,'浓度矩阵'!$M$6:$M$355,"&gt;0",'浓度矩阵'!$P$6:$P$355,"&gt;0")</x:f>
        <x:v>4</x:v>
      </x:c>
      <x:c r="G212" s="3" t="n">
        <x:f>COUNTIFS('浓度矩阵'!$B$6:$B$355,"独立配制重复",'浓度矩阵'!$M$6:$M$355,"&gt;0",'浓度矩阵'!$P$6:$P$355,"&gt;0")</x:f>
        <x:v>1</x:v>
      </x:c>
      <x:c r="H212" s="3" t="n">
        <x:f>COUNTIFS('浓度矩阵'!$B$6:$B$355,"留出验证",'浓度矩阵'!$M$6:$M$355,"&gt;0",'浓度矩阵'!$P$6:$P$355,"&gt;0")</x:f>
        <x:v>0</x:v>
      </x:c>
      <x:c r="I212" s="3" t="n">
        <x:v>4</x:v>
      </x:c>
      <x:c r="J212" s="3" t="n">
        <x:v>4</x:v>
      </x:c>
      <x:c r="K212" s="3" t="n">
        <x:v>9</x:v>
      </x:c>
      <x:c r="L212" s="11" t="n">
        <x:f>J212/K212</x:f>
        <x:v>0.4444444444444444</x:v>
      </x:c>
    </x:row>
    <x:row r="213" ht="24" customHeight="1">
      <x:c r="A213" s="3" t="n">
        <x:v>58</x:v>
      </x:c>
      <x:c r="B213" s="3" t="n">
        <x:v>79</x:v>
      </x:c>
      <x:c r="C213" s="3" t="str">
        <x:v>辛酸乙酯</x:v>
      </x:c>
      <x:c r="D213" s="3" t="str">
        <x:v>癸酸乙酯</x:v>
      </x:c>
      <x:c r="E213" s="3" t="str">
        <x:v>3档×2档</x:v>
      </x:c>
      <x:c r="F213" s="3" t="n">
        <x:f>COUNTIFS('浓度矩阵'!$C$6:$C$355,1,'浓度矩阵'!$M$6:$M$355,"&gt;0",'浓度矩阵'!$Q$6:$Q$355,"&gt;0")</x:f>
        <x:v>3</x:v>
      </x:c>
      <x:c r="G213" s="3" t="n">
        <x:f>COUNTIFS('浓度矩阵'!$B$6:$B$355,"独立配制重复",'浓度矩阵'!$M$6:$M$355,"&gt;0",'浓度矩阵'!$Q$6:$Q$355,"&gt;0")</x:f>
        <x:v>0</x:v>
      </x:c>
      <x:c r="H213" s="3" t="n">
        <x:f>COUNTIFS('浓度矩阵'!$B$6:$B$355,"留出验证",'浓度矩阵'!$M$6:$M$355,"&gt;0",'浓度矩阵'!$Q$6:$Q$355,"&gt;0")</x:f>
        <x:v>0</x:v>
      </x:c>
      <x:c r="I213" s="3" t="n">
        <x:v>3</x:v>
      </x:c>
      <x:c r="J213" s="3" t="n">
        <x:v>3</x:v>
      </x:c>
      <x:c r="K213" s="3" t="n">
        <x:v>6</x:v>
      </x:c>
      <x:c r="L213" s="11" t="n">
        <x:f>J213/K213</x:f>
        <x:v>0.5</x:v>
      </x:c>
    </x:row>
    <x:row r="214" ht="24" customHeight="1">
      <x:c r="A214" s="3" t="n">
        <x:v>58</x:v>
      </x:c>
      <x:c r="B214" s="3" t="n">
        <x:v>90</x:v>
      </x:c>
      <x:c r="C214" s="3" t="str">
        <x:v>辛酸乙酯</x:v>
      </x:c>
      <x:c r="D214" s="3" t="str">
        <x:v>1-辛醇</x:v>
      </x:c>
      <x:c r="E214" s="3" t="str">
        <x:v>3档×2档</x:v>
      </x:c>
      <x:c r="F214" s="3" t="n">
        <x:f>COUNTIFS('浓度矩阵'!$C$6:$C$355,1,'浓度矩阵'!$M$6:$M$355,"&gt;0",'浓度矩阵'!$R$6:$R$355,"&gt;0")</x:f>
        <x:v>3</x:v>
      </x:c>
      <x:c r="G214" s="3" t="n">
        <x:f>COUNTIFS('浓度矩阵'!$B$6:$B$355,"独立配制重复",'浓度矩阵'!$M$6:$M$355,"&gt;0",'浓度矩阵'!$R$6:$R$355,"&gt;0")</x:f>
        <x:v>0</x:v>
      </x:c>
      <x:c r="H214" s="3" t="n">
        <x:f>COUNTIFS('浓度矩阵'!$B$6:$B$355,"留出验证",'浓度矩阵'!$M$6:$M$355,"&gt;0",'浓度矩阵'!$R$6:$R$355,"&gt;0")</x:f>
        <x:v>0</x:v>
      </x:c>
      <x:c r="I214" s="3" t="n">
        <x:v>3</x:v>
      </x:c>
      <x:c r="J214" s="3" t="n">
        <x:v>3</x:v>
      </x:c>
      <x:c r="K214" s="3" t="n">
        <x:v>6</x:v>
      </x:c>
      <x:c r="L214" s="11" t="n">
        <x:f>J214/K214</x:f>
        <x:v>0.5</x:v>
      </x:c>
    </x:row>
    <x:row r="215" ht="24" customHeight="1">
      <x:c r="A215" s="3" t="n">
        <x:v>58</x:v>
      </x:c>
      <x:c r="B215" s="3" t="n">
        <x:v>105</x:v>
      </x:c>
      <x:c r="C215" s="3" t="str">
        <x:v>辛酸乙酯</x:v>
      </x:c>
      <x:c r="D215" s="3" t="str">
        <x:v>苯乙醛</x:v>
      </x:c>
      <x:c r="E215" s="3" t="str">
        <x:v>3档×3档</x:v>
      </x:c>
      <x:c r="F215" s="3" t="n">
        <x:f>COUNTIFS('浓度矩阵'!$C$6:$C$355,1,'浓度矩阵'!$M$6:$M$355,"&gt;0",'浓度矩阵'!$S$6:$S$355,"&gt;0")</x:f>
        <x:v>3</x:v>
      </x:c>
      <x:c r="G215" s="3" t="n">
        <x:f>COUNTIFS('浓度矩阵'!$B$6:$B$355,"独立配制重复",'浓度矩阵'!$M$6:$M$355,"&gt;0",'浓度矩阵'!$S$6:$S$355,"&gt;0")</x:f>
        <x:v>0</x:v>
      </x:c>
      <x:c r="H215" s="3" t="n">
        <x:f>COUNTIFS('浓度矩阵'!$B$6:$B$355,"留出验证",'浓度矩阵'!$M$6:$M$355,"&gt;0",'浓度矩阵'!$S$6:$S$355,"&gt;0")</x:f>
        <x:v>0</x:v>
      </x:c>
      <x:c r="I215" s="3" t="n">
        <x:v>3</x:v>
      </x:c>
      <x:c r="J215" s="3" t="n">
        <x:v>3</x:v>
      </x:c>
      <x:c r="K215" s="3" t="n">
        <x:v>9</x:v>
      </x:c>
      <x:c r="L215" s="11" t="n">
        <x:f>J215/K215</x:f>
        <x:v>0.3333333333333333</x:v>
      </x:c>
    </x:row>
    <x:row r="216" ht="24" customHeight="1">
      <x:c r="A216" s="3" t="n">
        <x:v>58</x:v>
      </x:c>
      <x:c r="B216" s="3" t="n">
        <x:v>111</x:v>
      </x:c>
      <x:c r="C216" s="3" t="str">
        <x:v>辛酸乙酯</x:v>
      </x:c>
      <x:c r="D216" s="3" t="str">
        <x:v>己酸乙酯</x:v>
      </x:c>
      <x:c r="E216" s="3" t="str">
        <x:v>3档×3档</x:v>
      </x:c>
      <x:c r="F216" s="3" t="n">
        <x:f>COUNTIFS('浓度矩阵'!$C$6:$C$355,1,'浓度矩阵'!$M$6:$M$355,"&gt;0",'浓度矩阵'!$T$6:$T$355,"&gt;0")</x:f>
        <x:v>3</x:v>
      </x:c>
      <x:c r="G216" s="3" t="n">
        <x:f>COUNTIFS('浓度矩阵'!$B$6:$B$355,"独立配制重复",'浓度矩阵'!$M$6:$M$355,"&gt;0",'浓度矩阵'!$T$6:$T$355,"&gt;0")</x:f>
        <x:v>0</x:v>
      </x:c>
      <x:c r="H216" s="3" t="n">
        <x:f>COUNTIFS('浓度矩阵'!$B$6:$B$355,"留出验证",'浓度矩阵'!$M$6:$M$355,"&gt;0",'浓度矩阵'!$T$6:$T$355,"&gt;0")</x:f>
        <x:v>0</x:v>
      </x:c>
      <x:c r="I216" s="3" t="n">
        <x:v>3</x:v>
      </x:c>
      <x:c r="J216" s="3" t="n">
        <x:v>3</x:v>
      </x:c>
      <x:c r="K216" s="3" t="n">
        <x:v>9</x:v>
      </x:c>
      <x:c r="L216" s="11" t="n">
        <x:f>J216/K216</x:f>
        <x:v>0.3333333333333333</x:v>
      </x:c>
    </x:row>
    <x:row r="217" ht="24" customHeight="1">
      <x:c r="A217" s="3" t="n">
        <x:v>58</x:v>
      </x:c>
      <x:c r="B217" s="3" t="n">
        <x:v>114</x:v>
      </x:c>
      <x:c r="C217" s="3" t="str">
        <x:v>辛酸乙酯</x:v>
      </x:c>
      <x:c r="D217" s="3" t="str">
        <x:v>乙酸丁酯</x:v>
      </x:c>
      <x:c r="E217" s="3" t="str">
        <x:v>3档×2档</x:v>
      </x:c>
      <x:c r="F217" s="3" t="n">
        <x:f>COUNTIFS('浓度矩阵'!$C$6:$C$355,1,'浓度矩阵'!$M$6:$M$355,"&gt;0",'浓度矩阵'!$U$6:$U$355,"&gt;0")</x:f>
        <x:v>4</x:v>
      </x:c>
      <x:c r="G217" s="3" t="n">
        <x:f>COUNTIFS('浓度矩阵'!$B$6:$B$355,"独立配制重复",'浓度矩阵'!$M$6:$M$355,"&gt;0",'浓度矩阵'!$U$6:$U$355,"&gt;0")</x:f>
        <x:v>0</x:v>
      </x:c>
      <x:c r="H217" s="3" t="n">
        <x:f>COUNTIFS('浓度矩阵'!$B$6:$B$355,"留出验证",'浓度矩阵'!$M$6:$M$355,"&gt;0",'浓度矩阵'!$U$6:$U$355,"&gt;0")</x:f>
        <x:v>0</x:v>
      </x:c>
      <x:c r="I217" s="3" t="n">
        <x:v>4</x:v>
      </x:c>
      <x:c r="J217" s="3" t="n">
        <x:v>4</x:v>
      </x:c>
      <x:c r="K217" s="3" t="n">
        <x:v>6</x:v>
      </x:c>
      <x:c r="L217" s="11" t="n">
        <x:f>J217/K217</x:f>
        <x:v>0.6666666666666666</x:v>
      </x:c>
    </x:row>
    <x:row r="218" ht="24" customHeight="1">
      <x:c r="A218" s="3" t="n">
        <x:v>58</x:v>
      </x:c>
      <x:c r="B218" s="3" t="n">
        <x:v>115</x:v>
      </x:c>
      <x:c r="C218" s="3" t="str">
        <x:v>辛酸乙酯</x:v>
      </x:c>
      <x:c r="D218" s="3" t="str">
        <x:v>乙酸异戊酯</x:v>
      </x:c>
      <x:c r="E218" s="3" t="str">
        <x:v>3档×3档</x:v>
      </x:c>
      <x:c r="F218" s="3" t="n">
        <x:f>COUNTIFS('浓度矩阵'!$C$6:$C$355,1,'浓度矩阵'!$M$6:$M$355,"&gt;0",'浓度矩阵'!$V$6:$V$355,"&gt;0")</x:f>
        <x:v>3</x:v>
      </x:c>
      <x:c r="G218" s="3" t="n">
        <x:f>COUNTIFS('浓度矩阵'!$B$6:$B$355,"独立配制重复",'浓度矩阵'!$M$6:$M$355,"&gt;0",'浓度矩阵'!$V$6:$V$355,"&gt;0")</x:f>
        <x:v>0</x:v>
      </x:c>
      <x:c r="H218" s="3" t="n">
        <x:f>COUNTIFS('浓度矩阵'!$B$6:$B$355,"留出验证",'浓度矩阵'!$M$6:$M$355,"&gt;0",'浓度矩阵'!$V$6:$V$355,"&gt;0")</x:f>
        <x:v>0</x:v>
      </x:c>
      <x:c r="I218" s="3" t="n">
        <x:v>3</x:v>
      </x:c>
      <x:c r="J218" s="3" t="n">
        <x:v>3</x:v>
      </x:c>
      <x:c r="K218" s="3" t="n">
        <x:v>9</x:v>
      </x:c>
      <x:c r="L218" s="11" t="n">
        <x:f>J218/K218</x:f>
        <x:v>0.3333333333333333</x:v>
      </x:c>
    </x:row>
    <x:row r="219" ht="24" customHeight="1">
      <x:c r="A219" s="3" t="n">
        <x:v>58</x:v>
      </x:c>
      <x:c r="B219" s="3" t="n">
        <x:v>117</x:v>
      </x:c>
      <x:c r="C219" s="3" t="str">
        <x:v>辛酸乙酯</x:v>
      </x:c>
      <x:c r="D219" s="3" t="str">
        <x:v>辛酸</x:v>
      </x:c>
      <x:c r="E219" s="3" t="str">
        <x:v>3档×3档</x:v>
      </x:c>
      <x:c r="F219" s="3" t="n">
        <x:f>COUNTIFS('浓度矩阵'!$C$6:$C$355,1,'浓度矩阵'!$M$6:$M$355,"&gt;0",'浓度矩阵'!$W$6:$W$355,"&gt;0")</x:f>
        <x:v>3</x:v>
      </x:c>
      <x:c r="G219" s="3" t="n">
        <x:f>COUNTIFS('浓度矩阵'!$B$6:$B$355,"独立配制重复",'浓度矩阵'!$M$6:$M$355,"&gt;0",'浓度矩阵'!$W$6:$W$355,"&gt;0")</x:f>
        <x:v>0</x:v>
      </x:c>
      <x:c r="H219" s="3" t="n">
        <x:f>COUNTIFS('浓度矩阵'!$B$6:$B$355,"留出验证",'浓度矩阵'!$M$6:$M$355,"&gt;0",'浓度矩阵'!$W$6:$W$355,"&gt;0")</x:f>
        <x:v>0</x:v>
      </x:c>
      <x:c r="I219" s="3" t="n">
        <x:v>3</x:v>
      </x:c>
      <x:c r="J219" s="3" t="n">
        <x:v>3</x:v>
      </x:c>
      <x:c r="K219" s="3" t="n">
        <x:v>9</x:v>
      </x:c>
      <x:c r="L219" s="11" t="n">
        <x:f>J219/K219</x:f>
        <x:v>0.3333333333333333</x:v>
      </x:c>
    </x:row>
    <x:row r="220" ht="24" customHeight="1">
      <x:c r="A220" s="3" t="n">
        <x:v>58</x:v>
      </x:c>
      <x:c r="B220" s="3" t="n">
        <x:v>126</x:v>
      </x:c>
      <x:c r="C220" s="3" t="str">
        <x:v>辛酸乙酯</x:v>
      </x:c>
      <x:c r="D220" s="3" t="str">
        <x:v>己酸</x:v>
      </x:c>
      <x:c r="E220" s="3" t="str">
        <x:v>3档×3档</x:v>
      </x:c>
      <x:c r="F220" s="3" t="n">
        <x:f>COUNTIFS('浓度矩阵'!$C$6:$C$355,1,'浓度矩阵'!$M$6:$M$355,"&gt;0",'浓度矩阵'!$X$6:$X$355,"&gt;0")</x:f>
        <x:v>3</x:v>
      </x:c>
      <x:c r="G220" s="3" t="n">
        <x:f>COUNTIFS('浓度矩阵'!$B$6:$B$355,"独立配制重复",'浓度矩阵'!$M$6:$M$355,"&gt;0",'浓度矩阵'!$X$6:$X$355,"&gt;0")</x:f>
        <x:v>2</x:v>
      </x:c>
      <x:c r="H220" s="3" t="n">
        <x:f>COUNTIFS('浓度矩阵'!$B$6:$B$355,"留出验证",'浓度矩阵'!$M$6:$M$355,"&gt;0",'浓度矩阵'!$X$6:$X$355,"&gt;0")</x:f>
        <x:v>0</x:v>
      </x:c>
      <x:c r="I220" s="3" t="n">
        <x:v>3</x:v>
      </x:c>
      <x:c r="J220" s="3" t="n">
        <x:v>3</x:v>
      </x:c>
      <x:c r="K220" s="3" t="n">
        <x:v>9</x:v>
      </x:c>
      <x:c r="L220" s="11" t="n">
        <x:f>J220/K220</x:f>
        <x:v>0.3333333333333333</x:v>
      </x:c>
    </x:row>
    <x:row r="221" ht="24" customHeight="1">
      <x:c r="A221" s="3" t="n">
        <x:v>58</x:v>
      </x:c>
      <x:c r="B221" s="3" t="n">
        <x:v>136</x:v>
      </x:c>
      <x:c r="C221" s="3" t="str">
        <x:v>辛酸乙酯</x:v>
      </x:c>
      <x:c r="D221" s="3" t="str">
        <x:v>异戊酸/3-甲基丁酸</x:v>
      </x:c>
      <x:c r="E221" s="3" t="str">
        <x:v>3档×3档</x:v>
      </x:c>
      <x:c r="F221" s="3" t="n">
        <x:f>COUNTIFS('浓度矩阵'!$C$6:$C$355,1,'浓度矩阵'!$M$6:$M$355,"&gt;0",'浓度矩阵'!$Y$6:$Y$355,"&gt;0")</x:f>
        <x:v>3</x:v>
      </x:c>
      <x:c r="G221" s="3" t="n">
        <x:f>COUNTIFS('浓度矩阵'!$B$6:$B$355,"独立配制重复",'浓度矩阵'!$M$6:$M$355,"&gt;0",'浓度矩阵'!$Y$6:$Y$355,"&gt;0")</x:f>
        <x:v>0</x:v>
      </x:c>
      <x:c r="H221" s="3" t="n">
        <x:f>COUNTIFS('浓度矩阵'!$B$6:$B$355,"留出验证",'浓度矩阵'!$M$6:$M$355,"&gt;0",'浓度矩阵'!$Y$6:$Y$355,"&gt;0")</x:f>
        <x:v>0</x:v>
      </x:c>
      <x:c r="I221" s="3" t="n">
        <x:v>3</x:v>
      </x:c>
      <x:c r="J221" s="3" t="n">
        <x:v>3</x:v>
      </x:c>
      <x:c r="K221" s="3" t="n">
        <x:v>9</x:v>
      </x:c>
      <x:c r="L221" s="11" t="n">
        <x:f>J221/K221</x:f>
        <x:v>0.3333333333333333</x:v>
      </x:c>
    </x:row>
    <x:row r="222" ht="24" customHeight="1">
      <x:c r="A222" s="3" t="n">
        <x:v>58</x:v>
      </x:c>
      <x:c r="B222" s="3" t="n">
        <x:v>141</x:v>
      </x:c>
      <x:c r="C222" s="3" t="str">
        <x:v>辛酸乙酯</x:v>
      </x:c>
      <x:c r="D222" s="3" t="str">
        <x:v>戊酸乙酯</x:v>
      </x:c>
      <x:c r="E222" s="3" t="str">
        <x:v>3档×3档</x:v>
      </x:c>
      <x:c r="F222" s="3" t="n">
        <x:f>COUNTIFS('浓度矩阵'!$C$6:$C$355,1,'浓度矩阵'!$M$6:$M$355,"&gt;0",'浓度矩阵'!$Z$6:$Z$355,"&gt;0")</x:f>
        <x:v>3</x:v>
      </x:c>
      <x:c r="G222" s="3" t="n">
        <x:f>COUNTIFS('浓度矩阵'!$B$6:$B$355,"独立配制重复",'浓度矩阵'!$M$6:$M$355,"&gt;0",'浓度矩阵'!$Z$6:$Z$355,"&gt;0")</x:f>
        <x:v>1</x:v>
      </x:c>
      <x:c r="H222" s="3" t="n">
        <x:f>COUNTIFS('浓度矩阵'!$B$6:$B$355,"留出验证",'浓度矩阵'!$M$6:$M$355,"&gt;0",'浓度矩阵'!$Z$6:$Z$355,"&gt;0")</x:f>
        <x:v>1</x:v>
      </x:c>
      <x:c r="I222" s="3" t="n">
        <x:v>3</x:v>
      </x:c>
      <x:c r="J222" s="3" t="n">
        <x:v>3</x:v>
      </x:c>
      <x:c r="K222" s="3" t="n">
        <x:v>9</x:v>
      </x:c>
      <x:c r="L222" s="11" t="n">
        <x:f>J222/K222</x:f>
        <x:v>0.3333333333333333</x:v>
      </x:c>
    </x:row>
    <x:row r="223" ht="24" customHeight="1">
      <x:c r="A223" s="3" t="n">
        <x:v>58</x:v>
      </x:c>
      <x:c r="B223" s="3" t="n">
        <x:v>152</x:v>
      </x:c>
      <x:c r="C223" s="3" t="str">
        <x:v>辛酸乙酯</x:v>
      </x:c>
      <x:c r="D223" s="3" t="str">
        <x:v>异戊醛</x:v>
      </x:c>
      <x:c r="E223" s="3" t="str">
        <x:v>3档×3档</x:v>
      </x:c>
      <x:c r="F223" s="3" t="n">
        <x:f>COUNTIFS('浓度矩阵'!$C$6:$C$355,1,'浓度矩阵'!$M$6:$M$355,"&gt;0",'浓度矩阵'!$AA$6:$AA$355,"&gt;0")</x:f>
        <x:v>3</x:v>
      </x:c>
      <x:c r="G223" s="3" t="n">
        <x:f>COUNTIFS('浓度矩阵'!$B$6:$B$355,"独立配制重复",'浓度矩阵'!$M$6:$M$355,"&gt;0",'浓度矩阵'!$AA$6:$AA$355,"&gt;0")</x:f>
        <x:v>1</x:v>
      </x:c>
      <x:c r="H223" s="3" t="n">
        <x:f>COUNTIFS('浓度矩阵'!$B$6:$B$355,"留出验证",'浓度矩阵'!$M$6:$M$355,"&gt;0",'浓度矩阵'!$AA$6:$AA$355,"&gt;0")</x:f>
        <x:v>0</x:v>
      </x:c>
      <x:c r="I223" s="3" t="n">
        <x:v>3</x:v>
      </x:c>
      <x:c r="J223" s="3" t="n">
        <x:v>3</x:v>
      </x:c>
      <x:c r="K223" s="3" t="n">
        <x:v>9</x:v>
      </x:c>
      <x:c r="L223" s="11" t="n">
        <x:f>J223/K223</x:f>
        <x:v>0.3333333333333333</x:v>
      </x:c>
    </x:row>
    <x:row r="224" ht="24" customHeight="1">
      <x:c r="A224" s="3" t="n">
        <x:v>58</x:v>
      </x:c>
      <x:c r="B224" s="3" t="n">
        <x:v>165</x:v>
      </x:c>
      <x:c r="C224" s="3" t="str">
        <x:v>辛酸乙酯</x:v>
      </x:c>
      <x:c r="D224" s="3" t="str">
        <x:v>己酸丁酯</x:v>
      </x:c>
      <x:c r="E224" s="3" t="str">
        <x:v>3档×2档</x:v>
      </x:c>
      <x:c r="F224" s="3" t="n">
        <x:f>COUNTIFS('浓度矩阵'!$C$6:$C$355,1,'浓度矩阵'!$M$6:$M$355,"&gt;0",'浓度矩阵'!$AB$6:$AB$355,"&gt;0")</x:f>
        <x:v>3</x:v>
      </x:c>
      <x:c r="G224" s="3" t="n">
        <x:f>COUNTIFS('浓度矩阵'!$B$6:$B$355,"独立配制重复",'浓度矩阵'!$M$6:$M$355,"&gt;0",'浓度矩阵'!$AB$6:$AB$355,"&gt;0")</x:f>
        <x:v>0</x:v>
      </x:c>
      <x:c r="H224" s="3" t="n">
        <x:f>COUNTIFS('浓度矩阵'!$B$6:$B$355,"留出验证",'浓度矩阵'!$M$6:$M$355,"&gt;0",'浓度矩阵'!$AB$6:$AB$355,"&gt;0")</x:f>
        <x:v>1</x:v>
      </x:c>
      <x:c r="I224" s="3" t="n">
        <x:v>3</x:v>
      </x:c>
      <x:c r="J224" s="3" t="n">
        <x:v>3</x:v>
      </x:c>
      <x:c r="K224" s="3" t="n">
        <x:v>6</x:v>
      </x:c>
      <x:c r="L224" s="11" t="n">
        <x:f>J224/K224</x:f>
        <x:v>0.5</x:v>
      </x:c>
    </x:row>
    <x:row r="225" ht="24" customHeight="1">
      <x:c r="A225" s="3" t="n">
        <x:v>58</x:v>
      </x:c>
      <x:c r="B225" s="3" t="n">
        <x:v>186</x:v>
      </x:c>
      <x:c r="C225" s="3" t="str">
        <x:v>辛酸乙酯</x:v>
      </x:c>
      <x:c r="D225" s="3" t="str">
        <x:v>3-苯基丙酸乙酯</x:v>
      </x:c>
      <x:c r="E225" s="3" t="str">
        <x:v>3档×3档</x:v>
      </x:c>
      <x:c r="F225" s="3" t="n">
        <x:f>COUNTIFS('浓度矩阵'!$C$6:$C$355,1,'浓度矩阵'!$M$6:$M$355,"&gt;0",'浓度矩阵'!$AC$6:$AC$355,"&gt;0")</x:f>
        <x:v>3</x:v>
      </x:c>
      <x:c r="G225" s="3" t="n">
        <x:f>COUNTIFS('浓度矩阵'!$B$6:$B$355,"独立配制重复",'浓度矩阵'!$M$6:$M$355,"&gt;0",'浓度矩阵'!$AC$6:$AC$355,"&gt;0")</x:f>
        <x:v>2</x:v>
      </x:c>
      <x:c r="H225" s="3" t="n">
        <x:f>COUNTIFS('浓度矩阵'!$B$6:$B$355,"留出验证",'浓度矩阵'!$M$6:$M$355,"&gt;0",'浓度矩阵'!$AC$6:$AC$355,"&gt;0")</x:f>
        <x:v>0</x:v>
      </x:c>
      <x:c r="I225" s="3" t="n">
        <x:v>3</x:v>
      </x:c>
      <x:c r="J225" s="3" t="n">
        <x:v>3</x:v>
      </x:c>
      <x:c r="K225" s="3" t="n">
        <x:v>9</x:v>
      </x:c>
      <x:c r="L225" s="11" t="n">
        <x:f>J225/K225</x:f>
        <x:v>0.3333333333333333</x:v>
      </x:c>
    </x:row>
    <x:row r="226" ht="24" customHeight="1">
      <x:c r="A226" s="3" t="n">
        <x:v>58</x:v>
      </x:c>
      <x:c r="B226" s="3" t="n">
        <x:v>207</x:v>
      </x:c>
      <x:c r="C226" s="3" t="str">
        <x:v>辛酸乙酯</x:v>
      </x:c>
      <x:c r="D226" s="3" t="str">
        <x:v>1-辛烯-3-醇</x:v>
      </x:c>
      <x:c r="E226" s="3" t="str">
        <x:v>3档×3档</x:v>
      </x:c>
      <x:c r="F226" s="3" t="n">
        <x:f>COUNTIFS('浓度矩阵'!$C$6:$C$355,1,'浓度矩阵'!$M$6:$M$355,"&gt;0",'浓度矩阵'!$AD$6:$AD$355,"&gt;0")</x:f>
        <x:v>3</x:v>
      </x:c>
      <x:c r="G226" s="3" t="n">
        <x:f>COUNTIFS('浓度矩阵'!$B$6:$B$355,"独立配制重复",'浓度矩阵'!$M$6:$M$355,"&gt;0",'浓度矩阵'!$AD$6:$AD$355,"&gt;0")</x:f>
        <x:v>0</x:v>
      </x:c>
      <x:c r="H226" s="3" t="n">
        <x:f>COUNTIFS('浓度矩阵'!$B$6:$B$355,"留出验证",'浓度矩阵'!$M$6:$M$355,"&gt;0",'浓度矩阵'!$AD$6:$AD$355,"&gt;0")</x:f>
        <x:v>0</x:v>
      </x:c>
      <x:c r="I226" s="3" t="n">
        <x:v>3</x:v>
      </x:c>
      <x:c r="J226" s="3" t="n">
        <x:v>3</x:v>
      </x:c>
      <x:c r="K226" s="3" t="n">
        <x:v>9</x:v>
      </x:c>
      <x:c r="L226" s="11" t="n">
        <x:f>J226/K226</x:f>
        <x:v>0.3333333333333333</x:v>
      </x:c>
    </x:row>
    <x:row r="227" ht="24" customHeight="1">
      <x:c r="A227" s="3" t="n">
        <x:v>58</x:v>
      </x:c>
      <x:c r="B227" s="3" t="n">
        <x:v>209</x:v>
      </x:c>
      <x:c r="C227" s="3" t="str">
        <x:v>辛酸乙酯</x:v>
      </x:c>
      <x:c r="D227" s="3" t="str">
        <x:v>二甲基三硫醚</x:v>
      </x:c>
      <x:c r="E227" s="3" t="str">
        <x:v>3档×3档</x:v>
      </x:c>
      <x:c r="F227" s="3" t="n">
        <x:f>COUNTIFS('浓度矩阵'!$C$6:$C$355,1,'浓度矩阵'!$M$6:$M$355,"&gt;0",'浓度矩阵'!$AE$6:$AE$355,"&gt;0")</x:f>
        <x:v>3</x:v>
      </x:c>
      <x:c r="G227" s="3" t="n">
        <x:f>COUNTIFS('浓度矩阵'!$B$6:$B$355,"独立配制重复",'浓度矩阵'!$M$6:$M$355,"&gt;0",'浓度矩阵'!$AE$6:$AE$355,"&gt;0")</x:f>
        <x:v>2</x:v>
      </x:c>
      <x:c r="H227" s="3" t="n">
        <x:f>COUNTIFS('浓度矩阵'!$B$6:$B$355,"留出验证",'浓度矩阵'!$M$6:$M$355,"&gt;0",'浓度矩阵'!$AE$6:$AE$355,"&gt;0")</x:f>
        <x:v>0</x:v>
      </x:c>
      <x:c r="I227" s="3" t="n">
        <x:v>3</x:v>
      </x:c>
      <x:c r="J227" s="3" t="n">
        <x:v>3</x:v>
      </x:c>
      <x:c r="K227" s="3" t="n">
        <x:v>9</x:v>
      </x:c>
      <x:c r="L227" s="11" t="n">
        <x:f>J227/K227</x:f>
        <x:v>0.3333333333333333</x:v>
      </x:c>
    </x:row>
    <x:row r="228" ht="24" customHeight="1">
      <x:c r="A228" s="3" t="n">
        <x:v>58</x:v>
      </x:c>
      <x:c r="B228" s="3" t="n">
        <x:v>227</x:v>
      </x:c>
      <x:c r="C228" s="3" t="str">
        <x:v>辛酸乙酯</x:v>
      </x:c>
      <x:c r="D228" s="3" t="str">
        <x:v>己酸己酯</x:v>
      </x:c>
      <x:c r="E228" s="3" t="str">
        <x:v>3档×3档</x:v>
      </x:c>
      <x:c r="F228" s="3" t="n">
        <x:f>COUNTIFS('浓度矩阵'!$C$6:$C$355,1,'浓度矩阵'!$M$6:$M$355,"&gt;0",'浓度矩阵'!$AF$6:$AF$355,"&gt;0")</x:f>
        <x:v>3</x:v>
      </x:c>
      <x:c r="G228" s="3" t="n">
        <x:f>COUNTIFS('浓度矩阵'!$B$6:$B$355,"独立配制重复",'浓度矩阵'!$M$6:$M$355,"&gt;0",'浓度矩阵'!$AF$6:$AF$355,"&gt;0")</x:f>
        <x:v>1</x:v>
      </x:c>
      <x:c r="H228" s="3" t="n">
        <x:f>COUNTIFS('浓度矩阵'!$B$6:$B$355,"留出验证",'浓度矩阵'!$M$6:$M$355,"&gt;0",'浓度矩阵'!$AF$6:$AF$355,"&gt;0")</x:f>
        <x:v>0</x:v>
      </x:c>
      <x:c r="I228" s="3" t="n">
        <x:v>3</x:v>
      </x:c>
      <x:c r="J228" s="3" t="n">
        <x:v>3</x:v>
      </x:c>
      <x:c r="K228" s="3" t="n">
        <x:v>9</x:v>
      </x:c>
      <x:c r="L228" s="11" t="n">
        <x:f>J228/K228</x:f>
        <x:v>0.3333333333333333</x:v>
      </x:c>
    </x:row>
    <x:row r="229" ht="24" customHeight="1">
      <x:c r="A229" s="3" t="n">
        <x:v>58</x:v>
      </x:c>
      <x:c r="B229" s="3" t="n">
        <x:v>232</x:v>
      </x:c>
      <x:c r="C229" s="3" t="str">
        <x:v>辛酸乙酯</x:v>
      </x:c>
      <x:c r="D229" s="3" t="str">
        <x:v>2-甲基丁酸乙酯</x:v>
      </x:c>
      <x:c r="E229" s="3" t="str">
        <x:v>3档×3档</x:v>
      </x:c>
      <x:c r="F229" s="3" t="n">
        <x:f>COUNTIFS('浓度矩阵'!$C$6:$C$355,1,'浓度矩阵'!$M$6:$M$355,"&gt;0",'浓度矩阵'!$AG$6:$AG$355,"&gt;0")</x:f>
        <x:v>4</x:v>
      </x:c>
      <x:c r="G229" s="3" t="n">
        <x:f>COUNTIFS('浓度矩阵'!$B$6:$B$355,"独立配制重复",'浓度矩阵'!$M$6:$M$355,"&gt;0",'浓度矩阵'!$AG$6:$AG$355,"&gt;0")</x:f>
        <x:v>1</x:v>
      </x:c>
      <x:c r="H229" s="3" t="n">
        <x:f>COUNTIFS('浓度矩阵'!$B$6:$B$355,"留出验证",'浓度矩阵'!$M$6:$M$355,"&gt;0",'浓度矩阵'!$AG$6:$AG$355,"&gt;0")</x:f>
        <x:v>1</x:v>
      </x:c>
      <x:c r="I229" s="3" t="n">
        <x:v>4</x:v>
      </x:c>
      <x:c r="J229" s="3" t="n">
        <x:v>4</x:v>
      </x:c>
      <x:c r="K229" s="3" t="n">
        <x:v>9</x:v>
      </x:c>
      <x:c r="L229" s="11" t="n">
        <x:f>J229/K229</x:f>
        <x:v>0.4444444444444444</x:v>
      </x:c>
    </x:row>
    <x:row r="230" ht="24" customHeight="1">
      <x:c r="A230" s="3" t="n">
        <x:v>58</x:v>
      </x:c>
      <x:c r="B230" s="3" t="n">
        <x:v>255</x:v>
      </x:c>
      <x:c r="C230" s="3" t="str">
        <x:v>辛酸乙酯</x:v>
      </x:c>
      <x:c r="D230" s="3" t="str">
        <x:v>β-大马酮</x:v>
      </x:c>
      <x:c r="E230" s="3" t="str">
        <x:v>3档×3档</x:v>
      </x:c>
      <x:c r="F230" s="3" t="n">
        <x:f>COUNTIFS('浓度矩阵'!$C$6:$C$355,1,'浓度矩阵'!$M$6:$M$355,"&gt;0",'浓度矩阵'!$AH$6:$AH$355,"&gt;0")</x:f>
        <x:v>2</x:v>
      </x:c>
      <x:c r="G230" s="3" t="n">
        <x:f>COUNTIFS('浓度矩阵'!$B$6:$B$355,"独立配制重复",'浓度矩阵'!$M$6:$M$355,"&gt;0",'浓度矩阵'!$AH$6:$AH$355,"&gt;0")</x:f>
        <x:v>2</x:v>
      </x:c>
      <x:c r="H230" s="3" t="n">
        <x:f>COUNTIFS('浓度矩阵'!$B$6:$B$355,"留出验证",'浓度矩阵'!$M$6:$M$355,"&gt;0",'浓度矩阵'!$AH$6:$AH$355,"&gt;0")</x:f>
        <x:v>0</x:v>
      </x:c>
      <x:c r="I230" s="3" t="n">
        <x:v>2</x:v>
      </x:c>
      <x:c r="J230" s="3" t="n">
        <x:v>2</x:v>
      </x:c>
      <x:c r="K230" s="3" t="n">
        <x:v>9</x:v>
      </x:c>
      <x:c r="L230" s="11" t="n">
        <x:f>J230/K230</x:f>
        <x:v>0.2222222222222222</x:v>
      </x:c>
    </x:row>
    <x:row r="231" ht="24" customHeight="1">
      <x:c r="A231" s="3" t="n">
        <x:v>61</x:v>
      </x:c>
      <x:c r="B231" s="3" t="n">
        <x:v>69</x:v>
      </x:c>
      <x:c r="C231" s="3" t="str">
        <x:v>对甲酚</x:v>
      </x:c>
      <x:c r="D231" s="3" t="str">
        <x:v>异戊酸乙酯（3-甲基丁酸乙酯）</x:v>
      </x:c>
      <x:c r="E231" s="3" t="str">
        <x:v>3档×3档</x:v>
      </x:c>
      <x:c r="F231" s="3" t="n">
        <x:f>COUNTIFS('浓度矩阵'!$C$6:$C$355,1,'浓度矩阵'!$N$6:$N$355,"&gt;0",'浓度矩阵'!$O$6:$O$355,"&gt;0")</x:f>
        <x:v>4</x:v>
      </x:c>
      <x:c r="G231" s="3" t="n">
        <x:f>COUNTIFS('浓度矩阵'!$B$6:$B$355,"独立配制重复",'浓度矩阵'!$N$6:$N$355,"&gt;0",'浓度矩阵'!$O$6:$O$355,"&gt;0")</x:f>
        <x:v>0</x:v>
      </x:c>
      <x:c r="H231" s="3" t="n">
        <x:f>COUNTIFS('浓度矩阵'!$B$6:$B$355,"留出验证",'浓度矩阵'!$N$6:$N$355,"&gt;0",'浓度矩阵'!$O$6:$O$355,"&gt;0")</x:f>
        <x:v>0</x:v>
      </x:c>
      <x:c r="I231" s="3" t="n">
        <x:v>4</x:v>
      </x:c>
      <x:c r="J231" s="3" t="n">
        <x:v>4</x:v>
      </x:c>
      <x:c r="K231" s="3" t="n">
        <x:v>9</x:v>
      </x:c>
      <x:c r="L231" s="11" t="n">
        <x:f>J231/K231</x:f>
        <x:v>0.4444444444444444</x:v>
      </x:c>
    </x:row>
    <x:row r="232" ht="24" customHeight="1">
      <x:c r="A232" s="3" t="n">
        <x:v>61</x:v>
      </x:c>
      <x:c r="B232" s="3" t="n">
        <x:v>75</x:v>
      </x:c>
      <x:c r="C232" s="3" t="str">
        <x:v>对甲酚</x:v>
      </x:c>
      <x:c r="D232" s="3" t="str">
        <x:v>戊酸</x:v>
      </x:c>
      <x:c r="E232" s="3" t="str">
        <x:v>3档×3档</x:v>
      </x:c>
      <x:c r="F232" s="3" t="n">
        <x:f>COUNTIFS('浓度矩阵'!$C$6:$C$355,1,'浓度矩阵'!$N$6:$N$355,"&gt;0",'浓度矩阵'!$P$6:$P$355,"&gt;0")</x:f>
        <x:v>3</x:v>
      </x:c>
      <x:c r="G232" s="3" t="n">
        <x:f>COUNTIFS('浓度矩阵'!$B$6:$B$355,"独立配制重复",'浓度矩阵'!$N$6:$N$355,"&gt;0",'浓度矩阵'!$P$6:$P$355,"&gt;0")</x:f>
        <x:v>0</x:v>
      </x:c>
      <x:c r="H232" s="3" t="n">
        <x:f>COUNTIFS('浓度矩阵'!$B$6:$B$355,"留出验证",'浓度矩阵'!$N$6:$N$355,"&gt;0",'浓度矩阵'!$P$6:$P$355,"&gt;0")</x:f>
        <x:v>0</x:v>
      </x:c>
      <x:c r="I232" s="3" t="n">
        <x:v>3</x:v>
      </x:c>
      <x:c r="J232" s="3" t="n">
        <x:v>3</x:v>
      </x:c>
      <x:c r="K232" s="3" t="n">
        <x:v>9</x:v>
      </x:c>
      <x:c r="L232" s="11" t="n">
        <x:f>J232/K232</x:f>
        <x:v>0.3333333333333333</x:v>
      </x:c>
    </x:row>
    <x:row r="233" ht="24" customHeight="1">
      <x:c r="A233" s="3" t="n">
        <x:v>61</x:v>
      </x:c>
      <x:c r="B233" s="3" t="n">
        <x:v>79</x:v>
      </x:c>
      <x:c r="C233" s="3" t="str">
        <x:v>对甲酚</x:v>
      </x:c>
      <x:c r="D233" s="3" t="str">
        <x:v>癸酸乙酯</x:v>
      </x:c>
      <x:c r="E233" s="3" t="str">
        <x:v>3档×2档</x:v>
      </x:c>
      <x:c r="F233" s="3" t="n">
        <x:f>COUNTIFS('浓度矩阵'!$C$6:$C$355,1,'浓度矩阵'!$N$6:$N$355,"&gt;0",'浓度矩阵'!$Q$6:$Q$355,"&gt;0")</x:f>
        <x:v>3</x:v>
      </x:c>
      <x:c r="G233" s="3" t="n">
        <x:f>COUNTIFS('浓度矩阵'!$B$6:$B$355,"独立配制重复",'浓度矩阵'!$N$6:$N$355,"&gt;0",'浓度矩阵'!$Q$6:$Q$355,"&gt;0")</x:f>
        <x:v>0</x:v>
      </x:c>
      <x:c r="H233" s="3" t="n">
        <x:f>COUNTIFS('浓度矩阵'!$B$6:$B$355,"留出验证",'浓度矩阵'!$N$6:$N$355,"&gt;0",'浓度矩阵'!$Q$6:$Q$355,"&gt;0")</x:f>
        <x:v>0</x:v>
      </x:c>
      <x:c r="I233" s="3" t="n">
        <x:v>3</x:v>
      </x:c>
      <x:c r="J233" s="3" t="n">
        <x:v>2</x:v>
      </x:c>
      <x:c r="K233" s="3" t="n">
        <x:v>6</x:v>
      </x:c>
      <x:c r="L233" s="11" t="n">
        <x:f>J233/K233</x:f>
        <x:v>0.3333333333333333</x:v>
      </x:c>
    </x:row>
    <x:row r="234" ht="24" customHeight="1">
      <x:c r="A234" s="3" t="n">
        <x:v>61</x:v>
      </x:c>
      <x:c r="B234" s="3" t="n">
        <x:v>90</x:v>
      </x:c>
      <x:c r="C234" s="3" t="str">
        <x:v>对甲酚</x:v>
      </x:c>
      <x:c r="D234" s="3" t="str">
        <x:v>1-辛醇</x:v>
      </x:c>
      <x:c r="E234" s="3" t="str">
        <x:v>3档×2档</x:v>
      </x:c>
      <x:c r="F234" s="3" t="n">
        <x:f>COUNTIFS('浓度矩阵'!$C$6:$C$355,1,'浓度矩阵'!$N$6:$N$355,"&gt;0",'浓度矩阵'!$R$6:$R$355,"&gt;0")</x:f>
        <x:v>3</x:v>
      </x:c>
      <x:c r="G234" s="3" t="n">
        <x:f>COUNTIFS('浓度矩阵'!$B$6:$B$355,"独立配制重复",'浓度矩阵'!$N$6:$N$355,"&gt;0",'浓度矩阵'!$R$6:$R$355,"&gt;0")</x:f>
        <x:v>0</x:v>
      </x:c>
      <x:c r="H234" s="3" t="n">
        <x:f>COUNTIFS('浓度矩阵'!$B$6:$B$355,"留出验证",'浓度矩阵'!$N$6:$N$355,"&gt;0",'浓度矩阵'!$R$6:$R$355,"&gt;0")</x:f>
        <x:v>0</x:v>
      </x:c>
      <x:c r="I234" s="3" t="n">
        <x:v>3</x:v>
      </x:c>
      <x:c r="J234" s="3" t="n">
        <x:v>3</x:v>
      </x:c>
      <x:c r="K234" s="3" t="n">
        <x:v>6</x:v>
      </x:c>
      <x:c r="L234" s="11" t="n">
        <x:f>J234/K234</x:f>
        <x:v>0.5</x:v>
      </x:c>
    </x:row>
    <x:row r="235" ht="24" customHeight="1">
      <x:c r="A235" s="3" t="n">
        <x:v>61</x:v>
      </x:c>
      <x:c r="B235" s="3" t="n">
        <x:v>105</x:v>
      </x:c>
      <x:c r="C235" s="3" t="str">
        <x:v>对甲酚</x:v>
      </x:c>
      <x:c r="D235" s="3" t="str">
        <x:v>苯乙醛</x:v>
      </x:c>
      <x:c r="E235" s="3" t="str">
        <x:v>3档×3档</x:v>
      </x:c>
      <x:c r="F235" s="3" t="n">
        <x:f>COUNTIFS('浓度矩阵'!$C$6:$C$355,1,'浓度矩阵'!$N$6:$N$355,"&gt;0",'浓度矩阵'!$S$6:$S$355,"&gt;0")</x:f>
        <x:v>4</x:v>
      </x:c>
      <x:c r="G235" s="3" t="n">
        <x:f>COUNTIFS('浓度矩阵'!$B$6:$B$355,"独立配制重复",'浓度矩阵'!$N$6:$N$355,"&gt;0",'浓度矩阵'!$S$6:$S$355,"&gt;0")</x:f>
        <x:v>1</x:v>
      </x:c>
      <x:c r="H235" s="3" t="n">
        <x:f>COUNTIFS('浓度矩阵'!$B$6:$B$355,"留出验证",'浓度矩阵'!$N$6:$N$355,"&gt;0",'浓度矩阵'!$S$6:$S$355,"&gt;0")</x:f>
        <x:v>1</x:v>
      </x:c>
      <x:c r="I235" s="3" t="n">
        <x:v>4</x:v>
      </x:c>
      <x:c r="J235" s="3" t="n">
        <x:v>4</x:v>
      </x:c>
      <x:c r="K235" s="3" t="n">
        <x:v>9</x:v>
      </x:c>
      <x:c r="L235" s="11" t="n">
        <x:f>J235/K235</x:f>
        <x:v>0.4444444444444444</x:v>
      </x:c>
    </x:row>
    <x:row r="236" ht="24" customHeight="1">
      <x:c r="A236" s="3" t="n">
        <x:v>61</x:v>
      </x:c>
      <x:c r="B236" s="3" t="n">
        <x:v>111</x:v>
      </x:c>
      <x:c r="C236" s="3" t="str">
        <x:v>对甲酚</x:v>
      </x:c>
      <x:c r="D236" s="3" t="str">
        <x:v>己酸乙酯</x:v>
      </x:c>
      <x:c r="E236" s="3" t="str">
        <x:v>3档×3档</x:v>
      </x:c>
      <x:c r="F236" s="3" t="n">
        <x:f>COUNTIFS('浓度矩阵'!$C$6:$C$355,1,'浓度矩阵'!$N$6:$N$355,"&gt;0",'浓度矩阵'!$T$6:$T$355,"&gt;0")</x:f>
        <x:v>4</x:v>
      </x:c>
      <x:c r="G236" s="3" t="n">
        <x:f>COUNTIFS('浓度矩阵'!$B$6:$B$355,"独立配制重复",'浓度矩阵'!$N$6:$N$355,"&gt;0",'浓度矩阵'!$T$6:$T$355,"&gt;0")</x:f>
        <x:v>1</x:v>
      </x:c>
      <x:c r="H236" s="3" t="n">
        <x:f>COUNTIFS('浓度矩阵'!$B$6:$B$355,"留出验证",'浓度矩阵'!$N$6:$N$355,"&gt;0",'浓度矩阵'!$T$6:$T$355,"&gt;0")</x:f>
        <x:v>0</x:v>
      </x:c>
      <x:c r="I236" s="3" t="n">
        <x:v>4</x:v>
      </x:c>
      <x:c r="J236" s="3" t="n">
        <x:v>4</x:v>
      </x:c>
      <x:c r="K236" s="3" t="n">
        <x:v>9</x:v>
      </x:c>
      <x:c r="L236" s="11" t="n">
        <x:f>J236/K236</x:f>
        <x:v>0.4444444444444444</x:v>
      </x:c>
    </x:row>
    <x:row r="237" ht="24" customHeight="1">
      <x:c r="A237" s="3" t="n">
        <x:v>61</x:v>
      </x:c>
      <x:c r="B237" s="3" t="n">
        <x:v>114</x:v>
      </x:c>
      <x:c r="C237" s="3" t="str">
        <x:v>对甲酚</x:v>
      </x:c>
      <x:c r="D237" s="3" t="str">
        <x:v>乙酸丁酯</x:v>
      </x:c>
      <x:c r="E237" s="3" t="str">
        <x:v>3档×2档</x:v>
      </x:c>
      <x:c r="F237" s="3" t="n">
        <x:f>COUNTIFS('浓度矩阵'!$C$6:$C$355,1,'浓度矩阵'!$N$6:$N$355,"&gt;0",'浓度矩阵'!$U$6:$U$355,"&gt;0")</x:f>
        <x:v>3</x:v>
      </x:c>
      <x:c r="G237" s="3" t="n">
        <x:f>COUNTIFS('浓度矩阵'!$B$6:$B$355,"独立配制重复",'浓度矩阵'!$N$6:$N$355,"&gt;0",'浓度矩阵'!$U$6:$U$355,"&gt;0")</x:f>
        <x:v>0</x:v>
      </x:c>
      <x:c r="H237" s="3" t="n">
        <x:f>COUNTIFS('浓度矩阵'!$B$6:$B$355,"留出验证",'浓度矩阵'!$N$6:$N$355,"&gt;0",'浓度矩阵'!$U$6:$U$355,"&gt;0")</x:f>
        <x:v>0</x:v>
      </x:c>
      <x:c r="I237" s="3" t="n">
        <x:v>3</x:v>
      </x:c>
      <x:c r="J237" s="3" t="n">
        <x:v>3</x:v>
      </x:c>
      <x:c r="K237" s="3" t="n">
        <x:v>6</x:v>
      </x:c>
      <x:c r="L237" s="11" t="n">
        <x:f>J237/K237</x:f>
        <x:v>0.5</x:v>
      </x:c>
    </x:row>
    <x:row r="238" ht="24" customHeight="1">
      <x:c r="A238" s="3" t="n">
        <x:v>61</x:v>
      </x:c>
      <x:c r="B238" s="3" t="n">
        <x:v>115</x:v>
      </x:c>
      <x:c r="C238" s="3" t="str">
        <x:v>对甲酚</x:v>
      </x:c>
      <x:c r="D238" s="3" t="str">
        <x:v>乙酸异戊酯</x:v>
      </x:c>
      <x:c r="E238" s="3" t="str">
        <x:v>3档×3档</x:v>
      </x:c>
      <x:c r="F238" s="3" t="n">
        <x:f>COUNTIFS('浓度矩阵'!$C$6:$C$355,1,'浓度矩阵'!$N$6:$N$355,"&gt;0",'浓度矩阵'!$V$6:$V$355,"&gt;0")</x:f>
        <x:v>3</x:v>
      </x:c>
      <x:c r="G238" s="3" t="n">
        <x:f>COUNTIFS('浓度矩阵'!$B$6:$B$355,"独立配制重复",'浓度矩阵'!$N$6:$N$355,"&gt;0",'浓度矩阵'!$V$6:$V$355,"&gt;0")</x:f>
        <x:v>0</x:v>
      </x:c>
      <x:c r="H238" s="3" t="n">
        <x:f>COUNTIFS('浓度矩阵'!$B$6:$B$355,"留出验证",'浓度矩阵'!$N$6:$N$355,"&gt;0",'浓度矩阵'!$V$6:$V$355,"&gt;0")</x:f>
        <x:v>0</x:v>
      </x:c>
      <x:c r="I238" s="3" t="n">
        <x:v>3</x:v>
      </x:c>
      <x:c r="J238" s="3" t="n">
        <x:v>3</x:v>
      </x:c>
      <x:c r="K238" s="3" t="n">
        <x:v>9</x:v>
      </x:c>
      <x:c r="L238" s="11" t="n">
        <x:f>J238/K238</x:f>
        <x:v>0.3333333333333333</x:v>
      </x:c>
    </x:row>
    <x:row r="239" ht="24" customHeight="1">
      <x:c r="A239" s="3" t="n">
        <x:v>61</x:v>
      </x:c>
      <x:c r="B239" s="3" t="n">
        <x:v>117</x:v>
      </x:c>
      <x:c r="C239" s="3" t="str">
        <x:v>对甲酚</x:v>
      </x:c>
      <x:c r="D239" s="3" t="str">
        <x:v>辛酸</x:v>
      </x:c>
      <x:c r="E239" s="3" t="str">
        <x:v>3档×3档</x:v>
      </x:c>
      <x:c r="F239" s="3" t="n">
        <x:f>COUNTIFS('浓度矩阵'!$C$6:$C$355,1,'浓度矩阵'!$N$6:$N$355,"&gt;0",'浓度矩阵'!$W$6:$W$355,"&gt;0")</x:f>
        <x:v>3</x:v>
      </x:c>
      <x:c r="G239" s="3" t="n">
        <x:f>COUNTIFS('浓度矩阵'!$B$6:$B$355,"独立配制重复",'浓度矩阵'!$N$6:$N$355,"&gt;0",'浓度矩阵'!$W$6:$W$355,"&gt;0")</x:f>
        <x:v>0</x:v>
      </x:c>
      <x:c r="H239" s="3" t="n">
        <x:f>COUNTIFS('浓度矩阵'!$B$6:$B$355,"留出验证",'浓度矩阵'!$N$6:$N$355,"&gt;0",'浓度矩阵'!$W$6:$W$355,"&gt;0")</x:f>
        <x:v>1</x:v>
      </x:c>
      <x:c r="I239" s="3" t="n">
        <x:v>3</x:v>
      </x:c>
      <x:c r="J239" s="3" t="n">
        <x:v>3</x:v>
      </x:c>
      <x:c r="K239" s="3" t="n">
        <x:v>9</x:v>
      </x:c>
      <x:c r="L239" s="11" t="n">
        <x:f>J239/K239</x:f>
        <x:v>0.3333333333333333</x:v>
      </x:c>
    </x:row>
    <x:row r="240" ht="24" customHeight="1">
      <x:c r="A240" s="3" t="n">
        <x:v>61</x:v>
      </x:c>
      <x:c r="B240" s="3" t="n">
        <x:v>126</x:v>
      </x:c>
      <x:c r="C240" s="3" t="str">
        <x:v>对甲酚</x:v>
      </x:c>
      <x:c r="D240" s="3" t="str">
        <x:v>己酸</x:v>
      </x:c>
      <x:c r="E240" s="3" t="str">
        <x:v>3档×3档</x:v>
      </x:c>
      <x:c r="F240" s="3" t="n">
        <x:f>COUNTIFS('浓度矩阵'!$C$6:$C$355,1,'浓度矩阵'!$N$6:$N$355,"&gt;0",'浓度矩阵'!$X$6:$X$355,"&gt;0")</x:f>
        <x:v>3</x:v>
      </x:c>
      <x:c r="G240" s="3" t="n">
        <x:f>COUNTIFS('浓度矩阵'!$B$6:$B$355,"独立配制重复",'浓度矩阵'!$N$6:$N$355,"&gt;0",'浓度矩阵'!$X$6:$X$355,"&gt;0")</x:f>
        <x:v>0</x:v>
      </x:c>
      <x:c r="H240" s="3" t="n">
        <x:f>COUNTIFS('浓度矩阵'!$B$6:$B$355,"留出验证",'浓度矩阵'!$N$6:$N$355,"&gt;0",'浓度矩阵'!$X$6:$X$355,"&gt;0")</x:f>
        <x:v>0</x:v>
      </x:c>
      <x:c r="I240" s="3" t="n">
        <x:v>3</x:v>
      </x:c>
      <x:c r="J240" s="3" t="n">
        <x:v>3</x:v>
      </x:c>
      <x:c r="K240" s="3" t="n">
        <x:v>9</x:v>
      </x:c>
      <x:c r="L240" s="11" t="n">
        <x:f>J240/K240</x:f>
        <x:v>0.3333333333333333</x:v>
      </x:c>
    </x:row>
    <x:row r="241" ht="24" customHeight="1">
      <x:c r="A241" s="3" t="n">
        <x:v>61</x:v>
      </x:c>
      <x:c r="B241" s="3" t="n">
        <x:v>136</x:v>
      </x:c>
      <x:c r="C241" s="3" t="str">
        <x:v>对甲酚</x:v>
      </x:c>
      <x:c r="D241" s="3" t="str">
        <x:v>异戊酸/3-甲基丁酸</x:v>
      </x:c>
      <x:c r="E241" s="3" t="str">
        <x:v>3档×3档</x:v>
      </x:c>
      <x:c r="F241" s="3" t="n">
        <x:f>COUNTIFS('浓度矩阵'!$C$6:$C$355,1,'浓度矩阵'!$N$6:$N$355,"&gt;0",'浓度矩阵'!$Y$6:$Y$355,"&gt;0")</x:f>
        <x:v>3</x:v>
      </x:c>
      <x:c r="G241" s="3" t="n">
        <x:f>COUNTIFS('浓度矩阵'!$B$6:$B$355,"独立配制重复",'浓度矩阵'!$N$6:$N$355,"&gt;0",'浓度矩阵'!$Y$6:$Y$355,"&gt;0")</x:f>
        <x:v>0</x:v>
      </x:c>
      <x:c r="H241" s="3" t="n">
        <x:f>COUNTIFS('浓度矩阵'!$B$6:$B$355,"留出验证",'浓度矩阵'!$N$6:$N$355,"&gt;0",'浓度矩阵'!$Y$6:$Y$355,"&gt;0")</x:f>
        <x:v>0</x:v>
      </x:c>
      <x:c r="I241" s="3" t="n">
        <x:v>3</x:v>
      </x:c>
      <x:c r="J241" s="3" t="n">
        <x:v>3</x:v>
      </x:c>
      <x:c r="K241" s="3" t="n">
        <x:v>9</x:v>
      </x:c>
      <x:c r="L241" s="11" t="n">
        <x:f>J241/K241</x:f>
        <x:v>0.3333333333333333</x:v>
      </x:c>
    </x:row>
    <x:row r="242" ht="24" customHeight="1">
      <x:c r="A242" s="3" t="n">
        <x:v>61</x:v>
      </x:c>
      <x:c r="B242" s="3" t="n">
        <x:v>141</x:v>
      </x:c>
      <x:c r="C242" s="3" t="str">
        <x:v>对甲酚</x:v>
      </x:c>
      <x:c r="D242" s="3" t="str">
        <x:v>戊酸乙酯</x:v>
      </x:c>
      <x:c r="E242" s="3" t="str">
        <x:v>3档×3档</x:v>
      </x:c>
      <x:c r="F242" s="3" t="n">
        <x:f>COUNTIFS('浓度矩阵'!$C$6:$C$355,1,'浓度矩阵'!$N$6:$N$355,"&gt;0",'浓度矩阵'!$Z$6:$Z$355,"&gt;0")</x:f>
        <x:v>3</x:v>
      </x:c>
      <x:c r="G242" s="3" t="n">
        <x:f>COUNTIFS('浓度矩阵'!$B$6:$B$355,"独立配制重复",'浓度矩阵'!$N$6:$N$355,"&gt;0",'浓度矩阵'!$Z$6:$Z$355,"&gt;0")</x:f>
        <x:v>0</x:v>
      </x:c>
      <x:c r="H242" s="3" t="n">
        <x:f>COUNTIFS('浓度矩阵'!$B$6:$B$355,"留出验证",'浓度矩阵'!$N$6:$N$355,"&gt;0",'浓度矩阵'!$Z$6:$Z$355,"&gt;0")</x:f>
        <x:v>0</x:v>
      </x:c>
      <x:c r="I242" s="3" t="n">
        <x:v>3</x:v>
      </x:c>
      <x:c r="J242" s="3" t="n">
        <x:v>3</x:v>
      </x:c>
      <x:c r="K242" s="3" t="n">
        <x:v>9</x:v>
      </x:c>
      <x:c r="L242" s="11" t="n">
        <x:f>J242/K242</x:f>
        <x:v>0.3333333333333333</x:v>
      </x:c>
    </x:row>
    <x:row r="243" ht="24" customHeight="1">
      <x:c r="A243" s="3" t="n">
        <x:v>61</x:v>
      </x:c>
      <x:c r="B243" s="3" t="n">
        <x:v>152</x:v>
      </x:c>
      <x:c r="C243" s="3" t="str">
        <x:v>对甲酚</x:v>
      </x:c>
      <x:c r="D243" s="3" t="str">
        <x:v>异戊醛</x:v>
      </x:c>
      <x:c r="E243" s="3" t="str">
        <x:v>3档×3档</x:v>
      </x:c>
      <x:c r="F243" s="3" t="n">
        <x:f>COUNTIFS('浓度矩阵'!$C$6:$C$355,1,'浓度矩阵'!$N$6:$N$355,"&gt;0",'浓度矩阵'!$AA$6:$AA$355,"&gt;0")</x:f>
        <x:v>3</x:v>
      </x:c>
      <x:c r="G243" s="3" t="n">
        <x:f>COUNTIFS('浓度矩阵'!$B$6:$B$355,"独立配制重复",'浓度矩阵'!$N$6:$N$355,"&gt;0",'浓度矩阵'!$AA$6:$AA$355,"&gt;0")</x:f>
        <x:v>0</x:v>
      </x:c>
      <x:c r="H243" s="3" t="n">
        <x:f>COUNTIFS('浓度矩阵'!$B$6:$B$355,"留出验证",'浓度矩阵'!$N$6:$N$355,"&gt;0",'浓度矩阵'!$AA$6:$AA$355,"&gt;0")</x:f>
        <x:v>1</x:v>
      </x:c>
      <x:c r="I243" s="3" t="n">
        <x:v>3</x:v>
      </x:c>
      <x:c r="J243" s="3" t="n">
        <x:v>3</x:v>
      </x:c>
      <x:c r="K243" s="3" t="n">
        <x:v>9</x:v>
      </x:c>
      <x:c r="L243" s="11" t="n">
        <x:f>J243/K243</x:f>
        <x:v>0.3333333333333333</x:v>
      </x:c>
    </x:row>
    <x:row r="244" ht="24" customHeight="1">
      <x:c r="A244" s="3" t="n">
        <x:v>61</x:v>
      </x:c>
      <x:c r="B244" s="3" t="n">
        <x:v>165</x:v>
      </x:c>
      <x:c r="C244" s="3" t="str">
        <x:v>对甲酚</x:v>
      </x:c>
      <x:c r="D244" s="3" t="str">
        <x:v>己酸丁酯</x:v>
      </x:c>
      <x:c r="E244" s="3" t="str">
        <x:v>3档×2档</x:v>
      </x:c>
      <x:c r="F244" s="3" t="n">
        <x:f>COUNTIFS('浓度矩阵'!$C$6:$C$355,1,'浓度矩阵'!$N$6:$N$355,"&gt;0",'浓度矩阵'!$AB$6:$AB$355,"&gt;0")</x:f>
        <x:v>3</x:v>
      </x:c>
      <x:c r="G244" s="3" t="n">
        <x:f>COUNTIFS('浓度矩阵'!$B$6:$B$355,"独立配制重复",'浓度矩阵'!$N$6:$N$355,"&gt;0",'浓度矩阵'!$AB$6:$AB$355,"&gt;0")</x:f>
        <x:v>0</x:v>
      </x:c>
      <x:c r="H244" s="3" t="n">
        <x:f>COUNTIFS('浓度矩阵'!$B$6:$B$355,"留出验证",'浓度矩阵'!$N$6:$N$355,"&gt;0",'浓度矩阵'!$AB$6:$AB$355,"&gt;0")</x:f>
        <x:v>2</x:v>
      </x:c>
      <x:c r="I244" s="3" t="n">
        <x:v>3</x:v>
      </x:c>
      <x:c r="J244" s="3" t="n">
        <x:v>3</x:v>
      </x:c>
      <x:c r="K244" s="3" t="n">
        <x:v>6</x:v>
      </x:c>
      <x:c r="L244" s="11" t="n">
        <x:f>J244/K244</x:f>
        <x:v>0.5</x:v>
      </x:c>
    </x:row>
    <x:row r="245" ht="24" customHeight="1">
      <x:c r="A245" s="3" t="n">
        <x:v>61</x:v>
      </x:c>
      <x:c r="B245" s="3" t="n">
        <x:v>186</x:v>
      </x:c>
      <x:c r="C245" s="3" t="str">
        <x:v>对甲酚</x:v>
      </x:c>
      <x:c r="D245" s="3" t="str">
        <x:v>3-苯基丙酸乙酯</x:v>
      </x:c>
      <x:c r="E245" s="3" t="str">
        <x:v>3档×3档</x:v>
      </x:c>
      <x:c r="F245" s="3" t="n">
        <x:f>COUNTIFS('浓度矩阵'!$C$6:$C$355,1,'浓度矩阵'!$N$6:$N$355,"&gt;0",'浓度矩阵'!$AC$6:$AC$355,"&gt;0")</x:f>
        <x:v>3</x:v>
      </x:c>
      <x:c r="G245" s="3" t="n">
        <x:f>COUNTIFS('浓度矩阵'!$B$6:$B$355,"独立配制重复",'浓度矩阵'!$N$6:$N$355,"&gt;0",'浓度矩阵'!$AC$6:$AC$355,"&gt;0")</x:f>
        <x:v>1</x:v>
      </x:c>
      <x:c r="H245" s="3" t="n">
        <x:f>COUNTIFS('浓度矩阵'!$B$6:$B$355,"留出验证",'浓度矩阵'!$N$6:$N$355,"&gt;0",'浓度矩阵'!$AC$6:$AC$355,"&gt;0")</x:f>
        <x:v>1</x:v>
      </x:c>
      <x:c r="I245" s="3" t="n">
        <x:v>3</x:v>
      </x:c>
      <x:c r="J245" s="3" t="n">
        <x:v>3</x:v>
      </x:c>
      <x:c r="K245" s="3" t="n">
        <x:v>9</x:v>
      </x:c>
      <x:c r="L245" s="11" t="n">
        <x:f>J245/K245</x:f>
        <x:v>0.3333333333333333</x:v>
      </x:c>
    </x:row>
    <x:row r="246" ht="24" customHeight="1">
      <x:c r="A246" s="3" t="n">
        <x:v>61</x:v>
      </x:c>
      <x:c r="B246" s="3" t="n">
        <x:v>207</x:v>
      </x:c>
      <x:c r="C246" s="3" t="str">
        <x:v>对甲酚</x:v>
      </x:c>
      <x:c r="D246" s="3" t="str">
        <x:v>1-辛烯-3-醇</x:v>
      </x:c>
      <x:c r="E246" s="3" t="str">
        <x:v>3档×3档</x:v>
      </x:c>
      <x:c r="F246" s="3" t="n">
        <x:f>COUNTIFS('浓度矩阵'!$C$6:$C$355,1,'浓度矩阵'!$N$6:$N$355,"&gt;0",'浓度矩阵'!$AD$6:$AD$355,"&gt;0")</x:f>
        <x:v>3</x:v>
      </x:c>
      <x:c r="G246" s="3" t="n">
        <x:f>COUNTIFS('浓度矩阵'!$B$6:$B$355,"独立配制重复",'浓度矩阵'!$N$6:$N$355,"&gt;0",'浓度矩阵'!$AD$6:$AD$355,"&gt;0")</x:f>
        <x:v>1</x:v>
      </x:c>
      <x:c r="H246" s="3" t="n">
        <x:f>COUNTIFS('浓度矩阵'!$B$6:$B$355,"留出验证",'浓度矩阵'!$N$6:$N$355,"&gt;0",'浓度矩阵'!$AD$6:$AD$355,"&gt;0")</x:f>
        <x:v>0</x:v>
      </x:c>
      <x:c r="I246" s="3" t="n">
        <x:v>3</x:v>
      </x:c>
      <x:c r="J246" s="3" t="n">
        <x:v>3</x:v>
      </x:c>
      <x:c r="K246" s="3" t="n">
        <x:v>9</x:v>
      </x:c>
      <x:c r="L246" s="11" t="n">
        <x:f>J246/K246</x:f>
        <x:v>0.3333333333333333</x:v>
      </x:c>
    </x:row>
    <x:row r="247" ht="24" customHeight="1">
      <x:c r="A247" s="3" t="n">
        <x:v>61</x:v>
      </x:c>
      <x:c r="B247" s="3" t="n">
        <x:v>209</x:v>
      </x:c>
      <x:c r="C247" s="3" t="str">
        <x:v>对甲酚</x:v>
      </x:c>
      <x:c r="D247" s="3" t="str">
        <x:v>二甲基三硫醚</x:v>
      </x:c>
      <x:c r="E247" s="3" t="str">
        <x:v>3档×3档</x:v>
      </x:c>
      <x:c r="F247" s="3" t="n">
        <x:f>COUNTIFS('浓度矩阵'!$C$6:$C$355,1,'浓度矩阵'!$N$6:$N$355,"&gt;0",'浓度矩阵'!$AE$6:$AE$355,"&gt;0")</x:f>
        <x:v>3</x:v>
      </x:c>
      <x:c r="G247" s="3" t="n">
        <x:f>COUNTIFS('浓度矩阵'!$B$6:$B$355,"独立配制重复",'浓度矩阵'!$N$6:$N$355,"&gt;0",'浓度矩阵'!$AE$6:$AE$355,"&gt;0")</x:f>
        <x:v>0</x:v>
      </x:c>
      <x:c r="H247" s="3" t="n">
        <x:f>COUNTIFS('浓度矩阵'!$B$6:$B$355,"留出验证",'浓度矩阵'!$N$6:$N$355,"&gt;0",'浓度矩阵'!$AE$6:$AE$355,"&gt;0")</x:f>
        <x:v>0</x:v>
      </x:c>
      <x:c r="I247" s="3" t="n">
        <x:v>3</x:v>
      </x:c>
      <x:c r="J247" s="3" t="n">
        <x:v>3</x:v>
      </x:c>
      <x:c r="K247" s="3" t="n">
        <x:v>9</x:v>
      </x:c>
      <x:c r="L247" s="11" t="n">
        <x:f>J247/K247</x:f>
        <x:v>0.3333333333333333</x:v>
      </x:c>
    </x:row>
    <x:row r="248" ht="24" customHeight="1">
      <x:c r="A248" s="3" t="n">
        <x:v>61</x:v>
      </x:c>
      <x:c r="B248" s="3" t="n">
        <x:v>227</x:v>
      </x:c>
      <x:c r="C248" s="3" t="str">
        <x:v>对甲酚</x:v>
      </x:c>
      <x:c r="D248" s="3" t="str">
        <x:v>己酸己酯</x:v>
      </x:c>
      <x:c r="E248" s="3" t="str">
        <x:v>3档×3档</x:v>
      </x:c>
      <x:c r="F248" s="3" t="n">
        <x:f>COUNTIFS('浓度矩阵'!$C$6:$C$355,1,'浓度矩阵'!$N$6:$N$355,"&gt;0",'浓度矩阵'!$AF$6:$AF$355,"&gt;0")</x:f>
        <x:v>3</x:v>
      </x:c>
      <x:c r="G248" s="3" t="n">
        <x:f>COUNTIFS('浓度矩阵'!$B$6:$B$355,"独立配制重复",'浓度矩阵'!$N$6:$N$355,"&gt;0",'浓度矩阵'!$AF$6:$AF$355,"&gt;0")</x:f>
        <x:v>1</x:v>
      </x:c>
      <x:c r="H248" s="3" t="n">
        <x:f>COUNTIFS('浓度矩阵'!$B$6:$B$355,"留出验证",'浓度矩阵'!$N$6:$N$355,"&gt;0",'浓度矩阵'!$AF$6:$AF$355,"&gt;0")</x:f>
        <x:v>0</x:v>
      </x:c>
      <x:c r="I248" s="3" t="n">
        <x:v>3</x:v>
      </x:c>
      <x:c r="J248" s="3" t="n">
        <x:v>3</x:v>
      </x:c>
      <x:c r="K248" s="3" t="n">
        <x:v>9</x:v>
      </x:c>
      <x:c r="L248" s="11" t="n">
        <x:f>J248/K248</x:f>
        <x:v>0.3333333333333333</x:v>
      </x:c>
    </x:row>
    <x:row r="249" ht="24" customHeight="1">
      <x:c r="A249" s="3" t="n">
        <x:v>61</x:v>
      </x:c>
      <x:c r="B249" s="3" t="n">
        <x:v>232</x:v>
      </x:c>
      <x:c r="C249" s="3" t="str">
        <x:v>对甲酚</x:v>
      </x:c>
      <x:c r="D249" s="3" t="str">
        <x:v>2-甲基丁酸乙酯</x:v>
      </x:c>
      <x:c r="E249" s="3" t="str">
        <x:v>3档×3档</x:v>
      </x:c>
      <x:c r="F249" s="3" t="n">
        <x:f>COUNTIFS('浓度矩阵'!$C$6:$C$355,1,'浓度矩阵'!$N$6:$N$355,"&gt;0",'浓度矩阵'!$AG$6:$AG$355,"&gt;0")</x:f>
        <x:v>3</x:v>
      </x:c>
      <x:c r="G249" s="3" t="n">
        <x:f>COUNTIFS('浓度矩阵'!$B$6:$B$355,"独立配制重复",'浓度矩阵'!$N$6:$N$355,"&gt;0",'浓度矩阵'!$AG$6:$AG$355,"&gt;0")</x:f>
        <x:v>0</x:v>
      </x:c>
      <x:c r="H249" s="3" t="n">
        <x:f>COUNTIFS('浓度矩阵'!$B$6:$B$355,"留出验证",'浓度矩阵'!$N$6:$N$355,"&gt;0",'浓度矩阵'!$AG$6:$AG$355,"&gt;0")</x:f>
        <x:v>0</x:v>
      </x:c>
      <x:c r="I249" s="3" t="n">
        <x:v>3</x:v>
      </x:c>
      <x:c r="J249" s="3" t="n">
        <x:v>3</x:v>
      </x:c>
      <x:c r="K249" s="3" t="n">
        <x:v>9</x:v>
      </x:c>
      <x:c r="L249" s="11" t="n">
        <x:f>J249/K249</x:f>
        <x:v>0.3333333333333333</x:v>
      </x:c>
    </x:row>
    <x:row r="250" ht="24" customHeight="1">
      <x:c r="A250" s="3" t="n">
        <x:v>61</x:v>
      </x:c>
      <x:c r="B250" s="3" t="n">
        <x:v>255</x:v>
      </x:c>
      <x:c r="C250" s="3" t="str">
        <x:v>对甲酚</x:v>
      </x:c>
      <x:c r="D250" s="3" t="str">
        <x:v>β-大马酮</x:v>
      </x:c>
      <x:c r="E250" s="3" t="str">
        <x:v>3档×3档</x:v>
      </x:c>
      <x:c r="F250" s="3" t="n">
        <x:f>COUNTIFS('浓度矩阵'!$C$6:$C$355,1,'浓度矩阵'!$N$6:$N$355,"&gt;0",'浓度矩阵'!$AH$6:$AH$355,"&gt;0")</x:f>
        <x:v>3</x:v>
      </x:c>
      <x:c r="G250" s="3" t="n">
        <x:f>COUNTIFS('浓度矩阵'!$B$6:$B$355,"独立配制重复",'浓度矩阵'!$N$6:$N$355,"&gt;0",'浓度矩阵'!$AH$6:$AH$355,"&gt;0")</x:f>
        <x:v>0</x:v>
      </x:c>
      <x:c r="H250" s="3" t="n">
        <x:f>COUNTIFS('浓度矩阵'!$B$6:$B$355,"留出验证",'浓度矩阵'!$N$6:$N$355,"&gt;0",'浓度矩阵'!$AH$6:$AH$355,"&gt;0")</x:f>
        <x:v>0</x:v>
      </x:c>
      <x:c r="I250" s="3" t="n">
        <x:v>3</x:v>
      </x:c>
      <x:c r="J250" s="3" t="n">
        <x:v>3</x:v>
      </x:c>
      <x:c r="K250" s="3" t="n">
        <x:v>9</x:v>
      </x:c>
      <x:c r="L250" s="11" t="n">
        <x:f>J250/K250</x:f>
        <x:v>0.3333333333333333</x:v>
      </x:c>
    </x:row>
    <x:row r="251" ht="24" customHeight="1">
      <x:c r="A251" s="3" t="n">
        <x:v>69</x:v>
      </x:c>
      <x:c r="B251" s="3" t="n">
        <x:v>75</x:v>
      </x:c>
      <x:c r="C251" s="3" t="str">
        <x:v>异戊酸乙酯（3-甲基丁酸乙酯）</x:v>
      </x:c>
      <x:c r="D251" s="3" t="str">
        <x:v>戊酸</x:v>
      </x:c>
      <x:c r="E251" s="3" t="str">
        <x:v>3档×3档</x:v>
      </x:c>
      <x:c r="F251" s="3" t="n">
        <x:f>COUNTIFS('浓度矩阵'!$C$6:$C$355,1,'浓度矩阵'!$O$6:$O$355,"&gt;0",'浓度矩阵'!$P$6:$P$355,"&gt;0")</x:f>
        <x:v>3</x:v>
      </x:c>
      <x:c r="G251" s="3" t="n">
        <x:f>COUNTIFS('浓度矩阵'!$B$6:$B$355,"独立配制重复",'浓度矩阵'!$O$6:$O$355,"&gt;0",'浓度矩阵'!$P$6:$P$355,"&gt;0")</x:f>
        <x:v>1</x:v>
      </x:c>
      <x:c r="H251" s="3" t="n">
        <x:f>COUNTIFS('浓度矩阵'!$B$6:$B$355,"留出验证",'浓度矩阵'!$O$6:$O$355,"&gt;0",'浓度矩阵'!$P$6:$P$355,"&gt;0")</x:f>
        <x:v>0</x:v>
      </x:c>
      <x:c r="I251" s="3" t="n">
        <x:v>3</x:v>
      </x:c>
      <x:c r="J251" s="3" t="n">
        <x:v>3</x:v>
      </x:c>
      <x:c r="K251" s="3" t="n">
        <x:v>9</x:v>
      </x:c>
      <x:c r="L251" s="11" t="n">
        <x:f>J251/K251</x:f>
        <x:v>0.3333333333333333</x:v>
      </x:c>
    </x:row>
    <x:row r="252" ht="24" customHeight="1">
      <x:c r="A252" s="3" t="n">
        <x:v>69</x:v>
      </x:c>
      <x:c r="B252" s="3" t="n">
        <x:v>79</x:v>
      </x:c>
      <x:c r="C252" s="3" t="str">
        <x:v>异戊酸乙酯（3-甲基丁酸乙酯）</x:v>
      </x:c>
      <x:c r="D252" s="3" t="str">
        <x:v>癸酸乙酯</x:v>
      </x:c>
      <x:c r="E252" s="3" t="str">
        <x:v>3档×2档</x:v>
      </x:c>
      <x:c r="F252" s="3" t="n">
        <x:f>COUNTIFS('浓度矩阵'!$C$6:$C$355,1,'浓度矩阵'!$O$6:$O$355,"&gt;0",'浓度矩阵'!$Q$6:$Q$355,"&gt;0")</x:f>
        <x:v>3</x:v>
      </x:c>
      <x:c r="G252" s="3" t="n">
        <x:f>COUNTIFS('浓度矩阵'!$B$6:$B$355,"独立配制重复",'浓度矩阵'!$O$6:$O$355,"&gt;0",'浓度矩阵'!$Q$6:$Q$355,"&gt;0")</x:f>
        <x:v>0</x:v>
      </x:c>
      <x:c r="H252" s="3" t="n">
        <x:f>COUNTIFS('浓度矩阵'!$B$6:$B$355,"留出验证",'浓度矩阵'!$O$6:$O$355,"&gt;0",'浓度矩阵'!$Q$6:$Q$355,"&gt;0")</x:f>
        <x:v>1</x:v>
      </x:c>
      <x:c r="I252" s="3" t="n">
        <x:v>3</x:v>
      </x:c>
      <x:c r="J252" s="3" t="n">
        <x:v>3</x:v>
      </x:c>
      <x:c r="K252" s="3" t="n">
        <x:v>6</x:v>
      </x:c>
      <x:c r="L252" s="11" t="n">
        <x:f>J252/K252</x:f>
        <x:v>0.5</x:v>
      </x:c>
    </x:row>
    <x:row r="253" ht="24" customHeight="1">
      <x:c r="A253" s="3" t="n">
        <x:v>69</x:v>
      </x:c>
      <x:c r="B253" s="3" t="n">
        <x:v>90</x:v>
      </x:c>
      <x:c r="C253" s="3" t="str">
        <x:v>异戊酸乙酯（3-甲基丁酸乙酯）</x:v>
      </x:c>
      <x:c r="D253" s="3" t="str">
        <x:v>1-辛醇</x:v>
      </x:c>
      <x:c r="E253" s="3" t="str">
        <x:v>3档×2档</x:v>
      </x:c>
      <x:c r="F253" s="3" t="n">
        <x:f>COUNTIFS('浓度矩阵'!$C$6:$C$355,1,'浓度矩阵'!$O$6:$O$355,"&gt;0",'浓度矩阵'!$R$6:$R$355,"&gt;0")</x:f>
        <x:v>3</x:v>
      </x:c>
      <x:c r="G253" s="3" t="n">
        <x:f>COUNTIFS('浓度矩阵'!$B$6:$B$355,"独立配制重复",'浓度矩阵'!$O$6:$O$355,"&gt;0",'浓度矩阵'!$R$6:$R$355,"&gt;0")</x:f>
        <x:v>0</x:v>
      </x:c>
      <x:c r="H253" s="3" t="n">
        <x:f>COUNTIFS('浓度矩阵'!$B$6:$B$355,"留出验证",'浓度矩阵'!$O$6:$O$355,"&gt;0",'浓度矩阵'!$R$6:$R$355,"&gt;0")</x:f>
        <x:v>0</x:v>
      </x:c>
      <x:c r="I253" s="3" t="n">
        <x:v>3</x:v>
      </x:c>
      <x:c r="J253" s="3" t="n">
        <x:v>3</x:v>
      </x:c>
      <x:c r="K253" s="3" t="n">
        <x:v>6</x:v>
      </x:c>
      <x:c r="L253" s="11" t="n">
        <x:f>J253/K253</x:f>
        <x:v>0.5</x:v>
      </x:c>
    </x:row>
    <x:row r="254" ht="24" customHeight="1">
      <x:c r="A254" s="3" t="n">
        <x:v>69</x:v>
      </x:c>
      <x:c r="B254" s="3" t="n">
        <x:v>105</x:v>
      </x:c>
      <x:c r="C254" s="3" t="str">
        <x:v>异戊酸乙酯（3-甲基丁酸乙酯）</x:v>
      </x:c>
      <x:c r="D254" s="3" t="str">
        <x:v>苯乙醛</x:v>
      </x:c>
      <x:c r="E254" s="3" t="str">
        <x:v>3档×3档</x:v>
      </x:c>
      <x:c r="F254" s="3" t="n">
        <x:f>COUNTIFS('浓度矩阵'!$C$6:$C$355,1,'浓度矩阵'!$O$6:$O$355,"&gt;0",'浓度矩阵'!$S$6:$S$355,"&gt;0")</x:f>
        <x:v>3</x:v>
      </x:c>
      <x:c r="G254" s="3" t="n">
        <x:f>COUNTIFS('浓度矩阵'!$B$6:$B$355,"独立配制重复",'浓度矩阵'!$O$6:$O$355,"&gt;0",'浓度矩阵'!$S$6:$S$355,"&gt;0")</x:f>
        <x:v>0</x:v>
      </x:c>
      <x:c r="H254" s="3" t="n">
        <x:f>COUNTIFS('浓度矩阵'!$B$6:$B$355,"留出验证",'浓度矩阵'!$O$6:$O$355,"&gt;0",'浓度矩阵'!$S$6:$S$355,"&gt;0")</x:f>
        <x:v>0</x:v>
      </x:c>
      <x:c r="I254" s="3" t="n">
        <x:v>3</x:v>
      </x:c>
      <x:c r="J254" s="3" t="n">
        <x:v>3</x:v>
      </x:c>
      <x:c r="K254" s="3" t="n">
        <x:v>9</x:v>
      </x:c>
      <x:c r="L254" s="11" t="n">
        <x:f>J254/K254</x:f>
        <x:v>0.3333333333333333</x:v>
      </x:c>
    </x:row>
    <x:row r="255" ht="24" customHeight="1">
      <x:c r="A255" s="3" t="n">
        <x:v>69</x:v>
      </x:c>
      <x:c r="B255" s="3" t="n">
        <x:v>111</x:v>
      </x:c>
      <x:c r="C255" s="3" t="str">
        <x:v>异戊酸乙酯（3-甲基丁酸乙酯）</x:v>
      </x:c>
      <x:c r="D255" s="3" t="str">
        <x:v>己酸乙酯</x:v>
      </x:c>
      <x:c r="E255" s="3" t="str">
        <x:v>3档×3档</x:v>
      </x:c>
      <x:c r="F255" s="3" t="n">
        <x:f>COUNTIFS('浓度矩阵'!$C$6:$C$355,1,'浓度矩阵'!$O$6:$O$355,"&gt;0",'浓度矩阵'!$T$6:$T$355,"&gt;0")</x:f>
        <x:v>3</x:v>
      </x:c>
      <x:c r="G255" s="3" t="n">
        <x:f>COUNTIFS('浓度矩阵'!$B$6:$B$355,"独立配制重复",'浓度矩阵'!$O$6:$O$355,"&gt;0",'浓度矩阵'!$T$6:$T$355,"&gt;0")</x:f>
        <x:v>0</x:v>
      </x:c>
      <x:c r="H255" s="3" t="n">
        <x:f>COUNTIFS('浓度矩阵'!$B$6:$B$355,"留出验证",'浓度矩阵'!$O$6:$O$355,"&gt;0",'浓度矩阵'!$T$6:$T$355,"&gt;0")</x:f>
        <x:v>0</x:v>
      </x:c>
      <x:c r="I255" s="3" t="n">
        <x:v>3</x:v>
      </x:c>
      <x:c r="J255" s="3" t="n">
        <x:v>3</x:v>
      </x:c>
      <x:c r="K255" s="3" t="n">
        <x:v>9</x:v>
      </x:c>
      <x:c r="L255" s="11" t="n">
        <x:f>J255/K255</x:f>
        <x:v>0.3333333333333333</x:v>
      </x:c>
    </x:row>
    <x:row r="256" ht="24" customHeight="1">
      <x:c r="A256" s="3" t="n">
        <x:v>69</x:v>
      </x:c>
      <x:c r="B256" s="3" t="n">
        <x:v>114</x:v>
      </x:c>
      <x:c r="C256" s="3" t="str">
        <x:v>异戊酸乙酯（3-甲基丁酸乙酯）</x:v>
      </x:c>
      <x:c r="D256" s="3" t="str">
        <x:v>乙酸丁酯</x:v>
      </x:c>
      <x:c r="E256" s="3" t="str">
        <x:v>3档×2档</x:v>
      </x:c>
      <x:c r="F256" s="3" t="n">
        <x:f>COUNTIFS('浓度矩阵'!$C$6:$C$355,1,'浓度矩阵'!$O$6:$O$355,"&gt;0",'浓度矩阵'!$U$6:$U$355,"&gt;0")</x:f>
        <x:v>3</x:v>
      </x:c>
      <x:c r="G256" s="3" t="n">
        <x:f>COUNTIFS('浓度矩阵'!$B$6:$B$355,"独立配制重复",'浓度矩阵'!$O$6:$O$355,"&gt;0",'浓度矩阵'!$U$6:$U$355,"&gt;0")</x:f>
        <x:v>0</x:v>
      </x:c>
      <x:c r="H256" s="3" t="n">
        <x:f>COUNTIFS('浓度矩阵'!$B$6:$B$355,"留出验证",'浓度矩阵'!$O$6:$O$355,"&gt;0",'浓度矩阵'!$U$6:$U$355,"&gt;0")</x:f>
        <x:v>2</x:v>
      </x:c>
      <x:c r="I256" s="3" t="n">
        <x:v>3</x:v>
      </x:c>
      <x:c r="J256" s="3" t="n">
        <x:v>3</x:v>
      </x:c>
      <x:c r="K256" s="3" t="n">
        <x:v>6</x:v>
      </x:c>
      <x:c r="L256" s="11" t="n">
        <x:f>J256/K256</x:f>
        <x:v>0.5</x:v>
      </x:c>
    </x:row>
    <x:row r="257" ht="24" customHeight="1">
      <x:c r="A257" s="3" t="n">
        <x:v>69</x:v>
      </x:c>
      <x:c r="B257" s="3" t="n">
        <x:v>115</x:v>
      </x:c>
      <x:c r="C257" s="3" t="str">
        <x:v>异戊酸乙酯（3-甲基丁酸乙酯）</x:v>
      </x:c>
      <x:c r="D257" s="3" t="str">
        <x:v>乙酸异戊酯</x:v>
      </x:c>
      <x:c r="E257" s="3" t="str">
        <x:v>3档×3档</x:v>
      </x:c>
      <x:c r="F257" s="3" t="n">
        <x:f>COUNTIFS('浓度矩阵'!$C$6:$C$355,1,'浓度矩阵'!$O$6:$O$355,"&gt;0",'浓度矩阵'!$V$6:$V$355,"&gt;0")</x:f>
        <x:v>3</x:v>
      </x:c>
      <x:c r="G257" s="3" t="n">
        <x:f>COUNTIFS('浓度矩阵'!$B$6:$B$355,"独立配制重复",'浓度矩阵'!$O$6:$O$355,"&gt;0",'浓度矩阵'!$V$6:$V$355,"&gt;0")</x:f>
        <x:v>1</x:v>
      </x:c>
      <x:c r="H257" s="3" t="n">
        <x:f>COUNTIFS('浓度矩阵'!$B$6:$B$355,"留出验证",'浓度矩阵'!$O$6:$O$355,"&gt;0",'浓度矩阵'!$V$6:$V$355,"&gt;0")</x:f>
        <x:v>0</x:v>
      </x:c>
      <x:c r="I257" s="3" t="n">
        <x:v>3</x:v>
      </x:c>
      <x:c r="J257" s="3" t="n">
        <x:v>3</x:v>
      </x:c>
      <x:c r="K257" s="3" t="n">
        <x:v>9</x:v>
      </x:c>
      <x:c r="L257" s="11" t="n">
        <x:f>J257/K257</x:f>
        <x:v>0.3333333333333333</x:v>
      </x:c>
    </x:row>
    <x:row r="258" ht="24" customHeight="1">
      <x:c r="A258" s="3" t="n">
        <x:v>69</x:v>
      </x:c>
      <x:c r="B258" s="3" t="n">
        <x:v>117</x:v>
      </x:c>
      <x:c r="C258" s="3" t="str">
        <x:v>异戊酸乙酯（3-甲基丁酸乙酯）</x:v>
      </x:c>
      <x:c r="D258" s="3" t="str">
        <x:v>辛酸</x:v>
      </x:c>
      <x:c r="E258" s="3" t="str">
        <x:v>3档×3档</x:v>
      </x:c>
      <x:c r="F258" s="3" t="n">
        <x:f>COUNTIFS('浓度矩阵'!$C$6:$C$355,1,'浓度矩阵'!$O$6:$O$355,"&gt;0",'浓度矩阵'!$W$6:$W$355,"&gt;0")</x:f>
        <x:v>4</x:v>
      </x:c>
      <x:c r="G258" s="3" t="n">
        <x:f>COUNTIFS('浓度矩阵'!$B$6:$B$355,"独立配制重复",'浓度矩阵'!$O$6:$O$355,"&gt;0",'浓度矩阵'!$W$6:$W$355,"&gt;0")</x:f>
        <x:v>0</x:v>
      </x:c>
      <x:c r="H258" s="3" t="n">
        <x:f>COUNTIFS('浓度矩阵'!$B$6:$B$355,"留出验证",'浓度矩阵'!$O$6:$O$355,"&gt;0",'浓度矩阵'!$W$6:$W$355,"&gt;0")</x:f>
        <x:v>1</x:v>
      </x:c>
      <x:c r="I258" s="3" t="n">
        <x:v>4</x:v>
      </x:c>
      <x:c r="J258" s="3" t="n">
        <x:v>4</x:v>
      </x:c>
      <x:c r="K258" s="3" t="n">
        <x:v>9</x:v>
      </x:c>
      <x:c r="L258" s="11" t="n">
        <x:f>J258/K258</x:f>
        <x:v>0.4444444444444444</x:v>
      </x:c>
    </x:row>
    <x:row r="259" ht="24" customHeight="1">
      <x:c r="A259" s="3" t="n">
        <x:v>69</x:v>
      </x:c>
      <x:c r="B259" s="3" t="n">
        <x:v>126</x:v>
      </x:c>
      <x:c r="C259" s="3" t="str">
        <x:v>异戊酸乙酯（3-甲基丁酸乙酯）</x:v>
      </x:c>
      <x:c r="D259" s="3" t="str">
        <x:v>己酸</x:v>
      </x:c>
      <x:c r="E259" s="3" t="str">
        <x:v>3档×3档</x:v>
      </x:c>
      <x:c r="F259" s="3" t="n">
        <x:f>COUNTIFS('浓度矩阵'!$C$6:$C$355,1,'浓度矩阵'!$O$6:$O$355,"&gt;0",'浓度矩阵'!$X$6:$X$355,"&gt;0")</x:f>
        <x:v>3</x:v>
      </x:c>
      <x:c r="G259" s="3" t="n">
        <x:f>COUNTIFS('浓度矩阵'!$B$6:$B$355,"独立配制重复",'浓度矩阵'!$O$6:$O$355,"&gt;0",'浓度矩阵'!$X$6:$X$355,"&gt;0")</x:f>
        <x:v>0</x:v>
      </x:c>
      <x:c r="H259" s="3" t="n">
        <x:f>COUNTIFS('浓度矩阵'!$B$6:$B$355,"留出验证",'浓度矩阵'!$O$6:$O$355,"&gt;0",'浓度矩阵'!$X$6:$X$355,"&gt;0")</x:f>
        <x:v>1</x:v>
      </x:c>
      <x:c r="I259" s="3" t="n">
        <x:v>3</x:v>
      </x:c>
      <x:c r="J259" s="3" t="n">
        <x:v>3</x:v>
      </x:c>
      <x:c r="K259" s="3" t="n">
        <x:v>9</x:v>
      </x:c>
      <x:c r="L259" s="11" t="n">
        <x:f>J259/K259</x:f>
        <x:v>0.3333333333333333</x:v>
      </x:c>
    </x:row>
    <x:row r="260" ht="24" customHeight="1">
      <x:c r="A260" s="3" t="n">
        <x:v>69</x:v>
      </x:c>
      <x:c r="B260" s="3" t="n">
        <x:v>136</x:v>
      </x:c>
      <x:c r="C260" s="3" t="str">
        <x:v>异戊酸乙酯（3-甲基丁酸乙酯）</x:v>
      </x:c>
      <x:c r="D260" s="3" t="str">
        <x:v>异戊酸/3-甲基丁酸</x:v>
      </x:c>
      <x:c r="E260" s="3" t="str">
        <x:v>3档×3档</x:v>
      </x:c>
      <x:c r="F260" s="3" t="n">
        <x:f>COUNTIFS('浓度矩阵'!$C$6:$C$355,1,'浓度矩阵'!$O$6:$O$355,"&gt;0",'浓度矩阵'!$Y$6:$Y$355,"&gt;0")</x:f>
        <x:v>3</x:v>
      </x:c>
      <x:c r="G260" s="3" t="n">
        <x:f>COUNTIFS('浓度矩阵'!$B$6:$B$355,"独立配制重复",'浓度矩阵'!$O$6:$O$355,"&gt;0",'浓度矩阵'!$Y$6:$Y$355,"&gt;0")</x:f>
        <x:v>0</x:v>
      </x:c>
      <x:c r="H260" s="3" t="n">
        <x:f>COUNTIFS('浓度矩阵'!$B$6:$B$355,"留出验证",'浓度矩阵'!$O$6:$O$355,"&gt;0",'浓度矩阵'!$Y$6:$Y$355,"&gt;0")</x:f>
        <x:v>0</x:v>
      </x:c>
      <x:c r="I260" s="3" t="n">
        <x:v>3</x:v>
      </x:c>
      <x:c r="J260" s="3" t="n">
        <x:v>3</x:v>
      </x:c>
      <x:c r="K260" s="3" t="n">
        <x:v>9</x:v>
      </x:c>
      <x:c r="L260" s="11" t="n">
        <x:f>J260/K260</x:f>
        <x:v>0.3333333333333333</x:v>
      </x:c>
    </x:row>
    <x:row r="261" ht="24" customHeight="1">
      <x:c r="A261" s="3" t="n">
        <x:v>69</x:v>
      </x:c>
      <x:c r="B261" s="3" t="n">
        <x:v>141</x:v>
      </x:c>
      <x:c r="C261" s="3" t="str">
        <x:v>异戊酸乙酯（3-甲基丁酸乙酯）</x:v>
      </x:c>
      <x:c r="D261" s="3" t="str">
        <x:v>戊酸乙酯</x:v>
      </x:c>
      <x:c r="E261" s="3" t="str">
        <x:v>3档×3档</x:v>
      </x:c>
      <x:c r="F261" s="3" t="n">
        <x:f>COUNTIFS('浓度矩阵'!$C$6:$C$355,1,'浓度矩阵'!$O$6:$O$355,"&gt;0",'浓度矩阵'!$Z$6:$Z$355,"&gt;0")</x:f>
        <x:v>3</x:v>
      </x:c>
      <x:c r="G261" s="3" t="n">
        <x:f>COUNTIFS('浓度矩阵'!$B$6:$B$355,"独立配制重复",'浓度矩阵'!$O$6:$O$355,"&gt;0",'浓度矩阵'!$Z$6:$Z$355,"&gt;0")</x:f>
        <x:v>0</x:v>
      </x:c>
      <x:c r="H261" s="3" t="n">
        <x:f>COUNTIFS('浓度矩阵'!$B$6:$B$355,"留出验证",'浓度矩阵'!$O$6:$O$355,"&gt;0",'浓度矩阵'!$Z$6:$Z$355,"&gt;0")</x:f>
        <x:v>0</x:v>
      </x:c>
      <x:c r="I261" s="3" t="n">
        <x:v>3</x:v>
      </x:c>
      <x:c r="J261" s="3" t="n">
        <x:v>3</x:v>
      </x:c>
      <x:c r="K261" s="3" t="n">
        <x:v>9</x:v>
      </x:c>
      <x:c r="L261" s="11" t="n">
        <x:f>J261/K261</x:f>
        <x:v>0.3333333333333333</x:v>
      </x:c>
    </x:row>
    <x:row r="262" ht="24" customHeight="1">
      <x:c r="A262" s="3" t="n">
        <x:v>69</x:v>
      </x:c>
      <x:c r="B262" s="3" t="n">
        <x:v>152</x:v>
      </x:c>
      <x:c r="C262" s="3" t="str">
        <x:v>异戊酸乙酯（3-甲基丁酸乙酯）</x:v>
      </x:c>
      <x:c r="D262" s="3" t="str">
        <x:v>异戊醛</x:v>
      </x:c>
      <x:c r="E262" s="3" t="str">
        <x:v>3档×3档</x:v>
      </x:c>
      <x:c r="F262" s="3" t="n">
        <x:f>COUNTIFS('浓度矩阵'!$C$6:$C$355,1,'浓度矩阵'!$O$6:$O$355,"&gt;0",'浓度矩阵'!$AA$6:$AA$355,"&gt;0")</x:f>
        <x:v>3</x:v>
      </x:c>
      <x:c r="G262" s="3" t="n">
        <x:f>COUNTIFS('浓度矩阵'!$B$6:$B$355,"独立配制重复",'浓度矩阵'!$O$6:$O$355,"&gt;0",'浓度矩阵'!$AA$6:$AA$355,"&gt;0")</x:f>
        <x:v>1</x:v>
      </x:c>
      <x:c r="H262" s="3" t="n">
        <x:f>COUNTIFS('浓度矩阵'!$B$6:$B$355,"留出验证",'浓度矩阵'!$O$6:$O$355,"&gt;0",'浓度矩阵'!$AA$6:$AA$355,"&gt;0")</x:f>
        <x:v>0</x:v>
      </x:c>
      <x:c r="I262" s="3" t="n">
        <x:v>3</x:v>
      </x:c>
      <x:c r="J262" s="3" t="n">
        <x:v>3</x:v>
      </x:c>
      <x:c r="K262" s="3" t="n">
        <x:v>9</x:v>
      </x:c>
      <x:c r="L262" s="11" t="n">
        <x:f>J262/K262</x:f>
        <x:v>0.3333333333333333</x:v>
      </x:c>
    </x:row>
    <x:row r="263" ht="24" customHeight="1">
      <x:c r="A263" s="3" t="n">
        <x:v>69</x:v>
      </x:c>
      <x:c r="B263" s="3" t="n">
        <x:v>165</x:v>
      </x:c>
      <x:c r="C263" s="3" t="str">
        <x:v>异戊酸乙酯（3-甲基丁酸乙酯）</x:v>
      </x:c>
      <x:c r="D263" s="3" t="str">
        <x:v>己酸丁酯</x:v>
      </x:c>
      <x:c r="E263" s="3" t="str">
        <x:v>3档×2档</x:v>
      </x:c>
      <x:c r="F263" s="3" t="n">
        <x:f>COUNTIFS('浓度矩阵'!$C$6:$C$355,1,'浓度矩阵'!$O$6:$O$355,"&gt;0",'浓度矩阵'!$AB$6:$AB$355,"&gt;0")</x:f>
        <x:v>3</x:v>
      </x:c>
      <x:c r="G263" s="3" t="n">
        <x:f>COUNTIFS('浓度矩阵'!$B$6:$B$355,"独立配制重复",'浓度矩阵'!$O$6:$O$355,"&gt;0",'浓度矩阵'!$AB$6:$AB$355,"&gt;0")</x:f>
        <x:v>0</x:v>
      </x:c>
      <x:c r="H263" s="3" t="n">
        <x:f>COUNTIFS('浓度矩阵'!$B$6:$B$355,"留出验证",'浓度矩阵'!$O$6:$O$355,"&gt;0",'浓度矩阵'!$AB$6:$AB$355,"&gt;0")</x:f>
        <x:v>0</x:v>
      </x:c>
      <x:c r="I263" s="3" t="n">
        <x:v>3</x:v>
      </x:c>
      <x:c r="J263" s="3" t="n">
        <x:v>3</x:v>
      </x:c>
      <x:c r="K263" s="3" t="n">
        <x:v>6</x:v>
      </x:c>
      <x:c r="L263" s="11" t="n">
        <x:f>J263/K263</x:f>
        <x:v>0.5</x:v>
      </x:c>
    </x:row>
    <x:row r="264" ht="24" customHeight="1">
      <x:c r="A264" s="3" t="n">
        <x:v>69</x:v>
      </x:c>
      <x:c r="B264" s="3" t="n">
        <x:v>186</x:v>
      </x:c>
      <x:c r="C264" s="3" t="str">
        <x:v>异戊酸乙酯（3-甲基丁酸乙酯）</x:v>
      </x:c>
      <x:c r="D264" s="3" t="str">
        <x:v>3-苯基丙酸乙酯</x:v>
      </x:c>
      <x:c r="E264" s="3" t="str">
        <x:v>3档×3档</x:v>
      </x:c>
      <x:c r="F264" s="3" t="n">
        <x:f>COUNTIFS('浓度矩阵'!$C$6:$C$355,1,'浓度矩阵'!$O$6:$O$355,"&gt;0",'浓度矩阵'!$AC$6:$AC$355,"&gt;0")</x:f>
        <x:v>3</x:v>
      </x:c>
      <x:c r="G264" s="3" t="n">
        <x:f>COUNTIFS('浓度矩阵'!$B$6:$B$355,"独立配制重复",'浓度矩阵'!$O$6:$O$355,"&gt;0",'浓度矩阵'!$AC$6:$AC$355,"&gt;0")</x:f>
        <x:v>0</x:v>
      </x:c>
      <x:c r="H264" s="3" t="n">
        <x:f>COUNTIFS('浓度矩阵'!$B$6:$B$355,"留出验证",'浓度矩阵'!$O$6:$O$355,"&gt;0",'浓度矩阵'!$AC$6:$AC$355,"&gt;0")</x:f>
        <x:v>0</x:v>
      </x:c>
      <x:c r="I264" s="3" t="n">
        <x:v>3</x:v>
      </x:c>
      <x:c r="J264" s="3" t="n">
        <x:v>3</x:v>
      </x:c>
      <x:c r="K264" s="3" t="n">
        <x:v>9</x:v>
      </x:c>
      <x:c r="L264" s="11" t="n">
        <x:f>J264/K264</x:f>
        <x:v>0.3333333333333333</x:v>
      </x:c>
    </x:row>
    <x:row r="265" ht="24" customHeight="1">
      <x:c r="A265" s="3" t="n">
        <x:v>69</x:v>
      </x:c>
      <x:c r="B265" s="3" t="n">
        <x:v>207</x:v>
      </x:c>
      <x:c r="C265" s="3" t="str">
        <x:v>异戊酸乙酯（3-甲基丁酸乙酯）</x:v>
      </x:c>
      <x:c r="D265" s="3" t="str">
        <x:v>1-辛烯-3-醇</x:v>
      </x:c>
      <x:c r="E265" s="3" t="str">
        <x:v>3档×3档</x:v>
      </x:c>
      <x:c r="F265" s="3" t="n">
        <x:f>COUNTIFS('浓度矩阵'!$C$6:$C$355,1,'浓度矩阵'!$O$6:$O$355,"&gt;0",'浓度矩阵'!$AD$6:$AD$355,"&gt;0")</x:f>
        <x:v>3</x:v>
      </x:c>
      <x:c r="G265" s="3" t="n">
        <x:f>COUNTIFS('浓度矩阵'!$B$6:$B$355,"独立配制重复",'浓度矩阵'!$O$6:$O$355,"&gt;0",'浓度矩阵'!$AD$6:$AD$355,"&gt;0")</x:f>
        <x:v>0</x:v>
      </x:c>
      <x:c r="H265" s="3" t="n">
        <x:f>COUNTIFS('浓度矩阵'!$B$6:$B$355,"留出验证",'浓度矩阵'!$O$6:$O$355,"&gt;0",'浓度矩阵'!$AD$6:$AD$355,"&gt;0")</x:f>
        <x:v>0</x:v>
      </x:c>
      <x:c r="I265" s="3" t="n">
        <x:v>3</x:v>
      </x:c>
      <x:c r="J265" s="3" t="n">
        <x:v>3</x:v>
      </x:c>
      <x:c r="K265" s="3" t="n">
        <x:v>9</x:v>
      </x:c>
      <x:c r="L265" s="11" t="n">
        <x:f>J265/K265</x:f>
        <x:v>0.3333333333333333</x:v>
      </x:c>
    </x:row>
    <x:row r="266" ht="24" customHeight="1">
      <x:c r="A266" s="3" t="n">
        <x:v>69</x:v>
      </x:c>
      <x:c r="B266" s="3" t="n">
        <x:v>209</x:v>
      </x:c>
      <x:c r="C266" s="3" t="str">
        <x:v>异戊酸乙酯（3-甲基丁酸乙酯）</x:v>
      </x:c>
      <x:c r="D266" s="3" t="str">
        <x:v>二甲基三硫醚</x:v>
      </x:c>
      <x:c r="E266" s="3" t="str">
        <x:v>3档×3档</x:v>
      </x:c>
      <x:c r="F266" s="3" t="n">
        <x:f>COUNTIFS('浓度矩阵'!$C$6:$C$355,1,'浓度矩阵'!$O$6:$O$355,"&gt;0",'浓度矩阵'!$AE$6:$AE$355,"&gt;0")</x:f>
        <x:v>3</x:v>
      </x:c>
      <x:c r="G266" s="3" t="n">
        <x:f>COUNTIFS('浓度矩阵'!$B$6:$B$355,"独立配制重复",'浓度矩阵'!$O$6:$O$355,"&gt;0",'浓度矩阵'!$AE$6:$AE$355,"&gt;0")</x:f>
        <x:v>0</x:v>
      </x:c>
      <x:c r="H266" s="3" t="n">
        <x:f>COUNTIFS('浓度矩阵'!$B$6:$B$355,"留出验证",'浓度矩阵'!$O$6:$O$355,"&gt;0",'浓度矩阵'!$AE$6:$AE$355,"&gt;0")</x:f>
        <x:v>0</x:v>
      </x:c>
      <x:c r="I266" s="3" t="n">
        <x:v>3</x:v>
      </x:c>
      <x:c r="J266" s="3" t="n">
        <x:v>3</x:v>
      </x:c>
      <x:c r="K266" s="3" t="n">
        <x:v>9</x:v>
      </x:c>
      <x:c r="L266" s="11" t="n">
        <x:f>J266/K266</x:f>
        <x:v>0.3333333333333333</x:v>
      </x:c>
    </x:row>
    <x:row r="267" ht="24" customHeight="1">
      <x:c r="A267" s="3" t="n">
        <x:v>69</x:v>
      </x:c>
      <x:c r="B267" s="3" t="n">
        <x:v>227</x:v>
      </x:c>
      <x:c r="C267" s="3" t="str">
        <x:v>异戊酸乙酯（3-甲基丁酸乙酯）</x:v>
      </x:c>
      <x:c r="D267" s="3" t="str">
        <x:v>己酸己酯</x:v>
      </x:c>
      <x:c r="E267" s="3" t="str">
        <x:v>3档×3档</x:v>
      </x:c>
      <x:c r="F267" s="3" t="n">
        <x:f>COUNTIFS('浓度矩阵'!$C$6:$C$355,1,'浓度矩阵'!$O$6:$O$355,"&gt;0",'浓度矩阵'!$AF$6:$AF$355,"&gt;0")</x:f>
        <x:v>3</x:v>
      </x:c>
      <x:c r="G267" s="3" t="n">
        <x:f>COUNTIFS('浓度矩阵'!$B$6:$B$355,"独立配制重复",'浓度矩阵'!$O$6:$O$355,"&gt;0",'浓度矩阵'!$AF$6:$AF$355,"&gt;0")</x:f>
        <x:v>1</x:v>
      </x:c>
      <x:c r="H267" s="3" t="n">
        <x:f>COUNTIFS('浓度矩阵'!$B$6:$B$355,"留出验证",'浓度矩阵'!$O$6:$O$355,"&gt;0",'浓度矩阵'!$AF$6:$AF$355,"&gt;0")</x:f>
        <x:v>0</x:v>
      </x:c>
      <x:c r="I267" s="3" t="n">
        <x:v>3</x:v>
      </x:c>
      <x:c r="J267" s="3" t="n">
        <x:v>3</x:v>
      </x:c>
      <x:c r="K267" s="3" t="n">
        <x:v>9</x:v>
      </x:c>
      <x:c r="L267" s="11" t="n">
        <x:f>J267/K267</x:f>
        <x:v>0.3333333333333333</x:v>
      </x:c>
    </x:row>
    <x:row r="268" ht="24" customHeight="1">
      <x:c r="A268" s="3" t="n">
        <x:v>69</x:v>
      </x:c>
      <x:c r="B268" s="3" t="n">
        <x:v>232</x:v>
      </x:c>
      <x:c r="C268" s="3" t="str">
        <x:v>异戊酸乙酯（3-甲基丁酸乙酯）</x:v>
      </x:c>
      <x:c r="D268" s="3" t="str">
        <x:v>2-甲基丁酸乙酯</x:v>
      </x:c>
      <x:c r="E268" s="3" t="str">
        <x:v>3档×3档</x:v>
      </x:c>
      <x:c r="F268" s="3" t="n">
        <x:f>COUNTIFS('浓度矩阵'!$C$6:$C$355,1,'浓度矩阵'!$O$6:$O$355,"&gt;0",'浓度矩阵'!$AG$6:$AG$355,"&gt;0")</x:f>
        <x:v>3</x:v>
      </x:c>
      <x:c r="G268" s="3" t="n">
        <x:f>COUNTIFS('浓度矩阵'!$B$6:$B$355,"独立配制重复",'浓度矩阵'!$O$6:$O$355,"&gt;0",'浓度矩阵'!$AG$6:$AG$355,"&gt;0")</x:f>
        <x:v>0</x:v>
      </x:c>
      <x:c r="H268" s="3" t="n">
        <x:f>COUNTIFS('浓度矩阵'!$B$6:$B$355,"留出验证",'浓度矩阵'!$O$6:$O$355,"&gt;0",'浓度矩阵'!$AG$6:$AG$355,"&gt;0")</x:f>
        <x:v>1</x:v>
      </x:c>
      <x:c r="I268" s="3" t="n">
        <x:v>3</x:v>
      </x:c>
      <x:c r="J268" s="3" t="n">
        <x:v>3</x:v>
      </x:c>
      <x:c r="K268" s="3" t="n">
        <x:v>9</x:v>
      </x:c>
      <x:c r="L268" s="11" t="n">
        <x:f>J268/K268</x:f>
        <x:v>0.3333333333333333</x:v>
      </x:c>
    </x:row>
    <x:row r="269" ht="24" customHeight="1">
      <x:c r="A269" s="3" t="n">
        <x:v>69</x:v>
      </x:c>
      <x:c r="B269" s="3" t="n">
        <x:v>255</x:v>
      </x:c>
      <x:c r="C269" s="3" t="str">
        <x:v>异戊酸乙酯（3-甲基丁酸乙酯）</x:v>
      </x:c>
      <x:c r="D269" s="3" t="str">
        <x:v>β-大马酮</x:v>
      </x:c>
      <x:c r="E269" s="3" t="str">
        <x:v>3档×3档</x:v>
      </x:c>
      <x:c r="F269" s="3" t="n">
        <x:f>COUNTIFS('浓度矩阵'!$C$6:$C$355,1,'浓度矩阵'!$O$6:$O$355,"&gt;0",'浓度矩阵'!$AH$6:$AH$355,"&gt;0")</x:f>
        <x:v>3</x:v>
      </x:c>
      <x:c r="G269" s="3" t="n">
        <x:f>COUNTIFS('浓度矩阵'!$B$6:$B$355,"独立配制重复",'浓度矩阵'!$O$6:$O$355,"&gt;0",'浓度矩阵'!$AH$6:$AH$355,"&gt;0")</x:f>
        <x:v>0</x:v>
      </x:c>
      <x:c r="H269" s="3" t="n">
        <x:f>COUNTIFS('浓度矩阵'!$B$6:$B$355,"留出验证",'浓度矩阵'!$O$6:$O$355,"&gt;0",'浓度矩阵'!$AH$6:$AH$355,"&gt;0")</x:f>
        <x:v>2</x:v>
      </x:c>
      <x:c r="I269" s="3" t="n">
        <x:v>3</x:v>
      </x:c>
      <x:c r="J269" s="3" t="n">
        <x:v>3</x:v>
      </x:c>
      <x:c r="K269" s="3" t="n">
        <x:v>9</x:v>
      </x:c>
      <x:c r="L269" s="11" t="n">
        <x:f>J269/K269</x:f>
        <x:v>0.3333333333333333</x:v>
      </x:c>
    </x:row>
    <x:row r="270" ht="24" customHeight="1">
      <x:c r="A270" s="3" t="n">
        <x:v>75</x:v>
      </x:c>
      <x:c r="B270" s="3" t="n">
        <x:v>79</x:v>
      </x:c>
      <x:c r="C270" s="3" t="str">
        <x:v>戊酸</x:v>
      </x:c>
      <x:c r="D270" s="3" t="str">
        <x:v>癸酸乙酯</x:v>
      </x:c>
      <x:c r="E270" s="3" t="str">
        <x:v>3档×2档</x:v>
      </x:c>
      <x:c r="F270" s="3" t="n">
        <x:f>COUNTIFS('浓度矩阵'!$C$6:$C$355,1,'浓度矩阵'!$P$6:$P$355,"&gt;0",'浓度矩阵'!$Q$6:$Q$355,"&gt;0")</x:f>
        <x:v>3</x:v>
      </x:c>
      <x:c r="G270" s="3" t="n">
        <x:f>COUNTIFS('浓度矩阵'!$B$6:$B$355,"独立配制重复",'浓度矩阵'!$P$6:$P$355,"&gt;0",'浓度矩阵'!$Q$6:$Q$355,"&gt;0")</x:f>
        <x:v>0</x:v>
      </x:c>
      <x:c r="H270" s="3" t="n">
        <x:f>COUNTIFS('浓度矩阵'!$B$6:$B$355,"留出验证",'浓度矩阵'!$P$6:$P$355,"&gt;0",'浓度矩阵'!$Q$6:$Q$355,"&gt;0")</x:f>
        <x:v>0</x:v>
      </x:c>
      <x:c r="I270" s="3" t="n">
        <x:v>3</x:v>
      </x:c>
      <x:c r="J270" s="3" t="n">
        <x:v>3</x:v>
      </x:c>
      <x:c r="K270" s="3" t="n">
        <x:v>6</x:v>
      </x:c>
      <x:c r="L270" s="11" t="n">
        <x:f>J270/K270</x:f>
        <x:v>0.5</x:v>
      </x:c>
    </x:row>
    <x:row r="271" ht="24" customHeight="1">
      <x:c r="A271" s="3" t="n">
        <x:v>75</x:v>
      </x:c>
      <x:c r="B271" s="3" t="n">
        <x:v>90</x:v>
      </x:c>
      <x:c r="C271" s="3" t="str">
        <x:v>戊酸</x:v>
      </x:c>
      <x:c r="D271" s="3" t="str">
        <x:v>1-辛醇</x:v>
      </x:c>
      <x:c r="E271" s="3" t="str">
        <x:v>3档×2档</x:v>
      </x:c>
      <x:c r="F271" s="3" t="n">
        <x:f>COUNTIFS('浓度矩阵'!$C$6:$C$355,1,'浓度矩阵'!$P$6:$P$355,"&gt;0",'浓度矩阵'!$R$6:$R$355,"&gt;0")</x:f>
        <x:v>4</x:v>
      </x:c>
      <x:c r="G271" s="3" t="n">
        <x:f>COUNTIFS('浓度矩阵'!$B$6:$B$355,"独立配制重复",'浓度矩阵'!$P$6:$P$355,"&gt;0",'浓度矩阵'!$R$6:$R$355,"&gt;0")</x:f>
        <x:v>0</x:v>
      </x:c>
      <x:c r="H271" s="3" t="n">
        <x:f>COUNTIFS('浓度矩阵'!$B$6:$B$355,"留出验证",'浓度矩阵'!$P$6:$P$355,"&gt;0",'浓度矩阵'!$R$6:$R$355,"&gt;0")</x:f>
        <x:v>0</x:v>
      </x:c>
      <x:c r="I271" s="3" t="n">
        <x:v>4</x:v>
      </x:c>
      <x:c r="J271" s="3" t="n">
        <x:v>4</x:v>
      </x:c>
      <x:c r="K271" s="3" t="n">
        <x:v>6</x:v>
      </x:c>
      <x:c r="L271" s="11" t="n">
        <x:f>J271/K271</x:f>
        <x:v>0.6666666666666666</x:v>
      </x:c>
    </x:row>
    <x:row r="272" ht="24" customHeight="1">
      <x:c r="A272" s="3" t="n">
        <x:v>75</x:v>
      </x:c>
      <x:c r="B272" s="3" t="n">
        <x:v>105</x:v>
      </x:c>
      <x:c r="C272" s="3" t="str">
        <x:v>戊酸</x:v>
      </x:c>
      <x:c r="D272" s="3" t="str">
        <x:v>苯乙醛</x:v>
      </x:c>
      <x:c r="E272" s="3" t="str">
        <x:v>3档×3档</x:v>
      </x:c>
      <x:c r="F272" s="3" t="n">
        <x:f>COUNTIFS('浓度矩阵'!$C$6:$C$355,1,'浓度矩阵'!$P$6:$P$355,"&gt;0",'浓度矩阵'!$S$6:$S$355,"&gt;0")</x:f>
        <x:v>3</x:v>
      </x:c>
      <x:c r="G272" s="3" t="n">
        <x:f>COUNTIFS('浓度矩阵'!$B$6:$B$355,"独立配制重复",'浓度矩阵'!$P$6:$P$355,"&gt;0",'浓度矩阵'!$S$6:$S$355,"&gt;0")</x:f>
        <x:v>1</x:v>
      </x:c>
      <x:c r="H272" s="3" t="n">
        <x:f>COUNTIFS('浓度矩阵'!$B$6:$B$355,"留出验证",'浓度矩阵'!$P$6:$P$355,"&gt;0",'浓度矩阵'!$S$6:$S$355,"&gt;0")</x:f>
        <x:v>2</x:v>
      </x:c>
      <x:c r="I272" s="3" t="n">
        <x:v>3</x:v>
      </x:c>
      <x:c r="J272" s="3" t="n">
        <x:v>3</x:v>
      </x:c>
      <x:c r="K272" s="3" t="n">
        <x:v>9</x:v>
      </x:c>
      <x:c r="L272" s="11" t="n">
        <x:f>J272/K272</x:f>
        <x:v>0.3333333333333333</x:v>
      </x:c>
    </x:row>
    <x:row r="273" ht="24" customHeight="1">
      <x:c r="A273" s="3" t="n">
        <x:v>75</x:v>
      </x:c>
      <x:c r="B273" s="3" t="n">
        <x:v>111</x:v>
      </x:c>
      <x:c r="C273" s="3" t="str">
        <x:v>戊酸</x:v>
      </x:c>
      <x:c r="D273" s="3" t="str">
        <x:v>己酸乙酯</x:v>
      </x:c>
      <x:c r="E273" s="3" t="str">
        <x:v>3档×3档</x:v>
      </x:c>
      <x:c r="F273" s="3" t="n">
        <x:f>COUNTIFS('浓度矩阵'!$C$6:$C$355,1,'浓度矩阵'!$P$6:$P$355,"&gt;0",'浓度矩阵'!$T$6:$T$355,"&gt;0")</x:f>
        <x:v>3</x:v>
      </x:c>
      <x:c r="G273" s="3" t="n">
        <x:f>COUNTIFS('浓度矩阵'!$B$6:$B$355,"独立配制重复",'浓度矩阵'!$P$6:$P$355,"&gt;0",'浓度矩阵'!$T$6:$T$355,"&gt;0")</x:f>
        <x:v>0</x:v>
      </x:c>
      <x:c r="H273" s="3" t="n">
        <x:f>COUNTIFS('浓度矩阵'!$B$6:$B$355,"留出验证",'浓度矩阵'!$P$6:$P$355,"&gt;0",'浓度矩阵'!$T$6:$T$355,"&gt;0")</x:f>
        <x:v>0</x:v>
      </x:c>
      <x:c r="I273" s="3" t="n">
        <x:v>3</x:v>
      </x:c>
      <x:c r="J273" s="3" t="n">
        <x:v>3</x:v>
      </x:c>
      <x:c r="K273" s="3" t="n">
        <x:v>9</x:v>
      </x:c>
      <x:c r="L273" s="11" t="n">
        <x:f>J273/K273</x:f>
        <x:v>0.3333333333333333</x:v>
      </x:c>
    </x:row>
    <x:row r="274" ht="24" customHeight="1">
      <x:c r="A274" s="3" t="n">
        <x:v>75</x:v>
      </x:c>
      <x:c r="B274" s="3" t="n">
        <x:v>114</x:v>
      </x:c>
      <x:c r="C274" s="3" t="str">
        <x:v>戊酸</x:v>
      </x:c>
      <x:c r="D274" s="3" t="str">
        <x:v>乙酸丁酯</x:v>
      </x:c>
      <x:c r="E274" s="3" t="str">
        <x:v>3档×2档</x:v>
      </x:c>
      <x:c r="F274" s="3" t="n">
        <x:f>COUNTIFS('浓度矩阵'!$C$6:$C$355,1,'浓度矩阵'!$P$6:$P$355,"&gt;0",'浓度矩阵'!$U$6:$U$355,"&gt;0")</x:f>
        <x:v>3</x:v>
      </x:c>
      <x:c r="G274" s="3" t="n">
        <x:f>COUNTIFS('浓度矩阵'!$B$6:$B$355,"独立配制重复",'浓度矩阵'!$P$6:$P$355,"&gt;0",'浓度矩阵'!$U$6:$U$355,"&gt;0")</x:f>
        <x:v>0</x:v>
      </x:c>
      <x:c r="H274" s="3" t="n">
        <x:f>COUNTIFS('浓度矩阵'!$B$6:$B$355,"留出验证",'浓度矩阵'!$P$6:$P$355,"&gt;0",'浓度矩阵'!$U$6:$U$355,"&gt;0")</x:f>
        <x:v>0</x:v>
      </x:c>
      <x:c r="I274" s="3" t="n">
        <x:v>3</x:v>
      </x:c>
      <x:c r="J274" s="3" t="n">
        <x:v>3</x:v>
      </x:c>
      <x:c r="K274" s="3" t="n">
        <x:v>6</x:v>
      </x:c>
      <x:c r="L274" s="11" t="n">
        <x:f>J274/K274</x:f>
        <x:v>0.5</x:v>
      </x:c>
    </x:row>
    <x:row r="275" ht="24" customHeight="1">
      <x:c r="A275" s="3" t="n">
        <x:v>75</x:v>
      </x:c>
      <x:c r="B275" s="3" t="n">
        <x:v>115</x:v>
      </x:c>
      <x:c r="C275" s="3" t="str">
        <x:v>戊酸</x:v>
      </x:c>
      <x:c r="D275" s="3" t="str">
        <x:v>乙酸异戊酯</x:v>
      </x:c>
      <x:c r="E275" s="3" t="str">
        <x:v>3档×3档</x:v>
      </x:c>
      <x:c r="F275" s="3" t="n">
        <x:f>COUNTIFS('浓度矩阵'!$C$6:$C$355,1,'浓度矩阵'!$P$6:$P$355,"&gt;0",'浓度矩阵'!$V$6:$V$355,"&gt;0")</x:f>
        <x:v>3</x:v>
      </x:c>
      <x:c r="G275" s="3" t="n">
        <x:f>COUNTIFS('浓度矩阵'!$B$6:$B$355,"独立配制重复",'浓度矩阵'!$P$6:$P$355,"&gt;0",'浓度矩阵'!$V$6:$V$355,"&gt;0")</x:f>
        <x:v>2</x:v>
      </x:c>
      <x:c r="H275" s="3" t="n">
        <x:f>COUNTIFS('浓度矩阵'!$B$6:$B$355,"留出验证",'浓度矩阵'!$P$6:$P$355,"&gt;0",'浓度矩阵'!$V$6:$V$355,"&gt;0")</x:f>
        <x:v>0</x:v>
      </x:c>
      <x:c r="I275" s="3" t="n">
        <x:v>3</x:v>
      </x:c>
      <x:c r="J275" s="3" t="n">
        <x:v>3</x:v>
      </x:c>
      <x:c r="K275" s="3" t="n">
        <x:v>9</x:v>
      </x:c>
      <x:c r="L275" s="11" t="n">
        <x:f>J275/K275</x:f>
        <x:v>0.3333333333333333</x:v>
      </x:c>
    </x:row>
    <x:row r="276" ht="24" customHeight="1">
      <x:c r="A276" s="3" t="n">
        <x:v>75</x:v>
      </x:c>
      <x:c r="B276" s="3" t="n">
        <x:v>117</x:v>
      </x:c>
      <x:c r="C276" s="3" t="str">
        <x:v>戊酸</x:v>
      </x:c>
      <x:c r="D276" s="3" t="str">
        <x:v>辛酸</x:v>
      </x:c>
      <x:c r="E276" s="3" t="str">
        <x:v>3档×3档</x:v>
      </x:c>
      <x:c r="F276" s="3" t="n">
        <x:f>COUNTIFS('浓度矩阵'!$C$6:$C$355,1,'浓度矩阵'!$P$6:$P$355,"&gt;0",'浓度矩阵'!$W$6:$W$355,"&gt;0")</x:f>
        <x:v>3</x:v>
      </x:c>
      <x:c r="G276" s="3" t="n">
        <x:f>COUNTIFS('浓度矩阵'!$B$6:$B$355,"独立配制重复",'浓度矩阵'!$P$6:$P$355,"&gt;0",'浓度矩阵'!$W$6:$W$355,"&gt;0")</x:f>
        <x:v>0</x:v>
      </x:c>
      <x:c r="H276" s="3" t="n">
        <x:f>COUNTIFS('浓度矩阵'!$B$6:$B$355,"留出验证",'浓度矩阵'!$P$6:$P$355,"&gt;0",'浓度矩阵'!$W$6:$W$355,"&gt;0")</x:f>
        <x:v>0</x:v>
      </x:c>
      <x:c r="I276" s="3" t="n">
        <x:v>3</x:v>
      </x:c>
      <x:c r="J276" s="3" t="n">
        <x:v>3</x:v>
      </x:c>
      <x:c r="K276" s="3" t="n">
        <x:v>9</x:v>
      </x:c>
      <x:c r="L276" s="11" t="n">
        <x:f>J276/K276</x:f>
        <x:v>0.3333333333333333</x:v>
      </x:c>
    </x:row>
    <x:row r="277" ht="24" customHeight="1">
      <x:c r="A277" s="3" t="n">
        <x:v>75</x:v>
      </x:c>
      <x:c r="B277" s="3" t="n">
        <x:v>126</x:v>
      </x:c>
      <x:c r="C277" s="3" t="str">
        <x:v>戊酸</x:v>
      </x:c>
      <x:c r="D277" s="3" t="str">
        <x:v>己酸</x:v>
      </x:c>
      <x:c r="E277" s="3" t="str">
        <x:v>3档×3档</x:v>
      </x:c>
      <x:c r="F277" s="3" t="n">
        <x:f>COUNTIFS('浓度矩阵'!$C$6:$C$355,1,'浓度矩阵'!$P$6:$P$355,"&gt;0",'浓度矩阵'!$X$6:$X$355,"&gt;0")</x:f>
        <x:v>3</x:v>
      </x:c>
      <x:c r="G277" s="3" t="n">
        <x:f>COUNTIFS('浓度矩阵'!$B$6:$B$355,"独立配制重复",'浓度矩阵'!$P$6:$P$355,"&gt;0",'浓度矩阵'!$X$6:$X$355,"&gt;0")</x:f>
        <x:v>0</x:v>
      </x:c>
      <x:c r="H277" s="3" t="n">
        <x:f>COUNTIFS('浓度矩阵'!$B$6:$B$355,"留出验证",'浓度矩阵'!$P$6:$P$355,"&gt;0",'浓度矩阵'!$X$6:$X$355,"&gt;0")</x:f>
        <x:v>0</x:v>
      </x:c>
      <x:c r="I277" s="3" t="n">
        <x:v>3</x:v>
      </x:c>
      <x:c r="J277" s="3" t="n">
        <x:v>3</x:v>
      </x:c>
      <x:c r="K277" s="3" t="n">
        <x:v>9</x:v>
      </x:c>
      <x:c r="L277" s="11" t="n">
        <x:f>J277/K277</x:f>
        <x:v>0.3333333333333333</x:v>
      </x:c>
    </x:row>
    <x:row r="278" ht="24" customHeight="1">
      <x:c r="A278" s="3" t="n">
        <x:v>75</x:v>
      </x:c>
      <x:c r="B278" s="3" t="n">
        <x:v>136</x:v>
      </x:c>
      <x:c r="C278" s="3" t="str">
        <x:v>戊酸</x:v>
      </x:c>
      <x:c r="D278" s="3" t="str">
        <x:v>异戊酸/3-甲基丁酸</x:v>
      </x:c>
      <x:c r="E278" s="3" t="str">
        <x:v>3档×3档</x:v>
      </x:c>
      <x:c r="F278" s="3" t="n">
        <x:f>COUNTIFS('浓度矩阵'!$C$6:$C$355,1,'浓度矩阵'!$P$6:$P$355,"&gt;0",'浓度矩阵'!$Y$6:$Y$355,"&gt;0")</x:f>
        <x:v>3</x:v>
      </x:c>
      <x:c r="G278" s="3" t="n">
        <x:f>COUNTIFS('浓度矩阵'!$B$6:$B$355,"独立配制重复",'浓度矩阵'!$P$6:$P$355,"&gt;0",'浓度矩阵'!$Y$6:$Y$355,"&gt;0")</x:f>
        <x:v>0</x:v>
      </x:c>
      <x:c r="H278" s="3" t="n">
        <x:f>COUNTIFS('浓度矩阵'!$B$6:$B$355,"留出验证",'浓度矩阵'!$P$6:$P$355,"&gt;0",'浓度矩阵'!$Y$6:$Y$355,"&gt;0")</x:f>
        <x:v>0</x:v>
      </x:c>
      <x:c r="I278" s="3" t="n">
        <x:v>3</x:v>
      </x:c>
      <x:c r="J278" s="3" t="n">
        <x:v>3</x:v>
      </x:c>
      <x:c r="K278" s="3" t="n">
        <x:v>9</x:v>
      </x:c>
      <x:c r="L278" s="11" t="n">
        <x:f>J278/K278</x:f>
        <x:v>0.3333333333333333</x:v>
      </x:c>
    </x:row>
    <x:row r="279" ht="24" customHeight="1">
      <x:c r="A279" s="3" t="n">
        <x:v>75</x:v>
      </x:c>
      <x:c r="B279" s="3" t="n">
        <x:v>141</x:v>
      </x:c>
      <x:c r="C279" s="3" t="str">
        <x:v>戊酸</x:v>
      </x:c>
      <x:c r="D279" s="3" t="str">
        <x:v>戊酸乙酯</x:v>
      </x:c>
      <x:c r="E279" s="3" t="str">
        <x:v>3档×3档</x:v>
      </x:c>
      <x:c r="F279" s="3" t="n">
        <x:f>COUNTIFS('浓度矩阵'!$C$6:$C$355,1,'浓度矩阵'!$P$6:$P$355,"&gt;0",'浓度矩阵'!$Z$6:$Z$355,"&gt;0")</x:f>
        <x:v>3</x:v>
      </x:c>
      <x:c r="G279" s="3" t="n">
        <x:f>COUNTIFS('浓度矩阵'!$B$6:$B$355,"独立配制重复",'浓度矩阵'!$P$6:$P$355,"&gt;0",'浓度矩阵'!$Z$6:$Z$355,"&gt;0")</x:f>
        <x:v>1</x:v>
      </x:c>
      <x:c r="H279" s="3" t="n">
        <x:f>COUNTIFS('浓度矩阵'!$B$6:$B$355,"留出验证",'浓度矩阵'!$P$6:$P$355,"&gt;0",'浓度矩阵'!$Z$6:$Z$355,"&gt;0")</x:f>
        <x:v>1</x:v>
      </x:c>
      <x:c r="I279" s="3" t="n">
        <x:v>3</x:v>
      </x:c>
      <x:c r="J279" s="3" t="n">
        <x:v>3</x:v>
      </x:c>
      <x:c r="K279" s="3" t="n">
        <x:v>9</x:v>
      </x:c>
      <x:c r="L279" s="11" t="n">
        <x:f>J279/K279</x:f>
        <x:v>0.3333333333333333</x:v>
      </x:c>
    </x:row>
    <x:row r="280" ht="24" customHeight="1">
      <x:c r="A280" s="3" t="n">
        <x:v>75</x:v>
      </x:c>
      <x:c r="B280" s="3" t="n">
        <x:v>152</x:v>
      </x:c>
      <x:c r="C280" s="3" t="str">
        <x:v>戊酸</x:v>
      </x:c>
      <x:c r="D280" s="3" t="str">
        <x:v>异戊醛</x:v>
      </x:c>
      <x:c r="E280" s="3" t="str">
        <x:v>3档×3档</x:v>
      </x:c>
      <x:c r="F280" s="3" t="n">
        <x:f>COUNTIFS('浓度矩阵'!$C$6:$C$355,1,'浓度矩阵'!$P$6:$P$355,"&gt;0",'浓度矩阵'!$AA$6:$AA$355,"&gt;0")</x:f>
        <x:v>3</x:v>
      </x:c>
      <x:c r="G280" s="3" t="n">
        <x:f>COUNTIFS('浓度矩阵'!$B$6:$B$355,"独立配制重复",'浓度矩阵'!$P$6:$P$355,"&gt;0",'浓度矩阵'!$AA$6:$AA$355,"&gt;0")</x:f>
        <x:v>1</x:v>
      </x:c>
      <x:c r="H280" s="3" t="n">
        <x:f>COUNTIFS('浓度矩阵'!$B$6:$B$355,"留出验证",'浓度矩阵'!$P$6:$P$355,"&gt;0",'浓度矩阵'!$AA$6:$AA$355,"&gt;0")</x:f>
        <x:v>0</x:v>
      </x:c>
      <x:c r="I280" s="3" t="n">
        <x:v>3</x:v>
      </x:c>
      <x:c r="J280" s="3" t="n">
        <x:v>3</x:v>
      </x:c>
      <x:c r="K280" s="3" t="n">
        <x:v>9</x:v>
      </x:c>
      <x:c r="L280" s="11" t="n">
        <x:f>J280/K280</x:f>
        <x:v>0.3333333333333333</x:v>
      </x:c>
    </x:row>
    <x:row r="281" ht="24" customHeight="1">
      <x:c r="A281" s="3" t="n">
        <x:v>75</x:v>
      </x:c>
      <x:c r="B281" s="3" t="n">
        <x:v>165</x:v>
      </x:c>
      <x:c r="C281" s="3" t="str">
        <x:v>戊酸</x:v>
      </x:c>
      <x:c r="D281" s="3" t="str">
        <x:v>己酸丁酯</x:v>
      </x:c>
      <x:c r="E281" s="3" t="str">
        <x:v>3档×2档</x:v>
      </x:c>
      <x:c r="F281" s="3" t="n">
        <x:f>COUNTIFS('浓度矩阵'!$C$6:$C$355,1,'浓度矩阵'!$P$6:$P$355,"&gt;0",'浓度矩阵'!$AB$6:$AB$355,"&gt;0")</x:f>
        <x:v>3</x:v>
      </x:c>
      <x:c r="G281" s="3" t="n">
        <x:f>COUNTIFS('浓度矩阵'!$B$6:$B$355,"独立配制重复",'浓度矩阵'!$P$6:$P$355,"&gt;0",'浓度矩阵'!$AB$6:$AB$355,"&gt;0")</x:f>
        <x:v>0</x:v>
      </x:c>
      <x:c r="H281" s="3" t="n">
        <x:f>COUNTIFS('浓度矩阵'!$B$6:$B$355,"留出验证",'浓度矩阵'!$P$6:$P$355,"&gt;0",'浓度矩阵'!$AB$6:$AB$355,"&gt;0")</x:f>
        <x:v>0</x:v>
      </x:c>
      <x:c r="I281" s="3" t="n">
        <x:v>3</x:v>
      </x:c>
      <x:c r="J281" s="3" t="n">
        <x:v>3</x:v>
      </x:c>
      <x:c r="K281" s="3" t="n">
        <x:v>6</x:v>
      </x:c>
      <x:c r="L281" s="11" t="n">
        <x:f>J281/K281</x:f>
        <x:v>0.5</x:v>
      </x:c>
    </x:row>
    <x:row r="282" ht="24" customHeight="1">
      <x:c r="A282" s="3" t="n">
        <x:v>75</x:v>
      </x:c>
      <x:c r="B282" s="3" t="n">
        <x:v>186</x:v>
      </x:c>
      <x:c r="C282" s="3" t="str">
        <x:v>戊酸</x:v>
      </x:c>
      <x:c r="D282" s="3" t="str">
        <x:v>3-苯基丙酸乙酯</x:v>
      </x:c>
      <x:c r="E282" s="3" t="str">
        <x:v>3档×3档</x:v>
      </x:c>
      <x:c r="F282" s="3" t="n">
        <x:f>COUNTIFS('浓度矩阵'!$C$6:$C$355,1,'浓度矩阵'!$P$6:$P$355,"&gt;0",'浓度矩阵'!$AC$6:$AC$355,"&gt;0")</x:f>
        <x:v>3</x:v>
      </x:c>
      <x:c r="G282" s="3" t="n">
        <x:f>COUNTIFS('浓度矩阵'!$B$6:$B$355,"独立配制重复",'浓度矩阵'!$P$6:$P$355,"&gt;0",'浓度矩阵'!$AC$6:$AC$355,"&gt;0")</x:f>
        <x:v>0</x:v>
      </x:c>
      <x:c r="H282" s="3" t="n">
        <x:f>COUNTIFS('浓度矩阵'!$B$6:$B$355,"留出验证",'浓度矩阵'!$P$6:$P$355,"&gt;0",'浓度矩阵'!$AC$6:$AC$355,"&gt;0")</x:f>
        <x:v>1</x:v>
      </x:c>
      <x:c r="I282" s="3" t="n">
        <x:v>3</x:v>
      </x:c>
      <x:c r="J282" s="3" t="n">
        <x:v>3</x:v>
      </x:c>
      <x:c r="K282" s="3" t="n">
        <x:v>9</x:v>
      </x:c>
      <x:c r="L282" s="11" t="n">
        <x:f>J282/K282</x:f>
        <x:v>0.3333333333333333</x:v>
      </x:c>
    </x:row>
    <x:row r="283" ht="24" customHeight="1">
      <x:c r="A283" s="3" t="n">
        <x:v>75</x:v>
      </x:c>
      <x:c r="B283" s="3" t="n">
        <x:v>207</x:v>
      </x:c>
      <x:c r="C283" s="3" t="str">
        <x:v>戊酸</x:v>
      </x:c>
      <x:c r="D283" s="3" t="str">
        <x:v>1-辛烯-3-醇</x:v>
      </x:c>
      <x:c r="E283" s="3" t="str">
        <x:v>3档×3档</x:v>
      </x:c>
      <x:c r="F283" s="3" t="n">
        <x:f>COUNTIFS('浓度矩阵'!$C$6:$C$355,1,'浓度矩阵'!$P$6:$P$355,"&gt;0",'浓度矩阵'!$AD$6:$AD$355,"&gt;0")</x:f>
        <x:v>3</x:v>
      </x:c>
      <x:c r="G283" s="3" t="n">
        <x:f>COUNTIFS('浓度矩阵'!$B$6:$B$355,"独立配制重复",'浓度矩阵'!$P$6:$P$355,"&gt;0",'浓度矩阵'!$AD$6:$AD$355,"&gt;0")</x:f>
        <x:v>0</x:v>
      </x:c>
      <x:c r="H283" s="3" t="n">
        <x:f>COUNTIFS('浓度矩阵'!$B$6:$B$355,"留出验证",'浓度矩阵'!$P$6:$P$355,"&gt;0",'浓度矩阵'!$AD$6:$AD$355,"&gt;0")</x:f>
        <x:v>0</x:v>
      </x:c>
      <x:c r="I283" s="3" t="n">
        <x:v>3</x:v>
      </x:c>
      <x:c r="J283" s="3" t="n">
        <x:v>3</x:v>
      </x:c>
      <x:c r="K283" s="3" t="n">
        <x:v>9</x:v>
      </x:c>
      <x:c r="L283" s="11" t="n">
        <x:f>J283/K283</x:f>
        <x:v>0.3333333333333333</x:v>
      </x:c>
    </x:row>
    <x:row r="284" ht="24" customHeight="1">
      <x:c r="A284" s="3" t="n">
        <x:v>75</x:v>
      </x:c>
      <x:c r="B284" s="3" t="n">
        <x:v>209</x:v>
      </x:c>
      <x:c r="C284" s="3" t="str">
        <x:v>戊酸</x:v>
      </x:c>
      <x:c r="D284" s="3" t="str">
        <x:v>二甲基三硫醚</x:v>
      </x:c>
      <x:c r="E284" s="3" t="str">
        <x:v>3档×3档</x:v>
      </x:c>
      <x:c r="F284" s="3" t="n">
        <x:f>COUNTIFS('浓度矩阵'!$C$6:$C$355,1,'浓度矩阵'!$P$6:$P$355,"&gt;0",'浓度矩阵'!$AE$6:$AE$355,"&gt;0")</x:f>
        <x:v>3</x:v>
      </x:c>
      <x:c r="G284" s="3" t="n">
        <x:f>COUNTIFS('浓度矩阵'!$B$6:$B$355,"独立配制重复",'浓度矩阵'!$P$6:$P$355,"&gt;0",'浓度矩阵'!$AE$6:$AE$355,"&gt;0")</x:f>
        <x:v>1</x:v>
      </x:c>
      <x:c r="H284" s="3" t="n">
        <x:f>COUNTIFS('浓度矩阵'!$B$6:$B$355,"留出验证",'浓度矩阵'!$P$6:$P$355,"&gt;0",'浓度矩阵'!$AE$6:$AE$355,"&gt;0")</x:f>
        <x:v>0</x:v>
      </x:c>
      <x:c r="I284" s="3" t="n">
        <x:v>3</x:v>
      </x:c>
      <x:c r="J284" s="3" t="n">
        <x:v>3</x:v>
      </x:c>
      <x:c r="K284" s="3" t="n">
        <x:v>9</x:v>
      </x:c>
      <x:c r="L284" s="11" t="n">
        <x:f>J284/K284</x:f>
        <x:v>0.3333333333333333</x:v>
      </x:c>
    </x:row>
    <x:row r="285" ht="24" customHeight="1">
      <x:c r="A285" s="3" t="n">
        <x:v>75</x:v>
      </x:c>
      <x:c r="B285" s="3" t="n">
        <x:v>227</x:v>
      </x:c>
      <x:c r="C285" s="3" t="str">
        <x:v>戊酸</x:v>
      </x:c>
      <x:c r="D285" s="3" t="str">
        <x:v>己酸己酯</x:v>
      </x:c>
      <x:c r="E285" s="3" t="str">
        <x:v>3档×3档</x:v>
      </x:c>
      <x:c r="F285" s="3" t="n">
        <x:f>COUNTIFS('浓度矩阵'!$C$6:$C$355,1,'浓度矩阵'!$P$6:$P$355,"&gt;0",'浓度矩阵'!$AF$6:$AF$355,"&gt;0")</x:f>
        <x:v>3</x:v>
      </x:c>
      <x:c r="G285" s="3" t="n">
        <x:f>COUNTIFS('浓度矩阵'!$B$6:$B$355,"独立配制重复",'浓度矩阵'!$P$6:$P$355,"&gt;0",'浓度矩阵'!$AF$6:$AF$355,"&gt;0")</x:f>
        <x:v>0</x:v>
      </x:c>
      <x:c r="H285" s="3" t="n">
        <x:f>COUNTIFS('浓度矩阵'!$B$6:$B$355,"留出验证",'浓度矩阵'!$P$6:$P$355,"&gt;0",'浓度矩阵'!$AF$6:$AF$355,"&gt;0")</x:f>
        <x:v>1</x:v>
      </x:c>
      <x:c r="I285" s="3" t="n">
        <x:v>3</x:v>
      </x:c>
      <x:c r="J285" s="3" t="n">
        <x:v>3</x:v>
      </x:c>
      <x:c r="K285" s="3" t="n">
        <x:v>9</x:v>
      </x:c>
      <x:c r="L285" s="11" t="n">
        <x:f>J285/K285</x:f>
        <x:v>0.3333333333333333</x:v>
      </x:c>
    </x:row>
    <x:row r="286" ht="24" customHeight="1">
      <x:c r="A286" s="3" t="n">
        <x:v>75</x:v>
      </x:c>
      <x:c r="B286" s="3" t="n">
        <x:v>232</x:v>
      </x:c>
      <x:c r="C286" s="3" t="str">
        <x:v>戊酸</x:v>
      </x:c>
      <x:c r="D286" s="3" t="str">
        <x:v>2-甲基丁酸乙酯</x:v>
      </x:c>
      <x:c r="E286" s="3" t="str">
        <x:v>3档×3档</x:v>
      </x:c>
      <x:c r="F286" s="3" t="n">
        <x:f>COUNTIFS('浓度矩阵'!$C$6:$C$355,1,'浓度矩阵'!$P$6:$P$355,"&gt;0",'浓度矩阵'!$AG$6:$AG$355,"&gt;0")</x:f>
        <x:v>3</x:v>
      </x:c>
      <x:c r="G286" s="3" t="n">
        <x:f>COUNTIFS('浓度矩阵'!$B$6:$B$355,"独立配制重复",'浓度矩阵'!$P$6:$P$355,"&gt;0",'浓度矩阵'!$AG$6:$AG$355,"&gt;0")</x:f>
        <x:v>1</x:v>
      </x:c>
      <x:c r="H286" s="3" t="n">
        <x:f>COUNTIFS('浓度矩阵'!$B$6:$B$355,"留出验证",'浓度矩阵'!$P$6:$P$355,"&gt;0",'浓度矩阵'!$AG$6:$AG$355,"&gt;0")</x:f>
        <x:v>0</x:v>
      </x:c>
      <x:c r="I286" s="3" t="n">
        <x:v>3</x:v>
      </x:c>
      <x:c r="J286" s="3" t="n">
        <x:v>3</x:v>
      </x:c>
      <x:c r="K286" s="3" t="n">
        <x:v>9</x:v>
      </x:c>
      <x:c r="L286" s="11" t="n">
        <x:f>J286/K286</x:f>
        <x:v>0.3333333333333333</x:v>
      </x:c>
    </x:row>
    <x:row r="287" ht="24" customHeight="1">
      <x:c r="A287" s="3" t="n">
        <x:v>75</x:v>
      </x:c>
      <x:c r="B287" s="3" t="n">
        <x:v>255</x:v>
      </x:c>
      <x:c r="C287" s="3" t="str">
        <x:v>戊酸</x:v>
      </x:c>
      <x:c r="D287" s="3" t="str">
        <x:v>β-大马酮</x:v>
      </x:c>
      <x:c r="E287" s="3" t="str">
        <x:v>3档×3档</x:v>
      </x:c>
      <x:c r="F287" s="3" t="n">
        <x:f>COUNTIFS('浓度矩阵'!$C$6:$C$355,1,'浓度矩阵'!$P$6:$P$355,"&gt;0",'浓度矩阵'!$AH$6:$AH$355,"&gt;0")</x:f>
        <x:v>3</x:v>
      </x:c>
      <x:c r="G287" s="3" t="n">
        <x:f>COUNTIFS('浓度矩阵'!$B$6:$B$355,"独立配制重复",'浓度矩阵'!$P$6:$P$355,"&gt;0",'浓度矩阵'!$AH$6:$AH$355,"&gt;0")</x:f>
        <x:v>0</x:v>
      </x:c>
      <x:c r="H287" s="3" t="n">
        <x:f>COUNTIFS('浓度矩阵'!$B$6:$B$355,"留出验证",'浓度矩阵'!$P$6:$P$355,"&gt;0",'浓度矩阵'!$AH$6:$AH$355,"&gt;0")</x:f>
        <x:v>0</x:v>
      </x:c>
      <x:c r="I287" s="3" t="n">
        <x:v>3</x:v>
      </x:c>
      <x:c r="J287" s="3" t="n">
        <x:v>3</x:v>
      </x:c>
      <x:c r="K287" s="3" t="n">
        <x:v>9</x:v>
      </x:c>
      <x:c r="L287" s="11" t="n">
        <x:f>J287/K287</x:f>
        <x:v>0.3333333333333333</x:v>
      </x:c>
    </x:row>
    <x:row r="288" ht="24" customHeight="1">
      <x:c r="A288" s="3" t="n">
        <x:v>79</x:v>
      </x:c>
      <x:c r="B288" s="3" t="n">
        <x:v>90</x:v>
      </x:c>
      <x:c r="C288" s="3" t="str">
        <x:v>癸酸乙酯</x:v>
      </x:c>
      <x:c r="D288" s="3" t="str">
        <x:v>1-辛醇</x:v>
      </x:c>
      <x:c r="E288" s="3" t="str">
        <x:v>2档×2档</x:v>
      </x:c>
      <x:c r="F288" s="3" t="n">
        <x:f>COUNTIFS('浓度矩阵'!$C$6:$C$355,1,'浓度矩阵'!$Q$6:$Q$355,"&gt;0",'浓度矩阵'!$R$6:$R$355,"&gt;0")</x:f>
        <x:v>3</x:v>
      </x:c>
      <x:c r="G288" s="3" t="n">
        <x:f>COUNTIFS('浓度矩阵'!$B$6:$B$355,"独立配制重复",'浓度矩阵'!$Q$6:$Q$355,"&gt;0",'浓度矩阵'!$R$6:$R$355,"&gt;0")</x:f>
        <x:v>0</x:v>
      </x:c>
      <x:c r="H288" s="3" t="n">
        <x:f>COUNTIFS('浓度矩阵'!$B$6:$B$355,"留出验证",'浓度矩阵'!$Q$6:$Q$355,"&gt;0",'浓度矩阵'!$R$6:$R$355,"&gt;0")</x:f>
        <x:v>0</x:v>
      </x:c>
      <x:c r="I288" s="3" t="n">
        <x:v>3</x:v>
      </x:c>
      <x:c r="J288" s="3" t="n">
        <x:v>3</x:v>
      </x:c>
      <x:c r="K288" s="3" t="n">
        <x:v>4</x:v>
      </x:c>
      <x:c r="L288" s="11" t="n">
        <x:f>J288/K288</x:f>
        <x:v>0.75</x:v>
      </x:c>
    </x:row>
    <x:row r="289" ht="24" customHeight="1">
      <x:c r="A289" s="3" t="n">
        <x:v>79</x:v>
      </x:c>
      <x:c r="B289" s="3" t="n">
        <x:v>105</x:v>
      </x:c>
      <x:c r="C289" s="3" t="str">
        <x:v>癸酸乙酯</x:v>
      </x:c>
      <x:c r="D289" s="3" t="str">
        <x:v>苯乙醛</x:v>
      </x:c>
      <x:c r="E289" s="3" t="str">
        <x:v>2档×3档</x:v>
      </x:c>
      <x:c r="F289" s="3" t="n">
        <x:f>COUNTIFS('浓度矩阵'!$C$6:$C$355,1,'浓度矩阵'!$Q$6:$Q$355,"&gt;0",'浓度矩阵'!$S$6:$S$355,"&gt;0")</x:f>
        <x:v>4</x:v>
      </x:c>
      <x:c r="G289" s="3" t="n">
        <x:f>COUNTIFS('浓度矩阵'!$B$6:$B$355,"独立配制重复",'浓度矩阵'!$Q$6:$Q$355,"&gt;0",'浓度矩阵'!$S$6:$S$355,"&gt;0")</x:f>
        <x:v>0</x:v>
      </x:c>
      <x:c r="H289" s="3" t="n">
        <x:f>COUNTIFS('浓度矩阵'!$B$6:$B$355,"留出验证",'浓度矩阵'!$Q$6:$Q$355,"&gt;0",'浓度矩阵'!$S$6:$S$355,"&gt;0")</x:f>
        <x:v>0</x:v>
      </x:c>
      <x:c r="I289" s="3" t="n">
        <x:v>4</x:v>
      </x:c>
      <x:c r="J289" s="3" t="n">
        <x:v>4</x:v>
      </x:c>
      <x:c r="K289" s="3" t="n">
        <x:v>6</x:v>
      </x:c>
      <x:c r="L289" s="11" t="n">
        <x:f>J289/K289</x:f>
        <x:v>0.6666666666666666</x:v>
      </x:c>
    </x:row>
    <x:row r="290" ht="24" customHeight="1">
      <x:c r="A290" s="3" t="n">
        <x:v>79</x:v>
      </x:c>
      <x:c r="B290" s="3" t="n">
        <x:v>111</x:v>
      </x:c>
      <x:c r="C290" s="3" t="str">
        <x:v>癸酸乙酯</x:v>
      </x:c>
      <x:c r="D290" s="3" t="str">
        <x:v>己酸乙酯</x:v>
      </x:c>
      <x:c r="E290" s="3" t="str">
        <x:v>2档×3档</x:v>
      </x:c>
      <x:c r="F290" s="3" t="n">
        <x:f>COUNTIFS('浓度矩阵'!$C$6:$C$355,1,'浓度矩阵'!$Q$6:$Q$355,"&gt;0",'浓度矩阵'!$T$6:$T$355,"&gt;0")</x:f>
        <x:v>3</x:v>
      </x:c>
      <x:c r="G290" s="3" t="n">
        <x:f>COUNTIFS('浓度矩阵'!$B$6:$B$355,"独立配制重复",'浓度矩阵'!$Q$6:$Q$355,"&gt;0",'浓度矩阵'!$T$6:$T$355,"&gt;0")</x:f>
        <x:v>0</x:v>
      </x:c>
      <x:c r="H290" s="3" t="n">
        <x:f>COUNTIFS('浓度矩阵'!$B$6:$B$355,"留出验证",'浓度矩阵'!$Q$6:$Q$355,"&gt;0",'浓度矩阵'!$T$6:$T$355,"&gt;0")</x:f>
        <x:v>0</x:v>
      </x:c>
      <x:c r="I290" s="3" t="n">
        <x:v>3</x:v>
      </x:c>
      <x:c r="J290" s="3" t="n">
        <x:v>3</x:v>
      </x:c>
      <x:c r="K290" s="3" t="n">
        <x:v>6</x:v>
      </x:c>
      <x:c r="L290" s="11" t="n">
        <x:f>J290/K290</x:f>
        <x:v>0.5</x:v>
      </x:c>
    </x:row>
    <x:row r="291" ht="24" customHeight="1">
      <x:c r="A291" s="3" t="n">
        <x:v>79</x:v>
      </x:c>
      <x:c r="B291" s="3" t="n">
        <x:v>114</x:v>
      </x:c>
      <x:c r="C291" s="3" t="str">
        <x:v>癸酸乙酯</x:v>
      </x:c>
      <x:c r="D291" s="3" t="str">
        <x:v>乙酸丁酯</x:v>
      </x:c>
      <x:c r="E291" s="3" t="str">
        <x:v>2档×2档</x:v>
      </x:c>
      <x:c r="F291" s="3" t="n">
        <x:f>COUNTIFS('浓度矩阵'!$C$6:$C$355,1,'浓度矩阵'!$Q$6:$Q$355,"&gt;0",'浓度矩阵'!$U$6:$U$355,"&gt;0")</x:f>
        <x:v>3</x:v>
      </x:c>
      <x:c r="G291" s="3" t="n">
        <x:f>COUNTIFS('浓度矩阵'!$B$6:$B$355,"独立配制重复",'浓度矩阵'!$Q$6:$Q$355,"&gt;0",'浓度矩阵'!$U$6:$U$355,"&gt;0")</x:f>
        <x:v>0</x:v>
      </x:c>
      <x:c r="H291" s="3" t="n">
        <x:f>COUNTIFS('浓度矩阵'!$B$6:$B$355,"留出验证",'浓度矩阵'!$Q$6:$Q$355,"&gt;0",'浓度矩阵'!$U$6:$U$355,"&gt;0")</x:f>
        <x:v>0</x:v>
      </x:c>
      <x:c r="I291" s="3" t="n">
        <x:v>3</x:v>
      </x:c>
      <x:c r="J291" s="3" t="n">
        <x:v>3</x:v>
      </x:c>
      <x:c r="K291" s="3" t="n">
        <x:v>4</x:v>
      </x:c>
      <x:c r="L291" s="11" t="n">
        <x:f>J291/K291</x:f>
        <x:v>0.75</x:v>
      </x:c>
    </x:row>
    <x:row r="292" ht="24" customHeight="1">
      <x:c r="A292" s="3" t="n">
        <x:v>79</x:v>
      </x:c>
      <x:c r="B292" s="3" t="n">
        <x:v>115</x:v>
      </x:c>
      <x:c r="C292" s="3" t="str">
        <x:v>癸酸乙酯</x:v>
      </x:c>
      <x:c r="D292" s="3" t="str">
        <x:v>乙酸异戊酯</x:v>
      </x:c>
      <x:c r="E292" s="3" t="str">
        <x:v>2档×3档</x:v>
      </x:c>
      <x:c r="F292" s="3" t="n">
        <x:f>COUNTIFS('浓度矩阵'!$C$6:$C$355,1,'浓度矩阵'!$Q$6:$Q$355,"&gt;0",'浓度矩阵'!$V$6:$V$355,"&gt;0")</x:f>
        <x:v>3</x:v>
      </x:c>
      <x:c r="G292" s="3" t="n">
        <x:f>COUNTIFS('浓度矩阵'!$B$6:$B$355,"独立配制重复",'浓度矩阵'!$Q$6:$Q$355,"&gt;0",'浓度矩阵'!$V$6:$V$355,"&gt;0")</x:f>
        <x:v>0</x:v>
      </x:c>
      <x:c r="H292" s="3" t="n">
        <x:f>COUNTIFS('浓度矩阵'!$B$6:$B$355,"留出验证",'浓度矩阵'!$Q$6:$Q$355,"&gt;0",'浓度矩阵'!$V$6:$V$355,"&gt;0")</x:f>
        <x:v>1</x:v>
      </x:c>
      <x:c r="I292" s="3" t="n">
        <x:v>3</x:v>
      </x:c>
      <x:c r="J292" s="3" t="n">
        <x:v>3</x:v>
      </x:c>
      <x:c r="K292" s="3" t="n">
        <x:v>6</x:v>
      </x:c>
      <x:c r="L292" s="11" t="n">
        <x:f>J292/K292</x:f>
        <x:v>0.5</x:v>
      </x:c>
    </x:row>
    <x:row r="293" ht="24" customHeight="1">
      <x:c r="A293" s="3" t="n">
        <x:v>79</x:v>
      </x:c>
      <x:c r="B293" s="3" t="n">
        <x:v>117</x:v>
      </x:c>
      <x:c r="C293" s="3" t="str">
        <x:v>癸酸乙酯</x:v>
      </x:c>
      <x:c r="D293" s="3" t="str">
        <x:v>辛酸</x:v>
      </x:c>
      <x:c r="E293" s="3" t="str">
        <x:v>2档×3档</x:v>
      </x:c>
      <x:c r="F293" s="3" t="n">
        <x:f>COUNTIFS('浓度矩阵'!$C$6:$C$355,1,'浓度矩阵'!$Q$6:$Q$355,"&gt;0",'浓度矩阵'!$W$6:$W$355,"&gt;0")</x:f>
        <x:v>3</x:v>
      </x:c>
      <x:c r="G293" s="3" t="n">
        <x:f>COUNTIFS('浓度矩阵'!$B$6:$B$355,"独立配制重复",'浓度矩阵'!$Q$6:$Q$355,"&gt;0",'浓度矩阵'!$W$6:$W$355,"&gt;0")</x:f>
        <x:v>0</x:v>
      </x:c>
      <x:c r="H293" s="3" t="n">
        <x:f>COUNTIFS('浓度矩阵'!$B$6:$B$355,"留出验证",'浓度矩阵'!$Q$6:$Q$355,"&gt;0",'浓度矩阵'!$W$6:$W$355,"&gt;0")</x:f>
        <x:v>0</x:v>
      </x:c>
      <x:c r="I293" s="3" t="n">
        <x:v>3</x:v>
      </x:c>
      <x:c r="J293" s="3" t="n">
        <x:v>3</x:v>
      </x:c>
      <x:c r="K293" s="3" t="n">
        <x:v>6</x:v>
      </x:c>
      <x:c r="L293" s="11" t="n">
        <x:f>J293/K293</x:f>
        <x:v>0.5</x:v>
      </x:c>
    </x:row>
    <x:row r="294" ht="24" customHeight="1">
      <x:c r="A294" s="3" t="n">
        <x:v>79</x:v>
      </x:c>
      <x:c r="B294" s="3" t="n">
        <x:v>126</x:v>
      </x:c>
      <x:c r="C294" s="3" t="str">
        <x:v>癸酸乙酯</x:v>
      </x:c>
      <x:c r="D294" s="3" t="str">
        <x:v>己酸</x:v>
      </x:c>
      <x:c r="E294" s="3" t="str">
        <x:v>2档×3档</x:v>
      </x:c>
      <x:c r="F294" s="3" t="n">
        <x:f>COUNTIFS('浓度矩阵'!$C$6:$C$355,1,'浓度矩阵'!$Q$6:$Q$355,"&gt;0",'浓度矩阵'!$X$6:$X$355,"&gt;0")</x:f>
        <x:v>3</x:v>
      </x:c>
      <x:c r="G294" s="3" t="n">
        <x:f>COUNTIFS('浓度矩阵'!$B$6:$B$355,"独立配制重复",'浓度矩阵'!$Q$6:$Q$355,"&gt;0",'浓度矩阵'!$X$6:$X$355,"&gt;0")</x:f>
        <x:v>0</x:v>
      </x:c>
      <x:c r="H294" s="3" t="n">
        <x:f>COUNTIFS('浓度矩阵'!$B$6:$B$355,"留出验证",'浓度矩阵'!$Q$6:$Q$355,"&gt;0",'浓度矩阵'!$X$6:$X$355,"&gt;0")</x:f>
        <x:v>0</x:v>
      </x:c>
      <x:c r="I294" s="3" t="n">
        <x:v>3</x:v>
      </x:c>
      <x:c r="J294" s="3" t="n">
        <x:v>3</x:v>
      </x:c>
      <x:c r="K294" s="3" t="n">
        <x:v>6</x:v>
      </x:c>
      <x:c r="L294" s="11" t="n">
        <x:f>J294/K294</x:f>
        <x:v>0.5</x:v>
      </x:c>
    </x:row>
    <x:row r="295" ht="24" customHeight="1">
      <x:c r="A295" s="3" t="n">
        <x:v>79</x:v>
      </x:c>
      <x:c r="B295" s="3" t="n">
        <x:v>136</x:v>
      </x:c>
      <x:c r="C295" s="3" t="str">
        <x:v>癸酸乙酯</x:v>
      </x:c>
      <x:c r="D295" s="3" t="str">
        <x:v>异戊酸/3-甲基丁酸</x:v>
      </x:c>
      <x:c r="E295" s="3" t="str">
        <x:v>2档×3档</x:v>
      </x:c>
      <x:c r="F295" s="3" t="n">
        <x:f>COUNTIFS('浓度矩阵'!$C$6:$C$355,1,'浓度矩阵'!$Q$6:$Q$355,"&gt;0",'浓度矩阵'!$Y$6:$Y$355,"&gt;0")</x:f>
        <x:v>3</x:v>
      </x:c>
      <x:c r="G295" s="3" t="n">
        <x:f>COUNTIFS('浓度矩阵'!$B$6:$B$355,"独立配制重复",'浓度矩阵'!$Q$6:$Q$355,"&gt;0",'浓度矩阵'!$Y$6:$Y$355,"&gt;0")</x:f>
        <x:v>0</x:v>
      </x:c>
      <x:c r="H295" s="3" t="n">
        <x:f>COUNTIFS('浓度矩阵'!$B$6:$B$355,"留出验证",'浓度矩阵'!$Q$6:$Q$355,"&gt;0",'浓度矩阵'!$Y$6:$Y$355,"&gt;0")</x:f>
        <x:v>0</x:v>
      </x:c>
      <x:c r="I295" s="3" t="n">
        <x:v>3</x:v>
      </x:c>
      <x:c r="J295" s="3" t="n">
        <x:v>3</x:v>
      </x:c>
      <x:c r="K295" s="3" t="n">
        <x:v>6</x:v>
      </x:c>
      <x:c r="L295" s="11" t="n">
        <x:f>J295/K295</x:f>
        <x:v>0.5</x:v>
      </x:c>
    </x:row>
    <x:row r="296" ht="24" customHeight="1">
      <x:c r="A296" s="3" t="n">
        <x:v>79</x:v>
      </x:c>
      <x:c r="B296" s="3" t="n">
        <x:v>141</x:v>
      </x:c>
      <x:c r="C296" s="3" t="str">
        <x:v>癸酸乙酯</x:v>
      </x:c>
      <x:c r="D296" s="3" t="str">
        <x:v>戊酸乙酯</x:v>
      </x:c>
      <x:c r="E296" s="3" t="str">
        <x:v>2档×3档</x:v>
      </x:c>
      <x:c r="F296" s="3" t="n">
        <x:f>COUNTIFS('浓度矩阵'!$C$6:$C$355,1,'浓度矩阵'!$Q$6:$Q$355,"&gt;0",'浓度矩阵'!$Z$6:$Z$355,"&gt;0")</x:f>
        <x:v>3</x:v>
      </x:c>
      <x:c r="G296" s="3" t="n">
        <x:f>COUNTIFS('浓度矩阵'!$B$6:$B$355,"独立配制重复",'浓度矩阵'!$Q$6:$Q$355,"&gt;0",'浓度矩阵'!$Z$6:$Z$355,"&gt;0")</x:f>
        <x:v>0</x:v>
      </x:c>
      <x:c r="H296" s="3" t="n">
        <x:f>COUNTIFS('浓度矩阵'!$B$6:$B$355,"留出验证",'浓度矩阵'!$Q$6:$Q$355,"&gt;0",'浓度矩阵'!$Z$6:$Z$355,"&gt;0")</x:f>
        <x:v>1</x:v>
      </x:c>
      <x:c r="I296" s="3" t="n">
        <x:v>3</x:v>
      </x:c>
      <x:c r="J296" s="3" t="n">
        <x:v>3</x:v>
      </x:c>
      <x:c r="K296" s="3" t="n">
        <x:v>6</x:v>
      </x:c>
      <x:c r="L296" s="11" t="n">
        <x:f>J296/K296</x:f>
        <x:v>0.5</x:v>
      </x:c>
    </x:row>
    <x:row r="297" ht="24" customHeight="1">
      <x:c r="A297" s="3" t="n">
        <x:v>79</x:v>
      </x:c>
      <x:c r="B297" s="3" t="n">
        <x:v>152</x:v>
      </x:c>
      <x:c r="C297" s="3" t="str">
        <x:v>癸酸乙酯</x:v>
      </x:c>
      <x:c r="D297" s="3" t="str">
        <x:v>异戊醛</x:v>
      </x:c>
      <x:c r="E297" s="3" t="str">
        <x:v>2档×3档</x:v>
      </x:c>
      <x:c r="F297" s="3" t="n">
        <x:f>COUNTIFS('浓度矩阵'!$C$6:$C$355,1,'浓度矩阵'!$Q$6:$Q$355,"&gt;0",'浓度矩阵'!$AA$6:$AA$355,"&gt;0")</x:f>
        <x:v>3</x:v>
      </x:c>
      <x:c r="G297" s="3" t="n">
        <x:f>COUNTIFS('浓度矩阵'!$B$6:$B$355,"独立配制重复",'浓度矩阵'!$Q$6:$Q$355,"&gt;0",'浓度矩阵'!$AA$6:$AA$355,"&gt;0")</x:f>
        <x:v>0</x:v>
      </x:c>
      <x:c r="H297" s="3" t="n">
        <x:f>COUNTIFS('浓度矩阵'!$B$6:$B$355,"留出验证",'浓度矩阵'!$Q$6:$Q$355,"&gt;0",'浓度矩阵'!$AA$6:$AA$355,"&gt;0")</x:f>
        <x:v>0</x:v>
      </x:c>
      <x:c r="I297" s="3" t="n">
        <x:v>3</x:v>
      </x:c>
      <x:c r="J297" s="3" t="n">
        <x:v>3</x:v>
      </x:c>
      <x:c r="K297" s="3" t="n">
        <x:v>6</x:v>
      </x:c>
      <x:c r="L297" s="11" t="n">
        <x:f>J297/K297</x:f>
        <x:v>0.5</x:v>
      </x:c>
    </x:row>
    <x:row r="298" ht="24" customHeight="1">
      <x:c r="A298" s="3" t="n">
        <x:v>79</x:v>
      </x:c>
      <x:c r="B298" s="3" t="n">
        <x:v>165</x:v>
      </x:c>
      <x:c r="C298" s="3" t="str">
        <x:v>癸酸乙酯</x:v>
      </x:c>
      <x:c r="D298" s="3" t="str">
        <x:v>己酸丁酯</x:v>
      </x:c>
      <x:c r="E298" s="3" t="str">
        <x:v>2档×2档</x:v>
      </x:c>
      <x:c r="F298" s="3" t="n">
        <x:f>COUNTIFS('浓度矩阵'!$C$6:$C$355,1,'浓度矩阵'!$Q$6:$Q$355,"&gt;0",'浓度矩阵'!$AB$6:$AB$355,"&gt;0")</x:f>
        <x:v>3</x:v>
      </x:c>
      <x:c r="G298" s="3" t="n">
        <x:f>COUNTIFS('浓度矩阵'!$B$6:$B$355,"独立配制重复",'浓度矩阵'!$Q$6:$Q$355,"&gt;0",'浓度矩阵'!$AB$6:$AB$355,"&gt;0")</x:f>
        <x:v>0</x:v>
      </x:c>
      <x:c r="H298" s="3" t="n">
        <x:f>COUNTIFS('浓度矩阵'!$B$6:$B$355,"留出验证",'浓度矩阵'!$Q$6:$Q$355,"&gt;0",'浓度矩阵'!$AB$6:$AB$355,"&gt;0")</x:f>
        <x:v>0</x:v>
      </x:c>
      <x:c r="I298" s="3" t="n">
        <x:v>3</x:v>
      </x:c>
      <x:c r="J298" s="3" t="n">
        <x:v>3</x:v>
      </x:c>
      <x:c r="K298" s="3" t="n">
        <x:v>4</x:v>
      </x:c>
      <x:c r="L298" s="11" t="n">
        <x:f>J298/K298</x:f>
        <x:v>0.75</x:v>
      </x:c>
    </x:row>
    <x:row r="299" ht="24" customHeight="1">
      <x:c r="A299" s="3" t="n">
        <x:v>79</x:v>
      </x:c>
      <x:c r="B299" s="3" t="n">
        <x:v>186</x:v>
      </x:c>
      <x:c r="C299" s="3" t="str">
        <x:v>癸酸乙酯</x:v>
      </x:c>
      <x:c r="D299" s="3" t="str">
        <x:v>3-苯基丙酸乙酯</x:v>
      </x:c>
      <x:c r="E299" s="3" t="str">
        <x:v>2档×3档</x:v>
      </x:c>
      <x:c r="F299" s="3" t="n">
        <x:f>COUNTIFS('浓度矩阵'!$C$6:$C$355,1,'浓度矩阵'!$Q$6:$Q$355,"&gt;0",'浓度矩阵'!$AC$6:$AC$355,"&gt;0")</x:f>
        <x:v>3</x:v>
      </x:c>
      <x:c r="G299" s="3" t="n">
        <x:f>COUNTIFS('浓度矩阵'!$B$6:$B$355,"独立配制重复",'浓度矩阵'!$Q$6:$Q$355,"&gt;0",'浓度矩阵'!$AC$6:$AC$355,"&gt;0")</x:f>
        <x:v>0</x:v>
      </x:c>
      <x:c r="H299" s="3" t="n">
        <x:f>COUNTIFS('浓度矩阵'!$B$6:$B$355,"留出验证",'浓度矩阵'!$Q$6:$Q$355,"&gt;0",'浓度矩阵'!$AC$6:$AC$355,"&gt;0")</x:f>
        <x:v>0</x:v>
      </x:c>
      <x:c r="I299" s="3" t="n">
        <x:v>3</x:v>
      </x:c>
      <x:c r="J299" s="3" t="n">
        <x:v>3</x:v>
      </x:c>
      <x:c r="K299" s="3" t="n">
        <x:v>6</x:v>
      </x:c>
      <x:c r="L299" s="11" t="n">
        <x:f>J299/K299</x:f>
        <x:v>0.5</x:v>
      </x:c>
    </x:row>
    <x:row r="300" ht="24" customHeight="1">
      <x:c r="A300" s="3" t="n">
        <x:v>79</x:v>
      </x:c>
      <x:c r="B300" s="3" t="n">
        <x:v>207</x:v>
      </x:c>
      <x:c r="C300" s="3" t="str">
        <x:v>癸酸乙酯</x:v>
      </x:c>
      <x:c r="D300" s="3" t="str">
        <x:v>1-辛烯-3-醇</x:v>
      </x:c>
      <x:c r="E300" s="3" t="str">
        <x:v>2档×3档</x:v>
      </x:c>
      <x:c r="F300" s="3" t="n">
        <x:f>COUNTIFS('浓度矩阵'!$C$6:$C$355,1,'浓度矩阵'!$Q$6:$Q$355,"&gt;0",'浓度矩阵'!$AD$6:$AD$355,"&gt;0")</x:f>
        <x:v>3</x:v>
      </x:c>
      <x:c r="G300" s="3" t="n">
        <x:f>COUNTIFS('浓度矩阵'!$B$6:$B$355,"独立配制重复",'浓度矩阵'!$Q$6:$Q$355,"&gt;0",'浓度矩阵'!$AD$6:$AD$355,"&gt;0")</x:f>
        <x:v>0</x:v>
      </x:c>
      <x:c r="H300" s="3" t="n">
        <x:f>COUNTIFS('浓度矩阵'!$B$6:$B$355,"留出验证",'浓度矩阵'!$Q$6:$Q$355,"&gt;0",'浓度矩阵'!$AD$6:$AD$355,"&gt;0")</x:f>
        <x:v>0</x:v>
      </x:c>
      <x:c r="I300" s="3" t="n">
        <x:v>3</x:v>
      </x:c>
      <x:c r="J300" s="3" t="n">
        <x:v>3</x:v>
      </x:c>
      <x:c r="K300" s="3" t="n">
        <x:v>6</x:v>
      </x:c>
      <x:c r="L300" s="11" t="n">
        <x:f>J300/K300</x:f>
        <x:v>0.5</x:v>
      </x:c>
    </x:row>
    <x:row r="301" ht="24" customHeight="1">
      <x:c r="A301" s="3" t="n">
        <x:v>79</x:v>
      </x:c>
      <x:c r="B301" s="3" t="n">
        <x:v>209</x:v>
      </x:c>
      <x:c r="C301" s="3" t="str">
        <x:v>癸酸乙酯</x:v>
      </x:c>
      <x:c r="D301" s="3" t="str">
        <x:v>二甲基三硫醚</x:v>
      </x:c>
      <x:c r="E301" s="3" t="str">
        <x:v>2档×3档</x:v>
      </x:c>
      <x:c r="F301" s="3" t="n">
        <x:f>COUNTIFS('浓度矩阵'!$C$6:$C$355,1,'浓度矩阵'!$Q$6:$Q$355,"&gt;0",'浓度矩阵'!$AE$6:$AE$355,"&gt;0")</x:f>
        <x:v>3</x:v>
      </x:c>
      <x:c r="G301" s="3" t="n">
        <x:f>COUNTIFS('浓度矩阵'!$B$6:$B$355,"独立配制重复",'浓度矩阵'!$Q$6:$Q$355,"&gt;0",'浓度矩阵'!$AE$6:$AE$355,"&gt;0")</x:f>
        <x:v>0</x:v>
      </x:c>
      <x:c r="H301" s="3" t="n">
        <x:f>COUNTIFS('浓度矩阵'!$B$6:$B$355,"留出验证",'浓度矩阵'!$Q$6:$Q$355,"&gt;0",'浓度矩阵'!$AE$6:$AE$355,"&gt;0")</x:f>
        <x:v>0</x:v>
      </x:c>
      <x:c r="I301" s="3" t="n">
        <x:v>3</x:v>
      </x:c>
      <x:c r="J301" s="3" t="n">
        <x:v>3</x:v>
      </x:c>
      <x:c r="K301" s="3" t="n">
        <x:v>6</x:v>
      </x:c>
      <x:c r="L301" s="11" t="n">
        <x:f>J301/K301</x:f>
        <x:v>0.5</x:v>
      </x:c>
    </x:row>
    <x:row r="302" ht="24" customHeight="1">
      <x:c r="A302" s="3" t="n">
        <x:v>79</x:v>
      </x:c>
      <x:c r="B302" s="3" t="n">
        <x:v>227</x:v>
      </x:c>
      <x:c r="C302" s="3" t="str">
        <x:v>癸酸乙酯</x:v>
      </x:c>
      <x:c r="D302" s="3" t="str">
        <x:v>己酸己酯</x:v>
      </x:c>
      <x:c r="E302" s="3" t="str">
        <x:v>2档×3档</x:v>
      </x:c>
      <x:c r="F302" s="3" t="n">
        <x:f>COUNTIFS('浓度矩阵'!$C$6:$C$355,1,'浓度矩阵'!$Q$6:$Q$355,"&gt;0",'浓度矩阵'!$AF$6:$AF$355,"&gt;0")</x:f>
        <x:v>4</x:v>
      </x:c>
      <x:c r="G302" s="3" t="n">
        <x:f>COUNTIFS('浓度矩阵'!$B$6:$B$355,"独立配制重复",'浓度矩阵'!$Q$6:$Q$355,"&gt;0",'浓度矩阵'!$AF$6:$AF$355,"&gt;0")</x:f>
        <x:v>0</x:v>
      </x:c>
      <x:c r="H302" s="3" t="n">
        <x:f>COUNTIFS('浓度矩阵'!$B$6:$B$355,"留出验证",'浓度矩阵'!$Q$6:$Q$355,"&gt;0",'浓度矩阵'!$AF$6:$AF$355,"&gt;0")</x:f>
        <x:v>0</x:v>
      </x:c>
      <x:c r="I302" s="3" t="n">
        <x:v>4</x:v>
      </x:c>
      <x:c r="J302" s="3" t="n">
        <x:v>4</x:v>
      </x:c>
      <x:c r="K302" s="3" t="n">
        <x:v>6</x:v>
      </x:c>
      <x:c r="L302" s="11" t="n">
        <x:f>J302/K302</x:f>
        <x:v>0.6666666666666666</x:v>
      </x:c>
    </x:row>
    <x:row r="303" ht="24" customHeight="1">
      <x:c r="A303" s="3" t="n">
        <x:v>79</x:v>
      </x:c>
      <x:c r="B303" s="3" t="n">
        <x:v>232</x:v>
      </x:c>
      <x:c r="C303" s="3" t="str">
        <x:v>癸酸乙酯</x:v>
      </x:c>
      <x:c r="D303" s="3" t="str">
        <x:v>2-甲基丁酸乙酯</x:v>
      </x:c>
      <x:c r="E303" s="3" t="str">
        <x:v>2档×3档</x:v>
      </x:c>
      <x:c r="F303" s="3" t="n">
        <x:f>COUNTIFS('浓度矩阵'!$C$6:$C$355,1,'浓度矩阵'!$Q$6:$Q$355,"&gt;0",'浓度矩阵'!$AG$6:$AG$355,"&gt;0")</x:f>
        <x:v>3</x:v>
      </x:c>
      <x:c r="G303" s="3" t="n">
        <x:f>COUNTIFS('浓度矩阵'!$B$6:$B$355,"独立配制重复",'浓度矩阵'!$Q$6:$Q$355,"&gt;0",'浓度矩阵'!$AG$6:$AG$355,"&gt;0")</x:f>
        <x:v>0</x:v>
      </x:c>
      <x:c r="H303" s="3" t="n">
        <x:f>COUNTIFS('浓度矩阵'!$B$6:$B$355,"留出验证",'浓度矩阵'!$Q$6:$Q$355,"&gt;0",'浓度矩阵'!$AG$6:$AG$355,"&gt;0")</x:f>
        <x:v>0</x:v>
      </x:c>
      <x:c r="I303" s="3" t="n">
        <x:v>3</x:v>
      </x:c>
      <x:c r="J303" s="3" t="n">
        <x:v>3</x:v>
      </x:c>
      <x:c r="K303" s="3" t="n">
        <x:v>6</x:v>
      </x:c>
      <x:c r="L303" s="11" t="n">
        <x:f>J303/K303</x:f>
        <x:v>0.5</x:v>
      </x:c>
    </x:row>
    <x:row r="304" ht="24" customHeight="1">
      <x:c r="A304" s="3" t="n">
        <x:v>79</x:v>
      </x:c>
      <x:c r="B304" s="3" t="n">
        <x:v>255</x:v>
      </x:c>
      <x:c r="C304" s="3" t="str">
        <x:v>癸酸乙酯</x:v>
      </x:c>
      <x:c r="D304" s="3" t="str">
        <x:v>β-大马酮</x:v>
      </x:c>
      <x:c r="E304" s="3" t="str">
        <x:v>2档×3档</x:v>
      </x:c>
      <x:c r="F304" s="3" t="n">
        <x:f>COUNTIFS('浓度矩阵'!$C$6:$C$355,1,'浓度矩阵'!$Q$6:$Q$355,"&gt;0",'浓度矩阵'!$AH$6:$AH$355,"&gt;0")</x:f>
        <x:v>3</x:v>
      </x:c>
      <x:c r="G304" s="3" t="n">
        <x:f>COUNTIFS('浓度矩阵'!$B$6:$B$355,"独立配制重复",'浓度矩阵'!$Q$6:$Q$355,"&gt;0",'浓度矩阵'!$AH$6:$AH$355,"&gt;0")</x:f>
        <x:v>0</x:v>
      </x:c>
      <x:c r="H304" s="3" t="n">
        <x:f>COUNTIFS('浓度矩阵'!$B$6:$B$355,"留出验证",'浓度矩阵'!$Q$6:$Q$355,"&gt;0",'浓度矩阵'!$AH$6:$AH$355,"&gt;0")</x:f>
        <x:v>0</x:v>
      </x:c>
      <x:c r="I304" s="3" t="n">
        <x:v>3</x:v>
      </x:c>
      <x:c r="J304" s="3" t="n">
        <x:v>3</x:v>
      </x:c>
      <x:c r="K304" s="3" t="n">
        <x:v>6</x:v>
      </x:c>
      <x:c r="L304" s="11" t="n">
        <x:f>J304/K304</x:f>
        <x:v>0.5</x:v>
      </x:c>
    </x:row>
    <x:row r="305" ht="24" customHeight="1">
      <x:c r="A305" s="3" t="n">
        <x:v>90</x:v>
      </x:c>
      <x:c r="B305" s="3" t="n">
        <x:v>105</x:v>
      </x:c>
      <x:c r="C305" s="3" t="str">
        <x:v>1-辛醇</x:v>
      </x:c>
      <x:c r="D305" s="3" t="str">
        <x:v>苯乙醛</x:v>
      </x:c>
      <x:c r="E305" s="3" t="str">
        <x:v>2档×3档</x:v>
      </x:c>
      <x:c r="F305" s="3" t="n">
        <x:f>COUNTIFS('浓度矩阵'!$C$6:$C$355,1,'浓度矩阵'!$R$6:$R$355,"&gt;0",'浓度矩阵'!$S$6:$S$355,"&gt;0")</x:f>
        <x:v>4</x:v>
      </x:c>
      <x:c r="G305" s="3" t="n">
        <x:f>COUNTIFS('浓度矩阵'!$B$6:$B$355,"独立配制重复",'浓度矩阵'!$R$6:$R$355,"&gt;0",'浓度矩阵'!$S$6:$S$355,"&gt;0")</x:f>
        <x:v>0</x:v>
      </x:c>
      <x:c r="H305" s="3" t="n">
        <x:f>COUNTIFS('浓度矩阵'!$B$6:$B$355,"留出验证",'浓度矩阵'!$R$6:$R$355,"&gt;0",'浓度矩阵'!$S$6:$S$355,"&gt;0")</x:f>
        <x:v>0</x:v>
      </x:c>
      <x:c r="I305" s="3" t="n">
        <x:v>4</x:v>
      </x:c>
      <x:c r="J305" s="3" t="n">
        <x:v>4</x:v>
      </x:c>
      <x:c r="K305" s="3" t="n">
        <x:v>6</x:v>
      </x:c>
      <x:c r="L305" s="11" t="n">
        <x:f>J305/K305</x:f>
        <x:v>0.6666666666666666</x:v>
      </x:c>
    </x:row>
    <x:row r="306" ht="24" customHeight="1">
      <x:c r="A306" s="3" t="n">
        <x:v>90</x:v>
      </x:c>
      <x:c r="B306" s="3" t="n">
        <x:v>111</x:v>
      </x:c>
      <x:c r="C306" s="3" t="str">
        <x:v>1-辛醇</x:v>
      </x:c>
      <x:c r="D306" s="3" t="str">
        <x:v>己酸乙酯</x:v>
      </x:c>
      <x:c r="E306" s="3" t="str">
        <x:v>2档×3档</x:v>
      </x:c>
      <x:c r="F306" s="3" t="n">
        <x:f>COUNTIFS('浓度矩阵'!$C$6:$C$355,1,'浓度矩阵'!$R$6:$R$355,"&gt;0",'浓度矩阵'!$T$6:$T$355,"&gt;0")</x:f>
        <x:v>3</x:v>
      </x:c>
      <x:c r="G306" s="3" t="n">
        <x:f>COUNTIFS('浓度矩阵'!$B$6:$B$355,"独立配制重复",'浓度矩阵'!$R$6:$R$355,"&gt;0",'浓度矩阵'!$T$6:$T$355,"&gt;0")</x:f>
        <x:v>0</x:v>
      </x:c>
      <x:c r="H306" s="3" t="n">
        <x:f>COUNTIFS('浓度矩阵'!$B$6:$B$355,"留出验证",'浓度矩阵'!$R$6:$R$355,"&gt;0",'浓度矩阵'!$T$6:$T$355,"&gt;0")</x:f>
        <x:v>0</x:v>
      </x:c>
      <x:c r="I306" s="3" t="n">
        <x:v>3</x:v>
      </x:c>
      <x:c r="J306" s="3" t="n">
        <x:v>3</x:v>
      </x:c>
      <x:c r="K306" s="3" t="n">
        <x:v>6</x:v>
      </x:c>
      <x:c r="L306" s="11" t="n">
        <x:f>J306/K306</x:f>
        <x:v>0.5</x:v>
      </x:c>
    </x:row>
    <x:row r="307" ht="24" customHeight="1">
      <x:c r="A307" s="3" t="n">
        <x:v>90</x:v>
      </x:c>
      <x:c r="B307" s="3" t="n">
        <x:v>114</x:v>
      </x:c>
      <x:c r="C307" s="3" t="str">
        <x:v>1-辛醇</x:v>
      </x:c>
      <x:c r="D307" s="3" t="str">
        <x:v>乙酸丁酯</x:v>
      </x:c>
      <x:c r="E307" s="3" t="str">
        <x:v>2档×2档</x:v>
      </x:c>
      <x:c r="F307" s="3" t="n">
        <x:f>COUNTIFS('浓度矩阵'!$C$6:$C$355,1,'浓度矩阵'!$R$6:$R$355,"&gt;0",'浓度矩阵'!$U$6:$U$355,"&gt;0")</x:f>
        <x:v>3</x:v>
      </x:c>
      <x:c r="G307" s="3" t="n">
        <x:f>COUNTIFS('浓度矩阵'!$B$6:$B$355,"独立配制重复",'浓度矩阵'!$R$6:$R$355,"&gt;0",'浓度矩阵'!$U$6:$U$355,"&gt;0")</x:f>
        <x:v>0</x:v>
      </x:c>
      <x:c r="H307" s="3" t="n">
        <x:f>COUNTIFS('浓度矩阵'!$B$6:$B$355,"留出验证",'浓度矩阵'!$R$6:$R$355,"&gt;0",'浓度矩阵'!$U$6:$U$355,"&gt;0")</x:f>
        <x:v>0</x:v>
      </x:c>
      <x:c r="I307" s="3" t="n">
        <x:v>3</x:v>
      </x:c>
      <x:c r="J307" s="3" t="n">
        <x:v>3</x:v>
      </x:c>
      <x:c r="K307" s="3" t="n">
        <x:v>4</x:v>
      </x:c>
      <x:c r="L307" s="11" t="n">
        <x:f>J307/K307</x:f>
        <x:v>0.75</x:v>
      </x:c>
    </x:row>
    <x:row r="308" ht="24" customHeight="1">
      <x:c r="A308" s="3" t="n">
        <x:v>90</x:v>
      </x:c>
      <x:c r="B308" s="3" t="n">
        <x:v>115</x:v>
      </x:c>
      <x:c r="C308" s="3" t="str">
        <x:v>1-辛醇</x:v>
      </x:c>
      <x:c r="D308" s="3" t="str">
        <x:v>乙酸异戊酯</x:v>
      </x:c>
      <x:c r="E308" s="3" t="str">
        <x:v>2档×3档</x:v>
      </x:c>
      <x:c r="F308" s="3" t="n">
        <x:f>COUNTIFS('浓度矩阵'!$C$6:$C$355,1,'浓度矩阵'!$R$6:$R$355,"&gt;0",'浓度矩阵'!$V$6:$V$355,"&gt;0")</x:f>
        <x:v>3</x:v>
      </x:c>
      <x:c r="G308" s="3" t="n">
        <x:f>COUNTIFS('浓度矩阵'!$B$6:$B$355,"独立配制重复",'浓度矩阵'!$R$6:$R$355,"&gt;0",'浓度矩阵'!$V$6:$V$355,"&gt;0")</x:f>
        <x:v>0</x:v>
      </x:c>
      <x:c r="H308" s="3" t="n">
        <x:f>COUNTIFS('浓度矩阵'!$B$6:$B$355,"留出验证",'浓度矩阵'!$R$6:$R$355,"&gt;0",'浓度矩阵'!$V$6:$V$355,"&gt;0")</x:f>
        <x:v>1</x:v>
      </x:c>
      <x:c r="I308" s="3" t="n">
        <x:v>3</x:v>
      </x:c>
      <x:c r="J308" s="3" t="n">
        <x:v>3</x:v>
      </x:c>
      <x:c r="K308" s="3" t="n">
        <x:v>6</x:v>
      </x:c>
      <x:c r="L308" s="11" t="n">
        <x:f>J308/K308</x:f>
        <x:v>0.5</x:v>
      </x:c>
    </x:row>
    <x:row r="309" ht="24" customHeight="1">
      <x:c r="A309" s="3" t="n">
        <x:v>90</x:v>
      </x:c>
      <x:c r="B309" s="3" t="n">
        <x:v>117</x:v>
      </x:c>
      <x:c r="C309" s="3" t="str">
        <x:v>1-辛醇</x:v>
      </x:c>
      <x:c r="D309" s="3" t="str">
        <x:v>辛酸</x:v>
      </x:c>
      <x:c r="E309" s="3" t="str">
        <x:v>2档×3档</x:v>
      </x:c>
      <x:c r="F309" s="3" t="n">
        <x:f>COUNTIFS('浓度矩阵'!$C$6:$C$355,1,'浓度矩阵'!$R$6:$R$355,"&gt;0",'浓度矩阵'!$W$6:$W$355,"&gt;0")</x:f>
        <x:v>3</x:v>
      </x:c>
      <x:c r="G309" s="3" t="n">
        <x:f>COUNTIFS('浓度矩阵'!$B$6:$B$355,"独立配制重复",'浓度矩阵'!$R$6:$R$355,"&gt;0",'浓度矩阵'!$W$6:$W$355,"&gt;0")</x:f>
        <x:v>0</x:v>
      </x:c>
      <x:c r="H309" s="3" t="n">
        <x:f>COUNTIFS('浓度矩阵'!$B$6:$B$355,"留出验证",'浓度矩阵'!$R$6:$R$355,"&gt;0",'浓度矩阵'!$W$6:$W$355,"&gt;0")</x:f>
        <x:v>1</x:v>
      </x:c>
      <x:c r="I309" s="3" t="n">
        <x:v>3</x:v>
      </x:c>
      <x:c r="J309" s="3" t="n">
        <x:v>3</x:v>
      </x:c>
      <x:c r="K309" s="3" t="n">
        <x:v>6</x:v>
      </x:c>
      <x:c r="L309" s="11" t="n">
        <x:f>J309/K309</x:f>
        <x:v>0.5</x:v>
      </x:c>
    </x:row>
    <x:row r="310" ht="24" customHeight="1">
      <x:c r="A310" s="3" t="n">
        <x:v>90</x:v>
      </x:c>
      <x:c r="B310" s="3" t="n">
        <x:v>126</x:v>
      </x:c>
      <x:c r="C310" s="3" t="str">
        <x:v>1-辛醇</x:v>
      </x:c>
      <x:c r="D310" s="3" t="str">
        <x:v>己酸</x:v>
      </x:c>
      <x:c r="E310" s="3" t="str">
        <x:v>2档×3档</x:v>
      </x:c>
      <x:c r="F310" s="3" t="n">
        <x:f>COUNTIFS('浓度矩阵'!$C$6:$C$355,1,'浓度矩阵'!$R$6:$R$355,"&gt;0",'浓度矩阵'!$X$6:$X$355,"&gt;0")</x:f>
        <x:v>3</x:v>
      </x:c>
      <x:c r="G310" s="3" t="n">
        <x:f>COUNTIFS('浓度矩阵'!$B$6:$B$355,"独立配制重复",'浓度矩阵'!$R$6:$R$355,"&gt;0",'浓度矩阵'!$X$6:$X$355,"&gt;0")</x:f>
        <x:v>0</x:v>
      </x:c>
      <x:c r="H310" s="3" t="n">
        <x:f>COUNTIFS('浓度矩阵'!$B$6:$B$355,"留出验证",'浓度矩阵'!$R$6:$R$355,"&gt;0",'浓度矩阵'!$X$6:$X$355,"&gt;0")</x:f>
        <x:v>0</x:v>
      </x:c>
      <x:c r="I310" s="3" t="n">
        <x:v>3</x:v>
      </x:c>
      <x:c r="J310" s="3" t="n">
        <x:v>3</x:v>
      </x:c>
      <x:c r="K310" s="3" t="n">
        <x:v>6</x:v>
      </x:c>
      <x:c r="L310" s="11" t="n">
        <x:f>J310/K310</x:f>
        <x:v>0.5</x:v>
      </x:c>
    </x:row>
    <x:row r="311" ht="24" customHeight="1">
      <x:c r="A311" s="3" t="n">
        <x:v>90</x:v>
      </x:c>
      <x:c r="B311" s="3" t="n">
        <x:v>136</x:v>
      </x:c>
      <x:c r="C311" s="3" t="str">
        <x:v>1-辛醇</x:v>
      </x:c>
      <x:c r="D311" s="3" t="str">
        <x:v>异戊酸/3-甲基丁酸</x:v>
      </x:c>
      <x:c r="E311" s="3" t="str">
        <x:v>2档×3档</x:v>
      </x:c>
      <x:c r="F311" s="3" t="n">
        <x:f>COUNTIFS('浓度矩阵'!$C$6:$C$355,1,'浓度矩阵'!$R$6:$R$355,"&gt;0",'浓度矩阵'!$Y$6:$Y$355,"&gt;0")</x:f>
        <x:v>3</x:v>
      </x:c>
      <x:c r="G311" s="3" t="n">
        <x:f>COUNTIFS('浓度矩阵'!$B$6:$B$355,"独立配制重复",'浓度矩阵'!$R$6:$R$355,"&gt;0",'浓度矩阵'!$Y$6:$Y$355,"&gt;0")</x:f>
        <x:v>0</x:v>
      </x:c>
      <x:c r="H311" s="3" t="n">
        <x:f>COUNTIFS('浓度矩阵'!$B$6:$B$355,"留出验证",'浓度矩阵'!$R$6:$R$355,"&gt;0",'浓度矩阵'!$Y$6:$Y$355,"&gt;0")</x:f>
        <x:v>1</x:v>
      </x:c>
      <x:c r="I311" s="3" t="n">
        <x:v>3</x:v>
      </x:c>
      <x:c r="J311" s="3" t="n">
        <x:v>3</x:v>
      </x:c>
      <x:c r="K311" s="3" t="n">
        <x:v>6</x:v>
      </x:c>
      <x:c r="L311" s="11" t="n">
        <x:f>J311/K311</x:f>
        <x:v>0.5</x:v>
      </x:c>
    </x:row>
    <x:row r="312" ht="24" customHeight="1">
      <x:c r="A312" s="3" t="n">
        <x:v>90</x:v>
      </x:c>
      <x:c r="B312" s="3" t="n">
        <x:v>141</x:v>
      </x:c>
      <x:c r="C312" s="3" t="str">
        <x:v>1-辛醇</x:v>
      </x:c>
      <x:c r="D312" s="3" t="str">
        <x:v>戊酸乙酯</x:v>
      </x:c>
      <x:c r="E312" s="3" t="str">
        <x:v>2档×3档</x:v>
      </x:c>
      <x:c r="F312" s="3" t="n">
        <x:f>COUNTIFS('浓度矩阵'!$C$6:$C$355,1,'浓度矩阵'!$R$6:$R$355,"&gt;0",'浓度矩阵'!$Z$6:$Z$355,"&gt;0")</x:f>
        <x:v>3</x:v>
      </x:c>
      <x:c r="G312" s="3" t="n">
        <x:f>COUNTIFS('浓度矩阵'!$B$6:$B$355,"独立配制重复",'浓度矩阵'!$R$6:$R$355,"&gt;0",'浓度矩阵'!$Z$6:$Z$355,"&gt;0")</x:f>
        <x:v>0</x:v>
      </x:c>
      <x:c r="H312" s="3" t="n">
        <x:f>COUNTIFS('浓度矩阵'!$B$6:$B$355,"留出验证",'浓度矩阵'!$R$6:$R$355,"&gt;0",'浓度矩阵'!$Z$6:$Z$355,"&gt;0")</x:f>
        <x:v>0</x:v>
      </x:c>
      <x:c r="I312" s="3" t="n">
        <x:v>3</x:v>
      </x:c>
      <x:c r="J312" s="3" t="n">
        <x:v>3</x:v>
      </x:c>
      <x:c r="K312" s="3" t="n">
        <x:v>6</x:v>
      </x:c>
      <x:c r="L312" s="11" t="n">
        <x:f>J312/K312</x:f>
        <x:v>0.5</x:v>
      </x:c>
    </x:row>
    <x:row r="313" ht="24" customHeight="1">
      <x:c r="A313" s="3" t="n">
        <x:v>90</x:v>
      </x:c>
      <x:c r="B313" s="3" t="n">
        <x:v>152</x:v>
      </x:c>
      <x:c r="C313" s="3" t="str">
        <x:v>1-辛醇</x:v>
      </x:c>
      <x:c r="D313" s="3" t="str">
        <x:v>异戊醛</x:v>
      </x:c>
      <x:c r="E313" s="3" t="str">
        <x:v>2档×3档</x:v>
      </x:c>
      <x:c r="F313" s="3" t="n">
        <x:f>COUNTIFS('浓度矩阵'!$C$6:$C$355,1,'浓度矩阵'!$R$6:$R$355,"&gt;0",'浓度矩阵'!$AA$6:$AA$355,"&gt;0")</x:f>
        <x:v>3</x:v>
      </x:c>
      <x:c r="G313" s="3" t="n">
        <x:f>COUNTIFS('浓度矩阵'!$B$6:$B$355,"独立配制重复",'浓度矩阵'!$R$6:$R$355,"&gt;0",'浓度矩阵'!$AA$6:$AA$355,"&gt;0")</x:f>
        <x:v>0</x:v>
      </x:c>
      <x:c r="H313" s="3" t="n">
        <x:f>COUNTIFS('浓度矩阵'!$B$6:$B$355,"留出验证",'浓度矩阵'!$R$6:$R$355,"&gt;0",'浓度矩阵'!$AA$6:$AA$355,"&gt;0")</x:f>
        <x:v>0</x:v>
      </x:c>
      <x:c r="I313" s="3" t="n">
        <x:v>3</x:v>
      </x:c>
      <x:c r="J313" s="3" t="n">
        <x:v>3</x:v>
      </x:c>
      <x:c r="K313" s="3" t="n">
        <x:v>6</x:v>
      </x:c>
      <x:c r="L313" s="11" t="n">
        <x:f>J313/K313</x:f>
        <x:v>0.5</x:v>
      </x:c>
    </x:row>
    <x:row r="314" ht="24" customHeight="1">
      <x:c r="A314" s="3" t="n">
        <x:v>90</x:v>
      </x:c>
      <x:c r="B314" s="3" t="n">
        <x:v>165</x:v>
      </x:c>
      <x:c r="C314" s="3" t="str">
        <x:v>1-辛醇</x:v>
      </x:c>
      <x:c r="D314" s="3" t="str">
        <x:v>己酸丁酯</x:v>
      </x:c>
      <x:c r="E314" s="3" t="str">
        <x:v>2档×2档</x:v>
      </x:c>
      <x:c r="F314" s="3" t="n">
        <x:f>COUNTIFS('浓度矩阵'!$C$6:$C$355,1,'浓度矩阵'!$R$6:$R$355,"&gt;0",'浓度矩阵'!$AB$6:$AB$355,"&gt;0")</x:f>
        <x:v>3</x:v>
      </x:c>
      <x:c r="G314" s="3" t="n">
        <x:f>COUNTIFS('浓度矩阵'!$B$6:$B$355,"独立配制重复",'浓度矩阵'!$R$6:$R$355,"&gt;0",'浓度矩阵'!$AB$6:$AB$355,"&gt;0")</x:f>
        <x:v>0</x:v>
      </x:c>
      <x:c r="H314" s="3" t="n">
        <x:f>COUNTIFS('浓度矩阵'!$B$6:$B$355,"留出验证",'浓度矩阵'!$R$6:$R$355,"&gt;0",'浓度矩阵'!$AB$6:$AB$355,"&gt;0")</x:f>
        <x:v>0</x:v>
      </x:c>
      <x:c r="I314" s="3" t="n">
        <x:v>3</x:v>
      </x:c>
      <x:c r="J314" s="3" t="n">
        <x:v>3</x:v>
      </x:c>
      <x:c r="K314" s="3" t="n">
        <x:v>4</x:v>
      </x:c>
      <x:c r="L314" s="11" t="n">
        <x:f>J314/K314</x:f>
        <x:v>0.75</x:v>
      </x:c>
    </x:row>
    <x:row r="315" ht="24" customHeight="1">
      <x:c r="A315" s="3" t="n">
        <x:v>90</x:v>
      </x:c>
      <x:c r="B315" s="3" t="n">
        <x:v>186</x:v>
      </x:c>
      <x:c r="C315" s="3" t="str">
        <x:v>1-辛醇</x:v>
      </x:c>
      <x:c r="D315" s="3" t="str">
        <x:v>3-苯基丙酸乙酯</x:v>
      </x:c>
      <x:c r="E315" s="3" t="str">
        <x:v>2档×3档</x:v>
      </x:c>
      <x:c r="F315" s="3" t="n">
        <x:f>COUNTIFS('浓度矩阵'!$C$6:$C$355,1,'浓度矩阵'!$R$6:$R$355,"&gt;0",'浓度矩阵'!$AC$6:$AC$355,"&gt;0")</x:f>
        <x:v>3</x:v>
      </x:c>
      <x:c r="G315" s="3" t="n">
        <x:f>COUNTIFS('浓度矩阵'!$B$6:$B$355,"独立配制重复",'浓度矩阵'!$R$6:$R$355,"&gt;0",'浓度矩阵'!$AC$6:$AC$355,"&gt;0")</x:f>
        <x:v>0</x:v>
      </x:c>
      <x:c r="H315" s="3" t="n">
        <x:f>COUNTIFS('浓度矩阵'!$B$6:$B$355,"留出验证",'浓度矩阵'!$R$6:$R$355,"&gt;0",'浓度矩阵'!$AC$6:$AC$355,"&gt;0")</x:f>
        <x:v>0</x:v>
      </x:c>
      <x:c r="I315" s="3" t="n">
        <x:v>3</x:v>
      </x:c>
      <x:c r="J315" s="3" t="n">
        <x:v>3</x:v>
      </x:c>
      <x:c r="K315" s="3" t="n">
        <x:v>6</x:v>
      </x:c>
      <x:c r="L315" s="11" t="n">
        <x:f>J315/K315</x:f>
        <x:v>0.5</x:v>
      </x:c>
    </x:row>
    <x:row r="316" ht="24" customHeight="1">
      <x:c r="A316" s="3" t="n">
        <x:v>90</x:v>
      </x:c>
      <x:c r="B316" s="3" t="n">
        <x:v>207</x:v>
      </x:c>
      <x:c r="C316" s="3" t="str">
        <x:v>1-辛醇</x:v>
      </x:c>
      <x:c r="D316" s="3" t="str">
        <x:v>1-辛烯-3-醇</x:v>
      </x:c>
      <x:c r="E316" s="3" t="str">
        <x:v>2档×3档</x:v>
      </x:c>
      <x:c r="F316" s="3" t="n">
        <x:f>COUNTIFS('浓度矩阵'!$C$6:$C$355,1,'浓度矩阵'!$R$6:$R$355,"&gt;0",'浓度矩阵'!$AD$6:$AD$355,"&gt;0")</x:f>
        <x:v>3</x:v>
      </x:c>
      <x:c r="G316" s="3" t="n">
        <x:f>COUNTIFS('浓度矩阵'!$B$6:$B$355,"独立配制重复",'浓度矩阵'!$R$6:$R$355,"&gt;0",'浓度矩阵'!$AD$6:$AD$355,"&gt;0")</x:f>
        <x:v>0</x:v>
      </x:c>
      <x:c r="H316" s="3" t="n">
        <x:f>COUNTIFS('浓度矩阵'!$B$6:$B$355,"留出验证",'浓度矩阵'!$R$6:$R$355,"&gt;0",'浓度矩阵'!$AD$6:$AD$355,"&gt;0")</x:f>
        <x:v>0</x:v>
      </x:c>
      <x:c r="I316" s="3" t="n">
        <x:v>3</x:v>
      </x:c>
      <x:c r="J316" s="3" t="n">
        <x:v>3</x:v>
      </x:c>
      <x:c r="K316" s="3" t="n">
        <x:v>6</x:v>
      </x:c>
      <x:c r="L316" s="11" t="n">
        <x:f>J316/K316</x:f>
        <x:v>0.5</x:v>
      </x:c>
    </x:row>
    <x:row r="317" ht="24" customHeight="1">
      <x:c r="A317" s="3" t="n">
        <x:v>90</x:v>
      </x:c>
      <x:c r="B317" s="3" t="n">
        <x:v>209</x:v>
      </x:c>
      <x:c r="C317" s="3" t="str">
        <x:v>1-辛醇</x:v>
      </x:c>
      <x:c r="D317" s="3" t="str">
        <x:v>二甲基三硫醚</x:v>
      </x:c>
      <x:c r="E317" s="3" t="str">
        <x:v>2档×3档</x:v>
      </x:c>
      <x:c r="F317" s="3" t="n">
        <x:f>COUNTIFS('浓度矩阵'!$C$6:$C$355,1,'浓度矩阵'!$R$6:$R$355,"&gt;0",'浓度矩阵'!$AE$6:$AE$355,"&gt;0")</x:f>
        <x:v>2</x:v>
      </x:c>
      <x:c r="G317" s="3" t="n">
        <x:f>COUNTIFS('浓度矩阵'!$B$6:$B$355,"独立配制重复",'浓度矩阵'!$R$6:$R$355,"&gt;0",'浓度矩阵'!$AE$6:$AE$355,"&gt;0")</x:f>
        <x:v>0</x:v>
      </x:c>
      <x:c r="H317" s="3" t="n">
        <x:f>COUNTIFS('浓度矩阵'!$B$6:$B$355,"留出验证",'浓度矩阵'!$R$6:$R$355,"&gt;0",'浓度矩阵'!$AE$6:$AE$355,"&gt;0")</x:f>
        <x:v>0</x:v>
      </x:c>
      <x:c r="I317" s="3" t="n">
        <x:v>2</x:v>
      </x:c>
      <x:c r="J317" s="3" t="n">
        <x:v>2</x:v>
      </x:c>
      <x:c r="K317" s="3" t="n">
        <x:v>6</x:v>
      </x:c>
      <x:c r="L317" s="11" t="n">
        <x:f>J317/K317</x:f>
        <x:v>0.3333333333333333</x:v>
      </x:c>
    </x:row>
    <x:row r="318" ht="24" customHeight="1">
      <x:c r="A318" s="3" t="n">
        <x:v>90</x:v>
      </x:c>
      <x:c r="B318" s="3" t="n">
        <x:v>227</x:v>
      </x:c>
      <x:c r="C318" s="3" t="str">
        <x:v>1-辛醇</x:v>
      </x:c>
      <x:c r="D318" s="3" t="str">
        <x:v>己酸己酯</x:v>
      </x:c>
      <x:c r="E318" s="3" t="str">
        <x:v>2档×3档</x:v>
      </x:c>
      <x:c r="F318" s="3" t="n">
        <x:f>COUNTIFS('浓度矩阵'!$C$6:$C$355,1,'浓度矩阵'!$R$6:$R$355,"&gt;0",'浓度矩阵'!$AF$6:$AF$355,"&gt;0")</x:f>
        <x:v>3</x:v>
      </x:c>
      <x:c r="G318" s="3" t="n">
        <x:f>COUNTIFS('浓度矩阵'!$B$6:$B$355,"独立配制重复",'浓度矩阵'!$R$6:$R$355,"&gt;0",'浓度矩阵'!$AF$6:$AF$355,"&gt;0")</x:f>
        <x:v>0</x:v>
      </x:c>
      <x:c r="H318" s="3" t="n">
        <x:f>COUNTIFS('浓度矩阵'!$B$6:$B$355,"留出验证",'浓度矩阵'!$R$6:$R$355,"&gt;0",'浓度矩阵'!$AF$6:$AF$355,"&gt;0")</x:f>
        <x:v>0</x:v>
      </x:c>
      <x:c r="I318" s="3" t="n">
        <x:v>3</x:v>
      </x:c>
      <x:c r="J318" s="3" t="n">
        <x:v>3</x:v>
      </x:c>
      <x:c r="K318" s="3" t="n">
        <x:v>6</x:v>
      </x:c>
      <x:c r="L318" s="11" t="n">
        <x:f>J318/K318</x:f>
        <x:v>0.5</x:v>
      </x:c>
    </x:row>
    <x:row r="319" ht="24" customHeight="1">
      <x:c r="A319" s="3" t="n">
        <x:v>90</x:v>
      </x:c>
      <x:c r="B319" s="3" t="n">
        <x:v>232</x:v>
      </x:c>
      <x:c r="C319" s="3" t="str">
        <x:v>1-辛醇</x:v>
      </x:c>
      <x:c r="D319" s="3" t="str">
        <x:v>2-甲基丁酸乙酯</x:v>
      </x:c>
      <x:c r="E319" s="3" t="str">
        <x:v>2档×3档</x:v>
      </x:c>
      <x:c r="F319" s="3" t="n">
        <x:f>COUNTIFS('浓度矩阵'!$C$6:$C$355,1,'浓度矩阵'!$R$6:$R$355,"&gt;0",'浓度矩阵'!$AG$6:$AG$355,"&gt;0")</x:f>
        <x:v>4</x:v>
      </x:c>
      <x:c r="G319" s="3" t="n">
        <x:f>COUNTIFS('浓度矩阵'!$B$6:$B$355,"独立配制重复",'浓度矩阵'!$R$6:$R$355,"&gt;0",'浓度矩阵'!$AG$6:$AG$355,"&gt;0")</x:f>
        <x:v>0</x:v>
      </x:c>
      <x:c r="H319" s="3" t="n">
        <x:f>COUNTIFS('浓度矩阵'!$B$6:$B$355,"留出验证",'浓度矩阵'!$R$6:$R$355,"&gt;0",'浓度矩阵'!$AG$6:$AG$355,"&gt;0")</x:f>
        <x:v>1</x:v>
      </x:c>
      <x:c r="I319" s="3" t="n">
        <x:v>4</x:v>
      </x:c>
      <x:c r="J319" s="3" t="n">
        <x:v>4</x:v>
      </x:c>
      <x:c r="K319" s="3" t="n">
        <x:v>6</x:v>
      </x:c>
      <x:c r="L319" s="11" t="n">
        <x:f>J319/K319</x:f>
        <x:v>0.6666666666666666</x:v>
      </x:c>
    </x:row>
    <x:row r="320" ht="24" customHeight="1">
      <x:c r="A320" s="3" t="n">
        <x:v>90</x:v>
      </x:c>
      <x:c r="B320" s="3" t="n">
        <x:v>255</x:v>
      </x:c>
      <x:c r="C320" s="3" t="str">
        <x:v>1-辛醇</x:v>
      </x:c>
      <x:c r="D320" s="3" t="str">
        <x:v>β-大马酮</x:v>
      </x:c>
      <x:c r="E320" s="3" t="str">
        <x:v>2档×3档</x:v>
      </x:c>
      <x:c r="F320" s="3" t="n">
        <x:f>COUNTIFS('浓度矩阵'!$C$6:$C$355,1,'浓度矩阵'!$R$6:$R$355,"&gt;0",'浓度矩阵'!$AH$6:$AH$355,"&gt;0")</x:f>
        <x:v>3</x:v>
      </x:c>
      <x:c r="G320" s="3" t="n">
        <x:f>COUNTIFS('浓度矩阵'!$B$6:$B$355,"独立配制重复",'浓度矩阵'!$R$6:$R$355,"&gt;0",'浓度矩阵'!$AH$6:$AH$355,"&gt;0")</x:f>
        <x:v>0</x:v>
      </x:c>
      <x:c r="H320" s="3" t="n">
        <x:f>COUNTIFS('浓度矩阵'!$B$6:$B$355,"留出验证",'浓度矩阵'!$R$6:$R$355,"&gt;0",'浓度矩阵'!$AH$6:$AH$355,"&gt;0")</x:f>
        <x:v>0</x:v>
      </x:c>
      <x:c r="I320" s="3" t="n">
        <x:v>3</x:v>
      </x:c>
      <x:c r="J320" s="3" t="n">
        <x:v>3</x:v>
      </x:c>
      <x:c r="K320" s="3" t="n">
        <x:v>6</x:v>
      </x:c>
      <x:c r="L320" s="11" t="n">
        <x:f>J320/K320</x:f>
        <x:v>0.5</x:v>
      </x:c>
    </x:row>
    <x:row r="321" ht="24" customHeight="1">
      <x:c r="A321" s="3" t="n">
        <x:v>105</x:v>
      </x:c>
      <x:c r="B321" s="3" t="n">
        <x:v>111</x:v>
      </x:c>
      <x:c r="C321" s="3" t="str">
        <x:v>苯乙醛</x:v>
      </x:c>
      <x:c r="D321" s="3" t="str">
        <x:v>己酸乙酯</x:v>
      </x:c>
      <x:c r="E321" s="3" t="str">
        <x:v>3档×3档</x:v>
      </x:c>
      <x:c r="F321" s="3" t="n">
        <x:f>COUNTIFS('浓度矩阵'!$C$6:$C$355,1,'浓度矩阵'!$S$6:$S$355,"&gt;0",'浓度矩阵'!$T$6:$T$355,"&gt;0")</x:f>
        <x:v>3</x:v>
      </x:c>
      <x:c r="G321" s="3" t="n">
        <x:f>COUNTIFS('浓度矩阵'!$B$6:$B$355,"独立配制重复",'浓度矩阵'!$S$6:$S$355,"&gt;0",'浓度矩阵'!$T$6:$T$355,"&gt;0")</x:f>
        <x:v>1</x:v>
      </x:c>
      <x:c r="H321" s="3" t="n">
        <x:f>COUNTIFS('浓度矩阵'!$B$6:$B$355,"留出验证",'浓度矩阵'!$S$6:$S$355,"&gt;0",'浓度矩阵'!$T$6:$T$355,"&gt;0")</x:f>
        <x:v>0</x:v>
      </x:c>
      <x:c r="I321" s="3" t="n">
        <x:v>3</x:v>
      </x:c>
      <x:c r="J321" s="3" t="n">
        <x:v>3</x:v>
      </x:c>
      <x:c r="K321" s="3" t="n">
        <x:v>9</x:v>
      </x:c>
      <x:c r="L321" s="11" t="n">
        <x:f>J321/K321</x:f>
        <x:v>0.3333333333333333</x:v>
      </x:c>
    </x:row>
    <x:row r="322" ht="24" customHeight="1">
      <x:c r="A322" s="3" t="n">
        <x:v>105</x:v>
      </x:c>
      <x:c r="B322" s="3" t="n">
        <x:v>114</x:v>
      </x:c>
      <x:c r="C322" s="3" t="str">
        <x:v>苯乙醛</x:v>
      </x:c>
      <x:c r="D322" s="3" t="str">
        <x:v>乙酸丁酯</x:v>
      </x:c>
      <x:c r="E322" s="3" t="str">
        <x:v>3档×2档</x:v>
      </x:c>
      <x:c r="F322" s="3" t="n">
        <x:f>COUNTIFS('浓度矩阵'!$C$6:$C$355,1,'浓度矩阵'!$S$6:$S$355,"&gt;0",'浓度矩阵'!$U$6:$U$355,"&gt;0")</x:f>
        <x:v>4</x:v>
      </x:c>
      <x:c r="G322" s="3" t="n">
        <x:f>COUNTIFS('浓度矩阵'!$B$6:$B$355,"独立配制重复",'浓度矩阵'!$S$6:$S$355,"&gt;0",'浓度矩阵'!$U$6:$U$355,"&gt;0")</x:f>
        <x:v>0</x:v>
      </x:c>
      <x:c r="H322" s="3" t="n">
        <x:f>COUNTIFS('浓度矩阵'!$B$6:$B$355,"留出验证",'浓度矩阵'!$S$6:$S$355,"&gt;0",'浓度矩阵'!$U$6:$U$355,"&gt;0")</x:f>
        <x:v>0</x:v>
      </x:c>
      <x:c r="I322" s="3" t="n">
        <x:v>4</x:v>
      </x:c>
      <x:c r="J322" s="3" t="n">
        <x:v>4</x:v>
      </x:c>
      <x:c r="K322" s="3" t="n">
        <x:v>6</x:v>
      </x:c>
      <x:c r="L322" s="11" t="n">
        <x:f>J322/K322</x:f>
        <x:v>0.6666666666666666</x:v>
      </x:c>
    </x:row>
    <x:row r="323" ht="24" customHeight="1">
      <x:c r="A323" s="3" t="n">
        <x:v>105</x:v>
      </x:c>
      <x:c r="B323" s="3" t="n">
        <x:v>115</x:v>
      </x:c>
      <x:c r="C323" s="3" t="str">
        <x:v>苯乙醛</x:v>
      </x:c>
      <x:c r="D323" s="3" t="str">
        <x:v>乙酸异戊酯</x:v>
      </x:c>
      <x:c r="E323" s="3" t="str">
        <x:v>3档×3档</x:v>
      </x:c>
      <x:c r="F323" s="3" t="n">
        <x:f>COUNTIFS('浓度矩阵'!$C$6:$C$355,1,'浓度矩阵'!$S$6:$S$355,"&gt;0",'浓度矩阵'!$V$6:$V$355,"&gt;0")</x:f>
        <x:v>3</x:v>
      </x:c>
      <x:c r="G323" s="3" t="n">
        <x:f>COUNTIFS('浓度矩阵'!$B$6:$B$355,"独立配制重复",'浓度矩阵'!$S$6:$S$355,"&gt;0",'浓度矩阵'!$V$6:$V$355,"&gt;0")</x:f>
        <x:v>0</x:v>
      </x:c>
      <x:c r="H323" s="3" t="n">
        <x:f>COUNTIFS('浓度矩阵'!$B$6:$B$355,"留出验证",'浓度矩阵'!$S$6:$S$355,"&gt;0",'浓度矩阵'!$V$6:$V$355,"&gt;0")</x:f>
        <x:v>0</x:v>
      </x:c>
      <x:c r="I323" s="3" t="n">
        <x:v>3</x:v>
      </x:c>
      <x:c r="J323" s="3" t="n">
        <x:v>3</x:v>
      </x:c>
      <x:c r="K323" s="3" t="n">
        <x:v>9</x:v>
      </x:c>
      <x:c r="L323" s="11" t="n">
        <x:f>J323/K323</x:f>
        <x:v>0.3333333333333333</x:v>
      </x:c>
    </x:row>
    <x:row r="324" ht="24" customHeight="1">
      <x:c r="A324" s="3" t="n">
        <x:v>105</x:v>
      </x:c>
      <x:c r="B324" s="3" t="n">
        <x:v>117</x:v>
      </x:c>
      <x:c r="C324" s="3" t="str">
        <x:v>苯乙醛</x:v>
      </x:c>
      <x:c r="D324" s="3" t="str">
        <x:v>辛酸</x:v>
      </x:c>
      <x:c r="E324" s="3" t="str">
        <x:v>3档×3档</x:v>
      </x:c>
      <x:c r="F324" s="3" t="n">
        <x:f>COUNTIFS('浓度矩阵'!$C$6:$C$355,1,'浓度矩阵'!$S$6:$S$355,"&gt;0",'浓度矩阵'!$W$6:$W$355,"&gt;0")</x:f>
        <x:v>3</x:v>
      </x:c>
      <x:c r="G324" s="3" t="n">
        <x:f>COUNTIFS('浓度矩阵'!$B$6:$B$355,"独立配制重复",'浓度矩阵'!$S$6:$S$355,"&gt;0",'浓度矩阵'!$W$6:$W$355,"&gt;0")</x:f>
        <x:v>0</x:v>
      </x:c>
      <x:c r="H324" s="3" t="n">
        <x:f>COUNTIFS('浓度矩阵'!$B$6:$B$355,"留出验证",'浓度矩阵'!$S$6:$S$355,"&gt;0",'浓度矩阵'!$W$6:$W$355,"&gt;0")</x:f>
        <x:v>1</x:v>
      </x:c>
      <x:c r="I324" s="3" t="n">
        <x:v>3</x:v>
      </x:c>
      <x:c r="J324" s="3" t="n">
        <x:v>3</x:v>
      </x:c>
      <x:c r="K324" s="3" t="n">
        <x:v>9</x:v>
      </x:c>
      <x:c r="L324" s="11" t="n">
        <x:f>J324/K324</x:f>
        <x:v>0.3333333333333333</x:v>
      </x:c>
    </x:row>
    <x:row r="325" ht="24" customHeight="1">
      <x:c r="A325" s="3" t="n">
        <x:v>105</x:v>
      </x:c>
      <x:c r="B325" s="3" t="n">
        <x:v>126</x:v>
      </x:c>
      <x:c r="C325" s="3" t="str">
        <x:v>苯乙醛</x:v>
      </x:c>
      <x:c r="D325" s="3" t="str">
        <x:v>己酸</x:v>
      </x:c>
      <x:c r="E325" s="3" t="str">
        <x:v>3档×3档</x:v>
      </x:c>
      <x:c r="F325" s="3" t="n">
        <x:f>COUNTIFS('浓度矩阵'!$C$6:$C$355,1,'浓度矩阵'!$S$6:$S$355,"&gt;0",'浓度矩阵'!$X$6:$X$355,"&gt;0")</x:f>
        <x:v>3</x:v>
      </x:c>
      <x:c r="G325" s="3" t="n">
        <x:f>COUNTIFS('浓度矩阵'!$B$6:$B$355,"独立配制重复",'浓度矩阵'!$S$6:$S$355,"&gt;0",'浓度矩阵'!$X$6:$X$355,"&gt;0")</x:f>
        <x:v>0</x:v>
      </x:c>
      <x:c r="H325" s="3" t="n">
        <x:f>COUNTIFS('浓度矩阵'!$B$6:$B$355,"留出验证",'浓度矩阵'!$S$6:$S$355,"&gt;0",'浓度矩阵'!$X$6:$X$355,"&gt;0")</x:f>
        <x:v>0</x:v>
      </x:c>
      <x:c r="I325" s="3" t="n">
        <x:v>3</x:v>
      </x:c>
      <x:c r="J325" s="3" t="n">
        <x:v>3</x:v>
      </x:c>
      <x:c r="K325" s="3" t="n">
        <x:v>9</x:v>
      </x:c>
      <x:c r="L325" s="11" t="n">
        <x:f>J325/K325</x:f>
        <x:v>0.3333333333333333</x:v>
      </x:c>
    </x:row>
    <x:row r="326" ht="24" customHeight="1">
      <x:c r="A326" s="3" t="n">
        <x:v>105</x:v>
      </x:c>
      <x:c r="B326" s="3" t="n">
        <x:v>136</x:v>
      </x:c>
      <x:c r="C326" s="3" t="str">
        <x:v>苯乙醛</x:v>
      </x:c>
      <x:c r="D326" s="3" t="str">
        <x:v>异戊酸/3-甲基丁酸</x:v>
      </x:c>
      <x:c r="E326" s="3" t="str">
        <x:v>3档×3档</x:v>
      </x:c>
      <x:c r="F326" s="3" t="n">
        <x:f>COUNTIFS('浓度矩阵'!$C$6:$C$355,1,'浓度矩阵'!$S$6:$S$355,"&gt;0",'浓度矩阵'!$Y$6:$Y$355,"&gt;0")</x:f>
        <x:v>3</x:v>
      </x:c>
      <x:c r="G326" s="3" t="n">
        <x:f>COUNTIFS('浓度矩阵'!$B$6:$B$355,"独立配制重复",'浓度矩阵'!$S$6:$S$355,"&gt;0",'浓度矩阵'!$Y$6:$Y$355,"&gt;0")</x:f>
        <x:v>0</x:v>
      </x:c>
      <x:c r="H326" s="3" t="n">
        <x:f>COUNTIFS('浓度矩阵'!$B$6:$B$355,"留出验证",'浓度矩阵'!$S$6:$S$355,"&gt;0",'浓度矩阵'!$Y$6:$Y$355,"&gt;0")</x:f>
        <x:v>0</x:v>
      </x:c>
      <x:c r="I326" s="3" t="n">
        <x:v>3</x:v>
      </x:c>
      <x:c r="J326" s="3" t="n">
        <x:v>3</x:v>
      </x:c>
      <x:c r="K326" s="3" t="n">
        <x:v>9</x:v>
      </x:c>
      <x:c r="L326" s="11" t="n">
        <x:f>J326/K326</x:f>
        <x:v>0.3333333333333333</x:v>
      </x:c>
    </x:row>
    <x:row r="327" ht="24" customHeight="1">
      <x:c r="A327" s="3" t="n">
        <x:v>105</x:v>
      </x:c>
      <x:c r="B327" s="3" t="n">
        <x:v>141</x:v>
      </x:c>
      <x:c r="C327" s="3" t="str">
        <x:v>苯乙醛</x:v>
      </x:c>
      <x:c r="D327" s="3" t="str">
        <x:v>戊酸乙酯</x:v>
      </x:c>
      <x:c r="E327" s="3" t="str">
        <x:v>3档×3档</x:v>
      </x:c>
      <x:c r="F327" s="3" t="n">
        <x:f>COUNTIFS('浓度矩阵'!$C$6:$C$355,1,'浓度矩阵'!$S$6:$S$355,"&gt;0",'浓度矩阵'!$Z$6:$Z$355,"&gt;0")</x:f>
        <x:v>3</x:v>
      </x:c>
      <x:c r="G327" s="3" t="n">
        <x:f>COUNTIFS('浓度矩阵'!$B$6:$B$355,"独立配制重复",'浓度矩阵'!$S$6:$S$355,"&gt;0",'浓度矩阵'!$Z$6:$Z$355,"&gt;0")</x:f>
        <x:v>1</x:v>
      </x:c>
      <x:c r="H327" s="3" t="n">
        <x:f>COUNTIFS('浓度矩阵'!$B$6:$B$355,"留出验证",'浓度矩阵'!$S$6:$S$355,"&gt;0",'浓度矩阵'!$Z$6:$Z$355,"&gt;0")</x:f>
        <x:v>1</x:v>
      </x:c>
      <x:c r="I327" s="3" t="n">
        <x:v>3</x:v>
      </x:c>
      <x:c r="J327" s="3" t="n">
        <x:v>3</x:v>
      </x:c>
      <x:c r="K327" s="3" t="n">
        <x:v>9</x:v>
      </x:c>
      <x:c r="L327" s="11" t="n">
        <x:f>J327/K327</x:f>
        <x:v>0.3333333333333333</x:v>
      </x:c>
    </x:row>
    <x:row r="328" ht="24" customHeight="1">
      <x:c r="A328" s="3" t="n">
        <x:v>105</x:v>
      </x:c>
      <x:c r="B328" s="3" t="n">
        <x:v>152</x:v>
      </x:c>
      <x:c r="C328" s="3" t="str">
        <x:v>苯乙醛</x:v>
      </x:c>
      <x:c r="D328" s="3" t="str">
        <x:v>异戊醛</x:v>
      </x:c>
      <x:c r="E328" s="3" t="str">
        <x:v>3档×3档</x:v>
      </x:c>
      <x:c r="F328" s="3" t="n">
        <x:f>COUNTIFS('浓度矩阵'!$C$6:$C$355,1,'浓度矩阵'!$S$6:$S$355,"&gt;0",'浓度矩阵'!$AA$6:$AA$355,"&gt;0")</x:f>
        <x:v>3</x:v>
      </x:c>
      <x:c r="G328" s="3" t="n">
        <x:f>COUNTIFS('浓度矩阵'!$B$6:$B$355,"独立配制重复",'浓度矩阵'!$S$6:$S$355,"&gt;0",'浓度矩阵'!$AA$6:$AA$355,"&gt;0")</x:f>
        <x:v>0</x:v>
      </x:c>
      <x:c r="H328" s="3" t="n">
        <x:f>COUNTIFS('浓度矩阵'!$B$6:$B$355,"留出验证",'浓度矩阵'!$S$6:$S$355,"&gt;0",'浓度矩阵'!$AA$6:$AA$355,"&gt;0")</x:f>
        <x:v>0</x:v>
      </x:c>
      <x:c r="I328" s="3" t="n">
        <x:v>3</x:v>
      </x:c>
      <x:c r="J328" s="3" t="n">
        <x:v>3</x:v>
      </x:c>
      <x:c r="K328" s="3" t="n">
        <x:v>9</x:v>
      </x:c>
      <x:c r="L328" s="11" t="n">
        <x:f>J328/K328</x:f>
        <x:v>0.3333333333333333</x:v>
      </x:c>
    </x:row>
    <x:row r="329" ht="24" customHeight="1">
      <x:c r="A329" s="3" t="n">
        <x:v>105</x:v>
      </x:c>
      <x:c r="B329" s="3" t="n">
        <x:v>165</x:v>
      </x:c>
      <x:c r="C329" s="3" t="str">
        <x:v>苯乙醛</x:v>
      </x:c>
      <x:c r="D329" s="3" t="str">
        <x:v>己酸丁酯</x:v>
      </x:c>
      <x:c r="E329" s="3" t="str">
        <x:v>3档×2档</x:v>
      </x:c>
      <x:c r="F329" s="3" t="n">
        <x:f>COUNTIFS('浓度矩阵'!$C$6:$C$355,1,'浓度矩阵'!$S$6:$S$355,"&gt;0",'浓度矩阵'!$AB$6:$AB$355,"&gt;0")</x:f>
        <x:v>3</x:v>
      </x:c>
      <x:c r="G329" s="3" t="n">
        <x:f>COUNTIFS('浓度矩阵'!$B$6:$B$355,"独立配制重复",'浓度矩阵'!$S$6:$S$355,"&gt;0",'浓度矩阵'!$AB$6:$AB$355,"&gt;0")</x:f>
        <x:v>0</x:v>
      </x:c>
      <x:c r="H329" s="3" t="n">
        <x:f>COUNTIFS('浓度矩阵'!$B$6:$B$355,"留出验证",'浓度矩阵'!$S$6:$S$355,"&gt;0",'浓度矩阵'!$AB$6:$AB$355,"&gt;0")</x:f>
        <x:v>0</x:v>
      </x:c>
      <x:c r="I329" s="3" t="n">
        <x:v>3</x:v>
      </x:c>
      <x:c r="J329" s="3" t="n">
        <x:v>3</x:v>
      </x:c>
      <x:c r="K329" s="3" t="n">
        <x:v>6</x:v>
      </x:c>
      <x:c r="L329" s="11" t="n">
        <x:f>J329/K329</x:f>
        <x:v>0.5</x:v>
      </x:c>
    </x:row>
    <x:row r="330" ht="24" customHeight="1">
      <x:c r="A330" s="3" t="n">
        <x:v>105</x:v>
      </x:c>
      <x:c r="B330" s="3" t="n">
        <x:v>186</x:v>
      </x:c>
      <x:c r="C330" s="3" t="str">
        <x:v>苯乙醛</x:v>
      </x:c>
      <x:c r="D330" s="3" t="str">
        <x:v>3-苯基丙酸乙酯</x:v>
      </x:c>
      <x:c r="E330" s="3" t="str">
        <x:v>3档×3档</x:v>
      </x:c>
      <x:c r="F330" s="3" t="n">
        <x:f>COUNTIFS('浓度矩阵'!$C$6:$C$355,1,'浓度矩阵'!$S$6:$S$355,"&gt;0",'浓度矩阵'!$AC$6:$AC$355,"&gt;0")</x:f>
        <x:v>3</x:v>
      </x:c>
      <x:c r="G330" s="3" t="n">
        <x:f>COUNTIFS('浓度矩阵'!$B$6:$B$355,"独立配制重复",'浓度矩阵'!$S$6:$S$355,"&gt;0",'浓度矩阵'!$AC$6:$AC$355,"&gt;0")</x:f>
        <x:v>0</x:v>
      </x:c>
      <x:c r="H330" s="3" t="n">
        <x:f>COUNTIFS('浓度矩阵'!$B$6:$B$355,"留出验证",'浓度矩阵'!$S$6:$S$355,"&gt;0",'浓度矩阵'!$AC$6:$AC$355,"&gt;0")</x:f>
        <x:v>2</x:v>
      </x:c>
      <x:c r="I330" s="3" t="n">
        <x:v>3</x:v>
      </x:c>
      <x:c r="J330" s="3" t="n">
        <x:v>3</x:v>
      </x:c>
      <x:c r="K330" s="3" t="n">
        <x:v>9</x:v>
      </x:c>
      <x:c r="L330" s="11" t="n">
        <x:f>J330/K330</x:f>
        <x:v>0.3333333333333333</x:v>
      </x:c>
    </x:row>
    <x:row r="331" ht="24" customHeight="1">
      <x:c r="A331" s="3" t="n">
        <x:v>105</x:v>
      </x:c>
      <x:c r="B331" s="3" t="n">
        <x:v>207</x:v>
      </x:c>
      <x:c r="C331" s="3" t="str">
        <x:v>苯乙醛</x:v>
      </x:c>
      <x:c r="D331" s="3" t="str">
        <x:v>1-辛烯-3-醇</x:v>
      </x:c>
      <x:c r="E331" s="3" t="str">
        <x:v>3档×3档</x:v>
      </x:c>
      <x:c r="F331" s="3" t="n">
        <x:f>COUNTIFS('浓度矩阵'!$C$6:$C$355,1,'浓度矩阵'!$S$6:$S$355,"&gt;0",'浓度矩阵'!$AD$6:$AD$355,"&gt;0")</x:f>
        <x:v>3</x:v>
      </x:c>
      <x:c r="G331" s="3" t="n">
        <x:f>COUNTIFS('浓度矩阵'!$B$6:$B$355,"独立配制重复",'浓度矩阵'!$S$6:$S$355,"&gt;0",'浓度矩阵'!$AD$6:$AD$355,"&gt;0")</x:f>
        <x:v>1</x:v>
      </x:c>
      <x:c r="H331" s="3" t="n">
        <x:f>COUNTIFS('浓度矩阵'!$B$6:$B$355,"留出验证",'浓度矩阵'!$S$6:$S$355,"&gt;0",'浓度矩阵'!$AD$6:$AD$355,"&gt;0")</x:f>
        <x:v>0</x:v>
      </x:c>
      <x:c r="I331" s="3" t="n">
        <x:v>3</x:v>
      </x:c>
      <x:c r="J331" s="3" t="n">
        <x:v>3</x:v>
      </x:c>
      <x:c r="K331" s="3" t="n">
        <x:v>9</x:v>
      </x:c>
      <x:c r="L331" s="11" t="n">
        <x:f>J331/K331</x:f>
        <x:v>0.3333333333333333</x:v>
      </x:c>
    </x:row>
    <x:row r="332" ht="24" customHeight="1">
      <x:c r="A332" s="3" t="n">
        <x:v>105</x:v>
      </x:c>
      <x:c r="B332" s="3" t="n">
        <x:v>209</x:v>
      </x:c>
      <x:c r="C332" s="3" t="str">
        <x:v>苯乙醛</x:v>
      </x:c>
      <x:c r="D332" s="3" t="str">
        <x:v>二甲基三硫醚</x:v>
      </x:c>
      <x:c r="E332" s="3" t="str">
        <x:v>3档×3档</x:v>
      </x:c>
      <x:c r="F332" s="3" t="n">
        <x:f>COUNTIFS('浓度矩阵'!$C$6:$C$355,1,'浓度矩阵'!$S$6:$S$355,"&gt;0",'浓度矩阵'!$AE$6:$AE$355,"&gt;0")</x:f>
        <x:v>3</x:v>
      </x:c>
      <x:c r="G332" s="3" t="n">
        <x:f>COUNTIFS('浓度矩阵'!$B$6:$B$355,"独立配制重复",'浓度矩阵'!$S$6:$S$355,"&gt;0",'浓度矩阵'!$AE$6:$AE$355,"&gt;0")</x:f>
        <x:v>0</x:v>
      </x:c>
      <x:c r="H332" s="3" t="n">
        <x:f>COUNTIFS('浓度矩阵'!$B$6:$B$355,"留出验证",'浓度矩阵'!$S$6:$S$355,"&gt;0",'浓度矩阵'!$AE$6:$AE$355,"&gt;0")</x:f>
        <x:v>0</x:v>
      </x:c>
      <x:c r="I332" s="3" t="n">
        <x:v>3</x:v>
      </x:c>
      <x:c r="J332" s="3" t="n">
        <x:v>3</x:v>
      </x:c>
      <x:c r="K332" s="3" t="n">
        <x:v>9</x:v>
      </x:c>
      <x:c r="L332" s="11" t="n">
        <x:f>J332/K332</x:f>
        <x:v>0.3333333333333333</x:v>
      </x:c>
    </x:row>
    <x:row r="333" ht="24" customHeight="1">
      <x:c r="A333" s="3" t="n">
        <x:v>105</x:v>
      </x:c>
      <x:c r="B333" s="3" t="n">
        <x:v>227</x:v>
      </x:c>
      <x:c r="C333" s="3" t="str">
        <x:v>苯乙醛</x:v>
      </x:c>
      <x:c r="D333" s="3" t="str">
        <x:v>己酸己酯</x:v>
      </x:c>
      <x:c r="E333" s="3" t="str">
        <x:v>3档×3档</x:v>
      </x:c>
      <x:c r="F333" s="3" t="n">
        <x:f>COUNTIFS('浓度矩阵'!$C$6:$C$355,1,'浓度矩阵'!$S$6:$S$355,"&gt;0",'浓度矩阵'!$AF$6:$AF$355,"&gt;0")</x:f>
        <x:v>3</x:v>
      </x:c>
      <x:c r="G333" s="3" t="n">
        <x:f>COUNTIFS('浓度矩阵'!$B$6:$B$355,"独立配制重复",'浓度矩阵'!$S$6:$S$355,"&gt;0",'浓度矩阵'!$AF$6:$AF$355,"&gt;0")</x:f>
        <x:v>0</x:v>
      </x:c>
      <x:c r="H333" s="3" t="n">
        <x:f>COUNTIFS('浓度矩阵'!$B$6:$B$355,"留出验证",'浓度矩阵'!$S$6:$S$355,"&gt;0",'浓度矩阵'!$AF$6:$AF$355,"&gt;0")</x:f>
        <x:v>1</x:v>
      </x:c>
      <x:c r="I333" s="3" t="n">
        <x:v>3</x:v>
      </x:c>
      <x:c r="J333" s="3" t="n">
        <x:v>3</x:v>
      </x:c>
      <x:c r="K333" s="3" t="n">
        <x:v>9</x:v>
      </x:c>
      <x:c r="L333" s="11" t="n">
        <x:f>J333/K333</x:f>
        <x:v>0.3333333333333333</x:v>
      </x:c>
    </x:row>
    <x:row r="334" ht="24" customHeight="1">
      <x:c r="A334" s="3" t="n">
        <x:v>105</x:v>
      </x:c>
      <x:c r="B334" s="3" t="n">
        <x:v>232</x:v>
      </x:c>
      <x:c r="C334" s="3" t="str">
        <x:v>苯乙醛</x:v>
      </x:c>
      <x:c r="D334" s="3" t="str">
        <x:v>2-甲基丁酸乙酯</x:v>
      </x:c>
      <x:c r="E334" s="3" t="str">
        <x:v>3档×3档</x:v>
      </x:c>
      <x:c r="F334" s="3" t="n">
        <x:f>COUNTIFS('浓度矩阵'!$C$6:$C$355,1,'浓度矩阵'!$S$6:$S$355,"&gt;0",'浓度矩阵'!$AG$6:$AG$355,"&gt;0")</x:f>
        <x:v>3</x:v>
      </x:c>
      <x:c r="G334" s="3" t="n">
        <x:f>COUNTIFS('浓度矩阵'!$B$6:$B$355,"独立配制重复",'浓度矩阵'!$S$6:$S$355,"&gt;0",'浓度矩阵'!$AG$6:$AG$355,"&gt;0")</x:f>
        <x:v>0</x:v>
      </x:c>
      <x:c r="H334" s="3" t="n">
        <x:f>COUNTIFS('浓度矩阵'!$B$6:$B$355,"留出验证",'浓度矩阵'!$S$6:$S$355,"&gt;0",'浓度矩阵'!$AG$6:$AG$355,"&gt;0")</x:f>
        <x:v>0</x:v>
      </x:c>
      <x:c r="I334" s="3" t="n">
        <x:v>3</x:v>
      </x:c>
      <x:c r="J334" s="3" t="n">
        <x:v>3</x:v>
      </x:c>
      <x:c r="K334" s="3" t="n">
        <x:v>9</x:v>
      </x:c>
      <x:c r="L334" s="11" t="n">
        <x:f>J334/K334</x:f>
        <x:v>0.3333333333333333</x:v>
      </x:c>
    </x:row>
    <x:row r="335" ht="24" customHeight="1">
      <x:c r="A335" s="3" t="n">
        <x:v>105</x:v>
      </x:c>
      <x:c r="B335" s="3" t="n">
        <x:v>255</x:v>
      </x:c>
      <x:c r="C335" s="3" t="str">
        <x:v>苯乙醛</x:v>
      </x:c>
      <x:c r="D335" s="3" t="str">
        <x:v>β-大马酮</x:v>
      </x:c>
      <x:c r="E335" s="3" t="str">
        <x:v>3档×3档</x:v>
      </x:c>
      <x:c r="F335" s="3" t="n">
        <x:f>COUNTIFS('浓度矩阵'!$C$6:$C$355,1,'浓度矩阵'!$S$6:$S$355,"&gt;0",'浓度矩阵'!$AH$6:$AH$355,"&gt;0")</x:f>
        <x:v>3</x:v>
      </x:c>
      <x:c r="G335" s="3" t="n">
        <x:f>COUNTIFS('浓度矩阵'!$B$6:$B$355,"独立配制重复",'浓度矩阵'!$S$6:$S$355,"&gt;0",'浓度矩阵'!$AH$6:$AH$355,"&gt;0")</x:f>
        <x:v>0</x:v>
      </x:c>
      <x:c r="H335" s="3" t="n">
        <x:f>COUNTIFS('浓度矩阵'!$B$6:$B$355,"留出验证",'浓度矩阵'!$S$6:$S$355,"&gt;0",'浓度矩阵'!$AH$6:$AH$355,"&gt;0")</x:f>
        <x:v>0</x:v>
      </x:c>
      <x:c r="I335" s="3" t="n">
        <x:v>3</x:v>
      </x:c>
      <x:c r="J335" s="3" t="n">
        <x:v>3</x:v>
      </x:c>
      <x:c r="K335" s="3" t="n">
        <x:v>9</x:v>
      </x:c>
      <x:c r="L335" s="11" t="n">
        <x:f>J335/K335</x:f>
        <x:v>0.3333333333333333</x:v>
      </x:c>
    </x:row>
    <x:row r="336" ht="24" customHeight="1">
      <x:c r="A336" s="3" t="n">
        <x:v>111</x:v>
      </x:c>
      <x:c r="B336" s="3" t="n">
        <x:v>114</x:v>
      </x:c>
      <x:c r="C336" s="3" t="str">
        <x:v>己酸乙酯</x:v>
      </x:c>
      <x:c r="D336" s="3" t="str">
        <x:v>乙酸丁酯</x:v>
      </x:c>
      <x:c r="E336" s="3" t="str">
        <x:v>3档×2档</x:v>
      </x:c>
      <x:c r="F336" s="3" t="n">
        <x:f>COUNTIFS('浓度矩阵'!$C$6:$C$355,1,'浓度矩阵'!$T$6:$T$355,"&gt;0",'浓度矩阵'!$U$6:$U$355,"&gt;0")</x:f>
        <x:v>3</x:v>
      </x:c>
      <x:c r="G336" s="3" t="n">
        <x:f>COUNTIFS('浓度矩阵'!$B$6:$B$355,"独立配制重复",'浓度矩阵'!$T$6:$T$355,"&gt;0",'浓度矩阵'!$U$6:$U$355,"&gt;0")</x:f>
        <x:v>0</x:v>
      </x:c>
      <x:c r="H336" s="3" t="n">
        <x:f>COUNTIFS('浓度矩阵'!$B$6:$B$355,"留出验证",'浓度矩阵'!$T$6:$T$355,"&gt;0",'浓度矩阵'!$U$6:$U$355,"&gt;0")</x:f>
        <x:v>0</x:v>
      </x:c>
      <x:c r="I336" s="3" t="n">
        <x:v>3</x:v>
      </x:c>
      <x:c r="J336" s="3" t="n">
        <x:v>3</x:v>
      </x:c>
      <x:c r="K336" s="3" t="n">
        <x:v>6</x:v>
      </x:c>
      <x:c r="L336" s="11" t="n">
        <x:f>J336/K336</x:f>
        <x:v>0.5</x:v>
      </x:c>
    </x:row>
    <x:row r="337" ht="24" customHeight="1">
      <x:c r="A337" s="3" t="n">
        <x:v>111</x:v>
      </x:c>
      <x:c r="B337" s="3" t="n">
        <x:v>115</x:v>
      </x:c>
      <x:c r="C337" s="3" t="str">
        <x:v>己酸乙酯</x:v>
      </x:c>
      <x:c r="D337" s="3" t="str">
        <x:v>乙酸异戊酯</x:v>
      </x:c>
      <x:c r="E337" s="3" t="str">
        <x:v>3档×3档</x:v>
      </x:c>
      <x:c r="F337" s="3" t="n">
        <x:f>COUNTIFS('浓度矩阵'!$C$6:$C$355,1,'浓度矩阵'!$T$6:$T$355,"&gt;0",'浓度矩阵'!$V$6:$V$355,"&gt;0")</x:f>
        <x:v>3</x:v>
      </x:c>
      <x:c r="G337" s="3" t="n">
        <x:f>COUNTIFS('浓度矩阵'!$B$6:$B$355,"独立配制重复",'浓度矩阵'!$T$6:$T$355,"&gt;0",'浓度矩阵'!$V$6:$V$355,"&gt;0")</x:f>
        <x:v>0</x:v>
      </x:c>
      <x:c r="H337" s="3" t="n">
        <x:f>COUNTIFS('浓度矩阵'!$B$6:$B$355,"留出验证",'浓度矩阵'!$T$6:$T$355,"&gt;0",'浓度矩阵'!$V$6:$V$355,"&gt;0")</x:f>
        <x:v>0</x:v>
      </x:c>
      <x:c r="I337" s="3" t="n">
        <x:v>3</x:v>
      </x:c>
      <x:c r="J337" s="3" t="n">
        <x:v>3</x:v>
      </x:c>
      <x:c r="K337" s="3" t="n">
        <x:v>9</x:v>
      </x:c>
      <x:c r="L337" s="11" t="n">
        <x:f>J337/K337</x:f>
        <x:v>0.3333333333333333</x:v>
      </x:c>
    </x:row>
    <x:row r="338" ht="24" customHeight="1">
      <x:c r="A338" s="3" t="n">
        <x:v>111</x:v>
      </x:c>
      <x:c r="B338" s="3" t="n">
        <x:v>117</x:v>
      </x:c>
      <x:c r="C338" s="3" t="str">
        <x:v>己酸乙酯</x:v>
      </x:c>
      <x:c r="D338" s="3" t="str">
        <x:v>辛酸</x:v>
      </x:c>
      <x:c r="E338" s="3" t="str">
        <x:v>3档×3档</x:v>
      </x:c>
      <x:c r="F338" s="3" t="n">
        <x:f>COUNTIFS('浓度矩阵'!$C$6:$C$355,1,'浓度矩阵'!$T$6:$T$355,"&gt;0",'浓度矩阵'!$W$6:$W$355,"&gt;0")</x:f>
        <x:v>3</x:v>
      </x:c>
      <x:c r="G338" s="3" t="n">
        <x:f>COUNTIFS('浓度矩阵'!$B$6:$B$355,"独立配制重复",'浓度矩阵'!$T$6:$T$355,"&gt;0",'浓度矩阵'!$W$6:$W$355,"&gt;0")</x:f>
        <x:v>0</x:v>
      </x:c>
      <x:c r="H338" s="3" t="n">
        <x:f>COUNTIFS('浓度矩阵'!$B$6:$B$355,"留出验证",'浓度矩阵'!$T$6:$T$355,"&gt;0",'浓度矩阵'!$W$6:$W$355,"&gt;0")</x:f>
        <x:v>0</x:v>
      </x:c>
      <x:c r="I338" s="3" t="n">
        <x:v>3</x:v>
      </x:c>
      <x:c r="J338" s="3" t="n">
        <x:v>3</x:v>
      </x:c>
      <x:c r="K338" s="3" t="n">
        <x:v>9</x:v>
      </x:c>
      <x:c r="L338" s="11" t="n">
        <x:f>J338/K338</x:f>
        <x:v>0.3333333333333333</x:v>
      </x:c>
    </x:row>
    <x:row r="339" ht="24" customHeight="1">
      <x:c r="A339" s="3" t="n">
        <x:v>111</x:v>
      </x:c>
      <x:c r="B339" s="3" t="n">
        <x:v>126</x:v>
      </x:c>
      <x:c r="C339" s="3" t="str">
        <x:v>己酸乙酯</x:v>
      </x:c>
      <x:c r="D339" s="3" t="str">
        <x:v>己酸</x:v>
      </x:c>
      <x:c r="E339" s="3" t="str">
        <x:v>3档×3档</x:v>
      </x:c>
      <x:c r="F339" s="3" t="n">
        <x:f>COUNTIFS('浓度矩阵'!$C$6:$C$355,1,'浓度矩阵'!$T$6:$T$355,"&gt;0",'浓度矩阵'!$X$6:$X$355,"&gt;0")</x:f>
        <x:v>3</x:v>
      </x:c>
      <x:c r="G339" s="3" t="n">
        <x:f>COUNTIFS('浓度矩阵'!$B$6:$B$355,"独立配制重复",'浓度矩阵'!$T$6:$T$355,"&gt;0",'浓度矩阵'!$X$6:$X$355,"&gt;0")</x:f>
        <x:v>0</x:v>
      </x:c>
      <x:c r="H339" s="3" t="n">
        <x:f>COUNTIFS('浓度矩阵'!$B$6:$B$355,"留出验证",'浓度矩阵'!$T$6:$T$355,"&gt;0",'浓度矩阵'!$X$6:$X$355,"&gt;0")</x:f>
        <x:v>0</x:v>
      </x:c>
      <x:c r="I339" s="3" t="n">
        <x:v>3</x:v>
      </x:c>
      <x:c r="J339" s="3" t="n">
        <x:v>3</x:v>
      </x:c>
      <x:c r="K339" s="3" t="n">
        <x:v>9</x:v>
      </x:c>
      <x:c r="L339" s="11" t="n">
        <x:f>J339/K339</x:f>
        <x:v>0.3333333333333333</x:v>
      </x:c>
    </x:row>
    <x:row r="340" ht="24" customHeight="1">
      <x:c r="A340" s="3" t="n">
        <x:v>111</x:v>
      </x:c>
      <x:c r="B340" s="3" t="n">
        <x:v>136</x:v>
      </x:c>
      <x:c r="C340" s="3" t="str">
        <x:v>己酸乙酯</x:v>
      </x:c>
      <x:c r="D340" s="3" t="str">
        <x:v>异戊酸/3-甲基丁酸</x:v>
      </x:c>
      <x:c r="E340" s="3" t="str">
        <x:v>3档×3档</x:v>
      </x:c>
      <x:c r="F340" s="3" t="n">
        <x:f>COUNTIFS('浓度矩阵'!$C$6:$C$355,1,'浓度矩阵'!$T$6:$T$355,"&gt;0",'浓度矩阵'!$Y$6:$Y$355,"&gt;0")</x:f>
        <x:v>3</x:v>
      </x:c>
      <x:c r="G340" s="3" t="n">
        <x:f>COUNTIFS('浓度矩阵'!$B$6:$B$355,"独立配制重复",'浓度矩阵'!$T$6:$T$355,"&gt;0",'浓度矩阵'!$Y$6:$Y$355,"&gt;0")</x:f>
        <x:v>0</x:v>
      </x:c>
      <x:c r="H340" s="3" t="n">
        <x:f>COUNTIFS('浓度矩阵'!$B$6:$B$355,"留出验证",'浓度矩阵'!$T$6:$T$355,"&gt;0",'浓度矩阵'!$Y$6:$Y$355,"&gt;0")</x:f>
        <x:v>0</x:v>
      </x:c>
      <x:c r="I340" s="3" t="n">
        <x:v>3</x:v>
      </x:c>
      <x:c r="J340" s="3" t="n">
        <x:v>3</x:v>
      </x:c>
      <x:c r="K340" s="3" t="n">
        <x:v>9</x:v>
      </x:c>
      <x:c r="L340" s="11" t="n">
        <x:f>J340/K340</x:f>
        <x:v>0.3333333333333333</x:v>
      </x:c>
    </x:row>
    <x:row r="341" ht="24" customHeight="1">
      <x:c r="A341" s="3" t="n">
        <x:v>111</x:v>
      </x:c>
      <x:c r="B341" s="3" t="n">
        <x:v>141</x:v>
      </x:c>
      <x:c r="C341" s="3" t="str">
        <x:v>己酸乙酯</x:v>
      </x:c>
      <x:c r="D341" s="3" t="str">
        <x:v>戊酸乙酯</x:v>
      </x:c>
      <x:c r="E341" s="3" t="str">
        <x:v>3档×3档</x:v>
      </x:c>
      <x:c r="F341" s="3" t="n">
        <x:f>COUNTIFS('浓度矩阵'!$C$6:$C$355,1,'浓度矩阵'!$T$6:$T$355,"&gt;0",'浓度矩阵'!$Z$6:$Z$355,"&gt;0")</x:f>
        <x:v>3</x:v>
      </x:c>
      <x:c r="G341" s="3" t="n">
        <x:f>COUNTIFS('浓度矩阵'!$B$6:$B$355,"独立配制重复",'浓度矩阵'!$T$6:$T$355,"&gt;0",'浓度矩阵'!$Z$6:$Z$355,"&gt;0")</x:f>
        <x:v>0</x:v>
      </x:c>
      <x:c r="H341" s="3" t="n">
        <x:f>COUNTIFS('浓度矩阵'!$B$6:$B$355,"留出验证",'浓度矩阵'!$T$6:$T$355,"&gt;0",'浓度矩阵'!$Z$6:$Z$355,"&gt;0")</x:f>
        <x:v>1</x:v>
      </x:c>
      <x:c r="I341" s="3" t="n">
        <x:v>3</x:v>
      </x:c>
      <x:c r="J341" s="3" t="n">
        <x:v>3</x:v>
      </x:c>
      <x:c r="K341" s="3" t="n">
        <x:v>9</x:v>
      </x:c>
      <x:c r="L341" s="11" t="n">
        <x:f>J341/K341</x:f>
        <x:v>0.3333333333333333</x:v>
      </x:c>
    </x:row>
    <x:row r="342" ht="24" customHeight="1">
      <x:c r="A342" s="3" t="n">
        <x:v>111</x:v>
      </x:c>
      <x:c r="B342" s="3" t="n">
        <x:v>152</x:v>
      </x:c>
      <x:c r="C342" s="3" t="str">
        <x:v>己酸乙酯</x:v>
      </x:c>
      <x:c r="D342" s="3" t="str">
        <x:v>异戊醛</x:v>
      </x:c>
      <x:c r="E342" s="3" t="str">
        <x:v>3档×3档</x:v>
      </x:c>
      <x:c r="F342" s="3" t="n">
        <x:f>COUNTIFS('浓度矩阵'!$C$6:$C$355,1,'浓度矩阵'!$T$6:$T$355,"&gt;0",'浓度矩阵'!$AA$6:$AA$355,"&gt;0")</x:f>
        <x:v>3</x:v>
      </x:c>
      <x:c r="G342" s="3" t="n">
        <x:f>COUNTIFS('浓度矩阵'!$B$6:$B$355,"独立配制重复",'浓度矩阵'!$T$6:$T$355,"&gt;0",'浓度矩阵'!$AA$6:$AA$355,"&gt;0")</x:f>
        <x:v>0</x:v>
      </x:c>
      <x:c r="H342" s="3" t="n">
        <x:f>COUNTIFS('浓度矩阵'!$B$6:$B$355,"留出验证",'浓度矩阵'!$T$6:$T$355,"&gt;0",'浓度矩阵'!$AA$6:$AA$355,"&gt;0")</x:f>
        <x:v>0</x:v>
      </x:c>
      <x:c r="I342" s="3" t="n">
        <x:v>3</x:v>
      </x:c>
      <x:c r="J342" s="3" t="n">
        <x:v>3</x:v>
      </x:c>
      <x:c r="K342" s="3" t="n">
        <x:v>9</x:v>
      </x:c>
      <x:c r="L342" s="11" t="n">
        <x:f>J342/K342</x:f>
        <x:v>0.3333333333333333</x:v>
      </x:c>
    </x:row>
    <x:row r="343" ht="24" customHeight="1">
      <x:c r="A343" s="3" t="n">
        <x:v>111</x:v>
      </x:c>
      <x:c r="B343" s="3" t="n">
        <x:v>165</x:v>
      </x:c>
      <x:c r="C343" s="3" t="str">
        <x:v>己酸乙酯</x:v>
      </x:c>
      <x:c r="D343" s="3" t="str">
        <x:v>己酸丁酯</x:v>
      </x:c>
      <x:c r="E343" s="3" t="str">
        <x:v>3档×2档</x:v>
      </x:c>
      <x:c r="F343" s="3" t="n">
        <x:f>COUNTIFS('浓度矩阵'!$C$6:$C$355,1,'浓度矩阵'!$T$6:$T$355,"&gt;0",'浓度矩阵'!$AB$6:$AB$355,"&gt;0")</x:f>
        <x:v>3</x:v>
      </x:c>
      <x:c r="G343" s="3" t="n">
        <x:f>COUNTIFS('浓度矩阵'!$B$6:$B$355,"独立配制重复",'浓度矩阵'!$T$6:$T$355,"&gt;0",'浓度矩阵'!$AB$6:$AB$355,"&gt;0")</x:f>
        <x:v>0</x:v>
      </x:c>
      <x:c r="H343" s="3" t="n">
        <x:f>COUNTIFS('浓度矩阵'!$B$6:$B$355,"留出验证",'浓度矩阵'!$T$6:$T$355,"&gt;0",'浓度矩阵'!$AB$6:$AB$355,"&gt;0")</x:f>
        <x:v>1</x:v>
      </x:c>
      <x:c r="I343" s="3" t="n">
        <x:v>3</x:v>
      </x:c>
      <x:c r="J343" s="3" t="n">
        <x:v>3</x:v>
      </x:c>
      <x:c r="K343" s="3" t="n">
        <x:v>6</x:v>
      </x:c>
      <x:c r="L343" s="11" t="n">
        <x:f>J343/K343</x:f>
        <x:v>0.5</x:v>
      </x:c>
    </x:row>
    <x:row r="344" ht="24" customHeight="1">
      <x:c r="A344" s="3" t="n">
        <x:v>111</x:v>
      </x:c>
      <x:c r="B344" s="3" t="n">
        <x:v>186</x:v>
      </x:c>
      <x:c r="C344" s="3" t="str">
        <x:v>己酸乙酯</x:v>
      </x:c>
      <x:c r="D344" s="3" t="str">
        <x:v>3-苯基丙酸乙酯</x:v>
      </x:c>
      <x:c r="E344" s="3" t="str">
        <x:v>3档×3档</x:v>
      </x:c>
      <x:c r="F344" s="3" t="n">
        <x:f>COUNTIFS('浓度矩阵'!$C$6:$C$355,1,'浓度矩阵'!$T$6:$T$355,"&gt;0",'浓度矩阵'!$AC$6:$AC$355,"&gt;0")</x:f>
        <x:v>3</x:v>
      </x:c>
      <x:c r="G344" s="3" t="n">
        <x:f>COUNTIFS('浓度矩阵'!$B$6:$B$355,"独立配制重复",'浓度矩阵'!$T$6:$T$355,"&gt;0",'浓度矩阵'!$AC$6:$AC$355,"&gt;0")</x:f>
        <x:v>0</x:v>
      </x:c>
      <x:c r="H344" s="3" t="n">
        <x:f>COUNTIFS('浓度矩阵'!$B$6:$B$355,"留出验证",'浓度矩阵'!$T$6:$T$355,"&gt;0",'浓度矩阵'!$AC$6:$AC$355,"&gt;0")</x:f>
        <x:v>1</x:v>
      </x:c>
      <x:c r="I344" s="3" t="n">
        <x:v>3</x:v>
      </x:c>
      <x:c r="J344" s="3" t="n">
        <x:v>3</x:v>
      </x:c>
      <x:c r="K344" s="3" t="n">
        <x:v>9</x:v>
      </x:c>
      <x:c r="L344" s="11" t="n">
        <x:f>J344/K344</x:f>
        <x:v>0.3333333333333333</x:v>
      </x:c>
    </x:row>
    <x:row r="345" ht="24" customHeight="1">
      <x:c r="A345" s="3" t="n">
        <x:v>111</x:v>
      </x:c>
      <x:c r="B345" s="3" t="n">
        <x:v>207</x:v>
      </x:c>
      <x:c r="C345" s="3" t="str">
        <x:v>己酸乙酯</x:v>
      </x:c>
      <x:c r="D345" s="3" t="str">
        <x:v>1-辛烯-3-醇</x:v>
      </x:c>
      <x:c r="E345" s="3" t="str">
        <x:v>3档×3档</x:v>
      </x:c>
      <x:c r="F345" s="3" t="n">
        <x:f>COUNTIFS('浓度矩阵'!$C$6:$C$355,1,'浓度矩阵'!$T$6:$T$355,"&gt;0",'浓度矩阵'!$AD$6:$AD$355,"&gt;0")</x:f>
        <x:v>3</x:v>
      </x:c>
      <x:c r="G345" s="3" t="n">
        <x:f>COUNTIFS('浓度矩阵'!$B$6:$B$355,"独立配制重复",'浓度矩阵'!$T$6:$T$355,"&gt;0",'浓度矩阵'!$AD$6:$AD$355,"&gt;0")</x:f>
        <x:v>1</x:v>
      </x:c>
      <x:c r="H345" s="3" t="n">
        <x:f>COUNTIFS('浓度矩阵'!$B$6:$B$355,"留出验证",'浓度矩阵'!$T$6:$T$355,"&gt;0",'浓度矩阵'!$AD$6:$AD$355,"&gt;0")</x:f>
        <x:v>0</x:v>
      </x:c>
      <x:c r="I345" s="3" t="n">
        <x:v>3</x:v>
      </x:c>
      <x:c r="J345" s="3" t="n">
        <x:v>3</x:v>
      </x:c>
      <x:c r="K345" s="3" t="n">
        <x:v>9</x:v>
      </x:c>
      <x:c r="L345" s="11" t="n">
        <x:f>J345/K345</x:f>
        <x:v>0.3333333333333333</x:v>
      </x:c>
    </x:row>
    <x:row r="346" ht="24" customHeight="1">
      <x:c r="A346" s="3" t="n">
        <x:v>111</x:v>
      </x:c>
      <x:c r="B346" s="3" t="n">
        <x:v>209</x:v>
      </x:c>
      <x:c r="C346" s="3" t="str">
        <x:v>己酸乙酯</x:v>
      </x:c>
      <x:c r="D346" s="3" t="str">
        <x:v>二甲基三硫醚</x:v>
      </x:c>
      <x:c r="E346" s="3" t="str">
        <x:v>3档×3档</x:v>
      </x:c>
      <x:c r="F346" s="3" t="n">
        <x:f>COUNTIFS('浓度矩阵'!$C$6:$C$355,1,'浓度矩阵'!$T$6:$T$355,"&gt;0",'浓度矩阵'!$AE$6:$AE$355,"&gt;0")</x:f>
        <x:v>3</x:v>
      </x:c>
      <x:c r="G346" s="3" t="n">
        <x:f>COUNTIFS('浓度矩阵'!$B$6:$B$355,"独立配制重复",'浓度矩阵'!$T$6:$T$355,"&gt;0",'浓度矩阵'!$AE$6:$AE$355,"&gt;0")</x:f>
        <x:v>0</x:v>
      </x:c>
      <x:c r="H346" s="3" t="n">
        <x:f>COUNTIFS('浓度矩阵'!$B$6:$B$355,"留出验证",'浓度矩阵'!$T$6:$T$355,"&gt;0",'浓度矩阵'!$AE$6:$AE$355,"&gt;0")</x:f>
        <x:v>0</x:v>
      </x:c>
      <x:c r="I346" s="3" t="n">
        <x:v>3</x:v>
      </x:c>
      <x:c r="J346" s="3" t="n">
        <x:v>3</x:v>
      </x:c>
      <x:c r="K346" s="3" t="n">
        <x:v>9</x:v>
      </x:c>
      <x:c r="L346" s="11" t="n">
        <x:f>J346/K346</x:f>
        <x:v>0.3333333333333333</x:v>
      </x:c>
    </x:row>
    <x:row r="347" ht="24" customHeight="1">
      <x:c r="A347" s="3" t="n">
        <x:v>111</x:v>
      </x:c>
      <x:c r="B347" s="3" t="n">
        <x:v>227</x:v>
      </x:c>
      <x:c r="C347" s="3" t="str">
        <x:v>己酸乙酯</x:v>
      </x:c>
      <x:c r="D347" s="3" t="str">
        <x:v>己酸己酯</x:v>
      </x:c>
      <x:c r="E347" s="3" t="str">
        <x:v>3档×3档</x:v>
      </x:c>
      <x:c r="F347" s="3" t="n">
        <x:f>COUNTIFS('浓度矩阵'!$C$6:$C$355,1,'浓度矩阵'!$T$6:$T$355,"&gt;0",'浓度矩阵'!$AF$6:$AF$355,"&gt;0")</x:f>
        <x:v>3</x:v>
      </x:c>
      <x:c r="G347" s="3" t="n">
        <x:f>COUNTIFS('浓度矩阵'!$B$6:$B$355,"独立配制重复",'浓度矩阵'!$T$6:$T$355,"&gt;0",'浓度矩阵'!$AF$6:$AF$355,"&gt;0")</x:f>
        <x:v>0</x:v>
      </x:c>
      <x:c r="H347" s="3" t="n">
        <x:f>COUNTIFS('浓度矩阵'!$B$6:$B$355,"留出验证",'浓度矩阵'!$T$6:$T$355,"&gt;0",'浓度矩阵'!$AF$6:$AF$355,"&gt;0")</x:f>
        <x:v>0</x:v>
      </x:c>
      <x:c r="I347" s="3" t="n">
        <x:v>3</x:v>
      </x:c>
      <x:c r="J347" s="3" t="n">
        <x:v>3</x:v>
      </x:c>
      <x:c r="K347" s="3" t="n">
        <x:v>9</x:v>
      </x:c>
      <x:c r="L347" s="11" t="n">
        <x:f>J347/K347</x:f>
        <x:v>0.3333333333333333</x:v>
      </x:c>
    </x:row>
    <x:row r="348" ht="24" customHeight="1">
      <x:c r="A348" s="3" t="n">
        <x:v>111</x:v>
      </x:c>
      <x:c r="B348" s="3" t="n">
        <x:v>232</x:v>
      </x:c>
      <x:c r="C348" s="3" t="str">
        <x:v>己酸乙酯</x:v>
      </x:c>
      <x:c r="D348" s="3" t="str">
        <x:v>2-甲基丁酸乙酯</x:v>
      </x:c>
      <x:c r="E348" s="3" t="str">
        <x:v>3档×3档</x:v>
      </x:c>
      <x:c r="F348" s="3" t="n">
        <x:f>COUNTIFS('浓度矩阵'!$C$6:$C$355,1,'浓度矩阵'!$T$6:$T$355,"&gt;0",'浓度矩阵'!$AG$6:$AG$355,"&gt;0")</x:f>
        <x:v>3</x:v>
      </x:c>
      <x:c r="G348" s="3" t="n">
        <x:f>COUNTIFS('浓度矩阵'!$B$6:$B$355,"独立配制重复",'浓度矩阵'!$T$6:$T$355,"&gt;0",'浓度矩阵'!$AG$6:$AG$355,"&gt;0")</x:f>
        <x:v>0</x:v>
      </x:c>
      <x:c r="H348" s="3" t="n">
        <x:f>COUNTIFS('浓度矩阵'!$B$6:$B$355,"留出验证",'浓度矩阵'!$T$6:$T$355,"&gt;0",'浓度矩阵'!$AG$6:$AG$355,"&gt;0")</x:f>
        <x:v>1</x:v>
      </x:c>
      <x:c r="I348" s="3" t="n">
        <x:v>3</x:v>
      </x:c>
      <x:c r="J348" s="3" t="n">
        <x:v>3</x:v>
      </x:c>
      <x:c r="K348" s="3" t="n">
        <x:v>9</x:v>
      </x:c>
      <x:c r="L348" s="11" t="n">
        <x:f>J348/K348</x:f>
        <x:v>0.3333333333333333</x:v>
      </x:c>
    </x:row>
    <x:row r="349" ht="24" customHeight="1">
      <x:c r="A349" s="3" t="n">
        <x:v>111</x:v>
      </x:c>
      <x:c r="B349" s="3" t="n">
        <x:v>255</x:v>
      </x:c>
      <x:c r="C349" s="3" t="str">
        <x:v>己酸乙酯</x:v>
      </x:c>
      <x:c r="D349" s="3" t="str">
        <x:v>β-大马酮</x:v>
      </x:c>
      <x:c r="E349" s="3" t="str">
        <x:v>3档×3档</x:v>
      </x:c>
      <x:c r="F349" s="3" t="n">
        <x:f>COUNTIFS('浓度矩阵'!$C$6:$C$355,1,'浓度矩阵'!$T$6:$T$355,"&gt;0",'浓度矩阵'!$AH$6:$AH$355,"&gt;0")</x:f>
        <x:v>4</x:v>
      </x:c>
      <x:c r="G349" s="3" t="n">
        <x:f>COUNTIFS('浓度矩阵'!$B$6:$B$355,"独立配制重复",'浓度矩阵'!$T$6:$T$355,"&gt;0",'浓度矩阵'!$AH$6:$AH$355,"&gt;0")</x:f>
        <x:v>0</x:v>
      </x:c>
      <x:c r="H349" s="3" t="n">
        <x:f>COUNTIFS('浓度矩阵'!$B$6:$B$355,"留出验证",'浓度矩阵'!$T$6:$T$355,"&gt;0",'浓度矩阵'!$AH$6:$AH$355,"&gt;0")</x:f>
        <x:v>0</x:v>
      </x:c>
      <x:c r="I349" s="3" t="n">
        <x:v>4</x:v>
      </x:c>
      <x:c r="J349" s="3" t="n">
        <x:v>4</x:v>
      </x:c>
      <x:c r="K349" s="3" t="n">
        <x:v>9</x:v>
      </x:c>
      <x:c r="L349" s="11" t="n">
        <x:f>J349/K349</x:f>
        <x:v>0.4444444444444444</x:v>
      </x:c>
    </x:row>
    <x:row r="350" ht="24" customHeight="1">
      <x:c r="A350" s="3" t="n">
        <x:v>114</x:v>
      </x:c>
      <x:c r="B350" s="3" t="n">
        <x:v>115</x:v>
      </x:c>
      <x:c r="C350" s="3" t="str">
        <x:v>乙酸丁酯</x:v>
      </x:c>
      <x:c r="D350" s="3" t="str">
        <x:v>乙酸异戊酯</x:v>
      </x:c>
      <x:c r="E350" s="3" t="str">
        <x:v>2档×3档</x:v>
      </x:c>
      <x:c r="F350" s="3" t="n">
        <x:f>COUNTIFS('浓度矩阵'!$C$6:$C$355,1,'浓度矩阵'!$U$6:$U$355,"&gt;0",'浓度矩阵'!$V$6:$V$355,"&gt;0")</x:f>
        <x:v>3</x:v>
      </x:c>
      <x:c r="G350" s="3" t="n">
        <x:f>COUNTIFS('浓度矩阵'!$B$6:$B$355,"独立配制重复",'浓度矩阵'!$U$6:$U$355,"&gt;0",'浓度矩阵'!$V$6:$V$355,"&gt;0")</x:f>
        <x:v>0</x:v>
      </x:c>
      <x:c r="H350" s="3" t="n">
        <x:f>COUNTIFS('浓度矩阵'!$B$6:$B$355,"留出验证",'浓度矩阵'!$U$6:$U$355,"&gt;0",'浓度矩阵'!$V$6:$V$355,"&gt;0")</x:f>
        <x:v>0</x:v>
      </x:c>
      <x:c r="I350" s="3" t="n">
        <x:v>3</x:v>
      </x:c>
      <x:c r="J350" s="3" t="n">
        <x:v>3</x:v>
      </x:c>
      <x:c r="K350" s="3" t="n">
        <x:v>6</x:v>
      </x:c>
      <x:c r="L350" s="11" t="n">
        <x:f>J350/K350</x:f>
        <x:v>0.5</x:v>
      </x:c>
    </x:row>
    <x:row r="351" ht="24" customHeight="1">
      <x:c r="A351" s="3" t="n">
        <x:v>114</x:v>
      </x:c>
      <x:c r="B351" s="3" t="n">
        <x:v>117</x:v>
      </x:c>
      <x:c r="C351" s="3" t="str">
        <x:v>乙酸丁酯</x:v>
      </x:c>
      <x:c r="D351" s="3" t="str">
        <x:v>辛酸</x:v>
      </x:c>
      <x:c r="E351" s="3" t="str">
        <x:v>2档×3档</x:v>
      </x:c>
      <x:c r="F351" s="3" t="n">
        <x:f>COUNTIFS('浓度矩阵'!$C$6:$C$355,1,'浓度矩阵'!$U$6:$U$355,"&gt;0",'浓度矩阵'!$W$6:$W$355,"&gt;0")</x:f>
        <x:v>3</x:v>
      </x:c>
      <x:c r="G351" s="3" t="n">
        <x:f>COUNTIFS('浓度矩阵'!$B$6:$B$355,"独立配制重复",'浓度矩阵'!$U$6:$U$355,"&gt;0",'浓度矩阵'!$W$6:$W$355,"&gt;0")</x:f>
        <x:v>0</x:v>
      </x:c>
      <x:c r="H351" s="3" t="n">
        <x:f>COUNTIFS('浓度矩阵'!$B$6:$B$355,"留出验证",'浓度矩阵'!$U$6:$U$355,"&gt;0",'浓度矩阵'!$W$6:$W$355,"&gt;0")</x:f>
        <x:v>0</x:v>
      </x:c>
      <x:c r="I351" s="3" t="n">
        <x:v>3</x:v>
      </x:c>
      <x:c r="J351" s="3" t="n">
        <x:v>3</x:v>
      </x:c>
      <x:c r="K351" s="3" t="n">
        <x:v>6</x:v>
      </x:c>
      <x:c r="L351" s="11" t="n">
        <x:f>J351/K351</x:f>
        <x:v>0.5</x:v>
      </x:c>
    </x:row>
    <x:row r="352" ht="24" customHeight="1">
      <x:c r="A352" s="3" t="n">
        <x:v>114</x:v>
      </x:c>
      <x:c r="B352" s="3" t="n">
        <x:v>126</x:v>
      </x:c>
      <x:c r="C352" s="3" t="str">
        <x:v>乙酸丁酯</x:v>
      </x:c>
      <x:c r="D352" s="3" t="str">
        <x:v>己酸</x:v>
      </x:c>
      <x:c r="E352" s="3" t="str">
        <x:v>2档×3档</x:v>
      </x:c>
      <x:c r="F352" s="3" t="n">
        <x:f>COUNTIFS('浓度矩阵'!$C$6:$C$355,1,'浓度矩阵'!$U$6:$U$355,"&gt;0",'浓度矩阵'!$X$6:$X$355,"&gt;0")</x:f>
        <x:v>3</x:v>
      </x:c>
      <x:c r="G352" s="3" t="n">
        <x:f>COUNTIFS('浓度矩阵'!$B$6:$B$355,"独立配制重复",'浓度矩阵'!$U$6:$U$355,"&gt;0",'浓度矩阵'!$X$6:$X$355,"&gt;0")</x:f>
        <x:v>0</x:v>
      </x:c>
      <x:c r="H352" s="3" t="n">
        <x:f>COUNTIFS('浓度矩阵'!$B$6:$B$355,"留出验证",'浓度矩阵'!$U$6:$U$355,"&gt;0",'浓度矩阵'!$X$6:$X$355,"&gt;0")</x:f>
        <x:v>1</x:v>
      </x:c>
      <x:c r="I352" s="3" t="n">
        <x:v>3</x:v>
      </x:c>
      <x:c r="J352" s="3" t="n">
        <x:v>3</x:v>
      </x:c>
      <x:c r="K352" s="3" t="n">
        <x:v>6</x:v>
      </x:c>
      <x:c r="L352" s="11" t="n">
        <x:f>J352/K352</x:f>
        <x:v>0.5</x:v>
      </x:c>
    </x:row>
    <x:row r="353" ht="24" customHeight="1">
      <x:c r="A353" s="3" t="n">
        <x:v>114</x:v>
      </x:c>
      <x:c r="B353" s="3" t="n">
        <x:v>136</x:v>
      </x:c>
      <x:c r="C353" s="3" t="str">
        <x:v>乙酸丁酯</x:v>
      </x:c>
      <x:c r="D353" s="3" t="str">
        <x:v>异戊酸/3-甲基丁酸</x:v>
      </x:c>
      <x:c r="E353" s="3" t="str">
        <x:v>2档×3档</x:v>
      </x:c>
      <x:c r="F353" s="3" t="n">
        <x:f>COUNTIFS('浓度矩阵'!$C$6:$C$355,1,'浓度矩阵'!$U$6:$U$355,"&gt;0",'浓度矩阵'!$Y$6:$Y$355,"&gt;0")</x:f>
        <x:v>3</x:v>
      </x:c>
      <x:c r="G353" s="3" t="n">
        <x:f>COUNTIFS('浓度矩阵'!$B$6:$B$355,"独立配制重复",'浓度矩阵'!$U$6:$U$355,"&gt;0",'浓度矩阵'!$Y$6:$Y$355,"&gt;0")</x:f>
        <x:v>0</x:v>
      </x:c>
      <x:c r="H353" s="3" t="n">
        <x:f>COUNTIFS('浓度矩阵'!$B$6:$B$355,"留出验证",'浓度矩阵'!$U$6:$U$355,"&gt;0",'浓度矩阵'!$Y$6:$Y$355,"&gt;0")</x:f>
        <x:v>0</x:v>
      </x:c>
      <x:c r="I353" s="3" t="n">
        <x:v>3</x:v>
      </x:c>
      <x:c r="J353" s="3" t="n">
        <x:v>3</x:v>
      </x:c>
      <x:c r="K353" s="3" t="n">
        <x:v>6</x:v>
      </x:c>
      <x:c r="L353" s="11" t="n">
        <x:f>J353/K353</x:f>
        <x:v>0.5</x:v>
      </x:c>
    </x:row>
    <x:row r="354" ht="24" customHeight="1">
      <x:c r="A354" s="3" t="n">
        <x:v>114</x:v>
      </x:c>
      <x:c r="B354" s="3" t="n">
        <x:v>141</x:v>
      </x:c>
      <x:c r="C354" s="3" t="str">
        <x:v>乙酸丁酯</x:v>
      </x:c>
      <x:c r="D354" s="3" t="str">
        <x:v>戊酸乙酯</x:v>
      </x:c>
      <x:c r="E354" s="3" t="str">
        <x:v>2档×3档</x:v>
      </x:c>
      <x:c r="F354" s="3" t="n">
        <x:f>COUNTIFS('浓度矩阵'!$C$6:$C$355,1,'浓度矩阵'!$U$6:$U$355,"&gt;0",'浓度矩阵'!$Z$6:$Z$355,"&gt;0")</x:f>
        <x:v>3</x:v>
      </x:c>
      <x:c r="G354" s="3" t="n">
        <x:f>COUNTIFS('浓度矩阵'!$B$6:$B$355,"独立配制重复",'浓度矩阵'!$U$6:$U$355,"&gt;0",'浓度矩阵'!$Z$6:$Z$355,"&gt;0")</x:f>
        <x:v>0</x:v>
      </x:c>
      <x:c r="H354" s="3" t="n">
        <x:f>COUNTIFS('浓度矩阵'!$B$6:$B$355,"留出验证",'浓度矩阵'!$U$6:$U$355,"&gt;0",'浓度矩阵'!$Z$6:$Z$355,"&gt;0")</x:f>
        <x:v>0</x:v>
      </x:c>
      <x:c r="I354" s="3" t="n">
        <x:v>3</x:v>
      </x:c>
      <x:c r="J354" s="3" t="n">
        <x:v>3</x:v>
      </x:c>
      <x:c r="K354" s="3" t="n">
        <x:v>6</x:v>
      </x:c>
      <x:c r="L354" s="11" t="n">
        <x:f>J354/K354</x:f>
        <x:v>0.5</x:v>
      </x:c>
    </x:row>
    <x:row r="355" ht="24" customHeight="1">
      <x:c r="A355" s="3" t="n">
        <x:v>114</x:v>
      </x:c>
      <x:c r="B355" s="3" t="n">
        <x:v>152</x:v>
      </x:c>
      <x:c r="C355" s="3" t="str">
        <x:v>乙酸丁酯</x:v>
      </x:c>
      <x:c r="D355" s="3" t="str">
        <x:v>异戊醛</x:v>
      </x:c>
      <x:c r="E355" s="3" t="str">
        <x:v>2档×3档</x:v>
      </x:c>
      <x:c r="F355" s="3" t="n">
        <x:f>COUNTIFS('浓度矩阵'!$C$6:$C$355,1,'浓度矩阵'!$U$6:$U$355,"&gt;0",'浓度矩阵'!$AA$6:$AA$355,"&gt;0")</x:f>
        <x:v>3</x:v>
      </x:c>
      <x:c r="G355" s="3" t="n">
        <x:f>COUNTIFS('浓度矩阵'!$B$6:$B$355,"独立配制重复",'浓度矩阵'!$U$6:$U$355,"&gt;0",'浓度矩阵'!$AA$6:$AA$355,"&gt;0")</x:f>
        <x:v>0</x:v>
      </x:c>
      <x:c r="H355" s="3" t="n">
        <x:f>COUNTIFS('浓度矩阵'!$B$6:$B$355,"留出验证",'浓度矩阵'!$U$6:$U$355,"&gt;0",'浓度矩阵'!$AA$6:$AA$355,"&gt;0")</x:f>
        <x:v>0</x:v>
      </x:c>
      <x:c r="I355" s="3" t="n">
        <x:v>3</x:v>
      </x:c>
      <x:c r="J355" s="3" t="n">
        <x:v>3</x:v>
      </x:c>
      <x:c r="K355" s="3" t="n">
        <x:v>6</x:v>
      </x:c>
      <x:c r="L355" s="11" t="n">
        <x:f>J355/K355</x:f>
        <x:v>0.5</x:v>
      </x:c>
    </x:row>
    <x:row r="356" ht="24" customHeight="1">
      <x:c r="A356" s="3" t="n">
        <x:v>114</x:v>
      </x:c>
      <x:c r="B356" s="3" t="n">
        <x:v>165</x:v>
      </x:c>
      <x:c r="C356" s="3" t="str">
        <x:v>乙酸丁酯</x:v>
      </x:c>
      <x:c r="D356" s="3" t="str">
        <x:v>己酸丁酯</x:v>
      </x:c>
      <x:c r="E356" s="3" t="str">
        <x:v>2档×2档</x:v>
      </x:c>
      <x:c r="F356" s="3" t="n">
        <x:f>COUNTIFS('浓度矩阵'!$C$6:$C$355,1,'浓度矩阵'!$U$6:$U$355,"&gt;0",'浓度矩阵'!$AB$6:$AB$355,"&gt;0")</x:f>
        <x:v>3</x:v>
      </x:c>
      <x:c r="G356" s="3" t="n">
        <x:f>COUNTIFS('浓度矩阵'!$B$6:$B$355,"独立配制重复",'浓度矩阵'!$U$6:$U$355,"&gt;0",'浓度矩阵'!$AB$6:$AB$355,"&gt;0")</x:f>
        <x:v>0</x:v>
      </x:c>
      <x:c r="H356" s="3" t="n">
        <x:f>COUNTIFS('浓度矩阵'!$B$6:$B$355,"留出验证",'浓度矩阵'!$U$6:$U$355,"&gt;0",'浓度矩阵'!$AB$6:$AB$355,"&gt;0")</x:f>
        <x:v>0</x:v>
      </x:c>
      <x:c r="I356" s="3" t="n">
        <x:v>3</x:v>
      </x:c>
      <x:c r="J356" s="3" t="n">
        <x:v>2</x:v>
      </x:c>
      <x:c r="K356" s="3" t="n">
        <x:v>4</x:v>
      </x:c>
      <x:c r="L356" s="11" t="n">
        <x:f>J356/K356</x:f>
        <x:v>0.5</x:v>
      </x:c>
    </x:row>
    <x:row r="357" ht="24" customHeight="1">
      <x:c r="A357" s="3" t="n">
        <x:v>114</x:v>
      </x:c>
      <x:c r="B357" s="3" t="n">
        <x:v>186</x:v>
      </x:c>
      <x:c r="C357" s="3" t="str">
        <x:v>乙酸丁酯</x:v>
      </x:c>
      <x:c r="D357" s="3" t="str">
        <x:v>3-苯基丙酸乙酯</x:v>
      </x:c>
      <x:c r="E357" s="3" t="str">
        <x:v>2档×3档</x:v>
      </x:c>
      <x:c r="F357" s="3" t="n">
        <x:f>COUNTIFS('浓度矩阵'!$C$6:$C$355,1,'浓度矩阵'!$U$6:$U$355,"&gt;0",'浓度矩阵'!$AC$6:$AC$355,"&gt;0")</x:f>
        <x:v>3</x:v>
      </x:c>
      <x:c r="G357" s="3" t="n">
        <x:f>COUNTIFS('浓度矩阵'!$B$6:$B$355,"独立配制重复",'浓度矩阵'!$U$6:$U$355,"&gt;0",'浓度矩阵'!$AC$6:$AC$355,"&gt;0")</x:f>
        <x:v>0</x:v>
      </x:c>
      <x:c r="H357" s="3" t="n">
        <x:f>COUNTIFS('浓度矩阵'!$B$6:$B$355,"留出验证",'浓度矩阵'!$U$6:$U$355,"&gt;0",'浓度矩阵'!$AC$6:$AC$355,"&gt;0")</x:f>
        <x:v>0</x:v>
      </x:c>
      <x:c r="I357" s="3" t="n">
        <x:v>3</x:v>
      </x:c>
      <x:c r="J357" s="3" t="n">
        <x:v>3</x:v>
      </x:c>
      <x:c r="K357" s="3" t="n">
        <x:v>6</x:v>
      </x:c>
      <x:c r="L357" s="11" t="n">
        <x:f>J357/K357</x:f>
        <x:v>0.5</x:v>
      </x:c>
    </x:row>
    <x:row r="358" ht="24" customHeight="1">
      <x:c r="A358" s="3" t="n">
        <x:v>114</x:v>
      </x:c>
      <x:c r="B358" s="3" t="n">
        <x:v>207</x:v>
      </x:c>
      <x:c r="C358" s="3" t="str">
        <x:v>乙酸丁酯</x:v>
      </x:c>
      <x:c r="D358" s="3" t="str">
        <x:v>1-辛烯-3-醇</x:v>
      </x:c>
      <x:c r="E358" s="3" t="str">
        <x:v>2档×3档</x:v>
      </x:c>
      <x:c r="F358" s="3" t="n">
        <x:f>COUNTIFS('浓度矩阵'!$C$6:$C$355,1,'浓度矩阵'!$U$6:$U$355,"&gt;0",'浓度矩阵'!$AD$6:$AD$355,"&gt;0")</x:f>
        <x:v>3</x:v>
      </x:c>
      <x:c r="G358" s="3" t="n">
        <x:f>COUNTIFS('浓度矩阵'!$B$6:$B$355,"独立配制重复",'浓度矩阵'!$U$6:$U$355,"&gt;0",'浓度矩阵'!$AD$6:$AD$355,"&gt;0")</x:f>
        <x:v>0</x:v>
      </x:c>
      <x:c r="H358" s="3" t="n">
        <x:f>COUNTIFS('浓度矩阵'!$B$6:$B$355,"留出验证",'浓度矩阵'!$U$6:$U$355,"&gt;0",'浓度矩阵'!$AD$6:$AD$355,"&gt;0")</x:f>
        <x:v>0</x:v>
      </x:c>
      <x:c r="I358" s="3" t="n">
        <x:v>3</x:v>
      </x:c>
      <x:c r="J358" s="3" t="n">
        <x:v>3</x:v>
      </x:c>
      <x:c r="K358" s="3" t="n">
        <x:v>6</x:v>
      </x:c>
      <x:c r="L358" s="11" t="n">
        <x:f>J358/K358</x:f>
        <x:v>0.5</x:v>
      </x:c>
    </x:row>
    <x:row r="359" ht="24" customHeight="1">
      <x:c r="A359" s="3" t="n">
        <x:v>114</x:v>
      </x:c>
      <x:c r="B359" s="3" t="n">
        <x:v>209</x:v>
      </x:c>
      <x:c r="C359" s="3" t="str">
        <x:v>乙酸丁酯</x:v>
      </x:c>
      <x:c r="D359" s="3" t="str">
        <x:v>二甲基三硫醚</x:v>
      </x:c>
      <x:c r="E359" s="3" t="str">
        <x:v>2档×3档</x:v>
      </x:c>
      <x:c r="F359" s="3" t="n">
        <x:f>COUNTIFS('浓度矩阵'!$C$6:$C$355,1,'浓度矩阵'!$U$6:$U$355,"&gt;0",'浓度矩阵'!$AE$6:$AE$355,"&gt;0")</x:f>
        <x:v>3</x:v>
      </x:c>
      <x:c r="G359" s="3" t="n">
        <x:f>COUNTIFS('浓度矩阵'!$B$6:$B$355,"独立配制重复",'浓度矩阵'!$U$6:$U$355,"&gt;0",'浓度矩阵'!$AE$6:$AE$355,"&gt;0")</x:f>
        <x:v>0</x:v>
      </x:c>
      <x:c r="H359" s="3" t="n">
        <x:f>COUNTIFS('浓度矩阵'!$B$6:$B$355,"留出验证",'浓度矩阵'!$U$6:$U$355,"&gt;0",'浓度矩阵'!$AE$6:$AE$355,"&gt;0")</x:f>
        <x:v>0</x:v>
      </x:c>
      <x:c r="I359" s="3" t="n">
        <x:v>3</x:v>
      </x:c>
      <x:c r="J359" s="3" t="n">
        <x:v>3</x:v>
      </x:c>
      <x:c r="K359" s="3" t="n">
        <x:v>6</x:v>
      </x:c>
      <x:c r="L359" s="11" t="n">
        <x:f>J359/K359</x:f>
        <x:v>0.5</x:v>
      </x:c>
    </x:row>
    <x:row r="360" ht="24" customHeight="1">
      <x:c r="A360" s="3" t="n">
        <x:v>114</x:v>
      </x:c>
      <x:c r="B360" s="3" t="n">
        <x:v>227</x:v>
      </x:c>
      <x:c r="C360" s="3" t="str">
        <x:v>乙酸丁酯</x:v>
      </x:c>
      <x:c r="D360" s="3" t="str">
        <x:v>己酸己酯</x:v>
      </x:c>
      <x:c r="E360" s="3" t="str">
        <x:v>2档×3档</x:v>
      </x:c>
      <x:c r="F360" s="3" t="n">
        <x:f>COUNTIFS('浓度矩阵'!$C$6:$C$355,1,'浓度矩阵'!$U$6:$U$355,"&gt;0",'浓度矩阵'!$AF$6:$AF$355,"&gt;0")</x:f>
        <x:v>3</x:v>
      </x:c>
      <x:c r="G360" s="3" t="n">
        <x:f>COUNTIFS('浓度矩阵'!$B$6:$B$355,"独立配制重复",'浓度矩阵'!$U$6:$U$355,"&gt;0",'浓度矩阵'!$AF$6:$AF$355,"&gt;0")</x:f>
        <x:v>0</x:v>
      </x:c>
      <x:c r="H360" s="3" t="n">
        <x:f>COUNTIFS('浓度矩阵'!$B$6:$B$355,"留出验证",'浓度矩阵'!$U$6:$U$355,"&gt;0",'浓度矩阵'!$AF$6:$AF$355,"&gt;0")</x:f>
        <x:v>0</x:v>
      </x:c>
      <x:c r="I360" s="3" t="n">
        <x:v>3</x:v>
      </x:c>
      <x:c r="J360" s="3" t="n">
        <x:v>3</x:v>
      </x:c>
      <x:c r="K360" s="3" t="n">
        <x:v>6</x:v>
      </x:c>
      <x:c r="L360" s="11" t="n">
        <x:f>J360/K360</x:f>
        <x:v>0.5</x:v>
      </x:c>
    </x:row>
    <x:row r="361" ht="24" customHeight="1">
      <x:c r="A361" s="3" t="n">
        <x:v>114</x:v>
      </x:c>
      <x:c r="B361" s="3" t="n">
        <x:v>232</x:v>
      </x:c>
      <x:c r="C361" s="3" t="str">
        <x:v>乙酸丁酯</x:v>
      </x:c>
      <x:c r="D361" s="3" t="str">
        <x:v>2-甲基丁酸乙酯</x:v>
      </x:c>
      <x:c r="E361" s="3" t="str">
        <x:v>2档×3档</x:v>
      </x:c>
      <x:c r="F361" s="3" t="n">
        <x:f>COUNTIFS('浓度矩阵'!$C$6:$C$355,1,'浓度矩阵'!$U$6:$U$355,"&gt;0",'浓度矩阵'!$AG$6:$AG$355,"&gt;0")</x:f>
        <x:v>3</x:v>
      </x:c>
      <x:c r="G361" s="3" t="n">
        <x:f>COUNTIFS('浓度矩阵'!$B$6:$B$355,"独立配制重复",'浓度矩阵'!$U$6:$U$355,"&gt;0",'浓度矩阵'!$AG$6:$AG$355,"&gt;0")</x:f>
        <x:v>0</x:v>
      </x:c>
      <x:c r="H361" s="3" t="n">
        <x:f>COUNTIFS('浓度矩阵'!$B$6:$B$355,"留出验证",'浓度矩阵'!$U$6:$U$355,"&gt;0",'浓度矩阵'!$AG$6:$AG$355,"&gt;0")</x:f>
        <x:v>1</x:v>
      </x:c>
      <x:c r="I361" s="3" t="n">
        <x:v>3</x:v>
      </x:c>
      <x:c r="J361" s="3" t="n">
        <x:v>3</x:v>
      </x:c>
      <x:c r="K361" s="3" t="n">
        <x:v>6</x:v>
      </x:c>
      <x:c r="L361" s="11" t="n">
        <x:f>J361/K361</x:f>
        <x:v>0.5</x:v>
      </x:c>
    </x:row>
    <x:row r="362" ht="24" customHeight="1">
      <x:c r="A362" s="3" t="n">
        <x:v>114</x:v>
      </x:c>
      <x:c r="B362" s="3" t="n">
        <x:v>255</x:v>
      </x:c>
      <x:c r="C362" s="3" t="str">
        <x:v>乙酸丁酯</x:v>
      </x:c>
      <x:c r="D362" s="3" t="str">
        <x:v>β-大马酮</x:v>
      </x:c>
      <x:c r="E362" s="3" t="str">
        <x:v>2档×3档</x:v>
      </x:c>
      <x:c r="F362" s="3" t="n">
        <x:f>COUNTIFS('浓度矩阵'!$C$6:$C$355,1,'浓度矩阵'!$U$6:$U$355,"&gt;0",'浓度矩阵'!$AH$6:$AH$355,"&gt;0")</x:f>
        <x:v>3</x:v>
      </x:c>
      <x:c r="G362" s="3" t="n">
        <x:f>COUNTIFS('浓度矩阵'!$B$6:$B$355,"独立配制重复",'浓度矩阵'!$U$6:$U$355,"&gt;0",'浓度矩阵'!$AH$6:$AH$355,"&gt;0")</x:f>
        <x:v>0</x:v>
      </x:c>
      <x:c r="H362" s="3" t="n">
        <x:f>COUNTIFS('浓度矩阵'!$B$6:$B$355,"留出验证",'浓度矩阵'!$U$6:$U$355,"&gt;0",'浓度矩阵'!$AH$6:$AH$355,"&gt;0")</x:f>
        <x:v>2</x:v>
      </x:c>
      <x:c r="I362" s="3" t="n">
        <x:v>3</x:v>
      </x:c>
      <x:c r="J362" s="3" t="n">
        <x:v>3</x:v>
      </x:c>
      <x:c r="K362" s="3" t="n">
        <x:v>6</x:v>
      </x:c>
      <x:c r="L362" s="11" t="n">
        <x:f>J362/K362</x:f>
        <x:v>0.5</x:v>
      </x:c>
    </x:row>
    <x:row r="363" ht="24" customHeight="1">
      <x:c r="A363" s="3" t="n">
        <x:v>115</x:v>
      </x:c>
      <x:c r="B363" s="3" t="n">
        <x:v>117</x:v>
      </x:c>
      <x:c r="C363" s="3" t="str">
        <x:v>乙酸异戊酯</x:v>
      </x:c>
      <x:c r="D363" s="3" t="str">
        <x:v>辛酸</x:v>
      </x:c>
      <x:c r="E363" s="3" t="str">
        <x:v>3档×3档</x:v>
      </x:c>
      <x:c r="F363" s="3" t="n">
        <x:f>COUNTIFS('浓度矩阵'!$C$6:$C$355,1,'浓度矩阵'!$V$6:$V$355,"&gt;0",'浓度矩阵'!$W$6:$W$355,"&gt;0")</x:f>
        <x:v>3</x:v>
      </x:c>
      <x:c r="G363" s="3" t="n">
        <x:f>COUNTIFS('浓度矩阵'!$B$6:$B$355,"独立配制重复",'浓度矩阵'!$V$6:$V$355,"&gt;0",'浓度矩阵'!$W$6:$W$355,"&gt;0")</x:f>
        <x:v>0</x:v>
      </x:c>
      <x:c r="H363" s="3" t="n">
        <x:f>COUNTIFS('浓度矩阵'!$B$6:$B$355,"留出验证",'浓度矩阵'!$V$6:$V$355,"&gt;0",'浓度矩阵'!$W$6:$W$355,"&gt;0")</x:f>
        <x:v>2</x:v>
      </x:c>
      <x:c r="I363" s="3" t="n">
        <x:v>3</x:v>
      </x:c>
      <x:c r="J363" s="3" t="n">
        <x:v>3</x:v>
      </x:c>
      <x:c r="K363" s="3" t="n">
        <x:v>9</x:v>
      </x:c>
      <x:c r="L363" s="11" t="n">
        <x:f>J363/K363</x:f>
        <x:v>0.3333333333333333</x:v>
      </x:c>
    </x:row>
    <x:row r="364" ht="24" customHeight="1">
      <x:c r="A364" s="3" t="n">
        <x:v>115</x:v>
      </x:c>
      <x:c r="B364" s="3" t="n">
        <x:v>126</x:v>
      </x:c>
      <x:c r="C364" s="3" t="str">
        <x:v>乙酸异戊酯</x:v>
      </x:c>
      <x:c r="D364" s="3" t="str">
        <x:v>己酸</x:v>
      </x:c>
      <x:c r="E364" s="3" t="str">
        <x:v>3档×3档</x:v>
      </x:c>
      <x:c r="F364" s="3" t="n">
        <x:f>COUNTIFS('浓度矩阵'!$C$6:$C$355,1,'浓度矩阵'!$V$6:$V$355,"&gt;0",'浓度矩阵'!$X$6:$X$355,"&gt;0")</x:f>
        <x:v>3</x:v>
      </x:c>
      <x:c r="G364" s="3" t="n">
        <x:f>COUNTIFS('浓度矩阵'!$B$6:$B$355,"独立配制重复",'浓度矩阵'!$V$6:$V$355,"&gt;0",'浓度矩阵'!$X$6:$X$355,"&gt;0")</x:f>
        <x:v>0</x:v>
      </x:c>
      <x:c r="H364" s="3" t="n">
        <x:f>COUNTIFS('浓度矩阵'!$B$6:$B$355,"留出验证",'浓度矩阵'!$V$6:$V$355,"&gt;0",'浓度矩阵'!$X$6:$X$355,"&gt;0")</x:f>
        <x:v>0</x:v>
      </x:c>
      <x:c r="I364" s="3" t="n">
        <x:v>3</x:v>
      </x:c>
      <x:c r="J364" s="3" t="n">
        <x:v>3</x:v>
      </x:c>
      <x:c r="K364" s="3" t="n">
        <x:v>9</x:v>
      </x:c>
      <x:c r="L364" s="11" t="n">
        <x:f>J364/K364</x:f>
        <x:v>0.3333333333333333</x:v>
      </x:c>
    </x:row>
    <x:row r="365" ht="24" customHeight="1">
      <x:c r="A365" s="3" t="n">
        <x:v>115</x:v>
      </x:c>
      <x:c r="B365" s="3" t="n">
        <x:v>136</x:v>
      </x:c>
      <x:c r="C365" s="3" t="str">
        <x:v>乙酸异戊酯</x:v>
      </x:c>
      <x:c r="D365" s="3" t="str">
        <x:v>异戊酸/3-甲基丁酸</x:v>
      </x:c>
      <x:c r="E365" s="3" t="str">
        <x:v>3档×3档</x:v>
      </x:c>
      <x:c r="F365" s="3" t="n">
        <x:f>COUNTIFS('浓度矩阵'!$C$6:$C$355,1,'浓度矩阵'!$V$6:$V$355,"&gt;0",'浓度矩阵'!$Y$6:$Y$355,"&gt;0")</x:f>
        <x:v>3</x:v>
      </x:c>
      <x:c r="G365" s="3" t="n">
        <x:f>COUNTIFS('浓度矩阵'!$B$6:$B$355,"独立配制重复",'浓度矩阵'!$V$6:$V$355,"&gt;0",'浓度矩阵'!$Y$6:$Y$355,"&gt;0")</x:f>
        <x:v>0</x:v>
      </x:c>
      <x:c r="H365" s="3" t="n">
        <x:f>COUNTIFS('浓度矩阵'!$B$6:$B$355,"留出验证",'浓度矩阵'!$V$6:$V$355,"&gt;0",'浓度矩阵'!$Y$6:$Y$355,"&gt;0")</x:f>
        <x:v>0</x:v>
      </x:c>
      <x:c r="I365" s="3" t="n">
        <x:v>3</x:v>
      </x:c>
      <x:c r="J365" s="3" t="n">
        <x:v>3</x:v>
      </x:c>
      <x:c r="K365" s="3" t="n">
        <x:v>9</x:v>
      </x:c>
      <x:c r="L365" s="11" t="n">
        <x:f>J365/K365</x:f>
        <x:v>0.3333333333333333</x:v>
      </x:c>
    </x:row>
    <x:row r="366" ht="24" customHeight="1">
      <x:c r="A366" s="3" t="n">
        <x:v>115</x:v>
      </x:c>
      <x:c r="B366" s="3" t="n">
        <x:v>141</x:v>
      </x:c>
      <x:c r="C366" s="3" t="str">
        <x:v>乙酸异戊酯</x:v>
      </x:c>
      <x:c r="D366" s="3" t="str">
        <x:v>戊酸乙酯</x:v>
      </x:c>
      <x:c r="E366" s="3" t="str">
        <x:v>3档×3档</x:v>
      </x:c>
      <x:c r="F366" s="3" t="n">
        <x:f>COUNTIFS('浓度矩阵'!$C$6:$C$355,1,'浓度矩阵'!$V$6:$V$355,"&gt;0",'浓度矩阵'!$Z$6:$Z$355,"&gt;0")</x:f>
        <x:v>3</x:v>
      </x:c>
      <x:c r="G366" s="3" t="n">
        <x:f>COUNTIFS('浓度矩阵'!$B$6:$B$355,"独立配制重复",'浓度矩阵'!$V$6:$V$355,"&gt;0",'浓度矩阵'!$Z$6:$Z$355,"&gt;0")</x:f>
        <x:v>1</x:v>
      </x:c>
      <x:c r="H366" s="3" t="n">
        <x:f>COUNTIFS('浓度矩阵'!$B$6:$B$355,"留出验证",'浓度矩阵'!$V$6:$V$355,"&gt;0",'浓度矩阵'!$Z$6:$Z$355,"&gt;0")</x:f>
        <x:v>1</x:v>
      </x:c>
      <x:c r="I366" s="3" t="n">
        <x:v>3</x:v>
      </x:c>
      <x:c r="J366" s="3" t="n">
        <x:v>3</x:v>
      </x:c>
      <x:c r="K366" s="3" t="n">
        <x:v>9</x:v>
      </x:c>
      <x:c r="L366" s="11" t="n">
        <x:f>J366/K366</x:f>
        <x:v>0.3333333333333333</x:v>
      </x:c>
    </x:row>
    <x:row r="367" ht="24" customHeight="1">
      <x:c r="A367" s="3" t="n">
        <x:v>115</x:v>
      </x:c>
      <x:c r="B367" s="3" t="n">
        <x:v>152</x:v>
      </x:c>
      <x:c r="C367" s="3" t="str">
        <x:v>乙酸异戊酯</x:v>
      </x:c>
      <x:c r="D367" s="3" t="str">
        <x:v>异戊醛</x:v>
      </x:c>
      <x:c r="E367" s="3" t="str">
        <x:v>3档×3档</x:v>
      </x:c>
      <x:c r="F367" s="3" t="n">
        <x:f>COUNTIFS('浓度矩阵'!$C$6:$C$355,1,'浓度矩阵'!$V$6:$V$355,"&gt;0",'浓度矩阵'!$AA$6:$AA$355,"&gt;0")</x:f>
        <x:v>4</x:v>
      </x:c>
      <x:c r="G367" s="3" t="n">
        <x:f>COUNTIFS('浓度矩阵'!$B$6:$B$355,"独立配制重复",'浓度矩阵'!$V$6:$V$355,"&gt;0",'浓度矩阵'!$AA$6:$AA$355,"&gt;0")</x:f>
        <x:v>2</x:v>
      </x:c>
      <x:c r="H367" s="3" t="n">
        <x:f>COUNTIFS('浓度矩阵'!$B$6:$B$355,"留出验证",'浓度矩阵'!$V$6:$V$355,"&gt;0",'浓度矩阵'!$AA$6:$AA$355,"&gt;0")</x:f>
        <x:v>0</x:v>
      </x:c>
      <x:c r="I367" s="3" t="n">
        <x:v>4</x:v>
      </x:c>
      <x:c r="J367" s="3" t="n">
        <x:v>4</x:v>
      </x:c>
      <x:c r="K367" s="3" t="n">
        <x:v>9</x:v>
      </x:c>
      <x:c r="L367" s="11" t="n">
        <x:f>J367/K367</x:f>
        <x:v>0.4444444444444444</x:v>
      </x:c>
    </x:row>
    <x:row r="368" ht="24" customHeight="1">
      <x:c r="A368" s="3" t="n">
        <x:v>115</x:v>
      </x:c>
      <x:c r="B368" s="3" t="n">
        <x:v>165</x:v>
      </x:c>
      <x:c r="C368" s="3" t="str">
        <x:v>乙酸异戊酯</x:v>
      </x:c>
      <x:c r="D368" s="3" t="str">
        <x:v>己酸丁酯</x:v>
      </x:c>
      <x:c r="E368" s="3" t="str">
        <x:v>3档×2档</x:v>
      </x:c>
      <x:c r="F368" s="3" t="n">
        <x:f>COUNTIFS('浓度矩阵'!$C$6:$C$355,1,'浓度矩阵'!$V$6:$V$355,"&gt;0",'浓度矩阵'!$AB$6:$AB$355,"&gt;0")</x:f>
        <x:v>3</x:v>
      </x:c>
      <x:c r="G368" s="3" t="n">
        <x:f>COUNTIFS('浓度矩阵'!$B$6:$B$355,"独立配制重复",'浓度矩阵'!$V$6:$V$355,"&gt;0",'浓度矩阵'!$AB$6:$AB$355,"&gt;0")</x:f>
        <x:v>0</x:v>
      </x:c>
      <x:c r="H368" s="3" t="n">
        <x:f>COUNTIFS('浓度矩阵'!$B$6:$B$355,"留出验证",'浓度矩阵'!$V$6:$V$355,"&gt;0",'浓度矩阵'!$AB$6:$AB$355,"&gt;0")</x:f>
        <x:v>0</x:v>
      </x:c>
      <x:c r="I368" s="3" t="n">
        <x:v>3</x:v>
      </x:c>
      <x:c r="J368" s="3" t="n">
        <x:v>3</x:v>
      </x:c>
      <x:c r="K368" s="3" t="n">
        <x:v>6</x:v>
      </x:c>
      <x:c r="L368" s="11" t="n">
        <x:f>J368/K368</x:f>
        <x:v>0.5</x:v>
      </x:c>
    </x:row>
    <x:row r="369" ht="24" customHeight="1">
      <x:c r="A369" s="3" t="n">
        <x:v>115</x:v>
      </x:c>
      <x:c r="B369" s="3" t="n">
        <x:v>186</x:v>
      </x:c>
      <x:c r="C369" s="3" t="str">
        <x:v>乙酸异戊酯</x:v>
      </x:c>
      <x:c r="D369" s="3" t="str">
        <x:v>3-苯基丙酸乙酯</x:v>
      </x:c>
      <x:c r="E369" s="3" t="str">
        <x:v>3档×3档</x:v>
      </x:c>
      <x:c r="F369" s="3" t="n">
        <x:f>COUNTIFS('浓度矩阵'!$C$6:$C$355,1,'浓度矩阵'!$V$6:$V$355,"&gt;0",'浓度矩阵'!$AC$6:$AC$355,"&gt;0")</x:f>
        <x:v>3</x:v>
      </x:c>
      <x:c r="G369" s="3" t="n">
        <x:f>COUNTIFS('浓度矩阵'!$B$6:$B$355,"独立配制重复",'浓度矩阵'!$V$6:$V$355,"&gt;0",'浓度矩阵'!$AC$6:$AC$355,"&gt;0")</x:f>
        <x:v>1</x:v>
      </x:c>
      <x:c r="H369" s="3" t="n">
        <x:f>COUNTIFS('浓度矩阵'!$B$6:$B$355,"留出验证",'浓度矩阵'!$V$6:$V$355,"&gt;0",'浓度矩阵'!$AC$6:$AC$355,"&gt;0")</x:f>
        <x:v>0</x:v>
      </x:c>
      <x:c r="I369" s="3" t="n">
        <x:v>3</x:v>
      </x:c>
      <x:c r="J369" s="3" t="n">
        <x:v>3</x:v>
      </x:c>
      <x:c r="K369" s="3" t="n">
        <x:v>9</x:v>
      </x:c>
      <x:c r="L369" s="11" t="n">
        <x:f>J369/K369</x:f>
        <x:v>0.3333333333333333</x:v>
      </x:c>
    </x:row>
    <x:row r="370" ht="24" customHeight="1">
      <x:c r="A370" s="3" t="n">
        <x:v>115</x:v>
      </x:c>
      <x:c r="B370" s="3" t="n">
        <x:v>207</x:v>
      </x:c>
      <x:c r="C370" s="3" t="str">
        <x:v>乙酸异戊酯</x:v>
      </x:c>
      <x:c r="D370" s="3" t="str">
        <x:v>1-辛烯-3-醇</x:v>
      </x:c>
      <x:c r="E370" s="3" t="str">
        <x:v>3档×3档</x:v>
      </x:c>
      <x:c r="F370" s="3" t="n">
        <x:f>COUNTIFS('浓度矩阵'!$C$6:$C$355,1,'浓度矩阵'!$V$6:$V$355,"&gt;0",'浓度矩阵'!$AD$6:$AD$355,"&gt;0")</x:f>
        <x:v>3</x:v>
      </x:c>
      <x:c r="G370" s="3" t="n">
        <x:f>COUNTIFS('浓度矩阵'!$B$6:$B$355,"独立配制重复",'浓度矩阵'!$V$6:$V$355,"&gt;0",'浓度矩阵'!$AD$6:$AD$355,"&gt;0")</x:f>
        <x:v>0</x:v>
      </x:c>
      <x:c r="H370" s="3" t="n">
        <x:f>COUNTIFS('浓度矩阵'!$B$6:$B$355,"留出验证",'浓度矩阵'!$V$6:$V$355,"&gt;0",'浓度矩阵'!$AD$6:$AD$355,"&gt;0")</x:f>
        <x:v>0</x:v>
      </x:c>
      <x:c r="I370" s="3" t="n">
        <x:v>3</x:v>
      </x:c>
      <x:c r="J370" s="3" t="n">
        <x:v>3</x:v>
      </x:c>
      <x:c r="K370" s="3" t="n">
        <x:v>9</x:v>
      </x:c>
      <x:c r="L370" s="11" t="n">
        <x:f>J370/K370</x:f>
        <x:v>0.3333333333333333</x:v>
      </x:c>
    </x:row>
    <x:row r="371" ht="24" customHeight="1">
      <x:c r="A371" s="3" t="n">
        <x:v>115</x:v>
      </x:c>
      <x:c r="B371" s="3" t="n">
        <x:v>209</x:v>
      </x:c>
      <x:c r="C371" s="3" t="str">
        <x:v>乙酸异戊酯</x:v>
      </x:c>
      <x:c r="D371" s="3" t="str">
        <x:v>二甲基三硫醚</x:v>
      </x:c>
      <x:c r="E371" s="3" t="str">
        <x:v>3档×3档</x:v>
      </x:c>
      <x:c r="F371" s="3" t="n">
        <x:f>COUNTIFS('浓度矩阵'!$C$6:$C$355,1,'浓度矩阵'!$V$6:$V$355,"&gt;0",'浓度矩阵'!$AE$6:$AE$355,"&gt;0")</x:f>
        <x:v>3</x:v>
      </x:c>
      <x:c r="G371" s="3" t="n">
        <x:f>COUNTIFS('浓度矩阵'!$B$6:$B$355,"独立配制重复",'浓度矩阵'!$V$6:$V$355,"&gt;0",'浓度矩阵'!$AE$6:$AE$355,"&gt;0")</x:f>
        <x:v>0</x:v>
      </x:c>
      <x:c r="H371" s="3" t="n">
        <x:f>COUNTIFS('浓度矩阵'!$B$6:$B$355,"留出验证",'浓度矩阵'!$V$6:$V$355,"&gt;0",'浓度矩阵'!$AE$6:$AE$355,"&gt;0")</x:f>
        <x:v>0</x:v>
      </x:c>
      <x:c r="I371" s="3" t="n">
        <x:v>3</x:v>
      </x:c>
      <x:c r="J371" s="3" t="n">
        <x:v>3</x:v>
      </x:c>
      <x:c r="K371" s="3" t="n">
        <x:v>9</x:v>
      </x:c>
      <x:c r="L371" s="11" t="n">
        <x:f>J371/K371</x:f>
        <x:v>0.3333333333333333</x:v>
      </x:c>
    </x:row>
    <x:row r="372" ht="24" customHeight="1">
      <x:c r="A372" s="3" t="n">
        <x:v>115</x:v>
      </x:c>
      <x:c r="B372" s="3" t="n">
        <x:v>227</x:v>
      </x:c>
      <x:c r="C372" s="3" t="str">
        <x:v>乙酸异戊酯</x:v>
      </x:c>
      <x:c r="D372" s="3" t="str">
        <x:v>己酸己酯</x:v>
      </x:c>
      <x:c r="E372" s="3" t="str">
        <x:v>3档×3档</x:v>
      </x:c>
      <x:c r="F372" s="3" t="n">
        <x:f>COUNTIFS('浓度矩阵'!$C$6:$C$355,1,'浓度矩阵'!$V$6:$V$355,"&gt;0",'浓度矩阵'!$AF$6:$AF$355,"&gt;0")</x:f>
        <x:v>3</x:v>
      </x:c>
      <x:c r="G372" s="3" t="n">
        <x:f>COUNTIFS('浓度矩阵'!$B$6:$B$355,"独立配制重复",'浓度矩阵'!$V$6:$V$355,"&gt;0",'浓度矩阵'!$AF$6:$AF$355,"&gt;0")</x:f>
        <x:v>1</x:v>
      </x:c>
      <x:c r="H372" s="3" t="n">
        <x:f>COUNTIFS('浓度矩阵'!$B$6:$B$355,"留出验证",'浓度矩阵'!$V$6:$V$355,"&gt;0",'浓度矩阵'!$AF$6:$AF$355,"&gt;0")</x:f>
        <x:v>0</x:v>
      </x:c>
      <x:c r="I372" s="3" t="n">
        <x:v>3</x:v>
      </x:c>
      <x:c r="J372" s="3" t="n">
        <x:v>3</x:v>
      </x:c>
      <x:c r="K372" s="3" t="n">
        <x:v>9</x:v>
      </x:c>
      <x:c r="L372" s="11" t="n">
        <x:f>J372/K372</x:f>
        <x:v>0.3333333333333333</x:v>
      </x:c>
    </x:row>
    <x:row r="373" ht="24" customHeight="1">
      <x:c r="A373" s="3" t="n">
        <x:v>115</x:v>
      </x:c>
      <x:c r="B373" s="3" t="n">
        <x:v>232</x:v>
      </x:c>
      <x:c r="C373" s="3" t="str">
        <x:v>乙酸异戊酯</x:v>
      </x:c>
      <x:c r="D373" s="3" t="str">
        <x:v>2-甲基丁酸乙酯</x:v>
      </x:c>
      <x:c r="E373" s="3" t="str">
        <x:v>3档×3档</x:v>
      </x:c>
      <x:c r="F373" s="3" t="n">
        <x:f>COUNTIFS('浓度矩阵'!$C$6:$C$355,1,'浓度矩阵'!$V$6:$V$355,"&gt;0",'浓度矩阵'!$AG$6:$AG$355,"&gt;0")</x:f>
        <x:v>4</x:v>
      </x:c>
      <x:c r="G373" s="3" t="n">
        <x:f>COUNTIFS('浓度矩阵'!$B$6:$B$355,"独立配制重复",'浓度矩阵'!$V$6:$V$355,"&gt;0",'浓度矩阵'!$AG$6:$AG$355,"&gt;0")</x:f>
        <x:v>1</x:v>
      </x:c>
      <x:c r="H373" s="3" t="n">
        <x:f>COUNTIFS('浓度矩阵'!$B$6:$B$355,"留出验证",'浓度矩阵'!$V$6:$V$355,"&gt;0",'浓度矩阵'!$AG$6:$AG$355,"&gt;0")</x:f>
        <x:v>0</x:v>
      </x:c>
      <x:c r="I373" s="3" t="n">
        <x:v>4</x:v>
      </x:c>
      <x:c r="J373" s="3" t="n">
        <x:v>4</x:v>
      </x:c>
      <x:c r="K373" s="3" t="n">
        <x:v>9</x:v>
      </x:c>
      <x:c r="L373" s="11" t="n">
        <x:f>J373/K373</x:f>
        <x:v>0.4444444444444444</x:v>
      </x:c>
    </x:row>
    <x:row r="374" ht="24" customHeight="1">
      <x:c r="A374" s="3" t="n">
        <x:v>115</x:v>
      </x:c>
      <x:c r="B374" s="3" t="n">
        <x:v>255</x:v>
      </x:c>
      <x:c r="C374" s="3" t="str">
        <x:v>乙酸异戊酯</x:v>
      </x:c>
      <x:c r="D374" s="3" t="str">
        <x:v>β-大马酮</x:v>
      </x:c>
      <x:c r="E374" s="3" t="str">
        <x:v>3档×3档</x:v>
      </x:c>
      <x:c r="F374" s="3" t="n">
        <x:f>COUNTIFS('浓度矩阵'!$C$6:$C$355,1,'浓度矩阵'!$V$6:$V$355,"&gt;0",'浓度矩阵'!$AH$6:$AH$355,"&gt;0")</x:f>
        <x:v>4</x:v>
      </x:c>
      <x:c r="G374" s="3" t="n">
        <x:f>COUNTIFS('浓度矩阵'!$B$6:$B$355,"独立配制重复",'浓度矩阵'!$V$6:$V$355,"&gt;0",'浓度矩阵'!$AH$6:$AH$355,"&gt;0")</x:f>
        <x:v>0</x:v>
      </x:c>
      <x:c r="H374" s="3" t="n">
        <x:f>COUNTIFS('浓度矩阵'!$B$6:$B$355,"留出验证",'浓度矩阵'!$V$6:$V$355,"&gt;0",'浓度矩阵'!$AH$6:$AH$355,"&gt;0")</x:f>
        <x:v>0</x:v>
      </x:c>
      <x:c r="I374" s="3" t="n">
        <x:v>4</x:v>
      </x:c>
      <x:c r="J374" s="3" t="n">
        <x:v>4</x:v>
      </x:c>
      <x:c r="K374" s="3" t="n">
        <x:v>9</x:v>
      </x:c>
      <x:c r="L374" s="11" t="n">
        <x:f>J374/K374</x:f>
        <x:v>0.4444444444444444</x:v>
      </x:c>
    </x:row>
    <x:row r="375" ht="24" customHeight="1">
      <x:c r="A375" s="3" t="n">
        <x:v>117</x:v>
      </x:c>
      <x:c r="B375" s="3" t="n">
        <x:v>126</x:v>
      </x:c>
      <x:c r="C375" s="3" t="str">
        <x:v>辛酸</x:v>
      </x:c>
      <x:c r="D375" s="3" t="str">
        <x:v>己酸</x:v>
      </x:c>
      <x:c r="E375" s="3" t="str">
        <x:v>3档×3档</x:v>
      </x:c>
      <x:c r="F375" s="3" t="n">
        <x:f>COUNTIFS('浓度矩阵'!$C$6:$C$355,1,'浓度矩阵'!$W$6:$W$355,"&gt;0",'浓度矩阵'!$X$6:$X$355,"&gt;0")</x:f>
        <x:v>3</x:v>
      </x:c>
      <x:c r="G375" s="3" t="n">
        <x:f>COUNTIFS('浓度矩阵'!$B$6:$B$355,"独立配制重复",'浓度矩阵'!$W$6:$W$355,"&gt;0",'浓度矩阵'!$X$6:$X$355,"&gt;0")</x:f>
        <x:v>0</x:v>
      </x:c>
      <x:c r="H375" s="3" t="n">
        <x:f>COUNTIFS('浓度矩阵'!$B$6:$B$355,"留出验证",'浓度矩阵'!$W$6:$W$355,"&gt;0",'浓度矩阵'!$X$6:$X$355,"&gt;0")</x:f>
        <x:v>1</x:v>
      </x:c>
      <x:c r="I375" s="3" t="n">
        <x:v>3</x:v>
      </x:c>
      <x:c r="J375" s="3" t="n">
        <x:v>3</x:v>
      </x:c>
      <x:c r="K375" s="3" t="n">
        <x:v>9</x:v>
      </x:c>
      <x:c r="L375" s="11" t="n">
        <x:f>J375/K375</x:f>
        <x:v>0.3333333333333333</x:v>
      </x:c>
    </x:row>
    <x:row r="376" ht="24" customHeight="1">
      <x:c r="A376" s="3" t="n">
        <x:v>117</x:v>
      </x:c>
      <x:c r="B376" s="3" t="n">
        <x:v>136</x:v>
      </x:c>
      <x:c r="C376" s="3" t="str">
        <x:v>辛酸</x:v>
      </x:c>
      <x:c r="D376" s="3" t="str">
        <x:v>异戊酸/3-甲基丁酸</x:v>
      </x:c>
      <x:c r="E376" s="3" t="str">
        <x:v>3档×3档</x:v>
      </x:c>
      <x:c r="F376" s="3" t="n">
        <x:f>COUNTIFS('浓度矩阵'!$C$6:$C$355,1,'浓度矩阵'!$W$6:$W$355,"&gt;0",'浓度矩阵'!$Y$6:$Y$355,"&gt;0")</x:f>
        <x:v>3</x:v>
      </x:c>
      <x:c r="G376" s="3" t="n">
        <x:f>COUNTIFS('浓度矩阵'!$B$6:$B$355,"独立配制重复",'浓度矩阵'!$W$6:$W$355,"&gt;0",'浓度矩阵'!$Y$6:$Y$355,"&gt;0")</x:f>
        <x:v>0</x:v>
      </x:c>
      <x:c r="H376" s="3" t="n">
        <x:f>COUNTIFS('浓度矩阵'!$B$6:$B$355,"留出验证",'浓度矩阵'!$W$6:$W$355,"&gt;0",'浓度矩阵'!$Y$6:$Y$355,"&gt;0")</x:f>
        <x:v>0</x:v>
      </x:c>
      <x:c r="I376" s="3" t="n">
        <x:v>3</x:v>
      </x:c>
      <x:c r="J376" s="3" t="n">
        <x:v>3</x:v>
      </x:c>
      <x:c r="K376" s="3" t="n">
        <x:v>9</x:v>
      </x:c>
      <x:c r="L376" s="11" t="n">
        <x:f>J376/K376</x:f>
        <x:v>0.3333333333333333</x:v>
      </x:c>
    </x:row>
    <x:row r="377" ht="24" customHeight="1">
      <x:c r="A377" s="3" t="n">
        <x:v>117</x:v>
      </x:c>
      <x:c r="B377" s="3" t="n">
        <x:v>141</x:v>
      </x:c>
      <x:c r="C377" s="3" t="str">
        <x:v>辛酸</x:v>
      </x:c>
      <x:c r="D377" s="3" t="str">
        <x:v>戊酸乙酯</x:v>
      </x:c>
      <x:c r="E377" s="3" t="str">
        <x:v>3档×3档</x:v>
      </x:c>
      <x:c r="F377" s="3" t="n">
        <x:f>COUNTIFS('浓度矩阵'!$C$6:$C$355,1,'浓度矩阵'!$W$6:$W$355,"&gt;0",'浓度矩阵'!$Z$6:$Z$355,"&gt;0")</x:f>
        <x:v>3</x:v>
      </x:c>
      <x:c r="G377" s="3" t="n">
        <x:f>COUNTIFS('浓度矩阵'!$B$6:$B$355,"独立配制重复",'浓度矩阵'!$W$6:$W$355,"&gt;0",'浓度矩阵'!$Z$6:$Z$355,"&gt;0")</x:f>
        <x:v>0</x:v>
      </x:c>
      <x:c r="H377" s="3" t="n">
        <x:f>COUNTIFS('浓度矩阵'!$B$6:$B$355,"留出验证",'浓度矩阵'!$W$6:$W$355,"&gt;0",'浓度矩阵'!$Z$6:$Z$355,"&gt;0")</x:f>
        <x:v>1</x:v>
      </x:c>
      <x:c r="I377" s="3" t="n">
        <x:v>3</x:v>
      </x:c>
      <x:c r="J377" s="3" t="n">
        <x:v>3</x:v>
      </x:c>
      <x:c r="K377" s="3" t="n">
        <x:v>9</x:v>
      </x:c>
      <x:c r="L377" s="11" t="n">
        <x:f>J377/K377</x:f>
        <x:v>0.3333333333333333</x:v>
      </x:c>
    </x:row>
    <x:row r="378" ht="24" customHeight="1">
      <x:c r="A378" s="3" t="n">
        <x:v>117</x:v>
      </x:c>
      <x:c r="B378" s="3" t="n">
        <x:v>152</x:v>
      </x:c>
      <x:c r="C378" s="3" t="str">
        <x:v>辛酸</x:v>
      </x:c>
      <x:c r="D378" s="3" t="str">
        <x:v>异戊醛</x:v>
      </x:c>
      <x:c r="E378" s="3" t="str">
        <x:v>3档×3档</x:v>
      </x:c>
      <x:c r="F378" s="3" t="n">
        <x:f>COUNTIFS('浓度矩阵'!$C$6:$C$355,1,'浓度矩阵'!$W$6:$W$355,"&gt;0",'浓度矩阵'!$AA$6:$AA$355,"&gt;0")</x:f>
        <x:v>3</x:v>
      </x:c>
      <x:c r="G378" s="3" t="n">
        <x:f>COUNTIFS('浓度矩阵'!$B$6:$B$355,"独立配制重复",'浓度矩阵'!$W$6:$W$355,"&gt;0",'浓度矩阵'!$AA$6:$AA$355,"&gt;0")</x:f>
        <x:v>0</x:v>
      </x:c>
      <x:c r="H378" s="3" t="n">
        <x:f>COUNTIFS('浓度矩阵'!$B$6:$B$355,"留出验证",'浓度矩阵'!$W$6:$W$355,"&gt;0",'浓度矩阵'!$AA$6:$AA$355,"&gt;0")</x:f>
        <x:v>0</x:v>
      </x:c>
      <x:c r="I378" s="3" t="n">
        <x:v>3</x:v>
      </x:c>
      <x:c r="J378" s="3" t="n">
        <x:v>3</x:v>
      </x:c>
      <x:c r="K378" s="3" t="n">
        <x:v>9</x:v>
      </x:c>
      <x:c r="L378" s="11" t="n">
        <x:f>J378/K378</x:f>
        <x:v>0.3333333333333333</x:v>
      </x:c>
    </x:row>
    <x:row r="379" ht="24" customHeight="1">
      <x:c r="A379" s="3" t="n">
        <x:v>117</x:v>
      </x:c>
      <x:c r="B379" s="3" t="n">
        <x:v>165</x:v>
      </x:c>
      <x:c r="C379" s="3" t="str">
        <x:v>辛酸</x:v>
      </x:c>
      <x:c r="D379" s="3" t="str">
        <x:v>己酸丁酯</x:v>
      </x:c>
      <x:c r="E379" s="3" t="str">
        <x:v>3档×2档</x:v>
      </x:c>
      <x:c r="F379" s="3" t="n">
        <x:f>COUNTIFS('浓度矩阵'!$C$6:$C$355,1,'浓度矩阵'!$W$6:$W$355,"&gt;0",'浓度矩阵'!$AB$6:$AB$355,"&gt;0")</x:f>
        <x:v>3</x:v>
      </x:c>
      <x:c r="G379" s="3" t="n">
        <x:f>COUNTIFS('浓度矩阵'!$B$6:$B$355,"独立配制重复",'浓度矩阵'!$W$6:$W$355,"&gt;0",'浓度矩阵'!$AB$6:$AB$355,"&gt;0")</x:f>
        <x:v>0</x:v>
      </x:c>
      <x:c r="H379" s="3" t="n">
        <x:f>COUNTIFS('浓度矩阵'!$B$6:$B$355,"留出验证",'浓度矩阵'!$W$6:$W$355,"&gt;0",'浓度矩阵'!$AB$6:$AB$355,"&gt;0")</x:f>
        <x:v>0</x:v>
      </x:c>
      <x:c r="I379" s="3" t="n">
        <x:v>3</x:v>
      </x:c>
      <x:c r="J379" s="3" t="n">
        <x:v>3</x:v>
      </x:c>
      <x:c r="K379" s="3" t="n">
        <x:v>6</x:v>
      </x:c>
      <x:c r="L379" s="11" t="n">
        <x:f>J379/K379</x:f>
        <x:v>0.5</x:v>
      </x:c>
    </x:row>
    <x:row r="380" ht="24" customHeight="1">
      <x:c r="A380" s="3" t="n">
        <x:v>117</x:v>
      </x:c>
      <x:c r="B380" s="3" t="n">
        <x:v>186</x:v>
      </x:c>
      <x:c r="C380" s="3" t="str">
        <x:v>辛酸</x:v>
      </x:c>
      <x:c r="D380" s="3" t="str">
        <x:v>3-苯基丙酸乙酯</x:v>
      </x:c>
      <x:c r="E380" s="3" t="str">
        <x:v>3档×3档</x:v>
      </x:c>
      <x:c r="F380" s="3" t="n">
        <x:f>COUNTIFS('浓度矩阵'!$C$6:$C$355,1,'浓度矩阵'!$W$6:$W$355,"&gt;0",'浓度矩阵'!$AC$6:$AC$355,"&gt;0")</x:f>
        <x:v>3</x:v>
      </x:c>
      <x:c r="G380" s="3" t="n">
        <x:f>COUNTIFS('浓度矩阵'!$B$6:$B$355,"独立配制重复",'浓度矩阵'!$W$6:$W$355,"&gt;0",'浓度矩阵'!$AC$6:$AC$355,"&gt;0")</x:f>
        <x:v>1</x:v>
      </x:c>
      <x:c r="H380" s="3" t="n">
        <x:f>COUNTIFS('浓度矩阵'!$B$6:$B$355,"留出验证",'浓度矩阵'!$W$6:$W$355,"&gt;0",'浓度矩阵'!$AC$6:$AC$355,"&gt;0")</x:f>
        <x:v>1</x:v>
      </x:c>
      <x:c r="I380" s="3" t="n">
        <x:v>3</x:v>
      </x:c>
      <x:c r="J380" s="3" t="n">
        <x:v>3</x:v>
      </x:c>
      <x:c r="K380" s="3" t="n">
        <x:v>9</x:v>
      </x:c>
      <x:c r="L380" s="11" t="n">
        <x:f>J380/K380</x:f>
        <x:v>0.3333333333333333</x:v>
      </x:c>
    </x:row>
    <x:row r="381" ht="24" customHeight="1">
      <x:c r="A381" s="3" t="n">
        <x:v>117</x:v>
      </x:c>
      <x:c r="B381" s="3" t="n">
        <x:v>207</x:v>
      </x:c>
      <x:c r="C381" s="3" t="str">
        <x:v>辛酸</x:v>
      </x:c>
      <x:c r="D381" s="3" t="str">
        <x:v>1-辛烯-3-醇</x:v>
      </x:c>
      <x:c r="E381" s="3" t="str">
        <x:v>3档×3档</x:v>
      </x:c>
      <x:c r="F381" s="3" t="n">
        <x:f>COUNTIFS('浓度矩阵'!$C$6:$C$355,1,'浓度矩阵'!$W$6:$W$355,"&gt;0",'浓度矩阵'!$AD$6:$AD$355,"&gt;0")</x:f>
        <x:v>3</x:v>
      </x:c>
      <x:c r="G381" s="3" t="n">
        <x:f>COUNTIFS('浓度矩阵'!$B$6:$B$355,"独立配制重复",'浓度矩阵'!$W$6:$W$355,"&gt;0",'浓度矩阵'!$AD$6:$AD$355,"&gt;0")</x:f>
        <x:v>0</x:v>
      </x:c>
      <x:c r="H381" s="3" t="n">
        <x:f>COUNTIFS('浓度矩阵'!$B$6:$B$355,"留出验证",'浓度矩阵'!$W$6:$W$355,"&gt;0",'浓度矩阵'!$AD$6:$AD$355,"&gt;0")</x:f>
        <x:v>1</x:v>
      </x:c>
      <x:c r="I381" s="3" t="n">
        <x:v>3</x:v>
      </x:c>
      <x:c r="J381" s="3" t="n">
        <x:v>3</x:v>
      </x:c>
      <x:c r="K381" s="3" t="n">
        <x:v>9</x:v>
      </x:c>
      <x:c r="L381" s="11" t="n">
        <x:f>J381/K381</x:f>
        <x:v>0.3333333333333333</x:v>
      </x:c>
    </x:row>
    <x:row r="382" ht="24" customHeight="1">
      <x:c r="A382" s="3" t="n">
        <x:v>117</x:v>
      </x:c>
      <x:c r="B382" s="3" t="n">
        <x:v>209</x:v>
      </x:c>
      <x:c r="C382" s="3" t="str">
        <x:v>辛酸</x:v>
      </x:c>
      <x:c r="D382" s="3" t="str">
        <x:v>二甲基三硫醚</x:v>
      </x:c>
      <x:c r="E382" s="3" t="str">
        <x:v>3档×3档</x:v>
      </x:c>
      <x:c r="F382" s="3" t="n">
        <x:f>COUNTIFS('浓度矩阵'!$C$6:$C$355,1,'浓度矩阵'!$W$6:$W$355,"&gt;0",'浓度矩阵'!$AE$6:$AE$355,"&gt;0")</x:f>
        <x:v>3</x:v>
      </x:c>
      <x:c r="G382" s="3" t="n">
        <x:f>COUNTIFS('浓度矩阵'!$B$6:$B$355,"独立配制重复",'浓度矩阵'!$W$6:$W$355,"&gt;0",'浓度矩阵'!$AE$6:$AE$355,"&gt;0")</x:f>
        <x:v>0</x:v>
      </x:c>
      <x:c r="H382" s="3" t="n">
        <x:f>COUNTIFS('浓度矩阵'!$B$6:$B$355,"留出验证",'浓度矩阵'!$W$6:$W$355,"&gt;0",'浓度矩阵'!$AE$6:$AE$355,"&gt;0")</x:f>
        <x:v>0</x:v>
      </x:c>
      <x:c r="I382" s="3" t="n">
        <x:v>3</x:v>
      </x:c>
      <x:c r="J382" s="3" t="n">
        <x:v>3</x:v>
      </x:c>
      <x:c r="K382" s="3" t="n">
        <x:v>9</x:v>
      </x:c>
      <x:c r="L382" s="11" t="n">
        <x:f>J382/K382</x:f>
        <x:v>0.3333333333333333</x:v>
      </x:c>
    </x:row>
    <x:row r="383" ht="24" customHeight="1">
      <x:c r="A383" s="3" t="n">
        <x:v>117</x:v>
      </x:c>
      <x:c r="B383" s="3" t="n">
        <x:v>227</x:v>
      </x:c>
      <x:c r="C383" s="3" t="str">
        <x:v>辛酸</x:v>
      </x:c>
      <x:c r="D383" s="3" t="str">
        <x:v>己酸己酯</x:v>
      </x:c>
      <x:c r="E383" s="3" t="str">
        <x:v>3档×3档</x:v>
      </x:c>
      <x:c r="F383" s="3" t="n">
        <x:f>COUNTIFS('浓度矩阵'!$C$6:$C$355,1,'浓度矩阵'!$W$6:$W$355,"&gt;0",'浓度矩阵'!$AF$6:$AF$355,"&gt;0")</x:f>
        <x:v>3</x:v>
      </x:c>
      <x:c r="G383" s="3" t="n">
        <x:f>COUNTIFS('浓度矩阵'!$B$6:$B$355,"独立配制重复",'浓度矩阵'!$W$6:$W$355,"&gt;0",'浓度矩阵'!$AF$6:$AF$355,"&gt;0")</x:f>
        <x:v>0</x:v>
      </x:c>
      <x:c r="H383" s="3" t="n">
        <x:f>COUNTIFS('浓度矩阵'!$B$6:$B$355,"留出验证",'浓度矩阵'!$W$6:$W$355,"&gt;0",'浓度矩阵'!$AF$6:$AF$355,"&gt;0")</x:f>
        <x:v>0</x:v>
      </x:c>
      <x:c r="I383" s="3" t="n">
        <x:v>3</x:v>
      </x:c>
      <x:c r="J383" s="3" t="n">
        <x:v>3</x:v>
      </x:c>
      <x:c r="K383" s="3" t="n">
        <x:v>9</x:v>
      </x:c>
      <x:c r="L383" s="11" t="n">
        <x:f>J383/K383</x:f>
        <x:v>0.3333333333333333</x:v>
      </x:c>
    </x:row>
    <x:row r="384" ht="24" customHeight="1">
      <x:c r="A384" s="3" t="n">
        <x:v>117</x:v>
      </x:c>
      <x:c r="B384" s="3" t="n">
        <x:v>232</x:v>
      </x:c>
      <x:c r="C384" s="3" t="str">
        <x:v>辛酸</x:v>
      </x:c>
      <x:c r="D384" s="3" t="str">
        <x:v>2-甲基丁酸乙酯</x:v>
      </x:c>
      <x:c r="E384" s="3" t="str">
        <x:v>3档×3档</x:v>
      </x:c>
      <x:c r="F384" s="3" t="n">
        <x:f>COUNTIFS('浓度矩阵'!$C$6:$C$355,1,'浓度矩阵'!$W$6:$W$355,"&gt;0",'浓度矩阵'!$AG$6:$AG$355,"&gt;0")</x:f>
        <x:v>3</x:v>
      </x:c>
      <x:c r="G384" s="3" t="n">
        <x:f>COUNTIFS('浓度矩阵'!$B$6:$B$355,"独立配制重复",'浓度矩阵'!$W$6:$W$355,"&gt;0",'浓度矩阵'!$AG$6:$AG$355,"&gt;0")</x:f>
        <x:v>0</x:v>
      </x:c>
      <x:c r="H384" s="3" t="n">
        <x:f>COUNTIFS('浓度矩阵'!$B$6:$B$355,"留出验证",'浓度矩阵'!$W$6:$W$355,"&gt;0",'浓度矩阵'!$AG$6:$AG$355,"&gt;0")</x:f>
        <x:v>0</x:v>
      </x:c>
      <x:c r="I384" s="3" t="n">
        <x:v>3</x:v>
      </x:c>
      <x:c r="J384" s="3" t="n">
        <x:v>3</x:v>
      </x:c>
      <x:c r="K384" s="3" t="n">
        <x:v>9</x:v>
      </x:c>
      <x:c r="L384" s="11" t="n">
        <x:f>J384/K384</x:f>
        <x:v>0.3333333333333333</x:v>
      </x:c>
    </x:row>
    <x:row r="385" ht="24" customHeight="1">
      <x:c r="A385" s="3" t="n">
        <x:v>117</x:v>
      </x:c>
      <x:c r="B385" s="3" t="n">
        <x:v>255</x:v>
      </x:c>
      <x:c r="C385" s="3" t="str">
        <x:v>辛酸</x:v>
      </x:c>
      <x:c r="D385" s="3" t="str">
        <x:v>β-大马酮</x:v>
      </x:c>
      <x:c r="E385" s="3" t="str">
        <x:v>3档×3档</x:v>
      </x:c>
      <x:c r="F385" s="3" t="n">
        <x:f>COUNTIFS('浓度矩阵'!$C$6:$C$355,1,'浓度矩阵'!$W$6:$W$355,"&gt;0",'浓度矩阵'!$AH$6:$AH$355,"&gt;0")</x:f>
        <x:v>3</x:v>
      </x:c>
      <x:c r="G385" s="3" t="n">
        <x:f>COUNTIFS('浓度矩阵'!$B$6:$B$355,"独立配制重复",'浓度矩阵'!$W$6:$W$355,"&gt;0",'浓度矩阵'!$AH$6:$AH$355,"&gt;0")</x:f>
        <x:v>0</x:v>
      </x:c>
      <x:c r="H385" s="3" t="n">
        <x:f>COUNTIFS('浓度矩阵'!$B$6:$B$355,"留出验证",'浓度矩阵'!$W$6:$W$355,"&gt;0",'浓度矩阵'!$AH$6:$AH$355,"&gt;0")</x:f>
        <x:v>0</x:v>
      </x:c>
      <x:c r="I385" s="3" t="n">
        <x:v>3</x:v>
      </x:c>
      <x:c r="J385" s="3" t="n">
        <x:v>3</x:v>
      </x:c>
      <x:c r="K385" s="3" t="n">
        <x:v>9</x:v>
      </x:c>
      <x:c r="L385" s="11" t="n">
        <x:f>J385/K385</x:f>
        <x:v>0.3333333333333333</x:v>
      </x:c>
    </x:row>
    <x:row r="386" ht="24" customHeight="1">
      <x:c r="A386" s="3" t="n">
        <x:v>126</x:v>
      </x:c>
      <x:c r="B386" s="3" t="n">
        <x:v>136</x:v>
      </x:c>
      <x:c r="C386" s="3" t="str">
        <x:v>己酸</x:v>
      </x:c>
      <x:c r="D386" s="3" t="str">
        <x:v>异戊酸/3-甲基丁酸</x:v>
      </x:c>
      <x:c r="E386" s="3" t="str">
        <x:v>3档×3档</x:v>
      </x:c>
      <x:c r="F386" s="3" t="n">
        <x:f>COUNTIFS('浓度矩阵'!$C$6:$C$355,1,'浓度矩阵'!$X$6:$X$355,"&gt;0",'浓度矩阵'!$Y$6:$Y$355,"&gt;0")</x:f>
        <x:v>3</x:v>
      </x:c>
      <x:c r="G386" s="3" t="n">
        <x:f>COUNTIFS('浓度矩阵'!$B$6:$B$355,"独立配制重复",'浓度矩阵'!$X$6:$X$355,"&gt;0",'浓度矩阵'!$Y$6:$Y$355,"&gt;0")</x:f>
        <x:v>0</x:v>
      </x:c>
      <x:c r="H386" s="3" t="n">
        <x:f>COUNTIFS('浓度矩阵'!$B$6:$B$355,"留出验证",'浓度矩阵'!$X$6:$X$355,"&gt;0",'浓度矩阵'!$Y$6:$Y$355,"&gt;0")</x:f>
        <x:v>0</x:v>
      </x:c>
      <x:c r="I386" s="3" t="n">
        <x:v>3</x:v>
      </x:c>
      <x:c r="J386" s="3" t="n">
        <x:v>3</x:v>
      </x:c>
      <x:c r="K386" s="3" t="n">
        <x:v>9</x:v>
      </x:c>
      <x:c r="L386" s="11" t="n">
        <x:f>J386/K386</x:f>
        <x:v>0.3333333333333333</x:v>
      </x:c>
    </x:row>
    <x:row r="387" ht="24" customHeight="1">
      <x:c r="A387" s="3" t="n">
        <x:v>126</x:v>
      </x:c>
      <x:c r="B387" s="3" t="n">
        <x:v>141</x:v>
      </x:c>
      <x:c r="C387" s="3" t="str">
        <x:v>己酸</x:v>
      </x:c>
      <x:c r="D387" s="3" t="str">
        <x:v>戊酸乙酯</x:v>
      </x:c>
      <x:c r="E387" s="3" t="str">
        <x:v>3档×3档</x:v>
      </x:c>
      <x:c r="F387" s="3" t="n">
        <x:f>COUNTIFS('浓度矩阵'!$C$6:$C$355,1,'浓度矩阵'!$X$6:$X$355,"&gt;0",'浓度矩阵'!$Z$6:$Z$355,"&gt;0")</x:f>
        <x:v>3</x:v>
      </x:c>
      <x:c r="G387" s="3" t="n">
        <x:f>COUNTIFS('浓度矩阵'!$B$6:$B$355,"独立配制重复",'浓度矩阵'!$X$6:$X$355,"&gt;0",'浓度矩阵'!$Z$6:$Z$355,"&gt;0")</x:f>
        <x:v>1</x:v>
      </x:c>
      <x:c r="H387" s="3" t="n">
        <x:f>COUNTIFS('浓度矩阵'!$B$6:$B$355,"留出验证",'浓度矩阵'!$X$6:$X$355,"&gt;0",'浓度矩阵'!$Z$6:$Z$355,"&gt;0")</x:f>
        <x:v>1</x:v>
      </x:c>
      <x:c r="I387" s="3" t="n">
        <x:v>3</x:v>
      </x:c>
      <x:c r="J387" s="3" t="n">
        <x:v>3</x:v>
      </x:c>
      <x:c r="K387" s="3" t="n">
        <x:v>9</x:v>
      </x:c>
      <x:c r="L387" s="11" t="n">
        <x:f>J387/K387</x:f>
        <x:v>0.3333333333333333</x:v>
      </x:c>
    </x:row>
    <x:row r="388" ht="24" customHeight="1">
      <x:c r="A388" s="3" t="n">
        <x:v>126</x:v>
      </x:c>
      <x:c r="B388" s="3" t="n">
        <x:v>152</x:v>
      </x:c>
      <x:c r="C388" s="3" t="str">
        <x:v>己酸</x:v>
      </x:c>
      <x:c r="D388" s="3" t="str">
        <x:v>异戊醛</x:v>
      </x:c>
      <x:c r="E388" s="3" t="str">
        <x:v>3档×3档</x:v>
      </x:c>
      <x:c r="F388" s="3" t="n">
        <x:f>COUNTIFS('浓度矩阵'!$C$6:$C$355,1,'浓度矩阵'!$X$6:$X$355,"&gt;0",'浓度矩阵'!$AA$6:$AA$355,"&gt;0")</x:f>
        <x:v>3</x:v>
      </x:c>
      <x:c r="G388" s="3" t="n">
        <x:f>COUNTIFS('浓度矩阵'!$B$6:$B$355,"独立配制重复",'浓度矩阵'!$X$6:$X$355,"&gt;0",'浓度矩阵'!$AA$6:$AA$355,"&gt;0")</x:f>
        <x:v>0</x:v>
      </x:c>
      <x:c r="H388" s="3" t="n">
        <x:f>COUNTIFS('浓度矩阵'!$B$6:$B$355,"留出验证",'浓度矩阵'!$X$6:$X$355,"&gt;0",'浓度矩阵'!$AA$6:$AA$355,"&gt;0")</x:f>
        <x:v>0</x:v>
      </x:c>
      <x:c r="I388" s="3" t="n">
        <x:v>3</x:v>
      </x:c>
      <x:c r="J388" s="3" t="n">
        <x:v>3</x:v>
      </x:c>
      <x:c r="K388" s="3" t="n">
        <x:v>9</x:v>
      </x:c>
      <x:c r="L388" s="11" t="n">
        <x:f>J388/K388</x:f>
        <x:v>0.3333333333333333</x:v>
      </x:c>
    </x:row>
    <x:row r="389" ht="24" customHeight="1">
      <x:c r="A389" s="3" t="n">
        <x:v>126</x:v>
      </x:c>
      <x:c r="B389" s="3" t="n">
        <x:v>165</x:v>
      </x:c>
      <x:c r="C389" s="3" t="str">
        <x:v>己酸</x:v>
      </x:c>
      <x:c r="D389" s="3" t="str">
        <x:v>己酸丁酯</x:v>
      </x:c>
      <x:c r="E389" s="3" t="str">
        <x:v>3档×2档</x:v>
      </x:c>
      <x:c r="F389" s="3" t="n">
        <x:f>COUNTIFS('浓度矩阵'!$C$6:$C$355,1,'浓度矩阵'!$X$6:$X$355,"&gt;0",'浓度矩阵'!$AB$6:$AB$355,"&gt;0")</x:f>
        <x:v>4</x:v>
      </x:c>
      <x:c r="G389" s="3" t="n">
        <x:f>COUNTIFS('浓度矩阵'!$B$6:$B$355,"独立配制重复",'浓度矩阵'!$X$6:$X$355,"&gt;0",'浓度矩阵'!$AB$6:$AB$355,"&gt;0")</x:f>
        <x:v>0</x:v>
      </x:c>
      <x:c r="H389" s="3" t="n">
        <x:f>COUNTIFS('浓度矩阵'!$B$6:$B$355,"留出验证",'浓度矩阵'!$X$6:$X$355,"&gt;0",'浓度矩阵'!$AB$6:$AB$355,"&gt;0")</x:f>
        <x:v>1</x:v>
      </x:c>
      <x:c r="I389" s="3" t="n">
        <x:v>4</x:v>
      </x:c>
      <x:c r="J389" s="3" t="n">
        <x:v>4</x:v>
      </x:c>
      <x:c r="K389" s="3" t="n">
        <x:v>6</x:v>
      </x:c>
      <x:c r="L389" s="11" t="n">
        <x:f>J389/K389</x:f>
        <x:v>0.6666666666666666</x:v>
      </x:c>
    </x:row>
    <x:row r="390" ht="24" customHeight="1">
      <x:c r="A390" s="3" t="n">
        <x:v>126</x:v>
      </x:c>
      <x:c r="B390" s="3" t="n">
        <x:v>186</x:v>
      </x:c>
      <x:c r="C390" s="3" t="str">
        <x:v>己酸</x:v>
      </x:c>
      <x:c r="D390" s="3" t="str">
        <x:v>3-苯基丙酸乙酯</x:v>
      </x:c>
      <x:c r="E390" s="3" t="str">
        <x:v>3档×3档</x:v>
      </x:c>
      <x:c r="F390" s="3" t="n">
        <x:f>COUNTIFS('浓度矩阵'!$C$6:$C$355,1,'浓度矩阵'!$X$6:$X$355,"&gt;0",'浓度矩阵'!$AC$6:$AC$355,"&gt;0")</x:f>
        <x:v>3</x:v>
      </x:c>
      <x:c r="G390" s="3" t="n">
        <x:f>COUNTIFS('浓度矩阵'!$B$6:$B$355,"独立配制重复",'浓度矩阵'!$X$6:$X$355,"&gt;0",'浓度矩阵'!$AC$6:$AC$355,"&gt;0")</x:f>
        <x:v>0</x:v>
      </x:c>
      <x:c r="H390" s="3" t="n">
        <x:f>COUNTIFS('浓度矩阵'!$B$6:$B$355,"留出验证",'浓度矩阵'!$X$6:$X$355,"&gt;0",'浓度矩阵'!$AC$6:$AC$355,"&gt;0")</x:f>
        <x:v>0</x:v>
      </x:c>
      <x:c r="I390" s="3" t="n">
        <x:v>3</x:v>
      </x:c>
      <x:c r="J390" s="3" t="n">
        <x:v>3</x:v>
      </x:c>
      <x:c r="K390" s="3" t="n">
        <x:v>9</x:v>
      </x:c>
      <x:c r="L390" s="11" t="n">
        <x:f>J390/K390</x:f>
        <x:v>0.3333333333333333</x:v>
      </x:c>
    </x:row>
    <x:row r="391" ht="24" customHeight="1">
      <x:c r="A391" s="3" t="n">
        <x:v>126</x:v>
      </x:c>
      <x:c r="B391" s="3" t="n">
        <x:v>207</x:v>
      </x:c>
      <x:c r="C391" s="3" t="str">
        <x:v>己酸</x:v>
      </x:c>
      <x:c r="D391" s="3" t="str">
        <x:v>1-辛烯-3-醇</x:v>
      </x:c>
      <x:c r="E391" s="3" t="str">
        <x:v>3档×3档</x:v>
      </x:c>
      <x:c r="F391" s="3" t="n">
        <x:f>COUNTIFS('浓度矩阵'!$C$6:$C$355,1,'浓度矩阵'!$X$6:$X$355,"&gt;0",'浓度矩阵'!$AD$6:$AD$355,"&gt;0")</x:f>
        <x:v>3</x:v>
      </x:c>
      <x:c r="G391" s="3" t="n">
        <x:f>COUNTIFS('浓度矩阵'!$B$6:$B$355,"独立配制重复",'浓度矩阵'!$X$6:$X$355,"&gt;0",'浓度矩阵'!$AD$6:$AD$355,"&gt;0")</x:f>
        <x:v>0</x:v>
      </x:c>
      <x:c r="H391" s="3" t="n">
        <x:f>COUNTIFS('浓度矩阵'!$B$6:$B$355,"留出验证",'浓度矩阵'!$X$6:$X$355,"&gt;0",'浓度矩阵'!$AD$6:$AD$355,"&gt;0")</x:f>
        <x:v>1</x:v>
      </x:c>
      <x:c r="I391" s="3" t="n">
        <x:v>3</x:v>
      </x:c>
      <x:c r="J391" s="3" t="n">
        <x:v>3</x:v>
      </x:c>
      <x:c r="K391" s="3" t="n">
        <x:v>9</x:v>
      </x:c>
      <x:c r="L391" s="11" t="n">
        <x:f>J391/K391</x:f>
        <x:v>0.3333333333333333</x:v>
      </x:c>
    </x:row>
    <x:row r="392" ht="24" customHeight="1">
      <x:c r="A392" s="3" t="n">
        <x:v>126</x:v>
      </x:c>
      <x:c r="B392" s="3" t="n">
        <x:v>209</x:v>
      </x:c>
      <x:c r="C392" s="3" t="str">
        <x:v>己酸</x:v>
      </x:c>
      <x:c r="D392" s="3" t="str">
        <x:v>二甲基三硫醚</x:v>
      </x:c>
      <x:c r="E392" s="3" t="str">
        <x:v>3档×3档</x:v>
      </x:c>
      <x:c r="F392" s="3" t="n">
        <x:f>COUNTIFS('浓度矩阵'!$C$6:$C$355,1,'浓度矩阵'!$X$6:$X$355,"&gt;0",'浓度矩阵'!$AE$6:$AE$355,"&gt;0")</x:f>
        <x:v>3</x:v>
      </x:c>
      <x:c r="G392" s="3" t="n">
        <x:f>COUNTIFS('浓度矩阵'!$B$6:$B$355,"独立配制重复",'浓度矩阵'!$X$6:$X$355,"&gt;0",'浓度矩阵'!$AE$6:$AE$355,"&gt;0")</x:f>
        <x:v>1</x:v>
      </x:c>
      <x:c r="H392" s="3" t="n">
        <x:f>COUNTIFS('浓度矩阵'!$B$6:$B$355,"留出验证",'浓度矩阵'!$X$6:$X$355,"&gt;0",'浓度矩阵'!$AE$6:$AE$355,"&gt;0")</x:f>
        <x:v>0</x:v>
      </x:c>
      <x:c r="I392" s="3" t="n">
        <x:v>3</x:v>
      </x:c>
      <x:c r="J392" s="3" t="n">
        <x:v>3</x:v>
      </x:c>
      <x:c r="K392" s="3" t="n">
        <x:v>9</x:v>
      </x:c>
      <x:c r="L392" s="11" t="n">
        <x:f>J392/K392</x:f>
        <x:v>0.3333333333333333</x:v>
      </x:c>
    </x:row>
    <x:row r="393" ht="24" customHeight="1">
      <x:c r="A393" s="3" t="n">
        <x:v>126</x:v>
      </x:c>
      <x:c r="B393" s="3" t="n">
        <x:v>227</x:v>
      </x:c>
      <x:c r="C393" s="3" t="str">
        <x:v>己酸</x:v>
      </x:c>
      <x:c r="D393" s="3" t="str">
        <x:v>己酸己酯</x:v>
      </x:c>
      <x:c r="E393" s="3" t="str">
        <x:v>3档×3档</x:v>
      </x:c>
      <x:c r="F393" s="3" t="n">
        <x:f>COUNTIFS('浓度矩阵'!$C$6:$C$355,1,'浓度矩阵'!$X$6:$X$355,"&gt;0",'浓度矩阵'!$AF$6:$AF$355,"&gt;0")</x:f>
        <x:v>3</x:v>
      </x:c>
      <x:c r="G393" s="3" t="n">
        <x:f>COUNTIFS('浓度矩阵'!$B$6:$B$355,"独立配制重复",'浓度矩阵'!$X$6:$X$355,"&gt;0",'浓度矩阵'!$AF$6:$AF$355,"&gt;0")</x:f>
        <x:v>0</x:v>
      </x:c>
      <x:c r="H393" s="3" t="n">
        <x:f>COUNTIFS('浓度矩阵'!$B$6:$B$355,"留出验证",'浓度矩阵'!$X$6:$X$355,"&gt;0",'浓度矩阵'!$AF$6:$AF$355,"&gt;0")</x:f>
        <x:v>0</x:v>
      </x:c>
      <x:c r="I393" s="3" t="n">
        <x:v>3</x:v>
      </x:c>
      <x:c r="J393" s="3" t="n">
        <x:v>3</x:v>
      </x:c>
      <x:c r="K393" s="3" t="n">
        <x:v>9</x:v>
      </x:c>
      <x:c r="L393" s="11" t="n">
        <x:f>J393/K393</x:f>
        <x:v>0.3333333333333333</x:v>
      </x:c>
    </x:row>
    <x:row r="394" ht="24" customHeight="1">
      <x:c r="A394" s="3" t="n">
        <x:v>126</x:v>
      </x:c>
      <x:c r="B394" s="3" t="n">
        <x:v>232</x:v>
      </x:c>
      <x:c r="C394" s="3" t="str">
        <x:v>己酸</x:v>
      </x:c>
      <x:c r="D394" s="3" t="str">
        <x:v>2-甲基丁酸乙酯</x:v>
      </x:c>
      <x:c r="E394" s="3" t="str">
        <x:v>3档×3档</x:v>
      </x:c>
      <x:c r="F394" s="3" t="n">
        <x:f>COUNTIFS('浓度矩阵'!$C$6:$C$355,1,'浓度矩阵'!$X$6:$X$355,"&gt;0",'浓度矩阵'!$AG$6:$AG$355,"&gt;0")</x:f>
        <x:v>3</x:v>
      </x:c>
      <x:c r="G394" s="3" t="n">
        <x:f>COUNTIFS('浓度矩阵'!$B$6:$B$355,"独立配制重复",'浓度矩阵'!$X$6:$X$355,"&gt;0",'浓度矩阵'!$AG$6:$AG$355,"&gt;0")</x:f>
        <x:v>0</x:v>
      </x:c>
      <x:c r="H394" s="3" t="n">
        <x:f>COUNTIFS('浓度矩阵'!$B$6:$B$355,"留出验证",'浓度矩阵'!$X$6:$X$355,"&gt;0",'浓度矩阵'!$AG$6:$AG$355,"&gt;0")</x:f>
        <x:v>0</x:v>
      </x:c>
      <x:c r="I394" s="3" t="n">
        <x:v>3</x:v>
      </x:c>
      <x:c r="J394" s="3" t="n">
        <x:v>3</x:v>
      </x:c>
      <x:c r="K394" s="3" t="n">
        <x:v>9</x:v>
      </x:c>
      <x:c r="L394" s="11" t="n">
        <x:f>J394/K394</x:f>
        <x:v>0.3333333333333333</x:v>
      </x:c>
    </x:row>
    <x:row r="395" ht="24" customHeight="1">
      <x:c r="A395" s="3" t="n">
        <x:v>126</x:v>
      </x:c>
      <x:c r="B395" s="3" t="n">
        <x:v>255</x:v>
      </x:c>
      <x:c r="C395" s="3" t="str">
        <x:v>己酸</x:v>
      </x:c>
      <x:c r="D395" s="3" t="str">
        <x:v>β-大马酮</x:v>
      </x:c>
      <x:c r="E395" s="3" t="str">
        <x:v>3档×3档</x:v>
      </x:c>
      <x:c r="F395" s="3" t="n">
        <x:f>COUNTIFS('浓度矩阵'!$C$6:$C$355,1,'浓度矩阵'!$X$6:$X$355,"&gt;0",'浓度矩阵'!$AH$6:$AH$355,"&gt;0")</x:f>
        <x:v>3</x:v>
      </x:c>
      <x:c r="G395" s="3" t="n">
        <x:f>COUNTIFS('浓度矩阵'!$B$6:$B$355,"独立配制重复",'浓度矩阵'!$X$6:$X$355,"&gt;0",'浓度矩阵'!$AH$6:$AH$355,"&gt;0")</x:f>
        <x:v>0</x:v>
      </x:c>
      <x:c r="H395" s="3" t="n">
        <x:f>COUNTIFS('浓度矩阵'!$B$6:$B$355,"留出验证",'浓度矩阵'!$X$6:$X$355,"&gt;0",'浓度矩阵'!$AH$6:$AH$355,"&gt;0")</x:f>
        <x:v>2</x:v>
      </x:c>
      <x:c r="I395" s="3" t="n">
        <x:v>3</x:v>
      </x:c>
      <x:c r="J395" s="3" t="n">
        <x:v>3</x:v>
      </x:c>
      <x:c r="K395" s="3" t="n">
        <x:v>9</x:v>
      </x:c>
      <x:c r="L395" s="11" t="n">
        <x:f>J395/K395</x:f>
        <x:v>0.3333333333333333</x:v>
      </x:c>
    </x:row>
    <x:row r="396" ht="24" customHeight="1">
      <x:c r="A396" s="3" t="n">
        <x:v>136</x:v>
      </x:c>
      <x:c r="B396" s="3" t="n">
        <x:v>141</x:v>
      </x:c>
      <x:c r="C396" s="3" t="str">
        <x:v>异戊酸/3-甲基丁酸</x:v>
      </x:c>
      <x:c r="D396" s="3" t="str">
        <x:v>戊酸乙酯</x:v>
      </x:c>
      <x:c r="E396" s="3" t="str">
        <x:v>3档×3档</x:v>
      </x:c>
      <x:c r="F396" s="3" t="n">
        <x:f>COUNTIFS('浓度矩阵'!$C$6:$C$355,1,'浓度矩阵'!$Y$6:$Y$355,"&gt;0",'浓度矩阵'!$Z$6:$Z$355,"&gt;0")</x:f>
        <x:v>4</x:v>
      </x:c>
      <x:c r="G396" s="3" t="n">
        <x:f>COUNTIFS('浓度矩阵'!$B$6:$B$355,"独立配制重复",'浓度矩阵'!$Y$6:$Y$355,"&gt;0",'浓度矩阵'!$Z$6:$Z$355,"&gt;0")</x:f>
        <x:v>0</x:v>
      </x:c>
      <x:c r="H396" s="3" t="n">
        <x:f>COUNTIFS('浓度矩阵'!$B$6:$B$355,"留出验证",'浓度矩阵'!$Y$6:$Y$355,"&gt;0",'浓度矩阵'!$Z$6:$Z$355,"&gt;0")</x:f>
        <x:v>0</x:v>
      </x:c>
      <x:c r="I396" s="3" t="n">
        <x:v>4</x:v>
      </x:c>
      <x:c r="J396" s="3" t="n">
        <x:v>4</x:v>
      </x:c>
      <x:c r="K396" s="3" t="n">
        <x:v>9</x:v>
      </x:c>
      <x:c r="L396" s="11" t="n">
        <x:f>J396/K396</x:f>
        <x:v>0.4444444444444444</x:v>
      </x:c>
    </x:row>
    <x:row r="397" ht="24" customHeight="1">
      <x:c r="A397" s="3" t="n">
        <x:v>136</x:v>
      </x:c>
      <x:c r="B397" s="3" t="n">
        <x:v>152</x:v>
      </x:c>
      <x:c r="C397" s="3" t="str">
        <x:v>异戊酸/3-甲基丁酸</x:v>
      </x:c>
      <x:c r="D397" s="3" t="str">
        <x:v>异戊醛</x:v>
      </x:c>
      <x:c r="E397" s="3" t="str">
        <x:v>3档×3档</x:v>
      </x:c>
      <x:c r="F397" s="3" t="n">
        <x:f>COUNTIFS('浓度矩阵'!$C$6:$C$355,1,'浓度矩阵'!$Y$6:$Y$355,"&gt;0",'浓度矩阵'!$AA$6:$AA$355,"&gt;0")</x:f>
        <x:v>3</x:v>
      </x:c>
      <x:c r="G397" s="3" t="n">
        <x:f>COUNTIFS('浓度矩阵'!$B$6:$B$355,"独立配制重复",'浓度矩阵'!$Y$6:$Y$355,"&gt;0",'浓度矩阵'!$AA$6:$AA$355,"&gt;0")</x:f>
        <x:v>0</x:v>
      </x:c>
      <x:c r="H397" s="3" t="n">
        <x:f>COUNTIFS('浓度矩阵'!$B$6:$B$355,"留出验证",'浓度矩阵'!$Y$6:$Y$355,"&gt;0",'浓度矩阵'!$AA$6:$AA$355,"&gt;0")</x:f>
        <x:v>0</x:v>
      </x:c>
      <x:c r="I397" s="3" t="n">
        <x:v>3</x:v>
      </x:c>
      <x:c r="J397" s="3" t="n">
        <x:v>3</x:v>
      </x:c>
      <x:c r="K397" s="3" t="n">
        <x:v>9</x:v>
      </x:c>
      <x:c r="L397" s="11" t="n">
        <x:f>J397/K397</x:f>
        <x:v>0.3333333333333333</x:v>
      </x:c>
    </x:row>
    <x:row r="398" ht="24" customHeight="1">
      <x:c r="A398" s="3" t="n">
        <x:v>136</x:v>
      </x:c>
      <x:c r="B398" s="3" t="n">
        <x:v>165</x:v>
      </x:c>
      <x:c r="C398" s="3" t="str">
        <x:v>异戊酸/3-甲基丁酸</x:v>
      </x:c>
      <x:c r="D398" s="3" t="str">
        <x:v>己酸丁酯</x:v>
      </x:c>
      <x:c r="E398" s="3" t="str">
        <x:v>3档×2档</x:v>
      </x:c>
      <x:c r="F398" s="3" t="n">
        <x:f>COUNTIFS('浓度矩阵'!$C$6:$C$355,1,'浓度矩阵'!$Y$6:$Y$355,"&gt;0",'浓度矩阵'!$AB$6:$AB$355,"&gt;0")</x:f>
        <x:v>4</x:v>
      </x:c>
      <x:c r="G398" s="3" t="n">
        <x:f>COUNTIFS('浓度矩阵'!$B$6:$B$355,"独立配制重复",'浓度矩阵'!$Y$6:$Y$355,"&gt;0",'浓度矩阵'!$AB$6:$AB$355,"&gt;0")</x:f>
        <x:v>0</x:v>
      </x:c>
      <x:c r="H398" s="3" t="n">
        <x:f>COUNTIFS('浓度矩阵'!$B$6:$B$355,"留出验证",'浓度矩阵'!$Y$6:$Y$355,"&gt;0",'浓度矩阵'!$AB$6:$AB$355,"&gt;0")</x:f>
        <x:v>0</x:v>
      </x:c>
      <x:c r="I398" s="3" t="n">
        <x:v>4</x:v>
      </x:c>
      <x:c r="J398" s="3" t="n">
        <x:v>4</x:v>
      </x:c>
      <x:c r="K398" s="3" t="n">
        <x:v>6</x:v>
      </x:c>
      <x:c r="L398" s="11" t="n">
        <x:f>J398/K398</x:f>
        <x:v>0.6666666666666666</x:v>
      </x:c>
    </x:row>
    <x:row r="399" ht="24" customHeight="1">
      <x:c r="A399" s="3" t="n">
        <x:v>136</x:v>
      </x:c>
      <x:c r="B399" s="3" t="n">
        <x:v>186</x:v>
      </x:c>
      <x:c r="C399" s="3" t="str">
        <x:v>异戊酸/3-甲基丁酸</x:v>
      </x:c>
      <x:c r="D399" s="3" t="str">
        <x:v>3-苯基丙酸乙酯</x:v>
      </x:c>
      <x:c r="E399" s="3" t="str">
        <x:v>3档×3档</x:v>
      </x:c>
      <x:c r="F399" s="3" t="n">
        <x:f>COUNTIFS('浓度矩阵'!$C$6:$C$355,1,'浓度矩阵'!$Y$6:$Y$355,"&gt;0",'浓度矩阵'!$AC$6:$AC$355,"&gt;0")</x:f>
        <x:v>3</x:v>
      </x:c>
      <x:c r="G399" s="3" t="n">
        <x:f>COUNTIFS('浓度矩阵'!$B$6:$B$355,"独立配制重复",'浓度矩阵'!$Y$6:$Y$355,"&gt;0",'浓度矩阵'!$AC$6:$AC$355,"&gt;0")</x:f>
        <x:v>0</x:v>
      </x:c>
      <x:c r="H399" s="3" t="n">
        <x:f>COUNTIFS('浓度矩阵'!$B$6:$B$355,"留出验证",'浓度矩阵'!$Y$6:$Y$355,"&gt;0",'浓度矩阵'!$AC$6:$AC$355,"&gt;0")</x:f>
        <x:v>0</x:v>
      </x:c>
      <x:c r="I399" s="3" t="n">
        <x:v>3</x:v>
      </x:c>
      <x:c r="J399" s="3" t="n">
        <x:v>3</x:v>
      </x:c>
      <x:c r="K399" s="3" t="n">
        <x:v>9</x:v>
      </x:c>
      <x:c r="L399" s="11" t="n">
        <x:f>J399/K399</x:f>
        <x:v>0.3333333333333333</x:v>
      </x:c>
    </x:row>
    <x:row r="400" ht="24" customHeight="1">
      <x:c r="A400" s="3" t="n">
        <x:v>136</x:v>
      </x:c>
      <x:c r="B400" s="3" t="n">
        <x:v>207</x:v>
      </x:c>
      <x:c r="C400" s="3" t="str">
        <x:v>异戊酸/3-甲基丁酸</x:v>
      </x:c>
      <x:c r="D400" s="3" t="str">
        <x:v>1-辛烯-3-醇</x:v>
      </x:c>
      <x:c r="E400" s="3" t="str">
        <x:v>3档×3档</x:v>
      </x:c>
      <x:c r="F400" s="3" t="n">
        <x:f>COUNTIFS('浓度矩阵'!$C$6:$C$355,1,'浓度矩阵'!$Y$6:$Y$355,"&gt;0",'浓度矩阵'!$AD$6:$AD$355,"&gt;0")</x:f>
        <x:v>3</x:v>
      </x:c>
      <x:c r="G400" s="3" t="n">
        <x:f>COUNTIFS('浓度矩阵'!$B$6:$B$355,"独立配制重复",'浓度矩阵'!$Y$6:$Y$355,"&gt;0",'浓度矩阵'!$AD$6:$AD$355,"&gt;0")</x:f>
        <x:v>0</x:v>
      </x:c>
      <x:c r="H400" s="3" t="n">
        <x:f>COUNTIFS('浓度矩阵'!$B$6:$B$355,"留出验证",'浓度矩阵'!$Y$6:$Y$355,"&gt;0",'浓度矩阵'!$AD$6:$AD$355,"&gt;0")</x:f>
        <x:v>0</x:v>
      </x:c>
      <x:c r="I400" s="3" t="n">
        <x:v>3</x:v>
      </x:c>
      <x:c r="J400" s="3" t="n">
        <x:v>3</x:v>
      </x:c>
      <x:c r="K400" s="3" t="n">
        <x:v>9</x:v>
      </x:c>
      <x:c r="L400" s="11" t="n">
        <x:f>J400/K400</x:f>
        <x:v>0.3333333333333333</x:v>
      </x:c>
    </x:row>
    <x:row r="401" ht="24" customHeight="1">
      <x:c r="A401" s="3" t="n">
        <x:v>136</x:v>
      </x:c>
      <x:c r="B401" s="3" t="n">
        <x:v>209</x:v>
      </x:c>
      <x:c r="C401" s="3" t="str">
        <x:v>异戊酸/3-甲基丁酸</x:v>
      </x:c>
      <x:c r="D401" s="3" t="str">
        <x:v>二甲基三硫醚</x:v>
      </x:c>
      <x:c r="E401" s="3" t="str">
        <x:v>3档×3档</x:v>
      </x:c>
      <x:c r="F401" s="3" t="n">
        <x:f>COUNTIFS('浓度矩阵'!$C$6:$C$355,1,'浓度矩阵'!$Y$6:$Y$355,"&gt;0",'浓度矩阵'!$AE$6:$AE$355,"&gt;0")</x:f>
        <x:v>3</x:v>
      </x:c>
      <x:c r="G401" s="3" t="n">
        <x:f>COUNTIFS('浓度矩阵'!$B$6:$B$355,"独立配制重复",'浓度矩阵'!$Y$6:$Y$355,"&gt;0",'浓度矩阵'!$AE$6:$AE$355,"&gt;0")</x:f>
        <x:v>0</x:v>
      </x:c>
      <x:c r="H401" s="3" t="n">
        <x:f>COUNTIFS('浓度矩阵'!$B$6:$B$355,"留出验证",'浓度矩阵'!$Y$6:$Y$355,"&gt;0",'浓度矩阵'!$AE$6:$AE$355,"&gt;0")</x:f>
        <x:v>0</x:v>
      </x:c>
      <x:c r="I401" s="3" t="n">
        <x:v>3</x:v>
      </x:c>
      <x:c r="J401" s="3" t="n">
        <x:v>3</x:v>
      </x:c>
      <x:c r="K401" s="3" t="n">
        <x:v>9</x:v>
      </x:c>
      <x:c r="L401" s="11" t="n">
        <x:f>J401/K401</x:f>
        <x:v>0.3333333333333333</x:v>
      </x:c>
    </x:row>
    <x:row r="402" ht="24" customHeight="1">
      <x:c r="A402" s="3" t="n">
        <x:v>136</x:v>
      </x:c>
      <x:c r="B402" s="3" t="n">
        <x:v>227</x:v>
      </x:c>
      <x:c r="C402" s="3" t="str">
        <x:v>异戊酸/3-甲基丁酸</x:v>
      </x:c>
      <x:c r="D402" s="3" t="str">
        <x:v>己酸己酯</x:v>
      </x:c>
      <x:c r="E402" s="3" t="str">
        <x:v>3档×3档</x:v>
      </x:c>
      <x:c r="F402" s="3" t="n">
        <x:f>COUNTIFS('浓度矩阵'!$C$6:$C$355,1,'浓度矩阵'!$Y$6:$Y$355,"&gt;0",'浓度矩阵'!$AF$6:$AF$355,"&gt;0")</x:f>
        <x:v>4</x:v>
      </x:c>
      <x:c r="G402" s="3" t="n">
        <x:f>COUNTIFS('浓度矩阵'!$B$6:$B$355,"独立配制重复",'浓度矩阵'!$Y$6:$Y$355,"&gt;0",'浓度矩阵'!$AF$6:$AF$355,"&gt;0")</x:f>
        <x:v>0</x:v>
      </x:c>
      <x:c r="H402" s="3" t="n">
        <x:f>COUNTIFS('浓度矩阵'!$B$6:$B$355,"留出验证",'浓度矩阵'!$Y$6:$Y$355,"&gt;0",'浓度矩阵'!$AF$6:$AF$355,"&gt;0")</x:f>
        <x:v>0</x:v>
      </x:c>
      <x:c r="I402" s="3" t="n">
        <x:v>4</x:v>
      </x:c>
      <x:c r="J402" s="3" t="n">
        <x:v>4</x:v>
      </x:c>
      <x:c r="K402" s="3" t="n">
        <x:v>9</x:v>
      </x:c>
      <x:c r="L402" s="11" t="n">
        <x:f>J402/K402</x:f>
        <x:v>0.4444444444444444</x:v>
      </x:c>
    </x:row>
    <x:row r="403" ht="24" customHeight="1">
      <x:c r="A403" s="3" t="n">
        <x:v>136</x:v>
      </x:c>
      <x:c r="B403" s="3" t="n">
        <x:v>232</x:v>
      </x:c>
      <x:c r="C403" s="3" t="str">
        <x:v>异戊酸/3-甲基丁酸</x:v>
      </x:c>
      <x:c r="D403" s="3" t="str">
        <x:v>2-甲基丁酸乙酯</x:v>
      </x:c>
      <x:c r="E403" s="3" t="str">
        <x:v>3档×3档</x:v>
      </x:c>
      <x:c r="F403" s="3" t="n">
        <x:f>COUNTIFS('浓度矩阵'!$C$6:$C$355,1,'浓度矩阵'!$Y$6:$Y$355,"&gt;0",'浓度矩阵'!$AG$6:$AG$355,"&gt;0")</x:f>
        <x:v>3</x:v>
      </x:c>
      <x:c r="G403" s="3" t="n">
        <x:f>COUNTIFS('浓度矩阵'!$B$6:$B$355,"独立配制重复",'浓度矩阵'!$Y$6:$Y$355,"&gt;0",'浓度矩阵'!$AG$6:$AG$355,"&gt;0")</x:f>
        <x:v>0</x:v>
      </x:c>
      <x:c r="H403" s="3" t="n">
        <x:f>COUNTIFS('浓度矩阵'!$B$6:$B$355,"留出验证",'浓度矩阵'!$Y$6:$Y$355,"&gt;0",'浓度矩阵'!$AG$6:$AG$355,"&gt;0")</x:f>
        <x:v>1</x:v>
      </x:c>
      <x:c r="I403" s="3" t="n">
        <x:v>3</x:v>
      </x:c>
      <x:c r="J403" s="3" t="n">
        <x:v>3</x:v>
      </x:c>
      <x:c r="K403" s="3" t="n">
        <x:v>9</x:v>
      </x:c>
      <x:c r="L403" s="11" t="n">
        <x:f>J403/K403</x:f>
        <x:v>0.3333333333333333</x:v>
      </x:c>
    </x:row>
    <x:row r="404" ht="24" customHeight="1">
      <x:c r="A404" s="3" t="n">
        <x:v>136</x:v>
      </x:c>
      <x:c r="B404" s="3" t="n">
        <x:v>255</x:v>
      </x:c>
      <x:c r="C404" s="3" t="str">
        <x:v>异戊酸/3-甲基丁酸</x:v>
      </x:c>
      <x:c r="D404" s="3" t="str">
        <x:v>β-大马酮</x:v>
      </x:c>
      <x:c r="E404" s="3" t="str">
        <x:v>3档×3档</x:v>
      </x:c>
      <x:c r="F404" s="3" t="n">
        <x:f>COUNTIFS('浓度矩阵'!$C$6:$C$355,1,'浓度矩阵'!$Y$6:$Y$355,"&gt;0",'浓度矩阵'!$AH$6:$AH$355,"&gt;0")</x:f>
        <x:v>3</x:v>
      </x:c>
      <x:c r="G404" s="3" t="n">
        <x:f>COUNTIFS('浓度矩阵'!$B$6:$B$355,"独立配制重复",'浓度矩阵'!$Y$6:$Y$355,"&gt;0",'浓度矩阵'!$AH$6:$AH$355,"&gt;0")</x:f>
        <x:v>0</x:v>
      </x:c>
      <x:c r="H404" s="3" t="n">
        <x:f>COUNTIFS('浓度矩阵'!$B$6:$B$355,"留出验证",'浓度矩阵'!$Y$6:$Y$355,"&gt;0",'浓度矩阵'!$AH$6:$AH$355,"&gt;0")</x:f>
        <x:v>0</x:v>
      </x:c>
      <x:c r="I404" s="3" t="n">
        <x:v>3</x:v>
      </x:c>
      <x:c r="J404" s="3" t="n">
        <x:v>3</x:v>
      </x:c>
      <x:c r="K404" s="3" t="n">
        <x:v>9</x:v>
      </x:c>
      <x:c r="L404" s="11" t="n">
        <x:f>J404/K404</x:f>
        <x:v>0.3333333333333333</x:v>
      </x:c>
    </x:row>
    <x:row r="405" ht="24" customHeight="1">
      <x:c r="A405" s="3" t="n">
        <x:v>141</x:v>
      </x:c>
      <x:c r="B405" s="3" t="n">
        <x:v>152</x:v>
      </x:c>
      <x:c r="C405" s="3" t="str">
        <x:v>戊酸乙酯</x:v>
      </x:c>
      <x:c r="D405" s="3" t="str">
        <x:v>异戊醛</x:v>
      </x:c>
      <x:c r="E405" s="3" t="str">
        <x:v>3档×3档</x:v>
      </x:c>
      <x:c r="F405" s="3" t="n">
        <x:f>COUNTIFS('浓度矩阵'!$C$6:$C$355,1,'浓度矩阵'!$Z$6:$Z$355,"&gt;0",'浓度矩阵'!$AA$6:$AA$355,"&gt;0")</x:f>
        <x:v>3</x:v>
      </x:c>
      <x:c r="G405" s="3" t="n">
        <x:f>COUNTIFS('浓度矩阵'!$B$6:$B$355,"独立配制重复",'浓度矩阵'!$Z$6:$Z$355,"&gt;0",'浓度矩阵'!$AA$6:$AA$355,"&gt;0")</x:f>
        <x:v>0</x:v>
      </x:c>
      <x:c r="H405" s="3" t="n">
        <x:f>COUNTIFS('浓度矩阵'!$B$6:$B$355,"留出验证",'浓度矩阵'!$Z$6:$Z$355,"&gt;0",'浓度矩阵'!$AA$6:$AA$355,"&gt;0")</x:f>
        <x:v>0</x:v>
      </x:c>
      <x:c r="I405" s="3" t="n">
        <x:v>3</x:v>
      </x:c>
      <x:c r="J405" s="3" t="n">
        <x:v>3</x:v>
      </x:c>
      <x:c r="K405" s="3" t="n">
        <x:v>9</x:v>
      </x:c>
      <x:c r="L405" s="11" t="n">
        <x:f>J405/K405</x:f>
        <x:v>0.3333333333333333</x:v>
      </x:c>
    </x:row>
    <x:row r="406" ht="24" customHeight="1">
      <x:c r="A406" s="3" t="n">
        <x:v>141</x:v>
      </x:c>
      <x:c r="B406" s="3" t="n">
        <x:v>165</x:v>
      </x:c>
      <x:c r="C406" s="3" t="str">
        <x:v>戊酸乙酯</x:v>
      </x:c>
      <x:c r="D406" s="3" t="str">
        <x:v>己酸丁酯</x:v>
      </x:c>
      <x:c r="E406" s="3" t="str">
        <x:v>3档×2档</x:v>
      </x:c>
      <x:c r="F406" s="3" t="n">
        <x:f>COUNTIFS('浓度矩阵'!$C$6:$C$355,1,'浓度矩阵'!$Z$6:$Z$355,"&gt;0",'浓度矩阵'!$AB$6:$AB$355,"&gt;0")</x:f>
        <x:v>4</x:v>
      </x:c>
      <x:c r="G406" s="3" t="n">
        <x:f>COUNTIFS('浓度矩阵'!$B$6:$B$355,"独立配制重复",'浓度矩阵'!$Z$6:$Z$355,"&gt;0",'浓度矩阵'!$AB$6:$AB$355,"&gt;0")</x:f>
        <x:v>0</x:v>
      </x:c>
      <x:c r="H406" s="3" t="n">
        <x:f>COUNTIFS('浓度矩阵'!$B$6:$B$355,"留出验证",'浓度矩阵'!$Z$6:$Z$355,"&gt;0",'浓度矩阵'!$AB$6:$AB$355,"&gt;0")</x:f>
        <x:v>1</x:v>
      </x:c>
      <x:c r="I406" s="3" t="n">
        <x:v>4</x:v>
      </x:c>
      <x:c r="J406" s="3" t="n">
        <x:v>4</x:v>
      </x:c>
      <x:c r="K406" s="3" t="n">
        <x:v>6</x:v>
      </x:c>
      <x:c r="L406" s="11" t="n">
        <x:f>J406/K406</x:f>
        <x:v>0.6666666666666666</x:v>
      </x:c>
    </x:row>
    <x:row r="407" ht="24" customHeight="1">
      <x:c r="A407" s="3" t="n">
        <x:v>141</x:v>
      </x:c>
      <x:c r="B407" s="3" t="n">
        <x:v>186</x:v>
      </x:c>
      <x:c r="C407" s="3" t="str">
        <x:v>戊酸乙酯</x:v>
      </x:c>
      <x:c r="D407" s="3" t="str">
        <x:v>3-苯基丙酸乙酯</x:v>
      </x:c>
      <x:c r="E407" s="3" t="str">
        <x:v>3档×3档</x:v>
      </x:c>
      <x:c r="F407" s="3" t="n">
        <x:f>COUNTIFS('浓度矩阵'!$C$6:$C$355,1,'浓度矩阵'!$Z$6:$Z$355,"&gt;0",'浓度矩阵'!$AC$6:$AC$355,"&gt;0")</x:f>
        <x:v>3</x:v>
      </x:c>
      <x:c r="G407" s="3" t="n">
        <x:f>COUNTIFS('浓度矩阵'!$B$6:$B$355,"独立配制重复",'浓度矩阵'!$Z$6:$Z$355,"&gt;0",'浓度矩阵'!$AC$6:$AC$355,"&gt;0")</x:f>
        <x:v>1</x:v>
      </x:c>
      <x:c r="H407" s="3" t="n">
        <x:f>COUNTIFS('浓度矩阵'!$B$6:$B$355,"留出验证",'浓度矩阵'!$Z$6:$Z$355,"&gt;0",'浓度矩阵'!$AC$6:$AC$355,"&gt;0")</x:f>
        <x:v>1</x:v>
      </x:c>
      <x:c r="I407" s="3" t="n">
        <x:v>3</x:v>
      </x:c>
      <x:c r="J407" s="3" t="n">
        <x:v>3</x:v>
      </x:c>
      <x:c r="K407" s="3" t="n">
        <x:v>9</x:v>
      </x:c>
      <x:c r="L407" s="11" t="n">
        <x:f>J407/K407</x:f>
        <x:v>0.3333333333333333</x:v>
      </x:c>
    </x:row>
    <x:row r="408" ht="24" customHeight="1">
      <x:c r="A408" s="3" t="n">
        <x:v>141</x:v>
      </x:c>
      <x:c r="B408" s="3" t="n">
        <x:v>207</x:v>
      </x:c>
      <x:c r="C408" s="3" t="str">
        <x:v>戊酸乙酯</x:v>
      </x:c>
      <x:c r="D408" s="3" t="str">
        <x:v>1-辛烯-3-醇</x:v>
      </x:c>
      <x:c r="E408" s="3" t="str">
        <x:v>3档×3档</x:v>
      </x:c>
      <x:c r="F408" s="3" t="n">
        <x:f>COUNTIFS('浓度矩阵'!$C$6:$C$355,1,'浓度矩阵'!$Z$6:$Z$355,"&gt;0",'浓度矩阵'!$AD$6:$AD$355,"&gt;0")</x:f>
        <x:v>3</x:v>
      </x:c>
      <x:c r="G408" s="3" t="n">
        <x:f>COUNTIFS('浓度矩阵'!$B$6:$B$355,"独立配制重复",'浓度矩阵'!$Z$6:$Z$355,"&gt;0",'浓度矩阵'!$AD$6:$AD$355,"&gt;0")</x:f>
        <x:v>1</x:v>
      </x:c>
      <x:c r="H408" s="3" t="n">
        <x:f>COUNTIFS('浓度矩阵'!$B$6:$B$355,"留出验证",'浓度矩阵'!$Z$6:$Z$355,"&gt;0",'浓度矩阵'!$AD$6:$AD$355,"&gt;0")</x:f>
        <x:v>1</x:v>
      </x:c>
      <x:c r="I408" s="3" t="n">
        <x:v>3</x:v>
      </x:c>
      <x:c r="J408" s="3" t="n">
        <x:v>3</x:v>
      </x:c>
      <x:c r="K408" s="3" t="n">
        <x:v>9</x:v>
      </x:c>
      <x:c r="L408" s="11" t="n">
        <x:f>J408/K408</x:f>
        <x:v>0.3333333333333333</x:v>
      </x:c>
    </x:row>
    <x:row r="409" ht="24" customHeight="1">
      <x:c r="A409" s="3" t="n">
        <x:v>141</x:v>
      </x:c>
      <x:c r="B409" s="3" t="n">
        <x:v>209</x:v>
      </x:c>
      <x:c r="C409" s="3" t="str">
        <x:v>戊酸乙酯</x:v>
      </x:c>
      <x:c r="D409" s="3" t="str">
        <x:v>二甲基三硫醚</x:v>
      </x:c>
      <x:c r="E409" s="3" t="str">
        <x:v>3档×3档</x:v>
      </x:c>
      <x:c r="F409" s="3" t="n">
        <x:f>COUNTIFS('浓度矩阵'!$C$6:$C$355,1,'浓度矩阵'!$Z$6:$Z$355,"&gt;0",'浓度矩阵'!$AE$6:$AE$355,"&gt;0")</x:f>
        <x:v>3</x:v>
      </x:c>
      <x:c r="G409" s="3" t="n">
        <x:f>COUNTIFS('浓度矩阵'!$B$6:$B$355,"独立配制重复",'浓度矩阵'!$Z$6:$Z$355,"&gt;0",'浓度矩阵'!$AE$6:$AE$355,"&gt;0")</x:f>
        <x:v>1</x:v>
      </x:c>
      <x:c r="H409" s="3" t="n">
        <x:f>COUNTIFS('浓度矩阵'!$B$6:$B$355,"留出验证",'浓度矩阵'!$Z$6:$Z$355,"&gt;0",'浓度矩阵'!$AE$6:$AE$355,"&gt;0")</x:f>
        <x:v>0</x:v>
      </x:c>
      <x:c r="I409" s="3" t="n">
        <x:v>3</x:v>
      </x:c>
      <x:c r="J409" s="3" t="n">
        <x:v>3</x:v>
      </x:c>
      <x:c r="K409" s="3" t="n">
        <x:v>9</x:v>
      </x:c>
      <x:c r="L409" s="11" t="n">
        <x:f>J409/K409</x:f>
        <x:v>0.3333333333333333</x:v>
      </x:c>
    </x:row>
    <x:row r="410" ht="24" customHeight="1">
      <x:c r="A410" s="3" t="n">
        <x:v>141</x:v>
      </x:c>
      <x:c r="B410" s="3" t="n">
        <x:v>227</x:v>
      </x:c>
      <x:c r="C410" s="3" t="str">
        <x:v>戊酸乙酯</x:v>
      </x:c>
      <x:c r="D410" s="3" t="str">
        <x:v>己酸己酯</x:v>
      </x:c>
      <x:c r="E410" s="3" t="str">
        <x:v>3档×3档</x:v>
      </x:c>
      <x:c r="F410" s="3" t="n">
        <x:f>COUNTIFS('浓度矩阵'!$C$6:$C$355,1,'浓度矩阵'!$Z$6:$Z$355,"&gt;0",'浓度矩阵'!$AF$6:$AF$355,"&gt;0")</x:f>
        <x:v>3</x:v>
      </x:c>
      <x:c r="G410" s="3" t="n">
        <x:f>COUNTIFS('浓度矩阵'!$B$6:$B$355,"独立配制重复",'浓度矩阵'!$Z$6:$Z$355,"&gt;0",'浓度矩阵'!$AF$6:$AF$355,"&gt;0")</x:f>
        <x:v>0</x:v>
      </x:c>
      <x:c r="H410" s="3" t="n">
        <x:f>COUNTIFS('浓度矩阵'!$B$6:$B$355,"留出验证",'浓度矩阵'!$Z$6:$Z$355,"&gt;0",'浓度矩阵'!$AF$6:$AF$355,"&gt;0")</x:f>
        <x:v>0</x:v>
      </x:c>
      <x:c r="I410" s="3" t="n">
        <x:v>3</x:v>
      </x:c>
      <x:c r="J410" s="3" t="n">
        <x:v>3</x:v>
      </x:c>
      <x:c r="K410" s="3" t="n">
        <x:v>9</x:v>
      </x:c>
      <x:c r="L410" s="11" t="n">
        <x:f>J410/K410</x:f>
        <x:v>0.3333333333333333</x:v>
      </x:c>
    </x:row>
    <x:row r="411" ht="24" customHeight="1">
      <x:c r="A411" s="3" t="n">
        <x:v>141</x:v>
      </x:c>
      <x:c r="B411" s="3" t="n">
        <x:v>232</x:v>
      </x:c>
      <x:c r="C411" s="3" t="str">
        <x:v>戊酸乙酯</x:v>
      </x:c>
      <x:c r="D411" s="3" t="str">
        <x:v>2-甲基丁酸乙酯</x:v>
      </x:c>
      <x:c r="E411" s="3" t="str">
        <x:v>3档×3档</x:v>
      </x:c>
      <x:c r="F411" s="3" t="n">
        <x:f>COUNTIFS('浓度矩阵'!$C$6:$C$355,1,'浓度矩阵'!$Z$6:$Z$355,"&gt;0",'浓度矩阵'!$AG$6:$AG$355,"&gt;0")</x:f>
        <x:v>3</x:v>
      </x:c>
      <x:c r="G411" s="3" t="n">
        <x:f>COUNTIFS('浓度矩阵'!$B$6:$B$355,"独立配制重复",'浓度矩阵'!$Z$6:$Z$355,"&gt;0",'浓度矩阵'!$AG$6:$AG$355,"&gt;0")</x:f>
        <x:v>2</x:v>
      </x:c>
      <x:c r="H411" s="3" t="n">
        <x:f>COUNTIFS('浓度矩阵'!$B$6:$B$355,"留出验证",'浓度矩阵'!$Z$6:$Z$355,"&gt;0",'浓度矩阵'!$AG$6:$AG$355,"&gt;0")</x:f>
        <x:v>2</x:v>
      </x:c>
      <x:c r="I411" s="3" t="n">
        <x:v>3</x:v>
      </x:c>
      <x:c r="J411" s="3" t="n">
        <x:v>3</x:v>
      </x:c>
      <x:c r="K411" s="3" t="n">
        <x:v>9</x:v>
      </x:c>
      <x:c r="L411" s="11" t="n">
        <x:f>J411/K411</x:f>
        <x:v>0.3333333333333333</x:v>
      </x:c>
    </x:row>
    <x:row r="412" ht="24" customHeight="1">
      <x:c r="A412" s="3" t="n">
        <x:v>141</x:v>
      </x:c>
      <x:c r="B412" s="3" t="n">
        <x:v>255</x:v>
      </x:c>
      <x:c r="C412" s="3" t="str">
        <x:v>戊酸乙酯</x:v>
      </x:c>
      <x:c r="D412" s="3" t="str">
        <x:v>β-大马酮</x:v>
      </x:c>
      <x:c r="E412" s="3" t="str">
        <x:v>3档×3档</x:v>
      </x:c>
      <x:c r="F412" s="3" t="n">
        <x:f>COUNTIFS('浓度矩阵'!$C$6:$C$355,1,'浓度矩阵'!$Z$6:$Z$355,"&gt;0",'浓度矩阵'!$AH$6:$AH$355,"&gt;0")</x:f>
        <x:v>3</x:v>
      </x:c>
      <x:c r="G412" s="3" t="n">
        <x:f>COUNTIFS('浓度矩阵'!$B$6:$B$355,"独立配制重复",'浓度矩阵'!$Z$6:$Z$355,"&gt;0",'浓度矩阵'!$AH$6:$AH$355,"&gt;0")</x:f>
        <x:v>0</x:v>
      </x:c>
      <x:c r="H412" s="3" t="n">
        <x:f>COUNTIFS('浓度矩阵'!$B$6:$B$355,"留出验证",'浓度矩阵'!$Z$6:$Z$355,"&gt;0",'浓度矩阵'!$AH$6:$AH$355,"&gt;0")</x:f>
        <x:v>0</x:v>
      </x:c>
      <x:c r="I412" s="3" t="n">
        <x:v>3</x:v>
      </x:c>
      <x:c r="J412" s="3" t="n">
        <x:v>3</x:v>
      </x:c>
      <x:c r="K412" s="3" t="n">
        <x:v>9</x:v>
      </x:c>
      <x:c r="L412" s="11" t="n">
        <x:f>J412/K412</x:f>
        <x:v>0.3333333333333333</x:v>
      </x:c>
    </x:row>
    <x:row r="413" ht="24" customHeight="1">
      <x:c r="A413" s="3" t="n">
        <x:v>152</x:v>
      </x:c>
      <x:c r="B413" s="3" t="n">
        <x:v>165</x:v>
      </x:c>
      <x:c r="C413" s="3" t="str">
        <x:v>异戊醛</x:v>
      </x:c>
      <x:c r="D413" s="3" t="str">
        <x:v>己酸丁酯</x:v>
      </x:c>
      <x:c r="E413" s="3" t="str">
        <x:v>3档×2档</x:v>
      </x:c>
      <x:c r="F413" s="3" t="n">
        <x:f>COUNTIFS('浓度矩阵'!$C$6:$C$355,1,'浓度矩阵'!$AA$6:$AA$355,"&gt;0",'浓度矩阵'!$AB$6:$AB$355,"&gt;0")</x:f>
        <x:v>3</x:v>
      </x:c>
      <x:c r="G413" s="3" t="n">
        <x:f>COUNTIFS('浓度矩阵'!$B$6:$B$355,"独立配制重复",'浓度矩阵'!$AA$6:$AA$355,"&gt;0",'浓度矩阵'!$AB$6:$AB$355,"&gt;0")</x:f>
        <x:v>0</x:v>
      </x:c>
      <x:c r="H413" s="3" t="n">
        <x:f>COUNTIFS('浓度矩阵'!$B$6:$B$355,"留出验证",'浓度矩阵'!$AA$6:$AA$355,"&gt;0",'浓度矩阵'!$AB$6:$AB$355,"&gt;0")</x:f>
        <x:v>1</x:v>
      </x:c>
      <x:c r="I413" s="3" t="n">
        <x:v>3</x:v>
      </x:c>
      <x:c r="J413" s="3" t="n">
        <x:v>3</x:v>
      </x:c>
      <x:c r="K413" s="3" t="n">
        <x:v>6</x:v>
      </x:c>
      <x:c r="L413" s="11" t="n">
        <x:f>J413/K413</x:f>
        <x:v>0.5</x:v>
      </x:c>
    </x:row>
    <x:row r="414" ht="24" customHeight="1">
      <x:c r="A414" s="3" t="n">
        <x:v>152</x:v>
      </x:c>
      <x:c r="B414" s="3" t="n">
        <x:v>186</x:v>
      </x:c>
      <x:c r="C414" s="3" t="str">
        <x:v>异戊醛</x:v>
      </x:c>
      <x:c r="D414" s="3" t="str">
        <x:v>3-苯基丙酸乙酯</x:v>
      </x:c>
      <x:c r="E414" s="3" t="str">
        <x:v>3档×3档</x:v>
      </x:c>
      <x:c r="F414" s="3" t="n">
        <x:f>COUNTIFS('浓度矩阵'!$C$6:$C$355,1,'浓度矩阵'!$AA$6:$AA$355,"&gt;0",'浓度矩阵'!$AC$6:$AC$355,"&gt;0")</x:f>
        <x:v>3</x:v>
      </x:c>
      <x:c r="G414" s="3" t="n">
        <x:f>COUNTIFS('浓度矩阵'!$B$6:$B$355,"独立配制重复",'浓度矩阵'!$AA$6:$AA$355,"&gt;0",'浓度矩阵'!$AC$6:$AC$355,"&gt;0")</x:f>
        <x:v>2</x:v>
      </x:c>
      <x:c r="H414" s="3" t="n">
        <x:f>COUNTIFS('浓度矩阵'!$B$6:$B$355,"留出验证",'浓度矩阵'!$AA$6:$AA$355,"&gt;0",'浓度矩阵'!$AC$6:$AC$355,"&gt;0")</x:f>
        <x:v>0</x:v>
      </x:c>
      <x:c r="I414" s="3" t="n">
        <x:v>3</x:v>
      </x:c>
      <x:c r="J414" s="3" t="n">
        <x:v>3</x:v>
      </x:c>
      <x:c r="K414" s="3" t="n">
        <x:v>9</x:v>
      </x:c>
      <x:c r="L414" s="11" t="n">
        <x:f>J414/K414</x:f>
        <x:v>0.3333333333333333</x:v>
      </x:c>
    </x:row>
    <x:row r="415" ht="24" customHeight="1">
      <x:c r="A415" s="3" t="n">
        <x:v>152</x:v>
      </x:c>
      <x:c r="B415" s="3" t="n">
        <x:v>207</x:v>
      </x:c>
      <x:c r="C415" s="3" t="str">
        <x:v>异戊醛</x:v>
      </x:c>
      <x:c r="D415" s="3" t="str">
        <x:v>1-辛烯-3-醇</x:v>
      </x:c>
      <x:c r="E415" s="3" t="str">
        <x:v>3档×3档</x:v>
      </x:c>
      <x:c r="F415" s="3" t="n">
        <x:f>COUNTIFS('浓度矩阵'!$C$6:$C$355,1,'浓度矩阵'!$AA$6:$AA$355,"&gt;0",'浓度矩阵'!$AD$6:$AD$355,"&gt;0")</x:f>
        <x:v>3</x:v>
      </x:c>
      <x:c r="G415" s="3" t="n">
        <x:f>COUNTIFS('浓度矩阵'!$B$6:$B$355,"独立配制重复",'浓度矩阵'!$AA$6:$AA$355,"&gt;0",'浓度矩阵'!$AD$6:$AD$355,"&gt;0")</x:f>
        <x:v>0</x:v>
      </x:c>
      <x:c r="H415" s="3" t="n">
        <x:f>COUNTIFS('浓度矩阵'!$B$6:$B$355,"留出验证",'浓度矩阵'!$AA$6:$AA$355,"&gt;0",'浓度矩阵'!$AD$6:$AD$355,"&gt;0")</x:f>
        <x:v>0</x:v>
      </x:c>
      <x:c r="I415" s="3" t="n">
        <x:v>3</x:v>
      </x:c>
      <x:c r="J415" s="3" t="n">
        <x:v>3</x:v>
      </x:c>
      <x:c r="K415" s="3" t="n">
        <x:v>9</x:v>
      </x:c>
      <x:c r="L415" s="11" t="n">
        <x:f>J415/K415</x:f>
        <x:v>0.3333333333333333</x:v>
      </x:c>
    </x:row>
    <x:row r="416" ht="24" customHeight="1">
      <x:c r="A416" s="3" t="n">
        <x:v>152</x:v>
      </x:c>
      <x:c r="B416" s="3" t="n">
        <x:v>209</x:v>
      </x:c>
      <x:c r="C416" s="3" t="str">
        <x:v>异戊醛</x:v>
      </x:c>
      <x:c r="D416" s="3" t="str">
        <x:v>二甲基三硫醚</x:v>
      </x:c>
      <x:c r="E416" s="3" t="str">
        <x:v>3档×3档</x:v>
      </x:c>
      <x:c r="F416" s="3" t="n">
        <x:f>COUNTIFS('浓度矩阵'!$C$6:$C$355,1,'浓度矩阵'!$AA$6:$AA$355,"&gt;0",'浓度矩阵'!$AE$6:$AE$355,"&gt;0")</x:f>
        <x:v>2</x:v>
      </x:c>
      <x:c r="G416" s="3" t="n">
        <x:f>COUNTIFS('浓度矩阵'!$B$6:$B$355,"独立配制重复",'浓度矩阵'!$AA$6:$AA$355,"&gt;0",'浓度矩阵'!$AE$6:$AE$355,"&gt;0")</x:f>
        <x:v>0</x:v>
      </x:c>
      <x:c r="H416" s="3" t="n">
        <x:f>COUNTIFS('浓度矩阵'!$B$6:$B$355,"留出验证",'浓度矩阵'!$AA$6:$AA$355,"&gt;0",'浓度矩阵'!$AE$6:$AE$355,"&gt;0")</x:f>
        <x:v>0</x:v>
      </x:c>
      <x:c r="I416" s="3" t="n">
        <x:v>2</x:v>
      </x:c>
      <x:c r="J416" s="3" t="n">
        <x:v>2</x:v>
      </x:c>
      <x:c r="K416" s="3" t="n">
        <x:v>9</x:v>
      </x:c>
      <x:c r="L416" s="11" t="n">
        <x:f>J416/K416</x:f>
        <x:v>0.2222222222222222</x:v>
      </x:c>
    </x:row>
    <x:row r="417" ht="24" customHeight="1">
      <x:c r="A417" s="3" t="n">
        <x:v>152</x:v>
      </x:c>
      <x:c r="B417" s="3" t="n">
        <x:v>227</x:v>
      </x:c>
      <x:c r="C417" s="3" t="str">
        <x:v>异戊醛</x:v>
      </x:c>
      <x:c r="D417" s="3" t="str">
        <x:v>己酸己酯</x:v>
      </x:c>
      <x:c r="E417" s="3" t="str">
        <x:v>3档×3档</x:v>
      </x:c>
      <x:c r="F417" s="3" t="n">
        <x:f>COUNTIFS('浓度矩阵'!$C$6:$C$355,1,'浓度矩阵'!$AA$6:$AA$355,"&gt;0",'浓度矩阵'!$AF$6:$AF$355,"&gt;0")</x:f>
        <x:v>3</x:v>
      </x:c>
      <x:c r="G417" s="3" t="n">
        <x:f>COUNTIFS('浓度矩阵'!$B$6:$B$355,"独立配制重复",'浓度矩阵'!$AA$6:$AA$355,"&gt;0",'浓度矩阵'!$AF$6:$AF$355,"&gt;0")</x:f>
        <x:v>1</x:v>
      </x:c>
      <x:c r="H417" s="3" t="n">
        <x:f>COUNTIFS('浓度矩阵'!$B$6:$B$355,"留出验证",'浓度矩阵'!$AA$6:$AA$355,"&gt;0",'浓度矩阵'!$AF$6:$AF$355,"&gt;0")</x:f>
        <x:v>0</x:v>
      </x:c>
      <x:c r="I417" s="3" t="n">
        <x:v>3</x:v>
      </x:c>
      <x:c r="J417" s="3" t="n">
        <x:v>3</x:v>
      </x:c>
      <x:c r="K417" s="3" t="n">
        <x:v>9</x:v>
      </x:c>
      <x:c r="L417" s="11" t="n">
        <x:f>J417/K417</x:f>
        <x:v>0.3333333333333333</x:v>
      </x:c>
    </x:row>
    <x:row r="418" ht="24" customHeight="1">
      <x:c r="A418" s="3" t="n">
        <x:v>152</x:v>
      </x:c>
      <x:c r="B418" s="3" t="n">
        <x:v>232</x:v>
      </x:c>
      <x:c r="C418" s="3" t="str">
        <x:v>异戊醛</x:v>
      </x:c>
      <x:c r="D418" s="3" t="str">
        <x:v>2-甲基丁酸乙酯</x:v>
      </x:c>
      <x:c r="E418" s="3" t="str">
        <x:v>3档×3档</x:v>
      </x:c>
      <x:c r="F418" s="3" t="n">
        <x:f>COUNTIFS('浓度矩阵'!$C$6:$C$355,1,'浓度矩阵'!$AA$6:$AA$355,"&gt;0",'浓度矩阵'!$AG$6:$AG$355,"&gt;0")</x:f>
        <x:v>3</x:v>
      </x:c>
      <x:c r="G418" s="3" t="n">
        <x:f>COUNTIFS('浓度矩阵'!$B$6:$B$355,"独立配制重复",'浓度矩阵'!$AA$6:$AA$355,"&gt;0",'浓度矩阵'!$AG$6:$AG$355,"&gt;0")</x:f>
        <x:v>0</x:v>
      </x:c>
      <x:c r="H418" s="3" t="n">
        <x:f>COUNTIFS('浓度矩阵'!$B$6:$B$355,"留出验证",'浓度矩阵'!$AA$6:$AA$355,"&gt;0",'浓度矩阵'!$AG$6:$AG$355,"&gt;0")</x:f>
        <x:v>0</x:v>
      </x:c>
      <x:c r="I418" s="3" t="n">
        <x:v>3</x:v>
      </x:c>
      <x:c r="J418" s="3" t="n">
        <x:v>3</x:v>
      </x:c>
      <x:c r="K418" s="3" t="n">
        <x:v>9</x:v>
      </x:c>
      <x:c r="L418" s="11" t="n">
        <x:f>J418/K418</x:f>
        <x:v>0.3333333333333333</x:v>
      </x:c>
    </x:row>
    <x:row r="419" ht="24" customHeight="1">
      <x:c r="A419" s="3" t="n">
        <x:v>152</x:v>
      </x:c>
      <x:c r="B419" s="3" t="n">
        <x:v>255</x:v>
      </x:c>
      <x:c r="C419" s="3" t="str">
        <x:v>异戊醛</x:v>
      </x:c>
      <x:c r="D419" s="3" t="str">
        <x:v>β-大马酮</x:v>
      </x:c>
      <x:c r="E419" s="3" t="str">
        <x:v>3档×3档</x:v>
      </x:c>
      <x:c r="F419" s="3" t="n">
        <x:f>COUNTIFS('浓度矩阵'!$C$6:$C$355,1,'浓度矩阵'!$AA$6:$AA$355,"&gt;0",'浓度矩阵'!$AH$6:$AH$355,"&gt;0")</x:f>
        <x:v>3</x:v>
      </x:c>
      <x:c r="G419" s="3" t="n">
        <x:f>COUNTIFS('浓度矩阵'!$B$6:$B$355,"独立配制重复",'浓度矩阵'!$AA$6:$AA$355,"&gt;0",'浓度矩阵'!$AH$6:$AH$355,"&gt;0")</x:f>
        <x:v>1</x:v>
      </x:c>
      <x:c r="H419" s="3" t="n">
        <x:f>COUNTIFS('浓度矩阵'!$B$6:$B$355,"留出验证",'浓度矩阵'!$AA$6:$AA$355,"&gt;0",'浓度矩阵'!$AH$6:$AH$355,"&gt;0")</x:f>
        <x:v>0</x:v>
      </x:c>
      <x:c r="I419" s="3" t="n">
        <x:v>3</x:v>
      </x:c>
      <x:c r="J419" s="3" t="n">
        <x:v>3</x:v>
      </x:c>
      <x:c r="K419" s="3" t="n">
        <x:v>9</x:v>
      </x:c>
      <x:c r="L419" s="11" t="n">
        <x:f>J419/K419</x:f>
        <x:v>0.3333333333333333</x:v>
      </x:c>
    </x:row>
    <x:row r="420" ht="24" customHeight="1">
      <x:c r="A420" s="3" t="n">
        <x:v>165</x:v>
      </x:c>
      <x:c r="B420" s="3" t="n">
        <x:v>186</x:v>
      </x:c>
      <x:c r="C420" s="3" t="str">
        <x:v>己酸丁酯</x:v>
      </x:c>
      <x:c r="D420" s="3" t="str">
        <x:v>3-苯基丙酸乙酯</x:v>
      </x:c>
      <x:c r="E420" s="3" t="str">
        <x:v>2档×3档</x:v>
      </x:c>
      <x:c r="F420" s="3" t="n">
        <x:f>COUNTIFS('浓度矩阵'!$C$6:$C$355,1,'浓度矩阵'!$AB$6:$AB$355,"&gt;0",'浓度矩阵'!$AC$6:$AC$355,"&gt;0")</x:f>
        <x:v>3</x:v>
      </x:c>
      <x:c r="G420" s="3" t="n">
        <x:f>COUNTIFS('浓度矩阵'!$B$6:$B$355,"独立配制重复",'浓度矩阵'!$AB$6:$AB$355,"&gt;0",'浓度矩阵'!$AC$6:$AC$355,"&gt;0")</x:f>
        <x:v>0</x:v>
      </x:c>
      <x:c r="H420" s="3" t="n">
        <x:f>COUNTIFS('浓度矩阵'!$B$6:$B$355,"留出验证",'浓度矩阵'!$AB$6:$AB$355,"&gt;0",'浓度矩阵'!$AC$6:$AC$355,"&gt;0")</x:f>
        <x:v>0</x:v>
      </x:c>
      <x:c r="I420" s="3" t="n">
        <x:v>3</x:v>
      </x:c>
      <x:c r="J420" s="3" t="n">
        <x:v>3</x:v>
      </x:c>
      <x:c r="K420" s="3" t="n">
        <x:v>6</x:v>
      </x:c>
      <x:c r="L420" s="11" t="n">
        <x:f>J420/K420</x:f>
        <x:v>0.5</x:v>
      </x:c>
    </x:row>
    <x:row r="421" ht="24" customHeight="1">
      <x:c r="A421" s="3" t="n">
        <x:v>165</x:v>
      </x:c>
      <x:c r="B421" s="3" t="n">
        <x:v>207</x:v>
      </x:c>
      <x:c r="C421" s="3" t="str">
        <x:v>己酸丁酯</x:v>
      </x:c>
      <x:c r="D421" s="3" t="str">
        <x:v>1-辛烯-3-醇</x:v>
      </x:c>
      <x:c r="E421" s="3" t="str">
        <x:v>2档×3档</x:v>
      </x:c>
      <x:c r="F421" s="3" t="n">
        <x:f>COUNTIFS('浓度矩阵'!$C$6:$C$355,1,'浓度矩阵'!$AB$6:$AB$355,"&gt;0",'浓度矩阵'!$AD$6:$AD$355,"&gt;0")</x:f>
        <x:v>3</x:v>
      </x:c>
      <x:c r="G421" s="3" t="n">
        <x:f>COUNTIFS('浓度矩阵'!$B$6:$B$355,"独立配制重复",'浓度矩阵'!$AB$6:$AB$355,"&gt;0",'浓度矩阵'!$AD$6:$AD$355,"&gt;0")</x:f>
        <x:v>0</x:v>
      </x:c>
      <x:c r="H421" s="3" t="n">
        <x:f>COUNTIFS('浓度矩阵'!$B$6:$B$355,"留出验证",'浓度矩阵'!$AB$6:$AB$355,"&gt;0",'浓度矩阵'!$AD$6:$AD$355,"&gt;0")</x:f>
        <x:v>0</x:v>
      </x:c>
      <x:c r="I421" s="3" t="n">
        <x:v>3</x:v>
      </x:c>
      <x:c r="J421" s="3" t="n">
        <x:v>3</x:v>
      </x:c>
      <x:c r="K421" s="3" t="n">
        <x:v>6</x:v>
      </x:c>
      <x:c r="L421" s="11" t="n">
        <x:f>J421/K421</x:f>
        <x:v>0.5</x:v>
      </x:c>
    </x:row>
    <x:row r="422" ht="24" customHeight="1">
      <x:c r="A422" s="3" t="n">
        <x:v>165</x:v>
      </x:c>
      <x:c r="B422" s="3" t="n">
        <x:v>209</x:v>
      </x:c>
      <x:c r="C422" s="3" t="str">
        <x:v>己酸丁酯</x:v>
      </x:c>
      <x:c r="D422" s="3" t="str">
        <x:v>二甲基三硫醚</x:v>
      </x:c>
      <x:c r="E422" s="3" t="str">
        <x:v>2档×3档</x:v>
      </x:c>
      <x:c r="F422" s="3" t="n">
        <x:f>COUNTIFS('浓度矩阵'!$C$6:$C$355,1,'浓度矩阵'!$AB$6:$AB$355,"&gt;0",'浓度矩阵'!$AE$6:$AE$355,"&gt;0")</x:f>
        <x:v>3</x:v>
      </x:c>
      <x:c r="G422" s="3" t="n">
        <x:f>COUNTIFS('浓度矩阵'!$B$6:$B$355,"独立配制重复",'浓度矩阵'!$AB$6:$AB$355,"&gt;0",'浓度矩阵'!$AE$6:$AE$355,"&gt;0")</x:f>
        <x:v>0</x:v>
      </x:c>
      <x:c r="H422" s="3" t="n">
        <x:f>COUNTIFS('浓度矩阵'!$B$6:$B$355,"留出验证",'浓度矩阵'!$AB$6:$AB$355,"&gt;0",'浓度矩阵'!$AE$6:$AE$355,"&gt;0")</x:f>
        <x:v>0</x:v>
      </x:c>
      <x:c r="I422" s="3" t="n">
        <x:v>3</x:v>
      </x:c>
      <x:c r="J422" s="3" t="n">
        <x:v>3</x:v>
      </x:c>
      <x:c r="K422" s="3" t="n">
        <x:v>6</x:v>
      </x:c>
      <x:c r="L422" s="11" t="n">
        <x:f>J422/K422</x:f>
        <x:v>0.5</x:v>
      </x:c>
    </x:row>
    <x:row r="423" ht="24" customHeight="1">
      <x:c r="A423" s="3" t="n">
        <x:v>165</x:v>
      </x:c>
      <x:c r="B423" s="3" t="n">
        <x:v>227</x:v>
      </x:c>
      <x:c r="C423" s="3" t="str">
        <x:v>己酸丁酯</x:v>
      </x:c>
      <x:c r="D423" s="3" t="str">
        <x:v>己酸己酯</x:v>
      </x:c>
      <x:c r="E423" s="3" t="str">
        <x:v>2档×3档</x:v>
      </x:c>
      <x:c r="F423" s="3" t="n">
        <x:f>COUNTIFS('浓度矩阵'!$C$6:$C$355,1,'浓度矩阵'!$AB$6:$AB$355,"&gt;0",'浓度矩阵'!$AF$6:$AF$355,"&gt;0")</x:f>
        <x:v>3</x:v>
      </x:c>
      <x:c r="G423" s="3" t="n">
        <x:f>COUNTIFS('浓度矩阵'!$B$6:$B$355,"独立配制重复",'浓度矩阵'!$AB$6:$AB$355,"&gt;0",'浓度矩阵'!$AF$6:$AF$355,"&gt;0")</x:f>
        <x:v>0</x:v>
      </x:c>
      <x:c r="H423" s="3" t="n">
        <x:f>COUNTIFS('浓度矩阵'!$B$6:$B$355,"留出验证",'浓度矩阵'!$AB$6:$AB$355,"&gt;0",'浓度矩阵'!$AF$6:$AF$355,"&gt;0")</x:f>
        <x:v>0</x:v>
      </x:c>
      <x:c r="I423" s="3" t="n">
        <x:v>3</x:v>
      </x:c>
      <x:c r="J423" s="3" t="n">
        <x:v>3</x:v>
      </x:c>
      <x:c r="K423" s="3" t="n">
        <x:v>6</x:v>
      </x:c>
      <x:c r="L423" s="11" t="n">
        <x:f>J423/K423</x:f>
        <x:v>0.5</x:v>
      </x:c>
    </x:row>
    <x:row r="424" ht="24" customHeight="1">
      <x:c r="A424" s="3" t="n">
        <x:v>165</x:v>
      </x:c>
      <x:c r="B424" s="3" t="n">
        <x:v>232</x:v>
      </x:c>
      <x:c r="C424" s="3" t="str">
        <x:v>己酸丁酯</x:v>
      </x:c>
      <x:c r="D424" s="3" t="str">
        <x:v>2-甲基丁酸乙酯</x:v>
      </x:c>
      <x:c r="E424" s="3" t="str">
        <x:v>2档×3档</x:v>
      </x:c>
      <x:c r="F424" s="3" t="n">
        <x:f>COUNTIFS('浓度矩阵'!$C$6:$C$355,1,'浓度矩阵'!$AB$6:$AB$355,"&gt;0",'浓度矩阵'!$AG$6:$AG$355,"&gt;0")</x:f>
        <x:v>3</x:v>
      </x:c>
      <x:c r="G424" s="3" t="n">
        <x:f>COUNTIFS('浓度矩阵'!$B$6:$B$355,"独立配制重复",'浓度矩阵'!$AB$6:$AB$355,"&gt;0",'浓度矩阵'!$AG$6:$AG$355,"&gt;0")</x:f>
        <x:v>0</x:v>
      </x:c>
      <x:c r="H424" s="3" t="n">
        <x:f>COUNTIFS('浓度矩阵'!$B$6:$B$355,"留出验证",'浓度矩阵'!$AB$6:$AB$355,"&gt;0",'浓度矩阵'!$AG$6:$AG$355,"&gt;0")</x:f>
        <x:v>1</x:v>
      </x:c>
      <x:c r="I424" s="3" t="n">
        <x:v>3</x:v>
      </x:c>
      <x:c r="J424" s="3" t="n">
        <x:v>3</x:v>
      </x:c>
      <x:c r="K424" s="3" t="n">
        <x:v>6</x:v>
      </x:c>
      <x:c r="L424" s="11" t="n">
        <x:f>J424/K424</x:f>
        <x:v>0.5</x:v>
      </x:c>
    </x:row>
    <x:row r="425" ht="24" customHeight="1">
      <x:c r="A425" s="3" t="n">
        <x:v>165</x:v>
      </x:c>
      <x:c r="B425" s="3" t="n">
        <x:v>255</x:v>
      </x:c>
      <x:c r="C425" s="3" t="str">
        <x:v>己酸丁酯</x:v>
      </x:c>
      <x:c r="D425" s="3" t="str">
        <x:v>β-大马酮</x:v>
      </x:c>
      <x:c r="E425" s="3" t="str">
        <x:v>2档×3档</x:v>
      </x:c>
      <x:c r="F425" s="3" t="n">
        <x:f>COUNTIFS('浓度矩阵'!$C$6:$C$355,1,'浓度矩阵'!$AB$6:$AB$355,"&gt;0",'浓度矩阵'!$AH$6:$AH$355,"&gt;0")</x:f>
        <x:v>3</x:v>
      </x:c>
      <x:c r="G425" s="3" t="n">
        <x:f>COUNTIFS('浓度矩阵'!$B$6:$B$355,"独立配制重复",'浓度矩阵'!$AB$6:$AB$355,"&gt;0",'浓度矩阵'!$AH$6:$AH$355,"&gt;0")</x:f>
        <x:v>0</x:v>
      </x:c>
      <x:c r="H425" s="3" t="n">
        <x:f>COUNTIFS('浓度矩阵'!$B$6:$B$355,"留出验证",'浓度矩阵'!$AB$6:$AB$355,"&gt;0",'浓度矩阵'!$AH$6:$AH$355,"&gt;0")</x:f>
        <x:v>0</x:v>
      </x:c>
      <x:c r="I425" s="3" t="n">
        <x:v>3</x:v>
      </x:c>
      <x:c r="J425" s="3" t="n">
        <x:v>3</x:v>
      </x:c>
      <x:c r="K425" s="3" t="n">
        <x:v>6</x:v>
      </x:c>
      <x:c r="L425" s="11" t="n">
        <x:f>J425/K425</x:f>
        <x:v>0.5</x:v>
      </x:c>
    </x:row>
    <x:row r="426" ht="24" customHeight="1">
      <x:c r="A426" s="3" t="n">
        <x:v>186</x:v>
      </x:c>
      <x:c r="B426" s="3" t="n">
        <x:v>207</x:v>
      </x:c>
      <x:c r="C426" s="3" t="str">
        <x:v>3-苯基丙酸乙酯</x:v>
      </x:c>
      <x:c r="D426" s="3" t="str">
        <x:v>1-辛烯-3-醇</x:v>
      </x:c>
      <x:c r="E426" s="3" t="str">
        <x:v>3档×3档</x:v>
      </x:c>
      <x:c r="F426" s="3" t="n">
        <x:f>COUNTIFS('浓度矩阵'!$C$6:$C$355,1,'浓度矩阵'!$AC$6:$AC$355,"&gt;0",'浓度矩阵'!$AD$6:$AD$355,"&gt;0")</x:f>
        <x:v>3</x:v>
      </x:c>
      <x:c r="G426" s="3" t="n">
        <x:f>COUNTIFS('浓度矩阵'!$B$6:$B$355,"独立配制重复",'浓度矩阵'!$AC$6:$AC$355,"&gt;0",'浓度矩阵'!$AD$6:$AD$355,"&gt;0")</x:f>
        <x:v>0</x:v>
      </x:c>
      <x:c r="H426" s="3" t="n">
        <x:f>COUNTIFS('浓度矩阵'!$B$6:$B$355,"留出验证",'浓度矩阵'!$AC$6:$AC$355,"&gt;0",'浓度矩阵'!$AD$6:$AD$355,"&gt;0")</x:f>
        <x:v>0</x:v>
      </x:c>
      <x:c r="I426" s="3" t="n">
        <x:v>3</x:v>
      </x:c>
      <x:c r="J426" s="3" t="n">
        <x:v>3</x:v>
      </x:c>
      <x:c r="K426" s="3" t="n">
        <x:v>9</x:v>
      </x:c>
      <x:c r="L426" s="11" t="n">
        <x:f>J426/K426</x:f>
        <x:v>0.3333333333333333</x:v>
      </x:c>
    </x:row>
    <x:row r="427" ht="24" customHeight="1">
      <x:c r="A427" s="3" t="n">
        <x:v>186</x:v>
      </x:c>
      <x:c r="B427" s="3" t="n">
        <x:v>209</x:v>
      </x:c>
      <x:c r="C427" s="3" t="str">
        <x:v>3-苯基丙酸乙酯</x:v>
      </x:c>
      <x:c r="D427" s="3" t="str">
        <x:v>二甲基三硫醚</x:v>
      </x:c>
      <x:c r="E427" s="3" t="str">
        <x:v>3档×3档</x:v>
      </x:c>
      <x:c r="F427" s="3" t="n">
        <x:f>COUNTIFS('浓度矩阵'!$C$6:$C$355,1,'浓度矩阵'!$AC$6:$AC$355,"&gt;0",'浓度矩阵'!$AE$6:$AE$355,"&gt;0")</x:f>
        <x:v>3</x:v>
      </x:c>
      <x:c r="G427" s="3" t="n">
        <x:f>COUNTIFS('浓度矩阵'!$B$6:$B$355,"独立配制重复",'浓度矩阵'!$AC$6:$AC$355,"&gt;0",'浓度矩阵'!$AE$6:$AE$355,"&gt;0")</x:f>
        <x:v>0</x:v>
      </x:c>
      <x:c r="H427" s="3" t="n">
        <x:f>COUNTIFS('浓度矩阵'!$B$6:$B$355,"留出验证",'浓度矩阵'!$AC$6:$AC$355,"&gt;0",'浓度矩阵'!$AE$6:$AE$355,"&gt;0")</x:f>
        <x:v>0</x:v>
      </x:c>
      <x:c r="I427" s="3" t="n">
        <x:v>3</x:v>
      </x:c>
      <x:c r="J427" s="3" t="n">
        <x:v>3</x:v>
      </x:c>
      <x:c r="K427" s="3" t="n">
        <x:v>9</x:v>
      </x:c>
      <x:c r="L427" s="11" t="n">
        <x:f>J427/K427</x:f>
        <x:v>0.3333333333333333</x:v>
      </x:c>
    </x:row>
    <x:row r="428" ht="24" customHeight="1">
      <x:c r="A428" s="3" t="n">
        <x:v>186</x:v>
      </x:c>
      <x:c r="B428" s="3" t="n">
        <x:v>227</x:v>
      </x:c>
      <x:c r="C428" s="3" t="str">
        <x:v>3-苯基丙酸乙酯</x:v>
      </x:c>
      <x:c r="D428" s="3" t="str">
        <x:v>己酸己酯</x:v>
      </x:c>
      <x:c r="E428" s="3" t="str">
        <x:v>3档×3档</x:v>
      </x:c>
      <x:c r="F428" s="3" t="n">
        <x:f>COUNTIFS('浓度矩阵'!$C$6:$C$355,1,'浓度矩阵'!$AC$6:$AC$355,"&gt;0",'浓度矩阵'!$AF$6:$AF$355,"&gt;0")</x:f>
        <x:v>4</x:v>
      </x:c>
      <x:c r="G428" s="3" t="n">
        <x:f>COUNTIFS('浓度矩阵'!$B$6:$B$355,"独立配制重复",'浓度矩阵'!$AC$6:$AC$355,"&gt;0",'浓度矩阵'!$AF$6:$AF$355,"&gt;0")</x:f>
        <x:v>2</x:v>
      </x:c>
      <x:c r="H428" s="3" t="n">
        <x:f>COUNTIFS('浓度矩阵'!$B$6:$B$355,"留出验证",'浓度矩阵'!$AC$6:$AC$355,"&gt;0",'浓度矩阵'!$AF$6:$AF$355,"&gt;0")</x:f>
        <x:v>0</x:v>
      </x:c>
      <x:c r="I428" s="3" t="n">
        <x:v>4</x:v>
      </x:c>
      <x:c r="J428" s="3" t="n">
        <x:v>4</x:v>
      </x:c>
      <x:c r="K428" s="3" t="n">
        <x:v>9</x:v>
      </x:c>
      <x:c r="L428" s="11" t="n">
        <x:f>J428/K428</x:f>
        <x:v>0.4444444444444444</x:v>
      </x:c>
    </x:row>
    <x:row r="429" ht="24" customHeight="1">
      <x:c r="A429" s="3" t="n">
        <x:v>186</x:v>
      </x:c>
      <x:c r="B429" s="3" t="n">
        <x:v>232</x:v>
      </x:c>
      <x:c r="C429" s="3" t="str">
        <x:v>3-苯基丙酸乙酯</x:v>
      </x:c>
      <x:c r="D429" s="3" t="str">
        <x:v>2-甲基丁酸乙酯</x:v>
      </x:c>
      <x:c r="E429" s="3" t="str">
        <x:v>3档×3档</x:v>
      </x:c>
      <x:c r="F429" s="3" t="n">
        <x:f>COUNTIFS('浓度矩阵'!$C$6:$C$355,1,'浓度矩阵'!$AC$6:$AC$355,"&gt;0",'浓度矩阵'!$AG$6:$AG$355,"&gt;0")</x:f>
        <x:v>3</x:v>
      </x:c>
      <x:c r="G429" s="3" t="n">
        <x:f>COUNTIFS('浓度矩阵'!$B$6:$B$355,"独立配制重复",'浓度矩阵'!$AC$6:$AC$355,"&gt;0",'浓度矩阵'!$AG$6:$AG$355,"&gt;0")</x:f>
        <x:v>2</x:v>
      </x:c>
      <x:c r="H429" s="3" t="n">
        <x:f>COUNTIFS('浓度矩阵'!$B$6:$B$355,"留出验证",'浓度矩阵'!$AC$6:$AC$355,"&gt;0",'浓度矩阵'!$AG$6:$AG$355,"&gt;0")</x:f>
        <x:v>0</x:v>
      </x:c>
      <x:c r="I429" s="3" t="n">
        <x:v>3</x:v>
      </x:c>
      <x:c r="J429" s="3" t="n">
        <x:v>3</x:v>
      </x:c>
      <x:c r="K429" s="3" t="n">
        <x:v>9</x:v>
      </x:c>
      <x:c r="L429" s="11" t="n">
        <x:f>J429/K429</x:f>
        <x:v>0.3333333333333333</x:v>
      </x:c>
    </x:row>
    <x:row r="430" ht="24" customHeight="1">
      <x:c r="A430" s="3" t="n">
        <x:v>186</x:v>
      </x:c>
      <x:c r="B430" s="3" t="n">
        <x:v>255</x:v>
      </x:c>
      <x:c r="C430" s="3" t="str">
        <x:v>3-苯基丙酸乙酯</x:v>
      </x:c>
      <x:c r="D430" s="3" t="str">
        <x:v>β-大马酮</x:v>
      </x:c>
      <x:c r="E430" s="3" t="str">
        <x:v>3档×3档</x:v>
      </x:c>
      <x:c r="F430" s="3" t="n">
        <x:f>COUNTIFS('浓度矩阵'!$C$6:$C$355,1,'浓度矩阵'!$AC$6:$AC$355,"&gt;0",'浓度矩阵'!$AH$6:$AH$355,"&gt;0")</x:f>
        <x:v>3</x:v>
      </x:c>
      <x:c r="G430" s="3" t="n">
        <x:f>COUNTIFS('浓度矩阵'!$B$6:$B$355,"独立配制重复",'浓度矩阵'!$AC$6:$AC$355,"&gt;0",'浓度矩阵'!$AH$6:$AH$355,"&gt;0")</x:f>
        <x:v>2</x:v>
      </x:c>
      <x:c r="H430" s="3" t="n">
        <x:f>COUNTIFS('浓度矩阵'!$B$6:$B$355,"留出验证",'浓度矩阵'!$AC$6:$AC$355,"&gt;0",'浓度矩阵'!$AH$6:$AH$355,"&gt;0")</x:f>
        <x:v>0</x:v>
      </x:c>
      <x:c r="I430" s="3" t="n">
        <x:v>3</x:v>
      </x:c>
      <x:c r="J430" s="3" t="n">
        <x:v>3</x:v>
      </x:c>
      <x:c r="K430" s="3" t="n">
        <x:v>9</x:v>
      </x:c>
      <x:c r="L430" s="11" t="n">
        <x:f>J430/K430</x:f>
        <x:v>0.3333333333333333</x:v>
      </x:c>
    </x:row>
    <x:row r="431" ht="24" customHeight="1">
      <x:c r="A431" s="3" t="n">
        <x:v>207</x:v>
      </x:c>
      <x:c r="B431" s="3" t="n">
        <x:v>209</x:v>
      </x:c>
      <x:c r="C431" s="3" t="str">
        <x:v>1-辛烯-3-醇</x:v>
      </x:c>
      <x:c r="D431" s="3" t="str">
        <x:v>二甲基三硫醚</x:v>
      </x:c>
      <x:c r="E431" s="3" t="str">
        <x:v>3档×3档</x:v>
      </x:c>
      <x:c r="F431" s="3" t="n">
        <x:f>COUNTIFS('浓度矩阵'!$C$6:$C$355,1,'浓度矩阵'!$AD$6:$AD$355,"&gt;0",'浓度矩阵'!$AE$6:$AE$355,"&gt;0")</x:f>
        <x:v>3</x:v>
      </x:c>
      <x:c r="G431" s="3" t="n">
        <x:f>COUNTIFS('浓度矩阵'!$B$6:$B$355,"独立配制重复",'浓度矩阵'!$AD$6:$AD$355,"&gt;0",'浓度矩阵'!$AE$6:$AE$355,"&gt;0")</x:f>
        <x:v>0</x:v>
      </x:c>
      <x:c r="H431" s="3" t="n">
        <x:f>COUNTIFS('浓度矩阵'!$B$6:$B$355,"留出验证",'浓度矩阵'!$AD$6:$AD$355,"&gt;0",'浓度矩阵'!$AE$6:$AE$355,"&gt;0")</x:f>
        <x:v>0</x:v>
      </x:c>
      <x:c r="I431" s="3" t="n">
        <x:v>3</x:v>
      </x:c>
      <x:c r="J431" s="3" t="n">
        <x:v>3</x:v>
      </x:c>
      <x:c r="K431" s="3" t="n">
        <x:v>9</x:v>
      </x:c>
      <x:c r="L431" s="11" t="n">
        <x:f>J431/K431</x:f>
        <x:v>0.3333333333333333</x:v>
      </x:c>
    </x:row>
    <x:row r="432" ht="24" customHeight="1">
      <x:c r="A432" s="3" t="n">
        <x:v>207</x:v>
      </x:c>
      <x:c r="B432" s="3" t="n">
        <x:v>227</x:v>
      </x:c>
      <x:c r="C432" s="3" t="str">
        <x:v>1-辛烯-3-醇</x:v>
      </x:c>
      <x:c r="D432" s="3" t="str">
        <x:v>己酸己酯</x:v>
      </x:c>
      <x:c r="E432" s="3" t="str">
        <x:v>3档×3档</x:v>
      </x:c>
      <x:c r="F432" s="3" t="n">
        <x:f>COUNTIFS('浓度矩阵'!$C$6:$C$355,1,'浓度矩阵'!$AD$6:$AD$355,"&gt;0",'浓度矩阵'!$AF$6:$AF$355,"&gt;0")</x:f>
        <x:v>3</x:v>
      </x:c>
      <x:c r="G432" s="3" t="n">
        <x:f>COUNTIFS('浓度矩阵'!$B$6:$B$355,"独立配制重复",'浓度矩阵'!$AD$6:$AD$355,"&gt;0",'浓度矩阵'!$AF$6:$AF$355,"&gt;0")</x:f>
        <x:v>0</x:v>
      </x:c>
      <x:c r="H432" s="3" t="n">
        <x:f>COUNTIFS('浓度矩阵'!$B$6:$B$355,"留出验证",'浓度矩阵'!$AD$6:$AD$355,"&gt;0",'浓度矩阵'!$AF$6:$AF$355,"&gt;0")</x:f>
        <x:v>0</x:v>
      </x:c>
      <x:c r="I432" s="3" t="n">
        <x:v>3</x:v>
      </x:c>
      <x:c r="J432" s="3" t="n">
        <x:v>3</x:v>
      </x:c>
      <x:c r="K432" s="3" t="n">
        <x:v>9</x:v>
      </x:c>
      <x:c r="L432" s="11" t="n">
        <x:f>J432/K432</x:f>
        <x:v>0.3333333333333333</x:v>
      </x:c>
    </x:row>
    <x:row r="433" ht="24" customHeight="1">
      <x:c r="A433" s="3" t="n">
        <x:v>207</x:v>
      </x:c>
      <x:c r="B433" s="3" t="n">
        <x:v>232</x:v>
      </x:c>
      <x:c r="C433" s="3" t="str">
        <x:v>1-辛烯-3-醇</x:v>
      </x:c>
      <x:c r="D433" s="3" t="str">
        <x:v>2-甲基丁酸乙酯</x:v>
      </x:c>
      <x:c r="E433" s="3" t="str">
        <x:v>3档×3档</x:v>
      </x:c>
      <x:c r="F433" s="3" t="n">
        <x:f>COUNTIFS('浓度矩阵'!$C$6:$C$355,1,'浓度矩阵'!$AD$6:$AD$355,"&gt;0",'浓度矩阵'!$AG$6:$AG$355,"&gt;0")</x:f>
        <x:v>3</x:v>
      </x:c>
      <x:c r="G433" s="3" t="n">
        <x:f>COUNTIFS('浓度矩阵'!$B$6:$B$355,"独立配制重复",'浓度矩阵'!$AD$6:$AD$355,"&gt;0",'浓度矩阵'!$AG$6:$AG$355,"&gt;0")</x:f>
        <x:v>0</x:v>
      </x:c>
      <x:c r="H433" s="3" t="n">
        <x:f>COUNTIFS('浓度矩阵'!$B$6:$B$355,"留出验证",'浓度矩阵'!$AD$6:$AD$355,"&gt;0",'浓度矩阵'!$AG$6:$AG$355,"&gt;0")</x:f>
        <x:v>0</x:v>
      </x:c>
      <x:c r="I433" s="3" t="n">
        <x:v>3</x:v>
      </x:c>
      <x:c r="J433" s="3" t="n">
        <x:v>3</x:v>
      </x:c>
      <x:c r="K433" s="3" t="n">
        <x:v>9</x:v>
      </x:c>
      <x:c r="L433" s="11" t="n">
        <x:f>J433/K433</x:f>
        <x:v>0.3333333333333333</x:v>
      </x:c>
    </x:row>
    <x:row r="434" ht="24" customHeight="1">
      <x:c r="A434" s="3" t="n">
        <x:v>207</x:v>
      </x:c>
      <x:c r="B434" s="3" t="n">
        <x:v>255</x:v>
      </x:c>
      <x:c r="C434" s="3" t="str">
        <x:v>1-辛烯-3-醇</x:v>
      </x:c>
      <x:c r="D434" s="3" t="str">
        <x:v>β-大马酮</x:v>
      </x:c>
      <x:c r="E434" s="3" t="str">
        <x:v>3档×3档</x:v>
      </x:c>
      <x:c r="F434" s="3" t="n">
        <x:f>COUNTIFS('浓度矩阵'!$C$6:$C$355,1,'浓度矩阵'!$AD$6:$AD$355,"&gt;0",'浓度矩阵'!$AH$6:$AH$355,"&gt;0")</x:f>
        <x:v>3</x:v>
      </x:c>
      <x:c r="G434" s="3" t="n">
        <x:f>COUNTIFS('浓度矩阵'!$B$6:$B$355,"独立配制重复",'浓度矩阵'!$AD$6:$AD$355,"&gt;0",'浓度矩阵'!$AH$6:$AH$355,"&gt;0")</x:f>
        <x:v>0</x:v>
      </x:c>
      <x:c r="H434" s="3" t="n">
        <x:f>COUNTIFS('浓度矩阵'!$B$6:$B$355,"留出验证",'浓度矩阵'!$AD$6:$AD$355,"&gt;0",'浓度矩阵'!$AH$6:$AH$355,"&gt;0")</x:f>
        <x:v>0</x:v>
      </x:c>
      <x:c r="I434" s="3" t="n">
        <x:v>3</x:v>
      </x:c>
      <x:c r="J434" s="3" t="n">
        <x:v>3</x:v>
      </x:c>
      <x:c r="K434" s="3" t="n">
        <x:v>9</x:v>
      </x:c>
      <x:c r="L434" s="11" t="n">
        <x:f>J434/K434</x:f>
        <x:v>0.3333333333333333</x:v>
      </x:c>
    </x:row>
    <x:row r="435" ht="24" customHeight="1">
      <x:c r="A435" s="3" t="n">
        <x:v>209</x:v>
      </x:c>
      <x:c r="B435" s="3" t="n">
        <x:v>227</x:v>
      </x:c>
      <x:c r="C435" s="3" t="str">
        <x:v>二甲基三硫醚</x:v>
      </x:c>
      <x:c r="D435" s="3" t="str">
        <x:v>己酸己酯</x:v>
      </x:c>
      <x:c r="E435" s="3" t="str">
        <x:v>3档×3档</x:v>
      </x:c>
      <x:c r="F435" s="3" t="n">
        <x:f>COUNTIFS('浓度矩阵'!$C$6:$C$355,1,'浓度矩阵'!$AE$6:$AE$355,"&gt;0",'浓度矩阵'!$AF$6:$AF$355,"&gt;0")</x:f>
        <x:v>3</x:v>
      </x:c>
      <x:c r="G435" s="3" t="n">
        <x:f>COUNTIFS('浓度矩阵'!$B$6:$B$355,"独立配制重复",'浓度矩阵'!$AE$6:$AE$355,"&gt;0",'浓度矩阵'!$AF$6:$AF$355,"&gt;0")</x:f>
        <x:v>1</x:v>
      </x:c>
      <x:c r="H435" s="3" t="n">
        <x:f>COUNTIFS('浓度矩阵'!$B$6:$B$355,"留出验证",'浓度矩阵'!$AE$6:$AE$355,"&gt;0",'浓度矩阵'!$AF$6:$AF$355,"&gt;0")</x:f>
        <x:v>1</x:v>
      </x:c>
      <x:c r="I435" s="3" t="n">
        <x:v>3</x:v>
      </x:c>
      <x:c r="J435" s="3" t="n">
        <x:v>3</x:v>
      </x:c>
      <x:c r="K435" s="3" t="n">
        <x:v>9</x:v>
      </x:c>
      <x:c r="L435" s="11" t="n">
        <x:f>J435/K435</x:f>
        <x:v>0.3333333333333333</x:v>
      </x:c>
    </x:row>
    <x:row r="436" ht="24" customHeight="1">
      <x:c r="A436" s="3" t="n">
        <x:v>209</x:v>
      </x:c>
      <x:c r="B436" s="3" t="n">
        <x:v>232</x:v>
      </x:c>
      <x:c r="C436" s="3" t="str">
        <x:v>二甲基三硫醚</x:v>
      </x:c>
      <x:c r="D436" s="3" t="str">
        <x:v>2-甲基丁酸乙酯</x:v>
      </x:c>
      <x:c r="E436" s="3" t="str">
        <x:v>3档×3档</x:v>
      </x:c>
      <x:c r="F436" s="3" t="n">
        <x:f>COUNTIFS('浓度矩阵'!$C$6:$C$355,1,'浓度矩阵'!$AE$6:$AE$355,"&gt;0",'浓度矩阵'!$AG$6:$AG$355,"&gt;0")</x:f>
        <x:v>3</x:v>
      </x:c>
      <x:c r="G436" s="3" t="n">
        <x:f>COUNTIFS('浓度矩阵'!$B$6:$B$355,"独立配制重复",'浓度矩阵'!$AE$6:$AE$355,"&gt;0",'浓度矩阵'!$AG$6:$AG$355,"&gt;0")</x:f>
        <x:v>0</x:v>
      </x:c>
      <x:c r="H436" s="3" t="n">
        <x:f>COUNTIFS('浓度矩阵'!$B$6:$B$355,"留出验证",'浓度矩阵'!$AE$6:$AE$355,"&gt;0",'浓度矩阵'!$AG$6:$AG$355,"&gt;0")</x:f>
        <x:v>0</x:v>
      </x:c>
      <x:c r="I436" s="3" t="n">
        <x:v>3</x:v>
      </x:c>
      <x:c r="J436" s="3" t="n">
        <x:v>3</x:v>
      </x:c>
      <x:c r="K436" s="3" t="n">
        <x:v>9</x:v>
      </x:c>
      <x:c r="L436" s="11" t="n">
        <x:f>J436/K436</x:f>
        <x:v>0.3333333333333333</x:v>
      </x:c>
    </x:row>
    <x:row r="437" ht="24" customHeight="1">
      <x:c r="A437" s="3" t="n">
        <x:v>209</x:v>
      </x:c>
      <x:c r="B437" s="3" t="n">
        <x:v>255</x:v>
      </x:c>
      <x:c r="C437" s="3" t="str">
        <x:v>二甲基三硫醚</x:v>
      </x:c>
      <x:c r="D437" s="3" t="str">
        <x:v>β-大马酮</x:v>
      </x:c>
      <x:c r="E437" s="3" t="str">
        <x:v>3档×3档</x:v>
      </x:c>
      <x:c r="F437" s="3" t="n">
        <x:f>COUNTIFS('浓度矩阵'!$C$6:$C$355,1,'浓度矩阵'!$AE$6:$AE$355,"&gt;0",'浓度矩阵'!$AH$6:$AH$355,"&gt;0")</x:f>
        <x:v>3</x:v>
      </x:c>
      <x:c r="G437" s="3" t="n">
        <x:f>COUNTIFS('浓度矩阵'!$B$6:$B$355,"独立配制重复",'浓度矩阵'!$AE$6:$AE$355,"&gt;0",'浓度矩阵'!$AH$6:$AH$355,"&gt;0")</x:f>
        <x:v>1</x:v>
      </x:c>
      <x:c r="H437" s="3" t="n">
        <x:f>COUNTIFS('浓度矩阵'!$B$6:$B$355,"留出验证",'浓度矩阵'!$AE$6:$AE$355,"&gt;0",'浓度矩阵'!$AH$6:$AH$355,"&gt;0")</x:f>
        <x:v>0</x:v>
      </x:c>
      <x:c r="I437" s="3" t="n">
        <x:v>3</x:v>
      </x:c>
      <x:c r="J437" s="3" t="n">
        <x:v>3</x:v>
      </x:c>
      <x:c r="K437" s="3" t="n">
        <x:v>9</x:v>
      </x:c>
      <x:c r="L437" s="11" t="n">
        <x:f>J437/K437</x:f>
        <x:v>0.3333333333333333</x:v>
      </x:c>
    </x:row>
    <x:row r="438" ht="24" customHeight="1">
      <x:c r="A438" s="3" t="n">
        <x:v>227</x:v>
      </x:c>
      <x:c r="B438" s="3" t="n">
        <x:v>232</x:v>
      </x:c>
      <x:c r="C438" s="3" t="str">
        <x:v>己酸己酯</x:v>
      </x:c>
      <x:c r="D438" s="3" t="str">
        <x:v>2-甲基丁酸乙酯</x:v>
      </x:c>
      <x:c r="E438" s="3" t="str">
        <x:v>3档×3档</x:v>
      </x:c>
      <x:c r="F438" s="3" t="n">
        <x:f>COUNTIFS('浓度矩阵'!$C$6:$C$355,1,'浓度矩阵'!$AF$6:$AF$355,"&gt;0",'浓度矩阵'!$AG$6:$AG$355,"&gt;0")</x:f>
        <x:v>3</x:v>
      </x:c>
      <x:c r="G438" s="3" t="n">
        <x:f>COUNTIFS('浓度矩阵'!$B$6:$B$355,"独立配制重复",'浓度矩阵'!$AF$6:$AF$355,"&gt;0",'浓度矩阵'!$AG$6:$AG$355,"&gt;0")</x:f>
        <x:v>0</x:v>
      </x:c>
      <x:c r="H438" s="3" t="n">
        <x:f>COUNTIFS('浓度矩阵'!$B$6:$B$355,"留出验证",'浓度矩阵'!$AF$6:$AF$355,"&gt;0",'浓度矩阵'!$AG$6:$AG$355,"&gt;0")</x:f>
        <x:v>0</x:v>
      </x:c>
      <x:c r="I438" s="3" t="n">
        <x:v>3</x:v>
      </x:c>
      <x:c r="J438" s="3" t="n">
        <x:v>3</x:v>
      </x:c>
      <x:c r="K438" s="3" t="n">
        <x:v>9</x:v>
      </x:c>
      <x:c r="L438" s="11" t="n">
        <x:f>J438/K438</x:f>
        <x:v>0.3333333333333333</x:v>
      </x:c>
    </x:row>
    <x:row r="439" ht="24" customHeight="1">
      <x:c r="A439" s="3" t="n">
        <x:v>227</x:v>
      </x:c>
      <x:c r="B439" s="3" t="n">
        <x:v>255</x:v>
      </x:c>
      <x:c r="C439" s="3" t="str">
        <x:v>己酸己酯</x:v>
      </x:c>
      <x:c r="D439" s="3" t="str">
        <x:v>β-大马酮</x:v>
      </x:c>
      <x:c r="E439" s="3" t="str">
        <x:v>3档×3档</x:v>
      </x:c>
      <x:c r="F439" s="3" t="n">
        <x:f>COUNTIFS('浓度矩阵'!$C$6:$C$355,1,'浓度矩阵'!$AF$6:$AF$355,"&gt;0",'浓度矩阵'!$AH$6:$AH$355,"&gt;0")</x:f>
        <x:v>3</x:v>
      </x:c>
      <x:c r="G439" s="3" t="n">
        <x:f>COUNTIFS('浓度矩阵'!$B$6:$B$355,"独立配制重复",'浓度矩阵'!$AF$6:$AF$355,"&gt;0",'浓度矩阵'!$AH$6:$AH$355,"&gt;0")</x:f>
        <x:v>1</x:v>
      </x:c>
      <x:c r="H439" s="3" t="n">
        <x:f>COUNTIFS('浓度矩阵'!$B$6:$B$355,"留出验证",'浓度矩阵'!$AF$6:$AF$355,"&gt;0",'浓度矩阵'!$AH$6:$AH$355,"&gt;0")</x:f>
        <x:v>0</x:v>
      </x:c>
      <x:c r="I439" s="3" t="n">
        <x:v>3</x:v>
      </x:c>
      <x:c r="J439" s="3" t="n">
        <x:v>3</x:v>
      </x:c>
      <x:c r="K439" s="3" t="n">
        <x:v>9</x:v>
      </x:c>
      <x:c r="L439" s="11" t="n">
        <x:f>J439/K439</x:f>
        <x:v>0.3333333333333333</x:v>
      </x:c>
    </x:row>
    <x:row r="440" ht="24" customHeight="1">
      <x:c r="A440" s="3" t="n">
        <x:v>232</x:v>
      </x:c>
      <x:c r="B440" s="3" t="n">
        <x:v>255</x:v>
      </x:c>
      <x:c r="C440" s="3" t="str">
        <x:v>2-甲基丁酸乙酯</x:v>
      </x:c>
      <x:c r="D440" s="3" t="str">
        <x:v>β-大马酮</x:v>
      </x:c>
      <x:c r="E440" s="3" t="str">
        <x:v>3档×3档</x:v>
      </x:c>
      <x:c r="F440" s="3" t="n">
        <x:f>COUNTIFS('浓度矩阵'!$C$6:$C$355,1,'浓度矩阵'!$AG$6:$AG$355,"&gt;0",'浓度矩阵'!$AH$6:$AH$355,"&gt;0")</x:f>
        <x:v>3</x:v>
      </x:c>
      <x:c r="G440" s="3" t="n">
        <x:f>COUNTIFS('浓度矩阵'!$B$6:$B$355,"独立配制重复",'浓度矩阵'!$AG$6:$AG$355,"&gt;0",'浓度矩阵'!$AH$6:$AH$355,"&gt;0")</x:f>
        <x:v>1</x:v>
      </x:c>
      <x:c r="H440" s="3" t="n">
        <x:f>COUNTIFS('浓度矩阵'!$B$6:$B$355,"留出验证",'浓度矩阵'!$AG$6:$AG$355,"&gt;0",'浓度矩阵'!$AH$6:$AH$355,"&gt;0")</x:f>
        <x:v>1</x:v>
      </x:c>
      <x:c r="I440" s="3" t="n">
        <x:v>3</x:v>
      </x:c>
      <x:c r="J440" s="3" t="n">
        <x:v>3</x:v>
      </x:c>
      <x:c r="K440" s="3" t="n">
        <x:v>9</x:v>
      </x:c>
      <x:c r="L440" s="11" t="n">
        <x:f>J440/K440</x:f>
        <x:v>0.3333333333333333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9f815cfb5c7c4b2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35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</x:cols>
  <x:sheetData>
    <x:row r="2">
      <x:c r="A2" s="1" t="str">
        <x:v>可用原始浓度 / Source concentrations</x:v>
      </x:c>
    </x:row>
    <x:row r="3">
      <x:c r="A3" s="2" t="str">
        <x:v>Source: all-data/可用化合物原始数据.xlsx; all data; 113 concentration columns; unit ug/L.</x:v>
      </x:c>
    </x:row>
    <x:row r="5" ht="44" customHeight="1">
      <x:c r="A5" s="8" t="str">
        <x:v>ID</x:v>
      </x:c>
      <x:c r="B5" s="8" t="str">
        <x:v>中文名称</x:v>
      </x:c>
      <x:c r="C5" s="8" t="str">
        <x:v>English name</x:v>
      </x:c>
      <x:c r="D5" s="8" t="str">
        <x:v>CAS</x:v>
      </x:c>
      <x:c r="E5" s="8" t="str">
        <x:v>阈值 ug/L</x:v>
      </x:c>
      <x:c r="F5" s="8" t="str">
        <x:v>1  GJ-1573 (μg/L)</x:v>
      </x:c>
      <x:c r="G5" s="8" t="str">
        <x:v>1  LZ-2016 base SAB (μg/L)</x:v>
      </x:c>
      <x:c r="H5" s="8" t="str">
        <x:v>2  Y1 (μg/L)</x:v>
      </x:c>
      <x:c r="I5" s="8" t="str">
        <x:v>2  Y3 (μg/L)</x:v>
      </x:c>
      <x:c r="J5" s="8" t="str">
        <x:v>2  Y5 (μg/L)</x:v>
      </x:c>
      <x:c r="K5" s="8" t="str">
        <x:v>2  Y8 (μg/L)</x:v>
      </x:c>
      <x:c r="L5" s="8" t="str">
        <x:v>2  Y11 (μg/L)</x:v>
      </x:c>
      <x:c r="M5" s="8" t="str">
        <x:v>3  LZLJ-M7 (μg/L)</x:v>
      </x:c>
      <x:c r="N5" s="8" t="str">
        <x:v>3  LZLJ-T7 (μg/L)</x:v>
      </x:c>
      <x:c r="O5" s="8" t="str">
        <x:v>5  Blank (μg/L)</x:v>
      </x:c>
      <x:c r="P5" s="8" t="str">
        <x:v>5  F1 (μg/L)</x:v>
      </x:c>
      <x:c r="Q5" s="8" t="str">
        <x:v>5  F3 (μg/L)</x:v>
      </x:c>
      <x:c r="R5" s="8" t="str">
        <x:v>5  S1 (μg/L)</x:v>
      </x:c>
      <x:c r="S5" s="8" t="str">
        <x:v>5  S2 (F3) (μg/L)</x:v>
      </x:c>
      <x:c r="T5" s="8" t="str">
        <x:v>5  S3 (μg/L)</x:v>
      </x:c>
      <x:c r="U5" s="8" t="str">
        <x:v>7  GJG (μg/L)</x:v>
      </x:c>
      <x:c r="V5" s="8" t="str">
        <x:v>7  LZ (μg/L)</x:v>
      </x:c>
      <x:c r="W5" s="8" t="str">
        <x:v>8  H (μg/L)</x:v>
      </x:c>
      <x:c r="X5" s="8" t="str">
        <x:v>9  1 (μg/L)</x:v>
      </x:c>
      <x:c r="Y5" s="8" t="str">
        <x:v>9  2 (μg/L)</x:v>
      </x:c>
      <x:c r="Z5" s="8" t="str">
        <x:v>9  3 (μg/L)</x:v>
      </x:c>
      <x:c r="AA5" s="8" t="str">
        <x:v>9  4 (μg/L)</x:v>
      </x:c>
      <x:c r="AB5" s="8" t="str">
        <x:v>9  5 (μg/L)</x:v>
      </x:c>
      <x:c r="AC5" s="8" t="str">
        <x:v>9  6 (μg/L)</x:v>
      </x:c>
      <x:c r="AD5" s="8" t="str">
        <x:v>9  7 (μg/L)</x:v>
      </x:c>
      <x:c r="AE5" s="8" t="str">
        <x:v>9  8 (μg/L)</x:v>
      </x:c>
      <x:c r="AF5" s="8" t="str">
        <x:v>10  A (μg/L)</x:v>
      </x:c>
      <x:c r="AG5" s="8" t="str">
        <x:v>10  B (μg/L)</x:v>
      </x:c>
      <x:c r="AH5" s="8" t="str">
        <x:v>10  c (μg/L)</x:v>
      </x:c>
      <x:c r="AI5" s="8" t="str">
        <x:v>11  CJ (μg/L)</x:v>
      </x:c>
      <x:c r="AJ5" s="8" t="str">
        <x:v>11  DJ (μg/L)</x:v>
      </x:c>
      <x:c r="AK5" s="8" t="str">
        <x:v>11  LJ (μg/L)</x:v>
      </x:c>
      <x:c r="AL5" s="8" t="str">
        <x:v>12  B (μg/L)</x:v>
      </x:c>
      <x:c r="AM5" s="8" t="str">
        <x:v>12  C (μg/L)</x:v>
      </x:c>
      <x:c r="AN5" s="8" t="str">
        <x:v>14  洋河大曲 (μg/L)</x:v>
      </x:c>
      <x:c r="AO5" s="8" t="str">
        <x:v>14  牛栏山 (μg/L)</x:v>
      </x:c>
      <x:c r="AP5" s="8" t="str">
        <x:v>14  红星二锅头 (μg/L)</x:v>
      </x:c>
      <x:c r="AQ5" s="8" t="str">
        <x:v>14  银装青酒 (μg/L)</x:v>
      </x:c>
      <x:c r="AR5" s="8" t="str">
        <x:v>15  X1 (μg/L)</x:v>
      </x:c>
      <x:c r="AS5" s="8" t="str">
        <x:v>15  X3 (μg/L)</x:v>
      </x:c>
      <x:c r="AT5" s="8" t="str">
        <x:v>15  X5 (μg/L)</x:v>
      </x:c>
      <x:c r="AU5" s="8" t="str">
        <x:v>15  X8 (μg/L)</x:v>
      </x:c>
      <x:c r="AV5" s="8" t="str">
        <x:v>16  LZ/ (μg/L)</x:v>
      </x:c>
      <x:c r="AW5" s="8" t="str">
        <x:v>18  JS (μg/L)</x:v>
      </x:c>
      <x:c r="AX5" s="8" t="str">
        <x:v>18  SC1 (μg/L)</x:v>
      </x:c>
      <x:c r="AY5" s="8" t="str">
        <x:v>18  SC2 (μg/L)</x:v>
      </x:c>
      <x:c r="AZ5" s="8" t="str">
        <x:v>18  SC3 (μg/L)</x:v>
      </x:c>
      <x:c r="BA5" s="8" t="str">
        <x:v>19  3 年陈 (μg/L)</x:v>
      </x:c>
      <x:c r="BB5" s="8" t="str">
        <x:v>19  5 年陈 (μg/L)</x:v>
      </x:c>
      <x:c r="BC5" s="8" t="str">
        <x:v>20  GJG (μg/L)</x:v>
      </x:c>
      <x:c r="BD5" s="8" t="str">
        <x:v>20  GRD-1 (μg/L)</x:v>
      </x:c>
      <x:c r="BE5" s="8" t="str">
        <x:v>20  GRD-2 (μg/L)</x:v>
      </x:c>
      <x:c r="BF5" s="8" t="str">
        <x:v>20  GRD-JC (μg/L)</x:v>
      </x:c>
      <x:c r="BG5" s="8" t="str">
        <x:v>20  GRD-PD (μg/L)</x:v>
      </x:c>
      <x:c r="BH5" s="8" t="str">
        <x:v>20  JPLG (μg/L)</x:v>
      </x:c>
      <x:c r="BI5" s="8" t="str">
        <x:v>20  JSY (μg/L)</x:v>
      </x:c>
      <x:c r="BJ5" s="8" t="str">
        <x:v>20  LGTQ (μg/L)</x:v>
      </x:c>
      <x:c r="BK5" s="8" t="str">
        <x:v>20  LZLJ (μg/L)</x:v>
      </x:c>
      <x:c r="BL5" s="8" t="str">
        <x:v>20  TJ-1S (μg/L)</x:v>
      </x:c>
      <x:c r="BM5" s="8" t="str">
        <x:v>20  TJ-2S (μg/L)</x:v>
      </x:c>
      <x:c r="BN5" s="8" t="str">
        <x:v>20  TJ-4S (μg/L)</x:v>
      </x:c>
      <x:c r="BO5" s="8" t="str">
        <x:v>20  TT-2S (μg/L)</x:v>
      </x:c>
      <x:c r="BP5" s="8" t="str">
        <x:v>20  TT-4S (μg/L)</x:v>
      </x:c>
      <x:c r="BQ5" s="8" t="str">
        <x:v>20  WLY (μg/L)</x:v>
      </x:c>
      <x:c r="BR5" s="8" t="str">
        <x:v>22  NX2 (μg/L)</x:v>
      </x:c>
      <x:c r="BS5" s="8" t="str">
        <x:v>22  NX3 (μg/L)</x:v>
      </x:c>
      <x:c r="BT5" s="8" t="str">
        <x:v>22  NX4 (μg/L)</x:v>
      </x:c>
      <x:c r="BU5" s="8" t="str">
        <x:v>22  NX5 (μg/L)</x:v>
      </x:c>
      <x:c r="BV5" s="8" t="str">
        <x:v>22  NX6 (μg/L)</x:v>
      </x:c>
      <x:c r="BW5" s="8" t="str">
        <x:v>22  NX7 (μg/L)</x:v>
      </x:c>
      <x:c r="BX5" s="8" t="str">
        <x:v>22  NX8 (μg/L)</x:v>
      </x:c>
      <x:c r="BY5" s="8" t="str">
        <x:v>22  NX9 (μg/L)</x:v>
      </x:c>
      <x:c r="BZ5" s="8" t="str">
        <x:v>22  NX10 (μg/L)</x:v>
      </x:c>
      <x:c r="CA5" s="8" t="str">
        <x:v>23  n-c-1 (μg/L)</x:v>
      </x:c>
      <x:c r="CB5" s="8" t="str">
        <x:v>23  n-c-2 (μg/L)</x:v>
      </x:c>
      <x:c r="CC5" s="8" t="str">
        <x:v>23  n-d-1994 (μg/L)</x:v>
      </x:c>
      <x:c r="CD5" s="8" t="str">
        <x:v>23  n-d-1997 (μg/L)</x:v>
      </x:c>
      <x:c r="CE5" s="8" t="str">
        <x:v>23  n-d-2000 (μg/L)</x:v>
      </x:c>
      <x:c r="CF5" s="8" t="str">
        <x:v>23  n-d-2007 (μg/L)</x:v>
      </x:c>
      <x:c r="CG5" s="8" t="str">
        <x:v>23  n-d-2011 (μg/L)</x:v>
      </x:c>
      <x:c r="CH5" s="8" t="str">
        <x:v>23  n-g-1 (μg/L)</x:v>
      </x:c>
      <x:c r="CI5" s="8" t="str">
        <x:v>23  n-g-2 (μg/L)</x:v>
      </x:c>
      <x:c r="CJ5" s="8" t="str">
        <x:v>23  n-s-2004 (μg/L)</x:v>
      </x:c>
      <x:c r="CK5" s="8" t="str">
        <x:v>23  n-s-2009 (μg/L)</x:v>
      </x:c>
      <x:c r="CL5" s="8" t="str">
        <x:v>23  n-s-2010 (μg/L)</x:v>
      </x:c>
      <x:c r="CM5" s="8" t="str">
        <x:v>23  n-s-2012 (μg/L)</x:v>
      </x:c>
      <x:c r="CN5" s="8" t="str">
        <x:v>23  浓香型酒 (μg/L)</x:v>
      </x:c>
      <x:c r="CO5" s="8" t="str">
        <x:v>24  41% TZL (μg/L)</x:v>
      </x:c>
      <x:c r="CP5" s="8" t="str">
        <x:v>24  42.6% MZL (μg/L)</x:v>
      </x:c>
      <x:c r="CQ5" s="8" t="str">
        <x:v>24  46% TZL (μg/L)</x:v>
      </x:c>
      <x:c r="CR5" s="8" t="str">
        <x:v>24  52% TZL (μg/L)</x:v>
      </x:c>
      <x:c r="CS5" s="8" t="str">
        <x:v>25  天之蓝-1 (μg/L)</x:v>
      </x:c>
      <x:c r="CT5" s="8" t="str">
        <x:v>25  天之蓝-2 (μg/L)</x:v>
      </x:c>
      <x:c r="CU5" s="8" t="str">
        <x:v>26  微涩组 (μg/L)</x:v>
      </x:c>
      <x:c r="CV5" s="8" t="str">
        <x:v>26  涩味组 (μg/L)</x:v>
      </x:c>
      <x:c r="CW5" s="8" t="str">
        <x:v>26  苦味组 (μg/L)</x:v>
      </x:c>
      <x:c r="CX5" s="8" t="str">
        <x:v>26  较涩组 (μg/L)</x:v>
      </x:c>
      <x:c r="CY5" s="8" t="str">
        <x:v>27  A-G1-L (μg/L)</x:v>
      </x:c>
      <x:c r="CZ5" s="8" t="str">
        <x:v>27  A-GJG-H (μg/L)</x:v>
      </x:c>
      <x:c r="DA5" s="8" t="str">
        <x:v>27  G-J1-H (μg/L)</x:v>
      </x:c>
      <x:c r="DB5" s="8" t="str">
        <x:v>27  G-J1-L (μg/L)</x:v>
      </x:c>
      <x:c r="DC5" s="8" t="str">
        <x:v>27  J-Y1-H (μg/L)</x:v>
      </x:c>
      <x:c r="DD5" s="8" t="str">
        <x:v>27  J-Y1-L (μg/L)</x:v>
      </x:c>
      <x:c r="DE5" s="8" t="str">
        <x:v>27  S-L1-H (μg/L)</x:v>
      </x:c>
      <x:c r="DF5" s="8" t="str">
        <x:v>27  S-L1-L (μg/L)</x:v>
      </x:c>
      <x:c r="DG5" s="8" t="str">
        <x:v>27  S-Y2-H (μg/L)</x:v>
      </x:c>
      <x:c r="DH5" s="8" t="str">
        <x:v>27  S-Y2-L (μg/L)</x:v>
      </x:c>
      <x:c r="DI5" s="8" t="str">
        <x:v>27  S-Y3-H (μg/L)</x:v>
      </x:c>
      <x:c r="DJ5" s="8" t="str">
        <x:v>27  S-Y3-L (μg/L)</x:v>
      </x:c>
      <x:c r="DK5" s="8" t="str">
        <x:v>27  S-Y4-H (μg/L)</x:v>
      </x:c>
      <x:c r="DL5" s="8" t="str">
        <x:v>27  S-Y4-L (μg/L)</x:v>
      </x:c>
      <x:c r="DM5" s="8" t="str">
        <x:v>27  S-Y5-H (μg/L)</x:v>
      </x:c>
      <x:c r="DN5" s="8" t="str">
        <x:v>27  S-Y5-L (μg/L)</x:v>
      </x:c>
    </x:row>
    <x:row r="6" ht="24" customHeight="1">
      <x:c r="A6" s="3" t="n">
        <x:v>5</x:v>
      </x:c>
      <x:c r="B6" s="3" t="str">
        <x:v>乙酸</x:v>
      </x:c>
      <x:c r="C6" s="3" t="str">
        <x:v>Acetic acid</x:v>
      </x:c>
      <x:c r="D6" s="3" t="str">
        <x:v>64-19-7</x:v>
      </x:c>
      <x:c r="E6" s="9" t="n">
        <x:v>160000</x:v>
      </x:c>
      <x:c r="F6" s="9" t="n">
        <x:v>342535</x:v>
      </x:c>
      <x:c r="G6" s="9" t="n">
        <x:v>732061</x:v>
      </x:c>
      <x:c r="H6" s="9" t="n">
        <x:v>9.16</x:v>
      </x:c>
      <x:c r="I6" s="9" t="n">
        <x:v>5.3</x:v>
      </x:c>
      <x:c r="J6" s="9" t="n">
        <x:v>15</x:v>
      </x:c>
      <x:c r="K6" s="9" t="n">
        <x:v>9.66</x:v>
      </x:c>
      <x:c r="L6" s="9" t="n">
        <x:v>3.11</x:v>
      </x:c>
      <x:c r="M6" s="9"/>
      <x:c r="N6" s="9"/>
      <x:c r="O6" s="9" t="n">
        <x:v>1933</x:v>
      </x:c>
      <x:c r="P6" s="9" t="n">
        <x:v>3158</x:v>
      </x:c>
      <x:c r="Q6" s="9" t="n">
        <x:v>3980</x:v>
      </x:c>
      <x:c r="R6" s="9" t="n">
        <x:v>2783</x:v>
      </x:c>
      <x:c r="S6" s="9" t="n">
        <x:v>3118</x:v>
      </x:c>
      <x:c r="T6" s="9" t="n">
        <x:v>2759</x:v>
      </x:c>
      <x:c r="U6" s="9" t="n">
        <x:v>3</x:v>
      </x:c>
      <x:c r="V6" s="9" t="n">
        <x:v>3</x:v>
      </x:c>
      <x:c r="W6" s="9"/>
      <x:c r="X6" s="9" t="n">
        <x:v>17200</x:v>
      </x:c>
      <x:c r="Y6" s="9" t="n">
        <x:v>7910</x:v>
      </x:c>
      <x:c r="Z6" s="9" t="n">
        <x:v>11200</x:v>
      </x:c>
      <x:c r="AA6" s="9" t="n">
        <x:v>5670</x:v>
      </x:c>
      <x:c r="AB6" s="9" t="n">
        <x:v>12200</x:v>
      </x:c>
      <x:c r="AC6" s="9" t="n">
        <x:v>5550</x:v>
      </x:c>
      <x:c r="AD6" s="9" t="n">
        <x:v>10900</x:v>
      </x:c>
      <x:c r="AE6" s="9" t="n">
        <x:v>1030</x:v>
      </x:c>
      <x:c r="AF6" s="9" t="n">
        <x:v>121650</x:v>
      </x:c>
      <x:c r="AG6" s="9" t="n">
        <x:v>133470</x:v>
      </x:c>
      <x:c r="AH6" s="9" t="n">
        <x:v>183145</x:v>
      </x:c>
      <x:c r="AI6" s="9" t="n">
        <x:v>49180</x:v>
      </x:c>
      <x:c r="AJ6" s="9" t="n">
        <x:v>25340</x:v>
      </x:c>
      <x:c r="AK6" s="9" t="n">
        <x:v>42350</x:v>
      </x:c>
      <x:c r="AL6" s="9" t="n">
        <x:v>1800500</x:v>
      </x:c>
      <x:c r="AM6" s="9" t="n">
        <x:v>1043220</x:v>
      </x:c>
      <x:c r="AN6" s="9"/>
      <x:c r="AO6" s="9"/>
      <x:c r="AP6" s="9"/>
      <x:c r="AQ6" s="9"/>
      <x:c r="AR6" s="9" t="n">
        <x:v>464.76</x:v>
      </x:c>
      <x:c r="AS6" s="9" t="n">
        <x:v>336.33</x:v>
      </x:c>
      <x:c r="AT6" s="9" t="n">
        <x:v>449.18</x:v>
      </x:c>
      <x:c r="AU6" s="9" t="n">
        <x:v>472.89</x:v>
      </x:c>
      <x:c r="AV6" s="9" t="n">
        <x:v>1.14</x:v>
      </x:c>
      <x:c r="AW6" s="9" t="n">
        <x:v>301402</x:v>
      </x:c>
      <x:c r="AX6" s="9" t="n">
        <x:v>2</x:v>
      </x:c>
      <x:c r="AY6" s="9" t="n">
        <x:v>265651.5</x:v>
      </x:c>
      <x:c r="AZ6" s="9" t="n">
        <x:v>331000</x:v>
      </x:c>
      <x:c r="BA6" s="9"/>
      <x:c r="BB6" s="9"/>
      <x:c r="BC6" s="9" t="n">
        <x:v>666.52</x:v>
      </x:c>
      <x:c r="BD6" s="9"/>
      <x:c r="BE6" s="9" t="n">
        <x:v>685.45</x:v>
      </x:c>
      <x:c r="BF6" s="9" t="n">
        <x:v>936.42</x:v>
      </x:c>
      <x:c r="BG6" s="9" t="n">
        <x:v>869.21</x:v>
      </x:c>
      <x:c r="BH6" s="9" t="n">
        <x:v>844.82</x:v>
      </x:c>
      <x:c r="BI6" s="9" t="n">
        <x:v>486.89</x:v>
      </x:c>
      <x:c r="BJ6" s="9" t="n">
        <x:v>879.21</x:v>
      </x:c>
      <x:c r="BK6" s="9" t="n">
        <x:v>888.62</x:v>
      </x:c>
      <x:c r="BL6" s="9" t="n">
        <x:v>1020.94</x:v>
      </x:c>
      <x:c r="BM6" s="9" t="n">
        <x:v>1188.15</x:v>
      </x:c>
      <x:c r="BN6" s="9" t="n">
        <x:v>1031</x:v>
      </x:c>
      <x:c r="BO6" s="9" t="n">
        <x:v>886.91</x:v>
      </x:c>
      <x:c r="BP6" s="9" t="n">
        <x:v>1066.12</x:v>
      </x:c>
      <x:c r="BQ6" s="9" t="n">
        <x:v>370.91</x:v>
      </x:c>
      <x:c r="BR6" s="9" t="n">
        <x:v>776100</x:v>
      </x:c>
      <x:c r="BS6" s="9" t="n">
        <x:v>775800</x:v>
      </x:c>
      <x:c r="BT6" s="9" t="n">
        <x:v>452600</x:v>
      </x:c>
      <x:c r="BU6" s="9" t="n">
        <x:v>616100</x:v>
      </x:c>
      <x:c r="BV6" s="9" t="n">
        <x:v>874500</x:v>
      </x:c>
      <x:c r="BW6" s="9" t="n">
        <x:v>301100</x:v>
      </x:c>
      <x:c r="BX6" s="9" t="n">
        <x:v>371900</x:v>
      </x:c>
      <x:c r="BY6" s="9" t="n">
        <x:v>795300</x:v>
      </x:c>
      <x:c r="BZ6" s="9" t="n">
        <x:v>371900</x:v>
      </x:c>
      <x:c r="CA6" s="9" t="n">
        <x:v>74.875</x:v>
      </x:c>
      <x:c r="CB6" s="9" t="n">
        <x:v>88.72</x:v>
      </x:c>
      <x:c r="CC6" s="9" t="n">
        <x:v>321.92</x:v>
      </x:c>
      <x:c r="CD6" s="9" t="n">
        <x:v>616.34</x:v>
      </x:c>
      <x:c r="CE6" s="9" t="n">
        <x:v>498.85</x:v>
      </x:c>
      <x:c r="CF6" s="9" t="n">
        <x:v>648.34</x:v>
      </x:c>
      <x:c r="CG6" s="9" t="n">
        <x:v>198.14</x:v>
      </x:c>
      <x:c r="CH6" s="9" t="n">
        <x:v>152.84</x:v>
      </x:c>
      <x:c r="CI6" s="9" t="n">
        <x:v>164.64</x:v>
      </x:c>
      <x:c r="CJ6" s="9" t="n">
        <x:v>431.9</x:v>
      </x:c>
      <x:c r="CK6" s="9" t="n">
        <x:v>432.38</x:v>
      </x:c>
      <x:c r="CL6" s="9" t="n">
        <x:v>286.23</x:v>
      </x:c>
      <x:c r="CM6" s="9" t="n">
        <x:v>518.74</x:v>
      </x:c>
      <x:c r="CN6" s="9" t="n">
        <x:v>338.49</x:v>
      </x:c>
      <x:c r="CO6" s="9"/>
      <x:c r="CP6" s="9"/>
      <x:c r="CQ6" s="9"/>
      <x:c r="CR6" s="9"/>
      <x:c r="CS6" s="9"/>
      <x:c r="CT6" s="9"/>
      <x:c r="CU6" s="9"/>
      <x:c r="CV6" s="9"/>
      <x:c r="CW6" s="9"/>
      <x:c r="CX6" s="9"/>
      <x:c r="CY6" s="9" t="n">
        <x:v>312512.48</x:v>
      </x:c>
      <x:c r="CZ6" s="9" t="n">
        <x:v>1357405.5</x:v>
      </x:c>
      <x:c r="DA6" s="9" t="n">
        <x:v>1447391.25</x:v>
      </x:c>
      <x:c r="DB6" s="9" t="n">
        <x:v>290313.62</x:v>
      </x:c>
      <x:c r="DC6" s="9" t="n">
        <x:v>701347.95</x:v>
      </x:c>
      <x:c r="DD6" s="9" t="n">
        <x:v>293844.46</x:v>
      </x:c>
      <x:c r="DE6" s="9" t="n">
        <x:v>1368236.97</x:v>
      </x:c>
      <x:c r="DF6" s="9" t="n">
        <x:v>299435.78</x:v>
      </x:c>
      <x:c r="DG6" s="9" t="n">
        <x:v>302788.42</x:v>
      </x:c>
      <x:c r="DH6" s="9" t="n">
        <x:v>278156.86</x:v>
      </x:c>
      <x:c r="DI6" s="9" t="n">
        <x:v>411817.02</x:v>
      </x:c>
      <x:c r="DJ6" s="9" t="n">
        <x:v>264721.43</x:v>
      </x:c>
      <x:c r="DK6" s="9" t="n">
        <x:v>457468.53</x:v>
      </x:c>
      <x:c r="DL6" s="9" t="n">
        <x:v>270408.03</x:v>
      </x:c>
      <x:c r="DM6" s="9" t="n">
        <x:v>1364925.31</x:v>
      </x:c>
      <x:c r="DN6" s="9" t="n">
        <x:v>143377.31</x:v>
      </x:c>
    </x:row>
    <x:row r="7" ht="24" customHeight="1">
      <x:c r="A7" s="3" t="n">
        <x:v>7</x:v>
      </x:c>
      <x:c r="B7" s="3" t="str">
        <x:v>己醛</x:v>
      </x:c>
      <x:c r="C7" s="3" t="str">
        <x:v>Hexanal</x:v>
      </x:c>
      <x:c r="D7" s="3" t="str">
        <x:v>66-25-1</x:v>
      </x:c>
      <x:c r="E7" s="9" t="n">
        <x:v>25.5</x:v>
      </x:c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/>
      <x:c r="BE7" s="9"/>
      <x:c r="BF7" s="9"/>
      <x:c r="BG7" s="9"/>
      <x:c r="BH7" s="9"/>
      <x:c r="BI7" s="9"/>
      <x:c r="BJ7" s="9"/>
      <x:c r="BK7" s="9"/>
      <x:c r="BL7" s="9"/>
      <x:c r="BM7" s="9"/>
      <x:c r="BN7" s="9"/>
      <x:c r="BO7" s="9"/>
      <x:c r="BP7" s="9"/>
      <x:c r="BQ7" s="9"/>
      <x:c r="BR7" s="9"/>
      <x:c r="BS7" s="9"/>
      <x:c r="BT7" s="9"/>
      <x:c r="BU7" s="9"/>
      <x:c r="BV7" s="9"/>
      <x:c r="BW7" s="9"/>
      <x:c r="BX7" s="9"/>
      <x:c r="BY7" s="9"/>
      <x:c r="BZ7" s="9"/>
      <x:c r="CA7" s="9" t="n">
        <x:v>213.1333</x:v>
      </x:c>
      <x:c r="CB7" s="9" t="n">
        <x:v>303.64</x:v>
      </x:c>
      <x:c r="CC7" s="9" t="n">
        <x:v>2323.28</x:v>
      </x:c>
      <x:c r="CD7" s="9" t="n">
        <x:v>553.57</x:v>
      </x:c>
      <x:c r="CE7" s="9" t="n">
        <x:v>2091.54</x:v>
      </x:c>
      <x:c r="CF7" s="9" t="n">
        <x:v>722.58</x:v>
      </x:c>
      <x:c r="CG7" s="9" t="n">
        <x:v>722.99</x:v>
      </x:c>
      <x:c r="CH7" s="9" t="n">
        <x:v>1024.86</x:v>
      </x:c>
      <x:c r="CI7" s="9" t="n">
        <x:v>695.78</x:v>
      </x:c>
      <x:c r="CJ7" s="9" t="n">
        <x:v>983.86</x:v>
      </x:c>
      <x:c r="CK7" s="9" t="n">
        <x:v>1136.03</x:v>
      </x:c>
      <x:c r="CL7" s="9" t="n">
        <x:v>1498.12</x:v>
      </x:c>
      <x:c r="CM7" s="9" t="n">
        <x:v>1030.51</x:v>
      </x:c>
      <x:c r="CN7" s="9"/>
      <x:c r="CO7" s="9"/>
      <x:c r="CP7" s="9"/>
      <x:c r="CQ7" s="9"/>
      <x:c r="CR7" s="9"/>
      <x:c r="CS7" s="9"/>
      <x:c r="CT7" s="9"/>
      <x:c r="CU7" s="9"/>
      <x:c r="CV7" s="9"/>
      <x:c r="CW7" s="9"/>
      <x:c r="CX7" s="9"/>
      <x:c r="CY7" s="9" t="n">
        <x:v>257.15</x:v>
      </x:c>
      <x:c r="CZ7" s="9" t="n">
        <x:v>788.69</x:v>
      </x:c>
      <x:c r="DA7" s="9" t="n">
        <x:v>696.4</x:v>
      </x:c>
      <x:c r="DB7" s="9" t="n">
        <x:v>257.52</x:v>
      </x:c>
      <x:c r="DC7" s="9" t="n">
        <x:v>1352.61</x:v>
      </x:c>
      <x:c r="DD7" s="9" t="n">
        <x:v>173</x:v>
      </x:c>
      <x:c r="DE7" s="9" t="n">
        <x:v>806.29</x:v>
      </x:c>
      <x:c r="DF7" s="9" t="n">
        <x:v>184.61</x:v>
      </x:c>
      <x:c r="DG7" s="9" t="n">
        <x:v>1048.28</x:v>
      </x:c>
      <x:c r="DH7" s="9" t="n">
        <x:v>564.13</x:v>
      </x:c>
      <x:c r="DI7" s="9" t="n">
        <x:v>1361</x:v>
      </x:c>
      <x:c r="DJ7" s="9" t="n">
        <x:v>453.91</x:v>
      </x:c>
      <x:c r="DK7" s="9" t="n">
        <x:v>1386.26</x:v>
      </x:c>
      <x:c r="DL7" s="9" t="n">
        <x:v>417.42</x:v>
      </x:c>
      <x:c r="DM7" s="9" t="n">
        <x:v>3075.94</x:v>
      </x:c>
      <x:c r="DN7" s="9" t="n">
        <x:v>828.91</x:v>
      </x:c>
    </x:row>
    <x:row r="8" ht="24" customHeight="1">
      <x:c r="A8" s="3" t="n">
        <x:v>10</x:v>
      </x:c>
      <x:c r="B8" s="3" t="str">
        <x:v>1-丙醇</x:v>
      </x:c>
      <x:c r="C8" s="3" t="str">
        <x:v>1-propanol</x:v>
      </x:c>
      <x:c r="D8" s="3" t="str">
        <x:v>71-23-8</x:v>
      </x:c>
      <x:c r="E8" s="9" t="n">
        <x:v>109000</x:v>
      </x:c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 t="n">
        <x:v>4</x:v>
      </x:c>
      <x:c r="V8" s="9" t="n">
        <x:v>1</x:v>
      </x:c>
      <x:c r="W8" s="9"/>
      <x:c r="X8" s="9"/>
      <x:c r="Y8" s="9"/>
      <x:c r="Z8" s="9"/>
      <x:c r="AA8" s="9"/>
      <x:c r="AB8" s="9"/>
      <x:c r="AC8" s="9"/>
      <x:c r="AD8" s="9"/>
      <x:c r="AE8" s="9"/>
      <x:c r="AF8" s="9" t="n">
        <x:v>463670</x:v>
      </x:c>
      <x:c r="AG8" s="9" t="n">
        <x:v>243960</x:v>
      </x:c>
      <x:c r="AH8" s="9" t="n">
        <x:v>139490</x:v>
      </x:c>
      <x:c r="AI8" s="9" t="n">
        <x:v>8080</x:v>
      </x:c>
      <x:c r="AJ8" s="9" t="n">
        <x:v>22720</x:v>
      </x:c>
      <x:c r="AK8" s="9" t="n">
        <x:v>14050</x:v>
      </x:c>
      <x:c r="AL8" s="9" t="n">
        <x:v>253230</x:v>
      </x:c>
      <x:c r="AM8" s="9" t="n">
        <x:v>174320</x:v>
      </x:c>
      <x:c r="AN8" s="9"/>
      <x:c r="AO8" s="9"/>
      <x:c r="AP8" s="9"/>
      <x:c r="AQ8" s="9"/>
      <x:c r="AR8" s="9" t="n">
        <x:v>238.96</x:v>
      </x:c>
      <x:c r="AS8" s="9" t="n">
        <x:v>140.05</x:v>
      </x:c>
      <x:c r="AT8" s="9" t="n">
        <x:v>148.1</x:v>
      </x:c>
      <x:c r="AU8" s="9" t="n">
        <x:v>100.63</x:v>
      </x:c>
      <x:c r="AV8" s="9" t="n">
        <x:v>29.58</x:v>
      </x:c>
      <x:c r="AW8" s="9" t="n">
        <x:v>235054.5</x:v>
      </x:c>
      <x:c r="AX8" s="9" t="n">
        <x:v>7</x:v>
      </x:c>
      <x:c r="AY8" s="9" t="n">
        <x:v>217454</x:v>
      </x:c>
      <x:c r="AZ8" s="9" t="n">
        <x:v>90400</x:v>
      </x:c>
      <x:c r="BA8" s="9"/>
      <x:c r="BB8" s="9"/>
      <x:c r="BC8" s="9" t="n">
        <x:v>52.72</x:v>
      </x:c>
      <x:c r="BD8" s="9"/>
      <x:c r="BE8" s="9" t="n">
        <x:v>125.91</x:v>
      </x:c>
      <x:c r="BF8" s="9" t="n">
        <x:v>97.31</x:v>
      </x:c>
      <x:c r="BG8" s="9" t="n">
        <x:v>150.64</x:v>
      </x:c>
      <x:c r="BH8" s="9" t="n">
        <x:v>111.52</x:v>
      </x:c>
      <x:c r="BI8" s="9" t="n">
        <x:v>83.18</x:v>
      </x:c>
      <x:c r="BJ8" s="9" t="n">
        <x:v>113.21</x:v>
      </x:c>
      <x:c r="BK8" s="9" t="n">
        <x:v>34.04</x:v>
      </x:c>
      <x:c r="BL8" s="9" t="n">
        <x:v>146.21</x:v>
      </x:c>
      <x:c r="BM8" s="9" t="n">
        <x:v>177.61</x:v>
      </x:c>
      <x:c r="BN8" s="9" t="n">
        <x:v>192.82</x:v>
      </x:c>
      <x:c r="BO8" s="9" t="n">
        <x:v>126</x:v>
      </x:c>
      <x:c r="BP8" s="9" t="n">
        <x:v>178.42</x:v>
      </x:c>
      <x:c r="BQ8" s="9" t="n">
        <x:v>149.22</x:v>
      </x:c>
      <x:c r="BR8" s="9" t="n">
        <x:v>428900</x:v>
      </x:c>
      <x:c r="BS8" s="9" t="n">
        <x:v>290700</x:v>
      </x:c>
      <x:c r="BT8" s="9" t="n">
        <x:v>428200</x:v>
      </x:c>
      <x:c r="BU8" s="9" t="n">
        <x:v>471100</x:v>
      </x:c>
      <x:c r="BV8" s="9" t="n">
        <x:v>410200</x:v>
      </x:c>
      <x:c r="BW8" s="9" t="n">
        <x:v>206300</x:v>
      </x:c>
      <x:c r="BX8" s="9" t="n">
        <x:v>159700</x:v>
      </x:c>
      <x:c r="BY8" s="9" t="n">
        <x:v>222200</x:v>
      </x:c>
      <x:c r="BZ8" s="9" t="n">
        <x:v>154400</x:v>
      </x:c>
      <x:c r="CA8" s="9" t="n">
        <x:v>20.42</x:v>
      </x:c>
      <x:c r="CB8" s="9" t="n">
        <x:v>16.655</x:v>
      </x:c>
      <x:c r="CC8" s="9" t="n">
        <x:v>67.02</x:v>
      </x:c>
      <x:c r="CD8" s="9" t="n">
        <x:v>24.3</x:v>
      </x:c>
      <x:c r="CE8" s="9" t="n">
        <x:v>87.23</x:v>
      </x:c>
      <x:c r="CF8" s="9" t="n">
        <x:v>77.05</x:v>
      </x:c>
      <x:c r="CG8" s="9" t="n">
        <x:v>31.73</x:v>
      </x:c>
      <x:c r="CH8" s="9" t="n">
        <x:v>268.45</x:v>
      </x:c>
      <x:c r="CI8" s="9" t="n">
        <x:v>276.39</x:v>
      </x:c>
      <x:c r="CJ8" s="9" t="n">
        <x:v>72.77</x:v>
      </x:c>
      <x:c r="CK8" s="9" t="n">
        <x:v>102.2</x:v>
      </x:c>
      <x:c r="CL8" s="9" t="n">
        <x:v>40.58</x:v>
      </x:c>
      <x:c r="CM8" s="9" t="n">
        <x:v>42.68</x:v>
      </x:c>
      <x:c r="CN8" s="9" t="n">
        <x:v>46.41</x:v>
      </x:c>
      <x:c r="CO8" s="9"/>
      <x:c r="CP8" s="9"/>
      <x:c r="CQ8" s="9"/>
      <x:c r="CR8" s="9"/>
      <x:c r="CS8" s="9" t="n">
        <x:v>347476</x:v>
      </x:c>
      <x:c r="CT8" s="9" t="n">
        <x:v>397035</x:v>
      </x:c>
      <x:c r="CU8" s="9"/>
      <x:c r="CV8" s="9"/>
      <x:c r="CW8" s="9"/>
      <x:c r="CX8" s="9"/>
      <x:c r="CY8" s="9"/>
      <x:c r="CZ8" s="9"/>
      <x:c r="DA8" s="9"/>
      <x:c r="DB8" s="9"/>
      <x:c r="DC8" s="9"/>
      <x:c r="DD8" s="9"/>
      <x:c r="DE8" s="9"/>
      <x:c r="DF8" s="9"/>
      <x:c r="DG8" s="9"/>
      <x:c r="DH8" s="9"/>
      <x:c r="DI8" s="9"/>
      <x:c r="DJ8" s="9"/>
      <x:c r="DK8" s="9"/>
      <x:c r="DL8" s="9"/>
      <x:c r="DM8" s="9"/>
      <x:c r="DN8" s="9"/>
    </x:row>
    <x:row r="9" ht="24" customHeight="1">
      <x:c r="A9" s="3" t="n">
        <x:v>11</x:v>
      </x:c>
      <x:c r="B9" s="3" t="str">
        <x:v>1-丁醇</x:v>
      </x:c>
      <x:c r="C9" s="3" t="str">
        <x:v>1-Butanol</x:v>
      </x:c>
      <x:c r="D9" s="3" t="str">
        <x:v>71-36-3</x:v>
      </x:c>
      <x:c r="E9" s="9" t="n">
        <x:v>2733</x:v>
      </x:c>
      <x:c r="F9" s="9" t="n">
        <x:v>41802</x:v>
      </x:c>
      <x:c r="G9" s="9" t="n">
        <x:v>147160</x:v>
      </x:c>
      <x:c r="H9" s="9" t="n">
        <x:v>245.12</x:v>
      </x:c>
      <x:c r="I9" s="9" t="n">
        <x:v>48.88</x:v>
      </x:c>
      <x:c r="J9" s="9" t="n">
        <x:v>34.69</x:v>
      </x:c>
      <x:c r="K9" s="9" t="n">
        <x:v>256.5</x:v>
      </x:c>
      <x:c r="L9" s="9" t="n">
        <x:v>16.97</x:v>
      </x:c>
      <x:c r="M9" s="9" t="n">
        <x:v>54922</x:v>
      </x:c>
      <x:c r="N9" s="9" t="n">
        <x:v>67567</x:v>
      </x:c>
      <x:c r="O9" s="9"/>
      <x:c r="P9" s="9"/>
      <x:c r="Q9" s="9"/>
      <x:c r="R9" s="9"/>
      <x:c r="S9" s="9"/>
      <x:c r="T9" s="9"/>
      <x:c r="U9" s="9"/>
      <x:c r="V9" s="9"/>
      <x:c r="W9" s="9"/>
      <x:c r="X9" s="9" t="n">
        <x:v>511000</x:v>
      </x:c>
      <x:c r="Y9" s="9" t="n">
        <x:v>335000</x:v>
      </x:c>
      <x:c r="Z9" s="9" t="n">
        <x:v>299000</x:v>
      </x:c>
      <x:c r="AA9" s="9" t="n">
        <x:v>309000</x:v>
      </x:c>
      <x:c r="AB9" s="9" t="n">
        <x:v>270000</x:v>
      </x:c>
      <x:c r="AC9" s="9" t="n">
        <x:v>267000</x:v>
      </x:c>
      <x:c r="AD9" s="9" t="n">
        <x:v>175000</x:v>
      </x:c>
      <x:c r="AE9" s="9" t="n">
        <x:v>124000</x:v>
      </x:c>
      <x:c r="AF9" s="9" t="n">
        <x:v>329180</x:v>
      </x:c>
      <x:c r="AG9" s="9" t="n">
        <x:v>167030</x:v>
      </x:c>
      <x:c r="AH9" s="9" t="n">
        <x:v>162135</x:v>
      </x:c>
      <x:c r="AI9" s="9" t="n">
        <x:v>3750</x:v>
      </x:c>
      <x:c r="AJ9" s="9" t="n">
        <x:v>3860</x:v>
      </x:c>
      <x:c r="AK9" s="9" t="n">
        <x:v>9100</x:v>
      </x:c>
      <x:c r="AL9" s="9" t="n">
        <x:v>229660</x:v>
      </x:c>
      <x:c r="AM9" s="9" t="n">
        <x:v>110950</x:v>
      </x:c>
      <x:c r="AN9" s="9"/>
      <x:c r="AO9" s="9"/>
      <x:c r="AP9" s="9"/>
      <x:c r="AQ9" s="9"/>
      <x:c r="AR9" s="9" t="n">
        <x:v>278.54</x:v>
      </x:c>
      <x:c r="AS9" s="9" t="n">
        <x:v>180.45</x:v>
      </x:c>
      <x:c r="AT9" s="9" t="n">
        <x:v>197.1</x:v>
      </x:c>
      <x:c r="AU9" s="9" t="n">
        <x:v>156.24</x:v>
      </x:c>
      <x:c r="AV9" s="9"/>
      <x:c r="AW9" s="9" t="n">
        <x:v>26159.5</x:v>
      </x:c>
      <x:c r="AX9" s="9" t="n">
        <x:v>112</x:v>
      </x:c>
      <x:c r="AY9" s="9" t="n">
        <x:v>32712</x:v>
      </x:c>
      <x:c r="AZ9" s="9" t="n">
        <x:v>74400</x:v>
      </x:c>
      <x:c r="BA9" s="9"/>
      <x:c r="BB9" s="9"/>
      <x:c r="BC9" s="9" t="n">
        <x:v>37.44</x:v>
      </x:c>
      <x:c r="BD9" s="9"/>
      <x:c r="BE9" s="9" t="n">
        <x:v>180.72</x:v>
      </x:c>
      <x:c r="BF9" s="9" t="n">
        <x:v>156.21</x:v>
      </x:c>
      <x:c r="BG9" s="9" t="n">
        <x:v>176.53</x:v>
      </x:c>
      <x:c r="BH9" s="9" t="n">
        <x:v>168.51</x:v>
      </x:c>
      <x:c r="BI9" s="9" t="n">
        <x:v>145.82</x:v>
      </x:c>
      <x:c r="BJ9" s="9" t="n">
        <x:v>162.11</x:v>
      </x:c>
      <x:c r="BK9" s="9" t="n">
        <x:v>24.34</x:v>
      </x:c>
      <x:c r="BL9" s="9" t="n">
        <x:v>333.32</x:v>
      </x:c>
      <x:c r="BM9" s="9" t="n">
        <x:v>665.81</x:v>
      </x:c>
      <x:c r="BN9" s="9" t="n">
        <x:v>749.29</x:v>
      </x:c>
      <x:c r="BO9" s="9" t="n">
        <x:v>380.72</x:v>
      </x:c>
      <x:c r="BP9" s="9" t="n">
        <x:v>730.82</x:v>
      </x:c>
      <x:c r="BQ9" s="9" t="n">
        <x:v>161</x:v>
      </x:c>
      <x:c r="BR9" s="9" t="n">
        <x:v>346400</x:v>
      </x:c>
      <x:c r="BS9" s="9" t="n">
        <x:v>567300</x:v>
      </x:c>
      <x:c r="BT9" s="9" t="n">
        <x:v>1038900</x:v>
      </x:c>
      <x:c r="BU9" s="9" t="n">
        <x:v>700400</x:v>
      </x:c>
      <x:c r="BV9" s="9" t="n">
        <x:v>800200</x:v>
      </x:c>
      <x:c r="BW9" s="9" t="n">
        <x:v>107000</x:v>
      </x:c>
      <x:c r="BX9" s="9" t="n">
        <x:v>130400</x:v>
      </x:c>
      <x:c r="BY9" s="9" t="n">
        <x:v>147500</x:v>
      </x:c>
      <x:c r="BZ9" s="9" t="n">
        <x:v>126200</x:v>
      </x:c>
      <x:c r="CA9" s="9" t="n">
        <x:v>96.2567</x:v>
      </x:c>
      <x:c r="CB9" s="9" t="n">
        <x:v>51.7167</x:v>
      </x:c>
      <x:c r="CC9" s="9" t="n">
        <x:v>216.38</x:v>
      </x:c>
      <x:c r="CD9" s="9" t="n">
        <x:v>214.7</x:v>
      </x:c>
      <x:c r="CE9" s="9" t="n">
        <x:v>425.28</x:v>
      </x:c>
      <x:c r="CF9" s="9" t="n">
        <x:v>166.16</x:v>
      </x:c>
      <x:c r="CG9" s="9" t="n">
        <x:v>113.77</x:v>
      </x:c>
      <x:c r="CH9" s="9" t="n">
        <x:v>56.67</x:v>
      </x:c>
      <x:c r="CI9" s="9" t="n">
        <x:v>69.61</x:v>
      </x:c>
      <x:c r="CJ9" s="9" t="n">
        <x:v>151</x:v>
      </x:c>
      <x:c r="CK9" s="9" t="n">
        <x:v>197.37</x:v>
      </x:c>
      <x:c r="CL9" s="9" t="n">
        <x:v>137.7</x:v>
      </x:c>
      <x:c r="CM9" s="9" t="n">
        <x:v>111.31</x:v>
      </x:c>
      <x:c r="CN9" s="9" t="n">
        <x:v>148.23</x:v>
      </x:c>
      <x:c r="CO9" s="9"/>
      <x:c r="CP9" s="9"/>
      <x:c r="CQ9" s="9"/>
      <x:c r="CR9" s="9"/>
      <x:c r="CS9" s="9" t="n">
        <x:v>34206.7</x:v>
      </x:c>
      <x:c r="CT9" s="9" t="n">
        <x:v>36155.36</x:v>
      </x:c>
      <x:c r="CU9" s="9" t="n">
        <x:v>1741.95</x:v>
      </x:c>
      <x:c r="CV9" s="9" t="n">
        <x:v>862.71</x:v>
      </x:c>
      <x:c r="CW9" s="9" t="n">
        <x:v>1296.5</x:v>
      </x:c>
      <x:c r="CX9" s="9" t="n">
        <x:v>1334.86</x:v>
      </x:c>
      <x:c r="CY9" s="9" t="n">
        <x:v>13522</x:v>
      </x:c>
      <x:c r="CZ9" s="9" t="n">
        <x:v>137605.88</x:v>
      </x:c>
      <x:c r="DA9" s="9" t="n">
        <x:v>96156.23</x:v>
      </x:c>
      <x:c r="DB9" s="9" t="n">
        <x:v>12945.05</x:v>
      </x:c>
      <x:c r="DC9" s="9" t="n">
        <x:v>78475.19</x:v>
      </x:c>
      <x:c r="DD9" s="9" t="n">
        <x:v>10062.54</x:v>
      </x:c>
      <x:c r="DE9" s="9" t="n">
        <x:v>110395.79</x:v>
      </x:c>
      <x:c r="DF9" s="9" t="n">
        <x:v>45719.26</x:v>
      </x:c>
      <x:c r="DG9" s="9" t="n">
        <x:v>60836.9</x:v>
      </x:c>
      <x:c r="DH9" s="9" t="n">
        <x:v>21487.43</x:v>
      </x:c>
      <x:c r="DI9" s="9" t="n">
        <x:v>140599.35</x:v>
      </x:c>
      <x:c r="DJ9" s="9" t="n">
        <x:v>31386.58</x:v>
      </x:c>
      <x:c r="DK9" s="9" t="n">
        <x:v>146807.16</x:v>
      </x:c>
      <x:c r="DL9" s="9" t="n">
        <x:v>11886.35</x:v>
      </x:c>
      <x:c r="DM9" s="9" t="n">
        <x:v>174637.2</x:v>
      </x:c>
      <x:c r="DN9" s="9" t="n">
        <x:v>29727.68</x:v>
      </x:c>
    </x:row>
    <x:row r="10" ht="24" customHeight="1">
      <x:c r="A10" s="3" t="n">
        <x:v>17</x:v>
      </x:c>
      <x:c r="B10" s="3" t="str">
        <x:v>异丁醇</x:v>
      </x:c>
      <x:c r="C10" s="3" t="str">
        <x:v>Isobutanol</x:v>
      </x:c>
      <x:c r="D10" s="3" t="str">
        <x:v>78-83-1</x:v>
      </x:c>
      <x:c r="E10" s="9" t="n">
        <x:v>28300</x:v>
      </x:c>
      <x:c r="F10" s="9"/>
      <x:c r="G10" s="9"/>
      <x:c r="H10" s="9" t="n">
        <x:v>27.66</x:v>
      </x:c>
      <x:c r="I10" s="9" t="n">
        <x:v>11.36</x:v>
      </x:c>
      <x:c r="J10" s="9" t="n">
        <x:v>11.55</x:v>
      </x:c>
      <x:c r="K10" s="9" t="n">
        <x:v>121.33</x:v>
      </x:c>
      <x:c r="L10" s="9" t="n">
        <x:v>8.45</x:v>
      </x:c>
      <x:c r="M10" s="9"/>
      <x:c r="N10" s="9"/>
      <x:c r="O10" s="9"/>
      <x:c r="P10" s="9"/>
      <x:c r="Q10" s="9"/>
      <x:c r="R10" s="9"/>
      <x:c r="S10" s="9"/>
      <x:c r="T10" s="9"/>
      <x:c r="U10" s="9" t="n">
        <x:v>1</x:v>
      </x:c>
      <x:c r="V10" s="9" t="n">
        <x:v>0</x:v>
      </x:c>
      <x:c r="W10" s="9"/>
      <x:c r="X10" s="9" t="n">
        <x:v>136000</x:v>
      </x:c>
      <x:c r="Y10" s="9" t="n">
        <x:v>42600</x:v>
      </x:c>
      <x:c r="Z10" s="9" t="n">
        <x:v>29800</x:v>
      </x:c>
      <x:c r="AA10" s="9" t="n">
        <x:v>25200</x:v>
      </x:c>
      <x:c r="AB10" s="9" t="n">
        <x:v>20800</x:v>
      </x:c>
      <x:c r="AC10" s="9" t="n">
        <x:v>17300</x:v>
      </x:c>
      <x:c r="AD10" s="9" t="n">
        <x:v>10400</x:v>
      </x:c>
      <x:c r="AE10" s="9" t="n">
        <x:v>7140</x:v>
      </x:c>
      <x:c r="AF10" s="9" t="n">
        <x:v>270140</x:v>
      </x:c>
      <x:c r="AG10" s="9" t="n">
        <x:v>279260</x:v>
      </x:c>
      <x:c r="AH10" s="9" t="n">
        <x:v>86310</x:v>
      </x:c>
      <x:c r="AI10" s="9" t="n">
        <x:v>4100</x:v>
      </x:c>
      <x:c r="AJ10" s="9" t="n">
        <x:v>17080</x:v>
      </x:c>
      <x:c r="AK10" s="9" t="n">
        <x:v>7450</x:v>
      </x:c>
      <x:c r="AL10" s="9" t="n">
        <x:v>3650</x:v>
      </x:c>
      <x:c r="AM10" s="9" t="n">
        <x:v>4460</x:v>
      </x:c>
      <x:c r="AN10" s="9"/>
      <x:c r="AO10" s="9"/>
      <x:c r="AP10" s="9"/>
      <x:c r="AQ10" s="9"/>
      <x:c r="AR10" s="9" t="n">
        <x:v>42.72</x:v>
      </x:c>
      <x:c r="AS10" s="9" t="n">
        <x:v>15.22</x:v>
      </x:c>
      <x:c r="AT10" s="9" t="n">
        <x:v>18.45</x:v>
      </x:c>
      <x:c r="AU10" s="9" t="n">
        <x:v>12.29</x:v>
      </x:c>
      <x:c r="AV10" s="9" t="n">
        <x:v>3.87</x:v>
      </x:c>
      <x:c r="AW10" s="9" t="n">
        <x:v>27301</x:v>
      </x:c>
      <x:c r="AX10" s="9" t="n">
        <x:v>2</x:v>
      </x:c>
      <x:c r="AY10" s="9" t="n">
        <x:v>41401.5</x:v>
      </x:c>
      <x:c r="AZ10" s="9" t="n">
        <x:v>53800</x:v>
      </x:c>
      <x:c r="BA10" s="9"/>
      <x:c r="BB10" s="9"/>
      <x:c r="BC10" s="9" t="n">
        <x:v>82.23</x:v>
      </x:c>
      <x:c r="BD10" s="9"/>
      <x:c r="BE10" s="9" t="n">
        <x:v>91.41</x:v>
      </x:c>
      <x:c r="BF10" s="9" t="n">
        <x:v>87.2</x:v>
      </x:c>
      <x:c r="BG10" s="9" t="n">
        <x:v>84.52</x:v>
      </x:c>
      <x:c r="BH10" s="9" t="n">
        <x:v>75.62</x:v>
      </x:c>
      <x:c r="BI10" s="9" t="n">
        <x:v>78.14</x:v>
      </x:c>
      <x:c r="BJ10" s="9" t="n">
        <x:v>73.7</x:v>
      </x:c>
      <x:c r="BK10" s="9" t="n">
        <x:v>23.72</x:v>
      </x:c>
      <x:c r="BL10" s="9" t="n">
        <x:v>238.42</x:v>
      </x:c>
      <x:c r="BM10" s="9" t="n">
        <x:v>168.82</x:v>
      </x:c>
      <x:c r="BN10" s="9" t="n">
        <x:v>183.1</x:v>
      </x:c>
      <x:c r="BO10" s="9" t="n">
        <x:v>174.41</x:v>
      </x:c>
      <x:c r="BP10" s="9" t="n">
        <x:v>186.81</x:v>
      </x:c>
      <x:c r="BQ10" s="9" t="n">
        <x:v>162.82</x:v>
      </x:c>
      <x:c r="BR10" s="9" t="n">
        <x:v>228500</x:v>
      </x:c>
      <x:c r="BS10" s="9" t="n">
        <x:v>106000</x:v>
      </x:c>
      <x:c r="BT10" s="9" t="n">
        <x:v>106800</x:v>
      </x:c>
      <x:c r="BU10" s="9" t="n">
        <x:v>120500</x:v>
      </x:c>
      <x:c r="BV10" s="9" t="n">
        <x:v>70900</x:v>
      </x:c>
      <x:c r="BW10" s="9" t="n">
        <x:v>109700</x:v>
      </x:c>
      <x:c r="BX10" s="9" t="n">
        <x:v>43600</x:v>
      </x:c>
      <x:c r="BY10" s="9" t="n">
        <x:v>50400</x:v>
      </x:c>
      <x:c r="BZ10" s="9" t="n">
        <x:v>42100</x:v>
      </x:c>
      <x:c r="CA10" s="9" t="n">
        <x:v>57.385</x:v>
      </x:c>
      <x:c r="CB10" s="9" t="n">
        <x:v>53.425</x:v>
      </x:c>
      <x:c r="CC10" s="9" t="n">
        <x:v>88.95</x:v>
      </x:c>
      <x:c r="CD10" s="9" t="n">
        <x:v>70.7</x:v>
      </x:c>
      <x:c r="CE10" s="9" t="n">
        <x:v>121.4</x:v>
      </x:c>
      <x:c r="CF10" s="9" t="n">
        <x:v>112.28</x:v>
      </x:c>
      <x:c r="CG10" s="9" t="n">
        <x:v>117.04</x:v>
      </x:c>
      <x:c r="CH10" s="9" t="n">
        <x:v>41.61</x:v>
      </x:c>
      <x:c r="CI10" s="9" t="n">
        <x:v>41.45</x:v>
      </x:c>
      <x:c r="CJ10" s="9" t="n">
        <x:v>132.49</x:v>
      </x:c>
      <x:c r="CK10" s="9" t="n">
        <x:v>121.68</x:v>
      </x:c>
      <x:c r="CL10" s="9" t="n">
        <x:v>101.48</x:v>
      </x:c>
      <x:c r="CM10" s="9" t="n">
        <x:v>114.44</x:v>
      </x:c>
      <x:c r="CN10" s="9" t="n">
        <x:v>94.09</x:v>
      </x:c>
      <x:c r="CO10" s="9"/>
      <x:c r="CP10" s="9"/>
      <x:c r="CQ10" s="9"/>
      <x:c r="CR10" s="9"/>
      <x:c r="CS10" s="9" t="n">
        <x:v>43928.03</x:v>
      </x:c>
      <x:c r="CT10" s="9" t="n">
        <x:v>5502.04</x:v>
      </x:c>
      <x:c r="CU10" s="9" t="n">
        <x:v>136.91</x:v>
      </x:c>
      <x:c r="CV10" s="9" t="n">
        <x:v>156.3</x:v>
      </x:c>
      <x:c r="CW10" s="9" t="n">
        <x:v>157.76</x:v>
      </x:c>
      <x:c r="CX10" s="9" t="n">
        <x:v>185.72</x:v>
      </x:c>
      <x:c r="CY10" s="9" t="n">
        <x:v>19578.07</x:v>
      </x:c>
      <x:c r="CZ10" s="9" t="n">
        <x:v>50394</x:v>
      </x:c>
      <x:c r="DA10" s="9" t="n">
        <x:v>47695.21</x:v>
      </x:c>
      <x:c r="DB10" s="9" t="n">
        <x:v>20081.8</x:v>
      </x:c>
      <x:c r="DC10" s="9" t="n">
        <x:v>17504.15</x:v>
      </x:c>
      <x:c r="DD10" s="9" t="n">
        <x:v>6386.46</x:v>
      </x:c>
      <x:c r="DE10" s="9" t="n">
        <x:v>90485.48</x:v>
      </x:c>
      <x:c r="DF10" s="9" t="n">
        <x:v>17526.14</x:v>
      </x:c>
      <x:c r="DG10" s="9" t="n">
        <x:v>43263.6</x:v>
      </x:c>
      <x:c r="DH10" s="9" t="n">
        <x:v>47898.48</x:v>
      </x:c>
      <x:c r="DI10" s="9" t="n">
        <x:v>67130.54</x:v>
      </x:c>
      <x:c r="DJ10" s="9" t="n">
        <x:v>68577.4</x:v>
      </x:c>
      <x:c r="DK10" s="9" t="n">
        <x:v>79029.09</x:v>
      </x:c>
      <x:c r="DL10" s="9" t="n">
        <x:v>55529.52</x:v>
      </x:c>
      <x:c r="DM10" s="9" t="n">
        <x:v>87437.48</x:v>
      </x:c>
      <x:c r="DN10" s="9" t="n">
        <x:v>46136.68</x:v>
      </x:c>
    </x:row>
    <x:row r="11" ht="24" customHeight="1">
      <x:c r="A11" s="3" t="n">
        <x:v>18</x:v>
      </x:c>
      <x:c r="B11" s="3" t="str">
        <x:v>2-甲基丙醛</x:v>
      </x:c>
      <x:c r="C11" s="3" t="str">
        <x:v>Isobutyraldehyde</x:v>
      </x:c>
      <x:c r="D11" s="3" t="str">
        <x:v>78-84-2</x:v>
      </x:c>
      <x:c r="E11" s="9" t="n">
        <x:v>5.9</x:v>
      </x:c>
      <x:c r="F11" s="9"/>
      <x:c r="G11" s="9"/>
      <x:c r="H11" s="9"/>
      <x:c r="I11" s="9"/>
      <x:c r="J11" s="9"/>
      <x:c r="K11" s="9"/>
      <x:c r="L11" s="9"/>
      <x:c r="M11" s="9"/>
      <x:c r="N11" s="9"/>
      <x:c r="O11" s="9" t="n">
        <x:v>225</x:v>
      </x:c>
      <x:c r="P11" s="9" t="n">
        <x:v>394</x:v>
      </x:c>
      <x:c r="Q11" s="9" t="n">
        <x:v>470</x:v>
      </x:c>
      <x:c r="R11" s="9" t="n">
        <x:v>446</x:v>
      </x:c>
      <x:c r="S11" s="9" t="n">
        <x:v>447</x:v>
      </x:c>
      <x:c r="T11" s="9" t="n">
        <x:v>402</x:v>
      </x:c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 t="n">
        <x:v>2380</x:v>
      </x:c>
      <x:c r="AJ11" s="9" t="n">
        <x:v>19640</x:v>
      </x:c>
      <x:c r="AK11" s="9" t="n">
        <x:v>10650</x:v>
      </x:c>
      <x:c r="AL11" s="9"/>
      <x:c r="AM11" s="9"/>
      <x:c r="AN11" s="9"/>
      <x:c r="AO11" s="9"/>
      <x:c r="AP11" s="9"/>
      <x:c r="AQ11" s="9"/>
      <x:c r="AR11" s="9"/>
      <x:c r="AS11" s="9"/>
      <x:c r="AT11" s="9"/>
      <x:c r="AU11" s="9"/>
      <x:c r="AV11" s="9"/>
      <x:c r="AW11" s="9"/>
      <x:c r="AX11" s="9"/>
      <x:c r="AY11" s="9"/>
      <x:c r="AZ11" s="9"/>
      <x:c r="BA11" s="9" t="n">
        <x:v>39</x:v>
      </x:c>
      <x:c r="BB11" s="9" t="n">
        <x:v>214</x:v>
      </x:c>
      <x:c r="BC11" s="9"/>
      <x:c r="BD11" s="9"/>
      <x:c r="BE11" s="9"/>
      <x:c r="BF11" s="9"/>
      <x:c r="BG11" s="9"/>
      <x:c r="BH11" s="9"/>
      <x:c r="BI11" s="9"/>
      <x:c r="BJ11" s="9"/>
      <x:c r="BK11" s="9"/>
      <x:c r="BL11" s="9"/>
      <x:c r="BM11" s="9"/>
      <x:c r="BN11" s="9"/>
      <x:c r="BO11" s="9"/>
      <x:c r="BP11" s="9"/>
      <x:c r="BQ11" s="9"/>
      <x:c r="BR11" s="9" t="n">
        <x:v>4000</x:v>
      </x:c>
      <x:c r="BS11" s="9" t="n">
        <x:v>35900</x:v>
      </x:c>
      <x:c r="BT11" s="9" t="n">
        <x:v>11800</x:v>
      </x:c>
      <x:c r="BU11" s="9" t="n">
        <x:v>23400</x:v>
      </x:c>
      <x:c r="BV11" s="9" t="n">
        <x:v>21000</x:v>
      </x:c>
      <x:c r="BW11" s="9" t="n">
        <x:v>1900</x:v>
      </x:c>
      <x:c r="BX11" s="9" t="n">
        <x:v>1300</x:v>
      </x:c>
      <x:c r="BY11" s="9" t="n">
        <x:v>9600</x:v>
      </x:c>
      <x:c r="BZ11" s="9" t="n">
        <x:v>3800</x:v>
      </x:c>
      <x:c r="CA11" s="9" t="n">
        <x:v>310</x:v>
      </x:c>
      <x:c r="CB11" s="9" t="n">
        <x:v>288.81</x:v>
      </x:c>
      <x:c r="CC11" s="9" t="n">
        <x:v>656.65</x:v>
      </x:c>
      <x:c r="CD11" s="9" t="n">
        <x:v>526.6</x:v>
      </x:c>
      <x:c r="CE11" s="9" t="n">
        <x:v>1168.71</x:v>
      </x:c>
      <x:c r="CF11" s="9" t="n">
        <x:v>1060.25</x:v>
      </x:c>
      <x:c r="CG11" s="9" t="n">
        <x:v>658.16</x:v>
      </x:c>
      <x:c r="CH11" s="9" t="n">
        <x:v>374.2</x:v>
      </x:c>
      <x:c r="CI11" s="9" t="n">
        <x:v>287.15</x:v>
      </x:c>
      <x:c r="CJ11" s="9" t="n">
        <x:v>1629.71</x:v>
      </x:c>
      <x:c r="CK11" s="9" t="n">
        <x:v>2058.1</x:v>
      </x:c>
      <x:c r="CL11" s="9" t="n">
        <x:v>1036.25</x:v>
      </x:c>
      <x:c r="CM11" s="9" t="n">
        <x:v>810.15</x:v>
      </x:c>
      <x:c r="CN11" s="9" t="n">
        <x:v>871.87</x:v>
      </x:c>
      <x:c r="CO11" s="9"/>
      <x:c r="CP11" s="9"/>
      <x:c r="CQ11" s="9"/>
      <x:c r="CR11" s="9"/>
      <x:c r="CS11" s="9"/>
      <x:c r="CT11" s="9"/>
      <x:c r="CU11" s="9"/>
      <x:c r="CV11" s="9"/>
      <x:c r="CW11" s="9"/>
      <x:c r="CX11" s="9"/>
      <x:c r="CY11" s="9"/>
      <x:c r="CZ11" s="9"/>
      <x:c r="DA11" s="9"/>
      <x:c r="DB11" s="9"/>
      <x:c r="DC11" s="9"/>
      <x:c r="DD11" s="9"/>
      <x:c r="DE11" s="9"/>
      <x:c r="DF11" s="9"/>
      <x:c r="DG11" s="9"/>
      <x:c r="DH11" s="9"/>
      <x:c r="DI11" s="9"/>
      <x:c r="DJ11" s="9"/>
      <x:c r="DK11" s="9"/>
      <x:c r="DL11" s="9"/>
      <x:c r="DM11" s="9"/>
      <x:c r="DN11" s="9"/>
    </x:row>
    <x:row r="12" ht="24" customHeight="1">
      <x:c r="A12" s="3" t="n">
        <x:v>21</x:v>
      </x:c>
      <x:c r="B12" s="3" t="str">
        <x:v>异丁酸</x:v>
      </x:c>
      <x:c r="C12" s="3" t="str">
        <x:v>2-methylpropionic acid/Isobutyric Acid</x:v>
      </x:c>
      <x:c r="D12" s="3" t="str">
        <x:v>79-31-2</x:v>
      </x:c>
      <x:c r="E12" s="9" t="n">
        <x:v>1580</x:v>
      </x:c>
      <x:c r="F12" s="9" t="n">
        <x:v>95</x:v>
      </x:c>
      <x:c r="G12" s="9" t="n">
        <x:v>1130</x:v>
      </x:c>
      <x:c r="H12" s="9" t="n">
        <x:v>4.17</x:v>
      </x:c>
      <x:c r="I12" s="9" t="n">
        <x:v>14.17</x:v>
      </x:c>
      <x:c r="J12" s="9" t="n">
        <x:v>0.66</x:v>
      </x:c>
      <x:c r="K12" s="9" t="n">
        <x:v>4.13</x:v>
      </x:c>
      <x:c r="L12" s="9" t="n">
        <x:v>0.37</x:v>
      </x:c>
      <x:c r="M12" s="9"/>
      <x:c r="N12" s="9"/>
      <x:c r="O12" s="9" t="n">
        <x:v>4761</x:v>
      </x:c>
      <x:c r="P12" s="9" t="n">
        <x:v>4222</x:v>
      </x:c>
      <x:c r="Q12" s="9" t="n">
        <x:v>4638</x:v>
      </x:c>
      <x:c r="R12" s="9" t="n">
        <x:v>3808</x:v>
      </x:c>
      <x:c r="S12" s="9" t="n">
        <x:v>3681</x:v>
      </x:c>
      <x:c r="T12" s="9" t="n">
        <x:v>4290</x:v>
      </x:c>
      <x:c r="U12" s="9" t="n">
        <x:v>40</x:v>
      </x:c>
      <x:c r="V12" s="9" t="n">
        <x:v>35</x:v>
      </x:c>
      <x:c r="W12" s="9"/>
      <x:c r="X12" s="9"/>
      <x:c r="Y12" s="9"/>
      <x:c r="Z12" s="9"/>
      <x:c r="AA12" s="9"/>
      <x:c r="AB12" s="9"/>
      <x:c r="AC12" s="9"/>
      <x:c r="AD12" s="9"/>
      <x:c r="AE12" s="9"/>
      <x:c r="AF12" s="9" t="n">
        <x:v>490</x:v>
      </x:c>
      <x:c r="AG12" s="9" t="n">
        <x:v>2740</x:v>
      </x:c>
      <x:c r="AH12" s="9"/>
      <x:c r="AI12" s="9" t="n">
        <x:v>500</x:v>
      </x:c>
      <x:c r="AJ12" s="9" t="n">
        <x:v>280</x:v>
      </x:c>
      <x:c r="AK12" s="9" t="n">
        <x:v>350</x:v>
      </x:c>
      <x:c r="AL12" s="9"/>
      <x:c r="AM12" s="9"/>
      <x:c r="AN12" s="9"/>
      <x:c r="AO12" s="9"/>
      <x:c r="AP12" s="9"/>
      <x:c r="AQ12" s="9"/>
      <x:c r="AR12" s="9" t="n">
        <x:v>4.25</x:v>
      </x:c>
      <x:c r="AS12" s="9" t="n">
        <x:v>3.58</x:v>
      </x:c>
      <x:c r="AT12" s="9" t="n">
        <x:v>4.64</x:v>
      </x:c>
      <x:c r="AU12" s="9" t="n">
        <x:v>5.39</x:v>
      </x:c>
      <x:c r="AV12" s="9"/>
      <x:c r="AW12" s="9"/>
      <x:c r="AX12" s="9"/>
      <x:c r="AY12" s="9"/>
      <x:c r="AZ12" s="9"/>
      <x:c r="BA12" s="9"/>
      <x:c r="BB12" s="9"/>
      <x:c r="BC12" s="9" t="n">
        <x:v>4.76</x:v>
      </x:c>
      <x:c r="BD12" s="9"/>
      <x:c r="BE12" s="9" t="n">
        <x:v>8.74</x:v>
      </x:c>
      <x:c r="BF12" s="9" t="n">
        <x:v>12.19</x:v>
      </x:c>
      <x:c r="BG12" s="9" t="n">
        <x:v>11.6</x:v>
      </x:c>
      <x:c r="BH12" s="9" t="n">
        <x:v>8.6</x:v>
      </x:c>
      <x:c r="BI12" s="9" t="n">
        <x:v>9.33</x:v>
      </x:c>
      <x:c r="BJ12" s="9" t="n">
        <x:v>9.57</x:v>
      </x:c>
      <x:c r="BK12" s="9" t="n">
        <x:v>11.96</x:v>
      </x:c>
      <x:c r="BL12" s="9" t="n">
        <x:v>15.99</x:v>
      </x:c>
      <x:c r="BM12" s="9" t="n">
        <x:v>11.29</x:v>
      </x:c>
      <x:c r="BN12" s="9" t="n">
        <x:v>16.14</x:v>
      </x:c>
      <x:c r="BO12" s="9" t="n">
        <x:v>9.88</x:v>
      </x:c>
      <x:c r="BP12" s="9" t="n">
        <x:v>16.26</x:v>
      </x:c>
      <x:c r="BQ12" s="9" t="n">
        <x:v>5.37</x:v>
      </x:c>
      <x:c r="BR12" s="9"/>
      <x:c r="BS12" s="9"/>
      <x:c r="BT12" s="9"/>
      <x:c r="BU12" s="9"/>
      <x:c r="BV12" s="9"/>
      <x:c r="BW12" s="9"/>
      <x:c r="BX12" s="9"/>
      <x:c r="BY12" s="9"/>
      <x:c r="BZ12" s="9"/>
      <x:c r="CA12" s="9" t="n">
        <x:v>5.235</x:v>
      </x:c>
      <x:c r="CB12" s="9" t="n">
        <x:v>6.585</x:v>
      </x:c>
      <x:c r="CC12" s="9" t="n">
        <x:v>5.55</x:v>
      </x:c>
      <x:c r="CD12" s="9" t="n">
        <x:v>8.62</x:v>
      </x:c>
      <x:c r="CE12" s="9" t="n">
        <x:v>8.16</x:v>
      </x:c>
      <x:c r="CF12" s="9" t="n">
        <x:v>38.42</x:v>
      </x:c>
      <x:c r="CG12" s="9" t="n">
        <x:v>7.6</x:v>
      </x:c>
      <x:c r="CH12" s="9" t="n">
        <x:v>1.86</x:v>
      </x:c>
      <x:c r="CI12" s="9" t="n">
        <x:v>2</x:v>
      </x:c>
      <x:c r="CJ12" s="9" t="n">
        <x:v>57.22</x:v>
      </x:c>
      <x:c r="CK12" s="9" t="n">
        <x:v>15.67</x:v>
      </x:c>
      <x:c r="CL12" s="9" t="n">
        <x:v>15</x:v>
      </x:c>
      <x:c r="CM12" s="9" t="n">
        <x:v>17.26</x:v>
      </x:c>
      <x:c r="CN12" s="9" t="n">
        <x:v>14.97</x:v>
      </x:c>
      <x:c r="CO12" s="9"/>
      <x:c r="CP12" s="9"/>
      <x:c r="CQ12" s="9"/>
      <x:c r="CR12" s="9"/>
      <x:c r="CS12" s="9"/>
      <x:c r="CT12" s="9"/>
      <x:c r="CU12" s="9"/>
      <x:c r="CV12" s="9"/>
      <x:c r="CW12" s="9"/>
      <x:c r="CX12" s="9"/>
      <x:c r="CY12" s="9" t="n">
        <x:v>7073.44</x:v>
      </x:c>
      <x:c r="CZ12" s="9" t="n">
        <x:v>6267.03</x:v>
      </x:c>
      <x:c r="DA12" s="9" t="n">
        <x:v>5102.38</x:v>
      </x:c>
      <x:c r="DB12" s="9" t="n">
        <x:v>5181.62</x:v>
      </x:c>
      <x:c r="DC12" s="9" t="n">
        <x:v>2695.34</x:v>
      </x:c>
      <x:c r="DD12" s="9" t="n">
        <x:v>5502.99</x:v>
      </x:c>
      <x:c r="DE12" s="9" t="n">
        <x:v>11637.33</x:v>
      </x:c>
      <x:c r="DF12" s="9" t="n">
        <x:v>5907.56</x:v>
      </x:c>
      <x:c r="DG12" s="9" t="n">
        <x:v>7129.58</x:v>
      </x:c>
      <x:c r="DH12" s="9" t="n">
        <x:v>5210.99</x:v>
      </x:c>
      <x:c r="DI12" s="9" t="n">
        <x:v>3106.8</x:v>
      </x:c>
      <x:c r="DJ12" s="9" t="n">
        <x:v>2693.7</x:v>
      </x:c>
      <x:c r="DK12" s="9" t="n">
        <x:v>6823.71</x:v>
      </x:c>
      <x:c r="DL12" s="9" t="n">
        <x:v>4325.9</x:v>
      </x:c>
      <x:c r="DM12" s="9" t="n">
        <x:v>4767.81</x:v>
      </x:c>
      <x:c r="DN12" s="9" t="n">
        <x:v>3153</x:v>
      </x:c>
    </x:row>
    <x:row r="13" ht="24" customHeight="1">
      <x:c r="A13" s="3" t="n">
        <x:v>32</x:v>
      </x:c>
      <x:c r="B13" s="3" t="str">
        <x:v>异丁酸乙酯</x:v>
      </x:c>
      <x:c r="C13" s="3" t="str">
        <x:v>Ethyl isobutyrate</x:v>
      </x:c>
      <x:c r="D13" s="3" t="str">
        <x:v>97-62-1</x:v>
      </x:c>
      <x:c r="E13" s="9" t="n">
        <x:v>57.5</x:v>
      </x:c>
      <x:c r="F13" s="9" t="n">
        <x:v>8766</x:v>
      </x:c>
      <x:c r="G13" s="9" t="n">
        <x:v>9437</x:v>
      </x:c>
      <x:c r="H13" s="9"/>
      <x:c r="I13" s="9"/>
      <x:c r="J13" s="9"/>
      <x:c r="K13" s="9"/>
      <x:c r="L13" s="9"/>
      <x:c r="M13" s="9"/>
      <x:c r="N13" s="9"/>
      <x:c r="O13" s="9" t="n">
        <x:v>423</x:v>
      </x:c>
      <x:c r="P13" s="9" t="n">
        <x:v>2609</x:v>
      </x:c>
      <x:c r="Q13" s="9" t="n">
        <x:v>2399</x:v>
      </x:c>
      <x:c r="R13" s="9" t="n">
        <x:v>1629</x:v>
      </x:c>
      <x:c r="S13" s="9" t="n">
        <x:v>1263</x:v>
      </x:c>
      <x:c r="T13" s="9" t="n">
        <x:v>1996</x:v>
      </x:c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R13" s="9"/>
      <x:c r="AS13" s="9"/>
      <x:c r="AT13" s="9"/>
      <x:c r="AU13" s="9"/>
      <x:c r="AV13" s="9"/>
      <x:c r="AW13" s="9"/>
      <x:c r="AX13" s="9"/>
      <x:c r="AY13" s="9"/>
      <x:c r="AZ13" s="9"/>
      <x:c r="BA13" s="9" t="n">
        <x:v>278</x:v>
      </x:c>
      <x:c r="BB13" s="9" t="n">
        <x:v>1529</x:v>
      </x:c>
      <x:c r="BC13" s="9"/>
      <x:c r="BD13" s="9"/>
      <x:c r="BE13" s="9"/>
      <x:c r="BF13" s="9"/>
      <x:c r="BG13" s="9"/>
      <x:c r="BH13" s="9"/>
      <x:c r="BI13" s="9"/>
      <x:c r="BJ13" s="9"/>
      <x:c r="BK13" s="9"/>
      <x:c r="BL13" s="9"/>
      <x:c r="BM13" s="9"/>
      <x:c r="BN13" s="9"/>
      <x:c r="BO13" s="9"/>
      <x:c r="BP13" s="9"/>
      <x:c r="BQ13" s="9"/>
      <x:c r="BR13" s="9"/>
      <x:c r="BS13" s="9"/>
      <x:c r="BT13" s="9"/>
      <x:c r="BU13" s="9"/>
      <x:c r="BV13" s="9"/>
      <x:c r="BW13" s="9"/>
      <x:c r="BX13" s="9"/>
      <x:c r="BY13" s="9"/>
      <x:c r="BZ13" s="9"/>
      <x:c r="CA13" s="9" t="n">
        <x:v>316.1667</x:v>
      </x:c>
      <x:c r="CB13" s="9" t="n">
        <x:v>458.1367</x:v>
      </x:c>
      <x:c r="CC13" s="9" t="n">
        <x:v>139.41</x:v>
      </x:c>
      <x:c r="CD13" s="9" t="n">
        <x:v>112.74</x:v>
      </x:c>
      <x:c r="CE13" s="9" t="n">
        <x:v>168.68</x:v>
      </x:c>
      <x:c r="CF13" s="9" t="n">
        <x:v>101.53</x:v>
      </x:c>
      <x:c r="CG13" s="9" t="n">
        <x:v>32.16</x:v>
      </x:c>
      <x:c r="CH13" s="9" t="n">
        <x:v>27.67</x:v>
      </x:c>
      <x:c r="CI13" s="9" t="n">
        <x:v>18.68</x:v>
      </x:c>
      <x:c r="CJ13" s="9" t="n">
        <x:v>163.09</x:v>
      </x:c>
      <x:c r="CK13" s="9" t="n">
        <x:v>139.11</x:v>
      </x:c>
      <x:c r="CL13" s="9" t="n">
        <x:v>89.01</x:v>
      </x:c>
      <x:c r="CM13" s="9" t="n">
        <x:v>75.29</x:v>
      </x:c>
      <x:c r="CN13" s="9" t="n">
        <x:v>95.04</x:v>
      </x:c>
      <x:c r="CO13" s="9" t="n">
        <x:v>21326</x:v>
      </x:c>
      <x:c r="CP13" s="9" t="n">
        <x:v>37489</x:v>
      </x:c>
      <x:c r="CQ13" s="9" t="n">
        <x:v>33475</x:v>
      </x:c>
      <x:c r="CR13" s="9" t="n">
        <x:v>37250</x:v>
      </x:c>
      <x:c r="CS13" s="9"/>
      <x:c r="CT13" s="9"/>
      <x:c r="CU13" s="9"/>
      <x:c r="CV13" s="9"/>
      <x:c r="CW13" s="9"/>
      <x:c r="CX13" s="9"/>
      <x:c r="CY13" s="9" t="n">
        <x:v>4280.96</x:v>
      </x:c>
      <x:c r="CZ13" s="9" t="n">
        <x:v>7501.54</x:v>
      </x:c>
      <x:c r="DA13" s="9" t="n">
        <x:v>9686.24</x:v>
      </x:c>
      <x:c r="DB13" s="9" t="n">
        <x:v>4648.18</x:v>
      </x:c>
      <x:c r="DC13" s="9" t="n">
        <x:v>9045.98</x:v>
      </x:c>
      <x:c r="DD13" s="9" t="n">
        <x:v>3179.8</x:v>
      </x:c>
      <x:c r="DE13" s="9" t="n">
        <x:v>7994.54</x:v>
      </x:c>
      <x:c r="DF13" s="9" t="n">
        <x:v>3738.95</x:v>
      </x:c>
      <x:c r="DG13" s="9" t="n">
        <x:v>24164.91</x:v>
      </x:c>
      <x:c r="DH13" s="9" t="n">
        <x:v>5759.47</x:v>
      </x:c>
      <x:c r="DI13" s="9" t="n">
        <x:v>12778.8</x:v>
      </x:c>
      <x:c r="DJ13" s="9" t="n">
        <x:v>3856.65</x:v>
      </x:c>
      <x:c r="DK13" s="9" t="n">
        <x:v>11326.25</x:v>
      </x:c>
      <x:c r="DL13" s="9" t="n">
        <x:v>4007.07</x:v>
      </x:c>
      <x:c r="DM13" s="9" t="n">
        <x:v>15064.28</x:v>
      </x:c>
      <x:c r="DN13" s="9" t="n">
        <x:v>8215.18</x:v>
      </x:c>
    </x:row>
    <x:row r="14" ht="24" customHeight="1">
      <x:c r="A14" s="3" t="n">
        <x:v>40</x:v>
      </x:c>
      <x:c r="B14" s="3" t="str">
        <x:v>苯乙酸乙酯</x:v>
      </x:c>
      <x:c r="C14" s="3" t="str">
        <x:v>Ethyl phenylacetate</x:v>
      </x:c>
      <x:c r="D14" s="3" t="str">
        <x:v>101-97-3</x:v>
      </x:c>
      <x:c r="E14" s="9" t="n">
        <x:v>407</x:v>
      </x:c>
      <x:c r="F14" s="9" t="n">
        <x:v>61</x:v>
      </x:c>
      <x:c r="G14" s="9" t="n">
        <x:v>341</x:v>
      </x:c>
      <x:c r="H14" s="9" t="n">
        <x:v>6.62</x:v>
      </x:c>
      <x:c r="I14" s="9" t="n">
        <x:v>5.24</x:v>
      </x:c>
      <x:c r="J14" s="9" t="n">
        <x:v>1.9</x:v>
      </x:c>
      <x:c r="K14" s="9" t="n">
        <x:v>3.05</x:v>
      </x:c>
      <x:c r="L14" s="9" t="n">
        <x:v>2.52</x:v>
      </x:c>
      <x:c r="M14" s="9" t="n">
        <x:v>515</x:v>
      </x:c>
      <x:c r="N14" s="9" t="n">
        <x:v>457</x:v>
      </x:c>
      <x:c r="O14" s="9" t="n">
        <x:v>6967</x:v>
      </x:c>
      <x:c r="P14" s="9" t="n">
        <x:v>11475</x:v>
      </x:c>
      <x:c r="Q14" s="9" t="n">
        <x:v>12405</x:v>
      </x:c>
      <x:c r="R14" s="9" t="n">
        <x:v>9560</x:v>
      </x:c>
      <x:c r="S14" s="9" t="n">
        <x:v>10421</x:v>
      </x:c>
      <x:c r="T14" s="9" t="n">
        <x:v>10783</x:v>
      </x:c>
      <x:c r="U14" s="9"/>
      <x:c r="V14" s="9"/>
      <x:c r="W14" s="9" t="n">
        <x:v>1.875</x:v>
      </x:c>
      <x:c r="X14" s="9" t="n">
        <x:v>6740</x:v>
      </x:c>
      <x:c r="Y14" s="9" t="n">
        <x:v>4230</x:v>
      </x:c>
      <x:c r="Z14" s="9" t="n">
        <x:v>5510</x:v>
      </x:c>
      <x:c r="AA14" s="9" t="n">
        <x:v>7660</x:v>
      </x:c>
      <x:c r="AB14" s="9" t="n">
        <x:v>9890</x:v>
      </x:c>
      <x:c r="AC14" s="9" t="n">
        <x:v>17100</x:v>
      </x:c>
      <x:c r="AD14" s="9" t="n">
        <x:v>16700</x:v>
      </x:c>
      <x:c r="AE14" s="9" t="n">
        <x:v>21400</x:v>
      </x:c>
      <x:c r="AF14" s="9" t="n">
        <x:v>2980</x:v>
      </x:c>
      <x:c r="AG14" s="9" t="n">
        <x:v>3940</x:v>
      </x:c>
      <x:c r="AH14" s="9" t="n">
        <x:v>4870</x:v>
      </x:c>
      <x:c r="AI14" s="9" t="n">
        <x:v>10</x:v>
      </x:c>
      <x:c r="AJ14" s="9" t="n">
        <x:v>10</x:v>
      </x:c>
      <x:c r="AK14" s="9" t="n">
        <x:v>20</x:v>
      </x:c>
      <x:c r="AL14" s="9" t="n">
        <x:v>2680</x:v>
      </x:c>
      <x:c r="AM14" s="9" t="n">
        <x:v>4480</x:v>
      </x:c>
      <x:c r="AN14" s="9"/>
      <x:c r="AO14" s="9"/>
      <x:c r="AP14" s="9"/>
      <x:c r="AQ14" s="9"/>
      <x:c r="AR14" s="9" t="n">
        <x:v>3.22</x:v>
      </x:c>
      <x:c r="AS14" s="9" t="n">
        <x:v>9.36</x:v>
      </x:c>
      <x:c r="AT14" s="9" t="n">
        <x:v>5.39</x:v>
      </x:c>
      <x:c r="AU14" s="9" t="n">
        <x:v>5.56</x:v>
      </x:c>
      <x:c r="AV14" s="9" t="n">
        <x:v>15.61</x:v>
      </x:c>
      <x:c r="AW14" s="9"/>
      <x:c r="AX14" s="9"/>
      <x:c r="AY14" s="9"/>
      <x:c r="AZ14" s="9"/>
      <x:c r="BA14" s="9" t="n">
        <x:v>5251</x:v>
      </x:c>
      <x:c r="BB14" s="9" t="n">
        <x:v>5878</x:v>
      </x:c>
      <x:c r="BC14" s="9"/>
      <x:c r="BD14" s="9"/>
      <x:c r="BE14" s="9" t="n">
        <x:v>1619</x:v>
      </x:c>
      <x:c r="BF14" s="9" t="n">
        <x:v>5923.89</x:v>
      </x:c>
      <x:c r="BG14" s="9" t="n">
        <x:v>3615.12</x:v>
      </x:c>
      <x:c r="BH14" s="9" t="n">
        <x:v>895.33</x:v>
      </x:c>
      <x:c r="BI14" s="9"/>
      <x:c r="BJ14" s="9" t="n">
        <x:v>883.62</x:v>
      </x:c>
      <x:c r="BK14" s="9"/>
      <x:c r="BL14" s="9" t="n">
        <x:v>7.56</x:v>
      </x:c>
      <x:c r="BM14" s="9" t="n">
        <x:v>18.59</x:v>
      </x:c>
      <x:c r="BN14" s="9" t="n">
        <x:v>13.04</x:v>
      </x:c>
      <x:c r="BO14" s="9" t="n">
        <x:v>6.66</x:v>
      </x:c>
      <x:c r="BP14" s="9" t="n">
        <x:v>12.36</x:v>
      </x:c>
      <x:c r="BQ14" s="9"/>
      <x:c r="BR14" s="9"/>
      <x:c r="BS14" s="9"/>
      <x:c r="BT14" s="9"/>
      <x:c r="BU14" s="9"/>
      <x:c r="BV14" s="9"/>
      <x:c r="BW14" s="9"/>
      <x:c r="BX14" s="9"/>
      <x:c r="BY14" s="9"/>
      <x:c r="BZ14" s="9"/>
      <x:c r="CA14" s="9" t="n">
        <x:v>129.585</x:v>
      </x:c>
      <x:c r="CB14" s="9" t="n">
        <x:v>115.88</x:v>
      </x:c>
      <x:c r="CC14" s="9" t="n">
        <x:v>487.45</x:v>
      </x:c>
      <x:c r="CD14" s="9" t="n">
        <x:v>501.29</x:v>
      </x:c>
      <x:c r="CE14" s="9" t="n">
        <x:v>433.09</x:v>
      </x:c>
      <x:c r="CF14" s="9" t="n">
        <x:v>536.16</x:v>
      </x:c>
      <x:c r="CG14" s="9" t="n">
        <x:v>73.34</x:v>
      </x:c>
      <x:c r="CH14" s="9" t="n">
        <x:v>118.35</x:v>
      </x:c>
      <x:c r="CI14" s="9" t="n">
        <x:v>76.28</x:v>
      </x:c>
      <x:c r="CJ14" s="9" t="n">
        <x:v>1169.83</x:v>
      </x:c>
      <x:c r="CK14" s="9" t="n">
        <x:v>1527.85</x:v>
      </x:c>
      <x:c r="CL14" s="9" t="n">
        <x:v>200.51</x:v>
      </x:c>
      <x:c r="CM14" s="9" t="n">
        <x:v>448.45</x:v>
      </x:c>
      <x:c r="CN14" s="9" t="n">
        <x:v>447.37</x:v>
      </x:c>
      <x:c r="CO14" s="9"/>
      <x:c r="CP14" s="9"/>
      <x:c r="CQ14" s="9"/>
      <x:c r="CR14" s="9"/>
      <x:c r="CS14" s="9" t="n">
        <x:v>532.83</x:v>
      </x:c>
      <x:c r="CT14" s="9" t="n">
        <x:v>653.66</x:v>
      </x:c>
      <x:c r="CU14" s="9" t="n">
        <x:v>682.71</x:v>
      </x:c>
      <x:c r="CV14" s="9" t="n">
        <x:v>242.78</x:v>
      </x:c>
      <x:c r="CW14" s="9" t="n">
        <x:v>447.77</x:v>
      </x:c>
      <x:c r="CX14" s="9" t="n">
        <x:v>321.33</x:v>
      </x:c>
      <x:c r="CY14" s="9" t="n">
        <x:v>1715.58</x:v>
      </x:c>
      <x:c r="CZ14" s="9" t="n">
        <x:v>6105.93</x:v>
      </x:c>
      <x:c r="DA14" s="9" t="n">
        <x:v>4272.3</x:v>
      </x:c>
      <x:c r="DB14" s="9" t="n">
        <x:v>1742.83</x:v>
      </x:c>
      <x:c r="DC14" s="9" t="n">
        <x:v>1999.99</x:v>
      </x:c>
      <x:c r="DD14" s="9" t="n">
        <x:v>455.88</x:v>
      </x:c>
      <x:c r="DE14" s="9" t="n">
        <x:v>4959.56</x:v>
      </x:c>
      <x:c r="DF14" s="9" t="n">
        <x:v>1565.36</x:v>
      </x:c>
      <x:c r="DG14" s="9" t="n">
        <x:v>11489.53</x:v>
      </x:c>
      <x:c r="DH14" s="9" t="n">
        <x:v>2249.51</x:v>
      </x:c>
      <x:c r="DI14" s="9" t="n">
        <x:v>2591.4</x:v>
      </x:c>
      <x:c r="DJ14" s="9" t="n">
        <x:v>995.19</x:v>
      </x:c>
      <x:c r="DK14" s="9" t="n">
        <x:v>6359.93</x:v>
      </x:c>
      <x:c r="DL14" s="9" t="n">
        <x:v>1248.95</x:v>
      </x:c>
      <x:c r="DM14" s="9" t="n">
        <x:v>14657.97</x:v>
      </x:c>
      <x:c r="DN14" s="9" t="n">
        <x:v>2470.75</x:v>
      </x:c>
    </x:row>
    <x:row r="15" ht="24" customHeight="1">
      <x:c r="A15" s="3" t="n">
        <x:v>41</x:v>
      </x:c>
      <x:c r="B15" s="3" t="str">
        <x:v>乙酸苯乙酯</x:v>
      </x:c>
      <x:c r="C15" s="3" t="str">
        <x:v>Phenethyl acetate</x:v>
      </x:c>
      <x:c r="D15" s="3" t="str">
        <x:v>103-45-7</x:v>
      </x:c>
      <x:c r="E15" s="9" t="n">
        <x:v>909</x:v>
      </x:c>
      <x:c r="F15" s="9" t="n">
        <x:v>992</x:v>
      </x:c>
      <x:c r="G15" s="9" t="n">
        <x:v>2075</x:v>
      </x:c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 t="n">
        <x:v>1</x:v>
      </x:c>
      <x:c r="X15" s="9" t="n">
        <x:v>20300</x:v>
      </x:c>
      <x:c r="Y15" s="9" t="n">
        <x:v>11400</x:v>
      </x:c>
      <x:c r="Z15" s="9" t="n">
        <x:v>22400</x:v>
      </x:c>
      <x:c r="AA15" s="9" t="n">
        <x:v>36400</x:v>
      </x:c>
      <x:c r="AB15" s="9" t="n">
        <x:v>50400</x:v>
      </x:c>
      <x:c r="AC15" s="9" t="n">
        <x:v>82500</x:v>
      </x:c>
      <x:c r="AD15" s="9" t="n">
        <x:v>94400</x:v>
      </x:c>
      <x:c r="AE15" s="9" t="n">
        <x:v>94600</x:v>
      </x:c>
      <x:c r="AF15" s="9"/>
      <x:c r="AG15" s="9" t="n">
        <x:v>2660</x:v>
      </x:c>
      <x:c r="AH15" s="9" t="n">
        <x:v>2775</x:v>
      </x:c>
      <x:c r="AI15" s="9" t="n">
        <x:v>20</x:v>
      </x:c>
      <x:c r="AJ15" s="9" t="n">
        <x:v>20</x:v>
      </x:c>
      <x:c r="AK15" s="9" t="n">
        <x:v>30</x:v>
      </x:c>
      <x:c r="AL15" s="9" t="n">
        <x:v>290</x:v>
      </x:c>
      <x:c r="AM15" s="9" t="n">
        <x:v>1200</x:v>
      </x:c>
      <x:c r="AN15" s="9"/>
      <x:c r="AO15" s="9"/>
      <x:c r="AP15" s="9"/>
      <x:c r="AQ15" s="9"/>
      <x:c r="AR15" s="9"/>
      <x:c r="AS15" s="9"/>
      <x:c r="AT15" s="9"/>
      <x:c r="AU15" s="9"/>
      <x:c r="AV15" s="9" t="n">
        <x:v>13.62</x:v>
      </x:c>
      <x:c r="AW15" s="9"/>
      <x:c r="AX15" s="9"/>
      <x:c r="AY15" s="9"/>
      <x:c r="AZ15" s="9"/>
      <x:c r="BA15" s="9" t="n">
        <x:v>516</x:v>
      </x:c>
      <x:c r="BB15" s="9" t="n">
        <x:v>1451</x:v>
      </x:c>
      <x:c r="BC15" s="9"/>
      <x:c r="BD15" s="9"/>
      <x:c r="BE15" s="9" t="n">
        <x:v>119.22</x:v>
      </x:c>
      <x:c r="BF15" s="9" t="n">
        <x:v>234.12</x:v>
      </x:c>
      <x:c r="BG15" s="9" t="n">
        <x:v>289.72</x:v>
      </x:c>
      <x:c r="BH15" s="9" t="n">
        <x:v>67.23</x:v>
      </x:c>
      <x:c r="BI15" s="9"/>
      <x:c r="BJ15" s="9" t="n">
        <x:v>88.11</x:v>
      </x:c>
      <x:c r="BK15" s="9"/>
      <x:c r="BL15" s="9" t="n">
        <x:v>960.6</x:v>
      </x:c>
      <x:c r="BM15" s="9" t="n">
        <x:v>1104.21</x:v>
      </x:c>
      <x:c r="BN15" s="9" t="n">
        <x:v>1095</x:v>
      </x:c>
      <x:c r="BO15" s="9" t="n">
        <x:v>539</x:v>
      </x:c>
      <x:c r="BP15" s="9" t="n">
        <x:v>1028.11</x:v>
      </x:c>
      <x:c r="BQ15" s="9"/>
      <x:c r="BR15" s="9"/>
      <x:c r="BS15" s="9"/>
      <x:c r="BT15" s="9"/>
      <x:c r="BU15" s="9"/>
      <x:c r="BV15" s="9"/>
      <x:c r="BW15" s="9"/>
      <x:c r="BX15" s="9"/>
      <x:c r="BY15" s="9"/>
      <x:c r="BZ15" s="9"/>
      <x:c r="CA15" s="9" t="n">
        <x:v>25.365</x:v>
      </x:c>
      <x:c r="CB15" s="9" t="n">
        <x:v>24.61</x:v>
      </x:c>
      <x:c r="CC15" s="9" t="n">
        <x:v>22.92</x:v>
      </x:c>
      <x:c r="CD15" s="9" t="n">
        <x:v>25.08</x:v>
      </x:c>
      <x:c r="CE15" s="9" t="n">
        <x:v>60.04</x:v>
      </x:c>
      <x:c r="CF15" s="9" t="n">
        <x:v>39.28</x:v>
      </x:c>
      <x:c r="CG15" s="9" t="n">
        <x:v>295.1</x:v>
      </x:c>
      <x:c r="CH15" s="9" t="n">
        <x:v>28.19</x:v>
      </x:c>
      <x:c r="CI15" s="9" t="n">
        <x:v>25.85</x:v>
      </x:c>
      <x:c r="CJ15" s="9" t="n">
        <x:v>102.5</x:v>
      </x:c>
      <x:c r="CK15" s="9" t="n">
        <x:v>162.4</x:v>
      </x:c>
      <x:c r="CL15" s="9" t="n">
        <x:v>1023.65</x:v>
      </x:c>
      <x:c r="CM15" s="9" t="n">
        <x:v>89.06</x:v>
      </x:c>
      <x:c r="CN15" s="9" t="n">
        <x:v>133.51</x:v>
      </x:c>
      <x:c r="CO15" s="9"/>
      <x:c r="CP15" s="9"/>
      <x:c r="CQ15" s="9"/>
      <x:c r="CR15" s="9"/>
      <x:c r="CS15" s="9" t="n">
        <x:v>234.1</x:v>
      </x:c>
      <x:c r="CT15" s="9" t="n">
        <x:v>264.65</x:v>
      </x:c>
      <x:c r="CU15" s="9"/>
      <x:c r="CV15" s="9"/>
      <x:c r="CW15" s="9"/>
      <x:c r="CX15" s="9"/>
      <x:c r="CY15" s="9" t="n">
        <x:v>181.85</x:v>
      </x:c>
      <x:c r="CZ15" s="9" t="n">
        <x:v>299.41</x:v>
      </x:c>
      <x:c r="DA15" s="9" t="n">
        <x:v>297.49</x:v>
      </x:c>
      <x:c r="DB15" s="9" t="n">
        <x:v>176.66</x:v>
      </x:c>
      <x:c r="DC15" s="9" t="n">
        <x:v>287.58</x:v>
      </x:c>
      <x:c r="DD15" s="9" t="n">
        <x:v>168.2</x:v>
      </x:c>
      <x:c r="DE15" s="9" t="n">
        <x:v>321.79</x:v>
      </x:c>
      <x:c r="DF15" s="9" t="n">
        <x:v>180.04</x:v>
      </x:c>
      <x:c r="DG15" s="9" t="n">
        <x:v>370.26</x:v>
      </x:c>
      <x:c r="DH15" s="9"/>
      <x:c r="DI15" s="9" t="n">
        <x:v>307.37</x:v>
      </x:c>
      <x:c r="DJ15" s="9"/>
      <x:c r="DK15" s="9" t="n">
        <x:v>303.5</x:v>
      </x:c>
      <x:c r="DL15" s="9"/>
      <x:c r="DM15" s="9" t="n">
        <x:v>343.61</x:v>
      </x:c>
      <x:c r="DN15" s="9"/>
    </x:row>
    <x:row r="16" ht="24" customHeight="1">
      <x:c r="A16" s="3" t="n">
        <x:v>52</x:v>
      </x:c>
      <x:c r="B16" s="3" t="str">
        <x:v>丁酸乙酯</x:v>
      </x:c>
      <x:c r="C16" s="3" t="str">
        <x:v>Ethyl butyrate</x:v>
      </x:c>
      <x:c r="D16" s="3" t="str">
        <x:v>105-54-4</x:v>
      </x:c>
      <x:c r="E16" s="9" t="n">
        <x:v>81.5</x:v>
      </x:c>
      <x:c r="F16" s="9" t="n">
        <x:v>217932</x:v>
      </x:c>
      <x:c r="G16" s="9" t="n">
        <x:v>622200</x:v>
      </x:c>
      <x:c r="H16" s="9" t="n">
        <x:v>695.74</x:v>
      </x:c>
      <x:c r="I16" s="9" t="n">
        <x:v>145.7</x:v>
      </x:c>
      <x:c r="J16" s="9" t="n">
        <x:v>245.25</x:v>
      </x:c>
      <x:c r="K16" s="9" t="n">
        <x:v>1202.85</x:v>
      </x:c>
      <x:c r="L16" s="9" t="n">
        <x:v>262.58</x:v>
      </x:c>
      <x:c r="M16" s="9" t="n">
        <x:v>165929</x:v>
      </x:c>
      <x:c r="N16" s="9" t="n">
        <x:v>181049</x:v>
      </x:c>
      <x:c r="O16" s="9" t="n">
        <x:v>57685</x:v>
      </x:c>
      <x:c r="P16" s="9" t="n">
        <x:v>94441</x:v>
      </x:c>
      <x:c r="Q16" s="9" t="n">
        <x:v>106623</x:v>
      </x:c>
      <x:c r="R16" s="9" t="n">
        <x:v>103360</x:v>
      </x:c>
      <x:c r="S16" s="9" t="n">
        <x:v>96548</x:v>
      </x:c>
      <x:c r="T16" s="9" t="n">
        <x:v>105311</x:v>
      </x:c>
      <x:c r="U16" s="9" t="n">
        <x:v>2011</x:v>
      </x:c>
      <x:c r="V16" s="9" t="n">
        <x:v>2558</x:v>
      </x:c>
      <x:c r="W16" s="9"/>
      <x:c r="X16" s="9" t="n">
        <x:v>940000</x:v>
      </x:c>
      <x:c r="Y16" s="9" t="n">
        <x:v>206000</x:v>
      </x:c>
      <x:c r="Z16" s="9" t="n">
        <x:v>138000</x:v>
      </x:c>
      <x:c r="AA16" s="9" t="n">
        <x:v>113000</x:v>
      </x:c>
      <x:c r="AB16" s="9" t="n">
        <x:v>73000</x:v>
      </x:c>
      <x:c r="AC16" s="9" t="n">
        <x:v>57000</x:v>
      </x:c>
      <x:c r="AD16" s="9" t="n">
        <x:v>20300</x:v>
      </x:c>
      <x:c r="AE16" s="9" t="n">
        <x:v>19100</x:v>
      </x:c>
      <x:c r="AF16" s="9" t="n">
        <x:v>702350</x:v>
      </x:c>
      <x:c r="AG16" s="9" t="n">
        <x:v>276530</x:v>
      </x:c>
      <x:c r="AH16" s="9" t="n">
        <x:v>1290235</x:v>
      </x:c>
      <x:c r="AI16" s="9" t="n">
        <x:v>21430</x:v>
      </x:c>
      <x:c r="AJ16" s="9" t="n">
        <x:v>9260</x:v>
      </x:c>
      <x:c r="AK16" s="9" t="n">
        <x:v>21050</x:v>
      </x:c>
      <x:c r="AL16" s="9" t="n">
        <x:v>146550</x:v>
      </x:c>
      <x:c r="AM16" s="9" t="n">
        <x:v>105840</x:v>
      </x:c>
      <x:c r="AN16" s="9"/>
      <x:c r="AO16" s="9"/>
      <x:c r="AP16" s="9"/>
      <x:c r="AQ16" s="9"/>
      <x:c r="AR16" s="9" t="n">
        <x:v>384.98</x:v>
      </x:c>
      <x:c r="AS16" s="9" t="n">
        <x:v>84.16</x:v>
      </x:c>
      <x:c r="AT16" s="9" t="n">
        <x:v>253.24</x:v>
      </x:c>
      <x:c r="AU16" s="9" t="n">
        <x:v>247.28</x:v>
      </x:c>
      <x:c r="AV16" s="9" t="n">
        <x:v>4.24</x:v>
      </x:c>
      <x:c r="AW16" s="9" t="n">
        <x:v>37454</x:v>
      </x:c>
      <x:c r="AX16" s="9" t="n">
        <x:v>1166</x:v>
      </x:c>
      <x:c r="AY16" s="9" t="n">
        <x:v>63216.5</x:v>
      </x:c>
      <x:c r="AZ16" s="9" t="n">
        <x:v>68900</x:v>
      </x:c>
      <x:c r="BA16" s="9" t="n">
        <x:v>10870</x:v>
      </x:c>
      <x:c r="BB16" s="9" t="n">
        <x:v>11516</x:v>
      </x:c>
      <x:c r="BC16" s="9" t="n">
        <x:v>99.1</x:v>
      </x:c>
      <x:c r="BD16" s="9" t="n">
        <x:v>5482</x:v>
      </x:c>
      <x:c r="BE16" s="9" t="n">
        <x:v>553</x:v>
      </x:c>
      <x:c r="BF16" s="9" t="n">
        <x:v>3281.86</x:v>
      </x:c>
      <x:c r="BG16" s="9" t="n">
        <x:v>3644.16</x:v>
      </x:c>
      <x:c r="BH16" s="9" t="n">
        <x:v>360.62</x:v>
      </x:c>
      <x:c r="BI16" s="9" t="n">
        <x:v>235.91</x:v>
      </x:c>
      <x:c r="BJ16" s="9" t="n">
        <x:v>290.41</x:v>
      </x:c>
      <x:c r="BK16" s="9" t="n">
        <x:v>177.44</x:v>
      </x:c>
      <x:c r="BL16" s="9" t="n">
        <x:v>530.2</x:v>
      </x:c>
      <x:c r="BM16" s="9" t="n">
        <x:v>907.42</x:v>
      </x:c>
      <x:c r="BN16" s="9" t="n">
        <x:v>843.81</x:v>
      </x:c>
      <x:c r="BO16" s="9" t="n">
        <x:v>613.21</x:v>
      </x:c>
      <x:c r="BP16" s="9" t="n">
        <x:v>742.02</x:v>
      </x:c>
      <x:c r="BQ16" s="9" t="n">
        <x:v>267.42</x:v>
      </x:c>
      <x:c r="BR16" s="9"/>
      <x:c r="BS16" s="9"/>
      <x:c r="BT16" s="9"/>
      <x:c r="BU16" s="9"/>
      <x:c r="BV16" s="9"/>
      <x:c r="BW16" s="9"/>
      <x:c r="BX16" s="9"/>
      <x:c r="BY16" s="9"/>
      <x:c r="BZ16" s="9"/>
      <x:c r="CA16" s="9" t="n">
        <x:v>5291.8667</x:v>
      </x:c>
      <x:c r="CB16" s="9" t="n">
        <x:v>5054.58</x:v>
      </x:c>
      <x:c r="CC16" s="9" t="n">
        <x:v>631.22</x:v>
      </x:c>
      <x:c r="CD16" s="9" t="n">
        <x:v>435.23</x:v>
      </x:c>
      <x:c r="CE16" s="9" t="n">
        <x:v>765.15</x:v>
      </x:c>
      <x:c r="CF16" s="9" t="n">
        <x:v>609.5</x:v>
      </x:c>
      <x:c r="CG16" s="9" t="n">
        <x:v>728.38</x:v>
      </x:c>
      <x:c r="CH16" s="9" t="n">
        <x:v>216.7</x:v>
      </x:c>
      <x:c r="CI16" s="9" t="n">
        <x:v>193.92</x:v>
      </x:c>
      <x:c r="CJ16" s="9" t="n">
        <x:v>770.57</x:v>
      </x:c>
      <x:c r="CK16" s="9" t="n">
        <x:v>1275.09</x:v>
      </x:c>
      <x:c r="CL16" s="9" t="n">
        <x:v>780.38</x:v>
      </x:c>
      <x:c r="CM16" s="9" t="n">
        <x:v>738.71</x:v>
      </x:c>
      <x:c r="CN16" s="9" t="n">
        <x:v>618.76</x:v>
      </x:c>
      <x:c r="CO16" s="9" t="n">
        <x:v>122800</x:v>
      </x:c>
      <x:c r="CP16" s="9" t="n">
        <x:v>111954</x:v>
      </x:c>
      <x:c r="CQ16" s="9" t="n">
        <x:v>65850</x:v>
      </x:c>
      <x:c r="CR16" s="9" t="n">
        <x:v>73978</x:v>
      </x:c>
      <x:c r="CS16" s="9"/>
      <x:c r="CT16" s="9"/>
      <x:c r="CU16" s="9" t="n">
        <x:v>1788.78</x:v>
      </x:c>
      <x:c r="CV16" s="9" t="n">
        <x:v>1305.68</x:v>
      </x:c>
      <x:c r="CW16" s="9" t="n">
        <x:v>1153.39</x:v>
      </x:c>
      <x:c r="CX16" s="9" t="n">
        <x:v>2058.97</x:v>
      </x:c>
      <x:c r="CY16" s="9" t="n">
        <x:v>21528.74</x:v>
      </x:c>
      <x:c r="CZ16" s="9" t="n">
        <x:v>243652.36</x:v>
      </x:c>
      <x:c r="DA16" s="9" t="n">
        <x:v>250159.53</x:v>
      </x:c>
      <x:c r="DB16" s="9" t="n">
        <x:v>25279.5</x:v>
      </x:c>
      <x:c r="DC16" s="9" t="n">
        <x:v>227872.71</x:v>
      </x:c>
      <x:c r="DD16" s="9" t="n">
        <x:v>195870.58</x:v>
      </x:c>
      <x:c r="DE16" s="9" t="n">
        <x:v>268895.2</x:v>
      </x:c>
      <x:c r="DF16" s="9" t="n">
        <x:v>218310.51</x:v>
      </x:c>
      <x:c r="DG16" s="9" t="n">
        <x:v>325676.93</x:v>
      </x:c>
      <x:c r="DH16" s="9" t="n">
        <x:v>321680.74</x:v>
      </x:c>
      <x:c r="DI16" s="9" t="n">
        <x:v>315952.62</x:v>
      </x:c>
      <x:c r="DJ16" s="9" t="n">
        <x:v>152314.6</x:v>
      </x:c>
      <x:c r="DK16" s="9" t="n">
        <x:v>390794.04</x:v>
      </x:c>
      <x:c r="DL16" s="9" t="n">
        <x:v>223772.19</x:v>
      </x:c>
      <x:c r="DM16" s="9" t="n">
        <x:v>435825.21</x:v>
      </x:c>
      <x:c r="DN16" s="9" t="n">
        <x:v>246918.17</x:v>
      </x:c>
    </x:row>
    <x:row r="17" ht="24" customHeight="1">
      <x:c r="A17" s="3" t="n">
        <x:v>53</x:v>
      </x:c>
      <x:c r="B17" s="3" t="str">
        <x:v>乙醛二乙缩醛</x:v>
      </x:c>
      <x:c r="C17" s="3" t="str">
        <x:v>Acetal</x:v>
      </x:c>
      <x:c r="D17" s="3" t="str">
        <x:v>105-57-7</x:v>
      </x:c>
      <x:c r="E17" s="9" t="n">
        <x:v>2090</x:v>
      </x:c>
      <x:c r="F17" s="9"/>
      <x:c r="G17" s="9"/>
      <x:c r="H17" s="9" t="n">
        <x:v>212.95</x:v>
      </x:c>
      <x:c r="I17" s="9" t="n">
        <x:v>472.55</x:v>
      </x:c>
      <x:c r="J17" s="9" t="n">
        <x:v>676.65</x:v>
      </x:c>
      <x:c r="K17" s="9" t="n">
        <x:v>2745.25</x:v>
      </x:c>
      <x:c r="L17" s="9" t="n">
        <x:v>428.66</x:v>
      </x:c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 t="n">
        <x:v>661890</x:v>
      </x:c>
      <x:c r="AG17" s="9" t="n">
        <x:v>411110</x:v>
      </x:c>
      <x:c r="AH17" s="9"/>
      <x:c r="AI17" s="9" t="n">
        <x:v>30280</x:v>
      </x:c>
      <x:c r="AJ17" s="9" t="n">
        <x:v>23420</x:v>
      </x:c>
      <x:c r="AK17" s="9" t="n">
        <x:v>29300</x:v>
      </x:c>
      <x:c r="AL17" s="9" t="n">
        <x:v>154060</x:v>
      </x:c>
      <x:c r="AM17" s="9" t="n">
        <x:v>191190</x:v>
      </x:c>
      <x:c r="AN17" s="9"/>
      <x:c r="AO17" s="9"/>
      <x:c r="AP17" s="9"/>
      <x:c r="AQ17" s="9"/>
      <x:c r="AR17" s="9"/>
      <x:c r="AS17" s="9"/>
      <x:c r="AT17" s="9"/>
      <x:c r="AU17" s="9"/>
      <x:c r="AV17" s="9"/>
      <x:c r="AW17" s="9" t="n">
        <x:v>113300</x:v>
      </x:c>
      <x:c r="AX17" s="9"/>
      <x:c r="AY17" s="9" t="n">
        <x:v>250900</x:v>
      </x:c>
      <x:c r="AZ17" s="9" t="n">
        <x:v>77200</x:v>
      </x:c>
      <x:c r="BA17" s="9"/>
      <x:c r="BB17" s="9"/>
      <x:c r="BC17" s="9"/>
      <x:c r="BD17" s="9"/>
      <x:c r="BE17" s="9" t="n">
        <x:v>19.17</x:v>
      </x:c>
      <x:c r="BF17" s="9" t="n">
        <x:v>90.36</x:v>
      </x:c>
      <x:c r="BG17" s="9" t="n">
        <x:v>53.52</x:v>
      </x:c>
      <x:c r="BH17" s="9" t="n">
        <x:v>12.09</x:v>
      </x:c>
      <x:c r="BI17" s="9"/>
      <x:c r="BJ17" s="9" t="n">
        <x:v>9.61</x:v>
      </x:c>
      <x:c r="BK17" s="9"/>
      <x:c r="BL17" s="9" t="n">
        <x:v>32.4</x:v>
      </x:c>
      <x:c r="BM17" s="9" t="n">
        <x:v>30.34</x:v>
      </x:c>
      <x:c r="BN17" s="9" t="n">
        <x:v>47.06</x:v>
      </x:c>
      <x:c r="BO17" s="9" t="n">
        <x:v>52.16</x:v>
      </x:c>
      <x:c r="BP17" s="9" t="n">
        <x:v>39.23</x:v>
      </x:c>
      <x:c r="BQ17" s="9"/>
      <x:c r="BR17" s="9" t="n">
        <x:v>784300</x:v>
      </x:c>
      <x:c r="BS17" s="9" t="n">
        <x:v>447800</x:v>
      </x:c>
      <x:c r="BT17" s="9" t="n">
        <x:v>91700</x:v>
      </x:c>
      <x:c r="BU17" s="9" t="n">
        <x:v>118500</x:v>
      </x:c>
      <x:c r="BV17" s="9" t="n">
        <x:v>89000</x:v>
      </x:c>
      <x:c r="BW17" s="9" t="n">
        <x:v>153700</x:v>
      </x:c>
      <x:c r="BX17" s="9" t="n">
        <x:v>127500</x:v>
      </x:c>
      <x:c r="BY17" s="9" t="n">
        <x:v>205200</x:v>
      </x:c>
      <x:c r="BZ17" s="9" t="n">
        <x:v>138500</x:v>
      </x:c>
      <x:c r="CA17" s="9" t="n">
        <x:v>81.7833</x:v>
      </x:c>
      <x:c r="CB17" s="9" t="n">
        <x:v>86.01</x:v>
      </x:c>
      <x:c r="CC17" s="9" t="n">
        <x:v>134.15</x:v>
      </x:c>
      <x:c r="CD17" s="9" t="n">
        <x:v>227.21</x:v>
      </x:c>
      <x:c r="CE17" s="9" t="n">
        <x:v>285.95</x:v>
      </x:c>
      <x:c r="CF17" s="9" t="n">
        <x:v>179.15</x:v>
      </x:c>
      <x:c r="CG17" s="9" t="n">
        <x:v>409.22</x:v>
      </x:c>
      <x:c r="CH17" s="9" t="n">
        <x:v>147.75</x:v>
      </x:c>
      <x:c r="CI17" s="9" t="n">
        <x:v>135.29</x:v>
      </x:c>
      <x:c r="CJ17" s="9" t="n">
        <x:v>147.99</x:v>
      </x:c>
      <x:c r="CK17" s="9" t="n">
        <x:v>141.38</x:v>
      </x:c>
      <x:c r="CL17" s="9" t="n">
        <x:v>125.81</x:v>
      </x:c>
      <x:c r="CM17" s="9" t="n">
        <x:v>412.62</x:v>
      </x:c>
      <x:c r="CN17" s="9"/>
      <x:c r="CO17" s="9"/>
      <x:c r="CP17" s="9"/>
      <x:c r="CQ17" s="9"/>
      <x:c r="CR17" s="9"/>
      <x:c r="CS17" s="9"/>
      <x:c r="CT17" s="9"/>
      <x:c r="CU17" s="9"/>
      <x:c r="CV17" s="9"/>
      <x:c r="CW17" s="9"/>
      <x:c r="CX17" s="9"/>
      <x:c r="CY17" s="9" t="n">
        <x:v>122848.32</x:v>
      </x:c>
      <x:c r="CZ17" s="9" t="n">
        <x:v>124775.57</x:v>
      </x:c>
      <x:c r="DA17" s="9" t="n">
        <x:v>191053.08</x:v>
      </x:c>
      <x:c r="DB17" s="9" t="n">
        <x:v>149466.04</x:v>
      </x:c>
      <x:c r="DC17" s="9" t="n">
        <x:v>89743.22</x:v>
      </x:c>
      <x:c r="DD17" s="9" t="n">
        <x:v>121995.46</x:v>
      </x:c>
      <x:c r="DE17" s="9" t="n">
        <x:v>113392.36</x:v>
      </x:c>
      <x:c r="DF17" s="9" t="n">
        <x:v>116649.41</x:v>
      </x:c>
      <x:c r="DG17" s="9" t="n">
        <x:v>121700.65</x:v>
      </x:c>
      <x:c r="DH17" s="9" t="n">
        <x:v>142399.3</x:v>
      </x:c>
      <x:c r="DI17" s="9" t="n">
        <x:v>125917.39</x:v>
      </x:c>
      <x:c r="DJ17" s="9" t="n">
        <x:v>124499.69</x:v>
      </x:c>
      <x:c r="DK17" s="9" t="n">
        <x:v>123094.98</x:v>
      </x:c>
      <x:c r="DL17" s="9" t="n">
        <x:v>125154.05</x:v>
      </x:c>
      <x:c r="DM17" s="9" t="n">
        <x:v>127871.03</x:v>
      </x:c>
      <x:c r="DN17" s="9" t="n">
        <x:v>159549.82</x:v>
      </x:c>
    </x:row>
    <x:row r="18" ht="24" customHeight="1">
      <x:c r="A18" s="3" t="n">
        <x:v>56</x:v>
      </x:c>
      <x:c r="B18" s="3" t="str">
        <x:v>丁酸异戊酯</x:v>
      </x:c>
      <x:c r="C18" s="3" t="str">
        <x:v>Isoamyl butyrate</x:v>
      </x:c>
      <x:c r="D18" s="3" t="str">
        <x:v>106-27-4</x:v>
      </x:c>
      <x:c r="E18" s="9" t="n">
        <x:v>915</x:v>
      </x:c>
      <x:c r="F18" s="9"/>
      <x:c r="G18" s="9"/>
      <x:c r="H18" s="9"/>
      <x:c r="I18" s="9"/>
      <x:c r="J18" s="9"/>
      <x:c r="K18" s="9"/>
      <x:c r="L18" s="9"/>
      <x:c r="M18" s="9"/>
      <x:c r="N18" s="9"/>
      <x:c r="O18" s="9" t="n">
        <x:v>4105</x:v>
      </x:c>
      <x:c r="P18" s="9" t="n">
        <x:v>3424</x:v>
      </x:c>
      <x:c r="Q18" s="9" t="n">
        <x:v>3828</x:v>
      </x:c>
      <x:c r="R18" s="9" t="n">
        <x:v>3635</x:v>
      </x:c>
      <x:c r="S18" s="9" t="n">
        <x:v>3371</x:v>
      </x:c>
      <x:c r="T18" s="9" t="n">
        <x:v>3579</x:v>
      </x:c>
      <x:c r="U18" s="9"/>
      <x:c r="V18" s="9"/>
      <x:c r="W18" s="9"/>
      <x:c r="X18" s="9"/>
      <x:c r="Y18" s="9"/>
      <x:c r="Z18" s="9"/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  <x:c r="AL18" s="9" t="n">
        <x:v>1190</x:v>
      </x:c>
      <x:c r="AM18" s="9" t="n">
        <x:v>1670</x:v>
      </x:c>
      <x:c r="AN18" s="9"/>
      <x:c r="AO18" s="9"/>
      <x:c r="AP18" s="9"/>
      <x:c r="AQ18" s="9"/>
      <x:c r="AR18" s="9" t="n">
        <x:v>5.48</x:v>
      </x:c>
      <x:c r="AS18" s="9" t="n">
        <x:v>0.94</x:v>
      </x:c>
      <x:c r="AT18" s="9"/>
      <x:c r="AU18" s="9"/>
      <x:c r="AV18" s="9"/>
      <x:c r="AW18" s="9"/>
      <x:c r="AX18" s="9"/>
      <x:c r="AY18" s="9"/>
      <x:c r="AZ18" s="9"/>
      <x:c r="BA18" s="9" t="n">
        <x:v>127</x:v>
      </x:c>
      <x:c r="BB18" s="9"/>
      <x:c r="BC18" s="9" t="n">
        <x:v>314.61</x:v>
      </x:c>
      <x:c r="BD18" s="9" t="n">
        <x:v>1</x:v>
      </x:c>
      <x:c r="BE18" s="9" t="n">
        <x:v>504.32</x:v>
      </x:c>
      <x:c r="BF18" s="9" t="n">
        <x:v>384.97</x:v>
      </x:c>
      <x:c r="BG18" s="9" t="n">
        <x:v>433.605</x:v>
      </x:c>
      <x:c r="BH18" s="9" t="n">
        <x:v>246.41</x:v>
      </x:c>
      <x:c r="BI18" s="9" t="n">
        <x:v>990.32</x:v>
      </x:c>
      <x:c r="BJ18" s="9" t="n">
        <x:v>222.92</x:v>
      </x:c>
      <x:c r="BK18" s="9" t="n">
        <x:v>267.42</x:v>
      </x:c>
      <x:c r="BL18" s="9" t="n">
        <x:v>1241.03</x:v>
      </x:c>
      <x:c r="BM18" s="9" t="n">
        <x:v>1557</x:v>
      </x:c>
      <x:c r="BN18" s="9" t="n">
        <x:v>2579.12</x:v>
      </x:c>
      <x:c r="BO18" s="9" t="n">
        <x:v>2320.21</x:v>
      </x:c>
      <x:c r="BP18" s="9" t="n">
        <x:v>1761.12</x:v>
      </x:c>
      <x:c r="BQ18" s="9" t="n">
        <x:v>600.61</x:v>
      </x:c>
      <x:c r="BR18" s="9"/>
      <x:c r="BS18" s="9"/>
      <x:c r="BT18" s="9"/>
      <x:c r="BU18" s="9"/>
      <x:c r="BV18" s="9"/>
      <x:c r="BW18" s="9"/>
      <x:c r="BX18" s="9"/>
      <x:c r="BY18" s="9"/>
      <x:c r="BZ18" s="9"/>
      <x:c r="CA18" s="9" t="n">
        <x:v>394.43</x:v>
      </x:c>
      <x:c r="CB18" s="9" t="n">
        <x:v>338.38</x:v>
      </x:c>
      <x:c r="CC18" s="9" t="n">
        <x:v>606.36</x:v>
      </x:c>
      <x:c r="CD18" s="9" t="n">
        <x:v>626.07</x:v>
      </x:c>
      <x:c r="CE18" s="9" t="n">
        <x:v>1534.46</x:v>
      </x:c>
      <x:c r="CF18" s="9" t="n">
        <x:v>743.85</x:v>
      </x:c>
      <x:c r="CG18" s="9" t="n">
        <x:v>1093.38</x:v>
      </x:c>
      <x:c r="CH18" s="9" t="n">
        <x:v>541.17</x:v>
      </x:c>
      <x:c r="CI18" s="9" t="n">
        <x:v>387.02</x:v>
      </x:c>
      <x:c r="CJ18" s="9" t="n">
        <x:v>2135.53</x:v>
      </x:c>
      <x:c r="CK18" s="9" t="n">
        <x:v>2104.37</x:v>
      </x:c>
      <x:c r="CL18" s="9" t="n">
        <x:v>2883.61</x:v>
      </x:c>
      <x:c r="CM18" s="9" t="n">
        <x:v>1263.22</x:v>
      </x:c>
      <x:c r="CN18" s="9" t="n">
        <x:v>1152.59</x:v>
      </x:c>
      <x:c r="CO18" s="9"/>
      <x:c r="CP18" s="9"/>
      <x:c r="CQ18" s="9"/>
      <x:c r="CR18" s="9"/>
      <x:c r="CS18" s="9"/>
      <x:c r="CT18" s="9"/>
      <x:c r="CU18" s="9"/>
      <x:c r="CV18" s="9"/>
      <x:c r="CW18" s="9"/>
      <x:c r="CX18" s="9"/>
      <x:c r="CY18" s="9" t="n">
        <x:v>112.52</x:v>
      </x:c>
      <x:c r="CZ18" s="9" t="n">
        <x:v>1330.13</x:v>
      </x:c>
      <x:c r="DA18" s="9" t="n">
        <x:v>1716.51</x:v>
      </x:c>
      <x:c r="DB18" s="9" t="n">
        <x:v>83.42</x:v>
      </x:c>
      <x:c r="DC18" s="9" t="n">
        <x:v>2190.04</x:v>
      </x:c>
      <x:c r="DD18" s="9" t="n">
        <x:v>72.34</x:v>
      </x:c>
      <x:c r="DE18" s="9" t="n">
        <x:v>2059.89</x:v>
      </x:c>
      <x:c r="DF18" s="9" t="n">
        <x:v>206.87</x:v>
      </x:c>
      <x:c r="DG18" s="9" t="n">
        <x:v>1463.78</x:v>
      </x:c>
      <x:c r="DH18" s="9" t="n">
        <x:v>233.8</x:v>
      </x:c>
      <x:c r="DI18" s="9" t="n">
        <x:v>1581.34</x:v>
      </x:c>
      <x:c r="DJ18" s="9" t="n">
        <x:v>413.35</x:v>
      </x:c>
      <x:c r="DK18" s="9" t="n">
        <x:v>1512.74</x:v>
      </x:c>
      <x:c r="DL18" s="9" t="n">
        <x:v>224.65</x:v>
      </x:c>
      <x:c r="DM18" s="9" t="n">
        <x:v>2907.57</x:v>
      </x:c>
      <x:c r="DN18" s="9" t="n">
        <x:v>313.92</x:v>
      </x:c>
    </x:row>
    <x:row r="19" ht="24" customHeight="1">
      <x:c r="A19" s="3" t="n">
        <x:v>57</x:v>
      </x:c>
      <x:c r="B19" s="3" t="str">
        <x:v>庚酸乙酯</x:v>
      </x:c>
      <x:c r="C19" s="3" t="str">
        <x:v>Ethyl heptanoate</x:v>
      </x:c>
      <x:c r="D19" s="3" t="str">
        <x:v>106-30-9</x:v>
      </x:c>
      <x:c r="E19" s="9" t="n">
        <x:v>13153</x:v>
      </x:c>
      <x:c r="F19" s="9" t="n">
        <x:v>5859</x:v>
      </x:c>
      <x:c r="G19" s="9" t="n">
        <x:v>44450</x:v>
      </x:c>
      <x:c r="H19" s="9" t="n">
        <x:v>162.42</x:v>
      </x:c>
      <x:c r="I19" s="9" t="n">
        <x:v>67.59</x:v>
      </x:c>
      <x:c r="J19" s="9" t="n">
        <x:v>92.79</x:v>
      </x:c>
      <x:c r="K19" s="9" t="n">
        <x:v>359.81</x:v>
      </x:c>
      <x:c r="L19" s="9" t="n">
        <x:v>41.72</x:v>
      </x:c>
      <x:c r="M19" s="9"/>
      <x:c r="N19" s="9"/>
      <x:c r="O19" s="9" t="n">
        <x:v>348671</x:v>
      </x:c>
      <x:c r="P19" s="9" t="n">
        <x:v>297115</x:v>
      </x:c>
      <x:c r="Q19" s="9" t="n">
        <x:v>264634</x:v>
      </x:c>
      <x:c r="R19" s="9" t="n">
        <x:v>234362</x:v>
      </x:c>
      <x:c r="S19" s="9" t="n">
        <x:v>263123</x:v>
      </x:c>
      <x:c r="T19" s="9" t="n">
        <x:v>242733</x:v>
      </x:c>
      <x:c r="U19" s="9" t="n">
        <x:v>5</x:v>
      </x:c>
      <x:c r="V19" s="9" t="n">
        <x:v>8</x:v>
      </x:c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 t="n">
        <x:v>1210</x:v>
      </x:c>
      <x:c r="AJ19" s="9" t="n">
        <x:v>1500</x:v>
      </x:c>
      <x:c r="AK19" s="9" t="n">
        <x:v>2200</x:v>
      </x:c>
      <x:c r="AL19" s="9" t="n">
        <x:v>7580</x:v>
      </x:c>
      <x:c r="AM19" s="9" t="n">
        <x:v>18860</x:v>
      </x:c>
      <x:c r="AN19" s="9" t="n">
        <x:v>15360</x:v>
      </x:c>
      <x:c r="AO19" s="9" t="n">
        <x:v>8710</x:v>
      </x:c>
      <x:c r="AP19" s="9" t="n">
        <x:v>8600</x:v>
      </x:c>
      <x:c r="AQ19" s="9" t="n">
        <x:v>21820</x:v>
      </x:c>
      <x:c r="AR19" s="9" t="n">
        <x:v>245.62</x:v>
      </x:c>
      <x:c r="AS19" s="9" t="n">
        <x:v>97.51</x:v>
      </x:c>
      <x:c r="AT19" s="9" t="n">
        <x:v>54.15</x:v>
      </x:c>
      <x:c r="AU19" s="9" t="n">
        <x:v>62.18</x:v>
      </x:c>
      <x:c r="AV19" s="9" t="n">
        <x:v>7.08</x:v>
      </x:c>
      <x:c r="AW19" s="9" t="n">
        <x:v>4550.5</x:v>
      </x:c>
      <x:c r="AX19" s="9" t="n">
        <x:v>3</x:v>
      </x:c>
      <x:c r="AY19" s="9" t="n">
        <x:v>11251</x:v>
      </x:c>
      <x:c r="AZ19" s="9" t="n">
        <x:v>0</x:v>
      </x:c>
      <x:c r="BA19" s="9"/>
      <x:c r="BB19" s="9" t="n">
        <x:v>24974</x:v>
      </x:c>
      <x:c r="BC19" s="9" t="n">
        <x:v>12.14</x:v>
      </x:c>
      <x:c r="BD19" s="9" t="n">
        <x:v>2</x:v>
      </x:c>
      <x:c r="BE19" s="9" t="n">
        <x:v>14.66</x:v>
      </x:c>
      <x:c r="BF19" s="9" t="n">
        <x:v>14.875</x:v>
      </x:c>
      <x:c r="BG19" s="9" t="n">
        <x:v>10.27</x:v>
      </x:c>
      <x:c r="BH19" s="9" t="n">
        <x:v>8.81</x:v>
      </x:c>
      <x:c r="BI19" s="9" t="n">
        <x:v>24.92</x:v>
      </x:c>
      <x:c r="BJ19" s="9" t="n">
        <x:v>8.19</x:v>
      </x:c>
      <x:c r="BK19" s="9" t="n">
        <x:v>13.82</x:v>
      </x:c>
      <x:c r="BL19" s="9" t="n">
        <x:v>67.9</x:v>
      </x:c>
      <x:c r="BM19" s="9" t="n">
        <x:v>77.32</x:v>
      </x:c>
      <x:c r="BN19" s="9" t="n">
        <x:v>76.32</x:v>
      </x:c>
      <x:c r="BO19" s="9" t="n">
        <x:v>67.42</x:v>
      </x:c>
      <x:c r="BP19" s="9" t="n">
        <x:v>103.72</x:v>
      </x:c>
      <x:c r="BQ19" s="9" t="n">
        <x:v>34.32</x:v>
      </x:c>
      <x:c r="BR19" s="9"/>
      <x:c r="BS19" s="9"/>
      <x:c r="BT19" s="9"/>
      <x:c r="BU19" s="9"/>
      <x:c r="BV19" s="9"/>
      <x:c r="BW19" s="9"/>
      <x:c r="BX19" s="9"/>
      <x:c r="BY19" s="9"/>
      <x:c r="BZ19" s="9"/>
      <x:c r="CA19" s="9" t="n">
        <x:v>46.695</x:v>
      </x:c>
      <x:c r="CB19" s="9" t="n">
        <x:v>40.105</x:v>
      </x:c>
      <x:c r="CC19" s="9" t="n">
        <x:v>121.21</x:v>
      </x:c>
      <x:c r="CD19" s="9" t="n">
        <x:v>145</x:v>
      </x:c>
      <x:c r="CE19" s="9" t="n">
        <x:v>275.13</x:v>
      </x:c>
      <x:c r="CF19" s="9" t="n">
        <x:v>166.92</x:v>
      </x:c>
      <x:c r="CG19" s="9" t="n">
        <x:v>85.43</x:v>
      </x:c>
      <x:c r="CH19" s="9" t="n">
        <x:v>30.43</x:v>
      </x:c>
      <x:c r="CI19" s="9" t="n">
        <x:v>20.66</x:v>
      </x:c>
      <x:c r="CJ19" s="9" t="n">
        <x:v>271.98</x:v>
      </x:c>
      <x:c r="CK19" s="9" t="n">
        <x:v>338.35</x:v>
      </x:c>
      <x:c r="CL19" s="9" t="n">
        <x:v>273.56</x:v>
      </x:c>
      <x:c r="CM19" s="9" t="n">
        <x:v>126.68</x:v>
      </x:c>
      <x:c r="CN19" s="9" t="n">
        <x:v>158.94</x:v>
      </x:c>
      <x:c r="CO19" s="9" t="n">
        <x:v>29811</x:v>
      </x:c>
      <x:c r="CP19" s="9" t="n">
        <x:v>149744</x:v>
      </x:c>
      <x:c r="CQ19" s="9" t="n">
        <x:v>40434</x:v>
      </x:c>
      <x:c r="CR19" s="9" t="n">
        <x:v>41085</x:v>
      </x:c>
      <x:c r="CS19" s="9"/>
      <x:c r="CT19" s="9"/>
      <x:c r="CU19" s="9" t="n">
        <x:v>3320.56</x:v>
      </x:c>
      <x:c r="CV19" s="9" t="n">
        <x:v>1637.67</x:v>
      </x:c>
      <x:c r="CW19" s="9" t="n">
        <x:v>3432.57</x:v>
      </x:c>
      <x:c r="CX19" s="9" t="n">
        <x:v>2580.27</x:v>
      </x:c>
      <x:c r="CY19" s="9" t="n">
        <x:v>16771.17</x:v>
      </x:c>
      <x:c r="CZ19" s="9" t="n">
        <x:v>10855.36</x:v>
      </x:c>
      <x:c r="DA19" s="9" t="n">
        <x:v>11763.79</x:v>
      </x:c>
      <x:c r="DB19" s="9" t="n">
        <x:v>18090.2</x:v>
      </x:c>
      <x:c r="DC19" s="9" t="n">
        <x:v>9836.04</x:v>
      </x:c>
      <x:c r="DD19" s="9" t="n">
        <x:v>23532.96</x:v>
      </x:c>
      <x:c r="DE19" s="9" t="n">
        <x:v>18160.25</x:v>
      </x:c>
      <x:c r="DF19" s="9" t="n">
        <x:v>23726.83</x:v>
      </x:c>
      <x:c r="DG19" s="9" t="n">
        <x:v>15784.75</x:v>
      </x:c>
      <x:c r="DH19" s="9" t="n">
        <x:v>20092.34</x:v>
      </x:c>
      <x:c r="DI19" s="9" t="n">
        <x:v>18405.05</x:v>
      </x:c>
      <x:c r="DJ19" s="9" t="n">
        <x:v>15295.82</x:v>
      </x:c>
      <x:c r="DK19" s="9" t="n">
        <x:v>25352.46</x:v>
      </x:c>
      <x:c r="DL19" s="9" t="n">
        <x:v>23337.05</x:v>
      </x:c>
      <x:c r="DM19" s="9" t="n">
        <x:v>36894.93</x:v>
      </x:c>
      <x:c r="DN19" s="9" t="n">
        <x:v>20465.48</x:v>
      </x:c>
    </x:row>
    <x:row r="20" ht="24" customHeight="1">
      <x:c r="A20" s="3" t="n">
        <x:v>58</x:v>
      </x:c>
      <x:c r="B20" s="3" t="str">
        <x:v>辛酸乙酯</x:v>
      </x:c>
      <x:c r="C20" s="3" t="str">
        <x:v>Ethyl caprylate</x:v>
      </x:c>
      <x:c r="D20" s="3" t="str">
        <x:v>106-32-1</x:v>
      </x:c>
      <x:c r="E20" s="9" t="n">
        <x:v>12.9</x:v>
      </x:c>
      <x:c r="F20" s="9" t="n">
        <x:v>2382</x:v>
      </x:c>
      <x:c r="G20" s="9" t="n">
        <x:v>43878</x:v>
      </x:c>
      <x:c r="H20" s="9" t="n">
        <x:v>149.27</x:v>
      </x:c>
      <x:c r="I20" s="9" t="n">
        <x:v>86.76</x:v>
      </x:c>
      <x:c r="J20" s="9" t="n">
        <x:v>136.05</x:v>
      </x:c>
      <x:c r="K20" s="9" t="n">
        <x:v>572.73</x:v>
      </x:c>
      <x:c r="L20" s="9" t="n">
        <x:v>71.71</x:v>
      </x:c>
      <x:c r="M20" s="9" t="n">
        <x:v>940</x:v>
      </x:c>
      <x:c r="N20" s="9" t="n">
        <x:v>1672</x:v>
      </x:c>
      <x:c r="O20" s="9" t="n">
        <x:v>539066</x:v>
      </x:c>
      <x:c r="P20" s="9" t="n">
        <x:v>492647</x:v>
      </x:c>
      <x:c r="Q20" s="9" t="n">
        <x:v>545636</x:v>
      </x:c>
      <x:c r="R20" s="9" t="n">
        <x:v>383160</x:v>
      </x:c>
      <x:c r="S20" s="9" t="n">
        <x:v>431965</x:v>
      </x:c>
      <x:c r="T20" s="9" t="n">
        <x:v>445513</x:v>
      </x:c>
      <x:c r="U20" s="9" t="n">
        <x:v>10273</x:v>
      </x:c>
      <x:c r="V20" s="9" t="n">
        <x:v>5625</x:v>
      </x:c>
      <x:c r="W20" s="9"/>
      <x:c r="X20" s="9" t="n">
        <x:v>318</x:v>
      </x:c>
      <x:c r="Y20" s="9" t="n">
        <x:v>502</x:v>
      </x:c>
      <x:c r="Z20" s="9" t="n">
        <x:v>855</x:v>
      </x:c>
      <x:c r="AA20" s="9" t="n">
        <x:v>1240</x:v>
      </x:c>
      <x:c r="AB20" s="9" t="n">
        <x:v>1530</x:v>
      </x:c>
      <x:c r="AC20" s="9" t="n">
        <x:v>2670</x:v>
      </x:c>
      <x:c r="AD20" s="9" t="n">
        <x:v>3330</x:v>
      </x:c>
      <x:c r="AE20" s="9" t="n">
        <x:v>3340</x:v>
      </x:c>
      <x:c r="AF20" s="9" t="n">
        <x:v>81610</x:v>
      </x:c>
      <x:c r="AG20" s="9" t="n">
        <x:v>76440</x:v>
      </x:c>
      <x:c r="AH20" s="9" t="n">
        <x:v>1865945</x:v>
      </x:c>
      <x:c r="AI20" s="9" t="n">
        <x:v>62</x:v>
      </x:c>
      <x:c r="AJ20" s="9" t="n">
        <x:v>46</x:v>
      </x:c>
      <x:c r="AK20" s="9" t="n">
        <x:v>60</x:v>
      </x:c>
      <x:c r="AL20" s="9" t="n">
        <x:v>4970</x:v>
      </x:c>
      <x:c r="AM20" s="9" t="n">
        <x:v>2160</x:v>
      </x:c>
      <x:c r="AN20" s="9" t="n">
        <x:v>64110</x:v>
      </x:c>
      <x:c r="AO20" s="9"/>
      <x:c r="AP20" s="9" t="n">
        <x:v>6250</x:v>
      </x:c>
      <x:c r="AQ20" s="9" t="n">
        <x:v>26590</x:v>
      </x:c>
      <x:c r="AR20" s="9" t="n">
        <x:v>171.9</x:v>
      </x:c>
      <x:c r="AS20" s="9" t="n">
        <x:v>65.04</x:v>
      </x:c>
      <x:c r="AT20" s="9" t="n">
        <x:v>29.65</x:v>
      </x:c>
      <x:c r="AU20" s="9" t="n">
        <x:v>34.06</x:v>
      </x:c>
      <x:c r="AV20" s="9" t="n">
        <x:v>5.06</x:v>
      </x:c>
      <x:c r="AW20" s="9" t="n">
        <x:v>0</x:v>
      </x:c>
      <x:c r="AX20" s="9" t="n">
        <x:v>738</x:v>
      </x:c>
      <x:c r="AY20" s="9" t="n">
        <x:v>11146</x:v>
      </x:c>
      <x:c r="AZ20" s="9" t="n">
        <x:v>0</x:v>
      </x:c>
      <x:c r="BA20" s="9" t="n">
        <x:v>32509</x:v>
      </x:c>
      <x:c r="BB20" s="9" t="n">
        <x:v>39578</x:v>
      </x:c>
      <x:c r="BC20" s="9" t="n">
        <x:v>22.47</x:v>
      </x:c>
      <x:c r="BD20" s="9" t="n">
        <x:v>2779.5</x:v>
      </x:c>
      <x:c r="BE20" s="9" t="n">
        <x:v>23.92</x:v>
      </x:c>
      <x:c r="BF20" s="9" t="n">
        <x:v>1196.81</x:v>
      </x:c>
      <x:c r="BG20" s="9" t="n">
        <x:v>944.675</x:v>
      </x:c>
      <x:c r="BH20" s="9" t="n">
        <x:v>15.48</x:v>
      </x:c>
      <x:c r="BI20" s="9" t="n">
        <x:v>67.72</x:v>
      </x:c>
      <x:c r="BJ20" s="9" t="n">
        <x:v>14.57</x:v>
      </x:c>
      <x:c r="BK20" s="9" t="n">
        <x:v>15.19</x:v>
      </x:c>
      <x:c r="BL20" s="9" t="n">
        <x:v>130.91</x:v>
      </x:c>
      <x:c r="BM20" s="9" t="n">
        <x:v>111.82</x:v>
      </x:c>
      <x:c r="BN20" s="9" t="n">
        <x:v>174.92</x:v>
      </x:c>
      <x:c r="BO20" s="9" t="n">
        <x:v>121.32</x:v>
      </x:c>
      <x:c r="BP20" s="9" t="n">
        <x:v>203.81</x:v>
      </x:c>
      <x:c r="BQ20" s="9" t="n">
        <x:v>31.82</x:v>
      </x:c>
      <x:c r="BR20" s="9"/>
      <x:c r="BS20" s="9"/>
      <x:c r="BT20" s="9"/>
      <x:c r="BU20" s="9"/>
      <x:c r="BV20" s="9"/>
      <x:c r="BW20" s="9"/>
      <x:c r="BX20" s="9"/>
      <x:c r="BY20" s="9"/>
      <x:c r="BZ20" s="9"/>
      <x:c r="CA20" s="9" t="n">
        <x:v>3733.8733</x:v>
      </x:c>
      <x:c r="CB20" s="9" t="n">
        <x:v>2949.5267</x:v>
      </x:c>
      <x:c r="CC20" s="9" t="n">
        <x:v>75.26</x:v>
      </x:c>
      <x:c r="CD20" s="9" t="n">
        <x:v>39.43</x:v>
      </x:c>
      <x:c r="CE20" s="9" t="n">
        <x:v>204.22</x:v>
      </x:c>
      <x:c r="CF20" s="9" t="n">
        <x:v>79.67</x:v>
      </x:c>
      <x:c r="CG20" s="9" t="n">
        <x:v>76.55</x:v>
      </x:c>
      <x:c r="CH20" s="9" t="n">
        <x:v>17.16</x:v>
      </x:c>
      <x:c r="CI20" s="9" t="n">
        <x:v>11.67</x:v>
      </x:c>
      <x:c r="CJ20" s="9" t="n">
        <x:v>163.33</x:v>
      </x:c>
      <x:c r="CK20" s="9" t="n">
        <x:v>168.76</x:v>
      </x:c>
      <x:c r="CL20" s="9" t="n">
        <x:v>188.97</x:v>
      </x:c>
      <x:c r="CM20" s="9" t="n">
        <x:v>95.1</x:v>
      </x:c>
      <x:c r="CN20" s="9" t="n">
        <x:v>101.15</x:v>
      </x:c>
      <x:c r="CO20" s="9" t="n">
        <x:v>5819</x:v>
      </x:c>
      <x:c r="CP20" s="9" t="n">
        <x:v>27516</x:v>
      </x:c>
      <x:c r="CQ20" s="9" t="n">
        <x:v>10539</x:v>
      </x:c>
      <x:c r="CR20" s="9" t="n">
        <x:v>12084</x:v>
      </x:c>
      <x:c r="CS20" s="9"/>
      <x:c r="CT20" s="9"/>
      <x:c r="CU20" s="9" t="n">
        <x:v>3568.03</x:v>
      </x:c>
      <x:c r="CV20" s="9" t="n">
        <x:v>1990.45</x:v>
      </x:c>
      <x:c r="CW20" s="9" t="n">
        <x:v>3520.13</x:v>
      </x:c>
      <x:c r="CX20" s="9" t="n">
        <x:v>2306.02</x:v>
      </x:c>
      <x:c r="CY20" s="9" t="n">
        <x:v>1496.6</x:v>
      </x:c>
      <x:c r="CZ20" s="9" t="n">
        <x:v>4405.19</x:v>
      </x:c>
      <x:c r="DA20" s="9" t="n">
        <x:v>6398.71</x:v>
      </x:c>
      <x:c r="DB20" s="9" t="n">
        <x:v>2195.82</x:v>
      </x:c>
      <x:c r="DC20" s="9" t="n">
        <x:v>2279.01</x:v>
      </x:c>
      <x:c r="DD20" s="9" t="n">
        <x:v>2786.7</x:v>
      </x:c>
      <x:c r="DE20" s="9" t="n">
        <x:v>8910.89</x:v>
      </x:c>
      <x:c r="DF20" s="9" t="n">
        <x:v>2056.71</x:v>
      </x:c>
      <x:c r="DG20" s="9" t="n">
        <x:v>4359.25</x:v>
      </x:c>
      <x:c r="DH20" s="9" t="n">
        <x:v>1984.69</x:v>
      </x:c>
      <x:c r="DI20" s="9" t="n">
        <x:v>5025.79</x:v>
      </x:c>
      <x:c r="DJ20" s="9" t="n">
        <x:v>1877.21</x:v>
      </x:c>
      <x:c r="DK20" s="9" t="n">
        <x:v>4983.38</x:v>
      </x:c>
      <x:c r="DL20" s="9" t="n">
        <x:v>1519.82</x:v>
      </x:c>
      <x:c r="DM20" s="9" t="n">
        <x:v>5308.37</x:v>
      </x:c>
      <x:c r="DN20" s="9" t="n">
        <x:v>3042.49</x:v>
      </x:c>
    </x:row>
    <x:row r="21" ht="24" customHeight="1">
      <x:c r="A21" s="3" t="n">
        <x:v>61</x:v>
      </x:c>
      <x:c r="B21" s="3" t="str">
        <x:v>对甲酚</x:v>
      </x:c>
      <x:c r="C21" s="3" t="str">
        <x:v>p-cresol</x:v>
      </x:c>
      <x:c r="D21" s="3" t="str">
        <x:v>106-44-5</x:v>
      </x:c>
      <x:c r="E21" s="9" t="n">
        <x:v>167</x:v>
      </x:c>
      <x:c r="F21" s="9" t="n">
        <x:v>571</x:v>
      </x:c>
      <x:c r="G21" s="9" t="n">
        <x:v>3271</x:v>
      </x:c>
      <x:c r="H21" s="9" t="n">
        <x:v>0.54</x:v>
      </x:c>
      <x:c r="I21" s="9" t="n">
        <x:v>0.51</x:v>
      </x:c>
      <x:c r="J21" s="9"/>
      <x:c r="K21" s="9" t="n">
        <x:v>4.41</x:v>
      </x:c>
      <x:c r="L21" s="9" t="n">
        <x:v>2.2</x:v>
      </x:c>
      <x:c r="M21" s="9"/>
      <x:c r="N21" s="9"/>
      <x:c r="O21" s="9"/>
      <x:c r="P21" s="9"/>
      <x:c r="Q21" s="9"/>
      <x:c r="R21" s="9"/>
      <x:c r="S21" s="9"/>
      <x:c r="T21" s="9"/>
      <x:c r="U21" s="9" t="n">
        <x:v>8</x:v>
      </x:c>
      <x:c r="V21" s="9" t="n">
        <x:v>7</x:v>
      </x:c>
      <x:c r="W21" s="9" t="n">
        <x:v>1.5</x:v>
      </x:c>
      <x:c r="X21" s="9" t="n">
        <x:v>306</x:v>
      </x:c>
      <x:c r="Y21" s="9"/>
      <x:c r="Z21" s="9" t="n">
        <x:v>1020</x:v>
      </x:c>
      <x:c r="AA21" s="9" t="n">
        <x:v>1560</x:v>
      </x:c>
      <x:c r="AB21" s="9" t="n">
        <x:v>2010</x:v>
      </x:c>
      <x:c r="AC21" s="9" t="n">
        <x:v>3400</x:v>
      </x:c>
      <x:c r="AD21" s="9" t="n">
        <x:v>4970</x:v>
      </x:c>
      <x:c r="AE21" s="9" t="n">
        <x:v>5040</x:v>
      </x:c>
      <x:c r="AF21" s="9" t="n">
        <x:v>390</x:v>
      </x:c>
      <x:c r="AG21" s="9" t="n">
        <x:v>210</x:v>
      </x:c>
      <x:c r="AH21" s="9" t="n">
        <x:v>590</x:v>
      </x:c>
      <x:c r="AI21" s="9"/>
      <x:c r="AJ21" s="9"/>
      <x:c r="AK21" s="9"/>
      <x:c r="AL21" s="9" t="n">
        <x:v>460</x:v>
      </x:c>
      <x:c r="AM21" s="9" t="n">
        <x:v>350</x:v>
      </x:c>
      <x:c r="AN21" s="9"/>
      <x:c r="AO21" s="9"/>
      <x:c r="AP21" s="9"/>
      <x:c r="AQ21" s="9"/>
      <x:c r="AR21" s="9" t="n">
        <x:v>10.98</x:v>
      </x:c>
      <x:c r="AS21" s="9" t="n">
        <x:v>14.4</x:v>
      </x:c>
      <x:c r="AT21" s="9" t="n">
        <x:v>15.39</x:v>
      </x:c>
      <x:c r="AU21" s="9" t="n">
        <x:v>14.84</x:v>
      </x:c>
      <x:c r="AV21" s="9"/>
      <x:c r="AW21" s="9"/>
      <x:c r="AX21" s="9"/>
      <x:c r="AY21" s="9"/>
      <x:c r="AZ21" s="9"/>
      <x:c r="BA21" s="9"/>
      <x:c r="BB21" s="9"/>
      <x:c r="BC21" s="9"/>
      <x:c r="BD21" s="9"/>
      <x:c r="BE21" s="9" t="n">
        <x:v>373</x:v>
      </x:c>
      <x:c r="BF21" s="9" t="n">
        <x:v>638.61</x:v>
      </x:c>
      <x:c r="BG21" s="9" t="n">
        <x:v>855.62</x:v>
      </x:c>
      <x:c r="BH21" s="9" t="n">
        <x:v>341.62</x:v>
      </x:c>
      <x:c r="BI21" s="9"/>
      <x:c r="BJ21" s="9" t="n">
        <x:v>437.61</x:v>
      </x:c>
      <x:c r="BK21" s="9"/>
      <x:c r="BL21" s="9" t="n">
        <x:v>6449</x:v>
      </x:c>
      <x:c r="BM21" s="9" t="n">
        <x:v>5644.11</x:v>
      </x:c>
      <x:c r="BN21" s="9" t="n">
        <x:v>6914</x:v>
      </x:c>
      <x:c r="BO21" s="9" t="n">
        <x:v>2731</x:v>
      </x:c>
      <x:c r="BP21" s="9" t="n">
        <x:v>4728.34</x:v>
      </x:c>
      <x:c r="BQ21" s="9"/>
      <x:c r="BR21" s="9"/>
      <x:c r="BS21" s="9"/>
      <x:c r="BT21" s="9"/>
      <x:c r="BU21" s="9"/>
      <x:c r="BV21" s="9"/>
      <x:c r="BW21" s="9"/>
      <x:c r="BX21" s="9"/>
      <x:c r="BY21" s="9"/>
      <x:c r="BZ21" s="9"/>
      <x:c r="CA21" s="9" t="n">
        <x:v>174.235</x:v>
      </x:c>
      <x:c r="CB21" s="9" t="n">
        <x:v>127.94</x:v>
      </x:c>
      <x:c r="CC21" s="9" t="n">
        <x:v>585.6</x:v>
      </x:c>
      <x:c r="CD21" s="9" t="n">
        <x:v>508.34</x:v>
      </x:c>
      <x:c r="CE21" s="9" t="n">
        <x:v>766.53</x:v>
      </x:c>
      <x:c r="CF21" s="9" t="n">
        <x:v>613.61</x:v>
      </x:c>
      <x:c r="CG21" s="9" t="n">
        <x:v>449.56</x:v>
      </x:c>
      <x:c r="CH21" s="9" t="n">
        <x:v>218.67</x:v>
      </x:c>
      <x:c r="CI21" s="9" t="n">
        <x:v>177.42</x:v>
      </x:c>
      <x:c r="CJ21" s="9" t="n">
        <x:v>960.07</x:v>
      </x:c>
      <x:c r="CK21" s="9" t="n">
        <x:v>1492.1</x:v>
      </x:c>
      <x:c r="CL21" s="9" t="n">
        <x:v>1587.71</x:v>
      </x:c>
      <x:c r="CM21" s="9" t="n">
        <x:v>629.89</x:v>
      </x:c>
      <x:c r="CN21" s="9" t="n">
        <x:v>640.78</x:v>
      </x:c>
      <x:c r="CO21" s="9"/>
      <x:c r="CP21" s="9"/>
      <x:c r="CQ21" s="9"/>
      <x:c r="CR21" s="9"/>
      <x:c r="CS21" s="9" t="n">
        <x:v>72.96</x:v>
      </x:c>
      <x:c r="CT21" s="9" t="n">
        <x:v>72.06</x:v>
      </x:c>
      <x:c r="CU21" s="9" t="n">
        <x:v>30.86</x:v>
      </x:c>
      <x:c r="CV21" s="9" t="n">
        <x:v>28.25</x:v>
      </x:c>
      <x:c r="CW21" s="9" t="n">
        <x:v>35.07</x:v>
      </x:c>
      <x:c r="CX21" s="9" t="n">
        <x:v>26.45</x:v>
      </x:c>
      <x:c r="CY21" s="9" t="n">
        <x:v>206.66</x:v>
      </x:c>
      <x:c r="CZ21" s="9" t="n">
        <x:v>706.7</x:v>
      </x:c>
      <x:c r="DA21" s="9" t="n">
        <x:v>702.41</x:v>
      </x:c>
      <x:c r="DB21" s="9" t="n">
        <x:v>191.69</x:v>
      </x:c>
      <x:c r="DC21" s="9" t="n">
        <x:v>402.4</x:v>
      </x:c>
      <x:c r="DD21" s="9" t="n">
        <x:v>10.52</x:v>
      </x:c>
      <x:c r="DE21" s="9" t="n">
        <x:v>1368.87</x:v>
      </x:c>
      <x:c r="DF21" s="9" t="n">
        <x:v>177.91</x:v>
      </x:c>
      <x:c r="DG21" s="9" t="n">
        <x:v>359.87</x:v>
      </x:c>
      <x:c r="DH21" s="9" t="n">
        <x:v>15.14</x:v>
      </x:c>
      <x:c r="DI21" s="9" t="n">
        <x:v>264.83</x:v>
      </x:c>
      <x:c r="DJ21" s="9" t="n">
        <x:v>14.89</x:v>
      </x:c>
      <x:c r="DK21" s="9" t="n">
        <x:v>142.12</x:v>
      </x:c>
      <x:c r="DL21" s="9" t="n">
        <x:v>14.21</x:v>
      </x:c>
      <x:c r="DM21" s="9" t="n">
        <x:v>961.96</x:v>
      </x:c>
      <x:c r="DN21" s="9" t="n">
        <x:v>49.86</x:v>
      </x:c>
    </x:row>
    <x:row r="22" ht="24" customHeight="1">
      <x:c r="A22" s="3" t="n">
        <x:v>65</x:v>
      </x:c>
      <x:c r="B22" s="3" t="str">
        <x:v>丁酸</x:v>
      </x:c>
      <x:c r="C22" s="3" t="str">
        <x:v>Butyric Acid</x:v>
      </x:c>
      <x:c r="D22" s="3" t="str">
        <x:v>107-92-6</x:v>
      </x:c>
      <x:c r="E22" s="9" t="n">
        <x:v>965</x:v>
      </x:c>
      <x:c r="F22" s="9" t="n">
        <x:v>78618</x:v>
      </x:c>
      <x:c r="G22" s="9" t="n">
        <x:v>295816</x:v>
      </x:c>
      <x:c r="H22" s="9" t="n">
        <x:v>4.16</x:v>
      </x:c>
      <x:c r="I22" s="9" t="n">
        <x:v>17.58</x:v>
      </x:c>
      <x:c r="J22" s="9" t="n">
        <x:v>8.31</x:v>
      </x:c>
      <x:c r="K22" s="9" t="n">
        <x:v>9.4</x:v>
      </x:c>
      <x:c r="L22" s="9" t="n">
        <x:v>8.06</x:v>
      </x:c>
      <x:c r="M22" s="9" t="n">
        <x:v>128673</x:v>
      </x:c>
      <x:c r="N22" s="9" t="n">
        <x:v>81517</x:v>
      </x:c>
      <x:c r="O22" s="9" t="n">
        <x:v>1048</x:v>
      </x:c>
      <x:c r="P22" s="9" t="n">
        <x:v>650</x:v>
      </x:c>
      <x:c r="Q22" s="9" t="n">
        <x:v>3162</x:v>
      </x:c>
      <x:c r="R22" s="9" t="n">
        <x:v>4010</x:v>
      </x:c>
      <x:c r="S22" s="9" t="n">
        <x:v>2852</x:v>
      </x:c>
      <x:c r="T22" s="9"/>
      <x:c r="U22" s="9" t="n">
        <x:v>194</x:v>
      </x:c>
      <x:c r="V22" s="9" t="n">
        <x:v>212</x:v>
      </x:c>
      <x:c r="W22" s="9"/>
      <x:c r="X22" s="9"/>
      <x:c r="Y22" s="9"/>
      <x:c r="Z22" s="9"/>
      <x:c r="AA22" s="9"/>
      <x:c r="AB22" s="9"/>
      <x:c r="AC22" s="9" t="n">
        <x:v>651</x:v>
      </x:c>
      <x:c r="AD22" s="9" t="n">
        <x:v>516</x:v>
      </x:c>
      <x:c r="AE22" s="9" t="n">
        <x:v>956</x:v>
      </x:c>
      <x:c r="AF22" s="9" t="n">
        <x:v>41650</x:v>
      </x:c>
      <x:c r="AG22" s="9" t="n">
        <x:v>34420</x:v>
      </x:c>
      <x:c r="AH22" s="9" t="n">
        <x:v>21680</x:v>
      </x:c>
      <x:c r="AI22" s="9" t="n">
        <x:v>30</x:v>
      </x:c>
      <x:c r="AJ22" s="9" t="n">
        <x:v>30</x:v>
      </x:c>
      <x:c r="AK22" s="9" t="n">
        <x:v>40</x:v>
      </x:c>
      <x:c r="AL22" s="9" t="n">
        <x:v>13460</x:v>
      </x:c>
      <x:c r="AM22" s="9" t="n">
        <x:v>14620</x:v>
      </x:c>
      <x:c r="AN22" s="9"/>
      <x:c r="AO22" s="9"/>
      <x:c r="AP22" s="9"/>
      <x:c r="AQ22" s="9"/>
      <x:c r="AR22" s="9" t="n">
        <x:v>75.69</x:v>
      </x:c>
      <x:c r="AS22" s="9" t="n">
        <x:v>47.64</x:v>
      </x:c>
      <x:c r="AT22" s="9" t="n">
        <x:v>86.29</x:v>
      </x:c>
      <x:c r="AU22" s="9" t="n">
        <x:v>86.78</x:v>
      </x:c>
      <x:c r="AV22" s="9"/>
      <x:c r="AW22" s="9" t="n">
        <x:v>36838</x:v>
      </x:c>
      <x:c r="AX22" s="9" t="n">
        <x:v>24</x:v>
      </x:c>
      <x:c r="AY22" s="9" t="n">
        <x:v>35136.5</x:v>
      </x:c>
      <x:c r="AZ22" s="9" t="n">
        <x:v>86800</x:v>
      </x:c>
      <x:c r="BA22" s="9"/>
      <x:c r="BB22" s="9"/>
      <x:c r="BC22" s="9"/>
      <x:c r="BD22" s="9"/>
      <x:c r="BE22" s="9" t="n">
        <x:v>87.34</x:v>
      </x:c>
      <x:c r="BF22" s="9" t="n">
        <x:v>117.31</x:v>
      </x:c>
      <x:c r="BG22" s="9" t="n">
        <x:v>107.42</x:v>
      </x:c>
      <x:c r="BH22" s="9" t="n">
        <x:v>90.64</x:v>
      </x:c>
      <x:c r="BI22" s="9"/>
      <x:c r="BJ22" s="9" t="n">
        <x:v>87.96</x:v>
      </x:c>
      <x:c r="BK22" s="9"/>
      <x:c r="BL22" s="9" t="n">
        <x:v>138.92</x:v>
      </x:c>
      <x:c r="BM22" s="9" t="n">
        <x:v>111.44</x:v>
      </x:c>
      <x:c r="BN22" s="9" t="n">
        <x:v>156.52</x:v>
      </x:c>
      <x:c r="BO22" s="9" t="n">
        <x:v>108.78</x:v>
      </x:c>
      <x:c r="BP22" s="9" t="n">
        <x:v>122.82</x:v>
      </x:c>
      <x:c r="BQ22" s="9"/>
      <x:c r="BR22" s="9" t="n">
        <x:v>133900</x:v>
      </x:c>
      <x:c r="BS22" s="9" t="n">
        <x:v>154500</x:v>
      </x:c>
      <x:c r="BT22" s="9" t="n">
        <x:v>156100</x:v>
      </x:c>
      <x:c r="BU22" s="9" t="n">
        <x:v>45500</x:v>
      </x:c>
      <x:c r="BV22" s="9" t="n">
        <x:v>75100</x:v>
      </x:c>
      <x:c r="BW22" s="9" t="n">
        <x:v>59900</x:v>
      </x:c>
      <x:c r="BX22" s="9" t="n">
        <x:v>178400</x:v>
      </x:c>
      <x:c r="BY22" s="9" t="n">
        <x:v>74800</x:v>
      </x:c>
      <x:c r="BZ22" s="9" t="n">
        <x:v>203700</x:v>
      </x:c>
      <x:c r="CA22" s="9" t="n">
        <x:v>83.1133</x:v>
      </x:c>
      <x:c r="CB22" s="9" t="n">
        <x:v>98.7767</x:v>
      </x:c>
      <x:c r="CC22" s="9" t="n">
        <x:v>78.35</x:v>
      </x:c>
      <x:c r="CD22" s="9" t="n">
        <x:v>139.39</x:v>
      </x:c>
      <x:c r="CE22" s="9" t="n">
        <x:v>136.43</x:v>
      </x:c>
      <x:c r="CF22" s="9" t="n">
        <x:v>98.73</x:v>
      </x:c>
      <x:c r="CG22" s="9" t="n">
        <x:v>102.04</x:v>
      </x:c>
      <x:c r="CH22" s="9" t="n">
        <x:v>26.02</x:v>
      </x:c>
      <x:c r="CI22" s="9" t="n">
        <x:v>31.97</x:v>
      </x:c>
      <x:c r="CJ22" s="9" t="n">
        <x:v>173.37</x:v>
      </x:c>
      <x:c r="CK22" s="9" t="n">
        <x:v>190.29</x:v>
      </x:c>
      <x:c r="CL22" s="9" t="n">
        <x:v>177.22</x:v>
      </x:c>
      <x:c r="CM22" s="9" t="n">
        <x:v>233.1</x:v>
      </x:c>
      <x:c r="CN22" s="9" t="n">
        <x:v>123.99</x:v>
      </x:c>
      <x:c r="CO22" s="9"/>
      <x:c r="CP22" s="9"/>
      <x:c r="CQ22" s="9"/>
      <x:c r="CR22" s="9"/>
      <x:c r="CS22" s="9"/>
      <x:c r="CT22" s="9"/>
      <x:c r="CU22" s="9"/>
      <x:c r="CV22" s="9"/>
      <x:c r="CW22" s="9"/>
      <x:c r="CX22" s="9"/>
      <x:c r="CY22" s="9" t="n">
        <x:v>101120.53</x:v>
      </x:c>
      <x:c r="CZ22" s="9" t="n">
        <x:v>150425.51</x:v>
      </x:c>
      <x:c r="DA22" s="9" t="n">
        <x:v>87318.22</x:v>
      </x:c>
      <x:c r="DB22" s="9" t="n">
        <x:v>123541.9</x:v>
      </x:c>
      <x:c r="DC22" s="9" t="n">
        <x:v>151195.9</x:v>
      </x:c>
      <x:c r="DD22" s="9" t="n">
        <x:v>122681.55</x:v>
      </x:c>
      <x:c r="DE22" s="9" t="n">
        <x:v>147859.34</x:v>
      </x:c>
      <x:c r="DF22" s="9" t="n">
        <x:v>130492.23</x:v>
      </x:c>
      <x:c r="DG22" s="9" t="n">
        <x:v>98998.62</x:v>
      </x:c>
      <x:c r="DH22" s="9" t="n">
        <x:v>115066.84</x:v>
      </x:c>
      <x:c r="DI22" s="9" t="n">
        <x:v>92622.6</x:v>
      </x:c>
      <x:c r="DJ22" s="9" t="n">
        <x:v>78188.8</x:v>
      </x:c>
      <x:c r="DK22" s="9" t="n">
        <x:v>81732.6</x:v>
      </x:c>
      <x:c r="DL22" s="9" t="n">
        <x:v>90176.71</x:v>
      </x:c>
      <x:c r="DM22" s="9" t="n">
        <x:v>96215.35</x:v>
      </x:c>
      <x:c r="DN22" s="9" t="n">
        <x:v>88720.19</x:v>
      </x:c>
    </x:row>
    <x:row r="23" ht="24" customHeight="1">
      <x:c r="A23" s="3" t="n">
        <x:v>69</x:v>
      </x:c>
      <x:c r="B23" s="3" t="str">
        <x:v>异戊酸乙酯（3-甲基丁酸乙酯）</x:v>
      </x:c>
      <x:c r="C23" s="3" t="str">
        <x:v>Ethyl isovalerate</x:v>
      </x:c>
      <x:c r="D23" s="3" t="str">
        <x:v>108-64-5</x:v>
      </x:c>
      <x:c r="E23" s="9" t="n">
        <x:v>6.89</x:v>
      </x:c>
      <x:c r="F23" s="9" t="n">
        <x:v>2783</x:v>
      </x:c>
      <x:c r="G23" s="9" t="n">
        <x:v>1847</x:v>
      </x:c>
      <x:c r="H23" s="9" t="n">
        <x:v>5.98</x:v>
      </x:c>
      <x:c r="I23" s="9" t="n">
        <x:v>10.69</x:v>
      </x:c>
      <x:c r="J23" s="9" t="n">
        <x:v>3842.22</x:v>
      </x:c>
      <x:c r="K23" s="9" t="n">
        <x:v>23.36</x:v>
      </x:c>
      <x:c r="L23" s="9" t="n">
        <x:v>13.13</x:v>
      </x:c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 t="n">
        <x:v>780</x:v>
      </x:c>
      <x:c r="AJ23" s="9" t="n">
        <x:v>1020</x:v>
      </x:c>
      <x:c r="AK23" s="9" t="n">
        <x:v>1650</x:v>
      </x:c>
      <x:c r="AL23" s="9"/>
      <x:c r="AM23" s="9"/>
      <x:c r="AN23" s="9"/>
      <x:c r="AO23" s="9"/>
      <x:c r="AP23" s="9"/>
      <x:c r="AQ23" s="9"/>
      <x:c r="AR23" s="9" t="n">
        <x:v>8.72</x:v>
      </x:c>
      <x:c r="AS23" s="9" t="n">
        <x:v>3.13</x:v>
      </x:c>
      <x:c r="AT23" s="9" t="n">
        <x:v>4.1</x:v>
      </x:c>
      <x:c r="AU23" s="9" t="n">
        <x:v>5.73</x:v>
      </x:c>
      <x:c r="AV23" s="9"/>
      <x:c r="AW23" s="9"/>
      <x:c r="AX23" s="9"/>
      <x:c r="AY23" s="9"/>
      <x:c r="AZ23" s="9"/>
      <x:c r="BA23" s="9" t="n">
        <x:v>540</x:v>
      </x:c>
      <x:c r="BB23" s="9" t="n">
        <x:v>553</x:v>
      </x:c>
      <x:c r="BC23" s="9"/>
      <x:c r="BD23" s="9"/>
      <x:c r="BE23" s="9"/>
      <x:c r="BF23" s="9"/>
      <x:c r="BG23" s="9"/>
      <x:c r="BH23" s="9"/>
      <x:c r="BI23" s="9"/>
      <x:c r="BJ23" s="9"/>
      <x:c r="BK23" s="9"/>
      <x:c r="BL23" s="9"/>
      <x:c r="BM23" s="9"/>
      <x:c r="BN23" s="9"/>
      <x:c r="BO23" s="9"/>
      <x:c r="BP23" s="9"/>
      <x:c r="BQ23" s="9"/>
      <x:c r="BR23" s="9"/>
      <x:c r="BS23" s="9"/>
      <x:c r="BT23" s="9"/>
      <x:c r="BU23" s="9"/>
      <x:c r="BV23" s="9"/>
      <x:c r="BW23" s="9"/>
      <x:c r="BX23" s="9"/>
      <x:c r="BY23" s="9"/>
      <x:c r="BZ23" s="9"/>
      <x:c r="CA23" s="9" t="n">
        <x:v>151.1867</x:v>
      </x:c>
      <x:c r="CB23" s="9" t="n">
        <x:v>92.9867</x:v>
      </x:c>
      <x:c r="CC23" s="9" t="n">
        <x:v>9.99</x:v>
      </x:c>
      <x:c r="CD23" s="9" t="n">
        <x:v>6.13</x:v>
      </x:c>
      <x:c r="CE23" s="9" t="n">
        <x:v>7.94</x:v>
      </x:c>
      <x:c r="CF23" s="9" t="n">
        <x:v>3.37</x:v>
      </x:c>
      <x:c r="CG23" s="9" t="n">
        <x:v>1.48</x:v>
      </x:c>
      <x:c r="CH23" s="9" t="n">
        <x:v>2.2</x:v>
      </x:c>
      <x:c r="CI23" s="9" t="n">
        <x:v>1.19</x:v>
      </x:c>
      <x:c r="CJ23" s="9" t="n">
        <x:v>3.06</x:v>
      </x:c>
      <x:c r="CK23" s="9" t="n">
        <x:v>1.66</x:v>
      </x:c>
      <x:c r="CL23" s="9" t="n">
        <x:v>1.72</x:v>
      </x:c>
      <x:c r="CM23" s="9" t="n">
        <x:v>0.83</x:v>
      </x:c>
      <x:c r="CN23" s="9"/>
      <x:c r="CO23" s="9"/>
      <x:c r="CP23" s="9"/>
      <x:c r="CQ23" s="9"/>
      <x:c r="CR23" s="9"/>
      <x:c r="CS23" s="9"/>
      <x:c r="CT23" s="9"/>
      <x:c r="CU23" s="9"/>
      <x:c r="CV23" s="9"/>
      <x:c r="CW23" s="9"/>
      <x:c r="CX23" s="9"/>
      <x:c r="CY23" s="9" t="n">
        <x:v>5018.14</x:v>
      </x:c>
      <x:c r="CZ23" s="9" t="n">
        <x:v>3096.3</x:v>
      </x:c>
      <x:c r="DA23" s="9" t="n">
        <x:v>1795.31</x:v>
      </x:c>
      <x:c r="DB23" s="9" t="n">
        <x:v>5998.61</x:v>
      </x:c>
      <x:c r="DC23" s="9" t="n">
        <x:v>913.35</x:v>
      </x:c>
      <x:c r="DD23" s="9" t="n">
        <x:v>1628.04</x:v>
      </x:c>
      <x:c r="DE23" s="9" t="n">
        <x:v>2592.19</x:v>
      </x:c>
      <x:c r="DF23" s="9" t="n">
        <x:v>5839.25</x:v>
      </x:c>
      <x:c r="DG23" s="9" t="n">
        <x:v>6146.97</x:v>
      </x:c>
      <x:c r="DH23" s="9" t="n">
        <x:v>2287.57</x:v>
      </x:c>
      <x:c r="DI23" s="9" t="n">
        <x:v>7749.03</x:v>
      </x:c>
      <x:c r="DJ23" s="9" t="n">
        <x:v>2573.61</x:v>
      </x:c>
      <x:c r="DK23" s="9" t="n">
        <x:v>12022.2</x:v>
      </x:c>
      <x:c r="DL23" s="9" t="n">
        <x:v>2385.52</x:v>
      </x:c>
      <x:c r="DM23" s="9" t="n">
        <x:v>3404.72</x:v>
      </x:c>
      <x:c r="DN23" s="9" t="n">
        <x:v>2156.71</x:v>
      </x:c>
    </x:row>
    <x:row r="24" ht="24" customHeight="1">
      <x:c r="A24" s="3" t="n">
        <x:v>75</x:v>
      </x:c>
      <x:c r="B24" s="3" t="str">
        <x:v>戊酸</x:v>
      </x:c>
      <x:c r="C24" s="3" t="str">
        <x:v>Valeric acid</x:v>
      </x:c>
      <x:c r="D24" s="3" t="str">
        <x:v>109-52-4</x:v>
      </x:c>
      <x:c r="E24" s="9" t="n">
        <x:v>389</x:v>
      </x:c>
      <x:c r="F24" s="9" t="n">
        <x:v>13732</x:v>
      </x:c>
      <x:c r="G24" s="9" t="n">
        <x:v>56841</x:v>
      </x:c>
      <x:c r="H24" s="9" t="n">
        <x:v>7.6</x:v>
      </x:c>
      <x:c r="I24" s="9" t="n">
        <x:v>124.88</x:v>
      </x:c>
      <x:c r="J24" s="9" t="n">
        <x:v>3</x:v>
      </x:c>
      <x:c r="K24" s="9" t="n">
        <x:v>8.1</x:v>
      </x:c>
      <x:c r="L24" s="9" t="n">
        <x:v>2.12</x:v>
      </x:c>
      <x:c r="M24" s="9" t="n">
        <x:v>49388</x:v>
      </x:c>
      <x:c r="N24" s="9" t="n">
        <x:v>57055</x:v>
      </x:c>
      <x:c r="O24" s="9" t="n">
        <x:v>1858</x:v>
      </x:c>
      <x:c r="P24" s="9" t="n">
        <x:v>2419</x:v>
      </x:c>
      <x:c r="Q24" s="9" t="n">
        <x:v>2566</x:v>
      </x:c>
      <x:c r="R24" s="9" t="n">
        <x:v>2831</x:v>
      </x:c>
      <x:c r="S24" s="9" t="n">
        <x:v>2417</x:v>
      </x:c>
      <x:c r="T24" s="9" t="n">
        <x:v>2380</x:v>
      </x:c>
      <x:c r="U24" s="9" t="n">
        <x:v>20</x:v>
      </x:c>
      <x:c r="V24" s="9" t="n">
        <x:v>36</x:v>
      </x:c>
      <x:c r="W24" s="9" t="n">
        <x:v>1.75</x:v>
      </x:c>
      <x:c r="X24" s="9" t="n">
        <x:v>2010</x:v>
      </x:c>
      <x:c r="Y24" s="9" t="n">
        <x:v>1900</x:v>
      </x:c>
      <x:c r="Z24" s="9" t="n">
        <x:v>3380</x:v>
      </x:c>
      <x:c r="AA24" s="9" t="n">
        <x:v>5520</x:v>
      </x:c>
      <x:c r="AB24" s="9" t="n">
        <x:v>6730</x:v>
      </x:c>
      <x:c r="AC24" s="9" t="n">
        <x:v>13000</x:v>
      </x:c>
      <x:c r="AD24" s="9" t="n">
        <x:v>16500</x:v>
      </x:c>
      <x:c r="AE24" s="9" t="n">
        <x:v>18800</x:v>
      </x:c>
      <x:c r="AF24" s="9" t="n">
        <x:v>10670</x:v>
      </x:c>
      <x:c r="AG24" s="9" t="n">
        <x:v>8170</x:v>
      </x:c>
      <x:c r="AH24" s="9" t="n">
        <x:v>8420</x:v>
      </x:c>
      <x:c r="AI24" s="9"/>
      <x:c r="AJ24" s="9"/>
      <x:c r="AK24" s="9"/>
      <x:c r="AL24" s="9" t="n">
        <x:v>9160</x:v>
      </x:c>
      <x:c r="AM24" s="9" t="n">
        <x:v>12810</x:v>
      </x:c>
      <x:c r="AN24" s="9"/>
      <x:c r="AO24" s="9"/>
      <x:c r="AP24" s="9"/>
      <x:c r="AQ24" s="9"/>
      <x:c r="AR24" s="9" t="n">
        <x:v>22.91</x:v>
      </x:c>
      <x:c r="AS24" s="9" t="n">
        <x:v>22.01</x:v>
      </x:c>
      <x:c r="AT24" s="9" t="n">
        <x:v>28.25</x:v>
      </x:c>
      <x:c r="AU24" s="9" t="n">
        <x:v>30.54</x:v>
      </x:c>
      <x:c r="AV24" s="9" t="n">
        <x:v>301.76</x:v>
      </x:c>
      <x:c r="AW24" s="9" t="n">
        <x:v>4662</x:v>
      </x:c>
      <x:c r="AX24" s="9" t="n">
        <x:v>24</x:v>
      </x:c>
      <x:c r="AY24" s="9" t="n">
        <x:v>9073.5</x:v>
      </x:c>
      <x:c r="AZ24" s="9" t="n">
        <x:v>0</x:v>
      </x:c>
      <x:c r="BA24" s="9" t="n">
        <x:v>305</x:v>
      </x:c>
      <x:c r="BB24" s="9" t="n">
        <x:v>408</x:v>
      </x:c>
      <x:c r="BC24" s="9"/>
      <x:c r="BD24" s="9"/>
      <x:c r="BE24" s="9" t="n">
        <x:v>20.52</x:v>
      </x:c>
      <x:c r="BF24" s="9" t="n">
        <x:v>31.29</x:v>
      </x:c>
      <x:c r="BG24" s="9" t="n">
        <x:v>26.75</x:v>
      </x:c>
      <x:c r="BH24" s="9" t="n">
        <x:v>18.65</x:v>
      </x:c>
      <x:c r="BI24" s="9"/>
      <x:c r="BJ24" s="9" t="n">
        <x:v>19.67</x:v>
      </x:c>
      <x:c r="BK24" s="9"/>
      <x:c r="BL24" s="9" t="n">
        <x:v>30.82</x:v>
      </x:c>
      <x:c r="BM24" s="9" t="n">
        <x:v>25.52</x:v>
      </x:c>
      <x:c r="BN24" s="9" t="n">
        <x:v>29.13</x:v>
      </x:c>
      <x:c r="BO24" s="9" t="n">
        <x:v>18.56</x:v>
      </x:c>
      <x:c r="BP24" s="9" t="n">
        <x:v>27.73</x:v>
      </x:c>
      <x:c r="BQ24" s="9"/>
      <x:c r="BR24" s="9" t="n">
        <x:v>20900</x:v>
      </x:c>
      <x:c r="BS24" s="9" t="n">
        <x:v>62700</x:v>
      </x:c>
      <x:c r="BT24" s="9" t="n">
        <x:v>18600</x:v>
      </x:c>
      <x:c r="BU24" s="9" t="n">
        <x:v>18700</x:v>
      </x:c>
      <x:c r="BV24" s="9" t="n">
        <x:v>43400</x:v>
      </x:c>
      <x:c r="BW24" s="9" t="n">
        <x:v>8600</x:v>
      </x:c>
      <x:c r="BX24" s="9" t="n">
        <x:v>52800</x:v>
      </x:c>
      <x:c r="BY24" s="9" t="n">
        <x:v>28500</x:v>
      </x:c>
      <x:c r="BZ24" s="9" t="n">
        <x:v>52700</x:v>
      </x:c>
      <x:c r="CA24" s="9" t="n">
        <x:v>86.8</x:v>
      </x:c>
      <x:c r="CB24" s="9" t="n">
        <x:v>90.79</x:v>
      </x:c>
      <x:c r="CC24" s="9" t="n">
        <x:v>52.85</x:v>
      </x:c>
      <x:c r="CD24" s="9" t="n">
        <x:v>59.78</x:v>
      </x:c>
      <x:c r="CE24" s="9" t="n">
        <x:v>59.32</x:v>
      </x:c>
      <x:c r="CF24" s="9" t="n">
        <x:v>60.54</x:v>
      </x:c>
      <x:c r="CG24" s="9" t="n">
        <x:v>49.05</x:v>
      </x:c>
      <x:c r="CH24" s="9" t="n">
        <x:v>36.69</x:v>
      </x:c>
      <x:c r="CI24" s="9" t="n">
        <x:v>38.63</x:v>
      </x:c>
      <x:c r="CJ24" s="9" t="n">
        <x:v>65.52</x:v>
      </x:c>
      <x:c r="CK24" s="9" t="n">
        <x:v>68.83</x:v>
      </x:c>
      <x:c r="CL24" s="9" t="n">
        <x:v>67.96</x:v>
      </x:c>
      <x:c r="CM24" s="9" t="n">
        <x:v>77.57</x:v>
      </x:c>
      <x:c r="CN24" s="9" t="n">
        <x:v>50.57</x:v>
      </x:c>
      <x:c r="CO24" s="9"/>
      <x:c r="CP24" s="9"/>
      <x:c r="CQ24" s="9"/>
      <x:c r="CR24" s="9"/>
      <x:c r="CS24" s="9"/>
      <x:c r="CT24" s="9"/>
      <x:c r="CU24" s="9"/>
      <x:c r="CV24" s="9"/>
      <x:c r="CW24" s="9"/>
      <x:c r="CX24" s="9"/>
      <x:c r="CY24" s="9" t="n">
        <x:v>33944.38</x:v>
      </x:c>
      <x:c r="CZ24" s="9" t="n">
        <x:v>24823.53</x:v>
      </x:c>
      <x:c r="DA24" s="9" t="n">
        <x:v>23277.24</x:v>
      </x:c>
      <x:c r="DB24" s="9" t="n">
        <x:v>36241.48</x:v>
      </x:c>
      <x:c r="DC24" s="9" t="n">
        <x:v>18576.5</x:v>
      </x:c>
      <x:c r="DD24" s="9" t="n">
        <x:v>39842.94</x:v>
      </x:c>
      <x:c r="DE24" s="9" t="n">
        <x:v>23648.44</x:v>
      </x:c>
      <x:c r="DF24" s="9" t="n">
        <x:v>34922.02</x:v>
      </x:c>
      <x:c r="DG24" s="9" t="n">
        <x:v>26447.1</x:v>
      </x:c>
      <x:c r="DH24" s="9" t="n">
        <x:v>32264.9</x:v>
      </x:c>
      <x:c r="DI24" s="9" t="n">
        <x:v>29425.25</x:v>
      </x:c>
      <x:c r="DJ24" s="9" t="n">
        <x:v>33063.25</x:v>
      </x:c>
      <x:c r="DK24" s="9" t="n">
        <x:v>29405.25</x:v>
      </x:c>
      <x:c r="DL24" s="9" t="n">
        <x:v>28036.23</x:v>
      </x:c>
      <x:c r="DM24" s="9" t="n">
        <x:v>32652.23</x:v>
      </x:c>
      <x:c r="DN24" s="9" t="n">
        <x:v>21290.44</x:v>
      </x:c>
    </x:row>
    <x:row r="25" ht="24" customHeight="1">
      <x:c r="A25" s="3" t="n">
        <x:v>79</x:v>
      </x:c>
      <x:c r="B25" s="3" t="str">
        <x:v>癸酸乙酯</x:v>
      </x:c>
      <x:c r="C25" s="3" t="str">
        <x:v>Ethyl decanoate</x:v>
      </x:c>
      <x:c r="D25" s="3" t="str">
        <x:v>110-38-3</x:v>
      </x:c>
      <x:c r="E25" s="9" t="n">
        <x:v>1120</x:v>
      </x:c>
      <x:c r="F25" s="9" t="n">
        <x:v>13</x:v>
      </x:c>
      <x:c r="G25" s="9" t="n">
        <x:v>839</x:v>
      </x:c>
      <x:c r="H25" s="9" t="n">
        <x:v>10.44</x:v>
      </x:c>
      <x:c r="I25" s="9" t="n">
        <x:v>14.36</x:v>
      </x:c>
      <x:c r="J25" s="9" t="n">
        <x:v>9.38</x:v>
      </x:c>
      <x:c r="K25" s="9" t="n">
        <x:v>19.31</x:v>
      </x:c>
      <x:c r="L25" s="9" t="n">
        <x:v>7.47</x:v>
      </x:c>
      <x:c r="M25" s="9"/>
      <x:c r="N25" s="9"/>
      <x:c r="O25" s="9" t="n">
        <x:v>56115</x:v>
      </x:c>
      <x:c r="P25" s="9" t="n">
        <x:v>47867</x:v>
      </x:c>
      <x:c r="Q25" s="9" t="n">
        <x:v>44538</x:v>
      </x:c>
      <x:c r="R25" s="9" t="n">
        <x:v>33791</x:v>
      </x:c>
      <x:c r="S25" s="9" t="n">
        <x:v>42831</x:v>
      </x:c>
      <x:c r="T25" s="9" t="n">
        <x:v>45291</x:v>
      </x:c>
      <x:c r="U25" s="9" t="n">
        <x:v>6</x:v>
      </x:c>
      <x:c r="V25" s="9" t="n">
        <x:v>0</x:v>
      </x:c>
      <x:c r="W25" s="9"/>
      <x:c r="X25" s="9" t="n">
        <x:v>22</x:v>
      </x:c>
      <x:c r="Y25" s="9" t="n">
        <x:v>720</x:v>
      </x:c>
      <x:c r="Z25" s="9" t="n">
        <x:v>1200</x:v>
      </x:c>
      <x:c r="AA25" s="9" t="n">
        <x:v>1400</x:v>
      </x:c>
      <x:c r="AB25" s="9" t="n">
        <x:v>629</x:v>
      </x:c>
      <x:c r="AC25" s="9"/>
      <x:c r="AD25" s="9"/>
      <x:c r="AE25" s="9"/>
      <x:c r="AF25" s="9"/>
      <x:c r="AG25" s="9"/>
      <x:c r="AH25" s="9"/>
      <x:c r="AI25" s="9" t="n">
        <x:v>170</x:v>
      </x:c>
      <x:c r="AJ25" s="9" t="n">
        <x:v>120</x:v>
      </x:c>
      <x:c r="AK25" s="9" t="n">
        <x:v>200</x:v>
      </x:c>
      <x:c r="AL25" s="9" t="n">
        <x:v>3550</x:v>
      </x:c>
      <x:c r="AM25" s="9" t="n">
        <x:v>1830</x:v>
      </x:c>
      <x:c r="AN25" s="9" t="n">
        <x:v>10270</x:v>
      </x:c>
      <x:c r="AO25" s="9" t="n">
        <x:v>1770</x:v>
      </x:c>
      <x:c r="AP25" s="9" t="n">
        <x:v>2270</x:v>
      </x:c>
      <x:c r="AQ25" s="9" t="n">
        <x:v>8410</x:v>
      </x:c>
      <x:c r="AR25" s="9" t="n">
        <x:v>3.58</x:v>
      </x:c>
      <x:c r="AS25" s="9" t="n">
        <x:v>2.54</x:v>
      </x:c>
      <x:c r="AT25" s="9" t="n">
        <x:v>1.83</x:v>
      </x:c>
      <x:c r="AU25" s="9" t="n">
        <x:v>1.75</x:v>
      </x:c>
      <x:c r="AV25" s="9" t="n">
        <x:v>6.7</x:v>
      </x:c>
      <x:c r="AW25" s="9"/>
      <x:c r="AX25" s="9"/>
      <x:c r="AY25" s="9"/>
      <x:c r="AZ25" s="9"/>
      <x:c r="BA25" s="9"/>
      <x:c r="BB25" s="9"/>
      <x:c r="BC25" s="9" t="n">
        <x:v>1213.98</x:v>
      </x:c>
      <x:c r="BD25" s="9" t="n">
        <x:v>2</x:v>
      </x:c>
      <x:c r="BE25" s="9" t="n">
        <x:v>528.34</x:v>
      </x:c>
      <x:c r="BF25" s="9" t="n">
        <x:v>846.46</x:v>
      </x:c>
      <x:c r="BG25" s="9" t="n">
        <x:v>737.565</x:v>
      </x:c>
      <x:c r="BH25" s="9" t="n">
        <x:v>329.62</x:v>
      </x:c>
      <x:c r="BI25" s="9" t="n">
        <x:v>3587</x:v>
      </x:c>
      <x:c r="BJ25" s="9" t="n">
        <x:v>288.21</x:v>
      </x:c>
      <x:c r="BK25" s="9" t="n">
        <x:v>950.81</x:v>
      </x:c>
      <x:c r="BL25" s="9" t="n">
        <x:v>3197</x:v>
      </x:c>
      <x:c r="BM25" s="9" t="n">
        <x:v>3174</x:v>
      </x:c>
      <x:c r="BN25" s="9" t="n">
        <x:v>3584</x:v>
      </x:c>
      <x:c r="BO25" s="9" t="n">
        <x:v>2487</x:v>
      </x:c>
      <x:c r="BP25" s="9" t="n">
        <x:v>4750.12</x:v>
      </x:c>
      <x:c r="BQ25" s="9" t="n">
        <x:v>1258</x:v>
      </x:c>
      <x:c r="BR25" s="9"/>
      <x:c r="BS25" s="9"/>
      <x:c r="BT25" s="9"/>
      <x:c r="BU25" s="9"/>
      <x:c r="BV25" s="9"/>
      <x:c r="BW25" s="9"/>
      <x:c r="BX25" s="9"/>
      <x:c r="BY25" s="9"/>
      <x:c r="BZ25" s="9"/>
      <x:c r="CA25" s="9" t="n">
        <x:v>1288.255</x:v>
      </x:c>
      <x:c r="CB25" s="9" t="n">
        <x:v>1209.15</x:v>
      </x:c>
      <x:c r="CC25" s="9" t="n">
        <x:v>1742.03</x:v>
      </x:c>
      <x:c r="CD25" s="9" t="n">
        <x:v>2045.9</x:v>
      </x:c>
      <x:c r="CE25" s="9" t="n">
        <x:v>3220.45</x:v>
      </x:c>
      <x:c r="CF25" s="9" t="n">
        <x:v>1767.93</x:v>
      </x:c>
      <x:c r="CG25" s="9" t="n">
        <x:v>2451.99</x:v>
      </x:c>
      <x:c r="CH25" s="9" t="n">
        <x:v>1056.35</x:v>
      </x:c>
      <x:c r="CI25" s="9" t="n">
        <x:v>826.02</x:v>
      </x:c>
      <x:c r="CJ25" s="9" t="n">
        <x:v>4272.18</x:v>
      </x:c>
      <x:c r="CK25" s="9" t="n">
        <x:v>2800.07</x:v>
      </x:c>
      <x:c r="CL25" s="9" t="n">
        <x:v>4040.5</x:v>
      </x:c>
      <x:c r="CM25" s="9" t="n">
        <x:v>2607.96</x:v>
      </x:c>
      <x:c r="CN25" s="9" t="n">
        <x:v>2508.26</x:v>
      </x:c>
      <x:c r="CO25" s="9" t="n">
        <x:v>1685</x:v>
      </x:c>
      <x:c r="CP25" s="9" t="n">
        <x:v>1640</x:v>
      </x:c>
      <x:c r="CQ25" s="9" t="n">
        <x:v>1043</x:v>
      </x:c>
      <x:c r="CR25" s="9" t="n">
        <x:v>1472</x:v>
      </x:c>
      <x:c r="CS25" s="9" t="n">
        <x:v>995.32</x:v>
      </x:c>
      <x:c r="CT25" s="9" t="n">
        <x:v>3556.22</x:v>
      </x:c>
      <x:c r="CU25" s="9" t="n">
        <x:v>274.32</x:v>
      </x:c>
      <x:c r="CV25" s="9" t="n">
        <x:v>205.21</x:v>
      </x:c>
      <x:c r="CW25" s="9" t="n">
        <x:v>310.46</x:v>
      </x:c>
      <x:c r="CX25" s="9" t="n">
        <x:v>238.29</x:v>
      </x:c>
      <x:c r="CY25" s="9" t="n">
        <x:v>1470.77</x:v>
      </x:c>
      <x:c r="CZ25" s="9" t="n">
        <x:v>1083.74</x:v>
      </x:c>
      <x:c r="DA25" s="9" t="n">
        <x:v>678.28</x:v>
      </x:c>
      <x:c r="DB25" s="9" t="n">
        <x:v>3069.57</x:v>
      </x:c>
      <x:c r="DC25" s="9" t="n">
        <x:v>591.57</x:v>
      </x:c>
      <x:c r="DD25" s="9" t="n">
        <x:v>5121.45</x:v>
      </x:c>
      <x:c r="DE25" s="9" t="n">
        <x:v>6788.87</x:v>
      </x:c>
      <x:c r="DF25" s="9" t="n">
        <x:v>4219.75</x:v>
      </x:c>
      <x:c r="DG25" s="9" t="n">
        <x:v>3601.52</x:v>
      </x:c>
      <x:c r="DH25" s="9" t="n">
        <x:v>6257.95</x:v>
      </x:c>
      <x:c r="DI25" s="9" t="n">
        <x:v>2035.68</x:v>
      </x:c>
      <x:c r="DJ25" s="9" t="n">
        <x:v>1142.51</x:v>
      </x:c>
      <x:c r="DK25" s="9" t="n">
        <x:v>1852.44</x:v>
      </x:c>
      <x:c r="DL25" s="9" t="n">
        <x:v>3326.87</x:v>
      </x:c>
      <x:c r="DM25" s="9" t="n">
        <x:v>2105.87</x:v>
      </x:c>
      <x:c r="DN25" s="9" t="n">
        <x:v>906.75</x:v>
      </x:c>
    </x:row>
    <x:row r="26" ht="24" customHeight="1">
      <x:c r="A26" s="3" t="n">
        <x:v>85</x:v>
      </x:c>
      <x:c r="B26" s="3" t="str">
        <x:v>1-己醇</x:v>
      </x:c>
      <x:c r="C26" s="3" t="str">
        <x:v>1-Hexanol</x:v>
      </x:c>
      <x:c r="D26" s="3" t="str">
        <x:v>111-27-3</x:v>
      </x:c>
      <x:c r="E26" s="9" t="n">
        <x:v>5370</x:v>
      </x:c>
      <x:c r="F26" s="9" t="n">
        <x:v>30025</x:v>
      </x:c>
      <x:c r="G26" s="9" t="n">
        <x:v>97718</x:v>
      </x:c>
      <x:c r="H26" s="9" t="n">
        <x:v>213.01</x:v>
      </x:c>
      <x:c r="I26" s="9" t="n">
        <x:v>45.58</x:v>
      </x:c>
      <x:c r="J26" s="9" t="n">
        <x:v>37.5</x:v>
      </x:c>
      <x:c r="K26" s="9" t="n">
        <x:v>245.76</x:v>
      </x:c>
      <x:c r="L26" s="9" t="n">
        <x:v>21.15</x:v>
      </x:c>
      <x:c r="M26" s="9" t="n">
        <x:v>20155</x:v>
      </x:c>
      <x:c r="N26" s="9" t="n">
        <x:v>15678</x:v>
      </x:c>
      <x:c r="O26" s="9"/>
      <x:c r="P26" s="9"/>
      <x:c r="Q26" s="9"/>
      <x:c r="R26" s="9"/>
      <x:c r="S26" s="9"/>
      <x:c r="T26" s="9"/>
      <x:c r="U26" s="9" t="n">
        <x:v>0</x:v>
      </x:c>
      <x:c r="V26" s="9" t="n">
        <x:v>5</x:v>
      </x:c>
      <x:c r="W26" s="9"/>
      <x:c r="X26" s="9" t="n">
        <x:v>1159000</x:v>
      </x:c>
      <x:c r="Y26" s="9" t="n">
        <x:v>869000</x:v>
      </x:c>
      <x:c r="Z26" s="9" t="n">
        <x:v>1151000</x:v>
      </x:c>
      <x:c r="AA26" s="9" t="n">
        <x:v>1519000</x:v>
      </x:c>
      <x:c r="AB26" s="9" t="n">
        <x:v>1543000</x:v>
      </x:c>
      <x:c r="AC26" s="9" t="n">
        <x:v>1869000</x:v>
      </x:c>
      <x:c r="AD26" s="9" t="n">
        <x:v>1655000</x:v>
      </x:c>
      <x:c r="AE26" s="9" t="n">
        <x:v>1585000</x:v>
      </x:c>
      <x:c r="AF26" s="9" t="n">
        <x:v>208580</x:v>
      </x:c>
      <x:c r="AG26" s="9" t="n">
        <x:v>196640</x:v>
      </x:c>
      <x:c r="AH26" s="9" t="n">
        <x:v>94585</x:v>
      </x:c>
      <x:c r="AI26" s="9" t="n">
        <x:v>3950</x:v>
      </x:c>
      <x:c r="AJ26" s="9" t="n">
        <x:v>3900</x:v>
      </x:c>
      <x:c r="AK26" s="9" t="n">
        <x:v>4950</x:v>
      </x:c>
      <x:c r="AL26" s="9" t="n">
        <x:v>120100</x:v>
      </x:c>
      <x:c r="AM26" s="9" t="n">
        <x:v>185670</x:v>
      </x:c>
      <x:c r="AN26" s="9"/>
      <x:c r="AO26" s="9"/>
      <x:c r="AP26" s="9"/>
      <x:c r="AQ26" s="9"/>
      <x:c r="AR26" s="9" t="n">
        <x:v>213.39</x:v>
      </x:c>
      <x:c r="AS26" s="9" t="n">
        <x:v>191.87</x:v>
      </x:c>
      <x:c r="AT26" s="9" t="n">
        <x:v>154.5</x:v>
      </x:c>
      <x:c r="AU26" s="9" t="n">
        <x:v>129.69</x:v>
      </x:c>
      <x:c r="AV26" s="9" t="n">
        <x:v>8.91</x:v>
      </x:c>
      <x:c r="AW26" s="9" t="n">
        <x:v>0</x:v>
      </x:c>
      <x:c r="AX26" s="9" t="n">
        <x:v>17</x:v>
      </x:c>
      <x:c r="AY26" s="9" t="n">
        <x:v>18803.5</x:v>
      </x:c>
      <x:c r="AZ26" s="9" t="n">
        <x:v>0</x:v>
      </x:c>
      <x:c r="BA26" s="9"/>
      <x:c r="BB26" s="9"/>
      <x:c r="BC26" s="9" t="n">
        <x:v>22.78</x:v>
      </x:c>
      <x:c r="BD26" s="9"/>
      <x:c r="BE26" s="9" t="n">
        <x:v>19.06</x:v>
      </x:c>
      <x:c r="BF26" s="9" t="n">
        <x:v>26.18</x:v>
      </x:c>
      <x:c r="BG26" s="9" t="n">
        <x:v>30.79</x:v>
      </x:c>
      <x:c r="BH26" s="9" t="n">
        <x:v>17.41</x:v>
      </x:c>
      <x:c r="BI26" s="9" t="n">
        <x:v>42.71</x:v>
      </x:c>
      <x:c r="BJ26" s="9" t="n">
        <x:v>19.3</x:v>
      </x:c>
      <x:c r="BK26" s="9" t="n">
        <x:v>23.55</x:v>
      </x:c>
      <x:c r="BL26" s="9" t="n">
        <x:v>44.48</x:v>
      </x:c>
      <x:c r="BM26" s="9" t="n">
        <x:v>74.69</x:v>
      </x:c>
      <x:c r="BN26" s="9" t="n">
        <x:v>79.34</x:v>
      </x:c>
      <x:c r="BO26" s="9" t="n">
        <x:v>62.07</x:v>
      </x:c>
      <x:c r="BP26" s="9" t="n">
        <x:v>102.81</x:v>
      </x:c>
      <x:c r="BQ26" s="9" t="n">
        <x:v>39.94</x:v>
      </x:c>
      <x:c r="BR26" s="9" t="n">
        <x:v>29200</x:v>
      </x:c>
      <x:c r="BS26" s="9" t="n">
        <x:v>198800</x:v>
      </x:c>
      <x:c r="BT26" s="9" t="n">
        <x:v>311200</x:v>
      </x:c>
      <x:c r="BU26" s="9" t="n">
        <x:v>221100</x:v>
      </x:c>
      <x:c r="BV26" s="9" t="n">
        <x:v>220000</x:v>
      </x:c>
      <x:c r="BW26" s="9" t="n">
        <x:v>46000</x:v>
      </x:c>
      <x:c r="BX26" s="9" t="n">
        <x:v>40400</x:v>
      </x:c>
      <x:c r="BY26" s="9" t="n">
        <x:v>57300</x:v>
      </x:c>
      <x:c r="BZ26" s="9" t="n">
        <x:v>39300</x:v>
      </x:c>
      <x:c r="CA26" s="9" t="n">
        <x:v>15.75</x:v>
      </x:c>
      <x:c r="CB26" s="9" t="n">
        <x:v>16.505</x:v>
      </x:c>
      <x:c r="CC26" s="9" t="n">
        <x:v>92.01</x:v>
      </x:c>
      <x:c r="CD26" s="9" t="n">
        <x:v>32.08</x:v>
      </x:c>
      <x:c r="CE26" s="9" t="n">
        <x:v>182.99</x:v>
      </x:c>
      <x:c r="CF26" s="9" t="n">
        <x:v>47.37</x:v>
      </x:c>
      <x:c r="CG26" s="9" t="n">
        <x:v>34.28</x:v>
      </x:c>
      <x:c r="CH26" s="9" t="n">
        <x:v>7.33</x:v>
      </x:c>
      <x:c r="CI26" s="9" t="n">
        <x:v>5.43</x:v>
      </x:c>
      <x:c r="CJ26" s="9" t="n">
        <x:v>40.89</x:v>
      </x:c>
      <x:c r="CK26" s="9" t="n">
        <x:v>233.18</x:v>
      </x:c>
      <x:c r="CL26" s="9" t="n">
        <x:v>63.74</x:v>
      </x:c>
      <x:c r="CM26" s="9" t="n">
        <x:v>36.76</x:v>
      </x:c>
      <x:c r="CN26" s="9" t="n">
        <x:v>60.03</x:v>
      </x:c>
      <x:c r="CO26" s="9"/>
      <x:c r="CP26" s="9"/>
      <x:c r="CQ26" s="9"/>
      <x:c r="CR26" s="9"/>
      <x:c r="CS26" s="9" t="n">
        <x:v>39250.11</x:v>
      </x:c>
      <x:c r="CT26" s="9" t="n">
        <x:v>35960.6</x:v>
      </x:c>
      <x:c r="CU26" s="9" t="n">
        <x:v>1554.5</x:v>
      </x:c>
      <x:c r="CV26" s="9" t="n">
        <x:v>881.09</x:v>
      </x:c>
      <x:c r="CW26" s="9" t="n">
        <x:v>2010.19</x:v>
      </x:c>
      <x:c r="CX26" s="9" t="n">
        <x:v>1306.97</x:v>
      </x:c>
      <x:c r="CY26" s="9" t="n">
        <x:v>50904.61</x:v>
      </x:c>
      <x:c r="CZ26" s="9" t="n">
        <x:v>53309.48</x:v>
      </x:c>
      <x:c r="DA26" s="9" t="n">
        <x:v>51424.04</x:v>
      </x:c>
      <x:c r="DB26" s="9" t="n">
        <x:v>49033.45</x:v>
      </x:c>
      <x:c r="DC26" s="9" t="n">
        <x:v>53351.55</x:v>
      </x:c>
      <x:c r="DD26" s="9" t="n">
        <x:v>44204.19</x:v>
      </x:c>
      <x:c r="DE26" s="9" t="n">
        <x:v>21437.41</x:v>
      </x:c>
      <x:c r="DF26" s="9" t="n">
        <x:v>50815.67</x:v>
      </x:c>
      <x:c r="DG26" s="9" t="n">
        <x:v>95044.82</x:v>
      </x:c>
      <x:c r="DH26" s="9" t="n">
        <x:v>55703.02</x:v>
      </x:c>
      <x:c r="DI26" s="9" t="n">
        <x:v>92342.42</x:v>
      </x:c>
      <x:c r="DJ26" s="9" t="n">
        <x:v>52462.56</x:v>
      </x:c>
      <x:c r="DK26" s="9" t="n">
        <x:v>97036.68</x:v>
      </x:c>
      <x:c r="DL26" s="9" t="n">
        <x:v>52267.16</x:v>
      </x:c>
      <x:c r="DM26" s="9" t="n">
        <x:v>92085.29</x:v>
      </x:c>
      <x:c r="DN26" s="9" t="n">
        <x:v>56041.85</x:v>
      </x:c>
    </x:row>
    <x:row r="27" ht="24" customHeight="1">
      <x:c r="A27" s="3" t="n">
        <x:v>90</x:v>
      </x:c>
      <x:c r="B27" s="3" t="str">
        <x:v>1-辛醇</x:v>
      </x:c>
      <x:c r="C27" s="3" t="str">
        <x:v>1-octanol</x:v>
      </x:c>
      <x:c r="D27" s="3" t="str">
        <x:v>111-87-5</x:v>
      </x:c>
      <x:c r="E27" s="9" t="n">
        <x:v>1100</x:v>
      </x:c>
      <x:c r="F27" s="9" t="n">
        <x:v>439</x:v>
      </x:c>
      <x:c r="G27" s="9" t="n">
        <x:v>2101</x:v>
      </x:c>
      <x:c r="H27" s="9"/>
      <x:c r="I27" s="9"/>
      <x:c r="J27" s="9"/>
      <x:c r="K27" s="9"/>
      <x:c r="L27" s="9" t="n">
        <x:v>0.4</x:v>
      </x:c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R27" s="9" t="n">
        <x:v>1.54</x:v>
      </x:c>
      <x:c r="AS27" s="9" t="n">
        <x:v>2.01</x:v>
      </x:c>
      <x:c r="AT27" s="9" t="n">
        <x:v>1.14</x:v>
      </x:c>
      <x:c r="AU27" s="9" t="n">
        <x:v>1.18</x:v>
      </x:c>
      <x:c r="AV27" s="9"/>
      <x:c r="AW27" s="9"/>
      <x:c r="AX27" s="9"/>
      <x:c r="AY27" s="9"/>
      <x:c r="AZ27" s="9"/>
      <x:c r="BA27" s="9"/>
      <x:c r="BB27" s="9"/>
      <x:c r="BC27" s="9" t="n">
        <x:v>2089</x:v>
      </x:c>
      <x:c r="BD27" s="9"/>
      <x:c r="BE27" s="9" t="n">
        <x:v>3850</x:v>
      </x:c>
      <x:c r="BF27" s="9" t="n">
        <x:v>4474.12</x:v>
      </x:c>
      <x:c r="BG27" s="9" t="n">
        <x:v>5401.21</x:v>
      </x:c>
      <x:c r="BH27" s="9" t="n">
        <x:v>3505.32</x:v>
      </x:c>
      <x:c r="BI27" s="9" t="n">
        <x:v>3952.17</x:v>
      </x:c>
      <x:c r="BJ27" s="9" t="n">
        <x:v>3643.21</x:v>
      </x:c>
      <x:c r="BK27" s="9" t="n">
        <x:v>1990.18</x:v>
      </x:c>
      <x:c r="BL27" s="9" t="n">
        <x:v>7.22</x:v>
      </x:c>
      <x:c r="BM27" s="9" t="n">
        <x:v>5.63</x:v>
      </x:c>
      <x:c r="BN27" s="9" t="n">
        <x:v>12.87</x:v>
      </x:c>
      <x:c r="BO27" s="9" t="n">
        <x:v>5.4</x:v>
      </x:c>
      <x:c r="BP27" s="9" t="n">
        <x:v>10.4</x:v>
      </x:c>
      <x:c r="BQ27" s="9" t="n">
        <x:v>2363.29</x:v>
      </x:c>
      <x:c r="BR27" s="9"/>
      <x:c r="BS27" s="9"/>
      <x:c r="BT27" s="9"/>
      <x:c r="BU27" s="9"/>
      <x:c r="BV27" s="9"/>
      <x:c r="BW27" s="9"/>
      <x:c r="BX27" s="9"/>
      <x:c r="BY27" s="9"/>
      <x:c r="BZ27" s="9"/>
      <x:c r="CA27" s="9" t="n">
        <x:v>666.755</x:v>
      </x:c>
      <x:c r="CB27" s="9" t="n">
        <x:v>700.16</x:v>
      </x:c>
      <x:c r="CC27" s="9" t="n">
        <x:v>4151.36</x:v>
      </x:c>
      <x:c r="CD27" s="9" t="n">
        <x:v>2387.79</x:v>
      </x:c>
      <x:c r="CE27" s="9" t="n">
        <x:v>25642.45</x:v>
      </x:c>
      <x:c r="CF27" s="9" t="n">
        <x:v>3596.26</x:v>
      </x:c>
      <x:c r="CG27" s="9" t="n">
        <x:v>2021.28</x:v>
      </x:c>
      <x:c r="CH27" s="9" t="n">
        <x:v>338.15</x:v>
      </x:c>
      <x:c r="CI27" s="9" t="n">
        <x:v>222.64</x:v>
      </x:c>
      <x:c r="CJ27" s="9" t="n">
        <x:v>8783.43</x:v>
      </x:c>
      <x:c r="CK27" s="9" t="n">
        <x:v>6427.46</x:v>
      </x:c>
      <x:c r="CL27" s="9" t="n">
        <x:v>6962.59</x:v>
      </x:c>
      <x:c r="CM27" s="9" t="n">
        <x:v>2944.46</x:v>
      </x:c>
      <x:c r="CN27" s="9" t="n">
        <x:v>5139.59</x:v>
      </x:c>
      <x:c r="CO27" s="9"/>
      <x:c r="CP27" s="9"/>
      <x:c r="CQ27" s="9"/>
      <x:c r="CR27" s="9"/>
      <x:c r="CS27" s="9" t="n">
        <x:v>359.5</x:v>
      </x:c>
      <x:c r="CT27" s="9" t="n">
        <x:v>445.34</x:v>
      </x:c>
      <x:c r="CU27" s="9"/>
      <x:c r="CV27" s="9"/>
      <x:c r="CW27" s="9"/>
      <x:c r="CX27" s="9"/>
      <x:c r="CY27" s="9" t="n">
        <x:v>1232.25</x:v>
      </x:c>
      <x:c r="CZ27" s="9" t="n">
        <x:v>744.65</x:v>
      </x:c>
      <x:c r="DA27" s="9" t="n">
        <x:v>365.37</x:v>
      </x:c>
      <x:c r="DB27" s="9" t="n">
        <x:v>232.19</x:v>
      </x:c>
      <x:c r="DC27" s="9" t="n">
        <x:v>401.06</x:v>
      </x:c>
      <x:c r="DD27" s="9" t="n">
        <x:v>2568.54</x:v>
      </x:c>
      <x:c r="DE27" s="9" t="n">
        <x:v>1395.36</x:v>
      </x:c>
      <x:c r="DF27" s="9" t="n">
        <x:v>1736.29</x:v>
      </x:c>
      <x:c r="DG27" s="9" t="n">
        <x:v>462.73</x:v>
      </x:c>
      <x:c r="DH27" s="9" t="n">
        <x:v>1391.3</x:v>
      </x:c>
      <x:c r="DI27" s="9" t="n">
        <x:v>454.05</x:v>
      </x:c>
      <x:c r="DJ27" s="9" t="n">
        <x:v>1374.43</x:v>
      </x:c>
      <x:c r="DK27" s="9" t="n">
        <x:v>560.85</x:v>
      </x:c>
      <x:c r="DL27" s="9" t="n">
        <x:v>1387.77</x:v>
      </x:c>
      <x:c r="DM27" s="9" t="n">
        <x:v>485.97</x:v>
      </x:c>
      <x:c r="DN27" s="9" t="n">
        <x:v>390.42</x:v>
      </x:c>
    </x:row>
    <x:row r="28" ht="24" customHeight="1">
      <x:c r="A28" s="3" t="n">
        <x:v>105</x:v>
      </x:c>
      <x:c r="B28" s="3" t="str">
        <x:v>苯乙醛</x:v>
      </x:c>
      <x:c r="C28" s="3" t="str">
        <x:v>Phenylacetaldehyde</x:v>
      </x:c>
      <x:c r="D28" s="3" t="str">
        <x:v>122-78-1</x:v>
      </x:c>
      <x:c r="E28" s="9" t="n">
        <x:v>262</x:v>
      </x:c>
      <x:c r="F28" s="9" t="n">
        <x:v>1498</x:v>
      </x:c>
      <x:c r="G28" s="9" t="n">
        <x:v>1903</x:v>
      </x:c>
      <x:c r="H28" s="9" t="n">
        <x:v>3.03</x:v>
      </x:c>
      <x:c r="I28" s="9" t="n">
        <x:v>8.16</x:v>
      </x:c>
      <x:c r="J28" s="9"/>
      <x:c r="K28" s="9"/>
      <x:c r="L28" s="9"/>
      <x:c r="M28" s="9" t="n">
        <x:v>1733</x:v>
      </x:c>
      <x:c r="N28" s="9" t="n">
        <x:v>1783</x:v>
      </x:c>
      <x:c r="O28" s="9"/>
      <x:c r="P28" s="9"/>
      <x:c r="Q28" s="9"/>
      <x:c r="R28" s="9"/>
      <x:c r="S28" s="9"/>
      <x:c r="T28" s="9"/>
      <x:c r="U28" s="9"/>
      <x:c r="V28" s="9"/>
      <x:c r="W28" s="9"/>
      <x:c r="X28" s="9" t="n">
        <x:v>1070</x:v>
      </x:c>
      <x:c r="Y28" s="9"/>
      <x:c r="Z28" s="9" t="n">
        <x:v>548</x:v>
      </x:c>
      <x:c r="AA28" s="9"/>
      <x:c r="AB28" s="9"/>
      <x:c r="AC28" s="9"/>
      <x:c r="AD28" s="9"/>
      <x:c r="AE28" s="9"/>
      <x:c r="AF28" s="9" t="n">
        <x:v>4440</x:v>
      </x:c>
      <x:c r="AG28" s="9" t="n">
        <x:v>4840</x:v>
      </x:c>
      <x:c r="AH28" s="9" t="n">
        <x:v>15730</x:v>
      </x:c>
      <x:c r="AI28" s="9"/>
      <x:c r="AJ28" s="9"/>
      <x:c r="AK28" s="9"/>
      <x:c r="AL28" s="9" t="n">
        <x:v>5570</x:v>
      </x:c>
      <x:c r="AM28" s="9" t="n">
        <x:v>9760</x:v>
      </x:c>
      <x:c r="AN28" s="9"/>
      <x:c r="AO28" s="9"/>
      <x:c r="AP28" s="9"/>
      <x:c r="AQ28" s="9"/>
      <x:c r="AR28" s="9"/>
      <x:c r="AS28" s="9"/>
      <x:c r="AT28" s="9" t="n">
        <x:v>2.23</x:v>
      </x:c>
      <x:c r="AU28" s="9" t="n">
        <x:v>2.02</x:v>
      </x:c>
      <x:c r="AV28" s="9"/>
      <x:c r="AW28" s="9"/>
      <x:c r="AX28" s="9"/>
      <x:c r="AY28" s="9"/>
      <x:c r="AZ28" s="9"/>
      <x:c r="BA28" s="9"/>
      <x:c r="BB28" s="9" t="n">
        <x:v>1447</x:v>
      </x:c>
      <x:c r="BC28" s="9"/>
      <x:c r="BD28" s="9"/>
      <x:c r="BE28" s="9"/>
      <x:c r="BF28" s="9"/>
      <x:c r="BG28" s="9"/>
      <x:c r="BH28" s="9"/>
      <x:c r="BI28" s="9"/>
      <x:c r="BJ28" s="9"/>
      <x:c r="BK28" s="9"/>
      <x:c r="BL28" s="9"/>
      <x:c r="BM28" s="9"/>
      <x:c r="BN28" s="9"/>
      <x:c r="BO28" s="9"/>
      <x:c r="BP28" s="9"/>
      <x:c r="BQ28" s="9"/>
      <x:c r="BR28" s="9"/>
      <x:c r="BS28" s="9"/>
      <x:c r="BT28" s="9"/>
      <x:c r="BU28" s="9"/>
      <x:c r="BV28" s="9"/>
      <x:c r="BW28" s="9"/>
      <x:c r="BX28" s="9"/>
      <x:c r="BY28" s="9"/>
      <x:c r="BZ28" s="9"/>
      <x:c r="CA28" s="9" t="n">
        <x:v>100.77</x:v>
      </x:c>
      <x:c r="CB28" s="9" t="n">
        <x:v>95.78</x:v>
      </x:c>
      <x:c r="CC28" s="9" t="n">
        <x:v>0.05</x:v>
      </x:c>
      <x:c r="CD28" s="9"/>
      <x:c r="CE28" s="9"/>
      <x:c r="CF28" s="9" t="n">
        <x:v>0.61</x:v>
      </x:c>
      <x:c r="CG28" s="9" t="n">
        <x:v>0.95</x:v>
      </x:c>
      <x:c r="CH28" s="9" t="n">
        <x:v>1694.71</x:v>
      </x:c>
      <x:c r="CI28" s="9" t="n">
        <x:v>624.47</x:v>
      </x:c>
      <x:c r="CJ28" s="9" t="n">
        <x:v>3.93</x:v>
      </x:c>
      <x:c r="CK28" s="9" t="n">
        <x:v>1.81</x:v>
      </x:c>
      <x:c r="CL28" s="9" t="n">
        <x:v>1.48</x:v>
      </x:c>
      <x:c r="CM28" s="9" t="n">
        <x:v>1.09</x:v>
      </x:c>
      <x:c r="CN28" s="9" t="n">
        <x:v>1</x:v>
      </x:c>
      <x:c r="CO28" s="9"/>
      <x:c r="CP28" s="9"/>
      <x:c r="CQ28" s="9"/>
      <x:c r="CR28" s="9"/>
      <x:c r="CS28" s="9"/>
      <x:c r="CT28" s="9"/>
      <x:c r="CU28" s="9"/>
      <x:c r="CV28" s="9"/>
      <x:c r="CW28" s="9"/>
      <x:c r="CX28" s="9"/>
      <x:c r="CY28" s="9" t="n">
        <x:v>125.84</x:v>
      </x:c>
      <x:c r="CZ28" s="9" t="n">
        <x:v>1861.2</x:v>
      </x:c>
      <x:c r="DA28" s="9" t="n">
        <x:v>952.84</x:v>
      </x:c>
      <x:c r="DB28" s="9" t="n">
        <x:v>181.23</x:v>
      </x:c>
      <x:c r="DC28" s="9" t="n">
        <x:v>807.07</x:v>
      </x:c>
      <x:c r="DD28" s="9" t="n">
        <x:v>86.24</x:v>
      </x:c>
      <x:c r="DE28" s="9" t="n">
        <x:v>2076.28</x:v>
      </x:c>
      <x:c r="DF28" s="9" t="n">
        <x:v>192.48</x:v>
      </x:c>
      <x:c r="DG28" s="9" t="n">
        <x:v>4041.58</x:v>
      </x:c>
      <x:c r="DH28" s="9" t="n">
        <x:v>525.92</x:v>
      </x:c>
      <x:c r="DI28" s="9" t="n">
        <x:v>1174.4</x:v>
      </x:c>
      <x:c r="DJ28" s="9" t="n">
        <x:v>395.87</x:v>
      </x:c>
      <x:c r="DK28" s="9" t="n">
        <x:v>2178.92</x:v>
      </x:c>
      <x:c r="DL28" s="9" t="n">
        <x:v>298.18</x:v>
      </x:c>
      <x:c r="DM28" s="9" t="n">
        <x:v>3096.54</x:v>
      </x:c>
      <x:c r="DN28" s="9" t="n">
        <x:v>564.65</x:v>
      </x:c>
    </x:row>
    <x:row r="29" ht="24" customHeight="1">
      <x:c r="A29" s="3" t="n">
        <x:v>106</x:v>
      </x:c>
      <x:c r="B29" s="3" t="str">
        <x:v>4-乙基苯酚</x:v>
      </x:c>
      <x:c r="C29" s="3" t="str">
        <x:v>4-ethylphenol</x:v>
      </x:c>
      <x:c r="D29" s="3" t="str">
        <x:v>123-07-9</x:v>
      </x:c>
      <x:c r="E29" s="9" t="n">
        <x:v>123</x:v>
      </x:c>
      <x:c r="F29" s="9" t="n">
        <x:v>49</x:v>
      </x:c>
      <x:c r="G29" s="9" t="n">
        <x:v>11</x:v>
      </x:c>
      <x:c r="H29" s="9"/>
      <x:c r="I29" s="9" t="n">
        <x:v>0.26</x:v>
      </x:c>
      <x:c r="J29" s="9"/>
      <x:c r="K29" s="9" t="n">
        <x:v>0.36</x:v>
      </x:c>
      <x:c r="L29" s="9" t="n">
        <x:v>0.58</x:v>
      </x:c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 t="n">
        <x:v>1.625</x:v>
      </x:c>
      <x:c r="X29" s="9"/>
      <x:c r="Y29" s="9"/>
      <x:c r="Z29" s="9"/>
      <x:c r="AA29" s="9"/>
      <x:c r="AB29" s="9"/>
      <x:c r="AC29" s="9"/>
      <x:c r="AD29" s="9"/>
      <x:c r="AE29" s="9"/>
      <x:c r="AF29" s="9" t="n">
        <x:v>1720</x:v>
      </x:c>
      <x:c r="AG29" s="9"/>
      <x:c r="AH29" s="9"/>
      <x:c r="AI29" s="9"/>
      <x:c r="AJ29" s="9"/>
      <x:c r="AK29" s="9"/>
      <x:c r="AL29" s="9" t="n">
        <x:v>650</x:v>
      </x:c>
      <x:c r="AM29" s="9" t="n">
        <x:v>850</x:v>
      </x:c>
      <x:c r="AN29" s="9"/>
      <x:c r="AO29" s="9"/>
      <x:c r="AP29" s="9"/>
      <x:c r="AQ29" s="9"/>
      <x:c r="AR29" s="9"/>
      <x:c r="AS29" s="9"/>
      <x:c r="AT29" s="9"/>
      <x:c r="AU29" s="9"/>
      <x:c r="AV29" s="9"/>
      <x:c r="AW29" s="9"/>
      <x:c r="AX29" s="9"/>
      <x:c r="AY29" s="9"/>
      <x:c r="AZ29" s="9"/>
      <x:c r="BA29" s="9" t="n">
        <x:v>26</x:v>
      </x:c>
      <x:c r="BB29" s="9"/>
      <x:c r="BC29" s="9"/>
      <x:c r="BD29" s="9"/>
      <x:c r="BE29" s="9" t="n">
        <x:v>254.42</x:v>
      </x:c>
      <x:c r="BF29" s="9" t="n">
        <x:v>168.42</x:v>
      </x:c>
      <x:c r="BG29" s="9" t="n">
        <x:v>280.73</x:v>
      </x:c>
      <x:c r="BH29" s="9" t="n">
        <x:v>307.44</x:v>
      </x:c>
      <x:c r="BI29" s="9"/>
      <x:c r="BJ29" s="9" t="n">
        <x:v>373.32</x:v>
      </x:c>
      <x:c r="BK29" s="9"/>
      <x:c r="BL29" s="9" t="n">
        <x:v>1377</x:v>
      </x:c>
      <x:c r="BM29" s="9" t="n">
        <x:v>886.72</x:v>
      </x:c>
      <x:c r="BN29" s="9" t="n">
        <x:v>693.24</x:v>
      </x:c>
      <x:c r="BO29" s="9" t="n">
        <x:v>985.01</x:v>
      </x:c>
      <x:c r="BP29" s="9" t="n">
        <x:v>486.63</x:v>
      </x:c>
      <x:c r="BQ29" s="9"/>
      <x:c r="BR29" s="9"/>
      <x:c r="BS29" s="9"/>
      <x:c r="BT29" s="9"/>
      <x:c r="BU29" s="9"/>
      <x:c r="BV29" s="9"/>
      <x:c r="BW29" s="9"/>
      <x:c r="BX29" s="9"/>
      <x:c r="BY29" s="9"/>
      <x:c r="BZ29" s="9"/>
      <x:c r="CA29" s="9" t="n">
        <x:v>73.175</x:v>
      </x:c>
      <x:c r="CB29" s="9" t="n">
        <x:v>81.45</x:v>
      </x:c>
      <x:c r="CC29" s="9" t="n">
        <x:v>80.66</x:v>
      </x:c>
      <x:c r="CD29" s="9" t="n">
        <x:v>428.2</x:v>
      </x:c>
      <x:c r="CE29" s="9" t="n">
        <x:v>2501.24</x:v>
      </x:c>
      <x:c r="CF29" s="9" t="n">
        <x:v>796.48</x:v>
      </x:c>
      <x:c r="CG29" s="9" t="n">
        <x:v>298.9</x:v>
      </x:c>
      <x:c r="CH29" s="9" t="n">
        <x:v>38.05</x:v>
      </x:c>
      <x:c r="CI29" s="9" t="n">
        <x:v>22.28</x:v>
      </x:c>
      <x:c r="CJ29" s="9" t="n">
        <x:v>147.27</x:v>
      </x:c>
      <x:c r="CK29" s="9" t="n">
        <x:v>559.33</x:v>
      </x:c>
      <x:c r="CL29" s="9" t="n">
        <x:v>553.8</x:v>
      </x:c>
      <x:c r="CM29" s="9" t="n">
        <x:v>356.37</x:v>
      </x:c>
      <x:c r="CN29" s="9" t="n">
        <x:v>423.07</x:v>
      </x:c>
      <x:c r="CO29" s="9"/>
      <x:c r="CP29" s="9"/>
      <x:c r="CQ29" s="9"/>
      <x:c r="CR29" s="9"/>
      <x:c r="CS29" s="9" t="n">
        <x:v>55.02</x:v>
      </x:c>
      <x:c r="CT29" s="9" t="n">
        <x:v>24.28</x:v>
      </x:c>
      <x:c r="CU29" s="9"/>
      <x:c r="CV29" s="9"/>
      <x:c r="CW29" s="9"/>
      <x:c r="CX29" s="9"/>
      <x:c r="CY29" s="9" t="n">
        <x:v>12.17</x:v>
      </x:c>
      <x:c r="CZ29" s="9" t="n">
        <x:v>26.18</x:v>
      </x:c>
      <x:c r="DA29" s="9" t="n">
        <x:v>33.48</x:v>
      </x:c>
      <x:c r="DB29" s="9"/>
      <x:c r="DC29" s="9" t="n">
        <x:v>7.64</x:v>
      </x:c>
      <x:c r="DD29" s="9" t="n">
        <x:v>233.07</x:v>
      </x:c>
      <x:c r="DE29" s="9" t="n">
        <x:v>28.49</x:v>
      </x:c>
      <x:c r="DF29" s="9" t="n">
        <x:v>11.29</x:v>
      </x:c>
      <x:c r="DG29" s="9" t="n">
        <x:v>12.58</x:v>
      </x:c>
      <x:c r="DH29" s="9" t="n">
        <x:v>2.09</x:v>
      </x:c>
      <x:c r="DI29" s="9" t="n">
        <x:v>2.57</x:v>
      </x:c>
      <x:c r="DJ29" s="9" t="n">
        <x:v>2.3</x:v>
      </x:c>
      <x:c r="DK29" s="9" t="n">
        <x:v>3.44</x:v>
      </x:c>
      <x:c r="DL29" s="9" t="n">
        <x:v>0.66</x:v>
      </x:c>
      <x:c r="DM29" s="9" t="n">
        <x:v>12.51</x:v>
      </x:c>
      <x:c r="DN29" s="9" t="n">
        <x:v>2.85</x:v>
      </x:c>
    </x:row>
    <x:row r="30" ht="24" customHeight="1">
      <x:c r="A30" s="3" t="n">
        <x:v>110</x:v>
      </x:c>
      <x:c r="B30" s="3" t="str">
        <x:v>3-甲基-1-丁醇（异戊醇）</x:v>
      </x:c>
      <x:c r="C30" s="3" t="str">
        <x:v>3-Methyl-1-butanol</x:v>
      </x:c>
      <x:c r="D30" s="3" t="str">
        <x:v>123-51-3</x:v>
      </x:c>
      <x:c r="E30" s="9" t="n">
        <x:v>179191</x:v>
      </x:c>
      <x:c r="F30" s="9" t="n">
        <x:v>142068</x:v>
      </x:c>
      <x:c r="G30" s="9" t="n">
        <x:v>84178</x:v>
      </x:c>
      <x:c r="H30" s="9" t="n">
        <x:v>3.73</x:v>
      </x:c>
      <x:c r="I30" s="9"/>
      <x:c r="J30" s="9" t="n">
        <x:v>0.59</x:v>
      </x:c>
      <x:c r="K30" s="9" t="n">
        <x:v>31.74</x:v>
      </x:c>
      <x:c r="L30" s="9" t="n">
        <x:v>34.52</x:v>
      </x:c>
      <x:c r="M30" s="9" t="n">
        <x:v>379229</x:v>
      </x:c>
      <x:c r="N30" s="9" t="n">
        <x:v>316720</x:v>
      </x:c>
      <x:c r="O30" s="9"/>
      <x:c r="P30" s="9"/>
      <x:c r="Q30" s="9"/>
      <x:c r="R30" s="9"/>
      <x:c r="S30" s="9"/>
      <x:c r="T30" s="9"/>
      <x:c r="U30" s="9" t="n">
        <x:v>2</x:v>
      </x:c>
      <x:c r="V30" s="9" t="n">
        <x:v>1</x:v>
      </x:c>
      <x:c r="W30" s="9"/>
      <x:c r="X30" s="9" t="n">
        <x:v>372000</x:v>
      </x:c>
      <x:c r="Y30" s="9" t="n">
        <x:v>226000</x:v>
      </x:c>
      <x:c r="Z30" s="9" t="n">
        <x:v>196000</x:v>
      </x:c>
      <x:c r="AA30" s="9" t="n">
        <x:v>202000</x:v>
      </x:c>
      <x:c r="AB30" s="9" t="n">
        <x:v>188000</x:v>
      </x:c>
      <x:c r="AC30" s="9" t="n">
        <x:v>170000</x:v>
      </x:c>
      <x:c r="AD30" s="9" t="n">
        <x:v>118000</x:v>
      </x:c>
      <x:c r="AE30" s="9" t="n">
        <x:v>79100</x:v>
      </x:c>
      <x:c r="AF30" s="9" t="n">
        <x:v>301360</x:v>
      </x:c>
      <x:c r="AG30" s="9" t="n">
        <x:v>294960</x:v>
      </x:c>
      <x:c r="AH30" s="9" t="n">
        <x:v>70655</x:v>
      </x:c>
      <x:c r="AI30" s="9" t="n">
        <x:v>7930</x:v>
      </x:c>
      <x:c r="AJ30" s="9" t="n">
        <x:v>29840</x:v>
      </x:c>
      <x:c r="AK30" s="9" t="n">
        <x:v>18300</x:v>
      </x:c>
      <x:c r="AL30" s="9" t="n">
        <x:v>543310</x:v>
      </x:c>
      <x:c r="AM30" s="9" t="n">
        <x:v>1132450</x:v>
      </x:c>
      <x:c r="AN30" s="9"/>
      <x:c r="AO30" s="9"/>
      <x:c r="AP30" s="9"/>
      <x:c r="AQ30" s="9"/>
      <x:c r="AR30" s="9" t="n">
        <x:v>180.29</x:v>
      </x:c>
      <x:c r="AS30" s="9" t="n">
        <x:v>130.5</x:v>
      </x:c>
      <x:c r="AT30" s="9" t="n">
        <x:v>96.75</x:v>
      </x:c>
      <x:c r="AU30" s="9" t="n">
        <x:v>77.13</x:v>
      </x:c>
      <x:c r="AV30" s="9" t="n">
        <x:v>1710.45</x:v>
      </x:c>
      <x:c r="AW30" s="9" t="n">
        <x:v>29033.6667</x:v>
      </x:c>
      <x:c r="AX30" s="9" t="n">
        <x:v>1</x:v>
      </x:c>
      <x:c r="AY30" s="9" t="n">
        <x:v>61100.3333</x:v>
      </x:c>
      <x:c r="AZ30" s="9" t="n">
        <x:v>90450</x:v>
      </x:c>
      <x:c r="BA30" s="9"/>
      <x:c r="BB30" s="9"/>
      <x:c r="BC30" s="9" t="n">
        <x:v>193.12</x:v>
      </x:c>
      <x:c r="BD30" s="9"/>
      <x:c r="BE30" s="9" t="n">
        <x:v>245.12</x:v>
      </x:c>
      <x:c r="BF30" s="9" t="n">
        <x:v>278.12</x:v>
      </x:c>
      <x:c r="BG30" s="9" t="n">
        <x:v>242.89</x:v>
      </x:c>
      <x:c r="BH30" s="9" t="n">
        <x:v>181.43</x:v>
      </x:c>
      <x:c r="BI30" s="9" t="n">
        <x:v>230.51</x:v>
      </x:c>
      <x:c r="BJ30" s="9" t="n">
        <x:v>169.23</x:v>
      </x:c>
      <x:c r="BK30" s="9" t="n">
        <x:v>73.01</x:v>
      </x:c>
      <x:c r="BL30" s="9" t="n">
        <x:v>585.37</x:v>
      </x:c>
      <x:c r="BM30" s="9" t="n">
        <x:v>451.89</x:v>
      </x:c>
      <x:c r="BN30" s="9" t="n">
        <x:v>612.33</x:v>
      </x:c>
      <x:c r="BO30" s="9" t="n">
        <x:v>532.23</x:v>
      </x:c>
      <x:c r="BP30" s="9" t="n">
        <x:v>586.72</x:v>
      </x:c>
      <x:c r="BQ30" s="9" t="n">
        <x:v>374.73</x:v>
      </x:c>
      <x:c r="BR30" s="9" t="n">
        <x:v>705500</x:v>
      </x:c>
      <x:c r="BS30" s="9" t="n">
        <x:v>462000</x:v>
      </x:c>
      <x:c r="BT30" s="9" t="n">
        <x:v>378300</x:v>
      </x:c>
      <x:c r="BU30" s="9" t="n">
        <x:v>411600</x:v>
      </x:c>
      <x:c r="BV30" s="9" t="n">
        <x:v>217200</x:v>
      </x:c>
      <x:c r="BW30" s="9" t="n">
        <x:v>316900</x:v>
      </x:c>
      <x:c r="BX30" s="9" t="n">
        <x:v>169600</x:v>
      </x:c>
      <x:c r="BY30" s="9" t="n">
        <x:v>357500</x:v>
      </x:c>
      <x:c r="BZ30" s="9" t="n">
        <x:v>165800</x:v>
      </x:c>
      <x:c r="CA30" s="9" t="n">
        <x:v>142.23</x:v>
      </x:c>
      <x:c r="CB30" s="9" t="n">
        <x:v>132.53</x:v>
      </x:c>
      <x:c r="CC30" s="9" t="n">
        <x:v>265.37</x:v>
      </x:c>
      <x:c r="CD30" s="9" t="n">
        <x:v>133.32</x:v>
      </x:c>
      <x:c r="CE30" s="9" t="n">
        <x:v>305.57</x:v>
      </x:c>
      <x:c r="CF30" s="9" t="n">
        <x:v>256.65</x:v>
      </x:c>
      <x:c r="CG30" s="9" t="n">
        <x:v>292.03</x:v>
      </x:c>
      <x:c r="CH30" s="9" t="n">
        <x:v>104.05</x:v>
      </x:c>
      <x:c r="CI30" s="9" t="n">
        <x:v>123.51</x:v>
      </x:c>
      <x:c r="CJ30" s="9" t="n">
        <x:v>280.56</x:v>
      </x:c>
      <x:c r="CK30" s="9" t="n">
        <x:v>308.33</x:v>
      </x:c>
      <x:c r="CL30" s="9" t="n">
        <x:v>264</x:v>
      </x:c>
      <x:c r="CM30" s="9" t="n">
        <x:v>268.84</x:v>
      </x:c>
      <x:c r="CN30" s="9" t="n">
        <x:v>229.9</x:v>
      </x:c>
      <x:c r="CO30" s="9"/>
      <x:c r="CP30" s="9"/>
      <x:c r="CQ30" s="9"/>
      <x:c r="CR30" s="9"/>
      <x:c r="CS30" s="9" t="n">
        <x:v>144692</x:v>
      </x:c>
      <x:c r="CT30" s="9" t="n">
        <x:v>158011</x:v>
      </x:c>
      <x:c r="CU30" s="9" t="n">
        <x:v>1466.41</x:v>
      </x:c>
      <x:c r="CV30" s="9" t="n">
        <x:v>1075.24</x:v>
      </x:c>
      <x:c r="CW30" s="9" t="n">
        <x:v>1545.967</x:v>
      </x:c>
      <x:c r="CX30" s="9" t="n">
        <x:v>1693.07</x:v>
      </x:c>
      <x:c r="CY30" s="9" t="n">
        <x:v>77286.36</x:v>
      </x:c>
      <x:c r="CZ30" s="9" t="n">
        <x:v>72516.37</x:v>
      </x:c>
      <x:c r="DA30" s="9" t="n">
        <x:v>70460.39</x:v>
      </x:c>
      <x:c r="DB30" s="9" t="n">
        <x:v>6334.31</x:v>
      </x:c>
      <x:c r="DC30" s="9" t="n">
        <x:v>75556.69</x:v>
      </x:c>
      <x:c r="DD30" s="9" t="n">
        <x:v>54302.29</x:v>
      </x:c>
      <x:c r="DE30" s="9" t="n">
        <x:v>86930.8</x:v>
      </x:c>
      <x:c r="DF30" s="9" t="n">
        <x:v>70195.68</x:v>
      </x:c>
      <x:c r="DG30" s="9" t="n">
        <x:v>127468.24</x:v>
      </x:c>
      <x:c r="DH30" s="9" t="n">
        <x:v>51111.14</x:v>
      </x:c>
      <x:c r="DI30" s="9" t="n">
        <x:v>106538.92</x:v>
      </x:c>
      <x:c r="DJ30" s="9" t="n">
        <x:v>78724.91</x:v>
      </x:c>
      <x:c r="DK30" s="9" t="n">
        <x:v>96718.98</x:v>
      </x:c>
      <x:c r="DL30" s="9" t="n">
        <x:v>43622.21</x:v>
      </x:c>
      <x:c r="DM30" s="9" t="n">
        <x:v>156792.75</x:v>
      </x:c>
      <x:c r="DN30" s="9" t="n">
        <x:v>62236.9</x:v>
      </x:c>
    </x:row>
    <x:row r="31" ht="24" customHeight="1">
      <x:c r="A31" s="3" t="n">
        <x:v>111</x:v>
      </x:c>
      <x:c r="B31" s="3" t="str">
        <x:v>己酸乙酯</x:v>
      </x:c>
      <x:c r="C31" s="3" t="str">
        <x:v>Ethyl Hexanoate</x:v>
      </x:c>
      <x:c r="D31" s="3" t="str">
        <x:v>123-66-0</x:v>
      </x:c>
      <x:c r="E31" s="9" t="n">
        <x:v>55.3</x:v>
      </x:c>
      <x:c r="F31" s="9" t="n">
        <x:v>1487026</x:v>
      </x:c>
      <x:c r="G31" s="9" t="n">
        <x:v>7606936</x:v>
      </x:c>
      <x:c r="H31" s="9" t="n">
        <x:v>5320.56</x:v>
      </x:c>
      <x:c r="I31" s="9" t="n">
        <x:v>972.62</x:v>
      </x:c>
      <x:c r="J31" s="9" t="n">
        <x:v>1104.58</x:v>
      </x:c>
      <x:c r="K31" s="9" t="n">
        <x:v>6009.12</x:v>
      </x:c>
      <x:c r="L31" s="9" t="n">
        <x:v>918.62</x:v>
      </x:c>
      <x:c r="M31" s="9" t="n">
        <x:v>873258</x:v>
      </x:c>
      <x:c r="N31" s="9" t="n">
        <x:v>738302</x:v>
      </x:c>
      <x:c r="O31" s="9" t="n">
        <x:v>1170524</x:v>
      </x:c>
      <x:c r="P31" s="9" t="n">
        <x:v>1264031</x:v>
      </x:c>
      <x:c r="Q31" s="9" t="n">
        <x:v>1261510</x:v>
      </x:c>
      <x:c r="R31" s="9" t="n">
        <x:v>1206133</x:v>
      </x:c>
      <x:c r="S31" s="9" t="n">
        <x:v>1251237</x:v>
      </x:c>
      <x:c r="T31" s="9" t="n">
        <x:v>1217046</x:v>
      </x:c>
      <x:c r="U31" s="9" t="n">
        <x:v>53306</x:v>
      </x:c>
      <x:c r="V31" s="9" t="n">
        <x:v>44759</x:v>
      </x:c>
      <x:c r="W31" s="9"/>
      <x:c r="X31" s="9" t="n">
        <x:v>2559000</x:v>
      </x:c>
      <x:c r="Y31" s="9" t="n">
        <x:v>1157000</x:v>
      </x:c>
      <x:c r="Z31" s="9" t="n">
        <x:v>1092000</x:v>
      </x:c>
      <x:c r="AA31" s="9" t="n">
        <x:v>879000</x:v>
      </x:c>
      <x:c r="AB31" s="9" t="n">
        <x:v>861000</x:v>
      </x:c>
      <x:c r="AC31" s="9" t="n">
        <x:v>679000</x:v>
      </x:c>
      <x:c r="AD31" s="9" t="n">
        <x:v>714000</x:v>
      </x:c>
      <x:c r="AE31" s="9" t="n">
        <x:v>421000</x:v>
      </x:c>
      <x:c r="AF31" s="9" t="n">
        <x:v>4506040</x:v>
      </x:c>
      <x:c r="AG31" s="9" t="n">
        <x:v>1661120</x:v>
      </x:c>
      <x:c r="AH31" s="9" t="n">
        <x:v>9622120</x:v>
      </x:c>
      <x:c r="AI31" s="9" t="n">
        <x:v>139920</x:v>
      </x:c>
      <x:c r="AJ31" s="9"/>
      <x:c r="AK31" s="9"/>
      <x:c r="AL31" s="9" t="n">
        <x:v>1070730</x:v>
      </x:c>
      <x:c r="AM31" s="9" t="n">
        <x:v>1223340</x:v>
      </x:c>
      <x:c r="AN31" s="9" t="n">
        <x:v>237410</x:v>
      </x:c>
      <x:c r="AO31" s="9" t="n">
        <x:v>248870</x:v>
      </x:c>
      <x:c r="AP31" s="9" t="n">
        <x:v>217810</x:v>
      </x:c>
      <x:c r="AQ31" s="9" t="n">
        <x:v>215340</x:v>
      </x:c>
      <x:c r="AR31" s="9" t="n">
        <x:v>4429.18</x:v>
      </x:c>
      <x:c r="AS31" s="9" t="n">
        <x:v>2674.13</x:v>
      </x:c>
      <x:c r="AT31" s="9" t="n">
        <x:v>2841.03</x:v>
      </x:c>
      <x:c r="AU31" s="9" t="n">
        <x:v>3044.75</x:v>
      </x:c>
      <x:c r="AV31" s="9" t="n">
        <x:v>1716.59</x:v>
      </x:c>
      <x:c r="AW31" s="9" t="n">
        <x:v>310006.5</x:v>
      </x:c>
      <x:c r="AX31" s="9" t="n">
        <x:v>23501</x:v>
      </x:c>
      <x:c r="AY31" s="9" t="n">
        <x:v>663994</x:v>
      </x:c>
      <x:c r="AZ31" s="9" t="n">
        <x:v>402800</x:v>
      </x:c>
      <x:c r="BA31" s="9" t="n">
        <x:v>22570</x:v>
      </x:c>
      <x:c r="BB31" s="9" t="n">
        <x:v>24350</x:v>
      </x:c>
      <x:c r="BC31" s="9" t="n">
        <x:v>882.91</x:v>
      </x:c>
      <x:c r="BD31" s="9" t="n">
        <x:v>42320.5</x:v>
      </x:c>
      <x:c r="BE31" s="9" t="n">
        <x:v>1227</x:v>
      </x:c>
      <x:c r="BF31" s="9" t="n">
        <x:v>18502.435</x:v>
      </x:c>
      <x:c r="BG31" s="9" t="n">
        <x:v>12030.56</x:v>
      </x:c>
      <x:c r="BH31" s="9" t="n">
        <x:v>833.64</x:v>
      </x:c>
      <x:c r="BI31" s="9" t="n">
        <x:v>1242</x:v>
      </x:c>
      <x:c r="BJ31" s="9" t="n">
        <x:v>932.76</x:v>
      </x:c>
      <x:c r="BK31" s="9" t="n">
        <x:v>1387.89</x:v>
      </x:c>
      <x:c r="BL31" s="9" t="n">
        <x:v>3765.12</x:v>
      </x:c>
      <x:c r="BM31" s="9" t="n">
        <x:v>4876.22</x:v>
      </x:c>
      <x:c r="BN31" s="9" t="n">
        <x:v>3731.34</x:v>
      </x:c>
      <x:c r="BO31" s="9" t="n">
        <x:v>5290</x:v>
      </x:c>
      <x:c r="BP31" s="9" t="n">
        <x:v>5649.12</x:v>
      </x:c>
      <x:c r="BQ31" s="9" t="n">
        <x:v>1591</x:v>
      </x:c>
      <x:c r="BR31" s="9"/>
      <x:c r="BS31" s="9"/>
      <x:c r="BT31" s="9"/>
      <x:c r="BU31" s="9"/>
      <x:c r="BV31" s="9"/>
      <x:c r="BW31" s="9"/>
      <x:c r="BX31" s="9"/>
      <x:c r="BY31" s="9"/>
      <x:c r="BZ31" s="9"/>
      <x:c r="CA31" s="9" t="n">
        <x:v>43458.58</x:v>
      </x:c>
      <x:c r="CB31" s="9" t="n">
        <x:v>38153.7833</x:v>
      </x:c>
      <x:c r="CC31" s="9" t="n">
        <x:v>3062.4</x:v>
      </x:c>
      <x:c r="CD31" s="9" t="n">
        <x:v>2167.22</x:v>
      </x:c>
      <x:c r="CE31" s="9" t="n">
        <x:v>4487.77</x:v>
      </x:c>
      <x:c r="CF31" s="9" t="n">
        <x:v>3933.88</x:v>
      </x:c>
      <x:c r="CG31" s="9" t="n">
        <x:v>2893.43</x:v>
      </x:c>
      <x:c r="CH31" s="9" t="n">
        <x:v>2755.54</x:v>
      </x:c>
      <x:c r="CI31" s="9" t="n">
        <x:v>2264.64</x:v>
      </x:c>
      <x:c r="CJ31" s="9" t="n">
        <x:v>6252.87</x:v>
      </x:c>
      <x:c r="CK31" s="9" t="n">
        <x:v>9768.31</x:v>
      </x:c>
      <x:c r="CL31" s="9" t="n">
        <x:v>7100.35</x:v>
      </x:c>
      <x:c r="CM31" s="9" t="n">
        <x:v>3504.34</x:v>
      </x:c>
      <x:c r="CN31" s="9" t="n">
        <x:v>3762.84</x:v>
      </x:c>
      <x:c r="CO31" s="9" t="n">
        <x:v>1994140</x:v>
      </x:c>
      <x:c r="CP31" s="9" t="n">
        <x:v>2247632</x:v>
      </x:c>
      <x:c r="CQ31" s="9" t="n">
        <x:v>1522349</x:v>
      </x:c>
      <x:c r="CR31" s="9" t="n">
        <x:v>1650259</x:v>
      </x:c>
      <x:c r="CS31" s="9"/>
      <x:c r="CT31" s="9"/>
      <x:c r="CU31" s="9" t="n">
        <x:v>38457.74</x:v>
      </x:c>
      <x:c r="CV31" s="9" t="n">
        <x:v>24672.42</x:v>
      </x:c>
      <x:c r="CW31" s="9" t="n">
        <x:v>38680.71</x:v>
      </x:c>
      <x:c r="CX31" s="9" t="n">
        <x:v>35069.61</x:v>
      </x:c>
      <x:c r="CY31" s="9" t="n">
        <x:v>1267567.98</x:v>
      </x:c>
      <x:c r="CZ31" s="9" t="n">
        <x:v>1574451.42</x:v>
      </x:c>
      <x:c r="DA31" s="9" t="n">
        <x:v>1550172.11</x:v>
      </x:c>
      <x:c r="DB31" s="9" t="n">
        <x:v>1262054.68</x:v>
      </x:c>
      <x:c r="DC31" s="9" t="n">
        <x:v>1508633.18</x:v>
      </x:c>
      <x:c r="DD31" s="9" t="n">
        <x:v>1245618.62</x:v>
      </x:c>
      <x:c r="DE31" s="9" t="n">
        <x:v>1617237.25</x:v>
      </x:c>
      <x:c r="DF31" s="9" t="n">
        <x:v>1275952.74</x:v>
      </x:c>
      <x:c r="DG31" s="9" t="n">
        <x:v>1554592.27</x:v>
      </x:c>
      <x:c r="DH31" s="9" t="n">
        <x:v>1514600.27</x:v>
      </x:c>
      <x:c r="DI31" s="9" t="n">
        <x:v>1523605.62</x:v>
      </x:c>
      <x:c r="DJ31" s="9" t="n">
        <x:v>1345945.06</x:v>
      </x:c>
      <x:c r="DK31" s="9" t="n">
        <x:v>1533231.71</x:v>
      </x:c>
      <x:c r="DL31" s="9" t="n">
        <x:v>1316390.89</x:v>
      </x:c>
      <x:c r="DM31" s="9" t="n">
        <x:v>1690430.99</x:v>
      </x:c>
      <x:c r="DN31" s="9" t="n">
        <x:v>1413435.62</x:v>
      </x:c>
    </x:row>
    <x:row r="32" ht="24" customHeight="1">
      <x:c r="A32" s="3" t="n">
        <x:v>114</x:v>
      </x:c>
      <x:c r="B32" s="3" t="str">
        <x:v>乙酸丁酯</x:v>
      </x:c>
      <x:c r="C32" s="3" t="str">
        <x:v>Butyl acetate</x:v>
      </x:c>
      <x:c r="D32" s="3" t="str">
        <x:v>123-86-4</x:v>
      </x:c>
      <x:c r="E32" s="9" t="n">
        <x:v>1800</x:v>
      </x:c>
      <x:c r="F32" s="9"/>
      <x:c r="G32" s="9"/>
      <x:c r="H32" s="9"/>
      <x:c r="I32" s="9"/>
      <x:c r="J32" s="9"/>
      <x:c r="K32" s="9"/>
      <x:c r="L32" s="9"/>
      <x:c r="M32" s="9" t="n">
        <x:v>4971</x:v>
      </x:c>
      <x:c r="N32" s="9" t="n">
        <x:v>4316</x:v>
      </x:c>
      <x:c r="O32" s="9"/>
      <x:c r="P32" s="9"/>
      <x:c r="Q32" s="9"/>
      <x:c r="R32" s="9"/>
      <x:c r="S32" s="9"/>
      <x:c r="T32" s="9"/>
      <x:c r="U32" s="9"/>
      <x:c r="V32" s="9"/>
      <x:c r="W32" s="9"/>
      <x:c r="X32" s="9" t="n">
        <x:v>47100</x:v>
      </x:c>
      <x:c r="Y32" s="9" t="n">
        <x:v>6420</x:v>
      </x:c>
      <x:c r="Z32" s="9" t="n">
        <x:v>4170</x:v>
      </x:c>
      <x:c r="AA32" s="9" t="n">
        <x:v>2920</x:v>
      </x:c>
      <x:c r="AB32" s="9" t="n">
        <x:v>2070</x:v>
      </x:c>
      <x:c r="AC32" s="9" t="n">
        <x:v>1390</x:v>
      </x:c>
      <x:c r="AD32" s="9" t="n">
        <x:v>625</x:v>
      </x:c>
      <x:c r="AE32" s="9" t="n">
        <x:v>431</x:v>
      </x:c>
      <x:c r="AF32" s="9"/>
      <x:c r="AG32" s="9"/>
      <x:c r="AH32" s="9"/>
      <x:c r="AI32" s="9"/>
      <x:c r="AJ32" s="9"/>
      <x:c r="AK32" s="9"/>
      <x:c r="AL32" s="9"/>
      <x:c r="AM32" s="9"/>
      <x:c r="AN32" s="9"/>
      <x:c r="AO32" s="9"/>
      <x:c r="AP32" s="9"/>
      <x:c r="AQ32" s="9"/>
      <x:c r="AR32" s="9"/>
      <x:c r="AS32" s="9"/>
      <x:c r="AT32" s="9"/>
      <x:c r="AU32" s="9"/>
      <x:c r="AV32" s="9"/>
      <x:c r="AW32" s="9"/>
      <x:c r="AX32" s="9"/>
      <x:c r="AY32" s="9"/>
      <x:c r="AZ32" s="9"/>
      <x:c r="BA32" s="9" t="n">
        <x:v>1865</x:v>
      </x:c>
      <x:c r="BB32" s="9" t="n">
        <x:v>2623</x:v>
      </x:c>
      <x:c r="BC32" s="9"/>
      <x:c r="BD32" s="9"/>
      <x:c r="BE32" s="9"/>
      <x:c r="BF32" s="9"/>
      <x:c r="BG32" s="9"/>
      <x:c r="BH32" s="9"/>
      <x:c r="BI32" s="9"/>
      <x:c r="BJ32" s="9"/>
      <x:c r="BK32" s="9"/>
      <x:c r="BL32" s="9"/>
      <x:c r="BM32" s="9"/>
      <x:c r="BN32" s="9"/>
      <x:c r="BO32" s="9"/>
      <x:c r="BP32" s="9"/>
      <x:c r="BQ32" s="9"/>
      <x:c r="BR32" s="9"/>
      <x:c r="BS32" s="9"/>
      <x:c r="BT32" s="9"/>
      <x:c r="BU32" s="9"/>
      <x:c r="BV32" s="9"/>
      <x:c r="BW32" s="9"/>
      <x:c r="BX32" s="9"/>
      <x:c r="BY32" s="9"/>
      <x:c r="BZ32" s="9"/>
      <x:c r="CA32" s="9"/>
      <x:c r="CB32" s="9"/>
      <x:c r="CC32" s="9"/>
      <x:c r="CD32" s="9"/>
      <x:c r="CE32" s="9"/>
      <x:c r="CF32" s="9"/>
      <x:c r="CG32" s="9"/>
      <x:c r="CH32" s="9"/>
      <x:c r="CI32" s="9"/>
      <x:c r="CJ32" s="9"/>
      <x:c r="CK32" s="9"/>
      <x:c r="CL32" s="9"/>
      <x:c r="CM32" s="9"/>
      <x:c r="CN32" s="9"/>
      <x:c r="CO32" s="9"/>
      <x:c r="CP32" s="9"/>
      <x:c r="CQ32" s="9"/>
      <x:c r="CR32" s="9"/>
      <x:c r="CS32" s="9" t="n">
        <x:v>9.45</x:v>
      </x:c>
      <x:c r="CT32" s="9" t="n">
        <x:v>486.19</x:v>
      </x:c>
      <x:c r="CU32" s="9"/>
      <x:c r="CV32" s="9"/>
      <x:c r="CW32" s="9"/>
      <x:c r="CX32" s="9"/>
      <x:c r="CY32" s="9" t="n">
        <x:v>3193.61</x:v>
      </x:c>
      <x:c r="CZ32" s="9" t="n">
        <x:v>6287.21</x:v>
      </x:c>
      <x:c r="DA32" s="9" t="n">
        <x:v>3102.28</x:v>
      </x:c>
      <x:c r="DB32" s="9" t="n">
        <x:v>1855.77</x:v>
      </x:c>
      <x:c r="DC32" s="9" t="n">
        <x:v>7222.92</x:v>
      </x:c>
      <x:c r="DD32" s="9" t="n">
        <x:v>2057.76</x:v>
      </x:c>
      <x:c r="DE32" s="9" t="n">
        <x:v>5983.94</x:v>
      </x:c>
      <x:c r="DF32" s="9" t="n">
        <x:v>3756.86</x:v>
      </x:c>
      <x:c r="DG32" s="9" t="n">
        <x:v>3470.58</x:v>
      </x:c>
      <x:c r="DH32" s="9" t="n">
        <x:v>1893.52</x:v>
      </x:c>
      <x:c r="DI32" s="9" t="n">
        <x:v>4203.57</x:v>
      </x:c>
      <x:c r="DJ32" s="9" t="n">
        <x:v>2005.74</x:v>
      </x:c>
      <x:c r="DK32" s="9" t="n">
        <x:v>5487.18</x:v>
      </x:c>
      <x:c r="DL32" s="9" t="n">
        <x:v>2017.62</x:v>
      </x:c>
      <x:c r="DM32" s="9" t="n">
        <x:v>7707.87</x:v>
      </x:c>
      <x:c r="DN32" s="9" t="n">
        <x:v>3869.22</x:v>
      </x:c>
    </x:row>
    <x:row r="33" ht="24" customHeight="1">
      <x:c r="A33" s="3" t="n">
        <x:v>115</x:v>
      </x:c>
      <x:c r="B33" s="3" t="str">
        <x:v>乙酸异戊酯</x:v>
      </x:c>
      <x:c r="C33" s="3" t="str">
        <x:v>Isoamyl acetate</x:v>
      </x:c>
      <x:c r="D33" s="3" t="str">
        <x:v>123-92-2</x:v>
      </x:c>
      <x:c r="E33" s="9" t="n">
        <x:v>93.9</x:v>
      </x:c>
      <x:c r="F33" s="9"/>
      <x:c r="G33" s="9"/>
      <x:c r="H33" s="9"/>
      <x:c r="I33" s="9" t="n">
        <x:v>5.9</x:v>
      </x:c>
      <x:c r="J33" s="9"/>
      <x:c r="K33" s="9" t="n">
        <x:v>2.27</x:v>
      </x:c>
      <x:c r="L33" s="9"/>
      <x:c r="M33" s="9" t="n">
        <x:v>2885</x:v>
      </x:c>
      <x:c r="N33" s="9" t="n">
        <x:v>2236</x:v>
      </x:c>
      <x:c r="O33" s="9" t="n">
        <x:v>3519</x:v>
      </x:c>
      <x:c r="P33" s="9" t="n">
        <x:v>5488</x:v>
      </x:c>
      <x:c r="Q33" s="9" t="n">
        <x:v>6410</x:v>
      </x:c>
      <x:c r="R33" s="9" t="n">
        <x:v>5322</x:v>
      </x:c>
      <x:c r="S33" s="9" t="n">
        <x:v>5084</x:v>
      </x:c>
      <x:c r="T33" s="9" t="n">
        <x:v>6516</x:v>
      </x:c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 t="n">
        <x:v>4280</x:v>
      </x:c>
      <x:c r="AJ33" s="9" t="n">
        <x:v>4060</x:v>
      </x:c>
      <x:c r="AK33" s="9" t="n">
        <x:v>4200</x:v>
      </x:c>
      <x:c r="AL33" s="9"/>
      <x:c r="AM33" s="9"/>
      <x:c r="AN33" s="9"/>
      <x:c r="AO33" s="9"/>
      <x:c r="AP33" s="9"/>
      <x:c r="AQ33" s="9"/>
      <x:c r="AR33" s="9" t="n">
        <x:v>17.4</x:v>
      </x:c>
      <x:c r="AS33" s="9" t="n">
        <x:v>7.78</x:v>
      </x:c>
      <x:c r="AT33" s="9" t="n">
        <x:v>3.6</x:v>
      </x:c>
      <x:c r="AU33" s="9" t="n">
        <x:v>5.42</x:v>
      </x:c>
      <x:c r="AV33" s="9"/>
      <x:c r="AW33" s="9"/>
      <x:c r="AX33" s="9"/>
      <x:c r="AY33" s="9"/>
      <x:c r="AZ33" s="9"/>
      <x:c r="BA33" s="9"/>
      <x:c r="BB33" s="9" t="n">
        <x:v>5463</x:v>
      </x:c>
      <x:c r="BC33" s="9"/>
      <x:c r="BD33" s="9"/>
      <x:c r="BE33" s="9"/>
      <x:c r="BF33" s="9"/>
      <x:c r="BG33" s="9"/>
      <x:c r="BH33" s="9"/>
      <x:c r="BI33" s="9"/>
      <x:c r="BJ33" s="9"/>
      <x:c r="BK33" s="9"/>
      <x:c r="BL33" s="9"/>
      <x:c r="BM33" s="9"/>
      <x:c r="BN33" s="9"/>
      <x:c r="BO33" s="9"/>
      <x:c r="BP33" s="9"/>
      <x:c r="BQ33" s="9"/>
      <x:c r="BR33" s="9"/>
      <x:c r="BS33" s="9"/>
      <x:c r="BT33" s="9"/>
      <x:c r="BU33" s="9"/>
      <x:c r="BV33" s="9"/>
      <x:c r="BW33" s="9"/>
      <x:c r="BX33" s="9"/>
      <x:c r="BY33" s="9"/>
      <x:c r="BZ33" s="9"/>
      <x:c r="CA33" s="9" t="n">
        <x:v>25.81</x:v>
      </x:c>
      <x:c r="CB33" s="9" t="n">
        <x:v>24.4267</x:v>
      </x:c>
      <x:c r="CC33" s="9" t="n">
        <x:v>1.9</x:v>
      </x:c>
      <x:c r="CD33" s="9" t="n">
        <x:v>1.68</x:v>
      </x:c>
      <x:c r="CE33" s="9" t="n">
        <x:v>3.38</x:v>
      </x:c>
      <x:c r="CF33" s="9" t="n">
        <x:v>2.39</x:v>
      </x:c>
      <x:c r="CG33" s="9" t="n">
        <x:v>7.09</x:v>
      </x:c>
      <x:c r="CH33" s="9" t="n">
        <x:v>2.12</x:v>
      </x:c>
      <x:c r="CI33" s="9" t="n">
        <x:v>1.44</x:v>
      </x:c>
      <x:c r="CJ33" s="9" t="n">
        <x:v>3.88</x:v>
      </x:c>
      <x:c r="CK33" s="9" t="n">
        <x:v>3.34</x:v>
      </x:c>
      <x:c r="CL33" s="9" t="n">
        <x:v>5.98</x:v>
      </x:c>
      <x:c r="CM33" s="9" t="n">
        <x:v>5.42</x:v>
      </x:c>
      <x:c r="CN33" s="9"/>
      <x:c r="CO33" s="9"/>
      <x:c r="CP33" s="9"/>
      <x:c r="CQ33" s="9"/>
      <x:c r="CR33" s="9"/>
      <x:c r="CS33" s="9"/>
      <x:c r="CT33" s="9"/>
      <x:c r="CU33" s="9"/>
      <x:c r="CV33" s="9"/>
      <x:c r="CW33" s="9" t="n">
        <x:v>99.88</x:v>
      </x:c>
      <x:c r="CX33" s="9"/>
      <x:c r="CY33" s="9" t="n">
        <x:v>1498.64</x:v>
      </x:c>
      <x:c r="CZ33" s="9" t="n">
        <x:v>1654.22</x:v>
      </x:c>
      <x:c r="DA33" s="9" t="n">
        <x:v>1264.74</x:v>
      </x:c>
      <x:c r="DB33" s="9" t="n">
        <x:v>937.81</x:v>
      </x:c>
      <x:c r="DC33" s="9" t="n">
        <x:v>465.53</x:v>
      </x:c>
      <x:c r="DD33" s="9" t="n">
        <x:v>258.77</x:v>
      </x:c>
      <x:c r="DE33" s="9" t="n">
        <x:v>3831.42</x:v>
      </x:c>
      <x:c r="DF33" s="9" t="n">
        <x:v>1743.95</x:v>
      </x:c>
      <x:c r="DG33" s="9" t="n">
        <x:v>373.25</x:v>
      </x:c>
      <x:c r="DH33" s="9" t="n">
        <x:v>3737.21</x:v>
      </x:c>
      <x:c r="DI33" s="9" t="n">
        <x:v>631.63</x:v>
      </x:c>
      <x:c r="DJ33" s="9" t="n">
        <x:v>466.35</x:v>
      </x:c>
      <x:c r="DK33" s="9" t="n">
        <x:v>420.8</x:v>
      </x:c>
      <x:c r="DL33" s="9" t="n">
        <x:v>373.01</x:v>
      </x:c>
      <x:c r="DM33" s="9" t="n">
        <x:v>1375.17</x:v>
      </x:c>
      <x:c r="DN33" s="9" t="n">
        <x:v>1089.8</x:v>
      </x:c>
    </x:row>
    <x:row r="34" ht="24" customHeight="1">
      <x:c r="A34" s="3" t="n">
        <x:v>117</x:v>
      </x:c>
      <x:c r="B34" s="3" t="str">
        <x:v>辛酸</x:v>
      </x:c>
      <x:c r="C34" s="3" t="str">
        <x:v>Octanoic acid</x:v>
      </x:c>
      <x:c r="D34" s="3" t="str">
        <x:v>124-07-2</x:v>
      </x:c>
      <x:c r="E34" s="9" t="n">
        <x:v>2700</x:v>
      </x:c>
      <x:c r="F34" s="9" t="n">
        <x:v>5535</x:v>
      </x:c>
      <x:c r="G34" s="9" t="n">
        <x:v>25675</x:v>
      </x:c>
      <x:c r="H34" s="9"/>
      <x:c r="I34" s="9" t="n">
        <x:v>114.61</x:v>
      </x:c>
      <x:c r="J34" s="9" t="n">
        <x:v>15</x:v>
      </x:c>
      <x:c r="K34" s="9" t="n">
        <x:v>22.7</x:v>
      </x:c>
      <x:c r="L34" s="9" t="n">
        <x:v>9.45</x:v>
      </x:c>
      <x:c r="M34" s="9"/>
      <x:c r="N34" s="9"/>
      <x:c r="O34" s="9" t="n">
        <x:v>7760</x:v>
      </x:c>
      <x:c r="P34" s="9" t="n">
        <x:v>14749</x:v>
      </x:c>
      <x:c r="Q34" s="9" t="n">
        <x:v>27998</x:v>
      </x:c>
      <x:c r="R34" s="9" t="n">
        <x:v>15258</x:v>
      </x:c>
      <x:c r="S34" s="9" t="n">
        <x:v>21191</x:v>
      </x:c>
      <x:c r="T34" s="9" t="n">
        <x:v>12086</x:v>
      </x:c>
      <x:c r="U34" s="9" t="n">
        <x:v>6</x:v>
      </x:c>
      <x:c r="V34" s="9" t="n">
        <x:v>2</x:v>
      </x:c>
      <x:c r="W34" s="9" t="n">
        <x:v>1.875</x:v>
      </x:c>
      <x:c r="X34" s="9"/>
      <x:c r="Y34" s="9"/>
      <x:c r="Z34" s="9"/>
      <x:c r="AA34" s="9"/>
      <x:c r="AB34" s="9"/>
      <x:c r="AC34" s="9"/>
      <x:c r="AD34" s="9"/>
      <x:c r="AE34" s="9"/>
      <x:c r="AF34" s="9" t="n">
        <x:v>18900</x:v>
      </x:c>
      <x:c r="AG34" s="9" t="n">
        <x:v>20030</x:v>
      </x:c>
      <x:c r="AH34" s="9" t="n">
        <x:v>12840</x:v>
      </x:c>
      <x:c r="AI34" s="9"/>
      <x:c r="AJ34" s="9"/>
      <x:c r="AK34" s="9"/>
      <x:c r="AL34" s="9" t="n">
        <x:v>21120</x:v>
      </x:c>
      <x:c r="AM34" s="9" t="n">
        <x:v>20600</x:v>
      </x:c>
      <x:c r="AN34" s="9"/>
      <x:c r="AO34" s="9"/>
      <x:c r="AP34" s="9"/>
      <x:c r="AQ34" s="9"/>
      <x:c r="AR34" s="9" t="n">
        <x:v>6.96</x:v>
      </x:c>
      <x:c r="AS34" s="9" t="n">
        <x:v>8.61</x:v>
      </x:c>
      <x:c r="AT34" s="9" t="n">
        <x:v>8.43</x:v>
      </x:c>
      <x:c r="AU34" s="9" t="n">
        <x:v>7.97</x:v>
      </x:c>
      <x:c r="AV34" s="9" t="n">
        <x:v>8.96</x:v>
      </x:c>
      <x:c r="AW34" s="9" t="n">
        <x:v>0</x:v>
      </x:c>
      <x:c r="AX34" s="9"/>
      <x:c r="AY34" s="9" t="n">
        <x:v>8553</x:v>
      </x:c>
      <x:c r="AZ34" s="9" t="n">
        <x:v>0</x:v>
      </x:c>
      <x:c r="BA34" s="9" t="n">
        <x:v>5031</x:v>
      </x:c>
      <x:c r="BB34" s="9" t="n">
        <x:v>17651</x:v>
      </x:c>
      <x:c r="BC34" s="9"/>
      <x:c r="BD34" s="9"/>
      <x:c r="BE34" s="9" t="n">
        <x:v>23.92</x:v>
      </x:c>
      <x:c r="BF34" s="9" t="n">
        <x:v>34.14</x:v>
      </x:c>
      <x:c r="BG34" s="9" t="n">
        <x:v>31.34</x:v>
      </x:c>
      <x:c r="BH34" s="9" t="n">
        <x:v>22.83</x:v>
      </x:c>
      <x:c r="BI34" s="9"/>
      <x:c r="BJ34" s="9" t="n">
        <x:v>22.4</x:v>
      </x:c>
      <x:c r="BK34" s="9"/>
      <x:c r="BL34" s="9" t="n">
        <x:v>34.18</x:v>
      </x:c>
      <x:c r="BM34" s="9" t="n">
        <x:v>16.36</x:v>
      </x:c>
      <x:c r="BN34" s="9" t="n">
        <x:v>33.85</x:v>
      </x:c>
      <x:c r="BO34" s="9" t="n">
        <x:v>16</x:v>
      </x:c>
      <x:c r="BP34" s="9" t="n">
        <x:v>38.28</x:v>
      </x:c>
      <x:c r="BQ34" s="9"/>
      <x:c r="BR34" s="9" t="n">
        <x:v>6400</x:v>
      </x:c>
      <x:c r="BS34" s="9" t="n">
        <x:v>19900</x:v>
      </x:c>
      <x:c r="BT34" s="9" t="n">
        <x:v>8400</x:v>
      </x:c>
      <x:c r="BU34" s="9" t="n">
        <x:v>5100</x:v>
      </x:c>
      <x:c r="BV34" s="9" t="n">
        <x:v>11300</x:v>
      </x:c>
      <x:c r="BW34" s="9" t="n">
        <x:v>2500</x:v>
      </x:c>
      <x:c r="BX34" s="9" t="n">
        <x:v>20400</x:v>
      </x:c>
      <x:c r="BY34" s="9" t="n">
        <x:v>7200</x:v>
      </x:c>
      <x:c r="BZ34" s="9" t="n">
        <x:v>20700</x:v>
      </x:c>
      <x:c r="CA34" s="9" t="n">
        <x:v>4118.82</x:v>
      </x:c>
      <x:c r="CB34" s="9" t="n">
        <x:v>4362.79</x:v>
      </x:c>
      <x:c r="CC34" s="9" t="n">
        <x:v>10704.27</x:v>
      </x:c>
      <x:c r="CD34" s="9" t="n">
        <x:v>19137.22</x:v>
      </x:c>
      <x:c r="CE34" s="9" t="n">
        <x:v>23109.01</x:v>
      </x:c>
      <x:c r="CF34" s="9" t="n">
        <x:v>17052.25</x:v>
      </x:c>
      <x:c r="CG34" s="9" t="n">
        <x:v>14804.59</x:v>
      </x:c>
      <x:c r="CH34" s="9" t="n">
        <x:v>2038.39</x:v>
      </x:c>
      <x:c r="CI34" s="9" t="n">
        <x:v>2138.86</x:v>
      </x:c>
      <x:c r="CJ34" s="9" t="n">
        <x:v>13331.4</x:v>
      </x:c>
      <x:c r="CK34" s="9" t="n">
        <x:v>15555.47</x:v>
      </x:c>
      <x:c r="CL34" s="9" t="n">
        <x:v>20191.71</x:v>
      </x:c>
      <x:c r="CM34" s="9" t="n">
        <x:v>40201.1</x:v>
      </x:c>
      <x:c r="CN34" s="9" t="n">
        <x:v>20714.92</x:v>
      </x:c>
      <x:c r="CO34" s="9"/>
      <x:c r="CP34" s="9"/>
      <x:c r="CQ34" s="9"/>
      <x:c r="CR34" s="9"/>
      <x:c r="CS34" s="9"/>
      <x:c r="CT34" s="9"/>
      <x:c r="CU34" s="9"/>
      <x:c r="CV34" s="9"/>
      <x:c r="CW34" s="9"/>
      <x:c r="CX34" s="9"/>
      <x:c r="CY34" s="9" t="n">
        <x:v>15833.92</x:v>
      </x:c>
      <x:c r="CZ34" s="9" t="n">
        <x:v>5694.39</x:v>
      </x:c>
      <x:c r="DA34" s="9" t="n">
        <x:v>11395.8</x:v>
      </x:c>
      <x:c r="DB34" s="9" t="n">
        <x:v>12414.11</x:v>
      </x:c>
      <x:c r="DC34" s="9" t="n">
        <x:v>861.79</x:v>
      </x:c>
      <x:c r="DD34" s="9" t="n">
        <x:v>7465.18</x:v>
      </x:c>
      <x:c r="DE34" s="9" t="n">
        <x:v>22764.61</x:v>
      </x:c>
      <x:c r="DF34" s="9" t="n">
        <x:v>15829.76</x:v>
      </x:c>
      <x:c r="DG34" s="9" t="n">
        <x:v>9205.6</x:v>
      </x:c>
      <x:c r="DH34" s="9" t="n">
        <x:v>11470.47</x:v>
      </x:c>
      <x:c r="DI34" s="9" t="n">
        <x:v>9715.59</x:v>
      </x:c>
      <x:c r="DJ34" s="9" t="n">
        <x:v>5347.2</x:v>
      </x:c>
      <x:c r="DK34" s="9" t="n">
        <x:v>9256.83</x:v>
      </x:c>
      <x:c r="DL34" s="9" t="n">
        <x:v>7081.23</x:v>
      </x:c>
      <x:c r="DM34" s="9" t="n">
        <x:v>2195.41</x:v>
      </x:c>
      <x:c r="DN34" s="9" t="n">
        <x:v>813.16</x:v>
      </x:c>
    </x:row>
    <x:row r="35" ht="24" customHeight="1">
      <x:c r="A35" s="3" t="n">
        <x:v>124</x:v>
      </x:c>
      <x:c r="B35" s="3" t="str">
        <x:v>乙酸乙酯</x:v>
      </x:c>
      <x:c r="C35" s="3" t="str">
        <x:v>Ethyl acetate</x:v>
      </x:c>
      <x:c r="D35" s="3" t="str">
        <x:v>141-78-6</x:v>
      </x:c>
      <x:c r="E35" s="9" t="n">
        <x:v>32552</x:v>
      </x:c>
      <x:c r="F35" s="9" t="n">
        <x:v>985274</x:v>
      </x:c>
      <x:c r="G35" s="9" t="n">
        <x:v>1772911</x:v>
      </x:c>
      <x:c r="H35" s="9" t="n">
        <x:v>1173.18</x:v>
      </x:c>
      <x:c r="I35" s="9" t="n">
        <x:v>484.16</x:v>
      </x:c>
      <x:c r="J35" s="9" t="n">
        <x:v>577.21</x:v>
      </x:c>
      <x:c r="K35" s="9" t="n">
        <x:v>1054.47</x:v>
      </x:c>
      <x:c r="L35" s="9" t="n">
        <x:v>129.49</x:v>
      </x:c>
      <x:c r="M35" s="9" t="n">
        <x:v>4021850</x:v>
      </x:c>
      <x:c r="N35" s="9" t="n">
        <x:v>2926064</x:v>
      </x:c>
      <x:c r="O35" s="9" t="n">
        <x:v>59371</x:v>
      </x:c>
      <x:c r="P35" s="9" t="n">
        <x:v>90590</x:v>
      </x:c>
      <x:c r="Q35" s="9" t="n">
        <x:v>92946</x:v>
      </x:c>
      <x:c r="R35" s="9" t="n">
        <x:v>112534</x:v>
      </x:c>
      <x:c r="S35" s="9" t="n">
        <x:v>112723</x:v>
      </x:c>
      <x:c r="T35" s="9" t="n">
        <x:v>95301</x:v>
      </x:c>
      <x:c r="U35" s="9" t="n">
        <x:v>37</x:v>
      </x:c>
      <x:c r="V35" s="9" t="n">
        <x:v>36</x:v>
      </x:c>
      <x:c r="W35" s="9"/>
      <x:c r="X35" s="9"/>
      <x:c r="Y35" s="9"/>
      <x:c r="Z35" s="9"/>
      <x:c r="AA35" s="9"/>
      <x:c r="AB35" s="9"/>
      <x:c r="AC35" s="9"/>
      <x:c r="AD35" s="9"/>
      <x:c r="AE35" s="9"/>
      <x:c r="AF35" s="9" t="n">
        <x:v>1752070</x:v>
      </x:c>
      <x:c r="AG35" s="9" t="n">
        <x:v>1113450</x:v>
      </x:c>
      <x:c r="AH35" s="9" t="n">
        <x:v>1455835</x:v>
      </x:c>
      <x:c r="AI35" s="9" t="n">
        <x:v>64450</x:v>
      </x:c>
      <x:c r="AJ35" s="9" t="n">
        <x:v>35720</x:v>
      </x:c>
      <x:c r="AK35" s="9" t="n">
        <x:v>60900</x:v>
      </x:c>
      <x:c r="AL35" s="9" t="n">
        <x:v>362630</x:v>
      </x:c>
      <x:c r="AM35" s="9" t="n">
        <x:v>572500</x:v>
      </x:c>
      <x:c r="AN35" s="9"/>
      <x:c r="AO35" s="9"/>
      <x:c r="AP35" s="9"/>
      <x:c r="AQ35" s="9"/>
      <x:c r="AR35" s="9" t="n">
        <x:v>1976.41</x:v>
      </x:c>
      <x:c r="AS35" s="9" t="n">
        <x:v>721.98</x:v>
      </x:c>
      <x:c r="AT35" s="9" t="n">
        <x:v>790.06</x:v>
      </x:c>
      <x:c r="AU35" s="9" t="n">
        <x:v>837.21</x:v>
      </x:c>
      <x:c r="AV35" s="9" t="n">
        <x:v>1126.37</x:v>
      </x:c>
      <x:c r="AW35" s="9" t="n">
        <x:v>316259.5</x:v>
      </x:c>
      <x:c r="AX35" s="9" t="n">
        <x:v>24</x:v>
      </x:c>
      <x:c r="AY35" s="9" t="n">
        <x:v>402762.5</x:v>
      </x:c>
      <x:c r="AZ35" s="9" t="n">
        <x:v>228600</x:v>
      </x:c>
      <x:c r="BA35" s="9" t="n">
        <x:v>11422</x:v>
      </x:c>
      <x:c r="BB35" s="9" t="n">
        <x:v>10886</x:v>
      </x:c>
      <x:c r="BC35" s="9" t="n">
        <x:v>630.52</x:v>
      </x:c>
      <x:c r="BD35" s="9" t="n">
        <x:v>44</x:v>
      </x:c>
      <x:c r="BE35" s="9" t="n">
        <x:v>1083.43</x:v>
      </x:c>
      <x:c r="BF35" s="9" t="n">
        <x:v>773.06</x:v>
      </x:c>
      <x:c r="BG35" s="9" t="n">
        <x:v>610.655</x:v>
      </x:c>
      <x:c r="BH35" s="9" t="n">
        <x:v>701.02</x:v>
      </x:c>
      <x:c r="BI35" s="9" t="n">
        <x:v>262.22</x:v>
      </x:c>
      <x:c r="BJ35" s="9" t="n">
        <x:v>605.62</x:v>
      </x:c>
      <x:c r="BK35" s="9" t="n">
        <x:v>1177</x:v>
      </x:c>
      <x:c r="BL35" s="9" t="n">
        <x:v>6803</x:v>
      </x:c>
      <x:c r="BM35" s="9"/>
      <x:c r="BN35" s="9" t="n">
        <x:v>6754.12</x:v>
      </x:c>
      <x:c r="BO35" s="9" t="n">
        <x:v>8950</x:v>
      </x:c>
      <x:c r="BP35" s="9" t="n">
        <x:v>7229.12</x:v>
      </x:c>
      <x:c r="BQ35" s="9" t="n">
        <x:v>980.81</x:v>
      </x:c>
      <x:c r="BR35" s="9"/>
      <x:c r="BS35" s="9"/>
      <x:c r="BT35" s="9"/>
      <x:c r="BU35" s="9"/>
      <x:c r="BV35" s="9"/>
      <x:c r="BW35" s="9"/>
      <x:c r="BX35" s="9"/>
      <x:c r="BY35" s="9"/>
      <x:c r="BZ35" s="9"/>
      <x:c r="CA35" s="9" t="n">
        <x:v>597.3367</x:v>
      </x:c>
      <x:c r="CB35" s="9" t="n">
        <x:v>584.24</x:v>
      </x:c>
      <x:c r="CC35" s="9" t="n">
        <x:v>1717.7</x:v>
      </x:c>
      <x:c r="CD35" s="9" t="n">
        <x:v>1477.29</x:v>
      </x:c>
      <x:c r="CE35" s="9" t="n">
        <x:v>1903.05</x:v>
      </x:c>
      <x:c r="CF35" s="9" t="n">
        <x:v>1830.33</x:v>
      </x:c>
      <x:c r="CG35" s="9" t="n">
        <x:v>1860.25</x:v>
      </x:c>
      <x:c r="CH35" s="9" t="n">
        <x:v>1286.66</x:v>
      </x:c>
      <x:c r="CI35" s="9" t="n">
        <x:v>903.05</x:v>
      </x:c>
      <x:c r="CJ35" s="9" t="n">
        <x:v>2369.21</x:v>
      </x:c>
      <x:c r="CK35" s="9" t="n">
        <x:v>2432.82</x:v>
      </x:c>
      <x:c r="CL35" s="9" t="n">
        <x:v>1917.46</x:v>
      </x:c>
      <x:c r="CM35" s="9" t="n">
        <x:v>1929.23</x:v>
      </x:c>
      <x:c r="CN35" s="9" t="n">
        <x:v>1599.32</x:v>
      </x:c>
      <x:c r="CO35" s="9" t="n">
        <x:v>1217108</x:v>
      </x:c>
      <x:c r="CP35" s="9" t="n">
        <x:v>1261352</x:v>
      </x:c>
      <x:c r="CQ35" s="9" t="n">
        <x:v>1108660</x:v>
      </x:c>
      <x:c r="CR35" s="9" t="n">
        <x:v>949924</x:v>
      </x:c>
      <x:c r="CS35" s="9"/>
      <x:c r="CT35" s="9"/>
      <x:c r="CU35" s="9"/>
      <x:c r="CV35" s="9"/>
      <x:c r="CW35" s="9"/>
      <x:c r="CX35" s="9"/>
      <x:c r="CY35" s="9" t="n">
        <x:v>653790.06</x:v>
      </x:c>
      <x:c r="CZ35" s="9" t="n">
        <x:v>863259.55</x:v>
      </x:c>
      <x:c r="DA35" s="9" t="n">
        <x:v>910386.44</x:v>
      </x:c>
      <x:c r="DB35" s="9" t="n">
        <x:v>517753.51</x:v>
      </x:c>
      <x:c r="DC35" s="9" t="n">
        <x:v>912836</x:v>
      </x:c>
      <x:c r="DD35" s="9" t="n">
        <x:v>777085.04</x:v>
      </x:c>
      <x:c r="DE35" s="9" t="n">
        <x:v>955434.09</x:v>
      </x:c>
      <x:c r="DF35" s="9" t="n">
        <x:v>525843.28</x:v>
      </x:c>
      <x:c r="DG35" s="9" t="n">
        <x:v>924452.11</x:v>
      </x:c>
      <x:c r="DH35" s="9" t="n">
        <x:v>700872.64</x:v>
      </x:c>
      <x:c r="DI35" s="9" t="n">
        <x:v>985281.54</x:v>
      </x:c>
      <x:c r="DJ35" s="9" t="n">
        <x:v>661165.61</x:v>
      </x:c>
      <x:c r="DK35" s="9" t="n">
        <x:v>883209.7</x:v>
      </x:c>
      <x:c r="DL35" s="9" t="n">
        <x:v>663524.27</x:v>
      </x:c>
      <x:c r="DM35" s="9" t="n">
        <x:v>1034685.04</x:v>
      </x:c>
      <x:c r="DN35" s="9" t="n">
        <x:v>870240.21</x:v>
      </x:c>
    </x:row>
    <x:row r="36" ht="24" customHeight="1">
      <x:c r="A36" s="3" t="n">
        <x:v>126</x:v>
      </x:c>
      <x:c r="B36" s="3" t="str">
        <x:v>己酸</x:v>
      </x:c>
      <x:c r="C36" s="3" t="str">
        <x:v>Hexanole acid</x:v>
      </x:c>
      <x:c r="D36" s="3" t="str">
        <x:v>142-62-1</x:v>
      </x:c>
      <x:c r="E36" s="9" t="n">
        <x:v>2520</x:v>
      </x:c>
      <x:c r="F36" s="9" t="n">
        <x:v>722576</x:v>
      </x:c>
      <x:c r="G36" s="9" t="n">
        <x:v>1126596</x:v>
      </x:c>
      <x:c r="H36" s="9" t="n">
        <x:v>160.03</x:v>
      </x:c>
      <x:c r="I36" s="9" t="n">
        <x:v>85.13</x:v>
      </x:c>
      <x:c r="J36" s="9" t="n">
        <x:v>96.7</x:v>
      </x:c>
      <x:c r="K36" s="9" t="n">
        <x:v>572.44</x:v>
      </x:c>
      <x:c r="L36" s="9" t="n">
        <x:v>50.31</x:v>
      </x:c>
      <x:c r="M36" s="9"/>
      <x:c r="N36" s="9"/>
      <x:c r="O36" s="9" t="n">
        <x:v>72065</x:v>
      </x:c>
      <x:c r="P36" s="9" t="n">
        <x:v>102015</x:v>
      </x:c>
      <x:c r="Q36" s="9" t="n">
        <x:v>120088</x:v>
      </x:c>
      <x:c r="R36" s="9" t="n">
        <x:v>141949</x:v>
      </x:c>
      <x:c r="S36" s="9" t="n">
        <x:v>111350</x:v>
      </x:c>
      <x:c r="T36" s="9" t="n">
        <x:v>103087</x:v>
      </x:c>
      <x:c r="U36" s="9" t="n">
        <x:v>128</x:v>
      </x:c>
      <x:c r="V36" s="9" t="n">
        <x:v>141</x:v>
      </x:c>
      <x:c r="W36" s="9" t="n">
        <x:v>2.125</x:v>
      </x:c>
      <x:c r="X36" s="9" t="n">
        <x:v>2380</x:v>
      </x:c>
      <x:c r="Y36" s="9" t="n">
        <x:v>2060</x:v>
      </x:c>
      <x:c r="Z36" s="9" t="n">
        <x:v>3870</x:v>
      </x:c>
      <x:c r="AA36" s="9" t="n">
        <x:v>5880</x:v>
      </x:c>
      <x:c r="AB36" s="9" t="n">
        <x:v>9740</x:v>
      </x:c>
      <x:c r="AC36" s="9" t="n">
        <x:v>16300</x:v>
      </x:c>
      <x:c r="AD36" s="9" t="n">
        <x:v>22400</x:v>
      </x:c>
      <x:c r="AE36" s="9" t="n">
        <x:v>21500</x:v>
      </x:c>
      <x:c r="AF36" s="9" t="n">
        <x:v>250250</x:v>
      </x:c>
      <x:c r="AG36" s="9" t="n">
        <x:v>201440</x:v>
      </x:c>
      <x:c r="AH36" s="9" t="n">
        <x:v>64780</x:v>
      </x:c>
      <x:c r="AI36" s="9"/>
      <x:c r="AJ36" s="9"/>
      <x:c r="AK36" s="9"/>
      <x:c r="AL36" s="9" t="n">
        <x:v>59230</x:v>
      </x:c>
      <x:c r="AM36" s="9" t="n">
        <x:v>70240</x:v>
      </x:c>
      <x:c r="AN36" s="9"/>
      <x:c r="AO36" s="9"/>
      <x:c r="AP36" s="9"/>
      <x:c r="AQ36" s="9"/>
      <x:c r="AR36" s="9" t="n">
        <x:v>410.92</x:v>
      </x:c>
      <x:c r="AS36" s="9" t="n">
        <x:v>520.62</x:v>
      </x:c>
      <x:c r="AT36" s="9" t="n">
        <x:v>859.8</x:v>
      </x:c>
      <x:c r="AU36" s="9" t="n">
        <x:v>857.12</x:v>
      </x:c>
      <x:c r="AV36" s="9" t="n">
        <x:v>118.15</x:v>
      </x:c>
      <x:c r="AW36" s="9" t="n">
        <x:v>374348.5</x:v>
      </x:c>
      <x:c r="AX36" s="9" t="n">
        <x:v>147</x:v>
      </x:c>
      <x:c r="AY36" s="9" t="n">
        <x:v>511102.5</x:v>
      </x:c>
      <x:c r="AZ36" s="9" t="n">
        <x:v>688000</x:v>
      </x:c>
      <x:c r="BA36" s="9" t="n">
        <x:v>25205</x:v>
      </x:c>
      <x:c r="BB36" s="9" t="n">
        <x:v>24457</x:v>
      </x:c>
      <x:c r="BC36" s="9"/>
      <x:c r="BD36" s="9"/>
      <x:c r="BE36" s="9" t="n">
        <x:v>502.42</x:v>
      </x:c>
      <x:c r="BF36" s="9" t="n">
        <x:v>953.43</x:v>
      </x:c>
      <x:c r="BG36" s="9" t="n">
        <x:v>602.92</x:v>
      </x:c>
      <x:c r="BH36" s="9" t="n">
        <x:v>510.73</x:v>
      </x:c>
      <x:c r="BI36" s="9"/>
      <x:c r="BJ36" s="9" t="n">
        <x:v>536.52</x:v>
      </x:c>
      <x:c r="BK36" s="9"/>
      <x:c r="BL36" s="9" t="n">
        <x:v>655.27</x:v>
      </x:c>
      <x:c r="BM36" s="9" t="n">
        <x:v>322.71</x:v>
      </x:c>
      <x:c r="BN36" s="9" t="n">
        <x:v>388.51</x:v>
      </x:c>
      <x:c r="BO36" s="9" t="n">
        <x:v>199.16</x:v>
      </x:c>
      <x:c r="BP36" s="9" t="n">
        <x:v>458.67</x:v>
      </x:c>
      <x:c r="BQ36" s="9"/>
      <x:c r="BR36" s="9" t="n">
        <x:v>911000</x:v>
      </x:c>
      <x:c r="BS36" s="9" t="n">
        <x:v>825900</x:v>
      </x:c>
      <x:c r="BT36" s="9" t="n">
        <x:v>268200</x:v>
      </x:c>
      <x:c r="BU36" s="9" t="n">
        <x:v>187600</x:v>
      </x:c>
      <x:c r="BV36" s="9" t="n">
        <x:v>322900</x:v>
      </x:c>
      <x:c r="BW36" s="9" t="n">
        <x:v>377800</x:v>
      </x:c>
      <x:c r="BX36" s="9" t="n">
        <x:v>778300</x:v>
      </x:c>
      <x:c r="BY36" s="9" t="n">
        <x:v>427600</x:v>
      </x:c>
      <x:c r="BZ36" s="9" t="n">
        <x:v>803500</x:v>
      </x:c>
      <x:c r="CA36" s="9" t="n">
        <x:v>212.4867</x:v>
      </x:c>
      <x:c r="CB36" s="9" t="n">
        <x:v>236.2267</x:v>
      </x:c>
      <x:c r="CC36" s="9" t="n">
        <x:v>556.95</x:v>
      </x:c>
      <x:c r="CD36" s="9" t="n">
        <x:v>693.56</x:v>
      </x:c>
      <x:c r="CE36" s="9" t="n">
        <x:v>850.5</x:v>
      </x:c>
      <x:c r="CF36" s="9" t="n">
        <x:v>789.59</x:v>
      </x:c>
      <x:c r="CG36" s="9" t="n">
        <x:v>460.72</x:v>
      </x:c>
      <x:c r="CH36" s="9" t="n">
        <x:v>143.9</x:v>
      </x:c>
      <x:c r="CI36" s="9" t="n">
        <x:v>254.08</x:v>
      </x:c>
      <x:c r="CJ36" s="9" t="n">
        <x:v>888.99</x:v>
      </x:c>
      <x:c r="CK36" s="9" t="n">
        <x:v>973.27</x:v>
      </x:c>
      <x:c r="CL36" s="9" t="n">
        <x:v>801.61</x:v>
      </x:c>
      <x:c r="CM36" s="9" t="n">
        <x:v>1102.28</x:v>
      </x:c>
      <x:c r="CN36" s="9" t="n">
        <x:v>609.15</x:v>
      </x:c>
      <x:c r="CO36" s="9"/>
      <x:c r="CP36" s="9"/>
      <x:c r="CQ36" s="9"/>
      <x:c r="CR36" s="9"/>
      <x:c r="CS36" s="9"/>
      <x:c r="CT36" s="9"/>
      <x:c r="CU36" s="9"/>
      <x:c r="CV36" s="9"/>
      <x:c r="CW36" s="9"/>
      <x:c r="CX36" s="9"/>
      <x:c r="CY36" s="9" t="n">
        <x:v>1408567.21</x:v>
      </x:c>
      <x:c r="CZ36" s="9" t="n">
        <x:v>1198381.12</x:v>
      </x:c>
      <x:c r="DA36" s="9" t="n">
        <x:v>1130288.03</x:v>
      </x:c>
      <x:c r="DB36" s="9" t="n">
        <x:v>1551340.76</x:v>
      </x:c>
      <x:c r="DC36" s="9" t="n">
        <x:v>921507.93</x:v>
      </x:c>
      <x:c r="DD36" s="9" t="n">
        <x:v>676196.16</x:v>
      </x:c>
      <x:c r="DE36" s="9" t="n">
        <x:v>1139648.77</x:v>
      </x:c>
      <x:c r="DF36" s="9" t="n">
        <x:v>1177275.06</x:v>
      </x:c>
      <x:c r="DG36" s="9" t="n">
        <x:v>661786</x:v>
      </x:c>
      <x:c r="DH36" s="9" t="n">
        <x:v>873714.8</x:v>
      </x:c>
      <x:c r="DI36" s="9" t="n">
        <x:v>745653.89</x:v>
      </x:c>
      <x:c r="DJ36" s="9" t="n">
        <x:v>794136.88</x:v>
      </x:c>
      <x:c r="DK36" s="9" t="n">
        <x:v>763923.29</x:v>
      </x:c>
      <x:c r="DL36" s="9" t="n">
        <x:v>1079062.53</x:v>
      </x:c>
      <x:c r="DM36" s="9" t="n">
        <x:v>758996.31</x:v>
      </x:c>
      <x:c r="DN36" s="9" t="n">
        <x:v>714132.85</x:v>
      </x:c>
    </x:row>
    <x:row r="37" ht="24" customHeight="1">
      <x:c r="A37" s="3" t="n">
        <x:v>136</x:v>
      </x:c>
      <x:c r="B37" s="3" t="str">
        <x:v>异戊酸/3-甲基丁酸</x:v>
      </x:c>
      <x:c r="C37" s="3" t="str">
        <x:v>Isovalenic acid</x:v>
      </x:c>
      <x:c r="D37" s="3" t="str">
        <x:v>503-74-2</x:v>
      </x:c>
      <x:c r="E37" s="9" t="n">
        <x:v>1050</x:v>
      </x:c>
      <x:c r="F37" s="9" t="n">
        <x:v>3885</x:v>
      </x:c>
      <x:c r="G37" s="9" t="n">
        <x:v>13702</x:v>
      </x:c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 t="n">
        <x:v>7</x:v>
      </x:c>
      <x:c r="V37" s="9" t="n">
        <x:v>9</x:v>
      </x:c>
      <x:c r="W37" s="9" t="n">
        <x:v>1.1875</x:v>
      </x:c>
      <x:c r="X37" s="9" t="n">
        <x:v>26500</x:v>
      </x:c>
      <x:c r="Y37" s="9" t="n">
        <x:v>12100</x:v>
      </x:c>
      <x:c r="Z37" s="9" t="n">
        <x:v>26300</x:v>
      </x:c>
      <x:c r="AA37" s="9" t="n">
        <x:v>13600</x:v>
      </x:c>
      <x:c r="AB37" s="9" t="n">
        <x:v>44000</x:v>
      </x:c>
      <x:c r="AC37" s="9" t="n">
        <x:v>21000</x:v>
      </x:c>
      <x:c r="AD37" s="9" t="n">
        <x:v>33800</x:v>
      </x:c>
      <x:c r="AE37" s="9" t="n">
        <x:v>688</x:v>
      </x:c>
      <x:c r="AF37" s="9" t="n">
        <x:v>11210</x:v>
      </x:c>
      <x:c r="AG37" s="9" t="n">
        <x:v>10880</x:v>
      </x:c>
      <x:c r="AH37" s="9" t="n">
        <x:v>1185</x:v>
      </x:c>
      <x:c r="AI37" s="9"/>
      <x:c r="AJ37" s="9"/>
      <x:c r="AK37" s="9"/>
      <x:c r="AL37" s="9"/>
      <x:c r="AM37" s="9"/>
      <x:c r="AN37" s="9"/>
      <x:c r="AO37" s="9"/>
      <x:c r="AP37" s="9"/>
      <x:c r="AQ37" s="9"/>
      <x:c r="AR37" s="9" t="n">
        <x:v>9.57</x:v>
      </x:c>
      <x:c r="AS37" s="9" t="n">
        <x:v>9.64</x:v>
      </x:c>
      <x:c r="AT37" s="9" t="n">
        <x:v>15.8</x:v>
      </x:c>
      <x:c r="AU37" s="9" t="n">
        <x:v>15.89</x:v>
      </x:c>
      <x:c r="AV37" s="9"/>
      <x:c r="AW37" s="9" t="n">
        <x:v>0</x:v>
      </x:c>
      <x:c r="AX37" s="9" t="n">
        <x:v>21</x:v>
      </x:c>
      <x:c r="AY37" s="9" t="n">
        <x:v>14564</x:v>
      </x:c>
      <x:c r="AZ37" s="9" t="n">
        <x:v>0</x:v>
      </x:c>
      <x:c r="BA37" s="9"/>
      <x:c r="BB37" s="9"/>
      <x:c r="BC37" s="9"/>
      <x:c r="BD37" s="9"/>
      <x:c r="BE37" s="9" t="n">
        <x:v>6.61</x:v>
      </x:c>
      <x:c r="BF37" s="9" t="n">
        <x:v>12.49</x:v>
      </x:c>
      <x:c r="BG37" s="9" t="n">
        <x:v>9.21</x:v>
      </x:c>
      <x:c r="BH37" s="9" t="n">
        <x:v>5.49</x:v>
      </x:c>
      <x:c r="BI37" s="9"/>
      <x:c r="BJ37" s="9" t="n">
        <x:v>6.07</x:v>
      </x:c>
      <x:c r="BK37" s="9"/>
      <x:c r="BL37" s="9" t="n">
        <x:v>7.38</x:v>
      </x:c>
      <x:c r="BM37" s="9" t="n">
        <x:v>3.2</x:v>
      </x:c>
      <x:c r="BN37" s="9" t="n">
        <x:v>10.33</x:v>
      </x:c>
      <x:c r="BO37" s="9" t="n">
        <x:v>2.44</x:v>
      </x:c>
      <x:c r="BP37" s="9" t="n">
        <x:v>9.157</x:v>
      </x:c>
      <x:c r="BQ37" s="9"/>
      <x:c r="BR37" s="9" t="n">
        <x:v>7100</x:v>
      </x:c>
      <x:c r="BS37" s="9" t="n">
        <x:v>18100</x:v>
      </x:c>
      <x:c r="BT37" s="9" t="n">
        <x:v>12600</x:v>
      </x:c>
      <x:c r="BU37" s="9" t="n">
        <x:v>15800</x:v>
      </x:c>
      <x:c r="BV37" s="9" t="n">
        <x:v>32300</x:v>
      </x:c>
      <x:c r="BW37" s="9" t="n">
        <x:v>7000</x:v>
      </x:c>
      <x:c r="BX37" s="9" t="n">
        <x:v>25600</x:v>
      </x:c>
      <x:c r="BY37" s="9" t="n">
        <x:v>16900</x:v>
      </x:c>
      <x:c r="BZ37" s="9" t="n">
        <x:v>26000</x:v>
      </x:c>
      <x:c r="CA37" s="9" t="n">
        <x:v>5.04</x:v>
      </x:c>
      <x:c r="CB37" s="9" t="n">
        <x:v>5.255</x:v>
      </x:c>
      <x:c r="CC37" s="9" t="n">
        <x:v>4.8</x:v>
      </x:c>
      <x:c r="CD37" s="9" t="n">
        <x:v>4.8</x:v>
      </x:c>
      <x:c r="CE37" s="9" t="n">
        <x:v>5.17</x:v>
      </x:c>
      <x:c r="CF37" s="9" t="n">
        <x:v>11.83</x:v>
      </x:c>
      <x:c r="CG37" s="9" t="n">
        <x:v>4.93</x:v>
      </x:c>
      <x:c r="CH37" s="9" t="n">
        <x:v>1.37</x:v>
      </x:c>
      <x:c r="CI37" s="9" t="n">
        <x:v>1.6</x:v>
      </x:c>
      <x:c r="CJ37" s="9" t="n">
        <x:v>11.47</x:v>
      </x:c>
      <x:c r="CK37" s="9" t="n">
        <x:v>12.74</x:v>
      </x:c>
      <x:c r="CL37" s="9" t="n">
        <x:v>12.71</x:v>
      </x:c>
      <x:c r="CM37" s="9" t="n">
        <x:v>13.17</x:v>
      </x:c>
      <x:c r="CN37" s="9" t="n">
        <x:v>7.44</x:v>
      </x:c>
      <x:c r="CO37" s="9"/>
      <x:c r="CP37" s="9"/>
      <x:c r="CQ37" s="9"/>
      <x:c r="CR37" s="9"/>
      <x:c r="CS37" s="9"/>
      <x:c r="CT37" s="9"/>
      <x:c r="CU37" s="9"/>
      <x:c r="CV37" s="9"/>
      <x:c r="CW37" s="9"/>
      <x:c r="CX37" s="9"/>
      <x:c r="CY37" s="9" t="n">
        <x:v>13694.63</x:v>
      </x:c>
      <x:c r="CZ37" s="9" t="n">
        <x:v>10206.88</x:v>
      </x:c>
      <x:c r="DA37" s="9" t="n">
        <x:v>6864.55</x:v>
      </x:c>
      <x:c r="DB37" s="9" t="n">
        <x:v>12747.1</x:v>
      </x:c>
      <x:c r="DC37" s="9" t="n">
        <x:v>4760.44</x:v>
      </x:c>
      <x:c r="DD37" s="9" t="n">
        <x:v>14470.96</x:v>
      </x:c>
      <x:c r="DE37" s="9" t="n">
        <x:v>12847.69</x:v>
      </x:c>
      <x:c r="DF37" s="9" t="n">
        <x:v>15474.39</x:v>
      </x:c>
      <x:c r="DG37" s="9" t="n">
        <x:v>7017.64</x:v>
      </x:c>
      <x:c r="DH37" s="9" t="n">
        <x:v>5762.54</x:v>
      </x:c>
      <x:c r="DI37" s="9" t="n">
        <x:v>8091.67</x:v>
      </x:c>
      <x:c r="DJ37" s="9" t="n">
        <x:v>5175.73</x:v>
      </x:c>
      <x:c r="DK37" s="9" t="n">
        <x:v>7943.99</x:v>
      </x:c>
      <x:c r="DL37" s="9" t="n">
        <x:v>6506.78</x:v>
      </x:c>
      <x:c r="DM37" s="9" t="n">
        <x:v>7716.44</x:v>
      </x:c>
      <x:c r="DN37" s="9" t="n">
        <x:v>6655.6</x:v>
      </x:c>
    </x:row>
    <x:row r="38" ht="24" customHeight="1">
      <x:c r="A38" s="3" t="n">
        <x:v>141</x:v>
      </x:c>
      <x:c r="B38" s="3" t="str">
        <x:v>戊酸乙酯</x:v>
      </x:c>
      <x:c r="C38" s="3" t="str">
        <x:v>Ethyl valerate</x:v>
      </x:c>
      <x:c r="D38" s="3" t="str">
        <x:v>539-82-2</x:v>
      </x:c>
      <x:c r="E38" s="9" t="n">
        <x:v>26.8</x:v>
      </x:c>
      <x:c r="F38" s="9" t="n">
        <x:v>44849</x:v>
      </x:c>
      <x:c r="G38" s="9" t="n">
        <x:v>143889</x:v>
      </x:c>
      <x:c r="H38" s="9" t="n">
        <x:v>439.66</x:v>
      </x:c>
      <x:c r="I38" s="9" t="n">
        <x:v>114.58</x:v>
      </x:c>
      <x:c r="J38" s="9" t="n">
        <x:v>80.4</x:v>
      </x:c>
      <x:c r="K38" s="9" t="n">
        <x:v>393.75</x:v>
      </x:c>
      <x:c r="L38" s="9" t="n">
        <x:v>82.3</x:v>
      </x:c>
      <x:c r="M38" s="9" t="n">
        <x:v>18031</x:v>
      </x:c>
      <x:c r="N38" s="9" t="n">
        <x:v>16080</x:v>
      </x:c>
      <x:c r="O38" s="9" t="n">
        <x:v>69105</x:v>
      </x:c>
      <x:c r="P38" s="9" t="n">
        <x:v>109528</x:v>
      </x:c>
      <x:c r="Q38" s="9" t="n">
        <x:v>115971</x:v>
      </x:c>
      <x:c r="R38" s="9" t="n">
        <x:v>124348</x:v>
      </x:c>
      <x:c r="S38" s="9" t="n">
        <x:v>106662</x:v>
      </x:c>
      <x:c r="T38" s="9" t="n">
        <x:v>127159</x:v>
      </x:c>
      <x:c r="U38" s="9" t="n">
        <x:v>0</x:v>
      </x:c>
      <x:c r="V38" s="9" t="n">
        <x:v>6665</x:v>
      </x:c>
      <x:c r="W38" s="9"/>
      <x:c r="X38" s="9" t="n">
        <x:v>193000</x:v>
      </x:c>
      <x:c r="Y38" s="9" t="n">
        <x:v>46400</x:v>
      </x:c>
      <x:c r="Z38" s="9" t="n">
        <x:v>34100</x:v>
      </x:c>
      <x:c r="AA38" s="9" t="n">
        <x:v>25100</x:v>
      </x:c>
      <x:c r="AB38" s="9" t="n">
        <x:v>21000</x:v>
      </x:c>
      <x:c r="AC38" s="9" t="n">
        <x:v>15300</x:v>
      </x:c>
      <x:c r="AD38" s="9" t="n">
        <x:v>11900</x:v>
      </x:c>
      <x:c r="AE38" s="9" t="n">
        <x:v>7770</x:v>
      </x:c>
      <x:c r="AF38" s="9" t="n">
        <x:v>236260</x:v>
      </x:c>
      <x:c r="AG38" s="9" t="n">
        <x:v>93770</x:v>
      </x:c>
      <x:c r="AH38" s="9" t="n">
        <x:v>1039840</x:v>
      </x:c>
      <x:c r="AI38" s="9" t="n">
        <x:v>1130</x:v>
      </x:c>
      <x:c r="AJ38" s="9" t="n">
        <x:v>9040</x:v>
      </x:c>
      <x:c r="AK38" s="9" t="n">
        <x:v>3800</x:v>
      </x:c>
      <x:c r="AL38" s="9" t="n">
        <x:v>15550</x:v>
      </x:c>
      <x:c r="AM38" s="9" t="n">
        <x:v>46560</x:v>
      </x:c>
      <x:c r="AN38" s="9"/>
      <x:c r="AO38" s="9"/>
      <x:c r="AP38" s="9"/>
      <x:c r="AQ38" s="9"/>
      <x:c r="AR38" s="9" t="n">
        <x:v>343.15</x:v>
      </x:c>
      <x:c r="AS38" s="9" t="n">
        <x:v>94.67</x:v>
      </x:c>
      <x:c r="AT38" s="9" t="n">
        <x:v>83.73</x:v>
      </x:c>
      <x:c r="AU38" s="9" t="n">
        <x:v>127.85</x:v>
      </x:c>
      <x:c r="AV38" s="9" t="n">
        <x:v>17.71</x:v>
      </x:c>
      <x:c r="AW38" s="9" t="n">
        <x:v>18205</x:v>
      </x:c>
      <x:c r="AX38" s="9" t="n">
        <x:v>2388</x:v>
      </x:c>
      <x:c r="AY38" s="9" t="n">
        <x:v>17738</x:v>
      </x:c>
      <x:c r="AZ38" s="9" t="n">
        <x:v>54100</x:v>
      </x:c>
      <x:c r="BA38" s="9" t="n">
        <x:v>10567</x:v>
      </x:c>
      <x:c r="BB38" s="9" t="n">
        <x:v>8774</x:v>
      </x:c>
      <x:c r="BC38" s="9" t="n">
        <x:v>2.2</x:v>
      </x:c>
      <x:c r="BD38" s="9" t="n">
        <x:v>1326.5</x:v>
      </x:c>
      <x:c r="BE38" s="9" t="n">
        <x:v>22.79</x:v>
      </x:c>
      <x:c r="BF38" s="9" t="n">
        <x:v>540.83</x:v>
      </x:c>
      <x:c r="BG38" s="9" t="n">
        <x:v>439.41</x:v>
      </x:c>
      <x:c r="BH38" s="9" t="n">
        <x:v>10.46</x:v>
      </x:c>
      <x:c r="BI38" s="9" t="n">
        <x:v>37.66</x:v>
      </x:c>
      <x:c r="BJ38" s="9" t="n">
        <x:v>5.81</x:v>
      </x:c>
      <x:c r="BK38" s="9" t="n">
        <x:v>19.8</x:v>
      </x:c>
      <x:c r="BL38" s="9" t="n">
        <x:v>72.57</x:v>
      </x:c>
      <x:c r="BM38" s="9" t="n">
        <x:v>168.4</x:v>
      </x:c>
      <x:c r="BN38" s="9" t="n">
        <x:v>105.92</x:v>
      </x:c>
      <x:c r="BO38" s="9" t="n">
        <x:v>116.42</x:v>
      </x:c>
      <x:c r="BP38" s="9" t="n">
        <x:v>89.56</x:v>
      </x:c>
      <x:c r="BQ38" s="9" t="n">
        <x:v>35.55</x:v>
      </x:c>
      <x:c r="BR38" s="9"/>
      <x:c r="BS38" s="9"/>
      <x:c r="BT38" s="9"/>
      <x:c r="BU38" s="9"/>
      <x:c r="BV38" s="9"/>
      <x:c r="BW38" s="9"/>
      <x:c r="BX38" s="9"/>
      <x:c r="BY38" s="9"/>
      <x:c r="BZ38" s="9"/>
      <x:c r="CA38" s="9" t="n">
        <x:v>1647.0933</x:v>
      </x:c>
      <x:c r="CB38" s="9" t="n">
        <x:v>1713.9833</x:v>
      </x:c>
      <x:c r="CC38" s="9" t="n">
        <x:v>96.19</x:v>
      </x:c>
      <x:c r="CD38" s="9" t="n">
        <x:v>74.3</x:v>
      </x:c>
      <x:c r="CE38" s="9" t="n">
        <x:v>172.95</x:v>
      </x:c>
      <x:c r="CF38" s="9" t="n">
        <x:v>187.93</x:v>
      </x:c>
      <x:c r="CG38" s="9" t="n">
        <x:v>79.51</x:v>
      </x:c>
      <x:c r="CH38" s="9" t="n">
        <x:v>76.49</x:v>
      </x:c>
      <x:c r="CI38" s="9" t="n">
        <x:v>55.9</x:v>
      </x:c>
      <x:c r="CJ38" s="9" t="n">
        <x:v>365.85</x:v>
      </x:c>
      <x:c r="CK38" s="9" t="n">
        <x:v>450.7</x:v>
      </x:c>
      <x:c r="CL38" s="9" t="n">
        <x:v>214.2</x:v>
      </x:c>
      <x:c r="CM38" s="9" t="n">
        <x:v>202.97</x:v>
      </x:c>
      <x:c r="CN38" s="9" t="n">
        <x:v>157.26</x:v>
      </x:c>
      <x:c r="CO38" s="9" t="n">
        <x:v>34353</x:v>
      </x:c>
      <x:c r="CP38" s="9" t="n">
        <x:v>40919</x:v>
      </x:c>
      <x:c r="CQ38" s="9" t="n">
        <x:v>44543</x:v>
      </x:c>
      <x:c r="CR38" s="9" t="n">
        <x:v>47947</x:v>
      </x:c>
      <x:c r="CS38" s="9" t="n">
        <x:v>27166.51</x:v>
      </x:c>
      <x:c r="CT38" s="9" t="n">
        <x:v>33933.56</x:v>
      </x:c>
      <x:c r="CU38" s="9" t="n">
        <x:v>2434.67</x:v>
      </x:c>
      <x:c r="CV38" s="9" t="n">
        <x:v>1774.81</x:v>
      </x:c>
      <x:c r="CW38" s="9" t="n">
        <x:v>1443.09</x:v>
      </x:c>
      <x:c r="CX38" s="9" t="n">
        <x:v>2029.81</x:v>
      </x:c>
      <x:c r="CY38" s="9" t="n">
        <x:v>5905.54</x:v>
      </x:c>
      <x:c r="CZ38" s="9" t="n">
        <x:v>9013.55</x:v>
      </x:c>
      <x:c r="DA38" s="9" t="n">
        <x:v>17277.68</x:v>
      </x:c>
      <x:c r="DB38" s="9" t="n">
        <x:v>12621.33</x:v>
      </x:c>
      <x:c r="DC38" s="9" t="n">
        <x:v>6483.78</x:v>
      </x:c>
      <x:c r="DD38" s="9" t="n">
        <x:v>9898.88</x:v>
      </x:c>
      <x:c r="DE38" s="9" t="n">
        <x:v>10681.44</x:v>
      </x:c>
      <x:c r="DF38" s="9" t="n">
        <x:v>8344.03</x:v>
      </x:c>
      <x:c r="DG38" s="9" t="n">
        <x:v>27536.03</x:v>
      </x:c>
      <x:c r="DH38" s="9" t="n">
        <x:v>19926.68</x:v>
      </x:c>
      <x:c r="DI38" s="9" t="n">
        <x:v>27625.85</x:v>
      </x:c>
      <x:c r="DJ38" s="9" t="n">
        <x:v>12113.61</x:v>
      </x:c>
      <x:c r="DK38" s="9" t="n">
        <x:v>52302.3</x:v>
      </x:c>
      <x:c r="DL38" s="9" t="n">
        <x:v>12189.85</x:v>
      </x:c>
      <x:c r="DM38" s="9" t="n">
        <x:v>17249.93</x:v>
      </x:c>
      <x:c r="DN38" s="9" t="n">
        <x:v>14541.46</x:v>
      </x:c>
    </x:row>
    <x:row r="39" ht="24" customHeight="1">
      <x:c r="A39" s="3" t="n">
        <x:v>152</x:v>
      </x:c>
      <x:c r="B39" s="3" t="str">
        <x:v>异戊醛</x:v>
      </x:c>
      <x:c r="C39" s="3" t="str">
        <x:v>Isovaleraldehyde</x:v>
      </x:c>
      <x:c r="D39" s="3" t="str">
        <x:v>590-86-3</x:v>
      </x:c>
      <x:c r="E39" s="9" t="n">
        <x:v>16.5</x:v>
      </x:c>
      <x:c r="F39" s="9"/>
      <x:c r="G39" s="9"/>
      <x:c r="H39" s="9"/>
      <x:c r="I39" s="9"/>
      <x:c r="J39" s="9"/>
      <x:c r="K39" s="9"/>
      <x:c r="L39" s="9"/>
      <x:c r="M39" s="9"/>
      <x:c r="N39" s="9"/>
      <x:c r="O39" s="9" t="n">
        <x:v>3576</x:v>
      </x:c>
      <x:c r="P39" s="9" t="n">
        <x:v>5626</x:v>
      </x:c>
      <x:c r="Q39" s="9" t="n">
        <x:v>6706</x:v>
      </x:c>
      <x:c r="R39" s="9" t="n">
        <x:v>5371</x:v>
      </x:c>
      <x:c r="S39" s="9" t="n">
        <x:v>5545</x:v>
      </x:c>
      <x:c r="T39" s="9" t="n">
        <x:v>6509</x:v>
      </x:c>
      <x:c r="U39" s="9"/>
      <x:c r="V39" s="9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  <x:c r="AI39" s="9" t="n">
        <x:v>330</x:v>
      </x:c>
      <x:c r="AJ39" s="9" t="n">
        <x:v>130</x:v>
      </x:c>
      <x:c r="AK39" s="9"/>
      <x:c r="AL39" s="9"/>
      <x:c r="AM39" s="9"/>
      <x:c r="AN39" s="9"/>
      <x:c r="AO39" s="9"/>
      <x:c r="AP39" s="9"/>
      <x:c r="AQ39" s="9"/>
      <x:c r="AR39" s="9" t="n">
        <x:v>20.19</x:v>
      </x:c>
      <x:c r="AS39" s="9" t="n">
        <x:v>43.58</x:v>
      </x:c>
      <x:c r="AT39" s="9" t="n">
        <x:v>17.21</x:v>
      </x:c>
      <x:c r="AU39" s="9" t="n">
        <x:v>17.43</x:v>
      </x:c>
      <x:c r="AV39" s="9"/>
      <x:c r="AW39" s="9"/>
      <x:c r="AX39" s="9"/>
      <x:c r="AY39" s="9"/>
      <x:c r="AZ39" s="9"/>
      <x:c r="BA39" s="9" t="n">
        <x:v>905</x:v>
      </x:c>
      <x:c r="BB39" s="9" t="n">
        <x:v>2489</x:v>
      </x:c>
      <x:c r="BC39" s="9"/>
      <x:c r="BD39" s="9"/>
      <x:c r="BE39" s="9"/>
      <x:c r="BF39" s="9"/>
      <x:c r="BG39" s="9"/>
      <x:c r="BH39" s="9"/>
      <x:c r="BI39" s="9"/>
      <x:c r="BJ39" s="9"/>
      <x:c r="BK39" s="9"/>
      <x:c r="BL39" s="9"/>
      <x:c r="BM39" s="9"/>
      <x:c r="BN39" s="9"/>
      <x:c r="BO39" s="9"/>
      <x:c r="BP39" s="9"/>
      <x:c r="BQ39" s="9"/>
      <x:c r="BR39" s="9" t="n">
        <x:v>55200</x:v>
      </x:c>
      <x:c r="BS39" s="9" t="n">
        <x:v>227200</x:v>
      </x:c>
      <x:c r="BT39" s="9" t="n">
        <x:v>81000</x:v>
      </x:c>
      <x:c r="BU39" s="9" t="n">
        <x:v>152900</x:v>
      </x:c>
      <x:c r="BV39" s="9" t="n">
        <x:v>127600</x:v>
      </x:c>
      <x:c r="BW39" s="9" t="n">
        <x:v>13900</x:v>
      </x:c>
      <x:c r="BX39" s="9" t="n">
        <x:v>21700</x:v>
      </x:c>
      <x:c r="BY39" s="9" t="n">
        <x:v>64300</x:v>
      </x:c>
      <x:c r="BZ39" s="9" t="n">
        <x:v>21600</x:v>
      </x:c>
      <x:c r="CA39" s="9" t="n">
        <x:v>964.5633</x:v>
      </x:c>
      <x:c r="CB39" s="9" t="n">
        <x:v>1302.6667</x:v>
      </x:c>
      <x:c r="CC39" s="9" t="n">
        <x:v>58.31</x:v>
      </x:c>
      <x:c r="CD39" s="9" t="n">
        <x:v>31.91</x:v>
      </x:c>
      <x:c r="CE39" s="9" t="n">
        <x:v>99.89</x:v>
      </x:c>
      <x:c r="CF39" s="9" t="n">
        <x:v>84.44</x:v>
      </x:c>
      <x:c r="CG39" s="9" t="n">
        <x:v>29.11</x:v>
      </x:c>
      <x:c r="CH39" s="9" t="n">
        <x:v>10.35</x:v>
      </x:c>
      <x:c r="CI39" s="9" t="n">
        <x:v>4.84</x:v>
      </x:c>
      <x:c r="CJ39" s="9" t="n">
        <x:v>140.44</x:v>
      </x:c>
      <x:c r="CK39" s="9" t="n">
        <x:v>225.04</x:v>
      </x:c>
      <x:c r="CL39" s="9" t="n">
        <x:v>63.71</x:v>
      </x:c>
      <x:c r="CM39" s="9" t="n">
        <x:v>51.95</x:v>
      </x:c>
      <x:c r="CN39" s="9" t="n">
        <x:v>68.88</x:v>
      </x:c>
      <x:c r="CO39" s="9"/>
      <x:c r="CP39" s="9"/>
      <x:c r="CQ39" s="9"/>
      <x:c r="CR39" s="9"/>
      <x:c r="CS39" s="9"/>
      <x:c r="CT39" s="9"/>
      <x:c r="CU39" s="9"/>
      <x:c r="CV39" s="9"/>
      <x:c r="CW39" s="9"/>
      <x:c r="CX39" s="9"/>
      <x:c r="CY39" s="9" t="n">
        <x:v>6050.65</x:v>
      </x:c>
      <x:c r="CZ39" s="9" t="n">
        <x:v>19433.43</x:v>
      </x:c>
      <x:c r="DA39" s="9" t="n">
        <x:v>17781.5</x:v>
      </x:c>
      <x:c r="DB39" s="9" t="n">
        <x:v>5473.49</x:v>
      </x:c>
      <x:c r="DC39" s="9" t="n">
        <x:v>11359.54</x:v>
      </x:c>
      <x:c r="DD39" s="9" t="n">
        <x:v>2236.48</x:v>
      </x:c>
      <x:c r="DE39" s="9" t="n">
        <x:v>19993.9</x:v>
      </x:c>
      <x:c r="DF39" s="9" t="n">
        <x:v>8664.22</x:v>
      </x:c>
      <x:c r="DG39" s="9" t="n">
        <x:v>8319.89</x:v>
      </x:c>
      <x:c r="DH39" s="9" t="n">
        <x:v>5838.39</x:v>
      </x:c>
      <x:c r="DI39" s="9" t="n">
        <x:v>14218.54</x:v>
      </x:c>
      <x:c r="DJ39" s="9" t="n">
        <x:v>6586.96</x:v>
      </x:c>
      <x:c r="DK39" s="9" t="n">
        <x:v>24592.53</x:v>
      </x:c>
      <x:c r="DL39" s="9" t="n">
        <x:v>17769.13</x:v>
      </x:c>
      <x:c r="DM39" s="9" t="n">
        <x:v>19134.36</x:v>
      </x:c>
      <x:c r="DN39" s="9" t="n">
        <x:v>9323.91</x:v>
      </x:c>
    </x:row>
    <x:row r="40" ht="24" customHeight="1">
      <x:c r="A40" s="3" t="n">
        <x:v>165</x:v>
      </x:c>
      <x:c r="B40" s="3" t="str">
        <x:v>己酸丁酯</x:v>
      </x:c>
      <x:c r="C40" s="3" t="str">
        <x:v>Butyl hexanoate</x:v>
      </x:c>
      <x:c r="D40" s="3" t="str">
        <x:v>626-82-4</x:v>
      </x:c>
      <x:c r="E40" s="9" t="n">
        <x:v>677.84</x:v>
      </x:c>
      <x:c r="F40" s="9"/>
      <x:c r="G40" s="9"/>
      <x:c r="H40" s="9" t="n">
        <x:v>36.04</x:v>
      </x:c>
      <x:c r="I40" s="9" t="n">
        <x:v>45.49</x:v>
      </x:c>
      <x:c r="J40" s="9" t="n">
        <x:v>31.18</x:v>
      </x:c>
      <x:c r="K40" s="9" t="n">
        <x:v>47.71</x:v>
      </x:c>
      <x:c r="L40" s="9" t="n">
        <x:v>11.06</x:v>
      </x:c>
      <x:c r="M40" s="9" t="n">
        <x:v>675</x:v>
      </x:c>
      <x:c r="N40" s="9" t="n">
        <x:v>848</x:v>
      </x:c>
      <x:c r="O40" s="9" t="n">
        <x:v>86300</x:v>
      </x:c>
      <x:c r="P40" s="9" t="n">
        <x:v>67344</x:v>
      </x:c>
      <x:c r="Q40" s="9" t="n">
        <x:v>72534</x:v>
      </x:c>
      <x:c r="R40" s="9" t="n">
        <x:v>69305</x:v>
      </x:c>
      <x:c r="S40" s="9" t="n">
        <x:v>32877</x:v>
      </x:c>
      <x:c r="T40" s="9" t="n">
        <x:v>59224</x:v>
      </x:c>
      <x:c r="U40" s="9" t="n">
        <x:v>21</x:v>
      </x:c>
      <x:c r="V40" s="9" t="n">
        <x:v>29</x:v>
      </x:c>
      <x:c r="W40" s="9"/>
      <x:c r="X40" s="9"/>
      <x:c r="Y40" s="9"/>
      <x:c r="Z40" s="9"/>
      <x:c r="AA40" s="9"/>
      <x:c r="AB40" s="9"/>
      <x:c r="AC40" s="9"/>
      <x:c r="AD40" s="9"/>
      <x:c r="AE40" s="9"/>
      <x:c r="AF40" s="9" t="n">
        <x:v>20910</x:v>
      </x:c>
      <x:c r="AG40" s="9" t="n">
        <x:v>6410</x:v>
      </x:c>
      <x:c r="AH40" s="9"/>
      <x:c r="AI40" s="9" t="n">
        <x:v>550</x:v>
      </x:c>
      <x:c r="AJ40" s="9" t="n">
        <x:v>560</x:v>
      </x:c>
      <x:c r="AK40" s="9" t="n">
        <x:v>15</x:v>
      </x:c>
      <x:c r="AL40" s="9" t="n">
        <x:v>5090</x:v>
      </x:c>
      <x:c r="AM40" s="9" t="n">
        <x:v>5610</x:v>
      </x:c>
      <x:c r="AN40" s="9" t="n">
        <x:v>5000</x:v>
      </x:c>
      <x:c r="AO40" s="9" t="n">
        <x:v>480</x:v>
      </x:c>
      <x:c r="AP40" s="9" t="n">
        <x:v>700</x:v>
      </x:c>
      <x:c r="AQ40" s="9" t="n">
        <x:v>6990</x:v>
      </x:c>
      <x:c r="AR40" s="9" t="n">
        <x:v>77</x:v>
      </x:c>
      <x:c r="AS40" s="9" t="n">
        <x:v>32.48</x:v>
      </x:c>
      <x:c r="AT40" s="9" t="n">
        <x:v>11.31</x:v>
      </x:c>
      <x:c r="AU40" s="9" t="n">
        <x:v>13.83</x:v>
      </x:c>
      <x:c r="AV40" s="9"/>
      <x:c r="AW40" s="9"/>
      <x:c r="AX40" s="9"/>
      <x:c r="AY40" s="9"/>
      <x:c r="AZ40" s="9"/>
      <x:c r="BA40" s="9" t="n">
        <x:v>11399</x:v>
      </x:c>
      <x:c r="BB40" s="9"/>
      <x:c r="BC40" s="9" t="n">
        <x:v>3.24</x:v>
      </x:c>
      <x:c r="BD40" s="9" t="n">
        <x:v>22.5</x:v>
      </x:c>
      <x:c r="BE40" s="9" t="n">
        <x:v>7.3</x:v>
      </x:c>
      <x:c r="BF40" s="9" t="n">
        <x:v>19.86</x:v>
      </x:c>
      <x:c r="BG40" s="9" t="n">
        <x:v>13.01</x:v>
      </x:c>
      <x:c r="BH40" s="9" t="n">
        <x:v>2.79</x:v>
      </x:c>
      <x:c r="BI40" s="9" t="n">
        <x:v>37.41</x:v>
      </x:c>
      <x:c r="BJ40" s="9" t="n">
        <x:v>2.86</x:v>
      </x:c>
      <x:c r="BK40" s="9" t="n">
        <x:v>3.78</x:v>
      </x:c>
      <x:c r="BL40" s="9" t="n">
        <x:v>49.99</x:v>
      </x:c>
      <x:c r="BM40" s="9" t="n">
        <x:v>61.77</x:v>
      </x:c>
      <x:c r="BN40" s="9" t="n">
        <x:v>95.51</x:v>
      </x:c>
      <x:c r="BO40" s="9" t="n">
        <x:v>67.74</x:v>
      </x:c>
      <x:c r="BP40" s="9" t="n">
        <x:v>98.83</x:v>
      </x:c>
      <x:c r="BQ40" s="9" t="n">
        <x:v>4.69</x:v>
      </x:c>
      <x:c r="BR40" s="9"/>
      <x:c r="BS40" s="9"/>
      <x:c r="BT40" s="9"/>
      <x:c r="BU40" s="9"/>
      <x:c r="BV40" s="9"/>
      <x:c r="BW40" s="9"/>
      <x:c r="BX40" s="9"/>
      <x:c r="BY40" s="9"/>
      <x:c r="BZ40" s="9"/>
      <x:c r="CA40" s="9" t="n">
        <x:v>3138.08</x:v>
      </x:c>
      <x:c r="CB40" s="9" t="n">
        <x:v>3602.1033</x:v>
      </x:c>
      <x:c r="CC40" s="9" t="n">
        <x:v>8916.18</x:v>
      </x:c>
      <x:c r="CD40" s="9" t="n">
        <x:v>2694.41</x:v>
      </x:c>
      <x:c r="CE40" s="9" t="n">
        <x:v>24918.47</x:v>
      </x:c>
      <x:c r="CF40" s="9" t="n">
        <x:v>8707.78</x:v>
      </x:c>
      <x:c r="CG40" s="9" t="n">
        <x:v>7818.61</x:v>
      </x:c>
      <x:c r="CH40" s="9" t="n">
        <x:v>1491.19</x:v>
      </x:c>
      <x:c r="CI40" s="9" t="n">
        <x:v>799.47</x:v>
      </x:c>
      <x:c r="CJ40" s="9" t="n">
        <x:v>17820.66</x:v>
      </x:c>
      <x:c r="CK40" s="9" t="n">
        <x:v>36995.29</x:v>
      </x:c>
      <x:c r="CL40" s="9" t="n">
        <x:v>43495.18</x:v>
      </x:c>
      <x:c r="CM40" s="9" t="n">
        <x:v>12475.5</x:v>
      </x:c>
      <x:c r="CN40" s="9" t="n">
        <x:v>14941.38</x:v>
      </x:c>
      <x:c r="CO40" s="9" t="n">
        <x:v>1801</x:v>
      </x:c>
      <x:c r="CP40" s="9" t="n">
        <x:v>8339</x:v>
      </x:c>
      <x:c r="CQ40" s="9" t="n">
        <x:v>2256</x:v>
      </x:c>
      <x:c r="CR40" s="9" t="n">
        <x:v>2796</x:v>
      </x:c>
      <x:c r="CS40" s="9"/>
      <x:c r="CT40" s="9"/>
      <x:c r="CU40" s="9" t="n">
        <x:v>1911.38</x:v>
      </x:c>
      <x:c r="CV40" s="9" t="n">
        <x:v>454.98</x:v>
      </x:c>
      <x:c r="CW40" s="9" t="n">
        <x:v>1268.03</x:v>
      </x:c>
      <x:c r="CX40" s="9" t="n">
        <x:v>1433.29</x:v>
      </x:c>
      <x:c r="CY40" s="9"/>
      <x:c r="CZ40" s="9"/>
      <x:c r="DA40" s="9"/>
      <x:c r="DB40" s="9"/>
      <x:c r="DC40" s="9"/>
      <x:c r="DD40" s="9"/>
      <x:c r="DE40" s="9"/>
      <x:c r="DF40" s="9"/>
      <x:c r="DG40" s="9"/>
      <x:c r="DH40" s="9"/>
      <x:c r="DI40" s="9"/>
      <x:c r="DJ40" s="9"/>
      <x:c r="DK40" s="9"/>
      <x:c r="DL40" s="9"/>
      <x:c r="DM40" s="9"/>
      <x:c r="DN40" s="9"/>
    </x:row>
    <x:row r="41" ht="24" customHeight="1">
      <x:c r="A41" s="3" t="n">
        <x:v>186</x:v>
      </x:c>
      <x:c r="B41" s="3" t="str">
        <x:v>3-苯基丙酸乙酯</x:v>
      </x:c>
      <x:c r="C41" s="3" t="str">
        <x:v>Ethyl 3-phenylpropionate</x:v>
      </x:c>
      <x:c r="D41" s="3" t="str">
        <x:v>2021-28-5</x:v>
      </x:c>
      <x:c r="E41" s="9" t="n">
        <x:v>125</x:v>
      </x:c>
      <x:c r="F41" s="9" t="n">
        <x:v>635</x:v>
      </x:c>
      <x:c r="G41" s="9" t="n">
        <x:v>1646</x:v>
      </x:c>
      <x:c r="H41" s="9" t="n">
        <x:v>4.43</x:v>
      </x:c>
      <x:c r="I41" s="9" t="n">
        <x:v>6.93</x:v>
      </x:c>
      <x:c r="J41" s="9" t="n">
        <x:v>4.21</x:v>
      </x:c>
      <x:c r="K41" s="9" t="n">
        <x:v>6.6</x:v>
      </x:c>
      <x:c r="L41" s="9" t="n">
        <x:v>2.72</x:v>
      </x:c>
      <x:c r="M41" s="9" t="n">
        <x:v>148</x:v>
      </x:c>
      <x:c r="N41" s="9" t="n">
        <x:v>213</x:v>
      </x:c>
      <x:c r="O41" s="9" t="n">
        <x:v>7525000</x:v>
      </x:c>
      <x:c r="P41" s="9" t="n">
        <x:v>11533000</x:v>
      </x:c>
      <x:c r="Q41" s="9" t="n">
        <x:v>11648000</x:v>
      </x:c>
      <x:c r="R41" s="9" t="n">
        <x:v>9245000</x:v>
      </x:c>
      <x:c r="S41" s="9" t="n">
        <x:v>11140000</x:v>
      </x:c>
      <x:c r="T41" s="9" t="n">
        <x:v>10896000</x:v>
      </x:c>
      <x:c r="U41" s="9" t="n">
        <x:v>85</x:v>
      </x:c>
      <x:c r="V41" s="9" t="n">
        <x:v>0</x:v>
      </x:c>
      <x:c r="W41" s="9" t="n">
        <x:v>2</x:v>
      </x:c>
      <x:c r="X41" s="9" t="n">
        <x:v>206</x:v>
      </x:c>
      <x:c r="Y41" s="9" t="n">
        <x:v>148</x:v>
      </x:c>
      <x:c r="Z41" s="9" t="n">
        <x:v>142</x:v>
      </x:c>
      <x:c r="AA41" s="9" t="n">
        <x:v>211</x:v>
      </x:c>
      <x:c r="AB41" s="9" t="n">
        <x:v>277</x:v>
      </x:c>
      <x:c r="AC41" s="9" t="n">
        <x:v>261</x:v>
      </x:c>
      <x:c r="AD41" s="9" t="n">
        <x:v>293</x:v>
      </x:c>
      <x:c r="AE41" s="9" t="n">
        <x:v>352</x:v>
      </x:c>
      <x:c r="AF41" s="9" t="n">
        <x:v>4230</x:v>
      </x:c>
      <x:c r="AG41" s="9" t="n">
        <x:v>4390</x:v>
      </x:c>
      <x:c r="AH41" s="9" t="n">
        <x:v>18020</x:v>
      </x:c>
      <x:c r="AI41" s="9"/>
      <x:c r="AJ41" s="9"/>
      <x:c r="AK41" s="9"/>
      <x:c r="AL41" s="9" t="n">
        <x:v>1320</x:v>
      </x:c>
      <x:c r="AM41" s="9" t="n">
        <x:v>3730</x:v>
      </x:c>
      <x:c r="AN41" s="9"/>
      <x:c r="AO41" s="9"/>
      <x:c r="AP41" s="9"/>
      <x:c r="AQ41" s="9"/>
      <x:c r="AR41" s="9" t="n">
        <x:v>1.56</x:v>
      </x:c>
      <x:c r="AS41" s="9" t="n">
        <x:v>8.77</x:v>
      </x:c>
      <x:c r="AT41" s="9" t="n">
        <x:v>7.16</x:v>
      </x:c>
      <x:c r="AU41" s="9" t="n">
        <x:v>6.48</x:v>
      </x:c>
      <x:c r="AV41" s="9" t="n">
        <x:v>13.84</x:v>
      </x:c>
      <x:c r="AW41" s="9"/>
      <x:c r="AX41" s="9"/>
      <x:c r="AY41" s="9"/>
      <x:c r="AZ41" s="9"/>
      <x:c r="BA41" s="9" t="n">
        <x:v>4236</x:v>
      </x:c>
      <x:c r="BB41" s="9" t="n">
        <x:v>5507</x:v>
      </x:c>
      <x:c r="BC41" s="9"/>
      <x:c r="BD41" s="9"/>
      <x:c r="BE41" s="9" t="n">
        <x:v>1772.89</x:v>
      </x:c>
      <x:c r="BF41" s="9" t="n">
        <x:v>3454.23</x:v>
      </x:c>
      <x:c r="BG41" s="9" t="n">
        <x:v>3191</x:v>
      </x:c>
      <x:c r="BH41" s="9" t="n">
        <x:v>1737</x:v>
      </x:c>
      <x:c r="BI41" s="9"/>
      <x:c r="BJ41" s="9" t="n">
        <x:v>1866.38</x:v>
      </x:c>
      <x:c r="BK41" s="9"/>
      <x:c r="BL41" s="9" t="n">
        <x:v>10.08</x:v>
      </x:c>
      <x:c r="BM41" s="9" t="n">
        <x:v>12.31</x:v>
      </x:c>
      <x:c r="BN41" s="9" t="n">
        <x:v>18.71</x:v>
      </x:c>
      <x:c r="BO41" s="9" t="n">
        <x:v>4.96</x:v>
      </x:c>
      <x:c r="BP41" s="9" t="n">
        <x:v>19.85</x:v>
      </x:c>
      <x:c r="BQ41" s="9"/>
      <x:c r="BR41" s="9"/>
      <x:c r="BS41" s="9"/>
      <x:c r="BT41" s="9"/>
      <x:c r="BU41" s="9"/>
      <x:c r="BV41" s="9"/>
      <x:c r="BW41" s="9"/>
      <x:c r="BX41" s="9"/>
      <x:c r="BY41" s="9"/>
      <x:c r="BZ41" s="9"/>
      <x:c r="CA41" s="9" t="n">
        <x:v>653.43</x:v>
      </x:c>
      <x:c r="CB41" s="9" t="n">
        <x:v>592.79</x:v>
      </x:c>
      <x:c r="CC41" s="9" t="n">
        <x:v>2860.12</x:v>
      </x:c>
      <x:c r="CD41" s="9" t="n">
        <x:v>4890.38</x:v>
      </x:c>
      <x:c r="CE41" s="9" t="n">
        <x:v>3632.83</x:v>
      </x:c>
      <x:c r="CF41" s="9" t="n">
        <x:v>2744.49</x:v>
      </x:c>
      <x:c r="CG41" s="9" t="n">
        <x:v>1479.05</x:v>
      </x:c>
      <x:c r="CH41" s="9" t="n">
        <x:v>568.42</x:v>
      </x:c>
      <x:c r="CI41" s="9" t="n">
        <x:v>951.85</x:v>
      </x:c>
      <x:c r="CJ41" s="9" t="n">
        <x:v>5483.11</x:v>
      </x:c>
      <x:c r="CK41" s="9" t="n">
        <x:v>8152.41</x:v>
      </x:c>
      <x:c r="CL41" s="9" t="n">
        <x:v>4172.59</x:v>
      </x:c>
      <x:c r="CM41" s="9" t="n">
        <x:v>2507.23</x:v>
      </x:c>
      <x:c r="CN41" s="9"/>
      <x:c r="CO41" s="9"/>
      <x:c r="CP41" s="9"/>
      <x:c r="CQ41" s="9"/>
      <x:c r="CR41" s="9"/>
      <x:c r="CS41" s="9"/>
      <x:c r="CT41" s="9"/>
      <x:c r="CU41" s="9" t="n">
        <x:v>1511.43</x:v>
      </x:c>
      <x:c r="CV41" s="9" t="n">
        <x:v>815.19</x:v>
      </x:c>
      <x:c r="CW41" s="9" t="n">
        <x:v>483.06</x:v>
      </x:c>
      <x:c r="CX41" s="9" t="n">
        <x:v>584.02</x:v>
      </x:c>
      <x:c r="CY41" s="9" t="n">
        <x:v>51.99</x:v>
      </x:c>
      <x:c r="CZ41" s="9" t="n">
        <x:v>3244.87</x:v>
      </x:c>
      <x:c r="DA41" s="9" t="n">
        <x:v>1988.9</x:v>
      </x:c>
      <x:c r="DB41" s="9" t="n">
        <x:v>77.73</x:v>
      </x:c>
      <x:c r="DC41" s="9" t="n">
        <x:v>1250.55</x:v>
      </x:c>
      <x:c r="DD41" s="9" t="n">
        <x:v>607.57</x:v>
      </x:c>
      <x:c r="DE41" s="9" t="n">
        <x:v>2668.17</x:v>
      </x:c>
      <x:c r="DF41" s="9" t="n">
        <x:v>141.56</x:v>
      </x:c>
      <x:c r="DG41" s="9" t="n">
        <x:v>2554.76</x:v>
      </x:c>
      <x:c r="DH41" s="9" t="n">
        <x:v>61.04</x:v>
      </x:c>
      <x:c r="DI41" s="9" t="n">
        <x:v>870</x:v>
      </x:c>
      <x:c r="DJ41" s="9" t="n">
        <x:v>68.75</x:v>
      </x:c>
      <x:c r="DK41" s="9" t="n">
        <x:v>2543.78</x:v>
      </x:c>
      <x:c r="DL41" s="9" t="n">
        <x:v>96.86</x:v>
      </x:c>
      <x:c r="DM41" s="9" t="n">
        <x:v>5846.81</x:v>
      </x:c>
      <x:c r="DN41" s="9" t="n">
        <x:v>45.95</x:v>
      </x:c>
    </x:row>
    <x:row r="42" ht="24" customHeight="1">
      <x:c r="A42" s="3" t="n">
        <x:v>207</x:v>
      </x:c>
      <x:c r="B42" s="3" t="str">
        <x:v>1-辛烯-3-醇</x:v>
      </x:c>
      <x:c r="C42" s="3" t="str">
        <x:v>1-Octen-3-ol</x:v>
      </x:c>
      <x:c r="D42" s="3" t="str">
        <x:v>3391-86-4</x:v>
      </x:c>
      <x:c r="E42" s="9" t="n">
        <x:v>6.12</x:v>
      </x:c>
      <x:c r="F42" s="9"/>
      <x:c r="G42" s="9"/>
      <x:c r="H42" s="9"/>
      <x:c r="I42" s="9"/>
      <x:c r="J42" s="9"/>
      <x:c r="K42" s="9"/>
      <x:c r="L42" s="9" t="n">
        <x:v>13.43</x:v>
      </x:c>
      <x:c r="M42" s="9" t="n">
        <x:v>1</x:v>
      </x:c>
      <x:c r="N42" s="9" t="n">
        <x:v>1</x:v>
      </x:c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  <x:c r="AL42" s="9"/>
      <x:c r="AM42" s="9"/>
      <x:c r="AN42" s="9"/>
      <x:c r="AO42" s="9"/>
      <x:c r="AP42" s="9"/>
      <x:c r="AQ42" s="9"/>
      <x:c r="AR42" s="9"/>
      <x:c r="AS42" s="9"/>
      <x:c r="AT42" s="9"/>
      <x:c r="AU42" s="9"/>
      <x:c r="AV42" s="9"/>
      <x:c r="AW42" s="9"/>
      <x:c r="AX42" s="9"/>
      <x:c r="AY42" s="9"/>
      <x:c r="AZ42" s="9"/>
      <x:c r="BA42" s="9"/>
      <x:c r="BB42" s="9"/>
      <x:c r="BC42" s="9"/>
      <x:c r="BD42" s="9"/>
      <x:c r="BE42" s="9"/>
      <x:c r="BF42" s="9"/>
      <x:c r="BG42" s="9"/>
      <x:c r="BH42" s="9"/>
      <x:c r="BI42" s="9"/>
      <x:c r="BJ42" s="9"/>
      <x:c r="BK42" s="9"/>
      <x:c r="BL42" s="9"/>
      <x:c r="BM42" s="9"/>
      <x:c r="BN42" s="9"/>
      <x:c r="BO42" s="9"/>
      <x:c r="BP42" s="9"/>
      <x:c r="BQ42" s="9"/>
      <x:c r="BR42" s="9"/>
      <x:c r="BS42" s="9"/>
      <x:c r="BT42" s="9"/>
      <x:c r="BU42" s="9"/>
      <x:c r="BV42" s="9"/>
      <x:c r="BW42" s="9"/>
      <x:c r="BX42" s="9"/>
      <x:c r="BY42" s="9"/>
      <x:c r="BZ42" s="9"/>
      <x:c r="CA42" s="9"/>
      <x:c r="CB42" s="9"/>
      <x:c r="CC42" s="9"/>
      <x:c r="CD42" s="9"/>
      <x:c r="CE42" s="9"/>
      <x:c r="CF42" s="9"/>
      <x:c r="CG42" s="9"/>
      <x:c r="CH42" s="9"/>
      <x:c r="CI42" s="9"/>
      <x:c r="CJ42" s="9"/>
      <x:c r="CK42" s="9"/>
      <x:c r="CL42" s="9"/>
      <x:c r="CM42" s="9"/>
      <x:c r="CN42" s="9"/>
      <x:c r="CO42" s="9"/>
      <x:c r="CP42" s="9"/>
      <x:c r="CQ42" s="9"/>
      <x:c r="CR42" s="9"/>
      <x:c r="CS42" s="9"/>
      <x:c r="CT42" s="9"/>
      <x:c r="CU42" s="9"/>
      <x:c r="CV42" s="9"/>
      <x:c r="CW42" s="9"/>
      <x:c r="CX42" s="9"/>
      <x:c r="CY42" s="9" t="n">
        <x:v>128.38</x:v>
      </x:c>
      <x:c r="CZ42" s="9" t="n">
        <x:v>256.41</x:v>
      </x:c>
      <x:c r="DA42" s="9" t="n">
        <x:v>15.31</x:v>
      </x:c>
      <x:c r="DB42" s="9" t="n">
        <x:v>89.57</x:v>
      </x:c>
      <x:c r="DC42" s="9" t="n">
        <x:v>124.17</x:v>
      </x:c>
      <x:c r="DD42" s="9" t="n">
        <x:v>90.64</x:v>
      </x:c>
      <x:c r="DE42" s="9" t="n">
        <x:v>194.74</x:v>
      </x:c>
      <x:c r="DF42" s="9" t="n">
        <x:v>131.7</x:v>
      </x:c>
      <x:c r="DG42" s="9" t="n">
        <x:v>271.45</x:v>
      </x:c>
      <x:c r="DH42" s="9" t="n">
        <x:v>99.18</x:v>
      </x:c>
      <x:c r="DI42" s="9" t="n">
        <x:v>120</x:v>
      </x:c>
      <x:c r="DJ42" s="9" t="n">
        <x:v>99.15</x:v>
      </x:c>
      <x:c r="DK42" s="9" t="n">
        <x:v>151.45</x:v>
      </x:c>
      <x:c r="DL42" s="9" t="n">
        <x:v>88.51</x:v>
      </x:c>
      <x:c r="DM42" s="9" t="n">
        <x:v>101.54</x:v>
      </x:c>
      <x:c r="DN42" s="9" t="n">
        <x:v>93.56</x:v>
      </x:c>
    </x:row>
    <x:row r="43" ht="24" customHeight="1">
      <x:c r="A43" s="3" t="n">
        <x:v>209</x:v>
      </x:c>
      <x:c r="B43" s="3" t="str">
        <x:v>二甲基三硫醚</x:v>
      </x:c>
      <x:c r="C43" s="3" t="str">
        <x:v>Dimethyl Trisulfide</x:v>
      </x:c>
      <x:c r="D43" s="3" t="str">
        <x:v>3658-80-8</x:v>
      </x:c>
      <x:c r="E43" s="9" t="n">
        <x:v>0.36</x:v>
      </x:c>
      <x:c r="F43" s="9" t="n">
        <x:v>26</x:v>
      </x:c>
      <x:c r="G43" s="9" t="n">
        <x:v>187</x:v>
      </x:c>
      <x:c r="H43" s="9"/>
      <x:c r="I43" s="9"/>
      <x:c r="J43" s="9"/>
      <x:c r="K43" s="9"/>
      <x:c r="L43" s="9" t="n">
        <x:v>0.28</x:v>
      </x:c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  <x:c r="AN43" s="9"/>
      <x:c r="AO43" s="9"/>
      <x:c r="AP43" s="9"/>
      <x:c r="AQ43" s="9"/>
      <x:c r="AR43" s="9"/>
      <x:c r="AS43" s="9"/>
      <x:c r="AT43" s="9"/>
      <x:c r="AU43" s="9"/>
      <x:c r="AV43" s="9"/>
      <x:c r="AW43" s="9"/>
      <x:c r="AX43" s="9"/>
      <x:c r="AY43" s="9"/>
      <x:c r="AZ43" s="9"/>
      <x:c r="BA43" s="9"/>
      <x:c r="BB43" s="9"/>
      <x:c r="BC43" s="9"/>
      <x:c r="BD43" s="9"/>
      <x:c r="BE43" s="9"/>
      <x:c r="BF43" s="9"/>
      <x:c r="BG43" s="9"/>
      <x:c r="BH43" s="9"/>
      <x:c r="BI43" s="9"/>
      <x:c r="BJ43" s="9"/>
      <x:c r="BK43" s="9"/>
      <x:c r="BL43" s="9"/>
      <x:c r="BM43" s="9"/>
      <x:c r="BN43" s="9"/>
      <x:c r="BO43" s="9"/>
      <x:c r="BP43" s="9"/>
      <x:c r="BQ43" s="9"/>
      <x:c r="BR43" s="9"/>
      <x:c r="BS43" s="9"/>
      <x:c r="BT43" s="9"/>
      <x:c r="BU43" s="9"/>
      <x:c r="BV43" s="9"/>
      <x:c r="BW43" s="9"/>
      <x:c r="BX43" s="9"/>
      <x:c r="BY43" s="9"/>
      <x:c r="BZ43" s="9"/>
      <x:c r="CA43" s="9" t="n">
        <x:v>3110.52</x:v>
      </x:c>
      <x:c r="CB43" s="9" t="n">
        <x:v>2927.9567</x:v>
      </x:c>
      <x:c r="CC43" s="9" t="n">
        <x:v>2623.03</x:v>
      </x:c>
      <x:c r="CD43" s="9" t="n">
        <x:v>1777.63</x:v>
      </x:c>
      <x:c r="CE43" s="9" t="n">
        <x:v>4201.44</x:v>
      </x:c>
      <x:c r="CF43" s="9" t="n">
        <x:v>2533.63</x:v>
      </x:c>
      <x:c r="CG43" s="9" t="n">
        <x:v>1635.57</x:v>
      </x:c>
      <x:c r="CH43" s="9" t="n">
        <x:v>1060.51</x:v>
      </x:c>
      <x:c r="CI43" s="9" t="n">
        <x:v>1035.13</x:v>
      </x:c>
      <x:c r="CJ43" s="9" t="n">
        <x:v>3292.75</x:v>
      </x:c>
      <x:c r="CK43" s="9" t="n">
        <x:v>1525.2</x:v>
      </x:c>
      <x:c r="CL43" s="9" t="n">
        <x:v>1343</x:v>
      </x:c>
      <x:c r="CM43" s="9" t="n">
        <x:v>1698.84</x:v>
      </x:c>
      <x:c r="CN43" s="9" t="n">
        <x:v>1784.33</x:v>
      </x:c>
      <x:c r="CO43" s="9"/>
      <x:c r="CP43" s="9"/>
      <x:c r="CQ43" s="9"/>
      <x:c r="CR43" s="9"/>
      <x:c r="CS43" s="9"/>
      <x:c r="CT43" s="9"/>
      <x:c r="CU43" s="9"/>
      <x:c r="CV43" s="9"/>
      <x:c r="CW43" s="9"/>
      <x:c r="CX43" s="9"/>
      <x:c r="CY43" s="9"/>
      <x:c r="CZ43" s="9" t="n">
        <x:v>132.35</x:v>
      </x:c>
      <x:c r="DA43" s="9" t="n">
        <x:v>124.89</x:v>
      </x:c>
      <x:c r="DB43" s="9"/>
      <x:c r="DC43" s="9" t="n">
        <x:v>15.32</x:v>
      </x:c>
      <x:c r="DD43" s="9"/>
      <x:c r="DE43" s="9" t="n">
        <x:v>67</x:v>
      </x:c>
      <x:c r="DF43" s="9" t="n">
        <x:v>59.87</x:v>
      </x:c>
      <x:c r="DG43" s="9" t="n">
        <x:v>211.62</x:v>
      </x:c>
      <x:c r="DH43" s="9" t="n">
        <x:v>35.18</x:v>
      </x:c>
      <x:c r="DI43" s="9" t="n">
        <x:v>203.57</x:v>
      </x:c>
      <x:c r="DJ43" s="9"/>
      <x:c r="DK43" s="9" t="n">
        <x:v>193.16</x:v>
      </x:c>
      <x:c r="DL43" s="9"/>
      <x:c r="DM43" s="9" t="n">
        <x:v>73.68</x:v>
      </x:c>
      <x:c r="DN43" s="9" t="n">
        <x:v>73.32</x:v>
      </x:c>
    </x:row>
    <x:row r="44" ht="24" customHeight="1">
      <x:c r="A44" s="3" t="n">
        <x:v>227</x:v>
      </x:c>
      <x:c r="B44" s="3" t="str">
        <x:v>己酸己酯</x:v>
      </x:c>
      <x:c r="C44" s="3" t="str">
        <x:v>Hexyl hexanoate</x:v>
      </x:c>
      <x:c r="D44" s="3" t="str">
        <x:v>6378-65-0</x:v>
      </x:c>
      <x:c r="E44" s="9" t="n">
        <x:v>1891</x:v>
      </x:c>
      <x:c r="F44" s="9" t="n">
        <x:v>146</x:v>
      </x:c>
      <x:c r="G44" s="9" t="n">
        <x:v>28416</x:v>
      </x:c>
      <x:c r="H44" s="9" t="n">
        <x:v>40.12</x:v>
      </x:c>
      <x:c r="I44" s="9" t="n">
        <x:v>54.57</x:v>
      </x:c>
      <x:c r="J44" s="9" t="n">
        <x:v>39.16</x:v>
      </x:c>
      <x:c r="K44" s="9" t="n">
        <x:v>58.38</x:v>
      </x:c>
      <x:c r="L44" s="9" t="n">
        <x:v>15.05</x:v>
      </x:c>
      <x:c r="M44" s="9"/>
      <x:c r="N44" s="9"/>
      <x:c r="O44" s="9" t="n">
        <x:v>193759</x:v>
      </x:c>
      <x:c r="P44" s="9" t="n">
        <x:v>170265</x:v>
      </x:c>
      <x:c r="Q44" s="9" t="n">
        <x:v>155251</x:v>
      </x:c>
      <x:c r="R44" s="9" t="n">
        <x:v>118620</x:v>
      </x:c>
      <x:c r="S44" s="9" t="n">
        <x:v>133816</x:v>
      </x:c>
      <x:c r="T44" s="9" t="n">
        <x:v>130156</x:v>
      </x:c>
      <x:c r="U44" s="9" t="n">
        <x:v>27</x:v>
      </x:c>
      <x:c r="V44" s="9" t="n">
        <x:v>20</x:v>
      </x:c>
      <x:c r="W44" s="9"/>
      <x:c r="X44" s="9" t="n">
        <x:v>16800</x:v>
      </x:c>
      <x:c r="Y44" s="9" t="n">
        <x:v>11600</x:v>
      </x:c>
      <x:c r="Z44" s="9" t="n">
        <x:v>24400</x:v>
      </x:c>
      <x:c r="AA44" s="9" t="n">
        <x:v>42700</x:v>
      </x:c>
      <x:c r="AB44" s="9" t="n">
        <x:v>60400</x:v>
      </x:c>
      <x:c r="AC44" s="9" t="n">
        <x:v>110000</x:v>
      </x:c>
      <x:c r="AD44" s="9" t="n">
        <x:v>123000</x:v>
      </x:c>
      <x:c r="AE44" s="9" t="n">
        <x:v>129000</x:v>
      </x:c>
      <x:c r="AF44" s="9"/>
      <x:c r="AG44" s="9"/>
      <x:c r="AH44" s="9"/>
      <x:c r="AI44" s="9"/>
      <x:c r="AJ44" s="9"/>
      <x:c r="AK44" s="9"/>
      <x:c r="AL44" s="9" t="n">
        <x:v>2890</x:v>
      </x:c>
      <x:c r="AM44" s="9" t="n">
        <x:v>2710</x:v>
      </x:c>
      <x:c r="AN44" s="9" t="n">
        <x:v>37950</x:v>
      </x:c>
      <x:c r="AO44" s="9" t="n">
        <x:v>2740</x:v>
      </x:c>
      <x:c r="AP44" s="9" t="n">
        <x:v>3520</x:v>
      </x:c>
      <x:c r="AQ44" s="9" t="n">
        <x:v>23070</x:v>
      </x:c>
      <x:c r="AR44" s="9" t="n">
        <x:v>87.72</x:v>
      </x:c>
      <x:c r="AS44" s="9" t="n">
        <x:v>52.3</x:v>
      </x:c>
      <x:c r="AT44" s="9" t="n">
        <x:v>13.12</x:v>
      </x:c>
      <x:c r="AU44" s="9" t="n">
        <x:v>15.44</x:v>
      </x:c>
      <x:c r="AV44" s="9"/>
      <x:c r="AW44" s="9"/>
      <x:c r="AX44" s="9"/>
      <x:c r="AY44" s="9"/>
      <x:c r="AZ44" s="9"/>
      <x:c r="BA44" s="9"/>
      <x:c r="BB44" s="9"/>
      <x:c r="BC44" s="9" t="n">
        <x:v>3.83</x:v>
      </x:c>
      <x:c r="BD44" s="9" t="n">
        <x:v>2.5</x:v>
      </x:c>
      <x:c r="BE44" s="9" t="n">
        <x:v>1596.9</x:v>
      </x:c>
      <x:c r="BF44" s="9" t="n">
        <x:v>2319.5</x:v>
      </x:c>
      <x:c r="BG44" s="9" t="n">
        <x:v>3030.17</x:v>
      </x:c>
      <x:c r="BH44" s="9" t="n">
        <x:v>1053</x:v>
      </x:c>
      <x:c r="BI44" s="9" t="n">
        <x:v>26.98</x:v>
      </x:c>
      <x:c r="BJ44" s="9" t="n">
        <x:v>997.01</x:v>
      </x:c>
      <x:c r="BK44" s="9" t="n">
        <x:v>3.49</x:v>
      </x:c>
      <x:c r="BL44" s="9" t="n">
        <x:v>17.21</x:v>
      </x:c>
      <x:c r="BM44" s="9" t="n">
        <x:v>23.28</x:v>
      </x:c>
      <x:c r="BN44" s="9" t="n">
        <x:v>21.33</x:v>
      </x:c>
      <x:c r="BO44" s="9" t="n">
        <x:v>20.26</x:v>
      </x:c>
      <x:c r="BP44" s="9" t="n">
        <x:v>28.15</x:v>
      </x:c>
      <x:c r="BQ44" s="9" t="n">
        <x:v>4.47</x:v>
      </x:c>
      <x:c r="BR44" s="9"/>
      <x:c r="BS44" s="9"/>
      <x:c r="BT44" s="9"/>
      <x:c r="BU44" s="9"/>
      <x:c r="BV44" s="9"/>
      <x:c r="BW44" s="9"/>
      <x:c r="BX44" s="9"/>
      <x:c r="BY44" s="9"/>
      <x:c r="BZ44" s="9"/>
      <x:c r="CA44" s="9" t="n">
        <x:v>5078.7267</x:v>
      </x:c>
      <x:c r="CB44" s="9" t="n">
        <x:v>4687.6333</x:v>
      </x:c>
      <x:c r="CC44" s="9" t="n">
        <x:v>6437.79</x:v>
      </x:c>
      <x:c r="CD44" s="9" t="n">
        <x:v>3964.57</x:v>
      </x:c>
      <x:c r="CE44" s="9" t="n">
        <x:v>13587.34</x:v>
      </x:c>
      <x:c r="CF44" s="9" t="n">
        <x:v>5944.8</x:v>
      </x:c>
      <x:c r="CG44" s="9" t="n">
        <x:v>14913.66</x:v>
      </x:c>
      <x:c r="CH44" s="9" t="n">
        <x:v>2111.38</x:v>
      </x:c>
      <x:c r="CI44" s="9" t="n">
        <x:v>1467.24</x:v>
      </x:c>
      <x:c r="CJ44" s="9" t="n">
        <x:v>22385.5</x:v>
      </x:c>
      <x:c r="CK44" s="9" t="n">
        <x:v>49589.17</x:v>
      </x:c>
      <x:c r="CL44" s="9" t="n">
        <x:v>47099.9</x:v>
      </x:c>
      <x:c r="CM44" s="9" t="n">
        <x:v>18766.17</x:v>
      </x:c>
      <x:c r="CN44" s="9" t="n">
        <x:v>16632.01</x:v>
      </x:c>
      <x:c r="CO44" s="9" t="n">
        <x:v>4369</x:v>
      </x:c>
      <x:c r="CP44" s="9" t="n">
        <x:v>8356</x:v>
      </x:c>
      <x:c r="CQ44" s="9" t="n">
        <x:v>6522</x:v>
      </x:c>
      <x:c r="CR44" s="9" t="n">
        <x:v>9375</x:v>
      </x:c>
      <x:c r="CS44" s="9"/>
      <x:c r="CT44" s="9"/>
      <x:c r="CU44" s="9" t="n">
        <x:v>1723.85</x:v>
      </x:c>
      <x:c r="CV44" s="9" t="n">
        <x:v>466.19</x:v>
      </x:c>
      <x:c r="CW44" s="9" t="n">
        <x:v>1295.2</x:v>
      </x:c>
      <x:c r="CX44" s="9" t="n">
        <x:v>798.25</x:v>
      </x:c>
      <x:c r="CY44" s="9" t="n">
        <x:v>49144.44</x:v>
      </x:c>
      <x:c r="CZ44" s="9" t="n">
        <x:v>7646.02</x:v>
      </x:c>
      <x:c r="DA44" s="9" t="n">
        <x:v>12965.8</x:v>
      </x:c>
      <x:c r="DB44" s="9" t="n">
        <x:v>31239.62</x:v>
      </x:c>
      <x:c r="DC44" s="9" t="n">
        <x:v>6445.45</x:v>
      </x:c>
      <x:c r="DD44" s="9" t="n">
        <x:v>25845.63</x:v>
      </x:c>
      <x:c r="DE44" s="9" t="n">
        <x:v>32284.99</x:v>
      </x:c>
      <x:c r="DF44" s="9" t="n">
        <x:v>31295.98</x:v>
      </x:c>
      <x:c r="DG44" s="9" t="n">
        <x:v>20134.13</x:v>
      </x:c>
      <x:c r="DH44" s="9" t="n">
        <x:v>24861.8</x:v>
      </x:c>
      <x:c r="DI44" s="9" t="n">
        <x:v>24509.07</x:v>
      </x:c>
      <x:c r="DJ44" s="9" t="n">
        <x:v>28724.84</x:v>
      </x:c>
      <x:c r="DK44" s="9" t="n">
        <x:v>22125.93</x:v>
      </x:c>
      <x:c r="DL44" s="9" t="n">
        <x:v>21406.87</x:v>
      </x:c>
      <x:c r="DM44" s="9" t="n">
        <x:v>29482.28</x:v>
      </x:c>
      <x:c r="DN44" s="9" t="n">
        <x:v>11763.95</x:v>
      </x:c>
    </x:row>
    <x:row r="45" ht="24" customHeight="1">
      <x:c r="A45" s="3" t="n">
        <x:v>232</x:v>
      </x:c>
      <x:c r="B45" s="3" t="str">
        <x:v>2-甲基丁酸乙酯</x:v>
      </x:c>
      <x:c r="C45" s="3" t="str">
        <x:v>Ethyl 2-methylbutanoate</x:v>
      </x:c>
      <x:c r="D45" s="3" t="str">
        <x:v>7452-79-1</x:v>
      </x:c>
      <x:c r="E45" s="9" t="n">
        <x:v>18</x:v>
      </x:c>
      <x:c r="F45" s="9" t="n">
        <x:v>819</x:v>
      </x:c>
      <x:c r="G45" s="9" t="n">
        <x:v>863</x:v>
      </x:c>
      <x:c r="H45" s="9"/>
      <x:c r="I45" s="9"/>
      <x:c r="J45" s="9"/>
      <x:c r="K45" s="9"/>
      <x:c r="L45" s="9"/>
      <x:c r="M45" s="9"/>
      <x:c r="N45" s="9"/>
      <x:c r="O45" s="9" t="n">
        <x:v>809</x:v>
      </x:c>
      <x:c r="P45" s="9" t="n">
        <x:v>1369</x:v>
      </x:c>
      <x:c r="Q45" s="9" t="n">
        <x:v>621</x:v>
      </x:c>
      <x:c r="R45" s="9" t="n">
        <x:v>997</x:v>
      </x:c>
      <x:c r="S45" s="9" t="n">
        <x:v>201</x:v>
      </x:c>
      <x:c r="T45" s="9" t="n">
        <x:v>1611</x:v>
      </x:c>
      <x:c r="U45" s="9"/>
      <x:c r="V45" s="9"/>
      <x:c r="W45" s="9"/>
      <x:c r="X45" s="9"/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  <x:c r="AI45" s="9"/>
      <x:c r="AJ45" s="9"/>
      <x:c r="AK45" s="9"/>
      <x:c r="AL45" s="9"/>
      <x:c r="AM45" s="9"/>
      <x:c r="AN45" s="9"/>
      <x:c r="AO45" s="9"/>
      <x:c r="AP45" s="9"/>
      <x:c r="AQ45" s="9"/>
      <x:c r="AR45" s="9" t="n">
        <x:v>12.62</x:v>
      </x:c>
      <x:c r="AS45" s="9" t="n">
        <x:v>2.99</x:v>
      </x:c>
      <x:c r="AT45" s="9" t="n">
        <x:v>3.94</x:v>
      </x:c>
      <x:c r="AU45" s="9" t="n">
        <x:v>7.98</x:v>
      </x:c>
      <x:c r="AV45" s="9" t="n">
        <x:v>0.97</x:v>
      </x:c>
      <x:c r="AW45" s="9"/>
      <x:c r="AX45" s="9"/>
      <x:c r="AY45" s="9"/>
      <x:c r="AZ45" s="9"/>
      <x:c r="BA45" s="9" t="n">
        <x:v>464</x:v>
      </x:c>
      <x:c r="BB45" s="9" t="n">
        <x:v>530</x:v>
      </x:c>
      <x:c r="BC45" s="9"/>
      <x:c r="BD45" s="9"/>
      <x:c r="BE45" s="9"/>
      <x:c r="BF45" s="9"/>
      <x:c r="BG45" s="9"/>
      <x:c r="BH45" s="9"/>
      <x:c r="BI45" s="9"/>
      <x:c r="BJ45" s="9"/>
      <x:c r="BK45" s="9"/>
      <x:c r="BL45" s="9"/>
      <x:c r="BM45" s="9"/>
      <x:c r="BN45" s="9"/>
      <x:c r="BO45" s="9"/>
      <x:c r="BP45" s="9"/>
      <x:c r="BQ45" s="9"/>
      <x:c r="BR45" s="9"/>
      <x:c r="BS45" s="9"/>
      <x:c r="BT45" s="9"/>
      <x:c r="BU45" s="9"/>
      <x:c r="BV45" s="9"/>
      <x:c r="BW45" s="9"/>
      <x:c r="BX45" s="9"/>
      <x:c r="BY45" s="9"/>
      <x:c r="BZ45" s="9"/>
      <x:c r="CA45" s="9"/>
      <x:c r="CB45" s="9"/>
      <x:c r="CC45" s="9"/>
      <x:c r="CD45" s="9"/>
      <x:c r="CE45" s="9"/>
      <x:c r="CF45" s="9"/>
      <x:c r="CG45" s="9"/>
      <x:c r="CH45" s="9"/>
      <x:c r="CI45" s="9"/>
      <x:c r="CJ45" s="9"/>
      <x:c r="CK45" s="9"/>
      <x:c r="CL45" s="9"/>
      <x:c r="CM45" s="9"/>
      <x:c r="CN45" s="9"/>
      <x:c r="CO45" s="9" t="n">
        <x:v>258</x:v>
      </x:c>
      <x:c r="CP45" s="9" t="n">
        <x:v>931</x:v>
      </x:c>
      <x:c r="CQ45" s="9" t="n">
        <x:v>336</x:v>
      </x:c>
      <x:c r="CR45" s="9" t="n">
        <x:v>340</x:v>
      </x:c>
      <x:c r="CS45" s="9"/>
      <x:c r="CT45" s="9"/>
      <x:c r="CU45" s="9"/>
      <x:c r="CV45" s="9"/>
      <x:c r="CW45" s="9"/>
      <x:c r="CX45" s="9"/>
      <x:c r="CY45" s="9" t="n">
        <x:v>224.66</x:v>
      </x:c>
      <x:c r="CZ45" s="9" t="n">
        <x:v>914.27</x:v>
      </x:c>
      <x:c r="DA45" s="9" t="n">
        <x:v>518.24</x:v>
      </x:c>
      <x:c r="DB45" s="9" t="n">
        <x:v>282.06</x:v>
      </x:c>
      <x:c r="DC45" s="9" t="n">
        <x:v>711.61</x:v>
      </x:c>
      <x:c r="DD45" s="9" t="n">
        <x:v>110.44</x:v>
      </x:c>
      <x:c r="DE45" s="9" t="n">
        <x:v>1064.95</x:v>
      </x:c>
      <x:c r="DF45" s="9" t="n">
        <x:v>181.5</x:v>
      </x:c>
      <x:c r="DG45" s="9" t="n">
        <x:v>1254.92</x:v>
      </x:c>
      <x:c r="DH45" s="9" t="n">
        <x:v>236.86</x:v>
      </x:c>
      <x:c r="DI45" s="9" t="n">
        <x:v>935.47</x:v>
      </x:c>
      <x:c r="DJ45" s="9" t="n">
        <x:v>178.25</x:v>
      </x:c>
      <x:c r="DK45" s="9" t="n">
        <x:v>999.7</x:v>
      </x:c>
      <x:c r="DL45" s="9" t="n">
        <x:v>128.96</x:v>
      </x:c>
      <x:c r="DM45" s="9" t="n">
        <x:v>1161.27</x:v>
      </x:c>
      <x:c r="DN45" s="9" t="n">
        <x:v>299.93</x:v>
      </x:c>
    </x:row>
    <x:row r="46" ht="24" customHeight="1">
      <x:c r="A46" s="3" t="n">
        <x:v>255</x:v>
      </x:c>
      <x:c r="B46" s="3" t="str">
        <x:v>β-大马酮</x:v>
      </x:c>
      <x:c r="C46" s="3" t="str">
        <x:v>β-damascenone</x:v>
      </x:c>
      <x:c r="D46" s="3" t="str">
        <x:v>23726-93-4</x:v>
      </x:c>
      <x:c r="E46" s="9" t="n">
        <x:v>0.12</x:v>
      </x:c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 t="n">
        <x:v>1.5</x:v>
      </x:c>
      <x:c r="X46" s="9"/>
      <x:c r="Y46" s="9"/>
      <x:c r="Z46" s="9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9"/>
      <x:c r="AM46" s="9"/>
      <x:c r="AN46" s="9"/>
      <x:c r="AO46" s="9"/>
      <x:c r="AP46" s="9"/>
      <x:c r="AQ46" s="9"/>
      <x:c r="AR46" s="9"/>
      <x:c r="AS46" s="9"/>
      <x:c r="AT46" s="9"/>
      <x:c r="AU46" s="9"/>
      <x:c r="AV46" s="9"/>
      <x:c r="AW46" s="9"/>
      <x:c r="AX46" s="9"/>
      <x:c r="AY46" s="9"/>
      <x:c r="AZ46" s="9"/>
      <x:c r="BA46" s="9"/>
      <x:c r="BB46" s="9"/>
      <x:c r="BC46" s="9"/>
      <x:c r="BD46" s="9"/>
      <x:c r="BE46" s="9"/>
      <x:c r="BF46" s="9"/>
      <x:c r="BG46" s="9"/>
      <x:c r="BH46" s="9"/>
      <x:c r="BI46" s="9"/>
      <x:c r="BJ46" s="9"/>
      <x:c r="BK46" s="9"/>
      <x:c r="BL46" s="9"/>
      <x:c r="BM46" s="9"/>
      <x:c r="BN46" s="9"/>
      <x:c r="BO46" s="9"/>
      <x:c r="BP46" s="9"/>
      <x:c r="BQ46" s="9"/>
      <x:c r="BR46" s="9"/>
      <x:c r="BS46" s="9"/>
      <x:c r="BT46" s="9"/>
      <x:c r="BU46" s="9"/>
      <x:c r="BV46" s="9"/>
      <x:c r="BW46" s="9"/>
      <x:c r="BX46" s="9"/>
      <x:c r="BY46" s="9"/>
      <x:c r="BZ46" s="9"/>
      <x:c r="CA46" s="9" t="n">
        <x:v>55.8067</x:v>
      </x:c>
      <x:c r="CB46" s="9" t="n">
        <x:v>60.76</x:v>
      </x:c>
      <x:c r="CC46" s="9" t="n">
        <x:v>10.88</x:v>
      </x:c>
      <x:c r="CD46" s="9" t="n">
        <x:v>6.59</x:v>
      </x:c>
      <x:c r="CE46" s="9" t="n">
        <x:v>14.04</x:v>
      </x:c>
      <x:c r="CF46" s="9" t="n">
        <x:v>9.12</x:v>
      </x:c>
      <x:c r="CG46" s="9" t="n">
        <x:v>13.19</x:v>
      </x:c>
      <x:c r="CH46" s="9" t="n">
        <x:v>2.35</x:v>
      </x:c>
      <x:c r="CI46" s="9" t="n">
        <x:v>2.03</x:v>
      </x:c>
      <x:c r="CJ46" s="9" t="n">
        <x:v>9.41</x:v>
      </x:c>
      <x:c r="CK46" s="9" t="n">
        <x:v>19.7</x:v>
      </x:c>
      <x:c r="CL46" s="9" t="n">
        <x:v>12.05</x:v>
      </x:c>
      <x:c r="CM46" s="9" t="n">
        <x:v>14.67</x:v>
      </x:c>
      <x:c r="CN46" s="9"/>
      <x:c r="CO46" s="9"/>
      <x:c r="CP46" s="9"/>
      <x:c r="CQ46" s="9"/>
      <x:c r="CR46" s="9"/>
      <x:c r="CS46" s="9"/>
      <x:c r="CT46" s="9"/>
      <x:c r="CU46" s="9"/>
      <x:c r="CV46" s="9"/>
      <x:c r="CW46" s="9"/>
      <x:c r="CX46" s="9"/>
      <x:c r="CY46" s="9"/>
      <x:c r="CZ46" s="9" t="n">
        <x:v>4.38</x:v>
      </x:c>
      <x:c r="DA46" s="9"/>
      <x:c r="DB46" s="9" t="n">
        <x:v>3.47</x:v>
      </x:c>
      <x:c r="DC46" s="9"/>
      <x:c r="DD46" s="9" t="n">
        <x:v>2.26</x:v>
      </x:c>
      <x:c r="DE46" s="9"/>
      <x:c r="DF46" s="9" t="n">
        <x:v>3.67</x:v>
      </x:c>
      <x:c r="DG46" s="9" t="n">
        <x:v>4.61</x:v>
      </x:c>
      <x:c r="DH46" s="9" t="n">
        <x:v>4.01</x:v>
      </x:c>
      <x:c r="DI46" s="9" t="n">
        <x:v>6.38</x:v>
      </x:c>
      <x:c r="DJ46" s="9" t="n">
        <x:v>1.67</x:v>
      </x:c>
      <x:c r="DK46" s="9" t="n">
        <x:v>5.8</x:v>
      </x:c>
      <x:c r="DL46" s="9" t="n">
        <x:v>1.55</x:v>
      </x:c>
      <x:c r="DM46" s="9" t="n">
        <x:v>5.04</x:v>
      </x:c>
      <x:c r="DN46" s="9" t="n">
        <x:v>4.08</x:v>
      </x:c>
    </x:row>
    <x:row r="49">
      <x:c r="A49" t="str">
        <x:v>Git blob SHA: 61140799b7642a5ef16519a771be98577a392062</x:v>
      </x:c>
    </x:row>
    <x:row r="50">
      <x:c r="A50" t="str">
        <x:v>Missing values remain blank; true numeric zero is retained.</x:v>
      </x:c>
    </x:row>
    <x:row r="51">
      <x:c r="A51" t="str">
        <x:v>Method: https://www.itl.nist.gov/div898/handbook/pri/section5/pri521.htm</x:v>
      </x:c>
    </x:row>
    <x:row r="52">
      <x:c r="A52" t="str">
        <x:v>I criterion: https://www.jmp.com/support/help/en/19.0/jmp/optimality-criteria.shtml</x:v>
      </x:c>
    </x:row>
  </x:sheetData>
  <x:pageMargins left="0.7" right="0.7" top="0.75" bottom="0.75" header="0.3" footer="0.3"/>
  <x:tableParts count="1">
    <x:tablePart xmlns:r="http://schemas.openxmlformats.org/officeDocument/2006/relationships" r:id="Ra5f460c883f74c9b"/>
  </x:tableParts>
</x:worksheet>
</file>